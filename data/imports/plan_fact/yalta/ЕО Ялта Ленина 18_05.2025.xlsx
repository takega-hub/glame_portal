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2="http://schemas.microsoft.com/office/spreadsheetml/2018/calcfeatures" mc:Ignorable="unk1 xr xr6 xr10 xr2">
  <s:fileVersion appName="xl" lastEdited="7" lowestEdited="7" rupBuild="10526"/>
  <s:workbookPr/>
  <s:bookViews>
    <s:workbookView xr2:uid="{00000000-000D-0000-FFFF-FFFF00000000}" xWindow="0" yWindow="640" windowWidth="25600" windowHeight="16000" activeTab="8"/>
  </s:bookViews>
  <s:sheets>
    <s:sheet name="Ялта, Ленина, 18" sheetId="1" state="visible" r:id="rId1"/>
    <s:sheet name="Св. по пок." sheetId="2" state="visible" r:id="rId2"/>
    <s:sheet name="План на день" sheetId="3" state="visible" r:id="rId3"/>
    <s:sheet name="Рогалевич И. Е." sheetId="4" state="visible" r:id="rId4"/>
    <s:sheet name="Уразгильдеева Е. Р." sheetId="5" state="visible" r:id="rId5"/>
    <s:sheet name="Вафина Л. Ф." sheetId="6" state="visible" r:id="rId6"/>
    <s:sheet name="ПК 3" sheetId="7" state="visible" r:id="rId7"/>
    <s:sheet name="Доп сотрудник" sheetId="8" state="visible" r:id="rId8"/>
    <s:sheet name="Вед-ть Рогалевич" sheetId="9" state="visible" r:id="rId9"/>
    <s:sheet name="Вед-ть Уразгильдеева" sheetId="10" state="visible" r:id="rId10"/>
    <s:sheet name="Вед-ть Вафина" sheetId="12" state="visible" r:id="rId11"/>
    <s:sheet name="График" sheetId="11" state="visible" r:id="rId12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<s:sst xmlns:s="http://schemas.openxmlformats.org/spreadsheetml/2006/main" count="738" uniqueCount="132">
  <s:si>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</s:si>
  <s:si>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</s:si>
  <s:si>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</s:si>
  <s:si>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</s:si>
  <s:si>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</s:si>
  <s:si>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</s:si>
  <s:si>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</s:si>
  <s:si>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</s:si>
  <s:si>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</s:si>
  <s:si>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</s:si>
  <s:si>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</s:si>
  <s:si>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</s:si>
  <s:si>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</s:si>
  <s:si>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</s:si>
  <s:si>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</s:si>
  <s:si>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IS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</s:si>
  <s:si>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</s:si>
  <s:si>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</s:si>
  <s:si>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</s:si>
  <s:si>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</s:si>
  <s:si>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</s:si>
  <s:si>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</s:si>
  <s:si>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UNOde50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</s:si>
  <s:si>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</s:si>
  <s:si>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</s:si>
  <s:si>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</s:si>
  <s:si>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</s:si>
  <s:si>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</s:si>
  <s:si>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</s:si>
  <s:si>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</s:si>
  <s:si>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</s:si>
  <s:si>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</s:si>
  <s:si>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</s:si>
  <s:si>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</s:si>
  <s:si>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</s:si>
  <s:si>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</s:si>
  <s:si>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</s:si>
  <s:si>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Запасной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</s:si>
  <s:si>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</s:si>
  <s:si>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</s:si>
  <s:si>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</s:si>
  <s:si>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</s:si>
  <s:si>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</s:si>
  <s:si>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</s:si>
  <s:si>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</s:si>
  <s:si>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</s:si>
  <s:si>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</s:si>
  <s:si>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Рогалевич, Уразгильдеева</s:t>
  </s:si>
  <s:si>
    <s:t>чт</s:t>
  </s:si>
  <s:si>
    <s:t>пт</s:t>
  </s:si>
  <s:si>
    <s:t>Рогалевич, Уразгильдеева, Вафина</s:t>
  </s:si>
  <s:si>
    <s:t>сб</s:t>
  </s:si>
  <s:si>
    <s:t>Рогалевич,Вафина</s:t>
  </s:si>
  <s:si>
    <s:t>вс</s:t>
  </s:si>
  <s:si>
    <s:t>пн</s:t>
  </s:si>
  <s:si>
    <s:t>вт</s:t>
  </s:si>
  <s:si>
    <s:t>ср</s:t>
  </s:si>
  <s:si>
    <s:t>Рогалевич,Уразгильдеева,Вафина</s:t>
  </s:si>
  <s:si>
    <s:t>Рогалевич,Уразгильдеева</s:t>
  </s:si>
  <s:si>
    <s:t>Уразгильдеева, Вафина</s:t>
  </s:si>
  <s:si>
    <s:t>Вафина,Уразгильдеева</s:t>
  </s:si>
  <s:si>
    <s:t>итого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</s:si>
  <s:si>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</s:si>
  <s:si>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</s:si>
  <s:si>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</s:si>
  <s:si>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</s:si>
  <s:si>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>Конверсия</s:t>
  </s:si>
  <s:si>
    <s:t xml:space="preserve">                          ЕЖЕДНЕВНЫЙ ОТЧЕТ О ПРОДАЖАХ</s:t>
  </s:si>
  <s:si>
    <s:t>28.мая</s:t>
  </s:si>
  <s:si>
    <s:t>29.мая</s:t>
  </s:si>
  <s:si>
    <s:t>30мая</s:t>
  </s:si>
  <s:si>
    <s:t>31мая</s:t>
  </s:si>
  <s:si>
    <s:t>в</s:t>
  </s:si>
  <s:si>
    <s:t>0.00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</s:si>
  <s:si>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</s:si>
  <s:si>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</s:si>
  <s:si>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</s:si>
  <s:si>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</s:si>
  <s:si>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</s:si>
  <s:si>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</s:si>
  <s:si>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</s:si>
  <s:si>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Итого: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</s:si>
  <s:si>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</s:si>
  <s:si>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</s:si>
  <s:si>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</s:si>
  <s:si>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</s:si>
  <s:si>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</s:si>
  <s:si>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</s:si>
  <s:si>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</s:si>
  <s:si>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</s:si>
  <s:si>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</s:si>
  <s:si>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</s:si>
  <s:si>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</s:si>
  <s:si>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</s:si>
  <s:si>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</s:si>
  <s:si>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</s:si>
  <s:si>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</s:si>
  <s:si>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</s:si>
  <s:si>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</s:si>
  <s:si>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</s:si>
  <s:si>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</s:si>
  <s:si>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</s:si>
  <s:si>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</s:si>
  <s:si>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</s:si>
  <s:si>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</s:si>
  <s:si>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</s:si>
  <s:si>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Май, 2025</s:t>
  </s:si>
  <s:si>
    <s:t>г. Ялта</s:t>
  </s:si>
  <s:si>
    <s:t>ул. Набережная Ленина, 18</s:t>
  </s:si>
  <s:si>
    <s:t>GL-0005</s:t>
  </s:si>
  <s:si>
    <s:t>10.00-22.00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</s:si>
  <s:si>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</s:si>
  <s:si>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</s:si>
  <s:si>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</s:si>
  <s:si>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</s:si>
  <s:si>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</s:si>
  <s:si>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</s:si>
  <s:si>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</s:si>
  <s:si>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</s:si>
  <s:si>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</s:si>
  <s:si>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</s:si>
  <s:si>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Орешникова Елена</s:t>
  </s:si>
  <s:si>
    <s:t>Вафина Ляйсан</s:t>
  </s:si>
  <s:si>
    <s:t>с12</s:t>
  </s:si>
  <s:si>
    <s:t>Уразгильдеева Екатерина</s:t>
  </s:si>
  <s:si>
    <s:t>Рогалевич Ирина</s:t>
  </s:si>
  <s:si>
    <s:t>УМ</s:t>
  </s:si>
  <s:si>
    <s:t>Итого магазин</s:t>
  </s:si>
  <s:si>
    <s:t xml:space="preserve">    </s:t>
  </s:si>
  <s:si>
    <s:t>НДФЛ май 2025</s:t>
  </s:si>
  <s:si>
    <s:t>Административный %</s:t>
  </s:si>
  <s:si>
    <s:t>Вычет согласно инвентаризационной ведомости от 28.05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</s:si>
</s:sst>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53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b val="1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linica Pro Regular"/>
      <s:b val="1"/>
      <s:sz val="11"/>
    </s:font>
    <s:font>
      <s:name val="Clinica Pro Regular"/>
      <s:color theme="1"/>
      <s:sz val="12"/>
    </s:font>
    <s:font>
      <s:name val="Calibri"/>
      <s:family val="2"/>
      <s:color indexed="63"/>
      <s:sz val="11"/>
    </s:font>
  </s:fonts>
  <s:fills count="38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theme="0"/>
        <s:bgColor rgb="FF66FFFF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0"/>
      </s:patternFill>
    </s:fill>
    <s:fill>
      <s:patternFill patternType="solid">
        <s:fgColor rgb="FFCCFF00"/>
        <s:bgColor indexed="5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3" tint="0.8"/>
        <s:bgColor theme="3" tint="0.8"/>
      </s:patternFill>
    </s:fill>
    <s:fill>
      <s:patternFill patternType="solid">
        <s:fgColor theme="9"/>
        <s:bgColor theme="9"/>
      </s:patternFill>
    </s:fill>
    <s:fill>
      <s:patternFill patternType="solid">
        <s:fgColor theme="6" tint="0.6"/>
        <s:bgColor indexed="64"/>
      </s:patternFill>
    </s:fill>
    <s:fill>
      <s:patternFill patternType="solid">
        <s:fgColor theme="6" tint="0.6"/>
        <s:bgColor theme="0"/>
      </s:patternFill>
    </s:fill>
    <s:fill>
      <s:patternFill patternType="solid">
        <s:fgColor theme="6" tint="0.6"/>
        <s:bgColor theme="3" tint="0.8"/>
      </s:patternFill>
    </s:fill>
  </s:fills>
  <s:borders count="121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</s:borders>
  <s:cellStyleXfs count="2">
    <s:xf numFmtId="0" fontId="0" fillId="0" borderId="0"/>
    <s:xf numFmtId="9" fontId="52" fillId="0" borderId="0" applyFont="0" applyFill="0" applyBorder="0" applyProtection="0"/>
  </s:cellStyleXfs>
  <s:cellXfs count="741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166" fontId="16" fillId="7" borderId="19" xfId="1" applyNumberFormat="1" applyFont="1" applyFill="1" applyBorder="1" applyAlignment="1" applyProtection="1">
      <s:alignment horizontal="right" vertical="center" mc:Ignorable="vyd"/>
    </s:xf>
    <s:xf numFmtId="166" fontId="2" fillId="8" borderId="24" xfId="0" applyNumberFormat="1" applyFont="1" applyFill="1" applyBorder="1"/>
    <s:xf numFmtId="3" fontId="16" fillId="3" borderId="16" xfId="0" applyNumberFormat="1" applyFont="1" applyFill="1" applyBorder="1" applyAlignment="1">
      <s:alignment horizontal="center" vertical="center" mc:Ignorable="vyd"/>
    </s:xf>
    <s:xf numFmtId="10" fontId="16" fillId="6" borderId="24" xfId="1" applyNumberFormat="1" applyFont="1" applyFill="1" applyBorder="1" applyAlignment="1" applyProtection="1">
      <s:alignment vertical="center" mc:Ignorable="vyd"/>
    </s:xf>
    <s:xf numFmtId="10" fontId="0" fillId="2" borderId="0" xfId="0" applyNumberFormat="1" applyFill="1"/>
    <s:xf numFmtId="3" fontId="16" fillId="9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10" borderId="24" xfId="0" applyFont="1" applyFill="1" applyBorder="1" applyAlignment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center" wrapText="1" mc:Ignorable="vyd"/>
    </s:xf>
    <s:xf numFmtId="0" fontId="26" fillId="10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10" borderId="24" xfId="0" applyFont="1" applyFill="1" applyBorder="1" applyAlignment="1">
      <s:alignment horizontal="center" vertical="top" wrapText="1" mc:Ignorable="vyd"/>
    </s:xf>
    <s:xf numFmtId="0" fontId="17" fillId="10" borderId="24" xfId="0" applyFont="1" applyFill="1" applyBorder="1" applyAlignment="1">
      <s:alignment horizontal="center" vertical="top" wrapText="1" mc:Ignorable="vyd"/>
    </s:xf>
    <s:xf numFmtId="0" fontId="0" fillId="12" borderId="0" xfId="0" applyFill="1"/>
    <s:xf numFmtId="0" fontId="27" fillId="12" borderId="24" xfId="0" applyFont="1" applyFill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mc:Ignorable="vyd"/>
    </s:xf>
    <s:xf numFmtId="0" fontId="16" fillId="12" borderId="24" xfId="0" applyFont="1" applyFill="1" applyBorder="1" applyAlignment="1">
      <s:alignment horizontal="center" vertical="top" mc:Ignorable="vyd"/>
    </s:xf>
    <s:xf numFmtId="4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10" fontId="16" fillId="12" borderId="24" xfId="0" applyNumberFormat="1" applyFont="1" applyFill="1" applyBorder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3" fontId="28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2" fontId="16" fillId="12" borderId="24" xfId="0" applyNumberFormat="1" applyFont="1" applyFill="1" applyBorder="1" applyAlignment="1">
      <s:alignment horizontal="right" mc:Ignorable="vyd"/>
    </s:xf>
    <s:xf numFmtId="2" fontId="0" fillId="12" borderId="0" xfId="0" applyNumberFormat="1" applyFill="1"/>
    <s:xf numFmtId="165" fontId="2" fillId="12" borderId="0" xfId="0" applyNumberFormat="1" applyFont="1" applyFill="1"/>
    <s:xf numFmtId="2" fontId="2" fillId="12" borderId="0" xfId="0" applyNumberFormat="1" applyFont="1" applyFill="1"/>
    <s:xf numFmtId="3" fontId="16" fillId="12" borderId="0" xfId="0" applyNumberFormat="1" applyFont="1" applyFill="1" applyAlignment="1">
      <s:alignment horizontal="center" vertical="top" mc:Ignorable="vyd"/>
    </s:xf>
    <s:xf numFmtId="0" fontId="2" fillId="12" borderId="0" xfId="0" applyFont="1" applyFill="1"/>
    <s:xf numFmtId="165" fontId="2" fillId="12" borderId="0" xfId="0" applyNumberFormat="1" applyFont="1" applyFill="1" applyAlignment="1">
      <s:alignment vertical="center" mc:Ignorable="vyd"/>
    </s:xf>
    <s:xf numFmtId="0" fontId="29" fillId="12" borderId="0" xfId="0" applyFont="1" applyFill="1"/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8" fontId="2" fillId="12" borderId="0" xfId="0" applyNumberFormat="1" applyFont="1" applyFill="1"/>
    <s:xf numFmtId="3" fontId="16" fillId="0" borderId="0" xfId="0" applyNumberFormat="1" applyFont="1" applyAlignment="1">
      <s:alignment horizontal="center" vertical="top" mc:Ignorable="vyd"/>
    </s:xf>
    <s:xf numFmtId="165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0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0" fillId="0" borderId="0" xfId="0" applyNumberFormat="1" applyFont="1"/>
    <s:xf numFmtId="4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0" fontId="17" fillId="5" borderId="44" xfId="0" applyFont="1" applyFill="1" applyBorder="1" applyAlignment="1">
      <s:alignment horizontal="center" vertical="center" wrapText="1" mc:Ignorable="vyd"/>
    </s:xf>
    <s:xf numFmtId="10" fontId="31" fillId="0" borderId="18" xfId="0" applyNumberFormat="1" applyFont="1" applyBorder="1" applyAlignment="1">
      <s:alignment horizontal="center" vertical="center" mc:Ignorable="vyd"/>
    </s:xf>
    <s:xf numFmtId="166" fontId="31" fillId="0" borderId="39" xfId="0" applyNumberFormat="1" applyFont="1" applyBorder="1" applyAlignment="1">
      <s:alignment horizontal="center" vertical="center" mc:Ignorable="vyd"/>
    </s:xf>
    <s:xf numFmtId="10" fontId="31" fillId="0" borderId="40" xfId="0" applyNumberFormat="1" applyFont="1" applyBorder="1" applyAlignment="1">
      <s:alignment horizontal="center" vertical="center" mc:Ignorable="vyd"/>
    </s:xf>
    <s:xf numFmtId="10" fontId="31" fillId="0" borderId="46" xfId="1" applyNumberFormat="1" applyFont="1" applyBorder="1" applyAlignment="1" applyProtection="1">
      <s:alignment horizontal="center" vertical="center" mc:Ignorable="vyd"/>
    </s:xf>
    <s:xf numFmtId="166" fontId="31" fillId="0" borderId="47" xfId="1" applyNumberFormat="1" applyFont="1" applyBorder="1" applyAlignment="1" applyProtection="1">
      <s:alignment horizontal="center" vertical="center" mc:Ignorable="vyd"/>
    </s:xf>
    <s:xf numFmtId="10" fontId="31" fillId="0" borderId="48" xfId="0" applyNumberFormat="1" applyFont="1" applyBorder="1" applyAlignment="1">
      <s:alignment horizontal="center" vertical="center" mc:Ignorable="vyd"/>
    </s:xf>
    <s:xf numFmtId="10" fontId="31" fillId="0" borderId="18" xfId="1" applyNumberFormat="1" applyFont="1" applyBorder="1" applyAlignment="1" applyProtection="1">
      <s:alignment horizontal="center" vertical="center" mc:Ignorable="vyd"/>
    </s:xf>
    <s:xf numFmtId="10" fontId="20" fillId="0" borderId="40" xfId="0" applyNumberFormat="1" applyFont="1" applyBorder="1" applyAlignment="1">
      <s:alignment horizontal="center" vertical="center" mc:Ignorable="vyd"/>
    </s:xf>
    <s:xf numFmtId="10" fontId="31" fillId="0" borderId="49" xfId="0" applyNumberFormat="1" applyFont="1" applyBorder="1" applyAlignment="1">
      <s:alignment horizontal="center" vertical="center" mc:Ignorable="vyd"/>
    </s:xf>
    <s:xf numFmtId="1" fontId="31" fillId="0" borderId="16" xfId="0" applyNumberFormat="1" applyFont="1" applyBorder="1" applyAlignment="1">
      <s:alignment horizontal="center" vertical="center" mc:Ignorable="vyd"/>
    </s:xf>
    <s:xf numFmtId="10" fontId="31" fillId="0" borderId="26" xfId="0" applyNumberFormat="1" applyFont="1" applyBorder="1" applyAlignment="1">
      <s:alignment horizontal="center" vertical="center" mc:Ignorable="vyd"/>
    </s:xf>
    <s:xf numFmtId="10" fontId="31" fillId="0" borderId="23" xfId="1" applyNumberFormat="1" applyFont="1" applyBorder="1" applyAlignment="1" applyProtection="1">
      <s:alignment horizontal="center" vertical="center" mc:Ignorable="vyd"/>
    </s:xf>
    <s:xf numFmtId="1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25" xfId="0" applyNumberFormat="1" applyFont="1" applyBorder="1" applyAlignment="1">
      <s:alignment horizontal="center" vertical="center" mc:Ignorable="vyd"/>
    </s:xf>
    <s:xf numFmtId="10" fontId="31" fillId="0" borderId="49" xfId="1" applyNumberFormat="1" applyFont="1" applyBorder="1" applyAlignment="1" applyProtection="1">
      <s:alignment horizontal="center" vertical="center" mc:Ignorable="vyd"/>
    </s:xf>
    <s:xf numFmtId="3" fontId="31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1" fillId="0" borderId="16" xfId="0" applyNumberFormat="1" applyFont="1" applyBorder="1" applyAlignment="1">
      <s:alignment horizontal="center" vertical="center" mc:Ignorable="vyd"/>
    </s:xf>
    <s:xf numFmtId="166" fontId="31" fillId="0" borderId="24" xfId="1" applyNumberFormat="1" applyFont="1" applyBorder="1" applyAlignment="1" applyProtection="1">
      <s:alignment horizontal="center" vertical="center" mc:Ignorable="vyd"/>
    </s:xf>
    <s:xf numFmtId="2" fontId="31" fillId="0" borderId="16" xfId="0" applyNumberFormat="1" applyFont="1" applyBorder="1" applyAlignment="1">
      <s:alignment horizontal="center" vertical="center" mc:Ignorable="vyd"/>
    </s:xf>
    <s:xf numFmtId="2" fontId="31" fillId="0" borderId="24" xfId="1" applyNumberFormat="1" applyFont="1" applyBorder="1" applyAlignment="1" applyProtection="1">
      <s:alignment horizontal="center" vertical="center" mc:Ignorable="vyd"/>
    </s:xf>
    <s:xf numFmtId="4" fontId="31" fillId="0" borderId="24" xfId="1" applyNumberFormat="1" applyFont="1" applyBorder="1" applyAlignment="1" applyProtection="1">
      <s:alignment horizontal="center" vertical="center" mc:Ignorable="vyd"/>
    </s:xf>
    <s:xf numFmtId="1" fontId="31" fillId="0" borderId="24" xfId="0" applyNumberFormat="1" applyFont="1" applyBorder="1" applyAlignment="1">
      <s:alignment horizontal="center" vertical="center" mc:Ignorable="vyd"/>
    </s:xf>
    <s:xf numFmtId="166" fontId="31" fillId="0" borderId="24" xfId="0" applyNumberFormat="1" applyFont="1" applyBorder="1" applyAlignment="1">
      <s:alignment horizontal="center" vertical="center" mc:Ignorable="vyd"/>
    </s:xf>
    <s:xf numFmtId="169" fontId="31" fillId="0" borderId="24" xfId="1" applyNumberFormat="1" applyFont="1" applyBorder="1" applyAlignment="1" applyProtection="1">
      <s:alignment horizontal="center" vertical="center" mc:Ignorable="vyd"/>
    </s:xf>
    <s:xf numFmtId="10" fontId="31" fillId="0" borderId="42" xfId="0" applyNumberFormat="1" applyFont="1" applyBorder="1" applyAlignment="1">
      <s:alignment horizontal="center" vertical="center" mc:Ignorable="vyd"/>
    </s:xf>
    <s:xf numFmtId="166" fontId="31" fillId="0" borderId="34" xfId="0" applyNumberFormat="1" applyFont="1" applyBorder="1" applyAlignment="1">
      <s:alignment horizontal="center" vertical="center" mc:Ignorable="vyd"/>
    </s:xf>
    <s:xf numFmtId="10" fontId="31" fillId="0" borderId="50" xfId="0" applyNumberFormat="1" applyFont="1" applyBorder="1" applyAlignment="1">
      <s:alignment horizontal="center" vertical="center" mc:Ignorable="vyd"/>
    </s:xf>
    <s:xf numFmtId="10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0" fontId="31" fillId="0" borderId="53" xfId="0" applyNumberFormat="1" applyFont="1" applyBorder="1" applyAlignment="1">
      <s:alignment horizontal="center" vertical="center" mc:Ignorable="vyd"/>
    </s:xf>
    <s:xf numFmtId="10" fontId="31" fillId="0" borderId="54" xfId="1" applyNumberFormat="1" applyFont="1" applyBorder="1" applyAlignment="1" applyProtection="1">
      <s:alignment horizontal="center" vertical="center" mc:Ignorable="vyd"/>
    </s:xf>
    <s:xf numFmtId="166" fontId="31" fillId="0" borderId="34" xfId="1" applyNumberFormat="1" applyFont="1" applyBorder="1" applyAlignment="1" applyProtection="1">
      <s:alignment horizontal="center" vertical="center" mc:Ignorable="vyd"/>
    </s:xf>
    <s:xf numFmtId="10" fontId="20" fillId="0" borderId="37" xfId="0" applyNumberFormat="1" applyFont="1" applyBorder="1" applyAlignment="1">
      <s:alignment horizontal="center" vertical="center" mc:Ignorable="vyd"/>
    </s:xf>
    <s:xf numFmtId="3" fontId="17" fillId="5" borderId="37" xfId="0" applyNumberFormat="1" applyFont="1" applyFill="1" applyBorder="1" applyAlignment="1">
      <s:alignment horizontal="center" vertical="center" mc:Ignorable="vyd"/>
    </s:xf>
    <s:xf numFmtId="0" fontId="17" fillId="5" borderId="37" xfId="0" applyFont="1" applyFill="1" applyBorder="1" applyAlignment="1">
      <s:alignment horizontal="center" vertical="center" wrapText="1" mc:Ignorable="vyd"/>
    </s:xf>
    <s:xf numFmtId="166" fontId="31" fillId="0" borderId="47" xfId="0" applyNumberFormat="1" applyFont="1" applyBorder="1" applyAlignment="1">
      <s:alignment horizontal="center" vertical="center" mc:Ignorable="vyd"/>
    </s:xf>
    <s:xf numFmtId="10" fontId="31" fillId="0" borderId="18" xfId="1" applyNumberFormat="1" applyFont="1" applyBorder="1" applyAlignment="1">
      <s:alignment horizontal="center" vertical="center" mc:Ignorable="vyd"/>
    </s:xf>
    <s:xf numFmtId="166" fontId="31" fillId="0" borderId="47" xfId="1" applyNumberFormat="1" applyFont="1" applyBorder="1" applyAlignment="1">
      <s:alignment horizontal="center" vertical="center" mc:Ignorable="vyd"/>
    </s:xf>
    <s:xf numFmtId="10" fontId="31" fillId="0" borderId="49" xfId="1" applyNumberFormat="1" applyFont="1" applyBorder="1" applyAlignment="1">
      <s:alignment horizontal="center" vertical="center" mc:Ignorable="vyd"/>
    </s:xf>
    <s:xf numFmtId="1" fontId="31" fillId="0" borderId="24" xfId="1" applyNumberFormat="1" applyFont="1" applyBorder="1" applyAlignment="1">
      <s:alignment horizontal="center" vertical="center" mc:Ignorable="vyd"/>
    </s:xf>
    <s:xf numFmtId="3" fontId="31" fillId="0" borderId="24" xfId="1" applyNumberFormat="1" applyFont="1" applyBorder="1" applyAlignment="1">
      <s:alignment horizontal="center" vertical="center" mc:Ignorable="vyd"/>
    </s:xf>
    <s:xf numFmtId="166" fontId="31" fillId="0" borderId="24" xfId="1" applyNumberFormat="1" applyFont="1" applyBorder="1" applyAlignment="1">
      <s:alignment horizontal="center" vertical="center" mc:Ignorable="vyd"/>
    </s:xf>
    <s:xf numFmtId="2" fontId="31" fillId="0" borderId="24" xfId="0" applyNumberFormat="1" applyFont="1" applyBorder="1" applyAlignment="1">
      <s:alignment horizontal="center" vertical="center" mc:Ignorable="vyd"/>
    </s:xf>
    <s:xf numFmtId="2" fontId="31" fillId="0" borderId="24" xfId="1" applyNumberFormat="1" applyFont="1" applyBorder="1" applyAlignment="1">
      <s:alignment horizontal="center" vertical="center" mc:Ignorable="vyd"/>
    </s:xf>
    <s:xf numFmtId="4" fontId="31" fillId="0" borderId="24" xfId="1" applyNumberFormat="1" applyFont="1" applyBorder="1" applyAlignment="1">
      <s:alignment horizontal="center" vertical="center" mc:Ignorable="vyd"/>
    </s:xf>
    <s:xf numFmtId="169" fontId="31" fillId="0" borderId="24" xfId="1" applyNumberFormat="1" applyFont="1" applyBorder="1" applyAlignment="1">
      <s:alignment horizontal="center" vertical="center" mc:Ignorable="vyd"/>
    </s:xf>
    <s:xf numFmtId="10" fontId="31" fillId="0" borderId="54" xfId="0" applyNumberFormat="1" applyFont="1" applyBorder="1" applyAlignment="1">
      <s:alignment horizontal="center" vertical="center" mc:Ignorable="vyd"/>
    </s:xf>
    <s:xf numFmtId="10" fontId="31" fillId="0" borderId="37" xfId="0" applyNumberFormat="1" applyFont="1" applyBorder="1" applyAlignment="1">
      <s:alignment horizontal="center" vertical="center" mc:Ignorable="vyd"/>
    </s:xf>
    <s:xf numFmtId="10" fontId="31" fillId="0" borderId="54" xfId="1" applyNumberFormat="1" applyFont="1" applyBorder="1" applyAlignment="1">
      <s:alignment horizontal="center" vertical="center" mc:Ignorable="vyd"/>
    </s:xf>
    <s:xf numFmtId="166" fontId="31" fillId="0" borderId="34" xfId="1" applyNumberFormat="1" applyFont="1" applyBorder="1" applyAlignment="1">
      <s:alignment horizontal="center" vertical="center" mc:Ignorable="vyd"/>
    </s:xf>
    <s:xf numFmtId="0" fontId="27" fillId="0" borderId="0" xfId="0" applyFont="1"/>
    <s:xf numFmtId="3" fontId="3" fillId="0" borderId="60" xfId="0" applyNumberFormat="1" applyFont="1" applyBorder="1" applyAlignment="1">
      <s:alignment horizontal="center" vertical="center" wrapText="1" mc:Ignorable="vyd"/>
    </s:xf>
    <s:xf numFmtId="3" fontId="21" fillId="6" borderId="15" xfId="0" applyNumberFormat="1" applyFont="1" applyFill="1" applyBorder="1" applyAlignment="1">
      <s:alignment horizontal="center" vertical="center" wrapText="1" mc:Ignorable="vyd"/>
    </s:xf>
    <s:xf numFmtId="3" fontId="21" fillId="4" borderId="15" xfId="0" applyNumberFormat="1" applyFont="1" applyFill="1" applyBorder="1" applyAlignment="1">
      <s:alignment horizontal="center" vertical="center" mc:Ignorable="vyd"/>
    </s:xf>
    <s:xf numFmtId="3" fontId="21" fillId="3" borderId="15" xfId="0" applyNumberFormat="1" applyFont="1" applyFill="1" applyBorder="1" applyAlignment="1">
      <s:alignment horizontal="center" vertical="center" mc:Ignorable="vyd"/>
    </s:xf>
    <s:xf numFmtId="4" fontId="21" fillId="3" borderId="15" xfId="0" applyNumberFormat="1" applyFont="1" applyFill="1" applyBorder="1" applyAlignment="1">
      <s:alignment horizontal="center" vertical="center" mc:Ignorable="vyd"/>
    </s:xf>
    <s:xf numFmtId="10" fontId="21" fillId="6" borderId="15" xfId="0" applyNumberFormat="1" applyFont="1" applyFill="1" applyBorder="1" applyAlignment="1">
      <s:alignment horizontal="center" vertical="center" mc:Ignorable="vyd"/>
    </s:xf>
    <s:xf numFmtId="170" fontId="32" fillId="0" borderId="15" xfId="0" applyNumberFormat="1" applyFont="1" applyBorder="1" applyAlignment="1">
      <s:alignment horizontal="center" mc:Ignorable="vyd"/>
    </s:xf>
    <s:xf numFmtId="170" fontId="32" fillId="0" borderId="32" xfId="0" applyNumberFormat="1" applyFont="1" applyBorder="1" applyAlignment="1">
      <s:alignment horizont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61" xfId="0" applyNumberFormat="1" applyFont="1" applyFill="1" applyBorder="1"/>
    <s:xf numFmtId="0" fontId="36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10" fontId="37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0" fontId="26" fillId="13" borderId="24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16" fillId="13" borderId="24" xfId="0" applyFont="1" applyFill="1" applyBorder="1" applyAlignment="1">
      <s:alignment horizontal="center" vertical="top" wrapText="1" mc:Ignorable="vyd"/>
    </s:xf>
    <s:xf numFmtId="0" fontId="16" fillId="13" borderId="30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10" fontId="16" fillId="0" borderId="0" xfId="0" applyNumberFormat="1" applyFont="1" applyAlignment="1">
      <s:alignment horizontal="center" vertical="top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0" fontId="16" fillId="0" borderId="25" xfId="0" applyFont="1" applyBorder="1" applyAlignment="1">
      <s:alignment horizontal="center" vertical="top" mc:Ignorable="vyd"/>
    </s:xf>
    <s:xf numFmtId="4" fontId="16" fillId="15" borderId="24" xfId="0" applyNumberFormat="1" applyFont="1" applyFill="1" applyBorder="1" applyAlignment="1">
      <s:alignment horizontal="center" vertical="top" mc:Ignorable="vyd"/>
    </s:xf>
    <s:xf numFmtId="2" fontId="16" fillId="15" borderId="24" xfId="0" applyNumberFormat="1" applyFont="1" applyFill="1" applyBorder="1" applyAlignment="1">
      <s:alignment horizontal="right" mc:Ignorable="vyd"/>
    </s:xf>
    <s:xf numFmtId="0" fontId="0" fillId="15" borderId="0" xfId="0" applyFill="1"/>
    <s:xf numFmtId="0" fontId="27" fillId="15" borderId="24" xfId="0" applyFont="1" applyFill="1" applyBorder="1" applyAlignment="1">
      <s:alignment horizontal="center" vertical="center" mc:Ignorable="vyd"/>
    </s:xf>
    <s:xf numFmtId="16" fontId="16" fillId="15" borderId="24" xfId="0" applyNumberFormat="1" applyFont="1" applyFill="1" applyBorder="1" applyAlignment="1">
      <s:alignment horizontal="center" vertical="top" mc:Ignorable="vyd"/>
    </s:xf>
    <s:xf numFmtId="0" fontId="16" fillId="15" borderId="24" xfId="0" applyFont="1" applyFill="1" applyBorder="1" applyAlignment="1">
      <s:alignment horizontal="center" vertical="top" mc:Ignorable="vyd"/>
    </s:xf>
    <s:xf numFmtId="3" fontId="16" fillId="15" borderId="24" xfId="0" applyNumberFormat="1" applyFont="1" applyFill="1" applyBorder="1" applyAlignment="1">
      <s:alignment horizontal="center" vertical="top" mc:Ignorable="vyd"/>
    </s:xf>
    <s:xf numFmtId="10" fontId="16" fillId="15" borderId="24" xfId="0" applyNumberFormat="1" applyFont="1" applyFill="1" applyBorder="1" applyAlignment="1">
      <s:alignment horizontal="center" vertical="top" mc:Ignorable="vyd"/>
    </s:xf>
    <s:xf numFmtId="9" fontId="3" fillId="15" borderId="24" xfId="0" applyNumberFormat="1" applyFont="1" applyFill="1" applyBorder="1" applyAlignment="1">
      <s:alignment horizontal="center" vertical="center" mc:Ignorable="vyd"/>
    </s:xf>
    <s:xf numFmtId="3" fontId="28" fillId="15" borderId="24" xfId="0" applyNumberFormat="1" applyFont="1" applyFill="1" applyBorder="1" applyAlignment="1">
      <s:alignment horizontal="center" mc:Ignorable="vyd"/>
    </s:xf>
    <s:xf numFmtId="3" fontId="16" fillId="15" borderId="24" xfId="0" applyNumberFormat="1" applyFont="1" applyFill="1" applyBorder="1" applyAlignment="1">
      <s:alignment horizontal="center" mc:Ignorable="vyd"/>
    </s:xf>
    <s:xf numFmtId="165" fontId="2" fillId="15" borderId="0" xfId="0" applyNumberFormat="1" applyFont="1" applyFill="1"/>
    <s:xf numFmtId="0" fontId="2" fillId="15" borderId="0" xfId="0" applyFont="1" applyFill="1"/>
    <s:xf numFmtId="3" fontId="16" fillId="15" borderId="0" xfId="0" applyNumberFormat="1" applyFont="1" applyFill="1" applyAlignment="1">
      <s:alignment horizontal="center" vertical="top" mc:Ignorable="vyd"/>
    </s:xf>
    <s:xf numFmtId="168" fontId="2" fillId="15" borderId="0" xfId="0" applyNumberFormat="1" applyFont="1" applyFill="1"/>
    <s:xf numFmtId="0" fontId="16" fillId="15" borderId="25" xfId="0" applyFont="1" applyFill="1" applyBorder="1" applyAlignment="1">
      <s:alignment horizontal="center" vertical="top" mc:Ignorable="vyd"/>
    </s:xf>
    <s:xf numFmtId="4" fontId="16" fillId="15" borderId="0" xfId="0" applyNumberFormat="1" applyFont="1" applyFill="1" applyAlignment="1">
      <s:alignment horizontal="center" vertical="top" mc:Ignorable="vyd"/>
    </s:xf>
    <s:xf numFmtId="4" fontId="16" fillId="15" borderId="23" xfId="0" applyNumberFormat="1" applyFont="1" applyFill="1" applyBorder="1" applyAlignment="1">
      <s:alignment horizontal="center" vertical="top" mc:Ignorable="vyd"/>
    </s:xf>
    <s:xf numFmtId="3" fontId="16" fillId="15" borderId="30" xfId="0" applyNumberFormat="1" applyFont="1" applyFill="1" applyBorder="1" applyAlignment="1">
      <s:alignment horizontal="center" vertical="top" mc:Ignorable="vyd"/>
    </s:xf>
    <s:xf numFmtId="4" fontId="16" fillId="15" borderId="30" xfId="0" applyNumberFormat="1" applyFont="1" applyFill="1" applyBorder="1" applyAlignment="1">
      <s:alignment horizontal="center" vertical="top" mc:Ignorable="vyd"/>
    </s:xf>
    <s:xf numFmtId="165" fontId="16" fillId="15" borderId="30" xfId="0" applyNumberFormat="1" applyFont="1" applyFill="1" applyBorder="1" applyAlignment="1">
      <s:alignment horizontal="center" vertical="top" mc:Ignorable="vyd"/>
    </s:xf>
    <s:xf numFmtId="9" fontId="3" fillId="15" borderId="30" xfId="0" applyNumberFormat="1" applyFont="1" applyFill="1" applyBorder="1" applyAlignment="1">
      <s:alignment horizontal="center" vertical="center" mc:Ignorable="vyd"/>
    </s:xf>
    <s:xf numFmtId="3" fontId="28" fillId="15" borderId="30" xfId="0" applyNumberFormat="1" applyFont="1" applyFill="1" applyBorder="1" applyAlignment="1">
      <s:alignment horizontal="center" mc:Ignorable="vyd"/>
    </s:xf>
    <s:xf numFmtId="3" fontId="16" fillId="15" borderId="30" xfId="0" applyNumberFormat="1" applyFont="1" applyFill="1" applyBorder="1" applyAlignment="1">
      <s:alignment horizontal="center" mc:Ignorable="vyd"/>
    </s:xf>
    <s:xf numFmtId="4" fontId="16" fillId="15" borderId="63" xfId="0" applyNumberFormat="1" applyFont="1" applyFill="1" applyBorder="1" applyAlignment="1">
      <s:alignment horizontal="center" vertical="top" mc:Ignorable="vyd"/>
    </s:xf>
    <s:xf numFmtId="3" fontId="16" fillId="15" borderId="64" xfId="0" applyNumberFormat="1" applyFont="1" applyFill="1" applyBorder="1" applyAlignment="1">
      <s:alignment horizontal="center" vertical="top" mc:Ignorable="vyd"/>
    </s:xf>
    <s:xf numFmtId="4" fontId="16" fillId="15" borderId="64" xfId="0" applyNumberFormat="1" applyFont="1" applyFill="1" applyBorder="1" applyAlignment="1">
      <s:alignment horizontal="center" vertical="top" mc:Ignorable="vyd"/>
    </s:xf>
    <s:xf numFmtId="10" fontId="16" fillId="15" borderId="64" xfId="0" applyNumberFormat="1" applyFont="1" applyFill="1" applyBorder="1" applyAlignment="1">
      <s:alignment horizontal="center" vertical="top" mc:Ignorable="vyd"/>
    </s:xf>
    <s:xf numFmtId="9" fontId="3" fillId="15" borderId="64" xfId="0" applyNumberFormat="1" applyFont="1" applyFill="1" applyBorder="1" applyAlignment="1">
      <s:alignment horizontal="center" vertical="center" mc:Ignorable="vyd"/>
    </s:xf>
    <s:xf numFmtId="3" fontId="28" fillId="15" borderId="64" xfId="0" applyNumberFormat="1" applyFont="1" applyFill="1" applyBorder="1" applyAlignment="1">
      <s:alignment horizontal="center" mc:Ignorable="vyd"/>
    </s:xf>
    <s:xf numFmtId="3" fontId="16" fillId="15" borderId="64" xfId="0" applyNumberFormat="1" applyFont="1" applyFill="1" applyBorder="1" applyAlignment="1">
      <s:alignment horizontal="center" mc:Ignorable="vyd"/>
    </s:xf>
    <s:xf numFmtId="0" fontId="16" fillId="15" borderId="65" xfId="0" applyFont="1" applyFill="1" applyBorder="1" applyAlignment="1">
      <s:alignment horizontal="center" vertical="top" mc:Ignorable="vyd"/>
    </s:xf>
    <s:xf numFmtId="2" fontId="16" fillId="15" borderId="23" xfId="0" applyNumberFormat="1" applyFont="1" applyFill="1" applyBorder="1" applyAlignment="1">
      <s:alignment horizontal="right" mc:Ignorable="vyd"/>
    </s:xf>
    <s:xf numFmtId="0" fontId="16" fillId="15" borderId="27" xfId="0" applyFont="1" applyFill="1" applyBorder="1" applyAlignment="1">
      <s:alignment horizontal="center" vertical="top" mc:Ignorable="vyd"/>
    </s:xf>
    <s:xf numFmtId="2" fontId="16" fillId="15" borderId="64" xfId="0" applyNumberFormat="1" applyFont="1" applyFill="1" applyBorder="1" applyAlignment="1">
      <s:alignment horizontal="right" mc:Ignorable="vyd"/>
    </s:xf>
    <s:xf numFmtId="165" fontId="37" fillId="4" borderId="19" xfId="0" applyNumberFormat="1" applyFont="1" applyFill="1" applyBorder="1" applyAlignment="1">
      <s:alignment horizontal="center" vertical="center" mc:Ignorable="vyd"/>
    </s:xf>
    <s:xf numFmtId="165" fontId="16" fillId="4" borderId="24" xfId="0" applyNumberFormat="1" applyFont="1" applyFill="1" applyBorder="1" applyAlignment="1">
      <s:alignment horizontal="center" vertical="center" mc:Ignorable="vyd"/>
    </s:xf>
    <s:xf numFmtId="165" fontId="19" fillId="0" borderId="24" xfId="0" applyNumberFormat="1" applyFont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4" fontId="16" fillId="0" borderId="0" xfId="0" applyNumberFormat="1" applyFont="1" applyAlignment="1">
      <s:alignment horizontal="center" vertical="top" mc:Ignorable="vyd"/>
    </s:xf>
    <s:xf numFmtId="0" fontId="16" fillId="15" borderId="0" xfId="0" applyFont="1" applyFill="1" applyAlignment="1">
      <s:alignment horizontal="center" vertical="top" mc:Ignorable="vyd"/>
    </s:xf>
    <s:xf numFmtId="9" fontId="3" fillId="15" borderId="0" xfId="0" applyNumberFormat="1" applyFont="1" applyFill="1" applyAlignment="1">
      <s:alignment horizontal="center" vertical="center" mc:Ignorable="vyd"/>
    </s:xf>
    <s:xf numFmtId="3" fontId="16" fillId="15" borderId="0" xfId="0" applyNumberFormat="1" applyFont="1" applyFill="1" applyAlignment="1">
      <s:alignment horizontal="center" mc:Ignorable="vyd"/>
    </s:xf>
    <s:xf numFmtId="3" fontId="28" fillId="15" borderId="0" xfId="0" applyNumberFormat="1" applyFont="1" applyFill="1" applyAlignment="1">
      <s:alignment horizontal="center" mc:Ignorable="vyd"/>
    </s:xf>
    <s:xf numFmtId="165" fontId="16" fillId="15" borderId="24" xfId="0" applyNumberFormat="1" applyFont="1" applyFill="1" applyBorder="1" applyAlignment="1">
      <s:alignment horizontal="center" vertical="top" mc:Ignorable="vyd"/>
    </s:xf>
    <s:xf numFmtId="168" fontId="16" fillId="15" borderId="24" xfId="0" applyNumberFormat="1" applyFont="1" applyFill="1" applyBorder="1" applyAlignment="1">
      <s:alignment horizontal="right" mc:Ignorable="vyd"/>
    </s:xf>
    <s:xf numFmtId="0" fontId="32" fillId="0" borderId="0" xfId="0" applyFont="1"/>
    <s:xf numFmtId="165" fontId="16" fillId="0" borderId="24" xfId="0" applyNumberFormat="1" applyFont="1" applyBorder="1" applyAlignment="1">
      <s:alignment horizontal="center" vertical="top" mc:Ignorable="vyd"/>
    </s:xf>
    <s:xf numFmtId="168" fontId="16" fillId="0" borderId="24" xfId="0" applyNumberFormat="1" applyFont="1" applyBorder="1" applyAlignment="1">
      <s:alignment horizontal="right" mc:Ignorable="vyd"/>
    </s:xf>
    <s:xf numFmtId="165" fontId="3" fillId="0" borderId="0" xfId="0" applyNumberFormat="1" applyFont="1"/>
    <s:xf numFmtId="168" fontId="3" fillId="0" borderId="0" xfId="0" applyNumberFormat="1" applyFont="1"/>
    <s:xf numFmtId="0" fontId="32" fillId="15" borderId="0" xfId="0" applyFont="1" applyFill="1"/>
    <s:xf numFmtId="165" fontId="3" fillId="15" borderId="0" xfId="0" applyNumberFormat="1" applyFont="1" applyFill="1"/>
    <s:xf numFmtId="168" fontId="3" fillId="15" borderId="0" xfId="0" applyNumberFormat="1" applyFont="1" applyFill="1"/>
    <s:xf numFmtId="0" fontId="27" fillId="15" borderId="0" xfId="0" applyFont="1" applyFill="1"/>
    <s:xf numFmtId="16" fontId="16" fillId="15" borderId="24" xfId="0" applyNumberFormat="1" applyFont="1" applyFill="1" applyBorder="1" applyAlignment="1">
      <s:alignment horizontal="center" vertical="top" wrapText="1" mc:Ignorable="vyd"/>
    </s:xf>
    <s:xf numFmtId="0" fontId="16" fillId="15" borderId="24" xfId="0" applyFont="1" applyFill="1" applyBorder="1" applyAlignment="1">
      <s:alignment horizontal="center" vertical="top" wrapText="1" mc:Ignorable="vyd"/>
    </s:xf>
    <s:xf numFmtId="4" fontId="16" fillId="15" borderId="24" xfId="0" applyNumberFormat="1" applyFont="1" applyFill="1" applyBorder="1" applyAlignment="1">
      <s:alignment horizontal="center" vertical="top" wrapText="1" mc:Ignorable="vyd"/>
    </s:xf>
    <s:xf numFmtId="3" fontId="16" fillId="15" borderId="66" xfId="0" applyNumberFormat="1" applyFont="1" applyFill="1" applyBorder="1" applyAlignment="1">
      <s:alignment horizontal="center" vertical="top" wrapText="1" mc:Ignorable="vyd"/>
    </s:xf>
    <s:xf numFmtId="3" fontId="16" fillId="15" borderId="24" xfId="0" applyNumberFormat="1" applyFont="1" applyFill="1" applyBorder="1" applyAlignment="1">
      <s:alignment horizontal="center" vertical="top" wrapText="1" mc:Ignorable="vyd"/>
    </s:xf>
    <s:xf numFmtId="3" fontId="16" fillId="15" borderId="65" xfId="0" applyNumberFormat="1" applyFont="1" applyFill="1" applyBorder="1" applyAlignment="1">
      <s:alignment horizontal="center" vertical="top" wrapText="1" mc:Ignorable="vyd"/>
    </s:xf>
    <s:xf numFmtId="4" fontId="16" fillId="15" borderId="0" xfId="0" applyNumberFormat="1" applyFont="1" applyFill="1" applyAlignment="1">
      <s:alignment horizontal="center" vertical="top" wrapText="1" mc:Ignorable="vyd"/>
    </s:xf>
    <s:xf numFmtId="0" fontId="29" fillId="15" borderId="0" xfId="0" applyFont="1" applyFill="1"/>
    <s:xf numFmtId="0" fontId="11" fillId="5" borderId="0" xfId="0" applyFont="1" applyFill="1"/>
    <s:xf numFmtId="0" fontId="3" fillId="5" borderId="0" xfId="0" applyFont="1" applyFill="1"/>
    <s:xf numFmtId="0" fontId="16" fillId="5" borderId="0" xfId="0" applyFont="1" applyFill="1"/>
    <s:xf numFmtId="0" fontId="10" fillId="5" borderId="0" xfId="0" applyFont="1" applyFill="1"/>
    <s:xf numFmtId="164" fontId="17" fillId="5" borderId="0" xfId="0" applyNumberFormat="1" applyFont="1" applyFill="1" applyAlignment="1">
      <s:alignment horizontal="center" vertical="center" mc:Ignorable="vyd"/>
    </s:xf>
    <s:xf numFmtId="9" fontId="11" fillId="5" borderId="67" xfId="1" applyFont="1" applyFill="1" applyBorder="1" applyProtection="1"/>
    <s:xf numFmtId="0" fontId="36" fillId="5" borderId="0" xfId="0" applyFont="1" applyFill="1"/>
    <s:xf numFmtId="0" fontId="26" fillId="14" borderId="24" xfId="0" applyFont="1" applyFill="1" applyBorder="1" applyAlignment="1">
      <s:alignment horizontal="center" vertical="center" wrapText="1" mc:Ignorable="vyd"/>
    </s:xf>
    <s:xf numFmtId="0" fontId="3" fillId="0" borderId="68" xfId="0" applyFont="1" applyBorder="1"/>
    <s:xf numFmtId="0" fontId="16" fillId="14" borderId="23" xfId="0" applyFont="1" applyFill="1" applyBorder="1" applyAlignment="1">
      <s:alignment horizontal="center" vertical="top" wrapText="1" mc:Ignorable="vyd"/>
    </s:xf>
    <s:xf numFmtId="0" fontId="16" fillId="14" borderId="24" xfId="0" applyFont="1" applyFill="1" applyBorder="1" applyAlignment="1">
      <s:alignment horizontal="center" vertical="top" wrapText="1" mc:Ignorable="vyd"/>
    </s:xf>
    <s:xf numFmtId="0" fontId="17" fillId="14" borderId="24" xfId="0" applyFont="1" applyFill="1" applyBorder="1" applyAlignment="1">
      <s:alignment horizontal="center" vertical="top" wrapText="1" mc:Ignorable="vyd"/>
    </s:xf>
    <s:xf numFmtId="16" fontId="16" fillId="0" borderId="25" xfId="0" applyNumberFormat="1" applyFont="1" applyBorder="1" applyAlignment="1">
      <s:alignment horizontal="center" vertical="top" mc:Ignorable="vyd"/>
    </s:xf>
    <s:xf numFmtId="0" fontId="16" fillId="0" borderId="64" xfId="0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0" fontId="16" fillId="15" borderId="64" xfId="0" applyFont="1" applyFill="1" applyBorder="1" applyAlignment="1">
      <s:alignment horizontal="center" vertical="top" mc:Ignorable="vyd"/>
    </s:xf>
    <s:xf numFmtId="16" fontId="16" fillId="15" borderId="25" xfId="0" applyNumberFormat="1" applyFont="1" applyFill="1" applyBorder="1" applyAlignment="1">
      <s:alignment horizontal="center" vertical="top" mc:Ignorable="vyd"/>
    </s:xf>
    <s:xf numFmtId="10" fontId="16" fillId="15" borderId="0" xfId="0" applyNumberFormat="1" applyFont="1" applyFill="1" applyAlignment="1">
      <s:alignment horizontal="center" vertical="top" mc:Ignorable="vyd"/>
    </s:xf>
    <s:xf numFmtId="0" fontId="16" fillId="15" borderId="19" xfId="0" applyFont="1" applyFill="1" applyBorder="1" applyAlignment="1">
      <s:alignment horizontal="center" vertical="top" mc:Ignorable="vyd"/>
    </s:xf>
    <s:xf numFmtId="0" fontId="0" fillId="15" borderId="24" xfId="0" applyFill="1" applyBorder="1"/>
    <s:xf numFmtId="16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4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3" fontId="16" fillId="15" borderId="24" xfId="0" applyNumberFormat="1" applyFont="1" applyFill="1" applyBorder="1" applyAlignment="1" applyProtection="1">
      <s:alignment horizontal="center" vertical="top" mc:Ignorable="vyd"/>
      <s:protection locked="0"/>
    </s:xf>
    <s:xf numFmtId="9" fontId="3" fillId="15" borderId="24" xfId="1" applyFont="1" applyFill="1" applyBorder="1" applyAlignment="1" applyProtection="1">
      <s:alignment horizontal="center" vertical="center" mc:Ignorable="vyd"/>
    </s:xf>
    <s:xf numFmtId="165" fontId="3" fillId="15" borderId="0" xfId="1" applyNumberFormat="1" applyFont="1" applyFill="1" applyProtection="1"/>
    <s:xf numFmtId="0" fontId="17" fillId="15" borderId="24" xfId="0" applyFont="1" applyFill="1" applyBorder="1" applyAlignment="1">
      <s:alignment horizontal="center" vertical="top" mc:Ignorable="vyd"/>
    </s:xf>
    <s:xf numFmtId="0" fontId="3" fillId="0" borderId="24" xfId="0" applyFont="1" applyBorder="1"/>
    <s:xf numFmtId="4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3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9" fontId="3" fillId="0" borderId="24" xfId="1" applyFont="1" applyBorder="1" applyAlignment="1" applyProtection="1">
      <s:alignment horizontal="center" vertical="center" mc:Ignorable="vyd"/>
    </s:xf>
    <s:xf numFmtId="165" fontId="3" fillId="0" borderId="0" xfId="1" applyNumberFormat="1" applyFont="1" applyProtection="1"/>
    <s:xf numFmtId="165" fontId="3" fillId="0" borderId="0" xfId="1" applyNumberFormat="1" applyFont="1" applyAlignment="1" applyProtection="1">
      <s:alignment vertical="center" mc:Ignorable="vyd"/>
    </s:xf>
    <s:xf numFmtId="0" fontId="16" fillId="0" borderId="65" xfId="0" applyFont="1" applyBorder="1" applyAlignment="1">
      <s:alignment horizontal="center" vertical="top" mc:Ignorable="vyd"/>
    </s:xf>
    <s:xf numFmtId="3" fontId="16" fillId="17" borderId="24" xfId="0" applyNumberFormat="1" applyFont="1" applyFill="1" applyBorder="1" applyAlignment="1">
      <s:alignment horizontal="center" vertical="top" mc:Ignorable="vyd"/>
    </s:xf>
    <s:xf numFmtId="4" fontId="16" fillId="17" borderId="24" xfId="0" applyNumberFormat="1" applyFont="1" applyFill="1" applyBorder="1" applyAlignment="1">
      <s:alignment horizontal="center" vertical="top" mc:Ignorable="vyd"/>
    </s:xf>
    <s:xf numFmtId="165" fontId="16" fillId="17" borderId="24" xfId="0" applyNumberFormat="1" applyFont="1" applyFill="1" applyBorder="1" applyAlignment="1">
      <s:alignment horizontal="center" vertical="top" mc:Ignorable="vyd"/>
    </s:xf>
    <s:xf numFmtId="9" fontId="3" fillId="17" borderId="24" xfId="1" applyFont="1" applyFill="1" applyBorder="1" applyAlignment="1" applyProtection="1">
      <s:alignment horizontal="center" vertical="center" mc:Ignorable="vyd"/>
    </s:xf>
    <s:xf numFmtId="3" fontId="16" fillId="17" borderId="24" xfId="0" applyNumberFormat="1" applyFont="1" applyFill="1" applyBorder="1" applyAlignment="1">
      <s:alignment horizontal="center" mc:Ignorable="vyd"/>
    </s:xf>
    <s:xf numFmtId="3" fontId="16" fillId="17" borderId="24" xfId="0" applyNumberFormat="1" applyFont="1" applyFill="1" applyBorder="1" applyAlignment="1">
      <s:alignment horizontal="right" mc:Ignorable="vyd"/>
    </s:xf>
    <s:xf numFmtId="165" fontId="16" fillId="0" borderId="0" xfId="1" applyNumberFormat="1" applyFont="1" applyProtection="1"/>
    <s:xf numFmtId="9" fontId="30" fillId="0" borderId="0" xfId="1" applyFont="1" applyProtection="1"/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37" fillId="12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69" xfId="0" applyFont="1" applyBorder="1" applyAlignment="1">
      <s:alignment horizontal="center" vertical="center" mc:Ignorable="vyd"/>
    </s:xf>
    <s:xf numFmtId="0" fontId="21" fillId="18" borderId="71" xfId="0" applyFont="1" applyFill="1" applyBorder="1" applyAlignment="1">
      <s:alignment horizontal="center" vertical="center" wrapText="1" mc:Ignorable="vyd"/>
    </s:xf>
    <s:xf numFmtId="0" fontId="21" fillId="18" borderId="72" xfId="0" applyFont="1" applyFill="1" applyBorder="1" applyAlignment="1">
      <s:alignment horizontal="center" vertical="center" wrapText="1" mc:Ignorable="vyd"/>
    </s:xf>
    <s:xf numFmtId="0" fontId="21" fillId="18" borderId="18" xfId="0" applyFont="1" applyFill="1" applyBorder="1" applyAlignment="1">
      <s:alignment horizontal="center" vertical="center" wrapText="1" mc:Ignorable="vyd"/>
    </s:xf>
    <s:xf numFmtId="0" fontId="21" fillId="18" borderId="47" xfId="0" applyFont="1" applyFill="1" applyBorder="1" applyAlignment="1">
      <s:alignment horizontal="center" vertical="center" wrapText="1" mc:Ignorable="vyd"/>
    </s:xf>
    <s:xf numFmtId="0" fontId="21" fillId="18" borderId="48" xfId="0" applyFont="1" applyFill="1" applyBorder="1" applyAlignment="1">
      <s:alignment horizontal="center" vertical="center" wrapText="1" mc:Ignorable="vyd"/>
    </s:xf>
    <s:xf numFmtId="0" fontId="21" fillId="18" borderId="40" xfId="0" applyFont="1" applyFill="1" applyBorder="1" applyAlignment="1">
      <s:alignment horizontal="center" vertical="center" wrapText="1" mc:Ignorable="vyd"/>
    </s:xf>
    <s:xf numFmtId="0" fontId="21" fillId="18" borderId="73" xfId="0" applyFont="1" applyFill="1" applyBorder="1" applyAlignment="1">
      <s:alignment horizontal="center" vertical="center" wrapText="1" mc:Ignorable="vyd"/>
    </s:xf>
    <s:xf numFmtId="0" fontId="21" fillId="18" borderId="74" xfId="0" applyFont="1" applyFill="1" applyBorder="1" applyAlignment="1">
      <s:alignment horizontal="center" vertical="center" wrapText="1" mc:Ignorable="vyd"/>
    </s:xf>
    <s:xf numFmtId="0" fontId="21" fillId="18" borderId="60" xfId="0" applyFont="1" applyFill="1" applyBorder="1" applyAlignment="1">
      <s:alignment horizontal="center" vertical="center" wrapText="1" mc:Ignorable="vyd"/>
    </s:xf>
    <s:xf numFmtId="0" fontId="21" fillId="18" borderId="75" xfId="0" applyFont="1" applyFill="1" applyBorder="1" applyAlignment="1">
      <s:alignment horizontal="center" vertical="center" wrapText="1" mc:Ignorable="vyd"/>
    </s:xf>
    <s:xf numFmtId="171" fontId="37" fillId="19" borderId="77" xfId="0" applyNumberFormat="1" applyFont="1" applyFill="1" applyBorder="1" applyAlignment="1">
      <s:alignment horizontal="right" vertical="top" wrapText="1" indent="1" mc:Ignorable="vyd"/>
    </s:xf>
    <s:xf numFmtId="171" fontId="37" fillId="19" borderId="74" xfId="0" applyNumberFormat="1" applyFont="1" applyFill="1" applyBorder="1" applyAlignment="1">
      <s:alignment horizontal="right" vertical="top" wrapText="1" mc:Ignorable="vyd"/>
    </s:xf>
    <s:xf numFmtId="171" fontId="37" fillId="19" borderId="78" xfId="0" applyNumberFormat="1" applyFont="1" applyFill="1" applyBorder="1" applyAlignment="1">
      <s:alignment horizontal="right" vertical="top" wrapText="1" indent="1" mc:Ignorable="vyd"/>
    </s:xf>
    <s:xf numFmtId="171" fontId="37" fillId="19" borderId="54" xfId="0" applyNumberFormat="1" applyFont="1" applyFill="1" applyBorder="1" applyAlignment="1">
      <s:alignment horizontal="right" vertical="top" wrapText="1" indent="1" mc:Ignorable="vyd"/>
    </s:xf>
    <s:xf numFmtId="171" fontId="37" fillId="19" borderId="34" xfId="0" applyNumberFormat="1" applyFont="1" applyFill="1" applyBorder="1" applyAlignment="1">
      <s:alignment horizontal="right" vertical="top" wrapText="1" indent="1" mc:Ignorable="vyd"/>
    </s:xf>
    <s:xf numFmtId="171" fontId="37" fillId="19" borderId="35" xfId="0" applyNumberFormat="1" applyFont="1" applyFill="1" applyBorder="1" applyAlignment="1">
      <s:alignment horizontal="right" vertical="top" wrapText="1" indent="1" mc:Ignorable="vyd"/>
    </s:xf>
    <s:xf numFmtId="171" fontId="37" fillId="0" borderId="37" xfId="0" applyNumberFormat="1" applyFont="1" applyBorder="1" applyAlignment="1">
      <s:alignment horizontal="right" vertical="top" wrapText="1" indent="1" mc:Ignorable="vyd"/>
    </s:xf>
    <s:xf numFmtId="171" fontId="37" fillId="0" borderId="73" xfId="0" applyNumberFormat="1" applyFont="1" applyBorder="1" applyAlignment="1">
      <s:alignment horizontal="right" vertical="top" wrapText="1" indent="1" mc:Ignorable="vyd"/>
    </s:xf>
    <s:xf numFmtId="171" fontId="37" fillId="19" borderId="74" xfId="0" applyNumberFormat="1" applyFont="1" applyFill="1" applyBorder="1" applyAlignment="1">
      <s:alignment horizontal="right" vertical="top" wrapText="1" indent="1" mc:Ignorable="vyd"/>
    </s:xf>
    <s:xf numFmtId="171" fontId="37" fillId="19" borderId="79" xfId="0" applyNumberFormat="1" applyFont="1" applyFill="1" applyBorder="1" applyAlignment="1">
      <s:alignment horizontal="right" vertical="top" wrapText="1" indent="1" mc:Ignorable="vyd"/>
    </s:xf>
    <s:xf numFmtId="171" fontId="37" fillId="19" borderId="75" xfId="0" applyNumberFormat="1" applyFont="1" applyFill="1" applyBorder="1" applyAlignment="1">
      <s:alignment horizontal="right" vertical="top" wrapText="1" mc:Ignorable="vyd"/>
    </s:xf>
    <s:xf numFmtId="0" fontId="38" fillId="4" borderId="80" xfId="0" applyFont="1" applyFill="1" applyBorder="1" applyAlignment="1">
      <s:alignment horizontal="left" vertical="top" mc:Ignorable="vyd"/>
    </s:xf>
    <s:xf numFmtId="0" fontId="39" fillId="4" borderId="0" xfId="0" applyFont="1" applyFill="1" applyAlignment="1">
      <s:alignment horizontal="left" vertical="top" mc:Ignorable="vyd"/>
    </s:xf>
    <s:xf numFmtId="0" fontId="38" fillId="4" borderId="0" xfId="0" applyFont="1" applyFill="1" applyAlignment="1">
      <s:alignment horizontal="left" vertical="top" mc:Ignorable="vyd"/>
    </s:xf>
    <s:xf numFmtId="2" fontId="38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69" xfId="0" applyFont="1" applyFill="1" applyBorder="1" applyAlignment="1">
      <s:alignment horizontal="left" mc:Ignorable="vyd"/>
    </s:xf>
    <s:xf numFmtId="0" fontId="38" fillId="4" borderId="80" xfId="0" applyFont="1" applyFill="1" applyBorder="1" applyAlignment="1">
      <s:alignment horizontal="center" vertical="center" mc:Ignorable="vyd"/>
    </s:xf>
    <s:xf numFmtId="0" fontId="38" fillId="4" borderId="81" xfId="0" applyFont="1" applyFill="1" applyBorder="1" applyAlignment="1">
      <s:alignment horizontal="center" vertical="center" mc:Ignorable="vyd"/>
    </s:xf>
    <s:xf numFmtId="0" fontId="38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69" xfId="0" applyFont="1" applyFill="1" applyBorder="1" applyAlignment="1">
      <s:alignment horizontal="center" vertical="center" mc:Ignorable="vyd"/>
    </s:xf>
    <s:xf numFmtId="14" fontId="38" fillId="4" borderId="81" xfId="0" applyNumberFormat="1" applyFont="1" applyFill="1" applyBorder="1" applyAlignment="1">
      <s:alignment horizontal="center" vertical="top" mc:Ignorable="vyd"/>
    </s:xf>
    <s:xf numFmtId="4" fontId="38" fillId="4" borderId="81" xfId="0" applyNumberFormat="1" applyFont="1" applyFill="1" applyBorder="1" applyAlignment="1">
      <s:alignment horizontal="right" vertical="top" mc:Ignorable="vyd"/>
    </s:xf>
    <s:xf numFmtId="0" fontId="38" fillId="4" borderId="81" xfId="0" applyFont="1" applyFill="1" applyBorder="1" applyAlignment="1">
      <s:alignment horizontal="left" vertical="top" wrapText="1" mc:Ignorable="vyd"/>
    </s:xf>
    <s:xf numFmtId="0" fontId="38" fillId="20" borderId="80" xfId="0" applyFont="1" applyFill="1" applyBorder="1" applyAlignment="1">
      <s:alignment horizontal="left" vertical="top" mc:Ignorable="vyd"/>
    </s:xf>
    <s:xf numFmtId="0" fontId="38" fillId="20" borderId="0" xfId="0" applyFont="1" applyFill="1" applyAlignment="1">
      <s:alignment horizontal="left" vertical="top" mc:Ignorable="vyd"/>
    </s:xf>
    <s:xf numFmtId="4" fontId="39" fillId="20" borderId="0" xfId="0" applyNumberFormat="1" applyFont="1" applyFill="1" applyAlignment="1">
      <s:alignment horizontal="right" vertical="top" mc:Ignorable="vyd"/>
    </s:xf>
    <s:xf numFmtId="0" fontId="38" fillId="20" borderId="0" xfId="0" applyFont="1" applyFill="1" applyAlignment="1">
      <s:alignment horizontal="right" vertical="top" mc:Ignorable="vyd"/>
    </s:xf>
    <s:xf numFmtId="0" fontId="16" fillId="20" borderId="0" xfId="0" applyFont="1" applyFill="1" applyAlignment="1">
      <s:alignment horizontal="left" mc:Ignorable="vyd"/>
    </s:xf>
    <s:xf numFmtId="2" fontId="39" fillId="20" borderId="0" xfId="0" applyNumberFormat="1" applyFont="1" applyFill="1" applyAlignment="1">
      <s:alignment horizontal="left" vertical="top" mc:Ignorable="vyd"/>
    </s:xf>
    <s:xf numFmtId="2" fontId="38" fillId="20" borderId="0" xfId="0" applyNumberFormat="1" applyFont="1" applyFill="1" applyAlignment="1">
      <s:alignment horizontal="left" vertical="top" mc:Ignorable="vyd"/>
    </s:xf>
    <s:xf numFmtId="0" fontId="16" fillId="20" borderId="69" xfId="0" applyFont="1" applyFill="1" applyBorder="1" applyAlignment="1">
      <s:alignment horizontal="left" mc:Ignorable="vyd"/>
    </s:xf>
    <s:xf numFmtId="0" fontId="38" fillId="4" borderId="0" xfId="0" applyFont="1" applyFill="1" applyAlignment="1">
      <s:alignment horizontal="center" vertical="center" wrapText="1" mc:Ignorable="vyd"/>
    </s:xf>
    <s:xf numFmtId="0" fontId="38" fillId="4" borderId="80" xfId="0" applyFont="1" applyFill="1" applyBorder="1" applyAlignment="1">
      <s:alignment horizontal="center" vertical="center" wrapText="1" mc:Ignorable="vyd"/>
    </s:xf>
    <s:xf numFmtId="0" fontId="39" fillId="4" borderId="0" xfId="0" applyFont="1" applyFill="1" applyAlignment="1">
      <s:alignment horizontal="left" vertical="top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84" xfId="0" applyFont="1" applyFill="1" applyBorder="1" applyAlignment="1">
      <s:alignment horizontal="center" vertical="center" wrapText="1" mc:Ignorable="vyd"/>
    </s:xf>
    <s:xf numFmtId="0" fontId="16" fillId="4" borderId="69" xfId="0" applyFont="1" applyFill="1" applyBorder="1" applyAlignment="1">
      <s:alignment horizontal="center" vertical="center" wrapText="1" mc:Ignorable="vyd"/>
    </s:xf>
    <s:xf numFmtId="0" fontId="38" fillId="4" borderId="81" xfId="0" applyFont="1" applyFill="1" applyBorder="1" applyAlignment="1">
      <s:alignment horizontal="center" vertical="center" wrapText="1" mc:Ignorable="vyd"/>
    </s:xf>
    <s:xf numFmtId="0" fontId="38" fillId="4" borderId="82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38" fillId="4" borderId="81" xfId="0" applyNumberFormat="1" applyFont="1" applyFill="1" applyBorder="1" applyAlignment="1">
      <s:alignment horizontal="center" vertical="top" mc:Ignorable="vyd"/>
    </s:xf>
    <s:xf numFmtId="0" fontId="38" fillId="4" borderId="81" xfId="0" applyFont="1" applyFill="1" applyBorder="1" applyAlignment="1">
      <s:alignment horizontal="left" vertical="top" mc:Ignorable="vyd"/>
    </s:xf>
    <s:xf numFmtId="0" fontId="38" fillId="4" borderId="82" xfId="0" applyFont="1" applyFill="1" applyBorder="1" applyAlignment="1">
      <s:alignment horizontal="left" vertical="top" mc:Ignorable="vyd"/>
    </s:xf>
    <s:xf numFmtId="172" fontId="38" fillId="4" borderId="82" xfId="0" applyNumberFormat="1" applyFont="1" applyFill="1" applyBorder="1" applyAlignment="1">
      <s:alignment horizontal="center" vertical="top" mc:Ignorable="vyd"/>
    </s:xf>
    <s:xf numFmtId="2" fontId="38" fillId="4" borderId="82" xfId="0" applyNumberFormat="1" applyFont="1" applyFill="1" applyBorder="1" applyAlignment="1">
      <s:alignment horizontal="center" vertical="top" mc:Ignorable="vyd"/>
    </s:xf>
    <s:xf numFmtId="2" fontId="39" fillId="4" borderId="81" xfId="0" applyNumberFormat="1" applyFont="1" applyFill="1" applyBorder="1" applyAlignment="1">
      <s:alignment horizontal="right" vertical="center" wrapText="1" indent="1" mc:Ignorable="vyd"/>
    </s:xf>
    <s:xf numFmtId="4" fontId="38" fillId="4" borderId="0" xfId="0" applyNumberFormat="1" applyFont="1" applyFill="1" applyAlignment="1">
      <s:alignment horizontal="left" vertical="top" mc:Ignorable="vyd"/>
    </s:xf>
    <s:xf numFmtId="10" fontId="38" fillId="4" borderId="81" xfId="0" applyNumberFormat="1" applyFont="1" applyFill="1" applyBorder="1" applyAlignment="1">
      <s:alignment horizontal="center" vertical="top" mc:Ignorable="vyd"/>
    </s:xf>
    <s:xf numFmtId="0" fontId="38" fillId="4" borderId="81" xfId="0" applyFont="1" applyFill="1" applyBorder="1" applyAlignment="1">
      <s:alignment horizontal="left" vertical="center" mc:Ignorable="vyd"/>
    </s:xf>
    <s:xf numFmtId="172" fontId="38" fillId="4" borderId="82" xfId="0" applyNumberFormat="1" applyFont="1" applyFill="1" applyBorder="1" applyAlignment="1">
      <s:alignment horizontal="center" vertical="center" wrapText="1" mc:Ignorable="vyd"/>
    </s:xf>
    <s:xf numFmtId="10" fontId="38" fillId="4" borderId="81" xfId="0" applyNumberFormat="1" applyFont="1" applyFill="1" applyBorder="1" applyAlignment="1">
      <s:alignment horizontal="center" vertical="center" wrapText="1" mc:Ignorable="vyd"/>
    </s:xf>
    <s:xf numFmtId="0" fontId="38" fillId="4" borderId="0" xfId="0" applyFont="1" applyFill="1" applyAlignment="1">
      <s:alignment horizontal="left" vertical="center" mc:Ignorable="vyd"/>
    </s:xf>
    <s:xf numFmtId="172" fontId="38" fillId="4" borderId="0" xfId="0" applyNumberFormat="1" applyFont="1" applyFill="1" applyAlignment="1">
      <s:alignment horizontal="center" vertical="center" wrapText="1" mc:Ignorable="vyd"/>
    </s:xf>
    <s:xf numFmtId="2" fontId="39" fillId="4" borderId="0" xfId="0" applyNumberFormat="1" applyFont="1" applyFill="1" applyAlignment="1">
      <s:alignment horizontal="right" vertical="center" wrapText="1" mc:Ignorable="vyd"/>
    </s:xf>
    <s:xf numFmtId="4" fontId="17" fillId="20" borderId="0" xfId="0" applyNumberFormat="1" applyFont="1" applyFill="1" applyAlignment="1">
      <s:alignment horizontal="right" mc:Ignorable="vyd"/>
    </s:xf>
    <s:xf numFmtId="0" fontId="16" fillId="20" borderId="0" xfId="0" applyFont="1" applyFill="1" applyAlignment="1">
      <s:alignment horizontal="right" mc:Ignorable="vyd"/>
    </s:xf>
    <s:xf numFmtId="2" fontId="16" fillId="20" borderId="0" xfId="0" applyNumberFormat="1" applyFont="1" applyFill="1" applyAlignment="1">
      <s:alignment horizontal="left" mc:Ignorable="vyd"/>
    </s:xf>
    <s:xf numFmtId="0" fontId="16" fillId="4" borderId="80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69" xfId="0" applyFont="1" applyBorder="1"/>
    <s:xf numFmtId="0" fontId="39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59" xfId="0" applyFont="1" applyFill="1" applyBorder="1" applyAlignment="1">
      <s:alignment horizontal="left" mc:Ignorable="vyd"/>
    </s:xf>
    <s:xf numFmtId="0" fontId="16" fillId="4" borderId="80" xfId="0" applyFont="1" applyFill="1" applyBorder="1" applyAlignment="1">
      <s:alignment horizontal="center" vertical="center" wrapText="1" mc:Ignorable="vyd"/>
    </s:xf>
    <s:xf numFmtId="0" fontId="38" fillId="4" borderId="24" xfId="0" applyFont="1" applyFill="1" applyBorder="1" applyAlignment="1">
      <s:alignment horizontal="center" vertical="center" wrapText="1" mc:Ignorable="vyd"/>
    </s:xf>
    <s:xf numFmtId="0" fontId="38" fillId="4" borderId="26" xfId="0" applyFont="1" applyFill="1" applyBorder="1" applyAlignment="1">
      <s:alignment horizontal="center" vertical="center" wrapText="1" mc:Ignorable="vyd"/>
    </s:xf>
    <s:xf numFmtId="2" fontId="39" fillId="4" borderId="81" xfId="0" applyNumberFormat="1" applyFont="1" applyFill="1" applyBorder="1" applyAlignment="1">
      <s:alignment horizontal="right" vertical="top" indent="1" mc:Ignorable="vyd"/>
    </s:xf>
    <s:xf numFmtId="3" fontId="38" fillId="4" borderId="24" xfId="0" applyNumberFormat="1" applyFont="1" applyFill="1" applyBorder="1" applyAlignment="1">
      <s:alignment horizontal="left" vertical="top" mc:Ignorable="vyd"/>
    </s:xf>
    <s:xf numFmtId="172" fontId="38" fillId="4" borderId="24" xfId="0" applyNumberFormat="1" applyFont="1" applyFill="1" applyBorder="1" applyAlignment="1">
      <s:alignment vertical="top" mc:Ignorable="vyd"/>
    </s:xf>
    <s:xf numFmtId="3" fontId="16" fillId="4" borderId="24" xfId="0" applyNumberFormat="1" applyFont="1" applyFill="1" applyBorder="1" applyAlignment="1">
      <s:alignment vertical="top" mc:Ignorable="vyd"/>
    </s:xf>
    <s:xf numFmtId="10" fontId="38" fillId="4" borderId="24" xfId="0" applyNumberFormat="1" applyFont="1" applyFill="1" applyBorder="1" applyAlignment="1">
      <s:alignment horizontal="center" vertical="top" mc:Ignorable="vyd"/>
    </s:xf>
    <s:xf numFmtId="2" fontId="39" fillId="4" borderId="26" xfId="0" applyNumberFormat="1" applyFont="1" applyFill="1" applyBorder="1" applyAlignment="1">
      <s:alignment horizontal="right" vertical="top" indent="1" mc:Ignorable="vyd"/>
    </s:xf>
    <s:xf numFmtId="4" fontId="38" fillId="4" borderId="81" xfId="0" applyNumberFormat="1" applyFont="1" applyFill="1" applyBorder="1" applyAlignment="1">
      <s:alignment horizontal="right" vertical="center" wrapText="1" mc:Ignorable="vyd"/>
    </s:xf>
    <s:xf numFmtId="3" fontId="38" fillId="4" borderId="24" xfId="0" applyNumberFormat="1" applyFont="1" applyFill="1" applyBorder="1" applyAlignment="1">
      <s:alignment horizontal="left" vertical="top" wrapText="1" mc:Ignorable="vyd"/>
    </s:xf>
    <s:xf numFmtId="0" fontId="38" fillId="4" borderId="24" xfId="0" applyFont="1" applyFill="1" applyBorder="1" applyAlignment="1">
      <s:alignment vertical="center" mc:Ignorable="vyd"/>
    </s:xf>
    <s:xf numFmtId="172" fontId="38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38" fillId="4" borderId="24" xfId="0" applyNumberFormat="1" applyFont="1" applyFill="1" applyBorder="1" applyAlignment="1">
      <s:alignment horizontal="center" vertical="top" wrapText="1" mc:Ignorable="vyd"/>
    </s:xf>
    <s:xf numFmtId="2" fontId="39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21" fillId="18" borderId="11" xfId="0" applyFont="1" applyFill="1" applyBorder="1" applyAlignment="1">
      <s:alignment horizontal="center" vertical="center" wrapText="1" mc:Ignorable="vyd"/>
    </s:xf>
    <s:xf numFmtId="171" fontId="21" fillId="19" borderId="77" xfId="0" applyNumberFormat="1" applyFont="1" applyFill="1" applyBorder="1" applyAlignment="1">
      <s:alignment horizontal="right" vertical="top" wrapText="1" indent="1" mc:Ignorable="vyd"/>
    </s:xf>
    <s:xf numFmtId="171" fontId="21" fillId="19" borderId="74" xfId="0" applyNumberFormat="1" applyFont="1" applyFill="1" applyBorder="1" applyAlignment="1">
      <s:alignment horizontal="right" vertical="top" wrapText="1" mc:Ignorable="vyd"/>
    </s:xf>
    <s:xf numFmtId="171" fontId="21" fillId="19" borderId="78" xfId="0" applyNumberFormat="1" applyFont="1" applyFill="1" applyBorder="1" applyAlignment="1">
      <s:alignment horizontal="right" vertical="top" wrapText="1" indent="1" mc:Ignorable="vyd"/>
    </s:xf>
    <s:xf numFmtId="171" fontId="21" fillId="19" borderId="54" xfId="0" applyNumberFormat="1" applyFont="1" applyFill="1" applyBorder="1" applyAlignment="1">
      <s:alignment horizontal="right" vertical="top" wrapText="1" indent="1" mc:Ignorable="vyd"/>
    </s:xf>
    <s:xf numFmtId="171" fontId="21" fillId="19" borderId="34" xfId="0" applyNumberFormat="1" applyFont="1" applyFill="1" applyBorder="1" applyAlignment="1">
      <s:alignment horizontal="right" vertical="top" wrapText="1" indent="1" mc:Ignorable="vyd"/>
    </s:xf>
    <s:xf numFmtId="171" fontId="21" fillId="19" borderId="35" xfId="0" applyNumberFormat="1" applyFont="1" applyFill="1" applyBorder="1" applyAlignment="1">
      <s:alignment horizontal="right" vertical="top" wrapText="1" indent="1" mc:Ignorable="vyd"/>
    </s:xf>
    <s:xf numFmtId="171" fontId="21" fillId="0" borderId="37" xfId="0" applyNumberFormat="1" applyFont="1" applyBorder="1" applyAlignment="1">
      <s:alignment horizontal="right" vertical="top" wrapText="1" indent="1" mc:Ignorable="vyd"/>
    </s:xf>
    <s:xf numFmtId="14" fontId="38" fillId="4" borderId="0" xfId="0" applyNumberFormat="1" applyFont="1" applyFill="1" applyAlignment="1">
      <s:alignment horizontal="center" vertical="top" mc:Ignorable="vyd"/>
    </s:xf>
    <s:xf numFmtId="4" fontId="38" fillId="4" borderId="0" xfId="0" applyNumberFormat="1" applyFont="1" applyFill="1" applyAlignment="1">
      <s:alignment horizontal="center" vertical="top" mc:Ignorable="vyd"/>
    </s:xf>
    <s:xf numFmtId="0" fontId="38" fillId="4" borderId="0" xfId="0" applyFont="1" applyFill="1" applyAlignment="1">
      <s:alignment horizontal="left" vertical="top" wrapText="1" mc:Ignorable="vyd"/>
    </s:xf>
    <s:xf numFmtId="2" fontId="38" fillId="4" borderId="81" xfId="0" applyNumberFormat="1" applyFont="1" applyFill="1" applyBorder="1" applyAlignment="1">
      <s:alignment horizontal="center" vertical="top" mc:Ignorable="vyd"/>
    </s:xf>
    <s:xf numFmtId="2" fontId="38" fillId="4" borderId="81" xfId="0" applyNumberFormat="1" applyFont="1" applyFill="1" applyBorder="1" applyAlignment="1">
      <s:alignment horizontal="center" vertical="center" wrapText="1" mc:Ignorable="vyd"/>
    </s:xf>
    <s:xf numFmtId="4" fontId="38" fillId="4" borderId="0" xfId="0" applyNumberFormat="1" applyFont="1" applyFill="1" applyAlignment="1">
      <s:alignment horizontal="right" vertical="top" mc:Ignorable="vyd"/>
    </s:xf>
    <s:xf numFmtId="0" fontId="37" fillId="21" borderId="85" xfId="0" applyFont="1" applyFill="1" applyBorder="1"/>
    <s:xf numFmtId="173" fontId="40" fillId="22" borderId="86" xfId="0" applyNumberFormat="1" applyFont="1" applyFill="1" applyBorder="1" applyAlignment="1" applyProtection="1">
      <s:alignment horizontal="left" mc:Ignorable="vyd"/>
      <s:protection locked="0"/>
    </s:xf>
    <s:xf numFmtId="0" fontId="21" fillId="21" borderId="87" xfId="0" applyFont="1" applyFill="1" applyBorder="1"/>
    <s:xf numFmtId="0" fontId="41" fillId="22" borderId="88" xfId="0" applyFont="1" applyFill="1" applyBorder="1" applyProtection="1">
      <s:protection locked="0"/>
    </s:xf>
    <s:xf numFmtId="0" fontId="42" fillId="21" borderId="0" xfId="0" applyFont="1" applyFill="1" applyAlignment="1">
      <s:alignment vertical="center" mc:Ignorable="vyd"/>
    </s:xf>
    <s:xf numFmtId="0" fontId="21" fillId="21" borderId="0" xfId="0" applyFont="1" applyFill="1"/>
    <s:xf numFmtId="0" fontId="41" fillId="23" borderId="89" xfId="0" applyFont="1" applyFill="1" applyBorder="1"/>
    <s:xf numFmtId="0" fontId="42" fillId="24" borderId="0" xfId="0" applyFont="1" applyFill="1" applyAlignment="1">
      <s:alignment vertical="center" mc:Ignorable="vyd"/>
    </s:xf>
    <s:xf numFmtId="0" fontId="21" fillId="24" borderId="0" xfId="0" applyFont="1" applyFill="1"/>
    <s:xf numFmtId="0" fontId="43" fillId="23" borderId="89" xfId="0" applyFont="1" applyFill="1" applyBorder="1"/>
    <s:xf numFmtId="0" fontId="41" fillId="23" borderId="90" xfId="0" applyFont="1" applyFill="1" applyBorder="1"/>
    <s:xf numFmtId="0" fontId="46" fillId="21" borderId="91" xfId="0" applyFont="1" applyFill="1" applyBorder="1" applyAlignment="1">
      <s:alignment horizontal="center" wrapText="1" mc:Ignorable="vyd"/>
    </s:xf>
    <s:xf numFmtId="0" fontId="37" fillId="21" borderId="94" xfId="0" applyFont="1" applyFill="1" applyBorder="1" applyAlignment="1">
      <s:alignment horizontal="center" mc:Ignorable="vyd"/>
    </s:xf>
    <s:xf numFmtId="0" fontId="21" fillId="25" borderId="0" xfId="0" applyFont="1" applyFill="1"/>
    <s:xf numFmtId="0" fontId="37" fillId="21" borderId="95" xfId="0" applyFont="1" applyFill="1" applyBorder="1"/>
    <s:xf numFmtId="2" fontId="46" fillId="21" borderId="96" xfId="0" applyNumberFormat="1" applyFont="1" applyFill="1" applyBorder="1" applyAlignment="1">
      <s:alignment horizontal="center" mc:Ignorable="vyd"/>
    </s:xf>
    <s:xf numFmtId="3" fontId="47" fillId="21" borderId="91" xfId="0" applyNumberFormat="1" applyFont="1" applyFill="1" applyBorder="1" applyAlignment="1">
      <s:alignment horizontal="center" mc:Ignorable="vyd"/>
    </s:xf>
    <s:xf numFmtId="10" fontId="21" fillId="25" borderId="0" xfId="0" applyNumberFormat="1" applyFont="1" applyFill="1"/>
    <s:xf numFmtId="0" fontId="37" fillId="21" borderId="97" xfId="0" applyFont="1" applyFill="1" applyBorder="1"/>
    <s:xf numFmtId="0" fontId="21" fillId="21" borderId="93" xfId="0" applyFont="1" applyFill="1" applyBorder="1"/>
    <s:xf numFmtId="0" fontId="21" fillId="21" borderId="98" xfId="0" applyFont="1" applyFill="1" applyBorder="1"/>
    <s:xf numFmtId="0" fontId="37" fillId="26" borderId="99" xfId="0" applyFont="1" applyFill="1" applyBorder="1" applyAlignment="1" applyProtection="1">
      <s:alignment wrapText="1" mc:Ignorable="vyd"/>
      <s:protection locked="0"/>
    </s:xf>
    <s:xf numFmtId="0" fontId="21" fillId="27" borderId="100" xfId="0" applyFont="1" applyFill="1" applyBorder="1"/>
    <s:xf numFmtId="0" fontId="37" fillId="28" borderId="100" xfId="0" applyFont="1" applyFill="1" applyBorder="1" applyAlignment="1">
      <s:alignment horizontal="center" vertical="center" wrapText="1" mc:Ignorable="vyd"/>
    </s:xf>
    <s:xf numFmtId="0" fontId="21" fillId="21" borderId="101" xfId="0" applyFont="1" applyFill="1" applyBorder="1"/>
    <s:xf numFmtId="0" fontId="21" fillId="21" borderId="102" xfId="0" applyFont="1" applyFill="1" applyBorder="1"/>
    <s:xf numFmtId="0" fontId="21" fillId="27" borderId="102" xfId="0" applyFont="1" applyFill="1" applyBorder="1"/>
    <s:xf numFmtId="0" fontId="37" fillId="28" borderId="103" xfId="0" applyFont="1" applyFill="1" applyBorder="1" applyAlignment="1">
      <s:alignment horizontal="center" vertical="center" wrapText="1" mc:Ignorable="vyd"/>
    </s:xf>
    <s:xf numFmtId="0" fontId="37" fillId="21" borderId="9" xfId="0" applyFont="1" applyFill="1" applyBorder="1" applyAlignment="1">
      <s:alignment vertical="center" wrapText="1" mc:Ignorable="vyd"/>
    </s:xf>
    <s:xf numFmtId="0" fontId="37" fillId="21" borderId="104" xfId="0" applyFont="1" applyFill="1" applyBorder="1" applyAlignment="1">
      <s:alignment horizontal="center" vertical="center" mc:Ignorable="vyd"/>
    </s:xf>
    <s:xf numFmtId="0" fontId="47" fillId="21" borderId="105" xfId="0" applyFont="1" applyFill="1" applyBorder="1" applyAlignment="1">
      <s:alignment horizontal="center" vertical="center" mc:Ignorable="vyd"/>
    </s:xf>
    <s:xf numFmtId="0" fontId="47" fillId="21" borderId="99" xfId="0" applyFont="1" applyFill="1" applyBorder="1" applyAlignment="1">
      <s:alignment horizontal="center" vertical="center" mc:Ignorable="vyd"/>
    </s:xf>
    <s:xf numFmtId="0" fontId="47" fillId="27" borderId="99" xfId="0" applyFont="1" applyFill="1" applyBorder="1" applyAlignment="1">
      <s:alignment horizontal="center" vertical="center" mc:Ignorable="vyd"/>
    </s:xf>
    <s:xf numFmtId="0" fontId="37" fillId="28" borderId="99" xfId="0" applyFont="1" applyFill="1" applyBorder="1" applyAlignment="1">
      <s:alignment horizontal="center" vertical="center" wrapText="1" mc:Ignorable="vyd"/>
    </s:xf>
    <s:xf numFmtId="0" fontId="37" fillId="28" borderId="106" xfId="0" applyFont="1" applyFill="1" applyBorder="1" applyAlignment="1">
      <s:alignment horizontal="center" vertical="center" wrapText="1" mc:Ignorable="vyd"/>
    </s:xf>
    <s:xf numFmtId="0" fontId="37" fillId="21" borderId="86" xfId="0" applyFont="1" applyFill="1" applyBorder="1"/>
    <s:xf numFmtId="0" fontId="48" fillId="0" borderId="109" xfId="0" applyFont="1" applyBorder="1"/>
    <s:xf numFmtId="0" fontId="21" fillId="0" borderId="110" xfId="0" applyFont="1" applyBorder="1"/>
    <s:xf numFmtId="0" fontId="3" fillId="0" borderId="110" xfId="0" applyFont="1" applyBorder="1"/>
    <s:xf numFmtId="0" fontId="21" fillId="0" borderId="111" xfId="0" applyFont="1" applyBorder="1"/>
    <s:xf numFmtId="3" fontId="21" fillId="27" borderId="19" xfId="0" applyNumberFormat="1" applyFont="1" applyFill="1" applyBorder="1" applyAlignment="1">
      <s:alignment horizontal="center" mc:Ignorable="vyd"/>
    </s:xf>
    <s:xf numFmtId="3" fontId="21" fillId="28" borderId="109" xfId="0" applyNumberFormat="1" applyFont="1" applyFill="1" applyBorder="1" applyAlignment="1">
      <s:alignment horizontal="center" mc:Ignorable="vyd"/>
    </s:xf>
    <s:xf numFmtId="3" fontId="21" fillId="28" borderId="110" xfId="0" applyNumberFormat="1" applyFont="1" applyFill="1" applyBorder="1" applyAlignment="1">
      <s:alignment horizontal="center" mc:Ignorable="vyd"/>
    </s:xf>
    <s:xf numFmtId="3" fontId="21" fillId="0" borderId="110" xfId="0" applyNumberFormat="1" applyFont="1" applyBorder="1" applyAlignment="1">
      <s:alignment horizontal="center" mc:Ignorable="vyd"/>
    </s:xf>
    <s:xf numFmtId="0" fontId="37" fillId="21" borderId="88" xfId="0" applyFont="1" applyFill="1" applyBorder="1"/>
    <s:xf numFmtId="0" fontId="48" fillId="0" borderId="112" xfId="0" applyFont="1" applyBorder="1"/>
    <s:xf numFmtId="0" fontId="21" fillId="0" borderId="113" xfId="0" applyFont="1" applyBorder="1"/>
    <s:xf numFmtId="0" fontId="3" fillId="0" borderId="113" xfId="0" applyFont="1" applyBorder="1"/>
    <s:xf numFmtId="0" fontId="21" fillId="0" borderId="114" xfId="0" applyFont="1" applyBorder="1"/>
    <s:xf numFmtId="3" fontId="21" fillId="27" borderId="24" xfId="0" applyNumberFormat="1" applyFont="1" applyFill="1" applyBorder="1" applyAlignment="1">
      <s:alignment horizontal="center" mc:Ignorable="vyd"/>
    </s:xf>
    <s:xf numFmtId="3" fontId="21" fillId="28" borderId="112" xfId="0" applyNumberFormat="1" applyFont="1" applyFill="1" applyBorder="1" applyAlignment="1">
      <s:alignment horizontal="center" mc:Ignorable="vyd"/>
    </s:xf>
    <s:xf numFmtId="3" fontId="21" fillId="28" borderId="113" xfId="0" applyNumberFormat="1" applyFont="1" applyFill="1" applyBorder="1" applyAlignment="1">
      <s:alignment horizontal="center" mc:Ignorable="vyd"/>
    </s:xf>
    <s:xf numFmtId="3" fontId="21" fillId="0" borderId="113" xfId="0" applyNumberFormat="1" applyFont="1" applyBorder="1" applyAlignment="1">
      <s:alignment horizontal="center" mc:Ignorable="vyd"/>
    </s:xf>
    <s:xf numFmtId="0" fontId="49" fillId="0" borderId="113" xfId="0" applyFont="1" applyBorder="1"/>
    <s:xf numFmtId="0" fontId="48" fillId="0" borderId="112" xfId="0" applyFont="1" applyBorder="1" applyProtection="1">
      <s:protection locked="0"/>
    </s:xf>
    <s:xf numFmtId="0" fontId="48" fillId="0" borderId="113" xfId="0" applyFont="1" applyBorder="1" applyProtection="1">
      <s:protection locked="0"/>
    </s:xf>
    <s:xf numFmtId="0" fontId="3" fillId="0" borderId="113" xfId="0" applyFont="1" applyBorder="1" applyProtection="1">
      <s:protection locked="0"/>
    </s:xf>
    <s:xf numFmtId="0" fontId="48" fillId="0" borderId="24" xfId="0" applyFont="1" applyBorder="1"/>
    <s:xf numFmtId="0" fontId="48" fillId="0" borderId="0" xfId="0" applyFont="1" applyProtection="1">
      <s:protection locked="0"/>
    </s:xf>
    <s:xf numFmtId="0" fontId="48" fillId="0" borderId="114" xfId="0" applyFont="1" applyBorder="1" applyProtection="1">
      <s:protection locked="0"/>
    </s:xf>
    <s:xf numFmtId="0" fontId="42" fillId="0" borderId="112" xfId="0" applyFont="1" applyBorder="1" applyProtection="1">
      <s:protection locked="0"/>
    </s:xf>
    <s:xf numFmtId="0" fontId="42" fillId="0" borderId="113" xfId="0" applyFont="1" applyBorder="1" applyProtection="1">
      <s:protection locked="0"/>
    </s:xf>
    <s:xf numFmtId="0" fontId="42" fillId="0" borderId="24" xfId="0" applyFont="1" applyBorder="1"/>
    <s:xf numFmtId="0" fontId="37" fillId="29" borderId="88" xfId="0" applyFont="1" applyFill="1" applyBorder="1" applyProtection="1">
      <s:protection locked="0"/>
    </s:xf>
    <s:xf numFmtId="0" fontId="42" fillId="30" borderId="24" xfId="0" applyFont="1" applyFill="1" applyBorder="1"/>
    <s:xf numFmtId="0" fontId="48" fillId="15" borderId="24" xfId="0" applyFont="1" applyFill="1" applyBorder="1"/>
    <s:xf numFmtId="0" fontId="48" fillId="15" borderId="113" xfId="0" applyFont="1" applyFill="1" applyBorder="1" applyProtection="1">
      <s:protection locked="0"/>
    </s:xf>
    <s:xf numFmtId="0" fontId="48" fillId="15" borderId="115" xfId="0" applyFont="1" applyFill="1" applyBorder="1" applyProtection="1">
      <s:protection locked="0"/>
    </s:xf>
    <s:xf numFmtId="3" fontId="21" fillId="31" borderId="24" xfId="0" applyNumberFormat="1" applyFont="1" applyFill="1" applyBorder="1" applyAlignment="1" applyProtection="1">
      <s:alignment horizontal="center" mc:Ignorable="vyd"/>
      <s:protection hidden="1"/>
    </s:xf>
    <s:xf numFmtId="3" fontId="21" fillId="32" borderId="112" xfId="0" applyNumberFormat="1" applyFont="1" applyFill="1" applyBorder="1" applyAlignment="1" applyProtection="1">
      <s:alignment horizontal="center" mc:Ignorable="vyd"/>
      <s:protection hidden="1"/>
    </s:xf>
    <s:xf numFmtId="3" fontId="21" fillId="32" borderId="11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3" xfId="0" applyNumberFormat="1" applyFont="1" applyBorder="1" applyAlignment="1" applyProtection="1">
      <s:alignment horizontal="center" mc:Ignorable="vyd"/>
      <s:protection hidden="1"/>
    </s:xf>
    <s:xf numFmtId="0" fontId="21" fillId="0" borderId="113" xfId="0" applyFont="1" applyBorder="1" applyAlignment="1" applyProtection="1">
      <s:alignment horizontal="center" mc:Ignorable="vyd"/>
      <s:protection locked="0"/>
    </s:xf>
    <s:xf numFmtId="0" fontId="50" fillId="21" borderId="88" xfId="0" applyFont="1" applyFill="1" applyBorder="1"/>
    <s:xf numFmtId="0" fontId="42" fillId="33" borderId="24" xfId="0" applyFont="1" applyFill="1" applyBorder="1"/>
    <s:xf numFmtId="3" fontId="48" fillId="27" borderId="24" xfId="0" applyNumberFormat="1" applyFont="1" applyFill="1" applyBorder="1" applyAlignment="1">
      <s:alignment horizontal="center" mc:Ignorable="vyd"/>
    </s:xf>
    <s:xf numFmtId="3" fontId="48" fillId="28" borderId="112" xfId="0" applyNumberFormat="1" applyFont="1" applyFill="1" applyBorder="1" applyAlignment="1">
      <s:alignment horizontal="center" mc:Ignorable="vyd"/>
    </s:xf>
    <s:xf numFmtId="3" fontId="48" fillId="28" borderId="113" xfId="0" applyNumberFormat="1" applyFont="1" applyFill="1" applyBorder="1" applyAlignment="1">
      <s:alignment horizontal="center" mc:Ignorable="vyd"/>
    </s:xf>
    <s:xf numFmtId="3" fontId="48" fillId="0" borderId="113" xfId="0" applyNumberFormat="1" applyFont="1" applyBorder="1" applyAlignment="1">
      <s:alignment horizontal="center" mc:Ignorable="vyd"/>
    </s:xf>
    <s:xf numFmtId="0" fontId="37" fillId="29" borderId="116" xfId="0" applyFont="1" applyFill="1" applyBorder="1" applyProtection="1">
      <s:protection locked="0"/>
    </s:xf>
    <s:xf numFmtId="0" fontId="42" fillId="0" borderId="24" xfId="0" applyFont="1" applyBorder="1" applyProtection="1">
      <s:protection locked="0"/>
    </s:xf>
    <s:xf numFmtId="3" fontId="21" fillId="31" borderId="2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15" xfId="0" applyNumberFormat="1" applyFont="1" applyBorder="1" applyAlignment="1" applyProtection="1">
      <s:alignment horizontal="center" mc:Ignorable="vyd"/>
      <s:protection hidden="1"/>
    </s:xf>
    <s:xf numFmtId="0" fontId="48" fillId="34" borderId="113" xfId="0" applyFont="1" applyFill="1" applyBorder="1" applyProtection="1">
      <s:protection locked="0"/>
    </s:xf>
    <s:xf numFmtId="0" fontId="42" fillId="0" borderId="117" xfId="0" applyFont="1" applyBorder="1" applyProtection="1">
      <s:protection locked="0"/>
    </s:xf>
    <s:xf numFmtId="0" fontId="50" fillId="21" borderId="118" xfId="0" applyFont="1" applyFill="1" applyBorder="1"/>
    <s:xf numFmtId="0" fontId="42" fillId="0" borderId="31" xfId="0" applyFont="1" applyBorder="1" applyProtection="1">
      <s:protection locked="0"/>
    </s:xf>
    <s:xf numFmtId="0" fontId="42" fillId="0" borderId="30" xfId="0" applyFont="1" applyBorder="1" applyProtection="1">
      <s:protection locked="0"/>
    </s:xf>
    <s:xf numFmtId="0" fontId="51" fillId="0" borderId="24" xfId="0" applyFont="1" applyBorder="1"/>
    <s:xf numFmtId="0" fontId="42" fillId="0" borderId="0" xfId="0" applyFont="1"/>
    <s:xf numFmtId="0" fontId="42" fillId="0" borderId="23" xfId="0" applyFont="1" applyBorder="1"/>
    <s:xf numFmtId="3" fontId="48" fillId="27" borderId="28" xfId="0" applyNumberFormat="1" applyFont="1" applyFill="1" applyBorder="1" applyAlignment="1">
      <s:alignment horizontal="center" mc:Ignorable="vyd"/>
    </s:xf>
    <s:xf numFmtId="3" fontId="48" fillId="28" borderId="115" xfId="0" applyNumberFormat="1" applyFont="1" applyFill="1" applyBorder="1" applyAlignment="1">
      <s:alignment horizontal="center" mc:Ignorable="vyd"/>
    </s:xf>
    <s:xf numFmtId="3" fontId="48" fillId="0" borderId="115" xfId="0" applyNumberFormat="1" applyFont="1" applyBorder="1" applyAlignment="1">
      <s:alignment horizontal="center" mc:Ignorable="vyd"/>
    </s:xf>
    <s:xf numFmtId="3" fontId="37" fillId="21" borderId="119" xfId="0" applyNumberFormat="1" applyFont="1" applyFill="1" applyBorder="1" applyAlignment="1">
      <s:alignment horizontal="center" mc:Ignorable="vyd"/>
    </s:xf>
    <s:xf numFmtId="3" fontId="37" fillId="27" borderId="99" xfId="0" applyNumberFormat="1" applyFont="1" applyFill="1" applyBorder="1" applyAlignment="1">
      <s:alignment horizontal="center" mc:Ignorable="vyd"/>
    </s:xf>
    <s:xf numFmtId="3" fontId="37" fillId="27" borderId="120" xfId="0" applyNumberFormat="1" applyFont="1" applyFill="1" applyBorder="1" applyAlignment="1">
      <s:alignment horizontal="center" mc:Ignorable="vyd"/>
    </s:xf>
    <s:xf numFmtId="3" fontId="37" fillId="27" borderId="119" xfId="0" applyNumberFormat="1" applyFont="1" applyFill="1" applyBorder="1" applyAlignment="1">
      <s:alignment horizontal="center" mc:Ignorable="vyd"/>
    </s:xf>
    <s:xf numFmtId="3" fontId="37" fillId="27" borderId="106" xfId="0" applyNumberFormat="1" applyFont="1" applyFill="1" applyBorder="1" applyAlignment="1">
      <s:alignment horizontal="center" mc:Ignorable="vyd"/>
    </s:xf>
    <s:xf numFmtId="3" fontId="37" fillId="27" borderId="12" xfId="0" applyNumberFormat="1" applyFont="1" applyFill="1" applyBorder="1" applyAlignment="1">
      <s:alignment horizontal="center" mc:Ignorable="vyd"/>
    </s:xf>
    <s:xf numFmtId="3" fontId="37" fillId="27" borderId="13" xfId="0" applyNumberFormat="1" applyFont="1" applyFill="1" applyBorder="1" applyAlignment="1">
      <s:alignment horizontal="center" mc:Ignorable="vyd"/>
    </s:xf>
    <s:xf numFmtId="0" fontId="15" fillId="10" borderId="24" xfId="0" applyFont="1" applyFill="1" applyBorder="1" applyAlignment="1">
      <s:alignment horizontal="center" vertical="center" mc:Ignorable="vyd"/>
    </s:xf>
    <s:xf numFmtId="0" fontId="25" fillId="10" borderId="24" xfId="0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9" fillId="0" borderId="32" xfId="0" applyFont="1" applyBorder="1" applyAlignment="1">
      <s:alignment horizontal="left" vertical="center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165" fontId="16" fillId="6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165" fontId="16" fillId="6" borderId="27" xfId="1" applyNumberFormat="1" applyFont="1" applyFill="1" applyBorder="1" applyAlignment="1" applyProtection="1">
      <s:alignment horizontal="center" vertical="center" wrapText="1" mc:Ignorable="vyd"/>
    </s:xf>
    <s:xf numFmtId="165" fontId="16" fillId="6" borderId="28" xfId="1" applyNumberFormat="1" applyFont="1" applyFill="1" applyBorder="1" applyAlignment="1" applyProtection="1">
      <s:alignment horizontal="center" vertical="center" wrapText="1" mc:Ignorable="vyd"/>
    </s:xf>
    <s:xf numFmtId="165" fontId="16" fillId="6" borderId="20" xfId="1" applyNumberFormat="1" applyFont="1" applyFill="1" applyBorder="1" applyAlignment="1" applyProtection="1">
      <s:alignment horizontal="center" vertical="center" wrapText="1" mc:Ignorable="vyd"/>
    </s:xf>
    <s:xf numFmtId="165" fontId="16" fillId="6" borderId="29" xfId="1" applyNumberFormat="1" applyFont="1" applyFill="1" applyBorder="1" applyAlignment="1" applyProtection="1">
      <s:alignment horizontal="center" vertical="center" wrapText="1" mc:Ignorable="vyd"/>
    </s:xf>
    <s:xf numFmtId="0" fontId="6" fillId="2" borderId="0" xfId="0" applyFont="1" applyFill="1" applyAlignment="1">
      <s:alignment horizontal="center" vertical="top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166" fontId="31" fillId="0" borderId="9" xfId="1" applyNumberFormat="1" applyFont="1" applyBorder="1" applyAlignment="1">
      <s:alignment horizontal="center" vertical="center" mc:Ignorable="vyd"/>
    </s:xf>
    <s:xf numFmtId="166" fontId="31" fillId="0" borderId="10" xfId="1" applyNumberFormat="1" applyFont="1" applyBorder="1" applyAlignment="1">
      <s:alignment horizontal="center" vertical="center" mc:Ignorable="vyd"/>
    </s:xf>
    <s:xf numFmtId="166" fontId="31" fillId="0" borderId="4" xfId="1" applyNumberFormat="1" applyFont="1" applyBorder="1" applyAlignment="1">
      <s:alignment horizontal="center" vertical="center" mc:Ignorable="vyd"/>
    </s:xf>
    <s:xf numFmtId="0" fontId="16" fillId="0" borderId="45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0" fontId="16" fillId="0" borderId="42" xfId="0" applyFont="1" applyBorder="1" applyAlignment="1">
      <s:alignment horizontal="left" vertical="center" mc:Ignorable="vyd"/>
    </s:xf>
    <s:xf numFmtId="0" fontId="16" fillId="0" borderId="36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5" fontId="31" fillId="0" borderId="9" xfId="0" applyNumberFormat="1" applyFont="1" applyBorder="1" applyAlignment="1">
      <s:alignment horizontal="center" vertical="center" mc:Ignorable="vyd"/>
    </s:xf>
    <s:xf numFmtId="5" fontId="31" fillId="0" borderId="10" xfId="0" applyNumberFormat="1" applyFont="1" applyBorder="1" applyAlignment="1">
      <s:alignment horizontal="center" vertical="center" mc:Ignorable="vyd"/>
    </s:xf>
    <s:xf numFmtId="5" fontId="31" fillId="0" borderId="4" xfId="0" applyNumberFormat="1" applyFont="1" applyBorder="1" applyAlignment="1">
      <s:alignment horizontal="center" vertical="center" mc:Ignorable="vyd"/>
    </s:xf>
    <s:xf numFmtId="0" fontId="16" fillId="0" borderId="45" xfId="0" applyFont="1" applyBorder="1" applyAlignment="1">
      <s:alignment horizontal="left" vertical="center" mc:Ignorable="vyd"/>
    </s:xf>
    <s:xf numFmtId="0" fontId="19" fillId="0" borderId="45" xfId="0" applyFont="1" applyBorder="1" applyAlignment="1">
      <s:alignment horizontal="left" vertical="center" mc:Ignorable="vyd"/>
    </s:xf>
    <s:xf numFmtId="166" fontId="31" fillId="0" borderId="51" xfId="1" applyNumberFormat="1" applyFont="1" applyBorder="1" applyAlignment="1" applyProtection="1">
      <s:alignment horizontal="center" vertical="center" mc:Ignorable="vyd"/>
    </s:xf>
    <s:xf numFmtId="166" fontId="31" fillId="0" borderId="52" xfId="1" applyNumberFormat="1" applyFont="1" applyBorder="1" applyAlignment="1" applyProtection="1">
      <s:alignment horizontal="center" vertical="center" mc:Ignorable="vyd"/>
    </s:xf>
    <s:xf numFmtId="166" fontId="31" fillId="0" borderId="56" xfId="1" applyNumberFormat="1" applyFont="1" applyBorder="1" applyAlignment="1" applyProtection="1">
      <s:alignment horizontal="center" vertical="center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3" xfId="0" applyFont="1" applyFill="1" applyBorder="1" applyAlignment="1">
      <s:alignment horizontal="center" vertical="center" wrapText="1" mc:Ignorable="vyd"/>
    </s:xf>
    <s:xf numFmtId="0" fontId="17" fillId="5" borderId="41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0" fontId="17" fillId="5" borderId="59" xfId="0" applyFont="1" applyFill="1" applyBorder="1" applyAlignment="1">
      <s:alignment horizontal="center" vertical="center" wrapText="1" mc:Ignorable="vyd"/>
    </s:xf>
    <s:xf numFmtId="3" fontId="17" fillId="5" borderId="57" xfId="0" applyNumberFormat="1" applyFont="1" applyFill="1" applyBorder="1" applyAlignment="1">
      <s:alignment horizontal="center" vertical="center" mc:Ignorable="vyd"/>
    </s:xf>
    <s:xf numFmtId="3" fontId="17" fillId="5" borderId="39" xfId="0" applyNumberFormat="1" applyFont="1" applyFill="1" applyBorder="1" applyAlignment="1">
      <s:alignment horizontal="center" vertical="center" mc:Ignorable="vyd"/>
    </s:xf>
    <s:xf numFmtId="3" fontId="17" fillId="5" borderId="58" xfId="0" applyNumberFormat="1" applyFont="1" applyFill="1" applyBorder="1" applyAlignment="1">
      <s:alignment horizontal="center" vertical="center" mc:Ignorable="vyd"/>
    </s:xf>
    <s:xf numFmtId="3" fontId="17" fillId="5" borderId="57" xfId="0" applyNumberFormat="1" applyFont="1" applyFill="1" applyBorder="1" applyAlignment="1">
      <s:alignment horizontal="center" vertical="center" wrapText="1" mc:Ignorable="vyd"/>
    </s:xf>
    <s:xf numFmtId="3" fontId="17" fillId="5" borderId="39" xfId="0" applyNumberFormat="1" applyFont="1" applyFill="1" applyBorder="1" applyAlignment="1">
      <s:alignment horizontal="center" vertical="center" wrapText="1" mc:Ignorable="vyd"/>
    </s:xf>
    <s:xf numFmtId="3" fontId="17" fillId="5" borderId="58" xfId="0" applyNumberFormat="1" applyFont="1" applyFill="1" applyBorder="1" applyAlignment="1">
      <s:alignment horizontal="center" vertical="center" wrapText="1" mc:Ignorable="vyd"/>
    </s:xf>
    <s:xf numFmtId="3" fontId="17" fillId="5" borderId="42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16" fillId="0" borderId="32" xfId="0" applyFont="1" applyBorder="1" applyAlignment="1">
      <s:alignment horizontal="left" vertical="center" mc:Ignorable="vyd"/>
    </s:xf>
    <s:xf numFmtId="166" fontId="31" fillId="0" borderId="55" xfId="1" applyNumberFormat="1" applyFont="1" applyBorder="1" applyAlignment="1" applyProtection="1">
      <s:alignment horizontal="center" vertical="center" mc:Ignorable="vyd"/>
    </s:xf>
    <s:xf numFmtId="166" fontId="31" fillId="0" borderId="13" xfId="1" applyNumberFormat="1" applyFont="1" applyBorder="1" applyAlignment="1" applyProtection="1">
      <s:alignment horizontal="center" vertical="center" mc:Ignorable="vyd"/>
    </s:xf>
    <s:xf numFmtId="166" fontId="31" fillId="0" borderId="14" xfId="1" applyNumberFormat="1" applyFont="1" applyBorder="1" applyAlignment="1" applyProtection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40" xfId="0" applyNumberFormat="1" applyFont="1" applyFill="1" applyBorder="1" applyAlignment="1">
      <s:alignment horizontal="center" vertical="center" wrapText="1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16" xfId="0" applyFont="1" applyBorder="1" applyAlignment="1">
      <s:alignment horizontal="left" vertical="center" mc:Ignorable="vyd"/>
    </s:xf>
    <s:xf numFmtId="0" fontId="20" fillId="0" borderId="45" xfId="0" applyFont="1" applyBorder="1" applyAlignment="1">
      <s:alignment horizontal="left" vertical="center" mc:Ignorable="vyd"/>
    </s:xf>
    <s:xf numFmtId="0" fontId="27" fillId="0" borderId="49" xfId="0" applyFont="1" applyBorder="1" applyAlignment="1">
      <s:alignment horizontal="left" mc:Ignorable="vyd"/>
    </s:xf>
    <s:xf numFmtId="0" fontId="27" fillId="0" borderId="24" xfId="0" applyFont="1" applyBorder="1" applyAlignment="1">
      <s:alignment horizontal="left" mc:Ignorable="vyd"/>
    </s:xf>
    <s:xf numFmtId="0" fontId="27" fillId="0" borderId="25" xfId="0" applyFont="1" applyBorder="1" applyAlignment="1">
      <s:alignment horizontal="left" mc:Ignorable="vyd"/>
    </s:xf>
    <s:xf numFmtId="0" fontId="27" fillId="0" borderId="54" xfId="0" applyFont="1" applyBorder="1" applyAlignment="1">
      <s:alignment horizontal="left" mc:Ignorable="vyd"/>
    </s:xf>
    <s:xf numFmtId="0" fontId="27" fillId="0" borderId="34" xfId="0" applyFont="1" applyBorder="1" applyAlignment="1">
      <s:alignment horizontal="left" mc:Ignorable="vyd"/>
    </s:xf>
    <s:xf numFmtId="0" fontId="27" fillId="0" borderId="35" xfId="0" applyFont="1" applyBorder="1" applyAlignment="1">
      <s:alignment horizontal="left" mc:Ignorable="vyd"/>
    </s:xf>
    <s:xf numFmtId="0" fontId="19" fillId="0" borderId="60" xfId="0" applyFont="1" applyBorder="1" applyAlignment="1">
      <s:alignment horizontal="left" vertical="center" mc:Ignorable="vyd"/>
    </s:xf>
    <s:xf numFmtId="0" fontId="19" fillId="0" borderId="39" xfId="0" applyFont="1" applyBorder="1" applyAlignment="1">
      <s:alignment horizontal="left" vertical="center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62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59" xfId="0" applyFont="1" applyBorder="1" applyAlignment="1">
      <s:alignment horizontal="left" vertical="center" mc:Ignorable="vyd"/>
    </s:xf>
    <s:xf numFmtId="164" fontId="33" fillId="2" borderId="0" xfId="0" applyNumberFormat="1" applyFont="1" applyFill="1" applyAlignment="1">
      <s:alignment horizontal="center" vertical="center" mc:Ignorable="vyd"/>
    </s:xf>
    <s:xf numFmtId="0" fontId="34" fillId="2" borderId="0" xfId="0" applyFont="1" applyFill="1" applyAlignment="1">
      <s:alignment horizontal="center" mc:Ignorable="vyd"/>
    </s:xf>
    <s:xf numFmtId="0" fontId="35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1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5" fillId="14" borderId="24" xfId="0" applyFont="1" applyFill="1" applyBorder="1" applyAlignment="1">
      <s:alignment horizontal="center" vertical="center" mc:Ignorable="vyd"/>
    </s:xf>
    <s:xf numFmtId="0" fontId="17" fillId="17" borderId="24" xfId="0" applyFont="1" applyFill="1" applyBorder="1" applyAlignment="1">
      <s:alignment horizontal="center" vertical="top" mc:Ignorable="vyd"/>
    </s:xf>
    <s:xf numFmtId="0" fontId="17" fillId="14" borderId="24" xfId="0" applyFont="1" applyFill="1" applyBorder="1" applyAlignment="1">
      <s:alignment horizontal="center" vertical="center" wrapText="1" mc:Ignorable="vyd"/>
    </s:xf>
    <s:xf numFmtId="0" fontId="16" fillId="5" borderId="0" xfId="0" applyFont="1" applyFill="1" applyAlignment="1">
      <s:alignment horizontal="center" vertical="top" mc:Ignorable="vyd"/>
    </s:xf>
    <s:xf numFmtId="164" fontId="33" fillId="5" borderId="0" xfId="0" applyNumberFormat="1" applyFont="1" applyFill="1" applyAlignment="1">
      <s:alignment horizontal="center" vertical="center" mc:Ignorable="vyd"/>
    </s:xf>
    <s:xf numFmtId="0" fontId="34" fillId="5" borderId="0" xfId="0" applyFont="1" applyFill="1" applyAlignment="1">
      <s:alignment horizontal="center" mc:Ignorable="vyd"/>
    </s:xf>
    <s:xf numFmtId="0" fontId="35" fillId="5" borderId="0" xfId="0" applyFont="1" applyFill="1" applyAlignment="1">
      <s:alignment horizontal="center" vertical="top" mc:Ignorable="vyd"/>
    </s:xf>
    <s:xf numFmtId="0" fontId="10" fillId="5" borderId="0" xfId="0" applyFont="1" applyFill="1" applyAlignment="1">
      <s:alignment horizontal="left" vertical="top" mc:Ignorable="vyd"/>
    </s:xf>
    <s:xf numFmtId="0" fontId="12" fillId="16" borderId="24" xfId="0" applyFont="1" applyFill="1" applyBorder="1" applyAlignment="1" applyProtection="1">
      <s:alignment horizontal="center" vertical="center" wrapText="1" mc:Ignorable="vyd"/>
      <s:protection locked="0"/>
    </s:xf>
    <s:xf numFmtId="3" fontId="11" fillId="5" borderId="67" xfId="0" applyNumberFormat="1" applyFont="1" applyFill="1" applyBorder="1" applyAlignment="1" applyProtection="1">
      <s:alignment horizontal="center" mc:Ignorable="vyd"/>
      <s:protection locked="0"/>
    </s:xf>
    <s:xf numFmtId="2" fontId="38" fillId="4" borderId="82" xfId="0" applyNumberFormat="1" applyFont="1" applyFill="1" applyBorder="1" applyAlignment="1">
      <s:alignment horizontal="center" vertical="top" mc:Ignorable="vyd"/>
    </s:xf>
    <s:xf numFmtId="2" fontId="38" fillId="4" borderId="83" xfId="0" applyNumberFormat="1" applyFont="1" applyFill="1" applyBorder="1" applyAlignment="1">
      <s:alignment horizontal="center" vertical="top" mc:Ignorable="vyd"/>
    </s:xf>
    <s:xf numFmtId="2" fontId="38" fillId="4" borderId="82" xfId="0" applyNumberFormat="1" applyFont="1" applyFill="1" applyBorder="1" applyAlignment="1">
      <s:alignment horizontal="center" vertical="center" wrapText="1" mc:Ignorable="vyd"/>
    </s:xf>
    <s:xf numFmtId="2" fontId="38" fillId="4" borderId="83" xfId="0" applyNumberFormat="1" applyFont="1" applyFill="1" applyBorder="1" applyAlignment="1">
      <s:alignment horizontal="center" vertical="center" wrapText="1" mc:Ignorable="vyd"/>
    </s:xf>
    <s:xf numFmtId="0" fontId="38" fillId="4" borderId="82" xfId="0" applyFont="1" applyFill="1" applyBorder="1" applyAlignment="1">
      <s:alignment horizontal="center" vertical="center" wrapText="1" mc:Ignorable="vyd"/>
    </s:xf>
    <s:xf numFmtId="0" fontId="38" fillId="4" borderId="83" xfId="0" applyFont="1" applyFill="1" applyBorder="1" applyAlignment="1">
      <s:alignment horizontal="center" vertical="center" wrapText="1" mc:Ignorable="vyd"/>
    </s:xf>
    <s:xf numFmtId="0" fontId="38" fillId="4" borderId="82" xfId="0" applyFont="1" applyFill="1" applyBorder="1" applyAlignment="1">
      <s:alignment horizontal="left" vertical="top" mc:Ignorable="vyd"/>
    </s:xf>
    <s:xf numFmtId="0" fontId="38" fillId="4" borderId="83" xfId="0" applyFont="1" applyFill="1" applyBorder="1" applyAlignment="1">
      <s:alignment horizontal="left" vertical="top" mc:Ignorable="vyd"/>
    </s:xf>
    <s:xf numFmtId="0" fontId="38" fillId="4" borderId="82" xfId="0" applyFont="1" applyFill="1" applyBorder="1" applyAlignment="1">
      <s:alignment horizontal="left" vertical="center" mc:Ignorable="vyd"/>
    </s:xf>
    <s:xf numFmtId="0" fontId="38" fillId="4" borderId="83" xfId="0" applyFont="1" applyFill="1" applyBorder="1" applyAlignment="1">
      <s:alignment horizontal="left" vertical="center" mc:Ignorable="vyd"/>
    </s:xf>
    <s:xf numFmtId="0" fontId="38" fillId="4" borderId="81" xfId="0" applyFont="1" applyFill="1" applyBorder="1" applyAlignment="1">
      <s:alignment horizontal="left" vertical="top" wrapText="1" mc:Ignorable="vyd"/>
    </s:xf>
    <s:xf numFmtId="4" fontId="38" fillId="4" borderId="82" xfId="0" applyNumberFormat="1" applyFont="1" applyFill="1" applyBorder="1" applyAlignment="1">
      <s:alignment horizontal="center" vertical="top" mc:Ignorable="vyd"/>
    </s:xf>
    <s:xf numFmtId="4" fontId="38" fillId="4" borderId="83" xfId="0" applyNumberFormat="1" applyFont="1" applyFill="1" applyBorder="1" applyAlignment="1">
      <s:alignment horizontal="center" vertical="top" mc:Ignorable="vyd"/>
    </s:xf>
    <s:xf numFmtId="0" fontId="17" fillId="4" borderId="84" xfId="0" applyFont="1" applyFill="1" applyBorder="1" applyAlignment="1">
      <s:alignment horizontal="left" vertical="top" wrapText="1" mc:Ignorable="vyd"/>
    </s:xf>
    <s:xf numFmtId="0" fontId="38" fillId="4" borderId="82" xfId="0" applyFont="1" applyFill="1" applyBorder="1" applyAlignment="1">
      <s:alignment horizontal="center" vertical="center" mc:Ignorable="vyd"/>
    </s:xf>
    <s:xf numFmtId="0" fontId="38" fillId="4" borderId="83" xfId="0" applyFont="1" applyFill="1" applyBorder="1" applyAlignment="1">
      <s:alignment horizontal="center" vertical="center" mc:Ignorable="vyd"/>
    </s:xf>
    <s:xf numFmtId="0" fontId="38" fillId="4" borderId="81" xfId="0" applyFont="1" applyFill="1" applyBorder="1" applyAlignment="1">
      <s:alignment horizontal="center" vertical="center" mc:Ignorable="vyd"/>
    </s:xf>
    <s:xf numFmtId="17" fontId="37" fillId="4" borderId="57" xfId="0" applyNumberFormat="1" applyFont="1" applyFill="1" applyBorder="1" applyAlignment="1">
      <s:alignment horizontal="left" vertical="center" wrapText="1" mc:Ignorable="vyd"/>
    </s:xf>
    <s:xf numFmtId="17" fontId="37" fillId="4" borderId="39" xfId="0" applyNumberFormat="1" applyFont="1" applyFill="1" applyBorder="1" applyAlignment="1">
      <s:alignment horizontal="left" vertical="center" wrapText="1" mc:Ignorable="vyd"/>
    </s:xf>
    <s:xf numFmtId="17" fontId="37" fillId="4" borderId="46" xfId="0" applyNumberFormat="1" applyFont="1" applyFill="1" applyBorder="1" applyAlignment="1">
      <s:alignment horizontal="left" vertical="center" wrapText="1" mc:Ignorable="vyd"/>
    </s:xf>
    <s:xf numFmtId="0" fontId="37" fillId="4" borderId="49" xfId="0" applyFont="1" applyFill="1" applyBorder="1" applyAlignment="1">
      <s:alignment horizontal="left" vertical="center" wrapText="1" mc:Ignorable="vyd"/>
    </s:xf>
    <s:xf numFmtId="0" fontId="37" fillId="4" borderId="24" xfId="0" applyFont="1" applyFill="1" applyBorder="1" applyAlignment="1">
      <s:alignment horizontal="left" vertical="center" wrapText="1" mc:Ignorable="vyd"/>
    </s:xf>
    <s:xf numFmtId="0" fontId="21" fillId="18" borderId="70" xfId="0" applyFont="1" applyFill="1" applyBorder="1" applyAlignment="1">
      <s:alignment horizontal="center" vertical="center" wrapText="1" mc:Ignorable="vyd"/>
    </s:xf>
    <s:xf numFmtId="0" fontId="21" fillId="18" borderId="71" xfId="0" applyFont="1" applyFill="1" applyBorder="1" applyAlignment="1">
      <s:alignment horizontal="center" vertical="center" wrapText="1" mc:Ignorable="vyd"/>
    </s:xf>
    <s:xf numFmtId="3" fontId="37" fillId="19" borderId="76" xfId="0" applyNumberFormat="1" applyFont="1" applyFill="1" applyBorder="1" applyAlignment="1">
      <s:alignment horizontal="left" vertical="top" wrapText="1" mc:Ignorable="vyd"/>
    </s:xf>
    <s:xf numFmtId="0" fontId="37" fillId="19" borderId="77" xfId="0" applyFont="1" applyFill="1" applyBorder="1" applyAlignment="1">
      <s:alignment horizontal="left" vertical="top" wrapText="1" mc:Ignorable="vyd"/>
    </s:xf>
    <s:xf numFmtId="4" fontId="38" fillId="4" borderId="82" xfId="0" applyNumberFormat="1" applyFont="1" applyFill="1" applyBorder="1" applyAlignment="1">
      <s:alignment horizontal="right" vertical="top" mc:Ignorable="vyd"/>
    </s:xf>
    <s:xf numFmtId="4" fontId="38" fillId="4" borderId="83" xfId="0" applyNumberFormat="1" applyFont="1" applyFill="1" applyBorder="1" applyAlignment="1">
      <s:alignment horizontal="right" vertical="top" mc:Ignorable="vyd"/>
    </s:xf>
    <s:xf numFmtId="0" fontId="44" fillId="21" borderId="92" xfId="0" applyFont="1" applyFill="1" applyBorder="1" applyAlignment="1">
      <s:alignment horizontal="center" mc:Ignorable="vyd"/>
    </s:xf>
    <s:xf numFmtId="0" fontId="21" fillId="21" borderId="93" xfId="0" applyFont="1" applyFill="1" applyBorder="1" applyAlignment="1">
      <s:alignment horizontal="left" wrapText="1" mc:Ignorable="vyd"/>
    </s:xf>
    <s:xf numFmtId="0" fontId="21" fillId="21" borderId="92" xfId="0" applyFont="1" applyFill="1" applyBorder="1" applyAlignment="1">
      <s:alignment horizontal="left" wrapText="1" mc:Ignorable="vyd"/>
    </s:xf>
    <s:xf numFmtId="0" fontId="44" fillId="21" borderId="91" xfId="0" applyFont="1" applyFill="1" applyBorder="1" applyAlignment="1">
      <s:alignment horizontal="center" mc:Ignorable="vyd"/>
    </s:xf>
    <s:xf numFmtId="3" fontId="45" fillId="21" borderId="91" xfId="0" applyNumberFormat="1" applyFont="1" applyFill="1" applyBorder="1" applyAlignment="1">
      <s:alignment horizontal="center" mc:Ignorable="vyd"/>
    </s:xf>
    <s:xf numFmtId="3" fontId="45" fillId="21" borderId="93" xfId="0" applyNumberFormat="1" applyFont="1" applyFill="1" applyBorder="1" applyAlignment="1">
      <s:alignment horizontal="center" mc:Ignorable="vyd"/>
    </s:xf>
    <s:xf numFmtId="3" fontId="45" fillId="21" borderId="92" xfId="0" applyNumberFormat="1" applyFont="1" applyFill="1" applyBorder="1" applyAlignment="1">
      <s:alignment horizontal="center" mc:Ignorable="vyd"/>
    </s:xf>
    <s:xf numFmtId="0" fontId="21" fillId="21" borderId="91" xfId="0" applyFont="1" applyFill="1" applyBorder="1" applyAlignment="1">
      <s:alignment horizontal="left" wrapText="1" mc:Ignorable="vyd"/>
    </s:xf>
    <s:xf numFmtId="0" fontId="37" fillId="28" borderId="100" xfId="0" applyFont="1" applyFill="1" applyBorder="1" applyAlignment="1">
      <s:alignment horizontal="center" vertical="center" wrapText="1" mc:Ignorable="vyd"/>
    </s:xf>
    <s:xf numFmtId="0" fontId="37" fillId="28" borderId="102" xfId="0" applyFont="1" applyFill="1" applyBorder="1" applyAlignment="1">
      <s:alignment horizontal="center" vertical="center" wrapText="1" mc:Ignorable="vyd"/>
    </s:xf>
    <s:xf numFmtId="0" fontId="37" fillId="28" borderId="107" xfId="0" applyFont="1" applyFill="1" applyBorder="1" applyAlignment="1">
      <s:alignment horizontal="center" vertical="center" wrapText="1" mc:Ignorable="vyd"/>
    </s:xf>
    <s:xf numFmtId="0" fontId="37" fillId="28" borderId="108" xfId="0" applyFont="1" applyFill="1" applyBorder="1" applyAlignment="1">
      <s:alignment horizontal="center" vertical="center" wrapText="1" mc:Ignorable="vyd"/>
    </s:xf>
    <s:xf numFmtId="0" fontId="47" fillId="25" borderId="100" xfId="0" applyFont="1" applyFill="1" applyBorder="1" applyAlignment="1">
      <s:alignment horizontal="center" vertical="center" wrapText="1" mc:Ignorable="vyd"/>
    </s:xf>
    <s:xf numFmtId="0" fontId="47" fillId="25" borderId="102" xfId="0" applyFont="1" applyFill="1" applyBorder="1" applyAlignment="1">
      <s:alignment horizontal="center" vertical="center" wrapText="1" mc:Ignorable="vyd"/>
    </s:xf>
    <s:xf numFmtId="0" fontId="47" fillId="25" borderId="108" xfId="0" applyFont="1" applyFill="1" applyBorder="1" applyAlignment="1">
      <s:alignment horizontal="center" vertical="center" wrapText="1" mc:Ignorable="vyd"/>
    </s:xf>
    <s:xf numFmtId="0" fontId="48" fillId="35" borderId="113" xfId="0" applyFont="1" applyFill="1" applyBorder="1" applyProtection="1">
      <s:protection locked="0"/>
    </s:xf>
    <s:xf numFmtId="0" fontId="42" fillId="35" borderId="24" xfId="0" applyFont="1" applyFill="1" applyBorder="1"/>
    <s:xf numFmtId="0" fontId="48" fillId="35" borderId="24" xfId="0" applyFont="1" applyFill="1" applyBorder="1"/>
    <s:xf numFmtId="0" fontId="42" fillId="36" borderId="24" xfId="0" applyFont="1" applyFill="1" applyBorder="1"/>
    <s:xf numFmtId="0" fontId="42" fillId="37" borderId="24" xfId="0" applyFont="1" applyFill="1" applyBorder="1"/>
    <s:xf numFmtId="0" fontId="48" fillId="37" borderId="24" xfId="0" applyFont="1" applyFill="1" applyBorder="1"/>
  </s:cellXfs>
  <s:cellStyles count="2">
    <s:cellStyle name="Обычный" xfId="0" builtinId="0"/>
    <s:cellStyle name="Процентный" xfId="1" builtinId="5"/>
  </s:cellStyles>
  <s:dxfs count="245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sheetPr>
    <s:pageSetUpPr fitToPage="1"/>
  </s:sheetPr>
  <s:dimension ref="A1:IU68"/>
  <s:sheetViews>
    <s:sheetView showZeros="0" tabSelected="0" zoomScale="84" workbookViewId="0">
      <s:pane xSplit="3" topLeftCell="D1" activePane="topRight" state="frozen"/>
      <s:selection activeCell="A39" sqref="A39"/>
      <s:selection pane="topRight" activeCell="G65" sqref="G65"/>
    </s:sheetView>
  </s:sheetViews>
  <s:sheetFormatPr baseColWidth="10" defaultColWidth="9.164" defaultRowHeight="15"/>
  <s:cols>
    <s:col min="1" max="1" width="20.164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3" width="10.832" style="2" customWidth="1"/>
    <s:col min="14" max="14" width="11.664" style="2" customWidth="1"/>
    <s:col min="15" max="15" width="12.832" style="2" customWidth="1"/>
    <s:col min="16" max="16" width="10.332" style="2" customWidth="1"/>
    <s:col min="17" max="18" width="11.332" style="2" customWidth="1"/>
    <s:col min="19" max="19" width="11" style="3" customWidth="1"/>
    <s:col min="20" max="20" width="11.332" style="2" customWidth="1"/>
    <s:col min="21" max="21" width="9.164" style="2" bestFit="1" customWidth="1"/>
    <s:col min="22" max="23" width="10.5" style="2" customWidth="1"/>
    <s:col min="24" max="255" width="9.164" style="2" bestFit="1" customWidth="1"/>
  </s:cols>
  <s:sheetData>
    <s:row r="1" spans="1:23" ht="15.75" customHeight="1">
      <s:c r="A1" s="4"/>
      <s:c r="B1" s="590">
        <s:f ca="1">TODAY()-1</s:f>
        <s:v>46171</s:v>
      </s:c>
      <s:c r="C1" s="590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591"/>
      <s:c r="R1" s="591"/>
      <s:c r="S1" s="591"/>
      <s:c r="T1" s="591"/>
      <s:c r="U1" s="8"/>
      <s:c r="V1" s="6"/>
      <s:c r="W1" s="6"/>
    </s:row>
    <s:row r="2" spans="1:23" ht="21.75" customHeight="1">
      <s:c r="A2" s="4"/>
      <s:c r="B2" s="592" t="s">
        <s:v>0</s:v>
      </s:c>
      <s:c r="C2" s="592"/>
      <s:c r="D2" s="5"/>
      <s:c r="E2" s="5"/>
      <s:c r="F2" s="6"/>
      <s:c r="G2" s="6"/>
      <s:c r="H2" s="6"/>
      <s:c r="I2" s="6"/>
      <s:c r="J2" s="593"/>
      <s:c r="K2" s="593"/>
      <s:c r="L2" s="593"/>
      <s:c r="M2" s="593"/>
      <s:c r="N2" s="593"/>
      <s:c r="O2" s="593"/>
      <s:c r="P2" s="593"/>
      <s:c r="Q2" s="591"/>
      <s:c r="R2" s="591"/>
      <s:c r="S2" s="591"/>
      <s:c r="T2" s="591"/>
      <s:c r="U2" s="8"/>
      <s:c r="V2" s="6"/>
      <s:c r="W2" s="6"/>
    </s:row>
    <s:row r="3" spans="1:23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94" t="str">
        <s:f>График!B3</s:f>
        <s:v>ул. Набережная Ленина, 18</s:v>
      </s:c>
      <s:c r="J3" s="595"/>
      <s:c r="K3" s="595"/>
      <s:c r="L3" s="595"/>
      <s:c r="M3" s="596"/>
      <s:c r="N3" s="7"/>
      <s:c r="O3" s="7"/>
      <s:c r="P3" s="13"/>
      <s:c r="Q3" s="591"/>
      <s:c r="R3" s="591"/>
      <s:c r="S3" s="591"/>
      <s:c r="T3" s="591"/>
      <s:c r="U3" s="8"/>
      <s:c r="V3" s="6"/>
      <s:c r="W3" s="6"/>
    </s:row>
    <s:row r="4" spans="1:23" ht="15" customHeight="1">
      <s:c r="A4" s="4"/>
      <s:c r="B4" s="5"/>
      <s:c r="C4" s="600">
        <s:f>I8-D56</s:f>
        <s:v>2009785.5999999996</s:v>
      </s:c>
      <s:c r="D4" s="601"/>
      <s:c r="E4" s="14">
        <s:f>IF(I8&lt;&gt;0, C4/I8, 0)</s:f>
        <s:v>0.41924532130717695</s:v>
      </s:c>
      <s:c r="F4" s="12"/>
      <s:c r="G4" s="12"/>
      <s:c r="H4" s="12"/>
      <s:c r="I4" s="597"/>
      <s:c r="J4" s="598"/>
      <s:c r="K4" s="598"/>
      <s:c r="L4" s="598"/>
      <s:c r="M4" s="599"/>
      <s:c r="N4" s="7"/>
      <s:c r="O4" s="6"/>
      <s:c r="P4" s="6"/>
      <s:c r="Q4" s="591"/>
      <s:c r="R4" s="591"/>
      <s:c r="S4" s="591"/>
      <s:c r="T4" s="591"/>
      <s:c r="U4" s="8"/>
      <s:c r="V4" s="6"/>
      <s:c r="W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584"/>
      <s:c r="K5" s="584"/>
      <s:c r="L5" s="584"/>
      <s:c r="M5" s="584"/>
      <s:c r="N5" s="584"/>
      <s:c r="O5" s="6"/>
      <s:c r="P5" s="6"/>
      <s:c r="Q5" s="6"/>
      <s:c r="R5" s="6"/>
      <s:c r="S5" s="12"/>
      <s:c r="T5" s="6"/>
      <s:c r="U5" s="8"/>
      <s:c r="V5" s="6"/>
      <s:c r="W5" s="6"/>
    </s:row>
    <s:row r="6" spans="1:23" ht="15.75" customHeight="1">
      <s:c r="A6" s="4"/>
      <s:c r="B6" s="16"/>
      <s:c r="C6" s="6"/>
      <s:c r="D6" s="6"/>
      <s:c r="E6" s="6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0"/>
      <s:c r="S6" s="21"/>
      <s:c r="T6" s="6"/>
      <s:c r="U6" s="8"/>
      <s:c r="V6" s="6"/>
      <s:c r="W6" s="6"/>
    </s:row>
    <s:row r="7" spans="1:23" ht="50.75" customHeight="1">
      <s:c r="A7" s="4"/>
      <s:c r="B7" s="16"/>
      <s:c r="C7" s="16"/>
      <s:c r="D7" s="16"/>
      <s:c r="E7" s="6"/>
      <s:c r="F7" s="585" t="s">
        <s:v>3</s:v>
      </s:c>
      <s:c r="G7" s="586"/>
      <s:c r="H7" s="587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20"/>
      <s:c r="S7" s="21"/>
      <s:c r="T7" s="6"/>
      <s:c r="U7" s="8"/>
      <s:c r="V7" s="6"/>
      <s:c r="W7" s="6"/>
    </s:row>
    <s:row r="8" spans="1:23" ht="15.75" customHeight="1">
      <s:c r="A8" s="4"/>
      <s:c r="B8" s="16"/>
      <s:c r="C8" s="16"/>
      <s:c r="D8" s="27"/>
      <s:c r="E8" s="6"/>
      <s:c r="F8" s="577" t="s">
        <s:v>12</s:v>
      </s:c>
      <s:c r="G8" s="578"/>
      <s:c r="H8" s="579"/>
      <s:c r="I8" s="28">
        <s:f>I11*I12*I13</s:f>
        <s:v>4793817.5999999996</s:v>
      </s:c>
      <s:c r="J8" s="29">
        <s:f>D56</s:f>
        <s:v>2784032</s:v>
      </s:c>
      <s:c r="K8" s="30">
        <s:f>IF(AND(I8&lt;&gt;"", I8&lt;&gt;0, J8&lt;&gt;""), J8/I8, "")</s:f>
        <s:v>0.58075467869282305</s:v>
      </s:c>
      <s:c r="L8" s="31">
        <s:f>IF(SUMIF($D$25:$D$55,"&gt;=0",$P$25:$P$55)&lt;&gt;0,I8*D56/SUMIF($D$25:$D$55,"&gt;=0",$P$25:$P$55),0)</s:f>
        <s:v>2784032.0000000005</s:v>
      </s:c>
      <s:c r="M8" s="32">
        <s:f>IF(AND(I8&lt;&gt;"", I8&lt;&gt;0, L8&lt;&gt;"", L8&lt;&gt;0), L8/I8, "")</s:f>
        <s:v>0.58075467869282316</s:v>
      </s:c>
      <s:c r="N8" s="33">
        <s:f>IF(AND(J8&lt;&gt;0, J8&lt;&gt;"", I8&lt;&gt;0, I8&lt;&gt;""), L8-I8, "")</s:f>
        <s:v>-2009785.5999999992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0"/>
      <s:c r="S8" s="37"/>
      <s:c r="T8" s="6"/>
      <s:c r="U8" s="8"/>
      <s:c r="V8" s="6"/>
      <s:c r="W8" s="6"/>
    </s:row>
    <s:row r="9" spans="1:23" ht="15.75" customHeight="1">
      <s:c r="A9" s="4"/>
      <s:c r="B9" s="16"/>
      <s:c r="C9" s="16"/>
      <s:c r="D9" s="16"/>
      <s:c r="E9" s="6"/>
      <s:c r="F9" s="571" t="s">
        <s:v>13</s:v>
      </s:c>
      <s:c r="G9" s="572"/>
      <s:c r="H9" s="573"/>
      <s:c r="I9" s="38">
        <s:f>I8/I11</s:f>
        <s:v>921.88799999999992</s:v>
      </s:c>
      <s:c r="J9" s="39">
        <s:f>E56</s:f>
        <s:v>493</s:v>
      </s:c>
      <s:c r="K9" s="40">
        <s:f>IF(AND(I9&lt;&gt;"", I9&lt;&gt;0, J9&lt;&gt;""), J9/I9, "")</s:f>
        <s:v>0.53477211982366624</s:v>
      </s:c>
      <s:c r="L9" s="41">
        <s:f>IF(SUMIF($E$25:$E$55, "&gt;=0", $Q$25:$Q$55)&lt;&gt;0, I9*E56/SUMIF($E$25:$E$55, "&gt;=0", $Q$25:$Q$55), 0)</s:f>
        <s:v>493</s:v>
      </s:c>
      <s:c r="M9" s="42">
        <s:f>IF(AND(I9&lt;&gt;"", I9&lt;&gt;0, L9&lt;&gt;"", L9&lt;&gt;0), L9/I9, "")</s:f>
        <s:v>0.53477211982366624</s:v>
      </s:c>
      <s:c r="N9" s="43">
        <s:f>IF(AND(J9&lt;&gt;0, J9&lt;&gt;"", I9&lt;&gt;0, I9&lt;&gt;""), L9-I9, "")</s:f>
        <s:v>-428.88799999999992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0"/>
      <s:c r="S9" s="37"/>
      <s:c r="T9" s="6"/>
      <s:c r="U9" s="8"/>
      <s:c r="V9" s="6"/>
      <s:c r="W9" s="6"/>
    </s:row>
    <s:row r="10" spans="1:23" ht="15.75" customHeight="1">
      <s:c r="A10" s="4"/>
      <s:c r="B10" s="16"/>
      <s:c r="C10" s="16"/>
      <s:c r="D10" s="16"/>
      <s:c r="E10" s="6"/>
      <s:c r="F10" s="577" t="s">
        <s:v>14</s:v>
      </s:c>
      <s:c r="G10" s="578"/>
      <s:c r="H10" s="579"/>
      <s:c r="I10" s="38">
        <s:f>I11*I12</s:f>
        <s:v>10088</s:v>
      </s:c>
      <s:c r="J10" s="46">
        <s:f>H56</s:f>
        <s:v>10160.700729927008</s:v>
      </s:c>
      <s:c r="K10" s="47">
        <s:f>IF(AND(I10&lt;&gt;"", I10&lt;&gt;0, J10&lt;&gt;""), J10/I10, "")</s:f>
        <s:v>1.0072066544336844</s:v>
      </s:c>
      <s:c r="L10" s="41">
        <s:f>J10</s:f>
        <s:v>10160.700729927008</s:v>
      </s:c>
      <s:c r="M10" s="48">
        <s:f>IF(AND(I10&lt;&gt;"", I10&lt;&gt;0, L10&lt;&gt;"", L10&lt;&gt;0), L10/I10, "")</s:f>
        <s:v>1.0072066544336844</s:v>
      </s:c>
      <s:c r="N10" s="49">
        <s:f>IF(AND(J10&lt;&gt;0, J10&lt;&gt;"", I10&lt;&gt;0, I10&lt;&gt;""), L10-I10, "")</s:f>
        <s:v>72.700729927008069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0"/>
      <s:c r="S10" s="580" t="s">
        <s:v>15</s:v>
      </s:c>
      <s:c r="T10" s="581"/>
      <s:c r="U10" s="8"/>
      <s:c r="V10" s="6"/>
      <s:c r="W10" s="6"/>
    </s:row>
    <s:row r="11" spans="1:23" ht="15.75" customHeight="1">
      <s:c r="A11" s="4"/>
      <s:c r="B11" s="16"/>
      <s:c r="C11" s="16"/>
      <s:c r="D11" s="16"/>
      <s:c r="E11" s="6"/>
      <s:c r="F11" s="571" t="s">
        <s:v>16</s:v>
      </s:c>
      <s:c r="G11" s="572"/>
      <s:c r="H11" s="573"/>
      <s:c r="I11" s="52">
        <s:v>5200</s:v>
      </s:c>
      <s:c r="J11" s="39">
        <s:f>F56</s:f>
        <s:v>5647.1237322515217</s:v>
      </s:c>
      <s:c r="K11" s="40">
        <s:f>IF(AND(I11&lt;&gt;"", I11&lt;&gt;0, J11&lt;&gt;""), J11/I11, "")</s:f>
        <s:v>1.0859853331252927</s:v>
      </s:c>
      <s:c r="L11" s="41">
        <s:f>IF(L9&gt;0, L8/L9, "")</s:f>
        <s:v>5647.1237322515226</s:v>
      </s:c>
      <s:c r="M11" s="42">
        <s:f>IF(AND(I11&lt;&gt;"", I11&lt;&gt;0, L11&lt;&gt;"", L11&lt;&gt;0), L11/I11, "")</s:f>
        <s:v>1.0859853331252929</s:v>
      </s:c>
      <s:c r="N11" s="43">
        <s:f>IF(AND(J11&lt;&gt;0, J11&lt;&gt;"", I11&lt;&gt;0, I11&lt;&gt;""), L11-I11, "")</s:f>
        <s:v>447.1237322515226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0"/>
      <s:c r="S11" s="582"/>
      <s:c r="T11" s="583"/>
      <s:c r="U11" s="8"/>
      <s:c r="V11" s="6"/>
      <s:c r="W11" s="6"/>
    </s:row>
    <s:row r="12" spans="1:23" ht="15.75" customHeight="1">
      <s:c r="A12" s="4"/>
      <s:c r="B12" s="16"/>
      <s:c r="C12" s="6"/>
      <s:c r="D12" s="6"/>
      <s:c r="E12" s="6"/>
      <s:c r="F12" s="571" t="s">
        <s:v>17</s:v>
      </s:c>
      <s:c r="G12" s="572"/>
      <s:c r="H12" s="573"/>
      <s:c r="I12" s="54">
        <s:v>1.94</s:v>
      </s:c>
      <s:c r="J12" s="55">
        <s:f>J56</s:f>
        <s:v>1.7992700729927007</s:v>
      </s:c>
      <s:c r="K12" s="40">
        <s:f>IF(AND(I12&lt;&gt;"", I12&lt;&gt;0, J12&lt;&gt;""), J12/I12, "")</s:f>
        <s:v>0.92745880051170138</s:v>
      </s:c>
      <s:c r="L12" s="56">
        <s:f>J12</s:f>
        <s:v>1.7992700729927007</s:v>
      </s:c>
      <s:c r="M12" s="42">
        <s:f>IF(AND(I12&lt;&gt;"", I12&lt;&gt;0, L12&lt;&gt;"", L12&lt;&gt;0), L12/I12, "")</s:f>
        <s:v>0.92745880051170138</s:v>
      </s:c>
      <s:c r="N12" s="57">
        <s:f>IF(AND(J12&lt;&gt;0, J12&lt;&gt;"", I12&lt;&gt;0, I12&lt;&gt;""), L12-I12, "")</s:f>
        <s:v>-0.14072992700729925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0"/>
      <s:c r="S12" s="59">
        <s:v>680000</s:v>
      </s:c>
      <s:c r="T12" s="60">
        <s:f>L56</s:f>
        <s:v>573273</s:v>
      </s:c>
      <s:c r="U12" s="8"/>
      <s:c r="V12" s="6"/>
      <s:c r="W12" s="6"/>
    </s:row>
    <s:row r="13" spans="1:23" ht="15.75" customHeight="1">
      <s:c r="A13" s="4"/>
      <s:c r="B13" s="16"/>
      <s:c r="C13" s="6"/>
      <s:c r="D13" s="6"/>
      <s:c r="E13" s="6"/>
      <s:c r="F13" s="571" t="s">
        <s:v>18</s:v>
      </s:c>
      <s:c r="G13" s="572"/>
      <s:c r="H13" s="573"/>
      <s:c r="I13" s="38">
        <s:f>I17*I20</s:f>
        <s:v>475.2</s:v>
      </s:c>
      <s:c r="J13" s="39">
        <s:f>G56</s:f>
        <s:v>274</s:v>
      </s:c>
      <s:c r="K13" s="40">
        <s:f>IF(AND(I13&lt;&gt;"", I13&lt;&gt;0, J13&lt;&gt;""), J13/I13, "")</s:f>
        <s:v>0.57659932659932667</s:v>
      </s:c>
      <s:c r="L13" s="41">
        <s:f>IF(SUMIF($G$25:$G$55, "&gt;=0", $R$25:$R$55)&lt;&gt;0, I13*G56/SUMIF($G$25:$G$55, "&gt;=0", $R$25:$R$55), "")</s:f>
        <s:v>274.00000000000011</s:v>
      </s:c>
      <s:c r="M13" s="42">
        <s:f>IF(AND(I13&lt;&gt;"", I13&lt;&gt;0, L13&lt;&gt;"", L13&lt;&gt;0), L13/I13, "")</s:f>
        <s:v>0.57659932659932689</s:v>
      </s:c>
      <s:c r="N13" s="57">
        <s:f>IF(AND(J13&lt;&gt;0, J13&lt;&gt;"", I13&lt;&gt;0, I13&lt;&gt;""), L13-I13, "")</s:f>
        <s:v>-201.19999999999987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0"/>
      <s:c r="S13" s="62">
        <s:f>T12/S12</s:f>
        <s:v>0.84304852941176467</s:v>
      </s:c>
      <s:c r="T13" s="62">
        <s:f>S13/J14*I14</s:f>
        <s:v>0.84304852941176467</s:v>
      </s:c>
      <s:c r="U13" s="63"/>
      <s:c r="V13" s="6"/>
      <s:c r="W13" s="6"/>
    </s:row>
    <s:row r="14" spans="1:23" ht="15.75" customHeight="1">
      <s:c r="A14" s="4"/>
      <s:c r="B14" s="16"/>
      <s:c r="C14" s="6"/>
      <s:c r="D14" s="6"/>
      <s:c r="E14" s="6"/>
      <s:c r="F14" s="571" t="s">
        <s:v>19</s:v>
      </s:c>
      <s:c r="G14" s="572"/>
      <s:c r="H14" s="573"/>
      <s:c r="I14" s="52">
        <s:v>31</s:v>
      </s:c>
      <s:c r="J14" s="64">
        <s:v>31</s:v>
      </s:c>
      <s:c r="K14" s="40">
        <s:f>IF(AND(I14&lt;&gt;"", I14&lt;&gt;0, J14&lt;&gt;""), J14/I14, "")</s:f>
        <s:v>1</s:v>
      </s:c>
      <s:c r="L14" s="41">
        <s:f>I14</s:f>
        <s:v>31</s:v>
      </s:c>
      <s:c r="M14" s="42">
        <s:f>IF(AND(I14&lt;&gt;"", I14&lt;&gt;0, L14&lt;&gt;"", L14&lt;&gt;0), L14/I14, 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0"/>
      <s:c r="S14" s="65"/>
      <s:c r="T14" s="6"/>
      <s:c r="U14" s="8"/>
      <s:c r="V14" s="6"/>
      <s:c r="W14" s="6"/>
    </s:row>
    <s:row r="15" spans="1:23" ht="15.75" customHeight="1">
      <s:c r="A15" s="4"/>
      <s:c r="B15" s="16"/>
      <s:c r="C15" s="6"/>
      <s:c r="D15" s="6"/>
      <s:c r="E15" s="6"/>
      <s:c r="F15" s="571" t="s">
        <s:v>20</s:v>
      </s:c>
      <s:c r="G15" s="572"/>
      <s:c r="H15" s="573"/>
      <s:c r="I15" s="66">
        <s:f>I8/I14</s:f>
        <s:v>154639.27741935482</s:v>
      </s:c>
      <s:c r="J15" s="67">
        <s:f>J8/J14</s:f>
        <s:v>89807.483870967742</s:v>
      </s:c>
      <s:c r="K15" s="68">
        <s:f>IF(AND(I15&lt;&gt;"", I15&lt;&gt;0, J15&lt;&gt;""), J15/I15, "")</s:f>
        <s:v>0.58075467869282305</s:v>
      </s:c>
      <s:c r="L15" s="69">
        <s:f>J15</s:f>
        <s:v>89807.483870967742</s:v>
      </s:c>
      <s:c r="M15" s="70">
        <s:f>IF(AND(I15&lt;&gt;"", I15&lt;&gt;0, L15&lt;&gt;"", L15&lt;&gt;0), L15/I15, "")</s:f>
        <s:v>0.58075467869282305</s:v>
      </s:c>
      <s:c r="N15" s="43">
        <s:f>IF(AND(J15&lt;&gt;0, J15&lt;&gt;"", I15&lt;&gt;0, I15&lt;&gt;""), L15-I15, "")</s:f>
        <s:v>-64831.793548387082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0"/>
      <s:c r="S15" s="37"/>
      <s:c r="T15" s="6"/>
      <s:c r="U15" s="8"/>
      <s:c r="V15" s="6"/>
      <s:c r="W15" s="6"/>
    </s:row>
    <s:row r="16" spans="1:23" ht="15.75" customHeight="1">
      <s:c r="A16" s="4"/>
      <s:c r="B16" s="16"/>
      <s:c r="C16" s="6"/>
      <s:c r="D16" s="6"/>
      <s:c r="E16" s="6"/>
      <s:c r="F16" s="571" t="s">
        <s:v>21</s:v>
      </s:c>
      <s:c r="G16" s="572"/>
      <s:c r="H16" s="573"/>
      <s:c r="I16" s="66"/>
      <s:c r="J16" s="67">
        <s:f>J8-I15*J14</s:f>
        <s:v>-2009785.5999999996</s:v>
      </s:c>
      <s:c r="K16" s="68" t="str">
        <s:f>IF(AND(I16&lt;&gt;"", I16&lt;&gt;0, J16&lt;&gt;""), J16/I16, "")</s:f>
        <s:v/>
      </s:c>
      <s:c r="L16" s="72">
        <s:f>J16</s:f>
        <s:v>-2009785.5999999996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0"/>
      <s:c r="S16" s="576" t="s">
        <s:v>22</s:v>
      </s:c>
      <s:c r="T16" s="576"/>
      <s:c r="U16" s="8"/>
      <s:c r="V16" s="6"/>
      <s:c r="W16" s="6"/>
    </s:row>
    <s:row r="17" spans="1:255" ht="15.75" customHeight="1">
      <s:c r="A17" s="4"/>
      <s:c r="B17" s="16"/>
      <s:c r="C17" s="6"/>
      <s:c r="D17" s="74"/>
      <s:c r="E17" s="6"/>
      <s:c r="F17" s="571" t="s">
        <s:v>23</s:v>
      </s:c>
      <s:c r="G17" s="572"/>
      <s:c r="H17" s="573"/>
      <s:c r="I17" s="75">
        <s:v>2160</s:v>
      </s:c>
      <s:c r="J17" s="67">
        <s:f>I56</s:f>
        <s:v>1195</s:v>
      </s:c>
      <s:c r="K17" s="68">
        <s:f>IF(AND(I17&lt;&gt;"", I17&lt;&gt;0, J17&lt;&gt;""), J17/I17, "")</s:f>
        <s:v>0.5532407407407407</s:v>
      </s:c>
      <s:c r="L17" s="72">
        <s:f>J17/J14*I14</s:f>
        <s:v>1195</s:v>
      </s:c>
      <s:c r="M17" s="73">
        <s:f>IF(AND(I17&lt;&gt;"", I17&lt;&gt;0, L17&lt;&gt;"", L17&lt;&gt;0), L17/I17, "")</s:f>
        <s:v>0.5532407407407407</s:v>
      </s:c>
      <s:c r="N17" s="43">
        <s:f>IF(AND(J17&lt;&gt;0, J17&lt;&gt;"", I17&lt;&gt;0, I17&lt;&gt;""), L17-I17, "")</s:f>
        <s:v>-965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0"/>
      <s:c r="S17" s="576"/>
      <s:c r="T17" s="576"/>
      <s:c r="U17" s="8"/>
      <s:c r="V17" s="6"/>
      <s:c r="W17" s="6"/>
    </s:row>
    <s:row r="18" spans="1:255" ht="15.75" customHeight="1">
      <s:c r="A18" s="4"/>
      <s:c r="B18" s="16"/>
      <s:c r="C18" s="6"/>
      <s:c r="D18" s="6"/>
      <s:c r="E18" s="6"/>
      <s:c r="F18" s="571"/>
      <s:c r="G18" s="572"/>
      <s:c r="H18" s="573"/>
      <s:c r="I18" s="76"/>
      <s:c r="J18" s="67"/>
      <s:c r="K18" s="77" t="str">
        <s:f>IF(AND(I18&lt;&gt;"", I18&lt;&gt;0, J18&lt;&gt;""), J18/I18, "")</s:f>
        <s:v/>
      </s:c>
      <s:c r="L18" s="78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0"/>
      <s:c r="S18" s="59">
        <s:v>480000</s:v>
      </s:c>
      <s:c r="T18" s="60">
        <s:f>K56</s:f>
        <s:v>535497</s:v>
      </s:c>
      <s:c r="U18" s="8"/>
      <s:c r="V18" s="6"/>
      <s:c r="W18" s="6"/>
    </s:row>
    <s:row r="19" spans="1:255" ht="15.75" customHeight="1">
      <s:c r="A19" s="4"/>
      <s:c r="B19" s="16"/>
      <s:c r="C19" s="6"/>
      <s:c r="D19" s="6"/>
      <s:c r="E19" s="6"/>
      <s:c r="F19" s="571"/>
      <s:c r="G19" s="572"/>
      <s:c r="H19" s="573"/>
      <s:c r="I19" s="76"/>
      <s:c r="J19" s="67">
        <s:f>M56</s:f>
        <s:v>0</s:v>
      </s:c>
      <s:c r="K19" s="77" t="str">
        <s:f>IF(AND(I19&lt;&gt;"", I19&lt;&gt;0, J19&lt;&gt;""), J19/I19, "")</s:f>
        <s:v/>
      </s:c>
      <s:c r="L19" s="78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0"/>
      <s:c r="S19" s="62">
        <s:f>T18/S18</s:f>
        <s:v>1.1156187500000001</s:v>
      </s:c>
      <s:c r="T19" s="62">
        <s:f>S19/J14*I14</s:f>
        <s:v>1.1156187500000001</s:v>
      </s:c>
      <s:c r="U19" s="63"/>
      <s:c r="V19" s="6"/>
      <s:c r="W19" s="6"/>
    </s:row>
    <s:row r="20" spans="1:255" ht="15.75" customHeight="1">
      <s:c r="A20" s="4"/>
      <s:c r="B20" s="16"/>
      <s:c r="C20" s="6"/>
      <s:c r="D20" s="6"/>
      <s:c r="E20" s="6"/>
      <s:c r="F20" s="574" t="s">
        <s:v>24</s:v>
      </s:c>
      <s:c r="G20" s="574"/>
      <s:c r="H20" s="574"/>
      <s:c r="I20" s="80">
        <s:v>0.22</s:v>
      </s:c>
      <s:c r="J20" s="81">
        <s:f>N56</s:f>
        <s:v>0.2292887029288703</s:v>
      </s:c>
      <s:c r="K20" s="81">
        <s:f>J20/I20</s:f>
        <s:v>1.0422213769494104</s:v>
      </s:c>
      <s:c r="L20" s="82">
        <s:f>IF(AND(K8&lt;&gt;0, I14&lt;&gt;0, I56&lt;&gt;0), (I56*N56+(I56/K8-I56)*I20)/(I56/K8), 0)</s:f>
        <s:v>0.22539445768492916</s:v>
      </s:c>
      <s:c r="M20" s="83">
        <s:f>IF(AND(I20&lt;&gt;"", I20&lt;&gt;0, L20&lt;&gt;"", L20&lt;&gt;0), L20/I20, "")</s:f>
        <s:v>1.0245202622042235</s:v>
      </s:c>
      <s:c r="N20" s="84">
        <s:f>IF(AND(J20&lt;&gt;0, J20&lt;&gt;"", I20&lt;&gt;0, I20&lt;&gt;""), L20-I20, "")</s:f>
        <s:v>5.3944576849291603E-3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0"/>
      <s:c r="S20" s="21"/>
      <s:c r="T20" s="6"/>
      <s:c r="U20" s="8"/>
      <s:c r="V20" s="6"/>
      <s:c r="W20" s="6"/>
    </s:row>
    <s:row r="21" spans="1:255" ht="15.75" customHeight="1">
      <s:c r="A21" s="4"/>
      <s:c r="B21" s="16"/>
      <s:c r="C21" s="6"/>
      <s:c r="D21" s="88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20"/>
      <s:c r="S21" s="21"/>
      <s:c r="T21" s="6"/>
      <s:c r="U21" s="8"/>
      <s:c r="V21" s="6"/>
      <s:c r="W21" s="6"/>
    </s:row>
    <s:row r="22" spans="1:255" ht="21" customHeight="1">
      <s:c r="A22" s="567" t="s">
        <s:v>25</s:v>
      </s:c>
      <s:c r="B22" s="567"/>
      <s:c r="C22" s="567"/>
      <s:c r="D22" s="567"/>
      <s:c r="E22" s="567"/>
      <s:c r="F22" s="567"/>
      <s:c r="G22" s="567"/>
      <s:c r="H22" s="567"/>
      <s:c r="I22" s="567"/>
      <s:c r="J22" s="567"/>
      <s:c r="K22" s="567"/>
      <s:c r="L22" s="567"/>
      <s:c r="M22" s="567"/>
      <s:c r="N22" s="567"/>
      <s:c r="O22" s="575" t="s">
        <s:v>26</s:v>
      </s:c>
      <s:c r="P22" s="567" t="s">
        <s:v>27</s:v>
      </s:c>
      <s:c r="Q22" s="567"/>
      <s:c r="R22" s="567"/>
      <s:c r="S22" s="567"/>
      <s:c r="T22" s="567"/>
      <s:c r="U22" s="567"/>
      <s:c r="V22" s="567"/>
      <s:c r="W22" s="567"/>
    </s:row>
    <s:row r="23" ht="36">
      <s:c r="A23" s="568" t="s">
        <s:v>28</s:v>
      </s:c>
      <s:c r="B23" s="89" t="s">
        <s:v>29</s:v>
      </s:c>
      <s:c r="C23" s="89" t="s">
        <s:v>30</s:v>
      </s:c>
      <s:c r="D23" s="89" t="s">
        <s:v>31</s:v>
      </s:c>
      <s:c r="E23" s="89" t="s">
        <s:v>32</s:v>
      </s:c>
      <s:c r="F23" s="89" t="s">
        <s:v>33</s:v>
      </s:c>
      <s:c r="G23" s="89" t="s">
        <s:v>34</s:v>
      </s:c>
      <s:c r="H23" s="89" t="s">
        <s:v>35</s:v>
      </s:c>
      <s:c r="I23" s="89" t="s">
        <s:v>23</s:v>
      </s:c>
      <s:c r="J23" s="89" t="s">
        <s:v>36</s:v>
      </s:c>
      <s:c r="K23" s="90" t="s">
        <s:v>22</s:v>
      </s:c>
      <s:c r="L23" s="90" t="s">
        <s:v>15</s:v>
      </s:c>
      <s:c r="M23" s="90" t="s">
        <s:v>37</s:v>
      </s:c>
      <s:c r="N23" s="89" t="s">
        <s:v>38</s:v>
      </s:c>
      <s:c r="O23" s="575"/>
      <s:c r="P23" s="89" t="s">
        <s:v>39</s:v>
      </s:c>
      <s:c r="Q23" s="89" t="s">
        <s:v>40</s:v>
      </s:c>
      <s:c r="R23" s="89" t="s">
        <s:v>41</s:v>
      </s:c>
      <s:c r="S23" s="89" t="s">
        <s:v>42</s:v>
      </s:c>
      <s:c r="T23" s="89" t="s">
        <s:v>43</s:v>
      </s:c>
      <s:c r="U23" s="89" t="s">
        <s:v>44</s:v>
      </s:c>
      <s:c r="V23" s="91" t="s">
        <s:v>45</s:v>
      </s:c>
      <s:c r="W23" s="91" t="s">
        <s:v>46</s:v>
      </s:c>
      <s:c r="X23" s="92"/>
    </s:row>
    <s:row r="24">
      <s:c r="A24" s="568"/>
      <s:c r="B24" s="93">
        <s:v>1</s:v>
      </s:c>
      <s:c r="C24" s="93">
        <s:v>2</s:v>
      </s:c>
      <s:c r="D24" s="93">
        <s:v>3</s:v>
      </s:c>
      <s:c r="E24" s="93">
        <s:v>4</s:v>
      </s:c>
      <s:c r="F24" s="93">
        <s:v>5</s:v>
      </s:c>
      <s:c r="G24" s="93">
        <s:v>6</s:v>
      </s:c>
      <s:c r="H24" s="93">
        <s:v>7</s:v>
      </s:c>
      <s:c r="I24" s="93">
        <s:v>8</s:v>
      </s:c>
      <s:c r="J24" s="93">
        <s:v>9</s:v>
      </s:c>
      <s:c r="K24" s="93">
        <s:v>10</s:v>
      </s:c>
      <s:c r="L24" s="93">
        <s:v>11</s:v>
      </s:c>
      <s:c r="M24" s="93">
        <s:v>12</s:v>
      </s:c>
      <s:c r="N24" s="93">
        <s:v>13</s:v>
      </s:c>
      <s:c r="O24" s="575"/>
      <s:c r="P24" s="94">
        <s:v>1</s:v>
      </s:c>
      <s:c r="Q24" s="94">
        <s:v>2</s:v>
      </s:c>
      <s:c r="R24" s="94">
        <s:v>3</s:v>
      </s:c>
      <s:c r="S24" s="94">
        <s:v>4</s:v>
      </s:c>
      <s:c r="T24" s="94">
        <s:v>5</s:v>
      </s:c>
      <s:c r="U24" s="94">
        <s:v>6</s:v>
      </s:c>
      <s:c r="V24" s="94">
        <s:v>10</s:v>
      </s:c>
      <s:c r="W24" s="94">
        <s:v>11</s:v>
      </s:c>
    </s:row>
    <s:row r="25" spans="1:255" s="95" customFormat="1">
      <s:c r="A25" s="96" t="s">
        <s:v>47</s:v>
      </s:c>
      <s:c r="B25" s="97">
        <s:v>45778</s:v>
      </s:c>
      <s:c r="C25" s="98" t="s">
        <s:v>48</s:v>
      </s:c>
      <s:c r="D25" s="99">
        <s:f>104329+L25</s:f>
        <s:v>157504</s:v>
      </s:c>
      <s:c r="E25" s="100">
        <s:v>30</s:v>
      </s:c>
      <s:c r="F25" s="100">
        <s:f>IF(AND(E25&lt;&gt;"",E25&lt;&gt;0),D25/E25,"")</s:f>
        <s:v>5250.1333333333332</s:v>
      </s:c>
      <s:c r="G25" s="100">
        <s:v>19</s:v>
      </s:c>
      <s:c r="H25" s="100">
        <s:f>IF(AND(G25&lt;&gt;"",G25&lt;&gt;0),D25/G25,"")</s:f>
        <s:v>8289.6842105263149</s:v>
      </s:c>
      <s:c r="I25" s="100">
        <s:v>70</s:v>
      </s:c>
      <s:c r="J25" s="99">
        <s:f>IF(AND(G25&lt;&gt;"",G25&lt;&gt;0),E25/G25,"")</s:f>
        <s:v>1.5789473684210527</s:v>
      </s:c>
      <s:c r="K25" s="100">
        <s:v>0</s:v>
      </s:c>
      <s:c r="L25" s="100">
        <s:v>53175</s:v>
      </s:c>
      <s:c r="M25" s="100"/>
      <s:c r="N25" s="101">
        <s:f>IF(AND(I25&lt;&gt;"",I25&lt;&gt;0),G25/I25,"")</s:f>
        <s:v>0.27142857142857141</s:v>
      </s:c>
      <s:c r="O25" s="102">
        <s:f>D25/P25</s:f>
        <s:v>1.1317973421167644</s:v>
      </s:c>
      <s:c r="P25" s="103">
        <s:f>$I$8*V25*W25/SUMPRODUCT($W$25:$W$55,$V$25:$V$55)</s:f>
        <s:v>139162.72298839764</s:v>
      </s:c>
      <s:c r="Q25" s="104">
        <s:f>$I$9*V25*W25/SUMPRODUCT($W$25:$W$55,$V$25:$V$55)</s:f>
        <s:v>26.762062113153391</s:v>
      </s:c>
      <s:c r="R25" s="104">
        <s:f>IF($I$12="","",Q25/$I$12)</s:f>
        <s:v>13.794877377914119</s:v>
      </s:c>
      <s:c r="S25" s="103">
        <s:f>IF(D25&lt;&gt;"",D25,P25)</s:f>
        <s:v>157504</s:v>
      </s:c>
      <s:c r="T25" s="104">
        <s:f>IF(E25&lt;&gt;"",E25,Q25)</s:f>
        <s:v>30</s:v>
      </s:c>
      <s:c r="U25" s="104">
        <s:f>IF(G25&lt;&gt;"",G25,R25)</s:f>
        <s:v>19</s:v>
      </s:c>
      <s:c r="V25" s="105">
        <s:v>0.90048519598893295</s:v>
      </s:c>
      <s:c r="W25" s="105">
        <s:v>0.90048519598893295</s:v>
      </s:c>
      <s:c r="X25" s="106"/>
      <s:c r="Y25" s="107"/>
    </s:row>
    <s:row r="26" spans="1:255" s="95" customFormat="1">
      <s:c r="A26" s="96" t="s">
        <s:v>47</s:v>
      </s:c>
      <s:c r="B26" s="97">
        <s:v>45779</s:v>
      </s:c>
      <s:c r="C26" s="98" t="s">
        <s:v>49</s:v>
      </s:c>
      <s:c r="D26" s="99">
        <s:v>133314</s:v>
      </s:c>
      <s:c r="E26" s="100">
        <s:v>31</s:v>
      </s:c>
      <s:c r="F26" s="100">
        <s:f>IF(AND(E26&lt;&gt;"",E26&lt;&gt;0),D26/E26,"")</s:f>
        <s:v>4300.4516129032254</s:v>
      </s:c>
      <s:c r="G26" s="100">
        <s:v>15</s:v>
      </s:c>
      <s:c r="H26" s="100">
        <s:f>IF(AND(G26&lt;&gt;"",G26&lt;&gt;0),D26/G26,"")</s:f>
        <s:v>8887.6</s:v>
      </s:c>
      <s:c r="I26" s="100">
        <s:v>70</s:v>
      </s:c>
      <s:c r="J26" s="99">
        <s:f>IF(AND(G26&lt;&gt;"",G26&lt;&gt;0),E26/G26,"")</s:f>
        <s:v>2.0666666666666669</s:v>
      </s:c>
      <s:c r="K26" s="100"/>
      <s:c r="L26" s="100"/>
      <s:c r="M26" s="100"/>
      <s:c r="N26" s="101">
        <s:f>IF(AND(I26&lt;&gt;"",I26&lt;&gt;0),G26/I26,"")</s:f>
        <s:v>0.21428571428571427</s:v>
      </s:c>
      <s:c r="O26" s="102">
        <s:f>D26/P26</s:f>
        <s:v>0.68979373527690591</s:v>
      </s:c>
      <s:c r="P26" s="103">
        <s:f>$I$8*V26*W26/SUMPRODUCT($W$25:$W$55,$V$25:$V$55)</s:f>
        <s:v>193266.46964470239</s:v>
      </s:c>
      <s:c r="Q26" s="104">
        <s:f>$I$9*V26*W26/SUMPRODUCT($W$25:$W$55,$V$25:$V$55)</s:f>
        <s:v>37.166628777827384</s:v>
      </s:c>
      <s:c r="R26" s="104">
        <s:f>IF($I$12="","",Q26/$I$12)</s:f>
        <s:v>19.158056071045046</s:v>
      </s:c>
      <s:c r="S26" s="103">
        <s:f>IF(W26&lt;&gt;"",IF(D26&lt;&gt;"",D26,($I$8-SUM($S$25:S25))*V26*W26/SUMPRODUCT($W26:$W$55,$V26:$V$55)),"")</s:f>
        <s:v>133314</s:v>
      </s:c>
      <s:c r="T26" s="104">
        <s:f>IF(W26&lt;&gt;"",IF(E26&lt;&gt;"",E26,($I$9-SUM($T$25:T25))*V26*W26/SUMPRODUCT($W26:$W$55,$V26:$V$55)),"")</s:f>
        <s:v>31</s:v>
      </s:c>
      <s:c r="U26" s="104">
        <s:f>IF(W26&lt;&gt;"",IF($I$12&lt;&gt;"",IF(G26&lt;&gt;"",G26,($I$9/$I$12-SUM($U$25:U25))*V26*W26/SUMPRODUCT($W26:$W$55,$V26:$V$55)),""),"")</s:f>
        <s:v>15</s:v>
      </s:c>
      <s:c r="V26" s="105">
        <s:v>1.0611905531725472</s:v>
      </s:c>
      <s:c r="W26" s="105">
        <s:v>1.0611905531725472</s:v>
      </s:c>
      <s:c r="X26" s="108"/>
      <s:c r="Y26" s="107"/>
    </s:row>
    <s:row r="27" spans="1:255" s="95" customFormat="1">
      <s:c r="A27" s="96" t="s">
        <s:v>50</s:v>
      </s:c>
      <s:c r="B27" s="97">
        <s:v>45780</s:v>
      </s:c>
      <s:c r="C27" s="98" t="s">
        <s:v>51</s:v>
      </s:c>
      <s:c r="D27" s="99">
        <s:f>160306+L27</s:f>
        <s:v>195921</s:v>
      </s:c>
      <s:c r="E27" s="109">
        <s:v>36</s:v>
      </s:c>
      <s:c r="F27" s="100">
        <s:f>IF(AND(E27&lt;&gt;"",E27&lt;&gt;0),D27/E27,"")</s:f>
        <s:v>5442.25</s:v>
      </s:c>
      <s:c r="G27" s="109">
        <s:v>21</s:v>
      </s:c>
      <s:c r="H27" s="100">
        <s:f>IF(AND(G27&lt;&gt;"",G27&lt;&gt;0),D27/G27,"")</s:f>
        <s:v>9329.5714285714294</s:v>
      </s:c>
      <s:c r="I27" s="109">
        <s:v>70</s:v>
      </s:c>
      <s:c r="J27" s="99">
        <s:f>IF(AND(G27&lt;&gt;"",G27&lt;&gt;0),E27/G27,"")</s:f>
        <s:v>1.7142857142857142</s:v>
      </s:c>
      <s:c r="K27" s="100">
        <s:v>42464</s:v>
      </s:c>
      <s:c r="L27" s="100">
        <s:v>35615</s:v>
      </s:c>
      <s:c r="M27" s="100"/>
      <s:c r="N27" s="101">
        <s:f>IF(AND(I27&lt;&gt;"",I27&lt;&gt;0),G27/I27,"")</s:f>
        <s:v>0.3</s:v>
      </s:c>
      <s:c r="O27" s="102">
        <s:f>D27/P27</s:f>
        <s:v>0.7951547390580852</s:v>
      </s:c>
      <s:c r="P27" s="103">
        <s:f>$I$8*V27*W27/SUMPRODUCT($W$25:$W$55,$V$25:$V$55)</s:f>
        <s:v>246393.5513131466</s:v>
      </s:c>
      <s:c r="Q27" s="104">
        <s:f>$I$9*V27*W27/SUMPRODUCT($W$25:$W$55,$V$25:$V$55)</s:f>
        <s:v>47.383375252528189</s:v>
      </s:c>
      <s:c r="R27" s="104">
        <s:f>IF($I$12="","",Q27/$I$12)</s:f>
        <s:v>24.424420233261955</s:v>
      </s:c>
      <s:c r="S27" s="103">
        <s:f>IF(W27&lt;&gt;"",IF(D27&lt;&gt;"",D27,($I$8-SUM($S$25:S26))*V27*W27/SUMPRODUCT($W27:$W$55,$V27:$V$55)),"")</s:f>
        <s:v>195921</s:v>
      </s:c>
      <s:c r="T27" s="104">
        <s:f>IF(W27&lt;&gt;"",IF(E27&lt;&gt;"",E27,($I$9-SUM($T$25:T26))*V27*W27/SUMPRODUCT($W27:$W$55,$V27:$V$55)),"")</s:f>
        <s:v>36</s:v>
      </s:c>
      <s:c r="U27" s="104">
        <s:f>IF(W27&lt;&gt;"",IF($I$12&lt;&gt;"",IF(G27&lt;&gt;"",G27,($I$9/$I$12-SUM($U$25:U26))*V27*W27/SUMPRODUCT($W27:$W$55,$V27:$V$55)),""),"")</s:f>
        <s:v>21</s:v>
      </s:c>
      <s:c r="V27" s="105">
        <s:v>1.1982013014921034</s:v>
      </s:c>
      <s:c r="W27" s="105">
        <s:v>1.1982013014921034</s:v>
      </s:c>
      <s:c r="X27" s="108"/>
      <s:c r="Y27" s="107"/>
      <s:c r="Z27" s="110"/>
      <s:c r="AA27" s="110"/>
      <s:c r="AB27" s="110"/>
      <s:c r="AC27" s="110"/>
      <s:c r="AD27" s="110"/>
      <s:c r="AE27" s="110"/>
      <s:c r="AF27" s="110"/>
      <s:c r="AG27" s="110"/>
      <s:c r="AH27" s="110"/>
      <s:c r="AI27" s="110"/>
      <s:c r="AJ27" s="110"/>
      <s:c r="AK27" s="110"/>
      <s:c r="AL27" s="110"/>
      <s:c r="AM27" s="110"/>
      <s:c r="AN27" s="110"/>
      <s:c r="AO27" s="110"/>
      <s:c r="AP27" s="110"/>
      <s:c r="AQ27" s="110"/>
      <s:c r="AR27" s="110"/>
      <s:c r="AS27" s="110"/>
      <s:c r="AT27" s="110"/>
      <s:c r="AU27" s="110"/>
      <s:c r="AV27" s="110"/>
      <s:c r="AW27" s="110"/>
      <s:c r="AX27" s="110"/>
      <s:c r="AY27" s="110"/>
      <s:c r="AZ27" s="110"/>
      <s:c r="BA27" s="110"/>
      <s:c r="BB27" s="110"/>
      <s:c r="BC27" s="110"/>
      <s:c r="BD27" s="110"/>
      <s:c r="BE27" s="110"/>
      <s:c r="BF27" s="110"/>
      <s:c r="BG27" s="110"/>
      <s:c r="BH27" s="110"/>
      <s:c r="BI27" s="110"/>
      <s:c r="BJ27" s="110"/>
      <s:c r="BK27" s="110"/>
      <s:c r="BL27" s="110"/>
      <s:c r="BM27" s="110"/>
      <s:c r="BN27" s="110"/>
      <s:c r="BO27" s="110"/>
      <s:c r="BP27" s="110"/>
      <s:c r="BQ27" s="110"/>
      <s:c r="BR27" s="110"/>
      <s:c r="BS27" s="110"/>
      <s:c r="BT27" s="110"/>
      <s:c r="BU27" s="110"/>
      <s:c r="BV27" s="110"/>
      <s:c r="BW27" s="110"/>
      <s:c r="BX27" s="110"/>
      <s:c r="BY27" s="110"/>
      <s:c r="BZ27" s="110"/>
      <s:c r="CA27" s="110"/>
      <s:c r="CB27" s="110"/>
      <s:c r="CC27" s="110"/>
      <s:c r="CD27" s="110"/>
      <s:c r="CE27" s="110"/>
      <s:c r="CF27" s="110"/>
      <s:c r="CG27" s="110"/>
      <s:c r="CH27" s="110"/>
      <s:c r="CI27" s="110"/>
      <s:c r="CJ27" s="110"/>
      <s:c r="CK27" s="110"/>
      <s:c r="CL27" s="110"/>
      <s:c r="CM27" s="110"/>
      <s:c r="CN27" s="110"/>
      <s:c r="CO27" s="110"/>
      <s:c r="CP27" s="110"/>
      <s:c r="CQ27" s="110"/>
      <s:c r="CR27" s="110"/>
      <s:c r="CS27" s="110"/>
      <s:c r="CT27" s="110"/>
      <s:c r="CU27" s="110"/>
      <s:c r="CV27" s="110"/>
      <s:c r="CW27" s="110"/>
      <s:c r="CX27" s="110"/>
      <s:c r="CY27" s="110"/>
      <s:c r="CZ27" s="110"/>
      <s:c r="DA27" s="110"/>
      <s:c r="DB27" s="110"/>
      <s:c r="DC27" s="110"/>
      <s:c r="DD27" s="110"/>
      <s:c r="DE27" s="110"/>
      <s:c r="DF27" s="110"/>
      <s:c r="DG27" s="110"/>
      <s:c r="DH27" s="110"/>
      <s:c r="DI27" s="110"/>
      <s:c r="DJ27" s="110"/>
      <s:c r="DK27" s="110"/>
      <s:c r="DL27" s="110"/>
      <s:c r="DM27" s="110"/>
      <s:c r="DN27" s="110"/>
      <s:c r="DO27" s="110"/>
      <s:c r="DP27" s="110"/>
      <s:c r="DQ27" s="110"/>
      <s:c r="DR27" s="110"/>
      <s:c r="DS27" s="110"/>
      <s:c r="DT27" s="110"/>
      <s:c r="DU27" s="110"/>
      <s:c r="DV27" s="110"/>
      <s:c r="DW27" s="110"/>
      <s:c r="DX27" s="110"/>
      <s:c r="DY27" s="110"/>
      <s:c r="DZ27" s="110"/>
      <s:c r="EA27" s="110"/>
      <s:c r="EB27" s="110"/>
      <s:c r="EC27" s="110"/>
      <s:c r="ED27" s="110"/>
      <s:c r="EE27" s="110"/>
      <s:c r="EF27" s="110"/>
      <s:c r="EG27" s="110"/>
      <s:c r="EH27" s="110"/>
      <s:c r="EI27" s="110"/>
      <s:c r="EJ27" s="110"/>
      <s:c r="EK27" s="110"/>
      <s:c r="EL27" s="110"/>
      <s:c r="EM27" s="110"/>
      <s:c r="EN27" s="110"/>
      <s:c r="EO27" s="110"/>
      <s:c r="EP27" s="110"/>
      <s:c r="EQ27" s="110"/>
      <s:c r="ER27" s="110"/>
      <s:c r="ES27" s="110"/>
      <s:c r="ET27" s="110"/>
      <s:c r="EU27" s="110"/>
      <s:c r="EV27" s="110"/>
      <s:c r="EW27" s="110"/>
      <s:c r="EX27" s="110"/>
      <s:c r="EY27" s="110"/>
      <s:c r="EZ27" s="110"/>
      <s:c r="FA27" s="110"/>
      <s:c r="FB27" s="110"/>
      <s:c r="FC27" s="110"/>
      <s:c r="FD27" s="110"/>
      <s:c r="FE27" s="110"/>
      <s:c r="FF27" s="110"/>
      <s:c r="FG27" s="110"/>
      <s:c r="FH27" s="110"/>
      <s:c r="FI27" s="110"/>
      <s:c r="FJ27" s="110"/>
      <s:c r="FK27" s="110"/>
      <s:c r="FL27" s="110"/>
      <s:c r="FM27" s="110"/>
      <s:c r="FN27" s="110"/>
      <s:c r="FO27" s="110"/>
      <s:c r="FP27" s="110"/>
      <s:c r="FQ27" s="110"/>
      <s:c r="FR27" s="110"/>
      <s:c r="FS27" s="110"/>
      <s:c r="FT27" s="110"/>
      <s:c r="FU27" s="110"/>
      <s:c r="FV27" s="110"/>
      <s:c r="FW27" s="110"/>
      <s:c r="FX27" s="110"/>
      <s:c r="FY27" s="110"/>
      <s:c r="FZ27" s="110"/>
      <s:c r="GA27" s="110"/>
      <s:c r="GB27" s="110"/>
      <s:c r="GC27" s="110"/>
      <s:c r="GD27" s="110"/>
      <s:c r="GE27" s="110"/>
      <s:c r="GF27" s="110"/>
      <s:c r="GG27" s="110"/>
      <s:c r="GH27" s="110"/>
      <s:c r="GI27" s="110"/>
      <s:c r="GJ27" s="110"/>
      <s:c r="GK27" s="110"/>
      <s:c r="GL27" s="110"/>
      <s:c r="GM27" s="110"/>
      <s:c r="GN27" s="110"/>
      <s:c r="GO27" s="110"/>
      <s:c r="GP27" s="110"/>
      <s:c r="GQ27" s="110"/>
      <s:c r="GR27" s="110"/>
      <s:c r="GS27" s="110"/>
      <s:c r="GT27" s="110"/>
      <s:c r="GU27" s="110"/>
      <s:c r="GV27" s="110"/>
      <s:c r="GW27" s="110"/>
      <s:c r="GX27" s="110"/>
      <s:c r="GY27" s="110"/>
      <s:c r="GZ27" s="110"/>
      <s:c r="HA27" s="110"/>
      <s:c r="HB27" s="110"/>
      <s:c r="HC27" s="110"/>
      <s:c r="HD27" s="110"/>
      <s:c r="HE27" s="110"/>
      <s:c r="HF27" s="110"/>
      <s:c r="HG27" s="110"/>
      <s:c r="HH27" s="110"/>
      <s:c r="HI27" s="110"/>
      <s:c r="HJ27" s="110"/>
      <s:c r="HK27" s="110"/>
      <s:c r="HL27" s="110"/>
      <s:c r="HM27" s="110"/>
      <s:c r="HN27" s="110"/>
      <s:c r="HO27" s="110"/>
      <s:c r="HP27" s="110"/>
      <s:c r="HQ27" s="110"/>
      <s:c r="HR27" s="110"/>
      <s:c r="HS27" s="110"/>
      <s:c r="HT27" s="110"/>
      <s:c r="HU27" s="110"/>
      <s:c r="HV27" s="110"/>
      <s:c r="HW27" s="110"/>
      <s:c r="HX27" s="110"/>
      <s:c r="HY27" s="110"/>
      <s:c r="HZ27" s="110"/>
      <s:c r="IA27" s="110"/>
      <s:c r="IB27" s="110"/>
      <s:c r="IC27" s="110"/>
      <s:c r="ID27" s="110"/>
      <s:c r="IE27" s="110"/>
      <s:c r="IF27" s="110"/>
      <s:c r="IG27" s="110"/>
      <s:c r="IH27" s="110"/>
      <s:c r="II27" s="110"/>
      <s:c r="IJ27" s="110"/>
      <s:c r="IK27" s="110"/>
      <s:c r="IL27" s="110"/>
      <s:c r="IM27" s="110"/>
      <s:c r="IN27" s="110"/>
      <s:c r="IO27" s="110"/>
      <s:c r="IP27" s="110"/>
      <s:c r="IQ27" s="110"/>
      <s:c r="IR27" s="110"/>
      <s:c r="IS27" s="110"/>
      <s:c r="IT27" s="110"/>
      <s:c r="IU27" s="110"/>
    </s:row>
    <s:row r="28" spans="1:255" s="95" customFormat="1">
      <s:c r="A28" s="96" t="s">
        <s:v>52</s:v>
      </s:c>
      <s:c r="B28" s="97">
        <s:v>45781</s:v>
      </s:c>
      <s:c r="C28" s="98" t="s">
        <s:v>53</s:v>
      </s:c>
      <s:c r="D28" s="99">
        <s:v>91670</s:v>
      </s:c>
      <s:c r="E28" s="100">
        <s:v>20</s:v>
      </s:c>
      <s:c r="F28" s="100">
        <s:f>IF(AND(E28&lt;&gt;"",E28&lt;&gt;0),D28/E28,"")</s:f>
        <s:v>4583.5</s:v>
      </s:c>
      <s:c r="G28" s="100">
        <s:v>9</s:v>
      </s:c>
      <s:c r="H28" s="100">
        <s:f>IF(AND(G28&lt;&gt;"",G28&lt;&gt;0),D28/G28,"")</s:f>
        <s:v>10185.555555555555</s:v>
      </s:c>
      <s:c r="I28" s="100">
        <s:v>40</s:v>
      </s:c>
      <s:c r="J28" s="99">
        <s:f>IF(AND(G28&lt;&gt;"",G28&lt;&gt;0),E28/G28,"")</s:f>
        <s:v>2.2222222222222223</s:v>
      </s:c>
      <s:c r="K28" s="100">
        <s:v>12992</s:v>
      </s:c>
      <s:c r="L28" s="100"/>
      <s:c r="M28" s="100"/>
      <s:c r="N28" s="101">
        <s:f>IF(AND(I28&lt;&gt;"",I28&lt;&gt;0),G28/I28,"")</s:f>
        <s:v>0.22500000000000001</s:v>
      </s:c>
      <s:c r="O28" s="102">
        <s:f>D28/P28</s:f>
        <s:v>0.87600558629413738</s:v>
      </s:c>
      <s:c r="P28" s="103">
        <s:f>$I$8*V28*W28/SUMPRODUCT($W$25:$W$55,$V$25:$V$55)</s:f>
        <s:v>104645.451392384</s:v>
      </s:c>
      <s:c r="Q28" s="104">
        <s:f>$I$9*V28*W28/SUMPRODUCT($W$25:$W$55,$V$25:$V$55)</s:f>
        <s:v>20.12412526776615</s:v>
      </s:c>
      <s:c r="R28" s="104">
        <s:f>IF($I$12="","",Q28/$I$12)</s:f>
        <s:v>10.373260447302139</s:v>
      </s:c>
      <s:c r="S28" s="103">
        <s:f>IF(W28&lt;&gt;"",IF(D28&lt;&gt;"",D28,($I$8-SUM($S$25:S27))*V28*W28/SUMPRODUCT($W28:$W$55,$V28:$V$55)),"")</s:f>
        <s:v>91670</s:v>
      </s:c>
      <s:c r="T28" s="104">
        <s:f>IF(W28&lt;&gt;"",IF(E28&lt;&gt;"",E28,($I$9-SUM($T$25:T27))*V28*W28/SUMPRODUCT($W28:$W$55,$V28:$V$55)),"")</s:f>
        <s:v>20</s:v>
      </s:c>
      <s:c r="U28" s="104">
        <s:f>IF(W28&lt;&gt;"",IF($I$12&lt;&gt;"",IF(G28&lt;&gt;"",G28,($I$9/$I$12-SUM($U$25:U27))*V28*W28/SUMPRODUCT($W28:$W$55,$V28:$V$55)),""),"")</s:f>
        <s:v>9</s:v>
      </s:c>
      <s:c r="V28" s="105">
        <s:v>0.78086381145976858</s:v>
      </s:c>
      <s:c r="W28" s="105">
        <s:v>0.78086381145976858</s:v>
      </s:c>
      <s:c r="X28" s="108"/>
      <s:c r="Y28" s="111"/>
      <s:c r="Z28" s="110"/>
      <s:c r="AA28" s="110"/>
      <s:c r="AB28" s="110"/>
      <s:c r="AC28" s="110"/>
      <s:c r="AD28" s="110"/>
      <s:c r="AE28" s="110"/>
      <s:c r="AF28" s="110"/>
      <s:c r="AG28" s="110"/>
      <s:c r="AH28" s="110"/>
      <s:c r="AI28" s="110"/>
      <s:c r="AJ28" s="110"/>
      <s:c r="AK28" s="110"/>
      <s:c r="AL28" s="110"/>
      <s:c r="AM28" s="110"/>
      <s:c r="AN28" s="110"/>
      <s:c r="AO28" s="110"/>
      <s:c r="AP28" s="110"/>
      <s:c r="AQ28" s="110"/>
      <s:c r="AR28" s="110"/>
      <s:c r="AS28" s="110"/>
      <s:c r="AT28" s="110"/>
      <s:c r="AU28" s="110"/>
      <s:c r="AV28" s="110"/>
      <s:c r="AW28" s="110"/>
      <s:c r="AX28" s="110"/>
      <s:c r="AY28" s="110"/>
      <s:c r="AZ28" s="110"/>
      <s:c r="BA28" s="110"/>
      <s:c r="BB28" s="110"/>
      <s:c r="BC28" s="110"/>
      <s:c r="BD28" s="110"/>
      <s:c r="BE28" s="110"/>
      <s:c r="BF28" s="110"/>
      <s:c r="BG28" s="110"/>
      <s:c r="BH28" s="110"/>
      <s:c r="BI28" s="110"/>
      <s:c r="BJ28" s="110"/>
      <s:c r="BK28" s="110"/>
      <s:c r="BL28" s="110"/>
      <s:c r="BM28" s="110"/>
      <s:c r="BN28" s="110"/>
      <s:c r="BO28" s="110"/>
      <s:c r="BP28" s="110"/>
      <s:c r="BQ28" s="110"/>
      <s:c r="BR28" s="110"/>
      <s:c r="BS28" s="110"/>
      <s:c r="BT28" s="110"/>
      <s:c r="BU28" s="110"/>
      <s:c r="BV28" s="110"/>
      <s:c r="BW28" s="110"/>
      <s:c r="BX28" s="110"/>
      <s:c r="BY28" s="110"/>
      <s:c r="BZ28" s="110"/>
      <s:c r="CA28" s="110"/>
      <s:c r="CB28" s="110"/>
      <s:c r="CC28" s="110"/>
      <s:c r="CD28" s="110"/>
      <s:c r="CE28" s="110"/>
      <s:c r="CF28" s="110"/>
      <s:c r="CG28" s="110"/>
      <s:c r="CH28" s="110"/>
      <s:c r="CI28" s="110"/>
      <s:c r="CJ28" s="110"/>
      <s:c r="CK28" s="110"/>
      <s:c r="CL28" s="110"/>
      <s:c r="CM28" s="110"/>
      <s:c r="CN28" s="110"/>
      <s:c r="CO28" s="110"/>
      <s:c r="CP28" s="110"/>
      <s:c r="CQ28" s="110"/>
      <s:c r="CR28" s="110"/>
      <s:c r="CS28" s="110"/>
      <s:c r="CT28" s="110"/>
      <s:c r="CU28" s="110"/>
      <s:c r="CV28" s="110"/>
      <s:c r="CW28" s="110"/>
      <s:c r="CX28" s="110"/>
      <s:c r="CY28" s="110"/>
      <s:c r="CZ28" s="110"/>
      <s:c r="DA28" s="110"/>
      <s:c r="DB28" s="110"/>
      <s:c r="DC28" s="110"/>
      <s:c r="DD28" s="110"/>
      <s:c r="DE28" s="110"/>
      <s:c r="DF28" s="110"/>
      <s:c r="DG28" s="110"/>
      <s:c r="DH28" s="110"/>
      <s:c r="DI28" s="110"/>
      <s:c r="DJ28" s="110"/>
      <s:c r="DK28" s="110"/>
      <s:c r="DL28" s="110"/>
      <s:c r="DM28" s="110"/>
      <s:c r="DN28" s="110"/>
      <s:c r="DO28" s="110"/>
      <s:c r="DP28" s="110"/>
      <s:c r="DQ28" s="110"/>
      <s:c r="DR28" s="110"/>
      <s:c r="DS28" s="110"/>
      <s:c r="DT28" s="110"/>
      <s:c r="DU28" s="110"/>
      <s:c r="DV28" s="110"/>
      <s:c r="DW28" s="110"/>
      <s:c r="DX28" s="110"/>
      <s:c r="DY28" s="110"/>
      <s:c r="DZ28" s="110"/>
      <s:c r="EA28" s="110"/>
      <s:c r="EB28" s="110"/>
      <s:c r="EC28" s="110"/>
      <s:c r="ED28" s="110"/>
      <s:c r="EE28" s="110"/>
      <s:c r="EF28" s="110"/>
      <s:c r="EG28" s="110"/>
      <s:c r="EH28" s="110"/>
      <s:c r="EI28" s="110"/>
      <s:c r="EJ28" s="110"/>
      <s:c r="EK28" s="110"/>
      <s:c r="EL28" s="110"/>
      <s:c r="EM28" s="110"/>
      <s:c r="EN28" s="110"/>
      <s:c r="EO28" s="110"/>
      <s:c r="EP28" s="110"/>
      <s:c r="EQ28" s="110"/>
      <s:c r="ER28" s="110"/>
      <s:c r="ES28" s="110"/>
      <s:c r="ET28" s="110"/>
      <s:c r="EU28" s="110"/>
      <s:c r="EV28" s="110"/>
      <s:c r="EW28" s="110"/>
      <s:c r="EX28" s="110"/>
      <s:c r="EY28" s="110"/>
      <s:c r="EZ28" s="110"/>
      <s:c r="FA28" s="110"/>
      <s:c r="FB28" s="110"/>
      <s:c r="FC28" s="110"/>
      <s:c r="FD28" s="110"/>
      <s:c r="FE28" s="110"/>
      <s:c r="FF28" s="110"/>
      <s:c r="FG28" s="110"/>
      <s:c r="FH28" s="110"/>
      <s:c r="FI28" s="110"/>
      <s:c r="FJ28" s="110"/>
      <s:c r="FK28" s="110"/>
      <s:c r="FL28" s="110"/>
      <s:c r="FM28" s="110"/>
      <s:c r="FN28" s="110"/>
      <s:c r="FO28" s="110"/>
      <s:c r="FP28" s="110"/>
      <s:c r="FQ28" s="110"/>
      <s:c r="FR28" s="110"/>
      <s:c r="FS28" s="110"/>
      <s:c r="FT28" s="110"/>
      <s:c r="FU28" s="110"/>
      <s:c r="FV28" s="110"/>
      <s:c r="FW28" s="110"/>
      <s:c r="FX28" s="110"/>
      <s:c r="FY28" s="110"/>
      <s:c r="FZ28" s="110"/>
      <s:c r="GA28" s="110"/>
      <s:c r="GB28" s="110"/>
      <s:c r="GC28" s="110"/>
      <s:c r="GD28" s="110"/>
      <s:c r="GE28" s="110"/>
      <s:c r="GF28" s="110"/>
      <s:c r="GG28" s="110"/>
      <s:c r="GH28" s="110"/>
      <s:c r="GI28" s="110"/>
      <s:c r="GJ28" s="110"/>
      <s:c r="GK28" s="110"/>
      <s:c r="GL28" s="110"/>
      <s:c r="GM28" s="110"/>
      <s:c r="GN28" s="110"/>
      <s:c r="GO28" s="110"/>
      <s:c r="GP28" s="110"/>
      <s:c r="GQ28" s="110"/>
      <s:c r="GR28" s="110"/>
      <s:c r="GS28" s="110"/>
      <s:c r="GT28" s="110"/>
      <s:c r="GU28" s="110"/>
      <s:c r="GV28" s="110"/>
      <s:c r="GW28" s="110"/>
      <s:c r="GX28" s="110"/>
      <s:c r="GY28" s="110"/>
      <s:c r="GZ28" s="110"/>
      <s:c r="HA28" s="110"/>
      <s:c r="HB28" s="110"/>
      <s:c r="HC28" s="110"/>
      <s:c r="HD28" s="110"/>
      <s:c r="HE28" s="110"/>
      <s:c r="HF28" s="110"/>
      <s:c r="HG28" s="110"/>
      <s:c r="HH28" s="110"/>
      <s:c r="HI28" s="110"/>
      <s:c r="HJ28" s="110"/>
      <s:c r="HK28" s="110"/>
      <s:c r="HL28" s="110"/>
      <s:c r="HM28" s="110"/>
      <s:c r="HN28" s="110"/>
      <s:c r="HO28" s="110"/>
      <s:c r="HP28" s="110"/>
      <s:c r="HQ28" s="110"/>
      <s:c r="HR28" s="110"/>
      <s:c r="HS28" s="110"/>
      <s:c r="HT28" s="110"/>
      <s:c r="HU28" s="110"/>
      <s:c r="HV28" s="110"/>
      <s:c r="HW28" s="110"/>
      <s:c r="HX28" s="110"/>
      <s:c r="HY28" s="110"/>
      <s:c r="HZ28" s="110"/>
      <s:c r="IA28" s="110"/>
      <s:c r="IB28" s="110"/>
      <s:c r="IC28" s="110"/>
      <s:c r="ID28" s="110"/>
      <s:c r="IE28" s="110"/>
      <s:c r="IF28" s="110"/>
      <s:c r="IG28" s="110"/>
      <s:c r="IH28" s="110"/>
      <s:c r="II28" s="110"/>
      <s:c r="IJ28" s="110"/>
      <s:c r="IK28" s="110"/>
      <s:c r="IL28" s="110"/>
      <s:c r="IM28" s="110"/>
      <s:c r="IN28" s="110"/>
      <s:c r="IO28" s="110"/>
      <s:c r="IP28" s="110"/>
      <s:c r="IQ28" s="110"/>
      <s:c r="IR28" s="110"/>
      <s:c r="IS28" s="110"/>
      <s:c r="IT28" s="110"/>
      <s:c r="IU28" s="110"/>
    </s:row>
    <s:row r="29" spans="1:255" s="112" customFormat="1">
      <s:c r="A29" s="96" t="s">
        <s:v>52</s:v>
      </s:c>
      <s:c r="B29" s="97">
        <s:v>45782</s:v>
      </s:c>
      <s:c r="C29" s="98" t="s">
        <s:v>54</s:v>
      </s:c>
      <s:c r="D29" s="99">
        <s:v>189255</s:v>
      </s:c>
      <s:c r="E29" s="100">
        <s:v>34</s:v>
      </s:c>
      <s:c r="F29" s="100">
        <s:f>IF(AND(E29&lt;&gt;"",E29&lt;&gt;0),D29/E29,"")</s:f>
        <s:v>5566.3235294117649</s:v>
      </s:c>
      <s:c r="G29" s="100">
        <s:v>13</s:v>
      </s:c>
      <s:c r="H29" s="100">
        <s:f>IF(AND(G29&lt;&gt;"",G29&lt;&gt;0),D29/G29,"")</s:f>
        <s:v>14558.076923076924</s:v>
      </s:c>
      <s:c r="I29" s="100">
        <s:v>70</s:v>
      </s:c>
      <s:c r="J29" s="99">
        <s:f>IF(AND(G29&lt;&gt;"",G29&lt;&gt;0),E29/G29,"")</s:f>
        <s:v>2.6153846153846154</s:v>
      </s:c>
      <s:c r="K29" s="100"/>
      <s:c r="L29" s="100">
        <s:v>57708</s:v>
      </s:c>
      <s:c r="M29" s="100"/>
      <s:c r="N29" s="101">
        <s:f>IF(AND(I29&lt;&gt;"",I29&lt;&gt;0),G29/I29,"")</s:f>
        <s:v>0.18571428571428572</s:v>
      </s:c>
      <s:c r="O29" s="102">
        <s:f>D29/P29</s:f>
        <s:v>1.0117611778902076</s:v>
      </s:c>
      <s:c r="P29" s="103">
        <s:f>$I$8*V29*W29/SUMPRODUCT($W$25:$W$55,$V$25:$V$55)</s:f>
        <s:v>187055.01272014334</s:v>
      </s:c>
      <s:c r="Q29" s="104">
        <s:f>$I$9*V29*W29/SUMPRODUCT($W$25:$W$55,$V$25:$V$55)</s:f>
        <s:v>35.97211783079679</s:v>
      </s:c>
      <s:c r="R29" s="104">
        <s:f>IF($I$12="","",Q29/$I$12)</s:f>
        <s:v>18.542328778761231</s:v>
      </s:c>
      <s:c r="S29" s="103">
        <s:f>IF(W29&lt;&gt;"",IF(D29&lt;&gt;"",D29,($I$8-SUM($S$25:S28))*V29*W29/SUMPRODUCT($W29:$W$55,$V29:$V$55)),"")</s:f>
        <s:v>189255</s:v>
      </s:c>
      <s:c r="T29" s="104">
        <s:f>IF(W29&lt;&gt;"",IF(E29&lt;&gt;"",E29,($I$9-SUM($T$25:T28))*V29*W29/SUMPRODUCT($W29:$W$55,$V29:$V$55)),"")</s:f>
        <s:v>34</s:v>
      </s:c>
      <s:c r="U29" s="104">
        <s:f>IF(W29&lt;&gt;"",IF($I$12&lt;&gt;"",IF(G29&lt;&gt;"",G29,($I$9/$I$12-SUM($U$25:U28))*V29*W29/SUMPRODUCT($W29:$W$55,$V29:$V$55)),""),"")</s:f>
        <s:v>13</s:v>
      </s:c>
      <s:c r="V29" s="105">
        <s:v>1.0439983057913622</s:v>
      </s:c>
      <s:c r="W29" s="105">
        <s:v>1.0439983057913622</s:v>
      </s:c>
      <s:c r="X29" s="108"/>
      <s:c r="Y29" s="107"/>
      <s:c r="Z29" s="110"/>
      <s:c r="AA29" s="110"/>
      <s:c r="AB29" s="110"/>
      <s:c r="AC29" s="110"/>
      <s:c r="AD29" s="110"/>
      <s:c r="AE29" s="110"/>
      <s:c r="AF29" s="110"/>
      <s:c r="AG29" s="110"/>
      <s:c r="AH29" s="110"/>
      <s:c r="AI29" s="110"/>
      <s:c r="AJ29" s="110"/>
      <s:c r="AK29" s="110"/>
      <s:c r="AL29" s="110"/>
      <s:c r="AM29" s="110"/>
      <s:c r="AN29" s="110"/>
      <s:c r="AO29" s="110"/>
      <s:c r="AP29" s="110"/>
      <s:c r="AQ29" s="110"/>
      <s:c r="AR29" s="110"/>
      <s:c r="AS29" s="110"/>
      <s:c r="AT29" s="110"/>
      <s:c r="AU29" s="110"/>
      <s:c r="AV29" s="110"/>
      <s:c r="AW29" s="110"/>
      <s:c r="AX29" s="110"/>
      <s:c r="AY29" s="110"/>
      <s:c r="AZ29" s="110"/>
      <s:c r="BA29" s="110"/>
      <s:c r="BB29" s="110"/>
      <s:c r="BC29" s="110"/>
      <s:c r="BD29" s="110"/>
      <s:c r="BE29" s="110"/>
      <s:c r="BF29" s="110"/>
      <s:c r="BG29" s="110"/>
      <s:c r="BH29" s="110"/>
      <s:c r="BI29" s="110"/>
      <s:c r="BJ29" s="110"/>
      <s:c r="BK29" s="110"/>
      <s:c r="BL29" s="110"/>
      <s:c r="BM29" s="110"/>
      <s:c r="BN29" s="110"/>
      <s:c r="BO29" s="110"/>
      <s:c r="BP29" s="110"/>
      <s:c r="BQ29" s="110"/>
      <s:c r="BR29" s="110"/>
      <s:c r="BS29" s="110"/>
      <s:c r="BT29" s="110"/>
      <s:c r="BU29" s="110"/>
      <s:c r="BV29" s="110"/>
      <s:c r="BW29" s="110"/>
      <s:c r="BX29" s="110"/>
      <s:c r="BY29" s="110"/>
      <s:c r="BZ29" s="110"/>
      <s:c r="CA29" s="110"/>
      <s:c r="CB29" s="110"/>
      <s:c r="CC29" s="110"/>
      <s:c r="CD29" s="110"/>
      <s:c r="CE29" s="110"/>
      <s:c r="CF29" s="110"/>
      <s:c r="CG29" s="110"/>
      <s:c r="CH29" s="110"/>
      <s:c r="CI29" s="110"/>
      <s:c r="CJ29" s="110"/>
      <s:c r="CK29" s="110"/>
      <s:c r="CL29" s="110"/>
      <s:c r="CM29" s="110"/>
      <s:c r="CN29" s="110"/>
      <s:c r="CO29" s="110"/>
      <s:c r="CP29" s="110"/>
      <s:c r="CQ29" s="110"/>
      <s:c r="CR29" s="110"/>
      <s:c r="CS29" s="110"/>
      <s:c r="CT29" s="110"/>
      <s:c r="CU29" s="110"/>
      <s:c r="CV29" s="110"/>
      <s:c r="CW29" s="110"/>
      <s:c r="CX29" s="110"/>
      <s:c r="CY29" s="110"/>
      <s:c r="CZ29" s="110"/>
      <s:c r="DA29" s="110"/>
      <s:c r="DB29" s="110"/>
      <s:c r="DC29" s="110"/>
      <s:c r="DD29" s="110"/>
      <s:c r="DE29" s="110"/>
      <s:c r="DF29" s="110"/>
      <s:c r="DG29" s="110"/>
      <s:c r="DH29" s="110"/>
      <s:c r="DI29" s="110"/>
      <s:c r="DJ29" s="110"/>
      <s:c r="DK29" s="110"/>
      <s:c r="DL29" s="110"/>
      <s:c r="DM29" s="110"/>
      <s:c r="DN29" s="110"/>
      <s:c r="DO29" s="110"/>
      <s:c r="DP29" s="110"/>
      <s:c r="DQ29" s="110"/>
      <s:c r="DR29" s="110"/>
      <s:c r="DS29" s="110"/>
      <s:c r="DT29" s="110"/>
      <s:c r="DU29" s="110"/>
      <s:c r="DV29" s="110"/>
      <s:c r="DW29" s="110"/>
      <s:c r="DX29" s="110"/>
      <s:c r="DY29" s="110"/>
      <s:c r="DZ29" s="110"/>
      <s:c r="EA29" s="110"/>
      <s:c r="EB29" s="110"/>
      <s:c r="EC29" s="110"/>
      <s:c r="ED29" s="110"/>
      <s:c r="EE29" s="110"/>
      <s:c r="EF29" s="110"/>
      <s:c r="EG29" s="110"/>
      <s:c r="EH29" s="110"/>
      <s:c r="EI29" s="110"/>
      <s:c r="EJ29" s="110"/>
      <s:c r="EK29" s="110"/>
      <s:c r="EL29" s="110"/>
      <s:c r="EM29" s="110"/>
      <s:c r="EN29" s="110"/>
      <s:c r="EO29" s="110"/>
      <s:c r="EP29" s="110"/>
      <s:c r="EQ29" s="110"/>
      <s:c r="ER29" s="110"/>
      <s:c r="ES29" s="110"/>
      <s:c r="ET29" s="110"/>
      <s:c r="EU29" s="110"/>
      <s:c r="EV29" s="110"/>
      <s:c r="EW29" s="110"/>
      <s:c r="EX29" s="110"/>
      <s:c r="EY29" s="110"/>
      <s:c r="EZ29" s="110"/>
      <s:c r="FA29" s="110"/>
      <s:c r="FB29" s="110"/>
      <s:c r="FC29" s="110"/>
      <s:c r="FD29" s="110"/>
      <s:c r="FE29" s="110"/>
      <s:c r="FF29" s="110"/>
      <s:c r="FG29" s="110"/>
      <s:c r="FH29" s="110"/>
      <s:c r="FI29" s="110"/>
      <s:c r="FJ29" s="110"/>
      <s:c r="FK29" s="110"/>
      <s:c r="FL29" s="110"/>
      <s:c r="FM29" s="110"/>
      <s:c r="FN29" s="110"/>
      <s:c r="FO29" s="110"/>
      <s:c r="FP29" s="110"/>
      <s:c r="FQ29" s="110"/>
      <s:c r="FR29" s="110"/>
      <s:c r="FS29" s="110"/>
      <s:c r="FT29" s="110"/>
      <s:c r="FU29" s="110"/>
      <s:c r="FV29" s="110"/>
      <s:c r="FW29" s="110"/>
      <s:c r="FX29" s="110"/>
      <s:c r="FY29" s="110"/>
      <s:c r="FZ29" s="110"/>
      <s:c r="GA29" s="110"/>
      <s:c r="GB29" s="110"/>
      <s:c r="GC29" s="110"/>
      <s:c r="GD29" s="110"/>
      <s:c r="GE29" s="110"/>
      <s:c r="GF29" s="110"/>
      <s:c r="GG29" s="110"/>
      <s:c r="GH29" s="110"/>
      <s:c r="GI29" s="110"/>
      <s:c r="GJ29" s="110"/>
      <s:c r="GK29" s="110"/>
      <s:c r="GL29" s="110"/>
      <s:c r="GM29" s="110"/>
      <s:c r="GN29" s="110"/>
      <s:c r="GO29" s="110"/>
      <s:c r="GP29" s="110"/>
      <s:c r="GQ29" s="110"/>
      <s:c r="GR29" s="110"/>
      <s:c r="GS29" s="110"/>
      <s:c r="GT29" s="110"/>
      <s:c r="GU29" s="110"/>
      <s:c r="GV29" s="110"/>
      <s:c r="GW29" s="110"/>
      <s:c r="GX29" s="110"/>
      <s:c r="GY29" s="110"/>
      <s:c r="GZ29" s="110"/>
      <s:c r="HA29" s="110"/>
      <s:c r="HB29" s="110"/>
      <s:c r="HC29" s="110"/>
      <s:c r="HD29" s="110"/>
      <s:c r="HE29" s="110"/>
      <s:c r="HF29" s="110"/>
      <s:c r="HG29" s="110"/>
      <s:c r="HH29" s="110"/>
      <s:c r="HI29" s="110"/>
      <s:c r="HJ29" s="110"/>
      <s:c r="HK29" s="110"/>
      <s:c r="HL29" s="110"/>
      <s:c r="HM29" s="110"/>
      <s:c r="HN29" s="110"/>
      <s:c r="HO29" s="110"/>
      <s:c r="HP29" s="110"/>
      <s:c r="HQ29" s="110"/>
      <s:c r="HR29" s="110"/>
      <s:c r="HS29" s="110"/>
      <s:c r="HT29" s="110"/>
      <s:c r="HU29" s="110"/>
      <s:c r="HV29" s="110"/>
      <s:c r="HW29" s="110"/>
      <s:c r="HX29" s="110"/>
      <s:c r="HY29" s="110"/>
      <s:c r="HZ29" s="110"/>
      <s:c r="IA29" s="110"/>
      <s:c r="IB29" s="110"/>
      <s:c r="IC29" s="110"/>
      <s:c r="ID29" s="110"/>
      <s:c r="IE29" s="110"/>
      <s:c r="IF29" s="110"/>
      <s:c r="IG29" s="110"/>
      <s:c r="IH29" s="110"/>
      <s:c r="II29" s="110"/>
      <s:c r="IJ29" s="110"/>
      <s:c r="IK29" s="110"/>
      <s:c r="IL29" s="110"/>
      <s:c r="IM29" s="110"/>
      <s:c r="IN29" s="110"/>
      <s:c r="IO29" s="110"/>
      <s:c r="IP29" s="110"/>
      <s:c r="IQ29" s="110"/>
      <s:c r="IR29" s="110"/>
      <s:c r="IS29" s="110"/>
      <s:c r="IT29" s="110"/>
      <s:c r="IU29" s="110"/>
    </s:row>
    <s:row r="30" spans="1:255" s="95" customFormat="1">
      <s:c r="A30" s="96" t="s">
        <s:v>47</s:v>
      </s:c>
      <s:c r="B30" s="97">
        <s:v>45783</s:v>
      </s:c>
      <s:c r="C30" s="98" t="s">
        <s:v>55</s:v>
      </s:c>
      <s:c r="D30" s="99">
        <s:v>66218</s:v>
      </s:c>
      <s:c r="E30" s="100">
        <s:v>12</s:v>
      </s:c>
      <s:c r="F30" s="100">
        <s:f>IF(AND(E30&lt;&gt;"",E30&lt;&gt;0),D30/E30,"")</s:f>
        <s:v>5518.166666666667</s:v>
      </s:c>
      <s:c r="G30" s="100">
        <s:v>8</s:v>
      </s:c>
      <s:c r="H30" s="100">
        <s:f>IF(AND(G30&lt;&gt;"",G30&lt;&gt;0),D30/G30,"")</s:f>
        <s:v>8277.25</s:v>
      </s:c>
      <s:c r="I30" s="100">
        <s:v>40</s:v>
      </s:c>
      <s:c r="J30" s="99">
        <s:f>IF(AND(G30&lt;&gt;"",G30&lt;&gt;0),E30/G30,"")</s:f>
        <s:v>1.5</s:v>
      </s:c>
      <s:c r="K30" s="100"/>
      <s:c r="L30" s="100">
        <s:v>25902</s:v>
      </s:c>
      <s:c r="M30" s="100"/>
      <s:c r="N30" s="101">
        <s:f>IF(AND(I30&lt;&gt;"",I30&lt;&gt;0),G30/I30,"")</s:f>
        <s:v>0.2</s:v>
      </s:c>
      <s:c r="O30" s="102">
        <s:f>D30/P30</s:f>
        <s:v>0.63278431235109844</s:v>
      </s:c>
      <s:c r="P30" s="103">
        <s:f>$I$8*V30*W30/SUMPRODUCT($W$25:$W$55,$V$25:$V$55)</s:f>
        <s:v>104645.451392384</s:v>
      </s:c>
      <s:c r="Q30" s="104">
        <s:f>$I$9*V30*W30/SUMPRODUCT($W$25:$W$55,$V$25:$V$55)</s:f>
        <s:v>20.12412526776615</s:v>
      </s:c>
      <s:c r="R30" s="104">
        <s:f>IF($I$12="","",Q30/$I$12)</s:f>
        <s:v>10.373260447302139</s:v>
      </s:c>
      <s:c r="S30" s="103">
        <s:f>IF(W30&lt;&gt;"",IF(D30&lt;&gt;"",D30,($I$8-SUM($S$25:S29))*V30*W30/SUMPRODUCT($W30:$W$55,$V30:$V$55)),"")</s:f>
        <s:v>66218</s:v>
      </s:c>
      <s:c r="T30" s="104">
        <s:f>IF(W30&lt;&gt;"",IF(E30&lt;&gt;"",E30,($I$9-SUM($T$25:T29))*V30*W30/SUMPRODUCT($W30:$W$55,$V30:$V$55)),"")</s:f>
        <s:v>12</s:v>
      </s:c>
      <s:c r="U30" s="104">
        <s:f>IF(W30&lt;&gt;"",IF($I$12&lt;&gt;"",IF(G30&lt;&gt;"",G30,($I$9/$I$12-SUM($U$25:U29))*V30*W30/SUMPRODUCT($W30:$W$55,$V30:$V$55)),""),"")</s:f>
        <s:v>8</s:v>
      </s:c>
      <s:c r="V30" s="105">
        <s:v>0.78086381145976858</s:v>
      </s:c>
      <s:c r="W30" s="105">
        <s:v>0.78086381145976858</s:v>
      </s:c>
      <s:c r="X30" s="108"/>
      <s:c r="Y30" s="107"/>
      <s:c r="Z30" s="110"/>
      <s:c r="AA30" s="110"/>
      <s:c r="AB30" s="110"/>
      <s:c r="AC30" s="110"/>
      <s:c r="AD30" s="110"/>
      <s:c r="AE30" s="110"/>
      <s:c r="AF30" s="110"/>
      <s:c r="AG30" s="110"/>
      <s:c r="AH30" s="110"/>
      <s:c r="AI30" s="110"/>
      <s:c r="AJ30" s="110"/>
      <s:c r="AK30" s="110"/>
      <s:c r="AL30" s="110"/>
      <s:c r="AM30" s="110"/>
      <s:c r="AN30" s="110"/>
      <s:c r="AO30" s="110"/>
      <s:c r="AP30" s="110"/>
      <s:c r="AQ30" s="110"/>
      <s:c r="AR30" s="110"/>
      <s:c r="AS30" s="110"/>
      <s:c r="AT30" s="110"/>
      <s:c r="AU30" s="110"/>
      <s:c r="AV30" s="110"/>
      <s:c r="AW30" s="110"/>
      <s:c r="AX30" s="110"/>
      <s:c r="AY30" s="110"/>
      <s:c r="AZ30" s="110"/>
      <s:c r="BA30" s="110"/>
      <s:c r="BB30" s="110"/>
      <s:c r="BC30" s="110"/>
      <s:c r="BD30" s="110"/>
      <s:c r="BE30" s="110"/>
      <s:c r="BF30" s="110"/>
      <s:c r="BG30" s="110"/>
      <s:c r="BH30" s="110"/>
      <s:c r="BI30" s="110"/>
      <s:c r="BJ30" s="110"/>
      <s:c r="BK30" s="110"/>
      <s:c r="BL30" s="110"/>
      <s:c r="BM30" s="110"/>
      <s:c r="BN30" s="110"/>
      <s:c r="BO30" s="110"/>
      <s:c r="BP30" s="110"/>
      <s:c r="BQ30" s="110"/>
      <s:c r="BR30" s="110"/>
      <s:c r="BS30" s="110"/>
      <s:c r="BT30" s="110"/>
      <s:c r="BU30" s="110"/>
      <s:c r="BV30" s="110"/>
      <s:c r="BW30" s="110"/>
      <s:c r="BX30" s="110"/>
      <s:c r="BY30" s="110"/>
      <s:c r="BZ30" s="110"/>
      <s:c r="CA30" s="110"/>
      <s:c r="CB30" s="110"/>
      <s:c r="CC30" s="110"/>
      <s:c r="CD30" s="110"/>
      <s:c r="CE30" s="110"/>
      <s:c r="CF30" s="110"/>
      <s:c r="CG30" s="110"/>
      <s:c r="CH30" s="110"/>
      <s:c r="CI30" s="110"/>
      <s:c r="CJ30" s="110"/>
      <s:c r="CK30" s="110"/>
      <s:c r="CL30" s="110"/>
      <s:c r="CM30" s="110"/>
      <s:c r="CN30" s="110"/>
      <s:c r="CO30" s="110"/>
      <s:c r="CP30" s="110"/>
      <s:c r="CQ30" s="110"/>
      <s:c r="CR30" s="110"/>
      <s:c r="CS30" s="110"/>
      <s:c r="CT30" s="110"/>
      <s:c r="CU30" s="110"/>
      <s:c r="CV30" s="110"/>
      <s:c r="CW30" s="110"/>
      <s:c r="CX30" s="110"/>
      <s:c r="CY30" s="110"/>
      <s:c r="CZ30" s="110"/>
      <s:c r="DA30" s="110"/>
      <s:c r="DB30" s="110"/>
      <s:c r="DC30" s="110"/>
      <s:c r="DD30" s="110"/>
      <s:c r="DE30" s="110"/>
      <s:c r="DF30" s="110"/>
      <s:c r="DG30" s="110"/>
      <s:c r="DH30" s="110"/>
      <s:c r="DI30" s="110"/>
      <s:c r="DJ30" s="110"/>
      <s:c r="DK30" s="110"/>
      <s:c r="DL30" s="110"/>
      <s:c r="DM30" s="110"/>
      <s:c r="DN30" s="110"/>
      <s:c r="DO30" s="110"/>
      <s:c r="DP30" s="110"/>
      <s:c r="DQ30" s="110"/>
      <s:c r="DR30" s="110"/>
      <s:c r="DS30" s="110"/>
      <s:c r="DT30" s="110"/>
      <s:c r="DU30" s="110"/>
      <s:c r="DV30" s="110"/>
      <s:c r="DW30" s="110"/>
      <s:c r="DX30" s="110"/>
      <s:c r="DY30" s="110"/>
      <s:c r="DZ30" s="110"/>
      <s:c r="EA30" s="110"/>
      <s:c r="EB30" s="110"/>
      <s:c r="EC30" s="110"/>
      <s:c r="ED30" s="110"/>
      <s:c r="EE30" s="110"/>
      <s:c r="EF30" s="110"/>
      <s:c r="EG30" s="110"/>
      <s:c r="EH30" s="110"/>
      <s:c r="EI30" s="110"/>
      <s:c r="EJ30" s="110"/>
      <s:c r="EK30" s="110"/>
      <s:c r="EL30" s="110"/>
      <s:c r="EM30" s="110"/>
      <s:c r="EN30" s="110"/>
      <s:c r="EO30" s="110"/>
      <s:c r="EP30" s="110"/>
      <s:c r="EQ30" s="110"/>
      <s:c r="ER30" s="110"/>
      <s:c r="ES30" s="110"/>
      <s:c r="ET30" s="110"/>
      <s:c r="EU30" s="110"/>
      <s:c r="EV30" s="110"/>
      <s:c r="EW30" s="110"/>
      <s:c r="EX30" s="110"/>
      <s:c r="EY30" s="110"/>
      <s:c r="EZ30" s="110"/>
      <s:c r="FA30" s="110"/>
      <s:c r="FB30" s="110"/>
      <s:c r="FC30" s="110"/>
      <s:c r="FD30" s="110"/>
      <s:c r="FE30" s="110"/>
      <s:c r="FF30" s="110"/>
      <s:c r="FG30" s="110"/>
      <s:c r="FH30" s="110"/>
      <s:c r="FI30" s="110"/>
      <s:c r="FJ30" s="110"/>
      <s:c r="FK30" s="110"/>
      <s:c r="FL30" s="110"/>
      <s:c r="FM30" s="110"/>
      <s:c r="FN30" s="110"/>
      <s:c r="FO30" s="110"/>
      <s:c r="FP30" s="110"/>
      <s:c r="FQ30" s="110"/>
      <s:c r="FR30" s="110"/>
      <s:c r="FS30" s="110"/>
      <s:c r="FT30" s="110"/>
      <s:c r="FU30" s="110"/>
      <s:c r="FV30" s="110"/>
      <s:c r="FW30" s="110"/>
      <s:c r="FX30" s="110"/>
      <s:c r="FY30" s="110"/>
      <s:c r="FZ30" s="110"/>
      <s:c r="GA30" s="110"/>
      <s:c r="GB30" s="110"/>
      <s:c r="GC30" s="110"/>
      <s:c r="GD30" s="110"/>
      <s:c r="GE30" s="110"/>
      <s:c r="GF30" s="110"/>
      <s:c r="GG30" s="110"/>
      <s:c r="GH30" s="110"/>
      <s:c r="GI30" s="110"/>
      <s:c r="GJ30" s="110"/>
      <s:c r="GK30" s="110"/>
      <s:c r="GL30" s="110"/>
      <s:c r="GM30" s="110"/>
      <s:c r="GN30" s="110"/>
      <s:c r="GO30" s="110"/>
      <s:c r="GP30" s="110"/>
      <s:c r="GQ30" s="110"/>
      <s:c r="GR30" s="110"/>
      <s:c r="GS30" s="110"/>
      <s:c r="GT30" s="110"/>
      <s:c r="GU30" s="110"/>
      <s:c r="GV30" s="110"/>
      <s:c r="GW30" s="110"/>
      <s:c r="GX30" s="110"/>
      <s:c r="GY30" s="110"/>
      <s:c r="GZ30" s="110"/>
      <s:c r="HA30" s="110"/>
      <s:c r="HB30" s="110"/>
      <s:c r="HC30" s="110"/>
      <s:c r="HD30" s="110"/>
      <s:c r="HE30" s="110"/>
      <s:c r="HF30" s="110"/>
      <s:c r="HG30" s="110"/>
      <s:c r="HH30" s="110"/>
      <s:c r="HI30" s="110"/>
      <s:c r="HJ30" s="110"/>
      <s:c r="HK30" s="110"/>
      <s:c r="HL30" s="110"/>
      <s:c r="HM30" s="110"/>
      <s:c r="HN30" s="110"/>
      <s:c r="HO30" s="110"/>
      <s:c r="HP30" s="110"/>
      <s:c r="HQ30" s="110"/>
      <s:c r="HR30" s="110"/>
      <s:c r="HS30" s="110"/>
      <s:c r="HT30" s="110"/>
      <s:c r="HU30" s="110"/>
      <s:c r="HV30" s="110"/>
      <s:c r="HW30" s="110"/>
      <s:c r="HX30" s="110"/>
      <s:c r="HY30" s="110"/>
      <s:c r="HZ30" s="110"/>
      <s:c r="IA30" s="110"/>
      <s:c r="IB30" s="110"/>
      <s:c r="IC30" s="110"/>
      <s:c r="ID30" s="110"/>
      <s:c r="IE30" s="110"/>
      <s:c r="IF30" s="110"/>
      <s:c r="IG30" s="110"/>
      <s:c r="IH30" s="110"/>
      <s:c r="II30" s="110"/>
      <s:c r="IJ30" s="110"/>
      <s:c r="IK30" s="110"/>
      <s:c r="IL30" s="110"/>
      <s:c r="IM30" s="110"/>
      <s:c r="IN30" s="110"/>
      <s:c r="IO30" s="110"/>
      <s:c r="IP30" s="110"/>
      <s:c r="IQ30" s="110"/>
      <s:c r="IR30" s="110"/>
      <s:c r="IS30" s="110"/>
      <s:c r="IT30" s="110"/>
      <s:c r="IU30" s="110"/>
    </s:row>
    <s:row r="31" spans="1:255" s="95" customFormat="1">
      <s:c r="A31" s="96" t="s">
        <s:v>47</s:v>
      </s:c>
      <s:c r="B31" s="97">
        <s:v>45784</s:v>
      </s:c>
      <s:c r="C31" s="98" t="s">
        <s:v>56</s:v>
      </s:c>
      <s:c r="D31" s="99">
        <s:v>123218</s:v>
      </s:c>
      <s:c r="E31" s="100">
        <s:v>20</s:v>
      </s:c>
      <s:c r="F31" s="100">
        <s:f>IF(AND(E31&lt;&gt;"",E31&lt;&gt;0),D31/E31,"")</s:f>
        <s:v>6160.9</s:v>
      </s:c>
      <s:c r="G31" s="100">
        <s:v>10</s:v>
      </s:c>
      <s:c r="H31" s="100">
        <s:f>IF(AND(G31&lt;&gt;"",G31&lt;&gt;0),D31/G31,"")</s:f>
        <s:v>12321.8</s:v>
      </s:c>
      <s:c r="I31" s="100">
        <s:v>40</s:v>
      </s:c>
      <s:c r="J31" s="99">
        <s:f>IF(AND(G31&lt;&gt;"",G31&lt;&gt;0),E31/G31,"")</s:f>
        <s:v>2</s:v>
      </s:c>
      <s:c r="K31" s="100">
        <s:v>45563</s:v>
      </s:c>
      <s:c r="L31" s="100">
        <s:v>24026</s:v>
      </s:c>
      <s:c r="M31" s="100"/>
      <s:c r="N31" s="101">
        <s:f>IF(AND(I31&lt;&gt;"",I31&lt;&gt;0),G31/I31,"")</s:f>
        <s:v>0.25</s:v>
      </s:c>
      <s:c r="O31" s="102">
        <s:f>D31/P31</s:f>
        <s:v>1.0825626539337914</s:v>
      </s:c>
      <s:c r="P31" s="103">
        <s:f>$I$8*V31*W31/SUMPRODUCT($W$25:$W$55,$V$25:$V$55)</s:f>
        <s:v>113820.66391469653</s:v>
      </s:c>
      <s:c r="Q31" s="104">
        <s:f>$I$9*V31*W31/SUMPRODUCT($W$25:$W$55,$V$25:$V$55)</s:f>
        <s:v>21.888589214364714</s:v>
      </s:c>
      <s:c r="R31" s="104">
        <s:f>IF($I$12="","",Q31/$I$12)</s:f>
        <s:v>11.282777945548823</s:v>
      </s:c>
      <s:c r="S31" s="103">
        <s:f>IF(W31&lt;&gt;"",IF(D31&lt;&gt;"",D31,($I$8-SUM($S$25:S30))*V31*W31/SUMPRODUCT($W31:$W$55,$V31:$V$55)),"")</s:f>
        <s:v>123218</s:v>
      </s:c>
      <s:c r="T31" s="104">
        <s:f>IF(W31&lt;&gt;"",IF(E31&lt;&gt;"",E31,($I$9-SUM($T$25:T30))*V31*W31/SUMPRODUCT($W31:$W$55,$V31:$V$55)),"")</s:f>
        <s:v>20</s:v>
      </s:c>
      <s:c r="U31" s="104">
        <s:f>IF(W31&lt;&gt;"",IF($I$12&lt;&gt;"",IF(G31&lt;&gt;"",G31,($I$9/$I$12-SUM($U$25:U30))*V31*W31/SUMPRODUCT($W31:$W$55,$V31:$V$55)),""),"")</s:f>
        <s:v>10</s:v>
      </s:c>
      <s:c r="V31" s="105">
        <s:v>0.81437733010747548</s:v>
      </s:c>
      <s:c r="W31" s="105">
        <s:v>0.81437733010747548</s:v>
      </s:c>
      <s:c r="X31" s="108"/>
      <s:c r="Y31" s="107"/>
      <s:c r="Z31" s="110"/>
      <s:c r="AA31" s="110"/>
      <s:c r="AB31" s="110"/>
      <s:c r="AC31" s="110"/>
      <s:c r="AD31" s="110"/>
      <s:c r="AE31" s="110"/>
      <s:c r="AF31" s="110"/>
      <s:c r="AG31" s="110"/>
      <s:c r="AH31" s="110"/>
      <s:c r="AI31" s="110"/>
      <s:c r="AJ31" s="110"/>
      <s:c r="AK31" s="110"/>
      <s:c r="AL31" s="110"/>
      <s:c r="AM31" s="110"/>
      <s:c r="AN31" s="110"/>
      <s:c r="AO31" s="110"/>
      <s:c r="AP31" s="110"/>
      <s:c r="AQ31" s="110"/>
      <s:c r="AR31" s="110"/>
      <s:c r="AS31" s="110"/>
      <s:c r="AT31" s="110"/>
      <s:c r="AU31" s="110"/>
      <s:c r="AV31" s="110"/>
      <s:c r="AW31" s="110"/>
      <s:c r="AX31" s="110"/>
      <s:c r="AY31" s="110"/>
      <s:c r="AZ31" s="110"/>
      <s:c r="BA31" s="110"/>
      <s:c r="BB31" s="110"/>
      <s:c r="BC31" s="110"/>
      <s:c r="BD31" s="110"/>
      <s:c r="BE31" s="110"/>
      <s:c r="BF31" s="110"/>
      <s:c r="BG31" s="110"/>
      <s:c r="BH31" s="110"/>
      <s:c r="BI31" s="110"/>
      <s:c r="BJ31" s="110"/>
      <s:c r="BK31" s="110"/>
      <s:c r="BL31" s="110"/>
      <s:c r="BM31" s="110"/>
      <s:c r="BN31" s="110"/>
      <s:c r="BO31" s="110"/>
      <s:c r="BP31" s="110"/>
      <s:c r="BQ31" s="110"/>
      <s:c r="BR31" s="110"/>
      <s:c r="BS31" s="110"/>
      <s:c r="BT31" s="110"/>
      <s:c r="BU31" s="110"/>
      <s:c r="BV31" s="110"/>
      <s:c r="BW31" s="110"/>
      <s:c r="BX31" s="110"/>
      <s:c r="BY31" s="110"/>
      <s:c r="BZ31" s="110"/>
      <s:c r="CA31" s="110"/>
      <s:c r="CB31" s="110"/>
      <s:c r="CC31" s="110"/>
      <s:c r="CD31" s="110"/>
      <s:c r="CE31" s="110"/>
      <s:c r="CF31" s="110"/>
      <s:c r="CG31" s="110"/>
      <s:c r="CH31" s="110"/>
      <s:c r="CI31" s="110"/>
      <s:c r="CJ31" s="110"/>
      <s:c r="CK31" s="110"/>
      <s:c r="CL31" s="110"/>
      <s:c r="CM31" s="110"/>
      <s:c r="CN31" s="110"/>
      <s:c r="CO31" s="110"/>
      <s:c r="CP31" s="110"/>
      <s:c r="CQ31" s="110"/>
      <s:c r="CR31" s="110"/>
      <s:c r="CS31" s="110"/>
      <s:c r="CT31" s="110"/>
      <s:c r="CU31" s="110"/>
      <s:c r="CV31" s="110"/>
      <s:c r="CW31" s="110"/>
      <s:c r="CX31" s="110"/>
      <s:c r="CY31" s="110"/>
      <s:c r="CZ31" s="110"/>
      <s:c r="DA31" s="110"/>
      <s:c r="DB31" s="110"/>
      <s:c r="DC31" s="110"/>
      <s:c r="DD31" s="110"/>
      <s:c r="DE31" s="110"/>
      <s:c r="DF31" s="110"/>
      <s:c r="DG31" s="110"/>
      <s:c r="DH31" s="110"/>
      <s:c r="DI31" s="110"/>
      <s:c r="DJ31" s="110"/>
      <s:c r="DK31" s="110"/>
      <s:c r="DL31" s="110"/>
      <s:c r="DM31" s="110"/>
      <s:c r="DN31" s="110"/>
      <s:c r="DO31" s="110"/>
      <s:c r="DP31" s="110"/>
      <s:c r="DQ31" s="110"/>
      <s:c r="DR31" s="110"/>
      <s:c r="DS31" s="110"/>
      <s:c r="DT31" s="110"/>
      <s:c r="DU31" s="110"/>
      <s:c r="DV31" s="110"/>
      <s:c r="DW31" s="110"/>
      <s:c r="DX31" s="110"/>
      <s:c r="DY31" s="110"/>
      <s:c r="DZ31" s="110"/>
      <s:c r="EA31" s="110"/>
      <s:c r="EB31" s="110"/>
      <s:c r="EC31" s="110"/>
      <s:c r="ED31" s="110"/>
      <s:c r="EE31" s="110"/>
      <s:c r="EF31" s="110"/>
      <s:c r="EG31" s="110"/>
      <s:c r="EH31" s="110"/>
      <s:c r="EI31" s="110"/>
      <s:c r="EJ31" s="110"/>
      <s:c r="EK31" s="110"/>
      <s:c r="EL31" s="110"/>
      <s:c r="EM31" s="110"/>
      <s:c r="EN31" s="110"/>
      <s:c r="EO31" s="110"/>
      <s:c r="EP31" s="110"/>
      <s:c r="EQ31" s="110"/>
      <s:c r="ER31" s="110"/>
      <s:c r="ES31" s="110"/>
      <s:c r="ET31" s="110"/>
      <s:c r="EU31" s="110"/>
      <s:c r="EV31" s="110"/>
      <s:c r="EW31" s="110"/>
      <s:c r="EX31" s="110"/>
      <s:c r="EY31" s="110"/>
      <s:c r="EZ31" s="110"/>
      <s:c r="FA31" s="110"/>
      <s:c r="FB31" s="110"/>
      <s:c r="FC31" s="110"/>
      <s:c r="FD31" s="110"/>
      <s:c r="FE31" s="110"/>
      <s:c r="FF31" s="110"/>
      <s:c r="FG31" s="110"/>
      <s:c r="FH31" s="110"/>
      <s:c r="FI31" s="110"/>
      <s:c r="FJ31" s="110"/>
      <s:c r="FK31" s="110"/>
      <s:c r="FL31" s="110"/>
      <s:c r="FM31" s="110"/>
      <s:c r="FN31" s="110"/>
      <s:c r="FO31" s="110"/>
      <s:c r="FP31" s="110"/>
      <s:c r="FQ31" s="110"/>
      <s:c r="FR31" s="110"/>
      <s:c r="FS31" s="110"/>
      <s:c r="FT31" s="110"/>
      <s:c r="FU31" s="110"/>
      <s:c r="FV31" s="110"/>
      <s:c r="FW31" s="110"/>
      <s:c r="FX31" s="110"/>
      <s:c r="FY31" s="110"/>
      <s:c r="FZ31" s="110"/>
      <s:c r="GA31" s="110"/>
      <s:c r="GB31" s="110"/>
      <s:c r="GC31" s="110"/>
      <s:c r="GD31" s="110"/>
      <s:c r="GE31" s="110"/>
      <s:c r="GF31" s="110"/>
      <s:c r="GG31" s="110"/>
      <s:c r="GH31" s="110"/>
      <s:c r="GI31" s="110"/>
      <s:c r="GJ31" s="110"/>
      <s:c r="GK31" s="110"/>
      <s:c r="GL31" s="110"/>
      <s:c r="GM31" s="110"/>
      <s:c r="GN31" s="110"/>
      <s:c r="GO31" s="110"/>
      <s:c r="GP31" s="110"/>
      <s:c r="GQ31" s="110"/>
      <s:c r="GR31" s="110"/>
      <s:c r="GS31" s="110"/>
      <s:c r="GT31" s="110"/>
      <s:c r="GU31" s="110"/>
      <s:c r="GV31" s="110"/>
      <s:c r="GW31" s="110"/>
      <s:c r="GX31" s="110"/>
      <s:c r="GY31" s="110"/>
      <s:c r="GZ31" s="110"/>
      <s:c r="HA31" s="110"/>
      <s:c r="HB31" s="110"/>
      <s:c r="HC31" s="110"/>
      <s:c r="HD31" s="110"/>
      <s:c r="HE31" s="110"/>
      <s:c r="HF31" s="110"/>
      <s:c r="HG31" s="110"/>
      <s:c r="HH31" s="110"/>
      <s:c r="HI31" s="110"/>
      <s:c r="HJ31" s="110"/>
      <s:c r="HK31" s="110"/>
      <s:c r="HL31" s="110"/>
      <s:c r="HM31" s="110"/>
      <s:c r="HN31" s="110"/>
      <s:c r="HO31" s="110"/>
      <s:c r="HP31" s="110"/>
      <s:c r="HQ31" s="110"/>
      <s:c r="HR31" s="110"/>
      <s:c r="HS31" s="110"/>
      <s:c r="HT31" s="110"/>
      <s:c r="HU31" s="110"/>
      <s:c r="HV31" s="110"/>
      <s:c r="HW31" s="110"/>
      <s:c r="HX31" s="110"/>
      <s:c r="HY31" s="110"/>
      <s:c r="HZ31" s="110"/>
      <s:c r="IA31" s="110"/>
      <s:c r="IB31" s="110"/>
      <s:c r="IC31" s="110"/>
      <s:c r="ID31" s="110"/>
      <s:c r="IE31" s="110"/>
      <s:c r="IF31" s="110"/>
      <s:c r="IG31" s="110"/>
      <s:c r="IH31" s="110"/>
      <s:c r="II31" s="110"/>
      <s:c r="IJ31" s="110"/>
      <s:c r="IK31" s="110"/>
      <s:c r="IL31" s="110"/>
      <s:c r="IM31" s="110"/>
      <s:c r="IN31" s="110"/>
      <s:c r="IO31" s="110"/>
      <s:c r="IP31" s="110"/>
      <s:c r="IQ31" s="110"/>
      <s:c r="IR31" s="110"/>
      <s:c r="IS31" s="110"/>
      <s:c r="IT31" s="110"/>
      <s:c r="IU31" s="110"/>
    </s:row>
    <s:row r="32" spans="1:255" s="95" customFormat="1">
      <s:c r="A32" s="96" t="s">
        <s:v>52</s:v>
      </s:c>
      <s:c r="B32" s="97">
        <s:v>45785</s:v>
      </s:c>
      <s:c r="C32" s="98" t="s">
        <s:v>48</s:v>
      </s:c>
      <s:c r="D32" s="99">
        <s:v>91261</s:v>
      </s:c>
      <s:c r="E32" s="100">
        <s:v>20</s:v>
      </s:c>
      <s:c r="F32" s="100">
        <s:f>IF(AND(E32&lt;&gt;"",E32&lt;&gt;0),D32/E32,"")</s:f>
        <s:v>4563.05</s:v>
      </s:c>
      <s:c r="G32" s="100">
        <s:v>11</s:v>
      </s:c>
      <s:c r="H32" s="100">
        <s:f>IF(AND(G32&lt;&gt;"",G32&lt;&gt;0),D32/G32,"")</s:f>
        <s:v>8296.454545454546</s:v>
      </s:c>
      <s:c r="I32" s="100">
        <s:v>40</s:v>
      </s:c>
      <s:c r="J32" s="99">
        <s:f>IF(AND(G32&lt;&gt;"",G32&lt;&gt;0),E32/G32,"")</s:f>
        <s:v>1.8181818181818181</s:v>
      </s:c>
      <s:c r="K32" s="100">
        <s:v>11693</s:v>
      </s:c>
      <s:c r="L32" s="100">
        <s:v>8423</s:v>
      </s:c>
      <s:c r="M32" s="100"/>
      <s:c r="N32" s="101">
        <s:f>IF(AND(I32&lt;&gt;"",I32&lt;&gt;0),G32/I32,"")</s:f>
        <s:v>0.27500000000000002</s:v>
      </s:c>
      <s:c r="O32" s="102">
        <s:f>D32/P32</s:f>
        <s:v>0.80179641254241862</s:v>
      </s:c>
      <s:c r="P32" s="103">
        <s:f>$I$8*V32*W32/SUMPRODUCT($W$25:$W$55,$V$25:$V$55)</s:f>
        <s:v>113820.66391469653</s:v>
      </s:c>
      <s:c r="Q32" s="104">
        <s:f>$I$9*V32*W32/SUMPRODUCT($W$25:$W$55,$V$25:$V$55)</s:f>
        <s:v>21.888589214364714</s:v>
      </s:c>
      <s:c r="R32" s="104">
        <s:f>IF($I$12="","",Q32/$I$12)</s:f>
        <s:v>11.282777945548823</s:v>
      </s:c>
      <s:c r="S32" s="103">
        <s:f>IF(W32&lt;&gt;"",IF(D32&lt;&gt;"",D32,($I$8-SUM($S$25:S31))*V32*W32/SUMPRODUCT($W32:$W$55,$V32:$V$55)),"")</s:f>
        <s:v>91261</s:v>
      </s:c>
      <s:c r="T32" s="104">
        <s:f>IF(W32&lt;&gt;"",IF(E32&lt;&gt;"",E32,($I$9-SUM($T$25:T31))*V32*W32/SUMPRODUCT($W32:$W$55,$V32:$V$55)),"")</s:f>
        <s:v>20</s:v>
      </s:c>
      <s:c r="U32" s="104">
        <s:f>IF(W32&lt;&gt;"",IF($I$12&lt;&gt;"",IF(G32&lt;&gt;"",G32,($I$9/$I$12-SUM($U$25:U31))*V32*W32/SUMPRODUCT($W32:$W$55,$V32:$V$55)),""),"")</s:f>
        <s:v>11</s:v>
      </s:c>
      <s:c r="V32" s="105">
        <s:v>0.81437733010747548</s:v>
      </s:c>
      <s:c r="W32" s="105">
        <s:v>0.81437733010747548</s:v>
      </s:c>
      <s:c r="X32" s="108"/>
      <s:c r="Y32" s="107"/>
    </s:row>
    <s:row r="33" spans="1:255" s="95" customFormat="1">
      <s:c r="A33" s="96" t="s">
        <s:v>57</s:v>
      </s:c>
      <s:c r="B33" s="97">
        <s:v>45786</s:v>
      </s:c>
      <s:c r="C33" s="98" t="s">
        <s:v>49</s:v>
      </s:c>
      <s:c r="D33" s="99">
        <s:f>51383+106583+40551</s:f>
        <s:v>198517</s:v>
      </s:c>
      <s:c r="E33" s="100">
        <s:v>26</s:v>
      </s:c>
      <s:c r="F33" s="100">
        <s:f>IF(AND(E33&lt;&gt;"",E33&lt;&gt;0),D33/E33,"")</s:f>
        <s:v>7635.2692307692305</s:v>
      </s:c>
      <s:c r="G33" s="100">
        <s:v>11</s:v>
      </s:c>
      <s:c r="H33" s="100">
        <s:f>IF(AND(G33&lt;&gt;"",G33&lt;&gt;0),D33/G33,"")</s:f>
        <s:v>18047</s:v>
      </s:c>
      <s:c r="I33" s="100">
        <s:v>60</s:v>
      </s:c>
      <s:c r="J33" s="99">
        <s:f>IF(AND(G33&lt;&gt;"",G33&lt;&gt;0),E33/G33,"")</s:f>
        <s:v>2.3636363636363638</s:v>
      </s:c>
      <s:c r="K33" s="100">
        <s:v>106583</s:v>
      </s:c>
      <s:c r="L33" s="100">
        <s:v>40551</s:v>
      </s:c>
      <s:c r="M33" s="100"/>
      <s:c r="N33" s="101">
        <s:f>IF(AND(I33&lt;&gt;"",I33&lt;&gt;0),G33/I33,"")</s:f>
        <s:v>0.18333333333333332</s:v>
      </s:c>
      <s:c r="O33" s="102">
        <s:f>D33/P33</s:f>
        <s:v>1.7441209106703117</s:v>
      </s:c>
      <s:c r="P33" s="103">
        <s:f>$I$8*V33*W33/SUMPRODUCT($W$25:$W$55,$V$25:$V$55)</s:f>
        <s:v>113820.66391469653</s:v>
      </s:c>
      <s:c r="Q33" s="104">
        <s:f>$I$9*V33*W33/SUMPRODUCT($W$25:$W$55,$V$25:$V$55)</s:f>
        <s:v>21.888589214364714</s:v>
      </s:c>
      <s:c r="R33" s="104">
        <s:f>IF($I$12="","",Q33/$I$12)</s:f>
        <s:v>11.282777945548823</s:v>
      </s:c>
      <s:c r="S33" s="103">
        <s:f>IF(W33&lt;&gt;"",IF(D33&lt;&gt;"",D33,($I$8-SUM($S$25:S32))*V33*W33/SUMPRODUCT($W33:$W$55,$V33:$V$55)),"")</s:f>
        <s:v>198517</s:v>
      </s:c>
      <s:c r="T33" s="104">
        <s:f>IF(W33&lt;&gt;"",IF(E33&lt;&gt;"",E33,($I$9-SUM($T$25:T32))*V33*W33/SUMPRODUCT($W33:$W$55,$V33:$V$55)),"")</s:f>
        <s:v>26</s:v>
      </s:c>
      <s:c r="U33" s="104">
        <s:f>IF(W33&lt;&gt;"",IF($I$12&lt;&gt;"",IF(G33&lt;&gt;"",G33,($I$9/$I$12-SUM($U$25:U32))*V33*W33/SUMPRODUCT($W33:$W$55,$V33:$V$55)),""),"")</s:f>
        <s:v>11</s:v>
      </s:c>
      <s:c r="V33" s="105">
        <s:v>0.81437733010747548</s:v>
      </s:c>
      <s:c r="W33" s="105">
        <s:v>0.81437733010747548</s:v>
      </s:c>
      <s:c r="X33" s="108"/>
      <s:c r="Y33" s="107"/>
    </s:row>
    <s:row r="34" spans="1:255" s="95" customFormat="1">
      <s:c r="A34" s="96" t="s">
        <s:v>57</s:v>
      </s:c>
      <s:c r="B34" s="97">
        <s:v>45787</s:v>
      </s:c>
      <s:c r="C34" s="98" t="s">
        <s:v>51</s:v>
      </s:c>
      <s:c r="D34" s="99">
        <s:v>77537</s:v>
      </s:c>
      <s:c r="E34" s="100">
        <s:v>12</s:v>
      </s:c>
      <s:c r="F34" s="100">
        <s:f>IF(AND(E34&lt;&gt;"",E34&lt;&gt;0),D34/E34,"")</s:f>
        <s:v>6461.416666666667</s:v>
      </s:c>
      <s:c r="G34" s="100">
        <s:v>8</s:v>
      </s:c>
      <s:c r="H34" s="100">
        <s:f>IF(AND(G34&lt;&gt;"",G34&lt;&gt;0),D34/G34,"")</s:f>
        <s:v>9692.125</s:v>
      </s:c>
      <s:c r="I34" s="100">
        <s:v>30</s:v>
      </s:c>
      <s:c r="J34" s="99">
        <s:f>IF(AND(G34&lt;&gt;"",G34&lt;&gt;0),E34/G34,"")</s:f>
        <s:v>1.5</s:v>
      </s:c>
      <s:c r="K34" s="100"/>
      <s:c r="L34" s="100">
        <s:v>42966</s:v>
      </s:c>
      <s:c r="M34" s="100"/>
      <s:c r="N34" s="101">
        <s:f>IF(AND(I34&lt;&gt;"",I34&lt;&gt;0),G34/I34,"")</s:f>
        <s:v>0.26666666666666666</s:v>
      </s:c>
      <s:c r="O34" s="102">
        <s:f>D34/P34</s:f>
        <s:v>0.45179272191400838</s:v>
      </s:c>
      <s:c r="P34" s="103">
        <s:f>$I$8*V34*W34/SUMPRODUCT($W$25:$W$55,$V$25:$V$55)</s:f>
        <s:v>171620.73720779846</s:v>
      </s:c>
      <s:c r="Q34" s="104">
        <s:f>$I$9*V34*W34/SUMPRODUCT($W$25:$W$55,$V$25:$V$55)</s:f>
        <s:v>33.003987924576627</s:v>
      </s:c>
      <s:c r="R34" s="104">
        <s:f>IF($I$12="","",Q34/$I$12)</s:f>
        <s:v>17.012364909575581</s:v>
      </s:c>
      <s:c r="S34" s="103">
        <s:f>IF(W34&lt;&gt;"",IF(D34&lt;&gt;"",D34,($I$8-SUM($S$25:S33))*V34*W34/SUMPRODUCT($W34:$W$55,$V34:$V$55)),"")</s:f>
        <s:v>77537</s:v>
      </s:c>
      <s:c r="T34" s="104">
        <s:f>IF(W34&lt;&gt;"",IF(E34&lt;&gt;"",E34,($I$9-SUM($T$25:T33))*V34*W34/SUMPRODUCT($W34:$W$55,$V34:$V$55)),"")</s:f>
        <s:v>12</s:v>
      </s:c>
      <s:c r="U34" s="104">
        <s:f>IF(W34&lt;&gt;"",IF($I$12&lt;&gt;"",IF(G34&lt;&gt;"",G34,($I$9/$I$12-SUM($U$25:U33))*V34*W34/SUMPRODUCT($W34:$W$55,$V34:$V$55)),""),"")</s:f>
        <s:v>8</s:v>
      </s:c>
      <s:c r="V34" s="105">
        <s:v>1</s:v>
      </s:c>
      <s:c r="W34" s="105">
        <s:v>1</s:v>
      </s:c>
      <s:c r="X34" s="108"/>
      <s:c r="Y34" s="107"/>
      <s:c r="Z34" s="110"/>
      <s:c r="AA34" s="110"/>
      <s:c r="AB34" s="110"/>
      <s:c r="AC34" s="110"/>
      <s:c r="AD34" s="110"/>
      <s:c r="AE34" s="110"/>
      <s:c r="AF34" s="110"/>
      <s:c r="AG34" s="110"/>
      <s:c r="AH34" s="110"/>
      <s:c r="AI34" s="110"/>
      <s:c r="AJ34" s="110"/>
      <s:c r="AK34" s="110"/>
      <s:c r="AL34" s="110"/>
      <s:c r="AM34" s="110"/>
      <s:c r="AN34" s="110"/>
      <s:c r="AO34" s="110"/>
      <s:c r="AP34" s="110"/>
      <s:c r="AQ34" s="110"/>
      <s:c r="AR34" s="110"/>
      <s:c r="AS34" s="110"/>
      <s:c r="AT34" s="110"/>
      <s:c r="AU34" s="110"/>
      <s:c r="AV34" s="110"/>
      <s:c r="AW34" s="110"/>
      <s:c r="AX34" s="110"/>
      <s:c r="AY34" s="110"/>
      <s:c r="AZ34" s="110"/>
      <s:c r="BA34" s="110"/>
      <s:c r="BB34" s="110"/>
      <s:c r="BC34" s="110"/>
      <s:c r="BD34" s="110"/>
      <s:c r="BE34" s="110"/>
      <s:c r="BF34" s="110"/>
      <s:c r="BG34" s="110"/>
      <s:c r="BH34" s="110"/>
      <s:c r="BI34" s="110"/>
      <s:c r="BJ34" s="110"/>
      <s:c r="BK34" s="110"/>
      <s:c r="BL34" s="110"/>
      <s:c r="BM34" s="110"/>
      <s:c r="BN34" s="110"/>
      <s:c r="BO34" s="110"/>
      <s:c r="BP34" s="110"/>
      <s:c r="BQ34" s="110"/>
      <s:c r="BR34" s="110"/>
      <s:c r="BS34" s="110"/>
      <s:c r="BT34" s="110"/>
      <s:c r="BU34" s="110"/>
      <s:c r="BV34" s="110"/>
      <s:c r="BW34" s="110"/>
      <s:c r="BX34" s="110"/>
      <s:c r="BY34" s="110"/>
      <s:c r="BZ34" s="110"/>
      <s:c r="CA34" s="110"/>
      <s:c r="CB34" s="110"/>
      <s:c r="CC34" s="110"/>
      <s:c r="CD34" s="110"/>
      <s:c r="CE34" s="110"/>
      <s:c r="CF34" s="110"/>
      <s:c r="CG34" s="110"/>
      <s:c r="CH34" s="110"/>
      <s:c r="CI34" s="110"/>
      <s:c r="CJ34" s="110"/>
      <s:c r="CK34" s="110"/>
      <s:c r="CL34" s="110"/>
      <s:c r="CM34" s="110"/>
      <s:c r="CN34" s="110"/>
      <s:c r="CO34" s="110"/>
      <s:c r="CP34" s="110"/>
      <s:c r="CQ34" s="110"/>
      <s:c r="CR34" s="110"/>
      <s:c r="CS34" s="110"/>
      <s:c r="CT34" s="110"/>
      <s:c r="CU34" s="110"/>
      <s:c r="CV34" s="110"/>
      <s:c r="CW34" s="110"/>
      <s:c r="CX34" s="110"/>
      <s:c r="CY34" s="110"/>
      <s:c r="CZ34" s="110"/>
      <s:c r="DA34" s="110"/>
      <s:c r="DB34" s="110"/>
      <s:c r="DC34" s="110"/>
      <s:c r="DD34" s="110"/>
      <s:c r="DE34" s="110"/>
      <s:c r="DF34" s="110"/>
      <s:c r="DG34" s="110"/>
      <s:c r="DH34" s="110"/>
      <s:c r="DI34" s="110"/>
      <s:c r="DJ34" s="110"/>
      <s:c r="DK34" s="110"/>
      <s:c r="DL34" s="110"/>
      <s:c r="DM34" s="110"/>
      <s:c r="DN34" s="110"/>
      <s:c r="DO34" s="110"/>
      <s:c r="DP34" s="110"/>
      <s:c r="DQ34" s="110"/>
      <s:c r="DR34" s="110"/>
      <s:c r="DS34" s="110"/>
      <s:c r="DT34" s="110"/>
      <s:c r="DU34" s="110"/>
      <s:c r="DV34" s="110"/>
      <s:c r="DW34" s="110"/>
      <s:c r="DX34" s="110"/>
      <s:c r="DY34" s="110"/>
      <s:c r="DZ34" s="110"/>
      <s:c r="EA34" s="110"/>
      <s:c r="EB34" s="110"/>
      <s:c r="EC34" s="110"/>
      <s:c r="ED34" s="110"/>
      <s:c r="EE34" s="110"/>
      <s:c r="EF34" s="110"/>
      <s:c r="EG34" s="110"/>
      <s:c r="EH34" s="110"/>
      <s:c r="EI34" s="110"/>
      <s:c r="EJ34" s="110"/>
      <s:c r="EK34" s="110"/>
      <s:c r="EL34" s="110"/>
      <s:c r="EM34" s="110"/>
      <s:c r="EN34" s="110"/>
      <s:c r="EO34" s="110"/>
      <s:c r="EP34" s="110"/>
      <s:c r="EQ34" s="110"/>
      <s:c r="ER34" s="110"/>
      <s:c r="ES34" s="110"/>
      <s:c r="ET34" s="110"/>
      <s:c r="EU34" s="110"/>
      <s:c r="EV34" s="110"/>
      <s:c r="EW34" s="110"/>
      <s:c r="EX34" s="110"/>
      <s:c r="EY34" s="110"/>
      <s:c r="EZ34" s="110"/>
      <s:c r="FA34" s="110"/>
      <s:c r="FB34" s="110"/>
      <s:c r="FC34" s="110"/>
      <s:c r="FD34" s="110"/>
      <s:c r="FE34" s="110"/>
      <s:c r="FF34" s="110"/>
      <s:c r="FG34" s="110"/>
      <s:c r="FH34" s="110"/>
      <s:c r="FI34" s="110"/>
      <s:c r="FJ34" s="110"/>
      <s:c r="FK34" s="110"/>
      <s:c r="FL34" s="110"/>
      <s:c r="FM34" s="110"/>
      <s:c r="FN34" s="110"/>
      <s:c r="FO34" s="110"/>
      <s:c r="FP34" s="110"/>
      <s:c r="FQ34" s="110"/>
      <s:c r="FR34" s="110"/>
      <s:c r="FS34" s="110"/>
      <s:c r="FT34" s="110"/>
      <s:c r="FU34" s="110"/>
      <s:c r="FV34" s="110"/>
      <s:c r="FW34" s="110"/>
      <s:c r="FX34" s="110"/>
      <s:c r="FY34" s="110"/>
      <s:c r="FZ34" s="110"/>
      <s:c r="GA34" s="110"/>
      <s:c r="GB34" s="110"/>
      <s:c r="GC34" s="110"/>
      <s:c r="GD34" s="110"/>
      <s:c r="GE34" s="110"/>
      <s:c r="GF34" s="110"/>
      <s:c r="GG34" s="110"/>
      <s:c r="GH34" s="110"/>
      <s:c r="GI34" s="110"/>
      <s:c r="GJ34" s="110"/>
      <s:c r="GK34" s="110"/>
      <s:c r="GL34" s="110"/>
      <s:c r="GM34" s="110"/>
      <s:c r="GN34" s="110"/>
      <s:c r="GO34" s="110"/>
      <s:c r="GP34" s="110"/>
      <s:c r="GQ34" s="110"/>
      <s:c r="GR34" s="110"/>
      <s:c r="GS34" s="110"/>
      <s:c r="GT34" s="110"/>
      <s:c r="GU34" s="110"/>
      <s:c r="GV34" s="110"/>
      <s:c r="GW34" s="110"/>
      <s:c r="GX34" s="110"/>
      <s:c r="GY34" s="110"/>
      <s:c r="GZ34" s="110"/>
      <s:c r="HA34" s="110"/>
      <s:c r="HB34" s="110"/>
      <s:c r="HC34" s="110"/>
      <s:c r="HD34" s="110"/>
      <s:c r="HE34" s="110"/>
      <s:c r="HF34" s="110"/>
      <s:c r="HG34" s="110"/>
      <s:c r="HH34" s="110"/>
      <s:c r="HI34" s="110"/>
      <s:c r="HJ34" s="110"/>
      <s:c r="HK34" s="110"/>
      <s:c r="HL34" s="110"/>
      <s:c r="HM34" s="110"/>
      <s:c r="HN34" s="110"/>
      <s:c r="HO34" s="110"/>
      <s:c r="HP34" s="110"/>
      <s:c r="HQ34" s="110"/>
      <s:c r="HR34" s="110"/>
      <s:c r="HS34" s="110"/>
      <s:c r="HT34" s="110"/>
      <s:c r="HU34" s="110"/>
      <s:c r="HV34" s="110"/>
      <s:c r="HW34" s="110"/>
      <s:c r="HX34" s="110"/>
      <s:c r="HY34" s="110"/>
      <s:c r="HZ34" s="110"/>
      <s:c r="IA34" s="110"/>
      <s:c r="IB34" s="110"/>
      <s:c r="IC34" s="110"/>
      <s:c r="ID34" s="110"/>
      <s:c r="IE34" s="110"/>
      <s:c r="IF34" s="110"/>
      <s:c r="IG34" s="110"/>
      <s:c r="IH34" s="110"/>
      <s:c r="II34" s="110"/>
      <s:c r="IJ34" s="110"/>
      <s:c r="IK34" s="110"/>
      <s:c r="IL34" s="110"/>
      <s:c r="IM34" s="110"/>
      <s:c r="IN34" s="110"/>
      <s:c r="IO34" s="110"/>
      <s:c r="IP34" s="110"/>
      <s:c r="IQ34" s="110"/>
      <s:c r="IR34" s="110"/>
      <s:c r="IS34" s="110"/>
      <s:c r="IT34" s="110"/>
      <s:c r="IU34" s="110"/>
    </s:row>
    <s:row r="35" spans="1:255" s="95" customFormat="1">
      <s:c r="A35" s="96" t="s">
        <s:v>58</s:v>
      </s:c>
      <s:c r="B35" s="97">
        <s:v>45788</s:v>
      </s:c>
      <s:c r="C35" s="98" t="s">
        <s:v>53</s:v>
      </s:c>
      <s:c r="D35" s="99">
        <s:v>123397</s:v>
      </s:c>
      <s:c r="E35" s="100">
        <s:v>17</s:v>
      </s:c>
      <s:c r="F35" s="100">
        <s:f>IF(AND(E35&lt;&gt;"",E35&lt;&gt;0),D35/E35,"")</s:f>
        <s:v>7258.6470588235297</s:v>
      </s:c>
      <s:c r="G35" s="100">
        <s:v>12</s:v>
      </s:c>
      <s:c r="H35" s="100">
        <s:f>IF(AND(G35&lt;&gt;"",G35&lt;&gt;0),D35/G35,"")</s:f>
        <s:v>10283.083333333334</s:v>
      </s:c>
      <s:c r="I35" s="100">
        <s:v>50</s:v>
      </s:c>
      <s:c r="J35" s="99">
        <s:f>IF(AND(G35&lt;&gt;"",G35&lt;&gt;0),E35/G35,"")</s:f>
        <s:v>1.4166666666666667</s:v>
      </s:c>
      <s:c r="K35" s="100">
        <s:v>63468</s:v>
      </s:c>
      <s:c r="L35" s="100">
        <s:v>20229</s:v>
      </s:c>
      <s:c r="M35" s="100"/>
      <s:c r="N35" s="101">
        <s:f>IF(AND(I35&lt;&gt;"",I35&lt;&gt;0),G35/I35,"")</s:f>
        <s:v>0.24</s:v>
      </s:c>
      <s:c r="O35" s="102">
        <s:f>D35/P35</s:f>
        <s:v>0.99516933839373656</s:v>
      </s:c>
      <s:c r="P35" s="103">
        <s:f>$I$8*V35*W35/SUMPRODUCT($W$25:$W$55,$V$25:$V$55)</s:f>
        <s:v>123995.98263263438</s:v>
      </s:c>
      <s:c r="Q35" s="104">
        <s:f>$I$9*V35*W35/SUMPRODUCT($W$25:$W$55,$V$25:$V$55)</s:f>
        <s:v>23.845381275506615</s:v>
      </s:c>
      <s:c r="R35" s="104">
        <s:f>IF($I$12="","",Q35/$I$12)</s:f>
        <s:v>12.291433647168358</s:v>
      </s:c>
      <s:c r="S35" s="103">
        <s:f>IF(W35&lt;&gt;"",IF(D35&lt;&gt;"",D35,($I$8-SUM($S$25:S34))*V35*W35/SUMPRODUCT($W35:$W$55,$V35:$V$55)),"")</s:f>
        <s:v>123397</s:v>
      </s:c>
      <s:c r="T35" s="104">
        <s:f>IF(W35&lt;&gt;"",IF(E35&lt;&gt;"",E35,($I$9-SUM($T$25:T34))*V35*W35/SUMPRODUCT($W35:$W$55,$V35:$V$55)),"")</s:f>
        <s:v>17</s:v>
      </s:c>
      <s:c r="U35" s="104">
        <s:f>IF(W35&lt;&gt;"",IF($I$12&lt;&gt;"",IF(G35&lt;&gt;"",G35,($I$9/$I$12-SUM($U$25:U34))*V35*W35/SUMPRODUCT($W35:$W$55,$V35:$V$55)),""),"")</s:f>
        <s:v>12</s:v>
      </s:c>
      <s:c r="V35" s="105">
        <s:v>0.85</s:v>
      </s:c>
      <s:c r="W35" s="105">
        <s:v>0.85</s:v>
      </s:c>
      <s:c r="X35" s="108"/>
      <s:c r="Y35" s="107"/>
      <s:c r="Z35" s="110"/>
      <s:c r="AA35" s="110"/>
      <s:c r="AB35" s="110"/>
      <s:c r="AC35" s="110"/>
      <s:c r="AD35" s="110"/>
      <s:c r="AE35" s="110"/>
      <s:c r="AF35" s="110"/>
      <s:c r="AG35" s="110"/>
      <s:c r="AH35" s="110"/>
      <s:c r="AI35" s="110"/>
      <s:c r="AJ35" s="110"/>
      <s:c r="AK35" s="110"/>
      <s:c r="AL35" s="110"/>
      <s:c r="AM35" s="110"/>
      <s:c r="AN35" s="110"/>
      <s:c r="AO35" s="110"/>
      <s:c r="AP35" s="110"/>
      <s:c r="AQ35" s="110"/>
      <s:c r="AR35" s="110"/>
      <s:c r="AS35" s="110"/>
      <s:c r="AT35" s="110"/>
      <s:c r="AU35" s="110"/>
      <s:c r="AV35" s="110"/>
      <s:c r="AW35" s="110"/>
      <s:c r="AX35" s="110"/>
      <s:c r="AY35" s="110"/>
      <s:c r="AZ35" s="110"/>
      <s:c r="BA35" s="110"/>
      <s:c r="BB35" s="110"/>
      <s:c r="BC35" s="110"/>
      <s:c r="BD35" s="110"/>
      <s:c r="BE35" s="110"/>
      <s:c r="BF35" s="110"/>
      <s:c r="BG35" s="110"/>
      <s:c r="BH35" s="110"/>
      <s:c r="BI35" s="110"/>
      <s:c r="BJ35" s="110"/>
      <s:c r="BK35" s="110"/>
      <s:c r="BL35" s="110"/>
      <s:c r="BM35" s="110"/>
      <s:c r="BN35" s="110"/>
      <s:c r="BO35" s="110"/>
      <s:c r="BP35" s="110"/>
      <s:c r="BQ35" s="110"/>
      <s:c r="BR35" s="110"/>
      <s:c r="BS35" s="110"/>
      <s:c r="BT35" s="110"/>
      <s:c r="BU35" s="110"/>
      <s:c r="BV35" s="110"/>
      <s:c r="BW35" s="110"/>
      <s:c r="BX35" s="110"/>
      <s:c r="BY35" s="110"/>
      <s:c r="BZ35" s="110"/>
      <s:c r="CA35" s="110"/>
      <s:c r="CB35" s="110"/>
      <s:c r="CC35" s="110"/>
      <s:c r="CD35" s="110"/>
      <s:c r="CE35" s="110"/>
      <s:c r="CF35" s="110"/>
      <s:c r="CG35" s="110"/>
      <s:c r="CH35" s="110"/>
      <s:c r="CI35" s="110"/>
      <s:c r="CJ35" s="110"/>
      <s:c r="CK35" s="110"/>
      <s:c r="CL35" s="110"/>
      <s:c r="CM35" s="110"/>
      <s:c r="CN35" s="110"/>
      <s:c r="CO35" s="110"/>
      <s:c r="CP35" s="110"/>
      <s:c r="CQ35" s="110"/>
      <s:c r="CR35" s="110"/>
      <s:c r="CS35" s="110"/>
      <s:c r="CT35" s="110"/>
      <s:c r="CU35" s="110"/>
      <s:c r="CV35" s="110"/>
      <s:c r="CW35" s="110"/>
      <s:c r="CX35" s="110"/>
      <s:c r="CY35" s="110"/>
      <s:c r="CZ35" s="110"/>
      <s:c r="DA35" s="110"/>
      <s:c r="DB35" s="110"/>
      <s:c r="DC35" s="110"/>
      <s:c r="DD35" s="110"/>
      <s:c r="DE35" s="110"/>
      <s:c r="DF35" s="110"/>
      <s:c r="DG35" s="110"/>
      <s:c r="DH35" s="110"/>
      <s:c r="DI35" s="110"/>
      <s:c r="DJ35" s="110"/>
      <s:c r="DK35" s="110"/>
      <s:c r="DL35" s="110"/>
      <s:c r="DM35" s="110"/>
      <s:c r="DN35" s="110"/>
      <s:c r="DO35" s="110"/>
      <s:c r="DP35" s="110"/>
      <s:c r="DQ35" s="110"/>
      <s:c r="DR35" s="110"/>
      <s:c r="DS35" s="110"/>
      <s:c r="DT35" s="110"/>
      <s:c r="DU35" s="110"/>
      <s:c r="DV35" s="110"/>
      <s:c r="DW35" s="110"/>
      <s:c r="DX35" s="110"/>
      <s:c r="DY35" s="110"/>
      <s:c r="DZ35" s="110"/>
      <s:c r="EA35" s="110"/>
      <s:c r="EB35" s="110"/>
      <s:c r="EC35" s="110"/>
      <s:c r="ED35" s="110"/>
      <s:c r="EE35" s="110"/>
      <s:c r="EF35" s="110"/>
      <s:c r="EG35" s="110"/>
      <s:c r="EH35" s="110"/>
      <s:c r="EI35" s="110"/>
      <s:c r="EJ35" s="110"/>
      <s:c r="EK35" s="110"/>
      <s:c r="EL35" s="110"/>
      <s:c r="EM35" s="110"/>
      <s:c r="EN35" s="110"/>
      <s:c r="EO35" s="110"/>
      <s:c r="EP35" s="110"/>
      <s:c r="EQ35" s="110"/>
      <s:c r="ER35" s="110"/>
      <s:c r="ES35" s="110"/>
      <s:c r="ET35" s="110"/>
      <s:c r="EU35" s="110"/>
      <s:c r="EV35" s="110"/>
      <s:c r="EW35" s="110"/>
      <s:c r="EX35" s="110"/>
      <s:c r="EY35" s="110"/>
      <s:c r="EZ35" s="110"/>
      <s:c r="FA35" s="110"/>
      <s:c r="FB35" s="110"/>
      <s:c r="FC35" s="110"/>
      <s:c r="FD35" s="110"/>
      <s:c r="FE35" s="110"/>
      <s:c r="FF35" s="110"/>
      <s:c r="FG35" s="110"/>
      <s:c r="FH35" s="110"/>
      <s:c r="FI35" s="110"/>
      <s:c r="FJ35" s="110"/>
      <s:c r="FK35" s="110"/>
      <s:c r="FL35" s="110"/>
      <s:c r="FM35" s="110"/>
      <s:c r="FN35" s="110"/>
      <s:c r="FO35" s="110"/>
      <s:c r="FP35" s="110"/>
      <s:c r="FQ35" s="110"/>
      <s:c r="FR35" s="110"/>
      <s:c r="FS35" s="110"/>
      <s:c r="FT35" s="110"/>
      <s:c r="FU35" s="110"/>
      <s:c r="FV35" s="110"/>
      <s:c r="FW35" s="110"/>
      <s:c r="FX35" s="110"/>
      <s:c r="FY35" s="110"/>
      <s:c r="FZ35" s="110"/>
      <s:c r="GA35" s="110"/>
      <s:c r="GB35" s="110"/>
      <s:c r="GC35" s="110"/>
      <s:c r="GD35" s="110"/>
      <s:c r="GE35" s="110"/>
      <s:c r="GF35" s="110"/>
      <s:c r="GG35" s="110"/>
      <s:c r="GH35" s="110"/>
      <s:c r="GI35" s="110"/>
      <s:c r="GJ35" s="110"/>
      <s:c r="GK35" s="110"/>
      <s:c r="GL35" s="110"/>
      <s:c r="GM35" s="110"/>
      <s:c r="GN35" s="110"/>
      <s:c r="GO35" s="110"/>
      <s:c r="GP35" s="110"/>
      <s:c r="GQ35" s="110"/>
      <s:c r="GR35" s="110"/>
      <s:c r="GS35" s="110"/>
      <s:c r="GT35" s="110"/>
      <s:c r="GU35" s="110"/>
      <s:c r="GV35" s="110"/>
      <s:c r="GW35" s="110"/>
      <s:c r="GX35" s="110"/>
      <s:c r="GY35" s="110"/>
      <s:c r="GZ35" s="110"/>
      <s:c r="HA35" s="110"/>
      <s:c r="HB35" s="110"/>
      <s:c r="HC35" s="110"/>
      <s:c r="HD35" s="110"/>
      <s:c r="HE35" s="110"/>
      <s:c r="HF35" s="110"/>
      <s:c r="HG35" s="110"/>
      <s:c r="HH35" s="110"/>
      <s:c r="HI35" s="110"/>
      <s:c r="HJ35" s="110"/>
      <s:c r="HK35" s="110"/>
      <s:c r="HL35" s="110"/>
      <s:c r="HM35" s="110"/>
      <s:c r="HN35" s="110"/>
      <s:c r="HO35" s="110"/>
      <s:c r="HP35" s="110"/>
      <s:c r="HQ35" s="110"/>
      <s:c r="HR35" s="110"/>
      <s:c r="HS35" s="110"/>
      <s:c r="HT35" s="110"/>
      <s:c r="HU35" s="110"/>
      <s:c r="HV35" s="110"/>
      <s:c r="HW35" s="110"/>
      <s:c r="HX35" s="110"/>
      <s:c r="HY35" s="110"/>
      <s:c r="HZ35" s="110"/>
      <s:c r="IA35" s="110"/>
      <s:c r="IB35" s="110"/>
      <s:c r="IC35" s="110"/>
      <s:c r="ID35" s="110"/>
      <s:c r="IE35" s="110"/>
      <s:c r="IF35" s="110"/>
      <s:c r="IG35" s="110"/>
      <s:c r="IH35" s="110"/>
      <s:c r="II35" s="110"/>
      <s:c r="IJ35" s="110"/>
      <s:c r="IK35" s="110"/>
      <s:c r="IL35" s="110"/>
      <s:c r="IM35" s="110"/>
      <s:c r="IN35" s="110"/>
      <s:c r="IO35" s="110"/>
      <s:c r="IP35" s="110"/>
      <s:c r="IQ35" s="110"/>
      <s:c r="IR35" s="110"/>
      <s:c r="IS35" s="110"/>
      <s:c r="IT35" s="110"/>
      <s:c r="IU35" s="110"/>
    </s:row>
    <s:row r="36">
      <s:c r="A36" s="113" t="s">
        <s:v>52</s:v>
      </s:c>
      <s:c r="B36" s="114">
        <s:v>45789</s:v>
      </s:c>
      <s:c r="C36" s="115" t="s">
        <s:v>54</s:v>
      </s:c>
      <s:c r="D36" s="116">
        <s:f>46553+8903</s:f>
        <s:v>55456</s:v>
      </s:c>
      <s:c r="E36" s="117">
        <s:v>13</s:v>
      </s:c>
      <s:c r="F36" s="117">
        <s:f>IF(AND(E36&lt;&gt;"",E36&lt;&gt;0),D36/E36,"")</s:f>
        <s:v>4265.8461538461543</s:v>
      </s:c>
      <s:c r="G36" s="117">
        <s:v>6</s:v>
      </s:c>
      <s:c r="H36" s="117">
        <s:f>IF(AND(G36&lt;&gt;"",G36&lt;&gt;0),D36/G36,"")</s:f>
        <s:v>9242.6666666666661</s:v>
      </s:c>
      <s:c r="I36" s="117">
        <s:v>30</s:v>
      </s:c>
      <s:c r="J36" s="116">
        <s:f>IF(AND(G36&lt;&gt;"",G36&lt;&gt;0),E36/G36,"")</s:f>
        <s:v>2.1666666666666665</s:v>
      </s:c>
      <s:c r="K36" s="117"/>
      <s:c r="L36" s="117">
        <s:v>8903</s:v>
      </s:c>
      <s:c r="M36" s="117"/>
      <s:c r="N36" s="118">
        <s:f>IF(AND(I36&lt;&gt;"",I36&lt;&gt;0),G36/I36,"")</s:f>
        <s:v>0.2</s:v>
      </s:c>
      <s:c r="O36" s="119">
        <s:f>D36/P36</s:f>
        <s:v>0.44724029619814948</s:v>
      </s:c>
      <s:c r="P36" s="120">
        <s:f>$I$8*V36*W36/SUMPRODUCT($W$25:$W$55,$V$25:$V$55)</s:f>
        <s:v>123995.98263263438</s:v>
      </s:c>
      <s:c r="Q36" s="121">
        <s:f>$I$9*V36*W36/SUMPRODUCT($W$25:$W$55,$V$25:$V$55)</s:f>
        <s:v>23.845381275506615</s:v>
      </s:c>
      <s:c r="R36" s="121">
        <s:f>IF($I$12="","",Q36/$I$12)</s:f>
        <s:v>12.291433647168358</s:v>
      </s:c>
      <s:c r="S36" s="120">
        <s:f>IF(W36&lt;&gt;"",IF(D36&lt;&gt;"",D36,($I$8-SUM($S$25:S35))*V36*W36/SUMPRODUCT($W36:$W$55,$V36:$V$55)),"")</s:f>
        <s:v>55456</s:v>
      </s:c>
      <s:c r="T36" s="121">
        <s:f>IF(W36&lt;&gt;"",IF(E36&lt;&gt;"",E36,($I$9-SUM($T$25:T35))*V36*W36/SUMPRODUCT($W36:$W$55,$V36:$V$55)),"")</s:f>
        <s:v>13</s:v>
      </s:c>
      <s:c r="U36" s="121">
        <s:f>IF(W36&lt;&gt;"",IF($I$12&lt;&gt;"",IF(G36&lt;&gt;"",G36,($I$9/$I$12-SUM($U$25:U35))*V36*W36/SUMPRODUCT($W36:$W$55,$V36:$V$55)),""),"")</s:f>
        <s:v>6</s:v>
      </s:c>
      <s:c r="V36" s="122">
        <s:v>0.85</s:v>
      </s:c>
      <s:c r="W36" s="122">
        <s:v>0.85</s:v>
      </s:c>
      <s:c r="X36" s="123"/>
      <s:c r="Y36" s="124"/>
    </s:row>
    <s:row r="37" spans="1:255" ht="15.25" customHeight="1">
      <s:c r="A37" s="113" t="s">
        <s:v>52</s:v>
      </s:c>
      <s:c r="B37" s="114">
        <s:v>45790</s:v>
      </s:c>
      <s:c r="C37" s="115" t="s">
        <s:v>55</s:v>
      </s:c>
      <s:c r="D37" s="116">
        <s:v>46762</s:v>
      </s:c>
      <s:c r="E37" s="117">
        <s:v>2</s:v>
      </s:c>
      <s:c r="F37" s="117">
        <s:f>IF(AND(E37&lt;&gt;"",E37&lt;&gt;0),D37/E37,"")</s:f>
        <s:v>23381</s:v>
      </s:c>
      <s:c r="G37" s="117">
        <s:v>3</s:v>
      </s:c>
      <s:c r="H37" s="117">
        <s:f>IF(AND(G37&lt;&gt;"",G37&lt;&gt;0),D37/G37,"")</s:f>
        <s:v>15587.333333333334</s:v>
      </s:c>
      <s:c r="I37" s="117">
        <s:v>22</s:v>
      </s:c>
      <s:c r="J37" s="116">
        <s:f>IF(AND(G37&lt;&gt;"",G37&lt;&gt;0),E37/G37,"")</s:f>
        <s:v>0.66666666666666663</s:v>
      </s:c>
      <s:c r="K37" s="117">
        <s:v>17469</s:v>
      </s:c>
      <s:c r="L37" s="117"/>
      <s:c r="M37" s="117"/>
      <s:c r="N37" s="118">
        <s:f>IF(AND(I37&lt;&gt;"",I37&lt;&gt;0),G37/I37,"")</s:f>
        <s:v>0.13636363636363635</s:v>
      </s:c>
      <s:c r="O37" s="119">
        <s:f>D37/P37</s:f>
        <s:v>0.37712512137222065</s:v>
      </s:c>
      <s:c r="P37" s="120">
        <s:f>$I$8*V37*W37/SUMPRODUCT($W$25:$W$55,$V$25:$V$55)</s:f>
        <s:v>123995.98263263438</s:v>
      </s:c>
      <s:c r="Q37" s="121">
        <s:f>$I$9*V37*W37/SUMPRODUCT($W$25:$W$55,$V$25:$V$55)</s:f>
        <s:v>23.845381275506615</s:v>
      </s:c>
      <s:c r="R37" s="121">
        <s:f>IF($I$12="","",Q37/$I$12)</s:f>
        <s:v>12.291433647168358</s:v>
      </s:c>
      <s:c r="S37" s="120">
        <s:f>IF(W37&lt;&gt;"",IF(D37&lt;&gt;"",D37,($I$8-SUM($S$25:S36))*V37*W37/SUMPRODUCT($W37:$W$55,$V37:$V$55)),"")</s:f>
        <s:v>46762</s:v>
      </s:c>
      <s:c r="T37" s="121">
        <s:f>IF(W37&lt;&gt;"",IF(E37&lt;&gt;"",E37,($I$9-SUM($T$25:T36))*V37*W37/SUMPRODUCT($W37:$W$55,$V37:$V$55)),"")</s:f>
        <s:v>2</s:v>
      </s:c>
      <s:c r="U37" s="121">
        <s:f>IF(W37&lt;&gt;"",IF($I$12&lt;&gt;"",IF(G37&lt;&gt;"",G37,($I$9/$I$12-SUM($U$25:U36))*V37*W37/SUMPRODUCT($W37:$W$55,$V37:$V$55)),""),"")</s:f>
        <s:v>3</s:v>
      </s:c>
      <s:c r="V37" s="122">
        <s:v>0.85</s:v>
      </s:c>
      <s:c r="W37" s="122">
        <s:v>0.85</s:v>
      </s:c>
      <s:c r="X37" s="123"/>
      <s:c r="Y37" s="124"/>
    </s:row>
    <s:row r="38">
      <s:c r="A38" s="113" t="s">
        <s:v>59</s:v>
      </s:c>
      <s:c r="B38" s="114">
        <s:v>45791</s:v>
      </s:c>
      <s:c r="C38" s="115" t="s">
        <s:v>56</s:v>
      </s:c>
      <s:c r="D38" s="116">
        <s:f>38738+67970+15403</s:f>
        <s:v>122111</s:v>
      </s:c>
      <s:c r="E38" s="117">
        <s:v>15</s:v>
      </s:c>
      <s:c r="F38" s="117">
        <s:f>IF(AND(E38&lt;&gt;"",E38&lt;&gt;0),D38/E38,"")</s:f>
        <s:v>8140.7333333333336</s:v>
      </s:c>
      <s:c r="G38" s="117">
        <s:v>8</s:v>
      </s:c>
      <s:c r="H38" s="117">
        <s:f>IF(AND(G38&lt;&gt;"",G38&lt;&gt;0),D38/G38,"")</s:f>
        <s:v>15263.875</s:v>
      </s:c>
      <s:c r="I38" s="117">
        <s:v>20</s:v>
      </s:c>
      <s:c r="J38" s="116">
        <s:f>IF(AND(G38&lt;&gt;"",G38&lt;&gt;0),E38/G38,"")</s:f>
        <s:v>1.875</s:v>
      </s:c>
      <s:c r="K38" s="117">
        <s:v>67970</s:v>
      </s:c>
      <s:c r="L38" s="117">
        <s:v>15403</s:v>
      </s:c>
      <s:c r="M38" s="117"/>
      <s:c r="N38" s="118">
        <s:f>IF(AND(I38&lt;&gt;"",I38&lt;&gt;0),G38/I38,"")</s:f>
        <s:v>0.4</s:v>
      </s:c>
      <s:c r="O38" s="119">
        <s:f>D38/P38</s:f>
        <s:v>0.9847980346410169</s:v>
      </s:c>
      <s:c r="P38" s="120">
        <s:f>$I$8*V38*W38/SUMPRODUCT($W$25:$W$55,$V$25:$V$55)</s:f>
        <s:v>123995.98263263438</s:v>
      </s:c>
      <s:c r="Q38" s="121">
        <s:f>$I$9*V38*W38/SUMPRODUCT($W$25:$W$55,$V$25:$V$55)</s:f>
        <s:v>23.845381275506615</s:v>
      </s:c>
      <s:c r="R38" s="121">
        <s:f>IF($I$12="","",Q38/$I$12)</s:f>
        <s:v>12.291433647168358</s:v>
      </s:c>
      <s:c r="S38" s="120">
        <s:f>IF(W38&lt;&gt;"",IF(D38&lt;&gt;"",D38,($I$8-SUM($S$25:S37))*V38*W38/SUMPRODUCT($W38:$W$55,$V38:$V$55)),"")</s:f>
        <s:v>122111</s:v>
      </s:c>
      <s:c r="T38" s="121">
        <s:f>IF(W38&lt;&gt;"",IF(E38&lt;&gt;"",E38,($I$9-SUM($T$25:T37))*V38*W38/SUMPRODUCT($W38:$W$55,$V38:$V$55)),"")</s:f>
        <s:v>15</s:v>
      </s:c>
      <s:c r="U38" s="121">
        <s:f>IF(W38&lt;&gt;"",IF($I$12&lt;&gt;"",IF(G38&lt;&gt;"",G38,($I$9/$I$12-SUM($U$25:U37))*V38*W38/SUMPRODUCT($W38:$W$55,$V38:$V$55)),""),"")</s:f>
        <s:v>8</s:v>
      </s:c>
      <s:c r="V38" s="122">
        <s:v>0.85</s:v>
      </s:c>
      <s:c r="W38" s="122">
        <s:v>0.85</s:v>
      </s:c>
      <s:c r="X38" s="123"/>
      <s:c r="Y38" s="124"/>
    </s:row>
    <s:row r="39">
      <s:c r="A39" s="113" t="s">
        <s:v>58</s:v>
      </s:c>
      <s:c r="B39" s="114">
        <s:v>45792</s:v>
      </s:c>
      <s:c r="C39" s="115" t="s">
        <s:v>48</s:v>
      </s:c>
      <s:c r="D39" s="116">
        <s:f>53662+7903</s:f>
        <s:v>61565</s:v>
      </s:c>
      <s:c r="E39" s="117">
        <s:v>17</s:v>
      </s:c>
      <s:c r="F39" s="117">
        <s:f>IF(AND(E39&lt;&gt;"",E39&lt;&gt;0),D39/E39,"")</s:f>
        <s:v>3621.4705882352941</s:v>
      </s:c>
      <s:c r="G39" s="117">
        <s:v>7</s:v>
      </s:c>
      <s:c r="H39" s="117">
        <s:f>IF(AND(G39&lt;&gt;"",G39&lt;&gt;0),D39/G39,"")</s:f>
        <s:v>8795</s:v>
      </s:c>
      <s:c r="I39" s="117">
        <s:v>30</s:v>
      </s:c>
      <s:c r="J39" s="116">
        <s:f>IF(AND(G39&lt;&gt;"",G39&lt;&gt;0),E39/G39,"")</s:f>
        <s:v>2.4285714285714284</s:v>
      </s:c>
      <s:c r="K39" s="117"/>
      <s:c r="L39" s="117">
        <s:v>7903</s:v>
      </s:c>
      <s:c r="M39" s="117"/>
      <s:c r="N39" s="118">
        <s:f>IF(AND(I39&lt;&gt;"",I39&lt;&gt;0),G39/I39,"")</s:f>
        <s:v>0.23333333333333334</s:v>
      </s:c>
      <s:c r="O39" s="119">
        <s:f>D39/P39</s:f>
        <s:v>0.49650802141227413</s:v>
      </s:c>
      <s:c r="P39" s="120">
        <s:f>$I$8*V39*W39/SUMPRODUCT($W$25:$W$55,$V$25:$V$55)</s:f>
        <s:v>123995.98263263438</s:v>
      </s:c>
      <s:c r="Q39" s="121">
        <s:f>$I$9*V39*W39/SUMPRODUCT($W$25:$W$55,$V$25:$V$55)</s:f>
        <s:v>23.845381275506615</s:v>
      </s:c>
      <s:c r="R39" s="121">
        <s:f>IF($I$12="","",Q39/$I$12)</s:f>
        <s:v>12.291433647168358</s:v>
      </s:c>
      <s:c r="S39" s="120">
        <s:f>IF(W39&lt;&gt;"",IF(D39&lt;&gt;"",D39,($I$8-SUM($S$25:S38))*V39*W39/SUMPRODUCT($W39:$W$55,$V39:$V$55)),"")</s:f>
        <s:v>61565</s:v>
      </s:c>
      <s:c r="T39" s="121">
        <s:f>IF(W39&lt;&gt;"",IF(E39&lt;&gt;"",E39,($I$9-SUM($T$25:T38))*V39*W39/SUMPRODUCT($W39:$W$55,$V39:$V$55)),"")</s:f>
        <s:v>17</s:v>
      </s:c>
      <s:c r="U39" s="121">
        <s:f>IF(W39&lt;&gt;"",IF($I$12&lt;&gt;"",IF(G39&lt;&gt;"",G39,($I$9/$I$12-SUM($U$25:U38))*V39*W39/SUMPRODUCT($W39:$W$55,$V39:$V$55)),""),"")</s:f>
        <s:v>7</s:v>
      </s:c>
      <s:c r="V39" s="122">
        <s:v>0.85</s:v>
      </s:c>
      <s:c r="W39" s="122">
        <s:v>0.85</s:v>
      </s:c>
      <s:c r="X39" s="123"/>
      <s:c r="Y39" s="124"/>
    </s:row>
    <s:row r="40" spans="1:255" s="95" customFormat="1">
      <s:c r="A40" s="96" t="s">
        <s:v>58</s:v>
      </s:c>
      <s:c r="B40" s="97">
        <s:v>45793</s:v>
      </s:c>
      <s:c r="C40" s="98" t="s">
        <s:v>49</s:v>
      </s:c>
      <s:c r="D40" s="99">
        <s:v>82307</s:v>
      </s:c>
      <s:c r="E40" s="100">
        <s:v>11</s:v>
      </s:c>
      <s:c r="F40" s="100">
        <s:f>IF(AND(E40&lt;&gt;"",E40&lt;&gt;0),D40/E40,"")</s:f>
        <s:v>7482.454545454545</s:v>
      </s:c>
      <s:c r="G40" s="100">
        <s:v>5</s:v>
      </s:c>
      <s:c r="H40" s="100">
        <s:f>IF(AND(G40&lt;&gt;"",G40&lt;&gt;0),D40/G40,"")</s:f>
        <s:v>16461.400000000001</s:v>
      </s:c>
      <s:c r="I40" s="100">
        <s:v>30</s:v>
      </s:c>
      <s:c r="J40" s="99">
        <s:f>IF(AND(G40&lt;&gt;"",G40&lt;&gt;0),E40/G40,"")</s:f>
        <s:v>2.2000000000000002</s:v>
      </s:c>
      <s:c r="K40" s="100">
        <s:v>55166</s:v>
      </s:c>
      <s:c r="L40" s="100"/>
      <s:c r="M40" s="100"/>
      <s:c r="N40" s="101">
        <s:f>IF(AND(I40&lt;&gt;"",I40&lt;&gt;0),G40/I40,"")</s:f>
        <s:v>0.16666666666666666</s:v>
      </s:c>
      <s:c r="O40" s="102">
        <s:f>D40/P40</s:f>
        <s:v>0.47958656593079801</s:v>
      </s:c>
      <s:c r="P40" s="103">
        <s:f>$I$8*V40*W40/SUMPRODUCT($W$25:$W$55,$V$25:$V$55)</s:f>
        <s:v>171620.73720779846</s:v>
      </s:c>
      <s:c r="Q40" s="104">
        <s:f>$I$9*V40*W40/SUMPRODUCT($W$25:$W$55,$V$25:$V$55)</s:f>
        <s:v>33.003987924576627</s:v>
      </s:c>
      <s:c r="R40" s="104">
        <s:f>IF($I$12="","",Q40/$I$12)</s:f>
        <s:v>17.012364909575581</s:v>
      </s:c>
      <s:c r="S40" s="103">
        <s:f>IF(W40&lt;&gt;"",IF(D40&lt;&gt;"",D40,($I$8-SUM($S$25:S39))*V40*W40/SUMPRODUCT($W40:$W$55,$V40:$V$55)),"")</s:f>
        <s:v>82307</s:v>
      </s:c>
      <s:c r="T40" s="104">
        <s:f>IF(W40&lt;&gt;"",IF(E40&lt;&gt;"",E40,($I$9-SUM($T$25:T39))*V40*W40/SUMPRODUCT($W40:$W$55,$V40:$V$55)),"")</s:f>
        <s:v>11</s:v>
      </s:c>
      <s:c r="U40" s="104">
        <s:f>IF(W40&lt;&gt;"",IF($I$12&lt;&gt;"",IF(G40&lt;&gt;"",G40,($I$9/$I$12-SUM($U$25:U39))*V40*W40/SUMPRODUCT($W40:$W$55,$V40:$V$55)),""),"")</s:f>
        <s:v>5</s:v>
      </s:c>
      <s:c r="V40" s="105">
        <s:v>1</s:v>
      </s:c>
      <s:c r="W40" s="105">
        <s:v>1</s:v>
      </s:c>
      <s:c r="X40" s="108"/>
      <s:c r="Y40" s="107"/>
      <s:c r="Z40" s="110"/>
      <s:c r="AA40" s="110"/>
      <s:c r="AB40" s="110"/>
      <s:c r="AC40" s="110"/>
      <s:c r="AD40" s="110"/>
      <s:c r="AE40" s="110"/>
      <s:c r="AF40" s="110"/>
      <s:c r="AG40" s="110"/>
      <s:c r="AH40" s="110"/>
      <s:c r="AI40" s="110"/>
      <s:c r="AJ40" s="110"/>
      <s:c r="AK40" s="110"/>
      <s:c r="AL40" s="110"/>
      <s:c r="AM40" s="110"/>
      <s:c r="AN40" s="110"/>
      <s:c r="AO40" s="110"/>
      <s:c r="AP40" s="110"/>
      <s:c r="AQ40" s="110"/>
      <s:c r="AR40" s="110"/>
      <s:c r="AS40" s="110"/>
      <s:c r="AT40" s="110"/>
      <s:c r="AU40" s="110"/>
      <s:c r="AV40" s="110"/>
      <s:c r="AW40" s="110"/>
      <s:c r="AX40" s="110"/>
      <s:c r="AY40" s="110"/>
      <s:c r="AZ40" s="110"/>
      <s:c r="BA40" s="110"/>
      <s:c r="BB40" s="110"/>
      <s:c r="BC40" s="110"/>
      <s:c r="BD40" s="110"/>
      <s:c r="BE40" s="110"/>
      <s:c r="BF40" s="110"/>
      <s:c r="BG40" s="110"/>
      <s:c r="BH40" s="110"/>
      <s:c r="BI40" s="110"/>
      <s:c r="BJ40" s="110"/>
      <s:c r="BK40" s="110"/>
      <s:c r="BL40" s="110"/>
      <s:c r="BM40" s="110"/>
      <s:c r="BN40" s="110"/>
      <s:c r="BO40" s="110"/>
      <s:c r="BP40" s="110"/>
      <s:c r="BQ40" s="110"/>
      <s:c r="BR40" s="110"/>
      <s:c r="BS40" s="110"/>
      <s:c r="BT40" s="110"/>
      <s:c r="BU40" s="110"/>
      <s:c r="BV40" s="110"/>
      <s:c r="BW40" s="110"/>
      <s:c r="BX40" s="110"/>
      <s:c r="BY40" s="110"/>
      <s:c r="BZ40" s="110"/>
      <s:c r="CA40" s="110"/>
      <s:c r="CB40" s="110"/>
      <s:c r="CC40" s="110"/>
      <s:c r="CD40" s="110"/>
      <s:c r="CE40" s="110"/>
      <s:c r="CF40" s="110"/>
      <s:c r="CG40" s="110"/>
      <s:c r="CH40" s="110"/>
      <s:c r="CI40" s="110"/>
      <s:c r="CJ40" s="110"/>
      <s:c r="CK40" s="110"/>
      <s:c r="CL40" s="110"/>
      <s:c r="CM40" s="110"/>
      <s:c r="CN40" s="110"/>
      <s:c r="CO40" s="110"/>
      <s:c r="CP40" s="110"/>
      <s:c r="CQ40" s="110"/>
      <s:c r="CR40" s="110"/>
      <s:c r="CS40" s="110"/>
      <s:c r="CT40" s="110"/>
      <s:c r="CU40" s="110"/>
      <s:c r="CV40" s="110"/>
      <s:c r="CW40" s="110"/>
      <s:c r="CX40" s="110"/>
      <s:c r="CY40" s="110"/>
      <s:c r="CZ40" s="110"/>
      <s:c r="DA40" s="110"/>
      <s:c r="DB40" s="110"/>
      <s:c r="DC40" s="110"/>
      <s:c r="DD40" s="110"/>
      <s:c r="DE40" s="110"/>
      <s:c r="DF40" s="110"/>
      <s:c r="DG40" s="110"/>
      <s:c r="DH40" s="110"/>
      <s:c r="DI40" s="110"/>
      <s:c r="DJ40" s="110"/>
      <s:c r="DK40" s="110"/>
      <s:c r="DL40" s="110"/>
      <s:c r="DM40" s="110"/>
      <s:c r="DN40" s="110"/>
      <s:c r="DO40" s="110"/>
      <s:c r="DP40" s="110"/>
      <s:c r="DQ40" s="110"/>
      <s:c r="DR40" s="110"/>
      <s:c r="DS40" s="110"/>
      <s:c r="DT40" s="110"/>
      <s:c r="DU40" s="110"/>
      <s:c r="DV40" s="110"/>
      <s:c r="DW40" s="110"/>
      <s:c r="DX40" s="110"/>
      <s:c r="DY40" s="110"/>
      <s:c r="DZ40" s="110"/>
      <s:c r="EA40" s="110"/>
      <s:c r="EB40" s="110"/>
      <s:c r="EC40" s="110"/>
      <s:c r="ED40" s="110"/>
      <s:c r="EE40" s="110"/>
      <s:c r="EF40" s="110"/>
      <s:c r="EG40" s="110"/>
      <s:c r="EH40" s="110"/>
      <s:c r="EI40" s="110"/>
      <s:c r="EJ40" s="110"/>
      <s:c r="EK40" s="110"/>
      <s:c r="EL40" s="110"/>
      <s:c r="EM40" s="110"/>
      <s:c r="EN40" s="110"/>
      <s:c r="EO40" s="110"/>
      <s:c r="EP40" s="110"/>
      <s:c r="EQ40" s="110"/>
      <s:c r="ER40" s="110"/>
      <s:c r="ES40" s="110"/>
      <s:c r="ET40" s="110"/>
      <s:c r="EU40" s="110"/>
      <s:c r="EV40" s="110"/>
      <s:c r="EW40" s="110"/>
      <s:c r="EX40" s="110"/>
      <s:c r="EY40" s="110"/>
      <s:c r="EZ40" s="110"/>
      <s:c r="FA40" s="110"/>
      <s:c r="FB40" s="110"/>
      <s:c r="FC40" s="110"/>
      <s:c r="FD40" s="110"/>
      <s:c r="FE40" s="110"/>
      <s:c r="FF40" s="110"/>
      <s:c r="FG40" s="110"/>
      <s:c r="FH40" s="110"/>
      <s:c r="FI40" s="110"/>
      <s:c r="FJ40" s="110"/>
      <s:c r="FK40" s="110"/>
      <s:c r="FL40" s="110"/>
      <s:c r="FM40" s="110"/>
      <s:c r="FN40" s="110"/>
      <s:c r="FO40" s="110"/>
      <s:c r="FP40" s="110"/>
      <s:c r="FQ40" s="110"/>
      <s:c r="FR40" s="110"/>
      <s:c r="FS40" s="110"/>
      <s:c r="FT40" s="110"/>
      <s:c r="FU40" s="110"/>
      <s:c r="FV40" s="110"/>
      <s:c r="FW40" s="110"/>
      <s:c r="FX40" s="110"/>
      <s:c r="FY40" s="110"/>
      <s:c r="FZ40" s="110"/>
      <s:c r="GA40" s="110"/>
      <s:c r="GB40" s="110"/>
      <s:c r="GC40" s="110"/>
      <s:c r="GD40" s="110"/>
      <s:c r="GE40" s="110"/>
      <s:c r="GF40" s="110"/>
      <s:c r="GG40" s="110"/>
      <s:c r="GH40" s="110"/>
      <s:c r="GI40" s="110"/>
      <s:c r="GJ40" s="110"/>
      <s:c r="GK40" s="110"/>
      <s:c r="GL40" s="110"/>
      <s:c r="GM40" s="110"/>
      <s:c r="GN40" s="110"/>
      <s:c r="GO40" s="110"/>
      <s:c r="GP40" s="110"/>
      <s:c r="GQ40" s="110"/>
      <s:c r="GR40" s="110"/>
      <s:c r="GS40" s="110"/>
      <s:c r="GT40" s="110"/>
      <s:c r="GU40" s="110"/>
      <s:c r="GV40" s="110"/>
      <s:c r="GW40" s="110"/>
      <s:c r="GX40" s="110"/>
      <s:c r="GY40" s="110"/>
      <s:c r="GZ40" s="110"/>
      <s:c r="HA40" s="110"/>
      <s:c r="HB40" s="110"/>
      <s:c r="HC40" s="110"/>
      <s:c r="HD40" s="110"/>
      <s:c r="HE40" s="110"/>
      <s:c r="HF40" s="110"/>
      <s:c r="HG40" s="110"/>
      <s:c r="HH40" s="110"/>
      <s:c r="HI40" s="110"/>
      <s:c r="HJ40" s="110"/>
      <s:c r="HK40" s="110"/>
      <s:c r="HL40" s="110"/>
      <s:c r="HM40" s="110"/>
      <s:c r="HN40" s="110"/>
      <s:c r="HO40" s="110"/>
      <s:c r="HP40" s="110"/>
      <s:c r="HQ40" s="110"/>
      <s:c r="HR40" s="110"/>
      <s:c r="HS40" s="110"/>
      <s:c r="HT40" s="110"/>
      <s:c r="HU40" s="110"/>
      <s:c r="HV40" s="110"/>
      <s:c r="HW40" s="110"/>
      <s:c r="HX40" s="110"/>
      <s:c r="HY40" s="110"/>
      <s:c r="HZ40" s="110"/>
      <s:c r="IA40" s="110"/>
      <s:c r="IB40" s="110"/>
      <s:c r="IC40" s="110"/>
      <s:c r="ID40" s="110"/>
      <s:c r="IE40" s="110"/>
      <s:c r="IF40" s="110"/>
      <s:c r="IG40" s="110"/>
      <s:c r="IH40" s="110"/>
      <s:c r="II40" s="110"/>
      <s:c r="IJ40" s="110"/>
      <s:c r="IK40" s="110"/>
      <s:c r="IL40" s="110"/>
      <s:c r="IM40" s="110"/>
      <s:c r="IN40" s="110"/>
      <s:c r="IO40" s="110"/>
      <s:c r="IP40" s="110"/>
      <s:c r="IQ40" s="110"/>
      <s:c r="IR40" s="110"/>
      <s:c r="IS40" s="110"/>
      <s:c r="IT40" s="110"/>
      <s:c r="IU40" s="110"/>
    </s:row>
    <s:row r="41" spans="1:255" s="95" customFormat="1">
      <s:c r="A41" s="96" t="s">
        <s:v>52</s:v>
      </s:c>
      <s:c r="B41" s="97">
        <s:v>45794</s:v>
      </s:c>
      <s:c r="C41" s="98" t="s">
        <s:v>51</s:v>
      </s:c>
      <s:c r="D41" s="99">
        <s:v>41508</s:v>
      </s:c>
      <s:c r="E41" s="100">
        <s:v>11</s:v>
      </s:c>
      <s:c r="F41" s="100">
        <s:f>IF(AND(E41&lt;&gt;"",E41&lt;&gt;0),D41/E41,"")</s:f>
        <s:v>3773.4545454545455</s:v>
      </s:c>
      <s:c r="G41" s="100">
        <s:v>6</s:v>
      </s:c>
      <s:c r="H41" s="100">
        <s:f>IF(AND(G41&lt;&gt;"",G41&lt;&gt;0),D41/G41,"")</s:f>
        <s:v>6918</s:v>
      </s:c>
      <s:c r="I41" s="100">
        <s:v>50</s:v>
      </s:c>
      <s:c r="J41" s="99">
        <s:f>IF(AND(G41&lt;&gt;"",G41&lt;&gt;0),E41/G41,"")</s:f>
        <s:v>1.8333333333333333</s:v>
      </s:c>
      <s:c r="K41" s="100">
        <s:v>5493</s:v>
      </s:c>
      <s:c r="L41" s="100"/>
      <s:c r="M41" s="100"/>
      <s:c r="N41" s="101">
        <s:f>IF(AND(I41&lt;&gt;"",I41&lt;&gt;0),G41/I41,"")</s:f>
        <s:v>0.12</s:v>
      </s:c>
      <s:c r="O41" s="102">
        <s:f>D41/P41</s:f>
        <s:v>0.19988337533983144</s:v>
      </s:c>
      <s:c r="P41" s="103">
        <s:f>$I$8*V41*W41/SUMPRODUCT($W$25:$W$55,$V$25:$V$55)</s:f>
        <s:v>207661.09202143617</s:v>
      </s:c>
      <s:c r="Q41" s="104">
        <s:f>$I$9*V41*W41/SUMPRODUCT($W$25:$W$55,$V$25:$V$55)</s:f>
        <s:v>39.934825388737721</s:v>
      </s:c>
      <s:c r="R41" s="104">
        <s:f>IF($I$12="","",Q41/$I$12)</s:f>
        <s:v>20.584961540586455</s:v>
      </s:c>
      <s:c r="S41" s="103">
        <s:f>IF(W41&lt;&gt;"",IF(D41&lt;&gt;"",D41,($I$8-SUM($S$25:S40))*V41*W41/SUMPRODUCT($W41:$W$55,$V41:$V$55)),"")</s:f>
        <s:v>41508</s:v>
      </s:c>
      <s:c r="T41" s="104">
        <s:f>IF(W41&lt;&gt;"",IF(E41&lt;&gt;"",E41,($I$9-SUM($T$25:T40))*V41*W41/SUMPRODUCT($W41:$W$55,$V41:$V$55)),"")</s:f>
        <s:v>11</s:v>
      </s:c>
      <s:c r="U41" s="104">
        <s:f>IF(W41&lt;&gt;"",IF($I$12&lt;&gt;"",IF(G41&lt;&gt;"",G41,($I$9/$I$12-SUM($U$25:U40))*V41*W41/SUMPRODUCT($W41:$W$55,$V41:$V$55)),""),"")</s:f>
        <s:v>6</s:v>
      </s:c>
      <s:c r="V41" s="105">
        <s:v>1.1000000000000001</s:v>
      </s:c>
      <s:c r="W41" s="105">
        <s:v>1.1000000000000001</s:v>
      </s:c>
      <s:c r="X41" s="108"/>
      <s:c r="Y41" s="107"/>
      <s:c r="Z41" s="110"/>
      <s:c r="AA41" s="110"/>
      <s:c r="AB41" s="110"/>
      <s:c r="AC41" s="110"/>
      <s:c r="AD41" s="110"/>
      <s:c r="AE41" s="110"/>
      <s:c r="AF41" s="110"/>
      <s:c r="AG41" s="110"/>
      <s:c r="AH41" s="110"/>
      <s:c r="AI41" s="110"/>
      <s:c r="AJ41" s="110"/>
      <s:c r="AK41" s="110"/>
      <s:c r="AL41" s="110"/>
      <s:c r="AM41" s="110"/>
      <s:c r="AN41" s="110"/>
      <s:c r="AO41" s="110"/>
      <s:c r="AP41" s="110"/>
      <s:c r="AQ41" s="110"/>
      <s:c r="AR41" s="110"/>
      <s:c r="AS41" s="110"/>
      <s:c r="AT41" s="110"/>
      <s:c r="AU41" s="110"/>
      <s:c r="AV41" s="110"/>
      <s:c r="AW41" s="110"/>
      <s:c r="AX41" s="110"/>
      <s:c r="AY41" s="110"/>
      <s:c r="AZ41" s="110"/>
      <s:c r="BA41" s="110"/>
      <s:c r="BB41" s="110"/>
      <s:c r="BC41" s="110"/>
      <s:c r="BD41" s="110"/>
      <s:c r="BE41" s="110"/>
      <s:c r="BF41" s="110"/>
      <s:c r="BG41" s="110"/>
      <s:c r="BH41" s="110"/>
      <s:c r="BI41" s="110"/>
      <s:c r="BJ41" s="110"/>
      <s:c r="BK41" s="110"/>
      <s:c r="BL41" s="110"/>
      <s:c r="BM41" s="110"/>
      <s:c r="BN41" s="110"/>
      <s:c r="BO41" s="110"/>
      <s:c r="BP41" s="110"/>
      <s:c r="BQ41" s="110"/>
      <s:c r="BR41" s="110"/>
      <s:c r="BS41" s="110"/>
      <s:c r="BT41" s="110"/>
      <s:c r="BU41" s="110"/>
      <s:c r="BV41" s="110"/>
      <s:c r="BW41" s="110"/>
      <s:c r="BX41" s="110"/>
      <s:c r="BY41" s="110"/>
      <s:c r="BZ41" s="110"/>
      <s:c r="CA41" s="110"/>
      <s:c r="CB41" s="110"/>
      <s:c r="CC41" s="110"/>
      <s:c r="CD41" s="110"/>
      <s:c r="CE41" s="110"/>
      <s:c r="CF41" s="110"/>
      <s:c r="CG41" s="110"/>
      <s:c r="CH41" s="110"/>
      <s:c r="CI41" s="110"/>
      <s:c r="CJ41" s="110"/>
      <s:c r="CK41" s="110"/>
      <s:c r="CL41" s="110"/>
      <s:c r="CM41" s="110"/>
      <s:c r="CN41" s="110"/>
      <s:c r="CO41" s="110"/>
      <s:c r="CP41" s="110"/>
      <s:c r="CQ41" s="110"/>
      <s:c r="CR41" s="110"/>
      <s:c r="CS41" s="110"/>
      <s:c r="CT41" s="110"/>
      <s:c r="CU41" s="110"/>
      <s:c r="CV41" s="110"/>
      <s:c r="CW41" s="110"/>
      <s:c r="CX41" s="110"/>
      <s:c r="CY41" s="110"/>
      <s:c r="CZ41" s="110"/>
      <s:c r="DA41" s="110"/>
      <s:c r="DB41" s="110"/>
      <s:c r="DC41" s="110"/>
      <s:c r="DD41" s="110"/>
      <s:c r="DE41" s="110"/>
      <s:c r="DF41" s="110"/>
      <s:c r="DG41" s="110"/>
      <s:c r="DH41" s="110"/>
      <s:c r="DI41" s="110"/>
      <s:c r="DJ41" s="110"/>
      <s:c r="DK41" s="110"/>
      <s:c r="DL41" s="110"/>
      <s:c r="DM41" s="110"/>
      <s:c r="DN41" s="110"/>
      <s:c r="DO41" s="110"/>
      <s:c r="DP41" s="110"/>
      <s:c r="DQ41" s="110"/>
      <s:c r="DR41" s="110"/>
      <s:c r="DS41" s="110"/>
      <s:c r="DT41" s="110"/>
      <s:c r="DU41" s="110"/>
      <s:c r="DV41" s="110"/>
      <s:c r="DW41" s="110"/>
      <s:c r="DX41" s="110"/>
      <s:c r="DY41" s="110"/>
      <s:c r="DZ41" s="110"/>
      <s:c r="EA41" s="110"/>
      <s:c r="EB41" s="110"/>
      <s:c r="EC41" s="110"/>
      <s:c r="ED41" s="110"/>
      <s:c r="EE41" s="110"/>
      <s:c r="EF41" s="110"/>
      <s:c r="EG41" s="110"/>
      <s:c r="EH41" s="110"/>
      <s:c r="EI41" s="110"/>
      <s:c r="EJ41" s="110"/>
      <s:c r="EK41" s="110"/>
      <s:c r="EL41" s="110"/>
      <s:c r="EM41" s="110"/>
      <s:c r="EN41" s="110"/>
      <s:c r="EO41" s="110"/>
      <s:c r="EP41" s="110"/>
      <s:c r="EQ41" s="110"/>
      <s:c r="ER41" s="110"/>
      <s:c r="ES41" s="110"/>
      <s:c r="ET41" s="110"/>
      <s:c r="EU41" s="110"/>
      <s:c r="EV41" s="110"/>
      <s:c r="EW41" s="110"/>
      <s:c r="EX41" s="110"/>
      <s:c r="EY41" s="110"/>
      <s:c r="EZ41" s="110"/>
      <s:c r="FA41" s="110"/>
      <s:c r="FB41" s="110"/>
      <s:c r="FC41" s="110"/>
      <s:c r="FD41" s="110"/>
      <s:c r="FE41" s="110"/>
      <s:c r="FF41" s="110"/>
      <s:c r="FG41" s="110"/>
      <s:c r="FH41" s="110"/>
      <s:c r="FI41" s="110"/>
      <s:c r="FJ41" s="110"/>
      <s:c r="FK41" s="110"/>
      <s:c r="FL41" s="110"/>
      <s:c r="FM41" s="110"/>
      <s:c r="FN41" s="110"/>
      <s:c r="FO41" s="110"/>
      <s:c r="FP41" s="110"/>
      <s:c r="FQ41" s="110"/>
      <s:c r="FR41" s="110"/>
      <s:c r="FS41" s="110"/>
      <s:c r="FT41" s="110"/>
      <s:c r="FU41" s="110"/>
      <s:c r="FV41" s="110"/>
      <s:c r="FW41" s="110"/>
      <s:c r="FX41" s="110"/>
      <s:c r="FY41" s="110"/>
      <s:c r="FZ41" s="110"/>
      <s:c r="GA41" s="110"/>
      <s:c r="GB41" s="110"/>
      <s:c r="GC41" s="110"/>
      <s:c r="GD41" s="110"/>
      <s:c r="GE41" s="110"/>
      <s:c r="GF41" s="110"/>
      <s:c r="GG41" s="110"/>
      <s:c r="GH41" s="110"/>
      <s:c r="GI41" s="110"/>
      <s:c r="GJ41" s="110"/>
      <s:c r="GK41" s="110"/>
      <s:c r="GL41" s="110"/>
      <s:c r="GM41" s="110"/>
      <s:c r="GN41" s="110"/>
      <s:c r="GO41" s="110"/>
      <s:c r="GP41" s="110"/>
      <s:c r="GQ41" s="110"/>
      <s:c r="GR41" s="110"/>
      <s:c r="GS41" s="110"/>
      <s:c r="GT41" s="110"/>
      <s:c r="GU41" s="110"/>
      <s:c r="GV41" s="110"/>
      <s:c r="GW41" s="110"/>
      <s:c r="GX41" s="110"/>
      <s:c r="GY41" s="110"/>
      <s:c r="GZ41" s="110"/>
      <s:c r="HA41" s="110"/>
      <s:c r="HB41" s="110"/>
      <s:c r="HC41" s="110"/>
      <s:c r="HD41" s="110"/>
      <s:c r="HE41" s="110"/>
      <s:c r="HF41" s="110"/>
      <s:c r="HG41" s="110"/>
      <s:c r="HH41" s="110"/>
      <s:c r="HI41" s="110"/>
      <s:c r="HJ41" s="110"/>
      <s:c r="HK41" s="110"/>
      <s:c r="HL41" s="110"/>
      <s:c r="HM41" s="110"/>
      <s:c r="HN41" s="110"/>
      <s:c r="HO41" s="110"/>
      <s:c r="HP41" s="110"/>
      <s:c r="HQ41" s="110"/>
      <s:c r="HR41" s="110"/>
      <s:c r="HS41" s="110"/>
      <s:c r="HT41" s="110"/>
      <s:c r="HU41" s="110"/>
      <s:c r="HV41" s="110"/>
      <s:c r="HW41" s="110"/>
      <s:c r="HX41" s="110"/>
      <s:c r="HY41" s="110"/>
      <s:c r="HZ41" s="110"/>
      <s:c r="IA41" s="110"/>
      <s:c r="IB41" s="110"/>
      <s:c r="IC41" s="110"/>
      <s:c r="ID41" s="110"/>
      <s:c r="IE41" s="110"/>
      <s:c r="IF41" s="110"/>
      <s:c r="IG41" s="110"/>
      <s:c r="IH41" s="110"/>
      <s:c r="II41" s="110"/>
      <s:c r="IJ41" s="110"/>
      <s:c r="IK41" s="110"/>
      <s:c r="IL41" s="110"/>
      <s:c r="IM41" s="110"/>
      <s:c r="IN41" s="110"/>
      <s:c r="IO41" s="110"/>
      <s:c r="IP41" s="110"/>
      <s:c r="IQ41" s="110"/>
      <s:c r="IR41" s="110"/>
      <s:c r="IS41" s="110"/>
      <s:c r="IT41" s="110"/>
      <s:c r="IU41" s="110"/>
    </s:row>
    <s:row r="42" spans="1:255" s="95" customFormat="1">
      <s:c r="A42" s="96" t="s">
        <s:v>52</s:v>
      </s:c>
      <s:c r="B42" s="97">
        <s:v>45795</s:v>
      </s:c>
      <s:c r="C42" s="98" t="s">
        <s:v>53</s:v>
      </s:c>
      <s:c r="D42" s="99">
        <s:v>56887</s:v>
      </s:c>
      <s:c r="E42" s="100">
        <s:v>12</s:v>
      </s:c>
      <s:c r="F42" s="100">
        <s:f>IF(AND(E42&lt;&gt;"",E42&lt;&gt;0),D42/E42,"")</s:f>
        <s:v>4740.583333333333</s:v>
      </s:c>
      <s:c r="G42" s="100">
        <s:v>6</s:v>
      </s:c>
      <s:c r="H42" s="100">
        <s:f>IF(AND(G42&lt;&gt;"",G42&lt;&gt;0),D42/G42,"")</s:f>
        <s:v>9481.1666666666661</s:v>
      </s:c>
      <s:c r="I42" s="100">
        <s:v>34</s:v>
      </s:c>
      <s:c r="J42" s="99">
        <s:f>IF(AND(G42&lt;&gt;"",G42&lt;&gt;0),E42/G42,"")</s:f>
        <s:v>2</s:v>
      </s:c>
      <s:c r="K42" s="100"/>
      <s:c r="L42" s="100">
        <s:v>5501</s:v>
      </s:c>
      <s:c r="M42" s="100"/>
      <s:c r="N42" s="101">
        <s:f>IF(AND(I42&lt;&gt;"",I42&lt;&gt;0),G42/I42,"")</s:f>
        <s:v>0.17647058823529413</s:v>
      </s:c>
      <s:c r="O42" s="102">
        <s:f>D42/P42</s:f>
        <s:v>0.27394154314727259</s:v>
      </s:c>
      <s:c r="P42" s="103">
        <s:f>$I$8*V42*W42/SUMPRODUCT($W$25:$W$55,$V$25:$V$55)</s:f>
        <s:v>207661.09202143617</s:v>
      </s:c>
      <s:c r="Q42" s="104">
        <s:f>$I$9*V42*W42/SUMPRODUCT($W$25:$W$55,$V$25:$V$55)</s:f>
        <s:v>39.934825388737721</s:v>
      </s:c>
      <s:c r="R42" s="104">
        <s:f>IF($I$12="","",Q42/$I$12)</s:f>
        <s:v>20.584961540586455</s:v>
      </s:c>
      <s:c r="S42" s="103">
        <s:f>IF(W42&lt;&gt;"",IF(D42&lt;&gt;"",D42,($I$8-SUM($S$25:S41))*V42*W42/SUMPRODUCT($W42:$W$55,$V42:$V$55)),"")</s:f>
        <s:v>56887</s:v>
      </s:c>
      <s:c r="T42" s="104">
        <s:f>IF(W42&lt;&gt;"",IF(E42&lt;&gt;"",E42,($I$9-SUM($T$25:T41))*V42*W42/SUMPRODUCT($W42:$W$55,$V42:$V$55)),"")</s:f>
        <s:v>12</s:v>
      </s:c>
      <s:c r="U42" s="104">
        <s:f>IF(W42&lt;&gt;"",IF($I$12&lt;&gt;"",IF(G42&lt;&gt;"",G42,($I$9/$I$12-SUM($U$25:U41))*V42*W42/SUMPRODUCT($W42:$W$55,$V42:$V$55)),""),"")</s:f>
        <s:v>6</s:v>
      </s:c>
      <s:c r="V42" s="105">
        <s:v>1.1000000000000001</s:v>
      </s:c>
      <s:c r="W42" s="105">
        <s:v>1.1000000000000001</s:v>
      </s:c>
      <s:c r="X42" s="108"/>
      <s:c r="Y42" s="107"/>
      <s:c r="Z42" s="110"/>
      <s:c r="AA42" s="110"/>
      <s:c r="AB42" s="110"/>
      <s:c r="AC42" s="110"/>
      <s:c r="AD42" s="110"/>
      <s:c r="AE42" s="110"/>
      <s:c r="AF42" s="110"/>
      <s:c r="AG42" s="110"/>
      <s:c r="AH42" s="110"/>
      <s:c r="AI42" s="110"/>
      <s:c r="AJ42" s="110"/>
      <s:c r="AK42" s="110"/>
      <s:c r="AL42" s="110"/>
      <s:c r="AM42" s="110"/>
      <s:c r="AN42" s="110"/>
      <s:c r="AO42" s="110"/>
      <s:c r="AP42" s="110"/>
      <s:c r="AQ42" s="110"/>
      <s:c r="AR42" s="110"/>
      <s:c r="AS42" s="110"/>
      <s:c r="AT42" s="110"/>
      <s:c r="AU42" s="110"/>
      <s:c r="AV42" s="110"/>
      <s:c r="AW42" s="110"/>
      <s:c r="AX42" s="110"/>
      <s:c r="AY42" s="110"/>
      <s:c r="AZ42" s="110"/>
      <s:c r="BA42" s="110"/>
      <s:c r="BB42" s="110"/>
      <s:c r="BC42" s="110"/>
      <s:c r="BD42" s="110"/>
      <s:c r="BE42" s="110"/>
      <s:c r="BF42" s="110"/>
      <s:c r="BG42" s="110"/>
      <s:c r="BH42" s="110"/>
      <s:c r="BI42" s="110"/>
      <s:c r="BJ42" s="110"/>
      <s:c r="BK42" s="110"/>
      <s:c r="BL42" s="110"/>
      <s:c r="BM42" s="110"/>
      <s:c r="BN42" s="110"/>
      <s:c r="BO42" s="110"/>
      <s:c r="BP42" s="110"/>
      <s:c r="BQ42" s="110"/>
      <s:c r="BR42" s="110"/>
      <s:c r="BS42" s="110"/>
      <s:c r="BT42" s="110"/>
      <s:c r="BU42" s="110"/>
      <s:c r="BV42" s="110"/>
      <s:c r="BW42" s="110"/>
      <s:c r="BX42" s="110"/>
      <s:c r="BY42" s="110"/>
      <s:c r="BZ42" s="110"/>
      <s:c r="CA42" s="110"/>
      <s:c r="CB42" s="110"/>
      <s:c r="CC42" s="110"/>
      <s:c r="CD42" s="110"/>
      <s:c r="CE42" s="110"/>
      <s:c r="CF42" s="110"/>
      <s:c r="CG42" s="110"/>
      <s:c r="CH42" s="110"/>
      <s:c r="CI42" s="110"/>
      <s:c r="CJ42" s="110"/>
      <s:c r="CK42" s="110"/>
      <s:c r="CL42" s="110"/>
      <s:c r="CM42" s="110"/>
      <s:c r="CN42" s="110"/>
      <s:c r="CO42" s="110"/>
      <s:c r="CP42" s="110"/>
      <s:c r="CQ42" s="110"/>
      <s:c r="CR42" s="110"/>
      <s:c r="CS42" s="110"/>
      <s:c r="CT42" s="110"/>
      <s:c r="CU42" s="110"/>
      <s:c r="CV42" s="110"/>
      <s:c r="CW42" s="110"/>
      <s:c r="CX42" s="110"/>
      <s:c r="CY42" s="110"/>
      <s:c r="CZ42" s="110"/>
      <s:c r="DA42" s="110"/>
      <s:c r="DB42" s="110"/>
      <s:c r="DC42" s="110"/>
      <s:c r="DD42" s="110"/>
      <s:c r="DE42" s="110"/>
      <s:c r="DF42" s="110"/>
      <s:c r="DG42" s="110"/>
      <s:c r="DH42" s="110"/>
      <s:c r="DI42" s="110"/>
      <s:c r="DJ42" s="110"/>
      <s:c r="DK42" s="110"/>
      <s:c r="DL42" s="110"/>
      <s:c r="DM42" s="110"/>
      <s:c r="DN42" s="110"/>
      <s:c r="DO42" s="110"/>
      <s:c r="DP42" s="110"/>
      <s:c r="DQ42" s="110"/>
      <s:c r="DR42" s="110"/>
      <s:c r="DS42" s="110"/>
      <s:c r="DT42" s="110"/>
      <s:c r="DU42" s="110"/>
      <s:c r="DV42" s="110"/>
      <s:c r="DW42" s="110"/>
      <s:c r="DX42" s="110"/>
      <s:c r="DY42" s="110"/>
      <s:c r="DZ42" s="110"/>
      <s:c r="EA42" s="110"/>
      <s:c r="EB42" s="110"/>
      <s:c r="EC42" s="110"/>
      <s:c r="ED42" s="110"/>
      <s:c r="EE42" s="110"/>
      <s:c r="EF42" s="110"/>
      <s:c r="EG42" s="110"/>
      <s:c r="EH42" s="110"/>
      <s:c r="EI42" s="110"/>
      <s:c r="EJ42" s="110"/>
      <s:c r="EK42" s="110"/>
      <s:c r="EL42" s="110"/>
      <s:c r="EM42" s="110"/>
      <s:c r="EN42" s="110"/>
      <s:c r="EO42" s="110"/>
      <s:c r="EP42" s="110"/>
      <s:c r="EQ42" s="110"/>
      <s:c r="ER42" s="110"/>
      <s:c r="ES42" s="110"/>
      <s:c r="ET42" s="110"/>
      <s:c r="EU42" s="110"/>
      <s:c r="EV42" s="110"/>
      <s:c r="EW42" s="110"/>
      <s:c r="EX42" s="110"/>
      <s:c r="EY42" s="110"/>
      <s:c r="EZ42" s="110"/>
      <s:c r="FA42" s="110"/>
      <s:c r="FB42" s="110"/>
      <s:c r="FC42" s="110"/>
      <s:c r="FD42" s="110"/>
      <s:c r="FE42" s="110"/>
      <s:c r="FF42" s="110"/>
      <s:c r="FG42" s="110"/>
      <s:c r="FH42" s="110"/>
      <s:c r="FI42" s="110"/>
      <s:c r="FJ42" s="110"/>
      <s:c r="FK42" s="110"/>
      <s:c r="FL42" s="110"/>
      <s:c r="FM42" s="110"/>
      <s:c r="FN42" s="110"/>
      <s:c r="FO42" s="110"/>
      <s:c r="FP42" s="110"/>
      <s:c r="FQ42" s="110"/>
      <s:c r="FR42" s="110"/>
      <s:c r="FS42" s="110"/>
      <s:c r="FT42" s="110"/>
      <s:c r="FU42" s="110"/>
      <s:c r="FV42" s="110"/>
      <s:c r="FW42" s="110"/>
      <s:c r="FX42" s="110"/>
      <s:c r="FY42" s="110"/>
      <s:c r="FZ42" s="110"/>
      <s:c r="GA42" s="110"/>
      <s:c r="GB42" s="110"/>
      <s:c r="GC42" s="110"/>
      <s:c r="GD42" s="110"/>
      <s:c r="GE42" s="110"/>
      <s:c r="GF42" s="110"/>
      <s:c r="GG42" s="110"/>
      <s:c r="GH42" s="110"/>
      <s:c r="GI42" s="110"/>
      <s:c r="GJ42" s="110"/>
      <s:c r="GK42" s="110"/>
      <s:c r="GL42" s="110"/>
      <s:c r="GM42" s="110"/>
      <s:c r="GN42" s="110"/>
      <s:c r="GO42" s="110"/>
      <s:c r="GP42" s="110"/>
      <s:c r="GQ42" s="110"/>
      <s:c r="GR42" s="110"/>
      <s:c r="GS42" s="110"/>
      <s:c r="GT42" s="110"/>
      <s:c r="GU42" s="110"/>
      <s:c r="GV42" s="110"/>
      <s:c r="GW42" s="110"/>
      <s:c r="GX42" s="110"/>
      <s:c r="GY42" s="110"/>
      <s:c r="GZ42" s="110"/>
      <s:c r="HA42" s="110"/>
      <s:c r="HB42" s="110"/>
      <s:c r="HC42" s="110"/>
      <s:c r="HD42" s="110"/>
      <s:c r="HE42" s="110"/>
      <s:c r="HF42" s="110"/>
      <s:c r="HG42" s="110"/>
      <s:c r="HH42" s="110"/>
      <s:c r="HI42" s="110"/>
      <s:c r="HJ42" s="110"/>
      <s:c r="HK42" s="110"/>
      <s:c r="HL42" s="110"/>
      <s:c r="HM42" s="110"/>
      <s:c r="HN42" s="110"/>
      <s:c r="HO42" s="110"/>
      <s:c r="HP42" s="110"/>
      <s:c r="HQ42" s="110"/>
      <s:c r="HR42" s="110"/>
      <s:c r="HS42" s="110"/>
      <s:c r="HT42" s="110"/>
      <s:c r="HU42" s="110"/>
      <s:c r="HV42" s="110"/>
      <s:c r="HW42" s="110"/>
      <s:c r="HX42" s="110"/>
      <s:c r="HY42" s="110"/>
      <s:c r="HZ42" s="110"/>
      <s:c r="IA42" s="110"/>
      <s:c r="IB42" s="110"/>
      <s:c r="IC42" s="110"/>
      <s:c r="ID42" s="110"/>
      <s:c r="IE42" s="110"/>
      <s:c r="IF42" s="110"/>
      <s:c r="IG42" s="110"/>
      <s:c r="IH42" s="110"/>
      <s:c r="II42" s="110"/>
      <s:c r="IJ42" s="110"/>
      <s:c r="IK42" s="110"/>
      <s:c r="IL42" s="110"/>
      <s:c r="IM42" s="110"/>
      <s:c r="IN42" s="110"/>
      <s:c r="IO42" s="110"/>
      <s:c r="IP42" s="110"/>
      <s:c r="IQ42" s="110"/>
      <s:c r="IR42" s="110"/>
      <s:c r="IS42" s="110"/>
      <s:c r="IT42" s="110"/>
      <s:c r="IU42" s="110"/>
    </s:row>
    <s:row r="43">
      <s:c r="A43" s="113" t="s">
        <s:v>59</s:v>
      </s:c>
      <s:c r="B43" s="114">
        <s:v>45796</s:v>
      </s:c>
      <s:c r="C43" s="115" t="s">
        <s:v>54</s:v>
      </s:c>
      <s:c r="D43" s="116">
        <s:v>53198</s:v>
      </s:c>
      <s:c r="E43" s="117">
        <s:v>12</s:v>
      </s:c>
      <s:c r="F43" s="117">
        <s:f>IF(AND(E43&lt;&gt;"",E43&lt;&gt;0),D43/E43,"")</s:f>
        <s:v>4433.166666666667</s:v>
      </s:c>
      <s:c r="G43" s="117">
        <s:v>6</s:v>
      </s:c>
      <s:c r="H43" s="117">
        <s:f>IF(AND(G43&lt;&gt;"",G43&lt;&gt;0),D43/G43,"")</s:f>
        <s:v>8866.3333333333339</s:v>
      </s:c>
      <s:c r="I43" s="117">
        <s:v>20</s:v>
      </s:c>
      <s:c r="J43" s="116">
        <s:f>IF(AND(G43&lt;&gt;"",G43&lt;&gt;0),E43/G43,"")</s:f>
        <s:v>2</s:v>
      </s:c>
      <s:c r="K43" s="117"/>
      <s:c r="L43" s="117"/>
      <s:c r="M43" s="117"/>
      <s:c r="N43" s="118">
        <s:f>IF(AND(I43&lt;&gt;"",I43&lt;&gt;0),G43/I43,"")</s:f>
        <s:v>0.3</s:v>
      </s:c>
      <s:c r="O43" s="119">
        <s:f>D43/P43</s:f>
        <s:v>0.42903002880029495</s:v>
      </s:c>
      <s:c r="P43" s="120">
        <s:f>$I$8*V43*W43/SUMPRODUCT($W$25:$W$55,$V$25:$V$55)</s:f>
        <s:v>123995.98263263438</s:v>
      </s:c>
      <s:c r="Q43" s="121">
        <s:f>$I$9*V43*W43/SUMPRODUCT($W$25:$W$55,$V$25:$V$55)</s:f>
        <s:v>23.845381275506615</s:v>
      </s:c>
      <s:c r="R43" s="121">
        <s:f>IF($I$12="","",Q43/$I$12)</s:f>
        <s:v>12.291433647168358</s:v>
      </s:c>
      <s:c r="S43" s="120">
        <s:f>IF(W43&lt;&gt;"",IF(D43&lt;&gt;"",D43,($I$8-SUM($S$25:S42))*V43*W43/SUMPRODUCT($W43:$W$55,$V43:$V$55)),"")</s:f>
        <s:v>53198</s:v>
      </s:c>
      <s:c r="T43" s="121">
        <s:f>IF(W43&lt;&gt;"",IF(E43&lt;&gt;"",E43,($I$9-SUM($T$25:T42))*V43*W43/SUMPRODUCT($W43:$W$55,$V43:$V$55)),"")</s:f>
        <s:v>12</s:v>
      </s:c>
      <s:c r="U43" s="121">
        <s:f>IF(W43&lt;&gt;"",IF($I$12&lt;&gt;"",IF(G43&lt;&gt;"",G43,($I$9/$I$12-SUM($U$25:U42))*V43*W43/SUMPRODUCT($W43:$W$55,$V43:$V$55)),""),"")</s:f>
        <s:v>6</s:v>
      </s:c>
      <s:c r="V43" s="122">
        <s:v>0.85</s:v>
      </s:c>
      <s:c r="W43" s="122">
        <s:v>0.85</s:v>
      </s:c>
      <s:c r="X43" s="123"/>
      <s:c r="Y43" s="124"/>
      <s:c r="Z43" s="125"/>
    </s:row>
    <s:row r="44">
      <s:c r="A44" s="113" t="s">
        <s:v>58</s:v>
      </s:c>
      <s:c r="B44" s="114">
        <s:v>45797</s:v>
      </s:c>
      <s:c r="C44" s="115" t="s">
        <s:v>55</s:v>
      </s:c>
      <s:c r="D44" s="116">
        <s:v>35332</s:v>
      </s:c>
      <s:c r="E44" s="117">
        <s:v>8</s:v>
      </s:c>
      <s:c r="F44" s="117">
        <s:f>IF(AND(E44&lt;&gt;"",E44&lt;&gt;0),D44/E44,"")</s:f>
        <s:v>4416.5</s:v>
      </s:c>
      <s:c r="G44" s="117">
        <s:v>4</s:v>
      </s:c>
      <s:c r="H44" s="117">
        <s:f>IF(AND(G44&lt;&gt;"",G44&lt;&gt;0),D44/G44,"")</s:f>
        <s:v>8833</s:v>
      </s:c>
      <s:c r="I44" s="117">
        <s:v>14</s:v>
      </s:c>
      <s:c r="J44" s="116">
        <s:f>IF(AND(G44&lt;&gt;"",G44&lt;&gt;0),E44/G44,"")</s:f>
        <s:v>2</s:v>
      </s:c>
      <s:c r="K44" s="117"/>
      <s:c r="L44" s="117"/>
      <s:c r="M44" s="117"/>
      <s:c r="N44" s="118">
        <s:f>IF(AND(I44&lt;&gt;"",I44&lt;&gt;0),G44/I44,"")</s:f>
        <s:v>0.2857142857142857</s:v>
      </s:c>
      <s:c r="O44" s="119">
        <s:f>D44/P44</s:f>
        <s:v>0.28494471554517126</s:v>
      </s:c>
      <s:c r="P44" s="120">
        <s:f>$I$8*V44*W44/SUMPRODUCT($W$25:$W$55,$V$25:$V$55)</s:f>
        <s:v>123995.98263263438</s:v>
      </s:c>
      <s:c r="Q44" s="121">
        <s:f>$I$9*V44*W44/SUMPRODUCT($W$25:$W$55,$V$25:$V$55)</s:f>
        <s:v>23.845381275506615</s:v>
      </s:c>
      <s:c r="R44" s="121">
        <s:f>IF($I$12="","",Q44/$I$12)</s:f>
        <s:v>12.291433647168358</s:v>
      </s:c>
      <s:c r="S44" s="120">
        <s:f>IF(W44&lt;&gt;"",IF(D44&lt;&gt;"",D44,($I$8-SUM($S$25:S43))*V44*W44/SUMPRODUCT($W44:$W$55,$V44:$V$55)),"")</s:f>
        <s:v>35332</s:v>
      </s:c>
      <s:c r="T44" s="121">
        <s:f>IF(W44&lt;&gt;"",IF(E44&lt;&gt;"",E44,($I$9-SUM($T$25:T43))*V44*W44/SUMPRODUCT($W44:$W$55,$V44:$V$55)),"")</s:f>
        <s:v>8</s:v>
      </s:c>
      <s:c r="U44" s="121">
        <s:f>IF(W44&lt;&gt;"",IF($I$12&lt;&gt;"",IF(G44&lt;&gt;"",G44,($I$9/$I$12-SUM($U$25:U43))*V44*W44/SUMPRODUCT($W44:$W$55,$V44:$V$55)),""),"")</s:f>
        <s:v>4</s:v>
      </s:c>
      <s:c r="V44" s="122">
        <s:v>0.85</s:v>
      </s:c>
      <s:c r="W44" s="122">
        <s:v>0.85</s:v>
      </s:c>
      <s:c r="X44" s="123"/>
      <s:c r="Y44" s="124"/>
      <s:c r="Z44" s="125"/>
    </s:row>
    <s:row r="45">
      <s:c r="A45" s="113" t="s">
        <s:v>58</s:v>
      </s:c>
      <s:c r="B45" s="114">
        <s:v>45798</s:v>
      </s:c>
      <s:c r="C45" s="115" t="s">
        <s:v>56</s:v>
      </s:c>
      <s:c r="D45" s="116">
        <s:f>17856+40046</s:f>
        <s:v>57902</s:v>
      </s:c>
      <s:c r="E45" s="117">
        <s:v>12</s:v>
      </s:c>
      <s:c r="F45" s="117">
        <s:f>IF(AND(E45&lt;&gt;"",E45&lt;&gt;0),D45/E45,"")</s:f>
        <s:v>4825.166666666667</s:v>
      </s:c>
      <s:c r="G45" s="117">
        <s:v>9</s:v>
      </s:c>
      <s:c r="H45" s="117">
        <s:f>IF(AND(G45&lt;&gt;"",G45&lt;&gt;0),D45/G45,"")</s:f>
        <s:v>6433.5555555555557</s:v>
      </s:c>
      <s:c r="I45" s="117">
        <s:v>30</s:v>
      </s:c>
      <s:c r="J45" s="116">
        <s:f>IF(AND(G45&lt;&gt;"",G45&lt;&gt;0),E45/G45,"")</s:f>
        <s:v>1.3333333333333333</s:v>
      </s:c>
      <s:c r="K45" s="117"/>
      <s:c r="L45" s="117">
        <s:v>10503</s:v>
      </s:c>
      <s:c r="M45" s="117"/>
      <s:c r="N45" s="118">
        <s:f>IF(AND(I45&lt;&gt;"",I45&lt;&gt;0),G45/I45,"")</s:f>
        <s:v>0.3</s:v>
      </s:c>
      <s:c r="O45" s="119">
        <s:f>D45/P45</s:f>
        <s:v>0.36391479187546305</s:v>
      </s:c>
      <s:c r="P45" s="120">
        <s:f>$I$8*V45*W45/SUMPRODUCT($W$25:$W$55,$V$25:$V$55)</s:f>
        <s:v>159108.67404316698</s:v>
      </s:c>
      <s:c r="Q45" s="121">
        <s:f>$I$9*V45*W45/SUMPRODUCT($W$25:$W$55,$V$25:$V$55)</s:f>
        <s:v>30.59782193137826</s:v>
      </s:c>
      <s:c r="R45" s="121">
        <s:f>IF($I$12="","",Q45/$I$12)</s:f>
        <s:v>15.772073160504258</s:v>
      </s:c>
      <s:c r="S45" s="120">
        <s:f>IF(W45&lt;&gt;"",IF(D45&lt;&gt;"",D45,($I$8-SUM($S$25:S44))*V45*W45/SUMPRODUCT($W45:$W$55,$V45:$V$55)),"")</s:f>
        <s:v>57902</s:v>
      </s:c>
      <s:c r="T45" s="121">
        <s:f>IF(W45&lt;&gt;"",IF(E45&lt;&gt;"",E45,($I$9-SUM($T$25:T44))*V45*W45/SUMPRODUCT($W45:$W$55,$V45:$V$55)),"")</s:f>
        <s:v>12</s:v>
      </s:c>
      <s:c r="U45" s="121">
        <s:f>IF(W45&lt;&gt;"",IF($I$12&lt;&gt;"",IF(G45&lt;&gt;"",G45,($I$9/$I$12-SUM($U$25:U44))*V45*W45/SUMPRODUCT($W45:$W$55,$V45:$V$55)),""),"")</s:f>
        <s:v>9</s:v>
      </s:c>
      <s:c r="V45" s="122">
        <s:v>0.95</s:v>
      </s:c>
      <s:c r="W45" s="122">
        <s:v>0.97588914665651838</s:v>
      </s:c>
      <s:c r="X45" s="123"/>
      <s:c r="Y45" s="124"/>
      <s:c r="Z45" s="125"/>
    </s:row>
    <s:row r="46">
      <s:c r="A46" s="113" t="s">
        <s:v>52</s:v>
      </s:c>
      <s:c r="B46" s="114">
        <s:v>45799</s:v>
      </s:c>
      <s:c r="C46" s="115" t="s">
        <s:v>48</s:v>
      </s:c>
      <s:c r="D46" s="116">
        <s:v>28687</s:v>
      </s:c>
      <s:c r="E46" s="117">
        <s:v>6</s:v>
      </s:c>
      <s:c r="F46" s="117">
        <s:f>IF(AND(E46&lt;&gt;"",E46&lt;&gt;0),D46/E46,"")</s:f>
        <s:v>4781.166666666667</s:v>
      </s:c>
      <s:c r="G46" s="117">
        <s:v>3</s:v>
      </s:c>
      <s:c r="H46" s="117">
        <s:f>IF(AND(G46&lt;&gt;"",G46&lt;&gt;0),D46/G46,"")</s:f>
        <s:v>9562.3333333333339</s:v>
      </s:c>
      <s:c r="I46" s="117">
        <s:v>16</s:v>
      </s:c>
      <s:c r="J46" s="116">
        <s:f>IF(AND(G46&lt;&gt;"",G46&lt;&gt;0),E46/G46,"")</s:f>
        <s:v>2</s:v>
      </s:c>
      <s:c r="K46" s="117"/>
      <s:c r="L46" s="117">
        <s:v>20403</s:v>
      </s:c>
      <s:c r="M46" s="117"/>
      <s:c r="N46" s="118">
        <s:f>IF(AND(I46&lt;&gt;"",I46&lt;&gt;0),G46/I46,"")</s:f>
        <s:v>0.1875</s:v>
      </s:c>
      <s:c r="O46" s="119">
        <s:f>D46/P46</s:f>
        <s:v>0.18029815264639232</s:v>
      </s:c>
      <s:c r="P46" s="120">
        <s:f>$I$8*V46*W46/SUMPRODUCT($W$25:$W$55,$V$25:$V$55)</s:f>
        <s:v>159108.67404316698</s:v>
      </s:c>
      <s:c r="Q46" s="121">
        <s:f>$I$9*V46*W46/SUMPRODUCT($W$25:$W$55,$V$25:$V$55)</s:f>
        <s:v>30.59782193137826</s:v>
      </s:c>
      <s:c r="R46" s="121">
        <s:f>IF($I$12="","",Q46/$I$12)</s:f>
        <s:v>15.772073160504258</s:v>
      </s:c>
      <s:c r="S46" s="120">
        <s:f>IF(W46&lt;&gt;"",IF(D46&lt;&gt;"",D46,($I$8-SUM($S$25:S45))*V46*W46/SUMPRODUCT($W46:$W$55,$V46:$V$55)),"")</s:f>
        <s:v>28687</s:v>
      </s:c>
      <s:c r="T46" s="121">
        <s:f>IF(W46&lt;&gt;"",IF(E46&lt;&gt;"",E46,($I$9-SUM($T$25:T45))*V46*W46/SUMPRODUCT($W46:$W$55,$V46:$V$55)),"")</s:f>
        <s:v>6</s:v>
      </s:c>
      <s:c r="U46" s="121">
        <s:f>IF(W46&lt;&gt;"",IF($I$12&lt;&gt;"",IF(G46&lt;&gt;"",G46,($I$9/$I$12-SUM($U$25:U45))*V46*W46/SUMPRODUCT($W46:$W$55,$V46:$V$55)),""),"")</s:f>
        <s:v>3</s:v>
      </s:c>
      <s:c r="V46" s="122">
        <s:v>0.95</s:v>
      </s:c>
      <s:c r="W46" s="122">
        <s:v>0.97588914665651838</s:v>
      </s:c>
      <s:c r="X46" s="123"/>
      <s:c r="Y46" s="124"/>
      <s:c r="Z46" s="125"/>
    </s:row>
    <s:row r="47" spans="1:255" s="95" customFormat="1">
      <s:c r="A47" s="96" t="s">
        <s:v>52</s:v>
      </s:c>
      <s:c r="B47" s="97">
        <s:v>45800</s:v>
      </s:c>
      <s:c r="C47" s="98" t="s">
        <s:v>49</s:v>
      </s:c>
      <s:c r="D47" s="99">
        <s:v>32069</s:v>
      </s:c>
      <s:c r="E47" s="100">
        <s:v>4</s:v>
      </s:c>
      <s:c r="F47" s="100">
        <s:f>IF(AND(E47&lt;&gt;"",E47&lt;&gt;0),D47/E47,"")</s:f>
        <s:v>8017.25</s:v>
      </s:c>
      <s:c r="G47" s="100">
        <s:v>4</s:v>
      </s:c>
      <s:c r="H47" s="100">
        <s:f>IF(AND(G47&lt;&gt;"",G47&lt;&gt;0),D47/G47,"")</s:f>
        <s:v>8017.25</s:v>
      </s:c>
      <s:c r="I47" s="100">
        <s:v>16</s:v>
      </s:c>
      <s:c r="J47" s="99">
        <s:f>IF(AND(G47&lt;&gt;"",G47&lt;&gt;0),E47/G47,"")</s:f>
        <s:v>1</s:v>
      </s:c>
      <s:c r="K47" s="100"/>
      <s:c r="L47" s="100"/>
      <s:c r="M47" s="100"/>
      <s:c r="N47" s="101">
        <s:f>IF(AND(I47&lt;&gt;"",I47&lt;&gt;0),G47/I47,"")</s:f>
        <s:v>0.25</s:v>
      </s:c>
      <s:c r="O47" s="102">
        <s:f>D47/P47</s:f>
        <s:v>0.18685970309736427</s:v>
      </s:c>
      <s:c r="P47" s="103">
        <s:f>$I$8*V47*W47/SUMPRODUCT($W$25:$W$55,$V$25:$V$55)</s:f>
        <s:v>171620.73720779846</s:v>
      </s:c>
      <s:c r="Q47" s="104">
        <s:f>$I$9*V47*W47/SUMPRODUCT($W$25:$W$55,$V$25:$V$55)</s:f>
        <s:v>33.003987924576627</s:v>
      </s:c>
      <s:c r="R47" s="104">
        <s:f>IF($I$12="","",Q47/$I$12)</s:f>
        <s:v>17.012364909575581</s:v>
      </s:c>
      <s:c r="S47" s="103">
        <s:f>IF(W47&lt;&gt;"",IF(D47&lt;&gt;"",D47,($I$8-SUM($S$25:S46))*V47*W47/SUMPRODUCT($W47:$W$55,$V47:$V$55)),"")</s:f>
        <s:v>32069</s:v>
      </s:c>
      <s:c r="T47" s="104">
        <s:f>IF(W47&lt;&gt;"",IF(E47&lt;&gt;"",E47,($I$9-SUM($T$25:T46))*V47*W47/SUMPRODUCT($W47:$W$55,$V47:$V$55)),"")</s:f>
        <s:v>4</s:v>
      </s:c>
      <s:c r="U47" s="104">
        <s:f>IF(W47&lt;&gt;"",IF($I$12&lt;&gt;"",IF(G47&lt;&gt;"",G47,($I$9/$I$12-SUM($U$25:U46))*V47*W47/SUMPRODUCT($W47:$W$55,$V47:$V$55)),""),"")</s:f>
        <s:v>4</s:v>
      </s:c>
      <s:c r="V47" s="105">
        <s:v>1</s:v>
      </s:c>
      <s:c r="W47" s="105">
        <s:v>1</s:v>
      </s:c>
      <s:c r="X47" s="108"/>
      <s:c r="Y47" s="107"/>
      <s:c r="Z47" s="126"/>
      <s:c r="AA47" s="110"/>
      <s:c r="AB47" s="110"/>
      <s:c r="AC47" s="110"/>
      <s:c r="AD47" s="110"/>
      <s:c r="AE47" s="110"/>
      <s:c r="AF47" s="110"/>
      <s:c r="AG47" s="110"/>
      <s:c r="AH47" s="110"/>
      <s:c r="AI47" s="110"/>
      <s:c r="AJ47" s="110"/>
      <s:c r="AK47" s="110"/>
      <s:c r="AL47" s="110"/>
      <s:c r="AM47" s="110"/>
      <s:c r="AN47" s="110"/>
      <s:c r="AO47" s="110"/>
      <s:c r="AP47" s="110"/>
      <s:c r="AQ47" s="110"/>
      <s:c r="AR47" s="110"/>
      <s:c r="AS47" s="110"/>
      <s:c r="AT47" s="110"/>
      <s:c r="AU47" s="110"/>
      <s:c r="AV47" s="110"/>
      <s:c r="AW47" s="110"/>
      <s:c r="AX47" s="110"/>
      <s:c r="AY47" s="110"/>
      <s:c r="AZ47" s="110"/>
      <s:c r="BA47" s="110"/>
      <s:c r="BB47" s="110"/>
      <s:c r="BC47" s="110"/>
      <s:c r="BD47" s="110"/>
      <s:c r="BE47" s="110"/>
      <s:c r="BF47" s="110"/>
      <s:c r="BG47" s="110"/>
      <s:c r="BH47" s="110"/>
      <s:c r="BI47" s="110"/>
      <s:c r="BJ47" s="110"/>
      <s:c r="BK47" s="110"/>
      <s:c r="BL47" s="110"/>
      <s:c r="BM47" s="110"/>
      <s:c r="BN47" s="110"/>
      <s:c r="BO47" s="110"/>
      <s:c r="BP47" s="110"/>
      <s:c r="BQ47" s="110"/>
      <s:c r="BR47" s="110"/>
      <s:c r="BS47" s="110"/>
      <s:c r="BT47" s="110"/>
      <s:c r="BU47" s="110"/>
      <s:c r="BV47" s="110"/>
      <s:c r="BW47" s="110"/>
      <s:c r="BX47" s="110"/>
      <s:c r="BY47" s="110"/>
      <s:c r="BZ47" s="110"/>
      <s:c r="CA47" s="110"/>
      <s:c r="CB47" s="110"/>
      <s:c r="CC47" s="110"/>
      <s:c r="CD47" s="110"/>
      <s:c r="CE47" s="110"/>
      <s:c r="CF47" s="110"/>
      <s:c r="CG47" s="110"/>
      <s:c r="CH47" s="110"/>
      <s:c r="CI47" s="110"/>
      <s:c r="CJ47" s="110"/>
      <s:c r="CK47" s="110"/>
      <s:c r="CL47" s="110"/>
      <s:c r="CM47" s="110"/>
      <s:c r="CN47" s="110"/>
      <s:c r="CO47" s="110"/>
      <s:c r="CP47" s="110"/>
      <s:c r="CQ47" s="110"/>
      <s:c r="CR47" s="110"/>
      <s:c r="CS47" s="110"/>
      <s:c r="CT47" s="110"/>
      <s:c r="CU47" s="110"/>
      <s:c r="CV47" s="110"/>
      <s:c r="CW47" s="110"/>
      <s:c r="CX47" s="110"/>
      <s:c r="CY47" s="110"/>
      <s:c r="CZ47" s="110"/>
      <s:c r="DA47" s="110"/>
      <s:c r="DB47" s="110"/>
      <s:c r="DC47" s="110"/>
      <s:c r="DD47" s="110"/>
      <s:c r="DE47" s="110"/>
      <s:c r="DF47" s="110"/>
      <s:c r="DG47" s="110"/>
      <s:c r="DH47" s="110"/>
      <s:c r="DI47" s="110"/>
      <s:c r="DJ47" s="110"/>
      <s:c r="DK47" s="110"/>
      <s:c r="DL47" s="110"/>
      <s:c r="DM47" s="110"/>
      <s:c r="DN47" s="110"/>
      <s:c r="DO47" s="110"/>
      <s:c r="DP47" s="110"/>
      <s:c r="DQ47" s="110"/>
      <s:c r="DR47" s="110"/>
      <s:c r="DS47" s="110"/>
      <s:c r="DT47" s="110"/>
      <s:c r="DU47" s="110"/>
      <s:c r="DV47" s="110"/>
      <s:c r="DW47" s="110"/>
      <s:c r="DX47" s="110"/>
      <s:c r="DY47" s="110"/>
      <s:c r="DZ47" s="110"/>
      <s:c r="EA47" s="110"/>
      <s:c r="EB47" s="110"/>
      <s:c r="EC47" s="110"/>
      <s:c r="ED47" s="110"/>
      <s:c r="EE47" s="110"/>
      <s:c r="EF47" s="110"/>
      <s:c r="EG47" s="110"/>
      <s:c r="EH47" s="110"/>
      <s:c r="EI47" s="110"/>
      <s:c r="EJ47" s="110"/>
      <s:c r="EK47" s="110"/>
      <s:c r="EL47" s="110"/>
      <s:c r="EM47" s="110"/>
      <s:c r="EN47" s="110"/>
      <s:c r="EO47" s="110"/>
      <s:c r="EP47" s="110"/>
      <s:c r="EQ47" s="110"/>
      <s:c r="ER47" s="110"/>
      <s:c r="ES47" s="110"/>
      <s:c r="ET47" s="110"/>
      <s:c r="EU47" s="110"/>
      <s:c r="EV47" s="110"/>
      <s:c r="EW47" s="110"/>
      <s:c r="EX47" s="110"/>
      <s:c r="EY47" s="110"/>
      <s:c r="EZ47" s="110"/>
      <s:c r="FA47" s="110"/>
      <s:c r="FB47" s="110"/>
      <s:c r="FC47" s="110"/>
      <s:c r="FD47" s="110"/>
      <s:c r="FE47" s="110"/>
      <s:c r="FF47" s="110"/>
      <s:c r="FG47" s="110"/>
      <s:c r="FH47" s="110"/>
      <s:c r="FI47" s="110"/>
      <s:c r="FJ47" s="110"/>
      <s:c r="FK47" s="110"/>
      <s:c r="FL47" s="110"/>
      <s:c r="FM47" s="110"/>
      <s:c r="FN47" s="110"/>
      <s:c r="FO47" s="110"/>
      <s:c r="FP47" s="110"/>
      <s:c r="FQ47" s="110"/>
      <s:c r="FR47" s="110"/>
      <s:c r="FS47" s="110"/>
      <s:c r="FT47" s="110"/>
      <s:c r="FU47" s="110"/>
      <s:c r="FV47" s="110"/>
      <s:c r="FW47" s="110"/>
      <s:c r="FX47" s="110"/>
      <s:c r="FY47" s="110"/>
      <s:c r="FZ47" s="110"/>
      <s:c r="GA47" s="110"/>
      <s:c r="GB47" s="110"/>
      <s:c r="GC47" s="110"/>
      <s:c r="GD47" s="110"/>
      <s:c r="GE47" s="110"/>
      <s:c r="GF47" s="110"/>
      <s:c r="GG47" s="110"/>
      <s:c r="GH47" s="110"/>
      <s:c r="GI47" s="110"/>
      <s:c r="GJ47" s="110"/>
      <s:c r="GK47" s="110"/>
      <s:c r="GL47" s="110"/>
      <s:c r="GM47" s="110"/>
      <s:c r="GN47" s="110"/>
      <s:c r="GO47" s="110"/>
      <s:c r="GP47" s="110"/>
      <s:c r="GQ47" s="110"/>
      <s:c r="GR47" s="110"/>
      <s:c r="GS47" s="110"/>
      <s:c r="GT47" s="110"/>
      <s:c r="GU47" s="110"/>
      <s:c r="GV47" s="110"/>
      <s:c r="GW47" s="110"/>
      <s:c r="GX47" s="110"/>
      <s:c r="GY47" s="110"/>
      <s:c r="GZ47" s="110"/>
      <s:c r="HA47" s="110"/>
      <s:c r="HB47" s="110"/>
      <s:c r="HC47" s="110"/>
      <s:c r="HD47" s="110"/>
      <s:c r="HE47" s="110"/>
      <s:c r="HF47" s="110"/>
      <s:c r="HG47" s="110"/>
      <s:c r="HH47" s="110"/>
      <s:c r="HI47" s="110"/>
      <s:c r="HJ47" s="110"/>
      <s:c r="HK47" s="110"/>
      <s:c r="HL47" s="110"/>
      <s:c r="HM47" s="110"/>
      <s:c r="HN47" s="110"/>
      <s:c r="HO47" s="110"/>
      <s:c r="HP47" s="110"/>
      <s:c r="HQ47" s="110"/>
      <s:c r="HR47" s="110"/>
      <s:c r="HS47" s="110"/>
      <s:c r="HT47" s="110"/>
      <s:c r="HU47" s="110"/>
      <s:c r="HV47" s="110"/>
      <s:c r="HW47" s="110"/>
      <s:c r="HX47" s="110"/>
      <s:c r="HY47" s="110"/>
      <s:c r="HZ47" s="110"/>
      <s:c r="IA47" s="110"/>
      <s:c r="IB47" s="110"/>
      <s:c r="IC47" s="110"/>
      <s:c r="ID47" s="110"/>
      <s:c r="IE47" s="110"/>
      <s:c r="IF47" s="110"/>
      <s:c r="IG47" s="110"/>
      <s:c r="IH47" s="110"/>
      <s:c r="II47" s="110"/>
      <s:c r="IJ47" s="110"/>
      <s:c r="IK47" s="110"/>
      <s:c r="IL47" s="110"/>
      <s:c r="IM47" s="110"/>
      <s:c r="IN47" s="110"/>
      <s:c r="IO47" s="110"/>
      <s:c r="IP47" s="110"/>
      <s:c r="IQ47" s="110"/>
      <s:c r="IR47" s="110"/>
      <s:c r="IS47" s="110"/>
      <s:c r="IT47" s="110"/>
      <s:c r="IU47" s="110"/>
    </s:row>
    <s:row r="48" spans="1:255" s="95" customFormat="1">
      <s:c r="A48" s="96" t="s">
        <s:v>57</s:v>
      </s:c>
      <s:c r="B48" s="97">
        <s:v>45801</s:v>
      </s:c>
      <s:c r="C48" s="98" t="s">
        <s:v>51</s:v>
      </s:c>
      <s:c r="D48" s="99">
        <s:v>123588</s:v>
      </s:c>
      <s:c r="E48" s="100">
        <s:v>20</s:v>
      </s:c>
      <s:c r="F48" s="100">
        <s:f>IF(AND(E48&lt;&gt;"",E48&lt;&gt;0),D48/E48,"")</s:f>
        <s:v>6179.4</s:v>
      </s:c>
      <s:c r="G48" s="100">
        <s:v>13</s:v>
      </s:c>
      <s:c r="H48" s="100">
        <s:f>IF(AND(G48&lt;&gt;"",G48&lt;&gt;0),D48/G48,"")</s:f>
        <s:v>9506.7692307692305</s:v>
      </s:c>
      <s:c r="I48" s="100">
        <s:v>51</s:v>
      </s:c>
      <s:c r="J48" s="99">
        <s:f>IF(AND(G48&lt;&gt;"",G48&lt;&gt;0),E48/G48,"")</s:f>
        <s:v>1.5384615384615385</s:v>
      </s:c>
      <s:c r="K48" s="100">
        <s:v>25684</s:v>
      </s:c>
      <s:c r="L48" s="100">
        <s:v>43712</s:v>
      </s:c>
      <s:c r="M48" s="100"/>
      <s:c r="N48" s="101">
        <s:f>IF(AND(I48&lt;&gt;"",I48&lt;&gt;0),G48/I48,"")</s:f>
        <s:v>0.25490196078431371</s:v>
      </s:c>
      <s:c r="O48" s="102">
        <s:f>D48/P48</s:f>
        <s:v>0.59514278190948944</s:v>
      </s:c>
      <s:c r="P48" s="103">
        <s:f>$I$8*V48*W48/SUMPRODUCT($W$25:$W$55,$V$25:$V$55)</s:f>
        <s:v>207661.09202143617</s:v>
      </s:c>
      <s:c r="Q48" s="104">
        <s:f>$I$9*V48*W48/SUMPRODUCT($W$25:$W$55,$V$25:$V$55)</s:f>
        <s:v>39.934825388737721</s:v>
      </s:c>
      <s:c r="R48" s="104">
        <s:f>IF($I$12="","",Q48/$I$12)</s:f>
        <s:v>20.584961540586455</s:v>
      </s:c>
      <s:c r="S48" s="103">
        <s:f>IF(W48&lt;&gt;"",IF(D48&lt;&gt;"",D48,($I$8-SUM($S$25:S47))*V48*W48/SUMPRODUCT($W48:$W$55,$V48:$V$55)),"")</s:f>
        <s:v>123588</s:v>
      </s:c>
      <s:c r="T48" s="104">
        <s:f>IF(W48&lt;&gt;"",IF(E48&lt;&gt;"",E48,($I$9-SUM($T$25:T47))*V48*W48/SUMPRODUCT($W48:$W$55,$V48:$V$55)),"")</s:f>
        <s:v>20</s:v>
      </s:c>
      <s:c r="U48" s="104">
        <s:f>IF(W48&lt;&gt;"",IF($I$12&lt;&gt;"",IF(G48&lt;&gt;"",G48,($I$9/$I$12-SUM($U$25:U47))*V48*W48/SUMPRODUCT($W48:$W$55,$V48:$V$55)),""),"")</s:f>
        <s:v>13</s:v>
      </s:c>
      <s:c r="V48" s="105">
        <s:v>1.1000000000000001</s:v>
      </s:c>
      <s:c r="W48" s="105">
        <s:v>1.1000000000000001</s:v>
      </s:c>
      <s:c r="X48" s="108"/>
      <s:c r="Y48" s="107"/>
      <s:c r="Z48" s="126"/>
      <s:c r="AA48" s="110"/>
      <s:c r="AB48" s="110"/>
      <s:c r="AC48" s="110"/>
      <s:c r="AD48" s="110"/>
      <s:c r="AE48" s="110"/>
      <s:c r="AF48" s="110"/>
      <s:c r="AG48" s="110"/>
      <s:c r="AH48" s="110"/>
      <s:c r="AI48" s="110"/>
      <s:c r="AJ48" s="110"/>
      <s:c r="AK48" s="110"/>
      <s:c r="AL48" s="110"/>
      <s:c r="AM48" s="110"/>
      <s:c r="AN48" s="110"/>
      <s:c r="AO48" s="110"/>
      <s:c r="AP48" s="110"/>
      <s:c r="AQ48" s="110"/>
      <s:c r="AR48" s="110"/>
      <s:c r="AS48" s="110"/>
      <s:c r="AT48" s="110"/>
      <s:c r="AU48" s="110"/>
      <s:c r="AV48" s="110"/>
      <s:c r="AW48" s="110"/>
      <s:c r="AX48" s="110"/>
      <s:c r="AY48" s="110"/>
      <s:c r="AZ48" s="110"/>
      <s:c r="BA48" s="110"/>
      <s:c r="BB48" s="110"/>
      <s:c r="BC48" s="110"/>
      <s:c r="BD48" s="110"/>
      <s:c r="BE48" s="110"/>
      <s:c r="BF48" s="110"/>
      <s:c r="BG48" s="110"/>
      <s:c r="BH48" s="110"/>
      <s:c r="BI48" s="110"/>
      <s:c r="BJ48" s="110"/>
      <s:c r="BK48" s="110"/>
      <s:c r="BL48" s="110"/>
      <s:c r="BM48" s="110"/>
      <s:c r="BN48" s="110"/>
      <s:c r="BO48" s="110"/>
      <s:c r="BP48" s="110"/>
      <s:c r="BQ48" s="110"/>
      <s:c r="BR48" s="110"/>
      <s:c r="BS48" s="110"/>
      <s:c r="BT48" s="110"/>
      <s:c r="BU48" s="110"/>
      <s:c r="BV48" s="110"/>
      <s:c r="BW48" s="110"/>
      <s:c r="BX48" s="110"/>
      <s:c r="BY48" s="110"/>
      <s:c r="BZ48" s="110"/>
      <s:c r="CA48" s="110"/>
      <s:c r="CB48" s="110"/>
      <s:c r="CC48" s="110"/>
      <s:c r="CD48" s="110"/>
      <s:c r="CE48" s="110"/>
      <s:c r="CF48" s="110"/>
      <s:c r="CG48" s="110"/>
      <s:c r="CH48" s="110"/>
      <s:c r="CI48" s="110"/>
      <s:c r="CJ48" s="110"/>
      <s:c r="CK48" s="110"/>
      <s:c r="CL48" s="110"/>
      <s:c r="CM48" s="110"/>
      <s:c r="CN48" s="110"/>
      <s:c r="CO48" s="110"/>
      <s:c r="CP48" s="110"/>
      <s:c r="CQ48" s="110"/>
      <s:c r="CR48" s="110"/>
      <s:c r="CS48" s="110"/>
      <s:c r="CT48" s="110"/>
      <s:c r="CU48" s="110"/>
      <s:c r="CV48" s="110"/>
      <s:c r="CW48" s="110"/>
      <s:c r="CX48" s="110"/>
      <s:c r="CY48" s="110"/>
      <s:c r="CZ48" s="110"/>
      <s:c r="DA48" s="110"/>
      <s:c r="DB48" s="110"/>
      <s:c r="DC48" s="110"/>
      <s:c r="DD48" s="110"/>
      <s:c r="DE48" s="110"/>
      <s:c r="DF48" s="110"/>
      <s:c r="DG48" s="110"/>
      <s:c r="DH48" s="110"/>
      <s:c r="DI48" s="110"/>
      <s:c r="DJ48" s="110"/>
      <s:c r="DK48" s="110"/>
      <s:c r="DL48" s="110"/>
      <s:c r="DM48" s="110"/>
      <s:c r="DN48" s="110"/>
      <s:c r="DO48" s="110"/>
      <s:c r="DP48" s="110"/>
      <s:c r="DQ48" s="110"/>
      <s:c r="DR48" s="110"/>
      <s:c r="DS48" s="110"/>
      <s:c r="DT48" s="110"/>
      <s:c r="DU48" s="110"/>
      <s:c r="DV48" s="110"/>
      <s:c r="DW48" s="110"/>
      <s:c r="DX48" s="110"/>
      <s:c r="DY48" s="110"/>
      <s:c r="DZ48" s="110"/>
      <s:c r="EA48" s="110"/>
      <s:c r="EB48" s="110"/>
      <s:c r="EC48" s="110"/>
      <s:c r="ED48" s="110"/>
      <s:c r="EE48" s="110"/>
      <s:c r="EF48" s="110"/>
      <s:c r="EG48" s="110"/>
      <s:c r="EH48" s="110"/>
      <s:c r="EI48" s="110"/>
      <s:c r="EJ48" s="110"/>
      <s:c r="EK48" s="110"/>
      <s:c r="EL48" s="110"/>
      <s:c r="EM48" s="110"/>
      <s:c r="EN48" s="110"/>
      <s:c r="EO48" s="110"/>
      <s:c r="EP48" s="110"/>
      <s:c r="EQ48" s="110"/>
      <s:c r="ER48" s="110"/>
      <s:c r="ES48" s="110"/>
      <s:c r="ET48" s="110"/>
      <s:c r="EU48" s="110"/>
      <s:c r="EV48" s="110"/>
      <s:c r="EW48" s="110"/>
      <s:c r="EX48" s="110"/>
      <s:c r="EY48" s="110"/>
      <s:c r="EZ48" s="110"/>
      <s:c r="FA48" s="110"/>
      <s:c r="FB48" s="110"/>
      <s:c r="FC48" s="110"/>
      <s:c r="FD48" s="110"/>
      <s:c r="FE48" s="110"/>
      <s:c r="FF48" s="110"/>
      <s:c r="FG48" s="110"/>
      <s:c r="FH48" s="110"/>
      <s:c r="FI48" s="110"/>
      <s:c r="FJ48" s="110"/>
      <s:c r="FK48" s="110"/>
      <s:c r="FL48" s="110"/>
      <s:c r="FM48" s="110"/>
      <s:c r="FN48" s="110"/>
      <s:c r="FO48" s="110"/>
      <s:c r="FP48" s="110"/>
      <s:c r="FQ48" s="110"/>
      <s:c r="FR48" s="110"/>
      <s:c r="FS48" s="110"/>
      <s:c r="FT48" s="110"/>
      <s:c r="FU48" s="110"/>
      <s:c r="FV48" s="110"/>
      <s:c r="FW48" s="110"/>
      <s:c r="FX48" s="110"/>
      <s:c r="FY48" s="110"/>
      <s:c r="FZ48" s="110"/>
      <s:c r="GA48" s="110"/>
      <s:c r="GB48" s="110"/>
      <s:c r="GC48" s="110"/>
      <s:c r="GD48" s="110"/>
      <s:c r="GE48" s="110"/>
      <s:c r="GF48" s="110"/>
      <s:c r="GG48" s="110"/>
      <s:c r="GH48" s="110"/>
      <s:c r="GI48" s="110"/>
      <s:c r="GJ48" s="110"/>
      <s:c r="GK48" s="110"/>
      <s:c r="GL48" s="110"/>
      <s:c r="GM48" s="110"/>
      <s:c r="GN48" s="110"/>
      <s:c r="GO48" s="110"/>
      <s:c r="GP48" s="110"/>
      <s:c r="GQ48" s="110"/>
      <s:c r="GR48" s="110"/>
      <s:c r="GS48" s="110"/>
      <s:c r="GT48" s="110"/>
      <s:c r="GU48" s="110"/>
      <s:c r="GV48" s="110"/>
      <s:c r="GW48" s="110"/>
      <s:c r="GX48" s="110"/>
      <s:c r="GY48" s="110"/>
      <s:c r="GZ48" s="110"/>
      <s:c r="HA48" s="110"/>
      <s:c r="HB48" s="110"/>
      <s:c r="HC48" s="110"/>
      <s:c r="HD48" s="110"/>
      <s:c r="HE48" s="110"/>
      <s:c r="HF48" s="110"/>
      <s:c r="HG48" s="110"/>
      <s:c r="HH48" s="110"/>
      <s:c r="HI48" s="110"/>
      <s:c r="HJ48" s="110"/>
      <s:c r="HK48" s="110"/>
      <s:c r="HL48" s="110"/>
      <s:c r="HM48" s="110"/>
      <s:c r="HN48" s="110"/>
      <s:c r="HO48" s="110"/>
      <s:c r="HP48" s="110"/>
      <s:c r="HQ48" s="110"/>
      <s:c r="HR48" s="110"/>
      <s:c r="HS48" s="110"/>
      <s:c r="HT48" s="110"/>
      <s:c r="HU48" s="110"/>
      <s:c r="HV48" s="110"/>
      <s:c r="HW48" s="110"/>
      <s:c r="HX48" s="110"/>
      <s:c r="HY48" s="110"/>
      <s:c r="HZ48" s="110"/>
      <s:c r="IA48" s="110"/>
      <s:c r="IB48" s="110"/>
      <s:c r="IC48" s="110"/>
      <s:c r="ID48" s="110"/>
      <s:c r="IE48" s="110"/>
      <s:c r="IF48" s="110"/>
      <s:c r="IG48" s="110"/>
      <s:c r="IH48" s="110"/>
      <s:c r="II48" s="110"/>
      <s:c r="IJ48" s="110"/>
      <s:c r="IK48" s="110"/>
      <s:c r="IL48" s="110"/>
      <s:c r="IM48" s="110"/>
      <s:c r="IN48" s="110"/>
      <s:c r="IO48" s="110"/>
      <s:c r="IP48" s="110"/>
      <s:c r="IQ48" s="110"/>
      <s:c r="IR48" s="110"/>
      <s:c r="IS48" s="110"/>
      <s:c r="IT48" s="110"/>
      <s:c r="IU48" s="110"/>
    </s:row>
    <s:row r="49" spans="1:255" s="95" customFormat="1">
      <s:c r="A49" s="96" t="s">
        <s:v>58</s:v>
      </s:c>
      <s:c r="B49" s="97">
        <s:v>45802</s:v>
      </s:c>
      <s:c r="C49" s="98" t="s">
        <s:v>53</s:v>
      </s:c>
      <s:c r="D49" s="99">
        <s:v>33852</s:v>
      </s:c>
      <s:c r="E49" s="100">
        <s:v>6</s:v>
      </s:c>
      <s:c r="F49" s="100">
        <s:f>IF(AND(E49&lt;&gt;"",E49&lt;&gt;0),D49/E49,"")</s:f>
        <s:v>5642</s:v>
      </s:c>
      <s:c r="G49" s="100">
        <s:v>6</s:v>
      </s:c>
      <s:c r="H49" s="100">
        <s:f>IF(AND(G49&lt;&gt;"",G49&lt;&gt;0),D49/G49,"")</s:f>
        <s:v>5642</s:v>
      </s:c>
      <s:c r="I49" s="100">
        <s:v>30</s:v>
      </s:c>
      <s:c r="J49" s="99">
        <s:f>IF(AND(G49&lt;&gt;"",G49&lt;&gt;0),E49/G49,"")</s:f>
        <s:v>1</s:v>
      </s:c>
      <s:c r="K49" s="100">
        <s:v>8993</s:v>
      </s:c>
      <s:c r="L49" s="100"/>
      <s:c r="M49" s="100"/>
      <s:c r="N49" s="101">
        <s:f>IF(AND(I49&lt;&gt;"",I49&lt;&gt;0),G49/I49,"")</s:f>
        <s:v>0.2</s:v>
      </s:c>
      <s:c r="O49" s="102">
        <s:f>D49/P49</s:f>
        <s:v>0.16301561197850953</s:v>
      </s:c>
      <s:c r="P49" s="103">
        <s:f>$I$8*V49*W49/SUMPRODUCT($W$25:$W$55,$V$25:$V$55)</s:f>
        <s:v>207661.09202143617</s:v>
      </s:c>
      <s:c r="Q49" s="104">
        <s:f>$I$9*V49*W49/SUMPRODUCT($W$25:$W$55,$V$25:$V$55)</s:f>
        <s:v>39.934825388737721</s:v>
      </s:c>
      <s:c r="R49" s="104">
        <s:f>IF($I$12="","",Q49/$I$12)</s:f>
        <s:v>20.584961540586455</s:v>
      </s:c>
      <s:c r="S49" s="103">
        <s:f>IF(W49&lt;&gt;"",IF(D49&lt;&gt;"",D49,($I$8-SUM($S$25:S48))*V49*W49/SUMPRODUCT($W49:$W$55,$V49:$V$55)),"")</s:f>
        <s:v>33852</s:v>
      </s:c>
      <s:c r="T49" s="104">
        <s:f>IF(W49&lt;&gt;"",IF(E49&lt;&gt;"",E49,($I$9-SUM($T$25:T48))*V49*W49/SUMPRODUCT($W49:$W$55,$V49:$V$55)),"")</s:f>
        <s:v>6</s:v>
      </s:c>
      <s:c r="U49" s="104">
        <s:f>IF(W49&lt;&gt;"",IF($I$12&lt;&gt;"",IF(G49&lt;&gt;"",G49,($I$9/$I$12-SUM($U$25:U48))*V49*W49/SUMPRODUCT($W49:$W$55,$V49:$V$55)),""),"")</s:f>
        <s:v>6</s:v>
      </s:c>
      <s:c r="V49" s="105">
        <s:v>1.1000000000000001</s:v>
      </s:c>
      <s:c r="W49" s="105">
        <s:v>1.1000000000000001</s:v>
      </s:c>
      <s:c r="X49" s="108"/>
      <s:c r="Y49" s="107"/>
      <s:c r="Z49" s="126"/>
      <s:c r="AA49" s="110"/>
      <s:c r="AB49" s="110"/>
      <s:c r="AC49" s="110"/>
      <s:c r="AD49" s="110"/>
      <s:c r="AE49" s="110"/>
      <s:c r="AF49" s="110"/>
      <s:c r="AG49" s="110"/>
      <s:c r="AH49" s="110"/>
      <s:c r="AI49" s="110"/>
      <s:c r="AJ49" s="110"/>
      <s:c r="AK49" s="110"/>
      <s:c r="AL49" s="110"/>
      <s:c r="AM49" s="110"/>
      <s:c r="AN49" s="110"/>
      <s:c r="AO49" s="110"/>
      <s:c r="AP49" s="110"/>
      <s:c r="AQ49" s="110"/>
      <s:c r="AR49" s="110"/>
      <s:c r="AS49" s="110"/>
      <s:c r="AT49" s="110"/>
      <s:c r="AU49" s="110"/>
      <s:c r="AV49" s="110"/>
      <s:c r="AW49" s="110"/>
      <s:c r="AX49" s="110"/>
      <s:c r="AY49" s="110"/>
      <s:c r="AZ49" s="110"/>
      <s:c r="BA49" s="110"/>
      <s:c r="BB49" s="110"/>
      <s:c r="BC49" s="110"/>
      <s:c r="BD49" s="110"/>
      <s:c r="BE49" s="110"/>
      <s:c r="BF49" s="110"/>
      <s:c r="BG49" s="110"/>
      <s:c r="BH49" s="110"/>
      <s:c r="BI49" s="110"/>
      <s:c r="BJ49" s="110"/>
      <s:c r="BK49" s="110"/>
      <s:c r="BL49" s="110"/>
      <s:c r="BM49" s="110"/>
      <s:c r="BN49" s="110"/>
      <s:c r="BO49" s="110"/>
      <s:c r="BP49" s="110"/>
      <s:c r="BQ49" s="110"/>
      <s:c r="BR49" s="110"/>
      <s:c r="BS49" s="110"/>
      <s:c r="BT49" s="110"/>
      <s:c r="BU49" s="110"/>
      <s:c r="BV49" s="110"/>
      <s:c r="BW49" s="110"/>
      <s:c r="BX49" s="110"/>
      <s:c r="BY49" s="110"/>
      <s:c r="BZ49" s="110"/>
      <s:c r="CA49" s="110"/>
      <s:c r="CB49" s="110"/>
      <s:c r="CC49" s="110"/>
      <s:c r="CD49" s="110"/>
      <s:c r="CE49" s="110"/>
      <s:c r="CF49" s="110"/>
      <s:c r="CG49" s="110"/>
      <s:c r="CH49" s="110"/>
      <s:c r="CI49" s="110"/>
      <s:c r="CJ49" s="110"/>
      <s:c r="CK49" s="110"/>
      <s:c r="CL49" s="110"/>
      <s:c r="CM49" s="110"/>
      <s:c r="CN49" s="110"/>
      <s:c r="CO49" s="110"/>
      <s:c r="CP49" s="110"/>
      <s:c r="CQ49" s="110"/>
      <s:c r="CR49" s="110"/>
      <s:c r="CS49" s="110"/>
      <s:c r="CT49" s="110"/>
      <s:c r="CU49" s="110"/>
      <s:c r="CV49" s="110"/>
      <s:c r="CW49" s="110"/>
      <s:c r="CX49" s="110"/>
      <s:c r="CY49" s="110"/>
      <s:c r="CZ49" s="110"/>
      <s:c r="DA49" s="110"/>
      <s:c r="DB49" s="110"/>
      <s:c r="DC49" s="110"/>
      <s:c r="DD49" s="110"/>
      <s:c r="DE49" s="110"/>
      <s:c r="DF49" s="110"/>
      <s:c r="DG49" s="110"/>
      <s:c r="DH49" s="110"/>
      <s:c r="DI49" s="110"/>
      <s:c r="DJ49" s="110"/>
      <s:c r="DK49" s="110"/>
      <s:c r="DL49" s="110"/>
      <s:c r="DM49" s="110"/>
      <s:c r="DN49" s="110"/>
      <s:c r="DO49" s="110"/>
      <s:c r="DP49" s="110"/>
      <s:c r="DQ49" s="110"/>
      <s:c r="DR49" s="110"/>
      <s:c r="DS49" s="110"/>
      <s:c r="DT49" s="110"/>
      <s:c r="DU49" s="110"/>
      <s:c r="DV49" s="110"/>
      <s:c r="DW49" s="110"/>
      <s:c r="DX49" s="110"/>
      <s:c r="DY49" s="110"/>
      <s:c r="DZ49" s="110"/>
      <s:c r="EA49" s="110"/>
      <s:c r="EB49" s="110"/>
      <s:c r="EC49" s="110"/>
      <s:c r="ED49" s="110"/>
      <s:c r="EE49" s="110"/>
      <s:c r="EF49" s="110"/>
      <s:c r="EG49" s="110"/>
      <s:c r="EH49" s="110"/>
      <s:c r="EI49" s="110"/>
      <s:c r="EJ49" s="110"/>
      <s:c r="EK49" s="110"/>
      <s:c r="EL49" s="110"/>
      <s:c r="EM49" s="110"/>
      <s:c r="EN49" s="110"/>
      <s:c r="EO49" s="110"/>
      <s:c r="EP49" s="110"/>
      <s:c r="EQ49" s="110"/>
      <s:c r="ER49" s="110"/>
      <s:c r="ES49" s="110"/>
      <s:c r="ET49" s="110"/>
      <s:c r="EU49" s="110"/>
      <s:c r="EV49" s="110"/>
      <s:c r="EW49" s="110"/>
      <s:c r="EX49" s="110"/>
      <s:c r="EY49" s="110"/>
      <s:c r="EZ49" s="110"/>
      <s:c r="FA49" s="110"/>
      <s:c r="FB49" s="110"/>
      <s:c r="FC49" s="110"/>
      <s:c r="FD49" s="110"/>
      <s:c r="FE49" s="110"/>
      <s:c r="FF49" s="110"/>
      <s:c r="FG49" s="110"/>
      <s:c r="FH49" s="110"/>
      <s:c r="FI49" s="110"/>
      <s:c r="FJ49" s="110"/>
      <s:c r="FK49" s="110"/>
      <s:c r="FL49" s="110"/>
      <s:c r="FM49" s="110"/>
      <s:c r="FN49" s="110"/>
      <s:c r="FO49" s="110"/>
      <s:c r="FP49" s="110"/>
      <s:c r="FQ49" s="110"/>
      <s:c r="FR49" s="110"/>
      <s:c r="FS49" s="110"/>
      <s:c r="FT49" s="110"/>
      <s:c r="FU49" s="110"/>
      <s:c r="FV49" s="110"/>
      <s:c r="FW49" s="110"/>
      <s:c r="FX49" s="110"/>
      <s:c r="FY49" s="110"/>
      <s:c r="FZ49" s="110"/>
      <s:c r="GA49" s="110"/>
      <s:c r="GB49" s="110"/>
      <s:c r="GC49" s="110"/>
      <s:c r="GD49" s="110"/>
      <s:c r="GE49" s="110"/>
      <s:c r="GF49" s="110"/>
      <s:c r="GG49" s="110"/>
      <s:c r="GH49" s="110"/>
      <s:c r="GI49" s="110"/>
      <s:c r="GJ49" s="110"/>
      <s:c r="GK49" s="110"/>
      <s:c r="GL49" s="110"/>
      <s:c r="GM49" s="110"/>
      <s:c r="GN49" s="110"/>
      <s:c r="GO49" s="110"/>
      <s:c r="GP49" s="110"/>
      <s:c r="GQ49" s="110"/>
      <s:c r="GR49" s="110"/>
      <s:c r="GS49" s="110"/>
      <s:c r="GT49" s="110"/>
      <s:c r="GU49" s="110"/>
      <s:c r="GV49" s="110"/>
      <s:c r="GW49" s="110"/>
      <s:c r="GX49" s="110"/>
      <s:c r="GY49" s="110"/>
      <s:c r="GZ49" s="110"/>
      <s:c r="HA49" s="110"/>
      <s:c r="HB49" s="110"/>
      <s:c r="HC49" s="110"/>
      <s:c r="HD49" s="110"/>
      <s:c r="HE49" s="110"/>
      <s:c r="HF49" s="110"/>
      <s:c r="HG49" s="110"/>
      <s:c r="HH49" s="110"/>
      <s:c r="HI49" s="110"/>
      <s:c r="HJ49" s="110"/>
      <s:c r="HK49" s="110"/>
      <s:c r="HL49" s="110"/>
      <s:c r="HM49" s="110"/>
      <s:c r="HN49" s="110"/>
      <s:c r="HO49" s="110"/>
      <s:c r="HP49" s="110"/>
      <s:c r="HQ49" s="110"/>
      <s:c r="HR49" s="110"/>
      <s:c r="HS49" s="110"/>
      <s:c r="HT49" s="110"/>
      <s:c r="HU49" s="110"/>
      <s:c r="HV49" s="110"/>
      <s:c r="HW49" s="110"/>
      <s:c r="HX49" s="110"/>
      <s:c r="HY49" s="110"/>
      <s:c r="HZ49" s="110"/>
      <s:c r="IA49" s="110"/>
      <s:c r="IB49" s="110"/>
      <s:c r="IC49" s="110"/>
      <s:c r="ID49" s="110"/>
      <s:c r="IE49" s="110"/>
      <s:c r="IF49" s="110"/>
      <s:c r="IG49" s="110"/>
      <s:c r="IH49" s="110"/>
      <s:c r="II49" s="110"/>
      <s:c r="IJ49" s="110"/>
      <s:c r="IK49" s="110"/>
      <s:c r="IL49" s="110"/>
      <s:c r="IM49" s="110"/>
      <s:c r="IN49" s="110"/>
      <s:c r="IO49" s="110"/>
      <s:c r="IP49" s="110"/>
      <s:c r="IQ49" s="110"/>
      <s:c r="IR49" s="110"/>
      <s:c r="IS49" s="110"/>
      <s:c r="IT49" s="110"/>
      <s:c r="IU49" s="110"/>
    </s:row>
    <s:row r="50">
      <s:c r="A50" s="113" t="s">
        <s:v>60</s:v>
      </s:c>
      <s:c r="B50" s="114">
        <s:v>45803</s:v>
      </s:c>
      <s:c r="C50" s="115" t="s">
        <s:v>54</s:v>
      </s:c>
      <s:c r="D50" s="116">
        <s:v>71650</s:v>
      </s:c>
      <s:c r="E50" s="117">
        <s:v>10</s:v>
      </s:c>
      <s:c r="F50" s="127">
        <s:f>IF(AND(E50&lt;&gt;"",E50&lt;&gt;0),D50/E50,"")</s:f>
        <s:v>7165</s:v>
      </s:c>
      <s:c r="G50" s="117">
        <s:v>8</s:v>
      </s:c>
      <s:c r="H50" s="117">
        <s:f>IF(AND(G50&lt;&gt;"",G50&lt;&gt;0),D50/G50,"")</s:f>
        <s:v>8956.25</s:v>
      </s:c>
      <s:c r="I50" s="117">
        <s:v>20</s:v>
      </s:c>
      <s:c r="J50" s="116">
        <s:f>IF(AND(G50&lt;&gt;"",G50&lt;&gt;0),E50/G50,"")</s:f>
        <s:v>1.25</s:v>
      </s:c>
      <s:c r="K50" s="117"/>
      <s:c r="L50" s="117">
        <s:v>46509</s:v>
      </s:c>
      <s:c r="M50" s="117"/>
      <s:c r="N50" s="118">
        <s:f>IF(AND(I50&lt;&gt;"",I50&lt;&gt;0),G50/I50,"")</s:f>
        <s:v>0.4</s:v>
      </s:c>
      <s:c r="O50" s="119">
        <s:f>D50/P50</s:f>
        <s:v>0.57784130161925518</s:v>
      </s:c>
      <s:c r="P50" s="120">
        <s:f>$I$8*V50*W50/SUMPRODUCT($W$25:$W$55,$V$25:$V$55)</s:f>
        <s:v>123995.98263263438</s:v>
      </s:c>
      <s:c r="Q50" s="121">
        <s:f>$I$9*V50*W50/SUMPRODUCT($W$25:$W$55,$V$25:$V$55)</s:f>
        <s:v>23.845381275506615</s:v>
      </s:c>
      <s:c r="R50" s="121">
        <s:f>IF($I$12="","",Q50/$I$12)</s:f>
        <s:v>12.291433647168358</s:v>
      </s:c>
      <s:c r="S50" s="120">
        <s:f>IF(W50&lt;&gt;"",IF(D50&lt;&gt;"",D50,($I$8-SUM($S$25:S49))*V50*W50/SUMPRODUCT($W50:$W$55,$V50:$V$55)),"")</s:f>
        <s:v>71650</s:v>
      </s:c>
      <s:c r="T50" s="121">
        <s:f>IF(W50&lt;&gt;"",IF(E50&lt;&gt;"",E50,($I$9-SUM($T$25:T49))*V50*W50/SUMPRODUCT($W50:$W$55,$V50:$V$55)),"")</s:f>
        <s:v>10</s:v>
      </s:c>
      <s:c r="U50" s="121">
        <s:f>IF(W50&lt;&gt;"",IF($I$12&lt;&gt;"",IF(G50&lt;&gt;"",G50,($I$9/$I$12-SUM($U$25:U49))*V50*W50/SUMPRODUCT($W50:$W$55,$V50:$V$55)),""),"")</s:f>
        <s:v>8</s:v>
      </s:c>
      <s:c r="V50" s="122">
        <s:v>0.85</s:v>
      </s:c>
      <s:c r="W50" s="122">
        <s:v>0.85</s:v>
      </s:c>
      <s:c r="X50" s="123"/>
      <s:c r="Y50" s="124"/>
      <s:c r="Z50" s="125"/>
    </s:row>
    <s:row r="51">
      <s:c r="A51" s="113" t="s">
        <s:v>52</s:v>
      </s:c>
      <s:c r="B51" s="114">
        <s:v>45804</s:v>
      </s:c>
      <s:c r="C51" s="115" t="s">
        <s:v>55</s:v>
      </s:c>
      <s:c r="D51" s="116">
        <s:f>41578+31985+58411</s:f>
        <s:v>131974</s:v>
      </s:c>
      <s:c r="E51" s="117">
        <s:v>16</s:v>
      </s:c>
      <s:c r="F51" s="117">
        <s:f>IF(AND(E51&lt;&gt;"",E51&lt;&gt;0),D51/E51,"")</s:f>
        <s:v>8248.375</s:v>
      </s:c>
      <s:c r="G51" s="117">
        <s:v>9</s:v>
      </s:c>
      <s:c r="H51" s="117">
        <s:f>IF(AND(G51&lt;&gt;"",G51&lt;&gt;0),D51/G51,"")</s:f>
        <s:v>14663.777777777777</s:v>
      </s:c>
      <s:c r="I51" s="117">
        <s:v>34</s:v>
      </s:c>
      <s:c r="J51" s="116">
        <s:f>IF(AND(G51&lt;&gt;"",G51&lt;&gt;0),E51/G51,"")</s:f>
        <s:v>1.7777777777777777</s:v>
      </s:c>
      <s:c r="K51" s="117">
        <s:v>31985</s:v>
      </s:c>
      <s:c r="L51" s="117">
        <s:v>58411</s:v>
      </s:c>
      <s:c r="M51" s="117"/>
      <s:c r="N51" s="118">
        <s:f>IF(AND(I51&lt;&gt;"",I51&lt;&gt;0),G51/I51,"")</s:f>
        <s:v>0.26470588235294118</s:v>
      </s:c>
      <s:c r="O51" s="119">
        <s:f>D51/P51</s:f>
        <s:v>1.0643409342623806</s:v>
      </s:c>
      <s:c r="P51" s="120">
        <s:f>$I$8*V51*W51/SUMPRODUCT($W$25:$W$55,$V$25:$V$55)</s:f>
        <s:v>123995.98263263438</s:v>
      </s:c>
      <s:c r="Q51" s="121">
        <s:f>$I$9*V51*W51/SUMPRODUCT($W$25:$W$55,$V$25:$V$55)</s:f>
        <s:v>23.845381275506615</s:v>
      </s:c>
      <s:c r="R51" s="121">
        <s:f>IF($I$12="","",Q51/$I$12)</s:f>
        <s:v>12.291433647168358</s:v>
      </s:c>
      <s:c r="S51" s="120">
        <s:f>IF(W51&lt;&gt;"",IF(D51&lt;&gt;"",D51,($I$8-SUM($S$25:S50))*V51*W51/SUMPRODUCT($W51:$W$55,$V51:$V$55)),"")</s:f>
        <s:v>131974</s:v>
      </s:c>
      <s:c r="T51" s="121">
        <s:f>IF(W51&lt;&gt;"",IF(E51&lt;&gt;"",E51,($I$9-SUM($T$25:T50))*V51*W51/SUMPRODUCT($W51:$W$55,$V51:$V$55)),"")</s:f>
        <s:v>16</s:v>
      </s:c>
      <s:c r="U51" s="121">
        <s:f>IF(W51&lt;&gt;"",IF($I$12&lt;&gt;"",IF(G51&lt;&gt;"",G51,($I$9/$I$12-SUM($U$25:U50))*V51*W51/SUMPRODUCT($W51:$W$55,$V51:$V$55)),""),"")</s:f>
        <s:v>9</s:v>
      </s:c>
      <s:c r="V51" s="122">
        <s:v>0.85</s:v>
      </s:c>
      <s:c r="W51" s="122">
        <s:v>0.85</s:v>
      </s:c>
      <s:c r="X51" s="123"/>
      <s:c r="Y51" s="124"/>
      <s:c r="Z51" s="125"/>
    </s:row>
    <s:row r="52">
      <s:c r="A52" s="113" t="s">
        <s:v>52</s:v>
      </s:c>
      <s:c r="B52" s="114">
        <s:v>45805</s:v>
      </s:c>
      <s:c r="C52" s="115" t="s">
        <s:v>56</s:v>
      </s:c>
      <s:c r="D52" s="116">
        <s:v>37641</s:v>
      </s:c>
      <s:c r="E52" s="117">
        <s:v>7</s:v>
      </s:c>
      <s:c r="F52" s="117">
        <s:f>IF(AND(E52&lt;&gt;"",E52&lt;&gt;0),D52/E52,"")</s:f>
        <s:v>5377.2857142857147</s:v>
      </s:c>
      <s:c r="G52" s="117">
        <s:v>5</s:v>
      </s:c>
      <s:c r="H52" s="117">
        <s:f>IF(AND(G52&lt;&gt;"",G52&lt;&gt;0),D52/G52,"")</s:f>
        <s:v>7528.2</s:v>
      </s:c>
      <s:c r="I52" s="117">
        <s:v>34</s:v>
      </s:c>
      <s:c r="J52" s="116">
        <s:f>IF(AND(G52&lt;&gt;"",G52&lt;&gt;0),E52/G52,"")</s:f>
        <s:v>1.4</s:v>
      </s:c>
      <s:c r="K52" s="117"/>
      <s:c r="L52" s="117"/>
      <s:c r="M52" s="117"/>
      <s:c r="N52" s="118">
        <s:f>IF(AND(I52&lt;&gt;"",I52&lt;&gt;0),G52/I52,"")</s:f>
        <s:v>0.14705882352941177</s:v>
      </s:c>
      <s:c r="O52" s="119">
        <s:f>D52/P52</s:f>
        <s:v>0.2365741542776468</s:v>
      </s:c>
      <s:c r="P52" s="120">
        <s:f>$I$8*V52*W52/SUMPRODUCT($W$25:$W$55,$V$25:$V$55)</s:f>
        <s:v>159108.67404316698</s:v>
      </s:c>
      <s:c r="Q52" s="121">
        <s:f>$I$9*V52*W52/SUMPRODUCT($W$25:$W$55,$V$25:$V$55)</s:f>
        <s:v>30.59782193137826</s:v>
      </s:c>
      <s:c r="R52" s="121">
        <s:f>IF($I$12="","",Q52/$I$12)</s:f>
        <s:v>15.772073160504258</s:v>
      </s:c>
      <s:c r="S52" s="120">
        <s:f>IF(W52&lt;&gt;"",IF(D52&lt;&gt;"",D52,($I$8-SUM($S$25:S51))*V52*W52/SUMPRODUCT($W52:$W$55,$V52:$V$55)),"")</s:f>
        <s:v>37641</s:v>
      </s:c>
      <s:c r="T52" s="121">
        <s:f>IF(W52&lt;&gt;"",IF(E52&lt;&gt;"",E52,($I$9-SUM($T$25:T51))*V52*W52/SUMPRODUCT($W52:$W$55,$V52:$V$55)),"")</s:f>
        <s:v>7</s:v>
      </s:c>
      <s:c r="U52" s="121">
        <s:f>IF(W52&lt;&gt;"",IF($I$12&lt;&gt;"",IF(G52&lt;&gt;"",G52,($I$9/$I$12-SUM($U$25:U51))*V52*W52/SUMPRODUCT($W52:$W$55,$V52:$V$55)),""),"")</s:f>
        <s:v>5</s:v>
      </s:c>
      <s:c r="V52" s="122">
        <s:v>0.95</s:v>
      </s:c>
      <s:c r="W52" s="122">
        <s:v>0.97588914665651838</s:v>
      </s:c>
      <s:c r="X52" s="123"/>
      <s:c r="Y52" s="124"/>
      <s:c r="Z52" s="125"/>
    </s:row>
    <s:row r="53">
      <s:c r="A53" s="113" t="s">
        <s:v>58</s:v>
      </s:c>
      <s:c r="B53" s="114">
        <s:v>45806</s:v>
      </s:c>
      <s:c r="C53" s="115" t="s">
        <s:v>48</s:v>
      </s:c>
      <s:c r="D53" s="116">
        <s:v>71964</s:v>
      </s:c>
      <s:c r="E53" s="117">
        <s:v>18</s:v>
      </s:c>
      <s:c r="F53" s="117">
        <s:f>IF(AND(E53&lt;&gt;"",E53&lt;&gt;0),D53/E53,"")</s:f>
        <s:v>3998</s:v>
      </s:c>
      <s:c r="G53" s="117">
        <s:v>10</s:v>
      </s:c>
      <s:c r="H53" s="117">
        <s:f>IF(AND(G53&lt;&gt;"",G53&lt;&gt;0),D53/G53,"")</s:f>
        <s:v>7196.4</s:v>
      </s:c>
      <s:c r="I53" s="117">
        <s:v>40</s:v>
      </s:c>
      <s:c r="J53" s="116">
        <s:f>IF(AND(G53&lt;&gt;"",G53&lt;&gt;0),E53/G53,"")</s:f>
        <s:v>1.8</s:v>
      </s:c>
      <s:c r="K53" s="117"/>
      <s:c r="L53" s="117"/>
      <s:c r="M53" s="117"/>
      <s:c r="N53" s="118">
        <s:f>IF(AND(I53&lt;&gt;"",I53&lt;&gt;0),G53/I53,"")</s:f>
        <s:v>0.25</s:v>
      </s:c>
      <s:c r="O53" s="119">
        <s:f>D53/P53</s:f>
        <s:v>0.45229463718914414</s:v>
      </s:c>
      <s:c r="P53" s="120">
        <s:f>$I$8*V53*W53/SUMPRODUCT($W$25:$W$55,$V$25:$V$55)</s:f>
        <s:v>159108.67404316698</s:v>
      </s:c>
      <s:c r="Q53" s="121">
        <s:f>$I$9*V53*W53/SUMPRODUCT($W$25:$W$55,$V$25:$V$55)</s:f>
        <s:v>30.59782193137826</s:v>
      </s:c>
      <s:c r="R53" s="121">
        <s:f>IF($I$12="","",Q53/$I$12)</s:f>
        <s:v>15.772073160504258</s:v>
      </s:c>
      <s:c r="S53" s="120">
        <s:f>IF(W53&lt;&gt;"",IF(D53&lt;&gt;"",D53,($I$8-SUM($S$25:S52))*V53*W53/SUMPRODUCT($W53:$W$55,$V53:$V$55)),"")</s:f>
        <s:v>71964</s:v>
      </s:c>
      <s:c r="T53" s="121">
        <s:f>IF(W53&lt;&gt;"",IF(E53&lt;&gt;"",E53,($I$9-SUM($T$25:T52))*V53*W53/SUMPRODUCT($W53:$W$55,$V53:$V$55)),"")</s:f>
        <s:v>18</s:v>
      </s:c>
      <s:c r="U53" s="121">
        <s:f>IF(W53&lt;&gt;"",IF($I$12&lt;&gt;"",IF(G53&lt;&gt;"",G53,($I$9/$I$12-SUM($U$25:U52))*V53*W53/SUMPRODUCT($W53:$W$55,$V53:$V$55)),""),"")</s:f>
        <s:v>10</s:v>
      </s:c>
      <s:c r="V53" s="122">
        <s:v>0.95</s:v>
      </s:c>
      <s:c r="W53" s="122">
        <s:v>0.97588914665651838</s:v>
      </s:c>
      <s:c r="X53" s="123"/>
      <s:c r="Y53" s="124"/>
      <s:c r="Z53" s="125"/>
    </s:row>
    <s:row r="54" spans="1:255" s="95" customFormat="1" ht="15" customHeight="1">
      <s:c r="A54" s="96" t="s">
        <s:v>58</s:v>
      </s:c>
      <s:c r="B54" s="97">
        <s:v>45807</s:v>
      </s:c>
      <s:c r="C54" s="98" t="s">
        <s:v>49</s:v>
      </s:c>
      <s:c r="D54" s="99">
        <s:f>33433+27238+6203</s:f>
        <s:v>66874</s:v>
      </s:c>
      <s:c r="E54" s="100">
        <s:v>16</s:v>
      </s:c>
      <s:c r="F54" s="100">
        <s:f>IF(AND(E54&lt;&gt;"",E54&lt;&gt;0),D54/E54,"")</s:f>
        <s:v>4179.625</s:v>
      </s:c>
      <s:c r="G54" s="100">
        <s:v>7</s:v>
      </s:c>
      <s:c r="H54" s="100">
        <s:f>IF(AND(G54&lt;&gt;"",G54&lt;&gt;0),D54/G54,"")</s:f>
        <s:v>9553.4285714285706</s:v>
      </s:c>
      <s:c r="I54" s="100">
        <s:v>34</s:v>
      </s:c>
      <s:c r="J54" s="99">
        <s:f>IF(AND(G54&lt;&gt;"",G54&lt;&gt;0),E54/G54,"")</s:f>
        <s:v>2.2857142857142856</s:v>
      </s:c>
      <s:c r="K54" s="100"/>
      <s:c r="L54" s="100">
        <s:v>6203</s:v>
      </s:c>
      <s:c r="M54" s="100"/>
      <s:c r="N54" s="101">
        <s:f>IF(AND(I54&lt;&gt;"",I54&lt;&gt;0),G54/I54,"")</s:f>
        <s:v>0.20588235294117646</s:v>
      </s:c>
      <s:c r="O54" s="102">
        <s:f>D54/P54</s:f>
        <s:v>0.38966153559303812</s:v>
      </s:c>
      <s:c r="P54" s="103">
        <s:f>$I$8*V54*W54/SUMPRODUCT($W$25:$W$55,$V$25:$V$55)</s:f>
        <s:v>171620.73720779846</s:v>
      </s:c>
      <s:c r="Q54" s="104">
        <s:f>$I$9*V54*W54/SUMPRODUCT($W$25:$W$55,$V$25:$V$55)</s:f>
        <s:v>33.003987924576627</s:v>
      </s:c>
      <s:c r="R54" s="104">
        <s:f>IF($I$12="","",Q54/$I$12)</s:f>
        <s:v>17.012364909575581</s:v>
      </s:c>
      <s:c r="S54" s="103">
        <s:f>IF(W54&lt;&gt;"",IF(D54&lt;&gt;"",D54,($I$8-SUM($S$25:S53))*V54*W54/SUMPRODUCT($W54:$W$55,$V54:$V$55)),"")</s:f>
        <s:v>66874</s:v>
      </s:c>
      <s:c r="T54" s="104">
        <s:f>IF(W54&lt;&gt;"",IF(E54&lt;&gt;"",E54,($I$9-SUM($T$25:T53))*V54*W54/SUMPRODUCT($W54:$W$55,$V54:$V$55)),"")</s:f>
        <s:v>16</s:v>
      </s:c>
      <s:c r="U54" s="104">
        <s:f>IF(W54&lt;&gt;"",IF($I$12&lt;&gt;"",IF(G54&lt;&gt;"",G54,($I$9/$I$12-SUM($U$25:U53))*V54*W54/SUMPRODUCT($W54:$W$55,$V54:$V$55)),""),"")</s:f>
        <s:v>7</s:v>
      </s:c>
      <s:c r="V54" s="105">
        <s:v>1</s:v>
      </s:c>
      <s:c r="W54" s="105">
        <s:v>1</s:v>
      </s:c>
      <s:c r="X54" s="108"/>
      <s:c r="Y54" s="107"/>
      <s:c r="Z54" s="126"/>
      <s:c r="AA54" s="110"/>
      <s:c r="AB54" s="110"/>
      <s:c r="AC54" s="110"/>
      <s:c r="AD54" s="110"/>
      <s:c r="AE54" s="110"/>
      <s:c r="AF54" s="110"/>
      <s:c r="AG54" s="110"/>
      <s:c r="AH54" s="110"/>
      <s:c r="AI54" s="110"/>
      <s:c r="AJ54" s="110"/>
      <s:c r="AK54" s="110"/>
      <s:c r="AL54" s="110"/>
      <s:c r="AM54" s="110"/>
      <s:c r="AN54" s="110"/>
      <s:c r="AO54" s="110"/>
      <s:c r="AP54" s="110"/>
      <s:c r="AQ54" s="110"/>
      <s:c r="AR54" s="110"/>
      <s:c r="AS54" s="110"/>
      <s:c r="AT54" s="110"/>
      <s:c r="AU54" s="110"/>
      <s:c r="AV54" s="110"/>
      <s:c r="AW54" s="110"/>
      <s:c r="AX54" s="110"/>
      <s:c r="AY54" s="110"/>
      <s:c r="AZ54" s="110"/>
      <s:c r="BA54" s="110"/>
      <s:c r="BB54" s="110"/>
      <s:c r="BC54" s="110"/>
      <s:c r="BD54" s="110"/>
      <s:c r="BE54" s="110"/>
      <s:c r="BF54" s="110"/>
      <s:c r="BG54" s="110"/>
      <s:c r="BH54" s="110"/>
      <s:c r="BI54" s="110"/>
      <s:c r="BJ54" s="110"/>
      <s:c r="BK54" s="110"/>
      <s:c r="BL54" s="110"/>
      <s:c r="BM54" s="110"/>
      <s:c r="BN54" s="110"/>
      <s:c r="BO54" s="110"/>
      <s:c r="BP54" s="110"/>
      <s:c r="BQ54" s="110"/>
      <s:c r="BR54" s="110"/>
      <s:c r="BS54" s="110"/>
      <s:c r="BT54" s="110"/>
      <s:c r="BU54" s="110"/>
      <s:c r="BV54" s="110"/>
      <s:c r="BW54" s="110"/>
      <s:c r="BX54" s="110"/>
      <s:c r="BY54" s="110"/>
      <s:c r="BZ54" s="110"/>
      <s:c r="CA54" s="110"/>
      <s:c r="CB54" s="110"/>
      <s:c r="CC54" s="110"/>
      <s:c r="CD54" s="110"/>
      <s:c r="CE54" s="110"/>
      <s:c r="CF54" s="110"/>
      <s:c r="CG54" s="110"/>
      <s:c r="CH54" s="110"/>
      <s:c r="CI54" s="110"/>
      <s:c r="CJ54" s="110"/>
      <s:c r="CK54" s="110"/>
      <s:c r="CL54" s="110"/>
      <s:c r="CM54" s="110"/>
      <s:c r="CN54" s="110"/>
      <s:c r="CO54" s="110"/>
      <s:c r="CP54" s="110"/>
      <s:c r="CQ54" s="110"/>
      <s:c r="CR54" s="110"/>
      <s:c r="CS54" s="110"/>
      <s:c r="CT54" s="110"/>
      <s:c r="CU54" s="110"/>
      <s:c r="CV54" s="110"/>
      <s:c r="CW54" s="110"/>
      <s:c r="CX54" s="110"/>
      <s:c r="CY54" s="110"/>
      <s:c r="CZ54" s="110"/>
      <s:c r="DA54" s="110"/>
      <s:c r="DB54" s="110"/>
      <s:c r="DC54" s="110"/>
      <s:c r="DD54" s="110"/>
      <s:c r="DE54" s="110"/>
      <s:c r="DF54" s="110"/>
      <s:c r="DG54" s="110"/>
      <s:c r="DH54" s="110"/>
      <s:c r="DI54" s="110"/>
      <s:c r="DJ54" s="110"/>
      <s:c r="DK54" s="110"/>
      <s:c r="DL54" s="110"/>
      <s:c r="DM54" s="110"/>
      <s:c r="DN54" s="110"/>
      <s:c r="DO54" s="110"/>
      <s:c r="DP54" s="110"/>
      <s:c r="DQ54" s="110"/>
      <s:c r="DR54" s="110"/>
      <s:c r="DS54" s="110"/>
      <s:c r="DT54" s="110"/>
      <s:c r="DU54" s="110"/>
      <s:c r="DV54" s="110"/>
      <s:c r="DW54" s="110"/>
      <s:c r="DX54" s="110"/>
      <s:c r="DY54" s="110"/>
      <s:c r="DZ54" s="110"/>
      <s:c r="EA54" s="110"/>
      <s:c r="EB54" s="110"/>
      <s:c r="EC54" s="110"/>
      <s:c r="ED54" s="110"/>
      <s:c r="EE54" s="110"/>
      <s:c r="EF54" s="110"/>
      <s:c r="EG54" s="110"/>
      <s:c r="EH54" s="110"/>
      <s:c r="EI54" s="110"/>
      <s:c r="EJ54" s="110"/>
      <s:c r="EK54" s="110"/>
      <s:c r="EL54" s="110"/>
      <s:c r="EM54" s="110"/>
      <s:c r="EN54" s="110"/>
      <s:c r="EO54" s="110"/>
      <s:c r="EP54" s="110"/>
      <s:c r="EQ54" s="110"/>
      <s:c r="ER54" s="110"/>
      <s:c r="ES54" s="110"/>
      <s:c r="ET54" s="110"/>
      <s:c r="EU54" s="110"/>
      <s:c r="EV54" s="110"/>
      <s:c r="EW54" s="110"/>
      <s:c r="EX54" s="110"/>
      <s:c r="EY54" s="110"/>
      <s:c r="EZ54" s="110"/>
      <s:c r="FA54" s="110"/>
      <s:c r="FB54" s="110"/>
      <s:c r="FC54" s="110"/>
      <s:c r="FD54" s="110"/>
      <s:c r="FE54" s="110"/>
      <s:c r="FF54" s="110"/>
      <s:c r="FG54" s="110"/>
      <s:c r="FH54" s="110"/>
      <s:c r="FI54" s="110"/>
      <s:c r="FJ54" s="110"/>
      <s:c r="FK54" s="110"/>
      <s:c r="FL54" s="110"/>
      <s:c r="FM54" s="110"/>
      <s:c r="FN54" s="110"/>
      <s:c r="FO54" s="110"/>
      <s:c r="FP54" s="110"/>
      <s:c r="FQ54" s="110"/>
      <s:c r="FR54" s="110"/>
      <s:c r="FS54" s="110"/>
      <s:c r="FT54" s="110"/>
      <s:c r="FU54" s="110"/>
      <s:c r="FV54" s="110"/>
      <s:c r="FW54" s="110"/>
      <s:c r="FX54" s="110"/>
      <s:c r="FY54" s="110"/>
      <s:c r="FZ54" s="110"/>
      <s:c r="GA54" s="110"/>
      <s:c r="GB54" s="110"/>
      <s:c r="GC54" s="110"/>
      <s:c r="GD54" s="110"/>
      <s:c r="GE54" s="110"/>
      <s:c r="GF54" s="110"/>
      <s:c r="GG54" s="110"/>
      <s:c r="GH54" s="110"/>
      <s:c r="GI54" s="110"/>
      <s:c r="GJ54" s="110"/>
      <s:c r="GK54" s="110"/>
      <s:c r="GL54" s="110"/>
      <s:c r="GM54" s="110"/>
      <s:c r="GN54" s="110"/>
      <s:c r="GO54" s="110"/>
      <s:c r="GP54" s="110"/>
      <s:c r="GQ54" s="110"/>
      <s:c r="GR54" s="110"/>
      <s:c r="GS54" s="110"/>
      <s:c r="GT54" s="110"/>
      <s:c r="GU54" s="110"/>
      <s:c r="GV54" s="110"/>
      <s:c r="GW54" s="110"/>
      <s:c r="GX54" s="110"/>
      <s:c r="GY54" s="110"/>
      <s:c r="GZ54" s="110"/>
      <s:c r="HA54" s="110"/>
      <s:c r="HB54" s="110"/>
      <s:c r="HC54" s="110"/>
      <s:c r="HD54" s="110"/>
      <s:c r="HE54" s="110"/>
      <s:c r="HF54" s="110"/>
      <s:c r="HG54" s="110"/>
      <s:c r="HH54" s="110"/>
      <s:c r="HI54" s="110"/>
      <s:c r="HJ54" s="110"/>
      <s:c r="HK54" s="110"/>
      <s:c r="HL54" s="110"/>
      <s:c r="HM54" s="110"/>
      <s:c r="HN54" s="110"/>
      <s:c r="HO54" s="110"/>
      <s:c r="HP54" s="110"/>
      <s:c r="HQ54" s="110"/>
      <s:c r="HR54" s="110"/>
      <s:c r="HS54" s="110"/>
      <s:c r="HT54" s="110"/>
      <s:c r="HU54" s="110"/>
      <s:c r="HV54" s="110"/>
      <s:c r="HW54" s="110"/>
      <s:c r="HX54" s="110"/>
      <s:c r="HY54" s="110"/>
      <s:c r="HZ54" s="110"/>
      <s:c r="IA54" s="110"/>
      <s:c r="IB54" s="110"/>
      <s:c r="IC54" s="110"/>
      <s:c r="ID54" s="110"/>
      <s:c r="IE54" s="110"/>
      <s:c r="IF54" s="110"/>
      <s:c r="IG54" s="110"/>
      <s:c r="IH54" s="110"/>
      <s:c r="II54" s="110"/>
      <s:c r="IJ54" s="110"/>
      <s:c r="IK54" s="110"/>
      <s:c r="IL54" s="110"/>
      <s:c r="IM54" s="110"/>
      <s:c r="IN54" s="110"/>
      <s:c r="IO54" s="110"/>
      <s:c r="IP54" s="110"/>
      <s:c r="IQ54" s="110"/>
      <s:c r="IR54" s="110"/>
      <s:c r="IS54" s="110"/>
      <s:c r="IT54" s="110"/>
      <s:c r="IU54" s="110"/>
    </s:row>
    <s:row r="55" spans="1:255" s="95" customFormat="1" ht="15" customHeight="1">
      <s:c r="A55" s="96" t="s">
        <s:v>57</s:v>
      </s:c>
      <s:c r="B55" s="97">
        <s:v>45808</s:v>
      </s:c>
      <s:c r="C55" s="98" t="s">
        <s:v>51</s:v>
      </s:c>
      <s:c r="D55" s="99">
        <s:f>83666+41227</s:f>
        <s:v>124893</s:v>
      </s:c>
      <s:c r="E55" s="100">
        <s:v>19</s:v>
      </s:c>
      <s:c r="F55" s="100">
        <s:f>IF(AND(E55&lt;&gt;"",E55&lt;&gt;0),D55/E55,"")</s:f>
        <s:v>6573.3157894736842</s:v>
      </s:c>
      <s:c r="G55" s="100">
        <s:v>12</s:v>
      </s:c>
      <s:c r="H55" s="100">
        <s:f>IF(AND(G55&lt;&gt;"",G55&lt;&gt;0),D55/G55,"")</s:f>
        <s:v>10407.75</s:v>
      </s:c>
      <s:c r="I55" s="100">
        <s:v>60</s:v>
      </s:c>
      <s:c r="J55" s="99">
        <s:f>IF(AND(G55&lt;&gt;"",G55&lt;&gt;0),E55/G55,"")</s:f>
        <s:v>1.5833333333333333</s:v>
      </s:c>
      <s:c r="K55" s="100">
        <s:v>39974</s:v>
      </s:c>
      <s:c r="L55" s="100">
        <s:v>41227</s:v>
      </s:c>
      <s:c r="M55" s="100"/>
      <s:c r="N55" s="101">
        <s:f>IF(AND(I55&lt;&gt;"",I55&lt;&gt;0),G55/I55,"")</s:f>
        <s:v>0.2</s:v>
      </s:c>
      <s:c r="O55" s="102">
        <s:f>D55/P55</s:f>
        <s:v>0.6014270597551693</s:v>
      </s:c>
      <s:c r="P55" s="103">
        <s:f>$I$8*V55*W55/SUMPRODUCT($W$25:$W$55,$V$25:$V$55)</s:f>
        <s:v>207661.09202143617</s:v>
      </s:c>
      <s:c r="Q55" s="104">
        <s:f>$I$9*V55*W55/SUMPRODUCT($W$25:$W$55,$V$25:$V$55)</s:f>
        <s:v>39.934825388737721</s:v>
      </s:c>
      <s:c r="R55" s="104">
        <s:f>IF($I$12="","",Q55/$I$12)</s:f>
        <s:v>20.584961540586455</s:v>
      </s:c>
      <s:c r="S55" s="103">
        <s:f>IF(W55&lt;&gt;"",IF(D55&lt;&gt;"",D55,($I$8-SUM($S$25:S54))*V55*W55/SUMPRODUCT($W55:$W$55,$V55:$V$55)),"")</s:f>
        <s:v>124893</s:v>
      </s:c>
      <s:c r="T55" s="104">
        <s:f>IF(W55&lt;&gt;"",IF(E55&lt;&gt;"",E55,($I$9-SUM($T$25:T54))*V55*W55/SUMPRODUCT($W55:$W$55,$V55:$V$55)),0)</s:f>
        <s:v>19</s:v>
      </s:c>
      <s:c r="U55" s="104">
        <s:f>IF(W55&lt;&gt;"",IF($I$12&lt;&gt;"",IF(G55&lt;&gt;"",G55,($I$9/$I$12-SUM($U$25:U54))*V55*W55/SUMPRODUCT($W55:$W$55,$V55:$V$55)),""),"")</s:f>
        <s:v>12</s:v>
      </s:c>
      <s:c r="V55" s="105">
        <s:v>1.1000000000000001</s:v>
      </s:c>
      <s:c r="W55" s="105">
        <s:v>1.1000000000000001</s:v>
      </s:c>
      <s:c r="X55" s="108"/>
      <s:c r="Y55" s="107"/>
      <s:c r="Z55" s="110"/>
      <s:c r="AA55" s="110"/>
      <s:c r="AB55" s="110"/>
      <s:c r="AC55" s="110"/>
      <s:c r="AD55" s="110"/>
      <s:c r="AE55" s="110"/>
      <s:c r="AF55" s="110"/>
      <s:c r="AG55" s="110"/>
      <s:c r="AH55" s="110"/>
      <s:c r="AI55" s="110"/>
      <s:c r="AJ55" s="110"/>
      <s:c r="AK55" s="110"/>
      <s:c r="AL55" s="110"/>
      <s:c r="AM55" s="110"/>
      <s:c r="AN55" s="110"/>
      <s:c r="AO55" s="110"/>
      <s:c r="AP55" s="110"/>
      <s:c r="AQ55" s="110"/>
      <s:c r="AR55" s="110"/>
      <s:c r="AS55" s="110"/>
      <s:c r="AT55" s="110"/>
      <s:c r="AU55" s="110"/>
      <s:c r="AV55" s="110"/>
      <s:c r="AW55" s="110"/>
      <s:c r="AX55" s="110"/>
      <s:c r="AY55" s="110"/>
      <s:c r="AZ55" s="110"/>
      <s:c r="BA55" s="110"/>
      <s:c r="BB55" s="110"/>
      <s:c r="BC55" s="110"/>
      <s:c r="BD55" s="110"/>
      <s:c r="BE55" s="110"/>
      <s:c r="BF55" s="110"/>
      <s:c r="BG55" s="110"/>
      <s:c r="BH55" s="110"/>
      <s:c r="BI55" s="110"/>
      <s:c r="BJ55" s="110"/>
      <s:c r="BK55" s="110"/>
      <s:c r="BL55" s="110"/>
      <s:c r="BM55" s="110"/>
      <s:c r="BN55" s="110"/>
      <s:c r="BO55" s="110"/>
      <s:c r="BP55" s="110"/>
      <s:c r="BQ55" s="110"/>
      <s:c r="BR55" s="110"/>
      <s:c r="BS55" s="110"/>
      <s:c r="BT55" s="110"/>
      <s:c r="BU55" s="110"/>
      <s:c r="BV55" s="110"/>
      <s:c r="BW55" s="110"/>
      <s:c r="BX55" s="110"/>
      <s:c r="BY55" s="110"/>
      <s:c r="BZ55" s="110"/>
      <s:c r="CA55" s="110"/>
      <s:c r="CB55" s="110"/>
      <s:c r="CC55" s="110"/>
      <s:c r="CD55" s="110"/>
      <s:c r="CE55" s="110"/>
      <s:c r="CF55" s="110"/>
      <s:c r="CG55" s="110"/>
      <s:c r="CH55" s="110"/>
      <s:c r="CI55" s="110"/>
      <s:c r="CJ55" s="110"/>
      <s:c r="CK55" s="110"/>
      <s:c r="CL55" s="110"/>
      <s:c r="CM55" s="110"/>
      <s:c r="CN55" s="110"/>
      <s:c r="CO55" s="110"/>
      <s:c r="CP55" s="110"/>
      <s:c r="CQ55" s="110"/>
      <s:c r="CR55" s="110"/>
      <s:c r="CS55" s="110"/>
      <s:c r="CT55" s="110"/>
      <s:c r="CU55" s="110"/>
      <s:c r="CV55" s="110"/>
      <s:c r="CW55" s="110"/>
      <s:c r="CX55" s="110"/>
      <s:c r="CY55" s="110"/>
      <s:c r="CZ55" s="110"/>
      <s:c r="DA55" s="110"/>
      <s:c r="DB55" s="110"/>
      <s:c r="DC55" s="110"/>
      <s:c r="DD55" s="110"/>
      <s:c r="DE55" s="110"/>
      <s:c r="DF55" s="110"/>
      <s:c r="DG55" s="110"/>
      <s:c r="DH55" s="110"/>
      <s:c r="DI55" s="110"/>
      <s:c r="DJ55" s="110"/>
      <s:c r="DK55" s="110"/>
      <s:c r="DL55" s="110"/>
      <s:c r="DM55" s="110"/>
      <s:c r="DN55" s="110"/>
      <s:c r="DO55" s="110"/>
      <s:c r="DP55" s="110"/>
      <s:c r="DQ55" s="110"/>
      <s:c r="DR55" s="110"/>
      <s:c r="DS55" s="110"/>
      <s:c r="DT55" s="110"/>
      <s:c r="DU55" s="110"/>
      <s:c r="DV55" s="110"/>
      <s:c r="DW55" s="110"/>
      <s:c r="DX55" s="110"/>
      <s:c r="DY55" s="110"/>
      <s:c r="DZ55" s="110"/>
      <s:c r="EA55" s="110"/>
      <s:c r="EB55" s="110"/>
      <s:c r="EC55" s="110"/>
      <s:c r="ED55" s="110"/>
      <s:c r="EE55" s="110"/>
      <s:c r="EF55" s="110"/>
      <s:c r="EG55" s="110"/>
      <s:c r="EH55" s="110"/>
      <s:c r="EI55" s="110"/>
      <s:c r="EJ55" s="110"/>
      <s:c r="EK55" s="110"/>
      <s:c r="EL55" s="110"/>
      <s:c r="EM55" s="110"/>
      <s:c r="EN55" s="110"/>
      <s:c r="EO55" s="110"/>
      <s:c r="EP55" s="110"/>
      <s:c r="EQ55" s="110"/>
      <s:c r="ER55" s="110"/>
      <s:c r="ES55" s="110"/>
      <s:c r="ET55" s="110"/>
      <s:c r="EU55" s="110"/>
      <s:c r="EV55" s="110"/>
      <s:c r="EW55" s="110"/>
      <s:c r="EX55" s="110"/>
      <s:c r="EY55" s="110"/>
      <s:c r="EZ55" s="110"/>
      <s:c r="FA55" s="110"/>
      <s:c r="FB55" s="110"/>
      <s:c r="FC55" s="110"/>
      <s:c r="FD55" s="110"/>
      <s:c r="FE55" s="110"/>
      <s:c r="FF55" s="110"/>
      <s:c r="FG55" s="110"/>
      <s:c r="FH55" s="110"/>
      <s:c r="FI55" s="110"/>
      <s:c r="FJ55" s="110"/>
      <s:c r="FK55" s="110"/>
      <s:c r="FL55" s="110"/>
      <s:c r="FM55" s="110"/>
      <s:c r="FN55" s="110"/>
      <s:c r="FO55" s="110"/>
      <s:c r="FP55" s="110"/>
      <s:c r="FQ55" s="110"/>
      <s:c r="FR55" s="110"/>
      <s:c r="FS55" s="110"/>
      <s:c r="FT55" s="110"/>
      <s:c r="FU55" s="110"/>
      <s:c r="FV55" s="110"/>
      <s:c r="FW55" s="110"/>
      <s:c r="FX55" s="110"/>
      <s:c r="FY55" s="110"/>
      <s:c r="FZ55" s="110"/>
      <s:c r="GA55" s="110"/>
      <s:c r="GB55" s="110"/>
      <s:c r="GC55" s="110"/>
      <s:c r="GD55" s="110"/>
      <s:c r="GE55" s="110"/>
      <s:c r="GF55" s="110"/>
      <s:c r="GG55" s="110"/>
      <s:c r="GH55" s="110"/>
      <s:c r="GI55" s="110"/>
      <s:c r="GJ55" s="110"/>
      <s:c r="GK55" s="110"/>
      <s:c r="GL55" s="110"/>
      <s:c r="GM55" s="110"/>
      <s:c r="GN55" s="110"/>
      <s:c r="GO55" s="110"/>
      <s:c r="GP55" s="110"/>
      <s:c r="GQ55" s="110"/>
      <s:c r="GR55" s="110"/>
      <s:c r="GS55" s="110"/>
      <s:c r="GT55" s="110"/>
      <s:c r="GU55" s="110"/>
      <s:c r="GV55" s="110"/>
      <s:c r="GW55" s="110"/>
      <s:c r="GX55" s="110"/>
      <s:c r="GY55" s="110"/>
      <s:c r="GZ55" s="110"/>
      <s:c r="HA55" s="110"/>
      <s:c r="HB55" s="110"/>
      <s:c r="HC55" s="110"/>
      <s:c r="HD55" s="110"/>
      <s:c r="HE55" s="110"/>
      <s:c r="HF55" s="110"/>
      <s:c r="HG55" s="110"/>
      <s:c r="HH55" s="110"/>
      <s:c r="HI55" s="110"/>
      <s:c r="HJ55" s="110"/>
      <s:c r="HK55" s="110"/>
      <s:c r="HL55" s="110"/>
      <s:c r="HM55" s="110"/>
      <s:c r="HN55" s="110"/>
      <s:c r="HO55" s="110"/>
      <s:c r="HP55" s="110"/>
      <s:c r="HQ55" s="110"/>
      <s:c r="HR55" s="110"/>
      <s:c r="HS55" s="110"/>
      <s:c r="HT55" s="110"/>
      <s:c r="HU55" s="110"/>
      <s:c r="HV55" s="110"/>
      <s:c r="HW55" s="110"/>
      <s:c r="HX55" s="110"/>
      <s:c r="HY55" s="110"/>
      <s:c r="HZ55" s="110"/>
      <s:c r="IA55" s="110"/>
      <s:c r="IB55" s="110"/>
      <s:c r="IC55" s="110"/>
      <s:c r="ID55" s="110"/>
      <s:c r="IE55" s="110"/>
      <s:c r="IF55" s="110"/>
      <s:c r="IG55" s="110"/>
      <s:c r="IH55" s="110"/>
      <s:c r="II55" s="110"/>
      <s:c r="IJ55" s="110"/>
      <s:c r="IK55" s="110"/>
      <s:c r="IL55" s="110"/>
      <s:c r="IM55" s="110"/>
      <s:c r="IN55" s="110"/>
      <s:c r="IO55" s="110"/>
      <s:c r="IP55" s="110"/>
      <s:c r="IQ55" s="110"/>
      <s:c r="IR55" s="110"/>
      <s:c r="IS55" s="110"/>
      <s:c r="IT55" s="110"/>
      <s:c r="IU55" s="110"/>
    </s:row>
    <s:row r="56" spans="1:255" ht="15" customHeight="1">
      <s:c r="A56" s="96"/>
      <s:c r="B56" s="569" t="s">
        <s:v>61</s:v>
      </s:c>
      <s:c r="C56" s="569"/>
      <s:c r="D56" s="99">
        <s:f>SUM(D25:D55)</s:f>
        <s:v>2784032</s:v>
      </s:c>
      <s:c r="E56" s="100">
        <s:f>SUM(E25:E55)</s:f>
        <s:v>493</s:v>
      </s:c>
      <s:c r="F56" s="100">
        <s:f>IF(AND(E56&lt;&gt;"", E56&lt;&gt;0), D56/E56, "")</s:f>
        <s:v>5647.1237322515217</s:v>
      </s:c>
      <s:c r="G56" s="100">
        <s:f>SUM(G25:G55)</s:f>
        <s:v>274</s:v>
      </s:c>
      <s:c r="H56" s="100">
        <s:f>IF(AND(G56&lt;&gt;"", G56&lt;&gt;0), D56/G56, "")</s:f>
        <s:v>10160.700729927008</s:v>
      </s:c>
      <s:c r="I56" s="100">
        <s:f>SUM(I25:I55)</s:f>
        <s:v>1195</s:v>
      </s:c>
      <s:c r="J56" s="99">
        <s:f>E56/G56</s:f>
        <s:v>1.7992700729927007</s:v>
      </s:c>
      <s:c r="K56" s="100">
        <s:f>SUM(K25:K55)</s:f>
        <s:v>535497</s:v>
      </s:c>
      <s:c r="L56" s="100">
        <s:f>SUM(L25:L55)</s:f>
        <s:v>573273</s:v>
      </s:c>
      <s:c r="M56" s="100">
        <s:f>SUM(M25:M55)</s:f>
        <s:v>0</s:v>
      </s:c>
      <s:c r="N56" s="128">
        <s:f>IF(AND(I56&lt;&gt;"", I56&lt;&gt;0), G56/I56, "")</s:f>
        <s:v>0.2292887029288703</s:v>
      </s:c>
      <s:c r="O56" s="102">
        <s:f>D56/P56</s:f>
        <s:v>0.58075467869282316</s:v>
      </s:c>
      <s:c r="P56" s="104">
        <s:f>SUM(P25:P55)</s:f>
        <s:v>4793817.5999999987</s:v>
      </s:c>
      <s:c r="Q56" s="104">
        <s:f>SUM(Q25:Q55)</s:f>
        <s:v>921.88799999999992</s:v>
      </s:c>
      <s:c r="R56" s="104">
        <s:f>SUM(R25:R55)</s:f>
        <s:v>475.19999999999982</s:v>
      </s:c>
      <s:c r="S56" s="104">
        <s:f>SUM(S25:S55)</s:f>
        <s:v>2784032</s:v>
      </s:c>
      <s:c r="T56" s="104">
        <s:f>SUM(T25:T55)</s:f>
        <s:v>493</s:v>
      </s:c>
      <s:c r="U56" s="104">
        <s:f>SUM(U25:U55)</s:f>
        <s:v>274</s:v>
      </s:c>
      <s:c r="V56" s="129"/>
      <s:c r="W56" s="129"/>
    </s:row>
    <s:row r="57">
      <s:c r="A57" s="130"/>
      <s:c r="B57" s="131"/>
      <s:c r="C57" s="132"/>
      <s:c r="D57" s="133">
        <s:f>SUMIF(D25:D55,"",P25:P55)+D56</s:f>
        <s:v>2784032</s:v>
      </s:c>
      <s:c r="E57" s="134"/>
      <s:c r="F57" s="132"/>
      <s:c r="G57" s="132"/>
      <s:c r="H57" s="135"/>
      <s:c r="I57" s="136">
        <s:f>I56/J14</s:f>
        <s:v>38.548387096774192</s:v>
      </s:c>
      <s:c r="J57" s="135"/>
      <s:c r="K57" s="3"/>
      <s:c r="L57" s="137"/>
      <s:c r="M57" s="134"/>
      <s:c r="N57" s="137"/>
      <s:c r="O57" s="137"/>
      <s:c r="P57" s="137"/>
      <s:c r="Q57" s="138"/>
      <s:c r="R57" s="3"/>
      <s:c r="T57" s="3"/>
      <s:c r="U57" s="3"/>
      <s:c r="V57" s="3"/>
      <s:c r="W57" s="3"/>
    </s:row>
    <s:row r="58">
      <s:c r="A58" s="130"/>
      <s:c r="B58" s="3"/>
      <s:c r="C58" s="139"/>
      <s:c r="D58" s="139">
        <s:f>'Рогалевич И. Е.'!J8+'Уразгильдеева Е. Р.'!J8+'Вафина Л. Ф.'!J8+'Доп сотрудник'!J8</s:f>
        <s:v>2784032</s:v>
      </s:c>
      <s:c r="E58" s="139"/>
      <s:c r="F58" s="3"/>
      <s:c r="G58" s="3"/>
      <s:c r="H58" s="3"/>
      <s:c r="I58" s="140"/>
      <s:c r="J58" s="141"/>
      <s:c r="K58" s="3"/>
      <s:c r="L58" s="3"/>
      <s:c r="M58" s="3"/>
      <s:c r="N58" s="3"/>
      <s:c r="O58" s="3"/>
      <s:c r="P58" s="3"/>
      <s:c r="Q58" s="3"/>
      <s:c r="R58" s="3"/>
      <s:c r="T58" s="3"/>
      <s:c r="U58" s="3"/>
      <s:c r="V58" s="3"/>
      <s:c r="W58" s="3"/>
    </s:row>
    <s:row r="59">
      <s:c r="D59" s="142"/>
      <s:c r="F59" s="143"/>
    </s:row>
    <s:row r="60">
      <s:c r="D60" s="92"/>
      <s:c r="G60" s="144"/>
    </s:row>
    <s:row r="61">
      <s:c r="D61" s="92"/>
    </s:row>
    <s:row r="64">
      <s:c r="F64" s="570"/>
    </s:row>
    <s:row r="65">
      <s:c r="F65" s="570"/>
    </s:row>
    <s:row r="68">
      <s:c r="D68" s="145"/>
    </s:row>
  </s:sheetData>
  <s:mergeCells count="30">
    <s:mergeCell ref="B1:C1"/>
    <s:mergeCell ref="Q1:T4"/>
    <s:mergeCell ref="B2:C2"/>
    <s:mergeCell ref="J2:P2"/>
    <s:mergeCell ref="I3:M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A23:A24"/>
    <s:mergeCell ref="B56:C56"/>
    <s:mergeCell ref="F64:F65"/>
    <s:mergeCell ref="F18:H18"/>
    <s:mergeCell ref="F19:H19"/>
    <s:mergeCell ref="F20:H20"/>
    <s:mergeCell ref="A22:N22"/>
    <s:mergeCell ref="O22:O24"/>
  </s:mergeCells>
  <s:conditionalFormatting sqref="D58">
    <s:cfRule type="cellIs" dxfId="244" priority="30" operator="notEqual">
      <s:formula>$D$56</s:formula>
    </s:cfRule>
    <s:cfRule type="cellIs" dxfId="243" priority="31" operator="equal">
      <s:formula>$D$56</s:formula>
    </s:cfRule>
  </s:conditionalFormatting>
  <s:conditionalFormatting sqref="J16">
    <s:cfRule type="cellIs" dxfId="242" priority="33" operator="lessThan">
      <s:formula>0</s:formula>
    </s:cfRule>
    <s:cfRule type="cellIs" dxfId="241" priority="34" operator="greaterThan">
      <s:formula>0</s:formula>
    </s:cfRule>
  </s:conditionalFormatting>
  <s:conditionalFormatting sqref="J25:J55">
    <s:cfRule type="cellIs" dxfId="240" priority="10" operator="lessThan">
      <s:formula>$I$12</s:formula>
    </s:cfRule>
    <s:cfRule type="cellIs" dxfId="239" priority="11" operator="greaterThan">
      <s:formula>$I$12</s:formula>
    </s:cfRule>
  </s:conditionalFormatting>
  <s:conditionalFormatting sqref="J27">
    <s:cfRule type="cellIs" dxfId="238" priority="45" operator="lessThan">
      <s:formula>$I$12</s:formula>
    </s:cfRule>
  </s:conditionalFormatting>
  <s:conditionalFormatting sqref="K10:K12 K15">
    <s:cfRule type="cellIs" dxfId="237" priority="37" operator="lessThan">
      <s:formula>1</s:formula>
    </s:cfRule>
    <s:cfRule type="cellIs" dxfId="236" priority="38" operator="greaterThan">
      <s:formula>1</s:formula>
    </s:cfRule>
  </s:conditionalFormatting>
  <s:conditionalFormatting sqref="M8:M15">
    <s:cfRule type="cellIs" dxfId="235" priority="23" operator="lessThan">
      <s:formula>1</s:formula>
    </s:cfRule>
    <s:cfRule type="cellIs" dxfId="234" priority="24" operator="greaterThan">
      <s:formula>1</s:formula>
    </s:cfRule>
  </s:conditionalFormatting>
  <s:conditionalFormatting sqref="N25:N55">
    <s:cfRule type="cellIs" dxfId="233" priority="7" operator="between">
      <s:formula>0.2</s:formula>
      <s:formula>0.25</s:formula>
    </s:cfRule>
    <s:cfRule type="cellIs" dxfId="232" priority="8" operator="greaterThanOrEqual">
      <s:formula>0.25</s:formula>
    </s:cfRule>
    <s:cfRule type="cellIs" dxfId="231" priority="9" operator="lessThan">
      <s:formula>0.2</s:formula>
    </s:cfRule>
  </s:conditionalFormatting>
  <s:conditionalFormatting sqref="O25:O55">
    <s:cfRule type="cellIs" dxfId="230" priority="1" operator="between">
      <s:formula>0.9001</s:formula>
      <s:formula>0.9999</s:formula>
    </s:cfRule>
    <s:cfRule type="cellIs" dxfId="229" priority="2" operator="lessThan">
      <s:formula>0.9</s:formula>
    </s:cfRule>
    <s:cfRule type="cellIs" dxfId="228" priority="3" operator="greaterThan">
      <s:formula>1</s:formula>
    </s:cfRule>
    <s:cfRule type="cellIs" dxfId="227" priority="4" operator="greaterThan">
      <s:formula>100</s:formula>
    </s:cfRule>
    <s:cfRule type="cellIs" dxfId="226" priority="5" operator="between">
      <s:formula>0.85</s:formula>
      <s:formula>1</s:formula>
    </s:cfRule>
    <s:cfRule type="cellIs" dxfId="225" priority="6" operator="between">
      <s:formula>0.01</s:formula>
      <s:formula>0.99</s:formula>
    </s:cfRule>
  </s:conditionalFormatting>
  <s:conditionalFormatting sqref="P10:Q10">
    <s:cfRule type="cellIs" dxfId="224" priority="43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mc:Ignorable="x14ac xr xr2 xr3" xr:uid="{00000000-0001-0000-0100-000000000000}">
  <s:dimension ref="A1:O50"/>
  <s:sheetViews>
    <s:sheetView tabSelected="0" zoomScale="111" workbookViewId="0">
      <s:selection activeCell="F12" sqref="F12"/>
    </s:sheetView>
  </s:sheetViews>
  <s:sheetFormatPr baseColWidth="10" defaultColWidth="10" defaultRowHeight="15"/>
  <s:cols>
    <s:col min="1" max="1" width="10.832" style="3"/>
    <s:col min="2" max="2" width="10" style="3" customWidth="1"/>
    <s:col min="3" max="3" width="1.664" style="3" customWidth="1"/>
    <s:col min="4" max="11" width="11.664" style="3" customWidth="1"/>
    <s:col min="12" max="12" width="13.164" style="3" customWidth="1"/>
    <s:col min="13" max="14" width="11.664" customWidth="1"/>
    <s:col min="15" max="15" width="15.332" customWidth="1"/>
  </s:cols>
  <s:sheetData>
    <s:row r="1" spans="1:15" ht="22" customHeight="1">
      <s:c r="A1" s="619"/>
      <s:c r="B1" s="620"/>
      <s:c r="C1" s="620"/>
      <s:c r="D1" s="620"/>
      <s:c r="E1" s="620"/>
      <s:c r="F1" s="620"/>
      <s:c r="G1" s="620"/>
      <s:c r="H1" s="620"/>
      <s:c r="I1" s="620"/>
      <s:c r="J1" s="620"/>
      <s:c r="K1" s="620"/>
      <s:c r="L1" s="620"/>
      <s:c r="M1" s="620"/>
      <s:c r="N1" s="620"/>
      <s:c r="O1" s="621"/>
    </s:row>
    <s:row r="2" spans="1:15" ht="18" customHeight="1">
      <s:c r="A2" s="622" t="s">
        <s:v>3</s:v>
      </s:c>
      <s:c r="B2" s="623"/>
      <s:c r="C2" s="623"/>
      <s:c r="D2" s="642" t="str">
        <s:f>'Ялта, Ленина, 18'!I3</s:f>
        <s:v>ул. Набережная Ленина, 18</s:v>
      </s:c>
      <s:c r="E2" s="643"/>
      <s:c r="F2" s="643"/>
      <s:c r="G2" s="644" t="str">
        <s:f>График!B29</s:f>
        <s:v>Рогалевич Ирина</s:v>
      </s:c>
      <s:c r="H2" s="645"/>
      <s:c r="I2" s="645"/>
      <s:c r="J2" s="646" t="str">
        <s:f>График!B28</s:f>
        <s:v>Уразгильдеева Екатерина</s:v>
      </s:c>
      <s:c r="K2" s="632"/>
      <s:c r="L2" s="647"/>
      <s:c r="M2" s="646" t="str">
        <s:f>График!B27</s:f>
        <s:v>Вафина Ляйсан</s:v>
      </s:c>
      <s:c r="N2" s="632"/>
      <s:c r="O2" s="647"/>
    </s:row>
    <s:row r="3" spans="1:15" ht="18" customHeight="1">
      <s:c r="A3" s="625"/>
      <s:c r="B3" s="626"/>
      <s:c r="C3" s="626"/>
      <s:c r="D3" s="634" t="s">
        <s:v>62</s:v>
      </s:c>
      <s:c r="E3" s="635"/>
      <s:c r="F3" s="146" t="s">
        <s:v>63</s:v>
      </s:c>
      <s:c r="G3" s="648" t="s">
        <s:v>5</s:v>
      </s:c>
      <s:c r="H3" s="649"/>
      <s:c r="I3" s="147" t="s">
        <s:v>63</s:v>
      </s:c>
      <s:c r="J3" s="636" t="s">
        <s:v>5</s:v>
      </s:c>
      <s:c r="K3" s="637"/>
      <s:c r="L3" s="148" t="s">
        <s:v>63</s:v>
      </s:c>
      <s:c r="M3" s="636" t="s">
        <s:v>5</s:v>
      </s:c>
      <s:c r="N3" s="637"/>
      <s:c r="O3" s="148" t="s">
        <s:v>63</s:v>
      </s:c>
    </s:row>
    <s:row r="4" spans="1:15">
      <s:c r="A4" s="577" t="s">
        <s:v>12</s:v>
      </s:c>
      <s:c r="B4" s="577"/>
      <s:c r="C4" s="615"/>
      <s:c r="D4" s="149">
        <s:f>'Ялта, Ленина, 18'!K8</s:f>
        <s:v>0.58075467869282305</s:v>
      </s:c>
      <s:c r="E4" s="150">
        <s:f>'Ялта, Ленина, 18'!J8</s:f>
        <s:v>2784032</s:v>
      </s:c>
      <s:c r="F4" s="151">
        <s:f>'Ялта, Ленина, 18'!M8</s:f>
        <s:v>0.58075467869282316</s:v>
      </s:c>
      <s:c r="G4" s="152">
        <s:f>'Рогалевич И. Е.'!K8</s:f>
        <s:v>0.72556134304241193</s:v>
      </s:c>
      <s:c r="H4" s="153">
        <s:f>'Рогалевич И. Е.'!J8</s:f>
        <s:v>1358537</s:v>
      </s:c>
      <s:c r="I4" s="154">
        <s:f>'Рогалевич И. Е.'!M8</s:f>
        <s:v>0.7533964368747883</s:v>
      </s:c>
      <s:c r="J4" s="155">
        <s:f>'Уразгильдеева Е. Р.'!K8</s:f>
        <s:v>0.47854070494015805</s:v>
      </s:c>
      <s:c r="K4" s="153">
        <s:f>'Уразгильдеева Е. Р.'!J8</s:f>
        <s:v>717981</s:v>
      </s:c>
      <s:c r="L4" s="156">
        <s:f>'Уразгильдеева Е. Р.'!M8</s:f>
        <s:v>0.47854070494015816</s:v>
      </s:c>
      <s:c r="M4" s="155">
        <s:f>'Вафина Л. Ф.'!K8</s:f>
        <s:v>0.49787481426291658</s:v>
      </s:c>
      <s:c r="N4" s="153">
        <s:f>'Вафина Л. Ф.'!J8</s:f>
        <s:v>707514</s:v>
      </s:c>
      <s:c r="O4" s="156">
        <s:f>'Вафина Л. Ф.'!M8</s:f>
        <s:v>0.52642268205322151</s:v>
      </s:c>
    </s:row>
    <s:row r="5" spans="1:15">
      <s:c r="A5" s="571" t="s">
        <s:v>13</s:v>
      </s:c>
      <s:c r="B5" s="571"/>
      <s:c r="C5" s="614"/>
      <s:c r="D5" s="157">
        <s:f>'Ялта, Ленина, 18'!K9</s:f>
        <s:v>0.53477211982366624</s:v>
      </s:c>
      <s:c r="E5" s="158">
        <s:f>'Ялта, Ленина, 18'!J9</s:f>
        <s:v>493</s:v>
      </s:c>
      <s:c r="F5" s="159">
        <s:f>'Ялта, Ленина, 18'!M9</s:f>
        <s:v>0.53477211982366624</s:v>
      </s:c>
      <s:c r="G5" s="160">
        <s:f>'Рогалевич И. Е.'!K9</s:f>
        <s:v>0.63319992632595479</s:v>
      </s:c>
      <s:c r="H5" s="161">
        <s:f>'Рогалевич И. Е.'!J9</s:f>
        <s:v>228</s:v>
      </s:c>
      <s:c r="I5" s="162">
        <s:f>'Рогалевич И. Е.'!M9</s:f>
        <s:v>0.68372168721395987</s:v>
      </s:c>
      <s:c r="J5" s="163">
        <s:f>'Уразгильдеева Е. Р.'!K9</s:f>
        <s:v>0.4644233805662018</s:v>
      </s:c>
      <s:c r="K5" s="164">
        <s:f>'Уразгильдеева Е. Р.'!J9</s:f>
        <s:v>134</s:v>
      </s:c>
      <s:c r="L5" s="165">
        <s:f>'Уразгильдеева Е. Р.'!M9</s:f>
        <s:v>0.4644233805662018</s:v>
      </s:c>
      <s:c r="M5" s="163">
        <s:f>'Вафина Л. Ф.'!K9</s:f>
        <s:v>0.48301697565004503</s:v>
      </s:c>
      <s:c r="N5" s="164">
        <s:f>'Вафина Л. Ф.'!J9</s:f>
        <s:v>132</s:v>
      </s:c>
      <s:c r="O5" s="165">
        <s:f>'Вафина Л. Ф.'!M9</s:f>
        <s:v>0.48301697565004492</s:v>
      </s:c>
    </s:row>
    <s:row r="6" spans="1:15">
      <s:c r="A6" s="577" t="s">
        <s:v>14</s:v>
      </s:c>
      <s:c r="B6" s="577"/>
      <s:c r="C6" s="615"/>
      <s:c r="D6" s="157">
        <s:f>'Ялта, Ленина, 18'!K10</s:f>
        <s:v>1.0072066544336844</s:v>
      </s:c>
      <s:c r="E6" s="166">
        <s:f>'Ялта, Ленина, 18'!J10</s:f>
        <s:v>10160.700729927008</s:v>
      </s:c>
      <s:c r="F6" s="159">
        <s:f>'Ялта, Ленина, 18'!M10</s:f>
        <s:v>1.0072066544336844</s:v>
      </s:c>
      <s:c r="G6" s="160">
        <s:f>'Рогалевич И. Е.'!K10</s:f>
        <s:v>1.0603828045483212</s:v>
      </s:c>
      <s:c r="H6" s="167">
        <s:f>'Рогалевич И. Е.'!J10</s:f>
        <s:v>10697.141732283464</s:v>
      </s:c>
      <s:c r="I6" s="162">
        <s:f>'Рогалевич И. Е.'!M10</s:f>
        <s:v>1.0603828045483212</s:v>
      </s:c>
      <s:c r="J6" s="163">
        <s:f>'Уразгильдеева Е. Р.'!K10</s:f>
        <s:v>0.88964735329103894</s:v>
      </s:c>
      <s:c r="K6" s="167">
        <s:f>'Уразгильдеева Е. Р.'!J10</s:f>
        <s:v>8974.7625000000007</s:v>
      </s:c>
      <s:c r="L6" s="165">
        <s:f>'Уразгильдеева Е. Р.'!M10</s:f>
        <s:v>0.88964735329103894</s:v>
      </s:c>
      <s:c r="M6" s="163">
        <s:f>'Вафина Л. Ф.'!K10</s:f>
        <s:v>1.0164379546943421</s:v>
      </s:c>
      <s:c r="N6" s="164">
        <s:f>'Вафина Л. Ф.'!J10</s:f>
        <s:v>10253.826086956522</s:v>
      </s:c>
      <s:c r="O6" s="165">
        <s:f>'Вафина Л. Ф.'!M10</s:f>
        <s:v>1.0164379546943421</s:v>
      </s:c>
    </s:row>
    <s:row r="7" spans="1:15">
      <s:c r="A7" s="571" t="s">
        <s:v>16</s:v>
      </s:c>
      <s:c r="B7" s="571"/>
      <s:c r="C7" s="614"/>
      <s:c r="D7" s="157">
        <s:f>'Ялта, Ленина, 18'!K11</s:f>
        <s:v>1.0859853331252927</s:v>
      </s:c>
      <s:c r="E7" s="166">
        <s:f>'Ялта, Ленина, 18'!J11</s:f>
        <s:v>5647.1237322515217</s:v>
      </s:c>
      <s:c r="F7" s="159">
        <s:f>'Ялта, Ленина, 18'!M11</s:f>
        <s:v>1.0859853331252929</s:v>
      </s:c>
      <s:c r="G7" s="160">
        <s:f>'Рогалевич И. Е.'!K11</s:f>
        <s:v>1.1458645411605939</s:v>
      </s:c>
      <s:c r="H7" s="167">
        <s:f>'Рогалевич И. Е.'!J11</s:f>
        <s:v>5958.4956140350878</s:v>
      </s:c>
      <s:c r="I7" s="162">
        <s:f>'Рогалевич И. Е.'!M11</s:f>
        <s:v>1.1019051332783376</s:v>
      </s:c>
      <s:c r="J7" s="163">
        <s:f>'Уразгильдеева Е. Р.'!K11</s:f>
        <s:v>1.0303975315729046</s:v>
      </s:c>
      <s:c r="K7" s="167">
        <s:f>'Уразгильдеева Е. Р.'!J11</s:f>
        <s:v>5358.0671641791041</s:v>
      </s:c>
      <s:c r="L7" s="165">
        <s:f>'Уразгильдеева Е. Р.'!M11</s:f>
        <s:v>1.0303975315729046</s:v>
      </s:c>
      <s:c r="M7" s="163">
        <s:f>'Вафина Л. Ф.'!K11</s:f>
        <s:v>1.0307604895104894</s:v>
      </s:c>
      <s:c r="N7" s="164">
        <s:f>'Вафина Л. Ф.'!J11</s:f>
        <s:v>5359.954545454545</s:v>
      </s:c>
      <s:c r="O7" s="165">
        <s:f>'Вафина Л. Ф.'!M11</s:f>
        <s:v>1.0898637285879262</s:v>
      </s:c>
    </s:row>
    <s:row r="8" spans="1:15">
      <s:c r="A8" s="571" t="s">
        <s:v>17</s:v>
      </s:c>
      <s:c r="B8" s="571"/>
      <s:c r="C8" s="614"/>
      <s:c r="D8" s="157">
        <s:f>'Ялта, Ленина, 18'!K12</s:f>
        <s:v>0.92745880051170138</s:v>
      </s:c>
      <s:c r="E8" s="168">
        <s:f>'Ялта, Ленина, 18'!J12</s:f>
        <s:v>1.7992700729927007</s:v>
      </s:c>
      <s:c r="F8" s="159">
        <s:f>'Ялта, Ленина, 18'!M12</s:f>
        <s:v>0.92745880051170138</s:v>
      </s:c>
      <s:c r="G8" s="160">
        <s:f>'Рогалевич И. Е.'!K12</s:f>
        <s:v>0.92539978894390773</s:v>
      </s:c>
      <s:c r="H8" s="169">
        <s:f>'Рогалевич И. Е.'!J12</s:f>
        <s:v>1.795275590551181</s:v>
      </s:c>
      <s:c r="I8" s="162">
        <s:f>'Рогалевич И. Е.'!M12</s:f>
        <s:v>0.92539978894390773</s:v>
      </s:c>
      <s:c r="J8" s="163">
        <s:f>'Уразгильдеева Е. Р.'!K12</s:f>
        <s:v>0.86340206185567014</s:v>
      </s:c>
      <s:c r="K8" s="170">
        <s:f>'Уразгильдеева Е. Р.'!J12</s:f>
        <s:v>1.675</s:v>
      </s:c>
      <s:c r="L8" s="165">
        <s:f>'Уразгильдеева Е. Р.'!M12</s:f>
        <s:v>0.86340206185567014</s:v>
      </s:c>
      <s:c r="M8" s="163">
        <s:f>'Вафина Л. Ф.'!K12</s:f>
        <s:v>0.98610488570147925</s:v>
      </s:c>
      <s:c r="N8" s="170">
        <s:f>'Вафина Л. Ф.'!J12</s:f>
        <s:v>1.9130434782608696</s:v>
      </s:c>
      <s:c r="O8" s="165">
        <s:f>'Вафина Л. Ф.'!M12</s:f>
        <s:v>0.98610488570147925</s:v>
      </s:c>
    </s:row>
    <s:row r="9" spans="1:15">
      <s:c r="A9" s="571" t="s">
        <s:v>18</s:v>
      </s:c>
      <s:c r="B9" s="571"/>
      <s:c r="C9" s="614"/>
      <s:c r="D9" s="157">
        <s:f>'Ялта, Ленина, 18'!K13</s:f>
        <s:v>0.57659932659932667</s:v>
      </s:c>
      <s:c r="E9" s="158">
        <s:f>'Ялта, Ленина, 18'!J13</s:f>
        <s:v>274</s:v>
      </s:c>
      <s:c r="F9" s="159">
        <s:f>'Ялта, Ленина, 18'!M13</s:f>
        <s:v>0.57659932659932689</s:v>
      </s:c>
      <s:c r="G9" s="160">
        <s:f>'Рогалевич И. Е.'!K13</s:f>
        <s:v>0.68424472740433651</s:v>
      </s:c>
      <s:c r="H9" s="161">
        <s:f>'Рогалевич И. Е.'!J13</s:f>
        <s:v>127</s:v>
      </s:c>
      <s:c r="I9" s="162">
        <s:f>'Рогалевич И. Е.'!M13</s:f>
        <s:v>0.73883925129726102</s:v>
      </s:c>
      <s:c r="J9" s="163">
        <s:f>'Уразгильдеева Е. Р.'!K13</s:f>
        <s:v>0.53789931838712324</s:v>
      </s:c>
      <s:c r="K9" s="164">
        <s:f>'Уразгильдеева Е. Р.'!J13</s:f>
        <s:v>80</s:v>
      </s:c>
      <s:c r="L9" s="165">
        <s:f>'Уразгильдеева Е. Р.'!M13</s:f>
        <s:v>0.53789931838712324</s:v>
      </s:c>
      <s:c r="M9" s="163">
        <s:f>'Вафина Л. Ф.'!K13</s:f>
        <s:v>0.48982312394329564</s:v>
      </s:c>
      <s:c r="N9" s="164">
        <s:f>'Вафина Л. Ф.'!J13</s:f>
        <s:v>69</s:v>
      </s:c>
      <s:c r="O9" s="165">
        <s:f>'Вафина Л. Ф.'!M13</s:f>
        <s:v>0.48982312394329558</s:v>
      </s:c>
    </s:row>
    <s:row r="10" spans="1:15">
      <s:c r="A10" s="571" t="s">
        <s:v>64</s:v>
      </s:c>
      <s:c r="B10" s="571"/>
      <s:c r="C10" s="614"/>
      <s:c r="D10" s="157">
        <s:f>'Ялта, Ленина, 18'!K14</s:f>
        <s:v>1</s:v>
      </s:c>
      <s:c r="E10" s="171">
        <s:f>'Ялта, Ленина, 18'!J14</s:f>
        <s:v>31</s:v>
      </s:c>
      <s:c r="F10" s="159"/>
      <s:c r="G10" s="160">
        <s:f>'Рогалевич И. Е.'!K14</s:f>
        <s:v>1</s:v>
      </s:c>
      <s:c r="H10" s="161">
        <s:f>'Рогалевич И. Е.'!J14</s:f>
        <s:v>28</s:v>
      </s:c>
      <s:c r="I10" s="162"/>
      <s:c r="J10" s="163">
        <s:f>'Уразгильдеева Е. Р.'!K14</s:f>
        <s:v>1</s:v>
      </s:c>
      <s:c r="K10" s="161">
        <s:f>'Уразгильдеева Е. Р.'!J14</s:f>
        <s:v>20</s:v>
      </s:c>
      <s:c r="L10" s="165"/>
      <s:c r="M10" s="163">
        <s:f>'Вафина Л. Ф.'!K14</s:f>
        <s:v>1</s:v>
      </s:c>
      <s:c r="N10" s="164">
        <s:f>'Вафина Л. Ф.'!J14</s:f>
        <s:v>19</s:v>
      </s:c>
      <s:c r="O10" s="165"/>
    </s:row>
    <s:row r="11" spans="1:15">
      <s:c r="A11" s="571" t="s">
        <s:v>20</s:v>
      </s:c>
      <s:c r="B11" s="571"/>
      <s:c r="C11" s="614"/>
      <s:c r="D11" s="157">
        <s:f>'Ялта, Ленина, 18'!K15</s:f>
        <s:v>0.58075467869282305</s:v>
      </s:c>
      <s:c r="E11" s="172">
        <s:f>'Ялта, Ленина, 18'!J15</s:f>
        <s:v>89807.483870967742</s:v>
      </s:c>
      <s:c r="F11" s="159">
        <s:f>'Ялта, Ленина, 18'!M15</s:f>
        <s:v>0.58075467869282305</s:v>
      </s:c>
      <s:c r="G11" s="160">
        <s:f>'Рогалевич И. Е.'!K15</s:f>
        <s:v>0.31375714747976352</s:v>
      </s:c>
      <s:c r="H11" s="167">
        <s:f>'Рогалевич И. Е.'!J15</s:f>
        <s:v>48519.178571428572</s:v>
      </s:c>
      <s:c r="I11" s="162">
        <s:f>'Рогалевич И. Е.'!M15</s:f>
        <s:v>0.31375714747976352</s:v>
      </s:c>
      <s:c r="J11" s="163">
        <s:f>'Уразгильдеева Е. Р.'!K15</s:f>
        <s:v>0.23214703663318359</s:v>
      </s:c>
      <s:c r="K11" s="167">
        <s:f>'Уразгильдеева Е. Р.'!J15</s:f>
        <s:v>35899.050000000003</s:v>
      </s:c>
      <s:c r="L11" s="165">
        <s:f>'Уразгильдеева Е. Р.'!M15</s:f>
        <s:v>0.23214703663318359</s:v>
      </s:c>
      <s:c r="M11" s="163">
        <s:f>'Вафина Л. Ф.'!K15</s:f>
        <s:v>0.24080285144107719</s:v>
      </s:c>
      <s:c r="N11" s="164">
        <s:f>'Вафина Л. Ф.'!J15</s:f>
        <s:v>37237.57894736842</s:v>
      </s:c>
      <s:c r="O11" s="165">
        <s:f>'Вафина Л. Ф.'!M15</s:f>
        <s:v>0.24080285144107719</s:v>
      </s:c>
    </s:row>
    <s:row r="12" spans="1:15">
      <s:c r="A12" s="605" t="s">
        <s:v>23</s:v>
      </s:c>
      <s:c r="B12" s="606"/>
      <s:c r="C12" s="607"/>
      <s:c r="D12" s="157">
        <s:f>'Ялта, Ленина, 18'!K17</s:f>
        <s:v>0.5532407407407407</s:v>
      </s:c>
      <s:c r="E12" s="171">
        <s:f>'Ялта, Ленина, 18'!J17</s:f>
        <s:v>1195</s:v>
      </s:c>
      <s:c r="F12" s="159">
        <s:f>'Ялта, Ленина, 18'!M17</s:f>
        <s:v>0.5532407407407407</s:v>
      </s:c>
      <s:c r="G12" s="160">
        <s:f>'Рогалевич И. Е.'!K17</s:f>
        <s:v>0.61872964169381106</s:v>
      </s:c>
      <s:c r="H12" s="161">
        <s:f>'Рогалевич И. Е.'!J17</s:f>
        <s:v>522</s:v>
      </s:c>
      <s:c r="I12" s="162">
        <s:f>'Рогалевич И. Е.'!M17</s:f>
        <s:v>0.61872964169381106</s:v>
      </s:c>
      <s:c r="J12" s="163">
        <s:f>'Уразгильдеева Е. Р.'!K17</s:f>
        <s:v>0.5310411020776874</s:v>
      </s:c>
      <s:c r="K12" s="161">
        <s:f>'Уразгильдеева Е. Р.'!J17</s:f>
        <s:v>359</s:v>
      </s:c>
      <s:c r="L12" s="165">
        <s:f>'Уразгильдеева Е. Р.'!M17</s:f>
        <s:v>0.5310411020776874</s:v>
      </s:c>
      <s:c r="M12" s="163">
        <s:f>'Вафина Л. Ф.'!K17</s:f>
        <s:v>0.48882927992370057</s:v>
      </s:c>
      <s:c r="N12" s="161">
        <s:f>'Вафина Л. Ф.'!J17</s:f>
        <s:v>313</s:v>
      </s:c>
      <s:c r="O12" s="165">
        <s:f>'Вафина Л. Ф.'!M17</s:f>
        <s:v>0.48882927992370057</s:v>
      </s:c>
    </s:row>
    <s:row r="13" spans="1:15">
      <s:c r="A13" s="605" t="s">
        <s:v>22</s:v>
      </s:c>
      <s:c r="B13" s="606"/>
      <s:c r="C13" s="607"/>
      <s:c r="D13" s="157">
        <s:f>'Ялта, Ленина, 18'!S19</s:f>
        <s:v>1.1156187500000001</s:v>
      </s:c>
      <s:c r="E13" s="172">
        <s:f>'Ялта, Ленина, 18'!T18</s:f>
        <s:v>535497</s:v>
      </s:c>
      <s:c r="F13" s="159">
        <s:f>'Ялта, Ленина, 18'!T19</s:f>
        <s:v>1.1156187500000001</s:v>
      </s:c>
      <s:c r="G13" s="160">
        <s:f>'Рогалевич И. Е.'!S19</s:f>
        <s:v>1.320006351791531</s:v>
      </s:c>
      <s:c r="H13" s="167">
        <s:f>'Рогалевич И. Е.'!T18</s:f>
        <s:v>247476</s:v>
      </s:c>
      <s:c r="I13" s="162">
        <s:f>'Рогалевич И. Е.'!T19</s:f>
        <s:v>1.320006351791531</s:v>
      </s:c>
      <s:c r="J13" s="163">
        <s:f>'Уразгильдеева Е. Р.'!S19</s:f>
        <s:v>0.9859813516260163</s:v>
      </s:c>
      <s:c r="K13" s="167">
        <s:f>'Уразгильдеева Е. Р.'!T18</s:f>
        <s:v>148123</s:v>
      </s:c>
      <s:c r="L13" s="165">
        <s:f>'Уразгильдеева Е. Р.'!T19</s:f>
        <s:v>0.9859813516260163</s:v>
      </s:c>
      <s:c r="M13" s="163">
        <s:f>'Вафина Л. Ф.'!S19</s:f>
        <s:v>0.85346078326180264</s:v>
      </s:c>
      <s:c r="N13" s="173">
        <s:f>'Вафина Л. Ф.'!T18</s:f>
        <s:v>121439</s:v>
      </s:c>
      <s:c r="O13" s="165">
        <s:f>'Вафина Л. Ф.'!T19</s:f>
        <s:v>0.85346078326180252</s:v>
      </s:c>
    </s:row>
    <s:row r="14" spans="1:15">
      <s:c r="A14" s="605" t="s">
        <s:v>15</s:v>
      </s:c>
      <s:c r="B14" s="606"/>
      <s:c r="C14" s="607"/>
      <s:c r="D14" s="174">
        <s:f>'Ялта, Ленина, 18'!S13</s:f>
        <s:v>0.84304852941176467</s:v>
      </s:c>
      <s:c r="E14" s="175">
        <s:f>'Ялта, Ленина, 18'!T12</s:f>
        <s:v>573273</s:v>
      </s:c>
      <s:c r="F14" s="176">
        <s:f>'Ялта, Ленина, 18'!T13</s:f>
        <s:v>0.84304852941176467</s:v>
      </s:c>
      <s:c r="G14" s="177">
        <s:f>'Рогалевич И. Е.'!S13</s:f>
        <s:v>1.0983442613527497</s:v>
      </s:c>
      <s:c r="H14" s="178">
        <s:f>'Рогалевич И. Е.'!T12</s:f>
        <s:v>291718</s:v>
      </s:c>
      <s:c r="I14" s="179">
        <s:f>'Рогалевич И. Е.'!T13</s:f>
        <s:v>1.0983442613527497</s:v>
      </s:c>
      <s:c r="J14" s="180">
        <s:f>'Уразгильдеева Е. Р.'!S13</s:f>
        <s:v>0.60182941176470595</s:v>
      </s:c>
      <s:c r="K14" s="181">
        <s:f>'Уразгильдеева Е. Р.'!T12</s:f>
        <s:v>128084</s:v>
      </s:c>
      <s:c r="L14" s="182">
        <s:f>'Уразгильдеева Е. Р.'!T13</s:f>
        <s:v>0.60182941176470595</s:v>
      </s:c>
      <s:c r="M14" s="180">
        <s:f>'Вафина Л. Ф.'!S13</s:f>
        <s:v>0.76134944458470077</s:v>
      </s:c>
      <s:c r="N14" s="181">
        <s:f>'Вафина Л. Ф.'!T12</s:f>
        <s:v>153471</s:v>
      </s:c>
      <s:c r="O14" s="182">
        <s:f>'Вафина Л. Ф.'!T13</s:f>
        <s:v>0.76134944458470077</s:v>
      </s:c>
    </s:row>
    <s:row r="15" spans="1:15">
      <s:c r="A15" s="638" t="s">
        <s:v>65</s:v>
      </s:c>
      <s:c r="B15" s="638"/>
      <s:c r="C15" s="638"/>
      <s:c r="D15" s="611">
        <s:f>'Ялта, Ленина, 18'!J16</s:f>
        <s:v>-2009785.5999999996</s:v>
      </s:c>
      <s:c r="E15" s="612"/>
      <s:c r="F15" s="613"/>
      <s:c r="G15" s="639">
        <s:f>'Рогалевич И. Е.'!N8</s:f>
        <s:v>-461739.1321216689</s:v>
      </s:c>
      <s:c r="H15" s="640"/>
      <s:c r="I15" s="641"/>
      <s:c r="J15" s="616">
        <s:f>'Уразгильдеева Е. Р.'!N8</s:f>
        <s:v>-782374.12671755708</s:v>
      </s:c>
      <s:c r="K15" s="617"/>
      <s:c r="L15" s="618"/>
      <s:c r="M15" s="616">
        <s:f>'Вафина Л. Ф.'!N8</s:f>
        <s:v>-672985.60387282004</s:v>
      </s:c>
      <s:c r="N15" s="617"/>
      <s:c r="O15" s="618"/>
    </s:row>
    <s:row r="36" spans="1:15" ht="16">
      <s:c r="A36" s="619"/>
      <s:c r="B36" s="620"/>
      <s:c r="C36" s="620"/>
      <s:c r="D36" s="620"/>
      <s:c r="E36" s="620"/>
      <s:c r="F36" s="620"/>
      <s:c r="G36" s="620"/>
      <s:c r="H36" s="620"/>
      <s:c r="I36" s="620"/>
      <s:c r="J36" s="620"/>
      <s:c r="K36" s="620"/>
      <s:c r="L36" s="620"/>
      <s:c r="M36" s="620"/>
      <s:c r="N36" s="620"/>
      <s:c r="O36" s="621"/>
    </s:row>
    <s:row r="37" spans="1:15">
      <s:c r="A37" s="622" t="s">
        <s:v>3</s:v>
      </s:c>
      <s:c r="B37" s="623"/>
      <s:c r="C37" s="624"/>
      <s:c r="D37" s="628">
        <s:f>'Ялта, Ленина, 18'!I38</s:f>
        <s:v>20</s:v>
      </s:c>
      <s:c r="E37" s="629"/>
      <s:c r="F37" s="630"/>
      <s:c r="G37" s="631" t="e">
        <s:f>График!#REF!</s:f>
        <s:v>#REF!</s:v>
      </s:c>
      <s:c r="H37" s="632"/>
      <s:c r="I37" s="633"/>
      <s:c r="J37" s="631" t="e">
        <s:f>График!#REF!</s:f>
        <s:v>#REF!</s:v>
      </s:c>
      <s:c r="K37" s="632"/>
      <s:c r="L37" s="633"/>
      <s:c r="M37" s="631" t="e">
        <s:f>График!#REF!</s:f>
        <s:v>#REF!</s:v>
      </s:c>
      <s:c r="N37" s="632"/>
      <s:c r="O37" s="633"/>
    </s:row>
    <s:row r="38" spans="1:15">
      <s:c r="A38" s="625"/>
      <s:c r="B38" s="626"/>
      <s:c r="C38" s="627"/>
      <s:c r="D38" s="634" t="s">
        <s:v>62</s:v>
      </s:c>
      <s:c r="E38" s="635"/>
      <s:c r="F38" s="183" t="s">
        <s:v>63</s:v>
      </s:c>
      <s:c r="G38" s="636" t="s">
        <s:v>5</s:v>
      </s:c>
      <s:c r="H38" s="637"/>
      <s:c r="I38" s="183" t="s">
        <s:v>63</s:v>
      </s:c>
      <s:c r="J38" s="636" t="s">
        <s:v>5</s:v>
      </s:c>
      <s:c r="K38" s="637"/>
      <s:c r="L38" s="184" t="s">
        <s:v>63</s:v>
      </s:c>
      <s:c r="M38" s="636" t="s">
        <s:v>5</s:v>
      </s:c>
      <s:c r="N38" s="637"/>
      <s:c r="O38" s="184" t="s">
        <s:v>63</s:v>
      </s:c>
    </s:row>
    <s:row r="39" spans="1:15">
      <s:c r="A39" s="615" t="s">
        <s:v>12</s:v>
      </s:c>
      <s:c r="B39" s="578"/>
      <s:c r="C39" s="579"/>
      <s:c r="D39" s="149">
        <s:f>'Ялта, Ленина, 18'!K43</s:f>
        <s:v>0</s:v>
      </s:c>
      <s:c r="E39" s="185">
        <s:f>'Ялта, Ленина, 18'!J43</s:f>
        <s:v>2</s:v>
      </s:c>
      <s:c r="F39" s="151">
        <s:f>'Ялта, Ленина, 18'!M43</s:f>
        <s:v>0</s:v>
      </s:c>
      <s:c r="G39" s="186">
        <s:f>'Рогалевич И. Е.'!K43</s:f>
        <s:v>0</s:v>
      </s:c>
      <s:c r="H39" s="187">
        <s:f>'Рогалевич И. Е.'!J43</s:f>
        <s:v>1.3333333333333333</s:v>
      </s:c>
      <s:c r="I39" s="151">
        <s:f>'Рогалевич И. Е.'!M43</s:f>
        <s:v>0</s:v>
      </s:c>
      <s:c r="J39" s="186">
        <s:f>'Уразгильдеева Е. Р.'!K43</s:f>
        <s:v>0</s:v>
      </s:c>
      <s:c r="K39" s="187">
        <s:f>'Уразгильдеева Е. Р.'!J43</s:f>
        <s:v>1.5</s:v>
      </s:c>
      <s:c r="L39" s="156">
        <s:f>'Уразгильдеева Е. Р.'!M43</s:f>
        <s:v>0</s:v>
      </s:c>
      <s:c r="M39" s="186">
        <s:f>'Вафина Л. Ф.'!K43</s:f>
        <s:v>0</s:v>
      </s:c>
      <s:c r="N39" s="187">
        <s:f>'Вафина Л. Ф.'!J43</s:f>
        <s:v>1</s:v>
      </s:c>
      <s:c r="O39" s="156">
        <s:f>'Вафина Л. Ф.'!M43</s:f>
        <s:v>0</s:v>
      </s:c>
    </s:row>
    <s:row r="40" spans="1:15">
      <s:c r="A40" s="614" t="s">
        <s:v>13</s:v>
      </s:c>
      <s:c r="B40" s="572"/>
      <s:c r="C40" s="573"/>
      <s:c r="D40" s="157">
        <s:f>'Ялта, Ленина, 18'!K44</s:f>
        <s:v>0</s:v>
      </s:c>
      <s:c r="E40" s="171">
        <s:f>'Ялта, Ленина, 18'!J44</s:f>
        <s:v>2</s:v>
      </s:c>
      <s:c r="F40" s="159">
        <s:f>'Ялта, Ленина, 18'!M44</s:f>
        <s:v>0</s:v>
      </s:c>
      <s:c r="G40" s="188">
        <s:f>'Рогалевич И. Е.'!K44</s:f>
        <s:v>0</s:v>
      </s:c>
      <s:c r="H40" s="189">
        <s:f>'Рогалевич И. Е.'!J44</s:f>
        <s:v>1.5</s:v>
      </s:c>
      <s:c r="I40" s="159">
        <s:f>'Рогалевич И. Е.'!M44</s:f>
        <s:v>0</s:v>
      </s:c>
      <s:c r="J40" s="188">
        <s:f>'Уразгильдеева Е. Р.'!K44</s:f>
        <s:v>16991</s:v>
      </s:c>
      <s:c r="K40" s="190">
        <s:f>'Уразгильдеева Е. Р.'!J44</s:f>
        <s:v>1.8333333333333333</s:v>
      </s:c>
      <s:c r="L40" s="165">
        <s:f>'Уразгильдеева Е. Р.'!M44</s:f>
        <s:v>0</s:v>
      </s:c>
      <s:c r="M40" s="188">
        <s:f>'Вафина Л. Ф.'!K44</s:f>
        <s:v>0</s:v>
      </s:c>
      <s:c r="N40" s="190" t="str">
        <s:f>'Вафина Л. Ф.'!J44</s:f>
        <s:v/>
      </s:c>
      <s:c r="O40" s="165">
        <s:f>'Вафина Л. Ф.'!M44</s:f>
        <s:v>0</s:v>
      </s:c>
    </s:row>
    <s:row r="41" spans="1:15">
      <s:c r="A41" s="615" t="s">
        <s:v>14</s:v>
      </s:c>
      <s:c r="B41" s="578"/>
      <s:c r="C41" s="579"/>
      <s:c r="D41" s="157">
        <s:f>'Ялта, Ленина, 18'!K45</s:f>
        <s:v>0</s:v>
      </s:c>
      <s:c r="E41" s="172">
        <s:f>'Ялта, Ленина, 18'!J45</s:f>
        <s:v>1.3333333333333333</s:v>
      </s:c>
      <s:c r="F41" s="159">
        <s:f>'Ялта, Ленина, 18'!M45</s:f>
        <s:v>0</s:v>
      </s:c>
      <s:c r="G41" s="188">
        <s:f>'Рогалевич И. Е.'!K45</s:f>
        <s:v>0</s:v>
      </s:c>
      <s:c r="H41" s="191">
        <s:f>'Рогалевич И. Е.'!J45</s:f>
        <s:v>1</s:v>
      </s:c>
      <s:c r="I41" s="159">
        <s:f>'Рогалевич И. Е.'!M45</s:f>
        <s:v>0</s:v>
      </s:c>
      <s:c r="J41" s="188">
        <s:f>'Уразгильдеева Е. Р.'!K45</s:f>
        <s:v>0</s:v>
      </s:c>
      <s:c r="K41" s="191" t="str">
        <s:f>'Уразгильдеева Е. Р.'!J45</s:f>
        <s:v/>
      </s:c>
      <s:c r="L41" s="165">
        <s:f>'Уразгильдеева Е. Р.'!M45</s:f>
        <s:v>0</s:v>
      </s:c>
      <s:c r="M41" s="188">
        <s:f>'Вафина Л. Ф.'!K45</s:f>
        <s:v>0</s:v>
      </s:c>
      <s:c r="N41" s="190">
        <s:f>'Вафина Л. Ф.'!J45</s:f>
        <s:v>1</s:v>
      </s:c>
      <s:c r="O41" s="165">
        <s:f>'Вафина Л. Ф.'!M45</s:f>
        <s:v>0</s:v>
      </s:c>
    </s:row>
    <s:row r="42" spans="1:15">
      <s:c r="A42" s="614" t="s">
        <s:v>16</s:v>
      </s:c>
      <s:c r="B42" s="572"/>
      <s:c r="C42" s="573"/>
      <s:c r="D42" s="157">
        <s:f>'Ялта, Ленина, 18'!K46</s:f>
        <s:v>0</s:v>
      </s:c>
      <s:c r="E42" s="172">
        <s:f>'Ялта, Ленина, 18'!J46</s:f>
        <s:v>2</s:v>
      </s:c>
      <s:c r="F42" s="159">
        <s:f>'Ялта, Ленина, 18'!M46</s:f>
        <s:v>0</s:v>
      </s:c>
      <s:c r="G42" s="188">
        <s:f>'Рогалевич И. Е.'!K46</s:f>
        <s:v>25684</s:v>
      </s:c>
      <s:c r="H42" s="191">
        <s:f>'Рогалевич И. Е.'!J46</s:f>
        <s:v>1.6</s:v>
      </s:c>
      <s:c r="I42" s="159">
        <s:f>'Рогалевич И. Е.'!M46</s:f>
        <s:v>0</s:v>
      </s:c>
      <s:c r="J42" s="188">
        <s:f>'Уразгильдеева Е. Р.'!K46</s:f>
        <s:v>0</s:v>
      </s:c>
      <s:c r="K42" s="191" t="str">
        <s:f>'Уразгильдеева Е. Р.'!J46</s:f>
        <s:v/>
      </s:c>
      <s:c r="L42" s="165">
        <s:f>'Уразгильдеева Е. Р.'!M46</s:f>
        <s:v>0</s:v>
      </s:c>
      <s:c r="M42" s="188">
        <s:f>'Вафина Л. Ф.'!K46</s:f>
        <s:v>0</s:v>
      </s:c>
      <s:c r="N42" s="190">
        <s:f>'Вафина Л. Ф.'!J46</s:f>
        <s:v>2</s:v>
      </s:c>
      <s:c r="O42" s="165">
        <s:f>'Вафина Л. Ф.'!M46</s:f>
        <s:v>0</s:v>
      </s:c>
    </s:row>
    <s:row r="43" spans="1:15">
      <s:c r="A43" s="614" t="s">
        <s:v>17</s:v>
      </s:c>
      <s:c r="B43" s="572"/>
      <s:c r="C43" s="573"/>
      <s:c r="D43" s="157">
        <s:f>'Ялта, Ленина, 18'!K47</s:f>
        <s:v>0</s:v>
      </s:c>
      <s:c r="E43" s="192">
        <s:f>'Ялта, Ленина, 18'!J47</s:f>
        <s:v>1</s:v>
      </s:c>
      <s:c r="F43" s="159">
        <s:f>'Ялта, Ленина, 18'!M47</s:f>
        <s:v>0</s:v>
      </s:c>
      <s:c r="G43" s="188">
        <s:f>'Рогалевич И. Е.'!K47</s:f>
        <s:v>8993</s:v>
      </s:c>
      <s:c r="H43" s="193">
        <s:f>'Рогалевич И. Е.'!J47</s:f>
        <s:v>1</s:v>
      </s:c>
      <s:c r="I43" s="159">
        <s:f>'Рогалевич И. Е.'!M47</s:f>
        <s:v>0</s:v>
      </s:c>
      <s:c r="J43" s="188">
        <s:f>'Уразгильдеева Е. Р.'!K47</s:f>
        <s:v>0</s:v>
      </s:c>
      <s:c r="K43" s="194" t="str">
        <s:f>'Уразгильдеева Е. Р.'!J47</s:f>
        <s:v/>
      </s:c>
      <s:c r="L43" s="165">
        <s:f>'Уразгильдеева Е. Р.'!M47</s:f>
        <s:v>0</s:v>
      </s:c>
      <s:c r="M43" s="188">
        <s:f>'Вафина Л. Ф.'!K47</s:f>
        <s:v>0</s:v>
      </s:c>
      <s:c r="N43" s="194">
        <s:f>'Вафина Л. Ф.'!J47</s:f>
        <s:v>2</s:v>
      </s:c>
      <s:c r="O43" s="165">
        <s:f>'Вафина Л. Ф.'!M47</s:f>
        <s:v>0</s:v>
      </s:c>
    </s:row>
    <s:row r="44" spans="1:15">
      <s:c r="A44" s="614" t="s">
        <s:v>18</s:v>
      </s:c>
      <s:c r="B44" s="572"/>
      <s:c r="C44" s="573"/>
      <s:c r="D44" s="157">
        <s:f>'Ялта, Ленина, 18'!K48</s:f>
        <s:v>25684</s:v>
      </s:c>
      <s:c r="E44" s="171">
        <s:f>'Ялта, Ленина, 18'!J48</s:f>
        <s:v>1.5384615384615385</s:v>
      </s:c>
      <s:c r="F44" s="159">
        <s:f>'Ялта, Ленина, 18'!M48</s:f>
        <s:v>0</s:v>
      </s:c>
      <s:c r="G44" s="188">
        <s:f>'Рогалевич И. Е.'!K48</s:f>
        <s:v>31985</s:v>
      </s:c>
      <s:c r="H44" s="189">
        <s:f>'Рогалевич И. Е.'!J48</s:f>
        <s:v>1.5714285714285714</s:v>
      </s:c>
      <s:c r="I44" s="159">
        <s:f>'Рогалевич И. Е.'!M48</s:f>
        <s:v>0</s:v>
      </s:c>
      <s:c r="J44" s="188">
        <s:f>'Уразгильдеева Е. Р.'!K48</s:f>
        <s:v>0</s:v>
      </s:c>
      <s:c r="K44" s="190" t="str">
        <s:f>'Уразгильдеева Е. Р.'!J48</s:f>
        <s:v/>
      </s:c>
      <s:c r="L44" s="165">
        <s:f>'Уразгильдеева Е. Р.'!M48</s:f>
        <s:v>0</s:v>
      </s:c>
      <s:c r="M44" s="188">
        <s:f>'Вафина Л. Ф.'!K48</s:f>
        <s:v>121439</s:v>
      </s:c>
      <s:c r="N44" s="190">
        <s:f>'Вафина Л. Ф.'!J48</s:f>
        <s:v>1.9130434782608696</s:v>
      </s:c>
      <s:c r="O44" s="165">
        <s:f>'Вафина Л. Ф.'!M48</s:f>
        <s:v>0</s:v>
      </s:c>
    </s:row>
    <s:row r="45" spans="1:15">
      <s:c r="A45" s="614" t="s">
        <s:v>64</s:v>
      </s:c>
      <s:c r="B45" s="572"/>
      <s:c r="C45" s="573"/>
      <s:c r="D45" s="157">
        <s:f>'Ялта, Ленина, 18'!K49</s:f>
        <s:v>8993</s:v>
      </s:c>
      <s:c r="E45" s="171">
        <s:f>'Ялта, Ленина, 18'!J49</s:f>
        <s:v>1</s:v>
      </s:c>
      <s:c r="F45" s="159"/>
      <s:c r="G45" s="188">
        <s:f>'Рогалевич И. Е.'!K49</s:f>
        <s:v>0</s:v>
      </s:c>
      <s:c r="H45" s="189">
        <s:f>'Рогалевич И. Е.'!J49</s:f>
        <s:v>2</s:v>
      </s:c>
      <s:c r="I45" s="159"/>
      <s:c r="J45" s="188">
        <s:f>'Уразгильдеева Е. Р.'!K49</s:f>
        <s:v>0</s:v>
      </s:c>
      <s:c r="K45" s="189">
        <s:f>'Уразгильдеева Е. Р.'!J49</s:f>
        <s:v>3</s:v>
      </s:c>
      <s:c r="L45" s="165"/>
      <s:c r="M45" s="188">
        <s:f>'Вафина Л. Ф.'!K49</s:f>
        <s:v>0</s:v>
      </s:c>
      <s:c r="N45" s="190">
        <s:f>'Вафина Л. Ф.'!J49</s:f>
        <s:v>0</s:v>
      </s:c>
      <s:c r="O45" s="165"/>
    </s:row>
    <s:row r="46" spans="1:15">
      <s:c r="A46" s="614" t="s">
        <s:v>20</s:v>
      </s:c>
      <s:c r="B46" s="572"/>
      <s:c r="C46" s="573"/>
      <s:c r="D46" s="157">
        <s:f>'Ялта, Ленина, 18'!K50</s:f>
        <s:v>0</s:v>
      </s:c>
      <s:c r="E46" s="172">
        <s:f>'Ялта, Ленина, 18'!J50</s:f>
        <s:v>1.25</s:v>
      </s:c>
      <s:c r="F46" s="159">
        <s:f>'Ялта, Ленина, 18'!M50</s:f>
        <s:v>0</s:v>
      </s:c>
      <s:c r="G46" s="188">
        <s:f>'Рогалевич И. Е.'!K50</s:f>
        <s:v>0</s:v>
      </s:c>
      <s:c r="H46" s="191">
        <s:f>'Рогалевич И. Е.'!J50</s:f>
        <s:v>2.4</s:v>
      </s:c>
      <s:c r="I46" s="159">
        <s:f>'Рогалевич И. Е.'!M50</s:f>
        <s:v>0</s:v>
      </s:c>
      <s:c r="J46" s="188">
        <s:f>'Уразгильдеева Е. Р.'!K50</s:f>
        <s:v>148123</s:v>
      </s:c>
      <s:c r="K46" s="191">
        <s:f>'Уразгильдеева Е. Р.'!J50</s:f>
        <s:v>1.675</s:v>
      </s:c>
      <s:c r="L46" s="165">
        <s:f>'Уразгильдеева Е. Р.'!M50</s:f>
        <s:v>0</s:v>
      </s:c>
      <s:c r="M46" s="188">
        <s:f>'Вафина Л. Ф.'!K50</s:f>
        <s:v>0</s:v>
      </s:c>
      <s:c r="N46" s="190">
        <s:f>'Вафина Л. Ф.'!J50</s:f>
        <s:v>0</s:v>
      </s:c>
      <s:c r="O46" s="165">
        <s:f>'Вафина Л. Ф.'!M50</s:f>
        <s:v>0</s:v>
      </s:c>
    </s:row>
    <s:row r="47" spans="1:15">
      <s:c r="A47" s="605" t="s">
        <s:v>23</s:v>
      </s:c>
      <s:c r="B47" s="606"/>
      <s:c r="C47" s="607"/>
      <s:c r="D47" s="157">
        <s:f>'Ялта, Ленина, 18'!K52</s:f>
        <s:v>0</s:v>
      </s:c>
      <s:c r="E47" s="171">
        <s:f>'Ялта, Ленина, 18'!J52</s:f>
        <s:v>1.4</s:v>
      </s:c>
      <s:c r="F47" s="159">
        <s:f>'Ялта, Ленина, 18'!M52</s:f>
        <s:v>0</s:v>
      </s:c>
      <s:c r="G47" s="188">
        <s:f>'Рогалевич И. Е.'!K52</s:f>
        <s:v>0</s:v>
      </s:c>
      <s:c r="H47" s="189">
        <s:f>'Рогалевич И. Е.'!J52</s:f>
        <s:v>1.6666666666666667</s:v>
      </s:c>
      <s:c r="I47" s="159">
        <s:f>'Рогалевич И. Е.'!M52</s:f>
        <s:v>0</s:v>
      </s:c>
      <s:c r="J47" s="188">
        <s:f>'Уразгильдеева Е. Р.'!K52</s:f>
        <s:v>0</s:v>
      </s:c>
      <s:c r="K47" s="189">
        <s:f>'Уразгильдеева Е. Р.'!J52</s:f>
        <s:v>0</s:v>
      </s:c>
      <s:c r="L47" s="165">
        <s:f>'Уразгильдеева Е. Р.'!M52</s:f>
        <s:v>0</s:v>
      </s:c>
      <s:c r="M47" s="188">
        <s:f>'Вафина Л. Ф.'!K52</s:f>
        <s:v>0</s:v>
      </s:c>
      <s:c r="N47" s="189">
        <s:f>'Вафина Л. Ф.'!J52</s:f>
        <s:v>0</s:v>
      </s:c>
      <s:c r="O47" s="165">
        <s:f>'Вафина Л. Ф.'!M52</s:f>
        <s:v>0</s:v>
      </s:c>
    </s:row>
    <s:row r="48" spans="1:15">
      <s:c r="A48" s="605" t="s">
        <s:v>22</s:v>
      </s:c>
      <s:c r="B48" s="606"/>
      <s:c r="C48" s="607"/>
      <s:c r="D48" s="157">
        <s:f>'Ялта, Ленина, 18'!S54</s:f>
        <s:v>66874</s:v>
      </s:c>
      <s:c r="E48" s="172">
        <s:f>'Ялта, Ленина, 18'!T53</s:f>
        <s:v>18</s:v>
      </s:c>
      <s:c r="F48" s="159">
        <s:f>'Ялта, Ленина, 18'!T54</s:f>
        <s:v>16</s:v>
      </s:c>
      <s:c r="G48" s="188">
        <s:f>'Рогалевич И. Е.'!S54</s:f>
        <s:v>1872394.4061068702</s:v>
      </s:c>
      <s:c r="H48" s="191">
        <s:f>'Рогалевич И. Е.'!T53</s:f>
        <s:v>136.07584732824427</s:v>
      </s:c>
      <s:c r="I48" s="159">
        <s:f>'Рогалевич И. Е.'!T54</s:f>
        <s:v>224</s:v>
      </s:c>
      <s:c r="J48" s="188">
        <s:f>'Уразгильдеева Е. Р.'!S54</s:f>
        <s:v>0</s:v>
      </s:c>
      <s:c r="K48" s="191">
        <s:f>'Уразгильдеева Е. Р.'!T53</s:f>
        <s:v>0</s:v>
      </s:c>
      <s:c r="L48" s="165">
        <s:f>'Уразгильдеева Е. Р.'!T54</s:f>
        <s:v>0</s:v>
      </s:c>
      <s:c r="M48" s="188">
        <s:f>'Вафина Л. Ф.'!S54</s:f>
        <s:v>0</s:v>
      </s:c>
      <s:c r="N48" s="195">
        <s:f>'Вафина Л. Ф.'!T53</s:f>
        <s:v>0</s:v>
      </s:c>
      <s:c r="O48" s="165">
        <s:f>'Вафина Л. Ф.'!T54</s:f>
        <s:v>0</s:v>
      </s:c>
    </s:row>
    <s:row r="49" spans="1:15">
      <s:c r="A49" s="605" t="s">
        <s:v>15</s:v>
      </s:c>
      <s:c r="B49" s="606"/>
      <s:c r="C49" s="607"/>
      <s:c r="D49" s="196">
        <s:f>'Ялта, Ленина, 18'!S48</s:f>
        <s:v>123588</s:v>
      </s:c>
      <s:c r="E49" s="175">
        <s:f>'Ялта, Ленина, 18'!T47</s:f>
        <s:v>4</s:v>
      </s:c>
      <s:c r="F49" s="197">
        <s:f>'Ялта, Ленина, 18'!T48</s:f>
        <s:v>20</s:v>
      </s:c>
      <s:c r="G49" s="198">
        <s:f>'Рогалевич И. Е.'!S48</s:f>
        <s:v>93287</s:v>
      </s:c>
      <s:c r="H49" s="199">
        <s:f>'Рогалевич И. Е.'!T47</s:f>
        <s:v>4</s:v>
      </s:c>
      <s:c r="I49" s="197">
        <s:f>'Рогалевич И. Е.'!T48</s:f>
        <s:v>11</s:v>
      </s:c>
      <s:c r="J49" s="198" t="str">
        <s:f>'Уразгильдеева Е. Р.'!S48</s:f>
        <s:v/>
      </s:c>
      <s:c r="K49" s="199" t="str">
        <s:f>'Уразгильдеева Е. Р.'!T47</s:f>
        <s:v/>
      </s:c>
      <s:c r="L49" s="182" t="str">
        <s:f>'Уразгильдеева Е. Р.'!T48</s:f>
        <s:v/>
      </s:c>
      <s:c r="M49" s="198">
        <s:f>'Вафина Л. Ф.'!S48</s:f>
        <s:v>659093</s:v>
      </s:c>
      <s:c r="N49" s="199" t="str">
        <s:f>'Вафина Л. Ф.'!T47</s:f>
        <s:v/>
      </s:c>
      <s:c r="O49" s="182">
        <s:f>'Вафина Л. Ф.'!T48</s:f>
        <s:v>127</s:v>
      </s:c>
    </s:row>
    <s:row r="50" spans="1:15">
      <s:c r="A50" s="608" t="s">
        <s:v>65</s:v>
      </s:c>
      <s:c r="B50" s="609"/>
      <s:c r="C50" s="610"/>
      <s:c r="D50" s="611">
        <s:f>'Ялта, Ленина, 18'!J51</s:f>
        <s:v>1.7777777777777777</s:v>
      </s:c>
      <s:c r="E50" s="612"/>
      <s:c r="F50" s="613"/>
      <s:c r="G50" s="602">
        <s:f>'Рогалевич И. Е.'!N43</s:f>
        <s:v>0.4</s:v>
      </s:c>
      <s:c r="H50" s="603"/>
      <s:c r="I50" s="604"/>
      <s:c r="J50" s="602">
        <s:f>'Уразгильдеева Е. Р.'!N43</s:f>
        <s:v>0.35294117647058826</s:v>
      </s:c>
      <s:c r="K50" s="603"/>
      <s:c r="L50" s="604"/>
      <s:c r="M50" s="602">
        <s:f>'Вафина Л. Ф.'!N43</s:f>
        <s:v>0.15</s:v>
      </s:c>
      <s:c r="N50" s="603"/>
      <s:c r="O50" s="604"/>
    </s:row>
  </s:sheetData>
  <s:mergeCells count="52"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  <s:mergeCell ref="A4:C4"/>
    <s:mergeCell ref="A5:C5"/>
    <s:mergeCell ref="A6:C6"/>
    <s:mergeCell ref="A7:C7"/>
    <s:mergeCell ref="A8:C8"/>
    <s:mergeCell ref="A9:C9"/>
    <s:mergeCell ref="A10:C10"/>
    <s:mergeCell ref="A11:C11"/>
    <s:mergeCell ref="A12:C12"/>
    <s:mergeCell ref="A13:C13"/>
    <s:mergeCell ref="A14:C14"/>
    <s:mergeCell ref="A15:C15"/>
    <s:mergeCell ref="D15:F15"/>
    <s:mergeCell ref="G15:I15"/>
    <s:mergeCell ref="J15:L15"/>
    <s:mergeCell ref="M15:O15"/>
    <s:mergeCell ref="A36:O36"/>
    <s:mergeCell ref="A37:C38"/>
    <s:mergeCell ref="D37:F37"/>
    <s:mergeCell ref="G37:I37"/>
    <s:mergeCell ref="J37:L37"/>
    <s:mergeCell ref="M37:O37"/>
    <s:mergeCell ref="D38:E38"/>
    <s:mergeCell ref="G38:H38"/>
    <s:mergeCell ref="J38:K38"/>
    <s:mergeCell ref="M38:N38"/>
    <s:mergeCell ref="A39:C39"/>
    <s:mergeCell ref="A40:C40"/>
    <s:mergeCell ref="A41:C41"/>
    <s:mergeCell ref="A42:C42"/>
    <s:mergeCell ref="A43:C43"/>
    <s:mergeCell ref="A44:C44"/>
    <s:mergeCell ref="A45:C45"/>
    <s:mergeCell ref="A46:C46"/>
    <s:mergeCell ref="A47:C47"/>
    <s:mergeCell ref="A48:C48"/>
    <s:mergeCell ref="M50:O50"/>
    <s:mergeCell ref="A49:C49"/>
    <s:mergeCell ref="A50:C50"/>
    <s:mergeCell ref="D50:F50"/>
    <s:mergeCell ref="G50:I50"/>
    <s:mergeCell ref="J50:L50"/>
  </s:mergeCells>
  <s:conditionalFormatting sqref="D4">
    <s:cfRule type="cellIs" dxfId="223" priority="152" operator="lessThan">
      <s:formula>$D$10</s:formula>
    </s:cfRule>
    <s:cfRule type="cellIs" dxfId="222" priority="155" operator="greaterThanOrEqual">
      <s:formula>$D$10</s:formula>
    </s:cfRule>
  </s:conditionalFormatting>
  <s:conditionalFormatting sqref="D4:D9 F4:G9 I4:J9 L4:M9 O4:O9 D11 F11:G11 I11:J11 L11:M11 O11 D13:D14 F13:G14 I13:J14 L13:M14 O13:O14">
    <s:cfRule type="cellIs" dxfId="221" priority="123" operator="between">
      <s:formula>0.9</s:formula>
      <s:formula>0.9999</s:formula>
    </s:cfRule>
  </s:conditionalFormatting>
  <s:conditionalFormatting sqref="D6:D8 D11 D13:D14">
    <s:cfRule type="cellIs" dxfId="220" priority="148" operator="lessThan">
      <s:formula>1</s:formula>
    </s:cfRule>
    <s:cfRule type="cellIs" dxfId="219" priority="149" operator="greaterThanOrEqual">
      <s:formula>1</s:formula>
    </s:cfRule>
  </s:conditionalFormatting>
  <s:conditionalFormatting sqref="D39">
    <s:cfRule type="cellIs" dxfId="218" priority="167" operator="greaterThanOrEqual">
      <s:formula>$D$10</s:formula>
    </s:cfRule>
    <s:cfRule type="cellIs" dxfId="217" priority="170" operator="lessThan">
      <s:formula>$D$10</s:formula>
    </s:cfRule>
  </s:conditionalFormatting>
  <s:conditionalFormatting sqref="D41:D43 D46 D48:D49">
    <s:cfRule type="cellIs" dxfId="216" priority="173" operator="greaterThanOrEqual">
      <s:formula>1</s:formula>
    </s:cfRule>
    <s:cfRule type="cellIs" dxfId="215" priority="174" operator="lessThan">
      <s:formula>1</s:formula>
    </s:cfRule>
  </s:conditionalFormatting>
  <s:conditionalFormatting sqref="D15:O15">
    <s:cfRule type="cellIs" dxfId="214" priority="97" operator="lessThan">
      <s:formula>0</s:formula>
    </s:cfRule>
  </s:conditionalFormatting>
  <s:conditionalFormatting sqref="D50:O50">
    <s:cfRule type="cellIs" dxfId="213" priority="184" operator="lessThan">
      <s:formula>0</s:formula>
    </s:cfRule>
  </s:conditionalFormatting>
  <s:conditionalFormatting sqref="F4:F9 I4:I9 F11 F13:F14">
    <s:cfRule type="cellIs" dxfId="212" priority="156" operator="lessThan">
      <s:formula>1</s:formula>
    </s:cfRule>
  </s:conditionalFormatting>
  <s:conditionalFormatting sqref="F4:F9 I4:I9 F11 I11 F13:F14 I13:I14">
    <s:cfRule type="cellIs" dxfId="211" priority="157" operator="greaterThan">
      <s:formula>1</s:formula>
    </s:cfRule>
  </s:conditionalFormatting>
  <s:conditionalFormatting sqref="F39:F44 I39:I44 F46 F48:F49">
    <s:cfRule type="cellIs" dxfId="210" priority="166" operator="lessThan">
      <s:formula>1</s:formula>
    </s:cfRule>
  </s:conditionalFormatting>
  <s:conditionalFormatting sqref="F39:F44 I39:I44 F46 I46 F48:F49 I48:I49">
    <s:cfRule type="cellIs" dxfId="209" priority="165" operator="greaterThan">
      <s:formula>1</s:formula>
    </s:cfRule>
  </s:conditionalFormatting>
  <s:conditionalFormatting sqref="G4:G9 G11 G13:G14">
    <s:cfRule type="cellIs" dxfId="208" priority="151" operator="lessThan">
      <s:formula>$G$10</s:formula>
    </s:cfRule>
    <s:cfRule type="cellIs" dxfId="207" priority="154" operator="greaterThanOrEqual">
      <s:formula>$G$10</s:formula>
    </s:cfRule>
  </s:conditionalFormatting>
  <s:conditionalFormatting sqref="G39:G44 G46 G48:G49">
    <s:cfRule type="cellIs" dxfId="206" priority="168" operator="greaterThanOrEqual">
      <s:formula>$G$10</s:formula>
    </s:cfRule>
    <s:cfRule type="cellIs" dxfId="205" priority="171" operator="lessThan">
      <s:formula>$G$10</s:formula>
    </s:cfRule>
  </s:conditionalFormatting>
  <s:conditionalFormatting sqref="G15:O15">
    <s:cfRule type="cellIs" dxfId="204" priority="161" operator="greaterThan">
      <s:formula>0</s:formula>
    </s:cfRule>
  </s:conditionalFormatting>
  <s:conditionalFormatting sqref="G50:O50">
    <s:cfRule type="cellIs" dxfId="203" priority="162" operator="greaterThan">
      <s:formula>0</s:formula>
    </s:cfRule>
  </s:conditionalFormatting>
  <s:conditionalFormatting sqref="J4:J5">
    <s:cfRule type="cellIs" dxfId="202" priority="150" operator="lessThan">
      <s:formula>$J$10</s:formula>
    </s:cfRule>
    <s:cfRule type="cellIs" dxfId="201" priority="153" operator="greaterThanOrEqual">
      <s:formula>$J$10</s:formula>
    </s:cfRule>
  </s:conditionalFormatting>
  <s:conditionalFormatting sqref="J6:J9 I11:J11 I13:J14">
    <s:cfRule type="cellIs" dxfId="200" priority="146" operator="lessThan">
      <s:formula>1</s:formula>
    </s:cfRule>
  </s:conditionalFormatting>
  <s:conditionalFormatting sqref="J6:J9 J11 J13:J14">
    <s:cfRule type="cellIs" dxfId="199" priority="147" operator="greaterThanOrEqual">
      <s:formula>1</s:formula>
    </s:cfRule>
  </s:conditionalFormatting>
  <s:conditionalFormatting sqref="J39:J40">
    <s:cfRule type="cellIs" dxfId="198" priority="169" operator="greaterThanOrEqual">
      <s:formula>$J$10</s:formula>
    </s:cfRule>
    <s:cfRule type="cellIs" dxfId="197" priority="172" operator="lessThan">
      <s:formula>$J$10</s:formula>
    </s:cfRule>
  </s:conditionalFormatting>
  <s:conditionalFormatting sqref="J41:J44 I46:J46 I48:J49">
    <s:cfRule type="cellIs" dxfId="196" priority="176" operator="lessThan">
      <s:formula>1</s:formula>
    </s:cfRule>
  </s:conditionalFormatting>
  <s:conditionalFormatting sqref="J41:J44 J46 J48:J49">
    <s:cfRule type="cellIs" dxfId="195" priority="175" operator="greaterThanOrEqual">
      <s:formula>1</s:formula>
    </s:cfRule>
  </s:conditionalFormatting>
  <s:conditionalFormatting sqref="L4:L9 L11 L13:L14">
    <s:cfRule type="cellIs" dxfId="194" priority="159" operator="greaterThan">
      <s:formula>1</s:formula>
    </s:cfRule>
  </s:conditionalFormatting>
  <s:conditionalFormatting sqref="L4:L9 L11">
    <s:cfRule type="cellIs" dxfId="193" priority="158" operator="lessThan">
      <s:formula>1</s:formula>
    </s:cfRule>
  </s:conditionalFormatting>
  <s:conditionalFormatting sqref="L39:L44 L46 L48:L49">
    <s:cfRule type="cellIs" dxfId="192" priority="163" operator="greaterThan">
      <s:formula>1</s:formula>
    </s:cfRule>
  </s:conditionalFormatting>
  <s:conditionalFormatting sqref="L39:L44 L46">
    <s:cfRule type="cellIs" dxfId="191" priority="164" operator="lessThan">
      <s:formula>1</s:formula>
    </s:cfRule>
  </s:conditionalFormatting>
  <s:conditionalFormatting sqref="L13:M14">
    <s:cfRule type="cellIs" dxfId="190" priority="124" operator="lessThan">
      <s:formula>1</s:formula>
    </s:cfRule>
  </s:conditionalFormatting>
  <s:conditionalFormatting sqref="L48:M49 L39:M44 L46:M46 O39:O44 O46 O48:O49 I39:J44 I46:J46 I48:J49 D39:D44 D46 D48:D49 F39:G44 F46:G46 F48:G49">
    <s:cfRule type="cellIs" dxfId="189" priority="183" operator="between">
      <s:formula>0.9</s:formula>
      <s:formula>0.9999</s:formula>
    </s:cfRule>
  </s:conditionalFormatting>
  <s:conditionalFormatting sqref="L48:M49">
    <s:cfRule type="cellIs" dxfId="188" priority="182" operator="lessThan">
      <s:formula>1</s:formula>
    </s:cfRule>
  </s:conditionalFormatting>
  <s:conditionalFormatting sqref="M4:M9 M11">
    <s:cfRule type="cellIs" dxfId="187" priority="126" operator="lessThan">
      <s:formula>$J$10</s:formula>
    </s:cfRule>
    <s:cfRule type="cellIs" dxfId="186" priority="127" operator="greaterThanOrEqual">
      <s:formula>$J$10</s:formula>
    </s:cfRule>
  </s:conditionalFormatting>
  <s:conditionalFormatting sqref="M13:M14">
    <s:cfRule type="cellIs" dxfId="185" priority="125" operator="greaterThanOrEqual">
      <s:formula>1</s:formula>
    </s:cfRule>
  </s:conditionalFormatting>
  <s:conditionalFormatting sqref="M39:M44 M46">
    <s:cfRule type="cellIs" dxfId="184" priority="179" operator="greaterThanOrEqual">
      <s:formula>$J$10</s:formula>
    </s:cfRule>
    <s:cfRule type="cellIs" dxfId="183" priority="180" operator="lessThan">
      <s:formula>$J$10</s:formula>
    </s:cfRule>
  </s:conditionalFormatting>
  <s:conditionalFormatting sqref="M48:M49">
    <s:cfRule type="cellIs" dxfId="182" priority="181" operator="greaterThanOrEqual">
      <s:formula>1</s:formula>
    </s:cfRule>
  </s:conditionalFormatting>
  <s:conditionalFormatting sqref="O4:O9 O11 O13:O14">
    <s:cfRule type="cellIs" dxfId="181" priority="128" operator="lessThan">
      <s:formula>1</s:formula>
    </s:cfRule>
    <s:cfRule type="cellIs" dxfId="180" priority="129" operator="greaterThan">
      <s:formula>1</s:formula>
    </s:cfRule>
  </s:conditionalFormatting>
  <s:conditionalFormatting sqref="O39:O44 O46 O48:O49">
    <s:cfRule type="cellIs" dxfId="179" priority="177" operator="greaterThan">
      <s:formula>1</s:formula>
    </s:cfRule>
    <s:cfRule type="cellIs" dxfId="178" priority="178" operator="lessThan">
      <s:formula>1</s:formula>
    </s:cfRule>
  </s:conditionalFormatting>
  <s:dataValidations count="1">
    <s:dataValidation xr:uid="{005100A8-00B6-4C63-BED2-00EE00770045}" type="decimal" allowBlank="1" showErrorMessage="1" sqref="D4:F14 D39:F49" vyd:viewType="arrow" mc:Ignorable="vyd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3.xml><?xml version="1.0" encoding="utf-8"?>
<s:worksheet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mc:Ignorable="x14ac xr xr2 xr3" xr:uid="{00000000-0001-0000-0200-000000000000}">
  <s:sheetPr>
    <s:pageSetUpPr fitToPage="1"/>
  </s:sheetPr>
  <s:dimension ref="A1:D9"/>
  <s:sheetViews>
    <s:sheetView showZeros="0" tabSelected="0" zoomScale="138" workbookViewId="0">
      <s:selection activeCell="F7" sqref="F7"/>
    </s:sheetView>
  </s:sheetViews>
  <s:sheetFormatPr baseColWidth="10" defaultColWidth="11.5" defaultRowHeight="15"/>
  <s:cols>
    <s:col min="1" max="3" width="11.5" style="200"/>
    <s:col min="4" max="4" width="11.5" style="3"/>
  </s:cols>
  <s:sheetData>
    <s:row r="1" spans="1:4">
      <s:c r="A1" s="659" t="s">
        <s:v>12</s:v>
      </s:c>
      <s:c r="B1" s="660"/>
      <s:c r="C1" s="660"/>
      <s:c r="D1" s="201">
        <s:v>207661</s:v>
      </s:c>
    </s:row>
    <s:row r="2" spans="1:4">
      <s:c r="A2" s="650" t="s">
        <s:v>13</s:v>
      </s:c>
      <s:c r="B2" s="651"/>
      <s:c r="C2" s="651"/>
      <s:c r="D2" s="202">
        <s:f>D1/D4</s:f>
        <s:v>39.934807692307693</s:v>
      </s:c>
    </s:row>
    <s:row r="3" spans="1:4">
      <s:c r="A3" s="650" t="s">
        <s:v>14</s:v>
      </s:c>
      <s:c r="B3" s="651"/>
      <s:c r="C3" s="651"/>
      <s:c r="D3" s="203">
        <s:f>D4*D5</s:f>
        <s:v>10088</s:v>
      </s:c>
    </s:row>
    <s:row r="4" spans="1:4">
      <s:c r="A4" s="650" t="s">
        <s:v>16</s:v>
      </s:c>
      <s:c r="B4" s="651"/>
      <s:c r="C4" s="651"/>
      <s:c r="D4" s="204">
        <s:f>'Ялта, Ленина, 18'!I11</s:f>
        <s:v>5200</s:v>
      </s:c>
    </s:row>
    <s:row r="5" spans="1:4">
      <s:c r="A5" s="650" t="s">
        <s:v>17</s:v>
      </s:c>
      <s:c r="B5" s="651"/>
      <s:c r="C5" s="651"/>
      <s:c r="D5" s="205">
        <s:f>'Ялта, Ленина, 18'!I12</s:f>
        <s:v>1.94</s:v>
      </s:c>
    </s:row>
    <s:row r="6" spans="1:4">
      <s:c r="A6" s="650" t="s">
        <s:v>18</s:v>
      </s:c>
      <s:c r="B6" s="651"/>
      <s:c r="C6" s="651"/>
      <s:c r="D6" s="203">
        <s:f>IF(D5&lt;&gt;0,D2/D5,"")</s:f>
        <s:v>20.584952418715307</s:v>
      </s:c>
    </s:row>
    <s:row r="7" spans="1:4">
      <s:c r="A7" s="650" t="s">
        <s:v>66</s:v>
      </s:c>
      <s:c r="B7" s="650"/>
      <s:c r="C7" s="652"/>
      <s:c r="D7" s="206">
        <s:f>'Ялта, Ленина, 18'!I20</s:f>
        <s:v>0.22</s:v>
      </s:c>
    </s:row>
    <s:row r="8" spans="1:4">
      <s:c r="A8" s="653" t="s">
        <s:v>15</s:v>
      </s:c>
      <s:c r="B8" s="654"/>
      <s:c r="C8" s="655"/>
      <s:c r="D8" s="207" t="e">
        <s:f>('Ялта, Ленина, 18'!S12-'Ялта, Ленина, 18'!T12)/('Ялта, Ленина, 18'!I14-'Ялта, Ленина, 18'!J14)</s:f>
        <s:v>#DIV/0!</s:v>
      </s:c>
    </s:row>
    <s:row r="9" spans="1:4">
      <s:c r="A9" s="656" t="s">
        <s:v>22</s:v>
      </s:c>
      <s:c r="B9" s="657"/>
      <s:c r="C9" s="658"/>
      <s:c r="D9" s="208" t="e">
        <s:f>('Ялта, Ленина, 18'!S18-'Ялта, Ленина, 18'!T18)/('Ялта, Ленина, 18'!I14-'Ялта, Ленина, 18'!J14)</s:f>
        <s:v>#DIV/0!</s:v>
      </s:c>
    </s:row>
  </s:sheetData>
  <s:mergeCells count="9">
    <s:mergeCell ref="A6:C6"/>
    <s:mergeCell ref="A7:C7"/>
    <s:mergeCell ref="A8:C8"/>
    <s:mergeCell ref="A9:C9"/>
    <s:mergeCell ref="A1:C1"/>
    <s:mergeCell ref="A2:C2"/>
    <s:mergeCell ref="A3:C3"/>
    <s:mergeCell ref="A4:C4"/>
    <s:mergeCell ref="A5:C5"/>
  </s:mergeCells>
  <s:dataValidations count="1">
    <s:dataValidation xr:uid="{008500E9-0002-4B28-A61D-003B0022006C}" type="decimal" allowBlank="1" showErrorMessage="1" sqref="D7 D2" vyd:viewType="arrow" mc:Ignorable="vyd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300-000000000000}">
  <s:sheetPr>
    <s:pageSetUpPr fitToPage="1"/>
  </s:sheetPr>
  <s:dimension ref="A1:IU59"/>
  <s:sheetViews>
    <s:sheetView showZeros="0" tabSelected="0" zoomScale="110" workbookViewId="0">
      <s:pane xSplit="3" topLeftCell="D1" activePane="topRight" state="frozen"/>
      <s:selection pane="topRight" activeCell="A12" sqref="A12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0">
        <s:f ca="1">TODAY()-1</s:f>
        <s:v>46171</s:v>
      </s:c>
      <s:c r="C1" s="670"/>
      <s:c r="D1" s="11"/>
      <s:c r="E1" s="11"/>
      <s:c r="F1" s="12"/>
      <s:c r="G1" s="12"/>
      <s:c r="H1" s="12"/>
      <s:c r="I1" s="12"/>
      <s:c r="J1" s="209"/>
      <s:c r="K1" s="209"/>
      <s:c r="L1" s="209"/>
      <s:c r="M1" s="209"/>
      <s:c r="N1" s="209"/>
      <s:c r="O1" s="209"/>
      <s:c r="P1" s="209"/>
      <s:c r="Q1" s="671"/>
      <s:c r="R1" s="671"/>
      <s:c r="S1" s="671"/>
      <s:c r="T1" s="671"/>
      <s:c r="U1" s="12"/>
      <s:c r="V1" s="12"/>
      <s:c r="W1" s="12"/>
    </s:row>
    <s:row r="2" spans="2:23" ht="21.75" customHeight="1">
      <s:c r="B2" s="672" t="s">
        <s:v>0</s:v>
      </s:c>
      <s:c r="C2" s="672"/>
      <s:c r="D2" s="11"/>
      <s:c r="E2" s="11"/>
      <s:c r="F2" s="12"/>
      <s:c r="G2" s="12"/>
      <s:c r="H2" s="12"/>
      <s:c r="I2" s="12"/>
      <s:c r="J2" s="673" t="s">
        <s:v>67</s:v>
      </s:c>
      <s:c r="K2" s="673"/>
      <s:c r="L2" s="673"/>
      <s:c r="M2" s="673"/>
      <s:c r="N2" s="673"/>
      <s:c r="O2" s="673"/>
      <s:c r="P2" s="673"/>
      <s:c r="Q2" s="671"/>
      <s:c r="R2" s="671"/>
      <s:c r="S2" s="671"/>
      <s:c r="T2" s="671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4" t="str">
        <s:f>График!B29</s:f>
        <s:v>Рогалевич Ирина</s:v>
      </s:c>
      <s:c r="K3" s="675"/>
      <s:c r="L3" s="675"/>
      <s:c r="M3" s="675"/>
      <s:c r="N3" s="676"/>
      <s:c r="O3" s="209"/>
      <s:c r="P3" s="210"/>
      <s:c r="Q3" s="671"/>
      <s:c r="R3" s="671"/>
      <s:c r="S3" s="671"/>
      <s:c r="T3" s="671"/>
      <s:c r="U3" s="12"/>
      <s:c r="V3" s="12"/>
      <s:c r="W3" s="12"/>
    </s:row>
    <s:row r="4" spans="2:23" ht="15" customHeight="1">
      <s:c r="B4" s="11"/>
      <s:c r="C4" s="680">
        <s:f>I8-D54</s:f>
        <s:v>513857.40610687016</s:v>
      </s:c>
      <s:c r="D4" s="681"/>
      <s:c r="E4" s="211">
        <s:f>IF(I8&lt;&gt;0,C4/I8,0)</s:f>
        <s:v>0.27443865695758807</s:v>
      </s:c>
      <s:c r="F4" s="12"/>
      <s:c r="G4" s="12"/>
      <s:c r="H4" s="12"/>
      <s:c r="I4" s="12"/>
      <s:c r="J4" s="677"/>
      <s:c r="K4" s="678"/>
      <s:c r="L4" s="678"/>
      <s:c r="M4" s="678"/>
      <s:c r="N4" s="679"/>
      <s:c r="O4" s="12"/>
      <s:c r="P4" s="12"/>
      <s:c r="Q4" s="671"/>
      <s:c r="R4" s="671"/>
      <s:c r="S4" s="671"/>
      <s:c r="T4" s="671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63"/>
      <s:c r="K5" s="663"/>
      <s:c r="L5" s="663"/>
      <s:c r="M5" s="663"/>
      <s:c r="N5" s="663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12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12"/>
      <s:c r="C7" s="12"/>
      <s:c r="D7" s="12"/>
      <s:c r="E7" s="12"/>
      <s:c r="F7" s="664" t="s">
        <s:v>3</s:v>
      </s:c>
      <s:c r="G7" s="665"/>
      <s:c r="H7" s="666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21"/>
      <s:c r="S7" s="21"/>
      <s:c r="T7" s="12"/>
      <s:c r="U7" s="12"/>
      <s:c r="V7" s="12"/>
      <s:c r="W7" s="12"/>
    </s:row>
    <s:row r="8" spans="2:23" ht="15.75" customHeight="1">
      <s:c r="B8" s="212"/>
      <s:c r="C8" s="12"/>
      <s:c r="D8" s="12"/>
      <s:c r="E8" s="12"/>
      <s:c r="F8" s="667" t="s">
        <s:v>12</s:v>
      </s:c>
      <s:c r="G8" s="668"/>
      <s:c r="H8" s="669"/>
      <s:c r="I8" s="213">
        <s:f>'Ялта, Ленина, 18'!I8/График!AJ31*График!AJ29</s:f>
        <s:v>1872394.4061068702</s:v>
      </s:c>
      <s:c r="J8" s="214">
        <s:f>D54</s:f>
        <s:v>1358537</s:v>
      </s:c>
      <s:c r="K8" s="215">
        <s:f>IF(AND(I8&lt;&gt;"",I8&lt;&gt;0,J8&lt;&gt;""),J8/I8,"")</s:f>
        <s:v>0.72556134304241193</s:v>
      </s:c>
      <s:c r="L8" s="216">
        <s:f>IF(SUMIF($D$25:$D$53,"&gt;=0",$P$25:$P$53)&lt;&gt;0,I8*D54/SUMIF($D$25:$D$53,"&gt;=0",$P$25:$P$53),0)</s:f>
        <s:v>1410655.2739852013</s:v>
      </s:c>
      <s:c r="M8" s="217">
        <s:f>IF(AND(I8&lt;&gt;"",I8&lt;&gt;0,L8&lt;&gt;"",L8&lt;&gt;0),L8/I8,"")</s:f>
        <s:v>0.7533964368747883</s:v>
      </s:c>
      <s:c r="N8" s="35">
        <s:f>IF(AND(J8&lt;&gt;0,J8&lt;&gt;"",I8&lt;&gt;0,I8&lt;&gt;""),L8-I8,"")</s:f>
        <s:v>-461739.1321216689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12"/>
      <s:c r="C9" s="12"/>
      <s:c r="D9" s="12"/>
      <s:c r="E9" s="12"/>
      <s:c r="F9" s="571" t="s">
        <s:v>13</s:v>
      </s:c>
      <s:c r="G9" s="572"/>
      <s:c r="H9" s="573"/>
      <s:c r="I9" s="38">
        <s:f>I8/I11</s:f>
        <s:v>360.07584732824427</s:v>
      </s:c>
      <s:c r="J9" s="39">
        <s:f>E54</s:f>
        <s:v>228</s:v>
      </s:c>
      <s:c r="K9" s="40">
        <s:f>IF(AND(I9&lt;&gt;"",I9&lt;&gt;0,J9&lt;&gt;""),J9/I9,"")</s:f>
        <s:v>0.63319992632595479</s:v>
      </s:c>
      <s:c r="L9" s="218">
        <s:f>IF(SUMIF($E$25:$E$51,"&gt;=0",$Q$25:$Q$51)&lt;&gt;0,I9*E54/SUMIF($E$25:$E$51,"&gt;=0",$Q$25:$Q$51),0)</s:f>
        <s:v>246.19166586026338</s:v>
      </s:c>
      <s:c r="M9" s="219">
        <s:f>IF(AND(I9&lt;&gt;"",I9&lt;&gt;0,L9&lt;&gt;"",L9&lt;&gt;0),L9/I9,"")</s:f>
        <s:v>0.68372168721395987</s:v>
      </s:c>
      <s:c r="N9" s="43">
        <s:f>IF(AND(J9&lt;&gt;0,J9&lt;&gt;"",I9&lt;&gt;0,I9&lt;&gt;""),L9-I9,"")</s:f>
        <s:v>-113.88418146798088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12"/>
      <s:c r="C10" s="12"/>
      <s:c r="D10" s="12"/>
      <s:c r="E10" s="12"/>
      <s:c r="F10" s="577" t="s">
        <s:v>14</s:v>
      </s:c>
      <s:c r="G10" s="578"/>
      <s:c r="H10" s="579"/>
      <s:c r="I10" s="50">
        <s:f>I11*I12</s:f>
        <s:v>10088</s:v>
      </s:c>
      <s:c r="J10" s="220">
        <s:f>H54</s:f>
        <s:v>10697.141732283464</s:v>
      </s:c>
      <s:c r="K10" s="221">
        <s:f>IF(AND(I10&lt;&gt;"",I10&lt;&gt;0,J10&lt;&gt;""),J10/I10,"")</s:f>
        <s:v>1.0603828045483212</s:v>
      </s:c>
      <s:c r="L10" s="218">
        <s:f>J10</s:f>
        <s:v>10697.141732283464</s:v>
      </s:c>
      <s:c r="M10" s="222">
        <s:f>IF(AND(I10&lt;&gt;"",I10&lt;&gt;0,L10&lt;&gt;"",L10&lt;&gt;0),L10/I10,"")</s:f>
        <s:v>1.0603828045483212</s:v>
      </s:c>
      <s:c r="N10" s="49">
        <s:f>IF(AND(J10&lt;&gt;0,J10&lt;&gt;"",I10&lt;&gt;0,I10&lt;&gt;""),L10-I10,"")</s:f>
        <s:v>609.14173228346408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576" t="s">
        <s:v>15</s:v>
      </s:c>
      <s:c r="T10" s="576"/>
      <s:c r="U10" s="12"/>
      <s:c r="V10" s="12"/>
      <s:c r="W10" s="12"/>
    </s:row>
    <s:row r="11" spans="2:23" ht="15.75" customHeight="1">
      <s:c r="B11" s="212"/>
      <s:c r="C11" s="12"/>
      <s:c r="D11" s="12"/>
      <s:c r="E11" s="12"/>
      <s:c r="F11" s="571" t="s">
        <s:v>16</s:v>
      </s:c>
      <s:c r="G11" s="572"/>
      <s:c r="H11" s="573"/>
      <s:c r="I11" s="52">
        <s:f>'Ялта, Ленина, 18'!I11</s:f>
        <s:v>5200</s:v>
      </s:c>
      <s:c r="J11" s="39">
        <s:f>F54</s:f>
        <s:v>5958.4956140350878</s:v>
      </s:c>
      <s:c r="K11" s="223">
        <s:f>IF(AND(I11&lt;&gt;"",I11&lt;&gt;0,J11&lt;&gt;""),J11/I11,"")</s:f>
        <s:v>1.1458645411605939</s:v>
      </s:c>
      <s:c r="L11" s="218">
        <s:f>IF(L9&gt;0,L8/L9,"")</s:f>
        <s:v>5729.9066930473555</s:v>
      </s:c>
      <s:c r="M11" s="219">
        <s:f>IF(AND(I11&lt;&gt;"",I11&lt;&gt;0,L11&lt;&gt;"",L11&lt;&gt;0),L11/I11,"")</s:f>
        <s:v>1.1019051332783376</s:v>
      </s:c>
      <s:c r="N11" s="43">
        <s:f>IF(AND(J11&lt;&gt;0,J11&lt;&gt;"",I11&lt;&gt;0,I11&lt;&gt;""),L11-I11,"")</s:f>
        <s:v>529.90669304735547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576"/>
      <s:c r="T11" s="576"/>
      <s:c r="U11" s="12"/>
      <s:c r="V11" s="12"/>
      <s:c r="W11" s="12"/>
    </s:row>
    <s:row r="12" spans="2:23" ht="15.75" customHeight="1">
      <s:c r="B12" s="212"/>
      <s:c r="C12" s="12"/>
      <s:c r="D12" s="12"/>
      <s:c r="E12" s="12"/>
      <s:c r="F12" s="571" t="s">
        <s:v>17</s:v>
      </s:c>
      <s:c r="G12" s="572"/>
      <s:c r="H12" s="573"/>
      <s:c r="I12" s="54">
        <s:f>'Ялта, Ленина, 18'!I12</s:f>
        <s:v>1.94</s:v>
      </s:c>
      <s:c r="J12" s="55">
        <s:f>J54</s:f>
        <s:v>1.795275590551181</s:v>
      </s:c>
      <s:c r="K12" s="223">
        <s:f>IF(AND(I12&lt;&gt;"",I12&lt;&gt;0,J12&lt;&gt;""),J12/I12,"")</s:f>
        <s:v>0.92539978894390773</s:v>
      </s:c>
      <s:c r="L12" s="224">
        <s:f>J12</s:f>
        <s:v>1.795275590551181</s:v>
      </s:c>
      <s:c r="M12" s="219">
        <s:f>IF(AND(I12&lt;&gt;"",I12&lt;&gt;0,L12&lt;&gt;"",L12&lt;&gt;0),L12/I12,"")</s:f>
        <s:v>0.92539978894390773</s:v>
      </s:c>
      <s:c r="N12" s="57">
        <s:f>IF(AND(J12&lt;&gt;0,J12&lt;&gt;"",I12&lt;&gt;0,I12&lt;&gt;""),L12-I12,"")</s:f>
        <s:v>-0.14472440944881892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18'!S12*График!AJ29/График!AJ31</s:f>
        <s:v>265597.96437659033</s:v>
      </s:c>
      <s:c r="T12" s="60">
        <s:f>L54</s:f>
        <s:v>291718</s:v>
      </s:c>
      <s:c r="U12" s="12"/>
      <s:c r="V12" s="12"/>
      <s:c r="W12" s="12"/>
    </s:row>
    <s:row r="13" spans="2:23" ht="15.75" customHeight="1">
      <s:c r="B13" s="212"/>
      <s:c r="C13" s="12"/>
      <s:c r="D13" s="12"/>
      <s:c r="E13" s="12"/>
      <s:c r="F13" s="571" t="s">
        <s:v>18</s:v>
      </s:c>
      <s:c r="G13" s="572"/>
      <s:c r="H13" s="573"/>
      <s:c r="I13" s="38">
        <s:f>IF(I12&lt;&gt;0,I9/I12,"")</s:f>
        <s:v>185.60610687022901</s:v>
      </s:c>
      <s:c r="J13" s="39">
        <s:f>G54</s:f>
        <s:v>127</s:v>
      </s:c>
      <s:c r="K13" s="40">
        <s:f>IF(AND(I13&lt;&gt;"",I13&lt;&gt;0,J13&lt;&gt;""),J13/I13,"")</s:f>
        <s:v>0.68424472740433651</s:v>
      </s:c>
      <s:c r="L13" s="218">
        <s:f>IF(SUMIF($G$25:$G$51,"&gt;=0",$R$25:$R$51)&lt;&gt;0,I13*G54/SUMIF($G$25:$G$51,"&gt;=0",$R$25:$R$51),"")</s:f>
        <s:v>137.13307703619941</s:v>
      </s:c>
      <s:c r="M13" s="219">
        <s:f>IF(AND(I13&lt;&gt;"",I13&lt;&gt;0,L13&lt;&gt;"",L13&lt;&gt;0),L13/I13,"")</s:f>
        <s:v>0.73883925129726102</s:v>
      </s:c>
      <s:c r="N13" s="57">
        <s:f>IF(AND(J13&lt;&gt;0,J13&lt;&gt;"",I13&lt;&gt;0,I13&lt;&gt;""),L13-I13,"")</s:f>
        <s:v>-48.473029834029603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1.0983442613527497</s:v>
      </s:c>
      <s:c r="T13" s="62">
        <s:f>S13/J14*I14</s:f>
        <s:v>1.0983442613527497</s:v>
      </s:c>
      <s:c r="U13" s="12"/>
      <s:c r="V13" s="12"/>
      <s:c r="W13" s="12"/>
    </s:row>
    <s:row r="14" spans="2:23" ht="15.75" customHeight="1">
      <s:c r="B14" s="212"/>
      <s:c r="C14" s="12"/>
      <s:c r="D14" s="225"/>
      <s:c r="E14" s="12"/>
      <s:c r="F14" s="571" t="s">
        <s:v>64</s:v>
      </s:c>
      <s:c r="G14" s="572"/>
      <s:c r="H14" s="573"/>
      <s:c r="I14" s="52">
        <s:f>График!AI29</s:f>
        <s:v>28</s:v>
      </s:c>
      <s:c r="J14" s="64">
        <s:v>28</s:v>
      </s:c>
      <s:c r="K14" s="40">
        <s:f>IF(AND(I14&lt;&gt;"",I14&lt;&gt;0,J14&lt;&gt;""),J14/I14,"")</s:f>
        <s:v>1</s:v>
      </s:c>
      <s:c r="L14" s="41">
        <s:f>I14</s:f>
        <s:v>28</s:v>
      </s:c>
      <s:c r="M14" s="219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12"/>
      <s:c r="C15" s="12"/>
      <s:c r="D15" s="12"/>
      <s:c r="E15" s="12"/>
      <s:c r="F15" s="571" t="s">
        <s:v>20</s:v>
      </s:c>
      <s:c r="G15" s="572"/>
      <s:c r="H15" s="573"/>
      <s:c r="I15" s="75">
        <s:f>'Ялта, Ленина, 18'!I15</s:f>
        <s:v>154639.27741935482</s:v>
      </s:c>
      <s:c r="J15" s="67">
        <s:f>J8/J14</s:f>
        <s:v>48519.178571428572</s:v>
      </s:c>
      <s:c r="K15" s="68">
        <s:f>IF(AND(I15&lt;&gt;"",I15&lt;&gt;0,J15&lt;&gt;""),J15/I15,"")</s:f>
        <s:v>0.31375714747976352</s:v>
      </s:c>
      <s:c r="L15" s="72">
        <s:f>J15</s:f>
        <s:v>48519.178571428572</s:v>
      </s:c>
      <s:c r="M15" s="226">
        <s:f>IF(AND(I15&lt;&gt;"",I15&lt;&gt;0,L15&lt;&gt;"",L15&lt;&gt;0),L15/I15,"")</s:f>
        <s:v>0.31375714747976352</s:v>
      </s:c>
      <s:c r="N15" s="43">
        <s:f>IF(AND(J15&lt;&gt;0,J15&lt;&gt;"",I15&lt;&gt;0,I15&lt;&gt;""),L15-I15,"")</s:f>
        <s:v>-106120.09884792625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12"/>
      <s:c r="C16" s="12"/>
      <s:c r="D16" s="12"/>
      <s:c r="E16" s="12"/>
      <s:c r="F16" s="571" t="s">
        <s:v>21</s:v>
      </s:c>
      <s:c r="G16" s="572"/>
      <s:c r="H16" s="573"/>
      <s:c r="I16" s="75"/>
      <s:c r="J16" s="67">
        <s:f>J8-I15*J14</s:f>
        <s:v>-2971362.7677419353</s:v>
      </s:c>
      <s:c r="K16" s="68" t="str">
        <s:f>IF(AND(I16&lt;&gt;"",I16&lt;&gt;0,J16&lt;&gt;""),J16/I16,"")</s:f>
        <s:v/>
      </s:c>
      <s:c r="L16" s="72">
        <s:f>J16</s:f>
        <s:v>-2971362.7677419353</s:v>
      </s:c>
      <s:c r="M16" s="227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576" t="s">
        <s:v>22</s:v>
      </s:c>
      <s:c r="T16" s="576"/>
      <s:c r="U16" s="12"/>
      <s:c r="V16" s="12"/>
      <s:c r="W16" s="12"/>
    </s:row>
    <s:row r="17" spans="1:255" ht="15.75" customHeight="1">
      <s:c r="B17" s="212"/>
      <s:c r="C17" s="12"/>
      <s:c r="D17" s="12"/>
      <s:c r="E17" s="12"/>
      <s:c r="F17" s="571" t="s">
        <s:v>23</s:v>
      </s:c>
      <s:c r="G17" s="572"/>
      <s:c r="H17" s="573"/>
      <s:c r="I17" s="75">
        <s:f>'Ялта, Ленина, 18'!I17/График!AJ31*График!AJ29</s:f>
        <s:v>843.66412213740466</s:v>
      </s:c>
      <s:c r="J17" s="67">
        <s:f>I54</s:f>
        <s:v>522</s:v>
      </s:c>
      <s:c r="K17" s="68">
        <s:f>IF(AND(I17&lt;&gt;"",I17&lt;&gt;0,J17&lt;&gt;""),J17/I17,"")</s:f>
        <s:v>0.61872964169381106</s:v>
      </s:c>
      <s:c r="L17" s="72">
        <s:f>J17/J14*I14</s:f>
        <s:v>522</s:v>
      </s:c>
      <s:c r="M17" s="227">
        <s:f>IF(AND(I17&lt;&gt;"",I17&lt;&gt;0,L17&lt;&gt;"",L17&lt;&gt;0),L17/I17,"")</s:f>
        <s:v>0.61872964169381106</s:v>
      </s:c>
      <s:c r="N17" s="43">
        <s:f>IF(AND(J17&lt;&gt;0,J17&lt;&gt;"",I17&lt;&gt;0,I17&lt;&gt;""),L17-I17,"")</s:f>
        <s:v>-321.66412213740466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576"/>
      <s:c r="T17" s="576"/>
      <s:c r="U17" s="12"/>
      <s:c r="V17" s="12"/>
      <s:c r="W17" s="12"/>
    </s:row>
    <s:row r="18" spans="1:255" ht="15.75" customHeight="1">
      <s:c r="B18" s="212"/>
      <s:c r="C18" s="12"/>
      <s:c r="D18" s="12"/>
      <s:c r="E18" s="12"/>
      <s:c r="F18" s="571"/>
      <s:c r="G18" s="572"/>
      <s:c r="H18" s="573"/>
      <s:c r="I18" s="76"/>
      <s:c r="J18" s="67"/>
      <s:c r="K18" s="68" t="str">
        <s:f>IF(AND(I18&lt;&gt;"",I18&lt;&gt;0,J18&lt;&gt;""),J18/I18,"")</s:f>
        <s:v/>
      </s:c>
      <s:c r="L18" s="72">
        <s:f>J18</s:f>
        <s:v>0</s:v>
      </s:c>
      <s:c r="M18" s="227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18'!S18*График!AJ29/График!AJ31</s:f>
        <s:v>187480.91603053434</s:v>
      </s:c>
      <s:c r="T18" s="60">
        <s:f>K54</s:f>
        <s:v>247476</s:v>
      </s:c>
      <s:c r="U18" s="12"/>
      <s:c r="V18" s="12"/>
      <s:c r="W18" s="12"/>
    </s:row>
    <s:row r="19" spans="1:255" ht="15.75" customHeight="1">
      <s:c r="B19" s="212"/>
      <s:c r="C19" s="12"/>
      <s:c r="D19" s="12"/>
      <s:c r="E19" s="12"/>
      <s:c r="F19" s="571"/>
      <s:c r="G19" s="572"/>
      <s:c r="H19" s="573"/>
      <s:c r="I19" s="76"/>
      <s:c r="J19" s="67">
        <s:f>M54</s:f>
        <s:v>0</s:v>
      </s:c>
      <s:c r="K19" s="68" t="str">
        <s:f>IF(AND(I19&lt;&gt;"",I19&lt;&gt;0,J19&lt;&gt;""),J19/I19,"")</s:f>
        <s:v/>
      </s:c>
      <s:c r="L19" s="72">
        <s:f>J19</s:f>
        <s:v>0</s:v>
      </s:c>
      <s:c r="M19" s="227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1.320006351791531</s:v>
      </s:c>
      <s:c r="T19" s="62">
        <s:f>S19/J14*I14</s:f>
        <s:v>1.320006351791531</s:v>
      </s:c>
      <s:c r="U19" s="12"/>
      <s:c r="V19" s="12"/>
      <s:c r="W19" s="12"/>
    </s:row>
    <s:row r="20" spans="1:255" ht="15.75" customHeight="1">
      <s:c r="B20" s="212"/>
      <s:c r="C20" s="12"/>
      <s:c r="D20" s="12"/>
      <s:c r="E20" s="12"/>
      <s:c r="F20" s="574" t="s">
        <s:v>24</s:v>
      </s:c>
      <s:c r="G20" s="574"/>
      <s:c r="H20" s="574"/>
      <s:c r="I20" s="228">
        <s:f>'Ялта, Ленина, 18'!I20</s:f>
        <s:v>0.22</s:v>
      </s:c>
      <s:c r="J20" s="229">
        <s:f>N54</s:f>
        <s:v>0.24329501915708812</s:v>
      </s:c>
      <s:c r="K20" s="230">
        <s:f>J20/I20</s:f>
        <s:v>1.1058864507140369</s:v>
      </s:c>
      <s:c r="L20" s="231">
        <s:f>IF(AND(K8&lt;&gt;0,I14&lt;&gt;0,I54&lt;&gt;0),(I54*N54+(I54/K8-I54)*I20)/(I54/K8),0)</s:f>
        <s:v>0.23690196538581557</s:v>
      </s:c>
      <s:c r="M20" s="83">
        <s:f>IF(AND(I20&lt;&gt;"",I20&lt;&gt;0,L20&lt;&gt;"",L20&lt;&gt;0),L20/I20,"")</s:f>
        <s:v>1.0768271153900708</s:v>
      </s:c>
      <s:c r="N20" s="84">
        <s:f>IF(AND(J20&lt;&gt;0,J20&lt;&gt;"",I20&lt;&gt;0,I20&lt;&gt;""),L20-I20,"")</s:f>
        <s:v>1.6901965385815565E-2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1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661" t="s">
        <s:v>25</s:v>
      </s:c>
      <s:c r="C22" s="661"/>
      <s:c r="D22" s="661"/>
      <s:c r="E22" s="661"/>
      <s:c r="F22" s="661"/>
      <s:c r="G22" s="661"/>
      <s:c r="H22" s="661"/>
      <s:c r="I22" s="661"/>
      <s:c r="J22" s="661"/>
      <s:c r="K22" s="661"/>
      <s:c r="L22" s="661"/>
      <s:c r="M22" s="661"/>
      <s:c r="N22" s="661"/>
      <s:c r="O22" s="662" t="s">
        <s:v>26</s:v>
      </s:c>
      <s:c r="P22" s="661" t="s">
        <s:v>27</s:v>
      </s:c>
      <s:c r="Q22" s="661"/>
      <s:c r="R22" s="661"/>
      <s:c r="S22" s="661"/>
      <s:c r="T22" s="661"/>
      <s:c r="U22" s="661"/>
      <s:c r="V22" s="661"/>
      <s:c r="W22" s="661"/>
    </s:row>
    <s:row r="23" ht="36">
      <s:c r="B23" s="232" t="s">
        <s:v>29</s:v>
      </s:c>
      <s:c r="C23" s="232" t="s">
        <s:v>30</s:v>
      </s:c>
      <s:c r="D23" s="232" t="s">
        <s:v>31</s:v>
      </s:c>
      <s:c r="E23" s="232" t="s">
        <s:v>32</s:v>
      </s:c>
      <s:c r="F23" s="232" t="s">
        <s:v>33</s:v>
      </s:c>
      <s:c r="G23" s="232" t="s">
        <s:v>34</s:v>
      </s:c>
      <s:c r="H23" s="232" t="s">
        <s:v>35</s:v>
      </s:c>
      <s:c r="I23" s="232" t="s">
        <s:v>23</s:v>
      </s:c>
      <s:c r="J23" s="232" t="s">
        <s:v>36</s:v>
      </s:c>
      <s:c r="K23" s="90" t="s">
        <s:v>22</s:v>
      </s:c>
      <s:c r="L23" s="90" t="s">
        <s:v>15</s:v>
      </s:c>
      <s:c r="M23" s="233" t="s">
        <s:v>37</s:v>
      </s:c>
      <s:c r="N23" s="232" t="s">
        <s:v>38</s:v>
      </s:c>
      <s:c r="O23" s="662"/>
      <s:c r="P23" s="232" t="s">
        <s:v>39</s:v>
      </s:c>
      <s:c r="Q23" s="232" t="s">
        <s:v>40</s:v>
      </s:c>
      <s:c r="R23" s="232" t="s">
        <s:v>41</s:v>
      </s:c>
      <s:c r="S23" s="232" t="s">
        <s:v>42</s:v>
      </s:c>
      <s:c r="T23" s="232" t="s">
        <s:v>43</s:v>
      </s:c>
      <s:c r="U23" s="232" t="s">
        <s:v>44</s:v>
      </s:c>
      <s:c r="V23" s="234" t="s">
        <s:v>45</s:v>
      </s:c>
      <s:c r="W23" s="234" t="s">
        <s:v>46</s:v>
      </s:c>
      <s:c r="X23" s="235"/>
    </s:row>
    <s:row r="24">
      <s:c r="B24" s="236">
        <s:v>1</s:v>
      </s:c>
      <s:c r="C24" s="237">
        <s:v>2</s:v>
      </s:c>
      <s:c r="D24" s="236">
        <s:v>3</s:v>
      </s:c>
      <s:c r="E24" s="236">
        <s:v>4</s:v>
      </s:c>
      <s:c r="F24" s="236">
        <s:v>5</s:v>
      </s:c>
      <s:c r="G24" s="236">
        <s:v>6</s:v>
      </s:c>
      <s:c r="H24" s="236">
        <s:v>7</s:v>
      </s:c>
      <s:c r="I24" s="236">
        <s:v>8</s:v>
      </s:c>
      <s:c r="J24" s="236">
        <s:v>9</s:v>
      </s:c>
      <s:c r="K24" s="236">
        <s:v>10</s:v>
      </s:c>
      <s:c r="L24" s="236">
        <s:v>11</s:v>
      </s:c>
      <s:c r="M24" s="236">
        <s:v>12</s:v>
      </s:c>
      <s:c r="N24" s="236">
        <s:v>13</s:v>
      </s:c>
      <s:c r="O24" s="662"/>
      <s:c r="P24" s="238">
        <s:v>1</s:v>
      </s:c>
      <s:c r="Q24" s="238">
        <s:v>2</s:v>
      </s:c>
      <s:c r="R24" s="238">
        <s:v>3</s:v>
      </s:c>
      <s:c r="S24" s="238">
        <s:v>4</s:v>
      </s:c>
      <s:c r="T24" s="238">
        <s:v>5</s:v>
      </s:c>
      <s:c r="U24" s="238">
        <s:v>6</s:v>
      </s:c>
      <s:c r="V24" s="238">
        <s:v>10</s:v>
      </s:c>
      <s:c r="W24" s="238">
        <s:v>11</s:v>
      </s:c>
    </s:row>
    <s:row r="25">
      <s:c r="A25" s="113">
        <s:v>1</s:v>
      </s:c>
      <s:c r="B25" s="114">
        <s:v>45778</s:v>
      </s:c>
      <s:c r="C25" s="115" t="s">
        <s:v>48</s:v>
      </s:c>
      <s:c r="D25" s="116">
        <s:f>83582+L25</s:f>
        <s:v>125351</s:v>
      </s:c>
      <s:c r="E25" s="117">
        <s:v>23</s:v>
      </s:c>
      <s:c r="F25" s="117">
        <s:f>IF(AND(E25&lt;&gt;"",E25&lt;&gt;0),D25/E25,"")</s:f>
        <s:v>5450.04347826087</s:v>
      </s:c>
      <s:c r="G25" s="117">
        <s:v>14</s:v>
      </s:c>
      <s:c r="H25" s="117">
        <s:f>IF(AND(G25&lt;&gt;"",G25&lt;&gt;0),D25/G25,"")</s:f>
        <s:v>8953.6428571428569</s:v>
      </s:c>
      <s:c r="I25" s="117">
        <s:v>35</s:v>
      </s:c>
      <s:c r="J25" s="116">
        <s:f>IF(AND(G25&lt;&gt;"",G25&lt;&gt;0),E25/G25,"")</s:f>
        <s:v>1.6428571428571428</s:v>
      </s:c>
      <s:c r="K25" s="117">
        <s:v>0</s:v>
      </s:c>
      <s:c r="L25" s="117">
        <s:f>53175-11406</s:f>
        <s:v>41769</s:v>
      </s:c>
      <s:c r="M25" s="117"/>
      <s:c r="N25" s="118">
        <s:f>IF(AND(I25&lt;&gt;"",I25&lt;&gt;0),G25/I25,"")</s:f>
        <s:v>0.4</s:v>
      </s:c>
      <s:c r="O25" s="119">
        <s:f>D25/P25</s:f>
        <s:v>2.2346431750686606</s:v>
      </s:c>
      <s:c r="P25" s="120">
        <s:f>$I$8*V25*W25/SUMPRODUCT($W$25:$W$55,$V$25:$V$55)</s:f>
        <s:v>56094.414266451517</s:v>
      </s:c>
      <s:c r="Q25" s="121">
        <s:f>$I$9*V25*W25/SUMPRODUCT($W$25:$W$55,$V$25:$V$55)</s:f>
        <s:v>10.787387358932985</s:v>
      </s:c>
      <s:c r="R25" s="121">
        <s:f>IF($I$12="","",Q25/$I$12)</s:f>
        <s:v>5.5605089479036005</s:v>
      </s:c>
      <s:c r="S25" s="120">
        <s:f>IF(D25&lt;&gt;"",D25,P25)</s:f>
        <s:v>125351</s:v>
      </s:c>
      <s:c r="T25" s="121">
        <s:f>IF(E25&lt;&gt;"",E25,Q25)</s:f>
        <s:v>23</s:v>
      </s:c>
      <s:c r="U25" s="121">
        <s:f>IF(G25&lt;&gt;"",G25,R25)</s:f>
        <s:v>14</s:v>
      </s:c>
      <s:c r="V25" s="122">
        <s:v>0.90048519598893295</s:v>
      </s:c>
      <s:c r="W25" s="122">
        <s:v>0.90048519598893295</s:v>
      </s:c>
      <s:c r="X25" s="239"/>
      <s:c r="Y25" s="124"/>
    </s:row>
    <s:row r="26">
      <s:c r="A26" s="113">
        <s:v>2</s:v>
      </s:c>
      <s:c r="B26" s="114">
        <s:v>45779</s:v>
      </s:c>
      <s:c r="C26" s="115" t="s">
        <s:v>49</s:v>
      </s:c>
      <s:c r="D26" s="116">
        <s:v>88513</s:v>
      </s:c>
      <s:c r="E26" s="117">
        <s:v>20</s:v>
      </s:c>
      <s:c r="F26" s="117">
        <s:f>IF(AND(E26&lt;&gt;"",E26&lt;&gt;0),D26/E26,"")</s:f>
        <s:v>4425.6499999999996</s:v>
      </s:c>
      <s:c r="G26" s="117">
        <s:v>8</s:v>
      </s:c>
      <s:c r="H26" s="117">
        <s:f>IF(AND(G26&lt;&gt;"",G26&lt;&gt;0),D26/G26,"")</s:f>
        <s:v>11064.125</s:v>
      </s:c>
      <s:c r="I26" s="117">
        <s:v>35</s:v>
      </s:c>
      <s:c r="J26" s="116">
        <s:f>IF(AND(G26&lt;&gt;"",G26&lt;&gt;0),E26/G26,"")</s:f>
        <s:v>2.5</s:v>
      </s:c>
      <s:c r="K26" s="117"/>
      <s:c r="L26" s="117"/>
      <s:c r="M26" s="117"/>
      <s:c r="N26" s="118">
        <s:f>IF(AND(I26&lt;&gt;"",I26&lt;&gt;0),G26/I26,"")</s:f>
        <s:v>0.22857142857142856</s:v>
      </s:c>
      <s:c r="O26" s="119">
        <s:f>D26/P26</s:f>
        <s:v>1.1361975476708601</s:v>
      </s:c>
      <s:c r="P26" s="120">
        <s:f>$I$8*V26*W26/SUMPRODUCT($W$25:$W$55,$V$25:$V$55)</s:f>
        <s:v>77902.826125128136</s:v>
      </s:c>
      <s:c r="Q26" s="121">
        <s:f>$I$9*V26*W26/SUMPRODUCT($W$25:$W$55,$V$25:$V$55)</s:f>
        <s:v>14.981312716370796</s:v>
      </s:c>
      <s:c r="R26" s="121">
        <s:f>IF($I$12="","",Q26/$I$12)</s:f>
        <s:v>7.722326142459174</s:v>
      </s:c>
      <s:c r="S26" s="120">
        <s:f>IF(W26&lt;&gt;"",IF(D26&lt;&gt;"",D26,($I$8-SUM($S$25:S25))*V26*W26/SUMPRODUCT($W26:$W$55,$V26:$V$55)),"")</s:f>
        <s:v>88513</s:v>
      </s:c>
      <s:c r="T26" s="121">
        <s:f>IF(W26&lt;&gt;"",IF(E26&lt;&gt;"",E26,($I$9-SUM($T$25:T25))*V26*W26/SUMPRODUCT($W26:$W$55,$V26:$V$55)),"")</s:f>
        <s:v>20</s:v>
      </s:c>
      <s:c r="U26" s="121">
        <s:f>IF(W26&lt;&gt;"",IF($I$12&lt;&gt;"",IF(G26&lt;&gt;"",G26,($I$9/$I$12-SUM($U$25:U25))*V26*W26/SUMPRODUCT($W26:$W$55,$V26:$V$55)),""),"")</s:f>
        <s:v>8</s:v>
      </s:c>
      <s:c r="V26" s="122">
        <s:v>1.0611905531725472</s:v>
      </s:c>
      <s:c r="W26" s="122">
        <s:v>1.0611905531725472</s:v>
      </s:c>
      <s:c r="X26" s="123"/>
      <s:c r="Y26" s="124"/>
    </s:row>
    <s:row r="27">
      <s:c r="A27" s="113">
        <s:v>3</s:v>
      </s:c>
      <s:c r="B27" s="114">
        <s:v>45780</s:v>
      </s:c>
      <s:c r="C27" s="115" t="s">
        <s:v>51</s:v>
      </s:c>
      <s:c r="D27" s="116">
        <s:v>99865</s:v>
      </s:c>
      <s:c r="E27" s="117">
        <s:v>16</s:v>
      </s:c>
      <s:c r="F27" s="117">
        <s:f>IF(AND(E27&lt;&gt;"",E27&lt;&gt;0),D27/E27,"")</s:f>
        <s:v>6241.5625</s:v>
      </s:c>
      <s:c r="G27" s="117">
        <s:v>10</s:v>
      </s:c>
      <s:c r="H27" s="117">
        <s:f>IF(AND(G27&lt;&gt;"",G27&lt;&gt;0),D27/G27,"")</s:f>
        <s:v>9986.5</s:v>
      </s:c>
      <s:c r="I27" s="117">
        <s:v>23</s:v>
      </s:c>
      <s:c r="J27" s="116">
        <s:f>IF(AND(G27&lt;&gt;"",G27&lt;&gt;0),E27/G27,"")</s:f>
        <s:v>1.6</s:v>
      </s:c>
      <s:c r="K27" s="117">
        <s:v>31972</s:v>
      </s:c>
      <s:c r="L27" s="117">
        <s:f>5803+8903</s:f>
        <s:v>14706</s:v>
      </s:c>
      <s:c r="M27" s="117"/>
      <s:c r="N27" s="118">
        <s:f>IF(AND(I27&lt;&gt;"",I27&lt;&gt;0),G27/I27,"")</s:f>
        <s:v>0.43478260869565216</s:v>
      </s:c>
      <s:c r="O27" s="119">
        <s:f>D27/P27</s:f>
        <s:v>2.3675341446441593</s:v>
      </s:c>
      <s:c r="P27" s="120">
        <s:f>$I$8*V27*W27/SUMPRODUCT($W$25:$W$55,$V$25:$V$55)</s:f>
        <s:v>42181.017843360278</s:v>
      </s:c>
      <s:c r="Q27" s="121">
        <s:f>$I$9*V27*W27/SUMPRODUCT($W$25:$W$55,$V$25:$V$55)</s:f>
        <s:v>8.1117342006462057</s:v>
      </s:c>
      <s:c r="R27" s="121">
        <s:f>IF($I$12="","",Q27/$I$12)</s:f>
        <s:v>4.1813062889928894</s:v>
      </s:c>
      <s:c r="S27" s="120">
        <s:f>IF(W27&lt;&gt;"",IF(D27&lt;&gt;"",D27,($I$8-SUM($S$25:S26))*V27*W27/SUMPRODUCT($W27:$W$55,$V27:$V$55)),"")</s:f>
        <s:v>99865</s:v>
      </s:c>
      <s:c r="T27" s="121">
        <s:f>IF(W27&lt;&gt;"",IF(E27&lt;&gt;"",E27,($I$9-SUM($T$25:T26))*V27*W27/SUMPRODUCT($W27:$W$55,$V27:$V$55)),"")</s:f>
        <s:v>16</s:v>
      </s:c>
      <s:c r="U27" s="121">
        <s:f>IF(W27&lt;&gt;"",IF($I$12&lt;&gt;"",IF(G27&lt;&gt;"",G27,($I$9/$I$12-SUM($U$25:U26))*V27*W27/SUMPRODUCT($W27:$W$55,$V27:$V$55)),""),"")</s:f>
        <s:v>10</s:v>
      </s:c>
      <s:c r="V27" s="122">
        <s:v>0.78086381145976858</s:v>
      </s:c>
      <s:c r="W27" s="122">
        <s:v>0.78086381145976858</s:v>
      </s:c>
      <s:c r="X27" s="123"/>
      <s:c r="Y27" s="240"/>
      <s:c r="Z27" s="2"/>
      <s:c r="AA27" s="2"/>
      <s:c r="AB27" s="2"/>
      <s:c r="AC27" s="2"/>
      <s:c r="AD27" s="2"/>
    </s:row>
    <s:row r="28" spans="1:255" s="241" customFormat="1">
      <s:c r="A28" s="113">
        <s:v>4</s:v>
      </s:c>
      <s:c r="B28" s="114">
        <s:v>45781</s:v>
      </s:c>
      <s:c r="C28" s="115" t="s">
        <s:v>53</s:v>
      </s:c>
      <s:c r="D28" s="116">
        <s:v>46148</s:v>
      </s:c>
      <s:c r="E28" s="117">
        <s:v>11</s:v>
      </s:c>
      <s:c r="F28" s="117">
        <s:f>IF(AND(E28&lt;&gt;"",E28&lt;&gt;0),D28/E28,"")</s:f>
        <s:v>4195.272727272727</s:v>
      </s:c>
      <s:c r="G28" s="117">
        <s:v>6</s:v>
      </s:c>
      <s:c r="H28" s="117">
        <s:f>IF(AND(G28&lt;&gt;"",G28&lt;&gt;0),D28/G28,"")</s:f>
        <s:v>7691.333333333333</s:v>
      </s:c>
      <s:c r="I28" s="117">
        <s:v>20</s:v>
      </s:c>
      <s:c r="J28" s="116">
        <s:f>IF(AND(G28&lt;&gt;"",G28&lt;&gt;0),E28/G28,"")</s:f>
        <s:v>1.8333333333333333</s:v>
      </s:c>
      <s:c r="K28" s="117"/>
      <s:c r="L28" s="117"/>
      <s:c r="M28" s="117"/>
      <s:c r="N28" s="118">
        <s:f>IF(AND(I28&lt;&gt;"",I28&lt;&gt;0),G28/I28,"")</s:f>
        <s:v>0.3</s:v>
      </s:c>
      <s:c r="O28" s="119">
        <s:f>D28/P28</s:f>
        <s:v>0.61204990302116258</s:v>
      </s:c>
      <s:c r="P28" s="120">
        <s:f>$I$8*V28*W28/SUMPRODUCT($W$25:$W$55,$V$25:$V$55)</s:f>
        <s:v>75399.080650461867</s:v>
      </s:c>
      <s:c r="Q28" s="121">
        <s:f>$I$9*V28*W28/SUMPRODUCT($W$25:$W$55,$V$25:$V$55)</s:f>
        <s:v>14.4998232020119</s:v>
      </s:c>
      <s:c r="R28" s="121">
        <s:f>IF($I$12="","",Q28/$I$12)</s:f>
        <s:v>7.4741356711401545</s:v>
      </s:c>
      <s:c r="S28" s="120">
        <s:f>IF(W28&lt;&gt;"",IF(D28&lt;&gt;"",D28,($I$8-SUM($S$25:S27))*V28*W28/SUMPRODUCT($W28:$W$55,$V28:$V$55)),"")</s:f>
        <s:v>46148</s:v>
      </s:c>
      <s:c r="T28" s="121">
        <s:f>IF(W28&lt;&gt;"",IF(E28&lt;&gt;"",E28,($I$9-SUM($T$25:T27))*V28*W28/SUMPRODUCT($W28:$W$55,$V28:$V$55)),"")</s:f>
        <s:v>11</s:v>
      </s:c>
      <s:c r="U28" s="121">
        <s:f>IF(W28&lt;&gt;"",IF($I$12&lt;&gt;"",IF(G28&lt;&gt;"",G28,($I$9/$I$12-SUM($U$25:U27))*V28*W28/SUMPRODUCT($W28:$W$55,$V28:$V$55)),""),"")</s:f>
        <s:v>6</s:v>
      </s:c>
      <s:c r="V28" s="122">
        <s:v>1.0439983057913622</s:v>
      </s:c>
      <s:c r="W28" s="122">
        <s:v>1.0439983057913622</s:v>
      </s:c>
      <s:c r="X28" s="123"/>
      <s:c r="Y28" s="124"/>
      <s:c r="Z28" s="2"/>
      <s:c r="AA28" s="2"/>
      <s:c r="AB28" s="2"/>
      <s:c r="AC28" s="2"/>
      <s:c r="AD28" s="2"/>
      <s:c r="AE28" s="2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  <s:c r="AP28" s="2"/>
      <s:c r="AQ28" s="2"/>
      <s:c r="AR28" s="2"/>
      <s:c r="AS28" s="2"/>
      <s:c r="AT28" s="2"/>
      <s:c r="AU28" s="2"/>
      <s:c r="AV28" s="2"/>
      <s:c r="AW28" s="2"/>
      <s:c r="AX28" s="2"/>
      <s:c r="AY28" s="2"/>
      <s:c r="AZ28" s="2"/>
      <s:c r="BA28" s="2"/>
      <s:c r="BB28" s="2"/>
      <s:c r="BC28" s="2"/>
      <s:c r="BD28" s="2"/>
      <s:c r="BE28" s="2"/>
      <s:c r="BF28" s="2"/>
      <s:c r="BG28" s="2"/>
      <s:c r="BH28" s="2"/>
      <s:c r="BI28" s="2"/>
      <s:c r="BJ28" s="2"/>
      <s:c r="BK28" s="2"/>
      <s:c r="BL28" s="2"/>
      <s:c r="BM28" s="2"/>
      <s:c r="BN28" s="2"/>
      <s:c r="BO28" s="2"/>
      <s:c r="BP28" s="2"/>
      <s:c r="BQ28" s="2"/>
      <s:c r="BR28" s="2"/>
      <s:c r="BS28" s="2"/>
      <s:c r="BT28" s="2"/>
      <s:c r="BU28" s="2"/>
      <s:c r="BV28" s="2"/>
      <s:c r="BW28" s="2"/>
      <s:c r="BX28" s="2"/>
      <s:c r="BY28" s="2"/>
      <s:c r="BZ28" s="2"/>
      <s:c r="CA28" s="2"/>
      <s:c r="CB28" s="2"/>
      <s:c r="CC28" s="2"/>
      <s:c r="CD28" s="2"/>
      <s:c r="CE28" s="2"/>
      <s:c r="CF28" s="2"/>
      <s:c r="CG28" s="2"/>
      <s:c r="CH28" s="2"/>
      <s:c r="CI28" s="2"/>
      <s:c r="CJ28" s="2"/>
      <s:c r="CK28" s="2"/>
      <s:c r="CL28" s="2"/>
      <s:c r="CM28" s="2"/>
      <s:c r="CN28" s="2"/>
      <s:c r="CO28" s="2"/>
      <s:c r="CP28" s="2"/>
      <s:c r="CQ28" s="2"/>
      <s:c r="CR28" s="2"/>
      <s:c r="CS28" s="2"/>
      <s:c r="CT28" s="2"/>
      <s:c r="CU28" s="2"/>
      <s:c r="CV28" s="2"/>
      <s:c r="CW28" s="2"/>
      <s:c r="CX28" s="2"/>
      <s:c r="CY28" s="2"/>
      <s:c r="CZ28" s="2"/>
      <s:c r="DA28" s="2"/>
      <s:c r="DB28" s="2"/>
      <s:c r="DC28" s="2"/>
      <s:c r="DD28" s="2"/>
      <s:c r="DE28" s="2"/>
      <s:c r="DF28" s="2"/>
      <s:c r="DG28" s="2"/>
      <s:c r="DH28" s="2"/>
      <s:c r="DI28" s="2"/>
      <s:c r="DJ28" s="2"/>
      <s:c r="DK28" s="2"/>
      <s:c r="DL28" s="2"/>
      <s:c r="DM28" s="2"/>
      <s:c r="DN28" s="2"/>
      <s:c r="DO28" s="2"/>
      <s:c r="DP28" s="2"/>
      <s:c r="DQ28" s="2"/>
      <s:c r="DR28" s="2"/>
      <s:c r="DS28" s="2"/>
      <s:c r="DT28" s="2"/>
      <s:c r="DU28" s="2"/>
      <s:c r="DV28" s="2"/>
      <s:c r="DW28" s="2"/>
      <s:c r="DX28" s="2"/>
      <s:c r="DY28" s="2"/>
      <s:c r="DZ28" s="2"/>
      <s:c r="EA28" s="2"/>
      <s:c r="EB28" s="2"/>
      <s:c r="EC28" s="2"/>
      <s:c r="ED28" s="2"/>
      <s:c r="EE28" s="2"/>
      <s:c r="EF28" s="2"/>
      <s:c r="EG28" s="2"/>
      <s:c r="EH28" s="2"/>
      <s:c r="EI28" s="2"/>
      <s:c r="EJ28" s="2"/>
      <s:c r="EK28" s="2"/>
      <s:c r="EL28" s="2"/>
      <s:c r="EM28" s="2"/>
      <s:c r="EN28" s="2"/>
      <s:c r="EO28" s="2"/>
      <s:c r="EP28" s="2"/>
      <s:c r="EQ28" s="2"/>
      <s:c r="ER28" s="2"/>
      <s:c r="ES28" s="2"/>
      <s:c r="ET28" s="2"/>
      <s:c r="EU28" s="2"/>
      <s:c r="EV28" s="2"/>
      <s:c r="EW28" s="2"/>
      <s:c r="EX28" s="2"/>
      <s:c r="EY28" s="2"/>
      <s:c r="EZ28" s="2"/>
      <s:c r="FA28" s="2"/>
      <s:c r="FB28" s="2"/>
      <s:c r="FC28" s="2"/>
      <s:c r="FD28" s="2"/>
      <s:c r="FE28" s="2"/>
      <s:c r="FF28" s="2"/>
      <s:c r="FG28" s="2"/>
      <s:c r="FH28" s="2"/>
      <s:c r="FI28" s="2"/>
      <s:c r="FJ28" s="2"/>
      <s:c r="FK28" s="2"/>
      <s:c r="FL28" s="2"/>
      <s:c r="FM28" s="2"/>
      <s:c r="FN28" s="2"/>
      <s:c r="FO28" s="2"/>
      <s:c r="FP28" s="2"/>
      <s:c r="FQ28" s="2"/>
      <s:c r="FR28" s="2"/>
      <s:c r="FS28" s="2"/>
      <s:c r="FT28" s="2"/>
      <s:c r="FU28" s="2"/>
      <s:c r="FV28" s="2"/>
      <s:c r="FW28" s="2"/>
      <s:c r="FX28" s="2"/>
      <s:c r="FY28" s="2"/>
      <s:c r="FZ28" s="2"/>
      <s:c r="GA28" s="2"/>
      <s:c r="GB28" s="2"/>
      <s:c r="GC28" s="2"/>
      <s:c r="GD28" s="2"/>
      <s:c r="GE28" s="2"/>
      <s:c r="GF28" s="2"/>
      <s:c r="GG28" s="2"/>
      <s:c r="GH28" s="2"/>
      <s:c r="GI28" s="2"/>
      <s:c r="GJ28" s="2"/>
      <s:c r="GK28" s="2"/>
      <s:c r="GL28" s="2"/>
      <s:c r="GM28" s="2"/>
      <s:c r="GN28" s="2"/>
      <s:c r="GO28" s="2"/>
      <s:c r="GP28" s="2"/>
      <s:c r="GQ28" s="2"/>
      <s:c r="GR28" s="2"/>
      <s:c r="GS28" s="2"/>
      <s:c r="GT28" s="2"/>
      <s:c r="GU28" s="2"/>
      <s:c r="GV28" s="2"/>
      <s:c r="GW28" s="2"/>
      <s:c r="GX28" s="2"/>
      <s:c r="GY28" s="2"/>
      <s:c r="GZ28" s="2"/>
      <s:c r="HA28" s="2"/>
      <s:c r="HB28" s="2"/>
      <s:c r="HC28" s="2"/>
      <s:c r="HD28" s="2"/>
      <s:c r="HE28" s="2"/>
      <s:c r="HF28" s="2"/>
      <s:c r="HG28" s="2"/>
      <s:c r="HH28" s="2"/>
      <s:c r="HI28" s="2"/>
      <s:c r="HJ28" s="2"/>
      <s:c r="HK28" s="2"/>
      <s:c r="HL28" s="2"/>
      <s:c r="HM28" s="2"/>
      <s:c r="HN28" s="2"/>
      <s:c r="HO28" s="2"/>
      <s:c r="HP28" s="2"/>
      <s:c r="HQ28" s="2"/>
      <s:c r="HR28" s="2"/>
      <s:c r="HS28" s="2"/>
      <s:c r="HT28" s="2"/>
      <s:c r="HU28" s="2"/>
      <s:c r="HV28" s="2"/>
      <s:c r="HW28" s="2"/>
      <s:c r="HX28" s="2"/>
      <s:c r="HY28" s="2"/>
      <s:c r="HZ28" s="2"/>
      <s:c r="IA28" s="2"/>
      <s:c r="IB28" s="2"/>
      <s:c r="IC28" s="2"/>
      <s:c r="ID28" s="2"/>
      <s:c r="IE28" s="2"/>
      <s:c r="IF28" s="2"/>
      <s:c r="IG28" s="2"/>
      <s:c r="IH28" s="2"/>
      <s:c r="II28" s="2"/>
      <s:c r="IJ28" s="2"/>
      <s:c r="IK28" s="2"/>
      <s:c r="IL28" s="2"/>
      <s:c r="IM28" s="2"/>
      <s:c r="IN28" s="2"/>
      <s:c r="IO28" s="2"/>
      <s:c r="IP28" s="2"/>
      <s:c r="IQ28" s="2"/>
      <s:c r="IR28" s="2"/>
      <s:c r="IS28" s="2"/>
      <s:c r="IT28" s="2"/>
      <s:c r="IU28" s="2"/>
    </s:row>
    <s:row r="29">
      <s:c r="A29" s="113">
        <s:v>5</s:v>
      </s:c>
      <s:c r="B29" s="114">
        <s:v>45782</s:v>
      </s:c>
      <s:c r="C29" s="115" t="s">
        <s:v>54</s:v>
      </s:c>
      <s:c r="D29" s="116">
        <s:f>51615+47305</s:f>
        <s:v>98920</s:v>
      </s:c>
      <s:c r="E29" s="117">
        <s:v>16</s:v>
      </s:c>
      <s:c r="F29" s="117">
        <s:f>IF(AND(E29&lt;&gt;"",E29&lt;&gt;0),D29/E29,"")</s:f>
        <s:v>6182.5</s:v>
      </s:c>
      <s:c r="G29" s="117">
        <s:v>6</s:v>
      </s:c>
      <s:c r="H29" s="117">
        <s:f>IF(AND(G29&lt;&gt;"",G29&lt;&gt;0),D29/G29,"")</s:f>
        <s:v>16486.666666666668</s:v>
      </s:c>
      <s:c r="I29" s="117">
        <s:v>35</s:v>
      </s:c>
      <s:c r="J29" s="116">
        <s:f>IF(AND(G29&lt;&gt;"",G29&lt;&gt;0),E29/G29,"")</s:f>
        <s:v>2.6666666666666665</s:v>
      </s:c>
      <s:c r="K29" s="117"/>
      <s:c r="L29" s="117">
        <s:v>47305</s:v>
      </s:c>
      <s:c r="M29" s="117"/>
      <s:c r="N29" s="118">
        <s:f>IF(AND(I29&lt;&gt;"",I29&lt;&gt;0),G29/I29,"")</s:f>
        <s:v>0.17142857142857143</s:v>
      </s:c>
      <s:c r="O29" s="119">
        <s:f>D29/P29</s:f>
        <s:v>2.345130702330148</s:v>
      </s:c>
      <s:c r="P29" s="120">
        <s:f>$I$8*V29*W29/SUMPRODUCT($W$25:$W$55,$V$25:$V$55)</s:f>
        <s:v>42181.017843360278</s:v>
      </s:c>
      <s:c r="Q29" s="121">
        <s:f>$I$9*V29*W29/SUMPRODUCT($W$25:$W$55,$V$25:$V$55)</s:f>
        <s:v>8.1117342006462057</s:v>
      </s:c>
      <s:c r="R29" s="121">
        <s:f>IF($I$12="","",Q29/$I$12)</s:f>
        <s:v>4.1813062889928894</s:v>
      </s:c>
      <s:c r="S29" s="120">
        <s:f>IF(W29&lt;&gt;"",IF(D29&lt;&gt;"",D29,($I$8-SUM($S$25:S28))*V29*W29/SUMPRODUCT($W29:$W$55,$V29:$V$55)),"")</s:f>
        <s:v>98920</s:v>
      </s:c>
      <s:c r="T29" s="121">
        <s:f>IF(W29&lt;&gt;"",IF(E29&lt;&gt;"",E29,($I$9-SUM($T$25:T28))*V29*W29/SUMPRODUCT($W29:$W$55,$V29:$V$55)),"")</s:f>
        <s:v>16</s:v>
      </s:c>
      <s:c r="U29" s="121">
        <s:f>IF(W29&lt;&gt;"",IF($I$12&lt;&gt;"",IF(G29&lt;&gt;"",G29,($I$9/$I$12-SUM($U$25:U28))*V29*W29/SUMPRODUCT($W29:$W$55,$V29:$V$55)),""),"")</s:f>
        <s:v>6</s:v>
      </s:c>
      <s:c r="V29" s="122">
        <s:v>0.78086381145976858</s:v>
      </s:c>
      <s:c r="W29" s="122">
        <s:v>0.78086381145976858</s:v>
      </s:c>
      <s:c r="X29" s="123"/>
      <s:c r="Y29" s="124"/>
      <s:c r="Z29" s="2"/>
      <s:c r="AA29" s="2"/>
      <s:c r="AB29" s="2"/>
      <s:c r="AC29" s="2"/>
      <s:c r="AD29" s="2"/>
    </s:row>
    <s:row r="30">
      <s:c r="A30" s="113">
        <s:v>6</s:v>
      </s:c>
      <s:c r="B30" s="114">
        <s:v>45783</s:v>
      </s:c>
      <s:c r="C30" s="115" t="s">
        <s:v>55</s:v>
      </s:c>
      <s:c r="D30" s="116">
        <s:f>24394+25902</s:f>
        <s:v>50296</s:v>
      </s:c>
      <s:c r="E30" s="117">
        <s:v>8</s:v>
      </s:c>
      <s:c r="F30" s="117">
        <s:f>IF(AND(E30&lt;&gt;"",E30&lt;&gt;0),D30/E30,"")</s:f>
        <s:v>6287</s:v>
      </s:c>
      <s:c r="G30" s="117">
        <s:v>6</s:v>
      </s:c>
      <s:c r="H30" s="117">
        <s:f>IF(AND(G30&lt;&gt;"",G30&lt;&gt;0),D30/G30,"")</s:f>
        <s:v>8382.6666666666661</s:v>
      </s:c>
      <s:c r="I30" s="117">
        <s:v>20</s:v>
      </s:c>
      <s:c r="J30" s="116">
        <s:f>IF(AND(G30&lt;&gt;"",G30&lt;&gt;0),E30/G30,"")</s:f>
        <s:v>1.3333333333333333</s:v>
      </s:c>
      <s:c r="K30" s="117"/>
      <s:c r="L30" s="117">
        <s:v>25902</s:v>
      </s:c>
      <s:c r="M30" s="117"/>
      <s:c r="N30" s="118">
        <s:f>IF(AND(I30&lt;&gt;"",I30&lt;&gt;0),G30/I30,"")</s:f>
        <s:v>0.3</s:v>
      </s:c>
      <s:c r="O30" s="119">
        <s:f>D30/P30</s:f>
        <s:v>1.0962652132932065</s:v>
      </s:c>
      <s:c r="P30" s="120">
        <s:f>$I$8*V30*W30/SUMPRODUCT($W$25:$W$55,$V$25:$V$55)</s:f>
        <s:v>45879.408915028536</s:v>
      </s:c>
      <s:c r="Q30" s="121">
        <s:f>$I$9*V30*W30/SUMPRODUCT($W$25:$W$55,$V$25:$V$55)</s:f>
        <s:v>8.8229632528901032</s:v>
      </s:c>
      <s:c r="R30" s="121">
        <s:f>IF($I$12="","",Q30/$I$12)</s:f>
        <s:v>4.5479192025206716</s:v>
      </s:c>
      <s:c r="S30" s="120">
        <s:f>IF(W30&lt;&gt;"",IF(D30&lt;&gt;"",D30,($I$8-SUM($S$25:S29))*V30*W30/SUMPRODUCT($W30:$W$55,$V30:$V$55)),"")</s:f>
        <s:v>50296</s:v>
      </s:c>
      <s:c r="T30" s="121">
        <s:f>IF(W30&lt;&gt;"",IF(E30&lt;&gt;"",E30,($I$9-SUM($T$25:T29))*V30*W30/SUMPRODUCT($W30:$W$55,$V30:$V$55)),"")</s:f>
        <s:v>8</s:v>
      </s:c>
      <s:c r="U30" s="121">
        <s:f>IF(W30&lt;&gt;"",IF($I$12&lt;&gt;"",IF(G30&lt;&gt;"",G30,($I$9/$I$12-SUM($U$25:U29))*V30*W30/SUMPRODUCT($W30:$W$55,$V30:$V$55)),""),"")</s:f>
        <s:v>6</s:v>
      </s:c>
      <s:c r="V30" s="122">
        <s:v>0.81437733010747548</s:v>
      </s:c>
      <s:c r="W30" s="122">
        <s:v>0.81437733010747548</s:v>
      </s:c>
      <s:c r="X30" s="123"/>
      <s:c r="Y30" s="124"/>
      <s:c r="Z30" s="2"/>
      <s:c r="AA30" s="2"/>
      <s:c r="AB30" s="2"/>
      <s:c r="AC30" s="2"/>
      <s:c r="AD30" s="2"/>
    </s:row>
    <s:row r="31">
      <s:c r="A31" s="113">
        <s:v>7</s:v>
      </s:c>
      <s:c r="B31" s="114">
        <s:v>45784</s:v>
      </s:c>
      <s:c r="C31" s="115" t="s">
        <s:v>56</s:v>
      </s:c>
      <s:c r="D31" s="116">
        <s:v>64709</s:v>
      </s:c>
      <s:c r="E31" s="117">
        <s:v>7</s:v>
      </s:c>
      <s:c r="F31" s="117">
        <s:v>9244</s:v>
      </s:c>
      <s:c r="G31" s="117">
        <s:v>4</s:v>
      </s:c>
      <s:c r="H31" s="117">
        <s:f>IF(AND(G31&lt;&gt;"",G31&lt;&gt;0),D31/G31,"")</s:f>
        <s:v>16177.25</s:v>
      </s:c>
      <s:c r="I31" s="117">
        <s:v>20</s:v>
      </s:c>
      <s:c r="J31" s="116">
        <s:f>IF(AND(G31&lt;&gt;"",G31&lt;&gt;0),E31/G31,"")</s:f>
        <s:v>1.75</s:v>
      </s:c>
      <s:c r="K31" s="117">
        <s:v>45563</s:v>
      </s:c>
      <s:c r="L31" s="117">
        <s:v>10623</s:v>
      </s:c>
      <s:c r="M31" s="117"/>
      <s:c r="N31" s="118">
        <s:f>IF(AND(I31&lt;&gt;"",I31&lt;&gt;0),G31/I31,"")</s:f>
        <s:v>0.2</s:v>
      </s:c>
      <s:c r="O31" s="119">
        <s:f>D31/P31</s:f>
        <s:v>1.4104148577817341</s:v>
      </s:c>
      <s:c r="P31" s="120">
        <s:f>$I$8*V31*W31/SUMPRODUCT($W$25:$W$55,$V$25:$V$55)</s:f>
        <s:v>45879.408915028536</s:v>
      </s:c>
      <s:c r="Q31" s="121">
        <s:f>$I$9*V31*W31/SUMPRODUCT($W$25:$W$55,$V$25:$V$55)</s:f>
        <s:v>8.8229632528901032</s:v>
      </s:c>
      <s:c r="R31" s="121">
        <s:f>IF($I$12="","",Q31/$I$12)</s:f>
        <s:v>4.5479192025206716</s:v>
      </s:c>
      <s:c r="S31" s="120">
        <s:f>IF(W31&lt;&gt;"",IF(D31&lt;&gt;"",D31,($I$8-SUM($S$25:S30))*V31*W31/SUMPRODUCT($W31:$W$55,$V31:$V$55)),"")</s:f>
        <s:v>64709</s:v>
      </s:c>
      <s:c r="T31" s="121">
        <s:f>IF(W31&lt;&gt;"",IF(E31&lt;&gt;"",E31,($I$9-SUM($T$25:T30))*V31*W31/SUMPRODUCT($W31:$W$55,$V31:$V$55)),"")</s:f>
        <s:v>7</s:v>
      </s:c>
      <s:c r="U31" s="121">
        <s:f>IF(W31&lt;&gt;"",IF($I$12&lt;&gt;"",IF(G31&lt;&gt;"",G31,($I$9/$I$12-SUM($U$25:U30))*V31*W31/SUMPRODUCT($W31:$W$55,$V31:$V$55)),""),"")</s:f>
        <s:v>4</s:v>
      </s:c>
      <s:c r="V31" s="122">
        <s:v>0.81437733010747548</s:v>
      </s:c>
      <s:c r="W31" s="122">
        <s:v>0.81437733010747548</s:v>
      </s:c>
      <s:c r="X31" s="123"/>
      <s:c r="Y31" s="124"/>
    </s:row>
    <s:row r="32">
      <s:c r="A32" s="113">
        <s:v>8</s:v>
      </s:c>
      <s:c r="B32" s="114">
        <s:v>45785</s:v>
      </s:c>
      <s:c r="C32" s="115" t="s">
        <s:v>48</s:v>
      </s:c>
      <s:c r="D32" s="116">
        <s:f>35423+11693+8423</s:f>
        <s:v>55539</s:v>
      </s:c>
      <s:c r="E32" s="117">
        <s:v>11</s:v>
      </s:c>
      <s:c r="F32" s="117">
        <s:f>IF(AND(E32&lt;&gt;"",E32&lt;&gt;0),D32/E32,"")</s:f>
        <s:v>5049</s:v>
      </s:c>
      <s:c r="G32" s="117">
        <s:v>6</s:v>
      </s:c>
      <s:c r="H32" s="117">
        <s:f>IF(AND(G32&lt;&gt;"",G32&lt;&gt;0),D32/G32,"")</s:f>
        <s:v>9256.5</s:v>
      </s:c>
      <s:c r="I32" s="117">
        <s:v>20</s:v>
      </s:c>
      <s:c r="J32" s="116">
        <s:f>IF(AND(G32&lt;&gt;"",G32&lt;&gt;0),E32/G32,"")</s:f>
        <s:v>1.8333333333333333</s:v>
      </s:c>
      <s:c r="K32" s="117">
        <s:v>11693</s:v>
      </s:c>
      <s:c r="L32" s="117">
        <s:v>8423</s:v>
      </s:c>
      <s:c r="M32" s="117"/>
      <s:c r="N32" s="118">
        <s:f>IF(AND(I32&lt;&gt;"",I32&lt;&gt;0),G32/I32,"")</s:f>
        <s:v>0.3</s:v>
      </s:c>
      <s:c r="O32" s="119">
        <s:f>D32/P32</s:f>
        <s:v>1.2105430587142396</s:v>
      </s:c>
      <s:c r="P32" s="120">
        <s:f>$I$8*V32*W32/SUMPRODUCT($W$25:$W$55,$V$25:$V$55)</s:f>
        <s:v>45879.408915028536</s:v>
      </s:c>
      <s:c r="Q32" s="121">
        <s:f>$I$9*V32*W32/SUMPRODUCT($W$25:$W$55,$V$25:$V$55)</s:f>
        <s:v>8.8229632528901032</s:v>
      </s:c>
      <s:c r="R32" s="121">
        <s:f>IF($I$12="","",Q32/$I$12)</s:f>
        <s:v>4.5479192025206716</s:v>
      </s:c>
      <s:c r="S32" s="120">
        <s:f>IF(W32&lt;&gt;"",IF(D32&lt;&gt;"",D32,($I$8-SUM($S$25:S31))*V32*W32/SUMPRODUCT($W32:$W$55,$V32:$V$55)),"")</s:f>
        <s:v>55539</s:v>
      </s:c>
      <s:c r="T32" s="121">
        <s:f>IF(W32&lt;&gt;"",IF(E32&lt;&gt;"",E32,($I$9-SUM($T$25:T31))*V32*W32/SUMPRODUCT($W32:$W$55,$V32:$V$55)),"")</s:f>
        <s:v>11</s:v>
      </s:c>
      <s:c r="U32" s="121">
        <s:f>IF(W32&lt;&gt;"",IF($I$12&lt;&gt;"",IF(G32&lt;&gt;"",G32,($I$9/$I$12-SUM($U$25:U31))*V32*W32/SUMPRODUCT($W32:$W$55,$V32:$V$55)),""),"")</s:f>
        <s:v>6</s:v>
      </s:c>
      <s:c r="V32" s="122">
        <s:v>0.81437733010747548</s:v>
      </s:c>
      <s:c r="W32" s="122">
        <s:v>0.81437733010747548</s:v>
      </s:c>
      <s:c r="X32" s="123"/>
      <s:c r="Y32" s="124"/>
    </s:row>
    <s:row r="33">
      <s:c r="A33" s="113">
        <s:v>9</s:v>
      </s:c>
      <s:c r="B33" s="114">
        <s:v>45786</s:v>
      </s:c>
      <s:c r="C33" s="115" t="s">
        <s:v>49</s:v>
      </s:c>
      <s:c r="D33" s="116">
        <s:f>3792+61609+12724</s:f>
        <s:v>78125</s:v>
      </s:c>
      <s:c r="E33" s="117">
        <s:v>6</s:v>
      </s:c>
      <s:c r="F33" s="117">
        <s:f>IF(AND(E33&lt;&gt;"",E33&lt;&gt;0),D33/E33,"")</s:f>
        <s:v>13020.833333333334</s:v>
      </s:c>
      <s:c r="G33" s="117">
        <s:v>4</s:v>
      </s:c>
      <s:c r="H33" s="117">
        <s:f>IF(AND(G33&lt;&gt;"",G33&lt;&gt;0),D33/G33,"")</s:f>
        <s:v>19531.25</s:v>
      </s:c>
      <s:c r="I33" s="117">
        <s:v>20</s:v>
      </s:c>
      <s:c r="J33" s="116">
        <s:f>IF(AND(G33&lt;&gt;"",G33&lt;&gt;0),E33/G33,"")</s:f>
        <s:v>1.5</s:v>
      </s:c>
      <s:c r="K33" s="117">
        <s:v>61609</s:v>
      </s:c>
      <s:c r="L33" s="117">
        <s:v>12724</s:v>
      </s:c>
      <s:c r="M33" s="117"/>
      <s:c r="N33" s="118">
        <s:f>IF(AND(I33&lt;&gt;"",I33&lt;&gt;0),G33/I33,"")</s:f>
        <s:v>0.2</s:v>
      </s:c>
      <s:c r="O33" s="119">
        <s:f>D33/P33</s:f>
        <s:v>1.1293370276911803</s:v>
      </s:c>
      <s:c r="P33" s="120">
        <s:f>$I$8*V33*W33/SUMPRODUCT($W$25:$W$55,$V$25:$V$55)</s:f>
        <s:v>69177.75481046518</s:v>
      </s:c>
      <s:c r="Q33" s="121">
        <s:f>$I$9*V33*W33/SUMPRODUCT($W$25:$W$55,$V$25:$V$55)</s:f>
        <s:v>13.303414386627917</s:v>
      </s:c>
      <s:c r="R33" s="121">
        <s:f>IF($I$12="","",Q33/$I$12)</s:f>
        <s:v>6.8574300961999572</s:v>
      </s:c>
      <s:c r="S33" s="120">
        <s:f>IF(W33&lt;&gt;"",IF(D33&lt;&gt;"",D33,($I$8-SUM($S$25:S32))*V33*W33/SUMPRODUCT($W33:$W$55,$V33:$V$55)),"")</s:f>
        <s:v>78125</s:v>
      </s:c>
      <s:c r="T33" s="121">
        <s:f>IF(W33&lt;&gt;"",IF(E33&lt;&gt;"",E33,($I$9-SUM($T$25:T32))*V33*W33/SUMPRODUCT($W33:$W$55,$V33:$V$55)),"")</s:f>
        <s:v>6</s:v>
      </s:c>
      <s:c r="U33" s="121">
        <s:f>IF(W33&lt;&gt;"",IF($I$12&lt;&gt;"",IF(G33&lt;&gt;"",G33,($I$9/$I$12-SUM($U$25:U32))*V33*W33/SUMPRODUCT($W33:$W$55,$V33:$V$55)),""),"")</s:f>
        <s:v>4</s:v>
      </s:c>
      <s:c r="V33" s="122">
        <s:v>1</s:v>
      </s:c>
      <s:c r="W33" s="122">
        <s:v>1</s:v>
      </s:c>
      <s:c r="X33" s="123"/>
      <s:c r="Y33" s="124"/>
      <s:c r="Z33" s="2"/>
      <s:c r="AA33" s="2"/>
      <s:c r="AB33" s="2"/>
      <s:c r="AC33" s="2"/>
      <s:c r="AD33" s="2"/>
    </s:row>
    <s:row r="34">
      <s:c r="A34" s="113">
        <s:v>10</s:v>
      </s:c>
      <s:c r="B34" s="114">
        <s:v>45787</s:v>
      </s:c>
      <s:c r="C34" s="115" t="s">
        <s:v>51</s:v>
      </s:c>
      <s:c r="D34" s="116">
        <s:f>7739+31843</s:f>
        <s:v>39582</s:v>
      </s:c>
      <s:c r="E34" s="117">
        <s:v>3</s:v>
      </s:c>
      <s:c r="F34" s="117">
        <s:f>IF(AND(E34&lt;&gt;"",E34&lt;&gt;0),D34/E34,"")</s:f>
        <s:v>13194</s:v>
      </s:c>
      <s:c r="G34" s="117">
        <s:v>3</s:v>
      </s:c>
      <s:c r="H34" s="117">
        <s:f>IF(AND(G34&lt;&gt;"",G34&lt;&gt;0),D34/G34,"")</s:f>
        <s:v>13194</s:v>
      </s:c>
      <s:c r="I34" s="117">
        <s:v>10</s:v>
      </s:c>
      <s:c r="J34" s="116">
        <s:f>IF(AND(G34&lt;&gt;"",G34&lt;&gt;0),E34/G34,"")</s:f>
        <s:v>1</s:v>
      </s:c>
      <s:c r="K34" s="117"/>
      <s:c r="L34" s="117">
        <s:v>31843</s:v>
      </s:c>
      <s:c r="M34" s="117"/>
      <s:c r="N34" s="118">
        <s:f>IF(AND(I34&lt;&gt;"",I34&lt;&gt;0),G34/I34,"")</s:f>
        <s:v>0.3</s:v>
      </s:c>
      <s:c r="O34" s="119">
        <s:f>D34/P34</s:f>
        <s:v>0.93838418378115573</s:v>
      </s:c>
      <s:c r="P34" s="120">
        <s:f>$I$8*V34*W34/SUMPRODUCT($W$25:$W$55,$V$25:$V$55)</s:f>
        <s:v>42181.017843360278</s:v>
      </s:c>
      <s:c r="Q34" s="121">
        <s:f>$I$9*V34*W34/SUMPRODUCT($W$25:$W$55,$V$25:$V$55)</s:f>
        <s:v>8.1117342006462057</s:v>
      </s:c>
      <s:c r="R34" s="121">
        <s:f>IF($I$12="","",Q34/$I$12)</s:f>
        <s:v>4.1813062889928894</s:v>
      </s:c>
      <s:c r="S34" s="120">
        <s:f>IF(W34&lt;&gt;"",IF(D34&lt;&gt;"",D34,($I$8-SUM($S$25:S33))*V34*W34/SUMPRODUCT($W34:$W$55,$V34:$V$55)),"")</s:f>
        <s:v>39582</s:v>
      </s:c>
      <s:c r="T34" s="121">
        <s:f>IF(W34&lt;&gt;"",IF(E34&lt;&gt;"",E34,($I$9-SUM($T$25:T33))*V34*W34/SUMPRODUCT($W34:$W$55,$V34:$V$55)),"")</s:f>
        <s:v>3</s:v>
      </s:c>
      <s:c r="U34" s="121">
        <s:f>IF(W34&lt;&gt;"",IF($I$12&lt;&gt;"",IF(G34&lt;&gt;"",G34,($I$9/$I$12-SUM($U$25:U33))*V34*W34/SUMPRODUCT($W34:$W$55,$V34:$V$55)),""),"")</s:f>
        <s:v>3</s:v>
      </s:c>
      <s:c r="V34" s="122">
        <s:v>0.78086381145976858</s:v>
      </s:c>
      <s:c r="W34" s="122">
        <s:v>0.78086381145976858</s:v>
      </s:c>
      <s:c r="X34" s="123"/>
      <s:c r="Y34" s="124"/>
      <s:c r="Z34" s="2"/>
      <s:c r="AA34" s="2"/>
      <s:c r="AB34" s="2"/>
      <s:c r="AC34" s="2"/>
      <s:c r="AD34" s="2"/>
    </s:row>
    <s:row r="35">
      <s:c r="A35" s="113">
        <s:v>11</s:v>
      </s:c>
      <s:c r="B35" s="114">
        <s:v>45788</s:v>
      </s:c>
      <s:c r="C35" s="115" t="s">
        <s:v>53</s:v>
      </s:c>
      <s:c r="D35" s="116">
        <s:f>18549+24484+6203</s:f>
        <s:v>49236</s:v>
      </s:c>
      <s:c r="E35" s="115">
        <s:v>7</s:v>
      </s:c>
      <s:c r="F35" s="117">
        <s:f>IF(AND(E35&lt;&gt;"",E35&lt;&gt;0),D35/E35,"")</s:f>
        <s:v>7033.7142857142853</s:v>
      </s:c>
      <s:c r="G35" s="117">
        <s:v>4</s:v>
      </s:c>
      <s:c r="H35" s="117">
        <s:f>IF(AND(G35&lt;&gt;"",G35&lt;&gt;0),D35/G35,"")</s:f>
        <s:v>12309</s:v>
      </s:c>
      <s:c r="I35" s="117">
        <s:v>25</s:v>
      </s:c>
      <s:c r="J35" s="116">
        <s:f>IF(AND(G35&lt;&gt;"",G35&lt;&gt;0),E35/G35,"")</s:f>
        <s:v>1.75</s:v>
      </s:c>
      <s:c r="K35" s="117">
        <s:v>24484</s:v>
      </s:c>
      <s:c r="L35" s="117">
        <s:v>6203</s:v>
      </s:c>
      <s:c r="M35" s="117"/>
      <s:c r="N35" s="118">
        <s:f>IF(AND(I35&lt;&gt;"",I35&lt;&gt;0),G35/I35,"")</s:f>
        <s:v>0.16</s:v>
      </s:c>
      <s:c r="O35" s="119">
        <s:f>D35/P35</s:f>
        <s:v>1.1672549055795307</s:v>
      </s:c>
      <s:c r="P35" s="120">
        <s:f>$I$8*V35*W35/SUMPRODUCT($W$25:$W$55,$V$25:$V$55)</s:f>
        <s:v>42181.017843360278</s:v>
      </s:c>
      <s:c r="Q35" s="121">
        <s:f>$I$9*V35*W35/SUMPRODUCT($W$25:$W$55,$V$25:$V$55)</s:f>
        <s:v>8.1117342006462057</s:v>
      </s:c>
      <s:c r="R35" s="121">
        <s:f>IF($I$12="","",Q35/$I$12)</s:f>
        <s:v>4.1813062889928894</s:v>
      </s:c>
      <s:c r="S35" s="120">
        <s:f>IF(W35&lt;&gt;"",IF(D35&lt;&gt;"",D35,($I$8-SUM($S$25:S34))*V35*W35/SUMPRODUCT($W35:$W$55,$V35:$V$55)),"")</s:f>
        <s:v>49236</s:v>
      </s:c>
      <s:c r="T35" s="121">
        <s:f>IF(W35&lt;&gt;"",IF(E34&lt;&gt;"",E34,($I$9-SUM($T$25:T34))*V35*W35/SUMPRODUCT($W35:$W$55,$V35:$V$55)),"")</s:f>
        <s:v>3</s:v>
      </s:c>
      <s:c r="U35" s="121">
        <s:f>IF(W35&lt;&gt;"",IF($I$12&lt;&gt;"",IF(G35&lt;&gt;"",G35,($I$9/$I$12-SUM($U$25:U34))*V35*W35/SUMPRODUCT($W35:$W$55,$V35:$V$55)),""),"")</s:f>
        <s:v>4</s:v>
      </s:c>
      <s:c r="V35" s="122">
        <s:v>0.78086381145976858</s:v>
      </s:c>
      <s:c r="W35" s="122">
        <s:v>0.78086381145976858</s:v>
      </s:c>
      <s:c r="X35" s="123"/>
      <s:c r="Y35" s="124"/>
      <s:c r="Z35" s="2"/>
      <s:c r="AA35" s="2"/>
      <s:c r="AB35" s="2"/>
      <s:c r="AC35" s="2"/>
      <s:c r="AD35" s="2"/>
    </s:row>
    <s:row r="36" spans="1:30" ht="15.25" customHeight="1">
      <s:c r="A36" s="113">
        <s:v>12</s:v>
      </s:c>
      <s:c r="B36" s="114">
        <s:v>45789</s:v>
      </s:c>
      <s:c r="C36" s="115" t="s">
        <s:v>54</s:v>
      </s:c>
      <s:c r="D36" s="116">
        <s:f>30795+8903</s:f>
        <s:v>39698</s:v>
      </s:c>
      <s:c r="E36" s="117">
        <s:v>8</s:v>
      </s:c>
      <s:c r="F36" s="117">
        <s:f>IF(AND(E36&lt;&gt;"",E36&lt;&gt;0),D36/E36,"")</s:f>
        <s:v>4962.25</s:v>
      </s:c>
      <s:c r="G36" s="117">
        <s:v>3</s:v>
      </s:c>
      <s:c r="H36" s="117">
        <s:f>IF(AND(G36&lt;&gt;"",G36&lt;&gt;0),D36/G36,"")</s:f>
        <s:v>13232.666666666666</s:v>
      </s:c>
      <s:c r="I36" s="117">
        <s:v>15</s:v>
      </s:c>
      <s:c r="J36" s="116">
        <s:f>IF(AND(G36&lt;&gt;"",G36&lt;&gt;0),E36/G36,"")</s:f>
        <s:v>2.6666666666666665</s:v>
      </s:c>
      <s:c r="K36" s="117"/>
      <s:c r="L36" s="117">
        <s:v>8903</s:v>
      </s:c>
      <s:c r="M36" s="117"/>
      <s:c r="N36" s="118">
        <s:f>IF(AND(I36&lt;&gt;"",I36&lt;&gt;0),G36/I36,"")</s:f>
        <s:v>0.2</s:v>
      </s:c>
      <s:c r="O36" s="119">
        <s:f>D36/P36</s:f>
        <s:v>0.94113423595938361</s:v>
      </s:c>
      <s:c r="P36" s="120">
        <s:f>$I$8*V36*W36/SUMPRODUCT($W$25:$W$55,$V$25:$V$55)</s:f>
        <s:v>42181.017843360278</s:v>
      </s:c>
      <s:c r="Q36" s="121">
        <s:f>$I$9*V36*W36/SUMPRODUCT($W$25:$W$55,$V$25:$V$55)</s:f>
        <s:v>8.1117342006462057</s:v>
      </s:c>
      <s:c r="R36" s="121">
        <s:f>IF($I$12="","",Q36/$I$12)</s:f>
        <s:v>4.1813062889928894</s:v>
      </s:c>
      <s:c r="S36" s="120">
        <s:f>IF(W36&lt;&gt;"",IF(D36&lt;&gt;"",D36,($I$8-SUM($S$25:S35))*V36*W36/SUMPRODUCT($W36:$W$55,$V36:$V$55)),"")</s:f>
        <s:v>39698</s:v>
      </s:c>
      <s:c r="T36" s="121">
        <s:f>IF(W36&lt;&gt;"",IF(E36&lt;&gt;"",E36,($I$9-SUM($T$25:T35))*V36*W36/SUMPRODUCT($W36:$W$55,$V36:$V$55)),"")</s:f>
        <s:v>8</s:v>
      </s:c>
      <s:c r="U36" s="121">
        <s:f>IF(W36&lt;&gt;"",IF($I$12&lt;&gt;"",IF(G36&lt;&gt;"",G36,($I$9/$I$12-SUM($U$25:U35))*V36*W36/SUMPRODUCT($W36:$W$55,$V36:$V$55)),""),"")</s:f>
        <s:v>3</s:v>
      </s:c>
      <s:c r="V36" s="122">
        <s:v>0.78086381145976858</s:v>
      </s:c>
      <s:c r="W36" s="122">
        <s:v>0.78086381145976858</s:v>
      </s:c>
      <s:c r="X36" s="123"/>
      <s:c r="Y36" s="124"/>
      <s:c r="Z36" s="2"/>
      <s:c r="AA36" s="2"/>
      <s:c r="AB36" s="2"/>
      <s:c r="AC36" s="2"/>
      <s:c r="AD36" s="2"/>
    </s:row>
    <s:row r="37">
      <s:c r="A37" s="113">
        <s:v>13</s:v>
      </s:c>
      <s:c r="B37" s="114">
        <s:v>45790</s:v>
      </s:c>
      <s:c r="C37" s="115" t="s">
        <s:v>55</s:v>
      </s:c>
      <s:c r="D37" s="116">
        <s:v>46762</s:v>
      </s:c>
      <s:c r="E37" s="117">
        <s:v>2</s:v>
      </s:c>
      <s:c r="F37" s="117">
        <s:f>IF(AND(E37&lt;&gt;"",E37&lt;&gt;0),D37/E37,"")</s:f>
        <s:v>23381</s:v>
      </s:c>
      <s:c r="G37" s="117">
        <s:v>3</s:v>
      </s:c>
      <s:c r="H37" s="117">
        <s:f>IF(AND(G37&lt;&gt;"",G37&lt;&gt;0),D37/G37,"")</s:f>
        <s:v>15587.333333333334</s:v>
      </s:c>
      <s:c r="I37" s="117">
        <s:v>11</s:v>
      </s:c>
      <s:c r="J37" s="116">
        <s:f>IF(AND(G37&lt;&gt;"",G37&lt;&gt;0),E37/G37,"")</s:f>
        <s:v>0.66666666666666663</s:v>
      </s:c>
      <s:c r="K37" s="117"/>
      <s:c r="L37" s="117"/>
      <s:c r="M37" s="117"/>
      <s:c r="N37" s="118">
        <s:f>IF(AND(I37&lt;&gt;"",I37&lt;&gt;0),G37/I37,"")</s:f>
        <s:v>0.27272727272727271</s:v>
      </s:c>
      <s:c r="O37" s="119">
        <s:f>D37/P37</s:f>
        <s:v>0.70978307425536158</s:v>
      </s:c>
      <s:c r="P37" s="120">
        <s:f>$I$8*V37*W37/SUMPRODUCT($W$25:$W$55,$V$25:$V$55)</s:f>
        <s:v>65882.100737691362</s:v>
      </s:c>
      <s:c r="Q37" s="121">
        <s:f>$I$9*V37*W37/SUMPRODUCT($W$25:$W$55,$V$25:$V$55)</s:f>
        <s:v>12.669634757248339</s:v>
      </s:c>
      <s:c r="R37" s="121">
        <s:f>IF($I$12="","",Q37/$I$12)</s:f>
        <s:v>6.5307395655919276</s:v>
      </s:c>
      <s:c r="S37" s="120">
        <s:f>IF(W37&lt;&gt;"",IF(D37&lt;&gt;"",D37,($I$8-SUM($S$25:S36))*V37*W37/SUMPRODUCT($W37:$W$55,$V37:$V$55)),"")</s:f>
        <s:v>46762</s:v>
      </s:c>
      <s:c r="T37" s="121">
        <s:f>IF(W37&lt;&gt;"",IF(E37&lt;&gt;"",E37,($I$9-SUM($T$25:T36))*V37*W37/SUMPRODUCT($W37:$W$55,$V37:$V$55)),"")</s:f>
        <s:v>2</s:v>
      </s:c>
      <s:c r="U37" s="121">
        <s:f>IF(W37&lt;&gt;"",IF($I$12&lt;&gt;"",IF(G37&lt;&gt;"",G37,($I$9/$I$12-SUM($U$25:U36))*V37*W37/SUMPRODUCT($W37:$W$55,$V37:$V$55)),""),"")</s:f>
        <s:v>3</s:v>
      </s:c>
      <s:c r="V37" s="122">
        <s:v>0.97588914665651838</s:v>
      </s:c>
      <s:c r="W37" s="122">
        <s:v>0.97588914665651838</s:v>
      </s:c>
      <s:c r="X37" s="123"/>
      <s:c r="Y37" s="124"/>
      <s:c r="Z37" s="2"/>
      <s:c r="AA37" s="2"/>
      <s:c r="AB37" s="2"/>
      <s:c r="AC37" s="2"/>
      <s:c r="AD37" s="2"/>
    </s:row>
    <s:row r="38">
      <s:c r="A38" s="113">
        <s:v>14</s:v>
      </s:c>
      <s:c r="B38" s="114">
        <s:v>45792</s:v>
      </s:c>
      <s:c r="C38" s="115" t="s">
        <s:v>48</s:v>
      </s:c>
      <s:c r="D38" s="116">
        <s:v>19949</s:v>
      </s:c>
      <s:c r="E38" s="117">
        <s:v>6</s:v>
      </s:c>
      <s:c r="F38" s="117">
        <s:f>IF(AND(E38&lt;&gt;"",E38&lt;&gt;0),D38/E38,"")</s:f>
        <s:v>3324.8333333333335</s:v>
      </s:c>
      <s:c r="G38" s="117">
        <s:v>3</s:v>
      </s:c>
      <s:c r="H38" s="117">
        <s:f>IF(AND(G38&lt;&gt;"",G38&lt;&gt;0),D38/G38,"")</s:f>
        <s:v>6649.666666666667</s:v>
      </s:c>
      <s:c r="I38" s="117">
        <s:v>15</s:v>
      </s:c>
      <s:c r="J38" s="116">
        <s:f>IF(AND(G38&lt;&gt;"",G38&lt;&gt;0),E38/G38,"")</s:f>
        <s:v>2</s:v>
      </s:c>
      <s:c r="K38" s="117"/>
      <s:c r="L38" s="117"/>
      <s:c r="M38" s="117"/>
      <s:c r="N38" s="118">
        <s:f>IF(AND(I38&lt;&gt;"",I38&lt;&gt;0),G38/I38,"")</s:f>
        <s:v>0.2</s:v>
      </s:c>
      <s:c r="O38" s="119">
        <s:f>D38/P38</s:f>
        <s:v>0.30279848056798703</s:v>
      </s:c>
      <s:c r="P38" s="120">
        <s:f>$I$8*V38*W38/SUMPRODUCT($W$25:$W$55,$V$25:$V$55)</s:f>
        <s:v>65882.100737691362</s:v>
      </s:c>
      <s:c r="Q38" s="121">
        <s:f>$I$9*V38*W38/SUMPRODUCT($W$25:$W$55,$V$25:$V$55)</s:f>
        <s:v>12.669634757248339</s:v>
      </s:c>
      <s:c r="R38" s="121">
        <s:f>IF($I$12="","",Q38/$I$12)</s:f>
        <s:v>6.5307395655919276</s:v>
      </s:c>
      <s:c r="S38" s="120">
        <s:f>IF(W38&lt;&gt;"",IF(D38&lt;&gt;"",D38,($I$8-SUM($S$25:S37))*V38*W38/SUMPRODUCT($W38:$W$55,$V38:$V$55)),"")</s:f>
        <s:v>19949</s:v>
      </s:c>
      <s:c r="T38" s="121">
        <s:f>IF(W38&lt;&gt;"",IF(E38&lt;&gt;"",E38,($I$9-SUM($T$25:T37))*V38*W38/SUMPRODUCT($W38:$W$55,$V38:$V$55)),"")</s:f>
        <s:v>6</s:v>
      </s:c>
      <s:c r="U38" s="121">
        <s:f>IF(W38&lt;&gt;"",IF($I$12&lt;&gt;"",IF(G38&lt;&gt;"",G38,($I$9/$I$12-SUM($U$25:U37))*V38*W38/SUMPRODUCT($W38:$W$55,$V38:$V$55)),""),"")</s:f>
        <s:v>3</s:v>
      </s:c>
      <s:c r="V38" s="122">
        <s:v>0.97588914665651838</s:v>
      </s:c>
      <s:c r="W38" s="122">
        <s:v>0.97588914665651838</s:v>
      </s:c>
      <s:c r="X38" s="123"/>
      <s:c r="Y38" s="124"/>
      <s:c r="Z38" s="2"/>
      <s:c r="AA38" s="2"/>
      <s:c r="AB38" s="2"/>
      <s:c r="AC38" s="2"/>
      <s:c r="AD38" s="2"/>
    </s:row>
    <s:row r="39">
      <s:c r="A39" s="113">
        <s:v>13</s:v>
      </s:c>
      <s:c r="B39" s="114">
        <s:v>45793</s:v>
      </s:c>
      <s:c r="C39" s="115" t="s">
        <s:v>49</s:v>
      </s:c>
      <s:c r="D39" s="116">
        <s:v>15866</s:v>
      </s:c>
      <s:c r="E39" s="127">
        <s:v>4</s:v>
      </s:c>
      <s:c r="F39" s="117">
        <s:f>IF(AND(E39&lt;&gt;"",E39&lt;&gt;0),D39/E39,"")</s:f>
        <s:v>3966.5</s:v>
      </s:c>
      <s:c r="G39" s="127">
        <s:v>2</s:v>
      </s:c>
      <s:c r="H39" s="117">
        <s:f>IF(AND(G39&lt;&gt;"",G39&lt;&gt;0),D39/G39,"")</s:f>
        <s:v>7933</s:v>
      </s:c>
      <s:c r="I39" s="127">
        <s:v>15</s:v>
      </s:c>
      <s:c r="J39" s="116">
        <s:f>IF(AND(G39&lt;&gt;"",G39&lt;&gt;0),E39/G39,"")</s:f>
        <s:v>2</s:v>
      </s:c>
      <s:c r="K39" s="117"/>
      <s:c r="L39" s="117"/>
      <s:c r="M39" s="127"/>
      <s:c r="N39" s="118">
        <s:f>IF(AND(I39&lt;&gt;"",I39&lt;&gt;0),G39/I39,"")</s:f>
        <s:v>0.13333333333333333</s:v>
      </s:c>
      <s:c r="O39" s="119">
        <s:f>D39/P39</s:f>
        <s:v>0.24082413618184781</s:v>
      </s:c>
      <s:c r="P39" s="120">
        <s:f>$I$8*V39*W39/SUMPRODUCT($W$25:$W$55,$V$25:$V$55)</s:f>
        <s:v>65882.100737691362</s:v>
      </s:c>
      <s:c r="Q39" s="121">
        <s:f>$I$9*V39*W39/SUMPRODUCT($W$25:$W$55,$V$25:$V$55)</s:f>
        <s:v>12.669634757248339</s:v>
      </s:c>
      <s:c r="R39" s="121">
        <s:f>IF($I$12="","",Q39/$I$12)</s:f>
        <s:v>6.5307395655919276</s:v>
      </s:c>
      <s:c r="S39" s="120">
        <s:f>IF(W39&lt;&gt;"",IF(D39&lt;&gt;"",D39,($I$8-SUM($S$25:S38))*V39*W39/SUMPRODUCT($W39:$W$55,$V39:$V$55)),"")</s:f>
        <s:v>15866</s:v>
      </s:c>
      <s:c r="T39" s="121">
        <s:f>IF(W39&lt;&gt;"",IF(E39&lt;&gt;"",E39,($I$9-SUM($T$25:T38))*V39*W39/SUMPRODUCT($W39:$W$55,$V39:$V$55)),"")</s:f>
        <s:v>4</s:v>
      </s:c>
      <s:c r="U39" s="121">
        <s:f>IF(W39&lt;&gt;"",IF($I$12&lt;&gt;"",IF(G39&lt;&gt;"",G39,($I$9/$I$12-SUM($U$25:U38))*V39*W39/SUMPRODUCT($W39:$W$55,$V39:$V$55)),""),"")</s:f>
        <s:v>2</s:v>
      </s:c>
      <s:c r="V39" s="122">
        <s:v>0.97588914665651838</s:v>
      </s:c>
      <s:c r="W39" s="122">
        <s:v>0.97588914665651838</s:v>
      </s:c>
      <s:c r="X39" s="123"/>
      <s:c r="Y39" s="124"/>
      <s:c r="Z39" s="2"/>
      <s:c r="AA39" s="2"/>
      <s:c r="AB39" s="2"/>
      <s:c r="AC39" s="2"/>
      <s:c r="AD39" s="2"/>
    </s:row>
    <s:row r="40">
      <s:c r="A40" s="113">
        <s:v>13</s:v>
      </s:c>
      <s:c r="B40" s="114">
        <s:v>45794</s:v>
      </s:c>
      <s:c r="C40" s="115" t="s">
        <s:v>51</s:v>
      </s:c>
      <s:c r="D40" s="116">
        <s:f>5083+5493</s:f>
        <s:v>10576</s:v>
      </s:c>
      <s:c r="E40" s="117">
        <s:v>3</s:v>
      </s:c>
      <s:c r="F40" s="117">
        <s:f>IF(AND(E40&lt;&gt;"",E40&lt;&gt;0),D40/E40,"")</s:f>
        <s:v>3525.3333333333335</s:v>
      </s:c>
      <s:c r="G40" s="117">
        <s:v>2</s:v>
      </s:c>
      <s:c r="H40" s="117">
        <s:f>IF(AND(G40&lt;&gt;"",G40&lt;&gt;0),D40/G40,"")</s:f>
        <s:v>5288</s:v>
      </s:c>
      <s:c r="I40" s="117">
        <s:v>25</s:v>
      </s:c>
      <s:c r="J40" s="116">
        <s:f>IF(AND(G40&lt;&gt;"",G40&lt;&gt;0),E40/G40,"")</s:f>
        <s:v>1.5</s:v>
      </s:c>
      <s:c r="K40" s="117">
        <s:v>5493</s:v>
      </s:c>
      <s:c r="L40" s="117"/>
      <s:c r="M40" s="117"/>
      <s:c r="N40" s="242">
        <s:f>IF(AND(I40&lt;&gt;"",I40&lt;&gt;0),G40/I40,"")</s:f>
        <s:v>0.08</s:v>
      </s:c>
      <s:c r="O40" s="119">
        <s:f>D40/P40</s:f>
        <s:v>0.16052918594852025</s:v>
      </s:c>
      <s:c r="P40" s="120">
        <s:f>$I$8*V40*W40/SUMPRODUCT($W$25:$W$55,$V$25:$V$55)</s:f>
        <s:v>65882.100737691362</s:v>
      </s:c>
      <s:c r="Q40" s="121">
        <s:f>$I$9*V40*W40/SUMPRODUCT($W$25:$W$55,$V$25:$V$55)</s:f>
        <s:v>12.669634757248339</s:v>
      </s:c>
      <s:c r="R40" s="121">
        <s:f>IF($I$12="","",Q40/$I$12)</s:f>
        <s:v>6.5307395655919276</s:v>
      </s:c>
      <s:c r="S40" s="120">
        <s:f>IF(W40&lt;&gt;"",IF(D40&lt;&gt;"",D40,($I$8-SUM($S$25:S39))*V40*W40/SUMPRODUCT($W40:$W$55,$V40:$V$55)),"")</s:f>
        <s:v>10576</s:v>
      </s:c>
      <s:c r="T40" s="121">
        <s:f>IF(W40&lt;&gt;"",IF(E40&lt;&gt;"",E40,($I$9-SUM($T$25:T39))*V40*W40/SUMPRODUCT($W40:$W$55,$V40:$V$55)),"")</s:f>
        <s:v>3</s:v>
      </s:c>
      <s:c r="U40" s="121">
        <s:f>IF(W40&lt;&gt;"",IF($I$12&lt;&gt;"",IF(G40&lt;&gt;"",G40,($I$9/$I$12-SUM($U$25:U39))*V40*W40/SUMPRODUCT($W40:$W$55,$V40:$V$55)),""),"")</s:f>
        <s:v>2</s:v>
      </s:c>
      <s:c r="V40" s="122">
        <s:v>0.97588914665651838</s:v>
      </s:c>
      <s:c r="W40" s="122">
        <s:v>0.97588914665651838</s:v>
      </s:c>
      <s:c r="X40" s="123"/>
      <s:c r="Y40" s="124"/>
      <s:c r="Z40" s="2"/>
      <s:c r="AA40" s="2"/>
      <s:c r="AB40" s="2"/>
      <s:c r="AC40" s="2"/>
      <s:c r="AD40" s="2"/>
    </s:row>
    <s:row r="41">
      <s:c r="A41" s="113">
        <s:v>17</s:v>
      </s:c>
      <s:c r="B41" s="114">
        <s:v>45795</s:v>
      </s:c>
      <s:c r="C41" s="115" t="s">
        <s:v>53</s:v>
      </s:c>
      <s:c r="D41" s="116">
        <s:f>29229+5501</s:f>
        <s:v>34730</s:v>
      </s:c>
      <s:c r="E41" s="117">
        <s:v>7</s:v>
      </s:c>
      <s:c r="F41" s="117">
        <s:f>IF(AND(E41&lt;&gt;"",E41&lt;&gt;0),D41/E41,"")</s:f>
        <s:v>4961.4285714285716</s:v>
      </s:c>
      <s:c r="G41" s="117">
        <s:v>4</s:v>
      </s:c>
      <s:c r="H41" s="117">
        <s:f>IF(AND(G41&lt;&gt;"",G41&lt;&gt;0),D41/G41,"")</s:f>
        <s:v>8682.5</s:v>
      </s:c>
      <s:c r="I41" s="117">
        <s:v>17</s:v>
      </s:c>
      <s:c r="J41" s="116">
        <s:f>IF(AND(G41&lt;&gt;"",G41&lt;&gt;0),E41/G41,"")</s:f>
        <s:v>1.75</s:v>
      </s:c>
      <s:c r="K41" s="117"/>
      <s:c r="L41" s="117">
        <s:v>5501</s:v>
      </s:c>
      <s:c r="M41" s="117"/>
      <s:c r="N41" s="118">
        <s:f>IF(AND(I41&lt;&gt;"",I41&lt;&gt;0),G41/I41,"")</s:f>
        <s:v>0.23529411764705882</s:v>
      </s:c>
      <s:c r="O41" s="119">
        <s:f>D41/P41</s:f>
        <s:v>0.36419122583039426</s:v>
      </s:c>
      <s:c r="P41" s="120">
        <s:f>$I$8*V41*W41/SUMPRODUCT($W$25:$W$55,$V$25:$V$55)</s:f>
        <s:v>95361.98990190374</s:v>
      </s:c>
      <s:c r="Q41" s="121">
        <s:f>$I$9*V41*W41/SUMPRODUCT($W$25:$W$55,$V$25:$V$55)</s:f>
        <s:v>18.338844211904565</s:v>
      </s:c>
      <s:c r="R41" s="121">
        <s:f>IF($I$12="","",Q41/$I$12)</s:f>
        <s:v>9.4530124803631779</s:v>
      </s:c>
      <s:c r="S41" s="120">
        <s:f>IF(W41&lt;&gt;"",IF(D41&lt;&gt;"",D41,($I$8-SUM($S$25:S40))*V41*W41/SUMPRODUCT($W41:$W$55,$V41:$V$55)),"")</s:f>
        <s:v>34730</s:v>
      </s:c>
      <s:c r="T41" s="121">
        <s:f>IF(W41&lt;&gt;"",IF(E41&lt;&gt;"",E41,($I$9-SUM($T$25:T40))*V41*W41/SUMPRODUCT($W41:$W$55,$V41:$V$55)),"")</s:f>
        <s:v>7</s:v>
      </s:c>
      <s:c r="U41" s="121">
        <s:f>IF(W41&lt;&gt;"",IF($I$12&lt;&gt;"",IF(G41&lt;&gt;"",G41,($I$9/$I$12-SUM($U$25:U40))*V41*W41/SUMPRODUCT($W41:$W$55,$V41:$V$55)),""),"")</s:f>
        <s:v>4</s:v>
      </s:c>
      <s:c r="V41" s="122">
        <s:v>1.1740981968092847</s:v>
      </s:c>
      <s:c r="W41" s="122">
        <s:v>1.1740981968092847</s:v>
      </s:c>
      <s:c r="X41" s="123"/>
      <s:c r="Y41" s="124"/>
      <s:c r="Z41" s="2"/>
      <s:c r="AA41" s="2"/>
      <s:c r="AB41" s="2"/>
      <s:c r="AC41" s="2"/>
      <s:c r="AD41" s="2"/>
    </s:row>
    <s:row r="42">
      <s:c r="A42" s="113">
        <s:v>18</s:v>
      </s:c>
      <s:c r="B42" s="114">
        <s:v>45797</s:v>
      </s:c>
      <s:c r="C42" s="115" t="s">
        <s:v>55</s:v>
      </s:c>
      <s:c r="D42" s="116">
        <s:v>24248</s:v>
      </s:c>
      <s:c r="E42" s="117">
        <s:v>6</s:v>
      </s:c>
      <s:c r="F42" s="117">
        <s:f>IF(AND(E42&lt;&gt;"",E42&lt;&gt;0),D42/E42,"")</s:f>
        <s:v>4041.3333333333335</s:v>
      </s:c>
      <s:c r="G42" s="117">
        <s:v>2</s:v>
      </s:c>
      <s:c r="H42" s="117">
        <s:f>IF(AND(G42&lt;&gt;"",G42&lt;&gt;0),D42/G42,"")</s:f>
        <s:v>12124</s:v>
      </s:c>
      <s:c r="I42" s="117">
        <s:v>7</s:v>
      </s:c>
      <s:c r="J42" s="116">
        <s:f>IF(AND(G42&lt;&gt;"",G42&lt;&gt;0),E42/G42,"")</s:f>
        <s:v>3</s:v>
      </s:c>
      <s:c r="K42" s="117"/>
      <s:c r="L42" s="117"/>
      <s:c r="M42" s="117"/>
      <s:c r="N42" s="118">
        <s:f>IF(AND(I42&lt;&gt;"",I42&lt;&gt;0),G42/I42,"")</s:f>
        <s:v>0.2857142857142857</s:v>
      </s:c>
      <s:c r="O42" s="119">
        <s:f>D42/P42</s:f>
        <s:v>0.25427321750461845</s:v>
      </s:c>
      <s:c r="P42" s="120">
        <s:f>$I$8*V42*W42/SUMPRODUCT($W$25:$W$55,$V$25:$V$55)</s:f>
        <s:v>95361.98990190374</s:v>
      </s:c>
      <s:c r="Q42" s="121">
        <s:f>$I$9*V42*W42/SUMPRODUCT($W$25:$W$55,$V$25:$V$55)</s:f>
        <s:v>18.338844211904565</s:v>
      </s:c>
      <s:c r="R42" s="121">
        <s:f>IF($I$12="","",Q42/$I$12)</s:f>
        <s:v>9.4530124803631779</s:v>
      </s:c>
      <s:c r="S42" s="120">
        <s:f>IF(W42&lt;&gt;"",IF(D42&lt;&gt;"",D42,($I$8-SUM($S$25:S41))*V42*W42/SUMPRODUCT($W42:$W$55,$V42:$V$55)),"")</s:f>
        <s:v>24248</s:v>
      </s:c>
      <s:c r="T42" s="121">
        <s:f>IF(W42&lt;&gt;"",IF(E42&lt;&gt;"",E42,($I$9-SUM($T$25:T41))*V42*W42/SUMPRODUCT($W42:$W$55,$V42:$V$55)),"")</s:f>
        <s:v>6</s:v>
      </s:c>
      <s:c r="U42" s="121">
        <s:f>IF(W42&lt;&gt;"",IF($I$12&lt;&gt;"",IF(G42&lt;&gt;"",G42,($I$9/$I$12-SUM($U$25:U41))*V42*W42/SUMPRODUCT($W42:$W$55,$V42:$V$55)),""),"")</s:f>
        <s:v>2</s:v>
      </s:c>
      <s:c r="V42" s="122">
        <s:v>1.1740981968092847</s:v>
      </s:c>
      <s:c r="W42" s="122">
        <s:v>1.1740981968092847</s:v>
      </s:c>
      <s:c r="X42" s="123"/>
      <s:c r="Y42" s="124"/>
      <s:c r="Z42" s="125"/>
      <s:c r="AA42" s="2"/>
      <s:c r="AB42" s="2"/>
      <s:c r="AC42" s="2"/>
      <s:c r="AD42" s="2"/>
    </s:row>
    <s:row r="43">
      <s:c r="A43" s="113">
        <s:v>19</s:v>
      </s:c>
      <s:c r="B43" s="114">
        <s:v>45798</s:v>
      </s:c>
      <s:c r="C43" s="115" t="s">
        <s:v>56</s:v>
      </s:c>
      <s:c r="D43" s="116">
        <s:f>29543+10503</s:f>
        <s:v>40046</s:v>
      </s:c>
      <s:c r="E43" s="117">
        <s:v>8</s:v>
      </s:c>
      <s:c r="F43" s="117">
        <s:f>IF(AND(E43&lt;&gt;"",E43&lt;&gt;0),D43/E43,"")</s:f>
        <s:v>5005.75</s:v>
      </s:c>
      <s:c r="G43" s="117">
        <s:v>6</s:v>
      </s:c>
      <s:c r="H43" s="117">
        <s:f>IF(AND(G43&lt;&gt;"",G43&lt;&gt;0),D43/G43,"")</s:f>
        <s:v>6674.333333333333</s:v>
      </s:c>
      <s:c r="I43" s="117">
        <s:v>15</s:v>
      </s:c>
      <s:c r="J43" s="116">
        <s:f>IF(AND(G43&lt;&gt;"",G43&lt;&gt;0),E43/G43,"")</s:f>
        <s:v>1.3333333333333333</s:v>
      </s:c>
      <s:c r="K43" s="117"/>
      <s:c r="L43" s="117">
        <s:v>10503</s:v>
      </s:c>
      <s:c r="M43" s="117"/>
      <s:c r="N43" s="118">
        <s:f>IF(AND(I43&lt;&gt;"",I43&lt;&gt;0),G43/I43,"")</s:f>
        <s:v>0.4</s:v>
      </s:c>
      <s:c r="O43" s="119">
        <s:f>D43/P43</s:f>
        <s:v>0.47553556135291575</s:v>
      </s:c>
      <s:c r="P43" s="120">
        <s:f>$I$8*V43*W43/SUMPRODUCT($W$25:$W$55,$V$25:$V$55)</s:f>
        <s:v>84212.419121858504</s:v>
      </s:c>
      <s:c r="Q43" s="121">
        <s:f>$I$9*V43*W43/SUMPRODUCT($W$25:$W$55,$V$25:$V$55)</s:f>
        <s:v>16.194695984972789</s:v>
      </s:c>
      <s:c r="R43" s="121">
        <s:f>IF($I$12="","",Q43/$I$12)</s:f>
        <s:v>8.3477814355529834</s:v>
      </s:c>
      <s:c r="S43" s="120">
        <s:f>IF(W43&lt;&gt;"",IF(D43&lt;&gt;"",D43,($I$8-SUM($S$25:S42))*V43*W43/SUMPRODUCT($W43:$W$55,$V43:$V$55)),"")</s:f>
        <s:v>40046</s:v>
      </s:c>
      <s:c r="T43" s="121">
        <s:f>IF(W43&lt;&gt;"",IF(E43&lt;&gt;"",E43,($I$9-SUM($T$25:T42))*V43*W43/SUMPRODUCT($W43:$W$55,$V43:$V$55)),"")</s:f>
        <s:v>8</s:v>
      </s:c>
      <s:c r="U43" s="121">
        <s:f>IF(W43&lt;&gt;"",IF($I$12&lt;&gt;"",IF(G43&lt;&gt;"",G43,($I$9/$I$12-SUM($U$25:U42))*V43*W43/SUMPRODUCT($W43:$W$55,$V43:$V$55)),""),"")</s:f>
        <s:v>6</s:v>
      </s:c>
      <s:c r="V43" s="122">
        <s:v>1.1033285094448408</s:v>
      </s:c>
      <s:c r="W43" s="122">
        <s:v>1.1033285094448408</s:v>
      </s:c>
      <s:c r="X43" s="123"/>
      <s:c r="Y43" s="124"/>
      <s:c r="Z43" s="125"/>
      <s:c r="AA43" s="2"/>
      <s:c r="AB43" s="2"/>
      <s:c r="AC43" s="2"/>
      <s:c r="AD43" s="2"/>
    </s:row>
    <s:row r="44">
      <s:c r="A44" s="113">
        <s:v>20</s:v>
      </s:c>
      <s:c r="B44" s="114">
        <s:v>45799</s:v>
      </s:c>
      <s:c r="C44" s="115" t="s">
        <s:v>48</s:v>
      </s:c>
      <s:c r="D44" s="116">
        <s:f>3892+11100</s:f>
        <s:v>14992</s:v>
      </s:c>
      <s:c r="E44" s="117">
        <s:v>3</s:v>
      </s:c>
      <s:c r="F44" s="117">
        <s:f>IF(AND(E44&lt;&gt;"",E44&lt;&gt;0),D44/E44,"")</s:f>
        <s:v>4997.333333333333</s:v>
      </s:c>
      <s:c r="G44" s="117">
        <s:v>2</s:v>
      </s:c>
      <s:c r="H44" s="117">
        <s:f>IF(AND(G44&lt;&gt;"",G44&lt;&gt;0),D44/G44,"")</s:f>
        <s:v>7496</s:v>
      </s:c>
      <s:c r="I44" s="117">
        <s:v>8</s:v>
      </s:c>
      <s:c r="J44" s="116">
        <s:f>IF(AND(G44&lt;&gt;"",G44&lt;&gt;0),E44/G44,"")</s:f>
        <s:v>1.5</s:v>
      </s:c>
      <s:c r="K44" s="117"/>
      <s:c r="L44" s="117">
        <s:v>11100</s:v>
      </s:c>
      <s:c r="M44" s="117"/>
      <s:c r="N44" s="118">
        <s:f>IF(AND(I44&lt;&gt;"",I44&lt;&gt;0),G44/I44,"")</s:f>
        <s:v>0.25</s:v>
      </s:c>
      <s:c r="O44" s="119">
        <s:f>D44/P44</s:f>
        <s:v>0.17802599849680151</s:v>
      </s:c>
      <s:c r="P44" s="120">
        <s:f>$I$8*V44*W44/SUMPRODUCT($W$25:$W$55,$V$25:$V$55)</s:f>
        <s:v>84212.419121858504</s:v>
      </s:c>
      <s:c r="Q44" s="121">
        <s:f>$I$9*V44*W44/SUMPRODUCT($W$25:$W$55,$V$25:$V$55)</s:f>
        <s:v>16.194695984972789</s:v>
      </s:c>
      <s:c r="R44" s="121">
        <s:f>IF($I$12="","",Q44/$I$12)</s:f>
        <s:v>8.3477814355529834</s:v>
      </s:c>
      <s:c r="S44" s="120">
        <s:f>IF(W44&lt;&gt;"",IF(D44&lt;&gt;"",D44,($I$8-SUM($S$25:S43))*V44*W44/SUMPRODUCT($W44:$W$55,$V44:$V$55)),"")</s:f>
        <s:v>14992</s:v>
      </s:c>
      <s:c r="T44" s="121">
        <s:f>IF(W44&lt;&gt;"",IF(E44&lt;&gt;"",E44,($I$9-SUM($T$25:T43))*V44*W44/SUMPRODUCT($W44:$W$55,$V44:$V$55)),"")</s:f>
        <s:v>3</s:v>
      </s:c>
      <s:c r="U44" s="121">
        <s:f>IF(W44&lt;&gt;"",IF($I$12&lt;&gt;"",IF(G44&lt;&gt;"",G44,($I$9/$I$12-SUM($U$25:U43))*V44*W44/SUMPRODUCT($W44:$W$55,$V44:$V$55)),""),"")</s:f>
        <s:v>2</s:v>
      </s:c>
      <s:c r="V44" s="122">
        <s:v>1.1033285094448408</s:v>
      </s:c>
      <s:c r="W44" s="122">
        <s:v>1.1033285094448408</s:v>
      </s:c>
      <s:c r="X44" s="123"/>
      <s:c r="Y44" s="124"/>
      <s:c r="Z44" s="125"/>
      <s:c r="AA44" s="2"/>
      <s:c r="AB44" s="2"/>
      <s:c r="AC44" s="2"/>
      <s:c r="AD44" s="2"/>
    </s:row>
    <s:row r="45">
      <s:c r="A45" s="113">
        <s:v>21</s:v>
      </s:c>
      <s:c r="B45" s="114">
        <s:v>45800</s:v>
      </s:c>
      <s:c r="C45" s="115" t="s">
        <s:v>49</s:v>
      </s:c>
      <s:c r="D45" s="116">
        <s:f>3892+4492</s:f>
        <s:v>8384</s:v>
      </s:c>
      <s:c r="E45" s="117">
        <s:v>2</s:v>
      </s:c>
      <s:c r="F45" s="117">
        <s:f>IF(AND(E45&lt;&gt;"",E45&lt;&gt;0),D45/E45,"")</s:f>
        <s:v>4192</s:v>
      </s:c>
      <s:c r="G45" s="117">
        <s:v>2</s:v>
      </s:c>
      <s:c r="H45" s="117">
        <s:f>IF(AND(G45&lt;&gt;"",G45&lt;&gt;0),D45/G45,"")</s:f>
        <s:v>4192</s:v>
      </s:c>
      <s:c r="I45" s="117">
        <s:v>8</s:v>
      </s:c>
      <s:c r="J45" s="116">
        <s:f>IF(AND(G45&lt;&gt;"",G45&lt;&gt;0),E45/G45,"")</s:f>
        <s:v>1</s:v>
      </s:c>
      <s:c r="K45" s="117"/>
      <s:c r="L45" s="117"/>
      <s:c r="M45" s="117"/>
      <s:c r="N45" s="118">
        <s:f>IF(AND(I45&lt;&gt;"",I45&lt;&gt;0),G45/I45,"")</s:f>
        <s:v>0.25</s:v>
      </s:c>
      <s:c r="O45" s="119">
        <s:f>D45/P45</s:f>
        <s:v>0.12119502899408456</s:v>
      </s:c>
      <s:c r="P45" s="120">
        <s:f>$I$8*V45*W45/SUMPRODUCT($W$25:$W$55,$V$25:$V$55)</s:f>
        <s:v>69177.75481046518</s:v>
      </s:c>
      <s:c r="Q45" s="121">
        <s:f>$I$9*V45*W45/SUMPRODUCT($W$25:$W$55,$V$25:$V$55)</s:f>
        <s:v>13.303414386627917</s:v>
      </s:c>
      <s:c r="R45" s="121">
        <s:f>IF($I$12="","",Q45/$I$12)</s:f>
        <s:v>6.8574300961999572</s:v>
      </s:c>
      <s:c r="S45" s="120">
        <s:f>IF(W45&lt;&gt;"",IF(D45&lt;&gt;"",D45,($I$8-SUM($S$25:S44))*V45*W45/SUMPRODUCT($W45:$W$55,$V45:$V$55)),"")</s:f>
        <s:v>8384</s:v>
      </s:c>
      <s:c r="T45" s="121">
        <s:f>IF(W45&lt;&gt;"",IF(E45&lt;&gt;"",E45,($I$9-SUM($T$25:T44))*V45*W45/SUMPRODUCT($W45:$W$55,$V45:$V$55)),"")</s:f>
        <s:v>2</s:v>
      </s:c>
      <s:c r="U45" s="121">
        <s:f>IF(W45&lt;&gt;"",IF($I$12&lt;&gt;"",IF(G45&lt;&gt;"",G45,($I$9/$I$12-SUM($U$25:U44))*V45*W45/SUMPRODUCT($W45:$W$55,$V45:$V$55)),""),"")</s:f>
        <s:v>2</s:v>
      </s:c>
      <s:c r="V45" s="122">
        <s:v>1</s:v>
      </s:c>
      <s:c r="W45" s="122">
        <s:v>1</s:v>
      </s:c>
      <s:c r="X45" s="123"/>
      <s:c r="Y45" s="124"/>
      <s:c r="Z45" s="125"/>
    </s:row>
    <s:row r="46">
      <s:c r="A46" s="113">
        <s:v>22</s:v>
      </s:c>
      <s:c r="B46" s="114">
        <s:v>45801</s:v>
      </s:c>
      <s:c r="C46" s="115" t="s">
        <s:v>51</s:v>
      </s:c>
      <s:c r="D46" s="116">
        <s:f>12775+25684+28906</s:f>
        <s:v>67365</s:v>
      </s:c>
      <s:c r="E46" s="117">
        <s:v>8</s:v>
      </s:c>
      <s:c r="F46" s="117">
        <s:f>IF(AND(E46&lt;&gt;"",E46&lt;&gt;0),D46/E46,"")</s:f>
        <s:v>8420.625</s:v>
      </s:c>
      <s:c r="G46" s="117">
        <s:v>5</s:v>
      </s:c>
      <s:c r="H46" s="117">
        <s:f>IF(AND(G46&lt;&gt;"",G46&lt;&gt;0),D46/G46,"")</s:f>
        <s:v>13473</s:v>
      </s:c>
      <s:c r="I46" s="117">
        <s:v>17</s:v>
      </s:c>
      <s:c r="J46" s="116">
        <s:f>IF(AND(G46&lt;&gt;"",G46&lt;&gt;0),E46/G46,"")</s:f>
        <s:v>1.6</s:v>
      </s:c>
      <s:c r="K46" s="117">
        <s:v>25684</s:v>
      </s:c>
      <s:c r="L46" s="117">
        <s:v>28906</s:v>
      </s:c>
      <s:c r="M46" s="117"/>
      <s:c r="N46" s="118">
        <s:f>IF(AND(I46&lt;&gt;"",I46&lt;&gt;0),G46/I46,"")</s:f>
        <s:v>0.29411764705882354</s:v>
      </s:c>
      <s:c r="O46" s="119">
        <s:f>D46/P46</s:f>
        <s:v>0.97379569754132944</s:v>
      </s:c>
      <s:c r="P46" s="120">
        <s:f>$I$8*V46*W46/SUMPRODUCT($W$25:$W$55,$V$25:$V$55)</s:f>
        <s:v>69177.75481046518</s:v>
      </s:c>
      <s:c r="Q46" s="121">
        <s:f>$I$9*V46*W46/SUMPRODUCT($W$25:$W$55,$V$25:$V$55)</s:f>
        <s:v>13.303414386627917</s:v>
      </s:c>
      <s:c r="R46" s="121">
        <s:f>IF($I$12="","",Q46/$I$12)</s:f>
        <s:v>6.8574300961999572</s:v>
      </s:c>
      <s:c r="S46" s="120">
        <s:f>IF(W46&lt;&gt;"",IF(D46&lt;&gt;"",D46,($I$8-SUM($S$25:S45))*V46*W46/SUMPRODUCT($W46:$W$55,$V46:$V$55)),"")</s:f>
        <s:v>67365</s:v>
      </s:c>
      <s:c r="T46" s="121">
        <s:f>IF(W46&lt;&gt;"",IF(E46&lt;&gt;"",E46,($I$9-SUM($T$25:T45))*V46*W46/SUMPRODUCT($W46:$W$55,$V46:$V$55)),"")</s:f>
        <s:v>8</s:v>
      </s:c>
      <s:c r="U46" s="121">
        <s:f>IF(W46&lt;&gt;"",IF($I$12&lt;&gt;"",IF(G46&lt;&gt;"",G46,($I$9/$I$12-SUM($U$25:U45))*V46*W46/SUMPRODUCT($W46:$W$55,$V46:$V$55)),""),"")</s:f>
        <s:v>5</s:v>
      </s:c>
      <s:c r="V46" s="122">
        <s:v>1</s:v>
      </s:c>
      <s:c r="W46" s="122">
        <s:v>1</s:v>
      </s:c>
      <s:c r="X46" s="123"/>
      <s:c r="Y46" s="124"/>
      <s:c r="Z46" s="125"/>
      <s:c r="AA46" s="2"/>
      <s:c r="AB46" s="2"/>
      <s:c r="AC46" s="2"/>
      <s:c r="AD46" s="2"/>
    </s:row>
    <s:row r="47">
      <s:c r="A47" s="113">
        <s:v>23</s:v>
      </s:c>
      <s:c r="B47" s="114">
        <s:v>45802</s:v>
      </s:c>
      <s:c r="C47" s="115" t="s">
        <s:v>53</s:v>
      </s:c>
      <s:c r="D47" s="116">
        <s:v>23568</s:v>
      </s:c>
      <s:c r="E47" s="117">
        <s:v>4</s:v>
      </s:c>
      <s:c r="F47" s="117">
        <s:f>IF(AND(E47&lt;&gt;"",E47&lt;&gt;0),D47/E47,"")</s:f>
        <s:v>5892</s:v>
      </s:c>
      <s:c r="G47" s="117">
        <s:v>4</s:v>
      </s:c>
      <s:c r="H47" s="117">
        <s:f>IF(AND(G47&lt;&gt;"",G47&lt;&gt;0),D47/G47,"")</s:f>
        <s:v>5892</s:v>
      </s:c>
      <s:c r="I47" s="117">
        <s:v>15</s:v>
      </s:c>
      <s:c r="J47" s="116">
        <s:f>IF(AND(G47&lt;&gt;"",G47&lt;&gt;0),E47/G47,"")</s:f>
        <s:v>1</s:v>
      </s:c>
      <s:c r="K47" s="117">
        <s:v>8993</s:v>
      </s:c>
      <s:c r="L47" s="117"/>
      <s:c r="M47" s="117"/>
      <s:c r="N47" s="118">
        <s:f>IF(AND(I47&lt;&gt;"",I47&lt;&gt;0),G47/I47,"")</s:f>
        <s:v>0.26666666666666666</s:v>
      </s:c>
      <s:c r="O47" s="119">
        <s:f>D47/P47</s:f>
        <s:v>0.34068755287840946</s:v>
      </s:c>
      <s:c r="P47" s="120">
        <s:f>$I$8*V47*W47/SUMPRODUCT($W$25:$W$55,$V$25:$V$55)</s:f>
        <s:v>69177.75481046518</s:v>
      </s:c>
      <s:c r="Q47" s="121">
        <s:f>$I$9*V47*W47/SUMPRODUCT($W$25:$W$55,$V$25:$V$55)</s:f>
        <s:v>13.303414386627917</s:v>
      </s:c>
      <s:c r="R47" s="121">
        <s:f>IF($I$12="","",Q47/$I$12)</s:f>
        <s:v>6.8574300961999572</s:v>
      </s:c>
      <s:c r="S47" s="120">
        <s:f>IF(W47&lt;&gt;"",IF(D47&lt;&gt;"",D47,($I$8-SUM($S$25:S46))*V47*W47/SUMPRODUCT($W47:$W$55,$V47:$V$55)),"")</s:f>
        <s:v>23568</s:v>
      </s:c>
      <s:c r="T47" s="121">
        <s:f>IF(W47&lt;&gt;"",IF(E47&lt;&gt;"",E47,($I$9-SUM($T$25:T46))*V47*W47/SUMPRODUCT($W47:$W$55,$V47:$V$55)),"")</s:f>
        <s:v>4</s:v>
      </s:c>
      <s:c r="U47" s="121">
        <s:f>IF(W47&lt;&gt;"",IF($I$12&lt;&gt;"",IF(G47&lt;&gt;"",G47,($I$9/$I$12-SUM($U$25:U46))*V47*W47/SUMPRODUCT($W47:$W$55,$V47:$V$55)),""),"")</s:f>
        <s:v>4</s:v>
      </s:c>
      <s:c r="V47" s="122">
        <s:v>1</s:v>
      </s:c>
      <s:c r="W47" s="122">
        <s:v>1</s:v>
      </s:c>
      <s:c r="X47" s="123"/>
      <s:c r="Y47" s="124"/>
      <s:c r="Z47" s="125"/>
      <s:c r="AA47" s="2"/>
      <s:c r="AB47" s="2"/>
      <s:c r="AC47" s="2"/>
      <s:c r="AD47" s="2"/>
    </s:row>
    <s:row r="48">
      <s:c r="A48" s="113">
        <s:v>24</s:v>
      </s:c>
      <s:c r="B48" s="114">
        <s:v>45804</s:v>
      </s:c>
      <s:c r="C48" s="115" t="s">
        <s:v>55</s:v>
      </s:c>
      <s:c r="D48" s="116">
        <s:f>31985+33995+27307</s:f>
        <s:v>93287</s:v>
      </s:c>
      <s:c r="E48" s="117">
        <s:v>11</s:v>
      </s:c>
      <s:c r="F48" s="117">
        <s:f>IF(AND(E48&lt;&gt;"",E48&lt;&gt;0),D48/E48,"")</s:f>
        <s:v>8480.636363636364</s:v>
      </s:c>
      <s:c r="G48" s="117">
        <s:v>7</s:v>
      </s:c>
      <s:c r="H48" s="117">
        <s:f>IF(AND(G48&lt;&gt;"",G48&lt;&gt;0),D48/G48,"")</s:f>
        <s:v>13326.714285714286</s:v>
      </s:c>
      <s:c r="I48" s="117">
        <s:v>17</s:v>
      </s:c>
      <s:c r="J48" s="116">
        <s:f>IF(AND(G48&lt;&gt;"",G48&lt;&gt;0),E48/G48,"")</s:f>
        <s:v>1.5714285714285714</s:v>
      </s:c>
      <s:c r="K48" s="117">
        <s:v>31985</s:v>
      </s:c>
      <s:c r="L48" s="117">
        <s:v>27307</s:v>
      </s:c>
      <s:c r="M48" s="117"/>
      <s:c r="N48" s="118">
        <s:f>IF(AND(I48&lt;&gt;"",I48&lt;&gt;0),G48/I48,"")</s:f>
        <s:v>0.41176470588235292</s:v>
      </s:c>
      <s:c r="O48" s="119">
        <s:f>D48/P48</s:f>
        <s:v>1.3485115302685073</s:v>
      </s:c>
      <s:c r="P48" s="120">
        <s:f>$I$8*V48*W48/SUMPRODUCT($W$25:$W$55,$V$25:$V$55)</s:f>
        <s:v>69177.75481046518</s:v>
      </s:c>
      <s:c r="Q48" s="121">
        <s:f>$I$9*V48*W48/SUMPRODUCT($W$25:$W$55,$V$25:$V$55)</s:f>
        <s:v>13.303414386627917</s:v>
      </s:c>
      <s:c r="R48" s="121">
        <s:f>IF($I$12="","",Q48/$I$12)</s:f>
        <s:v>6.8574300961999572</s:v>
      </s:c>
      <s:c r="S48" s="120">
        <s:f>IF(W48&lt;&gt;"",IF(D48&lt;&gt;"",D48,($I$8-SUM($S$25:S47))*V48*W48/SUMPRODUCT($W48:$W$55,$V48:$V$55)),"")</s:f>
        <s:v>93287</s:v>
      </s:c>
      <s:c r="T48" s="121">
        <s:f>IF(W48&lt;&gt;"",IF(E48&lt;&gt;"",E48,($I$9-SUM($T$25:T47))*V48*W48/SUMPRODUCT($W48:$W$55,$V48:$V$55)),"")</s:f>
        <s:v>11</s:v>
      </s:c>
      <s:c r="U48" s="121">
        <s:f>IF(W48&lt;&gt;"",IF($I$12&lt;&gt;"",IF(G48&lt;&gt;"",G48,($I$9/$I$12-SUM($U$25:U47))*V48*W48/SUMPRODUCT($W48:$W$55,$V48:$V$55)),""),"")</s:f>
        <s:v>7</s:v>
      </s:c>
      <s:c r="V48" s="122">
        <s:v>1</s:v>
      </s:c>
      <s:c r="W48" s="122">
        <s:v>1</s:v>
      </s:c>
      <s:c r="X48" s="123"/>
      <s:c r="Y48" s="124"/>
      <s:c r="Z48" s="125"/>
      <s:c r="AA48" s="2"/>
      <s:c r="AB48" s="2"/>
      <s:c r="AC48" s="2"/>
      <s:c r="AD48" s="2"/>
    </s:row>
    <s:row r="49">
      <s:c r="A49" s="113">
        <s:v>25</s:v>
      </s:c>
      <s:c r="B49" s="114" t="s">
        <s:v>68</s:v>
      </s:c>
      <s:c r="C49" s="115" t="s">
        <s:v>56</s:v>
      </s:c>
      <s:c r="D49" s="116">
        <s:v>14373</s:v>
      </s:c>
      <s:c r="E49" s="117">
        <s:v>4</s:v>
      </s:c>
      <s:c r="F49" s="127">
        <s:f>IF(AND(E49&lt;&gt;"",E49&lt;&gt;0),D49/E49,"")</s:f>
        <s:v>3593.25</s:v>
      </s:c>
      <s:c r="G49" s="117">
        <s:v>2</s:v>
      </s:c>
      <s:c r="H49" s="117">
        <s:f>IF(AND(G49&lt;&gt;"",G49&lt;&gt;0),D49/G49,"")</s:f>
        <s:v>7186.5</s:v>
      </s:c>
      <s:c r="I49" s="117">
        <s:v>17</s:v>
      </s:c>
      <s:c r="J49" s="116">
        <s:f>IF(AND(G49&lt;&gt;"",G49&lt;&gt;0),E49/G49,"")</s:f>
        <s:v>2</s:v>
      </s:c>
      <s:c r="K49" s="117"/>
      <s:c r="L49" s="117"/>
      <s:c r="M49" s="117"/>
      <s:c r="N49" s="118">
        <s:f>IF(AND(I49&lt;&gt;"",I49&lt;&gt;0),G49/I49,"")</s:f>
        <s:v>0.11764705882352941</s:v>
      </s:c>
      <s:c r="O49" s="119">
        <s:f>D49/P49</s:f>
        <s:v>0.20776910206726829</s:v>
      </s:c>
      <s:c r="P49" s="120">
        <s:f>$I$8*V49*W49/SUMPRODUCT($W$25:$W$55,$V$25:$V$55)</s:f>
        <s:v>69177.75481046518</s:v>
      </s:c>
      <s:c r="Q49" s="121">
        <s:f>$I$9*V49*W49/SUMPRODUCT($W$25:$W$55,$V$25:$V$55)</s:f>
        <s:v>13.303414386627917</s:v>
      </s:c>
      <s:c r="R49" s="121">
        <s:f>IF($I$12="","",Q49/$I$12)</s:f>
        <s:v>6.8574300961999572</s:v>
      </s:c>
      <s:c r="S49" s="120">
        <s:f>IF(W49&lt;&gt;"",IF(D49&lt;&gt;"",D49,($I$8-SUM($S$25:S48))*V49*W49/SUMPRODUCT($W49:$W$55,$V49:$V$55)),"")</s:f>
        <s:v>14373</s:v>
      </s:c>
      <s:c r="T49" s="121">
        <s:f>IF(W49&lt;&gt;"",IF(E49&lt;&gt;"",E49,($I$9-SUM($T$25:T48))*V49*W49/SUMPRODUCT($W49:$W$55,$V49:$V$55)),"")</s:f>
        <s:v>4</s:v>
      </s:c>
      <s:c r="U49" s="121">
        <s:f>IF(W49&lt;&gt;"",IF($I$12&lt;&gt;"",IF(G49&lt;&gt;"",G49,($I$9/$I$12-SUM($U$25:U48))*V49*W49/SUMPRODUCT($W49:$W$55,$V49:$V$55)),""),"")</s:f>
        <s:v>2</s:v>
      </s:c>
      <s:c r="V49" s="122">
        <s:v>1</s:v>
      </s:c>
      <s:c r="W49" s="122">
        <s:v>1</s:v>
      </s:c>
      <s:c r="X49" s="123"/>
      <s:c r="Y49" s="124"/>
      <s:c r="Z49" s="125"/>
      <s:c r="AA49" s="2"/>
      <s:c r="AB49" s="2"/>
      <s:c r="AC49" s="2"/>
      <s:c r="AD49" s="2"/>
    </s:row>
    <s:row r="50">
      <s:c r="A50" s="113">
        <s:v>26</s:v>
      </s:c>
      <s:c r="B50" s="114" t="s">
        <s:v>69</s:v>
      </s:c>
      <s:c r="C50" s="115" t="s">
        <s:v>48</s:v>
      </s:c>
      <s:c r="D50" s="116">
        <s:v>46013</s:v>
      </s:c>
      <s:c r="E50" s="117">
        <s:v>12</s:v>
      </s:c>
      <s:c r="F50" s="117">
        <s:f>IF(AND(E50&lt;&gt;"",E50&lt;&gt;0),D50/E50,"")</s:f>
        <s:v>3834.4166666666665</s:v>
      </s:c>
      <s:c r="G50" s="117">
        <s:v>5</s:v>
      </s:c>
      <s:c r="H50" s="117">
        <s:f>IF(AND(G50&lt;&gt;"",G50&lt;&gt;0),D50/G50,"")</s:f>
        <s:v>9202.6</s:v>
      </s:c>
      <s:c r="I50" s="117">
        <s:v>20</s:v>
      </s:c>
      <s:c r="J50" s="116">
        <s:f>IF(AND(G50&lt;&gt;"",G50&lt;&gt;0),E50/G50,"")</s:f>
        <s:v>2.4</s:v>
      </s:c>
      <s:c r="K50" s="117"/>
      <s:c r="L50" s="117"/>
      <s:c r="M50" s="117"/>
      <s:c r="N50" s="118">
        <s:f>IF(AND(I50&lt;&gt;"",I50&lt;&gt;0),G50/I50,"")</s:f>
        <s:v>0.25</s:v>
      </s:c>
      <s:c r="O50" s="119">
        <s:f>D50/P50</s:f>
        <s:v>0.66514156358597476</s:v>
      </s:c>
      <s:c r="P50" s="120">
        <s:f>$I$8*V50*W50/SUMPRODUCT($W$25:$W$55,$V$25:$V$55)</s:f>
        <s:v>69177.75481046518</s:v>
      </s:c>
      <s:c r="Q50" s="121">
        <s:f>$I$9*V50*W50/SUMPRODUCT($W$25:$W$55,$V$25:$V$55)</s:f>
        <s:v>13.303414386627917</s:v>
      </s:c>
      <s:c r="R50" s="121">
        <s:f>IF($I$12="","",Q50/$I$12)</s:f>
        <s:v>6.8574300961999572</s:v>
      </s:c>
      <s:c r="S50" s="120">
        <s:f>IF(W50&lt;&gt;"",IF(D50&lt;&gt;"",D50,($I$8-SUM($S$25:S49))*V50*W50/SUMPRODUCT($W50:$W$55,$V50:$V$55)),"")</s:f>
        <s:v>46013</s:v>
      </s:c>
      <s:c r="T50" s="121">
        <s:f>IF(W50&lt;&gt;"",IF(E50&lt;&gt;"",E50,($I$9-SUM($T$25:T49))*V50*W50/SUMPRODUCT($W50:$W$55,$V50:$V$55)),"")</s:f>
        <s:v>12</s:v>
      </s:c>
      <s:c r="U50" s="121">
        <s:f>IF(W50&lt;&gt;"",IF($I$12&lt;&gt;"",IF(G50&lt;&gt;"",G50,($I$9/$I$12-SUM($U$25:U49))*V50*W50/SUMPRODUCT($W50:$W$55,$V50:$V$55)),""),"")</s:f>
        <s:v>5</s:v>
      </s:c>
      <s:c r="V50" s="122">
        <s:v>1</s:v>
      </s:c>
      <s:c r="W50" s="122">
        <s:v>1</s:v>
      </s:c>
      <s:c r="X50" s="123"/>
      <s:c r="Y50" s="124"/>
      <s:c r="Z50" s="125"/>
      <s:c r="AA50" s="2"/>
      <s:c r="AB50" s="2"/>
      <s:c r="AC50" s="2"/>
      <s:c r="AD50" s="2"/>
    </s:row>
    <s:row r="51">
      <s:c r="A51" s="113">
        <s:v>27</s:v>
      </s:c>
      <s:c r="B51" s="114" t="s">
        <s:v>70</s:v>
      </s:c>
      <s:c r="C51" s="115" t="s">
        <s:v>49</s:v>
      </s:c>
      <s:c r="D51" s="116">
        <s:v>27238</s:v>
      </s:c>
      <s:c r="E51" s="117">
        <s:v>7</s:v>
      </s:c>
      <s:c r="F51" s="117">
        <s:f>IF(AND(E51&lt;&gt;"",E51&lt;&gt;0),D51/E51,"")</s:f>
        <s:v>3891.1428571428573</s:v>
      </s:c>
      <s:c r="G51" s="117">
        <s:v>1</s:v>
      </s:c>
      <s:c r="H51" s="117">
        <s:f>IF(AND(G51&lt;&gt;"",G51&lt;&gt;0),D51/G51,"")</s:f>
        <s:v>27238</s:v>
      </s:c>
      <s:c r="I51" s="117">
        <s:v>17</s:v>
      </s:c>
      <s:c r="J51" s="116">
        <s:f>IF(AND(G51&lt;&gt;"",G51&lt;&gt;0),E51/G51,"")</s:f>
        <s:v>7</s:v>
      </s:c>
      <s:c r="K51" s="117"/>
      <s:c r="L51" s="117"/>
      <s:c r="M51" s="117"/>
      <s:c r="N51" s="118">
        <s:f>IF(AND(I51&lt;&gt;"",I51&lt;&gt;0),G51/I51,"")</s:f>
        <s:v>5.8823529411764705E-2</s:v>
      </s:c>
      <s:c r="O51" s="119">
        <s:f>D51/P51</s:f>
        <s:v>0.39373928909123035</s:v>
      </s:c>
      <s:c r="P51" s="120">
        <s:f>$I$8*V51*W51/SUMPRODUCT($W$25:$W$55,$V$25:$V$55)</s:f>
        <s:v>69177.75481046518</s:v>
      </s:c>
      <s:c r="Q51" s="121">
        <s:f>$I$9*V51*W51/SUMPRODUCT($W$25:$W$55,$V$25:$V$55)</s:f>
        <s:v>13.303414386627917</s:v>
      </s:c>
      <s:c r="R51" s="121">
        <s:f>IF($I$12="","",Q51/$I$12)</s:f>
        <s:v>6.8574300961999572</s:v>
      </s:c>
      <s:c r="S51" s="120">
        <s:f>IF(W51&lt;&gt;"",IF(D51&lt;&gt;"",D51,($I$8-SUM($S$25:S50))*V51*W51/SUMPRODUCT($W51:$W$55,$V51:$V$55)),"")</s:f>
        <s:v>27238</s:v>
      </s:c>
      <s:c r="T51" s="121">
        <s:f>IF(W51&lt;&gt;"",IF(E51&lt;&gt;"",E51,($I$9-SUM($T$25:T50))*V51*W51/SUMPRODUCT($W51:$W$55,$V51:$V$55)),"")</s:f>
        <s:v>7</s:v>
      </s:c>
      <s:c r="U51" s="121">
        <s:f>IF(W51&lt;&gt;"",IF($I$12&lt;&gt;"",IF(G51&lt;&gt;"",G51,($I$9/$I$12-SUM($U$25:U50))*V51*W51/SUMPRODUCT($W51:$W$55,$V51:$V$55)),""),"")</s:f>
        <s:v>1</s:v>
      </s:c>
      <s:c r="V51" s="122">
        <s:v>1</s:v>
      </s:c>
      <s:c r="W51" s="122">
        <s:v>1</s:v>
      </s:c>
      <s:c r="X51" s="123"/>
      <s:c r="Y51" s="124"/>
      <s:c r="Z51" s="125"/>
      <s:c r="AA51" s="2"/>
      <s:c r="AB51" s="2"/>
      <s:c r="AC51" s="2"/>
      <s:c r="AD51" s="2"/>
    </s:row>
    <s:row r="52">
      <s:c r="A52" s="113">
        <s:v>28</s:v>
      </s:c>
      <s:c r="B52" s="114" t="s">
        <s:v>71</s:v>
      </s:c>
      <s:c r="C52" s="115" t="s">
        <s:v>51</s:v>
      </s:c>
      <s:c r="D52" s="116">
        <s:v>35158</s:v>
      </s:c>
      <s:c r="E52" s="117">
        <s:v>5</s:v>
      </s:c>
      <s:c r="F52" s="117">
        <s:f>IF(AND(E52&lt;&gt;"",E52&lt;&gt;0),D52/E52,"")</s:f>
        <s:v>7031.6</s:v>
      </s:c>
      <s:c r="G52" s="117">
        <s:v>3</s:v>
      </s:c>
      <s:c r="H52" s="117">
        <s:f>IF(AND(G52&lt;&gt;"",G52&lt;&gt;0),D52/G52,"")</s:f>
        <s:v>11719.333333333334</s:v>
      </s:c>
      <s:c r="I52" s="117">
        <s:v>20</s:v>
      </s:c>
      <s:c r="J52" s="116">
        <s:f>IF(AND(G52&lt;&gt;"",G52&lt;&gt;0),E52/G52,"")</s:f>
        <s:v>1.6666666666666667</s:v>
      </s:c>
      <s:c r="K52" s="117"/>
      <s:c r="L52" s="117"/>
      <s:c r="M52" s="117"/>
      <s:c r="N52" s="118">
        <s:f>IF(AND(I52&lt;&gt;"",I52&lt;&gt;0),G52/I52,"")</s:f>
        <s:v>0.15</s:v>
      </s:c>
      <s:c r="O52" s="119">
        <s:f>D52/P52</s:f>
        <s:v>0.50822695961045139</s:v>
      </s:c>
      <s:c r="P52" s="120">
        <s:f>$I$8*V52*W52/SUMPRODUCT($W$25:$W$55,$V$25:$V$55)</s:f>
        <s:v>69177.75481046518</s:v>
      </s:c>
      <s:c r="Q52" s="121">
        <s:f>$I$9*V52*W52/SUMPRODUCT($W$25:$W$55,$V$25:$V$55)</s:f>
        <s:v>13.303414386627917</s:v>
      </s:c>
      <s:c r="R52" s="121">
        <s:f>IF($I$12="","",Q52/$I$12)</s:f>
        <s:v>6.8574300961999572</s:v>
      </s:c>
      <s:c r="S52" s="120">
        <s:f>IF(W52&lt;&gt;"",IF(D52&lt;&gt;"",D52,($I$8-SUM($S$25:S51))*V52*W52/SUMPRODUCT($W52:$W$55,$V52:$V$55)),"")</s:f>
        <s:v>35158</s:v>
      </s:c>
      <s:c r="T52" s="121">
        <s:f>IF(W52&lt;&gt;"",IF(E52&lt;&gt;"",E52,($I$9-SUM($T$25:T51))*V52*W52/SUMPRODUCT($W52:$W$55,$V52:$V$55)),"")</s:f>
        <s:v>5</s:v>
      </s:c>
      <s:c r="U52" s="121">
        <s:f>IF(W52&lt;&gt;"",IF($I$12&lt;&gt;"",IF(G52&lt;&gt;"",G52,($I$9/$I$12-SUM($U$25:U51))*V52*W52/SUMPRODUCT($W52:$W$55,$V52:$V$55)),""),"")</s:f>
        <s:v>3</s:v>
      </s:c>
      <s:c r="V52" s="122">
        <s:v>1</s:v>
      </s:c>
      <s:c r="W52" s="122">
        <s:v>1</s:v>
      </s:c>
      <s:c r="X52" s="123"/>
      <s:c r="Y52" s="124"/>
      <s:c r="Z52" s="125"/>
      <s:c r="AA52" s="2"/>
      <s:c r="AB52" s="2"/>
      <s:c r="AC52" s="2"/>
      <s:c r="AD52" s="2"/>
    </s:row>
    <s:row r="53" spans="1:30" ht="15" customHeight="1">
      <s:c r="A53" s="113">
        <s:v>29</s:v>
      </s:c>
      <s:c r="B53" s="114"/>
      <s:c r="C53" s="115"/>
      <s:c r="D53" s="116"/>
      <s:c r="E53" s="117"/>
      <s:c r="F53" s="117" t="str">
        <s:f>IF(AND(E53&lt;&gt;"",E53&lt;&gt;0),D53/E53,"")</s:f>
        <s:v/>
      </s:c>
      <s:c r="G53" s="117"/>
      <s:c r="H53" s="117" t="str">
        <s:f>IF(AND(G53&lt;&gt;"",G53&lt;&gt;0),D53/G53,"")</s:f>
        <s:v/>
      </s:c>
      <s:c r="I53" s="117"/>
      <s:c r="J53" s="116" t="str">
        <s:f>IF(AND(G53&lt;&gt;"",G53&lt;&gt;0),E53/G53,"")</s:f>
        <s:v/>
      </s:c>
      <s:c r="K53" s="117"/>
      <s:c r="L53" s="117"/>
      <s:c r="M53" s="117"/>
      <s:c r="N53" s="118" t="str">
        <s:f>IF(AND(I53&lt;&gt;"",I53&lt;&gt;0),G53/I53,"")</s:f>
        <s:v/>
      </s:c>
      <s:c r="O53" s="119">
        <s:f>D53/P53</s:f>
        <s:v>0</s:v>
      </s:c>
      <s:c r="P53" s="120">
        <s:f>$I$8*V53*W53/SUMPRODUCT($W$25:$W$55,$V$25:$V$55)</s:f>
        <s:v>69177.75481046518</s:v>
      </s:c>
      <s:c r="Q53" s="121">
        <s:f>$I$9*V53*W53/SUMPRODUCT($W$25:$W$55,$V$25:$V$55)</s:f>
        <s:v>13.303414386627917</s:v>
      </s:c>
      <s:c r="R53" s="121">
        <s:f>IF($I$12="","",Q53/$I$12)</s:f>
        <s:v>6.8574300961999572</s:v>
      </s:c>
      <s:c r="S53" s="120">
        <s:f>IF(W53&lt;&gt;"",IF(D53&lt;&gt;"",D53,($I$8-SUM($S$25:S52))*V53*W53/SUMPRODUCT($W53:$W$55,$V53:$V$55)),"")</s:f>
        <s:v>513857.40610687016</s:v>
      </s:c>
      <s:c r="T53" s="121">
        <s:f>IF(W53&lt;&gt;"",IF(E53&lt;&gt;"",E53,($I$9-SUM($T$25:T52))*V53*W53/SUMPRODUCT($W53:$W$55,$V53:$V$55)),"")</s:f>
        <s:v>136.07584732824427</s:v>
      </s:c>
      <s:c r="U53" s="121">
        <s:f>IF(W53&lt;&gt;"",IF($I$12&lt;&gt;"",IF(G53&lt;&gt;"",G53,($I$9/$I$12-SUM($U$25:U52))*V53*W53/SUMPRODUCT($W53:$W$55,$V53:$V$55)),""),"")</s:f>
        <s:v>58.606106870229013</s:v>
      </s:c>
      <s:c r="V53" s="122">
        <s:v>1</s:v>
      </s:c>
      <s:c r="W53" s="122">
        <s:v>1</s:v>
      </s:c>
      <s:c r="X53" s="123"/>
      <s:c r="Y53" s="124"/>
      <s:c r="Z53" s="125"/>
      <s:c r="AA53" s="2"/>
      <s:c r="AB53" s="2"/>
      <s:c r="AC53" s="2"/>
      <s:c r="AD53" s="2"/>
    </s:row>
    <s:row r="54" spans="1:30" ht="15" customHeight="1">
      <s:c r="B54" s="569" t="s">
        <s:v>61</s:v>
      </s:c>
      <s:c r="C54" s="569"/>
      <s:c r="D54" s="100">
        <s:f>SUM(D25:D53)</s:f>
        <s:v>1358537</s:v>
      </s:c>
      <s:c r="E54" s="100">
        <s:f>SUM(E25:E53)</s:f>
        <s:v>228</s:v>
      </s:c>
      <s:c r="F54" s="100">
        <s:f>IF(AND(E54&lt;&gt;"",E54&lt;&gt;0),D54/E54,"")</s:f>
        <s:v>5958.4956140350878</s:v>
      </s:c>
      <s:c r="G54" s="100">
        <s:f>SUM(G25:G53)</s:f>
        <s:v>127</s:v>
      </s:c>
      <s:c r="H54" s="100">
        <s:f>IF(AND(G54&lt;&gt;"",G54&lt;&gt;0),D54/G54,"")</s:f>
        <s:v>10697.141732283464</s:v>
      </s:c>
      <s:c r="I54" s="100">
        <s:f>SUM(I25:I53)</s:f>
        <s:v>522</s:v>
      </s:c>
      <s:c r="J54" s="99">
        <s:f>IF(AND(G54&lt;&gt;"",G54&lt;&gt;0),E54/G54,"")</s:f>
        <s:v>1.795275590551181</s:v>
      </s:c>
      <s:c r="K54" s="100">
        <s:f>SUM(K25:K51)</s:f>
        <s:v>247476</s:v>
      </s:c>
      <s:c r="L54" s="100">
        <s:f>SUM(L25:L51)</s:f>
        <s:v>291718</s:v>
      </s:c>
      <s:c r="M54" s="100">
        <s:f>SUM(M25:M51)</s:f>
        <s:v>0</s:v>
      </s:c>
      <s:c r="N54" s="128">
        <s:f>IF(AND(I54&lt;&gt;"",I54&lt;&gt;0),G54/I54,"")</s:f>
        <s:v>0.24329501915708812</s:v>
      </s:c>
      <s:c r="O54" s="102">
        <s:f>D54/P54</s:f>
        <s:v>0.72556134304241149</s:v>
      </s:c>
      <s:c r="P54" s="104">
        <s:f>SUM(P25:P53)</s:f>
        <s:v>1872394.4061068713</s:v>
      </s:c>
      <s:c r="Q54" s="104">
        <s:f>SUM(Q25:Q52)</s:f>
        <s:v>346.77243294161639</s:v>
      </s:c>
      <s:c r="R54" s="104">
        <s:f>SUM(R25:R52)</s:f>
        <s:v>178.74867677402898</s:v>
      </s:c>
      <s:c r="S54" s="104">
        <s:f>SUM(S25:S53)</s:f>
        <s:v>1872394.4061068702</s:v>
      </s:c>
      <s:c r="T54" s="104">
        <s:f>SUM(T25:T52)</s:f>
        <s:v>224</s:v>
      </s:c>
      <s:c r="U54" s="104">
        <s:f>SUM(U25:U52)</s:f>
        <s:v>127</s:v>
      </s:c>
      <s:c r="V54" s="129"/>
      <s:c r="W54" s="129"/>
    </s:row>
    <s:row r="55">
      <s:c r="B55" s="131"/>
      <s:c r="C55" s="132"/>
      <s:c r="D55" s="133">
        <s:f>SUMIF(D25:D51,"",P25:P51)+D54</s:f>
        <s:v>1358537</s:v>
      </s:c>
      <s:c r="E55" s="134"/>
      <s:c r="F55" s="132"/>
      <s:c r="G55" s="132"/>
      <s:c r="H55" s="135"/>
      <s:c r="I55" s="243"/>
      <s:c r="J55" s="135"/>
      <s:c r="L55" s="137"/>
      <s:c r="M55" s="134"/>
      <s:c r="N55" s="137"/>
      <s:c r="O55" s="137"/>
      <s:c r="P55" s="137"/>
      <s:c r="Q55" s="138"/>
    </s:row>
    <s:row r="56">
      <s:c r="D56" s="139"/>
    </s:row>
    <s:row r="57">
      <s:c r="D57" s="139"/>
    </s:row>
    <s:row r="58">
      <s:c r="D58" s="235"/>
    </s:row>
    <s:row r="59">
      <s:c r="D59" s="235"/>
    </s:row>
  </s:sheetData>
  <s:mergeCells count="28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B54:C54"/>
    <s:mergeCell ref="F18:H18"/>
    <s:mergeCell ref="F19:H19"/>
    <s:mergeCell ref="F20:H20"/>
    <s:mergeCell ref="B22:N22"/>
    <s:mergeCell ref="O22:O24"/>
  </s:mergeCells>
  <s:conditionalFormatting sqref="J16">
    <s:cfRule type="cellIs" dxfId="177" priority="1787" operator="lessThan">
      <s:formula>0</s:formula>
    </s:cfRule>
    <s:cfRule type="cellIs" dxfId="176" priority="1788" operator="greaterThan">
      <s:formula>0</s:formula>
    </s:cfRule>
  </s:conditionalFormatting>
  <s:conditionalFormatting sqref="J25:J53">
    <s:cfRule type="cellIs" dxfId="175" priority="10" operator="lessThan">
      <s:formula>$I$12</s:formula>
    </s:cfRule>
    <s:cfRule type="cellIs" dxfId="174" priority="11" operator="greaterThan">
      <s:formula>$I$12</s:formula>
    </s:cfRule>
  </s:conditionalFormatting>
  <s:conditionalFormatting sqref="J39:J40">
    <s:cfRule type="cellIs" dxfId="173" priority="1806" operator="lessThan">
      <s:formula>$I$12</s:formula>
    </s:cfRule>
  </s:conditionalFormatting>
  <s:conditionalFormatting sqref="K10:K12 K15">
    <s:cfRule type="cellIs" dxfId="172" priority="1785" operator="lessThan">
      <s:formula>1</s:formula>
    </s:cfRule>
    <s:cfRule type="cellIs" dxfId="171" priority="1786" operator="greaterThan">
      <s:formula>1</s:formula>
    </s:cfRule>
  </s:conditionalFormatting>
  <s:conditionalFormatting sqref="K13">
    <s:cfRule type="cellIs" dxfId="170" priority="1435" operator="lessThan">
      <s:formula>$K$14</s:formula>
    </s:cfRule>
    <s:cfRule type="cellIs" dxfId="169" priority="1436" operator="greaterThan">
      <s:formula>$K$14</s:formula>
    </s:cfRule>
  </s:conditionalFormatting>
  <s:conditionalFormatting sqref="M8:M15">
    <s:cfRule type="cellIs" dxfId="168" priority="1784" operator="greaterThan">
      <s:formula>1</s:formula>
    </s:cfRule>
    <s:cfRule type="cellIs" dxfId="167" priority="1803" operator="lessThan">
      <s:formula>1</s:formula>
    </s:cfRule>
  </s:conditionalFormatting>
  <s:conditionalFormatting sqref="N25:N38">
    <s:cfRule type="cellIs" dxfId="166" priority="7" operator="between">
      <s:formula>0.2</s:formula>
      <s:formula>0.25</s:formula>
    </s:cfRule>
    <s:cfRule type="cellIs" dxfId="165" priority="8" operator="greaterThanOrEqual">
      <s:formula>0.25</s:formula>
    </s:cfRule>
  </s:conditionalFormatting>
  <s:conditionalFormatting sqref="N25:N53">
    <s:cfRule type="cellIs" dxfId="164" priority="9" operator="lessThan">
      <s:formula>0.2</s:formula>
    </s:cfRule>
  </s:conditionalFormatting>
  <s:conditionalFormatting sqref="N39:N40">
    <s:cfRule type="cellIs" dxfId="163" priority="1812" operator="between">
      <s:formula>0.2</s:formula>
      <s:formula>0.25</s:formula>
    </s:cfRule>
  </s:conditionalFormatting>
  <s:conditionalFormatting sqref="N39:N53">
    <s:cfRule type="cellIs" dxfId="162" priority="30" operator="greaterThanOrEqual">
      <s:formula>0.25</s:formula>
    </s:cfRule>
  </s:conditionalFormatting>
  <s:conditionalFormatting sqref="N41:N53">
    <s:cfRule type="cellIs" dxfId="161" priority="29" operator="between">
      <s:formula>0.2</s:formula>
      <s:formula>0.25</s:formula>
    </s:cfRule>
  </s:conditionalFormatting>
  <s:conditionalFormatting sqref="O25:O38">
    <s:cfRule type="cellIs" dxfId="160" priority="1" operator="between">
      <s:formula>0.9001</s:formula>
      <s:formula>0.9999</s:formula>
    </s:cfRule>
    <s:cfRule type="cellIs" dxfId="159" priority="2" operator="lessThan">
      <s:formula>0.9</s:formula>
    </s:cfRule>
    <s:cfRule type="cellIs" dxfId="158" priority="5" operator="between">
      <s:formula>0.85</s:formula>
      <s:formula>1</s:formula>
    </s:cfRule>
    <s:cfRule type="cellIs" dxfId="157" priority="6" operator="between">
      <s:formula>0.01</s:formula>
      <s:formula>0.99</s:formula>
    </s:cfRule>
  </s:conditionalFormatting>
  <s:conditionalFormatting sqref="O25:O53">
    <s:cfRule type="cellIs" dxfId="156" priority="3" operator="greaterThan">
      <s:formula>1</s:formula>
    </s:cfRule>
    <s:cfRule type="cellIs" dxfId="155" priority="4" operator="greaterThan">
      <s:formula>100</s:formula>
    </s:cfRule>
  </s:conditionalFormatting>
  <s:conditionalFormatting sqref="O39:O40">
    <s:cfRule type="cellIs" dxfId="154" priority="1816" operator="between">
      <s:formula>0.85</s:formula>
      <s:formula>1</s:formula>
    </s:cfRule>
    <s:cfRule type="cellIs" dxfId="153" priority="1822" operator="lessThan">
      <s:formula>0.9</s:formula>
    </s:cfRule>
    <s:cfRule type="cellIs" dxfId="152" priority="1824" operator="between">
      <s:formula>0.9001</s:formula>
      <s:formula>0.9999</s:formula>
    </s:cfRule>
  </s:conditionalFormatting>
  <s:conditionalFormatting sqref="O39:O53">
    <s:cfRule type="cellIs" dxfId="151" priority="28" operator="between">
      <s:formula>0.01</s:formula>
      <s:formula>0.99</s:formula>
    </s:cfRule>
  </s:conditionalFormatting>
  <s:conditionalFormatting sqref="O41:O53">
    <s:cfRule type="cellIs" dxfId="150" priority="23" operator="between">
      <s:formula>0.9001</s:formula>
      <s:formula>0.9999</s:formula>
    </s:cfRule>
    <s:cfRule type="cellIs" dxfId="149" priority="24" operator="lessThan">
      <s:formula>0.9</s:formula>
    </s:cfRule>
    <s:cfRule type="cellIs" dxfId="148" priority="27" operator="between">
      <s:formula>0.85</s:formula>
      <s:formula>1</s:formula>
    </s:cfRule>
  </s:conditionalFormatting>
  <s:conditionalFormatting sqref="P10:Q10">
    <s:cfRule type="cellIs" dxfId="147" priority="1799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400-000000000000}">
  <s:sheetPr>
    <s:pageSetUpPr fitToPage="1"/>
  </s:sheetPr>
  <s:dimension ref="A1:IU55"/>
  <s:sheetViews>
    <s:sheetView showZeros="0" tabSelected="0" topLeftCell="A2" zoomScale="116" workbookViewId="0">
      <s:pane xSplit="2" topLeftCell="C1" activePane="topRight" state="frozen"/>
      <s:selection activeCell="J14" sqref="J14"/>
      <s:selection pane="topRight" activeCell="A15" sqref="A15"/>
    </s:sheetView>
  </s:sheetViews>
  <s:sheetFormatPr baseColWidth="10" defaultColWidth="9.164" defaultRowHeight="15"/>
  <s:cols>
    <s:col min="1" max="1" width="4.164" style="244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3" ht="15.75" customHeight="1">
      <s:c r="B1" s="670">
        <s:f ca="1">TODAY()-1</s:f>
        <s:v>46171</s:v>
      </s:c>
      <s:c r="C1" s="670"/>
      <s:c r="D1" s="11"/>
      <s:c r="E1" s="11"/>
      <s:c r="F1" s="12"/>
      <s:c r="G1" s="12"/>
      <s:c r="H1" s="12"/>
      <s:c r="I1" s="12"/>
      <s:c r="J1" s="209"/>
      <s:c r="K1" s="209"/>
      <s:c r="L1" s="209"/>
      <s:c r="M1" s="209"/>
      <s:c r="N1" s="209"/>
      <s:c r="O1" s="209"/>
      <s:c r="P1" s="209"/>
      <s:c r="Q1" s="671"/>
      <s:c r="R1" s="671"/>
      <s:c r="S1" s="671"/>
      <s:c r="T1" s="671"/>
      <s:c r="U1" s="12"/>
      <s:c r="V1" s="12"/>
      <s:c r="W1" s="12"/>
    </s:row>
    <s:row r="2" spans="2:23" ht="21.75" customHeight="1">
      <s:c r="B2" s="672" t="s">
        <s:v>0</s:v>
      </s:c>
      <s:c r="C2" s="672"/>
      <s:c r="D2" s="11"/>
      <s:c r="E2" s="11"/>
      <s:c r="F2" s="12"/>
      <s:c r="G2" s="12"/>
      <s:c r="H2" s="12"/>
      <s:c r="I2" s="12"/>
      <s:c r="J2" s="673" t="s">
        <s:v>67</s:v>
      </s:c>
      <s:c r="K2" s="673"/>
      <s:c r="L2" s="673"/>
      <s:c r="M2" s="673"/>
      <s:c r="N2" s="673"/>
      <s:c r="O2" s="673"/>
      <s:c r="P2" s="673"/>
      <s:c r="Q2" s="671"/>
      <s:c r="R2" s="671"/>
      <s:c r="S2" s="671"/>
      <s:c r="T2" s="671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4" t="str">
        <s:f>График!B28</s:f>
        <s:v>Уразгильдеева Екатерина</s:v>
      </s:c>
      <s:c r="K3" s="675"/>
      <s:c r="L3" s="675"/>
      <s:c r="M3" s="675"/>
      <s:c r="N3" s="676"/>
      <s:c r="O3" s="209"/>
      <s:c r="P3" s="210"/>
      <s:c r="Q3" s="671"/>
      <s:c r="R3" s="671"/>
      <s:c r="S3" s="671"/>
      <s:c r="T3" s="671"/>
      <s:c r="U3" s="12"/>
      <s:c r="V3" s="12"/>
      <s:c r="W3" s="12"/>
    </s:row>
    <s:row r="4" spans="2:23" ht="15" customHeight="1">
      <s:c r="B4" s="11"/>
      <s:c r="C4" s="680">
        <s:f>I8-D50</s:f>
        <s:v>782374.1267175572</s:v>
      </s:c>
      <s:c r="D4" s="681"/>
      <s:c r="E4" s="211">
        <s:f>IF(I8&lt;&gt;0, C4/I8, 0)</s:f>
        <s:v>0.5214592950598419</s:v>
      </s:c>
      <s:c r="F4" s="12"/>
      <s:c r="G4" s="12"/>
      <s:c r="H4" s="12"/>
      <s:c r="I4" s="12"/>
      <s:c r="J4" s="677"/>
      <s:c r="K4" s="678"/>
      <s:c r="L4" s="678"/>
      <s:c r="M4" s="678"/>
      <s:c r="N4" s="679"/>
      <s:c r="O4" s="12"/>
      <s:c r="P4" s="12"/>
      <s:c r="Q4" s="671"/>
      <s:c r="R4" s="671"/>
      <s:c r="S4" s="671"/>
      <s:c r="T4" s="671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63"/>
      <s:c r="K5" s="663"/>
      <s:c r="L5" s="663"/>
      <s:c r="M5" s="663"/>
      <s:c r="N5" s="663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12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12"/>
      <s:c r="C7" s="12"/>
      <s:c r="D7" s="12"/>
      <s:c r="E7" s="12"/>
      <s:c r="F7" s="585" t="s">
        <s:v>3</s:v>
      </s:c>
      <s:c r="G7" s="586"/>
      <s:c r="H7" s="587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21"/>
      <s:c r="S7" s="21"/>
      <s:c r="T7" s="12"/>
      <s:c r="U7" s="12"/>
      <s:c r="V7" s="12"/>
      <s:c r="W7" s="12"/>
    </s:row>
    <s:row r="8" spans="2:23" ht="15.75" customHeight="1">
      <s:c r="B8" s="212"/>
      <s:c r="C8" s="12"/>
      <s:c r="D8" s="12"/>
      <s:c r="E8" s="12"/>
      <s:c r="F8" s="577" t="s">
        <s:v>12</s:v>
      </s:c>
      <s:c r="G8" s="578"/>
      <s:c r="H8" s="579"/>
      <s:c r="I8" s="213">
        <s:f>'Ялта, Ленина, 18'!I8/График!AJ31*График!AJ28</s:f>
        <s:v>1500355.1267175572</s:v>
      </s:c>
      <s:c r="J8" s="214">
        <s:f>D50</s:f>
        <s:v>717981</s:v>
      </s:c>
      <s:c r="K8" s="215">
        <s:f>J8/I8</s:f>
        <s:v>0.47854070494015805</s:v>
      </s:c>
      <s:c r="L8" s="216">
        <s:f>IF(SUMIF($D$25:$D$49,"&gt;=0",$P$25:$P$49)&lt;&gt;0,I8*D50/SUMIF($D$25:$D$49,"&gt;=0",$P$25:$P$49),0)</s:f>
        <s:v>717981.00000000012</s:v>
      </s:c>
      <s:c r="M8" s="42">
        <s:f>IF(AND(I8&lt;&gt;"",I8&lt;&gt;0,L8&lt;&gt;"",L8&lt;&gt;0),L8/I8,"")</s:f>
        <s:v>0.47854070494015816</s:v>
      </s:c>
      <s:c r="N8" s="35">
        <s:f>IF(AND(J8&lt;&gt;0, J8&lt;&gt;"", I8&lt;&gt;0, I8&lt;&gt;""), L8-I8, "")</s:f>
        <s:v>-782374.12671755708</s:v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12"/>
      <s:c r="C9" s="12"/>
      <s:c r="D9" s="12"/>
      <s:c r="E9" s="12"/>
      <s:c r="F9" s="571" t="s">
        <s:v>13</s:v>
      </s:c>
      <s:c r="G9" s="572"/>
      <s:c r="H9" s="573"/>
      <s:c r="I9" s="38">
        <s:f>I8/I11</s:f>
        <s:v>288.5298320610687</s:v>
      </s:c>
      <s:c r="J9" s="39">
        <s:f>E50</s:f>
        <s:v>134</s:v>
      </s:c>
      <s:c r="K9" s="40">
        <s:f>IF(AND(I9&lt;&gt;"", I9&lt;&gt;0, J9&lt;&gt;""), J9/I9, "")</s:f>
        <s:v>0.4644233805662018</s:v>
      </s:c>
      <s:c r="L9" s="218">
        <s:f>J9</s:f>
        <s:v>134</s:v>
      </s:c>
      <s:c r="M9" s="42">
        <s:f>IF(AND(I9&lt;&gt;"",I9&lt;&gt;0,L9&lt;&gt;"",L9&lt;&gt;0),L9/I9,"")</s:f>
        <s:v>0.4644233805662018</s:v>
      </s:c>
      <s:c r="N9" s="43">
        <s:f>IF(AND(J9&lt;&gt;0, J9&lt;&gt;"", I9&lt;&gt;0, I9&lt;&gt;""), L9-I9, "")</s:f>
        <s:v>-154.5298320610687</s:v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12"/>
      <s:c r="C10" s="12"/>
      <s:c r="D10" s="12"/>
      <s:c r="E10" s="12"/>
      <s:c r="F10" s="577" t="s">
        <s:v>14</s:v>
      </s:c>
      <s:c r="G10" s="578"/>
      <s:c r="H10" s="579"/>
      <s:c r="I10" s="50">
        <s:f>I11*I12</s:f>
        <s:v>10088</s:v>
      </s:c>
      <s:c r="J10" s="220">
        <s:f>H50</s:f>
        <s:v>8974.7625000000007</s:v>
      </s:c>
      <s:c r="K10" s="47">
        <s:f>IF(AND(I10&lt;&gt;"", I10&lt;&gt;0, J10&lt;&gt;""), J10/I10, "")</s:f>
        <s:v>0.88964735329103894</s:v>
      </s:c>
      <s:c r="L10" s="218">
        <s:f>J10</s:f>
        <s:v>8974.7625000000007</s:v>
      </s:c>
      <s:c r="M10" s="48">
        <s:f>IF(AND(I10&lt;&gt;"",I10&lt;&gt;0,L10&lt;&gt;"",L10&lt;&gt;0),L10/I10,"")</s:f>
        <s:v>0.88964735329103894</s:v>
      </s:c>
      <s:c r="N10" s="49">
        <s:f>IF(AND(J10&lt;&gt;0, J10&lt;&gt;"", I10&lt;&gt;0, I10&lt;&gt;""), L10-I10, "")</s:f>
        <s:v>-1113.2374999999993</s:v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21"/>
      <s:c r="S10" s="576" t="s">
        <s:v>15</s:v>
      </s:c>
      <s:c r="T10" s="576"/>
      <s:c r="U10" s="12"/>
      <s:c r="V10" s="12"/>
      <s:c r="W10" s="12"/>
    </s:row>
    <s:row r="11" spans="2:23" ht="15.75" customHeight="1">
      <s:c r="B11" s="212"/>
      <s:c r="C11" s="12"/>
      <s:c r="D11" s="12"/>
      <s:c r="E11" s="12"/>
      <s:c r="F11" s="571" t="s">
        <s:v>16</s:v>
      </s:c>
      <s:c r="G11" s="572"/>
      <s:c r="H11" s="573"/>
      <s:c r="I11" s="52">
        <s:f>'Ялта, Ленина, 18'!I11</s:f>
        <s:v>5200</s:v>
      </s:c>
      <s:c r="J11" s="39">
        <s:f>F50</s:f>
        <s:v>5358.0671641791041</s:v>
      </s:c>
      <s:c r="K11" s="40">
        <s:f>IF(AND(I11&lt;&gt;"", I11&lt;&gt;0, J11&lt;&gt;""), J11/I11, "")</s:f>
        <s:v>1.0303975315729046</s:v>
      </s:c>
      <s:c r="L11" s="218">
        <s:f>J11</s:f>
        <s:v>5358.0671641791041</s:v>
      </s:c>
      <s:c r="M11" s="42">
        <s:f>IF(AND(I11&lt;&gt;"",I11&lt;&gt;0,L11&lt;&gt;"",L11&lt;&gt;0),L11/I11,"")</s:f>
        <s:v>1.0303975315729046</s:v>
      </s:c>
      <s:c r="N11" s="43">
        <s:f>IF(AND(J11&lt;&gt;0, J11&lt;&gt;"", I11&lt;&gt;0, I11&lt;&gt;""), L11-I11, "")</s:f>
        <s:v>158.06716417910411</s:v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21"/>
      <s:c r="S11" s="576"/>
      <s:c r="T11" s="576"/>
      <s:c r="U11" s="12"/>
      <s:c r="V11" s="12"/>
      <s:c r="W11" s="12"/>
    </s:row>
    <s:row r="12" spans="2:23" ht="15.75" customHeight="1">
      <s:c r="B12" s="212"/>
      <s:c r="C12" s="12"/>
      <s:c r="D12" s="12"/>
      <s:c r="E12" s="12"/>
      <s:c r="F12" s="571" t="s">
        <s:v>17</s:v>
      </s:c>
      <s:c r="G12" s="572"/>
      <s:c r="H12" s="573"/>
      <s:c r="I12" s="54">
        <s:f>'Ялта, Ленина, 18'!I12</s:f>
        <s:v>1.94</s:v>
      </s:c>
      <s:c r="J12" s="55">
        <s:f>J50</s:f>
        <s:v>1.675</s:v>
      </s:c>
      <s:c r="K12" s="40">
        <s:f>IF(AND(I12&lt;&gt;"", I12&lt;&gt;0, J12&lt;&gt;""), J12/I12, "")</s:f>
        <s:v>0.86340206185567014</s:v>
      </s:c>
      <s:c r="L12" s="224">
        <s:f>J12</s:f>
        <s:v>1.675</s:v>
      </s:c>
      <s:c r="M12" s="42">
        <s:f>IF(AND(I12&lt;&gt;"",I12&lt;&gt;0,L12&lt;&gt;"",L12&lt;&gt;0),L12/I12,"")</s:f>
        <s:v>0.86340206185567014</s:v>
      </s:c>
      <s:c r="N12" s="57">
        <s:f>IF(AND(J12&lt;&gt;0, J12&lt;&gt;"", I12&lt;&gt;0, I12&lt;&gt;""), L12-I12, "")</s:f>
        <s:v>-0.2649999999999999</s:v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21"/>
      <s:c r="S12" s="59">
        <s:f>'Ялта, Ленина, 18'!S12*График!AJ28/График!AJ31</s:f>
        <s:v>212824.42748091603</s:v>
      </s:c>
      <s:c r="T12" s="60">
        <s:f>L50</s:f>
        <s:v>128084</s:v>
      </s:c>
      <s:c r="U12" s="12"/>
      <s:c r="V12" s="12"/>
      <s:c r="W12" s="12"/>
    </s:row>
    <s:row r="13" spans="2:23" ht="15.75" customHeight="1">
      <s:c r="B13" s="212"/>
      <s:c r="C13" s="12"/>
      <s:c r="D13" s="12"/>
      <s:c r="E13" s="12"/>
      <s:c r="F13" s="571" t="s">
        <s:v>18</s:v>
      </s:c>
      <s:c r="G13" s="572"/>
      <s:c r="H13" s="573"/>
      <s:c r="I13" s="38">
        <s:f>IF(I12&lt;&gt;0, I9/I12, "")</s:f>
        <s:v>148.7267175572519</s:v>
      </s:c>
      <s:c r="J13" s="39">
        <s:f>G50</s:f>
        <s:v>80</s:v>
      </s:c>
      <s:c r="K13" s="40">
        <s:f>IF(AND(I13&lt;&gt;"", I13&lt;&gt;0, J13&lt;&gt;""), J13/I13, "")</s:f>
        <s:v>0.53789931838712324</s:v>
      </s:c>
      <s:c r="L13" s="218">
        <s:f>J13</s:f>
        <s:v>80</s:v>
      </s:c>
      <s:c r="M13" s="42">
        <s:f>IF(AND(I13&lt;&gt;"",I13&lt;&gt;0,L13&lt;&gt;"",L13&lt;&gt;0),L13/I13,"")</s:f>
        <s:v>0.53789931838712324</s:v>
      </s:c>
      <s:c r="N13" s="57">
        <s:f>IF(AND(J13&lt;&gt;0, J13&lt;&gt;"", I13&lt;&gt;0, I13&lt;&gt;""), L13-I13, "")</s:f>
        <s:v>-68.726717557251902</s:v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21"/>
      <s:c r="S13" s="62">
        <s:f>T12/S12</s:f>
        <s:v>0.60182941176470595</s:v>
      </s:c>
      <s:c r="T13" s="62">
        <s:f>S13/J14*I14</s:f>
        <s:v>0.60182941176470595</s:v>
      </s:c>
      <s:c r="U13" s="12"/>
      <s:c r="V13" s="12"/>
      <s:c r="W13" s="12"/>
    </s:row>
    <s:row r="14" spans="2:23" ht="15.75" customHeight="1">
      <s:c r="B14" s="212"/>
      <s:c r="C14" s="12"/>
      <s:c r="D14" s="12"/>
      <s:c r="E14" s="12"/>
      <s:c r="F14" s="571" t="s">
        <s:v>64</s:v>
      </s:c>
      <s:c r="G14" s="572"/>
      <s:c r="H14" s="573"/>
      <s:c r="I14" s="52">
        <s:f>График!AI28</s:f>
        <s:v>20</s:v>
      </s:c>
      <s:c r="J14" s="64">
        <s:v>20</s:v>
      </s:c>
      <s:c r="K14" s="40">
        <s:f>IF(AND(I14&lt;&gt;"", I14&lt;&gt;0, J14&lt;&gt;""), J14/I14, "")</s:f>
        <s:v>1</s:v>
      </s:c>
      <s:c r="L14" s="41">
        <s:f>I14</s:f>
        <s:v>20</s:v>
      </s:c>
      <s:c r="M14" s="42">
        <s:f>IF(AND(I14&lt;&gt;"",I14&lt;&gt;0,L14&lt;&gt;"",L14&lt;&gt;0),L14/I14,"")</s:f>
        <s:v>1</s:v>
      </s:c>
      <s:c r="N14" s="43">
        <s:f>IF(AND(J14&lt;&gt;0, J14&lt;&gt;"", I14&lt;&gt;0, I14&lt;&gt;""), L14-I14, "")</s:f>
        <s:v>0</s:v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12"/>
      <s:c r="C15" s="12"/>
      <s:c r="D15" s="12"/>
      <s:c r="E15" s="12"/>
      <s:c r="F15" s="571" t="s">
        <s:v>20</s:v>
      </s:c>
      <s:c r="G15" s="572"/>
      <s:c r="H15" s="573"/>
      <s:c r="I15" s="75">
        <s:f>'Ялта, Ленина, 18'!I15</s:f>
        <s:v>154639.27741935482</s:v>
      </s:c>
      <s:c r="J15" s="67">
        <s:f>J8/J14</s:f>
        <s:v>35899.050000000003</s:v>
      </s:c>
      <s:c r="K15" s="68">
        <s:f>IF(AND(I15&lt;&gt;"", I15&lt;&gt;0, J15&lt;&gt;""), J15/I15, "")</s:f>
        <s:v>0.23214703663318359</s:v>
      </s:c>
      <s:c r="L15" s="218">
        <s:f>J15</s:f>
        <s:v>35899.050000000003</s:v>
      </s:c>
      <s:c r="M15" s="70">
        <s:f>IF(AND(I15&lt;&gt;"",I15&lt;&gt;0,L15&lt;&gt;"",L15&lt;&gt;0),L15/I15,"")</s:f>
        <s:v>0.23214703663318359</s:v>
      </s:c>
      <s:c r="N15" s="43">
        <s:f>IF(AND(J15&lt;&gt;0, J15&lt;&gt;"", I15&lt;&gt;0, I15&lt;&gt;""), L15-I15, "")</s:f>
        <s:v>-118740.22741935482</s:v>
      </s:c>
      <s:c r="O15" s="71"/>
      <s:c r="P15" s="43" t="str">
        <s:f>IF(AND(O15&lt;&gt;"", O15&lt;&gt;0, L15&lt;&gt;"", L15&lt;&gt;0), -O15+L15, "")</s:f>
        <s:v/>
      </s:c>
      <s:c r="Q15" s="45" t="str">
        <s:f>IF(AND(P15&lt;&gt;"", P15&lt;&gt;0, O15&lt;&gt;0, O15&lt;&gt;""), P15/O15, 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12"/>
      <s:c r="C16" s="12"/>
      <s:c r="D16" s="12"/>
      <s:c r="E16" s="12"/>
      <s:c r="F16" s="571" t="s">
        <s:v>21</s:v>
      </s:c>
      <s:c r="G16" s="572"/>
      <s:c r="H16" s="573"/>
      <s:c r="I16" s="75"/>
      <s:c r="J16" s="67">
        <s:f>J8-I15*J14</s:f>
        <s:v>-2374804.5483870963</s:v>
      </s:c>
      <s:c r="K16" s="68" t="str">
        <s:f>IF(AND(I16&lt;&gt;"", I16&lt;&gt;0, J16&lt;&gt;""), J16/I16, "")</s:f>
        <s:v/>
      </s:c>
      <s:c r="L16" s="72">
        <s:f>J16</s:f>
        <s:v>-2374804.5483870963</s:v>
      </s:c>
      <s:c r="M16" s="73" t="str">
        <s:f>IF(AND(I16&lt;&gt;"",I16&lt;&gt;0,L16&lt;&gt;"",L16&lt;&gt;0),L16/I16,"")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21"/>
      <s:c r="S16" s="576" t="s">
        <s:v>22</s:v>
      </s:c>
      <s:c r="T16" s="576"/>
      <s:c r="U16" s="12"/>
      <s:c r="V16" s="12"/>
      <s:c r="W16" s="12"/>
    </s:row>
    <s:row r="17" spans="1:33" ht="15.75" customHeight="1">
      <s:c r="B17" s="212"/>
      <s:c r="C17" s="12"/>
      <s:c r="D17" s="225"/>
      <s:c r="E17" s="12"/>
      <s:c r="F17" s="571" t="s">
        <s:v>23</s:v>
      </s:c>
      <s:c r="G17" s="572"/>
      <s:c r="H17" s="573"/>
      <s:c r="I17" s="75">
        <s:f>'Ялта, Ленина, 18'!I17/График!AJ31*График!AJ28</s:f>
        <s:v>676.03053435114509</s:v>
      </s:c>
      <s:c r="J17" s="67">
        <s:f>I50</s:f>
        <s:v>359</s:v>
      </s:c>
      <s:c r="K17" s="68">
        <s:f>IF(AND(I17&lt;&gt;"", I17&lt;&gt;0, J17&lt;&gt;""), J17/I17, "")</s:f>
        <s:v>0.5310411020776874</s:v>
      </s:c>
      <s:c r="L17" s="78">
        <s:f>J17/J14*I14</s:f>
        <s:v>359</s:v>
      </s:c>
      <s:c r="M17" s="73">
        <s:f>IF(AND(I17&lt;&gt;"",I17&lt;&gt;0,L17&lt;&gt;"",L17&lt;&gt;0),L17/I17,"")</s:f>
        <s:v>0.5310411020776874</s:v>
      </s:c>
      <s:c r="N17" s="43">
        <s:f>IF(AND(J17&lt;&gt;0, J17&lt;&gt;"", I17&lt;&gt;0, I17&lt;&gt;""), L17-I17, "")</s:f>
        <s:v>-317.03053435114509</s:v>
      </s:c>
      <s:c r="O17" s="71"/>
      <s:c r="P17" s="43" t="str">
        <s:f>IF(AND(O17&lt;&gt;"", O17&lt;&gt;0, L17&lt;&gt;"", L17&lt;&gt;0), -O17+L17, "")</s:f>
        <s:v/>
      </s:c>
      <s:c r="Q17" s="45" t="str">
        <s:f>IF(AND(P17&lt;&gt;"", P17&lt;&gt;0, O17&lt;&gt;0, O17&lt;&gt;""), P17/O17, "")</s:f>
        <s:v/>
      </s:c>
      <s:c r="R17" s="21"/>
      <s:c r="S17" s="576"/>
      <s:c r="T17" s="576"/>
      <s:c r="U17" s="12"/>
      <s:c r="V17" s="12"/>
      <s:c r="W17" s="12"/>
    </s:row>
    <s:row r="18" spans="1:33" ht="15.75" customHeight="1">
      <s:c r="B18" s="212"/>
      <s:c r="C18" s="12"/>
      <s:c r="D18" s="12"/>
      <s:c r="E18" s="12"/>
      <s:c r="F18" s="571"/>
      <s:c r="G18" s="572"/>
      <s:c r="H18" s="573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21"/>
      <s:c r="S18" s="59">
        <s:f>'Ялта, Ленина, 18'!S18*График!AJ28/График!AJ31</s:f>
        <s:v>150229.00763358778</s:v>
      </s:c>
      <s:c r="T18" s="60">
        <s:f>K50</s:f>
        <s:v>148123</s:v>
      </s:c>
      <s:c r="U18" s="12"/>
      <s:c r="V18" s="12"/>
      <s:c r="W18" s="12"/>
    </s:row>
    <s:row r="19" spans="1:33" ht="15.75" customHeight="1">
      <s:c r="B19" s="212"/>
      <s:c r="C19" s="12"/>
      <s:c r="D19" s="12"/>
      <s:c r="E19" s="12"/>
      <s:c r="F19" s="571"/>
      <s:c r="G19" s="572"/>
      <s:c r="H19" s="573"/>
      <s:c r="I19" s="76"/>
      <s:c r="J19" s="67">
        <s:f>M50</s:f>
        <s:v>0</s:v>
      </s:c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21"/>
      <s:c r="S19" s="62">
        <s:f>T18/S18</s:f>
        <s:v>0.9859813516260163</s:v>
      </s:c>
      <s:c r="T19" s="62">
        <s:f>S19/J14*I14</s:f>
        <s:v>0.9859813516260163</s:v>
      </s:c>
      <s:c r="U19" s="12"/>
      <s:c r="V19" s="12"/>
      <s:c r="W19" s="12"/>
    </s:row>
    <s:row r="20" spans="1:33" ht="15.75" customHeight="1">
      <s:c r="B20" s="212"/>
      <s:c r="C20" s="12"/>
      <s:c r="D20" s="12"/>
      <s:c r="E20" s="12"/>
      <s:c r="F20" s="574" t="s">
        <s:v>24</s:v>
      </s:c>
      <s:c r="G20" s="574"/>
      <s:c r="H20" s="574"/>
      <s:c r="I20" s="228">
        <s:f>'Ялта, Ленина, 18'!I20</s:f>
        <s:v>0.22</s:v>
      </s:c>
      <s:c r="J20" s="229">
        <s:f>N50</s:f>
        <s:v>0.22284122562674094</s:v>
      </s:c>
      <s:c r="K20" s="230">
        <s:f>J20/I20</s:f>
        <s:v>1.0129146619397316</s:v>
      </s:c>
      <s:c r="L20" s="231">
        <s:f>IF(AND(K8&lt;&gt;0,I14&lt;&gt;0,I50&lt;&gt;0),(I50*N50+(I50/K8-I50)*I20)/(I50/K8),0)</s:f>
        <s:v>0.22135964211431466</s:v>
      </s:c>
      <s:c r="M20" s="83">
        <s:f>IF(AND(I20&lt;&gt;"",I20&lt;&gt;0,L20&lt;&gt;"",L20&lt;&gt;0),L20/I20,"")</s:f>
        <s:v>1.006180191428703</s:v>
      </s:c>
      <s:c r="N20" s="84">
        <s:f>IF(AND(J20&lt;&gt;0, J20&lt;&gt;"", I20&lt;&gt;0, I20&lt;&gt;""), L20-I20, "")</s:f>
        <s:v>1.3596421143146631E-3</s:v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21"/>
      <s:c r="S20" s="21"/>
      <s:c r="T20" s="12"/>
      <s:c r="U20" s="12"/>
      <s:c r="V20" s="12"/>
      <s:c r="W20" s="12"/>
    </s:row>
    <s:row r="21" spans="1:33" ht="15.75" customHeight="1">
      <s:c r="B21" s="21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33" ht="16.5" customHeight="1">
      <s:c r="B22" s="661" t="s">
        <s:v>25</s:v>
      </s:c>
      <s:c r="C22" s="661"/>
      <s:c r="D22" s="661"/>
      <s:c r="E22" s="661"/>
      <s:c r="F22" s="661"/>
      <s:c r="G22" s="661"/>
      <s:c r="H22" s="661"/>
      <s:c r="I22" s="661"/>
      <s:c r="J22" s="661"/>
      <s:c r="K22" s="661"/>
      <s:c r="L22" s="661"/>
      <s:c r="M22" s="661"/>
      <s:c r="N22" s="661"/>
      <s:c r="O22" s="662" t="s">
        <s:v>26</s:v>
      </s:c>
      <s:c r="P22" s="661" t="s">
        <s:v>27</s:v>
      </s:c>
      <s:c r="Q22" s="661"/>
      <s:c r="R22" s="661"/>
      <s:c r="S22" s="661"/>
      <s:c r="T22" s="661"/>
      <s:c r="U22" s="661"/>
      <s:c r="V22" s="661"/>
      <s:c r="W22" s="661"/>
    </s:row>
    <s:row r="23" ht="36">
      <s:c r="B23" s="232" t="s">
        <s:v>29</s:v>
      </s:c>
      <s:c r="C23" s="232" t="s">
        <s:v>30</s:v>
      </s:c>
      <s:c r="D23" s="232" t="s">
        <s:v>31</s:v>
      </s:c>
      <s:c r="E23" s="232" t="s">
        <s:v>32</s:v>
      </s:c>
      <s:c r="F23" s="232" t="s">
        <s:v>33</s:v>
      </s:c>
      <s:c r="G23" s="232" t="s">
        <s:v>34</s:v>
      </s:c>
      <s:c r="H23" s="232" t="s">
        <s:v>35</s:v>
      </s:c>
      <s:c r="I23" s="232" t="s">
        <s:v>23</s:v>
      </s:c>
      <s:c r="J23" s="232" t="s">
        <s:v>36</s:v>
      </s:c>
      <s:c r="K23" s="90" t="s">
        <s:v>22</s:v>
      </s:c>
      <s:c r="L23" s="90" t="s">
        <s:v>15</s:v>
      </s:c>
      <s:c r="M23" s="233" t="s">
        <s:v>37</s:v>
      </s:c>
      <s:c r="N23" s="232" t="s">
        <s:v>38</s:v>
      </s:c>
      <s:c r="O23" s="662"/>
      <s:c r="P23" s="232" t="s">
        <s:v>39</s:v>
      </s:c>
      <s:c r="Q23" s="232" t="s">
        <s:v>40</s:v>
      </s:c>
      <s:c r="R23" s="232" t="s">
        <s:v>41</s:v>
      </s:c>
      <s:c r="S23" s="232" t="s">
        <s:v>42</s:v>
      </s:c>
      <s:c r="T23" s="232" t="s">
        <s:v>43</s:v>
      </s:c>
      <s:c r="U23" s="232" t="s">
        <s:v>44</s:v>
      </s:c>
      <s:c r="V23" s="234" t="s">
        <s:v>45</s:v>
      </s:c>
      <s:c r="W23" s="234" t="s">
        <s:v>46</s:v>
      </s:c>
      <s:c r="X23" s="235"/>
    </s:row>
    <s:row r="24">
      <s:c r="B24" s="236">
        <s:v>1</s:v>
      </s:c>
      <s:c r="C24" s="236">
        <s:v>2</s:v>
      </s:c>
      <s:c r="D24" s="236">
        <s:v>3</s:v>
      </s:c>
      <s:c r="E24" s="236" t="s">
        <s:v>72</s:v>
      </s:c>
      <s:c r="F24" s="236">
        <s:v>5</s:v>
      </s:c>
      <s:c r="G24" s="236">
        <s:v>6</s:v>
      </s:c>
      <s:c r="H24" s="236">
        <s:v>7</s:v>
      </s:c>
      <s:c r="I24" s="236">
        <s:v>8</s:v>
      </s:c>
      <s:c r="J24" s="236">
        <s:v>9</s:v>
      </s:c>
      <s:c r="K24" s="236">
        <s:v>10</s:v>
      </s:c>
      <s:c r="L24" s="236">
        <s:v>11</s:v>
      </s:c>
      <s:c r="M24" s="236">
        <s:v>12</s:v>
      </s:c>
      <s:c r="N24" s="236">
        <s:v>13</s:v>
      </s:c>
      <s:c r="O24" s="662"/>
      <s:c r="P24" s="238">
        <s:v>1</s:v>
      </s:c>
      <s:c r="Q24" s="238">
        <s:v>2</s:v>
      </s:c>
      <s:c r="R24" s="238">
        <s:v>3</s:v>
      </s:c>
      <s:c r="S24" s="238">
        <s:v>4</s:v>
      </s:c>
      <s:c r="T24" s="238">
        <s:v>5</s:v>
      </s:c>
      <s:c r="U24" s="238">
        <s:v>6</s:v>
      </s:c>
      <s:c r="V24" s="238">
        <s:v>10</s:v>
      </s:c>
      <s:c r="W24" s="238">
        <s:v>11</s:v>
      </s:c>
    </s:row>
    <s:row r="25">
      <s:c r="A25" s="113">
        <s:v>1</s:v>
      </s:c>
      <s:c r="B25" s="114">
        <s:v>45778</s:v>
      </s:c>
      <s:c r="C25" s="115" t="s">
        <s:v>48</s:v>
      </s:c>
      <s:c r="D25" s="116">
        <s:f>20747+L25</s:f>
        <s:v>32153</s:v>
      </s:c>
      <s:c r="E25" s="117">
        <s:v>7</s:v>
      </s:c>
      <s:c r="F25" s="117">
        <s:f>IF(AND(E25&lt;&gt;"",E25&lt;&gt;0),D25/E25,"")</s:f>
        <s:v>4593.2857142857147</s:v>
      </s:c>
      <s:c r="G25" s="117">
        <s:v>5</s:v>
      </s:c>
      <s:c r="H25" s="117">
        <s:f>IF(AND(G25&lt;&gt;"",G25&lt;&gt;0),D25/G25,"")</s:f>
        <s:v>6430.6</s:v>
      </s:c>
      <s:c r="I25" s="117">
        <s:v>35</s:v>
      </s:c>
      <s:c r="J25" s="116">
        <s:f>IF(AND(G25&lt;&gt;"",G25&lt;&gt;0),E25/G25,"")</s:f>
        <s:v>1.4</s:v>
      </s:c>
      <s:c r="K25" s="117">
        <s:v>0</s:v>
      </s:c>
      <s:c r="L25" s="117">
        <s:f>5503+5903</s:f>
        <s:v>11406</s:v>
      </s:c>
      <s:c r="M25" s="117"/>
      <s:c r="N25" s="118">
        <s:f>IF(AND(I25&lt;&gt;"",I25&lt;&gt;0),G25/I25,"")</s:f>
        <s:v>0.14285714285714285</s:v>
      </s:c>
      <s:c r="O25" s="119">
        <s:f>D25/P25</s:f>
        <s:v>0.53853570552055696</s:v>
      </s:c>
      <s:c r="P25" s="120">
        <s:f>$I$8*V25*W25/SUMPRODUCT($W$25:$W$55,$V$25:$V$55)</s:f>
        <s:v>59704.490659389819</s:v>
      </s:c>
      <s:c r="Q25" s="121">
        <s:f>$I$9*V25*W25/SUMPRODUCT($W$25:$W$55,$V$25:$V$55)</s:f>
        <s:v>11.481632819113427</s:v>
      </s:c>
      <s:c r="R25" s="121">
        <s:f>IF($I$12="","",Q25/$I$12)</s:f>
        <s:v>5.9183674325326949</s:v>
      </s:c>
      <s:c r="S25" s="120">
        <s:f>IF(D25&lt;&gt;"",D25,P25)</s:f>
        <s:v>32153</s:v>
      </s:c>
      <s:c r="T25" s="121">
        <s:f>IF(E25&lt;&gt;"",E25,Q25)</s:f>
        <s:v>7</s:v>
      </s:c>
      <s:c r="U25" s="121">
        <s:f>IF(G25&lt;&gt;"",G25,R25)</s:f>
        <s:v>5</s:v>
      </s:c>
      <s:c r="V25" s="122">
        <s:v>0.90048519598893295</s:v>
      </s:c>
      <s:c r="W25" s="122">
        <s:v>0.90048519598893295</s:v>
      </s:c>
      <s:c r="X25" s="239"/>
      <s:c r="Y25" s="124"/>
    </s:row>
    <s:row r="26">
      <s:c r="A26" s="113">
        <s:v>2</s:v>
      </s:c>
      <s:c r="B26" s="114">
        <s:v>45779</s:v>
      </s:c>
      <s:c r="C26" s="115" t="s">
        <s:v>49</s:v>
      </s:c>
      <s:c r="D26" s="116">
        <s:v>44801</s:v>
      </s:c>
      <s:c r="E26" s="117">
        <s:v>11</s:v>
      </s:c>
      <s:c r="F26" s="117">
        <s:f>IF(AND(E26&lt;&gt;"",E26&lt;&gt;0),D26/E26,"")</s:f>
        <s:v>4072.818181818182</s:v>
      </s:c>
      <s:c r="G26" s="117">
        <s:v>7</s:v>
      </s:c>
      <s:c r="H26" s="117">
        <s:f>IF(AND(G26&lt;&gt;"",G26&lt;&gt;0),D26/G26,"")</s:f>
        <s:v>6400.1428571428569</s:v>
      </s:c>
      <s:c r="I26" s="117">
        <s:v>35</s:v>
      </s:c>
      <s:c r="J26" s="116">
        <s:f>IF(AND(G26&lt;&gt;"",G26&lt;&gt;0),E26/G26,"")</s:f>
        <s:v>1.5714285714285714</s:v>
      </s:c>
      <s:c r="K26" s="117"/>
      <s:c r="L26" s="117"/>
      <s:c r="M26" s="117"/>
      <s:c r="N26" s="118">
        <s:f>IF(AND(I26&lt;&gt;"",I26&lt;&gt;0),G26/I26,"")</s:f>
        <s:v>0.2</s:v>
      </s:c>
      <s:c r="O26" s="119">
        <s:f>D26/P26</s:f>
        <s:v>0.54031511227410756</s:v>
      </s:c>
      <s:c r="P26" s="120">
        <s:f>$I$8*V26*W26/SUMPRODUCT($W$25:$W$55,$V$25:$V$55)</s:f>
        <s:v>82916.429657943721</s:v>
      </s:c>
      <s:c r="Q26" s="121">
        <s:f>$I$9*V26*W26/SUMPRODUCT($W$25:$W$55,$V$25:$V$55)</s:f>
        <s:v>15.945467241912253</s:v>
      </s:c>
      <s:c r="R26" s="121">
        <s:f>IF($I$12="","",Q26/$I$12)</s:f>
        <s:v>8.2193130112949753</s:v>
      </s:c>
      <s:c r="S26" s="120">
        <s:f>IF(W26&lt;&gt;"",IF(D26&lt;&gt;"",D26,($I$8-SUM($S$25:S25))*V26*W26/SUMPRODUCT($W26:$W$55,$V26:$V$55)),"")</s:f>
        <s:v>44801</s:v>
      </s:c>
      <s:c r="T26" s="121">
        <s:f>IF(W26&lt;&gt;"",IF(E26&lt;&gt;"",E26,($I$9-SUM($T$25:T25))*V26*W26/SUMPRODUCT($W26:$W$55,$V26:$V$55)),"")</s:f>
        <s:v>11</s:v>
      </s:c>
      <s:c r="U26" s="121">
        <s:f>IF(W26&lt;&gt;"",IF($I$12&lt;&gt;"",IF(G26&lt;&gt;"",G26,($I$9/$I$12-SUM($U$25:U25))*V26*W26/SUMPRODUCT($W26:$W$55,$V26:$V$55)),""),"")</s:f>
        <s:v>7</s:v>
      </s:c>
      <s:c r="V26" s="122">
        <s:v>1.0611905531725472</s:v>
      </s:c>
      <s:c r="W26" s="122">
        <s:v>1.0611905531725472</s:v>
      </s:c>
      <s:c r="X26" s="123"/>
      <s:c r="Y26" s="124"/>
    </s:row>
    <s:row r="27">
      <s:c r="A27" s="113">
        <s:v>3</s:v>
      </s:c>
      <s:c r="B27" s="114">
        <s:v>45780</s:v>
      </s:c>
      <s:c r="C27" s="115" t="s">
        <s:v>51</s:v>
      </s:c>
      <s:c r="D27" s="116">
        <s:f>38424+L27</s:f>
        <s:v>54830</s:v>
      </s:c>
      <s:c r="E27" s="117">
        <s:v>11</s:v>
      </s:c>
      <s:c r="F27" s="117">
        <s:f>IF(AND(E27&lt;&gt;"",E27&lt;&gt;0),D27/E27,"")</s:f>
        <s:v>4984.545454545455</s:v>
      </s:c>
      <s:c r="G27" s="117">
        <s:v>7</s:v>
      </s:c>
      <s:c r="H27" s="117">
        <s:f>IF(AND(G27&lt;&gt;"",G27&lt;&gt;0),D27/G27,"")</s:f>
        <s:v>7832.8571428571431</s:v>
      </s:c>
      <s:c r="I27" s="117">
        <s:v>23</s:v>
      </s:c>
      <s:c r="J27" s="116">
        <s:f>IF(AND(G27&lt;&gt;"",G27&lt;&gt;0),E27/G27,"")</s:f>
        <s:v>1.5714285714285714</s:v>
      </s:c>
      <s:c r="K27" s="117"/>
      <s:c r="L27" s="117">
        <s:f>8903+7503</s:f>
        <s:v>16406</s:v>
      </s:c>
      <s:c r="M27" s="117"/>
      <s:c r="N27" s="118">
        <s:f>IF(AND(I27&lt;&gt;"",I27&lt;&gt;0),G27/I27,"")</s:f>
        <s:v>0.30434782608695654</s:v>
      </s:c>
      <s:c r="O27" s="119">
        <s:f>D27/P27</s:f>
        <s:v>0.51713259325819949</s:v>
      </s:c>
      <s:c r="P27" s="120">
        <s:f>$I$8*V27*W27/SUMPRODUCT($W$25:$W$55,$V$25:$V$55)</s:f>
        <s:v>106026.96622648167</s:v>
      </s:c>
      <s:c r="Q27" s="121">
        <s:f>$I$9*V27*W27/SUMPRODUCT($W$25:$W$55,$V$25:$V$55)</s:f>
        <s:v>20.389801197400324</s:v>
      </s:c>
      <s:c r="R27" s="121">
        <s:f>IF($I$12="","",Q27/$I$12)</s:f>
        <s:v>10.510206802783673</s:v>
      </s:c>
      <s:c r="S27" s="120">
        <s:f>IF(W27&lt;&gt;"",IF(D27&lt;&gt;"",D27,($I$8-SUM($S$25:S26))*V27*W27/SUMPRODUCT($W27:$W$55,$V27:$V$55)),"")</s:f>
        <s:v>54830</s:v>
      </s:c>
      <s:c r="T27" s="121">
        <s:f>IF(W27&lt;&gt;"",IF(E27&lt;&gt;"",E27,($I$9-SUM($T$25:T26))*V27*W27/SUMPRODUCT($W27:$W$55,$V27:$V$55)),"")</s:f>
        <s:v>11</s:v>
      </s:c>
      <s:c r="U27" s="121">
        <s:f>IF(W27&lt;&gt;"",IF($I$12&lt;&gt;"",IF(G27&lt;&gt;"",G27,($I$9/$I$12-SUM($U$25:U26))*V27*W27/SUMPRODUCT($W27:$W$55,$V27:$V$55)),""),"")</s:f>
        <s:v>7</s:v>
      </s:c>
      <s:c r="V27" s="122">
        <s:v>1.2</s:v>
      </s:c>
      <s:c r="W27" s="122">
        <s:v>1.2</s:v>
      </s:c>
      <s:c r="X27" s="123"/>
      <s:c r="Y27" s="124"/>
      <s:c r="Z27" s="125"/>
      <s:c r="AA27" s="2"/>
      <s:c r="AB27" s="2"/>
      <s:c r="AC27" s="2"/>
      <s:c r="AD27" s="2"/>
      <s:c r="AE27" s="2"/>
      <s:c r="AF27" s="2"/>
      <s:c r="AG27" s="2"/>
    </s:row>
    <s:row r="28">
      <s:c r="A28" s="113">
        <s:v>4</s:v>
      </s:c>
      <s:c r="B28" s="114">
        <s:v>45783</s:v>
      </s:c>
      <s:c r="C28" s="115" t="s">
        <s:v>55</s:v>
      </s:c>
      <s:c r="D28" s="116">
        <s:v>9983</s:v>
      </s:c>
      <s:c r="E28" s="117">
        <s:v>2</s:v>
      </s:c>
      <s:c r="F28" s="117">
        <s:f>IF(AND(E28&lt;&gt;"",E28&lt;&gt;0),D28/E28,"")</s:f>
        <s:v>4991.5</s:v>
      </s:c>
      <s:c r="G28" s="117">
        <s:v>1</s:v>
      </s:c>
      <s:c r="H28" s="117">
        <s:f>IF(AND(G28&lt;&gt;"",G28&lt;&gt;0),D28/G28,"")</s:f>
        <s:v>9983</s:v>
      </s:c>
      <s:c r="I28" s="117">
        <s:v>20</s:v>
      </s:c>
      <s:c r="J28" s="116">
        <s:f>IF(AND(G28&lt;&gt;"",G28&lt;&gt;0),E28/G28,"")</s:f>
        <s:v>2</s:v>
      </s:c>
      <s:c r="K28" s="117"/>
      <s:c r="L28" s="117"/>
      <s:c r="M28" s="117"/>
      <s:c r="N28" s="118">
        <s:f>IF(AND(I28&lt;&gt;"",I28&lt;&gt;0),G28/I28,"")</s:f>
        <s:v>0.05</s:v>
      </s:c>
      <s:c r="O28" s="119">
        <s:f>D28/P28</s:f>
        <s:v>0.13558362095632157</s:v>
      </s:c>
      <s:c r="P28" s="120">
        <s:f>$I$8*V28*W28/SUMPRODUCT($W$25:$W$60,$V$25:$V$60)</s:f>
        <s:v>73629.837657278942</s:v>
      </s:c>
      <s:c r="Q28" s="121">
        <s:f>$I$9*V28*W28/SUMPRODUCT($W$25:$W$60,$V$25:$V$60)</s:f>
        <s:v>14.159584164861334</s:v>
      </s:c>
      <s:c r="R28" s="121">
        <s:f>IF($I$12="","",Q28/$I$12)</s:f>
        <s:v>7.2987547241553274</s:v>
      </s:c>
      <s:c r="S28" s="120">
        <s:f>IF(W28&lt;&gt;"",IF(D28&lt;&gt;"",D28,($I$8-SUM($S$25:S27))*V28*W28/SUMPRODUCT($W28:$W$60,$V28:$V$60)),"")</s:f>
        <s:v>9983</s:v>
      </s:c>
      <s:c r="T28" s="121">
        <s:f>IF(W28&lt;&gt;"",IF(E28&lt;&gt;"",E28,($I$9-SUM($T$25:T27))*V28*W28/SUMPRODUCT($W28:$W$60,$V28:$V$60)),"")</s:f>
        <s:v>2</s:v>
      </s:c>
      <s:c r="U28" s="121">
        <s:f>IF(W28&lt;&gt;"",IF($I$12&lt;&gt;"",IF(G28&lt;&gt;"",G28,($I$9/$I$12-SUM($U$25:U27))*V28*W28/SUMPRODUCT($W28:$W$60,$V28:$V$60)),""),"")</s:f>
        <s:v>1</s:v>
      </s:c>
      <s:c r="V28" s="122">
        <s:v>1</s:v>
      </s:c>
      <s:c r="W28" s="122">
        <s:v>1</s:v>
      </s:c>
      <s:c r="X28" s="124"/>
      <s:c r="Y28" s="124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113">
        <s:v>5</s:v>
      </s:c>
      <s:c r="B29" s="114">
        <s:v>45784</s:v>
      </s:c>
      <s:c r="C29" s="115" t="s">
        <s:v>56</s:v>
      </s:c>
      <s:c r="D29" s="116">
        <s:f>45106+13403</s:f>
        <s:v>58509</s:v>
      </s:c>
      <s:c r="E29" s="117">
        <s:v>13</s:v>
      </s:c>
      <s:c r="F29" s="117">
        <s:f>IF(AND(E29&lt;&gt;"",E29&lt;&gt;0),D29/E29,"")</s:f>
        <s:v>4500.6923076923076</s:v>
      </s:c>
      <s:c r="G29" s="117">
        <s:v>6</s:v>
      </s:c>
      <s:c r="H29" s="117">
        <s:f>IF(AND(G29&lt;&gt;"",G29&lt;&gt;0),D29/G29,"")</s:f>
        <s:v>9751.5</s:v>
      </s:c>
      <s:c r="I29" s="117">
        <s:v>20</s:v>
      </s:c>
      <s:c r="J29" s="116">
        <s:f>IF(AND(G29&lt;&gt;"",G29&lt;&gt;0),E29/G29,"")</s:f>
        <s:v>2.1666666666666665</s:v>
      </s:c>
      <s:c r="K29" s="117"/>
      <s:c r="L29" s="117">
        <s:v>13403</s:v>
      </s:c>
      <s:c r="M29" s="117"/>
      <s:c r="N29" s="118">
        <s:f>IF(AND(I29&lt;&gt;"",I29&lt;&gt;0),G29/I29,"")</s:f>
        <s:v>0.3</s:v>
      </s:c>
      <s:c r="O29" s="119">
        <s:f>D29/P29</s:f>
        <s:v>0.79463709090788526</s:v>
      </s:c>
      <s:c r="P29" s="120">
        <s:f>$I$8*V29*W29/SUMPRODUCT($W$25:$W$55,$V$25:$V$55)</s:f>
        <s:v>73629.837657278942</s:v>
      </s:c>
      <s:c r="Q29" s="121">
        <s:f>$I$9*V29*W29/SUMPRODUCT($W$25:$W$55,$V$25:$V$55)</s:f>
        <s:v>14.159584164861334</s:v>
      </s:c>
      <s:c r="R29" s="121">
        <s:f>IF($I$12="","",Q29/$I$12)</s:f>
        <s:v>7.2987547241553274</s:v>
      </s:c>
      <s:c r="S29" s="120">
        <s:f>IF(W29&lt;&gt;"",IF(D29&lt;&gt;"",D29,($I$8-SUM($S$25:S28))*V29*W29/SUMPRODUCT($W29:$W$55,$V29:$V$55)),"")</s:f>
        <s:v>58509</s:v>
      </s:c>
      <s:c r="T29" s="121">
        <s:f>IF(W29&lt;&gt;"",IF(E29&lt;&gt;"",E29,($I$9-SUM($T$25:T28))*V29*W29/SUMPRODUCT($W29:$W$55,$V29:$V$55)),"")</s:f>
        <s:v>13</s:v>
      </s:c>
      <s:c r="U29" s="121">
        <s:f>IF(W29&lt;&gt;"",IF($I$12&lt;&gt;"",IF(G29&lt;&gt;"",G29,($I$9/$I$12-SUM($U$25:U28))*V29*W29/SUMPRODUCT($W29:$W$55,$V29:$V$55)),""),"")</s:f>
        <s:v>6</s:v>
      </s:c>
      <s:c r="V29" s="122">
        <s:v>1</s:v>
      </s:c>
      <s:c r="W29" s="122">
        <s:v>1</s:v>
      </s:c>
      <s:c r="X29" s="123"/>
      <s:c r="Y29" s="124"/>
      <s:c r="Z29" s="125"/>
      <s:c r="AA29" s="2"/>
      <s:c r="AB29" s="2"/>
      <s:c r="AC29" s="2"/>
      <s:c r="AD29" s="2"/>
      <s:c r="AE29" s="2"/>
      <s:c r="AF29" s="2"/>
      <s:c r="AG29" s="2"/>
    </s:row>
    <s:row r="30">
      <s:c r="A30" s="113">
        <s:v>6</s:v>
      </s:c>
      <s:c r="B30" s="114">
        <s:v>45786</s:v>
      </s:c>
      <s:c r="C30" s="115" t="s">
        <s:v>49</s:v>
      </s:c>
      <s:c r="D30" s="116">
        <s:f>13066+36982+27827</s:f>
        <s:v>77875</s:v>
      </s:c>
      <s:c r="E30" s="117">
        <s:v>9</s:v>
      </s:c>
      <s:c r="F30" s="127">
        <s:f>IF(AND(E30&lt;&gt;"",E30&lt;&gt;0),D30/E30,"")</s:f>
        <s:v>8652.7777777777774</s:v>
      </s:c>
      <s:c r="G30" s="117">
        <s:v>3</s:v>
      </s:c>
      <s:c r="H30" s="117">
        <s:f>IF(AND(G30&lt;&gt;"",G30&lt;&gt;0),D30/G30,"")</s:f>
        <s:v>25958.333333333332</s:v>
      </s:c>
      <s:c r="I30" s="117">
        <s:v>20</s:v>
      </s:c>
      <s:c r="J30" s="116">
        <s:f>IF(AND(G30&lt;&gt;"",G30&lt;&gt;0),E30/G30,"")</s:f>
        <s:v>3</s:v>
      </s:c>
      <s:c r="K30" s="117">
        <s:v>36982</s:v>
      </s:c>
      <s:c r="L30" s="117">
        <s:v>27827</s:v>
      </s:c>
      <s:c r="M30" s="117"/>
      <s:c r="N30" s="118">
        <s:f>IF(AND(I30&lt;&gt;"",I30&lt;&gt;0),G30/I30,"")</s:f>
        <s:v>0.15</s:v>
      </s:c>
      <s:c r="O30" s="119">
        <s:f>D30/P30</s:f>
        <s:v>1.0576554624835763</s:v>
      </s:c>
      <s:c r="P30" s="120">
        <s:f>$I$8*V30*W30/SUMPRODUCT($W$25:$W$55,$V$25:$V$55)</s:f>
        <s:v>73629.837657278942</s:v>
      </s:c>
      <s:c r="Q30" s="121">
        <s:f>$I$9*V30*W30/SUMPRODUCT($W$25:$W$55,$V$25:$V$55)</s:f>
        <s:v>14.159584164861334</s:v>
      </s:c>
      <s:c r="R30" s="121">
        <s:f>IF($I$12="","",Q30/$I$12)</s:f>
        <s:v>7.2987547241553274</s:v>
      </s:c>
      <s:c r="S30" s="120">
        <s:f>IF(W30&lt;&gt;"",IF(D30&lt;&gt;"",D30,($I$8-SUM($S$25:S29))*V30*W30/SUMPRODUCT($W30:$W$55,$V30:$V$55)),"")</s:f>
        <s:v>77875</s:v>
      </s:c>
      <s:c r="T30" s="121">
        <s:f>IF(W30&lt;&gt;"",IF(E30&lt;&gt;"",E30,($I$9-SUM($T$25:T29))*V30*W30/SUMPRODUCT($W30:$W$55,$V30:$V$55)),"")</s:f>
        <s:v>9</s:v>
      </s:c>
      <s:c r="U30" s="121">
        <s:f>IF(W30&lt;&gt;"",IF($I$12&lt;&gt;"",IF(G30&lt;&gt;"",G30,($I$9/$I$12-SUM($U$25:U29))*V30*W30/SUMPRODUCT($W30:$W$55,$V30:$V$55)),""),"")</s:f>
        <s:v>3</s:v>
      </s:c>
      <s:c r="V30" s="122">
        <s:v>1</s:v>
      </s:c>
      <s:c r="W30" s="122">
        <s:v>1</s:v>
      </s:c>
      <s:c r="X30" s="123"/>
      <s:c r="Y30" s="124"/>
      <s:c r="Z30" s="125"/>
      <s:c r="AA30" s="2"/>
      <s:c r="AB30" s="2"/>
      <s:c r="AC30" s="2"/>
      <s:c r="AD30" s="2"/>
      <s:c r="AE30" s="2"/>
      <s:c r="AF30" s="2"/>
      <s:c r="AG30" s="2"/>
    </s:row>
    <s:row r="31">
      <s:c r="A31" s="113">
        <s:v>7</s:v>
      </s:c>
      <s:c r="B31" s="114">
        <s:v>45787</s:v>
      </s:c>
      <s:c r="C31" s="115" t="s">
        <s:v>51</s:v>
      </s:c>
      <s:c r="D31" s="116">
        <s:v>2892</s:v>
      </s:c>
      <s:c r="E31" s="117">
        <s:v>1</s:v>
      </s:c>
      <s:c r="F31" s="117">
        <s:f>IF(AND(E31&lt;&gt;"",E31&lt;&gt;0),D31/E31,"")</s:f>
        <s:v>2892</s:v>
      </s:c>
      <s:c r="G31" s="117">
        <s:v>1</s:v>
      </s:c>
      <s:c r="H31" s="117">
        <s:f>IF(AND(G31&lt;&gt;"",G31&lt;&gt;0),D31/G31,"")</s:f>
        <s:v>2892</s:v>
      </s:c>
      <s:c r="I31" s="117">
        <s:v>10</s:v>
      </s:c>
      <s:c r="J31" s="116">
        <s:f>IF(AND(G31&lt;&gt;"",G31&lt;&gt;0),E31/G31,"")</s:f>
        <s:v>1</s:v>
      </s:c>
      <s:c r="K31" s="117"/>
      <s:c r="L31" s="117"/>
      <s:c r="M31" s="117"/>
      <s:c r="N31" s="118">
        <s:f>IF(AND(I31&lt;&gt;"",I31&lt;&gt;0),G31/I31,"")</s:f>
        <s:v>0.1</s:v>
      </s:c>
      <s:c r="O31" s="119">
        <s:f>D31/P31</s:f>
        <s:v>3.9277555024109186E-2</s:v>
      </s:c>
      <s:c r="P31" s="120">
        <s:f>$I$8*V31*W31/SUMPRODUCT($W$25:$W$55,$V$25:$V$55)</s:f>
        <s:v>73629.837657278942</s:v>
      </s:c>
      <s:c r="Q31" s="121">
        <s:f>$I$9*V31*W31/SUMPRODUCT($W$25:$W$55,$V$25:$V$55)</s:f>
        <s:v>14.159584164861334</s:v>
      </s:c>
      <s:c r="R31" s="121">
        <s:f>IF($I$12="","",Q31/$I$12)</s:f>
        <s:v>7.2987547241553274</s:v>
      </s:c>
      <s:c r="S31" s="120">
        <s:f>IF(W31&lt;&gt;"",IF(D31&lt;&gt;"",D31,($I$8-SUM($S$25:S30))*V31*W31/SUMPRODUCT($W31:$W$55,$V31:$V$55)),"")</s:f>
        <s:v>2892</s:v>
      </s:c>
      <s:c r="T31" s="121">
        <s:f>IF(W31&lt;&gt;"",IF(E31&lt;&gt;"",E31,($I$9-SUM($T$25:T30))*V31*W31/SUMPRODUCT($W31:$W$55,$V31:$V$55)),"")</s:f>
        <s:v>1</s:v>
      </s:c>
      <s:c r="U31" s="121">
        <s:f>IF(W31&lt;&gt;"",IF($I$12&lt;&gt;"",IF(G31&lt;&gt;"",G31,($I$9/$I$12-SUM($U$25:U30))*V31*W31/SUMPRODUCT($W31:$W$55,$V31:$V$55)),""),"")</s:f>
        <s:v>1</s:v>
      </s:c>
      <s:c r="V31" s="122">
        <s:v>1</s:v>
      </s:c>
      <s:c r="W31" s="122">
        <s:v>1</s:v>
      </s:c>
      <s:c r="X31" s="123"/>
      <s:c r="Y31" s="124"/>
      <s:c r="Z31" s="125"/>
      <s:c r="AA31" s="2"/>
      <s:c r="AB31" s="2"/>
      <s:c r="AC31" s="2"/>
      <s:c r="AD31" s="2"/>
      <s:c r="AE31" s="2"/>
      <s:c r="AF31" s="2"/>
      <s:c r="AG31" s="2"/>
    </s:row>
    <s:row r="32">
      <s:c r="A32" s="113">
        <s:v>8</s:v>
      </s:c>
      <s:c r="B32" s="114">
        <s:v>45788</s:v>
      </s:c>
      <s:c r="C32" s="245" t="s">
        <s:v>53</s:v>
      </s:c>
      <s:c r="D32" s="116">
        <s:f>15368+38984+14026</s:f>
        <s:v>68378</s:v>
      </s:c>
      <s:c r="E32" s="115">
        <s:v>8</s:v>
      </s:c>
      <s:c r="F32" s="117">
        <s:f>IF(AND(E32&lt;&gt;"",E32&lt;&gt;0),D32/E32,"")</s:f>
        <s:v>8547.25</s:v>
      </s:c>
      <s:c r="G32" s="117">
        <s:v>7</s:v>
      </s:c>
      <s:c r="H32" s="117">
        <s:f>IF(AND(G32&lt;&gt;"",G32&lt;&gt;0),D32/G32,"")</s:f>
        <s:v>9768.2857142857138</s:v>
      </s:c>
      <s:c r="I32" s="117">
        <s:v>25</s:v>
      </s:c>
      <s:c r="J32" s="116">
        <s:f>IF(AND(G32&lt;&gt;"",G32&lt;&gt;0),E32/G32,"")</s:f>
        <s:v>1.1428571428571428</s:v>
      </s:c>
      <s:c r="K32" s="117">
        <s:v>38984</s:v>
      </s:c>
      <s:c r="L32" s="117">
        <s:v>14026</s:v>
      </s:c>
      <s:c r="M32" s="117"/>
      <s:c r="N32" s="118">
        <s:f>IF(AND(I32&lt;&gt;"",I32&lt;&gt;0),G32/I32,"")</s:f>
        <s:v>0.28000000000000003</s:v>
      </s:c>
      <s:c r="O32" s="119">
        <s:f>D32/P32</s:f>
        <s:v>0.92867242650018589</s:v>
      </s:c>
      <s:c r="P32" s="120">
        <s:f>$I$8*V32*W32/SUMPRODUCT($W$25:$W$55,$V$25:$V$55)</s:f>
        <s:v>73629.837657278942</s:v>
      </s:c>
      <s:c r="Q32" s="121">
        <s:f>$I$9*V32*W32/SUMPRODUCT($W$25:$W$55,$V$25:$V$55)</s:f>
        <s:v>14.159584164861334</s:v>
      </s:c>
      <s:c r="R32" s="121">
        <s:f>IF($I$12="","",Q32/$I$12)</s:f>
        <s:v>7.2987547241553274</s:v>
      </s:c>
      <s:c r="S32" s="120">
        <s:f>IF(W32&lt;&gt;"",IF(D32&lt;&gt;"",D32,($I$8-SUM($S$25:S31))*V32*W32/SUMPRODUCT($W32:$W$55,$V32:$V$55)),"")</s:f>
        <s:v>68378</s:v>
      </s:c>
      <s:c r="T32" s="121">
        <s:f>IF(W32&lt;&gt;"",IF(E31&lt;&gt;"",E31,($I$9-SUM($T$25:T31))*V32*W32/SUMPRODUCT($W32:$W$55,$V32:$V$55)),"")</s:f>
        <s:v>1</s:v>
      </s:c>
      <s:c r="U32" s="121">
        <s:f>IF(W32&lt;&gt;"",IF($I$12&lt;&gt;"",IF(G32&lt;&gt;"",G32,($I$9/$I$12-SUM($U$25:U31))*V32*W32/SUMPRODUCT($W32:$W$55,$V32:$V$55)),""),"")</s:f>
        <s:v>7</s:v>
      </s:c>
      <s:c r="V32" s="122">
        <s:v>1</s:v>
      </s:c>
      <s:c r="W32" s="122">
        <s:v>1</s:v>
      </s:c>
      <s:c r="X32" s="124"/>
      <s:c r="Y32" s="124"/>
      <s:c r="Z32" s="2"/>
      <s:c r="AA32" s="2"/>
      <s:c r="AB32" s="2"/>
      <s:c r="AC32" s="2"/>
      <s:c r="AD32" s="2"/>
      <s:c r="AE32" s="2"/>
      <s:c r="AF32" s="2"/>
      <s:c r="AG32" s="2"/>
    </s:row>
    <s:row r="33">
      <s:c r="A33" s="113">
        <s:v>9</s:v>
      </s:c>
      <s:c r="B33" s="114">
        <s:v>45791</s:v>
      </s:c>
      <s:c r="C33" s="245" t="s">
        <s:v>56</s:v>
      </s:c>
      <s:c r="D33" s="116">
        <s:v>7084</s:v>
      </s:c>
      <s:c r="E33" s="117">
        <s:v>2</s:v>
      </s:c>
      <s:c r="F33" s="117">
        <s:f>IF(AND(E33&lt;&gt;"",E33&lt;&gt;0),D33/E33,"")</s:f>
        <s:v>3542</s:v>
      </s:c>
      <s:c r="G33" s="117">
        <s:v>2</s:v>
      </s:c>
      <s:c r="H33" s="117">
        <s:f>IF(AND(G33&lt;&gt;"",G33&lt;&gt;0),D33/G33,"")</s:f>
        <s:v>3542</s:v>
      </s:c>
      <s:c r="I33" s="117">
        <s:v>10</s:v>
      </s:c>
      <s:c r="J33" s="246">
        <s:f>IF(AND(G33&lt;&gt;"",G33&lt;&gt;0),E33/G33,"")</s:f>
        <s:v>1</s:v>
      </s:c>
      <s:c r="K33" s="117"/>
      <s:c r="L33" s="117"/>
      <s:c r="M33" s="117"/>
      <s:c r="N33" s="118">
        <s:f>IF(AND(I33&lt;&gt;"",I33&lt;&gt;0),G33/I33,"")</s:f>
        <s:v>0.2</s:v>
      </s:c>
      <s:c r="O33" s="119">
        <s:f>D33/P33</s:f>
        <s:v>9.621099577828128E-2</s:v>
      </s:c>
      <s:c r="P33" s="120">
        <s:f>$I$8*V33*W33/SUMPRODUCT($W$25:$W$55,$V$25:$V$55)</s:f>
        <s:v>73629.837657278942</s:v>
      </s:c>
      <s:c r="Q33" s="121">
        <s:f>$I$9*V33*W33/SUMPRODUCT($W$25:$W$55,$V$25:$V$55)</s:f>
        <s:v>14.159584164861334</s:v>
      </s:c>
      <s:c r="R33" s="121">
        <s:f>IF($I$12="","",Q33/$I$12)</s:f>
        <s:v>7.2987547241553274</s:v>
      </s:c>
      <s:c r="S33" s="120">
        <s:f>IF(W33&lt;&gt;"",IF(D33&lt;&gt;"",D33,($I$8-SUM($S$25:S32))*V33*W33/SUMPRODUCT($W33:$W$55,$V33:$V$55)),"")</s:f>
        <s:v>7084</s:v>
      </s:c>
      <s:c r="T33" s="121">
        <s:f>IF(W33&lt;&gt;"",IF(E33&lt;&gt;"",E33,($I$9-SUM($T$25:T32))*V33*W33/SUMPRODUCT($W33:$W$55,$V33:$V$55)),"")</s:f>
        <s:v>2</s:v>
      </s:c>
      <s:c r="U33" s="121">
        <s:f>IF(W33&lt;&gt;"",IF($I$12&lt;&gt;"",IF(G33&lt;&gt;"",G33,($I$9/$I$12-SUM($U$25:U32))*V33*W33/SUMPRODUCT($W33:$W$55,$V33:$V$55)),""),"")</s:f>
        <s:v>2</s:v>
      </s:c>
      <s:c r="V33" s="247">
        <s:v>1</s:v>
      </s:c>
      <s:c r="W33" s="247">
        <s:v>1</s:v>
      </s:c>
      <s:c r="X33" s="124"/>
      <s:c r="Y33" s="124"/>
      <s:c r="Z33" s="2"/>
      <s:c r="AA33" s="2"/>
      <s:c r="AB33" s="2"/>
      <s:c r="AC33" s="2"/>
      <s:c r="AD33" s="2"/>
      <s:c r="AE33" s="2"/>
      <s:c r="AF33" s="2"/>
      <s:c r="AG33" s="2"/>
    </s:row>
    <s:row r="34" spans="1:33" s="248" customFormat="1">
      <s:c r="A34" s="249">
        <s:v>10</s:v>
      </s:c>
      <s:c r="B34" s="250">
        <s:v>45792</s:v>
      </s:c>
      <s:c r="C34" s="251" t="s">
        <s:v>48</s:v>
      </s:c>
      <s:c r="D34" s="246">
        <s:f>33713+7903</s:f>
        <s:v>41616</s:v>
      </s:c>
      <s:c r="E34" s="252">
        <s:v>11</s:v>
      </s:c>
      <s:c r="F34" s="117">
        <s:f>IF(AND(E34&lt;&gt;"",E34&lt;&gt;0),D34/E34,"")</s:f>
        <s:v>3783.2727272727275</s:v>
      </s:c>
      <s:c r="G34" s="252">
        <s:v>4</s:v>
      </s:c>
      <s:c r="H34" s="117">
        <s:f>IF(AND(G34&lt;&gt;"",G34&lt;&gt;0),D34/G34,"")</s:f>
        <s:v>10404</s:v>
      </s:c>
      <s:c r="I34" s="252">
        <s:v>15</s:v>
      </s:c>
      <s:c r="J34" s="246">
        <s:f>IF(AND(G34&lt;&gt;"",G34&lt;&gt;0),E34/G34,"")</s:f>
        <s:v>2.75</s:v>
      </s:c>
      <s:c r="K34" s="252"/>
      <s:c r="L34" s="252">
        <s:v>7903</s:v>
      </s:c>
      <s:c r="M34" s="252"/>
      <s:c r="N34" s="253">
        <s:f>IF(AND(I34&lt;&gt;"",I34&lt;&gt;0),G34/I34,"")</s:f>
        <s:v>0.26666666666666666</s:v>
      </s:c>
      <s:c r="O34" s="254">
        <s:f>D34/P34</s:f>
        <s:v>0.56520564657099848</s:v>
      </s:c>
      <s:c r="P34" s="255">
        <s:f>$I$8*V34*W34/SUMPRODUCT($W$25:$W$60,$V$25:$V$60)</s:f>
        <s:v>73629.837657278942</s:v>
      </s:c>
      <s:c r="Q34" s="256">
        <s:f>$I$9*V34*W34/SUMPRODUCT($W$25:$W$60,$V$25:$V$60)</s:f>
        <s:v>14.159584164861334</s:v>
      </s:c>
      <s:c r="R34" s="256">
        <s:f>IF($I$12="","",Q34/$I$12)</s:f>
        <s:v>7.2987547241553274</s:v>
      </s:c>
      <s:c r="S34" s="255">
        <s:f>IF(W34&lt;&gt;"",IF(D34&lt;&gt;"",D34,($I$8-SUM($S$25:S33))*V34*W34/SUMPRODUCT($W34:$W$60,$V34:$V$60)),"")</s:f>
        <s:v>41616</s:v>
      </s:c>
      <s:c r="T34" s="256">
        <s:f>IF(W34&lt;&gt;"",IF(E34&lt;&gt;"",E34,($I$9-SUM($T$25:T33))*V34*W34/SUMPRODUCT($W34:$W$60,$V34:$V$60)),"")</s:f>
        <s:v>11</s:v>
      </s:c>
      <s:c r="U34" s="256">
        <s:f>IF(W34&lt;&gt;"",IF($I$12&lt;&gt;"",IF(G34&lt;&gt;"",G34,($I$9/$I$12-SUM($U$25:U33))*V34*W34/SUMPRODUCT($W34:$W$60,$V34:$V$60)),""),"")</s:f>
        <s:v>4</s:v>
      </s:c>
      <s:c r="V34" s="247">
        <s:v>1</s:v>
      </s:c>
      <s:c r="W34" s="247">
        <s:v>1</s:v>
      </s:c>
      <s:c r="X34" s="257"/>
      <s:c r="Y34" s="257"/>
      <s:c r="Z34" s="258"/>
      <s:c r="AA34" s="258"/>
      <s:c r="AB34" s="258"/>
      <s:c r="AC34" s="258"/>
      <s:c r="AD34" s="258"/>
      <s:c r="AE34" s="258"/>
      <s:c r="AF34" s="258"/>
      <s:c r="AG34" s="258"/>
    </s:row>
    <s:row r="35">
      <s:c r="A35" s="113">
        <s:v>11</s:v>
      </s:c>
      <s:c r="B35" s="114">
        <s:v>45793</s:v>
      </s:c>
      <s:c r="C35" s="245" t="s">
        <s:v>49</s:v>
      </s:c>
      <s:c r="D35" s="116">
        <s:f>7383+3892+55166</s:f>
        <s:v>66441</s:v>
      </s:c>
      <s:c r="E35" s="117">
        <s:v>7</s:v>
      </s:c>
      <s:c r="F35" s="117">
        <s:f>IF(AND(E35&lt;&gt;"",E35&lt;&gt;0),D35/E35,"")</s:f>
        <s:v>9491.5714285714294</s:v>
      </s:c>
      <s:c r="G35" s="117">
        <s:v>3</s:v>
      </s:c>
      <s:c r="H35" s="117">
        <s:f>IF(AND(G35&lt;&gt;"",G35&lt;&gt;0),D35/G35,"")</s:f>
        <s:v>22147</s:v>
      </s:c>
      <s:c r="I35" s="117">
        <s:v>15</s:v>
      </s:c>
      <s:c r="J35" s="246">
        <s:f>IF(AND(G35&lt;&gt;"",G35&lt;&gt;0),E35/G35,"")</s:f>
        <s:v>2.3333333333333335</s:v>
      </s:c>
      <s:c r="K35" s="117">
        <s:v>55166</s:v>
      </s:c>
      <s:c r="L35" s="117"/>
      <s:c r="M35" s="117"/>
      <s:c r="N35" s="118">
        <s:f>IF(AND(I35&lt;&gt;"",I35&lt;&gt;0),G35/I35,"")</s:f>
        <s:v>0.2</s:v>
      </s:c>
      <s:c r="O35" s="119">
        <s:f>D35/P35</s:f>
        <s:v>0.90236515676239215</s:v>
      </s:c>
      <s:c r="P35" s="120">
        <s:f>$I$8*V35*W35/SUMPRODUCT($W$25:$W$55,$V$25:$V$55)</s:f>
        <s:v>73629.837657278942</s:v>
      </s:c>
      <s:c r="Q35" s="121">
        <s:f>$I$9*V35*W35/SUMPRODUCT($W$25:$W$55,$V$25:$V$55)</s:f>
        <s:v>14.159584164861334</s:v>
      </s:c>
      <s:c r="R35" s="121">
        <s:f>IF($I$12="","",Q35/$I$12)</s:f>
        <s:v>7.2987547241553274</s:v>
      </s:c>
      <s:c r="S35" s="120">
        <s:f>IF(W35&lt;&gt;"",IF(D35&lt;&gt;"",D35,($I$8-SUM($S$25:S34))*V35*W35/SUMPRODUCT($W35:$W$55,$V35:$V$55)),"")</s:f>
        <s:v>66441</s:v>
      </s:c>
      <s:c r="T35" s="121">
        <s:f>IF(W35&lt;&gt;"",IF(E35&lt;&gt;"",E35,($I$9-SUM($T$25:T34))*V35*W35/SUMPRODUCT($W35:$W$55,$V35:$V$55)),"")</s:f>
        <s:v>7</s:v>
      </s:c>
      <s:c r="U35" s="121">
        <s:f>IF(W35&lt;&gt;"",IF($I$12&lt;&gt;"",IF(G35&lt;&gt;"",G35,($I$9/$I$12-SUM($U$25:U34))*V35*W35/SUMPRODUCT($W35:$W$55,$V35:$V$55)),""),"")</s:f>
        <s:v>3</s:v>
      </s:c>
      <s:c r="V35" s="247">
        <s:v>1</s:v>
      </s:c>
      <s:c r="W35" s="247">
        <s:v>1</s:v>
      </s:c>
      <s:c r="X35" s="124"/>
      <s:c r="Y35" s="124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13">
        <s:v>12</s:v>
      </s:c>
      <s:c r="B36" s="114">
        <s:v>45796</s:v>
      </s:c>
      <s:c r="C36" s="115" t="s">
        <s:v>54</s:v>
      </s:c>
      <s:c r="D36" s="116">
        <s:v>22558</s:v>
      </s:c>
      <s:c r="E36" s="117">
        <s:v>5</s:v>
      </s:c>
      <s:c r="F36" s="117">
        <s:f>IF(AND(E36&lt;&gt;"",E36&lt;&gt;0),D36/E36,"")</s:f>
        <s:v>4511.6000000000004</s:v>
      </s:c>
      <s:c r="G36" s="117">
        <s:v>3</s:v>
      </s:c>
      <s:c r="H36" s="117">
        <s:f>IF(AND(G36&lt;&gt;"",G36&lt;&gt;0),D36/G36,"")</s:f>
        <s:v>7519.333333333333</s:v>
      </s:c>
      <s:c r="I36" s="117">
        <s:v>10</s:v>
      </s:c>
      <s:c r="J36" s="246">
        <s:f>IF(AND(G36&lt;&gt;"",G36&lt;&gt;0),E36/G36,"")</s:f>
        <s:v>1.6666666666666667</s:v>
      </s:c>
      <s:c r="K36" s="117"/>
      <s:c r="L36" s="117"/>
      <s:c r="M36" s="117"/>
      <s:c r="N36" s="118">
        <s:f>IF(AND(I36&lt;&gt;"",I36&lt;&gt;0),G36/I36,"")</s:f>
        <s:v>0.3</s:v>
      </s:c>
      <s:c r="O36" s="119">
        <s:f>D36/P36</s:f>
        <s:v>0.30637036176827626</s:v>
      </s:c>
      <s:c r="P36" s="120">
        <s:f>$I$8*V36*W36/SUMPRODUCT($W$25:$W$55,$V$25:$V$55)</s:f>
        <s:v>73629.837657278942</s:v>
      </s:c>
      <s:c r="Q36" s="121">
        <s:f>$I$9*V36*W36/SUMPRODUCT($W$25:$W$55,$V$25:$V$55)</s:f>
        <s:v>14.159584164861334</s:v>
      </s:c>
      <s:c r="R36" s="121">
        <s:f>IF($I$12="","",Q36/$I$12)</s:f>
        <s:v>7.2987547241553274</s:v>
      </s:c>
      <s:c r="S36" s="120">
        <s:f>IF(W36&lt;&gt;"",IF(D36&lt;&gt;"",D36,($I$8-SUM($S$25:S35))*V36*W36/SUMPRODUCT($W36:$W$55,$V36:$V$55)),"")</s:f>
        <s:v>22558</s:v>
      </s:c>
      <s:c r="T36" s="121">
        <s:f>IF(W36&lt;&gt;"",IF(E36&lt;&gt;"",E36,($I$9-SUM($T$25:T35))*V36*W36/SUMPRODUCT($W36:$W$55,$V36:$V$55)),"")</s:f>
        <s:v>5</s:v>
      </s:c>
      <s:c r="U36" s="121">
        <s:f>IF(W36&lt;&gt;"",IF($I$12&lt;&gt;"",IF(G36&lt;&gt;"",G36,($I$9/$I$12-SUM($U$25:U35))*V36*W36/SUMPRODUCT($W36:$W$55,$V36:$V$55)),""),"")</s:f>
        <s:v>3</s:v>
      </s:c>
      <s:c r="V36" s="247">
        <s:v>1</s:v>
      </s:c>
      <s:c r="W36" s="247">
        <s:v>1</s:v>
      </s:c>
      <s:c r="X36" s="124"/>
      <s:c r="Y36" s="124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113">
        <s:v>13</s:v>
      </s:c>
      <s:c r="B37" s="114">
        <s:v>45797</s:v>
      </s:c>
      <s:c r="C37" s="245" t="s">
        <s:v>55</s:v>
      </s:c>
      <s:c r="D37" s="116">
        <s:v>5692</s:v>
      </s:c>
      <s:c r="E37" s="117">
        <s:v>1</s:v>
      </s:c>
      <s:c r="F37" s="117">
        <s:f>IF(AND(E37&lt;&gt;"",E37&lt;&gt;0),D37/E37,"")</s:f>
        <s:v>5692</s:v>
      </s:c>
      <s:c r="G37" s="117">
        <s:v>1</s:v>
      </s:c>
      <s:c r="H37" s="117">
        <s:f>IF(AND(G37&lt;&gt;"",G37&lt;&gt;0),D37/G37,"")</s:f>
        <s:v>5692</s:v>
      </s:c>
      <s:c r="I37" s="117">
        <s:v>7</s:v>
      </s:c>
      <s:c r="J37" s="246">
        <s:f>IF(AND(G37&lt;&gt;"",G37&lt;&gt;0),E37/G37,"")</s:f>
        <s:v>1</s:v>
      </s:c>
      <s:c r="K37" s="117"/>
      <s:c r="L37" s="117"/>
      <s:c r="M37" s="117"/>
      <s:c r="N37" s="118">
        <s:f>IF(AND(I37&lt;&gt;"",I37&lt;&gt;0),G37/I37,"")</s:f>
        <s:v>0.14285714285714285</s:v>
      </s:c>
      <s:c r="O37" s="119">
        <s:f>D37/P37</s:f>
        <s:v>7.7305616596552371E-2</s:v>
      </s:c>
      <s:c r="P37" s="120">
        <s:f>$I$8*V37*W37/SUMPRODUCT($W$25:$W$55,$V$25:$V$55)</s:f>
        <s:v>73629.837657278942</s:v>
      </s:c>
      <s:c r="Q37" s="121">
        <s:f>$I$9*V37*W37/SUMPRODUCT($W$25:$W$55,$V$25:$V$55)</s:f>
        <s:v>14.159584164861334</s:v>
      </s:c>
      <s:c r="R37" s="121">
        <s:f>IF($I$12="","",Q37/$I$12)</s:f>
        <s:v>7.2987547241553274</s:v>
      </s:c>
      <s:c r="S37" s="120">
        <s:f>IF(W37&lt;&gt;"",IF(D37&lt;&gt;"",D37,($I$8-SUM($S$25:S36))*V37*W37/SUMPRODUCT($W37:$W$55,$V37:$V$55)),"")</s:f>
        <s:v>5692</s:v>
      </s:c>
      <s:c r="T37" s="121">
        <s:f>IF(W37&lt;&gt;"",IF(E37&lt;&gt;"",E37,($I$9-SUM($T$25:T36))*V37*W37/SUMPRODUCT($W37:$W$55,$V37:$V$55)),"")</s:f>
        <s:v>1</s:v>
      </s:c>
      <s:c r="U37" s="121">
        <s:f>IF(W37&lt;&gt;"",IF($I$12&lt;&gt;"",IF(G37&lt;&gt;"",G37,($I$9/$I$12-SUM($U$25:U36))*V37*W37/SUMPRODUCT($W37:$W$55,$V37:$V$55)),""),"")</s:f>
        <s:v>1</s:v>
      </s:c>
      <s:c r="V37" s="247">
        <s:v>1</s:v>
      </s:c>
      <s:c r="W37" s="247">
        <s:v>1</s:v>
      </s:c>
      <s:c r="X37" s="124"/>
      <s:c r="Y37" s="124"/>
      <s:c r="Z37" s="125"/>
      <s:c r="AA37" s="2"/>
      <s:c r="AB37" s="2"/>
      <s:c r="AC37" s="2"/>
      <s:c r="AD37" s="2"/>
      <s:c r="AE37" s="2"/>
      <s:c r="AF37" s="2"/>
      <s:c r="AG37" s="2"/>
    </s:row>
    <s:row r="38">
      <s:c r="A38" s="113">
        <s:v>14</s:v>
      </s:c>
      <s:c r="B38" s="114">
        <s:v>45798</s:v>
      </s:c>
      <s:c r="C38" s="131" t="s">
        <s:v>56</s:v>
      </s:c>
      <s:c r="D38" s="116">
        <s:v>17856</s:v>
      </s:c>
      <s:c r="E38" s="117">
        <s:v>4</s:v>
      </s:c>
      <s:c r="F38" s="117">
        <s:f>IF(AND(E38&lt;&gt;"",E38&lt;&gt;0),D38/E38,"")</s:f>
        <s:v>4464</s:v>
      </s:c>
      <s:c r="G38" s="117">
        <s:v>3</s:v>
      </s:c>
      <s:c r="H38" s="117">
        <s:f>IF(AND(G38&lt;&gt;"",G38&lt;&gt;0),D38/G38,"")</s:f>
        <s:v>5952</s:v>
      </s:c>
      <s:c r="I38" s="117">
        <s:v>15</s:v>
      </s:c>
      <s:c r="J38" s="246">
        <s:f>IF(AND(G38&lt;&gt;"",G38&lt;&gt;0),E38/G38,"")</s:f>
        <s:v>1.3333333333333333</s:v>
      </s:c>
      <s:c r="K38" s="117"/>
      <s:c r="L38" s="117"/>
      <s:c r="M38" s="117"/>
      <s:c r="N38" s="118">
        <s:f>IF(AND(I38&lt;&gt;"",I38&lt;&gt;0),G38/I38,"")</s:f>
        <s:v>0.2</s:v>
      </s:c>
      <s:c r="O38" s="119">
        <s:f>D38/P38</s:f>
        <s:v>0.24251038122769486</s:v>
      </s:c>
      <s:c r="P38" s="120">
        <s:f>$I$8*V38*W38/SUMPRODUCT($W$25:$W$55,$V$25:$V$55)</s:f>
        <s:v>73629.837657278942</s:v>
      </s:c>
      <s:c r="Q38" s="121">
        <s:f>$I$9*V38*W38/SUMPRODUCT($W$25:$W$55,$V$25:$V$55)</s:f>
        <s:v>14.159584164861334</s:v>
      </s:c>
      <s:c r="R38" s="121">
        <s:f>IF($I$12="","",Q38/$I$12)</s:f>
        <s:v>7.2987547241553274</s:v>
      </s:c>
      <s:c r="S38" s="120">
        <s:f>IF(W38&lt;&gt;"",IF(D38&lt;&gt;"",D38,($I$8-SUM($S$25:S37))*V38*W38/SUMPRODUCT($W38:$W$55,$V38:$V$55)),"")</s:f>
        <s:v>17856</s:v>
      </s:c>
      <s:c r="T38" s="121">
        <s:f>IF(W38&lt;&gt;"",IF(E38&lt;&gt;"",E38,($I$9-SUM($T$25:T37))*V38*W38/SUMPRODUCT($W38:$W$55,$V38:$V$55)),"")</s:f>
        <s:v>4</s:v>
      </s:c>
      <s:c r="U38" s="121">
        <s:f>IF(W38&lt;&gt;"",IF($I$12&lt;&gt;"",IF(G38&lt;&gt;"",G38,($I$9/$I$12-SUM($U$25:U37))*V38*W38/SUMPRODUCT($W38:$W$55,$V38:$V$55)),""),"")</s:f>
        <s:v>3</s:v>
      </s:c>
      <s:c r="V38" s="247">
        <s:v>1</s:v>
      </s:c>
      <s:c r="W38" s="247">
        <s:v>1</s:v>
      </s:c>
      <s:c r="X38" s="124"/>
      <s:c r="Y38" s="124"/>
      <s:c r="Z38" s="125"/>
      <s:c r="AA38" s="2"/>
      <s:c r="AB38" s="2"/>
      <s:c r="AC38" s="2"/>
      <s:c r="AD38" s="2"/>
      <s:c r="AE38" s="2"/>
      <s:c r="AF38" s="2"/>
      <s:c r="AG38" s="2"/>
    </s:row>
    <s:row r="39" spans="1:33" s="248" customFormat="1">
      <s:c r="A39" s="249">
        <s:v>15</s:v>
      </s:c>
      <s:c r="B39" s="250">
        <s:v>45801</s:v>
      </s:c>
      <s:c r="C39" s="251" t="s">
        <s:v>51</s:v>
      </s:c>
      <s:c r="D39" s="246">
        <s:f>30772+14806</s:f>
        <s:v>45578</s:v>
      </s:c>
      <s:c r="E39" s="259">
        <s:v>9</s:v>
      </s:c>
      <s:c r="F39" s="117">
        <s:f>IF(AND(E39&lt;&gt;"",E39&lt;&gt;0),D39/E39,"")</s:f>
        <s:v>5064.2222222222226</s:v>
      </s:c>
      <s:c r="G39" s="259">
        <s:v>6</s:v>
      </s:c>
      <s:c r="H39" s="117">
        <s:f>IF(AND(G39&lt;&gt;"",G39&lt;&gt;0),D39/G39,"")</s:f>
        <s:v>7596.333333333333</s:v>
      </s:c>
      <s:c r="I39" s="259">
        <s:v>17</s:v>
      </s:c>
      <s:c r="J39" s="246">
        <s:f>IF(AND(G39&lt;&gt;"",G39&lt;&gt;0),E39/G39,"")</s:f>
        <s:v>1.5</s:v>
      </s:c>
      <s:c r="K39" s="252"/>
      <s:c r="L39" s="252">
        <s:v>14806</s:v>
      </s:c>
      <s:c r="M39" s="252"/>
      <s:c r="N39" s="253">
        <s:f>IF(AND(I39&lt;&gt;"",I39&lt;&gt;0),G39/I39,"")</s:f>
        <s:v>0.35294117647058826</s:v>
      </s:c>
      <s:c r="O39" s="254">
        <s:f>D39/P39</s:f>
        <s:v>0.61901535369600569</s:v>
      </s:c>
      <s:c r="P39" s="255">
        <s:f>$I$8*V39*W39/SUMPRODUCT($W$25:$W$60,$V$25:$V$60)</s:f>
        <s:v>73629.837657278942</s:v>
      </s:c>
      <s:c r="Q39" s="256">
        <s:f>$I$9*V39*W39/SUMPRODUCT($W$25:$W$60,$V$25:$V$60)</s:f>
        <s:v>14.159584164861334</s:v>
      </s:c>
      <s:c r="R39" s="256">
        <s:f>IF($I$12="","",Q39/$I$12)</s:f>
        <s:v>7.2987547241553274</s:v>
      </s:c>
      <s:c r="S39" s="255">
        <s:f>IF(W39&lt;&gt;"",IF(D39&lt;&gt;"",D39,($I$8-SUM($S$25:S38))*V39*W39/SUMPRODUCT($W39:$W$60,$V39:$V$60)),"")</s:f>
        <s:v>45578</s:v>
      </s:c>
      <s:c r="T39" s="256">
        <s:f>IF(W39&lt;&gt;"",IF(E39&lt;&gt;"",E39,($I$9-SUM($T$25:T38))*V39*W39/SUMPRODUCT($W39:$W$60,$V39:$V$60)),"")</s:f>
        <s:v>9</s:v>
      </s:c>
      <s:c r="U39" s="256">
        <s:f>IF(W39&lt;&gt;"",IF($I$12&lt;&gt;"",IF(G39&lt;&gt;"",G39,($I$9/$I$12-SUM($U$25:U38))*V39*W39/SUMPRODUCT($W39:$W$60,$V39:$V$60)),""),"")</s:f>
        <s:v>6</s:v>
      </s:c>
      <s:c r="V39" s="247">
        <s:v>1</s:v>
      </s:c>
      <s:c r="W39" s="247">
        <s:v>1</s:v>
      </s:c>
      <s:c r="X39" s="257"/>
      <s:c r="Y39" s="257"/>
      <s:c r="Z39" s="260"/>
      <s:c r="AA39" s="258"/>
      <s:c r="AB39" s="258"/>
      <s:c r="AC39" s="258"/>
      <s:c r="AD39" s="258"/>
      <s:c r="AE39" s="258"/>
      <s:c r="AF39" s="258"/>
      <s:c r="AG39" s="258"/>
    </s:row>
    <s:row r="40" spans="1:33" s="248" customFormat="1">
      <s:c r="A40" s="249">
        <s:v>16</s:v>
      </s:c>
      <s:c r="B40" s="250">
        <s:v>45802</s:v>
      </s:c>
      <s:c r="C40" s="261" t="s">
        <s:v>53</s:v>
      </s:c>
      <s:c r="D40" s="246">
        <s:v>10284</s:v>
      </s:c>
      <s:c r="E40" s="252">
        <s:v>2</s:v>
      </s:c>
      <s:c r="F40" s="117">
        <s:f>IF(AND(E40&lt;&gt;"",E40&lt;&gt;0),D40/E40,"")</s:f>
        <s:v>5142</s:v>
      </s:c>
      <s:c r="G40" s="252">
        <s:v>2</s:v>
      </s:c>
      <s:c r="H40" s="117">
        <s:f>IF(AND(G40&lt;&gt;"",G40&lt;&gt;0),D40/G40,"")</s:f>
        <s:v>5142</s:v>
      </s:c>
      <s:c r="I40" s="252">
        <s:v>15</s:v>
      </s:c>
      <s:c r="J40" s="246">
        <s:f>IF(AND(G40&lt;&gt;"",G40&lt;&gt;0),E40/G40,"")</s:f>
        <s:v>1</s:v>
      </s:c>
      <s:c r="K40" s="252"/>
      <s:c r="L40" s="252"/>
      <s:c r="M40" s="252"/>
      <s:c r="N40" s="253">
        <s:f>IF(AND(I40&lt;&gt;"",I40&lt;&gt;0),G40/I40,"")</s:f>
        <s:v>0.13333333333333333</s:v>
      </s:c>
      <s:c r="O40" s="254">
        <s:f>D40/P40</s:f>
        <s:v>0.13967163757535922</s:v>
      </s:c>
      <s:c r="P40" s="255">
        <s:f>$I$8*V40*W40/SUMPRODUCT($W$25:$W$60,$V$25:$V$60)</s:f>
        <s:v>73629.837657278942</s:v>
      </s:c>
      <s:c r="Q40" s="256">
        <s:f>$I$9*V40*W40/SUMPRODUCT($W$25:$W$60,$V$25:$V$60)</s:f>
        <s:v>14.159584164861334</s:v>
      </s:c>
      <s:c r="R40" s="256">
        <s:f>IF($I$12="","",Q40/$I$12)</s:f>
        <s:v>7.2987547241553274</s:v>
      </s:c>
      <s:c r="S40" s="255">
        <s:f>IF(W40&lt;&gt;"",IF(D40&lt;&gt;"",D40,($I$8-SUM($S$25:S39))*V40*W40/SUMPRODUCT($W40:$W$60,$V40:$V$60)),"")</s:f>
        <s:v>10284</s:v>
      </s:c>
      <s:c r="T40" s="256">
        <s:f>IF(W40&lt;&gt;"",IF(E40&lt;&gt;"",E40,($I$9-SUM($T$25:T39))*V40*W40/SUMPRODUCT($W40:$W$60,$V40:$V$60)),"")</s:f>
        <s:v>2</s:v>
      </s:c>
      <s:c r="U40" s="256">
        <s:f>IF(W40&lt;&gt;"",IF($I$12&lt;&gt;"",IF(G40&lt;&gt;"",G40,($I$9/$I$12-SUM($U$25:U39))*V40*W40/SUMPRODUCT($W40:$W$60,$V40:$V$60)),""),"")</s:f>
        <s:v>2</s:v>
      </s:c>
      <s:c r="V40" s="247">
        <s:v>1</s:v>
      </s:c>
      <s:c r="W40" s="247">
        <s:v>1</s:v>
      </s:c>
      <s:c r="X40" s="257"/>
      <s:c r="Y40" s="257"/>
      <s:c r="Z40" s="260"/>
      <s:c r="AA40" s="258"/>
      <s:c r="AB40" s="258"/>
      <s:c r="AC40" s="258"/>
      <s:c r="AD40" s="258"/>
      <s:c r="AE40" s="258"/>
      <s:c r="AF40" s="258"/>
      <s:c r="AG40" s="258"/>
    </s:row>
    <s:row r="41" spans="1:33" s="248" customFormat="1">
      <s:c r="A41" s="249">
        <s:v>17</s:v>
      </s:c>
      <s:c r="B41" s="250">
        <s:v>45803</s:v>
      </s:c>
      <s:c r="C41" s="251" t="s">
        <s:v>54</s:v>
      </s:c>
      <s:c r="D41" s="262">
        <s:v>5883</s:v>
      </s:c>
      <s:c r="E41" s="252">
        <s:v>2</s:v>
      </s:c>
      <s:c r="F41" s="117">
        <s:f>IF(AND(E41&lt;&gt;"",E41&lt;&gt;0),D41/E41,"")</s:f>
        <s:v>2941.5</s:v>
      </s:c>
      <s:c r="G41" s="259">
        <s:v>1</s:v>
      </s:c>
      <s:c r="H41" s="117">
        <s:f>IF(AND(G41&lt;&gt;"",G41&lt;&gt;0),D41/G41,"")</s:f>
        <s:v>5883</s:v>
      </s:c>
      <s:c r="I41" s="259">
        <s:v>10</s:v>
      </s:c>
      <s:c r="J41" s="246">
        <s:f>IF(AND(G41&lt;&gt;"",G41&lt;&gt;0),E41/G41,"")</s:f>
        <s:v>2</s:v>
      </s:c>
      <s:c r="K41" s="252"/>
      <s:c r="L41" s="252"/>
      <s:c r="M41" s="252"/>
      <s:c r="N41" s="253">
        <s:f>IF(AND(I41&lt;&gt;"",I41&lt;&gt;0),G41/I41,"")</s:f>
        <s:v>0.1</s:v>
      </s:c>
      <s:c r="O41" s="254">
        <s:f>D41/P41</s:f>
        <s:v>7.9899673653815464E-2</s:v>
      </s:c>
      <s:c r="P41" s="255">
        <s:f>$I$8*V41*W41/SUMPRODUCT($W$25:$W$60,$V$25:$V$60)</s:f>
        <s:v>73629.837657278942</s:v>
      </s:c>
      <s:c r="Q41" s="256">
        <s:f>$I$9*V41*W41/SUMPRODUCT($W$25:$W$60,$V$25:$V$60)</s:f>
        <s:v>14.159584164861334</s:v>
      </s:c>
      <s:c r="R41" s="256">
        <s:f>IF($I$12="","",Q41/$I$12)</s:f>
        <s:v>7.2987547241553274</s:v>
      </s:c>
      <s:c r="S41" s="255">
        <s:f>IF(W41&lt;&gt;"",IF(D41&lt;&gt;"",D41,($I$8-SUM($S$25:S40))*V41*W41/SUMPRODUCT($W41:$W$60,$V41:$V$60)),"")</s:f>
        <s:v>5883</s:v>
      </s:c>
      <s:c r="T41" s="256">
        <s:f>IF(W41&lt;&gt;"",IF(E41&lt;&gt;"",E41,($I$9-SUM($T$25:T40))*V41*W41/SUMPRODUCT($W41:$W$60,$V41:$V$60)),"")</s:f>
        <s:v>2</s:v>
      </s:c>
      <s:c r="U41" s="256">
        <s:f>IF(W41&lt;&gt;"",IF($I$12&lt;&gt;"",IF(G41&lt;&gt;"",G41,($I$9/$I$12-SUM($U$25:U40))*V41*W41/SUMPRODUCT($W41:$W$60,$V41:$V$60)),""),"")</s:f>
        <s:v>1</s:v>
      </s:c>
      <s:c r="V41" s="247">
        <s:v>1</s:v>
      </s:c>
      <s:c r="W41" s="247">
        <s:v>1</s:v>
      </s:c>
      <s:c r="X41" s="257"/>
      <s:c r="Y41" s="257"/>
      <s:c r="Z41" s="260"/>
      <s:c r="AA41" s="258"/>
      <s:c r="AB41" s="258"/>
      <s:c r="AC41" s="258"/>
      <s:c r="AD41" s="258"/>
      <s:c r="AE41" s="258"/>
      <s:c r="AF41" s="258"/>
      <s:c r="AG41" s="258"/>
    </s:row>
    <s:row r="42" spans="1:33" s="248" customFormat="1">
      <s:c r="A42" s="249">
        <s:v>18</s:v>
      </s:c>
      <s:c r="B42" s="250" t="s">
        <s:v>69</s:v>
      </s:c>
      <s:c r="C42" s="251" t="s">
        <s:v>48</s:v>
      </s:c>
      <s:c r="D42" s="263">
        <s:v>25951</s:v>
      </s:c>
      <s:c r="E42" s="259">
        <s:v>6</s:v>
      </s:c>
      <s:c r="F42" s="252">
        <s:f>IF(AND(E42&lt;&gt;"",E42&lt;&gt;0),D42/E42,"")</s:f>
        <s:v>4325.166666666667</s:v>
      </s:c>
      <s:c r="G42" s="252">
        <s:v>5</s:v>
      </s:c>
      <s:c r="H42" s="259">
        <s:f>IF(AND(G42&lt;&gt;"",G42&lt;&gt;0),D42/G42,"")</s:f>
        <s:v>5190.2</s:v>
      </s:c>
      <s:c r="I42" s="252">
        <s:v>20</s:v>
      </s:c>
      <s:c r="J42" s="246">
        <s:f>IF(AND(G42&lt;&gt;"",G42&lt;&gt;0),E42/G42,"")</s:f>
        <s:v>1.2</s:v>
      </s:c>
      <s:c r="K42" s="252"/>
      <s:c r="L42" s="252"/>
      <s:c r="M42" s="252"/>
      <s:c r="N42" s="253">
        <s:f>IF(AND(I42&lt;&gt;"",I42&lt;&gt;0),G42/I42,"")</s:f>
        <s:v>0.25</s:v>
      </s:c>
      <s:c r="O42" s="254">
        <s:f>D42/P42</s:f>
        <s:v>0.35245222352374045</s:v>
      </s:c>
      <s:c r="P42" s="255">
        <s:f>$I$8*V42*W42/SUMPRODUCT($W$25:$W$60,$V$25:$V$60)</s:f>
        <s:v>73629.837657278942</s:v>
      </s:c>
      <s:c r="Q42" s="256">
        <s:f>$I$9*V42*W42/SUMPRODUCT($W$25:$W$60,$V$25:$V$60)</s:f>
        <s:v>14.159584164861334</s:v>
      </s:c>
      <s:c r="R42" s="256">
        <s:f>IF($I$12="","",Q42/$I$12)</s:f>
        <s:v>7.2987547241553274</s:v>
      </s:c>
      <s:c r="S42" s="255">
        <s:f>IF(W42&lt;&gt;"",IF(D42&lt;&gt;"",D42,($I$8-SUM($S$25:S41))*V42*W42/SUMPRODUCT($W42:$W$60,$V42:$V$60)),"")</s:f>
        <s:v>25951</s:v>
      </s:c>
      <s:c r="T42" s="256">
        <s:f>IF(W42&lt;&gt;"",IF(E42&lt;&gt;"",E42,($I$9-SUM($T$25:T41))*V42*W42/SUMPRODUCT($W42:$W$60,$V42:$V$60)),"")</s:f>
        <s:v>6</s:v>
      </s:c>
      <s:c r="U42" s="256">
        <s:f>IF(W42&lt;&gt;"",IF($I$12&lt;&gt;"",IF(G42&lt;&gt;"",G42,($I$9/$I$12-SUM($U$25:U41))*V42*W42/SUMPRODUCT($W42:$W$60,$V42:$V$60)),""),"")</s:f>
        <s:v>5</s:v>
      </s:c>
      <s:c r="V42" s="247">
        <s:v>1</s:v>
      </s:c>
      <s:c r="W42" s="247">
        <s:v>1</s:v>
      </s:c>
      <s:c r="X42" s="257"/>
      <s:c r="Y42" s="257"/>
      <s:c r="Z42" s="258"/>
      <s:c r="AA42" s="258"/>
      <s:c r="AB42" s="258"/>
      <s:c r="AC42" s="258"/>
      <s:c r="AD42" s="258"/>
      <s:c r="AE42" s="258"/>
      <s:c r="AF42" s="258"/>
      <s:c r="AG42" s="258"/>
    </s:row>
    <s:row r="43" spans="1:33" s="248" customFormat="1" ht="15" customHeight="1">
      <s:c r="A43" s="249">
        <s:v>19</s:v>
      </s:c>
      <s:c r="B43" s="250" t="s">
        <s:v>70</s:v>
      </s:c>
      <s:c r="C43" s="251" t="s">
        <s:v>49</s:v>
      </s:c>
      <s:c r="D43" s="262">
        <s:f>33433+6203</s:f>
        <s:v>39636</s:v>
      </s:c>
      <s:c r="E43" s="264">
        <s:v>9</s:v>
      </s:c>
      <s:c r="F43" s="259">
        <s:f>IF(AND(E43&lt;&gt;"",E43&lt;&gt;0),D43/E43,"")</s:f>
        <s:v>4404</s:v>
      </s:c>
      <s:c r="G43" s="264">
        <s:v>6</s:v>
      </s:c>
      <s:c r="H43" s="264">
        <s:f>IF(AND(G43&lt;&gt;"",G43&lt;&gt;0),D43/G43,"")</s:f>
        <s:v>6606</s:v>
      </s:c>
      <s:c r="I43" s="264">
        <s:v>17</s:v>
      </s:c>
      <s:c r="J43" s="265">
        <s:f>IF(AND(G43&lt;&gt;"",G43&lt;&gt;0),E43/G43,"")</s:f>
        <s:v>1.5</s:v>
      </s:c>
      <s:c r="K43" s="264"/>
      <s:c r="L43" s="264">
        <s:v>6203</s:v>
      </s:c>
      <s:c r="M43" s="264"/>
      <s:c r="N43" s="266">
        <s:f>IF(AND(I43&lt;&gt;"",I43&lt;&gt;0),G43/I43,"")</s:f>
        <s:v>0.35294117647058826</s:v>
      </s:c>
      <s:c r="O43" s="267">
        <s:f>D43/P43</s:f>
        <s:v>0.53831437445905661</s:v>
      </s:c>
      <s:c r="P43" s="268">
        <s:f>$I$8*V43*W43/SUMPRODUCT($W$25:$W$60,$V$25:$V$60)</s:f>
        <s:v>73629.837657278942</s:v>
      </s:c>
      <s:c r="Q43" s="269">
        <s:f>$I$9*V43*W43/SUMPRODUCT($W$25:$W$60,$V$25:$V$60)</s:f>
        <s:v>14.159584164861334</s:v>
      </s:c>
      <s:c r="R43" s="269">
        <s:f>IF($I$12="","",Q43/$I$12)</s:f>
        <s:v>7.2987547241553274</s:v>
      </s:c>
      <s:c r="S43" s="268">
        <s:f>IF(W43&lt;&gt;"",IF(D43&lt;&gt;"",D43,($I$8-SUM($S$25:S42))*V43*W43/SUMPRODUCT($W43:$W$60,$V43:$V$60)),"")</s:f>
        <s:v>39636</s:v>
      </s:c>
      <s:c r="T43" s="269">
        <s:f>IF(W43&lt;&gt;"",IF(E43&lt;&gt;"",E43,($I$9-SUM($T$25:T42))*V43*W43/SUMPRODUCT($W43:$W$60,$V43:$V$60)),"")</s:f>
        <s:v>9</s:v>
      </s:c>
      <s:c r="U43" s="269">
        <s:f>IF(W43&lt;&gt;"",IF($I$12&lt;&gt;"",IF(G43&lt;&gt;"",G43,($I$9/$I$12-SUM($U$25:U42))*V43*W43/SUMPRODUCT($W43:$W$60,$V43:$V$60)),""),"")</s:f>
        <s:v>6</s:v>
      </s:c>
      <s:c r="V43" s="247">
        <s:v>1</s:v>
      </s:c>
      <s:c r="W43" s="247">
        <s:v>1</s:v>
      </s:c>
      <s:c r="X43" s="257"/>
      <s:c r="Y43" s="257"/>
      <s:c r="Z43" s="260"/>
      <s:c r="AA43" s="258"/>
      <s:c r="AB43" s="258"/>
      <s:c r="AC43" s="258"/>
      <s:c r="AD43" s="258"/>
      <s:c r="AE43" s="258"/>
      <s:c r="AF43" s="258"/>
      <s:c r="AG43" s="258"/>
    </s:row>
    <s:row r="44" spans="1:33" s="248" customFormat="1" ht="15" customHeight="1">
      <s:c r="A44" s="249">
        <s:v>20</s:v>
      </s:c>
      <s:c r="B44" s="250" t="s">
        <s:v>71</s:v>
      </s:c>
      <s:c r="C44" s="251" t="s">
        <s:v>51</s:v>
      </s:c>
      <s:c r="D44" s="270">
        <s:f>25333+16991+16104</s:f>
        <s:v>58428</s:v>
      </s:c>
      <s:c r="E44" s="271">
        <s:v>11</s:v>
      </s:c>
      <s:c r="F44" s="271">
        <s:f>IF(AND(E44&lt;&gt;"",E44&lt;&gt;0),D44/E44,"")</s:f>
        <s:v>5311.636363636364</s:v>
      </s:c>
      <s:c r="G44" s="271">
        <s:v>6</s:v>
      </s:c>
      <s:c r="H44" s="271">
        <s:f>IF(AND(G44&lt;&gt;"",G44&lt;&gt;0),D44/G44,"")</s:f>
        <s:v>9738</s:v>
      </s:c>
      <s:c r="I44" s="271">
        <s:v>20</s:v>
      </s:c>
      <s:c r="J44" s="272">
        <s:f>IF(AND(G44&lt;&gt;"",G44&lt;&gt;0),E44/G44,"")</s:f>
        <s:v>1.8333333333333333</s:v>
      </s:c>
      <s:c r="K44" s="271">
        <s:v>16991</s:v>
      </s:c>
      <s:c r="L44" s="271">
        <s:v>16104</s:v>
      </s:c>
      <s:c r="M44" s="271"/>
      <s:c r="N44" s="273">
        <s:f>IF(AND(I44&lt;&gt;"",I44&lt;&gt;0),G44/I44,"")</s:f>
        <s:v>0.3</s:v>
      </s:c>
      <s:c r="O44" s="274">
        <s:f>D44/P44</s:f>
        <s:v>0.7935369934123967</s:v>
      </s:c>
      <s:c r="P44" s="275">
        <s:f>$I$8*V44*W44/SUMPRODUCT($W$25:$W$60,$V$25:$V$60)</s:f>
        <s:v>73629.837657278942</s:v>
      </s:c>
      <s:c r="Q44" s="276">
        <s:f>$I$9*V44*W44/SUMPRODUCT($W$25:$W$60,$V$25:$V$60)</s:f>
        <s:v>14.159584164861334</s:v>
      </s:c>
      <s:c r="R44" s="276">
        <s:f>IF($I$12="","",Q44/$I$12)</s:f>
        <s:v>7.2987547241553274</s:v>
      </s:c>
      <s:c r="S44" s="275">
        <s:f>IF(W44&lt;&gt;"",IF(D44&lt;&gt;"",D44,($I$8-SUM($S$25:S43))*V44*W44/SUMPRODUCT($W44:$W$60,$V44:$V$60)),"")</s:f>
        <s:v>58428</s:v>
      </s:c>
      <s:c r="T44" s="276">
        <s:f>IF(W44&lt;&gt;"",IF(E44&lt;&gt;"",E44,($I$9-SUM($T$25:T43))*V44*W44/SUMPRODUCT($W44:$W$60,$V44:$V$60)),"")</s:f>
        <s:v>11</s:v>
      </s:c>
      <s:c r="U44" s="276">
        <s:f>IF(W44&lt;&gt;"",IF($I$12&lt;&gt;"",IF(G44&lt;&gt;"",G44,($I$9/$I$12-SUM($U$25:U43))*V44*W44/SUMPRODUCT($W44:$W$60,$V44:$V$60)),""),"")</s:f>
        <s:v>6</s:v>
      </s:c>
      <s:c r="V44" s="247">
        <s:v>1</s:v>
      </s:c>
      <s:c r="W44" s="247">
        <s:v>1</s:v>
      </s:c>
      <s:c r="X44" s="257"/>
      <s:c r="Y44" s="257"/>
      <s:c r="Z44" s="260"/>
      <s:c r="AA44" s="258"/>
      <s:c r="AB44" s="258"/>
      <s:c r="AC44" s="258"/>
      <s:c r="AD44" s="258"/>
      <s:c r="AE44" s="258"/>
      <s:c r="AF44" s="258"/>
      <s:c r="AG44" s="258"/>
    </s:row>
    <s:row r="45" spans="1:33" s="248" customFormat="1" ht="15" customHeight="1">
      <s:c r="A45" s="249">
        <s:v>21</s:v>
      </s:c>
      <s:c r="B45" s="250"/>
      <s:c r="C45" s="261"/>
      <s:c r="D45" s="272"/>
      <s:c r="E45" s="271"/>
      <s:c r="F45" s="271" t="str">
        <s:f>IF(AND(E45&lt;&gt;"",E45&lt;&gt;0),D45/E45,"")</s:f>
        <s:v/>
      </s:c>
      <s:c r="G45" s="271"/>
      <s:c r="H45" s="271" t="str">
        <s:f>IF(AND(G45&lt;&gt;"",G45&lt;&gt;0),D45/G45,"")</s:f>
        <s:v/>
      </s:c>
      <s:c r="I45" s="271"/>
      <s:c r="J45" s="272" t="str">
        <s:f>IF(AND(G45&lt;&gt;"",G45&lt;&gt;0),E45/G45,"")</s:f>
        <s:v/>
      </s:c>
      <s:c r="K45" s="271"/>
      <s:c r="L45" s="271"/>
      <s:c r="M45" s="271"/>
      <s:c r="N45" s="273" t="str">
        <s:f>IF(AND(I45&lt;&gt;"",I45&lt;&gt;0),G45/I45,"")</s:f>
        <s:v/>
      </s:c>
      <s:c r="O45" s="274" t="e">
        <s:f>D45/P45</s:f>
        <s:v>#DIV/0!</s:v>
      </s:c>
      <s:c r="P45" s="275">
        <s:f>$I$8*V45*W45/SUMPRODUCT($W$25:$W$60,$V$25:$V$60)</s:f>
        <s:v>0</s:v>
      </s:c>
      <s:c r="Q45" s="276">
        <s:f>$I$9*V45*W45/SUMPRODUCT($W$25:$W$60,$V$25:$V$60)</s:f>
        <s:v>0</s:v>
      </s:c>
      <s:c r="R45" s="276">
        <s:f>IF($I$12="","",Q45/$I$12)</s:f>
        <s:v>0</s:v>
      </s:c>
      <s:c r="S45" s="275" t="str">
        <s:f>IF(W45&lt;&gt;"",IF(D45&lt;&gt;"",D45,($I$8-SUM($S$25:S44))*V45*W45/SUMPRODUCT($W45:$W$60,$V45:$V$60)),"")</s:f>
        <s:v/>
      </s:c>
      <s:c r="T45" s="276" t="str">
        <s:f>IF(W45&lt;&gt;"",IF(E45&lt;&gt;"",E45,($I$9-SUM($T$25:T44))*V45*W45/SUMPRODUCT($W45:$W$60,$V45:$V$60)),"")</s:f>
        <s:v/>
      </s:c>
      <s:c r="U45" s="276" t="str">
        <s:f>IF(W45&lt;&gt;"",IF($I$12&lt;&gt;"",IF(G45&lt;&gt;"",G45,($I$9/$I$12-SUM($U$25:U44))*V45*W45/SUMPRODUCT($W45:$W$60,$V45:$V$60)),""),"")</s:f>
        <s:v/>
      </s:c>
      <s:c r="V45" s="247"/>
      <s:c r="W45" s="247"/>
      <s:c r="X45" s="257"/>
      <s:c r="Y45" s="257"/>
      <s:c r="Z45" s="260"/>
      <s:c r="AA45" s="258"/>
      <s:c r="AB45" s="258"/>
      <s:c r="AC45" s="258"/>
      <s:c r="AD45" s="258"/>
      <s:c r="AE45" s="258"/>
      <s:c r="AF45" s="258"/>
      <s:c r="AG45" s="258"/>
    </s:row>
    <s:row r="46" spans="1:33" s="248" customFormat="1" ht="15" customHeight="1">
      <s:c r="A46" s="249">
        <s:v>22</s:v>
      </s:c>
      <s:c r="B46" s="250"/>
      <s:c r="C46" s="277"/>
      <s:c r="D46" s="272"/>
      <s:c r="E46" s="271"/>
      <s:c r="F46" s="271" t="str">
        <s:f>IF(AND(E46&lt;&gt;"",E46&lt;&gt;0),D46/E46,"")</s:f>
        <s:v/>
      </s:c>
      <s:c r="G46" s="271"/>
      <s:c r="H46" s="271" t="str">
        <s:f>IF(AND(G46&lt;&gt;"",G46&lt;&gt;0),D46/G46,"")</s:f>
        <s:v/>
      </s:c>
      <s:c r="I46" s="271"/>
      <s:c r="J46" s="272" t="str">
        <s:f>IF(AND(G46&lt;&gt;"",G46&lt;&gt;0),E46/G46,"")</s:f>
        <s:v/>
      </s:c>
      <s:c r="K46" s="271"/>
      <s:c r="L46" s="271"/>
      <s:c r="M46" s="271"/>
      <s:c r="N46" s="273" t="str">
        <s:f>IF(AND(I46&lt;&gt;"",I46&lt;&gt;0),G46/I46,"")</s:f>
        <s:v/>
      </s:c>
      <s:c r="O46" s="274" t="e">
        <s:f>D46/P46</s:f>
        <s:v>#DIV/0!</s:v>
      </s:c>
      <s:c r="P46" s="275">
        <s:f>$I$8*V46*W46/SUMPRODUCT($W$25:$W$60,$V$25:$V$60)</s:f>
        <s:v>0</s:v>
      </s:c>
      <s:c r="Q46" s="276">
        <s:f>$I$9*V46*W46/SUMPRODUCT($W$25:$W$60,$V$25:$V$60)</s:f>
        <s:v>0</s:v>
      </s:c>
      <s:c r="R46" s="276">
        <s:f>IF($I$12="","",Q46/$I$12)</s:f>
        <s:v>0</s:v>
      </s:c>
      <s:c r="S46" s="275" t="str">
        <s:f>IF(W46&lt;&gt;"",IF(D46&lt;&gt;"",D46,($I$8-SUM($S$25:S45))*V46*W46/SUMPRODUCT($W46:$W$60,$V46:$V$60)),"")</s:f>
        <s:v/>
      </s:c>
      <s:c r="T46" s="276" t="str">
        <s:f>IF(W46&lt;&gt;"",IF(E46&lt;&gt;"",E46,($I$9-SUM($T$25:T45))*V46*W46/SUMPRODUCT($W46:$W$60,$V46:$V$60)),"")</s:f>
        <s:v/>
      </s:c>
      <s:c r="U46" s="276" t="str">
        <s:f>IF(W46&lt;&gt;"",IF($I$12&lt;&gt;"",IF(G46&lt;&gt;"",G46,($I$9/$I$12-SUM($U$25:U45))*V46*W46/SUMPRODUCT($W46:$W$60,$V46:$V$60)),""),"")</s:f>
        <s:v/>
      </s:c>
      <s:c r="V46" s="247"/>
      <s:c r="W46" s="247"/>
      <s:c r="X46" s="257"/>
      <s:c r="Y46" s="257"/>
      <s:c r="Z46" s="260"/>
      <s:c r="AA46" s="258"/>
      <s:c r="AB46" s="258"/>
      <s:c r="AC46" s="258"/>
      <s:c r="AD46" s="258"/>
      <s:c r="AE46" s="258"/>
      <s:c r="AF46" s="258"/>
      <s:c r="AG46" s="258"/>
    </s:row>
    <s:row r="47" spans="1:33" s="248" customFormat="1" ht="15" customHeight="1">
      <s:c r="A47" s="249">
        <s:v>23</s:v>
      </s:c>
      <s:c r="B47" s="250"/>
      <s:c r="C47" s="261"/>
      <s:c r="D47" s="272"/>
      <s:c r="E47" s="271"/>
      <s:c r="F47" s="271" t="str">
        <s:f>IF(AND(E47&lt;&gt;"",E47&lt;&gt;0),D47/E47,"")</s:f>
        <s:v/>
      </s:c>
      <s:c r="G47" s="271"/>
      <s:c r="H47" s="271" t="str">
        <s:f>IF(AND(G47&lt;&gt;"",G47&lt;&gt;0),D47/G47,"")</s:f>
        <s:v/>
      </s:c>
      <s:c r="I47" s="271"/>
      <s:c r="J47" s="272" t="str">
        <s:f>IF(AND(G47&lt;&gt;"",G47&lt;&gt;0),E47/G47,"")</s:f>
        <s:v/>
      </s:c>
      <s:c r="K47" s="271"/>
      <s:c r="L47" s="271"/>
      <s:c r="M47" s="271"/>
      <s:c r="N47" s="273" t="str">
        <s:f>IF(AND(I47&lt;&gt;"",I47&lt;&gt;0),G47/I47,"")</s:f>
        <s:v/>
      </s:c>
      <s:c r="O47" s="274" t="e">
        <s:f>D47/P47</s:f>
        <s:v>#DIV/0!</s:v>
      </s:c>
      <s:c r="P47" s="275">
        <s:f>$I$8*V47*W47/SUMPRODUCT($W$25:$W$60,$V$25:$V$60)</s:f>
        <s:v>0</s:v>
      </s:c>
      <s:c r="Q47" s="276">
        <s:f>$I$9*V47*W47/SUMPRODUCT($W$25:$W$60,$V$25:$V$60)</s:f>
        <s:v>0</s:v>
      </s:c>
      <s:c r="R47" s="276">
        <s:f>IF($I$12="","",Q47/$I$12)</s:f>
        <s:v>0</s:v>
      </s:c>
      <s:c r="S47" s="275" t="str">
        <s:f>IF(W47&lt;&gt;"",IF(D47&lt;&gt;"",D47,($I$8-SUM($S$25:S46))*V47*W47/SUMPRODUCT($W47:$W$60,$V47:$V$60)),"")</s:f>
        <s:v/>
      </s:c>
      <s:c r="T47" s="276" t="str">
        <s:f>IF(W47&lt;&gt;"",IF(E47&lt;&gt;"",E47,($I$9-SUM($T$25:T46))*V47*W47/SUMPRODUCT($W47:$W$60,$V47:$V$60)),"")</s:f>
        <s:v/>
      </s:c>
      <s:c r="U47" s="276" t="str">
        <s:f>IF(W47&lt;&gt;"",IF($I$12&lt;&gt;"",IF(G47&lt;&gt;"",G47,($I$9/$I$12-SUM($U$25:U46))*V47*W47/SUMPRODUCT($W47:$W$60,$V47:$V$60)),""),"")</s:f>
        <s:v/>
      </s:c>
      <s:c r="V47" s="247"/>
      <s:c r="W47" s="278"/>
      <s:c r="X47" s="257"/>
      <s:c r="Y47" s="257"/>
      <s:c r="Z47" s="260"/>
      <s:c r="AA47" s="258"/>
      <s:c r="AB47" s="258"/>
      <s:c r="AC47" s="258"/>
      <s:c r="AD47" s="258"/>
      <s:c r="AE47" s="258"/>
      <s:c r="AF47" s="258"/>
      <s:c r="AG47" s="258"/>
    </s:row>
    <s:row r="48" spans="1:33" s="248" customFormat="1" ht="15" customHeight="1">
      <s:c r="A48" s="249">
        <s:v>24</s:v>
      </s:c>
      <s:c r="B48" s="250"/>
      <s:c r="C48" s="279"/>
      <s:c r="D48" s="272"/>
      <s:c r="E48" s="271"/>
      <s:c r="F48" s="271" t="str">
        <s:f>IF(AND(E48&lt;&gt;"",E48&lt;&gt;0),D48/E48,"")</s:f>
        <s:v/>
      </s:c>
      <s:c r="G48" s="271"/>
      <s:c r="H48" s="271" t="str">
        <s:f>IF(AND(G48&lt;&gt;"",G48&lt;&gt;0),D48/G48,"")</s:f>
        <s:v/>
      </s:c>
      <s:c r="I48" s="271"/>
      <s:c r="J48" s="272" t="str">
        <s:f>IF(AND(G48&lt;&gt;"",G48&lt;&gt;0),E48/G48,"")</s:f>
        <s:v/>
      </s:c>
      <s:c r="K48" s="271"/>
      <s:c r="L48" s="271"/>
      <s:c r="M48" s="271"/>
      <s:c r="N48" s="273" t="str">
        <s:f>IF(AND(I48&lt;&gt;"",I48&lt;&gt;0),G48/I48,"")</s:f>
        <s:v/>
      </s:c>
      <s:c r="O48" s="274" t="e">
        <s:f>D48/P48</s:f>
        <s:v>#DIV/0!</s:v>
      </s:c>
      <s:c r="P48" s="275">
        <s:f>$I$8*V48*W48/SUMPRODUCT($W$25:$W$60,$V$25:$V$60)</s:f>
        <s:v>0</s:v>
      </s:c>
      <s:c r="Q48" s="276">
        <s:f>$I$9*V48*W48/SUMPRODUCT($W$25:$W$60,$V$25:$V$60)</s:f>
        <s:v>0</s:v>
      </s:c>
      <s:c r="R48" s="276">
        <s:f>IF($I$12="","",Q48/$I$12)</s:f>
        <s:v>0</s:v>
      </s:c>
      <s:c r="S48" s="275" t="str">
        <s:f>IF(W48&lt;&gt;"",IF(D48&lt;&gt;"",D48,($I$8-SUM($S$25:S47))*V48*W48/SUMPRODUCT($W48:$W$60,$V48:$V$60)),"")</s:f>
        <s:v/>
      </s:c>
      <s:c r="T48" s="276" t="str">
        <s:f>IF(W48&lt;&gt;"",IF(E48&lt;&gt;"",E48,($I$9-SUM($T$25:T47))*V48*W48/SUMPRODUCT($W48:$W$60,$V48:$V$60)),"")</s:f>
        <s:v/>
      </s:c>
      <s:c r="U48" s="276" t="str">
        <s:f>IF(W48&lt;&gt;"",IF($I$12&lt;&gt;"",IF(G48&lt;&gt;"",G48,($I$9/$I$12-SUM($U$25:U47))*V48*W48/SUMPRODUCT($W48:$W$60,$V48:$V$60)),""),"")</s:f>
        <s:v/>
      </s:c>
      <s:c r="V48" s="247"/>
      <s:c r="W48" s="278"/>
      <s:c r="X48" s="257"/>
      <s:c r="Y48" s="257"/>
      <s:c r="Z48" s="260"/>
      <s:c r="AA48" s="258"/>
      <s:c r="AB48" s="258"/>
      <s:c r="AC48" s="258"/>
      <s:c r="AD48" s="258"/>
      <s:c r="AE48" s="258"/>
      <s:c r="AF48" s="258"/>
      <s:c r="AG48" s="258"/>
    </s:row>
    <s:row r="49" spans="1:33" s="248" customFormat="1" ht="15" customHeight="1">
      <s:c r="A49" s="249">
        <s:v>25</s:v>
      </s:c>
      <s:c r="B49" s="250">
        <s:v>45782</s:v>
      </s:c>
      <s:c r="C49" s="279" t="s">
        <s:v>54</s:v>
      </s:c>
      <s:c r="D49" s="272">
        <s:v>21553</s:v>
      </s:c>
      <s:c r="E49" s="271">
        <s:v>3</s:v>
      </s:c>
      <s:c r="F49" s="271">
        <s:f>IF(AND(E49&lt;&gt;"",E49&lt;&gt;0),D49/E49,"")</s:f>
        <s:v>7184.333333333333</s:v>
      </s:c>
      <s:c r="G49" s="271">
        <s:v>1</s:v>
      </s:c>
      <s:c r="H49" s="271">
        <s:f>IF(AND(G49&lt;&gt;"",G49&lt;&gt;0),D49/G49,"")</s:f>
        <s:v>21553</s:v>
      </s:c>
      <s:c r="I49" s="271"/>
      <s:c r="J49" s="272">
        <s:f>IF(AND(G49&lt;&gt;"",G49&lt;&gt;0),E49/G49,"")</s:f>
        <s:v>3</s:v>
      </s:c>
      <s:c r="K49" s="271"/>
      <s:c r="L49" s="271"/>
      <s:c r="M49" s="271"/>
      <s:c r="N49" s="273" t="str">
        <s:f>IF(AND(I49&lt;&gt;"",I49&lt;&gt;0),G49/I49,"")</s:f>
        <s:v/>
      </s:c>
      <s:c r="O49" s="274" t="e">
        <s:f>D49/P49</s:f>
        <s:v>#DIV/0!</s:v>
      </s:c>
      <s:c r="P49" s="275">
        <s:f>$I$8*V49*W49/SUMPRODUCT($W$25:$W$60,$V$25:$V$60)</s:f>
        <s:v>0</s:v>
      </s:c>
      <s:c r="Q49" s="276">
        <s:f>$I$9*V49*W49/SUMPRODUCT($W$25:$W$60,$V$25:$V$60)</s:f>
        <s:v>0</s:v>
      </s:c>
      <s:c r="R49" s="276">
        <s:f>IF($I$12="","",Q49/$I$12)</s:f>
        <s:v>0</s:v>
      </s:c>
      <s:c r="S49" s="275" t="str">
        <s:f>IF(W49&lt;&gt;"",IF(D49&lt;&gt;"",D49,($I$8-SUM($S$25:S48))*V49*W49/SUMPRODUCT($W49:$W$60,$V49:$V$60)),"")</s:f>
        <s:v/>
      </s:c>
      <s:c r="T49" s="276" t="str">
        <s:f>IF(W49&lt;&gt;"",IF(E49&lt;&gt;"",E49,($I$9-SUM($T$25:T48))*V49*W49/SUMPRODUCT($W49:$W$60,$V49:$V$60)),"")</s:f>
        <s:v/>
      </s:c>
      <s:c r="U49" s="276" t="str">
        <s:f>IF(W49&lt;&gt;"",IF($I$12&lt;&gt;"",IF(G49&lt;&gt;"",G49,($I$9/$I$12-SUM($U$25:U48))*V49*W49/SUMPRODUCT($W49:$W$60,$V49:$V$60)),""),"")</s:f>
        <s:v/>
      </s:c>
      <s:c r="V49" s="280"/>
      <s:c r="W49" s="278"/>
      <s:c r="X49" s="257"/>
      <s:c r="Y49" s="257"/>
      <s:c r="Z49" s="260"/>
      <s:c r="AA49" s="258"/>
      <s:c r="AB49" s="258"/>
      <s:c r="AC49" s="258"/>
      <s:c r="AD49" s="258"/>
      <s:c r="AE49" s="258"/>
      <s:c r="AF49" s="258"/>
      <s:c r="AG49" s="258"/>
    </s:row>
    <s:row r="50" spans="1:33" ht="15" customHeight="1">
      <s:c r="B50" s="569" t="s">
        <s:v>61</s:v>
      </s:c>
      <s:c r="C50" s="569"/>
      <s:c r="D50" s="100">
        <s:f>SUM(D25:D49)</s:f>
        <s:v>717981</s:v>
      </s:c>
      <s:c r="E50" s="100">
        <s:f>SUM(E25:E49)</s:f>
        <s:v>134</s:v>
      </s:c>
      <s:c r="F50" s="100">
        <s:f>IF(AND(E50&lt;&gt;"",E50&lt;&gt;0),D50/E50,"")</s:f>
        <s:v>5358.0671641791041</s:v>
      </s:c>
      <s:c r="G50" s="100">
        <s:f>SUM(G25:G49)</s:f>
        <s:v>80</s:v>
      </s:c>
      <s:c r="H50" s="100">
        <s:f>IF(AND(G50&lt;&gt;"",G50&lt;&gt;0),D50/G50,"")</s:f>
        <s:v>8974.7625000000007</s:v>
      </s:c>
      <s:c r="I50" s="100">
        <s:f>SUM(I25:I49)</s:f>
        <s:v>359</s:v>
      </s:c>
      <s:c r="J50" s="99">
        <s:f>IF(AND(G50&lt;&gt;"",G50&lt;&gt;0),E50/G50,"")</s:f>
        <s:v>1.675</s:v>
      </s:c>
      <s:c r="K50" s="100">
        <s:f>SUM(K25:K49)</s:f>
        <s:v>148123</s:v>
      </s:c>
      <s:c r="L50" s="100">
        <s:f>SUM(L25:L49)</s:f>
        <s:v>128084</s:v>
      </s:c>
      <s:c r="M50" s="100">
        <s:f>SUM(M25:M49)</s:f>
        <s:v>0</s:v>
      </s:c>
      <s:c r="N50" s="128">
        <s:f>IF(AND(I50&lt;&gt;"",I50&lt;&gt;0),G50/I50,"")</s:f>
        <s:v>0.22284122562674094</s:v>
      </s:c>
      <s:c r="O50" s="102">
        <s:f>D50/P50</s:f>
        <s:v>0.47854070494015816</s:v>
      </s:c>
      <s:c r="P50" s="104">
        <s:f>SUM(P25:P49)</s:f>
        <s:v>1500355.126717557</s:v>
      </s:c>
      <s:c r="Q50" s="104">
        <s:f>SUM(Q25:Q49)</s:f>
        <s:v>288.5298320610687</s:v>
      </s:c>
      <s:c r="R50" s="104">
        <s:f>SUM(R25:R49)</s:f>
        <s:v>148.7267175572519</s:v>
      </s:c>
      <s:c r="S50" s="104">
        <s:f>SUM(S25:S49)</s:f>
        <s:v>696428</s:v>
      </s:c>
      <s:c r="T50" s="104">
        <s:f>SUM(T25:T49)</s:f>
        <s:v>124</s:v>
      </s:c>
      <s:c r="U50" s="104">
        <s:f>SUM(U25:U49)</s:f>
        <s:v>79</s:v>
      </s:c>
      <s:c r="V50" s="105"/>
      <s:c r="W50" s="105"/>
    </s:row>
    <s:row r="51">
      <s:c r="B51" s="131"/>
      <s:c r="C51" s="132"/>
      <s:c r="D51" s="133">
        <s:f>SUMIF(D25:D49,"",P25:P49)+D50</s:f>
        <s:v>717981</s:v>
      </s:c>
      <s:c r="E51" s="134"/>
      <s:c r="F51" s="132"/>
      <s:c r="G51" s="132"/>
      <s:c r="H51" s="135"/>
      <s:c r="I51" s="243"/>
      <s:c r="J51" s="135"/>
      <s:c r="L51" s="137"/>
      <s:c r="M51" s="134"/>
      <s:c r="N51" s="137"/>
      <s:c r="O51" s="137"/>
      <s:c r="P51" s="137"/>
      <s:c r="Q51" s="138"/>
    </s:row>
    <s:row r="52">
      <s:c r="D52" s="235"/>
    </s:row>
    <s:row r="54">
      <s:c r="D54" s="235"/>
    </s:row>
    <s:row r="55">
      <s:c r="D55" s="235"/>
    </s:row>
  </s:sheetData>
  <s:mergeCells count="28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B50:C50"/>
    <s:mergeCell ref="F18:H18"/>
    <s:mergeCell ref="F19:H19"/>
    <s:mergeCell ref="F20:H20"/>
    <s:mergeCell ref="B22:N22"/>
    <s:mergeCell ref="O22:O24"/>
  </s:mergeCells>
  <s:conditionalFormatting sqref="J16">
    <s:cfRule type="cellIs" dxfId="146" priority="220" operator="greaterThan">
      <s:formula>0</s:formula>
    </s:cfRule>
    <s:cfRule type="cellIs" dxfId="145" priority="222" operator="lessThan">
      <s:formula>0</s:formula>
    </s:cfRule>
  </s:conditionalFormatting>
  <s:conditionalFormatting sqref="J25:J43">
    <s:cfRule type="cellIs" dxfId="144" priority="10" operator="lessThan">
      <s:formula>$I$12</s:formula>
    </s:cfRule>
  </s:conditionalFormatting>
  <s:conditionalFormatting sqref="J25:J49">
    <s:cfRule type="cellIs" dxfId="143" priority="11" operator="greaterThan">
      <s:formula>$I$12</s:formula>
    </s:cfRule>
  </s:conditionalFormatting>
  <s:conditionalFormatting sqref="J44:J49">
    <s:cfRule type="cellIs" dxfId="142" priority="229" operator="lessThan">
      <s:formula>$I$12</s:formula>
    </s:cfRule>
  </s:conditionalFormatting>
  <s:conditionalFormatting sqref="K10:K12 K15">
    <s:cfRule type="cellIs" dxfId="141" priority="219" operator="greaterThan">
      <s:formula>1</s:formula>
    </s:cfRule>
    <s:cfRule type="cellIs" dxfId="140" priority="223" operator="lessThan">
      <s:formula>1</s:formula>
    </s:cfRule>
  </s:conditionalFormatting>
  <s:conditionalFormatting sqref="K13">
    <s:cfRule type="cellIs" dxfId="139" priority="215" operator="lessThan">
      <s:formula>$K$14</s:formula>
    </s:cfRule>
    <s:cfRule type="cellIs" dxfId="138" priority="216" operator="greaterThan">
      <s:formula>$K$14</s:formula>
    </s:cfRule>
  </s:conditionalFormatting>
  <s:conditionalFormatting sqref="M8:M15">
    <s:cfRule type="cellIs" dxfId="137" priority="217" operator="lessThan">
      <s:formula>1</s:formula>
    </s:cfRule>
    <s:cfRule type="cellIs" dxfId="136" priority="218" operator="greaterThan">
      <s:formula>1</s:formula>
    </s:cfRule>
  </s:conditionalFormatting>
  <s:conditionalFormatting sqref="N25:N43">
    <s:cfRule type="cellIs" dxfId="135" priority="7" operator="between">
      <s:formula>0.2</s:formula>
      <s:formula>0.25</s:formula>
    </s:cfRule>
  </s:conditionalFormatting>
  <s:conditionalFormatting sqref="N25:N49">
    <s:cfRule type="cellIs" dxfId="134" priority="8" operator="greaterThanOrEqual">
      <s:formula>0.25</s:formula>
    </s:cfRule>
    <s:cfRule type="cellIs" dxfId="133" priority="9" operator="lessThan">
      <s:formula>0.2</s:formula>
    </s:cfRule>
  </s:conditionalFormatting>
  <s:conditionalFormatting sqref="N44:N49">
    <s:cfRule type="cellIs" dxfId="132" priority="230" operator="between">
      <s:formula>0.2</s:formula>
      <s:formula>0.25</s:formula>
    </s:cfRule>
  </s:conditionalFormatting>
  <s:conditionalFormatting sqref="O25:O43">
    <s:cfRule type="cellIs" dxfId="131" priority="1" operator="between">
      <s:formula>0.9001</s:formula>
      <s:formula>0.9999</s:formula>
    </s:cfRule>
    <s:cfRule type="cellIs" dxfId="130" priority="2" operator="lessThan">
      <s:formula>0.9</s:formula>
    </s:cfRule>
    <s:cfRule type="cellIs" dxfId="129" priority="5" operator="between">
      <s:formula>0.85</s:formula>
      <s:formula>1</s:formula>
    </s:cfRule>
  </s:conditionalFormatting>
  <s:conditionalFormatting sqref="O25:O49">
    <s:cfRule type="cellIs" dxfId="128" priority="3" operator="greaterThan">
      <s:formula>1</s:formula>
    </s:cfRule>
    <s:cfRule type="cellIs" dxfId="127" priority="4" operator="greaterThan">
      <s:formula>100</s:formula>
    </s:cfRule>
    <s:cfRule type="cellIs" dxfId="126" priority="6" operator="between">
      <s:formula>0.01</s:formula>
      <s:formula>0.99</s:formula>
    </s:cfRule>
  </s:conditionalFormatting>
  <s:conditionalFormatting sqref="O44:O49">
    <s:cfRule type="cellIs" dxfId="125" priority="231" operator="between">
      <s:formula>0.85</s:formula>
      <s:formula>1</s:formula>
    </s:cfRule>
    <s:cfRule type="cellIs" dxfId="124" priority="232" operator="lessThan">
      <s:formula>0.9</s:formula>
    </s:cfRule>
    <s:cfRule type="cellIs" dxfId="123" priority="233" operator="between">
      <s:formula>0.9001</s:formula>
      <s:formula>0.9999</s:formula>
    </s:cfRule>
  </s:conditionalFormatting>
  <s:conditionalFormatting sqref="P10:Q10">
    <s:cfRule type="cellIs" dxfId="122" priority="221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500-000000000000}">
  <s:sheetPr>
    <s:pageSetUpPr fitToPage="1"/>
  </s:sheetPr>
  <s:dimension ref="A1:IU53"/>
  <s:sheetViews>
    <s:sheetView showZeros="0" tabSelected="0" topLeftCell="A3" workbookViewId="0">
      <s:pane xSplit="3" topLeftCell="D1" activePane="topRight" state="frozen"/>
      <s:selection activeCell="G33" sqref="G33"/>
      <s:selection pane="topRight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0">
        <s:f ca="1">TODAY()-1</s:f>
        <s:v>46171</s:v>
      </s:c>
      <s:c r="C1" s="670"/>
      <s:c r="D1" s="11"/>
      <s:c r="E1" s="11"/>
      <s:c r="F1" s="12"/>
      <s:c r="G1" s="12"/>
      <s:c r="H1" s="12"/>
      <s:c r="I1" s="12"/>
      <s:c r="J1" s="209"/>
      <s:c r="K1" s="209"/>
      <s:c r="L1" s="209"/>
      <s:c r="M1" s="209"/>
      <s:c r="N1" s="209"/>
      <s:c r="O1" s="209"/>
      <s:c r="P1" s="209"/>
      <s:c r="Q1" s="671"/>
      <s:c r="R1" s="671"/>
      <s:c r="S1" s="671"/>
      <s:c r="T1" s="671"/>
      <s:c r="U1" s="12"/>
      <s:c r="V1" s="12"/>
      <s:c r="W1" s="12"/>
    </s:row>
    <s:row r="2" spans="2:23" ht="21.75" customHeight="1">
      <s:c r="B2" s="672" t="s">
        <s:v>0</s:v>
      </s:c>
      <s:c r="C2" s="672"/>
      <s:c r="D2" s="11"/>
      <s:c r="E2" s="11"/>
      <s:c r="F2" s="12"/>
      <s:c r="G2" s="12"/>
      <s:c r="H2" s="12"/>
      <s:c r="I2" s="12"/>
      <s:c r="J2" s="673" t="s">
        <s:v>67</s:v>
      </s:c>
      <s:c r="K2" s="673"/>
      <s:c r="L2" s="673"/>
      <s:c r="M2" s="673"/>
      <s:c r="N2" s="673"/>
      <s:c r="O2" s="673"/>
      <s:c r="P2" s="673"/>
      <s:c r="Q2" s="671"/>
      <s:c r="R2" s="671"/>
      <s:c r="S2" s="671"/>
      <s:c r="T2" s="671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4" t="str">
        <s:f>График!B27</s:f>
        <s:v>Вафина Ляйсан</s:v>
      </s:c>
      <s:c r="K3" s="675"/>
      <s:c r="L3" s="675"/>
      <s:c r="M3" s="675"/>
      <s:c r="N3" s="676"/>
      <s:c r="O3" s="209"/>
      <s:c r="P3" s="210"/>
      <s:c r="Q3" s="671"/>
      <s:c r="R3" s="671"/>
      <s:c r="S3" s="671"/>
      <s:c r="T3" s="671"/>
      <s:c r="U3" s="12"/>
      <s:c r="V3" s="12"/>
      <s:c r="W3" s="12"/>
    </s:row>
    <s:row r="4" spans="2:23" ht="15" customHeight="1">
      <s:c r="B4" s="11"/>
      <s:c r="C4" s="680">
        <s:f>I8-D48</s:f>
        <s:v>713554.06717557251</s:v>
      </s:c>
      <s:c r="D4" s="681"/>
      <s:c r="E4" s="211">
        <s:f>IF(I8&lt;&gt;0,C4/I8,0)</s:f>
        <s:v>0.50212518573708342</s:v>
      </s:c>
      <s:c r="F4" s="12"/>
      <s:c r="G4" s="12"/>
      <s:c r="H4" s="12"/>
      <s:c r="I4" s="12"/>
      <s:c r="J4" s="677"/>
      <s:c r="K4" s="678"/>
      <s:c r="L4" s="678"/>
      <s:c r="M4" s="678"/>
      <s:c r="N4" s="679"/>
      <s:c r="O4" s="12"/>
      <s:c r="P4" s="12"/>
      <s:c r="Q4" s="671"/>
      <s:c r="R4" s="671"/>
      <s:c r="S4" s="671"/>
      <s:c r="T4" s="671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63"/>
      <s:c r="K5" s="663"/>
      <s:c r="L5" s="663"/>
      <s:c r="M5" s="663"/>
      <s:c r="N5" s="663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12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12"/>
      <s:c r="C7" s="12"/>
      <s:c r="D7" s="12"/>
      <s:c r="E7" s="12"/>
      <s:c r="F7" s="585" t="s">
        <s:v>3</s:v>
      </s:c>
      <s:c r="G7" s="586"/>
      <s:c r="H7" s="587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21"/>
      <s:c r="S7" s="21"/>
      <s:c r="T7" s="12"/>
      <s:c r="U7" s="12"/>
      <s:c r="V7" s="12"/>
      <s:c r="W7" s="12"/>
    </s:row>
    <s:row r="8" spans="2:23" ht="15.75" customHeight="1">
      <s:c r="B8" s="212"/>
      <s:c r="C8" s="12"/>
      <s:c r="D8" s="12"/>
      <s:c r="E8" s="12"/>
      <s:c r="F8" s="577" t="s">
        <s:v>12</s:v>
      </s:c>
      <s:c r="G8" s="578"/>
      <s:c r="H8" s="579"/>
      <s:c r="I8" s="213">
        <s:f>'Ялта, Ленина, 18'!I8/График!AJ31*График!AJ27</s:f>
        <s:v>1421068.0671755725</s:v>
      </s:c>
      <s:c r="J8" s="214">
        <s:f>D48</s:f>
        <s:v>707514</s:v>
      </s:c>
      <s:c r="K8" s="281">
        <s:f>IF(AND(I8&lt;&gt;"",I8&lt;&gt;0,J8&lt;&gt;""),J8/I8,"")</s:f>
        <s:v>0.49787481426291658</s:v>
      </s:c>
      <s:c r="L8" s="216">
        <s:f>IF(SUMIF($D$25:$D$47,"&gt;=0",$P$25:$P$47)&lt;&gt;0,I8*D48/SUMIF($D$25:$D$47,"&gt;=0",$P$25:$P$47),0)</s:f>
        <s:v>748082.46330275247</s:v>
      </s:c>
      <s:c r="M8" s="32">
        <s:f>IF(AND(I8&lt;&gt;"",I8&lt;&gt;0,L8&lt;&gt;"",L8&lt;&gt;0),L8/I8,"")</s:f>
        <s:v>0.52642268205322151</s:v>
      </s:c>
      <s:c r="N8" s="35">
        <s:f>IF(AND(J8&lt;&gt;0,J8&lt;&gt;"",I8&lt;&gt;0,I8&lt;&gt;""),L8-I8,"")</s:f>
        <s:v>-672985.60387282004</s:v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12"/>
      <s:c r="C9" s="12"/>
      <s:c r="D9" s="12"/>
      <s:c r="E9" s="12"/>
      <s:c r="F9" s="571" t="s">
        <s:v>13</s:v>
      </s:c>
      <s:c r="G9" s="572"/>
      <s:c r="H9" s="573"/>
      <s:c r="I9" s="38">
        <s:f>I8/I11</s:f>
        <s:v>273.28232061068701</s:v>
      </s:c>
      <s:c r="J9" s="39">
        <s:f>E48</s:f>
        <s:v>132</s:v>
      </s:c>
      <s:c r="K9" s="282">
        <s:f>IF(AND(I9&lt;&gt;"",I9&lt;&gt;0,J9&lt;&gt;""),J9/I9,"")</s:f>
        <s:v>0.48301697565004503</s:v>
      </s:c>
      <s:c r="L9" s="218">
        <s:f>IF(SUMIF($E$25:$E$47,"&gt;=0",$Q$25:$Q$47)&lt;&gt;0,I9*E48/SUMIF($E$25:$E$47,"&gt;=0",$Q$25:$Q$47),0)</s:f>
        <s:v>131.99999999999997</s:v>
      </s:c>
      <s:c r="M9" s="42">
        <s:f>IF(AND(I9&lt;&gt;"",I9&lt;&gt;0,L9&lt;&gt;"",L9&lt;&gt;0),L9/I9,"")</s:f>
        <s:v>0.48301697565004492</s:v>
      </s:c>
      <s:c r="N9" s="43">
        <s:f>IF(AND(J9&lt;&gt;0,J9&lt;&gt;"",I9&lt;&gt;0,I9&lt;&gt;""),L9-I9,"")</s:f>
        <s:v>-141.28232061068704</s:v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12"/>
      <s:c r="C10" s="12"/>
      <s:c r="D10" s="12"/>
      <s:c r="E10" s="12"/>
      <s:c r="F10" s="577" t="s">
        <s:v>14</s:v>
      </s:c>
      <s:c r="G10" s="578"/>
      <s:c r="H10" s="579"/>
      <s:c r="I10" s="50">
        <s:f>I11*I12</s:f>
        <s:v>10088</s:v>
      </s:c>
      <s:c r="J10" s="220">
        <s:f>H48</s:f>
        <s:v>10253.826086956522</s:v>
      </s:c>
      <s:c r="K10" s="283">
        <s:f>IF(AND(I10&lt;&gt;"",I10&lt;&gt;0,J10&lt;&gt;""),J10/I10,"")</s:f>
        <s:v>1.0164379546943421</s:v>
      </s:c>
      <s:c r="L10" s="218">
        <s:f>J10</s:f>
        <s:v>10253.826086956522</s:v>
      </s:c>
      <s:c r="M10" s="48">
        <s:f>IF(AND(I10&lt;&gt;"",I10&lt;&gt;0,L10&lt;&gt;"",L10&lt;&gt;0),L10/I10,"")</s:f>
        <s:v>1.0164379546943421</s:v>
      </s:c>
      <s:c r="N10" s="49">
        <s:f>IF(AND(J10&lt;&gt;0,J10&lt;&gt;"",I10&lt;&gt;0,I10&lt;&gt;""),L10-I10,"")</s:f>
        <s:v>165.82608695652198</s:v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576" t="s">
        <s:v>15</s:v>
      </s:c>
      <s:c r="T10" s="576"/>
      <s:c r="U10" s="12"/>
      <s:c r="V10" s="12"/>
      <s:c r="W10" s="12"/>
    </s:row>
    <s:row r="11" spans="2:23" ht="15.75" customHeight="1">
      <s:c r="B11" s="212"/>
      <s:c r="C11" s="12"/>
      <s:c r="D11" s="12"/>
      <s:c r="E11" s="12"/>
      <s:c r="F11" s="571" t="s">
        <s:v>16</s:v>
      </s:c>
      <s:c r="G11" s="572"/>
      <s:c r="H11" s="573"/>
      <s:c r="I11" s="52">
        <s:f>'Ялта, Ленина, 18'!I11</s:f>
        <s:v>5200</s:v>
      </s:c>
      <s:c r="J11" s="39">
        <s:f>F48</s:f>
        <s:v>5359.954545454545</s:v>
      </s:c>
      <s:c r="K11" s="284">
        <s:f>IF(AND(I11&lt;&gt;"",I11&lt;&gt;0,J11&lt;&gt;""),J11/I11,"")</s:f>
        <s:v>1.0307604895104894</s:v>
      </s:c>
      <s:c r="L11" s="218">
        <s:f>IF(L9&gt;0,L8/L9,"")</s:f>
        <s:v>5667.2913886572169</s:v>
      </s:c>
      <s:c r="M11" s="42">
        <s:f>IF(AND(I11&lt;&gt;"",I11&lt;&gt;0,L11&lt;&gt;"",L11&lt;&gt;0),L11/I11,"")</s:f>
        <s:v>1.0898637285879262</s:v>
      </s:c>
      <s:c r="N11" s="43">
        <s:f>IF(AND(J11&lt;&gt;0,J11&lt;&gt;"",I11&lt;&gt;0,I11&lt;&gt;""),L11-I11,"")</s:f>
        <s:v>467.29138865721688</s:v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576"/>
      <s:c r="T11" s="576"/>
      <s:c r="U11" s="12"/>
      <s:c r="V11" s="12"/>
      <s:c r="W11" s="12"/>
    </s:row>
    <s:row r="12" spans="2:23" ht="15.75" customHeight="1">
      <s:c r="B12" s="212"/>
      <s:c r="C12" s="12"/>
      <s:c r="D12" s="12"/>
      <s:c r="E12" s="12"/>
      <s:c r="F12" s="571" t="s">
        <s:v>17</s:v>
      </s:c>
      <s:c r="G12" s="572"/>
      <s:c r="H12" s="573"/>
      <s:c r="I12" s="54">
        <s:f>'Ялта, Ленина, 18'!I12</s:f>
        <s:v>1.94</s:v>
      </s:c>
      <s:c r="J12" s="55">
        <s:f>J48</s:f>
        <s:v>1.9130434782608696</s:v>
      </s:c>
      <s:c r="K12" s="284">
        <s:f>IF(AND(I12&lt;&gt;"",I12&lt;&gt;0,J12&lt;&gt;""),J12/I12,"")</s:f>
        <s:v>0.98610488570147925</s:v>
      </s:c>
      <s:c r="L12" s="224">
        <s:f>J12</s:f>
        <s:v>1.9130434782608696</s:v>
      </s:c>
      <s:c r="M12" s="42">
        <s:f>IF(AND(I12&lt;&gt;"",I12&lt;&gt;0,L12&lt;&gt;"",L12&lt;&gt;0),L12/I12,"")</s:f>
        <s:v>0.98610488570147925</s:v>
      </s:c>
      <s:c r="N12" s="57">
        <s:f>IF(AND(J12&lt;&gt;0,J12&lt;&gt;"",I12&lt;&gt;0,I12&lt;&gt;""),L12-I12,"")</s:f>
        <s:v>-2.6956521739130324E-2</s:v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18'!S12*График!AJ27/График!AJ31</s:f>
        <s:v>201577.60814249364</s:v>
      </s:c>
      <s:c r="T12" s="60">
        <s:f>L48</s:f>
        <s:v>153471</s:v>
      </s:c>
      <s:c r="U12" s="12"/>
      <s:c r="V12" s="12"/>
      <s:c r="W12" s="12"/>
    </s:row>
    <s:row r="13" spans="2:23" ht="15.75" customHeight="1">
      <s:c r="B13" s="212"/>
      <s:c r="C13" s="12"/>
      <s:c r="D13" s="12"/>
      <s:c r="E13" s="12"/>
      <s:c r="F13" s="571" t="s">
        <s:v>18</s:v>
      </s:c>
      <s:c r="G13" s="572"/>
      <s:c r="H13" s="573"/>
      <s:c r="I13" s="38">
        <s:f>IF(I12&lt;&gt;0,I9/I12,"")</s:f>
        <s:v>140.86717557251907</s:v>
      </s:c>
      <s:c r="J13" s="39">
        <s:f>G48</s:f>
        <s:v>69</s:v>
      </s:c>
      <s:c r="K13" s="282">
        <s:f>IF(AND(I13&lt;&gt;"",I13&lt;&gt;0,J13&lt;&gt;""),J13/I13,"")</s:f>
        <s:v>0.48982312394329564</s:v>
      </s:c>
      <s:c r="L13" s="218">
        <s:f>IF(SUMIF($G$25:$G$47,"&gt;=0",$R$25:$R$47)&lt;&gt;0,I13*G48/SUMIF($G$25:$G$47,"&gt;=0",$R$25:$R$47),"")</s:f>
        <s:v>68.999999999999986</s:v>
      </s:c>
      <s:c r="M13" s="42">
        <s:f>IF(AND(I13&lt;&gt;"",I13&lt;&gt;0,L13&lt;&gt;"",L13&lt;&gt;0),L13/I13,"")</s:f>
        <s:v>0.48982312394329558</s:v>
      </s:c>
      <s:c r="N13" s="57">
        <s:f>IF(AND(J13&lt;&gt;0,J13&lt;&gt;"",I13&lt;&gt;0,I13&lt;&gt;""),L13-I13,"")</s:f>
        <s:v>-71.867175572519088</s:v>
      </s:c>
      <s:c r="O13" s="61"/>
      <s:c r="P13" s="43" t="str">
        <s:f>IF(AND(O13&lt;&gt;"",O13&lt;&gt;0,L13&lt;&gt;"",L13&lt;&gt;0),-O13+L13,"")</s:f>
        <s:v/>
      </s:c>
      <s:c r="Q13" s="45" t="str">
        <s:f>IF(AND(P13&lt;&gt;"",P13&lt;&gt;0,O13&lt;&gt;0,O13&lt;&gt;""),P13/O13,"")</s:f>
        <s:v/>
      </s:c>
      <s:c r="R13" s="21"/>
      <s:c r="S13" s="62">
        <s:f>T12/S12</s:f>
        <s:v>0.76134944458470077</s:v>
      </s:c>
      <s:c r="T13" s="62">
        <s:f>S13/J14*I14</s:f>
        <s:v>0.76134944458470077</s:v>
      </s:c>
      <s:c r="U13" s="12"/>
      <s:c r="V13" s="12"/>
      <s:c r="W13" s="12"/>
    </s:row>
    <s:row r="14" spans="2:23" ht="15.75" customHeight="1">
      <s:c r="B14" s="212"/>
      <s:c r="C14" s="12"/>
      <s:c r="D14" s="225"/>
      <s:c r="E14" s="12"/>
      <s:c r="F14" s="571" t="s">
        <s:v>64</s:v>
      </s:c>
      <s:c r="G14" s="572"/>
      <s:c r="H14" s="573"/>
      <s:c r="I14" s="52">
        <s:f>График!AI27</s:f>
        <s:v>19</s:v>
      </s:c>
      <s:c r="J14" s="64">
        <s:v>19</s:v>
      </s:c>
      <s:c r="K14" s="282">
        <s:f>IF(AND(I14&lt;&gt;"",I14&lt;&gt;0,J14&lt;&gt;""),J14/I14,"")</s:f>
        <s:v>1</s:v>
      </s:c>
      <s:c r="L14" s="41">
        <s:f>I14</s:f>
        <s:v>19</s:v>
      </s:c>
      <s:c r="M14" s="42">
        <s:f>IF(AND(I14&lt;&gt;"",I14&lt;&gt;0,L14&lt;&gt;"",L14&lt;&gt;0),L14/I14,"")</s:f>
        <s:v>1</s:v>
      </s:c>
      <s:c r="N14" s="43">
        <s:f>IF(AND(J14&lt;&gt;0,J14&lt;&gt;"",I14&lt;&gt;0,I14&lt;&gt;""),L14-I14,"")</s:f>
        <s:v>0</s:v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12"/>
      <s:c r="C15" s="12"/>
      <s:c r="D15" s="12"/>
      <s:c r="E15" s="12"/>
      <s:c r="F15" s="571" t="s">
        <s:v>20</s:v>
      </s:c>
      <s:c r="G15" s="572"/>
      <s:c r="H15" s="573"/>
      <s:c r="I15" s="75">
        <s:f>'Ялта, Ленина, 18'!I15</s:f>
        <s:v>154639.27741935482</s:v>
      </s:c>
      <s:c r="J15" s="67">
        <s:f>J8/J14</s:f>
        <s:v>37237.57894736842</s:v>
      </s:c>
      <s:c r="K15" s="77">
        <s:f>IF(AND(I15&lt;&gt;"",I15&lt;&gt;0,J15&lt;&gt;""),J15/I15,"")</s:f>
        <s:v>0.24080285144107719</s:v>
      </s:c>
      <s:c r="L15" s="72">
        <s:f>J15</s:f>
        <s:v>37237.57894736842</s:v>
      </s:c>
      <s:c r="M15" s="70">
        <s:f>IF(AND(I15&lt;&gt;"",I15&lt;&gt;0,L15&lt;&gt;"",L15&lt;&gt;0),L15/I15,"")</s:f>
        <s:v>0.24080285144107719</s:v>
      </s:c>
      <s:c r="N15" s="43">
        <s:f>IF(AND(J15&lt;&gt;0,J15&lt;&gt;"",I15&lt;&gt;0,I15&lt;&gt;""),L15-I15,"")</s:f>
        <s:v>-117401.6984719864</s:v>
      </s:c>
      <s:c r="O15" s="71"/>
      <s:c r="P15" s="43" t="str">
        <s:f>IF(AND(O15&lt;&gt;"",O15&lt;&gt;0,L15&lt;&gt;"",L15&lt;&gt;0),-O15+L15,"")</s:f>
        <s:v/>
      </s:c>
      <s:c r="Q15" s="45" t="str">
        <s:f>IF(AND(P15&lt;&gt;"",P15&lt;&gt;0,O15&lt;&gt;0,O15&lt;&gt;""),P15/O15,"")</s:f>
        <s:v/>
      </s:c>
      <s:c r="R15" s="21"/>
      <s:c r="S15" s="37"/>
      <s:c r="T15" s="6"/>
      <s:c r="U15" s="12"/>
      <s:c r="V15" s="12"/>
      <s:c r="W15" s="12"/>
    </s:row>
    <s:row r="16" spans="2:23" ht="15.75" customHeight="1">
      <s:c r="B16" s="212"/>
      <s:c r="C16" s="12"/>
      <s:c r="D16" s="12"/>
      <s:c r="E16" s="12"/>
      <s:c r="F16" s="571" t="s">
        <s:v>21</s:v>
      </s:c>
      <s:c r="G16" s="572"/>
      <s:c r="H16" s="573"/>
      <s:c r="I16" s="75"/>
      <s:c r="J16" s="67">
        <s:f>J8-I15*J14</s:f>
        <s:v>-2230632.2709677415</s:v>
      </s:c>
      <s:c r="K16" s="77" t="str">
        <s:f>IF(AND(I16&lt;&gt;"",I16&lt;&gt;0,J16&lt;&gt;""),J16/I16,"")</s:f>
        <s:v/>
      </s:c>
      <s:c r="L16" s="72">
        <s:f>J16</s:f>
        <s:v>-2230632.2709677415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576" t="s">
        <s:v>22</s:v>
      </s:c>
      <s:c r="T16" s="576"/>
      <s:c r="U16" s="12"/>
      <s:c r="V16" s="12"/>
      <s:c r="W16" s="12"/>
    </s:row>
    <s:row r="17" spans="1:30" ht="15.75" customHeight="1">
      <s:c r="B17" s="212"/>
      <s:c r="C17" s="12"/>
      <s:c r="D17" s="12"/>
      <s:c r="E17" s="12"/>
      <s:c r="F17" s="571" t="s">
        <s:v>23</s:v>
      </s:c>
      <s:c r="G17" s="572"/>
      <s:c r="H17" s="573"/>
      <s:c r="I17" s="75">
        <s:f>'Ялта, Ленина, 18'!I17/График!AJ31*График!AJ27</s:f>
        <s:v>640.30534351145036</s:v>
      </s:c>
      <s:c r="J17" s="67">
        <s:f>I48</s:f>
        <s:v>313</s:v>
      </s:c>
      <s:c r="K17" s="77">
        <s:f>IF(AND(I17&lt;&gt;"",I17&lt;&gt;0,J17&lt;&gt;""),J17/I17,"")</s:f>
        <s:v>0.48882927992370057</s:v>
      </s:c>
      <s:c r="L17" s="78">
        <s:f>J17/J14*I14</s:f>
        <s:v>313</s:v>
      </s:c>
      <s:c r="M17" s="73">
        <s:f>IF(AND(I17&lt;&gt;"",I17&lt;&gt;0,L17&lt;&gt;"",L17&lt;&gt;0),L17/I17,"")</s:f>
        <s:v>0.48882927992370057</s:v>
      </s:c>
      <s:c r="N17" s="43">
        <s:f>IF(AND(J17&lt;&gt;0,J17&lt;&gt;"",I17&lt;&gt;0,I17&lt;&gt;""),L17-I17,"")</s:f>
        <s:v>-327.30534351145036</s:v>
      </s:c>
      <s:c r="O17" s="71"/>
      <s:c r="P17" s="43" t="str">
        <s:f>IF(AND(O17&lt;&gt;"",O17&lt;&gt;0,L17&lt;&gt;"",L17&lt;&gt;0),-O17+L17,"")</s:f>
        <s:v/>
      </s:c>
      <s:c r="Q17" s="45" t="str">
        <s:f>IF(AND(P17&lt;&gt;"",P17&lt;&gt;0,O17&lt;&gt;0,O17&lt;&gt;""),P17/O17,"")</s:f>
        <s:v/>
      </s:c>
      <s:c r="R17" s="21"/>
      <s:c r="S17" s="576"/>
      <s:c r="T17" s="576"/>
      <s:c r="U17" s="12"/>
      <s:c r="V17" s="12"/>
      <s:c r="W17" s="12"/>
    </s:row>
    <s:row r="18" spans="1:30" ht="15.75" customHeight="1">
      <s:c r="B18" s="212"/>
      <s:c r="C18" s="12"/>
      <s:c r="D18" s="12"/>
      <s:c r="E18" s="12"/>
      <s:c r="F18" s="571"/>
      <s:c r="G18" s="572"/>
      <s:c r="H18" s="573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18'!S18*График!AJ27/График!AJ31</s:f>
        <s:v>142290.07633587785</s:v>
      </s:c>
      <s:c r="T18" s="60">
        <s:f>K48</s:f>
        <s:v>121439</s:v>
      </s:c>
      <s:c r="U18" s="12"/>
      <s:c r="V18" s="12"/>
      <s:c r="W18" s="12"/>
    </s:row>
    <s:row r="19" spans="1:30" ht="15.75" customHeight="1">
      <s:c r="B19" s="212"/>
      <s:c r="C19" s="12"/>
      <s:c r="D19" s="12"/>
      <s:c r="E19" s="12"/>
      <s:c r="F19" s="571"/>
      <s:c r="G19" s="572"/>
      <s:c r="H19" s="573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>
        <s:f>T18/S18</s:f>
        <s:v>0.85346078326180264</s:v>
      </s:c>
      <s:c r="T19" s="62">
        <s:f>S19/J14*I14</s:f>
        <s:v>0.85346078326180252</s:v>
      </s:c>
      <s:c r="U19" s="12"/>
      <s:c r="V19" s="12"/>
      <s:c r="W19" s="12"/>
    </s:row>
    <s:row r="20" spans="1:30" ht="15.75" customHeight="1">
      <s:c r="B20" s="212"/>
      <s:c r="C20" s="12"/>
      <s:c r="D20" s="12"/>
      <s:c r="E20" s="12"/>
      <s:c r="F20" s="574" t="s">
        <s:v>24</s:v>
      </s:c>
      <s:c r="G20" s="574"/>
      <s:c r="H20" s="574"/>
      <s:c r="I20" s="228">
        <s:f>'Ялта, Ленина, 18'!I20</s:f>
        <s:v>0.22</s:v>
      </s:c>
      <s:c r="J20" s="229">
        <s:f>N48</s:f>
        <s:v>0.22044728434504793</s:v>
      </s:c>
      <s:c r="K20" s="229">
        <s:f>J20/I20</s:f>
        <s:v>1.0020331106593088</s:v>
      </s:c>
      <s:c r="L20" s="231">
        <s:f>IF(AND(K8&lt;&gt;0,I14&lt;&gt;0,I48&lt;&gt;0),(I48*N48+(I48/K8-I48)*I20)/(I48/K8),0)</s:f>
        <s:v>0.22022269161021346</s:v>
      </s:c>
      <s:c r="M20" s="83">
        <s:f>IF(AND(I20&lt;&gt;"",I20&lt;&gt;0,L20&lt;&gt;"",L20&lt;&gt;0),L20/I20,"")</s:f>
        <s:v>1.0010122345918793</s:v>
      </s:c>
      <s:c r="N20" s="84">
        <s:f>IF(AND(J20&lt;&gt;0,J20&lt;&gt;"",I20&lt;&gt;0,I20&lt;&gt;""),L20-I20,"")</s:f>
        <s:v>2.2269161021346018E-4</s:v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30" ht="15.75" customHeight="1">
      <s:c r="B21" s="21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30" ht="16.5" customHeight="1">
      <s:c r="B22" s="661" t="s">
        <s:v>25</s:v>
      </s:c>
      <s:c r="C22" s="661"/>
      <s:c r="D22" s="661"/>
      <s:c r="E22" s="661"/>
      <s:c r="F22" s="661"/>
      <s:c r="G22" s="661"/>
      <s:c r="H22" s="661"/>
      <s:c r="I22" s="661"/>
      <s:c r="J22" s="661"/>
      <s:c r="K22" s="661"/>
      <s:c r="L22" s="661"/>
      <s:c r="M22" s="661"/>
      <s:c r="N22" s="661"/>
      <s:c r="O22" s="662" t="s">
        <s:v>26</s:v>
      </s:c>
      <s:c r="P22" s="661" t="s">
        <s:v>27</s:v>
      </s:c>
      <s:c r="Q22" s="661"/>
      <s:c r="R22" s="661"/>
      <s:c r="S22" s="661"/>
      <s:c r="T22" s="661"/>
      <s:c r="U22" s="661"/>
      <s:c r="V22" s="661"/>
      <s:c r="W22" s="661"/>
    </s:row>
    <s:row r="23" ht="36">
      <s:c r="B23" s="232" t="s">
        <s:v>29</s:v>
      </s:c>
      <s:c r="C23" s="232" t="s">
        <s:v>30</s:v>
      </s:c>
      <s:c r="D23" s="232" t="s">
        <s:v>31</s:v>
      </s:c>
      <s:c r="E23" s="232" t="s">
        <s:v>32</s:v>
      </s:c>
      <s:c r="F23" s="232" t="s">
        <s:v>33</s:v>
      </s:c>
      <s:c r="G23" s="232" t="s">
        <s:v>34</s:v>
      </s:c>
      <s:c r="H23" s="232" t="s">
        <s:v>35</s:v>
      </s:c>
      <s:c r="I23" s="232" t="s">
        <s:v>23</s:v>
      </s:c>
      <s:c r="J23" s="232" t="s">
        <s:v>36</s:v>
      </s:c>
      <s:c r="K23" s="90" t="s">
        <s:v>22</s:v>
      </s:c>
      <s:c r="L23" s="90" t="s">
        <s:v>15</s:v>
      </s:c>
      <s:c r="M23" s="233" t="s">
        <s:v>37</s:v>
      </s:c>
      <s:c r="N23" s="232" t="s">
        <s:v>38</s:v>
      </s:c>
      <s:c r="O23" s="662"/>
      <s:c r="P23" s="232" t="s">
        <s:v>39</s:v>
      </s:c>
      <s:c r="Q23" s="232" t="s">
        <s:v>40</s:v>
      </s:c>
      <s:c r="R23" s="232" t="s">
        <s:v>41</s:v>
      </s:c>
      <s:c r="S23" s="232" t="s">
        <s:v>42</s:v>
      </s:c>
      <s:c r="T23" s="232" t="s">
        <s:v>43</s:v>
      </s:c>
      <s:c r="U23" s="232" t="s">
        <s:v>44</s:v>
      </s:c>
      <s:c r="V23" s="234" t="s">
        <s:v>45</s:v>
      </s:c>
      <s:c r="W23" s="234" t="s">
        <s:v>46</s:v>
      </s:c>
      <s:c r="X23" s="235"/>
    </s:row>
    <s:row r="24">
      <s:c r="B24" s="236">
        <s:v>1</s:v>
      </s:c>
      <s:c r="C24" s="237">
        <s:v>2</s:v>
      </s:c>
      <s:c r="D24" s="236">
        <s:v>3</s:v>
      </s:c>
      <s:c r="E24" s="236">
        <s:v>4</s:v>
      </s:c>
      <s:c r="F24" s="236">
        <s:v>5</s:v>
      </s:c>
      <s:c r="G24" s="236">
        <s:v>6</s:v>
      </s:c>
      <s:c r="H24" s="236">
        <s:v>7</s:v>
      </s:c>
      <s:c r="I24" s="236">
        <s:v>8</s:v>
      </s:c>
      <s:c r="J24" s="236">
        <s:v>9</s:v>
      </s:c>
      <s:c r="K24" s="236">
        <s:v>10</s:v>
      </s:c>
      <s:c r="L24" s="236">
        <s:v>11</s:v>
      </s:c>
      <s:c r="M24" s="236">
        <s:v>12</s:v>
      </s:c>
      <s:c r="N24" s="236">
        <s:v>13</s:v>
      </s:c>
      <s:c r="O24" s="662"/>
      <s:c r="P24" s="238">
        <s:v>1</s:v>
      </s:c>
      <s:c r="Q24" s="238">
        <s:v>2</s:v>
      </s:c>
      <s:c r="R24" s="238">
        <s:v>3</s:v>
      </s:c>
      <s:c r="S24" s="238">
        <s:v>4</s:v>
      </s:c>
      <s:c r="T24" s="238">
        <s:v>5</s:v>
      </s:c>
      <s:c r="U24" s="238">
        <s:v>6</s:v>
      </s:c>
      <s:c r="V24" s="238">
        <s:v>10</s:v>
      </s:c>
      <s:c r="W24" s="238">
        <s:v>11</s:v>
      </s:c>
    </s:row>
    <s:row r="25">
      <s:c r="A25" s="113">
        <s:v>1</s:v>
      </s:c>
      <s:c r="B25" s="114">
        <s:v>45780</s:v>
      </s:c>
      <s:c r="C25" s="115" t="s">
        <s:v>51</s:v>
      </s:c>
      <s:c r="D25" s="116">
        <s:f>36723+L25</s:f>
        <s:v>41226</s:v>
      </s:c>
      <s:c r="E25" s="117">
        <s:v>9</s:v>
      </s:c>
      <s:c r="F25" s="117">
        <s:f>IF(AND(E25&lt;&gt;"",E25&lt;&gt;0),D25/E25,"")</s:f>
        <s:v>4580.666666666667</s:v>
      </s:c>
      <s:c r="G25" s="117">
        <s:v>4</s:v>
      </s:c>
      <s:c r="H25" s="117">
        <s:f>IF(AND(G25&lt;&gt;"",G25&lt;&gt;0),D25/G25,"")</s:f>
        <s:v>10306.5</s:v>
      </s:c>
      <s:c r="I25" s="117">
        <s:v>23</s:v>
      </s:c>
      <s:c r="J25" s="116">
        <s:f>IF(AND(G25&lt;&gt;"",G25&lt;&gt;0),E25/G25,"")</s:f>
        <s:v>2.25</s:v>
      </s:c>
      <s:c r="K25" s="117">
        <s:v>10492</s:v>
      </s:c>
      <s:c r="L25" s="117">
        <s:v>4503</s:v>
      </s:c>
      <s:c r="M25" s="117"/>
      <s:c r="N25" s="118">
        <s:f>IF(AND(I25&lt;&gt;"",I25&lt;&gt;0),G25/I25,"")</s:f>
        <s:v>0.17391304347826086</s:v>
      </s:c>
      <s:c r="O25" s="119">
        <s:f>D25/P25</s:f>
        <s:v>0.37149651415543961</s:v>
      </s:c>
      <s:c r="P25" s="120">
        <s:f>$I$8*V25*W25/SUMPRODUCT($W$25:$W$55,$V$25:$V$55)</s:f>
        <s:v>110972.7774800881</s:v>
      </s:c>
      <s:c r="Q25" s="121">
        <s:f>$I$9*V25*W25/SUMPRODUCT($W$25:$W$55,$V$25:$V$55)</s:f>
        <s:v>21.340918746170786</s:v>
      </s:c>
      <s:c r="R25" s="121">
        <s:f>IF($I$12="","",Q25/$I$12)</s:f>
        <s:v>11.000473580500405</s:v>
      </s:c>
      <s:c r="S25" s="120">
        <s:f>IF(W25&lt;&gt;"",IF(D25&lt;&gt;"",D25,($I$8-SUM($S24:S$25))*V25*W25/SUMPRODUCT($W25:$W$55,$V25:$V$55)),"")</s:f>
        <s:v>41226</s:v>
      </s:c>
      <s:c r="T25" s="121">
        <s:f>IF(W25&lt;&gt;"",IF(E25&lt;&gt;"",E25,($I$9-SUM($T24:T$25))*V25*W25/SUMPRODUCT($W25:$W$55,$V25:$V$55)),"")</s:f>
        <s:v>9</s:v>
      </s:c>
      <s:c r="U25" s="121">
        <s:f>IF(W25&lt;&gt;"",IF($I$12&lt;&gt;"",IF(G25&lt;&gt;"",G25,($I$9/$I$12-SUM($U24:U$25))*V25*W25/SUMPRODUCT($W25:$W$55,$V25:$V$55)),""),"")</s:f>
        <s:v>4</s:v>
      </s:c>
      <s:c r="V25" s="122">
        <s:v>1.2</s:v>
      </s:c>
      <s:c r="W25" s="122">
        <s:v>1.2</s:v>
      </s:c>
      <s:c r="X25" s="123"/>
      <s:c r="Y25" s="124"/>
      <s:c r="Z25" s="2"/>
      <s:c r="AA25" s="2"/>
      <s:c r="AB25" s="2"/>
      <s:c r="AC25" s="2"/>
      <s:c r="AD25" s="2"/>
    </s:row>
    <s:row r="26">
      <s:c r="A26" s="113">
        <s:v>2</s:v>
      </s:c>
      <s:c r="B26" s="114">
        <s:v>45781</s:v>
      </s:c>
      <s:c r="C26" s="115" t="s">
        <s:v>53</s:v>
      </s:c>
      <s:c r="D26" s="116">
        <s:v>45522</s:v>
      </s:c>
      <s:c r="E26" s="117">
        <s:v>9</s:v>
      </s:c>
      <s:c r="F26" s="117">
        <s:f>IF(AND(E26&lt;&gt;"",E26&lt;&gt;0),D26/E26,"")</s:f>
        <s:v>5058</s:v>
      </s:c>
      <s:c r="G26" s="117">
        <s:v>3</s:v>
      </s:c>
      <s:c r="H26" s="117">
        <s:f>IF(AND(G26&lt;&gt;"",G26&lt;&gt;0),D26/G26,"")</s:f>
        <s:v>15174</s:v>
      </s:c>
      <s:c r="I26" s="117">
        <s:v>20</s:v>
      </s:c>
      <s:c r="J26" s="116">
        <s:f>IF(AND(G26&lt;&gt;"",G26&lt;&gt;0),E26/G26,"")</s:f>
        <s:v>3</s:v>
      </s:c>
      <s:c r="K26" s="117">
        <s:v>12992</s:v>
      </s:c>
      <s:c r="L26" s="117"/>
      <s:c r="M26" s="117"/>
      <s:c r="N26" s="118">
        <s:f>IF(AND(I26&lt;&gt;"",I26&lt;&gt;0),G26/I26,"")</s:f>
        <s:v>0.15</s:v>
      </s:c>
      <s:c r="O26" s="119">
        <s:f>D26/P26</s:f>
        <s:v>0.59070054375958969</s:v>
      </s:c>
      <s:c r="P26" s="120">
        <s:f>$I$8*V26*W26/SUMPRODUCT($W$25:$W$55,$V$25:$V$55)</s:f>
        <s:v>77064.428805616742</s:v>
      </s:c>
      <s:c r="Q26" s="121">
        <s:f>$I$9*V26*W26/SUMPRODUCT($W$25:$W$55,$V$25:$V$55)</s:f>
        <s:v>14.820082462618602</s:v>
      </s:c>
      <s:c r="R26" s="121">
        <s:f>IF($I$12="","",Q26/$I$12)</s:f>
        <s:v>7.6392177642363928</s:v>
      </s:c>
      <s:c r="S26" s="120">
        <s:f>IF(W26&lt;&gt;"",IF(D26&lt;&gt;"",D26,($I$8-SUM($S25:S$25))*V26*W26/SUMPRODUCT($W26:$W$55,$V26:$V$55)),"")</s:f>
        <s:v>45522</s:v>
      </s:c>
      <s:c r="T26" s="121">
        <s:f>IF(W26&lt;&gt;"",IF(E26&lt;&gt;"",E26,($I$9-SUM($T25:T$25))*V26*W26/SUMPRODUCT($W26:$W$55,$V26:$V$55)),"")</s:f>
        <s:v>9</s:v>
      </s:c>
      <s:c r="U26" s="121">
        <s:f>IF(W26&lt;&gt;"",IF($I$12&lt;&gt;"",IF(G26&lt;&gt;"",G26,($I$9/$I$12-SUM($U25:U$25))*V26*W26/SUMPRODUCT($W26:$W$55,$V26:$V$55)),""),"")</s:f>
        <s:v>3</s:v>
      </s:c>
      <s:c r="V26" s="122">
        <s:v>1</s:v>
      </s:c>
      <s:c r="W26" s="122">
        <s:v>1</s:v>
      </s:c>
      <s:c r="X26" s="123"/>
      <s:c r="Y26" s="124"/>
      <s:c r="Z26" s="2"/>
      <s:c r="AA26" s="2"/>
      <s:c r="AB26" s="2"/>
      <s:c r="AC26" s="2"/>
      <s:c r="AD26" s="2"/>
    </s:row>
    <s:row r="27">
      <s:c r="A27" s="113">
        <s:v>3</s:v>
      </s:c>
      <s:c r="B27" s="114">
        <s:v>45782</s:v>
      </s:c>
      <s:c r="C27" s="115" t="s">
        <s:v>54</s:v>
      </s:c>
      <s:c r="D27" s="116">
        <s:f>58379+10403</s:f>
        <s:v>68782</s:v>
      </s:c>
      <s:c r="E27" s="117">
        <s:v>15</s:v>
      </s:c>
      <s:c r="F27" s="117">
        <s:v>4585</s:v>
      </s:c>
      <s:c r="G27" s="117">
        <s:v>6</s:v>
      </s:c>
      <s:c r="H27" s="117">
        <s:f>IF(AND(G27&lt;&gt;"",G27&lt;&gt;0),D27/G27,"")</s:f>
        <s:v>11463.666666666666</s:v>
      </s:c>
      <s:c r="I27" s="117">
        <s:v>35</s:v>
      </s:c>
      <s:c r="J27" s="116">
        <s:f>IF(AND(G27&lt;&gt;"",G27&lt;&gt;0),E27/G27,"")</s:f>
        <s:v>2.5</s:v>
      </s:c>
      <s:c r="K27" s="117"/>
      <s:c r="L27" s="117">
        <s:v>10403</s:v>
      </s:c>
      <s:c r="M27" s="117"/>
      <s:c r="N27" s="118">
        <s:f>IF(AND(I27&lt;&gt;"",I27&lt;&gt;0),G27/I27,"")</s:f>
        <s:v>0.17142857142857143</s:v>
      </s:c>
      <s:c r="O27" s="119">
        <s:f>D27/P27</s:f>
        <s:v>0.89252591715812357</s:v>
      </s:c>
      <s:c r="P27" s="120">
        <s:f>$I$8*V27*W27/SUMPRODUCT($W$25:$W$55,$V$25:$V$55)</s:f>
        <s:v>77064.428805616742</s:v>
      </s:c>
      <s:c r="Q27" s="121">
        <s:f>$I$9*V27*W27/SUMPRODUCT($W$25:$W$55,$V$25:$V$55)</s:f>
        <s:v>14.820082462618602</s:v>
      </s:c>
      <s:c r="R27" s="121">
        <s:f>IF($I$12="","",Q27/$I$12)</s:f>
        <s:v>7.6392177642363928</s:v>
      </s:c>
      <s:c r="S27" s="120">
        <s:f>IF(W27&lt;&gt;"",IF(D27&lt;&gt;"",D27,($I$8-SUM($S$25:S26))*V27*W27/SUMPRODUCT($W27:$W$55,$V27:$V$55)),"")</s:f>
        <s:v>68782</s:v>
      </s:c>
      <s:c r="T27" s="121">
        <s:f>IF(W27&lt;&gt;"",IF(E27&lt;&gt;"",E27,($I$9-SUM($T$25:T26))*V27*W27/SUMPRODUCT($W27:$W$55,$V27:$V$55)),"")</s:f>
        <s:v>15</s:v>
      </s:c>
      <s:c r="U27" s="121">
        <s:f>IF(W27&lt;&gt;"",IF($I$12&lt;&gt;"",IF(G27&lt;&gt;"",G27,($I$9/$I$12-SUM($U$25:U26))*V27*W27/SUMPRODUCT($W27:$W$55,$V27:$V$55)),""),"")</s:f>
        <s:v>6</s:v>
      </s:c>
      <s:c r="V27" s="122">
        <s:v>1</s:v>
      </s:c>
      <s:c r="W27" s="122">
        <s:v>1</s:v>
      </s:c>
      <s:c r="X27" s="123"/>
      <s:c r="Y27" s="124"/>
      <s:c r="Z27" s="125"/>
      <s:c r="AA27" s="2"/>
      <s:c r="AB27" s="2"/>
      <s:c r="AC27" s="2"/>
      <s:c r="AD27" s="2"/>
    </s:row>
    <s:row r="28">
      <s:c r="A28" s="113">
        <s:v>4</s:v>
      </s:c>
      <s:c r="B28" s="114">
        <s:v>45785</s:v>
      </s:c>
      <s:c r="C28" s="115" t="s">
        <s:v>48</s:v>
      </s:c>
      <s:c r="D28" s="116">
        <s:v>35722</s:v>
      </s:c>
      <s:c r="E28" s="117">
        <s:v>9</s:v>
      </s:c>
      <s:c r="F28" s="117">
        <s:v>3969</s:v>
      </s:c>
      <s:c r="G28" s="117">
        <s:v>5</s:v>
      </s:c>
      <s:c r="H28" s="117">
        <s:f>IF(AND(G28&lt;&gt;"",G28&lt;&gt;0),D28/G28,"")</s:f>
        <s:v>7144.4</s:v>
      </s:c>
      <s:c r="I28" s="117">
        <s:v>20</s:v>
      </s:c>
      <s:c r="J28" s="116">
        <s:f>IF(AND(G28&lt;&gt;"",G28&lt;&gt;0),E28/G28,"")</s:f>
        <s:v>1.8</s:v>
      </s:c>
      <s:c r="K28" s="117"/>
      <s:c r="L28" s="117"/>
      <s:c r="M28" s="117"/>
      <s:c r="N28" s="118">
        <s:f>IF(AND(I28&lt;&gt;"",I28&lt;&gt;0),G28/I28,"")</s:f>
        <s:v>0.25</s:v>
      </s:c>
      <s:c r="O28" s="119">
        <s:f>D28/P28</s:f>
        <s:v>0.46353422134748173</s:v>
      </s:c>
      <s:c r="P28" s="120">
        <s:f>$I$8*V28*W28/SUMPRODUCT($W$25:$W$55,$V$25:$V$55)</s:f>
        <s:v>77064.428805616742</s:v>
      </s:c>
      <s:c r="Q28" s="121">
        <s:f>$I$9*V28*W28/SUMPRODUCT($W$25:$W$55,$V$25:$V$55)</s:f>
        <s:v>14.820082462618602</s:v>
      </s:c>
      <s:c r="R28" s="121">
        <s:f>IF($I$12="","",Q28/$I$12)</s:f>
        <s:v>7.6392177642363928</s:v>
      </s:c>
      <s:c r="S28" s="120">
        <s:f>IF(W28&lt;&gt;"",IF(D28&lt;&gt;"",D28,($I$8-SUM($S$25:S27))*V28*W28/SUMPRODUCT($W28:$W$55,$V28:$V$55)),"")</s:f>
        <s:v>35722</s:v>
      </s:c>
      <s:c r="T28" s="121">
        <s:f>IF(W28&lt;&gt;"",IF(E28&lt;&gt;"",E28,($I$9-SUM($T$25:T27))*V28*W28/SUMPRODUCT($W28:$W$55,$V28:$V$55)),"")</s:f>
        <s:v>9</s:v>
      </s:c>
      <s:c r="U28" s="121">
        <s:f>IF(W28&lt;&gt;"",IF($I$12&lt;&gt;"",IF(G28&lt;&gt;"",G28,($I$9/$I$12-SUM($U$25:U27))*V28*W28/SUMPRODUCT($W28:$W$55,$V28:$V$55)),""),"")</s:f>
        <s:v>5</s:v>
      </s:c>
      <s:c r="V28" s="122">
        <s:v>1</s:v>
      </s:c>
      <s:c r="W28" s="122">
        <s:v>1</s:v>
      </s:c>
      <s:c r="X28" s="123"/>
      <s:c r="Y28" s="124"/>
      <s:c r="Z28" s="125"/>
    </s:row>
    <s:row r="29">
      <s:c r="A29" s="113">
        <s:v>5</s:v>
      </s:c>
      <s:c r="B29" s="114">
        <s:v>45786</s:v>
      </s:c>
      <s:c r="C29" s="115" t="s">
        <s:v>49</s:v>
      </s:c>
      <s:c r="D29" s="116">
        <s:f>34525+7992</s:f>
        <s:v>42517</s:v>
      </s:c>
      <s:c r="E29" s="127">
        <s:v>11</s:v>
      </s:c>
      <s:c r="F29" s="117">
        <s:f>IF(AND(E29&lt;&gt;"",E29&lt;&gt;0),D29/E29,"")</s:f>
        <s:v>3865.181818181818</s:v>
      </s:c>
      <s:c r="G29" s="127">
        <s:v>4</s:v>
      </s:c>
      <s:c r="H29" s="117">
        <s:f>IF(AND(G29&lt;&gt;"",G29&lt;&gt;0),D29/G29,"")</s:f>
        <s:v>10629.25</s:v>
      </s:c>
      <s:c r="I29" s="127">
        <s:v>20</s:v>
      </s:c>
      <s:c r="J29" s="116">
        <s:f>IF(AND(G29&lt;&gt;"",G29&lt;&gt;0),E29/G29,"")</s:f>
        <s:v>2.75</s:v>
      </s:c>
      <s:c r="K29" s="117">
        <s:v>7992</s:v>
      </s:c>
      <s:c r="L29" s="117"/>
      <s:c r="M29" s="117"/>
      <s:c r="N29" s="118">
        <s:f>IF(AND(I29&lt;&gt;"",I29&lt;&gt;0),G29/I29,"")</s:f>
        <s:v>0.2</s:v>
      </s:c>
      <s:c r="O29" s="119">
        <s:f>D29/P29</s:f>
        <s:v>0.55170719693832604</s:v>
      </s:c>
      <s:c r="P29" s="120">
        <s:f>$I$8*V29*W29/SUMPRODUCT($W$25:$W$55,$V$25:$V$55)</s:f>
        <s:v>77064.428805616742</s:v>
      </s:c>
      <s:c r="Q29" s="121">
        <s:f>$I$9*V29*W29/SUMPRODUCT($W$25:$W$55,$V$25:$V$55)</s:f>
        <s:v>14.820082462618602</s:v>
      </s:c>
      <s:c r="R29" s="121">
        <s:f>IF($I$12="","",Q29/$I$12)</s:f>
        <s:v>7.6392177642363928</s:v>
      </s:c>
      <s:c r="S29" s="120">
        <s:f>IF(W29&lt;&gt;"",IF(D29&lt;&gt;"",D29,($I$8-SUM($S$25:S28))*V29*W29/SUMPRODUCT($W29:$W$55,$V29:$V$55)),"")</s:f>
        <s:v>42517</s:v>
      </s:c>
      <s:c r="T29" s="121">
        <s:f>IF(W29&lt;&gt;"",IF(E29&lt;&gt;"",E29,($I$9-SUM($T$25:T28))*V29*W29/SUMPRODUCT($W29:$W$55,$V29:$V$55)),"")</s:f>
        <s:v>11</s:v>
      </s:c>
      <s:c r="U29" s="121">
        <s:f>IF(W29&lt;&gt;"",IF($I$12&lt;&gt;"",IF(G29&lt;&gt;"",G29,($I$9/$I$12-SUM($U$25:U28))*V29*W29/SUMPRODUCT($W29:$W$55,$V29:$V$55)),""),"")</s:f>
        <s:v>4</s:v>
      </s:c>
      <s:c r="V29" s="122">
        <s:v>1</s:v>
      </s:c>
      <s:c r="W29" s="122">
        <s:v>1</s:v>
      </s:c>
      <s:c r="X29" s="124"/>
      <s:c r="Y29" s="124"/>
      <s:c r="Z29" s="2"/>
      <s:c r="AA29" s="2"/>
      <s:c r="AB29" s="2"/>
      <s:c r="AC29" s="2"/>
      <s:c r="AD29" s="2"/>
    </s:row>
    <s:row r="30">
      <s:c r="A30" s="113">
        <s:v>6</s:v>
      </s:c>
      <s:c r="B30" s="114">
        <s:v>45787</s:v>
      </s:c>
      <s:c r="C30" s="115" t="s">
        <s:v>51</s:v>
      </s:c>
      <s:c r="D30" s="285">
        <s:f>23940+11123</s:f>
        <s:v>35063</s:v>
      </s:c>
      <s:c r="E30" s="117">
        <s:v>8</s:v>
      </s:c>
      <s:c r="F30" s="127">
        <s:f>IF(AND(E30&lt;&gt;"",E30&lt;&gt;0),D30/E30,"")</s:f>
        <s:v>4382.875</s:v>
      </s:c>
      <s:c r="G30" s="117">
        <s:v>4</s:v>
      </s:c>
      <s:c r="H30" s="127">
        <s:f>IF(AND(G30&lt;&gt;"",G30&lt;&gt;0),D30/G30,"")</s:f>
        <s:v>8765.75</s:v>
      </s:c>
      <s:c r="I30" s="117">
        <s:v>10</s:v>
      </s:c>
      <s:c r="J30" s="285">
        <s:f>IF(AND(G30&lt;&gt;"",G30&lt;&gt;0),E30/G30,"")</s:f>
        <s:v>2</s:v>
      </s:c>
      <s:c r="K30" s="117"/>
      <s:c r="L30" s="117">
        <s:v>11123</s:v>
      </s:c>
      <s:c r="M30" s="117"/>
      <s:c r="N30" s="118">
        <s:f>IF(AND(I30&lt;&gt;"",I30&lt;&gt;0),G30/I30,"")</s:f>
        <s:v>0.4</s:v>
      </s:c>
      <s:c r="O30" s="119">
        <s:f>D30/P30</s:f>
        <s:v>0.45498293497303488</s:v>
      </s:c>
      <s:c r="P30" s="120">
        <s:f>$I$8*V30*W30/SUMPRODUCT($W$25:$W$55,$V$25:$V$55)</s:f>
        <s:v>77064.428805616742</s:v>
      </s:c>
      <s:c r="Q30" s="121">
        <s:f>$I$9*V30*W30/SUMPRODUCT($W$25:$W$55,$V$25:$V$55)</s:f>
        <s:v>14.820082462618602</s:v>
      </s:c>
      <s:c r="R30" s="121">
        <s:f>IF($I$12="","",Q30/$I$12)</s:f>
        <s:v>7.6392177642363928</s:v>
      </s:c>
      <s:c r="S30" s="120">
        <s:f>IF(W30&lt;&gt;"",IF(D30&lt;&gt;"",D30,($I$8-SUM($S$25:S29))*V30*W30/SUMPRODUCT($W30:$W$55,$V30:$V$55)),"")</s:f>
        <s:v>35063</s:v>
      </s:c>
      <s:c r="T30" s="121">
        <s:f>IF(W30&lt;&gt;"",IF(E29&lt;&gt;"",E29,($I$9-SUM($T$25:T29))*V30*W30/SUMPRODUCT($W30:$W$55,$V30:$V$55)),"")</s:f>
        <s:v>11</s:v>
      </s:c>
      <s:c r="U30" s="121">
        <s:f>IF(W30&lt;&gt;"",IF($I$12&lt;&gt;"",IF(G30&lt;&gt;"",G30,($I$9/$I$12-SUM($U$25:U29))*V30*W30/SUMPRODUCT($W30:$W$55,$V30:$V$55)),""),"")</s:f>
        <s:v>4</s:v>
      </s:c>
      <s:c r="V30" s="122">
        <s:v>1</s:v>
      </s:c>
      <s:c r="W30" s="122">
        <s:v>1</s:v>
      </s:c>
      <s:c r="X30" s="124"/>
      <s:c r="Y30" s="124"/>
      <s:c r="Z30" s="2"/>
      <s:c r="AA30" s="2"/>
      <s:c r="AB30" s="2"/>
      <s:c r="AC30" s="2"/>
      <s:c r="AD30" s="2"/>
    </s:row>
    <s:row r="31">
      <s:c r="A31" s="113">
        <s:v>7</s:v>
      </s:c>
      <s:c r="B31" s="114">
        <s:v>45789</s:v>
      </s:c>
      <s:c r="C31" s="115" t="s">
        <s:v>54</s:v>
      </s:c>
      <s:c r="D31" s="116">
        <s:v>15758</s:v>
      </s:c>
      <s:c r="E31" s="127">
        <s:v>5</s:v>
      </s:c>
      <s:c r="F31" s="117">
        <s:f>IF(AND(E31&lt;&gt;"",E31&lt;&gt;0),D31/E31,"")</s:f>
        <s:v>3151.6</s:v>
      </s:c>
      <s:c r="G31" s="127">
        <s:v>3</s:v>
      </s:c>
      <s:c r="H31" s="117">
        <s:f>IF(AND(G31&lt;&gt;"",G31&lt;&gt;0),D31/G31,"")</s:f>
        <s:v>5252.666666666667</s:v>
      </s:c>
      <s:c r="I31" s="127">
        <s:v>15</s:v>
      </s:c>
      <s:c r="J31" s="116">
        <s:f>IF(AND(G31&lt;&gt;"",G31&lt;&gt;0),E31/G31,"")</s:f>
        <s:v>1.6666666666666667</s:v>
      </s:c>
      <s:c r="K31" s="117"/>
      <s:c r="L31" s="117"/>
      <s:c r="M31" s="117"/>
      <s:c r="N31" s="118">
        <s:f>IF(AND(I31&lt;&gt;"",I31&lt;&gt;0),G31/I31,"")</s:f>
        <s:v>0.2</s:v>
      </s:c>
      <s:c r="O31" s="119">
        <s:f>D31/P31</s:f>
        <s:v>0.20447825597653035</s:v>
      </s:c>
      <s:c r="P31" s="120">
        <s:f>$I$8*V31*W31/SUMPRODUCT($W$25:$W$55,$V$25:$V$55)</s:f>
        <s:v>77064.428805616742</s:v>
      </s:c>
      <s:c r="Q31" s="121">
        <s:f>$I$9*V31*W31/SUMPRODUCT($W$25:$W$55,$V$25:$V$55)</s:f>
        <s:v>14.820082462618602</s:v>
      </s:c>
      <s:c r="R31" s="121">
        <s:f>IF($I$12="","",Q31/$I$12)</s:f>
        <s:v>7.6392177642363928</s:v>
      </s:c>
      <s:c r="S31" s="120">
        <s:f>IF(W31&lt;&gt;"",IF(D31&lt;&gt;"",D31,($I$8-SUM($S$25:S30))*V31*W31/SUMPRODUCT($W31:$W$55,$V31:$V$55)),"")</s:f>
        <s:v>15758</s:v>
      </s:c>
      <s:c r="T31" s="121">
        <s:f>IF(W31&lt;&gt;"",IF(E31&lt;&gt;"",E31,($I$9-SUM($T$25:T30))*V31*W31/SUMPRODUCT($W31:$W$55,$V31:$V$55)),"")</s:f>
        <s:v>5</s:v>
      </s:c>
      <s:c r="U31" s="121">
        <s:f>IF(W31&lt;&gt;"",IF($I$12&lt;&gt;"",IF(G31&lt;&gt;"",G31,($I$9/$I$12-SUM($U$25:U30))*V31*W31/SUMPRODUCT($W31:$W$55,$V31:$V$55)),""),"")</s:f>
        <s:v>3</s:v>
      </s:c>
      <s:c r="V31" s="247">
        <s:v>1</s:v>
      </s:c>
      <s:c r="W31" s="247">
        <s:v>1</s:v>
      </s:c>
      <s:c r="X31" s="124"/>
      <s:c r="Y31" s="124"/>
      <s:c r="Z31" s="2"/>
      <s:c r="AA31" s="2"/>
      <s:c r="AB31" s="2"/>
      <s:c r="AC31" s="2"/>
      <s:c r="AD31" s="2"/>
    </s:row>
    <s:row r="32">
      <s:c r="A32" s="113">
        <s:v>8</s:v>
      </s:c>
      <s:c r="B32" s="114">
        <s:v>45790</s:v>
      </s:c>
      <s:c r="C32" s="115" t="s">
        <s:v>55</s:v>
      </s:c>
      <s:c r="D32" s="285" t="s">
        <s:v>73</s:v>
      </s:c>
      <s:c r="E32" s="117">
        <s:v>0</s:v>
      </s:c>
      <s:c r="F32" s="117" t="str">
        <s:f>IF(AND(E32&lt;&gt;"",E32&lt;&gt;0),D32/E32,"")</s:f>
        <s:v/>
      </s:c>
      <s:c r="G32" s="117">
        <s:v>0</s:v>
      </s:c>
      <s:c r="H32" s="127" t="str">
        <s:f>IF(AND(G32&lt;&gt;"",G32&lt;&gt;0),D32/G32,"")</s:f>
        <s:v/>
      </s:c>
      <s:c r="I32" s="117">
        <s:v>11</s:v>
      </s:c>
      <s:c r="J32" s="285" t="str">
        <s:f>IF(AND(G32&lt;&gt;"",G32&lt;&gt;0),E32/G32,"")</s:f>
        <s:v/>
      </s:c>
      <s:c r="K32" s="117"/>
      <s:c r="L32" s="117"/>
      <s:c r="M32" s="117"/>
      <s:c r="N32" s="118">
        <s:f>IF(AND(I32&lt;&gt;"",I32&lt;&gt;0),G32/I32,"")</s:f>
        <s:v>0</s:v>
      </s:c>
      <s:c r="O32" s="119" t="e">
        <s:f>D32/P32</s:f>
        <s:v>#VALUE!</s:v>
      </s:c>
      <s:c r="P32" s="120">
        <s:f>$I$8*V32*W32/SUMPRODUCT($W$25:$W$55,$V$25:$V$55)</s:f>
        <s:v>77064.428805616742</s:v>
      </s:c>
      <s:c r="Q32" s="121">
        <s:f>$I$9*V32*W32/SUMPRODUCT($W$25:$W$55,$V$25:$V$55)</s:f>
        <s:v>14.820082462618602</s:v>
      </s:c>
      <s:c r="R32" s="121">
        <s:f>IF($I$12="","",Q32/$I$12)</s:f>
        <s:v>7.6392177642363928</s:v>
      </s:c>
      <s:c r="S32" s="120" t="str">
        <s:f>IF(W32&lt;&gt;"",IF(D32&lt;&gt;"",D32,($I$8-SUM($S$25:S31))*V32*W32/SUMPRODUCT($W32:$W$55,$V32:$V$55)),"")</s:f>
        <s:v>0.00</s:v>
      </s:c>
      <s:c r="T32" s="121">
        <s:f>IF(W32&lt;&gt;"",IF(E32&lt;&gt;"",E32,($I$9-SUM($T$25:T31))*V32*W32/SUMPRODUCT($W32:$W$55,$V32:$V$55)),"")</s:f>
        <s:v>0</s:v>
      </s:c>
      <s:c r="U32" s="121">
        <s:f>IF(W32&lt;&gt;"",IF($I$12&lt;&gt;"",IF(G32&lt;&gt;"",G32,($I$9/$I$12-SUM($U$25:U31))*V32*W32/SUMPRODUCT($W32:$W$55,$V32:$V$55)),""),"")</s:f>
        <s:v>0</s:v>
      </s:c>
      <s:c r="V32" s="247">
        <s:v>1</s:v>
      </s:c>
      <s:c r="W32" s="247">
        <s:v>1</s:v>
      </s:c>
      <s:c r="X32" s="124"/>
      <s:c r="Y32" s="124"/>
      <s:c r="Z32" s="2"/>
      <s:c r="AA32" s="2"/>
      <s:c r="AB32" s="2"/>
      <s:c r="AC32" s="2"/>
      <s:c r="AD32" s="2"/>
    </s:row>
    <s:row r="33" spans="1:30" s="248" customFormat="1">
      <s:c r="A33" s="113">
        <s:v>9</s:v>
      </s:c>
      <s:c r="B33" s="250">
        <s:v>45791</s:v>
      </s:c>
      <s:c r="C33" s="251" t="s">
        <s:v>56</s:v>
      </s:c>
      <s:c r="D33" s="246">
        <s:f>31654+67970+15403</s:f>
        <s:v>115027</s:v>
      </s:c>
      <s:c r="E33" s="252">
        <s:v>13</s:v>
      </s:c>
      <s:c r="F33" s="252">
        <s:f>IF(AND(E33&lt;&gt;"",E33&lt;&gt;0),D33/E33,"")</s:f>
        <s:v>8848.2307692307695</s:v>
      </s:c>
      <s:c r="G33" s="252">
        <s:v>6</s:v>
      </s:c>
      <s:c r="H33" s="252">
        <s:f>IF(AND(G33&lt;&gt;"",G33&lt;&gt;0),D33/G33,"")</s:f>
        <s:v>19171.166666666668</s:v>
      </s:c>
      <s:c r="I33" s="252">
        <s:v>10</s:v>
      </s:c>
      <s:c r="J33" s="246">
        <s:f>IF(AND(G33&lt;&gt;"",G33&lt;&gt;0),E33/G33,"")</s:f>
        <s:v>2.1666666666666665</s:v>
      </s:c>
      <s:c r="K33" s="252">
        <s:v>67970</s:v>
      </s:c>
      <s:c r="L33" s="252">
        <s:v>15403</s:v>
      </s:c>
      <s:c r="M33" s="252"/>
      <s:c r="N33" s="253">
        <s:f>IF(AND(I33&lt;&gt;"",I33&lt;&gt;0),G33/I33,"")</s:f>
        <s:v>0.6</s:v>
      </s:c>
      <s:c r="O33" s="254">
        <s:f>D33/P33</s:f>
        <s:v>1.4926082212344434</s:v>
      </s:c>
      <s:c r="P33" s="255">
        <s:f>$I$8*V33*W33/SUMPRODUCT($W$25:$W$55,$V$25:$V$55)</s:f>
        <s:v>77064.428805616742</s:v>
      </s:c>
      <s:c r="Q33" s="256">
        <s:f>$I$9*V33*W33/SUMPRODUCT($W$25:$W$55,$V$25:$V$55)</s:f>
        <s:v>14.820082462618602</s:v>
      </s:c>
      <s:c r="R33" s="256">
        <s:f>IF($I$12="","",Q33/$I$12)</s:f>
        <s:v>7.6392177642363928</s:v>
      </s:c>
      <s:c r="S33" s="255">
        <s:f>IF(W33&lt;&gt;"",IF(D33&lt;&gt;"",D33,($I$8-SUM($S$25:S32))*V33*W33/SUMPRODUCT($W33:$W$55,$V33:$V$55)),"")</s:f>
        <s:v>115027</s:v>
      </s:c>
      <s:c r="T33" s="256">
        <s:f>IF(W33&lt;&gt;"",IF(E33&lt;&gt;"",E33,($I$9-SUM($T$25:T32))*V33*W33/SUMPRODUCT($W33:$W$55,$V33:$V$55)),"")</s:f>
        <s:v>13</s:v>
      </s:c>
      <s:c r="U33" s="256">
        <s:f>IF(W33&lt;&gt;"",IF($I$12&lt;&gt;"",IF(G33&lt;&gt;"",G33,($I$9/$I$12-SUM($U$25:U32))*V33*W33/SUMPRODUCT($W33:$W$55,$V33:$V$55)),""),"")</s:f>
        <s:v>6</s:v>
      </s:c>
      <s:c r="V33" s="247">
        <s:v>1</s:v>
      </s:c>
      <s:c r="W33" s="247">
        <s:v>1</s:v>
      </s:c>
      <s:c r="X33" s="257"/>
      <s:c r="Y33" s="257"/>
      <s:c r="Z33" s="258"/>
      <s:c r="AA33" s="258"/>
      <s:c r="AB33" s="258"/>
      <s:c r="AC33" s="258"/>
      <s:c r="AD33" s="258"/>
    </s:row>
    <s:row r="34" spans="1:30" s="248" customFormat="1">
      <s:c r="A34" s="113">
        <s:v>10</s:v>
      </s:c>
      <s:c r="B34" s="250">
        <s:v>45794</s:v>
      </s:c>
      <s:c r="C34" s="286" t="s">
        <s:v>51</s:v>
      </s:c>
      <s:c r="D34" s="246">
        <s:v>30932</s:v>
      </s:c>
      <s:c r="E34" s="259">
        <s:v>8</s:v>
      </s:c>
      <s:c r="F34" s="252">
        <s:f>IF(AND(E34&lt;&gt;"",E34&lt;&gt;0),D34/E34,"")</s:f>
        <s:v>3866.5</s:v>
      </s:c>
      <s:c r="G34" s="259">
        <s:v>4</s:v>
      </s:c>
      <s:c r="H34" s="252">
        <s:f>IF(AND(G34&lt;&gt;"",G34&lt;&gt;0),D34/G34,"")</s:f>
        <s:v>7733</s:v>
      </s:c>
      <s:c r="I34" s="259">
        <s:v>25</s:v>
      </s:c>
      <s:c r="J34" s="246">
        <s:f>IF(AND(G34&lt;&gt;"",G34&lt;&gt;0),E34/G34,"")</s:f>
        <s:v>2</s:v>
      </s:c>
      <s:c r="K34" s="252"/>
      <s:c r="L34" s="252"/>
      <s:c r="M34" s="252"/>
      <s:c r="N34" s="253">
        <s:f>IF(AND(I34&lt;&gt;"",I34&lt;&gt;0),G34/I34,"")</s:f>
        <s:v>0.16</s:v>
      </s:c>
      <s:c r="O34" s="254">
        <s:f>D34/P34</s:f>
        <s:v>0.40137843722972694</s:v>
      </s:c>
      <s:c r="P34" s="255">
        <s:f>$I$8*V34*W34/SUMPRODUCT($W$25:$W$55,$V$25:$V$55)</s:f>
        <s:v>77064.428805616742</s:v>
      </s:c>
      <s:c r="Q34" s="256">
        <s:f>$I$9*V34*W34/SUMPRODUCT($W$25:$W$55,$V$25:$V$55)</s:f>
        <s:v>14.820082462618602</s:v>
      </s:c>
      <s:c r="R34" s="256">
        <s:f>IF($I$12="","",Q34/$I$12)</s:f>
        <s:v>7.6392177642363928</s:v>
      </s:c>
      <s:c r="S34" s="255">
        <s:f>IF(W34&lt;&gt;"",IF(D34&lt;&gt;"",D34,($I$8-SUM($S$25:S33))*V34*W34/SUMPRODUCT($W34:$W$55,$V34:$V$55)),"")</s:f>
        <s:v>30932</s:v>
      </s:c>
      <s:c r="T34" s="256">
        <s:f>IF(W34&lt;&gt;"",IF(E34&lt;&gt;"",E34,($I$9-SUM($T$25:T33))*V34*W34/SUMPRODUCT($W34:$W$55,$V34:$V$55)),"")</s:f>
        <s:v>8</s:v>
      </s:c>
      <s:c r="U34" s="256">
        <s:f>IF(W34&lt;&gt;"",IF($I$12&lt;&gt;"",IF(G34&lt;&gt;"",G34,($I$9/$I$12-SUM($U$25:U33))*V34*W34/SUMPRODUCT($W34:$W$55,$V34:$V$55)),""),"")</s:f>
        <s:v>4</s:v>
      </s:c>
      <s:c r="V34" s="247">
        <s:v>1</s:v>
      </s:c>
      <s:c r="W34" s="247">
        <s:v>1</s:v>
      </s:c>
      <s:c r="X34" s="257"/>
      <s:c r="Y34" s="257"/>
      <s:c r="Z34" s="260"/>
      <s:c r="AA34" s="258"/>
      <s:c r="AB34" s="258"/>
      <s:c r="AC34" s="258"/>
      <s:c r="AD34" s="258"/>
    </s:row>
    <s:row r="35" spans="1:30" s="248" customFormat="1">
      <s:c r="A35" s="113">
        <s:v>11</s:v>
      </s:c>
      <s:c r="B35" s="250">
        <s:v>45795</s:v>
      </s:c>
      <s:c r="C35" s="251" t="s">
        <s:v>53</s:v>
      </s:c>
      <s:c r="D35" s="262">
        <s:v>22157</s:v>
      </s:c>
      <s:c r="E35" s="252">
        <s:v>5</s:v>
      </s:c>
      <s:c r="F35" s="259">
        <s:f>IF(AND(E35&lt;&gt;"",E35&lt;&gt;0),D35/E35,"")</s:f>
        <s:v>4431.3999999999996</s:v>
      </s:c>
      <s:c r="G35" s="252">
        <s:v>2</s:v>
      </s:c>
      <s:c r="H35" s="259">
        <s:f>IF(AND(G35&lt;&gt;"",G35&lt;&gt;0),D35/G35,"")</s:f>
        <s:v>11078.5</s:v>
      </s:c>
      <s:c r="I35" s="252">
        <s:v>17</s:v>
      </s:c>
      <s:c r="J35" s="262">
        <s:f>IF(AND(G35&lt;&gt;"",G35&lt;&gt;0),E35/G35,"")</s:f>
        <s:v>2.5</s:v>
      </s:c>
      <s:c r="K35" s="252"/>
      <s:c r="L35" s="252"/>
      <s:c r="M35" s="252"/>
      <s:c r="N35" s="253">
        <s:f>IF(AND(I35&lt;&gt;"",I35&lt;&gt;0),G35/I35,"")</s:f>
        <s:v>0.11764705882352941</s:v>
      </s:c>
      <s:c r="O35" s="254">
        <s:f>D35/P35</s:f>
        <s:v>0.2875126740494976</s:v>
      </s:c>
      <s:c r="P35" s="255">
        <s:f>$I$8*V35*W35/SUMPRODUCT($W$25:$W$55,$V$25:$V$55)</s:f>
        <s:v>77064.428805616742</s:v>
      </s:c>
      <s:c r="Q35" s="256">
        <s:f>$I$9*V35*W35/SUMPRODUCT($W$25:$W$55,$V$25:$V$55)</s:f>
        <s:v>14.820082462618602</s:v>
      </s:c>
      <s:c r="R35" s="256">
        <s:f>IF($I$12="","",Q35/$I$12)</s:f>
        <s:v>7.6392177642363928</s:v>
      </s:c>
      <s:c r="S35" s="255">
        <s:f>IF(W35&lt;&gt;"",IF(D35&lt;&gt;"",D35,($I$8-SUM($S$25:S34))*V35*W35/SUMPRODUCT($W35:$W$55,$V35:$V$55)),"")</s:f>
        <s:v>22157</s:v>
      </s:c>
      <s:c r="T35" s="256">
        <s:f>IF(W35&lt;&gt;"",IF(E35&lt;&gt;"",E35,($I$9-SUM($T$25:T34))*V35*W35/SUMPRODUCT($W35:$W$55,$V35:$V$55)),"")</s:f>
        <s:v>5</s:v>
      </s:c>
      <s:c r="U35" s="256">
        <s:f>IF(W35&lt;&gt;"",IF($I$12&lt;&gt;"",IF(G35&lt;&gt;"",G35,($I$9/$I$12-SUM($U$25:U34))*V35*W35/SUMPRODUCT($W35:$W$55,$V35:$V$55)),""),"")</s:f>
        <s:v>2</s:v>
      </s:c>
      <s:c r="V35" s="247">
        <s:v>1</s:v>
      </s:c>
      <s:c r="W35" s="247">
        <s:v>1</s:v>
      </s:c>
      <s:c r="X35" s="257"/>
      <s:c r="Y35" s="257"/>
      <s:c r="Z35" s="260"/>
      <s:c r="AA35" s="258"/>
      <s:c r="AB35" s="258"/>
      <s:c r="AC35" s="258"/>
      <s:c r="AD35" s="258"/>
    </s:row>
    <s:row r="36" spans="1:30" s="248" customFormat="1">
      <s:c r="A36" s="113">
        <s:v>12</s:v>
      </s:c>
      <s:c r="B36" s="250">
        <s:v>45796</s:v>
      </s:c>
      <s:c r="C36" s="286" t="s">
        <s:v>54</s:v>
      </s:c>
      <s:c r="D36" s="246">
        <s:v>30640</s:v>
      </s:c>
      <s:c r="E36" s="259">
        <s:v>7</s:v>
      </s:c>
      <s:c r="F36" s="252">
        <s:f>IF(AND(E36&lt;&gt;"",E36&lt;&gt;0),D36/E36,"")</s:f>
        <s:v>4377.1428571428569</s:v>
      </s:c>
      <s:c r="G36" s="252">
        <s:v>3</s:v>
      </s:c>
      <s:c r="H36" s="252">
        <s:f>IF(AND(G36&lt;&gt;"",G36&lt;&gt;0),D36/G36,"")</s:f>
        <s:v>10213.333333333334</s:v>
      </s:c>
      <s:c r="I36" s="259">
        <s:v>10</s:v>
      </s:c>
      <s:c r="J36" s="246">
        <s:f>IF(AND(G36&lt;&gt;"",G36&lt;&gt;0),E36/G36,"")</s:f>
        <s:v>2.3333333333333335</s:v>
      </s:c>
      <s:c r="K36" s="252"/>
      <s:c r="L36" s="252"/>
      <s:c r="M36" s="252"/>
      <s:c r="N36" s="253">
        <s:f>IF(AND(I36&lt;&gt;"",I36&lt;&gt;0),G36/I36,"")</s:f>
        <s:v>0.3</s:v>
      </s:c>
      <s:c r="O36" s="254">
        <s:f>D36/P36</s:f>
        <s:v>0.39758939986806002</s:v>
      </s:c>
      <s:c r="P36" s="255">
        <s:f>$I$8*V36*W36/SUMPRODUCT($W$25:$W$55,$V$25:$V$55)</s:f>
        <s:v>77064.428805616742</s:v>
      </s:c>
      <s:c r="Q36" s="256">
        <s:f>$I$9*V36*W36/SUMPRODUCT($W$25:$W$55,$V$25:$V$55)</s:f>
        <s:v>14.820082462618602</s:v>
      </s:c>
      <s:c r="R36" s="256">
        <s:f>IF($I$12="","",Q36/$I$12)</s:f>
        <s:v>7.6392177642363928</s:v>
      </s:c>
      <s:c r="S36" s="255">
        <s:f>IF(W36&lt;&gt;"",IF(D36&lt;&gt;"",D36,($I$8-SUM($S$25:S35))*V36*W36/SUMPRODUCT($W36:$W$55,$V36:$V$55)),"")</s:f>
        <s:v>30640</s:v>
      </s:c>
      <s:c r="T36" s="256">
        <s:f>IF(W36&lt;&gt;"",IF(E36&lt;&gt;"",E36,($I$9-SUM($T$25:T35))*V36*W36/SUMPRODUCT($W36:$W$55,$V36:$V$55)),"")</s:f>
        <s:v>7</s:v>
      </s:c>
      <s:c r="U36" s="256">
        <s:f>IF(W36&lt;&gt;"",IF($I$12&lt;&gt;"",IF(G36&lt;&gt;"",G36,($I$9/$I$12-SUM($U$25:U35))*V36*W36/SUMPRODUCT($W36:$W$55,$V36:$V$55)),""),"")</s:f>
        <s:v>3</s:v>
      </s:c>
      <s:c r="V36" s="247">
        <s:v>1</s:v>
      </s:c>
      <s:c r="W36" s="247">
        <s:v>1</s:v>
      </s:c>
      <s:c r="X36" s="257"/>
      <s:c r="Y36" s="257"/>
      <s:c r="Z36" s="260"/>
      <s:c r="AA36" s="258"/>
      <s:c r="AB36" s="258"/>
      <s:c r="AC36" s="258"/>
      <s:c r="AD36" s="258"/>
    </s:row>
    <s:row r="37" spans="1:30" s="248" customFormat="1">
      <s:c r="A37" s="113">
        <s:v>13</s:v>
      </s:c>
      <s:c r="B37" s="250">
        <s:v>45799</s:v>
      </s:c>
      <s:c r="C37" s="251" t="s">
        <s:v>48</s:v>
      </s:c>
      <s:c r="D37" s="262">
        <s:f>4392+9303</s:f>
        <s:v>13695</s:v>
      </s:c>
      <s:c r="E37" s="252">
        <s:v>3</s:v>
      </s:c>
      <s:c r="F37" s="252">
        <s:f>IF(AND(E37&lt;&gt;"",E37&lt;&gt;0),D37/E37,"")</s:f>
        <s:v>4565</s:v>
      </s:c>
      <s:c r="G37" s="252">
        <s:v>2</s:v>
      </s:c>
      <s:c r="H37" s="259">
        <s:f>IF(AND(G37&lt;&gt;"",G37&lt;&gt;0),D37/G37,"")</s:f>
        <s:v>6847.5</s:v>
      </s:c>
      <s:c r="I37" s="252">
        <s:v>8</s:v>
      </s:c>
      <s:c r="J37" s="262">
        <s:f>IF(AND(G37&lt;&gt;"",G37&lt;&gt;0),E37/G37,"")</s:f>
        <s:v>1.5</s:v>
      </s:c>
      <s:c r="K37" s="252"/>
      <s:c r="L37" s="252">
        <s:v>9303</s:v>
      </s:c>
      <s:c r="M37" s="252"/>
      <s:c r="N37" s="253">
        <s:f>IF(AND(I37&lt;&gt;"",I37&lt;&gt;0),G37/I37,"")</s:f>
        <s:v>0.25</s:v>
      </s:c>
      <s:c r="O37" s="254">
        <s:f>D37/P37</s:f>
        <s:v>0.17770844749324682</s:v>
      </s:c>
      <s:c r="P37" s="255">
        <s:f>$I$8*V37*W37/SUMPRODUCT($W$25:$W$55,$V$25:$V$55)</s:f>
        <s:v>77064.428805616742</s:v>
      </s:c>
      <s:c r="Q37" s="256">
        <s:f>$I$9*V37*W37/SUMPRODUCT($W$25:$W$55,$V$25:$V$55)</s:f>
        <s:v>14.820082462618602</s:v>
      </s:c>
      <s:c r="R37" s="256">
        <s:f>IF($I$12="","",Q37/$I$12)</s:f>
        <s:v>7.6392177642363928</s:v>
      </s:c>
      <s:c r="S37" s="255">
        <s:f>IF(W37&lt;&gt;"",IF(D37&lt;&gt;"",D37,($I$8-SUM($S$25:S36))*V37*W37/SUMPRODUCT($W37:$W$55,$V37:$V$55)),"")</s:f>
        <s:v>13695</s:v>
      </s:c>
      <s:c r="T37" s="256">
        <s:f>IF(W37&lt;&gt;"",IF(E37&lt;&gt;"",E37,($I$9-SUM($T$25:T36))*V37*W37/SUMPRODUCT($W37:$W$55,$V37:$V$55)),"")</s:f>
        <s:v>3</s:v>
      </s:c>
      <s:c r="U37" s="256">
        <s:f>IF(W37&lt;&gt;"",IF($I$12&lt;&gt;"",IF(G37&lt;&gt;"",G37,($I$9/$I$12-SUM($U$25:U36))*V37*W37/SUMPRODUCT($W37:$W$55,$V37:$V$55)),""),"")</s:f>
        <s:v>2</s:v>
      </s:c>
      <s:c r="V37" s="247">
        <s:v>1</s:v>
      </s:c>
      <s:c r="W37" s="247">
        <s:v>1</s:v>
      </s:c>
      <s:c r="X37" s="257"/>
      <s:c r="Y37" s="257"/>
      <s:c r="Z37" s="260"/>
      <s:c r="AA37" s="258"/>
      <s:c r="AB37" s="258"/>
      <s:c r="AC37" s="258"/>
      <s:c r="AD37" s="258"/>
    </s:row>
    <s:row r="38" spans="1:30" s="248" customFormat="1">
      <s:c r="A38" s="113">
        <s:v>14</s:v>
      </s:c>
      <s:c r="B38" s="250">
        <s:v>45800</s:v>
      </s:c>
      <s:c r="C38" s="286" t="s">
        <s:v>49</s:v>
      </s:c>
      <s:c r="D38" s="246">
        <s:f>21993+1692</s:f>
        <s:v>23685</s:v>
      </s:c>
      <s:c r="E38" s="259">
        <s:v>2</s:v>
      </s:c>
      <s:c r="F38" s="252">
        <s:f>IF(AND(E38&lt;&gt;"",E38&lt;&gt;0),D38/E38,"")</s:f>
        <s:v>11842.5</s:v>
      </s:c>
      <s:c r="G38" s="259">
        <s:v>2</s:v>
      </s:c>
      <s:c r="H38" s="252">
        <s:f>IF(AND(G38&lt;&gt;"",G38&lt;&gt;0),D38/G38,"")</s:f>
        <s:v>11842.5</s:v>
      </s:c>
      <s:c r="I38" s="259">
        <s:v>8</s:v>
      </s:c>
      <s:c r="J38" s="246">
        <s:f>IF(AND(G38&lt;&gt;"",G38&lt;&gt;0),E38/G38,"")</s:f>
        <s:v>1</s:v>
      </s:c>
      <s:c r="K38" s="259">
        <s:v>21993</s:v>
      </s:c>
      <s:c r="L38" s="252"/>
      <s:c r="M38" s="259"/>
      <s:c r="N38" s="253">
        <s:f>IF(AND(I38&lt;&gt;"",I38&lt;&gt;0),G38/I38,"")</s:f>
        <s:v>0.25</s:v>
      </s:c>
      <s:c r="O38" s="287">
        <s:f>D38/P38</s:f>
        <s:v>0.3073402394215079</s:v>
      </s:c>
      <s:c r="P38" s="255">
        <s:f>$I$8*V38*W38/SUMPRODUCT($W$25:$W$55,$V$25:$V$55)</s:f>
        <s:v>77064.428805616742</s:v>
      </s:c>
      <s:c r="Q38" s="288">
        <s:f>$I$9*V38*W38/SUMPRODUCT($W$25:$W$55,$V$25:$V$55)</s:f>
        <s:v>14.820082462618602</s:v>
      </s:c>
      <s:c r="R38" s="256">
        <s:f>IF($I$12="","",Q38/$I$12)</s:f>
        <s:v>7.6392177642363928</s:v>
      </s:c>
      <s:c r="S38" s="289">
        <s:f>IF(W38&lt;&gt;"",IF(D38&lt;&gt;"",D38,($I$8-SUM($S$25:S37))*V38*W38/SUMPRODUCT($W38:$W$55,$V38:$V$55)),"")</s:f>
        <s:v>23685</s:v>
      </s:c>
      <s:c r="T38" s="256">
        <s:f>IF(W38&lt;&gt;"",IF(E38&lt;&gt;"",E38,($I$9-SUM($T$25:T37))*V38*W38/SUMPRODUCT($W38:$W$55,$V38:$V$55)),"")</s:f>
        <s:v>2</s:v>
      </s:c>
      <s:c r="U38" s="288">
        <s:f>IF(W38&lt;&gt;"",IF($I$12&lt;&gt;"",IF(G38&lt;&gt;"",G38,($I$9/$I$12-SUM($U$25:U37))*V38*W38/SUMPRODUCT($W38:$W$55,$V38:$V$55)),""),"")</s:f>
        <s:v>2</s:v>
      </s:c>
      <s:c r="V38" s="247">
        <s:v>1</s:v>
      </s:c>
      <s:c r="W38" s="247">
        <s:v>1</s:v>
      </s:c>
      <s:c r="X38" s="257"/>
      <s:c r="Y38" s="257"/>
      <s:c r="Z38" s="260"/>
      <s:c r="AA38" s="258"/>
      <s:c r="AB38" s="258"/>
      <s:c r="AC38" s="258"/>
      <s:c r="AD38" s="258"/>
    </s:row>
    <s:row r="39" spans="1:30" s="248" customFormat="1">
      <s:c r="A39" s="113">
        <s:v>15</s:v>
      </s:c>
      <s:c r="B39" s="250">
        <s:v>45801</s:v>
      </s:c>
      <s:c r="C39" s="251" t="s">
        <s:v>51</s:v>
      </s:c>
      <s:c r="D39" s="262">
        <s:v>10645</s:v>
      </s:c>
      <s:c r="E39" s="252">
        <s:v>3</s:v>
      </s:c>
      <s:c r="F39" s="259">
        <s:f>IF(AND(E39&lt;&gt;"",E39&lt;&gt;0),D39/E39,"")</s:f>
        <s:v>3548.3333333333335</s:v>
      </s:c>
      <s:c r="G39" s="252">
        <s:v>2</s:v>
      </s:c>
      <s:c r="H39" s="259">
        <s:f>IF(AND(G39&lt;&gt;"",G39&lt;&gt;0),D39/G39,"")</s:f>
        <s:v>5322.5</s:v>
      </s:c>
      <s:c r="I39" s="252">
        <s:v>17</s:v>
      </s:c>
      <s:c r="J39" s="262">
        <s:f>IF(AND(G39&lt;&gt;"",G39&lt;&gt;0),E39/G39,"")</s:f>
        <s:v>1.5</s:v>
      </s:c>
      <s:c r="K39" s="252"/>
      <s:c r="L39" s="252"/>
      <s:c r="M39" s="252"/>
      <s:c r="N39" s="253">
        <s:f>IF(AND(I39&lt;&gt;"",I39&lt;&gt;0),G39/I39,"")</s:f>
        <s:v>0.11764705882352941</s:v>
      </s:c>
      <s:c r="O39" s="254">
        <s:f>D39/P39</s:f>
        <s:v>0.13813117368131525</s:v>
      </s:c>
      <s:c r="P39" s="255">
        <s:f>$I$8*V39*W39/SUMPRODUCT($W$25:$W$55,$V$25:$V$55)</s:f>
        <s:v>77064.428805616742</s:v>
      </s:c>
      <s:c r="Q39" s="256">
        <s:f>$I$9*V39*W39/SUMPRODUCT($W$25:$W$55,$V$25:$V$55)</s:f>
        <s:v>14.820082462618602</s:v>
      </s:c>
      <s:c r="R39" s="256">
        <s:f>IF($I$12="","",Q39/$I$12)</s:f>
        <s:v>7.6392177642363928</s:v>
      </s:c>
      <s:c r="S39" s="255">
        <s:f>IF(W39&lt;&gt;"",IF(D39&lt;&gt;"",D39,($I$8-SUM($S$25:S38))*V39*W39/SUMPRODUCT($W39:$W$55,$V39:$V$55)),"")</s:f>
        <s:v>10645</s:v>
      </s:c>
      <s:c r="T39" s="256">
        <s:f>IF(W39&lt;&gt;"",IF(E39&lt;&gt;"",E39,($I$9-SUM($T$25:T38))*V39*W39/SUMPRODUCT($W39:$W$55,$V39:$V$55)),"")</s:f>
        <s:v>3</s:v>
      </s:c>
      <s:c r="U39" s="256">
        <s:f>IF(W39&lt;&gt;"",IF($I$12&lt;&gt;"",IF(G39&lt;&gt;"",G39,($I$9/$I$12-SUM($U$25:U38))*V39*W39/SUMPRODUCT($W39:$W$55,$V39:$V$55)),""),"")</s:f>
        <s:v>2</s:v>
      </s:c>
      <s:c r="V39" s="247">
        <s:v>1</s:v>
      </s:c>
      <s:c r="W39" s="247">
        <s:v>1</s:v>
      </s:c>
      <s:c r="X39" s="257"/>
      <s:c r="Y39" s="257"/>
      <s:c r="Z39" s="260"/>
      <s:c r="AA39" s="258"/>
      <s:c r="AB39" s="258"/>
      <s:c r="AC39" s="258"/>
      <s:c r="AD39" s="258"/>
    </s:row>
    <s:row r="40" spans="1:30" s="248" customFormat="1" ht="15" customHeight="1">
      <s:c r="A40" s="113">
        <s:v>16</s:v>
      </s:c>
      <s:c r="B40" s="250">
        <s:v>45803</s:v>
      </s:c>
      <s:c r="C40" s="286" t="s">
        <s:v>54</s:v>
      </s:c>
      <s:c r="D40" s="246">
        <s:f>19258+46509</s:f>
        <s:v>65767</s:v>
      </s:c>
      <s:c r="E40" s="259">
        <s:v>8</s:v>
      </s:c>
      <s:c r="F40" s="252">
        <s:f>IF(AND(E40&lt;&gt;"",E40&lt;&gt;0),D40/E40,"")</s:f>
        <s:v>8220.875</s:v>
      </s:c>
      <s:c r="G40" s="259">
        <s:v>7</s:v>
      </s:c>
      <s:c r="H40" s="252">
        <s:f>IF(AND(G40&lt;&gt;"",G40&lt;&gt;0),D40/G40,"")</s:f>
        <s:v>9395.2857142857138</s:v>
      </s:c>
      <s:c r="I40" s="259">
        <s:v>10</s:v>
      </s:c>
      <s:c r="J40" s="246">
        <s:f>IF(AND(G40&lt;&gt;"",G40&lt;&gt;0),E40/G40,"")</s:f>
        <s:v>1.1428571428571428</s:v>
      </s:c>
      <s:c r="K40" s="252"/>
      <s:c r="L40" s="252">
        <s:v>46509</s:v>
      </s:c>
      <s:c r="M40" s="252"/>
      <s:c r="N40" s="253">
        <s:f>IF(AND(I40&lt;&gt;"",I40&lt;&gt;0),G40/I40,"")</s:f>
        <s:v>0.7</s:v>
      </s:c>
      <s:c r="O40" s="254">
        <s:f>D40/P40</s:f>
        <s:v>0.85340280878337815</s:v>
      </s:c>
      <s:c r="P40" s="255">
        <s:f>$I$8*V40*W40/SUMPRODUCT($W$25:$W$55,$V$25:$V$55)</s:f>
        <s:v>77064.428805616742</s:v>
      </s:c>
      <s:c r="Q40" s="256">
        <s:f>$I$9*V40*W40/SUMPRODUCT($W$25:$W$55,$V$25:$V$55)</s:f>
        <s:v>14.820082462618602</s:v>
      </s:c>
      <s:c r="R40" s="256">
        <s:f>IF($I$12="","",Q40/$I$12)</s:f>
        <s:v>7.6392177642363928</s:v>
      </s:c>
      <s:c r="S40" s="255">
        <s:f>IF(W40&lt;&gt;"",IF(D40&lt;&gt;"",D40,($I$8-SUM($S$25:S39))*V40*W40/SUMPRODUCT($W40:$W$55,$V40:$V$55)),"")</s:f>
        <s:v>65767</s:v>
      </s:c>
      <s:c r="T40" s="256">
        <s:f>IF(W40&lt;&gt;"",IF(E40&lt;&gt;"",E40,($I$9-SUM($T$25:T39))*V40*W40/SUMPRODUCT($W40:$W$55,$V40:$V$55)),"")</s:f>
        <s:v>8</s:v>
      </s:c>
      <s:c r="U40" s="256">
        <s:f>IF(W40&lt;&gt;"",IF($I$12&lt;&gt;"",IF(G40&lt;&gt;"",G40,($I$9/$I$12-SUM($U$25:U39))*V40*W40/SUMPRODUCT($W40:$W$55,$V40:$V$55)),""),"")</s:f>
        <s:v>7</s:v>
      </s:c>
      <s:c r="V40" s="247">
        <s:v>1</s:v>
      </s:c>
      <s:c r="W40" s="247">
        <s:v>1</s:v>
      </s:c>
      <s:c r="X40" s="257"/>
      <s:c r="Y40" s="257"/>
      <s:c r="Z40" s="260"/>
      <s:c r="AA40" s="258"/>
      <s:c r="AB40" s="258"/>
      <s:c r="AC40" s="258"/>
      <s:c r="AD40" s="258"/>
    </s:row>
    <s:row r="41" spans="1:30" s="248" customFormat="1">
      <s:c r="A41" s="113">
        <s:v>17</s:v>
      </s:c>
      <s:c r="B41" s="250">
        <s:v>45804</s:v>
      </s:c>
      <s:c r="C41" s="251" t="s">
        <s:v>55</s:v>
      </s:c>
      <s:c r="D41" s="262">
        <s:f>7583+31104</s:f>
        <s:v>38687</s:v>
      </s:c>
      <s:c r="E41" s="252">
        <s:v>5</s:v>
      </s:c>
      <s:c r="F41" s="259">
        <s:f>IF(AND(E41&lt;&gt;"",E41&lt;&gt;0),D41/E41,"")</s:f>
        <s:v>7737.4</s:v>
      </s:c>
      <s:c r="G41" s="252">
        <s:v>2</s:v>
      </s:c>
      <s:c r="H41" s="259">
        <s:f>IF(AND(G41&lt;&gt;"",G41&lt;&gt;0),D41/G41,"")</s:f>
        <s:v>19343.5</s:v>
      </s:c>
      <s:c r="I41" s="252">
        <s:v>17</s:v>
      </s:c>
      <s:c r="J41" s="262">
        <s:f>IF(AND(G41&lt;&gt;"",G41&lt;&gt;0),E41/G41,"")</s:f>
        <s:v>2.5</s:v>
      </s:c>
      <s:c r="K41" s="252"/>
      <s:c r="L41" s="252">
        <s:v>31104</s:v>
      </s:c>
      <s:c r="M41" s="252"/>
      <s:c r="N41" s="290">
        <s:f>IF(AND(I41&lt;&gt;"",I41&lt;&gt;0),G41/I41,"")</s:f>
        <s:v>0.11764705882352941</s:v>
      </s:c>
      <s:c r="O41" s="254">
        <s:f>D41/P41</s:f>
        <s:v>0.50200852195481849</s:v>
      </s:c>
      <s:c r="P41" s="255">
        <s:f>$I$8*V41*W41/SUMPRODUCT($W$25:$W$55,$V$25:$V$55)</s:f>
        <s:v>77064.428805616742</s:v>
      </s:c>
      <s:c r="Q41" s="256">
        <s:f>$I$9*V41*W41/SUMPRODUCT($W$25:$W$55,$V$25:$V$55)</s:f>
        <s:v>14.820082462618602</s:v>
      </s:c>
      <s:c r="R41" s="256">
        <s:f>IF($I$12="","",Q41/$I$12)</s:f>
        <s:v>7.6392177642363928</s:v>
      </s:c>
      <s:c r="S41" s="255">
        <s:f>IF(W41&lt;&gt;"",IF(D41&lt;&gt;"",D41,($I$8-SUM($S$25:S40))*V41*W41/SUMPRODUCT($W41:$W$55,$V41:$V$55)),"")</s:f>
        <s:v>38687</s:v>
      </s:c>
      <s:c r="T41" s="256">
        <s:f>IF(W41&lt;&gt;"",IF(E41&lt;&gt;"",E41,($I$9-SUM($T$25:T40))*V41*W41/SUMPRODUCT($W41:$W$55,$V41:$V$55)),"")</s:f>
        <s:v>5</s:v>
      </s:c>
      <s:c r="U41" s="256">
        <s:f>IF(W41&lt;&gt;"",IF($I$12&lt;&gt;"",IF(G41&lt;&gt;"",G41,($I$9/$I$12-SUM($U$25:U40))*V41*W41/SUMPRODUCT($W41:$W$55,$V41:$V$55)),""),"")</s:f>
        <s:v>2</s:v>
      </s:c>
      <s:c r="V41" s="247">
        <s:v>1</s:v>
      </s:c>
      <s:c r="W41" s="247">
        <s:v>1</s:v>
      </s:c>
      <s:c r="X41" s="257"/>
      <s:c r="Y41" s="257"/>
      <s:c r="Z41" s="260"/>
      <s:c r="AA41" s="258"/>
      <s:c r="AB41" s="258"/>
      <s:c r="AC41" s="258"/>
      <s:c r="AD41" s="258"/>
    </s:row>
    <s:row r="42" spans="1:30" s="248" customFormat="1">
      <s:c r="A42" s="113">
        <s:v>18</s:v>
      </s:c>
      <s:c r="B42" s="250" t="s">
        <s:v>68</s:v>
      </s:c>
      <s:c r="C42" s="286" t="s">
        <s:v>56</s:v>
      </s:c>
      <s:c r="D42" s="246">
        <s:v>23268</s:v>
      </s:c>
      <s:c r="E42" s="259">
        <s:v>4</s:v>
      </s:c>
      <s:c r="F42" s="252">
        <s:f>IF(AND(E42&lt;&gt;"",E42&lt;&gt;0),D42/E42,"")</s:f>
        <s:v>5817</s:v>
      </s:c>
      <s:c r="G42" s="259">
        <s:v>4</s:v>
      </s:c>
      <s:c r="H42" s="252">
        <s:f>IF(AND(G42&lt;&gt;"",G42&lt;&gt;0),D42/G42,"")</s:f>
        <s:v>5817</s:v>
      </s:c>
      <s:c r="I42" s="259">
        <s:v>17</s:v>
      </s:c>
      <s:c r="J42" s="246">
        <s:f>IF(AND(G42&lt;&gt;"",G42&lt;&gt;0),E42/G42,"")</s:f>
        <s:v>1</s:v>
      </s:c>
      <s:c r="K42" s="252"/>
      <s:c r="L42" s="252"/>
      <s:c r="M42" s="252"/>
      <s:c r="N42" s="290">
        <s:f>IF(AND(I42&lt;&gt;"",I42&lt;&gt;0),G42/I42,"")</s:f>
        <s:v>0.23529411764705882</s:v>
      </s:c>
      <s:c r="O42" s="254">
        <s:f>D42/P42</s:f>
        <s:v>0.30192918264131924</s:v>
      </s:c>
      <s:c r="P42" s="255">
        <s:f>$I$8*V42*W42/SUMPRODUCT($W$25:$W$55,$V$25:$V$55)</s:f>
        <s:v>77064.428805616742</s:v>
      </s:c>
      <s:c r="Q42" s="256">
        <s:f>$I$9*V42*W42/SUMPRODUCT($W$25:$W$55,$V$25:$V$55)</s:f>
        <s:v>14.820082462618602</s:v>
      </s:c>
      <s:c r="R42" s="256">
        <s:f>IF($I$12="","",Q42/$I$12)</s:f>
        <s:v>7.6392177642363928</s:v>
      </s:c>
      <s:c r="S42" s="255">
        <s:f>IF(W42&lt;&gt;"",IF(D42&lt;&gt;"",D42,($I$8-SUM($S$25:S41))*V42*W42/SUMPRODUCT($W42:$W$55,$V42:$V$55)),"")</s:f>
        <s:v>23268</s:v>
      </s:c>
      <s:c r="T42" s="256">
        <s:f>IF(W42&lt;&gt;"",IF(E42&lt;&gt;"",E42,($I$9-SUM($T$25:T41))*V42*W42/SUMPRODUCT($W42:$W$55,$V42:$V$55)),"")</s:f>
        <s:v>4</s:v>
      </s:c>
      <s:c r="U42" s="256">
        <s:f>IF(W42&lt;&gt;"",IF($I$12&lt;&gt;"",IF(G42&lt;&gt;"",G42,($I$9/$I$12-SUM($U$25:U41))*V42*W42/SUMPRODUCT($W42:$W$55,$V42:$V$55)),""),"")</s:f>
        <s:v>4</s:v>
      </s:c>
      <s:c r="V42" s="247">
        <s:v>1</s:v>
      </s:c>
      <s:c r="W42" s="247">
        <s:v>1</s:v>
      </s:c>
      <s:c r="X42" s="257"/>
      <s:c r="Y42" s="257"/>
      <s:c r="Z42" s="260"/>
      <s:c r="AA42" s="258"/>
      <s:c r="AB42" s="258"/>
      <s:c r="AC42" s="258"/>
      <s:c r="AD42" s="258"/>
    </s:row>
    <s:row r="43" spans="1:30" s="248" customFormat="1" ht="15" customHeight="1">
      <s:c r="A43" s="249"/>
      <s:c r="B43" s="250" t="s">
        <s:v>71</s:v>
      </s:c>
      <s:c r="C43" s="251" t="s">
        <s:v>51</s:v>
      </s:c>
      <s:c r="D43" s="246">
        <s:f>6184+25123</s:f>
        <s:v>31307</s:v>
      </s:c>
      <s:c r="E43" s="252">
        <s:v>3</s:v>
      </s:c>
      <s:c r="F43" s="252">
        <s:f>IF(AND(E43&lt;&gt;"",E43&lt;&gt;0),D43/E43,"")</s:f>
        <s:v>10435.666666666666</s:v>
      </s:c>
      <s:c r="G43" s="252">
        <s:v>3</s:v>
      </s:c>
      <s:c r="H43" s="252">
        <s:f>IF(AND(G43&lt;&gt;"",G43&lt;&gt;0),D43/G43,"")</s:f>
        <s:v>10435.666666666666</s:v>
      </s:c>
      <s:c r="I43" s="252">
        <s:v>20</s:v>
      </s:c>
      <s:c r="J43" s="246">
        <s:f>IF(AND(G43&lt;&gt;"",G43&lt;&gt;0),E43/G43,"")</s:f>
        <s:v>1</s:v>
      </s:c>
      <s:c r="K43" s="252"/>
      <s:c r="L43" s="252">
        <s:v>25123</s:v>
      </s:c>
      <s:c r="M43" s="252"/>
      <s:c r="N43" s="290">
        <s:f>IF(AND(I43&lt;&gt;"",I43&lt;&gt;0),G43/I43,"")</s:f>
        <s:v>0.15</s:v>
      </s:c>
      <s:c r="O43" s="254" t="e">
        <s:f>D43/P43</s:f>
        <s:v>#DIV/0!</s:v>
      </s:c>
      <s:c r="P43" s="255">
        <s:f>$I$8*V43*W43/SUMPRODUCT($W$25:$W$55,$V$25:$V$55)</s:f>
        <s:v>0</s:v>
      </s:c>
      <s:c r="Q43" s="256">
        <s:f>$I$9*V43*W43/SUMPRODUCT($W$25:$W$55,$V$25:$V$55)</s:f>
        <s:v>0</s:v>
      </s:c>
      <s:c r="R43" s="256">
        <s:f>IF($I$12="","",Q43/$I$12)</s:f>
        <s:v>0</s:v>
      </s:c>
      <s:c r="S43" s="255" t="str">
        <s:f>IF(W43&lt;&gt;"",IF(D43&lt;&gt;"",D43,($I$8-SUM($S$25:S42))*V43*W43/SUMPRODUCT($W43:$W$55,$V43:$V$55)),"")</s:f>
        <s:v/>
      </s:c>
      <s:c r="T43" s="256" t="str">
        <s:f>IF(W43&lt;&gt;"",IF(E43&lt;&gt;"",E43,($I$9-SUM($T$25:T42))*V43*W43/SUMPRODUCT($W43:$W$55,$V43:$V$55)),"")</s:f>
        <s:v/>
      </s:c>
      <s:c r="U43" s="256" t="str">
        <s:f>IF(W43&lt;&gt;"",IF($I$12&lt;&gt;"",IF(G43&lt;&gt;"",G43,($I$9/$I$12-SUM($U$25:U42))*V43*W43/SUMPRODUCT($W43:$W$55,$V43:$V$55)),""),"")</s:f>
        <s:v/>
      </s:c>
      <s:c r="V43" s="291"/>
      <s:c r="W43" s="291"/>
      <s:c r="X43" s="257"/>
      <s:c r="Y43" s="257"/>
      <s:c r="Z43" s="260"/>
      <s:c r="AA43" s="258"/>
      <s:c r="AB43" s="258"/>
      <s:c r="AC43" s="258"/>
      <s:c r="AD43" s="258"/>
    </s:row>
    <s:row r="44" spans="1:30" s="248" customFormat="1" ht="15" customHeight="1">
      <s:c r="A44" s="249"/>
      <s:c r="B44" s="250"/>
      <s:c r="C44" s="251"/>
      <s:c r="D44" s="246"/>
      <s:c r="E44" s="252"/>
      <s:c r="F44" s="252" t="str">
        <s:f>IF(AND(E44&lt;&gt;"",E44&lt;&gt;0),D44/E44,"")</s:f>
        <s:v/>
      </s:c>
      <s:c r="G44" s="252"/>
      <s:c r="H44" s="252" t="str">
        <s:f>IF(AND(G44&lt;&gt;"",G44&lt;&gt;0),D44/G44,"")</s:f>
        <s:v/>
      </s:c>
      <s:c r="I44" s="252"/>
      <s:c r="J44" s="246" t="str">
        <s:f>IF(AND(G44&lt;&gt;"",G44&lt;&gt;0),E44/G44,"")</s:f>
        <s:v/>
      </s:c>
      <s:c r="K44" s="252"/>
      <s:c r="L44" s="252"/>
      <s:c r="M44" s="252"/>
      <s:c r="N44" s="290" t="str">
        <s:f>IF(AND(I44&lt;&gt;"",I44&lt;&gt;0),G44/I44,"")</s:f>
        <s:v/>
      </s:c>
      <s:c r="O44" s="254" t="e">
        <s:f>D44/P44</s:f>
        <s:v>#DIV/0!</s:v>
      </s:c>
      <s:c r="P44" s="255">
        <s:f>$I$8*V44*W44/SUMPRODUCT($W$25:$W$55,$V$25:$V$55)</s:f>
        <s:v>0</s:v>
      </s:c>
      <s:c r="Q44" s="256">
        <s:f>$I$9*V44*W44/SUMPRODUCT($W$25:$W$55,$V$25:$V$55)</s:f>
        <s:v>0</s:v>
      </s:c>
      <s:c r="R44" s="256">
        <s:f>IF($I$12="","",Q44/$I$12)</s:f>
        <s:v>0</s:v>
      </s:c>
      <s:c r="S44" s="255" t="str">
        <s:f>IF(W44&lt;&gt;"",IF(D44&lt;&gt;"",D44,($I$8-SUM($S$25:S43))*V44*W44/SUMPRODUCT($W44:$W$55,$V44:$V$55)),"")</s:f>
        <s:v/>
      </s:c>
      <s:c r="T44" s="256">
        <s:f>IF(W44&lt;&gt;"",IF(E44&lt;&gt;"",E44,($I$9-SUM($T$25:T43))*V44*W44/SUMPRODUCT($W44:$W$55,$V44:$V$55)),0)</s:f>
        <s:v>0</s:v>
      </s:c>
      <s:c r="U44" s="256" t="str">
        <s:f>IF(W44&lt;&gt;"",IF($I$12&lt;&gt;"",IF(G44&lt;&gt;"",G44,($I$9/$I$12-SUM($U$25:U43))*V44*W44/SUMPRODUCT($W44:$W$55,$V44:$V$55)),""),"")</s:f>
        <s:v/>
      </s:c>
      <s:c r="V44" s="291"/>
      <s:c r="W44" s="291"/>
      <s:c r="X44" s="257"/>
      <s:c r="Y44" s="257"/>
      <s:c r="Z44" s="258"/>
      <s:c r="AA44" s="258"/>
      <s:c r="AB44" s="258"/>
      <s:c r="AC44" s="258"/>
      <s:c r="AD44" s="258"/>
    </s:row>
    <s:row r="45" spans="1:30" customFormat="1">
      <s:c r="A45" s="292"/>
      <s:c r="B45" s="114">
        <s:v>45797</s:v>
      </s:c>
      <s:c r="C45" s="245" t="s">
        <s:v>55</s:v>
      </s:c>
      <s:c r="D45" s="116">
        <s:v>5392</s:v>
      </s:c>
      <s:c r="E45" s="117">
        <s:v>1</s:v>
      </s:c>
      <s:c r="F45" s="117">
        <s:f>IF(AND(E45&lt;&gt;"",E45&lt;&gt;0),D45/E45,"")</s:f>
        <s:v>5392</s:v>
      </s:c>
      <s:c r="G45" s="117">
        <s:v>1</s:v>
      </s:c>
      <s:c r="H45" s="117">
        <s:f>IF(AND(G45&lt;&gt;"",G45&lt;&gt;0),D45/G45,"")</s:f>
        <s:v>5392</s:v>
      </s:c>
      <s:c r="I45" s="117"/>
      <s:c r="J45" s="116">
        <s:f>IF(AND(G45&lt;&gt;"",G45&lt;&gt;0),E45/G45,"")</s:f>
        <s:v>1</s:v>
      </s:c>
      <s:c r="K45" s="117"/>
      <s:c r="L45" s="117"/>
      <s:c r="M45" s="117"/>
      <s:c r="N45" s="293" t="str">
        <s:f>IF(AND(I45&lt;&gt;"",I45&lt;&gt;0),G45/I45,"")</s:f>
        <s:v/>
      </s:c>
      <s:c r="O45" s="119" t="e">
        <s:f>D45/P45</s:f>
        <s:v>#DIV/0!</s:v>
      </s:c>
      <s:c r="P45" s="120">
        <s:f>$I$8*V45*W45/SUMPRODUCT($W$25:$W$44,$V$25:$V$44)</s:f>
        <s:v>0</s:v>
      </s:c>
      <s:c r="Q45" s="121">
        <s:f>$I$9*V45*W45/SUMPRODUCT($W$25:$W$44,$V$25:$V$44)</s:f>
        <s:v>0</s:v>
      </s:c>
      <s:c r="R45" s="121">
        <s:f>IF($I$12="","",Q45/$I$12)</s:f>
        <s:v>0</s:v>
      </s:c>
      <s:c r="S45" s="120" t="str">
        <s:f>IF(W45&lt;&gt;"",IF(D45&lt;&gt;"",D45,($I$8-SUM($S$25:S44))*V45*W45/SUMPRODUCT($W$44:$W45,$V$44:$V45)),"")</s:f>
        <s:v/>
      </s:c>
      <s:c r="T45" s="121" t="str">
        <s:f>IF(W45&lt;&gt;"",IF(E45&lt;&gt;"",E45,($I$9-SUM($T$25:T44))*V45*W45/SUMPRODUCT($W$44:$W45,$V$44:$V45)),"")</s:f>
        <s:v/>
      </s:c>
      <s:c r="U45" s="121" t="str">
        <s:f>IF(W45&lt;&gt;"",IF($I$12&lt;&gt;"",IF(G45&lt;&gt;"",G45,($I$9/$I$12-SUM($U$25:U44))*V45*W45/SUMPRODUCT($W$44:$W45,$V$44:$V45)),""),"")</s:f>
        <s:v/>
      </s:c>
      <s:c r="V45" s="294"/>
      <s:c r="W45" s="294"/>
      <s:c r="X45" s="295"/>
      <s:c r="Y45" s="295"/>
      <s:c r="Z45" s="296"/>
    </s:row>
    <s:row r="46" spans="1:30" s="248" customFormat="1">
      <s:c r="A46" s="297"/>
      <s:c r="B46" s="250">
        <s:v>45783</s:v>
      </s:c>
      <s:c r="C46" s="277" t="s">
        <s:v>55</s:v>
      </s:c>
      <s:c r="D46" s="246">
        <s:v>5939</s:v>
      </s:c>
      <s:c r="E46" s="252">
        <s:v>2</s:v>
      </s:c>
      <s:c r="F46" s="252">
        <s:f>IF(AND(E46&lt;&gt;"",E46&lt;&gt;0),D46/E46,"")</s:f>
        <s:v>2969.5</s:v>
      </s:c>
      <s:c r="G46" s="252">
        <s:v>1</s:v>
      </s:c>
      <s:c r="H46" s="252">
        <s:f>IF(AND(G46&lt;&gt;"",G46&lt;&gt;0),D46/G46,"")</s:f>
        <s:v>5939</s:v>
      </s:c>
      <s:c r="I46" s="252"/>
      <s:c r="J46" s="246">
        <s:f>IF(AND(G46&lt;&gt;"",G46&lt;&gt;0),E46/G46,"")</s:f>
        <s:v>2</s:v>
      </s:c>
      <s:c r="K46" s="252"/>
      <s:c r="L46" s="252"/>
      <s:c r="M46" s="252"/>
      <s:c r="N46" s="290" t="str">
        <s:f>IF(AND(I46&lt;&gt;"",I46&lt;&gt;0),G46/I46,"")</s:f>
        <s:v/>
      </s:c>
      <s:c r="O46" s="254" t="e">
        <s:f>D46/P46</s:f>
        <s:v>#DIV/0!</s:v>
      </s:c>
      <s:c r="P46" s="255">
        <s:f>$I$8*V46*W46/SUMPRODUCT($W$25:$W$44,$V$25:$V$44)</s:f>
        <s:v>0</s:v>
      </s:c>
      <s:c r="Q46" s="256">
        <s:f>$I$9*V46*W46/SUMPRODUCT($W$25:$W$44,$V$25:$V$44)</s:f>
        <s:v>0</s:v>
      </s:c>
      <s:c r="R46" s="256">
        <s:f>IF($I$12="","",Q46/$I$12)</s:f>
        <s:v>0</s:v>
      </s:c>
      <s:c r="S46" s="255" t="str">
        <s:f>IF(W46&lt;&gt;"",IF(D46&lt;&gt;"",D46,($I$8-SUM($S$25:S45))*V46*W46/SUMPRODUCT($W$44:$W46,$V$44:$V46)),"")</s:f>
        <s:v/>
      </s:c>
      <s:c r="T46" s="256" t="str">
        <s:f>IF(W46&lt;&gt;"",IF(E46&lt;&gt;"",E46,($I$9-SUM($T$25:T45))*V46*W46/SUMPRODUCT($W$44:$W46,$V$44:$V46)),"")</s:f>
        <s:v/>
      </s:c>
      <s:c r="U46" s="256" t="str">
        <s:f>IF(W46&lt;&gt;"",IF($I$12&lt;&gt;"",IF(G46&lt;&gt;"",G46,($I$9/$I$12-SUM($U$25:U45))*V46*W46/SUMPRODUCT($W$44:$W46,$V$44:$V46)),""),"")</s:f>
        <s:v/>
      </s:c>
      <s:c r="V46" s="291"/>
      <s:c r="W46" s="291"/>
      <s:c r="X46" s="298"/>
      <s:c r="Y46" s="298"/>
      <s:c r="Z46" s="299"/>
    </s:row>
    <s:row r="47" spans="1:30" s="248" customFormat="1">
      <s:c r="A47" s="300"/>
      <s:c r="B47" s="250">
        <s:v>45788</s:v>
      </s:c>
      <s:c r="C47" s="261" t="s">
        <s:v>53</s:v>
      </s:c>
      <s:c r="D47" s="246">
        <s:v>5783</s:v>
      </s:c>
      <s:c r="E47" s="252">
        <s:v>2</s:v>
      </s:c>
      <s:c r="F47" s="252">
        <s:f>IF(AND(E47&lt;&gt;"",E47&lt;&gt;0),D47/E47,"")</s:f>
        <s:v>2891.5</s:v>
      </s:c>
      <s:c r="G47" s="252">
        <s:v>1</s:v>
      </s:c>
      <s:c r="H47" s="252">
        <s:f>IF(AND(G47&lt;&gt;"",G47&lt;&gt;0),D47/G47,"")</s:f>
        <s:v>5783</s:v>
      </s:c>
      <s:c r="I47" s="252"/>
      <s:c r="J47" s="246">
        <s:f>IF(AND(G47&lt;&gt;"",G47&lt;&gt;0),E47/G47,"")</s:f>
        <s:v>2</s:v>
      </s:c>
      <s:c r="K47" s="252"/>
      <s:c r="L47" s="252"/>
      <s:c r="M47" s="252"/>
      <s:c r="N47" s="290" t="str">
        <s:f>IF(AND(I47&lt;&gt;"",I47&lt;&gt;0),G47/I47,"")</s:f>
        <s:v/>
      </s:c>
      <s:c r="O47" s="254" t="e">
        <s:f>D47/P47</s:f>
        <s:v>#DIV/0!</s:v>
      </s:c>
      <s:c r="P47" s="255">
        <s:f>$I$8*V47*W47/SUMPRODUCT($W$25:$W$47,$V$25:$V$47)</s:f>
        <s:v>0</s:v>
      </s:c>
      <s:c r="Q47" s="256">
        <s:f>$I$9*V47*W47/SUMPRODUCT($W$25:$W$47,$V$25:$V$47)</s:f>
        <s:v>0</s:v>
      </s:c>
      <s:c r="R47" s="256">
        <s:f>IF($I$12="","",Q47/$I$12)</s:f>
        <s:v>0</s:v>
      </s:c>
      <s:c r="S47" s="255" t="str">
        <s:f>IF(W47&lt;&gt;"",IF(D47&lt;&gt;"",D47,($I$8-SUM($S$25:S46))*V47*W47/SUMPRODUCT($W47:$W$47,$V47:$V$47)),"")</s:f>
        <s:v/>
      </s:c>
      <s:c r="T47" s="256" t="str">
        <s:f>IF(W47&lt;&gt;"",IF(E47&lt;&gt;"",E47,($I$9-SUM($T$25:T46))*V47*W47/SUMPRODUCT($W47:$W$47,$V47:$V$47)),"")</s:f>
        <s:v/>
      </s:c>
      <s:c r="U47" s="256" t="str">
        <s:f>IF(W47&lt;&gt;"",IF($I$12&lt;&gt;"",IF(G47&lt;&gt;"",G47,($I$9/$I$12-SUM($U$25:U46))*V47*W47/SUMPRODUCT($W47:$W$47,$V47:$V$47)),""),"")</s:f>
        <s:v/>
      </s:c>
      <s:c r="V47" s="291"/>
      <s:c r="W47" s="291"/>
      <s:c r="X47" s="298"/>
      <s:c r="Y47" s="298"/>
      <s:c r="Z47" s="299"/>
    </s:row>
    <s:row r="48" spans="1:30" ht="15" customHeight="1">
      <s:c r="B48" s="569" t="s">
        <s:v>61</s:v>
      </s:c>
      <s:c r="C48" s="569"/>
      <s:c r="D48" s="100">
        <s:f>SUM(D25:D47)</s:f>
        <s:v>707514</s:v>
      </s:c>
      <s:c r="E48" s="100">
        <s:f>SUM(E25:E47)</s:f>
        <s:v>132</s:v>
      </s:c>
      <s:c r="F48" s="100">
        <s:f>IF(AND(E48&lt;&gt;"",E48&lt;&gt;0),D48/E48,"")</s:f>
        <s:v>5359.954545454545</s:v>
      </s:c>
      <s:c r="G48" s="100">
        <s:f>SUM(G25:G47)</s:f>
        <s:v>69</s:v>
      </s:c>
      <s:c r="H48" s="100">
        <s:f>IF(AND(G48&lt;&gt;"",G48&lt;&gt;0),D48/G48,"")</s:f>
        <s:v>10253.826086956522</s:v>
      </s:c>
      <s:c r="I48" s="100">
        <s:f>SUM(I25:I47)</s:f>
        <s:v>313</s:v>
      </s:c>
      <s:c r="J48" s="99">
        <s:f>IF(AND(G48&lt;&gt;"",G48&lt;&gt;0),E48/G48,"")</s:f>
        <s:v>1.9130434782608696</s:v>
      </s:c>
      <s:c r="K48" s="100">
        <s:f>SUM(K25:K47)</s:f>
        <s:v>121439</s:v>
      </s:c>
      <s:c r="L48" s="100">
        <s:f>SUM(L25:L47)</s:f>
        <s:v>153471</s:v>
      </s:c>
      <s:c r="M48" s="100">
        <s:f>SUM(M25:M47)</s:f>
        <s:v>0</s:v>
      </s:c>
      <s:c r="N48" s="128">
        <s:f>IF(AND(I48&lt;&gt;"",I48&lt;&gt;0),G48/I48,"")</s:f>
        <s:v>0.22044728434504793</s:v>
      </s:c>
      <s:c r="O48" s="102">
        <s:f>D48/P48</s:f>
        <s:v>0.49787481426291674</s:v>
      </s:c>
      <s:c r="P48" s="104">
        <s:f>SUM(P25:P47)</s:f>
        <s:v>1421068.067175572</s:v>
      </s:c>
      <s:c r="Q48" s="104">
        <s:f>SUM(Q25:Q47)</s:f>
        <s:v>273.28232061068707</s:v>
      </s:c>
      <s:c r="R48" s="104">
        <s:f>SUM(R25:R47)</s:f>
        <s:v>140.8671755725191</s:v>
      </s:c>
      <s:c r="S48" s="104">
        <s:f>SUM(S25:S47)</s:f>
        <s:v>659093</s:v>
      </s:c>
      <s:c r="T48" s="104">
        <s:f>SUM(T25:T47)</s:f>
        <s:v>127</s:v>
      </s:c>
      <s:c r="U48" s="104">
        <s:f>SUM(U25:U47)</s:f>
        <s:v>63</s:v>
      </s:c>
      <s:c r="V48" s="129"/>
      <s:c r="W48" s="129"/>
    </s:row>
    <s:row r="49">
      <s:c r="B49" s="131"/>
      <s:c r="C49" s="132"/>
      <s:c r="D49" s="133">
        <s:f>SUMIF(D25:D47,"",P25:P47)+D48</s:f>
        <s:v>707514</s:v>
      </s:c>
      <s:c r="E49" s="134"/>
      <s:c r="F49" s="132"/>
      <s:c r="G49" s="132"/>
      <s:c r="H49" s="135"/>
      <s:c r="I49" s="243"/>
      <s:c r="J49" s="135"/>
      <s:c r="L49" s="137"/>
      <s:c r="M49" s="134"/>
      <s:c r="N49" s="137"/>
      <s:c r="O49" s="137"/>
      <s:c r="P49" s="137"/>
      <s:c r="Q49" s="138"/>
    </s:row>
    <s:row r="50">
      <s:c r="D50" s="139"/>
    </s:row>
    <s:row r="51">
      <s:c r="D51" s="139"/>
    </s:row>
    <s:row r="52">
      <s:c r="D52" s="235"/>
    </s:row>
    <s:row r="53">
      <s:c r="D53" s="235"/>
    </s:row>
  </s:sheetData>
  <s:mergeCells count="28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B48:C48"/>
    <s:mergeCell ref="F18:H18"/>
    <s:mergeCell ref="F19:H19"/>
    <s:mergeCell ref="F20:H20"/>
    <s:mergeCell ref="B22:N22"/>
    <s:mergeCell ref="O22:O24"/>
  </s:mergeCells>
  <s:conditionalFormatting sqref="J16">
    <s:cfRule type="cellIs" dxfId="121" priority="903" operator="lessThan">
      <s:formula>0</s:formula>
    </s:cfRule>
    <s:cfRule type="cellIs" dxfId="120" priority="904" operator="greaterThan">
      <s:formula>0</s:formula>
    </s:cfRule>
  </s:conditionalFormatting>
  <s:conditionalFormatting sqref="J25:J30">
    <s:cfRule type="cellIs" dxfId="119" priority="10" operator="lessThan">
      <s:formula>$I$12</s:formula>
    </s:cfRule>
  </s:conditionalFormatting>
  <s:conditionalFormatting sqref="J25:J31">
    <s:cfRule type="cellIs" dxfId="118" priority="11" operator="greaterThan">
      <s:formula>$I$12</s:formula>
    </s:cfRule>
  </s:conditionalFormatting>
  <s:conditionalFormatting sqref="J29:J30">
    <s:cfRule type="cellIs" dxfId="117" priority="1041" operator="lessThan">
      <s:formula>$I$12</s:formula>
    </s:cfRule>
  </s:conditionalFormatting>
  <s:conditionalFormatting sqref="J29:J42">
    <s:cfRule type="cellIs" dxfId="116" priority="1061" operator="greaterThan">
      <s:formula>$I$12</s:formula>
    </s:cfRule>
    <s:cfRule type="cellIs" dxfId="115" priority="1068" operator="lessThan">
      <s:formula>$I$12</s:formula>
    </s:cfRule>
  </s:conditionalFormatting>
  <s:conditionalFormatting sqref="J43:J47 J37">
    <s:cfRule type="cellIs" dxfId="114" priority="220" operator="greaterThan">
      <s:formula>$I$12</s:formula>
    </s:cfRule>
  </s:conditionalFormatting>
  <s:conditionalFormatting sqref="J43:J47">
    <s:cfRule type="cellIs" dxfId="113" priority="219" operator="lessThan">
      <s:formula>$I$12</s:formula>
    </s:cfRule>
  </s:conditionalFormatting>
  <s:conditionalFormatting sqref="K10:K12 K15">
    <s:cfRule type="cellIs" dxfId="112" priority="901" operator="lessThan">
      <s:formula>1</s:formula>
    </s:cfRule>
    <s:cfRule type="cellIs" dxfId="111" priority="902" operator="greaterThan">
      <s:formula>1</s:formula>
    </s:cfRule>
  </s:conditionalFormatting>
  <s:conditionalFormatting sqref="K13">
    <s:cfRule type="cellIs" dxfId="110" priority="551" operator="lessThan">
      <s:formula>$K$14</s:formula>
    </s:cfRule>
    <s:cfRule type="cellIs" dxfId="109" priority="552" operator="greaterThan">
      <s:formula>$K$14</s:formula>
    </s:cfRule>
  </s:conditionalFormatting>
  <s:conditionalFormatting sqref="M8:M15">
    <s:cfRule type="cellIs" dxfId="108" priority="900" operator="greaterThan">
      <s:formula>1</s:formula>
    </s:cfRule>
    <s:cfRule type="cellIs" dxfId="107" priority="919" operator="lessThan">
      <s:formula>1</s:formula>
    </s:cfRule>
  </s:conditionalFormatting>
  <s:conditionalFormatting sqref="N25:N37">
    <s:cfRule type="cellIs" dxfId="106" priority="7" operator="between">
      <s:formula>0.2</s:formula>
      <s:formula>0.25</s:formula>
    </s:cfRule>
    <s:cfRule type="cellIs" dxfId="105" priority="8" operator="greaterThanOrEqual">
      <s:formula>0.25</s:formula>
    </s:cfRule>
  </s:conditionalFormatting>
  <s:conditionalFormatting sqref="N25:N47">
    <s:cfRule type="cellIs" dxfId="104" priority="9" operator="lessThan">
      <s:formula>0.2</s:formula>
    </s:cfRule>
  </s:conditionalFormatting>
  <s:conditionalFormatting sqref="N38">
    <s:cfRule type="cellIs" dxfId="103" priority="1054" operator="between">
      <s:formula>0.2</s:formula>
      <s:formula>0.25</s:formula>
    </s:cfRule>
  </s:conditionalFormatting>
  <s:conditionalFormatting sqref="N38:N47">
    <s:cfRule type="cellIs" dxfId="102" priority="217" operator="greaterThanOrEqual">
      <s:formula>0.25</s:formula>
    </s:cfRule>
  </s:conditionalFormatting>
  <s:conditionalFormatting sqref="N39:N47">
    <s:cfRule type="cellIs" dxfId="101" priority="216" operator="between">
      <s:formula>0.2</s:formula>
      <s:formula>0.25</s:formula>
    </s:cfRule>
  </s:conditionalFormatting>
  <s:conditionalFormatting sqref="O25:O37">
    <s:cfRule type="cellIs" dxfId="100" priority="1" operator="between">
      <s:formula>0.9001</s:formula>
      <s:formula>0.9999</s:formula>
    </s:cfRule>
    <s:cfRule type="cellIs" dxfId="99" priority="2" operator="lessThan">
      <s:formula>0.9</s:formula>
    </s:cfRule>
    <s:cfRule type="cellIs" dxfId="98" priority="5" operator="between">
      <s:formula>0.85</s:formula>
      <s:formula>1</s:formula>
    </s:cfRule>
    <s:cfRule type="cellIs" dxfId="97" priority="6" operator="between">
      <s:formula>0.01</s:formula>
      <s:formula>0.99</s:formula>
    </s:cfRule>
  </s:conditionalFormatting>
  <s:conditionalFormatting sqref="O25:O47">
    <s:cfRule type="cellIs" dxfId="96" priority="3" operator="greaterThan">
      <s:formula>1</s:formula>
    </s:cfRule>
    <s:cfRule type="cellIs" dxfId="95" priority="4" operator="greaterThan">
      <s:formula>100</s:formula>
    </s:cfRule>
  </s:conditionalFormatting>
  <s:conditionalFormatting sqref="O38">
    <s:cfRule type="cellIs" dxfId="94" priority="1056" operator="between">
      <s:formula>0.85</s:formula>
      <s:formula>1</s:formula>
    </s:cfRule>
    <s:cfRule type="cellIs" dxfId="93" priority="1059" operator="lessThan">
      <s:formula>0.9</s:formula>
    </s:cfRule>
    <s:cfRule type="cellIs" dxfId="92" priority="1060" operator="between">
      <s:formula>0.9001</s:formula>
      <s:formula>0.9999</s:formula>
    </s:cfRule>
  </s:conditionalFormatting>
  <s:conditionalFormatting sqref="O38:O47">
    <s:cfRule type="cellIs" dxfId="91" priority="215" operator="between">
      <s:formula>0.01</s:formula>
      <s:formula>0.99</s:formula>
    </s:cfRule>
  </s:conditionalFormatting>
  <s:conditionalFormatting sqref="O39:O44">
    <s:cfRule type="cellIs" dxfId="90" priority="214" operator="between">
      <s:formula>0.85</s:formula>
      <s:formula>1</s:formula>
    </s:cfRule>
  </s:conditionalFormatting>
  <s:conditionalFormatting sqref="O39:O47">
    <s:cfRule type="cellIs" dxfId="89" priority="210" operator="between">
      <s:formula>0.9001</s:formula>
      <s:formula>0.9999</s:formula>
    </s:cfRule>
    <s:cfRule type="cellIs" dxfId="88" priority="211" operator="lessThan">
      <s:formula>0.9</s:formula>
    </s:cfRule>
  </s:conditionalFormatting>
  <s:conditionalFormatting sqref="O45:O47">
    <s:cfRule type="cellIs" dxfId="87" priority="639" operator="between">
      <s:formula>0.85</s:formula>
      <s:formula>1</s:formula>
    </s:cfRule>
  </s:conditionalFormatting>
  <s:conditionalFormatting sqref="P10:Q10">
    <s:cfRule type="cellIs" dxfId="86" priority="915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600-000000000000}">
  <s:sheetPr>
    <s:pageSetUpPr fitToPage="1"/>
  </s:sheetPr>
  <s:dimension ref="A1:IU53"/>
  <s:sheetViews>
    <s:sheetView showZeros="0" tabSelected="0" zoomScale="75" workbookViewId="0">
      <s:pane xSplit="3" topLeftCell="D1" activePane="topRight" state="frozen"/>
      <s:selection pane="topRight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10.164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70">
        <s:f ca="1">TODAY()-1</s:f>
        <s:v>46171</s:v>
      </s:c>
      <s:c r="C1" s="670"/>
      <s:c r="D1" s="11"/>
      <s:c r="E1" s="11"/>
      <s:c r="F1" s="12"/>
      <s:c r="G1" s="12"/>
      <s:c r="H1" s="12"/>
      <s:c r="I1" s="12"/>
      <s:c r="J1" s="209"/>
      <s:c r="K1" s="209"/>
      <s:c r="L1" s="209"/>
      <s:c r="M1" s="209"/>
      <s:c r="N1" s="209"/>
      <s:c r="O1" s="209"/>
      <s:c r="P1" s="209"/>
      <s:c r="Q1" s="671"/>
      <s:c r="R1" s="671"/>
      <s:c r="S1" s="671"/>
      <s:c r="T1" s="671"/>
      <s:c r="U1" s="12"/>
      <s:c r="V1" s="12"/>
      <s:c r="W1" s="12"/>
    </s:row>
    <s:row r="2" spans="2:23" ht="21.75" customHeight="1">
      <s:c r="B2" s="672" t="s">
        <s:v>0</s:v>
      </s:c>
      <s:c r="C2" s="672"/>
      <s:c r="D2" s="11"/>
      <s:c r="E2" s="11"/>
      <s:c r="F2" s="12"/>
      <s:c r="G2" s="12"/>
      <s:c r="H2" s="12"/>
      <s:c r="I2" s="12"/>
      <s:c r="J2" s="673" t="s">
        <s:v>67</s:v>
      </s:c>
      <s:c r="K2" s="673"/>
      <s:c r="L2" s="673"/>
      <s:c r="M2" s="673"/>
      <s:c r="N2" s="673"/>
      <s:c r="O2" s="673"/>
      <s:c r="P2" s="673"/>
      <s:c r="Q2" s="671"/>
      <s:c r="R2" s="671"/>
      <s:c r="S2" s="671"/>
      <s:c r="T2" s="671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74" t="str">
        <s:f>График!B26</s:f>
        <s:v>Орешникова Елена</s:v>
      </s:c>
      <s:c r="K3" s="675"/>
      <s:c r="L3" s="675"/>
      <s:c r="M3" s="675"/>
      <s:c r="N3" s="676"/>
      <s:c r="O3" s="209"/>
      <s:c r="P3" s="210"/>
      <s:c r="Q3" s="671"/>
      <s:c r="R3" s="671"/>
      <s:c r="S3" s="671"/>
      <s:c r="T3" s="671"/>
      <s:c r="U3" s="12"/>
      <s:c r="V3" s="12"/>
      <s:c r="W3" s="12"/>
    </s:row>
    <s:row r="4" spans="2:23" ht="15" customHeight="1">
      <s:c r="B4" s="11"/>
      <s:c r="C4" s="680">
        <s:f>I8-D48</s:f>
        <s:v>0</s:v>
      </s:c>
      <s:c r="D4" s="681"/>
      <s:c r="E4" s="211">
        <s:f>IF(I8&lt;&gt;0,C4/I8,0)</s:f>
        <s:v>0</s:v>
      </s:c>
      <s:c r="F4" s="12"/>
      <s:c r="G4" s="12"/>
      <s:c r="H4" s="12"/>
      <s:c r="I4" s="12"/>
      <s:c r="J4" s="677"/>
      <s:c r="K4" s="678"/>
      <s:c r="L4" s="678"/>
      <s:c r="M4" s="678"/>
      <s:c r="N4" s="679"/>
      <s:c r="O4" s="12"/>
      <s:c r="P4" s="12"/>
      <s:c r="Q4" s="671"/>
      <s:c r="R4" s="671"/>
      <s:c r="S4" s="671"/>
      <s:c r="T4" s="671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63"/>
      <s:c r="K5" s="663"/>
      <s:c r="L5" s="663"/>
      <s:c r="M5" s="663"/>
      <s:c r="N5" s="663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212"/>
      <s:c r="C6" s="12"/>
      <s:c r="D6" s="12"/>
      <s:c r="E6" s="12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21"/>
      <s:c r="S6" s="21"/>
      <s:c r="T6" s="12"/>
      <s:c r="U6" s="12"/>
      <s:c r="V6" s="12"/>
      <s:c r="W6" s="12"/>
    </s:row>
    <s:row r="7" spans="2:23" ht="50.75" customHeight="1">
      <s:c r="B7" s="212"/>
      <s:c r="C7" s="12"/>
      <s:c r="D7" s="12"/>
      <s:c r="E7" s="12"/>
      <s:c r="F7" s="585" t="s">
        <s:v>3</s:v>
      </s:c>
      <s:c r="G7" s="586"/>
      <s:c r="H7" s="587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21"/>
      <s:c r="S7" s="21"/>
      <s:c r="T7" s="12"/>
      <s:c r="U7" s="12"/>
      <s:c r="V7" s="12"/>
      <s:c r="W7" s="12"/>
    </s:row>
    <s:row r="8" spans="2:23" ht="15.75" customHeight="1">
      <s:c r="B8" s="212"/>
      <s:c r="C8" s="12"/>
      <s:c r="D8" s="12"/>
      <s:c r="E8" s="12"/>
      <s:c r="F8" s="577" t="s">
        <s:v>12</s:v>
      </s:c>
      <s:c r="G8" s="578"/>
      <s:c r="H8" s="579"/>
      <s:c r="I8" s="213">
        <s:f>'Ялта, Ленина, 18'!I8/График!AJ31*График!AJ26</s:f>
        <s:v>0</s:v>
      </s:c>
      <s:c r="J8" s="214">
        <s:f>D48</s:f>
        <s:v>0</s:v>
      </s:c>
      <s:c r="K8" s="281" t="str">
        <s:f>IF(AND(I8&lt;&gt;"",I8&lt;&gt;0,J8&lt;&gt;""),J8/I8,"")</s:f>
        <s:v/>
      </s:c>
      <s:c r="L8" s="216">
        <s:f>IF(SUMIF($D$25:$D$47,"&gt;=0",$P$25:$P$47)&lt;&gt;0,I8*D48/SUMIF($D$25:$D$47,"&gt;=0",$P$25:$P$47),0)</s:f>
        <s:v>0</s:v>
      </s:c>
      <s:c r="M8" s="32" t="str">
        <s:f>IF(AND(I8&lt;&gt;"",I8&lt;&gt;0,L8&lt;&gt;"",L8&lt;&gt;0),L8/I8,"")</s:f>
        <s:v/>
      </s:c>
      <s:c r="N8" s="35" t="str">
        <s:f>IF(AND(J8&lt;&gt;0,J8&lt;&gt;"",I8&lt;&gt;0,I8&lt;&gt;""),L8-I8,"")</s:f>
        <s:v/>
      </s:c>
      <s:c r="O8" s="34"/>
      <s:c r="P8" s="35" t="str">
        <s:f>IF(AND(O8&lt;&gt;"",O8&lt;&gt;0,L8&lt;&gt;"",L8&lt;&gt;0),-O8+L8,"")</s:f>
        <s:v/>
      </s:c>
      <s:c r="Q8" s="36" t="str">
        <s:f>IF(AND(P8&lt;&gt;"",P8&lt;&gt;0,O8&lt;&gt;0,O8&lt;&gt;""),P8/O8,"")</s:f>
        <s:v/>
      </s:c>
      <s:c r="R8" s="21"/>
      <s:c r="S8" s="37"/>
      <s:c r="T8" s="12"/>
      <s:c r="U8" s="12"/>
      <s:c r="V8" s="12"/>
      <s:c r="W8" s="12"/>
    </s:row>
    <s:row r="9" spans="2:23" ht="15.75" customHeight="1">
      <s:c r="B9" s="212"/>
      <s:c r="C9" s="12"/>
      <s:c r="D9" s="12"/>
      <s:c r="E9" s="12"/>
      <s:c r="F9" s="571" t="s">
        <s:v>13</s:v>
      </s:c>
      <s:c r="G9" s="572"/>
      <s:c r="H9" s="573"/>
      <s:c r="I9" s="38">
        <s:f>I8/I11</s:f>
        <s:v>0</s:v>
      </s:c>
      <s:c r="J9" s="39">
        <s:f>E48</s:f>
        <s:v>0</s:v>
      </s:c>
      <s:c r="K9" s="282" t="str">
        <s:f>IF(AND(I9&lt;&gt;"",I9&lt;&gt;0,J9&lt;&gt;""),J9/I9,"")</s:f>
        <s:v/>
      </s:c>
      <s:c r="L9" s="218">
        <s:f>IF(SUMIF($E$25:$E$47,"&gt;=0",$Q$25:$Q$47)&lt;&gt;0,I9*E48/SUMIF($E$25:$E$47,"&gt;=0",$Q$25:$Q$47),0)</s:f>
        <s:v>0</s:v>
      </s:c>
      <s:c r="M9" s="42" t="str">
        <s:f>IF(AND(I9&lt;&gt;"",I9&lt;&gt;0,L9&lt;&gt;"",L9&lt;&gt;0),L9/I9,"")</s:f>
        <s:v/>
      </s:c>
      <s:c r="N9" s="43" t="str">
        <s:f>IF(AND(J9&lt;&gt;0,J9&lt;&gt;"",I9&lt;&gt;0,I9&lt;&gt;""),L9-I9,"")</s:f>
        <s:v/>
      </s:c>
      <s:c r="O9" s="44" t="e">
        <s:f>O8/O11</s:f>
        <s:v>#DIV/0!</s:v>
      </s:c>
      <s:c r="P9" s="43" t="e">
        <s:f>IF(AND(O9&lt;&gt;"",O9&lt;&gt;0,L9&lt;&gt;"",L9&lt;&gt;0),-O9+L9,"")</s:f>
        <s:v>#DIV/0!</s:v>
      </s:c>
      <s:c r="Q9" s="45" t="e">
        <s:f>IF(AND(P9&lt;&gt;"",P9&lt;&gt;0,O9&lt;&gt;0,O9&lt;&gt;""),P9/O9,"")</s:f>
        <s:v>#DIV/0!</s:v>
      </s:c>
      <s:c r="R9" s="21"/>
      <s:c r="S9" s="37"/>
      <s:c r="T9" s="12"/>
      <s:c r="U9" s="12"/>
      <s:c r="V9" s="12"/>
      <s:c r="W9" s="12"/>
    </s:row>
    <s:row r="10" spans="2:23" ht="15.75" customHeight="1">
      <s:c r="B10" s="212"/>
      <s:c r="C10" s="12"/>
      <s:c r="D10" s="12"/>
      <s:c r="E10" s="12"/>
      <s:c r="F10" s="577" t="s">
        <s:v>14</s:v>
      </s:c>
      <s:c r="G10" s="578"/>
      <s:c r="H10" s="579"/>
      <s:c r="I10" s="50">
        <s:f>I11*I12</s:f>
        <s:v>10088</s:v>
      </s:c>
      <s:c r="J10" s="220" t="str">
        <s:f>H48</s:f>
        <s:v/>
      </s:c>
      <s:c r="K10" s="283" t="str">
        <s:f>IF(AND(I10&lt;&gt;"",I10&lt;&gt;0,J10&lt;&gt;""),J10/I10,"")</s:f>
        <s:v/>
      </s:c>
      <s:c r="L10" s="218" t="str">
        <s:f>J10</s:f>
        <s:v/>
      </s:c>
      <s:c r="M10" s="48" t="str">
        <s:f>IF(AND(I10&lt;&gt;"",I10&lt;&gt;0,L10&lt;&gt;"",L10&lt;&gt;0),L10/I10,"")</s:f>
        <s:v/>
      </s:c>
      <s:c r="N10" s="49" t="str">
        <s:f>IF(AND(J10&lt;&gt;0,J10&lt;&gt;"",I10&lt;&gt;0,I10&lt;&gt;""),L10-I10,"")</s:f>
        <s:v/>
      </s:c>
      <s:c r="O10" s="50">
        <s:f>O11*O12</s:f>
        <s:v>0</s:v>
      </s:c>
      <s:c r="P10" s="49" t="str">
        <s:f>IF(AND(O10&lt;&gt;"",O10&lt;&gt;0,L10&lt;&gt;"",L10&lt;&gt;0),-O10+L10,"")</s:f>
        <s:v/>
      </s:c>
      <s:c r="Q10" s="51" t="str">
        <s:f>IF(AND(P10&lt;&gt;"",P10&lt;&gt;0,O10&lt;&gt;0,O10&lt;&gt;""),P10/O10,"")</s:f>
        <s:v/>
      </s:c>
      <s:c r="R10" s="21"/>
      <s:c r="S10" s="576" t="s">
        <s:v>15</s:v>
      </s:c>
      <s:c r="T10" s="576"/>
      <s:c r="U10" s="12"/>
      <s:c r="V10" s="12"/>
      <s:c r="W10" s="12"/>
    </s:row>
    <s:row r="11" spans="2:23" ht="15.75" customHeight="1">
      <s:c r="B11" s="212"/>
      <s:c r="C11" s="12"/>
      <s:c r="D11" s="12"/>
      <s:c r="E11" s="12"/>
      <s:c r="F11" s="571" t="s">
        <s:v>16</s:v>
      </s:c>
      <s:c r="G11" s="572"/>
      <s:c r="H11" s="573"/>
      <s:c r="I11" s="52">
        <s:f>'Ялта, Ленина, 18'!I11</s:f>
        <s:v>5200</s:v>
      </s:c>
      <s:c r="J11" s="39" t="str">
        <s:f>F48</s:f>
        <s:v/>
      </s:c>
      <s:c r="K11" s="284" t="str">
        <s:f>IF(AND(I11&lt;&gt;"",I11&lt;&gt;0,J11&lt;&gt;""),J11/I11,"")</s:f>
        <s:v/>
      </s:c>
      <s:c r="L11" s="218" t="str">
        <s:f>IF(L9&gt;0,L8/L9,"")</s:f>
        <s:v/>
      </s:c>
      <s:c r="M11" s="42" t="str">
        <s:f>IF(AND(I11&lt;&gt;"",I11&lt;&gt;0,L11&lt;&gt;"",L11&lt;&gt;0),L11/I11,"")</s:f>
        <s:v/>
      </s:c>
      <s:c r="N11" s="43" t="str">
        <s:f>IF(AND(J11&lt;&gt;0,J11&lt;&gt;"",I11&lt;&gt;0,I11&lt;&gt;""),L11-I11,"")</s:f>
        <s:v/>
      </s:c>
      <s:c r="O11" s="53"/>
      <s:c r="P11" s="43" t="str">
        <s:f>IF(AND(O11&lt;&gt;"",O11&lt;&gt;0,L11&lt;&gt;"",L11&lt;&gt;0),-O11+L11,"")</s:f>
        <s:v/>
      </s:c>
      <s:c r="Q11" s="45" t="str">
        <s:f>IF(AND(P11&lt;&gt;"",P11&lt;&gt;0,O11&lt;&gt;0,O11&lt;&gt;""),P11/O11,"")</s:f>
        <s:v/>
      </s:c>
      <s:c r="R11" s="21"/>
      <s:c r="S11" s="576"/>
      <s:c r="T11" s="576"/>
      <s:c r="U11" s="12"/>
      <s:c r="V11" s="12"/>
      <s:c r="W11" s="12"/>
    </s:row>
    <s:row r="12" spans="2:23" ht="15.75" customHeight="1">
      <s:c r="B12" s="212"/>
      <s:c r="C12" s="12"/>
      <s:c r="D12" s="12"/>
      <s:c r="E12" s="12"/>
      <s:c r="F12" s="571" t="s">
        <s:v>17</s:v>
      </s:c>
      <s:c r="G12" s="572"/>
      <s:c r="H12" s="573"/>
      <s:c r="I12" s="54">
        <s:f>'Ялта, Ленина, 18'!I12</s:f>
        <s:v>1.94</s:v>
      </s:c>
      <s:c r="J12" s="55" t="str">
        <s:f>J48</s:f>
        <s:v/>
      </s:c>
      <s:c r="K12" s="284" t="str">
        <s:f>IF(AND(I12&lt;&gt;"",I12&lt;&gt;0,J12&lt;&gt;""),J12/I12,"")</s:f>
        <s:v/>
      </s:c>
      <s:c r="L12" s="224" t="str">
        <s:f>J12</s:f>
        <s:v/>
      </s:c>
      <s:c r="M12" s="42" t="str">
        <s:f>IF(AND(I12&lt;&gt;"",I12&lt;&gt;0,L12&lt;&gt;"",L12&lt;&gt;0),L12/I12,"")</s:f>
        <s:v/>
      </s:c>
      <s:c r="N12" s="57" t="str">
        <s:f>IF(AND(J12&lt;&gt;0,J12&lt;&gt;"",I12&lt;&gt;0,I12&lt;&gt;""),L12-I12,"")</s:f>
        <s:v/>
      </s:c>
      <s:c r="O12" s="58"/>
      <s:c r="P12" s="43" t="str">
        <s:f>IF(AND(O12&lt;&gt;"",O12&lt;&gt;0,L12&lt;&gt;"",L12&lt;&gt;0),-O12+L12,"")</s:f>
        <s:v/>
      </s:c>
      <s:c r="Q12" s="45" t="str">
        <s:f>IF(AND(P12&lt;&gt;"",P12&lt;&gt;0,O12&lt;&gt;0,O12&lt;&gt;""),P12/O12,"")</s:f>
        <s:v/>
      </s:c>
      <s:c r="R12" s="21"/>
      <s:c r="S12" s="59">
        <s:f>'Ялта, Ленина, 18'!S12*График!AJ26/График!AJ31</s:f>
        <s:v>0</s:v>
      </s:c>
      <s:c r="T12" s="60">
        <s:f>L54</s:f>
        <s:v>0</s:v>
      </s:c>
      <s:c r="U12" s="12"/>
      <s:c r="V12" s="12"/>
      <s:c r="W12" s="12"/>
    </s:row>
    <s:row r="13" spans="2:23" ht="15.75" customHeight="1">
      <s:c r="B13" s="212"/>
      <s:c r="C13" s="12"/>
      <s:c r="D13" s="12"/>
      <s:c r="E13" s="12"/>
      <s:c r="F13" s="571" t="s">
        <s:v>18</s:v>
      </s:c>
      <s:c r="G13" s="572"/>
      <s:c r="H13" s="573"/>
      <s:c r="I13" s="38">
        <s:f>IF(I12&lt;&gt;0,I9/I12,"")</s:f>
        <s:v>0</s:v>
      </s:c>
      <s:c r="J13" s="39">
        <s:f>G48</s:f>
        <s:v>0</s:v>
      </s:c>
      <s:c r="K13" s="282" t="str">
        <s:f>IF(AND(I13&lt;&gt;"",I13&lt;&gt;0,J13&lt;&gt;""),J13/I13,"")</s:f>
        <s:v/>
      </s:c>
      <s:c r="L13" s="218" t="e">
        <s:f>IF(SUMIF($G$25:$G$47,"&gt;=0",$R$25:$R$47)&lt;&gt;0,I13*G48/SUMIF($G$25:$G$47,"&gt;=0",$R$25:$R$47),"")</s:f>
        <s:v>#DIV/0!</s:v>
      </s:c>
      <s:c r="M13" s="42" t="e">
        <s:f>IF(AND(I13&lt;&gt;"",I13&lt;&gt;0,L13&lt;&gt;"",L13&lt;&gt;0),L13/I13,"")</s:f>
        <s:v>#DIV/0!</s:v>
      </s:c>
      <s:c r="N13" s="57" t="str">
        <s:f>IF(AND(J13&lt;&gt;0,J13&lt;&gt;"",I13&lt;&gt;0,I13&lt;&gt;""),L13-I13,"")</s:f>
        <s:v/>
      </s:c>
      <s:c r="O13" s="61"/>
      <s:c r="P13" s="43" t="e">
        <s:f>IF(AND(O13&lt;&gt;"",O13&lt;&gt;0,L13&lt;&gt;"",L13&lt;&gt;0),-O13+L13,"")</s:f>
        <s:v>#DIV/0!</s:v>
      </s:c>
      <s:c r="Q13" s="45" t="e">
        <s:f>IF(AND(P13&lt;&gt;"",P13&lt;&gt;0,O13&lt;&gt;0,O13&lt;&gt;""),P13/O13,"")</s:f>
        <s:v>#DIV/0!</s:v>
      </s:c>
      <s:c r="R13" s="21"/>
      <s:c r="S13" s="62" t="e">
        <s:f>T12/S12</s:f>
        <s:v>#DIV/0!</s:v>
      </s:c>
      <s:c r="T13" s="62" t="e">
        <s:f>S13/J14*I14</s:f>
        <s:v>#DIV/0!</s:v>
      </s:c>
      <s:c r="U13" s="12"/>
      <s:c r="V13" s="12"/>
      <s:c r="W13" s="12"/>
    </s:row>
    <s:row r="14" spans="2:23" ht="15.75" customHeight="1">
      <s:c r="B14" s="212"/>
      <s:c r="C14" s="12"/>
      <s:c r="D14" s="225"/>
      <s:c r="E14" s="12"/>
      <s:c r="F14" s="571" t="s">
        <s:v>64</s:v>
      </s:c>
      <s:c r="G14" s="572"/>
      <s:c r="H14" s="573"/>
      <s:c r="I14" s="52">
        <s:f>График!AI27</s:f>
        <s:v>19</s:v>
      </s:c>
      <s:c r="J14" s="64"/>
      <s:c r="K14" s="282" t="str">
        <s:f>IF(AND(I14&lt;&gt;"",I14&lt;&gt;0,J14&lt;&gt;""),J14/I14,"")</s:f>
        <s:v/>
      </s:c>
      <s:c r="L14" s="41">
        <s:f>I14</s:f>
        <s:v>19</s:v>
      </s:c>
      <s:c r="M14" s="42">
        <s:f>IF(AND(I14&lt;&gt;"",I14&lt;&gt;0,L14&lt;&gt;"",L14&lt;&gt;0),L14/I14,"")</s:f>
        <s:v>1</s:v>
      </s:c>
      <s:c r="N14" s="43" t="str">
        <s:f>IF(AND(J14&lt;&gt;0,J14&lt;&gt;"",I14&lt;&gt;0,I14&lt;&gt;""),L14-I14,"")</s:f>
        <s:v/>
      </s:c>
      <s:c r="O14" s="61"/>
      <s:c r="P14" s="43" t="str">
        <s:f>IF(AND(O14&lt;&gt;"",O14&lt;&gt;0,L14&lt;&gt;"",L14&lt;&gt;0),-O14+L14,"")</s:f>
        <s:v/>
      </s:c>
      <s:c r="Q14" s="45" t="str">
        <s:f>IF(AND(P14&lt;&gt;"",P14&lt;&gt;0,O14&lt;&gt;0,O14&lt;&gt;""),P14/O14,"")</s:f>
        <s:v/>
      </s:c>
      <s:c r="R14" s="21"/>
      <s:c r="S14" s="65"/>
      <s:c r="T14" s="6"/>
      <s:c r="U14" s="12"/>
      <s:c r="V14" s="12"/>
      <s:c r="W14" s="12"/>
    </s:row>
    <s:row r="15" spans="2:23" ht="15.75" customHeight="1">
      <s:c r="B15" s="212"/>
      <s:c r="C15" s="12"/>
      <s:c r="D15" s="12"/>
      <s:c r="E15" s="12"/>
      <s:c r="F15" s="571" t="s">
        <s:v>20</s:v>
      </s:c>
      <s:c r="G15" s="572"/>
      <s:c r="H15" s="573"/>
      <s:c r="I15" s="75">
        <s:f>'Ялта, Ленина, 18'!I15</s:f>
        <s:v>154639.27741935482</s:v>
      </s:c>
      <s:c r="J15" s="67" t="e">
        <s:f>J8/J14</s:f>
        <s:v>#DIV/0!</s:v>
      </s:c>
      <s:c r="K15" s="77" t="e">
        <s:f>IF(AND(I15&lt;&gt;"",I15&lt;&gt;0,J15&lt;&gt;""),J15/I15,"")</s:f>
        <s:v>#DIV/0!</s:v>
      </s:c>
      <s:c r="L15" s="72" t="e">
        <s:f>J15</s:f>
        <s:v>#DIV/0!</s:v>
      </s:c>
      <s:c r="M15" s="70" t="e">
        <s:f>IF(AND(I15&lt;&gt;"",I15&lt;&gt;0,L15&lt;&gt;"",L15&lt;&gt;0),L15/I15,"")</s:f>
        <s:v>#DIV/0!</s:v>
      </s:c>
      <s:c r="N15" s="43" t="e">
        <s:f>IF(AND(J15&lt;&gt;0,J15&lt;&gt;"",I15&lt;&gt;0,I15&lt;&gt;""),L15-I15,"")</s:f>
        <s:v>#DIV/0!</s:v>
      </s:c>
      <s:c r="O15" s="71"/>
      <s:c r="P15" s="43" t="e">
        <s:f>IF(AND(O15&lt;&gt;"",O15&lt;&gt;0,L15&lt;&gt;"",L15&lt;&gt;0),-O15+L15,"")</s:f>
        <s:v>#DIV/0!</s:v>
      </s:c>
      <s:c r="Q15" s="45" t="e">
        <s:f>IF(AND(P15&lt;&gt;"",P15&lt;&gt;0,O15&lt;&gt;0,O15&lt;&gt;""),P15/O15,"")</s:f>
        <s:v>#DIV/0!</s:v>
      </s:c>
      <s:c r="R15" s="21"/>
      <s:c r="S15" s="37"/>
      <s:c r="T15" s="6"/>
      <s:c r="U15" s="12"/>
      <s:c r="V15" s="12"/>
      <s:c r="W15" s="12"/>
    </s:row>
    <s:row r="16" spans="2:23" ht="15.75" customHeight="1">
      <s:c r="B16" s="212"/>
      <s:c r="C16" s="12"/>
      <s:c r="D16" s="12"/>
      <s:c r="E16" s="12"/>
      <s:c r="F16" s="571" t="s">
        <s:v>21</s:v>
      </s:c>
      <s:c r="G16" s="572"/>
      <s:c r="H16" s="573"/>
      <s:c r="I16" s="75"/>
      <s:c r="J16" s="67">
        <s:f>J8-I15*J14</s:f>
        <s:v>0</s:v>
      </s:c>
      <s:c r="K16" s="77" t="str">
        <s:f>IF(AND(I16&lt;&gt;"",I16&lt;&gt;0,J16&lt;&gt;""),J16/I16,"")</s:f>
        <s:v/>
      </s:c>
      <s:c r="L16" s="72">
        <s:f>J16</s:f>
        <s:v>0</s:v>
      </s:c>
      <s:c r="M16" s="73" t="str">
        <s:f>IF(AND(I16&lt;&gt;"",I16&lt;&gt;0,L16&lt;&gt;"",L16&lt;&gt;0),L16/I16,"")</s:f>
        <s:v/>
      </s:c>
      <s:c r="N16" s="43" t="str">
        <s:f>IF(AND(J16&lt;&gt;0,J16&lt;&gt;"",I16&lt;&gt;0,I16&lt;&gt;""),L16-I16,"")</s:f>
        <s:v/>
      </s:c>
      <s:c r="O16" s="71"/>
      <s:c r="P16" s="43" t="str">
        <s:f>IF(AND(O16&lt;&gt;"",O16&lt;&gt;0,L16&lt;&gt;"",L16&lt;&gt;0),-O16+L16,"")</s:f>
        <s:v/>
      </s:c>
      <s:c r="Q16" s="45" t="str">
        <s:f>IF(AND(P16&lt;&gt;"",P16&lt;&gt;0,O16&lt;&gt;0,O16&lt;&gt;""),P16/O16,"")</s:f>
        <s:v/>
      </s:c>
      <s:c r="R16" s="21"/>
      <s:c r="S16" s="576" t="s">
        <s:v>22</s:v>
      </s:c>
      <s:c r="T16" s="576"/>
      <s:c r="U16" s="12"/>
      <s:c r="V16" s="12"/>
      <s:c r="W16" s="12"/>
    </s:row>
    <s:row r="17" spans="1:255" ht="15.75" customHeight="1">
      <s:c r="B17" s="212"/>
      <s:c r="C17" s="12"/>
      <s:c r="D17" s="12"/>
      <s:c r="E17" s="12"/>
      <s:c r="F17" s="571" t="s">
        <s:v>23</s:v>
      </s:c>
      <s:c r="G17" s="572"/>
      <s:c r="H17" s="573"/>
      <s:c r="I17" s="75">
        <s:f>'Ялта, Ленина, 18'!I17/График!AJ31*График!AJ26</s:f>
        <s:v>0</s:v>
      </s:c>
      <s:c r="J17" s="67">
        <s:f>I48</s:f>
        <s:v>0</s:v>
      </s:c>
      <s:c r="K17" s="77" t="str">
        <s:f>IF(AND(I17&lt;&gt;"",I17&lt;&gt;0,J17&lt;&gt;""),J17/I17,"")</s:f>
        <s:v/>
      </s:c>
      <s:c r="L17" s="78" t="e">
        <s:f>J17/J14*I14</s:f>
        <s:v>#DIV/0!</s:v>
      </s:c>
      <s:c r="M17" s="73" t="e">
        <s:f>IF(AND(I17&lt;&gt;"",I17&lt;&gt;0,L17&lt;&gt;"",L17&lt;&gt;0),L17/I17,"")</s:f>
        <s:v>#DIV/0!</s:v>
      </s:c>
      <s:c r="N17" s="43" t="str">
        <s:f>IF(AND(J17&lt;&gt;0,J17&lt;&gt;"",I17&lt;&gt;0,I17&lt;&gt;""),L17-I17,"")</s:f>
        <s:v/>
      </s:c>
      <s:c r="O17" s="71"/>
      <s:c r="P17" s="43" t="e">
        <s:f>IF(AND(O17&lt;&gt;"",O17&lt;&gt;0,L17&lt;&gt;"",L17&lt;&gt;0),-O17+L17,"")</s:f>
        <s:v>#DIV/0!</s:v>
      </s:c>
      <s:c r="Q17" s="45" t="e">
        <s:f>IF(AND(P17&lt;&gt;"",P17&lt;&gt;0,O17&lt;&gt;0,O17&lt;&gt;""),P17/O17,"")</s:f>
        <s:v>#DIV/0!</s:v>
      </s:c>
      <s:c r="R17" s="21"/>
      <s:c r="S17" s="576"/>
      <s:c r="T17" s="576"/>
      <s:c r="U17" s="12"/>
      <s:c r="V17" s="12"/>
      <s:c r="W17" s="12"/>
    </s:row>
    <s:row r="18" spans="1:255" ht="15.75" customHeight="1">
      <s:c r="B18" s="212"/>
      <s:c r="C18" s="12"/>
      <s:c r="D18" s="12"/>
      <s:c r="E18" s="12"/>
      <s:c r="F18" s="571"/>
      <s:c r="G18" s="572"/>
      <s:c r="H18" s="573"/>
      <s:c r="I18" s="76"/>
      <s:c r="J18" s="67"/>
      <s:c r="K18" s="77" t="str">
        <s:f>IF(AND(I18&lt;&gt;"",I18&lt;&gt;0,J18&lt;&gt;""),J18/I18,"")</s:f>
        <s:v/>
      </s:c>
      <s:c r="L18" s="72">
        <s:f>J18</s:f>
        <s:v>0</s:v>
      </s:c>
      <s:c r="M18" s="73" t="str">
        <s:f>IF(AND(I18&lt;&gt;"",I18&lt;&gt;0,L18&lt;&gt;"",L18&lt;&gt;0),L18/I18,"")</s:f>
        <s:v/>
      </s:c>
      <s:c r="N18" s="43" t="str">
        <s:f>IF(AND(J18&lt;&gt;0,J18&lt;&gt;"",I18&lt;&gt;0,I18&lt;&gt;""),L18-I18,"")</s:f>
        <s:v/>
      </s:c>
      <s:c r="O18" s="79">
        <s:v>0</s:v>
      </s:c>
      <s:c r="P18" s="43" t="str">
        <s:f>IF(AND(O18&lt;&gt;"",O18&lt;&gt;0,L18&lt;&gt;"",L18&lt;&gt;0),-O18+L18,"")</s:f>
        <s:v/>
      </s:c>
      <s:c r="Q18" s="45" t="str">
        <s:f>IF(AND(P18&lt;&gt;"",P18&lt;&gt;0,O18&lt;&gt;0,O18&lt;&gt;""),P18/O18,"")</s:f>
        <s:v/>
      </s:c>
      <s:c r="R18" s="21"/>
      <s:c r="S18" s="59">
        <s:f>'Ялта, Ленина, 18'!S18*График!AJ26/График!AJ31</s:f>
        <s:v>0</s:v>
      </s:c>
      <s:c r="T18" s="60">
        <s:f>K54</s:f>
        <s:v>0</s:v>
      </s:c>
      <s:c r="U18" s="12"/>
      <s:c r="V18" s="12"/>
      <s:c r="W18" s="12"/>
    </s:row>
    <s:row r="19" spans="1:255" ht="15.75" customHeight="1">
      <s:c r="B19" s="212"/>
      <s:c r="C19" s="12"/>
      <s:c r="D19" s="12"/>
      <s:c r="E19" s="12"/>
      <s:c r="F19" s="571"/>
      <s:c r="G19" s="572"/>
      <s:c r="H19" s="573"/>
      <s:c r="I19" s="76"/>
      <s:c r="J19" s="67">
        <s:f>M48</s:f>
        <s:v>0</s:v>
      </s:c>
      <s:c r="K19" s="77" t="str">
        <s:f>IF(AND(I19&lt;&gt;"",I19&lt;&gt;0,J19&lt;&gt;""),J19/I19,"")</s:f>
        <s:v/>
      </s:c>
      <s:c r="L19" s="72">
        <s:f>J19</s:f>
        <s:v>0</s:v>
      </s:c>
      <s:c r="M19" s="73" t="str">
        <s:f>IF(AND(I19&lt;&gt;"",I19&lt;&gt;0,L19&lt;&gt;"",L19&lt;&gt;0),L19/I19,"")</s:f>
        <s:v/>
      </s:c>
      <s:c r="N19" s="43" t="str">
        <s:f>IF(AND(J19&lt;&gt;0,J19&lt;&gt;"",I19&lt;&gt;0,I19&lt;&gt;""),L19-I19,"")</s:f>
        <s:v/>
      </s:c>
      <s:c r="O19" s="71">
        <s:v>0</s:v>
      </s:c>
      <s:c r="P19" s="43" t="str">
        <s:f>IF(AND(O19&lt;&gt;"",O19&lt;&gt;0,L19&lt;&gt;"",L19&lt;&gt;0),-O19+L19,"")</s:f>
        <s:v/>
      </s:c>
      <s:c r="Q19" s="45" t="str">
        <s:f>IF(AND(P19&lt;&gt;"",P19&lt;&gt;0,O19&lt;&gt;0,O19&lt;&gt;""),P19/O19,"")</s:f>
        <s:v/>
      </s:c>
      <s:c r="R19" s="21"/>
      <s:c r="S19" s="62" t="e">
        <s:f>T18/S18</s:f>
        <s:v>#DIV/0!</s:v>
      </s:c>
      <s:c r="T19" s="62" t="e">
        <s:f>S19/J14*I14</s:f>
        <s:v>#DIV/0!</s:v>
      </s:c>
      <s:c r="U19" s="12"/>
      <s:c r="V19" s="12"/>
      <s:c r="W19" s="12"/>
    </s:row>
    <s:row r="20" spans="1:255" ht="15.75" customHeight="1">
      <s:c r="B20" s="212"/>
      <s:c r="C20" s="12"/>
      <s:c r="D20" s="12"/>
      <s:c r="E20" s="12"/>
      <s:c r="F20" s="574" t="s">
        <s:v>24</s:v>
      </s:c>
      <s:c r="G20" s="574"/>
      <s:c r="H20" s="574"/>
      <s:c r="I20" s="228">
        <s:f>'Ялта, Ленина, 18'!I20</s:f>
        <s:v>0.22</s:v>
      </s:c>
      <s:c r="J20" s="229" t="str">
        <s:f>N48</s:f>
        <s:v/>
      </s:c>
      <s:c r="K20" s="229" t="e">
        <s:f>J20/I20</s:f>
        <s:v>#VALUE!</s:v>
      </s:c>
      <s:c r="L20" s="231">
        <s:f>IF(AND(K8&lt;&gt;0,I14&lt;&gt;0,I48&lt;&gt;0),(I48*N48+(I48/K8-I48)*I20)/(I48/K8),0)</s:f>
        <s:v>0</s:v>
      </s:c>
      <s:c r="M20" s="83" t="str">
        <s:f>IF(AND(I20&lt;&gt;"",I20&lt;&gt;0,L20&lt;&gt;"",L20&lt;&gt;0),L20/I20,"")</s:f>
        <s:v/>
      </s:c>
      <s:c r="N20" s="84" t="str">
        <s:f>IF(AND(J20&lt;&gt;0,J20&lt;&gt;"",I20&lt;&gt;0,I20&lt;&gt;""),L20-I20,"")</s:f>
        <s:v/>
      </s:c>
      <s:c r="O20" s="85"/>
      <s:c r="P20" s="86" t="str">
        <s:f>IF(AND(O20&lt;&gt;"",O20&lt;&gt;0,L20&lt;&gt;"",L20&lt;&gt;0),-O20+L20,"")</s:f>
        <s:v/>
      </s:c>
      <s:c r="Q20" s="87" t="str">
        <s:f>IF(AND(P20&lt;&gt;"",P20&lt;&gt;0,O20&lt;&gt;0,O20&lt;&gt;""),P20/O20,"")</s:f>
        <s:v/>
      </s:c>
      <s:c r="R20" s="21"/>
      <s:c r="S20" s="21"/>
      <s:c r="T20" s="12"/>
      <s:c r="U20" s="12"/>
      <s:c r="V20" s="12"/>
      <s:c r="W20" s="12"/>
    </s:row>
    <s:row r="21" spans="1:255" ht="15.75" customHeight="1">
      <s:c r="B21" s="21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1"/>
      <s:c r="S21" s="21"/>
      <s:c r="T21" s="12"/>
      <s:c r="U21" s="12"/>
      <s:c r="V21" s="12"/>
      <s:c r="W21" s="12"/>
    </s:row>
    <s:row r="22" spans="1:255" ht="16.5" customHeight="1">
      <s:c r="B22" s="661" t="s">
        <s:v>25</s:v>
      </s:c>
      <s:c r="C22" s="661"/>
      <s:c r="D22" s="661"/>
      <s:c r="E22" s="661"/>
      <s:c r="F22" s="661"/>
      <s:c r="G22" s="661"/>
      <s:c r="H22" s="661"/>
      <s:c r="I22" s="661"/>
      <s:c r="J22" s="661"/>
      <s:c r="K22" s="661"/>
      <s:c r="L22" s="661"/>
      <s:c r="M22" s="661"/>
      <s:c r="N22" s="661"/>
      <s:c r="O22" s="662" t="s">
        <s:v>26</s:v>
      </s:c>
      <s:c r="P22" s="661" t="s">
        <s:v>27</s:v>
      </s:c>
      <s:c r="Q22" s="661"/>
      <s:c r="R22" s="661"/>
      <s:c r="S22" s="661"/>
      <s:c r="T22" s="661"/>
      <s:c r="U22" s="661"/>
      <s:c r="V22" s="661"/>
      <s:c r="W22" s="661"/>
    </s:row>
    <s:row r="23" ht="36">
      <s:c r="B23" s="232" t="s">
        <s:v>29</s:v>
      </s:c>
      <s:c r="C23" s="232" t="s">
        <s:v>30</s:v>
      </s:c>
      <s:c r="D23" s="232" t="s">
        <s:v>31</s:v>
      </s:c>
      <s:c r="E23" s="232" t="s">
        <s:v>32</s:v>
      </s:c>
      <s:c r="F23" s="232" t="s">
        <s:v>33</s:v>
      </s:c>
      <s:c r="G23" s="232" t="s">
        <s:v>34</s:v>
      </s:c>
      <s:c r="H23" s="232" t="s">
        <s:v>35</s:v>
      </s:c>
      <s:c r="I23" s="232" t="s">
        <s:v>23</s:v>
      </s:c>
      <s:c r="J23" s="232" t="s">
        <s:v>36</s:v>
      </s:c>
      <s:c r="K23" s="90" t="s">
        <s:v>22</s:v>
      </s:c>
      <s:c r="L23" s="90" t="s">
        <s:v>15</s:v>
      </s:c>
      <s:c r="M23" s="233" t="s">
        <s:v>37</s:v>
      </s:c>
      <s:c r="N23" s="232" t="s">
        <s:v>38</s:v>
      </s:c>
      <s:c r="O23" s="662"/>
      <s:c r="P23" s="232" t="s">
        <s:v>39</s:v>
      </s:c>
      <s:c r="Q23" s="232" t="s">
        <s:v>40</s:v>
      </s:c>
      <s:c r="R23" s="232" t="s">
        <s:v>41</s:v>
      </s:c>
      <s:c r="S23" s="232" t="s">
        <s:v>42</s:v>
      </s:c>
      <s:c r="T23" s="232" t="s">
        <s:v>43</s:v>
      </s:c>
      <s:c r="U23" s="232" t="s">
        <s:v>44</s:v>
      </s:c>
      <s:c r="V23" s="234" t="s">
        <s:v>45</s:v>
      </s:c>
      <s:c r="W23" s="234" t="s">
        <s:v>46</s:v>
      </s:c>
      <s:c r="X23" s="235"/>
    </s:row>
    <s:row r="24">
      <s:c r="B24" s="236">
        <s:v>1</s:v>
      </s:c>
      <s:c r="C24" s="237">
        <s:v>2</s:v>
      </s:c>
      <s:c r="D24" s="236">
        <s:v>3</s:v>
      </s:c>
      <s:c r="E24" s="236">
        <s:v>4</s:v>
      </s:c>
      <s:c r="F24" s="236">
        <s:v>5</s:v>
      </s:c>
      <s:c r="G24" s="236">
        <s:v>6</s:v>
      </s:c>
      <s:c r="H24" s="236">
        <s:v>7</s:v>
      </s:c>
      <s:c r="I24" s="236">
        <s:v>8</s:v>
      </s:c>
      <s:c r="J24" s="236">
        <s:v>9</s:v>
      </s:c>
      <s:c r="K24" s="236">
        <s:v>10</s:v>
      </s:c>
      <s:c r="L24" s="236">
        <s:v>11</s:v>
      </s:c>
      <s:c r="M24" s="236">
        <s:v>12</s:v>
      </s:c>
      <s:c r="N24" s="236">
        <s:v>13</s:v>
      </s:c>
      <s:c r="O24" s="662"/>
      <s:c r="P24" s="238">
        <s:v>1</s:v>
      </s:c>
      <s:c r="Q24" s="238">
        <s:v>2</s:v>
      </s:c>
      <s:c r="R24" s="238">
        <s:v>3</s:v>
      </s:c>
      <s:c r="S24" s="238">
        <s:v>4</s:v>
      </s:c>
      <s:c r="T24" s="238">
        <s:v>5</s:v>
      </s:c>
      <s:c r="U24" s="238">
        <s:v>6</s:v>
      </s:c>
      <s:c r="V24" s="238">
        <s:v>10</s:v>
      </s:c>
      <s:c r="W24" s="238">
        <s:v>11</s:v>
      </s:c>
    </s:row>
    <s:row r="25" spans="1:255" s="248" customFormat="1">
      <s:c r="A25" s="249">
        <s:v>1</s:v>
      </s:c>
      <s:c r="B25" s="301"/>
      <s:c r="C25" s="302"/>
      <s:c r="D25" s="303"/>
      <s:c r="E25" s="304"/>
      <s:c r="F25" s="305" t="str">
        <s:f>IF(AND(E25&lt;&gt;"",E25&lt;&gt;0),D25/E25,"")</s:f>
        <s:v/>
      </s:c>
      <s:c r="G25" s="304"/>
      <s:c r="H25" s="305" t="str">
        <s:f>IF(AND(G25&lt;&gt;"",G25&lt;&gt;0),D25/G25,"")</s:f>
        <s:v/>
      </s:c>
      <s:c r="I25" s="306"/>
      <s:c r="J25" s="307" t="str">
        <s:f>IF(AND(G25&lt;&gt;"",G25&lt;&gt;0),E25/G25,"")</s:f>
        <s:v/>
      </s:c>
      <s:c r="K25" s="252"/>
      <s:c r="L25" s="252"/>
      <s:c r="M25" s="252"/>
      <s:c r="N25" s="253" t="str">
        <s:f>IF(AND(I25&lt;&gt;"",I25&lt;&gt;0),G25/I25,"")</s:f>
        <s:v/>
      </s:c>
      <s:c r="O25" s="254" t="e">
        <s:f>D25/P25</s:f>
        <s:v>#DIV/0!</s:v>
      </s:c>
      <s:c r="P25" s="255" t="e">
        <s:f>$I$8*V25*W25/SUMPRODUCT($W$25:$W$55,$V$25:$V$55)</s:f>
        <s:v>#DIV/0!</s:v>
      </s:c>
      <s:c r="Q25" s="256" t="e">
        <s:f>$I$9*V25*W25/SUMPRODUCT($W$25:$W$55,$V$25:$V$55)</s:f>
        <s:v>#DIV/0!</s:v>
      </s:c>
      <s:c r="R25" s="256" t="e">
        <s:f>IF($I$12="","",Q25/$I$12)</s:f>
        <s:v>#DIV/0!</s:v>
      </s:c>
      <s:c r="S25" s="255" t="e">
        <s:f>IF(D25&lt;&gt;"",D25,P25)</s:f>
        <s:v>#DIV/0!</s:v>
      </s:c>
      <s:c r="T25" s="256" t="e">
        <s:f>IF(E25&lt;&gt;"",E25,Q25)</s:f>
        <s:v>#DIV/0!</s:v>
      </s:c>
      <s:c r="U25" s="256" t="e">
        <s:f>IF(G25&lt;&gt;"",G25,R25)</s:f>
        <s:v>#DIV/0!</s:v>
      </s:c>
      <s:c r="V25" s="291"/>
      <s:c r="W25" s="291"/>
      <s:c r="X25" s="258"/>
      <s:c r="Y25" s="257"/>
      <s:c r="Z25" s="258"/>
      <s:c r="AA25" s="258"/>
      <s:c r="AB25" s="258"/>
      <s:c r="AC25" s="258"/>
      <s:c r="AD25" s="258"/>
    </s:row>
    <s:row r="26" spans="1:255" s="308" customFormat="1">
      <s:c r="A26" s="249">
        <s:v>2</s:v>
      </s:c>
      <s:c r="B26" s="250"/>
      <s:c r="C26" s="251"/>
      <s:c r="D26" s="262"/>
      <s:c r="E26" s="252"/>
      <s:c r="F26" s="259" t="str">
        <s:f>IF(AND(E26&lt;&gt;"",E26&lt;&gt;0),D26/E26,"")</s:f>
        <s:v/>
      </s:c>
      <s:c r="G26" s="252">
        <s:v>0</s:v>
      </s:c>
      <s:c r="H26" s="259" t="str">
        <s:f>IF(AND(G26&lt;&gt;"",G26&lt;&gt;0),D26/G26,"")</s:f>
        <s:v/>
      </s:c>
      <s:c r="I26" s="252"/>
      <s:c r="J26" s="246" t="str">
        <s:f>IF(AND(G26&lt;&gt;"",G26&lt;&gt;0),E26/G26,"")</s:f>
        <s:v/>
      </s:c>
      <s:c r="K26" s="252"/>
      <s:c r="L26" s="252"/>
      <s:c r="M26" s="252"/>
      <s:c r="N26" s="253" t="str">
        <s:f>IF(AND(I26&lt;&gt;"",I26&lt;&gt;0),G26/I26,"")</s:f>
        <s:v/>
      </s:c>
      <s:c r="O26" s="254" t="e">
        <s:f>D26/P26</s:f>
        <s:v>#DIV/0!</s:v>
      </s:c>
      <s:c r="P26" s="255" t="e">
        <s:f>$I$8*V26*W26/SUMPRODUCT($W$25:$W$55,$V$25:$V$55)</s:f>
        <s:v>#DIV/0!</s:v>
      </s:c>
      <s:c r="Q26" s="256" t="e">
        <s:f>$I$9*V26*W26/SUMPRODUCT($W$25:$W$55,$V$25:$V$55)</s:f>
        <s:v>#DIV/0!</s:v>
      </s:c>
      <s:c r="R26" s="256" t="e">
        <s:f>IF($I$12="","",Q26/$I$12)</s:f>
        <s:v>#DIV/0!</s:v>
      </s:c>
      <s:c r="S26" s="255" t="str">
        <s:f>IF(W26&lt;&gt;"",IF(D26&lt;&gt;"",D26,($I$8-SUM($S$25:S25))*V26*W26/SUMPRODUCT($W26:$W$55,$V26:$V$55)),"")</s:f>
        <s:v/>
      </s:c>
      <s:c r="T26" s="256" t="str">
        <s:f>IF(W26&lt;&gt;"",IF(E26&lt;&gt;"",E26,($I$9-SUM($T$25:T25))*V26*W26/SUMPRODUCT($W26:$W$55,$V26:$V$55)),"")</s:f>
        <s:v/>
      </s:c>
      <s:c r="U26" s="256" t="str">
        <s:f>IF(W26&lt;&gt;"",IF($I$12&lt;&gt;"",IF(G26&lt;&gt;"",G26,($I$9/$I$12-SUM($U$25:U25))*V26*W26/SUMPRODUCT($W26:$W$55,$V26:$V$55)),""),"")</s:f>
        <s:v/>
      </s:c>
      <s:c r="V26" s="291"/>
      <s:c r="W26" s="291"/>
      <s:c r="X26" s="257"/>
      <s:c r="Y26" s="257"/>
      <s:c r="Z26" s="258"/>
      <s:c r="AA26" s="258"/>
      <s:c r="AB26" s="258"/>
      <s:c r="AC26" s="258"/>
      <s:c r="AD26" s="258"/>
      <s:c r="AE26" s="258"/>
      <s:c r="AF26" s="258"/>
      <s:c r="AG26" s="258"/>
      <s:c r="AH26" s="258"/>
      <s:c r="AI26" s="258"/>
      <s:c r="AJ26" s="258"/>
      <s:c r="AK26" s="258"/>
      <s:c r="AL26" s="258"/>
      <s:c r="AM26" s="258"/>
      <s:c r="AN26" s="258"/>
      <s:c r="AO26" s="258"/>
      <s:c r="AP26" s="258"/>
      <s:c r="AQ26" s="258"/>
      <s:c r="AR26" s="258"/>
      <s:c r="AS26" s="258"/>
      <s:c r="AT26" s="258"/>
      <s:c r="AU26" s="258"/>
      <s:c r="AV26" s="258"/>
      <s:c r="AW26" s="258"/>
      <s:c r="AX26" s="258"/>
      <s:c r="AY26" s="258"/>
      <s:c r="AZ26" s="258"/>
      <s:c r="BA26" s="258"/>
      <s:c r="BB26" s="258"/>
      <s:c r="BC26" s="258"/>
      <s:c r="BD26" s="258"/>
      <s:c r="BE26" s="258"/>
      <s:c r="BF26" s="258"/>
      <s:c r="BG26" s="258"/>
      <s:c r="BH26" s="258"/>
      <s:c r="BI26" s="258"/>
      <s:c r="BJ26" s="258"/>
      <s:c r="BK26" s="258"/>
      <s:c r="BL26" s="258"/>
      <s:c r="BM26" s="258"/>
      <s:c r="BN26" s="258"/>
      <s:c r="BO26" s="258"/>
      <s:c r="BP26" s="258"/>
      <s:c r="BQ26" s="258"/>
      <s:c r="BR26" s="258"/>
      <s:c r="BS26" s="258"/>
      <s:c r="BT26" s="258"/>
      <s:c r="BU26" s="258"/>
      <s:c r="BV26" s="258"/>
      <s:c r="BW26" s="258"/>
      <s:c r="BX26" s="258"/>
      <s:c r="BY26" s="258"/>
      <s:c r="BZ26" s="258"/>
      <s:c r="CA26" s="258"/>
      <s:c r="CB26" s="258"/>
      <s:c r="CC26" s="258"/>
      <s:c r="CD26" s="258"/>
      <s:c r="CE26" s="258"/>
      <s:c r="CF26" s="258"/>
      <s:c r="CG26" s="258"/>
      <s:c r="CH26" s="258"/>
      <s:c r="CI26" s="258"/>
      <s:c r="CJ26" s="258"/>
      <s:c r="CK26" s="258"/>
      <s:c r="CL26" s="258"/>
      <s:c r="CM26" s="258"/>
      <s:c r="CN26" s="258"/>
      <s:c r="CO26" s="258"/>
      <s:c r="CP26" s="258"/>
      <s:c r="CQ26" s="258"/>
      <s:c r="CR26" s="258"/>
      <s:c r="CS26" s="258"/>
      <s:c r="CT26" s="258"/>
      <s:c r="CU26" s="258"/>
      <s:c r="CV26" s="258"/>
      <s:c r="CW26" s="258"/>
      <s:c r="CX26" s="258"/>
      <s:c r="CY26" s="258"/>
      <s:c r="CZ26" s="258"/>
      <s:c r="DA26" s="258"/>
      <s:c r="DB26" s="258"/>
      <s:c r="DC26" s="258"/>
      <s:c r="DD26" s="258"/>
      <s:c r="DE26" s="258"/>
      <s:c r="DF26" s="258"/>
      <s:c r="DG26" s="258"/>
      <s:c r="DH26" s="258"/>
      <s:c r="DI26" s="258"/>
      <s:c r="DJ26" s="258"/>
      <s:c r="DK26" s="258"/>
      <s:c r="DL26" s="258"/>
      <s:c r="DM26" s="258"/>
      <s:c r="DN26" s="258"/>
      <s:c r="DO26" s="258"/>
      <s:c r="DP26" s="258"/>
      <s:c r="DQ26" s="258"/>
      <s:c r="DR26" s="258"/>
      <s:c r="DS26" s="258"/>
      <s:c r="DT26" s="258"/>
      <s:c r="DU26" s="258"/>
      <s:c r="DV26" s="258"/>
      <s:c r="DW26" s="258"/>
      <s:c r="DX26" s="258"/>
      <s:c r="DY26" s="258"/>
      <s:c r="DZ26" s="258"/>
      <s:c r="EA26" s="258"/>
      <s:c r="EB26" s="258"/>
      <s:c r="EC26" s="258"/>
      <s:c r="ED26" s="258"/>
      <s:c r="EE26" s="258"/>
      <s:c r="EF26" s="258"/>
      <s:c r="EG26" s="258"/>
      <s:c r="EH26" s="258"/>
      <s:c r="EI26" s="258"/>
      <s:c r="EJ26" s="258"/>
      <s:c r="EK26" s="258"/>
      <s:c r="EL26" s="258"/>
      <s:c r="EM26" s="258"/>
      <s:c r="EN26" s="258"/>
      <s:c r="EO26" s="258"/>
      <s:c r="EP26" s="258"/>
      <s:c r="EQ26" s="258"/>
      <s:c r="ER26" s="258"/>
      <s:c r="ES26" s="258"/>
      <s:c r="ET26" s="258"/>
      <s:c r="EU26" s="258"/>
      <s:c r="EV26" s="258"/>
      <s:c r="EW26" s="258"/>
      <s:c r="EX26" s="258"/>
      <s:c r="EY26" s="258"/>
      <s:c r="EZ26" s="258"/>
      <s:c r="FA26" s="258"/>
      <s:c r="FB26" s="258"/>
      <s:c r="FC26" s="258"/>
      <s:c r="FD26" s="258"/>
      <s:c r="FE26" s="258"/>
      <s:c r="FF26" s="258"/>
      <s:c r="FG26" s="258"/>
      <s:c r="FH26" s="258"/>
      <s:c r="FI26" s="258"/>
      <s:c r="FJ26" s="258"/>
      <s:c r="FK26" s="258"/>
      <s:c r="FL26" s="258"/>
      <s:c r="FM26" s="258"/>
      <s:c r="FN26" s="258"/>
      <s:c r="FO26" s="258"/>
      <s:c r="FP26" s="258"/>
      <s:c r="FQ26" s="258"/>
      <s:c r="FR26" s="258"/>
      <s:c r="FS26" s="258"/>
      <s:c r="FT26" s="258"/>
      <s:c r="FU26" s="258"/>
      <s:c r="FV26" s="258"/>
      <s:c r="FW26" s="258"/>
      <s:c r="FX26" s="258"/>
      <s:c r="FY26" s="258"/>
      <s:c r="FZ26" s="258"/>
      <s:c r="GA26" s="258"/>
      <s:c r="GB26" s="258"/>
      <s:c r="GC26" s="258"/>
      <s:c r="GD26" s="258"/>
      <s:c r="GE26" s="258"/>
      <s:c r="GF26" s="258"/>
      <s:c r="GG26" s="258"/>
      <s:c r="GH26" s="258"/>
      <s:c r="GI26" s="258"/>
      <s:c r="GJ26" s="258"/>
      <s:c r="GK26" s="258"/>
      <s:c r="GL26" s="258"/>
      <s:c r="GM26" s="258"/>
      <s:c r="GN26" s="258"/>
      <s:c r="GO26" s="258"/>
      <s:c r="GP26" s="258"/>
      <s:c r="GQ26" s="258"/>
      <s:c r="GR26" s="258"/>
      <s:c r="GS26" s="258"/>
      <s:c r="GT26" s="258"/>
      <s:c r="GU26" s="258"/>
      <s:c r="GV26" s="258"/>
      <s:c r="GW26" s="258"/>
      <s:c r="GX26" s="258"/>
      <s:c r="GY26" s="258"/>
      <s:c r="GZ26" s="258"/>
      <s:c r="HA26" s="258"/>
      <s:c r="HB26" s="258"/>
      <s:c r="HC26" s="258"/>
      <s:c r="HD26" s="258"/>
      <s:c r="HE26" s="258"/>
      <s:c r="HF26" s="258"/>
      <s:c r="HG26" s="258"/>
      <s:c r="HH26" s="258"/>
      <s:c r="HI26" s="258"/>
      <s:c r="HJ26" s="258"/>
      <s:c r="HK26" s="258"/>
      <s:c r="HL26" s="258"/>
      <s:c r="HM26" s="258"/>
      <s:c r="HN26" s="258"/>
      <s:c r="HO26" s="258"/>
      <s:c r="HP26" s="258"/>
      <s:c r="HQ26" s="258"/>
      <s:c r="HR26" s="258"/>
      <s:c r="HS26" s="258"/>
      <s:c r="HT26" s="258"/>
      <s:c r="HU26" s="258"/>
      <s:c r="HV26" s="258"/>
      <s:c r="HW26" s="258"/>
      <s:c r="HX26" s="258"/>
      <s:c r="HY26" s="258"/>
      <s:c r="HZ26" s="258"/>
      <s:c r="IA26" s="258"/>
      <s:c r="IB26" s="258"/>
      <s:c r="IC26" s="258"/>
      <s:c r="ID26" s="258"/>
      <s:c r="IE26" s="258"/>
      <s:c r="IF26" s="258"/>
      <s:c r="IG26" s="258"/>
      <s:c r="IH26" s="258"/>
      <s:c r="II26" s="258"/>
      <s:c r="IJ26" s="258"/>
      <s:c r="IK26" s="258"/>
      <s:c r="IL26" s="258"/>
      <s:c r="IM26" s="258"/>
      <s:c r="IN26" s="258"/>
      <s:c r="IO26" s="258"/>
      <s:c r="IP26" s="258"/>
      <s:c r="IQ26" s="258"/>
      <s:c r="IR26" s="258"/>
      <s:c r="IS26" s="258"/>
      <s:c r="IT26" s="258"/>
      <s:c r="IU26" s="258"/>
    </s:row>
    <s:row r="27" spans="1:255" s="248" customFormat="1">
      <s:c r="A27" s="249">
        <s:v>3</s:v>
      </s:c>
      <s:c r="B27" s="250"/>
      <s:c r="C27" s="251"/>
      <s:c r="D27" s="246"/>
      <s:c r="E27" s="286"/>
      <s:c r="F27" s="252" t="str">
        <s:f>IF(AND(E27&lt;&gt;"",E27&lt;&gt;0),D27/E27,"")</s:f>
        <s:v/>
      </s:c>
      <s:c r="G27" s="259"/>
      <s:c r="H27" s="252" t="str">
        <s:f>IF(AND(G27&lt;&gt;"",G27&lt;&gt;0),D27/G27,"")</s:f>
        <s:v/>
      </s:c>
      <s:c r="I27" s="259"/>
      <s:c r="J27" s="246" t="str">
        <s:f>IF(AND(G27&lt;&gt;"",G27&lt;&gt;0),E27/G27,"")</s:f>
        <s:v/>
      </s:c>
      <s:c r="K27" s="252"/>
      <s:c r="L27" s="252"/>
      <s:c r="M27" s="252"/>
      <s:c r="N27" s="253" t="str">
        <s:f>IF(AND(I27&lt;&gt;"",I27&lt;&gt;0),G27/I27,"")</s:f>
        <s:v/>
      </s:c>
      <s:c r="O27" s="254" t="e">
        <s:f>D27/P27</s:f>
        <s:v>#DIV/0!</s:v>
      </s:c>
      <s:c r="P27" s="255" t="e">
        <s:f>$I$8*V27*W27/SUMPRODUCT($W$25:$W$55,$V$25:$V$55)</s:f>
        <s:v>#DIV/0!</s:v>
      </s:c>
      <s:c r="Q27" s="256" t="e">
        <s:f>$I$9*V27*W27/SUMPRODUCT($W$25:$W$55,$V$25:$V$55)</s:f>
        <s:v>#DIV/0!</s:v>
      </s:c>
      <s:c r="R27" s="256" t="e">
        <s:f>IF($I$12="","",Q27/$I$12)</s:f>
        <s:v>#DIV/0!</s:v>
      </s:c>
      <s:c r="S27" s="255" t="str">
        <s:f>IF(W27&lt;&gt;"",IF(D27&lt;&gt;"",D27,($I$8-SUM($S$25:S26))*V27*W27/SUMPRODUCT($W27:$W$55,$V27:$V$55)),"")</s:f>
        <s:v/>
      </s:c>
      <s:c r="T27" s="256" t="str">
        <s:f>IF(W27&lt;&gt;"",IF(E27&lt;&gt;"",E27,($I$9-SUM($T$25:T26))*V27*W27/SUMPRODUCT($W27:$W$55,$V27:$V$55)),"")</s:f>
        <s:v/>
      </s:c>
      <s:c r="U27" s="256" t="str">
        <s:f>IF(W27&lt;&gt;"",IF($I$12&lt;&gt;"",IF(G27&lt;&gt;"",G27,($I$9/$I$12-SUM($U$25:U26))*V27*W27/SUMPRODUCT($W27:$W$55,$V27:$V$55)),""),"")</s:f>
        <s:v/>
      </s:c>
      <s:c r="V27" s="291"/>
      <s:c r="W27" s="291"/>
      <s:c r="X27" s="257"/>
      <s:c r="Y27" s="257"/>
      <s:c r="Z27" s="258"/>
      <s:c r="AA27" s="258"/>
      <s:c r="AB27" s="258"/>
      <s:c r="AC27" s="258"/>
      <s:c r="AD27" s="258"/>
      <s:c r="AE27" s="258"/>
      <s:c r="AF27" s="258"/>
      <s:c r="AG27" s="258"/>
      <s:c r="AH27" s="258"/>
      <s:c r="AI27" s="258"/>
      <s:c r="AJ27" s="258"/>
      <s:c r="AK27" s="258"/>
      <s:c r="AL27" s="258"/>
      <s:c r="AM27" s="258"/>
      <s:c r="AN27" s="258"/>
      <s:c r="AO27" s="258"/>
      <s:c r="AP27" s="258"/>
      <s:c r="AQ27" s="258"/>
      <s:c r="AR27" s="258"/>
      <s:c r="AS27" s="258"/>
      <s:c r="AT27" s="258"/>
      <s:c r="AU27" s="258"/>
      <s:c r="AV27" s="258"/>
      <s:c r="AW27" s="258"/>
      <s:c r="AX27" s="258"/>
      <s:c r="AY27" s="258"/>
      <s:c r="AZ27" s="258"/>
      <s:c r="BA27" s="258"/>
      <s:c r="BB27" s="258"/>
      <s:c r="BC27" s="258"/>
      <s:c r="BD27" s="258"/>
      <s:c r="BE27" s="258"/>
      <s:c r="BF27" s="258"/>
      <s:c r="BG27" s="258"/>
      <s:c r="BH27" s="258"/>
      <s:c r="BI27" s="258"/>
      <s:c r="BJ27" s="258"/>
      <s:c r="BK27" s="258"/>
      <s:c r="BL27" s="258"/>
      <s:c r="BM27" s="258"/>
      <s:c r="BN27" s="258"/>
      <s:c r="BO27" s="258"/>
      <s:c r="BP27" s="258"/>
      <s:c r="BQ27" s="258"/>
      <s:c r="BR27" s="258"/>
      <s:c r="BS27" s="258"/>
      <s:c r="BT27" s="258"/>
      <s:c r="BU27" s="258"/>
      <s:c r="BV27" s="258"/>
      <s:c r="BW27" s="258"/>
      <s:c r="BX27" s="258"/>
      <s:c r="BY27" s="258"/>
      <s:c r="BZ27" s="258"/>
      <s:c r="CA27" s="258"/>
      <s:c r="CB27" s="258"/>
      <s:c r="CC27" s="258"/>
      <s:c r="CD27" s="258"/>
      <s:c r="CE27" s="258"/>
      <s:c r="CF27" s="258"/>
      <s:c r="CG27" s="258"/>
      <s:c r="CH27" s="258"/>
      <s:c r="CI27" s="258"/>
      <s:c r="CJ27" s="258"/>
      <s:c r="CK27" s="258"/>
      <s:c r="CL27" s="258"/>
      <s:c r="CM27" s="258"/>
      <s:c r="CN27" s="258"/>
      <s:c r="CO27" s="258"/>
      <s:c r="CP27" s="258"/>
      <s:c r="CQ27" s="258"/>
      <s:c r="CR27" s="258"/>
      <s:c r="CS27" s="258"/>
      <s:c r="CT27" s="258"/>
      <s:c r="CU27" s="258"/>
      <s:c r="CV27" s="258"/>
      <s:c r="CW27" s="258"/>
      <s:c r="CX27" s="258"/>
      <s:c r="CY27" s="258"/>
      <s:c r="CZ27" s="258"/>
      <s:c r="DA27" s="258"/>
      <s:c r="DB27" s="258"/>
      <s:c r="DC27" s="258"/>
      <s:c r="DD27" s="258"/>
      <s:c r="DE27" s="258"/>
      <s:c r="DF27" s="258"/>
      <s:c r="DG27" s="258"/>
      <s:c r="DH27" s="258"/>
      <s:c r="DI27" s="258"/>
      <s:c r="DJ27" s="258"/>
      <s:c r="DK27" s="258"/>
      <s:c r="DL27" s="258"/>
      <s:c r="DM27" s="258"/>
      <s:c r="DN27" s="258"/>
      <s:c r="DO27" s="258"/>
      <s:c r="DP27" s="258"/>
      <s:c r="DQ27" s="258"/>
      <s:c r="DR27" s="258"/>
      <s:c r="DS27" s="258"/>
      <s:c r="DT27" s="258"/>
      <s:c r="DU27" s="258"/>
      <s:c r="DV27" s="258"/>
      <s:c r="DW27" s="258"/>
      <s:c r="DX27" s="258"/>
      <s:c r="DY27" s="258"/>
      <s:c r="DZ27" s="258"/>
      <s:c r="EA27" s="258"/>
      <s:c r="EB27" s="258"/>
      <s:c r="EC27" s="258"/>
      <s:c r="ED27" s="258"/>
      <s:c r="EE27" s="258"/>
      <s:c r="EF27" s="258"/>
      <s:c r="EG27" s="258"/>
      <s:c r="EH27" s="258"/>
      <s:c r="EI27" s="258"/>
      <s:c r="EJ27" s="258"/>
      <s:c r="EK27" s="258"/>
      <s:c r="EL27" s="258"/>
      <s:c r="EM27" s="258"/>
      <s:c r="EN27" s="258"/>
      <s:c r="EO27" s="258"/>
      <s:c r="EP27" s="258"/>
      <s:c r="EQ27" s="258"/>
      <s:c r="ER27" s="258"/>
      <s:c r="ES27" s="258"/>
      <s:c r="ET27" s="258"/>
      <s:c r="EU27" s="258"/>
      <s:c r="EV27" s="258"/>
      <s:c r="EW27" s="258"/>
      <s:c r="EX27" s="258"/>
      <s:c r="EY27" s="258"/>
      <s:c r="EZ27" s="258"/>
      <s:c r="FA27" s="258"/>
      <s:c r="FB27" s="258"/>
      <s:c r="FC27" s="258"/>
      <s:c r="FD27" s="258"/>
      <s:c r="FE27" s="258"/>
      <s:c r="FF27" s="258"/>
      <s:c r="FG27" s="258"/>
      <s:c r="FH27" s="258"/>
      <s:c r="FI27" s="258"/>
      <s:c r="FJ27" s="258"/>
      <s:c r="FK27" s="258"/>
      <s:c r="FL27" s="258"/>
      <s:c r="FM27" s="258"/>
      <s:c r="FN27" s="258"/>
      <s:c r="FO27" s="258"/>
      <s:c r="FP27" s="258"/>
      <s:c r="FQ27" s="258"/>
      <s:c r="FR27" s="258"/>
      <s:c r="FS27" s="258"/>
      <s:c r="FT27" s="258"/>
      <s:c r="FU27" s="258"/>
      <s:c r="FV27" s="258"/>
      <s:c r="FW27" s="258"/>
      <s:c r="FX27" s="258"/>
      <s:c r="FY27" s="258"/>
      <s:c r="FZ27" s="258"/>
      <s:c r="GA27" s="258"/>
      <s:c r="GB27" s="258"/>
      <s:c r="GC27" s="258"/>
      <s:c r="GD27" s="258"/>
      <s:c r="GE27" s="258"/>
      <s:c r="GF27" s="258"/>
      <s:c r="GG27" s="258"/>
      <s:c r="GH27" s="258"/>
      <s:c r="GI27" s="258"/>
      <s:c r="GJ27" s="258"/>
      <s:c r="GK27" s="258"/>
      <s:c r="GL27" s="258"/>
      <s:c r="GM27" s="258"/>
      <s:c r="GN27" s="258"/>
      <s:c r="GO27" s="258"/>
      <s:c r="GP27" s="258"/>
      <s:c r="GQ27" s="258"/>
      <s:c r="GR27" s="258"/>
      <s:c r="GS27" s="258"/>
      <s:c r="GT27" s="258"/>
      <s:c r="GU27" s="258"/>
      <s:c r="GV27" s="258"/>
      <s:c r="GW27" s="258"/>
      <s:c r="GX27" s="258"/>
      <s:c r="GY27" s="258"/>
      <s:c r="GZ27" s="258"/>
      <s:c r="HA27" s="258"/>
      <s:c r="HB27" s="258"/>
      <s:c r="HC27" s="258"/>
      <s:c r="HD27" s="258"/>
      <s:c r="HE27" s="258"/>
      <s:c r="HF27" s="258"/>
      <s:c r="HG27" s="258"/>
      <s:c r="HH27" s="258"/>
      <s:c r="HI27" s="258"/>
      <s:c r="HJ27" s="258"/>
      <s:c r="HK27" s="258"/>
      <s:c r="HL27" s="258"/>
      <s:c r="HM27" s="258"/>
      <s:c r="HN27" s="258"/>
      <s:c r="HO27" s="258"/>
      <s:c r="HP27" s="258"/>
      <s:c r="HQ27" s="258"/>
      <s:c r="HR27" s="258"/>
      <s:c r="HS27" s="258"/>
      <s:c r="HT27" s="258"/>
      <s:c r="HU27" s="258"/>
      <s:c r="HV27" s="258"/>
      <s:c r="HW27" s="258"/>
      <s:c r="HX27" s="258"/>
      <s:c r="HY27" s="258"/>
      <s:c r="HZ27" s="258"/>
      <s:c r="IA27" s="258"/>
      <s:c r="IB27" s="258"/>
      <s:c r="IC27" s="258"/>
      <s:c r="ID27" s="258"/>
      <s:c r="IE27" s="258"/>
      <s:c r="IF27" s="258"/>
      <s:c r="IG27" s="258"/>
      <s:c r="IH27" s="258"/>
      <s:c r="II27" s="258"/>
      <s:c r="IJ27" s="258"/>
      <s:c r="IK27" s="258"/>
      <s:c r="IL27" s="258"/>
      <s:c r="IM27" s="258"/>
      <s:c r="IN27" s="258"/>
      <s:c r="IO27" s="258"/>
      <s:c r="IP27" s="258"/>
      <s:c r="IQ27" s="258"/>
      <s:c r="IR27" s="258"/>
      <s:c r="IS27" s="258"/>
      <s:c r="IT27" s="258"/>
      <s:c r="IU27" s="258"/>
    </s:row>
    <s:row r="28" spans="1:255" s="248" customFormat="1">
      <s:c r="A28" s="249">
        <s:v>4</s:v>
      </s:c>
      <s:c r="B28" s="250"/>
      <s:c r="C28" s="251"/>
      <s:c r="D28" s="262"/>
      <s:c r="E28" s="252"/>
      <s:c r="F28" s="259" t="str">
        <s:f>IF(AND(E28&lt;&gt;"",E28&lt;&gt;0),D28/E28,"")</s:f>
        <s:v/>
      </s:c>
      <s:c r="G28" s="252"/>
      <s:c r="H28" s="259" t="str">
        <s:f>IF(AND(G28&lt;&gt;"",G28&lt;&gt;0),D28/G28,"")</s:f>
        <s:v/>
      </s:c>
      <s:c r="I28" s="252"/>
      <s:c r="J28" s="246" t="str">
        <s:f>IF(AND(G28&lt;&gt;"",G28&lt;&gt;0),E28/G28,"")</s:f>
        <s:v/>
      </s:c>
      <s:c r="K28" s="252"/>
      <s:c r="L28" s="252"/>
      <s:c r="M28" s="252"/>
      <s:c r="N28" s="253" t="str">
        <s:f>IF(AND(I28&lt;&gt;"",I28&lt;&gt;0),G28/I28,"")</s:f>
        <s:v/>
      </s:c>
      <s:c r="O28" s="254" t="e">
        <s:f>D28/P28</s:f>
        <s:v>#DIV/0!</s:v>
      </s:c>
      <s:c r="P28" s="255" t="e">
        <s:f>$I$8*V28*W28/SUMPRODUCT($W$25:$W$55,$V$25:$V$55)</s:f>
        <s:v>#DIV/0!</s:v>
      </s:c>
      <s:c r="Q28" s="256" t="e">
        <s:f>$I$9*V28*W28/SUMPRODUCT($W$25:$W$55,$V$25:$V$55)</s:f>
        <s:v>#DIV/0!</s:v>
      </s:c>
      <s:c r="R28" s="256" t="e">
        <s:f>IF($I$12="","",Q28/$I$12)</s:f>
        <s:v>#DIV/0!</s:v>
      </s:c>
      <s:c r="S28" s="255" t="str">
        <s:f>IF(W28&lt;&gt;"",IF(D28&lt;&gt;"",D28,($I$8-SUM($S$25:S27))*V28*W28/SUMPRODUCT($W28:$W$55,$V28:$V$55)),"")</s:f>
        <s:v/>
      </s:c>
      <s:c r="T28" s="256" t="str">
        <s:f>IF(W28&lt;&gt;"",IF(E28&lt;&gt;"",E28,($I$9-SUM($T$25:T27))*V28*W28/SUMPRODUCT($W28:$W$55,$V28:$V$55)),"")</s:f>
        <s:v/>
      </s:c>
      <s:c r="U28" s="256" t="str">
        <s:f>IF(W28&lt;&gt;"",IF($I$12&lt;&gt;"",IF(G28&lt;&gt;"",G28,($I$9/$I$12-SUM($U$25:U27))*V28*W28/SUMPRODUCT($W28:$W$55,$V28:$V$55)),""),"")</s:f>
        <s:v/>
      </s:c>
      <s:c r="V28" s="291"/>
      <s:c r="W28" s="291"/>
      <s:c r="X28" s="257"/>
      <s:c r="Y28" s="257"/>
      <s:c r="Z28" s="258"/>
      <s:c r="AA28" s="258"/>
      <s:c r="AB28" s="258"/>
      <s:c r="AC28" s="258"/>
      <s:c r="AD28" s="258"/>
    </s:row>
    <s:row r="29" spans="1:255" s="248" customFormat="1">
      <s:c r="A29" s="249">
        <s:v>5</s:v>
      </s:c>
      <s:c r="B29" s="250"/>
      <s:c r="C29" s="251"/>
      <s:c r="D29" s="246"/>
      <s:c r="E29" s="259"/>
      <s:c r="F29" s="252" t="str">
        <s:f>IF(AND(E29&lt;&gt;"",E29&lt;&gt;0),D29/E29,"")</s:f>
        <s:v/>
      </s:c>
      <s:c r="G29" s="259"/>
      <s:c r="H29" s="252" t="str">
        <s:f>IF(AND(G29&lt;&gt;"",G29&lt;&gt;0),D29/G29,"")</s:f>
        <s:v/>
      </s:c>
      <s:c r="I29" s="259"/>
      <s:c r="J29" s="246" t="str">
        <s:f>IF(AND(G29&lt;&gt;"",G29&lt;&gt;0),E29/G29,"")</s:f>
        <s:v/>
      </s:c>
      <s:c r="K29" s="252"/>
      <s:c r="L29" s="252"/>
      <s:c r="M29" s="252"/>
      <s:c r="N29" s="253" t="str">
        <s:f>IF(AND(I29&lt;&gt;"",I29&lt;&gt;0),G29/I29,"")</s:f>
        <s:v/>
      </s:c>
      <s:c r="O29" s="254" t="e">
        <s:f>D29/P29</s:f>
        <s:v>#DIV/0!</s:v>
      </s:c>
      <s:c r="P29" s="255" t="e">
        <s:f>$I$8*V29*W29/SUMPRODUCT($W$25:$W$55,$V$25:$V$55)</s:f>
        <s:v>#DIV/0!</s:v>
      </s:c>
      <s:c r="Q29" s="256" t="e">
        <s:f>$I$9*V29*W29/SUMPRODUCT($W$25:$W$55,$V$25:$V$55)</s:f>
        <s:v>#DIV/0!</s:v>
      </s:c>
      <s:c r="R29" s="256" t="e">
        <s:f>IF($I$12="","",Q29/$I$12)</s:f>
        <s:v>#DIV/0!</s:v>
      </s:c>
      <s:c r="S29" s="255" t="str">
        <s:f>IF(W29&lt;&gt;"",IF(D29&lt;&gt;"",D29,($I$8-SUM($S$25:S28))*V29*W29/SUMPRODUCT($W29:$W$55,$V29:$V$55)),"")</s:f>
        <s:v/>
      </s:c>
      <s:c r="T29" s="256" t="str">
        <s:f>IF(W29&lt;&gt;"",IF(E29&lt;&gt;"",E29,($I$9-SUM($T$25:T28))*V29*W29/SUMPRODUCT($W29:$W$55,$V29:$V$55)),"")</s:f>
        <s:v/>
      </s:c>
      <s:c r="U29" s="256" t="str">
        <s:f>IF(W29&lt;&gt;"",IF($I$12&lt;&gt;"",IF(G29&lt;&gt;"",G29,($I$9/$I$12-SUM($U$25:U28))*V29*W29/SUMPRODUCT($W29:$W$55,$V29:$V$55)),""),"")</s:f>
        <s:v/>
      </s:c>
      <s:c r="V29" s="291"/>
      <s:c r="W29" s="291"/>
      <s:c r="X29" s="257"/>
      <s:c r="Y29" s="257"/>
      <s:c r="Z29" s="258"/>
      <s:c r="AA29" s="258"/>
      <s:c r="AB29" s="258"/>
      <s:c r="AC29" s="258"/>
      <s:c r="AD29" s="258"/>
    </s:row>
    <s:row r="30" spans="1:255" s="248" customFormat="1">
      <s:c r="A30" s="249">
        <s:v>6</s:v>
      </s:c>
      <s:c r="B30" s="250"/>
      <s:c r="C30" s="251"/>
      <s:c r="D30" s="262"/>
      <s:c r="E30" s="252"/>
      <s:c r="F30" s="259" t="str">
        <s:f>IF(AND(E30&lt;&gt;"",E30&lt;&gt;0),D30/E30,"")</s:f>
        <s:v/>
      </s:c>
      <s:c r="G30" s="252"/>
      <s:c r="H30" s="259" t="str">
        <s:f>IF(AND(G30&lt;&gt;"",G30&lt;&gt;0),D30/G30,"")</s:f>
        <s:v/>
      </s:c>
      <s:c r="I30" s="252"/>
      <s:c r="J30" s="262" t="str">
        <s:f>IF(AND(G30&lt;&gt;"",G30&lt;&gt;0),E30/G30,"")</s:f>
        <s:v/>
      </s:c>
      <s:c r="K30" s="252"/>
      <s:c r="L30" s="252"/>
      <s:c r="M30" s="252"/>
      <s:c r="N30" s="253" t="str">
        <s:f>IF(AND(I30&lt;&gt;"",I30&lt;&gt;0),G30/I30,"")</s:f>
        <s:v/>
      </s:c>
      <s:c r="O30" s="254" t="e">
        <s:f>D30/P30</s:f>
        <s:v>#DIV/0!</s:v>
      </s:c>
      <s:c r="P30" s="255" t="e">
        <s:f>$I$8*V30*W30/SUMPRODUCT($W$25:$W$55,$V$25:$V$55)</s:f>
        <s:v>#DIV/0!</s:v>
      </s:c>
      <s:c r="Q30" s="256" t="e">
        <s:f>$I$9*V30*W30/SUMPRODUCT($W$25:$W$55,$V$25:$V$55)</s:f>
        <s:v>#DIV/0!</s:v>
      </s:c>
      <s:c r="R30" s="256" t="e">
        <s:f>IF($I$12="","",Q30/$I$12)</s:f>
        <s:v>#DIV/0!</s:v>
      </s:c>
      <s:c r="S30" s="255" t="str">
        <s:f>IF(W30&lt;&gt;"",IF(D30&lt;&gt;"",D30,($I$8-SUM($S$25:S29))*V30*W30/SUMPRODUCT($W30:$W$55,$V30:$V$55)),"")</s:f>
        <s:v/>
      </s:c>
      <s:c r="T30" s="256" t="str">
        <s:f>IF(W30&lt;&gt;"",IF(E29&lt;&gt;"",E29,($I$9-SUM($T$25:T29))*V30*W30/SUMPRODUCT($W30:$W$55,$V30:$V$55)),"")</s:f>
        <s:v/>
      </s:c>
      <s:c r="U30" s="256" t="str">
        <s:f>IF(W30&lt;&gt;"",IF($I$12&lt;&gt;"",IF(G30&lt;&gt;"",G30,($I$9/$I$12-SUM($U$25:U29))*V30*W30/SUMPRODUCT($W30:$W$55,$V30:$V$55)),""),"")</s:f>
        <s:v/>
      </s:c>
      <s:c r="V30" s="291"/>
      <s:c r="W30" s="291"/>
      <s:c r="X30" s="257"/>
      <s:c r="Y30" s="257"/>
      <s:c r="Z30" s="258"/>
      <s:c r="AA30" s="258"/>
      <s:c r="AB30" s="258"/>
      <s:c r="AC30" s="258"/>
      <s:c r="AD30" s="258"/>
    </s:row>
    <s:row r="31" spans="1:255" s="248" customFormat="1">
      <s:c r="A31" s="249">
        <s:v>7</s:v>
      </s:c>
      <s:c r="B31" s="250"/>
      <s:c r="C31" s="251"/>
      <s:c r="D31" s="246"/>
      <s:c r="E31" s="259"/>
      <s:c r="F31" s="252" t="str">
        <s:f>IF(AND(E31&lt;&gt;"",E31&lt;&gt;0),D31/E31,"")</s:f>
        <s:v/>
      </s:c>
      <s:c r="G31" s="259"/>
      <s:c r="H31" s="252" t="str">
        <s:f>IF(AND(G31&lt;&gt;"",G31&lt;&gt;0),D31/G31,"")</s:f>
        <s:v/>
      </s:c>
      <s:c r="I31" s="259"/>
      <s:c r="J31" s="246" t="str">
        <s:f>IF(AND(G31&lt;&gt;"",G31&lt;&gt;0),E31/G31,"")</s:f>
        <s:v/>
      </s:c>
      <s:c r="K31" s="252"/>
      <s:c r="L31" s="252"/>
      <s:c r="M31" s="252"/>
      <s:c r="N31" s="253" t="str">
        <s:f>IF(AND(I31&lt;&gt;"",I31&lt;&gt;0),G31/I31,"")</s:f>
        <s:v/>
      </s:c>
      <s:c r="O31" s="254" t="e">
        <s:f>D31/P31</s:f>
        <s:v>#DIV/0!</s:v>
      </s:c>
      <s:c r="P31" s="255" t="e">
        <s:f>$I$8*V31*W31/SUMPRODUCT($W$25:$W$55,$V$25:$V$55)</s:f>
        <s:v>#DIV/0!</s:v>
      </s:c>
      <s:c r="Q31" s="256" t="e">
        <s:f>$I$9*V31*W31/SUMPRODUCT($W$25:$W$55,$V$25:$V$55)</s:f>
        <s:v>#DIV/0!</s:v>
      </s:c>
      <s:c r="R31" s="256" t="e">
        <s:f>IF($I$12="","",Q31/$I$12)</s:f>
        <s:v>#DIV/0!</s:v>
      </s:c>
      <s:c r="S31" s="255" t="str">
        <s:f>IF(W31&lt;&gt;"",IF(D31&lt;&gt;"",D31,($I$8-SUM($S$25:S30))*V31*W31/SUMPRODUCT($W31:$W$55,$V31:$V$55)),"")</s:f>
        <s:v/>
      </s:c>
      <s:c r="T31" s="256" t="str">
        <s:f>IF(W31&lt;&gt;"",IF(E31&lt;&gt;"",E31,($I$9-SUM($T$25:T30))*V31*W31/SUMPRODUCT($W31:$W$55,$V31:$V$55)),"")</s:f>
        <s:v/>
      </s:c>
      <s:c r="U31" s="256" t="str">
        <s:f>IF(W31&lt;&gt;"",IF($I$12&lt;&gt;"",IF(G31&lt;&gt;"",G31,($I$9/$I$12-SUM($U$25:U30))*V31*W31/SUMPRODUCT($W31:$W$55,$V31:$V$55)),""),"")</s:f>
        <s:v/>
      </s:c>
      <s:c r="V31" s="291"/>
      <s:c r="W31" s="291"/>
      <s:c r="X31" s="257"/>
      <s:c r="Y31" s="257"/>
      <s:c r="Z31" s="258"/>
      <s:c r="AA31" s="258"/>
      <s:c r="AB31" s="258"/>
      <s:c r="AC31" s="258"/>
      <s:c r="AD31" s="258"/>
    </s:row>
    <s:row r="32" spans="1:255" s="248" customFormat="1">
      <s:c r="A32" s="249">
        <s:v>8</s:v>
      </s:c>
      <s:c r="B32" s="250"/>
      <s:c r="C32" s="251"/>
      <s:c r="D32" s="262"/>
      <s:c r="E32" s="252"/>
      <s:c r="F32" s="259" t="str">
        <s:f>IF(AND(E32&lt;&gt;"",E32&lt;&gt;0),D32/E32,"")</s:f>
        <s:v/>
      </s:c>
      <s:c r="G32" s="252"/>
      <s:c r="H32" s="259" t="str">
        <s:f>IF(AND(G32&lt;&gt;"",G32&lt;&gt;0),D32/G32,"")</s:f>
        <s:v/>
      </s:c>
      <s:c r="I32" s="252"/>
      <s:c r="J32" s="262" t="str">
        <s:f>IF(AND(G32&lt;&gt;"",G32&lt;&gt;0),E32/G32,"")</s:f>
        <s:v/>
      </s:c>
      <s:c r="K32" s="252"/>
      <s:c r="L32" s="252"/>
      <s:c r="M32" s="252"/>
      <s:c r="N32" s="253" t="str">
        <s:f>IF(AND(I32&lt;&gt;"",I32&lt;&gt;0),G32/I32,"")</s:f>
        <s:v/>
      </s:c>
      <s:c r="O32" s="254" t="e">
        <s:f>D32/P32</s:f>
        <s:v>#DIV/0!</s:v>
      </s:c>
      <s:c r="P32" s="255" t="e">
        <s:f>$I$8*V32*W32/SUMPRODUCT($W$25:$W$55,$V$25:$V$55)</s:f>
        <s:v>#DIV/0!</s:v>
      </s:c>
      <s:c r="Q32" s="256" t="e">
        <s:f>$I$9*V32*W32/SUMPRODUCT($W$25:$W$55,$V$25:$V$55)</s:f>
        <s:v>#DIV/0!</s:v>
      </s:c>
      <s:c r="R32" s="256" t="e">
        <s:f>IF($I$12="","",Q32/$I$12)</s:f>
        <s:v>#DIV/0!</s:v>
      </s:c>
      <s:c r="S32" s="255" t="str">
        <s:f>IF(W32&lt;&gt;"",IF(D32&lt;&gt;"",D32,($I$8-SUM($S$25:S31))*V32*W32/SUMPRODUCT($W32:$W$55,$V32:$V$55)),"")</s:f>
        <s:v/>
      </s:c>
      <s:c r="T32" s="256" t="str">
        <s:f>IF(W32&lt;&gt;"",IF(E32&lt;&gt;"",E32,($I$9-SUM($T$25:T31))*V32*W32/SUMPRODUCT($W32:$W$55,$V32:$V$55)),"")</s:f>
        <s:v/>
      </s:c>
      <s:c r="U32" s="256" t="str">
        <s:f>IF(W32&lt;&gt;"",IF($I$12&lt;&gt;"",IF(G32&lt;&gt;"",G32,($I$9/$I$12-SUM($U$25:U31))*V32*W32/SUMPRODUCT($W32:$W$55,$V32:$V$55)),""),"")</s:f>
        <s:v/>
      </s:c>
      <s:c r="V32" s="291"/>
      <s:c r="W32" s="291"/>
      <s:c r="X32" s="257"/>
      <s:c r="Y32" s="257"/>
      <s:c r="Z32" s="258"/>
      <s:c r="AA32" s="258"/>
      <s:c r="AB32" s="258"/>
      <s:c r="AC32" s="258"/>
      <s:c r="AD32" s="258"/>
    </s:row>
    <s:row r="33" spans="1:30" s="248" customFormat="1">
      <s:c r="A33" s="249">
        <s:v>9</s:v>
      </s:c>
      <s:c r="B33" s="250"/>
      <s:c r="C33" s="251"/>
      <s:c r="D33" s="246"/>
      <s:c r="E33" s="252"/>
      <s:c r="F33" s="252" t="str">
        <s:f>IF(AND(E33&lt;&gt;"",E33&lt;&gt;0),D33/E33,"")</s:f>
        <s:v/>
      </s:c>
      <s:c r="G33" s="252"/>
      <s:c r="H33" s="252" t="str">
        <s:f>IF(AND(G33&lt;&gt;"",G33&lt;&gt;0),D33/G33,"")</s:f>
        <s:v/>
      </s:c>
      <s:c r="I33" s="252"/>
      <s:c r="J33" s="246" t="str">
        <s:f>IF(AND(G33&lt;&gt;"",G33&lt;&gt;0),E33/G33,"")</s:f>
        <s:v/>
      </s:c>
      <s:c r="K33" s="252"/>
      <s:c r="L33" s="252"/>
      <s:c r="M33" s="252"/>
      <s:c r="N33" s="253" t="str">
        <s:f>IF(AND(I33&lt;&gt;"",I33&lt;&gt;0),G33/I33,"")</s:f>
        <s:v/>
      </s:c>
      <s:c r="O33" s="254" t="e">
        <s:f>D33/P33</s:f>
        <s:v>#DIV/0!</s:v>
      </s:c>
      <s:c r="P33" s="255" t="e">
        <s:f>$I$8*V33*W33/SUMPRODUCT($W$25:$W$55,$V$25:$V$55)</s:f>
        <s:v>#DIV/0!</s:v>
      </s:c>
      <s:c r="Q33" s="256" t="e">
        <s:f>$I$9*V33*W33/SUMPRODUCT($W$25:$W$55,$V$25:$V$55)</s:f>
        <s:v>#DIV/0!</s:v>
      </s:c>
      <s:c r="R33" s="256" t="e">
        <s:f>IF($I$12="","",Q33/$I$12)</s:f>
        <s:v>#DIV/0!</s:v>
      </s:c>
      <s:c r="S33" s="255" t="str">
        <s:f>IF(W33&lt;&gt;"",IF(D33&lt;&gt;"",D33,($I$8-SUM($S$25:S32))*V33*W33/SUMPRODUCT($W33:$W$55,$V33:$V$55)),"")</s:f>
        <s:v/>
      </s:c>
      <s:c r="T33" s="256" t="str">
        <s:f>IF(W33&lt;&gt;"",IF(E33&lt;&gt;"",E33,($I$9-SUM($T$25:T32))*V33*W33/SUMPRODUCT($W33:$W$55,$V33:$V$55)),"")</s:f>
        <s:v/>
      </s:c>
      <s:c r="U33" s="256" t="str">
        <s:f>IF(W33&lt;&gt;"",IF($I$12&lt;&gt;"",IF(G33&lt;&gt;"",G33,($I$9/$I$12-SUM($U$25:U32))*V33*W33/SUMPRODUCT($W33:$W$55,$V33:$V$55)),""),"")</s:f>
        <s:v/>
      </s:c>
      <s:c r="V33" s="291"/>
      <s:c r="W33" s="291"/>
      <s:c r="X33" s="257"/>
      <s:c r="Y33" s="257"/>
      <s:c r="Z33" s="258"/>
      <s:c r="AA33" s="258"/>
      <s:c r="AB33" s="258"/>
      <s:c r="AC33" s="258"/>
      <s:c r="AD33" s="258"/>
    </s:row>
    <s:row r="34" spans="1:30" s="248" customFormat="1">
      <s:c r="A34" s="249">
        <s:v>10</s:v>
      </s:c>
      <s:c r="B34" s="250"/>
      <s:c r="C34" s="286"/>
      <s:c r="D34" s="246"/>
      <s:c r="E34" s="259"/>
      <s:c r="F34" s="252" t="str">
        <s:f>IF(AND(E34&lt;&gt;"",E34&lt;&gt;0),D34/E34,"")</s:f>
        <s:v/>
      </s:c>
      <s:c r="G34" s="259"/>
      <s:c r="H34" s="252" t="str">
        <s:f>IF(AND(G34&lt;&gt;"",G34&lt;&gt;0),D34/G34,"")</s:f>
        <s:v/>
      </s:c>
      <s:c r="I34" s="259"/>
      <s:c r="J34" s="246" t="str">
        <s:f>IF(AND(G34&lt;&gt;"",G34&lt;&gt;0),E34/G34,"")</s:f>
        <s:v/>
      </s:c>
      <s:c r="K34" s="252"/>
      <s:c r="L34" s="252"/>
      <s:c r="M34" s="252"/>
      <s:c r="N34" s="253" t="str">
        <s:f>IF(AND(I34&lt;&gt;"",I34&lt;&gt;0),G34/I34,"")</s:f>
        <s:v/>
      </s:c>
      <s:c r="O34" s="254" t="e">
        <s:f>D34/P34</s:f>
        <s:v>#DIV/0!</s:v>
      </s:c>
      <s:c r="P34" s="255" t="e">
        <s:f>$I$8*V34*W34/SUMPRODUCT($W$25:$W$55,$V$25:$V$55)</s:f>
        <s:v>#DIV/0!</s:v>
      </s:c>
      <s:c r="Q34" s="256" t="e">
        <s:f>$I$9*V34*W34/SUMPRODUCT($W$25:$W$55,$V$25:$V$55)</s:f>
        <s:v>#DIV/0!</s:v>
      </s:c>
      <s:c r="R34" s="256" t="e">
        <s:f>IF($I$12="","",Q34/$I$12)</s:f>
        <s:v>#DIV/0!</s:v>
      </s:c>
      <s:c r="S34" s="255" t="str">
        <s:f>IF(W34&lt;&gt;"",IF(D34&lt;&gt;"",D34,($I$8-SUM($S$25:S33))*V34*W34/SUMPRODUCT($W34:$W$55,$V34:$V$55)),"")</s:f>
        <s:v/>
      </s:c>
      <s:c r="T34" s="256" t="str">
        <s:f>IF(W34&lt;&gt;"",IF(E34&lt;&gt;"",E34,($I$9-SUM($T$25:T33))*V34*W34/SUMPRODUCT($W34:$W$55,$V34:$V$55)),"")</s:f>
        <s:v/>
      </s:c>
      <s:c r="U34" s="256" t="str">
        <s:f>IF(W34&lt;&gt;"",IF($I$12&lt;&gt;"",IF(G34&lt;&gt;"",G34,($I$9/$I$12-SUM($U$25:U33))*V34*W34/SUMPRODUCT($W34:$W$55,$V34:$V$55)),""),"")</s:f>
        <s:v/>
      </s:c>
      <s:c r="V34" s="291"/>
      <s:c r="W34" s="291"/>
      <s:c r="X34" s="257"/>
      <s:c r="Y34" s="257"/>
      <s:c r="Z34" s="260"/>
      <s:c r="AA34" s="258"/>
      <s:c r="AB34" s="258"/>
      <s:c r="AC34" s="258"/>
      <s:c r="AD34" s="258"/>
    </s:row>
    <s:row r="35" spans="1:30" s="248" customFormat="1">
      <s:c r="A35" s="249">
        <s:v>11</s:v>
      </s:c>
      <s:c r="B35" s="250"/>
      <s:c r="C35" s="251"/>
      <s:c r="D35" s="262"/>
      <s:c r="E35" s="252"/>
      <s:c r="F35" s="259" t="str">
        <s:f>IF(AND(E35&lt;&gt;"",E35&lt;&gt;0),D35/E35,"")</s:f>
        <s:v/>
      </s:c>
      <s:c r="G35" s="252"/>
      <s:c r="H35" s="259" t="str">
        <s:f>IF(AND(G35&lt;&gt;"",G35&lt;&gt;0),D35/G35,"")</s:f>
        <s:v/>
      </s:c>
      <s:c r="I35" s="252"/>
      <s:c r="J35" s="262" t="str">
        <s:f>IF(AND(G35&lt;&gt;"",G35&lt;&gt;0),E35/G35,"")</s:f>
        <s:v/>
      </s:c>
      <s:c r="K35" s="252"/>
      <s:c r="L35" s="252"/>
      <s:c r="M35" s="252"/>
      <s:c r="N35" s="253" t="str">
        <s:f>IF(AND(I35&lt;&gt;"",I35&lt;&gt;0),G35/I35,"")</s:f>
        <s:v/>
      </s:c>
      <s:c r="O35" s="254" t="e">
        <s:f>D35/P35</s:f>
        <s:v>#DIV/0!</s:v>
      </s:c>
      <s:c r="P35" s="255" t="e">
        <s:f>$I$8*V35*W35/SUMPRODUCT($W$25:$W$55,$V$25:$V$55)</s:f>
        <s:v>#DIV/0!</s:v>
      </s:c>
      <s:c r="Q35" s="256" t="e">
        <s:f>$I$9*V35*W35/SUMPRODUCT($W$25:$W$55,$V$25:$V$55)</s:f>
        <s:v>#DIV/0!</s:v>
      </s:c>
      <s:c r="R35" s="256" t="e">
        <s:f>IF($I$12="","",Q35/$I$12)</s:f>
        <s:v>#DIV/0!</s:v>
      </s:c>
      <s:c r="S35" s="255" t="str">
        <s:f>IF(W35&lt;&gt;"",IF(D35&lt;&gt;"",D35,($I$8-SUM($S$25:S34))*V35*W35/SUMPRODUCT($W35:$W$55,$V35:$V$55)),"")</s:f>
        <s:v/>
      </s:c>
      <s:c r="T35" s="256" t="str">
        <s:f>IF(W35&lt;&gt;"",IF(E35&lt;&gt;"",E35,($I$9-SUM($T$25:T34))*V35*W35/SUMPRODUCT($W35:$W$55,$V35:$V$55)),"")</s:f>
        <s:v/>
      </s:c>
      <s:c r="U35" s="256" t="str">
        <s:f>IF(W35&lt;&gt;"",IF($I$12&lt;&gt;"",IF(G35&lt;&gt;"",G35,($I$9/$I$12-SUM($U$25:U34))*V35*W35/SUMPRODUCT($W35:$W$55,$V35:$V$55)),""),"")</s:f>
        <s:v/>
      </s:c>
      <s:c r="V35" s="291"/>
      <s:c r="W35" s="291"/>
      <s:c r="X35" s="257"/>
      <s:c r="Y35" s="257"/>
      <s:c r="Z35" s="260"/>
      <s:c r="AA35" s="258"/>
      <s:c r="AB35" s="258"/>
      <s:c r="AC35" s="258"/>
      <s:c r="AD35" s="258"/>
    </s:row>
    <s:row r="36" spans="1:30" s="248" customFormat="1">
      <s:c r="A36" s="249">
        <s:v>12</s:v>
      </s:c>
      <s:c r="B36" s="250"/>
      <s:c r="C36" s="286"/>
      <s:c r="D36" s="246"/>
      <s:c r="E36" s="259"/>
      <s:c r="F36" s="252" t="str">
        <s:f>IF(AND(E36&lt;&gt;"",E36&lt;&gt;0),D36/E36,"")</s:f>
        <s:v/>
      </s:c>
      <s:c r="G36" s="252"/>
      <s:c r="H36" s="252" t="str">
        <s:f>IF(AND(G36&lt;&gt;"",G36&lt;&gt;0),D36/G36,"")</s:f>
        <s:v/>
      </s:c>
      <s:c r="I36" s="259"/>
      <s:c r="J36" s="246" t="str">
        <s:f>IF(AND(G36&lt;&gt;"",G36&lt;&gt;0),E36/G36,"")</s:f>
        <s:v/>
      </s:c>
      <s:c r="K36" s="252"/>
      <s:c r="L36" s="252"/>
      <s:c r="M36" s="252"/>
      <s:c r="N36" s="253" t="str">
        <s:f>IF(AND(I36&lt;&gt;"",I36&lt;&gt;0),G36/I36,"")</s:f>
        <s:v/>
      </s:c>
      <s:c r="O36" s="254" t="e">
        <s:f>D36/P36</s:f>
        <s:v>#DIV/0!</s:v>
      </s:c>
      <s:c r="P36" s="255" t="e">
        <s:f>$I$8*V36*W36/SUMPRODUCT($W$25:$W$55,$V$25:$V$55)</s:f>
        <s:v>#DIV/0!</s:v>
      </s:c>
      <s:c r="Q36" s="256" t="e">
        <s:f>$I$9*V36*W36/SUMPRODUCT($W$25:$W$55,$V$25:$V$55)</s:f>
        <s:v>#DIV/0!</s:v>
      </s:c>
      <s:c r="R36" s="256" t="e">
        <s:f>IF($I$12="","",Q36/$I$12)</s:f>
        <s:v>#DIV/0!</s:v>
      </s:c>
      <s:c r="S36" s="255" t="str">
        <s:f>IF(W36&lt;&gt;"",IF(D36&lt;&gt;"",D36,($I$8-SUM($S$25:S35))*V36*W36/SUMPRODUCT($W36:$W$55,$V36:$V$55)),"")</s:f>
        <s:v/>
      </s:c>
      <s:c r="T36" s="256" t="str">
        <s:f>IF(W36&lt;&gt;"",IF(E36&lt;&gt;"",E36,($I$9-SUM($T$25:T35))*V36*W36/SUMPRODUCT($W36:$W$55,$V36:$V$55)),"")</s:f>
        <s:v/>
      </s:c>
      <s:c r="U36" s="256" t="str">
        <s:f>IF(W36&lt;&gt;"",IF($I$12&lt;&gt;"",IF(G36&lt;&gt;"",G36,($I$9/$I$12-SUM($U$25:U35))*V36*W36/SUMPRODUCT($W36:$W$55,$V36:$V$55)),""),"")</s:f>
        <s:v/>
      </s:c>
      <s:c r="V36" s="291"/>
      <s:c r="W36" s="291"/>
      <s:c r="X36" s="257"/>
      <s:c r="Y36" s="257"/>
      <s:c r="Z36" s="260"/>
      <s:c r="AA36" s="258"/>
      <s:c r="AB36" s="258"/>
      <s:c r="AC36" s="258"/>
      <s:c r="AD36" s="258"/>
    </s:row>
    <s:row r="37" spans="1:30" s="248" customFormat="1">
      <s:c r="A37" s="249">
        <s:v>13</s:v>
      </s:c>
      <s:c r="B37" s="250"/>
      <s:c r="C37" s="251"/>
      <s:c r="D37" s="262"/>
      <s:c r="E37" s="252"/>
      <s:c r="F37" s="252" t="str">
        <s:f>IF(AND(E37&lt;&gt;"",E37&lt;&gt;0),D37/E37,"")</s:f>
        <s:v/>
      </s:c>
      <s:c r="G37" s="252"/>
      <s:c r="H37" s="259" t="str">
        <s:f>IF(AND(G37&lt;&gt;"",G37&lt;&gt;0),D37/G37,"")</s:f>
        <s:v/>
      </s:c>
      <s:c r="I37" s="252"/>
      <s:c r="J37" s="262" t="str">
        <s:f>IF(AND(G37&lt;&gt;"",G37&lt;&gt;0),E37/G37,"")</s:f>
        <s:v/>
      </s:c>
      <s:c r="K37" s="252"/>
      <s:c r="L37" s="252"/>
      <s:c r="M37" s="252"/>
      <s:c r="N37" s="253" t="str">
        <s:f>IF(AND(I37&lt;&gt;"",I37&lt;&gt;0),G37/I37,"")</s:f>
        <s:v/>
      </s:c>
      <s:c r="O37" s="254" t="e">
        <s:f>D37/P37</s:f>
        <s:v>#DIV/0!</s:v>
      </s:c>
      <s:c r="P37" s="255" t="e">
        <s:f>$I$8*V37*W37/SUMPRODUCT($W$25:$W$55,$V$25:$V$55)</s:f>
        <s:v>#DIV/0!</s:v>
      </s:c>
      <s:c r="Q37" s="256" t="e">
        <s:f>$I$9*V37*W37/SUMPRODUCT($W$25:$W$55,$V$25:$V$55)</s:f>
        <s:v>#DIV/0!</s:v>
      </s:c>
      <s:c r="R37" s="256" t="e">
        <s:f>IF($I$12="","",Q37/$I$12)</s:f>
        <s:v>#DIV/0!</s:v>
      </s:c>
      <s:c r="S37" s="255" t="str">
        <s:f>IF(W37&lt;&gt;"",IF(D37&lt;&gt;"",D37,($I$8-SUM($S$25:S36))*V37*W37/SUMPRODUCT($W37:$W$55,$V37:$V$55)),"")</s:f>
        <s:v/>
      </s:c>
      <s:c r="T37" s="256" t="str">
        <s:f>IF(W37&lt;&gt;"",IF(E37&lt;&gt;"",E37,($I$9-SUM($T$25:T36))*V37*W37/SUMPRODUCT($W37:$W$55,$V37:$V$55)),"")</s:f>
        <s:v/>
      </s:c>
      <s:c r="U37" s="256" t="str">
        <s:f>IF(W37&lt;&gt;"",IF($I$12&lt;&gt;"",IF(G37&lt;&gt;"",G37,($I$9/$I$12-SUM($U$25:U36))*V37*W37/SUMPRODUCT($W37:$W$55,$V37:$V$55)),""),"")</s:f>
        <s:v/>
      </s:c>
      <s:c r="V37" s="291"/>
      <s:c r="W37" s="291"/>
      <s:c r="X37" s="257"/>
      <s:c r="Y37" s="257"/>
      <s:c r="Z37" s="260"/>
      <s:c r="AA37" s="258"/>
      <s:c r="AB37" s="258"/>
      <s:c r="AC37" s="258"/>
      <s:c r="AD37" s="258"/>
    </s:row>
    <s:row r="38" spans="1:30" s="248" customFormat="1">
      <s:c r="A38" s="249">
        <s:v>14</s:v>
      </s:c>
      <s:c r="B38" s="250"/>
      <s:c r="C38" s="286"/>
      <s:c r="D38" s="246"/>
      <s:c r="E38" s="259"/>
      <s:c r="F38" s="252" t="str">
        <s:f>IF(AND(E38&lt;&gt;"",E38&lt;&gt;0),D38/E38,"")</s:f>
        <s:v/>
      </s:c>
      <s:c r="G38" s="259"/>
      <s:c r="H38" s="252" t="str">
        <s:f>IF(AND(G38&lt;&gt;"",G38&lt;&gt;0),D38/G38,"")</s:f>
        <s:v/>
      </s:c>
      <s:c r="I38" s="259"/>
      <s:c r="J38" s="246" t="str">
        <s:f>IF(AND(G38&lt;&gt;"",G38&lt;&gt;0),E38/G38,"")</s:f>
        <s:v/>
      </s:c>
      <s:c r="K38" s="259"/>
      <s:c r="L38" s="252"/>
      <s:c r="M38" s="259"/>
      <s:c r="N38" s="253" t="str">
        <s:f>IF(AND(I38&lt;&gt;"",I38&lt;&gt;0),G38/I38,"")</s:f>
        <s:v/>
      </s:c>
      <s:c r="O38" s="287" t="e">
        <s:f>D38/P38</s:f>
        <s:v>#DIV/0!</s:v>
      </s:c>
      <s:c r="P38" s="255" t="e">
        <s:f>$I$8*V38*W38/SUMPRODUCT($W$25:$W$55,$V$25:$V$55)</s:f>
        <s:v>#DIV/0!</s:v>
      </s:c>
      <s:c r="Q38" s="288" t="e">
        <s:f>$I$9*V38*W38/SUMPRODUCT($W$25:$W$55,$V$25:$V$55)</s:f>
        <s:v>#DIV/0!</s:v>
      </s:c>
      <s:c r="R38" s="256" t="e">
        <s:f>IF($I$12="","",Q38/$I$12)</s:f>
        <s:v>#DIV/0!</s:v>
      </s:c>
      <s:c r="S38" s="289" t="str">
        <s:f>IF(W38&lt;&gt;"",IF(D38&lt;&gt;"",D38,($I$8-SUM($S$25:S37))*V38*W38/SUMPRODUCT($W38:$W$55,$V38:$V$55)),"")</s:f>
        <s:v/>
      </s:c>
      <s:c r="T38" s="256" t="str">
        <s:f>IF(W38&lt;&gt;"",IF(E38&lt;&gt;"",E38,($I$9-SUM($T$25:T37))*V38*W38/SUMPRODUCT($W38:$W$55,$V38:$V$55)),"")</s:f>
        <s:v/>
      </s:c>
      <s:c r="U38" s="288" t="str">
        <s:f>IF(W38&lt;&gt;"",IF($I$12&lt;&gt;"",IF(G38&lt;&gt;"",G38,($I$9/$I$12-SUM($U$25:U37))*V38*W38/SUMPRODUCT($W38:$W$55,$V38:$V$55)),""),"")</s:f>
        <s:v/>
      </s:c>
      <s:c r="V38" s="291"/>
      <s:c r="W38" s="291"/>
      <s:c r="X38" s="257"/>
      <s:c r="Y38" s="257"/>
      <s:c r="Z38" s="260"/>
      <s:c r="AA38" s="258"/>
      <s:c r="AB38" s="258"/>
      <s:c r="AC38" s="258"/>
      <s:c r="AD38" s="258"/>
    </s:row>
    <s:row r="39" spans="1:30" s="248" customFormat="1">
      <s:c r="A39" s="249">
        <s:v>15</s:v>
      </s:c>
      <s:c r="B39" s="250"/>
      <s:c r="C39" s="251"/>
      <s:c r="D39" s="262"/>
      <s:c r="E39" s="252"/>
      <s:c r="F39" s="259" t="str">
        <s:f>IF(AND(E39&lt;&gt;"",E39&lt;&gt;0),D39/E39,"")</s:f>
        <s:v/>
      </s:c>
      <s:c r="G39" s="252"/>
      <s:c r="H39" s="259" t="str">
        <s:f>IF(AND(G39&lt;&gt;"",G39&lt;&gt;0),D39/G39,"")</s:f>
        <s:v/>
      </s:c>
      <s:c r="I39" s="252"/>
      <s:c r="J39" s="262" t="str">
        <s:f>IF(AND(G39&lt;&gt;"",G39&lt;&gt;0),E39/G39,"")</s:f>
        <s:v/>
      </s:c>
      <s:c r="K39" s="252"/>
      <s:c r="L39" s="252"/>
      <s:c r="M39" s="252"/>
      <s:c r="N39" s="253" t="str">
        <s:f>IF(AND(I39&lt;&gt;"",I39&lt;&gt;0),G39/I39,"")</s:f>
        <s:v/>
      </s:c>
      <s:c r="O39" s="254" t="e">
        <s:f>D39/P39</s:f>
        <s:v>#DIV/0!</s:v>
      </s:c>
      <s:c r="P39" s="255" t="e">
        <s:f>$I$8*V39*W39/SUMPRODUCT($W$25:$W$55,$V$25:$V$55)</s:f>
        <s:v>#DIV/0!</s:v>
      </s:c>
      <s:c r="Q39" s="256" t="e">
        <s:f>$I$9*V39*W39/SUMPRODUCT($W$25:$W$55,$V$25:$V$55)</s:f>
        <s:v>#DIV/0!</s:v>
      </s:c>
      <s:c r="R39" s="256" t="e">
        <s:f>IF($I$12="","",Q39/$I$12)</s:f>
        <s:v>#DIV/0!</s:v>
      </s:c>
      <s:c r="S39" s="255" t="str">
        <s:f>IF(W39&lt;&gt;"",IF(D39&lt;&gt;"",D39,($I$8-SUM($S$25:S38))*V39*W39/SUMPRODUCT($W39:$W$55,$V39:$V$55)),"")</s:f>
        <s:v/>
      </s:c>
      <s:c r="T39" s="256" t="str">
        <s:f>IF(W39&lt;&gt;"",IF(E39&lt;&gt;"",E39,($I$9-SUM($T$25:T38))*V39*W39/SUMPRODUCT($W39:$W$55,$V39:$V$55)),"")</s:f>
        <s:v/>
      </s:c>
      <s:c r="U39" s="256" t="str">
        <s:f>IF(W39&lt;&gt;"",IF($I$12&lt;&gt;"",IF(G39&lt;&gt;"",G39,($I$9/$I$12-SUM($U$25:U38))*V39*W39/SUMPRODUCT($W39:$W$55,$V39:$V$55)),""),"")</s:f>
        <s:v/>
      </s:c>
      <s:c r="V39" s="291"/>
      <s:c r="W39" s="291"/>
      <s:c r="X39" s="257"/>
      <s:c r="Y39" s="257"/>
      <s:c r="Z39" s="260"/>
      <s:c r="AA39" s="258"/>
      <s:c r="AB39" s="258"/>
      <s:c r="AC39" s="258"/>
      <s:c r="AD39" s="258"/>
    </s:row>
    <s:row r="40" spans="1:30" s="248" customFormat="1" ht="15" customHeight="1">
      <s:c r="A40" s="249">
        <s:v>16</s:v>
      </s:c>
      <s:c r="B40" s="250"/>
      <s:c r="C40" s="286"/>
      <s:c r="D40" s="246"/>
      <s:c r="E40" s="259"/>
      <s:c r="F40" s="252" t="str">
        <s:f>IF(AND(E40&lt;&gt;"",E40&lt;&gt;0),D40/E40,"")</s:f>
        <s:v/>
      </s:c>
      <s:c r="G40" s="259"/>
      <s:c r="H40" s="252" t="str">
        <s:f>IF(AND(G40&lt;&gt;"",G40&lt;&gt;0),D40/G40,"")</s:f>
        <s:v/>
      </s:c>
      <s:c r="I40" s="259"/>
      <s:c r="J40" s="246" t="str">
        <s:f>IF(AND(G40&lt;&gt;"",G40&lt;&gt;0),E40/G40,"")</s:f>
        <s:v/>
      </s:c>
      <s:c r="K40" s="252"/>
      <s:c r="L40" s="252"/>
      <s:c r="M40" s="252"/>
      <s:c r="N40" s="253" t="str">
        <s:f>IF(AND(I40&lt;&gt;"",I40&lt;&gt;0),G40/I40,"")</s:f>
        <s:v/>
      </s:c>
      <s:c r="O40" s="254" t="e">
        <s:f>D40/P40</s:f>
        <s:v>#DIV/0!</s:v>
      </s:c>
      <s:c r="P40" s="255" t="e">
        <s:f>$I$8*V40*W40/SUMPRODUCT($W$25:$W$55,$V$25:$V$55)</s:f>
        <s:v>#DIV/0!</s:v>
      </s:c>
      <s:c r="Q40" s="256" t="e">
        <s:f>$I$9*V40*W40/SUMPRODUCT($W$25:$W$55,$V$25:$V$55)</s:f>
        <s:v>#DIV/0!</s:v>
      </s:c>
      <s:c r="R40" s="256" t="e">
        <s:f>IF($I$12="","",Q40/$I$12)</s:f>
        <s:v>#DIV/0!</s:v>
      </s:c>
      <s:c r="S40" s="255" t="str">
        <s:f>IF(W40&lt;&gt;"",IF(D40&lt;&gt;"",D40,($I$8-SUM($S$25:S39))*V40*W40/SUMPRODUCT($W40:$W$55,$V40:$V$55)),"")</s:f>
        <s:v/>
      </s:c>
      <s:c r="T40" s="256" t="str">
        <s:f>IF(W40&lt;&gt;"",IF(E40&lt;&gt;"",E40,($I$9-SUM($T$25:T39))*V40*W40/SUMPRODUCT($W40:$W$55,$V40:$V$55)),"")</s:f>
        <s:v/>
      </s:c>
      <s:c r="U40" s="256" t="str">
        <s:f>IF(W40&lt;&gt;"",IF($I$12&lt;&gt;"",IF(G40&lt;&gt;"",G40,($I$9/$I$12-SUM($U$25:U39))*V40*W40/SUMPRODUCT($W40:$W$55,$V40:$V$55)),""),"")</s:f>
        <s:v/>
      </s:c>
      <s:c r="V40" s="291"/>
      <s:c r="W40" s="291"/>
      <s:c r="X40" s="257"/>
      <s:c r="Y40" s="257"/>
      <s:c r="Z40" s="260"/>
      <s:c r="AA40" s="258"/>
      <s:c r="AB40" s="258"/>
      <s:c r="AC40" s="258"/>
      <s:c r="AD40" s="258"/>
    </s:row>
    <s:row r="41" spans="1:30" s="248" customFormat="1">
      <s:c r="A41" s="249">
        <s:v>17</s:v>
      </s:c>
      <s:c r="B41" s="250"/>
      <s:c r="C41" s="251"/>
      <s:c r="D41" s="262"/>
      <s:c r="E41" s="252"/>
      <s:c r="F41" s="259" t="str">
        <s:f>IF(AND(E41&lt;&gt;"",E41&lt;&gt;0),D41/E41,"")</s:f>
        <s:v/>
      </s:c>
      <s:c r="G41" s="252"/>
      <s:c r="H41" s="259" t="str">
        <s:f>IF(AND(G41&lt;&gt;"",G41&lt;&gt;0),D41/G41,"")</s:f>
        <s:v/>
      </s:c>
      <s:c r="I41" s="252"/>
      <s:c r="J41" s="262" t="str">
        <s:f>IF(AND(G41&lt;&gt;"",G41&lt;&gt;0),E41/G41,"")</s:f>
        <s:v/>
      </s:c>
      <s:c r="K41" s="252"/>
      <s:c r="L41" s="252"/>
      <s:c r="M41" s="252"/>
      <s:c r="N41" s="290" t="str">
        <s:f>IF(AND(I41&lt;&gt;"",I41&lt;&gt;0),G41/I41,"")</s:f>
        <s:v/>
      </s:c>
      <s:c r="O41" s="254" t="e">
        <s:f>D41/P41</s:f>
        <s:v>#DIV/0!</s:v>
      </s:c>
      <s:c r="P41" s="255" t="e">
        <s:f>$I$8*V41*W41/SUMPRODUCT($W$25:$W$55,$V$25:$V$55)</s:f>
        <s:v>#DIV/0!</s:v>
      </s:c>
      <s:c r="Q41" s="256" t="e">
        <s:f>$I$9*V41*W41/SUMPRODUCT($W$25:$W$55,$V$25:$V$55)</s:f>
        <s:v>#DIV/0!</s:v>
      </s:c>
      <s:c r="R41" s="256" t="e">
        <s:f>IF($I$12="","",Q41/$I$12)</s:f>
        <s:v>#DIV/0!</s:v>
      </s:c>
      <s:c r="S41" s="255" t="str">
        <s:f>IF(W41&lt;&gt;"",IF(D41&lt;&gt;"",D41,($I$8-SUM($S$25:S40))*V41*W41/SUMPRODUCT($W41:$W$55,$V41:$V$55)),"")</s:f>
        <s:v/>
      </s:c>
      <s:c r="T41" s="256" t="str">
        <s:f>IF(W41&lt;&gt;"",IF(E41&lt;&gt;"",E41,($I$9-SUM($T$25:T40))*V41*W41/SUMPRODUCT($W41:$W$55,$V41:$V$55)),"")</s:f>
        <s:v/>
      </s:c>
      <s:c r="U41" s="256" t="str">
        <s:f>IF(W41&lt;&gt;"",IF($I$12&lt;&gt;"",IF(G41&lt;&gt;"",G41,($I$9/$I$12-SUM($U$25:U40))*V41*W41/SUMPRODUCT($W41:$W$55,$V41:$V$55)),""),"")</s:f>
        <s:v/>
      </s:c>
      <s:c r="V41" s="291"/>
      <s:c r="W41" s="291"/>
      <s:c r="X41" s="257"/>
      <s:c r="Y41" s="257"/>
      <s:c r="Z41" s="260"/>
      <s:c r="AA41" s="258"/>
      <s:c r="AB41" s="258"/>
      <s:c r="AC41" s="258"/>
      <s:c r="AD41" s="258"/>
    </s:row>
    <s:row r="42" spans="1:30" s="248" customFormat="1">
      <s:c r="A42" s="249">
        <s:v>18</s:v>
      </s:c>
      <s:c r="B42" s="250"/>
      <s:c r="C42" s="286"/>
      <s:c r="D42" s="246"/>
      <s:c r="E42" s="259"/>
      <s:c r="F42" s="252" t="str">
        <s:f>IF(AND(E42&lt;&gt;"",E42&lt;&gt;0),D42/E42,"")</s:f>
        <s:v/>
      </s:c>
      <s:c r="G42" s="259"/>
      <s:c r="H42" s="252" t="str">
        <s:f>IF(AND(G42&lt;&gt;"",G42&lt;&gt;0),D42/G42,"")</s:f>
        <s:v/>
      </s:c>
      <s:c r="I42" s="259"/>
      <s:c r="J42" s="246" t="str">
        <s:f>IF(AND(G42&lt;&gt;"",G42&lt;&gt;0),E42/G42,"")</s:f>
        <s:v/>
      </s:c>
      <s:c r="K42" s="252"/>
      <s:c r="L42" s="252"/>
      <s:c r="M42" s="252"/>
      <s:c r="N42" s="290" t="str">
        <s:f>IF(AND(I42&lt;&gt;"",I42&lt;&gt;0),G42/I42,"")</s:f>
        <s:v/>
      </s:c>
      <s:c r="O42" s="254" t="e">
        <s:f>D42/P42</s:f>
        <s:v>#DIV/0!</s:v>
      </s:c>
      <s:c r="P42" s="255" t="e">
        <s:f>$I$8*V42*W42/SUMPRODUCT($W$25:$W$55,$V$25:$V$55)</s:f>
        <s:v>#DIV/0!</s:v>
      </s:c>
      <s:c r="Q42" s="256" t="e">
        <s:f>$I$9*V42*W42/SUMPRODUCT($W$25:$W$55,$V$25:$V$55)</s:f>
        <s:v>#DIV/0!</s:v>
      </s:c>
      <s:c r="R42" s="256" t="e">
        <s:f>IF($I$12="","",Q42/$I$12)</s:f>
        <s:v>#DIV/0!</s:v>
      </s:c>
      <s:c r="S42" s="255" t="str">
        <s:f>IF(W42&lt;&gt;"",IF(D42&lt;&gt;"",D42,($I$8-SUM($S$25:S41))*V42*W42/SUMPRODUCT($W42:$W$55,$V42:$V$55)),"")</s:f>
        <s:v/>
      </s:c>
      <s:c r="T42" s="256" t="str">
        <s:f>IF(W42&lt;&gt;"",IF(E42&lt;&gt;"",E42,($I$9-SUM($T$25:T41))*V42*W42/SUMPRODUCT($W42:$W$55,$V42:$V$55)),"")</s:f>
        <s:v/>
      </s:c>
      <s:c r="U42" s="256" t="str">
        <s:f>IF(W42&lt;&gt;"",IF($I$12&lt;&gt;"",IF(G42&lt;&gt;"",G42,($I$9/$I$12-SUM($U$25:U41))*V42*W42/SUMPRODUCT($W42:$W$55,$V42:$V$55)),""),"")</s:f>
        <s:v/>
      </s:c>
      <s:c r="V42" s="291"/>
      <s:c r="W42" s="291"/>
      <s:c r="X42" s="257"/>
      <s:c r="Y42" s="257"/>
      <s:c r="Z42" s="260"/>
      <s:c r="AA42" s="258"/>
      <s:c r="AB42" s="258"/>
      <s:c r="AC42" s="258"/>
      <s:c r="AD42" s="258"/>
    </s:row>
    <s:row r="43" spans="1:30" s="248" customFormat="1" ht="15" customHeight="1">
      <s:c r="A43" s="249"/>
      <s:c r="B43" s="250"/>
      <s:c r="C43" s="251"/>
      <s:c r="D43" s="246"/>
      <s:c r="E43" s="252"/>
      <s:c r="F43" s="252" t="str">
        <s:f>IF(AND(E43&lt;&gt;"",E43&lt;&gt;0),D43/E43,"")</s:f>
        <s:v/>
      </s:c>
      <s:c r="G43" s="252"/>
      <s:c r="H43" s="252" t="str">
        <s:f>IF(AND(G43&lt;&gt;"",G43&lt;&gt;0),D43/G43,"")</s:f>
        <s:v/>
      </s:c>
      <s:c r="I43" s="252"/>
      <s:c r="J43" s="246" t="str">
        <s:f>IF(AND(G43&lt;&gt;"",G43&lt;&gt;0),E43/G43,"")</s:f>
        <s:v/>
      </s:c>
      <s:c r="K43" s="252"/>
      <s:c r="L43" s="252"/>
      <s:c r="M43" s="252"/>
      <s:c r="N43" s="290" t="str">
        <s:f>IF(AND(I43&lt;&gt;"",I43&lt;&gt;0),G43/I43,"")</s:f>
        <s:v/>
      </s:c>
      <s:c r="O43" s="254" t="e">
        <s:f>D43/P43</s:f>
        <s:v>#DIV/0!</s:v>
      </s:c>
      <s:c r="P43" s="255" t="e">
        <s:f>$I$8*V43*W43/SUMPRODUCT($W$25:$W$55,$V$25:$V$55)</s:f>
        <s:v>#DIV/0!</s:v>
      </s:c>
      <s:c r="Q43" s="256" t="e">
        <s:f>$I$9*V43*W43/SUMPRODUCT($W$25:$W$55,$V$25:$V$55)</s:f>
        <s:v>#DIV/0!</s:v>
      </s:c>
      <s:c r="R43" s="256" t="e">
        <s:f>IF($I$12="","",Q43/$I$12)</s:f>
        <s:v>#DIV/0!</s:v>
      </s:c>
      <s:c r="S43" s="255" t="str">
        <s:f>IF(W43&lt;&gt;"",IF(D43&lt;&gt;"",D43,($I$8-SUM($S$25:S42))*V43*W43/SUMPRODUCT($W43:$W$55,$V43:$V$55)),"")</s:f>
        <s:v/>
      </s:c>
      <s:c r="T43" s="256" t="str">
        <s:f>IF(W43&lt;&gt;"",IF(E43&lt;&gt;"",E43,($I$9-SUM($T$25:T42))*V43*W43/SUMPRODUCT($W43:$W$55,$V43:$V$55)),"")</s:f>
        <s:v/>
      </s:c>
      <s:c r="U43" s="256" t="str">
        <s:f>IF(W43&lt;&gt;"",IF($I$12&lt;&gt;"",IF(G43&lt;&gt;"",G43,($I$9/$I$12-SUM($U$25:U42))*V43*W43/SUMPRODUCT($W43:$W$55,$V43:$V$55)),""),"")</s:f>
        <s:v/>
      </s:c>
      <s:c r="V43" s="291"/>
      <s:c r="W43" s="291"/>
      <s:c r="X43" s="257"/>
      <s:c r="Y43" s="257"/>
      <s:c r="Z43" s="260"/>
      <s:c r="AA43" s="258"/>
      <s:c r="AB43" s="258"/>
      <s:c r="AC43" s="258"/>
      <s:c r="AD43" s="258"/>
    </s:row>
    <s:row r="44" spans="1:30" s="248" customFormat="1" ht="15" customHeight="1">
      <s:c r="A44" s="249"/>
      <s:c r="B44" s="250"/>
      <s:c r="C44" s="251"/>
      <s:c r="D44" s="246"/>
      <s:c r="E44" s="252"/>
      <s:c r="F44" s="252" t="str">
        <s:f>IF(AND(E44&lt;&gt;"",E44&lt;&gt;0),D44/E44,"")</s:f>
        <s:v/>
      </s:c>
      <s:c r="G44" s="252"/>
      <s:c r="H44" s="252" t="str">
        <s:f>IF(AND(G44&lt;&gt;"",G44&lt;&gt;0),D44/G44,"")</s:f>
        <s:v/>
      </s:c>
      <s:c r="I44" s="252"/>
      <s:c r="J44" s="246" t="str">
        <s:f>IF(AND(G44&lt;&gt;"",G44&lt;&gt;0),E44/G44,"")</s:f>
        <s:v/>
      </s:c>
      <s:c r="K44" s="252"/>
      <s:c r="L44" s="252"/>
      <s:c r="M44" s="252"/>
      <s:c r="N44" s="290" t="str">
        <s:f>IF(AND(I44&lt;&gt;"",I44&lt;&gt;0),G44/I44,"")</s:f>
        <s:v/>
      </s:c>
      <s:c r="O44" s="254" t="e">
        <s:f>D44/P44</s:f>
        <s:v>#DIV/0!</s:v>
      </s:c>
      <s:c r="P44" s="255" t="e">
        <s:f>$I$8*V44*W44/SUMPRODUCT($W$25:$W$55,$V$25:$V$55)</s:f>
        <s:v>#DIV/0!</s:v>
      </s:c>
      <s:c r="Q44" s="256" t="e">
        <s:f>$I$9*V44*W44/SUMPRODUCT($W$25:$W$55,$V$25:$V$55)</s:f>
        <s:v>#DIV/0!</s:v>
      </s:c>
      <s:c r="R44" s="256" t="e">
        <s:f>IF($I$12="","",Q44/$I$12)</s:f>
        <s:v>#DIV/0!</s:v>
      </s:c>
      <s:c r="S44" s="255" t="str">
        <s:f>IF(W44&lt;&gt;"",IF(D44&lt;&gt;"",D44,($I$8-SUM($S$25:S43))*V44*W44/SUMPRODUCT($W44:$W$55,$V44:$V$55)),"")</s:f>
        <s:v/>
      </s:c>
      <s:c r="T44" s="256">
        <s:f>IF(W44&lt;&gt;"",IF(E44&lt;&gt;"",E44,($I$9-SUM($T$25:T43))*V44*W44/SUMPRODUCT($W44:$W$55,$V44:$V$55)),0)</s:f>
        <s:v>0</s:v>
      </s:c>
      <s:c r="U44" s="256" t="str">
        <s:f>IF(W44&lt;&gt;"",IF($I$12&lt;&gt;"",IF(G44&lt;&gt;"",G44,($I$9/$I$12-SUM($U$25:U43))*V44*W44/SUMPRODUCT($W44:$W$55,$V44:$V$55)),""),"")</s:f>
        <s:v/>
      </s:c>
      <s:c r="V44" s="291"/>
      <s:c r="W44" s="291"/>
      <s:c r="X44" s="257"/>
      <s:c r="Y44" s="257"/>
      <s:c r="Z44" s="258"/>
      <s:c r="AA44" s="258"/>
      <s:c r="AB44" s="258"/>
      <s:c r="AC44" s="258"/>
      <s:c r="AD44" s="258"/>
    </s:row>
    <s:row r="45" spans="1:30" customFormat="1">
      <s:c r="A45" s="292"/>
      <s:c r="B45" s="114"/>
      <s:c r="C45" s="245"/>
      <s:c r="D45" s="116"/>
      <s:c r="E45" s="117"/>
      <s:c r="F45" s="117" t="str">
        <s:f>IF(AND(E45&lt;&gt;"",E45&lt;&gt;0),D45/E45,"")</s:f>
        <s:v/>
      </s:c>
      <s:c r="G45" s="117"/>
      <s:c r="H45" s="117" t="str">
        <s:f>IF(AND(G45&lt;&gt;"",G45&lt;&gt;0),D45/G45,"")</s:f>
        <s:v/>
      </s:c>
      <s:c r="I45" s="117"/>
      <s:c r="J45" s="116" t="str">
        <s:f>IF(AND(G45&lt;&gt;"",G45&lt;&gt;0),E45/G45,"")</s:f>
        <s:v/>
      </s:c>
      <s:c r="K45" s="117"/>
      <s:c r="L45" s="117"/>
      <s:c r="M45" s="117"/>
      <s:c r="N45" s="293" t="str">
        <s:f>IF(AND(I45&lt;&gt;"",I45&lt;&gt;0),G45/I45,"")</s:f>
        <s:v/>
      </s:c>
      <s:c r="O45" s="119" t="e">
        <s:f>D45/P45</s:f>
        <s:v>#DIV/0!</s:v>
      </s:c>
      <s:c r="P45" s="120" t="e">
        <s:f>$I$8*V45*W45/SUMPRODUCT($W$25:$W$44,$V$25:$V$44)</s:f>
        <s:v>#DIV/0!</s:v>
      </s:c>
      <s:c r="Q45" s="121" t="e">
        <s:f>$I$9*V45*W45/SUMPRODUCT($W$25:$W$44,$V$25:$V$44)</s:f>
        <s:v>#DIV/0!</s:v>
      </s:c>
      <s:c r="R45" s="121" t="e">
        <s:f>IF($I$12="","",Q45/$I$12)</s:f>
        <s:v>#DIV/0!</s:v>
      </s:c>
      <s:c r="S45" s="120" t="str">
        <s:f>IF(W45&lt;&gt;"",IF(D45&lt;&gt;"",D45,($I$8-SUM($S$25:S44))*V45*W45/SUMPRODUCT($W$44:$W45,$V$44:$V45)),"")</s:f>
        <s:v/>
      </s:c>
      <s:c r="T45" s="121" t="str">
        <s:f>IF(W45&lt;&gt;"",IF(E45&lt;&gt;"",E45,($I$9-SUM($T$25:T44))*V45*W45/SUMPRODUCT($W$44:$W45,$V$44:$V45)),"")</s:f>
        <s:v/>
      </s:c>
      <s:c r="U45" s="121" t="str">
        <s:f>IF(W45&lt;&gt;"",IF($I$12&lt;&gt;"",IF(G45&lt;&gt;"",G45,($I$9/$I$12-SUM($U$25:U44))*V45*W45/SUMPRODUCT($W$44:$W45,$V$44:$V45)),""),"")</s:f>
        <s:v/>
      </s:c>
      <s:c r="V45" s="294"/>
      <s:c r="W45" s="294"/>
      <s:c r="X45" s="295"/>
      <s:c r="Y45" s="295"/>
      <s:c r="Z45" s="296"/>
    </s:row>
    <s:row r="46" spans="1:30" s="248" customFormat="1">
      <s:c r="A46" s="297"/>
      <s:c r="B46" s="250"/>
      <s:c r="C46" s="277"/>
      <s:c r="D46" s="246"/>
      <s:c r="E46" s="252"/>
      <s:c r="F46" s="252" t="str">
        <s:f>IF(AND(E46&lt;&gt;"",E46&lt;&gt;0),D46/E46,"")</s:f>
        <s:v/>
      </s:c>
      <s:c r="G46" s="252"/>
      <s:c r="H46" s="252" t="str">
        <s:f>IF(AND(G46&lt;&gt;"",G46&lt;&gt;0),D46/G46,"")</s:f>
        <s:v/>
      </s:c>
      <s:c r="I46" s="252"/>
      <s:c r="J46" s="246" t="str">
        <s:f>IF(AND(G46&lt;&gt;"",G46&lt;&gt;0),E46/G46,"")</s:f>
        <s:v/>
      </s:c>
      <s:c r="K46" s="252"/>
      <s:c r="L46" s="252"/>
      <s:c r="M46" s="252"/>
      <s:c r="N46" s="290" t="str">
        <s:f>IF(AND(I46&lt;&gt;"",I46&lt;&gt;0),G46/I46,"")</s:f>
        <s:v/>
      </s:c>
      <s:c r="O46" s="254" t="e">
        <s:f>D46/P46</s:f>
        <s:v>#DIV/0!</s:v>
      </s:c>
      <s:c r="P46" s="255" t="e">
        <s:f>$I$8*V46*W46/SUMPRODUCT($W$25:$W$44,$V$25:$V$44)</s:f>
        <s:v>#DIV/0!</s:v>
      </s:c>
      <s:c r="Q46" s="256" t="e">
        <s:f>$I$9*V46*W46/SUMPRODUCT($W$25:$W$44,$V$25:$V$44)</s:f>
        <s:v>#DIV/0!</s:v>
      </s:c>
      <s:c r="R46" s="256" t="e">
        <s:f>IF($I$12="","",Q46/$I$12)</s:f>
        <s:v>#DIV/0!</s:v>
      </s:c>
      <s:c r="S46" s="255" t="str">
        <s:f>IF(W46&lt;&gt;"",IF(D46&lt;&gt;"",D46,($I$8-SUM($S$25:S45))*V46*W46/SUMPRODUCT($W$44:$W46,$V$44:$V46)),"")</s:f>
        <s:v/>
      </s:c>
      <s:c r="T46" s="256" t="str">
        <s:f>IF(W46&lt;&gt;"",IF(E46&lt;&gt;"",E46,($I$9-SUM($T$25:T45))*V46*W46/SUMPRODUCT($W$44:$W46,$V$44:$V46)),"")</s:f>
        <s:v/>
      </s:c>
      <s:c r="U46" s="256" t="str">
        <s:f>IF(W46&lt;&gt;"",IF($I$12&lt;&gt;"",IF(G46&lt;&gt;"",G46,($I$9/$I$12-SUM($U$25:U45))*V46*W46/SUMPRODUCT($W$44:$W46,$V$44:$V46)),""),"")</s:f>
        <s:v/>
      </s:c>
      <s:c r="V46" s="291"/>
      <s:c r="W46" s="291"/>
      <s:c r="X46" s="298"/>
      <s:c r="Y46" s="298"/>
      <s:c r="Z46" s="299"/>
    </s:row>
    <s:row r="47" spans="1:30" s="248" customFormat="1">
      <s:c r="A47" s="300"/>
      <s:c r="B47" s="250"/>
      <s:c r="C47" s="261"/>
      <s:c r="D47" s="246"/>
      <s:c r="E47" s="252"/>
      <s:c r="F47" s="252" t="str">
        <s:f>IF(AND(E47&lt;&gt;"",E47&lt;&gt;0),D47/E47,"")</s:f>
        <s:v/>
      </s:c>
      <s:c r="G47" s="252"/>
      <s:c r="H47" s="252" t="str">
        <s:f>IF(AND(G47&lt;&gt;"",G47&lt;&gt;0),D47/G47,"")</s:f>
        <s:v/>
      </s:c>
      <s:c r="I47" s="252"/>
      <s:c r="J47" s="246" t="str">
        <s:f>IF(AND(G47&lt;&gt;"",G47&lt;&gt;0),E47/G47,"")</s:f>
        <s:v/>
      </s:c>
      <s:c r="K47" s="252"/>
      <s:c r="L47" s="252"/>
      <s:c r="M47" s="252"/>
      <s:c r="N47" s="290" t="str">
        <s:f>IF(AND(I47&lt;&gt;"",I47&lt;&gt;0),G47/I47,"")</s:f>
        <s:v/>
      </s:c>
      <s:c r="O47" s="254" t="e">
        <s:f>D47/P47</s:f>
        <s:v>#DIV/0!</s:v>
      </s:c>
      <s:c r="P47" s="255" t="e">
        <s:f>$I$8*V47*W47/SUMPRODUCT($W$25:$W$47,$V$25:$V$47)</s:f>
        <s:v>#DIV/0!</s:v>
      </s:c>
      <s:c r="Q47" s="256" t="e">
        <s:f>$I$9*V47*W47/SUMPRODUCT($W$25:$W$47,$V$25:$V$47)</s:f>
        <s:v>#DIV/0!</s:v>
      </s:c>
      <s:c r="R47" s="256" t="e">
        <s:f>IF($I$12="","",Q47/$I$12)</s:f>
        <s:v>#DIV/0!</s:v>
      </s:c>
      <s:c r="S47" s="255" t="str">
        <s:f>IF(W47&lt;&gt;"",IF(D47&lt;&gt;"",D47,($I$8-SUM($S$25:S46))*V47*W47/SUMPRODUCT($W47:$W$47,$V47:$V$47)),"")</s:f>
        <s:v/>
      </s:c>
      <s:c r="T47" s="256" t="str">
        <s:f>IF(W47&lt;&gt;"",IF(E47&lt;&gt;"",E47,($I$9-SUM($T$25:T46))*V47*W47/SUMPRODUCT($W47:$W$47,$V47:$V$47)),"")</s:f>
        <s:v/>
      </s:c>
      <s:c r="U47" s="256" t="str">
        <s:f>IF(W47&lt;&gt;"",IF($I$12&lt;&gt;"",IF(G47&lt;&gt;"",G47,($I$9/$I$12-SUM($U$25:U46))*V47*W47/SUMPRODUCT($W47:$W$47,$V47:$V$47)),""),"")</s:f>
        <s:v/>
      </s:c>
      <s:c r="V47" s="291"/>
      <s:c r="W47" s="291"/>
      <s:c r="X47" s="298"/>
      <s:c r="Y47" s="298"/>
      <s:c r="Z47" s="299"/>
    </s:row>
    <s:row r="48" spans="1:30" ht="15" customHeight="1">
      <s:c r="B48" s="569" t="s">
        <s:v>61</s:v>
      </s:c>
      <s:c r="C48" s="569"/>
      <s:c r="D48" s="100">
        <s:f>SUM(D25:D47)</s:f>
        <s:v>0</s:v>
      </s:c>
      <s:c r="E48" s="100">
        <s:f>SUM(E25:E47)</s:f>
        <s:v>0</s:v>
      </s:c>
      <s:c r="F48" s="100" t="str">
        <s:f>IF(AND(E48&lt;&gt;"",E48&lt;&gt;0),D48/E48,"")</s:f>
        <s:v/>
      </s:c>
      <s:c r="G48" s="100">
        <s:f>SUM(G25:G47)</s:f>
        <s:v>0</s:v>
      </s:c>
      <s:c r="H48" s="100" t="str">
        <s:f>IF(AND(G48&lt;&gt;"",G48&lt;&gt;0),D48/G48,"")</s:f>
        <s:v/>
      </s:c>
      <s:c r="I48" s="100">
        <s:f>SUM(I25:I47)</s:f>
        <s:v>0</s:v>
      </s:c>
      <s:c r="J48" s="99" t="str">
        <s:f>IF(AND(G48&lt;&gt;"",G48&lt;&gt;0),E48/G48,"")</s:f>
        <s:v/>
      </s:c>
      <s:c r="K48" s="100">
        <s:f>SUM(K25:K47)</s:f>
        <s:v>0</s:v>
      </s:c>
      <s:c r="L48" s="100">
        <s:f>SUM(L25:L47)</s:f>
        <s:v>0</s:v>
      </s:c>
      <s:c r="M48" s="100">
        <s:f>SUM(M25:M47)</s:f>
        <s:v>0</s:v>
      </s:c>
      <s:c r="N48" s="128" t="str">
        <s:f>IF(AND(I48&lt;&gt;"",I48&lt;&gt;0),G48/I48,"")</s:f>
        <s:v/>
      </s:c>
      <s:c r="O48" s="102" t="e">
        <s:f>D48/P48</s:f>
        <s:v>#DIV/0!</s:v>
      </s:c>
      <s:c r="P48" s="104" t="e">
        <s:f>SUM(P25:P47)</s:f>
        <s:v>#DIV/0!</s:v>
      </s:c>
      <s:c r="Q48" s="104" t="e">
        <s:f>SUM(Q25:Q47)</s:f>
        <s:v>#DIV/0!</s:v>
      </s:c>
      <s:c r="R48" s="104" t="e">
        <s:f>SUM(R25:R47)</s:f>
        <s:v>#DIV/0!</s:v>
      </s:c>
      <s:c r="S48" s="104" t="e">
        <s:f>SUM(S25:S47)</s:f>
        <s:v>#DIV/0!</s:v>
      </s:c>
      <s:c r="T48" s="104" t="e">
        <s:f>SUM(T25:T47)</s:f>
        <s:v>#DIV/0!</s:v>
      </s:c>
      <s:c r="U48" s="104" t="e">
        <s:f>SUM(U25:U47)</s:f>
        <s:v>#DIV/0!</s:v>
      </s:c>
      <s:c r="V48" s="129"/>
      <s:c r="W48" s="129"/>
    </s:row>
    <s:row r="49">
      <s:c r="B49" s="131"/>
      <s:c r="C49" s="132"/>
      <s:c r="D49" s="133" t="e">
        <s:f>SUMIF(D25:D47,"",P25:P47)+D48</s:f>
        <s:v>#DIV/0!</s:v>
      </s:c>
      <s:c r="E49" s="134"/>
      <s:c r="F49" s="132"/>
      <s:c r="G49" s="132"/>
      <s:c r="H49" s="135"/>
      <s:c r="I49" s="243"/>
      <s:c r="J49" s="135"/>
      <s:c r="L49" s="137"/>
      <s:c r="M49" s="134"/>
      <s:c r="N49" s="137"/>
      <s:c r="O49" s="137"/>
      <s:c r="P49" s="137"/>
      <s:c r="Q49" s="138"/>
    </s:row>
    <s:row r="50">
      <s:c r="D50" s="139"/>
    </s:row>
    <s:row r="51">
      <s:c r="D51" s="139"/>
    </s:row>
    <s:row r="52">
      <s:c r="D52" s="235"/>
    </s:row>
    <s:row r="53">
      <s:c r="D53" s="235"/>
    </s:row>
  </s:sheetData>
  <s:mergeCells count="28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B48:C48"/>
    <s:mergeCell ref="F18:H18"/>
    <s:mergeCell ref="F19:H19"/>
    <s:mergeCell ref="F20:H20"/>
    <s:mergeCell ref="B22:N22"/>
    <s:mergeCell ref="O22:O24"/>
  </s:mergeCells>
  <s:conditionalFormatting sqref="J16">
    <s:cfRule type="cellIs" dxfId="85" priority="26" operator="lessThan">
      <s:formula>0</s:formula>
    </s:cfRule>
    <s:cfRule type="cellIs" dxfId="84" priority="27" operator="greaterThan">
      <s:formula>0</s:formula>
    </s:cfRule>
  </s:conditionalFormatting>
  <s:conditionalFormatting sqref="J25:J31">
    <s:cfRule type="cellIs" dxfId="83" priority="11" operator="greaterThan">
      <s:formula>$I$12</s:formula>
    </s:cfRule>
  </s:conditionalFormatting>
  <s:conditionalFormatting sqref="J26:J30">
    <s:cfRule type="cellIs" dxfId="82" priority="10" operator="lessThan">
      <s:formula>$I$12</s:formula>
    </s:cfRule>
  </s:conditionalFormatting>
  <s:conditionalFormatting sqref="J28:J42 J25">
    <s:cfRule type="cellIs" dxfId="81" priority="36" operator="lessThan">
      <s:formula>$I$12</s:formula>
    </s:cfRule>
  </s:conditionalFormatting>
  <s:conditionalFormatting sqref="J28:J42">
    <s:cfRule type="cellIs" dxfId="80" priority="35" operator="greaterThan">
      <s:formula>$I$12</s:formula>
    </s:cfRule>
  </s:conditionalFormatting>
  <s:conditionalFormatting sqref="J29:J30">
    <s:cfRule type="cellIs" dxfId="79" priority="30" operator="lessThan">
      <s:formula>$I$12</s:formula>
    </s:cfRule>
  </s:conditionalFormatting>
  <s:conditionalFormatting sqref="J43:J47 J37">
    <s:cfRule type="cellIs" dxfId="78" priority="19" operator="greaterThan">
      <s:formula>$I$12</s:formula>
    </s:cfRule>
  </s:conditionalFormatting>
  <s:conditionalFormatting sqref="J43:J47">
    <s:cfRule type="cellIs" dxfId="77" priority="18" operator="lessThan">
      <s:formula>$I$12</s:formula>
    </s:cfRule>
  </s:conditionalFormatting>
  <s:conditionalFormatting sqref="K10:K12 K15">
    <s:cfRule type="cellIs" dxfId="76" priority="24" operator="lessThan">
      <s:formula>1</s:formula>
    </s:cfRule>
    <s:cfRule type="cellIs" dxfId="75" priority="25" operator="greaterThan">
      <s:formula>1</s:formula>
    </s:cfRule>
  </s:conditionalFormatting>
  <s:conditionalFormatting sqref="K13">
    <s:cfRule type="cellIs" dxfId="74" priority="20" operator="lessThan">
      <s:formula>$K$14</s:formula>
    </s:cfRule>
    <s:cfRule type="cellIs" dxfId="73" priority="21" operator="greaterThan">
      <s:formula>$K$14</s:formula>
    </s:cfRule>
  </s:conditionalFormatting>
  <s:conditionalFormatting sqref="M8:M15">
    <s:cfRule type="cellIs" dxfId="72" priority="23" operator="greaterThan">
      <s:formula>1</s:formula>
    </s:cfRule>
    <s:cfRule type="cellIs" dxfId="71" priority="29" operator="lessThan">
      <s:formula>1</s:formula>
    </s:cfRule>
  </s:conditionalFormatting>
  <s:conditionalFormatting sqref="N25:N37">
    <s:cfRule type="cellIs" dxfId="70" priority="7" operator="between">
      <s:formula>0.2</s:formula>
      <s:formula>0.25</s:formula>
    </s:cfRule>
    <s:cfRule type="cellIs" dxfId="69" priority="8" operator="greaterThanOrEqual">
      <s:formula>0.25</s:formula>
    </s:cfRule>
  </s:conditionalFormatting>
  <s:conditionalFormatting sqref="N25:N47">
    <s:cfRule type="cellIs" dxfId="68" priority="9" operator="lessThan">
      <s:formula>0.2</s:formula>
    </s:cfRule>
  </s:conditionalFormatting>
  <s:conditionalFormatting sqref="N38">
    <s:cfRule type="cellIs" dxfId="67" priority="31" operator="between">
      <s:formula>0.2</s:formula>
      <s:formula>0.25</s:formula>
    </s:cfRule>
  </s:conditionalFormatting>
  <s:conditionalFormatting sqref="N38:N47">
    <s:cfRule type="cellIs" dxfId="66" priority="17" operator="greaterThanOrEqual">
      <s:formula>0.25</s:formula>
    </s:cfRule>
  </s:conditionalFormatting>
  <s:conditionalFormatting sqref="N39:N47">
    <s:cfRule type="cellIs" dxfId="65" priority="16" operator="between">
      <s:formula>0.2</s:formula>
      <s:formula>0.25</s:formula>
    </s:cfRule>
  </s:conditionalFormatting>
  <s:conditionalFormatting sqref="O25:O37">
    <s:cfRule type="cellIs" dxfId="64" priority="1" operator="between">
      <s:formula>0.9001</s:formula>
      <s:formula>0.9999</s:formula>
    </s:cfRule>
    <s:cfRule type="cellIs" dxfId="63" priority="2" operator="lessThan">
      <s:formula>0.9</s:formula>
    </s:cfRule>
    <s:cfRule type="cellIs" dxfId="62" priority="5" operator="between">
      <s:formula>0.85</s:formula>
      <s:formula>1</s:formula>
    </s:cfRule>
    <s:cfRule type="cellIs" dxfId="61" priority="6" operator="between">
      <s:formula>0.01</s:formula>
      <s:formula>0.99</s:formula>
    </s:cfRule>
  </s:conditionalFormatting>
  <s:conditionalFormatting sqref="O25:O47">
    <s:cfRule type="cellIs" dxfId="60" priority="3" operator="greaterThan">
      <s:formula>1</s:formula>
    </s:cfRule>
    <s:cfRule type="cellIs" dxfId="59" priority="4" operator="greaterThan">
      <s:formula>100</s:formula>
    </s:cfRule>
  </s:conditionalFormatting>
  <s:conditionalFormatting sqref="O38">
    <s:cfRule type="cellIs" dxfId="58" priority="32" operator="between">
      <s:formula>0.85</s:formula>
      <s:formula>1</s:formula>
    </s:cfRule>
    <s:cfRule type="cellIs" dxfId="57" priority="33" operator="lessThan">
      <s:formula>0.9</s:formula>
    </s:cfRule>
    <s:cfRule type="cellIs" dxfId="56" priority="34" operator="between">
      <s:formula>0.9001</s:formula>
      <s:formula>0.9999</s:formula>
    </s:cfRule>
  </s:conditionalFormatting>
  <s:conditionalFormatting sqref="O38:O47">
    <s:cfRule type="cellIs" dxfId="55" priority="15" operator="between">
      <s:formula>0.01</s:formula>
      <s:formula>0.99</s:formula>
    </s:cfRule>
  </s:conditionalFormatting>
  <s:conditionalFormatting sqref="O39:O44">
    <s:cfRule type="cellIs" dxfId="54" priority="14" operator="between">
      <s:formula>0.85</s:formula>
      <s:formula>1</s:formula>
    </s:cfRule>
  </s:conditionalFormatting>
  <s:conditionalFormatting sqref="O39:O47">
    <s:cfRule type="cellIs" dxfId="53" priority="12" operator="between">
      <s:formula>0.9001</s:formula>
      <s:formula>0.9999</s:formula>
    </s:cfRule>
    <s:cfRule type="cellIs" dxfId="52" priority="13" operator="lessThan">
      <s:formula>0.9</s:formula>
    </s:cfRule>
  </s:conditionalFormatting>
  <s:conditionalFormatting sqref="O45:O47">
    <s:cfRule type="cellIs" dxfId="51" priority="22" operator="between">
      <s:formula>0.85</s:formula>
      <s:formula>1</s:formula>
    </s:cfRule>
  </s:conditionalFormatting>
  <s:conditionalFormatting sqref="P10:Q10">
    <s:cfRule type="cellIs" dxfId="50" priority="28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mc:Ignorable="x14ac xr xr2 xr3" xr:uid="{00000000-0001-0000-0700-000000000000}">
  <s:dimension ref="A1:IU53"/>
  <s:sheetViews>
    <s:sheetView tabSelected="0" zoomScale="108" workbookViewId="0">
      <s:selection activeCell="J14" sqref="J14"/>
    </s:sheetView>
  </s:sheetViews>
  <s:sheetFormatPr baseColWidth="10" defaultColWidth="9.164" defaultRowHeight="15"/>
  <s:cols>
    <s:col min="1" max="1" width="12.5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/>
    <s:col min="22" max="23" width="10.5" style="3" customWidth="1"/>
    <s:col min="24" max="33" width="9.164" style="3"/>
    <s:col min="34" max="255" width="9.164" style="2"/>
  </s:cols>
  <s:sheetData>
    <s:row r="1" spans="2:23" ht="15.75" customHeight="1">
      <s:c r="B1" s="686">
        <s:f ca="1">TODAY()-1</s:f>
        <s:v>46171</s:v>
      </s:c>
      <s:c r="C1" s="686"/>
      <s:c r="D1" s="309"/>
      <s:c r="E1" s="309"/>
      <s:c r="F1" s="310"/>
      <s:c r="G1" s="310"/>
      <s:c r="H1" s="310"/>
      <s:c r="I1" s="310"/>
      <s:c r="J1" s="311"/>
      <s:c r="K1" s="311"/>
      <s:c r="L1" s="311"/>
      <s:c r="M1" s="311"/>
      <s:c r="N1" s="311"/>
      <s:c r="O1" s="311"/>
      <s:c r="P1" s="311"/>
      <s:c r="Q1" s="687"/>
      <s:c r="R1" s="687"/>
      <s:c r="S1" s="687"/>
      <s:c r="T1" s="687"/>
      <s:c r="U1" s="310"/>
      <s:c r="V1" s="310"/>
      <s:c r="W1" s="310"/>
    </s:row>
    <s:row r="2" spans="2:23" ht="21.75" customHeight="1">
      <s:c r="B2" s="688" t="s">
        <s:v>0</s:v>
      </s:c>
      <s:c r="C2" s="688"/>
      <s:c r="D2" s="309"/>
      <s:c r="E2" s="309"/>
      <s:c r="F2" s="310"/>
      <s:c r="G2" s="310"/>
      <s:c r="H2" s="310"/>
      <s:c r="I2" s="310"/>
      <s:c r="J2" s="689" t="s">
        <s:v>67</s:v>
      </s:c>
      <s:c r="K2" s="689"/>
      <s:c r="L2" s="689"/>
      <s:c r="M2" s="689"/>
      <s:c r="N2" s="689"/>
      <s:c r="O2" s="689"/>
      <s:c r="P2" s="689"/>
      <s:c r="Q2" s="687"/>
      <s:c r="R2" s="687"/>
      <s:c r="S2" s="687"/>
      <s:c r="T2" s="687"/>
      <s:c r="U2" s="310"/>
      <s:c r="V2" s="310"/>
      <s:c r="W2" s="310"/>
    </s:row>
    <s:row r="3" spans="2:23" ht="14" customHeight="1">
      <s:c r="B3" s="312" t="s">
        <s:v>1</s:v>
      </s:c>
      <s:c r="C3" s="309"/>
      <s:c r="D3" s="309"/>
      <s:c r="E3" s="309"/>
      <s:c r="F3" s="310"/>
      <s:c r="G3" s="310"/>
      <s:c r="H3" s="310"/>
      <s:c r="I3" s="310"/>
      <s:c r="J3" s="690">
        <s:f>График!B25</s:f>
        <s:v>0</s:v>
      </s:c>
      <s:c r="K3" s="690"/>
      <s:c r="L3" s="690"/>
      <s:c r="M3" s="690"/>
      <s:c r="N3" s="690"/>
      <s:c r="O3" s="311"/>
      <s:c r="P3" s="313"/>
      <s:c r="Q3" s="687"/>
      <s:c r="R3" s="687"/>
      <s:c r="S3" s="687"/>
      <s:c r="T3" s="687"/>
      <s:c r="U3" s="310"/>
      <s:c r="V3" s="310"/>
      <s:c r="W3" s="310"/>
    </s:row>
    <s:row r="4" spans="2:23" ht="15" customHeight="1">
      <s:c r="B4" s="309"/>
      <s:c r="C4" s="691">
        <s:f>I8-D48</s:f>
        <s:v>0</s:v>
      </s:c>
      <s:c r="D4" s="691"/>
      <s:c r="E4" s="314">
        <s:f>IF(I8&lt;&gt;0,C4/I8,0)</s:f>
        <s:v>0</s:v>
      </s:c>
      <s:c r="F4" s="310"/>
      <s:c r="G4" s="310"/>
      <s:c r="H4" s="310"/>
      <s:c r="I4" s="310"/>
      <s:c r="J4" s="690"/>
      <s:c r="K4" s="690"/>
      <s:c r="L4" s="690"/>
      <s:c r="M4" s="690"/>
      <s:c r="N4" s="690"/>
      <s:c r="O4" s="310"/>
      <s:c r="P4" s="310"/>
      <s:c r="Q4" s="687"/>
      <s:c r="R4" s="687"/>
      <s:c r="S4" s="687"/>
      <s:c r="T4" s="687"/>
      <s:c r="U4" s="310"/>
      <s:c r="V4" s="310"/>
      <s:c r="W4" s="310"/>
    </s:row>
    <s:row r="5">
      <s:c r="B5" s="310"/>
      <s:c r="C5" s="310"/>
      <s:c r="D5" s="310"/>
      <s:c r="E5" s="310"/>
      <s:c r="F5" s="310"/>
      <s:c r="G5" s="310"/>
      <s:c r="H5" s="310"/>
      <s:c r="I5" s="310"/>
      <s:c r="J5" s="685"/>
      <s:c r="K5" s="685"/>
      <s:c r="L5" s="685"/>
      <s:c r="M5" s="685"/>
      <s:c r="N5" s="685"/>
      <s:c r="O5" s="310"/>
      <s:c r="P5" s="310"/>
      <s:c r="Q5" s="310"/>
      <s:c r="R5" s="310"/>
      <s:c r="S5" s="310"/>
      <s:c r="T5" s="310"/>
      <s:c r="U5" s="310"/>
      <s:c r="V5" s="310"/>
      <s:c r="W5" s="310"/>
    </s:row>
    <s:row r="6" spans="2:23" ht="15.75" customHeight="1">
      <s:c r="B6" s="315"/>
      <s:c r="C6" s="310"/>
      <s:c r="D6" s="310"/>
      <s:c r="E6" s="310"/>
      <s:c r="F6" s="17" t="s">
        <s:v>2</s:v>
      </s:c>
      <s:c r="G6" s="18"/>
      <s:c r="H6" s="18"/>
      <s:c r="I6" s="18"/>
      <s:c r="J6" s="18"/>
      <s:c r="K6" s="18"/>
      <s:c r="L6" s="18"/>
      <s:c r="M6" s="18"/>
      <s:c r="N6" s="18"/>
      <s:c r="O6" s="18"/>
      <s:c r="P6" s="18"/>
      <s:c r="Q6" s="19"/>
      <s:c r="R6" s="37"/>
      <s:c r="S6" s="37"/>
      <s:c r="T6" s="310"/>
      <s:c r="U6" s="310"/>
      <s:c r="V6" s="310"/>
      <s:c r="W6" s="310"/>
    </s:row>
    <s:row r="7" spans="2:23" ht="50.75" customHeight="1">
      <s:c r="B7" s="315"/>
      <s:c r="C7" s="310"/>
      <s:c r="D7" s="310"/>
      <s:c r="E7" s="310"/>
      <s:c r="F7" s="585" t="s">
        <s:v>3</s:v>
      </s:c>
      <s:c r="G7" s="586"/>
      <s:c r="H7" s="587"/>
      <s:c r="I7" s="22" t="s">
        <s:v>4</s:v>
      </s:c>
      <s:c r="J7" s="23" t="s">
        <s:v>5</s:v>
      </s:c>
      <s:c r="K7" s="24" t="s">
        <s:v>6</s:v>
      </s:c>
      <s:c r="L7" s="25" t="s">
        <s:v>7</s:v>
      </s:c>
      <s:c r="M7" s="25" t="s">
        <s:v>8</s:v>
      </s:c>
      <s:c r="N7" s="26" t="s">
        <s:v>9</s:v>
      </s:c>
      <s:c r="O7" s="26" t="s">
        <s:v>10</s:v>
      </s:c>
      <s:c r="P7" s="588" t="s">
        <s:v>11</s:v>
      </s:c>
      <s:c r="Q7" s="589"/>
      <s:c r="R7" s="37"/>
      <s:c r="S7" s="37"/>
      <s:c r="T7" s="310"/>
      <s:c r="U7" s="310"/>
      <s:c r="V7" s="310"/>
      <s:c r="W7" s="310"/>
    </s:row>
    <s:row r="8" spans="2:23" ht="15.75" customHeight="1">
      <s:c r="B8" s="315"/>
      <s:c r="C8" s="310"/>
      <s:c r="D8" s="310"/>
      <s:c r="E8" s="310"/>
      <s:c r="F8" s="577" t="s">
        <s:v>12</s:v>
      </s:c>
      <s:c r="G8" s="578"/>
      <s:c r="H8" s="579"/>
      <s:c r="I8" s="213">
        <s:f>'Ялта, Ленина, 18'!I8/График!AI31*График!AI25</s:f>
        <s:v>0</s:v>
      </s:c>
      <s:c r="J8" s="214">
        <s:f>D48</s:f>
        <s:v>0</s:v>
      </s:c>
      <s:c r="K8" s="215" t="str">
        <s:f>IF(AND(I8&lt;&gt;"", I8&lt;&gt;0, J8&lt;&gt;""), J8/I8, "")</s:f>
        <s:v/>
      </s:c>
      <s:c r="L8" s="216">
        <s:f>IF(SUMIF($D$25:$D$47,"&gt;=0",$P$25:$P$47)&lt;&gt;0,I8*D48/SUMIF($D$25:$D$47,"&gt;=0",$P$25:$P$47),0)</s:f>
        <s:v>0</s:v>
      </s:c>
      <s:c r="M8" s="32" t="str">
        <s:f>IF(AND(I8&lt;&gt;"", I8&lt;&gt;0, L8&lt;&gt;"", L8&lt;&gt;0), L8/I8, "")</s:f>
        <s:v/>
      </s:c>
      <s:c r="N8" s="35" t="str">
        <s:f>IF(AND(J8&lt;&gt;0, J8&lt;&gt;"", I8&lt;&gt;0, I8&lt;&gt;""), L8-I8, "")</s:f>
        <s:v/>
      </s:c>
      <s:c r="O8" s="34"/>
      <s:c r="P8" s="35" t="str">
        <s:f>IF(AND(O8&lt;&gt;"", O8&lt;&gt;0, L8&lt;&gt;"", L8&lt;&gt;0), -O8+L8, "")</s:f>
        <s:v/>
      </s:c>
      <s:c r="Q8" s="36" t="str">
        <s:f>IF(AND(P8&lt;&gt;"", P8&lt;&gt;0, O8&lt;&gt;0, O8&lt;&gt;""), P8/O8, "")</s:f>
        <s:v/>
      </s:c>
      <s:c r="R8" s="37"/>
      <s:c r="S8" s="37"/>
      <s:c r="T8" s="310"/>
      <s:c r="U8" s="310"/>
      <s:c r="V8" s="310"/>
      <s:c r="W8" s="310"/>
    </s:row>
    <s:row r="9" spans="2:23" ht="15.75" customHeight="1">
      <s:c r="B9" s="315"/>
      <s:c r="C9" s="310"/>
      <s:c r="D9" s="310"/>
      <s:c r="E9" s="310"/>
      <s:c r="F9" s="571" t="s">
        <s:v>13</s:v>
      </s:c>
      <s:c r="G9" s="572"/>
      <s:c r="H9" s="573"/>
      <s:c r="I9" s="38">
        <s:f>I8/I11</s:f>
        <s:v>0</s:v>
      </s:c>
      <s:c r="J9" s="39">
        <s:f>E48</s:f>
        <s:v>0</s:v>
      </s:c>
      <s:c r="K9" s="40" t="str">
        <s:f>IF(AND(I9&lt;&gt;"", I9&lt;&gt;0, J9&lt;&gt;""), J9/I9, "")</s:f>
        <s:v/>
      </s:c>
      <s:c r="L9" s="218">
        <s:f>IF(SUMIF($E$25:$E$47,"&gt;=0",$Q$25:$Q$47)&lt;&gt;0,I9*E48/SUMIF($E$25:$E$47,"&gt;=0",$Q$25:$Q$47),0)</s:f>
        <s:v>0</s:v>
      </s:c>
      <s:c r="M9" s="42" t="str">
        <s:f>IF(AND(I9&lt;&gt;"", I9&lt;&gt;0, L9&lt;&gt;"", L9&lt;&gt;0), L9/I9, "")</s:f>
        <s:v/>
      </s:c>
      <s:c r="N9" s="43" t="str">
        <s:f>IF(AND(J9&lt;&gt;0, J9&lt;&gt;"", I9&lt;&gt;0, I9&lt;&gt;""), L9-I9, "")</s:f>
        <s:v/>
      </s:c>
      <s:c r="O9" s="44" t="e">
        <s:f>O8/O11</s:f>
        <s:v>#DIV/0!</s:v>
      </s:c>
      <s:c r="P9" s="43" t="e">
        <s:f>IF(AND(O9&lt;&gt;"", O9&lt;&gt;0, L9&lt;&gt;"", L9&lt;&gt;0), -O9+L9, "")</s:f>
        <s:v>#DIV/0!</s:v>
      </s:c>
      <s:c r="Q9" s="45" t="e">
        <s:f>IF(AND(P9&lt;&gt;"", P9&lt;&gt;0, O9&lt;&gt;0, O9&lt;&gt;""), P9/O9, "")</s:f>
        <s:v>#DIV/0!</s:v>
      </s:c>
      <s:c r="R9" s="37"/>
      <s:c r="S9" s="37"/>
      <s:c r="T9" s="310"/>
      <s:c r="U9" s="310"/>
      <s:c r="V9" s="310"/>
      <s:c r="W9" s="310"/>
    </s:row>
    <s:row r="10" spans="2:23" ht="15.75" customHeight="1">
      <s:c r="B10" s="315"/>
      <s:c r="C10" s="310"/>
      <s:c r="D10" s="310"/>
      <s:c r="E10" s="310"/>
      <s:c r="F10" s="577" t="s">
        <s:v>14</s:v>
      </s:c>
      <s:c r="G10" s="578"/>
      <s:c r="H10" s="579"/>
      <s:c r="I10" s="50">
        <s:f>I11*I12</s:f>
        <s:v>10088</s:v>
      </s:c>
      <s:c r="J10" s="220" t="str">
        <s:f>H48</s:f>
        <s:v/>
      </s:c>
      <s:c r="K10" s="221" t="str">
        <s:f>IF(AND(I10&lt;&gt;"", I10&lt;&gt;0, J10&lt;&gt;""), J10/I10, "")</s:f>
        <s:v/>
      </s:c>
      <s:c r="L10" s="218" t="str">
        <s:f>J10</s:f>
        <s:v/>
      </s:c>
      <s:c r="M10" s="48" t="str">
        <s:f>IF(AND(I10&lt;&gt;"", I10&lt;&gt;0, L10&lt;&gt;"", L10&lt;&gt;0), L10/I10, "")</s:f>
        <s:v/>
      </s:c>
      <s:c r="N10" s="49" t="str">
        <s:f>IF(AND(J10&lt;&gt;0, J10&lt;&gt;"", I10&lt;&gt;0, I10&lt;&gt;""), L10-I10, "")</s:f>
        <s:v/>
      </s:c>
      <s:c r="O10" s="50">
        <s:f>O11*O12</s:f>
        <s:v>0</s:v>
      </s:c>
      <s:c r="P10" s="49" t="str">
        <s:f>IF(AND(O10&lt;&gt;"", O10&lt;&gt;0, L10&lt;&gt;"", L10&lt;&gt;0), -O10+L10, "")</s:f>
        <s:v/>
      </s:c>
      <s:c r="Q10" s="51" t="str">
        <s:f>IF(AND(P10&lt;&gt;"", P10&lt;&gt;0, O10&lt;&gt;0, O10&lt;&gt;""), P10/O10, "")</s:f>
        <s:v/>
      </s:c>
      <s:c r="R10" s="37"/>
      <s:c r="S10" s="576" t="s">
        <s:v>15</s:v>
      </s:c>
      <s:c r="T10" s="576"/>
      <s:c r="U10" s="310"/>
      <s:c r="V10" s="310"/>
      <s:c r="W10" s="310"/>
    </s:row>
    <s:row r="11" spans="2:23" ht="15.75" customHeight="1">
      <s:c r="B11" s="315"/>
      <s:c r="C11" s="310"/>
      <s:c r="D11" s="310"/>
      <s:c r="E11" s="310"/>
      <s:c r="F11" s="571" t="s">
        <s:v>16</s:v>
      </s:c>
      <s:c r="G11" s="572"/>
      <s:c r="H11" s="573"/>
      <s:c r="I11" s="52">
        <s:f>'Ялта, Ленина, 18'!I11</s:f>
        <s:v>5200</s:v>
      </s:c>
      <s:c r="J11" s="39" t="str">
        <s:f>F48</s:f>
        <s:v/>
      </s:c>
      <s:c r="K11" s="223" t="str">
        <s:f>IF(AND(I11&lt;&gt;"", I11&lt;&gt;0, J11&lt;&gt;""), J11/I11, "")</s:f>
        <s:v/>
      </s:c>
      <s:c r="L11" s="218" t="str">
        <s:f>IF(L9&gt;0, L8/L9, "")</s:f>
        <s:v/>
      </s:c>
      <s:c r="M11" s="42" t="str">
        <s:f>IF(AND(I11&lt;&gt;"", I11&lt;&gt;0, L11&lt;&gt;"", L11&lt;&gt;0), L11/I11, "")</s:f>
        <s:v/>
      </s:c>
      <s:c r="N11" s="43" t="str">
        <s:f>IF(AND(J11&lt;&gt;0, J11&lt;&gt;"", I11&lt;&gt;0, I11&lt;&gt;""), L11-I11, "")</s:f>
        <s:v/>
      </s:c>
      <s:c r="O11" s="53"/>
      <s:c r="P11" s="43" t="str">
        <s:f>IF(AND(O11&lt;&gt;"", O11&lt;&gt;0, L11&lt;&gt;"", L11&lt;&gt;0), -O11+L11, "")</s:f>
        <s:v/>
      </s:c>
      <s:c r="Q11" s="45" t="str">
        <s:f>IF(AND(P11&lt;&gt;"", P11&lt;&gt;0, O11&lt;&gt;0, O11&lt;&gt;""), P11/O11, "")</s:f>
        <s:v/>
      </s:c>
      <s:c r="R11" s="37"/>
      <s:c r="S11" s="576"/>
      <s:c r="T11" s="576"/>
      <s:c r="U11" s="310"/>
      <s:c r="V11" s="310"/>
      <s:c r="W11" s="310"/>
    </s:row>
    <s:row r="12" spans="2:23" ht="15.75" customHeight="1">
      <s:c r="B12" s="315"/>
      <s:c r="C12" s="310"/>
      <s:c r="D12" s="310"/>
      <s:c r="E12" s="310"/>
      <s:c r="F12" s="571" t="s">
        <s:v>17</s:v>
      </s:c>
      <s:c r="G12" s="572"/>
      <s:c r="H12" s="573"/>
      <s:c r="I12" s="54">
        <s:f>'Ялта, Ленина, 18'!I12</s:f>
        <s:v>1.94</s:v>
      </s:c>
      <s:c r="J12" s="55" t="str">
        <s:f>J48</s:f>
        <s:v/>
      </s:c>
      <s:c r="K12" s="223" t="str">
        <s:f>IF(AND(I12&lt;&gt;"", I12&lt;&gt;0, J12&lt;&gt;""), J12/I12, "")</s:f>
        <s:v/>
      </s:c>
      <s:c r="L12" s="224" t="str">
        <s:f>J12</s:f>
        <s:v/>
      </s:c>
      <s:c r="M12" s="42" t="str">
        <s:f>IF(AND(I12&lt;&gt;"", I12&lt;&gt;0, L12&lt;&gt;"", L12&lt;&gt;0), L12/I12, "")</s:f>
        <s:v/>
      </s:c>
      <s:c r="N12" s="57" t="str">
        <s:f>IF(AND(J12&lt;&gt;0, J12&lt;&gt;"", I12&lt;&gt;0, I12&lt;&gt;""), L12-I12, "")</s:f>
        <s:v/>
      </s:c>
      <s:c r="O12" s="58"/>
      <s:c r="P12" s="43" t="str">
        <s:f>IF(AND(O12&lt;&gt;"", O12&lt;&gt;0, L12&lt;&gt;"", L12&lt;&gt;0), -O12+L12, "")</s:f>
        <s:v/>
      </s:c>
      <s:c r="Q12" s="45" t="str">
        <s:f>IF(AND(P12&lt;&gt;"", P12&lt;&gt;0, O12&lt;&gt;0, O12&lt;&gt;""), P12/O12, "")</s:f>
        <s:v/>
      </s:c>
      <s:c r="R12" s="37"/>
      <s:c r="S12" s="59">
        <s:f>'Ялта, Ленина, 18'!S12*График!AJ25/График!AJ31</s:f>
        <s:v>0</s:v>
      </s:c>
      <s:c r="T12" s="60">
        <s:f>L48</s:f>
        <s:v>0</s:v>
      </s:c>
      <s:c r="U12" s="310"/>
      <s:c r="V12" s="310"/>
      <s:c r="W12" s="310"/>
    </s:row>
    <s:row r="13" spans="2:23" ht="15.75" customHeight="1">
      <s:c r="B13" s="315"/>
      <s:c r="C13" s="310"/>
      <s:c r="D13" s="310"/>
      <s:c r="E13" s="310"/>
      <s:c r="F13" s="571" t="s">
        <s:v>18</s:v>
      </s:c>
      <s:c r="G13" s="572"/>
      <s:c r="H13" s="573"/>
      <s:c r="I13" s="38">
        <s:f>IF(I12&lt;&gt;0, I9/I12, "")</s:f>
        <s:v>0</s:v>
      </s:c>
      <s:c r="J13" s="39">
        <s:f>G48</s:f>
        <s:v>0</s:v>
      </s:c>
      <s:c r="K13" s="223" t="str">
        <s:f>IF(AND(I13&lt;&gt;"", I13&lt;&gt;0, J13&lt;&gt;""), J13/I13, "")</s:f>
        <s:v/>
      </s:c>
      <s:c r="L13" s="218" t="str">
        <s:f>IF(SUMIF($G$25:$G$47,"&gt;=0",$R$25:$R$47)&lt;&gt;0,I13*G48/SUMIF($G$25:$G$47,"&gt;=0",$R$25:$R$47),"")</s:f>
        <s:v/>
      </s:c>
      <s:c r="M13" s="42" t="str">
        <s:f>IF(AND(I13&lt;&gt;"", I13&lt;&gt;0, L13&lt;&gt;"", L13&lt;&gt;0), L13/I13, "")</s:f>
        <s:v/>
      </s:c>
      <s:c r="N13" s="57" t="str">
        <s:f>IF(AND(J13&lt;&gt;0, J13&lt;&gt;"", I13&lt;&gt;0, I13&lt;&gt;""), L13-I13, "")</s:f>
        <s:v/>
      </s:c>
      <s:c r="O13" s="61"/>
      <s:c r="P13" s="43" t="str">
        <s:f>IF(AND(O13&lt;&gt;"", O13&lt;&gt;0, L13&lt;&gt;"", L13&lt;&gt;0), -O13+L13, "")</s:f>
        <s:v/>
      </s:c>
      <s:c r="Q13" s="45" t="str">
        <s:f>IF(AND(P13&lt;&gt;"", P13&lt;&gt;0, O13&lt;&gt;0, O13&lt;&gt;""), P13/O13, "")</s:f>
        <s:v/>
      </s:c>
      <s:c r="R13" s="37"/>
      <s:c r="S13" s="62" t="e">
        <s:f>T12/S12</s:f>
        <s:v>#DIV/0!</s:v>
      </s:c>
      <s:c r="T13" s="62" t="e">
        <s:f>S13/J14*I14</s:f>
        <s:v>#DIV/0!</s:v>
      </s:c>
      <s:c r="U13" s="310"/>
      <s:c r="V13" s="310"/>
      <s:c r="W13" s="310"/>
    </s:row>
    <s:row r="14" spans="2:23" ht="15.75" customHeight="1">
      <s:c r="B14" s="315"/>
      <s:c r="C14" s="310"/>
      <s:c r="D14" s="310"/>
      <s:c r="E14" s="310"/>
      <s:c r="F14" s="571" t="s">
        <s:v>64</s:v>
      </s:c>
      <s:c r="G14" s="572"/>
      <s:c r="H14" s="573"/>
      <s:c r="I14" s="52">
        <s:f>График!AI25</s:f>
        <s:v>0</s:v>
      </s:c>
      <s:c r="J14" s="64"/>
      <s:c r="K14" s="40" t="str">
        <s:f>IF(AND(I14&lt;&gt;"", I14&lt;&gt;0, J14&lt;&gt;""), J14/I14, "")</s:f>
        <s:v/>
      </s:c>
      <s:c r="L14" s="41">
        <s:f>I14</s:f>
        <s:v>0</s:v>
      </s:c>
      <s:c r="M14" s="42" t="str">
        <s:f>IF(AND(I14&lt;&gt;"", I14&lt;&gt;0, L14&lt;&gt;"", L14&lt;&gt;0), L14/I14, "")</s:f>
        <s:v/>
      </s:c>
      <s:c r="N14" s="43" t="str">
        <s:f>IF(AND(J14&lt;&gt;0, J14&lt;&gt;"", I14&lt;&gt;0, I14&lt;&gt;""), L14-I14, "")</s:f>
        <s:v/>
      </s:c>
      <s:c r="O14" s="61"/>
      <s:c r="P14" s="43" t="str">
        <s:f>IF(AND(O14&lt;&gt;"", O14&lt;&gt;0, L14&lt;&gt;"", L14&lt;&gt;0), -O14+L14, "")</s:f>
        <s:v/>
      </s:c>
      <s:c r="Q14" s="45" t="str">
        <s:f>IF(AND(P14&lt;&gt;"", P14&lt;&gt;0, O14&lt;&gt;0, O14&lt;&gt;""), P14/O14, "")</s:f>
        <s:v/>
      </s:c>
      <s:c r="R14" s="37"/>
      <s:c r="S14" s="65"/>
      <s:c r="T14" s="6"/>
      <s:c r="U14" s="310"/>
      <s:c r="V14" s="310"/>
      <s:c r="W14" s="310"/>
    </s:row>
    <s:row r="15" spans="2:23" ht="15.75" customHeight="1">
      <s:c r="B15" s="315"/>
      <s:c r="C15" s="310"/>
      <s:c r="D15" s="310"/>
      <s:c r="E15" s="310"/>
      <s:c r="F15" s="571" t="s">
        <s:v>20</s:v>
      </s:c>
      <s:c r="G15" s="572"/>
      <s:c r="H15" s="573"/>
      <s:c r="I15" s="75">
        <s:f>'Ялта, Ленина, 18'!I15</s:f>
        <s:v>154639.27741935482</s:v>
      </s:c>
      <s:c r="J15" s="67" t="e">
        <s:f>J8/J14</s:f>
        <s:v>#DIV/0!</s:v>
      </s:c>
      <s:c r="K15" s="68" t="e">
        <s:f>IF(AND(I15&lt;&gt;"", I15&lt;&gt;0, J15&lt;&gt;""), J15/I15, "")</s:f>
        <s:v>#DIV/0!</s:v>
      </s:c>
      <s:c r="L15" s="72" t="e">
        <s:f>J15</s:f>
        <s:v>#DIV/0!</s:v>
      </s:c>
      <s:c r="M15" s="70" t="e">
        <s:f>IF(AND(I15&lt;&gt;"", I15&lt;&gt;0, L15&lt;&gt;"", L15&lt;&gt;0), L15/I15, "")</s:f>
        <s:v>#DIV/0!</s:v>
      </s:c>
      <s:c r="N15" s="43" t="e">
        <s:f>IF(AND(J15&lt;&gt;0, J15&lt;&gt;"", I15&lt;&gt;0, I15&lt;&gt;""), L15-I15, "")</s:f>
        <s:v>#DIV/0!</s:v>
      </s:c>
      <s:c r="O15" s="71"/>
      <s:c r="P15" s="43" t="e">
        <s:f>IF(AND(O15&lt;&gt;"", O15&lt;&gt;0, L15&lt;&gt;"", L15&lt;&gt;0), -O15+L15, "")</s:f>
        <s:v>#DIV/0!</s:v>
      </s:c>
      <s:c r="Q15" s="45" t="e">
        <s:f>IF(AND(P15&lt;&gt;"", P15&lt;&gt;0, O15&lt;&gt;0, O15&lt;&gt;""), P15/O15, "")</s:f>
        <s:v>#DIV/0!</s:v>
      </s:c>
      <s:c r="R15" s="37"/>
      <s:c r="S15" s="37"/>
      <s:c r="T15" s="6"/>
      <s:c r="U15" s="310"/>
      <s:c r="V15" s="310"/>
      <s:c r="W15" s="310"/>
    </s:row>
    <s:row r="16" spans="2:23" ht="15.75" customHeight="1">
      <s:c r="B16" s="315"/>
      <s:c r="C16" s="310"/>
      <s:c r="D16" s="310"/>
      <s:c r="E16" s="310"/>
      <s:c r="F16" s="571" t="s">
        <s:v>21</s:v>
      </s:c>
      <s:c r="G16" s="572"/>
      <s:c r="H16" s="573"/>
      <s:c r="I16" s="75"/>
      <s:c r="J16" s="67">
        <s:f>J8-I15*J14</s:f>
        <s:v>0</s:v>
      </s:c>
      <s:c r="K16" s="68" t="str">
        <s:f>IF(AND(I16&lt;&gt;"", I16&lt;&gt;0, J16&lt;&gt;""), J16/I16, "")</s:f>
        <s:v/>
      </s:c>
      <s:c r="L16" s="72">
        <s:f>J16</s:f>
        <s:v>0</s:v>
      </s:c>
      <s:c r="M16" s="73" t="str">
        <s:f>IF(AND(I16&lt;&gt;"", I16&lt;&gt;0, L16&lt;&gt;"", L16&lt;&gt;0), L16/I16, "")</s:f>
        <s:v/>
      </s:c>
      <s:c r="N16" s="43" t="str">
        <s:f>IF(AND(J16&lt;&gt;0, J16&lt;&gt;"", I16&lt;&gt;0, I16&lt;&gt;""), L16-I16, "")</s:f>
        <s:v/>
      </s:c>
      <s:c r="O16" s="71"/>
      <s:c r="P16" s="43" t="str">
        <s:f>IF(AND(O16&lt;&gt;"", O16&lt;&gt;0, L16&lt;&gt;"", L16&lt;&gt;0), -O16+L16, "")</s:f>
        <s:v/>
      </s:c>
      <s:c r="Q16" s="45" t="str">
        <s:f>IF(AND(P16&lt;&gt;"", P16&lt;&gt;0, O16&lt;&gt;0, O16&lt;&gt;""), P16/O16, "")</s:f>
        <s:v/>
      </s:c>
      <s:c r="R16" s="37"/>
      <s:c r="S16" s="576" t="s">
        <s:v>22</s:v>
      </s:c>
      <s:c r="T16" s="576"/>
      <s:c r="U16" s="310"/>
      <s:c r="V16" s="310"/>
      <s:c r="W16" s="310"/>
    </s:row>
    <s:row r="17" spans="1:33" ht="15.75" customHeight="1">
      <s:c r="B17" s="315"/>
      <s:c r="C17" s="310"/>
      <s:c r="D17" s="310"/>
      <s:c r="E17" s="310"/>
      <s:c r="F17" s="571" t="s">
        <s:v>23</s:v>
      </s:c>
      <s:c r="G17" s="572"/>
      <s:c r="H17" s="573"/>
      <s:c r="I17" s="75">
        <s:f>'Ялта, Ленина, 18'!I17/График!AJ31*График!AJ25</s:f>
        <s:v>0</s:v>
      </s:c>
      <s:c r="J17" s="67">
        <s:f>I48</s:f>
        <s:v>0</s:v>
      </s:c>
      <s:c r="K17" s="68" t="str">
        <s:f>IF(AND(I17&lt;&gt;"", I17&lt;&gt;0, J17&lt;&gt;""), J17/I17, "")</s:f>
        <s:v/>
      </s:c>
      <s:c r="L17" s="72" t="e">
        <s:f>J17/J14*I14</s:f>
        <s:v>#DIV/0!</s:v>
      </s:c>
      <s:c r="M17" s="73" t="e">
        <s:f>IF(AND(I17&lt;&gt;"", I17&lt;&gt;0, L17&lt;&gt;"", L17&lt;&gt;0), L17/I17, "")</s:f>
        <s:v>#DIV/0!</s:v>
      </s:c>
      <s:c r="N17" s="43" t="str">
        <s:f>IF(AND(J17&lt;&gt;0, J17&lt;&gt;"", I17&lt;&gt;0, I17&lt;&gt;""), L17-I17, "")</s:f>
        <s:v/>
      </s:c>
      <s:c r="O17" s="71"/>
      <s:c r="P17" s="43" t="e">
        <s:f>IF(AND(O17&lt;&gt;"", O17&lt;&gt;0, L17&lt;&gt;"", L17&lt;&gt;0), -O17+L17, "")</s:f>
        <s:v>#DIV/0!</s:v>
      </s:c>
      <s:c r="Q17" s="45" t="e">
        <s:f>IF(AND(P17&lt;&gt;"", P17&lt;&gt;0, O17&lt;&gt;0, O17&lt;&gt;""), P17/O17, "")</s:f>
        <s:v>#DIV/0!</s:v>
      </s:c>
      <s:c r="R17" s="37"/>
      <s:c r="S17" s="576"/>
      <s:c r="T17" s="576"/>
      <s:c r="U17" s="310"/>
      <s:c r="V17" s="310"/>
      <s:c r="W17" s="310"/>
    </s:row>
    <s:row r="18" spans="1:33" ht="15.75" customHeight="1">
      <s:c r="B18" s="315"/>
      <s:c r="C18" s="310"/>
      <s:c r="D18" s="310"/>
      <s:c r="E18" s="310"/>
      <s:c r="F18" s="571"/>
      <s:c r="G18" s="572"/>
      <s:c r="H18" s="573"/>
      <s:c r="I18" s="76"/>
      <s:c r="J18" s="67"/>
      <s:c r="K18" s="68" t="str">
        <s:f>IF(AND(I18&lt;&gt;"", I18&lt;&gt;0, J18&lt;&gt;""), J18/I18, "")</s:f>
        <s:v/>
      </s:c>
      <s:c r="L18" s="72">
        <s:f>J18</s:f>
        <s:v>0</s:v>
      </s:c>
      <s:c r="M18" s="73" t="str">
        <s:f>IF(AND(I18&lt;&gt;"", I18&lt;&gt;0, L18&lt;&gt;"", L18&lt;&gt;0), L18/I18, "")</s:f>
        <s:v/>
      </s:c>
      <s:c r="N18" s="43" t="str">
        <s:f>IF(AND(J18&lt;&gt;0, J18&lt;&gt;"", I18&lt;&gt;0, I18&lt;&gt;""), L18-I18, "")</s:f>
        <s:v/>
      </s:c>
      <s:c r="O18" s="79">
        <s:v>0</s:v>
      </s:c>
      <s:c r="P18" s="43" t="str">
        <s:f>IF(AND(O18&lt;&gt;"", O18&lt;&gt;0, L18&lt;&gt;"", L18&lt;&gt;0), -O18+L18, "")</s:f>
        <s:v/>
      </s:c>
      <s:c r="Q18" s="45" t="str">
        <s:f>IF(AND(P18&lt;&gt;"", P18&lt;&gt;0, O18&lt;&gt;0, O18&lt;&gt;""), P18/O18, "")</s:f>
        <s:v/>
      </s:c>
      <s:c r="R18" s="37"/>
      <s:c r="S18" s="59">
        <s:f>'Ялта, Ленина, 18'!S18*График!AJ25/График!AJ31</s:f>
        <s:v>0</s:v>
      </s:c>
      <s:c r="T18" s="60">
        <s:f>K48</s:f>
        <s:v>0</s:v>
      </s:c>
      <s:c r="U18" s="310"/>
      <s:c r="V18" s="310"/>
      <s:c r="W18" s="310"/>
    </s:row>
    <s:row r="19" spans="1:33" ht="15.75" customHeight="1">
      <s:c r="B19" s="315"/>
      <s:c r="C19" s="310"/>
      <s:c r="D19" s="310"/>
      <s:c r="E19" s="310"/>
      <s:c r="F19" s="571"/>
      <s:c r="G19" s="572"/>
      <s:c r="H19" s="573"/>
      <s:c r="I19" s="76"/>
      <s:c r="J19" s="67"/>
      <s:c r="K19" s="68" t="str">
        <s:f>IF(AND(I19&lt;&gt;"", I19&lt;&gt;0, J19&lt;&gt;""), J19/I19, "")</s:f>
        <s:v/>
      </s:c>
      <s:c r="L19" s="72">
        <s:f>J19</s:f>
        <s:v>0</s:v>
      </s:c>
      <s:c r="M19" s="73" t="str">
        <s:f>IF(AND(I19&lt;&gt;"", I19&lt;&gt;0, L19&lt;&gt;"", L19&lt;&gt;0), L19/I19, "")</s:f>
        <s:v/>
      </s:c>
      <s:c r="N19" s="43" t="str">
        <s:f>IF(AND(J19&lt;&gt;0, J19&lt;&gt;"", I19&lt;&gt;0, I19&lt;&gt;""), L19-I19, "")</s:f>
        <s:v/>
      </s:c>
      <s:c r="O19" s="71">
        <s:v>0</s:v>
      </s:c>
      <s:c r="P19" s="43" t="str">
        <s:f>IF(AND(O19&lt;&gt;"", O19&lt;&gt;0, L19&lt;&gt;"", L19&lt;&gt;0), -O19+L19, "")</s:f>
        <s:v/>
      </s:c>
      <s:c r="Q19" s="45" t="str">
        <s:f>IF(AND(P19&lt;&gt;"", P19&lt;&gt;0, O19&lt;&gt;0, O19&lt;&gt;""), P19/O19, "")</s:f>
        <s:v/>
      </s:c>
      <s:c r="R19" s="37"/>
      <s:c r="S19" s="62" t="e">
        <s:f>T18/S18</s:f>
        <s:v>#DIV/0!</s:v>
      </s:c>
      <s:c r="T19" s="62" t="e">
        <s:f>S19/J14*I14</s:f>
        <s:v>#DIV/0!</s:v>
      </s:c>
      <s:c r="U19" s="310"/>
      <s:c r="V19" s="310"/>
      <s:c r="W19" s="310"/>
    </s:row>
    <s:row r="20" spans="1:33" ht="15.75" customHeight="1">
      <s:c r="B20" s="315"/>
      <s:c r="C20" s="310"/>
      <s:c r="D20" s="310"/>
      <s:c r="E20" s="310"/>
      <s:c r="F20" s="574" t="s">
        <s:v>24</s:v>
      </s:c>
      <s:c r="G20" s="574"/>
      <s:c r="H20" s="574"/>
      <s:c r="I20" s="80">
        <s:f>'Ялта, Ленина, 18'!I20</s:f>
        <s:v>0.22</s:v>
      </s:c>
      <s:c r="J20" s="230" t="str">
        <s:f>N48</s:f>
        <s:v/>
      </s:c>
      <s:c r="K20" s="230" t="e">
        <s:f>J20/I20</s:f>
        <s:v>#VALUE!</s:v>
      </s:c>
      <s:c r="L20" s="231">
        <s:f>IF(AND(K8&lt;&gt;0,I14&lt;&gt;0,I48&lt;&gt;0),(I48*N48+(I48/K8-I48)*I20)/(I48/K8),0)</s:f>
        <s:v>0</s:v>
      </s:c>
      <s:c r="M20" s="83" t="str">
        <s:f>IF(AND(I20&lt;&gt;"", I20&lt;&gt;0, L20&lt;&gt;"", L20&lt;&gt;0), L20/I20, "")</s:f>
        <s:v/>
      </s:c>
      <s:c r="N20" s="84" t="str">
        <s:f>IF(AND(J20&lt;&gt;0, J20&lt;&gt;"", I20&lt;&gt;0, I20&lt;&gt;""), L20-I20, "")</s:f>
        <s:v/>
      </s:c>
      <s:c r="O20" s="85"/>
      <s:c r="P20" s="86" t="str">
        <s:f>IF(AND(O20&lt;&gt;"", O20&lt;&gt;0, L20&lt;&gt;"", L20&lt;&gt;0), -O20+L20, "")</s:f>
        <s:v/>
      </s:c>
      <s:c r="Q20" s="87" t="str">
        <s:f>IF(AND(P20&lt;&gt;"", P20&lt;&gt;0, O20&lt;&gt;0, O20&lt;&gt;""), P20/O20, "")</s:f>
        <s:v/>
      </s:c>
      <s:c r="R20" s="37"/>
      <s:c r="S20" s="37"/>
      <s:c r="T20" s="310"/>
      <s:c r="U20" s="310"/>
      <s:c r="V20" s="310"/>
      <s:c r="W20" s="310"/>
    </s:row>
    <s:row r="21" spans="1:33" ht="15.75" customHeight="1">
      <s:c r="B21" s="315"/>
      <s:c r="C21" s="310"/>
      <s:c r="D21" s="310"/>
      <s:c r="E21" s="310"/>
      <s:c r="F21" s="310"/>
      <s:c r="G21" s="310"/>
      <s:c r="H21" s="310"/>
      <s:c r="I21" s="310"/>
      <s:c r="J21" s="310"/>
      <s:c r="K21" s="310"/>
      <s:c r="L21" s="310"/>
      <s:c r="M21" s="310"/>
      <s:c r="N21" s="310"/>
      <s:c r="O21" s="310"/>
      <s:c r="P21" s="310"/>
      <s:c r="Q21" s="310"/>
      <s:c r="R21" s="37"/>
      <s:c r="S21" s="37"/>
      <s:c r="T21" s="310"/>
      <s:c r="U21" s="310"/>
      <s:c r="V21" s="310"/>
      <s:c r="W21" s="310"/>
    </s:row>
    <s:row r="22" spans="1:33" ht="16.5" customHeight="1">
      <s:c r="B22" s="682" t="s">
        <s:v>25</s:v>
      </s:c>
      <s:c r="C22" s="682"/>
      <s:c r="D22" s="682"/>
      <s:c r="E22" s="682"/>
      <s:c r="F22" s="682"/>
      <s:c r="G22" s="682"/>
      <s:c r="H22" s="682"/>
      <s:c r="I22" s="682"/>
      <s:c r="J22" s="682"/>
      <s:c r="K22" s="682"/>
      <s:c r="L22" s="682"/>
      <s:c r="M22" s="682"/>
      <s:c r="N22" s="682"/>
      <s:c r="O22" s="684" t="s">
        <s:v>26</s:v>
      </s:c>
      <s:c r="P22" s="682" t="s">
        <s:v>27</s:v>
      </s:c>
      <s:c r="Q22" s="682"/>
      <s:c r="R22" s="682"/>
      <s:c r="S22" s="682"/>
      <s:c r="T22" s="682"/>
      <s:c r="U22" s="682"/>
      <s:c r="V22" s="682"/>
      <s:c r="W22" s="682"/>
    </s:row>
    <s:row r="23" ht="36">
      <s:c r="B23" s="233" t="s">
        <s:v>29</s:v>
      </s:c>
      <s:c r="C23" s="233" t="s">
        <s:v>30</s:v>
      </s:c>
      <s:c r="D23" s="233" t="s">
        <s:v>31</s:v>
      </s:c>
      <s:c r="E23" s="233" t="s">
        <s:v>32</s:v>
      </s:c>
      <s:c r="F23" s="233" t="s">
        <s:v>33</s:v>
      </s:c>
      <s:c r="G23" s="233" t="s">
        <s:v>34</s:v>
      </s:c>
      <s:c r="H23" s="233" t="s">
        <s:v>35</s:v>
      </s:c>
      <s:c r="I23" s="233" t="s">
        <s:v>23</s:v>
      </s:c>
      <s:c r="J23" s="233" t="s">
        <s:v>36</s:v>
      </s:c>
      <s:c r="K23" s="90" t="s">
        <s:v>22</s:v>
      </s:c>
      <s:c r="L23" s="90" t="s">
        <s:v>15</s:v>
      </s:c>
      <s:c r="M23" s="233" t="s">
        <s:v>37</s:v>
      </s:c>
      <s:c r="N23" s="233" t="s">
        <s:v>38</s:v>
      </s:c>
      <s:c r="O23" s="684"/>
      <s:c r="P23" s="233" t="s">
        <s:v>39</s:v>
      </s:c>
      <s:c r="Q23" s="233" t="s">
        <s:v>40</s:v>
      </s:c>
      <s:c r="R23" s="233" t="s">
        <s:v>41</s:v>
      </s:c>
      <s:c r="S23" s="233" t="s">
        <s:v>42</s:v>
      </s:c>
      <s:c r="T23" s="233" t="s">
        <s:v>43</s:v>
      </s:c>
      <s:c r="U23" s="233" t="s">
        <s:v>44</s:v>
      </s:c>
      <s:c r="V23" s="316" t="s">
        <s:v>45</s:v>
      </s:c>
      <s:c r="W23" s="316" t="s">
        <s:v>46</s:v>
      </s:c>
      <s:c r="X23" s="235"/>
    </s:row>
    <s:row r="24">
      <s:c r="A24" s="317"/>
      <s:c r="B24" s="318">
        <s:v>1</s:v>
      </s:c>
      <s:c r="C24" s="319">
        <s:v>2</s:v>
      </s:c>
      <s:c r="D24" s="319">
        <s:v>3</s:v>
      </s:c>
      <s:c r="E24" s="319" t="s">
        <s:v>72</s:v>
      </s:c>
      <s:c r="F24" s="319">
        <s:v>5</s:v>
      </s:c>
      <s:c r="G24" s="319">
        <s:v>6</s:v>
      </s:c>
      <s:c r="H24" s="319">
        <s:v>7</s:v>
      </s:c>
      <s:c r="I24" s="319">
        <s:v>8</s:v>
      </s:c>
      <s:c r="J24" s="319">
        <s:v>9</s:v>
      </s:c>
      <s:c r="K24" s="319">
        <s:v>10</s:v>
      </s:c>
      <s:c r="L24" s="319">
        <s:v>11</s:v>
      </s:c>
      <s:c r="M24" s="319">
        <s:v>12</s:v>
      </s:c>
      <s:c r="N24" s="319">
        <s:v>13</s:v>
      </s:c>
      <s:c r="O24" s="684"/>
      <s:c r="P24" s="320">
        <s:v>1</s:v>
      </s:c>
      <s:c r="Q24" s="320">
        <s:v>2</s:v>
      </s:c>
      <s:c r="R24" s="320">
        <s:v>3</s:v>
      </s:c>
      <s:c r="S24" s="320">
        <s:v>4</s:v>
      </s:c>
      <s:c r="T24" s="320">
        <s:v>5</s:v>
      </s:c>
      <s:c r="U24" s="320">
        <s:v>6</s:v>
      </s:c>
      <s:c r="V24" s="320">
        <s:v>10</s:v>
      </s:c>
      <s:c r="W24" s="320">
        <s:v>11</s:v>
      </s:c>
    </s:row>
    <s:row r="25">
      <s:c r="A25" s="113"/>
      <s:c r="B25" s="114"/>
      <s:c r="C25" s="115"/>
      <s:c r="D25" s="116"/>
      <s:c r="E25" s="127"/>
      <s:c r="F25" s="117" t="str">
        <s:f>IF(AND(E25&lt;&gt;"",E25&lt;&gt;0),D25/E25,"")</s:f>
        <s:v/>
      </s:c>
      <s:c r="G25" s="127"/>
      <s:c r="H25" s="117" t="str">
        <s:f>IF(AND(G25&lt;&gt;"",G25&lt;&gt;0),D25/G25,"")</s:f>
        <s:v/>
      </s:c>
      <s:c r="I25" s="127"/>
      <s:c r="J25" s="116" t="str">
        <s:f>IF(AND(G25&lt;&gt;"",G25&lt;&gt;0),E25/G25,"")</s:f>
        <s:v/>
      </s:c>
      <s:c r="K25" s="117"/>
      <s:c r="L25" s="117"/>
      <s:c r="M25" s="117"/>
      <s:c r="N25" s="118" t="str">
        <s:f>IF(AND(I25&lt;&gt;"",I25&lt;&gt;0),G25/I25,"")</s:f>
        <s:v/>
      </s:c>
      <s:c r="O25" s="119" t="e">
        <s:f>D25/P25</s:f>
        <s:v>#DIV/0!</s:v>
      </s:c>
      <s:c r="P25" s="120">
        <s:f>$I$8*V25*W25/SUMPRODUCT($W$25:$W$55,$V$25:$V$55)</s:f>
        <s:v>0</s:v>
      </s:c>
      <s:c r="Q25" s="121">
        <s:f>$I$9*V25*W25/SUMPRODUCT($W$25:$W$55,$V$25:$V$55)</s:f>
        <s:v>0</s:v>
      </s:c>
      <s:c r="R25" s="121">
        <s:f>IF($I$12="","",Q25/$I$12)</s:f>
        <s:v>0</s:v>
      </s:c>
      <s:c r="S25" s="120" t="e">
        <s:f ca="1">IF(W25&lt;&gt;"",IF(D25&lt;&gt;"",D25,($I$8-SUM($S24:S$25))*V25*W25/SUMPRODUCT($W25:$W$55,$V25:$V$55)),"")</s:f>
        <s:v>#REF!</s:v>
      </s:c>
      <s:c r="T25" s="121" t="e">
        <s:f ca="1">IF(W25&lt;&gt;"",IF(E25&lt;&gt;"",E25,($I$9-SUM($T24:T$25))*V25*W25/SUMPRODUCT($W25:$W$55,$V25:$V$55)),"")</s:f>
        <s:v>#REF!</s:v>
      </s:c>
      <s:c r="U25" s="121" t="e">
        <s:f ca="1">IF(W25&lt;&gt;"",IF($I$12&lt;&gt;"",IF(G25&lt;&gt;"",G25,($I$9/$I$12-SUM($U24:U$25))*V25*W25/SUMPRODUCT($W25:$W$55,$V25:$V$55)),""),"")</s:f>
        <s:v>#REF!</s:v>
      </s:c>
      <s:c r="V25" s="122">
        <s:v>1.1982013014921034</s:v>
      </s:c>
      <s:c r="W25" s="122">
        <s:v>1.1982013014921034</s:v>
      </s:c>
      <s:c r="X25" s="123"/>
      <s:c r="Y25" s="124"/>
      <s:c r="Z25" s="2"/>
      <s:c r="AA25" s="2"/>
      <s:c r="AB25" s="2"/>
      <s:c r="AC25" s="2"/>
      <s:c r="AD25" s="2"/>
      <s:c r="AE25" s="2"/>
      <s:c r="AF25" s="2"/>
      <s:c r="AG25" s="2"/>
    </s:row>
    <s:row r="26">
      <s:c r="A26" s="113"/>
      <s:c r="B26" s="114"/>
      <s:c r="C26" s="115"/>
      <s:c r="D26" s="116"/>
      <s:c r="E26" s="115"/>
      <s:c r="F26" s="117" t="str">
        <s:f>IF(AND(E26&lt;&gt;"",E26&lt;&gt;0),D26/E26,"")</s:f>
        <s:v/>
      </s:c>
      <s:c r="G26" s="117"/>
      <s:c r="H26" s="117" t="str">
        <s:f>IF(AND(G26&lt;&gt;"",G26&lt;&gt;0),D26/G26,"")</s:f>
        <s:v/>
      </s:c>
      <s:c r="I26" s="117"/>
      <s:c r="J26" s="116" t="str">
        <s:f>IF(AND(G26&lt;&gt;"",G26&lt;&gt;0),E26/G26,"")</s:f>
        <s:v/>
      </s:c>
      <s:c r="K26" s="117"/>
      <s:c r="L26" s="117"/>
      <s:c r="M26" s="117"/>
      <s:c r="N26" s="118" t="str">
        <s:f>IF(AND(I26&lt;&gt;"",I26&lt;&gt;0),G26/I26,"")</s:f>
        <s:v/>
      </s:c>
      <s:c r="O26" s="119" t="e">
        <s:f>D26/P26</s:f>
        <s:v>#DIV/0!</s:v>
      </s:c>
      <s:c r="P26" s="120">
        <s:f>$I$8*V26*W26/SUMPRODUCT($W$25:$W$55,$V$25:$V$55)</s:f>
        <s:v>0</s:v>
      </s:c>
      <s:c r="Q26" s="121">
        <s:f>$I$9*V26*W26/SUMPRODUCT($W$25:$W$55,$V$25:$V$55)</s:f>
        <s:v>0</s:v>
      </s:c>
      <s:c r="R26" s="121">
        <s:f>IF($I$12="","",Q26/$I$12)</s:f>
        <s:v>0</s:v>
      </s:c>
      <s:c r="S26" s="120" t="str">
        <s:f>IF(W26&lt;&gt;"",IF(D26&lt;&gt;"",D26,($I$8-SUM($S$25:S25))*V26*W26/SUMPRODUCT($W26:$W$55,$V26:$V$55)),"")</s:f>
        <s:v/>
      </s:c>
      <s:c r="T26" s="121" t="str">
        <s:f>IF(W26&lt;&gt;"",IF(E25&lt;&gt;"",E25,($I$9-SUM($T$25:T25))*V26*W26/SUMPRODUCT($W26:$W$55,$V26:$V$55)),"")</s:f>
        <s:v/>
      </s:c>
      <s:c r="U26" s="121" t="str">
        <s:f>IF(W26&lt;&gt;"",IF($I$12&lt;&gt;"",IF(G26&lt;&gt;"",G26,($I$9/$I$12-SUM($U$25:U25))*V26*W26/SUMPRODUCT($W26:$W$55,$V26:$V$55)),""),"")</s:f>
        <s:v/>
      </s:c>
      <s:c r="V26" s="122"/>
      <s:c r="W26" s="122"/>
      <s:c r="X26" s="123"/>
      <s:c r="Y26" s="124"/>
      <s:c r="Z26" s="2"/>
      <s:c r="AA26" s="2"/>
      <s:c r="AB26" s="2"/>
      <s:c r="AC26" s="2"/>
      <s:c r="AD26" s="2"/>
      <s:c r="AE26" s="2"/>
      <s:c r="AF26" s="2"/>
      <s:c r="AG26" s="2"/>
    </s:row>
    <s:row r="27">
      <s:c r="A27" s="113"/>
      <s:c r="B27" s="321"/>
      <s:c r="C27" s="322"/>
      <s:c r="D27" s="323"/>
      <s:c r="E27" s="127"/>
      <s:c r="F27" s="117" t="str">
        <s:f>IF(AND(E27&lt;&gt;"",E27&lt;&gt;0),D27/E27,"")</s:f>
        <s:v/>
      </s:c>
      <s:c r="G27" s="127"/>
      <s:c r="H27" s="117" t="str">
        <s:f>IF(AND(G27&lt;&gt;"",G27&lt;&gt;0),D27/G27,"")</s:f>
        <s:v/>
      </s:c>
      <s:c r="I27" s="127"/>
      <s:c r="J27" s="116" t="str">
        <s:f>IF(AND(G27&lt;&gt;"",G27&lt;&gt;0),E27/G27,"")</s:f>
        <s:v/>
      </s:c>
      <s:c r="K27" s="117"/>
      <s:c r="L27" s="117"/>
      <s:c r="M27" s="117"/>
      <s:c r="N27" s="118" t="str">
        <s:f>IF(AND(I27&lt;&gt;"",I27&lt;&gt;0),G27/I27,"")</s:f>
        <s:v/>
      </s:c>
      <s:c r="O27" s="119" t="e">
        <s:f>D27/P27</s:f>
        <s:v>#DIV/0!</s:v>
      </s:c>
      <s:c r="P27" s="120">
        <s:f>$I$8*V27*W27/SUMPRODUCT($W$25:$W$55,$V$25:$V$55)</s:f>
        <s:v>0</s:v>
      </s:c>
      <s:c r="Q27" s="121">
        <s:f>$I$9*V27*W27/SUMPRODUCT($W$25:$W$55,$V$25:$V$55)</s:f>
        <s:v>0</s:v>
      </s:c>
      <s:c r="R27" s="121">
        <s:f>IF($I$12="","",Q27/$I$12)</s:f>
        <s:v>0</s:v>
      </s:c>
      <s:c r="S27" s="120" t="str">
        <s:f>IF(W27&lt;&gt;"",IF(D27&lt;&gt;"",D27,($I$8-SUM($S$25:S26))*V27*W27/SUMPRODUCT($W27:$W$55,$V27:$V$55)),"")</s:f>
        <s:v/>
      </s:c>
      <s:c r="T27" s="121" t="str">
        <s:f>IF(W27&lt;&gt;"",IF(E27&lt;&gt;"",E27,($I$9-SUM($T$25:T26))*V27*W27/SUMPRODUCT($W27:$W$55,$V27:$V$55)),"")</s:f>
        <s:v/>
      </s:c>
      <s:c r="U27" s="121" t="str">
        <s:f>IF(W27&lt;&gt;"",IF($I$12&lt;&gt;"",IF(G27&lt;&gt;"",G27,($I$9/$I$12-SUM($U$25:U26))*V27*W27/SUMPRODUCT($W27:$W$55,$V27:$V$55)),""),"")</s:f>
        <s:v/>
      </s:c>
      <s:c r="V27" s="294"/>
      <s:c r="W27" s="294"/>
      <s:c r="X27" s="124"/>
      <s:c r="Y27" s="124"/>
      <s:c r="Z27" s="125"/>
      <s:c r="AA27" s="2"/>
      <s:c r="AB27" s="2"/>
      <s:c r="AC27" s="2"/>
      <s:c r="AD27" s="2"/>
      <s:c r="AE27" s="2"/>
      <s:c r="AF27" s="2"/>
      <s:c r="AG27" s="2"/>
    </s:row>
    <s:row r="28">
      <s:c r="A28" s="113"/>
      <s:c r="B28" s="250"/>
      <s:c r="C28" s="251"/>
      <s:c r="D28" s="116"/>
      <s:c r="E28" s="117"/>
      <s:c r="F28" s="127" t="str">
        <s:f>IF(AND(E28&lt;&gt;"",E28&lt;&gt;0),D28/E28,"")</s:f>
        <s:v/>
      </s:c>
      <s:c r="G28" s="117"/>
      <s:c r="H28" s="117" t="str">
        <s:f>IF(AND(G28&lt;&gt;"",G28&lt;&gt;0),D28/G28,"")</s:f>
        <s:v/>
      </s:c>
      <s:c r="I28" s="117"/>
      <s:c r="J28" s="116" t="str">
        <s:f>IF(AND(G28&lt;&gt;"",G28&lt;&gt;0),E28/G28,"")</s:f>
        <s:v/>
      </s:c>
      <s:c r="K28" s="117"/>
      <s:c r="L28" s="117"/>
      <s:c r="M28" s="117"/>
      <s:c r="N28" s="118" t="str">
        <s:f>IF(AND(I28&lt;&gt;"",I28&lt;&gt;0),G28/I28,"")</s:f>
        <s:v/>
      </s:c>
      <s:c r="O28" s="119" t="e">
        <s:f>D28/P28</s:f>
        <s:v>#DIV/0!</s:v>
      </s:c>
      <s:c r="P28" s="120">
        <s:f>$I$8*V28*W28/SUMPRODUCT($W$25:$W$55,$V$25:$V$55)</s:f>
        <s:v>0</s:v>
      </s:c>
      <s:c r="Q28" s="121">
        <s:f>$I$9*V28*W28/SUMPRODUCT($W$25:$W$55,$V$25:$V$55)</s:f>
        <s:v>0</s:v>
      </s:c>
      <s:c r="R28" s="121">
        <s:f>IF($I$12="","",Q28/$I$12)</s:f>
        <s:v>0</s:v>
      </s:c>
      <s:c r="S28" s="120" t="str">
        <s:f>IF(W28&lt;&gt;"",IF(D28&lt;&gt;"",D28,($I$8-SUM($S$25:S27))*V28*W28/SUMPRODUCT($W28:$W$55,$V28:$V$55)),"")</s:f>
        <s:v/>
      </s:c>
      <s:c r="T28" s="121" t="str">
        <s:f>IF(W28&lt;&gt;"",IF(E28&lt;&gt;"",E28,($I$9-SUM($T$25:T27))*V28*W28/SUMPRODUCT($W28:$W$55,$V28:$V$55)),"")</s:f>
        <s:v/>
      </s:c>
      <s:c r="U28" s="121" t="str">
        <s:f>IF(W28&lt;&gt;"",IF($I$12&lt;&gt;"",IF(G28&lt;&gt;"",G28,($I$9/$I$12-SUM($U$25:U27))*V28*W28/SUMPRODUCT($W28:$W$55,$V28:$V$55)),""),"")</s:f>
        <s:v/>
      </s:c>
      <s:c r="V28" s="294"/>
      <s:c r="W28" s="294"/>
      <s:c r="X28" s="124"/>
      <s:c r="Y28" s="124"/>
      <s:c r="Z28" s="125"/>
      <s:c r="AA28" s="2"/>
      <s:c r="AB28" s="2"/>
      <s:c r="AC28" s="2"/>
      <s:c r="AD28" s="2"/>
      <s:c r="AE28" s="2"/>
      <s:c r="AF28" s="2"/>
      <s:c r="AG28" s="2"/>
    </s:row>
    <s:row r="29" spans="1:33" s="248" customFormat="1">
      <s:c r="A29" s="113"/>
      <s:c r="B29" s="321"/>
      <s:c r="C29" s="324"/>
      <s:c r="D29" s="263"/>
      <s:c r="E29" s="259"/>
      <s:c r="F29" s="252" t="str">
        <s:f>IF(AND(E29&lt;&gt;"",E29&lt;&gt;0),D29/E29,"")</s:f>
        <s:v/>
      </s:c>
      <s:c r="G29" s="259"/>
      <s:c r="H29" s="252" t="str">
        <s:f>IF(AND(G29&lt;&gt;"",G29&lt;&gt;0),D29/G29,"")</s:f>
        <s:v/>
      </s:c>
      <s:c r="I29" s="259"/>
      <s:c r="J29" s="246" t="str">
        <s:f>IF(AND(G29&lt;&gt;"",G29&lt;&gt;0),E29/G29,"")</s:f>
        <s:v/>
      </s:c>
      <s:c r="K29" s="252"/>
      <s:c r="L29" s="252"/>
      <s:c r="M29" s="252"/>
      <s:c r="N29" s="253" t="str">
        <s:f>IF(AND(I29&lt;&gt;"",I29&lt;&gt;0),G29/I29,"")</s:f>
        <s:v/>
      </s:c>
      <s:c r="O29" s="254" t="e">
        <s:f>D29/P29</s:f>
        <s:v>#DIV/0!</s:v>
      </s:c>
      <s:c r="P29" s="255">
        <s:f>$I$8*V29*W29/SUMPRODUCT($W$25:$W$55,$V$25:$V$55)</s:f>
        <s:v>0</s:v>
      </s:c>
      <s:c r="Q29" s="256">
        <s:f>$I$9*V29*W29/SUMPRODUCT($W$25:$W$55,$V$25:$V$55)</s:f>
        <s:v>0</s:v>
      </s:c>
      <s:c r="R29" s="256">
        <s:f>IF($I$12="","",Q29/$I$12)</s:f>
        <s:v>0</s:v>
      </s:c>
      <s:c r="S29" s="255" t="str">
        <s:f>IF(W29&lt;&gt;"",IF(D29&lt;&gt;"",D29,($I$8-SUM($S$25:S28))*V29*W29/SUMPRODUCT($W29:$W$55,$V29:$V$55)),"")</s:f>
        <s:v/>
      </s:c>
      <s:c r="T29" s="256" t="str">
        <s:f>IF(W29&lt;&gt;"",IF(E29&lt;&gt;"",E29,($I$9-SUM($T$25:T28))*V29*W29/SUMPRODUCT($W29:$W$55,$V29:$V$55)),"")</s:f>
        <s:v/>
      </s:c>
      <s:c r="U29" s="256" t="str">
        <s:f>IF(W29&lt;&gt;"",IF($I$12&lt;&gt;"",IF(G29&lt;&gt;"",G29,($I$9/$I$12-SUM($U$25:U28))*V29*W29/SUMPRODUCT($W29:$W$55,$V29:$V$55)),""),"")</s:f>
        <s:v/>
      </s:c>
      <s:c r="V29" s="291"/>
      <s:c r="W29" s="291"/>
      <s:c r="X29" s="257"/>
      <s:c r="Y29" s="257"/>
      <s:c r="Z29" s="258"/>
      <s:c r="AA29" s="258"/>
      <s:c r="AB29" s="258"/>
      <s:c r="AC29" s="258"/>
      <s:c r="AD29" s="258"/>
      <s:c r="AE29" s="258"/>
      <s:c r="AF29" s="258"/>
      <s:c r="AG29" s="258"/>
    </s:row>
    <s:row r="30" spans="1:33" s="248" customFormat="1" ht="15.25" customHeight="1">
      <s:c r="A30" s="249"/>
      <s:c r="B30" s="325"/>
      <s:c r="C30" s="324"/>
      <s:c r="D30" s="262"/>
      <s:c r="E30" s="252"/>
      <s:c r="F30" s="259" t="str">
        <s:f>IF(AND(E30&lt;&gt;"",E30&lt;&gt;0),D30/E30,"")</s:f>
        <s:v/>
      </s:c>
      <s:c r="G30" s="252"/>
      <s:c r="H30" s="259" t="str">
        <s:f>IF(AND(G30&lt;&gt;"",G30&lt;&gt;0),D30/G30,"")</s:f>
        <s:v/>
      </s:c>
      <s:c r="I30" s="252"/>
      <s:c r="J30" s="262" t="str">
        <s:f>IF(AND(G30&lt;&gt;"",G30&lt;&gt;0),E30/G30,"")</s:f>
        <s:v/>
      </s:c>
      <s:c r="K30" s="252"/>
      <s:c r="L30" s="259"/>
      <s:c r="M30" s="252"/>
      <s:c r="N30" s="326" t="str">
        <s:f>IF(AND(I30&lt;&gt;"",I30&lt;&gt;0),G30/I30,"")</s:f>
        <s:v/>
      </s:c>
      <s:c r="O30" s="254" t="e">
        <s:f>D30/P30</s:f>
        <s:v>#DIV/0!</s:v>
      </s:c>
      <s:c r="P30" s="289">
        <s:f>$I$8*V30*W30/SUMPRODUCT($W$25:$W$55,$V$25:$V$55)</s:f>
        <s:v>0</s:v>
      </s:c>
      <s:c r="Q30" s="256">
        <s:f>$I$9*V30*W30/SUMPRODUCT($W$25:$W$55,$V$25:$V$55)</s:f>
        <s:v>0</s:v>
      </s:c>
      <s:c r="R30" s="288">
        <s:f>IF($I$12="","",Q30/$I$12)</s:f>
        <s:v>0</s:v>
      </s:c>
      <s:c r="S30" s="255" t="str">
        <s:f>IF(W30&lt;&gt;"",IF(D30&lt;&gt;"",D30,($I$8-SUM($S$25:S29))*V30*W30/SUMPRODUCT($W30:$W$55,$V30:$V$55)),"")</s:f>
        <s:v/>
      </s:c>
      <s:c r="T30" s="256" t="str">
        <s:f>IF(W30&lt;&gt;"",IF(E30&lt;&gt;"",E30,($I$9-SUM($T$25:T29))*V30*W30/SUMPRODUCT($W30:$W$55,$V30:$V$55)),"")</s:f>
        <s:v/>
      </s:c>
      <s:c r="U30" s="256" t="str">
        <s:f>IF(W30&lt;&gt;"",IF($I$12&lt;&gt;"",IF(G30&lt;&gt;"",G30,($I$9/$I$12-SUM($U$25:U29))*V30*W30/SUMPRODUCT($W30:$W$55,$V30:$V$55)),""),"")</s:f>
        <s:v/>
      </s:c>
      <s:c r="V30" s="291"/>
      <s:c r="W30" s="291"/>
      <s:c r="X30" s="257"/>
      <s:c r="Y30" s="257"/>
      <s:c r="Z30" s="258"/>
      <s:c r="AA30" s="258"/>
      <s:c r="AB30" s="258"/>
      <s:c r="AC30" s="258"/>
      <s:c r="AD30" s="258"/>
      <s:c r="AE30" s="258"/>
      <s:c r="AF30" s="258"/>
      <s:c r="AG30" s="258"/>
    </s:row>
    <s:row r="31" spans="1:33" s="248" customFormat="1">
      <s:c r="A31" s="249"/>
      <s:c r="B31" s="325"/>
      <s:c r="C31" s="324"/>
      <s:c r="D31" s="263"/>
      <s:c r="E31" s="259"/>
      <s:c r="F31" s="252" t="str">
        <s:f>IF(AND(E31&lt;&gt;"",E31&lt;&gt;0),D31/E31,"")</s:f>
        <s:v/>
      </s:c>
      <s:c r="G31" s="259"/>
      <s:c r="H31" s="252" t="str">
        <s:f>IF(AND(G31&lt;&gt;"",G31&lt;&gt;0),D31/G31,"")</s:f>
        <s:v/>
      </s:c>
      <s:c r="I31" s="259"/>
      <s:c r="J31" s="246" t="str">
        <s:f>IF(AND(G31&lt;&gt;"",G31&lt;&gt;0),E31/G31,"")</s:f>
        <s:v/>
      </s:c>
      <s:c r="K31" s="252"/>
      <s:c r="L31" s="252"/>
      <s:c r="M31" s="252"/>
      <s:c r="N31" s="253" t="str">
        <s:f>IF(AND(I31&lt;&gt;"",I31&lt;&gt;0),G31/I31,"")</s:f>
        <s:v/>
      </s:c>
      <s:c r="O31" s="254" t="e">
        <s:f>D31/P31</s:f>
        <s:v>#DIV/0!</s:v>
      </s:c>
      <s:c r="P31" s="255">
        <s:f>$I$8*V31*W31/SUMPRODUCT($W$25:$W$55,$V$25:$V$55)</s:f>
        <s:v>0</s:v>
      </s:c>
      <s:c r="Q31" s="256">
        <s:f>$I$9*V31*W31/SUMPRODUCT($W$25:$W$55,$V$25:$V$55)</s:f>
        <s:v>0</s:v>
      </s:c>
      <s:c r="R31" s="256">
        <s:f>IF($I$12="","",Q31/$I$12)</s:f>
        <s:v>0</s:v>
      </s:c>
      <s:c r="S31" s="255" t="str">
        <s:f>IF(W31&lt;&gt;"",IF(D31&lt;&gt;"",D31,($I$8-SUM($S$25:S30))*V31*W31/SUMPRODUCT($W31:$W$55,$V31:$V$55)),"")</s:f>
        <s:v/>
      </s:c>
      <s:c r="T31" s="256" t="str">
        <s:f>IF(W31&lt;&gt;"",IF(E31&lt;&gt;"",E31,($I$9-SUM($T$25:T30))*V31*W31/SUMPRODUCT($W31:$W$55,$V31:$V$55)),"")</s:f>
        <s:v/>
      </s:c>
      <s:c r="U31" s="256" t="str">
        <s:f>IF(W31&lt;&gt;"",IF($I$12&lt;&gt;"",IF(G31&lt;&gt;"",G31,($I$9/$I$12-SUM($U$25:U30))*V31*W31/SUMPRODUCT($W31:$W$55,$V31:$V$55)),""),"")</s:f>
        <s:v/>
      </s:c>
      <s:c r="V31" s="291"/>
      <s:c r="W31" s="291"/>
      <s:c r="X31" s="257"/>
      <s:c r="Y31" s="257"/>
      <s:c r="Z31" s="260"/>
      <s:c r="AA31" s="258"/>
      <s:c r="AB31" s="258"/>
      <s:c r="AC31" s="258"/>
      <s:c r="AD31" s="258"/>
      <s:c r="AE31" s="258"/>
      <s:c r="AF31" s="258"/>
      <s:c r="AG31" s="258"/>
    </s:row>
    <s:row r="32" spans="1:33" s="248" customFormat="1">
      <s:c r="A32" s="249"/>
      <s:c r="B32" s="325"/>
      <s:c r="C32" s="324"/>
      <s:c r="D32" s="262"/>
      <s:c r="E32" s="252"/>
      <s:c r="F32" s="259" t="str">
        <s:f>IF(AND(E32&lt;&gt;"",E32&lt;&gt;0),D32/E32,"")</s:f>
        <s:v/>
      </s:c>
      <s:c r="G32" s="252"/>
      <s:c r="H32" s="259" t="str">
        <s:f>IF(AND(G32&lt;&gt;"",G32&lt;&gt;0),D32/G32,"")</s:f>
        <s:v/>
      </s:c>
      <s:c r="I32" s="252"/>
      <s:c r="J32" s="246" t="str">
        <s:f>IF(AND(G32&lt;&gt;"",G32&lt;&gt;0),E32/G32,"")</s:f>
        <s:v/>
      </s:c>
      <s:c r="K32" s="252"/>
      <s:c r="L32" s="252"/>
      <s:c r="M32" s="252"/>
      <s:c r="N32" s="253" t="str">
        <s:f>IF(AND(I32&lt;&gt;"",I32&lt;&gt;0),G32/I32,"")</s:f>
        <s:v/>
      </s:c>
      <s:c r="O32" s="254" t="e">
        <s:f>D32/P32</s:f>
        <s:v>#DIV/0!</s:v>
      </s:c>
      <s:c r="P32" s="255">
        <s:f>$I$8*V32*W32/SUMPRODUCT($W$25:$W$55,$V$25:$V$55)</s:f>
        <s:v>0</s:v>
      </s:c>
      <s:c r="Q32" s="256">
        <s:f>$I$9*V32*W32/SUMPRODUCT($W$25:$W$55,$V$25:$V$55)</s:f>
        <s:v>0</s:v>
      </s:c>
      <s:c r="R32" s="256">
        <s:f>IF($I$12="","",Q32/$I$12)</s:f>
        <s:v>0</s:v>
      </s:c>
      <s:c r="S32" s="255" t="str">
        <s:f>IF(W32&lt;&gt;"",IF(D32&lt;&gt;"",D32,($I$8-SUM($S$25:S31))*V32*W32/SUMPRODUCT($W32:$W$55,$V32:$V$55)),"")</s:f>
        <s:v/>
      </s:c>
      <s:c r="T32" s="256" t="str">
        <s:f>IF(W32&lt;&gt;"",IF(E32&lt;&gt;"",E32,($I$9-SUM($T$25:T31))*V32*W32/SUMPRODUCT($W32:$W$55,$V32:$V$55)),"")</s:f>
        <s:v/>
      </s:c>
      <s:c r="U32" s="256" t="str">
        <s:f>IF(W32&lt;&gt;"",IF($I$12&lt;&gt;"",IF(G32&lt;&gt;"",G32,($I$9/$I$12-SUM($U$25:U31))*V32*W32/SUMPRODUCT($W32:$W$55,$V32:$V$55)),""),"")</s:f>
        <s:v/>
      </s:c>
      <s:c r="V32" s="291"/>
      <s:c r="W32" s="291"/>
      <s:c r="X32" s="257"/>
      <s:c r="Y32" s="257"/>
      <s:c r="Z32" s="260"/>
      <s:c r="AA32" s="258"/>
      <s:c r="AB32" s="258"/>
      <s:c r="AC32" s="258"/>
      <s:c r="AD32" s="258"/>
      <s:c r="AE32" s="258"/>
      <s:c r="AF32" s="258"/>
      <s:c r="AG32" s="258"/>
    </s:row>
    <s:row r="33" spans="1:33" s="248" customFormat="1">
      <s:c r="A33" s="249"/>
      <s:c r="B33" s="325"/>
      <s:c r="C33" s="324"/>
      <s:c r="D33" s="263"/>
      <s:c r="E33" s="252"/>
      <s:c r="F33" s="252" t="str">
        <s:f>IF(AND(E33&lt;&gt;"",E33&lt;&gt;0),D33/E33,"")</s:f>
        <s:v/>
      </s:c>
      <s:c r="G33" s="252"/>
      <s:c r="H33" s="252" t="str">
        <s:f>IF(AND(G33&lt;&gt;"",G33&lt;&gt;0),D33/G33,"")</s:f>
        <s:v/>
      </s:c>
      <s:c r="I33" s="252"/>
      <s:c r="J33" s="246" t="str">
        <s:f>IF(AND(G33&lt;&gt;"",G33&lt;&gt;0),E33/G33,"")</s:f>
        <s:v/>
      </s:c>
      <s:c r="K33" s="252"/>
      <s:c r="L33" s="252"/>
      <s:c r="M33" s="252"/>
      <s:c r="N33" s="253" t="str">
        <s:f>IF(AND(I33&lt;&gt;"",I33&lt;&gt;0),G33/I33,"")</s:f>
        <s:v/>
      </s:c>
      <s:c r="O33" s="254" t="e">
        <s:f>D33/P33</s:f>
        <s:v>#DIV/0!</s:v>
      </s:c>
      <s:c r="P33" s="255">
        <s:f>$I$8*V33*W33/SUMPRODUCT($W$25:$W$55,$V$25:$V$55)</s:f>
        <s:v>0</s:v>
      </s:c>
      <s:c r="Q33" s="256">
        <s:f>$I$9*V33*W33/SUMPRODUCT($W$25:$W$55,$V$25:$V$55)</s:f>
        <s:v>0</s:v>
      </s:c>
      <s:c r="R33" s="256">
        <s:f>IF($I$12="","",Q33/$I$12)</s:f>
        <s:v>0</s:v>
      </s:c>
      <s:c r="S33" s="255" t="str">
        <s:f>IF(W33&lt;&gt;"",IF(D33&lt;&gt;"",D33,($I$8-SUM($S$25:S32))*V33*W33/SUMPRODUCT($W33:$W$55,$V33:$V$55)),"")</s:f>
        <s:v/>
      </s:c>
      <s:c r="T33" s="256" t="str">
        <s:f>IF(W33&lt;&gt;"",IF(E33&lt;&gt;"",E33,($I$9-SUM($T$25:T32))*V33*W33/SUMPRODUCT($W33:$W$55,$V33:$V$55)),"")</s:f>
        <s:v/>
      </s:c>
      <s:c r="U33" s="256" t="str">
        <s:f>IF(W33&lt;&gt;"",IF($I$12&lt;&gt;"",IF(G33&lt;&gt;"",G33,($I$9/$I$12-SUM($U$25:U32))*V33*W33/SUMPRODUCT($W33:$W$55,$V33:$V$55)),""),"")</s:f>
        <s:v/>
      </s:c>
      <s:c r="V33" s="291"/>
      <s:c r="W33" s="291"/>
      <s:c r="X33" s="257"/>
      <s:c r="Y33" s="257"/>
      <s:c r="Z33" s="260"/>
      <s:c r="AA33" s="258"/>
      <s:c r="AB33" s="258"/>
      <s:c r="AC33" s="258"/>
      <s:c r="AD33" s="258"/>
      <s:c r="AE33" s="258"/>
      <s:c r="AF33" s="258"/>
      <s:c r="AG33" s="258"/>
    </s:row>
    <s:row r="34" spans="1:33" s="248" customFormat="1">
      <s:c r="A34" s="249"/>
      <s:c r="B34" s="250"/>
      <s:c r="C34" s="327"/>
      <s:c r="D34" s="246"/>
      <s:c r="E34" s="259"/>
      <s:c r="F34" s="252" t="str">
        <s:f>IF(AND(E34&lt;&gt;"",E34&lt;&gt;0),D34/E34,"")</s:f>
        <s:v/>
      </s:c>
      <s:c r="G34" s="259"/>
      <s:c r="H34" s="252" t="str">
        <s:f>IF(AND(G34&lt;&gt;"",G34&lt;&gt;0),D34/G34,"")</s:f>
        <s:v/>
      </s:c>
      <s:c r="I34" s="259"/>
      <s:c r="J34" s="246" t="str">
        <s:f>IF(AND(G34&lt;&gt;"",G34&lt;&gt;0),E34/G34,"")</s:f>
        <s:v/>
      </s:c>
      <s:c r="K34" s="259"/>
      <s:c r="L34" s="252"/>
      <s:c r="M34" s="259"/>
      <s:c r="N34" s="253" t="str">
        <s:f>IF(AND(I34&lt;&gt;"",I34&lt;&gt;0),G34/I34,"")</s:f>
        <s:v/>
      </s:c>
      <s:c r="O34" s="287" t="e">
        <s:f>D34/P34</s:f>
        <s:v>#DIV/0!</s:v>
      </s:c>
      <s:c r="P34" s="255">
        <s:f>$I$8*V34*W34/SUMPRODUCT($W$25:$W$55,$V$25:$V$55)</s:f>
        <s:v>0</s:v>
      </s:c>
      <s:c r="Q34" s="288">
        <s:f>$I$9*V34*W34/SUMPRODUCT($W$25:$W$55,$V$25:$V$55)</s:f>
        <s:v>0</s:v>
      </s:c>
      <s:c r="R34" s="256">
        <s:f>IF($I$12="","",Q34/$I$12)</s:f>
        <s:v>0</s:v>
      </s:c>
      <s:c r="S34" s="255" t="str">
        <s:f>IF(W34&lt;&gt;"",IF(D34&lt;&gt;"",D34,($I$8-SUM($S$25:S33))*V34*W34/SUMPRODUCT($W34:$W$55,$V34:$V$55)),"")</s:f>
        <s:v/>
      </s:c>
      <s:c r="T34" s="256" t="str">
        <s:f>IF(W34&lt;&gt;"",IF(E34&lt;&gt;"",E34,($I$9-SUM($T$25:T33))*V34*W34/SUMPRODUCT($W34:$W$55,$V34:$V$55)),"")</s:f>
        <s:v/>
      </s:c>
      <s:c r="U34" s="256" t="str">
        <s:f>IF(W34&lt;&gt;"",IF($I$12&lt;&gt;"",IF(G34&lt;&gt;"",G34,($I$9/$I$12-SUM($U$25:U33))*V34*W34/SUMPRODUCT($W34:$W$55,$V34:$V$55)),""),"")</s:f>
        <s:v/>
      </s:c>
      <s:c r="V34" s="291"/>
      <s:c r="W34" s="291"/>
      <s:c r="X34" s="257"/>
      <s:c r="Y34" s="257"/>
      <s:c r="Z34" s="258"/>
      <s:c r="AA34" s="258"/>
      <s:c r="AB34" s="258"/>
      <s:c r="AC34" s="258"/>
      <s:c r="AD34" s="258"/>
      <s:c r="AE34" s="258"/>
      <s:c r="AF34" s="258"/>
      <s:c r="AG34" s="258"/>
    </s:row>
    <s:row r="35" spans="1:33" s="248" customFormat="1">
      <s:c r="A35" s="249"/>
      <s:c r="B35" s="250"/>
      <s:c r="C35" s="251"/>
      <s:c r="D35" s="246"/>
      <s:c r="E35" s="252"/>
      <s:c r="F35" s="252" t="str">
        <s:f>IF(AND(E35&lt;&gt;"",E35&lt;&gt;0),D35/E35,"")</s:f>
        <s:v/>
      </s:c>
      <s:c r="G35" s="252"/>
      <s:c r="H35" s="252" t="str">
        <s:f>IF(AND(G35&lt;&gt;"",G35&lt;&gt;0),D35/G35,"")</s:f>
        <s:v/>
      </s:c>
      <s:c r="I35" s="252"/>
      <s:c r="J35" s="246" t="str">
        <s:f>IF(AND(G35&lt;&gt;"",G35&lt;&gt;0),E35/G35,"")</s:f>
        <s:v/>
      </s:c>
      <s:c r="K35" s="252"/>
      <s:c r="L35" s="252"/>
      <s:c r="M35" s="252"/>
      <s:c r="N35" s="253" t="str">
        <s:f>IF(AND(I35&lt;&gt;"",I35&lt;&gt;0),G35/I35,"")</s:f>
        <s:v/>
      </s:c>
      <s:c r="O35" s="254" t="e">
        <s:f>D35/P35</s:f>
        <s:v>#DIV/0!</s:v>
      </s:c>
      <s:c r="P35" s="255">
        <s:f>$I$8*V35*W35/SUMPRODUCT($W$25:$W$55,$V$25:$V$55)</s:f>
        <s:v>0</s:v>
      </s:c>
      <s:c r="Q35" s="256">
        <s:f>$I$9*V35*W35/SUMPRODUCT($W$25:$W$55,$V$25:$V$55)</s:f>
        <s:v>0</s:v>
      </s:c>
      <s:c r="R35" s="256">
        <s:f>IF($I$12="","",Q35/$I$12)</s:f>
        <s:v>0</s:v>
      </s:c>
      <s:c r="S35" s="255" t="str">
        <s:f>IF(W35&lt;&gt;"",IF(D35&lt;&gt;"",D35,($I$8-SUM($S$25:S34))*V35*W35/SUMPRODUCT($W35:$W$55,$V35:$V$55)),"")</s:f>
        <s:v/>
      </s:c>
      <s:c r="T35" s="256" t="str">
        <s:f>IF(W35&lt;&gt;"",IF(E35&lt;&gt;"",E35,($I$9-SUM($T$25:T34))*V35*W35/SUMPRODUCT($W35:$W$55,$V35:$V$55)),"")</s:f>
        <s:v/>
      </s:c>
      <s:c r="U35" s="256" t="str">
        <s:f>IF(W35&lt;&gt;"",IF($I$12&lt;&gt;"",IF(G35&lt;&gt;"",G35,($I$9/$I$12-SUM($U$25:U34))*V35*W35/SUMPRODUCT($W35:$W$55,$V35:$V$55)),""),"")</s:f>
        <s:v/>
      </s:c>
      <s:c r="V35" s="291"/>
      <s:c r="W35" s="291"/>
      <s:c r="X35" s="257"/>
      <s:c r="Y35" s="257"/>
      <s:c r="Z35" s="258"/>
      <s:c r="AA35" s="258"/>
      <s:c r="AB35" s="258"/>
      <s:c r="AC35" s="258"/>
      <s:c r="AD35" s="258"/>
      <s:c r="AE35" s="258"/>
      <s:c r="AF35" s="258"/>
      <s:c r="AG35" s="258"/>
    </s:row>
    <s:row r="36" spans="1:33" s="248" customFormat="1">
      <s:c r="A36" s="249"/>
      <s:c r="B36" s="250"/>
      <s:c r="C36" s="251"/>
      <s:c r="D36" s="246"/>
      <s:c r="E36" s="252"/>
      <s:c r="F36" s="252" t="str">
        <s:f>IF(AND(E36&lt;&gt;"",E36&lt;&gt;0),D36/E36,"")</s:f>
        <s:v/>
      </s:c>
      <s:c r="G36" s="252"/>
      <s:c r="H36" s="252" t="str">
        <s:f>IF(AND(G36&lt;&gt;"",G36&lt;&gt;0),D36/G36,"")</s:f>
        <s:v/>
      </s:c>
      <s:c r="I36" s="252"/>
      <s:c r="J36" s="246" t="str">
        <s:f>IF(AND(G36&lt;&gt;"",G36&lt;&gt;0),E36/G36,"")</s:f>
        <s:v/>
      </s:c>
      <s:c r="K36" s="252"/>
      <s:c r="L36" s="252"/>
      <s:c r="M36" s="252"/>
      <s:c r="N36" s="253" t="str">
        <s:f>IF(AND(I36&lt;&gt;"",I36&lt;&gt;0),G36/I36,"")</s:f>
        <s:v/>
      </s:c>
      <s:c r="O36" s="254" t="e">
        <s:f>D36/P36</s:f>
        <s:v>#DIV/0!</s:v>
      </s:c>
      <s:c r="P36" s="255">
        <s:f>$I$8*V36*W36/SUMPRODUCT($W$25:$W$55,$V$25:$V$55)</s:f>
        <s:v>0</s:v>
      </s:c>
      <s:c r="Q36" s="256">
        <s:f>$I$9*V36*W36/SUMPRODUCT($W$25:$W$55,$V$25:$V$55)</s:f>
        <s:v>0</s:v>
      </s:c>
      <s:c r="R36" s="256">
        <s:f>IF($I$12="","",Q36/$I$12)</s:f>
        <s:v>0</s:v>
      </s:c>
      <s:c r="S36" s="255" t="str">
        <s:f>IF(W36&lt;&gt;"",IF(D36&lt;&gt;"",D36,($I$8-SUM($S$25:S35))*V36*W36/SUMPRODUCT($W36:$W$55,$V36:$V$55)),"")</s:f>
        <s:v/>
      </s:c>
      <s:c r="T36" s="256" t="str">
        <s:f>IF(W36&lt;&gt;"",IF(E36&lt;&gt;"",E36,($I$9-SUM($T$25:T35))*V36*W36/SUMPRODUCT($W36:$W$55,$V36:$V$55)),"")</s:f>
        <s:v/>
      </s:c>
      <s:c r="U36" s="256" t="str">
        <s:f>IF(W36&lt;&gt;"",IF($I$12&lt;&gt;"",IF(G36&lt;&gt;"",G36,($I$9/$I$12-SUM($U$25:U35))*V36*W36/SUMPRODUCT($W36:$W$55,$V36:$V$55)),""),"")</s:f>
        <s:v/>
      </s:c>
      <s:c r="V36" s="291"/>
      <s:c r="W36" s="291"/>
      <s:c r="X36" s="257"/>
      <s:c r="Y36" s="257"/>
      <s:c r="Z36" s="260"/>
      <s:c r="AA36" s="258"/>
      <s:c r="AB36" s="258"/>
      <s:c r="AC36" s="258"/>
      <s:c r="AD36" s="258"/>
      <s:c r="AE36" s="258"/>
      <s:c r="AF36" s="258"/>
      <s:c r="AG36" s="258"/>
    </s:row>
    <s:row r="37" spans="1:33" s="248" customFormat="1">
      <s:c r="A37" s="249"/>
      <s:c r="B37" s="250"/>
      <s:c r="C37" s="251"/>
      <s:c r="D37" s="246"/>
      <s:c r="E37" s="252"/>
      <s:c r="F37" s="252" t="str">
        <s:f>IF(AND(E37&lt;&gt;"",E37&lt;&gt;0),D37/E37,"")</s:f>
        <s:v/>
      </s:c>
      <s:c r="G37" s="252"/>
      <s:c r="H37" s="252" t="str">
        <s:f>IF(AND(G37&lt;&gt;"",G37&lt;&gt;0),D37/G37,"")</s:f>
        <s:v/>
      </s:c>
      <s:c r="I37" s="252"/>
      <s:c r="J37" s="246" t="str">
        <s:f>IF(AND(G37&lt;&gt;"",G37&lt;&gt;0),E37/G37,"")</s:f>
        <s:v/>
      </s:c>
      <s:c r="K37" s="252"/>
      <s:c r="L37" s="252"/>
      <s:c r="M37" s="252"/>
      <s:c r="N37" s="253" t="str">
        <s:f>IF(AND(I37&lt;&gt;"",I37&lt;&gt;0),G37/I37,"")</s:f>
        <s:v/>
      </s:c>
      <s:c r="O37" s="254" t="e">
        <s:f>D37/P37</s:f>
        <s:v>#DIV/0!</s:v>
      </s:c>
      <s:c r="P37" s="255">
        <s:f>$I$8*V37*W37/SUMPRODUCT($W$25:$W$55,$V$25:$V$55)</s:f>
        <s:v>0</s:v>
      </s:c>
      <s:c r="Q37" s="256">
        <s:f>$I$9*V37*W37/SUMPRODUCT($W$25:$W$55,$V$25:$V$55)</s:f>
        <s:v>0</s:v>
      </s:c>
      <s:c r="R37" s="256">
        <s:f>IF($I$12="","",Q37/$I$12)</s:f>
        <s:v>0</s:v>
      </s:c>
      <s:c r="S37" s="255" t="str">
        <s:f>IF(W37&lt;&gt;"",IF(D37&lt;&gt;"",D37,($I$8-SUM($S$25:S36))*V37*W37/SUMPRODUCT($W37:$W$55,$V37:$V$55)),"")</s:f>
        <s:v/>
      </s:c>
      <s:c r="T37" s="256" t="str">
        <s:f>IF(W37&lt;&gt;"",IF(E37&lt;&gt;"",E37,($I$9-SUM($T$25:T36))*V37*W37/SUMPRODUCT($W37:$W$55,$V37:$V$55)),"")</s:f>
        <s:v/>
      </s:c>
      <s:c r="U37" s="256" t="str">
        <s:f>IF(W37&lt;&gt;"",IF($I$12&lt;&gt;"",IF(G37&lt;&gt;"",G37,($I$9/$I$12-SUM($U$25:U36))*V37*W37/SUMPRODUCT($W37:$W$55,$V37:$V$55)),""),"")</s:f>
        <s:v/>
      </s:c>
      <s:c r="V37" s="291"/>
      <s:c r="W37" s="291"/>
      <s:c r="X37" s="257"/>
      <s:c r="Y37" s="257"/>
      <s:c r="Z37" s="260"/>
      <s:c r="AA37" s="258"/>
      <s:c r="AB37" s="258"/>
      <s:c r="AC37" s="258"/>
      <s:c r="AD37" s="258"/>
      <s:c r="AE37" s="258"/>
      <s:c r="AF37" s="258"/>
      <s:c r="AG37" s="258"/>
    </s:row>
    <s:row r="38" spans="1:33" s="248" customFormat="1">
      <s:c r="A38" s="328"/>
      <s:c r="B38" s="329"/>
      <s:c r="C38" s="251"/>
      <s:c r="D38" s="330"/>
      <s:c r="E38" s="331"/>
      <s:c r="F38" s="252" t="str">
        <s:f>IF(AND(E38&lt;&gt;"",E38&lt;&gt;0),D38/E38,"")</s:f>
        <s:v/>
      </s:c>
      <s:c r="G38" s="331"/>
      <s:c r="H38" s="252" t="str">
        <s:f>IF(AND(G38&lt;&gt;"",G38&lt;&gt;0),D38/G38,"")</s:f>
        <s:v/>
      </s:c>
      <s:c r="I38" s="331"/>
      <s:c r="J38" s="246" t="str">
        <s:f>IF(AND(G38&lt;&gt;"",G38&lt;&gt;0),E38/G38,"")</s:f>
        <s:v/>
      </s:c>
      <s:c r="K38" s="252"/>
      <s:c r="L38" s="252"/>
      <s:c r="M38" s="252"/>
      <s:c r="N38" s="290" t="str">
        <s:f>IF(AND(I38&lt;&gt;"",I38&lt;&gt;0),G38/I38,"")</s:f>
        <s:v/>
      </s:c>
      <s:c r="O38" s="332" t="e">
        <s:f>D38/P38</s:f>
        <s:v>#DIV/0!</s:v>
      </s:c>
      <s:c r="P38" s="255">
        <s:f>$I$8*V38*W38/SUMPRODUCT($W$25:$W$44,$V$25:$V$44)</s:f>
        <s:v>0</s:v>
      </s:c>
      <s:c r="Q38" s="256">
        <s:f>$I$9*V38*W38/SUMPRODUCT($W$25:$W$44,$V$25:$V$44)</s:f>
        <s:v>0</s:v>
      </s:c>
      <s:c r="R38" s="256">
        <s:f>IF($I$12="","",Q38/$I$12)</s:f>
        <s:v>0</s:v>
      </s:c>
      <s:c r="S38" s="255" t="str">
        <s:f>IF(W38&lt;&gt;"",IF(D38&lt;&gt;"",D38,($I$8-SUM($S$25:S37))*V38*W38/SUMPRODUCT($W38:$W$55,$V38:$V$55)),"")</s:f>
        <s:v/>
      </s:c>
      <s:c r="T38" s="256" t="str">
        <s:f>IF(W38&lt;&gt;"",IF(E38&lt;&gt;"",E38,($I$9-SUM($T$25:T37))*V38*W38/SUMPRODUCT($W38:$W$55,$V38:$V$55)),"")</s:f>
        <s:v/>
      </s:c>
      <s:c r="U38" s="256" t="str">
        <s:f>IF(W38&lt;&gt;"",IF($I$12&lt;&gt;"",IF(G38&lt;&gt;"",G38,($I$9/$I$12-SUM($U$25:U37))*V38*W38/SUMPRODUCT($W38:$W$55,$V38:$V$55)),""),"")</s:f>
        <s:v/>
      </s:c>
      <s:c r="V38" s="291"/>
      <s:c r="W38" s="291"/>
      <s:c r="X38" s="333"/>
      <s:c r="Y38" s="333"/>
      <s:c r="Z38" s="299"/>
    </s:row>
    <s:row r="39" spans="1:33" s="248" customFormat="1">
      <s:c r="A39" s="328"/>
      <s:c r="B39" s="329"/>
      <s:c r="C39" s="251"/>
      <s:c r="D39" s="330"/>
      <s:c r="E39" s="331"/>
      <s:c r="F39" s="252" t="str">
        <s:f>IF(AND(E39&lt;&gt;"",E39&lt;&gt;0),D39/E39,"")</s:f>
        <s:v/>
      </s:c>
      <s:c r="G39" s="331"/>
      <s:c r="H39" s="252" t="str">
        <s:f>IF(AND(G39&lt;&gt;"",G39&lt;&gt;0),D39/G39,"")</s:f>
        <s:v/>
      </s:c>
      <s:c r="I39" s="331"/>
      <s:c r="J39" s="246" t="str">
        <s:f>IF(AND(G39&lt;&gt;"",G39&lt;&gt;0),E39/G39,"")</s:f>
        <s:v/>
      </s:c>
      <s:c r="K39" s="252"/>
      <s:c r="L39" s="252"/>
      <s:c r="M39" s="252"/>
      <s:c r="N39" s="290" t="str">
        <s:f>IF(AND(I39&lt;&gt;"",I39&lt;&gt;0),G39/I39,"")</s:f>
        <s:v/>
      </s:c>
      <s:c r="O39" s="332" t="e">
        <s:f>D39/P39</s:f>
        <s:v>#DIV/0!</s:v>
      </s:c>
      <s:c r="P39" s="255">
        <s:f>$I$8*V39*W39/SUMPRODUCT($W$25:$W$44,$V$25:$V$44)</s:f>
        <s:v>0</s:v>
      </s:c>
      <s:c r="Q39" s="256">
        <s:f>$I$9*V39*W39/SUMPRODUCT($W$25:$W$44,$V$25:$V$44)</s:f>
        <s:v>0</s:v>
      </s:c>
      <s:c r="R39" s="256">
        <s:f>IF($I$12="","",Q39/$I$12)</s:f>
        <s:v>0</s:v>
      </s:c>
      <s:c r="S39" s="255" t="str">
        <s:f>IF(W39&lt;&gt;"",IF(D39&lt;&gt;"",D39,($I$8-SUM($S$25:S38))*V39*W39/SUMPRODUCT($W39:$W$55,$V39:$V$55)),"")</s:f>
        <s:v/>
      </s:c>
      <s:c r="T39" s="256" t="str">
        <s:f>IF(W39&lt;&gt;"",IF(E39&lt;&gt;"",E39,($I$9-SUM($T$25:T38))*V39*W39/SUMPRODUCT($W39:$W$55,$V39:$V$55)),"")</s:f>
        <s:v/>
      </s:c>
      <s:c r="U39" s="256" t="str">
        <s:f>IF(W39&lt;&gt;"",IF($I$12&lt;&gt;"",IF(G39&lt;&gt;"",G39,($I$9/$I$12-SUM($U$25:U38))*V39*W39/SUMPRODUCT($W39:$W$55,$V39:$V$55)),""),"")</s:f>
        <s:v/>
      </s:c>
      <s:c r="V39" s="291"/>
      <s:c r="W39" s="291"/>
      <s:c r="X39" s="333"/>
      <s:c r="Y39" s="333"/>
      <s:c r="Z39" s="299"/>
    </s:row>
    <s:row r="40" spans="1:33" s="248" customFormat="1">
      <s:c r="A40" s="328"/>
      <s:c r="B40" s="329"/>
      <s:c r="C40" s="251"/>
      <s:c r="D40" s="330"/>
      <s:c r="E40" s="331"/>
      <s:c r="F40" s="252" t="str">
        <s:f>IF(AND(E40&lt;&gt;"",E40&lt;&gt;0),D40/E40,"")</s:f>
        <s:v/>
      </s:c>
      <s:c r="G40" s="331"/>
      <s:c r="H40" s="252" t="str">
        <s:f>IF(AND(G40&lt;&gt;"",G40&lt;&gt;0),D40/G40,"")</s:f>
        <s:v/>
      </s:c>
      <s:c r="I40" s="331"/>
      <s:c r="J40" s="246" t="str">
        <s:f>IF(AND(G40&lt;&gt;"",G40&lt;&gt;0),E40/G40,"")</s:f>
        <s:v/>
      </s:c>
      <s:c r="K40" s="252"/>
      <s:c r="L40" s="252"/>
      <s:c r="M40" s="252"/>
      <s:c r="N40" s="290" t="str">
        <s:f>IF(AND(I40&lt;&gt;"",I40&lt;&gt;0),G40/I40,"")</s:f>
        <s:v/>
      </s:c>
      <s:c r="O40" s="332" t="e">
        <s:f>D40/P40</s:f>
        <s:v>#DIV/0!</s:v>
      </s:c>
      <s:c r="P40" s="255">
        <s:f>$I$8*V40*W40/SUMPRODUCT($W$25:$W$47,$V$25:$V$47)</s:f>
        <s:v>0</s:v>
      </s:c>
      <s:c r="Q40" s="256">
        <s:f>$I$9*V40*W40/SUMPRODUCT($W$25:$W$47,$V$25:$V$47)</s:f>
        <s:v>0</s:v>
      </s:c>
      <s:c r="R40" s="256">
        <s:f>IF($I$12="", "", Q40/$I$12)</s:f>
        <s:v>0</s:v>
      </s:c>
      <s:c r="S40" s="255" t="str">
        <s:f>IF(W40&lt;&gt;"",IF(D40&lt;&gt;"",D40,($I$8-SUM($S$25:S39))*V40*W40/SUMPRODUCT($W40:$W$55,$V40:$V$55)),"")</s:f>
        <s:v/>
      </s:c>
      <s:c r="T40" s="256" t="str">
        <s:f>IF(W40&lt;&gt;"",IF(E40&lt;&gt;"",E40,($I$9-SUM($T$25:T39))*V40*W40/SUMPRODUCT($W40:$W$55,$V40:$V$55)),"")</s:f>
        <s:v/>
      </s:c>
      <s:c r="U40" s="256" t="str">
        <s:f>IF(W40&lt;&gt;"",IF($I$12&lt;&gt;"",IF(G40&lt;&gt;"",G40,($I$9/$I$12-SUM($U$25:U39))*V40*W40/SUMPRODUCT($W40:$W$55,$V40:$V$55)),""),"")</s:f>
        <s:v/>
      </s:c>
      <s:c r="V40" s="291"/>
      <s:c r="W40" s="291"/>
      <s:c r="X40" s="333"/>
      <s:c r="Y40" s="333"/>
      <s:c r="Z40" s="299"/>
    </s:row>
    <s:row r="41" spans="1:33" s="248" customFormat="1">
      <s:c r="A41" s="328"/>
      <s:c r="B41" s="329"/>
      <s:c r="C41" s="251"/>
      <s:c r="D41" s="330"/>
      <s:c r="E41" s="331"/>
      <s:c r="F41" s="252" t="str">
        <s:f>IF(AND(E41&lt;&gt;"",E41&lt;&gt;0),D41/E41,"")</s:f>
        <s:v/>
      </s:c>
      <s:c r="G41" s="331"/>
      <s:c r="H41" s="252" t="str">
        <s:f>IF(AND(G41&lt;&gt;"",G41&lt;&gt;0),D41/G41,"")</s:f>
        <s:v/>
      </s:c>
      <s:c r="I41" s="331"/>
      <s:c r="J41" s="246" t="str">
        <s:f>IF(AND(G41&lt;&gt;"",G41&lt;&gt;0),E41/G41,"")</s:f>
        <s:v/>
      </s:c>
      <s:c r="K41" s="252"/>
      <s:c r="L41" s="252"/>
      <s:c r="M41" s="252"/>
      <s:c r="N41" s="290" t="str">
        <s:f>IF(AND(I41&lt;&gt;"",I41&lt;&gt;0),G41/I41,"")</s:f>
        <s:v/>
      </s:c>
      <s:c r="O41" s="332" t="e">
        <s:f>D41/P41</s:f>
        <s:v>#DIV/0!</s:v>
      </s:c>
      <s:c r="P41" s="255">
        <s:f>$I$8*V41*W41/SUMPRODUCT($W$25:$W$47,$V$25:$V$47)</s:f>
        <s:v>0</s:v>
      </s:c>
      <s:c r="Q41" s="256">
        <s:f>$I$9*V41*W41/SUMPRODUCT($W$25:$W$47,$V$25:$V$47)</s:f>
        <s:v>0</s:v>
      </s:c>
      <s:c r="R41" s="256">
        <s:f>IF($I$12="", "", Q41/$I$12)</s:f>
        <s:v>0</s:v>
      </s:c>
      <s:c r="S41" s="255" t="str">
        <s:f>IF(W41&lt;&gt;"",IF(D41&lt;&gt;"",D41,($I$8-SUM($S$25:S40))*V41*W41/SUMPRODUCT($W41:$W$55,$V41:$V$55)),"")</s:f>
        <s:v/>
      </s:c>
      <s:c r="T41" s="256" t="str">
        <s:f>IF(W41&lt;&gt;"",IF(E41&lt;&gt;"",E41,($I$9-SUM($T$25:T40))*V41*W41/SUMPRODUCT($W41:$W$55,$V41:$V$55)),"")</s:f>
        <s:v/>
      </s:c>
      <s:c r="U41" s="256" t="str">
        <s:f>IF(W41&lt;&gt;"",IF($I$12&lt;&gt;"",IF(G41&lt;&gt;"",G41,($I$9/$I$12-SUM($U$25:U40))*V41*W41/SUMPRODUCT($W41:$W$55,$V41:$V$55)),""),"")</s:f>
        <s:v/>
      </s:c>
      <s:c r="V41" s="291"/>
      <s:c r="W41" s="291"/>
      <s:c r="X41" s="333"/>
      <s:c r="Y41" s="333"/>
      <s:c r="Z41" s="299"/>
    </s:row>
    <s:row r="42" spans="1:33" s="248" customFormat="1">
      <s:c r="A42" s="328"/>
      <s:c r="B42" s="329"/>
      <s:c r="C42" s="251"/>
      <s:c r="D42" s="330"/>
      <s:c r="E42" s="331"/>
      <s:c r="F42" s="252" t="str">
        <s:f>IF(AND(E42&lt;&gt;"",E42&lt;&gt;0),D42/E42,"")</s:f>
        <s:v/>
      </s:c>
      <s:c r="G42" s="331"/>
      <s:c r="H42" s="252" t="str">
        <s:f>IF(AND(G42&lt;&gt;"",G42&lt;&gt;0),D42/G42,"")</s:f>
        <s:v/>
      </s:c>
      <s:c r="I42" s="331"/>
      <s:c r="J42" s="246" t="str">
        <s:f>IF(AND(G42&lt;&gt;"",G42&lt;&gt;0),E42/G42,"")</s:f>
        <s:v/>
      </s:c>
      <s:c r="K42" s="252"/>
      <s:c r="L42" s="252"/>
      <s:c r="M42" s="252"/>
      <s:c r="N42" s="290" t="str">
        <s:f>IF(AND(I42&lt;&gt;"",I42&lt;&gt;0),G42/I42,"")</s:f>
        <s:v/>
      </s:c>
      <s:c r="O42" s="332" t="e">
        <s:f>D42/P42</s:f>
        <s:v>#DIV/0!</s:v>
      </s:c>
      <s:c r="P42" s="255">
        <s:f>$I$8*V42*W42/SUMPRODUCT($W$25:$W$47,$V$25:$V$47)</s:f>
        <s:v>0</s:v>
      </s:c>
      <s:c r="Q42" s="256">
        <s:f>$I$9*V42*W42/SUMPRODUCT($W$25:$W$47,$V$25:$V$47)</s:f>
        <s:v>0</s:v>
      </s:c>
      <s:c r="R42" s="256">
        <s:f>IF($I$12="", "", Q42/$I$12)</s:f>
        <s:v>0</s:v>
      </s:c>
      <s:c r="S42" s="255" t="str">
        <s:f>IF(W42&lt;&gt;"",IF(D42&lt;&gt;"",D42,($I$8-SUM($S$25:S41))*V42*W42/SUMPRODUCT($W42:$W$55,$V42:$V$55)),"")</s:f>
        <s:v/>
      </s:c>
      <s:c r="T42" s="256" t="str">
        <s:f>IF(W42&lt;&gt;"",IF(E42&lt;&gt;"",E42,($I$9-SUM($T$25:T41))*V42*W42/SUMPRODUCT($W42:$W$55,$V42:$V$55)),"")</s:f>
        <s:v/>
      </s:c>
      <s:c r="U42" s="256" t="str">
        <s:f>IF(W42&lt;&gt;"",IF($I$12&lt;&gt;"",IF(G42&lt;&gt;"",G42,($I$9/$I$12-SUM($U$25:U41))*V42*W42/SUMPRODUCT($W42:$W$55,$V42:$V$55)),""),"")</s:f>
        <s:v/>
      </s:c>
      <s:c r="V42" s="291"/>
      <s:c r="W42" s="291"/>
      <s:c r="X42" s="333"/>
      <s:c r="Y42" s="333"/>
      <s:c r="Z42" s="299"/>
    </s:row>
    <s:row r="43" spans="1:33" s="248" customFormat="1" ht="15" customHeight="1">
      <s:c r="A43" s="328"/>
      <s:c r="B43" s="329"/>
      <s:c r="C43" s="334"/>
      <s:c r="D43" s="330"/>
      <s:c r="E43" s="331"/>
      <s:c r="F43" s="252" t="str">
        <s:f>IF(AND(E43&lt;&gt;"",E43&lt;&gt;0),D43/E43,"")</s:f>
        <s:v/>
      </s:c>
      <s:c r="G43" s="331"/>
      <s:c r="H43" s="252" t="str">
        <s:f>IF(AND(G43&lt;&gt;"",G43&lt;&gt;0),D43/G43,"")</s:f>
        <s:v/>
      </s:c>
      <s:c r="I43" s="331"/>
      <s:c r="J43" s="246" t="str">
        <s:f>IF(AND(G43&lt;&gt;"",G43&lt;&gt;0),E43/G43,"")</s:f>
        <s:v/>
      </s:c>
      <s:c r="K43" s="252"/>
      <s:c r="L43" s="252"/>
      <s:c r="M43" s="252"/>
      <s:c r="N43" s="290" t="str">
        <s:f>IF(AND(I43&lt;&gt;"",I43&lt;&gt;0),G43/I43,"")</s:f>
        <s:v/>
      </s:c>
      <s:c r="O43" s="332" t="e">
        <s:f>D43/P43</s:f>
        <s:v>#DIV/0!</s:v>
      </s:c>
      <s:c r="P43" s="255">
        <s:f>$I$8*V43*W43/SUMPRODUCT($W$25:$W$44, $V$25:$V$44)</s:f>
        <s:v>0</s:v>
      </s:c>
      <s:c r="Q43" s="256">
        <s:f>$I$9*V43*W43/SUMPRODUCT($W$25:$W$44, $V$25:$V$44)</s:f>
        <s:v>0</s:v>
      </s:c>
      <s:c r="R43" s="256">
        <s:f>IF($I$12="", "", Q43/$I$12)</s:f>
        <s:v>0</s:v>
      </s:c>
      <s:c r="S43" s="255" t="str">
        <s:f>IF(W43&lt;&gt;"",IF(D43&lt;&gt;"",D43,($I$8-SUM($S$25:S42))*V43*W43/SUMPRODUCT($W43:$W$55,$V43:$V$55)),"")</s:f>
        <s:v/>
      </s:c>
      <s:c r="T43" s="256" t="str">
        <s:f>IF(W43&lt;&gt;"",IF(E43&lt;&gt;"",E43,($I$9-SUM($T$25:T42))*V43*W43/SUMPRODUCT($W43:$W$55,$V43:$V$55)),"")</s:f>
        <s:v/>
      </s:c>
      <s:c r="U43" s="256" t="str">
        <s:f>IF(W43&lt;&gt;"",IF($I$12&lt;&gt;"",IF(G43&lt;&gt;"",G43,($I$9/$I$12-SUM($U$25:U42))*V43*W43/SUMPRODUCT($W43:$W$55,$V43:$V$55)),""),"")</s:f>
        <s:v/>
      </s:c>
      <s:c r="V43" s="291"/>
      <s:c r="W43" s="291"/>
      <s:c r="X43" s="333"/>
      <s:c r="Y43" s="333"/>
      <s:c r="Z43" s="299"/>
    </s:row>
    <s:row r="44" spans="1:33" s="248" customFormat="1">
      <s:c r="A44" s="328"/>
      <s:c r="B44" s="329"/>
      <s:c r="C44" s="251"/>
      <s:c r="D44" s="330"/>
      <s:c r="E44" s="331"/>
      <s:c r="F44" s="252" t="str">
        <s:f>IF(AND(E44&lt;&gt;"",E44&lt;&gt;0),D44/E44,"")</s:f>
        <s:v/>
      </s:c>
      <s:c r="G44" s="331"/>
      <s:c r="H44" s="252" t="str">
        <s:f>IF(AND(G44&lt;&gt;"",G44&lt;&gt;0),D44/G44,"")</s:f>
        <s:v/>
      </s:c>
      <s:c r="I44" s="331"/>
      <s:c r="J44" s="246" t="str">
        <s:f>IF(AND(G44&lt;&gt;"",G44&lt;&gt;0),E44/G44,"")</s:f>
        <s:v/>
      </s:c>
      <s:c r="K44" s="252"/>
      <s:c r="L44" s="252"/>
      <s:c r="M44" s="252"/>
      <s:c r="N44" s="290" t="str">
        <s:f>IF(AND(I44&lt;&gt;"",I44&lt;&gt;0),G44/I44,"")</s:f>
        <s:v/>
      </s:c>
      <s:c r="O44" s="332" t="e">
        <s:f>D44/P44</s:f>
        <s:v>#DIV/0!</s:v>
      </s:c>
      <s:c r="P44" s="255">
        <s:f>$I$8*V44*W44/SUMPRODUCT($W$25:$W$44, $V$25:$V$44)</s:f>
        <s:v>0</s:v>
      </s:c>
      <s:c r="Q44" s="256">
        <s:f>$I$9*V44*W44/SUMPRODUCT($W$25:$W$44, $V$25:$V$44)</s:f>
        <s:v>0</s:v>
      </s:c>
      <s:c r="R44" s="256">
        <s:f>IF($I$12="", "", Q44/$I$12)</s:f>
        <s:v>0</s:v>
      </s:c>
      <s:c r="S44" s="255" t="str">
        <s:f>IF(W44&lt;&gt;"",IF(D44&lt;&gt;"",D44,($I$8-SUM($S$25:S43))*V44*W44/SUMPRODUCT($W44:$W$55,$V44:$V$55)),"")</s:f>
        <s:v/>
      </s:c>
      <s:c r="T44" s="256" t="str">
        <s:f>IF(W44&lt;&gt;"",IF(E44&lt;&gt;"",E44,($I$9-SUM($T$25:T43))*V44*W44/SUMPRODUCT($W44:$W$55,$V44:$V$55)),"")</s:f>
        <s:v/>
      </s:c>
      <s:c r="U44" s="256" t="str">
        <s:f>IF(W44&lt;&gt;"",IF($I$12&lt;&gt;"",IF(G44&lt;&gt;"",G44,($I$9/$I$12-SUM($U$25:U43))*V44*W44/SUMPRODUCT($W44:$W$55,$V44:$V$55)),""),"")</s:f>
        <s:v/>
      </s:c>
      <s:c r="V44" s="291"/>
      <s:c r="W44" s="291"/>
      <s:c r="X44" s="333"/>
      <s:c r="Y44" s="333"/>
      <s:c r="Z44" s="299"/>
    </s:row>
    <s:row r="45" spans="1:33" s="248" customFormat="1">
      <s:c r="A45" s="328"/>
      <s:c r="B45" s="250"/>
      <s:c r="C45" s="251"/>
      <s:c r="D45" s="330"/>
      <s:c r="E45" s="331"/>
      <s:c r="F45" s="252" t="str">
        <s:f>IF(AND(E45&lt;&gt;"",E45&lt;&gt;0),D45/E45,"")</s:f>
        <s:v/>
      </s:c>
      <s:c r="G45" s="331"/>
      <s:c r="H45" s="252" t="str">
        <s:f>IF(AND(G45&lt;&gt;"",G45&lt;&gt;0),D45/G45,"")</s:f>
        <s:v/>
      </s:c>
      <s:c r="I45" s="331"/>
      <s:c r="J45" s="246" t="str">
        <s:f>IF(AND(G45&lt;&gt;"",G45&lt;&gt;0),E45/G45,"")</s:f>
        <s:v/>
      </s:c>
      <s:c r="K45" s="252"/>
      <s:c r="L45" s="252"/>
      <s:c r="M45" s="252"/>
      <s:c r="N45" s="290" t="str">
        <s:f>IF(AND(I45&lt;&gt;"",I45&lt;&gt;0),G45/I45,"")</s:f>
        <s:v/>
      </s:c>
      <s:c r="O45" s="332" t="e">
        <s:f>D45/P45</s:f>
        <s:v>#DIV/0!</s:v>
      </s:c>
      <s:c r="P45" s="255">
        <s:f>$I$8*V45*W45/SUMPRODUCT($W$25:$W$44, $V$25:$V$44)</s:f>
        <s:v>0</s:v>
      </s:c>
      <s:c r="Q45" s="256">
        <s:f>$I$9*V45*W45/SUMPRODUCT($W$25:$W$44, $V$25:$V$44)</s:f>
        <s:v>0</s:v>
      </s:c>
      <s:c r="R45" s="256">
        <s:f>IF($I$12="", "", Q45/$I$12)</s:f>
        <s:v>0</s:v>
      </s:c>
      <s:c r="S45" s="255" t="str">
        <s:f>IF(W45&lt;&gt;"",IF(D45&lt;&gt;"",D45,($I$8-SUM($S$25:S44))*V45*W45/SUMPRODUCT($W45:$W$55,$V45:$V$55)),"")</s:f>
        <s:v/>
      </s:c>
      <s:c r="T45" s="256" t="str">
        <s:f>IF(W45&lt;&gt;"",IF(E45&lt;&gt;"",E45,($I$9-SUM($T$25:T44))*V45*W45/SUMPRODUCT($W45:$W$55,$V45:$V$55)),"")</s:f>
        <s:v/>
      </s:c>
      <s:c r="U45" s="256" t="str">
        <s:f>IF(W45&lt;&gt;"",IF($I$12&lt;&gt;"",IF(G45&lt;&gt;"",G45,($I$9/$I$12-SUM($U$25:U44))*V45*W45/SUMPRODUCT($W45:$W$55,$V45:$V$55)),""),"")</s:f>
        <s:v/>
      </s:c>
      <s:c r="V45" s="291"/>
      <s:c r="W45" s="291"/>
      <s:c r="X45" s="333"/>
      <s:c r="Y45" s="333"/>
      <s:c r="Z45" s="299"/>
    </s:row>
    <s:row r="46" spans="1:33" customFormat="1">
      <s:c r="A46" s="335"/>
      <s:c r="B46" s="114"/>
      <s:c r="C46" s="115"/>
      <s:c r="D46" s="336"/>
      <s:c r="E46" s="337"/>
      <s:c r="F46" s="117" t="str">
        <s:f>IF(AND(E46&lt;&gt;"",E46&lt;&gt;0),D46/E46,"")</s:f>
        <s:v/>
      </s:c>
      <s:c r="G46" s="337"/>
      <s:c r="H46" s="117" t="str">
        <s:f>IF(AND(G46&lt;&gt;"",G46&lt;&gt;0),D46/G46,"")</s:f>
        <s:v/>
      </s:c>
      <s:c r="I46" s="117"/>
      <s:c r="J46" s="116" t="str">
        <s:f>IF(AND(G46&lt;&gt;"",G46&lt;&gt;0),E46/G46,"")</s:f>
        <s:v/>
      </s:c>
      <s:c r="K46" s="117"/>
      <s:c r="L46" s="117"/>
      <s:c r="M46" s="117"/>
      <s:c r="N46" s="293" t="str">
        <s:f>IF(AND(I46&lt;&gt;"",I46&lt;&gt;0),G46/I46,"")</s:f>
        <s:v/>
      </s:c>
      <s:c r="O46" s="338" t="e">
        <s:f>D46/P46</s:f>
        <s:v>#DIV/0!</s:v>
      </s:c>
      <s:c r="P46" s="120">
        <s:f>$I$8*V46*W46/SUMPRODUCT($W$25:$W$44, $V$25:$V$44)</s:f>
        <s:v>0</s:v>
      </s:c>
      <s:c r="Q46" s="121">
        <s:f>$I$9*V46*W46/SUMPRODUCT($W$25:$W$44, $V$25:$V$44)</s:f>
        <s:v>0</s:v>
      </s:c>
      <s:c r="R46" s="121">
        <s:f>IF($I$12="", "", Q46/$I$12)</s:f>
        <s:v>0</s:v>
      </s:c>
      <s:c r="S46" s="120" t="str">
        <s:f>IF(W46&lt;&gt;"",IF(D46&lt;&gt;"",D46,($I$8-SUM($S$25:S45))*V46*W46/SUMPRODUCT($W46:$W$55,$V46:$V$55)),"")</s:f>
        <s:v/>
      </s:c>
      <s:c r="T46" s="121" t="str">
        <s:f>IF(W46&lt;&gt;"",IF(E46&lt;&gt;"",E46,($I$9-SUM($T$25:T45))*V46*W46/SUMPRODUCT($W46:$W$55,$V46:$V$55)),"")</s:f>
        <s:v/>
      </s:c>
      <s:c r="U46" s="121" t="str">
        <s:f>IF(W46&lt;&gt;"",IF($I$12&lt;&gt;"",IF(G46&lt;&gt;"",G46,($I$9/$I$12-SUM($U$25:U45))*V46*W46/SUMPRODUCT($W46:$W$55,$V46:$V$55)),""),"")</s:f>
        <s:v/>
      </s:c>
      <s:c r="V46" s="294"/>
      <s:c r="W46" s="294"/>
      <s:c r="X46" s="339"/>
      <s:c r="Y46" s="340"/>
    </s:row>
    <s:row r="47" spans="1:33" customFormat="1" ht="15.25" customHeight="1">
      <s:c r="A47" s="113"/>
      <s:c r="B47" s="114"/>
      <s:c r="C47" s="341"/>
      <s:c r="D47" s="116"/>
      <s:c r="E47" s="117"/>
      <s:c r="F47" s="117" t="str">
        <s:f>IF(AND(E47&lt;&gt;"",E47&lt;&gt;0),D47/E47,"")</s:f>
        <s:v/>
      </s:c>
      <s:c r="G47" s="117"/>
      <s:c r="H47" s="117" t="str">
        <s:f>IF(AND(G47&lt;&gt;"",G47&lt;&gt;0),D47/G47,"")</s:f>
        <s:v/>
      </s:c>
      <s:c r="I47" s="117"/>
      <s:c r="J47" s="116" t="str">
        <s:f>IF(AND(G47&lt;&gt;"",G47&lt;&gt;0),E47/G47,"")</s:f>
        <s:v/>
      </s:c>
      <s:c r="K47" s="117"/>
      <s:c r="L47" s="117"/>
      <s:c r="M47" s="117"/>
      <s:c r="N47" s="118" t="str">
        <s:f>IF(AND(I47&lt;&gt;"",I47&lt;&gt;0),G47/I47,"")</s:f>
        <s:v/>
      </s:c>
      <s:c r="O47" s="119" t="e">
        <s:f>D47/P47</s:f>
        <s:v>#DIV/0!</s:v>
      </s:c>
      <s:c r="P47" s="120">
        <s:f>$I$8*V47*W47/SUMPRODUCT($W$25:$W$55,$V$25:$V$55)</s:f>
        <s:v>0</s:v>
      </s:c>
      <s:c r="Q47" s="121">
        <s:f>$I$9*V47*W47/SUMPRODUCT($W$25:$W$55,$V$25:$V$55)</s:f>
        <s:v>0</s:v>
      </s:c>
      <s:c r="R47" s="121">
        <s:f>IF($I$12="","",Q47/$I$12)</s:f>
        <s:v>0</s:v>
      </s:c>
      <s:c r="S47" s="120" t="str">
        <s:f>IF(W47&lt;&gt;"",IF(D47&lt;&gt;"",D47,($I$8-SUM($S$25:S46))*V47*W47/SUMPRODUCT($W47:$W$55,$V47:$V$55)),"")</s:f>
        <s:v/>
      </s:c>
      <s:c r="T47" s="121" t="str">
        <s:f>IF(W47&lt;&gt;"",IF(E47&lt;&gt;"",E47,($I$9-SUM($T$25:T46))*V47*W47/SUMPRODUCT($W47:$W$55,$V47:$V$55)),"")</s:f>
        <s:v/>
      </s:c>
      <s:c r="U47" s="121" t="str">
        <s:f>IF(W47&lt;&gt;"",IF($I$12&lt;&gt;"",IF(G47&lt;&gt;"",G47,($I$9/$I$12-SUM($U$25:U46))*V47*W47/SUMPRODUCT($W47:$W$55,$V47:$V$55)),""),"")</s:f>
        <s:v/>
      </s:c>
      <s:c r="V47" s="294"/>
      <s:c r="W47" s="294"/>
      <s:c r="X47" s="124"/>
      <s:c r="Y47" s="124"/>
      <s:c r="Z47" s="2"/>
      <s:c r="AA47" s="2"/>
      <s:c r="AB47" s="2"/>
      <s:c r="AC47" s="2"/>
      <s:c r="AD47" s="2"/>
      <s:c r="AE47" s="2"/>
      <s:c r="AF47" s="2"/>
      <s:c r="AG47" s="2"/>
    </s:row>
    <s:row r="48" spans="1:33" ht="15" customHeight="1">
      <s:c r="B48" s="683" t="s">
        <s:v>61</s:v>
      </s:c>
      <s:c r="C48" s="683"/>
      <s:c r="D48" s="342">
        <s:f>SUM(D25:D47)</s:f>
        <s:v>0</s:v>
      </s:c>
      <s:c r="E48" s="342">
        <s:f>SUM(E25:E47)</s:f>
        <s:v>0</s:v>
      </s:c>
      <s:c r="F48" s="342" t="str">
        <s:f>IF(AND(E48&lt;&gt;"",E48&lt;&gt;0),D48/E48,"")</s:f>
        <s:v/>
      </s:c>
      <s:c r="G48" s="342">
        <s:f>SUM(G25:G47)</s:f>
        <s:v>0</s:v>
      </s:c>
      <s:c r="H48" s="342" t="str">
        <s:f>IF(AND(G48&lt;&gt;"",G48&lt;&gt;0),D48/G48,"")</s:f>
        <s:v/>
      </s:c>
      <s:c r="I48" s="342">
        <s:f>SUM(I25:I47)</s:f>
        <s:v>0</s:v>
      </s:c>
      <s:c r="J48" s="343" t="str">
        <s:f>IF(AND(G48&lt;&gt;"",G48&lt;&gt;0),E48/G48,"")</s:f>
        <s:v/>
      </s:c>
      <s:c r="K48" s="342">
        <s:f>SUM(K25:K47)</s:f>
        <s:v>0</s:v>
      </s:c>
      <s:c r="L48" s="342">
        <s:f>SUM(L25:L47)</s:f>
        <s:v>0</s:v>
      </s:c>
      <s:c r="M48" s="342">
        <s:f>SUM(M25:M47)</s:f>
        <s:v>0</s:v>
      </s:c>
      <s:c r="N48" s="344" t="str">
        <s:f>IF(AND(I48&lt;&gt;"",I48&lt;&gt;0),G48/I48,"")</s:f>
        <s:v/>
      </s:c>
      <s:c r="O48" s="345" t="e">
        <s:f>D48/P48</s:f>
        <s:v>#DIV/0!</s:v>
      </s:c>
      <s:c r="P48" s="346">
        <s:f>SUM(P25:P47)</s:f>
        <s:v>0</s:v>
      </s:c>
      <s:c r="Q48" s="346">
        <s:f>SUM(Q25:Q47)</s:f>
        <s:v>0</s:v>
      </s:c>
      <s:c r="R48" s="346">
        <s:f>SUM(R25:R47)</s:f>
        <s:v>0</s:v>
      </s:c>
      <s:c r="S48" s="346" t="e">
        <s:f ca="1">SUM(S25:S47)</s:f>
        <s:v>#REF!</s:v>
      </s:c>
      <s:c r="T48" s="346" t="e">
        <s:f ca="1">SUM(T25:T47)</s:f>
        <s:v>#REF!</s:v>
      </s:c>
      <s:c r="U48" s="346" t="e">
        <s:f ca="1">SUM(U25:U47)</s:f>
        <s:v>#REF!</s:v>
      </s:c>
      <s:c r="V48" s="347"/>
      <s:c r="W48" s="347"/>
    </s:row>
    <s:row r="49">
      <s:c r="B49" s="131"/>
      <s:c r="C49" s="132"/>
      <s:c r="D49" s="133">
        <s:f>SUMIF(D25:D47,"",P25:P47)+D48</s:f>
        <s:v>0</s:v>
      </s:c>
      <s:c r="E49" s="348"/>
      <s:c r="F49" s="132"/>
      <s:c r="G49" s="132"/>
      <s:c r="H49" s="135"/>
      <s:c r="I49" s="243"/>
      <s:c r="J49" s="135"/>
      <s:c r="L49" s="137"/>
      <s:c r="M49" s="348"/>
      <s:c r="N49" s="137"/>
      <s:c r="O49" s="137"/>
      <s:c r="P49" s="137"/>
      <s:c r="Q49" s="349"/>
    </s:row>
    <s:row r="50">
      <s:c r="D50" s="235"/>
    </s:row>
    <s:row r="52">
      <s:c r="D52" s="235"/>
    </s:row>
    <s:row r="53">
      <s:c r="D53" s="235"/>
    </s:row>
  </s:sheetData>
  <s:mergeCells count="28">
    <s:mergeCell ref="B1:C1"/>
    <s:mergeCell ref="Q1:T4"/>
    <s:mergeCell ref="B2:C2"/>
    <s:mergeCell ref="J2:P2"/>
    <s:mergeCell ref="J3:N4"/>
    <s:mergeCell ref="C4:D4"/>
    <s:mergeCell ref="J5:N5"/>
    <s:mergeCell ref="F7:H7"/>
    <s:mergeCell ref="P7:Q7"/>
    <s:mergeCell ref="F8:H8"/>
    <s:mergeCell ref="F9:H9"/>
    <s:mergeCell ref="F10:H10"/>
    <s:mergeCell ref="S10:T11"/>
    <s:mergeCell ref="F11:H11"/>
    <s:mergeCell ref="F12:H12"/>
    <s:mergeCell ref="F13:H13"/>
    <s:mergeCell ref="F14:H14"/>
    <s:mergeCell ref="F15:H15"/>
    <s:mergeCell ref="F16:H16"/>
    <s:mergeCell ref="S16:T17"/>
    <s:mergeCell ref="F17:H17"/>
    <s:mergeCell ref="P22:W22"/>
    <s:mergeCell ref="B48:C48"/>
    <s:mergeCell ref="F18:H18"/>
    <s:mergeCell ref="F19:H19"/>
    <s:mergeCell ref="F20:H20"/>
    <s:mergeCell ref="B22:N22"/>
    <s:mergeCell ref="O22:O24"/>
  </s:mergeCells>
  <s:conditionalFormatting sqref="J16">
    <s:cfRule type="cellIs" dxfId="49" priority="274" operator="lessThan">
      <s:formula>0</s:formula>
    </s:cfRule>
    <s:cfRule type="cellIs" dxfId="48" priority="275" operator="greaterThan">
      <s:formula>0</s:formula>
    </s:cfRule>
  </s:conditionalFormatting>
  <s:conditionalFormatting sqref="J25">
    <s:cfRule type="cellIs" dxfId="47" priority="10" operator="lessThan">
      <s:formula>$I$12</s:formula>
    </s:cfRule>
    <s:cfRule type="cellIs" dxfId="46" priority="11" operator="greaterThan">
      <s:formula>$I$12</s:formula>
    </s:cfRule>
  </s:conditionalFormatting>
  <s:conditionalFormatting sqref="J25:J28">
    <s:cfRule type="cellIs" dxfId="45" priority="12" operator="lessThan">
      <s:formula>$I$12</s:formula>
    </s:cfRule>
  </s:conditionalFormatting>
  <s:conditionalFormatting sqref="J26:J28">
    <s:cfRule type="cellIs" dxfId="44" priority="23" operator="greaterThan">
      <s:formula>$I$12</s:formula>
    </s:cfRule>
  </s:conditionalFormatting>
  <s:conditionalFormatting sqref="J29:J33">
    <s:cfRule type="cellIs" dxfId="43" priority="105" operator="greaterThan">
      <s:formula>$I$12</s:formula>
    </s:cfRule>
  </s:conditionalFormatting>
  <s:conditionalFormatting sqref="J29:J34">
    <s:cfRule type="cellIs" dxfId="42" priority="90" operator="lessThan">
      <s:formula>$I$12</s:formula>
    </s:cfRule>
  </s:conditionalFormatting>
  <s:conditionalFormatting sqref="J30">
    <s:cfRule type="cellIs" dxfId="41" priority="279" operator="lessThan">
      <s:formula>$I$12</s:formula>
    </s:cfRule>
  </s:conditionalFormatting>
  <s:conditionalFormatting sqref="J34:J47">
    <s:cfRule type="cellIs" dxfId="40" priority="88" operator="lessThan">
      <s:formula>$I$12</s:formula>
    </s:cfRule>
    <s:cfRule type="cellIs" dxfId="39" priority="89" operator="greaterThan">
      <s:formula>$I$12</s:formula>
    </s:cfRule>
  </s:conditionalFormatting>
  <s:conditionalFormatting sqref="K10:K12 K15">
    <s:cfRule type="cellIs" dxfId="38" priority="272" operator="lessThan">
      <s:formula>1</s:formula>
    </s:cfRule>
    <s:cfRule type="cellIs" dxfId="37" priority="273" operator="greaterThan">
      <s:formula>1</s:formula>
    </s:cfRule>
  </s:conditionalFormatting>
  <s:conditionalFormatting sqref="M8:M15">
    <s:cfRule type="cellIs" dxfId="36" priority="271" operator="greaterThan">
      <s:formula>1</s:formula>
    </s:cfRule>
    <s:cfRule type="cellIs" dxfId="35" priority="277" operator="lessThan">
      <s:formula>1</s:formula>
    </s:cfRule>
  </s:conditionalFormatting>
  <s:conditionalFormatting sqref="N25:N28">
    <s:cfRule type="cellIs" dxfId="34" priority="7" operator="between">
      <s:formula>0.2</s:formula>
      <s:formula>0.25</s:formula>
    </s:cfRule>
    <s:cfRule type="cellIs" dxfId="33" priority="8" operator="greaterThanOrEqual">
      <s:formula>0.25</s:formula>
    </s:cfRule>
  </s:conditionalFormatting>
  <s:conditionalFormatting sqref="N25:N47">
    <s:cfRule type="cellIs" dxfId="32" priority="9" operator="lessThan">
      <s:formula>0.2</s:formula>
    </s:cfRule>
  </s:conditionalFormatting>
  <s:conditionalFormatting sqref="N29:N33">
    <s:cfRule type="cellIs" dxfId="31" priority="102" operator="greaterThanOrEqual">
      <s:formula>0.25</s:formula>
    </s:cfRule>
  </s:conditionalFormatting>
  <s:conditionalFormatting sqref="N29:N34">
    <s:cfRule type="cellIs" dxfId="30" priority="91" operator="between">
      <s:formula>0.2</s:formula>
      <s:formula>0.25</s:formula>
    </s:cfRule>
  </s:conditionalFormatting>
  <s:conditionalFormatting sqref="N30">
    <s:cfRule type="cellIs" dxfId="29" priority="282" operator="between">
      <s:formula>0.2</s:formula>
      <s:formula>0.25</s:formula>
    </s:cfRule>
  </s:conditionalFormatting>
  <s:conditionalFormatting sqref="N34:N47">
    <s:cfRule type="cellIs" dxfId="28" priority="85" operator="between">
      <s:formula>0.2</s:formula>
      <s:formula>0.25</s:formula>
    </s:cfRule>
    <s:cfRule type="cellIs" dxfId="27" priority="86" operator="greaterThanOrEqual">
      <s:formula>0.25</s:formula>
    </s:cfRule>
  </s:conditionalFormatting>
  <s:conditionalFormatting sqref="O25:O28">
    <s:cfRule type="cellIs" dxfId="26" priority="1" operator="between">
      <s:formula>0.9001</s:formula>
      <s:formula>0.9999</s:formula>
    </s:cfRule>
    <s:cfRule type="cellIs" dxfId="25" priority="2" operator="lessThan">
      <s:formula>0.9</s:formula>
    </s:cfRule>
    <s:cfRule type="cellIs" dxfId="24" priority="5" operator="between">
      <s:formula>0.85</s:formula>
      <s:formula>1</s:formula>
    </s:cfRule>
    <s:cfRule type="cellIs" dxfId="23" priority="6" operator="between">
      <s:formula>0.01</s:formula>
      <s:formula>0.99</s:formula>
    </s:cfRule>
  </s:conditionalFormatting>
  <s:conditionalFormatting sqref="O25:O47">
    <s:cfRule type="cellIs" dxfId="22" priority="3" operator="greaterThan">
      <s:formula>1</s:formula>
    </s:cfRule>
    <s:cfRule type="cellIs" dxfId="21" priority="4" operator="greaterThan">
      <s:formula>100</s:formula>
    </s:cfRule>
  </s:conditionalFormatting>
  <s:conditionalFormatting sqref="O29:O33">
    <s:cfRule type="cellIs" dxfId="20" priority="99" operator="between">
      <s:formula>0.85</s:formula>
      <s:formula>1</s:formula>
    </s:cfRule>
    <s:cfRule type="cellIs" dxfId="19" priority="100" operator="between">
      <s:formula>0.01</s:formula>
      <s:formula>0.99</s:formula>
    </s:cfRule>
  </s:conditionalFormatting>
  <s:conditionalFormatting sqref="O29:O34">
    <s:cfRule type="cellIs" dxfId="18" priority="93" operator="lessThan">
      <s:formula>0.9</s:formula>
    </s:cfRule>
    <s:cfRule type="cellIs" dxfId="17" priority="94" operator="between">
      <s:formula>0.9001</s:formula>
      <s:formula>0.9999</s:formula>
    </s:cfRule>
  </s:conditionalFormatting>
  <s:conditionalFormatting sqref="O30">
    <s:cfRule type="cellIs" dxfId="16" priority="284" operator="between">
      <s:formula>0.85</s:formula>
      <s:formula>1</s:formula>
    </s:cfRule>
    <s:cfRule type="cellIs" dxfId="15" priority="287" operator="lessThan">
      <s:formula>0.9</s:formula>
    </s:cfRule>
    <s:cfRule type="cellIs" dxfId="14" priority="288" operator="between">
      <s:formula>0.9001</s:formula>
      <s:formula>0.9999</s:formula>
    </s:cfRule>
  </s:conditionalFormatting>
  <s:conditionalFormatting sqref="O34">
    <s:cfRule type="cellIs" dxfId="13" priority="92" operator="between">
      <s:formula>0.85</s:formula>
      <s:formula>1</s:formula>
    </s:cfRule>
  </s:conditionalFormatting>
  <s:conditionalFormatting sqref="O34:O37">
    <s:cfRule type="cellIs" dxfId="12" priority="79" operator="between">
      <s:formula>0.9001</s:formula>
      <s:formula>0.9999</s:formula>
    </s:cfRule>
    <s:cfRule type="cellIs" dxfId="11" priority="80" operator="lessThan">
      <s:formula>0.9</s:formula>
    </s:cfRule>
    <s:cfRule type="cellIs" dxfId="10" priority="84" operator="between">
      <s:formula>0.01</s:formula>
      <s:formula>0.99</s:formula>
    </s:cfRule>
  </s:conditionalFormatting>
  <s:conditionalFormatting sqref="O35:O37">
    <s:cfRule type="cellIs" dxfId="9" priority="83" operator="between">
      <s:formula>0.85</s:formula>
      <s:formula>1</s:formula>
    </s:cfRule>
  </s:conditionalFormatting>
  <s:conditionalFormatting sqref="O38:O45">
    <s:cfRule type="cellIs" dxfId="8" priority="132" operator="between">
      <s:formula>0.85</s:formula>
      <s:formula>1</s:formula>
    </s:cfRule>
    <s:cfRule type="cellIs" dxfId="7" priority="133" operator="between">
      <s:formula>0.01</s:formula>
      <s:formula>0.99</s:formula>
    </s:cfRule>
  </s:conditionalFormatting>
  <s:conditionalFormatting sqref="O38:O46">
    <s:cfRule type="cellIs" dxfId="6" priority="128" operator="between">
      <s:formula>0.9001</s:formula>
      <s:formula>0.9999</s:formula>
    </s:cfRule>
    <s:cfRule type="cellIs" dxfId="5" priority="129" operator="lessThan">
      <s:formula>0.9</s:formula>
    </s:cfRule>
  </s:conditionalFormatting>
  <s:conditionalFormatting sqref="O46:O47">
    <s:cfRule type="cellIs" dxfId="4" priority="121" operator="between">
      <s:formula>0.85</s:formula>
      <s:formula>1</s:formula>
    </s:cfRule>
    <s:cfRule type="cellIs" dxfId="3" priority="122" operator="between">
      <s:formula>0.01</s:formula>
      <s:formula>0.99</s:formula>
    </s:cfRule>
  </s:conditionalFormatting>
  <s:conditionalFormatting sqref="O47">
    <s:cfRule type="cellIs" dxfId="2" priority="117" operator="between">
      <s:formula>0.9001</s:formula>
      <s:formula>0.9999</s:formula>
    </s:cfRule>
    <s:cfRule type="cellIs" dxfId="1" priority="118" operator="lessThan">
      <s:formula>0.9</s:formula>
    </s:cfRule>
  </s:conditionalFormatting>
  <s:conditionalFormatting sqref="P10:Q10">
    <s:cfRule type="cellIs" dxfId="0" priority="276" operator="lessThan">
      <s:formula>0</s:formula>
    </s:cfRule>
  </s:conditionalFormatting>
  <s:dataValidations count="3">
    <s:dataValidation xr:uid="{0082007E-003E-4C95-AFAD-00BC009000DE}" type="date" allowBlank="1" showErrorMessage="1" sqref="B35:B45" vyd:viewType="arrow" mc:Ignorable="vyd">
      <s:formula1>40544</s:formula1>
      <s:formula2>73051</s:formula2>
    </s:dataValidation>
    <s:dataValidation xr:uid="{00D60094-00A1-4151-A480-00A800C40054}" type="decimal" allowBlank="1" showErrorMessage="1" sqref="I14 O10:O11 I8:J13" vyd:viewType="arrow" mc:Ignorable="vyd">
      <s:formula1>0</s:formula1>
      <s:formula2>1000000000000000</s:formula2>
    </s:dataValidation>
    <s:dataValidation xr:uid="{00EE0060-00B6-4487-908B-00C400D30021}" type="decimal" allowBlank="1" showErrorMessage="1" sqref="I41" vyd:viewType="arrow" mc:Ignorable="vyd">
      <s:formula1>0</s:formula1>
      <s:formula2>10000000000000000</s:formula2>
    </s:dataValidation>
  </s:dataValidations>
  <s:pageMargins left="0.7" right="0.7" top="0.75" bottom="0.75" header="0.3" footer="0.3"/>
  <s:pageSetup paperSize="9" orientation="portrait"/>
</s:worksheet>
</file>

<file path=xl/worksheets/sheet9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800-000000000000}">
  <s:dimension ref="A1:O25"/>
  <s:sheetViews>
    <s:sheetView tabSelected="0" zoomScale="93" workbookViewId="0">
      <s:selection activeCell="E15" sqref="E15"/>
    </s:sheetView>
  </s:sheetViews>
  <s:sheetFormatPr baseColWidth="10" defaultColWidth="11.5" defaultRowHeight="15"/>
  <s:cols>
    <s:col min="1" max="1" width="2.5" style="3" customWidth="1"/>
    <s:col min="2" max="2" width="12.332" style="3" customWidth="1"/>
    <s:col min="3" max="3" width="18.164" style="3" customWidth="1"/>
    <s:col min="4" max="4" width="12.332" style="3" bestFit="1" customWidth="1"/>
    <s:col min="5" max="5" width="11.664" style="3" customWidth="1"/>
    <s:col min="6" max="6" width="13.664" style="3" customWidth="1"/>
    <s:col min="7" max="7" width="14" style="3" customWidth="1"/>
    <s:col min="8" max="8" width="10.664" style="3" bestFit="1" customWidth="1"/>
    <s:col min="9" max="9" width="13.664" style="3" customWidth="1"/>
    <s:col min="10" max="10" width="17.664" style="3" customWidth="1"/>
    <s:col min="11" max="11" width="12.332" style="3" customWidth="1"/>
    <s:col min="12" max="12" width="12.832" style="3" customWidth="1"/>
    <s:col min="13" max="13" width="15.5" style="3" customWidth="1"/>
    <s:col min="14" max="14" width="13.832" style="3" customWidth="1"/>
  </s:cols>
  <s:sheetData>
    <s:row r="1" spans="1:15" ht="15" customHeight="1">
      <s:c r="A1" s="709" t="str">
        <s:f>График!B1</s:f>
        <s:v>Май, 2025</s:v>
      </s:c>
      <s:c r="B1" s="710"/>
      <s:c r="C1" s="710"/>
      <s:c r="D1" s="711"/>
      <s:c r="E1" s="350"/>
      <s:c r="F1" s="351"/>
      <s:c r="G1" s="351"/>
      <s:c r="H1" s="351"/>
      <s:c r="I1" s="351"/>
      <s:c r="J1" s="351"/>
      <s:c r="K1" s="351"/>
      <s:c r="L1" s="351"/>
      <s:c r="M1" s="351"/>
      <s:c r="N1" s="352"/>
    </s:row>
    <s:row r="2" spans="1:15" ht="15" customHeight="1">
      <s:c r="A2" s="712" t="str">
        <s:f>График!B3</s:f>
        <s:v>ул. Набережная Ленина, 18</s:v>
      </s:c>
      <s:c r="B2" s="713"/>
      <s:c r="C2" s="713"/>
      <s:c r="D2" s="353" t="str">
        <s:f>График!B4</s:f>
        <s:v>GL-0005</s:v>
      </s:c>
      <s:c r="E2" s="354"/>
      <s:c r="F2" s="355"/>
      <s:c r="G2" s="355"/>
      <s:c r="H2" s="355"/>
      <s:c r="I2" s="355"/>
      <s:c r="J2" s="355"/>
      <s:c r="K2" s="355"/>
      <s:c r="L2" s="355"/>
      <s:c r="M2" s="355"/>
      <s:c r="N2" s="356"/>
    </s:row>
    <s:row r="3" spans="1:15" ht="75">
      <s:c r="A3" s="714" t="s">
        <s:v>28</s:v>
      </s:c>
      <s:c r="B3" s="715"/>
      <s:c r="C3" s="715"/>
      <s:c r="D3" s="357" t="s">
        <s:v>74</s:v>
      </s:c>
      <s:c r="E3" s="357" t="s">
        <s:v>75</s:v>
      </s:c>
      <s:c r="F3" s="358" t="s">
        <s:v>76</s:v>
      </s:c>
      <s:c r="G3" s="359" t="s">
        <s:v>77</s:v>
      </s:c>
      <s:c r="H3" s="360" t="s">
        <s:v>78</s:v>
      </s:c>
      <s:c r="I3" s="361" t="s">
        <s:v>79</s:v>
      </s:c>
      <s:c r="J3" s="362" t="s">
        <s:v>80</s:v>
      </s:c>
      <s:c r="K3" s="363" t="s">
        <s:v>81</s:v>
      </s:c>
      <s:c r="L3" s="364" t="s">
        <s:v>82</s:v>
      </s:c>
      <s:c r="M3" s="365" t="s">
        <s:v>83</s:v>
      </s:c>
      <s:c r="N3" s="366" t="s">
        <s:v>84</s:v>
      </s:c>
    </s:row>
    <s:row r="4" spans="1:15" ht="16" customHeight="1">
      <s:c r="A4" s="716" t="str">
        <s:f>График!B29</s:f>
        <s:v>Рогалевич Ирина</s:v>
      </s:c>
      <s:c r="B4" s="717"/>
      <s:c r="C4" s="717"/>
      <s:c r="D4" s="367">
        <s:f>11136+27144</s:f>
        <s:v>38280</s:v>
      </s:c>
      <s:c r="E4" s="368"/>
      <s:c r="F4" s="369">
        <s:f>H8+H9+G16+G24+L24</s:f>
        <s:v>27840.32</s:v>
      </s:c>
      <s:c r="G4" s="370">
        <s:f>D11</s:f>
        <s:v>30700</s:v>
      </s:c>
      <s:c r="H4" s="371">
        <s:f>D18</s:f>
        <s:v>74719.535000000003</s:v>
      </s:c>
      <s:c r="I4" s="372">
        <s:f>L18</s:f>
        <s:v>21748.036234096693</s:v>
      </s:c>
      <s:c r="J4" s="373">
        <s:f>L11</s:f>
        <s:v>0</s:v>
      </s:c>
      <s:c r="K4" s="374">
        <s:f>H4+J4+G4+F4+I4</s:f>
        <s:v>155007.89123409669</s:v>
      </s:c>
      <s:c r="L4" s="375">
        <s:f>C8+C9</s:f>
        <s:v>5920</s:v>
      </s:c>
      <s:c r="M4" s="376">
        <s:f>K4-L4-D4-E4</s:f>
        <s:v>110807.89123409669</s:v>
      </s:c>
      <s:c r="N4" s="377"/>
    </s:row>
    <s:row r="5" spans="1:15">
      <s:c r="A5" s="378"/>
      <s:c r="B5" s="379"/>
      <s:c r="C5" s="380"/>
      <s:c r="D5" s="380"/>
      <s:c r="E5" s="380"/>
      <s:c r="F5" s="380"/>
      <s:c r="G5" s="380"/>
      <s:c r="H5" s="380"/>
      <s:c r="I5" s="380"/>
      <s:c r="J5" s="380"/>
      <s:c r="K5" s="381"/>
      <s:c r="L5" s="380"/>
      <s:c r="M5" s="382"/>
      <s:c r="N5" s="383"/>
    </s:row>
    <s:row r="6" spans="1:15">
      <s:c r="A6" s="378"/>
      <s:c r="B6" s="379" t="s">
        <s:v>82</s:v>
      </s:c>
      <s:c r="C6" s="380"/>
      <s:c r="D6" s="380"/>
      <s:c r="E6" s="380"/>
      <s:c r="F6" s="380"/>
      <s:c r="G6" s="379" t="s">
        <s:v>85</s:v>
      </s:c>
      <s:c r="H6" s="380"/>
      <s:c r="I6" s="380"/>
      <s:c r="J6" s="380"/>
      <s:c r="K6" s="380"/>
      <s:c r="L6" s="380"/>
      <s:c r="M6" s="382"/>
      <s:c r="N6" s="383"/>
    </s:row>
    <s:row r="7" spans="1:15">
      <s:c r="A7" s="384"/>
      <s:c r="B7" s="385" t="s">
        <s:v>29</s:v>
      </s:c>
      <s:c r="C7" s="385" t="s">
        <s:v>86</s:v>
      </s:c>
      <s:c r="D7" s="708" t="s">
        <s:v>87</s:v>
      </s:c>
      <s:c r="E7" s="708"/>
      <s:c r="F7" s="386"/>
      <s:c r="G7" s="385" t="s">
        <s:v>29</s:v>
      </s:c>
      <s:c r="H7" s="706" t="s">
        <s:v>86</s:v>
      </s:c>
      <s:c r="I7" s="707"/>
      <s:c r="J7" s="708" t="s">
        <s:v>87</s:v>
      </s:c>
      <s:c r="K7" s="708"/>
      <s:c r="L7" s="386"/>
      <s:c r="M7" s="387"/>
      <s:c r="N7" s="388"/>
    </s:row>
    <s:row r="8" spans="1:15" ht="26" customHeight="1">
      <s:c r="A8" s="378"/>
      <s:c r="B8" s="389">
        <s:v>45808</s:v>
      </s:c>
      <s:c r="C8" s="390">
        <s:f>4056+1664</s:f>
        <s:v>5720</s:v>
      </s:c>
      <s:c r="D8" s="702" t="s">
        <s:v>129</s:v>
      </s:c>
      <s:c r="E8" s="702"/>
      <s:c r="F8" s="380"/>
      <s:c r="G8" s="389">
        <s:v>45808</s:v>
      </s:c>
      <s:c r="H8" s="703">
        <s:f>'Ялта, Ленина, 18'!J8*0.01</s:f>
        <s:v>27840.32</s:v>
      </s:c>
      <s:c r="I8" s="704"/>
      <s:c r="J8" s="702" t="s">
        <s:v>130</s:v>
      </s:c>
      <s:c r="K8" s="702"/>
      <s:c r="L8" s="380"/>
      <s:c r="M8" s="382"/>
      <s:c r="N8" s="383"/>
    </s:row>
    <s:row r="9" spans="1:15" ht="25" customHeight="1">
      <s:c r="A9" s="378"/>
      <s:c r="B9" s="389">
        <s:v>45808</s:v>
      </s:c>
      <s:c r="C9" s="390">
        <s:v>200</s:v>
      </s:c>
      <s:c r="D9" s="702" t="s">
        <s:v>131</s:v>
      </s:c>
      <s:c r="E9" s="702"/>
      <s:c r="F9" s="380"/>
      <s:c r="G9" s="389"/>
      <s:c r="H9" s="703"/>
      <s:c r="I9" s="704"/>
      <s:c r="J9" s="702"/>
      <s:c r="K9" s="702"/>
      <s:c r="L9" s="380"/>
      <s:c r="M9" s="382"/>
      <s:c r="N9" s="383"/>
    </s:row>
    <s:row r="10" spans="1:15">
      <s:c r="A10" s="378"/>
      <s:c r="B10" s="379"/>
      <s:c r="C10" s="380"/>
      <s:c r="D10" s="380"/>
      <s:c r="E10" s="380"/>
      <s:c r="F10" s="380"/>
      <s:c r="G10" s="380"/>
      <s:c r="H10" s="380"/>
      <s:c r="I10" s="380"/>
      <s:c r="J10" s="380"/>
      <s:c r="K10" s="380"/>
      <s:c r="L10" s="380"/>
      <s:c r="M10" s="382"/>
      <s:c r="N10" s="383"/>
    </s:row>
    <s:row r="11" spans="1:15">
      <s:c r="A11" s="392" t="s">
        <s:v>88</s:v>
      </s:c>
      <s:c r="B11" s="393"/>
      <s:c r="C11" s="393"/>
      <s:c r="D11" s="394">
        <s:f>G15</s:f>
        <s:v>30700</s:v>
      </s:c>
      <s:c r="E11" s="395"/>
      <s:c r="F11" s="396"/>
      <s:c r="G11" s="393"/>
      <s:c r="H11" s="393"/>
      <s:c r="I11" s="397" t="s">
        <s:v>80</s:v>
      </s:c>
      <s:c r="J11" s="393"/>
      <s:c r="K11" s="393"/>
      <s:c r="L11" s="398">
        <s:f>L15+L16</s:f>
        <s:v>0</s:v>
      </s:c>
      <s:c r="M11" s="396"/>
      <s:c r="N11" s="399"/>
    </s:row>
    <s:row r="12" spans="1:15">
      <s:c r="A12" s="378"/>
      <s:c r="B12" s="379"/>
      <s:c r="C12" s="380"/>
      <s:c r="D12" s="400"/>
      <s:c r="E12" s="400"/>
      <s:c r="F12" s="380"/>
      <s:c r="G12" s="380"/>
      <s:c r="H12" s="380"/>
      <s:c r="I12" s="380"/>
      <s:c r="J12" s="380"/>
      <s:c r="K12" s="382"/>
      <s:c r="L12" s="382"/>
      <s:c r="M12" s="382"/>
      <s:c r="N12" s="383"/>
    </s:row>
    <s:row r="13" spans="1:15">
      <s:c r="A13" s="401"/>
      <s:c r="B13" s="402" t="s">
        <s:v>88</s:v>
      </s:c>
      <s:c r="C13" s="400"/>
      <s:c r="D13" s="400"/>
      <s:c r="E13" s="400"/>
      <s:c r="F13" s="400"/>
      <s:c r="G13" s="400"/>
      <s:c r="H13" s="400"/>
      <s:c r="I13" s="400"/>
      <s:c r="J13" s="705" t="s">
        <s:v>80</s:v>
      </s:c>
      <s:c r="K13" s="705"/>
      <s:c r="L13" s="403"/>
      <s:c r="M13" s="404"/>
      <s:c r="N13" s="405"/>
    </s:row>
    <s:row r="14" spans="1:15" ht="24">
      <s:c r="A14" s="401"/>
      <s:c r="B14" s="406" t="s">
        <s:v>89</s:v>
      </s:c>
      <s:c r="C14" s="406" t="s">
        <s:v>90</s:v>
      </s:c>
      <s:c r="D14" s="407" t="s">
        <s:v>91</s:v>
      </s:c>
      <s:c r="E14" s="407" t="s">
        <s:v>92</s:v>
      </s:c>
      <s:c r="F14" s="407" t="s">
        <s:v>93</s:v>
      </s:c>
      <s:c r="G14" s="406" t="s">
        <s:v>94</s:v>
      </s:c>
      <s:c r="H14" s="400"/>
      <s:c r="I14" s="400"/>
      <s:c r="J14" s="406" t="s">
        <s:v>90</s:v>
      </s:c>
      <s:c r="K14" s="400" t="s">
        <s:v>95</s:v>
      </s:c>
      <s:c r="L14" s="696" t="s">
        <s:v>96</s:v>
      </s:c>
      <s:c r="M14" s="697"/>
      <s:c r="N14" s="405"/>
      <s:c r="O14" s="408"/>
    </s:row>
    <s:row r="15" spans="1:15">
      <s:c r="A15" s="378"/>
      <s:c r="B15" s="409">
        <s:f>График!AI29</s:f>
        <s:v>28</s:v>
      </s:c>
      <s:c r="C15" s="410" t="str">
        <s:f>A2</s:f>
        <s:v>ул. Набережная Ленина, 18</s:v>
      </s:c>
      <s:c r="D15" s="411" t="s">
        <s:v>97</s:v>
      </s:c>
      <s:c r="E15" s="412">
        <s:f>График!AJ29</s:f>
        <s:v>307</s:v>
      </s:c>
      <s:c r="F15" s="413">
        <s:v>100</s:v>
      </s:c>
      <s:c r="G15" s="414">
        <s:f validation_="true">E15*F15</s:f>
        <s:v>30700</s:v>
      </s:c>
      <s:c r="H15" s="415"/>
      <s:c r="I15" s="415"/>
      <s:c r="J15" s="410" t="str">
        <s:f>График!B3</s:f>
        <s:v>ул. Набережная Ленина, 18</s:v>
      </s:c>
      <s:c r="K15" s="416">
        <s:f>'Ялта, Ленина, 18'!K8</s:f>
        <s:v>0.58075467869282305</s:v>
      </s:c>
      <s:c r="L15" s="692"/>
      <s:c r="M15" s="693"/>
      <s:c r="N15" s="383"/>
    </s:row>
    <s:row r="16" spans="1:15">
      <s:c r="A16" s="401"/>
      <s:c r="B16" s="406"/>
      <s:c r="C16" s="417"/>
      <s:c r="D16" s="411" t="s">
        <s:v>97</s:v>
      </s:c>
      <s:c r="E16" s="418"/>
      <s:c r="F16" s="413"/>
      <s:c r="G16" s="414">
        <s:f validation_="true">E16*F16</s:f>
        <s:v>0</s:v>
      </s:c>
      <s:c r="H16" s="400"/>
      <s:c r="I16" s="400"/>
      <s:c r="J16" s="391"/>
      <s:c r="K16" s="419"/>
      <s:c r="L16" s="694"/>
      <s:c r="M16" s="695"/>
      <s:c r="N16" s="405"/>
    </s:row>
    <s:row r="17" spans="1:14">
      <s:c r="A17" s="401"/>
      <s:c r="B17" s="400"/>
      <s:c r="C17" s="420"/>
      <s:c r="D17" s="380"/>
      <s:c r="E17" s="421"/>
      <s:c r="F17" s="421"/>
      <s:c r="G17" s="422"/>
      <s:c r="H17" s="400"/>
      <s:c r="I17" s="400"/>
      <s:c r="J17" s="400"/>
      <s:c r="K17" s="400"/>
      <s:c r="L17" s="403"/>
      <s:c r="M17" s="403"/>
      <s:c r="N17" s="405"/>
    </s:row>
    <s:row r="18" spans="1:14">
      <s:c r="A18" s="392" t="s">
        <s:v>98</s:v>
      </s:c>
      <s:c r="B18" s="393"/>
      <s:c r="C18" s="393"/>
      <s:c r="D18" s="423">
        <s:f>G23</s:f>
        <s:v>74719.535000000003</s:v>
      </s:c>
      <s:c r="E18" s="424"/>
      <s:c r="F18" s="396"/>
      <s:c r="G18" s="396"/>
      <s:c r="H18" s="396"/>
      <s:c r="I18" s="393" t="s">
        <s:v>79</s:v>
      </s:c>
      <s:c r="J18" s="396"/>
      <s:c r="K18" s="396"/>
      <s:c r="L18" s="425">
        <s:f>N23</s:f>
        <s:v>21748.036234096693</s:v>
      </s:c>
      <s:c r="M18" s="396"/>
      <s:c r="N18" s="399"/>
    </s:row>
    <s:row r="19" spans="1:14">
      <s:c r="A19" s="426"/>
      <s:c r="B19" s="379"/>
      <s:c r="C19" s="382"/>
      <s:c r="D19" s="382"/>
      <s:c r="E19" s="382"/>
      <s:c r="F19" s="382"/>
      <s:c r="G19" s="382"/>
      <s:c r="H19" s="382"/>
      <s:c r="I19" s="382"/>
      <s:c r="J19" s="382"/>
      <s:c r="K19" s="427"/>
      <s:c r="L19" s="132"/>
      <s:c r="M19" s="132"/>
      <s:c r="N19" s="428"/>
    </s:row>
    <s:row r="20" spans="1:14">
      <s:c r="A20" s="426"/>
      <s:c r="B20" s="380"/>
      <s:c r="C20" s="379"/>
      <s:c r="D20" s="382"/>
      <s:c r="E20" s="382"/>
      <s:c r="F20" s="382"/>
      <s:c r="G20" s="382"/>
      <s:c r="H20" s="382"/>
      <s:c r="I20" s="382"/>
      <s:c r="J20" s="382"/>
      <s:c r="K20" s="382"/>
      <s:c r="L20" s="382"/>
      <s:c r="M20" s="382"/>
      <s:c r="N20" s="383"/>
    </s:row>
    <s:row r="21" spans="1:14">
      <s:c r="A21" s="426"/>
      <s:c r="B21" s="379" t="s">
        <s:v>99</s:v>
      </s:c>
      <s:c r="C21" s="382"/>
      <s:c r="D21" s="382"/>
      <s:c r="E21" s="382"/>
      <s:c r="F21" s="382"/>
      <s:c r="G21" s="382"/>
      <s:c r="H21" s="382"/>
      <s:c r="I21" s="429" t="s">
        <s:v>100</s:v>
      </s:c>
      <s:c r="J21" s="430"/>
      <s:c r="K21" s="431"/>
      <s:c r="L21" s="431"/>
      <s:c r="M21" s="431"/>
      <s:c r="N21" s="432"/>
    </s:row>
    <s:row r="22" spans="1:14" ht="36">
      <s:c r="A22" s="433"/>
      <s:c r="B22" s="406" t="s">
        <s:v>28</s:v>
      </s:c>
      <s:c r="C22" s="696" t="s">
        <s:v>90</s:v>
      </s:c>
      <s:c r="D22" s="697"/>
      <s:c r="E22" s="406" t="s">
        <s:v>101</s:v>
      </s:c>
      <s:c r="F22" s="406" t="s">
        <s:v>102</s:v>
      </s:c>
      <s:c r="G22" s="406" t="s">
        <s:v>103</s:v>
      </s:c>
      <s:c r="H22" s="400"/>
      <s:c r="I22" s="434" t="s">
        <s:v>28</s:v>
      </s:c>
      <s:c r="J22" s="434" t="s">
        <s:v>90</s:v>
      </s:c>
      <s:c r="K22" s="434" t="s">
        <s:v>104</s:v>
      </s:c>
      <s:c r="L22" s="434" t="s">
        <s:v>105</s:v>
      </s:c>
      <s:c r="M22" s="434" t="s">
        <s:v>101</s:v>
      </s:c>
      <s:c r="N22" s="435" t="s">
        <s:v>103</s:v>
      </s:c>
    </s:row>
    <s:row r="23" spans="1:14">
      <s:c r="A23" s="426"/>
      <s:c r="B23" s="410" t="str">
        <s:f>A4</s:f>
        <s:v>Рогалевич Ирина</s:v>
      </s:c>
      <s:c r="C23" s="698" t="str">
        <s:f>A2</s:f>
        <s:v>ул. Набережная Ленина, 18</s:v>
      </s:c>
      <s:c r="D23" s="699"/>
      <s:c r="E23" s="416">
        <s:v>5.5E-2</s:v>
      </s:c>
      <s:c r="F23" s="390">
        <s:f>'Рогалевич И. Е.'!J8</s:f>
        <s:v>1358537</s:v>
      </s:c>
      <s:c r="G23" s="436">
        <s:f validation_="true">F23*E23</s:f>
        <s:v>74719.535000000003</s:v>
      </s:c>
      <s:c r="H23" s="380"/>
      <s:c r="I23" s="437" t="str">
        <s:f>B23</s:f>
        <s:v>Рогалевич Ирина</s:v>
      </s:c>
      <s:c r="J23" s="438" t="str">
        <s:f>C23</s:f>
        <s:v>ул. Набережная Ленина, 18</s:v>
      </s:c>
      <s:c r="K23" s="438">
        <s:f>E15</s:f>
        <s:v>307</s:v>
      </s:c>
      <s:c r="L23" s="439">
        <s:f>График!AJ31</s:f>
        <s:v>786</s:v>
      </s:c>
      <s:c r="M23" s="440">
        <s:v>0.02</s:v>
      </s:c>
      <s:c r="N23" s="441">
        <s:f>'Ялта, Ленина, 18'!J8*M23*K23/L23</s:f>
        <s:v>21748.036234096693</s:v>
      </s:c>
    </s:row>
    <s:row r="24" spans="1:14">
      <s:c r="A24" s="433"/>
      <s:c r="B24" s="410" t="str">
        <s:f>B23</s:f>
        <s:v>Рогалевич Ирина</s:v>
      </s:c>
      <s:c r="C24" s="700">
        <s:f>C16</s:f>
        <s:v>0</s:v>
      </s:c>
      <s:c r="D24" s="701"/>
      <s:c r="E24" s="416"/>
      <s:c r="F24" s="442"/>
      <s:c r="G24" s="414">
        <s:f validation_="true">F24*E24</s:f>
        <s:v>0</s:v>
      </s:c>
      <s:c r="H24" s="400"/>
      <s:c r="I24" s="443"/>
      <s:c r="J24" s="444"/>
      <s:c r="K24" s="445"/>
      <s:c r="L24" s="446"/>
      <s:c r="M24" s="447"/>
      <s:c r="N24" s="448" t="e">
        <s:f>1477363.14*M24*K24/L24</s:f>
        <s:v>#DIV/0!</s:v>
      </s:c>
    </s:row>
    <s:row r="25" spans="1:14">
      <s:c r="A25" s="449"/>
      <s:c r="B25" s="450"/>
      <s:c r="C25" s="450"/>
      <s:c r="D25" s="450"/>
      <s:c r="E25" s="450"/>
      <s:c r="F25" s="450"/>
      <s:c r="G25" s="450"/>
      <s:c r="H25" s="450"/>
      <s:c r="I25" s="450"/>
      <s:c r="J25" s="450"/>
      <s:c r="K25" s="450"/>
      <s:c r="L25" s="450"/>
      <s:c r="M25" s="450"/>
      <s:c r="N25" s="451"/>
    </s:row>
  </s:sheetData>
  <s:mergeCells count="20">
    <s:mergeCell ref="A1:D1"/>
    <s:mergeCell ref="A2:C2"/>
    <s:mergeCell ref="A3:C3"/>
    <s:mergeCell ref="A4:C4"/>
    <s:mergeCell ref="D7:E7"/>
    <s:mergeCell ref="H7:I7"/>
    <s:mergeCell ref="J7:K7"/>
    <s:mergeCell ref="D8:E8"/>
    <s:mergeCell ref="H8:I8"/>
    <s:mergeCell ref="J8:K8"/>
    <s:mergeCell ref="D9:E9"/>
    <s:mergeCell ref="H9:I9"/>
    <s:mergeCell ref="J9:K9"/>
    <s:mergeCell ref="J13:K13"/>
    <s:mergeCell ref="L14:M14"/>
    <s:mergeCell ref="L15:M15"/>
    <s:mergeCell ref="L16:M16"/>
    <s:mergeCell ref="C22:D22"/>
    <s:mergeCell ref="C23:D23"/>
    <s:mergeCell ref="C24:D24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900-000000000000}">
  <s:dimension ref="A1:N26"/>
  <s:sheetViews>
    <s:sheetView tabSelected="0" topLeftCell="A2" zoomScale="91" workbookViewId="0">
      <s:selection activeCell="O20" sqref="O20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10" width="17.6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709" t="str">
        <s:f>График!B1</s:f>
        <s:v>Май, 2025</s:v>
      </s:c>
      <s:c r="B1" s="710"/>
      <s:c r="C1" s="710"/>
      <s:c r="D1" s="711"/>
      <s:c r="E1" s="350"/>
      <s:c r="F1" s="351"/>
      <s:c r="G1" s="351"/>
      <s:c r="H1" s="351"/>
      <s:c r="I1" s="351"/>
      <s:c r="J1" s="351"/>
      <s:c r="K1" s="351"/>
      <s:c r="L1" s="351"/>
      <s:c r="M1" s="351"/>
      <s:c r="N1" s="352"/>
    </s:row>
    <s:row r="2" spans="1:14" ht="15" customHeight="1">
      <s:c r="A2" s="712" t="str">
        <s:f>График!B3</s:f>
        <s:v>ул. Набережная Ленина, 18</s:v>
      </s:c>
      <s:c r="B2" s="713"/>
      <s:c r="C2" s="713"/>
      <s:c r="D2" s="353" t="str">
        <s:f>График!B4</s:f>
        <s:v>GL-0005</s:v>
      </s:c>
      <s:c r="E2" s="354"/>
      <s:c r="F2" s="355"/>
      <s:c r="G2" s="355"/>
      <s:c r="H2" s="355"/>
      <s:c r="I2" s="355"/>
      <s:c r="J2" s="355"/>
      <s:c r="K2" s="355"/>
      <s:c r="L2" s="355"/>
      <s:c r="M2" s="355"/>
      <s:c r="N2" s="356"/>
    </s:row>
    <s:row r="3" spans="1:14" ht="75">
      <s:c r="A3" s="714" t="s">
        <s:v>28</s:v>
      </s:c>
      <s:c r="B3" s="715"/>
      <s:c r="C3" s="715"/>
      <s:c r="D3" s="357" t="s">
        <s:v>74</s:v>
      </s:c>
      <s:c r="E3" s="357" t="s">
        <s:v>75</s:v>
      </s:c>
      <s:c r="F3" s="358" t="s">
        <s:v>76</s:v>
      </s:c>
      <s:c r="G3" s="359" t="s">
        <s:v>77</s:v>
      </s:c>
      <s:c r="H3" s="360" t="s">
        <s:v>78</s:v>
      </s:c>
      <s:c r="I3" s="361" t="s">
        <s:v>79</s:v>
      </s:c>
      <s:c r="J3" s="362" t="s">
        <s:v>80</s:v>
      </s:c>
      <s:c r="K3" s="363" t="s">
        <s:v>81</s:v>
      </s:c>
      <s:c r="L3" s="364" t="s">
        <s:v>82</s:v>
      </s:c>
      <s:c r="M3" s="452" t="s">
        <s:v>83</s:v>
      </s:c>
      <s:c r="N3" s="366" t="s">
        <s:v>84</s:v>
      </s:c>
    </s:row>
    <s:row r="4" spans="1:14" ht="15" customHeight="1">
      <s:c r="A4" s="716" t="str">
        <s:f>График!B28</s:f>
        <s:v>Уразгильдеева Екатерина</s:v>
      </s:c>
      <s:c r="B4" s="717"/>
      <s:c r="C4" s="717"/>
      <s:c r="D4" s="453">
        <s:f>10440+24360</s:f>
        <s:v>34800</s:v>
      </s:c>
      <s:c r="E4" s="454"/>
      <s:c r="F4" s="455">
        <s:f>H8+H9</s:f>
        <s:v>0</s:v>
      </s:c>
      <s:c r="G4" s="456">
        <s:f>D12</s:f>
        <s:v>24600</s:v>
      </s:c>
      <s:c r="H4" s="457">
        <s:f>D19</s:f>
        <s:v>39488.955000000002</s:v>
      </s:c>
      <s:c r="I4" s="458">
        <s:f>L19</s:f>
        <s:v>17426.765190839695</s:v>
      </s:c>
      <s:c r="J4" s="459">
        <s:f>L12</s:f>
        <s:v>0</s:v>
      </s:c>
      <s:c r="K4" s="374">
        <s:f>H4+J4+G4+F4+I4</s:f>
        <s:v>81515.720190839696</s:v>
      </s:c>
      <s:c r="L4" s="375">
        <s:f>C8+C9+C10</s:f>
        <s:v>5200</s:v>
      </s:c>
      <s:c r="M4" s="376">
        <s:f>K4-L4-D4-E4</s:f>
        <s:v>41515.720190839696</s:v>
      </s:c>
      <s:c r="N4" s="377"/>
    </s:row>
    <s:row r="5" spans="1:14">
      <s:c r="A5" s="378"/>
      <s:c r="B5" s="379"/>
      <s:c r="C5" s="380"/>
      <s:c r="D5" s="380"/>
      <s:c r="E5" s="380"/>
      <s:c r="F5" s="380"/>
      <s:c r="G5" s="380"/>
      <s:c r="H5" s="380"/>
      <s:c r="I5" s="380"/>
      <s:c r="J5" s="380"/>
      <s:c r="K5" s="381"/>
      <s:c r="L5" s="380"/>
      <s:c r="M5" s="382"/>
      <s:c r="N5" s="383"/>
    </s:row>
    <s:row r="6" spans="1:14">
      <s:c r="A6" s="378"/>
      <s:c r="B6" s="379" t="s">
        <s:v>82</s:v>
      </s:c>
      <s:c r="C6" s="380"/>
      <s:c r="D6" s="380"/>
      <s:c r="E6" s="380"/>
      <s:c r="F6" s="380"/>
      <s:c r="G6" s="379" t="s">
        <s:v>85</s:v>
      </s:c>
      <s:c r="H6" s="380"/>
      <s:c r="I6" s="380"/>
      <s:c r="J6" s="380"/>
      <s:c r="K6" s="380"/>
      <s:c r="L6" s="380"/>
      <s:c r="M6" s="382"/>
      <s:c r="N6" s="383"/>
    </s:row>
    <s:row r="7" spans="1:14">
      <s:c r="A7" s="384"/>
      <s:c r="B7" s="385" t="s">
        <s:v>29</s:v>
      </s:c>
      <s:c r="C7" s="385" t="s">
        <s:v>86</s:v>
      </s:c>
      <s:c r="D7" s="708" t="s">
        <s:v>87</s:v>
      </s:c>
      <s:c r="E7" s="708"/>
      <s:c r="F7" s="386"/>
      <s:c r="G7" s="385" t="s">
        <s:v>29</s:v>
      </s:c>
      <s:c r="H7" s="706" t="s">
        <s:v>86</s:v>
      </s:c>
      <s:c r="I7" s="707"/>
      <s:c r="J7" s="708" t="s">
        <s:v>87</s:v>
      </s:c>
      <s:c r="K7" s="708"/>
      <s:c r="L7" s="386"/>
      <s:c r="M7" s="387"/>
      <s:c r="N7" s="388"/>
    </s:row>
    <s:row r="8" spans="1:14" ht="23" customHeight="1">
      <s:c r="A8" s="378"/>
      <s:c r="B8" s="389">
        <s:v>45808</s:v>
      </s:c>
      <s:c r="C8" s="390">
        <s:f>3640+1560</s:f>
        <s:v>5200</s:v>
      </s:c>
      <s:c r="D8" s="702" t="s">
        <s:v>129</s:v>
      </s:c>
      <s:c r="E8" s="702"/>
      <s:c r="F8" s="380"/>
      <s:c r="G8" s="389"/>
      <s:c r="H8" s="718"/>
      <s:c r="I8" s="719"/>
      <s:c r="J8" s="702"/>
      <s:c r="K8" s="702"/>
      <s:c r="L8" s="380"/>
      <s:c r="M8" s="382"/>
      <s:c r="N8" s="383"/>
    </s:row>
    <s:row r="9" spans="1:14" ht="26" customHeight="1">
      <s:c r="A9" s="378"/>
      <s:c r="B9" s="389"/>
      <s:c r="C9" s="390"/>
      <s:c r="D9" s="702"/>
      <s:c r="E9" s="702"/>
      <s:c r="F9" s="380"/>
      <s:c r="G9" s="389"/>
      <s:c r="H9" s="718"/>
      <s:c r="I9" s="719"/>
      <s:c r="J9" s="702"/>
      <s:c r="K9" s="702"/>
      <s:c r="L9" s="380"/>
      <s:c r="M9" s="382"/>
      <s:c r="N9" s="383"/>
    </s:row>
    <s:row r="10" spans="1:14" ht="26" customHeight="1">
      <s:c r="A10" s="378"/>
      <s:c r="B10" s="389"/>
      <s:c r="C10" s="390"/>
      <s:c r="D10" s="702"/>
      <s:c r="E10" s="702"/>
      <s:c r="F10" s="380"/>
      <s:c r="G10" s="460"/>
      <s:c r="H10" s="461"/>
      <s:c r="I10" s="461"/>
      <s:c r="J10" s="462"/>
      <s:c r="K10" s="462"/>
      <s:c r="L10" s="380"/>
      <s:c r="M10" s="382"/>
      <s:c r="N10" s="383"/>
    </s:row>
    <s:row r="11" spans="1:14" ht="34" customHeight="1">
      <s:c r="A11" s="378"/>
      <s:c r="B11" s="379"/>
      <s:c r="C11" s="380"/>
      <s:c r="D11" s="380"/>
      <s:c r="E11" s="380"/>
      <s:c r="F11" s="380"/>
      <s:c r="G11" s="380"/>
      <s:c r="H11" s="380"/>
      <s:c r="I11" s="380"/>
      <s:c r="J11" s="380"/>
      <s:c r="K11" s="380"/>
      <s:c r="L11" s="380"/>
      <s:c r="M11" s="382"/>
      <s:c r="N11" s="383"/>
    </s:row>
    <s:row r="12" spans="1:14">
      <s:c r="A12" s="392" t="s">
        <s:v>88</s:v>
      </s:c>
      <s:c r="B12" s="393"/>
      <s:c r="C12" s="393"/>
      <s:c r="D12" s="394">
        <s:f>G16</s:f>
        <s:v>24600</s:v>
      </s:c>
      <s:c r="E12" s="395"/>
      <s:c r="F12" s="396"/>
      <s:c r="G12" s="393"/>
      <s:c r="H12" s="393"/>
      <s:c r="I12" s="397" t="s">
        <s:v>80</s:v>
      </s:c>
      <s:c r="J12" s="393"/>
      <s:c r="K12" s="393"/>
      <s:c r="L12" s="398">
        <s:f>L16+L17</s:f>
        <s:v>0</s:v>
      </s:c>
      <s:c r="M12" s="396"/>
      <s:c r="N12" s="399"/>
    </s:row>
    <s:row r="13" spans="1:14">
      <s:c r="A13" s="378"/>
      <s:c r="B13" s="379"/>
      <s:c r="C13" s="380"/>
      <s:c r="D13" s="400"/>
      <s:c r="E13" s="400"/>
      <s:c r="F13" s="380"/>
      <s:c r="G13" s="380"/>
      <s:c r="H13" s="380"/>
      <s:c r="I13" s="380"/>
      <s:c r="J13" s="380"/>
      <s:c r="K13" s="382"/>
      <s:c r="L13" s="382"/>
      <s:c r="M13" s="382"/>
      <s:c r="N13" s="383"/>
    </s:row>
    <s:row r="14" spans="1:14">
      <s:c r="A14" s="401"/>
      <s:c r="B14" s="402" t="s">
        <s:v>88</s:v>
      </s:c>
      <s:c r="C14" s="400"/>
      <s:c r="D14" s="400"/>
      <s:c r="E14" s="400"/>
      <s:c r="F14" s="400"/>
      <s:c r="G14" s="400"/>
      <s:c r="H14" s="400"/>
      <s:c r="I14" s="400"/>
      <s:c r="J14" s="705" t="s">
        <s:v>80</s:v>
      </s:c>
      <s:c r="K14" s="705"/>
      <s:c r="L14" s="404"/>
      <s:c r="M14" s="403"/>
      <s:c r="N14" s="405"/>
    </s:row>
    <s:row r="15" spans="1:14" ht="24">
      <s:c r="A15" s="401"/>
      <s:c r="B15" s="406" t="s">
        <s:v>89</s:v>
      </s:c>
      <s:c r="C15" s="406" t="s">
        <s:v>90</s:v>
      </s:c>
      <s:c r="D15" s="407" t="s">
        <s:v>91</s:v>
      </s:c>
      <s:c r="E15" s="407" t="s">
        <s:v>92</s:v>
      </s:c>
      <s:c r="F15" s="407" t="s">
        <s:v>93</s:v>
      </s:c>
      <s:c r="G15" s="406" t="s">
        <s:v>94</s:v>
      </s:c>
      <s:c r="H15" s="400"/>
      <s:c r="I15" s="400"/>
      <s:c r="J15" s="406" t="s">
        <s:v>90</s:v>
      </s:c>
      <s:c r="K15" s="406" t="s">
        <s:v>95</s:v>
      </s:c>
      <s:c r="L15" s="406" t="s">
        <s:v>96</s:v>
      </s:c>
      <s:c r="M15" s="403"/>
      <s:c r="N15" s="405"/>
    </s:row>
    <s:row r="16" spans="1:14">
      <s:c r="A16" s="378"/>
      <s:c r="B16" s="409">
        <s:f>График!AI28</s:f>
        <s:v>20</s:v>
      </s:c>
      <s:c r="C16" s="410" t="str">
        <s:f>A2</s:f>
        <s:v>ул. Набережная Ленина, 18</s:v>
      </s:c>
      <s:c r="D16" s="411" t="s">
        <s:v>97</s:v>
      </s:c>
      <s:c r="E16" s="412">
        <s:f>График!AJ28</s:f>
        <s:v>246</s:v>
      </s:c>
      <s:c r="F16" s="413">
        <s:v>100</s:v>
      </s:c>
      <s:c r="G16" s="414">
        <s:f>E16*F16</s:f>
        <s:v>24600</s:v>
      </s:c>
      <s:c r="H16" s="415"/>
      <s:c r="I16" s="415"/>
      <s:c r="J16" s="410" t="str">
        <s:f>График!B3</s:f>
        <s:v>ул. Набережная Ленина, 18</s:v>
      </s:c>
      <s:c r="K16" s="416">
        <s:f>'Ялта, Ленина, 18'!K8</s:f>
        <s:v>0.58075467869282305</s:v>
      </s:c>
      <s:c r="L16" s="463">
        <s:v>0</s:v>
      </s:c>
      <s:c r="M16" s="382"/>
      <s:c r="N16" s="383"/>
    </s:row>
    <s:row r="17" spans="1:14">
      <s:c r="A17" s="401"/>
      <s:c r="B17" s="406"/>
      <s:c r="C17" s="417"/>
      <s:c r="D17" s="411"/>
      <s:c r="E17" s="418"/>
      <s:c r="F17" s="413"/>
      <s:c r="G17" s="414"/>
      <s:c r="H17" s="400"/>
      <s:c r="I17" s="400"/>
      <s:c r="J17" s="391"/>
      <s:c r="K17" s="419"/>
      <s:c r="L17" s="464"/>
      <s:c r="M17" s="403"/>
      <s:c r="N17" s="405"/>
    </s:row>
    <s:row r="18" spans="1:14">
      <s:c r="A18" s="401"/>
      <s:c r="B18" s="400"/>
      <s:c r="C18" s="420"/>
      <s:c r="D18" s="380"/>
      <s:c r="E18" s="421"/>
      <s:c r="F18" s="421"/>
      <s:c r="G18" s="422"/>
      <s:c r="H18" s="400"/>
      <s:c r="I18" s="400"/>
      <s:c r="J18" s="400"/>
      <s:c r="K18" s="400"/>
      <s:c r="L18" s="403"/>
      <s:c r="M18" s="403"/>
      <s:c r="N18" s="405"/>
    </s:row>
    <s:row r="19" spans="1:14">
      <s:c r="A19" s="392" t="s">
        <s:v>98</s:v>
      </s:c>
      <s:c r="B19" s="393"/>
      <s:c r="C19" s="393"/>
      <s:c r="D19" s="423">
        <s:f>G24</s:f>
        <s:v>39488.955000000002</s:v>
      </s:c>
      <s:c r="E19" s="424"/>
      <s:c r="F19" s="396"/>
      <s:c r="G19" s="396"/>
      <s:c r="H19" s="396"/>
      <s:c r="I19" s="393" t="s">
        <s:v>79</s:v>
      </s:c>
      <s:c r="J19" s="396"/>
      <s:c r="K19" s="396"/>
      <s:c r="L19" s="425">
        <s:f>N24</s:f>
        <s:v>17426.765190839695</s:v>
      </s:c>
      <s:c r="M19" s="396"/>
      <s:c r="N19" s="399"/>
    </s:row>
    <s:row r="20" spans="1:14">
      <s:c r="A20" s="426"/>
      <s:c r="B20" s="379"/>
      <s:c r="C20" s="382"/>
      <s:c r="D20" s="382"/>
      <s:c r="E20" s="382"/>
      <s:c r="F20" s="382"/>
      <s:c r="G20" s="382"/>
      <s:c r="H20" s="382"/>
      <s:c r="I20" s="382"/>
      <s:c r="J20" s="382"/>
      <s:c r="K20" s="427"/>
      <s:c r="L20" s="132"/>
      <s:c r="M20" s="132"/>
      <s:c r="N20" s="428"/>
    </s:row>
    <s:row r="21" spans="1:14">
      <s:c r="A21" s="426"/>
      <s:c r="B21" s="380"/>
      <s:c r="C21" s="379"/>
      <s:c r="D21" s="382"/>
      <s:c r="E21" s="382"/>
      <s:c r="F21" s="382"/>
      <s:c r="G21" s="382"/>
      <s:c r="H21" s="382"/>
      <s:c r="I21" s="382"/>
      <s:c r="J21" s="382"/>
      <s:c r="K21" s="382"/>
      <s:c r="L21" s="382"/>
      <s:c r="M21" s="382"/>
      <s:c r="N21" s="383"/>
    </s:row>
    <s:row r="22" spans="1:14">
      <s:c r="A22" s="426"/>
      <s:c r="B22" s="379" t="s">
        <s:v>99</s:v>
      </s:c>
      <s:c r="C22" s="382"/>
      <s:c r="D22" s="382"/>
      <s:c r="E22" s="382"/>
      <s:c r="F22" s="382"/>
      <s:c r="G22" s="382"/>
      <s:c r="H22" s="382"/>
      <s:c r="I22" s="429" t="s">
        <s:v>100</s:v>
      </s:c>
      <s:c r="J22" s="430"/>
      <s:c r="K22" s="431"/>
      <s:c r="L22" s="431"/>
      <s:c r="M22" s="431"/>
      <s:c r="N22" s="432"/>
    </s:row>
    <s:row r="23" spans="1:14" ht="36">
      <s:c r="A23" s="433"/>
      <s:c r="B23" s="406" t="s">
        <s:v>28</s:v>
      </s:c>
      <s:c r="C23" s="696" t="s">
        <s:v>90</s:v>
      </s:c>
      <s:c r="D23" s="697"/>
      <s:c r="E23" s="406" t="s">
        <s:v>101</s:v>
      </s:c>
      <s:c r="F23" s="406" t="s">
        <s:v>102</s:v>
      </s:c>
      <s:c r="G23" s="406" t="s">
        <s:v>103</s:v>
      </s:c>
      <s:c r="H23" s="400"/>
      <s:c r="I23" s="434" t="s">
        <s:v>28</s:v>
      </s:c>
      <s:c r="J23" s="434" t="s">
        <s:v>90</s:v>
      </s:c>
      <s:c r="K23" s="434" t="s">
        <s:v>104</s:v>
      </s:c>
      <s:c r="L23" s="434" t="s">
        <s:v>105</s:v>
      </s:c>
      <s:c r="M23" s="434" t="s">
        <s:v>101</s:v>
      </s:c>
      <s:c r="N23" s="435" t="s">
        <s:v>103</s:v>
      </s:c>
    </s:row>
    <s:row r="24" spans="1:14">
      <s:c r="A24" s="426"/>
      <s:c r="B24" s="410" t="str">
        <s:f>A4</s:f>
        <s:v>Уразгильдеева Екатерина</s:v>
      </s:c>
      <s:c r="C24" s="698" t="str">
        <s:f>A2</s:f>
        <s:v>ул. Набережная Ленина, 18</s:v>
      </s:c>
      <s:c r="D24" s="699"/>
      <s:c r="E24" s="416">
        <s:v>5.5E-2</s:v>
      </s:c>
      <s:c r="F24" s="465">
        <s:f>'Уразгильдеева Е. Р.'!J8</s:f>
        <s:v>717981</s:v>
      </s:c>
      <s:c r="G24" s="436">
        <s:f>F24*E24</s:f>
        <s:v>39488.955000000002</s:v>
      </s:c>
      <s:c r="H24" s="380"/>
      <s:c r="I24" s="437" t="str">
        <s:f>B24</s:f>
        <s:v>Уразгильдеева Екатерина</s:v>
      </s:c>
      <s:c r="J24" s="438" t="str">
        <s:f>C24</s:f>
        <s:v>ул. Набережная Ленина, 18</s:v>
      </s:c>
      <s:c r="K24" s="438">
        <s:f>E16</s:f>
        <s:v>246</s:v>
      </s:c>
      <s:c r="L24" s="439">
        <s:f>График!AJ31</s:f>
        <s:v>786</s:v>
      </s:c>
      <s:c r="M24" s="440">
        <s:v>0.02</s:v>
      </s:c>
      <s:c r="N24" s="441">
        <s:f>'Ялта, Ленина, 18'!J8*M24*K24/L24</s:f>
        <s:v>17426.765190839695</s:v>
      </s:c>
    </s:row>
    <s:row r="25" spans="1:14">
      <s:c r="A25" s="433"/>
      <s:c r="B25" s="410" t="str">
        <s:f>B24</s:f>
        <s:v>Уразгильдеева Екатерина</s:v>
      </s:c>
      <s:c r="C25" s="700"/>
      <s:c r="D25" s="701"/>
      <s:c r="E25" s="416"/>
      <s:c r="F25" s="442"/>
      <s:c r="G25" s="414"/>
      <s:c r="H25" s="400"/>
      <s:c r="I25" s="443"/>
      <s:c r="J25" s="444"/>
      <s:c r="K25" s="445"/>
      <s:c r="L25" s="446"/>
      <s:c r="M25" s="447"/>
      <s:c r="N25" s="448" t="e">
        <s:f>1477363.14*M25*K25/L25</s:f>
        <s:v>#DIV/0!</s:v>
      </s:c>
    </s:row>
    <s:row r="26" spans="1:14">
      <s:c r="A26" s="449"/>
      <s:c r="B26" s="450"/>
      <s:c r="C26" s="450"/>
      <s:c r="D26" s="450"/>
      <s:c r="E26" s="450"/>
      <s:c r="F26" s="450"/>
      <s:c r="G26" s="450"/>
      <s:c r="H26" s="450"/>
      <s:c r="I26" s="450"/>
      <s:c r="J26" s="450"/>
      <s:c r="K26" s="450"/>
      <s:c r="L26" s="450"/>
      <s:c r="M26" s="450"/>
      <s:c r="N26" s="451"/>
    </s:row>
  </s:sheetData>
  <s:mergeCells count="18">
    <s:mergeCell ref="A1:D1"/>
    <s:mergeCell ref="A2:C2"/>
    <s:mergeCell ref="A3:C3"/>
    <s:mergeCell ref="A4:C4"/>
    <s:mergeCell ref="D7:E7"/>
    <s:mergeCell ref="J9:K9"/>
    <s:mergeCell ref="D10:E10"/>
    <s:mergeCell ref="J14:K14"/>
    <s:mergeCell ref="H7:I7"/>
    <s:mergeCell ref="J7:K7"/>
    <s:mergeCell ref="D8:E8"/>
    <s:mergeCell ref="H8:I8"/>
    <s:mergeCell ref="J8:K8"/>
    <s:mergeCell ref="C23:D23"/>
    <s:mergeCell ref="C24:D24"/>
    <s:mergeCell ref="C25:D25"/>
    <s:mergeCell ref="D9:E9"/>
    <s:mergeCell ref="H9:I9"/>
  </s:mergeCells>
  <s:pageMargins left="0.7" right="0.7" top="0.75" bottom="0.75" header="0.3" footer="0.3"/>
  <s:pageSetup paperSize="9" fitToWidth="0" fitToHeight="0" orientation="portrait"/>
</s:worksheet>
</file>

<file path=xl/worksheets/sheet1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BD1DE046-B5E4-E14A-91A6-A38CE41DD8EB}">
  <s:dimension ref="A1:N26"/>
  <s:sheetViews>
    <s:sheetView tabSelected="0" topLeftCell="A3" zoomScale="91" workbookViewId="0">
      <s:selection activeCell="M5" sqref="M5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2.832" style="3" customWidth="1"/>
    <s:col min="9" max="10" width="17.6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709" t="str">
        <s:f>График!B1</s:f>
        <s:v>Май, 2025</s:v>
      </s:c>
      <s:c r="B1" s="710"/>
      <s:c r="C1" s="710"/>
      <s:c r="D1" s="711"/>
      <s:c r="E1" s="350"/>
      <s:c r="F1" s="351"/>
      <s:c r="G1" s="351"/>
      <s:c r="H1" s="351"/>
      <s:c r="I1" s="351"/>
      <s:c r="J1" s="351"/>
      <s:c r="K1" s="351"/>
      <s:c r="L1" s="351"/>
      <s:c r="M1" s="351"/>
      <s:c r="N1" s="352"/>
    </s:row>
    <s:row r="2" spans="1:14" ht="15" customHeight="1" thickBot="1">
      <s:c r="A2" s="712" t="str">
        <s:f>График!B3</s:f>
        <s:v>ул. Набережная Ленина, 18</s:v>
      </s:c>
      <s:c r="B2" s="713"/>
      <s:c r="C2" s="713"/>
      <s:c r="D2" s="353" t="str">
        <s:f>График!B4</s:f>
        <s:v>GL-0005</s:v>
      </s:c>
      <s:c r="E2" s="354"/>
      <s:c r="F2" s="355"/>
      <s:c r="G2" s="355"/>
      <s:c r="H2" s="355"/>
      <s:c r="I2" s="355"/>
      <s:c r="J2" s="355"/>
      <s:c r="K2" s="355"/>
      <s:c r="L2" s="355"/>
      <s:c r="M2" s="355"/>
      <s:c r="N2" s="356"/>
    </s:row>
    <s:row r="3" spans="1:14" ht="75">
      <s:c r="A3" s="714" t="s">
        <s:v>28</s:v>
      </s:c>
      <s:c r="B3" s="715"/>
      <s:c r="C3" s="715"/>
      <s:c r="D3" s="357" t="s">
        <s:v>74</s:v>
      </s:c>
      <s:c r="E3" s="357" t="s">
        <s:v>75</s:v>
      </s:c>
      <s:c r="F3" s="358" t="s">
        <s:v>76</s:v>
      </s:c>
      <s:c r="G3" s="359" t="s">
        <s:v>77</s:v>
      </s:c>
      <s:c r="H3" s="360" t="s">
        <s:v>78</s:v>
      </s:c>
      <s:c r="I3" s="361" t="s">
        <s:v>79</s:v>
      </s:c>
      <s:c r="J3" s="362" t="s">
        <s:v>80</s:v>
      </s:c>
      <s:c r="K3" s="363" t="s">
        <s:v>81</s:v>
      </s:c>
      <s:c r="L3" s="364" t="s">
        <s:v>82</s:v>
      </s:c>
      <s:c r="M3" s="452" t="s">
        <s:v>83</s:v>
      </s:c>
      <s:c r="N3" s="366" t="s">
        <s:v>84</s:v>
      </s:c>
    </s:row>
    <s:row r="4" spans="1:14" ht="15" customHeight="1" thickBot="1">
      <s:c r="A4" s="716" t="str">
        <s:f>График!B27</s:f>
        <s:v>Вафина Ляйсан</s:v>
      </s:c>
      <s:c r="B4" s="717"/>
      <s:c r="C4" s="717"/>
      <s:c r="D4" s="453">
        <s:f>10440+24360</s:f>
        <s:v>34800</s:v>
      </s:c>
      <s:c r="E4" s="454">
        <s:v>22000</s:v>
      </s:c>
      <s:c r="F4" s="455">
        <s:f>H8+H9</s:f>
        <s:v>0</s:v>
      </s:c>
      <s:c r="G4" s="456">
        <s:f>D12</s:f>
        <s:v>23300</s:v>
      </s:c>
      <s:c r="H4" s="457">
        <s:f>D19</s:f>
        <s:v>38913.269999999997</s:v>
      </s:c>
      <s:c r="I4" s="458">
        <s:f>L19</s:f>
        <s:v>15679.321511470986</s:v>
      </s:c>
      <s:c r="J4" s="459">
        <s:f>L12</s:f>
        <s:v>0</s:v>
      </s:c>
      <s:c r="K4" s="374">
        <s:f>H4+J4+G4+F4+I4</s:f>
        <s:v>77892.591511470979</s:v>
      </s:c>
      <s:c r="L4" s="375">
        <s:f>C8+C9+C10</s:f>
        <s:v>5200</s:v>
      </s:c>
      <s:c r="M4" s="376">
        <s:f>K4-L4-D4-E4</s:f>
        <s:v>15892.591511470979</s:v>
      </s:c>
      <s:c r="N4" s="377"/>
    </s:row>
    <s:row r="5" spans="1:14">
      <s:c r="A5" s="378"/>
      <s:c r="B5" s="379"/>
      <s:c r="C5" s="380"/>
      <s:c r="D5" s="380"/>
      <s:c r="E5" s="380"/>
      <s:c r="F5" s="380"/>
      <s:c r="G5" s="380"/>
      <s:c r="H5" s="380"/>
      <s:c r="I5" s="380"/>
      <s:c r="J5" s="380"/>
      <s:c r="K5" s="381"/>
      <s:c r="L5" s="380"/>
      <s:c r="M5" s="382"/>
      <s:c r="N5" s="383"/>
    </s:row>
    <s:row r="6" spans="1:14">
      <s:c r="A6" s="378"/>
      <s:c r="B6" s="379" t="s">
        <s:v>82</s:v>
      </s:c>
      <s:c r="C6" s="380"/>
      <s:c r="D6" s="380"/>
      <s:c r="E6" s="380"/>
      <s:c r="F6" s="380"/>
      <s:c r="G6" s="379" t="s">
        <s:v>85</s:v>
      </s:c>
      <s:c r="H6" s="380"/>
      <s:c r="I6" s="380"/>
      <s:c r="J6" s="380"/>
      <s:c r="K6" s="380"/>
      <s:c r="L6" s="380"/>
      <s:c r="M6" s="382"/>
      <s:c r="N6" s="383"/>
    </s:row>
    <s:row r="7" spans="1:14">
      <s:c r="A7" s="384"/>
      <s:c r="B7" s="385" t="s">
        <s:v>29</s:v>
      </s:c>
      <s:c r="C7" s="385" t="s">
        <s:v>86</s:v>
      </s:c>
      <s:c r="D7" s="708" t="s">
        <s:v>87</s:v>
      </s:c>
      <s:c r="E7" s="708"/>
      <s:c r="F7" s="386"/>
      <s:c r="G7" s="385" t="s">
        <s:v>29</s:v>
      </s:c>
      <s:c r="H7" s="706" t="s">
        <s:v>86</s:v>
      </s:c>
      <s:c r="I7" s="707"/>
      <s:c r="J7" s="708" t="s">
        <s:v>87</s:v>
      </s:c>
      <s:c r="K7" s="708"/>
      <s:c r="L7" s="386"/>
      <s:c r="M7" s="387"/>
      <s:c r="N7" s="388"/>
    </s:row>
    <s:row r="8" spans="1:14" ht="23" customHeight="1">
      <s:c r="A8" s="378"/>
      <s:c r="B8" s="389">
        <s:v>45808</s:v>
      </s:c>
      <s:c r="C8" s="390">
        <s:f>3640+1560</s:f>
        <s:v>5200</s:v>
      </s:c>
      <s:c r="D8" s="702" t="s">
        <s:v>129</s:v>
      </s:c>
      <s:c r="E8" s="702"/>
      <s:c r="F8" s="380"/>
      <s:c r="G8" s="389"/>
      <s:c r="H8" s="718"/>
      <s:c r="I8" s="719"/>
      <s:c r="J8" s="702"/>
      <s:c r="K8" s="702"/>
      <s:c r="L8" s="380"/>
      <s:c r="M8" s="382"/>
      <s:c r="N8" s="383"/>
    </s:row>
    <s:row r="9" spans="1:14" ht="26" customHeight="1">
      <s:c r="A9" s="378"/>
      <s:c r="B9" s="389"/>
      <s:c r="C9" s="390"/>
      <s:c r="D9" s="702"/>
      <s:c r="E9" s="702"/>
      <s:c r="F9" s="380"/>
      <s:c r="G9" s="389"/>
      <s:c r="H9" s="718"/>
      <s:c r="I9" s="719"/>
      <s:c r="J9" s="702"/>
      <s:c r="K9" s="702"/>
      <s:c r="L9" s="380"/>
      <s:c r="M9" s="382"/>
      <s:c r="N9" s="383"/>
    </s:row>
    <s:row r="10" spans="1:14" ht="26" customHeight="1">
      <s:c r="A10" s="378"/>
      <s:c r="B10" s="389"/>
      <s:c r="C10" s="390"/>
      <s:c r="D10" s="702"/>
      <s:c r="E10" s="702"/>
      <s:c r="F10" s="380"/>
      <s:c r="G10" s="460"/>
      <s:c r="H10" s="461"/>
      <s:c r="I10" s="461"/>
      <s:c r="J10" s="462"/>
      <s:c r="K10" s="462"/>
      <s:c r="L10" s="380"/>
      <s:c r="M10" s="382"/>
      <s:c r="N10" s="383"/>
    </s:row>
    <s:row r="11" spans="1:14" ht="34" customHeight="1">
      <s:c r="A11" s="378"/>
      <s:c r="B11" s="379"/>
      <s:c r="C11" s="380"/>
      <s:c r="D11" s="380"/>
      <s:c r="E11" s="380"/>
      <s:c r="F11" s="380"/>
      <s:c r="G11" s="380"/>
      <s:c r="H11" s="380"/>
      <s:c r="I11" s="380"/>
      <s:c r="J11" s="380"/>
      <s:c r="K11" s="380"/>
      <s:c r="L11" s="380"/>
      <s:c r="M11" s="382"/>
      <s:c r="N11" s="383"/>
    </s:row>
    <s:row r="12" spans="1:14">
      <s:c r="A12" s="392" t="s">
        <s:v>88</s:v>
      </s:c>
      <s:c r="B12" s="393"/>
      <s:c r="C12" s="393"/>
      <s:c r="D12" s="394">
        <s:f>G16</s:f>
        <s:v>23300</s:v>
      </s:c>
      <s:c r="E12" s="395"/>
      <s:c r="F12" s="396"/>
      <s:c r="G12" s="393"/>
      <s:c r="H12" s="393"/>
      <s:c r="I12" s="397" t="s">
        <s:v>80</s:v>
      </s:c>
      <s:c r="J12" s="393"/>
      <s:c r="K12" s="393"/>
      <s:c r="L12" s="398">
        <s:f>L16+L17</s:f>
        <s:v>0</s:v>
      </s:c>
      <s:c r="M12" s="396"/>
      <s:c r="N12" s="399"/>
    </s:row>
    <s:row r="13" spans="1:14">
      <s:c r="A13" s="378"/>
      <s:c r="B13" s="379"/>
      <s:c r="C13" s="380"/>
      <s:c r="D13" s="400"/>
      <s:c r="E13" s="400"/>
      <s:c r="F13" s="380"/>
      <s:c r="G13" s="380"/>
      <s:c r="H13" s="380"/>
      <s:c r="I13" s="380"/>
      <s:c r="J13" s="380"/>
      <s:c r="K13" s="382"/>
      <s:c r="L13" s="382"/>
      <s:c r="M13" s="382"/>
      <s:c r="N13" s="383"/>
    </s:row>
    <s:row r="14" spans="1:14">
      <s:c r="A14" s="401"/>
      <s:c r="B14" s="402" t="s">
        <s:v>88</s:v>
      </s:c>
      <s:c r="C14" s="400"/>
      <s:c r="D14" s="400"/>
      <s:c r="E14" s="400"/>
      <s:c r="F14" s="400"/>
      <s:c r="G14" s="400"/>
      <s:c r="H14" s="400"/>
      <s:c r="I14" s="400"/>
      <s:c r="J14" s="705" t="s">
        <s:v>80</s:v>
      </s:c>
      <s:c r="K14" s="705"/>
      <s:c r="L14" s="404"/>
      <s:c r="M14" s="403"/>
      <s:c r="N14" s="405"/>
    </s:row>
    <s:row r="15" spans="1:14" ht="24">
      <s:c r="A15" s="401"/>
      <s:c r="B15" s="406" t="s">
        <s:v>89</s:v>
      </s:c>
      <s:c r="C15" s="406" t="s">
        <s:v>90</s:v>
      </s:c>
      <s:c r="D15" s="407" t="s">
        <s:v>91</s:v>
      </s:c>
      <s:c r="E15" s="407" t="s">
        <s:v>92</s:v>
      </s:c>
      <s:c r="F15" s="407" t="s">
        <s:v>93</s:v>
      </s:c>
      <s:c r="G15" s="406" t="s">
        <s:v>94</s:v>
      </s:c>
      <s:c r="H15" s="400"/>
      <s:c r="I15" s="400"/>
      <s:c r="J15" s="406" t="s">
        <s:v>90</s:v>
      </s:c>
      <s:c r="K15" s="406" t="s">
        <s:v>95</s:v>
      </s:c>
      <s:c r="L15" s="406" t="s">
        <s:v>96</s:v>
      </s:c>
      <s:c r="M15" s="403"/>
      <s:c r="N15" s="405"/>
    </s:row>
    <s:row r="16" spans="1:14">
      <s:c r="A16" s="378"/>
      <s:c r="B16" s="409">
        <s:f>График!AI27</s:f>
        <s:v>19</s:v>
      </s:c>
      <s:c r="C16" s="410" t="str">
        <s:f>A2</s:f>
        <s:v>ул. Набережная Ленина, 18</s:v>
      </s:c>
      <s:c r="D16" s="411" t="s">
        <s:v>97</s:v>
      </s:c>
      <s:c r="E16" s="412">
        <s:f>График!AJ27</s:f>
        <s:v>233</s:v>
      </s:c>
      <s:c r="F16" s="413">
        <s:v>100</s:v>
      </s:c>
      <s:c r="G16" s="414">
        <s:f>E16*F16</s:f>
        <s:v>23300</s:v>
      </s:c>
      <s:c r="H16" s="415"/>
      <s:c r="I16" s="415"/>
      <s:c r="J16" s="410" t="str">
        <s:f>График!B3</s:f>
        <s:v>ул. Набережная Ленина, 18</s:v>
      </s:c>
      <s:c r="K16" s="416">
        <s:f>'Ялта, Ленина, 18'!K8</s:f>
        <s:v>0.58075467869282305</s:v>
      </s:c>
      <s:c r="L16" s="463">
        <s:v>0</s:v>
      </s:c>
      <s:c r="M16" s="382"/>
      <s:c r="N16" s="383"/>
    </s:row>
    <s:row r="17" spans="1:14">
      <s:c r="A17" s="401"/>
      <s:c r="B17" s="406"/>
      <s:c r="C17" s="417"/>
      <s:c r="D17" s="411"/>
      <s:c r="E17" s="418"/>
      <s:c r="F17" s="413"/>
      <s:c r="G17" s="414"/>
      <s:c r="H17" s="400"/>
      <s:c r="I17" s="400"/>
      <s:c r="J17" s="391"/>
      <s:c r="K17" s="419"/>
      <s:c r="L17" s="464"/>
      <s:c r="M17" s="403"/>
      <s:c r="N17" s="405"/>
    </s:row>
    <s:row r="18" spans="1:14">
      <s:c r="A18" s="401"/>
      <s:c r="B18" s="400"/>
      <s:c r="C18" s="420"/>
      <s:c r="D18" s="380"/>
      <s:c r="E18" s="421"/>
      <s:c r="F18" s="421"/>
      <s:c r="G18" s="422"/>
      <s:c r="H18" s="400"/>
      <s:c r="I18" s="400"/>
      <s:c r="J18" s="400"/>
      <s:c r="K18" s="400"/>
      <s:c r="L18" s="403"/>
      <s:c r="M18" s="403"/>
      <s:c r="N18" s="405"/>
    </s:row>
    <s:row r="19" spans="1:14">
      <s:c r="A19" s="392" t="s">
        <s:v>98</s:v>
      </s:c>
      <s:c r="B19" s="393"/>
      <s:c r="C19" s="393"/>
      <s:c r="D19" s="423">
        <s:f>G24</s:f>
        <s:v>38913.269999999997</s:v>
      </s:c>
      <s:c r="E19" s="424"/>
      <s:c r="F19" s="396"/>
      <s:c r="G19" s="396"/>
      <s:c r="H19" s="396"/>
      <s:c r="I19" s="393" t="s">
        <s:v>79</s:v>
      </s:c>
      <s:c r="J19" s="396"/>
      <s:c r="K19" s="396"/>
      <s:c r="L19" s="425">
        <s:f>N24</s:f>
        <s:v>15679.321511470986</s:v>
      </s:c>
      <s:c r="M19" s="396"/>
      <s:c r="N19" s="399"/>
    </s:row>
    <s:row r="20" spans="1:14">
      <s:c r="A20" s="426"/>
      <s:c r="B20" s="379"/>
      <s:c r="C20" s="382"/>
      <s:c r="D20" s="382"/>
      <s:c r="E20" s="382"/>
      <s:c r="F20" s="382"/>
      <s:c r="G20" s="382"/>
      <s:c r="H20" s="382"/>
      <s:c r="I20" s="382"/>
      <s:c r="J20" s="382"/>
      <s:c r="K20" s="427"/>
      <s:c r="L20" s="132"/>
      <s:c r="M20" s="132"/>
      <s:c r="N20" s="428"/>
    </s:row>
    <s:row r="21" spans="1:14">
      <s:c r="A21" s="426"/>
      <s:c r="B21" s="380"/>
      <s:c r="C21" s="379"/>
      <s:c r="D21" s="382"/>
      <s:c r="E21" s="382"/>
      <s:c r="F21" s="382"/>
      <s:c r="G21" s="382"/>
      <s:c r="H21" s="382"/>
      <s:c r="I21" s="382"/>
      <s:c r="J21" s="382"/>
      <s:c r="K21" s="382"/>
      <s:c r="L21" s="382"/>
      <s:c r="M21" s="382"/>
      <s:c r="N21" s="383"/>
    </s:row>
    <s:row r="22" spans="1:14">
      <s:c r="A22" s="426"/>
      <s:c r="B22" s="379" t="s">
        <s:v>99</s:v>
      </s:c>
      <s:c r="C22" s="382"/>
      <s:c r="D22" s="382"/>
      <s:c r="E22" s="382"/>
      <s:c r="F22" s="382"/>
      <s:c r="G22" s="382"/>
      <s:c r="H22" s="382"/>
      <s:c r="I22" s="429" t="s">
        <s:v>100</s:v>
      </s:c>
      <s:c r="J22" s="430"/>
      <s:c r="K22" s="431"/>
      <s:c r="L22" s="431"/>
      <s:c r="M22" s="431"/>
      <s:c r="N22" s="432"/>
    </s:row>
    <s:row r="23" spans="1:14" ht="36">
      <s:c r="A23" s="433"/>
      <s:c r="B23" s="406" t="s">
        <s:v>28</s:v>
      </s:c>
      <s:c r="C23" s="696" t="s">
        <s:v>90</s:v>
      </s:c>
      <s:c r="D23" s="697"/>
      <s:c r="E23" s="406" t="s">
        <s:v>101</s:v>
      </s:c>
      <s:c r="F23" s="406" t="s">
        <s:v>102</s:v>
      </s:c>
      <s:c r="G23" s="406" t="s">
        <s:v>103</s:v>
      </s:c>
      <s:c r="H23" s="400"/>
      <s:c r="I23" s="434" t="s">
        <s:v>28</s:v>
      </s:c>
      <s:c r="J23" s="434" t="s">
        <s:v>90</s:v>
      </s:c>
      <s:c r="K23" s="434" t="s">
        <s:v>104</s:v>
      </s:c>
      <s:c r="L23" s="434" t="s">
        <s:v>105</s:v>
      </s:c>
      <s:c r="M23" s="434" t="s">
        <s:v>101</s:v>
      </s:c>
      <s:c r="N23" s="435" t="s">
        <s:v>103</s:v>
      </s:c>
    </s:row>
    <s:row r="24" spans="1:14">
      <s:c r="A24" s="426"/>
      <s:c r="B24" s="410" t="str">
        <s:f>A4</s:f>
        <s:v>Вафина Ляйсан</s:v>
      </s:c>
      <s:c r="C24" s="698" t="str">
        <s:f>A2</s:f>
        <s:v>ул. Набережная Ленина, 18</s:v>
      </s:c>
      <s:c r="D24" s="699"/>
      <s:c r="E24" s="416">
        <s:v>5.5E-2</s:v>
      </s:c>
      <s:c r="F24" s="465">
        <s:f>'Вафина Л. Ф.'!J8</s:f>
        <s:v>707514</s:v>
      </s:c>
      <s:c r="G24" s="436">
        <s:f>F24*E24</s:f>
        <s:v>38913.269999999997</s:v>
      </s:c>
      <s:c r="H24" s="380"/>
      <s:c r="I24" s="437" t="str">
        <s:f>B24</s:f>
        <s:v>Вафина Ляйсан</s:v>
      </s:c>
      <s:c r="J24" s="438" t="str">
        <s:f>C24</s:f>
        <s:v>ул. Набережная Ленина, 18</s:v>
      </s:c>
      <s:c r="K24" s="438">
        <s:f>E16</s:f>
        <s:v>233</s:v>
      </s:c>
      <s:c r="L24" s="439">
        <s:v>741</s:v>
      </s:c>
      <s:c r="M24" s="440">
        <s:v>0.02</s:v>
      </s:c>
      <s:c r="N24" s="441">
        <s:f>2493214*M24*K24/L24</s:f>
        <s:v>15679.321511470986</s:v>
      </s:c>
    </s:row>
    <s:row r="25" spans="1:14">
      <s:c r="A25" s="433"/>
      <s:c r="B25" s="410" t="str">
        <s:f>B24</s:f>
        <s:v>Вафина Ляйсан</s:v>
      </s:c>
      <s:c r="C25" s="700"/>
      <s:c r="D25" s="701"/>
      <s:c r="E25" s="416"/>
      <s:c r="F25" s="442"/>
      <s:c r="G25" s="414"/>
      <s:c r="H25" s="400"/>
      <s:c r="I25" s="443"/>
      <s:c r="J25" s="444"/>
      <s:c r="K25" s="445"/>
      <s:c r="L25" s="446"/>
      <s:c r="M25" s="447"/>
      <s:c r="N25" s="448" t="e">
        <s:f>1477363.14*M25*K25/L25</s:f>
        <s:v>#DIV/0!</s:v>
      </s:c>
    </s:row>
    <s:row r="26" spans="1:14" ht="16" thickBot="1">
      <s:c r="A26" s="449"/>
      <s:c r="B26" s="450"/>
      <s:c r="C26" s="450"/>
      <s:c r="D26" s="450"/>
      <s:c r="E26" s="450"/>
      <s:c r="F26" s="450"/>
      <s:c r="G26" s="450"/>
      <s:c r="H26" s="450"/>
      <s:c r="I26" s="450"/>
      <s:c r="J26" s="450"/>
      <s:c r="K26" s="450"/>
      <s:c r="L26" s="450"/>
      <s:c r="M26" s="450"/>
      <s:c r="N26" s="451"/>
    </s:row>
  </s:sheetData>
  <s:mergeCells count="18">
    <s:mergeCell ref="A1:D1"/>
    <s:mergeCell ref="A2:C2"/>
    <s:mergeCell ref="A3:C3"/>
    <s:mergeCell ref="A4:C4"/>
    <s:mergeCell ref="D7:E7"/>
    <s:mergeCell ref="J7:K7"/>
    <s:mergeCell ref="D8:E8"/>
    <s:mergeCell ref="H8:I8"/>
    <s:mergeCell ref="J8:K8"/>
    <s:mergeCell ref="D9:E9"/>
    <s:mergeCell ref="H9:I9"/>
    <s:mergeCell ref="J9:K9"/>
    <s:mergeCell ref="H7:I7"/>
    <s:mergeCell ref="D10:E10"/>
    <s:mergeCell ref="J14:K14"/>
    <s:mergeCell ref="C23:D23"/>
    <s:mergeCell ref="C24:D24"/>
    <s:mergeCell ref="C25:D25"/>
  </s:mergeCells>
  <s:pageMargins left="0.7" right="0.7" top="0.75" bottom="0.75" header="0.3" footer="0.3"/>
  <s:pageSetup paperSize="9" fitToWidth="0" fitToHeight="0" orientation="portrait"/>
</s:worksheet>
</file>

<file path=xl/worksheets/sheet1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A00-000000000000}">
  <s:dimension ref="A1:AO33"/>
  <s:sheetViews>
    <s:sheetView tabSelected="0" zoomScale="75" workbookViewId="0">
      <s:selection activeCell="D28" sqref="D28:E29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66"/>
      <s:c r="B1" s="467" t="s">
        <s:v>106</s:v>
      </s:c>
      <s:c r="C1" s="468"/>
      <s:c r="D1" s="468"/>
      <s:c r="E1" s="468"/>
      <s:c r="F1" s="468"/>
      <s:c r="G1" s="468"/>
      <s:c r="H1" s="468"/>
      <s:c r="I1" s="468"/>
      <s:c r="J1" s="468"/>
      <s:c r="K1" s="468"/>
      <s:c r="L1" s="468"/>
      <s:c r="M1" s="468"/>
      <s:c r="N1" s="468"/>
      <s:c r="O1" s="468"/>
      <s:c r="P1" s="468"/>
      <s:c r="Q1" s="468"/>
      <s:c r="R1" s="468"/>
      <s:c r="S1" s="468"/>
      <s:c r="T1" s="468" t="s">
        <s:v>72</s:v>
      </s:c>
      <s:c r="U1" s="468"/>
      <s:c r="V1" s="468"/>
      <s:c r="W1" s="468"/>
      <s:c r="X1" s="468"/>
      <s:c r="Y1" s="468"/>
      <s:c r="Z1" s="468"/>
      <s:c r="AA1" s="468"/>
      <s:c r="AB1" s="468"/>
      <s:c r="AC1" s="468"/>
      <s:c r="AD1" s="468"/>
      <s:c r="AE1" s="468"/>
      <s:c r="AF1" s="468"/>
      <s:c r="AG1" s="468"/>
      <s:c r="AH1" s="468"/>
      <s:c r="AI1" s="468"/>
      <s:c r="AJ1" s="468"/>
      <s:c r="AK1" s="468"/>
      <s:c r="AL1" s="468"/>
      <s:c r="AM1" s="468"/>
      <s:c r="AN1" s="468"/>
    </s:row>
    <s:row r="2" spans="1:40" ht="16">
      <s:c r="A2" s="466"/>
      <s:c r="B2" s="469" t="s">
        <s:v>107</s:v>
      </s:c>
      <s:c r="C2" s="470"/>
      <s:c r="D2" s="470"/>
      <s:c r="E2" s="471"/>
      <s:c r="F2" s="471"/>
      <s:c r="G2" s="471"/>
      <s:c r="H2" s="471"/>
      <s:c r="I2" s="471"/>
      <s:c r="J2" s="471"/>
      <s:c r="K2" s="471"/>
      <s:c r="L2" s="471"/>
      <s:c r="M2" s="471"/>
      <s:c r="N2" s="471"/>
      <s:c r="O2" s="471"/>
      <s:c r="P2" s="471"/>
      <s:c r="Q2" s="471"/>
      <s:c r="R2" s="471"/>
      <s:c r="S2" s="471"/>
      <s:c r="T2" s="471"/>
      <s:c r="U2" s="471"/>
      <s:c r="V2" s="471"/>
      <s:c r="W2" s="471"/>
      <s:c r="X2" s="471"/>
      <s:c r="Y2" s="471"/>
      <s:c r="Z2" s="471"/>
      <s:c r="AA2" s="471"/>
      <s:c r="AB2" s="471"/>
      <s:c r="AC2" s="471"/>
      <s:c r="AD2" s="471"/>
      <s:c r="AE2" s="471"/>
      <s:c r="AF2" s="471"/>
      <s:c r="AG2" s="471"/>
      <s:c r="AH2" s="471"/>
      <s:c r="AI2" s="471"/>
      <s:c r="AJ2" s="471"/>
      <s:c r="AK2" s="471"/>
      <s:c r="AL2" s="471"/>
      <s:c r="AM2" s="471"/>
      <s:c r="AN2" s="471"/>
    </s:row>
    <s:row r="3" spans="1:40" ht="16">
      <s:c r="A3" s="466"/>
      <s:c r="B3" s="472" t="s">
        <s:v>108</s:v>
      </s:c>
      <s:c r="C3" s="473"/>
      <s:c r="D3" s="473"/>
      <s:c r="E3" s="474"/>
      <s:c r="F3" s="474"/>
      <s:c r="G3" s="474"/>
      <s:c r="H3" s="474"/>
      <s:c r="I3" s="474"/>
      <s:c r="J3" s="474"/>
      <s:c r="K3" s="471"/>
      <s:c r="L3" s="471"/>
      <s:c r="M3" s="471"/>
      <s:c r="N3" s="471"/>
      <s:c r="O3" s="471"/>
      <s:c r="P3" s="471"/>
      <s:c r="Q3" s="471"/>
      <s:c r="R3" s="471"/>
      <s:c r="S3" s="471"/>
      <s:c r="T3" s="471"/>
      <s:c r="U3" s="471"/>
      <s:c r="V3" s="471"/>
      <s:c r="W3" s="471"/>
      <s:c r="X3" s="471"/>
      <s:c r="Y3" s="471"/>
      <s:c r="Z3" s="471"/>
      <s:c r="AA3" s="471"/>
      <s:c r="AB3" s="471"/>
      <s:c r="AC3" s="471"/>
      <s:c r="AD3" s="471"/>
      <s:c r="AE3" s="471"/>
      <s:c r="AF3" s="471"/>
      <s:c r="AG3" s="471"/>
      <s:c r="AH3" s="471"/>
      <s:c r="AI3" s="471"/>
      <s:c r="AJ3" s="471"/>
      <s:c r="AK3" s="471"/>
      <s:c r="AL3" s="471"/>
      <s:c r="AM3" s="471"/>
      <s:c r="AN3" s="471"/>
    </s:row>
    <s:row r="4" spans="1:40" ht="19">
      <s:c r="A4" s="466"/>
      <s:c r="B4" s="475" t="s">
        <s:v>109</s:v>
      </s:c>
      <s:c r="C4" s="470"/>
      <s:c r="D4" s="470"/>
      <s:c r="E4" s="471"/>
      <s:c r="F4" s="471"/>
      <s:c r="G4" s="471"/>
      <s:c r="H4" s="471"/>
      <s:c r="I4" s="471"/>
      <s:c r="J4" s="471"/>
      <s:c r="K4" s="471"/>
      <s:c r="L4" s="471"/>
      <s:c r="M4" s="471"/>
      <s:c r="N4" s="471"/>
      <s:c r="O4" s="471"/>
      <s:c r="P4" s="471"/>
      <s:c r="Q4" s="471"/>
      <s:c r="R4" s="471"/>
      <s:c r="S4" s="471"/>
      <s:c r="T4" s="471"/>
      <s:c r="U4" s="471"/>
      <s:c r="V4" s="471"/>
      <s:c r="W4" s="471"/>
      <s:c r="X4" s="471"/>
      <s:c r="Y4" s="471"/>
      <s:c r="Z4" s="471"/>
      <s:c r="AA4" s="471"/>
      <s:c r="AB4" s="471"/>
      <s:c r="AC4" s="471"/>
      <s:c r="AD4" s="471"/>
      <s:c r="AE4" s="471"/>
      <s:c r="AF4" s="471"/>
      <s:c r="AG4" s="471"/>
      <s:c r="AH4" s="471"/>
      <s:c r="AI4" s="471"/>
      <s:c r="AJ4" s="471"/>
      <s:c r="AK4" s="471"/>
      <s:c r="AL4" s="471"/>
      <s:c r="AM4" s="471"/>
      <s:c r="AN4" s="471"/>
    </s:row>
    <s:row r="5" spans="1:40" ht="16">
      <s:c r="A5" s="466"/>
      <s:c r="B5" s="476" t="s">
        <s:v>110</s:v>
      </s:c>
      <s:c r="C5" s="471"/>
      <s:c r="D5" s="471"/>
      <s:c r="E5" s="471"/>
      <s:c r="F5" s="471"/>
      <s:c r="G5" s="471"/>
      <s:c r="H5" s="471"/>
      <s:c r="I5" s="471"/>
      <s:c r="J5" s="471"/>
      <s:c r="K5" s="471"/>
      <s:c r="L5" s="471"/>
      <s:c r="M5" s="471"/>
      <s:c r="N5" s="471"/>
      <s:c r="O5" s="471"/>
      <s:c r="P5" s="471"/>
      <s:c r="Q5" s="471"/>
      <s:c r="R5" s="471"/>
      <s:c r="S5" s="471"/>
      <s:c r="T5" s="471"/>
      <s:c r="U5" s="471"/>
      <s:c r="V5" s="471"/>
      <s:c r="W5" s="471"/>
      <s:c r="X5" s="471"/>
      <s:c r="Y5" s="471"/>
      <s:c r="Z5" s="471"/>
      <s:c r="AA5" s="471"/>
      <s:c r="AB5" s="471"/>
      <s:c r="AC5" s="471"/>
      <s:c r="AD5" s="471"/>
      <s:c r="AE5" s="471"/>
      <s:c r="AF5" s="471"/>
      <s:c r="AG5" s="471"/>
      <s:c r="AH5" s="471"/>
      <s:c r="AI5" s="471"/>
      <s:c r="AJ5" s="723"/>
      <s:c r="AK5" s="720"/>
      <s:c r="AL5" s="724"/>
      <s:c r="AM5" s="725"/>
      <s:c r="AN5" s="726"/>
    </s:row>
    <s:row r="6" spans="1:40">
      <s:c r="A6" s="466"/>
      <s:c r="B6" s="477" t="s">
        <s:v>111</s:v>
      </s:c>
      <s:c r="C6" s="727" t="s">
        <s:v>112</s:v>
      </s:c>
      <s:c r="D6" s="721"/>
      <s:c r="E6" s="721"/>
      <s:c r="F6" s="721"/>
      <s:c r="G6" s="721"/>
      <s:c r="H6" s="721"/>
      <s:c r="I6" s="721"/>
      <s:c r="J6" s="721"/>
      <s:c r="K6" s="721"/>
      <s:c r="L6" s="721"/>
      <s:c r="M6" s="721"/>
      <s:c r="N6" s="721"/>
      <s:c r="O6" s="721"/>
      <s:c r="P6" s="721"/>
      <s:c r="Q6" s="721"/>
      <s:c r="R6" s="721"/>
      <s:c r="S6" s="721"/>
      <s:c r="T6" s="721"/>
      <s:c r="U6" s="721"/>
      <s:c r="V6" s="721"/>
      <s:c r="W6" s="721"/>
      <s:c r="X6" s="721"/>
      <s:c r="Y6" s="721"/>
      <s:c r="Z6" s="721"/>
      <s:c r="AA6" s="721"/>
      <s:c r="AB6" s="721"/>
      <s:c r="AC6" s="721"/>
      <s:c r="AD6" s="721"/>
      <s:c r="AE6" s="721"/>
      <s:c r="AF6" s="721"/>
      <s:c r="AG6" s="721"/>
      <s:c r="AH6" s="721"/>
      <s:c r="AI6" s="721"/>
      <s:c r="AJ6" s="722"/>
      <s:c r="AK6" s="478">
        <s:v>30</s:v>
      </s:c>
      <s:c r="AL6" s="479"/>
      <s:c r="AM6" s="479"/>
      <s:c r="AN6" s="479"/>
    </s:row>
    <s:row r="7" spans="1:40">
      <s:c r="A7" s="480"/>
      <s:c r="B7" s="481" t="e">
        <s:f>BT31*100/BH31</s:f>
        <s:v>#DIV/0!</s:v>
      </s:c>
      <s:c r="C7" s="727"/>
      <s:c r="D7" s="721"/>
      <s:c r="E7" s="721"/>
      <s:c r="F7" s="721"/>
      <s:c r="G7" s="721"/>
      <s:c r="H7" s="721"/>
      <s:c r="I7" s="721"/>
      <s:c r="J7" s="721"/>
      <s:c r="K7" s="721"/>
      <s:c r="L7" s="721"/>
      <s:c r="M7" s="721"/>
      <s:c r="N7" s="721"/>
      <s:c r="O7" s="721"/>
      <s:c r="P7" s="721"/>
      <s:c r="Q7" s="721"/>
      <s:c r="R7" s="721"/>
      <s:c r="S7" s="721"/>
      <s:c r="T7" s="721"/>
      <s:c r="U7" s="721"/>
      <s:c r="V7" s="721"/>
      <s:c r="W7" s="721"/>
      <s:c r="X7" s="721"/>
      <s:c r="Y7" s="721"/>
      <s:c r="Z7" s="721"/>
      <s:c r="AA7" s="721"/>
      <s:c r="AB7" s="721"/>
      <s:c r="AC7" s="721"/>
      <s:c r="AD7" s="721"/>
      <s:c r="AE7" s="721"/>
      <s:c r="AF7" s="721"/>
      <s:c r="AG7" s="721"/>
      <s:c r="AH7" s="721"/>
      <s:c r="AI7" s="721"/>
      <s:c r="AJ7" s="722"/>
      <s:c r="AK7" s="482"/>
      <s:c r="AL7" s="482"/>
      <s:c r="AM7" s="483"/>
      <s:c r="AN7" s="483"/>
    </s:row>
    <s:row r="8" spans="1:40" ht="30">
      <s:c r="A8" s="484"/>
      <s:c r="B8" s="485"/>
      <s:c r="C8" s="486"/>
      <s:c r="D8" s="487" t="s">
        <s:v>48</s:v>
      </s:c>
      <s:c r="E8" s="487" t="s">
        <s:v>49</s:v>
      </s:c>
      <s:c r="F8" s="487" t="s">
        <s:v>51</s:v>
      </s:c>
      <s:c r="G8" s="487" t="s">
        <s:v>53</s:v>
      </s:c>
      <s:c r="H8" s="487" t="s">
        <s:v>54</s:v>
      </s:c>
      <s:c r="I8" s="487" t="s">
        <s:v>55</s:v>
      </s:c>
      <s:c r="J8" s="487" t="s">
        <s:v>56</s:v>
      </s:c>
      <s:c r="K8" s="487" t="s">
        <s:v>48</s:v>
      </s:c>
      <s:c r="L8" s="487" t="s">
        <s:v>49</s:v>
      </s:c>
      <s:c r="M8" s="487" t="s">
        <s:v>51</s:v>
      </s:c>
      <s:c r="N8" s="487" t="s">
        <s:v>53</s:v>
      </s:c>
      <s:c r="O8" s="487" t="s">
        <s:v>54</s:v>
      </s:c>
      <s:c r="P8" s="487" t="s">
        <s:v>55</s:v>
      </s:c>
      <s:c r="Q8" s="487" t="s">
        <s:v>56</s:v>
      </s:c>
      <s:c r="R8" s="487" t="s">
        <s:v>48</s:v>
      </s:c>
      <s:c r="S8" s="487" t="s">
        <s:v>49</s:v>
      </s:c>
      <s:c r="T8" s="487" t="s">
        <s:v>51</s:v>
      </s:c>
      <s:c r="U8" s="487" t="s">
        <s:v>53</s:v>
      </s:c>
      <s:c r="V8" s="487" t="s">
        <s:v>54</s:v>
      </s:c>
      <s:c r="W8" s="487" t="s">
        <s:v>55</s:v>
      </s:c>
      <s:c r="X8" s="487" t="s">
        <s:v>56</s:v>
      </s:c>
      <s:c r="Y8" s="487" t="s">
        <s:v>48</s:v>
      </s:c>
      <s:c r="Z8" s="487" t="s">
        <s:v>49</s:v>
      </s:c>
      <s:c r="AA8" s="487" t="s">
        <s:v>51</s:v>
      </s:c>
      <s:c r="AB8" s="487" t="s">
        <s:v>53</s:v>
      </s:c>
      <s:c r="AC8" s="487" t="s">
        <s:v>54</s:v>
      </s:c>
      <s:c r="AD8" s="487" t="s">
        <s:v>55</s:v>
      </s:c>
      <s:c r="AE8" s="487" t="s">
        <s:v>56</s:v>
      </s:c>
      <s:c r="AF8" s="487" t="s">
        <s:v>48</s:v>
      </s:c>
      <s:c r="AG8" s="487" t="s">
        <s:v>49</s:v>
      </s:c>
      <s:c r="AH8" s="487" t="s">
        <s:v>51</s:v>
      </s:c>
      <s:c r="AI8" s="488"/>
      <s:c r="AJ8" s="489" t="s">
        <s:v>113</s:v>
      </s:c>
      <s:c r="AK8" s="489" t="s">
        <s:v>114</s:v>
      </s:c>
      <s:c r="AL8" s="728" t="s">
        <s:v>115</s:v>
      </s:c>
      <s:c r="AM8" s="728" t="s">
        <s:v>116</s:v>
      </s:c>
      <s:c r="AN8" s="732" t="s">
        <s:v>117</s:v>
      </s:c>
    </s:row>
    <s:row r="9" spans="1:40">
      <s:c r="A9" s="466"/>
      <s:c r="B9" s="471"/>
      <s:c r="C9" s="490"/>
      <s:c r="D9" s="491"/>
      <s:c r="E9" s="491"/>
      <s:c r="F9" s="491"/>
      <s:c r="G9" s="491"/>
      <s:c r="H9" s="491"/>
      <s:c r="I9" s="491"/>
      <s:c r="J9" s="491"/>
      <s:c r="K9" s="491"/>
      <s:c r="L9" s="491"/>
      <s:c r="M9" s="491"/>
      <s:c r="N9" s="491"/>
      <s:c r="O9" s="491"/>
      <s:c r="P9" s="491"/>
      <s:c r="Q9" s="491"/>
      <s:c r="R9" s="491"/>
      <s:c r="S9" s="491"/>
      <s:c r="T9" s="491"/>
      <s:c r="U9" s="491"/>
      <s:c r="V9" s="491"/>
      <s:c r="W9" s="491"/>
      <s:c r="X9" s="491"/>
      <s:c r="Y9" s="491"/>
      <s:c r="Z9" s="491"/>
      <s:c r="AA9" s="491"/>
      <s:c r="AB9" s="491"/>
      <s:c r="AC9" s="491"/>
      <s:c r="AD9" s="491"/>
      <s:c r="AE9" s="491"/>
      <s:c r="AF9" s="491"/>
      <s:c r="AG9" s="491"/>
      <s:c r="AH9" s="491"/>
      <s:c r="AI9" s="492"/>
      <s:c r="AJ9" s="493"/>
      <s:c r="AK9" s="493"/>
      <s:c r="AL9" s="729"/>
      <s:c r="AM9" s="729"/>
      <s:c r="AN9" s="733"/>
    </s:row>
    <s:row r="10" spans="1:40">
      <s:c r="A10" s="494" t="s">
        <s:v>118</s:v>
      </s:c>
      <s:c r="B10" s="495" t="s">
        <s:v>119</s:v>
      </s:c>
      <s:c r="C10" s="496" t="s">
        <s:v>91</s:v>
      </s:c>
      <s:c r="D10" s="497">
        <s:v>1</s:v>
      </s:c>
      <s:c r="E10" s="497">
        <s:v>2</s:v>
      </s:c>
      <s:c r="F10" s="497">
        <s:v>3</s:v>
      </s:c>
      <s:c r="G10" s="497">
        <s:v>4</s:v>
      </s:c>
      <s:c r="H10" s="497">
        <s:v>5</s:v>
      </s:c>
      <s:c r="I10" s="497">
        <s:v>6</s:v>
      </s:c>
      <s:c r="J10" s="497">
        <s:v>7</s:v>
      </s:c>
      <s:c r="K10" s="497">
        <s:v>8</s:v>
      </s:c>
      <s:c r="L10" s="497">
        <s:v>9</s:v>
      </s:c>
      <s:c r="M10" s="497">
        <s:v>10</s:v>
      </s:c>
      <s:c r="N10" s="497">
        <s:v>11</s:v>
      </s:c>
      <s:c r="O10" s="497">
        <s:v>12</s:v>
      </s:c>
      <s:c r="P10" s="497">
        <s:v>13</s:v>
      </s:c>
      <s:c r="Q10" s="497">
        <s:v>14</s:v>
      </s:c>
      <s:c r="R10" s="497">
        <s:v>15</s:v>
      </s:c>
      <s:c r="S10" s="497">
        <s:v>16</s:v>
      </s:c>
      <s:c r="T10" s="497">
        <s:v>17</s:v>
      </s:c>
      <s:c r="U10" s="497">
        <s:v>18</s:v>
      </s:c>
      <s:c r="V10" s="497">
        <s:v>19</s:v>
      </s:c>
      <s:c r="W10" s="497">
        <s:v>20</s:v>
      </s:c>
      <s:c r="X10" s="497">
        <s:v>21</s:v>
      </s:c>
      <s:c r="Y10" s="497">
        <s:v>22</s:v>
      </s:c>
      <s:c r="Z10" s="497">
        <s:v>23</s:v>
      </s:c>
      <s:c r="AA10" s="497">
        <s:v>24</s:v>
      </s:c>
      <s:c r="AB10" s="497">
        <s:v>25</s:v>
      </s:c>
      <s:c r="AC10" s="497">
        <s:v>26</s:v>
      </s:c>
      <s:c r="AD10" s="497">
        <s:v>27</s:v>
      </s:c>
      <s:c r="AE10" s="497">
        <s:v>28</s:v>
      </s:c>
      <s:c r="AF10" s="497">
        <s:v>29</s:v>
      </s:c>
      <s:c r="AG10" s="497">
        <s:v>30</s:v>
      </s:c>
      <s:c r="AH10" s="497">
        <s:v>31</s:v>
      </s:c>
      <s:c r="AI10" s="498" t="s">
        <s:v>120</s:v>
      </s:c>
      <s:c r="AJ10" s="499"/>
      <s:c r="AK10" s="500"/>
      <s:c r="AL10" s="730"/>
      <s:c r="AM10" s="731"/>
      <s:c r="AN10" s="734"/>
    </s:row>
    <s:row r="11" spans="1:40">
      <s:c r="A11" s="501">
        <s:v>20</s:v>
      </s:c>
      <s:c r="B11" s="502"/>
      <s:c r="C11" s="503"/>
      <s:c r="D11" s="503"/>
      <s:c r="E11" s="503"/>
      <s:c r="F11" s="503"/>
      <s:c r="G11" s="503"/>
      <s:c r="H11" s="503"/>
      <s:c r="I11" s="503"/>
      <s:c r="J11" s="503"/>
      <s:c r="K11" s="503"/>
      <s:c r="L11" s="503"/>
      <s:c r="M11" s="503"/>
      <s:c r="N11" s="503"/>
      <s:c r="O11" s="503"/>
      <s:c r="P11" s="503"/>
      <s:c r="Q11" s="503"/>
      <s:c r="R11" s="503"/>
      <s:c r="S11" s="503"/>
      <s:c r="T11" s="503"/>
      <s:c r="U11" s="503"/>
      <s:c r="V11" s="503"/>
      <s:c r="W11" s="503"/>
      <s:c r="X11" s="503"/>
      <s:c r="Y11" s="503"/>
      <s:c r="Z11" s="504"/>
      <s:c r="AA11" s="504"/>
      <s:c r="AB11" s="504"/>
      <s:c r="AC11" s="504"/>
      <s:c r="AD11" s="504"/>
      <s:c r="AE11" s="504"/>
      <s:c r="AF11" s="503"/>
      <s:c r="AG11" s="503"/>
      <s:c r="AH11" s="505"/>
      <s:c r="AI11" s="506">
        <s:v>0</s:v>
      </s:c>
      <s:c r="AJ11" s="507">
        <s:v>0</s:v>
      </s:c>
      <s:c r="AK11" s="508">
        <s:v>0</s:v>
      </s:c>
      <s:c r="AL11" s="508">
        <s:v>0</s:v>
      </s:c>
      <s:c r="AM11" s="508">
        <s:v>0</s:v>
      </s:c>
      <s:c r="AN11" s="509">
        <s:v>0</s:v>
      </s:c>
    </s:row>
    <s:row r="12" spans="1:40">
      <s:c r="A12" s="510">
        <s:v>19</s:v>
      </s:c>
      <s:c r="B12" s="511"/>
      <s:c r="C12" s="512"/>
      <s:c r="D12" s="512"/>
      <s:c r="E12" s="512"/>
      <s:c r="F12" s="512"/>
      <s:c r="G12" s="512"/>
      <s:c r="H12" s="512"/>
      <s:c r="I12" s="512"/>
      <s:c r="J12" s="512"/>
      <s:c r="K12" s="512"/>
      <s:c r="L12" s="512"/>
      <s:c r="M12" s="512"/>
      <s:c r="N12" s="512"/>
      <s:c r="O12" s="512"/>
      <s:c r="P12" s="512"/>
      <s:c r="Q12" s="512"/>
      <s:c r="R12" s="512"/>
      <s:c r="S12" s="512"/>
      <s:c r="T12" s="512"/>
      <s:c r="U12" s="512"/>
      <s:c r="V12" s="512"/>
      <s:c r="W12" s="512"/>
      <s:c r="X12" s="512"/>
      <s:c r="Y12" s="512"/>
      <s:c r="Z12" s="513"/>
      <s:c r="AA12" s="513"/>
      <s:c r="AB12" s="513"/>
      <s:c r="AC12" s="513"/>
      <s:c r="AD12" s="513"/>
      <s:c r="AE12" s="513"/>
      <s:c r="AF12" s="512"/>
      <s:c r="AG12" s="512"/>
      <s:c r="AH12" s="514"/>
      <s:c r="AI12" s="515">
        <s:v>0</s:v>
      </s:c>
      <s:c r="AJ12" s="516">
        <s:v>0</s:v>
      </s:c>
      <s:c r="AK12" s="517">
        <s:v>0</s:v>
      </s:c>
      <s:c r="AL12" s="517">
        <s:v>0</s:v>
      </s:c>
      <s:c r="AM12" s="517">
        <s:v>0</s:v>
      </s:c>
      <s:c r="AN12" s="518">
        <s:v>0</s:v>
      </s:c>
    </s:row>
    <s:row r="13" spans="1:40">
      <s:c r="A13" s="510">
        <s:v>18</s:v>
      </s:c>
      <s:c r="B13" s="511"/>
      <s:c r="C13" s="512"/>
      <s:c r="D13" s="512"/>
      <s:c r="E13" s="512"/>
      <s:c r="F13" s="512"/>
      <s:c r="G13" s="512"/>
      <s:c r="H13" s="512"/>
      <s:c r="I13" s="512"/>
      <s:c r="J13" s="512"/>
      <s:c r="K13" s="512"/>
      <s:c r="L13" s="512"/>
      <s:c r="M13" s="512"/>
      <s:c r="N13" s="512"/>
      <s:c r="O13" s="512"/>
      <s:c r="P13" s="512"/>
      <s:c r="Q13" s="512"/>
      <s:c r="R13" s="512"/>
      <s:c r="S13" s="512"/>
      <s:c r="T13" s="512"/>
      <s:c r="U13" s="512"/>
      <s:c r="V13" s="512"/>
      <s:c r="W13" s="512"/>
      <s:c r="X13" s="512"/>
      <s:c r="Y13" s="512"/>
      <s:c r="Z13" s="513"/>
      <s:c r="AA13" s="513"/>
      <s:c r="AB13" s="513"/>
      <s:c r="AC13" s="513"/>
      <s:c r="AD13" s="513"/>
      <s:c r="AE13" s="513"/>
      <s:c r="AF13" s="512"/>
      <s:c r="AG13" s="512"/>
      <s:c r="AH13" s="514"/>
      <s:c r="AI13" s="515">
        <s:v>0</s:v>
      </s:c>
      <s:c r="AJ13" s="507">
        <s:v>0</s:v>
      </s:c>
      <s:c r="AK13" s="508">
        <s:v>0</s:v>
      </s:c>
      <s:c r="AL13" s="508">
        <s:v>0</s:v>
      </s:c>
      <s:c r="AM13" s="508">
        <s:v>0</s:v>
      </s:c>
      <s:c r="AN13" s="509">
        <s:v>0</s:v>
      </s:c>
    </s:row>
    <s:row r="14" spans="1:40">
      <s:c r="A14" s="510">
        <s:v>17</s:v>
      </s:c>
      <s:c r="B14" s="511"/>
      <s:c r="C14" s="512"/>
      <s:c r="D14" s="512"/>
      <s:c r="E14" s="512"/>
      <s:c r="F14" s="512"/>
      <s:c r="G14" s="512"/>
      <s:c r="H14" s="512"/>
      <s:c r="I14" s="512"/>
      <s:c r="J14" s="512"/>
      <s:c r="K14" s="512"/>
      <s:c r="L14" s="512"/>
      <s:c r="M14" s="512"/>
      <s:c r="N14" s="512"/>
      <s:c r="O14" s="512"/>
      <s:c r="P14" s="512"/>
      <s:c r="Q14" s="512"/>
      <s:c r="R14" s="512"/>
      <s:c r="S14" s="512"/>
      <s:c r="T14" s="512"/>
      <s:c r="U14" s="512"/>
      <s:c r="V14" s="512"/>
      <s:c r="W14" s="512"/>
      <s:c r="X14" s="512"/>
      <s:c r="Y14" s="512"/>
      <s:c r="Z14" s="512"/>
      <s:c r="AA14" s="512"/>
      <s:c r="AB14" s="512"/>
      <s:c r="AC14" s="512"/>
      <s:c r="AD14" s="512"/>
      <s:c r="AE14" s="512"/>
      <s:c r="AF14" s="512"/>
      <s:c r="AG14" s="512"/>
      <s:c r="AH14" s="514"/>
      <s:c r="AI14" s="515">
        <s:v>0</s:v>
      </s:c>
      <s:c r="AJ14" s="516">
        <s:v>0</s:v>
      </s:c>
      <s:c r="AK14" s="517">
        <s:v>0</s:v>
      </s:c>
      <s:c r="AL14" s="517">
        <s:v>0</s:v>
      </s:c>
      <s:c r="AM14" s="517">
        <s:v>0</s:v>
      </s:c>
      <s:c r="AN14" s="518">
        <s:v>0</s:v>
      </s:c>
    </s:row>
    <s:row r="15" spans="1:40">
      <s:c r="A15" s="510">
        <s:v>16</s:v>
      </s:c>
      <s:c r="B15" s="511"/>
      <s:c r="C15" s="512"/>
      <s:c r="D15" s="512"/>
      <s:c r="E15" s="512"/>
      <s:c r="F15" s="512"/>
      <s:c r="G15" s="512"/>
      <s:c r="H15" s="512"/>
      <s:c r="I15" s="512"/>
      <s:c r="J15" s="512"/>
      <s:c r="K15" s="512"/>
      <s:c r="L15" s="512"/>
      <s:c r="M15" s="512"/>
      <s:c r="N15" s="512"/>
      <s:c r="O15" s="512"/>
      <s:c r="P15" s="512"/>
      <s:c r="Q15" s="512"/>
      <s:c r="R15" s="512"/>
      <s:c r="S15" s="512"/>
      <s:c r="T15" s="512"/>
      <s:c r="U15" s="512"/>
      <s:c r="V15" s="512"/>
      <s:c r="W15" s="512"/>
      <s:c r="X15" s="512"/>
      <s:c r="Y15" s="512"/>
      <s:c r="Z15" s="512"/>
      <s:c r="AA15" s="512"/>
      <s:c r="AB15" s="512"/>
      <s:c r="AC15" s="512"/>
      <s:c r="AD15" s="512"/>
      <s:c r="AE15" s="512"/>
      <s:c r="AF15" s="512"/>
      <s:c r="AG15" s="512"/>
      <s:c r="AH15" s="514"/>
      <s:c r="AI15" s="515">
        <s:v>0</s:v>
      </s:c>
      <s:c r="AJ15" s="507">
        <s:v>0</s:v>
      </s:c>
      <s:c r="AK15" s="508">
        <s:v>0</s:v>
      </s:c>
      <s:c r="AL15" s="508">
        <s:v>0</s:v>
      </s:c>
      <s:c r="AM15" s="508">
        <s:v>0</s:v>
      </s:c>
      <s:c r="AN15" s="509">
        <s:v>0</s:v>
      </s:c>
    </s:row>
    <s:row r="16" spans="1:40">
      <s:c r="A16" s="510">
        <s:v>15</s:v>
      </s:c>
      <s:c r="B16" s="511"/>
      <s:c r="C16" s="512"/>
      <s:c r="D16" s="512"/>
      <s:c r="E16" s="512"/>
      <s:c r="F16" s="512"/>
      <s:c r="G16" s="512"/>
      <s:c r="H16" s="512"/>
      <s:c r="I16" s="512"/>
      <s:c r="J16" s="512"/>
      <s:c r="K16" s="512"/>
      <s:c r="L16" s="512"/>
      <s:c r="M16" s="512"/>
      <s:c r="N16" s="512"/>
      <s:c r="O16" s="512"/>
      <s:c r="P16" s="512"/>
      <s:c r="Q16" s="512"/>
      <s:c r="R16" s="512"/>
      <s:c r="S16" s="512"/>
      <s:c r="T16" s="512"/>
      <s:c r="U16" s="512"/>
      <s:c r="V16" s="512"/>
      <s:c r="W16" s="512"/>
      <s:c r="X16" s="512"/>
      <s:c r="Y16" s="512"/>
      <s:c r="Z16" s="512"/>
      <s:c r="AA16" s="512"/>
      <s:c r="AB16" s="512"/>
      <s:c r="AC16" s="512"/>
      <s:c r="AD16" s="512"/>
      <s:c r="AE16" s="512"/>
      <s:c r="AF16" s="512"/>
      <s:c r="AG16" s="512"/>
      <s:c r="AH16" s="514"/>
      <s:c r="AI16" s="515">
        <s:v>0</s:v>
      </s:c>
      <s:c r="AJ16" s="516">
        <s:v>0</s:v>
      </s:c>
      <s:c r="AK16" s="517">
        <s:v>0</s:v>
      </s:c>
      <s:c r="AL16" s="517">
        <s:v>0</s:v>
      </s:c>
      <s:c r="AM16" s="517">
        <s:v>0</s:v>
      </s:c>
      <s:c r="AN16" s="518">
        <s:v>0</s:v>
      </s:c>
    </s:row>
    <s:row r="17" spans="1:41">
      <s:c r="A17" s="510">
        <s:v>14</s:v>
      </s:c>
      <s:c r="B17" s="511"/>
      <s:c r="C17" s="512"/>
      <s:c r="D17" s="512"/>
      <s:c r="E17" s="512"/>
      <s:c r="F17" s="512"/>
      <s:c r="G17" s="512"/>
      <s:c r="H17" s="512"/>
      <s:c r="I17" s="512"/>
      <s:c r="J17" s="512"/>
      <s:c r="K17" s="512"/>
      <s:c r="L17" s="512"/>
      <s:c r="M17" s="512"/>
      <s:c r="N17" s="512"/>
      <s:c r="O17" s="512"/>
      <s:c r="P17" s="512"/>
      <s:c r="Q17" s="512"/>
      <s:c r="R17" s="512"/>
      <s:c r="S17" s="512"/>
      <s:c r="T17" s="512"/>
      <s:c r="U17" s="512"/>
      <s:c r="V17" s="512"/>
      <s:c r="W17" s="512"/>
      <s:c r="X17" s="512"/>
      <s:c r="Y17" s="512"/>
      <s:c r="Z17" s="512"/>
      <s:c r="AA17" s="512"/>
      <s:c r="AB17" s="512"/>
      <s:c r="AC17" s="512"/>
      <s:c r="AD17" s="512"/>
      <s:c r="AE17" s="512"/>
      <s:c r="AF17" s="512"/>
      <s:c r="AG17" s="512"/>
      <s:c r="AH17" s="514"/>
      <s:c r="AI17" s="515">
        <s:v>0</s:v>
      </s:c>
      <s:c r="AJ17" s="516">
        <s:v>0</s:v>
      </s:c>
      <s:c r="AK17" s="517">
        <s:v>0</s:v>
      </s:c>
      <s:c r="AL17" s="517">
        <s:v>0</s:v>
      </s:c>
      <s:c r="AM17" s="517">
        <s:v>0</s:v>
      </s:c>
      <s:c r="AN17" s="518">
        <s:v>0</s:v>
      </s:c>
    </s:row>
    <s:row r="18" spans="1:41">
      <s:c r="A18" s="510">
        <s:v>13</s:v>
      </s:c>
      <s:c r="B18" s="511"/>
      <s:c r="C18" s="512"/>
      <s:c r="D18" s="512"/>
      <s:c r="E18" s="512"/>
      <s:c r="F18" s="512"/>
      <s:c r="G18" s="512"/>
      <s:c r="H18" s="512"/>
      <s:c r="I18" s="512"/>
      <s:c r="J18" s="512"/>
      <s:c r="K18" s="512"/>
      <s:c r="L18" s="512"/>
      <s:c r="M18" s="512"/>
      <s:c r="N18" s="512"/>
      <s:c r="O18" s="512"/>
      <s:c r="P18" s="512"/>
      <s:c r="Q18" s="512"/>
      <s:c r="R18" s="512"/>
      <s:c r="S18" s="512"/>
      <s:c r="T18" s="512"/>
      <s:c r="U18" s="512"/>
      <s:c r="V18" s="512"/>
      <s:c r="W18" s="512"/>
      <s:c r="X18" s="512"/>
      <s:c r="Y18" s="512"/>
      <s:c r="Z18" s="512"/>
      <s:c r="AA18" s="512"/>
      <s:c r="AB18" s="512"/>
      <s:c r="AC18" s="512"/>
      <s:c r="AD18" s="512"/>
      <s:c r="AE18" s="512"/>
      <s:c r="AF18" s="512"/>
      <s:c r="AG18" s="512"/>
      <s:c r="AH18" s="514"/>
      <s:c r="AI18" s="515">
        <s:v>0</s:v>
      </s:c>
      <s:c r="AJ18" s="516">
        <s:v>0</s:v>
      </s:c>
      <s:c r="AK18" s="517">
        <s:v>0</s:v>
      </s:c>
      <s:c r="AL18" s="517">
        <s:v>0</s:v>
      </s:c>
      <s:c r="AM18" s="517">
        <s:v>0</s:v>
      </s:c>
      <s:c r="AN18" s="518">
        <s:v>0</s:v>
      </s:c>
    </s:row>
    <s:row r="19" spans="1:41">
      <s:c r="A19" s="510">
        <s:v>12</s:v>
      </s:c>
      <s:c r="B19" s="511"/>
      <s:c r="C19" s="512"/>
      <s:c r="D19" s="512"/>
      <s:c r="E19" s="512"/>
      <s:c r="F19" s="512"/>
      <s:c r="G19" s="512"/>
      <s:c r="H19" s="512"/>
      <s:c r="I19" s="512"/>
      <s:c r="J19" s="512"/>
      <s:c r="K19" s="512"/>
      <s:c r="L19" s="512"/>
      <s:c r="M19" s="512"/>
      <s:c r="N19" s="512"/>
      <s:c r="O19" s="512"/>
      <s:c r="P19" s="512"/>
      <s:c r="Q19" s="512"/>
      <s:c r="R19" s="512"/>
      <s:c r="S19" s="512"/>
      <s:c r="T19" s="512"/>
      <s:c r="U19" s="512"/>
      <s:c r="V19" s="512"/>
      <s:c r="W19" s="512"/>
      <s:c r="X19" s="512"/>
      <s:c r="Y19" s="512"/>
      <s:c r="Z19" s="512"/>
      <s:c r="AA19" s="512"/>
      <s:c r="AB19" s="512"/>
      <s:c r="AC19" s="512"/>
      <s:c r="AD19" s="512"/>
      <s:c r="AE19" s="512"/>
      <s:c r="AF19" s="512"/>
      <s:c r="AG19" s="512"/>
      <s:c r="AH19" s="514"/>
      <s:c r="AI19" s="515">
        <s:v>0</s:v>
      </s:c>
      <s:c r="AJ19" s="516">
        <s:v>0</s:v>
      </s:c>
      <s:c r="AK19" s="517">
        <s:v>0</s:v>
      </s:c>
      <s:c r="AL19" s="517">
        <s:v>0</s:v>
      </s:c>
      <s:c r="AM19" s="517">
        <s:v>0</s:v>
      </s:c>
      <s:c r="AN19" s="518">
        <s:v>0</s:v>
      </s:c>
    </s:row>
    <s:row r="20" spans="1:41">
      <s:c r="A20" s="510">
        <s:v>11</s:v>
      </s:c>
      <s:c r="B20" s="511"/>
      <s:c r="C20" s="512"/>
      <s:c r="D20" s="512"/>
      <s:c r="E20" s="512"/>
      <s:c r="F20" s="512"/>
      <s:c r="G20" s="512"/>
      <s:c r="H20" s="512"/>
      <s:c r="I20" s="512"/>
      <s:c r="J20" s="512"/>
      <s:c r="K20" s="512"/>
      <s:c r="L20" s="512"/>
      <s:c r="M20" s="512"/>
      <s:c r="N20" s="512"/>
      <s:c r="O20" s="512"/>
      <s:c r="P20" s="512"/>
      <s:c r="Q20" s="512"/>
      <s:c r="R20" s="512"/>
      <s:c r="S20" s="512"/>
      <s:c r="T20" s="512"/>
      <s:c r="U20" s="512"/>
      <s:c r="V20" s="512"/>
      <s:c r="W20" s="512"/>
      <s:c r="X20" s="512"/>
      <s:c r="Y20" s="512"/>
      <s:c r="Z20" s="512"/>
      <s:c r="AA20" s="512"/>
      <s:c r="AB20" s="512"/>
      <s:c r="AC20" s="512"/>
      <s:c r="AD20" s="512"/>
      <s:c r="AE20" s="512"/>
      <s:c r="AF20" s="512"/>
      <s:c r="AG20" s="512"/>
      <s:c r="AH20" s="514"/>
      <s:c r="AI20" s="515">
        <s:v>0</s:v>
      </s:c>
      <s:c r="AJ20" s="516">
        <s:v>0</s:v>
      </s:c>
      <s:c r="AK20" s="517">
        <s:v>0</s:v>
      </s:c>
      <s:c r="AL20" s="517">
        <s:v>0</s:v>
      </s:c>
      <s:c r="AM20" s="517">
        <s:v>0</s:v>
      </s:c>
      <s:c r="AN20" s="518">
        <s:v>0</s:v>
      </s:c>
    </s:row>
    <s:row r="21" spans="1:41">
      <s:c r="A21" s="510">
        <s:v>10</s:v>
      </s:c>
      <s:c r="B21" s="511"/>
      <s:c r="C21" s="519"/>
      <s:c r="D21" s="512"/>
      <s:c r="E21" s="512"/>
      <s:c r="F21" s="512"/>
      <s:c r="G21" s="512"/>
      <s:c r="H21" s="512"/>
      <s:c r="I21" s="512"/>
      <s:c r="J21" s="512"/>
      <s:c r="K21" s="512"/>
      <s:c r="L21" s="512"/>
      <s:c r="M21" s="512"/>
      <s:c r="N21" s="512"/>
      <s:c r="O21" s="512"/>
      <s:c r="P21" s="512"/>
      <s:c r="Q21" s="512"/>
      <s:c r="R21" s="512"/>
      <s:c r="S21" s="512"/>
      <s:c r="T21" s="512"/>
      <s:c r="U21" s="512"/>
      <s:c r="V21" s="512"/>
      <s:c r="W21" s="512"/>
      <s:c r="X21" s="512"/>
      <s:c r="Y21" s="512"/>
      <s:c r="Z21" s="512"/>
      <s:c r="AA21" s="512"/>
      <s:c r="AB21" s="512"/>
      <s:c r="AC21" s="512"/>
      <s:c r="AD21" s="512"/>
      <s:c r="AE21" s="512"/>
      <s:c r="AF21" s="512"/>
      <s:c r="AG21" s="512"/>
      <s:c r="AH21" s="514"/>
      <s:c r="AI21" s="515">
        <s:v>0</s:v>
      </s:c>
      <s:c r="AJ21" s="516">
        <s:v>0</s:v>
      </s:c>
      <s:c r="AK21" s="517">
        <s:v>0</s:v>
      </s:c>
      <s:c r="AL21" s="517">
        <s:v>0</s:v>
      </s:c>
      <s:c r="AM21" s="517">
        <s:v>0</s:v>
      </s:c>
      <s:c r="AN21" s="518">
        <s:v>0</s:v>
      </s:c>
    </s:row>
    <s:row r="22" spans="1:41">
      <s:c r="A22" s="510">
        <s:v>9</s:v>
      </s:c>
      <s:c r="B22" s="511"/>
      <s:c r="C22" s="512"/>
      <s:c r="D22" s="512"/>
      <s:c r="E22" s="512"/>
      <s:c r="F22" s="512"/>
      <s:c r="G22" s="512"/>
      <s:c r="H22" s="512"/>
      <s:c r="I22" s="512"/>
      <s:c r="J22" s="512"/>
      <s:c r="K22" s="512"/>
      <s:c r="L22" s="512"/>
      <s:c r="M22" s="512"/>
      <s:c r="N22" s="512"/>
      <s:c r="O22" s="512"/>
      <s:c r="P22" s="512"/>
      <s:c r="Q22" s="512"/>
      <s:c r="R22" s="512"/>
      <s:c r="S22" s="512"/>
      <s:c r="T22" s="512"/>
      <s:c r="U22" s="512"/>
      <s:c r="V22" s="512"/>
      <s:c r="W22" s="512"/>
      <s:c r="X22" s="512"/>
      <s:c r="Y22" s="512"/>
      <s:c r="Z22" s="512"/>
      <s:c r="AA22" s="512"/>
      <s:c r="AB22" s="512"/>
      <s:c r="AC22" s="512"/>
      <s:c r="AD22" s="512"/>
      <s:c r="AE22" s="512"/>
      <s:c r="AF22" s="512"/>
      <s:c r="AG22" s="512"/>
      <s:c r="AH22" s="514"/>
      <s:c r="AI22" s="515">
        <s:f validation_="true">COUNTIF(D22:AH22, "&gt;0")</s:f>
        <s:v>0</s:v>
      </s:c>
      <s:c r="AJ22" s="516">
        <s:v>0</s:v>
      </s:c>
      <s:c r="AK22" s="517">
        <s:v>0</s:v>
      </s:c>
      <s:c r="AL22" s="517">
        <s:v>0</s:v>
      </s:c>
      <s:c r="AM22" s="517">
        <s:v>0</s:v>
      </s:c>
      <s:c r="AN22" s="518">
        <s:v>0</s:v>
      </s:c>
    </s:row>
    <s:row r="23" spans="1:41">
      <s:c r="A23" s="510">
        <s:v>8</s:v>
      </s:c>
      <s:c r="B23" s="520"/>
      <s:c r="C23" s="521"/>
      <s:c r="D23" s="521"/>
      <s:c r="E23" s="521"/>
      <s:c r="F23" s="521"/>
      <s:c r="G23" s="521"/>
      <s:c r="H23" s="521"/>
      <s:c r="I23" s="521"/>
      <s:c r="J23" s="521"/>
      <s:c r="K23" s="521"/>
      <s:c r="L23" s="521"/>
      <s:c r="M23" s="521"/>
      <s:c r="N23" s="522"/>
      <s:c r="O23" s="523"/>
      <s:c r="P23" s="523"/>
      <s:c r="Q23" s="523"/>
      <s:c r="R23" s="523"/>
      <s:c r="S23" s="523"/>
      <s:c r="T23" s="523"/>
      <s:c r="U23" s="523"/>
      <s:c r="V23" s="523"/>
      <s:c r="W23" s="524"/>
      <s:c r="X23" s="523"/>
      <s:c r="Y23" s="523"/>
      <s:c r="Z23" s="523"/>
      <s:c r="AA23" s="523"/>
      <s:c r="AB23" s="523"/>
      <s:c r="AC23" s="523"/>
      <s:c r="AD23" s="523"/>
      <s:c r="AE23" s="523"/>
      <s:c r="AF23" s="523"/>
      <s:c r="AG23" s="523"/>
      <s:c r="AH23" s="525"/>
      <s:c r="AI23" s="515">
        <s:f validation_="true">COUNTIF(D23:AH23, "&gt;0")</s:f>
        <s:v>0</s:v>
      </s:c>
      <s:c r="AJ23" s="516">
        <s:v>0</s:v>
      </s:c>
      <s:c r="AK23" s="517">
        <s:v>0</s:v>
      </s:c>
      <s:c r="AL23" s="517">
        <s:v>0</s:v>
      </s:c>
      <s:c r="AM23" s="517">
        <s:v>0</s:v>
      </s:c>
      <s:c r="AN23" s="518">
        <s:v>0</s:v>
      </s:c>
    </s:row>
    <s:row r="24" spans="1:41" ht="16">
      <s:c r="A24" s="510">
        <s:v>7</s:v>
      </s:c>
      <s:c r="B24" s="526"/>
      <s:c r="C24" s="527"/>
      <s:c r="D24" s="528"/>
      <s:c r="E24" s="528"/>
      <s:c r="F24" s="528"/>
      <s:c r="G24" s="528"/>
      <s:c r="H24" s="523"/>
      <s:c r="I24" s="523"/>
      <s:c r="J24" s="521"/>
      <s:c r="K24" s="521"/>
      <s:c r="L24" s="523"/>
      <s:c r="M24" s="523"/>
      <s:c r="N24" s="521"/>
      <s:c r="O24" s="521"/>
      <s:c r="P24" s="523"/>
      <s:c r="Q24" s="523"/>
      <s:c r="R24" s="521"/>
      <s:c r="S24" s="521"/>
      <s:c r="T24" s="523"/>
      <s:c r="U24" s="523"/>
      <s:c r="V24" s="523"/>
      <s:c r="W24" s="521"/>
      <s:c r="X24" s="521"/>
      <s:c r="Y24" s="523"/>
      <s:c r="Z24" s="523"/>
      <s:c r="AA24" s="523"/>
      <s:c r="AB24" s="521"/>
      <s:c r="AC24" s="521"/>
      <s:c r="AD24" s="523"/>
      <s:c r="AE24" s="523"/>
      <s:c r="AF24" s="523"/>
      <s:c r="AG24" s="523"/>
      <s:c r="AH24" s="521"/>
      <s:c r="AI24" s="515">
        <s:f validation_="true">COUNTIF(D24:AH24, "&gt;0")</s:f>
        <s:v>0</s:v>
      </s:c>
      <s:c r="AJ24" s="516">
        <s:v>0</s:v>
      </s:c>
      <s:c r="AK24" s="517">
        <s:v>0</s:v>
      </s:c>
      <s:c r="AL24" s="517">
        <s:v>0</s:v>
      </s:c>
      <s:c r="AM24" s="517">
        <s:v>0</s:v>
      </s:c>
      <s:c r="AN24" s="518">
        <s:v>0</s:v>
      </s:c>
    </s:row>
    <s:row r="25" spans="1:41" ht="16">
      <s:c r="A25" s="529">
        <s:v>6</s:v>
      </s:c>
      <s:c r="B25" s="526"/>
      <s:c r="C25" s="527"/>
      <s:c r="D25" s="530"/>
      <s:c r="E25" s="530"/>
      <s:c r="F25" s="530"/>
      <s:c r="G25" s="528"/>
      <s:c r="H25" s="531"/>
      <s:c r="I25" s="531"/>
      <s:c r="J25" s="532"/>
      <s:c r="K25" s="532"/>
      <s:c r="L25" s="532"/>
      <s:c r="M25" s="532"/>
      <s:c r="N25" s="532"/>
      <s:c r="O25" s="532"/>
      <s:c r="P25" s="532"/>
      <s:c r="Q25" s="532"/>
      <s:c r="R25" s="532"/>
      <s:c r="S25" s="521"/>
      <s:c r="T25" s="531"/>
      <s:c r="U25" s="531"/>
      <s:c r="V25" s="531"/>
      <s:c r="W25" s="532"/>
      <s:c r="X25" s="532"/>
      <s:c r="Y25" s="531"/>
      <s:c r="Z25" s="531"/>
      <s:c r="AA25" s="531"/>
      <s:c r="AB25" s="533"/>
      <s:c r="AC25" s="532"/>
      <s:c r="AD25" s="531"/>
      <s:c r="AE25" s="531"/>
      <s:c r="AF25" s="531"/>
      <s:c r="AG25" s="531"/>
      <s:c r="AH25" s="532"/>
      <s:c r="AI25" s="534">
        <s:f>COUNTIF(D25:AH25,"&gt;0")</s:f>
        <s:v>0</s:v>
      </s:c>
      <s:c r="AJ25" s="535">
        <s:f>SUMIF(D25:AH25,"&gt;0")</s:f>
        <s:v>0</s:v>
      </s:c>
      <s:c r="AK25" s="536">
        <s:f>COUNTIF(D25:AH25,"В")</s:f>
        <s:v>0</s:v>
      </s:c>
      <s:c r="AL25" s="536">
        <s:f validation_="true">COUNTIF(E25:AI25,"о")</s:f>
        <s:v>0</s:v>
      </s:c>
      <s:c r="AM25" s="536">
        <s:f validation_="true">COUNTIF(F25:AJ25,"б")</s:f>
        <s:v>0</s:v>
      </s:c>
      <s:c r="AN25" s="537">
        <s:v>0</s:v>
      </s:c>
      <s:c r="AO25" s="538"/>
    </s:row>
    <s:row r="26" spans="1:41" ht="16">
      <s:c r="A26" s="539">
        <s:v>5</s:v>
      </s:c>
      <s:c r="B26" s="526" t="s">
        <s:v>121</s:v>
      </s:c>
      <s:c r="C26" s="523"/>
      <s:c r="D26" s="540"/>
      <s:c r="E26" s="540"/>
      <s:c r="F26" s="540"/>
      <s:c r="G26" s="540"/>
      <s:c r="H26" s="528"/>
      <s:c r="I26" s="521"/>
      <s:c r="J26" s="523"/>
      <s:c r="K26" s="523"/>
      <s:c r="L26" s="523"/>
      <s:c r="M26" s="523"/>
      <s:c r="N26" s="523"/>
      <s:c r="O26" s="521"/>
      <s:c r="P26" s="521"/>
      <s:c r="Q26" s="523"/>
      <s:c r="R26" s="521"/>
      <s:c r="S26" s="528"/>
      <s:c r="T26" s="521"/>
      <s:c r="U26" s="523"/>
      <s:c r="V26" s="523"/>
      <s:c r="W26" s="523"/>
      <s:c r="X26" s="523"/>
      <s:c r="Y26" s="523"/>
      <s:c r="Z26" s="523"/>
      <s:c r="AA26" s="523"/>
      <s:c r="AB26" s="523"/>
      <s:c r="AC26" s="523"/>
      <s:c r="AD26" s="523"/>
      <s:c r="AE26" s="523"/>
      <s:c r="AF26" s="523"/>
      <s:c r="AG26" s="523"/>
      <s:c r="AH26" s="521"/>
      <s:c r="AI26" s="541">
        <s:f validation_="true">COUNTIF(D26:AH26, "&gt;0")</s:f>
        <s:v>0</s:v>
      </s:c>
      <s:c r="AJ26" s="542">
        <s:f validation_="true">SUMIF(D26:AH26, "&gt;0")</s:f>
        <s:v>0</s:v>
      </s:c>
      <s:c r="AK26" s="543">
        <s:f validation_="true">COUNTIF(D26:AH26, "В")</s:f>
        <s:v>0</s:v>
      </s:c>
      <s:c r="AL26" s="543">
        <s:v>0</s:v>
      </s:c>
      <s:c r="AM26" s="543">
        <s:v>0</s:v>
      </s:c>
      <s:c r="AN26" s="544">
        <s:v>0</s:v>
      </s:c>
    </s:row>
    <s:row r="27" spans="1:41" ht="16">
      <s:c r="A27" s="545">
        <s:v>4</s:v>
      </s:c>
      <s:c r="B27" s="520" t="s">
        <s:v>122</s:v>
      </s:c>
      <s:c r="C27" s="546" t="s">
        <s:v>97</s:v>
      </s:c>
      <s:c r="D27" s="528" t="s">
        <s:v>123</s:v>
      </s:c>
      <s:c r="E27" s="521" t="s">
        <s:v>72</s:v>
      </s:c>
      <s:c r="F27" s="739">
        <s:v>12</s:v>
      </s:c>
      <s:c r="G27" s="739">
        <s:v>12</s:v>
      </s:c>
      <s:c r="H27" s="739">
        <s:v>12</s:v>
      </s:c>
      <s:c r="I27" s="521" t="s">
        <s:v>72</s:v>
      </s:c>
      <s:c r="J27" s="521" t="s">
        <s:v>72</s:v>
      </s:c>
      <s:c r="K27" s="739">
        <s:v>12</s:v>
      </s:c>
      <s:c r="L27" s="739">
        <s:v>12</s:v>
      </s:c>
      <s:c r="M27" s="739">
        <s:v>12</s:v>
      </s:c>
      <s:c r="N27" s="523" t="s">
        <s:v>72</s:v>
      </s:c>
      <s:c r="O27" s="740">
        <s:v>12</s:v>
      </s:c>
      <s:c r="P27" s="739">
        <s:v>12</s:v>
      </s:c>
      <s:c r="Q27" s="739">
        <s:v>12</s:v>
      </s:c>
      <s:c r="R27" s="528" t="s">
        <s:v>72</s:v>
      </s:c>
      <s:c r="S27" s="521" t="s">
        <s:v>72</s:v>
      </s:c>
      <s:c r="T27" s="735">
        <s:v>12</s:v>
      </s:c>
      <s:c r="U27" s="736">
        <s:v>12</s:v>
      </s:c>
      <s:c r="V27" s="736">
        <s:v>12</s:v>
      </s:c>
      <s:c r="W27" s="528" t="s">
        <s:v>72</s:v>
      </s:c>
      <s:c r="X27" s="521" t="s">
        <s:v>72</s:v>
      </s:c>
      <s:c r="Y27" s="735">
        <s:v>12</s:v>
      </s:c>
      <s:c r="Z27" s="736">
        <s:v>12</s:v>
      </s:c>
      <s:c r="AA27" s="736">
        <s:v>13</s:v>
      </s:c>
      <s:c r="AB27" s="528" t="s">
        <s:v>72</s:v>
      </s:c>
      <s:c r="AC27" s="737">
        <s:v>13</s:v>
      </s:c>
      <s:c r="AD27" s="735">
        <s:v>13</s:v>
      </s:c>
      <s:c r="AE27" s="736">
        <s:v>13</s:v>
      </s:c>
      <s:c r="AF27" s="528" t="s">
        <s:v>72</s:v>
      </s:c>
      <s:c r="AG27" s="528" t="s">
        <s:v>72</s:v>
      </s:c>
      <s:c r="AH27" s="738">
        <s:v>13</s:v>
      </s:c>
      <s:c r="AI27" s="547">
        <s:f validation_="true">COUNTIF(D27:AH27,"&gt;0")</s:f>
        <s:v>19</s:v>
      </s:c>
      <s:c r="AJ27" s="535">
        <s:f validation_="true">SUMIF(D27:AH27,"&gt;0")</s:f>
        <s:v>233</s:v>
      </s:c>
      <s:c r="AK27" s="536">
        <s:f validation_="true">COUNTIF(D27:AH27,"В")</s:f>
        <s:v>11</s:v>
      </s:c>
      <s:c r="AL27" s="536">
        <s:f validation_="true">COUNTIF(E27:AI27,"о")</s:f>
        <s:v>0</s:v>
      </s:c>
      <s:c r="AM27" s="536">
        <s:f validation_="true">COUNTIF(F27:AJ27,"б")</s:f>
        <s:v>0</s:v>
      </s:c>
      <s:c r="AN27" s="548">
        <s:v>0</s:v>
      </s:c>
      <s:c r="AO27" s="538"/>
    </s:row>
    <s:row r="28" spans="1:41" ht="16">
      <s:c r="A28" s="529">
        <s:v>3</s:v>
      </s:c>
      <s:c r="B28" s="526" t="s">
        <s:v>124</s:v>
      </s:c>
      <s:c r="C28" s="546" t="s">
        <s:v>97</s:v>
      </s:c>
      <s:c r="D28" s="739">
        <s:v>12</s:v>
      </s:c>
      <s:c r="E28" s="739">
        <s:v>12</s:v>
      </s:c>
      <s:c r="F28" s="739">
        <s:v>12</s:v>
      </s:c>
      <s:c r="G28" s="528" t="s">
        <s:v>72</s:v>
      </s:c>
      <s:c r="H28" s="528" t="s">
        <s:v>72</s:v>
      </s:c>
      <s:c r="I28" s="739">
        <s:v>12</s:v>
      </s:c>
      <s:c r="J28" s="739">
        <s:v>12</s:v>
      </s:c>
      <s:c r="K28" s="523" t="s">
        <s:v>72</s:v>
      </s:c>
      <s:c r="L28" s="739">
        <s:v>12</s:v>
      </s:c>
      <s:c r="M28" s="739">
        <s:v>12</s:v>
      </s:c>
      <s:c r="N28" s="739">
        <s:v>12</s:v>
      </s:c>
      <s:c r="O28" s="523" t="s">
        <s:v>72</s:v>
      </s:c>
      <s:c r="P28" s="523" t="s">
        <s:v>72</s:v>
      </s:c>
      <s:c r="Q28" s="739">
        <s:v>12</s:v>
      </s:c>
      <s:c r="R28" s="739">
        <s:v>12</s:v>
      </s:c>
      <s:c r="S28" s="739">
        <s:v>12</s:v>
      </s:c>
      <s:c r="T28" s="521" t="s">
        <s:v>72</s:v>
      </s:c>
      <s:c r="U28" s="521" t="s">
        <s:v>72</s:v>
      </s:c>
      <s:c r="V28" s="739">
        <s:v>12</s:v>
      </s:c>
      <s:c r="W28" s="739">
        <s:v>12</s:v>
      </s:c>
      <s:c r="X28" s="739">
        <s:v>12</s:v>
      </s:c>
      <s:c r="Y28" s="549" t="s">
        <s:v>72</s:v>
      </s:c>
      <s:c r="Z28" s="549" t="s">
        <s:v>72</s:v>
      </s:c>
      <s:c r="AA28" s="739">
        <s:v>13</s:v>
      </s:c>
      <s:c r="AB28" s="739">
        <s:v>13</s:v>
      </s:c>
      <s:c r="AC28" s="739">
        <s:v>13</s:v>
      </s:c>
      <s:c r="AD28" s="523" t="s">
        <s:v>72</s:v>
      </s:c>
      <s:c r="AE28" s="523" t="s">
        <s:v>72</s:v>
      </s:c>
      <s:c r="AF28" s="739">
        <s:v>13</s:v>
      </s:c>
      <s:c r="AG28" s="739">
        <s:v>13</s:v>
      </s:c>
      <s:c r="AH28" s="739">
        <s:v>13</s:v>
      </s:c>
      <s:c r="AI28" s="547">
        <s:f validation_="true">COUNTIF(D28:AH28,"&gt;0")</s:f>
        <s:v>20</s:v>
      </s:c>
      <s:c r="AJ28" s="535">
        <s:f validation_="true">SUMIF(D28:AH28,"&gt;0")</s:f>
        <s:v>246</s:v>
      </s:c>
      <s:c r="AK28" s="536">
        <s:f validation_="true">COUNTIF(D28:AH28,"В")</s:f>
        <s:v>11</s:v>
      </s:c>
      <s:c r="AL28" s="536">
        <s:f validation_="true">COUNTIF(E28:AI28,"о")</s:f>
        <s:v>0</s:v>
      </s:c>
      <s:c r="AM28" s="536">
        <s:f validation_="true">COUNTIF(F28:AJ28,"б")</s:f>
        <s:v>0</s:v>
      </s:c>
      <s:c r="AN28" s="537">
        <s:v>0</s:v>
      </s:c>
      <s:c r="AO28" s="538"/>
    </s:row>
    <s:row r="29" spans="1:41" ht="16">
      <s:c r="A29" s="529">
        <s:v>2</s:v>
      </s:c>
      <s:c r="B29" s="550" t="s">
        <s:v>125</s:v>
      </s:c>
      <s:c r="C29" s="546" t="s">
        <s:v>126</s:v>
      </s:c>
      <s:c r="D29" s="736">
        <s:v>10</s:v>
      </s:c>
      <s:c r="E29" s="736">
        <s:v>11</s:v>
      </s:c>
      <s:c r="F29" s="736">
        <s:v>10</s:v>
      </s:c>
      <s:c r="G29" s="736">
        <s:v>12</s:v>
      </s:c>
      <s:c r="H29" s="736">
        <s:v>12</s:v>
      </s:c>
      <s:c r="I29" s="736">
        <s:v>10</s:v>
      </s:c>
      <s:c r="J29" s="736">
        <s:v>10</s:v>
      </s:c>
      <s:c r="K29" s="736">
        <s:v>12</s:v>
      </s:c>
      <s:c r="L29" s="736">
        <s:v>9</s:v>
      </s:c>
      <s:c r="M29" s="736">
        <s:v>9</s:v>
      </s:c>
      <s:c r="N29" s="736">
        <s:v>10</s:v>
      </s:c>
      <s:c r="O29" s="736">
        <s:v>12</s:v>
      </s:c>
      <s:c r="P29" s="736">
        <s:v>12</s:v>
      </s:c>
      <s:c r="Q29" s="528" t="s">
        <s:v>72</s:v>
      </s:c>
      <s:c r="R29" s="736">
        <s:v>10</s:v>
      </s:c>
      <s:c r="S29" s="736">
        <s:v>11</s:v>
      </s:c>
      <s:c r="T29" s="736">
        <s:v>12</s:v>
      </s:c>
      <s:c r="U29" s="736">
        <s:v>12</s:v>
      </s:c>
      <s:c r="V29" s="528" t="s">
        <s:v>72</s:v>
      </s:c>
      <s:c r="W29" s="736">
        <s:v>10</s:v>
      </s:c>
      <s:c r="X29" s="736">
        <s:v>10</s:v>
      </s:c>
      <s:c r="Y29" s="736">
        <s:v>12</s:v>
      </s:c>
      <s:c r="Z29" s="736">
        <s:v>12</s:v>
      </s:c>
      <s:c r="AA29" s="736">
        <s:v>11</s:v>
      </s:c>
      <s:c r="AB29" s="736">
        <s:v>11</s:v>
      </s:c>
      <s:c r="AC29" s="528" t="s">
        <s:v>72</s:v>
      </s:c>
      <s:c r="AD29" s="736">
        <s:v>13</s:v>
      </s:c>
      <s:c r="AE29" s="736">
        <s:v>13</s:v>
      </s:c>
      <s:c r="AF29" s="736">
        <s:v>11</s:v>
      </s:c>
      <s:c r="AG29" s="736">
        <s:v>11</s:v>
      </s:c>
      <s:c r="AH29" s="736">
        <s:v>9</s:v>
      </s:c>
      <s:c r="AI29" s="547">
        <s:f validation_="true">COUNTIF(D29:AH29,"&gt;0")</s:f>
        <s:v>28</s:v>
      </s:c>
      <s:c r="AJ29" s="535">
        <s:f validation_="true">SUMIF(D29:AH29,"&gt;0")</s:f>
        <s:v>307</s:v>
      </s:c>
      <s:c r="AK29" s="536">
        <s:f validation_="true">COUNTIF(D29:AH29,"В")</s:f>
        <s:v>3</s:v>
      </s:c>
      <s:c r="AL29" s="536">
        <s:f validation_="true">COUNTIF(E29:AI29,"о")</s:f>
        <s:v>0</s:v>
      </s:c>
      <s:c r="AM29" s="536">
        <s:f validation_="true">COUNTIF(F29:AJ29,"б")</s:f>
        <s:v>0</s:v>
      </s:c>
      <s:c r="AN29" s="537">
        <s:v>0</s:v>
      </s:c>
      <s:c r="AO29" s="538"/>
    </s:row>
    <s:row r="30" spans="1:41" ht="16">
      <s:c r="A30" s="551">
        <s:v>1</s:v>
      </s:c>
      <s:c r="B30" s="552"/>
      <s:c r="C30" s="553"/>
      <s:c r="D30" s="554"/>
      <s:c r="E30" s="528"/>
      <s:c r="F30" s="528"/>
      <s:c r="G30" s="528"/>
      <s:c r="H30" s="528"/>
      <s:c r="I30" s="528"/>
      <s:c r="J30" s="528"/>
      <s:c r="K30" s="528"/>
      <s:c r="L30" s="555"/>
      <s:c r="M30" s="528"/>
      <s:c r="N30" s="528"/>
      <s:c r="O30" s="528"/>
      <s:c r="P30" s="528"/>
      <s:c r="Q30" s="528"/>
      <s:c r="R30" s="528"/>
      <s:c r="S30" s="528"/>
      <s:c r="T30" s="528"/>
      <s:c r="U30" s="556"/>
      <s:c r="V30" s="556"/>
      <s:c r="W30" s="528"/>
      <s:c r="X30" s="528"/>
      <s:c r="Y30" s="528"/>
      <s:c r="Z30" s="528"/>
      <s:c r="AA30" s="528"/>
      <s:c r="AB30" s="528"/>
      <s:c r="AC30" s="528"/>
      <s:c r="AD30" s="528"/>
      <s:c r="AE30" s="528"/>
      <s:c r="AF30" s="528"/>
      <s:c r="AG30" s="528"/>
      <s:c r="AH30" s="528"/>
      <s:c r="AI30" s="557">
        <s:f validation_="true">COUNTIF(D30:AH30, "&gt;0")</s:f>
        <s:v>0</s:v>
      </s:c>
      <s:c r="AJ30" s="542">
        <s:f validation_="true">SUMIF(D30:AH30, "&gt;0")</s:f>
        <s:v>0</s:v>
      </s:c>
      <s:c r="AK30" s="558">
        <s:f validation_="true">COUNTIF(D30:AH30, "В")</s:f>
        <s:v>0</s:v>
      </s:c>
      <s:c r="AL30" s="558">
        <s:f>COUNTIF(E30:AI30, "о")</s:f>
        <s:v>0</s:v>
      </s:c>
      <s:c r="AM30" s="558">
        <s:f>COUNTIF(F30:AJ30, "б")</s:f>
        <s:v>0</s:v>
      </s:c>
      <s:c r="AN30" s="559">
        <s:v>0</s:v>
      </s:c>
    </s:row>
    <s:row r="31" spans="1:41">
      <s:c r="A31" s="560"/>
      <s:c r="B31" s="561" t="s">
        <s:v>127</s:v>
      </s:c>
      <s:c r="C31" s="562"/>
      <s:c r="D31" s="563">
        <s:f>COUNTIF(D11:D30, "&gt;0")</s:f>
        <s:v>2</s:v>
      </s:c>
      <s:c r="E31" s="561">
        <s:f validation_="true">COUNTIF(E11:E30, "&gt;0")</s:f>
        <s:v>2</s:v>
      </s:c>
      <s:c r="F31" s="561">
        <s:f validation_="true">COUNTIF(F11:F30, "&gt;0")</s:f>
        <s:v>3</s:v>
      </s:c>
      <s:c r="G31" s="561">
        <s:f validation_="true">COUNTIF(G11:G30, "&gt;0")</s:f>
        <s:v>2</s:v>
      </s:c>
      <s:c r="H31" s="561">
        <s:f validation_="true">COUNTIF(H11:H30, "&gt;0")</s:f>
        <s:v>2</s:v>
      </s:c>
      <s:c r="I31" s="561">
        <s:f validation_="true">COUNTIF(I11:I30, "&gt;0")</s:f>
        <s:v>2</s:v>
      </s:c>
      <s:c r="J31" s="561">
        <s:f validation_="true">COUNTIF(J11:J30, "&gt;0")</s:f>
        <s:v>2</s:v>
      </s:c>
      <s:c r="K31" s="561">
        <s:f>COUNTIF(K11:K29, "&gt;0")</s:f>
        <s:v>2</s:v>
      </s:c>
      <s:c r="L31" s="561">
        <s:f validation_="true">COUNTIF(L11:L30, "&gt;0")</s:f>
        <s:v>3</s:v>
      </s:c>
      <s:c r="M31" s="561">
        <s:f validation_="true">COUNTIF(M11:M30, "&gt;0")</s:f>
        <s:v>3</s:v>
      </s:c>
      <s:c r="N31" s="561">
        <s:f validation_="true">COUNTIF(N11:N30, "&gt;0")</s:f>
        <s:v>2</s:v>
      </s:c>
      <s:c r="O31" s="561">
        <s:f validation_="true">COUNTIF(O11:O30, "&gt;0")</s:f>
        <s:v>2</s:v>
      </s:c>
      <s:c r="P31" s="561">
        <s:f validation_="true">COUNTIF(P11:P30, "&gt;0")</s:f>
        <s:v>2</s:v>
      </s:c>
      <s:c r="Q31" s="561">
        <s:f validation_="true">COUNTIF(Q11:Q30, "&gt;0")</s:f>
        <s:v>2</s:v>
      </s:c>
      <s:c r="R31" s="561">
        <s:f validation_="true">COUNTIF(R11:R30, "&gt;0")</s:f>
        <s:v>2</s:v>
      </s:c>
      <s:c r="S31" s="561">
        <s:f validation_="true">COUNTIF(S11:S30, "&gt;0")</s:f>
        <s:v>2</s:v>
      </s:c>
      <s:c r="T31" s="561">
        <s:f validation_="true">COUNTIF(T11:T30, "&gt;0")</s:f>
        <s:v>2</s:v>
      </s:c>
      <s:c r="U31" s="561">
        <s:f validation_="true">COUNTIF(U11:U30, "&gt;0")</s:f>
        <s:v>2</s:v>
      </s:c>
      <s:c r="V31" s="561">
        <s:f validation_="true">COUNTIF(V11:V30, "&gt;0")</s:f>
        <s:v>2</s:v>
      </s:c>
      <s:c r="W31" s="561">
        <s:f validation_="true">COUNTIF(W11:W30, "&gt;0")</s:f>
        <s:v>2</s:v>
      </s:c>
      <s:c r="X31" s="561">
        <s:f validation_="true">COUNTIF(X11:X30, "&gt;0")</s:f>
        <s:v>2</s:v>
      </s:c>
      <s:c r="Y31" s="561">
        <s:f validation_="true">COUNTIF(Y11:Y30, "&gt;0")</s:f>
        <s:v>2</s:v>
      </s:c>
      <s:c r="Z31" s="561">
        <s:f validation_="true">COUNTIF(Z11:Z30, "&gt;0")</s:f>
        <s:v>2</s:v>
      </s:c>
      <s:c r="AA31" s="561">
        <s:f validation_="true">COUNTIF(AA11:AA30, "&gt;0")</s:f>
        <s:v>3</s:v>
      </s:c>
      <s:c r="AB31" s="561">
        <s:f validation_="true">COUNTIF(AB11:AB30, "&gt;0")</s:f>
        <s:v>2</s:v>
      </s:c>
      <s:c r="AC31" s="561">
        <s:f validation_="true">COUNTIF(AC11:AC30, "&gt;0")</s:f>
        <s:v>2</s:v>
      </s:c>
      <s:c r="AD31" s="561">
        <s:f validation_="true">COUNTIF(AD11:AD30, "&gt;0")</s:f>
        <s:v>2</s:v>
      </s:c>
      <s:c r="AE31" s="561">
        <s:f validation_="true">COUNTIF(AE11:AE30, "&gt;0")</s:f>
        <s:v>2</s:v>
      </s:c>
      <s:c r="AF31" s="561">
        <s:f validation_="true">COUNTIF(AF11:AF30, "&gt;0")</s:f>
        <s:v>2</s:v>
      </s:c>
      <s:c r="AG31" s="561">
        <s:f validation_="true">COUNTIF(AG11:AG30, "&gt;0")</s:f>
        <s:v>2</s:v>
      </s:c>
      <s:c r="AH31" s="564">
        <s:f validation_="true">COUNTIF(AH11:AH30, "&gt;0")</s:f>
        <s:v>3</s:v>
      </s:c>
      <s:c r="AI31" s="565">
        <s:f>SUM(AI11:AI30)</s:f>
        <s:v>67</s:v>
      </s:c>
      <s:c r="AJ31" s="566">
        <s:f>SUM(AJ11:AJ30)</s:f>
        <s:v>786</s:v>
      </s:c>
      <s:c r="AK31" s="566">
        <s:f>SUM(AK11:AK30)</s:f>
        <s:v>25</s:v>
      </s:c>
      <s:c r="AL31" s="566">
        <s:f validation_="true">SUM(AL11:AL30)</s:f>
        <s:v>0</s:v>
      </s:c>
      <s:c r="AM31" s="566">
        <s:f validation_="true">SUM(AM11:AM30)</s:f>
        <s:v>0</s:v>
      </s:c>
      <s:c r="AN31" s="566">
        <s:f validation_="true">SUM(AN11:AN30)</s:f>
        <s:v>0</s:v>
      </s:c>
    </s:row>
    <s:row r="33" spans="16:16">
      <s:c r="P33" s="3" t="s">
        <s:v>128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Template>Normal.dotm</ep:Template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12</vt:i4>
      </vt:variant>
    </vt:vector>
  </ep:HeadingPairs>
  <ep:TitlesOfParts>
    <vt:vector size="12" baseType="lpstr">
      <vt:lpstr>Ялта, Ленина, 18</vt:lpstr>
      <vt:lpstr>Св. по пок.</vt:lpstr>
      <vt:lpstr>План на день</vt:lpstr>
      <vt:lpstr>Рогалевич И. Е.</vt:lpstr>
      <vt:lpstr>Уразгильдеева Е. Р.</vt:lpstr>
      <vt:lpstr>Вафина Л. Ф.</vt:lpstr>
      <vt:lpstr>ПК 3</vt:lpstr>
      <vt:lpstr>Доп сотрудник</vt:lpstr>
      <vt:lpstr>Вед-ть Рогалевич</vt:lpstr>
      <vt:lpstr>Вед-ть Уразгильдеева</vt:lpstr>
      <vt:lpstr>Вед-ть Вафина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terms="http://purl.org/dc/terms/">
  <cp:lastModifiedBy>lenadacenko@icloud.com</cp:lastModifiedBy>
  <cp:revision>567</cp:revision>
  <dcterms:created xsi:type="dcterms:W3CDTF">2025-04-30T22:17:27Z</dcterms:created>
  <dcterms:modified xsi:type="dcterms:W3CDTF">2025-06-10T11:00:07Z</dcterms:modified>
</cp:coreProperties>
</file>