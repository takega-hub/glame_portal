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lenadacenko/Yandex.Disk-glamejewelry.localized/Glame API/Ежедневно/Ялта/Ежемесячные отчеты/"/>
    </mc:Choice>
  </mc:AlternateContent>
  <xr:revisionPtr revIDLastSave="0" documentId="13_ncr:1_{8172DD85-6445-FD44-A352-7D69B4E702EC}" xr6:coauthVersionLast="47" xr6:coauthVersionMax="47" xr10:uidLastSave="{00000000-0000-0000-0000-000000000000}"/>
  <bookViews>
    <workbookView xWindow="0" yWindow="640" windowWidth="25600" windowHeight="16000" xr2:uid="{00000000-000D-0000-FFFF-FFFF00000000}"/>
  </bookViews>
  <sheets>
    <sheet name="Ялта, Ленина, 18" sheetId="1" r:id="rId1"/>
    <sheet name="Конкурс" sheetId="2" r:id="rId2"/>
    <sheet name="Св. по пок." sheetId="3" r:id="rId3"/>
    <sheet name="План на день" sheetId="4" r:id="rId4"/>
    <sheet name="Рогалевич И. Е. " sheetId="5" r:id="rId5"/>
    <sheet name="Уразгильдеева Е. Р. " sheetId="6" r:id="rId6"/>
    <sheet name="Вед-ть Рогалевич" sheetId="7" r:id="rId7"/>
    <sheet name="Вед-ть ПК 2" sheetId="8" r:id="rId8"/>
    <sheet name="Вед-ть Уразгильдеева" sheetId="9" r:id="rId9"/>
    <sheet name="График" sheetId="10" r:id="rId10"/>
  </sheets>
  <externalReferences>
    <externalReference r:id="rId11"/>
  </externalReferences>
  <definedNames>
    <definedName name="маг">NA()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7" l="1"/>
  <c r="G23" i="7"/>
  <c r="K4" i="9"/>
  <c r="M8" i="5"/>
  <c r="L8" i="5"/>
  <c r="D4" i="7"/>
  <c r="H8" i="7"/>
  <c r="D4" i="9" l="1"/>
  <c r="AN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AM30" i="10"/>
  <c r="AL30" i="10"/>
  <c r="AK30" i="10"/>
  <c r="AJ30" i="10"/>
  <c r="AI30" i="10"/>
  <c r="AL29" i="10"/>
  <c r="AK29" i="10"/>
  <c r="AJ29" i="10"/>
  <c r="E15" i="7" s="1"/>
  <c r="G15" i="7" s="1"/>
  <c r="D11" i="7" s="1"/>
  <c r="G4" i="7" s="1"/>
  <c r="AI29" i="10"/>
  <c r="AM29" i="10" s="1"/>
  <c r="AM28" i="10"/>
  <c r="AL28" i="10"/>
  <c r="AK28" i="10"/>
  <c r="AJ28" i="10"/>
  <c r="AI28" i="10"/>
  <c r="AL27" i="10"/>
  <c r="AK27" i="10"/>
  <c r="AJ27" i="10"/>
  <c r="AM27" i="10" s="1"/>
  <c r="AI27" i="10"/>
  <c r="AK26" i="10"/>
  <c r="AJ26" i="10"/>
  <c r="AI26" i="10"/>
  <c r="AL25" i="10"/>
  <c r="AL31" i="10" s="1"/>
  <c r="AK25" i="10"/>
  <c r="AK31" i="10" s="1"/>
  <c r="AJ25" i="10"/>
  <c r="AI25" i="10"/>
  <c r="AI24" i="10"/>
  <c r="AI23" i="10"/>
  <c r="AI22" i="10"/>
  <c r="B7" i="10"/>
  <c r="N25" i="9"/>
  <c r="B24" i="9"/>
  <c r="J16" i="9"/>
  <c r="E16" i="9"/>
  <c r="K24" i="9" s="1"/>
  <c r="B16" i="9"/>
  <c r="L12" i="9"/>
  <c r="L4" i="9"/>
  <c r="J4" i="9"/>
  <c r="F4" i="9"/>
  <c r="A4" i="9"/>
  <c r="D2" i="9"/>
  <c r="A2" i="9"/>
  <c r="C24" i="9" s="1"/>
  <c r="J24" i="9" s="1"/>
  <c r="A1" i="9"/>
  <c r="F24" i="8"/>
  <c r="G24" i="8" s="1"/>
  <c r="D19" i="8" s="1"/>
  <c r="B24" i="8"/>
  <c r="J16" i="8"/>
  <c r="G16" i="8"/>
  <c r="D12" i="8" s="1"/>
  <c r="G4" i="8" s="1"/>
  <c r="E16" i="8"/>
  <c r="K24" i="8" s="1"/>
  <c r="B16" i="8"/>
  <c r="L12" i="8"/>
  <c r="L4" i="8"/>
  <c r="J4" i="8"/>
  <c r="H4" i="8"/>
  <c r="F4" i="8"/>
  <c r="A4" i="8"/>
  <c r="D2" i="8"/>
  <c r="A2" i="8"/>
  <c r="A1" i="8"/>
  <c r="N24" i="7"/>
  <c r="G24" i="7"/>
  <c r="C24" i="7"/>
  <c r="G16" i="7"/>
  <c r="J15" i="7"/>
  <c r="B15" i="7"/>
  <c r="L11" i="7"/>
  <c r="J4" i="7" s="1"/>
  <c r="L4" i="7"/>
  <c r="A4" i="7"/>
  <c r="B23" i="7" s="1"/>
  <c r="D2" i="7"/>
  <c r="A2" i="7"/>
  <c r="C23" i="7" s="1"/>
  <c r="J23" i="7" s="1"/>
  <c r="A1" i="7"/>
  <c r="M57" i="6"/>
  <c r="L57" i="6"/>
  <c r="K57" i="6"/>
  <c r="J57" i="6"/>
  <c r="J12" i="6" s="1"/>
  <c r="I57" i="6"/>
  <c r="G57" i="6"/>
  <c r="N57" i="6" s="1"/>
  <c r="E57" i="6"/>
  <c r="U56" i="6"/>
  <c r="T56" i="6"/>
  <c r="S56" i="6"/>
  <c r="N56" i="6"/>
  <c r="J56" i="6"/>
  <c r="H56" i="6"/>
  <c r="F56" i="6"/>
  <c r="U55" i="6"/>
  <c r="T55" i="6"/>
  <c r="S55" i="6"/>
  <c r="N55" i="6"/>
  <c r="J55" i="6"/>
  <c r="H55" i="6"/>
  <c r="F55" i="6"/>
  <c r="U54" i="6"/>
  <c r="T54" i="6"/>
  <c r="S54" i="6"/>
  <c r="N54" i="6"/>
  <c r="J54" i="6"/>
  <c r="H54" i="6"/>
  <c r="F54" i="6"/>
  <c r="U53" i="6"/>
  <c r="T53" i="6"/>
  <c r="S53" i="6"/>
  <c r="N53" i="6"/>
  <c r="J53" i="6"/>
  <c r="H53" i="6"/>
  <c r="F53" i="6"/>
  <c r="U52" i="6"/>
  <c r="T52" i="6"/>
  <c r="S52" i="6"/>
  <c r="N52" i="6"/>
  <c r="J52" i="6"/>
  <c r="H52" i="6"/>
  <c r="F52" i="6"/>
  <c r="U51" i="6"/>
  <c r="T51" i="6"/>
  <c r="S51" i="6"/>
  <c r="N51" i="6"/>
  <c r="J51" i="6"/>
  <c r="H51" i="6"/>
  <c r="F51" i="6"/>
  <c r="U50" i="6"/>
  <c r="T50" i="6"/>
  <c r="S50" i="6"/>
  <c r="N50" i="6"/>
  <c r="J50" i="6"/>
  <c r="H50" i="6"/>
  <c r="F50" i="6"/>
  <c r="N49" i="6"/>
  <c r="J49" i="6"/>
  <c r="H49" i="6"/>
  <c r="F49" i="6"/>
  <c r="N48" i="6"/>
  <c r="J48" i="6"/>
  <c r="H48" i="6"/>
  <c r="F48" i="6"/>
  <c r="N47" i="6"/>
  <c r="J47" i="6"/>
  <c r="H47" i="6"/>
  <c r="F47" i="6"/>
  <c r="N46" i="6"/>
  <c r="J46" i="6"/>
  <c r="H46" i="6"/>
  <c r="F46" i="6"/>
  <c r="N45" i="6"/>
  <c r="J45" i="6"/>
  <c r="H45" i="6"/>
  <c r="F45" i="6"/>
  <c r="T44" i="6"/>
  <c r="S44" i="6"/>
  <c r="N44" i="6"/>
  <c r="J44" i="6"/>
  <c r="H44" i="6"/>
  <c r="F44" i="6"/>
  <c r="D44" i="6"/>
  <c r="U43" i="6"/>
  <c r="T43" i="6"/>
  <c r="S43" i="6"/>
  <c r="N43" i="6"/>
  <c r="J43" i="6"/>
  <c r="H43" i="6"/>
  <c r="F43" i="6"/>
  <c r="U42" i="6"/>
  <c r="T42" i="6"/>
  <c r="S42" i="6"/>
  <c r="N42" i="6"/>
  <c r="J42" i="6"/>
  <c r="H42" i="6"/>
  <c r="F42" i="6"/>
  <c r="U41" i="6"/>
  <c r="T41" i="6"/>
  <c r="S41" i="6"/>
  <c r="N41" i="6"/>
  <c r="J41" i="6"/>
  <c r="H41" i="6"/>
  <c r="F41" i="6"/>
  <c r="U40" i="6"/>
  <c r="T40" i="6"/>
  <c r="S40" i="6"/>
  <c r="N40" i="6"/>
  <c r="J40" i="6"/>
  <c r="H40" i="6"/>
  <c r="F40" i="6"/>
  <c r="U39" i="6"/>
  <c r="T39" i="6"/>
  <c r="S39" i="6"/>
  <c r="N39" i="6"/>
  <c r="J39" i="6"/>
  <c r="H39" i="6"/>
  <c r="F39" i="6"/>
  <c r="T38" i="6"/>
  <c r="S38" i="6"/>
  <c r="N38" i="6"/>
  <c r="J38" i="6"/>
  <c r="H38" i="6"/>
  <c r="F38" i="6"/>
  <c r="T37" i="6"/>
  <c r="S37" i="6"/>
  <c r="N37" i="6"/>
  <c r="J37" i="6"/>
  <c r="H37" i="6"/>
  <c r="F37" i="6"/>
  <c r="T36" i="6"/>
  <c r="S36" i="6"/>
  <c r="N36" i="6"/>
  <c r="J36" i="6"/>
  <c r="H36" i="6"/>
  <c r="F36" i="6"/>
  <c r="U35" i="6"/>
  <c r="T35" i="6"/>
  <c r="S35" i="6"/>
  <c r="N35" i="6"/>
  <c r="J35" i="6"/>
  <c r="H35" i="6"/>
  <c r="F35" i="6"/>
  <c r="U34" i="6"/>
  <c r="T34" i="6"/>
  <c r="S34" i="6"/>
  <c r="N34" i="6"/>
  <c r="J34" i="6"/>
  <c r="H34" i="6"/>
  <c r="F34" i="6"/>
  <c r="N33" i="6"/>
  <c r="J33" i="6"/>
  <c r="H33" i="6"/>
  <c r="F33" i="6"/>
  <c r="U32" i="6"/>
  <c r="T32" i="6"/>
  <c r="S32" i="6"/>
  <c r="N32" i="6"/>
  <c r="J32" i="6"/>
  <c r="H32" i="6"/>
  <c r="F32" i="6"/>
  <c r="U31" i="6"/>
  <c r="T31" i="6"/>
  <c r="S31" i="6"/>
  <c r="N31" i="6"/>
  <c r="J31" i="6"/>
  <c r="H31" i="6"/>
  <c r="F31" i="6"/>
  <c r="T30" i="6"/>
  <c r="S30" i="6"/>
  <c r="N30" i="6"/>
  <c r="J30" i="6"/>
  <c r="H30" i="6"/>
  <c r="F30" i="6"/>
  <c r="T29" i="6"/>
  <c r="S29" i="6"/>
  <c r="N29" i="6"/>
  <c r="J29" i="6"/>
  <c r="H29" i="6"/>
  <c r="F29" i="6"/>
  <c r="D29" i="6"/>
  <c r="U28" i="6"/>
  <c r="T28" i="6"/>
  <c r="S28" i="6"/>
  <c r="N28" i="6"/>
  <c r="J28" i="6"/>
  <c r="H28" i="6"/>
  <c r="F28" i="6"/>
  <c r="U27" i="6"/>
  <c r="T27" i="6"/>
  <c r="S27" i="6"/>
  <c r="N27" i="6"/>
  <c r="J27" i="6"/>
  <c r="H27" i="6"/>
  <c r="F27" i="6"/>
  <c r="U26" i="6"/>
  <c r="T26" i="6"/>
  <c r="S26" i="6"/>
  <c r="N26" i="6"/>
  <c r="J26" i="6"/>
  <c r="H26" i="6"/>
  <c r="F26" i="6"/>
  <c r="U25" i="6"/>
  <c r="T25" i="6"/>
  <c r="S25" i="6"/>
  <c r="N25" i="6"/>
  <c r="J25" i="6"/>
  <c r="H25" i="6"/>
  <c r="F25" i="6"/>
  <c r="D25" i="6"/>
  <c r="D57" i="6" s="1"/>
  <c r="K20" i="6"/>
  <c r="J20" i="6"/>
  <c r="I20" i="6"/>
  <c r="N19" i="6"/>
  <c r="M19" i="6"/>
  <c r="L19" i="6"/>
  <c r="P19" i="6" s="1"/>
  <c r="Q19" i="6" s="1"/>
  <c r="K19" i="6"/>
  <c r="T18" i="6"/>
  <c r="N18" i="6"/>
  <c r="L18" i="6"/>
  <c r="P18" i="6" s="1"/>
  <c r="Q18" i="6" s="1"/>
  <c r="K18" i="6"/>
  <c r="J17" i="6"/>
  <c r="I14" i="6"/>
  <c r="J13" i="6"/>
  <c r="W12" i="6"/>
  <c r="T12" i="6"/>
  <c r="K14" i="3" s="1"/>
  <c r="I12" i="6"/>
  <c r="I11" i="6"/>
  <c r="V10" i="6"/>
  <c r="O10" i="6"/>
  <c r="I10" i="6"/>
  <c r="O9" i="6"/>
  <c r="J9" i="6"/>
  <c r="J3" i="6"/>
  <c r="B1" i="6"/>
  <c r="M57" i="5"/>
  <c r="L57" i="5"/>
  <c r="K57" i="5"/>
  <c r="I57" i="5"/>
  <c r="G57" i="5"/>
  <c r="E57" i="5"/>
  <c r="U56" i="5"/>
  <c r="T56" i="5"/>
  <c r="S56" i="5"/>
  <c r="N56" i="5"/>
  <c r="J56" i="5"/>
  <c r="H56" i="5"/>
  <c r="F56" i="5"/>
  <c r="U55" i="5"/>
  <c r="T55" i="5"/>
  <c r="S55" i="5"/>
  <c r="N55" i="5"/>
  <c r="J55" i="5"/>
  <c r="H55" i="5"/>
  <c r="F55" i="5"/>
  <c r="U54" i="5"/>
  <c r="T54" i="5"/>
  <c r="S54" i="5"/>
  <c r="N54" i="5"/>
  <c r="J54" i="5"/>
  <c r="H54" i="5"/>
  <c r="F54" i="5"/>
  <c r="U53" i="5"/>
  <c r="T53" i="5"/>
  <c r="S53" i="5"/>
  <c r="N53" i="5"/>
  <c r="J53" i="5"/>
  <c r="H53" i="5"/>
  <c r="F53" i="5"/>
  <c r="U52" i="5"/>
  <c r="T52" i="5"/>
  <c r="S52" i="5"/>
  <c r="N52" i="5"/>
  <c r="J52" i="5"/>
  <c r="H52" i="5"/>
  <c r="F52" i="5"/>
  <c r="U51" i="5"/>
  <c r="T51" i="5"/>
  <c r="S51" i="5"/>
  <c r="N51" i="5"/>
  <c r="J51" i="5"/>
  <c r="H51" i="5"/>
  <c r="F51" i="5"/>
  <c r="U50" i="5"/>
  <c r="T50" i="5"/>
  <c r="S50" i="5"/>
  <c r="N50" i="5"/>
  <c r="J50" i="5"/>
  <c r="H50" i="5"/>
  <c r="F50" i="5"/>
  <c r="D50" i="5"/>
  <c r="N49" i="5"/>
  <c r="J49" i="5"/>
  <c r="H49" i="5"/>
  <c r="F49" i="5"/>
  <c r="U48" i="5"/>
  <c r="T48" i="5"/>
  <c r="S48" i="5"/>
  <c r="N48" i="5"/>
  <c r="J48" i="5"/>
  <c r="H48" i="5"/>
  <c r="F48" i="5"/>
  <c r="T47" i="5"/>
  <c r="S47" i="5"/>
  <c r="N47" i="5"/>
  <c r="J47" i="5"/>
  <c r="H47" i="5"/>
  <c r="F47" i="5"/>
  <c r="T46" i="5"/>
  <c r="S46" i="5"/>
  <c r="N46" i="5"/>
  <c r="J46" i="5"/>
  <c r="H46" i="5"/>
  <c r="F46" i="5"/>
  <c r="T45" i="5"/>
  <c r="S45" i="5"/>
  <c r="N45" i="5"/>
  <c r="J45" i="5"/>
  <c r="H45" i="5"/>
  <c r="F45" i="5"/>
  <c r="D45" i="5"/>
  <c r="T44" i="5"/>
  <c r="S44" i="5"/>
  <c r="N44" i="5"/>
  <c r="J44" i="5"/>
  <c r="H44" i="5"/>
  <c r="F44" i="5"/>
  <c r="T43" i="5"/>
  <c r="S43" i="5"/>
  <c r="N43" i="5"/>
  <c r="J43" i="5"/>
  <c r="F43" i="5"/>
  <c r="D43" i="5"/>
  <c r="T42" i="5"/>
  <c r="S42" i="5"/>
  <c r="N42" i="5"/>
  <c r="J42" i="5"/>
  <c r="H42" i="5"/>
  <c r="F42" i="5"/>
  <c r="T41" i="5"/>
  <c r="S41" i="5"/>
  <c r="N41" i="5"/>
  <c r="J41" i="5"/>
  <c r="H41" i="5"/>
  <c r="F41" i="5"/>
  <c r="T40" i="5"/>
  <c r="S40" i="5"/>
  <c r="N40" i="5"/>
  <c r="J40" i="5"/>
  <c r="H40" i="5"/>
  <c r="F40" i="5"/>
  <c r="U39" i="5"/>
  <c r="T39" i="5"/>
  <c r="S39" i="5"/>
  <c r="N39" i="5"/>
  <c r="J39" i="5"/>
  <c r="H39" i="5"/>
  <c r="F39" i="5"/>
  <c r="U38" i="5"/>
  <c r="T38" i="5"/>
  <c r="S38" i="5"/>
  <c r="N38" i="5"/>
  <c r="J38" i="5"/>
  <c r="H38" i="5"/>
  <c r="F38" i="5"/>
  <c r="T37" i="5"/>
  <c r="S37" i="5"/>
  <c r="N37" i="5"/>
  <c r="J37" i="5"/>
  <c r="H37" i="5"/>
  <c r="F37" i="5"/>
  <c r="T36" i="5"/>
  <c r="S36" i="5"/>
  <c r="N36" i="5"/>
  <c r="J36" i="5"/>
  <c r="H36" i="5"/>
  <c r="F36" i="5"/>
  <c r="T35" i="5"/>
  <c r="S35" i="5"/>
  <c r="N35" i="5"/>
  <c r="J35" i="5"/>
  <c r="H35" i="5"/>
  <c r="F35" i="5"/>
  <c r="T34" i="5"/>
  <c r="S34" i="5"/>
  <c r="N34" i="5"/>
  <c r="J34" i="5"/>
  <c r="H34" i="5"/>
  <c r="F34" i="5"/>
  <c r="T33" i="5"/>
  <c r="S33" i="5"/>
  <c r="N33" i="5"/>
  <c r="J33" i="5"/>
  <c r="H33" i="5"/>
  <c r="F33" i="5"/>
  <c r="T32" i="5"/>
  <c r="S32" i="5"/>
  <c r="N32" i="5"/>
  <c r="J32" i="5"/>
  <c r="H32" i="5"/>
  <c r="F32" i="5"/>
  <c r="U31" i="5"/>
  <c r="T31" i="5"/>
  <c r="S31" i="5"/>
  <c r="N31" i="5"/>
  <c r="J31" i="5"/>
  <c r="H31" i="5"/>
  <c r="F31" i="5"/>
  <c r="N30" i="5"/>
  <c r="J30" i="5"/>
  <c r="H30" i="5"/>
  <c r="F30" i="5"/>
  <c r="T29" i="5"/>
  <c r="S29" i="5"/>
  <c r="N29" i="5"/>
  <c r="J29" i="5"/>
  <c r="F29" i="5"/>
  <c r="D29" i="5"/>
  <c r="T28" i="5"/>
  <c r="N28" i="5"/>
  <c r="J28" i="5"/>
  <c r="H28" i="5"/>
  <c r="D28" i="5"/>
  <c r="T27" i="5"/>
  <c r="S27" i="5"/>
  <c r="N27" i="5"/>
  <c r="J27" i="5"/>
  <c r="H27" i="5"/>
  <c r="F27" i="5"/>
  <c r="T26" i="5"/>
  <c r="S26" i="5"/>
  <c r="N26" i="5"/>
  <c r="J26" i="5"/>
  <c r="F26" i="5"/>
  <c r="D26" i="5"/>
  <c r="H26" i="5" s="1"/>
  <c r="U25" i="5"/>
  <c r="T25" i="5"/>
  <c r="S25" i="5"/>
  <c r="N25" i="5"/>
  <c r="J25" i="5"/>
  <c r="H25" i="5"/>
  <c r="F25" i="5"/>
  <c r="I20" i="5"/>
  <c r="N19" i="5"/>
  <c r="L19" i="5"/>
  <c r="K19" i="5"/>
  <c r="T18" i="5"/>
  <c r="P18" i="5"/>
  <c r="Q18" i="5" s="1"/>
  <c r="N18" i="5"/>
  <c r="M18" i="5"/>
  <c r="L18" i="5"/>
  <c r="K18" i="5"/>
  <c r="J17" i="5"/>
  <c r="P14" i="5"/>
  <c r="Q14" i="5" s="1"/>
  <c r="L14" i="5"/>
  <c r="I14" i="5"/>
  <c r="T12" i="5"/>
  <c r="I12" i="5"/>
  <c r="I11" i="5"/>
  <c r="V10" i="5"/>
  <c r="O10" i="5"/>
  <c r="O9" i="5"/>
  <c r="J3" i="5"/>
  <c r="B1" i="5"/>
  <c r="A10" i="4"/>
  <c r="D7" i="4"/>
  <c r="D5" i="4"/>
  <c r="D4" i="4"/>
  <c r="D2" i="4" s="1"/>
  <c r="D3" i="4"/>
  <c r="M16" i="3"/>
  <c r="O15" i="3"/>
  <c r="N15" i="3"/>
  <c r="M15" i="3"/>
  <c r="A15" i="3"/>
  <c r="O14" i="3"/>
  <c r="N14" i="3"/>
  <c r="M14" i="3"/>
  <c r="H14" i="3"/>
  <c r="O13" i="3"/>
  <c r="N13" i="3"/>
  <c r="M13" i="3"/>
  <c r="K13" i="3"/>
  <c r="H13" i="3"/>
  <c r="O12" i="3"/>
  <c r="N12" i="3"/>
  <c r="M12" i="3"/>
  <c r="K12" i="3"/>
  <c r="H12" i="3"/>
  <c r="O11" i="3"/>
  <c r="N11" i="3"/>
  <c r="M11" i="3"/>
  <c r="N10" i="3"/>
  <c r="M10" i="3"/>
  <c r="K10" i="3"/>
  <c r="H10" i="3"/>
  <c r="E10" i="3"/>
  <c r="O9" i="3"/>
  <c r="N9" i="3"/>
  <c r="M9" i="3"/>
  <c r="K9" i="3"/>
  <c r="E9" i="3"/>
  <c r="O8" i="3"/>
  <c r="N8" i="3"/>
  <c r="M8" i="3"/>
  <c r="O7" i="3"/>
  <c r="N7" i="3"/>
  <c r="M7" i="3"/>
  <c r="O6" i="3"/>
  <c r="N6" i="3"/>
  <c r="M6" i="3"/>
  <c r="O5" i="3"/>
  <c r="N5" i="3"/>
  <c r="M5" i="3"/>
  <c r="K5" i="3"/>
  <c r="O4" i="3"/>
  <c r="N4" i="3"/>
  <c r="M4" i="3"/>
  <c r="M2" i="3"/>
  <c r="J2" i="3"/>
  <c r="G2" i="3"/>
  <c r="D2" i="3"/>
  <c r="Z5" i="2"/>
  <c r="C5" i="2"/>
  <c r="B5" i="2"/>
  <c r="A5" i="2"/>
  <c r="Z4" i="2"/>
  <c r="B4" i="2"/>
  <c r="A4" i="2"/>
  <c r="Z3" i="2"/>
  <c r="A3" i="2"/>
  <c r="L58" i="1"/>
  <c r="K58" i="1"/>
  <c r="I58" i="1"/>
  <c r="G58" i="1"/>
  <c r="E58" i="1"/>
  <c r="M56" i="1"/>
  <c r="L56" i="1"/>
  <c r="K56" i="1"/>
  <c r="J56" i="1"/>
  <c r="G56" i="1"/>
  <c r="E56" i="1"/>
  <c r="D56" i="1"/>
  <c r="U55" i="1"/>
  <c r="T55" i="1"/>
  <c r="S55" i="1"/>
  <c r="J55" i="1"/>
  <c r="I55" i="1"/>
  <c r="N55" i="1" s="1"/>
  <c r="H55" i="1"/>
  <c r="F55" i="1"/>
  <c r="U54" i="1"/>
  <c r="T54" i="1"/>
  <c r="S54" i="1"/>
  <c r="N54" i="1"/>
  <c r="J54" i="1"/>
  <c r="I54" i="1"/>
  <c r="H54" i="1"/>
  <c r="U53" i="1"/>
  <c r="T53" i="1"/>
  <c r="S53" i="1"/>
  <c r="J53" i="1"/>
  <c r="I53" i="1"/>
  <c r="N53" i="1" s="1"/>
  <c r="H53" i="1"/>
  <c r="F53" i="1"/>
  <c r="U52" i="1"/>
  <c r="T52" i="1"/>
  <c r="S52" i="1"/>
  <c r="N52" i="1"/>
  <c r="J52" i="1"/>
  <c r="H52" i="1"/>
  <c r="F52" i="1"/>
  <c r="U51" i="1"/>
  <c r="T51" i="1"/>
  <c r="S51" i="1"/>
  <c r="J51" i="1"/>
  <c r="I51" i="1"/>
  <c r="N51" i="1" s="1"/>
  <c r="H51" i="1"/>
  <c r="F51" i="1"/>
  <c r="U50" i="1"/>
  <c r="T50" i="1"/>
  <c r="S50" i="1"/>
  <c r="N50" i="1"/>
  <c r="J50" i="1"/>
  <c r="I50" i="1"/>
  <c r="H50" i="1"/>
  <c r="F50" i="1"/>
  <c r="U49" i="1"/>
  <c r="T49" i="1"/>
  <c r="S49" i="1"/>
  <c r="J49" i="1"/>
  <c r="I49" i="1"/>
  <c r="N49" i="1" s="1"/>
  <c r="H49" i="1"/>
  <c r="F49" i="1"/>
  <c r="U48" i="1"/>
  <c r="T48" i="1"/>
  <c r="S48" i="1"/>
  <c r="N48" i="1"/>
  <c r="J48" i="1"/>
  <c r="I48" i="1"/>
  <c r="H48" i="1"/>
  <c r="U47" i="1"/>
  <c r="T47" i="1"/>
  <c r="N47" i="1"/>
  <c r="J47" i="1"/>
  <c r="I47" i="1"/>
  <c r="D47" i="1"/>
  <c r="U46" i="1"/>
  <c r="T46" i="1"/>
  <c r="S46" i="1"/>
  <c r="N46" i="1"/>
  <c r="J46" i="1"/>
  <c r="I46" i="1"/>
  <c r="H46" i="1"/>
  <c r="U45" i="1"/>
  <c r="T45" i="1"/>
  <c r="S45" i="1"/>
  <c r="N45" i="1"/>
  <c r="J45" i="1"/>
  <c r="I45" i="1"/>
  <c r="H45" i="1"/>
  <c r="U44" i="1"/>
  <c r="T44" i="1"/>
  <c r="S44" i="1"/>
  <c r="J44" i="1"/>
  <c r="I44" i="1"/>
  <c r="N44" i="1" s="1"/>
  <c r="H44" i="1"/>
  <c r="U43" i="1"/>
  <c r="T43" i="1"/>
  <c r="S43" i="1"/>
  <c r="N43" i="1"/>
  <c r="J43" i="1"/>
  <c r="I43" i="1"/>
  <c r="H43" i="1"/>
  <c r="U42" i="1"/>
  <c r="T42" i="1"/>
  <c r="S42" i="1"/>
  <c r="N42" i="1"/>
  <c r="J42" i="1"/>
  <c r="I42" i="1"/>
  <c r="H42" i="1"/>
  <c r="F42" i="1"/>
  <c r="U41" i="1"/>
  <c r="T41" i="1"/>
  <c r="S41" i="1"/>
  <c r="N41" i="1"/>
  <c r="J41" i="1"/>
  <c r="I41" i="1"/>
  <c r="H41" i="1"/>
  <c r="F41" i="1"/>
  <c r="U40" i="1"/>
  <c r="T40" i="1"/>
  <c r="S40" i="1"/>
  <c r="N40" i="1"/>
  <c r="J40" i="1"/>
  <c r="I40" i="1"/>
  <c r="H40" i="1"/>
  <c r="F40" i="1"/>
  <c r="U39" i="1"/>
  <c r="T39" i="1"/>
  <c r="S39" i="1"/>
  <c r="J39" i="1"/>
  <c r="I39" i="1"/>
  <c r="N39" i="1" s="1"/>
  <c r="H39" i="1"/>
  <c r="F39" i="1"/>
  <c r="U38" i="1"/>
  <c r="T38" i="1"/>
  <c r="S38" i="1"/>
  <c r="N38" i="1"/>
  <c r="J38" i="1"/>
  <c r="I38" i="1"/>
  <c r="H38" i="1"/>
  <c r="F38" i="1"/>
  <c r="U37" i="1"/>
  <c r="T37" i="1"/>
  <c r="S37" i="1"/>
  <c r="N37" i="1"/>
  <c r="J37" i="1"/>
  <c r="I37" i="1"/>
  <c r="H37" i="1"/>
  <c r="U36" i="1"/>
  <c r="T36" i="1"/>
  <c r="S36" i="1"/>
  <c r="N36" i="1"/>
  <c r="J36" i="1"/>
  <c r="H36" i="1"/>
  <c r="F36" i="1"/>
  <c r="U35" i="1"/>
  <c r="T35" i="1"/>
  <c r="S35" i="1"/>
  <c r="N35" i="1"/>
  <c r="J35" i="1"/>
  <c r="H35" i="1"/>
  <c r="F35" i="1"/>
  <c r="U34" i="1"/>
  <c r="T34" i="1"/>
  <c r="S34" i="1"/>
  <c r="N34" i="1"/>
  <c r="J34" i="1"/>
  <c r="H34" i="1"/>
  <c r="F34" i="1"/>
  <c r="U33" i="1"/>
  <c r="T33" i="1"/>
  <c r="S33" i="1"/>
  <c r="N33" i="1"/>
  <c r="J33" i="1"/>
  <c r="H33" i="1"/>
  <c r="F33" i="1"/>
  <c r="U32" i="1"/>
  <c r="T32" i="1"/>
  <c r="S32" i="1"/>
  <c r="N32" i="1"/>
  <c r="J32" i="1"/>
  <c r="H32" i="1"/>
  <c r="F32" i="1"/>
  <c r="S31" i="1"/>
  <c r="N31" i="1"/>
  <c r="J31" i="1"/>
  <c r="H31" i="1"/>
  <c r="F31" i="1"/>
  <c r="U30" i="1"/>
  <c r="T30" i="1"/>
  <c r="N30" i="1"/>
  <c r="J30" i="1"/>
  <c r="D30" i="1"/>
  <c r="H30" i="1" s="1"/>
  <c r="U29" i="1"/>
  <c r="T29" i="1"/>
  <c r="S29" i="1"/>
  <c r="N29" i="1"/>
  <c r="J29" i="1"/>
  <c r="H29" i="1"/>
  <c r="F29" i="1"/>
  <c r="U28" i="1"/>
  <c r="T28" i="1"/>
  <c r="S28" i="1"/>
  <c r="N28" i="1"/>
  <c r="J28" i="1"/>
  <c r="H28" i="1"/>
  <c r="F28" i="1"/>
  <c r="U27" i="1"/>
  <c r="T27" i="1"/>
  <c r="S27" i="1"/>
  <c r="N27" i="1"/>
  <c r="J27" i="1"/>
  <c r="H27" i="1"/>
  <c r="F27" i="1"/>
  <c r="D27" i="1"/>
  <c r="U26" i="1"/>
  <c r="T26" i="1"/>
  <c r="S26" i="1"/>
  <c r="N26" i="1"/>
  <c r="J26" i="1"/>
  <c r="H26" i="1"/>
  <c r="F26" i="1"/>
  <c r="U25" i="1"/>
  <c r="T25" i="1"/>
  <c r="S25" i="1"/>
  <c r="N25" i="1"/>
  <c r="J25" i="1"/>
  <c r="D25" i="1"/>
  <c r="N19" i="1"/>
  <c r="L19" i="1"/>
  <c r="P19" i="1" s="1"/>
  <c r="Q19" i="1" s="1"/>
  <c r="K19" i="1"/>
  <c r="T18" i="1"/>
  <c r="N18" i="1"/>
  <c r="L18" i="1"/>
  <c r="M18" i="1" s="1"/>
  <c r="K18" i="1"/>
  <c r="S16" i="1"/>
  <c r="N14" i="1"/>
  <c r="M14" i="1"/>
  <c r="L14" i="1"/>
  <c r="P14" i="1" s="1"/>
  <c r="Q14" i="1" s="1"/>
  <c r="K14" i="1"/>
  <c r="D10" i="3" s="1"/>
  <c r="J13" i="1"/>
  <c r="I13" i="1"/>
  <c r="W12" i="1"/>
  <c r="E15" i="3" s="1"/>
  <c r="T12" i="1"/>
  <c r="S13" i="1" s="1"/>
  <c r="J12" i="1"/>
  <c r="V10" i="1"/>
  <c r="S10" i="1"/>
  <c r="O10" i="1"/>
  <c r="I10" i="1"/>
  <c r="O9" i="1"/>
  <c r="J9" i="1"/>
  <c r="E5" i="3" s="1"/>
  <c r="I3" i="1"/>
  <c r="B1" i="1"/>
  <c r="D14" i="3" l="1"/>
  <c r="T13" i="1"/>
  <c r="F14" i="3" s="1"/>
  <c r="P19" i="5"/>
  <c r="Q19" i="5" s="1"/>
  <c r="M19" i="5"/>
  <c r="D57" i="1"/>
  <c r="F56" i="1"/>
  <c r="J11" i="1" s="1"/>
  <c r="V13" i="1"/>
  <c r="H56" i="1"/>
  <c r="J10" i="1" s="1"/>
  <c r="E8" i="3"/>
  <c r="S30" i="1"/>
  <c r="S56" i="1" s="1"/>
  <c r="J8" i="1"/>
  <c r="D9" i="4"/>
  <c r="E13" i="3"/>
  <c r="S19" i="1"/>
  <c r="D10" i="4"/>
  <c r="F4" i="7"/>
  <c r="W12" i="5"/>
  <c r="M58" i="1"/>
  <c r="I24" i="8"/>
  <c r="B25" i="8"/>
  <c r="F25" i="1"/>
  <c r="S47" i="1"/>
  <c r="I56" i="1"/>
  <c r="E14" i="3"/>
  <c r="D8" i="4"/>
  <c r="I8" i="1"/>
  <c r="M19" i="1"/>
  <c r="K12" i="1"/>
  <c r="D8" i="3" s="1"/>
  <c r="K13" i="1"/>
  <c r="D9" i="3" s="1"/>
  <c r="H25" i="1"/>
  <c r="F30" i="1"/>
  <c r="H47" i="1"/>
  <c r="L12" i="6"/>
  <c r="K8" i="3"/>
  <c r="K12" i="6"/>
  <c r="J8" i="3" s="1"/>
  <c r="L12" i="1"/>
  <c r="N12" i="1" s="1"/>
  <c r="P18" i="1"/>
  <c r="Q18" i="1" s="1"/>
  <c r="N57" i="5"/>
  <c r="J20" i="5" s="1"/>
  <c r="J13" i="5"/>
  <c r="J57" i="5"/>
  <c r="J12" i="5" s="1"/>
  <c r="U41" i="5"/>
  <c r="U33" i="5"/>
  <c r="U28" i="5"/>
  <c r="U45" i="5"/>
  <c r="U35" i="5"/>
  <c r="U42" i="5"/>
  <c r="U34" i="5"/>
  <c r="U46" i="5"/>
  <c r="U36" i="5"/>
  <c r="U26" i="5"/>
  <c r="L17" i="5"/>
  <c r="P17" i="5" s="1"/>
  <c r="Q17" i="5" s="1"/>
  <c r="U32" i="5"/>
  <c r="U37" i="5"/>
  <c r="U44" i="5"/>
  <c r="U47" i="5"/>
  <c r="I24" i="9"/>
  <c r="B25" i="9"/>
  <c r="AM25" i="10"/>
  <c r="AM31" i="10" s="1"/>
  <c r="AJ31" i="10"/>
  <c r="J9" i="5"/>
  <c r="B24" i="7"/>
  <c r="I23" i="7"/>
  <c r="I10" i="5"/>
  <c r="U40" i="5"/>
  <c r="M14" i="6"/>
  <c r="K14" i="6"/>
  <c r="J10" i="3" s="1"/>
  <c r="N14" i="6"/>
  <c r="J8" i="6"/>
  <c r="C24" i="8"/>
  <c r="J24" i="8" s="1"/>
  <c r="C16" i="8"/>
  <c r="D6" i="4"/>
  <c r="M14" i="5"/>
  <c r="K14" i="5"/>
  <c r="G10" i="3" s="1"/>
  <c r="N14" i="5"/>
  <c r="U27" i="5"/>
  <c r="U29" i="5"/>
  <c r="K15" i="3"/>
  <c r="L14" i="6"/>
  <c r="P14" i="6" s="1"/>
  <c r="Q14" i="6" s="1"/>
  <c r="M18" i="6"/>
  <c r="F57" i="6"/>
  <c r="J11" i="6" s="1"/>
  <c r="S28" i="5"/>
  <c r="F28" i="5"/>
  <c r="H43" i="5"/>
  <c r="U43" i="5"/>
  <c r="L17" i="6"/>
  <c r="P17" i="6" s="1"/>
  <c r="Q17" i="6" s="1"/>
  <c r="H57" i="6"/>
  <c r="J10" i="6" s="1"/>
  <c r="K23" i="7"/>
  <c r="D57" i="5"/>
  <c r="U44" i="6"/>
  <c r="H29" i="5"/>
  <c r="U29" i="6"/>
  <c r="U37" i="6"/>
  <c r="C16" i="9"/>
  <c r="G16" i="9"/>
  <c r="D12" i="9" s="1"/>
  <c r="G4" i="9" s="1"/>
  <c r="U30" i="6"/>
  <c r="U38" i="6"/>
  <c r="C15" i="7"/>
  <c r="U36" i="6"/>
  <c r="N10" i="6" l="1"/>
  <c r="K6" i="3"/>
  <c r="L10" i="6"/>
  <c r="H5" i="3"/>
  <c r="D13" i="3"/>
  <c r="T19" i="1"/>
  <c r="F13" i="3" s="1"/>
  <c r="J8" i="5"/>
  <c r="F57" i="5"/>
  <c r="J11" i="5" s="1"/>
  <c r="P12" i="1"/>
  <c r="Q12" i="1" s="1"/>
  <c r="M12" i="1"/>
  <c r="F8" i="3" s="1"/>
  <c r="I57" i="1"/>
  <c r="N56" i="1"/>
  <c r="J20" i="1" s="1"/>
  <c r="J17" i="1"/>
  <c r="H15" i="3"/>
  <c r="E6" i="3"/>
  <c r="L10" i="1"/>
  <c r="N10" i="1"/>
  <c r="K10" i="1"/>
  <c r="D6" i="3" s="1"/>
  <c r="H57" i="5"/>
  <c r="J10" i="5" s="1"/>
  <c r="P12" i="6"/>
  <c r="Q12" i="6" s="1"/>
  <c r="M12" i="6"/>
  <c r="L8" i="3" s="1"/>
  <c r="D15" i="3"/>
  <c r="W13" i="1"/>
  <c r="F15" i="3" s="1"/>
  <c r="L12" i="5"/>
  <c r="N12" i="5"/>
  <c r="B3" i="2"/>
  <c r="H8" i="3"/>
  <c r="K12" i="5"/>
  <c r="G8" i="3" s="1"/>
  <c r="N12" i="6"/>
  <c r="I8" i="6"/>
  <c r="P53" i="1"/>
  <c r="O53" i="1" s="1"/>
  <c r="P44" i="1"/>
  <c r="O44" i="1" s="1"/>
  <c r="P35" i="1"/>
  <c r="O35" i="1" s="1"/>
  <c r="P55" i="1"/>
  <c r="O55" i="1" s="1"/>
  <c r="P32" i="1"/>
  <c r="O32" i="1" s="1"/>
  <c r="P27" i="1"/>
  <c r="O27" i="1" s="1"/>
  <c r="I9" i="1"/>
  <c r="P46" i="1"/>
  <c r="O46" i="1" s="1"/>
  <c r="P41" i="1"/>
  <c r="O41" i="1" s="1"/>
  <c r="P39" i="1"/>
  <c r="O39" i="1" s="1"/>
  <c r="P37" i="1"/>
  <c r="O37" i="1" s="1"/>
  <c r="I8" i="5"/>
  <c r="P51" i="1"/>
  <c r="O51" i="1" s="1"/>
  <c r="P49" i="1"/>
  <c r="O49" i="1" s="1"/>
  <c r="P30" i="1"/>
  <c r="O30" i="1" s="1"/>
  <c r="P45" i="1"/>
  <c r="O45" i="1" s="1"/>
  <c r="P43" i="1"/>
  <c r="O43" i="1" s="1"/>
  <c r="P28" i="1"/>
  <c r="O28" i="1" s="1"/>
  <c r="C4" i="1"/>
  <c r="D5" i="1" s="1"/>
  <c r="P54" i="1"/>
  <c r="O54" i="1" s="1"/>
  <c r="P38" i="1"/>
  <c r="O38" i="1" s="1"/>
  <c r="P26" i="1"/>
  <c r="O26" i="1" s="1"/>
  <c r="K8" i="1"/>
  <c r="P33" i="1"/>
  <c r="O33" i="1" s="1"/>
  <c r="P31" i="1"/>
  <c r="O31" i="1" s="1"/>
  <c r="P42" i="1"/>
  <c r="O42" i="1" s="1"/>
  <c r="P36" i="1"/>
  <c r="O36" i="1" s="1"/>
  <c r="P29" i="1"/>
  <c r="O29" i="1" s="1"/>
  <c r="P25" i="1"/>
  <c r="P48" i="1"/>
  <c r="O48" i="1" s="1"/>
  <c r="I15" i="1"/>
  <c r="P52" i="1"/>
  <c r="O52" i="1" s="1"/>
  <c r="P47" i="1"/>
  <c r="O47" i="1" s="1"/>
  <c r="P50" i="1"/>
  <c r="O50" i="1" s="1"/>
  <c r="P40" i="1"/>
  <c r="O40" i="1" s="1"/>
  <c r="P34" i="1"/>
  <c r="O34" i="1" s="1"/>
  <c r="E7" i="3"/>
  <c r="K11" i="1"/>
  <c r="D7" i="3" s="1"/>
  <c r="K10" i="5"/>
  <c r="G6" i="3" s="1"/>
  <c r="L23" i="7"/>
  <c r="V12" i="6"/>
  <c r="I17" i="6"/>
  <c r="S12" i="6"/>
  <c r="I17" i="5"/>
  <c r="L24" i="9"/>
  <c r="L24" i="8"/>
  <c r="N24" i="8" s="1"/>
  <c r="L19" i="8" s="1"/>
  <c r="I4" i="8" s="1"/>
  <c r="K4" i="8" s="1"/>
  <c r="M4" i="8" s="1"/>
  <c r="S18" i="6"/>
  <c r="S19" i="6" s="1"/>
  <c r="S18" i="5"/>
  <c r="S19" i="5" s="1"/>
  <c r="V12" i="5"/>
  <c r="V13" i="5" s="1"/>
  <c r="S12" i="5"/>
  <c r="S13" i="5" s="1"/>
  <c r="N23" i="7"/>
  <c r="L18" i="7" s="1"/>
  <c r="I4" i="7" s="1"/>
  <c r="J15" i="1"/>
  <c r="N24" i="9"/>
  <c r="L19" i="9" s="1"/>
  <c r="I4" i="9" s="1"/>
  <c r="E4" i="3"/>
  <c r="J16" i="1"/>
  <c r="H9" i="3"/>
  <c r="K11" i="6"/>
  <c r="J7" i="3" s="1"/>
  <c r="K7" i="3"/>
  <c r="F24" i="9"/>
  <c r="G24" i="9" s="1"/>
  <c r="D19" i="9" s="1"/>
  <c r="H4" i="9" s="1"/>
  <c r="M4" i="9" s="1"/>
  <c r="K4" i="3"/>
  <c r="J15" i="6"/>
  <c r="K10" i="6"/>
  <c r="J6" i="3" s="1"/>
  <c r="K20" i="5"/>
  <c r="W13" i="5" l="1"/>
  <c r="I15" i="3" s="1"/>
  <c r="G15" i="3"/>
  <c r="P55" i="5"/>
  <c r="O55" i="5" s="1"/>
  <c r="P40" i="5"/>
  <c r="O40" i="5" s="1"/>
  <c r="P32" i="5"/>
  <c r="O32" i="5" s="1"/>
  <c r="P25" i="5"/>
  <c r="C4" i="5"/>
  <c r="E4" i="5" s="1"/>
  <c r="P42" i="5"/>
  <c r="O42" i="5" s="1"/>
  <c r="P34" i="5"/>
  <c r="O34" i="5" s="1"/>
  <c r="P56" i="5"/>
  <c r="O56" i="5" s="1"/>
  <c r="P41" i="5"/>
  <c r="O41" i="5" s="1"/>
  <c r="P33" i="5"/>
  <c r="O33" i="5" s="1"/>
  <c r="P28" i="5"/>
  <c r="O28" i="5" s="1"/>
  <c r="P50" i="5"/>
  <c r="O50" i="5" s="1"/>
  <c r="P45" i="5"/>
  <c r="O45" i="5" s="1"/>
  <c r="P35" i="5"/>
  <c r="O35" i="5" s="1"/>
  <c r="P51" i="5"/>
  <c r="O51" i="5" s="1"/>
  <c r="P49" i="5"/>
  <c r="O49" i="5" s="1"/>
  <c r="P39" i="5"/>
  <c r="O39" i="5" s="1"/>
  <c r="P48" i="5"/>
  <c r="O48" i="5" s="1"/>
  <c r="P47" i="5"/>
  <c r="O47" i="5" s="1"/>
  <c r="P46" i="5"/>
  <c r="O46" i="5" s="1"/>
  <c r="P38" i="5"/>
  <c r="O38" i="5" s="1"/>
  <c r="P37" i="5"/>
  <c r="O37" i="5" s="1"/>
  <c r="P36" i="5"/>
  <c r="O36" i="5" s="1"/>
  <c r="K8" i="5"/>
  <c r="P44" i="5"/>
  <c r="O44" i="5" s="1"/>
  <c r="S30" i="5"/>
  <c r="P54" i="5"/>
  <c r="O54" i="5" s="1"/>
  <c r="P43" i="5"/>
  <c r="O43" i="5" s="1"/>
  <c r="P30" i="5"/>
  <c r="P29" i="5"/>
  <c r="O29" i="5" s="1"/>
  <c r="P27" i="5"/>
  <c r="O27" i="5" s="1"/>
  <c r="P26" i="5"/>
  <c r="O26" i="5" s="1"/>
  <c r="P53" i="5"/>
  <c r="O53" i="5" s="1"/>
  <c r="P52" i="5"/>
  <c r="O52" i="5" s="1"/>
  <c r="I9" i="5"/>
  <c r="P31" i="5"/>
  <c r="O31" i="5" s="1"/>
  <c r="D16" i="3"/>
  <c r="L16" i="1"/>
  <c r="K16" i="1"/>
  <c r="N16" i="1"/>
  <c r="T19" i="6"/>
  <c r="L13" i="3" s="1"/>
  <c r="J13" i="3"/>
  <c r="E4" i="1"/>
  <c r="P12" i="5"/>
  <c r="Q12" i="5" s="1"/>
  <c r="M12" i="5"/>
  <c r="I8" i="3" s="1"/>
  <c r="M10" i="1"/>
  <c r="F6" i="3" s="1"/>
  <c r="P10" i="1"/>
  <c r="Q10" i="1" s="1"/>
  <c r="T19" i="5"/>
  <c r="I13" i="3" s="1"/>
  <c r="G13" i="3"/>
  <c r="I15" i="6"/>
  <c r="K15" i="1"/>
  <c r="D11" i="3" s="1"/>
  <c r="I15" i="5"/>
  <c r="K16" i="9"/>
  <c r="K16" i="8"/>
  <c r="K15" i="7"/>
  <c r="D4" i="3"/>
  <c r="L20" i="1"/>
  <c r="H7" i="3"/>
  <c r="K11" i="5"/>
  <c r="G7" i="3" s="1"/>
  <c r="M10" i="6"/>
  <c r="L6" i="3" s="1"/>
  <c r="P10" i="6"/>
  <c r="Q10" i="6" s="1"/>
  <c r="P56" i="6"/>
  <c r="O56" i="6" s="1"/>
  <c r="P48" i="6"/>
  <c r="O48" i="6" s="1"/>
  <c r="P43" i="6"/>
  <c r="O43" i="6" s="1"/>
  <c r="P35" i="6"/>
  <c r="O35" i="6" s="1"/>
  <c r="I9" i="6"/>
  <c r="P53" i="6"/>
  <c r="O53" i="6" s="1"/>
  <c r="P45" i="6"/>
  <c r="O45" i="6" s="1"/>
  <c r="P40" i="6"/>
  <c r="O40" i="6" s="1"/>
  <c r="P32" i="6"/>
  <c r="O32" i="6" s="1"/>
  <c r="P50" i="6"/>
  <c r="O50" i="6" s="1"/>
  <c r="P37" i="6"/>
  <c r="O37" i="6" s="1"/>
  <c r="P29" i="6"/>
  <c r="O29" i="6" s="1"/>
  <c r="C4" i="6"/>
  <c r="P49" i="6"/>
  <c r="O49" i="6" s="1"/>
  <c r="P36" i="6"/>
  <c r="O36" i="6" s="1"/>
  <c r="P51" i="6"/>
  <c r="O51" i="6" s="1"/>
  <c r="P38" i="6"/>
  <c r="O38" i="6" s="1"/>
  <c r="P30" i="6"/>
  <c r="O30" i="6" s="1"/>
  <c r="P25" i="6"/>
  <c r="P54" i="6"/>
  <c r="O54" i="6" s="1"/>
  <c r="P52" i="6"/>
  <c r="O52" i="6" s="1"/>
  <c r="P44" i="6"/>
  <c r="O44" i="6" s="1"/>
  <c r="S33" i="6"/>
  <c r="P42" i="6"/>
  <c r="O42" i="6" s="1"/>
  <c r="P47" i="6"/>
  <c r="O47" i="6" s="1"/>
  <c r="P46" i="6"/>
  <c r="O46" i="6" s="1"/>
  <c r="P34" i="6"/>
  <c r="O34" i="6" s="1"/>
  <c r="P33" i="6"/>
  <c r="O33" i="6" s="1"/>
  <c r="P31" i="6"/>
  <c r="O31" i="6" s="1"/>
  <c r="P41" i="6"/>
  <c r="O41" i="6" s="1"/>
  <c r="P39" i="6"/>
  <c r="O39" i="6" s="1"/>
  <c r="P28" i="6"/>
  <c r="O28" i="6" s="1"/>
  <c r="P27" i="6"/>
  <c r="O27" i="6" s="1"/>
  <c r="E4" i="6"/>
  <c r="P55" i="6"/>
  <c r="O55" i="6" s="1"/>
  <c r="P26" i="6"/>
  <c r="O26" i="6" s="1"/>
  <c r="K8" i="6"/>
  <c r="U12" i="6"/>
  <c r="S13" i="6"/>
  <c r="P56" i="1"/>
  <c r="O56" i="1" s="1"/>
  <c r="L8" i="1"/>
  <c r="O25" i="1"/>
  <c r="Q55" i="1"/>
  <c r="R55" i="1" s="1"/>
  <c r="Q46" i="1"/>
  <c r="R46" i="1" s="1"/>
  <c r="Q41" i="1"/>
  <c r="R41" i="1" s="1"/>
  <c r="Q39" i="1"/>
  <c r="R39" i="1" s="1"/>
  <c r="Q37" i="1"/>
  <c r="R37" i="1" s="1"/>
  <c r="Q50" i="1"/>
  <c r="R50" i="1" s="1"/>
  <c r="Q48" i="1"/>
  <c r="R48" i="1" s="1"/>
  <c r="Q43" i="1"/>
  <c r="R43" i="1" s="1"/>
  <c r="Q34" i="1"/>
  <c r="R34" i="1" s="1"/>
  <c r="Q29" i="1"/>
  <c r="R29" i="1" s="1"/>
  <c r="Q53" i="1"/>
  <c r="R53" i="1" s="1"/>
  <c r="Q44" i="1"/>
  <c r="R44" i="1" s="1"/>
  <c r="Q35" i="1"/>
  <c r="R35" i="1" s="1"/>
  <c r="U31" i="1"/>
  <c r="U56" i="1" s="1"/>
  <c r="Q25" i="1"/>
  <c r="Q28" i="1"/>
  <c r="R28" i="1" s="1"/>
  <c r="Q33" i="1"/>
  <c r="R33" i="1" s="1"/>
  <c r="Q31" i="1"/>
  <c r="R31" i="1" s="1"/>
  <c r="Q27" i="1"/>
  <c r="R27" i="1" s="1"/>
  <c r="Q47" i="1"/>
  <c r="R47" i="1" s="1"/>
  <c r="Q54" i="1"/>
  <c r="R54" i="1" s="1"/>
  <c r="Q42" i="1"/>
  <c r="R42" i="1" s="1"/>
  <c r="Q38" i="1"/>
  <c r="R38" i="1" s="1"/>
  <c r="Q32" i="1"/>
  <c r="R32" i="1" s="1"/>
  <c r="Q26" i="1"/>
  <c r="R26" i="1" s="1"/>
  <c r="Q36" i="1"/>
  <c r="R36" i="1" s="1"/>
  <c r="Q40" i="1"/>
  <c r="R40" i="1" s="1"/>
  <c r="K9" i="1"/>
  <c r="D5" i="3" s="1"/>
  <c r="Q51" i="1"/>
  <c r="R51" i="1" s="1"/>
  <c r="Q49" i="1"/>
  <c r="R49" i="1" s="1"/>
  <c r="Q52" i="1"/>
  <c r="R52" i="1" s="1"/>
  <c r="Q30" i="1"/>
  <c r="R30" i="1" s="1"/>
  <c r="Q45" i="1"/>
  <c r="R45" i="1" s="1"/>
  <c r="T31" i="1"/>
  <c r="T56" i="1" s="1"/>
  <c r="F23" i="7"/>
  <c r="D18" i="7" s="1"/>
  <c r="H4" i="7" s="1"/>
  <c r="M4" i="7" s="1"/>
  <c r="J16" i="5"/>
  <c r="D58" i="1"/>
  <c r="H4" i="3"/>
  <c r="J15" i="5"/>
  <c r="N15" i="6"/>
  <c r="K11" i="3"/>
  <c r="L15" i="6"/>
  <c r="P15" i="6" s="1"/>
  <c r="Q15" i="6" s="1"/>
  <c r="T13" i="5"/>
  <c r="I14" i="3" s="1"/>
  <c r="G14" i="3"/>
  <c r="K17" i="6"/>
  <c r="J12" i="3" s="1"/>
  <c r="M17" i="6"/>
  <c r="L12" i="3" s="1"/>
  <c r="N17" i="6"/>
  <c r="L17" i="1"/>
  <c r="K17" i="1"/>
  <c r="D12" i="3" s="1"/>
  <c r="N17" i="1"/>
  <c r="E12" i="3"/>
  <c r="E11" i="3"/>
  <c r="N15" i="1"/>
  <c r="L15" i="1"/>
  <c r="P15" i="1" s="1"/>
  <c r="Q15" i="1" s="1"/>
  <c r="M17" i="5"/>
  <c r="I12" i="3" s="1"/>
  <c r="K17" i="5"/>
  <c r="G12" i="3" s="1"/>
  <c r="N17" i="5"/>
  <c r="X12" i="6"/>
  <c r="V13" i="6"/>
  <c r="L10" i="5"/>
  <c r="H6" i="3"/>
  <c r="K20" i="1"/>
  <c r="M17" i="1" l="1"/>
  <c r="F12" i="3" s="1"/>
  <c r="P17" i="1"/>
  <c r="Q17" i="1" s="1"/>
  <c r="Q52" i="5"/>
  <c r="R52" i="5" s="1"/>
  <c r="Q47" i="5"/>
  <c r="R47" i="5" s="1"/>
  <c r="Q37" i="5"/>
  <c r="R37" i="5" s="1"/>
  <c r="Q29" i="5"/>
  <c r="R29" i="5" s="1"/>
  <c r="Q27" i="5"/>
  <c r="R27" i="5" s="1"/>
  <c r="Q54" i="5"/>
  <c r="R54" i="5" s="1"/>
  <c r="Q49" i="5"/>
  <c r="R49" i="5" s="1"/>
  <c r="Q44" i="5"/>
  <c r="R44" i="5" s="1"/>
  <c r="Q39" i="5"/>
  <c r="R39" i="5" s="1"/>
  <c r="Q31" i="5"/>
  <c r="R31" i="5" s="1"/>
  <c r="T30" i="5"/>
  <c r="T49" i="5" s="1"/>
  <c r="Q53" i="5"/>
  <c r="R53" i="5" s="1"/>
  <c r="Q48" i="5"/>
  <c r="R48" i="5" s="1"/>
  <c r="Q43" i="5"/>
  <c r="R43" i="5" s="1"/>
  <c r="Q38" i="5"/>
  <c r="R38" i="5" s="1"/>
  <c r="Q30" i="5"/>
  <c r="R30" i="5" s="1"/>
  <c r="Q55" i="5"/>
  <c r="R55" i="5" s="1"/>
  <c r="Q40" i="5"/>
  <c r="R40" i="5" s="1"/>
  <c r="Q32" i="5"/>
  <c r="R32" i="5" s="1"/>
  <c r="Q25" i="5"/>
  <c r="Q50" i="5"/>
  <c r="R50" i="5" s="1"/>
  <c r="Q34" i="5"/>
  <c r="R34" i="5" s="1"/>
  <c r="Q46" i="5"/>
  <c r="R46" i="5" s="1"/>
  <c r="Q45" i="5"/>
  <c r="R45" i="5" s="1"/>
  <c r="Q36" i="5"/>
  <c r="R36" i="5" s="1"/>
  <c r="Q35" i="5"/>
  <c r="R35" i="5" s="1"/>
  <c r="Q33" i="5"/>
  <c r="R33" i="5" s="1"/>
  <c r="Q56" i="5"/>
  <c r="R56" i="5" s="1"/>
  <c r="Q41" i="5"/>
  <c r="R41" i="5" s="1"/>
  <c r="Q51" i="5"/>
  <c r="R51" i="5" s="1"/>
  <c r="Q28" i="5"/>
  <c r="R28" i="5" s="1"/>
  <c r="K9" i="5"/>
  <c r="G5" i="3" s="1"/>
  <c r="Q26" i="5"/>
  <c r="R26" i="5" s="1"/>
  <c r="Q42" i="5"/>
  <c r="R42" i="5" s="1"/>
  <c r="I13" i="5"/>
  <c r="U30" i="5"/>
  <c r="U49" i="5" s="1"/>
  <c r="P57" i="5"/>
  <c r="O57" i="5" s="1"/>
  <c r="O25" i="5"/>
  <c r="L20" i="6"/>
  <c r="J4" i="3"/>
  <c r="C4" i="2"/>
  <c r="M20" i="1"/>
  <c r="P20" i="1"/>
  <c r="Q20" i="1" s="1"/>
  <c r="M15" i="6"/>
  <c r="L11" i="3" s="1"/>
  <c r="K15" i="6"/>
  <c r="J11" i="3" s="1"/>
  <c r="J16" i="6"/>
  <c r="N20" i="1"/>
  <c r="N15" i="5"/>
  <c r="L15" i="5"/>
  <c r="P15" i="5" s="1"/>
  <c r="Q15" i="5" s="1"/>
  <c r="H11" i="3"/>
  <c r="S45" i="6"/>
  <c r="S46" i="6"/>
  <c r="L20" i="5"/>
  <c r="G4" i="3"/>
  <c r="C3" i="2"/>
  <c r="S49" i="5"/>
  <c r="S57" i="5" s="1"/>
  <c r="M16" i="1"/>
  <c r="P16" i="1"/>
  <c r="Q16" i="1" s="1"/>
  <c r="P10" i="5"/>
  <c r="Q10" i="5" s="1"/>
  <c r="M10" i="5"/>
  <c r="I6" i="3" s="1"/>
  <c r="N10" i="5"/>
  <c r="N16" i="5"/>
  <c r="L16" i="5"/>
  <c r="K16" i="5"/>
  <c r="R25" i="1"/>
  <c r="L9" i="1"/>
  <c r="Q56" i="1"/>
  <c r="P8" i="1"/>
  <c r="Q8" i="1" s="1"/>
  <c r="M8" i="1"/>
  <c r="F4" i="3" s="1"/>
  <c r="N8" i="1"/>
  <c r="W13" i="6"/>
  <c r="L15" i="3" s="1"/>
  <c r="J15" i="3"/>
  <c r="O25" i="6"/>
  <c r="L8" i="6"/>
  <c r="P57" i="6"/>
  <c r="O57" i="6" s="1"/>
  <c r="Q53" i="6"/>
  <c r="R53" i="6" s="1"/>
  <c r="Q45" i="6"/>
  <c r="R45" i="6" s="1"/>
  <c r="Q40" i="6"/>
  <c r="R40" i="6" s="1"/>
  <c r="Q32" i="6"/>
  <c r="R32" i="6" s="1"/>
  <c r="Q27" i="6"/>
  <c r="R27" i="6" s="1"/>
  <c r="Q50" i="6"/>
  <c r="R50" i="6" s="1"/>
  <c r="Q37" i="6"/>
  <c r="R37" i="6" s="1"/>
  <c r="U33" i="6"/>
  <c r="U45" i="6" s="1"/>
  <c r="Q55" i="6"/>
  <c r="R55" i="6" s="1"/>
  <c r="Q47" i="6"/>
  <c r="R47" i="6" s="1"/>
  <c r="Q42" i="6"/>
  <c r="R42" i="6" s="1"/>
  <c r="Q34" i="6"/>
  <c r="R34" i="6" s="1"/>
  <c r="T33" i="6"/>
  <c r="Q54" i="6"/>
  <c r="R54" i="6" s="1"/>
  <c r="Q46" i="6"/>
  <c r="R46" i="6" s="1"/>
  <c r="T45" i="6"/>
  <c r="Q41" i="6"/>
  <c r="R41" i="6" s="1"/>
  <c r="Q33" i="6"/>
  <c r="R33" i="6" s="1"/>
  <c r="Q28" i="6"/>
  <c r="R28" i="6" s="1"/>
  <c r="Q56" i="6"/>
  <c r="R56" i="6" s="1"/>
  <c r="Q48" i="6"/>
  <c r="R48" i="6" s="1"/>
  <c r="Q43" i="6"/>
  <c r="R43" i="6" s="1"/>
  <c r="Q35" i="6"/>
  <c r="R35" i="6" s="1"/>
  <c r="I13" i="6"/>
  <c r="Q51" i="6"/>
  <c r="R51" i="6" s="1"/>
  <c r="Q44" i="6"/>
  <c r="R44" i="6" s="1"/>
  <c r="K9" i="6"/>
  <c r="J5" i="3" s="1"/>
  <c r="Q29" i="6"/>
  <c r="R29" i="6" s="1"/>
  <c r="Q36" i="6"/>
  <c r="R36" i="6" s="1"/>
  <c r="Q31" i="6"/>
  <c r="R31" i="6" s="1"/>
  <c r="Q30" i="6"/>
  <c r="R30" i="6" s="1"/>
  <c r="Q39" i="6"/>
  <c r="R39" i="6" s="1"/>
  <c r="Q38" i="6"/>
  <c r="R38" i="6" s="1"/>
  <c r="Q26" i="6"/>
  <c r="R26" i="6" s="1"/>
  <c r="Q52" i="6"/>
  <c r="R52" i="6" s="1"/>
  <c r="Q49" i="6"/>
  <c r="R49" i="6" s="1"/>
  <c r="Q25" i="6"/>
  <c r="M15" i="1"/>
  <c r="F11" i="3" s="1"/>
  <c r="O30" i="5"/>
  <c r="D58" i="5"/>
  <c r="J14" i="3"/>
  <c r="T13" i="6"/>
  <c r="L14" i="3" s="1"/>
  <c r="M15" i="5"/>
  <c r="I11" i="3" s="1"/>
  <c r="K15" i="5"/>
  <c r="G11" i="3" s="1"/>
  <c r="N16" i="6" l="1"/>
  <c r="L16" i="6"/>
  <c r="K16" i="6"/>
  <c r="T57" i="5"/>
  <c r="K13" i="6"/>
  <c r="J9" i="3" s="1"/>
  <c r="P20" i="5"/>
  <c r="Q20" i="5" s="1"/>
  <c r="M20" i="5"/>
  <c r="N20" i="5"/>
  <c r="U46" i="6"/>
  <c r="U47" i="6" s="1"/>
  <c r="Q57" i="6"/>
  <c r="L9" i="6"/>
  <c r="R25" i="6"/>
  <c r="P8" i="6"/>
  <c r="Q8" i="6" s="1"/>
  <c r="N8" i="6"/>
  <c r="J16" i="3" s="1"/>
  <c r="M8" i="6"/>
  <c r="L4" i="3" s="1"/>
  <c r="L11" i="1"/>
  <c r="P9" i="1"/>
  <c r="Q9" i="1" s="1"/>
  <c r="N9" i="1"/>
  <c r="M9" i="1"/>
  <c r="F5" i="3" s="1"/>
  <c r="S47" i="6"/>
  <c r="S48" i="6" s="1"/>
  <c r="L13" i="1"/>
  <c r="R56" i="1"/>
  <c r="P8" i="5"/>
  <c r="Q8" i="5" s="1"/>
  <c r="N8" i="5"/>
  <c r="G16" i="3" s="1"/>
  <c r="I4" i="3"/>
  <c r="T46" i="6"/>
  <c r="U57" i="5"/>
  <c r="P16" i="5"/>
  <c r="Q16" i="5" s="1"/>
  <c r="M16" i="5"/>
  <c r="K13" i="5"/>
  <c r="G9" i="3" s="1"/>
  <c r="Q57" i="5"/>
  <c r="L9" i="5"/>
  <c r="R25" i="5"/>
  <c r="P20" i="6"/>
  <c r="Q20" i="6" s="1"/>
  <c r="M20" i="6"/>
  <c r="N20" i="6"/>
  <c r="U48" i="6" l="1"/>
  <c r="U49" i="6"/>
  <c r="U57" i="6" s="1"/>
  <c r="L11" i="5"/>
  <c r="P9" i="5"/>
  <c r="Q9" i="5" s="1"/>
  <c r="N9" i="5"/>
  <c r="M9" i="5"/>
  <c r="I5" i="3" s="1"/>
  <c r="M11" i="1"/>
  <c r="F7" i="3" s="1"/>
  <c r="P11" i="1"/>
  <c r="Q11" i="1" s="1"/>
  <c r="N11" i="1"/>
  <c r="R57" i="5"/>
  <c r="L13" i="5"/>
  <c r="S49" i="6"/>
  <c r="S57" i="6" s="1"/>
  <c r="P13" i="1"/>
  <c r="Q13" i="1" s="1"/>
  <c r="M13" i="1"/>
  <c r="F9" i="3" s="1"/>
  <c r="N13" i="1"/>
  <c r="T47" i="6"/>
  <c r="T48" i="6" s="1"/>
  <c r="P16" i="6"/>
  <c r="Q16" i="6" s="1"/>
  <c r="M16" i="6"/>
  <c r="L11" i="6"/>
  <c r="P9" i="6"/>
  <c r="Q9" i="6" s="1"/>
  <c r="N9" i="6"/>
  <c r="M9" i="6"/>
  <c r="L5" i="3" s="1"/>
  <c r="L13" i="6"/>
  <c r="R57" i="6"/>
  <c r="P11" i="6" l="1"/>
  <c r="Q11" i="6" s="1"/>
  <c r="M11" i="6"/>
  <c r="L7" i="3" s="1"/>
  <c r="N11" i="6"/>
  <c r="P13" i="5"/>
  <c r="Q13" i="5" s="1"/>
  <c r="M13" i="5"/>
  <c r="I9" i="3" s="1"/>
  <c r="N13" i="5"/>
  <c r="P11" i="5"/>
  <c r="Q11" i="5" s="1"/>
  <c r="M11" i="5"/>
  <c r="I7" i="3" s="1"/>
  <c r="N11" i="5"/>
  <c r="T49" i="6"/>
  <c r="T57" i="6" s="1"/>
  <c r="P13" i="6"/>
  <c r="Q13" i="6" s="1"/>
  <c r="N13" i="6"/>
  <c r="M13" i="6"/>
  <c r="L9" i="3" s="1"/>
</calcChain>
</file>

<file path=xl/sharedStrings.xml><?xml version="1.0" encoding="utf-8"?>
<sst xmlns="http://schemas.openxmlformats.org/spreadsheetml/2006/main" count="526" uniqueCount="128">
  <si>
    <t>(отчетная дата)</t>
  </si>
  <si>
    <t>Осталось до выполнения плана!!!</t>
  </si>
  <si>
    <t>Целевые показатели</t>
  </si>
  <si>
    <t>Показатель</t>
  </si>
  <si>
    <t>План</t>
  </si>
  <si>
    <t>Факт</t>
  </si>
  <si>
    <t>% выполнения</t>
  </si>
  <si>
    <t>Прогноз выполнения</t>
  </si>
  <si>
    <t>% выполнения по прогнозу</t>
  </si>
  <si>
    <t>Отклонение</t>
  </si>
  <si>
    <t>Факт аналогичного месяца прошлого года</t>
  </si>
  <si>
    <t>Отклонение LFL</t>
  </si>
  <si>
    <t>Выручка</t>
  </si>
  <si>
    <t>Кол-во изделий</t>
  </si>
  <si>
    <t>Средний чек</t>
  </si>
  <si>
    <t>Средняя стоимость изделия</t>
  </si>
  <si>
    <t>Длина чека</t>
  </si>
  <si>
    <t>Кол-во чеков</t>
  </si>
  <si>
    <t>Кол-во смен</t>
  </si>
  <si>
    <t>Средние продажи в смену</t>
  </si>
  <si>
    <t>Отставание/Перевыполнение</t>
  </si>
  <si>
    <t>Трафик</t>
  </si>
  <si>
    <t>Конверсия план/факт</t>
  </si>
  <si>
    <t>Факт продаж за месяц</t>
  </si>
  <si>
    <t>% выполнения дневного плана</t>
  </si>
  <si>
    <t>Раcпределение плана по дням</t>
  </si>
  <si>
    <t>Сотрудник</t>
  </si>
  <si>
    <t>Дата</t>
  </si>
  <si>
    <t>День недели</t>
  </si>
  <si>
    <t>Выручка (руб)</t>
  </si>
  <si>
    <t>Кол-во единиц (шт.)</t>
  </si>
  <si>
    <t>Средняя стоимость изделия (руб.)</t>
  </si>
  <si>
    <t>Количество чеков  (шт.)</t>
  </si>
  <si>
    <t>Средняя сумма чека (руб.)</t>
  </si>
  <si>
    <t>Длина чека (шт.)</t>
  </si>
  <si>
    <t>UNOde50</t>
  </si>
  <si>
    <t>IS</t>
  </si>
  <si>
    <t>Agafi</t>
  </si>
  <si>
    <t>Конверсия (%)</t>
  </si>
  <si>
    <t>выручка, план</t>
  </si>
  <si>
    <t>кол-во ед, план</t>
  </si>
  <si>
    <t>Кол-во чеков, план</t>
  </si>
  <si>
    <t>выручка, скорректир.план</t>
  </si>
  <si>
    <t>кол-во ед, скорр. план</t>
  </si>
  <si>
    <t>кол-во чеков, скорр. план</t>
  </si>
  <si>
    <t>Коэфф. Дня Недели</t>
  </si>
  <si>
    <t>Специфика месяца</t>
  </si>
  <si>
    <t>Уразгильдеева</t>
  </si>
  <si>
    <t>ср</t>
  </si>
  <si>
    <t>Рогалевич,Уразгильдеева</t>
  </si>
  <si>
    <t>чт</t>
  </si>
  <si>
    <t>пт</t>
  </si>
  <si>
    <t>Рогалевич</t>
  </si>
  <si>
    <t>сб</t>
  </si>
  <si>
    <t>вс</t>
  </si>
  <si>
    <t>пн</t>
  </si>
  <si>
    <t>вт</t>
  </si>
  <si>
    <t>итого</t>
  </si>
  <si>
    <t>КВП</t>
  </si>
  <si>
    <t>Итого</t>
  </si>
  <si>
    <t>1-20.08</t>
  </si>
  <si>
    <t xml:space="preserve">Факт </t>
  </si>
  <si>
    <t>Прогноз</t>
  </si>
  <si>
    <t>Кол-во смен план/отработано</t>
  </si>
  <si>
    <t>Отклонение от плана</t>
  </si>
  <si>
    <t>Конверсия</t>
  </si>
  <si>
    <t xml:space="preserve">                          ЕЖЕДНЕВНЫЙ ОТЧЕТ О ПРОДАЖАХ</t>
  </si>
  <si>
    <t>в</t>
  </si>
  <si>
    <t>Выплачено на карту</t>
  </si>
  <si>
    <t>Выплачено наличными по платежной ведомости</t>
  </si>
  <si>
    <t>Дополнительные начисления, доплаты</t>
  </si>
  <si>
    <t>Оклад</t>
  </si>
  <si>
    <t>Бонусная часть от личных продаж</t>
  </si>
  <si>
    <t>Бонусная часть от общих продаж</t>
  </si>
  <si>
    <t>Базовый бонус за выполнение плана</t>
  </si>
  <si>
    <t>Итого:</t>
  </si>
  <si>
    <t>Вычеты</t>
  </si>
  <si>
    <t>Итого к выдаче с учетом авансов и вычетов</t>
  </si>
  <si>
    <t>Подпись</t>
  </si>
  <si>
    <t>Доп начисления</t>
  </si>
  <si>
    <t>Сумма</t>
  </si>
  <si>
    <t>Описание</t>
  </si>
  <si>
    <t>НДФЛ октябрь 2025</t>
  </si>
  <si>
    <t>Административный %</t>
  </si>
  <si>
    <t>Оклад:</t>
  </si>
  <si>
    <t>Дней</t>
  </si>
  <si>
    <t>Магазин</t>
  </si>
  <si>
    <t>Должность</t>
  </si>
  <si>
    <t>Зачислено часов</t>
  </si>
  <si>
    <t>Ставка за час, руб</t>
  </si>
  <si>
    <t>Начислено за день, руб</t>
  </si>
  <si>
    <t>Начисленный ББ</t>
  </si>
  <si>
    <t>ПК</t>
  </si>
  <si>
    <t>БонуснаяЧасть</t>
  </si>
  <si>
    <t>Бонус от личных продаж по категории товара</t>
  </si>
  <si>
    <t>Бонус от общих продаж</t>
  </si>
  <si>
    <t>Процент от продажи</t>
  </si>
  <si>
    <t>Продано на сумму, руб</t>
  </si>
  <si>
    <t>Начисленный бонус от продаж, руб</t>
  </si>
  <si>
    <t>Кол-во отработанных личных часов</t>
  </si>
  <si>
    <t>Кол-во отработанных общих часов</t>
  </si>
  <si>
    <t>НДФЛ июнь 2025</t>
  </si>
  <si>
    <t>пб</t>
  </si>
  <si>
    <t>Октябрь, 2025</t>
  </si>
  <si>
    <t>г. Ялта</t>
  </si>
  <si>
    <t>ул. Набережная Ленина, 18</t>
  </si>
  <si>
    <t>GL-0005</t>
  </si>
  <si>
    <t>10.00-22.00</t>
  </si>
  <si>
    <t>ФОТ</t>
  </si>
  <si>
    <t>Кол-во дней в месяц</t>
  </si>
  <si>
    <t>Часы</t>
  </si>
  <si>
    <t>Выходные</t>
  </si>
  <si>
    <t>Отпуск</t>
  </si>
  <si>
    <t>Больничный (официальный)</t>
  </si>
  <si>
    <t>Дни стажировки</t>
  </si>
  <si>
    <t>№</t>
  </si>
  <si>
    <t>ФИО</t>
  </si>
  <si>
    <t>Дни</t>
  </si>
  <si>
    <t>Арапова Анна-Мария</t>
  </si>
  <si>
    <t>6с</t>
  </si>
  <si>
    <t>11с</t>
  </si>
  <si>
    <t>12с</t>
  </si>
  <si>
    <t>Уразгильдеева Екатерина</t>
  </si>
  <si>
    <t>Рогалевич Ирина</t>
  </si>
  <si>
    <t>УМ</t>
  </si>
  <si>
    <t>Итого магазин</t>
  </si>
  <si>
    <t xml:space="preserve">    </t>
  </si>
  <si>
    <t>Опалата за стажировку (83 часа)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</si>
</sst>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#,##0\ &quot;₽&quot;;\-#,##0\ &quot;₽&quot;"/>
    <numFmt numFmtId="164" formatCode="dddd&quot;, &quot;mmmm\ dd&quot;, &quot;yyyy"/>
    <numFmt numFmtId="165" formatCode="0.0%"/>
    <numFmt numFmtId="166" formatCode="#,##0\ &quot;₽&quot;"/>
    <numFmt numFmtId="167" formatCode="#,##0.0"/>
    <numFmt numFmtId="168" formatCode="_-* #,##0.00_р_._-;\-* #,##0.00_р_._-;_-* \-??_р_._-;_-@_-"/>
    <numFmt numFmtId="169" formatCode="#,##0.00\ &quot;₽&quot;"/>
    <numFmt numFmtId="170" formatCode="#,##0\ _₽"/>
    <numFmt numFmtId="171" formatCode="#,##0.00\ _₽"/>
    <numFmt numFmtId="172" formatCode="0.0"/>
    <numFmt numFmtId="173" formatCode="mmmm\ yyyy;@"/>
  </numFmts>
  <fonts count="56">
    <font>
      <sz val="11"/>
      <color indexed="63"/>
      <name val="Calibri"/>
    </font>
    <font>
      <sz val="9"/>
      <color indexed="63"/>
      <name val="Times New Roman"/>
      <family val="1"/>
    </font>
    <font>
      <sz val="11"/>
      <color indexed="63"/>
      <name val="Times New Roman"/>
      <family val="1"/>
    </font>
    <font>
      <sz val="11"/>
      <color indexed="63"/>
      <name val="Clinica Pro Regular"/>
    </font>
    <font>
      <sz val="11"/>
      <color rgb="FFCC66FF"/>
      <name val="Times New Roman"/>
      <family val="1"/>
    </font>
    <font>
      <b/>
      <sz val="8"/>
      <color rgb="FFCC66FF"/>
      <name val="Times New Roman"/>
      <family val="1"/>
    </font>
    <font>
      <sz val="8"/>
      <name val="Times New Roman"/>
      <family val="1"/>
    </font>
    <font>
      <sz val="28"/>
      <color rgb="FFCC66FF"/>
      <name val="Times New Roman"/>
      <family val="1"/>
    </font>
    <font>
      <sz val="8"/>
      <color rgb="FFCC66FF"/>
      <name val="Times New Roman"/>
      <family val="1"/>
    </font>
    <font>
      <b/>
      <sz val="11"/>
      <color rgb="FFCC66FF"/>
      <name val="Times New Roman"/>
      <family val="1"/>
    </font>
    <font>
      <b/>
      <sz val="11"/>
      <color rgb="FFCC66FF"/>
      <name val="Clinica Pro Regular"/>
    </font>
    <font>
      <sz val="11"/>
      <color rgb="FFCC66FF"/>
      <name val="Clinica Pro Regular"/>
    </font>
    <font>
      <b/>
      <sz val="12"/>
      <color rgb="FFCC66FF"/>
      <name val="Clinica Pro Regular"/>
    </font>
    <font>
      <b/>
      <sz val="8"/>
      <name val="Times New Roman"/>
      <family val="1"/>
    </font>
    <font>
      <sz val="11"/>
      <color rgb="FFFFC000"/>
      <name val="Times New Roman"/>
      <family val="1"/>
    </font>
    <font>
      <b/>
      <sz val="12"/>
      <name val="Clinica Pro Regular"/>
    </font>
    <font>
      <sz val="8"/>
      <name val="Clinica Pro Regular"/>
    </font>
    <font>
      <b/>
      <sz val="8"/>
      <name val="Clinica Pro Regular"/>
    </font>
    <font>
      <b/>
      <sz val="8"/>
      <color indexed="17"/>
      <name val="Clinica Pro Regular"/>
    </font>
    <font>
      <b/>
      <sz val="9"/>
      <name val="Clinica Pro Regular"/>
    </font>
    <font>
      <sz val="9"/>
      <name val="Clinica Pro Regular"/>
    </font>
    <font>
      <b/>
      <sz val="10"/>
      <name val="Clinica Pro Regular"/>
    </font>
    <font>
      <b/>
      <sz val="9"/>
      <color theme="1"/>
      <name val="Clinica Pro Regular"/>
    </font>
    <font>
      <b/>
      <sz val="8"/>
      <color theme="1"/>
      <name val="Clinica Pro Regular"/>
    </font>
    <font>
      <b/>
      <sz val="9"/>
      <color indexed="17"/>
      <name val="Clinica Pro Regular"/>
    </font>
    <font>
      <b/>
      <sz val="8"/>
      <color indexed="63"/>
      <name val="Clinica Pro Regular"/>
    </font>
    <font>
      <b/>
      <sz val="8"/>
      <color rgb="FF3B3838"/>
      <name val="Clinica Pro Regular"/>
    </font>
    <font>
      <sz val="9"/>
      <color indexed="63"/>
      <name val="Clinica Pro Regular"/>
    </font>
    <font>
      <b/>
      <sz val="8"/>
      <color rgb="FF1F4E79"/>
      <name val="Clinica Pro Regular"/>
    </font>
    <font>
      <sz val="11"/>
      <name val="Calibri"/>
      <family val="2"/>
    </font>
    <font>
      <sz val="8"/>
      <color theme="1"/>
      <name val="Clinica Pro Regular"/>
    </font>
    <font>
      <sz val="8"/>
      <color indexed="63"/>
      <name val="Clinica Pro Regular"/>
    </font>
    <font>
      <sz val="9"/>
      <color theme="1"/>
      <name val="Clinica Pro Regular"/>
    </font>
    <font>
      <sz val="10"/>
      <name val="Clinica Pro Regular"/>
    </font>
    <font>
      <sz val="10"/>
      <color indexed="63"/>
      <name val="Clinica Pro Regular"/>
    </font>
    <font>
      <b/>
      <sz val="8"/>
      <color rgb="FFCC66FF"/>
      <name val="Clinica Pro Regular"/>
    </font>
    <font>
      <sz val="28"/>
      <color rgb="FFCC66FF"/>
      <name val="Clinica Pro Regular"/>
    </font>
    <font>
      <sz val="8"/>
      <color rgb="FFCC66FF"/>
      <name val="Clinica Pro Regular"/>
    </font>
    <font>
      <sz val="11"/>
      <color rgb="FFFFC000"/>
      <name val="Clinica Pro Regular"/>
    </font>
    <font>
      <sz val="8"/>
      <color rgb="FF413003"/>
      <name val="Clinica Pro Regular"/>
    </font>
    <font>
      <b/>
      <sz val="8"/>
      <color rgb="FF413003"/>
      <name val="Clinica Pro Regular"/>
    </font>
    <font>
      <b/>
      <sz val="11"/>
      <color indexed="56"/>
      <name val="Arial"/>
      <family val="2"/>
    </font>
    <font>
      <b/>
      <sz val="11"/>
      <color indexed="56"/>
      <name val="Clinica Pro Regular"/>
    </font>
    <font>
      <sz val="12"/>
      <name val="Clinica Pro Regular"/>
    </font>
    <font>
      <b/>
      <sz val="14"/>
      <color indexed="56"/>
      <name val="Clinica Pro Regular"/>
    </font>
    <font>
      <b/>
      <sz val="12"/>
      <color indexed="18"/>
      <name val="Clinica Pro Regular"/>
    </font>
    <font>
      <sz val="10"/>
      <color indexed="56"/>
      <name val="Clinica Pro Regular"/>
    </font>
    <font>
      <b/>
      <sz val="10"/>
      <color indexed="18"/>
      <name val="Clinica Pro Regular"/>
    </font>
    <font>
      <b/>
      <sz val="10"/>
      <color indexed="16"/>
      <name val="Clinica Pro Regular"/>
    </font>
    <font>
      <sz val="11"/>
      <name val="Clinica Pro Regular"/>
    </font>
    <font>
      <sz val="10"/>
      <color theme="0"/>
      <name val="Clinica Pro Regular"/>
    </font>
    <font>
      <b/>
      <sz val="11"/>
      <name val="Clinica Pro Regular"/>
    </font>
    <font>
      <sz val="12"/>
      <color theme="1"/>
      <name val="Clinica Pro Regular"/>
    </font>
    <font>
      <sz val="12"/>
      <color indexed="2"/>
      <name val="Clinica Pro Regular"/>
    </font>
    <font>
      <sz val="11"/>
      <color indexed="63"/>
      <name val="Calibri"/>
      <family val="2"/>
    </font>
    <font>
      <b/>
      <sz val="10"/>
      <name val="Clinica Pro Regular"/>
      <charset val="204"/>
    </font>
  </fonts>
  <fills count="33">
    <fill>
      <patternFill patternType="none"/>
    </fill>
    <fill>
      <patternFill patternType="gray125"/>
    </fill>
    <fill>
      <patternFill patternType="solid">
        <fgColor rgb="FF66FFFF"/>
        <bgColor rgb="FF66FFFF"/>
      </patternFill>
    </fill>
    <fill>
      <patternFill patternType="solid">
        <fgColor rgb="FFCCFF00"/>
        <bgColor rgb="FFCCFF00"/>
      </patternFill>
    </fill>
    <fill>
      <patternFill patternType="solid">
        <fgColor indexed="65"/>
      </patternFill>
    </fill>
    <fill>
      <patternFill patternType="solid">
        <fgColor rgb="FF66FFFF"/>
        <bgColor rgb="FF4ACCD3"/>
      </patternFill>
    </fill>
    <fill>
      <patternFill patternType="solid">
        <fgColor indexed="65"/>
        <bgColor indexed="26"/>
      </patternFill>
    </fill>
    <fill>
      <patternFill patternType="solid">
        <fgColor rgb="FF00CCCC"/>
        <bgColor rgb="FF4ACCD3"/>
      </patternFill>
    </fill>
    <fill>
      <patternFill patternType="solid">
        <fgColor theme="0"/>
        <bgColor rgb="FF66FFFF"/>
      </patternFill>
    </fill>
    <fill>
      <patternFill patternType="solid">
        <fgColor indexed="5"/>
        <bgColor indexed="5"/>
      </patternFill>
    </fill>
    <fill>
      <patternFill patternType="solid">
        <fgColor rgb="FFD0CECE"/>
        <bgColor rgb="FFD0CECE"/>
      </patternFill>
    </fill>
    <fill>
      <patternFill patternType="solid">
        <fgColor rgb="FFD0CECE"/>
        <bgColor rgb="FF5B9BD5"/>
      </patternFill>
    </fill>
    <fill>
      <patternFill patternType="solid">
        <fgColor theme="2"/>
        <bgColor theme="2"/>
      </patternFill>
    </fill>
    <fill>
      <patternFill patternType="solid">
        <fgColor theme="0"/>
        <bgColor theme="0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4ECC5"/>
        <bgColor rgb="FFF4ECC5"/>
      </patternFill>
    </fill>
    <fill>
      <patternFill patternType="solid">
        <fgColor rgb="FFFBF9EC"/>
        <bgColor rgb="FFFBF9EC"/>
      </patternFill>
    </fill>
    <fill>
      <patternFill patternType="solid">
        <fgColor rgb="FFFCFAEB"/>
        <bgColor rgb="FFFCFAEB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92D050"/>
        <bgColor rgb="FFED7D31"/>
      </patternFill>
    </fill>
    <fill>
      <patternFill patternType="solid">
        <fgColor rgb="FF92D050"/>
        <bgColor rgb="FF92D050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rgb="FFFFC000"/>
        <bgColor rgb="FFFFC000"/>
      </patternFill>
    </fill>
    <fill>
      <patternFill patternType="solid">
        <fgColor theme="8" tint="0.39997558519241921"/>
        <bgColor rgb="FFED7D31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8" tint="0.59999389629810485"/>
        <bgColor rgb="FF3B3838"/>
      </patternFill>
    </fill>
    <fill>
      <patternFill patternType="solid">
        <fgColor theme="0"/>
        <bgColor theme="7" tint="0.59999389629810485"/>
      </patternFill>
    </fill>
    <fill>
      <patternFill patternType="solid">
        <fgColor theme="8" tint="0.79998168889431442"/>
        <bgColor rgb="FF3B3838"/>
      </patternFill>
    </fill>
    <fill>
      <patternFill patternType="solid">
        <fgColor theme="9" tint="0.79998168889431442"/>
        <bgColor indexed="7"/>
      </patternFill>
    </fill>
    <fill>
      <patternFill patternType="solid">
        <fgColor theme="3" tint="0.79998168889431442"/>
        <bgColor theme="2"/>
      </patternFill>
    </fill>
    <fill>
      <patternFill patternType="solid">
        <fgColor theme="3" tint="0.79998168889431442"/>
        <bgColor theme="3" tint="0.79998168889431442"/>
      </patternFill>
    </fill>
  </fills>
  <borders count="1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rgb="FFCCC085"/>
      </bottom>
      <diagonal/>
    </border>
    <border>
      <left style="thin">
        <color rgb="FFCCC085"/>
      </left>
      <right/>
      <top/>
      <bottom style="thin">
        <color rgb="FFCCC085"/>
      </bottom>
      <diagonal/>
    </border>
    <border>
      <left style="medium">
        <color auto="1"/>
      </left>
      <right/>
      <top style="medium">
        <color auto="1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medium">
        <color auto="1"/>
      </right>
      <top style="thin">
        <color rgb="FFCCC085"/>
      </top>
      <bottom style="thin">
        <color rgb="FFCCC085"/>
      </bottom>
      <diagonal/>
    </border>
    <border>
      <left style="medium">
        <color auto="1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medium">
        <color auto="1"/>
      </left>
      <right/>
      <top style="thin">
        <color rgb="FFCCC085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rgb="FFCCC085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rgb="FFCCC085"/>
      </top>
      <bottom style="medium">
        <color auto="1"/>
      </bottom>
      <diagonal/>
    </border>
    <border>
      <left style="medium">
        <color indexed="16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16"/>
      </bottom>
      <diagonal/>
    </border>
    <border>
      <left/>
      <right/>
      <top style="medium">
        <color indexed="16"/>
      </top>
      <bottom/>
      <diagonal/>
    </border>
    <border>
      <left style="medium">
        <color auto="1"/>
      </left>
      <right style="medium">
        <color auto="1"/>
      </right>
      <top style="thin">
        <color indexed="16"/>
      </top>
      <bottom style="thin">
        <color indexed="16"/>
      </bottom>
      <diagonal/>
    </border>
    <border>
      <left style="medium">
        <color indexed="16"/>
      </left>
      <right style="medium">
        <color indexed="16"/>
      </right>
      <top style="thin">
        <color indexed="16"/>
      </top>
      <bottom style="thin">
        <color indexed="16"/>
      </bottom>
      <diagonal/>
    </border>
    <border>
      <left style="medium">
        <color indexed="16"/>
      </left>
      <right style="medium">
        <color indexed="16"/>
      </right>
      <top style="thin">
        <color indexed="16"/>
      </top>
      <bottom/>
      <diagonal/>
    </border>
    <border>
      <left style="medium">
        <color indexed="16"/>
      </left>
      <right style="medium">
        <color indexed="16"/>
      </right>
      <top style="medium">
        <color indexed="16"/>
      </top>
      <bottom style="medium">
        <color indexed="16"/>
      </bottom>
      <diagonal/>
    </border>
    <border>
      <left/>
      <right style="medium">
        <color indexed="16"/>
      </right>
      <top style="medium">
        <color indexed="16"/>
      </top>
      <bottom style="medium">
        <color indexed="16"/>
      </bottom>
      <diagonal/>
    </border>
    <border>
      <left/>
      <right/>
      <top style="medium">
        <color indexed="16"/>
      </top>
      <bottom style="medium">
        <color indexed="16"/>
      </bottom>
      <diagonal/>
    </border>
    <border>
      <left style="medium">
        <color indexed="16"/>
      </left>
      <right style="medium">
        <color indexed="16"/>
      </right>
      <top style="medium">
        <color indexed="16"/>
      </top>
      <bottom/>
      <diagonal/>
    </border>
    <border>
      <left style="medium">
        <color indexed="16"/>
      </left>
      <right/>
      <top/>
      <bottom style="medium">
        <color indexed="16"/>
      </bottom>
      <diagonal/>
    </border>
    <border>
      <left style="medium">
        <color indexed="16"/>
      </left>
      <right style="medium">
        <color indexed="16"/>
      </right>
      <top/>
      <bottom style="medium">
        <color indexed="16"/>
      </bottom>
      <diagonal/>
    </border>
    <border>
      <left style="medium">
        <color indexed="16"/>
      </left>
      <right/>
      <top style="medium">
        <color indexed="16"/>
      </top>
      <bottom style="medium">
        <color indexed="16"/>
      </bottom>
      <diagonal/>
    </border>
    <border>
      <left style="medium">
        <color indexed="16"/>
      </left>
      <right style="thin">
        <color indexed="16"/>
      </right>
      <top style="medium">
        <color indexed="16"/>
      </top>
      <bottom style="medium">
        <color indexed="16"/>
      </bottom>
      <diagonal/>
    </border>
    <border>
      <left style="thin">
        <color indexed="16"/>
      </left>
      <right style="thin">
        <color indexed="16"/>
      </right>
      <top style="medium">
        <color auto="1"/>
      </top>
      <bottom style="medium">
        <color auto="1"/>
      </bottom>
      <diagonal/>
    </border>
    <border>
      <left style="thin">
        <color indexed="16"/>
      </left>
      <right style="thin">
        <color indexed="16"/>
      </right>
      <top style="medium">
        <color indexed="16"/>
      </top>
      <bottom style="medium">
        <color indexed="16"/>
      </bottom>
      <diagonal/>
    </border>
    <border>
      <left style="medium">
        <color indexed="16"/>
      </left>
      <right style="thin">
        <color indexed="16"/>
      </right>
      <top/>
      <bottom/>
      <diagonal/>
    </border>
    <border>
      <left style="thin">
        <color indexed="16"/>
      </left>
      <right style="thin">
        <color indexed="16"/>
      </right>
      <top/>
      <bottom/>
      <diagonal/>
    </border>
    <border>
      <left style="thin">
        <color indexed="16"/>
      </left>
      <right style="thin">
        <color indexed="16"/>
      </right>
      <top style="medium">
        <color indexed="16"/>
      </top>
      <bottom/>
      <diagonal/>
    </border>
    <border>
      <left style="medium">
        <color auto="1"/>
      </left>
      <right style="medium">
        <color indexed="16"/>
      </right>
      <top style="medium">
        <color auto="1"/>
      </top>
      <bottom style="medium">
        <color auto="1"/>
      </bottom>
      <diagonal/>
    </border>
    <border>
      <left style="medium">
        <color indexed="16"/>
      </left>
      <right style="thin">
        <color indexed="16"/>
      </right>
      <top style="medium">
        <color auto="1"/>
      </top>
      <bottom style="medium">
        <color auto="1"/>
      </bottom>
      <diagonal/>
    </border>
    <border>
      <left style="thin">
        <color indexed="16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16"/>
      </right>
      <top/>
      <bottom style="medium">
        <color indexed="16"/>
      </bottom>
      <diagonal/>
    </border>
    <border>
      <left style="thin">
        <color indexed="16"/>
      </left>
      <right style="thin">
        <color indexed="16"/>
      </right>
      <top/>
      <bottom style="medium">
        <color indexed="16"/>
      </bottom>
      <diagonal/>
    </border>
    <border>
      <left/>
      <right style="thin">
        <color indexed="16"/>
      </right>
      <top/>
      <bottom style="thin">
        <color indexed="16"/>
      </bottom>
      <diagonal/>
    </border>
    <border>
      <left style="thin">
        <color indexed="16"/>
      </left>
      <right style="thin">
        <color indexed="16"/>
      </right>
      <top/>
      <bottom style="thin">
        <color indexed="16"/>
      </bottom>
      <diagonal/>
    </border>
    <border>
      <left style="thin">
        <color indexed="16"/>
      </left>
      <right/>
      <top/>
      <bottom style="thin">
        <color indexed="16"/>
      </bottom>
      <diagonal/>
    </border>
    <border>
      <left/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/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/>
      <diagonal/>
    </border>
    <border>
      <left style="medium">
        <color auto="1"/>
      </left>
      <right style="medium">
        <color auto="1"/>
      </right>
      <top style="thin">
        <color indexed="16"/>
      </top>
      <bottom/>
      <diagonal/>
    </border>
    <border>
      <left/>
      <right/>
      <top style="thin">
        <color indexed="16"/>
      </top>
      <bottom style="thin">
        <color indexed="16"/>
      </bottom>
      <diagonal/>
    </border>
    <border>
      <left style="medium">
        <color auto="1"/>
      </left>
      <right style="medium">
        <color auto="1"/>
      </right>
      <top style="thin">
        <color indexed="16"/>
      </top>
      <bottom style="medium">
        <color auto="1"/>
      </bottom>
      <diagonal/>
    </border>
    <border>
      <left style="medium">
        <color auto="1"/>
      </left>
      <right style="thin">
        <color indexed="16"/>
      </right>
      <top style="medium">
        <color auto="1"/>
      </top>
      <bottom style="medium">
        <color auto="1"/>
      </bottom>
      <diagonal/>
    </border>
    <border>
      <left style="thin">
        <color indexed="16"/>
      </left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54" fillId="0" borderId="0" applyFont="0" applyFill="0" applyBorder="0" applyProtection="0"/>
  </cellStyleXfs>
  <cellXfs count="64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4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3" fillId="2" borderId="0" xfId="0" applyFont="1" applyFill="1"/>
    <xf numFmtId="164" fontId="13" fillId="2" borderId="0" xfId="0" applyNumberFormat="1" applyFont="1" applyFill="1" applyAlignment="1">
      <alignment horizontal="center" vertical="center"/>
    </xf>
    <xf numFmtId="9" fontId="11" fillId="2" borderId="5" xfId="0" applyNumberFormat="1" applyFont="1" applyFill="1" applyBorder="1"/>
    <xf numFmtId="1" fontId="2" fillId="2" borderId="0" xfId="0" applyNumberFormat="1" applyFont="1" applyFill="1"/>
    <xf numFmtId="0" fontId="14" fillId="2" borderId="0" xfId="0" applyFont="1" applyFill="1"/>
    <xf numFmtId="0" fontId="15" fillId="2" borderId="9" xfId="0" applyFont="1" applyFill="1" applyBorder="1" applyAlignment="1">
      <alignment vertical="center"/>
    </xf>
    <xf numFmtId="0" fontId="15" fillId="2" borderId="10" xfId="0" applyFont="1" applyFill="1" applyBorder="1" applyAlignment="1">
      <alignment vertical="center"/>
    </xf>
    <xf numFmtId="0" fontId="15" fillId="2" borderId="4" xfId="0" applyFont="1" applyFill="1" applyBorder="1" applyAlignment="1">
      <alignment vertical="center"/>
    </xf>
    <xf numFmtId="165" fontId="6" fillId="2" borderId="0" xfId="0" applyNumberFormat="1" applyFont="1" applyFill="1" applyAlignment="1">
      <alignment vertical="center"/>
    </xf>
    <xf numFmtId="165" fontId="16" fillId="2" borderId="0" xfId="0" applyNumberFormat="1" applyFont="1" applyFill="1" applyAlignment="1">
      <alignment vertical="center"/>
    </xf>
    <xf numFmtId="3" fontId="17" fillId="2" borderId="12" xfId="0" applyNumberFormat="1" applyFont="1" applyFill="1" applyBorder="1" applyAlignment="1">
      <alignment horizontal="center" vertical="center"/>
    </xf>
    <xf numFmtId="3" fontId="17" fillId="2" borderId="13" xfId="0" applyNumberFormat="1" applyFont="1" applyFill="1" applyBorder="1" applyAlignment="1">
      <alignment horizontal="center" vertical="center"/>
    </xf>
    <xf numFmtId="3" fontId="17" fillId="2" borderId="13" xfId="0" applyNumberFormat="1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3" fontId="14" fillId="2" borderId="0" xfId="0" applyNumberFormat="1" applyFont="1" applyFill="1"/>
    <xf numFmtId="3" fontId="20" fillId="3" borderId="18" xfId="0" applyNumberFormat="1" applyFont="1" applyFill="1" applyBorder="1" applyAlignment="1">
      <alignment horizontal="center" vertical="center"/>
    </xf>
    <xf numFmtId="3" fontId="20" fillId="4" borderId="19" xfId="0" applyNumberFormat="1" applyFont="1" applyFill="1" applyBorder="1" applyAlignment="1">
      <alignment horizontal="center" vertical="center"/>
    </xf>
    <xf numFmtId="10" fontId="21" fillId="4" borderId="19" xfId="0" applyNumberFormat="1" applyFont="1" applyFill="1" applyBorder="1" applyAlignment="1">
      <alignment horizontal="center" vertical="center"/>
    </xf>
    <xf numFmtId="3" fontId="22" fillId="0" borderId="19" xfId="0" applyNumberFormat="1" applyFont="1" applyBorder="1" applyAlignment="1">
      <alignment horizontal="center" vertical="center"/>
    </xf>
    <xf numFmtId="165" fontId="23" fillId="0" borderId="20" xfId="0" applyNumberFormat="1" applyFont="1" applyBorder="1" applyAlignment="1">
      <alignment horizontal="center" vertical="center"/>
    </xf>
    <xf numFmtId="166" fontId="16" fillId="0" borderId="19" xfId="0" applyNumberFormat="1" applyFont="1" applyBorder="1" applyAlignment="1">
      <alignment horizontal="center" vertical="center"/>
    </xf>
    <xf numFmtId="3" fontId="16" fillId="3" borderId="21" xfId="0" applyNumberFormat="1" applyFont="1" applyFill="1" applyBorder="1" applyAlignment="1">
      <alignment horizontal="center" vertical="center"/>
    </xf>
    <xf numFmtId="3" fontId="16" fillId="0" borderId="19" xfId="0" applyNumberFormat="1" applyFont="1" applyBorder="1" applyAlignment="1">
      <alignment horizontal="center" vertical="center"/>
    </xf>
    <xf numFmtId="165" fontId="16" fillId="0" borderId="22" xfId="0" applyNumberFormat="1" applyFont="1" applyBorder="1" applyAlignment="1">
      <alignment horizontal="center" vertical="center"/>
    </xf>
    <xf numFmtId="165" fontId="16" fillId="5" borderId="0" xfId="1" applyNumberFormat="1" applyFont="1" applyFill="1" applyAlignment="1" applyProtection="1">
      <alignment vertical="center"/>
    </xf>
    <xf numFmtId="3" fontId="20" fillId="4" borderId="23" xfId="0" applyNumberFormat="1" applyFont="1" applyFill="1" applyBorder="1" applyAlignment="1">
      <alignment horizontal="center" vertical="center"/>
    </xf>
    <xf numFmtId="3" fontId="16" fillId="4" borderId="24" xfId="0" applyNumberFormat="1" applyFont="1" applyFill="1" applyBorder="1" applyAlignment="1">
      <alignment horizontal="center" vertical="center"/>
    </xf>
    <xf numFmtId="10" fontId="16" fillId="4" borderId="24" xfId="0" applyNumberFormat="1" applyFont="1" applyFill="1" applyBorder="1" applyAlignment="1">
      <alignment horizontal="center" vertical="center"/>
    </xf>
    <xf numFmtId="3" fontId="22" fillId="0" borderId="24" xfId="0" applyNumberFormat="1" applyFont="1" applyBorder="1" applyAlignment="1">
      <alignment horizontal="center" vertical="center"/>
    </xf>
    <xf numFmtId="165" fontId="23" fillId="0" borderId="25" xfId="0" applyNumberFormat="1" applyFont="1" applyBorder="1" applyAlignment="1">
      <alignment horizontal="center" vertical="center"/>
    </xf>
    <xf numFmtId="3" fontId="16" fillId="0" borderId="24" xfId="0" applyNumberFormat="1" applyFont="1" applyBorder="1" applyAlignment="1">
      <alignment horizontal="center" vertical="center"/>
    </xf>
    <xf numFmtId="3" fontId="16" fillId="4" borderId="16" xfId="0" applyNumberFormat="1" applyFont="1" applyFill="1" applyBorder="1" applyAlignment="1">
      <alignment horizontal="center" vertical="center"/>
    </xf>
    <xf numFmtId="165" fontId="16" fillId="0" borderId="26" xfId="0" applyNumberFormat="1" applyFont="1" applyBorder="1" applyAlignment="1">
      <alignment horizontal="center" vertical="center"/>
    </xf>
    <xf numFmtId="3" fontId="20" fillId="4" borderId="24" xfId="0" applyNumberFormat="1" applyFont="1" applyFill="1" applyBorder="1" applyAlignment="1">
      <alignment horizontal="center" vertical="center"/>
    </xf>
    <xf numFmtId="10" fontId="19" fillId="4" borderId="24" xfId="0" applyNumberFormat="1" applyFont="1" applyFill="1" applyBorder="1" applyAlignment="1">
      <alignment horizontal="center" vertical="center"/>
    </xf>
    <xf numFmtId="165" fontId="22" fillId="0" borderId="25" xfId="0" applyNumberFormat="1" applyFont="1" applyBorder="1" applyAlignment="1">
      <alignment horizontal="center" vertical="center"/>
    </xf>
    <xf numFmtId="3" fontId="19" fillId="0" borderId="24" xfId="0" applyNumberFormat="1" applyFont="1" applyBorder="1" applyAlignment="1">
      <alignment horizontal="center" vertical="center"/>
    </xf>
    <xf numFmtId="3" fontId="19" fillId="4" borderId="23" xfId="0" applyNumberFormat="1" applyFont="1" applyFill="1" applyBorder="1" applyAlignment="1">
      <alignment horizontal="center" vertical="center"/>
    </xf>
    <xf numFmtId="165" fontId="19" fillId="0" borderId="26" xfId="0" applyNumberFormat="1" applyFont="1" applyBorder="1" applyAlignment="1">
      <alignment horizontal="center" vertical="center"/>
    </xf>
    <xf numFmtId="3" fontId="20" fillId="3" borderId="23" xfId="0" applyNumberFormat="1" applyFont="1" applyFill="1" applyBorder="1" applyAlignment="1">
      <alignment horizontal="center" vertical="center"/>
    </xf>
    <xf numFmtId="3" fontId="16" fillId="3" borderId="23" xfId="0" applyNumberFormat="1" applyFont="1" applyFill="1" applyBorder="1" applyAlignment="1">
      <alignment horizontal="center" vertical="center"/>
    </xf>
    <xf numFmtId="4" fontId="20" fillId="3" borderId="23" xfId="0" applyNumberFormat="1" applyFont="1" applyFill="1" applyBorder="1" applyAlignment="1">
      <alignment horizontal="center" vertical="center"/>
    </xf>
    <xf numFmtId="4" fontId="16" fillId="4" borderId="24" xfId="0" applyNumberFormat="1" applyFont="1" applyFill="1" applyBorder="1" applyAlignment="1">
      <alignment horizontal="center" vertical="center"/>
    </xf>
    <xf numFmtId="4" fontId="22" fillId="0" borderId="24" xfId="0" applyNumberFormat="1" applyFont="1" applyBorder="1" applyAlignment="1">
      <alignment horizontal="center" vertical="center"/>
    </xf>
    <xf numFmtId="4" fontId="16" fillId="0" borderId="24" xfId="0" applyNumberFormat="1" applyFont="1" applyBorder="1" applyAlignment="1">
      <alignment horizontal="center" vertical="center"/>
    </xf>
    <xf numFmtId="4" fontId="16" fillId="3" borderId="16" xfId="0" applyNumberFormat="1" applyFont="1" applyFill="1" applyBorder="1" applyAlignment="1">
      <alignment horizontal="center" vertical="center"/>
    </xf>
    <xf numFmtId="166" fontId="16" fillId="7" borderId="19" xfId="1" applyNumberFormat="1" applyFont="1" applyFill="1" applyBorder="1" applyAlignment="1" applyProtection="1">
      <alignment horizontal="right" vertical="center"/>
    </xf>
    <xf numFmtId="166" fontId="2" fillId="8" borderId="24" xfId="0" applyNumberFormat="1" applyFont="1" applyFill="1" applyBorder="1"/>
    <xf numFmtId="3" fontId="16" fillId="3" borderId="16" xfId="0" applyNumberFormat="1" applyFont="1" applyFill="1" applyBorder="1" applyAlignment="1">
      <alignment horizontal="center" vertical="center"/>
    </xf>
    <xf numFmtId="10" fontId="16" fillId="6" borderId="24" xfId="1" applyNumberFormat="1" applyFont="1" applyFill="1" applyBorder="1" applyAlignment="1" applyProtection="1">
      <alignment vertical="center"/>
    </xf>
    <xf numFmtId="10" fontId="0" fillId="2" borderId="0" xfId="0" applyNumberFormat="1" applyFill="1"/>
    <xf numFmtId="3" fontId="16" fillId="9" borderId="24" xfId="0" applyNumberFormat="1" applyFont="1" applyFill="1" applyBorder="1" applyAlignment="1">
      <alignment horizontal="center" vertical="center"/>
    </xf>
    <xf numFmtId="10" fontId="16" fillId="5" borderId="0" xfId="1" applyNumberFormat="1" applyFont="1" applyFill="1" applyAlignment="1" applyProtection="1">
      <alignment horizontal="center" vertical="center"/>
    </xf>
    <xf numFmtId="3" fontId="20" fillId="0" borderId="28" xfId="0" applyNumberFormat="1" applyFont="1" applyBorder="1" applyAlignment="1">
      <alignment horizontal="center" vertical="center"/>
    </xf>
    <xf numFmtId="3" fontId="16" fillId="4" borderId="30" xfId="0" applyNumberFormat="1" applyFont="1" applyFill="1" applyBorder="1" applyAlignment="1">
      <alignment horizontal="center" vertical="center"/>
    </xf>
    <xf numFmtId="10" fontId="16" fillId="4" borderId="30" xfId="0" applyNumberFormat="1" applyFont="1" applyFill="1" applyBorder="1" applyAlignment="1">
      <alignment horizontal="center" vertical="center"/>
    </xf>
    <xf numFmtId="3" fontId="22" fillId="0" borderId="30" xfId="0" applyNumberFormat="1" applyFont="1" applyBorder="1" applyAlignment="1">
      <alignment horizontal="center" vertical="center"/>
    </xf>
    <xf numFmtId="165" fontId="23" fillId="0" borderId="27" xfId="0" applyNumberFormat="1" applyFont="1" applyBorder="1" applyAlignment="1">
      <alignment horizontal="center" vertical="center"/>
    </xf>
    <xf numFmtId="3" fontId="16" fillId="3" borderId="31" xfId="0" applyNumberFormat="1" applyFont="1" applyFill="1" applyBorder="1" applyAlignment="1">
      <alignment horizontal="center" vertical="center"/>
    </xf>
    <xf numFmtId="3" fontId="24" fillId="0" borderId="30" xfId="0" applyNumberFormat="1" applyFont="1" applyBorder="1" applyAlignment="1">
      <alignment horizontal="center" vertical="center"/>
    </xf>
    <xf numFmtId="165" fontId="18" fillId="0" borderId="27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wrapText="1"/>
    </xf>
    <xf numFmtId="3" fontId="20" fillId="3" borderId="28" xfId="0" applyNumberFormat="1" applyFont="1" applyFill="1" applyBorder="1" applyAlignment="1">
      <alignment horizontal="center" vertical="center"/>
    </xf>
    <xf numFmtId="3" fontId="20" fillId="4" borderId="28" xfId="0" applyNumberFormat="1" applyFont="1" applyFill="1" applyBorder="1" applyAlignment="1">
      <alignment horizontal="center" vertical="center"/>
    </xf>
    <xf numFmtId="165" fontId="16" fillId="4" borderId="30" xfId="0" applyNumberFormat="1" applyFont="1" applyFill="1" applyBorder="1" applyAlignment="1">
      <alignment horizontal="center" vertical="center"/>
    </xf>
    <xf numFmtId="167" fontId="24" fillId="0" borderId="30" xfId="0" applyNumberFormat="1" applyFont="1" applyBorder="1" applyAlignment="1">
      <alignment horizontal="center" vertical="center"/>
    </xf>
    <xf numFmtId="3" fontId="16" fillId="4" borderId="31" xfId="0" applyNumberFormat="1" applyFont="1" applyFill="1" applyBorder="1" applyAlignment="1">
      <alignment horizontal="center" vertical="center"/>
    </xf>
    <xf numFmtId="10" fontId="19" fillId="3" borderId="33" xfId="0" applyNumberFormat="1" applyFont="1" applyFill="1" applyBorder="1" applyAlignment="1">
      <alignment horizontal="center" vertical="center"/>
    </xf>
    <xf numFmtId="10" fontId="19" fillId="6" borderId="34" xfId="1" applyNumberFormat="1" applyFont="1" applyFill="1" applyBorder="1" applyAlignment="1" applyProtection="1">
      <alignment horizontal="center" vertical="center"/>
    </xf>
    <xf numFmtId="10" fontId="24" fillId="0" borderId="34" xfId="0" applyNumberFormat="1" applyFont="1" applyBorder="1" applyAlignment="1">
      <alignment horizontal="center" vertical="center"/>
    </xf>
    <xf numFmtId="165" fontId="24" fillId="0" borderId="35" xfId="0" applyNumberFormat="1" applyFont="1" applyBorder="1" applyAlignment="1">
      <alignment horizontal="center" vertical="center"/>
    </xf>
    <xf numFmtId="165" fontId="20" fillId="0" borderId="34" xfId="0" applyNumberFormat="1" applyFont="1" applyBorder="1" applyAlignment="1">
      <alignment horizontal="center" vertical="center"/>
    </xf>
    <xf numFmtId="165" fontId="20" fillId="3" borderId="36" xfId="0" applyNumberFormat="1" applyFont="1" applyFill="1" applyBorder="1" applyAlignment="1">
      <alignment horizontal="center" vertical="center"/>
    </xf>
    <xf numFmtId="3" fontId="20" fillId="0" borderId="34" xfId="0" applyNumberFormat="1" applyFont="1" applyBorder="1" applyAlignment="1">
      <alignment horizontal="center" vertical="center"/>
    </xf>
    <xf numFmtId="165" fontId="20" fillId="0" borderId="37" xfId="0" applyNumberFormat="1" applyFont="1" applyBorder="1" applyAlignment="1">
      <alignment horizontal="center" vertical="center"/>
    </xf>
    <xf numFmtId="4" fontId="2" fillId="2" borderId="0" xfId="0" applyNumberFormat="1" applyFont="1" applyFill="1"/>
    <xf numFmtId="0" fontId="17" fillId="10" borderId="24" xfId="0" applyFont="1" applyFill="1" applyBorder="1" applyAlignment="1">
      <alignment horizontal="center" vertical="center" wrapText="1"/>
    </xf>
    <xf numFmtId="0" fontId="17" fillId="11" borderId="24" xfId="0" applyFont="1" applyFill="1" applyBorder="1" applyAlignment="1">
      <alignment horizontal="center" vertical="center" wrapText="1"/>
    </xf>
    <xf numFmtId="0" fontId="26" fillId="10" borderId="24" xfId="0" applyFont="1" applyFill="1" applyBorder="1" applyAlignment="1">
      <alignment horizontal="center" vertical="center" wrapText="1"/>
    </xf>
    <xf numFmtId="3" fontId="2" fillId="0" borderId="0" xfId="0" applyNumberFormat="1" applyFont="1"/>
    <xf numFmtId="0" fontId="16" fillId="10" borderId="24" xfId="0" applyFont="1" applyFill="1" applyBorder="1" applyAlignment="1">
      <alignment horizontal="center" vertical="top" wrapText="1"/>
    </xf>
    <xf numFmtId="0" fontId="17" fillId="10" borderId="24" xfId="0" applyFont="1" applyFill="1" applyBorder="1" applyAlignment="1">
      <alignment horizontal="center" vertical="top" wrapText="1"/>
    </xf>
    <xf numFmtId="0" fontId="27" fillId="0" borderId="24" xfId="0" applyFont="1" applyBorder="1" applyAlignment="1">
      <alignment horizontal="center" vertical="center"/>
    </xf>
    <xf numFmtId="16" fontId="16" fillId="0" borderId="24" xfId="0" applyNumberFormat="1" applyFont="1" applyBorder="1" applyAlignment="1">
      <alignment horizontal="center" vertical="top"/>
    </xf>
    <xf numFmtId="0" fontId="16" fillId="0" borderId="24" xfId="0" applyFont="1" applyBorder="1" applyAlignment="1">
      <alignment horizontal="center" vertical="top"/>
    </xf>
    <xf numFmtId="4" fontId="16" fillId="0" borderId="24" xfId="0" applyNumberFormat="1" applyFont="1" applyBorder="1" applyAlignment="1">
      <alignment horizontal="center" vertical="top"/>
    </xf>
    <xf numFmtId="3" fontId="16" fillId="0" borderId="24" xfId="0" applyNumberFormat="1" applyFont="1" applyBorder="1" applyAlignment="1">
      <alignment horizontal="center" vertical="top"/>
    </xf>
    <xf numFmtId="10" fontId="16" fillId="0" borderId="24" xfId="0" applyNumberFormat="1" applyFont="1" applyBorder="1" applyAlignment="1">
      <alignment horizontal="center" vertical="top"/>
    </xf>
    <xf numFmtId="9" fontId="3" fillId="0" borderId="24" xfId="0" applyNumberFormat="1" applyFont="1" applyBorder="1" applyAlignment="1">
      <alignment horizontal="center" vertical="center"/>
    </xf>
    <xf numFmtId="3" fontId="28" fillId="0" borderId="24" xfId="0" applyNumberFormat="1" applyFont="1" applyBorder="1" applyAlignment="1">
      <alignment horizontal="center"/>
    </xf>
    <xf numFmtId="3" fontId="16" fillId="0" borderId="24" xfId="0" applyNumberFormat="1" applyFont="1" applyBorder="1" applyAlignment="1">
      <alignment horizontal="center"/>
    </xf>
    <xf numFmtId="2" fontId="16" fillId="0" borderId="24" xfId="0" applyNumberFormat="1" applyFont="1" applyBorder="1" applyAlignment="1">
      <alignment horizontal="right"/>
    </xf>
    <xf numFmtId="2" fontId="0" fillId="0" borderId="0" xfId="0" applyNumberFormat="1"/>
    <xf numFmtId="165" fontId="2" fillId="0" borderId="0" xfId="0" applyNumberFormat="1" applyFont="1"/>
    <xf numFmtId="2" fontId="2" fillId="0" borderId="0" xfId="0" applyNumberFormat="1" applyFont="1"/>
    <xf numFmtId="0" fontId="0" fillId="12" borderId="0" xfId="0" applyFill="1"/>
    <xf numFmtId="0" fontId="27" fillId="12" borderId="24" xfId="0" applyFont="1" applyFill="1" applyBorder="1" applyAlignment="1">
      <alignment horizontal="center" vertical="center"/>
    </xf>
    <xf numFmtId="16" fontId="16" fillId="12" borderId="24" xfId="0" applyNumberFormat="1" applyFont="1" applyFill="1" applyBorder="1" applyAlignment="1">
      <alignment horizontal="center" vertical="top"/>
    </xf>
    <xf numFmtId="0" fontId="16" fillId="12" borderId="24" xfId="0" applyFont="1" applyFill="1" applyBorder="1" applyAlignment="1">
      <alignment horizontal="center" vertical="top"/>
    </xf>
    <xf numFmtId="4" fontId="16" fillId="12" borderId="24" xfId="0" applyNumberFormat="1" applyFont="1" applyFill="1" applyBorder="1" applyAlignment="1">
      <alignment horizontal="center" vertical="top"/>
    </xf>
    <xf numFmtId="3" fontId="16" fillId="12" borderId="0" xfId="0" applyNumberFormat="1" applyFont="1" applyFill="1" applyAlignment="1">
      <alignment horizontal="center" vertical="top"/>
    </xf>
    <xf numFmtId="3" fontId="16" fillId="12" borderId="24" xfId="0" applyNumberFormat="1" applyFont="1" applyFill="1" applyBorder="1" applyAlignment="1">
      <alignment horizontal="center" vertical="top"/>
    </xf>
    <xf numFmtId="10" fontId="16" fillId="12" borderId="24" xfId="0" applyNumberFormat="1" applyFont="1" applyFill="1" applyBorder="1" applyAlignment="1">
      <alignment horizontal="center" vertical="top"/>
    </xf>
    <xf numFmtId="9" fontId="3" fillId="12" borderId="24" xfId="0" applyNumberFormat="1" applyFont="1" applyFill="1" applyBorder="1" applyAlignment="1">
      <alignment horizontal="center" vertical="center"/>
    </xf>
    <xf numFmtId="3" fontId="28" fillId="12" borderId="24" xfId="0" applyNumberFormat="1" applyFont="1" applyFill="1" applyBorder="1" applyAlignment="1">
      <alignment horizontal="center"/>
    </xf>
    <xf numFmtId="3" fontId="16" fillId="12" borderId="24" xfId="0" applyNumberFormat="1" applyFont="1" applyFill="1" applyBorder="1" applyAlignment="1">
      <alignment horizontal="center"/>
    </xf>
    <xf numFmtId="2" fontId="16" fillId="12" borderId="24" xfId="0" applyNumberFormat="1" applyFont="1" applyFill="1" applyBorder="1" applyAlignment="1">
      <alignment horizontal="right"/>
    </xf>
    <xf numFmtId="2" fontId="2" fillId="12" borderId="0" xfId="0" applyNumberFormat="1" applyFont="1" applyFill="1"/>
    <xf numFmtId="165" fontId="2" fillId="12" borderId="0" xfId="0" applyNumberFormat="1" applyFont="1" applyFill="1"/>
    <xf numFmtId="0" fontId="2" fillId="12" borderId="0" xfId="0" applyFont="1" applyFill="1"/>
    <xf numFmtId="165" fontId="2" fillId="12" borderId="0" xfId="0" applyNumberFormat="1" applyFont="1" applyFill="1" applyAlignment="1">
      <alignment vertical="center"/>
    </xf>
    <xf numFmtId="0" fontId="29" fillId="12" borderId="0" xfId="0" applyFont="1" applyFill="1"/>
    <xf numFmtId="3" fontId="30" fillId="0" borderId="24" xfId="0" applyNumberFormat="1" applyFont="1" applyBorder="1" applyAlignment="1">
      <alignment horizontal="center" vertical="top"/>
    </xf>
    <xf numFmtId="3" fontId="30" fillId="12" borderId="24" xfId="0" applyNumberFormat="1" applyFont="1" applyFill="1" applyBorder="1" applyAlignment="1">
      <alignment horizontal="center" vertical="top"/>
    </xf>
    <xf numFmtId="2" fontId="16" fillId="13" borderId="24" xfId="0" applyNumberFormat="1" applyFont="1" applyFill="1" applyBorder="1" applyAlignment="1">
      <alignment horizontal="right"/>
    </xf>
    <xf numFmtId="168" fontId="2" fillId="12" borderId="0" xfId="0" applyNumberFormat="1" applyFont="1" applyFill="1"/>
    <xf numFmtId="168" fontId="2" fillId="0" borderId="0" xfId="0" applyNumberFormat="1" applyFont="1"/>
    <xf numFmtId="165" fontId="16" fillId="12" borderId="24" xfId="0" applyNumberFormat="1" applyFont="1" applyFill="1" applyBorder="1" applyAlignment="1">
      <alignment horizontal="center" vertical="top"/>
    </xf>
    <xf numFmtId="3" fontId="16" fillId="12" borderId="24" xfId="0" applyNumberFormat="1" applyFont="1" applyFill="1" applyBorder="1" applyAlignment="1">
      <alignment horizontal="right"/>
    </xf>
    <xf numFmtId="0" fontId="2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6" fillId="0" borderId="0" xfId="0" applyFont="1"/>
    <xf numFmtId="3" fontId="31" fillId="0" borderId="0" xfId="0" applyNumberFormat="1" applyFont="1"/>
    <xf numFmtId="165" fontId="16" fillId="0" borderId="0" xfId="0" applyNumberFormat="1" applyFont="1"/>
    <xf numFmtId="0" fontId="16" fillId="0" borderId="0" xfId="0" applyFont="1" applyAlignment="1">
      <alignment vertical="top"/>
    </xf>
    <xf numFmtId="1" fontId="16" fillId="0" borderId="0" xfId="0" applyNumberFormat="1" applyFont="1" applyAlignment="1">
      <alignment vertical="top"/>
    </xf>
    <xf numFmtId="3" fontId="16" fillId="0" borderId="0" xfId="0" applyNumberFormat="1" applyFont="1"/>
    <xf numFmtId="9" fontId="31" fillId="0" borderId="0" xfId="0" applyNumberFormat="1" applyFont="1"/>
    <xf numFmtId="4" fontId="3" fillId="0" borderId="0" xfId="0" applyNumberFormat="1" applyFont="1"/>
    <xf numFmtId="3" fontId="3" fillId="0" borderId="0" xfId="0" applyNumberFormat="1" applyFont="1"/>
    <xf numFmtId="1" fontId="3" fillId="0" borderId="0" xfId="0" applyNumberFormat="1" applyFont="1"/>
    <xf numFmtId="10" fontId="3" fillId="0" borderId="0" xfId="0" applyNumberFormat="1" applyFont="1"/>
    <xf numFmtId="3" fontId="3" fillId="4" borderId="0" xfId="0" applyNumberFormat="1" applyFont="1" applyFill="1"/>
    <xf numFmtId="4" fontId="2" fillId="0" borderId="0" xfId="0" applyNumberFormat="1" applyFont="1"/>
    <xf numFmtId="14" fontId="2" fillId="0" borderId="0" xfId="0" applyNumberFormat="1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34" xfId="0" applyBorder="1"/>
    <xf numFmtId="0" fontId="0" fillId="0" borderId="35" xfId="0" applyBorder="1"/>
    <xf numFmtId="0" fontId="0" fillId="0" borderId="37" xfId="0" applyBorder="1"/>
    <xf numFmtId="0" fontId="0" fillId="0" borderId="42" xfId="0" applyBorder="1"/>
    <xf numFmtId="4" fontId="0" fillId="0" borderId="43" xfId="0" applyNumberFormat="1" applyBorder="1"/>
    <xf numFmtId="10" fontId="0" fillId="0" borderId="21" xfId="0" applyNumberFormat="1" applyBorder="1"/>
    <xf numFmtId="0" fontId="0" fillId="0" borderId="19" xfId="0" applyBorder="1"/>
    <xf numFmtId="0" fontId="0" fillId="0" borderId="20" xfId="0" applyBorder="1"/>
    <xf numFmtId="0" fontId="0" fillId="0" borderId="22" xfId="0" applyBorder="1"/>
    <xf numFmtId="0" fontId="0" fillId="0" borderId="44" xfId="0" applyBorder="1"/>
    <xf numFmtId="4" fontId="0" fillId="0" borderId="45" xfId="0" applyNumberFormat="1" applyBorder="1"/>
    <xf numFmtId="10" fontId="0" fillId="0" borderId="0" xfId="0" applyNumberFormat="1"/>
    <xf numFmtId="0" fontId="0" fillId="0" borderId="46" xfId="0" applyBorder="1"/>
    <xf numFmtId="0" fontId="0" fillId="0" borderId="47" xfId="0" applyBorder="1"/>
    <xf numFmtId="0" fontId="0" fillId="0" borderId="41" xfId="0" applyBorder="1"/>
    <xf numFmtId="4" fontId="0" fillId="0" borderId="32" xfId="0" applyNumberFormat="1" applyBorder="1"/>
    <xf numFmtId="10" fontId="0" fillId="0" borderId="36" xfId="0" applyNumberFormat="1" applyBorder="1"/>
    <xf numFmtId="3" fontId="17" fillId="5" borderId="35" xfId="0" applyNumberFormat="1" applyFont="1" applyFill="1" applyBorder="1" applyAlignment="1">
      <alignment horizontal="center" vertical="center"/>
    </xf>
    <xf numFmtId="3" fontId="17" fillId="5" borderId="27" xfId="0" applyNumberFormat="1" applyFont="1" applyFill="1" applyBorder="1" applyAlignment="1">
      <alignment horizontal="center" vertical="center"/>
    </xf>
    <xf numFmtId="0" fontId="17" fillId="5" borderId="51" xfId="0" applyFont="1" applyFill="1" applyBorder="1" applyAlignment="1">
      <alignment horizontal="center" vertical="center" wrapText="1"/>
    </xf>
    <xf numFmtId="10" fontId="32" fillId="0" borderId="18" xfId="0" applyNumberFormat="1" applyFont="1" applyBorder="1" applyAlignment="1">
      <alignment horizontal="center" vertical="center"/>
    </xf>
    <xf numFmtId="166" fontId="32" fillId="0" borderId="40" xfId="0" applyNumberFormat="1" applyFont="1" applyBorder="1" applyAlignment="1">
      <alignment horizontal="center" vertical="center"/>
    </xf>
    <xf numFmtId="10" fontId="32" fillId="0" borderId="49" xfId="0" applyNumberFormat="1" applyFont="1" applyBorder="1" applyAlignment="1">
      <alignment horizontal="center" vertical="center"/>
    </xf>
    <xf numFmtId="10" fontId="32" fillId="0" borderId="53" xfId="1" applyNumberFormat="1" applyFont="1" applyBorder="1" applyAlignment="1" applyProtection="1">
      <alignment horizontal="center" vertical="center"/>
    </xf>
    <xf numFmtId="166" fontId="32" fillId="0" borderId="54" xfId="1" applyNumberFormat="1" applyFont="1" applyBorder="1" applyAlignment="1" applyProtection="1">
      <alignment horizontal="center" vertical="center"/>
    </xf>
    <xf numFmtId="10" fontId="32" fillId="0" borderId="55" xfId="0" applyNumberFormat="1" applyFont="1" applyBorder="1" applyAlignment="1">
      <alignment horizontal="center" vertical="center"/>
    </xf>
    <xf numFmtId="10" fontId="32" fillId="0" borderId="18" xfId="1" applyNumberFormat="1" applyFont="1" applyBorder="1" applyAlignment="1" applyProtection="1">
      <alignment horizontal="center" vertical="center"/>
    </xf>
    <xf numFmtId="10" fontId="20" fillId="0" borderId="49" xfId="0" applyNumberFormat="1" applyFont="1" applyBorder="1" applyAlignment="1">
      <alignment horizontal="center" vertical="center"/>
    </xf>
    <xf numFmtId="10" fontId="32" fillId="0" borderId="56" xfId="0" applyNumberFormat="1" applyFont="1" applyBorder="1" applyAlignment="1">
      <alignment horizontal="center" vertical="center"/>
    </xf>
    <xf numFmtId="1" fontId="32" fillId="0" borderId="16" xfId="0" applyNumberFormat="1" applyFont="1" applyBorder="1" applyAlignment="1">
      <alignment horizontal="center" vertical="center"/>
    </xf>
    <xf numFmtId="10" fontId="32" fillId="0" borderId="26" xfId="0" applyNumberFormat="1" applyFont="1" applyBorder="1" applyAlignment="1">
      <alignment horizontal="center" vertical="center"/>
    </xf>
    <xf numFmtId="10" fontId="32" fillId="0" borderId="23" xfId="1" applyNumberFormat="1" applyFont="1" applyBorder="1" applyAlignment="1" applyProtection="1">
      <alignment horizontal="center" vertical="center"/>
    </xf>
    <xf numFmtId="1" fontId="32" fillId="0" borderId="24" xfId="1" applyNumberFormat="1" applyFont="1" applyBorder="1" applyAlignment="1" applyProtection="1">
      <alignment horizontal="center" vertical="center"/>
    </xf>
    <xf numFmtId="10" fontId="32" fillId="0" borderId="25" xfId="0" applyNumberFormat="1" applyFont="1" applyBorder="1" applyAlignment="1">
      <alignment horizontal="center" vertical="center"/>
    </xf>
    <xf numFmtId="10" fontId="32" fillId="0" borderId="56" xfId="1" applyNumberFormat="1" applyFont="1" applyBorder="1" applyAlignment="1" applyProtection="1">
      <alignment horizontal="center" vertical="center"/>
    </xf>
    <xf numFmtId="3" fontId="32" fillId="0" borderId="24" xfId="1" applyNumberFormat="1" applyFont="1" applyBorder="1" applyAlignment="1" applyProtection="1">
      <alignment horizontal="center" vertical="center"/>
    </xf>
    <xf numFmtId="10" fontId="20" fillId="0" borderId="26" xfId="0" applyNumberFormat="1" applyFont="1" applyBorder="1" applyAlignment="1">
      <alignment horizontal="center" vertical="center"/>
    </xf>
    <xf numFmtId="166" fontId="32" fillId="0" borderId="16" xfId="0" applyNumberFormat="1" applyFont="1" applyBorder="1" applyAlignment="1">
      <alignment horizontal="center" vertical="center"/>
    </xf>
    <xf numFmtId="166" fontId="32" fillId="0" borderId="24" xfId="1" applyNumberFormat="1" applyFont="1" applyBorder="1" applyAlignment="1" applyProtection="1">
      <alignment horizontal="center" vertical="center"/>
    </xf>
    <xf numFmtId="2" fontId="32" fillId="0" borderId="16" xfId="0" applyNumberFormat="1" applyFont="1" applyBorder="1" applyAlignment="1">
      <alignment horizontal="center" vertical="center"/>
    </xf>
    <xf numFmtId="2" fontId="32" fillId="0" borderId="24" xfId="1" applyNumberFormat="1" applyFont="1" applyBorder="1" applyAlignment="1" applyProtection="1">
      <alignment horizontal="center" vertical="center"/>
    </xf>
    <xf numFmtId="4" fontId="32" fillId="0" borderId="24" xfId="1" applyNumberFormat="1" applyFont="1" applyBorder="1" applyAlignment="1" applyProtection="1">
      <alignment horizontal="center" vertical="center"/>
    </xf>
    <xf numFmtId="1" fontId="32" fillId="0" borderId="24" xfId="0" applyNumberFormat="1" applyFont="1" applyBorder="1" applyAlignment="1">
      <alignment horizontal="center" vertical="center"/>
    </xf>
    <xf numFmtId="166" fontId="32" fillId="0" borderId="24" xfId="0" applyNumberFormat="1" applyFont="1" applyBorder="1" applyAlignment="1">
      <alignment horizontal="center" vertical="center"/>
    </xf>
    <xf numFmtId="169" fontId="32" fillId="0" borderId="24" xfId="1" applyNumberFormat="1" applyFont="1" applyBorder="1" applyAlignment="1" applyProtection="1">
      <alignment horizontal="center" vertical="center"/>
    </xf>
    <xf numFmtId="10" fontId="32" fillId="0" borderId="52" xfId="0" applyNumberFormat="1" applyFont="1" applyBorder="1" applyAlignment="1">
      <alignment horizontal="center" vertical="center"/>
    </xf>
    <xf numFmtId="10" fontId="32" fillId="0" borderId="17" xfId="0" applyNumberFormat="1" applyFont="1" applyBorder="1" applyAlignment="1">
      <alignment horizontal="center" vertical="center"/>
    </xf>
    <xf numFmtId="10" fontId="32" fillId="0" borderId="6" xfId="0" applyNumberFormat="1" applyFont="1" applyBorder="1" applyAlignment="1">
      <alignment horizontal="center" vertical="center"/>
    </xf>
    <xf numFmtId="166" fontId="32" fillId="0" borderId="57" xfId="0" applyNumberFormat="1" applyFont="1" applyBorder="1" applyAlignment="1">
      <alignment horizontal="center" vertical="center"/>
    </xf>
    <xf numFmtId="10" fontId="32" fillId="0" borderId="8" xfId="0" applyNumberFormat="1" applyFont="1" applyBorder="1" applyAlignment="1">
      <alignment horizontal="center" vertical="center"/>
    </xf>
    <xf numFmtId="10" fontId="32" fillId="0" borderId="58" xfId="1" applyNumberFormat="1" applyFont="1" applyBorder="1" applyAlignment="1" applyProtection="1">
      <alignment horizontal="center" vertical="center"/>
    </xf>
    <xf numFmtId="166" fontId="32" fillId="0" borderId="57" xfId="1" applyNumberFormat="1" applyFont="1" applyBorder="1" applyAlignment="1" applyProtection="1">
      <alignment horizontal="center" vertical="center"/>
    </xf>
    <xf numFmtId="10" fontId="32" fillId="0" borderId="59" xfId="0" applyNumberFormat="1" applyFont="1" applyBorder="1" applyAlignment="1">
      <alignment horizontal="center" vertical="center"/>
    </xf>
    <xf numFmtId="10" fontId="32" fillId="0" borderId="60" xfId="1" applyNumberFormat="1" applyFont="1" applyBorder="1" applyAlignment="1" applyProtection="1">
      <alignment horizontal="center" vertical="center"/>
    </xf>
    <xf numFmtId="10" fontId="20" fillId="0" borderId="61" xfId="0" applyNumberFormat="1" applyFont="1" applyBorder="1" applyAlignment="1">
      <alignment horizontal="center" vertical="center"/>
    </xf>
    <xf numFmtId="0" fontId="27" fillId="0" borderId="0" xfId="0" applyFont="1"/>
    <xf numFmtId="3" fontId="3" fillId="0" borderId="39" xfId="0" applyNumberFormat="1" applyFont="1" applyBorder="1" applyAlignment="1">
      <alignment horizontal="center" vertical="center" wrapText="1"/>
    </xf>
    <xf numFmtId="3" fontId="33" fillId="6" borderId="15" xfId="0" applyNumberFormat="1" applyFont="1" applyFill="1" applyBorder="1" applyAlignment="1">
      <alignment horizontal="center" vertical="center" wrapText="1"/>
    </xf>
    <xf numFmtId="3" fontId="33" fillId="4" borderId="15" xfId="0" applyNumberFormat="1" applyFont="1" applyFill="1" applyBorder="1" applyAlignment="1">
      <alignment horizontal="center" vertical="center"/>
    </xf>
    <xf numFmtId="3" fontId="33" fillId="3" borderId="15" xfId="0" applyNumberFormat="1" applyFont="1" applyFill="1" applyBorder="1" applyAlignment="1">
      <alignment horizontal="center" vertical="center"/>
    </xf>
    <xf numFmtId="4" fontId="33" fillId="3" borderId="15" xfId="0" applyNumberFormat="1" applyFont="1" applyFill="1" applyBorder="1" applyAlignment="1">
      <alignment horizontal="center" vertical="center"/>
    </xf>
    <xf numFmtId="10" fontId="33" fillId="6" borderId="15" xfId="0" applyNumberFormat="1" applyFont="1" applyFill="1" applyBorder="1" applyAlignment="1">
      <alignment horizontal="center" vertical="center"/>
    </xf>
    <xf numFmtId="170" fontId="34" fillId="0" borderId="15" xfId="0" applyNumberFormat="1" applyFont="1" applyBorder="1" applyAlignment="1">
      <alignment horizontal="center"/>
    </xf>
    <xf numFmtId="170" fontId="34" fillId="0" borderId="63" xfId="0" applyNumberFormat="1" applyFont="1" applyBorder="1" applyAlignment="1">
      <alignment horizontal="center"/>
    </xf>
    <xf numFmtId="0" fontId="16" fillId="2" borderId="0" xfId="0" applyFont="1" applyFill="1"/>
    <xf numFmtId="164" fontId="17" fillId="2" borderId="0" xfId="0" applyNumberFormat="1" applyFont="1" applyFill="1" applyAlignment="1">
      <alignment horizontal="center" vertical="center"/>
    </xf>
    <xf numFmtId="9" fontId="11" fillId="2" borderId="64" xfId="0" applyNumberFormat="1" applyFont="1" applyFill="1" applyBorder="1"/>
    <xf numFmtId="0" fontId="38" fillId="2" borderId="0" xfId="0" applyFont="1" applyFill="1"/>
    <xf numFmtId="3" fontId="19" fillId="0" borderId="18" xfId="0" applyNumberFormat="1" applyFont="1" applyBorder="1" applyAlignment="1">
      <alignment horizontal="center" vertical="center"/>
    </xf>
    <xf numFmtId="3" fontId="19" fillId="4" borderId="19" xfId="0" applyNumberFormat="1" applyFont="1" applyFill="1" applyBorder="1" applyAlignment="1">
      <alignment horizontal="center" vertical="center"/>
    </xf>
    <xf numFmtId="3" fontId="24" fillId="0" borderId="19" xfId="0" applyNumberFormat="1" applyFont="1" applyBorder="1" applyAlignment="1">
      <alignment horizontal="center" vertical="center"/>
    </xf>
    <xf numFmtId="10" fontId="23" fillId="0" borderId="20" xfId="0" applyNumberFormat="1" applyFont="1" applyBorder="1" applyAlignment="1">
      <alignment horizontal="center" vertical="center"/>
    </xf>
    <xf numFmtId="3" fontId="24" fillId="0" borderId="24" xfId="0" applyNumberFormat="1" applyFont="1" applyBorder="1" applyAlignment="1">
      <alignment horizontal="center" vertical="center"/>
    </xf>
    <xf numFmtId="10" fontId="23" fillId="0" borderId="25" xfId="0" applyNumberFormat="1" applyFont="1" applyBorder="1" applyAlignment="1">
      <alignment horizontal="center" vertical="center"/>
    </xf>
    <xf numFmtId="3" fontId="19" fillId="4" borderId="24" xfId="0" applyNumberFormat="1" applyFont="1" applyFill="1" applyBorder="1" applyAlignment="1">
      <alignment horizontal="center" vertical="center"/>
    </xf>
    <xf numFmtId="10" fontId="19" fillId="0" borderId="24" xfId="0" applyNumberFormat="1" applyFont="1" applyBorder="1" applyAlignment="1">
      <alignment horizontal="center" vertical="center"/>
    </xf>
    <xf numFmtId="10" fontId="22" fillId="0" borderId="25" xfId="0" applyNumberFormat="1" applyFont="1" applyBorder="1" applyAlignment="1">
      <alignment horizontal="center" vertical="center"/>
    </xf>
    <xf numFmtId="10" fontId="16" fillId="0" borderId="24" xfId="0" applyNumberFormat="1" applyFont="1" applyBorder="1" applyAlignment="1">
      <alignment horizontal="center" vertical="center"/>
    </xf>
    <xf numFmtId="4" fontId="24" fillId="0" borderId="24" xfId="0" applyNumberFormat="1" applyFont="1" applyBorder="1" applyAlignment="1">
      <alignment horizontal="center" vertical="center"/>
    </xf>
    <xf numFmtId="3" fontId="3" fillId="2" borderId="0" xfId="0" applyNumberFormat="1" applyFont="1" applyFill="1"/>
    <xf numFmtId="10" fontId="23" fillId="0" borderId="27" xfId="0" applyNumberFormat="1" applyFont="1" applyBorder="1" applyAlignment="1">
      <alignment horizontal="center" vertical="center"/>
    </xf>
    <xf numFmtId="10" fontId="18" fillId="0" borderId="27" xfId="0" applyNumberFormat="1" applyFont="1" applyBorder="1" applyAlignment="1">
      <alignment horizontal="center" vertical="center"/>
    </xf>
    <xf numFmtId="165" fontId="19" fillId="3" borderId="33" xfId="0" applyNumberFormat="1" applyFont="1" applyFill="1" applyBorder="1" applyAlignment="1">
      <alignment horizontal="center" vertical="center"/>
    </xf>
    <xf numFmtId="165" fontId="19" fillId="4" borderId="34" xfId="0" applyNumberFormat="1" applyFont="1" applyFill="1" applyBorder="1" applyAlignment="1">
      <alignment horizontal="center" vertical="center"/>
    </xf>
    <xf numFmtId="10" fontId="19" fillId="4" borderId="34" xfId="0" applyNumberFormat="1" applyFont="1" applyFill="1" applyBorder="1" applyAlignment="1">
      <alignment horizontal="center" vertical="center"/>
    </xf>
    <xf numFmtId="165" fontId="24" fillId="0" borderId="34" xfId="0" applyNumberFormat="1" applyFont="1" applyBorder="1" applyAlignment="1">
      <alignment horizontal="center" vertical="center"/>
    </xf>
    <xf numFmtId="0" fontId="17" fillId="14" borderId="24" xfId="0" applyFont="1" applyFill="1" applyBorder="1" applyAlignment="1">
      <alignment horizontal="center" vertical="center" wrapText="1"/>
    </xf>
    <xf numFmtId="0" fontId="26" fillId="14" borderId="24" xfId="0" applyFont="1" applyFill="1" applyBorder="1" applyAlignment="1">
      <alignment horizontal="center" vertical="center" wrapText="1"/>
    </xf>
    <xf numFmtId="0" fontId="16" fillId="14" borderId="24" xfId="0" applyFont="1" applyFill="1" applyBorder="1" applyAlignment="1">
      <alignment horizontal="center" vertical="top" wrapText="1"/>
    </xf>
    <xf numFmtId="0" fontId="16" fillId="14" borderId="30" xfId="0" applyFont="1" applyFill="1" applyBorder="1" applyAlignment="1">
      <alignment horizontal="center" vertical="top" wrapText="1"/>
    </xf>
    <xf numFmtId="0" fontId="17" fillId="14" borderId="24" xfId="0" applyFont="1" applyFill="1" applyBorder="1" applyAlignment="1">
      <alignment horizontal="center" vertical="top" wrapText="1"/>
    </xf>
    <xf numFmtId="165" fontId="2" fillId="0" borderId="0" xfId="0" applyNumberFormat="1" applyFont="1" applyAlignment="1">
      <alignment vertical="center"/>
    </xf>
    <xf numFmtId="0" fontId="29" fillId="0" borderId="0" xfId="0" applyFont="1"/>
    <xf numFmtId="3" fontId="16" fillId="0" borderId="0" xfId="0" applyNumberFormat="1" applyFont="1" applyAlignment="1">
      <alignment horizontal="center" vertical="top"/>
    </xf>
    <xf numFmtId="9" fontId="3" fillId="0" borderId="0" xfId="0" applyNumberFormat="1" applyFont="1" applyAlignment="1">
      <alignment horizontal="center" vertical="center"/>
    </xf>
    <xf numFmtId="3" fontId="16" fillId="0" borderId="0" xfId="0" applyNumberFormat="1" applyFont="1" applyAlignment="1">
      <alignment horizontal="center"/>
    </xf>
    <xf numFmtId="3" fontId="28" fillId="0" borderId="0" xfId="0" applyNumberFormat="1" applyFont="1" applyAlignment="1">
      <alignment horizontal="center"/>
    </xf>
    <xf numFmtId="10" fontId="16" fillId="0" borderId="0" xfId="0" applyNumberFormat="1" applyFont="1" applyAlignment="1">
      <alignment horizontal="center" vertical="top"/>
    </xf>
    <xf numFmtId="4" fontId="16" fillId="0" borderId="0" xfId="0" applyNumberFormat="1" applyFont="1" applyAlignment="1">
      <alignment horizontal="center" vertical="top"/>
    </xf>
    <xf numFmtId="2" fontId="16" fillId="0" borderId="0" xfId="0" applyNumberFormat="1" applyFont="1" applyAlignment="1">
      <alignment horizontal="right"/>
    </xf>
    <xf numFmtId="165" fontId="16" fillId="0" borderId="0" xfId="0" applyNumberFormat="1" applyFont="1" applyAlignment="1">
      <alignment vertical="top"/>
    </xf>
    <xf numFmtId="0" fontId="27" fillId="0" borderId="0" xfId="0" applyFont="1" applyAlignment="1">
      <alignment horizontal="center"/>
    </xf>
    <xf numFmtId="10" fontId="3" fillId="2" borderId="0" xfId="0" applyNumberFormat="1" applyFont="1" applyFill="1"/>
    <xf numFmtId="10" fontId="23" fillId="0" borderId="19" xfId="0" applyNumberFormat="1" applyFont="1" applyBorder="1" applyAlignment="1">
      <alignment horizontal="center" vertical="center"/>
    </xf>
    <xf numFmtId="3" fontId="16" fillId="4" borderId="0" xfId="0" applyNumberFormat="1" applyFont="1" applyFill="1" applyAlignment="1">
      <alignment horizontal="center" vertical="center"/>
    </xf>
    <xf numFmtId="3" fontId="24" fillId="0" borderId="0" xfId="0" applyNumberFormat="1" applyFont="1" applyAlignment="1">
      <alignment horizontal="center" vertical="center"/>
    </xf>
    <xf numFmtId="10" fontId="23" fillId="0" borderId="24" xfId="0" applyNumberFormat="1" applyFont="1" applyBorder="1" applyAlignment="1">
      <alignment horizontal="center" vertical="center"/>
    </xf>
    <xf numFmtId="10" fontId="22" fillId="0" borderId="0" xfId="0" applyNumberFormat="1" applyFont="1" applyAlignment="1">
      <alignment horizontal="center" vertical="center"/>
    </xf>
    <xf numFmtId="10" fontId="23" fillId="0" borderId="0" xfId="0" applyNumberFormat="1" applyFont="1" applyAlignment="1">
      <alignment horizontal="center" vertical="center"/>
    </xf>
    <xf numFmtId="166" fontId="3" fillId="2" borderId="0" xfId="0" applyNumberFormat="1" applyFont="1" applyFill="1"/>
    <xf numFmtId="166" fontId="3" fillId="0" borderId="0" xfId="0" applyNumberFormat="1" applyFont="1"/>
    <xf numFmtId="10" fontId="18" fillId="0" borderId="0" xfId="0" applyNumberFormat="1" applyFont="1" applyAlignment="1">
      <alignment horizontal="center" vertical="center"/>
    </xf>
    <xf numFmtId="10" fontId="18" fillId="0" borderId="24" xfId="0" applyNumberFormat="1" applyFont="1" applyBorder="1" applyAlignment="1">
      <alignment horizontal="center" vertical="center"/>
    </xf>
    <xf numFmtId="0" fontId="0" fillId="13" borderId="0" xfId="0" applyFill="1"/>
    <xf numFmtId="3" fontId="30" fillId="0" borderId="0" xfId="0" applyNumberFormat="1" applyFont="1" applyAlignment="1">
      <alignment horizontal="center" vertical="top"/>
    </xf>
    <xf numFmtId="3" fontId="16" fillId="0" borderId="46" xfId="0" applyNumberFormat="1" applyFont="1" applyBorder="1" applyAlignment="1">
      <alignment horizontal="center" vertical="top"/>
    </xf>
    <xf numFmtId="10" fontId="16" fillId="0" borderId="46" xfId="0" applyNumberFormat="1" applyFont="1" applyBorder="1" applyAlignment="1">
      <alignment horizontal="center" vertical="top"/>
    </xf>
    <xf numFmtId="3" fontId="28" fillId="0" borderId="46" xfId="0" applyNumberFormat="1" applyFont="1" applyBorder="1" applyAlignment="1">
      <alignment horizontal="center"/>
    </xf>
    <xf numFmtId="3" fontId="16" fillId="0" borderId="46" xfId="0" applyNumberFormat="1" applyFont="1" applyBorder="1" applyAlignment="1">
      <alignment horizontal="center"/>
    </xf>
    <xf numFmtId="2" fontId="16" fillId="0" borderId="46" xfId="0" applyNumberFormat="1" applyFont="1" applyBorder="1" applyAlignment="1">
      <alignment horizontal="right"/>
    </xf>
    <xf numFmtId="0" fontId="3" fillId="0" borderId="28" xfId="0" applyFont="1" applyBorder="1"/>
    <xf numFmtId="0" fontId="17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21" fillId="12" borderId="24" xfId="0" applyFont="1" applyFill="1" applyBorder="1" applyAlignment="1">
      <alignment horizontal="center" vertical="center"/>
    </xf>
    <xf numFmtId="9" fontId="17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66" xfId="0" applyFont="1" applyBorder="1" applyAlignment="1">
      <alignment horizontal="center" vertical="center"/>
    </xf>
    <xf numFmtId="0" fontId="33" fillId="16" borderId="68" xfId="0" applyFont="1" applyFill="1" applyBorder="1" applyAlignment="1">
      <alignment horizontal="center" vertical="center" wrapText="1"/>
    </xf>
    <xf numFmtId="0" fontId="33" fillId="16" borderId="69" xfId="0" applyFont="1" applyFill="1" applyBorder="1" applyAlignment="1">
      <alignment horizontal="center" vertical="center" wrapText="1"/>
    </xf>
    <xf numFmtId="0" fontId="33" fillId="16" borderId="18" xfId="0" applyFont="1" applyFill="1" applyBorder="1" applyAlignment="1">
      <alignment horizontal="center" vertical="center" wrapText="1"/>
    </xf>
    <xf numFmtId="0" fontId="33" fillId="16" borderId="54" xfId="0" applyFont="1" applyFill="1" applyBorder="1" applyAlignment="1">
      <alignment horizontal="center" vertical="center" wrapText="1"/>
    </xf>
    <xf numFmtId="0" fontId="33" fillId="16" borderId="55" xfId="0" applyFont="1" applyFill="1" applyBorder="1" applyAlignment="1">
      <alignment horizontal="center" vertical="center" wrapText="1"/>
    </xf>
    <xf numFmtId="0" fontId="33" fillId="16" borderId="49" xfId="0" applyFont="1" applyFill="1" applyBorder="1" applyAlignment="1">
      <alignment horizontal="center" vertical="center" wrapText="1"/>
    </xf>
    <xf numFmtId="0" fontId="33" fillId="16" borderId="70" xfId="0" applyFont="1" applyFill="1" applyBorder="1" applyAlignment="1">
      <alignment horizontal="center" vertical="center" wrapText="1"/>
    </xf>
    <xf numFmtId="0" fontId="33" fillId="16" borderId="71" xfId="0" applyFont="1" applyFill="1" applyBorder="1" applyAlignment="1">
      <alignment horizontal="center" vertical="center" wrapText="1"/>
    </xf>
    <xf numFmtId="0" fontId="33" fillId="16" borderId="39" xfId="0" applyFont="1" applyFill="1" applyBorder="1" applyAlignment="1">
      <alignment horizontal="center" vertical="center" wrapText="1"/>
    </xf>
    <xf numFmtId="0" fontId="33" fillId="16" borderId="72" xfId="0" applyFont="1" applyFill="1" applyBorder="1" applyAlignment="1">
      <alignment horizontal="center" vertical="center" wrapText="1"/>
    </xf>
    <xf numFmtId="171" fontId="21" fillId="17" borderId="74" xfId="0" applyNumberFormat="1" applyFont="1" applyFill="1" applyBorder="1" applyAlignment="1">
      <alignment horizontal="right" vertical="top" wrapText="1" indent="1"/>
    </xf>
    <xf numFmtId="171" fontId="21" fillId="17" borderId="71" xfId="0" applyNumberFormat="1" applyFont="1" applyFill="1" applyBorder="1" applyAlignment="1">
      <alignment horizontal="right" vertical="top" wrapText="1"/>
    </xf>
    <xf numFmtId="171" fontId="21" fillId="17" borderId="75" xfId="0" applyNumberFormat="1" applyFont="1" applyFill="1" applyBorder="1" applyAlignment="1">
      <alignment horizontal="right" vertical="top" wrapText="1" indent="1"/>
    </xf>
    <xf numFmtId="171" fontId="21" fillId="17" borderId="76" xfId="0" applyNumberFormat="1" applyFont="1" applyFill="1" applyBorder="1" applyAlignment="1">
      <alignment horizontal="right" vertical="top" wrapText="1" indent="1"/>
    </xf>
    <xf numFmtId="171" fontId="21" fillId="17" borderId="34" xfId="0" applyNumberFormat="1" applyFont="1" applyFill="1" applyBorder="1" applyAlignment="1">
      <alignment horizontal="right" vertical="top" wrapText="1" indent="1"/>
    </xf>
    <xf numFmtId="171" fontId="21" fillId="17" borderId="35" xfId="0" applyNumberFormat="1" applyFont="1" applyFill="1" applyBorder="1" applyAlignment="1">
      <alignment horizontal="right" vertical="top" wrapText="1" indent="1"/>
    </xf>
    <xf numFmtId="171" fontId="21" fillId="0" borderId="37" xfId="0" applyNumberFormat="1" applyFont="1" applyBorder="1" applyAlignment="1">
      <alignment horizontal="right" vertical="top" wrapText="1" indent="1"/>
    </xf>
    <xf numFmtId="171" fontId="21" fillId="0" borderId="70" xfId="0" applyNumberFormat="1" applyFont="1" applyBorder="1" applyAlignment="1">
      <alignment horizontal="right" vertical="top" wrapText="1" indent="1"/>
    </xf>
    <xf numFmtId="171" fontId="21" fillId="17" borderId="71" xfId="0" applyNumberFormat="1" applyFont="1" applyFill="1" applyBorder="1" applyAlignment="1">
      <alignment horizontal="right" vertical="top" wrapText="1" indent="1"/>
    </xf>
    <xf numFmtId="171" fontId="21" fillId="17" borderId="77" xfId="0" applyNumberFormat="1" applyFont="1" applyFill="1" applyBorder="1" applyAlignment="1">
      <alignment horizontal="right" vertical="top" wrapText="1" indent="1"/>
    </xf>
    <xf numFmtId="171" fontId="21" fillId="17" borderId="72" xfId="0" applyNumberFormat="1" applyFont="1" applyFill="1" applyBorder="1" applyAlignment="1">
      <alignment horizontal="right" vertical="top" wrapText="1"/>
    </xf>
    <xf numFmtId="0" fontId="39" fillId="4" borderId="44" xfId="0" applyFont="1" applyFill="1" applyBorder="1" applyAlignment="1">
      <alignment horizontal="left" vertical="top"/>
    </xf>
    <xf numFmtId="0" fontId="40" fillId="4" borderId="0" xfId="0" applyFont="1" applyFill="1" applyAlignment="1">
      <alignment horizontal="left" vertical="top"/>
    </xf>
    <xf numFmtId="0" fontId="39" fillId="4" borderId="0" xfId="0" applyFont="1" applyFill="1" applyAlignment="1">
      <alignment horizontal="left" vertical="top"/>
    </xf>
    <xf numFmtId="2" fontId="39" fillId="4" borderId="0" xfId="0" applyNumberFormat="1" applyFont="1" applyFill="1" applyAlignment="1">
      <alignment horizontal="right" vertical="top"/>
    </xf>
    <xf numFmtId="0" fontId="16" fillId="4" borderId="0" xfId="0" applyFont="1" applyFill="1" applyAlignment="1">
      <alignment horizontal="left"/>
    </xf>
    <xf numFmtId="0" fontId="16" fillId="4" borderId="66" xfId="0" applyFont="1" applyFill="1" applyBorder="1" applyAlignment="1">
      <alignment horizontal="left"/>
    </xf>
    <xf numFmtId="0" fontId="39" fillId="4" borderId="44" xfId="0" applyFont="1" applyFill="1" applyBorder="1" applyAlignment="1">
      <alignment horizontal="center" vertical="center"/>
    </xf>
    <xf numFmtId="0" fontId="39" fillId="4" borderId="24" xfId="0" applyFont="1" applyFill="1" applyBorder="1" applyAlignment="1">
      <alignment horizontal="center" vertical="center"/>
    </xf>
    <xf numFmtId="0" fontId="39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6" fillId="4" borderId="66" xfId="0" applyFont="1" applyFill="1" applyBorder="1" applyAlignment="1">
      <alignment horizontal="center" vertical="center"/>
    </xf>
    <xf numFmtId="14" fontId="39" fillId="4" borderId="24" xfId="0" applyNumberFormat="1" applyFont="1" applyFill="1" applyBorder="1" applyAlignment="1">
      <alignment horizontal="center" vertical="top"/>
    </xf>
    <xf numFmtId="4" fontId="39" fillId="4" borderId="24" xfId="0" applyNumberFormat="1" applyFont="1" applyFill="1" applyBorder="1" applyAlignment="1">
      <alignment horizontal="right" vertical="top"/>
    </xf>
    <xf numFmtId="0" fontId="39" fillId="4" borderId="24" xfId="0" applyFont="1" applyFill="1" applyBorder="1" applyAlignment="1">
      <alignment horizontal="left" vertical="top" wrapText="1"/>
    </xf>
    <xf numFmtId="0" fontId="39" fillId="18" borderId="44" xfId="0" applyFont="1" applyFill="1" applyBorder="1" applyAlignment="1">
      <alignment horizontal="left" vertical="top"/>
    </xf>
    <xf numFmtId="0" fontId="39" fillId="18" borderId="0" xfId="0" applyFont="1" applyFill="1" applyAlignment="1">
      <alignment horizontal="left" vertical="top"/>
    </xf>
    <xf numFmtId="4" fontId="40" fillId="18" borderId="0" xfId="0" applyNumberFormat="1" applyFont="1" applyFill="1" applyAlignment="1">
      <alignment horizontal="right" vertical="top"/>
    </xf>
    <xf numFmtId="0" fontId="39" fillId="18" borderId="0" xfId="0" applyFont="1" applyFill="1" applyAlignment="1">
      <alignment horizontal="right" vertical="top"/>
    </xf>
    <xf numFmtId="0" fontId="16" fillId="18" borderId="0" xfId="0" applyFont="1" applyFill="1" applyAlignment="1">
      <alignment horizontal="left"/>
    </xf>
    <xf numFmtId="2" fontId="40" fillId="18" borderId="0" xfId="0" applyNumberFormat="1" applyFont="1" applyFill="1" applyAlignment="1">
      <alignment horizontal="left" vertical="top"/>
    </xf>
    <xf numFmtId="2" fontId="39" fillId="18" borderId="0" xfId="0" applyNumberFormat="1" applyFont="1" applyFill="1" applyAlignment="1">
      <alignment horizontal="left" vertical="top"/>
    </xf>
    <xf numFmtId="0" fontId="16" fillId="18" borderId="66" xfId="0" applyFont="1" applyFill="1" applyBorder="1" applyAlignment="1">
      <alignment horizontal="left"/>
    </xf>
    <xf numFmtId="0" fontId="39" fillId="4" borderId="0" xfId="0" applyFont="1" applyFill="1" applyAlignment="1">
      <alignment horizontal="center" vertical="center" wrapText="1"/>
    </xf>
    <xf numFmtId="0" fontId="39" fillId="4" borderId="44" xfId="0" applyFont="1" applyFill="1" applyBorder="1" applyAlignment="1">
      <alignment horizontal="center" vertical="center" wrapText="1"/>
    </xf>
    <xf numFmtId="0" fontId="40" fillId="4" borderId="0" xfId="0" applyFont="1" applyFill="1" applyAlignment="1">
      <alignment horizontal="left" vertical="top" wrapText="1"/>
    </xf>
    <xf numFmtId="0" fontId="16" fillId="4" borderId="0" xfId="0" applyFont="1" applyFill="1" applyAlignment="1">
      <alignment horizontal="center" vertical="center" wrapText="1"/>
    </xf>
    <xf numFmtId="0" fontId="16" fillId="4" borderId="66" xfId="0" applyFont="1" applyFill="1" applyBorder="1" applyAlignment="1">
      <alignment horizontal="center" vertical="center" wrapText="1"/>
    </xf>
    <xf numFmtId="0" fontId="39" fillId="4" borderId="24" xfId="0" applyFont="1" applyFill="1" applyBorder="1" applyAlignment="1">
      <alignment horizontal="center" vertical="center" wrapText="1"/>
    </xf>
    <xf numFmtId="4" fontId="0" fillId="0" borderId="0" xfId="0" applyNumberFormat="1"/>
    <xf numFmtId="1" fontId="39" fillId="4" borderId="24" xfId="0" applyNumberFormat="1" applyFont="1" applyFill="1" applyBorder="1" applyAlignment="1">
      <alignment horizontal="center" vertical="top"/>
    </xf>
    <xf numFmtId="0" fontId="39" fillId="4" borderId="24" xfId="0" applyFont="1" applyFill="1" applyBorder="1" applyAlignment="1">
      <alignment horizontal="left" vertical="top"/>
    </xf>
    <xf numFmtId="172" fontId="39" fillId="4" borderId="24" xfId="0" applyNumberFormat="1" applyFont="1" applyFill="1" applyBorder="1" applyAlignment="1">
      <alignment horizontal="center" vertical="top"/>
    </xf>
    <xf numFmtId="2" fontId="39" fillId="4" borderId="24" xfId="0" applyNumberFormat="1" applyFont="1" applyFill="1" applyBorder="1" applyAlignment="1">
      <alignment horizontal="center" vertical="top"/>
    </xf>
    <xf numFmtId="2" fontId="40" fillId="4" borderId="24" xfId="0" applyNumberFormat="1" applyFont="1" applyFill="1" applyBorder="1" applyAlignment="1">
      <alignment horizontal="right" vertical="center" wrapText="1" indent="1"/>
    </xf>
    <xf numFmtId="4" fontId="39" fillId="4" borderId="0" xfId="0" applyNumberFormat="1" applyFont="1" applyFill="1" applyAlignment="1">
      <alignment horizontal="left" vertical="top"/>
    </xf>
    <xf numFmtId="10" fontId="39" fillId="4" borderId="24" xfId="0" applyNumberFormat="1" applyFont="1" applyFill="1" applyBorder="1" applyAlignment="1">
      <alignment horizontal="center" vertical="top"/>
    </xf>
    <xf numFmtId="0" fontId="39" fillId="4" borderId="24" xfId="0" applyFont="1" applyFill="1" applyBorder="1" applyAlignment="1">
      <alignment horizontal="left" vertical="center"/>
    </xf>
    <xf numFmtId="172" fontId="39" fillId="4" borderId="24" xfId="0" applyNumberFormat="1" applyFont="1" applyFill="1" applyBorder="1" applyAlignment="1">
      <alignment horizontal="center" vertical="center" wrapText="1"/>
    </xf>
    <xf numFmtId="10" fontId="39" fillId="4" borderId="24" xfId="0" applyNumberFormat="1" applyFont="1" applyFill="1" applyBorder="1" applyAlignment="1">
      <alignment horizontal="center" vertical="center" wrapText="1"/>
    </xf>
    <xf numFmtId="2" fontId="39" fillId="4" borderId="24" xfId="0" applyNumberFormat="1" applyFont="1" applyFill="1" applyBorder="1" applyAlignment="1">
      <alignment horizontal="center" vertical="center" wrapText="1"/>
    </xf>
    <xf numFmtId="0" fontId="39" fillId="4" borderId="0" xfId="0" applyFont="1" applyFill="1" applyAlignment="1">
      <alignment horizontal="left" vertical="center"/>
    </xf>
    <xf numFmtId="172" fontId="39" fillId="4" borderId="0" xfId="0" applyNumberFormat="1" applyFont="1" applyFill="1" applyAlignment="1">
      <alignment horizontal="center" vertical="center" wrapText="1"/>
    </xf>
    <xf numFmtId="2" fontId="40" fillId="4" borderId="0" xfId="0" applyNumberFormat="1" applyFont="1" applyFill="1" applyAlignment="1">
      <alignment horizontal="right" vertical="center" wrapText="1"/>
    </xf>
    <xf numFmtId="4" fontId="17" fillId="18" borderId="0" xfId="0" applyNumberFormat="1" applyFont="1" applyFill="1" applyAlignment="1">
      <alignment horizontal="right"/>
    </xf>
    <xf numFmtId="0" fontId="16" fillId="18" borderId="0" xfId="0" applyFont="1" applyFill="1" applyAlignment="1">
      <alignment horizontal="right"/>
    </xf>
    <xf numFmtId="2" fontId="16" fillId="18" borderId="0" xfId="0" applyNumberFormat="1" applyFont="1" applyFill="1" applyAlignment="1">
      <alignment horizontal="left"/>
    </xf>
    <xf numFmtId="0" fontId="16" fillId="4" borderId="44" xfId="0" applyFont="1" applyFill="1" applyBorder="1" applyAlignment="1">
      <alignment horizontal="left"/>
    </xf>
    <xf numFmtId="0" fontId="16" fillId="0" borderId="0" xfId="0" applyFont="1" applyAlignment="1">
      <alignment horizontal="left"/>
    </xf>
    <xf numFmtId="0" fontId="16" fillId="0" borderId="66" xfId="0" applyFont="1" applyBorder="1"/>
    <xf numFmtId="0" fontId="40" fillId="4" borderId="21" xfId="0" applyFont="1" applyFill="1" applyBorder="1" applyAlignment="1">
      <alignment horizontal="left" vertical="top"/>
    </xf>
    <xf numFmtId="0" fontId="17" fillId="4" borderId="21" xfId="0" applyFont="1" applyFill="1" applyBorder="1" applyAlignment="1">
      <alignment horizontal="left"/>
    </xf>
    <xf numFmtId="0" fontId="16" fillId="4" borderId="21" xfId="0" applyFont="1" applyFill="1" applyBorder="1" applyAlignment="1">
      <alignment horizontal="left"/>
    </xf>
    <xf numFmtId="0" fontId="16" fillId="4" borderId="65" xfId="0" applyFont="1" applyFill="1" applyBorder="1" applyAlignment="1">
      <alignment horizontal="left"/>
    </xf>
    <xf numFmtId="0" fontId="16" fillId="4" borderId="44" xfId="0" applyFont="1" applyFill="1" applyBorder="1" applyAlignment="1">
      <alignment horizontal="center" vertical="center" wrapText="1"/>
    </xf>
    <xf numFmtId="0" fontId="39" fillId="4" borderId="26" xfId="0" applyFont="1" applyFill="1" applyBorder="1" applyAlignment="1">
      <alignment horizontal="center" vertical="center" wrapText="1"/>
    </xf>
    <xf numFmtId="2" fontId="40" fillId="4" borderId="24" xfId="0" applyNumberFormat="1" applyFont="1" applyFill="1" applyBorder="1" applyAlignment="1">
      <alignment horizontal="right" vertical="top" indent="1"/>
    </xf>
    <xf numFmtId="3" fontId="39" fillId="4" borderId="24" xfId="0" applyNumberFormat="1" applyFont="1" applyFill="1" applyBorder="1" applyAlignment="1">
      <alignment horizontal="left" vertical="top"/>
    </xf>
    <xf numFmtId="172" fontId="39" fillId="4" borderId="24" xfId="0" applyNumberFormat="1" applyFont="1" applyFill="1" applyBorder="1" applyAlignment="1">
      <alignment vertical="top"/>
    </xf>
    <xf numFmtId="3" fontId="16" fillId="4" borderId="24" xfId="0" applyNumberFormat="1" applyFont="1" applyFill="1" applyBorder="1" applyAlignment="1">
      <alignment vertical="top"/>
    </xf>
    <xf numFmtId="2" fontId="40" fillId="4" borderId="26" xfId="0" applyNumberFormat="1" applyFont="1" applyFill="1" applyBorder="1" applyAlignment="1">
      <alignment horizontal="right" vertical="top" indent="1"/>
    </xf>
    <xf numFmtId="4" fontId="39" fillId="4" borderId="24" xfId="0" applyNumberFormat="1" applyFont="1" applyFill="1" applyBorder="1" applyAlignment="1">
      <alignment horizontal="right" vertical="center" wrapText="1"/>
    </xf>
    <xf numFmtId="3" fontId="39" fillId="4" borderId="24" xfId="0" applyNumberFormat="1" applyFont="1" applyFill="1" applyBorder="1" applyAlignment="1">
      <alignment horizontal="left" vertical="top" wrapText="1"/>
    </xf>
    <xf numFmtId="0" fontId="39" fillId="4" borderId="24" xfId="0" applyFont="1" applyFill="1" applyBorder="1" applyAlignment="1">
      <alignment vertical="center"/>
    </xf>
    <xf numFmtId="172" fontId="39" fillId="4" borderId="24" xfId="0" applyNumberFormat="1" applyFont="1" applyFill="1" applyBorder="1" applyAlignment="1">
      <alignment vertical="center" wrapText="1"/>
    </xf>
    <xf numFmtId="0" fontId="16" fillId="4" borderId="24" xfId="0" applyFont="1" applyFill="1" applyBorder="1" applyAlignment="1">
      <alignment vertical="top" wrapText="1"/>
    </xf>
    <xf numFmtId="10" fontId="39" fillId="4" borderId="24" xfId="0" applyNumberFormat="1" applyFont="1" applyFill="1" applyBorder="1" applyAlignment="1">
      <alignment horizontal="center" vertical="top" wrapText="1"/>
    </xf>
    <xf numFmtId="2" fontId="40" fillId="4" borderId="26" xfId="0" applyNumberFormat="1" applyFont="1" applyFill="1" applyBorder="1" applyAlignment="1">
      <alignment horizontal="right" vertical="top" wrapText="1" inden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21" fillId="12" borderId="30" xfId="0" applyFont="1" applyFill="1" applyBorder="1" applyAlignment="1">
      <alignment horizontal="center" vertical="center"/>
    </xf>
    <xf numFmtId="0" fontId="33" fillId="16" borderId="24" xfId="0" applyFont="1" applyFill="1" applyBorder="1" applyAlignment="1">
      <alignment horizontal="center" vertical="center" wrapText="1"/>
    </xf>
    <xf numFmtId="0" fontId="33" fillId="16" borderId="25" xfId="0" applyFont="1" applyFill="1" applyBorder="1" applyAlignment="1">
      <alignment horizontal="center" vertical="center" wrapText="1"/>
    </xf>
    <xf numFmtId="0" fontId="33" fillId="16" borderId="3" xfId="0" applyFont="1" applyFill="1" applyBorder="1" applyAlignment="1">
      <alignment horizontal="center" vertical="center" wrapText="1"/>
    </xf>
    <xf numFmtId="171" fontId="33" fillId="17" borderId="24" xfId="0" applyNumberFormat="1" applyFont="1" applyFill="1" applyBorder="1" applyAlignment="1">
      <alignment horizontal="right" vertical="top" wrapText="1" indent="1"/>
    </xf>
    <xf numFmtId="171" fontId="33" fillId="17" borderId="25" xfId="0" applyNumberFormat="1" applyFont="1" applyFill="1" applyBorder="1" applyAlignment="1">
      <alignment horizontal="right" vertical="top" wrapText="1"/>
    </xf>
    <xf numFmtId="171" fontId="33" fillId="17" borderId="75" xfId="0" applyNumberFormat="1" applyFont="1" applyFill="1" applyBorder="1" applyAlignment="1">
      <alignment horizontal="right" vertical="top" wrapText="1" indent="1"/>
    </xf>
    <xf numFmtId="171" fontId="33" fillId="17" borderId="76" xfId="0" applyNumberFormat="1" applyFont="1" applyFill="1" applyBorder="1" applyAlignment="1">
      <alignment horizontal="right" vertical="top" wrapText="1" indent="1"/>
    </xf>
    <xf numFmtId="171" fontId="33" fillId="17" borderId="34" xfId="0" applyNumberFormat="1" applyFont="1" applyFill="1" applyBorder="1" applyAlignment="1">
      <alignment horizontal="right" vertical="top" wrapText="1" indent="1"/>
    </xf>
    <xf numFmtId="171" fontId="33" fillId="17" borderId="35" xfId="0" applyNumberFormat="1" applyFont="1" applyFill="1" applyBorder="1" applyAlignment="1">
      <alignment horizontal="right" vertical="top" wrapText="1" indent="1"/>
    </xf>
    <xf numFmtId="171" fontId="33" fillId="0" borderId="35" xfId="0" applyNumberFormat="1" applyFont="1" applyBorder="1" applyAlignment="1">
      <alignment horizontal="right" vertical="top" wrapText="1" indent="1"/>
    </xf>
    <xf numFmtId="171" fontId="21" fillId="0" borderId="76" xfId="0" applyNumberFormat="1" applyFont="1" applyBorder="1" applyAlignment="1">
      <alignment horizontal="right" vertical="top" wrapText="1" indent="1"/>
    </xf>
    <xf numFmtId="171" fontId="21" fillId="17" borderId="37" xfId="0" applyNumberFormat="1" applyFont="1" applyFill="1" applyBorder="1" applyAlignment="1">
      <alignment horizontal="right" vertical="top" wrapText="1" indent="1"/>
    </xf>
    <xf numFmtId="171" fontId="21" fillId="17" borderId="79" xfId="0" applyNumberFormat="1" applyFont="1" applyFill="1" applyBorder="1" applyAlignment="1">
      <alignment horizontal="right" vertical="top" wrapText="1" indent="1"/>
    </xf>
    <xf numFmtId="14" fontId="39" fillId="4" borderId="0" xfId="0" applyNumberFormat="1" applyFont="1" applyFill="1" applyAlignment="1">
      <alignment horizontal="center" vertical="top"/>
    </xf>
    <xf numFmtId="4" fontId="39" fillId="4" borderId="0" xfId="0" applyNumberFormat="1" applyFont="1" applyFill="1" applyAlignment="1">
      <alignment horizontal="center" vertical="top"/>
    </xf>
    <xf numFmtId="0" fontId="39" fillId="4" borderId="0" xfId="0" applyFont="1" applyFill="1" applyAlignment="1">
      <alignment horizontal="left" vertical="top" wrapText="1"/>
    </xf>
    <xf numFmtId="2" fontId="17" fillId="18" borderId="0" xfId="0" applyNumberFormat="1" applyFont="1" applyFill="1" applyAlignment="1">
      <alignment horizontal="left"/>
    </xf>
    <xf numFmtId="0" fontId="33" fillId="16" borderId="11" xfId="0" applyFont="1" applyFill="1" applyBorder="1" applyAlignment="1">
      <alignment horizontal="center" vertical="center" wrapText="1"/>
    </xf>
    <xf numFmtId="171" fontId="33" fillId="17" borderId="74" xfId="0" applyNumberFormat="1" applyFont="1" applyFill="1" applyBorder="1" applyAlignment="1">
      <alignment horizontal="right" vertical="top" wrapText="1" indent="1"/>
    </xf>
    <xf numFmtId="171" fontId="33" fillId="17" borderId="71" xfId="0" applyNumberFormat="1" applyFont="1" applyFill="1" applyBorder="1" applyAlignment="1">
      <alignment horizontal="right" vertical="top" wrapText="1"/>
    </xf>
    <xf numFmtId="171" fontId="33" fillId="0" borderId="37" xfId="0" applyNumberFormat="1" applyFont="1" applyBorder="1" applyAlignment="1">
      <alignment horizontal="right" vertical="top" wrapText="1" indent="1"/>
    </xf>
    <xf numFmtId="0" fontId="21" fillId="19" borderId="80" xfId="0" applyFont="1" applyFill="1" applyBorder="1"/>
    <xf numFmtId="173" fontId="41" fillId="20" borderId="81" xfId="0" applyNumberFormat="1" applyFont="1" applyFill="1" applyBorder="1" applyAlignment="1" applyProtection="1">
      <alignment horizontal="left"/>
      <protection locked="0"/>
    </xf>
    <xf numFmtId="0" fontId="33" fillId="19" borderId="82" xfId="0" applyFont="1" applyFill="1" applyBorder="1"/>
    <xf numFmtId="0" fontId="42" fillId="20" borderId="83" xfId="0" applyFont="1" applyFill="1" applyBorder="1" applyProtection="1">
      <protection locked="0"/>
    </xf>
    <xf numFmtId="0" fontId="43" fillId="19" borderId="0" xfId="0" applyFont="1" applyFill="1" applyAlignment="1">
      <alignment vertical="center"/>
    </xf>
    <xf numFmtId="0" fontId="33" fillId="19" borderId="0" xfId="0" applyFont="1" applyFill="1"/>
    <xf numFmtId="0" fontId="42" fillId="21" borderId="84" xfId="0" applyFont="1" applyFill="1" applyBorder="1"/>
    <xf numFmtId="0" fontId="43" fillId="22" borderId="0" xfId="0" applyFont="1" applyFill="1" applyAlignment="1">
      <alignment vertical="center"/>
    </xf>
    <xf numFmtId="0" fontId="33" fillId="22" borderId="0" xfId="0" applyFont="1" applyFill="1"/>
    <xf numFmtId="0" fontId="44" fillId="21" borderId="84" xfId="0" applyFont="1" applyFill="1" applyBorder="1"/>
    <xf numFmtId="0" fontId="42" fillId="21" borderId="85" xfId="0" applyFont="1" applyFill="1" applyBorder="1"/>
    <xf numFmtId="0" fontId="47" fillId="19" borderId="86" xfId="0" applyFont="1" applyFill="1" applyBorder="1" applyAlignment="1">
      <alignment horizontal="center" wrapText="1"/>
    </xf>
    <xf numFmtId="0" fontId="21" fillId="19" borderId="89" xfId="0" applyFont="1" applyFill="1" applyBorder="1" applyAlignment="1">
      <alignment horizontal="center"/>
    </xf>
    <xf numFmtId="0" fontId="33" fillId="23" borderId="0" xfId="0" applyFont="1" applyFill="1"/>
    <xf numFmtId="0" fontId="21" fillId="19" borderId="90" xfId="0" applyFont="1" applyFill="1" applyBorder="1"/>
    <xf numFmtId="2" fontId="47" fillId="19" borderId="91" xfId="0" applyNumberFormat="1" applyFont="1" applyFill="1" applyBorder="1" applyAlignment="1">
      <alignment horizontal="center"/>
    </xf>
    <xf numFmtId="3" fontId="48" fillId="19" borderId="86" xfId="0" applyNumberFormat="1" applyFont="1" applyFill="1" applyBorder="1" applyAlignment="1">
      <alignment horizontal="center"/>
    </xf>
    <xf numFmtId="10" fontId="33" fillId="23" borderId="0" xfId="0" applyNumberFormat="1" applyFont="1" applyFill="1"/>
    <xf numFmtId="0" fontId="21" fillId="19" borderId="92" xfId="0" applyFont="1" applyFill="1" applyBorder="1"/>
    <xf numFmtId="0" fontId="33" fillId="19" borderId="88" xfId="0" applyFont="1" applyFill="1" applyBorder="1"/>
    <xf numFmtId="0" fontId="33" fillId="19" borderId="93" xfId="0" applyFont="1" applyFill="1" applyBorder="1"/>
    <xf numFmtId="0" fontId="21" fillId="24" borderId="94" xfId="0" applyFont="1" applyFill="1" applyBorder="1" applyAlignment="1" applyProtection="1">
      <alignment wrapText="1"/>
      <protection locked="0"/>
    </xf>
    <xf numFmtId="0" fontId="33" fillId="25" borderId="95" xfId="0" applyFont="1" applyFill="1" applyBorder="1"/>
    <xf numFmtId="0" fontId="21" fillId="26" borderId="95" xfId="0" applyFont="1" applyFill="1" applyBorder="1" applyAlignment="1">
      <alignment horizontal="center" vertical="center" wrapText="1"/>
    </xf>
    <xf numFmtId="0" fontId="33" fillId="19" borderId="96" xfId="0" applyFont="1" applyFill="1" applyBorder="1"/>
    <xf numFmtId="0" fontId="33" fillId="19" borderId="97" xfId="0" applyFont="1" applyFill="1" applyBorder="1"/>
    <xf numFmtId="0" fontId="33" fillId="25" borderId="97" xfId="0" applyFont="1" applyFill="1" applyBorder="1"/>
    <xf numFmtId="0" fontId="21" fillId="26" borderId="98" xfId="0" applyFont="1" applyFill="1" applyBorder="1" applyAlignment="1">
      <alignment horizontal="center" vertical="center" wrapText="1"/>
    </xf>
    <xf numFmtId="0" fontId="21" fillId="19" borderId="9" xfId="0" applyFont="1" applyFill="1" applyBorder="1" applyAlignment="1">
      <alignment vertical="center" wrapText="1"/>
    </xf>
    <xf numFmtId="0" fontId="21" fillId="19" borderId="99" xfId="0" applyFont="1" applyFill="1" applyBorder="1" applyAlignment="1">
      <alignment horizontal="center" vertical="center"/>
    </xf>
    <xf numFmtId="0" fontId="48" fillId="19" borderId="100" xfId="0" applyFont="1" applyFill="1" applyBorder="1" applyAlignment="1">
      <alignment horizontal="center" vertical="center"/>
    </xf>
    <xf numFmtId="0" fontId="48" fillId="19" borderId="94" xfId="0" applyFont="1" applyFill="1" applyBorder="1" applyAlignment="1">
      <alignment horizontal="center" vertical="center"/>
    </xf>
    <xf numFmtId="0" fontId="48" fillId="25" borderId="94" xfId="0" applyFont="1" applyFill="1" applyBorder="1" applyAlignment="1">
      <alignment horizontal="center" vertical="center"/>
    </xf>
    <xf numFmtId="0" fontId="21" fillId="26" borderId="94" xfId="0" applyFont="1" applyFill="1" applyBorder="1" applyAlignment="1">
      <alignment horizontal="center" vertical="center" wrapText="1"/>
    </xf>
    <xf numFmtId="0" fontId="21" fillId="26" borderId="101" xfId="0" applyFont="1" applyFill="1" applyBorder="1" applyAlignment="1">
      <alignment horizontal="center" vertical="center" wrapText="1"/>
    </xf>
    <xf numFmtId="0" fontId="21" fillId="19" borderId="81" xfId="0" applyFont="1" applyFill="1" applyBorder="1"/>
    <xf numFmtId="0" fontId="49" fillId="0" borderId="104" xfId="0" applyFont="1" applyBorder="1"/>
    <xf numFmtId="0" fontId="33" fillId="0" borderId="105" xfId="0" applyFont="1" applyBorder="1"/>
    <xf numFmtId="0" fontId="3" fillId="0" borderId="105" xfId="0" applyFont="1" applyBorder="1"/>
    <xf numFmtId="0" fontId="33" fillId="0" borderId="106" xfId="0" applyFont="1" applyBorder="1"/>
    <xf numFmtId="3" fontId="33" fillId="25" borderId="19" xfId="0" applyNumberFormat="1" applyFont="1" applyFill="1" applyBorder="1" applyAlignment="1">
      <alignment horizontal="center"/>
    </xf>
    <xf numFmtId="3" fontId="33" fillId="26" borderId="104" xfId="0" applyNumberFormat="1" applyFont="1" applyFill="1" applyBorder="1" applyAlignment="1">
      <alignment horizontal="center"/>
    </xf>
    <xf numFmtId="3" fontId="33" fillId="26" borderId="105" xfId="0" applyNumberFormat="1" applyFont="1" applyFill="1" applyBorder="1" applyAlignment="1">
      <alignment horizontal="center"/>
    </xf>
    <xf numFmtId="3" fontId="33" fillId="0" borderId="105" xfId="0" applyNumberFormat="1" applyFont="1" applyBorder="1" applyAlignment="1">
      <alignment horizontal="center"/>
    </xf>
    <xf numFmtId="0" fontId="21" fillId="19" borderId="83" xfId="0" applyFont="1" applyFill="1" applyBorder="1"/>
    <xf numFmtId="0" fontId="49" fillId="0" borderId="107" xfId="0" applyFont="1" applyBorder="1"/>
    <xf numFmtId="0" fontId="33" fillId="0" borderId="108" xfId="0" applyFont="1" applyBorder="1"/>
    <xf numFmtId="0" fontId="3" fillId="0" borderId="108" xfId="0" applyFont="1" applyBorder="1"/>
    <xf numFmtId="0" fontId="33" fillId="0" borderId="109" xfId="0" applyFont="1" applyBorder="1"/>
    <xf numFmtId="3" fontId="33" fillId="25" borderId="24" xfId="0" applyNumberFormat="1" applyFont="1" applyFill="1" applyBorder="1" applyAlignment="1">
      <alignment horizontal="center"/>
    </xf>
    <xf numFmtId="3" fontId="33" fillId="26" borderId="107" xfId="0" applyNumberFormat="1" applyFont="1" applyFill="1" applyBorder="1" applyAlignment="1">
      <alignment horizontal="center"/>
    </xf>
    <xf numFmtId="3" fontId="33" fillId="26" borderId="108" xfId="0" applyNumberFormat="1" applyFont="1" applyFill="1" applyBorder="1" applyAlignment="1">
      <alignment horizontal="center"/>
    </xf>
    <xf numFmtId="3" fontId="33" fillId="0" borderId="108" xfId="0" applyNumberFormat="1" applyFont="1" applyBorder="1" applyAlignment="1">
      <alignment horizontal="center"/>
    </xf>
    <xf numFmtId="0" fontId="33" fillId="13" borderId="108" xfId="0" applyFont="1" applyFill="1" applyBorder="1"/>
    <xf numFmtId="0" fontId="50" fillId="0" borderId="108" xfId="0" applyFont="1" applyBorder="1"/>
    <xf numFmtId="0" fontId="49" fillId="0" borderId="107" xfId="0" applyFont="1" applyBorder="1" applyProtection="1">
      <protection locked="0"/>
    </xf>
    <xf numFmtId="0" fontId="49" fillId="0" borderId="108" xfId="0" applyFont="1" applyBorder="1" applyProtection="1">
      <protection locked="0"/>
    </xf>
    <xf numFmtId="0" fontId="3" fillId="0" borderId="108" xfId="0" applyFont="1" applyBorder="1" applyProtection="1">
      <protection locked="0"/>
    </xf>
    <xf numFmtId="0" fontId="49" fillId="0" borderId="24" xfId="0" applyFont="1" applyBorder="1"/>
    <xf numFmtId="0" fontId="49" fillId="0" borderId="0" xfId="0" applyFont="1" applyProtection="1">
      <protection locked="0"/>
    </xf>
    <xf numFmtId="0" fontId="49" fillId="0" borderId="109" xfId="0" applyFont="1" applyBorder="1" applyProtection="1">
      <protection locked="0"/>
    </xf>
    <xf numFmtId="0" fontId="43" fillId="0" borderId="107" xfId="0" applyFont="1" applyBorder="1" applyProtection="1">
      <protection locked="0"/>
    </xf>
    <xf numFmtId="0" fontId="43" fillId="0" borderId="108" xfId="0" applyFont="1" applyBorder="1" applyProtection="1">
      <protection locked="0"/>
    </xf>
    <xf numFmtId="0" fontId="43" fillId="0" borderId="24" xfId="0" applyFont="1" applyBorder="1"/>
    <xf numFmtId="0" fontId="21" fillId="27" borderId="83" xfId="0" applyFont="1" applyFill="1" applyBorder="1" applyProtection="1">
      <protection locked="0"/>
    </xf>
    <xf numFmtId="0" fontId="43" fillId="28" borderId="24" xfId="0" applyFont="1" applyFill="1" applyBorder="1"/>
    <xf numFmtId="0" fontId="49" fillId="13" borderId="24" xfId="0" applyFont="1" applyFill="1" applyBorder="1"/>
    <xf numFmtId="0" fontId="49" fillId="13" borderId="108" xfId="0" applyFont="1" applyFill="1" applyBorder="1" applyProtection="1">
      <protection locked="0"/>
    </xf>
    <xf numFmtId="0" fontId="49" fillId="13" borderId="110" xfId="0" applyFont="1" applyFill="1" applyBorder="1" applyProtection="1">
      <protection locked="0"/>
    </xf>
    <xf numFmtId="3" fontId="33" fillId="29" borderId="24" xfId="0" applyNumberFormat="1" applyFont="1" applyFill="1" applyBorder="1" applyAlignment="1" applyProtection="1">
      <alignment horizontal="center"/>
      <protection hidden="1"/>
    </xf>
    <xf numFmtId="3" fontId="33" fillId="30" borderId="107" xfId="0" applyNumberFormat="1" applyFont="1" applyFill="1" applyBorder="1" applyAlignment="1" applyProtection="1">
      <alignment horizontal="center"/>
      <protection hidden="1"/>
    </xf>
    <xf numFmtId="3" fontId="33" fillId="30" borderId="108" xfId="0" applyNumberFormat="1" applyFont="1" applyFill="1" applyBorder="1" applyAlignment="1" applyProtection="1">
      <alignment horizontal="center"/>
      <protection hidden="1"/>
    </xf>
    <xf numFmtId="3" fontId="33" fillId="0" borderId="108" xfId="0" applyNumberFormat="1" applyFont="1" applyBorder="1" applyAlignment="1" applyProtection="1">
      <alignment horizontal="center"/>
      <protection hidden="1"/>
    </xf>
    <xf numFmtId="0" fontId="51" fillId="19" borderId="83" xfId="0" applyFont="1" applyFill="1" applyBorder="1"/>
    <xf numFmtId="3" fontId="49" fillId="25" borderId="24" xfId="0" applyNumberFormat="1" applyFont="1" applyFill="1" applyBorder="1" applyAlignment="1">
      <alignment horizontal="center"/>
    </xf>
    <xf numFmtId="3" fontId="49" fillId="26" borderId="107" xfId="0" applyNumberFormat="1" applyFont="1" applyFill="1" applyBorder="1" applyAlignment="1">
      <alignment horizontal="center"/>
    </xf>
    <xf numFmtId="3" fontId="49" fillId="26" borderId="108" xfId="0" applyNumberFormat="1" applyFont="1" applyFill="1" applyBorder="1" applyAlignment="1">
      <alignment horizontal="center"/>
    </xf>
    <xf numFmtId="3" fontId="49" fillId="0" borderId="108" xfId="0" applyNumberFormat="1" applyFont="1" applyBorder="1" applyAlignment="1">
      <alignment horizontal="center"/>
    </xf>
    <xf numFmtId="0" fontId="21" fillId="27" borderId="111" xfId="0" applyFont="1" applyFill="1" applyBorder="1" applyProtection="1">
      <protection locked="0"/>
    </xf>
    <xf numFmtId="0" fontId="43" fillId="0" borderId="24" xfId="0" applyFont="1" applyBorder="1" applyProtection="1">
      <protection locked="0"/>
    </xf>
    <xf numFmtId="3" fontId="33" fillId="29" borderId="23" xfId="0" applyNumberFormat="1" applyFont="1" applyFill="1" applyBorder="1" applyAlignment="1" applyProtection="1">
      <alignment horizontal="center"/>
      <protection hidden="1"/>
    </xf>
    <xf numFmtId="3" fontId="33" fillId="0" borderId="110" xfId="0" applyNumberFormat="1" applyFont="1" applyBorder="1" applyAlignment="1" applyProtection="1">
      <alignment horizontal="center"/>
      <protection hidden="1"/>
    </xf>
    <xf numFmtId="0" fontId="43" fillId="12" borderId="24" xfId="0" applyFont="1" applyFill="1" applyBorder="1"/>
    <xf numFmtId="0" fontId="49" fillId="12" borderId="24" xfId="0" applyFont="1" applyFill="1" applyBorder="1"/>
    <xf numFmtId="0" fontId="43" fillId="31" borderId="24" xfId="0" applyFont="1" applyFill="1" applyBorder="1"/>
    <xf numFmtId="0" fontId="43" fillId="32" borderId="24" xfId="0" applyFont="1" applyFill="1" applyBorder="1"/>
    <xf numFmtId="0" fontId="49" fillId="32" borderId="24" xfId="0" applyFont="1" applyFill="1" applyBorder="1"/>
    <xf numFmtId="0" fontId="49" fillId="31" borderId="24" xfId="0" applyFont="1" applyFill="1" applyBorder="1"/>
    <xf numFmtId="0" fontId="43" fillId="0" borderId="112" xfId="0" applyFont="1" applyBorder="1" applyProtection="1">
      <protection locked="0"/>
    </xf>
    <xf numFmtId="0" fontId="51" fillId="19" borderId="113" xfId="0" applyFont="1" applyFill="1" applyBorder="1"/>
    <xf numFmtId="0" fontId="43" fillId="0" borderId="31" xfId="0" applyFont="1" applyBorder="1" applyProtection="1">
      <protection locked="0"/>
    </xf>
    <xf numFmtId="0" fontId="43" fillId="0" borderId="30" xfId="0" applyFont="1" applyBorder="1" applyProtection="1">
      <protection locked="0"/>
    </xf>
    <xf numFmtId="0" fontId="52" fillId="0" borderId="24" xfId="0" applyFont="1" applyBorder="1"/>
    <xf numFmtId="0" fontId="43" fillId="0" borderId="0" xfId="0" applyFont="1"/>
    <xf numFmtId="0" fontId="53" fillId="0" borderId="23" xfId="0" applyFont="1" applyBorder="1"/>
    <xf numFmtId="0" fontId="43" fillId="0" borderId="23" xfId="0" applyFont="1" applyBorder="1"/>
    <xf numFmtId="3" fontId="49" fillId="25" borderId="28" xfId="0" applyNumberFormat="1" applyFont="1" applyFill="1" applyBorder="1" applyAlignment="1">
      <alignment horizontal="center"/>
    </xf>
    <xf numFmtId="3" fontId="49" fillId="26" borderId="110" xfId="0" applyNumberFormat="1" applyFont="1" applyFill="1" applyBorder="1" applyAlignment="1">
      <alignment horizontal="center"/>
    </xf>
    <xf numFmtId="3" fontId="49" fillId="0" borderId="110" xfId="0" applyNumberFormat="1" applyFont="1" applyBorder="1" applyAlignment="1">
      <alignment horizontal="center"/>
    </xf>
    <xf numFmtId="3" fontId="21" fillId="19" borderId="114" xfId="0" applyNumberFormat="1" applyFont="1" applyFill="1" applyBorder="1" applyAlignment="1">
      <alignment horizontal="center"/>
    </xf>
    <xf numFmtId="3" fontId="21" fillId="25" borderId="94" xfId="0" applyNumberFormat="1" applyFont="1" applyFill="1" applyBorder="1" applyAlignment="1">
      <alignment horizontal="center"/>
    </xf>
    <xf numFmtId="3" fontId="21" fillId="25" borderId="115" xfId="0" applyNumberFormat="1" applyFont="1" applyFill="1" applyBorder="1" applyAlignment="1">
      <alignment horizontal="center"/>
    </xf>
    <xf numFmtId="3" fontId="21" fillId="25" borderId="114" xfId="0" applyNumberFormat="1" applyFont="1" applyFill="1" applyBorder="1" applyAlignment="1">
      <alignment horizontal="center"/>
    </xf>
    <xf numFmtId="3" fontId="21" fillId="25" borderId="101" xfId="0" applyNumberFormat="1" applyFont="1" applyFill="1" applyBorder="1" applyAlignment="1">
      <alignment horizontal="center"/>
    </xf>
    <xf numFmtId="3" fontId="21" fillId="25" borderId="12" xfId="0" applyNumberFormat="1" applyFont="1" applyFill="1" applyBorder="1" applyAlignment="1">
      <alignment horizontal="center"/>
    </xf>
    <xf numFmtId="3" fontId="21" fillId="25" borderId="13" xfId="0" applyNumberFormat="1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top"/>
    </xf>
    <xf numFmtId="0" fontId="9" fillId="2" borderId="0" xfId="0" applyFont="1" applyFill="1" applyAlignment="1">
      <alignment horizontal="left" vertical="top"/>
    </xf>
    <xf numFmtId="0" fontId="12" fillId="3" borderId="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/>
    </xf>
    <xf numFmtId="3" fontId="11" fillId="2" borderId="4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 vertical="top"/>
    </xf>
    <xf numFmtId="0" fontId="17" fillId="2" borderId="11" xfId="0" applyFont="1" applyFill="1" applyBorder="1" applyAlignment="1">
      <alignment horizontal="left" vertical="center" wrapText="1"/>
    </xf>
    <xf numFmtId="0" fontId="17" fillId="2" borderId="2" xfId="0" applyFont="1" applyFill="1" applyBorder="1" applyAlignment="1">
      <alignment horizontal="left" vertical="center" wrapText="1"/>
    </xf>
    <xf numFmtId="0" fontId="17" fillId="2" borderId="3" xfId="0" applyFont="1" applyFill="1" applyBorder="1" applyAlignment="1">
      <alignment horizontal="left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left" vertical="center"/>
    </xf>
    <xf numFmtId="0" fontId="19" fillId="0" borderId="16" xfId="0" applyFont="1" applyBorder="1" applyAlignment="1">
      <alignment horizontal="left" vertical="center"/>
    </xf>
    <xf numFmtId="0" fontId="19" fillId="0" borderId="17" xfId="0" applyFont="1" applyBorder="1" applyAlignment="1">
      <alignment horizontal="left" vertical="center"/>
    </xf>
    <xf numFmtId="0" fontId="16" fillId="0" borderId="15" xfId="0" applyFont="1" applyBorder="1" applyAlignment="1">
      <alignment horizontal="left" vertical="center"/>
    </xf>
    <xf numFmtId="0" fontId="16" fillId="0" borderId="16" xfId="0" applyFont="1" applyBorder="1" applyAlignment="1">
      <alignment horizontal="left" vertical="center"/>
    </xf>
    <xf numFmtId="0" fontId="16" fillId="0" borderId="17" xfId="0" applyFont="1" applyBorder="1" applyAlignment="1">
      <alignment horizontal="left" vertical="center"/>
    </xf>
    <xf numFmtId="165" fontId="16" fillId="6" borderId="27" xfId="1" applyNumberFormat="1" applyFont="1" applyFill="1" applyBorder="1" applyAlignment="1" applyProtection="1">
      <alignment horizontal="center" vertical="center" wrapText="1"/>
    </xf>
    <xf numFmtId="165" fontId="16" fillId="6" borderId="28" xfId="1" applyNumberFormat="1" applyFont="1" applyFill="1" applyBorder="1" applyAlignment="1" applyProtection="1">
      <alignment horizontal="center" vertical="center" wrapText="1"/>
    </xf>
    <xf numFmtId="165" fontId="16" fillId="6" borderId="20" xfId="1" applyNumberFormat="1" applyFont="1" applyFill="1" applyBorder="1" applyAlignment="1" applyProtection="1">
      <alignment horizontal="center" vertical="center" wrapText="1"/>
    </xf>
    <xf numFmtId="165" fontId="16" fillId="6" borderId="29" xfId="1" applyNumberFormat="1" applyFont="1" applyFill="1" applyBorder="1" applyAlignment="1" applyProtection="1">
      <alignment horizontal="center" vertical="center" wrapText="1"/>
    </xf>
    <xf numFmtId="165" fontId="16" fillId="6" borderId="24" xfId="1" applyNumberFormat="1" applyFont="1" applyFill="1" applyBorder="1" applyAlignment="1" applyProtection="1">
      <alignment horizontal="center" vertical="center" wrapText="1"/>
    </xf>
    <xf numFmtId="0" fontId="19" fillId="0" borderId="32" xfId="0" applyFont="1" applyBorder="1" applyAlignment="1">
      <alignment horizontal="left" vertical="center"/>
    </xf>
    <xf numFmtId="0" fontId="15" fillId="10" borderId="24" xfId="0" applyFont="1" applyFill="1" applyBorder="1" applyAlignment="1">
      <alignment horizontal="center" vertical="center"/>
    </xf>
    <xf numFmtId="0" fontId="17" fillId="10" borderId="24" xfId="0" applyFont="1" applyFill="1" applyBorder="1" applyAlignment="1">
      <alignment horizontal="center" vertical="center" wrapText="1"/>
    </xf>
    <xf numFmtId="0" fontId="25" fillId="10" borderId="24" xfId="0" applyFont="1" applyFill="1" applyBorder="1" applyAlignment="1">
      <alignment horizontal="center" vertical="center"/>
    </xf>
    <xf numFmtId="0" fontId="17" fillId="12" borderId="24" xfId="0" applyFont="1" applyFill="1" applyBorder="1" applyAlignment="1">
      <alignment horizontal="center" vertical="top"/>
    </xf>
    <xf numFmtId="0" fontId="2" fillId="0" borderId="0" xfId="0" applyFont="1"/>
    <xf numFmtId="0" fontId="0" fillId="0" borderId="38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7" fillId="5" borderId="48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7" fillId="5" borderId="42" xfId="0" applyFont="1" applyFill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center" vertical="center" wrapText="1"/>
    </xf>
    <xf numFmtId="3" fontId="17" fillId="5" borderId="48" xfId="0" applyNumberFormat="1" applyFont="1" applyFill="1" applyBorder="1" applyAlignment="1">
      <alignment horizontal="center" vertical="center"/>
    </xf>
    <xf numFmtId="3" fontId="17" fillId="5" borderId="2" xfId="0" applyNumberFormat="1" applyFont="1" applyFill="1" applyBorder="1" applyAlignment="1">
      <alignment horizontal="center" vertical="center"/>
    </xf>
    <xf numFmtId="3" fontId="17" fillId="5" borderId="48" xfId="0" applyNumberFormat="1" applyFont="1" applyFill="1" applyBorder="1" applyAlignment="1">
      <alignment horizontal="center" vertical="center" wrapText="1"/>
    </xf>
    <xf numFmtId="3" fontId="17" fillId="5" borderId="2" xfId="0" applyNumberFormat="1" applyFont="1" applyFill="1" applyBorder="1" applyAlignment="1">
      <alignment horizontal="center" vertical="center" wrapText="1"/>
    </xf>
    <xf numFmtId="3" fontId="17" fillId="5" borderId="18" xfId="0" applyNumberFormat="1" applyFont="1" applyFill="1" applyBorder="1" applyAlignment="1">
      <alignment horizontal="center" vertical="center" wrapText="1"/>
    </xf>
    <xf numFmtId="3" fontId="17" fillId="5" borderId="40" xfId="0" applyNumberFormat="1" applyFont="1" applyFill="1" applyBorder="1" applyAlignment="1">
      <alignment horizontal="center" vertical="center" wrapText="1"/>
    </xf>
    <xf numFmtId="3" fontId="17" fillId="5" borderId="49" xfId="0" applyNumberFormat="1" applyFont="1" applyFill="1" applyBorder="1" applyAlignment="1">
      <alignment horizontal="center" vertical="center" wrapText="1"/>
    </xf>
    <xf numFmtId="3" fontId="17" fillId="5" borderId="41" xfId="0" applyNumberFormat="1" applyFont="1" applyFill="1" applyBorder="1" applyAlignment="1">
      <alignment horizontal="center" vertical="center"/>
    </xf>
    <xf numFmtId="3" fontId="17" fillId="5" borderId="33" xfId="0" applyNumberFormat="1" applyFont="1" applyFill="1" applyBorder="1" applyAlignment="1">
      <alignment horizontal="center" vertical="center"/>
    </xf>
    <xf numFmtId="3" fontId="17" fillId="5" borderId="50" xfId="0" applyNumberFormat="1" applyFont="1" applyFill="1" applyBorder="1" applyAlignment="1">
      <alignment horizontal="center" vertical="center" wrapText="1"/>
    </xf>
    <xf numFmtId="3" fontId="17" fillId="5" borderId="28" xfId="0" applyNumberFormat="1" applyFont="1" applyFill="1" applyBorder="1" applyAlignment="1">
      <alignment horizontal="center" vertical="center" wrapText="1"/>
    </xf>
    <xf numFmtId="3" fontId="17" fillId="5" borderId="41" xfId="0" applyNumberFormat="1" applyFont="1" applyFill="1" applyBorder="1" applyAlignment="1">
      <alignment horizontal="center" vertical="center" wrapText="1"/>
    </xf>
    <xf numFmtId="3" fontId="17" fillId="5" borderId="33" xfId="0" applyNumberFormat="1" applyFont="1" applyFill="1" applyBorder="1" applyAlignment="1">
      <alignment horizontal="center" vertical="center" wrapText="1"/>
    </xf>
    <xf numFmtId="0" fontId="20" fillId="0" borderId="15" xfId="0" applyFont="1" applyBorder="1" applyAlignment="1">
      <alignment horizontal="left" vertical="center"/>
    </xf>
    <xf numFmtId="0" fontId="20" fillId="0" borderId="52" xfId="0" applyFont="1" applyBorder="1" applyAlignment="1">
      <alignment horizontal="left" vertical="center"/>
    </xf>
    <xf numFmtId="0" fontId="16" fillId="0" borderId="52" xfId="0" applyFont="1" applyBorder="1" applyAlignment="1">
      <alignment horizontal="left" vertical="center"/>
    </xf>
    <xf numFmtId="0" fontId="16" fillId="0" borderId="52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32" xfId="0" applyFont="1" applyBorder="1" applyAlignment="1">
      <alignment horizontal="left" vertical="center"/>
    </xf>
    <xf numFmtId="5" fontId="32" fillId="0" borderId="9" xfId="0" applyNumberFormat="1" applyFont="1" applyBorder="1" applyAlignment="1">
      <alignment horizontal="center" vertical="center"/>
    </xf>
    <xf numFmtId="5" fontId="32" fillId="0" borderId="10" xfId="0" applyNumberFormat="1" applyFont="1" applyBorder="1" applyAlignment="1">
      <alignment horizontal="center" vertical="center"/>
    </xf>
    <xf numFmtId="5" fontId="32" fillId="0" borderId="4" xfId="0" applyNumberFormat="1" applyFont="1" applyBorder="1" applyAlignment="1">
      <alignment horizontal="center" vertical="center"/>
    </xf>
    <xf numFmtId="166" fontId="32" fillId="0" borderId="62" xfId="1" applyNumberFormat="1" applyFont="1" applyBorder="1" applyAlignment="1" applyProtection="1">
      <alignment horizontal="center" vertical="center"/>
    </xf>
    <xf numFmtId="166" fontId="32" fillId="0" borderId="13" xfId="1" applyNumberFormat="1" applyFont="1" applyBorder="1" applyAlignment="1" applyProtection="1">
      <alignment horizontal="center" vertical="center"/>
    </xf>
    <xf numFmtId="166" fontId="32" fillId="0" borderId="14" xfId="1" applyNumberFormat="1" applyFont="1" applyBorder="1" applyAlignment="1" applyProtection="1">
      <alignment horizontal="center" vertical="center"/>
    </xf>
    <xf numFmtId="166" fontId="32" fillId="0" borderId="58" xfId="1" applyNumberFormat="1" applyFont="1" applyBorder="1" applyAlignment="1" applyProtection="1">
      <alignment horizontal="center" vertical="center"/>
    </xf>
    <xf numFmtId="166" fontId="32" fillId="0" borderId="57" xfId="1" applyNumberFormat="1" applyFont="1" applyBorder="1" applyAlignment="1" applyProtection="1">
      <alignment horizontal="center" vertical="center"/>
    </xf>
    <xf numFmtId="166" fontId="32" fillId="0" borderId="61" xfId="1" applyNumberFormat="1" applyFont="1" applyBorder="1" applyAlignment="1" applyProtection="1">
      <alignment horizontal="center" vertical="center"/>
    </xf>
    <xf numFmtId="0" fontId="19" fillId="0" borderId="39" xfId="0" applyFont="1" applyBorder="1" applyAlignment="1">
      <alignment horizontal="left" vertical="center"/>
    </xf>
    <xf numFmtId="0" fontId="19" fillId="0" borderId="40" xfId="0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7" fillId="0" borderId="56" xfId="0" applyFont="1" applyBorder="1" applyAlignment="1">
      <alignment horizontal="left"/>
    </xf>
    <xf numFmtId="0" fontId="27" fillId="0" borderId="24" xfId="0" applyFont="1" applyBorder="1" applyAlignment="1">
      <alignment horizontal="left"/>
    </xf>
    <xf numFmtId="0" fontId="27" fillId="0" borderId="25" xfId="0" applyFont="1" applyBorder="1" applyAlignment="1">
      <alignment horizontal="left"/>
    </xf>
    <xf numFmtId="0" fontId="27" fillId="0" borderId="60" xfId="0" applyFont="1" applyBorder="1" applyAlignment="1">
      <alignment horizontal="left"/>
    </xf>
    <xf numFmtId="0" fontId="27" fillId="0" borderId="57" xfId="0" applyFont="1" applyBorder="1" applyAlignment="1">
      <alignment horizontal="left"/>
    </xf>
    <xf numFmtId="0" fontId="27" fillId="0" borderId="59" xfId="0" applyFont="1" applyBorder="1" applyAlignment="1">
      <alignment horizontal="left"/>
    </xf>
    <xf numFmtId="164" fontId="35" fillId="2" borderId="0" xfId="0" applyNumberFormat="1" applyFont="1" applyFill="1" applyAlignment="1">
      <alignment horizontal="center" vertical="center"/>
    </xf>
    <xf numFmtId="0" fontId="36" fillId="2" borderId="0" xfId="0" applyFont="1" applyFill="1" applyAlignment="1">
      <alignment horizontal="center"/>
    </xf>
    <xf numFmtId="0" fontId="37" fillId="2" borderId="0" xfId="0" applyFont="1" applyFill="1" applyAlignment="1">
      <alignment horizontal="center" vertical="top"/>
    </xf>
    <xf numFmtId="0" fontId="10" fillId="2" borderId="0" xfId="0" applyFont="1" applyFill="1" applyAlignment="1">
      <alignment horizontal="left" vertical="top"/>
    </xf>
    <xf numFmtId="0" fontId="12" fillId="3" borderId="24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28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2" fillId="3" borderId="21" xfId="0" applyFont="1" applyFill="1" applyBorder="1" applyAlignment="1">
      <alignment horizontal="center" vertical="center" wrapText="1"/>
    </xf>
    <xf numFmtId="0" fontId="12" fillId="3" borderId="29" xfId="0" applyFont="1" applyFill="1" applyBorder="1" applyAlignment="1">
      <alignment horizontal="center" vertical="center" wrapText="1"/>
    </xf>
    <xf numFmtId="3" fontId="11" fillId="2" borderId="64" xfId="0" applyNumberFormat="1" applyFont="1" applyFill="1" applyBorder="1" applyAlignment="1">
      <alignment horizontal="center"/>
    </xf>
    <xf numFmtId="3" fontId="11" fillId="2" borderId="5" xfId="0" applyNumberFormat="1" applyFont="1" applyFill="1" applyBorder="1" applyAlignment="1">
      <alignment horizontal="center"/>
    </xf>
    <xf numFmtId="0" fontId="16" fillId="2" borderId="0" xfId="0" applyFont="1" applyFill="1" applyAlignment="1">
      <alignment horizontal="center" vertical="top"/>
    </xf>
    <xf numFmtId="0" fontId="17" fillId="2" borderId="1" xfId="0" applyFont="1" applyFill="1" applyBorder="1" applyAlignment="1">
      <alignment horizontal="left" vertical="center" wrapText="1"/>
    </xf>
    <xf numFmtId="0" fontId="17" fillId="2" borderId="10" xfId="0" applyFont="1" applyFill="1" applyBorder="1" applyAlignment="1">
      <alignment horizontal="left" vertical="center" wrapText="1"/>
    </xf>
    <xf numFmtId="0" fontId="17" fillId="2" borderId="4" xfId="0" applyFont="1" applyFill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/>
    </xf>
    <xf numFmtId="0" fontId="19" fillId="0" borderId="21" xfId="0" applyFont="1" applyBorder="1" applyAlignment="1">
      <alignment horizontal="left" vertical="center"/>
    </xf>
    <xf numFmtId="0" fontId="19" fillId="0" borderId="65" xfId="0" applyFont="1" applyBorder="1" applyAlignment="1">
      <alignment horizontal="left" vertical="center"/>
    </xf>
    <xf numFmtId="0" fontId="15" fillId="14" borderId="24" xfId="0" applyFont="1" applyFill="1" applyBorder="1" applyAlignment="1">
      <alignment horizontal="center" vertical="center"/>
    </xf>
    <xf numFmtId="0" fontId="17" fillId="14" borderId="24" xfId="0" applyFont="1" applyFill="1" applyBorder="1" applyAlignment="1">
      <alignment horizontal="center" vertical="center" wrapText="1"/>
    </xf>
    <xf numFmtId="0" fontId="17" fillId="12" borderId="25" xfId="0" applyFont="1" applyFill="1" applyBorder="1" applyAlignment="1">
      <alignment horizontal="center" vertical="top"/>
    </xf>
    <xf numFmtId="0" fontId="17" fillId="12" borderId="23" xfId="0" applyFont="1" applyFill="1" applyBorder="1" applyAlignment="1">
      <alignment horizontal="center" vertical="top"/>
    </xf>
    <xf numFmtId="17" fontId="21" fillId="15" borderId="38" xfId="0" applyNumberFormat="1" applyFont="1" applyFill="1" applyBorder="1" applyAlignment="1">
      <alignment horizontal="left" vertical="center" wrapText="1"/>
    </xf>
    <xf numFmtId="17" fontId="21" fillId="15" borderId="40" xfId="0" applyNumberFormat="1" applyFont="1" applyFill="1" applyBorder="1" applyAlignment="1">
      <alignment horizontal="left" vertical="center" wrapText="1"/>
    </xf>
    <xf numFmtId="17" fontId="21" fillId="15" borderId="53" xfId="0" applyNumberFormat="1" applyFont="1" applyFill="1" applyBorder="1" applyAlignment="1">
      <alignment horizontal="left" vertical="center" wrapText="1"/>
    </xf>
    <xf numFmtId="0" fontId="21" fillId="4" borderId="56" xfId="0" applyFont="1" applyFill="1" applyBorder="1" applyAlignment="1">
      <alignment horizontal="left" vertical="center" wrapText="1"/>
    </xf>
    <xf numFmtId="0" fontId="21" fillId="4" borderId="24" xfId="0" applyFont="1" applyFill="1" applyBorder="1" applyAlignment="1">
      <alignment horizontal="left" vertical="center" wrapText="1"/>
    </xf>
    <xf numFmtId="0" fontId="33" fillId="16" borderId="67" xfId="0" applyFont="1" applyFill="1" applyBorder="1" applyAlignment="1">
      <alignment horizontal="center" vertical="center" wrapText="1"/>
    </xf>
    <xf numFmtId="0" fontId="33" fillId="16" borderId="68" xfId="0" applyFont="1" applyFill="1" applyBorder="1" applyAlignment="1">
      <alignment horizontal="center" vertical="center" wrapText="1"/>
    </xf>
    <xf numFmtId="3" fontId="21" fillId="17" borderId="73" xfId="0" applyNumberFormat="1" applyFont="1" applyFill="1" applyBorder="1" applyAlignment="1">
      <alignment horizontal="left" vertical="top" wrapText="1"/>
    </xf>
    <xf numFmtId="0" fontId="21" fillId="17" borderId="74" xfId="0" applyFont="1" applyFill="1" applyBorder="1" applyAlignment="1">
      <alignment horizontal="left" vertical="top" wrapText="1"/>
    </xf>
    <xf numFmtId="0" fontId="39" fillId="4" borderId="24" xfId="0" applyFont="1" applyFill="1" applyBorder="1" applyAlignment="1">
      <alignment horizontal="center" vertical="center"/>
    </xf>
    <xf numFmtId="0" fontId="39" fillId="4" borderId="24" xfId="0" applyFont="1" applyFill="1" applyBorder="1" applyAlignment="1">
      <alignment horizontal="left" vertical="top" wrapText="1"/>
    </xf>
    <xf numFmtId="4" fontId="39" fillId="4" borderId="24" xfId="0" applyNumberFormat="1" applyFont="1" applyFill="1" applyBorder="1" applyAlignment="1">
      <alignment horizontal="center" vertical="top"/>
    </xf>
    <xf numFmtId="0" fontId="17" fillId="4" borderId="0" xfId="0" applyFont="1" applyFill="1" applyAlignment="1">
      <alignment horizontal="left" vertical="top" wrapText="1"/>
    </xf>
    <xf numFmtId="0" fontId="39" fillId="4" borderId="24" xfId="0" applyFont="1" applyFill="1" applyBorder="1" applyAlignment="1">
      <alignment horizontal="center" vertical="center" wrapText="1"/>
    </xf>
    <xf numFmtId="2" fontId="39" fillId="4" borderId="24" xfId="0" applyNumberFormat="1" applyFont="1" applyFill="1" applyBorder="1" applyAlignment="1">
      <alignment horizontal="center" vertical="top"/>
    </xf>
    <xf numFmtId="2" fontId="39" fillId="4" borderId="24" xfId="0" applyNumberFormat="1" applyFont="1" applyFill="1" applyBorder="1" applyAlignment="1">
      <alignment horizontal="center" vertical="center" wrapText="1"/>
    </xf>
    <xf numFmtId="0" fontId="39" fillId="4" borderId="24" xfId="0" applyFont="1" applyFill="1" applyBorder="1" applyAlignment="1">
      <alignment horizontal="left" vertical="top"/>
    </xf>
    <xf numFmtId="0" fontId="39" fillId="4" borderId="24" xfId="0" applyFont="1" applyFill="1" applyBorder="1" applyAlignment="1">
      <alignment horizontal="left" vertical="center"/>
    </xf>
    <xf numFmtId="0" fontId="21" fillId="4" borderId="78" xfId="0" applyFont="1" applyFill="1" applyBorder="1" applyAlignment="1">
      <alignment horizontal="left" vertical="center" wrapText="1"/>
    </xf>
    <xf numFmtId="0" fontId="21" fillId="4" borderId="30" xfId="0" applyFont="1" applyFill="1" applyBorder="1" applyAlignment="1">
      <alignment horizontal="left" vertical="center" wrapText="1"/>
    </xf>
    <xf numFmtId="0" fontId="33" fillId="16" borderId="24" xfId="0" applyFont="1" applyFill="1" applyBorder="1" applyAlignment="1">
      <alignment horizontal="center" vertical="center" wrapText="1"/>
    </xf>
    <xf numFmtId="3" fontId="21" fillId="17" borderId="24" xfId="0" applyNumberFormat="1" applyFont="1" applyFill="1" applyBorder="1" applyAlignment="1">
      <alignment horizontal="left" vertical="top" wrapText="1"/>
    </xf>
    <xf numFmtId="0" fontId="21" fillId="17" borderId="24" xfId="0" applyFont="1" applyFill="1" applyBorder="1" applyAlignment="1">
      <alignment horizontal="left" vertical="top" wrapText="1"/>
    </xf>
    <xf numFmtId="4" fontId="39" fillId="4" borderId="24" xfId="0" applyNumberFormat="1" applyFont="1" applyFill="1" applyBorder="1" applyAlignment="1">
      <alignment horizontal="right" vertical="top"/>
    </xf>
    <xf numFmtId="0" fontId="45" fillId="19" borderId="86" xfId="0" applyFont="1" applyFill="1" applyBorder="1" applyAlignment="1">
      <alignment horizontal="center"/>
    </xf>
    <xf numFmtId="0" fontId="45" fillId="19" borderId="87" xfId="0" applyFont="1" applyFill="1" applyBorder="1" applyAlignment="1">
      <alignment horizontal="center"/>
    </xf>
    <xf numFmtId="3" fontId="46" fillId="19" borderId="86" xfId="0" applyNumberFormat="1" applyFont="1" applyFill="1" applyBorder="1" applyAlignment="1">
      <alignment horizontal="center"/>
    </xf>
    <xf numFmtId="3" fontId="46" fillId="19" borderId="88" xfId="0" applyNumberFormat="1" applyFont="1" applyFill="1" applyBorder="1" applyAlignment="1">
      <alignment horizontal="center"/>
    </xf>
    <xf numFmtId="3" fontId="46" fillId="19" borderId="87" xfId="0" applyNumberFormat="1" applyFont="1" applyFill="1" applyBorder="1" applyAlignment="1">
      <alignment horizontal="center"/>
    </xf>
    <xf numFmtId="0" fontId="33" fillId="19" borderId="86" xfId="0" applyFont="1" applyFill="1" applyBorder="1" applyAlignment="1">
      <alignment horizontal="left" wrapText="1"/>
    </xf>
    <xf numFmtId="0" fontId="33" fillId="19" borderId="88" xfId="0" applyFont="1" applyFill="1" applyBorder="1" applyAlignment="1">
      <alignment horizontal="left" wrapText="1"/>
    </xf>
    <xf numFmtId="0" fontId="33" fillId="19" borderId="87" xfId="0" applyFont="1" applyFill="1" applyBorder="1" applyAlignment="1">
      <alignment horizontal="left" wrapText="1"/>
    </xf>
    <xf numFmtId="0" fontId="21" fillId="26" borderId="95" xfId="0" applyFont="1" applyFill="1" applyBorder="1" applyAlignment="1">
      <alignment horizontal="center" vertical="center" wrapText="1"/>
    </xf>
    <xf numFmtId="0" fontId="21" fillId="26" borderId="97" xfId="0" applyFont="1" applyFill="1" applyBorder="1" applyAlignment="1">
      <alignment horizontal="center" vertical="center" wrapText="1"/>
    </xf>
    <xf numFmtId="0" fontId="21" fillId="26" borderId="102" xfId="0" applyFont="1" applyFill="1" applyBorder="1" applyAlignment="1">
      <alignment horizontal="center" vertical="center" wrapText="1"/>
    </xf>
    <xf numFmtId="0" fontId="21" fillId="26" borderId="103" xfId="0" applyFont="1" applyFill="1" applyBorder="1" applyAlignment="1">
      <alignment horizontal="center" vertical="center" wrapText="1"/>
    </xf>
    <xf numFmtId="0" fontId="48" fillId="23" borderId="95" xfId="0" applyFont="1" applyFill="1" applyBorder="1" applyAlignment="1">
      <alignment horizontal="center" vertical="center" wrapText="1"/>
    </xf>
    <xf numFmtId="0" fontId="48" fillId="23" borderId="97" xfId="0" applyFont="1" applyFill="1" applyBorder="1" applyAlignment="1">
      <alignment horizontal="center" vertical="center" wrapText="1"/>
    </xf>
    <xf numFmtId="0" fontId="48" fillId="23" borderId="103" xfId="0" applyFont="1" applyFill="1" applyBorder="1" applyAlignment="1">
      <alignment horizontal="center" vertical="center" wrapText="1"/>
    </xf>
    <xf numFmtId="3" fontId="55" fillId="30" borderId="107" xfId="0" applyNumberFormat="1" applyFont="1" applyFill="1" applyBorder="1" applyAlignment="1" applyProtection="1">
      <alignment horizontal="center"/>
      <protection hidden="1"/>
    </xf>
  </cellXfs>
  <cellStyles count="2">
    <cellStyle name="Обычный" xfId="0" builtinId="0"/>
    <cellStyle name="Процентный" xfId="1" builtinId="5"/>
  </cellStyles>
  <dxfs count="187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1;&#1082;&#1086;&#1074;&#1077;&#1085;&#1082;&#1086;%20&#1040;.%20&#1050;.%2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Яковенко А. К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</a:gradFill>
        <a:gradFill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U68"/>
  <sheetViews>
    <sheetView showZeros="0" tabSelected="1" workbookViewId="0">
      <pane xSplit="3" topLeftCell="D1" activePane="topRight" state="frozen"/>
      <selection activeCell="I39" sqref="I39"/>
      <selection pane="topRight" activeCell="I55" sqref="I55"/>
    </sheetView>
  </sheetViews>
  <sheetFormatPr baseColWidth="10" defaultColWidth="9.1640625" defaultRowHeight="15"/>
  <cols>
    <col min="1" max="1" width="22" style="1" customWidth="1"/>
    <col min="2" max="2" width="10.33203125" style="2" customWidth="1"/>
    <col min="3" max="3" width="10.83203125" style="2" customWidth="1"/>
    <col min="4" max="4" width="17.1640625" style="2" customWidth="1"/>
    <col min="5" max="5" width="10.1640625" style="2" customWidth="1"/>
    <col min="6" max="6" width="11.33203125" style="2" customWidth="1"/>
    <col min="7" max="7" width="9.83203125" style="2" customWidth="1"/>
    <col min="8" max="8" width="9.5" style="2" customWidth="1"/>
    <col min="9" max="9" width="11" style="2" customWidth="1"/>
    <col min="10" max="10" width="8.83203125" style="2" customWidth="1"/>
    <col min="11" max="11" width="12.6640625" style="2" customWidth="1"/>
    <col min="12" max="12" width="11.5" style="2" customWidth="1"/>
    <col min="13" max="13" width="12.83203125" style="2" customWidth="1"/>
    <col min="14" max="14" width="11.6640625" style="2" customWidth="1"/>
    <col min="15" max="15" width="12.83203125" style="2" customWidth="1"/>
    <col min="16" max="16" width="10.33203125" style="2" customWidth="1"/>
    <col min="17" max="18" width="11.33203125" style="2" customWidth="1"/>
    <col min="19" max="19" width="11" style="3" customWidth="1"/>
    <col min="20" max="20" width="11.33203125" style="2" customWidth="1"/>
    <col min="21" max="21" width="9.1640625" style="2" bestFit="1" customWidth="1"/>
    <col min="22" max="23" width="10.5" style="2" customWidth="1"/>
    <col min="24" max="255" width="9.1640625" style="2" bestFit="1" customWidth="1"/>
  </cols>
  <sheetData>
    <row r="1" spans="1:23" ht="15.75" customHeight="1">
      <c r="A1" s="4"/>
      <c r="B1" s="497">
        <f ca="1">TODAY()-1</f>
        <v>45969</v>
      </c>
      <c r="C1" s="497"/>
      <c r="D1" s="5"/>
      <c r="E1" s="5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498"/>
      <c r="R1" s="498"/>
      <c r="S1" s="498"/>
      <c r="T1" s="498"/>
      <c r="U1" s="8"/>
      <c r="V1" s="6"/>
      <c r="W1" s="6"/>
    </row>
    <row r="2" spans="1:23" ht="21.75" customHeight="1">
      <c r="A2" s="4"/>
      <c r="B2" s="499" t="s">
        <v>0</v>
      </c>
      <c r="C2" s="499"/>
      <c r="D2" s="5"/>
      <c r="E2" s="5"/>
      <c r="F2" s="6"/>
      <c r="G2" s="6"/>
      <c r="H2" s="6"/>
      <c r="I2" s="6"/>
      <c r="J2" s="500"/>
      <c r="K2" s="500"/>
      <c r="L2" s="500"/>
      <c r="M2" s="500"/>
      <c r="N2" s="500"/>
      <c r="O2" s="500"/>
      <c r="P2" s="500"/>
      <c r="Q2" s="498"/>
      <c r="R2" s="498"/>
      <c r="S2" s="498"/>
      <c r="T2" s="498"/>
      <c r="U2" s="8"/>
      <c r="V2" s="6"/>
      <c r="W2" s="6"/>
    </row>
    <row r="3" spans="1:23" ht="14" customHeight="1">
      <c r="A3" s="4"/>
      <c r="B3" s="9"/>
      <c r="C3" s="10" t="s">
        <v>1</v>
      </c>
      <c r="D3" s="11"/>
      <c r="E3" s="11"/>
      <c r="F3" s="12"/>
      <c r="G3" s="12"/>
      <c r="H3" s="12"/>
      <c r="I3" s="501" t="str">
        <f>График!B3</f>
        <v>ул. Набережная Ленина, 18</v>
      </c>
      <c r="J3" s="502"/>
      <c r="K3" s="502"/>
      <c r="L3" s="502"/>
      <c r="M3" s="503"/>
      <c r="N3" s="7"/>
      <c r="O3" s="7"/>
      <c r="P3" s="13"/>
      <c r="Q3" s="498"/>
      <c r="R3" s="498"/>
      <c r="S3" s="498"/>
      <c r="T3" s="498"/>
      <c r="U3" s="8"/>
      <c r="V3" s="6"/>
      <c r="W3" s="6"/>
    </row>
    <row r="4" spans="1:23" ht="15" customHeight="1">
      <c r="A4" s="4"/>
      <c r="B4" s="5"/>
      <c r="C4" s="507">
        <f>I8-D56</f>
        <v>974460.8</v>
      </c>
      <c r="D4" s="508"/>
      <c r="E4" s="14">
        <f>IF(I8&lt;&gt;0, C4/I8, 0)</f>
        <v>0.40168015822176939</v>
      </c>
      <c r="F4" s="12"/>
      <c r="G4" s="12"/>
      <c r="H4" s="12"/>
      <c r="I4" s="504"/>
      <c r="J4" s="505"/>
      <c r="K4" s="505"/>
      <c r="L4" s="505"/>
      <c r="M4" s="506"/>
      <c r="N4" s="7"/>
      <c r="O4" s="6"/>
      <c r="P4" s="6"/>
      <c r="Q4" s="498"/>
      <c r="R4" s="498"/>
      <c r="S4" s="498"/>
      <c r="T4" s="498"/>
      <c r="U4" s="8"/>
      <c r="V4" s="6"/>
      <c r="W4" s="6"/>
    </row>
    <row r="5" spans="1:23">
      <c r="A5" s="4"/>
      <c r="B5" s="6"/>
      <c r="C5" s="6"/>
      <c r="D5" s="15" t="e">
        <f>C4/(I14-J14)</f>
        <v>#DIV/0!</v>
      </c>
      <c r="E5" s="6"/>
      <c r="F5" s="6"/>
      <c r="G5" s="6"/>
      <c r="H5" s="6"/>
      <c r="I5" s="6"/>
      <c r="J5" s="509"/>
      <c r="K5" s="509"/>
      <c r="L5" s="509"/>
      <c r="M5" s="509"/>
      <c r="N5" s="509"/>
      <c r="O5" s="6"/>
      <c r="P5" s="6"/>
      <c r="Q5" s="6"/>
      <c r="R5" s="6"/>
      <c r="S5" s="12"/>
      <c r="T5" s="6"/>
      <c r="U5" s="8"/>
      <c r="V5" s="6"/>
      <c r="W5" s="6"/>
    </row>
    <row r="6" spans="1:23" ht="15.75" customHeight="1">
      <c r="A6" s="4"/>
      <c r="B6" s="16"/>
      <c r="C6" s="6"/>
      <c r="D6" s="6"/>
      <c r="E6" s="6"/>
      <c r="F6" s="17" t="s">
        <v>2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9"/>
      <c r="R6" s="20"/>
      <c r="S6" s="21"/>
      <c r="T6" s="6"/>
      <c r="U6" s="8"/>
      <c r="V6" s="6"/>
      <c r="W6" s="6"/>
    </row>
    <row r="7" spans="1:23" ht="50.75" customHeight="1">
      <c r="A7" s="4"/>
      <c r="B7" s="16"/>
      <c r="C7" s="16"/>
      <c r="D7" s="16"/>
      <c r="E7" s="6"/>
      <c r="F7" s="510" t="s">
        <v>3</v>
      </c>
      <c r="G7" s="511"/>
      <c r="H7" s="512"/>
      <c r="I7" s="22" t="s">
        <v>4</v>
      </c>
      <c r="J7" s="23" t="s">
        <v>5</v>
      </c>
      <c r="K7" s="24" t="s">
        <v>6</v>
      </c>
      <c r="L7" s="25" t="s">
        <v>7</v>
      </c>
      <c r="M7" s="25" t="s">
        <v>8</v>
      </c>
      <c r="N7" s="26" t="s">
        <v>9</v>
      </c>
      <c r="O7" s="26" t="s">
        <v>10</v>
      </c>
      <c r="P7" s="513" t="s">
        <v>11</v>
      </c>
      <c r="Q7" s="514"/>
      <c r="R7" s="20"/>
      <c r="S7" s="21"/>
      <c r="T7" s="6"/>
      <c r="U7" s="8"/>
      <c r="V7" s="6"/>
      <c r="W7" s="6"/>
    </row>
    <row r="8" spans="1:23" ht="15.75" customHeight="1">
      <c r="A8" s="4"/>
      <c r="B8" s="16"/>
      <c r="C8" s="16"/>
      <c r="D8" s="27"/>
      <c r="E8" s="6"/>
      <c r="F8" s="515" t="s">
        <v>12</v>
      </c>
      <c r="G8" s="516"/>
      <c r="H8" s="517"/>
      <c r="I8" s="28">
        <f>I11*I12*I13</f>
        <v>2425962</v>
      </c>
      <c r="J8" s="29">
        <f>D56</f>
        <v>1451501.2</v>
      </c>
      <c r="K8" s="30">
        <f>IF(AND(I8&lt;&gt;"",I8&lt;&gt;0,J8&lt;&gt;""),J8/I8,"")</f>
        <v>0.59831984177823061</v>
      </c>
      <c r="L8" s="31">
        <f>IF(SUMIF($D$25:$D$55,"&gt;=0",$P$25:$P$55)&lt;&gt;0,I8*D56/SUMIF($D$25:$D$55,"&gt;=0",$P$25:$P$55),0)</f>
        <v>1451501.2000000009</v>
      </c>
      <c r="M8" s="32">
        <f t="shared" ref="M8:M9" si="0">IF(AND(I8&lt;&gt;"", I8&lt;&gt;0, L8&lt;&gt;"", L8&lt;&gt;0), L8/I8, "")</f>
        <v>0.59831984177823105</v>
      </c>
      <c r="N8" s="33">
        <f t="shared" ref="N8:N9" si="1">IF(AND(J8&lt;&gt;0, J8&lt;&gt;"", I8&lt;&gt;0, I8&lt;&gt;""), L8-I8, "")</f>
        <v>-974460.79999999912</v>
      </c>
      <c r="O8" s="34"/>
      <c r="P8" s="35" t="str">
        <f t="shared" ref="P8:P9" si="2">IF(AND(O8&lt;&gt;"", O8&lt;&gt;0, L8&lt;&gt;"", L8&lt;&gt;0), -O8+L8, "")</f>
        <v/>
      </c>
      <c r="Q8" s="36" t="str">
        <f t="shared" ref="Q8:Q9" si="3">IF(AND(P8&lt;&gt;"", P8&lt;&gt;0, O8&lt;&gt;0, O8&lt;&gt;""), P8/O8, "")</f>
        <v/>
      </c>
      <c r="R8" s="20"/>
      <c r="S8" s="37"/>
      <c r="T8" s="6"/>
      <c r="U8" s="8"/>
      <c r="V8" s="6"/>
      <c r="W8" s="6"/>
    </row>
    <row r="9" spans="1:23" ht="15.75" customHeight="1">
      <c r="A9" s="4"/>
      <c r="B9" s="16"/>
      <c r="C9" s="16"/>
      <c r="D9" s="16"/>
      <c r="E9" s="6"/>
      <c r="F9" s="518" t="s">
        <v>13</v>
      </c>
      <c r="G9" s="519"/>
      <c r="H9" s="520"/>
      <c r="I9" s="38">
        <f>I8/I11</f>
        <v>411.18</v>
      </c>
      <c r="J9" s="39">
        <f>E56</f>
        <v>243</v>
      </c>
      <c r="K9" s="40">
        <f>IF(AND(I9&lt;&gt;"", I9&lt;&gt;0, J9&lt;&gt;""), J9/I9, "")</f>
        <v>0.59098205165620898</v>
      </c>
      <c r="L9" s="41">
        <f>IF(SUMIF($E$25:$E$55, "&gt;=0", $Q$25:$Q$55)&lt;&gt;0, I9*E56/SUMIF($E$25:$E$55, "&gt;=0", $Q$25:$Q$55), 0)</f>
        <v>253.53161885877844</v>
      </c>
      <c r="M9" s="42">
        <f t="shared" si="0"/>
        <v>0.61659521099950976</v>
      </c>
      <c r="N9" s="43">
        <f t="shared" si="1"/>
        <v>-157.64838114122156</v>
      </c>
      <c r="O9" s="44" t="e">
        <f>O8/O11</f>
        <v>#DIV/0!</v>
      </c>
      <c r="P9" s="43" t="e">
        <f t="shared" si="2"/>
        <v>#DIV/0!</v>
      </c>
      <c r="Q9" s="45" t="e">
        <f t="shared" si="3"/>
        <v>#DIV/0!</v>
      </c>
      <c r="R9" s="20"/>
      <c r="S9" s="37"/>
      <c r="T9" s="6"/>
      <c r="U9" s="8"/>
      <c r="V9" s="6"/>
      <c r="W9" s="6"/>
    </row>
    <row r="10" spans="1:23" ht="15.75" customHeight="1">
      <c r="A10" s="4"/>
      <c r="B10" s="16"/>
      <c r="C10" s="16"/>
      <c r="D10" s="16"/>
      <c r="E10" s="6"/>
      <c r="F10" s="515" t="s">
        <v>14</v>
      </c>
      <c r="G10" s="516"/>
      <c r="H10" s="517"/>
      <c r="I10" s="38">
        <f>I11*I12</f>
        <v>10502</v>
      </c>
      <c r="J10" s="46">
        <f>H56</f>
        <v>10294.334751773049</v>
      </c>
      <c r="K10" s="47">
        <f t="shared" ref="K10:K19" si="4">IF(AND(I10&lt;&gt;"", I10&lt;&gt;0, J10&lt;&gt;""), J10/I10, "")</f>
        <v>0.98022612376433527</v>
      </c>
      <c r="L10" s="41">
        <f>J10</f>
        <v>10294.334751773049</v>
      </c>
      <c r="M10" s="48">
        <f t="shared" ref="M10:M20" si="5">IF(AND(I10&lt;&gt;"", I10&lt;&gt;0, L10&lt;&gt;"", L10&lt;&gt;0), L10/I10, "")</f>
        <v>0.98022612376433527</v>
      </c>
      <c r="N10" s="49">
        <f t="shared" ref="N10:N20" si="6">IF(AND(J10&lt;&gt;0, J10&lt;&gt;"", I10&lt;&gt;0, I10&lt;&gt;""), L10-I10, "")</f>
        <v>-207.66524822695101</v>
      </c>
      <c r="O10" s="50">
        <f>O11*O12</f>
        <v>0</v>
      </c>
      <c r="P10" s="49" t="str">
        <f t="shared" ref="P10:P20" si="7">IF(AND(O10&lt;&gt;"", O10&lt;&gt;0, L10&lt;&gt;"", L10&lt;&gt;0), -O10+L10, "")</f>
        <v/>
      </c>
      <c r="Q10" s="51" t="str">
        <f t="shared" ref="Q10:Q20" si="8">IF(AND(P10&lt;&gt;"", P10&lt;&gt;0, O10&lt;&gt;0, O10&lt;&gt;""), P10/O10, "")</f>
        <v/>
      </c>
      <c r="R10" s="20"/>
      <c r="S10" s="521" t="str">
        <f>L23</f>
        <v>IS</v>
      </c>
      <c r="T10" s="522"/>
      <c r="U10" s="8"/>
      <c r="V10" s="525" t="str">
        <f>M23</f>
        <v>Agafi</v>
      </c>
      <c r="W10" s="525"/>
    </row>
    <row r="11" spans="1:23" ht="15.75" customHeight="1">
      <c r="A11" s="4"/>
      <c r="B11" s="16"/>
      <c r="C11" s="16"/>
      <c r="D11" s="16"/>
      <c r="E11" s="6"/>
      <c r="F11" s="518" t="s">
        <v>15</v>
      </c>
      <c r="G11" s="519"/>
      <c r="H11" s="520"/>
      <c r="I11" s="52">
        <v>5900</v>
      </c>
      <c r="J11" s="39">
        <f>F56</f>
        <v>5973.2559670781893</v>
      </c>
      <c r="K11" s="40">
        <f t="shared" si="4"/>
        <v>1.0124162656064728</v>
      </c>
      <c r="L11" s="41">
        <f>IF(L9&gt;0, L8/L9, "")</f>
        <v>5725.1289071305637</v>
      </c>
      <c r="M11" s="42">
        <f t="shared" si="5"/>
        <v>0.97036083171704468</v>
      </c>
      <c r="N11" s="43">
        <f t="shared" si="6"/>
        <v>-174.87109286943632</v>
      </c>
      <c r="O11" s="53"/>
      <c r="P11" s="43" t="str">
        <f t="shared" si="7"/>
        <v/>
      </c>
      <c r="Q11" s="45" t="str">
        <f t="shared" si="8"/>
        <v/>
      </c>
      <c r="R11" s="20"/>
      <c r="S11" s="523"/>
      <c r="T11" s="524"/>
      <c r="U11" s="8"/>
      <c r="V11" s="525"/>
      <c r="W11" s="525"/>
    </row>
    <row r="12" spans="1:23" ht="15.75" customHeight="1">
      <c r="A12" s="4"/>
      <c r="B12" s="16"/>
      <c r="C12" s="6"/>
      <c r="D12" s="6"/>
      <c r="E12" s="6"/>
      <c r="F12" s="518" t="s">
        <v>16</v>
      </c>
      <c r="G12" s="519"/>
      <c r="H12" s="520"/>
      <c r="I12" s="54">
        <v>1.78</v>
      </c>
      <c r="J12" s="55">
        <f>J56</f>
        <v>1.7234042553191489</v>
      </c>
      <c r="K12" s="40">
        <f t="shared" si="4"/>
        <v>0.96820463781974653</v>
      </c>
      <c r="L12" s="56">
        <f>J12</f>
        <v>1.7234042553191489</v>
      </c>
      <c r="M12" s="42">
        <f t="shared" si="5"/>
        <v>0.96820463781974653</v>
      </c>
      <c r="N12" s="57">
        <f t="shared" si="6"/>
        <v>-5.6595744680851157E-2</v>
      </c>
      <c r="O12" s="58"/>
      <c r="P12" s="43" t="str">
        <f t="shared" si="7"/>
        <v/>
      </c>
      <c r="Q12" s="45" t="str">
        <f t="shared" si="8"/>
        <v/>
      </c>
      <c r="R12" s="20"/>
      <c r="S12" s="59">
        <v>510000</v>
      </c>
      <c r="T12" s="60">
        <f>L56</f>
        <v>63621</v>
      </c>
      <c r="U12" s="8"/>
      <c r="V12" s="59">
        <v>480000</v>
      </c>
      <c r="W12" s="60">
        <f>M56</f>
        <v>91314</v>
      </c>
    </row>
    <row r="13" spans="1:23" ht="15.75" customHeight="1">
      <c r="A13" s="4"/>
      <c r="B13" s="16"/>
      <c r="C13" s="6"/>
      <c r="D13" s="6"/>
      <c r="E13" s="6"/>
      <c r="F13" s="518" t="s">
        <v>17</v>
      </c>
      <c r="G13" s="519"/>
      <c r="H13" s="520"/>
      <c r="I13" s="38">
        <f>I17*I20</f>
        <v>231</v>
      </c>
      <c r="J13" s="39">
        <f>G56</f>
        <v>141</v>
      </c>
      <c r="K13" s="40">
        <f t="shared" si="4"/>
        <v>0.61038961038961037</v>
      </c>
      <c r="L13" s="41">
        <f>IF(SUMIF($G$25:$G$55, "&gt;=0", $R$25:$R$55)&lt;&gt;0, I13*G56/SUMIF($G$25:$G$55, "&gt;=0", $R$25:$R$55), "")</f>
        <v>141.00000000000006</v>
      </c>
      <c r="M13" s="42">
        <f t="shared" si="5"/>
        <v>0.61038961038961059</v>
      </c>
      <c r="N13" s="57">
        <f t="shared" si="6"/>
        <v>-89.999999999999943</v>
      </c>
      <c r="O13" s="61"/>
      <c r="P13" s="43" t="str">
        <f t="shared" si="7"/>
        <v/>
      </c>
      <c r="Q13" s="45" t="str">
        <f t="shared" si="8"/>
        <v/>
      </c>
      <c r="R13" s="20"/>
      <c r="S13" s="62">
        <f>T12/S12</f>
        <v>0.12474705882352941</v>
      </c>
      <c r="T13" s="62">
        <f>S13/J14*I14</f>
        <v>0.12474705882352941</v>
      </c>
      <c r="U13" s="63"/>
      <c r="V13" s="62">
        <f>W12/V12</f>
        <v>0.1902375</v>
      </c>
      <c r="W13" s="62">
        <f>V13/J14*I14</f>
        <v>0.1902375</v>
      </c>
    </row>
    <row r="14" spans="1:23" ht="15.75" customHeight="1">
      <c r="A14" s="4"/>
      <c r="B14" s="16"/>
      <c r="C14" s="6"/>
      <c r="D14" s="6"/>
      <c r="E14" s="6"/>
      <c r="F14" s="518" t="s">
        <v>18</v>
      </c>
      <c r="G14" s="519"/>
      <c r="H14" s="520"/>
      <c r="I14" s="52">
        <v>31</v>
      </c>
      <c r="J14" s="64">
        <v>31</v>
      </c>
      <c r="K14" s="40">
        <f t="shared" si="4"/>
        <v>1</v>
      </c>
      <c r="L14" s="41">
        <f>I14</f>
        <v>31</v>
      </c>
      <c r="M14" s="42">
        <f t="shared" si="5"/>
        <v>1</v>
      </c>
      <c r="N14" s="43">
        <f t="shared" si="6"/>
        <v>0</v>
      </c>
      <c r="O14" s="61"/>
      <c r="P14" s="43" t="str">
        <f t="shared" si="7"/>
        <v/>
      </c>
      <c r="Q14" s="45" t="str">
        <f t="shared" si="8"/>
        <v/>
      </c>
      <c r="R14" s="20"/>
      <c r="S14" s="65"/>
      <c r="T14" s="6"/>
      <c r="U14" s="8"/>
      <c r="V14" s="6"/>
      <c r="W14" s="6"/>
    </row>
    <row r="15" spans="1:23" ht="15.75" customHeight="1">
      <c r="A15" s="4"/>
      <c r="B15" s="16"/>
      <c r="C15" s="6"/>
      <c r="D15" s="6"/>
      <c r="E15" s="6"/>
      <c r="F15" s="518" t="s">
        <v>19</v>
      </c>
      <c r="G15" s="519"/>
      <c r="H15" s="520"/>
      <c r="I15" s="66">
        <f>I8/I14</f>
        <v>78256.838709677424</v>
      </c>
      <c r="J15" s="67">
        <f>J8/J14</f>
        <v>46822.619354838709</v>
      </c>
      <c r="K15" s="68">
        <f t="shared" si="4"/>
        <v>0.59831984177823061</v>
      </c>
      <c r="L15" s="69">
        <f t="shared" ref="L15:L16" si="9">J15</f>
        <v>46822.619354838709</v>
      </c>
      <c r="M15" s="70">
        <f t="shared" si="5"/>
        <v>0.59831984177823061</v>
      </c>
      <c r="N15" s="43">
        <f t="shared" si="6"/>
        <v>-31434.219354838715</v>
      </c>
      <c r="O15" s="71"/>
      <c r="P15" s="43" t="str">
        <f t="shared" si="7"/>
        <v/>
      </c>
      <c r="Q15" s="45" t="str">
        <f t="shared" si="8"/>
        <v/>
      </c>
      <c r="R15" s="20"/>
      <c r="S15" s="37"/>
      <c r="T15" s="6"/>
      <c r="U15" s="8"/>
      <c r="V15" s="6"/>
      <c r="W15" s="6"/>
    </row>
    <row r="16" spans="1:23" ht="15.75" customHeight="1">
      <c r="A16" s="4"/>
      <c r="B16" s="16"/>
      <c r="C16" s="6"/>
      <c r="D16" s="6"/>
      <c r="E16" s="6"/>
      <c r="F16" s="518" t="s">
        <v>20</v>
      </c>
      <c r="G16" s="519"/>
      <c r="H16" s="520"/>
      <c r="I16" s="66"/>
      <c r="J16" s="67">
        <f>J8-I15*J14</f>
        <v>-974460.8</v>
      </c>
      <c r="K16" s="68" t="str">
        <f t="shared" si="4"/>
        <v/>
      </c>
      <c r="L16" s="72">
        <f t="shared" si="9"/>
        <v>-974460.8</v>
      </c>
      <c r="M16" s="73" t="str">
        <f t="shared" si="5"/>
        <v/>
      </c>
      <c r="N16" s="43" t="str">
        <f t="shared" si="6"/>
        <v/>
      </c>
      <c r="O16" s="71"/>
      <c r="P16" s="43" t="str">
        <f t="shared" si="7"/>
        <v/>
      </c>
      <c r="Q16" s="45" t="str">
        <f t="shared" si="8"/>
        <v/>
      </c>
      <c r="R16" s="20"/>
      <c r="S16" s="525" t="str">
        <f>K23</f>
        <v>UNOde50</v>
      </c>
      <c r="T16" s="525"/>
      <c r="U16" s="8"/>
      <c r="V16" s="6"/>
      <c r="W16" s="6"/>
    </row>
    <row r="17" spans="1:255" ht="15.75" customHeight="1">
      <c r="A17" s="4"/>
      <c r="B17" s="16"/>
      <c r="C17" s="6"/>
      <c r="D17" s="74"/>
      <c r="E17" s="6"/>
      <c r="F17" s="518" t="s">
        <v>21</v>
      </c>
      <c r="G17" s="519"/>
      <c r="H17" s="520"/>
      <c r="I17" s="75">
        <v>2100</v>
      </c>
      <c r="J17" s="67">
        <f>I56</f>
        <v>1794.35</v>
      </c>
      <c r="K17" s="68">
        <f t="shared" si="4"/>
        <v>0.85445238095238096</v>
      </c>
      <c r="L17" s="72">
        <f>J17/J14*I14</f>
        <v>1794.35</v>
      </c>
      <c r="M17" s="73">
        <f t="shared" si="5"/>
        <v>0.85445238095238096</v>
      </c>
      <c r="N17" s="43">
        <f t="shared" si="6"/>
        <v>-305.65000000000009</v>
      </c>
      <c r="O17" s="71"/>
      <c r="P17" s="43" t="str">
        <f t="shared" si="7"/>
        <v/>
      </c>
      <c r="Q17" s="45" t="str">
        <f t="shared" si="8"/>
        <v/>
      </c>
      <c r="R17" s="20"/>
      <c r="S17" s="525"/>
      <c r="T17" s="525"/>
      <c r="U17" s="8"/>
      <c r="V17" s="6"/>
      <c r="W17" s="6"/>
    </row>
    <row r="18" spans="1:255" ht="15.75" customHeight="1">
      <c r="A18" s="4"/>
      <c r="B18" s="16"/>
      <c r="C18" s="6"/>
      <c r="D18" s="6"/>
      <c r="E18" s="6"/>
      <c r="F18" s="518"/>
      <c r="G18" s="519"/>
      <c r="H18" s="520"/>
      <c r="I18" s="76"/>
      <c r="J18" s="67"/>
      <c r="K18" s="77" t="str">
        <f t="shared" si="4"/>
        <v/>
      </c>
      <c r="L18" s="78">
        <f t="shared" ref="L18:L19" si="10">J18</f>
        <v>0</v>
      </c>
      <c r="M18" s="73" t="str">
        <f t="shared" si="5"/>
        <v/>
      </c>
      <c r="N18" s="43" t="str">
        <f t="shared" si="6"/>
        <v/>
      </c>
      <c r="O18" s="79">
        <v>0</v>
      </c>
      <c r="P18" s="43" t="str">
        <f t="shared" si="7"/>
        <v/>
      </c>
      <c r="Q18" s="45" t="str">
        <f t="shared" si="8"/>
        <v/>
      </c>
      <c r="R18" s="20"/>
      <c r="S18" s="59">
        <v>1020000</v>
      </c>
      <c r="T18" s="60">
        <f>K56</f>
        <v>228147.20000000001</v>
      </c>
      <c r="U18" s="8"/>
      <c r="V18" s="6"/>
      <c r="W18" s="6"/>
    </row>
    <row r="19" spans="1:255" ht="15.75" customHeight="1">
      <c r="A19" s="4"/>
      <c r="B19" s="16"/>
      <c r="C19" s="6"/>
      <c r="D19" s="6"/>
      <c r="E19" s="6"/>
      <c r="F19" s="518"/>
      <c r="G19" s="519"/>
      <c r="H19" s="520"/>
      <c r="I19" s="76"/>
      <c r="J19" s="67"/>
      <c r="K19" s="77" t="str">
        <f t="shared" si="4"/>
        <v/>
      </c>
      <c r="L19" s="78">
        <f t="shared" si="10"/>
        <v>0</v>
      </c>
      <c r="M19" s="73" t="str">
        <f t="shared" si="5"/>
        <v/>
      </c>
      <c r="N19" s="43" t="str">
        <f t="shared" si="6"/>
        <v/>
      </c>
      <c r="O19" s="71">
        <v>0</v>
      </c>
      <c r="P19" s="43" t="str">
        <f t="shared" si="7"/>
        <v/>
      </c>
      <c r="Q19" s="45" t="str">
        <f t="shared" si="8"/>
        <v/>
      </c>
      <c r="R19" s="20"/>
      <c r="S19" s="62">
        <f>T18/S18</f>
        <v>0.2236737254901961</v>
      </c>
      <c r="T19" s="62">
        <f>S19/J14*I14</f>
        <v>0.2236737254901961</v>
      </c>
      <c r="U19" s="63"/>
      <c r="V19" s="6"/>
      <c r="W19" s="6"/>
    </row>
    <row r="20" spans="1:255" ht="15.75" customHeight="1">
      <c r="A20" s="4"/>
      <c r="B20" s="16"/>
      <c r="C20" s="6"/>
      <c r="D20" s="6"/>
      <c r="E20" s="6"/>
      <c r="F20" s="526" t="s">
        <v>22</v>
      </c>
      <c r="G20" s="526"/>
      <c r="H20" s="526"/>
      <c r="I20" s="80">
        <v>0.11</v>
      </c>
      <c r="J20" s="81">
        <f>N56</f>
        <v>7.8579987181987915E-2</v>
      </c>
      <c r="K20" s="81">
        <f>J20/I20</f>
        <v>0.71436351983625379</v>
      </c>
      <c r="L20" s="82">
        <f>IF(AND(K8&lt;&gt;0, I14&lt;&gt;0, I56&lt;&gt;0), (I56*N56+(I56/K8-I56)*I20)/(I56/K8), 0)</f>
        <v>9.120078290205702E-2</v>
      </c>
      <c r="M20" s="83">
        <f t="shared" si="5"/>
        <v>0.82909802638233654</v>
      </c>
      <c r="N20" s="84">
        <f t="shared" si="6"/>
        <v>-1.879921709794298E-2</v>
      </c>
      <c r="O20" s="85"/>
      <c r="P20" s="86" t="str">
        <f t="shared" si="7"/>
        <v/>
      </c>
      <c r="Q20" s="87" t="str">
        <f t="shared" si="8"/>
        <v/>
      </c>
      <c r="R20" s="20"/>
      <c r="S20" s="21"/>
      <c r="T20" s="6"/>
      <c r="U20" s="8"/>
      <c r="V20" s="6"/>
      <c r="W20" s="6"/>
    </row>
    <row r="21" spans="1:255" ht="15.75" customHeight="1">
      <c r="A21" s="4"/>
      <c r="B21" s="16"/>
      <c r="C21" s="6"/>
      <c r="D21" s="88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20"/>
      <c r="S21" s="21"/>
      <c r="T21" s="6"/>
      <c r="U21" s="8"/>
      <c r="V21" s="6"/>
      <c r="W21" s="6"/>
    </row>
    <row r="22" spans="1:255" ht="21" customHeight="1">
      <c r="A22" s="527" t="s">
        <v>23</v>
      </c>
      <c r="B22" s="527"/>
      <c r="C22" s="527"/>
      <c r="D22" s="527"/>
      <c r="E22" s="527"/>
      <c r="F22" s="527"/>
      <c r="G22" s="527"/>
      <c r="H22" s="527"/>
      <c r="I22" s="527"/>
      <c r="J22" s="527"/>
      <c r="K22" s="527"/>
      <c r="L22" s="527"/>
      <c r="M22" s="527"/>
      <c r="N22" s="527"/>
      <c r="O22" s="528" t="s">
        <v>24</v>
      </c>
      <c r="P22" s="527" t="s">
        <v>25</v>
      </c>
      <c r="Q22" s="527"/>
      <c r="R22" s="527"/>
      <c r="S22" s="527"/>
      <c r="T22" s="527"/>
      <c r="U22" s="527"/>
      <c r="V22" s="527"/>
      <c r="W22" s="527"/>
    </row>
    <row r="23" spans="1:255" ht="36">
      <c r="A23" s="529" t="s">
        <v>26</v>
      </c>
      <c r="B23" s="89" t="s">
        <v>27</v>
      </c>
      <c r="C23" s="89" t="s">
        <v>28</v>
      </c>
      <c r="D23" s="89" t="s">
        <v>29</v>
      </c>
      <c r="E23" s="89" t="s">
        <v>30</v>
      </c>
      <c r="F23" s="89" t="s">
        <v>31</v>
      </c>
      <c r="G23" s="89" t="s">
        <v>32</v>
      </c>
      <c r="H23" s="89" t="s">
        <v>33</v>
      </c>
      <c r="I23" s="89" t="s">
        <v>21</v>
      </c>
      <c r="J23" s="89" t="s">
        <v>34</v>
      </c>
      <c r="K23" s="90" t="s">
        <v>35</v>
      </c>
      <c r="L23" s="90" t="s">
        <v>36</v>
      </c>
      <c r="M23" s="90" t="s">
        <v>37</v>
      </c>
      <c r="N23" s="89" t="s">
        <v>38</v>
      </c>
      <c r="O23" s="528"/>
      <c r="P23" s="89" t="s">
        <v>39</v>
      </c>
      <c r="Q23" s="89" t="s">
        <v>40</v>
      </c>
      <c r="R23" s="89" t="s">
        <v>41</v>
      </c>
      <c r="S23" s="89" t="s">
        <v>42</v>
      </c>
      <c r="T23" s="89" t="s">
        <v>43</v>
      </c>
      <c r="U23" s="89" t="s">
        <v>44</v>
      </c>
      <c r="V23" s="91" t="s">
        <v>45</v>
      </c>
      <c r="W23" s="91" t="s">
        <v>46</v>
      </c>
      <c r="X23" s="92"/>
    </row>
    <row r="24" spans="1:255">
      <c r="A24" s="529"/>
      <c r="B24" s="93">
        <v>1</v>
      </c>
      <c r="C24" s="93">
        <v>2</v>
      </c>
      <c r="D24" s="93">
        <v>3</v>
      </c>
      <c r="E24" s="93">
        <v>4</v>
      </c>
      <c r="F24" s="93">
        <v>5</v>
      </c>
      <c r="G24" s="93">
        <v>6</v>
      </c>
      <c r="H24" s="93">
        <v>7</v>
      </c>
      <c r="I24" s="93">
        <v>8</v>
      </c>
      <c r="J24" s="93">
        <v>9</v>
      </c>
      <c r="K24" s="93">
        <v>10</v>
      </c>
      <c r="L24" s="93">
        <v>11</v>
      </c>
      <c r="M24" s="93">
        <v>12</v>
      </c>
      <c r="N24" s="93">
        <v>13</v>
      </c>
      <c r="O24" s="528"/>
      <c r="P24" s="94">
        <v>1</v>
      </c>
      <c r="Q24" s="94">
        <v>2</v>
      </c>
      <c r="R24" s="94">
        <v>3</v>
      </c>
      <c r="S24" s="94">
        <v>4</v>
      </c>
      <c r="T24" s="94">
        <v>5</v>
      </c>
      <c r="U24" s="94">
        <v>6</v>
      </c>
      <c r="V24" s="94">
        <v>10</v>
      </c>
      <c r="W24" s="94">
        <v>11</v>
      </c>
    </row>
    <row r="25" spans="1:255">
      <c r="A25" s="95" t="s">
        <v>47</v>
      </c>
      <c r="B25" s="96">
        <v>45931</v>
      </c>
      <c r="C25" s="97" t="s">
        <v>48</v>
      </c>
      <c r="D25" s="98">
        <f>35078+8792+30606</f>
        <v>74476</v>
      </c>
      <c r="E25" s="99">
        <v>10</v>
      </c>
      <c r="F25" s="99">
        <f t="shared" ref="F25:F55" si="11">IF(AND(E25&lt;&gt;"",E25&lt;&gt;0),D25/E25,"")</f>
        <v>7447.6</v>
      </c>
      <c r="G25" s="99">
        <v>6</v>
      </c>
      <c r="H25" s="99">
        <f t="shared" ref="H25:H55" si="12">IF(AND(G25&lt;&gt;"",G25&lt;&gt;0),D25/G25,"")</f>
        <v>12412.666666666666</v>
      </c>
      <c r="I25" s="99">
        <v>52</v>
      </c>
      <c r="J25" s="98">
        <f t="shared" ref="J25:J55" si="13">IF(AND(G25&lt;&gt;"",G25&lt;&gt;0),E25/G25,"")</f>
        <v>1.6666666666666667</v>
      </c>
      <c r="K25" s="99"/>
      <c r="L25" s="99">
        <v>30606</v>
      </c>
      <c r="M25" s="99">
        <v>8792</v>
      </c>
      <c r="N25" s="100">
        <f t="shared" ref="N25:N55" si="14">IF(AND(I25&lt;&gt;"",I25&lt;&gt;0),G25/I25,"")</f>
        <v>0.11538461538461539</v>
      </c>
      <c r="O25" s="101">
        <f t="shared" ref="O25:O56" si="15">D25/P25</f>
        <v>0.83381526557079388</v>
      </c>
      <c r="P25" s="102">
        <f t="shared" ref="P25:P55" si="16">$I$8*V25*W25/SUMPRODUCT($W$25:$W$55,$V$25:$V$55)</f>
        <v>89319.544838288552</v>
      </c>
      <c r="Q25" s="103">
        <f t="shared" ref="Q25:Q55" si="17">$I$9*V25*W25/SUMPRODUCT($W$25:$W$55,$V$25:$V$55)</f>
        <v>15.138905904794669</v>
      </c>
      <c r="R25" s="103">
        <f t="shared" ref="R25:R55" si="18">IF($I$12="","",Q25/$I$12)</f>
        <v>8.5050033173003747</v>
      </c>
      <c r="S25" s="102">
        <f>IF(D25&lt;&gt;"",D25,P25)</f>
        <v>74476</v>
      </c>
      <c r="T25" s="103">
        <f>IF(E25&lt;&gt;"",E25,Q25)</f>
        <v>10</v>
      </c>
      <c r="U25" s="103">
        <f>IF(G25&lt;&gt;"",G25,R25)</f>
        <v>6</v>
      </c>
      <c r="V25" s="104">
        <v>0.9414554019711151</v>
      </c>
      <c r="W25" s="104">
        <v>0.9414554019711151</v>
      </c>
      <c r="X25" s="105"/>
      <c r="Y25" s="106"/>
    </row>
    <row r="26" spans="1:255">
      <c r="A26" s="95" t="s">
        <v>49</v>
      </c>
      <c r="B26" s="96">
        <v>45932</v>
      </c>
      <c r="C26" s="97" t="s">
        <v>50</v>
      </c>
      <c r="D26" s="98">
        <v>90821</v>
      </c>
      <c r="E26" s="99">
        <v>18</v>
      </c>
      <c r="F26" s="99">
        <f t="shared" si="11"/>
        <v>5045.6111111111113</v>
      </c>
      <c r="G26" s="99">
        <v>10</v>
      </c>
      <c r="H26" s="99">
        <f t="shared" si="12"/>
        <v>9082.1</v>
      </c>
      <c r="I26" s="99">
        <v>82</v>
      </c>
      <c r="J26" s="98">
        <f t="shared" si="13"/>
        <v>1.8</v>
      </c>
      <c r="K26" s="99">
        <v>14992</v>
      </c>
      <c r="L26" s="99">
        <v>6203</v>
      </c>
      <c r="M26" s="99"/>
      <c r="N26" s="100">
        <f t="shared" si="14"/>
        <v>0.12195121951219512</v>
      </c>
      <c r="O26" s="101">
        <f t="shared" si="15"/>
        <v>1.2383317795296249</v>
      </c>
      <c r="P26" s="102">
        <f t="shared" si="16"/>
        <v>73341.411002548906</v>
      </c>
      <c r="Q26" s="103">
        <f t="shared" si="17"/>
        <v>12.430747627550662</v>
      </c>
      <c r="R26" s="103">
        <f t="shared" si="18"/>
        <v>6.9835660828936303</v>
      </c>
      <c r="S26" s="102">
        <f t="shared" ref="S26:S55" si="19">IF(W26&lt;&gt;"",IF(D26&lt;&gt;"",D26,($I$8-SUM($S$25:S25))*V26*W26/SUMPRODUCT($W26:$W$55,$V26:$V$55)),"")</f>
        <v>90821</v>
      </c>
      <c r="T26" s="103">
        <f t="shared" ref="T26:T55" si="20">IF(W26&lt;&gt;"",IF(E26&lt;&gt;"",E26,($I$9-SUM($T$25:T25))*V26*W26/SUMPRODUCT($W26:$W$55,$V26:$V$55)),"")</f>
        <v>18</v>
      </c>
      <c r="U26" s="103">
        <f t="shared" ref="U26:U55" si="21">IF(W26&lt;&gt;"",IF(E26&lt;&gt;"",E26,($I$9-SUM($T$25:T25))*V26*W26/SUMPRODUCT($W26:$W$55,$V26:$V$55)),"")</f>
        <v>18</v>
      </c>
      <c r="V26" s="104">
        <v>0.85310233682514103</v>
      </c>
      <c r="W26" s="104">
        <v>0.85310233682514103</v>
      </c>
      <c r="X26" s="107"/>
      <c r="Y26" s="106"/>
    </row>
    <row r="27" spans="1:255" s="108" customFormat="1">
      <c r="A27" s="109" t="s">
        <v>49</v>
      </c>
      <c r="B27" s="110">
        <v>45933</v>
      </c>
      <c r="C27" s="111" t="s">
        <v>51</v>
      </c>
      <c r="D27" s="112">
        <f>31311+14377+8190+6990</f>
        <v>60868</v>
      </c>
      <c r="E27" s="113">
        <v>11</v>
      </c>
      <c r="F27" s="114">
        <f t="shared" si="11"/>
        <v>5533.454545454545</v>
      </c>
      <c r="G27" s="113">
        <v>7</v>
      </c>
      <c r="H27" s="114">
        <f t="shared" si="12"/>
        <v>8695.4285714285706</v>
      </c>
      <c r="I27" s="113">
        <v>84</v>
      </c>
      <c r="J27" s="112">
        <f t="shared" si="13"/>
        <v>1.5714285714285714</v>
      </c>
      <c r="K27" s="114">
        <v>8190</v>
      </c>
      <c r="L27" s="114"/>
      <c r="M27" s="114">
        <v>6990</v>
      </c>
      <c r="N27" s="115">
        <f t="shared" si="14"/>
        <v>8.3333333333333329E-2</v>
      </c>
      <c r="O27" s="116">
        <f t="shared" si="15"/>
        <v>0.82992676535613141</v>
      </c>
      <c r="P27" s="117">
        <f t="shared" si="16"/>
        <v>73341.411002548906</v>
      </c>
      <c r="Q27" s="118">
        <f t="shared" si="17"/>
        <v>12.430747627550662</v>
      </c>
      <c r="R27" s="118">
        <f t="shared" si="18"/>
        <v>6.9835660828936303</v>
      </c>
      <c r="S27" s="117">
        <f t="shared" si="19"/>
        <v>60868</v>
      </c>
      <c r="T27" s="118">
        <f t="shared" si="20"/>
        <v>11</v>
      </c>
      <c r="U27" s="118">
        <f t="shared" si="21"/>
        <v>11</v>
      </c>
      <c r="V27" s="119">
        <v>0.85310233682514103</v>
      </c>
      <c r="W27" s="119">
        <v>0.85310233682514103</v>
      </c>
      <c r="X27" s="120"/>
      <c r="Y27" s="121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  <c r="BL27" s="122"/>
      <c r="BM27" s="122"/>
      <c r="BN27" s="122"/>
      <c r="BO27" s="122"/>
      <c r="BP27" s="122"/>
      <c r="BQ27" s="122"/>
      <c r="BR27" s="122"/>
      <c r="BS27" s="122"/>
      <c r="BT27" s="122"/>
      <c r="BU27" s="122"/>
      <c r="BV27" s="122"/>
      <c r="BW27" s="122"/>
      <c r="BX27" s="122"/>
      <c r="BY27" s="122"/>
      <c r="BZ27" s="122"/>
      <c r="CA27" s="122"/>
      <c r="CB27" s="122"/>
      <c r="CC27" s="122"/>
      <c r="CD27" s="122"/>
      <c r="CE27" s="122"/>
      <c r="CF27" s="122"/>
      <c r="CG27" s="122"/>
      <c r="CH27" s="122"/>
      <c r="CI27" s="122"/>
      <c r="CJ27" s="122"/>
      <c r="CK27" s="122"/>
      <c r="CL27" s="122"/>
      <c r="CM27" s="122"/>
      <c r="CN27" s="122"/>
      <c r="CO27" s="122"/>
      <c r="CP27" s="122"/>
      <c r="CQ27" s="122"/>
      <c r="CR27" s="122"/>
      <c r="CS27" s="122"/>
      <c r="CT27" s="122"/>
      <c r="CU27" s="122"/>
      <c r="CV27" s="122"/>
      <c r="CW27" s="122"/>
      <c r="CX27" s="122"/>
      <c r="CY27" s="122"/>
      <c r="CZ27" s="122"/>
      <c r="DA27" s="122"/>
      <c r="DB27" s="122"/>
      <c r="DC27" s="122"/>
      <c r="DD27" s="122"/>
      <c r="DE27" s="122"/>
      <c r="DF27" s="122"/>
      <c r="DG27" s="122"/>
      <c r="DH27" s="122"/>
      <c r="DI27" s="122"/>
      <c r="DJ27" s="122"/>
      <c r="DK27" s="122"/>
      <c r="DL27" s="122"/>
      <c r="DM27" s="122"/>
      <c r="DN27" s="122"/>
      <c r="DO27" s="122"/>
      <c r="DP27" s="122"/>
      <c r="DQ27" s="122"/>
      <c r="DR27" s="122"/>
      <c r="DS27" s="122"/>
      <c r="DT27" s="122"/>
      <c r="DU27" s="122"/>
      <c r="DV27" s="122"/>
      <c r="DW27" s="122"/>
      <c r="DX27" s="122"/>
      <c r="DY27" s="122"/>
      <c r="DZ27" s="122"/>
      <c r="EA27" s="122"/>
      <c r="EB27" s="122"/>
      <c r="EC27" s="122"/>
      <c r="ED27" s="122"/>
      <c r="EE27" s="122"/>
      <c r="EF27" s="122"/>
      <c r="EG27" s="122"/>
      <c r="EH27" s="122"/>
      <c r="EI27" s="122"/>
      <c r="EJ27" s="122"/>
      <c r="EK27" s="122"/>
      <c r="EL27" s="122"/>
      <c r="EM27" s="122"/>
      <c r="EN27" s="122"/>
      <c r="EO27" s="122"/>
      <c r="EP27" s="122"/>
      <c r="EQ27" s="122"/>
      <c r="ER27" s="122"/>
      <c r="ES27" s="122"/>
      <c r="ET27" s="122"/>
      <c r="EU27" s="122"/>
      <c r="EV27" s="122"/>
      <c r="EW27" s="122"/>
      <c r="EX27" s="122"/>
      <c r="EY27" s="122"/>
      <c r="EZ27" s="122"/>
      <c r="FA27" s="122"/>
      <c r="FB27" s="122"/>
      <c r="FC27" s="122"/>
      <c r="FD27" s="122"/>
      <c r="FE27" s="122"/>
      <c r="FF27" s="122"/>
      <c r="FG27" s="122"/>
      <c r="FH27" s="122"/>
      <c r="FI27" s="122"/>
      <c r="FJ27" s="122"/>
      <c r="FK27" s="122"/>
      <c r="FL27" s="122"/>
      <c r="FM27" s="122"/>
      <c r="FN27" s="122"/>
      <c r="FO27" s="122"/>
      <c r="FP27" s="122"/>
      <c r="FQ27" s="122"/>
      <c r="FR27" s="122"/>
      <c r="FS27" s="122"/>
      <c r="FT27" s="122"/>
      <c r="FU27" s="122"/>
      <c r="FV27" s="122"/>
      <c r="FW27" s="122"/>
      <c r="FX27" s="122"/>
      <c r="FY27" s="122"/>
      <c r="FZ27" s="122"/>
      <c r="GA27" s="122"/>
      <c r="GB27" s="122"/>
      <c r="GC27" s="122"/>
      <c r="GD27" s="122"/>
      <c r="GE27" s="122"/>
      <c r="GF27" s="122"/>
      <c r="GG27" s="122"/>
      <c r="GH27" s="122"/>
      <c r="GI27" s="122"/>
      <c r="GJ27" s="122"/>
      <c r="GK27" s="122"/>
      <c r="GL27" s="122"/>
      <c r="GM27" s="122"/>
      <c r="GN27" s="122"/>
      <c r="GO27" s="122"/>
      <c r="GP27" s="122"/>
      <c r="GQ27" s="122"/>
      <c r="GR27" s="122"/>
      <c r="GS27" s="122"/>
      <c r="GT27" s="122"/>
      <c r="GU27" s="122"/>
      <c r="GV27" s="122"/>
      <c r="GW27" s="122"/>
      <c r="GX27" s="122"/>
      <c r="GY27" s="122"/>
      <c r="GZ27" s="122"/>
      <c r="HA27" s="122"/>
      <c r="HB27" s="122"/>
      <c r="HC27" s="122"/>
      <c r="HD27" s="122"/>
      <c r="HE27" s="122"/>
      <c r="HF27" s="122"/>
      <c r="HG27" s="122"/>
      <c r="HH27" s="122"/>
      <c r="HI27" s="122"/>
      <c r="HJ27" s="122"/>
      <c r="HK27" s="122"/>
      <c r="HL27" s="122"/>
      <c r="HM27" s="122"/>
      <c r="HN27" s="122"/>
      <c r="HO27" s="122"/>
      <c r="HP27" s="122"/>
      <c r="HQ27" s="122"/>
      <c r="HR27" s="122"/>
      <c r="HS27" s="122"/>
      <c r="HT27" s="122"/>
      <c r="HU27" s="122"/>
      <c r="HV27" s="122"/>
      <c r="HW27" s="122"/>
      <c r="HX27" s="122"/>
      <c r="HY27" s="122"/>
      <c r="HZ27" s="122"/>
      <c r="IA27" s="122"/>
      <c r="IB27" s="122"/>
      <c r="IC27" s="122"/>
      <c r="ID27" s="122"/>
      <c r="IE27" s="122"/>
      <c r="IF27" s="122"/>
      <c r="IG27" s="122"/>
      <c r="IH27" s="122"/>
      <c r="II27" s="122"/>
      <c r="IJ27" s="122"/>
      <c r="IK27" s="122"/>
      <c r="IL27" s="122"/>
      <c r="IM27" s="122"/>
      <c r="IN27" s="122"/>
      <c r="IO27" s="122"/>
      <c r="IP27" s="122"/>
      <c r="IQ27" s="122"/>
      <c r="IR27" s="122"/>
      <c r="IS27" s="122"/>
      <c r="IT27" s="122"/>
      <c r="IU27" s="122"/>
    </row>
    <row r="28" spans="1:255" s="108" customFormat="1">
      <c r="A28" s="109" t="s">
        <v>52</v>
      </c>
      <c r="B28" s="110">
        <v>45934</v>
      </c>
      <c r="C28" s="111" t="s">
        <v>53</v>
      </c>
      <c r="D28" s="112">
        <v>76483</v>
      </c>
      <c r="E28" s="114">
        <v>11</v>
      </c>
      <c r="F28" s="114">
        <f t="shared" si="11"/>
        <v>6953</v>
      </c>
      <c r="G28" s="114">
        <v>4</v>
      </c>
      <c r="H28" s="114">
        <f t="shared" si="12"/>
        <v>19120.75</v>
      </c>
      <c r="I28" s="114">
        <v>81</v>
      </c>
      <c r="J28" s="112">
        <f t="shared" si="13"/>
        <v>2.75</v>
      </c>
      <c r="K28" s="114"/>
      <c r="L28" s="114"/>
      <c r="M28" s="114">
        <v>19675</v>
      </c>
      <c r="N28" s="115">
        <f t="shared" si="14"/>
        <v>4.9382716049382713E-2</v>
      </c>
      <c r="O28" s="116">
        <f t="shared" si="15"/>
        <v>1.0428351316739994</v>
      </c>
      <c r="P28" s="117">
        <f t="shared" si="16"/>
        <v>73341.411002548906</v>
      </c>
      <c r="Q28" s="118">
        <f t="shared" si="17"/>
        <v>12.430747627550662</v>
      </c>
      <c r="R28" s="118">
        <f t="shared" si="18"/>
        <v>6.9835660828936303</v>
      </c>
      <c r="S28" s="117">
        <f t="shared" si="19"/>
        <v>76483</v>
      </c>
      <c r="T28" s="118">
        <f t="shared" si="20"/>
        <v>11</v>
      </c>
      <c r="U28" s="118">
        <f t="shared" si="21"/>
        <v>11</v>
      </c>
      <c r="V28" s="119">
        <v>0.85310233682514103</v>
      </c>
      <c r="W28" s="119">
        <v>0.85310233682514103</v>
      </c>
      <c r="X28" s="120"/>
      <c r="Y28" s="123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2"/>
      <c r="BM28" s="122"/>
      <c r="BN28" s="122"/>
      <c r="BO28" s="122"/>
      <c r="BP28" s="122"/>
      <c r="BQ28" s="122"/>
      <c r="BR28" s="122"/>
      <c r="BS28" s="122"/>
      <c r="BT28" s="122"/>
      <c r="BU28" s="122"/>
      <c r="BV28" s="122"/>
      <c r="BW28" s="122"/>
      <c r="BX28" s="122"/>
      <c r="BY28" s="122"/>
      <c r="BZ28" s="122"/>
      <c r="CA28" s="122"/>
      <c r="CB28" s="122"/>
      <c r="CC28" s="122"/>
      <c r="CD28" s="122"/>
      <c r="CE28" s="122"/>
      <c r="CF28" s="122"/>
      <c r="CG28" s="122"/>
      <c r="CH28" s="122"/>
      <c r="CI28" s="122"/>
      <c r="CJ28" s="122"/>
      <c r="CK28" s="122"/>
      <c r="CL28" s="122"/>
      <c r="CM28" s="122"/>
      <c r="CN28" s="122"/>
      <c r="CO28" s="122"/>
      <c r="CP28" s="122"/>
      <c r="CQ28" s="122"/>
      <c r="CR28" s="122"/>
      <c r="CS28" s="122"/>
      <c r="CT28" s="122"/>
      <c r="CU28" s="122"/>
      <c r="CV28" s="122"/>
      <c r="CW28" s="122"/>
      <c r="CX28" s="122"/>
      <c r="CY28" s="122"/>
      <c r="CZ28" s="122"/>
      <c r="DA28" s="122"/>
      <c r="DB28" s="122"/>
      <c r="DC28" s="122"/>
      <c r="DD28" s="122"/>
      <c r="DE28" s="122"/>
      <c r="DF28" s="122"/>
      <c r="DG28" s="122"/>
      <c r="DH28" s="122"/>
      <c r="DI28" s="122"/>
      <c r="DJ28" s="122"/>
      <c r="DK28" s="122"/>
      <c r="DL28" s="122"/>
      <c r="DM28" s="122"/>
      <c r="DN28" s="122"/>
      <c r="DO28" s="122"/>
      <c r="DP28" s="122"/>
      <c r="DQ28" s="122"/>
      <c r="DR28" s="122"/>
      <c r="DS28" s="122"/>
      <c r="DT28" s="122"/>
      <c r="DU28" s="122"/>
      <c r="DV28" s="122"/>
      <c r="DW28" s="122"/>
      <c r="DX28" s="122"/>
      <c r="DY28" s="122"/>
      <c r="DZ28" s="122"/>
      <c r="EA28" s="122"/>
      <c r="EB28" s="122"/>
      <c r="EC28" s="122"/>
      <c r="ED28" s="122"/>
      <c r="EE28" s="122"/>
      <c r="EF28" s="122"/>
      <c r="EG28" s="122"/>
      <c r="EH28" s="122"/>
      <c r="EI28" s="122"/>
      <c r="EJ28" s="122"/>
      <c r="EK28" s="122"/>
      <c r="EL28" s="122"/>
      <c r="EM28" s="122"/>
      <c r="EN28" s="122"/>
      <c r="EO28" s="122"/>
      <c r="EP28" s="122"/>
      <c r="EQ28" s="122"/>
      <c r="ER28" s="122"/>
      <c r="ES28" s="122"/>
      <c r="ET28" s="122"/>
      <c r="EU28" s="122"/>
      <c r="EV28" s="122"/>
      <c r="EW28" s="122"/>
      <c r="EX28" s="122"/>
      <c r="EY28" s="122"/>
      <c r="EZ28" s="122"/>
      <c r="FA28" s="122"/>
      <c r="FB28" s="122"/>
      <c r="FC28" s="122"/>
      <c r="FD28" s="122"/>
      <c r="FE28" s="122"/>
      <c r="FF28" s="122"/>
      <c r="FG28" s="122"/>
      <c r="FH28" s="122"/>
      <c r="FI28" s="122"/>
      <c r="FJ28" s="122"/>
      <c r="FK28" s="122"/>
      <c r="FL28" s="122"/>
      <c r="FM28" s="122"/>
      <c r="FN28" s="122"/>
      <c r="FO28" s="122"/>
      <c r="FP28" s="122"/>
      <c r="FQ28" s="122"/>
      <c r="FR28" s="122"/>
      <c r="FS28" s="122"/>
      <c r="FT28" s="122"/>
      <c r="FU28" s="122"/>
      <c r="FV28" s="122"/>
      <c r="FW28" s="122"/>
      <c r="FX28" s="122"/>
      <c r="FY28" s="122"/>
      <c r="FZ28" s="122"/>
      <c r="GA28" s="122"/>
      <c r="GB28" s="122"/>
      <c r="GC28" s="122"/>
      <c r="GD28" s="122"/>
      <c r="GE28" s="122"/>
      <c r="GF28" s="122"/>
      <c r="GG28" s="122"/>
      <c r="GH28" s="122"/>
      <c r="GI28" s="122"/>
      <c r="GJ28" s="122"/>
      <c r="GK28" s="122"/>
      <c r="GL28" s="122"/>
      <c r="GM28" s="122"/>
      <c r="GN28" s="122"/>
      <c r="GO28" s="122"/>
      <c r="GP28" s="122"/>
      <c r="GQ28" s="122"/>
      <c r="GR28" s="122"/>
      <c r="GS28" s="122"/>
      <c r="GT28" s="122"/>
      <c r="GU28" s="122"/>
      <c r="GV28" s="122"/>
      <c r="GW28" s="122"/>
      <c r="GX28" s="122"/>
      <c r="GY28" s="122"/>
      <c r="GZ28" s="122"/>
      <c r="HA28" s="122"/>
      <c r="HB28" s="122"/>
      <c r="HC28" s="122"/>
      <c r="HD28" s="122"/>
      <c r="HE28" s="122"/>
      <c r="HF28" s="122"/>
      <c r="HG28" s="122"/>
      <c r="HH28" s="122"/>
      <c r="HI28" s="122"/>
      <c r="HJ28" s="122"/>
      <c r="HK28" s="122"/>
      <c r="HL28" s="122"/>
      <c r="HM28" s="122"/>
      <c r="HN28" s="122"/>
      <c r="HO28" s="122"/>
      <c r="HP28" s="122"/>
      <c r="HQ28" s="122"/>
      <c r="HR28" s="122"/>
      <c r="HS28" s="122"/>
      <c r="HT28" s="122"/>
      <c r="HU28" s="122"/>
      <c r="HV28" s="122"/>
      <c r="HW28" s="122"/>
      <c r="HX28" s="122"/>
      <c r="HY28" s="122"/>
      <c r="HZ28" s="122"/>
      <c r="IA28" s="122"/>
      <c r="IB28" s="122"/>
      <c r="IC28" s="122"/>
      <c r="ID28" s="122"/>
      <c r="IE28" s="122"/>
      <c r="IF28" s="122"/>
      <c r="IG28" s="122"/>
      <c r="IH28" s="122"/>
      <c r="II28" s="122"/>
      <c r="IJ28" s="122"/>
      <c r="IK28" s="122"/>
      <c r="IL28" s="122"/>
      <c r="IM28" s="122"/>
      <c r="IN28" s="122"/>
      <c r="IO28" s="122"/>
      <c r="IP28" s="122"/>
      <c r="IQ28" s="122"/>
      <c r="IR28" s="122"/>
      <c r="IS28" s="122"/>
      <c r="IT28" s="122"/>
      <c r="IU28" s="122"/>
    </row>
    <row r="29" spans="1:255" s="124" customFormat="1">
      <c r="A29" s="109" t="s">
        <v>49</v>
      </c>
      <c r="B29" s="110">
        <v>45935</v>
      </c>
      <c r="C29" s="111" t="s">
        <v>54</v>
      </c>
      <c r="D29" s="112">
        <v>85724</v>
      </c>
      <c r="E29" s="114">
        <v>18</v>
      </c>
      <c r="F29" s="114">
        <f t="shared" si="11"/>
        <v>4762.4444444444443</v>
      </c>
      <c r="G29" s="114">
        <v>13</v>
      </c>
      <c r="H29" s="114">
        <f t="shared" si="12"/>
        <v>6594.1538461538457</v>
      </c>
      <c r="I29" s="114">
        <v>138</v>
      </c>
      <c r="J29" s="112">
        <f t="shared" si="13"/>
        <v>1.3846153846153846</v>
      </c>
      <c r="K29" s="114"/>
      <c r="L29" s="114">
        <v>12106</v>
      </c>
      <c r="M29" s="114"/>
      <c r="N29" s="115">
        <f t="shared" si="14"/>
        <v>9.420289855072464E-2</v>
      </c>
      <c r="O29" s="116">
        <f t="shared" si="15"/>
        <v>1.1773825052522497</v>
      </c>
      <c r="P29" s="117">
        <f t="shared" si="16"/>
        <v>72808.963627019373</v>
      </c>
      <c r="Q29" s="118">
        <f t="shared" si="17"/>
        <v>12.3405023096643</v>
      </c>
      <c r="R29" s="118">
        <f t="shared" si="18"/>
        <v>6.9328664661035395</v>
      </c>
      <c r="S29" s="117">
        <f t="shared" si="19"/>
        <v>85724</v>
      </c>
      <c r="T29" s="118">
        <f t="shared" si="20"/>
        <v>18</v>
      </c>
      <c r="U29" s="118">
        <f t="shared" si="21"/>
        <v>18</v>
      </c>
      <c r="V29" s="119">
        <v>0.85</v>
      </c>
      <c r="W29" s="119">
        <v>0.85</v>
      </c>
      <c r="X29" s="120"/>
      <c r="Y29" s="121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2"/>
      <c r="BM29" s="122"/>
      <c r="BN29" s="122"/>
      <c r="BO29" s="122"/>
      <c r="BP29" s="122"/>
      <c r="BQ29" s="122"/>
      <c r="BR29" s="122"/>
      <c r="BS29" s="122"/>
      <c r="BT29" s="122"/>
      <c r="BU29" s="122"/>
      <c r="BV29" s="122"/>
      <c r="BW29" s="122"/>
      <c r="BX29" s="122"/>
      <c r="BY29" s="122"/>
      <c r="BZ29" s="122"/>
      <c r="CA29" s="122"/>
      <c r="CB29" s="122"/>
      <c r="CC29" s="122"/>
      <c r="CD29" s="122"/>
      <c r="CE29" s="122"/>
      <c r="CF29" s="122"/>
      <c r="CG29" s="122"/>
      <c r="CH29" s="122"/>
      <c r="CI29" s="122"/>
      <c r="CJ29" s="122"/>
      <c r="CK29" s="122"/>
      <c r="CL29" s="122"/>
      <c r="CM29" s="122"/>
      <c r="CN29" s="122"/>
      <c r="CO29" s="122"/>
      <c r="CP29" s="122"/>
      <c r="CQ29" s="122"/>
      <c r="CR29" s="122"/>
      <c r="CS29" s="122"/>
      <c r="CT29" s="122"/>
      <c r="CU29" s="122"/>
      <c r="CV29" s="122"/>
      <c r="CW29" s="122"/>
      <c r="CX29" s="122"/>
      <c r="CY29" s="122"/>
      <c r="CZ29" s="122"/>
      <c r="DA29" s="122"/>
      <c r="DB29" s="122"/>
      <c r="DC29" s="122"/>
      <c r="DD29" s="122"/>
      <c r="DE29" s="122"/>
      <c r="DF29" s="122"/>
      <c r="DG29" s="122"/>
      <c r="DH29" s="122"/>
      <c r="DI29" s="122"/>
      <c r="DJ29" s="122"/>
      <c r="DK29" s="122"/>
      <c r="DL29" s="122"/>
      <c r="DM29" s="122"/>
      <c r="DN29" s="122"/>
      <c r="DO29" s="122"/>
      <c r="DP29" s="122"/>
      <c r="DQ29" s="122"/>
      <c r="DR29" s="122"/>
      <c r="DS29" s="122"/>
      <c r="DT29" s="122"/>
      <c r="DU29" s="122"/>
      <c r="DV29" s="122"/>
      <c r="DW29" s="122"/>
      <c r="DX29" s="122"/>
      <c r="DY29" s="122"/>
      <c r="DZ29" s="122"/>
      <c r="EA29" s="122"/>
      <c r="EB29" s="122"/>
      <c r="EC29" s="122"/>
      <c r="ED29" s="122"/>
      <c r="EE29" s="122"/>
      <c r="EF29" s="122"/>
      <c r="EG29" s="122"/>
      <c r="EH29" s="122"/>
      <c r="EI29" s="122"/>
      <c r="EJ29" s="122"/>
      <c r="EK29" s="122"/>
      <c r="EL29" s="122"/>
      <c r="EM29" s="122"/>
      <c r="EN29" s="122"/>
      <c r="EO29" s="122"/>
      <c r="EP29" s="122"/>
      <c r="EQ29" s="122"/>
      <c r="ER29" s="122"/>
      <c r="ES29" s="122"/>
      <c r="ET29" s="122"/>
      <c r="EU29" s="122"/>
      <c r="EV29" s="122"/>
      <c r="EW29" s="122"/>
      <c r="EX29" s="122"/>
      <c r="EY29" s="122"/>
      <c r="EZ29" s="122"/>
      <c r="FA29" s="122"/>
      <c r="FB29" s="122"/>
      <c r="FC29" s="122"/>
      <c r="FD29" s="122"/>
      <c r="FE29" s="122"/>
      <c r="FF29" s="122"/>
      <c r="FG29" s="122"/>
      <c r="FH29" s="122"/>
      <c r="FI29" s="122"/>
      <c r="FJ29" s="122"/>
      <c r="FK29" s="122"/>
      <c r="FL29" s="122"/>
      <c r="FM29" s="122"/>
      <c r="FN29" s="122"/>
      <c r="FO29" s="122"/>
      <c r="FP29" s="122"/>
      <c r="FQ29" s="122"/>
      <c r="FR29" s="122"/>
      <c r="FS29" s="122"/>
      <c r="FT29" s="122"/>
      <c r="FU29" s="122"/>
      <c r="FV29" s="122"/>
      <c r="FW29" s="122"/>
      <c r="FX29" s="122"/>
      <c r="FY29" s="122"/>
      <c r="FZ29" s="122"/>
      <c r="GA29" s="122"/>
      <c r="GB29" s="122"/>
      <c r="GC29" s="122"/>
      <c r="GD29" s="122"/>
      <c r="GE29" s="122"/>
      <c r="GF29" s="122"/>
      <c r="GG29" s="122"/>
      <c r="GH29" s="122"/>
      <c r="GI29" s="122"/>
      <c r="GJ29" s="122"/>
      <c r="GK29" s="122"/>
      <c r="GL29" s="122"/>
      <c r="GM29" s="122"/>
      <c r="GN29" s="122"/>
      <c r="GO29" s="122"/>
      <c r="GP29" s="122"/>
      <c r="GQ29" s="122"/>
      <c r="GR29" s="122"/>
      <c r="GS29" s="122"/>
      <c r="GT29" s="122"/>
      <c r="GU29" s="122"/>
      <c r="GV29" s="122"/>
      <c r="GW29" s="122"/>
      <c r="GX29" s="122"/>
      <c r="GY29" s="122"/>
      <c r="GZ29" s="122"/>
      <c r="HA29" s="122"/>
      <c r="HB29" s="122"/>
      <c r="HC29" s="122"/>
      <c r="HD29" s="122"/>
      <c r="HE29" s="122"/>
      <c r="HF29" s="122"/>
      <c r="HG29" s="122"/>
      <c r="HH29" s="122"/>
      <c r="HI29" s="122"/>
      <c r="HJ29" s="122"/>
      <c r="HK29" s="122"/>
      <c r="HL29" s="122"/>
      <c r="HM29" s="122"/>
      <c r="HN29" s="122"/>
      <c r="HO29" s="122"/>
      <c r="HP29" s="122"/>
      <c r="HQ29" s="122"/>
      <c r="HR29" s="122"/>
      <c r="HS29" s="122"/>
      <c r="HT29" s="122"/>
      <c r="HU29" s="122"/>
      <c r="HV29" s="122"/>
      <c r="HW29" s="122"/>
      <c r="HX29" s="122"/>
      <c r="HY29" s="122"/>
      <c r="HZ29" s="122"/>
      <c r="IA29" s="122"/>
      <c r="IB29" s="122"/>
      <c r="IC29" s="122"/>
      <c r="ID29" s="122"/>
      <c r="IE29" s="122"/>
      <c r="IF29" s="122"/>
      <c r="IG29" s="122"/>
      <c r="IH29" s="122"/>
      <c r="II29" s="122"/>
      <c r="IJ29" s="122"/>
      <c r="IK29" s="122"/>
      <c r="IL29" s="122"/>
      <c r="IM29" s="122"/>
      <c r="IN29" s="122"/>
      <c r="IO29" s="122"/>
      <c r="IP29" s="122"/>
      <c r="IQ29" s="122"/>
      <c r="IR29" s="122"/>
      <c r="IS29" s="122"/>
      <c r="IT29" s="122"/>
      <c r="IU29" s="122"/>
    </row>
    <row r="30" spans="1:255">
      <c r="A30" s="95" t="s">
        <v>49</v>
      </c>
      <c r="B30" s="96">
        <v>45936</v>
      </c>
      <c r="C30" s="97" t="s">
        <v>55</v>
      </c>
      <c r="D30" s="98">
        <f>10490+5803+58949</f>
        <v>75242</v>
      </c>
      <c r="E30" s="99">
        <v>12</v>
      </c>
      <c r="F30" s="99">
        <f t="shared" si="11"/>
        <v>6270.166666666667</v>
      </c>
      <c r="G30" s="99">
        <v>8</v>
      </c>
      <c r="H30" s="99">
        <f t="shared" si="12"/>
        <v>9405.25</v>
      </c>
      <c r="I30" s="99">
        <v>56</v>
      </c>
      <c r="J30" s="98">
        <f t="shared" si="13"/>
        <v>1.5</v>
      </c>
      <c r="K30" s="99">
        <v>10490</v>
      </c>
      <c r="L30" s="99">
        <v>5803</v>
      </c>
      <c r="M30" s="99"/>
      <c r="N30" s="100">
        <f t="shared" si="14"/>
        <v>0.14285714285714285</v>
      </c>
      <c r="O30" s="101">
        <f t="shared" si="15"/>
        <v>0.74664357644868551</v>
      </c>
      <c r="P30" s="102">
        <f t="shared" si="16"/>
        <v>100773.65207891955</v>
      </c>
      <c r="Q30" s="103">
        <f t="shared" si="17"/>
        <v>17.080280013376196</v>
      </c>
      <c r="R30" s="103">
        <f t="shared" si="18"/>
        <v>9.5956629288630317</v>
      </c>
      <c r="S30" s="102">
        <f t="shared" si="19"/>
        <v>75242</v>
      </c>
      <c r="T30" s="103">
        <f t="shared" si="20"/>
        <v>12</v>
      </c>
      <c r="U30" s="103">
        <f t="shared" si="21"/>
        <v>12</v>
      </c>
      <c r="V30" s="104">
        <v>1</v>
      </c>
      <c r="W30" s="104">
        <v>1</v>
      </c>
      <c r="X30" s="107"/>
      <c r="Y30" s="106"/>
    </row>
    <row r="31" spans="1:255">
      <c r="A31" s="95" t="s">
        <v>52</v>
      </c>
      <c r="B31" s="96">
        <v>45937</v>
      </c>
      <c r="C31" s="97" t="s">
        <v>56</v>
      </c>
      <c r="D31" s="98">
        <v>0</v>
      </c>
      <c r="E31" s="99"/>
      <c r="F31" s="99" t="str">
        <f t="shared" si="11"/>
        <v/>
      </c>
      <c r="G31" s="99">
        <v>0</v>
      </c>
      <c r="H31" s="99" t="str">
        <f t="shared" si="12"/>
        <v/>
      </c>
      <c r="I31" s="99">
        <v>52</v>
      </c>
      <c r="J31" s="98" t="str">
        <f t="shared" si="13"/>
        <v/>
      </c>
      <c r="K31" s="99"/>
      <c r="L31" s="99"/>
      <c r="M31" s="99"/>
      <c r="N31" s="100">
        <f t="shared" si="14"/>
        <v>0</v>
      </c>
      <c r="O31" s="101">
        <f t="shared" si="15"/>
        <v>0</v>
      </c>
      <c r="P31" s="102">
        <f t="shared" si="16"/>
        <v>100773.65207891955</v>
      </c>
      <c r="Q31" s="103">
        <f t="shared" si="17"/>
        <v>17.080280013376196</v>
      </c>
      <c r="R31" s="103">
        <f t="shared" si="18"/>
        <v>9.5956629288630317</v>
      </c>
      <c r="S31" s="102">
        <f t="shared" si="19"/>
        <v>0</v>
      </c>
      <c r="T31" s="103">
        <f t="shared" si="20"/>
        <v>17.176328619373436</v>
      </c>
      <c r="U31" s="103">
        <f t="shared" si="21"/>
        <v>17.176328619373436</v>
      </c>
      <c r="V31" s="104">
        <v>1</v>
      </c>
      <c r="W31" s="104">
        <v>1</v>
      </c>
      <c r="X31" s="107"/>
      <c r="Y31" s="106"/>
    </row>
    <row r="32" spans="1:255">
      <c r="A32" s="95" t="s">
        <v>49</v>
      </c>
      <c r="B32" s="96">
        <v>45938</v>
      </c>
      <c r="C32" s="97" t="s">
        <v>48</v>
      </c>
      <c r="D32" s="98">
        <v>40351</v>
      </c>
      <c r="E32" s="99">
        <v>6</v>
      </c>
      <c r="F32" s="99">
        <f t="shared" si="11"/>
        <v>6725.166666666667</v>
      </c>
      <c r="G32" s="99">
        <v>5</v>
      </c>
      <c r="H32" s="99">
        <f t="shared" si="12"/>
        <v>8070.2</v>
      </c>
      <c r="I32" s="125">
        <v>76</v>
      </c>
      <c r="J32" s="98">
        <f t="shared" si="13"/>
        <v>1.2</v>
      </c>
      <c r="K32" s="99"/>
      <c r="L32" s="99"/>
      <c r="M32" s="99"/>
      <c r="N32" s="100">
        <f t="shared" si="14"/>
        <v>6.5789473684210523E-2</v>
      </c>
      <c r="O32" s="101">
        <f t="shared" si="15"/>
        <v>0.55018030671100182</v>
      </c>
      <c r="P32" s="102">
        <f t="shared" si="16"/>
        <v>73341.411002548906</v>
      </c>
      <c r="Q32" s="103">
        <f t="shared" si="17"/>
        <v>12.430747627550662</v>
      </c>
      <c r="R32" s="103">
        <f t="shared" si="18"/>
        <v>6.9835660828936303</v>
      </c>
      <c r="S32" s="102">
        <f t="shared" si="19"/>
        <v>40351</v>
      </c>
      <c r="T32" s="103">
        <f t="shared" si="20"/>
        <v>6</v>
      </c>
      <c r="U32" s="103">
        <f t="shared" si="21"/>
        <v>6</v>
      </c>
      <c r="V32" s="104">
        <v>0.85310233682514103</v>
      </c>
      <c r="W32" s="104">
        <v>0.85310233682514103</v>
      </c>
      <c r="X32" s="107"/>
      <c r="Y32" s="106"/>
    </row>
    <row r="33" spans="1:255">
      <c r="A33" s="95" t="s">
        <v>47</v>
      </c>
      <c r="B33" s="96">
        <v>45939</v>
      </c>
      <c r="C33" s="97" t="s">
        <v>50</v>
      </c>
      <c r="D33" s="98">
        <v>22026</v>
      </c>
      <c r="E33" s="99">
        <v>3</v>
      </c>
      <c r="F33" s="99">
        <f t="shared" si="11"/>
        <v>7342</v>
      </c>
      <c r="G33" s="99">
        <v>3</v>
      </c>
      <c r="H33" s="99">
        <f t="shared" si="12"/>
        <v>7342</v>
      </c>
      <c r="I33" s="125">
        <v>42</v>
      </c>
      <c r="J33" s="98">
        <f t="shared" si="13"/>
        <v>1</v>
      </c>
      <c r="K33" s="99">
        <v>13492</v>
      </c>
      <c r="L33" s="99"/>
      <c r="M33" s="99"/>
      <c r="N33" s="100">
        <f t="shared" si="14"/>
        <v>7.1428571428571425E-2</v>
      </c>
      <c r="O33" s="101">
        <f t="shared" si="15"/>
        <v>0.30032146503473334</v>
      </c>
      <c r="P33" s="102">
        <f t="shared" si="16"/>
        <v>73341.411002548906</v>
      </c>
      <c r="Q33" s="103">
        <f t="shared" si="17"/>
        <v>12.430747627550662</v>
      </c>
      <c r="R33" s="103">
        <f t="shared" si="18"/>
        <v>6.9835660828936303</v>
      </c>
      <c r="S33" s="102">
        <f t="shared" si="19"/>
        <v>22026</v>
      </c>
      <c r="T33" s="103">
        <f t="shared" si="20"/>
        <v>3</v>
      </c>
      <c r="U33" s="103">
        <f t="shared" si="21"/>
        <v>3</v>
      </c>
      <c r="V33" s="104">
        <v>0.85310233682514103</v>
      </c>
      <c r="W33" s="104">
        <v>0.85310233682514103</v>
      </c>
      <c r="X33" s="107"/>
      <c r="Y33" s="106"/>
    </row>
    <row r="34" spans="1:255" s="108" customFormat="1">
      <c r="A34" s="109" t="s">
        <v>47</v>
      </c>
      <c r="B34" s="110">
        <v>45940</v>
      </c>
      <c r="C34" s="111" t="s">
        <v>51</v>
      </c>
      <c r="D34" s="112">
        <v>21466</v>
      </c>
      <c r="E34" s="114">
        <v>4</v>
      </c>
      <c r="F34" s="114">
        <f t="shared" si="11"/>
        <v>5366.5</v>
      </c>
      <c r="G34" s="114">
        <v>2</v>
      </c>
      <c r="H34" s="114">
        <f t="shared" si="12"/>
        <v>10733</v>
      </c>
      <c r="I34" s="114">
        <v>28</v>
      </c>
      <c r="J34" s="112">
        <f t="shared" si="13"/>
        <v>2</v>
      </c>
      <c r="K34" s="114"/>
      <c r="L34" s="114"/>
      <c r="M34" s="114"/>
      <c r="N34" s="115">
        <f t="shared" si="14"/>
        <v>7.1428571428571425E-2</v>
      </c>
      <c r="O34" s="116">
        <f t="shared" si="15"/>
        <v>0.29268594245144769</v>
      </c>
      <c r="P34" s="117">
        <f t="shared" si="16"/>
        <v>73341.411002548906</v>
      </c>
      <c r="Q34" s="118">
        <f t="shared" si="17"/>
        <v>12.430747627550662</v>
      </c>
      <c r="R34" s="118">
        <f t="shared" si="18"/>
        <v>6.9835660828936303</v>
      </c>
      <c r="S34" s="117">
        <f t="shared" si="19"/>
        <v>21466</v>
      </c>
      <c r="T34" s="118">
        <f t="shared" si="20"/>
        <v>4</v>
      </c>
      <c r="U34" s="118">
        <f t="shared" si="21"/>
        <v>4</v>
      </c>
      <c r="V34" s="119">
        <v>0.85310233682514103</v>
      </c>
      <c r="W34" s="119">
        <v>0.85310233682514103</v>
      </c>
      <c r="X34" s="120"/>
      <c r="Y34" s="121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  <c r="BL34" s="122"/>
      <c r="BM34" s="122"/>
      <c r="BN34" s="122"/>
      <c r="BO34" s="122"/>
      <c r="BP34" s="122"/>
      <c r="BQ34" s="122"/>
      <c r="BR34" s="122"/>
      <c r="BS34" s="122"/>
      <c r="BT34" s="122"/>
      <c r="BU34" s="122"/>
      <c r="BV34" s="122"/>
      <c r="BW34" s="122"/>
      <c r="BX34" s="122"/>
      <c r="BY34" s="122"/>
      <c r="BZ34" s="122"/>
      <c r="CA34" s="122"/>
      <c r="CB34" s="122"/>
      <c r="CC34" s="122"/>
      <c r="CD34" s="122"/>
      <c r="CE34" s="122"/>
      <c r="CF34" s="122"/>
      <c r="CG34" s="122"/>
      <c r="CH34" s="122"/>
      <c r="CI34" s="122"/>
      <c r="CJ34" s="122"/>
      <c r="CK34" s="122"/>
      <c r="CL34" s="122"/>
      <c r="CM34" s="122"/>
      <c r="CN34" s="122"/>
      <c r="CO34" s="122"/>
      <c r="CP34" s="122"/>
      <c r="CQ34" s="122"/>
      <c r="CR34" s="122"/>
      <c r="CS34" s="122"/>
      <c r="CT34" s="122"/>
      <c r="CU34" s="122"/>
      <c r="CV34" s="122"/>
      <c r="CW34" s="122"/>
      <c r="CX34" s="122"/>
      <c r="CY34" s="122"/>
      <c r="CZ34" s="122"/>
      <c r="DA34" s="122"/>
      <c r="DB34" s="122"/>
      <c r="DC34" s="122"/>
      <c r="DD34" s="122"/>
      <c r="DE34" s="122"/>
      <c r="DF34" s="122"/>
      <c r="DG34" s="122"/>
      <c r="DH34" s="122"/>
      <c r="DI34" s="122"/>
      <c r="DJ34" s="122"/>
      <c r="DK34" s="122"/>
      <c r="DL34" s="122"/>
      <c r="DM34" s="122"/>
      <c r="DN34" s="122"/>
      <c r="DO34" s="122"/>
      <c r="DP34" s="122"/>
      <c r="DQ34" s="122"/>
      <c r="DR34" s="122"/>
      <c r="DS34" s="122"/>
      <c r="DT34" s="122"/>
      <c r="DU34" s="122"/>
      <c r="DV34" s="122"/>
      <c r="DW34" s="122"/>
      <c r="DX34" s="122"/>
      <c r="DY34" s="122"/>
      <c r="DZ34" s="122"/>
      <c r="EA34" s="122"/>
      <c r="EB34" s="122"/>
      <c r="EC34" s="122"/>
      <c r="ED34" s="122"/>
      <c r="EE34" s="122"/>
      <c r="EF34" s="122"/>
      <c r="EG34" s="122"/>
      <c r="EH34" s="122"/>
      <c r="EI34" s="122"/>
      <c r="EJ34" s="122"/>
      <c r="EK34" s="122"/>
      <c r="EL34" s="122"/>
      <c r="EM34" s="122"/>
      <c r="EN34" s="122"/>
      <c r="EO34" s="122"/>
      <c r="EP34" s="122"/>
      <c r="EQ34" s="122"/>
      <c r="ER34" s="122"/>
      <c r="ES34" s="122"/>
      <c r="ET34" s="122"/>
      <c r="EU34" s="122"/>
      <c r="EV34" s="122"/>
      <c r="EW34" s="122"/>
      <c r="EX34" s="122"/>
      <c r="EY34" s="122"/>
      <c r="EZ34" s="122"/>
      <c r="FA34" s="122"/>
      <c r="FB34" s="122"/>
      <c r="FC34" s="122"/>
      <c r="FD34" s="122"/>
      <c r="FE34" s="122"/>
      <c r="FF34" s="122"/>
      <c r="FG34" s="122"/>
      <c r="FH34" s="122"/>
      <c r="FI34" s="122"/>
      <c r="FJ34" s="122"/>
      <c r="FK34" s="122"/>
      <c r="FL34" s="122"/>
      <c r="FM34" s="122"/>
      <c r="FN34" s="122"/>
      <c r="FO34" s="122"/>
      <c r="FP34" s="122"/>
      <c r="FQ34" s="122"/>
      <c r="FR34" s="122"/>
      <c r="FS34" s="122"/>
      <c r="FT34" s="122"/>
      <c r="FU34" s="122"/>
      <c r="FV34" s="122"/>
      <c r="FW34" s="122"/>
      <c r="FX34" s="122"/>
      <c r="FY34" s="122"/>
      <c r="FZ34" s="122"/>
      <c r="GA34" s="122"/>
      <c r="GB34" s="122"/>
      <c r="GC34" s="122"/>
      <c r="GD34" s="122"/>
      <c r="GE34" s="122"/>
      <c r="GF34" s="122"/>
      <c r="GG34" s="122"/>
      <c r="GH34" s="122"/>
      <c r="GI34" s="122"/>
      <c r="GJ34" s="122"/>
      <c r="GK34" s="122"/>
      <c r="GL34" s="122"/>
      <c r="GM34" s="122"/>
      <c r="GN34" s="122"/>
      <c r="GO34" s="122"/>
      <c r="GP34" s="122"/>
      <c r="GQ34" s="122"/>
      <c r="GR34" s="122"/>
      <c r="GS34" s="122"/>
      <c r="GT34" s="122"/>
      <c r="GU34" s="122"/>
      <c r="GV34" s="122"/>
      <c r="GW34" s="122"/>
      <c r="GX34" s="122"/>
      <c r="GY34" s="122"/>
      <c r="GZ34" s="122"/>
      <c r="HA34" s="122"/>
      <c r="HB34" s="122"/>
      <c r="HC34" s="122"/>
      <c r="HD34" s="122"/>
      <c r="HE34" s="122"/>
      <c r="HF34" s="122"/>
      <c r="HG34" s="122"/>
      <c r="HH34" s="122"/>
      <c r="HI34" s="122"/>
      <c r="HJ34" s="122"/>
      <c r="HK34" s="122"/>
      <c r="HL34" s="122"/>
      <c r="HM34" s="122"/>
      <c r="HN34" s="122"/>
      <c r="HO34" s="122"/>
      <c r="HP34" s="122"/>
      <c r="HQ34" s="122"/>
      <c r="HR34" s="122"/>
      <c r="HS34" s="122"/>
      <c r="HT34" s="122"/>
      <c r="HU34" s="122"/>
      <c r="HV34" s="122"/>
      <c r="HW34" s="122"/>
      <c r="HX34" s="122"/>
      <c r="HY34" s="122"/>
      <c r="HZ34" s="122"/>
      <c r="IA34" s="122"/>
      <c r="IB34" s="122"/>
      <c r="IC34" s="122"/>
      <c r="ID34" s="122"/>
      <c r="IE34" s="122"/>
      <c r="IF34" s="122"/>
      <c r="IG34" s="122"/>
      <c r="IH34" s="122"/>
      <c r="II34" s="122"/>
      <c r="IJ34" s="122"/>
      <c r="IK34" s="122"/>
      <c r="IL34" s="122"/>
      <c r="IM34" s="122"/>
      <c r="IN34" s="122"/>
      <c r="IO34" s="122"/>
      <c r="IP34" s="122"/>
      <c r="IQ34" s="122"/>
      <c r="IR34" s="122"/>
      <c r="IS34" s="122"/>
      <c r="IT34" s="122"/>
      <c r="IU34" s="122"/>
    </row>
    <row r="35" spans="1:255" s="108" customFormat="1">
      <c r="A35" s="109" t="s">
        <v>52</v>
      </c>
      <c r="B35" s="110">
        <v>45941</v>
      </c>
      <c r="C35" s="111" t="s">
        <v>53</v>
      </c>
      <c r="D35" s="112">
        <v>82347</v>
      </c>
      <c r="E35" s="114">
        <v>17</v>
      </c>
      <c r="F35" s="114">
        <f t="shared" si="11"/>
        <v>4843.9411764705883</v>
      </c>
      <c r="G35" s="114">
        <v>10</v>
      </c>
      <c r="H35" s="114">
        <f t="shared" si="12"/>
        <v>8234.7000000000007</v>
      </c>
      <c r="I35" s="114">
        <v>72</v>
      </c>
      <c r="J35" s="112">
        <f t="shared" si="13"/>
        <v>1.7</v>
      </c>
      <c r="K35" s="114"/>
      <c r="L35" s="114"/>
      <c r="M35" s="114"/>
      <c r="N35" s="115">
        <f t="shared" si="14"/>
        <v>0.1388888888888889</v>
      </c>
      <c r="O35" s="116">
        <f t="shared" si="15"/>
        <v>1.1227899610104053</v>
      </c>
      <c r="P35" s="117">
        <f t="shared" si="16"/>
        <v>73341.411002548906</v>
      </c>
      <c r="Q35" s="118">
        <f t="shared" si="17"/>
        <v>12.430747627550662</v>
      </c>
      <c r="R35" s="118">
        <f t="shared" si="18"/>
        <v>6.9835660828936303</v>
      </c>
      <c r="S35" s="117">
        <f t="shared" si="19"/>
        <v>82347</v>
      </c>
      <c r="T35" s="118">
        <f t="shared" si="20"/>
        <v>17</v>
      </c>
      <c r="U35" s="118">
        <f t="shared" si="21"/>
        <v>17</v>
      </c>
      <c r="V35" s="119">
        <v>0.85310233682514103</v>
      </c>
      <c r="W35" s="119">
        <v>0.85310233682514103</v>
      </c>
      <c r="X35" s="120"/>
      <c r="Y35" s="121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  <c r="BP35" s="122"/>
      <c r="BQ35" s="122"/>
      <c r="BR35" s="122"/>
      <c r="BS35" s="122"/>
      <c r="BT35" s="122"/>
      <c r="BU35" s="122"/>
      <c r="BV35" s="122"/>
      <c r="BW35" s="122"/>
      <c r="BX35" s="122"/>
      <c r="BY35" s="122"/>
      <c r="BZ35" s="122"/>
      <c r="CA35" s="122"/>
      <c r="CB35" s="122"/>
      <c r="CC35" s="122"/>
      <c r="CD35" s="122"/>
      <c r="CE35" s="122"/>
      <c r="CF35" s="122"/>
      <c r="CG35" s="122"/>
      <c r="CH35" s="122"/>
      <c r="CI35" s="122"/>
      <c r="CJ35" s="122"/>
      <c r="CK35" s="122"/>
      <c r="CL35" s="122"/>
      <c r="CM35" s="122"/>
      <c r="CN35" s="122"/>
      <c r="CO35" s="122"/>
      <c r="CP35" s="122"/>
      <c r="CQ35" s="122"/>
      <c r="CR35" s="122"/>
      <c r="CS35" s="122"/>
      <c r="CT35" s="122"/>
      <c r="CU35" s="122"/>
      <c r="CV35" s="122"/>
      <c r="CW35" s="122"/>
      <c r="CX35" s="122"/>
      <c r="CY35" s="122"/>
      <c r="CZ35" s="122"/>
      <c r="DA35" s="122"/>
      <c r="DB35" s="122"/>
      <c r="DC35" s="122"/>
      <c r="DD35" s="122"/>
      <c r="DE35" s="122"/>
      <c r="DF35" s="122"/>
      <c r="DG35" s="122"/>
      <c r="DH35" s="122"/>
      <c r="DI35" s="122"/>
      <c r="DJ35" s="122"/>
      <c r="DK35" s="122"/>
      <c r="DL35" s="122"/>
      <c r="DM35" s="122"/>
      <c r="DN35" s="122"/>
      <c r="DO35" s="122"/>
      <c r="DP35" s="122"/>
      <c r="DQ35" s="122"/>
      <c r="DR35" s="122"/>
      <c r="DS35" s="122"/>
      <c r="DT35" s="122"/>
      <c r="DU35" s="122"/>
      <c r="DV35" s="122"/>
      <c r="DW35" s="122"/>
      <c r="DX35" s="122"/>
      <c r="DY35" s="122"/>
      <c r="DZ35" s="122"/>
      <c r="EA35" s="122"/>
      <c r="EB35" s="122"/>
      <c r="EC35" s="122"/>
      <c r="ED35" s="122"/>
      <c r="EE35" s="122"/>
      <c r="EF35" s="122"/>
      <c r="EG35" s="122"/>
      <c r="EH35" s="122"/>
      <c r="EI35" s="122"/>
      <c r="EJ35" s="122"/>
      <c r="EK35" s="122"/>
      <c r="EL35" s="122"/>
      <c r="EM35" s="122"/>
      <c r="EN35" s="122"/>
      <c r="EO35" s="122"/>
      <c r="EP35" s="122"/>
      <c r="EQ35" s="122"/>
      <c r="ER35" s="122"/>
      <c r="ES35" s="122"/>
      <c r="ET35" s="122"/>
      <c r="EU35" s="122"/>
      <c r="EV35" s="122"/>
      <c r="EW35" s="122"/>
      <c r="EX35" s="122"/>
      <c r="EY35" s="122"/>
      <c r="EZ35" s="122"/>
      <c r="FA35" s="122"/>
      <c r="FB35" s="122"/>
      <c r="FC35" s="122"/>
      <c r="FD35" s="122"/>
      <c r="FE35" s="122"/>
      <c r="FF35" s="122"/>
      <c r="FG35" s="122"/>
      <c r="FH35" s="122"/>
      <c r="FI35" s="122"/>
      <c r="FJ35" s="122"/>
      <c r="FK35" s="122"/>
      <c r="FL35" s="122"/>
      <c r="FM35" s="122"/>
      <c r="FN35" s="122"/>
      <c r="FO35" s="122"/>
      <c r="FP35" s="122"/>
      <c r="FQ35" s="122"/>
      <c r="FR35" s="122"/>
      <c r="FS35" s="122"/>
      <c r="FT35" s="122"/>
      <c r="FU35" s="122"/>
      <c r="FV35" s="122"/>
      <c r="FW35" s="122"/>
      <c r="FX35" s="122"/>
      <c r="FY35" s="122"/>
      <c r="FZ35" s="122"/>
      <c r="GA35" s="122"/>
      <c r="GB35" s="122"/>
      <c r="GC35" s="122"/>
      <c r="GD35" s="122"/>
      <c r="GE35" s="122"/>
      <c r="GF35" s="122"/>
      <c r="GG35" s="122"/>
      <c r="GH35" s="122"/>
      <c r="GI35" s="122"/>
      <c r="GJ35" s="122"/>
      <c r="GK35" s="122"/>
      <c r="GL35" s="122"/>
      <c r="GM35" s="122"/>
      <c r="GN35" s="122"/>
      <c r="GO35" s="122"/>
      <c r="GP35" s="122"/>
      <c r="GQ35" s="122"/>
      <c r="GR35" s="122"/>
      <c r="GS35" s="122"/>
      <c r="GT35" s="122"/>
      <c r="GU35" s="122"/>
      <c r="GV35" s="122"/>
      <c r="GW35" s="122"/>
      <c r="GX35" s="122"/>
      <c r="GY35" s="122"/>
      <c r="GZ35" s="122"/>
      <c r="HA35" s="122"/>
      <c r="HB35" s="122"/>
      <c r="HC35" s="122"/>
      <c r="HD35" s="122"/>
      <c r="HE35" s="122"/>
      <c r="HF35" s="122"/>
      <c r="HG35" s="122"/>
      <c r="HH35" s="122"/>
      <c r="HI35" s="122"/>
      <c r="HJ35" s="122"/>
      <c r="HK35" s="122"/>
      <c r="HL35" s="122"/>
      <c r="HM35" s="122"/>
      <c r="HN35" s="122"/>
      <c r="HO35" s="122"/>
      <c r="HP35" s="122"/>
      <c r="HQ35" s="122"/>
      <c r="HR35" s="122"/>
      <c r="HS35" s="122"/>
      <c r="HT35" s="122"/>
      <c r="HU35" s="122"/>
      <c r="HV35" s="122"/>
      <c r="HW35" s="122"/>
      <c r="HX35" s="122"/>
      <c r="HY35" s="122"/>
      <c r="HZ35" s="122"/>
      <c r="IA35" s="122"/>
      <c r="IB35" s="122"/>
      <c r="IC35" s="122"/>
      <c r="ID35" s="122"/>
      <c r="IE35" s="122"/>
      <c r="IF35" s="122"/>
      <c r="IG35" s="122"/>
      <c r="IH35" s="122"/>
      <c r="II35" s="122"/>
      <c r="IJ35" s="122"/>
      <c r="IK35" s="122"/>
      <c r="IL35" s="122"/>
      <c r="IM35" s="122"/>
      <c r="IN35" s="122"/>
      <c r="IO35" s="122"/>
      <c r="IP35" s="122"/>
      <c r="IQ35" s="122"/>
      <c r="IR35" s="122"/>
      <c r="IS35" s="122"/>
      <c r="IT35" s="122"/>
      <c r="IU35" s="122"/>
    </row>
    <row r="36" spans="1:255" s="108" customFormat="1">
      <c r="A36" s="109" t="s">
        <v>52</v>
      </c>
      <c r="B36" s="110">
        <v>45942</v>
      </c>
      <c r="C36" s="111" t="s">
        <v>54</v>
      </c>
      <c r="D36" s="112">
        <v>87721</v>
      </c>
      <c r="E36" s="126">
        <v>12</v>
      </c>
      <c r="F36" s="114">
        <f t="shared" si="11"/>
        <v>7310.083333333333</v>
      </c>
      <c r="G36" s="114">
        <v>5</v>
      </c>
      <c r="H36" s="114">
        <f t="shared" si="12"/>
        <v>17544.2</v>
      </c>
      <c r="I36" s="114">
        <v>86</v>
      </c>
      <c r="J36" s="112">
        <f t="shared" si="13"/>
        <v>2.4</v>
      </c>
      <c r="K36" s="114">
        <v>12816</v>
      </c>
      <c r="L36" s="114"/>
      <c r="M36" s="114">
        <v>22783</v>
      </c>
      <c r="N36" s="115">
        <f t="shared" si="14"/>
        <v>5.8139534883720929E-2</v>
      </c>
      <c r="O36" s="116">
        <f t="shared" si="15"/>
        <v>1.1960637080864363</v>
      </c>
      <c r="P36" s="117">
        <f t="shared" si="16"/>
        <v>73341.411002548906</v>
      </c>
      <c r="Q36" s="118">
        <f t="shared" si="17"/>
        <v>12.430747627550662</v>
      </c>
      <c r="R36" s="118">
        <f t="shared" si="18"/>
        <v>6.9835660828936303</v>
      </c>
      <c r="S36" s="117">
        <f t="shared" si="19"/>
        <v>87721</v>
      </c>
      <c r="T36" s="118">
        <f t="shared" si="20"/>
        <v>12</v>
      </c>
      <c r="U36" s="118">
        <f t="shared" si="21"/>
        <v>12</v>
      </c>
      <c r="V36" s="119">
        <v>0.85310233682514103</v>
      </c>
      <c r="W36" s="119">
        <v>0.85310233682514103</v>
      </c>
      <c r="X36" s="120"/>
      <c r="Y36" s="121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  <c r="BP36" s="122"/>
      <c r="BQ36" s="122"/>
      <c r="BR36" s="122"/>
      <c r="BS36" s="122"/>
      <c r="BT36" s="122"/>
      <c r="BU36" s="122"/>
      <c r="BV36" s="122"/>
      <c r="BW36" s="122"/>
      <c r="BX36" s="122"/>
      <c r="BY36" s="122"/>
      <c r="BZ36" s="122"/>
      <c r="CA36" s="122"/>
      <c r="CB36" s="122"/>
      <c r="CC36" s="122"/>
      <c r="CD36" s="122"/>
      <c r="CE36" s="122"/>
      <c r="CF36" s="122"/>
      <c r="CG36" s="122"/>
      <c r="CH36" s="122"/>
      <c r="CI36" s="122"/>
      <c r="CJ36" s="122"/>
      <c r="CK36" s="122"/>
      <c r="CL36" s="122"/>
      <c r="CM36" s="122"/>
      <c r="CN36" s="122"/>
      <c r="CO36" s="122"/>
      <c r="CP36" s="122"/>
      <c r="CQ36" s="122"/>
      <c r="CR36" s="122"/>
      <c r="CS36" s="122"/>
      <c r="CT36" s="122"/>
      <c r="CU36" s="122"/>
      <c r="CV36" s="122"/>
      <c r="CW36" s="122"/>
      <c r="CX36" s="122"/>
      <c r="CY36" s="122"/>
      <c r="CZ36" s="122"/>
      <c r="DA36" s="122"/>
      <c r="DB36" s="122"/>
      <c r="DC36" s="122"/>
      <c r="DD36" s="122"/>
      <c r="DE36" s="122"/>
      <c r="DF36" s="122"/>
      <c r="DG36" s="122"/>
      <c r="DH36" s="122"/>
      <c r="DI36" s="122"/>
      <c r="DJ36" s="122"/>
      <c r="DK36" s="122"/>
      <c r="DL36" s="122"/>
      <c r="DM36" s="122"/>
      <c r="DN36" s="122"/>
      <c r="DO36" s="122"/>
      <c r="DP36" s="122"/>
      <c r="DQ36" s="122"/>
      <c r="DR36" s="122"/>
      <c r="DS36" s="122"/>
      <c r="DT36" s="122"/>
      <c r="DU36" s="122"/>
      <c r="DV36" s="122"/>
      <c r="DW36" s="122"/>
      <c r="DX36" s="122"/>
      <c r="DY36" s="122"/>
      <c r="DZ36" s="122"/>
      <c r="EA36" s="122"/>
      <c r="EB36" s="122"/>
      <c r="EC36" s="122"/>
      <c r="ED36" s="122"/>
      <c r="EE36" s="122"/>
      <c r="EF36" s="122"/>
      <c r="EG36" s="122"/>
      <c r="EH36" s="122"/>
      <c r="EI36" s="122"/>
      <c r="EJ36" s="122"/>
      <c r="EK36" s="122"/>
      <c r="EL36" s="122"/>
      <c r="EM36" s="122"/>
      <c r="EN36" s="122"/>
      <c r="EO36" s="122"/>
      <c r="EP36" s="122"/>
      <c r="EQ36" s="122"/>
      <c r="ER36" s="122"/>
      <c r="ES36" s="122"/>
      <c r="ET36" s="122"/>
      <c r="EU36" s="122"/>
      <c r="EV36" s="122"/>
      <c r="EW36" s="122"/>
      <c r="EX36" s="122"/>
      <c r="EY36" s="122"/>
      <c r="EZ36" s="122"/>
      <c r="FA36" s="122"/>
      <c r="FB36" s="122"/>
      <c r="FC36" s="122"/>
      <c r="FD36" s="122"/>
      <c r="FE36" s="122"/>
      <c r="FF36" s="122"/>
      <c r="FG36" s="122"/>
      <c r="FH36" s="122"/>
      <c r="FI36" s="122"/>
      <c r="FJ36" s="122"/>
      <c r="FK36" s="122"/>
      <c r="FL36" s="122"/>
      <c r="FM36" s="122"/>
      <c r="FN36" s="122"/>
      <c r="FO36" s="122"/>
      <c r="FP36" s="122"/>
      <c r="FQ36" s="122"/>
      <c r="FR36" s="122"/>
      <c r="FS36" s="122"/>
      <c r="FT36" s="122"/>
      <c r="FU36" s="122"/>
      <c r="FV36" s="122"/>
      <c r="FW36" s="122"/>
      <c r="FX36" s="122"/>
      <c r="FY36" s="122"/>
      <c r="FZ36" s="122"/>
      <c r="GA36" s="122"/>
      <c r="GB36" s="122"/>
      <c r="GC36" s="122"/>
      <c r="GD36" s="122"/>
      <c r="GE36" s="122"/>
      <c r="GF36" s="122"/>
      <c r="GG36" s="122"/>
      <c r="GH36" s="122"/>
      <c r="GI36" s="122"/>
      <c r="GJ36" s="122"/>
      <c r="GK36" s="122"/>
      <c r="GL36" s="122"/>
      <c r="GM36" s="122"/>
      <c r="GN36" s="122"/>
      <c r="GO36" s="122"/>
      <c r="GP36" s="122"/>
      <c r="GQ36" s="122"/>
      <c r="GR36" s="122"/>
      <c r="GS36" s="122"/>
      <c r="GT36" s="122"/>
      <c r="GU36" s="122"/>
      <c r="GV36" s="122"/>
      <c r="GW36" s="122"/>
      <c r="GX36" s="122"/>
      <c r="GY36" s="122"/>
      <c r="GZ36" s="122"/>
      <c r="HA36" s="122"/>
      <c r="HB36" s="122"/>
      <c r="HC36" s="122"/>
      <c r="HD36" s="122"/>
      <c r="HE36" s="122"/>
      <c r="HF36" s="122"/>
      <c r="HG36" s="122"/>
      <c r="HH36" s="122"/>
      <c r="HI36" s="122"/>
      <c r="HJ36" s="122"/>
      <c r="HK36" s="122"/>
      <c r="HL36" s="122"/>
      <c r="HM36" s="122"/>
      <c r="HN36" s="122"/>
      <c r="HO36" s="122"/>
      <c r="HP36" s="122"/>
      <c r="HQ36" s="122"/>
      <c r="HR36" s="122"/>
      <c r="HS36" s="122"/>
      <c r="HT36" s="122"/>
      <c r="HU36" s="122"/>
      <c r="HV36" s="122"/>
      <c r="HW36" s="122"/>
      <c r="HX36" s="122"/>
      <c r="HY36" s="122"/>
      <c r="HZ36" s="122"/>
      <c r="IA36" s="122"/>
      <c r="IB36" s="122"/>
      <c r="IC36" s="122"/>
      <c r="ID36" s="122"/>
      <c r="IE36" s="122"/>
      <c r="IF36" s="122"/>
      <c r="IG36" s="122"/>
      <c r="IH36" s="122"/>
      <c r="II36" s="122"/>
      <c r="IJ36" s="122"/>
      <c r="IK36" s="122"/>
      <c r="IL36" s="122"/>
      <c r="IM36" s="122"/>
      <c r="IN36" s="122"/>
      <c r="IO36" s="122"/>
      <c r="IP36" s="122"/>
      <c r="IQ36" s="122"/>
      <c r="IR36" s="122"/>
      <c r="IS36" s="122"/>
      <c r="IT36" s="122"/>
      <c r="IU36" s="122"/>
    </row>
    <row r="37" spans="1:255" ht="15.25" customHeight="1">
      <c r="A37" s="95" t="s">
        <v>49</v>
      </c>
      <c r="B37" s="96">
        <v>45943</v>
      </c>
      <c r="C37" s="97" t="s">
        <v>55</v>
      </c>
      <c r="D37" s="98">
        <v>11773</v>
      </c>
      <c r="E37" s="99">
        <v>2</v>
      </c>
      <c r="F37" s="99">
        <v>5886</v>
      </c>
      <c r="G37" s="99">
        <v>2</v>
      </c>
      <c r="H37" s="99">
        <f t="shared" si="12"/>
        <v>5886.5</v>
      </c>
      <c r="I37" s="99">
        <f>49*0.85</f>
        <v>41.65</v>
      </c>
      <c r="J37" s="98">
        <f t="shared" si="13"/>
        <v>1</v>
      </c>
      <c r="K37" s="99"/>
      <c r="L37" s="99"/>
      <c r="M37" s="99"/>
      <c r="N37" s="100">
        <f t="shared" si="14"/>
        <v>4.8019207683073231E-2</v>
      </c>
      <c r="O37" s="101">
        <f t="shared" si="15"/>
        <v>0.16052322745182585</v>
      </c>
      <c r="P37" s="102">
        <f t="shared" si="16"/>
        <v>73341.411002548906</v>
      </c>
      <c r="Q37" s="103">
        <f t="shared" si="17"/>
        <v>12.430747627550662</v>
      </c>
      <c r="R37" s="103">
        <f t="shared" si="18"/>
        <v>6.9835660828936303</v>
      </c>
      <c r="S37" s="102">
        <f t="shared" si="19"/>
        <v>11773</v>
      </c>
      <c r="T37" s="103">
        <f t="shared" si="20"/>
        <v>2</v>
      </c>
      <c r="U37" s="103">
        <f t="shared" si="21"/>
        <v>2</v>
      </c>
      <c r="V37" s="127">
        <v>0.85310233682514103</v>
      </c>
      <c r="W37" s="127">
        <v>0.85310233682514103</v>
      </c>
      <c r="X37" s="107"/>
      <c r="Y37" s="106"/>
    </row>
    <row r="38" spans="1:255">
      <c r="A38" s="95" t="s">
        <v>49</v>
      </c>
      <c r="B38" s="96">
        <v>45944</v>
      </c>
      <c r="C38" s="97" t="s">
        <v>56</v>
      </c>
      <c r="D38" s="98">
        <v>9763</v>
      </c>
      <c r="E38" s="99">
        <v>2</v>
      </c>
      <c r="F38" s="99">
        <f t="shared" si="11"/>
        <v>4881.5</v>
      </c>
      <c r="G38" s="99">
        <v>2</v>
      </c>
      <c r="H38" s="99">
        <f t="shared" si="12"/>
        <v>4881.5</v>
      </c>
      <c r="I38" s="99">
        <f>59*0.85</f>
        <v>50.15</v>
      </c>
      <c r="J38" s="98">
        <f t="shared" si="13"/>
        <v>1</v>
      </c>
      <c r="K38" s="99"/>
      <c r="L38" s="99"/>
      <c r="M38" s="99"/>
      <c r="N38" s="100">
        <f t="shared" si="14"/>
        <v>3.9880358923230309E-2</v>
      </c>
      <c r="O38" s="101">
        <f t="shared" si="15"/>
        <v>0.13311715532253254</v>
      </c>
      <c r="P38" s="102">
        <f t="shared" si="16"/>
        <v>73341.411002548906</v>
      </c>
      <c r="Q38" s="103">
        <f t="shared" si="17"/>
        <v>12.430747627550662</v>
      </c>
      <c r="R38" s="103">
        <f t="shared" si="18"/>
        <v>6.9835660828936303</v>
      </c>
      <c r="S38" s="102">
        <f t="shared" si="19"/>
        <v>9763</v>
      </c>
      <c r="T38" s="103">
        <f t="shared" si="20"/>
        <v>2</v>
      </c>
      <c r="U38" s="103">
        <f t="shared" si="21"/>
        <v>2</v>
      </c>
      <c r="V38" s="127">
        <v>0.85310233682514103</v>
      </c>
      <c r="W38" s="127">
        <v>0.85310233682514103</v>
      </c>
      <c r="X38" s="107"/>
      <c r="Y38" s="106"/>
    </row>
    <row r="39" spans="1:255">
      <c r="A39" s="95" t="s">
        <v>52</v>
      </c>
      <c r="B39" s="96">
        <v>45945</v>
      </c>
      <c r="C39" s="97" t="s">
        <v>48</v>
      </c>
      <c r="D39" s="98">
        <v>30491</v>
      </c>
      <c r="E39" s="99">
        <v>7</v>
      </c>
      <c r="F39" s="99">
        <f t="shared" si="11"/>
        <v>4355.8571428571431</v>
      </c>
      <c r="G39" s="99">
        <v>2</v>
      </c>
      <c r="H39" s="99">
        <f t="shared" si="12"/>
        <v>15245.5</v>
      </c>
      <c r="I39" s="99">
        <f>41*0.85</f>
        <v>34.85</v>
      </c>
      <c r="J39" s="98">
        <f t="shared" si="13"/>
        <v>3.5</v>
      </c>
      <c r="K39" s="99"/>
      <c r="L39" s="99"/>
      <c r="M39" s="99"/>
      <c r="N39" s="100">
        <f t="shared" si="14"/>
        <v>5.7388809182209469E-2</v>
      </c>
      <c r="O39" s="101">
        <f t="shared" si="15"/>
        <v>0.41574056979815016</v>
      </c>
      <c r="P39" s="102">
        <f t="shared" si="16"/>
        <v>73341.411002548906</v>
      </c>
      <c r="Q39" s="103">
        <f t="shared" si="17"/>
        <v>12.430747627550662</v>
      </c>
      <c r="R39" s="103">
        <f t="shared" si="18"/>
        <v>6.9835660828936303</v>
      </c>
      <c r="S39" s="102">
        <f t="shared" si="19"/>
        <v>30491</v>
      </c>
      <c r="T39" s="103">
        <f t="shared" si="20"/>
        <v>7</v>
      </c>
      <c r="U39" s="103">
        <f t="shared" si="21"/>
        <v>7</v>
      </c>
      <c r="V39" s="127">
        <v>0.85310233682514103</v>
      </c>
      <c r="W39" s="127">
        <v>0.85310233682514103</v>
      </c>
      <c r="X39" s="107"/>
      <c r="Y39" s="106"/>
    </row>
    <row r="40" spans="1:255">
      <c r="A40" s="95" t="s">
        <v>52</v>
      </c>
      <c r="B40" s="96">
        <v>45946</v>
      </c>
      <c r="C40" s="97" t="s">
        <v>50</v>
      </c>
      <c r="D40" s="98">
        <v>22984.2</v>
      </c>
      <c r="E40" s="99">
        <v>4</v>
      </c>
      <c r="F40" s="99">
        <f t="shared" si="11"/>
        <v>5746.05</v>
      </c>
      <c r="G40" s="99">
        <v>4</v>
      </c>
      <c r="H40" s="99">
        <f t="shared" si="12"/>
        <v>5746.05</v>
      </c>
      <c r="I40" s="99">
        <f>31*0.85</f>
        <v>26.349999999999998</v>
      </c>
      <c r="J40" s="98">
        <f t="shared" si="13"/>
        <v>1</v>
      </c>
      <c r="K40" s="99">
        <v>8811.2000000000007</v>
      </c>
      <c r="L40" s="99"/>
      <c r="M40" s="99"/>
      <c r="N40" s="100">
        <f t="shared" si="14"/>
        <v>0.15180265654648958</v>
      </c>
      <c r="O40" s="101">
        <f t="shared" si="15"/>
        <v>0.31338638956920545</v>
      </c>
      <c r="P40" s="102">
        <f t="shared" si="16"/>
        <v>73341.411002548906</v>
      </c>
      <c r="Q40" s="103">
        <f t="shared" si="17"/>
        <v>12.430747627550662</v>
      </c>
      <c r="R40" s="103">
        <f t="shared" si="18"/>
        <v>6.9835660828936303</v>
      </c>
      <c r="S40" s="102">
        <f t="shared" si="19"/>
        <v>22984.2</v>
      </c>
      <c r="T40" s="103">
        <f t="shared" si="20"/>
        <v>4</v>
      </c>
      <c r="U40" s="103">
        <f t="shared" si="21"/>
        <v>4</v>
      </c>
      <c r="V40" s="127">
        <v>0.85310233682514103</v>
      </c>
      <c r="W40" s="127">
        <v>0.85310233682514103</v>
      </c>
      <c r="X40" s="107"/>
      <c r="Y40" s="106"/>
    </row>
    <row r="41" spans="1:255" s="108" customFormat="1">
      <c r="A41" s="109" t="s">
        <v>49</v>
      </c>
      <c r="B41" s="110">
        <v>45947</v>
      </c>
      <c r="C41" s="111" t="s">
        <v>51</v>
      </c>
      <c r="D41" s="112">
        <v>68088</v>
      </c>
      <c r="E41" s="114">
        <v>13</v>
      </c>
      <c r="F41" s="114">
        <f t="shared" si="11"/>
        <v>5237.5384615384619</v>
      </c>
      <c r="G41" s="114">
        <v>9</v>
      </c>
      <c r="H41" s="114">
        <f t="shared" si="12"/>
        <v>7565.333333333333</v>
      </c>
      <c r="I41" s="114">
        <f>79*0.85</f>
        <v>67.149999999999991</v>
      </c>
      <c r="J41" s="112">
        <f t="shared" si="13"/>
        <v>1.4444444444444444</v>
      </c>
      <c r="K41" s="114"/>
      <c r="L41" s="114"/>
      <c r="M41" s="114">
        <v>7590</v>
      </c>
      <c r="N41" s="115">
        <f t="shared" si="14"/>
        <v>0.13402829486224871</v>
      </c>
      <c r="O41" s="116">
        <f t="shared" si="15"/>
        <v>0.83413925689057455</v>
      </c>
      <c r="P41" s="117">
        <f t="shared" si="16"/>
        <v>81626.658183924839</v>
      </c>
      <c r="Q41" s="118">
        <f t="shared" si="17"/>
        <v>13.835026810834719</v>
      </c>
      <c r="R41" s="118">
        <f t="shared" si="18"/>
        <v>7.7724869723790562</v>
      </c>
      <c r="S41" s="117">
        <f t="shared" si="19"/>
        <v>68088</v>
      </c>
      <c r="T41" s="118">
        <f t="shared" si="20"/>
        <v>13</v>
      </c>
      <c r="U41" s="118">
        <f t="shared" si="21"/>
        <v>13</v>
      </c>
      <c r="V41" s="119">
        <v>0.9</v>
      </c>
      <c r="W41" s="119">
        <v>0.9</v>
      </c>
      <c r="X41" s="120"/>
      <c r="Y41" s="121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  <c r="BP41" s="122"/>
      <c r="BQ41" s="122"/>
      <c r="BR41" s="122"/>
      <c r="BS41" s="122"/>
      <c r="BT41" s="122"/>
      <c r="BU41" s="122"/>
      <c r="BV41" s="122"/>
      <c r="BW41" s="122"/>
      <c r="BX41" s="122"/>
      <c r="BY41" s="122"/>
      <c r="BZ41" s="122"/>
      <c r="CA41" s="122"/>
      <c r="CB41" s="122"/>
      <c r="CC41" s="122"/>
      <c r="CD41" s="122"/>
      <c r="CE41" s="122"/>
      <c r="CF41" s="122"/>
      <c r="CG41" s="122"/>
      <c r="CH41" s="122"/>
      <c r="CI41" s="122"/>
      <c r="CJ41" s="122"/>
      <c r="CK41" s="122"/>
      <c r="CL41" s="122"/>
      <c r="CM41" s="122"/>
      <c r="CN41" s="122"/>
      <c r="CO41" s="122"/>
      <c r="CP41" s="122"/>
      <c r="CQ41" s="122"/>
      <c r="CR41" s="122"/>
      <c r="CS41" s="122"/>
      <c r="CT41" s="122"/>
      <c r="CU41" s="122"/>
      <c r="CV41" s="122"/>
      <c r="CW41" s="122"/>
      <c r="CX41" s="122"/>
      <c r="CY41" s="122"/>
      <c r="CZ41" s="122"/>
      <c r="DA41" s="122"/>
      <c r="DB41" s="122"/>
      <c r="DC41" s="122"/>
      <c r="DD41" s="122"/>
      <c r="DE41" s="122"/>
      <c r="DF41" s="122"/>
      <c r="DG41" s="122"/>
      <c r="DH41" s="122"/>
      <c r="DI41" s="122"/>
      <c r="DJ41" s="122"/>
      <c r="DK41" s="122"/>
      <c r="DL41" s="122"/>
      <c r="DM41" s="122"/>
      <c r="DN41" s="122"/>
      <c r="DO41" s="122"/>
      <c r="DP41" s="122"/>
      <c r="DQ41" s="122"/>
      <c r="DR41" s="122"/>
      <c r="DS41" s="122"/>
      <c r="DT41" s="122"/>
      <c r="DU41" s="122"/>
      <c r="DV41" s="122"/>
      <c r="DW41" s="122"/>
      <c r="DX41" s="122"/>
      <c r="DY41" s="122"/>
      <c r="DZ41" s="122"/>
      <c r="EA41" s="122"/>
      <c r="EB41" s="122"/>
      <c r="EC41" s="122"/>
      <c r="ED41" s="122"/>
      <c r="EE41" s="122"/>
      <c r="EF41" s="122"/>
      <c r="EG41" s="122"/>
      <c r="EH41" s="122"/>
      <c r="EI41" s="122"/>
      <c r="EJ41" s="122"/>
      <c r="EK41" s="122"/>
      <c r="EL41" s="122"/>
      <c r="EM41" s="122"/>
      <c r="EN41" s="122"/>
      <c r="EO41" s="122"/>
      <c r="EP41" s="122"/>
      <c r="EQ41" s="122"/>
      <c r="ER41" s="122"/>
      <c r="ES41" s="122"/>
      <c r="ET41" s="122"/>
      <c r="EU41" s="122"/>
      <c r="EV41" s="122"/>
      <c r="EW41" s="122"/>
      <c r="EX41" s="122"/>
      <c r="EY41" s="122"/>
      <c r="EZ41" s="122"/>
      <c r="FA41" s="122"/>
      <c r="FB41" s="122"/>
      <c r="FC41" s="122"/>
      <c r="FD41" s="122"/>
      <c r="FE41" s="122"/>
      <c r="FF41" s="122"/>
      <c r="FG41" s="122"/>
      <c r="FH41" s="122"/>
      <c r="FI41" s="122"/>
      <c r="FJ41" s="122"/>
      <c r="FK41" s="122"/>
      <c r="FL41" s="122"/>
      <c r="FM41" s="122"/>
      <c r="FN41" s="122"/>
      <c r="FO41" s="122"/>
      <c r="FP41" s="122"/>
      <c r="FQ41" s="122"/>
      <c r="FR41" s="122"/>
      <c r="FS41" s="122"/>
      <c r="FT41" s="122"/>
      <c r="FU41" s="122"/>
      <c r="FV41" s="122"/>
      <c r="FW41" s="122"/>
      <c r="FX41" s="122"/>
      <c r="FY41" s="122"/>
      <c r="FZ41" s="122"/>
      <c r="GA41" s="122"/>
      <c r="GB41" s="122"/>
      <c r="GC41" s="122"/>
      <c r="GD41" s="122"/>
      <c r="GE41" s="122"/>
      <c r="GF41" s="122"/>
      <c r="GG41" s="122"/>
      <c r="GH41" s="122"/>
      <c r="GI41" s="122"/>
      <c r="GJ41" s="122"/>
      <c r="GK41" s="122"/>
      <c r="GL41" s="122"/>
      <c r="GM41" s="122"/>
      <c r="GN41" s="122"/>
      <c r="GO41" s="122"/>
      <c r="GP41" s="122"/>
      <c r="GQ41" s="122"/>
      <c r="GR41" s="122"/>
      <c r="GS41" s="122"/>
      <c r="GT41" s="122"/>
      <c r="GU41" s="122"/>
      <c r="GV41" s="122"/>
      <c r="GW41" s="122"/>
      <c r="GX41" s="122"/>
      <c r="GY41" s="122"/>
      <c r="GZ41" s="122"/>
      <c r="HA41" s="122"/>
      <c r="HB41" s="122"/>
      <c r="HC41" s="122"/>
      <c r="HD41" s="122"/>
      <c r="HE41" s="122"/>
      <c r="HF41" s="122"/>
      <c r="HG41" s="122"/>
      <c r="HH41" s="122"/>
      <c r="HI41" s="122"/>
      <c r="HJ41" s="122"/>
      <c r="HK41" s="122"/>
      <c r="HL41" s="122"/>
      <c r="HM41" s="122"/>
      <c r="HN41" s="122"/>
      <c r="HO41" s="122"/>
      <c r="HP41" s="122"/>
      <c r="HQ41" s="122"/>
      <c r="HR41" s="122"/>
      <c r="HS41" s="122"/>
      <c r="HT41" s="122"/>
      <c r="HU41" s="122"/>
      <c r="HV41" s="122"/>
      <c r="HW41" s="122"/>
      <c r="HX41" s="122"/>
      <c r="HY41" s="122"/>
      <c r="HZ41" s="122"/>
      <c r="IA41" s="122"/>
      <c r="IB41" s="122"/>
      <c r="IC41" s="122"/>
      <c r="ID41" s="122"/>
      <c r="IE41" s="122"/>
      <c r="IF41" s="122"/>
      <c r="IG41" s="122"/>
      <c r="IH41" s="122"/>
      <c r="II41" s="122"/>
      <c r="IJ41" s="122"/>
      <c r="IK41" s="122"/>
      <c r="IL41" s="122"/>
      <c r="IM41" s="122"/>
      <c r="IN41" s="122"/>
      <c r="IO41" s="122"/>
      <c r="IP41" s="122"/>
      <c r="IQ41" s="122"/>
      <c r="IR41" s="122"/>
      <c r="IS41" s="122"/>
      <c r="IT41" s="122"/>
      <c r="IU41" s="122"/>
    </row>
    <row r="42" spans="1:255" s="108" customFormat="1">
      <c r="A42" s="109" t="s">
        <v>49</v>
      </c>
      <c r="B42" s="110">
        <v>45948</v>
      </c>
      <c r="C42" s="111" t="s">
        <v>53</v>
      </c>
      <c r="D42" s="112">
        <v>39984</v>
      </c>
      <c r="E42" s="114">
        <v>6</v>
      </c>
      <c r="F42" s="114">
        <f t="shared" si="11"/>
        <v>6664</v>
      </c>
      <c r="G42" s="114">
        <v>5</v>
      </c>
      <c r="H42" s="114">
        <f t="shared" si="12"/>
        <v>7996.8</v>
      </c>
      <c r="I42" s="114">
        <f>101*0.85</f>
        <v>85.85</v>
      </c>
      <c r="J42" s="112">
        <f t="shared" si="13"/>
        <v>1.2</v>
      </c>
      <c r="K42" s="114"/>
      <c r="L42" s="114"/>
      <c r="M42" s="114"/>
      <c r="N42" s="115">
        <f t="shared" si="14"/>
        <v>5.8241118229470007E-2</v>
      </c>
      <c r="O42" s="116">
        <f t="shared" si="15"/>
        <v>0.39677037772419976</v>
      </c>
      <c r="P42" s="117">
        <f t="shared" si="16"/>
        <v>100773.65207891955</v>
      </c>
      <c r="Q42" s="118">
        <f t="shared" si="17"/>
        <v>17.080280013376196</v>
      </c>
      <c r="R42" s="118">
        <f t="shared" si="18"/>
        <v>9.5956629288630317</v>
      </c>
      <c r="S42" s="117">
        <f t="shared" si="19"/>
        <v>39984</v>
      </c>
      <c r="T42" s="118">
        <f t="shared" si="20"/>
        <v>6</v>
      </c>
      <c r="U42" s="118">
        <f t="shared" si="21"/>
        <v>6</v>
      </c>
      <c r="V42" s="119">
        <v>1</v>
      </c>
      <c r="W42" s="119">
        <v>1</v>
      </c>
      <c r="X42" s="120"/>
      <c r="Y42" s="121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  <c r="BP42" s="122"/>
      <c r="BQ42" s="122"/>
      <c r="BR42" s="122"/>
      <c r="BS42" s="122"/>
      <c r="BT42" s="122"/>
      <c r="BU42" s="122"/>
      <c r="BV42" s="122"/>
      <c r="BW42" s="122"/>
      <c r="BX42" s="122"/>
      <c r="BY42" s="122"/>
      <c r="BZ42" s="122"/>
      <c r="CA42" s="122"/>
      <c r="CB42" s="122"/>
      <c r="CC42" s="122"/>
      <c r="CD42" s="122"/>
      <c r="CE42" s="122"/>
      <c r="CF42" s="122"/>
      <c r="CG42" s="122"/>
      <c r="CH42" s="122"/>
      <c r="CI42" s="122"/>
      <c r="CJ42" s="122"/>
      <c r="CK42" s="122"/>
      <c r="CL42" s="122"/>
      <c r="CM42" s="122"/>
      <c r="CN42" s="122"/>
      <c r="CO42" s="122"/>
      <c r="CP42" s="122"/>
      <c r="CQ42" s="122"/>
      <c r="CR42" s="122"/>
      <c r="CS42" s="122"/>
      <c r="CT42" s="122"/>
      <c r="CU42" s="122"/>
      <c r="CV42" s="122"/>
      <c r="CW42" s="122"/>
      <c r="CX42" s="122"/>
      <c r="CY42" s="122"/>
      <c r="CZ42" s="122"/>
      <c r="DA42" s="122"/>
      <c r="DB42" s="122"/>
      <c r="DC42" s="122"/>
      <c r="DD42" s="122"/>
      <c r="DE42" s="122"/>
      <c r="DF42" s="122"/>
      <c r="DG42" s="122"/>
      <c r="DH42" s="122"/>
      <c r="DI42" s="122"/>
      <c r="DJ42" s="122"/>
      <c r="DK42" s="122"/>
      <c r="DL42" s="122"/>
      <c r="DM42" s="122"/>
      <c r="DN42" s="122"/>
      <c r="DO42" s="122"/>
      <c r="DP42" s="122"/>
      <c r="DQ42" s="122"/>
      <c r="DR42" s="122"/>
      <c r="DS42" s="122"/>
      <c r="DT42" s="122"/>
      <c r="DU42" s="122"/>
      <c r="DV42" s="122"/>
      <c r="DW42" s="122"/>
      <c r="DX42" s="122"/>
      <c r="DY42" s="122"/>
      <c r="DZ42" s="122"/>
      <c r="EA42" s="122"/>
      <c r="EB42" s="122"/>
      <c r="EC42" s="122"/>
      <c r="ED42" s="122"/>
      <c r="EE42" s="122"/>
      <c r="EF42" s="122"/>
      <c r="EG42" s="122"/>
      <c r="EH42" s="122"/>
      <c r="EI42" s="122"/>
      <c r="EJ42" s="122"/>
      <c r="EK42" s="122"/>
      <c r="EL42" s="122"/>
      <c r="EM42" s="122"/>
      <c r="EN42" s="122"/>
      <c r="EO42" s="122"/>
      <c r="EP42" s="122"/>
      <c r="EQ42" s="122"/>
      <c r="ER42" s="122"/>
      <c r="ES42" s="122"/>
      <c r="ET42" s="122"/>
      <c r="EU42" s="122"/>
      <c r="EV42" s="122"/>
      <c r="EW42" s="122"/>
      <c r="EX42" s="122"/>
      <c r="EY42" s="122"/>
      <c r="EZ42" s="122"/>
      <c r="FA42" s="122"/>
      <c r="FB42" s="122"/>
      <c r="FC42" s="122"/>
      <c r="FD42" s="122"/>
      <c r="FE42" s="122"/>
      <c r="FF42" s="122"/>
      <c r="FG42" s="122"/>
      <c r="FH42" s="122"/>
      <c r="FI42" s="122"/>
      <c r="FJ42" s="122"/>
      <c r="FK42" s="122"/>
      <c r="FL42" s="122"/>
      <c r="FM42" s="122"/>
      <c r="FN42" s="122"/>
      <c r="FO42" s="122"/>
      <c r="FP42" s="122"/>
      <c r="FQ42" s="122"/>
      <c r="FR42" s="122"/>
      <c r="FS42" s="122"/>
      <c r="FT42" s="122"/>
      <c r="FU42" s="122"/>
      <c r="FV42" s="122"/>
      <c r="FW42" s="122"/>
      <c r="FX42" s="122"/>
      <c r="FY42" s="122"/>
      <c r="FZ42" s="122"/>
      <c r="GA42" s="122"/>
      <c r="GB42" s="122"/>
      <c r="GC42" s="122"/>
      <c r="GD42" s="122"/>
      <c r="GE42" s="122"/>
      <c r="GF42" s="122"/>
      <c r="GG42" s="122"/>
      <c r="GH42" s="122"/>
      <c r="GI42" s="122"/>
      <c r="GJ42" s="122"/>
      <c r="GK42" s="122"/>
      <c r="GL42" s="122"/>
      <c r="GM42" s="122"/>
      <c r="GN42" s="122"/>
      <c r="GO42" s="122"/>
      <c r="GP42" s="122"/>
      <c r="GQ42" s="122"/>
      <c r="GR42" s="122"/>
      <c r="GS42" s="122"/>
      <c r="GT42" s="122"/>
      <c r="GU42" s="122"/>
      <c r="GV42" s="122"/>
      <c r="GW42" s="122"/>
      <c r="GX42" s="122"/>
      <c r="GY42" s="122"/>
      <c r="GZ42" s="122"/>
      <c r="HA42" s="122"/>
      <c r="HB42" s="122"/>
      <c r="HC42" s="122"/>
      <c r="HD42" s="122"/>
      <c r="HE42" s="122"/>
      <c r="HF42" s="122"/>
      <c r="HG42" s="122"/>
      <c r="HH42" s="122"/>
      <c r="HI42" s="122"/>
      <c r="HJ42" s="122"/>
      <c r="HK42" s="122"/>
      <c r="HL42" s="122"/>
      <c r="HM42" s="122"/>
      <c r="HN42" s="122"/>
      <c r="HO42" s="122"/>
      <c r="HP42" s="122"/>
      <c r="HQ42" s="122"/>
      <c r="HR42" s="122"/>
      <c r="HS42" s="122"/>
      <c r="HT42" s="122"/>
      <c r="HU42" s="122"/>
      <c r="HV42" s="122"/>
      <c r="HW42" s="122"/>
      <c r="HX42" s="122"/>
      <c r="HY42" s="122"/>
      <c r="HZ42" s="122"/>
      <c r="IA42" s="122"/>
      <c r="IB42" s="122"/>
      <c r="IC42" s="122"/>
      <c r="ID42" s="122"/>
      <c r="IE42" s="122"/>
      <c r="IF42" s="122"/>
      <c r="IG42" s="122"/>
      <c r="IH42" s="122"/>
      <c r="II42" s="122"/>
      <c r="IJ42" s="122"/>
      <c r="IK42" s="122"/>
      <c r="IL42" s="122"/>
      <c r="IM42" s="122"/>
      <c r="IN42" s="122"/>
      <c r="IO42" s="122"/>
      <c r="IP42" s="122"/>
      <c r="IQ42" s="122"/>
      <c r="IR42" s="122"/>
      <c r="IS42" s="122"/>
      <c r="IT42" s="122"/>
      <c r="IU42" s="122"/>
    </row>
    <row r="43" spans="1:255" s="108" customFormat="1">
      <c r="A43" s="109" t="s">
        <v>49</v>
      </c>
      <c r="B43" s="110">
        <v>45949</v>
      </c>
      <c r="C43" s="111" t="s">
        <v>54</v>
      </c>
      <c r="D43" s="112">
        <v>25793</v>
      </c>
      <c r="E43" s="114">
        <v>6</v>
      </c>
      <c r="F43" s="114">
        <v>4299</v>
      </c>
      <c r="G43" s="114">
        <v>4</v>
      </c>
      <c r="H43" s="114">
        <f t="shared" si="12"/>
        <v>6448.25</v>
      </c>
      <c r="I43" s="114">
        <f>52*0.85</f>
        <v>44.199999999999996</v>
      </c>
      <c r="J43" s="112">
        <f t="shared" si="13"/>
        <v>1.5</v>
      </c>
      <c r="K43" s="114"/>
      <c r="L43" s="114"/>
      <c r="M43" s="114"/>
      <c r="N43" s="115">
        <f t="shared" si="14"/>
        <v>9.0497737556561098E-2</v>
      </c>
      <c r="O43" s="116">
        <f t="shared" si="15"/>
        <v>0.25594983875150773</v>
      </c>
      <c r="P43" s="117">
        <f t="shared" si="16"/>
        <v>100773.65207891955</v>
      </c>
      <c r="Q43" s="118">
        <f t="shared" si="17"/>
        <v>17.080280013376196</v>
      </c>
      <c r="R43" s="118">
        <f t="shared" si="18"/>
        <v>9.5956629288630317</v>
      </c>
      <c r="S43" s="117">
        <f t="shared" si="19"/>
        <v>25793</v>
      </c>
      <c r="T43" s="118">
        <f t="shared" si="20"/>
        <v>6</v>
      </c>
      <c r="U43" s="118">
        <f t="shared" si="21"/>
        <v>6</v>
      </c>
      <c r="V43" s="119">
        <v>1</v>
      </c>
      <c r="W43" s="119">
        <v>1</v>
      </c>
      <c r="X43" s="120"/>
      <c r="Y43" s="121"/>
      <c r="Z43" s="128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  <c r="BP43" s="122"/>
      <c r="BQ43" s="122"/>
      <c r="BR43" s="122"/>
      <c r="BS43" s="122"/>
      <c r="BT43" s="122"/>
      <c r="BU43" s="122"/>
      <c r="BV43" s="122"/>
      <c r="BW43" s="122"/>
      <c r="BX43" s="122"/>
      <c r="BY43" s="122"/>
      <c r="BZ43" s="122"/>
      <c r="CA43" s="122"/>
      <c r="CB43" s="122"/>
      <c r="CC43" s="122"/>
      <c r="CD43" s="122"/>
      <c r="CE43" s="122"/>
      <c r="CF43" s="122"/>
      <c r="CG43" s="122"/>
      <c r="CH43" s="122"/>
      <c r="CI43" s="122"/>
      <c r="CJ43" s="122"/>
      <c r="CK43" s="122"/>
      <c r="CL43" s="122"/>
      <c r="CM43" s="122"/>
      <c r="CN43" s="122"/>
      <c r="CO43" s="122"/>
      <c r="CP43" s="122"/>
      <c r="CQ43" s="122"/>
      <c r="CR43" s="122"/>
      <c r="CS43" s="122"/>
      <c r="CT43" s="122"/>
      <c r="CU43" s="122"/>
      <c r="CV43" s="122"/>
      <c r="CW43" s="122"/>
      <c r="CX43" s="122"/>
      <c r="CY43" s="122"/>
      <c r="CZ43" s="122"/>
      <c r="DA43" s="122"/>
      <c r="DB43" s="122"/>
      <c r="DC43" s="122"/>
      <c r="DD43" s="122"/>
      <c r="DE43" s="122"/>
      <c r="DF43" s="122"/>
      <c r="DG43" s="122"/>
      <c r="DH43" s="122"/>
      <c r="DI43" s="122"/>
      <c r="DJ43" s="122"/>
      <c r="DK43" s="122"/>
      <c r="DL43" s="122"/>
      <c r="DM43" s="122"/>
      <c r="DN43" s="122"/>
      <c r="DO43" s="122"/>
      <c r="DP43" s="122"/>
      <c r="DQ43" s="122"/>
      <c r="DR43" s="122"/>
      <c r="DS43" s="122"/>
      <c r="DT43" s="122"/>
      <c r="DU43" s="122"/>
      <c r="DV43" s="122"/>
      <c r="DW43" s="122"/>
      <c r="DX43" s="122"/>
      <c r="DY43" s="122"/>
      <c r="DZ43" s="122"/>
      <c r="EA43" s="122"/>
      <c r="EB43" s="122"/>
      <c r="EC43" s="122"/>
      <c r="ED43" s="122"/>
      <c r="EE43" s="122"/>
      <c r="EF43" s="122"/>
      <c r="EG43" s="122"/>
      <c r="EH43" s="122"/>
      <c r="EI43" s="122"/>
      <c r="EJ43" s="122"/>
      <c r="EK43" s="122"/>
      <c r="EL43" s="122"/>
      <c r="EM43" s="122"/>
      <c r="EN43" s="122"/>
      <c r="EO43" s="122"/>
      <c r="EP43" s="122"/>
      <c r="EQ43" s="122"/>
      <c r="ER43" s="122"/>
      <c r="ES43" s="122"/>
      <c r="ET43" s="122"/>
      <c r="EU43" s="122"/>
      <c r="EV43" s="122"/>
      <c r="EW43" s="122"/>
      <c r="EX43" s="122"/>
      <c r="EY43" s="122"/>
      <c r="EZ43" s="122"/>
      <c r="FA43" s="122"/>
      <c r="FB43" s="122"/>
      <c r="FC43" s="122"/>
      <c r="FD43" s="122"/>
      <c r="FE43" s="122"/>
      <c r="FF43" s="122"/>
      <c r="FG43" s="122"/>
      <c r="FH43" s="122"/>
      <c r="FI43" s="122"/>
      <c r="FJ43" s="122"/>
      <c r="FK43" s="122"/>
      <c r="FL43" s="122"/>
      <c r="FM43" s="122"/>
      <c r="FN43" s="122"/>
      <c r="FO43" s="122"/>
      <c r="FP43" s="122"/>
      <c r="FQ43" s="122"/>
      <c r="FR43" s="122"/>
      <c r="FS43" s="122"/>
      <c r="FT43" s="122"/>
      <c r="FU43" s="122"/>
      <c r="FV43" s="122"/>
      <c r="FW43" s="122"/>
      <c r="FX43" s="122"/>
      <c r="FY43" s="122"/>
      <c r="FZ43" s="122"/>
      <c r="GA43" s="122"/>
      <c r="GB43" s="122"/>
      <c r="GC43" s="122"/>
      <c r="GD43" s="122"/>
      <c r="GE43" s="122"/>
      <c r="GF43" s="122"/>
      <c r="GG43" s="122"/>
      <c r="GH43" s="122"/>
      <c r="GI43" s="122"/>
      <c r="GJ43" s="122"/>
      <c r="GK43" s="122"/>
      <c r="GL43" s="122"/>
      <c r="GM43" s="122"/>
      <c r="GN43" s="122"/>
      <c r="GO43" s="122"/>
      <c r="GP43" s="122"/>
      <c r="GQ43" s="122"/>
      <c r="GR43" s="122"/>
      <c r="GS43" s="122"/>
      <c r="GT43" s="122"/>
      <c r="GU43" s="122"/>
      <c r="GV43" s="122"/>
      <c r="GW43" s="122"/>
      <c r="GX43" s="122"/>
      <c r="GY43" s="122"/>
      <c r="GZ43" s="122"/>
      <c r="HA43" s="122"/>
      <c r="HB43" s="122"/>
      <c r="HC43" s="122"/>
      <c r="HD43" s="122"/>
      <c r="HE43" s="122"/>
      <c r="HF43" s="122"/>
      <c r="HG43" s="122"/>
      <c r="HH43" s="122"/>
      <c r="HI43" s="122"/>
      <c r="HJ43" s="122"/>
      <c r="HK43" s="122"/>
      <c r="HL43" s="122"/>
      <c r="HM43" s="122"/>
      <c r="HN43" s="122"/>
      <c r="HO43" s="122"/>
      <c r="HP43" s="122"/>
      <c r="HQ43" s="122"/>
      <c r="HR43" s="122"/>
      <c r="HS43" s="122"/>
      <c r="HT43" s="122"/>
      <c r="HU43" s="122"/>
      <c r="HV43" s="122"/>
      <c r="HW43" s="122"/>
      <c r="HX43" s="122"/>
      <c r="HY43" s="122"/>
      <c r="HZ43" s="122"/>
      <c r="IA43" s="122"/>
      <c r="IB43" s="122"/>
      <c r="IC43" s="122"/>
      <c r="ID43" s="122"/>
      <c r="IE43" s="122"/>
      <c r="IF43" s="122"/>
      <c r="IG43" s="122"/>
      <c r="IH43" s="122"/>
      <c r="II43" s="122"/>
      <c r="IJ43" s="122"/>
      <c r="IK43" s="122"/>
      <c r="IL43" s="122"/>
      <c r="IM43" s="122"/>
      <c r="IN43" s="122"/>
      <c r="IO43" s="122"/>
      <c r="IP43" s="122"/>
      <c r="IQ43" s="122"/>
      <c r="IR43" s="122"/>
      <c r="IS43" s="122"/>
      <c r="IT43" s="122"/>
      <c r="IU43" s="122"/>
    </row>
    <row r="44" spans="1:255">
      <c r="A44" s="95" t="s">
        <v>52</v>
      </c>
      <c r="B44" s="96">
        <v>45950</v>
      </c>
      <c r="C44" s="97" t="s">
        <v>55</v>
      </c>
      <c r="D44" s="98">
        <v>33331</v>
      </c>
      <c r="E44" s="99">
        <v>6</v>
      </c>
      <c r="F44" s="99">
        <v>5555</v>
      </c>
      <c r="G44" s="99">
        <v>4</v>
      </c>
      <c r="H44" s="99">
        <f t="shared" si="12"/>
        <v>8332.75</v>
      </c>
      <c r="I44" s="99">
        <f>51*0.85</f>
        <v>43.35</v>
      </c>
      <c r="J44" s="98">
        <f t="shared" si="13"/>
        <v>1.5</v>
      </c>
      <c r="K44" s="99"/>
      <c r="L44" s="99"/>
      <c r="M44" s="99"/>
      <c r="N44" s="100">
        <f t="shared" si="14"/>
        <v>9.22722029988466E-2</v>
      </c>
      <c r="O44" s="101">
        <f t="shared" si="15"/>
        <v>0.45446357718481328</v>
      </c>
      <c r="P44" s="102">
        <f t="shared" si="16"/>
        <v>73341.411002548906</v>
      </c>
      <c r="Q44" s="103">
        <f t="shared" si="17"/>
        <v>12.430747627550662</v>
      </c>
      <c r="R44" s="103">
        <f t="shared" si="18"/>
        <v>6.9835660828936303</v>
      </c>
      <c r="S44" s="102">
        <f t="shared" si="19"/>
        <v>33331</v>
      </c>
      <c r="T44" s="103">
        <f t="shared" si="20"/>
        <v>6</v>
      </c>
      <c r="U44" s="103">
        <f t="shared" si="21"/>
        <v>6</v>
      </c>
      <c r="V44" s="127">
        <v>0.85310233682514103</v>
      </c>
      <c r="W44" s="127">
        <v>0.85310233682514103</v>
      </c>
      <c r="X44" s="107"/>
      <c r="Y44" s="106"/>
      <c r="Z44" s="129"/>
    </row>
    <row r="45" spans="1:255">
      <c r="A45" s="95" t="s">
        <v>52</v>
      </c>
      <c r="B45" s="96">
        <v>45951</v>
      </c>
      <c r="C45" s="97" t="s">
        <v>56</v>
      </c>
      <c r="D45" s="98">
        <v>28366</v>
      </c>
      <c r="E45" s="99">
        <v>5</v>
      </c>
      <c r="F45" s="99">
        <v>5673</v>
      </c>
      <c r="G45" s="99">
        <v>3</v>
      </c>
      <c r="H45" s="99">
        <f t="shared" si="12"/>
        <v>9455.3333333333339</v>
      </c>
      <c r="I45" s="99">
        <f>45*0.85</f>
        <v>38.25</v>
      </c>
      <c r="J45" s="98">
        <f t="shared" si="13"/>
        <v>1.6666666666666667</v>
      </c>
      <c r="K45" s="99"/>
      <c r="L45" s="99"/>
      <c r="M45" s="99">
        <v>8004</v>
      </c>
      <c r="N45" s="100">
        <f t="shared" si="14"/>
        <v>7.8431372549019607E-2</v>
      </c>
      <c r="O45" s="101">
        <f t="shared" si="15"/>
        <v>0.38676648856693213</v>
      </c>
      <c r="P45" s="102">
        <f t="shared" si="16"/>
        <v>73341.411002548906</v>
      </c>
      <c r="Q45" s="103">
        <f t="shared" si="17"/>
        <v>12.430747627550662</v>
      </c>
      <c r="R45" s="103">
        <f t="shared" si="18"/>
        <v>6.9835660828936303</v>
      </c>
      <c r="S45" s="102">
        <f t="shared" si="19"/>
        <v>28366</v>
      </c>
      <c r="T45" s="103">
        <f t="shared" si="20"/>
        <v>5</v>
      </c>
      <c r="U45" s="103">
        <f t="shared" si="21"/>
        <v>5</v>
      </c>
      <c r="V45" s="127">
        <v>0.85310233682514103</v>
      </c>
      <c r="W45" s="127">
        <v>0.85310233682514103</v>
      </c>
      <c r="X45" s="107"/>
      <c r="Y45" s="106"/>
      <c r="Z45" s="129"/>
    </row>
    <row r="46" spans="1:255">
      <c r="A46" s="95" t="s">
        <v>47</v>
      </c>
      <c r="B46" s="96">
        <v>45952</v>
      </c>
      <c r="C46" s="97" t="s">
        <v>48</v>
      </c>
      <c r="D46" s="98">
        <v>40740</v>
      </c>
      <c r="E46" s="99">
        <v>6</v>
      </c>
      <c r="F46" s="99">
        <v>6790</v>
      </c>
      <c r="G46" s="99">
        <v>1</v>
      </c>
      <c r="H46" s="99">
        <f t="shared" si="12"/>
        <v>40740</v>
      </c>
      <c r="I46" s="99">
        <f>42*0.85</f>
        <v>35.699999999999996</v>
      </c>
      <c r="J46" s="98">
        <f t="shared" si="13"/>
        <v>6</v>
      </c>
      <c r="K46" s="99"/>
      <c r="L46" s="99"/>
      <c r="M46" s="99">
        <v>17480</v>
      </c>
      <c r="N46" s="100">
        <f t="shared" si="14"/>
        <v>2.8011204481792722E-2</v>
      </c>
      <c r="O46" s="101">
        <f t="shared" si="15"/>
        <v>0.55548426793403416</v>
      </c>
      <c r="P46" s="102">
        <f t="shared" si="16"/>
        <v>73341.411002548906</v>
      </c>
      <c r="Q46" s="103">
        <f t="shared" si="17"/>
        <v>12.430747627550662</v>
      </c>
      <c r="R46" s="103">
        <f t="shared" si="18"/>
        <v>6.9835660828936303</v>
      </c>
      <c r="S46" s="102">
        <f t="shared" si="19"/>
        <v>40740</v>
      </c>
      <c r="T46" s="103">
        <f t="shared" si="20"/>
        <v>6</v>
      </c>
      <c r="U46" s="103">
        <f t="shared" si="21"/>
        <v>6</v>
      </c>
      <c r="V46" s="127">
        <v>0.85310233682514103</v>
      </c>
      <c r="W46" s="127">
        <v>0.85310233682514103</v>
      </c>
      <c r="X46" s="107"/>
      <c r="Y46" s="106"/>
      <c r="Z46" s="129"/>
    </row>
    <row r="47" spans="1:255">
      <c r="A47" s="95" t="s">
        <v>52</v>
      </c>
      <c r="B47" s="96">
        <v>45953</v>
      </c>
      <c r="C47" s="97" t="s">
        <v>50</v>
      </c>
      <c r="D47" s="98">
        <f>49591+8903</f>
        <v>58494</v>
      </c>
      <c r="E47" s="99">
        <v>12</v>
      </c>
      <c r="F47" s="99">
        <v>4875</v>
      </c>
      <c r="G47" s="99">
        <v>2</v>
      </c>
      <c r="H47" s="99">
        <f t="shared" si="12"/>
        <v>29247</v>
      </c>
      <c r="I47" s="99">
        <f>77*0.85</f>
        <v>65.45</v>
      </c>
      <c r="J47" s="98">
        <f t="shared" si="13"/>
        <v>6</v>
      </c>
      <c r="K47" s="99"/>
      <c r="L47" s="99">
        <v>8903</v>
      </c>
      <c r="M47" s="99"/>
      <c r="N47" s="100">
        <f t="shared" si="14"/>
        <v>3.0557677616501144E-2</v>
      </c>
      <c r="O47" s="101">
        <f t="shared" si="15"/>
        <v>0.79755760354770244</v>
      </c>
      <c r="P47" s="102">
        <f t="shared" si="16"/>
        <v>73341.411002548906</v>
      </c>
      <c r="Q47" s="103">
        <f t="shared" si="17"/>
        <v>12.430747627550662</v>
      </c>
      <c r="R47" s="103">
        <f t="shared" si="18"/>
        <v>6.9835660828936303</v>
      </c>
      <c r="S47" s="102">
        <f t="shared" si="19"/>
        <v>58494</v>
      </c>
      <c r="T47" s="103">
        <f t="shared" si="20"/>
        <v>12</v>
      </c>
      <c r="U47" s="103">
        <f t="shared" si="21"/>
        <v>12</v>
      </c>
      <c r="V47" s="127">
        <v>0.85310233682514103</v>
      </c>
      <c r="W47" s="127">
        <v>0.85310233682514103</v>
      </c>
      <c r="X47" s="107"/>
      <c r="Y47" s="106"/>
      <c r="Z47" s="129"/>
    </row>
    <row r="48" spans="1:255" s="108" customFormat="1">
      <c r="A48" s="109" t="s">
        <v>49</v>
      </c>
      <c r="B48" s="110">
        <v>45954</v>
      </c>
      <c r="C48" s="111" t="s">
        <v>51</v>
      </c>
      <c r="D48" s="112">
        <v>25867</v>
      </c>
      <c r="E48" s="114">
        <v>4</v>
      </c>
      <c r="F48" s="114"/>
      <c r="G48" s="114">
        <v>4</v>
      </c>
      <c r="H48" s="114">
        <f t="shared" si="12"/>
        <v>6466.75</v>
      </c>
      <c r="I48" s="114">
        <f>73*0.85</f>
        <v>62.05</v>
      </c>
      <c r="J48" s="112">
        <f t="shared" si="13"/>
        <v>1</v>
      </c>
      <c r="K48" s="114"/>
      <c r="L48" s="114"/>
      <c r="M48" s="114"/>
      <c r="N48" s="115">
        <f t="shared" si="14"/>
        <v>6.4464141821112014E-2</v>
      </c>
      <c r="O48" s="116">
        <f t="shared" si="15"/>
        <v>0.31689402182452842</v>
      </c>
      <c r="P48" s="117">
        <f t="shared" si="16"/>
        <v>81626.658183924839</v>
      </c>
      <c r="Q48" s="118">
        <f t="shared" si="17"/>
        <v>13.835026810834719</v>
      </c>
      <c r="R48" s="118">
        <f t="shared" si="18"/>
        <v>7.7724869723790562</v>
      </c>
      <c r="S48" s="117">
        <f t="shared" si="19"/>
        <v>25867</v>
      </c>
      <c r="T48" s="118">
        <f t="shared" si="20"/>
        <v>4</v>
      </c>
      <c r="U48" s="118">
        <f t="shared" si="21"/>
        <v>4</v>
      </c>
      <c r="V48" s="119">
        <v>0.9</v>
      </c>
      <c r="W48" s="119">
        <v>0.9</v>
      </c>
      <c r="X48" s="120"/>
      <c r="Y48" s="121"/>
      <c r="Z48" s="128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  <c r="BP48" s="122"/>
      <c r="BQ48" s="122"/>
      <c r="BR48" s="122"/>
      <c r="BS48" s="122"/>
      <c r="BT48" s="122"/>
      <c r="BU48" s="122"/>
      <c r="BV48" s="122"/>
      <c r="BW48" s="122"/>
      <c r="BX48" s="122"/>
      <c r="BY48" s="122"/>
      <c r="BZ48" s="122"/>
      <c r="CA48" s="122"/>
      <c r="CB48" s="122"/>
      <c r="CC48" s="122"/>
      <c r="CD48" s="122"/>
      <c r="CE48" s="122"/>
      <c r="CF48" s="122"/>
      <c r="CG48" s="122"/>
      <c r="CH48" s="122"/>
      <c r="CI48" s="122"/>
      <c r="CJ48" s="122"/>
      <c r="CK48" s="122"/>
      <c r="CL48" s="122"/>
      <c r="CM48" s="122"/>
      <c r="CN48" s="122"/>
      <c r="CO48" s="122"/>
      <c r="CP48" s="122"/>
      <c r="CQ48" s="122"/>
      <c r="CR48" s="122"/>
      <c r="CS48" s="122"/>
      <c r="CT48" s="122"/>
      <c r="CU48" s="122"/>
      <c r="CV48" s="122"/>
      <c r="CW48" s="122"/>
      <c r="CX48" s="122"/>
      <c r="CY48" s="122"/>
      <c r="CZ48" s="122"/>
      <c r="DA48" s="122"/>
      <c r="DB48" s="122"/>
      <c r="DC48" s="122"/>
      <c r="DD48" s="122"/>
      <c r="DE48" s="122"/>
      <c r="DF48" s="122"/>
      <c r="DG48" s="122"/>
      <c r="DH48" s="122"/>
      <c r="DI48" s="122"/>
      <c r="DJ48" s="122"/>
      <c r="DK48" s="122"/>
      <c r="DL48" s="122"/>
      <c r="DM48" s="122"/>
      <c r="DN48" s="122"/>
      <c r="DO48" s="122"/>
      <c r="DP48" s="122"/>
      <c r="DQ48" s="122"/>
      <c r="DR48" s="122"/>
      <c r="DS48" s="122"/>
      <c r="DT48" s="122"/>
      <c r="DU48" s="122"/>
      <c r="DV48" s="122"/>
      <c r="DW48" s="122"/>
      <c r="DX48" s="122"/>
      <c r="DY48" s="122"/>
      <c r="DZ48" s="122"/>
      <c r="EA48" s="122"/>
      <c r="EB48" s="122"/>
      <c r="EC48" s="122"/>
      <c r="ED48" s="122"/>
      <c r="EE48" s="122"/>
      <c r="EF48" s="122"/>
      <c r="EG48" s="122"/>
      <c r="EH48" s="122"/>
      <c r="EI48" s="122"/>
      <c r="EJ48" s="122"/>
      <c r="EK48" s="122"/>
      <c r="EL48" s="122"/>
      <c r="EM48" s="122"/>
      <c r="EN48" s="122"/>
      <c r="EO48" s="122"/>
      <c r="EP48" s="122"/>
      <c r="EQ48" s="122"/>
      <c r="ER48" s="122"/>
      <c r="ES48" s="122"/>
      <c r="ET48" s="122"/>
      <c r="EU48" s="122"/>
      <c r="EV48" s="122"/>
      <c r="EW48" s="122"/>
      <c r="EX48" s="122"/>
      <c r="EY48" s="122"/>
      <c r="EZ48" s="122"/>
      <c r="FA48" s="122"/>
      <c r="FB48" s="122"/>
      <c r="FC48" s="122"/>
      <c r="FD48" s="122"/>
      <c r="FE48" s="122"/>
      <c r="FF48" s="122"/>
      <c r="FG48" s="122"/>
      <c r="FH48" s="122"/>
      <c r="FI48" s="122"/>
      <c r="FJ48" s="122"/>
      <c r="FK48" s="122"/>
      <c r="FL48" s="122"/>
      <c r="FM48" s="122"/>
      <c r="FN48" s="122"/>
      <c r="FO48" s="122"/>
      <c r="FP48" s="122"/>
      <c r="FQ48" s="122"/>
      <c r="FR48" s="122"/>
      <c r="FS48" s="122"/>
      <c r="FT48" s="122"/>
      <c r="FU48" s="122"/>
      <c r="FV48" s="122"/>
      <c r="FW48" s="122"/>
      <c r="FX48" s="122"/>
      <c r="FY48" s="122"/>
      <c r="FZ48" s="122"/>
      <c r="GA48" s="122"/>
      <c r="GB48" s="122"/>
      <c r="GC48" s="122"/>
      <c r="GD48" s="122"/>
      <c r="GE48" s="122"/>
      <c r="GF48" s="122"/>
      <c r="GG48" s="122"/>
      <c r="GH48" s="122"/>
      <c r="GI48" s="122"/>
      <c r="GJ48" s="122"/>
      <c r="GK48" s="122"/>
      <c r="GL48" s="122"/>
      <c r="GM48" s="122"/>
      <c r="GN48" s="122"/>
      <c r="GO48" s="122"/>
      <c r="GP48" s="122"/>
      <c r="GQ48" s="122"/>
      <c r="GR48" s="122"/>
      <c r="GS48" s="122"/>
      <c r="GT48" s="122"/>
      <c r="GU48" s="122"/>
      <c r="GV48" s="122"/>
      <c r="GW48" s="122"/>
      <c r="GX48" s="122"/>
      <c r="GY48" s="122"/>
      <c r="GZ48" s="122"/>
      <c r="HA48" s="122"/>
      <c r="HB48" s="122"/>
      <c r="HC48" s="122"/>
      <c r="HD48" s="122"/>
      <c r="HE48" s="122"/>
      <c r="HF48" s="122"/>
      <c r="HG48" s="122"/>
      <c r="HH48" s="122"/>
      <c r="HI48" s="122"/>
      <c r="HJ48" s="122"/>
      <c r="HK48" s="122"/>
      <c r="HL48" s="122"/>
      <c r="HM48" s="122"/>
      <c r="HN48" s="122"/>
      <c r="HO48" s="122"/>
      <c r="HP48" s="122"/>
      <c r="HQ48" s="122"/>
      <c r="HR48" s="122"/>
      <c r="HS48" s="122"/>
      <c r="HT48" s="122"/>
      <c r="HU48" s="122"/>
      <c r="HV48" s="122"/>
      <c r="HW48" s="122"/>
      <c r="HX48" s="122"/>
      <c r="HY48" s="122"/>
      <c r="HZ48" s="122"/>
      <c r="IA48" s="122"/>
      <c r="IB48" s="122"/>
      <c r="IC48" s="122"/>
      <c r="ID48" s="122"/>
      <c r="IE48" s="122"/>
      <c r="IF48" s="122"/>
      <c r="IG48" s="122"/>
      <c r="IH48" s="122"/>
      <c r="II48" s="122"/>
      <c r="IJ48" s="122"/>
      <c r="IK48" s="122"/>
      <c r="IL48" s="122"/>
      <c r="IM48" s="122"/>
      <c r="IN48" s="122"/>
      <c r="IO48" s="122"/>
      <c r="IP48" s="122"/>
      <c r="IQ48" s="122"/>
      <c r="IR48" s="122"/>
      <c r="IS48" s="122"/>
      <c r="IT48" s="122"/>
      <c r="IU48" s="122"/>
    </row>
    <row r="49" spans="1:255" s="108" customFormat="1">
      <c r="A49" s="109" t="s">
        <v>49</v>
      </c>
      <c r="B49" s="110">
        <v>45955</v>
      </c>
      <c r="C49" s="111" t="s">
        <v>53</v>
      </c>
      <c r="D49" s="112">
        <v>65752</v>
      </c>
      <c r="E49" s="114">
        <v>12</v>
      </c>
      <c r="F49" s="114">
        <f t="shared" si="11"/>
        <v>5479.333333333333</v>
      </c>
      <c r="G49" s="114">
        <v>7</v>
      </c>
      <c r="H49" s="114">
        <f t="shared" si="12"/>
        <v>9393.1428571428569</v>
      </c>
      <c r="I49" s="114">
        <f>101*0.85</f>
        <v>85.85</v>
      </c>
      <c r="J49" s="112">
        <f t="shared" si="13"/>
        <v>1.7142857142857142</v>
      </c>
      <c r="K49" s="114">
        <v>20284</v>
      </c>
      <c r="L49" s="114"/>
      <c r="M49" s="114"/>
      <c r="N49" s="115">
        <f t="shared" si="14"/>
        <v>8.1537565521258015E-2</v>
      </c>
      <c r="O49" s="116">
        <f t="shared" si="15"/>
        <v>0.65247213575734253</v>
      </c>
      <c r="P49" s="117">
        <f t="shared" si="16"/>
        <v>100773.65207891955</v>
      </c>
      <c r="Q49" s="118">
        <f t="shared" si="17"/>
        <v>17.080280013376196</v>
      </c>
      <c r="R49" s="118">
        <f t="shared" si="18"/>
        <v>9.5956629288630317</v>
      </c>
      <c r="S49" s="117">
        <f t="shared" si="19"/>
        <v>65752</v>
      </c>
      <c r="T49" s="118">
        <f t="shared" si="20"/>
        <v>12</v>
      </c>
      <c r="U49" s="118">
        <f t="shared" si="21"/>
        <v>12</v>
      </c>
      <c r="V49" s="119">
        <v>1</v>
      </c>
      <c r="W49" s="119">
        <v>1</v>
      </c>
      <c r="X49" s="120"/>
      <c r="Y49" s="121"/>
      <c r="Z49" s="128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  <c r="BP49" s="122"/>
      <c r="BQ49" s="122"/>
      <c r="BR49" s="122"/>
      <c r="BS49" s="122"/>
      <c r="BT49" s="122"/>
      <c r="BU49" s="122"/>
      <c r="BV49" s="122"/>
      <c r="BW49" s="122"/>
      <c r="BX49" s="122"/>
      <c r="BY49" s="122"/>
      <c r="BZ49" s="122"/>
      <c r="CA49" s="122"/>
      <c r="CB49" s="122"/>
      <c r="CC49" s="122"/>
      <c r="CD49" s="122"/>
      <c r="CE49" s="122"/>
      <c r="CF49" s="122"/>
      <c r="CG49" s="122"/>
      <c r="CH49" s="122"/>
      <c r="CI49" s="122"/>
      <c r="CJ49" s="122"/>
      <c r="CK49" s="122"/>
      <c r="CL49" s="122"/>
      <c r="CM49" s="122"/>
      <c r="CN49" s="122"/>
      <c r="CO49" s="122"/>
      <c r="CP49" s="122"/>
      <c r="CQ49" s="122"/>
      <c r="CR49" s="122"/>
      <c r="CS49" s="122"/>
      <c r="CT49" s="122"/>
      <c r="CU49" s="122"/>
      <c r="CV49" s="122"/>
      <c r="CW49" s="122"/>
      <c r="CX49" s="122"/>
      <c r="CY49" s="122"/>
      <c r="CZ49" s="122"/>
      <c r="DA49" s="122"/>
      <c r="DB49" s="122"/>
      <c r="DC49" s="122"/>
      <c r="DD49" s="122"/>
      <c r="DE49" s="122"/>
      <c r="DF49" s="122"/>
      <c r="DG49" s="122"/>
      <c r="DH49" s="122"/>
      <c r="DI49" s="122"/>
      <c r="DJ49" s="122"/>
      <c r="DK49" s="122"/>
      <c r="DL49" s="122"/>
      <c r="DM49" s="122"/>
      <c r="DN49" s="122"/>
      <c r="DO49" s="122"/>
      <c r="DP49" s="122"/>
      <c r="DQ49" s="122"/>
      <c r="DR49" s="122"/>
      <c r="DS49" s="122"/>
      <c r="DT49" s="122"/>
      <c r="DU49" s="122"/>
      <c r="DV49" s="122"/>
      <c r="DW49" s="122"/>
      <c r="DX49" s="122"/>
      <c r="DY49" s="122"/>
      <c r="DZ49" s="122"/>
      <c r="EA49" s="122"/>
      <c r="EB49" s="122"/>
      <c r="EC49" s="122"/>
      <c r="ED49" s="122"/>
      <c r="EE49" s="122"/>
      <c r="EF49" s="122"/>
      <c r="EG49" s="122"/>
      <c r="EH49" s="122"/>
      <c r="EI49" s="122"/>
      <c r="EJ49" s="122"/>
      <c r="EK49" s="122"/>
      <c r="EL49" s="122"/>
      <c r="EM49" s="122"/>
      <c r="EN49" s="122"/>
      <c r="EO49" s="122"/>
      <c r="EP49" s="122"/>
      <c r="EQ49" s="122"/>
      <c r="ER49" s="122"/>
      <c r="ES49" s="122"/>
      <c r="ET49" s="122"/>
      <c r="EU49" s="122"/>
      <c r="EV49" s="122"/>
      <c r="EW49" s="122"/>
      <c r="EX49" s="122"/>
      <c r="EY49" s="122"/>
      <c r="EZ49" s="122"/>
      <c r="FA49" s="122"/>
      <c r="FB49" s="122"/>
      <c r="FC49" s="122"/>
      <c r="FD49" s="122"/>
      <c r="FE49" s="122"/>
      <c r="FF49" s="122"/>
      <c r="FG49" s="122"/>
      <c r="FH49" s="122"/>
      <c r="FI49" s="122"/>
      <c r="FJ49" s="122"/>
      <c r="FK49" s="122"/>
      <c r="FL49" s="122"/>
      <c r="FM49" s="122"/>
      <c r="FN49" s="122"/>
      <c r="FO49" s="122"/>
      <c r="FP49" s="122"/>
      <c r="FQ49" s="122"/>
      <c r="FR49" s="122"/>
      <c r="FS49" s="122"/>
      <c r="FT49" s="122"/>
      <c r="FU49" s="122"/>
      <c r="FV49" s="122"/>
      <c r="FW49" s="122"/>
      <c r="FX49" s="122"/>
      <c r="FY49" s="122"/>
      <c r="FZ49" s="122"/>
      <c r="GA49" s="122"/>
      <c r="GB49" s="122"/>
      <c r="GC49" s="122"/>
      <c r="GD49" s="122"/>
      <c r="GE49" s="122"/>
      <c r="GF49" s="122"/>
      <c r="GG49" s="122"/>
      <c r="GH49" s="122"/>
      <c r="GI49" s="122"/>
      <c r="GJ49" s="122"/>
      <c r="GK49" s="122"/>
      <c r="GL49" s="122"/>
      <c r="GM49" s="122"/>
      <c r="GN49" s="122"/>
      <c r="GO49" s="122"/>
      <c r="GP49" s="122"/>
      <c r="GQ49" s="122"/>
      <c r="GR49" s="122"/>
      <c r="GS49" s="122"/>
      <c r="GT49" s="122"/>
      <c r="GU49" s="122"/>
      <c r="GV49" s="122"/>
      <c r="GW49" s="122"/>
      <c r="GX49" s="122"/>
      <c r="GY49" s="122"/>
      <c r="GZ49" s="122"/>
      <c r="HA49" s="122"/>
      <c r="HB49" s="122"/>
      <c r="HC49" s="122"/>
      <c r="HD49" s="122"/>
      <c r="HE49" s="122"/>
      <c r="HF49" s="122"/>
      <c r="HG49" s="122"/>
      <c r="HH49" s="122"/>
      <c r="HI49" s="122"/>
      <c r="HJ49" s="122"/>
      <c r="HK49" s="122"/>
      <c r="HL49" s="122"/>
      <c r="HM49" s="122"/>
      <c r="HN49" s="122"/>
      <c r="HO49" s="122"/>
      <c r="HP49" s="122"/>
      <c r="HQ49" s="122"/>
      <c r="HR49" s="122"/>
      <c r="HS49" s="122"/>
      <c r="HT49" s="122"/>
      <c r="HU49" s="122"/>
      <c r="HV49" s="122"/>
      <c r="HW49" s="122"/>
      <c r="HX49" s="122"/>
      <c r="HY49" s="122"/>
      <c r="HZ49" s="122"/>
      <c r="IA49" s="122"/>
      <c r="IB49" s="122"/>
      <c r="IC49" s="122"/>
      <c r="ID49" s="122"/>
      <c r="IE49" s="122"/>
      <c r="IF49" s="122"/>
      <c r="IG49" s="122"/>
      <c r="IH49" s="122"/>
      <c r="II49" s="122"/>
      <c r="IJ49" s="122"/>
      <c r="IK49" s="122"/>
      <c r="IL49" s="122"/>
      <c r="IM49" s="122"/>
      <c r="IN49" s="122"/>
      <c r="IO49" s="122"/>
      <c r="IP49" s="122"/>
      <c r="IQ49" s="122"/>
      <c r="IR49" s="122"/>
      <c r="IS49" s="122"/>
      <c r="IT49" s="122"/>
      <c r="IU49" s="122"/>
    </row>
    <row r="50" spans="1:255" s="108" customFormat="1">
      <c r="A50" s="109" t="s">
        <v>49</v>
      </c>
      <c r="B50" s="110">
        <v>45956</v>
      </c>
      <c r="C50" s="111" t="s">
        <v>54</v>
      </c>
      <c r="D50" s="112">
        <v>54577</v>
      </c>
      <c r="E50" s="114">
        <v>11</v>
      </c>
      <c r="F50" s="113">
        <f t="shared" si="11"/>
        <v>4961.545454545455</v>
      </c>
      <c r="G50" s="114">
        <v>6</v>
      </c>
      <c r="H50" s="114">
        <f t="shared" si="12"/>
        <v>9096.1666666666661</v>
      </c>
      <c r="I50" s="114">
        <f>47*0.85</f>
        <v>39.949999999999996</v>
      </c>
      <c r="J50" s="112">
        <f t="shared" si="13"/>
        <v>1.8333333333333333</v>
      </c>
      <c r="K50" s="114"/>
      <c r="L50" s="114"/>
      <c r="M50" s="114"/>
      <c r="N50" s="115">
        <f t="shared" si="14"/>
        <v>0.15018773466833543</v>
      </c>
      <c r="O50" s="116">
        <f t="shared" si="15"/>
        <v>0.54158005464820058</v>
      </c>
      <c r="P50" s="117">
        <f t="shared" si="16"/>
        <v>100773.65207891955</v>
      </c>
      <c r="Q50" s="118">
        <f t="shared" si="17"/>
        <v>17.080280013376196</v>
      </c>
      <c r="R50" s="118">
        <f t="shared" si="18"/>
        <v>9.5956629288630317</v>
      </c>
      <c r="S50" s="117">
        <f t="shared" si="19"/>
        <v>54577</v>
      </c>
      <c r="T50" s="118">
        <f t="shared" si="20"/>
        <v>11</v>
      </c>
      <c r="U50" s="118">
        <f t="shared" si="21"/>
        <v>11</v>
      </c>
      <c r="V50" s="119">
        <v>1</v>
      </c>
      <c r="W50" s="119">
        <v>1</v>
      </c>
      <c r="X50" s="120"/>
      <c r="Y50" s="121"/>
      <c r="Z50" s="128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122"/>
      <c r="BT50" s="122"/>
      <c r="BU50" s="122"/>
      <c r="BV50" s="122"/>
      <c r="BW50" s="122"/>
      <c r="BX50" s="122"/>
      <c r="BY50" s="122"/>
      <c r="BZ50" s="122"/>
      <c r="CA50" s="122"/>
      <c r="CB50" s="122"/>
      <c r="CC50" s="122"/>
      <c r="CD50" s="122"/>
      <c r="CE50" s="122"/>
      <c r="CF50" s="122"/>
      <c r="CG50" s="122"/>
      <c r="CH50" s="122"/>
      <c r="CI50" s="122"/>
      <c r="CJ50" s="122"/>
      <c r="CK50" s="122"/>
      <c r="CL50" s="122"/>
      <c r="CM50" s="122"/>
      <c r="CN50" s="122"/>
      <c r="CO50" s="122"/>
      <c r="CP50" s="122"/>
      <c r="CQ50" s="122"/>
      <c r="CR50" s="122"/>
      <c r="CS50" s="122"/>
      <c r="CT50" s="122"/>
      <c r="CU50" s="122"/>
      <c r="CV50" s="122"/>
      <c r="CW50" s="122"/>
      <c r="CX50" s="122"/>
      <c r="CY50" s="122"/>
      <c r="CZ50" s="122"/>
      <c r="DA50" s="122"/>
      <c r="DB50" s="122"/>
      <c r="DC50" s="122"/>
      <c r="DD50" s="122"/>
      <c r="DE50" s="122"/>
      <c r="DF50" s="122"/>
      <c r="DG50" s="122"/>
      <c r="DH50" s="122"/>
      <c r="DI50" s="122"/>
      <c r="DJ50" s="122"/>
      <c r="DK50" s="122"/>
      <c r="DL50" s="122"/>
      <c r="DM50" s="122"/>
      <c r="DN50" s="122"/>
      <c r="DO50" s="122"/>
      <c r="DP50" s="122"/>
      <c r="DQ50" s="122"/>
      <c r="DR50" s="122"/>
      <c r="DS50" s="122"/>
      <c r="DT50" s="122"/>
      <c r="DU50" s="122"/>
      <c r="DV50" s="122"/>
      <c r="DW50" s="122"/>
      <c r="DX50" s="122"/>
      <c r="DY50" s="122"/>
      <c r="DZ50" s="122"/>
      <c r="EA50" s="122"/>
      <c r="EB50" s="122"/>
      <c r="EC50" s="122"/>
      <c r="ED50" s="122"/>
      <c r="EE50" s="122"/>
      <c r="EF50" s="122"/>
      <c r="EG50" s="122"/>
      <c r="EH50" s="122"/>
      <c r="EI50" s="122"/>
      <c r="EJ50" s="122"/>
      <c r="EK50" s="122"/>
      <c r="EL50" s="122"/>
      <c r="EM50" s="122"/>
      <c r="EN50" s="122"/>
      <c r="EO50" s="122"/>
      <c r="EP50" s="122"/>
      <c r="EQ50" s="122"/>
      <c r="ER50" s="122"/>
      <c r="ES50" s="122"/>
      <c r="ET50" s="122"/>
      <c r="EU50" s="122"/>
      <c r="EV50" s="122"/>
      <c r="EW50" s="122"/>
      <c r="EX50" s="122"/>
      <c r="EY50" s="122"/>
      <c r="EZ50" s="122"/>
      <c r="FA50" s="122"/>
      <c r="FB50" s="122"/>
      <c r="FC50" s="122"/>
      <c r="FD50" s="122"/>
      <c r="FE50" s="122"/>
      <c r="FF50" s="122"/>
      <c r="FG50" s="122"/>
      <c r="FH50" s="122"/>
      <c r="FI50" s="122"/>
      <c r="FJ50" s="122"/>
      <c r="FK50" s="122"/>
      <c r="FL50" s="122"/>
      <c r="FM50" s="122"/>
      <c r="FN50" s="122"/>
      <c r="FO50" s="122"/>
      <c r="FP50" s="122"/>
      <c r="FQ50" s="122"/>
      <c r="FR50" s="122"/>
      <c r="FS50" s="122"/>
      <c r="FT50" s="122"/>
      <c r="FU50" s="122"/>
      <c r="FV50" s="122"/>
      <c r="FW50" s="122"/>
      <c r="FX50" s="122"/>
      <c r="FY50" s="122"/>
      <c r="FZ50" s="122"/>
      <c r="GA50" s="122"/>
      <c r="GB50" s="122"/>
      <c r="GC50" s="122"/>
      <c r="GD50" s="122"/>
      <c r="GE50" s="122"/>
      <c r="GF50" s="122"/>
      <c r="GG50" s="122"/>
      <c r="GH50" s="122"/>
      <c r="GI50" s="122"/>
      <c r="GJ50" s="122"/>
      <c r="GK50" s="122"/>
      <c r="GL50" s="122"/>
      <c r="GM50" s="122"/>
      <c r="GN50" s="122"/>
      <c r="GO50" s="122"/>
      <c r="GP50" s="122"/>
      <c r="GQ50" s="122"/>
      <c r="GR50" s="122"/>
      <c r="GS50" s="122"/>
      <c r="GT50" s="122"/>
      <c r="GU50" s="122"/>
      <c r="GV50" s="122"/>
      <c r="GW50" s="122"/>
      <c r="GX50" s="122"/>
      <c r="GY50" s="122"/>
      <c r="GZ50" s="122"/>
      <c r="HA50" s="122"/>
      <c r="HB50" s="122"/>
      <c r="HC50" s="122"/>
      <c r="HD50" s="122"/>
      <c r="HE50" s="122"/>
      <c r="HF50" s="122"/>
      <c r="HG50" s="122"/>
      <c r="HH50" s="122"/>
      <c r="HI50" s="122"/>
      <c r="HJ50" s="122"/>
      <c r="HK50" s="122"/>
      <c r="HL50" s="122"/>
      <c r="HM50" s="122"/>
      <c r="HN50" s="122"/>
      <c r="HO50" s="122"/>
      <c r="HP50" s="122"/>
      <c r="HQ50" s="122"/>
      <c r="HR50" s="122"/>
      <c r="HS50" s="122"/>
      <c r="HT50" s="122"/>
      <c r="HU50" s="122"/>
      <c r="HV50" s="122"/>
      <c r="HW50" s="122"/>
      <c r="HX50" s="122"/>
      <c r="HY50" s="122"/>
      <c r="HZ50" s="122"/>
      <c r="IA50" s="122"/>
      <c r="IB50" s="122"/>
      <c r="IC50" s="122"/>
      <c r="ID50" s="122"/>
      <c r="IE50" s="122"/>
      <c r="IF50" s="122"/>
      <c r="IG50" s="122"/>
      <c r="IH50" s="122"/>
      <c r="II50" s="122"/>
      <c r="IJ50" s="122"/>
      <c r="IK50" s="122"/>
      <c r="IL50" s="122"/>
      <c r="IM50" s="122"/>
      <c r="IN50" s="122"/>
      <c r="IO50" s="122"/>
      <c r="IP50" s="122"/>
      <c r="IQ50" s="122"/>
      <c r="IR50" s="122"/>
      <c r="IS50" s="122"/>
      <c r="IT50" s="122"/>
      <c r="IU50" s="122"/>
    </row>
    <row r="51" spans="1:255">
      <c r="A51" s="95" t="s">
        <v>52</v>
      </c>
      <c r="B51" s="96">
        <v>45957</v>
      </c>
      <c r="C51" s="97" t="s">
        <v>55</v>
      </c>
      <c r="D51" s="98">
        <v>20551</v>
      </c>
      <c r="E51" s="99">
        <v>2</v>
      </c>
      <c r="F51" s="99">
        <f t="shared" si="11"/>
        <v>10275.5</v>
      </c>
      <c r="G51" s="99">
        <v>2</v>
      </c>
      <c r="H51" s="99">
        <f t="shared" si="12"/>
        <v>10275.5</v>
      </c>
      <c r="I51" s="99">
        <f>12</f>
        <v>12</v>
      </c>
      <c r="J51" s="98">
        <f t="shared" si="13"/>
        <v>1</v>
      </c>
      <c r="K51" s="99">
        <v>17259</v>
      </c>
      <c r="L51" s="99"/>
      <c r="M51" s="99"/>
      <c r="N51" s="100">
        <f t="shared" si="14"/>
        <v>0.16666666666666666</v>
      </c>
      <c r="O51" s="101">
        <f t="shared" si="15"/>
        <v>0.31864417769490722</v>
      </c>
      <c r="P51" s="102">
        <f t="shared" si="16"/>
        <v>64495.137330508522</v>
      </c>
      <c r="Q51" s="103">
        <f t="shared" si="17"/>
        <v>10.931379208560767</v>
      </c>
      <c r="R51" s="103">
        <f t="shared" si="18"/>
        <v>6.1412242744723411</v>
      </c>
      <c r="S51" s="102">
        <f t="shared" si="19"/>
        <v>20551</v>
      </c>
      <c r="T51" s="103">
        <f t="shared" si="20"/>
        <v>2</v>
      </c>
      <c r="U51" s="103">
        <f t="shared" si="21"/>
        <v>2</v>
      </c>
      <c r="V51" s="127">
        <v>0.8</v>
      </c>
      <c r="W51" s="127">
        <v>0.8</v>
      </c>
      <c r="X51" s="107"/>
      <c r="Y51" s="106"/>
      <c r="Z51" s="129"/>
    </row>
    <row r="52" spans="1:255">
      <c r="A52" s="95" t="s">
        <v>52</v>
      </c>
      <c r="B52" s="96">
        <v>45958</v>
      </c>
      <c r="C52" s="97" t="s">
        <v>56</v>
      </c>
      <c r="D52" s="98">
        <v>35358</v>
      </c>
      <c r="E52" s="99">
        <v>3</v>
      </c>
      <c r="F52" s="99">
        <f t="shared" si="11"/>
        <v>11786</v>
      </c>
      <c r="G52" s="99">
        <v>2</v>
      </c>
      <c r="H52" s="99">
        <f t="shared" si="12"/>
        <v>17679</v>
      </c>
      <c r="I52" s="99">
        <v>40</v>
      </c>
      <c r="J52" s="98">
        <f t="shared" si="13"/>
        <v>1.5</v>
      </c>
      <c r="K52" s="99">
        <v>35358</v>
      </c>
      <c r="L52" s="99"/>
      <c r="M52" s="99"/>
      <c r="N52" s="100">
        <f t="shared" si="14"/>
        <v>0.05</v>
      </c>
      <c r="O52" s="101">
        <f t="shared" si="15"/>
        <v>0.54822737749678985</v>
      </c>
      <c r="P52" s="102">
        <f t="shared" si="16"/>
        <v>64495.137330508522</v>
      </c>
      <c r="Q52" s="103">
        <f t="shared" si="17"/>
        <v>10.931379208560767</v>
      </c>
      <c r="R52" s="103">
        <f t="shared" si="18"/>
        <v>6.1412242744723411</v>
      </c>
      <c r="S52" s="102">
        <f t="shared" si="19"/>
        <v>35358</v>
      </c>
      <c r="T52" s="103">
        <f t="shared" si="20"/>
        <v>3</v>
      </c>
      <c r="U52" s="103">
        <f t="shared" si="21"/>
        <v>3</v>
      </c>
      <c r="V52" s="127">
        <v>0.8</v>
      </c>
      <c r="W52" s="127">
        <v>0.8</v>
      </c>
      <c r="X52" s="107"/>
      <c r="Y52" s="106"/>
      <c r="Z52" s="129"/>
    </row>
    <row r="53" spans="1:255">
      <c r="A53" s="95" t="s">
        <v>49</v>
      </c>
      <c r="B53" s="96">
        <v>45959</v>
      </c>
      <c r="C53" s="97" t="s">
        <v>48</v>
      </c>
      <c r="D53" s="98">
        <v>8284</v>
      </c>
      <c r="E53" s="99">
        <v>2</v>
      </c>
      <c r="F53" s="99">
        <f t="shared" si="11"/>
        <v>4142</v>
      </c>
      <c r="G53" s="99">
        <v>2</v>
      </c>
      <c r="H53" s="99">
        <f t="shared" si="12"/>
        <v>4142</v>
      </c>
      <c r="I53" s="99">
        <f>58*0.85</f>
        <v>49.3</v>
      </c>
      <c r="J53" s="98">
        <f t="shared" si="13"/>
        <v>1</v>
      </c>
      <c r="K53" s="99"/>
      <c r="L53" s="99"/>
      <c r="M53" s="99"/>
      <c r="N53" s="100">
        <f t="shared" si="14"/>
        <v>4.0567951318458417E-2</v>
      </c>
      <c r="O53" s="101">
        <f t="shared" si="15"/>
        <v>0.12844379193346364</v>
      </c>
      <c r="P53" s="102">
        <f t="shared" si="16"/>
        <v>64495.137330508522</v>
      </c>
      <c r="Q53" s="103">
        <f t="shared" si="17"/>
        <v>10.931379208560767</v>
      </c>
      <c r="R53" s="103">
        <f t="shared" si="18"/>
        <v>6.1412242744723411</v>
      </c>
      <c r="S53" s="102">
        <f t="shared" si="19"/>
        <v>8284</v>
      </c>
      <c r="T53" s="103">
        <f t="shared" si="20"/>
        <v>2</v>
      </c>
      <c r="U53" s="103">
        <f t="shared" si="21"/>
        <v>2</v>
      </c>
      <c r="V53" s="127">
        <v>0.8</v>
      </c>
      <c r="W53" s="127">
        <v>0.8</v>
      </c>
      <c r="X53" s="107"/>
      <c r="Y53" s="106"/>
      <c r="Z53" s="129"/>
    </row>
    <row r="54" spans="1:255" ht="15" customHeight="1">
      <c r="A54" s="95" t="s">
        <v>47</v>
      </c>
      <c r="B54" s="96">
        <v>45960</v>
      </c>
      <c r="C54" s="97" t="s">
        <v>50</v>
      </c>
      <c r="D54" s="98">
        <v>41857</v>
      </c>
      <c r="E54" s="99">
        <v>5</v>
      </c>
      <c r="F54" s="99">
        <v>8371</v>
      </c>
      <c r="G54" s="99">
        <v>2</v>
      </c>
      <c r="H54" s="99">
        <f t="shared" si="12"/>
        <v>20928.5</v>
      </c>
      <c r="I54" s="99">
        <f>63*0.85</f>
        <v>53.55</v>
      </c>
      <c r="J54" s="98">
        <f t="shared" si="13"/>
        <v>2.5</v>
      </c>
      <c r="K54" s="99">
        <v>23480</v>
      </c>
      <c r="L54" s="99"/>
      <c r="M54" s="99"/>
      <c r="N54" s="100">
        <f t="shared" si="14"/>
        <v>3.7348272642390289E-2</v>
      </c>
      <c r="O54" s="101">
        <f t="shared" si="15"/>
        <v>0.6489946642876615</v>
      </c>
      <c r="P54" s="102">
        <f t="shared" si="16"/>
        <v>64495.137330508522</v>
      </c>
      <c r="Q54" s="103">
        <f t="shared" si="17"/>
        <v>10.931379208560767</v>
      </c>
      <c r="R54" s="103">
        <f t="shared" si="18"/>
        <v>6.1412242744723411</v>
      </c>
      <c r="S54" s="102">
        <f t="shared" si="19"/>
        <v>41857</v>
      </c>
      <c r="T54" s="103">
        <f t="shared" si="20"/>
        <v>5</v>
      </c>
      <c r="U54" s="103">
        <f t="shared" si="21"/>
        <v>5</v>
      </c>
      <c r="V54" s="127">
        <v>0.8</v>
      </c>
      <c r="W54" s="127">
        <v>0.8</v>
      </c>
      <c r="X54" s="107"/>
      <c r="Y54" s="106"/>
      <c r="Z54" s="129"/>
    </row>
    <row r="55" spans="1:255" s="108" customFormat="1" ht="15" customHeight="1">
      <c r="A55" s="109" t="s">
        <v>49</v>
      </c>
      <c r="B55" s="110">
        <v>45961</v>
      </c>
      <c r="C55" s="111" t="s">
        <v>51</v>
      </c>
      <c r="D55" s="112">
        <v>111923</v>
      </c>
      <c r="E55" s="114">
        <v>13</v>
      </c>
      <c r="F55" s="114">
        <f t="shared" si="11"/>
        <v>8609.461538461539</v>
      </c>
      <c r="G55" s="114">
        <v>5</v>
      </c>
      <c r="H55" s="114">
        <f t="shared" si="12"/>
        <v>22384.6</v>
      </c>
      <c r="I55" s="114">
        <f>82*0.85</f>
        <v>69.7</v>
      </c>
      <c r="J55" s="112">
        <f t="shared" si="13"/>
        <v>2.6</v>
      </c>
      <c r="K55" s="114">
        <v>62975</v>
      </c>
      <c r="L55" s="114"/>
      <c r="M55" s="114"/>
      <c r="N55" s="115">
        <f t="shared" si="14"/>
        <v>7.1736011477761832E-2</v>
      </c>
      <c r="O55" s="116">
        <f t="shared" si="15"/>
        <v>1.7353711400976644</v>
      </c>
      <c r="P55" s="117">
        <f t="shared" si="16"/>
        <v>64495.137330508522</v>
      </c>
      <c r="Q55" s="118">
        <f t="shared" si="17"/>
        <v>10.931379208560767</v>
      </c>
      <c r="R55" s="118">
        <f t="shared" si="18"/>
        <v>6.1412242744723411</v>
      </c>
      <c r="S55" s="117">
        <f t="shared" si="19"/>
        <v>111923</v>
      </c>
      <c r="T55" s="118">
        <f t="shared" si="20"/>
        <v>13</v>
      </c>
      <c r="U55" s="118">
        <f t="shared" si="21"/>
        <v>13</v>
      </c>
      <c r="V55" s="119">
        <v>0.8</v>
      </c>
      <c r="W55" s="119">
        <v>0.8</v>
      </c>
      <c r="X55" s="120"/>
      <c r="Y55" s="121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  <c r="BP55" s="122"/>
      <c r="BQ55" s="122"/>
      <c r="BR55" s="122"/>
      <c r="BS55" s="122"/>
      <c r="BT55" s="122"/>
      <c r="BU55" s="122"/>
      <c r="BV55" s="122"/>
      <c r="BW55" s="122"/>
      <c r="BX55" s="122"/>
      <c r="BY55" s="122"/>
      <c r="BZ55" s="122"/>
      <c r="CA55" s="122"/>
      <c r="CB55" s="122"/>
      <c r="CC55" s="122"/>
      <c r="CD55" s="122"/>
      <c r="CE55" s="122"/>
      <c r="CF55" s="122"/>
      <c r="CG55" s="122"/>
      <c r="CH55" s="122"/>
      <c r="CI55" s="122"/>
      <c r="CJ55" s="122"/>
      <c r="CK55" s="122"/>
      <c r="CL55" s="122"/>
      <c r="CM55" s="122"/>
      <c r="CN55" s="122"/>
      <c r="CO55" s="122"/>
      <c r="CP55" s="122"/>
      <c r="CQ55" s="122"/>
      <c r="CR55" s="122"/>
      <c r="CS55" s="122"/>
      <c r="CT55" s="122"/>
      <c r="CU55" s="122"/>
      <c r="CV55" s="122"/>
      <c r="CW55" s="122"/>
      <c r="CX55" s="122"/>
      <c r="CY55" s="122"/>
      <c r="CZ55" s="122"/>
      <c r="DA55" s="122"/>
      <c r="DB55" s="122"/>
      <c r="DC55" s="122"/>
      <c r="DD55" s="122"/>
      <c r="DE55" s="122"/>
      <c r="DF55" s="122"/>
      <c r="DG55" s="122"/>
      <c r="DH55" s="122"/>
      <c r="DI55" s="122"/>
      <c r="DJ55" s="122"/>
      <c r="DK55" s="122"/>
      <c r="DL55" s="122"/>
      <c r="DM55" s="122"/>
      <c r="DN55" s="122"/>
      <c r="DO55" s="122"/>
      <c r="DP55" s="122"/>
      <c r="DQ55" s="122"/>
      <c r="DR55" s="122"/>
      <c r="DS55" s="122"/>
      <c r="DT55" s="122"/>
      <c r="DU55" s="122"/>
      <c r="DV55" s="122"/>
      <c r="DW55" s="122"/>
      <c r="DX55" s="122"/>
      <c r="DY55" s="122"/>
      <c r="DZ55" s="122"/>
      <c r="EA55" s="122"/>
      <c r="EB55" s="122"/>
      <c r="EC55" s="122"/>
      <c r="ED55" s="122"/>
      <c r="EE55" s="122"/>
      <c r="EF55" s="122"/>
      <c r="EG55" s="122"/>
      <c r="EH55" s="122"/>
      <c r="EI55" s="122"/>
      <c r="EJ55" s="122"/>
      <c r="EK55" s="122"/>
      <c r="EL55" s="122"/>
      <c r="EM55" s="122"/>
      <c r="EN55" s="122"/>
      <c r="EO55" s="122"/>
      <c r="EP55" s="122"/>
      <c r="EQ55" s="122"/>
      <c r="ER55" s="122"/>
      <c r="ES55" s="122"/>
      <c r="ET55" s="122"/>
      <c r="EU55" s="122"/>
      <c r="EV55" s="122"/>
      <c r="EW55" s="122"/>
      <c r="EX55" s="122"/>
      <c r="EY55" s="122"/>
      <c r="EZ55" s="122"/>
      <c r="FA55" s="122"/>
      <c r="FB55" s="122"/>
      <c r="FC55" s="122"/>
      <c r="FD55" s="122"/>
      <c r="FE55" s="122"/>
      <c r="FF55" s="122"/>
      <c r="FG55" s="122"/>
      <c r="FH55" s="122"/>
      <c r="FI55" s="122"/>
      <c r="FJ55" s="122"/>
      <c r="FK55" s="122"/>
      <c r="FL55" s="122"/>
      <c r="FM55" s="122"/>
      <c r="FN55" s="122"/>
      <c r="FO55" s="122"/>
      <c r="FP55" s="122"/>
      <c r="FQ55" s="122"/>
      <c r="FR55" s="122"/>
      <c r="FS55" s="122"/>
      <c r="FT55" s="122"/>
      <c r="FU55" s="122"/>
      <c r="FV55" s="122"/>
      <c r="FW55" s="122"/>
      <c r="FX55" s="122"/>
      <c r="FY55" s="122"/>
      <c r="FZ55" s="122"/>
      <c r="GA55" s="122"/>
      <c r="GB55" s="122"/>
      <c r="GC55" s="122"/>
      <c r="GD55" s="122"/>
      <c r="GE55" s="122"/>
      <c r="GF55" s="122"/>
      <c r="GG55" s="122"/>
      <c r="GH55" s="122"/>
      <c r="GI55" s="122"/>
      <c r="GJ55" s="122"/>
      <c r="GK55" s="122"/>
      <c r="GL55" s="122"/>
      <c r="GM55" s="122"/>
      <c r="GN55" s="122"/>
      <c r="GO55" s="122"/>
      <c r="GP55" s="122"/>
      <c r="GQ55" s="122"/>
      <c r="GR55" s="122"/>
      <c r="GS55" s="122"/>
      <c r="GT55" s="122"/>
      <c r="GU55" s="122"/>
      <c r="GV55" s="122"/>
      <c r="GW55" s="122"/>
      <c r="GX55" s="122"/>
      <c r="GY55" s="122"/>
      <c r="GZ55" s="122"/>
      <c r="HA55" s="122"/>
      <c r="HB55" s="122"/>
      <c r="HC55" s="122"/>
      <c r="HD55" s="122"/>
      <c r="HE55" s="122"/>
      <c r="HF55" s="122"/>
      <c r="HG55" s="122"/>
      <c r="HH55" s="122"/>
      <c r="HI55" s="122"/>
      <c r="HJ55" s="122"/>
      <c r="HK55" s="122"/>
      <c r="HL55" s="122"/>
      <c r="HM55" s="122"/>
      <c r="HN55" s="122"/>
      <c r="HO55" s="122"/>
      <c r="HP55" s="122"/>
      <c r="HQ55" s="122"/>
      <c r="HR55" s="122"/>
      <c r="HS55" s="122"/>
      <c r="HT55" s="122"/>
      <c r="HU55" s="122"/>
      <c r="HV55" s="122"/>
      <c r="HW55" s="122"/>
      <c r="HX55" s="122"/>
      <c r="HY55" s="122"/>
      <c r="HZ55" s="122"/>
      <c r="IA55" s="122"/>
      <c r="IB55" s="122"/>
      <c r="IC55" s="122"/>
      <c r="ID55" s="122"/>
      <c r="IE55" s="122"/>
      <c r="IF55" s="122"/>
      <c r="IG55" s="122"/>
      <c r="IH55" s="122"/>
      <c r="II55" s="122"/>
      <c r="IJ55" s="122"/>
      <c r="IK55" s="122"/>
      <c r="IL55" s="122"/>
      <c r="IM55" s="122"/>
      <c r="IN55" s="122"/>
      <c r="IO55" s="122"/>
      <c r="IP55" s="122"/>
      <c r="IQ55" s="122"/>
      <c r="IR55" s="122"/>
      <c r="IS55" s="122"/>
      <c r="IT55" s="122"/>
      <c r="IU55" s="122"/>
    </row>
    <row r="56" spans="1:255" ht="15" customHeight="1">
      <c r="A56" s="109"/>
      <c r="B56" s="530" t="s">
        <v>57</v>
      </c>
      <c r="C56" s="530"/>
      <c r="D56" s="112">
        <f>SUM(D25:D55)</f>
        <v>1451501.2</v>
      </c>
      <c r="E56" s="114">
        <f>SUM(E25:E55)</f>
        <v>243</v>
      </c>
      <c r="F56" s="114">
        <f>IF(AND(E56&lt;&gt;"", E56&lt;&gt;0), D56/E56, "")</f>
        <v>5973.2559670781893</v>
      </c>
      <c r="G56" s="114">
        <f>SUM(G25:G55)</f>
        <v>141</v>
      </c>
      <c r="H56" s="114">
        <f>IF(AND(G56&lt;&gt;"", G56&lt;&gt;0), D56/G56, "")</f>
        <v>10294.334751773049</v>
      </c>
      <c r="I56" s="114">
        <f>SUM(I25:I55)</f>
        <v>1794.35</v>
      </c>
      <c r="J56" s="112">
        <f>E56/G56</f>
        <v>1.7234042553191489</v>
      </c>
      <c r="K56" s="114">
        <f>SUM(K25:K55)</f>
        <v>228147.20000000001</v>
      </c>
      <c r="L56" s="114">
        <f>SUM(L25:L55)</f>
        <v>63621</v>
      </c>
      <c r="M56" s="114">
        <f>SUM(M25:M55)</f>
        <v>91314</v>
      </c>
      <c r="N56" s="130">
        <f>IF(AND(I56&lt;&gt;"", I56&lt;&gt;0), G56/I56, "")</f>
        <v>7.8579987181987915E-2</v>
      </c>
      <c r="O56" s="116">
        <f t="shared" si="15"/>
        <v>0.59831984177823094</v>
      </c>
      <c r="P56" s="118">
        <f t="shared" ref="P56:U56" si="22">SUM(P25:P55)</f>
        <v>2425961.9999999986</v>
      </c>
      <c r="Q56" s="118">
        <f t="shared" si="22"/>
        <v>411.17999999999995</v>
      </c>
      <c r="R56" s="118">
        <f t="shared" si="22"/>
        <v>230.99999999999991</v>
      </c>
      <c r="S56" s="118">
        <f t="shared" si="22"/>
        <v>1451501.2</v>
      </c>
      <c r="T56" s="118">
        <f t="shared" si="22"/>
        <v>260.17632861937341</v>
      </c>
      <c r="U56" s="118">
        <f t="shared" si="22"/>
        <v>256.17632861937341</v>
      </c>
      <c r="V56" s="131"/>
      <c r="W56" s="131"/>
    </row>
    <row r="57" spans="1:255">
      <c r="A57" s="132"/>
      <c r="B57" s="133"/>
      <c r="C57" s="134"/>
      <c r="D57" s="135">
        <f>SUMIF(D25:D55,"",P25:P55)+D56</f>
        <v>1451501.2</v>
      </c>
      <c r="E57" s="136"/>
      <c r="F57" s="134"/>
      <c r="G57" s="134"/>
      <c r="H57" s="137"/>
      <c r="I57" s="138">
        <f>I56/J14</f>
        <v>57.88225806451613</v>
      </c>
      <c r="J57" s="137"/>
      <c r="K57" s="3"/>
      <c r="L57" s="139"/>
      <c r="M57" s="136"/>
      <c r="N57" s="139"/>
      <c r="O57" s="139"/>
      <c r="P57" s="139"/>
      <c r="Q57" s="140"/>
      <c r="R57" s="3"/>
      <c r="T57" s="3"/>
      <c r="U57" s="3"/>
      <c r="V57" s="3"/>
      <c r="W57" s="3"/>
    </row>
    <row r="58" spans="1:255">
      <c r="A58" s="132"/>
      <c r="B58" s="3"/>
      <c r="C58" s="141"/>
      <c r="D58" s="141">
        <f>'Рогалевич И. Е. '!J8+'Уразгильдеева Е. Р. '!J8</f>
        <v>1451501.2</v>
      </c>
      <c r="E58" s="142">
        <f>'Рогалевич И. Е. '!E57+'Уразгильдеева Е. Р. '!E57</f>
        <v>243</v>
      </c>
      <c r="F58" s="3"/>
      <c r="G58" s="142">
        <f>'Рогалевич И. Е. '!G57+'Уразгильдеева Е. Р. '!G57</f>
        <v>141</v>
      </c>
      <c r="H58" s="3"/>
      <c r="I58" s="143">
        <f>'Рогалевич И. Е. '!I57+'Уразгильдеева Е. Р. '!I57</f>
        <v>1275</v>
      </c>
      <c r="J58" s="144"/>
      <c r="K58" s="145">
        <f>'Рогалевич И. Е. '!K57+'Уразгильдеева Е. Р. '!K57</f>
        <v>228147.20000000001</v>
      </c>
      <c r="L58" s="142">
        <f>'Рогалевич И. Е. '!L57+'Уразгильдеева Е. Р. '!L57</f>
        <v>63621</v>
      </c>
      <c r="M58" s="142">
        <f>'Рогалевич И. Е. '!M57+'Уразгильдеева Е. Р. '!M57</f>
        <v>91314</v>
      </c>
      <c r="N58" s="3"/>
      <c r="O58" s="3"/>
      <c r="P58" s="3"/>
      <c r="Q58" s="3"/>
      <c r="R58" s="3"/>
      <c r="T58" s="3"/>
      <c r="U58" s="3"/>
      <c r="V58" s="3"/>
      <c r="W58" s="3"/>
    </row>
    <row r="59" spans="1:255">
      <c r="D59" s="146"/>
      <c r="F59" s="147"/>
    </row>
    <row r="60" spans="1:255">
      <c r="D60" s="92"/>
      <c r="G60" s="148"/>
      <c r="M60" s="146"/>
    </row>
    <row r="61" spans="1:255">
      <c r="D61" s="92"/>
    </row>
    <row r="62" spans="1:255">
      <c r="M62" s="146"/>
    </row>
    <row r="64" spans="1:255">
      <c r="F64" s="531"/>
    </row>
    <row r="65" spans="4:6">
      <c r="F65" s="531"/>
    </row>
    <row r="68" spans="4:6">
      <c r="D68" s="149"/>
    </row>
  </sheetData>
  <mergeCells count="31">
    <mergeCell ref="P22:W22"/>
    <mergeCell ref="A23:A24"/>
    <mergeCell ref="B56:C56"/>
    <mergeCell ref="F64:F65"/>
    <mergeCell ref="F18:H18"/>
    <mergeCell ref="F19:H19"/>
    <mergeCell ref="F20:H20"/>
    <mergeCell ref="A22:N22"/>
    <mergeCell ref="O22:O24"/>
    <mergeCell ref="F13:H13"/>
    <mergeCell ref="F14:H14"/>
    <mergeCell ref="F15:H15"/>
    <mergeCell ref="F16:H16"/>
    <mergeCell ref="S16:T17"/>
    <mergeCell ref="F17:H17"/>
    <mergeCell ref="F10:H10"/>
    <mergeCell ref="S10:T11"/>
    <mergeCell ref="V10:W11"/>
    <mergeCell ref="F11:H11"/>
    <mergeCell ref="F12:H12"/>
    <mergeCell ref="J5:N5"/>
    <mergeCell ref="F7:H7"/>
    <mergeCell ref="P7:Q7"/>
    <mergeCell ref="F8:H8"/>
    <mergeCell ref="F9:H9"/>
    <mergeCell ref="B1:C1"/>
    <mergeCell ref="Q1:T4"/>
    <mergeCell ref="B2:C2"/>
    <mergeCell ref="J2:P2"/>
    <mergeCell ref="I3:M4"/>
    <mergeCell ref="C4:D4"/>
  </mergeCells>
  <conditionalFormatting sqref="D58">
    <cfRule type="cellIs" dxfId="186" priority="60" operator="equal">
      <formula>$D$56</formula>
    </cfRule>
    <cfRule type="cellIs" dxfId="185" priority="59" operator="notEqual">
      <formula>$D$56</formula>
    </cfRule>
  </conditionalFormatting>
  <conditionalFormatting sqref="G58">
    <cfRule type="cellIs" dxfId="184" priority="18" operator="notEqual">
      <formula>$G$56</formula>
    </cfRule>
  </conditionalFormatting>
  <conditionalFormatting sqref="J16">
    <cfRule type="cellIs" dxfId="183" priority="63" operator="greaterThan">
      <formula>0</formula>
    </cfRule>
    <cfRule type="cellIs" dxfId="182" priority="62" operator="lessThan">
      <formula>0</formula>
    </cfRule>
  </conditionalFormatting>
  <conditionalFormatting sqref="J25:J55">
    <cfRule type="cellIs" dxfId="181" priority="40" operator="greaterThan">
      <formula>$I$12</formula>
    </cfRule>
    <cfRule type="cellIs" dxfId="180" priority="39" operator="lessThan">
      <formula>$I$12</formula>
    </cfRule>
  </conditionalFormatting>
  <conditionalFormatting sqref="J27">
    <cfRule type="cellIs" dxfId="179" priority="74" operator="lessThan">
      <formula>$I$12</formula>
    </cfRule>
  </conditionalFormatting>
  <conditionalFormatting sqref="K8">
    <cfRule type="cellIs" dxfId="178" priority="2" operator="greaterThan">
      <formula>$K$17</formula>
    </cfRule>
    <cfRule type="cellIs" dxfId="177" priority="3" operator="lessThan">
      <formula>$K$17</formula>
    </cfRule>
  </conditionalFormatting>
  <conditionalFormatting sqref="K10:K12 K15">
    <cfRule type="cellIs" dxfId="176" priority="67" operator="greaterThan">
      <formula>1</formula>
    </cfRule>
    <cfRule type="cellIs" dxfId="175" priority="66" operator="lessThan">
      <formula>1</formula>
    </cfRule>
  </conditionalFormatting>
  <conditionalFormatting sqref="K58">
    <cfRule type="cellIs" dxfId="174" priority="19" operator="equal">
      <formula>$K$56</formula>
    </cfRule>
  </conditionalFormatting>
  <conditionalFormatting sqref="L58">
    <cfRule type="cellIs" dxfId="173" priority="22" operator="equal">
      <formula>$L$56</formula>
    </cfRule>
    <cfRule type="cellIs" dxfId="172" priority="23" operator="notEqual">
      <formula>$L$56</formula>
    </cfRule>
  </conditionalFormatting>
  <conditionalFormatting sqref="M8:M15">
    <cfRule type="cellIs" dxfId="171" priority="53" operator="greaterThan">
      <formula>1</formula>
    </cfRule>
    <cfRule type="cellIs" dxfId="170" priority="52" operator="lessThan">
      <formula>1</formula>
    </cfRule>
  </conditionalFormatting>
  <conditionalFormatting sqref="M58">
    <cfRule type="cellIs" dxfId="169" priority="1" operator="equal">
      <formula>$M$56</formula>
    </cfRule>
  </conditionalFormatting>
  <conditionalFormatting sqref="N25:N55">
    <cfRule type="cellIs" dxfId="168" priority="4" operator="lessThan">
      <formula>$I$20</formula>
    </cfRule>
    <cfRule type="cellIs" dxfId="167" priority="5" operator="greaterThan">
      <formula>$I$20</formula>
    </cfRule>
  </conditionalFormatting>
  <conditionalFormatting sqref="O25:O55">
    <cfRule type="cellIs" dxfId="166" priority="35" operator="between">
      <formula>0.01</formula>
      <formula>0.99</formula>
    </cfRule>
    <cfRule type="cellIs" dxfId="165" priority="30" operator="between">
      <formula>0.9001</formula>
      <formula>0.9999</formula>
    </cfRule>
    <cfRule type="cellIs" dxfId="164" priority="31" operator="lessThan">
      <formula>0.9</formula>
    </cfRule>
    <cfRule type="cellIs" dxfId="163" priority="32" operator="greaterThan">
      <formula>1</formula>
    </cfRule>
    <cfRule type="cellIs" dxfId="162" priority="33" operator="greaterThan">
      <formula>100</formula>
    </cfRule>
    <cfRule type="cellIs" dxfId="161" priority="34" operator="between">
      <formula>0.85</formula>
      <formula>1</formula>
    </cfRule>
  </conditionalFormatting>
  <conditionalFormatting sqref="P10:Q10">
    <cfRule type="cellIs" dxfId="160" priority="72" operator="lessThan">
      <formula>0</formula>
    </cfRule>
  </conditionalFormatting>
  <conditionalFormatting sqref="T13">
    <cfRule type="cellIs" dxfId="159" priority="17" operator="greaterThan">
      <formula>0.95</formula>
    </cfRule>
    <cfRule type="cellIs" dxfId="158" priority="16" operator="lessThan">
      <formula>0.9</formula>
    </cfRule>
    <cfRule type="cellIs" dxfId="157" priority="15" operator="between">
      <formula>0.9</formula>
      <formula>0.95</formula>
    </cfRule>
  </conditionalFormatting>
  <conditionalFormatting sqref="T19">
    <cfRule type="cellIs" dxfId="156" priority="12" operator="between">
      <formula>0.9</formula>
      <formula>0.95</formula>
    </cfRule>
    <cfRule type="cellIs" dxfId="155" priority="13" operator="lessThan">
      <formula>0.9</formula>
    </cfRule>
    <cfRule type="cellIs" dxfId="154" priority="14" operator="greaterThan">
      <formula>0.95</formula>
    </cfRule>
  </conditionalFormatting>
  <conditionalFormatting sqref="W13">
    <cfRule type="cellIs" dxfId="153" priority="11" operator="greaterThan">
      <formula>"100;"</formula>
    </cfRule>
    <cfRule type="cellIs" dxfId="152" priority="10" operator="greaterThan">
      <formula>1</formula>
    </cfRule>
    <cfRule type="cellIs" dxfId="151" priority="9" operator="lessThan">
      <formula>1</formula>
    </cfRule>
    <cfRule type="cellIs" dxfId="150" priority="8" operator="greaterThan">
      <formula>0.95</formula>
    </cfRule>
    <cfRule type="cellIs" dxfId="149" priority="7" operator="lessThan">
      <formula>0.9</formula>
    </cfRule>
    <cfRule type="cellIs" dxfId="148" priority="6" operator="between">
      <formula>0.9</formula>
      <formula>0.95</formula>
    </cfRule>
  </conditionalFormatting>
  <pageMargins left="0.7" right="0.7" top="0.75" bottom="0.75" header="0.51200000000000001" footer="0.51200000000000001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"/>
  <sheetViews>
    <sheetView workbookViewId="0">
      <selection activeCell="S23" sqref="S23"/>
    </sheetView>
  </sheetViews>
  <sheetFormatPr baseColWidth="10" defaultColWidth="10" defaultRowHeight="15"/>
  <cols>
    <col min="1" max="1" width="21.1640625" bestFit="1" customWidth="1"/>
    <col min="4" max="25" width="4.1640625" customWidth="1"/>
  </cols>
  <sheetData>
    <row r="1" spans="1:26">
      <c r="A1" s="532" t="s">
        <v>26</v>
      </c>
      <c r="B1" s="534" t="s">
        <v>16</v>
      </c>
      <c r="C1" s="536" t="s">
        <v>58</v>
      </c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</row>
    <row r="2" spans="1:26">
      <c r="A2" s="533"/>
      <c r="B2" s="535"/>
      <c r="C2" s="537"/>
      <c r="D2" s="150">
        <v>9</v>
      </c>
      <c r="E2" s="150">
        <v>10</v>
      </c>
      <c r="F2" s="150">
        <v>11</v>
      </c>
      <c r="G2" s="150">
        <v>12</v>
      </c>
      <c r="H2" s="150">
        <v>13</v>
      </c>
      <c r="I2" s="150">
        <v>14</v>
      </c>
      <c r="J2" s="150">
        <v>15</v>
      </c>
      <c r="K2" s="150">
        <v>16</v>
      </c>
      <c r="L2" s="150">
        <v>17</v>
      </c>
      <c r="M2" s="150">
        <v>18</v>
      </c>
      <c r="N2" s="150">
        <v>19</v>
      </c>
      <c r="O2" s="150">
        <v>20</v>
      </c>
      <c r="P2" s="148">
        <v>21</v>
      </c>
      <c r="Q2" s="150">
        <v>22</v>
      </c>
      <c r="R2" s="150">
        <v>23</v>
      </c>
      <c r="S2" s="150">
        <v>24</v>
      </c>
      <c r="T2" s="150">
        <v>25</v>
      </c>
      <c r="U2" s="150">
        <v>26</v>
      </c>
      <c r="V2" s="150">
        <v>27</v>
      </c>
      <c r="W2" s="150">
        <v>28</v>
      </c>
      <c r="X2" s="150">
        <v>29</v>
      </c>
      <c r="Y2" s="151">
        <v>30</v>
      </c>
      <c r="Z2" s="152" t="s">
        <v>59</v>
      </c>
    </row>
    <row r="3" spans="1:26">
      <c r="A3" s="153" t="str">
        <f>График!B29</f>
        <v>Рогалевич Ирина</v>
      </c>
      <c r="B3" s="154">
        <f>'Рогалевич И. Е. '!J12</f>
        <v>1.8024691358024691</v>
      </c>
      <c r="C3" s="155">
        <f>'Рогалевич И. Е. '!K8</f>
        <v>0.63847530552819765</v>
      </c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48"/>
      <c r="Q3" s="156"/>
      <c r="R3" s="156"/>
      <c r="S3" s="156"/>
      <c r="T3" s="156"/>
      <c r="U3" s="156"/>
      <c r="V3" s="156"/>
      <c r="W3" s="156"/>
      <c r="X3" s="156"/>
      <c r="Y3" s="157"/>
      <c r="Z3" s="158">
        <f t="shared" ref="Z3:Z5" si="0">SUM(D3:Y3)</f>
        <v>0</v>
      </c>
    </row>
    <row r="4" spans="1:26">
      <c r="A4" s="159" t="str">
        <f>График!B28</f>
        <v>Уразгильдеева Екатерина</v>
      </c>
      <c r="B4" s="160">
        <f>'Уразгильдеева Е. Р. '!J12</f>
        <v>1.6166666666666667</v>
      </c>
      <c r="C4" s="161">
        <f>'Уразгильдеева Е. Р. '!K8</f>
        <v>0.54797263595974399</v>
      </c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3"/>
      <c r="Z4" s="158">
        <f t="shared" si="0"/>
        <v>0</v>
      </c>
    </row>
    <row r="5" spans="1:26">
      <c r="A5" s="164" t="str">
        <f>График!B27</f>
        <v>Арапова Анна-Мария</v>
      </c>
      <c r="B5" s="165" t="e">
        <f>'[1]Яковенко А. К'!J12</f>
        <v>#REF!</v>
      </c>
      <c r="C5" s="166" t="e">
        <f>'[1]Яковенко А. К'!K8</f>
        <v>#REF!</v>
      </c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1"/>
      <c r="Z5" s="152">
        <f t="shared" si="0"/>
        <v>0</v>
      </c>
    </row>
  </sheetData>
  <mergeCells count="3">
    <mergeCell ref="A1:A2"/>
    <mergeCell ref="B1:B2"/>
    <mergeCell ref="C1:C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6"/>
  <sheetViews>
    <sheetView workbookViewId="0">
      <selection activeCell="D16" sqref="D16:F16"/>
    </sheetView>
  </sheetViews>
  <sheetFormatPr baseColWidth="10" defaultColWidth="10" defaultRowHeight="15"/>
  <cols>
    <col min="1" max="1" width="10.83203125" style="3"/>
    <col min="2" max="2" width="10" style="3" customWidth="1"/>
    <col min="3" max="3" width="1.6640625" style="3" customWidth="1"/>
    <col min="4" max="11" width="11.6640625" style="3" customWidth="1"/>
    <col min="12" max="12" width="13.1640625" style="3" customWidth="1"/>
    <col min="13" max="14" width="11.6640625" customWidth="1"/>
    <col min="15" max="15" width="15.33203125" customWidth="1"/>
  </cols>
  <sheetData>
    <row r="1" spans="1:15" ht="22" customHeight="1">
      <c r="A1" s="538" t="s">
        <v>60</v>
      </c>
      <c r="B1" s="539"/>
      <c r="C1" s="539"/>
      <c r="D1" s="539"/>
      <c r="E1" s="539"/>
      <c r="F1" s="539"/>
      <c r="G1" s="539"/>
      <c r="H1" s="539"/>
      <c r="I1" s="539"/>
      <c r="J1" s="539"/>
      <c r="K1" s="539"/>
      <c r="L1" s="539"/>
      <c r="M1" s="539"/>
      <c r="N1" s="539"/>
      <c r="O1" s="540"/>
    </row>
    <row r="2" spans="1:15" ht="18" customHeight="1">
      <c r="A2" s="541" t="s">
        <v>3</v>
      </c>
      <c r="B2" s="542"/>
      <c r="C2" s="542"/>
      <c r="D2" s="545" t="str">
        <f>'Ялта, Ленина, 18'!I3</f>
        <v>ул. Набережная Ленина, 18</v>
      </c>
      <c r="E2" s="546"/>
      <c r="F2" s="546"/>
      <c r="G2" s="547" t="str">
        <f>График!B29</f>
        <v>Рогалевич Ирина</v>
      </c>
      <c r="H2" s="548"/>
      <c r="I2" s="548"/>
      <c r="J2" s="549" t="str">
        <f>График!B28</f>
        <v>Уразгильдеева Екатерина</v>
      </c>
      <c r="K2" s="550"/>
      <c r="L2" s="551"/>
      <c r="M2" s="549" t="str">
        <f>График!B27</f>
        <v>Арапова Анна-Мария</v>
      </c>
      <c r="N2" s="550"/>
      <c r="O2" s="551"/>
    </row>
    <row r="3" spans="1:15" ht="18" customHeight="1">
      <c r="A3" s="543"/>
      <c r="B3" s="544"/>
      <c r="C3" s="544"/>
      <c r="D3" s="552" t="s">
        <v>61</v>
      </c>
      <c r="E3" s="553"/>
      <c r="F3" s="167" t="s">
        <v>62</v>
      </c>
      <c r="G3" s="554" t="s">
        <v>5</v>
      </c>
      <c r="H3" s="555"/>
      <c r="I3" s="168" t="s">
        <v>62</v>
      </c>
      <c r="J3" s="556" t="s">
        <v>5</v>
      </c>
      <c r="K3" s="557"/>
      <c r="L3" s="169" t="s">
        <v>62</v>
      </c>
      <c r="M3" s="556" t="s">
        <v>5</v>
      </c>
      <c r="N3" s="557"/>
      <c r="O3" s="169" t="s">
        <v>62</v>
      </c>
    </row>
    <row r="4" spans="1:15">
      <c r="A4" s="558" t="s">
        <v>12</v>
      </c>
      <c r="B4" s="558"/>
      <c r="C4" s="559"/>
      <c r="D4" s="170">
        <f>'Ялта, Ленина, 18'!K8</f>
        <v>0.59831984177823061</v>
      </c>
      <c r="E4" s="171">
        <f>'Ялта, Ленина, 18'!J8</f>
        <v>1451501.2</v>
      </c>
      <c r="F4" s="172">
        <f>'Ялта, Ленина, 18'!M8</f>
        <v>0.59831984177823105</v>
      </c>
      <c r="G4" s="173">
        <f>'Рогалевич И. Е. '!K8</f>
        <v>0.63847530552819765</v>
      </c>
      <c r="H4" s="174">
        <f>'Рогалевич И. Е. '!J8</f>
        <v>861672.2</v>
      </c>
      <c r="I4" s="175">
        <f>'Рогалевич И. Е. '!M8</f>
        <v>0.69168158098888111</v>
      </c>
      <c r="J4" s="176">
        <f>'Уразгильдеева Е. Р. '!K8</f>
        <v>0.54797263595974399</v>
      </c>
      <c r="K4" s="174">
        <f>'Уразгильдеева Е. Р. '!J8</f>
        <v>589829</v>
      </c>
      <c r="L4" s="177">
        <f>'Уразгильдеева Е. Р. '!M8</f>
        <v>0.57681330101025696</v>
      </c>
      <c r="M4" s="176" t="e">
        <f>'[1]Яковенко А. К'!K8</f>
        <v>#REF!</v>
      </c>
      <c r="N4" s="174" t="e">
        <f>'[1]Яковенко А. К'!J8</f>
        <v>#REF!</v>
      </c>
      <c r="O4" s="177" t="e">
        <f>'[1]Яковенко А. К'!M8</f>
        <v>#REF!</v>
      </c>
    </row>
    <row r="5" spans="1:15">
      <c r="A5" s="518" t="s">
        <v>13</v>
      </c>
      <c r="B5" s="518"/>
      <c r="C5" s="560"/>
      <c r="D5" s="178">
        <f>'Ялта, Ленина, 18'!K9</f>
        <v>0.59098205165620898</v>
      </c>
      <c r="E5" s="179">
        <f>'Ялта, Ленина, 18'!J9</f>
        <v>243</v>
      </c>
      <c r="F5" s="180">
        <f>'Ялта, Ленина, 18'!M9</f>
        <v>0.61659521099950976</v>
      </c>
      <c r="G5" s="181">
        <f>'Рогалевич И. Е. '!K9</f>
        <v>0.6382736128448725</v>
      </c>
      <c r="H5" s="182">
        <f>'Рогалевич И. Е. '!J9</f>
        <v>146</v>
      </c>
      <c r="I5" s="183">
        <f>'Рогалевич И. Е. '!M9</f>
        <v>0.69146308058194572</v>
      </c>
      <c r="J5" s="184">
        <f>'Уразгильдеева Е. Р. '!K9</f>
        <v>0.53168755615570196</v>
      </c>
      <c r="K5" s="185">
        <f>'Уразгильдеева Е. Р. '!J9</f>
        <v>97</v>
      </c>
      <c r="L5" s="186">
        <f>'Уразгильдеева Е. Р. '!M9</f>
        <v>0.55967111174284401</v>
      </c>
      <c r="M5" s="184" t="e">
        <f>'[1]Яковенко А. К'!K9</f>
        <v>#REF!</v>
      </c>
      <c r="N5" s="185" t="e">
        <f>'[1]Яковенко А. К'!J9</f>
        <v>#REF!</v>
      </c>
      <c r="O5" s="186" t="e">
        <f>'[1]Яковенко А. К'!M9</f>
        <v>#REF!</v>
      </c>
    </row>
    <row r="6" spans="1:15">
      <c r="A6" s="558" t="s">
        <v>14</v>
      </c>
      <c r="B6" s="558"/>
      <c r="C6" s="559"/>
      <c r="D6" s="178">
        <f>'Ялта, Ленина, 18'!K10</f>
        <v>0.98022612376433527</v>
      </c>
      <c r="E6" s="187">
        <f>'Ялта, Ленина, 18'!J10</f>
        <v>10294.334751773049</v>
      </c>
      <c r="F6" s="180">
        <f>'Ялта, Ленина, 18'!M10</f>
        <v>0.98022612376433527</v>
      </c>
      <c r="G6" s="181">
        <f>'Рогалевич И. Е. '!K10</f>
        <v>1.0129430960828154</v>
      </c>
      <c r="H6" s="188">
        <f>'Рогалевич И. Е. '!J10</f>
        <v>10637.928395061728</v>
      </c>
      <c r="I6" s="183">
        <f>'Рогалевич И. Е. '!M10</f>
        <v>1.0129430960828154</v>
      </c>
      <c r="J6" s="184">
        <f>'Уразгильдеева Е. Р. '!K10</f>
        <v>0.93605821113438714</v>
      </c>
      <c r="K6" s="188">
        <f>'Уразгильдеева Е. Р. '!J10</f>
        <v>9830.4833333333336</v>
      </c>
      <c r="L6" s="186">
        <f>'Уразгильдеева Е. Р. '!M10</f>
        <v>0.93605821113438714</v>
      </c>
      <c r="M6" s="184" t="e">
        <f>'[1]Яковенко А. К'!K10</f>
        <v>#REF!</v>
      </c>
      <c r="N6" s="185" t="e">
        <f>'[1]Яковенко А. К'!J10</f>
        <v>#REF!</v>
      </c>
      <c r="O6" s="186" t="e">
        <f>'[1]Яковенко А. К'!M10</f>
        <v>#REF!</v>
      </c>
    </row>
    <row r="7" spans="1:15">
      <c r="A7" s="518" t="s">
        <v>15</v>
      </c>
      <c r="B7" s="518"/>
      <c r="C7" s="560"/>
      <c r="D7" s="178">
        <f>'Ялта, Ленина, 18'!K11</f>
        <v>1.0124162656064728</v>
      </c>
      <c r="E7" s="187">
        <f>'Ялта, Ленина, 18'!J11</f>
        <v>5973.2559670781893</v>
      </c>
      <c r="F7" s="180">
        <f>'Ялта, Ленина, 18'!M11</f>
        <v>0.97036083171704468</v>
      </c>
      <c r="G7" s="181">
        <f>'Рогалевич И. Е. '!K11</f>
        <v>1.0003159972138378</v>
      </c>
      <c r="H7" s="188">
        <f>'Рогалевич И. Е. '!J11</f>
        <v>5901.8643835616431</v>
      </c>
      <c r="I7" s="183">
        <f>'Рогалевич И. Е. '!M11</f>
        <v>1.0003159972138376</v>
      </c>
      <c r="J7" s="184">
        <f>'Уразгильдеева Е. Р. '!K11</f>
        <v>1.0306290407129128</v>
      </c>
      <c r="K7" s="188">
        <f>'Уразгильдеева Е. Р. '!J11</f>
        <v>6080.7113402061859</v>
      </c>
      <c r="L7" s="186">
        <f>'Уразгильдеева Е. Р. '!M11</f>
        <v>1.0306290407129133</v>
      </c>
      <c r="M7" s="184" t="e">
        <f>'[1]Яковенко А. К'!K11</f>
        <v>#REF!</v>
      </c>
      <c r="N7" s="185" t="e">
        <f>'[1]Яковенко А. К'!J11</f>
        <v>#REF!</v>
      </c>
      <c r="O7" s="186" t="e">
        <f>'[1]Яковенко А. К'!M11</f>
        <v>#REF!</v>
      </c>
    </row>
    <row r="8" spans="1:15">
      <c r="A8" s="518" t="s">
        <v>16</v>
      </c>
      <c r="B8" s="518"/>
      <c r="C8" s="560"/>
      <c r="D8" s="178">
        <f>'Ялта, Ленина, 18'!K12</f>
        <v>0.96820463781974653</v>
      </c>
      <c r="E8" s="189">
        <f>'Ялта, Ленина, 18'!J12</f>
        <v>1.7234042553191489</v>
      </c>
      <c r="F8" s="180">
        <f>'Ялта, Ленина, 18'!M12</f>
        <v>0.96820463781974653</v>
      </c>
      <c r="G8" s="181">
        <f>'Рогалевич И. Е. '!K12</f>
        <v>1.0126231100013872</v>
      </c>
      <c r="H8" s="190">
        <f>'Рогалевич И. Е. '!J12</f>
        <v>1.8024691358024691</v>
      </c>
      <c r="I8" s="183">
        <f>'Рогалевич И. Е. '!M12</f>
        <v>1.0126231100013872</v>
      </c>
      <c r="J8" s="184">
        <f>'Уразгильдеева Е. Р. '!K12</f>
        <v>0.90823970037453183</v>
      </c>
      <c r="K8" s="191">
        <f>'Уразгильдеева Е. Р. '!J12</f>
        <v>1.6166666666666667</v>
      </c>
      <c r="L8" s="186">
        <f>'Уразгильдеева Е. Р. '!M12</f>
        <v>0.90823970037453183</v>
      </c>
      <c r="M8" s="184" t="e">
        <f>'[1]Яковенко А. К'!K12</f>
        <v>#REF!</v>
      </c>
      <c r="N8" s="191" t="e">
        <f>'[1]Яковенко А. К'!J12</f>
        <v>#REF!</v>
      </c>
      <c r="O8" s="186" t="e">
        <f>'[1]Яковенко А. К'!M12</f>
        <v>#REF!</v>
      </c>
    </row>
    <row r="9" spans="1:15">
      <c r="A9" s="518" t="s">
        <v>17</v>
      </c>
      <c r="B9" s="518"/>
      <c r="C9" s="560"/>
      <c r="D9" s="178">
        <f>'Ялта, Ленина, 18'!K13</f>
        <v>0.61038961038961037</v>
      </c>
      <c r="E9" s="179">
        <f>'Ялта, Ленина, 18'!J13</f>
        <v>141</v>
      </c>
      <c r="F9" s="180">
        <f>'Ялта, Ленина, 18'!M13</f>
        <v>0.61038961038961059</v>
      </c>
      <c r="G9" s="181">
        <f>'Рогалевич И. Е. '!K13</f>
        <v>0.63031705136968297</v>
      </c>
      <c r="H9" s="182">
        <f>'Рогалевич И. Е. '!J13</f>
        <v>81</v>
      </c>
      <c r="I9" s="183">
        <f>'Рогалевич И. Е. '!M13</f>
        <v>0.6828434723171567</v>
      </c>
      <c r="J9" s="184">
        <f>'Уразгильдеева Е. Р. '!K13</f>
        <v>0.58540444327246355</v>
      </c>
      <c r="K9" s="185">
        <f>'Уразгильдеева Е. Р. '!J13</f>
        <v>60</v>
      </c>
      <c r="L9" s="186">
        <f>'Уразгильдеева Е. Р. '!M13</f>
        <v>0.61621520344469838</v>
      </c>
      <c r="M9" s="184" t="e">
        <f>'[1]Яковенко А. К'!K13</f>
        <v>#REF!</v>
      </c>
      <c r="N9" s="185" t="e">
        <f>'[1]Яковенко А. К'!J13</f>
        <v>#REF!</v>
      </c>
      <c r="O9" s="186" t="e">
        <f>'[1]Яковенко А. К'!M13</f>
        <v>#REF!</v>
      </c>
    </row>
    <row r="10" spans="1:15">
      <c r="A10" s="518" t="s">
        <v>63</v>
      </c>
      <c r="B10" s="518"/>
      <c r="C10" s="560"/>
      <c r="D10" s="178">
        <f>'Ялта, Ленина, 18'!K14</f>
        <v>1</v>
      </c>
      <c r="E10" s="192">
        <f>'Ялта, Ленина, 18'!J14</f>
        <v>31</v>
      </c>
      <c r="F10" s="180"/>
      <c r="G10" s="181">
        <f>'Рогалевич И. Е. '!K14</f>
        <v>1</v>
      </c>
      <c r="H10" s="182">
        <f>'Рогалевич И. Е. '!J14</f>
        <v>26</v>
      </c>
      <c r="I10" s="183"/>
      <c r="J10" s="184">
        <f>'Уразгильдеева Е. Р. '!K14</f>
        <v>1</v>
      </c>
      <c r="K10" s="182">
        <f>'Уразгильдеева Е. Р. '!J14</f>
        <v>20</v>
      </c>
      <c r="L10" s="186"/>
      <c r="M10" s="184" t="e">
        <f>'[1]Яковенко А. К'!K14</f>
        <v>#REF!</v>
      </c>
      <c r="N10" s="185" t="e">
        <f>'[1]Яковенко А. К'!J14</f>
        <v>#REF!</v>
      </c>
      <c r="O10" s="186"/>
    </row>
    <row r="11" spans="1:15">
      <c r="A11" s="518" t="s">
        <v>19</v>
      </c>
      <c r="B11" s="518"/>
      <c r="C11" s="560"/>
      <c r="D11" s="178">
        <f>'Ялта, Ленина, 18'!K15</f>
        <v>0.59831984177823061</v>
      </c>
      <c r="E11" s="193">
        <f>'Ялта, Ленина, 18'!J15</f>
        <v>46822.619354838709</v>
      </c>
      <c r="F11" s="180">
        <f>'Ялта, Ленина, 18'!M15</f>
        <v>0.59831984177823061</v>
      </c>
      <c r="G11" s="181">
        <f>'Рогалевич И. Е. '!K15</f>
        <v>0.4234931925181401</v>
      </c>
      <c r="H11" s="188">
        <f>'Рогалевич И. Е. '!J15</f>
        <v>33141.238461538458</v>
      </c>
      <c r="I11" s="183">
        <f>'Рогалевич И. Е. '!M15</f>
        <v>0.4234931925181401</v>
      </c>
      <c r="J11" s="184">
        <f>'Уразгильдеева Е. Р. '!K15</f>
        <v>0.37685460448267533</v>
      </c>
      <c r="K11" s="188">
        <f>'Уразгильдеева Е. Р. '!J15</f>
        <v>29491.45</v>
      </c>
      <c r="L11" s="186">
        <f>'Уразгильдеева Е. Р. '!M15</f>
        <v>0.37685460448267533</v>
      </c>
      <c r="M11" s="184" t="e">
        <f>'[1]Яковенко А. К'!K15</f>
        <v>#REF!</v>
      </c>
      <c r="N11" s="185" t="e">
        <f>'[1]Яковенко А. К'!J15</f>
        <v>#REF!</v>
      </c>
      <c r="O11" s="186" t="e">
        <f>'[1]Яковенко А. К'!M15</f>
        <v>#REF!</v>
      </c>
    </row>
    <row r="12" spans="1:15">
      <c r="A12" s="561" t="s">
        <v>21</v>
      </c>
      <c r="B12" s="562"/>
      <c r="C12" s="563"/>
      <c r="D12" s="178">
        <f>'Ялта, Ленина, 18'!K17</f>
        <v>0.85445238095238096</v>
      </c>
      <c r="E12" s="192">
        <f>'Ялта, Ленина, 18'!J17</f>
        <v>1794.35</v>
      </c>
      <c r="F12" s="180">
        <f>'Ялта, Ленина, 18'!M17</f>
        <v>0.85445238095238096</v>
      </c>
      <c r="G12" s="181">
        <f>'Рогалевич И. Е. '!K17</f>
        <v>0.6573973395026026</v>
      </c>
      <c r="H12" s="182">
        <f>'Рогалевич И. Е. '!J17</f>
        <v>768</v>
      </c>
      <c r="I12" s="183">
        <f>'Рогалевич И. Е. '!M17</f>
        <v>0.6573973395026026</v>
      </c>
      <c r="J12" s="184">
        <f>'Уразгильдеева Е. Р. '!K17</f>
        <v>0.54413343002175485</v>
      </c>
      <c r="K12" s="182">
        <f>'Уразгильдеева Е. Р. '!J17</f>
        <v>507</v>
      </c>
      <c r="L12" s="186">
        <f>'Уразгильдеева Е. Р. '!M17</f>
        <v>0.54413343002175485</v>
      </c>
      <c r="M12" s="184" t="e">
        <f>'[1]Яковенко А. К'!K17</f>
        <v>#REF!</v>
      </c>
      <c r="N12" s="182" t="e">
        <f>'[1]Яковенко А. К'!J17</f>
        <v>#REF!</v>
      </c>
      <c r="O12" s="186" t="e">
        <f>'[1]Яковенко А. К'!M17</f>
        <v>#REF!</v>
      </c>
    </row>
    <row r="13" spans="1:15">
      <c r="A13" s="561" t="s">
        <v>35</v>
      </c>
      <c r="B13" s="562"/>
      <c r="C13" s="563"/>
      <c r="D13" s="178">
        <f>'Ялта, Ленина, 18'!S19</f>
        <v>0.2236737254901961</v>
      </c>
      <c r="E13" s="193">
        <f>'Ялта, Ленина, 18'!T18</f>
        <v>228147.20000000001</v>
      </c>
      <c r="F13" s="180">
        <f>'Ялта, Ленина, 18'!T19</f>
        <v>0.2236737254901961</v>
      </c>
      <c r="G13" s="181">
        <f>'Рогалевич И. Е. '!S19</f>
        <v>0.24972347701833772</v>
      </c>
      <c r="H13" s="188">
        <f>'Рогалевич И. Е. '!T18</f>
        <v>141701.20000000001</v>
      </c>
      <c r="I13" s="183">
        <f>'Рогалевич И. Е. '!T19</f>
        <v>0.24972347701833775</v>
      </c>
      <c r="J13" s="184">
        <f>'Уразгильдеева Е. Р. '!S19</f>
        <v>0.19101236189907433</v>
      </c>
      <c r="K13" s="188">
        <f>'Уразгильдеева Е. Р. '!T18</f>
        <v>86446</v>
      </c>
      <c r="L13" s="186">
        <f>'Уразгильдеева Е. Р. '!T19</f>
        <v>0.19101236189907433</v>
      </c>
      <c r="M13" s="184" t="e">
        <f>'[1]Яковенко А. К'!S19</f>
        <v>#REF!</v>
      </c>
      <c r="N13" s="194" t="e">
        <f>'[1]Яковенко А. К'!T18</f>
        <v>#REF!</v>
      </c>
      <c r="O13" s="186" t="e">
        <f>'[1]Яковенко А. К'!T19</f>
        <v>#REF!</v>
      </c>
    </row>
    <row r="14" spans="1:15">
      <c r="A14" s="561" t="s">
        <v>36</v>
      </c>
      <c r="B14" s="562"/>
      <c r="C14" s="563"/>
      <c r="D14" s="195">
        <f>'Ялта, Ленина, 18'!S13</f>
        <v>0.12474705882352941</v>
      </c>
      <c r="E14" s="193">
        <f>'Ялта, Ленина, 18'!T12</f>
        <v>63621</v>
      </c>
      <c r="F14" s="196">
        <f>'Ялта, Ленина, 18'!T13</f>
        <v>0.12474705882352941</v>
      </c>
      <c r="G14" s="181">
        <f>'Рогалевич И. Е. '!S13</f>
        <v>9.4502881638485359E-2</v>
      </c>
      <c r="H14" s="188">
        <f>'Рогалевич И. Е. '!T12</f>
        <v>26812</v>
      </c>
      <c r="I14" s="183">
        <f>'Рогалевич И. Е. '!T13</f>
        <v>9.4502881638485359E-2</v>
      </c>
      <c r="J14" s="184">
        <f>'Уразгильдеева Е. Р. '!S13</f>
        <v>0.16266742311137652</v>
      </c>
      <c r="K14" s="188">
        <f>'Уразгильдеева Е. Р. '!T12</f>
        <v>36809</v>
      </c>
      <c r="L14" s="186">
        <f>'Уразгильдеева Е. Р. '!T13</f>
        <v>0.1626674231113765</v>
      </c>
      <c r="M14" s="184" t="e">
        <f>'[1]Яковенко А. К'!S13</f>
        <v>#REF!</v>
      </c>
      <c r="N14" s="188" t="e">
        <f>'[1]Яковенко А. К'!T12</f>
        <v>#REF!</v>
      </c>
      <c r="O14" s="186" t="e">
        <f>'[1]Яковенко А. К'!T13</f>
        <v>#REF!</v>
      </c>
    </row>
    <row r="15" spans="1:15">
      <c r="A15" s="561" t="str">
        <f>'Ялта, Ленина, 18'!M23</f>
        <v>Agafi</v>
      </c>
      <c r="B15" s="562"/>
      <c r="C15" s="563"/>
      <c r="D15" s="197">
        <f>'Ялта, Ленина, 18'!V13</f>
        <v>0.1902375</v>
      </c>
      <c r="E15" s="198">
        <f>'Ялта, Ленина, 18'!W12</f>
        <v>91314</v>
      </c>
      <c r="F15" s="199">
        <f>'Ялта, Ленина, 18'!W13</f>
        <v>0.1902375</v>
      </c>
      <c r="G15" s="200">
        <f>'Рогалевич И. Е. '!V13</f>
        <v>0.27650384615384616</v>
      </c>
      <c r="H15" s="201">
        <f>'Рогалевич И. Е. '!W12</f>
        <v>73834</v>
      </c>
      <c r="I15" s="202">
        <f>'Рогалевич И. Е. '!W13</f>
        <v>0.27650384615384616</v>
      </c>
      <c r="J15" s="203">
        <f>'Уразгильдеева Е. Р. '!V13</f>
        <v>8.2076142131979696E-2</v>
      </c>
      <c r="K15" s="201">
        <f>'Уразгильдеева Е. Р. '!W12</f>
        <v>17480</v>
      </c>
      <c r="L15" s="204">
        <f>'Уразгильдеева Е. Р. '!W13</f>
        <v>8.2076142131979696E-2</v>
      </c>
      <c r="M15" s="203" t="e">
        <f>'[1]Яковенко А. К'!V13</f>
        <v>#REF!</v>
      </c>
      <c r="N15" s="201" t="e">
        <f>'[1]Яковенко А. К'!W12</f>
        <v>#REF!</v>
      </c>
      <c r="O15" s="204" t="e">
        <f>'[1]Яковенко А. К'!W13</f>
        <v>#REF!</v>
      </c>
    </row>
    <row r="16" spans="1:15">
      <c r="A16" s="564" t="s">
        <v>64</v>
      </c>
      <c r="B16" s="564"/>
      <c r="C16" s="564"/>
      <c r="D16" s="565">
        <f>'Ялта, Ленина, 18'!J16</f>
        <v>-974460.8</v>
      </c>
      <c r="E16" s="566"/>
      <c r="F16" s="567"/>
      <c r="G16" s="568">
        <f>'Рогалевич И. Е. '!N8</f>
        <v>-416099.7427927925</v>
      </c>
      <c r="H16" s="569"/>
      <c r="I16" s="570"/>
      <c r="J16" s="571">
        <f>'Уразгильдеева Е. Р. '!N8</f>
        <v>-455511.40896159317</v>
      </c>
      <c r="K16" s="572"/>
      <c r="L16" s="573"/>
      <c r="M16" s="571" t="e">
        <f>'[1]Яковенко А. К'!N8</f>
        <v>#REF!</v>
      </c>
      <c r="N16" s="572"/>
      <c r="O16" s="573"/>
    </row>
  </sheetData>
  <mergeCells count="27">
    <mergeCell ref="J16:L16"/>
    <mergeCell ref="M16:O16"/>
    <mergeCell ref="A14:C14"/>
    <mergeCell ref="A15:C15"/>
    <mergeCell ref="A16:C16"/>
    <mergeCell ref="D16:F16"/>
    <mergeCell ref="G16:I16"/>
    <mergeCell ref="A9:C9"/>
    <mergeCell ref="A10:C10"/>
    <mergeCell ref="A11:C11"/>
    <mergeCell ref="A12:C12"/>
    <mergeCell ref="A13:C13"/>
    <mergeCell ref="A4:C4"/>
    <mergeCell ref="A5:C5"/>
    <mergeCell ref="A6:C6"/>
    <mergeCell ref="A7:C7"/>
    <mergeCell ref="A8:C8"/>
    <mergeCell ref="A1:O1"/>
    <mergeCell ref="A2:C3"/>
    <mergeCell ref="D2:F2"/>
    <mergeCell ref="G2:I2"/>
    <mergeCell ref="J2:L2"/>
    <mergeCell ref="M2:O2"/>
    <mergeCell ref="D3:E3"/>
    <mergeCell ref="G3:H3"/>
    <mergeCell ref="J3:K3"/>
    <mergeCell ref="M3:N3"/>
  </mergeCells>
  <conditionalFormatting sqref="D4 D13:D15">
    <cfRule type="cellIs" dxfId="147" priority="10" operator="greaterThan">
      <formula>$D$10</formula>
    </cfRule>
    <cfRule type="cellIs" dxfId="146" priority="11" operator="lessThan">
      <formula>$D$10</formula>
    </cfRule>
  </conditionalFormatting>
  <conditionalFormatting sqref="D6:D8 G6:G8 J6:J8 M6:M8">
    <cfRule type="cellIs" dxfId="145" priority="2" operator="between">
      <formula>0.9</formula>
      <formula>0.95</formula>
    </cfRule>
    <cfRule type="cellIs" dxfId="144" priority="3" operator="lessThan">
      <formula>0.9</formula>
    </cfRule>
    <cfRule type="cellIs" dxfId="143" priority="1" operator="greaterThan">
      <formula>0.95</formula>
    </cfRule>
  </conditionalFormatting>
  <conditionalFormatting sqref="D16:O16">
    <cfRule type="cellIs" dxfId="142" priority="117" operator="lessThan">
      <formula>0</formula>
    </cfRule>
  </conditionalFormatting>
  <conditionalFormatting sqref="F4:F5 I4:I5 F9 I9 F11 F13:F15">
    <cfRule type="cellIs" dxfId="141" priority="176" operator="lessThan">
      <formula>1</formula>
    </cfRule>
  </conditionalFormatting>
  <conditionalFormatting sqref="F4:F5 I4:I5 L4:L5 O4:O5 F9 I9 L9 O9 F11 I11 L11 O11 F13:F15 I13:I15 L13:L15 O13:O15">
    <cfRule type="cellIs" dxfId="140" priority="143" operator="between">
      <formula>0.9</formula>
      <formula>0.9999</formula>
    </cfRule>
  </conditionalFormatting>
  <conditionalFormatting sqref="F4:F9 I4:I9 L4:L9 O4:O9">
    <cfRule type="cellIs" dxfId="139" priority="14" operator="greaterThan">
      <formula>1</formula>
    </cfRule>
  </conditionalFormatting>
  <conditionalFormatting sqref="F6:F8 I6:I8 L6:L8 O6:O8">
    <cfRule type="cellIs" dxfId="138" priority="13" operator="lessThan">
      <formula>0.95</formula>
    </cfRule>
    <cfRule type="cellIs" dxfId="137" priority="12" operator="between">
      <formula>0.9501</formula>
      <formula>0.9999</formula>
    </cfRule>
  </conditionalFormatting>
  <conditionalFormatting sqref="F11 I11 F13:F15 I13:I15">
    <cfRule type="cellIs" dxfId="136" priority="177" operator="greaterThan">
      <formula>1</formula>
    </cfRule>
  </conditionalFormatting>
  <conditionalFormatting sqref="G4 G13:G15">
    <cfRule type="cellIs" dxfId="135" priority="9" operator="lessThan">
      <formula>$G$10</formula>
    </cfRule>
    <cfRule type="cellIs" dxfId="134" priority="8" operator="greaterThan">
      <formula>$G$10</formula>
    </cfRule>
  </conditionalFormatting>
  <conditionalFormatting sqref="G16:O16">
    <cfRule type="cellIs" dxfId="133" priority="181" operator="greaterThan">
      <formula>0</formula>
    </cfRule>
  </conditionalFormatting>
  <conditionalFormatting sqref="I11 I13:I15">
    <cfRule type="cellIs" dxfId="132" priority="166" operator="lessThan">
      <formula>1</formula>
    </cfRule>
  </conditionalFormatting>
  <conditionalFormatting sqref="J4 J13:J15">
    <cfRule type="cellIs" dxfId="131" priority="7" operator="lessThan">
      <formula>$J$10</formula>
    </cfRule>
    <cfRule type="cellIs" dxfId="130" priority="6" operator="greaterThan">
      <formula>$J$10</formula>
    </cfRule>
  </conditionalFormatting>
  <conditionalFormatting sqref="L4:L5 L9 L11">
    <cfRule type="cellIs" dxfId="129" priority="178" operator="lessThan">
      <formula>1</formula>
    </cfRule>
  </conditionalFormatting>
  <conditionalFormatting sqref="L11 L13:L15">
    <cfRule type="cellIs" dxfId="128" priority="179" operator="greaterThan">
      <formula>1</formula>
    </cfRule>
  </conditionalFormatting>
  <conditionalFormatting sqref="L13:L15">
    <cfRule type="cellIs" dxfId="127" priority="144" operator="lessThan">
      <formula>1</formula>
    </cfRule>
  </conditionalFormatting>
  <conditionalFormatting sqref="M4 M13:M15">
    <cfRule type="cellIs" dxfId="126" priority="5" operator="lessThan">
      <formula>$M$10</formula>
    </cfRule>
    <cfRule type="cellIs" dxfId="125" priority="4" operator="greaterThan">
      <formula>$M$10</formula>
    </cfRule>
  </conditionalFormatting>
  <conditionalFormatting sqref="O4:O5 O9 O11 O13:O15">
    <cfRule type="cellIs" dxfId="124" priority="148" operator="lessThan">
      <formula>1</formula>
    </cfRule>
  </conditionalFormatting>
  <conditionalFormatting sqref="O11 O13:O15">
    <cfRule type="cellIs" dxfId="123" priority="149" operator="greaterThan">
      <formula>1</formula>
    </cfRule>
  </conditionalFormatting>
  <dataValidations count="1">
    <dataValidation type="decimal" allowBlank="1" showErrorMessage="1" sqref="D4:F15" xr:uid="{00EC00AD-00CF-4498-B75F-00B400740042}">
      <formula1>0</formula1>
      <formula2>1000000000000000</formula2>
    </dataValidation>
  </dataValidation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10"/>
  <sheetViews>
    <sheetView showZeros="0" zoomScale="138" workbookViewId="0">
      <selection activeCell="D8" sqref="D8"/>
    </sheetView>
  </sheetViews>
  <sheetFormatPr baseColWidth="10" defaultColWidth="11.5" defaultRowHeight="15"/>
  <cols>
    <col min="1" max="3" width="11.5" style="205"/>
    <col min="4" max="4" width="11.5" style="3"/>
  </cols>
  <sheetData>
    <row r="1" spans="1:4">
      <c r="A1" s="574" t="s">
        <v>12</v>
      </c>
      <c r="B1" s="575"/>
      <c r="C1" s="575"/>
      <c r="D1" s="206">
        <v>146121</v>
      </c>
    </row>
    <row r="2" spans="1:4">
      <c r="A2" s="558" t="s">
        <v>13</v>
      </c>
      <c r="B2" s="576"/>
      <c r="C2" s="576"/>
      <c r="D2" s="207">
        <f>D1/D4</f>
        <v>24.766271186440679</v>
      </c>
    </row>
    <row r="3" spans="1:4">
      <c r="A3" s="558" t="s">
        <v>14</v>
      </c>
      <c r="B3" s="576"/>
      <c r="C3" s="576"/>
      <c r="D3" s="208">
        <f>D4*D5</f>
        <v>10502</v>
      </c>
    </row>
    <row r="4" spans="1:4">
      <c r="A4" s="558" t="s">
        <v>15</v>
      </c>
      <c r="B4" s="576"/>
      <c r="C4" s="576"/>
      <c r="D4" s="209">
        <f>'Ялта, Ленина, 18'!I11</f>
        <v>5900</v>
      </c>
    </row>
    <row r="5" spans="1:4">
      <c r="A5" s="558" t="s">
        <v>16</v>
      </c>
      <c r="B5" s="576"/>
      <c r="C5" s="576"/>
      <c r="D5" s="210">
        <f>'Ялта, Ленина, 18'!I12</f>
        <v>1.78</v>
      </c>
    </row>
    <row r="6" spans="1:4">
      <c r="A6" s="558" t="s">
        <v>17</v>
      </c>
      <c r="B6" s="576"/>
      <c r="C6" s="576"/>
      <c r="D6" s="208">
        <f>IF(D5&lt;&gt;0,D2/D5,"")</f>
        <v>13.913635498000382</v>
      </c>
    </row>
    <row r="7" spans="1:4">
      <c r="A7" s="558" t="s">
        <v>65</v>
      </c>
      <c r="B7" s="558"/>
      <c r="C7" s="559"/>
      <c r="D7" s="211">
        <f>'Ялта, Ленина, 18'!I20</f>
        <v>0.11</v>
      </c>
    </row>
    <row r="8" spans="1:4">
      <c r="A8" s="577" t="s">
        <v>36</v>
      </c>
      <c r="B8" s="578"/>
      <c r="C8" s="579"/>
      <c r="D8" s="212" t="e">
        <f>('Ялта, Ленина, 18'!S12-'Ялта, Ленина, 18'!T12)/('Ялта, Ленина, 18'!I14-'Ялта, Ленина, 18'!J14)</f>
        <v>#DIV/0!</v>
      </c>
    </row>
    <row r="9" spans="1:4">
      <c r="A9" s="577" t="s">
        <v>35</v>
      </c>
      <c r="B9" s="578"/>
      <c r="C9" s="579"/>
      <c r="D9" s="212" t="e">
        <f>('Ялта, Ленина, 18'!S18-'Ялта, Ленина, 18'!T18)/('Ялта, Ленина, 18'!I14-'Ялта, Ленина, 18'!J14)</f>
        <v>#DIV/0!</v>
      </c>
    </row>
    <row r="10" spans="1:4">
      <c r="A10" s="580" t="str">
        <f>'Ялта, Ленина, 18'!M23</f>
        <v>Agafi</v>
      </c>
      <c r="B10" s="581"/>
      <c r="C10" s="582"/>
      <c r="D10" s="213" t="e">
        <f>('Ялта, Ленина, 18'!V12-'Ялта, Ленина, 18'!W12)/('Ялта, Ленина, 18'!I14-'Ялта, Ленина, 18'!J14)</f>
        <v>#DIV/0!</v>
      </c>
    </row>
  </sheetData>
  <mergeCells count="10">
    <mergeCell ref="A6:C6"/>
    <mergeCell ref="A7:C7"/>
    <mergeCell ref="A8:C8"/>
    <mergeCell ref="A9:C9"/>
    <mergeCell ref="A10:C10"/>
    <mergeCell ref="A1:C1"/>
    <mergeCell ref="A2:C2"/>
    <mergeCell ref="A3:C3"/>
    <mergeCell ref="A4:C4"/>
    <mergeCell ref="A5:C5"/>
  </mergeCells>
  <dataValidations count="1">
    <dataValidation type="decimal" allowBlank="1" showErrorMessage="1" sqref="D7 D2" xr:uid="{008F0076-00DE-4D17-B086-0057004E0048}">
      <formula1>0</formula1>
      <formula2>1000000000000000</formula2>
    </dataValidation>
  </dataValidations>
  <pageMargins left="0.78800000000000003" right="0.78800000000000003" top="0.78800000000000003" bottom="0.78800000000000003" header="0.51200000000000001" footer="0.51200000000000001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U62"/>
  <sheetViews>
    <sheetView showZeros="0" topLeftCell="A32" workbookViewId="0">
      <pane xSplit="3" topLeftCell="D1" activePane="topRight" state="frozen"/>
      <selection pane="topRight" activeCell="M9" sqref="M9"/>
    </sheetView>
  </sheetViews>
  <sheetFormatPr baseColWidth="10" defaultColWidth="9.1640625" defaultRowHeight="15"/>
  <cols>
    <col min="1" max="1" width="3.33203125" style="3" customWidth="1"/>
    <col min="2" max="2" width="10.33203125" style="3" customWidth="1"/>
    <col min="3" max="3" width="10.83203125" style="3" customWidth="1"/>
    <col min="4" max="4" width="10.33203125" style="3" customWidth="1"/>
    <col min="5" max="5" width="10.1640625" style="3" customWidth="1"/>
    <col min="6" max="6" width="11.33203125" style="3" customWidth="1"/>
    <col min="7" max="7" width="9.83203125" style="3" customWidth="1"/>
    <col min="8" max="8" width="9.5" style="3" customWidth="1"/>
    <col min="9" max="9" width="11" style="3" customWidth="1"/>
    <col min="10" max="10" width="8.83203125" style="3" customWidth="1"/>
    <col min="11" max="11" width="12.6640625" style="3" customWidth="1"/>
    <col min="12" max="12" width="10.1640625" style="3" customWidth="1"/>
    <col min="13" max="13" width="10.83203125" style="3" customWidth="1"/>
    <col min="14" max="14" width="11.6640625" style="3" customWidth="1"/>
    <col min="15" max="15" width="12.83203125" style="3" customWidth="1"/>
    <col min="16" max="16" width="10.33203125" style="3" customWidth="1"/>
    <col min="17" max="18" width="11.33203125" style="3" customWidth="1"/>
    <col min="19" max="19" width="11" style="3" customWidth="1"/>
    <col min="20" max="20" width="9.5" style="3" customWidth="1"/>
    <col min="21" max="21" width="9.1640625" style="3" bestFit="1" customWidth="1"/>
    <col min="22" max="23" width="10.5" style="3" customWidth="1"/>
    <col min="24" max="30" width="9.1640625" style="3" bestFit="1" customWidth="1"/>
    <col min="31" max="255" width="9.1640625" style="2" bestFit="1" customWidth="1"/>
  </cols>
  <sheetData>
    <row r="1" spans="2:23" ht="15.75" customHeight="1">
      <c r="B1" s="583">
        <f ca="1">TODAY()-1</f>
        <v>45969</v>
      </c>
      <c r="C1" s="583"/>
      <c r="D1" s="11"/>
      <c r="E1" s="11"/>
      <c r="F1" s="12"/>
      <c r="G1" s="12"/>
      <c r="H1" s="12"/>
      <c r="I1" s="12"/>
      <c r="J1" s="214"/>
      <c r="K1" s="214"/>
      <c r="L1" s="214"/>
      <c r="M1" s="214"/>
      <c r="N1" s="214"/>
      <c r="O1" s="214"/>
      <c r="P1" s="214"/>
      <c r="Q1" s="584"/>
      <c r="R1" s="584"/>
      <c r="S1" s="584"/>
      <c r="T1" s="584"/>
      <c r="U1" s="12"/>
      <c r="V1" s="12"/>
      <c r="W1" s="12"/>
    </row>
    <row r="2" spans="2:23" ht="21.75" customHeight="1">
      <c r="B2" s="585" t="s">
        <v>0</v>
      </c>
      <c r="C2" s="585"/>
      <c r="D2" s="11"/>
      <c r="E2" s="11"/>
      <c r="F2" s="12"/>
      <c r="G2" s="12"/>
      <c r="H2" s="12"/>
      <c r="I2" s="12"/>
      <c r="J2" s="586" t="s">
        <v>66</v>
      </c>
      <c r="K2" s="586"/>
      <c r="L2" s="586"/>
      <c r="M2" s="586"/>
      <c r="N2" s="586"/>
      <c r="O2" s="586"/>
      <c r="P2" s="586"/>
      <c r="Q2" s="584"/>
      <c r="R2" s="584"/>
      <c r="S2" s="584"/>
      <c r="T2" s="584"/>
      <c r="U2" s="12"/>
      <c r="V2" s="12"/>
      <c r="W2" s="12"/>
    </row>
    <row r="3" spans="2:23" ht="14" customHeight="1">
      <c r="B3" s="10" t="s">
        <v>1</v>
      </c>
      <c r="C3" s="11"/>
      <c r="D3" s="11"/>
      <c r="E3" s="11"/>
      <c r="F3" s="12"/>
      <c r="G3" s="12"/>
      <c r="H3" s="12"/>
      <c r="I3" s="12"/>
      <c r="J3" s="587" t="str">
        <f>График!B29</f>
        <v>Рогалевич Ирина</v>
      </c>
      <c r="K3" s="588"/>
      <c r="L3" s="588"/>
      <c r="M3" s="588"/>
      <c r="N3" s="589"/>
      <c r="O3" s="214"/>
      <c r="P3" s="215"/>
      <c r="Q3" s="584"/>
      <c r="R3" s="584"/>
      <c r="S3" s="584"/>
      <c r="T3" s="584"/>
      <c r="U3" s="12"/>
      <c r="V3" s="12"/>
      <c r="W3" s="12"/>
    </row>
    <row r="4" spans="2:23" ht="15" customHeight="1">
      <c r="B4" s="11"/>
      <c r="C4" s="593">
        <f>I8-D57</f>
        <v>487905.75945945946</v>
      </c>
      <c r="D4" s="594"/>
      <c r="E4" s="216">
        <f>IF(I8&lt;&gt;0,C4/I8,0)</f>
        <v>0.3615246944718023</v>
      </c>
      <c r="F4" s="12"/>
      <c r="G4" s="12"/>
      <c r="H4" s="12"/>
      <c r="I4" s="12"/>
      <c r="J4" s="590"/>
      <c r="K4" s="591"/>
      <c r="L4" s="591"/>
      <c r="M4" s="591"/>
      <c r="N4" s="592"/>
      <c r="O4" s="12"/>
      <c r="P4" s="12"/>
      <c r="Q4" s="584"/>
      <c r="R4" s="584"/>
      <c r="S4" s="584"/>
      <c r="T4" s="584"/>
      <c r="U4" s="12"/>
      <c r="V4" s="12"/>
      <c r="W4" s="12"/>
    </row>
    <row r="5" spans="2:23">
      <c r="B5" s="12"/>
      <c r="C5" s="12"/>
      <c r="D5" s="12"/>
      <c r="E5" s="12"/>
      <c r="F5" s="12"/>
      <c r="G5" s="12"/>
      <c r="H5" s="12"/>
      <c r="I5" s="12"/>
      <c r="J5" s="595"/>
      <c r="K5" s="595"/>
      <c r="L5" s="595"/>
      <c r="M5" s="595"/>
      <c r="N5" s="595"/>
      <c r="O5" s="12"/>
      <c r="P5" s="12"/>
      <c r="Q5" s="12"/>
      <c r="R5" s="12"/>
      <c r="S5" s="12"/>
      <c r="T5" s="12"/>
      <c r="U5" s="12"/>
      <c r="V5" s="12"/>
      <c r="W5" s="12"/>
    </row>
    <row r="6" spans="2:23" ht="15.75" customHeight="1">
      <c r="B6" s="217"/>
      <c r="C6" s="12"/>
      <c r="D6" s="12"/>
      <c r="E6" s="12"/>
      <c r="F6" s="17" t="s">
        <v>2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9"/>
      <c r="R6" s="21"/>
      <c r="S6" s="21"/>
      <c r="T6" s="12"/>
      <c r="U6" s="12"/>
      <c r="V6" s="12"/>
      <c r="W6" s="12"/>
    </row>
    <row r="7" spans="2:23" ht="50.75" customHeight="1">
      <c r="B7" s="217"/>
      <c r="C7" s="12"/>
      <c r="D7" s="12"/>
      <c r="E7" s="12"/>
      <c r="F7" s="596" t="s">
        <v>3</v>
      </c>
      <c r="G7" s="597"/>
      <c r="H7" s="598"/>
      <c r="I7" s="22" t="s">
        <v>4</v>
      </c>
      <c r="J7" s="23" t="s">
        <v>5</v>
      </c>
      <c r="K7" s="24" t="s">
        <v>6</v>
      </c>
      <c r="L7" s="25" t="s">
        <v>7</v>
      </c>
      <c r="M7" s="25" t="s">
        <v>8</v>
      </c>
      <c r="N7" s="26" t="s">
        <v>9</v>
      </c>
      <c r="O7" s="26" t="s">
        <v>10</v>
      </c>
      <c r="P7" s="513" t="s">
        <v>11</v>
      </c>
      <c r="Q7" s="514"/>
      <c r="R7" s="21"/>
      <c r="S7" s="21"/>
      <c r="T7" s="12"/>
      <c r="U7" s="12"/>
      <c r="V7" s="12"/>
      <c r="W7" s="12"/>
    </row>
    <row r="8" spans="2:23" ht="15.75" customHeight="1">
      <c r="B8" s="217"/>
      <c r="C8" s="12"/>
      <c r="D8" s="12"/>
      <c r="E8" s="12"/>
      <c r="F8" s="599" t="s">
        <v>12</v>
      </c>
      <c r="G8" s="600"/>
      <c r="H8" s="601"/>
      <c r="I8" s="218">
        <f>'Ялта, Ленина, 18'!I8/График!AJ31*График!AJ29</f>
        <v>1349577.9594594594</v>
      </c>
      <c r="J8" s="219">
        <f>D57</f>
        <v>861672.2</v>
      </c>
      <c r="K8" s="30">
        <f t="shared" ref="K8:K9" si="0">IF(AND(I8&lt;&gt;"",I8&lt;&gt;0,J8&lt;&gt;""),J8/I8,"")</f>
        <v>0.63847530552819765</v>
      </c>
      <c r="L8" s="220">
        <f>IF(SUMIF($D$25:$D$56,"&gt;=0",$P$25:$P$56)&lt;&gt;0,I8*D57/SUMIF($D$25:$D$56,"&gt;=0",$P$25:$P$56),0)</f>
        <v>933478.21666666691</v>
      </c>
      <c r="M8" s="221">
        <f>IF(AND(I8&lt;&gt;"",I8&lt;&gt;0,L8&lt;&gt;"",L8&lt;&gt;0),L8/I8,"")</f>
        <v>0.69168158098888111</v>
      </c>
      <c r="N8" s="35">
        <f t="shared" ref="N8:N9" si="1">IF(AND(J8&lt;&gt;0,J8&lt;&gt;"",I8&lt;&gt;0,I8&lt;&gt;""),L8-I8,"")</f>
        <v>-416099.7427927925</v>
      </c>
      <c r="O8" s="34"/>
      <c r="P8" s="35" t="str">
        <f t="shared" ref="P8:P9" si="2">IF(AND(O8&lt;&gt;"",O8&lt;&gt;0,L8&lt;&gt;"",L8&lt;&gt;0),-O8+L8,"")</f>
        <v/>
      </c>
      <c r="Q8" s="36" t="str">
        <f t="shared" ref="Q8:Q9" si="3">IF(AND(P8&lt;&gt;"",P8&lt;&gt;0,O8&lt;&gt;0,O8&lt;&gt;""),P8/O8,"")</f>
        <v/>
      </c>
      <c r="R8" s="21"/>
      <c r="S8" s="37"/>
      <c r="T8" s="12"/>
      <c r="U8" s="12"/>
      <c r="V8" s="12"/>
      <c r="W8" s="12"/>
    </row>
    <row r="9" spans="2:23" ht="15.75" customHeight="1">
      <c r="B9" s="217"/>
      <c r="C9" s="12"/>
      <c r="D9" s="12"/>
      <c r="E9" s="12"/>
      <c r="F9" s="518" t="s">
        <v>13</v>
      </c>
      <c r="G9" s="519"/>
      <c r="H9" s="520"/>
      <c r="I9" s="38">
        <f>I8/I11</f>
        <v>228.74202702702701</v>
      </c>
      <c r="J9" s="39">
        <f>E57</f>
        <v>146</v>
      </c>
      <c r="K9" s="40">
        <f t="shared" si="0"/>
        <v>0.6382736128448725</v>
      </c>
      <c r="L9" s="222">
        <f>IF(SUMIF($E$25:$E$54,"&gt;=0",$Q$25:$Q$54)&lt;&gt;0,I9*E57/SUMIF($E$25:$E$54,"&gt;=0",$Q$25:$Q$54),0)</f>
        <v>158.16666666666677</v>
      </c>
      <c r="M9" s="223">
        <f t="shared" ref="M8:M9" si="4">IF(AND(I9&lt;&gt;"",I9&lt;&gt;0,L9&lt;&gt;"",L9&lt;&gt;0),L9/I9,"")</f>
        <v>0.69146308058194572</v>
      </c>
      <c r="N9" s="43">
        <f t="shared" si="1"/>
        <v>-70.575360360360236</v>
      </c>
      <c r="O9" s="44" t="e">
        <f>O8/O11</f>
        <v>#DIV/0!</v>
      </c>
      <c r="P9" s="43" t="e">
        <f t="shared" si="2"/>
        <v>#DIV/0!</v>
      </c>
      <c r="Q9" s="45" t="e">
        <f t="shared" si="3"/>
        <v>#DIV/0!</v>
      </c>
      <c r="R9" s="21"/>
      <c r="S9" s="37"/>
      <c r="T9" s="12"/>
      <c r="U9" s="12"/>
      <c r="V9" s="12"/>
      <c r="W9" s="12"/>
    </row>
    <row r="10" spans="2:23" ht="15.75" customHeight="1">
      <c r="B10" s="217"/>
      <c r="C10" s="12"/>
      <c r="D10" s="12"/>
      <c r="E10" s="12"/>
      <c r="F10" s="515" t="s">
        <v>14</v>
      </c>
      <c r="G10" s="516"/>
      <c r="H10" s="517"/>
      <c r="I10" s="50">
        <f>I11*I12</f>
        <v>10502</v>
      </c>
      <c r="J10" s="224">
        <f>H57</f>
        <v>10637.928395061728</v>
      </c>
      <c r="K10" s="225">
        <f t="shared" ref="K10:K19" si="5">IF(AND(I10&lt;&gt;"",I10&lt;&gt;0,J10&lt;&gt;""),J10/I10,"")</f>
        <v>1.0129430960828154</v>
      </c>
      <c r="L10" s="222">
        <f>J10</f>
        <v>10637.928395061728</v>
      </c>
      <c r="M10" s="226">
        <f t="shared" ref="M10:M20" si="6">IF(AND(I10&lt;&gt;"",I10&lt;&gt;0,L10&lt;&gt;"",L10&lt;&gt;0),L10/I10,"")</f>
        <v>1.0129430960828154</v>
      </c>
      <c r="N10" s="49">
        <f t="shared" ref="N10:N20" si="7">IF(AND(J10&lt;&gt;0,J10&lt;&gt;"",I10&lt;&gt;0,I10&lt;&gt;""),L10-I10,"")</f>
        <v>135.92839506172822</v>
      </c>
      <c r="O10" s="50">
        <f>O11*O12</f>
        <v>0</v>
      </c>
      <c r="P10" s="49" t="str">
        <f t="shared" ref="P10:P20" si="8">IF(AND(O10&lt;&gt;"",O10&lt;&gt;0,L10&lt;&gt;"",L10&lt;&gt;0),-O10+L10,"")</f>
        <v/>
      </c>
      <c r="Q10" s="51" t="str">
        <f t="shared" ref="Q10:Q20" si="9">IF(AND(P10&lt;&gt;"",P10&lt;&gt;0,O10&lt;&gt;0,O10&lt;&gt;""),P10/O10,"")</f>
        <v/>
      </c>
      <c r="R10" s="21"/>
      <c r="S10" s="525" t="s">
        <v>36</v>
      </c>
      <c r="T10" s="525"/>
      <c r="U10" s="12"/>
      <c r="V10" s="525" t="str">
        <f>M23</f>
        <v>Agafi</v>
      </c>
      <c r="W10" s="525"/>
    </row>
    <row r="11" spans="2:23" ht="15.75" customHeight="1">
      <c r="B11" s="217"/>
      <c r="C11" s="12"/>
      <c r="D11" s="12"/>
      <c r="E11" s="12"/>
      <c r="F11" s="518" t="s">
        <v>15</v>
      </c>
      <c r="G11" s="519"/>
      <c r="H11" s="520"/>
      <c r="I11" s="52">
        <f>'Ялта, Ленина, 18'!I11</f>
        <v>5900</v>
      </c>
      <c r="J11" s="39">
        <f>F57</f>
        <v>5901.8643835616431</v>
      </c>
      <c r="K11" s="227">
        <f t="shared" si="5"/>
        <v>1.0003159972138378</v>
      </c>
      <c r="L11" s="222">
        <f>IF(L9&gt;0,L8/L9,"")</f>
        <v>5901.8643835616413</v>
      </c>
      <c r="M11" s="223">
        <f t="shared" si="6"/>
        <v>1.0003159972138376</v>
      </c>
      <c r="N11" s="43">
        <f t="shared" si="7"/>
        <v>1.8643835616412616</v>
      </c>
      <c r="O11" s="53"/>
      <c r="P11" s="43" t="str">
        <f t="shared" si="8"/>
        <v/>
      </c>
      <c r="Q11" s="45" t="str">
        <f t="shared" si="9"/>
        <v/>
      </c>
      <c r="R11" s="21"/>
      <c r="S11" s="525"/>
      <c r="T11" s="525"/>
      <c r="U11" s="12"/>
      <c r="V11" s="525"/>
      <c r="W11" s="525"/>
    </row>
    <row r="12" spans="2:23" ht="15.75" customHeight="1">
      <c r="B12" s="217"/>
      <c r="C12" s="12"/>
      <c r="D12" s="12"/>
      <c r="E12" s="12"/>
      <c r="F12" s="518" t="s">
        <v>16</v>
      </c>
      <c r="G12" s="519"/>
      <c r="H12" s="520"/>
      <c r="I12" s="54">
        <f>'Ялта, Ленина, 18'!I12</f>
        <v>1.78</v>
      </c>
      <c r="J12" s="55">
        <f>J57</f>
        <v>1.8024691358024691</v>
      </c>
      <c r="K12" s="227">
        <f t="shared" si="5"/>
        <v>1.0126231100013872</v>
      </c>
      <c r="L12" s="228">
        <f>J12</f>
        <v>1.8024691358024691</v>
      </c>
      <c r="M12" s="223">
        <f t="shared" si="6"/>
        <v>1.0126231100013872</v>
      </c>
      <c r="N12" s="57">
        <f t="shared" si="7"/>
        <v>2.246913580246912E-2</v>
      </c>
      <c r="O12" s="58"/>
      <c r="P12" s="43" t="str">
        <f t="shared" si="8"/>
        <v/>
      </c>
      <c r="Q12" s="45" t="str">
        <f t="shared" si="9"/>
        <v/>
      </c>
      <c r="R12" s="21"/>
      <c r="S12" s="59">
        <f>'Ялта, Ленина, 18'!S12*График!AJ29/График!AJ31</f>
        <v>283716.21621621621</v>
      </c>
      <c r="T12" s="60">
        <f>L57</f>
        <v>26812</v>
      </c>
      <c r="U12" s="12"/>
      <c r="V12" s="59">
        <f>'Ялта, Ленина, 18'!V12/График!AJ31*График!AJ29</f>
        <v>267027.02702702704</v>
      </c>
      <c r="W12" s="60">
        <f>M57</f>
        <v>73834</v>
      </c>
    </row>
    <row r="13" spans="2:23" ht="15.75" customHeight="1">
      <c r="B13" s="217"/>
      <c r="C13" s="12"/>
      <c r="D13" s="12"/>
      <c r="E13" s="12"/>
      <c r="F13" s="518" t="s">
        <v>17</v>
      </c>
      <c r="G13" s="519"/>
      <c r="H13" s="520"/>
      <c r="I13" s="38">
        <f>IF(I12&lt;&gt;0,I9/I12,"")</f>
        <v>128.50675675675674</v>
      </c>
      <c r="J13" s="39">
        <f>G57</f>
        <v>81</v>
      </c>
      <c r="K13" s="40">
        <f t="shared" si="5"/>
        <v>0.63031705136968297</v>
      </c>
      <c r="L13" s="222">
        <f>IF(SUMIF($G$25:$G$54,"&gt;=0",$R$25:$R$54)&lt;&gt;0,I13*G57/SUMIF($G$25:$G$54,"&gt;=0",$R$25:$R$54),"")</f>
        <v>87.750000000000014</v>
      </c>
      <c r="M13" s="223">
        <f t="shared" si="6"/>
        <v>0.6828434723171567</v>
      </c>
      <c r="N13" s="57">
        <f t="shared" si="7"/>
        <v>-40.756756756756729</v>
      </c>
      <c r="O13" s="61"/>
      <c r="P13" s="43" t="str">
        <f t="shared" si="8"/>
        <v/>
      </c>
      <c r="Q13" s="45" t="str">
        <f t="shared" si="9"/>
        <v/>
      </c>
      <c r="R13" s="21"/>
      <c r="S13" s="62">
        <f>T12/S12</f>
        <v>9.4502881638485359E-2</v>
      </c>
      <c r="T13" s="62">
        <f>S13/J14*I14</f>
        <v>9.4502881638485359E-2</v>
      </c>
      <c r="U13" s="12"/>
      <c r="V13" s="62">
        <f>W12/V12</f>
        <v>0.27650384615384616</v>
      </c>
      <c r="W13" s="62">
        <f>V13/J14*I14</f>
        <v>0.27650384615384616</v>
      </c>
    </row>
    <row r="14" spans="2:23" ht="15.75" customHeight="1">
      <c r="B14" s="217"/>
      <c r="C14" s="12"/>
      <c r="D14" s="229"/>
      <c r="E14" s="12"/>
      <c r="F14" s="518" t="s">
        <v>63</v>
      </c>
      <c r="G14" s="519"/>
      <c r="H14" s="520"/>
      <c r="I14" s="52">
        <f>График!AI29</f>
        <v>26</v>
      </c>
      <c r="J14" s="64">
        <v>26</v>
      </c>
      <c r="K14" s="40">
        <f t="shared" si="5"/>
        <v>1</v>
      </c>
      <c r="L14" s="41">
        <f>I14</f>
        <v>26</v>
      </c>
      <c r="M14" s="223">
        <f t="shared" si="6"/>
        <v>1</v>
      </c>
      <c r="N14" s="43">
        <f t="shared" si="7"/>
        <v>0</v>
      </c>
      <c r="O14" s="61"/>
      <c r="P14" s="43" t="str">
        <f t="shared" si="8"/>
        <v/>
      </c>
      <c r="Q14" s="45" t="str">
        <f t="shared" si="9"/>
        <v/>
      </c>
      <c r="R14" s="21"/>
      <c r="S14" s="65"/>
      <c r="T14" s="6"/>
      <c r="U14" s="12"/>
      <c r="V14" s="12"/>
      <c r="W14" s="12"/>
    </row>
    <row r="15" spans="2:23" ht="15.75" customHeight="1">
      <c r="B15" s="217"/>
      <c r="C15" s="12"/>
      <c r="D15" s="12"/>
      <c r="E15" s="12"/>
      <c r="F15" s="518" t="s">
        <v>19</v>
      </c>
      <c r="G15" s="519"/>
      <c r="H15" s="520"/>
      <c r="I15" s="75">
        <f>'Ялта, Ленина, 18'!I15</f>
        <v>78256.838709677424</v>
      </c>
      <c r="J15" s="67">
        <f>J8/J14</f>
        <v>33141.238461538458</v>
      </c>
      <c r="K15" s="68">
        <f t="shared" si="5"/>
        <v>0.4234931925181401</v>
      </c>
      <c r="L15" s="72">
        <f t="shared" ref="L15:L16" si="10">J15</f>
        <v>33141.238461538458</v>
      </c>
      <c r="M15" s="230">
        <f t="shared" si="6"/>
        <v>0.4234931925181401</v>
      </c>
      <c r="N15" s="43">
        <f t="shared" si="7"/>
        <v>-45115.600248138966</v>
      </c>
      <c r="O15" s="71"/>
      <c r="P15" s="43" t="str">
        <f t="shared" si="8"/>
        <v/>
      </c>
      <c r="Q15" s="45" t="str">
        <f t="shared" si="9"/>
        <v/>
      </c>
      <c r="R15" s="21"/>
      <c r="S15" s="37"/>
      <c r="T15" s="6"/>
      <c r="U15" s="12"/>
      <c r="V15" s="12"/>
      <c r="W15" s="12"/>
    </row>
    <row r="16" spans="2:23" ht="15.75" customHeight="1">
      <c r="B16" s="217"/>
      <c r="C16" s="12"/>
      <c r="D16" s="12"/>
      <c r="E16" s="12"/>
      <c r="F16" s="518" t="s">
        <v>20</v>
      </c>
      <c r="G16" s="519"/>
      <c r="H16" s="520"/>
      <c r="I16" s="75"/>
      <c r="J16" s="67">
        <f>J8-I15*J14</f>
        <v>-1173005.6064516131</v>
      </c>
      <c r="K16" s="68" t="str">
        <f t="shared" si="5"/>
        <v/>
      </c>
      <c r="L16" s="72">
        <f t="shared" si="10"/>
        <v>-1173005.6064516131</v>
      </c>
      <c r="M16" s="231" t="str">
        <f t="shared" si="6"/>
        <v/>
      </c>
      <c r="N16" s="43" t="str">
        <f t="shared" si="7"/>
        <v/>
      </c>
      <c r="O16" s="71"/>
      <c r="P16" s="43" t="str">
        <f t="shared" si="8"/>
        <v/>
      </c>
      <c r="Q16" s="45" t="str">
        <f t="shared" si="9"/>
        <v/>
      </c>
      <c r="R16" s="21"/>
      <c r="S16" s="525" t="s">
        <v>35</v>
      </c>
      <c r="T16" s="525"/>
      <c r="U16" s="12"/>
      <c r="V16" s="12"/>
      <c r="W16" s="12"/>
    </row>
    <row r="17" spans="1:255" ht="15.75" customHeight="1">
      <c r="B17" s="217"/>
      <c r="C17" s="12"/>
      <c r="D17" s="12"/>
      <c r="E17" s="12"/>
      <c r="F17" s="518" t="s">
        <v>21</v>
      </c>
      <c r="G17" s="519"/>
      <c r="H17" s="520"/>
      <c r="I17" s="75">
        <f>'Ялта, Ленина, 18'!I17/График!AJ31*График!AJ29</f>
        <v>1168.2432432432433</v>
      </c>
      <c r="J17" s="67">
        <f>I57</f>
        <v>768</v>
      </c>
      <c r="K17" s="68">
        <f t="shared" si="5"/>
        <v>0.6573973395026026</v>
      </c>
      <c r="L17" s="72">
        <f>J17/J14*I14</f>
        <v>768</v>
      </c>
      <c r="M17" s="231">
        <f t="shared" si="6"/>
        <v>0.6573973395026026</v>
      </c>
      <c r="N17" s="43">
        <f t="shared" si="7"/>
        <v>-400.24324324324334</v>
      </c>
      <c r="O17" s="71"/>
      <c r="P17" s="43" t="str">
        <f t="shared" si="8"/>
        <v/>
      </c>
      <c r="Q17" s="45" t="str">
        <f t="shared" si="9"/>
        <v/>
      </c>
      <c r="R17" s="21"/>
      <c r="S17" s="525"/>
      <c r="T17" s="525"/>
      <c r="U17" s="12"/>
      <c r="V17" s="12"/>
      <c r="W17" s="12"/>
    </row>
    <row r="18" spans="1:255" ht="15.75" customHeight="1">
      <c r="B18" s="217"/>
      <c r="C18" s="12"/>
      <c r="D18" s="12"/>
      <c r="E18" s="12"/>
      <c r="F18" s="518"/>
      <c r="G18" s="519"/>
      <c r="H18" s="520"/>
      <c r="I18" s="76"/>
      <c r="J18" s="67"/>
      <c r="K18" s="68" t="str">
        <f t="shared" si="5"/>
        <v/>
      </c>
      <c r="L18" s="72">
        <f t="shared" ref="L18:L19" si="11">J18</f>
        <v>0</v>
      </c>
      <c r="M18" s="231" t="str">
        <f t="shared" si="6"/>
        <v/>
      </c>
      <c r="N18" s="43" t="str">
        <f t="shared" si="7"/>
        <v/>
      </c>
      <c r="O18" s="79">
        <v>0</v>
      </c>
      <c r="P18" s="43" t="str">
        <f t="shared" si="8"/>
        <v/>
      </c>
      <c r="Q18" s="45" t="str">
        <f t="shared" si="9"/>
        <v/>
      </c>
      <c r="R18" s="21"/>
      <c r="S18" s="59">
        <f>'Ялта, Ленина, 18'!S18*График!AJ29/График!AJ31</f>
        <v>567432.43243243243</v>
      </c>
      <c r="T18" s="60">
        <f>K57</f>
        <v>141701.20000000001</v>
      </c>
      <c r="U18" s="12"/>
      <c r="V18" s="12"/>
      <c r="W18" s="12"/>
    </row>
    <row r="19" spans="1:255" ht="15.75" customHeight="1">
      <c r="B19" s="217"/>
      <c r="C19" s="12"/>
      <c r="D19" s="12"/>
      <c r="E19" s="12"/>
      <c r="F19" s="518"/>
      <c r="G19" s="519"/>
      <c r="H19" s="520"/>
      <c r="I19" s="76"/>
      <c r="J19" s="67"/>
      <c r="K19" s="68" t="str">
        <f t="shared" si="5"/>
        <v/>
      </c>
      <c r="L19" s="72">
        <f t="shared" si="11"/>
        <v>0</v>
      </c>
      <c r="M19" s="231" t="str">
        <f t="shared" si="6"/>
        <v/>
      </c>
      <c r="N19" s="43" t="str">
        <f t="shared" si="7"/>
        <v/>
      </c>
      <c r="O19" s="71">
        <v>0</v>
      </c>
      <c r="P19" s="43" t="str">
        <f t="shared" si="8"/>
        <v/>
      </c>
      <c r="Q19" s="45" t="str">
        <f t="shared" si="9"/>
        <v/>
      </c>
      <c r="R19" s="21"/>
      <c r="S19" s="62">
        <f>T18/S18</f>
        <v>0.24972347701833772</v>
      </c>
      <c r="T19" s="62">
        <f>S19/J14*I14</f>
        <v>0.24972347701833775</v>
      </c>
      <c r="U19" s="12"/>
      <c r="V19" s="12"/>
      <c r="W19" s="12"/>
    </row>
    <row r="20" spans="1:255" ht="15.75" customHeight="1">
      <c r="B20" s="217"/>
      <c r="C20" s="12"/>
      <c r="D20" s="12"/>
      <c r="E20" s="12"/>
      <c r="F20" s="526" t="s">
        <v>22</v>
      </c>
      <c r="G20" s="526"/>
      <c r="H20" s="526"/>
      <c r="I20" s="232">
        <f>'Ялта, Ленина, 18'!I20</f>
        <v>0.11</v>
      </c>
      <c r="J20" s="233">
        <f>N57</f>
        <v>0.10546875</v>
      </c>
      <c r="K20" s="234">
        <f>J20/I20</f>
        <v>0.95880681818181823</v>
      </c>
      <c r="L20" s="235">
        <f>IF(AND(K8&lt;&gt;0,I14&lt;&gt;0,I57&lt;&gt;0),(I57*N57+(I57/K8-I57)*I20)/(I57/K8),0)</f>
        <v>0.10710690877182534</v>
      </c>
      <c r="M20" s="83">
        <f t="shared" si="6"/>
        <v>0.97369917065295764</v>
      </c>
      <c r="N20" s="84">
        <f t="shared" si="7"/>
        <v>-2.8930912281746601E-3</v>
      </c>
      <c r="O20" s="85"/>
      <c r="P20" s="86" t="str">
        <f t="shared" si="8"/>
        <v/>
      </c>
      <c r="Q20" s="87" t="str">
        <f t="shared" si="9"/>
        <v/>
      </c>
      <c r="R20" s="21"/>
      <c r="S20" s="21"/>
      <c r="T20" s="12"/>
      <c r="U20" s="12"/>
      <c r="V20" s="12"/>
      <c r="W20" s="12"/>
    </row>
    <row r="21" spans="1:255" ht="15.75" customHeight="1">
      <c r="B21" s="217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21"/>
      <c r="S21" s="21"/>
      <c r="T21" s="12"/>
      <c r="U21" s="12"/>
      <c r="V21" s="12"/>
      <c r="W21" s="12"/>
    </row>
    <row r="22" spans="1:255" ht="16.5" customHeight="1">
      <c r="B22" s="602" t="s">
        <v>23</v>
      </c>
      <c r="C22" s="602"/>
      <c r="D22" s="602"/>
      <c r="E22" s="602"/>
      <c r="F22" s="602"/>
      <c r="G22" s="602"/>
      <c r="H22" s="602"/>
      <c r="I22" s="602"/>
      <c r="J22" s="602"/>
      <c r="K22" s="602"/>
      <c r="L22" s="602"/>
      <c r="M22" s="602"/>
      <c r="N22" s="602"/>
      <c r="O22" s="603" t="s">
        <v>24</v>
      </c>
      <c r="P22" s="602" t="s">
        <v>25</v>
      </c>
      <c r="Q22" s="602"/>
      <c r="R22" s="602"/>
      <c r="S22" s="602"/>
      <c r="T22" s="602"/>
      <c r="U22" s="602"/>
      <c r="V22" s="602"/>
      <c r="W22" s="602"/>
    </row>
    <row r="23" spans="1:255" ht="36">
      <c r="B23" s="236" t="s">
        <v>27</v>
      </c>
      <c r="C23" s="236" t="s">
        <v>28</v>
      </c>
      <c r="D23" s="236" t="s">
        <v>29</v>
      </c>
      <c r="E23" s="236" t="s">
        <v>30</v>
      </c>
      <c r="F23" s="236" t="s">
        <v>31</v>
      </c>
      <c r="G23" s="236" t="s">
        <v>32</v>
      </c>
      <c r="H23" s="236" t="s">
        <v>33</v>
      </c>
      <c r="I23" s="236" t="s">
        <v>21</v>
      </c>
      <c r="J23" s="236" t="s">
        <v>34</v>
      </c>
      <c r="K23" s="90" t="s">
        <v>35</v>
      </c>
      <c r="L23" s="90" t="s">
        <v>36</v>
      </c>
      <c r="M23" s="90" t="s">
        <v>37</v>
      </c>
      <c r="N23" s="236" t="s">
        <v>38</v>
      </c>
      <c r="O23" s="603"/>
      <c r="P23" s="236" t="s">
        <v>39</v>
      </c>
      <c r="Q23" s="236" t="s">
        <v>40</v>
      </c>
      <c r="R23" s="236" t="s">
        <v>41</v>
      </c>
      <c r="S23" s="236" t="s">
        <v>42</v>
      </c>
      <c r="T23" s="236" t="s">
        <v>43</v>
      </c>
      <c r="U23" s="236" t="s">
        <v>44</v>
      </c>
      <c r="V23" s="237" t="s">
        <v>45</v>
      </c>
      <c r="W23" s="237" t="s">
        <v>46</v>
      </c>
      <c r="X23" s="142"/>
    </row>
    <row r="24" spans="1:255">
      <c r="B24" s="238">
        <v>1</v>
      </c>
      <c r="C24" s="239">
        <v>2</v>
      </c>
      <c r="D24" s="238">
        <v>3</v>
      </c>
      <c r="E24" s="238">
        <v>4</v>
      </c>
      <c r="F24" s="238">
        <v>5</v>
      </c>
      <c r="G24" s="238">
        <v>6</v>
      </c>
      <c r="H24" s="238">
        <v>7</v>
      </c>
      <c r="I24" s="238">
        <v>8</v>
      </c>
      <c r="J24" s="238">
        <v>9</v>
      </c>
      <c r="K24" s="238">
        <v>10</v>
      </c>
      <c r="L24" s="238">
        <v>11</v>
      </c>
      <c r="M24" s="238">
        <v>12</v>
      </c>
      <c r="N24" s="238">
        <v>13</v>
      </c>
      <c r="O24" s="603"/>
      <c r="P24" s="240">
        <v>1</v>
      </c>
      <c r="Q24" s="240">
        <v>2</v>
      </c>
      <c r="R24" s="240">
        <v>3</v>
      </c>
      <c r="S24" s="240">
        <v>4</v>
      </c>
      <c r="T24" s="240">
        <v>5</v>
      </c>
      <c r="U24" s="240">
        <v>6</v>
      </c>
      <c r="V24" s="240">
        <v>10</v>
      </c>
      <c r="W24" s="240">
        <v>11</v>
      </c>
    </row>
    <row r="25" spans="1:255">
      <c r="A25" s="95">
        <v>1</v>
      </c>
      <c r="B25" s="96">
        <v>45932</v>
      </c>
      <c r="C25" s="97" t="s">
        <v>50</v>
      </c>
      <c r="D25" s="98">
        <v>46368</v>
      </c>
      <c r="E25" s="99">
        <v>11</v>
      </c>
      <c r="F25" s="99">
        <f t="shared" ref="F25:F57" si="12">IF(AND(E25&lt;&gt;"",E25&lt;&gt;0),D25/E25,"")</f>
        <v>4215.272727272727</v>
      </c>
      <c r="G25" s="99">
        <v>4</v>
      </c>
      <c r="H25" s="99">
        <f t="shared" ref="H25:H57" si="13">IF(AND(G25&lt;&gt;"",G25&lt;&gt;0),D25/G25,"")</f>
        <v>11592</v>
      </c>
      <c r="I25" s="99">
        <v>25</v>
      </c>
      <c r="J25" s="98">
        <f t="shared" ref="J25:J57" si="14">IF(AND(G25&lt;&gt;"",G25&lt;&gt;0),E25/G25,"")</f>
        <v>2.75</v>
      </c>
      <c r="K25" s="99"/>
      <c r="L25" s="99"/>
      <c r="M25" s="99"/>
      <c r="N25" s="100">
        <f t="shared" ref="N25:N57" si="15">IF(AND(I25&lt;&gt;"",I25&lt;&gt;0),G25/I25,"")</f>
        <v>0.16</v>
      </c>
      <c r="O25" s="101">
        <f t="shared" ref="O25:O57" si="16">D25/P25</f>
        <v>0.89329259680771678</v>
      </c>
      <c r="P25" s="102">
        <f t="shared" ref="P25:P56" si="17">$I$8*V25*W25/SUMPRODUCT($W$25:$W$56,$V$25:$V$56)</f>
        <v>51906.844594594593</v>
      </c>
      <c r="Q25" s="103">
        <f>$I$9*V25*W25/SUMPRODUCT($W$25:$W$56,$V$25:$V$56)</f>
        <v>8.79777027027027</v>
      </c>
      <c r="R25" s="103">
        <f t="shared" ref="R25:R56" si="18">IF($I$12="","",Q25/$I$12)</f>
        <v>4.9425675675675675</v>
      </c>
      <c r="S25" s="102">
        <f>IF(D25&lt;&gt;"",D25,P25)</f>
        <v>46368</v>
      </c>
      <c r="T25" s="103">
        <f>IF(E25&lt;&gt;"",E25,Q25)</f>
        <v>11</v>
      </c>
      <c r="U25" s="103">
        <f>IF(G25&lt;&gt;"",G25,R25)</f>
        <v>4</v>
      </c>
      <c r="V25" s="104">
        <v>1</v>
      </c>
      <c r="W25" s="104">
        <v>1</v>
      </c>
      <c r="X25" s="105"/>
      <c r="Y25" s="106"/>
    </row>
    <row r="26" spans="1:255">
      <c r="A26" s="95">
        <v>2</v>
      </c>
      <c r="B26" s="96">
        <v>45933</v>
      </c>
      <c r="C26" s="97" t="s">
        <v>51</v>
      </c>
      <c r="D26" s="98">
        <f>8190+6990+14377</f>
        <v>29557</v>
      </c>
      <c r="E26" s="99">
        <v>5</v>
      </c>
      <c r="F26" s="99">
        <f t="shared" si="12"/>
        <v>5911.4</v>
      </c>
      <c r="G26" s="99">
        <v>2</v>
      </c>
      <c r="H26" s="99">
        <f t="shared" si="13"/>
        <v>14778.5</v>
      </c>
      <c r="I26" s="99">
        <v>30</v>
      </c>
      <c r="J26" s="98">
        <f t="shared" si="14"/>
        <v>2.5</v>
      </c>
      <c r="K26" s="99">
        <v>8190</v>
      </c>
      <c r="L26" s="99"/>
      <c r="M26" s="99">
        <v>6990</v>
      </c>
      <c r="N26" s="100">
        <f t="shared" si="15"/>
        <v>6.6666666666666666E-2</v>
      </c>
      <c r="O26" s="101">
        <f t="shared" si="16"/>
        <v>0.56942394073166158</v>
      </c>
      <c r="P26" s="102">
        <f t="shared" si="17"/>
        <v>51906.844594594593</v>
      </c>
      <c r="Q26" s="103">
        <f t="shared" ref="Q26:Q56" si="19">$I$9*V26*W26/SUMPRODUCT($W$25:$W$58,$V$25:$V$58)</f>
        <v>8.79777027027027</v>
      </c>
      <c r="R26" s="103">
        <f t="shared" si="18"/>
        <v>4.9425675675675675</v>
      </c>
      <c r="S26" s="102">
        <f>IF(W26&lt;&gt;"",IF(D26&lt;&gt;"",D26,($I$8-SUM($S$25:S25))*V26*W26/SUMPRODUCT($W26:$W$56,$V26:$V$56)),"")</f>
        <v>29557</v>
      </c>
      <c r="T26" s="103">
        <f t="shared" ref="T26:T34" si="20">IF(W26&lt;&gt;"",IF(E26&lt;&gt;"",E26,($I$9-SUM($T$25:T25))*V26*W26/SUMPRODUCT($W26:$W$58,$V26:$V$58)),"")</f>
        <v>5</v>
      </c>
      <c r="U26" s="103">
        <f t="shared" ref="U26:U53" si="21">IF(W26&lt;&gt;"",IF($I$12&lt;&gt;"",IF(G26&lt;&gt;"",G26,($I$9/$I$12-SUM($U$25:U25))*V26*W26/SUMPRODUCT($W26:$W$58,$V26:$V$58)),""),"")</f>
        <v>2</v>
      </c>
      <c r="V26" s="104">
        <v>1</v>
      </c>
      <c r="W26" s="104">
        <v>1</v>
      </c>
      <c r="X26" s="107"/>
      <c r="Y26" s="106"/>
    </row>
    <row r="27" spans="1:255">
      <c r="A27" s="95">
        <v>3</v>
      </c>
      <c r="B27" s="96">
        <v>45934</v>
      </c>
      <c r="C27" s="97" t="s">
        <v>53</v>
      </c>
      <c r="D27" s="98">
        <v>76483</v>
      </c>
      <c r="E27" s="99">
        <v>11</v>
      </c>
      <c r="F27" s="99">
        <f t="shared" si="12"/>
        <v>6953</v>
      </c>
      <c r="G27" s="99">
        <v>4</v>
      </c>
      <c r="H27" s="99">
        <f t="shared" si="13"/>
        <v>19120.75</v>
      </c>
      <c r="I27" s="99">
        <v>50</v>
      </c>
      <c r="J27" s="98">
        <f t="shared" si="14"/>
        <v>2.75</v>
      </c>
      <c r="K27" s="99"/>
      <c r="L27" s="99"/>
      <c r="M27" s="99">
        <v>19675</v>
      </c>
      <c r="N27" s="100">
        <f t="shared" si="15"/>
        <v>0.08</v>
      </c>
      <c r="O27" s="101">
        <f t="shared" si="16"/>
        <v>1.4734665649077943</v>
      </c>
      <c r="P27" s="102">
        <f t="shared" si="17"/>
        <v>51906.844594594593</v>
      </c>
      <c r="Q27" s="103">
        <f t="shared" si="19"/>
        <v>8.79777027027027</v>
      </c>
      <c r="R27" s="103">
        <f t="shared" si="18"/>
        <v>4.9425675675675675</v>
      </c>
      <c r="S27" s="102">
        <f t="shared" ref="S27:S53" si="22">IF(W27&lt;&gt;"",IF(D27&lt;&gt;"",D27,($I$8-SUM($S$25:S26))*V27*W27/SUMPRODUCT($W27:$W$58,$V27:$V$58)),"")</f>
        <v>76483</v>
      </c>
      <c r="T27" s="103">
        <f t="shared" si="20"/>
        <v>11</v>
      </c>
      <c r="U27" s="103">
        <f t="shared" si="21"/>
        <v>4</v>
      </c>
      <c r="V27" s="104">
        <v>1</v>
      </c>
      <c r="W27" s="104">
        <v>1</v>
      </c>
      <c r="X27" s="107"/>
      <c r="Y27" s="241"/>
      <c r="Z27" s="2"/>
      <c r="AA27" s="2"/>
      <c r="AB27" s="2"/>
      <c r="AC27" s="2"/>
      <c r="AD27" s="2"/>
    </row>
    <row r="28" spans="1:255" s="242" customFormat="1">
      <c r="A28" s="95">
        <v>4</v>
      </c>
      <c r="B28" s="96">
        <v>45935</v>
      </c>
      <c r="C28" s="97" t="s">
        <v>54</v>
      </c>
      <c r="D28" s="98">
        <f>12106+16910</f>
        <v>29016</v>
      </c>
      <c r="E28" s="99">
        <v>7</v>
      </c>
      <c r="F28" s="99">
        <f t="shared" si="12"/>
        <v>4145.1428571428569</v>
      </c>
      <c r="G28" s="99">
        <v>5</v>
      </c>
      <c r="H28" s="99">
        <f t="shared" si="13"/>
        <v>5803.2</v>
      </c>
      <c r="I28" s="99">
        <v>35</v>
      </c>
      <c r="J28" s="98">
        <f t="shared" si="14"/>
        <v>1.4</v>
      </c>
      <c r="K28" s="99"/>
      <c r="L28" s="99">
        <v>12106</v>
      </c>
      <c r="M28" s="99"/>
      <c r="N28" s="100">
        <f t="shared" si="15"/>
        <v>0.14285714285714285</v>
      </c>
      <c r="O28" s="101">
        <f t="shared" si="16"/>
        <v>0.55900142315762402</v>
      </c>
      <c r="P28" s="102">
        <f t="shared" si="17"/>
        <v>51906.844594594593</v>
      </c>
      <c r="Q28" s="103">
        <f t="shared" si="19"/>
        <v>8.79777027027027</v>
      </c>
      <c r="R28" s="103">
        <f t="shared" si="18"/>
        <v>4.9425675675675675</v>
      </c>
      <c r="S28" s="102">
        <f t="shared" si="22"/>
        <v>29016</v>
      </c>
      <c r="T28" s="103">
        <f t="shared" si="20"/>
        <v>7</v>
      </c>
      <c r="U28" s="103">
        <f t="shared" si="21"/>
        <v>5</v>
      </c>
      <c r="V28" s="104">
        <v>1</v>
      </c>
      <c r="W28" s="104">
        <v>1</v>
      </c>
      <c r="X28" s="107"/>
      <c r="Y28" s="106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>
      <c r="A29" s="95">
        <v>5</v>
      </c>
      <c r="B29" s="96">
        <v>45936</v>
      </c>
      <c r="C29" s="97" t="s">
        <v>55</v>
      </c>
      <c r="D29" s="98">
        <f>5803+36600</f>
        <v>42403</v>
      </c>
      <c r="E29" s="99">
        <v>7</v>
      </c>
      <c r="F29" s="99">
        <f t="shared" si="12"/>
        <v>6057.5714285714284</v>
      </c>
      <c r="G29" s="99">
        <v>4</v>
      </c>
      <c r="H29" s="99">
        <f t="shared" si="13"/>
        <v>10600.75</v>
      </c>
      <c r="I29" s="99">
        <v>25</v>
      </c>
      <c r="J29" s="98">
        <f t="shared" si="14"/>
        <v>1.75</v>
      </c>
      <c r="K29" s="99"/>
      <c r="L29" s="99">
        <v>5803</v>
      </c>
      <c r="M29" s="99"/>
      <c r="N29" s="100">
        <f t="shared" si="15"/>
        <v>0.16</v>
      </c>
      <c r="O29" s="101">
        <f t="shared" si="16"/>
        <v>0.81690575358949302</v>
      </c>
      <c r="P29" s="102">
        <f t="shared" si="17"/>
        <v>51906.844594594593</v>
      </c>
      <c r="Q29" s="103">
        <f t="shared" si="19"/>
        <v>8.79777027027027</v>
      </c>
      <c r="R29" s="103">
        <f t="shared" si="18"/>
        <v>4.9425675675675675</v>
      </c>
      <c r="S29" s="102">
        <f t="shared" si="22"/>
        <v>42403</v>
      </c>
      <c r="T29" s="103">
        <f t="shared" si="20"/>
        <v>7</v>
      </c>
      <c r="U29" s="103">
        <f t="shared" si="21"/>
        <v>4</v>
      </c>
      <c r="V29" s="104">
        <v>1</v>
      </c>
      <c r="W29" s="104">
        <v>1</v>
      </c>
      <c r="X29" s="107"/>
      <c r="Y29" s="106"/>
      <c r="Z29" s="2"/>
      <c r="AA29" s="2"/>
      <c r="AB29" s="2"/>
      <c r="AC29" s="2"/>
      <c r="AD29" s="2"/>
    </row>
    <row r="30" spans="1:255">
      <c r="A30" s="95">
        <v>6</v>
      </c>
      <c r="B30" s="96">
        <v>45937</v>
      </c>
      <c r="C30" s="97" t="s">
        <v>56</v>
      </c>
      <c r="D30" s="98"/>
      <c r="E30" s="99"/>
      <c r="F30" s="99" t="str">
        <f t="shared" si="12"/>
        <v/>
      </c>
      <c r="G30" s="99"/>
      <c r="H30" s="99" t="str">
        <f t="shared" si="13"/>
        <v/>
      </c>
      <c r="I30" s="99">
        <v>52</v>
      </c>
      <c r="J30" s="98" t="str">
        <f t="shared" si="14"/>
        <v/>
      </c>
      <c r="K30" s="99"/>
      <c r="L30" s="99"/>
      <c r="M30" s="99"/>
      <c r="N30" s="100">
        <f t="shared" si="15"/>
        <v>0</v>
      </c>
      <c r="O30" s="101">
        <f t="shared" si="16"/>
        <v>0</v>
      </c>
      <c r="P30" s="102">
        <f t="shared" si="17"/>
        <v>51906.844594594593</v>
      </c>
      <c r="Q30" s="103">
        <f t="shared" si="19"/>
        <v>8.79777027027027</v>
      </c>
      <c r="R30" s="103">
        <f t="shared" si="18"/>
        <v>4.9425675675675675</v>
      </c>
      <c r="S30" s="102">
        <f t="shared" si="22"/>
        <v>53607.188545688543</v>
      </c>
      <c r="T30" s="103">
        <f t="shared" si="20"/>
        <v>8.940096525096525</v>
      </c>
      <c r="U30" s="103">
        <f t="shared" si="21"/>
        <v>5.2146074646074636</v>
      </c>
      <c r="V30" s="104">
        <v>1</v>
      </c>
      <c r="W30" s="104">
        <v>1</v>
      </c>
      <c r="X30" s="107"/>
      <c r="Y30" s="106"/>
      <c r="Z30" s="2"/>
      <c r="AA30" s="2"/>
      <c r="AB30" s="2"/>
      <c r="AC30" s="2"/>
      <c r="AD30" s="2"/>
    </row>
    <row r="31" spans="1:255">
      <c r="A31" s="95">
        <v>7</v>
      </c>
      <c r="B31" s="96">
        <v>45938</v>
      </c>
      <c r="C31" s="97" t="s">
        <v>48</v>
      </c>
      <c r="D31" s="98">
        <v>9084</v>
      </c>
      <c r="E31" s="99">
        <v>2</v>
      </c>
      <c r="F31" s="99">
        <f t="shared" si="12"/>
        <v>4542</v>
      </c>
      <c r="G31" s="99">
        <v>2</v>
      </c>
      <c r="H31" s="99">
        <f t="shared" si="13"/>
        <v>4542</v>
      </c>
      <c r="I31" s="99">
        <v>20</v>
      </c>
      <c r="J31" s="98">
        <f t="shared" si="14"/>
        <v>1</v>
      </c>
      <c r="K31" s="99"/>
      <c r="L31" s="99"/>
      <c r="M31" s="99"/>
      <c r="N31" s="100">
        <f t="shared" si="15"/>
        <v>0.1</v>
      </c>
      <c r="O31" s="101">
        <f t="shared" si="16"/>
        <v>0.17500582189012465</v>
      </c>
      <c r="P31" s="102">
        <f t="shared" si="17"/>
        <v>51906.844594594593</v>
      </c>
      <c r="Q31" s="103">
        <f t="shared" si="19"/>
        <v>8.79777027027027</v>
      </c>
      <c r="R31" s="103">
        <f t="shared" si="18"/>
        <v>4.9425675675675675</v>
      </c>
      <c r="S31" s="102">
        <f t="shared" si="22"/>
        <v>9084</v>
      </c>
      <c r="T31" s="103">
        <f t="shared" si="20"/>
        <v>2</v>
      </c>
      <c r="U31" s="103">
        <f t="shared" si="21"/>
        <v>2</v>
      </c>
      <c r="V31" s="104">
        <v>1</v>
      </c>
      <c r="W31" s="104">
        <v>1</v>
      </c>
      <c r="X31" s="107"/>
      <c r="Y31" s="106"/>
    </row>
    <row r="32" spans="1:255">
      <c r="A32" s="95">
        <v>8</v>
      </c>
      <c r="B32" s="96">
        <v>45941</v>
      </c>
      <c r="C32" s="97" t="s">
        <v>53</v>
      </c>
      <c r="D32" s="98">
        <v>82347</v>
      </c>
      <c r="E32" s="99">
        <v>17</v>
      </c>
      <c r="F32" s="99">
        <f t="shared" si="12"/>
        <v>4843.9411764705883</v>
      </c>
      <c r="G32" s="99">
        <v>10</v>
      </c>
      <c r="H32" s="99">
        <f t="shared" si="13"/>
        <v>8234.7000000000007</v>
      </c>
      <c r="I32" s="99">
        <v>72</v>
      </c>
      <c r="J32" s="98">
        <f t="shared" si="14"/>
        <v>1.7</v>
      </c>
      <c r="L32" s="99"/>
      <c r="M32" s="99"/>
      <c r="N32" s="100">
        <f t="shared" si="15"/>
        <v>0.1388888888888889</v>
      </c>
      <c r="O32" s="101">
        <f t="shared" si="16"/>
        <v>1.5864381786862718</v>
      </c>
      <c r="P32" s="102">
        <f t="shared" si="17"/>
        <v>51906.844594594593</v>
      </c>
      <c r="Q32" s="103">
        <f t="shared" si="19"/>
        <v>8.79777027027027</v>
      </c>
      <c r="R32" s="103">
        <f t="shared" si="18"/>
        <v>4.9425675675675675</v>
      </c>
      <c r="S32" s="102">
        <f t="shared" si="22"/>
        <v>82347</v>
      </c>
      <c r="T32" s="103">
        <f t="shared" si="20"/>
        <v>17</v>
      </c>
      <c r="U32" s="103">
        <f t="shared" si="21"/>
        <v>10</v>
      </c>
      <c r="V32" s="104">
        <v>1</v>
      </c>
      <c r="W32" s="104">
        <v>1</v>
      </c>
      <c r="X32" s="107"/>
      <c r="Y32" s="106"/>
    </row>
    <row r="33" spans="1:30">
      <c r="A33" s="95">
        <v>9</v>
      </c>
      <c r="B33" s="96">
        <v>45942</v>
      </c>
      <c r="C33" s="97" t="s">
        <v>54</v>
      </c>
      <c r="D33" s="98">
        <v>87721</v>
      </c>
      <c r="E33" s="99">
        <v>12</v>
      </c>
      <c r="F33" s="99">
        <f t="shared" si="12"/>
        <v>7310.083333333333</v>
      </c>
      <c r="G33" s="99">
        <v>5</v>
      </c>
      <c r="H33" s="99">
        <f t="shared" si="13"/>
        <v>17544.2</v>
      </c>
      <c r="I33" s="99">
        <v>60</v>
      </c>
      <c r="J33" s="98">
        <f t="shared" si="14"/>
        <v>2.4</v>
      </c>
      <c r="K33" s="99">
        <v>12816</v>
      </c>
      <c r="L33" s="99"/>
      <c r="M33" s="99">
        <v>22783</v>
      </c>
      <c r="N33" s="100">
        <f t="shared" si="15"/>
        <v>8.3333333333333329E-2</v>
      </c>
      <c r="O33" s="101">
        <f t="shared" si="16"/>
        <v>1.6899698042738467</v>
      </c>
      <c r="P33" s="102">
        <f t="shared" si="17"/>
        <v>51906.844594594593</v>
      </c>
      <c r="Q33" s="103">
        <f t="shared" si="19"/>
        <v>8.79777027027027</v>
      </c>
      <c r="R33" s="103">
        <f t="shared" si="18"/>
        <v>4.9425675675675675</v>
      </c>
      <c r="S33" s="102">
        <f t="shared" si="22"/>
        <v>87721</v>
      </c>
      <c r="T33" s="103">
        <f t="shared" si="20"/>
        <v>12</v>
      </c>
      <c r="U33" s="103">
        <f t="shared" si="21"/>
        <v>5</v>
      </c>
      <c r="V33" s="104">
        <v>1</v>
      </c>
      <c r="W33" s="104">
        <v>1</v>
      </c>
      <c r="X33" s="107"/>
      <c r="Y33" s="106"/>
      <c r="Z33" s="2"/>
      <c r="AA33" s="2"/>
      <c r="AB33" s="2"/>
      <c r="AC33" s="2"/>
      <c r="AD33" s="2"/>
    </row>
    <row r="34" spans="1:30">
      <c r="A34" s="95">
        <v>10</v>
      </c>
      <c r="B34" s="96">
        <v>45943</v>
      </c>
      <c r="C34" s="97" t="s">
        <v>55</v>
      </c>
      <c r="D34" s="98">
        <v>11773</v>
      </c>
      <c r="E34" s="125">
        <v>2</v>
      </c>
      <c r="F34" s="99">
        <f t="shared" si="12"/>
        <v>5886.5</v>
      </c>
      <c r="G34" s="99">
        <v>2</v>
      </c>
      <c r="H34" s="99">
        <f t="shared" si="13"/>
        <v>5886.5</v>
      </c>
      <c r="I34" s="99">
        <v>15</v>
      </c>
      <c r="J34" s="98">
        <f t="shared" si="14"/>
        <v>1</v>
      </c>
      <c r="K34" s="99"/>
      <c r="L34" s="99"/>
      <c r="M34" s="99"/>
      <c r="N34" s="100">
        <f t="shared" si="15"/>
        <v>0.13333333333333333</v>
      </c>
      <c r="O34" s="101">
        <f t="shared" si="16"/>
        <v>0.22681016524795655</v>
      </c>
      <c r="P34" s="102">
        <f t="shared" si="17"/>
        <v>51906.844594594593</v>
      </c>
      <c r="Q34" s="103">
        <f t="shared" si="19"/>
        <v>8.79777027027027</v>
      </c>
      <c r="R34" s="103">
        <f t="shared" si="18"/>
        <v>4.9425675675675675</v>
      </c>
      <c r="S34" s="102">
        <f t="shared" si="22"/>
        <v>11773</v>
      </c>
      <c r="T34" s="103">
        <f t="shared" si="20"/>
        <v>2</v>
      </c>
      <c r="U34" s="103">
        <f t="shared" si="21"/>
        <v>2</v>
      </c>
      <c r="V34" s="104">
        <v>1</v>
      </c>
      <c r="W34" s="104">
        <v>1</v>
      </c>
      <c r="X34" s="107"/>
      <c r="Y34" s="106"/>
      <c r="Z34" s="2"/>
      <c r="AA34" s="2"/>
      <c r="AB34" s="2"/>
      <c r="AC34" s="2"/>
      <c r="AD34" s="2"/>
    </row>
    <row r="35" spans="1:30">
      <c r="A35" s="95">
        <v>11</v>
      </c>
      <c r="B35" s="96">
        <v>45944</v>
      </c>
      <c r="C35" s="97" t="s">
        <v>56</v>
      </c>
      <c r="D35" s="98">
        <v>5492</v>
      </c>
      <c r="E35" s="97">
        <v>1</v>
      </c>
      <c r="F35" s="99">
        <f t="shared" si="12"/>
        <v>5492</v>
      </c>
      <c r="G35" s="99">
        <v>1</v>
      </c>
      <c r="H35" s="99">
        <f t="shared" si="13"/>
        <v>5492</v>
      </c>
      <c r="I35" s="99">
        <v>15</v>
      </c>
      <c r="J35" s="98">
        <f t="shared" si="14"/>
        <v>1</v>
      </c>
      <c r="K35" s="99"/>
      <c r="L35" s="99"/>
      <c r="M35" s="99"/>
      <c r="N35" s="100">
        <f t="shared" si="15"/>
        <v>6.6666666666666666E-2</v>
      </c>
      <c r="O35" s="101">
        <f t="shared" si="16"/>
        <v>0.10580492886620041</v>
      </c>
      <c r="P35" s="102">
        <f t="shared" si="17"/>
        <v>51906.844594594593</v>
      </c>
      <c r="Q35" s="103">
        <f t="shared" si="19"/>
        <v>8.79777027027027</v>
      </c>
      <c r="R35" s="103">
        <f t="shared" si="18"/>
        <v>4.9425675675675675</v>
      </c>
      <c r="S35" s="102">
        <f t="shared" si="22"/>
        <v>5492</v>
      </c>
      <c r="T35" s="103">
        <f t="shared" ref="T35:T36" si="23">IF(W35&lt;&gt;"",IF(E34&lt;&gt;"",E34,($I$9-SUM($T$25:T34))*V35*W35/SUMPRODUCT($W35:$W$58,$V35:$V$58)),"")</f>
        <v>2</v>
      </c>
      <c r="U35" s="103">
        <f t="shared" si="21"/>
        <v>1</v>
      </c>
      <c r="V35" s="104">
        <v>1</v>
      </c>
      <c r="W35" s="104">
        <v>1</v>
      </c>
      <c r="X35" s="107"/>
      <c r="Y35" s="106"/>
      <c r="Z35" s="2"/>
      <c r="AA35" s="2"/>
      <c r="AB35" s="2"/>
      <c r="AC35" s="2"/>
      <c r="AD35" s="2"/>
    </row>
    <row r="36" spans="1:30" ht="15.25" customHeight="1">
      <c r="A36" s="95">
        <v>11</v>
      </c>
      <c r="B36" s="96">
        <v>45945</v>
      </c>
      <c r="C36" s="133" t="s">
        <v>48</v>
      </c>
      <c r="D36" s="98">
        <v>30491</v>
      </c>
      <c r="E36" s="133">
        <v>7</v>
      </c>
      <c r="F36" s="99">
        <f t="shared" si="12"/>
        <v>4355.8571428571431</v>
      </c>
      <c r="G36" s="243">
        <v>2</v>
      </c>
      <c r="H36" s="99">
        <f t="shared" si="13"/>
        <v>15245.5</v>
      </c>
      <c r="I36" s="243">
        <v>25</v>
      </c>
      <c r="J36" s="98">
        <f t="shared" si="14"/>
        <v>3.5</v>
      </c>
      <c r="K36" s="243"/>
      <c r="L36" s="99"/>
      <c r="M36" s="243"/>
      <c r="N36" s="100">
        <f t="shared" si="15"/>
        <v>0.08</v>
      </c>
      <c r="O36" s="244">
        <f t="shared" si="16"/>
        <v>0.58741771414044364</v>
      </c>
      <c r="P36" s="102">
        <f t="shared" si="17"/>
        <v>51906.844594594593</v>
      </c>
      <c r="Q36" s="245">
        <f t="shared" si="19"/>
        <v>8.79777027027027</v>
      </c>
      <c r="R36" s="103">
        <f t="shared" si="18"/>
        <v>4.9425675675675675</v>
      </c>
      <c r="S36" s="246">
        <f t="shared" si="22"/>
        <v>30491</v>
      </c>
      <c r="T36" s="103">
        <f t="shared" si="23"/>
        <v>1</v>
      </c>
      <c r="U36" s="245">
        <f t="shared" si="21"/>
        <v>2</v>
      </c>
      <c r="V36" s="104">
        <v>1</v>
      </c>
      <c r="W36" s="104">
        <v>1</v>
      </c>
      <c r="X36" s="107"/>
      <c r="Y36" s="106"/>
      <c r="Z36" s="2"/>
      <c r="AA36" s="2"/>
      <c r="AB36" s="2"/>
      <c r="AC36" s="2"/>
      <c r="AD36" s="2"/>
    </row>
    <row r="37" spans="1:30">
      <c r="A37" s="95">
        <v>13</v>
      </c>
      <c r="B37" s="96">
        <v>45946</v>
      </c>
      <c r="C37" s="97" t="s">
        <v>50</v>
      </c>
      <c r="D37" s="98">
        <v>22984.2</v>
      </c>
      <c r="E37" s="99">
        <v>4</v>
      </c>
      <c r="F37" s="99">
        <f t="shared" si="12"/>
        <v>5746.05</v>
      </c>
      <c r="G37" s="99">
        <v>4</v>
      </c>
      <c r="H37" s="99">
        <f t="shared" si="13"/>
        <v>5746.05</v>
      </c>
      <c r="I37" s="99">
        <v>20</v>
      </c>
      <c r="J37" s="98">
        <f t="shared" si="14"/>
        <v>1</v>
      </c>
      <c r="K37" s="99">
        <v>8811.2000000000007</v>
      </c>
      <c r="L37" s="99"/>
      <c r="M37" s="99"/>
      <c r="N37" s="100">
        <f t="shared" si="15"/>
        <v>0.2</v>
      </c>
      <c r="O37" s="101">
        <f t="shared" si="16"/>
        <v>0.44279709505581272</v>
      </c>
      <c r="P37" s="102">
        <f t="shared" si="17"/>
        <v>51906.844594594593</v>
      </c>
      <c r="Q37" s="103">
        <f t="shared" si="19"/>
        <v>8.79777027027027</v>
      </c>
      <c r="R37" s="103">
        <f t="shared" si="18"/>
        <v>4.9425675675675675</v>
      </c>
      <c r="S37" s="102">
        <f t="shared" si="22"/>
        <v>22984.2</v>
      </c>
      <c r="T37" s="103">
        <f t="shared" ref="T37:T53" si="24">IF(W37&lt;&gt;"",IF(E37&lt;&gt;"",E37,($I$9-SUM($T$25:T36))*V37*W37/SUMPRODUCT($W37:$W$58,$V37:$V$58)),"")</f>
        <v>4</v>
      </c>
      <c r="U37" s="103">
        <f t="shared" si="21"/>
        <v>4</v>
      </c>
      <c r="V37" s="104">
        <v>1</v>
      </c>
      <c r="W37" s="104">
        <v>1</v>
      </c>
      <c r="X37" s="107"/>
      <c r="Y37" s="106"/>
      <c r="Z37" s="2"/>
      <c r="AA37" s="2"/>
      <c r="AB37" s="2"/>
      <c r="AC37" s="2"/>
      <c r="AD37" s="2"/>
    </row>
    <row r="38" spans="1:30">
      <c r="A38" s="95">
        <v>14</v>
      </c>
      <c r="B38" s="96">
        <v>45947</v>
      </c>
      <c r="C38" s="97" t="s">
        <v>51</v>
      </c>
      <c r="D38" s="98">
        <v>29263</v>
      </c>
      <c r="E38" s="99">
        <v>6</v>
      </c>
      <c r="F38" s="99">
        <f t="shared" si="12"/>
        <v>4877.166666666667</v>
      </c>
      <c r="G38" s="99">
        <v>4</v>
      </c>
      <c r="H38" s="99">
        <f t="shared" si="13"/>
        <v>7315.75</v>
      </c>
      <c r="I38" s="99">
        <v>20</v>
      </c>
      <c r="J38" s="98">
        <f t="shared" si="14"/>
        <v>1.5</v>
      </c>
      <c r="K38" s="99"/>
      <c r="L38" s="99"/>
      <c r="M38" s="99">
        <v>7590</v>
      </c>
      <c r="N38" s="100">
        <f t="shared" si="15"/>
        <v>0.2</v>
      </c>
      <c r="O38" s="101">
        <f t="shared" si="16"/>
        <v>0.56375994781711991</v>
      </c>
      <c r="P38" s="102">
        <f t="shared" si="17"/>
        <v>51906.844594594593</v>
      </c>
      <c r="Q38" s="103">
        <f t="shared" si="19"/>
        <v>8.79777027027027</v>
      </c>
      <c r="R38" s="103">
        <f t="shared" si="18"/>
        <v>4.9425675675675675</v>
      </c>
      <c r="S38" s="102">
        <f t="shared" si="22"/>
        <v>29263</v>
      </c>
      <c r="T38" s="103">
        <f t="shared" si="24"/>
        <v>6</v>
      </c>
      <c r="U38" s="103">
        <f t="shared" si="21"/>
        <v>4</v>
      </c>
      <c r="V38" s="104">
        <v>1</v>
      </c>
      <c r="W38" s="104">
        <v>1</v>
      </c>
      <c r="X38" s="107"/>
      <c r="Y38" s="106"/>
      <c r="Z38" s="2"/>
      <c r="AA38" s="2"/>
      <c r="AB38" s="2"/>
      <c r="AC38" s="2"/>
      <c r="AD38" s="2"/>
    </row>
    <row r="39" spans="1:30">
      <c r="A39" s="95">
        <v>15</v>
      </c>
      <c r="B39" s="96">
        <v>45948</v>
      </c>
      <c r="C39" s="97" t="s">
        <v>53</v>
      </c>
      <c r="D39" s="98">
        <v>20912</v>
      </c>
      <c r="E39" s="243">
        <v>3</v>
      </c>
      <c r="F39" s="99">
        <f t="shared" si="12"/>
        <v>6970.666666666667</v>
      </c>
      <c r="G39" s="243">
        <v>3</v>
      </c>
      <c r="H39" s="99">
        <f t="shared" si="13"/>
        <v>6970.666666666667</v>
      </c>
      <c r="I39" s="243">
        <v>25</v>
      </c>
      <c r="J39" s="98">
        <f t="shared" si="14"/>
        <v>1</v>
      </c>
      <c r="K39" s="99"/>
      <c r="L39" s="99"/>
      <c r="M39" s="243"/>
      <c r="N39" s="100">
        <f t="shared" si="15"/>
        <v>0.12</v>
      </c>
      <c r="O39" s="101">
        <f t="shared" si="16"/>
        <v>0.40287557764930498</v>
      </c>
      <c r="P39" s="102">
        <f t="shared" si="17"/>
        <v>51906.844594594593</v>
      </c>
      <c r="Q39" s="103">
        <f t="shared" si="19"/>
        <v>8.79777027027027</v>
      </c>
      <c r="R39" s="103">
        <f t="shared" si="18"/>
        <v>4.9425675675675675</v>
      </c>
      <c r="S39" s="102">
        <f t="shared" si="22"/>
        <v>20912</v>
      </c>
      <c r="T39" s="103">
        <f t="shared" si="24"/>
        <v>3</v>
      </c>
      <c r="U39" s="103">
        <f t="shared" si="21"/>
        <v>3</v>
      </c>
      <c r="V39" s="104">
        <v>1</v>
      </c>
      <c r="W39" s="104">
        <v>1</v>
      </c>
      <c r="X39" s="107"/>
      <c r="Y39" s="106"/>
      <c r="Z39" s="2"/>
      <c r="AA39" s="2"/>
      <c r="AB39" s="2"/>
      <c r="AC39" s="2"/>
      <c r="AD39" s="2"/>
    </row>
    <row r="40" spans="1:30">
      <c r="A40" s="95">
        <v>16</v>
      </c>
      <c r="B40" s="96">
        <v>45949</v>
      </c>
      <c r="C40" s="97" t="s">
        <v>54</v>
      </c>
      <c r="D40" s="98">
        <v>12472</v>
      </c>
      <c r="E40" s="99">
        <v>3</v>
      </c>
      <c r="F40" s="99">
        <f t="shared" si="12"/>
        <v>4157.333333333333</v>
      </c>
      <c r="G40" s="99">
        <v>2</v>
      </c>
      <c r="H40" s="99">
        <f t="shared" si="13"/>
        <v>6236</v>
      </c>
      <c r="I40" s="99">
        <v>20</v>
      </c>
      <c r="J40" s="98">
        <f t="shared" si="14"/>
        <v>1.5</v>
      </c>
      <c r="K40" s="99"/>
      <c r="L40" s="99"/>
      <c r="M40" s="99"/>
      <c r="N40" s="247">
        <f t="shared" si="15"/>
        <v>0.1</v>
      </c>
      <c r="O40" s="101">
        <f t="shared" si="16"/>
        <v>0.24027659738150975</v>
      </c>
      <c r="P40" s="102">
        <f t="shared" si="17"/>
        <v>51906.844594594593</v>
      </c>
      <c r="Q40" s="103">
        <f t="shared" si="19"/>
        <v>8.79777027027027</v>
      </c>
      <c r="R40" s="103">
        <f t="shared" si="18"/>
        <v>4.9425675675675675</v>
      </c>
      <c r="S40" s="102">
        <f t="shared" si="22"/>
        <v>12472</v>
      </c>
      <c r="T40" s="103">
        <f t="shared" si="24"/>
        <v>3</v>
      </c>
      <c r="U40" s="103">
        <f t="shared" si="21"/>
        <v>2</v>
      </c>
      <c r="V40" s="104">
        <v>1</v>
      </c>
      <c r="W40" s="104">
        <v>1</v>
      </c>
      <c r="X40" s="107"/>
      <c r="Y40" s="106"/>
      <c r="Z40" s="2"/>
      <c r="AA40" s="2"/>
      <c r="AB40" s="2"/>
      <c r="AC40" s="2"/>
      <c r="AD40" s="2"/>
    </row>
    <row r="41" spans="1:30">
      <c r="A41" s="95">
        <v>17</v>
      </c>
      <c r="B41" s="96">
        <v>45950</v>
      </c>
      <c r="C41" s="97" t="s">
        <v>55</v>
      </c>
      <c r="D41" s="98">
        <v>33331</v>
      </c>
      <c r="E41" s="99">
        <v>6</v>
      </c>
      <c r="F41" s="99">
        <f t="shared" si="12"/>
        <v>5555.166666666667</v>
      </c>
      <c r="G41" s="99">
        <v>4</v>
      </c>
      <c r="H41" s="99">
        <f t="shared" si="13"/>
        <v>8332.75</v>
      </c>
      <c r="I41" s="99">
        <v>30</v>
      </c>
      <c r="J41" s="98">
        <f t="shared" si="14"/>
        <v>1.5</v>
      </c>
      <c r="K41" s="99"/>
      <c r="L41" s="99"/>
      <c r="M41" s="99"/>
      <c r="N41" s="100">
        <f t="shared" si="15"/>
        <v>0.13333333333333333</v>
      </c>
      <c r="O41" s="101">
        <f t="shared" si="16"/>
        <v>0.64213111508363541</v>
      </c>
      <c r="P41" s="102">
        <f t="shared" si="17"/>
        <v>51906.844594594593</v>
      </c>
      <c r="Q41" s="103">
        <f t="shared" si="19"/>
        <v>8.79777027027027</v>
      </c>
      <c r="R41" s="103">
        <f t="shared" si="18"/>
        <v>4.9425675675675675</v>
      </c>
      <c r="S41" s="102">
        <f t="shared" si="22"/>
        <v>33331</v>
      </c>
      <c r="T41" s="103">
        <f t="shared" si="24"/>
        <v>6</v>
      </c>
      <c r="U41" s="103">
        <f t="shared" si="21"/>
        <v>4</v>
      </c>
      <c r="V41" s="104">
        <v>1</v>
      </c>
      <c r="W41" s="104">
        <v>1</v>
      </c>
      <c r="X41" s="107"/>
      <c r="Y41" s="106"/>
      <c r="Z41" s="2"/>
      <c r="AA41" s="2"/>
      <c r="AB41" s="2"/>
      <c r="AC41" s="2"/>
      <c r="AD41" s="2"/>
    </row>
    <row r="42" spans="1:30">
      <c r="A42" s="95">
        <v>18</v>
      </c>
      <c r="B42" s="96">
        <v>45951</v>
      </c>
      <c r="C42" s="97" t="s">
        <v>56</v>
      </c>
      <c r="D42" s="98">
        <v>28366</v>
      </c>
      <c r="E42" s="99">
        <v>5</v>
      </c>
      <c r="F42" s="99">
        <f t="shared" si="12"/>
        <v>5673.2</v>
      </c>
      <c r="G42" s="99">
        <v>3</v>
      </c>
      <c r="H42" s="99">
        <f t="shared" si="13"/>
        <v>9455.3333333333339</v>
      </c>
      <c r="I42" s="99">
        <v>35</v>
      </c>
      <c r="J42" s="98">
        <f t="shared" si="14"/>
        <v>1.6666666666666667</v>
      </c>
      <c r="K42" s="99"/>
      <c r="L42" s="99"/>
      <c r="M42" s="99">
        <v>8004</v>
      </c>
      <c r="N42" s="100">
        <f t="shared" si="15"/>
        <v>8.5714285714285715E-2</v>
      </c>
      <c r="O42" s="101">
        <f t="shared" si="16"/>
        <v>0.54647898984316112</v>
      </c>
      <c r="P42" s="102">
        <f t="shared" si="17"/>
        <v>51906.844594594593</v>
      </c>
      <c r="Q42" s="103">
        <f t="shared" si="19"/>
        <v>8.79777027027027</v>
      </c>
      <c r="R42" s="103">
        <f t="shared" si="18"/>
        <v>4.9425675675675675</v>
      </c>
      <c r="S42" s="102">
        <f t="shared" si="22"/>
        <v>28366</v>
      </c>
      <c r="T42" s="103">
        <f t="shared" si="24"/>
        <v>5</v>
      </c>
      <c r="U42" s="103">
        <f t="shared" si="21"/>
        <v>3</v>
      </c>
      <c r="V42" s="104">
        <v>1</v>
      </c>
      <c r="W42" s="104">
        <v>1</v>
      </c>
      <c r="X42" s="107"/>
      <c r="Y42" s="106"/>
      <c r="Z42" s="129"/>
      <c r="AA42" s="2"/>
      <c r="AB42" s="2"/>
      <c r="AC42" s="2"/>
      <c r="AD42" s="2"/>
    </row>
    <row r="43" spans="1:30">
      <c r="A43" s="95">
        <v>19</v>
      </c>
      <c r="B43" s="96">
        <v>45953</v>
      </c>
      <c r="C43" s="97" t="s">
        <v>50</v>
      </c>
      <c r="D43" s="98">
        <f>49591+8903</f>
        <v>58494</v>
      </c>
      <c r="E43" s="99">
        <v>12</v>
      </c>
      <c r="F43" s="99">
        <f t="shared" si="12"/>
        <v>4874.5</v>
      </c>
      <c r="G43" s="99">
        <v>2</v>
      </c>
      <c r="H43" s="99">
        <f t="shared" si="13"/>
        <v>29247</v>
      </c>
      <c r="I43" s="99">
        <v>40</v>
      </c>
      <c r="J43" s="98">
        <f t="shared" si="14"/>
        <v>6</v>
      </c>
      <c r="K43" s="99"/>
      <c r="L43" s="99">
        <v>8903</v>
      </c>
      <c r="M43" s="99"/>
      <c r="N43" s="100">
        <f t="shared" si="15"/>
        <v>0.05</v>
      </c>
      <c r="O43" s="101">
        <f t="shared" si="16"/>
        <v>1.1269034066095278</v>
      </c>
      <c r="P43" s="102">
        <f t="shared" si="17"/>
        <v>51906.844594594593</v>
      </c>
      <c r="Q43" s="103">
        <f t="shared" si="19"/>
        <v>8.79777027027027</v>
      </c>
      <c r="R43" s="103">
        <f t="shared" si="18"/>
        <v>4.9425675675675675</v>
      </c>
      <c r="S43" s="102">
        <f t="shared" si="22"/>
        <v>58494</v>
      </c>
      <c r="T43" s="103">
        <f t="shared" si="24"/>
        <v>12</v>
      </c>
      <c r="U43" s="103">
        <f t="shared" si="21"/>
        <v>2</v>
      </c>
      <c r="V43" s="104">
        <v>1</v>
      </c>
      <c r="W43" s="104">
        <v>1</v>
      </c>
      <c r="X43" s="107"/>
      <c r="Y43" s="106"/>
      <c r="Z43" s="129"/>
      <c r="AA43" s="2"/>
      <c r="AB43" s="2"/>
      <c r="AC43" s="2"/>
      <c r="AD43" s="2"/>
    </row>
    <row r="44" spans="1:30">
      <c r="A44" s="95">
        <v>20</v>
      </c>
      <c r="B44" s="96">
        <v>45954</v>
      </c>
      <c r="C44" s="97" t="s">
        <v>51</v>
      </c>
      <c r="D44" s="98">
        <v>10183</v>
      </c>
      <c r="E44" s="99">
        <v>2</v>
      </c>
      <c r="F44" s="99">
        <f t="shared" si="12"/>
        <v>5091.5</v>
      </c>
      <c r="G44" s="99">
        <v>2</v>
      </c>
      <c r="H44" s="99">
        <f t="shared" si="13"/>
        <v>5091.5</v>
      </c>
      <c r="I44" s="99">
        <v>15</v>
      </c>
      <c r="J44" s="98">
        <f t="shared" si="14"/>
        <v>1</v>
      </c>
      <c r="K44" s="99"/>
      <c r="L44" s="99"/>
      <c r="M44" s="99"/>
      <c r="N44" s="100">
        <f t="shared" si="15"/>
        <v>0.13333333333333333</v>
      </c>
      <c r="O44" s="101">
        <f t="shared" si="16"/>
        <v>0.19617836683257805</v>
      </c>
      <c r="P44" s="102">
        <f t="shared" si="17"/>
        <v>51906.844594594593</v>
      </c>
      <c r="Q44" s="103">
        <f t="shared" si="19"/>
        <v>8.79777027027027</v>
      </c>
      <c r="R44" s="103">
        <f t="shared" si="18"/>
        <v>4.9425675675675675</v>
      </c>
      <c r="S44" s="102">
        <f t="shared" si="22"/>
        <v>10183</v>
      </c>
      <c r="T44" s="103">
        <f t="shared" si="24"/>
        <v>2</v>
      </c>
      <c r="U44" s="103">
        <f t="shared" si="21"/>
        <v>2</v>
      </c>
      <c r="V44" s="104">
        <v>1</v>
      </c>
      <c r="W44" s="104">
        <v>1</v>
      </c>
      <c r="X44" s="107"/>
      <c r="Y44" s="106"/>
      <c r="Z44" s="129"/>
      <c r="AA44" s="2"/>
      <c r="AB44" s="2"/>
      <c r="AC44" s="2"/>
      <c r="AD44" s="2"/>
    </row>
    <row r="45" spans="1:30">
      <c r="A45" s="95">
        <v>21</v>
      </c>
      <c r="B45" s="96">
        <v>45955</v>
      </c>
      <c r="C45" s="97" t="s">
        <v>53</v>
      </c>
      <c r="D45" s="98">
        <f>22511+20284</f>
        <v>42795</v>
      </c>
      <c r="E45" s="99">
        <v>7</v>
      </c>
      <c r="F45" s="99">
        <f t="shared" si="12"/>
        <v>6113.5714285714284</v>
      </c>
      <c r="G45" s="99">
        <v>5</v>
      </c>
      <c r="H45" s="99">
        <f t="shared" si="13"/>
        <v>8559</v>
      </c>
      <c r="I45" s="99">
        <v>40</v>
      </c>
      <c r="J45" s="98">
        <f t="shared" si="14"/>
        <v>1.4</v>
      </c>
      <c r="K45" s="99">
        <v>20284</v>
      </c>
      <c r="L45" s="99"/>
      <c r="M45" s="99"/>
      <c r="N45" s="100">
        <f t="shared" si="15"/>
        <v>0.125</v>
      </c>
      <c r="O45" s="101">
        <f t="shared" si="16"/>
        <v>0.82445774414221529</v>
      </c>
      <c r="P45" s="102">
        <f t="shared" si="17"/>
        <v>51906.844594594593</v>
      </c>
      <c r="Q45" s="103">
        <f t="shared" si="19"/>
        <v>8.79777027027027</v>
      </c>
      <c r="R45" s="103">
        <f t="shared" si="18"/>
        <v>4.9425675675675675</v>
      </c>
      <c r="S45" s="102">
        <f t="shared" si="22"/>
        <v>42795</v>
      </c>
      <c r="T45" s="103">
        <f t="shared" si="24"/>
        <v>7</v>
      </c>
      <c r="U45" s="103">
        <f t="shared" si="21"/>
        <v>5</v>
      </c>
      <c r="V45" s="104">
        <v>1</v>
      </c>
      <c r="W45" s="104">
        <v>1</v>
      </c>
      <c r="X45" s="107"/>
      <c r="Y45" s="106"/>
      <c r="Z45" s="129"/>
    </row>
    <row r="46" spans="1:30">
      <c r="A46" s="95">
        <v>22</v>
      </c>
      <c r="B46" s="96">
        <v>45956</v>
      </c>
      <c r="C46" s="97" t="s">
        <v>54</v>
      </c>
      <c r="D46" s="98">
        <v>30730</v>
      </c>
      <c r="E46" s="99">
        <v>5</v>
      </c>
      <c r="F46" s="99">
        <f t="shared" si="12"/>
        <v>6146</v>
      </c>
      <c r="G46" s="99">
        <v>3</v>
      </c>
      <c r="H46" s="99">
        <f t="shared" si="13"/>
        <v>10243.333333333334</v>
      </c>
      <c r="I46" s="99">
        <v>32</v>
      </c>
      <c r="J46" s="98">
        <f t="shared" si="14"/>
        <v>1.6666666666666667</v>
      </c>
      <c r="K46" s="99"/>
      <c r="L46" s="99"/>
      <c r="M46" s="99"/>
      <c r="N46" s="100">
        <f t="shared" si="15"/>
        <v>9.375E-2</v>
      </c>
      <c r="O46" s="101">
        <f t="shared" si="16"/>
        <v>0.59202211654376158</v>
      </c>
      <c r="P46" s="102">
        <f t="shared" si="17"/>
        <v>51906.844594594593</v>
      </c>
      <c r="Q46" s="103">
        <f t="shared" si="19"/>
        <v>8.79777027027027</v>
      </c>
      <c r="R46" s="103">
        <f t="shared" si="18"/>
        <v>4.9425675675675675</v>
      </c>
      <c r="S46" s="102">
        <f t="shared" si="22"/>
        <v>30730</v>
      </c>
      <c r="T46" s="103">
        <f t="shared" si="24"/>
        <v>5</v>
      </c>
      <c r="U46" s="103">
        <f t="shared" si="21"/>
        <v>3</v>
      </c>
      <c r="V46" s="104">
        <v>1</v>
      </c>
      <c r="W46" s="104">
        <v>1</v>
      </c>
      <c r="X46" s="107"/>
      <c r="Y46" s="106"/>
      <c r="Z46" s="129"/>
      <c r="AA46" s="2"/>
      <c r="AB46" s="2"/>
      <c r="AC46" s="2"/>
      <c r="AD46" s="2"/>
    </row>
    <row r="47" spans="1:30">
      <c r="A47" s="95">
        <v>23</v>
      </c>
      <c r="B47" s="96">
        <v>45957</v>
      </c>
      <c r="C47" s="97" t="s">
        <v>55</v>
      </c>
      <c r="D47" s="98">
        <v>20551</v>
      </c>
      <c r="E47" s="99">
        <v>2</v>
      </c>
      <c r="F47" s="99">
        <f t="shared" si="12"/>
        <v>10275.5</v>
      </c>
      <c r="G47" s="99">
        <v>2</v>
      </c>
      <c r="H47" s="99">
        <f t="shared" si="13"/>
        <v>10275.5</v>
      </c>
      <c r="I47" s="99">
        <v>7</v>
      </c>
      <c r="J47" s="98">
        <f t="shared" si="14"/>
        <v>1</v>
      </c>
      <c r="K47" s="99">
        <v>17259</v>
      </c>
      <c r="L47" s="99"/>
      <c r="M47" s="99"/>
      <c r="N47" s="100">
        <f t="shared" si="15"/>
        <v>0.2857142857142857</v>
      </c>
      <c r="O47" s="101">
        <f t="shared" si="16"/>
        <v>0.3959208108392725</v>
      </c>
      <c r="P47" s="102">
        <f t="shared" si="17"/>
        <v>51906.844594594593</v>
      </c>
      <c r="Q47" s="103">
        <f t="shared" si="19"/>
        <v>8.79777027027027</v>
      </c>
      <c r="R47" s="103">
        <f t="shared" si="18"/>
        <v>4.9425675675675675</v>
      </c>
      <c r="S47" s="102">
        <f t="shared" si="22"/>
        <v>20551</v>
      </c>
      <c r="T47" s="103">
        <f t="shared" si="24"/>
        <v>2</v>
      </c>
      <c r="U47" s="103">
        <f t="shared" si="21"/>
        <v>2</v>
      </c>
      <c r="V47" s="104">
        <v>1</v>
      </c>
      <c r="W47" s="104">
        <v>1</v>
      </c>
      <c r="X47" s="107"/>
      <c r="Y47" s="106"/>
      <c r="Z47" s="129"/>
      <c r="AA47" s="2"/>
      <c r="AB47" s="2"/>
      <c r="AC47" s="2"/>
      <c r="AD47" s="2"/>
    </row>
    <row r="48" spans="1:30">
      <c r="A48" s="95">
        <v>24</v>
      </c>
      <c r="B48" s="96">
        <v>45958</v>
      </c>
      <c r="C48" s="97" t="s">
        <v>56</v>
      </c>
      <c r="D48" s="98">
        <v>35358</v>
      </c>
      <c r="E48" s="99">
        <v>3</v>
      </c>
      <c r="F48" s="99">
        <f t="shared" si="12"/>
        <v>11786</v>
      </c>
      <c r="G48" s="99">
        <v>2</v>
      </c>
      <c r="H48" s="99">
        <f t="shared" si="13"/>
        <v>17679</v>
      </c>
      <c r="I48" s="99">
        <v>40</v>
      </c>
      <c r="J48" s="98">
        <f t="shared" si="14"/>
        <v>1.5</v>
      </c>
      <c r="K48" s="99">
        <v>35358</v>
      </c>
      <c r="L48" s="99"/>
      <c r="M48" s="99"/>
      <c r="N48" s="100">
        <f t="shared" si="15"/>
        <v>0.05</v>
      </c>
      <c r="O48" s="101">
        <f t="shared" si="16"/>
        <v>0.68118184174273744</v>
      </c>
      <c r="P48" s="102">
        <f t="shared" si="17"/>
        <v>51906.844594594593</v>
      </c>
      <c r="Q48" s="103">
        <f t="shared" si="19"/>
        <v>8.79777027027027</v>
      </c>
      <c r="R48" s="103">
        <f t="shared" si="18"/>
        <v>4.9425675675675675</v>
      </c>
      <c r="S48" s="102">
        <f t="shared" si="22"/>
        <v>35358</v>
      </c>
      <c r="T48" s="103">
        <f t="shared" si="24"/>
        <v>3</v>
      </c>
      <c r="U48" s="103">
        <f t="shared" si="21"/>
        <v>2</v>
      </c>
      <c r="V48" s="104">
        <v>1</v>
      </c>
      <c r="W48" s="104">
        <v>1</v>
      </c>
      <c r="X48" s="107"/>
      <c r="Y48" s="106"/>
      <c r="Z48" s="129"/>
      <c r="AA48" s="2"/>
      <c r="AB48" s="2"/>
      <c r="AC48" s="2"/>
      <c r="AD48" s="2"/>
    </row>
    <row r="49" spans="1:30">
      <c r="A49" s="95">
        <v>25</v>
      </c>
      <c r="B49" s="96">
        <v>45959</v>
      </c>
      <c r="C49" s="97" t="s">
        <v>48</v>
      </c>
      <c r="D49" s="98"/>
      <c r="E49" s="99"/>
      <c r="F49" s="99" t="str">
        <f t="shared" si="12"/>
        <v/>
      </c>
      <c r="G49" s="99"/>
      <c r="H49" s="99" t="str">
        <f t="shared" si="13"/>
        <v/>
      </c>
      <c r="I49" s="99"/>
      <c r="J49" s="98" t="str">
        <f t="shared" si="14"/>
        <v/>
      </c>
      <c r="K49" s="99"/>
      <c r="L49" s="99"/>
      <c r="M49" s="99"/>
      <c r="N49" s="100" t="str">
        <f t="shared" si="15"/>
        <v/>
      </c>
      <c r="O49" s="101">
        <f t="shared" si="16"/>
        <v>0</v>
      </c>
      <c r="P49" s="102">
        <f t="shared" si="17"/>
        <v>51906.844594594593</v>
      </c>
      <c r="Q49" s="103">
        <f t="shared" si="19"/>
        <v>8.79777027027027</v>
      </c>
      <c r="R49" s="103">
        <f t="shared" si="18"/>
        <v>4.9425675675675675</v>
      </c>
      <c r="S49" s="102">
        <f t="shared" si="22"/>
        <v>249898.28545688547</v>
      </c>
      <c r="T49" s="103">
        <f t="shared" si="24"/>
        <v>42.400965250965243</v>
      </c>
      <c r="U49" s="103">
        <f t="shared" si="21"/>
        <v>23.146074646074638</v>
      </c>
      <c r="V49" s="104">
        <v>1</v>
      </c>
      <c r="W49" s="104">
        <v>1</v>
      </c>
      <c r="X49" s="107"/>
      <c r="Y49" s="106"/>
      <c r="Z49" s="129"/>
      <c r="AA49" s="2"/>
      <c r="AB49" s="2"/>
      <c r="AC49" s="2"/>
      <c r="AD49" s="2"/>
    </row>
    <row r="50" spans="1:30">
      <c r="A50" s="95">
        <v>26</v>
      </c>
      <c r="B50" s="96">
        <v>45961</v>
      </c>
      <c r="C50" s="97" t="s">
        <v>51</v>
      </c>
      <c r="D50" s="98">
        <f>17723+38983</f>
        <v>56706</v>
      </c>
      <c r="E50" s="99">
        <v>5</v>
      </c>
      <c r="F50" s="99">
        <f t="shared" si="12"/>
        <v>11341.2</v>
      </c>
      <c r="G50" s="99">
        <v>3</v>
      </c>
      <c r="H50" s="99">
        <f t="shared" si="13"/>
        <v>18902</v>
      </c>
      <c r="I50" s="99">
        <v>20</v>
      </c>
      <c r="J50" s="98">
        <f t="shared" si="14"/>
        <v>1.6666666666666667</v>
      </c>
      <c r="K50" s="99">
        <v>38983</v>
      </c>
      <c r="L50" s="99"/>
      <c r="M50" s="99"/>
      <c r="N50" s="100">
        <f t="shared" si="15"/>
        <v>0.15</v>
      </c>
      <c r="O50" s="101">
        <f t="shared" si="16"/>
        <v>1.0924570823537436</v>
      </c>
      <c r="P50" s="102">
        <f t="shared" si="17"/>
        <v>51906.844594594593</v>
      </c>
      <c r="Q50" s="103">
        <f t="shared" si="19"/>
        <v>8.79777027027027</v>
      </c>
      <c r="R50" s="103">
        <f t="shared" si="18"/>
        <v>4.9425675675675675</v>
      </c>
      <c r="S50" s="102">
        <f t="shared" si="22"/>
        <v>56706</v>
      </c>
      <c r="T50" s="103">
        <f t="shared" si="24"/>
        <v>5</v>
      </c>
      <c r="U50" s="103">
        <f t="shared" si="21"/>
        <v>3</v>
      </c>
      <c r="V50" s="104">
        <v>1</v>
      </c>
      <c r="W50" s="104">
        <v>1</v>
      </c>
      <c r="X50" s="107"/>
      <c r="Y50" s="106"/>
      <c r="Z50" s="129"/>
      <c r="AA50" s="2"/>
      <c r="AB50" s="2"/>
      <c r="AC50" s="2"/>
      <c r="AD50" s="2"/>
    </row>
    <row r="51" spans="1:30">
      <c r="A51" s="95">
        <v>27</v>
      </c>
      <c r="B51" s="96"/>
      <c r="C51" s="133"/>
      <c r="D51" s="98"/>
      <c r="E51" s="243"/>
      <c r="F51" s="99" t="str">
        <f t="shared" si="12"/>
        <v/>
      </c>
      <c r="G51" s="243"/>
      <c r="H51" s="99" t="str">
        <f t="shared" si="13"/>
        <v/>
      </c>
      <c r="I51" s="243"/>
      <c r="J51" s="98" t="str">
        <f t="shared" si="14"/>
        <v/>
      </c>
      <c r="K51" s="243"/>
      <c r="L51" s="99"/>
      <c r="M51" s="243"/>
      <c r="N51" s="100" t="str">
        <f t="shared" si="15"/>
        <v/>
      </c>
      <c r="O51" s="244" t="e">
        <f t="shared" si="16"/>
        <v>#DIV/0!</v>
      </c>
      <c r="P51" s="102">
        <f t="shared" si="17"/>
        <v>0</v>
      </c>
      <c r="Q51" s="245">
        <f t="shared" si="19"/>
        <v>0</v>
      </c>
      <c r="R51" s="103">
        <f t="shared" si="18"/>
        <v>0</v>
      </c>
      <c r="S51" s="246" t="str">
        <f t="shared" si="22"/>
        <v/>
      </c>
      <c r="T51" s="103" t="str">
        <f t="shared" si="24"/>
        <v/>
      </c>
      <c r="U51" s="245" t="str">
        <f t="shared" si="21"/>
        <v/>
      </c>
      <c r="V51" s="104"/>
      <c r="W51" s="104"/>
      <c r="X51" s="107"/>
      <c r="Y51" s="106"/>
      <c r="Z51" s="129"/>
      <c r="AA51" s="2"/>
      <c r="AB51" s="2"/>
      <c r="AC51" s="2"/>
      <c r="AD51" s="2"/>
    </row>
    <row r="52" spans="1:30">
      <c r="A52" s="95">
        <v>28</v>
      </c>
      <c r="B52" s="96"/>
      <c r="C52" s="97"/>
      <c r="D52" s="248"/>
      <c r="E52" s="99"/>
      <c r="F52" s="243" t="str">
        <f t="shared" si="12"/>
        <v/>
      </c>
      <c r="G52" s="99"/>
      <c r="H52" s="243" t="str">
        <f t="shared" si="13"/>
        <v/>
      </c>
      <c r="I52" s="99"/>
      <c r="J52" s="248" t="str">
        <f t="shared" si="14"/>
        <v/>
      </c>
      <c r="K52" s="99"/>
      <c r="L52" s="243"/>
      <c r="M52" s="99"/>
      <c r="N52" s="247" t="str">
        <f t="shared" si="15"/>
        <v/>
      </c>
      <c r="O52" s="101" t="e">
        <f t="shared" si="16"/>
        <v>#DIV/0!</v>
      </c>
      <c r="P52" s="246">
        <f t="shared" si="17"/>
        <v>0</v>
      </c>
      <c r="Q52" s="103">
        <f t="shared" si="19"/>
        <v>0</v>
      </c>
      <c r="R52" s="245">
        <f t="shared" si="18"/>
        <v>0</v>
      </c>
      <c r="S52" s="102" t="str">
        <f t="shared" si="22"/>
        <v/>
      </c>
      <c r="T52" s="245" t="str">
        <f t="shared" si="24"/>
        <v/>
      </c>
      <c r="U52" s="103" t="str">
        <f t="shared" si="21"/>
        <v/>
      </c>
      <c r="V52" s="249"/>
      <c r="W52" s="104"/>
      <c r="X52" s="107"/>
      <c r="Y52" s="106"/>
      <c r="Z52" s="129"/>
      <c r="AA52" s="2"/>
      <c r="AB52" s="2"/>
      <c r="AC52" s="2"/>
      <c r="AD52" s="2"/>
    </row>
    <row r="53" spans="1:30">
      <c r="A53" s="95">
        <v>29</v>
      </c>
      <c r="B53" s="96">
        <v>45931</v>
      </c>
      <c r="C53" s="133" t="s">
        <v>48</v>
      </c>
      <c r="D53" s="98">
        <v>8792</v>
      </c>
      <c r="E53" s="243">
        <v>1</v>
      </c>
      <c r="F53" s="99">
        <f t="shared" si="12"/>
        <v>8792</v>
      </c>
      <c r="G53" s="243">
        <v>1</v>
      </c>
      <c r="H53" s="99">
        <f t="shared" si="13"/>
        <v>8792</v>
      </c>
      <c r="I53" s="243"/>
      <c r="J53" s="98">
        <f t="shared" si="14"/>
        <v>1</v>
      </c>
      <c r="K53" s="243"/>
      <c r="L53" s="99"/>
      <c r="M53" s="243">
        <v>8792</v>
      </c>
      <c r="N53" s="100" t="str">
        <f t="shared" si="15"/>
        <v/>
      </c>
      <c r="O53" s="244" t="e">
        <f t="shared" si="16"/>
        <v>#DIV/0!</v>
      </c>
      <c r="P53" s="102">
        <f t="shared" si="17"/>
        <v>0</v>
      </c>
      <c r="Q53" s="245">
        <f t="shared" si="19"/>
        <v>0</v>
      </c>
      <c r="R53" s="103">
        <f t="shared" si="18"/>
        <v>0</v>
      </c>
      <c r="S53" s="246" t="str">
        <f t="shared" si="22"/>
        <v/>
      </c>
      <c r="T53" s="103" t="str">
        <f t="shared" si="24"/>
        <v/>
      </c>
      <c r="U53" s="245" t="str">
        <f t="shared" si="21"/>
        <v/>
      </c>
      <c r="V53" s="104"/>
      <c r="W53" s="104"/>
      <c r="X53" s="107"/>
      <c r="Y53" s="106"/>
      <c r="Z53" s="129"/>
      <c r="AA53" s="2"/>
      <c r="AB53" s="2"/>
      <c r="AC53" s="2"/>
      <c r="AD53" s="2"/>
    </row>
    <row r="54" spans="1:30">
      <c r="A54" s="95"/>
      <c r="B54" s="96"/>
      <c r="C54" s="97"/>
      <c r="D54" s="98"/>
      <c r="E54" s="99"/>
      <c r="F54" s="99" t="str">
        <f t="shared" si="12"/>
        <v/>
      </c>
      <c r="G54" s="99"/>
      <c r="H54" s="99" t="str">
        <f t="shared" si="13"/>
        <v/>
      </c>
      <c r="I54" s="99"/>
      <c r="J54" s="98" t="str">
        <f t="shared" si="14"/>
        <v/>
      </c>
      <c r="K54" s="99"/>
      <c r="L54" s="99"/>
      <c r="M54" s="99"/>
      <c r="N54" s="100" t="str">
        <f t="shared" si="15"/>
        <v/>
      </c>
      <c r="O54" s="101" t="e">
        <f t="shared" si="16"/>
        <v>#DIV/0!</v>
      </c>
      <c r="P54" s="102">
        <f t="shared" si="17"/>
        <v>0</v>
      </c>
      <c r="Q54" s="103">
        <f t="shared" si="19"/>
        <v>0</v>
      </c>
      <c r="R54" s="103">
        <f t="shared" si="18"/>
        <v>0</v>
      </c>
      <c r="S54" s="102" t="str">
        <f>IF(W54&lt;&gt;"",IF(D54&lt;&gt;"",D54,($I$8-SUM($S$25:S50))*V54*W54/SUMPRODUCT($W54:$W$58,$V54:$V$58)),"")</f>
        <v/>
      </c>
      <c r="T54" s="103" t="str">
        <f>IF(W54&lt;&gt;"",IF(E54&lt;&gt;"",E54,($I$9-SUM($T$25:T50))*V54*W54/SUMPRODUCT($W54:$W$58,$V54:$V$58)),"")</f>
        <v/>
      </c>
      <c r="U54" s="103" t="str">
        <f>IF(W54&lt;&gt;"",IF($I$12&lt;&gt;"",IF(G54&lt;&gt;"",G54,($I$9/$I$12-SUM($U$25:U50))*V54*W54/SUMPRODUCT($W54:$W$58,$V54:$V$58)),""),"")</f>
        <v/>
      </c>
      <c r="V54" s="104"/>
      <c r="W54" s="104"/>
      <c r="X54" s="107"/>
      <c r="Y54" s="106"/>
      <c r="Z54" s="129"/>
      <c r="AA54" s="2"/>
      <c r="AB54" s="2"/>
      <c r="AC54" s="2"/>
      <c r="AD54" s="2"/>
    </row>
    <row r="55" spans="1:30">
      <c r="A55" s="95"/>
      <c r="B55" s="96"/>
      <c r="C55" s="97"/>
      <c r="D55" s="98"/>
      <c r="E55" s="99"/>
      <c r="F55" s="99" t="str">
        <f t="shared" si="12"/>
        <v/>
      </c>
      <c r="G55" s="99"/>
      <c r="H55" s="99" t="str">
        <f t="shared" si="13"/>
        <v/>
      </c>
      <c r="I55" s="99"/>
      <c r="J55" s="98" t="str">
        <f t="shared" si="14"/>
        <v/>
      </c>
      <c r="K55" s="99"/>
      <c r="L55" s="99"/>
      <c r="M55" s="99"/>
      <c r="N55" s="100" t="str">
        <f t="shared" si="15"/>
        <v/>
      </c>
      <c r="O55" s="101" t="e">
        <f t="shared" si="16"/>
        <v>#DIV/0!</v>
      </c>
      <c r="P55" s="102">
        <f t="shared" si="17"/>
        <v>0</v>
      </c>
      <c r="Q55" s="103">
        <f t="shared" si="19"/>
        <v>0</v>
      </c>
      <c r="R55" s="103">
        <f t="shared" si="18"/>
        <v>0</v>
      </c>
      <c r="S55" s="102" t="str">
        <f t="shared" ref="S55:S56" si="25">IF(W55&lt;&gt;"",IF(D55&lt;&gt;"",D55,($I$8-SUM($S$25:S54))*V55*W55/SUMPRODUCT($W55:$W$58,$V55:$V$58)),"")</f>
        <v/>
      </c>
      <c r="T55" s="103" t="str">
        <f t="shared" ref="T55:T56" si="26">IF(W55&lt;&gt;"",IF(E55&lt;&gt;"",E55,($I$9-SUM($T$25:T54))*V55*W55/SUMPRODUCT($W55:$W$58,$V55:$V$58)),"")</f>
        <v/>
      </c>
      <c r="U55" s="103" t="str">
        <f t="shared" ref="U55:U56" si="27">IF(W55&lt;&gt;"",IF($I$12&lt;&gt;"",IF(G55&lt;&gt;"",G55,($I$9/$I$12-SUM($U$25:U54))*V55*W55/SUMPRODUCT($W55:$W$58,$V55:$V$58)),""),"")</f>
        <v/>
      </c>
      <c r="V55" s="104"/>
      <c r="W55" s="104"/>
      <c r="X55" s="107"/>
      <c r="Y55" s="106"/>
      <c r="Z55" s="129"/>
      <c r="AA55" s="2"/>
      <c r="AB55" s="2"/>
      <c r="AC55" s="2"/>
      <c r="AD55" s="2"/>
    </row>
    <row r="56" spans="1:30" ht="15" customHeight="1">
      <c r="A56" s="95"/>
      <c r="B56" s="96"/>
      <c r="C56" s="97"/>
      <c r="D56" s="98"/>
      <c r="E56" s="99"/>
      <c r="F56" s="99" t="str">
        <f t="shared" si="12"/>
        <v/>
      </c>
      <c r="G56" s="99"/>
      <c r="H56" s="99" t="str">
        <f t="shared" si="13"/>
        <v/>
      </c>
      <c r="I56" s="99"/>
      <c r="J56" s="98" t="str">
        <f t="shared" si="14"/>
        <v/>
      </c>
      <c r="K56" s="99"/>
      <c r="L56" s="99"/>
      <c r="M56" s="99"/>
      <c r="N56" s="100" t="str">
        <f t="shared" si="15"/>
        <v/>
      </c>
      <c r="O56" s="101" t="e">
        <f t="shared" si="16"/>
        <v>#DIV/0!</v>
      </c>
      <c r="P56" s="102">
        <f t="shared" si="17"/>
        <v>0</v>
      </c>
      <c r="Q56" s="103">
        <f t="shared" si="19"/>
        <v>0</v>
      </c>
      <c r="R56" s="103">
        <f t="shared" si="18"/>
        <v>0</v>
      </c>
      <c r="S56" s="102" t="str">
        <f t="shared" si="25"/>
        <v/>
      </c>
      <c r="T56" s="103" t="str">
        <f t="shared" si="26"/>
        <v/>
      </c>
      <c r="U56" s="103" t="str">
        <f t="shared" si="27"/>
        <v/>
      </c>
      <c r="V56" s="104"/>
      <c r="W56" s="104"/>
      <c r="X56" s="107"/>
      <c r="Y56" s="106"/>
      <c r="Z56" s="129"/>
      <c r="AA56" s="2"/>
      <c r="AB56" s="2"/>
      <c r="AC56" s="2"/>
      <c r="AD56" s="2"/>
    </row>
    <row r="57" spans="1:30" ht="15" customHeight="1">
      <c r="B57" s="530"/>
      <c r="C57" s="530"/>
      <c r="D57" s="114">
        <f>SUM(D25:D56)</f>
        <v>861672.2</v>
      </c>
      <c r="E57" s="114">
        <f>SUM(E25:E56)</f>
        <v>146</v>
      </c>
      <c r="F57" s="114">
        <f t="shared" si="12"/>
        <v>5901.8643835616431</v>
      </c>
      <c r="G57" s="114">
        <f>SUM(G25:G56)</f>
        <v>81</v>
      </c>
      <c r="H57" s="114">
        <f t="shared" si="13"/>
        <v>10637.928395061728</v>
      </c>
      <c r="I57" s="114">
        <f>SUM(I25:I56)</f>
        <v>768</v>
      </c>
      <c r="J57" s="112">
        <f t="shared" si="14"/>
        <v>1.8024691358024691</v>
      </c>
      <c r="K57" s="114">
        <f>SUM(K25:K56)</f>
        <v>141701.20000000001</v>
      </c>
      <c r="L57" s="114">
        <f>SUM(L25:L56)</f>
        <v>26812</v>
      </c>
      <c r="M57" s="114">
        <f>SUM(M25:M56)</f>
        <v>73834</v>
      </c>
      <c r="N57" s="130">
        <f t="shared" si="15"/>
        <v>0.10546875</v>
      </c>
      <c r="O57" s="116">
        <f t="shared" si="16"/>
        <v>0.63847530552819787</v>
      </c>
      <c r="P57" s="118">
        <f>SUM(P25:P56)</f>
        <v>1349577.9594594589</v>
      </c>
      <c r="Q57" s="118">
        <f>SUM(Q25:Q55)</f>
        <v>228.74202702702689</v>
      </c>
      <c r="R57" s="118">
        <f>SUM(R25:R55)</f>
        <v>128.50675675675672</v>
      </c>
      <c r="S57" s="118">
        <f>SUM(S25:S56)</f>
        <v>1156385.6740025738</v>
      </c>
      <c r="T57" s="118">
        <f>SUM(T25:T55)</f>
        <v>191.34106177606176</v>
      </c>
      <c r="U57" s="118">
        <f>SUM(U25:U55)</f>
        <v>108.36068211068211</v>
      </c>
      <c r="V57" s="131"/>
      <c r="W57" s="131"/>
    </row>
    <row r="58" spans="1:30">
      <c r="B58" s="133"/>
      <c r="C58" s="134"/>
      <c r="D58" s="135">
        <f>SUMIF(D25:D54,"",P25:P54)+D57</f>
        <v>965485.88918918918</v>
      </c>
      <c r="E58" s="136"/>
      <c r="F58" s="134"/>
      <c r="G58" s="134"/>
      <c r="H58" s="137"/>
      <c r="I58" s="250"/>
      <c r="J58" s="137"/>
      <c r="L58" s="139"/>
      <c r="M58" s="136"/>
      <c r="N58" s="139"/>
      <c r="O58" s="139"/>
      <c r="P58" s="139"/>
      <c r="Q58" s="140"/>
    </row>
    <row r="59" spans="1:30">
      <c r="D59" s="141"/>
      <c r="L59" s="142"/>
    </row>
    <row r="60" spans="1:30">
      <c r="D60" s="141"/>
    </row>
    <row r="61" spans="1:30">
      <c r="D61" s="142"/>
    </row>
    <row r="62" spans="1:30">
      <c r="D62" s="142"/>
    </row>
  </sheetData>
  <mergeCells count="29">
    <mergeCell ref="P22:W22"/>
    <mergeCell ref="B57:C57"/>
    <mergeCell ref="F18:H18"/>
    <mergeCell ref="F19:H19"/>
    <mergeCell ref="F20:H20"/>
    <mergeCell ref="B22:N22"/>
    <mergeCell ref="O22:O24"/>
    <mergeCell ref="F13:H13"/>
    <mergeCell ref="F14:H14"/>
    <mergeCell ref="F15:H15"/>
    <mergeCell ref="F16:H16"/>
    <mergeCell ref="S16:T17"/>
    <mergeCell ref="F17:H17"/>
    <mergeCell ref="F10:H10"/>
    <mergeCell ref="S10:T11"/>
    <mergeCell ref="V10:W11"/>
    <mergeCell ref="F11:H11"/>
    <mergeCell ref="F12:H12"/>
    <mergeCell ref="J5:N5"/>
    <mergeCell ref="F7:H7"/>
    <mergeCell ref="P7:Q7"/>
    <mergeCell ref="F8:H8"/>
    <mergeCell ref="F9:H9"/>
    <mergeCell ref="B1:C1"/>
    <mergeCell ref="Q1:T4"/>
    <mergeCell ref="B2:C2"/>
    <mergeCell ref="J2:P2"/>
    <mergeCell ref="J3:N4"/>
    <mergeCell ref="C4:D4"/>
  </mergeCells>
  <conditionalFormatting sqref="J16">
    <cfRule type="cellIs" dxfId="122" priority="1808" operator="greaterThan">
      <formula>0</formula>
    </cfRule>
    <cfRule type="cellIs" dxfId="121" priority="1807" operator="lessThan">
      <formula>0</formula>
    </cfRule>
  </conditionalFormatting>
  <conditionalFormatting sqref="J25:J56">
    <cfRule type="cellIs" dxfId="120" priority="31" operator="greaterThan">
      <formula>$I$12</formula>
    </cfRule>
    <cfRule type="cellIs" dxfId="119" priority="30" operator="lessThan">
      <formula>$I$12</formula>
    </cfRule>
  </conditionalFormatting>
  <conditionalFormatting sqref="J36">
    <cfRule type="cellIs" dxfId="118" priority="1854" operator="lessThan">
      <formula>$I$12</formula>
    </cfRule>
  </conditionalFormatting>
  <conditionalFormatting sqref="J39:J40">
    <cfRule type="cellIs" dxfId="117" priority="1826" operator="lessThan">
      <formula>$I$12</formula>
    </cfRule>
  </conditionalFormatting>
  <conditionalFormatting sqref="J51:J53">
    <cfRule type="cellIs" dxfId="116" priority="1853" operator="lessThan">
      <formula>$I$12</formula>
    </cfRule>
  </conditionalFormatting>
  <conditionalFormatting sqref="K8">
    <cfRule type="cellIs" dxfId="115" priority="2" operator="lessThan">
      <formula>$K$17</formula>
    </cfRule>
    <cfRule type="cellIs" dxfId="114" priority="1" operator="greaterThan">
      <formula>$K$17</formula>
    </cfRule>
  </conditionalFormatting>
  <conditionalFormatting sqref="K10:K12 K15">
    <cfRule type="cellIs" dxfId="113" priority="1806" operator="greaterThan">
      <formula>1</formula>
    </cfRule>
    <cfRule type="cellIs" dxfId="112" priority="1805" operator="lessThan">
      <formula>1</formula>
    </cfRule>
  </conditionalFormatting>
  <conditionalFormatting sqref="K13">
    <cfRule type="cellIs" dxfId="111" priority="1455" operator="lessThan">
      <formula>$K$14</formula>
    </cfRule>
    <cfRule type="cellIs" dxfId="110" priority="1456" operator="greaterThan">
      <formula>$K$14</formula>
    </cfRule>
  </conditionalFormatting>
  <conditionalFormatting sqref="M8:M15">
    <cfRule type="cellIs" dxfId="109" priority="1823" operator="lessThan">
      <formula>1</formula>
    </cfRule>
    <cfRule type="cellIs" dxfId="108" priority="1804" operator="greaterThan">
      <formula>1</formula>
    </cfRule>
  </conditionalFormatting>
  <conditionalFormatting sqref="N25:N38">
    <cfRule type="cellIs" dxfId="107" priority="28" operator="greaterThanOrEqual">
      <formula>0.25</formula>
    </cfRule>
    <cfRule type="cellIs" dxfId="106" priority="27" operator="between">
      <formula>0.2</formula>
      <formula>0.25</formula>
    </cfRule>
  </conditionalFormatting>
  <conditionalFormatting sqref="N25:N56">
    <cfRule type="cellIs" dxfId="105" priority="29" operator="lessThan">
      <formula>0.2</formula>
    </cfRule>
  </conditionalFormatting>
  <conditionalFormatting sqref="N36">
    <cfRule type="cellIs" dxfId="104" priority="1858" operator="between">
      <formula>0.2</formula>
      <formula>0.25</formula>
    </cfRule>
  </conditionalFormatting>
  <conditionalFormatting sqref="N39:N40">
    <cfRule type="cellIs" dxfId="103" priority="1832" operator="between">
      <formula>0.2</formula>
      <formula>0.25</formula>
    </cfRule>
  </conditionalFormatting>
  <conditionalFormatting sqref="N39:N56">
    <cfRule type="cellIs" dxfId="102" priority="50" operator="greaterThanOrEqual">
      <formula>0.25</formula>
    </cfRule>
  </conditionalFormatting>
  <conditionalFormatting sqref="N41:N56">
    <cfRule type="cellIs" dxfId="101" priority="49" operator="between">
      <formula>0.2</formula>
      <formula>0.25</formula>
    </cfRule>
  </conditionalFormatting>
  <conditionalFormatting sqref="N51:N53">
    <cfRule type="cellIs" dxfId="100" priority="1846" operator="between">
      <formula>0.2</formula>
      <formula>0.25</formula>
    </cfRule>
  </conditionalFormatting>
  <conditionalFormatting sqref="O25:O38">
    <cfRule type="cellIs" dxfId="99" priority="26" operator="between">
      <formula>0.01</formula>
      <formula>0.99</formula>
    </cfRule>
    <cfRule type="cellIs" dxfId="98" priority="25" operator="between">
      <formula>0.85</formula>
      <formula>1</formula>
    </cfRule>
    <cfRule type="cellIs" dxfId="97" priority="22" operator="lessThan">
      <formula>0.9</formula>
    </cfRule>
    <cfRule type="cellIs" dxfId="96" priority="21" operator="between">
      <formula>0.9001</formula>
      <formula>0.9999</formula>
    </cfRule>
  </conditionalFormatting>
  <conditionalFormatting sqref="O25:O56">
    <cfRule type="cellIs" dxfId="95" priority="24" operator="greaterThan">
      <formula>100</formula>
    </cfRule>
    <cfRule type="cellIs" dxfId="94" priority="23" operator="greaterThan">
      <formula>1</formula>
    </cfRule>
  </conditionalFormatting>
  <conditionalFormatting sqref="O36">
    <cfRule type="cellIs" dxfId="93" priority="1866" operator="between">
      <formula>0.9001</formula>
      <formula>0.9999</formula>
    </cfRule>
    <cfRule type="cellIs" dxfId="92" priority="1865" operator="lessThan">
      <formula>0.9</formula>
    </cfRule>
    <cfRule type="cellIs" dxfId="91" priority="1860" operator="between">
      <formula>0.85</formula>
      <formula>1</formula>
    </cfRule>
  </conditionalFormatting>
  <conditionalFormatting sqref="O39:O40">
    <cfRule type="cellIs" dxfId="90" priority="1836" operator="between">
      <formula>0.85</formula>
      <formula>1</formula>
    </cfRule>
    <cfRule type="cellIs" dxfId="89" priority="1844" operator="between">
      <formula>0.9001</formula>
      <formula>0.9999</formula>
    </cfRule>
    <cfRule type="cellIs" dxfId="88" priority="1842" operator="lessThan">
      <formula>0.9</formula>
    </cfRule>
  </conditionalFormatting>
  <conditionalFormatting sqref="O39:O56">
    <cfRule type="cellIs" dxfId="87" priority="48" operator="between">
      <formula>0.01</formula>
      <formula>0.99</formula>
    </cfRule>
  </conditionalFormatting>
  <conditionalFormatting sqref="O41:O56">
    <cfRule type="cellIs" dxfId="86" priority="43" operator="between">
      <formula>0.9001</formula>
      <formula>0.9999</formula>
    </cfRule>
    <cfRule type="cellIs" dxfId="85" priority="44" operator="lessThan">
      <formula>0.9</formula>
    </cfRule>
    <cfRule type="cellIs" dxfId="84" priority="47" operator="between">
      <formula>0.85</formula>
      <formula>1</formula>
    </cfRule>
  </conditionalFormatting>
  <conditionalFormatting sqref="O51:O53">
    <cfRule type="cellIs" dxfId="83" priority="1848" operator="between">
      <formula>0.85</formula>
      <formula>1</formula>
    </cfRule>
    <cfRule type="cellIs" dxfId="82" priority="1849" operator="lessThan">
      <formula>0.9</formula>
    </cfRule>
    <cfRule type="cellIs" dxfId="81" priority="1850" operator="between">
      <formula>0.9001</formula>
      <formula>0.9999</formula>
    </cfRule>
  </conditionalFormatting>
  <conditionalFormatting sqref="P10:Q10">
    <cfRule type="cellIs" dxfId="80" priority="1819" operator="lessThan">
      <formula>0</formula>
    </cfRule>
  </conditionalFormatting>
  <conditionalFormatting sqref="T13">
    <cfRule type="cellIs" dxfId="79" priority="12" operator="between">
      <formula>0.9</formula>
      <formula>0.95</formula>
    </cfRule>
    <cfRule type="cellIs" dxfId="78" priority="13" operator="lessThan">
      <formula>0.9</formula>
    </cfRule>
    <cfRule type="cellIs" dxfId="77" priority="14" operator="greaterThan">
      <formula>0.95</formula>
    </cfRule>
  </conditionalFormatting>
  <conditionalFormatting sqref="T19">
    <cfRule type="cellIs" dxfId="76" priority="5" operator="greaterThan">
      <formula>0.95</formula>
    </cfRule>
    <cfRule type="cellIs" dxfId="75" priority="4" operator="lessThan">
      <formula>0.9</formula>
    </cfRule>
    <cfRule type="cellIs" dxfId="74" priority="3" operator="between">
      <formula>0.9</formula>
      <formula>0.95</formula>
    </cfRule>
  </conditionalFormatting>
  <conditionalFormatting sqref="W13">
    <cfRule type="cellIs" dxfId="73" priority="11" operator="greaterThan">
      <formula>"100;"</formula>
    </cfRule>
    <cfRule type="cellIs" dxfId="72" priority="10" operator="greaterThan">
      <formula>1</formula>
    </cfRule>
    <cfRule type="cellIs" dxfId="71" priority="9" operator="lessThan">
      <formula>1</formula>
    </cfRule>
    <cfRule type="cellIs" dxfId="70" priority="8" operator="greaterThan">
      <formula>0.95</formula>
    </cfRule>
    <cfRule type="cellIs" dxfId="69" priority="7" operator="lessThan">
      <formula>0.9</formula>
    </cfRule>
    <cfRule type="cellIs" dxfId="68" priority="6" operator="between">
      <formula>0.9</formula>
      <formula>0.95</formula>
    </cfRule>
  </conditionalFormatting>
  <pageMargins left="0.7" right="0.7" top="0.75" bottom="0.75" header="0.51200000000000001" footer="0.51200000000000001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U60"/>
  <sheetViews>
    <sheetView showZeros="0" zoomScale="113" workbookViewId="0">
      <pane xSplit="2" topLeftCell="C1" activePane="topRight" state="frozen"/>
      <selection pane="topRight" activeCell="H48" sqref="H48"/>
    </sheetView>
  </sheetViews>
  <sheetFormatPr baseColWidth="10" defaultColWidth="9.1640625" defaultRowHeight="15"/>
  <cols>
    <col min="1" max="1" width="4.1640625" style="251" customWidth="1"/>
    <col min="2" max="2" width="10.33203125" style="3" customWidth="1"/>
    <col min="3" max="3" width="10.83203125" style="3" customWidth="1"/>
    <col min="4" max="4" width="10.33203125" style="3" customWidth="1"/>
    <col min="5" max="5" width="10.1640625" style="3" customWidth="1"/>
    <col min="6" max="6" width="11.33203125" style="3" customWidth="1"/>
    <col min="7" max="7" width="9.83203125" style="3" customWidth="1"/>
    <col min="8" max="8" width="9.5" style="3" customWidth="1"/>
    <col min="9" max="9" width="11" style="3" customWidth="1"/>
    <col min="10" max="10" width="8.83203125" style="3" customWidth="1"/>
    <col min="11" max="11" width="12.6640625" style="3" customWidth="1"/>
    <col min="12" max="12" width="10.1640625" style="3" customWidth="1"/>
    <col min="13" max="13" width="10.83203125" style="3" customWidth="1"/>
    <col min="14" max="14" width="11.6640625" style="3" customWidth="1"/>
    <col min="15" max="15" width="12.83203125" style="3" customWidth="1"/>
    <col min="16" max="16" width="10.33203125" style="3" customWidth="1"/>
    <col min="17" max="18" width="11.33203125" style="3" customWidth="1"/>
    <col min="19" max="19" width="11" style="3" customWidth="1"/>
    <col min="20" max="20" width="9.5" style="3" customWidth="1"/>
    <col min="21" max="21" width="9.1640625" style="3" bestFit="1" customWidth="1"/>
    <col min="22" max="23" width="10.5" style="3" customWidth="1"/>
    <col min="24" max="33" width="9.1640625" style="3" bestFit="1" customWidth="1"/>
    <col min="34" max="255" width="9.1640625" style="2" bestFit="1" customWidth="1"/>
  </cols>
  <sheetData>
    <row r="1" spans="2:24" ht="15.75" customHeight="1">
      <c r="B1" s="583">
        <f ca="1">TODAY()-1</f>
        <v>45969</v>
      </c>
      <c r="C1" s="583"/>
      <c r="D1" s="11"/>
      <c r="E1" s="11"/>
      <c r="F1" s="12"/>
      <c r="G1" s="12"/>
      <c r="H1" s="12"/>
      <c r="I1" s="12"/>
      <c r="J1" s="214"/>
      <c r="K1" s="214"/>
      <c r="L1" s="214"/>
      <c r="M1" s="214"/>
      <c r="N1" s="214"/>
      <c r="O1" s="214"/>
      <c r="P1" s="214"/>
      <c r="Q1" s="584"/>
      <c r="R1" s="584"/>
      <c r="S1" s="584"/>
      <c r="T1" s="584"/>
      <c r="U1" s="12"/>
      <c r="V1" s="12"/>
      <c r="W1" s="12"/>
    </row>
    <row r="2" spans="2:24" ht="21.75" customHeight="1">
      <c r="B2" s="585" t="s">
        <v>0</v>
      </c>
      <c r="C2" s="585"/>
      <c r="D2" s="11"/>
      <c r="E2" s="11"/>
      <c r="F2" s="12"/>
      <c r="G2" s="12"/>
      <c r="H2" s="12"/>
      <c r="I2" s="12"/>
      <c r="J2" s="586" t="s">
        <v>66</v>
      </c>
      <c r="K2" s="586"/>
      <c r="L2" s="586"/>
      <c r="M2" s="586"/>
      <c r="N2" s="586"/>
      <c r="O2" s="586"/>
      <c r="P2" s="586"/>
      <c r="Q2" s="584"/>
      <c r="R2" s="584"/>
      <c r="S2" s="584"/>
      <c r="T2" s="584"/>
      <c r="U2" s="12"/>
      <c r="V2" s="12"/>
      <c r="W2" s="12"/>
    </row>
    <row r="3" spans="2:24" ht="14" customHeight="1">
      <c r="B3" s="10" t="s">
        <v>1</v>
      </c>
      <c r="C3" s="11"/>
      <c r="D3" s="11"/>
      <c r="E3" s="11"/>
      <c r="F3" s="12"/>
      <c r="G3" s="12"/>
      <c r="H3" s="12"/>
      <c r="I3" s="12"/>
      <c r="J3" s="587" t="str">
        <f>График!B28</f>
        <v>Уразгильдеева Екатерина</v>
      </c>
      <c r="K3" s="588"/>
      <c r="L3" s="588"/>
      <c r="M3" s="588"/>
      <c r="N3" s="589"/>
      <c r="O3" s="214"/>
      <c r="P3" s="215"/>
      <c r="Q3" s="584"/>
      <c r="R3" s="584"/>
      <c r="S3" s="584"/>
      <c r="T3" s="584"/>
      <c r="U3" s="12"/>
      <c r="V3" s="12"/>
      <c r="W3" s="12"/>
    </row>
    <row r="4" spans="2:24" ht="15" customHeight="1">
      <c r="B4" s="11"/>
      <c r="C4" s="593">
        <f>I8-D50</f>
        <v>1076384.0405405406</v>
      </c>
      <c r="D4" s="594"/>
      <c r="E4" s="216">
        <f>IF(I8&lt;&gt;0, C4/I8, 0)</f>
        <v>1</v>
      </c>
      <c r="F4" s="12"/>
      <c r="G4" s="12"/>
      <c r="H4" s="12"/>
      <c r="I4" s="12"/>
      <c r="J4" s="590"/>
      <c r="K4" s="591"/>
      <c r="L4" s="591"/>
      <c r="M4" s="591"/>
      <c r="N4" s="592"/>
      <c r="O4" s="12"/>
      <c r="P4" s="12"/>
      <c r="Q4" s="584"/>
      <c r="R4" s="584"/>
      <c r="S4" s="584"/>
      <c r="T4" s="584"/>
      <c r="U4" s="12"/>
      <c r="V4" s="12"/>
      <c r="W4" s="12"/>
    </row>
    <row r="5" spans="2:24">
      <c r="B5" s="12"/>
      <c r="C5" s="12"/>
      <c r="D5" s="12"/>
      <c r="E5" s="12"/>
      <c r="F5" s="12"/>
      <c r="G5" s="12"/>
      <c r="H5" s="12"/>
      <c r="I5" s="12"/>
      <c r="J5" s="595"/>
      <c r="K5" s="595"/>
      <c r="L5" s="595"/>
      <c r="M5" s="595"/>
      <c r="N5" s="595"/>
      <c r="O5" s="12"/>
      <c r="P5" s="12"/>
      <c r="Q5" s="12"/>
      <c r="R5" s="12"/>
      <c r="S5" s="12"/>
      <c r="T5" s="12"/>
      <c r="U5" s="12"/>
      <c r="V5" s="12"/>
      <c r="W5" s="12"/>
    </row>
    <row r="6" spans="2:24" ht="15.75" customHeight="1">
      <c r="B6" s="217"/>
      <c r="C6" s="12"/>
      <c r="D6" s="12"/>
      <c r="E6" s="12"/>
      <c r="F6" s="17" t="s">
        <v>2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9"/>
      <c r="R6" s="21"/>
      <c r="S6" s="21"/>
      <c r="T6" s="12"/>
      <c r="U6" s="12"/>
      <c r="V6" s="12"/>
      <c r="W6" s="12"/>
    </row>
    <row r="7" spans="2:24" ht="50.75" customHeight="1">
      <c r="B7" s="217"/>
      <c r="C7" s="12"/>
      <c r="D7" s="12"/>
      <c r="E7" s="12"/>
      <c r="F7" s="510" t="s">
        <v>3</v>
      </c>
      <c r="G7" s="511"/>
      <c r="H7" s="512"/>
      <c r="I7" s="22" t="s">
        <v>4</v>
      </c>
      <c r="J7" s="23" t="s">
        <v>5</v>
      </c>
      <c r="K7" s="24" t="s">
        <v>6</v>
      </c>
      <c r="L7" s="25" t="s">
        <v>7</v>
      </c>
      <c r="M7" s="25" t="s">
        <v>8</v>
      </c>
      <c r="N7" s="26" t="s">
        <v>9</v>
      </c>
      <c r="O7" s="26" t="s">
        <v>10</v>
      </c>
      <c r="P7" s="513" t="s">
        <v>11</v>
      </c>
      <c r="Q7" s="514"/>
      <c r="R7" s="21"/>
      <c r="S7" s="21"/>
      <c r="T7" s="12"/>
      <c r="U7" s="12"/>
      <c r="V7" s="12"/>
      <c r="W7" s="12"/>
    </row>
    <row r="8" spans="2:24" ht="15.75" customHeight="1">
      <c r="B8" s="217"/>
      <c r="C8" s="12"/>
      <c r="D8" s="12"/>
      <c r="E8" s="252"/>
      <c r="F8" s="515" t="s">
        <v>12</v>
      </c>
      <c r="G8" s="516"/>
      <c r="H8" s="517"/>
      <c r="I8" s="218">
        <f>'Ялта, Ленина, 18'!I8/График!AJ31*График!AJ28</f>
        <v>1076384.0405405406</v>
      </c>
      <c r="J8" s="219">
        <f>D57</f>
        <v>589829</v>
      </c>
      <c r="K8" s="30">
        <f>IF(AND(I8&lt;&gt;"",I8&lt;&gt;0,J8&lt;&gt;""),J8/I8,"")</f>
        <v>0.54797263595974399</v>
      </c>
      <c r="L8" s="220">
        <f>IF(SUMIF($D$25:$D$56,"&gt;=0",$P$25:$P$56)&lt;&gt;0,I8*D57/SUMIF($D$25:$D$56,"&gt;=0",$P$25:$P$56),0)</f>
        <v>620872.63157894742</v>
      </c>
      <c r="M8" s="253">
        <f t="shared" ref="M8:M9" si="0">IF(AND(I8&lt;&gt;"",I8&lt;&gt;0,L8&lt;&gt;"",L8&lt;&gt;0),L8/I8,"")</f>
        <v>0.57681330101025696</v>
      </c>
      <c r="N8" s="35">
        <f t="shared" ref="N8:N9" si="1">IF(AND(J8&lt;&gt;0,J8&lt;&gt;"",I8&lt;&gt;0,I8&lt;&gt;""),L8-I8,"")</f>
        <v>-455511.40896159317</v>
      </c>
      <c r="O8" s="34"/>
      <c r="P8" s="35" t="str">
        <f t="shared" ref="P8:P9" si="2">IF(AND(O8&lt;&gt;"", O8&lt;&gt;0, L8&lt;&gt;"", L8&lt;&gt;0), -O8+L8, "")</f>
        <v/>
      </c>
      <c r="Q8" s="36" t="str">
        <f t="shared" ref="Q8:Q9" si="3">IF(AND(P8&lt;&gt;"", P8&lt;&gt;0, O8&lt;&gt;0, O8&lt;&gt;""), P8/O8, "")</f>
        <v/>
      </c>
      <c r="R8" s="21"/>
      <c r="S8" s="37"/>
      <c r="T8" s="12"/>
      <c r="U8" s="12"/>
      <c r="V8" s="12"/>
      <c r="W8" s="12"/>
    </row>
    <row r="9" spans="2:24" ht="15.75" customHeight="1">
      <c r="B9" s="217"/>
      <c r="C9" s="12"/>
      <c r="D9" s="12"/>
      <c r="E9" s="12"/>
      <c r="F9" s="518" t="s">
        <v>13</v>
      </c>
      <c r="G9" s="519"/>
      <c r="H9" s="520"/>
      <c r="I9" s="38">
        <f>I8/I11</f>
        <v>182.43797297297297</v>
      </c>
      <c r="J9" s="254">
        <f>E57</f>
        <v>97</v>
      </c>
      <c r="K9" s="40">
        <f>IF(AND(I9&lt;&gt;"", I9&lt;&gt;0, J9&lt;&gt;""), J9/I9, "")</f>
        <v>0.53168755615570196</v>
      </c>
      <c r="L9" s="255">
        <f>IF(SUMIF($E$25:$E$54,"&gt;=0",$Q$25:$Q$54)&lt;&gt;0,I9*E57/SUMIF($E$25:$E$54,"&gt;=0",$Q$25:$Q$54),0)</f>
        <v>102.10526315789471</v>
      </c>
      <c r="M9" s="256">
        <f t="shared" si="0"/>
        <v>0.55967111174284401</v>
      </c>
      <c r="N9" s="43">
        <f t="shared" si="1"/>
        <v>-80.33270981507826</v>
      </c>
      <c r="O9" s="44" t="e">
        <f>O8/O11</f>
        <v>#DIV/0!</v>
      </c>
      <c r="P9" s="43" t="e">
        <f t="shared" si="2"/>
        <v>#DIV/0!</v>
      </c>
      <c r="Q9" s="45" t="e">
        <f t="shared" si="3"/>
        <v>#DIV/0!</v>
      </c>
      <c r="R9" s="21"/>
      <c r="S9" s="37"/>
      <c r="T9" s="12"/>
      <c r="U9" s="12"/>
      <c r="V9" s="12"/>
      <c r="W9" s="12"/>
    </row>
    <row r="10" spans="2:24" ht="15.75" customHeight="1">
      <c r="B10" s="217"/>
      <c r="C10" s="12"/>
      <c r="D10" s="12"/>
      <c r="E10" s="12"/>
      <c r="F10" s="515" t="s">
        <v>14</v>
      </c>
      <c r="G10" s="516"/>
      <c r="H10" s="517"/>
      <c r="I10" s="50">
        <f>I11*I12</f>
        <v>10502</v>
      </c>
      <c r="J10" s="224">
        <f>H57</f>
        <v>9830.4833333333336</v>
      </c>
      <c r="K10" s="47">
        <f t="shared" ref="K10:K19" si="4">IF(AND(I10&lt;&gt;"", I10&lt;&gt;0, J10&lt;&gt;""), J10/I10, "")</f>
        <v>0.93605821113438714</v>
      </c>
      <c r="L10" s="222">
        <f>J10</f>
        <v>9830.4833333333336</v>
      </c>
      <c r="M10" s="257">
        <f t="shared" ref="M10:M20" si="5">IF(AND(I10&lt;&gt;"",I10&lt;&gt;0,L10&lt;&gt;"",L10&lt;&gt;0),L10/I10,"")</f>
        <v>0.93605821113438714</v>
      </c>
      <c r="N10" s="49">
        <f t="shared" ref="N10:N20" si="6">IF(AND(J10&lt;&gt;0,J10&lt;&gt;"",I10&lt;&gt;0,I10&lt;&gt;""),L10-I10,"")</f>
        <v>-671.51666666666642</v>
      </c>
      <c r="O10" s="50">
        <f>O11*O12</f>
        <v>0</v>
      </c>
      <c r="P10" s="49" t="str">
        <f t="shared" ref="P10:P20" si="7">IF(AND(O10&lt;&gt;"", O10&lt;&gt;0, L10&lt;&gt;"", L10&lt;&gt;0), -O10+L10, "")</f>
        <v/>
      </c>
      <c r="Q10" s="51" t="str">
        <f t="shared" ref="Q10:Q20" si="8">IF(AND(P10&lt;&gt;"", P10&lt;&gt;0, O10&lt;&gt;0, O10&lt;&gt;""), P10/O10, "")</f>
        <v/>
      </c>
      <c r="R10" s="21"/>
      <c r="S10" s="525" t="s">
        <v>36</v>
      </c>
      <c r="T10" s="525"/>
      <c r="U10" s="12"/>
      <c r="V10" s="525" t="str">
        <f>M23</f>
        <v>Agafi</v>
      </c>
      <c r="W10" s="525"/>
    </row>
    <row r="11" spans="2:24" ht="15.75" customHeight="1">
      <c r="B11" s="217"/>
      <c r="C11" s="12"/>
      <c r="D11" s="12"/>
      <c r="E11" s="12"/>
      <c r="F11" s="518" t="s">
        <v>15</v>
      </c>
      <c r="G11" s="519"/>
      <c r="H11" s="520"/>
      <c r="I11" s="52">
        <f>'Ялта, Ленина, 18'!I11</f>
        <v>5900</v>
      </c>
      <c r="J11" s="254">
        <f>F57</f>
        <v>6080.7113402061859</v>
      </c>
      <c r="K11" s="40">
        <f t="shared" si="4"/>
        <v>1.0306290407129128</v>
      </c>
      <c r="L11" s="255">
        <f>IF(L9&gt;0,L8/L9,"")</f>
        <v>6080.7113402061877</v>
      </c>
      <c r="M11" s="256">
        <f t="shared" si="5"/>
        <v>1.0306290407129133</v>
      </c>
      <c r="N11" s="43">
        <f t="shared" si="6"/>
        <v>180.71134020618774</v>
      </c>
      <c r="O11" s="53"/>
      <c r="P11" s="43" t="str">
        <f t="shared" si="7"/>
        <v/>
      </c>
      <c r="Q11" s="45" t="str">
        <f t="shared" si="8"/>
        <v/>
      </c>
      <c r="R11" s="21"/>
      <c r="S11" s="525"/>
      <c r="T11" s="525"/>
      <c r="U11" s="12"/>
      <c r="V11" s="525"/>
      <c r="W11" s="525"/>
    </row>
    <row r="12" spans="2:24" ht="15.75" customHeight="1">
      <c r="B12" s="217"/>
      <c r="C12" s="12"/>
      <c r="D12" s="12"/>
      <c r="E12" s="12"/>
      <c r="F12" s="518" t="s">
        <v>16</v>
      </c>
      <c r="G12" s="519"/>
      <c r="H12" s="520"/>
      <c r="I12" s="54">
        <f>'Ялта, Ленина, 18'!I12</f>
        <v>1.78</v>
      </c>
      <c r="J12" s="55">
        <f>J57</f>
        <v>1.6166666666666667</v>
      </c>
      <c r="K12" s="40">
        <f t="shared" si="4"/>
        <v>0.90823970037453183</v>
      </c>
      <c r="L12" s="228">
        <f>J12</f>
        <v>1.6166666666666667</v>
      </c>
      <c r="M12" s="258">
        <f t="shared" si="5"/>
        <v>0.90823970037453183</v>
      </c>
      <c r="N12" s="57">
        <f t="shared" si="6"/>
        <v>-0.16333333333333333</v>
      </c>
      <c r="O12" s="58"/>
      <c r="P12" s="43" t="str">
        <f t="shared" si="7"/>
        <v/>
      </c>
      <c r="Q12" s="45" t="str">
        <f t="shared" si="8"/>
        <v/>
      </c>
      <c r="R12" s="21"/>
      <c r="S12" s="59">
        <f>'Ялта, Ленина, 18'!S12*График!AJ28/График!AJ31</f>
        <v>226283.78378378379</v>
      </c>
      <c r="T12" s="60">
        <f>L57</f>
        <v>36809</v>
      </c>
      <c r="U12" s="259">
        <f>S12-T12</f>
        <v>189474.78378378379</v>
      </c>
      <c r="V12" s="59">
        <f>'Ялта, Ленина, 18'!V12/График!AJ31*График!AJ28</f>
        <v>212972.97297297296</v>
      </c>
      <c r="W12" s="60">
        <f>M57</f>
        <v>17480</v>
      </c>
      <c r="X12" s="260">
        <f>V12-W12</f>
        <v>195492.97297297296</v>
      </c>
    </row>
    <row r="13" spans="2:24" ht="15.75" customHeight="1">
      <c r="B13" s="217"/>
      <c r="C13" s="12"/>
      <c r="D13" s="12"/>
      <c r="E13" s="12"/>
      <c r="F13" s="518" t="s">
        <v>17</v>
      </c>
      <c r="G13" s="519"/>
      <c r="H13" s="520"/>
      <c r="I13" s="38">
        <f>IF(I12&lt;&gt;0, I9/I12, "")</f>
        <v>102.49324324324324</v>
      </c>
      <c r="J13" s="254">
        <f>G57</f>
        <v>60</v>
      </c>
      <c r="K13" s="40">
        <f t="shared" si="4"/>
        <v>0.58540444327246355</v>
      </c>
      <c r="L13" s="255">
        <f>IF(SUMIF($G$25:$G$54,"&gt;=0",$R$25:$R$54)&lt;&gt;0,I13*G57/SUMIF($G$25:$G$54,"&gt;=0",$R$25:$R$54),"")</f>
        <v>63.157894736842088</v>
      </c>
      <c r="M13" s="256">
        <f t="shared" si="5"/>
        <v>0.61621520344469838</v>
      </c>
      <c r="N13" s="57">
        <f t="shared" si="6"/>
        <v>-39.335348506401154</v>
      </c>
      <c r="O13" s="61"/>
      <c r="P13" s="43" t="str">
        <f t="shared" si="7"/>
        <v/>
      </c>
      <c r="Q13" s="45" t="str">
        <f t="shared" si="8"/>
        <v/>
      </c>
      <c r="R13" s="21"/>
      <c r="S13" s="62">
        <f>T12/S12</f>
        <v>0.16266742311137652</v>
      </c>
      <c r="T13" s="62">
        <f>S13/J14*I14</f>
        <v>0.1626674231113765</v>
      </c>
      <c r="U13" s="12"/>
      <c r="V13" s="62">
        <f>W12/V12</f>
        <v>8.2076142131979696E-2</v>
      </c>
      <c r="W13" s="62">
        <f>V13/J14*I14</f>
        <v>8.2076142131979696E-2</v>
      </c>
    </row>
    <row r="14" spans="2:24" ht="15.75" customHeight="1">
      <c r="B14" s="217"/>
      <c r="C14" s="12"/>
      <c r="D14" s="12"/>
      <c r="E14" s="12"/>
      <c r="F14" s="518" t="s">
        <v>63</v>
      </c>
      <c r="G14" s="519"/>
      <c r="H14" s="520"/>
      <c r="I14" s="52">
        <f>График!AI28</f>
        <v>20</v>
      </c>
      <c r="J14" s="64">
        <v>20</v>
      </c>
      <c r="K14" s="40">
        <f t="shared" si="4"/>
        <v>1</v>
      </c>
      <c r="L14" s="41">
        <f>I14</f>
        <v>20</v>
      </c>
      <c r="M14" s="258">
        <f t="shared" si="5"/>
        <v>1</v>
      </c>
      <c r="N14" s="43">
        <f t="shared" si="6"/>
        <v>0</v>
      </c>
      <c r="O14" s="61"/>
      <c r="P14" s="43" t="str">
        <f t="shared" si="7"/>
        <v/>
      </c>
      <c r="Q14" s="45" t="str">
        <f t="shared" si="8"/>
        <v/>
      </c>
      <c r="R14" s="21"/>
      <c r="S14" s="65"/>
      <c r="T14" s="6"/>
      <c r="U14" s="12"/>
      <c r="V14" s="12"/>
      <c r="W14" s="12"/>
    </row>
    <row r="15" spans="2:24" ht="15.75" customHeight="1">
      <c r="B15" s="217"/>
      <c r="C15" s="12"/>
      <c r="D15" s="12"/>
      <c r="E15" s="12"/>
      <c r="F15" s="518" t="s">
        <v>19</v>
      </c>
      <c r="G15" s="519"/>
      <c r="H15" s="520"/>
      <c r="I15" s="75">
        <f>'Ялта, Ленина, 18'!I15</f>
        <v>78256.838709677424</v>
      </c>
      <c r="J15" s="254">
        <f>J8/J14</f>
        <v>29491.45</v>
      </c>
      <c r="K15" s="68">
        <f t="shared" si="4"/>
        <v>0.37685460448267533</v>
      </c>
      <c r="L15" s="255">
        <f t="shared" ref="L15:L16" si="9">J15</f>
        <v>29491.45</v>
      </c>
      <c r="M15" s="256">
        <f t="shared" si="5"/>
        <v>0.37685460448267533</v>
      </c>
      <c r="N15" s="43">
        <f t="shared" si="6"/>
        <v>-48765.388709677427</v>
      </c>
      <c r="O15" s="71"/>
      <c r="P15" s="43" t="str">
        <f t="shared" si="7"/>
        <v/>
      </c>
      <c r="Q15" s="45" t="str">
        <f t="shared" si="8"/>
        <v/>
      </c>
      <c r="R15" s="21"/>
      <c r="S15" s="37"/>
      <c r="T15" s="6"/>
      <c r="U15" s="12"/>
      <c r="V15" s="12"/>
      <c r="W15" s="12"/>
    </row>
    <row r="16" spans="2:24" ht="15.75" customHeight="1">
      <c r="B16" s="217"/>
      <c r="C16" s="12"/>
      <c r="D16" s="12"/>
      <c r="E16" s="12"/>
      <c r="F16" s="518" t="s">
        <v>20</v>
      </c>
      <c r="G16" s="519"/>
      <c r="H16" s="520"/>
      <c r="I16" s="75"/>
      <c r="J16" s="39">
        <f>J8-I15*J14</f>
        <v>-975307.7741935486</v>
      </c>
      <c r="K16" s="68" t="str">
        <f t="shared" si="4"/>
        <v/>
      </c>
      <c r="L16" s="222">
        <f t="shared" si="9"/>
        <v>-975307.7741935486</v>
      </c>
      <c r="M16" s="261" t="str">
        <f t="shared" si="5"/>
        <v/>
      </c>
      <c r="N16" s="43" t="str">
        <f t="shared" si="6"/>
        <v/>
      </c>
      <c r="O16" s="71"/>
      <c r="P16" s="43" t="str">
        <f t="shared" si="7"/>
        <v/>
      </c>
      <c r="Q16" s="45" t="str">
        <f t="shared" si="8"/>
        <v/>
      </c>
      <c r="R16" s="21"/>
      <c r="S16" s="525" t="s">
        <v>35</v>
      </c>
      <c r="T16" s="525"/>
      <c r="U16" s="12"/>
      <c r="V16" s="12"/>
      <c r="W16" s="12"/>
    </row>
    <row r="17" spans="1:33" ht="15.75" customHeight="1">
      <c r="B17" s="217"/>
      <c r="C17" s="12"/>
      <c r="D17" s="229"/>
      <c r="E17" s="12"/>
      <c r="F17" s="518" t="s">
        <v>21</v>
      </c>
      <c r="G17" s="519"/>
      <c r="H17" s="520"/>
      <c r="I17" s="75">
        <f>'Ялта, Ленина, 18'!I17/График!AJ31*График!AJ28</f>
        <v>931.75675675675677</v>
      </c>
      <c r="J17" s="254">
        <f>I57</f>
        <v>507</v>
      </c>
      <c r="K17" s="68">
        <f t="shared" si="4"/>
        <v>0.54413343002175485</v>
      </c>
      <c r="L17" s="255">
        <f>J17/J14*I14</f>
        <v>507</v>
      </c>
      <c r="M17" s="262">
        <f t="shared" si="5"/>
        <v>0.54413343002175485</v>
      </c>
      <c r="N17" s="43">
        <f t="shared" si="6"/>
        <v>-424.75675675675677</v>
      </c>
      <c r="O17" s="71"/>
      <c r="P17" s="43" t="str">
        <f t="shared" si="7"/>
        <v/>
      </c>
      <c r="Q17" s="45" t="str">
        <f t="shared" si="8"/>
        <v/>
      </c>
      <c r="R17" s="21"/>
      <c r="S17" s="525"/>
      <c r="T17" s="525"/>
      <c r="U17" s="12"/>
      <c r="V17" s="12"/>
      <c r="W17" s="12"/>
    </row>
    <row r="18" spans="1:33" ht="15.75" customHeight="1">
      <c r="B18" s="217"/>
      <c r="C18" s="12"/>
      <c r="D18" s="12"/>
      <c r="E18" s="12"/>
      <c r="F18" s="518"/>
      <c r="G18" s="519"/>
      <c r="H18" s="520"/>
      <c r="I18" s="76"/>
      <c r="J18" s="39"/>
      <c r="K18" s="68" t="str">
        <f t="shared" si="4"/>
        <v/>
      </c>
      <c r="L18" s="222">
        <f t="shared" ref="L18:L19" si="10">J18</f>
        <v>0</v>
      </c>
      <c r="M18" s="261" t="str">
        <f t="shared" si="5"/>
        <v/>
      </c>
      <c r="N18" s="43" t="str">
        <f t="shared" si="6"/>
        <v/>
      </c>
      <c r="O18" s="79">
        <v>0</v>
      </c>
      <c r="P18" s="43" t="str">
        <f t="shared" si="7"/>
        <v/>
      </c>
      <c r="Q18" s="45" t="str">
        <f t="shared" si="8"/>
        <v/>
      </c>
      <c r="R18" s="21"/>
      <c r="S18" s="59">
        <f>'Ялта, Ленина, 18'!S18*График!AJ28/График!AJ31</f>
        <v>452567.56756756757</v>
      </c>
      <c r="T18" s="60">
        <f>K57</f>
        <v>86446</v>
      </c>
      <c r="U18" s="12"/>
      <c r="V18" s="12"/>
      <c r="W18" s="12"/>
    </row>
    <row r="19" spans="1:33" ht="15.75" customHeight="1">
      <c r="B19" s="217"/>
      <c r="C19" s="12"/>
      <c r="D19" s="12"/>
      <c r="E19" s="12"/>
      <c r="F19" s="518"/>
      <c r="G19" s="519"/>
      <c r="H19" s="520"/>
      <c r="I19" s="76"/>
      <c r="J19" s="254"/>
      <c r="K19" s="68" t="str">
        <f t="shared" si="4"/>
        <v/>
      </c>
      <c r="L19" s="255">
        <f t="shared" si="10"/>
        <v>0</v>
      </c>
      <c r="M19" s="262" t="str">
        <f t="shared" si="5"/>
        <v/>
      </c>
      <c r="N19" s="43" t="str">
        <f t="shared" si="6"/>
        <v/>
      </c>
      <c r="O19" s="71">
        <v>0</v>
      </c>
      <c r="P19" s="43" t="str">
        <f t="shared" si="7"/>
        <v/>
      </c>
      <c r="Q19" s="45" t="str">
        <f t="shared" si="8"/>
        <v/>
      </c>
      <c r="R19" s="21"/>
      <c r="S19" s="62">
        <f>T18/S18</f>
        <v>0.19101236189907433</v>
      </c>
      <c r="T19" s="62">
        <f>S19/J14*I14</f>
        <v>0.19101236189907433</v>
      </c>
      <c r="U19" s="12"/>
      <c r="V19" s="12"/>
      <c r="W19" s="12"/>
    </row>
    <row r="20" spans="1:33" ht="15.75" customHeight="1">
      <c r="B20" s="217"/>
      <c r="C20" s="12"/>
      <c r="D20" s="12"/>
      <c r="E20" s="12"/>
      <c r="F20" s="526" t="s">
        <v>22</v>
      </c>
      <c r="G20" s="526"/>
      <c r="H20" s="526"/>
      <c r="I20" s="232">
        <f>'Ялта, Ленина, 18'!I20</f>
        <v>0.11</v>
      </c>
      <c r="J20" s="233">
        <f>N57</f>
        <v>0.11834319526627218</v>
      </c>
      <c r="K20" s="234">
        <f>J20/I20</f>
        <v>1.0758472296933834</v>
      </c>
      <c r="L20" s="235">
        <f>IF(AND(K8&lt;&gt;0,I14&lt;&gt;0,I57&lt;&gt;0),(I57*N57+(I57/K8-I57)*I20)/(I57/K8),0)</f>
        <v>0.11457184270238603</v>
      </c>
      <c r="M20" s="235">
        <f t="shared" si="5"/>
        <v>1.0415622063853276</v>
      </c>
      <c r="N20" s="84">
        <f t="shared" si="6"/>
        <v>4.5718427023860309E-3</v>
      </c>
      <c r="O20" s="85"/>
      <c r="P20" s="86" t="str">
        <f t="shared" si="7"/>
        <v/>
      </c>
      <c r="Q20" s="87" t="str">
        <f t="shared" si="8"/>
        <v/>
      </c>
      <c r="R20" s="21"/>
      <c r="S20" s="21"/>
      <c r="T20" s="12"/>
      <c r="U20" s="12"/>
      <c r="V20" s="12"/>
      <c r="W20" s="12"/>
    </row>
    <row r="21" spans="1:33" ht="15.75" customHeight="1">
      <c r="B21" s="217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21"/>
      <c r="S21" s="21"/>
      <c r="T21" s="12"/>
      <c r="U21" s="12"/>
      <c r="V21" s="12"/>
      <c r="W21" s="12"/>
    </row>
    <row r="22" spans="1:33" ht="16.5" customHeight="1">
      <c r="B22" s="602" t="s">
        <v>23</v>
      </c>
      <c r="C22" s="602"/>
      <c r="D22" s="602"/>
      <c r="E22" s="602"/>
      <c r="F22" s="602"/>
      <c r="G22" s="602"/>
      <c r="H22" s="602"/>
      <c r="I22" s="602"/>
      <c r="J22" s="602"/>
      <c r="K22" s="602"/>
      <c r="L22" s="602"/>
      <c r="M22" s="602"/>
      <c r="N22" s="602"/>
      <c r="O22" s="603" t="s">
        <v>24</v>
      </c>
      <c r="P22" s="602" t="s">
        <v>25</v>
      </c>
      <c r="Q22" s="602"/>
      <c r="R22" s="602"/>
      <c r="S22" s="602"/>
      <c r="T22" s="602"/>
      <c r="U22" s="602"/>
      <c r="V22" s="602"/>
      <c r="W22" s="602"/>
    </row>
    <row r="23" spans="1:33" ht="36">
      <c r="B23" s="236" t="s">
        <v>27</v>
      </c>
      <c r="C23" s="236" t="s">
        <v>28</v>
      </c>
      <c r="D23" s="236" t="s">
        <v>29</v>
      </c>
      <c r="E23" s="236" t="s">
        <v>30</v>
      </c>
      <c r="F23" s="236" t="s">
        <v>31</v>
      </c>
      <c r="G23" s="236" t="s">
        <v>32</v>
      </c>
      <c r="H23" s="236" t="s">
        <v>33</v>
      </c>
      <c r="I23" s="236" t="s">
        <v>21</v>
      </c>
      <c r="J23" s="236" t="s">
        <v>34</v>
      </c>
      <c r="K23" s="90" t="s">
        <v>35</v>
      </c>
      <c r="L23" s="90" t="s">
        <v>36</v>
      </c>
      <c r="M23" s="90" t="s">
        <v>37</v>
      </c>
      <c r="N23" s="236" t="s">
        <v>38</v>
      </c>
      <c r="O23" s="603"/>
      <c r="P23" s="236" t="s">
        <v>39</v>
      </c>
      <c r="Q23" s="236" t="s">
        <v>40</v>
      </c>
      <c r="R23" s="236" t="s">
        <v>41</v>
      </c>
      <c r="S23" s="236" t="s">
        <v>42</v>
      </c>
      <c r="T23" s="236" t="s">
        <v>43</v>
      </c>
      <c r="U23" s="236" t="s">
        <v>44</v>
      </c>
      <c r="V23" s="237" t="s">
        <v>45</v>
      </c>
      <c r="W23" s="237" t="s">
        <v>46</v>
      </c>
      <c r="X23" s="142"/>
    </row>
    <row r="24" spans="1:33">
      <c r="B24" s="238">
        <v>1</v>
      </c>
      <c r="C24" s="238">
        <v>2</v>
      </c>
      <c r="D24" s="238">
        <v>3</v>
      </c>
      <c r="E24" s="238" t="s">
        <v>67</v>
      </c>
      <c r="F24" s="238">
        <v>5</v>
      </c>
      <c r="G24" s="238">
        <v>6</v>
      </c>
      <c r="H24" s="238">
        <v>7</v>
      </c>
      <c r="I24" s="238">
        <v>8</v>
      </c>
      <c r="J24" s="238">
        <v>9</v>
      </c>
      <c r="K24" s="238">
        <v>10</v>
      </c>
      <c r="L24" s="238">
        <v>11</v>
      </c>
      <c r="M24" s="238">
        <v>12</v>
      </c>
      <c r="N24" s="238">
        <v>13</v>
      </c>
      <c r="O24" s="603"/>
      <c r="P24" s="240">
        <v>1</v>
      </c>
      <c r="Q24" s="240">
        <v>2</v>
      </c>
      <c r="R24" s="240">
        <v>3</v>
      </c>
      <c r="S24" s="240">
        <v>4</v>
      </c>
      <c r="T24" s="240">
        <v>5</v>
      </c>
      <c r="U24" s="240">
        <v>6</v>
      </c>
      <c r="V24" s="240">
        <v>10</v>
      </c>
      <c r="W24" s="240">
        <v>11</v>
      </c>
    </row>
    <row r="25" spans="1:33">
      <c r="A25" s="95">
        <v>1</v>
      </c>
      <c r="B25" s="96">
        <v>45931</v>
      </c>
      <c r="C25" s="97" t="s">
        <v>48</v>
      </c>
      <c r="D25" s="98">
        <f>30606+35078</f>
        <v>65684</v>
      </c>
      <c r="E25" s="99">
        <v>9</v>
      </c>
      <c r="F25" s="99">
        <f t="shared" ref="F25:F57" si="11">IF(AND(E25&lt;&gt;"",E25&lt;&gt;0),D25/E25,"")</f>
        <v>7298.2222222222226</v>
      </c>
      <c r="G25" s="99">
        <v>5</v>
      </c>
      <c r="H25" s="99">
        <f t="shared" ref="H25:H57" si="12">IF(AND(G25&lt;&gt;"",G25&lt;&gt;0),D25/G25,"")</f>
        <v>13136.8</v>
      </c>
      <c r="I25" s="99">
        <v>50</v>
      </c>
      <c r="J25" s="98">
        <f t="shared" ref="J25:J57" si="13">IF(AND(G25&lt;&gt;"",G25&lt;&gt;0),E25/G25,"")</f>
        <v>1.8</v>
      </c>
      <c r="K25" s="99"/>
      <c r="L25" s="99">
        <v>30606</v>
      </c>
      <c r="M25" s="99"/>
      <c r="N25" s="100">
        <f t="shared" ref="N25:N57" si="14">IF(AND(I25&lt;&gt;"",I25&lt;&gt;0),G25/I25,"")</f>
        <v>0.1</v>
      </c>
      <c r="O25" s="101">
        <f t="shared" ref="O25:O57" si="15">D25/P25</f>
        <v>1.2204565940426744</v>
      </c>
      <c r="P25" s="246">
        <f t="shared" ref="P25:P56" si="16">$I$8*V25*W25/SUMPRODUCT($W$25:$W$56,$V$25:$V$56)</f>
        <v>53819.20202702703</v>
      </c>
      <c r="Q25" s="103">
        <f>$I$9*V25*W25/SUMPRODUCT($W$25:$W$56,$V$25:$V$56)</f>
        <v>9.1218986486486493</v>
      </c>
      <c r="R25" s="245">
        <f t="shared" ref="R25:R56" si="17">IF($I$12="","",Q25/$I$12)</f>
        <v>5.1246621621621626</v>
      </c>
      <c r="S25" s="102">
        <f>IF(D25&lt;&gt;"",D25,P25)</f>
        <v>65684</v>
      </c>
      <c r="T25" s="103">
        <f>IF(E25&lt;&gt;"",E25,Q25)</f>
        <v>9</v>
      </c>
      <c r="U25" s="103">
        <f>IF(G25&lt;&gt;"",G25,R25)</f>
        <v>5</v>
      </c>
      <c r="V25" s="249">
        <v>1</v>
      </c>
      <c r="W25" s="104">
        <v>1</v>
      </c>
      <c r="X25" s="105"/>
      <c r="Y25" s="106"/>
    </row>
    <row r="26" spans="1:33">
      <c r="A26" s="95">
        <v>2</v>
      </c>
      <c r="B26" s="96">
        <v>45932</v>
      </c>
      <c r="C26" s="97" t="s">
        <v>50</v>
      </c>
      <c r="D26" s="98">
        <v>44453</v>
      </c>
      <c r="E26" s="99">
        <v>7</v>
      </c>
      <c r="F26" s="99">
        <f t="shared" si="11"/>
        <v>6350.4285714285716</v>
      </c>
      <c r="G26" s="99">
        <v>6</v>
      </c>
      <c r="H26" s="99">
        <f t="shared" si="12"/>
        <v>7408.833333333333</v>
      </c>
      <c r="I26" s="99">
        <v>25</v>
      </c>
      <c r="J26" s="98">
        <f t="shared" si="13"/>
        <v>1.1666666666666667</v>
      </c>
      <c r="K26" s="99">
        <v>14992</v>
      </c>
      <c r="L26" s="99">
        <v>6203</v>
      </c>
      <c r="M26" s="99"/>
      <c r="N26" s="100">
        <f t="shared" si="14"/>
        <v>0.24</v>
      </c>
      <c r="O26" s="101">
        <f t="shared" si="15"/>
        <v>0.82596913974451924</v>
      </c>
      <c r="P26" s="102">
        <f t="shared" si="16"/>
        <v>53819.20202702703</v>
      </c>
      <c r="Q26" s="245">
        <f t="shared" ref="Q26:Q56" si="18">$I$9*V26*W26/SUMPRODUCT($W$25:$W$58,$V$25:$V$58)</f>
        <v>9.1218986486486493</v>
      </c>
      <c r="R26" s="103">
        <f t="shared" si="17"/>
        <v>5.1246621621621626</v>
      </c>
      <c r="S26" s="246">
        <f>IF(W26&lt;&gt;"",IF(D26&lt;&gt;"",D26,($I$8-SUM($S$25:S25))*V26*W26/SUMPRODUCT($W26:$W$56,$V26:$V$56)),"")</f>
        <v>44453</v>
      </c>
      <c r="T26" s="103">
        <f t="shared" ref="T26:T27" si="19">IF(W26&lt;&gt;"",IF(E26&lt;&gt;"",E26,($I$9-SUM($T$25:T25))*V26*W26/SUMPRODUCT($W26:$W$55,$V26:$V$55)),"")</f>
        <v>7</v>
      </c>
      <c r="U26" s="103">
        <f t="shared" ref="U26:U27" si="20">IF(W26&lt;&gt;"",IF($I$12&lt;&gt;"",IF(G26&lt;&gt;"",G26,($I$9/$I$12-SUM($U$25:U25))*V26*W26/SUMPRODUCT($W26:$W$55,$V26:$V$55)),""),"")</f>
        <v>6</v>
      </c>
      <c r="V26" s="104">
        <v>1</v>
      </c>
      <c r="W26" s="104">
        <v>1</v>
      </c>
      <c r="X26" s="107"/>
      <c r="Y26" s="106"/>
    </row>
    <row r="27" spans="1:33">
      <c r="A27" s="95">
        <v>3</v>
      </c>
      <c r="B27" s="96">
        <v>45933</v>
      </c>
      <c r="C27" s="97" t="s">
        <v>51</v>
      </c>
      <c r="D27" s="98">
        <v>31311</v>
      </c>
      <c r="E27" s="99">
        <v>6</v>
      </c>
      <c r="F27" s="99">
        <f t="shared" si="11"/>
        <v>5218.5</v>
      </c>
      <c r="G27" s="99">
        <v>5</v>
      </c>
      <c r="H27" s="99">
        <f t="shared" si="12"/>
        <v>6262.2</v>
      </c>
      <c r="I27" s="99">
        <v>30</v>
      </c>
      <c r="J27" s="98">
        <f t="shared" si="13"/>
        <v>1.2</v>
      </c>
      <c r="K27" s="99"/>
      <c r="L27" s="99"/>
      <c r="M27" s="99"/>
      <c r="N27" s="100">
        <f t="shared" si="14"/>
        <v>0.16666666666666666</v>
      </c>
      <c r="O27" s="101">
        <f t="shared" si="15"/>
        <v>0.58178120114594378</v>
      </c>
      <c r="P27" s="246">
        <f t="shared" si="16"/>
        <v>53819.20202702703</v>
      </c>
      <c r="Q27" s="103">
        <f t="shared" si="18"/>
        <v>9.1218986486486493</v>
      </c>
      <c r="R27" s="245">
        <f t="shared" si="17"/>
        <v>5.1246621621621626</v>
      </c>
      <c r="S27" s="102">
        <f t="shared" ref="S27:S53" si="21">IF(W27&lt;&gt;"",IF(D27&lt;&gt;"",D27,($I$8-SUM($S$25:S26))*V27*W27/SUMPRODUCT($W27:$W$58,$V27:$V$58)),"")</f>
        <v>31311</v>
      </c>
      <c r="T27" s="103">
        <f t="shared" si="19"/>
        <v>6</v>
      </c>
      <c r="U27" s="103">
        <f t="shared" si="20"/>
        <v>5</v>
      </c>
      <c r="V27" s="249">
        <v>1</v>
      </c>
      <c r="W27" s="104">
        <v>1</v>
      </c>
      <c r="X27" s="107"/>
      <c r="Y27" s="106"/>
      <c r="Z27" s="129"/>
      <c r="AA27" s="2"/>
      <c r="AB27" s="2"/>
      <c r="AC27" s="2"/>
      <c r="AD27" s="2"/>
      <c r="AE27" s="2"/>
      <c r="AF27" s="2"/>
      <c r="AG27" s="2"/>
    </row>
    <row r="28" spans="1:33">
      <c r="A28" s="95">
        <v>4</v>
      </c>
      <c r="B28" s="96">
        <v>45935</v>
      </c>
      <c r="C28" s="133" t="s">
        <v>54</v>
      </c>
      <c r="D28" s="98">
        <v>56708</v>
      </c>
      <c r="E28" s="243">
        <v>11</v>
      </c>
      <c r="F28" s="99">
        <f t="shared" si="11"/>
        <v>5155.272727272727</v>
      </c>
      <c r="G28" s="243">
        <v>8</v>
      </c>
      <c r="H28" s="99">
        <f t="shared" si="12"/>
        <v>7088.5</v>
      </c>
      <c r="I28" s="243">
        <v>35</v>
      </c>
      <c r="J28" s="98">
        <f t="shared" si="13"/>
        <v>1.375</v>
      </c>
      <c r="K28" s="243"/>
      <c r="L28" s="99"/>
      <c r="M28" s="243"/>
      <c r="N28" s="100">
        <f t="shared" si="14"/>
        <v>0.22857142857142856</v>
      </c>
      <c r="O28" s="244">
        <f t="shared" si="15"/>
        <v>1.0536759718496433</v>
      </c>
      <c r="P28" s="102">
        <f t="shared" si="16"/>
        <v>53819.20202702703</v>
      </c>
      <c r="Q28" s="245">
        <f t="shared" si="18"/>
        <v>9.1218986486486493</v>
      </c>
      <c r="R28" s="103">
        <f t="shared" si="17"/>
        <v>5.1246621621621626</v>
      </c>
      <c r="S28" s="246">
        <f t="shared" si="21"/>
        <v>56708</v>
      </c>
      <c r="T28" s="103">
        <f t="shared" ref="T28:T34" si="22">IF(W28&lt;&gt;"",IF(E28&lt;&gt;"",E28,($I$9-SUM($T$25:T27))*V28*W28/SUMPRODUCT($W28:$W$58,$V28:$V$58)),"")</f>
        <v>11</v>
      </c>
      <c r="U28" s="245">
        <f t="shared" ref="U28:U53" si="23">IF(W28&lt;&gt;"",IF($I$12&lt;&gt;"",IF(G28&lt;&gt;"",G28,($I$9/$I$12-SUM($U$25:U27))*V28*W28/SUMPRODUCT($W28:$W$58,$V28:$V$58)),""),"")</f>
        <v>8</v>
      </c>
      <c r="V28" s="104">
        <v>1</v>
      </c>
      <c r="W28" s="104">
        <v>1</v>
      </c>
      <c r="X28" s="107"/>
      <c r="Y28" s="106"/>
      <c r="Z28" s="2"/>
      <c r="AA28" s="2"/>
      <c r="AB28" s="2"/>
      <c r="AC28" s="2"/>
      <c r="AD28" s="2"/>
      <c r="AE28" s="2"/>
      <c r="AF28" s="2"/>
      <c r="AG28" s="2"/>
    </row>
    <row r="29" spans="1:33">
      <c r="A29" s="95">
        <v>5</v>
      </c>
      <c r="B29" s="96">
        <v>45936</v>
      </c>
      <c r="C29" s="97" t="s">
        <v>55</v>
      </c>
      <c r="D29" s="248">
        <f>10490+22349</f>
        <v>32839</v>
      </c>
      <c r="E29" s="99">
        <v>5</v>
      </c>
      <c r="F29" s="99">
        <f t="shared" si="11"/>
        <v>6567.8</v>
      </c>
      <c r="G29" s="99">
        <v>4</v>
      </c>
      <c r="H29" s="243">
        <f t="shared" si="12"/>
        <v>8209.75</v>
      </c>
      <c r="I29" s="99">
        <v>25</v>
      </c>
      <c r="J29" s="248">
        <f t="shared" si="13"/>
        <v>1.25</v>
      </c>
      <c r="K29" s="99">
        <v>10490</v>
      </c>
      <c r="L29" s="243"/>
      <c r="M29" s="99"/>
      <c r="N29" s="247">
        <f t="shared" si="14"/>
        <v>0.16</v>
      </c>
      <c r="O29" s="101">
        <f t="shared" si="15"/>
        <v>0.61017255483477528</v>
      </c>
      <c r="P29" s="246">
        <f t="shared" si="16"/>
        <v>53819.20202702703</v>
      </c>
      <c r="Q29" s="103">
        <f t="shared" si="18"/>
        <v>9.1218986486486493</v>
      </c>
      <c r="R29" s="245">
        <f t="shared" si="17"/>
        <v>5.1246621621621626</v>
      </c>
      <c r="S29" s="102">
        <f t="shared" si="21"/>
        <v>32839</v>
      </c>
      <c r="T29" s="245">
        <f t="shared" si="22"/>
        <v>5</v>
      </c>
      <c r="U29" s="103">
        <f t="shared" si="23"/>
        <v>4</v>
      </c>
      <c r="V29" s="249">
        <v>1</v>
      </c>
      <c r="W29" s="104">
        <v>1</v>
      </c>
      <c r="X29" s="107"/>
      <c r="Y29" s="106"/>
      <c r="Z29" s="2"/>
      <c r="AA29" s="2"/>
      <c r="AB29" s="2"/>
      <c r="AC29" s="2"/>
      <c r="AD29" s="2"/>
      <c r="AE29" s="2"/>
      <c r="AF29" s="2"/>
      <c r="AG29" s="2"/>
    </row>
    <row r="30" spans="1:33">
      <c r="A30" s="95">
        <v>6</v>
      </c>
      <c r="B30" s="96">
        <v>45938</v>
      </c>
      <c r="C30" s="133" t="s">
        <v>48</v>
      </c>
      <c r="D30" s="98">
        <v>31267</v>
      </c>
      <c r="E30" s="99">
        <v>4</v>
      </c>
      <c r="F30" s="243">
        <f t="shared" si="11"/>
        <v>7816.75</v>
      </c>
      <c r="G30" s="99">
        <v>3</v>
      </c>
      <c r="H30" s="99">
        <f t="shared" si="12"/>
        <v>10422.333333333334</v>
      </c>
      <c r="I30" s="243">
        <v>20</v>
      </c>
      <c r="J30" s="98">
        <f t="shared" si="13"/>
        <v>1.3333333333333333</v>
      </c>
      <c r="K30" s="243"/>
      <c r="L30" s="99"/>
      <c r="M30" s="243"/>
      <c r="N30" s="100">
        <f t="shared" si="14"/>
        <v>0.15</v>
      </c>
      <c r="O30" s="244">
        <f t="shared" si="15"/>
        <v>0.5809636490763701</v>
      </c>
      <c r="P30" s="102">
        <f t="shared" si="16"/>
        <v>53819.20202702703</v>
      </c>
      <c r="Q30" s="245">
        <f t="shared" si="18"/>
        <v>9.1218986486486493</v>
      </c>
      <c r="R30" s="103">
        <f t="shared" si="17"/>
        <v>5.1246621621621626</v>
      </c>
      <c r="S30" s="246">
        <f t="shared" si="21"/>
        <v>31267</v>
      </c>
      <c r="T30" s="103">
        <f t="shared" si="22"/>
        <v>4</v>
      </c>
      <c r="U30" s="245">
        <f t="shared" si="23"/>
        <v>3</v>
      </c>
      <c r="V30" s="104">
        <v>1</v>
      </c>
      <c r="W30" s="104">
        <v>1</v>
      </c>
      <c r="X30" s="107"/>
      <c r="Y30" s="106"/>
      <c r="Z30" s="2"/>
      <c r="AA30" s="2"/>
      <c r="AB30" s="2"/>
      <c r="AC30" s="2"/>
      <c r="AD30" s="2"/>
      <c r="AE30" s="2"/>
      <c r="AF30" s="2"/>
      <c r="AG30" s="2"/>
    </row>
    <row r="31" spans="1:33">
      <c r="A31" s="95">
        <v>7</v>
      </c>
      <c r="B31" s="96">
        <v>45939</v>
      </c>
      <c r="C31" s="97" t="s">
        <v>50</v>
      </c>
      <c r="D31" s="248">
        <v>22026</v>
      </c>
      <c r="E31" s="99">
        <v>3</v>
      </c>
      <c r="F31" s="99">
        <f t="shared" si="11"/>
        <v>7342</v>
      </c>
      <c r="G31" s="243">
        <v>3</v>
      </c>
      <c r="H31" s="99">
        <f t="shared" si="12"/>
        <v>7342</v>
      </c>
      <c r="I31" s="99">
        <v>20</v>
      </c>
      <c r="J31" s="248">
        <f t="shared" si="13"/>
        <v>1</v>
      </c>
      <c r="K31" s="99">
        <v>13492</v>
      </c>
      <c r="L31" s="243"/>
      <c r="M31" s="99"/>
      <c r="N31" s="247">
        <f t="shared" si="14"/>
        <v>0.15</v>
      </c>
      <c r="O31" s="101">
        <f t="shared" si="15"/>
        <v>0.40925913373704315</v>
      </c>
      <c r="P31" s="246">
        <f t="shared" si="16"/>
        <v>53819.20202702703</v>
      </c>
      <c r="Q31" s="103">
        <f t="shared" si="18"/>
        <v>9.1218986486486493</v>
      </c>
      <c r="R31" s="245">
        <f t="shared" si="17"/>
        <v>5.1246621621621626</v>
      </c>
      <c r="S31" s="102">
        <f t="shared" si="21"/>
        <v>22026</v>
      </c>
      <c r="T31" s="245">
        <f t="shared" si="22"/>
        <v>3</v>
      </c>
      <c r="U31" s="103">
        <f t="shared" si="23"/>
        <v>3</v>
      </c>
      <c r="V31" s="249">
        <v>1</v>
      </c>
      <c r="W31" s="104">
        <v>1</v>
      </c>
      <c r="X31" s="107"/>
      <c r="Y31" s="106"/>
      <c r="AE31" s="2"/>
      <c r="AF31" s="2"/>
      <c r="AG31" s="2"/>
    </row>
    <row r="32" spans="1:33">
      <c r="A32" s="95">
        <v>8</v>
      </c>
      <c r="B32" s="96">
        <v>45940</v>
      </c>
      <c r="C32" s="133" t="s">
        <v>51</v>
      </c>
      <c r="D32" s="98">
        <v>21466</v>
      </c>
      <c r="E32" s="243">
        <v>4</v>
      </c>
      <c r="F32" s="99">
        <f t="shared" si="11"/>
        <v>5366.5</v>
      </c>
      <c r="G32" s="99">
        <v>2</v>
      </c>
      <c r="H32" s="243">
        <f t="shared" si="12"/>
        <v>10733</v>
      </c>
      <c r="I32" s="99">
        <v>14</v>
      </c>
      <c r="J32" s="98">
        <f t="shared" si="13"/>
        <v>2</v>
      </c>
      <c r="K32" s="99"/>
      <c r="L32" s="99"/>
      <c r="M32" s="243"/>
      <c r="N32" s="100">
        <f t="shared" si="14"/>
        <v>0.14285714285714285</v>
      </c>
      <c r="O32" s="244">
        <f t="shared" si="15"/>
        <v>0.3988539255788327</v>
      </c>
      <c r="P32" s="102">
        <f t="shared" si="16"/>
        <v>53819.20202702703</v>
      </c>
      <c r="Q32" s="245">
        <f t="shared" si="18"/>
        <v>9.1218986486486493</v>
      </c>
      <c r="R32" s="103">
        <f t="shared" si="17"/>
        <v>5.1246621621621626</v>
      </c>
      <c r="S32" s="246">
        <f t="shared" si="21"/>
        <v>21466</v>
      </c>
      <c r="T32" s="103">
        <f t="shared" si="22"/>
        <v>4</v>
      </c>
      <c r="U32" s="245">
        <f t="shared" si="23"/>
        <v>2</v>
      </c>
      <c r="V32" s="104">
        <v>1</v>
      </c>
      <c r="W32" s="104">
        <v>1</v>
      </c>
      <c r="X32" s="107"/>
      <c r="Y32" s="106"/>
      <c r="AE32" s="2"/>
      <c r="AF32" s="2"/>
      <c r="AG32" s="2"/>
    </row>
    <row r="33" spans="1:255">
      <c r="A33" s="95">
        <v>9</v>
      </c>
      <c r="B33" s="96">
        <v>45943</v>
      </c>
      <c r="C33" s="97" t="s">
        <v>55</v>
      </c>
      <c r="D33" s="248"/>
      <c r="E33" s="99"/>
      <c r="F33" s="243" t="str">
        <f t="shared" si="11"/>
        <v/>
      </c>
      <c r="G33" s="99"/>
      <c r="H33" s="99" t="str">
        <f t="shared" si="12"/>
        <v/>
      </c>
      <c r="I33" s="243">
        <v>25</v>
      </c>
      <c r="J33" s="98" t="str">
        <f t="shared" si="13"/>
        <v/>
      </c>
      <c r="K33" s="99"/>
      <c r="L33" s="243"/>
      <c r="M33" s="99"/>
      <c r="N33" s="247">
        <f t="shared" si="14"/>
        <v>0</v>
      </c>
      <c r="O33" s="101">
        <f t="shared" si="15"/>
        <v>0</v>
      </c>
      <c r="P33" s="246">
        <f t="shared" si="16"/>
        <v>53819.20202702703</v>
      </c>
      <c r="Q33" s="103">
        <f t="shared" si="18"/>
        <v>9.1218986486486493</v>
      </c>
      <c r="R33" s="245">
        <f t="shared" si="17"/>
        <v>5.1246621621621626</v>
      </c>
      <c r="S33" s="102">
        <f t="shared" si="21"/>
        <v>64219.170045045052</v>
      </c>
      <c r="T33" s="245">
        <f t="shared" si="22"/>
        <v>11.119831081081081</v>
      </c>
      <c r="U33" s="103">
        <f t="shared" si="23"/>
        <v>5.5411036036036032</v>
      </c>
      <c r="V33" s="249">
        <v>1</v>
      </c>
      <c r="W33" s="104">
        <v>1</v>
      </c>
      <c r="X33" s="107"/>
      <c r="Y33" s="106"/>
      <c r="Z33" s="2"/>
      <c r="AA33" s="2"/>
      <c r="AB33" s="2"/>
      <c r="AC33" s="2"/>
      <c r="AD33" s="2"/>
      <c r="AE33" s="2"/>
      <c r="AF33" s="2"/>
      <c r="AG33" s="2"/>
    </row>
    <row r="34" spans="1:255" s="263" customFormat="1">
      <c r="A34" s="95">
        <v>10</v>
      </c>
      <c r="B34" s="96">
        <v>45944</v>
      </c>
      <c r="C34" s="133" t="s">
        <v>56</v>
      </c>
      <c r="D34" s="98">
        <v>4271</v>
      </c>
      <c r="E34" s="264">
        <v>1</v>
      </c>
      <c r="F34" s="99">
        <f t="shared" si="11"/>
        <v>4271</v>
      </c>
      <c r="G34" s="243">
        <v>1</v>
      </c>
      <c r="H34" s="99">
        <f t="shared" si="12"/>
        <v>4271</v>
      </c>
      <c r="I34" s="99">
        <v>15</v>
      </c>
      <c r="J34" s="248">
        <f t="shared" si="13"/>
        <v>1</v>
      </c>
      <c r="K34" s="99"/>
      <c r="L34" s="99"/>
      <c r="M34" s="243"/>
      <c r="N34" s="100">
        <f t="shared" si="14"/>
        <v>6.6666666666666666E-2</v>
      </c>
      <c r="O34" s="244">
        <f t="shared" si="15"/>
        <v>7.9358292935208907E-2</v>
      </c>
      <c r="P34" s="102">
        <f t="shared" si="16"/>
        <v>53819.20202702703</v>
      </c>
      <c r="Q34" s="245">
        <f t="shared" si="18"/>
        <v>9.1218986486486493</v>
      </c>
      <c r="R34" s="103">
        <f t="shared" si="17"/>
        <v>5.1246621621621626</v>
      </c>
      <c r="S34" s="246">
        <f t="shared" si="21"/>
        <v>4271</v>
      </c>
      <c r="T34" s="103">
        <f t="shared" si="22"/>
        <v>1</v>
      </c>
      <c r="U34" s="245">
        <f t="shared" si="23"/>
        <v>1</v>
      </c>
      <c r="V34" s="104">
        <v>1</v>
      </c>
      <c r="W34" s="104">
        <v>1</v>
      </c>
      <c r="X34" s="107"/>
      <c r="Y34" s="106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>
      <c r="A35" s="95">
        <v>11</v>
      </c>
      <c r="B35" s="96">
        <v>45947</v>
      </c>
      <c r="C35" s="97" t="s">
        <v>51</v>
      </c>
      <c r="D35" s="98">
        <v>38825</v>
      </c>
      <c r="E35" s="97">
        <v>7</v>
      </c>
      <c r="F35" s="99">
        <f t="shared" si="11"/>
        <v>5546.4285714285716</v>
      </c>
      <c r="G35" s="99">
        <v>5</v>
      </c>
      <c r="H35" s="99">
        <f t="shared" si="12"/>
        <v>7765</v>
      </c>
      <c r="I35" s="99">
        <v>30</v>
      </c>
      <c r="J35" s="98">
        <f t="shared" si="13"/>
        <v>1.4</v>
      </c>
      <c r="K35" s="243"/>
      <c r="L35" s="99"/>
      <c r="M35" s="99"/>
      <c r="N35" s="247">
        <f t="shared" si="14"/>
        <v>0.16666666666666666</v>
      </c>
      <c r="O35" s="101">
        <f t="shared" si="15"/>
        <v>0.72139679775450383</v>
      </c>
      <c r="P35" s="246">
        <f t="shared" si="16"/>
        <v>53819.20202702703</v>
      </c>
      <c r="Q35" s="103">
        <f t="shared" si="18"/>
        <v>9.1218986486486493</v>
      </c>
      <c r="R35" s="245">
        <f t="shared" si="17"/>
        <v>5.1246621621621626</v>
      </c>
      <c r="S35" s="102">
        <f t="shared" si="21"/>
        <v>38825</v>
      </c>
      <c r="T35" s="245">
        <f t="shared" ref="T35:T36" si="24">IF(W35&lt;&gt;"",IF(E34&lt;&gt;"",E34,($I$9-SUM($T$25:T34))*V35*W35/SUMPRODUCT($W35:$W$58,$V35:$V$58)),"")</f>
        <v>1</v>
      </c>
      <c r="U35" s="103">
        <f t="shared" si="23"/>
        <v>5</v>
      </c>
      <c r="V35" s="249">
        <v>1</v>
      </c>
      <c r="W35" s="104">
        <v>1</v>
      </c>
      <c r="X35" s="107"/>
      <c r="Y35" s="106"/>
      <c r="Z35" s="2"/>
      <c r="AA35" s="2"/>
      <c r="AB35" s="2"/>
      <c r="AC35" s="2"/>
      <c r="AD35" s="2"/>
      <c r="AE35" s="2"/>
      <c r="AF35" s="2"/>
      <c r="AG35" s="2"/>
    </row>
    <row r="36" spans="1:255">
      <c r="A36" s="95">
        <v>11</v>
      </c>
      <c r="B36" s="96">
        <v>45948</v>
      </c>
      <c r="C36" s="133" t="s">
        <v>53</v>
      </c>
      <c r="D36" s="98">
        <v>19072</v>
      </c>
      <c r="E36" s="97">
        <v>3</v>
      </c>
      <c r="F36" s="99">
        <f t="shared" si="11"/>
        <v>6357.333333333333</v>
      </c>
      <c r="G36" s="99">
        <v>2</v>
      </c>
      <c r="H36" s="99">
        <f t="shared" si="12"/>
        <v>9536</v>
      </c>
      <c r="I36" s="243">
        <v>25</v>
      </c>
      <c r="J36" s="98">
        <f t="shared" si="13"/>
        <v>1.5</v>
      </c>
      <c r="K36" s="265"/>
      <c r="L36" s="243"/>
      <c r="M36" s="99"/>
      <c r="N36" s="266">
        <f t="shared" si="14"/>
        <v>0.08</v>
      </c>
      <c r="O36" s="244">
        <f t="shared" si="15"/>
        <v>0.35437166070248288</v>
      </c>
      <c r="P36" s="267">
        <f t="shared" si="16"/>
        <v>53819.20202702703</v>
      </c>
      <c r="Q36" s="245">
        <f t="shared" si="18"/>
        <v>9.1218986486486493</v>
      </c>
      <c r="R36" s="268">
        <f t="shared" si="17"/>
        <v>5.1246621621621626</v>
      </c>
      <c r="S36" s="246">
        <f t="shared" si="21"/>
        <v>19072</v>
      </c>
      <c r="T36" s="268">
        <f t="shared" si="24"/>
        <v>7</v>
      </c>
      <c r="U36" s="245">
        <f t="shared" si="23"/>
        <v>2</v>
      </c>
      <c r="V36" s="269">
        <v>1</v>
      </c>
      <c r="W36" s="104">
        <v>1</v>
      </c>
      <c r="X36" s="107"/>
      <c r="Y36" s="106"/>
      <c r="Z36" s="2"/>
      <c r="AA36" s="2"/>
      <c r="AB36" s="2"/>
      <c r="AC36" s="2"/>
      <c r="AD36" s="2"/>
      <c r="AE36" s="2"/>
      <c r="AF36" s="2"/>
      <c r="AG36" s="2"/>
    </row>
    <row r="37" spans="1:255">
      <c r="A37" s="95">
        <v>13</v>
      </c>
      <c r="B37" s="96">
        <v>45949</v>
      </c>
      <c r="C37" s="97" t="s">
        <v>54</v>
      </c>
      <c r="D37" s="98">
        <v>13321</v>
      </c>
      <c r="E37" s="99">
        <v>3</v>
      </c>
      <c r="F37" s="99">
        <f t="shared" si="11"/>
        <v>4440.333333333333</v>
      </c>
      <c r="G37" s="99">
        <v>2</v>
      </c>
      <c r="H37" s="99">
        <f t="shared" si="12"/>
        <v>6660.5</v>
      </c>
      <c r="I37" s="99">
        <v>20</v>
      </c>
      <c r="J37" s="248">
        <f t="shared" si="13"/>
        <v>1.5</v>
      </c>
      <c r="K37" s="99"/>
      <c r="L37" s="99"/>
      <c r="M37" s="243"/>
      <c r="N37" s="100">
        <f t="shared" si="14"/>
        <v>0.1</v>
      </c>
      <c r="O37" s="101">
        <f t="shared" si="15"/>
        <v>0.24751388906343194</v>
      </c>
      <c r="P37" s="246">
        <f t="shared" si="16"/>
        <v>53819.20202702703</v>
      </c>
      <c r="Q37" s="103">
        <f t="shared" si="18"/>
        <v>9.1218986486486493</v>
      </c>
      <c r="R37" s="245">
        <f t="shared" si="17"/>
        <v>5.1246621621621626</v>
      </c>
      <c r="S37" s="102">
        <f t="shared" si="21"/>
        <v>13321</v>
      </c>
      <c r="T37" s="245">
        <f t="shared" ref="T37:T53" si="25">IF(W37&lt;&gt;"",IF(E37&lt;&gt;"",E37,($I$9-SUM($T$25:T36))*V37*W37/SUMPRODUCT($W37:$W$58,$V37:$V$58)),"")</f>
        <v>3</v>
      </c>
      <c r="U37" s="103">
        <f t="shared" si="23"/>
        <v>2</v>
      </c>
      <c r="V37" s="249">
        <v>1</v>
      </c>
      <c r="W37" s="104">
        <v>1</v>
      </c>
      <c r="X37" s="107"/>
      <c r="Y37" s="106"/>
      <c r="Z37" s="2"/>
      <c r="AA37" s="2"/>
      <c r="AB37" s="2"/>
      <c r="AC37" s="2"/>
      <c r="AD37" s="2"/>
      <c r="AE37" s="2"/>
      <c r="AF37" s="2"/>
      <c r="AG37" s="2"/>
    </row>
    <row r="38" spans="1:255">
      <c r="A38" s="95">
        <v>14</v>
      </c>
      <c r="B38" s="96">
        <v>45952</v>
      </c>
      <c r="C38" s="133" t="s">
        <v>48</v>
      </c>
      <c r="D38" s="98">
        <v>40740</v>
      </c>
      <c r="E38" s="99">
        <v>6</v>
      </c>
      <c r="F38" s="99">
        <f t="shared" si="11"/>
        <v>6790</v>
      </c>
      <c r="G38" s="99">
        <v>1</v>
      </c>
      <c r="H38" s="99">
        <f t="shared" si="12"/>
        <v>40740</v>
      </c>
      <c r="I38" s="99">
        <v>25</v>
      </c>
      <c r="J38" s="98">
        <f t="shared" si="13"/>
        <v>6</v>
      </c>
      <c r="K38" s="243"/>
      <c r="L38" s="99"/>
      <c r="M38" s="99">
        <v>17480</v>
      </c>
      <c r="N38" s="247">
        <f t="shared" si="14"/>
        <v>0.04</v>
      </c>
      <c r="O38" s="101">
        <f t="shared" si="15"/>
        <v>0.75697889350981284</v>
      </c>
      <c r="P38" s="102">
        <f t="shared" si="16"/>
        <v>53819.20202702703</v>
      </c>
      <c r="Q38" s="245">
        <f t="shared" si="18"/>
        <v>9.1218986486486493</v>
      </c>
      <c r="R38" s="103">
        <f t="shared" si="17"/>
        <v>5.1246621621621626</v>
      </c>
      <c r="S38" s="246">
        <f t="shared" si="21"/>
        <v>40740</v>
      </c>
      <c r="T38" s="103">
        <f t="shared" si="25"/>
        <v>6</v>
      </c>
      <c r="U38" s="245">
        <f t="shared" si="23"/>
        <v>1</v>
      </c>
      <c r="V38" s="104">
        <v>1</v>
      </c>
      <c r="W38" s="104">
        <v>1</v>
      </c>
      <c r="X38" s="107"/>
      <c r="Y38" s="106"/>
      <c r="Z38" s="2"/>
      <c r="AA38" s="2"/>
      <c r="AB38" s="2"/>
      <c r="AC38" s="2"/>
      <c r="AD38" s="2"/>
      <c r="AE38" s="2"/>
      <c r="AF38" s="2"/>
      <c r="AG38" s="2"/>
    </row>
    <row r="39" spans="1:255" s="263" customFormat="1">
      <c r="A39" s="95">
        <v>15</v>
      </c>
      <c r="B39" s="96">
        <v>45954</v>
      </c>
      <c r="C39" s="97" t="s">
        <v>51</v>
      </c>
      <c r="D39" s="98">
        <v>15684</v>
      </c>
      <c r="E39" s="243">
        <v>2</v>
      </c>
      <c r="F39" s="99">
        <f t="shared" si="11"/>
        <v>7842</v>
      </c>
      <c r="G39" s="243">
        <v>2</v>
      </c>
      <c r="H39" s="99">
        <f t="shared" si="12"/>
        <v>7842</v>
      </c>
      <c r="I39" s="243">
        <v>20</v>
      </c>
      <c r="J39" s="98">
        <f t="shared" si="13"/>
        <v>1</v>
      </c>
      <c r="K39" s="99"/>
      <c r="L39" s="243"/>
      <c r="M39" s="99"/>
      <c r="N39" s="100">
        <f t="shared" si="14"/>
        <v>0.1</v>
      </c>
      <c r="O39" s="244">
        <f t="shared" si="15"/>
        <v>0.29142015134530941</v>
      </c>
      <c r="P39" s="102">
        <f t="shared" si="16"/>
        <v>53819.20202702703</v>
      </c>
      <c r="Q39" s="103">
        <f t="shared" si="18"/>
        <v>9.1218986486486493</v>
      </c>
      <c r="R39" s="245">
        <f t="shared" si="17"/>
        <v>5.1246621621621626</v>
      </c>
      <c r="S39" s="102">
        <f t="shared" si="21"/>
        <v>15684</v>
      </c>
      <c r="T39" s="245">
        <f t="shared" si="25"/>
        <v>2</v>
      </c>
      <c r="U39" s="103">
        <f t="shared" si="23"/>
        <v>2</v>
      </c>
      <c r="V39" s="249">
        <v>1</v>
      </c>
      <c r="W39" s="104">
        <v>1</v>
      </c>
      <c r="X39" s="107"/>
      <c r="Y39" s="106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</row>
    <row r="40" spans="1:255" s="263" customFormat="1">
      <c r="A40" s="95">
        <v>16</v>
      </c>
      <c r="B40" s="96">
        <v>45955</v>
      </c>
      <c r="C40" s="133" t="s">
        <v>53</v>
      </c>
      <c r="D40" s="98">
        <v>22957</v>
      </c>
      <c r="E40" s="99">
        <v>5</v>
      </c>
      <c r="F40" s="243">
        <f t="shared" si="11"/>
        <v>4591.3999999999996</v>
      </c>
      <c r="G40" s="99">
        <v>2</v>
      </c>
      <c r="H40" s="243">
        <f t="shared" si="12"/>
        <v>11478.5</v>
      </c>
      <c r="I40" s="99">
        <v>30</v>
      </c>
      <c r="J40" s="248">
        <f t="shared" si="13"/>
        <v>2.5</v>
      </c>
      <c r="K40" s="99"/>
      <c r="L40" s="99"/>
      <c r="M40" s="243"/>
      <c r="N40" s="100">
        <f t="shared" si="14"/>
        <v>6.6666666666666666E-2</v>
      </c>
      <c r="O40" s="101">
        <f t="shared" si="15"/>
        <v>0.42655779230006813</v>
      </c>
      <c r="P40" s="246">
        <f t="shared" si="16"/>
        <v>53819.20202702703</v>
      </c>
      <c r="Q40" s="103">
        <f t="shared" si="18"/>
        <v>9.1218986486486493</v>
      </c>
      <c r="R40" s="103">
        <f t="shared" si="17"/>
        <v>5.1246621621621626</v>
      </c>
      <c r="S40" s="246">
        <f t="shared" si="21"/>
        <v>22957</v>
      </c>
      <c r="T40" s="103">
        <f t="shared" si="25"/>
        <v>5</v>
      </c>
      <c r="U40" s="245">
        <f t="shared" si="23"/>
        <v>2</v>
      </c>
      <c r="V40" s="104">
        <v>1</v>
      </c>
      <c r="W40" s="104">
        <v>1</v>
      </c>
      <c r="X40" s="107"/>
      <c r="Y40" s="106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s="263" customFormat="1">
      <c r="A41" s="95">
        <v>17</v>
      </c>
      <c r="B41" s="96">
        <v>45956</v>
      </c>
      <c r="C41" s="97" t="s">
        <v>54</v>
      </c>
      <c r="D41" s="248">
        <v>23847</v>
      </c>
      <c r="E41" s="99">
        <v>6</v>
      </c>
      <c r="F41" s="99">
        <f t="shared" si="11"/>
        <v>3974.5</v>
      </c>
      <c r="G41" s="243">
        <v>3</v>
      </c>
      <c r="H41" s="99">
        <f t="shared" si="12"/>
        <v>7949</v>
      </c>
      <c r="I41" s="243">
        <v>28</v>
      </c>
      <c r="J41" s="98">
        <f t="shared" si="13"/>
        <v>2</v>
      </c>
      <c r="K41" s="243"/>
      <c r="L41" s="99"/>
      <c r="M41" s="99"/>
      <c r="N41" s="247">
        <f t="shared" si="14"/>
        <v>0.10714285714285714</v>
      </c>
      <c r="O41" s="101">
        <f t="shared" si="15"/>
        <v>0.44309464098008122</v>
      </c>
      <c r="P41" s="102">
        <f t="shared" si="16"/>
        <v>53819.20202702703</v>
      </c>
      <c r="Q41" s="245">
        <f t="shared" si="18"/>
        <v>9.1218986486486493</v>
      </c>
      <c r="R41" s="103">
        <f t="shared" si="17"/>
        <v>5.1246621621621626</v>
      </c>
      <c r="S41" s="102">
        <f t="shared" si="21"/>
        <v>23847</v>
      </c>
      <c r="T41" s="245">
        <f t="shared" si="25"/>
        <v>6</v>
      </c>
      <c r="U41" s="103">
        <f t="shared" si="23"/>
        <v>3</v>
      </c>
      <c r="V41" s="249">
        <v>1</v>
      </c>
      <c r="W41" s="104">
        <v>1</v>
      </c>
      <c r="X41" s="107"/>
      <c r="Y41" s="106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</row>
    <row r="42" spans="1:255" s="263" customFormat="1">
      <c r="A42" s="95">
        <v>18</v>
      </c>
      <c r="B42" s="96">
        <v>45959</v>
      </c>
      <c r="C42" s="97" t="s">
        <v>48</v>
      </c>
      <c r="D42" s="98">
        <v>8284</v>
      </c>
      <c r="E42" s="243">
        <v>2</v>
      </c>
      <c r="F42" s="99">
        <f t="shared" si="11"/>
        <v>4142</v>
      </c>
      <c r="G42" s="99">
        <v>2</v>
      </c>
      <c r="H42" s="243">
        <f t="shared" si="12"/>
        <v>4142</v>
      </c>
      <c r="I42" s="99">
        <v>25</v>
      </c>
      <c r="J42" s="248">
        <f t="shared" si="13"/>
        <v>1</v>
      </c>
      <c r="K42" s="99"/>
      <c r="L42" s="243"/>
      <c r="M42" s="99"/>
      <c r="N42" s="100">
        <f t="shared" si="14"/>
        <v>0.08</v>
      </c>
      <c r="O42" s="244">
        <f t="shared" si="15"/>
        <v>0.1539227578260994</v>
      </c>
      <c r="P42" s="102">
        <f t="shared" si="16"/>
        <v>53819.20202702703</v>
      </c>
      <c r="Q42" s="103">
        <f t="shared" si="18"/>
        <v>9.1218986486486493</v>
      </c>
      <c r="R42" s="245">
        <f t="shared" si="17"/>
        <v>5.1246621621621626</v>
      </c>
      <c r="S42" s="102">
        <f t="shared" si="21"/>
        <v>8284</v>
      </c>
      <c r="T42" s="103">
        <f t="shared" si="25"/>
        <v>2</v>
      </c>
      <c r="U42" s="245">
        <f t="shared" si="23"/>
        <v>2</v>
      </c>
      <c r="V42" s="104">
        <v>1</v>
      </c>
      <c r="W42" s="104">
        <v>1</v>
      </c>
      <c r="X42" s="107"/>
      <c r="Y42" s="106"/>
      <c r="Z42" s="129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s="263" customFormat="1" ht="15" customHeight="1">
      <c r="A43" s="95">
        <v>19</v>
      </c>
      <c r="B43" s="96">
        <v>45960</v>
      </c>
      <c r="C43" s="97" t="s">
        <v>50</v>
      </c>
      <c r="D43" s="98">
        <v>41857</v>
      </c>
      <c r="E43" s="99">
        <v>5</v>
      </c>
      <c r="F43" s="99">
        <f t="shared" si="11"/>
        <v>8371.4</v>
      </c>
      <c r="G43" s="99">
        <v>2</v>
      </c>
      <c r="H43" s="99">
        <f t="shared" si="12"/>
        <v>20928.5</v>
      </c>
      <c r="I43" s="99">
        <v>25</v>
      </c>
      <c r="J43" s="98">
        <f t="shared" si="13"/>
        <v>2.5</v>
      </c>
      <c r="K43" s="99">
        <v>23480</v>
      </c>
      <c r="L43" s="99"/>
      <c r="M43" s="99"/>
      <c r="N43" s="100">
        <f t="shared" si="14"/>
        <v>0.08</v>
      </c>
      <c r="O43" s="101">
        <f t="shared" si="15"/>
        <v>0.77773356763967205</v>
      </c>
      <c r="P43" s="246">
        <f t="shared" si="16"/>
        <v>53819.20202702703</v>
      </c>
      <c r="Q43" s="103">
        <f t="shared" si="18"/>
        <v>9.1218986486486493</v>
      </c>
      <c r="R43" s="103">
        <f t="shared" si="17"/>
        <v>5.1246621621621626</v>
      </c>
      <c r="S43" s="102">
        <f t="shared" si="21"/>
        <v>41857</v>
      </c>
      <c r="T43" s="103">
        <f t="shared" si="25"/>
        <v>5</v>
      </c>
      <c r="U43" s="103">
        <f t="shared" si="23"/>
        <v>2</v>
      </c>
      <c r="V43" s="249">
        <v>1</v>
      </c>
      <c r="W43" s="104">
        <v>1</v>
      </c>
      <c r="X43" s="107"/>
      <c r="Y43" s="106"/>
      <c r="Z43" s="129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</row>
    <row r="44" spans="1:255" s="263" customFormat="1" ht="15" customHeight="1">
      <c r="A44" s="95">
        <v>20</v>
      </c>
      <c r="B44" s="96">
        <v>45961</v>
      </c>
      <c r="C44" s="97" t="s">
        <v>51</v>
      </c>
      <c r="D44" s="98">
        <f>31225+23992</f>
        <v>55217</v>
      </c>
      <c r="E44" s="99">
        <v>8</v>
      </c>
      <c r="F44" s="99">
        <f t="shared" si="11"/>
        <v>6902.125</v>
      </c>
      <c r="G44" s="99">
        <v>2</v>
      </c>
      <c r="H44" s="99">
        <f t="shared" si="12"/>
        <v>27608.5</v>
      </c>
      <c r="I44" s="99">
        <v>20</v>
      </c>
      <c r="J44" s="98">
        <f t="shared" si="13"/>
        <v>4</v>
      </c>
      <c r="K44" s="99">
        <v>23992</v>
      </c>
      <c r="L44" s="99"/>
      <c r="M44" s="99"/>
      <c r="N44" s="100">
        <f t="shared" si="14"/>
        <v>0.1</v>
      </c>
      <c r="O44" s="101">
        <f t="shared" si="15"/>
        <v>1.0259721051284079</v>
      </c>
      <c r="P44" s="102">
        <f t="shared" si="16"/>
        <v>53819.20202702703</v>
      </c>
      <c r="Q44" s="103">
        <f t="shared" si="18"/>
        <v>9.1218986486486493</v>
      </c>
      <c r="R44" s="103">
        <f t="shared" si="17"/>
        <v>5.1246621621621626</v>
      </c>
      <c r="S44" s="102">
        <f t="shared" si="21"/>
        <v>55217</v>
      </c>
      <c r="T44" s="103">
        <f t="shared" si="25"/>
        <v>8</v>
      </c>
      <c r="U44" s="103">
        <f t="shared" si="23"/>
        <v>2</v>
      </c>
      <c r="V44" s="104">
        <v>1</v>
      </c>
      <c r="W44" s="104">
        <v>1</v>
      </c>
      <c r="X44" s="107"/>
      <c r="Y44" s="106"/>
      <c r="Z44" s="129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s="263" customFormat="1" ht="15" customHeight="1">
      <c r="A45" s="95">
        <v>21</v>
      </c>
      <c r="B45" s="96"/>
      <c r="C45" s="97"/>
      <c r="D45" s="98"/>
      <c r="E45" s="99"/>
      <c r="F45" s="99" t="str">
        <f t="shared" si="11"/>
        <v/>
      </c>
      <c r="G45" s="99"/>
      <c r="H45" s="99" t="str">
        <f t="shared" si="12"/>
        <v/>
      </c>
      <c r="I45" s="99"/>
      <c r="J45" s="98" t="str">
        <f t="shared" si="13"/>
        <v/>
      </c>
      <c r="K45" s="99"/>
      <c r="L45" s="99"/>
      <c r="M45" s="99"/>
      <c r="N45" s="100" t="str">
        <f t="shared" si="14"/>
        <v/>
      </c>
      <c r="O45" s="101" t="e">
        <f t="shared" si="15"/>
        <v>#DIV/0!</v>
      </c>
      <c r="P45" s="246">
        <f t="shared" si="16"/>
        <v>0</v>
      </c>
      <c r="Q45" s="103">
        <f t="shared" si="18"/>
        <v>0</v>
      </c>
      <c r="R45" s="103">
        <f t="shared" si="17"/>
        <v>0</v>
      </c>
      <c r="S45" s="102" t="str">
        <f t="shared" si="21"/>
        <v/>
      </c>
      <c r="T45" s="103" t="str">
        <f t="shared" si="25"/>
        <v/>
      </c>
      <c r="U45" s="103" t="str">
        <f t="shared" si="23"/>
        <v/>
      </c>
      <c r="V45" s="249"/>
      <c r="W45" s="104"/>
      <c r="X45" s="107"/>
      <c r="Y45" s="106"/>
      <c r="Z45" s="129"/>
      <c r="AA45" s="3"/>
      <c r="AB45" s="3"/>
      <c r="AC45" s="3"/>
      <c r="AD45" s="3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</row>
    <row r="46" spans="1:255" s="263" customFormat="1" ht="15" customHeight="1">
      <c r="A46" s="95">
        <v>22</v>
      </c>
      <c r="B46" s="96"/>
      <c r="C46" s="97"/>
      <c r="D46" s="98"/>
      <c r="E46" s="99"/>
      <c r="F46" s="99" t="str">
        <f t="shared" si="11"/>
        <v/>
      </c>
      <c r="G46" s="99"/>
      <c r="H46" s="99" t="str">
        <f t="shared" si="12"/>
        <v/>
      </c>
      <c r="I46" s="99"/>
      <c r="J46" s="98" t="str">
        <f t="shared" si="13"/>
        <v/>
      </c>
      <c r="K46" s="99"/>
      <c r="L46" s="99"/>
      <c r="M46" s="99"/>
      <c r="N46" s="100" t="str">
        <f t="shared" si="14"/>
        <v/>
      </c>
      <c r="O46" s="101" t="e">
        <f t="shared" si="15"/>
        <v>#DIV/0!</v>
      </c>
      <c r="P46" s="102">
        <f t="shared" si="16"/>
        <v>0</v>
      </c>
      <c r="Q46" s="103">
        <f t="shared" si="18"/>
        <v>0</v>
      </c>
      <c r="R46" s="103">
        <f t="shared" si="17"/>
        <v>0</v>
      </c>
      <c r="S46" s="102" t="str">
        <f t="shared" si="21"/>
        <v/>
      </c>
      <c r="T46" s="103" t="str">
        <f t="shared" si="25"/>
        <v/>
      </c>
      <c r="U46" s="103" t="str">
        <f t="shared" si="23"/>
        <v/>
      </c>
      <c r="V46" s="104"/>
      <c r="W46" s="104"/>
      <c r="X46" s="107"/>
      <c r="Y46" s="106"/>
      <c r="Z46" s="129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s="263" customFormat="1" ht="15" customHeight="1">
      <c r="A47" s="95">
        <v>23</v>
      </c>
      <c r="B47" s="96"/>
      <c r="C47" s="97"/>
      <c r="D47" s="98"/>
      <c r="E47" s="99"/>
      <c r="F47" s="99" t="str">
        <f t="shared" si="11"/>
        <v/>
      </c>
      <c r="G47" s="99"/>
      <c r="H47" s="99" t="str">
        <f t="shared" si="12"/>
        <v/>
      </c>
      <c r="I47" s="99"/>
      <c r="J47" s="98" t="str">
        <f t="shared" si="13"/>
        <v/>
      </c>
      <c r="K47" s="99"/>
      <c r="L47" s="99"/>
      <c r="M47" s="99"/>
      <c r="N47" s="100" t="str">
        <f t="shared" si="14"/>
        <v/>
      </c>
      <c r="O47" s="101" t="e">
        <f t="shared" si="15"/>
        <v>#DIV/0!</v>
      </c>
      <c r="P47" s="246">
        <f t="shared" si="16"/>
        <v>0</v>
      </c>
      <c r="Q47" s="103">
        <f t="shared" si="18"/>
        <v>0</v>
      </c>
      <c r="R47" s="103">
        <f t="shared" si="17"/>
        <v>0</v>
      </c>
      <c r="S47" s="102" t="str">
        <f t="shared" si="21"/>
        <v/>
      </c>
      <c r="T47" s="103" t="str">
        <f t="shared" si="25"/>
        <v/>
      </c>
      <c r="U47" s="103" t="str">
        <f t="shared" si="23"/>
        <v/>
      </c>
      <c r="V47" s="249"/>
      <c r="W47" s="104"/>
      <c r="X47" s="107"/>
      <c r="Y47" s="106"/>
      <c r="Z47" s="129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</row>
    <row r="48" spans="1:255" s="263" customFormat="1" ht="15" customHeight="1">
      <c r="A48" s="95">
        <v>24</v>
      </c>
      <c r="B48" s="96"/>
      <c r="C48" s="97"/>
      <c r="D48" s="98"/>
      <c r="E48" s="99"/>
      <c r="F48" s="99" t="str">
        <f t="shared" si="11"/>
        <v/>
      </c>
      <c r="G48" s="99"/>
      <c r="H48" s="99" t="str">
        <f t="shared" si="12"/>
        <v/>
      </c>
      <c r="I48" s="99"/>
      <c r="J48" s="98" t="str">
        <f t="shared" si="13"/>
        <v/>
      </c>
      <c r="K48" s="99"/>
      <c r="L48" s="99"/>
      <c r="M48" s="99"/>
      <c r="N48" s="100" t="str">
        <f t="shared" si="14"/>
        <v/>
      </c>
      <c r="O48" s="101" t="e">
        <f t="shared" si="15"/>
        <v>#DIV/0!</v>
      </c>
      <c r="P48" s="102">
        <f t="shared" si="16"/>
        <v>0</v>
      </c>
      <c r="Q48" s="103">
        <f t="shared" si="18"/>
        <v>0</v>
      </c>
      <c r="R48" s="103">
        <f t="shared" si="17"/>
        <v>0</v>
      </c>
      <c r="S48" s="102" t="str">
        <f t="shared" si="21"/>
        <v/>
      </c>
      <c r="T48" s="103" t="str">
        <f t="shared" si="25"/>
        <v/>
      </c>
      <c r="U48" s="103" t="str">
        <f t="shared" si="23"/>
        <v/>
      </c>
      <c r="V48" s="104"/>
      <c r="W48" s="104"/>
      <c r="X48" s="107"/>
      <c r="Y48" s="106"/>
      <c r="Z48" s="129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s="263" customFormat="1" ht="15" customHeight="1">
      <c r="A49" s="95">
        <v>25</v>
      </c>
      <c r="B49" s="96"/>
      <c r="C49" s="97"/>
      <c r="D49" s="98"/>
      <c r="E49" s="99"/>
      <c r="F49" s="99" t="str">
        <f t="shared" si="11"/>
        <v/>
      </c>
      <c r="G49" s="99"/>
      <c r="H49" s="99" t="str">
        <f t="shared" si="12"/>
        <v/>
      </c>
      <c r="I49" s="99"/>
      <c r="J49" s="98" t="str">
        <f t="shared" si="13"/>
        <v/>
      </c>
      <c r="K49" s="99"/>
      <c r="L49" s="99"/>
      <c r="M49" s="99"/>
      <c r="N49" s="100" t="str">
        <f t="shared" si="14"/>
        <v/>
      </c>
      <c r="O49" s="244" t="e">
        <f t="shared" si="15"/>
        <v>#DIV/0!</v>
      </c>
      <c r="P49" s="102">
        <f t="shared" si="16"/>
        <v>0</v>
      </c>
      <c r="Q49" s="103">
        <f t="shared" si="18"/>
        <v>0</v>
      </c>
      <c r="R49" s="103">
        <f t="shared" si="17"/>
        <v>0</v>
      </c>
      <c r="S49" s="102" t="str">
        <f t="shared" si="21"/>
        <v/>
      </c>
      <c r="T49" s="103" t="str">
        <f t="shared" si="25"/>
        <v/>
      </c>
      <c r="U49" s="103" t="str">
        <f t="shared" si="23"/>
        <v/>
      </c>
      <c r="V49" s="249"/>
      <c r="W49" s="104"/>
      <c r="X49" s="107"/>
      <c r="Y49" s="106"/>
      <c r="Z49" s="129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</row>
    <row r="50" spans="1:255" ht="15" customHeight="1">
      <c r="A50" s="95">
        <v>26</v>
      </c>
      <c r="B50" s="96"/>
      <c r="C50" s="97"/>
      <c r="D50" s="98"/>
      <c r="E50" s="99"/>
      <c r="F50" s="99" t="str">
        <f t="shared" si="11"/>
        <v/>
      </c>
      <c r="G50" s="99"/>
      <c r="H50" s="99" t="str">
        <f t="shared" si="12"/>
        <v/>
      </c>
      <c r="I50" s="99"/>
      <c r="J50" s="98" t="str">
        <f t="shared" si="13"/>
        <v/>
      </c>
      <c r="K50" s="99"/>
      <c r="L50" s="99"/>
      <c r="M50" s="99"/>
      <c r="N50" s="100" t="str">
        <f t="shared" si="14"/>
        <v/>
      </c>
      <c r="O50" s="101" t="e">
        <f t="shared" si="15"/>
        <v>#DIV/0!</v>
      </c>
      <c r="P50" s="102">
        <f t="shared" si="16"/>
        <v>0</v>
      </c>
      <c r="Q50" s="103">
        <f t="shared" si="18"/>
        <v>0</v>
      </c>
      <c r="R50" s="103">
        <f t="shared" si="17"/>
        <v>0</v>
      </c>
      <c r="S50" s="102" t="str">
        <f t="shared" si="21"/>
        <v/>
      </c>
      <c r="T50" s="103" t="str">
        <f t="shared" si="25"/>
        <v/>
      </c>
      <c r="U50" s="103" t="str">
        <f t="shared" si="23"/>
        <v/>
      </c>
      <c r="V50" s="104"/>
      <c r="W50" s="104"/>
      <c r="X50" s="107"/>
      <c r="Y50" s="106"/>
      <c r="Z50" s="129"/>
      <c r="AA50" s="2"/>
      <c r="AB50" s="2"/>
      <c r="AC50" s="2"/>
      <c r="AD50" s="2"/>
      <c r="AE50" s="2"/>
      <c r="AF50" s="2"/>
      <c r="AG50" s="2"/>
    </row>
    <row r="51" spans="1:255">
      <c r="A51" s="95">
        <v>27</v>
      </c>
      <c r="B51" s="96"/>
      <c r="C51" s="97"/>
      <c r="D51" s="98"/>
      <c r="E51" s="99"/>
      <c r="F51" s="99" t="str">
        <f t="shared" si="11"/>
        <v/>
      </c>
      <c r="G51" s="99"/>
      <c r="H51" s="99" t="str">
        <f t="shared" si="12"/>
        <v/>
      </c>
      <c r="I51" s="99"/>
      <c r="J51" s="98" t="str">
        <f t="shared" si="13"/>
        <v/>
      </c>
      <c r="K51" s="99"/>
      <c r="L51" s="99"/>
      <c r="M51" s="99"/>
      <c r="N51" s="100" t="str">
        <f t="shared" si="14"/>
        <v/>
      </c>
      <c r="O51" s="101" t="e">
        <f t="shared" si="15"/>
        <v>#DIV/0!</v>
      </c>
      <c r="P51" s="102">
        <f t="shared" si="16"/>
        <v>0</v>
      </c>
      <c r="Q51" s="103">
        <f t="shared" si="18"/>
        <v>0</v>
      </c>
      <c r="R51" s="103">
        <f t="shared" si="17"/>
        <v>0</v>
      </c>
      <c r="S51" s="102" t="str">
        <f t="shared" si="21"/>
        <v/>
      </c>
      <c r="T51" s="103" t="str">
        <f t="shared" si="25"/>
        <v/>
      </c>
      <c r="U51" s="103" t="str">
        <f t="shared" si="23"/>
        <v/>
      </c>
      <c r="V51" s="104"/>
      <c r="W51" s="104"/>
      <c r="X51" s="107"/>
      <c r="Y51" s="106"/>
      <c r="Z51" s="129"/>
      <c r="AA51" s="2"/>
      <c r="AB51" s="2"/>
      <c r="AC51" s="2"/>
      <c r="AD51" s="2"/>
      <c r="AE51" s="2"/>
      <c r="AF51" s="2"/>
      <c r="AG51" s="2"/>
    </row>
    <row r="52" spans="1:255">
      <c r="A52" s="95">
        <v>28</v>
      </c>
      <c r="B52" s="96"/>
      <c r="C52" s="97"/>
      <c r="D52" s="98"/>
      <c r="E52" s="99"/>
      <c r="F52" s="99" t="str">
        <f t="shared" si="11"/>
        <v/>
      </c>
      <c r="G52" s="99"/>
      <c r="H52" s="99" t="str">
        <f t="shared" si="12"/>
        <v/>
      </c>
      <c r="I52" s="99"/>
      <c r="J52" s="98" t="str">
        <f t="shared" si="13"/>
        <v/>
      </c>
      <c r="K52" s="99"/>
      <c r="L52" s="99"/>
      <c r="M52" s="99"/>
      <c r="N52" s="100" t="str">
        <f t="shared" si="14"/>
        <v/>
      </c>
      <c r="O52" s="101" t="e">
        <f t="shared" si="15"/>
        <v>#DIV/0!</v>
      </c>
      <c r="P52" s="102">
        <f t="shared" si="16"/>
        <v>0</v>
      </c>
      <c r="Q52" s="103">
        <f t="shared" si="18"/>
        <v>0</v>
      </c>
      <c r="R52" s="103">
        <f t="shared" si="17"/>
        <v>0</v>
      </c>
      <c r="S52" s="102" t="str">
        <f t="shared" si="21"/>
        <v/>
      </c>
      <c r="T52" s="103" t="str">
        <f t="shared" si="25"/>
        <v/>
      </c>
      <c r="U52" s="103" t="str">
        <f t="shared" si="23"/>
        <v/>
      </c>
      <c r="V52" s="104"/>
      <c r="W52" s="104"/>
      <c r="X52" s="107"/>
      <c r="Y52" s="106"/>
      <c r="Z52" s="129"/>
      <c r="AA52" s="2"/>
      <c r="AB52" s="2"/>
      <c r="AC52" s="2"/>
      <c r="AD52" s="2"/>
      <c r="AE52" s="2"/>
      <c r="AF52" s="2"/>
      <c r="AG52" s="2"/>
    </row>
    <row r="53" spans="1:255">
      <c r="A53" s="95">
        <v>29</v>
      </c>
      <c r="B53" s="96"/>
      <c r="C53" s="97"/>
      <c r="D53" s="98"/>
      <c r="E53" s="99"/>
      <c r="F53" s="99" t="str">
        <f t="shared" si="11"/>
        <v/>
      </c>
      <c r="G53" s="99"/>
      <c r="H53" s="99" t="str">
        <f t="shared" si="12"/>
        <v/>
      </c>
      <c r="I53" s="99"/>
      <c r="J53" s="98" t="str">
        <f t="shared" si="13"/>
        <v/>
      </c>
      <c r="K53" s="99"/>
      <c r="L53" s="99"/>
      <c r="M53" s="99"/>
      <c r="N53" s="100" t="str">
        <f t="shared" si="14"/>
        <v/>
      </c>
      <c r="O53" s="101" t="e">
        <f t="shared" si="15"/>
        <v>#DIV/0!</v>
      </c>
      <c r="P53" s="102">
        <f t="shared" si="16"/>
        <v>0</v>
      </c>
      <c r="Q53" s="103">
        <f t="shared" si="18"/>
        <v>0</v>
      </c>
      <c r="R53" s="103">
        <f t="shared" si="17"/>
        <v>0</v>
      </c>
      <c r="S53" s="102" t="str">
        <f t="shared" si="21"/>
        <v/>
      </c>
      <c r="T53" s="103" t="str">
        <f t="shared" si="25"/>
        <v/>
      </c>
      <c r="U53" s="103" t="str">
        <f t="shared" si="23"/>
        <v/>
      </c>
      <c r="V53" s="104"/>
      <c r="W53" s="104"/>
      <c r="X53" s="107"/>
      <c r="Y53" s="106"/>
      <c r="Z53" s="129"/>
      <c r="AA53" s="2"/>
      <c r="AB53" s="2"/>
      <c r="AC53" s="2"/>
      <c r="AD53" s="2"/>
      <c r="AE53" s="2"/>
      <c r="AF53" s="2"/>
      <c r="AG53" s="2"/>
    </row>
    <row r="54" spans="1:255">
      <c r="A54" s="95"/>
      <c r="B54" s="96"/>
      <c r="C54" s="97"/>
      <c r="D54" s="98"/>
      <c r="E54" s="99"/>
      <c r="F54" s="99" t="str">
        <f t="shared" si="11"/>
        <v/>
      </c>
      <c r="G54" s="99"/>
      <c r="H54" s="99" t="str">
        <f t="shared" si="12"/>
        <v/>
      </c>
      <c r="I54" s="99"/>
      <c r="J54" s="98" t="str">
        <f t="shared" si="13"/>
        <v/>
      </c>
      <c r="K54" s="99"/>
      <c r="L54" s="99"/>
      <c r="M54" s="99"/>
      <c r="N54" s="100" t="str">
        <f t="shared" si="14"/>
        <v/>
      </c>
      <c r="O54" s="101" t="e">
        <f t="shared" si="15"/>
        <v>#DIV/0!</v>
      </c>
      <c r="P54" s="102">
        <f t="shared" si="16"/>
        <v>0</v>
      </c>
      <c r="Q54" s="103">
        <f t="shared" si="18"/>
        <v>0</v>
      </c>
      <c r="R54" s="103">
        <f t="shared" si="17"/>
        <v>0</v>
      </c>
      <c r="S54" s="102" t="str">
        <f>IF(W54&lt;&gt;"",IF(D54&lt;&gt;"",D54,($I$8-SUM($S$25:S50))*V54*W54/SUMPRODUCT($W54:$W$58,$V54:$V$58)),"")</f>
        <v/>
      </c>
      <c r="T54" s="103" t="str">
        <f>IF(W54&lt;&gt;"",IF(E54&lt;&gt;"",E54,($I$9-SUM($T$25:T50))*V54*W54/SUMPRODUCT($W54:$W$58,$V54:$V$58)),"")</f>
        <v/>
      </c>
      <c r="U54" s="103" t="str">
        <f>IF(W54&lt;&gt;"",IF($I$12&lt;&gt;"",IF(G54&lt;&gt;"",G54,($I$9/$I$12-SUM($U$25:U50))*V54*W54/SUMPRODUCT($W54:$W$58,$V54:$V$58)),""),"")</f>
        <v/>
      </c>
      <c r="V54" s="104"/>
      <c r="W54" s="104"/>
      <c r="X54" s="107"/>
      <c r="Y54" s="106"/>
      <c r="Z54" s="129"/>
      <c r="AA54" s="2"/>
      <c r="AB54" s="2"/>
      <c r="AC54" s="2"/>
      <c r="AD54" s="2"/>
      <c r="AE54" s="2"/>
      <c r="AF54" s="2"/>
      <c r="AG54" s="2"/>
    </row>
    <row r="55" spans="1:255">
      <c r="A55" s="95"/>
      <c r="B55" s="96"/>
      <c r="C55" s="97"/>
      <c r="D55" s="98"/>
      <c r="E55" s="99"/>
      <c r="F55" s="99" t="str">
        <f t="shared" si="11"/>
        <v/>
      </c>
      <c r="G55" s="99"/>
      <c r="H55" s="99" t="str">
        <f t="shared" si="12"/>
        <v/>
      </c>
      <c r="I55" s="99"/>
      <c r="J55" s="98" t="str">
        <f t="shared" si="13"/>
        <v/>
      </c>
      <c r="K55" s="99"/>
      <c r="L55" s="99"/>
      <c r="M55" s="99"/>
      <c r="N55" s="100" t="str">
        <f t="shared" si="14"/>
        <v/>
      </c>
      <c r="O55" s="101" t="e">
        <f t="shared" si="15"/>
        <v>#DIV/0!</v>
      </c>
      <c r="P55" s="102">
        <f t="shared" si="16"/>
        <v>0</v>
      </c>
      <c r="Q55" s="103">
        <f t="shared" si="18"/>
        <v>0</v>
      </c>
      <c r="R55" s="103">
        <f t="shared" si="17"/>
        <v>0</v>
      </c>
      <c r="S55" s="102" t="str">
        <f t="shared" ref="S55:S56" si="26">IF(W55&lt;&gt;"",IF(D55&lt;&gt;"",D55,($I$8-SUM($S$25:S54))*V55*W55/SUMPRODUCT($W55:$W$58,$V55:$V$58)),"")</f>
        <v/>
      </c>
      <c r="T55" s="103" t="str">
        <f t="shared" ref="T55:T56" si="27">IF(W55&lt;&gt;"",IF(E55&lt;&gt;"",E55,($I$9-SUM($T$25:T54))*V55*W55/SUMPRODUCT($W55:$W$58,$V55:$V$58)),"")</f>
        <v/>
      </c>
      <c r="U55" s="103" t="str">
        <f t="shared" ref="U55:U56" si="28">IF(W55&lt;&gt;"",IF($I$12&lt;&gt;"",IF(G55&lt;&gt;"",G55,($I$9/$I$12-SUM($U$25:U54))*V55*W55/SUMPRODUCT($W55:$W$58,$V55:$V$58)),""),"")</f>
        <v/>
      </c>
      <c r="V55" s="104"/>
      <c r="W55" s="104"/>
      <c r="X55" s="107"/>
      <c r="Y55" s="106"/>
      <c r="Z55" s="129"/>
      <c r="AA55" s="2"/>
      <c r="AB55" s="2"/>
      <c r="AC55" s="2"/>
      <c r="AD55" s="2"/>
      <c r="AE55" s="2"/>
      <c r="AF55" s="2"/>
      <c r="AG55" s="2"/>
    </row>
    <row r="56" spans="1:255">
      <c r="A56" s="95"/>
      <c r="B56" s="96"/>
      <c r="C56" s="97"/>
      <c r="D56" s="98"/>
      <c r="E56" s="99"/>
      <c r="F56" s="99" t="str">
        <f t="shared" si="11"/>
        <v/>
      </c>
      <c r="G56" s="99"/>
      <c r="H56" s="99" t="str">
        <f t="shared" si="12"/>
        <v/>
      </c>
      <c r="I56" s="99"/>
      <c r="J56" s="98" t="str">
        <f t="shared" si="13"/>
        <v/>
      </c>
      <c r="K56" s="99"/>
      <c r="L56" s="99"/>
      <c r="M56" s="99"/>
      <c r="N56" s="100" t="str">
        <f t="shared" si="14"/>
        <v/>
      </c>
      <c r="O56" s="101" t="e">
        <f t="shared" si="15"/>
        <v>#DIV/0!</v>
      </c>
      <c r="P56" s="102">
        <f t="shared" si="16"/>
        <v>0</v>
      </c>
      <c r="Q56" s="103">
        <f t="shared" si="18"/>
        <v>0</v>
      </c>
      <c r="R56" s="103">
        <f t="shared" si="17"/>
        <v>0</v>
      </c>
      <c r="S56" s="102" t="str">
        <f t="shared" si="26"/>
        <v/>
      </c>
      <c r="T56" s="103" t="str">
        <f t="shared" si="27"/>
        <v/>
      </c>
      <c r="U56" s="103" t="str">
        <f t="shared" si="28"/>
        <v/>
      </c>
      <c r="V56" s="104"/>
      <c r="W56" s="104"/>
      <c r="X56" s="107"/>
      <c r="Y56" s="106"/>
      <c r="Z56" s="129"/>
      <c r="AA56" s="2"/>
      <c r="AB56" s="2"/>
      <c r="AC56" s="2"/>
      <c r="AD56" s="2"/>
      <c r="AE56" s="2"/>
      <c r="AF56" s="2"/>
      <c r="AG56" s="2"/>
    </row>
    <row r="57" spans="1:255">
      <c r="A57" s="270"/>
      <c r="B57" s="604"/>
      <c r="C57" s="605"/>
      <c r="D57" s="114">
        <f>SUM(D25:D56)</f>
        <v>589829</v>
      </c>
      <c r="E57" s="114">
        <f>SUM(E25:E56)</f>
        <v>97</v>
      </c>
      <c r="F57" s="114">
        <f t="shared" si="11"/>
        <v>6080.7113402061859</v>
      </c>
      <c r="G57" s="114">
        <f>SUM(G25:G56)</f>
        <v>60</v>
      </c>
      <c r="H57" s="114">
        <f t="shared" si="12"/>
        <v>9830.4833333333336</v>
      </c>
      <c r="I57" s="114">
        <f>SUM(I25:I56)</f>
        <v>507</v>
      </c>
      <c r="J57" s="112">
        <f t="shared" si="13"/>
        <v>1.6166666666666667</v>
      </c>
      <c r="K57" s="114">
        <f>SUM(K25:K56)</f>
        <v>86446</v>
      </c>
      <c r="L57" s="114">
        <f>SUM(L25:L56)</f>
        <v>36809</v>
      </c>
      <c r="M57" s="114">
        <f>SUM(M25:M56)</f>
        <v>17480</v>
      </c>
      <c r="N57" s="130">
        <f t="shared" si="14"/>
        <v>0.11834319526627218</v>
      </c>
      <c r="O57" s="116">
        <f t="shared" si="15"/>
        <v>0.54797263595974399</v>
      </c>
      <c r="P57" s="118">
        <f>SUM(P25:P56)</f>
        <v>1076384.0405405406</v>
      </c>
      <c r="Q57" s="118">
        <f>SUM(Q25:Q55)</f>
        <v>182.43797297297303</v>
      </c>
      <c r="R57" s="118">
        <f>SUM(R25:R55)</f>
        <v>102.49324324324327</v>
      </c>
      <c r="S57" s="118">
        <f>SUM(S25:S56)</f>
        <v>654048.17004504497</v>
      </c>
      <c r="T57" s="118">
        <f>SUM(T25:T55)</f>
        <v>106.11983108108109</v>
      </c>
      <c r="U57" s="118">
        <f>SUM(U25:U55)</f>
        <v>65.541103603603602</v>
      </c>
      <c r="V57" s="131"/>
      <c r="W57" s="131"/>
      <c r="AE57" s="2"/>
      <c r="AF57" s="2"/>
      <c r="AG57" s="2"/>
    </row>
    <row r="60" spans="1:255">
      <c r="L60" s="142"/>
    </row>
  </sheetData>
  <mergeCells count="29">
    <mergeCell ref="P22:W22"/>
    <mergeCell ref="B57:C57"/>
    <mergeCell ref="F18:H18"/>
    <mergeCell ref="F19:H19"/>
    <mergeCell ref="F20:H20"/>
    <mergeCell ref="B22:N22"/>
    <mergeCell ref="O22:O24"/>
    <mergeCell ref="F13:H13"/>
    <mergeCell ref="F14:H14"/>
    <mergeCell ref="F15:H15"/>
    <mergeCell ref="F16:H16"/>
    <mergeCell ref="S16:T17"/>
    <mergeCell ref="F17:H17"/>
    <mergeCell ref="F10:H10"/>
    <mergeCell ref="S10:T11"/>
    <mergeCell ref="V10:W11"/>
    <mergeCell ref="F11:H11"/>
    <mergeCell ref="F12:H12"/>
    <mergeCell ref="J5:N5"/>
    <mergeCell ref="F7:H7"/>
    <mergeCell ref="P7:Q7"/>
    <mergeCell ref="F8:H8"/>
    <mergeCell ref="F9:H9"/>
    <mergeCell ref="B1:C1"/>
    <mergeCell ref="Q1:T4"/>
    <mergeCell ref="B2:C2"/>
    <mergeCell ref="J2:P2"/>
    <mergeCell ref="J3:N4"/>
    <mergeCell ref="C4:D4"/>
  </mergeCells>
  <conditionalFormatting sqref="J16">
    <cfRule type="cellIs" dxfId="67" priority="233" operator="lessThan">
      <formula>0</formula>
    </cfRule>
    <cfRule type="cellIs" dxfId="66" priority="231" operator="greaterThan">
      <formula>0</formula>
    </cfRule>
  </conditionalFormatting>
  <conditionalFormatting sqref="J25:J43">
    <cfRule type="cellIs" dxfId="65" priority="21" operator="lessThan">
      <formula>$I$12</formula>
    </cfRule>
  </conditionalFormatting>
  <conditionalFormatting sqref="J25:J49">
    <cfRule type="cellIs" dxfId="64" priority="22" operator="greaterThan">
      <formula>$I$12</formula>
    </cfRule>
  </conditionalFormatting>
  <conditionalFormatting sqref="J28:J56">
    <cfRule type="cellIs" dxfId="63" priority="31" operator="greaterThan">
      <formula>$I$12</formula>
    </cfRule>
    <cfRule type="cellIs" dxfId="62" priority="30" operator="lessThan">
      <formula>$I$12</formula>
    </cfRule>
  </conditionalFormatting>
  <conditionalFormatting sqref="J36">
    <cfRule type="cellIs" dxfId="61" priority="1869" operator="lessThan">
      <formula>$I$12</formula>
    </cfRule>
    <cfRule type="cellIs" dxfId="60" priority="1866" operator="greaterThan">
      <formula>$I$12</formula>
    </cfRule>
    <cfRule type="cellIs" dxfId="59" priority="1854" operator="lessThan">
      <formula>$I$12</formula>
    </cfRule>
  </conditionalFormatting>
  <conditionalFormatting sqref="J39:J40">
    <cfRule type="cellIs" dxfId="58" priority="1826" operator="lessThan">
      <formula>$I$12</formula>
    </cfRule>
  </conditionalFormatting>
  <conditionalFormatting sqref="J44:J49">
    <cfRule type="cellIs" dxfId="57" priority="240" operator="lessThan">
      <formula>$I$12</formula>
    </cfRule>
  </conditionalFormatting>
  <conditionalFormatting sqref="J51:J53">
    <cfRule type="cellIs" dxfId="56" priority="1853" operator="lessThan">
      <formula>$I$12</formula>
    </cfRule>
  </conditionalFormatting>
  <conditionalFormatting sqref="K8">
    <cfRule type="cellIs" dxfId="55" priority="2" operator="lessThan">
      <formula>$K$17</formula>
    </cfRule>
    <cfRule type="cellIs" dxfId="54" priority="1" operator="greaterThan">
      <formula>$K$17</formula>
    </cfRule>
  </conditionalFormatting>
  <conditionalFormatting sqref="K10:K12 K15">
    <cfRule type="cellIs" dxfId="53" priority="234" operator="lessThan">
      <formula>1</formula>
    </cfRule>
    <cfRule type="cellIs" dxfId="52" priority="230" operator="greaterThan">
      <formula>1</formula>
    </cfRule>
  </conditionalFormatting>
  <conditionalFormatting sqref="K13">
    <cfRule type="cellIs" dxfId="51" priority="227" operator="greaterThan">
      <formula>$K$14</formula>
    </cfRule>
    <cfRule type="cellIs" dxfId="50" priority="226" operator="lessThan">
      <formula>$K$14</formula>
    </cfRule>
  </conditionalFormatting>
  <conditionalFormatting sqref="M8:M15">
    <cfRule type="cellIs" dxfId="49" priority="229" operator="greaterThan">
      <formula>1</formula>
    </cfRule>
    <cfRule type="cellIs" dxfId="48" priority="228" operator="lessThan">
      <formula>1</formula>
    </cfRule>
  </conditionalFormatting>
  <conditionalFormatting sqref="N25:N43">
    <cfRule type="cellIs" dxfId="47" priority="18" operator="between">
      <formula>0.2</formula>
      <formula>0.25</formula>
    </cfRule>
  </conditionalFormatting>
  <conditionalFormatting sqref="N25:N49">
    <cfRule type="cellIs" dxfId="46" priority="19" operator="greaterThanOrEqual">
      <formula>0.25</formula>
    </cfRule>
  </conditionalFormatting>
  <conditionalFormatting sqref="N25:N56">
    <cfRule type="cellIs" dxfId="45" priority="20" operator="lessThan">
      <formula>0.2</formula>
    </cfRule>
  </conditionalFormatting>
  <conditionalFormatting sqref="N28:N38">
    <cfRule type="cellIs" dxfId="44" priority="27" operator="between">
      <formula>0.2</formula>
      <formula>0.25</formula>
    </cfRule>
    <cfRule type="cellIs" dxfId="43" priority="28" operator="greaterThanOrEqual">
      <formula>0.25</formula>
    </cfRule>
  </conditionalFormatting>
  <conditionalFormatting sqref="N36">
    <cfRule type="cellIs" dxfId="42" priority="1858" operator="between">
      <formula>0.2</formula>
      <formula>0.25</formula>
    </cfRule>
    <cfRule type="cellIs" dxfId="41" priority="1873" operator="between">
      <formula>0.2</formula>
      <formula>0.25</formula>
    </cfRule>
    <cfRule type="cellIs" dxfId="40" priority="1872" operator="greaterThanOrEqual">
      <formula>0.25</formula>
    </cfRule>
  </conditionalFormatting>
  <conditionalFormatting sqref="N39:N40">
    <cfRule type="cellIs" dxfId="39" priority="1832" operator="between">
      <formula>0.2</formula>
      <formula>0.25</formula>
    </cfRule>
  </conditionalFormatting>
  <conditionalFormatting sqref="N39:N56">
    <cfRule type="cellIs" dxfId="38" priority="50" operator="greaterThanOrEqual">
      <formula>0.25</formula>
    </cfRule>
  </conditionalFormatting>
  <conditionalFormatting sqref="N41:N56">
    <cfRule type="cellIs" dxfId="37" priority="49" operator="between">
      <formula>0.2</formula>
      <formula>0.25</formula>
    </cfRule>
  </conditionalFormatting>
  <conditionalFormatting sqref="N44:N49">
    <cfRule type="cellIs" dxfId="36" priority="241" operator="between">
      <formula>0.2</formula>
      <formula>0.25</formula>
    </cfRule>
  </conditionalFormatting>
  <conditionalFormatting sqref="N51:N53">
    <cfRule type="cellIs" dxfId="35" priority="1846" operator="between">
      <formula>0.2</formula>
      <formula>0.25</formula>
    </cfRule>
  </conditionalFormatting>
  <conditionalFormatting sqref="O25:O43">
    <cfRule type="cellIs" dxfId="34" priority="16" operator="between">
      <formula>0.85</formula>
      <formula>1</formula>
    </cfRule>
    <cfRule type="cellIs" dxfId="33" priority="13" operator="lessThan">
      <formula>0.9</formula>
    </cfRule>
    <cfRule type="cellIs" dxfId="32" priority="12" operator="between">
      <formula>0.9001</formula>
      <formula>0.9999</formula>
    </cfRule>
  </conditionalFormatting>
  <conditionalFormatting sqref="O25:O49">
    <cfRule type="cellIs" dxfId="31" priority="17" operator="between">
      <formula>0.01</formula>
      <formula>0.99</formula>
    </cfRule>
  </conditionalFormatting>
  <conditionalFormatting sqref="O25:O56">
    <cfRule type="cellIs" dxfId="30" priority="15" operator="greaterThan">
      <formula>100</formula>
    </cfRule>
    <cfRule type="cellIs" dxfId="29" priority="14" operator="greaterThan">
      <formula>1</formula>
    </cfRule>
  </conditionalFormatting>
  <conditionalFormatting sqref="O28:O38">
    <cfRule type="cellIs" dxfId="28" priority="1865" operator="lessThan">
      <formula>0.9</formula>
    </cfRule>
    <cfRule type="cellIs" dxfId="27" priority="1868" operator="between">
      <formula>0.9001</formula>
      <formula>0.9999</formula>
    </cfRule>
    <cfRule type="cellIs" dxfId="26" priority="26" operator="between">
      <formula>0.01</formula>
      <formula>0.99</formula>
    </cfRule>
    <cfRule type="cellIs" dxfId="25" priority="25" operator="between">
      <formula>0.85</formula>
      <formula>1</formula>
    </cfRule>
  </conditionalFormatting>
  <conditionalFormatting sqref="O36">
    <cfRule type="cellIs" dxfId="24" priority="1879" operator="between">
      <formula>0.9001</formula>
      <formula>0.9999</formula>
    </cfRule>
    <cfRule type="cellIs" dxfId="23" priority="1860" operator="between">
      <formula>0.85</formula>
      <formula>1</formula>
    </cfRule>
    <cfRule type="cellIs" dxfId="22" priority="1878" operator="lessThan">
      <formula>0.9</formula>
    </cfRule>
    <cfRule type="cellIs" dxfId="21" priority="1875" operator="between">
      <formula>0.85</formula>
      <formula>1</formula>
    </cfRule>
    <cfRule type="cellIs" dxfId="20" priority="1874" operator="between">
      <formula>0.01</formula>
      <formula>0.99</formula>
    </cfRule>
  </conditionalFormatting>
  <conditionalFormatting sqref="O39:O40">
    <cfRule type="cellIs" dxfId="19" priority="1836" operator="between">
      <formula>0.85</formula>
      <formula>1</formula>
    </cfRule>
    <cfRule type="cellIs" dxfId="18" priority="1842" operator="lessThan">
      <formula>0.9</formula>
    </cfRule>
    <cfRule type="cellIs" dxfId="17" priority="1844" operator="between">
      <formula>0.9001</formula>
      <formula>0.9999</formula>
    </cfRule>
  </conditionalFormatting>
  <conditionalFormatting sqref="O39:O56">
    <cfRule type="cellIs" dxfId="16" priority="48" operator="between">
      <formula>0.01</formula>
      <formula>0.99</formula>
    </cfRule>
  </conditionalFormatting>
  <conditionalFormatting sqref="O41:O56">
    <cfRule type="cellIs" dxfId="15" priority="43" operator="between">
      <formula>0.9001</formula>
      <formula>0.9999</formula>
    </cfRule>
    <cfRule type="cellIs" dxfId="14" priority="44" operator="lessThan">
      <formula>0.9</formula>
    </cfRule>
    <cfRule type="cellIs" dxfId="13" priority="47" operator="between">
      <formula>0.85</formula>
      <formula>1</formula>
    </cfRule>
  </conditionalFormatting>
  <conditionalFormatting sqref="O44:O49">
    <cfRule type="cellIs" dxfId="12" priority="243" operator="lessThan">
      <formula>0.9</formula>
    </cfRule>
    <cfRule type="cellIs" dxfId="11" priority="244" operator="between">
      <formula>0.9001</formula>
      <formula>0.9999</formula>
    </cfRule>
    <cfRule type="cellIs" dxfId="10" priority="242" operator="between">
      <formula>0.85</formula>
      <formula>1</formula>
    </cfRule>
  </conditionalFormatting>
  <conditionalFormatting sqref="O51:O53">
    <cfRule type="cellIs" dxfId="9" priority="1850" operator="between">
      <formula>0.9001</formula>
      <formula>0.9999</formula>
    </cfRule>
    <cfRule type="cellIs" dxfId="8" priority="1849" operator="lessThan">
      <formula>0.9</formula>
    </cfRule>
    <cfRule type="cellIs" dxfId="7" priority="1848" operator="between">
      <formula>0.85</formula>
      <formula>1</formula>
    </cfRule>
  </conditionalFormatting>
  <conditionalFormatting sqref="P10:Q10">
    <cfRule type="cellIs" dxfId="6" priority="232" operator="lessThan">
      <formula>0</formula>
    </cfRule>
  </conditionalFormatting>
  <conditionalFormatting sqref="T13 W13 T19">
    <cfRule type="cellIs" dxfId="5" priority="5" operator="greaterThan">
      <formula>0.95</formula>
    </cfRule>
    <cfRule type="cellIs" dxfId="4" priority="4" operator="lessThan">
      <formula>0.9</formula>
    </cfRule>
    <cfRule type="cellIs" dxfId="3" priority="3" operator="between">
      <formula>0.9</formula>
      <formula>0.95</formula>
    </cfRule>
  </conditionalFormatting>
  <conditionalFormatting sqref="W13">
    <cfRule type="cellIs" dxfId="2" priority="6" operator="lessThan">
      <formula>1</formula>
    </cfRule>
    <cfRule type="cellIs" dxfId="1" priority="8" operator="greaterThan">
      <formula>"100;"</formula>
    </cfRule>
    <cfRule type="cellIs" dxfId="0" priority="7" operator="greaterThan">
      <formula>1</formula>
    </cfRule>
  </conditionalFormatting>
  <pageMargins left="0.7" right="0.7" top="0.75" bottom="0.75" header="0.51200000000000001" footer="0.51200000000000001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5"/>
  <sheetViews>
    <sheetView zoomScale="93" workbookViewId="0">
      <selection activeCell="Q17" sqref="Q17"/>
    </sheetView>
  </sheetViews>
  <sheetFormatPr baseColWidth="10" defaultColWidth="11.5" defaultRowHeight="15"/>
  <cols>
    <col min="1" max="1" width="2.5" style="3" customWidth="1"/>
    <col min="2" max="2" width="11.83203125" style="3" customWidth="1"/>
    <col min="3" max="3" width="17.33203125" style="3" customWidth="1"/>
    <col min="4" max="4" width="10.5" style="3" bestFit="1" customWidth="1"/>
    <col min="5" max="5" width="11.6640625" style="3" customWidth="1"/>
    <col min="6" max="6" width="11.83203125" style="3" customWidth="1"/>
    <col min="7" max="7" width="14" style="3" customWidth="1"/>
    <col min="8" max="8" width="12.83203125" style="3" customWidth="1"/>
    <col min="9" max="9" width="12" style="3" customWidth="1"/>
    <col min="10" max="10" width="17.5" style="3" customWidth="1"/>
    <col min="11" max="11" width="16.83203125" style="3" customWidth="1"/>
    <col min="12" max="12" width="11.1640625" style="3" customWidth="1"/>
    <col min="13" max="13" width="13.33203125" style="3" customWidth="1"/>
    <col min="14" max="14" width="13.83203125" style="3" customWidth="1"/>
  </cols>
  <sheetData>
    <row r="1" spans="1:15" ht="23" customHeight="1">
      <c r="A1" s="606" t="str">
        <f>График!B1</f>
        <v>Октябрь, 2025</v>
      </c>
      <c r="B1" s="607"/>
      <c r="C1" s="607"/>
      <c r="D1" s="608"/>
      <c r="E1" s="271"/>
      <c r="F1" s="272"/>
      <c r="G1" s="272"/>
      <c r="H1" s="272"/>
      <c r="I1" s="272"/>
      <c r="J1" s="272"/>
      <c r="K1" s="272"/>
      <c r="L1" s="272"/>
      <c r="M1" s="272"/>
      <c r="N1" s="273"/>
    </row>
    <row r="2" spans="1:15" ht="22" customHeight="1">
      <c r="A2" s="609" t="str">
        <f>График!B3</f>
        <v>ул. Набережная Ленина, 18</v>
      </c>
      <c r="B2" s="610"/>
      <c r="C2" s="610"/>
      <c r="D2" s="274" t="str">
        <f>График!B4</f>
        <v>GL-0005</v>
      </c>
      <c r="E2" s="275"/>
      <c r="F2" s="276"/>
      <c r="G2" s="276"/>
      <c r="H2" s="276"/>
      <c r="I2" s="276"/>
      <c r="J2" s="276"/>
      <c r="K2" s="276"/>
      <c r="L2" s="276"/>
      <c r="M2" s="276"/>
      <c r="N2" s="277"/>
    </row>
    <row r="3" spans="1:15" ht="75">
      <c r="A3" s="611" t="s">
        <v>26</v>
      </c>
      <c r="B3" s="612"/>
      <c r="C3" s="612"/>
      <c r="D3" s="278" t="s">
        <v>68</v>
      </c>
      <c r="E3" s="278" t="s">
        <v>69</v>
      </c>
      <c r="F3" s="279" t="s">
        <v>70</v>
      </c>
      <c r="G3" s="280" t="s">
        <v>71</v>
      </c>
      <c r="H3" s="281" t="s">
        <v>72</v>
      </c>
      <c r="I3" s="282" t="s">
        <v>73</v>
      </c>
      <c r="J3" s="283" t="s">
        <v>74</v>
      </c>
      <c r="K3" s="284" t="s">
        <v>75</v>
      </c>
      <c r="L3" s="285" t="s">
        <v>76</v>
      </c>
      <c r="M3" s="286" t="s">
        <v>77</v>
      </c>
      <c r="N3" s="287" t="s">
        <v>78</v>
      </c>
    </row>
    <row r="4" spans="1:15" ht="18" customHeight="1">
      <c r="A4" s="613" t="str">
        <f>График!B29</f>
        <v>Рогалевич Ирина</v>
      </c>
      <c r="B4" s="614"/>
      <c r="C4" s="614"/>
      <c r="D4" s="288">
        <f>44000-C8</f>
        <v>38280</v>
      </c>
      <c r="E4" s="289"/>
      <c r="F4" s="290">
        <f>H8+H9+G16+G24+L24</f>
        <v>14515.012000000001</v>
      </c>
      <c r="G4" s="291">
        <f>D11</f>
        <v>24700</v>
      </c>
      <c r="H4" s="292">
        <f>D18</f>
        <v>34466.887999999999</v>
      </c>
      <c r="I4" s="293">
        <f>L18</f>
        <v>16149.585423423425</v>
      </c>
      <c r="J4" s="294">
        <f>L11</f>
        <v>0</v>
      </c>
      <c r="K4" s="295">
        <f>H4+J4+G4+F4+I4</f>
        <v>89831.485423423423</v>
      </c>
      <c r="L4" s="296">
        <f>C8+C9</f>
        <v>5720</v>
      </c>
      <c r="M4" s="297">
        <f>K4-L4-D4-E4</f>
        <v>45831.485423423423</v>
      </c>
      <c r="N4" s="298"/>
    </row>
    <row r="5" spans="1:15">
      <c r="A5" s="299"/>
      <c r="B5" s="300"/>
      <c r="C5" s="301"/>
      <c r="D5" s="301"/>
      <c r="E5" s="301"/>
      <c r="F5" s="301"/>
      <c r="G5" s="301"/>
      <c r="H5" s="301"/>
      <c r="I5" s="301"/>
      <c r="J5" s="301"/>
      <c r="K5" s="302"/>
      <c r="L5" s="301"/>
      <c r="M5" s="303"/>
      <c r="N5" s="304"/>
    </row>
    <row r="6" spans="1:15">
      <c r="A6" s="299"/>
      <c r="B6" s="300" t="s">
        <v>76</v>
      </c>
      <c r="C6" s="301"/>
      <c r="D6" s="301"/>
      <c r="E6" s="301"/>
      <c r="F6" s="301"/>
      <c r="G6" s="300" t="s">
        <v>79</v>
      </c>
      <c r="H6" s="301"/>
      <c r="I6" s="301"/>
      <c r="J6" s="301"/>
      <c r="K6" s="301"/>
      <c r="L6" s="301"/>
      <c r="M6" s="303"/>
      <c r="N6" s="304"/>
    </row>
    <row r="7" spans="1:15">
      <c r="A7" s="305"/>
      <c r="B7" s="306" t="s">
        <v>27</v>
      </c>
      <c r="C7" s="306" t="s">
        <v>80</v>
      </c>
      <c r="D7" s="615" t="s">
        <v>81</v>
      </c>
      <c r="E7" s="615"/>
      <c r="F7" s="307"/>
      <c r="G7" s="306" t="s">
        <v>27</v>
      </c>
      <c r="H7" s="615" t="s">
        <v>80</v>
      </c>
      <c r="I7" s="615"/>
      <c r="J7" s="615" t="s">
        <v>81</v>
      </c>
      <c r="K7" s="615"/>
      <c r="L7" s="307"/>
      <c r="M7" s="308"/>
      <c r="N7" s="309"/>
    </row>
    <row r="8" spans="1:15" ht="20" customHeight="1">
      <c r="A8" s="299"/>
      <c r="B8" s="310">
        <v>45961</v>
      </c>
      <c r="C8" s="311">
        <v>5720</v>
      </c>
      <c r="D8" s="616" t="s">
        <v>82</v>
      </c>
      <c r="E8" s="616"/>
      <c r="F8" s="301"/>
      <c r="G8" s="310">
        <v>45961</v>
      </c>
      <c r="H8" s="617">
        <f>'Ялта, Ленина, 18'!J8*0.01</f>
        <v>14515.012000000001</v>
      </c>
      <c r="I8" s="617"/>
      <c r="J8" s="616" t="s">
        <v>83</v>
      </c>
      <c r="K8" s="616"/>
      <c r="L8" s="301"/>
      <c r="M8" s="303"/>
      <c r="N8" s="304"/>
    </row>
    <row r="9" spans="1:15" ht="19" customHeight="1">
      <c r="A9" s="299"/>
      <c r="B9" s="310"/>
      <c r="C9" s="311"/>
      <c r="D9" s="616"/>
      <c r="E9" s="616"/>
      <c r="F9" s="301"/>
      <c r="G9" s="310"/>
      <c r="H9" s="617"/>
      <c r="I9" s="617"/>
      <c r="J9" s="616"/>
      <c r="K9" s="616"/>
      <c r="L9" s="301"/>
      <c r="M9" s="303"/>
      <c r="N9" s="304"/>
    </row>
    <row r="10" spans="1:15">
      <c r="A10" s="299"/>
      <c r="B10" s="300"/>
      <c r="C10" s="301"/>
      <c r="D10" s="301"/>
      <c r="E10" s="301"/>
      <c r="F10" s="301"/>
      <c r="G10" s="301"/>
      <c r="H10" s="301"/>
      <c r="I10" s="301"/>
      <c r="J10" s="301"/>
      <c r="K10" s="301"/>
      <c r="L10" s="301"/>
      <c r="M10" s="303"/>
      <c r="N10" s="304"/>
    </row>
    <row r="11" spans="1:15">
      <c r="A11" s="313" t="s">
        <v>84</v>
      </c>
      <c r="B11" s="314"/>
      <c r="C11" s="314"/>
      <c r="D11" s="315">
        <f>G15</f>
        <v>24700</v>
      </c>
      <c r="E11" s="316"/>
      <c r="F11" s="317"/>
      <c r="G11" s="314"/>
      <c r="H11" s="314"/>
      <c r="I11" s="318" t="s">
        <v>74</v>
      </c>
      <c r="J11" s="314"/>
      <c r="K11" s="314"/>
      <c r="L11" s="319">
        <f>L15+L16</f>
        <v>0</v>
      </c>
      <c r="M11" s="317"/>
      <c r="N11" s="320"/>
    </row>
    <row r="12" spans="1:15">
      <c r="A12" s="299"/>
      <c r="B12" s="300"/>
      <c r="C12" s="301"/>
      <c r="D12" s="321"/>
      <c r="E12" s="321"/>
      <c r="F12" s="301"/>
      <c r="G12" s="301"/>
      <c r="H12" s="301"/>
      <c r="I12" s="301"/>
      <c r="J12" s="301"/>
      <c r="K12" s="303"/>
      <c r="L12" s="303"/>
      <c r="M12" s="303"/>
      <c r="N12" s="304"/>
    </row>
    <row r="13" spans="1:15">
      <c r="A13" s="322"/>
      <c r="B13" s="323" t="s">
        <v>84</v>
      </c>
      <c r="C13" s="321"/>
      <c r="D13" s="321"/>
      <c r="E13" s="321"/>
      <c r="F13" s="321"/>
      <c r="G13" s="321"/>
      <c r="H13" s="321"/>
      <c r="I13" s="321"/>
      <c r="J13" s="618" t="s">
        <v>74</v>
      </c>
      <c r="K13" s="618"/>
      <c r="L13" s="324"/>
      <c r="M13" s="324"/>
      <c r="N13" s="325"/>
    </row>
    <row r="14" spans="1:15" ht="24">
      <c r="A14" s="322"/>
      <c r="B14" s="326" t="s">
        <v>85</v>
      </c>
      <c r="C14" s="326" t="s">
        <v>86</v>
      </c>
      <c r="D14" s="326" t="s">
        <v>87</v>
      </c>
      <c r="E14" s="326" t="s">
        <v>88</v>
      </c>
      <c r="F14" s="326" t="s">
        <v>89</v>
      </c>
      <c r="G14" s="326" t="s">
        <v>90</v>
      </c>
      <c r="H14" s="321"/>
      <c r="I14" s="321"/>
      <c r="J14" s="326" t="s">
        <v>86</v>
      </c>
      <c r="K14" s="326" t="s">
        <v>58</v>
      </c>
      <c r="L14" s="619" t="s">
        <v>91</v>
      </c>
      <c r="M14" s="619"/>
      <c r="N14" s="325"/>
      <c r="O14" s="327"/>
    </row>
    <row r="15" spans="1:15" ht="19" customHeight="1">
      <c r="A15" s="299"/>
      <c r="B15" s="328">
        <f>График!AI29</f>
        <v>26</v>
      </c>
      <c r="C15" s="329" t="str">
        <f>A2</f>
        <v>ул. Набережная Ленина, 18</v>
      </c>
      <c r="D15" s="329" t="s">
        <v>92</v>
      </c>
      <c r="E15" s="330">
        <f>График!AJ29</f>
        <v>247</v>
      </c>
      <c r="F15" s="331">
        <v>100</v>
      </c>
      <c r="G15" s="332">
        <f t="shared" ref="G15:G16" si="0">E15*F15</f>
        <v>24700</v>
      </c>
      <c r="H15" s="333"/>
      <c r="I15" s="333"/>
      <c r="J15" s="329" t="str">
        <f>График!B3</f>
        <v>ул. Набережная Ленина, 18</v>
      </c>
      <c r="K15" s="334">
        <f>'Ялта, Ленина, 18'!K8</f>
        <v>0.59831984177823061</v>
      </c>
      <c r="L15" s="620"/>
      <c r="M15" s="620"/>
      <c r="N15" s="304"/>
    </row>
    <row r="16" spans="1:15" ht="19" customHeight="1">
      <c r="A16" s="322"/>
      <c r="B16" s="326"/>
      <c r="C16" s="335"/>
      <c r="D16" s="329" t="s">
        <v>92</v>
      </c>
      <c r="E16" s="336"/>
      <c r="F16" s="331"/>
      <c r="G16" s="332">
        <f t="shared" si="0"/>
        <v>0</v>
      </c>
      <c r="H16" s="321"/>
      <c r="I16" s="321"/>
      <c r="J16" s="312"/>
      <c r="K16" s="337"/>
      <c r="L16" s="621"/>
      <c r="M16" s="621"/>
      <c r="N16" s="325"/>
    </row>
    <row r="17" spans="1:14" ht="16" customHeight="1">
      <c r="A17" s="322"/>
      <c r="B17" s="321"/>
      <c r="C17" s="339"/>
      <c r="D17" s="301"/>
      <c r="E17" s="340"/>
      <c r="F17" s="340"/>
      <c r="G17" s="341"/>
      <c r="H17" s="321"/>
      <c r="I17" s="321"/>
      <c r="J17" s="321"/>
      <c r="K17" s="321"/>
      <c r="L17" s="324"/>
      <c r="M17" s="324"/>
      <c r="N17" s="325"/>
    </row>
    <row r="18" spans="1:14">
      <c r="A18" s="313" t="s">
        <v>93</v>
      </c>
      <c r="B18" s="314"/>
      <c r="C18" s="314"/>
      <c r="D18" s="342">
        <f>G23</f>
        <v>34466.887999999999</v>
      </c>
      <c r="E18" s="343"/>
      <c r="F18" s="317"/>
      <c r="G18" s="317"/>
      <c r="H18" s="317"/>
      <c r="I18" s="314" t="s">
        <v>73</v>
      </c>
      <c r="J18" s="317"/>
      <c r="K18" s="317"/>
      <c r="L18" s="344">
        <f>N23</f>
        <v>16149.585423423425</v>
      </c>
      <c r="M18" s="317"/>
      <c r="N18" s="320"/>
    </row>
    <row r="19" spans="1:14">
      <c r="A19" s="345"/>
      <c r="B19" s="300"/>
      <c r="C19" s="303"/>
      <c r="D19" s="303"/>
      <c r="E19" s="303"/>
      <c r="F19" s="303"/>
      <c r="G19" s="303"/>
      <c r="H19" s="303"/>
      <c r="I19" s="303"/>
      <c r="J19" s="303"/>
      <c r="K19" s="346"/>
      <c r="L19" s="134"/>
      <c r="M19" s="134"/>
      <c r="N19" s="347"/>
    </row>
    <row r="20" spans="1:14">
      <c r="A20" s="345"/>
      <c r="B20" s="301"/>
      <c r="C20" s="300"/>
      <c r="D20" s="303"/>
      <c r="E20" s="303"/>
      <c r="F20" s="303"/>
      <c r="G20" s="303"/>
      <c r="H20" s="303"/>
      <c r="I20" s="303"/>
      <c r="J20" s="303"/>
      <c r="K20" s="303"/>
      <c r="L20" s="303"/>
      <c r="M20" s="303"/>
      <c r="N20" s="304"/>
    </row>
    <row r="21" spans="1:14">
      <c r="A21" s="345"/>
      <c r="B21" s="300" t="s">
        <v>94</v>
      </c>
      <c r="C21" s="303"/>
      <c r="D21" s="303"/>
      <c r="E21" s="303"/>
      <c r="F21" s="303"/>
      <c r="G21" s="303"/>
      <c r="H21" s="303"/>
      <c r="I21" s="348" t="s">
        <v>95</v>
      </c>
      <c r="J21" s="349"/>
      <c r="K21" s="350"/>
      <c r="L21" s="350"/>
      <c r="M21" s="350"/>
      <c r="N21" s="351"/>
    </row>
    <row r="22" spans="1:14" ht="36">
      <c r="A22" s="352"/>
      <c r="B22" s="326" t="s">
        <v>26</v>
      </c>
      <c r="C22" s="619" t="s">
        <v>86</v>
      </c>
      <c r="D22" s="619"/>
      <c r="E22" s="326" t="s">
        <v>96</v>
      </c>
      <c r="F22" s="326" t="s">
        <v>97</v>
      </c>
      <c r="G22" s="326" t="s">
        <v>98</v>
      </c>
      <c r="H22" s="321"/>
      <c r="I22" s="326" t="s">
        <v>26</v>
      </c>
      <c r="J22" s="326" t="s">
        <v>86</v>
      </c>
      <c r="K22" s="326" t="s">
        <v>99</v>
      </c>
      <c r="L22" s="326" t="s">
        <v>100</v>
      </c>
      <c r="M22" s="326" t="s">
        <v>96</v>
      </c>
      <c r="N22" s="353" t="s">
        <v>98</v>
      </c>
    </row>
    <row r="23" spans="1:14">
      <c r="A23" s="345"/>
      <c r="B23" s="329" t="str">
        <f>A4</f>
        <v>Рогалевич Ирина</v>
      </c>
      <c r="C23" s="622" t="str">
        <f>A2</f>
        <v>ул. Набережная Ленина, 18</v>
      </c>
      <c r="D23" s="622"/>
      <c r="E23" s="334">
        <v>0.04</v>
      </c>
      <c r="F23" s="311">
        <f>'Рогалевич И. Е. '!J8</f>
        <v>861672.2</v>
      </c>
      <c r="G23" s="354">
        <f>F23*E23</f>
        <v>34466.887999999999</v>
      </c>
      <c r="H23" s="301"/>
      <c r="I23" s="355" t="str">
        <f>B23</f>
        <v>Рогалевич Ирина</v>
      </c>
      <c r="J23" s="356" t="str">
        <f>C23</f>
        <v>ул. Набережная Ленина, 18</v>
      </c>
      <c r="K23" s="356">
        <f>E15</f>
        <v>247</v>
      </c>
      <c r="L23" s="357">
        <f>График!AJ31</f>
        <v>444</v>
      </c>
      <c r="M23" s="334">
        <v>0.02</v>
      </c>
      <c r="N23" s="358">
        <f>'Ялта, Ленина, 18'!J8*M23*K23/L23</f>
        <v>16149.585423423425</v>
      </c>
    </row>
    <row r="24" spans="1:14">
      <c r="A24" s="352"/>
      <c r="B24" s="329" t="str">
        <f>B23</f>
        <v>Рогалевич Ирина</v>
      </c>
      <c r="C24" s="623">
        <f>C16</f>
        <v>0</v>
      </c>
      <c r="D24" s="623"/>
      <c r="E24" s="334"/>
      <c r="F24" s="359"/>
      <c r="G24" s="332">
        <f t="shared" ref="G23:G24" si="1">F24*E24</f>
        <v>0</v>
      </c>
      <c r="H24" s="321"/>
      <c r="I24" s="360"/>
      <c r="J24" s="361"/>
      <c r="K24" s="362"/>
      <c r="L24" s="363"/>
      <c r="M24" s="364"/>
      <c r="N24" s="365" t="e">
        <f>1477363.14*M24*K24/L24</f>
        <v>#DIV/0!</v>
      </c>
    </row>
    <row r="25" spans="1:14">
      <c r="A25" s="366"/>
      <c r="B25" s="367"/>
      <c r="C25" s="367"/>
      <c r="D25" s="367"/>
      <c r="E25" s="367"/>
      <c r="F25" s="367"/>
      <c r="G25" s="367"/>
      <c r="H25" s="367"/>
      <c r="I25" s="367"/>
      <c r="J25" s="367"/>
      <c r="K25" s="367"/>
      <c r="L25" s="367"/>
      <c r="M25" s="367"/>
      <c r="N25" s="368"/>
    </row>
  </sheetData>
  <mergeCells count="20">
    <mergeCell ref="L15:M15"/>
    <mergeCell ref="L16:M16"/>
    <mergeCell ref="C22:D22"/>
    <mergeCell ref="C23:D23"/>
    <mergeCell ref="C24:D24"/>
    <mergeCell ref="D9:E9"/>
    <mergeCell ref="H9:I9"/>
    <mergeCell ref="J9:K9"/>
    <mergeCell ref="J13:K13"/>
    <mergeCell ref="L14:M14"/>
    <mergeCell ref="H7:I7"/>
    <mergeCell ref="J7:K7"/>
    <mergeCell ref="D8:E8"/>
    <mergeCell ref="H8:I8"/>
    <mergeCell ref="J8:K8"/>
    <mergeCell ref="A1:D1"/>
    <mergeCell ref="A2:C2"/>
    <mergeCell ref="A3:C3"/>
    <mergeCell ref="A4:C4"/>
    <mergeCell ref="D7:E7"/>
  </mergeCells>
  <pageMargins left="0.7" right="0.7" top="0.75" bottom="0.75" header="0.3" footer="0.3"/>
  <pageSetup paperSize="9" fitToWidth="0"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6"/>
  <sheetViews>
    <sheetView zoomScale="91" workbookViewId="0">
      <selection activeCell="J29" sqref="J29"/>
    </sheetView>
  </sheetViews>
  <sheetFormatPr baseColWidth="10" defaultColWidth="11.5" defaultRowHeight="15"/>
  <cols>
    <col min="1" max="1" width="2.33203125" style="3" customWidth="1"/>
    <col min="2" max="2" width="12.6640625" style="3" customWidth="1"/>
    <col min="3" max="3" width="18" style="3" customWidth="1"/>
    <col min="4" max="4" width="12.6640625" style="3" customWidth="1"/>
    <col min="5" max="5" width="12.5" style="3" customWidth="1"/>
    <col min="6" max="6" width="12.1640625" style="3" customWidth="1"/>
    <col min="7" max="7" width="11.5" style="3"/>
    <col min="8" max="8" width="12.6640625" style="3" customWidth="1"/>
    <col min="9" max="9" width="15" style="3" customWidth="1"/>
    <col min="10" max="10" width="17.83203125" style="3" customWidth="1"/>
    <col min="11" max="11" width="11.5" style="3" customWidth="1"/>
    <col min="12" max="12" width="12" style="3" customWidth="1"/>
    <col min="13" max="13" width="15.6640625" style="3" customWidth="1"/>
    <col min="14" max="14" width="14" style="3" customWidth="1"/>
  </cols>
  <sheetData>
    <row r="1" spans="1:14" ht="20" customHeight="1">
      <c r="A1" s="606" t="str">
        <f>График!B1</f>
        <v>Октябрь, 2025</v>
      </c>
      <c r="B1" s="607"/>
      <c r="C1" s="607"/>
      <c r="D1" s="608"/>
      <c r="E1" s="271"/>
      <c r="F1" s="272"/>
      <c r="G1" s="272"/>
      <c r="H1" s="272"/>
      <c r="I1" s="272"/>
      <c r="J1" s="272"/>
      <c r="K1" s="272"/>
      <c r="L1" s="272"/>
      <c r="M1" s="272"/>
      <c r="N1" s="273"/>
    </row>
    <row r="2" spans="1:14" ht="20" customHeight="1">
      <c r="A2" s="624" t="str">
        <f>График!B3</f>
        <v>ул. Набережная Ленина, 18</v>
      </c>
      <c r="B2" s="625"/>
      <c r="C2" s="625"/>
      <c r="D2" s="369" t="str">
        <f>График!B4</f>
        <v>GL-0005</v>
      </c>
      <c r="E2" s="275"/>
      <c r="F2" s="276"/>
      <c r="G2" s="276"/>
      <c r="H2" s="276"/>
      <c r="I2" s="276"/>
      <c r="J2" s="276"/>
      <c r="K2" s="276"/>
      <c r="L2" s="276"/>
      <c r="M2" s="276"/>
      <c r="N2" s="277"/>
    </row>
    <row r="3" spans="1:14" ht="60">
      <c r="A3" s="626" t="s">
        <v>26</v>
      </c>
      <c r="B3" s="626"/>
      <c r="C3" s="626"/>
      <c r="D3" s="370" t="s">
        <v>68</v>
      </c>
      <c r="E3" s="371" t="s">
        <v>69</v>
      </c>
      <c r="F3" s="279" t="s">
        <v>70</v>
      </c>
      <c r="G3" s="280" t="s">
        <v>71</v>
      </c>
      <c r="H3" s="281" t="s">
        <v>72</v>
      </c>
      <c r="I3" s="282" t="s">
        <v>73</v>
      </c>
      <c r="J3" s="282" t="s">
        <v>74</v>
      </c>
      <c r="K3" s="280" t="s">
        <v>75</v>
      </c>
      <c r="L3" s="283" t="s">
        <v>76</v>
      </c>
      <c r="M3" s="372" t="s">
        <v>77</v>
      </c>
      <c r="N3" s="287" t="s">
        <v>78</v>
      </c>
    </row>
    <row r="4" spans="1:14" ht="18" customHeight="1">
      <c r="A4" s="627" t="str">
        <f>График!B27</f>
        <v>Арапова Анна-Мария</v>
      </c>
      <c r="B4" s="628"/>
      <c r="C4" s="628"/>
      <c r="D4" s="373"/>
      <c r="E4" s="374"/>
      <c r="F4" s="375">
        <f>H8+H9</f>
        <v>0</v>
      </c>
      <c r="G4" s="376">
        <f>D12</f>
        <v>0</v>
      </c>
      <c r="H4" s="377" t="e">
        <f>D19</f>
        <v>#REF!</v>
      </c>
      <c r="I4" s="378">
        <f>L19</f>
        <v>0</v>
      </c>
      <c r="J4" s="379">
        <f>L12</f>
        <v>0</v>
      </c>
      <c r="K4" s="380" t="e">
        <f>H4+J4+G4+F4+I4</f>
        <v>#REF!</v>
      </c>
      <c r="L4" s="381">
        <f>C8+C9+C10</f>
        <v>0</v>
      </c>
      <c r="M4" s="382" t="e">
        <f>K4-L4-D4-E4</f>
        <v>#REF!</v>
      </c>
      <c r="N4" s="298"/>
    </row>
    <row r="5" spans="1:14">
      <c r="A5" s="299"/>
      <c r="B5" s="300"/>
      <c r="C5" s="301"/>
      <c r="D5" s="301"/>
      <c r="E5" s="301"/>
      <c r="F5" s="301"/>
      <c r="G5" s="301"/>
      <c r="H5" s="301"/>
      <c r="I5" s="301"/>
      <c r="J5" s="301"/>
      <c r="K5" s="302"/>
      <c r="L5" s="301"/>
      <c r="M5" s="303"/>
      <c r="N5" s="304"/>
    </row>
    <row r="6" spans="1:14">
      <c r="A6" s="299"/>
      <c r="B6" s="300" t="s">
        <v>76</v>
      </c>
      <c r="C6" s="301"/>
      <c r="D6" s="301"/>
      <c r="E6" s="301"/>
      <c r="F6" s="301"/>
      <c r="G6" s="300" t="s">
        <v>79</v>
      </c>
      <c r="H6" s="301"/>
      <c r="I6" s="301"/>
      <c r="J6" s="301"/>
      <c r="K6" s="301"/>
      <c r="L6" s="301"/>
      <c r="M6" s="303"/>
      <c r="N6" s="304"/>
    </row>
    <row r="7" spans="1:14" ht="20" customHeight="1">
      <c r="A7" s="305"/>
      <c r="B7" s="306" t="s">
        <v>27</v>
      </c>
      <c r="C7" s="306" t="s">
        <v>80</v>
      </c>
      <c r="D7" s="615" t="s">
        <v>81</v>
      </c>
      <c r="E7" s="615"/>
      <c r="F7" s="307"/>
      <c r="G7" s="306" t="s">
        <v>27</v>
      </c>
      <c r="H7" s="615" t="s">
        <v>80</v>
      </c>
      <c r="I7" s="615"/>
      <c r="J7" s="615" t="s">
        <v>81</v>
      </c>
      <c r="K7" s="615"/>
      <c r="L7" s="307"/>
      <c r="M7" s="308"/>
      <c r="N7" s="309"/>
    </row>
    <row r="8" spans="1:14" ht="18" customHeight="1">
      <c r="A8" s="299"/>
      <c r="B8" s="310"/>
      <c r="C8" s="311"/>
      <c r="D8" s="616" t="s">
        <v>101</v>
      </c>
      <c r="E8" s="616"/>
      <c r="F8" s="301"/>
      <c r="G8" s="310">
        <v>45830</v>
      </c>
      <c r="H8" s="629"/>
      <c r="I8" s="629"/>
      <c r="J8" s="616"/>
      <c r="K8" s="616"/>
      <c r="L8" s="301"/>
      <c r="M8" s="303"/>
      <c r="N8" s="304"/>
    </row>
    <row r="9" spans="1:14" ht="18" customHeight="1">
      <c r="A9" s="299"/>
      <c r="B9" s="310"/>
      <c r="C9" s="311"/>
      <c r="D9" s="616"/>
      <c r="E9" s="616"/>
      <c r="F9" s="301"/>
      <c r="G9" s="310"/>
      <c r="H9" s="629"/>
      <c r="I9" s="629"/>
      <c r="J9" s="616"/>
      <c r="K9" s="616"/>
      <c r="L9" s="301"/>
      <c r="M9" s="303"/>
      <c r="N9" s="304"/>
    </row>
    <row r="10" spans="1:14" ht="18" customHeight="1">
      <c r="A10" s="299"/>
      <c r="B10" s="310"/>
      <c r="C10" s="311"/>
      <c r="D10" s="616"/>
      <c r="E10" s="616"/>
      <c r="F10" s="301"/>
      <c r="G10" s="383"/>
      <c r="H10" s="384"/>
      <c r="I10" s="384"/>
      <c r="J10" s="385"/>
      <c r="K10" s="385"/>
      <c r="L10" s="301"/>
      <c r="M10" s="303"/>
      <c r="N10" s="304"/>
    </row>
    <row r="11" spans="1:14" ht="34" customHeight="1">
      <c r="A11" s="299"/>
      <c r="B11" s="300"/>
      <c r="C11" s="301"/>
      <c r="D11" s="301"/>
      <c r="E11" s="301"/>
      <c r="F11" s="301"/>
      <c r="G11" s="301"/>
      <c r="H11" s="301"/>
      <c r="I11" s="301"/>
      <c r="J11" s="301"/>
      <c r="K11" s="301"/>
      <c r="L11" s="301"/>
      <c r="M11" s="303"/>
      <c r="N11" s="304"/>
    </row>
    <row r="12" spans="1:14">
      <c r="A12" s="313" t="s">
        <v>84</v>
      </c>
      <c r="B12" s="314"/>
      <c r="C12" s="314"/>
      <c r="D12" s="315">
        <f>G16</f>
        <v>0</v>
      </c>
      <c r="E12" s="316"/>
      <c r="F12" s="317"/>
      <c r="G12" s="314"/>
      <c r="H12" s="314"/>
      <c r="I12" s="319" t="s">
        <v>74</v>
      </c>
      <c r="J12" s="314"/>
      <c r="K12" s="314"/>
      <c r="L12" s="318">
        <f>L16+L17</f>
        <v>0</v>
      </c>
      <c r="M12" s="317"/>
      <c r="N12" s="320"/>
    </row>
    <row r="13" spans="1:14">
      <c r="A13" s="299"/>
      <c r="B13" s="300"/>
      <c r="C13" s="301"/>
      <c r="D13" s="321"/>
      <c r="E13" s="321"/>
      <c r="F13" s="301"/>
      <c r="G13" s="301"/>
      <c r="H13" s="301"/>
      <c r="I13" s="301"/>
      <c r="J13" s="301"/>
      <c r="K13" s="303"/>
      <c r="L13" s="303"/>
      <c r="M13" s="303"/>
      <c r="N13" s="304"/>
    </row>
    <row r="14" spans="1:14">
      <c r="A14" s="322"/>
      <c r="B14" s="323" t="s">
        <v>84</v>
      </c>
      <c r="C14" s="321"/>
      <c r="D14" s="321"/>
      <c r="E14" s="321"/>
      <c r="F14" s="321"/>
      <c r="G14" s="321"/>
      <c r="H14" s="321"/>
      <c r="I14" s="321"/>
      <c r="J14" s="618" t="s">
        <v>74</v>
      </c>
      <c r="K14" s="618"/>
      <c r="L14" s="324"/>
      <c r="M14" s="324"/>
      <c r="N14" s="325"/>
    </row>
    <row r="15" spans="1:14" ht="24">
      <c r="A15" s="322"/>
      <c r="B15" s="326" t="s">
        <v>85</v>
      </c>
      <c r="C15" s="326" t="s">
        <v>86</v>
      </c>
      <c r="D15" s="326" t="s">
        <v>87</v>
      </c>
      <c r="E15" s="326" t="s">
        <v>88</v>
      </c>
      <c r="F15" s="326" t="s">
        <v>89</v>
      </c>
      <c r="G15" s="326" t="s">
        <v>90</v>
      </c>
      <c r="H15" s="321"/>
      <c r="I15" s="321"/>
      <c r="J15" s="326" t="s">
        <v>86</v>
      </c>
      <c r="K15" s="326" t="s">
        <v>58</v>
      </c>
      <c r="L15" s="326" t="s">
        <v>91</v>
      </c>
      <c r="M15" s="324"/>
      <c r="N15" s="325"/>
    </row>
    <row r="16" spans="1:14" ht="17" customHeight="1">
      <c r="A16" s="299"/>
      <c r="B16" s="328">
        <f>График!AI27</f>
        <v>0</v>
      </c>
      <c r="C16" s="329" t="str">
        <f>A2</f>
        <v>ул. Набережная Ленина, 18</v>
      </c>
      <c r="D16" s="329" t="s">
        <v>92</v>
      </c>
      <c r="E16" s="330">
        <f>График!AJ27</f>
        <v>0</v>
      </c>
      <c r="F16" s="331">
        <v>100</v>
      </c>
      <c r="G16" s="332">
        <f>E16*F16</f>
        <v>0</v>
      </c>
      <c r="H16" s="333"/>
      <c r="I16" s="333"/>
      <c r="J16" s="329" t="str">
        <f>График!B3</f>
        <v>ул. Набережная Ленина, 18</v>
      </c>
      <c r="K16" s="334">
        <f>'Ялта, Ленина, 18'!K8</f>
        <v>0.59831984177823061</v>
      </c>
      <c r="L16" s="331">
        <v>0</v>
      </c>
      <c r="M16" s="303"/>
      <c r="N16" s="304"/>
    </row>
    <row r="17" spans="1:14" ht="17" customHeight="1">
      <c r="A17" s="322"/>
      <c r="B17" s="326"/>
      <c r="C17" s="335"/>
      <c r="D17" s="329"/>
      <c r="E17" s="336"/>
      <c r="F17" s="331"/>
      <c r="G17" s="332"/>
      <c r="H17" s="321"/>
      <c r="I17" s="321"/>
      <c r="J17" s="312"/>
      <c r="K17" s="337"/>
      <c r="L17" s="338"/>
      <c r="M17" s="324"/>
      <c r="N17" s="325"/>
    </row>
    <row r="18" spans="1:14">
      <c r="A18" s="322"/>
      <c r="B18" s="321"/>
      <c r="C18" s="339"/>
      <c r="D18" s="301"/>
      <c r="E18" s="340"/>
      <c r="F18" s="340"/>
      <c r="G18" s="341"/>
      <c r="H18" s="321"/>
      <c r="I18" s="321"/>
      <c r="J18" s="321"/>
      <c r="K18" s="321"/>
      <c r="L18" s="324"/>
      <c r="M18" s="324"/>
      <c r="N18" s="325"/>
    </row>
    <row r="19" spans="1:14">
      <c r="A19" s="313" t="s">
        <v>93</v>
      </c>
      <c r="B19" s="314"/>
      <c r="C19" s="314"/>
      <c r="D19" s="342" t="e">
        <f>G24</f>
        <v>#REF!</v>
      </c>
      <c r="E19" s="343"/>
      <c r="F19" s="317"/>
      <c r="G19" s="317"/>
      <c r="H19" s="317"/>
      <c r="I19" s="314" t="s">
        <v>73</v>
      </c>
      <c r="J19" s="317"/>
      <c r="K19" s="317"/>
      <c r="L19" s="386">
        <f>N24</f>
        <v>0</v>
      </c>
      <c r="M19" s="317"/>
      <c r="N19" s="320"/>
    </row>
    <row r="20" spans="1:14">
      <c r="A20" s="345"/>
      <c r="B20" s="300"/>
      <c r="C20" s="303"/>
      <c r="D20" s="303"/>
      <c r="E20" s="303"/>
      <c r="F20" s="303"/>
      <c r="G20" s="303"/>
      <c r="H20" s="303"/>
      <c r="I20" s="303"/>
      <c r="J20" s="303"/>
      <c r="K20" s="346"/>
      <c r="L20" s="134"/>
      <c r="M20" s="134"/>
      <c r="N20" s="347"/>
    </row>
    <row r="21" spans="1:14">
      <c r="A21" s="345"/>
      <c r="B21" s="301"/>
      <c r="C21" s="300"/>
      <c r="D21" s="303"/>
      <c r="E21" s="303"/>
      <c r="F21" s="303"/>
      <c r="G21" s="303"/>
      <c r="H21" s="303"/>
      <c r="I21" s="303"/>
      <c r="J21" s="303"/>
      <c r="K21" s="303"/>
      <c r="L21" s="303"/>
      <c r="M21" s="303"/>
      <c r="N21" s="304"/>
    </row>
    <row r="22" spans="1:14">
      <c r="A22" s="345"/>
      <c r="B22" s="300" t="s">
        <v>94</v>
      </c>
      <c r="C22" s="303"/>
      <c r="D22" s="303"/>
      <c r="E22" s="303"/>
      <c r="F22" s="303"/>
      <c r="G22" s="303"/>
      <c r="H22" s="303"/>
      <c r="I22" s="348" t="s">
        <v>95</v>
      </c>
      <c r="J22" s="349"/>
      <c r="K22" s="350"/>
      <c r="L22" s="350"/>
      <c r="M22" s="350"/>
      <c r="N22" s="351"/>
    </row>
    <row r="23" spans="1:14" ht="36">
      <c r="A23" s="352"/>
      <c r="B23" s="326" t="s">
        <v>26</v>
      </c>
      <c r="C23" s="619" t="s">
        <v>86</v>
      </c>
      <c r="D23" s="619"/>
      <c r="E23" s="326" t="s">
        <v>96</v>
      </c>
      <c r="F23" s="326" t="s">
        <v>97</v>
      </c>
      <c r="G23" s="326" t="s">
        <v>98</v>
      </c>
      <c r="H23" s="321"/>
      <c r="I23" s="326" t="s">
        <v>26</v>
      </c>
      <c r="J23" s="326" t="s">
        <v>86</v>
      </c>
      <c r="K23" s="326" t="s">
        <v>99</v>
      </c>
      <c r="L23" s="326" t="s">
        <v>100</v>
      </c>
      <c r="M23" s="326" t="s">
        <v>96</v>
      </c>
      <c r="N23" s="353" t="s">
        <v>98</v>
      </c>
    </row>
    <row r="24" spans="1:14">
      <c r="A24" s="345"/>
      <c r="B24" s="329" t="str">
        <f>A4</f>
        <v>Арапова Анна-Мария</v>
      </c>
      <c r="C24" s="622" t="str">
        <f>A2</f>
        <v>ул. Набережная Ленина, 18</v>
      </c>
      <c r="D24" s="622"/>
      <c r="E24" s="334">
        <v>4.4999999999999998E-2</v>
      </c>
      <c r="F24" s="311" t="e">
        <f>#REF!</f>
        <v>#REF!</v>
      </c>
      <c r="G24" s="354" t="e">
        <f>F24*E24</f>
        <v>#REF!</v>
      </c>
      <c r="H24" s="301"/>
      <c r="I24" s="355" t="str">
        <f>B24</f>
        <v>Арапова Анна-Мария</v>
      </c>
      <c r="J24" s="356" t="str">
        <f>C24</f>
        <v>ул. Набережная Ленина, 18</v>
      </c>
      <c r="K24" s="356">
        <f>E16</f>
        <v>0</v>
      </c>
      <c r="L24" s="357">
        <f>График!AJ31</f>
        <v>444</v>
      </c>
      <c r="M24" s="334">
        <v>0.02</v>
      </c>
      <c r="N24" s="358">
        <f>1880591*M24*K24/L24</f>
        <v>0</v>
      </c>
    </row>
    <row r="25" spans="1:14">
      <c r="A25" s="352"/>
      <c r="B25" s="329" t="str">
        <f>B24</f>
        <v>Арапова Анна-Мария</v>
      </c>
      <c r="C25" s="623"/>
      <c r="D25" s="623"/>
      <c r="E25" s="334"/>
      <c r="F25" s="359"/>
      <c r="G25" s="332"/>
      <c r="H25" s="321"/>
      <c r="I25" s="360"/>
      <c r="J25" s="361"/>
      <c r="K25" s="362"/>
      <c r="L25" s="363"/>
      <c r="M25" s="364"/>
      <c r="N25" s="365"/>
    </row>
    <row r="26" spans="1:14">
      <c r="A26" s="366"/>
      <c r="B26" s="367"/>
      <c r="C26" s="367"/>
      <c r="D26" s="367"/>
      <c r="E26" s="367"/>
      <c r="F26" s="367"/>
      <c r="G26" s="367"/>
      <c r="H26" s="367"/>
      <c r="I26" s="367"/>
      <c r="J26" s="367"/>
      <c r="K26" s="367"/>
      <c r="L26" s="367"/>
      <c r="M26" s="367"/>
      <c r="N26" s="368"/>
    </row>
  </sheetData>
  <mergeCells count="18">
    <mergeCell ref="C23:D23"/>
    <mergeCell ref="C24:D24"/>
    <mergeCell ref="C25:D25"/>
    <mergeCell ref="D9:E9"/>
    <mergeCell ref="H9:I9"/>
    <mergeCell ref="J9:K9"/>
    <mergeCell ref="D10:E10"/>
    <mergeCell ref="J14:K14"/>
    <mergeCell ref="H7:I7"/>
    <mergeCell ref="J7:K7"/>
    <mergeCell ref="D8:E8"/>
    <mergeCell ref="H8:I8"/>
    <mergeCell ref="J8:K8"/>
    <mergeCell ref="A1:D1"/>
    <mergeCell ref="A2:C2"/>
    <mergeCell ref="A3:C3"/>
    <mergeCell ref="A4:C4"/>
    <mergeCell ref="D7:E7"/>
  </mergeCells>
  <pageMargins left="0.7" right="0.7" top="0.75" bottom="0.75" header="0.3" footer="0.3"/>
  <pageSetup paperSize="9" fitToWidth="0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26"/>
  <sheetViews>
    <sheetView zoomScale="85" workbookViewId="0">
      <selection activeCell="O14" sqref="O14"/>
    </sheetView>
  </sheetViews>
  <sheetFormatPr baseColWidth="10" defaultColWidth="11.5" defaultRowHeight="15"/>
  <cols>
    <col min="1" max="1" width="2.33203125" style="3" customWidth="1"/>
    <col min="2" max="2" width="17.1640625" style="3" customWidth="1"/>
    <col min="3" max="3" width="15" style="3" customWidth="1"/>
    <col min="4" max="4" width="11.5" style="3"/>
    <col min="5" max="5" width="12" style="3" customWidth="1"/>
    <col min="6" max="6" width="12.1640625" style="3" customWidth="1"/>
    <col min="7" max="7" width="11.5" style="3"/>
    <col min="8" max="8" width="11.6640625" style="3" customWidth="1"/>
    <col min="9" max="9" width="17.83203125" style="3" customWidth="1"/>
    <col min="10" max="10" width="15.5" style="3" customWidth="1"/>
    <col min="11" max="11" width="15" style="3" customWidth="1"/>
    <col min="12" max="12" width="11.5" style="3"/>
    <col min="13" max="14" width="13.33203125" style="3" customWidth="1"/>
  </cols>
  <sheetData>
    <row r="1" spans="1:19" ht="25" customHeight="1">
      <c r="A1" s="606" t="str">
        <f>График!B1</f>
        <v>Октябрь, 2025</v>
      </c>
      <c r="B1" s="607"/>
      <c r="C1" s="607"/>
      <c r="D1" s="608"/>
      <c r="E1" s="271"/>
      <c r="F1" s="272"/>
      <c r="G1" s="272"/>
      <c r="H1" s="272"/>
      <c r="I1" s="272"/>
      <c r="J1" s="272"/>
      <c r="K1" s="272"/>
      <c r="L1" s="272"/>
      <c r="M1" s="272"/>
      <c r="N1" s="273"/>
    </row>
    <row r="2" spans="1:19" ht="19" customHeight="1">
      <c r="A2" s="609" t="str">
        <f>График!B3</f>
        <v>ул. Набережная Ленина, 18</v>
      </c>
      <c r="B2" s="610"/>
      <c r="C2" s="610"/>
      <c r="D2" s="274" t="str">
        <f>График!B4</f>
        <v>GL-0005</v>
      </c>
      <c r="E2" s="275"/>
      <c r="F2" s="276"/>
      <c r="G2" s="276"/>
      <c r="H2" s="276"/>
      <c r="I2" s="276"/>
      <c r="J2" s="276"/>
      <c r="K2" s="276"/>
      <c r="L2" s="276"/>
      <c r="M2" s="276"/>
      <c r="N2" s="277"/>
    </row>
    <row r="3" spans="1:19" ht="75">
      <c r="A3" s="611" t="s">
        <v>26</v>
      </c>
      <c r="B3" s="612"/>
      <c r="C3" s="612"/>
      <c r="D3" s="278" t="s">
        <v>68</v>
      </c>
      <c r="E3" s="278" t="s">
        <v>69</v>
      </c>
      <c r="F3" s="279" t="s">
        <v>70</v>
      </c>
      <c r="G3" s="280" t="s">
        <v>71</v>
      </c>
      <c r="H3" s="281" t="s">
        <v>72</v>
      </c>
      <c r="I3" s="282" t="s">
        <v>73</v>
      </c>
      <c r="J3" s="283" t="s">
        <v>74</v>
      </c>
      <c r="K3" s="284" t="s">
        <v>75</v>
      </c>
      <c r="L3" s="285" t="s">
        <v>76</v>
      </c>
      <c r="M3" s="387" t="s">
        <v>77</v>
      </c>
      <c r="N3" s="287" t="s">
        <v>78</v>
      </c>
    </row>
    <row r="4" spans="1:19" ht="19" customHeight="1">
      <c r="A4" s="613" t="str">
        <f>График!B28</f>
        <v>Уразгильдеева Екатерина</v>
      </c>
      <c r="B4" s="614"/>
      <c r="C4" s="614"/>
      <c r="D4" s="388">
        <f>40000-C8</f>
        <v>34800</v>
      </c>
      <c r="E4" s="389"/>
      <c r="F4" s="375">
        <f>H8+H9</f>
        <v>8300</v>
      </c>
      <c r="G4" s="376">
        <f>D12</f>
        <v>19700</v>
      </c>
      <c r="H4" s="377">
        <f>D19</f>
        <v>23593.16</v>
      </c>
      <c r="I4" s="378">
        <f>L19</f>
        <v>12880.438576576576</v>
      </c>
      <c r="J4" s="390">
        <f>L12</f>
        <v>0</v>
      </c>
      <c r="K4" s="295">
        <f>H4+J4+G4+F4+I4</f>
        <v>64473.59857657658</v>
      </c>
      <c r="L4" s="296">
        <f>C8+C9+C10</f>
        <v>5200</v>
      </c>
      <c r="M4" s="297">
        <f>K4-L4-D4-E4</f>
        <v>24473.59857657658</v>
      </c>
      <c r="N4" s="298"/>
      <c r="S4" t="s">
        <v>102</v>
      </c>
    </row>
    <row r="5" spans="1:19">
      <c r="A5" s="299"/>
      <c r="B5" s="300"/>
      <c r="C5" s="301"/>
      <c r="D5" s="301"/>
      <c r="E5" s="301"/>
      <c r="F5" s="301"/>
      <c r="G5" s="301"/>
      <c r="H5" s="301"/>
      <c r="I5" s="301"/>
      <c r="J5" s="301"/>
      <c r="K5" s="302"/>
      <c r="L5" s="301"/>
      <c r="M5" s="303"/>
      <c r="N5" s="304"/>
    </row>
    <row r="6" spans="1:19">
      <c r="A6" s="299"/>
      <c r="B6" s="300" t="s">
        <v>76</v>
      </c>
      <c r="C6" s="301"/>
      <c r="D6" s="301"/>
      <c r="E6" s="301"/>
      <c r="F6" s="301"/>
      <c r="G6" s="300" t="s">
        <v>79</v>
      </c>
      <c r="H6" s="301"/>
      <c r="I6" s="301"/>
      <c r="J6" s="301"/>
      <c r="K6" s="301"/>
      <c r="L6" s="301"/>
      <c r="M6" s="303"/>
      <c r="N6" s="304"/>
    </row>
    <row r="7" spans="1:19">
      <c r="A7" s="305"/>
      <c r="B7" s="306" t="s">
        <v>27</v>
      </c>
      <c r="C7" s="306" t="s">
        <v>80</v>
      </c>
      <c r="D7" s="615" t="s">
        <v>81</v>
      </c>
      <c r="E7" s="615"/>
      <c r="F7" s="307"/>
      <c r="G7" s="306" t="s">
        <v>27</v>
      </c>
      <c r="H7" s="615" t="s">
        <v>80</v>
      </c>
      <c r="I7" s="615"/>
      <c r="J7" s="615" t="s">
        <v>81</v>
      </c>
      <c r="K7" s="615"/>
      <c r="L7" s="307"/>
      <c r="M7" s="308"/>
      <c r="N7" s="309"/>
    </row>
    <row r="8" spans="1:19" ht="20" customHeight="1">
      <c r="A8" s="299"/>
      <c r="B8" s="310">
        <v>45961</v>
      </c>
      <c r="C8" s="311">
        <v>5200</v>
      </c>
      <c r="D8" s="616" t="s">
        <v>82</v>
      </c>
      <c r="E8" s="616"/>
      <c r="F8" s="301"/>
      <c r="G8" s="310">
        <v>45961</v>
      </c>
      <c r="H8" s="629">
        <v>8300</v>
      </c>
      <c r="I8" s="629"/>
      <c r="J8" s="616" t="s">
        <v>127</v>
      </c>
      <c r="K8" s="616"/>
      <c r="L8" s="301"/>
      <c r="M8" s="303"/>
      <c r="N8" s="304"/>
    </row>
    <row r="9" spans="1:19" ht="20" customHeight="1">
      <c r="A9" s="299"/>
      <c r="B9" s="310"/>
      <c r="C9" s="311"/>
      <c r="D9" s="616"/>
      <c r="E9" s="616"/>
      <c r="F9" s="301"/>
      <c r="G9" s="310"/>
      <c r="H9" s="629"/>
      <c r="I9" s="629"/>
      <c r="J9" s="616"/>
      <c r="K9" s="616"/>
      <c r="L9" s="301"/>
      <c r="M9" s="303"/>
      <c r="N9" s="304"/>
    </row>
    <row r="10" spans="1:19" ht="20" customHeight="1">
      <c r="A10" s="299"/>
      <c r="B10" s="310"/>
      <c r="C10" s="311"/>
      <c r="D10" s="616"/>
      <c r="E10" s="616"/>
      <c r="F10" s="301"/>
      <c r="G10" s="383"/>
      <c r="H10" s="384"/>
      <c r="I10" s="384"/>
      <c r="J10" s="385"/>
      <c r="K10" s="385"/>
      <c r="L10" s="301"/>
      <c r="M10" s="303"/>
      <c r="N10" s="304"/>
    </row>
    <row r="11" spans="1:19" ht="34" customHeight="1">
      <c r="A11" s="299"/>
      <c r="B11" s="300"/>
      <c r="C11" s="301"/>
      <c r="D11" s="301"/>
      <c r="E11" s="301"/>
      <c r="F11" s="301"/>
      <c r="G11" s="301"/>
      <c r="H11" s="301"/>
      <c r="I11" s="301"/>
      <c r="J11" s="301"/>
      <c r="K11" s="301"/>
      <c r="L11" s="301"/>
      <c r="M11" s="303"/>
      <c r="N11" s="304"/>
    </row>
    <row r="12" spans="1:19">
      <c r="A12" s="313" t="s">
        <v>84</v>
      </c>
      <c r="B12" s="314"/>
      <c r="C12" s="314"/>
      <c r="D12" s="315">
        <f>G16</f>
        <v>19700</v>
      </c>
      <c r="E12" s="316"/>
      <c r="F12" s="317"/>
      <c r="G12" s="314"/>
      <c r="H12" s="314"/>
      <c r="I12" s="318" t="s">
        <v>74</v>
      </c>
      <c r="J12" s="314"/>
      <c r="K12" s="314"/>
      <c r="L12" s="319">
        <f>L16+L17</f>
        <v>0</v>
      </c>
      <c r="M12" s="317"/>
      <c r="N12" s="320"/>
    </row>
    <row r="13" spans="1:19">
      <c r="A13" s="299"/>
      <c r="B13" s="300"/>
      <c r="C13" s="301"/>
      <c r="D13" s="321"/>
      <c r="E13" s="321"/>
      <c r="F13" s="301"/>
      <c r="G13" s="301"/>
      <c r="H13" s="301"/>
      <c r="I13" s="301"/>
      <c r="J13" s="301"/>
      <c r="K13" s="303"/>
      <c r="L13" s="303"/>
      <c r="M13" s="303"/>
      <c r="N13" s="304"/>
    </row>
    <row r="14" spans="1:19">
      <c r="A14" s="322"/>
      <c r="B14" s="323" t="s">
        <v>84</v>
      </c>
      <c r="C14" s="321"/>
      <c r="D14" s="321"/>
      <c r="E14" s="321"/>
      <c r="F14" s="321"/>
      <c r="G14" s="321"/>
      <c r="H14" s="321"/>
      <c r="I14" s="321"/>
      <c r="J14" s="618" t="s">
        <v>74</v>
      </c>
      <c r="K14" s="618"/>
      <c r="L14" s="324"/>
      <c r="M14" s="324"/>
      <c r="N14" s="325"/>
    </row>
    <row r="15" spans="1:19" ht="24">
      <c r="A15" s="322"/>
      <c r="B15" s="326" t="s">
        <v>85</v>
      </c>
      <c r="C15" s="326" t="s">
        <v>86</v>
      </c>
      <c r="D15" s="326" t="s">
        <v>87</v>
      </c>
      <c r="E15" s="326" t="s">
        <v>88</v>
      </c>
      <c r="F15" s="326" t="s">
        <v>89</v>
      </c>
      <c r="G15" s="326" t="s">
        <v>90</v>
      </c>
      <c r="H15" s="321"/>
      <c r="I15" s="321"/>
      <c r="J15" s="326" t="s">
        <v>86</v>
      </c>
      <c r="K15" s="326" t="s">
        <v>58</v>
      </c>
      <c r="L15" s="326" t="s">
        <v>91</v>
      </c>
      <c r="M15" s="324"/>
      <c r="N15" s="325"/>
    </row>
    <row r="16" spans="1:19">
      <c r="A16" s="299"/>
      <c r="B16" s="328">
        <f>График!AI28</f>
        <v>20</v>
      </c>
      <c r="C16" s="329" t="str">
        <f>A2</f>
        <v>ул. Набережная Ленина, 18</v>
      </c>
      <c r="D16" s="329" t="s">
        <v>92</v>
      </c>
      <c r="E16" s="330">
        <f>График!AJ28</f>
        <v>197</v>
      </c>
      <c r="F16" s="331">
        <v>100</v>
      </c>
      <c r="G16" s="332">
        <f>E16*F16</f>
        <v>19700</v>
      </c>
      <c r="H16" s="333"/>
      <c r="I16" s="333"/>
      <c r="J16" s="329" t="str">
        <f>График!B3</f>
        <v>ул. Набережная Ленина, 18</v>
      </c>
      <c r="K16" s="334">
        <f>'Ялта, Ленина, 18'!K8</f>
        <v>0.59831984177823061</v>
      </c>
      <c r="L16" s="331">
        <v>0</v>
      </c>
      <c r="M16" s="303"/>
      <c r="N16" s="304"/>
    </row>
    <row r="17" spans="1:14">
      <c r="A17" s="322"/>
      <c r="B17" s="326"/>
      <c r="C17" s="335"/>
      <c r="D17" s="329"/>
      <c r="E17" s="336"/>
      <c r="F17" s="331"/>
      <c r="G17" s="332"/>
      <c r="H17" s="321"/>
      <c r="I17" s="321"/>
      <c r="J17" s="312"/>
      <c r="K17" s="337"/>
      <c r="L17" s="338"/>
      <c r="M17" s="324"/>
      <c r="N17" s="325"/>
    </row>
    <row r="18" spans="1:14">
      <c r="A18" s="322"/>
      <c r="B18" s="321"/>
      <c r="C18" s="339"/>
      <c r="D18" s="301"/>
      <c r="E18" s="340"/>
      <c r="F18" s="340"/>
      <c r="G18" s="341"/>
      <c r="H18" s="321"/>
      <c r="I18" s="321"/>
      <c r="J18" s="321"/>
      <c r="K18" s="321"/>
      <c r="L18" s="324"/>
      <c r="M18" s="324"/>
      <c r="N18" s="325"/>
    </row>
    <row r="19" spans="1:14">
      <c r="A19" s="313" t="s">
        <v>93</v>
      </c>
      <c r="B19" s="314"/>
      <c r="C19" s="314"/>
      <c r="D19" s="342">
        <f>G24</f>
        <v>23593.16</v>
      </c>
      <c r="E19" s="343"/>
      <c r="F19" s="317"/>
      <c r="G19" s="317"/>
      <c r="H19" s="317"/>
      <c r="I19" s="314" t="s">
        <v>73</v>
      </c>
      <c r="J19" s="317"/>
      <c r="K19" s="317"/>
      <c r="L19" s="344">
        <f>N24</f>
        <v>12880.438576576576</v>
      </c>
      <c r="M19" s="317"/>
      <c r="N19" s="320"/>
    </row>
    <row r="20" spans="1:14">
      <c r="A20" s="345"/>
      <c r="B20" s="300"/>
      <c r="C20" s="303"/>
      <c r="D20" s="303"/>
      <c r="E20" s="303"/>
      <c r="F20" s="303"/>
      <c r="G20" s="303"/>
      <c r="H20" s="303"/>
      <c r="I20" s="303"/>
      <c r="J20" s="303"/>
      <c r="K20" s="346"/>
      <c r="L20" s="134"/>
      <c r="M20" s="134"/>
      <c r="N20" s="347"/>
    </row>
    <row r="21" spans="1:14">
      <c r="A21" s="345"/>
      <c r="B21" s="301"/>
      <c r="C21" s="300"/>
      <c r="D21" s="303"/>
      <c r="E21" s="303"/>
      <c r="F21" s="303"/>
      <c r="G21" s="303"/>
      <c r="H21" s="303"/>
      <c r="I21" s="303"/>
      <c r="J21" s="303"/>
      <c r="K21" s="303"/>
      <c r="L21" s="303"/>
      <c r="M21" s="303"/>
      <c r="N21" s="304"/>
    </row>
    <row r="22" spans="1:14">
      <c r="A22" s="345"/>
      <c r="B22" s="300" t="s">
        <v>94</v>
      </c>
      <c r="C22" s="303"/>
      <c r="D22" s="303"/>
      <c r="E22" s="303"/>
      <c r="F22" s="303"/>
      <c r="G22" s="303"/>
      <c r="H22" s="303"/>
      <c r="I22" s="348" t="s">
        <v>95</v>
      </c>
      <c r="J22" s="349"/>
      <c r="K22" s="350"/>
      <c r="L22" s="350"/>
      <c r="M22" s="350"/>
      <c r="N22" s="351"/>
    </row>
    <row r="23" spans="1:14" ht="36">
      <c r="A23" s="352"/>
      <c r="B23" s="326" t="s">
        <v>26</v>
      </c>
      <c r="C23" s="619" t="s">
        <v>86</v>
      </c>
      <c r="D23" s="619"/>
      <c r="E23" s="326" t="s">
        <v>96</v>
      </c>
      <c r="F23" s="326" t="s">
        <v>97</v>
      </c>
      <c r="G23" s="326" t="s">
        <v>98</v>
      </c>
      <c r="H23" s="321"/>
      <c r="I23" s="326" t="s">
        <v>26</v>
      </c>
      <c r="J23" s="326" t="s">
        <v>86</v>
      </c>
      <c r="K23" s="326" t="s">
        <v>99</v>
      </c>
      <c r="L23" s="326" t="s">
        <v>100</v>
      </c>
      <c r="M23" s="326" t="s">
        <v>96</v>
      </c>
      <c r="N23" s="353" t="s">
        <v>98</v>
      </c>
    </row>
    <row r="24" spans="1:14" ht="20" customHeight="1">
      <c r="A24" s="345"/>
      <c r="B24" s="329" t="str">
        <f>A4</f>
        <v>Уразгильдеева Екатерина</v>
      </c>
      <c r="C24" s="622" t="str">
        <f>A2</f>
        <v>ул. Набережная Ленина, 18</v>
      </c>
      <c r="D24" s="622"/>
      <c r="E24" s="334">
        <v>0.04</v>
      </c>
      <c r="F24" s="311">
        <f>'Уразгильдеева Е. Р. '!J8</f>
        <v>589829</v>
      </c>
      <c r="G24" s="354">
        <f>F24*E24</f>
        <v>23593.16</v>
      </c>
      <c r="H24" s="301"/>
      <c r="I24" s="355" t="str">
        <f>B24</f>
        <v>Уразгильдеева Екатерина</v>
      </c>
      <c r="J24" s="356" t="str">
        <f>C24</f>
        <v>ул. Набережная Ленина, 18</v>
      </c>
      <c r="K24" s="356">
        <f>E16</f>
        <v>197</v>
      </c>
      <c r="L24" s="357">
        <f>График!AJ31</f>
        <v>444</v>
      </c>
      <c r="M24" s="334">
        <v>0.02</v>
      </c>
      <c r="N24" s="358">
        <f>'Ялта, Ленина, 18'!J8*M24*K24/L24</f>
        <v>12880.438576576576</v>
      </c>
    </row>
    <row r="25" spans="1:14" ht="17" customHeight="1">
      <c r="A25" s="352"/>
      <c r="B25" s="329" t="str">
        <f>B24</f>
        <v>Уразгильдеева Екатерина</v>
      </c>
      <c r="C25" s="623"/>
      <c r="D25" s="623"/>
      <c r="E25" s="334"/>
      <c r="F25" s="359"/>
      <c r="G25" s="332"/>
      <c r="H25" s="321"/>
      <c r="I25" s="360"/>
      <c r="J25" s="361"/>
      <c r="K25" s="362"/>
      <c r="L25" s="363"/>
      <c r="M25" s="364"/>
      <c r="N25" s="365" t="e">
        <f>1477363.14*M25*K25/L25</f>
        <v>#DIV/0!</v>
      </c>
    </row>
    <row r="26" spans="1:14">
      <c r="A26" s="366"/>
      <c r="B26" s="367"/>
      <c r="C26" s="367"/>
      <c r="D26" s="367"/>
      <c r="E26" s="367"/>
      <c r="F26" s="367"/>
      <c r="G26" s="367"/>
      <c r="H26" s="367"/>
      <c r="I26" s="367"/>
      <c r="J26" s="367"/>
      <c r="K26" s="367"/>
      <c r="L26" s="367"/>
      <c r="M26" s="367"/>
      <c r="N26" s="368"/>
    </row>
  </sheetData>
  <mergeCells count="18">
    <mergeCell ref="C23:D23"/>
    <mergeCell ref="C24:D24"/>
    <mergeCell ref="C25:D25"/>
    <mergeCell ref="D9:E9"/>
    <mergeCell ref="H9:I9"/>
    <mergeCell ref="J9:K9"/>
    <mergeCell ref="D10:E10"/>
    <mergeCell ref="J14:K14"/>
    <mergeCell ref="H7:I7"/>
    <mergeCell ref="J7:K7"/>
    <mergeCell ref="D8:E8"/>
    <mergeCell ref="H8:I8"/>
    <mergeCell ref="J8:K8"/>
    <mergeCell ref="A1:D1"/>
    <mergeCell ref="A2:C2"/>
    <mergeCell ref="A3:C3"/>
    <mergeCell ref="A4:C4"/>
    <mergeCell ref="D7:E7"/>
  </mergeCells>
  <pageMargins left="0.7" right="0.7" top="0.75" bottom="0.75" header="0.3" footer="0.3"/>
  <pageSetup paperSize="9" fitToWidth="0"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N33"/>
  <sheetViews>
    <sheetView topLeftCell="C2" zoomScale="83" workbookViewId="0">
      <selection activeCell="AJ28" sqref="AJ28"/>
    </sheetView>
  </sheetViews>
  <sheetFormatPr baseColWidth="10" defaultColWidth="11.5" defaultRowHeight="15"/>
  <cols>
    <col min="1" max="1" width="4.83203125" style="3" customWidth="1"/>
    <col min="2" max="2" width="26.6640625" style="3" customWidth="1"/>
    <col min="3" max="3" width="17" style="3" customWidth="1"/>
    <col min="4" max="34" width="6.33203125" style="3" customWidth="1"/>
    <col min="35" max="35" width="4.83203125" style="3" customWidth="1"/>
    <col min="36" max="36" width="11.1640625" style="3" customWidth="1"/>
    <col min="37" max="40" width="6.33203125" style="3" customWidth="1"/>
    <col min="41" max="16384" width="11.5" style="3"/>
  </cols>
  <sheetData>
    <row r="1" spans="1:40">
      <c r="A1" s="391"/>
      <c r="B1" s="392" t="s">
        <v>103</v>
      </c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393"/>
      <c r="S1" s="393"/>
      <c r="T1" s="393" t="s">
        <v>67</v>
      </c>
      <c r="U1" s="393"/>
      <c r="V1" s="393"/>
      <c r="W1" s="393"/>
      <c r="X1" s="393"/>
      <c r="Y1" s="393"/>
      <c r="Z1" s="393"/>
      <c r="AA1" s="393"/>
      <c r="AB1" s="393"/>
      <c r="AC1" s="393"/>
      <c r="AD1" s="393"/>
      <c r="AE1" s="393"/>
      <c r="AF1" s="393"/>
      <c r="AG1" s="393"/>
      <c r="AH1" s="393"/>
      <c r="AI1" s="393"/>
      <c r="AJ1" s="393"/>
      <c r="AK1" s="393"/>
      <c r="AL1" s="393"/>
      <c r="AM1" s="393"/>
      <c r="AN1" s="393"/>
    </row>
    <row r="2" spans="1:40" ht="16">
      <c r="A2" s="391"/>
      <c r="B2" s="394" t="s">
        <v>104</v>
      </c>
      <c r="C2" s="395"/>
      <c r="D2" s="395"/>
      <c r="E2" s="396"/>
      <c r="F2" s="396"/>
      <c r="G2" s="396"/>
      <c r="H2" s="396"/>
      <c r="I2" s="396"/>
      <c r="J2" s="396"/>
      <c r="K2" s="396"/>
      <c r="L2" s="396"/>
      <c r="M2" s="396"/>
      <c r="N2" s="396"/>
      <c r="O2" s="396"/>
      <c r="P2" s="396"/>
      <c r="Q2" s="396"/>
      <c r="R2" s="396"/>
      <c r="S2" s="396"/>
      <c r="T2" s="396"/>
      <c r="U2" s="396"/>
      <c r="V2" s="396"/>
      <c r="W2" s="396"/>
      <c r="X2" s="396"/>
      <c r="Y2" s="396"/>
      <c r="Z2" s="396"/>
      <c r="AA2" s="396"/>
      <c r="AB2" s="396"/>
      <c r="AC2" s="396"/>
      <c r="AD2" s="396"/>
      <c r="AE2" s="396"/>
      <c r="AF2" s="396"/>
      <c r="AG2" s="396"/>
      <c r="AH2" s="396"/>
      <c r="AI2" s="396"/>
      <c r="AJ2" s="396"/>
      <c r="AK2" s="396"/>
      <c r="AL2" s="396"/>
      <c r="AM2" s="396"/>
      <c r="AN2" s="396"/>
    </row>
    <row r="3" spans="1:40" ht="16">
      <c r="A3" s="391"/>
      <c r="B3" s="397" t="s">
        <v>105</v>
      </c>
      <c r="C3" s="398"/>
      <c r="D3" s="398"/>
      <c r="E3" s="399"/>
      <c r="F3" s="399"/>
      <c r="G3" s="399"/>
      <c r="H3" s="399"/>
      <c r="I3" s="399"/>
      <c r="J3" s="399"/>
      <c r="K3" s="396"/>
      <c r="L3" s="396"/>
      <c r="M3" s="396"/>
      <c r="N3" s="396"/>
      <c r="O3" s="396"/>
      <c r="P3" s="396"/>
      <c r="Q3" s="396"/>
      <c r="R3" s="396"/>
      <c r="S3" s="396"/>
      <c r="T3" s="396"/>
      <c r="U3" s="396"/>
      <c r="V3" s="396"/>
      <c r="W3" s="396"/>
      <c r="X3" s="396"/>
      <c r="Y3" s="396"/>
      <c r="Z3" s="396"/>
      <c r="AA3" s="396"/>
      <c r="AB3" s="396"/>
      <c r="AC3" s="396"/>
      <c r="AD3" s="396"/>
      <c r="AE3" s="396"/>
      <c r="AF3" s="396"/>
      <c r="AG3" s="396"/>
      <c r="AH3" s="396"/>
      <c r="AI3" s="396"/>
      <c r="AJ3" s="396"/>
      <c r="AK3" s="396"/>
      <c r="AL3" s="396"/>
      <c r="AM3" s="396"/>
      <c r="AN3" s="396"/>
    </row>
    <row r="4" spans="1:40" ht="19">
      <c r="A4" s="391"/>
      <c r="B4" s="400" t="s">
        <v>106</v>
      </c>
      <c r="C4" s="395"/>
      <c r="D4" s="395"/>
      <c r="E4" s="396"/>
      <c r="F4" s="396"/>
      <c r="G4" s="396"/>
      <c r="H4" s="396"/>
      <c r="I4" s="396"/>
      <c r="J4" s="396"/>
      <c r="K4" s="396"/>
      <c r="L4" s="396"/>
      <c r="M4" s="396"/>
      <c r="N4" s="396"/>
      <c r="O4" s="396"/>
      <c r="P4" s="396"/>
      <c r="Q4" s="396"/>
      <c r="R4" s="396"/>
      <c r="S4" s="396"/>
      <c r="T4" s="396"/>
      <c r="U4" s="396"/>
      <c r="V4" s="396"/>
      <c r="W4" s="396"/>
      <c r="X4" s="396"/>
      <c r="Y4" s="396"/>
      <c r="Z4" s="396"/>
      <c r="AA4" s="396"/>
      <c r="AB4" s="396"/>
      <c r="AC4" s="396"/>
      <c r="AD4" s="396"/>
      <c r="AE4" s="396"/>
      <c r="AF4" s="396"/>
      <c r="AG4" s="396"/>
      <c r="AH4" s="396"/>
      <c r="AI4" s="396"/>
      <c r="AJ4" s="396"/>
      <c r="AK4" s="396"/>
      <c r="AL4" s="396"/>
      <c r="AM4" s="396"/>
      <c r="AN4" s="396"/>
    </row>
    <row r="5" spans="1:40" ht="16">
      <c r="A5" s="391"/>
      <c r="B5" s="401" t="s">
        <v>107</v>
      </c>
      <c r="C5" s="396"/>
      <c r="D5" s="396"/>
      <c r="E5" s="396"/>
      <c r="F5" s="396"/>
      <c r="G5" s="396"/>
      <c r="H5" s="396"/>
      <c r="I5" s="396"/>
      <c r="J5" s="396"/>
      <c r="K5" s="396"/>
      <c r="L5" s="396"/>
      <c r="M5" s="396"/>
      <c r="N5" s="396"/>
      <c r="O5" s="396"/>
      <c r="P5" s="396"/>
      <c r="Q5" s="396"/>
      <c r="R5" s="396"/>
      <c r="S5" s="396"/>
      <c r="T5" s="396"/>
      <c r="U5" s="396"/>
      <c r="V5" s="396"/>
      <c r="W5" s="396"/>
      <c r="X5" s="396"/>
      <c r="Y5" s="396"/>
      <c r="Z5" s="396"/>
      <c r="AA5" s="396"/>
      <c r="AB5" s="396"/>
      <c r="AC5" s="396"/>
      <c r="AD5" s="396"/>
      <c r="AE5" s="396"/>
      <c r="AF5" s="396"/>
      <c r="AG5" s="396"/>
      <c r="AH5" s="396"/>
      <c r="AI5" s="396"/>
      <c r="AJ5" s="630"/>
      <c r="AK5" s="631"/>
      <c r="AL5" s="632"/>
      <c r="AM5" s="633"/>
      <c r="AN5" s="634"/>
    </row>
    <row r="6" spans="1:40">
      <c r="A6" s="391"/>
      <c r="B6" s="402" t="s">
        <v>108</v>
      </c>
      <c r="C6" s="635" t="s">
        <v>109</v>
      </c>
      <c r="D6" s="636"/>
      <c r="E6" s="636"/>
      <c r="F6" s="636"/>
      <c r="G6" s="636"/>
      <c r="H6" s="636"/>
      <c r="I6" s="636"/>
      <c r="J6" s="636"/>
      <c r="K6" s="636"/>
      <c r="L6" s="636"/>
      <c r="M6" s="636"/>
      <c r="N6" s="636"/>
      <c r="O6" s="636"/>
      <c r="P6" s="636"/>
      <c r="Q6" s="636"/>
      <c r="R6" s="636"/>
      <c r="S6" s="636"/>
      <c r="T6" s="636"/>
      <c r="U6" s="636"/>
      <c r="V6" s="636"/>
      <c r="W6" s="636"/>
      <c r="X6" s="636"/>
      <c r="Y6" s="636"/>
      <c r="Z6" s="636"/>
      <c r="AA6" s="636"/>
      <c r="AB6" s="636"/>
      <c r="AC6" s="636"/>
      <c r="AD6" s="636"/>
      <c r="AE6" s="636"/>
      <c r="AF6" s="636"/>
      <c r="AG6" s="636"/>
      <c r="AH6" s="636"/>
      <c r="AI6" s="636"/>
      <c r="AJ6" s="637"/>
      <c r="AK6" s="403">
        <v>30</v>
      </c>
      <c r="AL6" s="404"/>
      <c r="AM6" s="404"/>
      <c r="AN6" s="404"/>
    </row>
    <row r="7" spans="1:40">
      <c r="A7" s="405"/>
      <c r="B7" s="406" t="e">
        <f>BT31*100/BH31</f>
        <v>#DIV/0!</v>
      </c>
      <c r="C7" s="635"/>
      <c r="D7" s="636"/>
      <c r="E7" s="636"/>
      <c r="F7" s="636"/>
      <c r="G7" s="636"/>
      <c r="H7" s="636"/>
      <c r="I7" s="636"/>
      <c r="J7" s="636"/>
      <c r="K7" s="636"/>
      <c r="L7" s="636"/>
      <c r="M7" s="636"/>
      <c r="N7" s="636"/>
      <c r="O7" s="636"/>
      <c r="P7" s="636"/>
      <c r="Q7" s="636"/>
      <c r="R7" s="636"/>
      <c r="S7" s="636"/>
      <c r="T7" s="636"/>
      <c r="U7" s="636"/>
      <c r="V7" s="636"/>
      <c r="W7" s="636"/>
      <c r="X7" s="636"/>
      <c r="Y7" s="636"/>
      <c r="Z7" s="636"/>
      <c r="AA7" s="636"/>
      <c r="AB7" s="636"/>
      <c r="AC7" s="636"/>
      <c r="AD7" s="636"/>
      <c r="AE7" s="636"/>
      <c r="AF7" s="636"/>
      <c r="AG7" s="636"/>
      <c r="AH7" s="636"/>
      <c r="AI7" s="636"/>
      <c r="AJ7" s="637"/>
      <c r="AK7" s="407"/>
      <c r="AL7" s="407"/>
      <c r="AM7" s="408"/>
      <c r="AN7" s="408"/>
    </row>
    <row r="8" spans="1:40" ht="30">
      <c r="A8" s="409"/>
      <c r="B8" s="410"/>
      <c r="C8" s="411"/>
      <c r="D8" s="412" t="s">
        <v>48</v>
      </c>
      <c r="E8" s="412" t="s">
        <v>50</v>
      </c>
      <c r="F8" s="412" t="s">
        <v>51</v>
      </c>
      <c r="G8" s="412" t="s">
        <v>53</v>
      </c>
      <c r="H8" s="412" t="s">
        <v>54</v>
      </c>
      <c r="I8" s="412" t="s">
        <v>55</v>
      </c>
      <c r="J8" s="412" t="s">
        <v>56</v>
      </c>
      <c r="K8" s="412" t="s">
        <v>48</v>
      </c>
      <c r="L8" s="412" t="s">
        <v>50</v>
      </c>
      <c r="M8" s="412" t="s">
        <v>51</v>
      </c>
      <c r="N8" s="412" t="s">
        <v>53</v>
      </c>
      <c r="O8" s="412" t="s">
        <v>54</v>
      </c>
      <c r="P8" s="412" t="s">
        <v>55</v>
      </c>
      <c r="Q8" s="412" t="s">
        <v>56</v>
      </c>
      <c r="R8" s="412" t="s">
        <v>48</v>
      </c>
      <c r="S8" s="412" t="s">
        <v>50</v>
      </c>
      <c r="T8" s="412" t="s">
        <v>51</v>
      </c>
      <c r="U8" s="412" t="s">
        <v>53</v>
      </c>
      <c r="V8" s="412" t="s">
        <v>54</v>
      </c>
      <c r="W8" s="412" t="s">
        <v>55</v>
      </c>
      <c r="X8" s="412" t="s">
        <v>56</v>
      </c>
      <c r="Y8" s="412" t="s">
        <v>48</v>
      </c>
      <c r="Z8" s="412" t="s">
        <v>50</v>
      </c>
      <c r="AA8" s="412" t="s">
        <v>51</v>
      </c>
      <c r="AB8" s="412" t="s">
        <v>53</v>
      </c>
      <c r="AC8" s="412" t="s">
        <v>54</v>
      </c>
      <c r="AD8" s="412" t="s">
        <v>55</v>
      </c>
      <c r="AE8" s="412" t="s">
        <v>56</v>
      </c>
      <c r="AF8" s="412" t="s">
        <v>48</v>
      </c>
      <c r="AG8" s="412" t="s">
        <v>50</v>
      </c>
      <c r="AH8" s="412" t="s">
        <v>51</v>
      </c>
      <c r="AI8" s="413"/>
      <c r="AJ8" s="414" t="s">
        <v>110</v>
      </c>
      <c r="AK8" s="414" t="s">
        <v>111</v>
      </c>
      <c r="AL8" s="638" t="s">
        <v>112</v>
      </c>
      <c r="AM8" s="638" t="s">
        <v>113</v>
      </c>
      <c r="AN8" s="642" t="s">
        <v>114</v>
      </c>
    </row>
    <row r="9" spans="1:40">
      <c r="A9" s="391"/>
      <c r="B9" s="396"/>
      <c r="C9" s="415"/>
      <c r="D9" s="416"/>
      <c r="E9" s="416"/>
      <c r="F9" s="416"/>
      <c r="G9" s="416"/>
      <c r="H9" s="416"/>
      <c r="I9" s="416"/>
      <c r="J9" s="416"/>
      <c r="K9" s="416"/>
      <c r="L9" s="416"/>
      <c r="M9" s="416"/>
      <c r="N9" s="416"/>
      <c r="O9" s="416"/>
      <c r="P9" s="416"/>
      <c r="Q9" s="416"/>
      <c r="R9" s="416"/>
      <c r="S9" s="416"/>
      <c r="T9" s="416"/>
      <c r="U9" s="416"/>
      <c r="V9" s="416"/>
      <c r="W9" s="416"/>
      <c r="X9" s="416"/>
      <c r="Y9" s="416"/>
      <c r="Z9" s="416"/>
      <c r="AA9" s="416"/>
      <c r="AB9" s="416"/>
      <c r="AC9" s="416"/>
      <c r="AD9" s="416"/>
      <c r="AE9" s="416"/>
      <c r="AF9" s="416"/>
      <c r="AG9" s="416"/>
      <c r="AH9" s="416"/>
      <c r="AI9" s="417"/>
      <c r="AJ9" s="418"/>
      <c r="AK9" s="418"/>
      <c r="AL9" s="639"/>
      <c r="AM9" s="639"/>
      <c r="AN9" s="643"/>
    </row>
    <row r="10" spans="1:40">
      <c r="A10" s="419" t="s">
        <v>115</v>
      </c>
      <c r="B10" s="420" t="s">
        <v>116</v>
      </c>
      <c r="C10" s="421" t="s">
        <v>87</v>
      </c>
      <c r="D10" s="422">
        <v>1</v>
      </c>
      <c r="E10" s="422">
        <v>2</v>
      </c>
      <c r="F10" s="422">
        <v>3</v>
      </c>
      <c r="G10" s="422">
        <v>4</v>
      </c>
      <c r="H10" s="422">
        <v>5</v>
      </c>
      <c r="I10" s="422">
        <v>6</v>
      </c>
      <c r="J10" s="422">
        <v>7</v>
      </c>
      <c r="K10" s="422">
        <v>8</v>
      </c>
      <c r="L10" s="422">
        <v>9</v>
      </c>
      <c r="M10" s="422">
        <v>10</v>
      </c>
      <c r="N10" s="422">
        <v>11</v>
      </c>
      <c r="O10" s="422">
        <v>12</v>
      </c>
      <c r="P10" s="422">
        <v>13</v>
      </c>
      <c r="Q10" s="422">
        <v>14</v>
      </c>
      <c r="R10" s="422">
        <v>15</v>
      </c>
      <c r="S10" s="422">
        <v>16</v>
      </c>
      <c r="T10" s="422">
        <v>17</v>
      </c>
      <c r="U10" s="422">
        <v>18</v>
      </c>
      <c r="V10" s="422">
        <v>19</v>
      </c>
      <c r="W10" s="422">
        <v>20</v>
      </c>
      <c r="X10" s="422">
        <v>21</v>
      </c>
      <c r="Y10" s="422">
        <v>22</v>
      </c>
      <c r="Z10" s="422">
        <v>23</v>
      </c>
      <c r="AA10" s="422">
        <v>24</v>
      </c>
      <c r="AB10" s="422">
        <v>25</v>
      </c>
      <c r="AC10" s="422">
        <v>26</v>
      </c>
      <c r="AD10" s="422">
        <v>27</v>
      </c>
      <c r="AE10" s="422">
        <v>28</v>
      </c>
      <c r="AF10" s="422">
        <v>29</v>
      </c>
      <c r="AG10" s="422">
        <v>30</v>
      </c>
      <c r="AH10" s="422">
        <v>31</v>
      </c>
      <c r="AI10" s="423" t="s">
        <v>117</v>
      </c>
      <c r="AJ10" s="424"/>
      <c r="AK10" s="425"/>
      <c r="AL10" s="640"/>
      <c r="AM10" s="641"/>
      <c r="AN10" s="644"/>
    </row>
    <row r="11" spans="1:40">
      <c r="A11" s="426">
        <v>20</v>
      </c>
      <c r="B11" s="427"/>
      <c r="C11" s="428"/>
      <c r="D11" s="428"/>
      <c r="E11" s="428"/>
      <c r="F11" s="428"/>
      <c r="G11" s="428"/>
      <c r="H11" s="428"/>
      <c r="I11" s="428"/>
      <c r="J11" s="428"/>
      <c r="K11" s="428"/>
      <c r="L11" s="428"/>
      <c r="M11" s="428"/>
      <c r="N11" s="428"/>
      <c r="O11" s="428"/>
      <c r="P11" s="428"/>
      <c r="Q11" s="428"/>
      <c r="R11" s="428"/>
      <c r="S11" s="428"/>
      <c r="T11" s="428"/>
      <c r="U11" s="428"/>
      <c r="V11" s="428"/>
      <c r="W11" s="428"/>
      <c r="X11" s="428"/>
      <c r="Y11" s="428"/>
      <c r="Z11" s="429"/>
      <c r="AA11" s="429"/>
      <c r="AB11" s="429"/>
      <c r="AC11" s="429"/>
      <c r="AD11" s="429"/>
      <c r="AE11" s="429"/>
      <c r="AF11" s="428"/>
      <c r="AG11" s="428"/>
      <c r="AH11" s="430"/>
      <c r="AI11" s="431">
        <v>0</v>
      </c>
      <c r="AJ11" s="432">
        <v>0</v>
      </c>
      <c r="AK11" s="433">
        <v>0</v>
      </c>
      <c r="AL11" s="433">
        <v>0</v>
      </c>
      <c r="AM11" s="433">
        <v>0</v>
      </c>
      <c r="AN11" s="434">
        <v>0</v>
      </c>
    </row>
    <row r="12" spans="1:40">
      <c r="A12" s="435">
        <v>19</v>
      </c>
      <c r="B12" s="436"/>
      <c r="C12" s="437"/>
      <c r="D12" s="437"/>
      <c r="E12" s="437"/>
      <c r="F12" s="437"/>
      <c r="G12" s="437"/>
      <c r="H12" s="437"/>
      <c r="I12" s="437"/>
      <c r="J12" s="437"/>
      <c r="K12" s="437"/>
      <c r="L12" s="437"/>
      <c r="M12" s="437"/>
      <c r="N12" s="437"/>
      <c r="O12" s="437"/>
      <c r="P12" s="437"/>
      <c r="Q12" s="437"/>
      <c r="R12" s="437"/>
      <c r="S12" s="437"/>
      <c r="T12" s="437"/>
      <c r="U12" s="437"/>
      <c r="V12" s="437"/>
      <c r="W12" s="437"/>
      <c r="X12" s="437"/>
      <c r="Y12" s="437"/>
      <c r="Z12" s="438"/>
      <c r="AA12" s="438"/>
      <c r="AB12" s="438"/>
      <c r="AC12" s="438"/>
      <c r="AD12" s="438"/>
      <c r="AE12" s="438"/>
      <c r="AF12" s="437"/>
      <c r="AG12" s="437"/>
      <c r="AH12" s="439"/>
      <c r="AI12" s="440">
        <v>0</v>
      </c>
      <c r="AJ12" s="441">
        <v>0</v>
      </c>
      <c r="AK12" s="442">
        <v>0</v>
      </c>
      <c r="AL12" s="442">
        <v>0</v>
      </c>
      <c r="AM12" s="442">
        <v>0</v>
      </c>
      <c r="AN12" s="443">
        <v>0</v>
      </c>
    </row>
    <row r="13" spans="1:40">
      <c r="A13" s="435">
        <v>18</v>
      </c>
      <c r="B13" s="436"/>
      <c r="C13" s="437"/>
      <c r="D13" s="437"/>
      <c r="E13" s="437"/>
      <c r="F13" s="437"/>
      <c r="G13" s="437"/>
      <c r="H13" s="437"/>
      <c r="I13" s="437"/>
      <c r="J13" s="437"/>
      <c r="K13" s="437"/>
      <c r="L13" s="437"/>
      <c r="M13" s="437"/>
      <c r="N13" s="437"/>
      <c r="O13" s="437"/>
      <c r="P13" s="437"/>
      <c r="Q13" s="437"/>
      <c r="R13" s="437"/>
      <c r="S13" s="437"/>
      <c r="T13" s="437"/>
      <c r="U13" s="437"/>
      <c r="V13" s="437"/>
      <c r="W13" s="437"/>
      <c r="X13" s="437"/>
      <c r="Y13" s="437"/>
      <c r="Z13" s="438"/>
      <c r="AA13" s="438"/>
      <c r="AB13" s="438"/>
      <c r="AC13" s="438"/>
      <c r="AD13" s="438"/>
      <c r="AE13" s="438"/>
      <c r="AF13" s="437"/>
      <c r="AG13" s="437"/>
      <c r="AH13" s="439"/>
      <c r="AI13" s="440">
        <v>0</v>
      </c>
      <c r="AJ13" s="432">
        <v>0</v>
      </c>
      <c r="AK13" s="433">
        <v>0</v>
      </c>
      <c r="AL13" s="433">
        <v>0</v>
      </c>
      <c r="AM13" s="433">
        <v>0</v>
      </c>
      <c r="AN13" s="434">
        <v>0</v>
      </c>
    </row>
    <row r="14" spans="1:40">
      <c r="A14" s="435">
        <v>17</v>
      </c>
      <c r="B14" s="436"/>
      <c r="C14" s="437"/>
      <c r="D14" s="437"/>
      <c r="E14" s="437"/>
      <c r="F14" s="437"/>
      <c r="G14" s="437"/>
      <c r="H14" s="437"/>
      <c r="I14" s="437"/>
      <c r="J14" s="437"/>
      <c r="K14" s="437"/>
      <c r="L14" s="437"/>
      <c r="M14" s="437"/>
      <c r="N14" s="437"/>
      <c r="O14" s="437"/>
      <c r="P14" s="437"/>
      <c r="Q14" s="437"/>
      <c r="R14" s="437"/>
      <c r="S14" s="437"/>
      <c r="T14" s="437"/>
      <c r="U14" s="437"/>
      <c r="V14" s="437"/>
      <c r="W14" s="437"/>
      <c r="X14" s="437"/>
      <c r="Y14" s="437"/>
      <c r="Z14" s="437"/>
      <c r="AA14" s="437"/>
      <c r="AB14" s="437"/>
      <c r="AC14" s="437"/>
      <c r="AD14" s="437"/>
      <c r="AE14" s="437"/>
      <c r="AF14" s="437"/>
      <c r="AG14" s="437"/>
      <c r="AH14" s="439"/>
      <c r="AI14" s="440">
        <v>0</v>
      </c>
      <c r="AJ14" s="441">
        <v>0</v>
      </c>
      <c r="AK14" s="442">
        <v>0</v>
      </c>
      <c r="AL14" s="442">
        <v>0</v>
      </c>
      <c r="AM14" s="442">
        <v>0</v>
      </c>
      <c r="AN14" s="443">
        <v>0</v>
      </c>
    </row>
    <row r="15" spans="1:40">
      <c r="A15" s="435">
        <v>16</v>
      </c>
      <c r="B15" s="436"/>
      <c r="C15" s="437"/>
      <c r="D15" s="437"/>
      <c r="E15" s="437"/>
      <c r="F15" s="437"/>
      <c r="G15" s="437"/>
      <c r="H15" s="437"/>
      <c r="I15" s="437"/>
      <c r="J15" s="437"/>
      <c r="K15" s="437"/>
      <c r="L15" s="437"/>
      <c r="M15" s="437"/>
      <c r="N15" s="437"/>
      <c r="O15" s="437"/>
      <c r="P15" s="437"/>
      <c r="Q15" s="437"/>
      <c r="R15" s="437"/>
      <c r="S15" s="437"/>
      <c r="T15" s="444"/>
      <c r="U15" s="437"/>
      <c r="V15" s="437"/>
      <c r="W15" s="437"/>
      <c r="X15" s="437"/>
      <c r="Y15" s="437"/>
      <c r="Z15" s="437"/>
      <c r="AA15" s="437"/>
      <c r="AB15" s="437"/>
      <c r="AC15" s="437"/>
      <c r="AD15" s="437"/>
      <c r="AE15" s="437"/>
      <c r="AF15" s="437"/>
      <c r="AG15" s="437"/>
      <c r="AH15" s="439"/>
      <c r="AI15" s="440">
        <v>0</v>
      </c>
      <c r="AJ15" s="432">
        <v>0</v>
      </c>
      <c r="AK15" s="433">
        <v>0</v>
      </c>
      <c r="AL15" s="433">
        <v>0</v>
      </c>
      <c r="AM15" s="433">
        <v>0</v>
      </c>
      <c r="AN15" s="434">
        <v>0</v>
      </c>
    </row>
    <row r="16" spans="1:40">
      <c r="A16" s="435">
        <v>15</v>
      </c>
      <c r="B16" s="436"/>
      <c r="C16" s="437"/>
      <c r="D16" s="437"/>
      <c r="E16" s="437"/>
      <c r="F16" s="437"/>
      <c r="G16" s="437"/>
      <c r="H16" s="437"/>
      <c r="I16" s="437"/>
      <c r="J16" s="437"/>
      <c r="K16" s="437"/>
      <c r="L16" s="437"/>
      <c r="M16" s="437"/>
      <c r="N16" s="437"/>
      <c r="O16" s="437"/>
      <c r="P16" s="437"/>
      <c r="Q16" s="437"/>
      <c r="R16" s="437"/>
      <c r="S16" s="437"/>
      <c r="T16" s="437"/>
      <c r="U16" s="437"/>
      <c r="V16" s="437"/>
      <c r="W16" s="437"/>
      <c r="X16" s="437"/>
      <c r="Y16" s="437"/>
      <c r="Z16" s="437"/>
      <c r="AA16" s="437"/>
      <c r="AB16" s="437"/>
      <c r="AC16" s="437"/>
      <c r="AD16" s="437"/>
      <c r="AE16" s="437"/>
      <c r="AF16" s="437"/>
      <c r="AG16" s="437"/>
      <c r="AH16" s="439"/>
      <c r="AI16" s="440">
        <v>0</v>
      </c>
      <c r="AJ16" s="441">
        <v>0</v>
      </c>
      <c r="AK16" s="442">
        <v>0</v>
      </c>
      <c r="AL16" s="442">
        <v>0</v>
      </c>
      <c r="AM16" s="442">
        <v>0</v>
      </c>
      <c r="AN16" s="443">
        <v>0</v>
      </c>
    </row>
    <row r="17" spans="1:40">
      <c r="A17" s="435">
        <v>14</v>
      </c>
      <c r="B17" s="436"/>
      <c r="C17" s="437"/>
      <c r="D17" s="437"/>
      <c r="E17" s="437"/>
      <c r="F17" s="437"/>
      <c r="G17" s="437"/>
      <c r="H17" s="437"/>
      <c r="I17" s="437"/>
      <c r="J17" s="437"/>
      <c r="K17" s="437"/>
      <c r="L17" s="437"/>
      <c r="M17" s="437"/>
      <c r="N17" s="437"/>
      <c r="O17" s="437"/>
      <c r="P17" s="437"/>
      <c r="Q17" s="437"/>
      <c r="R17" s="437"/>
      <c r="S17" s="437"/>
      <c r="T17" s="437"/>
      <c r="U17" s="437"/>
      <c r="V17" s="437"/>
      <c r="W17" s="437"/>
      <c r="X17" s="437"/>
      <c r="Y17" s="437"/>
      <c r="Z17" s="437"/>
      <c r="AA17" s="437"/>
      <c r="AB17" s="437"/>
      <c r="AC17" s="437"/>
      <c r="AD17" s="437"/>
      <c r="AE17" s="437"/>
      <c r="AF17" s="437"/>
      <c r="AG17" s="437"/>
      <c r="AH17" s="439"/>
      <c r="AI17" s="440">
        <v>0</v>
      </c>
      <c r="AJ17" s="441">
        <v>0</v>
      </c>
      <c r="AK17" s="442">
        <v>0</v>
      </c>
      <c r="AL17" s="442">
        <v>0</v>
      </c>
      <c r="AM17" s="442">
        <v>0</v>
      </c>
      <c r="AN17" s="443">
        <v>0</v>
      </c>
    </row>
    <row r="18" spans="1:40">
      <c r="A18" s="435">
        <v>13</v>
      </c>
      <c r="B18" s="436"/>
      <c r="C18" s="437"/>
      <c r="D18" s="437"/>
      <c r="E18" s="437"/>
      <c r="F18" s="437"/>
      <c r="G18" s="437"/>
      <c r="H18" s="437"/>
      <c r="I18" s="437"/>
      <c r="J18" s="437"/>
      <c r="K18" s="437"/>
      <c r="L18" s="437"/>
      <c r="M18" s="437"/>
      <c r="N18" s="437"/>
      <c r="O18" s="437"/>
      <c r="P18" s="437"/>
      <c r="Q18" s="437"/>
      <c r="R18" s="437"/>
      <c r="S18" s="437"/>
      <c r="T18" s="437"/>
      <c r="U18" s="437"/>
      <c r="V18" s="437"/>
      <c r="W18" s="437"/>
      <c r="X18" s="437"/>
      <c r="Y18" s="437"/>
      <c r="Z18" s="437"/>
      <c r="AA18" s="437"/>
      <c r="AB18" s="437"/>
      <c r="AC18" s="437"/>
      <c r="AD18" s="437"/>
      <c r="AE18" s="437"/>
      <c r="AF18" s="437"/>
      <c r="AG18" s="437"/>
      <c r="AH18" s="439"/>
      <c r="AI18" s="440">
        <v>0</v>
      </c>
      <c r="AJ18" s="441">
        <v>0</v>
      </c>
      <c r="AK18" s="442">
        <v>0</v>
      </c>
      <c r="AL18" s="442">
        <v>0</v>
      </c>
      <c r="AM18" s="442">
        <v>0</v>
      </c>
      <c r="AN18" s="443">
        <v>0</v>
      </c>
    </row>
    <row r="19" spans="1:40">
      <c r="A19" s="435">
        <v>12</v>
      </c>
      <c r="B19" s="436"/>
      <c r="C19" s="437"/>
      <c r="D19" s="437"/>
      <c r="E19" s="437"/>
      <c r="F19" s="437"/>
      <c r="G19" s="437"/>
      <c r="H19" s="437"/>
      <c r="I19" s="437"/>
      <c r="J19" s="437"/>
      <c r="K19" s="437"/>
      <c r="L19" s="437"/>
      <c r="M19" s="437"/>
      <c r="N19" s="437"/>
      <c r="O19" s="437"/>
      <c r="P19" s="437"/>
      <c r="Q19" s="437"/>
      <c r="R19" s="437"/>
      <c r="S19" s="437"/>
      <c r="T19" s="437"/>
      <c r="U19" s="437"/>
      <c r="V19" s="437"/>
      <c r="W19" s="437"/>
      <c r="X19" s="437"/>
      <c r="Y19" s="437"/>
      <c r="Z19" s="437"/>
      <c r="AA19" s="437"/>
      <c r="AB19" s="437"/>
      <c r="AC19" s="437"/>
      <c r="AD19" s="437"/>
      <c r="AE19" s="437"/>
      <c r="AF19" s="437"/>
      <c r="AG19" s="437"/>
      <c r="AH19" s="439"/>
      <c r="AI19" s="440">
        <v>0</v>
      </c>
      <c r="AJ19" s="441">
        <v>0</v>
      </c>
      <c r="AK19" s="442">
        <v>0</v>
      </c>
      <c r="AL19" s="442">
        <v>0</v>
      </c>
      <c r="AM19" s="442">
        <v>0</v>
      </c>
      <c r="AN19" s="443">
        <v>0</v>
      </c>
    </row>
    <row r="20" spans="1:40">
      <c r="A20" s="435">
        <v>11</v>
      </c>
      <c r="B20" s="436"/>
      <c r="C20" s="437"/>
      <c r="D20" s="437"/>
      <c r="E20" s="437"/>
      <c r="F20" s="437"/>
      <c r="G20" s="437"/>
      <c r="H20" s="437"/>
      <c r="I20" s="437"/>
      <c r="J20" s="437"/>
      <c r="K20" s="437"/>
      <c r="L20" s="437"/>
      <c r="M20" s="437"/>
      <c r="N20" s="437"/>
      <c r="O20" s="437"/>
      <c r="P20" s="437"/>
      <c r="Q20" s="437"/>
      <c r="R20" s="437"/>
      <c r="S20" s="437"/>
      <c r="T20" s="437"/>
      <c r="U20" s="437"/>
      <c r="V20" s="437"/>
      <c r="W20" s="437"/>
      <c r="X20" s="437"/>
      <c r="Y20" s="437"/>
      <c r="Z20" s="437"/>
      <c r="AA20" s="437"/>
      <c r="AB20" s="437"/>
      <c r="AC20" s="437"/>
      <c r="AD20" s="437"/>
      <c r="AE20" s="437"/>
      <c r="AF20" s="437"/>
      <c r="AG20" s="437"/>
      <c r="AH20" s="439"/>
      <c r="AI20" s="440">
        <v>0</v>
      </c>
      <c r="AJ20" s="441">
        <v>0</v>
      </c>
      <c r="AK20" s="442">
        <v>0</v>
      </c>
      <c r="AL20" s="442">
        <v>0</v>
      </c>
      <c r="AM20" s="442">
        <v>0</v>
      </c>
      <c r="AN20" s="443">
        <v>0</v>
      </c>
    </row>
    <row r="21" spans="1:40">
      <c r="A21" s="435">
        <v>10</v>
      </c>
      <c r="B21" s="436"/>
      <c r="C21" s="445"/>
      <c r="D21" s="437"/>
      <c r="E21" s="437"/>
      <c r="F21" s="437"/>
      <c r="G21" s="437"/>
      <c r="H21" s="437"/>
      <c r="I21" s="437"/>
      <c r="J21" s="437"/>
      <c r="K21" s="437"/>
      <c r="L21" s="437"/>
      <c r="M21" s="437"/>
      <c r="N21" s="437"/>
      <c r="O21" s="437"/>
      <c r="P21" s="437"/>
      <c r="Q21" s="437"/>
      <c r="R21" s="437"/>
      <c r="S21" s="437"/>
      <c r="T21" s="437"/>
      <c r="U21" s="437"/>
      <c r="V21" s="437"/>
      <c r="W21" s="437"/>
      <c r="X21" s="437"/>
      <c r="Y21" s="437"/>
      <c r="Z21" s="437"/>
      <c r="AA21" s="437"/>
      <c r="AB21" s="437"/>
      <c r="AC21" s="437"/>
      <c r="AD21" s="437"/>
      <c r="AE21" s="437"/>
      <c r="AF21" s="437"/>
      <c r="AG21" s="437"/>
      <c r="AH21" s="439"/>
      <c r="AI21" s="440">
        <v>0</v>
      </c>
      <c r="AJ21" s="441">
        <v>0</v>
      </c>
      <c r="AK21" s="442">
        <v>0</v>
      </c>
      <c r="AL21" s="442">
        <v>0</v>
      </c>
      <c r="AM21" s="442">
        <v>0</v>
      </c>
      <c r="AN21" s="443">
        <v>0</v>
      </c>
    </row>
    <row r="22" spans="1:40">
      <c r="A22" s="435">
        <v>9</v>
      </c>
      <c r="B22" s="436"/>
      <c r="C22" s="437"/>
      <c r="D22" s="437"/>
      <c r="E22" s="437"/>
      <c r="F22" s="437"/>
      <c r="G22" s="437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7"/>
      <c r="W22" s="437"/>
      <c r="X22" s="437"/>
      <c r="Y22" s="437"/>
      <c r="Z22" s="437"/>
      <c r="AA22" s="437"/>
      <c r="AB22" s="437"/>
      <c r="AC22" s="437"/>
      <c r="AD22" s="437"/>
      <c r="AE22" s="437"/>
      <c r="AF22" s="437"/>
      <c r="AG22" s="437"/>
      <c r="AH22" s="439"/>
      <c r="AI22" s="440">
        <f t="shared" ref="AI22:AI24" si="0">COUNTIF(D22:AH22, "&gt;0")</f>
        <v>0</v>
      </c>
      <c r="AJ22" s="441">
        <v>0</v>
      </c>
      <c r="AK22" s="442">
        <v>0</v>
      </c>
      <c r="AL22" s="442">
        <v>0</v>
      </c>
      <c r="AM22" s="442">
        <v>0</v>
      </c>
      <c r="AN22" s="443">
        <v>0</v>
      </c>
    </row>
    <row r="23" spans="1:40">
      <c r="A23" s="435">
        <v>8</v>
      </c>
      <c r="B23" s="446"/>
      <c r="C23" s="447"/>
      <c r="D23" s="447"/>
      <c r="E23" s="447"/>
      <c r="F23" s="447"/>
      <c r="G23" s="447"/>
      <c r="H23" s="447"/>
      <c r="I23" s="447"/>
      <c r="J23" s="447"/>
      <c r="K23" s="447"/>
      <c r="L23" s="447"/>
      <c r="M23" s="447"/>
      <c r="N23" s="448"/>
      <c r="O23" s="449"/>
      <c r="P23" s="449"/>
      <c r="Q23" s="449"/>
      <c r="R23" s="449"/>
      <c r="S23" s="449"/>
      <c r="T23" s="449"/>
      <c r="U23" s="449"/>
      <c r="V23" s="449"/>
      <c r="W23" s="450"/>
      <c r="X23" s="449"/>
      <c r="Y23" s="449"/>
      <c r="Z23" s="449"/>
      <c r="AA23" s="449"/>
      <c r="AB23" s="449"/>
      <c r="AC23" s="449"/>
      <c r="AD23" s="449"/>
      <c r="AE23" s="449"/>
      <c r="AF23" s="449"/>
      <c r="AG23" s="449"/>
      <c r="AH23" s="451"/>
      <c r="AI23" s="440">
        <f t="shared" si="0"/>
        <v>0</v>
      </c>
      <c r="AJ23" s="441">
        <v>0</v>
      </c>
      <c r="AK23" s="442">
        <v>0</v>
      </c>
      <c r="AL23" s="442">
        <v>0</v>
      </c>
      <c r="AM23" s="442">
        <v>0</v>
      </c>
      <c r="AN23" s="443">
        <v>0</v>
      </c>
    </row>
    <row r="24" spans="1:40" ht="16">
      <c r="A24" s="435">
        <v>7</v>
      </c>
      <c r="B24" s="452"/>
      <c r="C24" s="453"/>
      <c r="D24" s="454"/>
      <c r="E24" s="454"/>
      <c r="F24" s="454"/>
      <c r="G24" s="454"/>
      <c r="H24" s="449"/>
      <c r="I24" s="449"/>
      <c r="J24" s="447"/>
      <c r="K24" s="447"/>
      <c r="L24" s="449"/>
      <c r="M24" s="449"/>
      <c r="N24" s="447"/>
      <c r="O24" s="447"/>
      <c r="P24" s="449"/>
      <c r="Q24" s="449"/>
      <c r="R24" s="447"/>
      <c r="S24" s="447"/>
      <c r="T24" s="449"/>
      <c r="U24" s="449"/>
      <c r="V24" s="449"/>
      <c r="W24" s="447"/>
      <c r="X24" s="447"/>
      <c r="Y24" s="449"/>
      <c r="Z24" s="449"/>
      <c r="AA24" s="449"/>
      <c r="AB24" s="447"/>
      <c r="AC24" s="447"/>
      <c r="AD24" s="449"/>
      <c r="AE24" s="449"/>
      <c r="AF24" s="449"/>
      <c r="AG24" s="449"/>
      <c r="AH24" s="447"/>
      <c r="AI24" s="440">
        <f t="shared" si="0"/>
        <v>0</v>
      </c>
      <c r="AJ24" s="441">
        <v>0</v>
      </c>
      <c r="AK24" s="442">
        <v>0</v>
      </c>
      <c r="AL24" s="442">
        <v>0</v>
      </c>
      <c r="AM24" s="442">
        <v>0</v>
      </c>
      <c r="AN24" s="443">
        <v>0</v>
      </c>
    </row>
    <row r="25" spans="1:40" ht="16">
      <c r="A25" s="455">
        <v>6</v>
      </c>
      <c r="B25" s="452"/>
      <c r="C25" s="453"/>
      <c r="D25" s="456"/>
      <c r="E25" s="456"/>
      <c r="F25" s="456"/>
      <c r="G25" s="454"/>
      <c r="H25" s="457"/>
      <c r="I25" s="457"/>
      <c r="J25" s="458"/>
      <c r="K25" s="458"/>
      <c r="L25" s="458"/>
      <c r="M25" s="458"/>
      <c r="N25" s="458"/>
      <c r="O25" s="458"/>
      <c r="P25" s="458"/>
      <c r="Q25" s="458"/>
      <c r="R25" s="458"/>
      <c r="S25" s="447"/>
      <c r="T25" s="457"/>
      <c r="U25" s="457"/>
      <c r="V25" s="457"/>
      <c r="W25" s="458"/>
      <c r="X25" s="458"/>
      <c r="Y25" s="457"/>
      <c r="Z25" s="457"/>
      <c r="AA25" s="457"/>
      <c r="AB25" s="459"/>
      <c r="AC25" s="458"/>
      <c r="AD25" s="457"/>
      <c r="AE25" s="457"/>
      <c r="AF25" s="457"/>
      <c r="AG25" s="457"/>
      <c r="AH25" s="458"/>
      <c r="AI25" s="460">
        <f>COUNTIF(D25:AH25,"&gt;0")</f>
        <v>0</v>
      </c>
      <c r="AJ25" s="461">
        <f t="shared" ref="AJ25:AJ30" si="1">SUMIF(D25:AH25,"&gt;0")</f>
        <v>0</v>
      </c>
      <c r="AK25" s="462">
        <f>COUNTIF(D25:AH25,"В")</f>
        <v>0</v>
      </c>
      <c r="AL25" s="462">
        <f>COUNTIF(E25:AI25,"о")</f>
        <v>0</v>
      </c>
      <c r="AM25" s="462">
        <f>COUNTIF(F25:AJ25,"б")</f>
        <v>0</v>
      </c>
      <c r="AN25" s="463">
        <v>0</v>
      </c>
    </row>
    <row r="26" spans="1:40" ht="16">
      <c r="A26" s="464">
        <v>5</v>
      </c>
      <c r="B26" s="452"/>
      <c r="C26" s="449"/>
      <c r="D26" s="454"/>
      <c r="E26" s="454"/>
      <c r="F26" s="454"/>
      <c r="G26" s="454"/>
      <c r="H26" s="454"/>
      <c r="I26" s="447"/>
      <c r="J26" s="449"/>
      <c r="K26" s="449"/>
      <c r="L26" s="449"/>
      <c r="M26" s="449"/>
      <c r="N26" s="449"/>
      <c r="O26" s="447"/>
      <c r="P26" s="447"/>
      <c r="Q26" s="449"/>
      <c r="R26" s="447"/>
      <c r="S26" s="454"/>
      <c r="T26" s="447"/>
      <c r="U26" s="449"/>
      <c r="V26" s="449"/>
      <c r="W26" s="449"/>
      <c r="X26" s="449"/>
      <c r="Y26" s="449"/>
      <c r="Z26" s="449"/>
      <c r="AA26" s="449"/>
      <c r="AB26" s="449"/>
      <c r="AC26" s="449"/>
      <c r="AD26" s="449"/>
      <c r="AE26" s="449"/>
      <c r="AF26" s="449"/>
      <c r="AG26" s="449"/>
      <c r="AH26" s="447"/>
      <c r="AI26" s="465">
        <f>COUNTIF(D26:AH26, "&gt;0")</f>
        <v>0</v>
      </c>
      <c r="AJ26" s="466">
        <f t="shared" si="1"/>
        <v>0</v>
      </c>
      <c r="AK26" s="467">
        <f>COUNTIF(D26:AH26, "В")</f>
        <v>0</v>
      </c>
      <c r="AL26" s="467">
        <v>0</v>
      </c>
      <c r="AM26" s="467">
        <v>0</v>
      </c>
      <c r="AN26" s="468">
        <v>0</v>
      </c>
    </row>
    <row r="27" spans="1:40" ht="16">
      <c r="A27" s="469">
        <v>4</v>
      </c>
      <c r="B27" s="446" t="s">
        <v>118</v>
      </c>
      <c r="C27" s="470"/>
      <c r="D27" s="454"/>
      <c r="E27" s="447"/>
      <c r="F27" s="454"/>
      <c r="G27" s="454"/>
      <c r="H27" s="454"/>
      <c r="I27" s="447"/>
      <c r="J27" s="447"/>
      <c r="K27" s="454"/>
      <c r="L27" s="454"/>
      <c r="M27" s="454"/>
      <c r="N27" s="449"/>
      <c r="O27" s="449"/>
      <c r="P27" s="454"/>
      <c r="Q27" s="454"/>
      <c r="R27" s="454"/>
      <c r="S27" s="447"/>
      <c r="T27" s="447"/>
      <c r="U27" s="454"/>
      <c r="V27" s="454"/>
      <c r="W27" s="454"/>
      <c r="X27" s="454"/>
      <c r="Y27" s="454"/>
      <c r="Z27" s="454"/>
      <c r="AA27" s="454"/>
      <c r="AB27" s="454" t="s">
        <v>119</v>
      </c>
      <c r="AC27" s="454" t="s">
        <v>120</v>
      </c>
      <c r="AD27" s="454" t="s">
        <v>120</v>
      </c>
      <c r="AE27" s="454" t="s">
        <v>120</v>
      </c>
      <c r="AF27" s="454" t="s">
        <v>67</v>
      </c>
      <c r="AG27" s="454" t="s">
        <v>120</v>
      </c>
      <c r="AH27" s="454" t="s">
        <v>121</v>
      </c>
      <c r="AI27" s="471">
        <f t="shared" ref="AI27:AI29" si="2">COUNTIF(D27:AH27,"&gt;0")</f>
        <v>0</v>
      </c>
      <c r="AJ27" s="461">
        <f t="shared" si="1"/>
        <v>0</v>
      </c>
      <c r="AK27" s="462">
        <f t="shared" ref="AK27:AK29" si="3">COUNTIF(D27:AH27,"В")</f>
        <v>1</v>
      </c>
      <c r="AL27" s="462">
        <f t="shared" ref="AL27:AL29" si="4">COUNTIF(E27:AI27,"о")</f>
        <v>0</v>
      </c>
      <c r="AM27" s="462">
        <f t="shared" ref="AM27:AM29" si="5">COUNTIF(F27:AJ27,"б")</f>
        <v>0</v>
      </c>
      <c r="AN27" s="472">
        <v>0</v>
      </c>
    </row>
    <row r="28" spans="1:40" ht="16">
      <c r="A28" s="455">
        <v>3</v>
      </c>
      <c r="B28" s="452" t="s">
        <v>122</v>
      </c>
      <c r="C28" s="470" t="s">
        <v>92</v>
      </c>
      <c r="D28" s="473">
        <v>12</v>
      </c>
      <c r="E28" s="473">
        <v>9</v>
      </c>
      <c r="F28" s="473">
        <v>7</v>
      </c>
      <c r="G28" s="454" t="s">
        <v>67</v>
      </c>
      <c r="H28" s="473">
        <v>9</v>
      </c>
      <c r="I28" s="473">
        <v>9</v>
      </c>
      <c r="J28" s="473" t="s">
        <v>67</v>
      </c>
      <c r="K28" s="474">
        <v>9</v>
      </c>
      <c r="L28" s="454">
        <v>12</v>
      </c>
      <c r="M28" s="473">
        <v>9</v>
      </c>
      <c r="N28" s="473" t="s">
        <v>67</v>
      </c>
      <c r="O28" s="474" t="s">
        <v>67</v>
      </c>
      <c r="P28" s="474">
        <v>12</v>
      </c>
      <c r="Q28" s="454">
        <v>9</v>
      </c>
      <c r="R28" s="475" t="s">
        <v>67</v>
      </c>
      <c r="S28" s="475" t="s">
        <v>67</v>
      </c>
      <c r="T28" s="476">
        <v>12</v>
      </c>
      <c r="U28" s="476">
        <v>9</v>
      </c>
      <c r="V28" s="475">
        <v>8</v>
      </c>
      <c r="W28" s="475" t="s">
        <v>67</v>
      </c>
      <c r="X28" s="476" t="s">
        <v>67</v>
      </c>
      <c r="Y28" s="477">
        <v>11</v>
      </c>
      <c r="Z28" s="476" t="s">
        <v>67</v>
      </c>
      <c r="AA28" s="475">
        <v>11</v>
      </c>
      <c r="AB28" s="476">
        <v>9</v>
      </c>
      <c r="AC28" s="477">
        <v>9</v>
      </c>
      <c r="AD28" s="478" t="s">
        <v>67</v>
      </c>
      <c r="AE28" s="476" t="s">
        <v>67</v>
      </c>
      <c r="AF28" s="475">
        <v>11</v>
      </c>
      <c r="AG28" s="475">
        <v>11</v>
      </c>
      <c r="AH28" s="454">
        <v>9</v>
      </c>
      <c r="AI28" s="471">
        <f t="shared" si="2"/>
        <v>20</v>
      </c>
      <c r="AJ28" s="645">
        <f t="shared" si="1"/>
        <v>197</v>
      </c>
      <c r="AK28" s="462">
        <f t="shared" si="3"/>
        <v>11</v>
      </c>
      <c r="AL28" s="462">
        <f t="shared" si="4"/>
        <v>0</v>
      </c>
      <c r="AM28" s="462">
        <f t="shared" si="5"/>
        <v>0</v>
      </c>
      <c r="AN28" s="463">
        <v>0</v>
      </c>
    </row>
    <row r="29" spans="1:40" ht="16">
      <c r="A29" s="455">
        <v>2</v>
      </c>
      <c r="B29" s="479" t="s">
        <v>123</v>
      </c>
      <c r="C29" s="470" t="s">
        <v>124</v>
      </c>
      <c r="D29" s="473" t="s">
        <v>67</v>
      </c>
      <c r="E29" s="473">
        <v>10</v>
      </c>
      <c r="F29" s="473">
        <v>8</v>
      </c>
      <c r="G29" s="473">
        <v>12</v>
      </c>
      <c r="H29" s="473">
        <v>9</v>
      </c>
      <c r="I29" s="473">
        <v>9</v>
      </c>
      <c r="J29" s="473">
        <v>12</v>
      </c>
      <c r="K29" s="473">
        <v>7</v>
      </c>
      <c r="L29" s="473" t="s">
        <v>67</v>
      </c>
      <c r="M29" s="473" t="s">
        <v>67</v>
      </c>
      <c r="N29" s="473">
        <v>12</v>
      </c>
      <c r="O29" s="473">
        <v>12</v>
      </c>
      <c r="P29" s="473">
        <v>6</v>
      </c>
      <c r="Q29" s="473">
        <v>9</v>
      </c>
      <c r="R29" s="476">
        <v>11</v>
      </c>
      <c r="S29" s="475">
        <v>11</v>
      </c>
      <c r="T29" s="475">
        <v>7</v>
      </c>
      <c r="U29" s="475">
        <v>8</v>
      </c>
      <c r="V29" s="476">
        <v>6</v>
      </c>
      <c r="W29" s="475">
        <v>11</v>
      </c>
      <c r="X29" s="475">
        <v>11</v>
      </c>
      <c r="Y29" s="475" t="s">
        <v>67</v>
      </c>
      <c r="Z29" s="475">
        <v>11</v>
      </c>
      <c r="AA29" s="475">
        <v>8</v>
      </c>
      <c r="AB29" s="475">
        <v>11</v>
      </c>
      <c r="AC29" s="475">
        <v>9</v>
      </c>
      <c r="AD29" s="475">
        <v>11</v>
      </c>
      <c r="AE29" s="476">
        <v>11</v>
      </c>
      <c r="AF29" s="476">
        <v>6</v>
      </c>
      <c r="AG29" s="475" t="s">
        <v>67</v>
      </c>
      <c r="AH29" s="454">
        <v>9</v>
      </c>
      <c r="AI29" s="471">
        <f t="shared" si="2"/>
        <v>26</v>
      </c>
      <c r="AJ29" s="461">
        <f t="shared" si="1"/>
        <v>247</v>
      </c>
      <c r="AK29" s="462">
        <f t="shared" si="3"/>
        <v>5</v>
      </c>
      <c r="AL29" s="462">
        <f t="shared" si="4"/>
        <v>0</v>
      </c>
      <c r="AM29" s="462">
        <f t="shared" si="5"/>
        <v>0</v>
      </c>
      <c r="AN29" s="463">
        <v>0</v>
      </c>
    </row>
    <row r="30" spans="1:40" ht="16">
      <c r="A30" s="480">
        <v>1</v>
      </c>
      <c r="B30" s="481"/>
      <c r="C30" s="482"/>
      <c r="D30" s="483"/>
      <c r="E30" s="454"/>
      <c r="F30" s="454"/>
      <c r="G30" s="454"/>
      <c r="H30" s="454"/>
      <c r="I30" s="454"/>
      <c r="J30" s="454"/>
      <c r="K30" s="454"/>
      <c r="L30" s="484"/>
      <c r="M30" s="454"/>
      <c r="N30" s="454"/>
      <c r="O30" s="454"/>
      <c r="P30" s="454"/>
      <c r="Q30" s="454"/>
      <c r="R30" s="454"/>
      <c r="S30" s="454"/>
      <c r="T30" s="454"/>
      <c r="U30" s="485"/>
      <c r="V30" s="486"/>
      <c r="W30" s="454"/>
      <c r="X30" s="454"/>
      <c r="Y30" s="454"/>
      <c r="Z30" s="454"/>
      <c r="AA30" s="454"/>
      <c r="AB30" s="454"/>
      <c r="AC30" s="454"/>
      <c r="AD30" s="454"/>
      <c r="AE30" s="454"/>
      <c r="AF30" s="454"/>
      <c r="AG30" s="454"/>
      <c r="AH30" s="454"/>
      <c r="AI30" s="487">
        <f>COUNTIF(D30:AH30, "&gt;0")</f>
        <v>0</v>
      </c>
      <c r="AJ30" s="466">
        <f t="shared" si="1"/>
        <v>0</v>
      </c>
      <c r="AK30" s="488">
        <f>COUNTIF(D30:AH30, "В")</f>
        <v>0</v>
      </c>
      <c r="AL30" s="488">
        <f>COUNTIF(E30:AI30, "о")</f>
        <v>0</v>
      </c>
      <c r="AM30" s="488">
        <f>COUNTIF(F30:AJ30, "б")</f>
        <v>0</v>
      </c>
      <c r="AN30" s="489">
        <v>0</v>
      </c>
    </row>
    <row r="31" spans="1:40">
      <c r="A31" s="490"/>
      <c r="B31" s="491" t="s">
        <v>125</v>
      </c>
      <c r="C31" s="492"/>
      <c r="D31" s="493">
        <f t="shared" ref="D31:J31" si="6">COUNTIF(D11:D30, "&gt;0")</f>
        <v>1</v>
      </c>
      <c r="E31" s="491">
        <f t="shared" si="6"/>
        <v>2</v>
      </c>
      <c r="F31" s="491">
        <f t="shared" si="6"/>
        <v>2</v>
      </c>
      <c r="G31" s="491">
        <f t="shared" si="6"/>
        <v>1</v>
      </c>
      <c r="H31" s="491">
        <f t="shared" si="6"/>
        <v>2</v>
      </c>
      <c r="I31" s="491">
        <f t="shared" si="6"/>
        <v>2</v>
      </c>
      <c r="J31" s="491">
        <f t="shared" si="6"/>
        <v>1</v>
      </c>
      <c r="K31" s="491">
        <f>COUNTIF(K11:K29, "&gt;0")</f>
        <v>2</v>
      </c>
      <c r="L31" s="491">
        <f t="shared" ref="L31:AH31" si="7">COUNTIF(L11:L30, "&gt;0")</f>
        <v>1</v>
      </c>
      <c r="M31" s="491">
        <f t="shared" si="7"/>
        <v>1</v>
      </c>
      <c r="N31" s="491">
        <f t="shared" si="7"/>
        <v>1</v>
      </c>
      <c r="O31" s="491">
        <f t="shared" si="7"/>
        <v>1</v>
      </c>
      <c r="P31" s="491">
        <f t="shared" si="7"/>
        <v>2</v>
      </c>
      <c r="Q31" s="491">
        <f t="shared" si="7"/>
        <v>2</v>
      </c>
      <c r="R31" s="491">
        <f t="shared" si="7"/>
        <v>1</v>
      </c>
      <c r="S31" s="491">
        <f t="shared" si="7"/>
        <v>1</v>
      </c>
      <c r="T31" s="491">
        <f t="shared" si="7"/>
        <v>2</v>
      </c>
      <c r="U31" s="491">
        <f t="shared" si="7"/>
        <v>2</v>
      </c>
      <c r="V31" s="491">
        <f t="shared" si="7"/>
        <v>2</v>
      </c>
      <c r="W31" s="491">
        <f t="shared" si="7"/>
        <v>1</v>
      </c>
      <c r="X31" s="491">
        <f t="shared" si="7"/>
        <v>1</v>
      </c>
      <c r="Y31" s="491">
        <f t="shared" si="7"/>
        <v>1</v>
      </c>
      <c r="Z31" s="491">
        <f t="shared" si="7"/>
        <v>1</v>
      </c>
      <c r="AA31" s="491">
        <f t="shared" si="7"/>
        <v>2</v>
      </c>
      <c r="AB31" s="491">
        <f t="shared" si="7"/>
        <v>2</v>
      </c>
      <c r="AC31" s="491">
        <f t="shared" si="7"/>
        <v>2</v>
      </c>
      <c r="AD31" s="491">
        <f t="shared" si="7"/>
        <v>1</v>
      </c>
      <c r="AE31" s="491">
        <f t="shared" si="7"/>
        <v>1</v>
      </c>
      <c r="AF31" s="491">
        <f t="shared" si="7"/>
        <v>2</v>
      </c>
      <c r="AG31" s="491">
        <f t="shared" si="7"/>
        <v>1</v>
      </c>
      <c r="AH31" s="494">
        <f t="shared" si="7"/>
        <v>2</v>
      </c>
      <c r="AI31" s="495"/>
      <c r="AJ31" s="496">
        <f>SUM(AJ11:AJ30)</f>
        <v>444</v>
      </c>
      <c r="AK31" s="496">
        <f>SUM(AK11:AK30)</f>
        <v>17</v>
      </c>
      <c r="AL31" s="496">
        <f>SUM(AL11:AL30)</f>
        <v>0</v>
      </c>
      <c r="AM31" s="496">
        <f>SUM(AM11:AM30)</f>
        <v>0</v>
      </c>
      <c r="AN31" s="496">
        <f>SUM(AN11:AN30)</f>
        <v>0</v>
      </c>
    </row>
    <row r="33" spans="16:16">
      <c r="P33" s="3" t="s">
        <v>126</v>
      </c>
    </row>
  </sheetData>
  <mergeCells count="7">
    <mergeCell ref="AJ5:AK5"/>
    <mergeCell ref="AL5:AN5"/>
    <mergeCell ref="C6:AJ6"/>
    <mergeCell ref="C7:AJ7"/>
    <mergeCell ref="AL8:AL10"/>
    <mergeCell ref="AM8:AM10"/>
    <mergeCell ref="AN8:AN10"/>
  </mergeCells>
  <pageMargins left="0.7" right="0.7" top="0.75" bottom="0.75" header="0.3" footer="0.3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Ялта, Ленина, 18</vt:lpstr>
      <vt:lpstr>Конкурс</vt:lpstr>
      <vt:lpstr>Св. по пок.</vt:lpstr>
      <vt:lpstr>План на день</vt:lpstr>
      <vt:lpstr>Рогалевич И. Е. </vt:lpstr>
      <vt:lpstr>Уразгильдеева Е. Р. </vt:lpstr>
      <vt:lpstr>Вед-ть Рогалевич</vt:lpstr>
      <vt:lpstr>Вед-ть ПК 2</vt:lpstr>
      <vt:lpstr>Вед-ть Уразгильдеева</vt:lpstr>
      <vt:lpstr>График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lenadacenko@icloud.com</cp:lastModifiedBy>
  <cp:revision>834</cp:revision>
  <dcterms:created xsi:type="dcterms:W3CDTF">2025-04-30T22:17:27Z</dcterms:created>
  <dcterms:modified xsi:type="dcterms:W3CDTF">2025-11-09T14:39:35Z</dcterms:modified>
</cp:coreProperties>
</file>