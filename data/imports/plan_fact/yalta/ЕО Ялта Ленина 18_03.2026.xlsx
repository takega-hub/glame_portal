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7" rupBuild="10404"/>
  <s:workbookPr/>
  <s:bookViews>
    <s:workbookView xr2:uid="{00000000-000D-0000-FFFF-FFFF00000000}" xWindow="0" yWindow="580" windowWidth="25600" windowHeight="16060" firstSheet="1" activeTab="9"/>
  </s:bookViews>
  <s:sheets>
    <s:sheet name="Ялта, Ленина, 18" sheetId="1" state="visible" r:id="rId1"/>
    <s:sheet name="Конкурс" sheetId="2" state="visible" r:id="rId2"/>
    <s:sheet name="Св. по пок." sheetId="3" state="visible" r:id="rId3"/>
    <s:sheet name="План на день" sheetId="4" state="visible" r:id="rId4"/>
    <s:sheet name="Рогалевич" sheetId="5" state="visible" r:id="rId5"/>
    <s:sheet name="Уразгильдеева" sheetId="6" state="visible" r:id="rId6"/>
    <s:sheet name="Самошкина" sheetId="12" state="visible" r:id="rId7"/>
    <s:sheet name="Вед-ть Рогалевич" sheetId="8" state="visible" r:id="rId8"/>
    <s:sheet name="Вед-ть Уразгильдеева" sheetId="9" state="visible" r:id="rId9"/>
    <s:sheet name="Вед-ть Самошкина" sheetId="11" state="visible" r:id="rId10"/>
    <s:sheet name="График" sheetId="10" state="visible" r:id="rId11"/>
  </s:sheets>
  <s:externalReferences>
    <s:externalReference r:id="rId12"/>
    <s:externalReference r:id="rId13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<s:sst xmlns:s="http://schemas.openxmlformats.org/spreadsheetml/2006/main" count="621" uniqueCount="147">
  <s:si>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</s:si>
  <s:si>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</s:si>
  <s:si>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</s:si>
  <s:si>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</s:si>
  <s:si>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</s:si>
  <s:si>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</s:si>
  <s:si>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</s:si>
  <s:si>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</s:si>
  <s:si>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</s:si>
  <s:si>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</s:si>
  <s:si>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</s:si>
  <s:si>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</s:si>
  <s:si>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</s:si>
  <s:si>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</s:si>
  <s:si>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</s:si>
  <s:si>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</s:si>
  <s:si>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</s:si>
  <s:si>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</s:si>
  <s:si>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</s:si>
  <s:si>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</s:si>
  <s:si>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</s:si>
  <s:si>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Трафик</s:t>
  </s:si>
  <s:si>
    <s:t>Выручка на  вошедшего</s:t>
  </s:si>
  <s:si>
    <s:t>Конверсия план/факт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</s:si>
  <s:si>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</s:si>
  <s:si>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</s:si>
  <s:si>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</s:si>
  <s:si>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</s:si>
  <s:si>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</s:si>
  <s:si>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</s:si>
  <s:si>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</s:si>
  <s:si>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</s:si>
  <s:si>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</s:si>
  <s:si>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</s:si>
  <s:si>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</s:si>
  <s:si>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</s:si>
  <s:si>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</s:si>
  <s:si>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</s:si>
  <s:si>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</s:si>
  <s:si>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</s:si>
  <s:si>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</s:si>
  <s:si>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Antyra</s:t>
  </s:si>
  <s:si>
    <s:t>SALE</s:t>
  </s:si>
  <s:si>
    <s:t>Конверсия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</s:si>
  <s:si>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</s:si>
  <s:si>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</s:si>
  <s:si>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</s:si>
  <s:si>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</s:si>
  <s:si>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</s:si>
  <s:si>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</s:si>
  <s:si>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</s:si>
  <s:si>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</s:si>
  <s:si>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</s:si>
  <s:si>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вс</s:t>
  </s:si>
  <s:si>
    <s:t>Рогалевич</s:t>
  </s:si>
  <s:si>
    <s:t>пн</s:t>
  </s:si>
  <s:si>
    <s:t>вт</s:t>
  </s:si>
  <s:si>
    <s:t>ср</s:t>
  </s:si>
  <s:si>
    <s:t>чт</s:t>
  </s:si>
  <s:si>
    <s:t>пт</s:t>
  </s:si>
  <s:si>
    <s:t>сб</s:t>
  </s:si>
  <s:si>
    <s:t>Рогалевич,Уразгильдеева</s:t>
  </s:si>
  <s:si>
    <s:t>Рогалевич.Уразгильдеева</s:t>
  </s:si>
  <s:si>
    <s:t>итого</s:t>
  </s:si>
  <s:si>
    <s:t>Личный ежедневный КВП, %</s:t>
  </s:si>
  <s:si>
    <s:t>Сотруник</s:t>
  </s:si>
  <s:si>
    <s:t>Итого:</s:t>
  </s:si>
  <s:si>
    <s:t>Рогалевич Ирина</s:t>
  </s:si>
  <s:si>
    <s:t>Арапова Анна</s:t>
  </s:si>
  <s:si>
    <s:t>Уразгильдеева Екатерина</s:t>
  </s:si>
  <s:si>
    <s:t>Личный КВП, баллы</s:t>
  </s:si>
  <s:si>
    <s:t>1-20.08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</s:si>
  <s:si>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</s:si>
  <s:si>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</s:si>
  <s:si>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</s:si>
  <s:si>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</s:si>
  <s:si>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>CC\MP</s:t>
  </s:si>
  <s:si>
    <s:t>Antura</s:t>
  </s:si>
  <s:si>
    <s:t>Конверсия (%)</s:t>
  </s:si>
  <s:si>
    <s:t>.22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</s:si>
  <s:si>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</s:si>
  <s:si>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</s:si>
  <s:si>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</s:si>
  <s:si>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</s:si>
  <s:si>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</s:si>
  <s:si>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общих продаж</s:t>
  </s:si>
  <s:si>
    <s:t>Вычеты</s:t>
  </s:si>
  <s:si>
    <s:t>Итого к выдаче с учетом авансов и вычетов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</s:si>
  <s:si>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</s:si>
  <s:si>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</s:si>
  <s:si>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</s:si>
  <s:si>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</s:si>
  <s:si>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</s:si>
  <s:si>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</s:si>
  <s:si>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</s:si>
  <s:si>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</s:si>
  <s:si>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</s:si>
  <s:si>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</s:si>
  <s:si>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</s:si>
  <s:si>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ПК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</s:si>
  <s:si>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</s:si>
  <s:si>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</s:si>
  <s:si>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</s:si>
  <s:si>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</s:si>
  <s:si>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</s:si>
  <s:si>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</s:si>
  <s:si>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</s:si>
  <s:si>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г. Ялта</s:t>
  </s:si>
  <s:si>
    <s:t>Симферополь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</s:si>
  <s:si>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</s:si>
  <s:si>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</s:si>
  <s:si>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</s:si>
  <s:si>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</s:si>
  <s:si>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</s:si>
  <s:si>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</s:si>
  <s:si>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</s:si>
  <s:si>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</s:si>
  <s:si>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</s:si>
  <s:si>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</s:si>
  <s:si>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</s:si>
  <s:si>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</s:si>
  <s:si>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</s:si>
  <s:si>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УМ</s:t>
  </s:si>
  <s:si>
    <s:t>Итого магазин</s:t>
  </s:si>
  <s:si>
    <s:t xml:space="preserve">    </s:t>
  </s:si>
  <s:si>
    <s:t>Март, 2026</s:t>
  </s:si>
  <s:si>
    <s:t/>
  </s:si>
  <s:si>
    <s:t>Самошкина Алина</s:t>
  </s:si>
  <s:si>
    <s:t>11с</s:t>
  </s:si>
  <s:si>
    <s:t>6с</s:t>
  </s:si>
  <s:si>
    <s:t>Уразгильдеева</s:t>
  </s:si>
  <s:si>
    <s:t>с</s:t>
  </s:si>
  <s:si>
    <s:t>Рогалевич,Самошкина</s:t>
  </s:si>
  <s:si>
    <s:t>Рогалевич,</s:t>
  </s:si>
  <s:si>
    <s:t>Личный</s:t>
  </s:si>
  <s:si>
    <s:t>Категория товара</s:t>
  </s:si>
  <s:si>
    <s:t>Категория A</s:t>
  </s:si>
  <s:si>
    <s:t>Категория N (SALE, IS)</s:t>
  </s:si>
  <s:si>
    <s:t>НДФЛ</s:t>
  </s:si>
  <s:si>
    <s:t>Вычет согласно инвентаризационной ведомости</s:t>
  </s:si>
  <s:si>
    <s:t>Чек-лист</s:t>
  </s:si>
  <s:si>
    <s:t>% наличного оборота ( &gt; &lt; 60%)</s:t>
  </s:si>
  <s:si>
    <s:t>ЕЖЕДНЕВНЫЙ ОТЧЕТ О ПРОДАЖАХ</s:t>
  </s:si>
  <s:si>
    <s:t>Самошкина</s:t>
  </s:si>
  <s:si>
    <s:t>Уразгильдеева,Самошкина</s:t>
  </s:si>
  <s:si>
    <s:t>% Управляющий магазином</s:t>
  </s:si>
  <s:si>
    <s:t>Вычет согласно инвентаризационной ведомости от 12.03.2026</s:t>
  </s:si>
</s:sst>
</file>

<file path=xl/styles.xml><?xml version="1.0" encoding="utf-8"?>
<s:styleSheet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57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theme="1"/>
      <s:sz val="8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color theme="1"/>
      <s:sz val="9"/>
    </s:font>
    <s:font>
      <s:name val="Clinica Pro Regular"/>
      <s:sz val="10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alibri"/>
      <s:family val="2"/>
      <s:color indexed="63"/>
      <s:sz val="11"/>
    </s:font>
    <s:font>
      <s:name val="Clinica Pro Regular"/>
      <s:charset val="204"/>
      <s:b val="1"/>
      <s:color rgb="FF413003"/>
      <s:sz val="8"/>
    </s:font>
    <s:font>
      <s:name val="Clinica Pro Regular"/>
      <s:charset val="204"/>
      <s:b val="1"/>
      <s:sz val="8"/>
    </s:font>
  </s:fonts>
  <s:fills count="38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DEEBF7"/>
        <s:bgColor rgb="FFDEEBF7"/>
      </s:patternFill>
    </s:fill>
    <s:fill>
      <s:patternFill patternType="solid">
        <s:fgColor rgb="FFDAE3F3"/>
        <s:bgColor rgb="FFDAE3F3"/>
      </s:patternFill>
    </s:fill>
    <s:fill>
      <s:patternFill patternType="solid">
        <s:fgColor rgb="FFFFE699"/>
        <s:bgColor rgb="FFFFE699"/>
      </s:patternFill>
    </s:fill>
    <s:fill>
      <s:patternFill patternType="solid">
        <s:fgColor rgb="FFE2EFDA"/>
        <s:bgColor rgb="FFE2EFDA"/>
      </s:patternFill>
    </s:fill>
    <s:fill>
      <s:patternFill patternType="solid">
        <s:fgColor rgb="FFE7E6E6"/>
        <s:bgColor rgb="FFE7E6E6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5" tint="0.8"/>
        <s:bgColor indexed="64"/>
      </s:patternFill>
    </s:fill>
  </s:fills>
  <s:borders count="114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medium">
        <s:color indexed="64"/>
      </s:top>
      <s:bottom/>
      <s:diagonal/>
    </s:border>
    <s:border>
      <s:left style="medium">
        <s:color auto="1"/>
      </s:left>
      <s:right style="thin">
        <s:color rgb="FFCCC085"/>
      </s:right>
      <s:top/>
      <s:bottom style="thin">
        <s:color auto="1"/>
      </s:bottom>
      <s:diagonal/>
    </s:border>
    <s:border>
      <s:left style="thin">
        <s:color rgb="FFCCC085"/>
      </s:left>
      <s:right style="medium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thin">
        <s:color rgb="FFCCC085"/>
      </s:right>
      <s:top style="thin">
        <s:color auto="1"/>
      </s:top>
      <s:bottom style="thin">
        <s:color indexed="64"/>
      </s:bottom>
      <s:diagonal/>
    </s:border>
    <s:border>
      <s:left style="thin">
        <s:color rgb="FFCCC085"/>
      </s:left>
      <s:right style="medium">
        <s:color auto="1"/>
      </s:right>
      <s:top style="thin">
        <s:color auto="1"/>
      </s:top>
      <s:bottom style="thin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9" fontId="54" fillId="0" borderId="0" applyFont="0" applyFill="0" applyBorder="0" applyProtection="0"/>
  </s:cellStyleXfs>
  <s:cellXfs count="610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0" fontId="16" fillId="0" borderId="15" xfId="0" applyFont="1" applyBorder="1" applyAlignment="1">
      <s:alignment horizontal="left"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3" fontId="16" fillId="3" borderId="16" xfId="0" applyNumberFormat="1" applyFont="1" applyFill="1" applyBorder="1" applyAlignment="1">
      <s:alignment horizontal="center" vertical="center" mc:Ignorable="vyd"/>
    </s:xf>
    <s:xf numFmtId="10" fontId="0" fillId="2" borderId="0" xfId="0" applyNumberFormat="1" applyFill="1"/>
    <s:xf numFmtId="3" fontId="16" fillId="7" borderId="24" xfId="0" applyNumberFormat="1" applyFont="1" applyFill="1" applyBorder="1" applyAlignment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0" borderId="34" xfId="1" applyNumberFormat="1" applyFont="1" applyBorder="1" applyAlignment="1" applyProtection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8" borderId="24" xfId="0" applyFont="1" applyFill="1" applyBorder="1" applyAlignment="1">
      <s:alignment horizontal="center" vertical="center" wrapText="1" mc:Ignorable="vyd"/>
    </s:xf>
    <s:xf numFmtId="0" fontId="17" fillId="9" borderId="24" xfId="0" applyFont="1" applyFill="1" applyBorder="1" applyAlignment="1">
      <s:alignment horizontal="center" vertical="center" wrapText="1" mc:Ignorable="vyd"/>
    </s:xf>
    <s:xf numFmtId="0" fontId="17" fillId="8" borderId="0" xfId="0" applyFont="1" applyFill="1" applyAlignment="1">
      <s:alignment horizontal="center" vertical="center" wrapText="1" mc:Ignorable="vyd"/>
    </s:xf>
    <s:xf numFmtId="0" fontId="26" fillId="8" borderId="24" xfId="0" applyFont="1" applyFill="1" applyBorder="1" applyAlignment="1">
      <s:alignment horizontal="center" vertical="center" wrapText="1" mc:Ignorable="vyd"/>
    </s:xf>
    <s:xf numFmtId="0" fontId="26" fillId="8" borderId="0" xfId="0" applyFont="1" applyFill="1" applyAlignment="1">
      <s:alignment horizontal="center" vertical="center" wrapText="1" mc:Ignorable="vyd"/>
    </s:xf>
    <s:xf numFmtId="0" fontId="16" fillId="8" borderId="24" xfId="0" applyFont="1" applyFill="1" applyBorder="1" applyAlignment="1">
      <s:alignment horizontal="center" vertical="top" wrapText="1" mc:Ignorable="vyd"/>
    </s:xf>
    <s:xf numFmtId="0" fontId="17" fillId="8" borderId="24" xfId="0" applyFont="1" applyFill="1" applyBorder="1" applyAlignment="1">
      <s:alignment horizontal="center" vertical="top" wrapText="1" mc:Ignorable="vyd"/>
    </s:xf>
    <s:xf numFmtId="0" fontId="27" fillId="10" borderId="24" xfId="0" applyFont="1" applyFill="1" applyBorder="1" applyAlignment="1">
      <s:alignment horizontal="center" vertical="center" mc:Ignorable="vyd"/>
    </s:xf>
    <s:xf numFmtId="3" fontId="16" fillId="10" borderId="24" xfId="0" applyNumberFormat="1" applyFont="1" applyFill="1" applyBorder="1" applyAlignment="1">
      <s:alignment horizontal="center" vertical="top" mc:Ignorable="vyd"/>
    </s:xf>
    <s:xf numFmtId="4" fontId="16" fillId="10" borderId="24" xfId="0" applyNumberFormat="1" applyFont="1" applyFill="1" applyBorder="1" applyAlignment="1">
      <s:alignment horizontal="center" vertical="top" mc:Ignorable="vyd"/>
    </s:xf>
    <s:xf numFmtId="9" fontId="3" fillId="10" borderId="24" xfId="0" applyNumberFormat="1" applyFont="1" applyFill="1" applyBorder="1" applyAlignment="1">
      <s:alignment horizontal="center" vertical="center" mc:Ignorable="vyd"/>
    </s:xf>
    <s:xf numFmtId="3" fontId="16" fillId="10" borderId="24" xfId="0" applyNumberFormat="1" applyFont="1" applyFill="1" applyBorder="1" applyAlignment="1">
      <s:alignment horizontal="center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30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5" fontId="16" fillId="10" borderId="24" xfId="0" applyNumberFormat="1" applyFont="1" applyFill="1" applyBorder="1" applyAlignment="1">
      <s:alignment horizontal="center" vertical="top" mc:Ignorable="vyd"/>
    </s:xf>
    <s:xf numFmtId="3" fontId="16" fillId="10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1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4" fontId="2" fillId="0" borderId="0" xfId="0" applyNumberFormat="1" applyFont="1"/>
    <s:xf numFmtId="9" fontId="31" fillId="0" borderId="0" xfId="0" applyNumberFormat="1" applyFont="1"/>
    <s:xf numFmtId="4" fontId="3" fillId="0" borderId="0" xfId="0" applyNumberFormat="1" applyFont="1"/>
    <s:xf numFmtId="3" fontId="3" fillId="11" borderId="0" xfId="0" applyNumberFormat="1" applyFont="1" applyFill="1"/>
    <s:xf numFmtId="3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3" fontId="3" fillId="4" borderId="0" xfId="0" applyNumberFormat="1" applyFont="1" applyFill="1"/>
    <s:xf numFmtId="14" fontId="2" fillId="0" borderId="0" xfId="0" applyNumberFormat="1" applyFont="1"/>
    <s:xf numFmtId="3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2" fillId="0" borderId="0" xfId="0" applyFont="1" applyAlignment="1">
      <s:alignment horizontal="left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11" xfId="0" applyFont="1" applyBorder="1" applyAlignment="1">
      <s:alignment horizontal="center" vertical="center" mc:Ignorable="vyd"/>
    </s:xf>
    <s:xf numFmtId="16" fontId="33" fillId="0" borderId="39" xfId="0" applyNumberFormat="1" applyFont="1" applyBorder="1" applyAlignment="1">
      <s:alignment horizontal="center" vertical="center" mc:Ignorable="vyd"/>
    </s:xf>
    <s:xf numFmtId="16" fontId="33" fillId="0" borderId="40" xfId="0" applyNumberFormat="1" applyFont="1" applyBorder="1" applyAlignment="1">
      <s:alignment horizontal="center" vertical="center" mc:Ignorable="vyd"/>
    </s:xf>
    <s:xf numFmtId="0" fontId="34" fillId="0" borderId="41" xfId="0" applyFont="1" applyBorder="1" applyAlignment="1">
      <s:alignment horizontal="left" vertical="center" wrapText="1" mc:Ignorable="vyd"/>
    </s:xf>
    <s:xf numFmtId="10" fontId="34" fillId="0" borderId="42" xfId="0" applyNumberFormat="1" applyFont="1" applyBorder="1" applyAlignment="1">
      <s:alignment horizontal="center" vertical="center" wrapText="1" mc:Ignorable="vyd"/>
    </s:xf>
    <s:xf numFmtId="10" fontId="34" fillId="12" borderId="42" xfId="0" applyNumberFormat="1" applyFont="1" applyFill="1" applyBorder="1" applyAlignment="1">
      <s:alignment horizontal="center" vertical="center" wrapText="1" mc:Ignorable="vyd"/>
    </s:xf>
    <s:xf numFmtId="10" fontId="34" fillId="12" borderId="43" xfId="0" applyNumberFormat="1" applyFont="1" applyFill="1" applyBorder="1" applyAlignment="1">
      <s:alignment horizontal="center" vertical="center" wrapText="1" mc:Ignorable="vyd"/>
    </s:xf>
    <s:xf numFmtId="10" fontId="34" fillId="0" borderId="41" xfId="0" applyNumberFormat="1" applyFont="1" applyBorder="1" applyAlignment="1">
      <s:alignment horizontal="center" vertical="center" wrapText="1" mc:Ignorable="vyd"/>
    </s:xf>
    <s:xf numFmtId="0" fontId="34" fillId="0" borderId="44" xfId="0" applyFont="1" applyBorder="1" applyAlignment="1">
      <s:alignment horizontal="left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10" fontId="34" fillId="0" borderId="46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0" fontId="34" fillId="0" borderId="32" xfId="0" applyFont="1" applyBorder="1" applyAlignment="1">
      <s:alignment horizontal="left" vertical="center" wrapText="1" mc:Ignorable="vyd"/>
    </s:xf>
    <s:xf numFmtId="10" fontId="34" fillId="12" borderId="34" xfId="0" applyNumberFormat="1" applyFont="1" applyFill="1" applyBorder="1" applyAlignment="1">
      <s:alignment horizontal="center" vertical="center" wrapText="1" mc:Ignorable="vyd"/>
    </s:xf>
    <s:xf numFmtId="10" fontId="34" fillId="0" borderId="34" xfId="0" applyNumberFormat="1" applyFont="1" applyBorder="1" applyAlignment="1">
      <s:alignment horizontal="center" vertical="center" wrapText="1" mc:Ignorable="vyd"/>
    </s:xf>
    <s:xf numFmtId="10" fontId="34" fillId="0" borderId="37" xfId="0" applyNumberFormat="1" applyFont="1" applyBorder="1" applyAlignment="1">
      <s:alignment horizontal="center" vertical="center" wrapText="1" mc:Ignorable="vyd"/>
    </s:xf>
    <s:xf numFmtId="10" fontId="34" fillId="0" borderId="32" xfId="0" applyNumberFormat="1" applyFont="1" applyBorder="1" applyAlignment="1">
      <s:alignment horizontal="center" vertical="center" wrapText="1" mc:Ignorable="vyd"/>
    </s:xf>
    <s:xf numFmtId="1" fontId="34" fillId="0" borderId="42" xfId="0" applyNumberFormat="1" applyFont="1" applyBorder="1" applyAlignment="1">
      <s:alignment horizontal="center" vertical="center" wrapText="1" mc:Ignorable="vyd"/>
    </s:xf>
    <s:xf numFmtId="1" fontId="34" fillId="12" borderId="42" xfId="0" applyNumberFormat="1" applyFont="1" applyFill="1" applyBorder="1" applyAlignment="1">
      <s:alignment horizontal="center" vertical="center" wrapText="1" mc:Ignorable="vyd"/>
    </s:xf>
    <s:xf numFmtId="1" fontId="34" fillId="12" borderId="43" xfId="0" applyNumberFormat="1" applyFont="1" applyFill="1" applyBorder="1" applyAlignment="1">
      <s:alignment horizontal="center" vertical="center" wrapText="1" mc:Ignorable="vyd"/>
    </s:xf>
    <s:xf numFmtId="1" fontId="34" fillId="12" borderId="41" xfId="0" applyNumberFormat="1" applyFont="1" applyFill="1" applyBorder="1" applyAlignment="1">
      <s:alignment horizontal="center" vertical="center" wrapText="1" mc:Ignorable="vyd"/>
    </s:xf>
    <s:xf numFmtId="1" fontId="34" fillId="0" borderId="45" xfId="0" applyNumberFormat="1" applyFont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47" xfId="0" applyNumberFormat="1" applyFont="1" applyBorder="1" applyAlignment="1">
      <s:alignment horizontal="center" vertical="center" wrapText="1" mc:Ignorable="vyd"/>
    </s:xf>
    <s:xf numFmtId="1" fontId="34" fillId="12" borderId="34" xfId="0" applyNumberFormat="1" applyFont="1" applyFill="1" applyBorder="1" applyAlignment="1">
      <s:alignment horizontal="center" vertical="center" wrapText="1" mc:Ignorable="vyd"/>
    </s:xf>
    <s:xf numFmtId="1" fontId="34" fillId="0" borderId="34" xfId="0" applyNumberFormat="1" applyFont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0" borderId="32" xfId="0" applyNumberFormat="1" applyFont="1" applyBorder="1" applyAlignment="1">
      <s:alignment horizontal="center" vertical="center" wrapText="1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48" xfId="0" applyNumberFormat="1" applyFont="1" applyFill="1" applyBorder="1" applyAlignment="1">
      <s:alignment horizontal="center" vertical="center" wrapText="1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0" fontId="17" fillId="5" borderId="49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50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51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3" fontId="17" fillId="5" borderId="50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17" fillId="5" borderId="52" xfId="0" applyFont="1" applyFill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53" xfId="0" applyFont="1" applyBorder="1" applyAlignment="1">
      <s:alignment horizontal="left" vertical="center" mc:Ignorable="vyd"/>
    </s:xf>
    <s:xf numFmtId="10" fontId="35" fillId="0" borderId="18" xfId="0" applyNumberFormat="1" applyFont="1" applyBorder="1" applyAlignment="1">
      <s:alignment horizontal="center" vertical="center" mc:Ignorable="vyd"/>
    </s:xf>
    <s:xf numFmtId="166" fontId="35" fillId="0" borderId="48" xfId="0" applyNumberFormat="1" applyFont="1" applyBorder="1" applyAlignment="1">
      <s:alignment horizontal="center" vertical="center" mc:Ignorable="vyd"/>
    </s:xf>
    <s:xf numFmtId="10" fontId="35" fillId="0" borderId="43" xfId="0" applyNumberFormat="1" applyFont="1" applyBorder="1" applyAlignment="1">
      <s:alignment horizontal="center" vertical="center" mc:Ignorable="vyd"/>
    </s:xf>
    <s:xf numFmtId="10" fontId="35" fillId="0" borderId="54" xfId="1" applyNumberFormat="1" applyFont="1" applyBorder="1" applyAlignment="1" applyProtection="1">
      <s:alignment horizontal="center" vertical="center" mc:Ignorable="vyd"/>
    </s:xf>
    <s:xf numFmtId="166" fontId="35" fillId="0" borderId="42" xfId="1" applyNumberFormat="1" applyFont="1" applyBorder="1" applyAlignment="1" applyProtection="1">
      <s:alignment horizontal="center" vertical="center" mc:Ignorable="vyd"/>
    </s:xf>
    <s:xf numFmtId="10" fontId="35" fillId="0" borderId="55" xfId="0" applyNumberFormat="1" applyFont="1" applyBorder="1" applyAlignment="1">
      <s:alignment horizontal="center" vertical="center" mc:Ignorable="vyd"/>
    </s:xf>
    <s:xf numFmtId="10" fontId="35" fillId="0" borderId="18" xfId="1" applyNumberFormat="1" applyFont="1" applyBorder="1" applyAlignment="1" applyProtection="1">
      <s:alignment horizontal="center" vertical="center" mc:Ignorable="vyd"/>
    </s:xf>
    <s:xf numFmtId="10" fontId="20" fillId="0" borderId="43" xfId="0" applyNumberFormat="1" applyFont="1" applyBorder="1" applyAlignment="1">
      <s:alignment horizontal="center" vertical="center" mc:Ignorable="vyd"/>
    </s:xf>
    <s:xf numFmtId="0" fontId="16" fillId="0" borderId="53" xfId="0" applyFont="1" applyBorder="1" applyAlignment="1">
      <s:alignment horizontal="left" vertical="center" mc:Ignorable="vyd"/>
    </s:xf>
    <s:xf numFmtId="10" fontId="35" fillId="0" borderId="56" xfId="0" applyNumberFormat="1" applyFont="1" applyBorder="1" applyAlignment="1">
      <s:alignment horizontal="center" vertical="center" mc:Ignorable="vyd"/>
    </s:xf>
    <s:xf numFmtId="1" fontId="35" fillId="0" borderId="16" xfId="0" applyNumberFormat="1" applyFont="1" applyBorder="1" applyAlignment="1">
      <s:alignment horizontal="center" vertical="center" mc:Ignorable="vyd"/>
    </s:xf>
    <s:xf numFmtId="10" fontId="35" fillId="0" borderId="26" xfId="0" applyNumberFormat="1" applyFont="1" applyBorder="1" applyAlignment="1">
      <s:alignment horizontal="center" vertical="center" mc:Ignorable="vyd"/>
    </s:xf>
    <s:xf numFmtId="10" fontId="35" fillId="0" borderId="23" xfId="1" applyNumberFormat="1" applyFont="1" applyBorder="1" applyAlignment="1" applyProtection="1">
      <s:alignment horizontal="center" vertical="center" mc:Ignorable="vyd"/>
    </s:xf>
    <s:xf numFmtId="1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25" xfId="0" applyNumberFormat="1" applyFont="1" applyBorder="1" applyAlignment="1">
      <s:alignment horizontal="center" vertical="center" mc:Ignorable="vyd"/>
    </s:xf>
    <s:xf numFmtId="10" fontId="35" fillId="0" borderId="56" xfId="1" applyNumberFormat="1" applyFont="1" applyBorder="1" applyAlignment="1" applyProtection="1">
      <s:alignment horizontal="center" vertical="center" mc:Ignorable="vyd"/>
    </s:xf>
    <s:xf numFmtId="3" fontId="35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5" fillId="0" borderId="16" xfId="0" applyNumberFormat="1" applyFont="1" applyBorder="1" applyAlignment="1">
      <s:alignment horizontal="center" vertical="center" mc:Ignorable="vyd"/>
    </s:xf>
    <s:xf numFmtId="166" fontId="35" fillId="0" borderId="24" xfId="1" applyNumberFormat="1" applyFont="1" applyBorder="1" applyAlignment="1" applyProtection="1">
      <s:alignment horizontal="center" vertical="center" mc:Ignorable="vyd"/>
    </s:xf>
    <s:xf numFmtId="2" fontId="35" fillId="0" borderId="16" xfId="0" applyNumberFormat="1" applyFont="1" applyBorder="1" applyAlignment="1">
      <s:alignment horizontal="center" vertical="center" mc:Ignorable="vyd"/>
    </s:xf>
    <s:xf numFmtId="2" fontId="35" fillId="0" borderId="24" xfId="1" applyNumberFormat="1" applyFont="1" applyBorder="1" applyAlignment="1" applyProtection="1">
      <s:alignment horizontal="center" vertical="center" mc:Ignorable="vyd"/>
    </s:xf>
    <s:xf numFmtId="4" fontId="35" fillId="0" borderId="24" xfId="1" applyNumberFormat="1" applyFont="1" applyBorder="1" applyAlignment="1" applyProtection="1">
      <s:alignment horizontal="center" vertical="center" mc:Ignorable="vyd"/>
    </s:xf>
    <s:xf numFmtId="1" fontId="35" fillId="0" borderId="24" xfId="0" applyNumberFormat="1" applyFont="1" applyBorder="1" applyAlignment="1">
      <s:alignment horizontal="center" vertical="center" mc:Ignorable="vyd"/>
    </s:xf>
    <s:xf numFmtId="166" fontId="35" fillId="0" borderId="24" xfId="0" applyNumberFormat="1" applyFont="1" applyBorder="1" applyAlignment="1">
      <s:alignment horizontal="center" vertical="center" mc:Ignorable="vyd"/>
    </s:xf>
    <s:xf numFmtId="0" fontId="16" fillId="0" borderId="53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169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53" xfId="0" applyNumberFormat="1" applyFont="1" applyBorder="1" applyAlignment="1">
      <s:alignment horizontal="center" vertical="center" mc:Ignorable="vyd"/>
    </s:xf>
    <s:xf numFmtId="10" fontId="35" fillId="0" borderId="17" xfId="0" applyNumberFormat="1" applyFont="1" applyBorder="1" applyAlignment="1">
      <s:alignment horizontal="center" vertical="center" mc:Ignorable="vyd"/>
    </s:xf>
    <s:xf numFmtId="10" fontId="35" fillId="0" borderId="6" xfId="0" applyNumberFormat="1" applyFont="1" applyBorder="1" applyAlignment="1">
      <s:alignment horizontal="center" vertical="center" mc:Ignorable="vyd"/>
    </s:xf>
    <s:xf numFmtId="166" fontId="35" fillId="0" borderId="57" xfId="0" applyNumberFormat="1" applyFont="1" applyBorder="1" applyAlignment="1">
      <s:alignment horizontal="center" vertical="center" mc:Ignorable="vyd"/>
    </s:xf>
    <s:xf numFmtId="10" fontId="35" fillId="0" borderId="8" xfId="0" applyNumberFormat="1" applyFont="1" applyBorder="1" applyAlignment="1">
      <s:alignment horizontal="center" vertical="center" mc:Ignorable="vyd"/>
    </s:xf>
    <s:xf numFmtId="10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0" fontId="35" fillId="0" borderId="59" xfId="0" applyNumberFormat="1" applyFont="1" applyBorder="1" applyAlignment="1">
      <s:alignment horizontal="center" vertical="center" mc:Ignorable="vyd"/>
    </s:xf>
    <s:xf numFmtId="10" fontId="35" fillId="0" borderId="60" xfId="1" applyNumberFormat="1" applyFont="1" applyBorder="1" applyAlignment="1" applyProtection="1">
      <s:alignment horizontal="center" vertical="center" mc:Ignorable="vyd"/>
    </s:xf>
    <s:xf numFmtId="10" fontId="20" fillId="0" borderId="61" xfId="0" applyNumberFormat="1" applyFont="1" applyBorder="1" applyAlignment="1">
      <s:alignment horizontal="center" vertical="center" mc:Ignorable="vyd"/>
    </s:xf>
    <s:xf numFmtId="0" fontId="16" fillId="0" borderId="32" xfId="0" applyFont="1" applyBorder="1" applyAlignment="1">
      <s:alignment horizontal="left" vertical="center" mc:Ignorable="vyd"/>
    </s:xf>
    <s:xf numFmtId="5" fontId="35" fillId="0" borderId="9" xfId="0" applyNumberFormat="1" applyFont="1" applyBorder="1" applyAlignment="1">
      <s:alignment horizontal="center" vertical="center" mc:Ignorable="vyd"/>
    </s:xf>
    <s:xf numFmtId="5" fontId="35" fillId="0" borderId="10" xfId="0" applyNumberFormat="1" applyFont="1" applyBorder="1" applyAlignment="1">
      <s:alignment horizontal="center" vertical="center" mc:Ignorable="vyd"/>
    </s:xf>
    <s:xf numFmtId="5" fontId="35" fillId="0" borderId="4" xfId="0" applyNumberFormat="1" applyFont="1" applyBorder="1" applyAlignment="1">
      <s:alignment horizontal="center" vertical="center" mc:Ignorable="vyd"/>
    </s:xf>
    <s:xf numFmtId="166" fontId="35" fillId="0" borderId="62" xfId="1" applyNumberFormat="1" applyFont="1" applyBorder="1" applyAlignment="1" applyProtection="1">
      <s:alignment horizontal="center" vertical="center" mc:Ignorable="vyd"/>
    </s:xf>
    <s:xf numFmtId="166" fontId="35" fillId="0" borderId="13" xfId="1" applyNumberFormat="1" applyFont="1" applyBorder="1" applyAlignment="1" applyProtection="1">
      <s:alignment horizontal="center" vertical="center" mc:Ignorable="vyd"/>
    </s:xf>
    <s:xf numFmtId="166" fontId="35" fillId="0" borderId="14" xfId="1" applyNumberFormat="1" applyFont="1" applyBorder="1" applyAlignment="1" applyProtection="1">
      <s:alignment horizontal="center" vertical="center" mc:Ignorable="vyd"/>
    </s:xf>
    <s:xf numFmtId="166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61" xfId="1" applyNumberFormat="1" applyFont="1" applyBorder="1" applyAlignment="1" applyProtection="1">
      <s:alignment horizontal="center" vertical="center" mc:Ignorable="vyd"/>
    </s:xf>
    <s:xf numFmtId="0" fontId="19" fillId="0" borderId="41" xfId="0" applyFont="1" applyBorder="1" applyAlignment="1">
      <s:alignment horizontal="left" vertical="center" mc:Ignorable="vyd"/>
    </s:xf>
    <s:xf numFmtId="3" fontId="3" fillId="0" borderId="41" xfId="0" applyNumberFormat="1" applyFont="1" applyBorder="1" applyAlignment="1">
      <s:alignment horizontal="center" vertical="center" wrapText="1" mc:Ignorable="vyd"/>
    </s:xf>
    <s:xf numFmtId="3" fontId="36" fillId="6" borderId="15" xfId="0" applyNumberFormat="1" applyFont="1" applyFill="1" applyBorder="1" applyAlignment="1">
      <s:alignment horizontal="center" vertical="center" wrapText="1" mc:Ignorable="vyd"/>
    </s:xf>
    <s:xf numFmtId="3" fontId="36" fillId="4" borderId="15" xfId="0" applyNumberFormat="1" applyFont="1" applyFill="1" applyBorder="1" applyAlignment="1">
      <s:alignment horizontal="center" vertical="center" mc:Ignorable="vyd"/>
    </s:xf>
    <s:xf numFmtId="3" fontId="36" fillId="3" borderId="15" xfId="0" applyNumberFormat="1" applyFont="1" applyFill="1" applyBorder="1" applyAlignment="1">
      <s:alignment horizontal="center" vertical="center" mc:Ignorable="vyd"/>
    </s:xf>
    <s:xf numFmtId="4" fontId="36" fillId="3" borderId="15" xfId="0" applyNumberFormat="1" applyFont="1" applyFill="1" applyBorder="1" applyAlignment="1">
      <s:alignment horizontal="center" vertical="center" mc:Ignorable="vyd"/>
    </s:xf>
    <s:xf numFmtId="10" fontId="36" fillId="6" borderId="15" xfId="0" applyNumberFormat="1" applyFont="1" applyFill="1" applyBorder="1" applyAlignment="1">
      <s:alignment horizontal="center" vertical="center" mc:Ignorable="vyd"/>
    </s:xf>
    <s:xf numFmtId="0" fontId="27" fillId="0" borderId="56" xfId="0" applyFont="1" applyBorder="1" applyAlignment="1">
      <s:alignment horizontal="left" mc:Ignorable="vyd"/>
    </s:xf>
    <s:xf numFmtId="170" fontId="37" fillId="0" borderId="15" xfId="0" applyNumberFormat="1" applyFont="1" applyBorder="1" applyAlignment="1">
      <s:alignment horizontal="center" mc:Ignorable="vyd"/>
    </s:xf>
    <s:xf numFmtId="0" fontId="27" fillId="0" borderId="60" xfId="0" applyFont="1" applyBorder="1" applyAlignment="1">
      <s:alignment horizontal="left" mc:Ignorable="vyd"/>
    </s:xf>
    <s:xf numFmtId="170" fontId="37" fillId="0" borderId="63" xfId="0" applyNumberFormat="1" applyFont="1" applyBorder="1" applyAlignment="1">
      <s:alignment horizontal="center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6" fillId="2" borderId="0" xfId="0" applyFont="1" applyFill="1"/>
    <s:xf numFmtId="9" fontId="11" fillId="2" borderId="64" xfId="0" applyNumberFormat="1" applyFont="1" applyFill="1" applyBorder="1"/>
    <s:xf numFmtId="0" fontId="41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16" fillId="3" borderId="29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6" fillId="4" borderId="23" xfId="0" applyNumberFormat="1" applyFont="1" applyFill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65" fontId="20" fillId="0" borderId="26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4" fontId="16" fillId="3" borderId="23" xfId="0" applyNumberFormat="1" applyFont="1" applyFill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3" fontId="16" fillId="3" borderId="28" xfId="0" applyNumberFormat="1" applyFont="1" applyFill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3" borderId="33" xfId="0" applyNumberFormat="1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7" fillId="9" borderId="0" xfId="0" applyFont="1" applyFill="1" applyAlignment="1">
      <s:alignment horizontal="center" vertical="center" wrapText="1" mc:Ignorable="vyd"/>
    </s:xf>
    <s:xf numFmtId="0" fontId="26" fillId="13" borderId="24" xfId="0" applyFont="1" applyFill="1" applyBorder="1" applyAlignment="1">
      <s:alignment horizontal="center" vertical="center" wrapText="1" mc:Ignorable="vyd"/>
    </s:xf>
    <s:xf numFmtId="0" fontId="16" fillId="13" borderId="24" xfId="0" applyFont="1" applyFill="1" applyBorder="1" applyAlignment="1">
      <s:alignment horizontal="center" vertical="top" wrapText="1" mc:Ignorable="vyd"/>
    </s:xf>
    <s:xf numFmtId="0" fontId="16" fillId="13" borderId="30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31" fillId="0" borderId="0" xfId="0" applyFont="1" applyAlignment="1">
      <s:alignment horizontal="center" mc:Ignorable="vyd"/>
    </s:xf>
    <s:xf numFmtId="3" fontId="16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16" fillId="0" borderId="0" xfId="0" applyNumberFormat="1" applyFont="1" applyAlignment="1">
      <s:alignment horizontal="center" mc:Ignorable="vyd"/>
    </s:xf>
    <s:xf numFmtId="3" fontId="28" fillId="0" borderId="0" xfId="0" applyNumberFormat="1" applyFont="1" applyAlignment="1">
      <s:alignment horizontal="center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2" fontId="16" fillId="0" borderId="0" xfId="0" applyNumberFormat="1" applyFont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4" fontId="17" fillId="2" borderId="0" xfId="0" applyNumberFormat="1" applyFont="1" applyFill="1" applyAlignment="1">
      <s:alignment horizontal="center" vertical="center" mc:Ignorable="vyd"/>
    </s:xf>
    <s:xf numFmtId="10" fontId="3" fillId="2" borderId="0" xfId="0" applyNumberFormat="1" applyFont="1" applyFill="1"/>
    <s:xf numFmtId="10" fontId="23" fillId="0" borderId="19" xfId="0" applyNumberFormat="1" applyFont="1" applyBorder="1" applyAlignment="1">
      <s:alignment horizontal="center" vertical="center" mc:Ignorable="vyd"/>
    </s:xf>
    <s:xf numFmtId="3" fontId="16" fillId="4" borderId="0" xfId="0" applyNumberFormat="1" applyFont="1" applyFill="1" applyAlignment="1">
      <s:alignment horizontal="center" vertical="center" mc:Ignorable="vyd"/>
    </s:xf>
    <s:xf numFmtId="3" fontId="24" fillId="0" borderId="0" xfId="0" applyNumberFormat="1" applyFont="1" applyAlignment="1">
      <s:alignment horizontal="center" vertical="center" mc:Ignorable="vyd"/>
    </s:xf>
    <s:xf numFmtId="10" fontId="23" fillId="0" borderId="24" xfId="0" applyNumberFormat="1" applyFont="1" applyBorder="1" applyAlignment="1">
      <s:alignment horizontal="center" vertical="center" mc:Ignorable="vyd"/>
    </s:xf>
    <s:xf numFmtId="10" fontId="22" fillId="0" borderId="0" xfId="0" applyNumberFormat="1" applyFont="1" applyAlignment="1">
      <s:alignment horizontal="center" vertical="center" mc:Ignorable="vyd"/>
    </s:xf>
    <s:xf numFmtId="10" fontId="23" fillId="0" borderId="0" xfId="0" applyNumberFormat="1" applyFont="1" applyAlignment="1">
      <s:alignment horizontal="center" vertical="center" mc:Ignorable="vyd"/>
    </s:xf>
    <s:xf numFmtId="166" fontId="3" fillId="2" borderId="0" xfId="0" applyNumberFormat="1" applyFont="1" applyFill="1"/>
    <s:xf numFmtId="10" fontId="18" fillId="0" borderId="0" xfId="0" applyNumberFormat="1" applyFont="1" applyAlignment="1">
      <s:alignment horizontal="center" vertical="center" mc:Ignorable="vyd"/>
    </s:xf>
    <s:xf numFmtId="10" fontId="18" fillId="0" borderId="24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vertical="top" mc:Ignorable="vyd"/>
    </s:xf>
    <s:xf numFmtId="3" fontId="16" fillId="0" borderId="66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10" fontId="16" fillId="0" borderId="21" xfId="0" applyNumberFormat="1" applyFont="1" applyBorder="1" applyAlignment="1">
      <s:alignment horizontal="center" vertical="top" mc:Ignorable="vyd"/>
    </s:xf>
    <s:xf numFmtId="0" fontId="0" fillId="11" borderId="0" xfId="0" applyFill="1"/>
    <s:xf numFmtId="3" fontId="30" fillId="0" borderId="0" xfId="0" applyNumberFormat="1" applyFont="1" applyAlignment="1">
      <s:alignment horizontal="center" vertical="top" mc:Ignorable="vyd"/>
    </s:xf>
    <s:xf numFmtId="10" fontId="16" fillId="0" borderId="16" xfId="0" applyNumberFormat="1" applyFont="1" applyBorder="1" applyAlignment="1">
      <s:alignment horizontal="center" vertical="top" mc:Ignorable="vyd"/>
    </s:xf>
    <s:xf numFmtId="3" fontId="28" fillId="0" borderId="45" xfId="0" applyNumberFormat="1" applyFont="1" applyBorder="1" applyAlignment="1">
      <s:alignment horizontal="center" mc:Ignorable="vyd"/>
    </s:xf>
    <s:xf numFmtId="0" fontId="3" fillId="0" borderId="28" xfId="0" applyFont="1" applyBorder="1"/>
    <s:xf numFmtId="0" fontId="16" fillId="0" borderId="2" xfId="0" applyFont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36" fillId="14" borderId="18" xfId="0" applyFont="1" applyFill="1" applyBorder="1" applyAlignment="1">
      <s:alignment horizontal="center" vertical="center" wrapText="1" mc:Ignorable="vyd"/>
    </s:xf>
    <s:xf numFmtId="0" fontId="36" fillId="14" borderId="42" xfId="0" applyFont="1" applyFill="1" applyBorder="1" applyAlignment="1">
      <s:alignment horizontal="center" vertical="center" wrapText="1" mc:Ignorable="vyd"/>
    </s:xf>
    <s:xf numFmtId="0" fontId="36" fillId="14" borderId="41" xfId="0" applyFont="1" applyFill="1" applyBorder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mc:Ignorable="vyd"/>
    </s:xf>
    <s:xf numFmtId="0" fontId="42" fillId="4" borderId="0" xfId="0" applyFont="1" applyFill="1" applyAlignment="1">
      <s:alignment horizontal="left" vertical="top" mc:Ignorable="vyd"/>
    </s:xf>
    <s:xf numFmtId="2" fontId="42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42" fillId="4" borderId="24" xfId="0" applyFont="1" applyFill="1" applyBorder="1" applyAlignment="1">
      <s:alignment horizontal="center" vertical="center" mc:Ignorable="vyd"/>
    </s:xf>
    <s:xf numFmtId="14" fontId="42" fillId="4" borderId="24" xfId="0" applyNumberFormat="1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0" fontId="42" fillId="4" borderId="0" xfId="0" applyFont="1" applyFill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10" fontId="42" fillId="4" borderId="24" xfId="0" applyNumberFormat="1" applyFont="1" applyFill="1" applyBorder="1" applyAlignment="1">
      <s:alignment horizontal="center" vertical="top" mc:Ignorable="vyd"/>
    </s:xf>
    <s:xf numFmtId="172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0" xfId="0" applyFont="1" applyFill="1" applyAlignment="1">
      <s:alignment horizontal="left" vertical="center" mc:Ignorable="vyd"/>
    </s:xf>
    <s:xf numFmtId="172" fontId="42" fillId="4" borderId="0" xfId="0" applyNumberFormat="1" applyFont="1" applyFill="1" applyAlignment="1">
      <s:alignment horizontal="center" vertical="center" wrapText="1" mc:Ignorable="vyd"/>
    </s:xf>
    <s:xf numFmtId="2" fontId="43" fillId="4" borderId="0" xfId="0" applyNumberFormat="1" applyFont="1" applyFill="1" applyAlignment="1">
      <s:alignment horizontal="right" vertical="center" wrapText="1" mc:Ignorable="vyd"/>
    </s:xf>
    <s:xf numFmtId="0" fontId="16" fillId="0" borderId="0" xfId="0" applyFont="1" applyAlignment="1">
      <s:alignment horizontal="left" mc:Ignorable="vyd"/>
    </s:xf>
    <s:xf numFmtId="2" fontId="43" fillId="4" borderId="24" xfId="0" applyNumberFormat="1" applyFont="1" applyFill="1" applyBorder="1" applyAlignment="1">
      <s:alignment horizontal="right" vertical="top" indent="1" mc:Ignorable="vyd"/>
    </s:xf>
    <s:xf numFmtId="3" fontId="42" fillId="4" borderId="24" xfId="0" applyNumberFormat="1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vertical="top" mc:Ignorable="vyd"/>
    </s:xf>
    <s:xf numFmtId="4" fontId="42" fillId="4" borderId="24" xfId="0" applyNumberFormat="1" applyFont="1" applyFill="1" applyBorder="1" applyAlignment="1">
      <s:alignment horizontal="right" vertical="center" wrapText="1" mc:Ignorable="vyd"/>
    </s:xf>
    <s:xf numFmtId="0" fontId="3" fillId="0" borderId="6" xfId="0" applyFont="1" applyBorder="1"/>
    <s:xf numFmtId="0" fontId="3" fillId="0" borderId="7" xfId="0" applyFont="1" applyBorder="1"/>
    <s:xf numFmtId="14" fontId="42" fillId="4" borderId="0" xfId="0" applyNumberFormat="1" applyFont="1" applyFill="1" applyAlignment="1">
      <s:alignment horizontal="center" vertical="top" mc:Ignorable="vyd"/>
    </s:xf>
    <s:xf numFmtId="4" fontId="42" fillId="4" borderId="0" xfId="0" applyNumberFormat="1" applyFont="1" applyFill="1" applyAlignment="1">
      <s:alignment horizontal="center" vertical="top" mc:Ignorable="vyd"/>
    </s:xf>
    <s:xf numFmtId="0" fontId="21" fillId="16" borderId="69" xfId="0" applyFont="1" applyFill="1" applyBorder="1"/>
    <s:xf numFmtId="173" fontId="44" fillId="17" borderId="70" xfId="0" applyNumberFormat="1" applyFont="1" applyFill="1" applyBorder="1" applyAlignment="1" applyProtection="1">
      <s:alignment horizontal="left" mc:Ignorable="vyd"/>
      <s:protection locked="0"/>
    </s:xf>
    <s:xf numFmtId="0" fontId="36" fillId="16" borderId="71" xfId="0" applyFont="1" applyFill="1" applyBorder="1"/>
    <s:xf numFmtId="0" fontId="45" fillId="17" borderId="72" xfId="0" applyFont="1" applyFill="1" applyBorder="1" applyProtection="1">
      <s:protection locked="0"/>
    </s:xf>
    <s:xf numFmtId="0" fontId="46" fillId="18" borderId="0" xfId="0" applyFont="1" applyFill="1" applyAlignment="1">
      <s:alignment vertical="center" mc:Ignorable="vyd"/>
    </s:xf>
    <s:xf numFmtId="0" fontId="46" fillId="16" borderId="0" xfId="0" applyFont="1" applyFill="1" applyAlignment="1">
      <s:alignment vertical="center" mc:Ignorable="vyd"/>
    </s:xf>
    <s:xf numFmtId="0" fontId="36" fillId="16" borderId="0" xfId="0" applyFont="1" applyFill="1"/>
    <s:xf numFmtId="0" fontId="45" fillId="19" borderId="73" xfId="0" applyFont="1" applyFill="1" applyBorder="1"/>
    <s:xf numFmtId="0" fontId="46" fillId="20" borderId="0" xfId="0" applyFont="1" applyFill="1" applyAlignment="1">
      <s:alignment vertical="center" mc:Ignorable="vyd"/>
    </s:xf>
    <s:xf numFmtId="0" fontId="36" fillId="20" borderId="0" xfId="0" applyFont="1" applyFill="1"/>
    <s:xf numFmtId="0" fontId="47" fillId="19" borderId="73" xfId="0" applyFont="1" applyFill="1" applyBorder="1"/>
    <s:xf numFmtId="0" fontId="45" fillId="19" borderId="74" xfId="0" applyFont="1" applyFill="1" applyBorder="1"/>
    <s:xf numFmtId="0" fontId="50" fillId="16" borderId="75" xfId="0" applyFont="1" applyFill="1" applyBorder="1" applyAlignment="1">
      <s:alignment horizontal="center" wrapText="1" mc:Ignorable="vyd"/>
    </s:xf>
    <s:xf numFmtId="0" fontId="21" fillId="16" borderId="78" xfId="0" applyFont="1" applyFill="1" applyBorder="1" applyAlignment="1">
      <s:alignment horizontal="center" mc:Ignorable="vyd"/>
    </s:xf>
    <s:xf numFmtId="0" fontId="36" fillId="21" borderId="0" xfId="0" applyFont="1" applyFill="1"/>
    <s:xf numFmtId="0" fontId="21" fillId="16" borderId="79" xfId="0" applyFont="1" applyFill="1" applyBorder="1"/>
    <s:xf numFmtId="2" fontId="50" fillId="16" borderId="80" xfId="0" applyNumberFormat="1" applyFont="1" applyFill="1" applyBorder="1" applyAlignment="1">
      <s:alignment horizontal="center" mc:Ignorable="vyd"/>
    </s:xf>
    <s:xf numFmtId="3" fontId="51" fillId="16" borderId="75" xfId="0" applyNumberFormat="1" applyFont="1" applyFill="1" applyBorder="1" applyAlignment="1">
      <s:alignment horizontal="center" mc:Ignorable="vyd"/>
    </s:xf>
    <s:xf numFmtId="10" fontId="36" fillId="21" borderId="0" xfId="0" applyNumberFormat="1" applyFont="1" applyFill="1"/>
    <s:xf numFmtId="0" fontId="21" fillId="16" borderId="81" xfId="0" applyFont="1" applyFill="1" applyBorder="1"/>
    <s:xf numFmtId="0" fontId="36" fillId="16" borderId="77" xfId="0" applyFont="1" applyFill="1" applyBorder="1"/>
    <s:xf numFmtId="0" fontId="36" fillId="16" borderId="82" xfId="0" applyFont="1" applyFill="1" applyBorder="1"/>
    <s:xf numFmtId="0" fontId="21" fillId="22" borderId="83" xfId="0" applyFont="1" applyFill="1" applyBorder="1" applyAlignment="1" applyProtection="1">
      <s:alignment wrapText="1" mc:Ignorable="vyd"/>
      <s:protection locked="0"/>
    </s:xf>
    <s:xf numFmtId="0" fontId="36" fillId="23" borderId="84" xfId="0" applyFont="1" applyFill="1" applyBorder="1"/>
    <s:xf numFmtId="0" fontId="21" fillId="24" borderId="84" xfId="0" applyFont="1" applyFill="1" applyBorder="1" applyAlignment="1">
      <s:alignment horizontal="center" vertical="center" wrapText="1" mc:Ignorable="vyd"/>
    </s:xf>
    <s:xf numFmtId="0" fontId="36" fillId="16" borderId="85" xfId="0" applyFont="1" applyFill="1" applyBorder="1"/>
    <s:xf numFmtId="0" fontId="36" fillId="16" borderId="86" xfId="0" applyFont="1" applyFill="1" applyBorder="1"/>
    <s:xf numFmtId="0" fontId="36" fillId="23" borderId="86" xfId="0" applyFont="1" applyFill="1" applyBorder="1"/>
    <s:xf numFmtId="0" fontId="21" fillId="24" borderId="87" xfId="0" applyFont="1" applyFill="1" applyBorder="1" applyAlignment="1">
      <s:alignment horizontal="center" vertical="center" wrapText="1" mc:Ignorable="vyd"/>
    </s:xf>
    <s:xf numFmtId="0" fontId="21" fillId="16" borderId="9" xfId="0" applyFont="1" applyFill="1" applyBorder="1" applyAlignment="1">
      <s:alignment vertical="center" wrapText="1" mc:Ignorable="vyd"/>
    </s:xf>
    <s:xf numFmtId="0" fontId="21" fillId="16" borderId="88" xfId="0" applyFont="1" applyFill="1" applyBorder="1" applyAlignment="1">
      <s:alignment horizontal="center" vertical="center" mc:Ignorable="vyd"/>
    </s:xf>
    <s:xf numFmtId="0" fontId="51" fillId="16" borderId="89" xfId="0" applyFont="1" applyFill="1" applyBorder="1" applyAlignment="1">
      <s:alignment horizontal="center" vertical="center" mc:Ignorable="vyd"/>
    </s:xf>
    <s:xf numFmtId="0" fontId="51" fillId="16" borderId="83" xfId="0" applyFont="1" applyFill="1" applyBorder="1" applyAlignment="1">
      <s:alignment horizontal="center" vertical="center" mc:Ignorable="vyd"/>
    </s:xf>
    <s:xf numFmtId="0" fontId="51" fillId="23" borderId="83" xfId="0" applyFont="1" applyFill="1" applyBorder="1" applyAlignment="1">
      <s:alignment horizontal="center" vertical="center" mc:Ignorable="vyd"/>
    </s:xf>
    <s:xf numFmtId="0" fontId="21" fillId="24" borderId="83" xfId="0" applyFont="1" applyFill="1" applyBorder="1" applyAlignment="1">
      <s:alignment horizontal="center" vertical="center" wrapText="1" mc:Ignorable="vyd"/>
    </s:xf>
    <s:xf numFmtId="0" fontId="21" fillId="24" borderId="90" xfId="0" applyFont="1" applyFill="1" applyBorder="1" applyAlignment="1">
      <s:alignment horizontal="center" vertical="center" wrapText="1" mc:Ignorable="vyd"/>
    </s:xf>
    <s:xf numFmtId="0" fontId="52" fillId="0" borderId="93" xfId="0" applyFont="1" applyBorder="1"/>
    <s:xf numFmtId="0" fontId="36" fillId="0" borderId="94" xfId="0" applyFont="1" applyBorder="1"/>
    <s:xf numFmtId="0" fontId="3" fillId="0" borderId="94" xfId="0" applyFont="1" applyBorder="1"/>
    <s:xf numFmtId="0" fontId="36" fillId="0" borderId="95" xfId="0" applyFont="1" applyBorder="1"/>
    <s:xf numFmtId="3" fontId="36" fillId="23" borderId="19" xfId="0" applyNumberFormat="1" applyFont="1" applyFill="1" applyBorder="1" applyAlignment="1">
      <s:alignment horizontal="center" mc:Ignorable="vyd"/>
    </s:xf>
    <s:xf numFmtId="3" fontId="36" fillId="24" borderId="93" xfId="0" applyNumberFormat="1" applyFont="1" applyFill="1" applyBorder="1" applyAlignment="1">
      <s:alignment horizontal="center" mc:Ignorable="vyd"/>
    </s:xf>
    <s:xf numFmtId="3" fontId="36" fillId="24" borderId="94" xfId="0" applyNumberFormat="1" applyFont="1" applyFill="1" applyBorder="1" applyAlignment="1">
      <s:alignment horizontal="center" mc:Ignorable="vyd"/>
    </s:xf>
    <s:xf numFmtId="3" fontId="36" fillId="0" borderId="94" xfId="0" applyNumberFormat="1" applyFont="1" applyBorder="1" applyAlignment="1">
      <s:alignment horizontal="center" mc:Ignorable="vyd"/>
    </s:xf>
    <s:xf numFmtId="0" fontId="52" fillId="0" borderId="96" xfId="0" applyFont="1" applyBorder="1"/>
    <s:xf numFmtId="0" fontId="36" fillId="0" borderId="97" xfId="0" applyFont="1" applyBorder="1"/>
    <s:xf numFmtId="0" fontId="3" fillId="0" borderId="97" xfId="0" applyFont="1" applyBorder="1"/>
    <s:xf numFmtId="0" fontId="36" fillId="0" borderId="98" xfId="0" applyFont="1" applyBorder="1"/>
    <s:xf numFmtId="3" fontId="36" fillId="23" borderId="24" xfId="0" applyNumberFormat="1" applyFont="1" applyFill="1" applyBorder="1" applyAlignment="1">
      <s:alignment horizontal="center" mc:Ignorable="vyd"/>
    </s:xf>
    <s:xf numFmtId="3" fontId="36" fillId="24" borderId="96" xfId="0" applyNumberFormat="1" applyFont="1" applyFill="1" applyBorder="1" applyAlignment="1">
      <s:alignment horizontal="center" mc:Ignorable="vyd"/>
    </s:xf>
    <s:xf numFmtId="3" fontId="36" fillId="24" borderId="97" xfId="0" applyNumberFormat="1" applyFont="1" applyFill="1" applyBorder="1" applyAlignment="1">
      <s:alignment horizontal="center" mc:Ignorable="vyd"/>
    </s:xf>
    <s:xf numFmtId="3" fontId="36" fillId="0" borderId="97" xfId="0" applyNumberFormat="1" applyFont="1" applyBorder="1" applyAlignment="1">
      <s:alignment horizontal="center" mc:Ignorable="vyd"/>
    </s:xf>
    <s:xf numFmtId="0" fontId="36" fillId="11" borderId="97" xfId="0" applyFont="1" applyFill="1" applyBorder="1"/>
    <s:xf numFmtId="0" fontId="53" fillId="0" borderId="97" xfId="0" applyFont="1" applyBorder="1"/>
    <s:xf numFmtId="0" fontId="52" fillId="0" borderId="96" xfId="0" applyFont="1" applyBorder="1" applyProtection="1">
      <s:protection locked="0"/>
    </s:xf>
    <s:xf numFmtId="0" fontId="52" fillId="0" borderId="97" xfId="0" applyFont="1" applyBorder="1" applyProtection="1">
      <s:protection locked="0"/>
    </s:xf>
    <s:xf numFmtId="0" fontId="3" fillId="0" borderId="97" xfId="0" applyFont="1" applyBorder="1" applyProtection="1">
      <s:protection locked="0"/>
    </s:xf>
    <s:xf numFmtId="0" fontId="52" fillId="0" borderId="24" xfId="0" applyFont="1" applyBorder="1"/>
    <s:xf numFmtId="0" fontId="52" fillId="0" borderId="0" xfId="0" applyFont="1" applyProtection="1">
      <s:protection locked="0"/>
    </s:xf>
    <s:xf numFmtId="0" fontId="52" fillId="0" borderId="98" xfId="0" applyFont="1" applyBorder="1" applyProtection="1">
      <s:protection locked="0"/>
    </s:xf>
    <s:xf numFmtId="0" fontId="46" fillId="0" borderId="96" xfId="0" applyFont="1" applyBorder="1" applyProtection="1">
      <s:protection locked="0"/>
    </s:xf>
    <s:xf numFmtId="0" fontId="46" fillId="0" borderId="97" xfId="0" applyFont="1" applyBorder="1" applyProtection="1">
      <s:protection locked="0"/>
    </s:xf>
    <s:xf numFmtId="0" fontId="46" fillId="0" borderId="24" xfId="0" applyFont="1" applyBorder="1"/>
    <s:xf numFmtId="0" fontId="21" fillId="25" borderId="72" xfId="0" applyFont="1" applyFill="1" applyBorder="1" applyProtection="1">
      <s:protection locked="0"/>
    </s:xf>
    <s:xf numFmtId="0" fontId="46" fillId="26" borderId="24" xfId="0" applyFont="1" applyFill="1" applyBorder="1"/>
    <s:xf numFmtId="0" fontId="52" fillId="11" borderId="24" xfId="0" applyFont="1" applyFill="1" applyBorder="1"/>
    <s:xf numFmtId="0" fontId="52" fillId="11" borderId="97" xfId="0" applyFont="1" applyFill="1" applyBorder="1" applyProtection="1">
      <s:protection locked="0"/>
    </s:xf>
    <s:xf numFmtId="0" fontId="52" fillId="11" borderId="99" xfId="0" applyFont="1" applyFill="1" applyBorder="1" applyProtection="1">
      <s:protection locked="0"/>
    </s:xf>
    <s:xf numFmtId="3" fontId="36" fillId="27" borderId="24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6" xfId="0" applyNumberFormat="1" applyFont="1" applyFill="1" applyBorder="1" applyAlignment="1" applyProtection="1">
      <s:alignment horizontal="center" mc:Ignorable="vyd"/>
      <s:protection hidden="1"/>
    </s:xf>
    <s:xf numFmtId="3" fontId="36" fillId="28" borderId="97" xfId="0" applyNumberFormat="1" applyFont="1" applyFill="1" applyBorder="1" applyAlignment="1" applyProtection="1">
      <s:alignment horizontal="center" mc:Ignorable="vyd"/>
      <s:protection hidden="1"/>
    </s:xf>
    <s:xf numFmtId="3" fontId="36" fillId="0" borderId="97" xfId="0" applyNumberFormat="1" applyFont="1" applyBorder="1" applyAlignment="1" applyProtection="1">
      <s:alignment horizontal="center" mc:Ignorable="vyd"/>
      <s:protection hidden="1"/>
    </s:xf>
    <s:xf numFmtId="0" fontId="46" fillId="11" borderId="24" xfId="0" applyFont="1" applyFill="1" applyBorder="1"/>
    <s:xf numFmtId="3" fontId="52" fillId="23" borderId="24" xfId="0" applyNumberFormat="1" applyFont="1" applyFill="1" applyBorder="1" applyAlignment="1">
      <s:alignment horizontal="center" mc:Ignorable="vyd"/>
    </s:xf>
    <s:xf numFmtId="3" fontId="52" fillId="24" borderId="96" xfId="0" applyNumberFormat="1" applyFont="1" applyFill="1" applyBorder="1" applyAlignment="1">
      <s:alignment horizontal="center" mc:Ignorable="vyd"/>
    </s:xf>
    <s:xf numFmtId="3" fontId="52" fillId="24" borderId="97" xfId="0" applyNumberFormat="1" applyFont="1" applyFill="1" applyBorder="1" applyAlignment="1">
      <s:alignment horizontal="center" mc:Ignorable="vyd"/>
    </s:xf>
    <s:xf numFmtId="3" fontId="52" fillId="0" borderId="97" xfId="0" applyNumberFormat="1" applyFont="1" applyBorder="1" applyAlignment="1">
      <s:alignment horizontal="center" mc:Ignorable="vyd"/>
    </s:xf>
    <s:xf numFmtId="0" fontId="21" fillId="25" borderId="100" xfId="0" applyFont="1" applyFill="1" applyBorder="1" applyProtection="1">
      <s:protection locked="0"/>
    </s:xf>
    <s:xf numFmtId="0" fontId="46" fillId="0" borderId="24" xfId="0" applyFont="1" applyBorder="1" applyProtection="1">
      <s:protection locked="0"/>
    </s:xf>
    <s:xf numFmtId="3" fontId="36" fillId="27" borderId="23" xfId="0" applyNumberFormat="1" applyFont="1" applyFill="1" applyBorder="1" applyAlignment="1" applyProtection="1">
      <s:alignment horizontal="center" mc:Ignorable="vyd"/>
      <s:protection hidden="1"/>
    </s:xf>
    <s:xf numFmtId="3" fontId="36" fillId="0" borderId="99" xfId="0" applyNumberFormat="1" applyFont="1" applyBorder="1" applyAlignment="1" applyProtection="1">
      <s:alignment horizontal="center" mc:Ignorable="vyd"/>
      <s:protection hidden="1"/>
    </s:xf>
    <s:xf numFmtId="0" fontId="46" fillId="29" borderId="24" xfId="0" applyFont="1" applyFill="1" applyBorder="1"/>
    <s:xf numFmtId="0" fontId="52" fillId="29" borderId="24" xfId="0" applyFont="1" applyFill="1" applyBorder="1"/>
    <s:xf numFmtId="0" fontId="46" fillId="0" borderId="101" xfId="0" applyFont="1" applyBorder="1" applyProtection="1">
      <s:protection locked="0"/>
    </s:xf>
    <s:xf numFmtId="3" fontId="21" fillId="16" borderId="102" xfId="0" applyNumberFormat="1" applyFont="1" applyFill="1" applyBorder="1" applyAlignment="1">
      <s:alignment horizontal="center" mc:Ignorable="vyd"/>
    </s:xf>
    <s:xf numFmtId="3" fontId="21" fillId="23" borderId="83" xfId="0" applyNumberFormat="1" applyFont="1" applyFill="1" applyBorder="1" applyAlignment="1">
      <s:alignment horizontal="center" mc:Ignorable="vyd"/>
    </s:xf>
    <s:xf numFmtId="3" fontId="21" fillId="23" borderId="103" xfId="0" applyNumberFormat="1" applyFont="1" applyFill="1" applyBorder="1" applyAlignment="1">
      <s:alignment horizontal="center" mc:Ignorable="vyd"/>
    </s:xf>
    <s:xf numFmtId="3" fontId="21" fillId="23" borderId="102" xfId="0" applyNumberFormat="1" applyFont="1" applyFill="1" applyBorder="1" applyAlignment="1">
      <s:alignment horizontal="center" mc:Ignorable="vyd"/>
    </s:xf>
    <s:xf numFmtId="3" fontId="21" fillId="23" borderId="13" xfId="0" applyNumberFormat="1" applyFont="1" applyFill="1" applyBorder="1" applyAlignment="1">
      <s:alignment horizontal="center" mc:Ignorable="vyd"/>
    </s:xf>
    <s:xf numFmtId="0" fontId="46" fillId="30" borderId="24" xfId="0" applyFont="1" applyFill="1" applyBorder="1"/>
    <s:xf numFmtId="0" fontId="46" fillId="31" borderId="24" xfId="0" applyFont="1" applyFill="1" applyBorder="1"/>
    <s:xf numFmtId="0" fontId="46" fillId="32" borderId="24" xfId="0" applyFont="1" applyFill="1" applyBorder="1"/>
    <s:xf numFmtId="0" fontId="52" fillId="30" borderId="24" xfId="0" applyFont="1" applyFill="1" applyBorder="1"/>
    <s:xf numFmtId="0" fontId="52" fillId="31" borderId="24" xfId="0" applyFont="1" applyFill="1" applyBorder="1"/>
    <s:xf numFmtId="0" fontId="46" fillId="33" borderId="24" xfId="0" applyFont="1" applyFill="1" applyBorder="1"/>
    <s:xf numFmtId="0" fontId="46" fillId="34" borderId="24" xfId="0" applyFont="1" applyFill="1" applyBorder="1"/>
    <s:xf numFmtId="4" fontId="42" fillId="4" borderId="24" xfId="0" applyNumberFormat="1" applyFont="1" applyFill="1" applyBorder="1" applyAlignment="1">
      <s:alignment horizontal="center" vertical="top" mc:Ignorable="vyd"/>
    </s:xf>
    <s:xf numFmtId="0" fontId="42" fillId="4" borderId="25" xfId="0" applyFont="1" applyFill="1" applyBorder="1" applyAlignment="1">
      <s:alignment horizontal="left" vertical="top" mc:Ignorable="vyd"/>
    </s:xf>
    <s:xf numFmtId="0" fontId="42" fillId="4" borderId="23" xfId="0" applyFont="1" applyFill="1" applyBorder="1" applyAlignment="1">
      <s:alignment horizontal="left" vertical="top" mc:Ignorable="vyd"/>
    </s:xf>
    <s:xf numFmtId="0" fontId="17" fillId="0" borderId="104" xfId="0" applyFont="1" applyBorder="1" applyAlignment="1">
      <s:alignment horizontal="center" vertical="center" mc:Ignorable="vyd"/>
    </s:xf>
    <s:xf numFmtId="0" fontId="0" fillId="0" borderId="3" xfId="0" applyBorder="1"/>
    <s:xf numFmtId="0" fontId="21" fillId="35" borderId="30" xfId="0" applyFont="1" applyFill="1" applyBorder="1" applyAlignment="1">
      <s:alignment horizontal="center" vertical="center" mc:Ignorable="vyd"/>
    </s:xf>
    <s:xf numFmtId="0" fontId="16" fillId="0" borderId="7" xfId="0" applyFont="1" applyBorder="1" applyAlignment="1">
      <s:alignment horizontal="center" vertical="center" mc:Ignorable="vyd"/>
    </s:xf>
    <s:xf numFmtId="0" fontId="16" fillId="0" borderId="21" xfId="0" applyFont="1" applyBorder="1" applyAlignment="1">
      <s:alignment horizontal="center" vertical="center" mc:Ignorable="vyd"/>
    </s:xf>
    <s:xf numFmtId="0" fontId="0" fillId="0" borderId="68" xfId="0" applyBorder="1"/>
    <s:xf numFmtId="0" fontId="36" fillId="14" borderId="24" xfId="0" applyFont="1" applyFill="1" applyBorder="1" applyAlignment="1">
      <s:alignment horizontal="center" vertical="center" wrapText="1" mc:Ignorable="vyd"/>
    </s:xf>
    <s:xf numFmtId="0" fontId="36" fillId="14" borderId="25" xfId="0" applyFont="1" applyFill="1" applyBorder="1" applyAlignment="1">
      <s:alignment horizontal="center" vertical="center" wrapText="1" mc:Ignorable="vyd"/>
    </s:xf>
    <s:xf numFmtId="0" fontId="36" fillId="14" borderId="105" xfId="0" applyFont="1" applyFill="1" applyBorder="1" applyAlignment="1">
      <s:alignment horizontal="center" vertical="center" wrapText="1" mc:Ignorable="vyd"/>
    </s:xf>
    <s:xf numFmtId="0" fontId="36" fillId="14" borderId="106" xfId="0" applyFont="1" applyFill="1" applyBorder="1" applyAlignment="1">
      <s:alignment horizontal="center" vertical="center" wrapText="1" mc:Ignorable="vyd"/>
    </s:xf>
    <s:xf numFmtId="171" fontId="21" fillId="15" borderId="24" xfId="0" applyNumberFormat="1" applyFont="1" applyFill="1" applyBorder="1" applyAlignment="1">
      <s:alignment horizontal="right" vertical="top" wrapText="1" indent="1" mc:Ignorable="vyd"/>
    </s:xf>
    <s:xf numFmtId="171" fontId="21" fillId="15" borderId="25" xfId="0" applyNumberFormat="1" applyFont="1" applyFill="1" applyBorder="1" applyAlignment="1">
      <s:alignment horizontal="right" vertical="top" wrapText="1" mc:Ignorable="vyd"/>
    </s:xf>
    <s:xf numFmtId="171" fontId="21" fillId="15" borderId="60" xfId="0" applyNumberFormat="1" applyFont="1" applyFill="1" applyBorder="1" applyAlignment="1">
      <s:alignment horizontal="right" vertical="top" wrapText="1" indent="1" mc:Ignorable="vyd"/>
    </s:xf>
    <s:xf numFmtId="171" fontId="21" fillId="15" borderId="57" xfId="0" applyNumberFormat="1" applyFont="1" applyFill="1" applyBorder="1" applyAlignment="1">
      <s:alignment horizontal="right" vertical="top" wrapText="1" indent="1" mc:Ignorable="vyd"/>
    </s:xf>
    <s:xf numFmtId="171" fontId="21" fillId="15" borderId="63" xfId="0" applyNumberFormat="1" applyFont="1" applyFill="1" applyBorder="1" applyAlignment="1">
      <s:alignment horizontal="right" vertical="top" wrapText="1" indent="1" mc:Ignorable="vyd"/>
    </s:xf>
    <s:xf numFmtId="171" fontId="21" fillId="0" borderId="107" xfId="0" applyNumberFormat="1" applyFont="1" applyBorder="1" applyAlignment="1">
      <s:alignment horizontal="right" vertical="top" wrapText="1" indent="1" mc:Ignorable="vyd"/>
    </s:xf>
    <s:xf numFmtId="171" fontId="21" fillId="15" borderId="108" xfId="0" applyNumberFormat="1" applyFont="1" applyFill="1" applyBorder="1" applyAlignment="1">
      <s:alignment horizontal="right" vertical="top" wrapText="1" indent="1" mc:Ignorable="vyd"/>
    </s:xf>
    <s:xf numFmtId="0" fontId="42" fillId="4" borderId="109" xfId="0" applyFont="1" applyFill="1" applyBorder="1" applyAlignment="1">
      <s:alignment horizontal="left" vertical="top" mc:Ignorable="vyd"/>
    </s:xf>
    <s:xf numFmtId="0" fontId="17" fillId="4" borderId="0" xfId="0" applyFont="1" applyFill="1" applyAlignment="1">
      <s:alignment horizontal="left" mc:Ignorable="vyd"/>
    </s:xf>
    <s:xf numFmtId="0" fontId="16" fillId="4" borderId="0" xfId="0" applyFont="1" applyFill="1" applyAlignment="1">
      <s:alignment horizontal="left" wrapText="1" mc:Ignorable="vyd"/>
    </s:xf>
    <s:xf numFmtId="0" fontId="37" fillId="0" borderId="0" xfId="0" applyFont="1"/>
    <s:xf numFmtId="4" fontId="55" fillId="36" borderId="0" xfId="0" applyNumberFormat="1" applyFont="1" applyFill="1" applyAlignment="1">
      <s:alignment horizontal="left" vertical="center" wrapText="1" mc:Ignorable="vyd"/>
    </s:xf>
    <s:xf numFmtId="0" fontId="42" fillId="4" borderId="109" xfId="0" applyFont="1" applyFill="1" applyBorder="1" applyAlignment="1">
      <s:alignment horizontal="center" vertical="center" wrapText="1" mc:Ignorable="vyd"/>
    </s:xf>
    <s:xf numFmtId="4" fontId="43" fillId="4" borderId="24" xfId="0" applyNumberFormat="1" applyFont="1" applyFill="1" applyBorder="1" applyAlignment="1">
      <s:alignment horizontal="right" vertical="top" indent="1" mc:Ignorable="vyd"/>
    </s:xf>
    <s:xf numFmtId="10" fontId="42" fillId="37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center" wrapText="1" mc:Ignorable="vyd"/>
    </s:xf>
    <s:xf numFmtId="10" fontId="42" fillId="37" borderId="24" xfId="0" applyNumberFormat="1" applyFont="1" applyFill="1" applyBorder="1" applyAlignment="1">
      <s:alignment horizontal="center" vertical="top" wrapText="1" mc:Ignorable="vyd"/>
    </s:xf>
    <s:xf numFmtId="0" fontId="16" fillId="4" borderId="109" xfId="0" applyFont="1" applyFill="1" applyBorder="1" applyAlignment="1">
      <s:alignment horizontal="left" mc:Ignorable="vyd"/>
    </s:xf>
    <s:xf numFmtId="0" fontId="43" fillId="4" borderId="0" xfId="0" applyFont="1" applyFill="1" applyAlignment="1">
      <s:alignment horizontal="left" mc:Ignorable="vyd"/>
    </s:xf>
    <s:xf numFmtId="2" fontId="56" fillId="36" borderId="0" xfId="0" applyNumberFormat="1" applyFont="1" applyFill="1" applyAlignment="1">
      <s:alignment horizontal="left" mc:Ignorable="vyd"/>
    </s:xf>
    <s:xf numFmtId="0" fontId="42" fillId="4" borderId="0" xfId="0" applyFont="1" applyFill="1" applyAlignment="1">
      <s:alignment horizontal="center" wrapText="1" mc:Ignorable="vyd"/>
    </s:xf>
    <s:xf numFmtId="0" fontId="42" fillId="4" borderId="0" xfId="0" applyFont="1" applyFill="1" applyAlignment="1">
      <s:alignment horizontal="left" mc:Ignorable="vyd"/>
    </s:xf>
    <s:xf numFmtId="4" fontId="55" fillId="36" borderId="0" xfId="0" applyNumberFormat="1" applyFont="1" applyFill="1" applyAlignment="1">
      <s:alignment horizontal="left" mc:Ignorable="vyd"/>
    </s:xf>
    <s:xf numFmtId="0" fontId="16" fillId="4" borderId="109" xfId="0" applyFont="1" applyFill="1" applyBorder="1" applyAlignment="1">
      <s:alignment horizontal="center" vertical="center" wrapText="1" mc:Ignorable="vyd"/>
    </s:xf>
    <s:xf numFmtId="0" fontId="42" fillId="4" borderId="25" xfId="0" applyFont="1" applyFill="1" applyBorder="1" applyAlignment="1">
      <s:alignment horizontal="center" vertical="center" wrapText="1" mc:Ignorable="vyd"/>
    </s:xf>
    <s:xf numFmtId="0" fontId="42" fillId="4" borderId="23" xfId="0" applyFont="1" applyFill="1" applyBorder="1" applyAlignment="1">
      <s:alignment horizontal="center" vertical="center" wrapText="1" mc:Ignorable="vyd"/>
    </s:xf>
    <s:xf numFmtId="4" fontId="42" fillId="4" borderId="66" xfId="0" applyNumberFormat="1" applyFont="1" applyFill="1" applyBorder="1" applyAlignment="1">
      <s:alignment horizontal="left" vertical="top" mc:Ignorable="vyd"/>
    </s:xf>
    <s:xf numFmtId="0" fontId="3" fillId="0" borderId="109" xfId="0" applyFont="1" applyBorder="1"/>
    <s:xf numFmtId="4" fontId="3" fillId="0" borderId="24" xfId="0" applyNumberFormat="1" applyFont="1" applyBorder="1"/>
    <s:xf numFmtId="0" fontId="42" fillId="4" borderId="0" xfId="0" applyFont="1" applyFill="1" applyAlignment="1">
      <s:alignment horizontal="center" vertical="top" wrapText="1" mc:Ignorable="vyd"/>
    </s:xf>
    <s:xf numFmtId="0" fontId="43" fillId="4" borderId="110" xfId="0" applyFont="1" applyFill="1" applyBorder="1" applyAlignment="1">
      <s:alignment horizontal="left" vertical="top" mc:Ignorable="vyd"/>
    </s:xf>
    <s:xf numFmtId="0" fontId="42" fillId="4" borderId="110" xfId="0" applyFont="1" applyFill="1" applyBorder="1" applyAlignment="1">
      <s:alignment horizontal="left" vertical="top" mc:Ignorable="vyd"/>
    </s:xf>
    <s:xf numFmtId="4" fontId="55" fillId="36" borderId="110" xfId="0" applyNumberFormat="1" applyFont="1" applyFill="1" applyBorder="1" applyAlignment="1">
      <s:alignment horizontal="left" vertical="top" mc:Ignorable="vyd"/>
    </s:xf>
    <s:xf numFmtId="4" fontId="16" fillId="4" borderId="24" xfId="0" applyNumberFormat="1" applyFont="1" applyFill="1" applyBorder="1" applyAlignment="1">
      <s:alignment vertical="top" mc:Ignorable="vyd"/>
    </s:xf>
    <s:xf numFmtId="2" fontId="23" fillId="4" borderId="24" xfId="0" applyNumberFormat="1" applyFont="1" applyFill="1" applyBorder="1" applyAlignment="1">
      <s:alignment horizontal="right" vertical="top" indent="1" mc:Ignorable="vyd"/>
    </s:xf>
    <s:xf numFmtId="3" fontId="42" fillId="4" borderId="0" xfId="0" applyNumberFormat="1" applyFont="1" applyFill="1" applyAlignment="1">
      <s:alignment horizontal="left" vertical="top" mc:Ignorable="vyd"/>
    </s:xf>
    <s:xf numFmtId="172" fontId="42" fillId="4" borderId="0" xfId="0" applyNumberFormat="1" applyFont="1" applyFill="1" applyAlignment="1">
      <s:alignment vertical="top" mc:Ignorable="vyd"/>
    </s:xf>
    <s:xf numFmtId="4" fontId="16" fillId="4" borderId="0" xfId="0" applyNumberFormat="1" applyFont="1" applyFill="1" applyAlignment="1">
      <s:alignment vertical="top" mc:Ignorable="vyd"/>
    </s:xf>
    <s:xf numFmtId="10" fontId="42" fillId="4" borderId="0" xfId="0" applyNumberFormat="1" applyFont="1" applyFill="1" applyAlignment="1">
      <s:alignment horizontal="center" vertical="top" mc:Ignorable="vyd"/>
    </s:xf>
    <s:xf numFmtId="2" fontId="23" fillId="4" borderId="0" xfId="0" applyNumberFormat="1" applyFont="1" applyFill="1" applyAlignment="1">
      <s:alignment horizontal="right" vertical="top" indent="1" mc:Ignorable="vyd"/>
    </s:xf>
    <s:xf numFmtId="0" fontId="42" fillId="4" borderId="7" xfId="0" applyFont="1" applyFill="1" applyBorder="1" applyAlignment="1">
      <s:alignment horizontal="center" vertical="center" wrapText="1" mc:Ignorable="vyd"/>
    </s:xf>
    <s:xf numFmtId="0" fontId="0" fillId="0" borderId="8" xfId="0" applyBorder="1"/>
    <s:xf numFmtId="10" fontId="16" fillId="0" borderId="31" xfId="0" applyNumberFormat="1" applyFont="1" applyBorder="1" applyAlignment="1">
      <s:alignment horizontal="center" vertical="top" mc:Ignorable="vyd"/>
    </s:xf>
    <s:xf numFmtId="0" fontId="16" fillId="0" borderId="19" xfId="0" applyFont="1" applyBorder="1" applyAlignment="1">
      <s:alignment horizontal="center" vertical="top" mc:Ignorable="vyd"/>
    </s:xf>
    <s:xf numFmtId="4" fontId="16" fillId="0" borderId="19" xfId="0" applyNumberFormat="1" applyFont="1" applyBorder="1" applyAlignment="1">
      <s:alignment horizontal="center" vertical="top" mc:Ignorable="vyd"/>
    </s:xf>
    <s:xf numFmtId="3" fontId="16" fillId="0" borderId="30" xfId="0" applyNumberFormat="1" applyFont="1" applyBorder="1" applyAlignment="1">
      <s:alignment horizontal="center" vertical="top" mc:Ignorable="vyd"/>
    </s:xf>
    <s:xf numFmtId="10" fontId="3" fillId="0" borderId="24" xfId="0" applyNumberFormat="1" applyFont="1" applyBorder="1" applyAlignment="1">
      <s:alignment horizontal="center" vertical="center" mc:Ignorable="vyd"/>
    </s:xf>
    <s:xf numFmtId="0" fontId="10" fillId="2" borderId="0" xfId="0" applyFont="1" applyFill="1" applyAlignment="1">
      <s:alignment vertical="top" mc:Ignorable="vyd"/>
    </s:xf>
    <s:xf numFmtId="3" fontId="16" fillId="0" borderId="31" xfId="0" applyNumberFormat="1" applyFont="1" applyBorder="1" applyAlignment="1">
      <s:alignment horizontal="center" vertical="center" mc:Ignorable="vyd"/>
    </s:xf>
    <s:xf numFmtId="0" fontId="52" fillId="32" borderId="24" xfId="0" applyFont="1" applyFill="1" applyBorder="1"/>
    <s:xf numFmtId="0" fontId="52" fillId="32" borderId="97" xfId="0" applyFont="1" applyFill="1" applyBorder="1" applyProtection="1">
      <s:protection locked="0"/>
    </s:xf>
    <s:xf numFmtId="4" fontId="37" fillId="0" borderId="24" xfId="0" applyNumberFormat="1" applyFont="1" applyBorder="1"/>
    <s:xf numFmtId="10" fontId="20" fillId="0" borderId="34" xfId="0" applyNumberFormat="1" applyFont="1" applyBorder="1" applyAlignment="1">
      <s:alignment horizontal="center" vertical="center" mc:Ignorable="vyd"/>
    </s:xf>
    <s:xf numFmtId="17" fontId="21" fillId="12" borderId="67" xfId="0" applyNumberFormat="1" applyFont="1" applyFill="1" applyBorder="1" applyAlignment="1">
      <s:alignment horizontal="left" vertical="center" wrapText="1" mc:Ignorable="vyd"/>
    </s:xf>
    <s:xf numFmtId="17" fontId="21" fillId="12" borderId="48" xfId="0" applyNumberFormat="1" applyFont="1" applyFill="1" applyBorder="1" applyAlignment="1">
      <s:alignment horizontal="left" vertical="center" wrapText="1" mc:Ignorable="vyd"/>
    </s:xf>
    <s:xf numFmtId="17" fontId="21" fillId="12" borderId="54" xfId="0" applyNumberFormat="1" applyFont="1" applyFill="1" applyBorder="1" applyAlignment="1">
      <s:alignment horizontal="left" vertical="center" wrapText="1" mc:Ignorable="vyd"/>
    </s:xf>
    <s:xf numFmtId="0" fontId="21" fillId="4" borderId="51" xfId="0" applyFont="1" applyFill="1" applyBorder="1" applyAlignment="1">
      <s:alignment horizontal="left" vertical="center" wrapText="1" mc:Ignorable="vyd"/>
    </s:xf>
    <s:xf numFmtId="0" fontId="21" fillId="4" borderId="31" xfId="0" applyFont="1" applyFill="1" applyBorder="1" applyAlignment="1">
      <s:alignment horizontal="left" vertical="center" wrapText="1" mc:Ignorable="vyd"/>
    </s:xf>
    <s:xf numFmtId="0" fontId="21" fillId="4" borderId="28" xfId="0" applyFont="1" applyFill="1" applyBorder="1" applyAlignment="1">
      <s:alignment horizontal="left" vertical="center" wrapText="1" mc:Ignorable="vyd"/>
    </s:xf>
    <s:xf numFmtId="0" fontId="42" fillId="4" borderId="0" xfId="0" applyFont="1" applyFill="1" applyAlignment="1">
      <s:alignment horizontal="center" vertical="top" mc:Ignorable="vyd"/>
    </s:xf>
    <s:xf numFmtId="0" fontId="42" fillId="4" borderId="25" xfId="0" applyFont="1" applyFill="1" applyBorder="1" applyAlignment="1">
      <s:alignment horizontal="center" vertical="center" mc:Ignorable="vyd"/>
    </s:xf>
    <s:xf numFmtId="0" fontId="42" fillId="4" borderId="23" xfId="0" applyFont="1" applyFill="1" applyBorder="1" applyAlignment="1">
      <s:alignment horizontal="center" vertical="center" mc:Ignorable="vyd"/>
    </s:xf>
    <s:xf numFmtId="0" fontId="42" fillId="4" borderId="25" xfId="0" applyFont="1" applyFill="1" applyBorder="1" applyAlignment="1">
      <s:alignment horizontal="center" vertical="top" wrapText="1" mc:Ignorable="vyd"/>
    </s:xf>
    <s:xf numFmtId="0" fontId="42" fillId="4" borderId="23" xfId="0" applyFont="1" applyFill="1" applyBorder="1" applyAlignment="1">
      <s:alignment horizontal="center" vertical="top" wrapText="1" mc:Ignorable="vyd"/>
    </s:xf>
    <s:xf numFmtId="0" fontId="36" fillId="14" borderId="56" xfId="0" applyFont="1" applyFill="1" applyBorder="1" applyAlignment="1">
      <s:alignment horizontal="center" vertical="center" wrapText="1" mc:Ignorable="vyd"/>
    </s:xf>
    <s:xf numFmtId="0" fontId="36" fillId="14" borderId="24" xfId="0" applyFont="1" applyFill="1" applyBorder="1" applyAlignment="1">
      <s:alignment horizontal="center" vertical="center" wrapText="1" mc:Ignorable="vyd"/>
    </s:xf>
    <s:xf numFmtId="0" fontId="21" fillId="15" borderId="56" xfId="0" applyFont="1" applyFill="1" applyBorder="1" applyAlignment="1">
      <s:alignment horizontal="left" vertical="top" wrapText="1" mc:Ignorable="vyd"/>
    </s:xf>
    <s:xf numFmtId="0" fontId="21" fillId="15" borderId="24" xfId="0" applyFont="1" applyFill="1" applyBorder="1" applyAlignment="1">
      <s:alignment horizontal="left" vertical="top" wrapText="1" mc:Ignorable="vyd"/>
    </s:xf>
    <s:xf numFmtId="0" fontId="42" fillId="4" borderId="25" xfId="0" applyFont="1" applyFill="1" applyBorder="1" applyAlignment="1">
      <s:alignment horizontal="left" vertical="top" wrapText="1" mc:Ignorable="vyd"/>
    </s:xf>
    <s:xf numFmtId="0" fontId="42" fillId="4" borderId="23" xfId="0" applyFont="1" applyFill="1" applyBorder="1" applyAlignment="1">
      <s:alignment horizontal="left" vertical="top" wrapText="1" mc:Ignorable="vyd"/>
    </s:xf>
    <s:xf numFmtId="0" fontId="17" fillId="10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8" borderId="24" xfId="0" applyFont="1" applyFill="1" applyBorder="1" applyAlignment="1">
      <s:alignment horizontal="center" vertical="center" mc:Ignorable="vyd"/>
    </s:xf>
    <s:xf numFmtId="0" fontId="25" fillId="8" borderId="24" xfId="0" applyFont="1" applyFill="1" applyBorder="1" applyAlignment="1">
      <s:alignment horizontal="center" vertical="center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6" fillId="2" borderId="0" xfId="0" applyFont="1" applyFill="1" applyAlignment="1">
      <s:alignment horizontal="center" vertical="top" mc:Ignorable="vyd"/>
    </s:xf>
    <s:xf numFmtId="0" fontId="15" fillId="2" borderId="9" xfId="0" applyFont="1" applyFill="1" applyBorder="1" applyAlignment="1">
      <s:alignment horizontal="center" vertical="center" mc:Ignorable="vyd"/>
    </s:xf>
    <s:xf numFmtId="0" fontId="15" fillId="2" borderId="10" xfId="0" applyFont="1" applyFill="1" applyBorder="1" applyAlignment="1">
      <s:alignment horizontal="center" vertical="center" mc:Ignorable="vyd"/>
    </s:xf>
    <s:xf numFmtId="0" fontId="15" fillId="2" borderId="4" xfId="0" applyFont="1" applyFill="1" applyBorder="1" applyAlignment="1">
      <s:alignment horizontal="center" vertical="center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33" fillId="10" borderId="38" xfId="0" applyFont="1" applyFill="1" applyBorder="1" applyAlignment="1">
      <s:alignment horizontal="center" vertical="center" mc:Ignorable="vyd"/>
    </s:xf>
    <s:xf numFmtId="0" fontId="33" fillId="10" borderId="2" xfId="0" applyFont="1" applyFill="1" applyBorder="1" applyAlignment="1">
      <s:alignment horizontal="center" vertical="center" mc:Ignorable="vyd"/>
    </s:xf>
    <s:xf numFmtId="0" fontId="33" fillId="10" borderId="3" xfId="0" applyFont="1" applyFill="1" applyBorder="1" applyAlignment="1">
      <s:alignment horizontal="center" vertical="center" mc:Ignorable="vyd"/>
    </s:xf>
    <s:xf numFmtId="0" fontId="33" fillId="10" borderId="6" xfId="0" applyFont="1" applyFill="1" applyBorder="1" applyAlignment="1">
      <s:alignment horizontal="center" vertical="center" mc:Ignorable="vyd"/>
    </s:xf>
    <s:xf numFmtId="0" fontId="33" fillId="10" borderId="7" xfId="0" applyFont="1" applyFill="1" applyBorder="1" applyAlignment="1">
      <s:alignment horizontal="center" vertical="center" mc:Ignorable="vyd"/>
    </s:xf>
    <s:xf numFmtId="0" fontId="33" fillId="10" borderId="8" xfId="0" applyFont="1" applyFill="1" applyBorder="1" applyAlignment="1">
      <s:alignment horizontal="center" vertical="center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47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5" xfId="0" applyFont="1" applyBorder="1" applyAlignment="1">
      <s:alignment horizontal="left" vertical="center" mc:Ignorable="vyd"/>
    </s:xf>
    <s:xf numFmtId="0" fontId="15" fillId="2" borderId="111" xfId="0" applyFont="1" applyFill="1" applyBorder="1" applyAlignment="1">
      <s:alignment horizontal="center" vertical="center" mc:Ignorable="vyd"/>
    </s:xf>
    <s:xf numFmtId="0" fontId="15" fillId="2" borderId="112" xfId="0" applyFont="1" applyFill="1" applyBorder="1" applyAlignment="1">
      <s:alignment horizontal="center" vertical="center" mc:Ignorable="vyd"/>
    </s:xf>
    <s:xf numFmtId="0" fontId="15" fillId="2" borderId="113" xfId="0" applyFont="1" applyFill="1" applyBorder="1" applyAlignment="1">
      <s:alignment horizontal="center" vertical="center" mc:Ignorable="vyd"/>
    </s:xf>
    <s:xf numFmtId="0" fontId="39" fillId="2" borderId="0" xfId="0" applyFont="1" applyFill="1" applyAlignment="1">
      <s:alignment horizontal="center" mc:Ignorable="vyd"/>
    </s:xf>
    <s:xf numFmtId="0" fontId="40" fillId="2" borderId="0" xfId="0" applyFont="1" applyFill="1" applyAlignment="1">
      <s:alignment horizontal="center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4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0" fillId="2" borderId="21" xfId="0" applyFont="1" applyFill="1" applyBorder="1" applyAlignment="1">
      <s:alignment horizontal="center" vertical="top" mc:Ignorable="vyd"/>
    </s:xf>
    <s:xf numFmtId="0" fontId="17" fillId="10" borderId="25" xfId="0" applyFont="1" applyFill="1" applyBorder="1" applyAlignment="1">
      <s:alignment horizontal="center" vertical="top" mc:Ignorable="vyd"/>
    </s:xf>
    <s:xf numFmtId="0" fontId="17" fillId="10" borderId="23" xfId="0" applyFont="1" applyFill="1" applyBorder="1" applyAlignment="1">
      <s:alignment horizontal="center" vertical="top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48" fillId="16" borderId="75" xfId="0" applyFont="1" applyFill="1" applyBorder="1" applyAlignment="1">
      <s:alignment horizontal="center" mc:Ignorable="vyd"/>
    </s:xf>
    <s:xf numFmtId="0" fontId="48" fillId="16" borderId="76" xfId="0" applyFont="1" applyFill="1" applyBorder="1" applyAlignment="1">
      <s:alignment horizontal="center" mc:Ignorable="vyd"/>
    </s:xf>
    <s:xf numFmtId="3" fontId="49" fillId="16" borderId="75" xfId="0" applyNumberFormat="1" applyFont="1" applyFill="1" applyBorder="1" applyAlignment="1">
      <s:alignment horizontal="center" mc:Ignorable="vyd"/>
    </s:xf>
    <s:xf numFmtId="3" fontId="49" fillId="16" borderId="77" xfId="0" applyNumberFormat="1" applyFont="1" applyFill="1" applyBorder="1" applyAlignment="1">
      <s:alignment horizontal="center" mc:Ignorable="vyd"/>
    </s:xf>
    <s:xf numFmtId="3" fontId="49" fillId="16" borderId="76" xfId="0" applyNumberFormat="1" applyFont="1" applyFill="1" applyBorder="1" applyAlignment="1">
      <s:alignment horizontal="center" mc:Ignorable="vyd"/>
    </s:xf>
    <s:xf numFmtId="0" fontId="36" fillId="16" borderId="75" xfId="0" applyFont="1" applyFill="1" applyBorder="1" applyAlignment="1">
      <s:alignment horizontal="left" wrapText="1" mc:Ignorable="vyd"/>
    </s:xf>
    <s:xf numFmtId="0" fontId="36" fillId="16" borderId="77" xfId="0" applyFont="1" applyFill="1" applyBorder="1" applyAlignment="1">
      <s:alignment horizontal="left" wrapText="1" mc:Ignorable="vyd"/>
    </s:xf>
    <s:xf numFmtId="0" fontId="36" fillId="16" borderId="76" xfId="0" applyFont="1" applyFill="1" applyBorder="1" applyAlignment="1">
      <s:alignment horizontal="left" wrapText="1" mc:Ignorable="vyd"/>
    </s:xf>
    <s:xf numFmtId="0" fontId="21" fillId="24" borderId="84" xfId="0" applyFont="1" applyFill="1" applyBorder="1" applyAlignment="1">
      <s:alignment horizontal="center" vertical="center" wrapText="1" mc:Ignorable="vyd"/>
    </s:xf>
    <s:xf numFmtId="0" fontId="21" fillId="24" borderId="86" xfId="0" applyFont="1" applyFill="1" applyBorder="1" applyAlignment="1">
      <s:alignment horizontal="center" vertical="center" wrapText="1" mc:Ignorable="vyd"/>
    </s:xf>
    <s:xf numFmtId="0" fontId="21" fillId="24" borderId="91" xfId="0" applyFont="1" applyFill="1" applyBorder="1" applyAlignment="1">
      <s:alignment horizontal="center" vertical="center" wrapText="1" mc:Ignorable="vyd"/>
    </s:xf>
    <s:xf numFmtId="0" fontId="21" fillId="24" borderId="92" xfId="0" applyFont="1" applyFill="1" applyBorder="1" applyAlignment="1">
      <s:alignment horizontal="center" vertical="center" wrapText="1" mc:Ignorable="vyd"/>
    </s:xf>
    <s:xf numFmtId="0" fontId="51" fillId="21" borderId="84" xfId="0" applyFont="1" applyFill="1" applyBorder="1" applyAlignment="1">
      <s:alignment horizontal="center" vertical="center" wrapText="1" mc:Ignorable="vyd"/>
    </s:xf>
    <s:xf numFmtId="0" fontId="51" fillId="21" borderId="86" xfId="0" applyFont="1" applyFill="1" applyBorder="1" applyAlignment="1">
      <s:alignment horizontal="center" vertical="center" wrapText="1" mc:Ignorable="vyd"/>
    </s:xf>
    <s:xf numFmtId="0" fontId="51" fillId="21" borderId="92" xfId="0" applyFont="1" applyFill="1" applyBorder="1" applyAlignment="1">
      <s:alignment horizontal="center" vertical="center" wrapText="1" mc:Ignorable="vyd"/>
    </s:xf>
  </s:cellXfs>
  <s:cellStyles count="2">
    <s:cellStyle name="Обычный" xfId="0" builtinId="0"/>
    <s:cellStyle name="Процентный" xfId="1" builtinId="5"/>
  </s:cellStyles>
  <s:dxfs count="224"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4" Type="http://schemas.openxmlformats.org/officeDocument/2006/relationships/styles" Target="styles.xml"/><Relationship Target="theme/theme1.xml" Type="http://schemas.openxmlformats.org/officeDocument/2006/relationships/theme" Id="rId15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/Relationships>
</file>

<file path=xl/externalLinks/_rels/externalLink1.xml.rels><?xml version="1.0" ?><Relationships xmlns="http://schemas.openxmlformats.org/package/2006/relationships"><Relationship Id="rId3" Type="http://schemas.openxmlformats.org/officeDocument/2006/relationships/externalLinkPath" Target="../../&#1062;&#1077;&#1085;&#1090;&#1088;&#1091;&#1084;/&#1045;&#1054;%20&#1062;&#1077;&#1085;&#1090;&#1088;&#1091;&#1084;.xlsx" TargetMode="External"/><Relationship Id="rId2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Relationship Id="rId1" Type="http://schemas.openxmlformats.org/officeDocument/2006/relationships/externalLinkPath" Target="/Users/lenadacenko/Yandex.Disk-glamejewelry.localized/Glame%20API/&#1045;&#1078;&#1077;&#1076;&#1085;&#1077;&#1074;&#1085;&#1086;/&#1062;&#1077;&#1085;&#1090;&#1088;&#1091;&#1084;/&#1045;&#1054;%20&#1062;&#1077;&#1085;&#1090;&#1088;&#1091;&#1084;.xlsx" TargetMode="External"/></Relationships>
</file>

<file path=xl/externalLinks/_rels/externalLink2.xml.rels><?xml version="1.0" ?>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s:externalLink xmlns:unk4="http://schemas.microsoft.com/office/spreadsheetml/2021/extlinks2021"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 unk4">
  <s:externalBook r:id="rId1">
    <unk4:alternateUrls>
      <unk4:absoluteUrl r:id="rId2"/>
      <unk4:relativeUrl r:id="rId3"/>
    </unk4:alternateUrls>
    <s:sheetNames>
      <s:sheetName val="Центрум"/>
      <s:sheetName val="Конкурс"/>
      <s:sheetName val="Сводная"/>
      <s:sheetName val="Справочник магазинов"/>
      <s:sheetName val="План на день"/>
      <s:sheetName val="Сейтджелилова А.Э."/>
      <s:sheetName val="Корж А. А."/>
      <s:sheetName val="Свидовская С. А."/>
      <s:sheetName val="График"/>
      <s:sheetName val="Доп сотрудник"/>
      <s:sheetName val="Вед-ть Свидовская"/>
      <s:sheetName val="Вед-ть Корж"/>
      <s:sheetName val="Вед-ть Сейтджелилова"/>
      <s:sheetName val="Вед-ть Доп сотрудник"/>
      <s:sheetName val="ПК4"/>
    </s:sheetNames>
    <s:sheetDataSet>
      <s:sheetData sheetId="0"/>
      <s:sheetData sheetId="1"/>
      <s:sheetData sheetId="2"/>
      <s:sheetData sheetId="3"/>
      <s:sheetData sheetId="4"/>
      <s:sheetData sheetId="5"/>
      <s:sheetData sheetId="6"/>
      <s:sheetData sheetId="7"/>
      <s:sheetData sheetId="8">
        <s:row r="1">
          <s:cell r="B1" t="str">
            <s:v>Март, 2026</s:v>
          </s:cell>
        </s:row>
        <s:row r="4">
          <s:cell r="B4" t="str">
            <s:v>GL-0004</s:v>
          </s:cell>
        </s:row>
      </s:sheetData>
      <s:sheetData sheetId="9"/>
      <s:sheetData sheetId="10"/>
      <s:sheetData sheetId="11"/>
      <s:sheetData sheetId="12"/>
      <s:sheetData sheetId="13"/>
      <s:sheetData sheetId="14"/>
    </s:sheetDataSet>
  </s:externalBook>
</s:externalLink>
</file>

<file path=xl/externalLinks/externalLink2.xml><?xml version="1.0" encoding="utf-8"?>
<s:externalLink xmlns:unk4="http://schemas.microsoft.com/office/spreadsheetml/2021/extlinks2021" xmlns: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 mc:Ignorable="x14 unk4">
  <s:externalBook r:id="rId1">
    <s:sheetNames>
      <s:sheetName val="Яковенко А. К"/>
    </s:sheetNames>
    <s:sheetDataSet>
      <s:sheetData sheetId="0" refreshError="1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000-000000000000}">
  <s:sheetPr>
    <s:pageSetUpPr fitToPage="1"/>
  </s:sheetPr>
  <s:dimension ref="A1:IZ68"/>
  <s:sheetViews>
    <s:sheetView showZeros="0" tabSelected="0" topLeftCell="A27" zoomScale="94" workbookViewId="0">
      <s:pane xSplit="3" topLeftCell="D1" activePane="topRight" state="frozen"/>
      <s:selection activeCell="H46" sqref="H46"/>
      <s:selection pane="topRight" activeCell="G58" sqref="G58"/>
    </s:sheetView>
  </s:sheetViews>
  <s:sheetFormatPr baseColWidth="10" defaultColWidth="9.164" defaultRowHeight="15"/>
  <s:cols>
    <s:col min="1" max="1" width="24.164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4" width="12.832" style="2" customWidth="1"/>
    <s:col min="15" max="15" width="11.5" style="2" customWidth="1"/>
    <s:col min="16" max="16" width="11.664" style="2" customWidth="1"/>
    <s:col min="17" max="17" width="12.832" style="2" customWidth="1"/>
    <s:col min="18" max="18" width="10.332" style="2" customWidth="1"/>
    <s:col min="19" max="20" width="11.332" style="2" customWidth="1"/>
    <s:col min="21" max="21" width="11" style="3" customWidth="1"/>
    <s:col min="22" max="22" width="11.332" style="2" customWidth="1"/>
    <s:col min="23" max="23" width="9.164" style="2" bestFit="1" customWidth="1"/>
    <s:col min="24" max="25" width="10.5" style="2" customWidth="1"/>
    <s:col min="26" max="257" width="9.164" style="2" bestFit="1" customWidth="1"/>
  </s:cols>
  <s:sheetData>
    <s:row r="1" spans="1:25" ht="15.75" customHeight="1">
      <s:c r="A1" s="4" t="s">
        <s:v>133</s:v>
      </s:c>
      <s:c r="B1" s="551">
        <s:f ca="1">TODAY()-1</s:f>
        <s:v>46171</s:v>
      </s:c>
      <s:c r="C1" s="551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7"/>
      <s:c r="R1" s="7"/>
      <s:c r="S1" s="552"/>
      <s:c r="T1" s="552"/>
      <s:c r="U1" s="552"/>
      <s:c r="V1" s="552"/>
      <s:c r="W1" s="8"/>
      <s:c r="X1" s="6"/>
      <s:c r="Y1" s="6"/>
    </s:row>
    <s:row r="2" spans="1:25" ht="21.75" customHeight="1">
      <s:c r="A2" s="4"/>
      <s:c r="B2" s="553" t="s">
        <s:v>0</s:v>
      </s:c>
      <s:c r="C2" s="553"/>
      <s:c r="D2" s="5"/>
      <s:c r="E2" s="5"/>
      <s:c r="F2" s="6"/>
      <s:c r="G2" s="6"/>
      <s:c r="H2" s="6"/>
      <s:c r="I2" s="6"/>
      <s:c r="J2" s="554"/>
      <s:c r="K2" s="554"/>
      <s:c r="L2" s="554"/>
      <s:c r="M2" s="554"/>
      <s:c r="N2" s="554"/>
      <s:c r="O2" s="554"/>
      <s:c r="P2" s="554"/>
      <s:c r="Q2" s="554"/>
      <s:c r="R2" s="554"/>
      <s:c r="S2" s="552"/>
      <s:c r="T2" s="552"/>
      <s:c r="U2" s="552"/>
      <s:c r="V2" s="552"/>
      <s:c r="W2" s="8"/>
      <s:c r="X2" s="6"/>
      <s:c r="Y2" s="6"/>
    </s:row>
    <s:row r="3" spans="1:25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55" t="str">
        <s:f>График!B3</s:f>
        <s:v>ул. Набережная Ленина, 18</s:v>
      </s:c>
      <s:c r="J3" s="556"/>
      <s:c r="K3" s="556"/>
      <s:c r="L3" s="556"/>
      <s:c r="M3" s="557"/>
      <s:c r="N3" s="7"/>
      <s:c r="O3" s="7"/>
      <s:c r="P3" s="7"/>
      <s:c r="Q3" s="7"/>
      <s:c r="R3" s="13"/>
      <s:c r="S3" s="552"/>
      <s:c r="T3" s="552"/>
      <s:c r="U3" s="552"/>
      <s:c r="V3" s="552"/>
      <s:c r="W3" s="8"/>
      <s:c r="X3" s="6"/>
      <s:c r="Y3" s="6"/>
    </s:row>
    <s:row r="4" spans="1:25" ht="15" customHeight="1">
      <s:c r="A4" s="4"/>
      <s:c r="B4" s="5"/>
      <s:c r="C4" s="561">
        <s:f>I8-D56</s:f>
        <s:v>798212</s:v>
      </s:c>
      <s:c r="D4" s="562"/>
      <s:c r="E4" s="14">
        <s:f>IF(I8&lt;&gt;0, C4/I8, 0)</s:f>
        <s:v>0.39574062175261498</s:v>
      </s:c>
      <s:c r="F4" s="12"/>
      <s:c r="G4" s="12"/>
      <s:c r="H4" s="12"/>
      <s:c r="I4" s="558"/>
      <s:c r="J4" s="559"/>
      <s:c r="K4" s="559"/>
      <s:c r="L4" s="559"/>
      <s:c r="M4" s="560"/>
      <s:c r="N4" s="7"/>
      <s:c r="O4" s="7"/>
      <s:c r="P4" s="7"/>
      <s:c r="Q4" s="6"/>
      <s:c r="R4" s="6"/>
      <s:c r="S4" s="552"/>
      <s:c r="T4" s="552"/>
      <s:c r="U4" s="552"/>
      <s:c r="V4" s="552"/>
      <s:c r="W4" s="8"/>
      <s:c r="X4" s="6"/>
      <s:c r="Y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542"/>
      <s:c r="K5" s="542"/>
      <s:c r="L5" s="542"/>
      <s:c r="M5" s="542"/>
      <s:c r="N5" s="542"/>
      <s:c r="O5" s="542"/>
      <s:c r="P5" s="542"/>
      <s:c r="Q5" s="6"/>
      <s:c r="R5" s="6"/>
      <s:c r="S5" s="6"/>
      <s:c r="T5" s="6"/>
      <s:c r="U5" s="12"/>
      <s:c r="V5" s="6"/>
      <s:c r="W5" s="8"/>
      <s:c r="X5" s="6"/>
      <s:c r="Y5" s="6"/>
    </s:row>
    <s:row r="6" spans="1:25" ht="20" customHeight="1">
      <s:c r="A6" s="4"/>
      <s:c r="B6" s="16"/>
      <s:c r="C6" s="6"/>
      <s:c r="D6" s="6"/>
      <s:c r="E6" s="6"/>
      <s:c r="F6" s="543" t="s">
        <s:v>2</s:v>
      </s:c>
      <s:c r="G6" s="544"/>
      <s:c r="H6" s="544"/>
      <s:c r="I6" s="544"/>
      <s:c r="J6" s="544"/>
      <s:c r="K6" s="544"/>
      <s:c r="L6" s="544"/>
      <s:c r="M6" s="544"/>
      <s:c r="N6" s="544"/>
      <s:c r="O6" s="544"/>
      <s:c r="P6" s="544"/>
      <s:c r="Q6" s="545"/>
      <s:c r="R6" s="6"/>
      <s:c r="S6" s="6"/>
      <s:c r="T6" s="17"/>
      <s:c r="U6" s="18"/>
      <s:c r="V6" s="6"/>
      <s:c r="W6" s="8"/>
      <s:c r="X6" s="6"/>
      <s:c r="Y6" s="6"/>
    </s:row>
    <s:row r="7" spans="1:25" ht="59" customHeight="1">
      <s:c r="A7" s="4"/>
      <s:c r="B7" s="16"/>
      <s:c r="C7" s="16"/>
      <s:c r="D7" s="16"/>
      <s:c r="E7" s="6"/>
      <s:c r="F7" s="546" t="s">
        <s:v>3</s:v>
      </s:c>
      <s:c r="G7" s="547"/>
      <s:c r="H7" s="548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549" t="s">
        <s:v>11</s:v>
      </s:c>
      <s:c r="Q7" s="550"/>
      <s:c r="R7" s="6"/>
      <s:c r="S7" s="6"/>
      <s:c r="T7" s="17"/>
      <s:c r="U7" s="18"/>
      <s:c r="V7" s="6"/>
      <s:c r="W7" s="8"/>
      <s:c r="X7" s="6"/>
      <s:c r="Y7" s="6"/>
    </s:row>
    <s:row r="8" spans="1:25" ht="15.75" customHeight="1">
      <s:c r="A8" s="4"/>
      <s:c r="B8" s="16"/>
      <s:c r="C8" s="16"/>
      <s:c r="D8" s="24"/>
      <s:c r="E8" s="6"/>
      <s:c r="F8" s="539" t="s">
        <s:v>12</s:v>
      </s:c>
      <s:c r="G8" s="540"/>
      <s:c r="H8" s="541"/>
      <s:c r="I8" s="25">
        <s:f>I11*I12*I13</s:f>
        <s:v>2017008</s:v>
      </s:c>
      <s:c r="J8" s="26">
        <s:f>D56</s:f>
        <s:v>1218796</s:v>
      </s:c>
      <s:c r="K8" s="27">
        <s:f>IF(AND(I8&lt;&gt;"",I8&lt;&gt;0,J8&lt;&gt;""),J8/I8,"")</s:f>
        <s:v>0.60425937824738396</s:v>
      </s:c>
      <s:c r="L8" s="28">
        <s:f>IF(SUMIF($D$25:$D$55,"&gt;=0",$U$25:$U$55)&lt;&gt;0,I8*D56/SUMIF($D$25:$D$55,"&gt;=0",$U$25:$U$55),0)</s:f>
        <s:v>1218795.99999999</s:v>
      </s:c>
      <s:c r="M8" s="29">
        <s:f>IF(AND(I8&lt;&gt;"", I8&lt;&gt;0, L8&lt;&gt;"", L8&lt;&gt;0), L8/I8, "")</s:f>
        <s:v>0.60425937824738396</s:v>
      </s:c>
      <s:c r="N8" s="30">
        <s:f>IF(AND(J8&lt;&gt;0, J8&lt;&gt;"", I8&lt;&gt;0, I8&lt;&gt;""), L8-I8, "")</s:f>
        <s:v>-798212</s:v>
      </s:c>
      <s:c r="O8" s="31">
        <s:v>1482639</s:v>
      </s:c>
      <s:c r="P8" s="32">
        <s:f>IF(AND(O8&lt;&gt;"", O8&lt;&gt;0, L8&lt;&gt;"", L8&lt;&gt;0), -O8+L8, "")</s:f>
        <s:v>-263843</s:v>
      </s:c>
      <s:c r="Q8" s="33">
        <s:f>IF(AND(P8&lt;&gt;"",P8&lt;&gt;0,O8&lt;&gt;0,O8&lt;&gt;""),P8/O8,"")</s:f>
        <s:v>-0.17795498432187401</s:v>
      </s:c>
      <s:c r="R8" s="6"/>
      <s:c r="S8" s="6"/>
      <s:c r="T8" s="17"/>
      <s:c r="U8" s="34"/>
      <s:c r="V8" s="6"/>
      <s:c r="W8" s="8"/>
      <s:c r="X8" s="6"/>
      <s:c r="Y8" s="6"/>
    </s:row>
    <s:row r="9" spans="1:25" ht="15.75" customHeight="1">
      <s:c r="A9" s="4"/>
      <s:c r="B9" s="16"/>
      <s:c r="C9" s="16"/>
      <s:c r="D9" s="16"/>
      <s:c r="E9" s="6"/>
      <s:c r="F9" s="533" t="s">
        <s:v>13</s:v>
      </s:c>
      <s:c r="G9" s="534"/>
      <s:c r="H9" s="535"/>
      <s:c r="I9" s="36">
        <s:f>I8/I11</s:f>
        <s:v>292.32</s:v>
      </s:c>
      <s:c r="J9" s="37">
        <s:f>E56</s:f>
        <s:v>178</s:v>
      </s:c>
      <s:c r="K9" s="38">
        <s:f>IF(AND(I9&lt;&gt;"", I9&lt;&gt;0, J9&lt;&gt;""), J9/I9, "")</s:f>
        <s:v>0.60892172961138402</s:v>
      </s:c>
      <s:c r="L9" s="39">
        <s:f>IF(SUMIF($E$25:$E$55,"&gt;=0",$V$25:$V$55)&lt;&gt;0,I9*E56/SUMIF($E$25:$E$55,"&gt;=0",$V$25:$V$55),0)</s:f>
        <s:v>178</s:v>
      </s:c>
      <s:c r="M9" s="40">
        <s:f>IF(AND(I9&lt;&gt;"", I9&lt;&gt;0, L9&lt;&gt;"", L9&lt;&gt;0), L9/I9, "")</s:f>
        <s:v>0.60892172961138402</s:v>
      </s:c>
      <s:c r="N9" s="41">
        <s:f>IF(AND(J9&lt;&gt;0, J9&lt;&gt;"", I9&lt;&gt;0, I9&lt;&gt;""), L9-I9, "")</s:f>
        <s:v>-114.319999999999</s:v>
      </s:c>
      <s:c r="O9" s="42">
        <s:f>O8/O11</s:f>
        <s:v>315.92563392286382</s:v>
      </s:c>
      <s:c r="P9" s="41">
        <s:f>IF(AND(O9&lt;&gt;"", O9&lt;&gt;0, L9&lt;&gt;"", L9&lt;&gt;0), -O9+L9, "")</s:f>
        <s:v>-137.925633922863</s:v>
      </s:c>
      <s:c r="Q9" s="43">
        <s:f>IF(AND(P9&lt;&gt;"",P9&lt;&gt;0,O9&lt;&gt;0,O9&lt;&gt;""),P9/O9,"")</s:f>
        <s:v>-0.436576267048148</s:v>
      </s:c>
      <s:c r="R9" s="6"/>
      <s:c r="S9" s="6"/>
      <s:c r="T9" s="17"/>
      <s:c r="U9" s="34"/>
      <s:c r="V9" s="6"/>
      <s:c r="W9" s="8"/>
      <s:c r="X9" s="6"/>
      <s:c r="Y9" s="6"/>
    </s:row>
    <s:row r="10" spans="1:25" ht="15.75" customHeight="1">
      <s:c r="A10" s="4"/>
      <s:c r="B10" s="16"/>
      <s:c r="C10" s="16"/>
      <s:c r="D10" s="16"/>
      <s:c r="E10" s="6"/>
      <s:c r="F10" s="539" t="s">
        <s:v>14</s:v>
      </s:c>
      <s:c r="G10" s="540"/>
      <s:c r="H10" s="541"/>
      <s:c r="I10" s="36">
        <s:f>I11*I12</s:f>
        <s:v>12006</s:v>
      </s:c>
      <s:c r="J10" s="44">
        <s:f>H56</s:f>
        <s:v>11285.148148148101</s:v>
      </s:c>
      <s:c r="K10" s="45">
        <s:f>IF(AND(I10&lt;&gt;"", I10&lt;&gt;0, J10&lt;&gt;""), J10/I10, "")</s:f>
        <s:v>0.93995903282926396</s:v>
      </s:c>
      <s:c r="L10" s="39">
        <s:f>J10</s:f>
        <s:v>11285.148148148101</s:v>
      </s:c>
      <s:c r="M10" s="46">
        <s:f>IF(AND(I10&lt;&gt;"", I10&lt;&gt;0, L10&lt;&gt;"", L10&lt;&gt;0), L10/I10, "")</s:f>
        <s:v>0.93995903282926396</s:v>
      </s:c>
      <s:c r="N10" s="47">
        <s:f>IF(AND(J10&lt;&gt;0, J10&lt;&gt;"", I10&lt;&gt;0, I10&lt;&gt;""), L10-I10, "")</s:f>
        <s:v>-720.85185185185196</s:v>
      </s:c>
      <s:c r="O10" s="48">
        <s:f>O11*O12</s:f>
        <s:v>8306.61</s:v>
      </s:c>
      <s:c r="P10" s="47">
        <s:f>IF(AND(O10&lt;&gt;"", O10&lt;&gt;0, L10&lt;&gt;"", L10&lt;&gt;0), -O10+L10, "")</s:f>
        <s:v>2978.53814814814</s:v>
      </s:c>
      <s:c r="Q10" s="49">
        <s:f>IF(AND(P10&lt;&gt;"",P10&lt;&gt;0,O10&lt;&gt;0,O10&lt;&gt;""),P10/O10,"")</s:f>
        <s:v>0.35857445433794799</s:v>
      </s:c>
      <s:c r="R10" s="6"/>
      <s:c r="S10" s="6"/>
      <s:c r="T10" s="8"/>
      <s:c r="U10" s="34"/>
      <s:c r="V10" s="6"/>
      <s:c r="W10" s="8"/>
      <s:c r="X10" s="6"/>
      <s:c r="Y10" s="6"/>
    </s:row>
    <s:row r="11" spans="1:25" ht="15.75" customHeight="1">
      <s:c r="A11" s="4"/>
      <s:c r="B11" s="16"/>
      <s:c r="C11" s="16"/>
      <s:c r="D11" s="16"/>
      <s:c r="E11" s="6"/>
      <s:c r="F11" s="533" t="s">
        <s:v>15</s:v>
      </s:c>
      <s:c r="G11" s="534"/>
      <s:c r="H11" s="535"/>
      <s:c r="I11" s="50">
        <s:v>6900</s:v>
      </s:c>
      <s:c r="J11" s="37">
        <s:f>F56</s:f>
        <s:v>6847.1685393258404</s:v>
      </s:c>
      <s:c r="K11" s="38">
        <s:f>IF(AND(I11&lt;&gt;"", I11&lt;&gt;0, J11&lt;&gt;""), J11/I11, "")</s:f>
        <s:v>0.99234326656896199</s:v>
      </s:c>
      <s:c r="L11" s="39">
        <s:f>IF(L9&gt;0, L8/L9, "")</s:f>
        <s:v>6847.1685393257803</s:v>
      </s:c>
      <s:c r="M11" s="40">
        <s:f>IF(AND(I11&lt;&gt;"", I11&lt;&gt;0, L11&lt;&gt;"", L11&lt;&gt;0), L11/I11, "")</s:f>
        <s:v>0.992343266568954</s:v>
      </s:c>
      <s:c r="N11" s="41">
        <s:f>IF(AND(J11&lt;&gt;0, J11&lt;&gt;"", I11&lt;&gt;0, I11&lt;&gt;""), L11-I11, "")</s:f>
        <s:v>-52.831460674214199</s:v>
      </s:c>
      <s:c r="O11" s="51">
        <s:v>4693</s:v>
      </s:c>
      <s:c r="P11" s="41">
        <s:f>IF(AND(O11&lt;&gt;"", O11&lt;&gt;0, L11&lt;&gt;"", L11&lt;&gt;0), -O11+L11, "")</s:f>
        <s:v>2154.1685393257799</s:v>
      </s:c>
      <s:c r="Q11" s="43">
        <s:f>IF(AND(P11&lt;&gt;"",P11&lt;&gt;0,O11&lt;&gt;0,O11&lt;&gt;""),P11/O11,"")</s:f>
        <s:v>0.45901737466988801</s:v>
      </s:c>
      <s:c r="R11" s="6"/>
      <s:c r="S11" s="6"/>
      <s:c r="T11" s="8"/>
      <s:c r="U11" s="34"/>
      <s:c r="V11" s="6"/>
      <s:c r="W11" s="8"/>
      <s:c r="X11" s="6"/>
      <s:c r="Y11" s="6"/>
    </s:row>
    <s:row r="12" spans="1:25" ht="15.75" customHeight="1">
      <s:c r="A12" s="4"/>
      <s:c r="B12" s="16"/>
      <s:c r="C12" s="6"/>
      <s:c r="D12" s="6"/>
      <s:c r="E12" s="6"/>
      <s:c r="F12" s="533" t="s">
        <s:v>16</s:v>
      </s:c>
      <s:c r="G12" s="534"/>
      <s:c r="H12" s="535"/>
      <s:c r="I12" s="52">
        <s:v>1.74</s:v>
      </s:c>
      <s:c r="J12" s="53">
        <s:f>J56</s:f>
        <s:v>1.6481481481481399</s:v>
      </s:c>
      <s:c r="K12" s="38">
        <s:f>IF(AND(I12&lt;&gt;"", I12&lt;&gt;0, J12&lt;&gt;""), J12/I12, "")</s:f>
        <s:v>0.94721157939548695</s:v>
      </s:c>
      <s:c r="L12" s="54">
        <s:f>J12</s:f>
        <s:v>1.6481481481481399</s:v>
      </s:c>
      <s:c r="M12" s="40">
        <s:f>IF(AND(I12&lt;&gt;"", I12&lt;&gt;0, L12&lt;&gt;"", L12&lt;&gt;0), L12/I12, "")</s:f>
        <s:v>0.94721157939548695</s:v>
      </s:c>
      <s:c r="N12" s="55">
        <s:f>IF(AND(J12&lt;&gt;0, J12&lt;&gt;"", I12&lt;&gt;0, I12&lt;&gt;""), L12-I12, "")</s:f>
        <s:v>-9.1851851851851796E-2</s:v>
      </s:c>
      <s:c r="O12" s="56">
        <s:v>1.77</s:v>
      </s:c>
      <s:c r="P12" s="41">
        <s:f>IF(AND(O12&lt;&gt;"", O12&lt;&gt;0, L12&lt;&gt;"", L12&lt;&gt;0), -O12+L12, "")</s:f>
        <s:v>-0.121851851851851</s:v>
      </s:c>
      <s:c r="Q12" s="43">
        <s:f>IF(AND(P12&lt;&gt;"",P12&lt;&gt;0,O12&lt;&gt;0,O12&lt;&gt;""),P12/O12,"")</s:f>
        <s:v>-6.8842854153588595E-2</s:v>
      </s:c>
      <s:c r="R12" s="6"/>
      <s:c r="S12" s="6"/>
      <s:c r="T12" s="8"/>
      <s:c r="U12" s="34"/>
      <s:c r="V12" s="6"/>
      <s:c r="W12" s="8"/>
      <s:c r="X12" s="6"/>
      <s:c r="Y12" s="6"/>
    </s:row>
    <s:row r="13" spans="1:25" ht="15.75" customHeight="1">
      <s:c r="A13" s="4"/>
      <s:c r="B13" s="16"/>
      <s:c r="C13" s="6"/>
      <s:c r="D13" s="6"/>
      <s:c r="E13" s="6"/>
      <s:c r="F13" s="533" t="s">
        <s:v>17</s:v>
      </s:c>
      <s:c r="G13" s="534"/>
      <s:c r="H13" s="535"/>
      <s:c r="I13" s="36">
        <s:f>I17*I20</s:f>
        <s:v>168</s:v>
      </s:c>
      <s:c r="J13" s="37">
        <s:f>G56</s:f>
        <s:v>108</s:v>
      </s:c>
      <s:c r="K13" s="38">
        <s:f>IF(AND(I13&lt;&gt;"", I13&lt;&gt;0, J13&lt;&gt;""), J13/I13, "")</s:f>
        <s:v>0.64285714285714202</s:v>
      </s:c>
      <s:c r="L13" s="39">
        <s:f>IF(SUMIF($G$25:$G$55,"&gt;=0",$W$25:$W$55)&lt;&gt;0,I13*G56/SUMIF($G$25:$G$55,"&gt;=0",$W$25:$W$55),"")</s:f>
        <s:v>108</s:v>
      </s:c>
      <s:c r="M13" s="40">
        <s:f>IF(AND(I13&lt;&gt;"", I13&lt;&gt;0, L13&lt;&gt;"", L13&lt;&gt;0), L13/I13, "")</s:f>
        <s:v>0.64285714285714302</s:v>
      </s:c>
      <s:c r="N13" s="55">
        <s:f>IF(AND(J13&lt;&gt;0, J13&lt;&gt;"", I13&lt;&gt;0, I13&lt;&gt;""), L13-I13, "")</s:f>
        <s:v>-59.999999999999901</s:v>
      </s:c>
      <s:c r="O13" s="57">
        <s:v>181</s:v>
      </s:c>
      <s:c r="P13" s="41">
        <s:f>IF(AND(O13&lt;&gt;"", O13&lt;&gt;0, L13&lt;&gt;"", L13&lt;&gt;0), -O13+L13, "")</s:f>
        <s:v>-72.999999999999901</s:v>
      </s:c>
      <s:c r="Q13" s="43">
        <s:f>IF(AND(P13&lt;&gt;"",P13&lt;&gt;0,O13&lt;&gt;0,O13&lt;&gt;""),P13/O13,"")</s:f>
        <s:v>-0.40331491712707102</s:v>
      </s:c>
      <s:c r="R13" s="6"/>
      <s:c r="S13" s="6"/>
      <s:c r="T13" s="58"/>
      <s:c r="U13" s="34"/>
      <s:c r="V13" s="6"/>
      <s:c r="W13" s="8"/>
      <s:c r="X13" s="6"/>
      <s:c r="Y13" s="6"/>
    </s:row>
    <s:row r="14" spans="1:25" ht="15.75" customHeight="1">
      <s:c r="A14" s="4"/>
      <s:c r="B14" s="16"/>
      <s:c r="C14" s="6"/>
      <s:c r="D14" s="6"/>
      <s:c r="E14" s="6"/>
      <s:c r="F14" s="533" t="s">
        <s:v>18</s:v>
      </s:c>
      <s:c r="G14" s="534"/>
      <s:c r="H14" s="535"/>
      <s:c r="I14" s="50">
        <s:f>График!AK6</s:f>
        <s:v>31</s:v>
      </s:c>
      <s:c r="J14" s="59">
        <s:v>31</s:v>
      </s:c>
      <s:c r="K14" s="38">
        <s:f>IF(AND(I14&lt;&gt;"", I14&lt;&gt;0, J14&lt;&gt;""), J14/I14, "")</s:f>
        <s:v>1</s:v>
      </s:c>
      <s:c r="L14" s="39">
        <s:f>I14</s:f>
        <s:v>31</s:v>
      </s:c>
      <s:c r="M14" s="40">
        <s:f>IF(AND(I14&lt;&gt;"", I14&lt;&gt;0, L14&lt;&gt;"", L14&lt;&gt;0), L14/I14, "")</s:f>
        <s:v>1</s:v>
      </s:c>
      <s:c r="N14" s="41">
        <s:f>IF(AND(J14&lt;&gt;0, J14&lt;&gt;"", I14&lt;&gt;0, I14&lt;&gt;""), L14-I14, "")</s:f>
        <s:v>0</s:v>
      </s:c>
      <s:c r="O14" s="57">
        <s:v>31</s:v>
      </s:c>
      <s:c r="P14" s="41">
        <s:f>IF(AND(O14&lt;&gt;"", O14&lt;&gt;0, L14&lt;&gt;"", L14&lt;&gt;0), -O14+L14, "")</s:f>
        <s:v>0</s:v>
      </s:c>
      <s:c r="Q14" s="43" t="str">
        <s:f>IF(AND(P14&lt;&gt;"",P14&lt;&gt;0,O14&lt;&gt;0,O14&lt;&gt;""),P14/O14,"")</s:f>
        <s:v/>
      </s:c>
      <s:c r="R14" s="6"/>
      <s:c r="S14" s="6"/>
      <s:c r="T14" s="8"/>
      <s:c r="U14" s="34"/>
      <s:c r="V14" s="6"/>
      <s:c r="W14" s="8"/>
      <s:c r="X14" s="6"/>
      <s:c r="Y14" s="6"/>
    </s:row>
    <s:row r="15" spans="1:25" ht="15.75" customHeight="1">
      <s:c r="A15" s="4"/>
      <s:c r="B15" s="16"/>
      <s:c r="C15" s="6"/>
      <s:c r="D15" s="6"/>
      <s:c r="E15" s="6"/>
      <s:c r="F15" s="533" t="s">
        <s:v>19</s:v>
      </s:c>
      <s:c r="G15" s="534"/>
      <s:c r="H15" s="535"/>
      <s:c r="I15" s="60">
        <s:f>I8/I14</s:f>
        <s:v>65064.774193548386</s:v>
      </s:c>
      <s:c r="J15" s="61">
        <s:f>J8/J14</s:f>
        <s:v>39316</s:v>
      </s:c>
      <s:c r="K15" s="62">
        <s:f>IF(AND(I15&lt;&gt;"", I15&lt;&gt;0, J15&lt;&gt;""), J15/I15, "")</s:f>
        <s:v>0.60425937824738396</s:v>
      </s:c>
      <s:c r="L15" s="63">
        <s:f>J15</s:f>
        <s:v>39316</s:v>
      </s:c>
      <s:c r="M15" s="64">
        <s:f>IF(AND(I15&lt;&gt;"", I15&lt;&gt;0, L15&lt;&gt;"", L15&lt;&gt;0), L15/I15, "")</s:f>
        <s:v>0.60425937824738396</s:v>
      </s:c>
      <s:c r="N15" s="41">
        <s:f>IF(AND(J15&lt;&gt;0, J15&lt;&gt;"", I15&lt;&gt;0, I15&lt;&gt;""), L15-I15, "")</s:f>
        <s:v>-25748.774193548299</s:v>
      </s:c>
      <s:c r="O15" s="509">
        <s:f>O8/O14</s:f>
        <s:v>47827.06451612903</s:v>
      </s:c>
      <s:c r="P15" s="41">
        <s:f>IF(AND(O15&lt;&gt;"", O15&lt;&gt;0, L15&lt;&gt;"", L15&lt;&gt;0), -O15+L15, "")</s:f>
        <s:v>-8511.0645161290304</s:v>
      </s:c>
      <s:c r="Q15" s="43">
        <s:f>IF(AND(P15&lt;&gt;"",P15&lt;&gt;0,O15&lt;&gt;0,O15&lt;&gt;""),P15/O15,"")</s:f>
        <s:v>-0.17795498432187401</s:v>
      </s:c>
      <s:c r="R15" s="6"/>
      <s:c r="S15" s="6"/>
      <s:c r="T15" s="8"/>
      <s:c r="U15" s="6"/>
      <s:c r="V15" s="6"/>
      <s:c r="W15" s="8"/>
      <s:c r="X15" s="6"/>
      <s:c r="Y15" s="6"/>
    </s:row>
    <s:row r="16" spans="1:25" ht="15.75" customHeight="1">
      <s:c r="A16" s="4"/>
      <s:c r="B16" s="16"/>
      <s:c r="C16" s="6"/>
      <s:c r="D16" s="6"/>
      <s:c r="E16" s="6"/>
      <s:c r="F16" s="533" t="s">
        <s:v>20</s:v>
      </s:c>
      <s:c r="G16" s="534"/>
      <s:c r="H16" s="535"/>
      <s:c r="I16" s="60"/>
      <s:c r="J16" s="61">
        <s:f>J8-I15*J14</s:f>
        <s:v>-798212</s:v>
      </s:c>
      <s:c r="K16" s="62" t="str">
        <s:f>IF(AND(I16&lt;&gt;"", I16&lt;&gt;0, J16&lt;&gt;""), J16/I16, "")</s:f>
        <s:v/>
      </s:c>
      <s:c r="L16" s="66">
        <s:f>J16</s:f>
        <s:v>-798212</s:v>
      </s:c>
      <s:c r="M16" s="67" t="str">
        <s:f>IF(AND(I16&lt;&gt;"", I16&lt;&gt;0, L16&lt;&gt;"", L16&lt;&gt;0), L16/I16, "")</s:f>
        <s:v/>
      </s:c>
      <s:c r="N16" s="41" t="str">
        <s:f>IF(AND(J16&lt;&gt;0, J16&lt;&gt;"", I16&lt;&gt;0, I16&lt;&gt;""), L16-I16, "")</s:f>
        <s:v/>
      </s:c>
      <s:c r="O16" s="65">
        <s:v>-173502</s:v>
      </s:c>
      <s:c r="P16" s="41">
        <s:f>IF(AND(O16&lt;&gt;"", O16&lt;&gt;0, L16&lt;&gt;"", L16&lt;&gt;0), -O16+L16, "")</s:f>
        <s:v>-624710</s:v>
      </s:c>
      <s:c r="Q16" s="43">
        <s:f>IF(AND(P16&lt;&gt;"",P16&lt;&gt;0,O16&lt;&gt;0,O16&lt;&gt;""),P16/O16,"")</s:f>
        <s:v>3.60059250037463</s:v>
      </s:c>
      <s:c r="R16" s="6"/>
      <s:c r="S16" s="6"/>
      <s:c r="T16" s="8"/>
      <s:c r="U16" s="6"/>
      <s:c r="V16" s="6"/>
      <s:c r="W16" s="8"/>
      <s:c r="X16" s="6"/>
      <s:c r="Y16" s="6"/>
    </s:row>
    <s:row r="17" spans="1:260" ht="15.75" customHeight="1">
      <s:c r="A17" s="4"/>
      <s:c r="B17" s="16"/>
      <s:c r="C17" s="6"/>
      <s:c r="D17" s="68"/>
      <s:c r="E17" s="6"/>
      <s:c r="F17" s="533" t="s">
        <s:v>21</s:v>
      </s:c>
      <s:c r="G17" s="534"/>
      <s:c r="H17" s="535"/>
      <s:c r="I17" s="69">
        <s:v>1400</s:v>
      </s:c>
      <s:c r="J17" s="61">
        <s:f>I56</s:f>
        <s:v>1312.8000000000002</s:v>
      </s:c>
      <s:c r="K17" s="62">
        <s:f>IF(AND(I17&lt;&gt;"", I17&lt;&gt;0, J17&lt;&gt;""), J17/I17, "")</s:f>
        <s:v>0.93771428571428583</s:v>
      </s:c>
      <s:c r="L17" s="66">
        <s:f>J17/J14*I14</s:f>
        <s:v>1312.8</s:v>
      </s:c>
      <s:c r="M17" s="67">
        <s:f>IF(AND(I17&lt;&gt;"", I17&lt;&gt;0, L17&lt;&gt;"", L17&lt;&gt;0), L17/I17, "")</s:f>
        <s:v>0.93771428571428495</s:v>
      </s:c>
      <s:c r="N17" s="41">
        <s:f>IF(AND(J17&lt;&gt;0, J17&lt;&gt;"", I17&lt;&gt;0, I17&lt;&gt;""), L17-I17, "")</s:f>
        <s:v>-87.199999999999804</s:v>
      </s:c>
      <s:c r="O17" s="65">
        <s:v>780</s:v>
      </s:c>
      <s:c r="P17" s="41">
        <s:f>IF(AND(O17&lt;&gt;"", O17&lt;&gt;0, L17&lt;&gt;"", L17&lt;&gt;0), -O17+L17, "")</s:f>
        <s:v>532.79999999999995</s:v>
      </s:c>
      <s:c r="Q17" s="43">
        <s:f>IF(AND(P17&lt;&gt;"",P17&lt;&gt;0,O17&lt;&gt;0,O17&lt;&gt;""),P17/O17,"")</s:f>
        <s:v>0.68307692307692303</s:v>
      </s:c>
      <s:c r="R17" s="6"/>
      <s:c r="S17" s="6"/>
      <s:c r="T17" s="8"/>
      <s:c r="U17" s="6"/>
      <s:c r="V17" s="6"/>
      <s:c r="W17" s="8"/>
      <s:c r="X17" s="6"/>
      <s:c r="Y17" s="6"/>
    </s:row>
    <s:row r="18" spans="1:260" ht="15.75" customHeight="1">
      <s:c r="A18" s="4"/>
      <s:c r="B18" s="16"/>
      <s:c r="C18" s="6"/>
      <s:c r="D18" s="6"/>
      <s:c r="E18" s="6"/>
      <s:c r="F18" s="533" t="s">
        <s:v>22</s:v>
      </s:c>
      <s:c r="G18" s="534"/>
      <s:c r="H18" s="535"/>
      <s:c r="I18" s="70">
        <s:f>I8/I17</s:f>
        <s:v>1440.72</s:v>
      </s:c>
      <s:c r="J18" s="61">
        <s:f>J8/J17</s:f>
        <s:v>928.39427178549602</s:v>
      </s:c>
      <s:c r="K18" s="71">
        <s:f>IF(AND(I18&lt;&gt;"", I18&lt;&gt;0, J18&lt;&gt;""), J18/I18, "")</s:f>
        <s:v>0.64439604627234703</s:v>
      </s:c>
      <s:c r="L18" s="72">
        <s:f>J18</s:f>
        <s:v>928.39427178549602</s:v>
      </s:c>
      <s:c r="M18" s="67">
        <s:f>IF(AND(I18&lt;&gt;"", I18&lt;&gt;0, L18&lt;&gt;"", L18&lt;&gt;0), L18/I18, "")</s:f>
        <s:v>0.64439604627234703</s:v>
      </s:c>
      <s:c r="N18" s="41">
        <s:f>IF(AND(J18&lt;&gt;0, J18&lt;&gt;"", I18&lt;&gt;0, I18&lt;&gt;""), L18-I18, "")</s:f>
        <s:v>-512.32572821450299</s:v>
      </s:c>
      <s:c r="O18" s="73">
        <s:f>O8/O17</s:f>
        <s:v>1900.8192307692307</s:v>
      </s:c>
      <s:c r="P18" s="41">
        <s:f>IF(AND(O18&lt;&gt;"", O18&lt;&gt;0, L18&lt;&gt;"", L18&lt;&gt;0), -O18+L18, "")</s:f>
        <s:v>-972.42495898373397</s:v>
      </s:c>
      <s:c r="Q18" s="43">
        <s:f>IF(AND(P18&lt;&gt;"",P18&lt;&gt;0,O18&lt;&gt;0,O18&lt;&gt;""),P18/O18,"")</s:f>
        <s:v>-0.51158202907606798</s:v>
      </s:c>
      <s:c r="R18" s="6"/>
      <s:c r="S18" s="6"/>
      <s:c r="T18" s="8"/>
      <s:c r="U18" s="6"/>
      <s:c r="V18" s="6"/>
      <s:c r="W18" s="8"/>
      <s:c r="X18" s="6"/>
      <s:c r="Y18" s="6"/>
    </s:row>
    <s:row r="19" spans="1:260" ht="15.75" customHeight="1">
      <s:c r="A19" s="4"/>
      <s:c r="B19" s="16"/>
      <s:c r="C19" s="6"/>
      <s:c r="D19" s="6"/>
      <s:c r="E19" s="6"/>
      <s:c r="F19" s="533"/>
      <s:c r="G19" s="534"/>
      <s:c r="H19" s="535"/>
      <s:c r="I19" s="70"/>
      <s:c r="J19" s="61"/>
      <s:c r="K19" s="71" t="str">
        <s:f>IF(AND(I19&lt;&gt;"", I19&lt;&gt;0, J19&lt;&gt;""), J19/I19, "")</s:f>
        <s:v/>
      </s:c>
      <s:c r="L19" s="72">
        <s:f>J19</s:f>
        <s:v>0</s:v>
      </s:c>
      <s:c r="M19" s="67" t="str">
        <s:f>IF(AND(I19&lt;&gt;"", I19&lt;&gt;0, L19&lt;&gt;"", L19&lt;&gt;0), L19/I19, "")</s:f>
        <s:v/>
      </s:c>
      <s:c r="N19" s="41" t="str">
        <s:f>IF(AND(J19&lt;&gt;0, J19&lt;&gt;"", I19&lt;&gt;0, I19&lt;&gt;""), L19-I19, "")</s:f>
        <s:v/>
      </s:c>
      <s:c r="O19" s="65">
        <s:v>0</s:v>
      </s:c>
      <s:c r="P19" s="41" t="str">
        <s:f>IF(AND(O19&lt;&gt;"", O19&lt;&gt;0, L19&lt;&gt;"", L19&lt;&gt;0), -O19+L19, "")</s:f>
        <s:v/>
      </s:c>
      <s:c r="Q19" s="43" t="str">
        <s:f>IF(AND(P19&lt;&gt;"",P19&lt;&gt;0,O19&lt;&gt;0,O19&lt;&gt;""),P19/O19,"")</s:f>
        <s:v/>
      </s:c>
      <s:c r="R19" s="6"/>
      <s:c r="S19" s="6"/>
      <s:c r="T19" s="58"/>
      <s:c r="U19" s="6"/>
      <s:c r="V19" s="6"/>
      <s:c r="W19" s="8"/>
      <s:c r="X19" s="6"/>
      <s:c r="Y19" s="6"/>
    </s:row>
    <s:row r="20" spans="1:260" ht="15.75" customHeight="1">
      <s:c r="A20" s="4"/>
      <s:c r="B20" s="16"/>
      <s:c r="C20" s="6"/>
      <s:c r="D20" s="6"/>
      <s:c r="E20" s="6"/>
      <s:c r="F20" s="536" t="s">
        <s:v>23</s:v>
      </s:c>
      <s:c r="G20" s="536"/>
      <s:c r="H20" s="536"/>
      <s:c r="I20" s="74">
        <s:v>0.12</s:v>
      </s:c>
      <s:c r="J20" s="75">
        <s:f>S56</s:f>
        <s:v>8.2266910420475306E-2</s:v>
      </s:c>
      <s:c r="K20" s="76">
        <s:f>J20/I20</s:f>
        <s:v>0.68555758683729395</s:v>
      </s:c>
      <s:c r="L20" s="77">
        <s:f>IF(AND(K8&lt;&gt;0,I14&lt;&gt;0,I56&lt;&gt;0),(I56*S56+(I56/K8-I56)*I20)/(I56/K8),0)</s:f>
        <s:v>9.7199426751323495E-2</s:v>
      </s:c>
      <s:c r="M20" s="78">
        <s:f>IF(AND(I20&lt;&gt;"", I20&lt;&gt;0, L20&lt;&gt;"", L20&lt;&gt;0), L20/I20, "")</s:f>
        <s:v>0.80999522292769599</s:v>
      </s:c>
      <s:c r="N20" s="79">
        <s:f>IF(AND(J20&lt;&gt;0, J20&lt;&gt;"", I20&lt;&gt;0, I20&lt;&gt;""), L20-I20, "")</s:f>
        <s:v>-2.28005732486764E-2</s:v>
      </s:c>
      <s:c r="O20" s="80">
        <s:f>O13/O17</s:f>
        <s:v>0.23205128205128206</s:v>
      </s:c>
      <s:c r="P20" s="513">
        <s:f>IF(AND(O20&lt;&gt;"", O20&lt;&gt;0, L20&lt;&gt;"", L20&lt;&gt;0), -O20+L20, "")</s:f>
        <s:v>-0.134851855299958</s:v>
      </s:c>
      <s:c r="Q20" s="82">
        <s:f>IF(AND(P20&lt;&gt;"",P20&lt;&gt;0,O20&lt;&gt;0,O20&lt;&gt;""),P20/O20,"")</s:f>
        <s:v>-0.58112954217661605</s:v>
      </s:c>
      <s:c r="R20" s="6"/>
      <s:c r="S20" s="6"/>
      <s:c r="T20" s="17"/>
      <s:c r="U20" s="18"/>
      <s:c r="V20" s="6"/>
      <s:c r="W20" s="8"/>
      <s:c r="X20" s="6"/>
      <s:c r="Y20" s="6"/>
    </s:row>
    <s:row r="21" spans="1:260" ht="15.75" customHeight="1">
      <s:c r="A21" s="4"/>
      <s:c r="B21" s="16"/>
      <s:c r="C21" s="6"/>
      <s:c r="D21" s="83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6"/>
      <s:c r="S21" s="6"/>
      <s:c r="T21" s="17"/>
      <s:c r="U21" s="18"/>
      <s:c r="V21" s="6"/>
      <s:c r="W21" s="8"/>
      <s:c r="X21" s="6"/>
      <s:c r="Y21" s="6"/>
    </s:row>
    <s:row r="22" spans="1:260" ht="21" customHeight="1">
      <s:c r="A22" s="537" t="s">
        <s:v>24</s:v>
      </s:c>
      <s:c r="B22" s="537"/>
      <s:c r="C22" s="537"/>
      <s:c r="D22" s="537"/>
      <s:c r="E22" s="537"/>
      <s:c r="F22" s="537"/>
      <s:c r="G22" s="537"/>
      <s:c r="H22" s="537"/>
      <s:c r="I22" s="537"/>
      <s:c r="J22" s="537"/>
      <s:c r="K22" s="537"/>
      <s:c r="L22" s="537"/>
      <s:c r="M22" s="537"/>
      <s:c r="N22" s="537"/>
      <s:c r="O22" s="537"/>
      <s:c r="P22" s="537"/>
      <s:c r="Q22" s="84"/>
      <s:c r="R22" s="537" t="s">
        <s:v>25</s:v>
      </s:c>
      <s:c r="S22" s="537"/>
      <s:c r="T22" s="537"/>
      <s:c r="U22" s="537"/>
      <s:c r="V22" s="537"/>
      <s:c r="W22" s="537"/>
      <s:c r="X22" s="537"/>
      <s:c r="Y22" s="537"/>
    </s:row>
    <s:row r="23" ht="36">
      <s:c r="A23" s="538" t="s">
        <s:v>26</s:v>
      </s:c>
      <s:c r="B23" s="84" t="s">
        <s:v>27</s:v>
      </s:c>
      <s:c r="C23" s="84" t="s">
        <s:v>28</s:v>
      </s:c>
      <s:c r="D23" s="84" t="s">
        <s:v>29</s:v>
      </s:c>
      <s:c r="E23" s="84" t="s">
        <s:v>30</s:v>
      </s:c>
      <s:c r="F23" s="84" t="s">
        <s:v>31</s:v>
      </s:c>
      <s:c r="G23" s="84" t="s">
        <s:v>32</s:v>
      </s:c>
      <s:c r="H23" s="84" t="s">
        <s:v>33</s:v>
      </s:c>
      <s:c r="I23" s="84" t="s">
        <s:v>21</s:v>
      </s:c>
      <s:c r="J23" s="84" t="s">
        <s:v>34</s:v>
      </s:c>
      <s:c r="K23" s="85" t="s">
        <s:v>35</s:v>
      </s:c>
      <s:c r="L23" s="85" t="s">
        <s:v>36</s:v>
      </s:c>
      <s:c r="M23" s="85" t="s">
        <s:v>37</s:v>
      </s:c>
      <s:c r="N23" s="85" t="s">
        <s:v>38</s:v>
      </s:c>
      <s:c r="O23" s="85" t="s">
        <s:v>39</s:v>
      </s:c>
      <s:c r="P23" s="85" t="s">
        <s:v>40</s:v>
      </s:c>
      <s:c r="Q23" s="85" t="s">
        <s:v>41</s:v>
      </s:c>
      <s:c r="R23" s="85" t="s">
        <s:v>42</s:v>
      </s:c>
      <s:c r="S23" s="85" t="s">
        <s:v>43</s:v>
      </s:c>
      <s:c r="T23" s="86" t="s">
        <s:v>44</s:v>
      </s:c>
      <s:c r="U23" s="84" t="s">
        <s:v>45</s:v>
      </s:c>
      <s:c r="V23" s="86" t="s">
        <s:v>46</s:v>
      </s:c>
      <s:c r="W23" s="84" t="s">
        <s:v>47</s:v>
      </s:c>
      <s:c r="X23" s="86" t="s">
        <s:v>48</s:v>
      </s:c>
      <s:c r="Y23" s="84" t="s">
        <s:v>49</s:v>
      </s:c>
      <s:c r="Z23" s="86" t="s">
        <s:v>50</s:v>
      </s:c>
      <s:c r="AA23" s="87" t="s">
        <s:v>51</s:v>
      </s:c>
      <s:c r="AB23" s="88" t="s">
        <s:v>52</s:v>
      </s:c>
    </s:row>
    <s:row r="24">
      <s:c r="A24" s="538"/>
      <s:c r="B24" s="89">
        <s:v>1</s:v>
      </s:c>
      <s:c r="C24" s="89">
        <s:v>2</s:v>
      </s:c>
      <s:c r="D24" s="89">
        <s:v>3</s:v>
      </s:c>
      <s:c r="E24" s="89">
        <s:v>4</s:v>
      </s:c>
      <s:c r="F24" s="89">
        <s:v>5</s:v>
      </s:c>
      <s:c r="G24" s="89">
        <s:v>6</s:v>
      </s:c>
      <s:c r="H24" s="89">
        <s:v>7</s:v>
      </s:c>
      <s:c r="I24" s="89">
        <s:v>8</s:v>
      </s:c>
      <s:c r="J24" s="89">
        <s:v>9</s:v>
      </s:c>
      <s:c r="K24" s="89">
        <s:v>10</s:v>
      </s:c>
      <s:c r="L24" s="89">
        <s:v>11</s:v>
      </s:c>
      <s:c r="M24" s="89">
        <s:v>12</s:v>
      </s:c>
      <s:c r="N24" s="89">
        <s:v>13</s:v>
      </s:c>
      <s:c r="O24" s="89">
        <s:v>14</s:v>
      </s:c>
      <s:c r="P24" s="89">
        <s:v>15</s:v>
      </s:c>
      <s:c r="Q24" s="89">
        <s:v>16</s:v>
      </s:c>
      <s:c r="R24" s="89">
        <s:v>17</s:v>
      </s:c>
      <s:c r="S24" s="89">
        <s:v>17</s:v>
      </s:c>
      <s:c r="T24" s="84"/>
      <s:c r="U24" s="90">
        <s:v>1</s:v>
      </s:c>
      <s:c r="V24" s="90">
        <s:v>2</s:v>
      </s:c>
      <s:c r="W24" s="90">
        <s:v>3</s:v>
      </s:c>
      <s:c r="X24" s="90">
        <s:v>4</s:v>
      </s:c>
      <s:c r="Y24" s="90">
        <s:v>5</s:v>
      </s:c>
      <s:c r="Z24" s="90">
        <s:v>6</s:v>
      </s:c>
      <s:c r="AA24" s="90">
        <s:v>10</s:v>
      </s:c>
      <s:c r="AB24" s="90">
        <s:v>11</s:v>
      </s:c>
    </s:row>
    <s:row r="25">
      <s:c r="A25" s="96" t="s">
        <s:v>61</s:v>
      </s:c>
      <s:c r="B25" s="97">
        <s:v>46082</s:v>
      </s:c>
      <s:c r="C25" s="98" t="s">
        <s:v>53</s:v>
      </s:c>
      <s:c r="D25" s="99">
        <s:v>89496</s:v>
      </s:c>
      <s:c r="E25" s="101">
        <s:v>12</s:v>
      </s:c>
      <s:c r="F25" s="101">
        <s:f>IF(AND(E25&lt;&gt;"",E25&lt;&gt;0),D25/E25,"")</s:f>
        <s:v>7458</s:v>
      </s:c>
      <s:c r="G25" s="101">
        <s:v>8</s:v>
      </s:c>
      <s:c r="H25" s="101">
        <s:f>IF(AND(G25&lt;&gt;"",G25&lt;&gt;0),D25/G25,"")</s:f>
        <s:v>11187</s:v>
      </s:c>
      <s:c r="I25" s="101">
        <s:v>57</s:v>
      </s:c>
      <s:c r="J25" s="99">
        <s:f>IF(AND(G25&lt;&gt;"",G25&lt;&gt;0),E25/G25,"")</s:f>
        <s:v>1.5</s:v>
      </s:c>
      <s:c r="K25" s="101"/>
      <s:c r="L25" s="101"/>
      <s:c r="M25" s="101"/>
      <s:c r="N25" s="101"/>
      <s:c r="O25" s="101"/>
      <s:c r="P25" s="101"/>
      <s:c r="Q25" s="101">
        <s:v>32552</s:v>
      </s:c>
      <s:c r="R25" s="101">
        <s:v>7690</s:v>
      </s:c>
      <s:c r="S25" s="102">
        <s:f>IF(AND(I25&lt;&gt;"",I25&lt;&gt;0),G25/I25,"")</s:f>
        <s:v>0.14035087719298245</s:v>
      </s:c>
      <s:c r="T25" s="103">
        <s:f>D25/U25</s:f>
        <s:v>1.8191975440851005</s:v>
      </s:c>
      <s:c r="U25" s="104">
        <s:f>$I$8*AA25*AB25/SUMPRODUCT($AB$25:$AB$55,$AA$25:$AA$55)</s:f>
        <s:v>49195.317073170729</s:v>
      </s:c>
      <s:c r="V25" s="105">
        <s:f>$I$9*AA25*AB25/SUMPRODUCT($AB$25:$AB$55,$AA$25:$AA$55)</s:f>
        <s:v>7.1297560975609757</s:v>
      </s:c>
      <s:c r="W25" s="105">
        <s:f>IF($I$12="","",V25/$I$12)</s:f>
        <s:v>4.0975609756097562</s:v>
      </s:c>
      <s:c r="X25" s="104">
        <s:f>IF(D25&lt;&gt;"",D25,U25)</s:f>
        <s:v>89496</s:v>
      </s:c>
      <s:c r="Y25" s="105">
        <s:f>IF(E25&lt;&gt;"",E25,V25)</s:f>
        <s:v>12</s:v>
      </s:c>
      <s:c r="Z25" s="105">
        <s:f>IF(G25&lt;&gt;"",G25,W25)</s:f>
        <s:v>8</s:v>
      </s:c>
      <s:c r="AA25" s="106">
        <s:v>1</s:v>
      </s:c>
      <s:c r="AB25" s="106">
        <s:v>1</s:v>
      </s:c>
      <s:c r="AC25"/>
      <s:c r="AD25"/>
      <s:c r="AE25"/>
      <s:c r="AF25"/>
      <s:c r="AG25"/>
      <s:c r="AH25"/>
      <s:c r="AI25"/>
      <s:c r="AJ25"/>
      <s:c r="AK25"/>
      <s:c r="AL25"/>
      <s:c r="AM25"/>
      <s:c r="AN25"/>
      <s:c r="AO25"/>
      <s:c r="AP25"/>
      <s:c r="AQ25"/>
      <s:c r="AR25"/>
      <s:c r="AS25"/>
      <s:c r="AT25"/>
      <s:c r="IX25" s="2"/>
      <s:c r="IY25" s="2"/>
      <s:c r="IZ25" s="2"/>
    </s:row>
    <s:row r="26">
      <s:c r="A26" s="96" t="s">
        <s:v>54</s:v>
      </s:c>
      <s:c r="B26" s="97">
        <s:v>46083</s:v>
      </s:c>
      <s:c r="C26" s="98" t="s">
        <s:v>55</s:v>
      </s:c>
      <s:c r="D26" s="99">
        <s:v>12184</s:v>
      </s:c>
      <s:c r="E26" s="101">
        <s:v>2</s:v>
      </s:c>
      <s:c r="F26" s="101">
        <s:f>IF(AND(E26&lt;&gt;"",E26&lt;&gt;0),D26/E26,"")</s:f>
        <s:v>6092</s:v>
      </s:c>
      <s:c r="G26" s="101">
        <s:v>1</s:v>
      </s:c>
      <s:c r="H26" s="101">
        <s:f>IF(AND(G26&lt;&gt;"",G26&lt;&gt;0),D26/G26,"")</s:f>
        <s:v>12184</s:v>
      </s:c>
      <s:c r="I26" s="101">
        <s:v>43</s:v>
      </s:c>
      <s:c r="J26" s="99">
        <s:f>IF(AND(G26&lt;&gt;"",G26&lt;&gt;0),E26/G26,"")</s:f>
        <s:v>2</s:v>
      </s:c>
      <s:c r="K26" s="101"/>
      <s:c r="L26" s="101"/>
      <s:c r="M26" s="101"/>
      <s:c r="N26" s="101"/>
      <s:c r="O26" s="101"/>
      <s:c r="P26" s="101"/>
      <s:c r="Q26" s="101"/>
      <s:c r="R26" s="101"/>
      <s:c r="S26" s="102">
        <s:f>IF(AND(I26&lt;&gt;"",I26&lt;&gt;0),G26/I26,"")</s:f>
        <s:v>2.3255813953488372E-2</s:v>
      </s:c>
      <s:c r="T26" s="103">
        <s:f>D26/U26</s:f>
        <s:v>0.24766584961487512</s:v>
      </s:c>
      <s:c r="U26" s="104">
        <s:f>$I$8*AA26*AB26/SUMPRODUCT($AB$25:$AB$55,$AA$25:$AA$55)</s:f>
        <s:v>49195.317073170729</s:v>
      </s:c>
      <s:c r="V26" s="105">
        <s:f>$I$9*AA26*AB26/SUMPRODUCT($AB$25:$AB$55,$AA$25:$AA$55)</s:f>
        <s:v>7.1297560975609757</s:v>
      </s:c>
      <s:c r="W26" s="105">
        <s:f>IF($I$12="","",V26/$I$12)</s:f>
        <s:v>4.0975609756097562</s:v>
      </s:c>
      <s:c r="X26" s="104">
        <s:f>IF(AB26&lt;&gt;"",IF(D26&lt;&gt;"",D26,($I$8-SUM($X$25:X25))*AA26*AB26/SUMPRODUCT($AB26:$AB$55,$AA26:$AA$55)),"")</s:f>
        <s:v>12184</s:v>
      </s:c>
      <s:c r="Y26" s="105">
        <s:f>IF(AB26&lt;&gt;"",IF(E26&lt;&gt;"",E26,($I$9-SUM($Y$25:Y25))*AA26*AB26/SUMPRODUCT($AB26:$AB$55,$AA26:$AA$55)),"")</s:f>
        <s:v>2</s:v>
      </s:c>
      <s:c r="Z26" s="105">
        <s:f>IF(AB26&lt;&gt;"",IF(E26&lt;&gt;"",E26,($I$9-SUM($Y$25:Y25))*AA26*AB26/SUMPRODUCT($AB26:$AB$55,$AA26:$AA$55)),"")</s:f>
        <s:v>2</s:v>
      </s:c>
      <s:c r="AA26" s="106">
        <s:v>1</s:v>
      </s:c>
      <s:c r="AB26" s="106">
        <s:v>1</s:v>
      </s:c>
      <s:c r="AC26"/>
      <s:c r="AD26"/>
      <s:c r="AE26"/>
      <s:c r="AF26"/>
      <s:c r="AG26"/>
      <s:c r="AH26"/>
      <s:c r="AI26"/>
      <s:c r="AJ26"/>
      <s:c r="AK26"/>
      <s:c r="AL26"/>
      <s:c r="AM26"/>
      <s:c r="AN26"/>
      <s:c r="AO26"/>
      <s:c r="AP26"/>
      <s:c r="AQ26"/>
      <s:c r="AR26"/>
      <s:c r="AS26"/>
      <s:c r="AT26"/>
      <s:c r="IX26" s="2"/>
      <s:c r="IY26" s="2"/>
      <s:c r="IZ26" s="2"/>
    </s:row>
    <s:row r="27">
      <s:c r="A27" s="96" t="s">
        <s:v>54</s:v>
      </s:c>
      <s:c r="B27" s="97">
        <s:v>46084</s:v>
      </s:c>
      <s:c r="C27" s="98" t="s">
        <s:v>56</s:v>
      </s:c>
      <s:c r="D27" s="99">
        <s:v>6593</s:v>
      </s:c>
      <s:c r="E27" s="287">
        <s:v>1</s:v>
      </s:c>
      <s:c r="F27" s="101">
        <s:f>IF(AND(E27&lt;&gt;"",E27&lt;&gt;0),D27/E27,"")</s:f>
        <s:v>6593</s:v>
      </s:c>
      <s:c r="G27" s="287">
        <s:v>1</s:v>
      </s:c>
      <s:c r="H27" s="101">
        <s:f>IF(AND(G27&lt;&gt;"",G27&lt;&gt;0),D27/G27,"")</s:f>
        <s:v>6593</s:v>
      </s:c>
      <s:c r="I27" s="287">
        <s:v>22</s:v>
      </s:c>
      <s:c r="J27" s="99">
        <s:f>IF(AND(G27&lt;&gt;"",G27&lt;&gt;0),E27/G27,"")</s:f>
        <s:v>1</s:v>
      </s:c>
      <s:c r="K27" s="101"/>
      <s:c r="L27" s="101"/>
      <s:c r="M27" s="101"/>
      <s:c r="N27" s="101"/>
      <s:c r="O27" s="101"/>
      <s:c r="P27" s="101"/>
      <s:c r="Q27" s="101"/>
      <s:c r="R27" s="101"/>
      <s:c r="S27" s="102">
        <s:f>IF(AND(I27&lt;&gt;"",I27&lt;&gt;0),G27/I27,"")</s:f>
        <s:v>4.5454545454545456E-2</s:v>
      </s:c>
      <s:c r="T27" s="103">
        <s:f>D27/U27</s:f>
        <s:v>0.13401682095460207</s:v>
      </s:c>
      <s:c r="U27" s="104">
        <s:f>$I$8*AA27*AB27/SUMPRODUCT($AB$25:$AB$55,$AA$25:$AA$55)</s:f>
        <s:v>49195.317073170729</s:v>
      </s:c>
      <s:c r="V27" s="105">
        <s:f>$I$9*AA27*AB27/SUMPRODUCT($AB$25:$AB$55,$AA$25:$AA$55)</s:f>
        <s:v>7.1297560975609757</s:v>
      </s:c>
      <s:c r="W27" s="105">
        <s:f>IF($I$12="","",V27/$I$12)</s:f>
        <s:v>4.0975609756097562</s:v>
      </s:c>
      <s:c r="X27" s="104">
        <s:f>IF(AB27&lt;&gt;"",IF(D27&lt;&gt;"",D27,($I$8-SUM($X$25:X26))*AA27*AB27/SUMPRODUCT($AB27:$AB$55,$AA27:$AA$55)),"")</s:f>
        <s:v>6593</s:v>
      </s:c>
      <s:c r="Y27" s="105">
        <s:f>IF(AB27&lt;&gt;"",IF(E27&lt;&gt;"",E27,($I$9-SUM($Y$25:Y26))*AA27*AB27/SUMPRODUCT($AB27:$AB$55,$AA27:$AA$55)),"")</s:f>
        <s:v>1</s:v>
      </s:c>
      <s:c r="Z27" s="105">
        <s:f>IF(AB27&lt;&gt;"",IF(E27&lt;&gt;"",E27,($I$9-SUM($Y$25:Y26))*AA27*AB27/SUMPRODUCT($AB27:$AB$55,$AA27:$AA$55)),"")</s:f>
        <s:v>1</s:v>
      </s:c>
      <s:c r="AA27" s="106">
        <s:v>1</s:v>
      </s:c>
      <s:c r="AB27" s="106">
        <s:v>1</s:v>
      </s:c>
      <s:c r="AC27"/>
      <s:c r="AD27"/>
      <s:c r="AE27"/>
      <s:c r="AF27"/>
      <s:c r="AG27"/>
      <s:c r="AH27"/>
      <s:c r="AI27"/>
      <s:c r="AJ27"/>
      <s:c r="AK27"/>
      <s:c r="AL27"/>
      <s:c r="AM27"/>
      <s:c r="AN27"/>
      <s:c r="AO27"/>
      <s:c r="AP27"/>
      <s:c r="AQ27"/>
      <s:c r="AR27"/>
      <s:c r="AS27"/>
      <s:c r="AT27"/>
      <s:c r="IX27" s="2"/>
      <s:c r="IY27" s="2"/>
      <s:c r="IZ27" s="2"/>
    </s:row>
    <s:row r="28">
      <s:c r="A28" s="96" t="s">
        <s:v>62</s:v>
      </s:c>
      <s:c r="B28" s="97">
        <s:v>46085</s:v>
      </s:c>
      <s:c r="C28" s="98" t="s">
        <s:v>57</s:v>
      </s:c>
      <s:c r="D28" s="99">
        <s:v>0</s:v>
      </s:c>
      <s:c r="E28" s="101">
        <s:v>0</s:v>
      </s:c>
      <s:c r="F28" s="101">
        <s:v>0</s:v>
      </s:c>
      <s:c r="G28" s="101">
        <s:v>0</s:v>
      </s:c>
      <s:c r="H28" s="101">
        <s:v>0</s:v>
      </s:c>
      <s:c r="I28" s="101">
        <s:v>50</s:v>
      </s:c>
      <s:c r="J28" s="99" t="str">
        <s:f>IF(AND(G28&lt;&gt;"",G28&lt;&gt;0),E28/G28,"")</s:f>
        <s:v/>
      </s:c>
      <s:c r="K28" s="101"/>
      <s:c r="L28" s="101"/>
      <s:c r="M28" s="101"/>
      <s:c r="N28" s="101"/>
      <s:c r="O28" s="101"/>
      <s:c r="P28" s="101"/>
      <s:c r="Q28" s="101"/>
      <s:c r="R28" s="101"/>
      <s:c r="S28" s="102">
        <s:f>IF(AND(I28&lt;&gt;"",I28&lt;&gt;0),G28/I28,"")</s:f>
        <s:v>0</s:v>
      </s:c>
      <s:c r="T28" s="103">
        <s:f>D28/U28</s:f>
        <s:v>0</s:v>
      </s:c>
      <s:c r="U28" s="104">
        <s:f>$I$8*AA28*AB28/SUMPRODUCT($AB$25:$AB$55,$AA$25:$AA$55)</s:f>
        <s:v>49195.317073170729</s:v>
      </s:c>
      <s:c r="V28" s="105">
        <s:f>$I$9*AA28*AB28/SUMPRODUCT($AB$25:$AB$55,$AA$25:$AA$55)</s:f>
        <s:v>7.1297560975609757</s:v>
      </s:c>
      <s:c r="W28" s="105">
        <s:f>IF($I$12="","",V28/$I$12)</s:f>
        <s:v>4.0975609756097562</s:v>
      </s:c>
      <s:c r="X28" s="104">
        <s:f>IF(AB28&lt;&gt;"",IF(D28&lt;&gt;"",D28,($I$8-SUM($X$25:X27))*AA28*AB28/SUMPRODUCT($AB28:$AB$55,$AA28:$AA$55)),"")</s:f>
        <s:v>0</s:v>
      </s:c>
      <s:c r="Y28" s="105">
        <s:f>IF(AB28&lt;&gt;"",IF(E28&lt;&gt;"",E28,($I$9-SUM($Y$25:Y27))*AA28*AB28/SUMPRODUCT($AB28:$AB$55,$AA28:$AA$55)),"")</s:f>
        <s:v>0</s:v>
      </s:c>
      <s:c r="Z28" s="105">
        <s:f>IF(AB28&lt;&gt;"",IF(E28&lt;&gt;"",E28,($I$9-SUM($Y$25:Y27))*AA28*AB28/SUMPRODUCT($AB28:$AB$55,$AA28:$AA$55)),"")</s:f>
        <s:v>0</s:v>
      </s:c>
      <s:c r="AA28" s="106">
        <s:v>1</s:v>
      </s:c>
      <s:c r="AB28" s="106">
        <s:v>1</s:v>
      </s:c>
      <s:c r="AC28"/>
      <s:c r="AD28"/>
      <s:c r="AE28"/>
      <s:c r="AF28"/>
      <s:c r="AG28"/>
      <s:c r="AH28"/>
      <s:c r="AI28"/>
      <s:c r="AJ28"/>
      <s:c r="AK28"/>
      <s:c r="AL28"/>
      <s:c r="AM28"/>
      <s:c r="AN28"/>
      <s:c r="AO28"/>
      <s:c r="AP28"/>
      <s:c r="AQ28"/>
      <s:c r="AR28"/>
      <s:c r="AS28"/>
      <s:c r="AT28"/>
      <s:c r="IX28" s="2"/>
      <s:c r="IY28" s="2"/>
      <s:c r="IZ28" s="2"/>
    </s:row>
    <s:row r="29" spans="1:260" s="285" customFormat="1">
      <s:c r="A29" s="96" t="s">
        <s:v>61</s:v>
      </s:c>
      <s:c r="B29" s="97">
        <s:v>46086</s:v>
      </s:c>
      <s:c r="C29" s="98" t="s">
        <s:v>58</s:v>
      </s:c>
      <s:c r="D29" s="99">
        <s:v>55266</s:v>
      </s:c>
      <s:c r="E29" s="101">
        <s:v>10</s:v>
      </s:c>
      <s:c r="F29" s="101">
        <s:f>IF(AND(E29&lt;&gt;"",E29&lt;&gt;0),D29/E29,"")</s:f>
        <s:v>5526.6</s:v>
      </s:c>
      <s:c r="G29" s="101">
        <s:v>4</s:v>
      </s:c>
      <s:c r="H29" s="101">
        <s:f>IF(AND(G29&lt;&gt;"",G29&lt;&gt;0),D29/G29,"")</s:f>
        <s:v>13816.5</s:v>
      </s:c>
      <s:c r="I29" s="101">
        <s:v>55</s:v>
      </s:c>
      <s:c r="J29" s="99">
        <s:f>IF(AND(G29&lt;&gt;"",G29&lt;&gt;0),E29/G29,"")</s:f>
        <s:v>2.5</s:v>
      </s:c>
      <s:c r="K29" s="101"/>
      <s:c r="L29" s="101"/>
      <s:c r="M29" s="101"/>
      <s:c r="N29" s="101"/>
      <s:c r="O29" s="101"/>
      <s:c r="P29" s="101"/>
      <s:c r="Q29" s="101">
        <s:v>8790</s:v>
      </s:c>
      <s:c r="R29" s="101">
        <s:v>4753</s:v>
      </s:c>
      <s:c r="S29" s="102">
        <s:f>IF(AND(I29&lt;&gt;"",I29&lt;&gt;0),G29/I29,"")</s:f>
        <s:v>7.2727272727272724E-2</s:v>
      </s:c>
      <s:c r="T29" s="103">
        <s:f>D29/U29</s:f>
        <s:v>1.12339960971895</s:v>
      </s:c>
      <s:c r="U29" s="104">
        <s:f>$I$8*AA29*AB29/SUMPRODUCT($AB$25:$AB$55,$AA$25:$AA$55)</s:f>
        <s:v>49195.317073170729</s:v>
      </s:c>
      <s:c r="V29" s="105">
        <s:f>$I$9*AA29*AB29/SUMPRODUCT($AB$25:$AB$55,$AA$25:$AA$55)</s:f>
        <s:v>7.1297560975609757</s:v>
      </s:c>
      <s:c r="W29" s="105">
        <s:f>IF($I$12="","",V29/$I$12)</s:f>
        <s:v>4.0975609756097562</s:v>
      </s:c>
      <s:c r="X29" s="104">
        <s:f>IF(AB29&lt;&gt;"",IF(D29&lt;&gt;"",D29,($I$8-SUM($X$25:X28))*AA29*AB29/SUMPRODUCT($AB29:$AB$55,$AA29:$AA$55)),"")</s:f>
        <s:v>55266</s:v>
      </s:c>
      <s:c r="Y29" s="105">
        <s:f>IF(AB29&lt;&gt;"",IF(E29&lt;&gt;"",E29,($I$9-SUM($Y$25:Y28))*AA29*AB29/SUMPRODUCT($AB29:$AB$55,$AA29:$AA$55)),"")</s:f>
        <s:v>10</s:v>
      </s:c>
      <s:c r="Z29" s="105">
        <s:f>IF(AB29&lt;&gt;"",IF(E29&lt;&gt;"",E29,($I$9-SUM($Y$25:Y28))*AA29*AB29/SUMPRODUCT($AB29:$AB$55,$AA29:$AA$55)),"")</s:f>
        <s:v>10</s:v>
      </s:c>
      <s:c r="AA29" s="106">
        <s:v>1</s:v>
      </s:c>
      <s:c r="AB29" s="106">
        <s:v>1</s:v>
      </s:c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  <s:c r="IV29" s="2"/>
      <s:c r="IW29" s="2"/>
      <s:c r="IX29" s="2"/>
      <s:c r="IY29" s="2"/>
      <s:c r="IZ29" s="2"/>
    </s:row>
    <s:row r="30">
      <s:c r="A30" s="96" t="s">
        <s:v>61</s:v>
      </s:c>
      <s:c r="B30" s="97">
        <s:v>46087</s:v>
      </s:c>
      <s:c r="C30" s="98" t="s">
        <s:v>59</s:v>
      </s:c>
      <s:c r="D30" s="99">
        <s:v>34354</s:v>
      </s:c>
      <s:c r="E30" s="101">
        <s:v>6</s:v>
      </s:c>
      <s:c r="F30" s="101">
        <s:f>IF(AND(E30&lt;&gt;"",E30&lt;&gt;0),D30/E30,"")</s:f>
        <s:v>5725.666666666667</s:v>
      </s:c>
      <s:c r="G30" s="101">
        <s:v>3</s:v>
      </s:c>
      <s:c r="H30" s="101">
        <s:f>IF(AND(G30&lt;&gt;"",G30&lt;&gt;0),D30/G30,"")</s:f>
        <s:v>11451.333333333334</s:v>
      </s:c>
      <s:c r="I30" s="101">
        <s:v>50</s:v>
      </s:c>
      <s:c r="J30" s="99">
        <s:f>IF(AND(G30&lt;&gt;"",G30&lt;&gt;0),E30/G30,"")</s:f>
        <s:v>2</s:v>
      </s:c>
      <s:c r="K30" s="101"/>
      <s:c r="L30" s="101"/>
      <s:c r="M30" s="101"/>
      <s:c r="N30" s="101"/>
      <s:c r="O30" s="101"/>
      <s:c r="P30" s="101"/>
      <s:c r="Q30" s="101"/>
      <s:c r="R30" s="101"/>
      <s:c r="S30" s="102">
        <s:f>IF(AND(I30&lt;&gt;"",I30&lt;&gt;0),G30/I30,"")</s:f>
        <s:v>0.06</s:v>
      </s:c>
      <s:c r="T30" s="103">
        <s:f>D30/U30</s:f>
        <s:v>0.69831849948041858</s:v>
      </s:c>
      <s:c r="U30" s="104">
        <s:f>$I$8*AA30*AB30/SUMPRODUCT($AB$25:$AB$55,$AA$25:$AA$55)</s:f>
        <s:v>49195.317073170729</s:v>
      </s:c>
      <s:c r="V30" s="105">
        <s:f>$I$9*AA30*AB30/SUMPRODUCT($AB$25:$AB$55,$AA$25:$AA$55)</s:f>
        <s:v>7.1297560975609757</s:v>
      </s:c>
      <s:c r="W30" s="105">
        <s:f>IF($I$12="","",V30/$I$12)</s:f>
        <s:v>4.0975609756097562</s:v>
      </s:c>
      <s:c r="X30" s="104">
        <s:f>IF(AB30&lt;&gt;"",IF(D30&lt;&gt;"",D30,($I$8-SUM($X$25:X29))*AA30*AB30/SUMPRODUCT($AB30:$AB$55,$AA30:$AA$55)),"")</s:f>
        <s:v>34354</s:v>
      </s:c>
      <s:c r="Y30" s="105">
        <s:f>IF(AB30&lt;&gt;"",IF(E30&lt;&gt;"",E30,($I$9-SUM($Y$25:Y29))*AA30*AB30/SUMPRODUCT($AB30:$AB$55,$AA30:$AA$55)),"")</s:f>
        <s:v>6</s:v>
      </s:c>
      <s:c r="Z30" s="105">
        <s:f>IF(AB30&lt;&gt;"",IF(E30&lt;&gt;"",E30,($I$9-SUM($Y$25:Y29))*AA30*AB30/SUMPRODUCT($AB30:$AB$55,$AA30:$AA$55)),"")</s:f>
        <s:v>6</s:v>
      </s:c>
      <s:c r="AA30" s="106">
        <s:v>1</s:v>
      </s:c>
      <s:c r="AB30" s="106">
        <s:v>1</s:v>
      </s:c>
      <s:c r="AC30"/>
      <s:c r="AD30"/>
      <s:c r="AE30"/>
      <s:c r="AF30"/>
      <s:c r="AG30"/>
      <s:c r="AH30"/>
      <s:c r="AI30"/>
      <s:c r="AJ30"/>
      <s:c r="AK30"/>
      <s:c r="AL30"/>
      <s:c r="AM30"/>
      <s:c r="AN30"/>
      <s:c r="AO30"/>
      <s:c r="AP30"/>
      <s:c r="AQ30"/>
      <s:c r="AR30"/>
      <s:c r="AS30"/>
      <s:c r="AT30"/>
      <s:c r="IX30" s="2"/>
      <s:c r="IY30" s="2"/>
      <s:c r="IZ30" s="2"/>
    </s:row>
    <s:row r="31">
      <s:c r="A31" s="96" t="s">
        <s:v>61</s:v>
      </s:c>
      <s:c r="B31" s="97">
        <s:v>46088</s:v>
      </s:c>
      <s:c r="C31" s="98" t="s">
        <s:v>60</s:v>
      </s:c>
      <s:c r="D31" s="99">
        <s:v>81583</s:v>
      </s:c>
      <s:c r="E31" s="101">
        <s:v>15</s:v>
      </s:c>
      <s:c r="F31" s="101">
        <s:f>IF(AND(E31&lt;&gt;"",E31&lt;&gt;0),D31/E31,"")</s:f>
        <s:v>5438.8666666666668</s:v>
      </s:c>
      <s:c r="G31" s="101">
        <s:v>10</s:v>
      </s:c>
      <s:c r="H31" s="101">
        <s:f>IF(AND(G31&lt;&gt;"",G31&lt;&gt;0),D31/G31,"")</s:f>
        <s:v>8158.3</s:v>
      </s:c>
      <s:c r="I31" s="101">
        <s:v>82</s:v>
      </s:c>
      <s:c r="J31" s="99">
        <s:f>IF(AND(G31&lt;&gt;"",G31&lt;&gt;0),E31/G31,"")</s:f>
        <s:v>1.5</s:v>
      </s:c>
      <s:c r="K31" s="101"/>
      <s:c r="L31" s="101"/>
      <s:c r="M31" s="101"/>
      <s:c r="N31" s="101"/>
      <s:c r="O31" s="101"/>
      <s:c r="P31" s="101"/>
      <s:c r="Q31" s="101"/>
      <s:c r="R31" s="101">
        <s:v>2793</s:v>
      </s:c>
      <s:c r="S31" s="102">
        <s:f>IF(AND(I31&lt;&gt;"",I31&lt;&gt;0),G31/I31,"")</s:f>
        <s:v>0.12195121951219512</s:v>
      </s:c>
      <s:c r="T31" s="103">
        <s:f>D31/U31</s:f>
        <s:v>1.6583489009463523</s:v>
      </s:c>
      <s:c r="U31" s="104">
        <s:f>$I$8*AA31*AB31/SUMPRODUCT($AB$25:$AB$55,$AA$25:$AA$55)</s:f>
        <s:v>49195.317073170729</s:v>
      </s:c>
      <s:c r="V31" s="105">
        <s:f>$I$9*AA31*AB31/SUMPRODUCT($AB$25:$AB$55,$AA$25:$AA$55)</s:f>
        <s:v>7.1297560975609757</s:v>
      </s:c>
      <s:c r="W31" s="105">
        <s:f>IF($I$12="","",V31/$I$12)</s:f>
        <s:v>4.0975609756097562</s:v>
      </s:c>
      <s:c r="X31" s="104">
        <s:f>IF(AB31&lt;&gt;"",IF(D31&lt;&gt;"",D31,($I$8-SUM($X$25:X30))*AA31*AB31/SUMPRODUCT($AB31:$AB$55,$AA31:$AA$55)),"")</s:f>
        <s:v>81583</s:v>
      </s:c>
      <s:c r="Y31" s="105">
        <s:f>IF(AB31&lt;&gt;"",IF(E31&lt;&gt;"",E31,($I$9-SUM($Y$25:Y30))*AA31*AB31/SUMPRODUCT($AB31:$AB$55,$AA31:$AA$55)),"")</s:f>
        <s:v>15</s:v>
      </s:c>
      <s:c r="Z31" s="105">
        <s:f>IF(AB31&lt;&gt;"",IF(E31&lt;&gt;"",E31,($I$9-SUM($Y$25:Y30))*AA31*AB31/SUMPRODUCT($AB31:$AB$55,$AA31:$AA$55)),"")</s:f>
        <s:v>15</s:v>
      </s:c>
      <s:c r="AA31" s="106">
        <s:v>1</s:v>
      </s:c>
      <s:c r="AB31" s="106">
        <s:v>1</s:v>
      </s:c>
      <s:c r="AC31"/>
      <s:c r="AD31"/>
      <s:c r="AE31"/>
      <s:c r="AF31"/>
      <s:c r="AG31"/>
      <s:c r="AH31"/>
      <s:c r="AI31"/>
      <s:c r="AJ31"/>
      <s:c r="AK31"/>
      <s:c r="AL31"/>
      <s:c r="AM31"/>
      <s:c r="AN31"/>
      <s:c r="AO31"/>
      <s:c r="AP31"/>
      <s:c r="AQ31"/>
      <s:c r="AR31"/>
      <s:c r="AS31"/>
      <s:c r="AT31"/>
      <s:c r="IX31" s="2"/>
      <s:c r="IY31" s="2"/>
      <s:c r="IZ31" s="2"/>
    </s:row>
    <s:row r="32">
      <s:c r="A32" s="96" t="s">
        <s:v>61</s:v>
      </s:c>
      <s:c r="B32" s="97">
        <s:v>46089</s:v>
      </s:c>
      <s:c r="C32" s="98" t="s">
        <s:v>53</s:v>
      </s:c>
      <s:c r="D32" s="99">
        <s:v>185650</s:v>
      </s:c>
      <s:c r="E32" s="101">
        <s:v>17</s:v>
      </s:c>
      <s:c r="F32" s="101">
        <s:f>IF(AND(E32&lt;&gt;"",E32&lt;&gt;0),D32/E32,"")</s:f>
        <s:v>10920.588235294117</s:v>
      </s:c>
      <s:c r="G32" s="101">
        <s:v>11</s:v>
      </s:c>
      <s:c r="H32" s="101">
        <s:f>IF(AND(G32&lt;&gt;"",G32&lt;&gt;0),D32/G32,"")</s:f>
        <s:v>16877.272727272728</s:v>
      </s:c>
      <s:c r="I32" s="100">
        <s:v>148</s:v>
      </s:c>
      <s:c r="J32" s="99">
        <s:f>IF(AND(G32&lt;&gt;"",G32&lt;&gt;0),E32/G32,"")</s:f>
        <s:v>1.5454545454545454</s:v>
      </s:c>
      <s:c r="K32" s="101">
        <s:v>124299</s:v>
      </s:c>
      <s:c r="L32" s="101"/>
      <s:c r="M32" s="101"/>
      <s:c r="N32" s="101">
        <s:v>6191</s:v>
      </s:c>
      <s:c r="O32" s="101"/>
      <s:c r="P32" s="101"/>
      <s:c r="Q32" s="101"/>
      <s:c r="R32" s="101"/>
      <s:c r="S32" s="102">
        <s:f>IF(AND(I32&lt;&gt;"",I32&lt;&gt;0),G32/I32,"")</s:f>
        <s:v>7.4324324324324328E-2</s:v>
      </s:c>
      <s:c r="T32" s="103">
        <s:f>D32/U32</s:f>
        <s:v>3.7737331730959918</s:v>
      </s:c>
      <s:c r="U32" s="104">
        <s:f>$I$8*AA32*AB32/SUMPRODUCT($AB$25:$AB$55,$AA$25:$AA$55)</s:f>
        <s:v>49195.317073170729</s:v>
      </s:c>
      <s:c r="V32" s="105">
        <s:f>$I$9*AA32*AB32/SUMPRODUCT($AB$25:$AB$55,$AA$25:$AA$55)</s:f>
        <s:v>7.1297560975609757</s:v>
      </s:c>
      <s:c r="W32" s="105">
        <s:f>IF($I$12="","",V32/$I$12)</s:f>
        <s:v>4.0975609756097562</s:v>
      </s:c>
      <s:c r="X32" s="104">
        <s:f>IF(AB32&lt;&gt;"",IF(D32&lt;&gt;"",D32,($I$8-SUM($X$25:X31))*AA32*AB32/SUMPRODUCT($AB32:$AB$55,$AA32:$AA$55)),"")</s:f>
        <s:v>185650</s:v>
      </s:c>
      <s:c r="Y32" s="105">
        <s:f>IF(AB32&lt;&gt;"",IF(E32&lt;&gt;"",E32,($I$9-SUM($Y$25:Y31))*AA32*AB32/SUMPRODUCT($AB32:$AB$55,$AA32:$AA$55)),"")</s:f>
        <s:v>17</s:v>
      </s:c>
      <s:c r="Z32" s="105">
        <s:f>IF(AB32&lt;&gt;"",IF(E32&lt;&gt;"",E32,($I$9-SUM($Y$25:Y31))*AA32*AB32/SUMPRODUCT($AB32:$AB$55,$AA32:$AA$55)),"")</s:f>
        <s:v>17</s:v>
      </s:c>
      <s:c r="AA32" s="106">
        <s:v>1</s:v>
      </s:c>
      <s:c r="AB32" s="106">
        <s:v>1</s:v>
      </s:c>
      <s:c r="AC32"/>
      <s:c r="AD32"/>
      <s:c r="AE32"/>
      <s:c r="AF32"/>
      <s:c r="AG32"/>
      <s:c r="AH32"/>
      <s:c r="AI32"/>
      <s:c r="AJ32"/>
      <s:c r="AK32"/>
      <s:c r="AL32"/>
      <s:c r="AM32"/>
      <s:c r="AN32"/>
      <s:c r="AO32"/>
      <s:c r="AP32"/>
      <s:c r="AQ32"/>
      <s:c r="AR32"/>
      <s:c r="AS32"/>
      <s:c r="AT32"/>
      <s:c r="IX32" s="2"/>
      <s:c r="IY32" s="2"/>
      <s:c r="IZ32" s="2"/>
    </s:row>
    <s:row r="33">
      <s:c r="A33" s="96" t="s">
        <s:v>54</s:v>
      </s:c>
      <s:c r="B33" s="97">
        <s:v>46090</s:v>
      </s:c>
      <s:c r="C33" s="98" t="s">
        <s:v>55</s:v>
      </s:c>
      <s:c r="D33" s="99">
        <s:v>20092</s:v>
      </s:c>
      <s:c r="E33" s="101">
        <s:v>3</s:v>
      </s:c>
      <s:c r="F33" s="101">
        <s:f>IF(AND(E33&lt;&gt;"",E33&lt;&gt;0),D33/E33,"")</s:f>
        <s:v>6697.3333333333303</s:v>
      </s:c>
      <s:c r="G33" s="101">
        <s:v>2</s:v>
      </s:c>
      <s:c r="H33" s="101">
        <s:f>IF(AND(G33&lt;&gt;"",G33&lt;&gt;0),D33/G33,"")</s:f>
        <s:v>10046</s:v>
      </s:c>
      <s:c r="I33" s="100">
        <s:v>66</s:v>
      </s:c>
      <s:c r="J33" s="99">
        <s:f>IF(AND(G33&lt;&gt;"",G33&lt;&gt;0),E33/G33,"")</s:f>
        <s:v>1.5</s:v>
      </s:c>
      <s:c r="K33" s="101"/>
      <s:c r="L33" s="101"/>
      <s:c r="M33" s="101"/>
      <s:c r="N33" s="101"/>
      <s:c r="O33" s="101"/>
      <s:c r="P33" s="101"/>
      <s:c r="Q33" s="101"/>
      <s:c r="R33" s="101"/>
      <s:c r="S33" s="102">
        <s:f>IF(AND(I33&lt;&gt;"",I33&lt;&gt;0),G33/I33,"")</s:f>
        <s:v>3.0303030303030304E-2</s:v>
      </s:c>
      <s:c r="T33" s="103">
        <s:f>D33/U33</s:f>
        <s:v>0.40841285706353098</s:v>
      </s:c>
      <s:c r="U33" s="104">
        <s:f>$I$8*AA33*AB33/SUMPRODUCT($AB$25:$AB$55,$AA$25:$AA$55)</s:f>
        <s:v>49195.317073170729</s:v>
      </s:c>
      <s:c r="V33" s="105">
        <s:f>$I$9*AA33*AB33/SUMPRODUCT($AB$25:$AB$55,$AA$25:$AA$55)</s:f>
        <s:v>7.1297560975609757</s:v>
      </s:c>
      <s:c r="W33" s="105">
        <s:f>IF($I$12="","",V33/$I$12)</s:f>
        <s:v>4.0975609756097562</s:v>
      </s:c>
      <s:c r="X33" s="104">
        <s:f>IF(AB33&lt;&gt;"",IF(D33&lt;&gt;"",D33,($I$8-SUM($X$25:X32))*AA33*AB33/SUMPRODUCT($AB33:$AB$55,$AA33:$AA$55)),"")</s:f>
        <s:v>20092</s:v>
      </s:c>
      <s:c r="Y33" s="105">
        <s:f>IF(AB33&lt;&gt;"",IF(E33&lt;&gt;"",E33,($I$9-SUM($Y$25:Y32))*AA33*AB33/SUMPRODUCT($AB33:$AB$55,$AA33:$AA$55)),"")</s:f>
        <s:v>3</s:v>
      </s:c>
      <s:c r="Z33" s="105">
        <s:f>IF(AB33&lt;&gt;"",IF(E33&lt;&gt;"",E33,($I$9-SUM($Y$25:Y32))*AA33*AB33/SUMPRODUCT($AB33:$AB$55,$AA33:$AA$55)),"")</s:f>
        <s:v>3</s:v>
      </s:c>
      <s:c r="AA33" s="106">
        <s:v>1</s:v>
      </s:c>
      <s:c r="AB33" s="106">
        <s:v>1</s:v>
      </s:c>
      <s:c r="AC33"/>
      <s:c r="AD33"/>
      <s:c r="AE33"/>
      <s:c r="AF33"/>
      <s:c r="AG33"/>
      <s:c r="AH33"/>
      <s:c r="AI33"/>
      <s:c r="AJ33"/>
      <s:c r="AK33"/>
      <s:c r="AL33"/>
      <s:c r="AM33"/>
      <s:c r="AN33"/>
      <s:c r="AO33"/>
      <s:c r="AP33"/>
      <s:c r="AQ33"/>
      <s:c r="AR33"/>
      <s:c r="AS33"/>
      <s:c r="AT33"/>
      <s:c r="IX33" s="2"/>
      <s:c r="IY33" s="2"/>
      <s:c r="IZ33" s="2"/>
    </s:row>
    <s:row r="34">
      <s:c r="A34" s="96" t="s">
        <s:v>54</s:v>
      </s:c>
      <s:c r="B34" s="97">
        <s:v>46091</s:v>
      </s:c>
      <s:c r="C34" s="98" t="s">
        <s:v>56</s:v>
      </s:c>
      <s:c r="D34" s="99">
        <s:v>38929</s:v>
      </s:c>
      <s:c r="E34" s="101">
        <s:v>7</s:v>
      </s:c>
      <s:c r="F34" s="101">
        <s:f>IF(AND(E34&lt;&gt;"",E34&lt;&gt;0),D34/E34,"")</s:f>
        <s:v>5561.2857142857101</s:v>
      </s:c>
      <s:c r="G34" s="101">
        <s:v>6</s:v>
      </s:c>
      <s:c r="H34" s="101">
        <s:f>IF(AND(G34&lt;&gt;"",G34&lt;&gt;0),D34/G34,"")</s:f>
        <s:v>6488.1666666666597</s:v>
      </s:c>
      <s:c r="I34" s="101">
        <s:v>75</s:v>
      </s:c>
      <s:c r="J34" s="99">
        <s:f>IF(AND(G34&lt;&gt;"",G34&lt;&gt;0),E34/G34,"")</s:f>
        <s:v>1.1666666666666601</s:v>
      </s:c>
      <s:c r="K34" s="101">
        <s:v>9493</s:v>
      </s:c>
      <s:c r="L34" s="101"/>
      <s:c r="M34" s="101"/>
      <s:c r="N34" s="101"/>
      <s:c r="O34" s="101"/>
      <s:c r="P34" s="101"/>
      <s:c r="Q34" s="101"/>
      <s:c r="R34" s="101"/>
      <s:c r="S34" s="102">
        <s:f>IF(AND(I34&lt;&gt;"",I34&lt;&gt;0),G34/I34,"")</s:f>
        <s:v>0.08</s:v>
      </s:c>
      <s:c r="T34" s="103">
        <s:f>D34/U34</s:f>
        <s:v>0.79131515591410595</s:v>
      </s:c>
      <s:c r="U34" s="104">
        <s:f>$I$8*AA34*AB34/SUMPRODUCT($AB$25:$AB$55,$AA$25:$AA$55)</s:f>
        <s:v>49195.317073170729</s:v>
      </s:c>
      <s:c r="V34" s="105">
        <s:f>$I$9*AA34*AB34/SUMPRODUCT($AB$25:$AB$55,$AA$25:$AA$55)</s:f>
        <s:v>7.1297560975609757</s:v>
      </s:c>
      <s:c r="W34" s="105">
        <s:f>IF($I$12="","",V34/$I$12)</s:f>
        <s:v>4.0975609756097562</s:v>
      </s:c>
      <s:c r="X34" s="104">
        <s:f>IF(AB34&lt;&gt;"",IF(D34&lt;&gt;"",D34,($I$8-SUM($X$25:X33))*AA34*AB34/SUMPRODUCT($AB34:$AB$55,$AA34:$AA$55)),"")</s:f>
        <s:v>38929</s:v>
      </s:c>
      <s:c r="Y34" s="105">
        <s:f>IF(AB34&lt;&gt;"",IF(E34&lt;&gt;"",E34,($I$9-SUM($Y$25:Y33))*AA34*AB34/SUMPRODUCT($AB34:$AB$55,$AA34:$AA$55)),"")</s:f>
        <s:v>7</s:v>
      </s:c>
      <s:c r="Z34" s="105">
        <s:f>IF(AB34&lt;&gt;"",IF(E34&lt;&gt;"",E34,($I$9-SUM($Y$25:Y33))*AA34*AB34/SUMPRODUCT($AB34:$AB$55,$AA34:$AA$55)),"")</s:f>
        <s:v>7</s:v>
      </s:c>
      <s:c r="AA34" s="106">
        <s:v>1</s:v>
      </s:c>
      <s:c r="AB34" s="106">
        <s:v>1</s:v>
      </s:c>
      <s:c r="AC34"/>
      <s:c r="AD34"/>
      <s:c r="AE34"/>
      <s:c r="AF34"/>
      <s:c r="AG34"/>
      <s:c r="AH34"/>
      <s:c r="AI34"/>
      <s:c r="AJ34"/>
      <s:c r="AK34"/>
      <s:c r="AL34"/>
      <s:c r="AM34"/>
      <s:c r="AN34"/>
      <s:c r="AO34"/>
      <s:c r="AP34"/>
      <s:c r="AQ34"/>
      <s:c r="AR34"/>
      <s:c r="AS34"/>
      <s:c r="AT34"/>
      <s:c r="IX34" s="2"/>
      <s:c r="IY34" s="2"/>
      <s:c r="IZ34" s="2"/>
    </s:row>
    <s:row r="35">
      <s:c r="A35" s="96" t="s">
        <s:v>130</s:v>
      </s:c>
      <s:c r="B35" s="97">
        <s:v>46092</s:v>
      </s:c>
      <s:c r="C35" s="98" t="s">
        <s:v>57</s:v>
      </s:c>
      <s:c r="D35" s="99">
        <s:v>21079</s:v>
      </s:c>
      <s:c r="E35" s="101">
        <s:v>3</s:v>
      </s:c>
      <s:c r="F35" s="101">
        <s:f>IF(AND(E35&lt;&gt;"",E35&lt;&gt;0),D35/E35,"")</s:f>
        <s:v>7026.3333333333303</s:v>
      </s:c>
      <s:c r="G35" s="101">
        <s:v>3</s:v>
      </s:c>
      <s:c r="H35" s="101">
        <s:f>IF(AND(G35&lt;&gt;"",G35&lt;&gt;0),D35/G35,"")</s:f>
        <s:v>7026.3333333333303</s:v>
      </s:c>
      <s:c r="I35" s="101">
        <s:v>52</s:v>
      </s:c>
      <s:c r="J35" s="99">
        <s:f>IF(AND(G35&lt;&gt;"",G35&lt;&gt;0),E35/G35,"")</s:f>
        <s:v>1</s:v>
      </s:c>
      <s:c r="K35" s="101">
        <s:v>9993</s:v>
      </s:c>
      <s:c r="L35" s="101"/>
      <s:c r="M35" s="101"/>
      <s:c r="N35" s="101"/>
      <s:c r="O35" s="101"/>
      <s:c r="P35" s="101"/>
      <s:c r="Q35" s="101"/>
      <s:c r="R35" s="101"/>
      <s:c r="S35" s="102">
        <s:f>IF(AND(I35&lt;&gt;"",I35&lt;&gt;0),G35/I35,"")</s:f>
        <s:v>5.7692307692307696E-2</s:v>
      </s:c>
      <s:c r="T35" s="103">
        <s:f>D35/U35</s:f>
        <s:v>0.428475742287586</s:v>
      </s:c>
      <s:c r="U35" s="104">
        <s:f>$I$8*AA35*AB35/SUMPRODUCT($AB$25:$AB$55,$AA$25:$AA$55)</s:f>
        <s:v>49195.317073170729</s:v>
      </s:c>
      <s:c r="V35" s="105">
        <s:f>$I$9*AA35*AB35/SUMPRODUCT($AB$25:$AB$55,$AA$25:$AA$55)</s:f>
        <s:v>7.1297560975609757</s:v>
      </s:c>
      <s:c r="W35" s="105">
        <s:f>IF($I$12="","",V35/$I$12)</s:f>
        <s:v>4.0975609756097562</s:v>
      </s:c>
      <s:c r="X35" s="104">
        <s:f>IF(AB35&lt;&gt;"",IF(D35&lt;&gt;"",D35,($I$8-SUM($X$25:X34))*AA35*AB35/SUMPRODUCT($AB35:$AB$55,$AA35:$AA$55)),"")</s:f>
        <s:v>21079</s:v>
      </s:c>
      <s:c r="Y35" s="105">
        <s:f>IF(AB35&lt;&gt;"",IF(E35&lt;&gt;"",E35,($I$9-SUM($Y$25:Y34))*AA35*AB35/SUMPRODUCT($AB35:$AB$55,$AA35:$AA$55)),"")</s:f>
        <s:v>3</s:v>
      </s:c>
      <s:c r="Z35" s="105">
        <s:f>IF(AB35&lt;&gt;"",IF(E35&lt;&gt;"",E35,($I$9-SUM($Y$25:Y34))*AA35*AB35/SUMPRODUCT($AB35:$AB$55,$AA35:$AA$55)),"")</s:f>
        <s:v>3</s:v>
      </s:c>
      <s:c r="AA35" s="106">
        <s:v>1</s:v>
      </s:c>
      <s:c r="AB35" s="106">
        <s:v>1</s:v>
      </s:c>
      <s:c r="AC35"/>
      <s:c r="AD35"/>
      <s:c r="AE35"/>
      <s:c r="AF35"/>
      <s:c r="AG35"/>
      <s:c r="AH35"/>
      <s:c r="AI35"/>
      <s:c r="AJ35"/>
      <s:c r="AK35"/>
      <s:c r="AL35"/>
      <s:c r="AM35"/>
      <s:c r="AN35"/>
      <s:c r="AO35"/>
      <s:c r="AP35"/>
      <s:c r="AQ35"/>
      <s:c r="AR35"/>
      <s:c r="AS35"/>
      <s:c r="AT35"/>
      <s:c r="IX35" s="2"/>
      <s:c r="IY35" s="2"/>
      <s:c r="IZ35" s="2"/>
    </s:row>
    <s:row r="36">
      <s:c r="A36" s="96" t="s">
        <s:v>61</s:v>
      </s:c>
      <s:c r="B36" s="97">
        <s:v>46093</s:v>
      </s:c>
      <s:c r="C36" s="98" t="s">
        <s:v>58</s:v>
      </s:c>
      <s:c r="D36" s="99">
        <s:v>50652</s:v>
      </s:c>
      <s:c r="E36" s="100">
        <s:v>6</s:v>
      </s:c>
      <s:c r="F36" s="101">
        <s:f>IF(AND(E36&lt;&gt;"",E36&lt;&gt;0),D36/E36,"")</s:f>
        <s:v>8442</s:v>
      </s:c>
      <s:c r="G36" s="101">
        <s:v>3</s:v>
      </s:c>
      <s:c r="H36" s="101">
        <s:f>IF(AND(G36&lt;&gt;"",G36&lt;&gt;0),D36/G36,"")</s:f>
        <s:v>16884</s:v>
      </s:c>
      <s:c r="I36" s="101">
        <s:v>45</s:v>
      </s:c>
      <s:c r="J36" s="99">
        <s:f>IF(AND(G36&lt;&gt;"",G36&lt;&gt;0),E36/G36,"")</s:f>
        <s:v>2</s:v>
      </s:c>
      <s:c r="K36" s="101"/>
      <s:c r="L36" s="101"/>
      <s:c r="M36" s="101"/>
      <s:c r="N36" s="101"/>
      <s:c r="O36" s="101"/>
      <s:c r="P36" s="101">
        <s:v>7093</s:v>
      </s:c>
      <s:c r="Q36" s="101">
        <s:v>16890</s:v>
      </s:c>
      <s:c r="R36" s="101">
        <s:v>6490</s:v>
      </s:c>
      <s:c r="S36" s="102">
        <s:f>IF(AND(I36&lt;&gt;"",I36&lt;&gt;0),G36/I36,"")</s:f>
        <s:v>6.6666666666666666E-2</s:v>
      </s:c>
      <s:c r="T36" s="103">
        <s:f>D36/U36</s:f>
        <s:v>1.02961019490254</s:v>
      </s:c>
      <s:c r="U36" s="104">
        <s:f>$I$8*AA36*AB36/SUMPRODUCT($AB$25:$AB$55,$AA$25:$AA$55)</s:f>
        <s:v>49195.317073170729</s:v>
      </s:c>
      <s:c r="V36" s="105">
        <s:f>$I$9*AA36*AB36/SUMPRODUCT($AB$25:$AB$55,$AA$25:$AA$55)</s:f>
        <s:v>7.1297560975609757</s:v>
      </s:c>
      <s:c r="W36" s="105">
        <s:f>IF($I$12="","",V36/$I$12)</s:f>
        <s:v>4.0975609756097562</s:v>
      </s:c>
      <s:c r="X36" s="104">
        <s:f>IF(AB36&lt;&gt;"",IF(D36&lt;&gt;"",D36,($I$8-SUM($X$25:X35))*AA36*AB36/SUMPRODUCT($AB36:$AB$55,$AA36:$AA$55)),"")</s:f>
        <s:v>50652</s:v>
      </s:c>
      <s:c r="Y36" s="105">
        <s:f>IF(AB36&lt;&gt;"",IF(E36&lt;&gt;"",E36,($I$9-SUM($Y$25:Y35))*AA36*AB36/SUMPRODUCT($AB36:$AB$55,$AA36:$AA$55)),"")</s:f>
        <s:v>6</s:v>
      </s:c>
      <s:c r="Z36" s="105">
        <s:f>IF(AB36&lt;&gt;"",IF(E36&lt;&gt;"",E36,($I$9-SUM($Y$25:Y35))*AA36*AB36/SUMPRODUCT($AB36:$AB$55,$AA36:$AA$55)),"")</s:f>
        <s:v>6</s:v>
      </s:c>
      <s:c r="AA36" s="106">
        <s:v>1</s:v>
      </s:c>
      <s:c r="AB36" s="106">
        <s:v>1</s:v>
      </s:c>
    </s:row>
    <s:row r="37" spans="1:260" ht="15.25" customHeight="1">
      <s:c r="A37" s="96" t="s">
        <s:v>132</s:v>
      </s:c>
      <s:c r="B37" s="97">
        <s:v>46094</s:v>
      </s:c>
      <s:c r="C37" s="98" t="s">
        <s:v>59</s:v>
      </s:c>
      <s:c r="D37" s="99">
        <s:v>18979</s:v>
      </s:c>
      <s:c r="E37" s="101">
        <s:v>3</s:v>
      </s:c>
      <s:c r="F37" s="101">
        <s:f>IF(AND(E37&lt;&gt;"",E37&lt;&gt;0),D37/E37,"")</s:f>
        <s:v>6326.3333333333303</s:v>
      </s:c>
      <s:c r="G37" s="101">
        <s:v>3</s:v>
      </s:c>
      <s:c r="H37" s="101">
        <s:f>IF(AND(G37&lt;&gt;"",G37&lt;&gt;0),D37/G37,"")</s:f>
        <s:v>6326.3333333333303</s:v>
      </s:c>
      <s:c r="I37" s="101">
        <s:v>39</s:v>
      </s:c>
      <s:c r="J37" s="99">
        <s:f>IF(AND(G37&lt;&gt;"",G37&lt;&gt;0),E37/G37,"")</s:f>
        <s:v>1</s:v>
      </s:c>
      <s:c r="K37" s="101"/>
      <s:c r="L37" s="101"/>
      <s:c r="M37" s="101"/>
      <s:c r="N37" s="101"/>
      <s:c r="O37" s="101"/>
      <s:c r="P37" s="101"/>
      <s:c r="Q37" s="101"/>
      <s:c r="R37" s="101"/>
      <s:c r="S37" s="102">
        <s:f>IF(AND(I37&lt;&gt;"",I37&lt;&gt;0),G37/I37,"")</s:f>
        <s:v>7.69230769230769E-2</s:v>
      </s:c>
      <s:c r="T37" s="103">
        <s:f>D37/U37</s:f>
        <s:v>0.38578875244917199</s:v>
      </s:c>
      <s:c r="U37" s="104">
        <s:f>$I$8*AA37*AB37/SUMPRODUCT($AB$25:$AB$55,$AA$25:$AA$55)</s:f>
        <s:v>49195.317073170729</s:v>
      </s:c>
      <s:c r="V37" s="105">
        <s:f>$I$9*AA37*AB37/SUMPRODUCT($AB$25:$AB$55,$AA$25:$AA$55)</s:f>
        <s:v>7.1297560975609757</s:v>
      </s:c>
      <s:c r="W37" s="105">
        <s:f>IF($I$12="","",V37/$I$12)</s:f>
        <s:v>4.0975609756097562</s:v>
      </s:c>
      <s:c r="X37" s="104">
        <s:f>IF(AB37&lt;&gt;"",IF(D37&lt;&gt;"",D37,($I$8-SUM($X$25:X36))*AA37*AB37/SUMPRODUCT($AB37:$AB$55,$AA37:$AA$55)),"")</s:f>
        <s:v>18979</s:v>
      </s:c>
      <s:c r="Y37" s="105">
        <s:f>IF(AB37&lt;&gt;"",IF(E37&lt;&gt;"",E37,($I$9-SUM($Y$25:Y36))*AA37*AB37/SUMPRODUCT($AB37:$AB$55,$AA37:$AA$55)),"")</s:f>
        <s:v>3</s:v>
      </s:c>
      <s:c r="Z37" s="105">
        <s:f>IF(AB37&lt;&gt;"",IF(E37&lt;&gt;"",E37,($I$9-SUM($Y$25:Y36))*AA37*AB37/SUMPRODUCT($AB37:$AB$55,$AA37:$AA$55)),"")</s:f>
        <s:v>3</s:v>
      </s:c>
      <s:c r="AA37" s="106">
        <s:v>1</s:v>
      </s:c>
      <s:c r="AB37" s="106">
        <s:v>1</s:v>
      </s:c>
    </s:row>
    <s:row r="38">
      <s:c r="A38" s="96" t="s">
        <s:v>132</s:v>
      </s:c>
      <s:c r="B38" s="97">
        <s:v>46095</s:v>
      </s:c>
      <s:c r="C38" s="98" t="s">
        <s:v>60</s:v>
      </s:c>
      <s:c r="D38" s="99">
        <s:v>54282</s:v>
      </s:c>
      <s:c r="E38" s="101">
        <s:v>6</s:v>
      </s:c>
      <s:c r="F38" s="101">
        <s:f>IF(AND(E38&lt;&gt;"",E38&lt;&gt;0),D38/E38,"")</s:f>
        <s:v>9047</s:v>
      </s:c>
      <s:c r="G38" s="101">
        <s:v>3</s:v>
      </s:c>
      <s:c r="H38" s="101">
        <s:f>IF(AND(G38&lt;&gt;"",G38&lt;&gt;0),D38/G38,"")</s:f>
        <s:v>18094</s:v>
      </s:c>
      <s:c r="I38" s="101">
        <s:v>40</s:v>
      </s:c>
      <s:c r="J38" s="99">
        <s:f>IF(AND(G38&lt;&gt;"",G38&lt;&gt;0),E38/G38,"")</s:f>
        <s:v>2</s:v>
      </s:c>
      <s:c r="K38" s="101"/>
      <s:c r="L38" s="101"/>
      <s:c r="M38" s="101"/>
      <s:c r="N38" s="101"/>
      <s:c r="O38" s="101"/>
      <s:c r="P38" s="101">
        <s:v>41805</s:v>
      </s:c>
      <s:c r="Q38" s="101"/>
      <s:c r="R38" s="101"/>
      <s:c r="S38" s="102">
        <s:f>IF(AND(I38&lt;&gt;"",I38&lt;&gt;0),G38/I38,"")</s:f>
        <s:v>7.4999999999999997E-2</s:v>
      </s:c>
      <s:c r="T38" s="103">
        <s:f>D38/U38</s:f>
        <s:v>1.1033977059089499</s:v>
      </s:c>
      <s:c r="U38" s="104">
        <s:f>$I$8*AA38*AB38/SUMPRODUCT($AB$25:$AB$55,$AA$25:$AA$55)</s:f>
        <s:v>49195.317073170729</s:v>
      </s:c>
      <s:c r="V38" s="105">
        <s:f>$I$9*AA38*AB38/SUMPRODUCT($AB$25:$AB$55,$AA$25:$AA$55)</s:f>
        <s:v>7.1297560975609757</s:v>
      </s:c>
      <s:c r="W38" s="105">
        <s:f>IF($I$12="","",V38/$I$12)</s:f>
        <s:v>4.0975609756097562</s:v>
      </s:c>
      <s:c r="X38" s="104">
        <s:f>IF(AB38&lt;&gt;"",IF(D38&lt;&gt;"",D38,($I$8-SUM($X$25:X37))*AA38*AB38/SUMPRODUCT($AB38:$AB$55,$AA38:$AA$55)),"")</s:f>
        <s:v>54282</s:v>
      </s:c>
      <s:c r="Y38" s="105">
        <s:f>IF(AB38&lt;&gt;"",IF(E38&lt;&gt;"",E38,($I$9-SUM($Y$25:Y37))*AA38*AB38/SUMPRODUCT($AB38:$AB$55,$AA38:$AA$55)),"")</s:f>
        <s:v>6</s:v>
      </s:c>
      <s:c r="Z38" s="105">
        <s:f>IF(AB38&lt;&gt;"",IF(E38&lt;&gt;"",E38,($I$9-SUM($Y$25:Y37))*AA38*AB38/SUMPRODUCT($AB38:$AB$55,$AA38:$AA$55)),"")</s:f>
        <s:v>6</s:v>
      </s:c>
      <s:c r="AA38" s="106">
        <s:v>1</s:v>
      </s:c>
      <s:c r="AB38" s="106">
        <s:v>1</s:v>
      </s:c>
      <s:c r="AC38" s="107"/>
      <s:c r="AD38" s="108"/>
    </s:row>
    <s:row r="39">
      <s:c r="A39" s="96" t="s">
        <s:v>132</s:v>
      </s:c>
      <s:c r="B39" s="97">
        <s:v>46096</s:v>
      </s:c>
      <s:c r="C39" s="98" t="s">
        <s:v>53</s:v>
      </s:c>
      <s:c r="D39" s="99">
        <s:v>19385</s:v>
      </s:c>
      <s:c r="E39" s="101">
        <s:v>2</s:v>
      </s:c>
      <s:c r="F39" s="101">
        <s:f>IF(AND(E39&lt;&gt;"",E39&lt;&gt;0),D39/E39,"")</s:f>
        <s:v>9692.5</s:v>
      </s:c>
      <s:c r="G39" s="101">
        <s:v>1</s:v>
      </s:c>
      <s:c r="H39" s="101">
        <s:f>IF(AND(G39&lt;&gt;"",G39&lt;&gt;0),D39/G39,"")</s:f>
        <s:v>19385</s:v>
      </s:c>
      <s:c r="I39" s="101">
        <s:v>44</s:v>
      </s:c>
      <s:c r="J39" s="99">
        <s:f>IF(AND(G39&lt;&gt;"",G39&lt;&gt;0),E39/G39,"")</s:f>
        <s:v>2</s:v>
      </s:c>
      <s:c r="K39" s="101"/>
      <s:c r="L39" s="101"/>
      <s:c r="M39" s="101"/>
      <s:c r="N39" s="101"/>
      <s:c r="O39" s="101">
        <s:v>15390</s:v>
      </s:c>
      <s:c r="P39" s="101"/>
      <s:c r="Q39" s="101"/>
      <s:c r="R39" s="101"/>
      <s:c r="S39" s="102">
        <s:f>IF(AND(I39&lt;&gt;"",I39&lt;&gt;0),G39/I39,"")</s:f>
        <s:v>2.2727272727272728E-2</s:v>
      </s:c>
      <s:c r="T39" s="103">
        <s:f>D39/U39</s:f>
        <s:v>0.39404157048459898</s:v>
      </s:c>
      <s:c r="U39" s="104">
        <s:f>$I$8*AA39*AB39/SUMPRODUCT($AB$25:$AB$55,$AA$25:$AA$55)</s:f>
        <s:v>49195.317073170729</s:v>
      </s:c>
      <s:c r="V39" s="105">
        <s:f>$I$9*AA39*AB39/SUMPRODUCT($AB$25:$AB$55,$AA$25:$AA$55)</s:f>
        <s:v>7.1297560975609757</s:v>
      </s:c>
      <s:c r="W39" s="105">
        <s:f>IF($I$12="","",V39/$I$12)</s:f>
        <s:v>4.0975609756097562</s:v>
      </s:c>
      <s:c r="X39" s="104">
        <s:f>IF(AB39&lt;&gt;"",IF(D39&lt;&gt;"",D39,($I$8-SUM($X$25:X38))*AA39*AB39/SUMPRODUCT($AB39:$AB$55,$AA39:$AA$55)),"")</s:f>
        <s:v>19385</s:v>
      </s:c>
      <s:c r="Y39" s="105">
        <s:f>IF(AB39&lt;&gt;"",IF(E39&lt;&gt;"",E39,($I$9-SUM($Y$25:Y38))*AA39*AB39/SUMPRODUCT($AB39:$AB$55,$AA39:$AA$55)),"")</s:f>
        <s:v>2</s:v>
      </s:c>
      <s:c r="Z39" s="105">
        <s:f>IF(AB39&lt;&gt;"",IF(E39&lt;&gt;"",E39,($I$9-SUM($Y$25:Y38))*AA39*AB39/SUMPRODUCT($AB39:$AB$55,$AA39:$AA$55)),"")</s:f>
        <s:v>2</s:v>
      </s:c>
      <s:c r="AA39" s="106">
        <s:v>1</s:v>
      </s:c>
      <s:c r="AB39" s="106">
        <s:v>1</s:v>
      </s:c>
      <s:c r="AC39" s="107"/>
      <s:c r="AD39" s="108"/>
    </s:row>
    <s:row r="40">
      <s:c r="A40" s="96" t="s">
        <s:v>130</s:v>
      </s:c>
      <s:c r="B40" s="97">
        <s:v>46097</s:v>
      </s:c>
      <s:c r="C40" s="98" t="s">
        <s:v>55</s:v>
      </s:c>
      <s:c r="D40" s="99">
        <s:v>92945</s:v>
      </s:c>
      <s:c r="E40" s="101">
        <s:v>15</s:v>
      </s:c>
      <s:c r="F40" s="101">
        <s:f>IF(AND(E40&lt;&gt;"",E40&lt;&gt;0),D40/E40,"")</s:f>
        <s:v>6196.3333333333303</s:v>
      </s:c>
      <s:c r="G40" s="101">
        <s:v>8</s:v>
      </s:c>
      <s:c r="H40" s="101">
        <s:f>IF(AND(G40&lt;&gt;"",G40&lt;&gt;0),D40/G40,"")</s:f>
        <s:v>11618.125</s:v>
      </s:c>
      <s:c r="I40" s="101">
        <s:v>50</s:v>
      </s:c>
      <s:c r="J40" s="99">
        <s:f>IF(AND(G40&lt;&gt;"",G40&lt;&gt;0),E40/G40,"")</s:f>
        <s:v>1.875</s:v>
      </s:c>
      <s:c r="K40" s="101">
        <s:v>17593</s:v>
      </s:c>
      <s:c r="L40" s="101"/>
      <s:c r="M40" s="101"/>
      <s:c r="N40" s="101"/>
      <s:c r="O40" s="101"/>
      <s:c r="P40" s="101">
        <s:v>7259</s:v>
      </s:c>
      <s:c r="Q40" s="101">
        <s:v>8240</s:v>
      </s:c>
      <s:c r="R40" s="101"/>
      <s:c r="S40" s="102">
        <s:f>IF(AND(I40&lt;&gt;"",I40&lt;&gt;0),G40/I40,"")</s:f>
        <s:v>0.16</s:v>
      </s:c>
      <s:c r="T40" s="103">
        <s:f>D40/U40</s:f>
        <s:v>1.8893058431101899</s:v>
      </s:c>
      <s:c r="U40" s="104">
        <s:f>$I$8*AA40*AB40/SUMPRODUCT($AB$25:$AB$55,$AA$25:$AA$55)</s:f>
        <s:v>49195.317073170729</s:v>
      </s:c>
      <s:c r="V40" s="105">
        <s:f>$I$9*AA40*AB40/SUMPRODUCT($AB$25:$AB$55,$AA$25:$AA$55)</s:f>
        <s:v>7.1297560975609757</s:v>
      </s:c>
      <s:c r="W40" s="105">
        <s:f>IF($I$12="","",V40/$I$12)</s:f>
        <s:v>4.0975609756097562</s:v>
      </s:c>
      <s:c r="X40" s="104">
        <s:f>IF(AB40&lt;&gt;"",IF(D40&lt;&gt;"",D40,($I$8-SUM($X$25:X39))*AA40*AB40/SUMPRODUCT($AB40:$AB$55,$AA40:$AA$55)),"")</s:f>
        <s:v>92945</s:v>
      </s:c>
      <s:c r="Y40" s="105">
        <s:f>IF(AB40&lt;&gt;"",IF(E40&lt;&gt;"",E40,($I$9-SUM($Y$25:Y39))*AA40*AB40/SUMPRODUCT($AB40:$AB$55,$AA40:$AA$55)),"")</s:f>
        <s:v>15</s:v>
      </s:c>
      <s:c r="Z40" s="105">
        <s:f>IF(AB40&lt;&gt;"",IF(E40&lt;&gt;"",E40,($I$9-SUM($Y$25:Y39))*AA40*AB40/SUMPRODUCT($AB40:$AB$55,$AA40:$AA$55)),"")</s:f>
        <s:v>15</s:v>
      </s:c>
      <s:c r="AA40" s="106">
        <s:v>1</s:v>
      </s:c>
      <s:c r="AB40" s="106">
        <s:v>1</s:v>
      </s:c>
      <s:c r="AC40" s="107"/>
      <s:c r="AD40" s="108"/>
    </s:row>
    <s:row r="41">
      <s:c r="A41" s="96" t="s">
        <s:v>130</s:v>
      </s:c>
      <s:c r="B41" s="97">
        <s:v>46098</s:v>
      </s:c>
      <s:c r="C41" s="98" t="s">
        <s:v>56</s:v>
      </s:c>
      <s:c r="D41" s="99">
        <s:v>11392</s:v>
      </s:c>
      <s:c r="E41" s="101">
        <s:v>3</s:v>
      </s:c>
      <s:c r="F41" s="101">
        <s:f>IF(AND(E41&lt;&gt;"",E41&lt;&gt;0),D41/E41,"")</s:f>
        <s:v>3797.3333333333298</s:v>
      </s:c>
      <s:c r="G41" s="101">
        <s:v>2</s:v>
      </s:c>
      <s:c r="H41" s="101">
        <s:f>IF(AND(G41&lt;&gt;"",G41&lt;&gt;0),D41/G41,"")</s:f>
        <s:v>5696</s:v>
      </s:c>
      <s:c r="I41" s="101">
        <s:v>30</s:v>
      </s:c>
      <s:c r="J41" s="99">
        <s:f>IF(AND(G41&lt;&gt;"",G41&lt;&gt;0),E41/G41,"")</s:f>
        <s:v>1.5</s:v>
      </s:c>
      <s:c r="K41" s="101"/>
      <s:c r="L41" s="101"/>
      <s:c r="M41" s="101"/>
      <s:c r="N41" s="101"/>
      <s:c r="O41" s="101"/>
      <s:c r="P41" s="101"/>
      <s:c r="Q41" s="101"/>
      <s:c r="R41" s="101">
        <s:v>4190</s:v>
      </s:c>
      <s:c r="S41" s="102">
        <s:f>IF(AND(I41&lt;&gt;"",I41&lt;&gt;0),G41/I41,"")</s:f>
        <s:v>6.6666666666666596E-2</s:v>
      </s:c>
      <s:c r="T41" s="103">
        <s:f>D41/U41</s:f>
        <s:v>0.231566756304387</s:v>
      </s:c>
      <s:c r="U41" s="104">
        <s:f>$I$8*AA41*AB41/SUMPRODUCT($AB$25:$AB$55,$AA$25:$AA$55)</s:f>
        <s:v>49195.317073170729</s:v>
      </s:c>
      <s:c r="V41" s="105">
        <s:f>$I$9*AA41*AB41/SUMPRODUCT($AB$25:$AB$55,$AA$25:$AA$55)</s:f>
        <s:v>7.1297560975609757</s:v>
      </s:c>
      <s:c r="W41" s="105">
        <s:f>IF($I$12="","",V41/$I$12)</s:f>
        <s:v>4.0975609756097562</s:v>
      </s:c>
      <s:c r="X41" s="104">
        <s:f>IF(AB41&lt;&gt;"",IF(D41&lt;&gt;"",D41,($I$8-SUM($X$25:X40))*AA41*AB41/SUMPRODUCT($AB41:$AB$55,$AA41:$AA$55)),"")</s:f>
        <s:v>11392</s:v>
      </s:c>
      <s:c r="Y41" s="105">
        <s:f>IF(AB41&lt;&gt;"",IF(E41&lt;&gt;"",E41,($I$9-SUM($Y$25:Y40))*AA41*AB41/SUMPRODUCT($AB41:$AB$55,$AA41:$AA$55)),"")</s:f>
        <s:v>3</s:v>
      </s:c>
      <s:c r="Z41" s="105">
        <s:f>IF(AB41&lt;&gt;"",IF(E41&lt;&gt;"",E41,($I$9-SUM($Y$25:Y40))*AA41*AB41/SUMPRODUCT($AB41:$AB$55,$AA41:$AA$55)),"")</s:f>
        <s:v>3</s:v>
      </s:c>
      <s:c r="AA41" s="106">
        <s:v>1</s:v>
      </s:c>
      <s:c r="AB41" s="106">
        <s:v>1</s:v>
      </s:c>
      <s:c r="AC41" s="107"/>
      <s:c r="AD41" s="108"/>
    </s:row>
    <s:row r="42">
      <s:c r="A42" s="96" t="s">
        <s:v>143</s:v>
      </s:c>
      <s:c r="B42" s="97">
        <s:v>46099</s:v>
      </s:c>
      <s:c r="C42" s="98" t="s">
        <s:v>57</s:v>
      </s:c>
      <s:c r="D42" s="99">
        <s:v>0</s:v>
      </s:c>
      <s:c r="E42" s="101">
        <s:v>0</s:v>
      </s:c>
      <s:c r="F42" s="101">
        <s:v>0</s:v>
      </s:c>
      <s:c r="G42" s="101">
        <s:v>0</s:v>
      </s:c>
      <s:c r="H42" s="101">
        <s:v>0</s:v>
      </s:c>
      <s:c r="I42" s="101">
        <s:v>16</s:v>
      </s:c>
      <s:c r="J42" s="99" t="str">
        <s:f>IF(AND(G42&lt;&gt;"",G42&lt;&gt;0),E42/G42,"")</s:f>
        <s:v/>
      </s:c>
      <s:c r="K42" s="101"/>
      <s:c r="L42" s="101"/>
      <s:c r="M42" s="101"/>
      <s:c r="N42" s="101"/>
      <s:c r="O42" s="101"/>
      <s:c r="P42" s="101"/>
      <s:c r="Q42" s="101"/>
      <s:c r="R42" s="101"/>
      <s:c r="S42" s="102">
        <s:f>IF(AND(I42&lt;&gt;"",I42&lt;&gt;0),G42/I42,"")</s:f>
        <s:v>0</s:v>
      </s:c>
      <s:c r="T42" s="103">
        <s:f>D42/U42</s:f>
        <s:v>0</s:v>
      </s:c>
      <s:c r="U42" s="104">
        <s:f>$I$8*AA42*AB42/SUMPRODUCT($AB$25:$AB$55,$AA$25:$AA$55)</s:f>
        <s:v>49195.317073170729</s:v>
      </s:c>
      <s:c r="V42" s="105">
        <s:f>$I$9*AA42*AB42/SUMPRODUCT($AB$25:$AB$55,$AA$25:$AA$55)</s:f>
        <s:v>7.1297560975609757</s:v>
      </s:c>
      <s:c r="W42" s="105">
        <s:f>IF($I$12="","",V42/$I$12)</s:f>
        <s:v>4.0975609756097562</s:v>
      </s:c>
      <s:c r="X42" s="104">
        <s:f>IF(AB42&lt;&gt;"",IF(D42&lt;&gt;"",D42,($I$8-SUM($X$25:X41))*AA42*AB42/SUMPRODUCT($AB42:$AB$55,$AA42:$AA$55)),"")</s:f>
        <s:v>0</s:v>
      </s:c>
      <s:c r="Y42" s="105">
        <s:f>IF(AB42&lt;&gt;"",IF(E42&lt;&gt;"",E42,($I$9-SUM($Y$25:Y41))*AA42*AB42/SUMPRODUCT($AB42:$AB$55,$AA42:$AA$55)),"")</s:f>
        <s:v>0</s:v>
      </s:c>
      <s:c r="Z42" s="105">
        <s:f>IF(AB42&lt;&gt;"",IF(E42&lt;&gt;"",E42,($I$9-SUM($Y$25:Y41))*AA42*AB42/SUMPRODUCT($AB42:$AB$55,$AA42:$AA$55)),"")</s:f>
        <s:v>0</s:v>
      </s:c>
      <s:c r="AA42" s="106">
        <s:v>1</s:v>
      </s:c>
      <s:c r="AB42" s="106">
        <s:v>1</s:v>
      </s:c>
      <s:c r="AC42" s="107"/>
      <s:c r="AD42" s="108"/>
    </s:row>
    <s:row r="43">
      <s:c r="A43" s="96" t="s">
        <s:v>143</s:v>
      </s:c>
      <s:c r="B43" s="97">
        <s:v>46100</s:v>
      </s:c>
      <s:c r="C43" s="98" t="s">
        <s:v>58</s:v>
      </s:c>
      <s:c r="D43" s="99">
        <s:v>7885</s:v>
      </s:c>
      <s:c r="E43" s="101">
        <s:v>2</s:v>
      </s:c>
      <s:c r="F43" s="101">
        <s:v>3942</s:v>
      </s:c>
      <s:c r="G43" s="101">
        <s:v>2</s:v>
      </s:c>
      <s:c r="H43" s="101">
        <s:f>IF(AND(G43&lt;&gt;"",G43&lt;&gt;0),D43/G43,"")</s:f>
        <s:v>3942.5</s:v>
      </s:c>
      <s:c r="I43" s="101">
        <s:v>51</s:v>
      </s:c>
      <s:c r="J43" s="99">
        <s:f>IF(AND(G43&lt;&gt;"",G43&lt;&gt;0),E43/G43,"")</s:f>
        <s:v>1</s:v>
      </s:c>
      <s:c r="K43" s="101"/>
      <s:c r="L43" s="101"/>
      <s:c r="M43" s="101"/>
      <s:c r="N43" s="101"/>
      <s:c r="O43" s="101"/>
      <s:c r="P43" s="101"/>
      <s:c r="Q43" s="101"/>
      <s:c r="R43" s="101"/>
      <s:c r="S43" s="102">
        <s:f>IF(AND(I43&lt;&gt;"",I43&lt;&gt;0),G43/I43,"")</s:f>
        <s:v>3.9215686274509803E-2</s:v>
      </s:c>
      <s:c r="T43" s="103">
        <s:f>D43/U43</s:f>
        <s:v>1.45708621158396E-2</s:v>
      </s:c>
      <s:c r="U43" s="104">
        <s:f>$I$8*AA43*AB43/SUMPRODUCT($AB$25:$AB$55,$AA$25:$AA$55)</s:f>
        <s:v>541148.48780487804</s:v>
      </s:c>
      <s:c r="V43" s="105">
        <s:f>$I$9*AA43*AB43/SUMPRODUCT($AB$25:$AB$55,$AA$25:$AA$55)</s:f>
        <s:v>78.427317073170727</s:v>
      </s:c>
      <s:c r="W43" s="105">
        <s:f>IF($I$12="","",V43/$I$12)</s:f>
        <s:v>45.073170731707314</s:v>
      </s:c>
      <s:c r="X43" s="104">
        <s:f>IF(AB43&lt;&gt;"",IF(D43&lt;&gt;"",D43,($I$8-SUM($X$25:X42))*AA43*AB43/SUMPRODUCT($AB43:$AB$55,$AA43:$AA$55)),"")</s:f>
        <s:v>7885</s:v>
      </s:c>
      <s:c r="Y43" s="105">
        <s:f>IF(AB43&lt;&gt;"",IF(E43&lt;&gt;"",E43,($I$9-SUM($Y$25:Y42))*AA43*AB43/SUMPRODUCT($AB43:$AB$55,$AA43:$AA$55)),"")</s:f>
        <s:v>2</s:v>
      </s:c>
      <s:c r="Z43" s="105">
        <s:f>IF(AB43&lt;&gt;"",IF(E43&lt;&gt;"",E43,($I$9-SUM($Y$25:Y42))*AA43*AB43/SUMPRODUCT($AB43:$AB$55,$AA43:$AA$55)),"")</s:f>
        <s:v>2</s:v>
      </s:c>
      <s:c r="AA43" s="106">
        <s:v>1</s:v>
      </s:c>
      <s:c r="AB43" s="106">
        <s:v>11</s:v>
      </s:c>
      <s:c r="AC43" s="107"/>
      <s:c r="AD43" s="108"/>
      <s:c r="AE43" s="109"/>
    </s:row>
    <s:row r="44">
      <s:c r="A44" s="96" t="s">
        <s:v>143</s:v>
      </s:c>
      <s:c r="B44" s="97">
        <s:v>46101</s:v>
      </s:c>
      <s:c r="C44" s="98" t="s">
        <s:v>59</s:v>
      </s:c>
      <s:c r="D44" s="99">
        <s:v>0</s:v>
      </s:c>
      <s:c r="E44" s="101">
        <s:v>0</s:v>
      </s:c>
      <s:c r="F44" s="101">
        <s:v>0</s:v>
      </s:c>
      <s:c r="G44" s="101">
        <s:v>0</s:v>
      </s:c>
      <s:c r="H44" s="101">
        <s:v>0</s:v>
      </s:c>
      <s:c r="I44" s="101">
        <s:v>51</s:v>
      </s:c>
      <s:c r="J44" s="99" t="str">
        <s:f>IF(AND(G44&lt;&gt;"",G44&lt;&gt;0),E44/G44,"")</s:f>
        <s:v/>
      </s:c>
      <s:c r="K44" s="101"/>
      <s:c r="L44" s="101"/>
      <s:c r="M44" s="101"/>
      <s:c r="N44" s="101"/>
      <s:c r="O44" s="101"/>
      <s:c r="P44" s="101"/>
      <s:c r="Q44" s="101"/>
      <s:c r="R44" s="101"/>
      <s:c r="S44" s="102">
        <s:f>IF(AND(I44&lt;&gt;"",I44&lt;&gt;0),G44/I44,"")</s:f>
        <s:v>0</s:v>
      </s:c>
      <s:c r="T44" s="103">
        <s:f>D44/U44</s:f>
        <s:v>0</s:v>
      </s:c>
      <s:c r="U44" s="104">
        <s:f>$I$8*AA44*AB44/SUMPRODUCT($AB$25:$AB$55,$AA$25:$AA$55)</s:f>
        <s:v>49195.317073170729</s:v>
      </s:c>
      <s:c r="V44" s="105">
        <s:f>$I$9*AA44*AB44/SUMPRODUCT($AB$25:$AB$55,$AA$25:$AA$55)</s:f>
        <s:v>7.1297560975609757</s:v>
      </s:c>
      <s:c r="W44" s="105">
        <s:f>IF($I$12="","",V44/$I$12)</s:f>
        <s:v>4.0975609756097562</s:v>
      </s:c>
      <s:c r="X44" s="104">
        <s:f>IF(AB44&lt;&gt;"",IF(D44&lt;&gt;"",D44,($I$8-SUM($X$25:X43))*AA44*AB44/SUMPRODUCT($AB44:$AB$55,$AA44:$AA$55)),"")</s:f>
        <s:v>0</s:v>
      </s:c>
      <s:c r="Y44" s="105">
        <s:f>IF(AB44&lt;&gt;"",IF(E44&lt;&gt;"",E44,($I$9-SUM($Y$25:Y43))*AA44*AB44/SUMPRODUCT($AB44:$AB$55,$AA44:$AA$55)),"")</s:f>
        <s:v>0</s:v>
      </s:c>
      <s:c r="Z44" s="105">
        <s:f>IF(AB44&lt;&gt;"",IF(E44&lt;&gt;"",E44,($I$9-SUM($Y$25:Y43))*AA44*AB44/SUMPRODUCT($AB44:$AB$55,$AA44:$AA$55)),"")</s:f>
        <s:v>0</s:v>
      </s:c>
      <s:c r="AA44" s="106">
        <s:v>1</s:v>
      </s:c>
      <s:c r="AB44" s="106">
        <s:v>1</s:v>
      </s:c>
      <s:c r="AC44" s="107"/>
      <s:c r="AD44" s="108"/>
      <s:c r="AE44" s="109"/>
    </s:row>
    <s:row r="45">
      <s:c r="A45" s="96" t="s">
        <s:v>130</s:v>
      </s:c>
      <s:c r="B45" s="97">
        <s:v>46102</s:v>
      </s:c>
      <s:c r="C45" s="98" t="s">
        <s:v>60</s:v>
      </s:c>
      <s:c r="D45" s="99">
        <s:v>37167</s:v>
      </s:c>
      <s:c r="E45" s="101">
        <s:v>8</s:v>
      </s:c>
      <s:c r="F45" s="101">
        <s:f>IF(AND(E45&lt;&gt;"",E45&lt;&gt;0),D45/E45,"")</s:f>
        <s:v>4645.875</s:v>
      </s:c>
      <s:c r="G45" s="101">
        <s:v>6</s:v>
      </s:c>
      <s:c r="H45" s="101">
        <s:f>IF(AND(G45&lt;&gt;"",G45&lt;&gt;0),D45/G45,"")</s:f>
        <s:v>6194.5</s:v>
      </s:c>
      <s:c r="I45" s="101">
        <s:v>42</s:v>
      </s:c>
      <s:c r="J45" s="99">
        <s:f>IF(AND(G45&lt;&gt;"",G45&lt;&gt;0),E45/G45,"")</s:f>
        <s:v>1.3333333333333299</s:v>
      </s:c>
      <s:c r="K45" s="101"/>
      <s:c r="L45" s="101"/>
      <s:c r="M45" s="101"/>
      <s:c r="N45" s="101"/>
      <s:c r="O45" s="101"/>
      <s:c r="P45" s="101"/>
      <s:c r="Q45" s="101"/>
      <s:c r="R45" s="101">
        <s:v>13269</s:v>
      </s:c>
      <s:c r="S45" s="102">
        <s:f>IF(AND(I45&lt;&gt;"",I45&lt;&gt;0),G45/I45,"")</s:f>
        <s:v>0.14285714285714199</s:v>
      </s:c>
      <s:c r="T45" s="103">
        <s:f>D45/U45</s:f>
        <s:v>0.75549873872587503</s:v>
      </s:c>
      <s:c r="U45" s="104">
        <s:f>$I$8*AA45*AB45/SUMPRODUCT($AB$25:$AB$55,$AA$25:$AA$55)</s:f>
        <s:v>49195.317073170729</s:v>
      </s:c>
      <s:c r="V45" s="105">
        <s:f>$I$9*AA45*AB45/SUMPRODUCT($AB$25:$AB$55,$AA$25:$AA$55)</s:f>
        <s:v>7.1297560975609757</s:v>
      </s:c>
      <s:c r="W45" s="105">
        <s:f>IF($I$12="","",V45/$I$12)</s:f>
        <s:v>4.0975609756097562</s:v>
      </s:c>
      <s:c r="X45" s="104">
        <s:f>IF(AB45&lt;&gt;"",IF(D45&lt;&gt;"",D45,($I$8-SUM($X$25:X44))*AA45*AB45/SUMPRODUCT($AB45:$AB$55,$AA45:$AA$55)),"")</s:f>
        <s:v>37167</s:v>
      </s:c>
      <s:c r="Y45" s="105">
        <s:f>IF(AB45&lt;&gt;"",IF(E45&lt;&gt;"",E45,($I$9-SUM($Y$25:Y44))*AA45*AB45/SUMPRODUCT($AB45:$AB$55,$AA45:$AA$55)),"")</s:f>
        <s:v>8</s:v>
      </s:c>
      <s:c r="Z45" s="105">
        <s:f>IF(AB45&lt;&gt;"",IF(E45&lt;&gt;"",E45,($I$9-SUM($Y$25:Y44))*AA45*AB45/SUMPRODUCT($AB45:$AB$55,$AA45:$AA$55)),"")</s:f>
        <s:v>8</s:v>
      </s:c>
      <s:c r="AA45" s="106">
        <s:v>1</s:v>
      </s:c>
      <s:c r="AB45" s="106">
        <s:v>1</s:v>
      </s:c>
      <s:c r="AC45" s="107"/>
      <s:c r="AD45" s="108"/>
      <s:c r="AE45" s="109"/>
    </s:row>
    <s:row r="46">
      <s:c r="A46" s="96" t="s">
        <s:v>144</s:v>
      </s:c>
      <s:c r="B46" s="97">
        <s:v>46103</s:v>
      </s:c>
      <s:c r="C46" s="98" t="s">
        <s:v>53</s:v>
      </s:c>
      <s:c r="D46" s="99">
        <s:v>4693</s:v>
      </s:c>
      <s:c r="E46" s="101">
        <s:v>1</s:v>
      </s:c>
      <s:c r="F46" s="101">
        <s:f>IF(AND(E46&lt;&gt;"",E46&lt;&gt;0),D46/E46,"")</s:f>
        <s:v>4693</s:v>
      </s:c>
      <s:c r="G46" s="101">
        <s:v>1</s:v>
      </s:c>
      <s:c r="H46" s="101">
        <s:f>IF(AND(G46&lt;&gt;"",G46&lt;&gt;0),D46/G46,"")</s:f>
        <s:v>4693</s:v>
      </s:c>
      <s:c r="I46" s="101">
        <s:v>54</s:v>
      </s:c>
      <s:c r="J46" s="99">
        <s:f>IF(AND(G46&lt;&gt;"",G46&lt;&gt;0),E46/G46,"")</s:f>
        <s:v>1</s:v>
      </s:c>
      <s:c r="K46" s="101"/>
      <s:c r="L46" s="101"/>
      <s:c r="M46" s="101"/>
      <s:c r="N46" s="101"/>
      <s:c r="O46" s="101"/>
      <s:c r="P46" s="101"/>
      <s:c r="Q46" s="101"/>
      <s:c r="R46" s="101"/>
      <s:c r="S46" s="102">
        <s:f>IF(AND(I46&lt;&gt;"",I46&lt;&gt;0),G46/I46,"")</s:f>
        <s:v>1.85185185185185E-2</s:v>
      </s:c>
      <s:c r="T46" s="103">
        <s:f>D46/U46</s:f>
        <s:v>9.5395258719846401E-2</s:v>
      </s:c>
      <s:c r="U46" s="104">
        <s:f>$I$8*AA46*AB46/SUMPRODUCT($AB$25:$AB$55,$AA$25:$AA$55)</s:f>
        <s:v>49195.317073170729</s:v>
      </s:c>
      <s:c r="V46" s="105">
        <s:f>$I$9*AA46*AB46/SUMPRODUCT($AB$25:$AB$55,$AA$25:$AA$55)</s:f>
        <s:v>7.1297560975609757</s:v>
      </s:c>
      <s:c r="W46" s="105">
        <s:f>IF($I$12="","",V46/$I$12)</s:f>
        <s:v>4.0975609756097562</s:v>
      </s:c>
      <s:c r="X46" s="104">
        <s:f>IF(AB46&lt;&gt;"",IF(D46&lt;&gt;"",D46,($I$8-SUM($X$25:X45))*AA46*AB46/SUMPRODUCT($AB46:$AB$55,$AA46:$AA$55)),"")</s:f>
        <s:v>4693</s:v>
      </s:c>
      <s:c r="Y46" s="105">
        <s:f>IF(AB46&lt;&gt;"",IF(E46&lt;&gt;"",E46,($I$9-SUM($Y$25:Y45))*AA46*AB46/SUMPRODUCT($AB46:$AB$55,$AA46:$AA$55)),"")</s:f>
        <s:v>1</s:v>
      </s:c>
      <s:c r="Z46" s="105">
        <s:f>IF(AB46&lt;&gt;"",IF(E46&lt;&gt;"",E46,($I$9-SUM($Y$25:Y45))*AA46*AB46/SUMPRODUCT($AB46:$AB$55,$AA46:$AA$55)),"")</s:f>
        <s:v>1</s:v>
      </s:c>
      <s:c r="AA46" s="106">
        <s:v>1</s:v>
      </s:c>
      <s:c r="AB46" s="106">
        <s:v>1</s:v>
      </s:c>
      <s:c r="AC46" s="107"/>
      <s:c r="AD46" s="108"/>
      <s:c r="AE46" s="109"/>
    </s:row>
    <s:row r="47">
      <s:c r="A47" s="96" t="s">
        <s:v>130</s:v>
      </s:c>
      <s:c r="B47" s="97">
        <s:v>46104</s:v>
      </s:c>
      <s:c r="C47" s="98" t="s">
        <s:v>55</s:v>
      </s:c>
      <s:c r="D47" s="99">
        <s:v>83292</s:v>
      </s:c>
      <s:c r="E47" s="101">
        <s:v>13</s:v>
      </s:c>
      <s:c r="F47" s="101">
        <s:f>IF(AND(E47&lt;&gt;"",E47&lt;&gt;0),D47/E47,"")</s:f>
        <s:v>6407.0769230769201</s:v>
      </s:c>
      <s:c r="G47" s="101">
        <s:v>5</s:v>
      </s:c>
      <s:c r="H47" s="101">
        <s:f>IF(AND(G47&lt;&gt;"",G47&lt;&gt;0),D47/G47,"")</s:f>
        <s:v>16658.400000000001</s:v>
      </s:c>
      <s:c r="I47" s="101">
        <s:v>49</s:v>
      </s:c>
      <s:c r="J47" s="99">
        <s:f>IF(AND(G47&lt;&gt;"",G47&lt;&gt;0),E47/G47,"")</s:f>
        <s:v>2.6</s:v>
      </s:c>
      <s:c r="K47" s="101"/>
      <s:c r="L47" s="101"/>
      <s:c r="M47" s="101"/>
      <s:c r="N47" s="101"/>
      <s:c r="O47" s="101"/>
      <s:c r="P47" s="101"/>
      <s:c r="Q47" s="101">
        <s:v>17583</s:v>
      </s:c>
      <s:c r="R47" s="101"/>
      <s:c r="S47" s="102">
        <s:f>IF(AND(I47&lt;&gt;"",I47&lt;&gt;0),G47/I47,"")</s:f>
        <s:v>0.10204081632653061</s:v>
      </s:c>
      <s:c r="T47" s="103">
        <s:f>D47/U47</s:f>
        <s:v>1.6930879798196099</s:v>
      </s:c>
      <s:c r="U47" s="104">
        <s:f>$I$8*AA47*AB47/SUMPRODUCT($AB$25:$AB$55,$AA$25:$AA$55)</s:f>
        <s:v>49195.317073170729</s:v>
      </s:c>
      <s:c r="V47" s="105">
        <s:f>$I$9*AA47*AB47/SUMPRODUCT($AB$25:$AB$55,$AA$25:$AA$55)</s:f>
        <s:v>7.1297560975609757</s:v>
      </s:c>
      <s:c r="W47" s="105">
        <s:f>IF($I$12="","",V47/$I$12)</s:f>
        <s:v>4.0975609756097562</s:v>
      </s:c>
      <s:c r="X47" s="104">
        <s:f>IF(AB47&lt;&gt;"",IF(D47&lt;&gt;"",D47,($I$8-SUM($X$25:X46))*AA47*AB47/SUMPRODUCT($AB47:$AB$55,$AA47:$AA$55)),"")</s:f>
        <s:v>83292</s:v>
      </s:c>
      <s:c r="Y47" s="105">
        <s:f>IF(AB47&lt;&gt;"",IF(E47&lt;&gt;"",E47,($I$9-SUM($Y$25:Y46))*AA47*AB47/SUMPRODUCT($AB47:$AB$55,$AA47:$AA$55)),"")</s:f>
        <s:v>13</s:v>
      </s:c>
      <s:c r="Z47" s="105">
        <s:f>IF(AB47&lt;&gt;"",IF(E47&lt;&gt;"",E47,($I$9-SUM($Y$25:Y46))*AA47*AB47/SUMPRODUCT($AB47:$AB$55,$AA47:$AA$55)),"")</s:f>
        <s:v>13</s:v>
      </s:c>
      <s:c r="AA47" s="106">
        <s:v>1</s:v>
      </s:c>
      <s:c r="AB47" s="106">
        <s:v>1</s:v>
      </s:c>
      <s:c r="AC47" s="107"/>
      <s:c r="AD47" s="108"/>
      <s:c r="AE47" s="109"/>
    </s:row>
    <s:row r="48">
      <s:c r="A48" s="96" t="s">
        <s:v>130</s:v>
      </s:c>
      <s:c r="B48" s="97">
        <s:v>46105</s:v>
      </s:c>
      <s:c r="C48" s="98" t="s">
        <s:v>56</s:v>
      </s:c>
      <s:c r="D48" s="99">
        <s:v>24862</s:v>
      </s:c>
      <s:c r="E48" s="101">
        <s:v>5</s:v>
      </s:c>
      <s:c r="F48" s="101">
        <s:f>IF(AND(E48&lt;&gt;"",E48&lt;&gt;0),D48/E48,"")</s:f>
        <s:v>4972.3999999999996</s:v>
      </s:c>
      <s:c r="G48" s="101">
        <s:v>3</s:v>
      </s:c>
      <s:c r="H48" s="101">
        <s:f>IF(AND(G48&lt;&gt;"",G48&lt;&gt;0),D48/G48,"")</s:f>
        <s:v>8287.3333333333303</s:v>
      </s:c>
      <s:c r="I48" s="101">
        <s:v>47</s:v>
      </s:c>
      <s:c r="J48" s="99">
        <s:f>IF(AND(G48&lt;&gt;"",G48&lt;&gt;0),E48/G48,"")</s:f>
        <s:v>1.6666666666666601</s:v>
      </s:c>
      <s:c r="K48" s="101"/>
      <s:c r="L48" s="101"/>
      <s:c r="M48" s="101"/>
      <s:c r="N48" s="101"/>
      <s:c r="O48" s="101"/>
      <s:c r="P48" s="101"/>
      <s:c r="Q48" s="101"/>
      <s:c r="R48" s="101">
        <s:v>2790</s:v>
      </s:c>
      <s:c r="S48" s="102">
        <s:f>IF(AND(I48&lt;&gt;"",I48&lt;&gt;0),G48/I48,"")</s:f>
        <s:v>6.3829787234042548E-2</s:v>
      </s:c>
      <s:c r="T48" s="103">
        <s:f>D48/U48</s:f>
        <s:v>0.50537330541078596</s:v>
      </s:c>
      <s:c r="U48" s="104">
        <s:f>$I$8*AA48*AB48/SUMPRODUCT($AB$25:$AB$55,$AA$25:$AA$55)</s:f>
        <s:v>49195.317073170729</s:v>
      </s:c>
      <s:c r="V48" s="105">
        <s:f>$I$9*AA48*AB48/SUMPRODUCT($AB$25:$AB$55,$AA$25:$AA$55)</s:f>
        <s:v>7.1297560975609757</s:v>
      </s:c>
      <s:c r="W48" s="105">
        <s:f>IF($I$12="","",V48/$I$12)</s:f>
        <s:v>4.0975609756097562</s:v>
      </s:c>
      <s:c r="X48" s="104">
        <s:f>IF(AB48&lt;&gt;"",IF(D48&lt;&gt;"",D48,($I$8-SUM($X$25:X47))*AA48*AB48/SUMPRODUCT($AB48:$AB$55,$AA48:$AA$55)),"")</s:f>
        <s:v>24862</s:v>
      </s:c>
      <s:c r="Y48" s="105">
        <s:f>IF(AB48&lt;&gt;"",IF(E48&lt;&gt;"",E48,($I$9-SUM($Y$25:Y47))*AA48*AB48/SUMPRODUCT($AB48:$AB$55,$AA48:$AA$55)),"")</s:f>
        <s:v>5</s:v>
      </s:c>
      <s:c r="Z48" s="105">
        <s:f>IF(AB48&lt;&gt;"",IF(E48&lt;&gt;"",E48,($I$9-SUM($Y$25:Y47))*AA48*AB48/SUMPRODUCT($AB48:$AB$55,$AA48:$AA$55)),"")</s:f>
        <s:v>5</s:v>
      </s:c>
      <s:c r="AA48" s="106">
        <s:v>1</s:v>
      </s:c>
      <s:c r="AB48" s="106">
        <s:v>1</s:v>
      </s:c>
      <s:c r="AC48" s="107"/>
      <s:c r="AD48" s="108"/>
      <s:c r="AE48" s="109"/>
    </s:row>
    <s:row r="49">
      <s:c r="A49" s="96" t="s">
        <s:v>143</s:v>
      </s:c>
      <s:c r="B49" s="97">
        <s:v>46106</s:v>
      </s:c>
      <s:c r="C49" s="98" t="s">
        <s:v>57</s:v>
      </s:c>
      <s:c r="D49" s="99">
        <s:v>17183</s:v>
      </s:c>
      <s:c r="E49" s="101">
        <s:v>2</s:v>
      </s:c>
      <s:c r="F49" s="101">
        <s:v>8592</s:v>
      </s:c>
      <s:c r="G49" s="101">
        <s:v>1</s:v>
      </s:c>
      <s:c r="H49" s="101">
        <s:f>IF(AND(G49&lt;&gt;"",G49&lt;&gt;0),D49/G49,"")</s:f>
        <s:v>17183</s:v>
      </s:c>
      <s:c r="I49" s="101">
        <s:v>66</s:v>
      </s:c>
      <s:c r="J49" s="99">
        <s:f>IF(AND(G49&lt;&gt;"",G49&lt;&gt;0),E49/G49,"")</s:f>
        <s:v>2</s:v>
      </s:c>
      <s:c r="K49" s="101"/>
      <s:c r="L49" s="101"/>
      <s:c r="M49" s="101"/>
      <s:c r="N49" s="101"/>
      <s:c r="O49" s="101"/>
      <s:c r="P49" s="101"/>
      <s:c r="Q49" s="101"/>
      <s:c r="R49" s="101"/>
      <s:c r="S49" s="102">
        <s:f>IF(AND(I49&lt;&gt;"",I49&lt;&gt;0),G49/I49,"")</s:f>
        <s:v>1.5151515151515152E-2</s:v>
      </s:c>
      <s:c r="T49" s="103">
        <s:f>D49/U49</s:f>
        <s:v>0.34928121256831901</s:v>
      </s:c>
      <s:c r="U49" s="104">
        <s:f>$I$8*AA49*AB49/SUMPRODUCT($AB$25:$AB$55,$AA$25:$AA$55)</s:f>
        <s:v>49195.317073170729</s:v>
      </s:c>
      <s:c r="V49" s="105">
        <s:f>$I$9*AA49*AB49/SUMPRODUCT($AB$25:$AB$55,$AA$25:$AA$55)</s:f>
        <s:v>7.1297560975609757</s:v>
      </s:c>
      <s:c r="W49" s="105">
        <s:f>IF($I$12="","",V49/$I$12)</s:f>
        <s:v>4.0975609756097562</s:v>
      </s:c>
      <s:c r="X49" s="104">
        <s:f>IF(AB49&lt;&gt;"",IF(D49&lt;&gt;"",D49,($I$8-SUM($X$25:X48))*AA49*AB49/SUMPRODUCT($AB49:$AB$55,$AA49:$AA$55)),"")</s:f>
        <s:v>17183</s:v>
      </s:c>
      <s:c r="Y49" s="105">
        <s:f>IF(AB49&lt;&gt;"",IF(E49&lt;&gt;"",E49,($I$9-SUM($Y$25:Y48))*AA49*AB49/SUMPRODUCT($AB49:$AB$55,$AA49:$AA$55)),"")</s:f>
        <s:v>2</s:v>
      </s:c>
      <s:c r="Z49" s="105">
        <s:f>IF(AB49&lt;&gt;"",IF(E49&lt;&gt;"",E49,($I$9-SUM($Y$25:Y48))*AA49*AB49/SUMPRODUCT($AB49:$AB$55,$AA49:$AA$55)),"")</s:f>
        <s:v>2</s:v>
      </s:c>
      <s:c r="AA49" s="106">
        <s:v>1</s:v>
      </s:c>
      <s:c r="AB49" s="106">
        <s:v>1</s:v>
      </s:c>
      <s:c r="AC49" s="107"/>
      <s:c r="AD49" s="108"/>
      <s:c r="AE49" s="109"/>
    </s:row>
    <s:row r="50">
      <s:c r="A50" s="96" t="s">
        <s:v>143</s:v>
      </s:c>
      <s:c r="B50" s="97">
        <s:v>46107</s:v>
      </s:c>
      <s:c r="C50" s="98" t="s">
        <s:v>58</s:v>
      </s:c>
      <s:c r="D50" s="99">
        <s:v>67031</s:v>
      </s:c>
      <s:c r="E50" s="101">
        <s:v>7</s:v>
      </s:c>
      <s:c r="F50" s="101">
        <s:f>IF(AND(E50&lt;&gt;"",E50&lt;&gt;0),D50/E50,"")</s:f>
        <s:v>9575.8571428571395</s:v>
      </s:c>
      <s:c r="G50" s="101">
        <s:v>4</s:v>
      </s:c>
      <s:c r="H50" s="101">
        <s:f>IF(AND(G50&lt;&gt;"",G50&lt;&gt;0),D50/G50,"")</s:f>
        <s:v>16757.75</s:v>
      </s:c>
      <s:c r="I50" s="101">
        <s:v>68</s:v>
      </s:c>
      <s:c r="J50" s="99">
        <s:f>IF(AND(G50&lt;&gt;"",G50&lt;&gt;0),E50/G50,"")</s:f>
        <s:v>1.75</s:v>
      </s:c>
      <s:c r="K50" s="101">
        <s:v>10990</s:v>
      </s:c>
      <s:c r="L50" s="101"/>
      <s:c r="M50" s="101"/>
      <s:c r="N50" s="101"/>
      <s:c r="O50" s="101"/>
      <s:c r="P50" s="101">
        <s:v>12290</s:v>
      </s:c>
      <s:c r="Q50" s="101"/>
      <s:c r="R50" s="101"/>
      <s:c r="S50" s="102">
        <s:f>IF(AND(I50&lt;&gt;"",I50&lt;&gt;0),G50/I50,"")</s:f>
        <s:v>5.8823529411764705E-2</s:v>
      </s:c>
      <s:c r="T50" s="103">
        <s:f>D50/U50</s:f>
        <s:v>1.36254838850416</s:v>
      </s:c>
      <s:c r="U50" s="104">
        <s:f>$I$8*AA50*AB50/SUMPRODUCT($AB$25:$AB$55,$AA$25:$AA$55)</s:f>
        <s:v>49195.317073170729</s:v>
      </s:c>
      <s:c r="V50" s="105">
        <s:f>$I$9*AA50*AB50/SUMPRODUCT($AB$25:$AB$55,$AA$25:$AA$55)</s:f>
        <s:v>7.1297560975609757</s:v>
      </s:c>
      <s:c r="W50" s="105">
        <s:f>IF($I$12="","",V50/$I$12)</s:f>
        <s:v>4.0975609756097562</s:v>
      </s:c>
      <s:c r="X50" s="104">
        <s:f>IF(AB50&lt;&gt;"",IF(D50&lt;&gt;"",D50,($I$8-SUM($X$25:X49))*AA50*AB50/SUMPRODUCT($AB50:$AB$55,$AA50:$AA$55)),"")</s:f>
        <s:v>67031</s:v>
      </s:c>
      <s:c r="Y50" s="105">
        <s:f>IF(AB50&lt;&gt;"",IF(E50&lt;&gt;"",E50,($I$9-SUM($Y$25:Y49))*AA50*AB50/SUMPRODUCT($AB50:$AB$55,$AA50:$AA$55)),"")</s:f>
        <s:v>7</s:v>
      </s:c>
      <s:c r="Z50" s="105">
        <s:f>IF(AB50&lt;&gt;"",IF(E50&lt;&gt;"",E50,($I$9-SUM($Y$25:Y49))*AA50*AB50/SUMPRODUCT($AB50:$AB$55,$AA50:$AA$55)),"")</s:f>
        <s:v>7</s:v>
      </s:c>
      <s:c r="AA50" s="106">
        <s:v>1</s:v>
      </s:c>
      <s:c r="AB50" s="106">
        <s:v>1</s:v>
      </s:c>
      <s:c r="AC50" s="107"/>
      <s:c r="AD50" s="108"/>
      <s:c r="AE50" s="109"/>
    </s:row>
    <s:row r="51">
      <s:c r="A51" s="96" t="s">
        <s:v>130</s:v>
      </s:c>
      <s:c r="B51" s="97">
        <s:v>46108</s:v>
      </s:c>
      <s:c r="C51" s="98" t="s">
        <s:v>59</s:v>
      </s:c>
      <s:c r="D51" s="99">
        <s:v>39568</s:v>
      </s:c>
      <s:c r="E51" s="101">
        <s:v>4</s:v>
      </s:c>
      <s:c r="F51" s="101">
        <s:f>IF(AND(E51&lt;&gt;"",E51&lt;&gt;0),D51/E51,"")</s:f>
        <s:v>9892</s:v>
      </s:c>
      <s:c r="G51" s="101">
        <s:v>2</s:v>
      </s:c>
      <s:c r="H51" s="101">
        <s:f>IF(AND(G51&lt;&gt;"",G51&lt;&gt;0),D51/G51,"")</s:f>
        <s:v>19784</s:v>
      </s:c>
      <s:c r="I51" s="101">
        <s:v>52</s:v>
      </s:c>
      <s:c r="J51" s="99">
        <s:f>IF(AND(G51&lt;&gt;"",G51&lt;&gt;0),E51/G51,"")</s:f>
        <s:v>2</s:v>
      </s:c>
      <s:c r="K51" s="101"/>
      <s:c r="L51" s="101"/>
      <s:c r="M51" s="101"/>
      <s:c r="N51" s="101"/>
      <s:c r="O51" s="101">
        <s:v>21180</s:v>
      </s:c>
      <s:c r="P51" s="101">
        <s:v>13792</s:v>
      </s:c>
      <s:c r="Q51" s="101"/>
      <s:c r="R51" s="101"/>
      <s:c r="S51" s="102">
        <s:f>IF(AND(I51&lt;&gt;"",I51&lt;&gt;0),G51/I51,"")</s:f>
        <s:v>3.8461538461538464E-2</s:v>
      </s:c>
      <s:c r="T51" s="103">
        <s:f>D51/U51</s:f>
        <s:v>0.80430419710779499</s:v>
      </s:c>
      <s:c r="U51" s="104">
        <s:f>$I$8*AA51*AB51/SUMPRODUCT($AB$25:$AB$55,$AA$25:$AA$55)</s:f>
        <s:v>49195.317073170729</s:v>
      </s:c>
      <s:c r="V51" s="105">
        <s:f>$I$9*AA51*AB51/SUMPRODUCT($AB$25:$AB$55,$AA$25:$AA$55)</s:f>
        <s:v>7.1297560975609757</s:v>
      </s:c>
      <s:c r="W51" s="105">
        <s:f>IF($I$12="","",V51/$I$12)</s:f>
        <s:v>4.0975609756097562</s:v>
      </s:c>
      <s:c r="X51" s="104">
        <s:f>IF(AB51&lt;&gt;"",IF(D51&lt;&gt;"",D51,($I$8-SUM($X$25:X50))*AA51*AB51/SUMPRODUCT($AB51:$AB$55,$AA51:$AA$55)),"")</s:f>
        <s:v>39568</s:v>
      </s:c>
      <s:c r="Y51" s="105">
        <s:f>IF(AB51&lt;&gt;"",IF(E51&lt;&gt;"",E51,($I$9-SUM($Y$25:Y50))*AA51*AB51/SUMPRODUCT($AB51:$AB$55,$AA51:$AA$55)),"")</s:f>
        <s:v>4</s:v>
      </s:c>
      <s:c r="Z51" s="105">
        <s:f>IF(AB51&lt;&gt;"",IF(E51&lt;&gt;"",E51,($I$9-SUM($Y$25:Y50))*AA51*AB51/SUMPRODUCT($AB51:$AB$55,$AA51:$AA$55)),"")</s:f>
        <s:v>4</s:v>
      </s:c>
      <s:c r="AA51" s="106">
        <s:v>1</s:v>
      </s:c>
      <s:c r="AB51" s="106">
        <s:v>1</s:v>
      </s:c>
      <s:c r="AC51" s="107"/>
      <s:c r="AD51" s="108"/>
      <s:c r="AE51" s="109"/>
    </s:row>
    <s:row r="52">
      <s:c r="A52" s="96" t="s">
        <s:v>130</s:v>
      </s:c>
      <s:c r="B52" s="97">
        <s:v>46109</s:v>
      </s:c>
      <s:c r="C52" s="98" t="s">
        <s:v>60</s:v>
      </s:c>
      <s:c r="D52" s="99">
        <s:v>60520</s:v>
      </s:c>
      <s:c r="E52" s="101">
        <s:v>10</s:v>
      </s:c>
      <s:c r="F52" s="101">
        <s:f>IF(AND(E52&lt;&gt;"",E52&lt;&gt;0),D52/E52,"")</s:f>
        <s:v>6052</s:v>
      </s:c>
      <s:c r="G52" s="101">
        <s:v>5</s:v>
      </s:c>
      <s:c r="H52" s="101">
        <s:f>IF(AND(G52&lt;&gt;"",G52&lt;&gt;0),D52/G52,"")</s:f>
        <s:v>12104</s:v>
      </s:c>
      <s:c r="I52" s="101">
        <s:v>43</s:v>
      </s:c>
      <s:c r="J52" s="99">
        <s:f>IF(AND(G52&lt;&gt;"",G52&lt;&gt;0),E52/G52,"")</s:f>
        <s:v>2</s:v>
      </s:c>
      <s:c r="K52" s="101"/>
      <s:c r="L52" s="101"/>
      <s:c r="M52" s="101"/>
      <s:c r="N52" s="101"/>
      <s:c r="O52" s="101"/>
      <s:c r="P52" s="101"/>
      <s:c r="Q52" s="101"/>
      <s:c r="R52" s="101"/>
      <s:c r="S52" s="102">
        <s:f>IF(AND(I52&lt;&gt;"",I52&lt;&gt;0),G52/I52,"")</s:f>
        <s:v>0.11627906976744186</s:v>
      </s:c>
      <s:c r="T52" s="103">
        <s:f>D52/U52</s:f>
        <s:v>1.2301983928670499</s:v>
      </s:c>
      <s:c r="U52" s="104">
        <s:f>$I$8*AA52*AB52/SUMPRODUCT($AB$25:$AB$55,$AA$25:$AA$55)</s:f>
        <s:v>49195.317073170729</s:v>
      </s:c>
      <s:c r="V52" s="105">
        <s:f>$I$9*AA52*AB52/SUMPRODUCT($AB$25:$AB$55,$AA$25:$AA$55)</s:f>
        <s:v>7.1297560975609757</s:v>
      </s:c>
      <s:c r="W52" s="105">
        <s:f>IF($I$12="","",V52/$I$12)</s:f>
        <s:v>4.0975609756097562</s:v>
      </s:c>
      <s:c r="X52" s="104">
        <s:f>IF(AB52&lt;&gt;"",IF(D52&lt;&gt;"",D52,($I$8-SUM($X$25:X51))*AA52*AB52/SUMPRODUCT($AB52:$AB$55,$AA52:$AA$55)),"")</s:f>
        <s:v>60520</s:v>
      </s:c>
      <s:c r="Y52" s="105">
        <s:f>IF(AB52&lt;&gt;"",IF(E52&lt;&gt;"",E52,($I$9-SUM($Y$25:Y51))*AA52*AB52/SUMPRODUCT($AB52:$AB$55,$AA52:$AA$55)),"")</s:f>
        <s:v>10</s:v>
      </s:c>
      <s:c r="Z52" s="105">
        <s:f>IF(AB52&lt;&gt;"",IF(E52&lt;&gt;"",E52,($I$9-SUM($Y$25:Y51))*AA52*AB52/SUMPRODUCT($AB52:$AB$55,$AA52:$AA$55)),"")</s:f>
        <s:v>10</s:v>
      </s:c>
      <s:c r="AA52" s="106">
        <s:v>1</s:v>
      </s:c>
      <s:c r="AB52" s="106">
        <s:v>1</s:v>
      </s:c>
      <s:c r="AC52" s="107"/>
      <s:c r="AD52" s="108"/>
      <s:c r="AE52" s="109"/>
    </s:row>
    <s:row r="53">
      <s:c r="A53" s="96" t="s">
        <s:v>130</s:v>
      </s:c>
      <s:c r="B53" s="97">
        <s:v>46110</s:v>
      </s:c>
      <s:c r="C53" s="98" t="s">
        <s:v>53</s:v>
      </s:c>
      <s:c r="D53" s="99">
        <s:v>48038</s:v>
      </s:c>
      <s:c r="E53" s="101">
        <s:v>8</s:v>
      </s:c>
      <s:c r="F53" s="101">
        <s:f>IF(AND(E53&lt;&gt;"",E53&lt;&gt;0),D53/E53,"")</s:f>
        <s:v>6004.75</s:v>
      </s:c>
      <s:c r="G53" s="101">
        <s:v>4</s:v>
      </s:c>
      <s:c r="H53" s="101">
        <s:f>IF(AND(G53&lt;&gt;"",G53&lt;&gt;0),D53/G53,"")</s:f>
        <s:v>12009.5</s:v>
      </s:c>
      <s:c r="I53" s="101">
        <s:v>75</s:v>
      </s:c>
      <s:c r="J53" s="99">
        <s:f>IF(AND(G53&lt;&gt;"",G53&lt;&gt;0),E53/G53,"")</s:f>
        <s:v>2</s:v>
      </s:c>
      <s:c r="K53" s="101"/>
      <s:c r="L53" s="101"/>
      <s:c r="M53" s="101"/>
      <s:c r="N53" s="101"/>
      <s:c r="O53" s="101"/>
      <s:c r="P53" s="101"/>
      <s:c r="Q53" s="101"/>
      <s:c r="R53" s="101">
        <s:v>3192</s:v>
      </s:c>
      <s:c r="S53" s="102">
        <s:f>IF(AND(I53&lt;&gt;"",I53&lt;&gt;0),G53/I53,"")</s:f>
        <s:v>5.3333333333333302E-2</s:v>
      </s:c>
      <s:c r="T53" s="103">
        <s:f>D53/U53</s:f>
        <s:v>0.976475056122732</s:v>
      </s:c>
      <s:c r="U53" s="104">
        <s:f>$I$8*AA53*AB53/SUMPRODUCT($AB$25:$AB$55,$AA$25:$AA$55)</s:f>
        <s:v>49195.317073170729</s:v>
      </s:c>
      <s:c r="V53" s="105">
        <s:f>$I$9*AA53*AB53/SUMPRODUCT($AB$25:$AB$55,$AA$25:$AA$55)</s:f>
        <s:v>7.1297560975609757</s:v>
      </s:c>
      <s:c r="W53" s="105">
        <s:f>IF($I$12="","",V53/$I$12)</s:f>
        <s:v>4.0975609756097562</s:v>
      </s:c>
      <s:c r="X53" s="104">
        <s:f>IF(AB53&lt;&gt;"",IF(D53&lt;&gt;"",D53,($I$8-SUM($X$25:X52))*AA53*AB53/SUMPRODUCT($AB53:$AB$55,$AA53:$AA$55)),"")</s:f>
        <s:v>48038</s:v>
      </s:c>
      <s:c r="Y53" s="105">
        <s:f>IF(AB53&lt;&gt;"",IF(E53&lt;&gt;"",E53,($I$9-SUM($Y$25:Y52))*AA53*AB53/SUMPRODUCT($AB53:$AB$55,$AA53:$AA$55)),"")</s:f>
        <s:v>8</s:v>
      </s:c>
      <s:c r="Z53" s="105">
        <s:f>IF(AB53&lt;&gt;"",IF(E53&lt;&gt;"",E53,($I$9-SUM($Y$25:Y52))*AA53*AB53/SUMPRODUCT($AB53:$AB$55,$AA53:$AA$55)),"")</s:f>
        <s:v>8</s:v>
      </s:c>
      <s:c r="AA53" s="106">
        <s:v>1</s:v>
      </s:c>
      <s:c r="AB53" s="106">
        <s:v>1</s:v>
      </s:c>
      <s:c r="AC53" s="107"/>
      <s:c r="AD53" s="108"/>
      <s:c r="AE53" s="109"/>
    </s:row>
    <s:row r="54" spans="1:31" ht="15" customHeight="1">
      <s:c r="A54" s="96" t="s">
        <s:v>143</s:v>
      </s:c>
      <s:c r="B54" s="97">
        <s:v>46111</s:v>
      </s:c>
      <s:c r="C54" s="98" t="s">
        <s:v>55</s:v>
      </s:c>
      <s:c r="D54" s="99">
        <s:v>13977</s:v>
      </s:c>
      <s:c r="E54" s="101">
        <s:v>3</s:v>
      </s:c>
      <s:c r="F54" s="101">
        <s:f>IF(AND(E54&lt;&gt;"",E54&lt;&gt;0),D54/E54,"")</s:f>
        <s:v>4659</s:v>
      </s:c>
      <s:c r="G54" s="101">
        <s:v>2</s:v>
      </s:c>
      <s:c r="H54" s="101">
        <s:f>IF(AND(G54&lt;&gt;"",G54&lt;&gt;0),D54/G54,"")</s:f>
        <s:v>6988.5</s:v>
      </s:c>
      <s:c r="I54" s="101">
        <s:v>33</s:v>
      </s:c>
      <s:c r="J54" s="99">
        <s:f>IF(AND(G54&lt;&gt;"",G54&lt;&gt;0),E54/G54,"")</s:f>
        <s:v>1.5</s:v>
      </s:c>
      <s:c r="K54" s="101"/>
      <s:c r="L54" s="101"/>
      <s:c r="M54" s="101"/>
      <s:c r="N54" s="101"/>
      <s:c r="O54" s="101"/>
      <s:c r="P54" s="101"/>
      <s:c r="Q54" s="101"/>
      <s:c r="R54" s="101"/>
      <s:c r="S54" s="102">
        <s:f>IF(AND(I54&lt;&gt;"",I54&lt;&gt;0),G54/I54,"")</s:f>
        <s:v>6.0606060606060601E-2</s:v>
      </s:c>
      <s:c r="T54" s="103">
        <s:f>D54/U54</s:f>
        <s:v>0.28411240808167298</s:v>
      </s:c>
      <s:c r="U54" s="104">
        <s:f>$I$8*AA54*AB54/SUMPRODUCT($AB$25:$AB$55,$AA$25:$AA$55)</s:f>
        <s:v>49195.317073170729</s:v>
      </s:c>
      <s:c r="V54" s="105">
        <s:f>$I$9*AA54*AB54/SUMPRODUCT($AB$25:$AB$55,$AA$25:$AA$55)</s:f>
        <s:v>7.1297560975609757</s:v>
      </s:c>
      <s:c r="W54" s="105">
        <s:f>IF($I$12="","",V54/$I$12)</s:f>
        <s:v>4.0975609756097562</s:v>
      </s:c>
      <s:c r="X54" s="104">
        <s:f>IF(AB54&lt;&gt;"",IF(D54&lt;&gt;"",D54,($I$8-SUM($X$25:X53))*AA54*AB54/SUMPRODUCT($AB54:$AB$55,$AA54:$AA$55)),"")</s:f>
        <s:v>13977</s:v>
      </s:c>
      <s:c r="Y54" s="105">
        <s:f>IF(AB54&lt;&gt;"",IF(E54&lt;&gt;"",E54,($I$9-SUM($Y$25:Y53))*AA54*AB54/SUMPRODUCT($AB54:$AB$55,$AA54:$AA$55)),"")</s:f>
        <s:v>3</s:v>
      </s:c>
      <s:c r="Z54" s="105">
        <s:f>IF(AB54&lt;&gt;"",IF(E54&lt;&gt;"",E54,($I$9-SUM($Y$25:Y53))*AA54*AB54/SUMPRODUCT($AB54:$AB$55,$AA54:$AA$55)),"")</s:f>
        <s:v>3</s:v>
      </s:c>
      <s:c r="AA54" s="106">
        <s:v>1</s:v>
      </s:c>
      <s:c r="AB54" s="106">
        <s:v>1</s:v>
      </s:c>
      <s:c r="AC54" s="107"/>
      <s:c r="AD54" s="108"/>
      <s:c r="AE54" s="109"/>
    </s:row>
    <s:row r="55" spans="1:31" ht="15" customHeight="1">
      <s:c r="A55" s="96" t="s">
        <s:v>143</s:v>
      </s:c>
      <s:c r="B55" s="97">
        <s:v>46112</s:v>
      </s:c>
      <s:c r="C55" s="98" t="s">
        <s:v>56</s:v>
      </s:c>
      <s:c r="D55" s="99">
        <s:v>21719</s:v>
      </s:c>
      <s:c r="E55" s="101">
        <s:v>4</s:v>
      </s:c>
      <s:c r="F55" s="101">
        <s:f>IF(AND(E55&lt;&gt;"",E55&lt;&gt;0),D55/E55,"")</s:f>
        <s:v>5429.75</s:v>
      </s:c>
      <s:c r="G55" s="101">
        <s:v>4</s:v>
      </s:c>
      <s:c r="H55" s="101">
        <s:f>IF(AND(G55&lt;&gt;"",G55&lt;&gt;0),D55/G55,"")</s:f>
        <s:v>5429.75</s:v>
      </s:c>
      <s:c r="I55" s="101">
        <s:v>46</s:v>
      </s:c>
      <s:c r="J55" s="99">
        <s:f>IF(AND(G55&lt;&gt;"",G55&lt;&gt;0),E55/G55,"")</s:f>
        <s:v>1</s:v>
      </s:c>
      <s:c r="K55" s="101"/>
      <s:c r="L55" s="101"/>
      <s:c r="M55" s="101"/>
      <s:c r="N55" s="101"/>
      <s:c r="O55" s="101"/>
      <s:c r="P55" s="101"/>
      <s:c r="Q55" s="101"/>
      <s:c r="R55" s="101">
        <s:v>2555</s:v>
      </s:c>
      <s:c r="S55" s="102">
        <s:f>IF(AND(I55&lt;&gt;"",I55&lt;&gt;0),G55/I55,"")</s:f>
        <s:v>8.6956521739130405E-2</s:v>
      </s:c>
      <s:c r="T55" s="103">
        <s:f>D55/U55</s:f>
        <s:v>0.44148511061929302</s:v>
      </s:c>
      <s:c r="U55" s="104">
        <s:f>$I$8*AA55*AB55/SUMPRODUCT($AB$25:$AB$55,$AA$25:$AA$55)</s:f>
        <s:v>49195.317073170729</s:v>
      </s:c>
      <s:c r="V55" s="105">
        <s:f>$I$9*AA55*AB55/SUMPRODUCT($AB$25:$AB$55,$AA$25:$AA$55)</s:f>
        <s:v>7.1297560975609757</s:v>
      </s:c>
      <s:c r="W55" s="105">
        <s:f>IF($I$12="","",V55/$I$12)</s:f>
        <s:v>4.0975609756097562</s:v>
      </s:c>
      <s:c r="X55" s="104">
        <s:f>IF(AB55&lt;&gt;"",IF(D55&lt;&gt;"",D55,($I$8-SUM($X$25:X54))*AA55*AB55/SUMPRODUCT($AB55:$AB$55,$AA55:$AA$55)),"")</s:f>
        <s:v>21719</s:v>
      </s:c>
      <s:c r="Y55" s="105">
        <s:f>IF(AB55&lt;&gt;"",IF(E55&lt;&gt;"",E55,($I$9-SUM($Y$25:Y54))*AA55*AB55/SUMPRODUCT($AB55:$AB$55,$AA55:$AA$55)),"")</s:f>
        <s:v>4</s:v>
      </s:c>
      <s:c r="Z55" s="105">
        <s:f>IF(AB55&lt;&gt;"",IF(E55&lt;&gt;"",E55,($I$9-SUM($Y$25:Y54))*AA55*AB55/SUMPRODUCT($AB55:$AB$55,$AA55:$AA$55)),"")</s:f>
        <s:v>4</s:v>
      </s:c>
      <s:c r="AA55" s="106">
        <s:v>1</s:v>
      </s:c>
      <s:c r="AB55" s="106">
        <s:v>1</s:v>
      </s:c>
      <s:c r="AC55" s="107"/>
      <s:c r="AD55" s="108"/>
    </s:row>
    <s:row r="56" spans="1:31" ht="15" customHeight="1">
      <s:c r="A56" s="91"/>
      <s:c r="B56" s="531" t="s">
        <s:v>63</s:v>
      </s:c>
      <s:c r="C56" s="531"/>
      <s:c r="D56" s="93">
        <s:f>SUM(D25:D55)</s:f>
        <s:v>1218796</s:v>
      </s:c>
      <s:c r="E56" s="92">
        <s:f>SUM(E25:E55)</s:f>
        <s:v>178</s:v>
      </s:c>
      <s:c r="F56" s="92">
        <s:f>IF(AND(E56&lt;&gt;"", E56&lt;&gt;0), D56/E56, "")</s:f>
        <s:v>6847.1685393258404</s:v>
      </s:c>
      <s:c r="G56" s="92">
        <s:f>SUM(G25:G55)</s:f>
        <s:v>108</s:v>
      </s:c>
      <s:c r="H56" s="92">
        <s:f>IF(AND(G56&lt;&gt;"",G56&lt;&gt;0),D56/G56,"")</s:f>
        <s:v>11285.148148148101</s:v>
      </s:c>
      <s:c r="I56" s="92">
        <s:f>SUM(I25:I55)*0.8</s:f>
        <s:v>1312.8000000000002</s:v>
      </s:c>
      <s:c r="J56" s="93">
        <s:f>E56/G56</s:f>
        <s:v>1.6481481481481399</s:v>
      </s:c>
      <s:c r="K56" s="92">
        <s:f>SUM(K25:K55)</s:f>
        <s:v>172368</s:v>
      </s:c>
      <s:c r="L56" s="92">
        <s:f>SUM(L25:L55)</s:f>
        <s:v>0</s:v>
      </s:c>
      <s:c r="M56" s="92">
        <s:f>SUM(M25:M55)</s:f>
        <s:v>0</s:v>
      </s:c>
      <s:c r="N56" s="92">
        <s:f>SUM(N25:N55)</s:f>
        <s:v>6191</s:v>
      </s:c>
      <s:c r="O56" s="92">
        <s:f>SUM(O25:O55)</s:f>
        <s:v>36570</s:v>
      </s:c>
      <s:c r="P56" s="92">
        <s:f>SUM(P25:P55)</s:f>
        <s:v>82239</s:v>
      </s:c>
      <s:c r="Q56" s="92">
        <s:f>SUM(Q25:Q55)</s:f>
        <s:v>84055</s:v>
      </s:c>
      <s:c r="R56" s="92">
        <s:f>SUM(R25:R55)</s:f>
        <s:v>47722</s:v>
      </s:c>
      <s:c r="S56" s="110">
        <s:f>IF(AND(I56&lt;&gt;"", I56&lt;&gt;0), G56/I56, "")</s:f>
        <s:v>8.2266910420475306E-2</s:v>
      </s:c>
      <s:c r="T56" s="94">
        <s:f>D56/U56</s:f>
        <s:v>0.60425937824738396</s:v>
      </s:c>
      <s:c r="U56" s="95">
        <s:f>SUM(U25:U55)</s:f>
        <s:v>2017008.0000000005</s:v>
      </s:c>
      <s:c r="V56" s="95">
        <s:f>SUM(V25:V55)</s:f>
        <s:v>292.31999999999994</s:v>
      </s:c>
      <s:c r="W56" s="95">
        <s:f>SUM(W25:W55)</s:f>
        <s:v>167.99999999999991</s:v>
      </s:c>
      <s:c r="X56" s="95">
        <s:f>SUM(X25:X55)</s:f>
        <s:v>1218796</s:v>
      </s:c>
      <s:c r="Y56" s="95">
        <s:f>SUM(Y25:Y55)</s:f>
        <s:v>178</s:v>
      </s:c>
      <s:c r="Z56" s="95">
        <s:f>SUM(Z25:Z55)</s:f>
        <s:v>174</s:v>
      </s:c>
      <s:c r="AA56" s="111"/>
      <s:c r="AB56" s="111"/>
    </s:row>
    <s:row r="57">
      <s:c r="A57" s="112"/>
      <s:c r="B57" s="113"/>
      <s:c r="C57" s="114"/>
      <s:c r="D57" s="115">
        <s:f>SUMIF(D25:D55,"",U25:U55)+D56</s:f>
        <s:v>1218796</s:v>
      </s:c>
      <s:c r="E57" s="116"/>
      <s:c r="F57" s="114"/>
      <s:c r="G57" s="114"/>
      <s:c r="H57" s="117"/>
      <s:c r="I57" s="118">
        <s:f>I56/J14</s:f>
        <s:v>42.348387096774097</s:v>
      </s:c>
      <s:c r="J57" s="117"/>
      <s:c r="K57" s="3"/>
      <s:c r="L57" s="119"/>
      <s:c r="M57" s="116"/>
      <s:c r="N57" s="116"/>
      <s:c r="O57" s="116"/>
      <s:c r="P57" s="120"/>
      <s:c r="S57" s="121"/>
      <s:c r="T57" s="3"/>
      <s:c r="V57" s="3"/>
      <s:c r="W57" s="3"/>
      <s:c r="X57" s="3"/>
      <s:c r="Y57" s="3"/>
    </s:row>
    <s:row r="58">
      <s:c r="A58" s="112"/>
      <s:c r="B58" s="3"/>
      <s:c r="C58" s="122"/>
      <s:c r="D58" s="122">
        <s:f>Рогалевич!D57+Самошкина!D57+Уразгильдеева!D57</s:f>
        <s:v>1218796</s:v>
      </s:c>
      <s:c r="E58" s="123">
        <s:f>Рогалевич!E57+Уразгильдеева!E57+Самошкина!E57</s:f>
        <s:v>182</s:v>
      </s:c>
      <s:c r="F58" s="3"/>
      <s:c r="G58" s="124">
        <s:f>Рогалевич!G57+Уразгильдеева!G57+Самошкина!G57</s:f>
        <s:v>110</s:v>
      </s:c>
      <s:c r="H58" s="3"/>
      <s:c r="I58" s="125">
        <s:f>Рогалевич!I57+Уразгильдеева!I57+Самошкина!I57</s:f>
        <s:v>1277</s:v>
      </s:c>
      <s:c r="J58" s="126"/>
      <s:c r="K58" s="127">
        <s:f>Рогалевич!K57+Уразгильдеева!K57+Самошкина!K57</s:f>
        <s:v>172368</s:v>
      </s:c>
      <s:c r="L58" s="124">
        <s:f>Рогалевич!L57+Уразгильдеева!L57</s:f>
        <s:v>0</s:v>
      </s:c>
      <s:c r="M58" s="124">
        <s:f>Рогалевич!M57+Уразгильдеева!M57</s:f>
        <s:v>0</s:v>
      </s:c>
      <s:c r="N58" s="127">
        <s:f>Рогалевич!N57+Уразгильдеева!N57</s:f>
        <s:v>6191</s:v>
      </s:c>
      <s:c r="O58" s="124">
        <s:f>Уразгильдеева!O57+Рогалевич!O57</s:f>
        <s:v>36570</s:v>
      </s:c>
      <s:c r="P58" s="127">
        <s:f>Рогалевич!P57+Уразгильдеева!P57+Самошкина!P57</s:f>
        <s:v>82239</s:v>
      </s:c>
      <s:c r="Q58" s="124">
        <s:f>Уразгильдеева!Q57+Рогалевич!Q57</s:f>
        <s:v>84055</s:v>
      </s:c>
      <s:c r="R58" s="127">
        <s:f>Рогалевич!R57+Уразгильдеева!R57+Самошкина!R57</s:f>
        <s:v>47722</s:v>
      </s:c>
      <s:c r="S58" s="3"/>
      <s:c r="T58" s="3"/>
      <s:c r="V58" s="3"/>
      <s:c r="W58" s="3"/>
      <s:c r="X58" s="3"/>
      <s:c r="Y58" s="3"/>
    </s:row>
    <s:row r="59">
      <s:c r="D59" s="120"/>
      <s:c r="F59" s="128"/>
    </s:row>
    <s:row r="60">
      <s:c r="D60" s="129"/>
      <s:c r="G60" s="130"/>
      <s:c r="M60" s="120"/>
      <s:c r="N60" s="120"/>
      <s:c r="O60" s="120"/>
    </s:row>
    <s:row r="61">
      <s:c r="D61" s="129"/>
    </s:row>
    <s:row r="62">
      <s:c r="M62" s="120"/>
      <s:c r="N62" s="120"/>
      <s:c r="O62" s="120"/>
    </s:row>
    <s:row r="64">
      <s:c r="F64" s="532"/>
    </s:row>
    <s:row r="65">
      <s:c r="F65" s="532"/>
    </s:row>
    <s:row r="68">
      <s:c r="D68" s="131"/>
    </s:row>
  </s:sheetData>
  <s:mergeCells count="28">
    <s:mergeCell ref="B1:C1"/>
    <s:mergeCell ref="S1:V4"/>
    <s:mergeCell ref="B2:C2"/>
    <s:mergeCell ref="J2:R2"/>
    <s:mergeCell ref="I3:M4"/>
    <s:mergeCell ref="C4:D4"/>
    <s:mergeCell ref="J5:P5"/>
    <s:mergeCell ref="F6:Q6"/>
    <s:mergeCell ref="F7:H7"/>
    <s:mergeCell ref="P7:Q7"/>
    <s:mergeCell ref="F8:H8"/>
    <s:mergeCell ref="F9:H9"/>
    <s:mergeCell ref="F10:H10"/>
    <s:mergeCell ref="F11:H11"/>
    <s:mergeCell ref="F12:H12"/>
    <s:mergeCell ref="F13:H13"/>
    <s:mergeCell ref="R22:Y22"/>
    <s:mergeCell ref="A23:A24"/>
    <s:mergeCell ref="F14:H14"/>
    <s:mergeCell ref="F15:H15"/>
    <s:mergeCell ref="F16:H16"/>
    <s:mergeCell ref="F17:H17"/>
    <s:mergeCell ref="F18:H18"/>
    <s:mergeCell ref="B56:C56"/>
    <s:mergeCell ref="F64:F65"/>
    <s:mergeCell ref="F19:H19"/>
    <s:mergeCell ref="F20:H20"/>
    <s:mergeCell ref="A22:P22"/>
  </s:mergeCells>
  <s:conditionalFormatting sqref="D25:D55">
    <s:cfRule type="cellIs" dxfId="223" priority="2" operator="lessThan">
      <s:formula>$I$15</s:formula>
    </s:cfRule>
    <s:cfRule type="cellIs" dxfId="222" priority="3" operator="greaterThan">
      <s:formula>$I$15</s:formula>
    </s:cfRule>
  </s:conditionalFormatting>
  <s:conditionalFormatting sqref="D58">
    <s:cfRule type="cellIs" dxfId="221" priority="24" operator="equal">
      <s:formula>$D$56</s:formula>
    </s:cfRule>
    <s:cfRule type="cellIs" dxfId="220" priority="23" operator="notEqual">
      <s:formula>$D$56</s:formula>
    </s:cfRule>
  </s:conditionalFormatting>
  <s:conditionalFormatting sqref="G58">
    <s:cfRule type="cellIs" dxfId="219" priority="9" operator="notEqual">
      <s:formula>$G$56</s:formula>
    </s:cfRule>
  </s:conditionalFormatting>
  <s:conditionalFormatting sqref="J16">
    <s:cfRule type="cellIs" dxfId="218" priority="26" operator="greaterThan">
      <s:formula>0</s:formula>
    </s:cfRule>
    <s:cfRule type="cellIs" dxfId="217" priority="25" operator="lessThan">
      <s:formula>0</s:formula>
    </s:cfRule>
  </s:conditionalFormatting>
  <s:conditionalFormatting sqref="J25:J55">
    <s:cfRule type="cellIs" dxfId="216" priority="19" operator="lessThan">
      <s:formula>$I$12</s:formula>
    </s:cfRule>
    <s:cfRule type="cellIs" dxfId="215" priority="20" operator="greaterThan">
      <s:formula>$I$12</s:formula>
    </s:cfRule>
  </s:conditionalFormatting>
  <s:conditionalFormatting sqref="J27">
    <s:cfRule type="cellIs" dxfId="214" priority="30" operator="lessThan">
      <s:formula>$I$12</s:formula>
    </s:cfRule>
  </s:conditionalFormatting>
  <s:conditionalFormatting sqref="K8">
    <s:cfRule type="cellIs" dxfId="213" priority="5" operator="greaterThan">
      <s:formula>$K$17</s:formula>
    </s:cfRule>
    <s:cfRule type="cellIs" dxfId="212" priority="6" operator="lessThan">
      <s:formula>$K$17</s:formula>
    </s:cfRule>
  </s:conditionalFormatting>
  <s:conditionalFormatting sqref="K10:K12 K15">
    <s:cfRule type="cellIs" dxfId="211" priority="28" operator="greaterThan">
      <s:formula>1</s:formula>
    </s:cfRule>
    <s:cfRule type="cellIs" dxfId="210" priority="27" operator="lessThan">
      <s:formula>1</s:formula>
    </s:cfRule>
  </s:conditionalFormatting>
  <s:conditionalFormatting sqref="K58">
    <s:cfRule type="cellIs" dxfId="209" priority="10" operator="equal">
      <s:formula>$K$56</s:formula>
    </s:cfRule>
  </s:conditionalFormatting>
  <s:conditionalFormatting sqref="L58">
    <s:cfRule type="cellIs" dxfId="208" priority="11" operator="equal">
      <s:formula>$L$56</s:formula>
    </s:cfRule>
    <s:cfRule type="cellIs" dxfId="207" priority="12" operator="notEqual">
      <s:formula>$L$56</s:formula>
    </s:cfRule>
  </s:conditionalFormatting>
  <s:conditionalFormatting sqref="M8:M15">
    <s:cfRule type="cellIs" dxfId="206" priority="21" operator="lessThan">
      <s:formula>1</s:formula>
    </s:cfRule>
    <s:cfRule type="cellIs" dxfId="205" priority="22" operator="greaterThan">
      <s:formula>1</s:formula>
    </s:cfRule>
  </s:conditionalFormatting>
  <s:conditionalFormatting sqref="M58:R58">
    <s:cfRule type="cellIs" dxfId="204" priority="1" operator="equal">
      <s:formula>$M$56</s:formula>
    </s:cfRule>
  </s:conditionalFormatting>
  <s:conditionalFormatting sqref="P10:Q10">
    <s:cfRule type="cellIs" dxfId="203" priority="29" operator="lessThan">
      <s:formula>0</s:formula>
    </s:cfRule>
  </s:conditionalFormatting>
  <s:conditionalFormatting sqref="S25:S55">
    <s:cfRule type="cellIs" dxfId="202" priority="8" operator="greaterThan">
      <s:formula>$I$20</s:formula>
    </s:cfRule>
    <s:cfRule type="cellIs" dxfId="201" priority="7" operator="lessThan">
      <s:formula>$I$20</s:formula>
    </s:cfRule>
  </s:conditionalFormatting>
  <s:conditionalFormatting sqref="S58">
    <s:cfRule type="cellIs" dxfId="200" priority="35" operator="equal">
      <s:formula>$D$56</s:formula>
    </s:cfRule>
    <s:cfRule type="cellIs" dxfId="199" priority="36" operator="notEqual">
      <s:formula>$D$56</s:formula>
    </s:cfRule>
  </s:conditionalFormatting>
  <s:conditionalFormatting sqref="T25:T55">
    <s:cfRule type="cellIs" dxfId="198" priority="17" operator="between">
      <s:formula>0.85</s:formula>
      <s:formula>1</s:formula>
    </s:cfRule>
    <s:cfRule type="cellIs" dxfId="197" priority="16" operator="greaterThan">
      <s:formula>100</s:formula>
    </s:cfRule>
    <s:cfRule type="cellIs" dxfId="196" priority="15" operator="greaterThan">
      <s:formula>1</s:formula>
    </s:cfRule>
    <s:cfRule type="cellIs" dxfId="195" priority="14" operator="lessThan">
      <s:formula>0.9</s:formula>
    </s:cfRule>
    <s:cfRule type="cellIs" dxfId="194" priority="13" operator="between">
      <s:formula>0.9001</s:formula>
      <s:formula>0.9999</s:formula>
    </s:cfRule>
    <s:cfRule type="cellIs" dxfId="193" priority="18" operator="between">
      <s:formula>0.01</s:formula>
      <s:formula>0.99</s:formula>
    </s:cfRule>
  </s:conditionalFormatting>
  <s:conditionalFormatting sqref="V16">
    <s:cfRule type="cellIs" dxfId="192" priority="33" operator="greaterThan">
      <s:formula>0</s:formula>
    </s:cfRule>
    <s:cfRule type="cellIs" dxfId="191" priority="34" operator="lessThan">
      <s:formula>0</s:formula>
    </s:cfRule>
  </s:conditionalFormatting>
  <s:conditionalFormatting sqref="V25:V55">
    <s:cfRule type="cellIs" dxfId="190" priority="54" operator="lessThan">
      <s:formula>$I$15</s:formula>
    </s:cfRule>
    <s:cfRule type="cellIs" dxfId="189" priority="53" operator="greaterThan">
      <s:formula>$I$15</s:formula>
    </s:cfRule>
  </s:conditionalFormatting>
  <s:conditionalFormatting sqref="V58">
    <s:cfRule type="cellIs" dxfId="188" priority="40" operator="notEqual">
      <s:formula>$G$56</s:formula>
    </s:cfRule>
  </s:conditionalFormatting>
  <s:conditionalFormatting sqref="Z58">
    <s:cfRule type="cellIs" dxfId="187" priority="39" operator="equal">
      <s:formula>$K$56</s:formula>
    </s:cfRule>
  </s:conditionalFormatting>
  <s:conditionalFormatting sqref="AB25:AB55">
    <s:cfRule type="cellIs" dxfId="186" priority="37" operator="greaterThan">
      <s:formula>$I$12</s:formula>
    </s:cfRule>
    <s:cfRule type="cellIs" dxfId="185" priority="38" operator="lessThan">
      <s:formula>$I$12</s:formula>
    </s:cfRule>
  </s:conditionalFormatting>
  <s:conditionalFormatting sqref="AB27">
    <s:cfRule type="cellIs" dxfId="184" priority="31" operator="lessThan">
      <s:formula>$I$12</s:formula>
    </s:cfRule>
  </s:conditionalFormatting>
  <s:conditionalFormatting sqref="AE10:AF10">
    <s:cfRule type="cellIs" dxfId="183" priority="32" operator="lessThan">
      <s:formula>0</s:formula>
    </s:cfRule>
  </s:conditionalFormatting>
  <s:conditionalFormatting sqref="AK13">
    <s:cfRule type="cellIs" dxfId="182" priority="41" operator="greaterThan">
      <s:formula>0.95</s:formula>
    </s:cfRule>
    <s:cfRule type="cellIs" dxfId="181" priority="42" operator="lessThan">
      <s:formula>0.9</s:formula>
    </s:cfRule>
    <s:cfRule type="cellIs" dxfId="180" priority="43" operator="between">
      <s:formula>0.9</s:formula>
      <s:formula>0.95</s:formula>
    </s:cfRule>
  </s:conditionalFormatting>
  <s:conditionalFormatting sqref="AK19">
    <s:cfRule type="cellIs" dxfId="179" priority="44" operator="greaterThan">
      <s:formula>0.95</s:formula>
    </s:cfRule>
    <s:cfRule type="cellIs" dxfId="178" priority="45" operator="lessThan">
      <s:formula>0.9</s:formula>
    </s:cfRule>
    <s:cfRule type="cellIs" dxfId="177" priority="46" operator="between">
      <s:formula>0.9</s:formula>
      <s:formula>0.95</s:formula>
    </s:cfRule>
  </s:conditionalFormatting>
  <s:conditionalFormatting sqref="AN13">
    <s:cfRule type="cellIs" dxfId="176" priority="47" operator="greaterThan">
      <s:formula>"100;"</s:formula>
    </s:cfRule>
    <s:cfRule type="cellIs" dxfId="175" priority="48" operator="greaterThan">
      <s:formula>1</s:formula>
    </s:cfRule>
    <s:cfRule type="cellIs" dxfId="174" priority="49" operator="lessThan">
      <s:formula>1</s:formula>
    </s:cfRule>
    <s:cfRule type="cellIs" dxfId="173" priority="50" operator="greaterThan">
      <s:formula>0.95</s:formula>
    </s:cfRule>
    <s:cfRule type="cellIs" dxfId="172" priority="51" operator="lessThan">
      <s:formula>0.9</s:formula>
    </s:cfRule>
    <s:cfRule type="cellIs" dxfId="171" priority="52" operator="between">
      <s:formula>0.9</s:formula>
      <s:formula>0.95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100-000000000000}">
  <s:dimension ref="A1:L14"/>
  <s:sheetViews>
    <s:sheetView tabSelected="0" zoomScale="108" workbookViewId="0">
      <s:selection activeCell="Q13" sqref="Q13"/>
    </s:sheetView>
  </s:sheetViews>
  <s:sheetFormatPr baseColWidth="10" defaultColWidth="10" defaultRowHeight="15" outlineLevelCol="1"/>
  <s:cols>
    <s:col min="1" max="1" width="21.164" bestFit="1" customWidth="1"/>
    <s:col min="2" max="11" width="11.5" hidden="1" customWidth="1" outlineLevel="1"/>
    <s:col min="12" max="12" width="11.5" customWidth="1" collapsed="1"/>
    <s:col min="13" max="25" width="4.164" customWidth="1"/>
  </s:cols>
  <s:sheetData>
    <s:row r="1" spans="1:12" s="132" customFormat="1" ht="16">
      <s:c r="A1" s="133"/>
    </s:row>
    <s:row r="2" spans="1:12" s="132" customFormat="1" ht="16">
      <s:c r="A2" s="563" t="s">
        <s:v>64</s:v>
      </s:c>
      <s:c r="B2" s="564"/>
      <s:c r="C2" s="564"/>
      <s:c r="D2" s="564"/>
      <s:c r="E2" s="564"/>
      <s:c r="F2" s="564"/>
      <s:c r="G2" s="564"/>
      <s:c r="H2" s="564"/>
      <s:c r="I2" s="564"/>
      <s:c r="J2" s="564"/>
      <s:c r="K2" s="564"/>
      <s:c r="L2" s="565"/>
    </s:row>
    <s:row r="3" spans="1:12" s="132" customFormat="1" ht="16">
      <s:c r="A3" s="566"/>
      <s:c r="B3" s="567"/>
      <s:c r="C3" s="567"/>
      <s:c r="D3" s="567"/>
      <s:c r="E3" s="567"/>
      <s:c r="F3" s="567"/>
      <s:c r="G3" s="567"/>
      <s:c r="H3" s="567"/>
      <s:c r="I3" s="567"/>
      <s:c r="J3" s="567"/>
      <s:c r="K3" s="567"/>
      <s:c r="L3" s="568"/>
    </s:row>
    <s:row r="4" spans="1:12" s="134" customFormat="1" ht="30" customHeight="1">
      <s:c r="A4" s="135" t="s">
        <s:v>65</s:v>
      </s:c>
      <s:c r="B4" s="136">
        <s:v>45282</s:v>
      </s:c>
      <s:c r="C4" s="136">
        <s:v>45283</s:v>
      </s:c>
      <s:c r="D4" s="136">
        <s:v>45284</s:v>
      </s:c>
      <s:c r="E4" s="136">
        <s:v>45285</s:v>
      </s:c>
      <s:c r="F4" s="136">
        <s:v>45286</s:v>
      </s:c>
      <s:c r="G4" s="136">
        <s:v>45287</s:v>
      </s:c>
      <s:c r="H4" s="136">
        <s:v>45288</s:v>
      </s:c>
      <s:c r="I4" s="136">
        <s:v>45289</s:v>
      </s:c>
      <s:c r="J4" s="136">
        <s:v>45290</s:v>
      </s:c>
      <s:c r="K4" s="137">
        <s:v>45291</s:v>
      </s:c>
      <s:c r="L4" s="135" t="s">
        <s:v>66</s:v>
      </s:c>
    </s:row>
    <s:row r="5" spans="1:12" s="132" customFormat="1" ht="30" customHeight="1">
      <s:c r="A5" s="138" t="s">
        <s:v>67</s:v>
      </s:c>
      <s:c r="B5" s="139"/>
      <s:c r="C5" s="139"/>
      <s:c r="D5" s="139"/>
      <s:c r="E5" s="140">
        <s:v>0.56999999999999995</s:v>
      </s:c>
      <s:c r="F5" s="140">
        <s:v>0.73</s:v>
      </s:c>
      <s:c r="G5" s="140">
        <s:v>0.88</s:v>
      </s:c>
      <s:c r="H5" s="140">
        <s:v>0.98</s:v>
      </s:c>
      <s:c r="I5" s="140">
        <s:v>0.69</s:v>
      </s:c>
      <s:c r="J5" s="140">
        <s:v>1.82</s:v>
      </s:c>
      <s:c r="K5" s="141">
        <s:v>2.89</s:v>
      </s:c>
      <s:c r="L5" s="142"/>
    </s:row>
    <s:row r="6" spans="1:12" s="132" customFormat="1" ht="30" customHeight="1">
      <s:c r="A6" s="143" t="s">
        <s:v>68</s:v>
      </s:c>
      <s:c r="B6" s="144"/>
      <s:c r="C6" s="144">
        <s:v>0</s:v>
      </s:c>
      <s:c r="D6" s="144">
        <s:v>0</s:v>
      </s:c>
      <s:c r="E6" s="144">
        <s:v>0</s:v>
      </s:c>
      <s:c r="F6" s="144">
        <s:v>0</s:v>
      </s:c>
      <s:c r="G6" s="144">
        <s:v>0.83</s:v>
      </s:c>
      <s:c r="H6" s="144">
        <s:v>0</s:v>
      </s:c>
      <s:c r="I6" s="144">
        <s:v>0.28000000000000003</s:v>
      </s:c>
      <s:c r="J6" s="144">
        <s:v>0.46</s:v>
      </s:c>
      <s:c r="K6" s="145">
        <s:v>0.89</s:v>
      </s:c>
      <s:c r="L6" s="146"/>
    </s:row>
    <s:row r="7" spans="1:12" s="132" customFormat="1" ht="30" customHeight="1">
      <s:c r="A7" s="147" t="s">
        <s:v>69</s:v>
      </s:c>
      <s:c r="B7" s="148">
        <s:v>0.39</s:v>
      </s:c>
      <s:c r="C7" s="149">
        <s:v>0</s:v>
      </s:c>
      <s:c r="D7" s="149"/>
      <s:c r="E7" s="149">
        <s:v>0</s:v>
      </s:c>
      <s:c r="F7" s="148">
        <s:v>0.49</s:v>
      </s:c>
      <s:c r="G7" s="148">
        <s:v>1.19</s:v>
      </s:c>
      <s:c r="H7" s="148">
        <s:v>0.69</s:v>
      </s:c>
      <s:c r="I7" s="149"/>
      <s:c r="J7" s="149">
        <s:v>1.63</s:v>
      </s:c>
      <s:c r="K7" s="150">
        <s:v>0.81</s:v>
      </s:c>
      <s:c r="L7" s="151"/>
    </s:row>
    <s:row r="9" spans="1:12">
      <s:c r="A9" s="563" t="s">
        <s:v>70</s:v>
      </s:c>
      <s:c r="B9" s="564"/>
      <s:c r="C9" s="564"/>
      <s:c r="D9" s="564"/>
      <s:c r="E9" s="564"/>
      <s:c r="F9" s="564"/>
      <s:c r="G9" s="564"/>
      <s:c r="H9" s="564"/>
      <s:c r="I9" s="564"/>
      <s:c r="J9" s="564"/>
      <s:c r="K9" s="564"/>
      <s:c r="L9" s="565"/>
    </s:row>
    <s:row r="10" spans="1:12">
      <s:c r="A10" s="566"/>
      <s:c r="B10" s="567"/>
      <s:c r="C10" s="567"/>
      <s:c r="D10" s="567"/>
      <s:c r="E10" s="567"/>
      <s:c r="F10" s="567"/>
      <s:c r="G10" s="567"/>
      <s:c r="H10" s="567"/>
      <s:c r="I10" s="567"/>
      <s:c r="J10" s="567"/>
      <s:c r="K10" s="567"/>
      <s:c r="L10" s="568"/>
    </s:row>
    <s:row r="11" spans="1:12" ht="31" customHeight="1">
      <s:c r="A11" s="135" t="s">
        <s:v>65</s:v>
      </s:c>
      <s:c r="B11" s="136">
        <s:v>45282</s:v>
      </s:c>
      <s:c r="C11" s="136">
        <s:v>45283</s:v>
      </s:c>
      <s:c r="D11" s="136">
        <s:v>45284</s:v>
      </s:c>
      <s:c r="E11" s="136">
        <s:v>45285</s:v>
      </s:c>
      <s:c r="F11" s="136">
        <s:v>45286</s:v>
      </s:c>
      <s:c r="G11" s="136">
        <s:v>45287</s:v>
      </s:c>
      <s:c r="H11" s="136">
        <s:v>45288</s:v>
      </s:c>
      <s:c r="I11" s="136">
        <s:v>45289</s:v>
      </s:c>
      <s:c r="J11" s="136">
        <s:v>45290</s:v>
      </s:c>
      <s:c r="K11" s="137">
        <s:v>45291</s:v>
      </s:c>
      <s:c r="L11" s="135" t="s">
        <s:v>66</s:v>
      </s:c>
    </s:row>
    <s:row r="12" spans="1:12" ht="30" customHeight="1">
      <s:c r="A12" s="138" t="s">
        <s:v>67</s:v>
      </s:c>
      <s:c r="B12" s="152"/>
      <s:c r="C12" s="152"/>
      <s:c r="D12" s="152"/>
      <s:c r="E12" s="153">
        <s:v>1</s:v>
      </s:c>
      <s:c r="F12" s="153">
        <s:v>1</s:v>
      </s:c>
      <s:c r="G12" s="153">
        <s:v>1</s:v>
      </s:c>
      <s:c r="H12" s="153">
        <s:v>1</s:v>
      </s:c>
      <s:c r="I12" s="153">
        <s:v>1</s:v>
      </s:c>
      <s:c r="J12" s="153">
        <s:v>2</s:v>
      </s:c>
      <s:c r="K12" s="154">
        <s:v>3</s:v>
      </s:c>
      <s:c r="L12" s="155">
        <s:f>SUM(B12:K12)</s:f>
        <s:v>10</s:v>
      </s:c>
    </s:row>
    <s:row r="13" spans="1:12" ht="30" customHeight="1">
      <s:c r="A13" s="143" t="s">
        <s:v>68</s:v>
      </s:c>
      <s:c r="B13" s="156"/>
      <s:c r="C13" s="156"/>
      <s:c r="D13" s="156"/>
      <s:c r="E13" s="156"/>
      <s:c r="F13" s="156"/>
      <s:c r="G13" s="156"/>
      <s:c r="H13" s="156"/>
      <s:c r="I13" s="156"/>
      <s:c r="J13" s="156"/>
      <s:c r="K13" s="157"/>
      <s:c r="L13" s="158">
        <s:f>SUM(B13:K13)</s:f>
        <s:v>0</s:v>
      </s:c>
    </s:row>
    <s:row r="14" spans="1:12" ht="30" customHeight="1">
      <s:c r="A14" s="147" t="s">
        <s:v>69</s:v>
      </s:c>
      <s:c r="B14" s="159">
        <s:v>1</s:v>
      </s:c>
      <s:c r="C14" s="160"/>
      <s:c r="D14" s="160"/>
      <s:c r="E14" s="160"/>
      <s:c r="F14" s="159">
        <s:v>1</s:v>
      </s:c>
      <s:c r="G14" s="159">
        <s:v>2</s:v>
      </s:c>
      <s:c r="H14" s="159">
        <s:v>1</s:v>
      </s:c>
      <s:c r="I14" s="160"/>
      <s:c r="J14" s="159">
        <s:v>1</s:v>
      </s:c>
      <s:c r="K14" s="161"/>
      <s:c r="L14" s="162">
        <s:f>SUM(B14:K14)</s:f>
        <s:v>6</s:v>
      </s:c>
    </s:row>
  </s:sheetData>
  <s:mergeCells count="2">
    <s:mergeCell ref="A2:L3"/>
    <s:mergeCell ref="A9:L10"/>
  </s:mergeCells>
  <s:pageMargins left="0.7" right="0.7" top="0.75" bottom="0.75" header="0.3" footer="0.3"/>
  <s:pageSetup paperSize="9" orientation="portrait"/>
</s:worksheet>
</file>

<file path=xl/worksheets/sheet3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200-000000000000}">
  <s:dimension ref="A1:O16"/>
  <s:sheetViews>
    <s:sheetView tabSelected="0" workbookViewId="0"/>
  </s:sheetViews>
  <s:sheetFormatPr baseColWidth="10" defaultColWidth="10" defaultRowHeight="15"/>
  <s:sheetData>
    <s:row r="1" spans="1:15" ht="16">
      <s:c r="A1" s="163" t="s">
        <s:v>71</s:v>
      </s:c>
      <s:c r="B1" s="164"/>
      <s:c r="C1" s="164"/>
      <s:c r="D1" s="164"/>
      <s:c r="E1" s="164"/>
      <s:c r="F1" s="164"/>
      <s:c r="G1" s="164"/>
      <s:c r="H1" s="164"/>
      <s:c r="I1" s="164"/>
      <s:c r="J1" s="164"/>
      <s:c r="K1" s="164"/>
      <s:c r="L1" s="164"/>
      <s:c r="M1" s="164"/>
      <s:c r="N1" s="164"/>
      <s:c r="O1" s="165"/>
    </s:row>
    <s:row r="2" spans="1:15" ht="24">
      <s:c r="A2" s="166" t="s">
        <s:v>3</s:v>
      </s:c>
      <s:c r="B2" s="167"/>
      <s:c r="C2" s="167"/>
      <s:c r="D2" s="168" t="str">
        <s:f>'Ялта, Ленина, 18'!I3</s:f>
        <s:v>ул. Набережная Ленина, 18</s:v>
      </s:c>
      <s:c r="E2" s="169"/>
      <s:c r="F2" s="169"/>
      <s:c r="G2" s="170" t="str">
        <s:f>График!B29</s:f>
        <s:v>Рогалевич Ирина</s:v>
      </s:c>
      <s:c r="H2" s="171"/>
      <s:c r="I2" s="171"/>
      <s:c r="J2" s="172" t="str">
        <s:f>График!B28</s:f>
        <s:v>Уразгильдеева Екатерина</s:v>
      </s:c>
      <s:c r="K2" s="173"/>
      <s:c r="L2" s="174"/>
      <s:c r="M2" s="172" t="str">
        <s:f>График!B27</s:f>
        <s:v>Самошкина Алина</s:v>
      </s:c>
      <s:c r="N2" s="173"/>
      <s:c r="O2" s="174"/>
    </s:row>
    <s:row r="3" spans="1:15">
      <s:c r="A3" s="175"/>
      <s:c r="B3" s="176"/>
      <s:c r="C3" s="176"/>
      <s:c r="D3" s="177" t="s">
        <s:v>72</s:v>
      </s:c>
      <s:c r="E3" s="178"/>
      <s:c r="F3" s="179" t="s">
        <s:v>73</s:v>
      </s:c>
      <s:c r="G3" s="180" t="s">
        <s:v>5</s:v>
      </s:c>
      <s:c r="H3" s="181"/>
      <s:c r="I3" s="182" t="s">
        <s:v>73</s:v>
      </s:c>
      <s:c r="J3" s="183" t="s">
        <s:v>5</s:v>
      </s:c>
      <s:c r="K3" s="184"/>
      <s:c r="L3" s="185" t="s">
        <s:v>73</s:v>
      </s:c>
      <s:c r="M3" s="183" t="s">
        <s:v>5</s:v>
      </s:c>
      <s:c r="N3" s="184"/>
      <s:c r="O3" s="185" t="s">
        <s:v>73</s:v>
      </s:c>
    </s:row>
    <s:row r="4" spans="1:15">
      <s:c r="A4" s="186" t="s">
        <s:v>12</s:v>
      </s:c>
      <s:c r="B4" s="186"/>
      <s:c r="C4" s="187"/>
      <s:c r="D4" s="188">
        <s:f>'Ялта, Ленина, 18'!K8</s:f>
        <s:v>0.60425937824738396</s:v>
      </s:c>
      <s:c r="E4" s="189">
        <s:f>'Ялта, Ленина, 18'!J8</s:f>
        <s:v>1218796</s:v>
      </s:c>
      <s:c r="F4" s="190">
        <s:f>'Ялта, Ленина, 18'!M8</s:f>
        <s:v>0.60425937824738396</s:v>
      </s:c>
      <s:c r="G4" s="191">
        <s:f>Рогалевич!N8</s:f>
        <s:v>0.75636054660234098</s:v>
      </s:c>
      <s:c r="H4" s="192">
        <s:f>Рогалевич!M8</s:f>
        <s:v>474399</s:v>
      </s:c>
      <s:c r="I4" s="193">
        <s:f>Рогалевич!P8</s:f>
        <s:v>0.75636054660234098</s:v>
      </s:c>
      <s:c r="J4" s="194">
        <s:f>Уразгильдеева!N8</s:f>
        <s:v>0.68291550525984701</s:v>
      </s:c>
      <s:c r="K4" s="192">
        <s:f>Уразгильдеева!M8</s:f>
        <s:v>576247</s:v>
      </s:c>
      <s:c r="L4" s="195">
        <s:f>Уразгильдеева!P8</s:f>
        <s:v>0.68291550525984701</s:v>
      </s:c>
      <s:c r="M4" s="194" t="e">
        <s:f>'[2]Яковенко А. К'!K8</s:f>
        <s:v>#REF!</s:v>
      </s:c>
      <s:c r="N4" s="192" t="e">
        <s:f>'[2]Яковенко А. К'!J8</s:f>
        <s:v>#REF!</s:v>
      </s:c>
      <s:c r="O4" s="195" t="e">
        <s:f>'[2]Яковенко А. К'!M8</s:f>
        <s:v>#REF!</s:v>
      </s:c>
    </s:row>
    <s:row r="5" spans="1:15">
      <s:c r="A5" s="35" t="s">
        <s:v>13</s:v>
      </s:c>
      <s:c r="B5" s="35"/>
      <s:c r="C5" s="196"/>
      <s:c r="D5" s="197">
        <s:f>'Ялта, Ленина, 18'!K9</s:f>
        <s:v>0.60892172961138402</s:v>
      </s:c>
      <s:c r="E5" s="198">
        <s:f>'Ялта, Ленина, 18'!J9</s:f>
        <s:v>178</s:v>
      </s:c>
      <s:c r="F5" s="199">
        <s:f>'Ялта, Ленина, 18'!M9</s:f>
        <s:v>0.60892172961138402</s:v>
      </s:c>
      <s:c r="G5" s="200">
        <s:f>Рогалевич!N9</s:f>
        <s:v>0.693066236665839</s:v>
      </s:c>
      <s:c r="H5" s="201">
        <s:f>Рогалевич!M9</s:f>
        <s:v>63</s:v>
      </s:c>
      <s:c r="I5" s="202">
        <s:f>Рогалевич!P9</s:f>
        <s:v>0.693066236665839</s:v>
      </s:c>
      <s:c r="J5" s="203">
        <s:f>Уразгильдеева!N9</s:f>
        <s:v>0.77683894874564197</s:v>
      </s:c>
      <s:c r="K5" s="204">
        <s:f>Уразгильдеева!M9</s:f>
        <s:v>95</s:v>
      </s:c>
      <s:c r="L5" s="205">
        <s:f>Уразгильдеева!P9</s:f>
        <s:v>0.77683894874564197</s:v>
      </s:c>
      <s:c r="M5" s="203" t="e">
        <s:f>'[2]Яковенко А. К'!K9</s:f>
        <s:v>#REF!</s:v>
      </s:c>
      <s:c r="N5" s="204" t="e">
        <s:f>'[2]Яковенко А. К'!J9</s:f>
        <s:v>#REF!</s:v>
      </s:c>
      <s:c r="O5" s="205" t="e">
        <s:f>'[2]Яковенко А. К'!M9</s:f>
        <s:v>#REF!</s:v>
      </s:c>
    </s:row>
    <s:row r="6" spans="1:15">
      <s:c r="A6" s="186" t="s">
        <s:v>14</s:v>
      </s:c>
      <s:c r="B6" s="186"/>
      <s:c r="C6" s="187"/>
      <s:c r="D6" s="197">
        <s:f>'Ялта, Ленина, 18'!K10</s:f>
        <s:v>0.93995903282926396</s:v>
      </s:c>
      <s:c r="E6" s="206">
        <s:f>'Ялта, Ленина, 18'!J10</s:f>
        <s:v>11285.148148148101</s:v>
      </s:c>
      <s:c r="F6" s="199">
        <s:f>'Ялта, Ленина, 18'!M10</s:f>
        <s:v>0.93995903282926396</s:v>
      </s:c>
      <s:c r="G6" s="200">
        <s:f>Рогалевич!N10</s:f>
        <s:v>0.94079745841365003</s:v>
      </s:c>
      <s:c r="H6" s="207">
        <s:f>Рогалевич!M10</s:f>
        <s:v>11295.214285714201</s:v>
      </s:c>
      <s:c r="I6" s="202">
        <s:f>Рогалевич!P10</s:f>
        <s:v>0.94079745841365003</s:v>
      </s:c>
      <s:c r="J6" s="203">
        <s:f>Уразгильдеева!N10</s:f>
        <s:v>0.959931700816258</s:v>
      </s:c>
      <s:c r="K6" s="207">
        <s:f>Уразгильдеева!M10</s:f>
        <s:v>11524.94</s:v>
      </s:c>
      <s:c r="L6" s="205">
        <s:f>Уразгильдеева!P10</s:f>
        <s:v>0.959931700816258</s:v>
      </s:c>
      <s:c r="M6" s="203" t="e">
        <s:f>'[2]Яковенко А. К'!K10</s:f>
        <s:v>#REF!</s:v>
      </s:c>
      <s:c r="N6" s="204" t="e">
        <s:f>'[2]Яковенко А. К'!J10</s:f>
        <s:v>#REF!</s:v>
      </s:c>
      <s:c r="O6" s="205" t="e">
        <s:f>'[2]Яковенко А. К'!M10</s:f>
        <s:v>#REF!</s:v>
      </s:c>
    </s:row>
    <s:row r="7" spans="1:15">
      <s:c r="A7" s="35" t="s">
        <s:v>15</s:v>
      </s:c>
      <s:c r="B7" s="35"/>
      <s:c r="C7" s="196"/>
      <s:c r="D7" s="197">
        <s:f>'Ялта, Ленина, 18'!K11</s:f>
        <s:v>0.99234326656896199</s:v>
      </s:c>
      <s:c r="E7" s="206">
        <s:f>'Ялта, Ленина, 18'!J11</s:f>
        <s:v>6847.1685393258404</s:v>
      </s:c>
      <s:c r="F7" s="199">
        <s:f>'Ялта, Ленина, 18'!M11</s:f>
        <s:v>0.992343266568954</s:v>
      </s:c>
      <s:c r="G7" s="200">
        <s:f>Рогалевич!N11</s:f>
        <s:v>1.0913250517598301</s:v>
      </s:c>
      <s:c r="H7" s="207">
        <s:f>Рогалевич!M11</s:f>
        <s:v>7530.1428571428496</s:v>
      </s:c>
      <s:c r="I7" s="202">
        <s:f>Рогалевич!P11</s:f>
        <s:v>1.0913250517598301</s:v>
      </s:c>
      <s:c r="J7" s="203">
        <s:f>Уразгильдеева!N11</s:f>
        <s:v>0.87909534706331005</s:v>
      </s:c>
      <s:c r="K7" s="207">
        <s:f>Уразгильдеева!M11</s:f>
        <s:v>6065.7578947368402</s:v>
      </s:c>
      <s:c r="L7" s="205">
        <s:f>Уразгильдеева!P11</s:f>
        <s:v>0.87909534706331005</s:v>
      </s:c>
      <s:c r="M7" s="203" t="e">
        <s:f>'[2]Яковенко А. К'!K11</s:f>
        <s:v>#REF!</s:v>
      </s:c>
      <s:c r="N7" s="204" t="e">
        <s:f>'[2]Яковенко А. К'!J11</s:f>
        <s:v>#REF!</s:v>
      </s:c>
      <s:c r="O7" s="205" t="e">
        <s:f>'[2]Яковенко А. К'!M11</s:f>
        <s:v>#REF!</s:v>
      </s:c>
    </s:row>
    <s:row r="8" spans="1:15">
      <s:c r="A8" s="35" t="s">
        <s:v>16</s:v>
      </s:c>
      <s:c r="B8" s="35"/>
      <s:c r="C8" s="196"/>
      <s:c r="D8" s="197">
        <s:f>'Ялта, Ленина, 18'!K12</s:f>
        <s:v>0.94721157939548695</s:v>
      </s:c>
      <s:c r="E8" s="208">
        <s:f>'Ялта, Ленина, 18'!J12</s:f>
        <s:v>1.6481481481481399</s:v>
      </s:c>
      <s:c r="F8" s="199">
        <s:f>'Ялта, Ленина, 18'!M12</s:f>
        <s:v>0.94721157939548695</s:v>
      </s:c>
      <s:c r="G8" s="200">
        <s:f>Рогалевич!N12</s:f>
        <s:v>0.86206896551724099</s:v>
      </s:c>
      <s:c r="H8" s="209">
        <s:f>Рогалевич!M12</s:f>
        <s:v>1.5</s:v>
      </s:c>
      <s:c r="I8" s="202">
        <s:f>Рогалевич!P12</s:f>
        <s:v>0.86206896551724099</s:v>
      </s:c>
      <s:c r="J8" s="203">
        <s:f>Уразгильдеева!N12</s:f>
        <s:v>1.0919540229885001</s:v>
      </s:c>
      <s:c r="K8" s="210">
        <s:f>Уразгильдеева!M12</s:f>
        <s:v>1.9</s:v>
      </s:c>
      <s:c r="L8" s="205">
        <s:f>Уразгильдеева!P12</s:f>
        <s:v>1.0919540229885001</s:v>
      </s:c>
      <s:c r="M8" s="203" t="e">
        <s:f>'[2]Яковенко А. К'!K12</s:f>
        <s:v>#REF!</s:v>
      </s:c>
      <s:c r="N8" s="210" t="e">
        <s:f>'[2]Яковенко А. К'!J12</s:f>
        <s:v>#REF!</s:v>
      </s:c>
      <s:c r="O8" s="205" t="e">
        <s:f>'[2]Яковенко А. К'!M12</s:f>
        <s:v>#REF!</s:v>
      </s:c>
    </s:row>
    <s:row r="9" spans="1:15">
      <s:c r="A9" s="35" t="s">
        <s:v>17</s:v>
      </s:c>
      <s:c r="B9" s="35"/>
      <s:c r="C9" s="196"/>
      <s:c r="D9" s="197">
        <s:f>'Ялта, Ленина, 18'!K13</s:f>
        <s:v>0.64285714285714202</s:v>
      </s:c>
      <s:c r="E9" s="198">
        <s:f>'Ялта, Ленина, 18'!J13</s:f>
        <s:v>108</s:v>
      </s:c>
      <s:c r="F9" s="199">
        <s:f>'Ялта, Ленина, 18'!M13</s:f>
        <s:v>0.64285714285714302</s:v>
      </s:c>
      <s:c r="G9" s="200">
        <s:f>Рогалевич!N13</s:f>
        <s:v>0.80395683453237399</s:v>
      </s:c>
      <s:c r="H9" s="201">
        <s:f>Рогалевич!M13</s:f>
        <s:v>42</s:v>
      </s:c>
      <s:c r="I9" s="202">
        <s:f>Рогалевич!P13</s:f>
        <s:v>0.80395683453237299</s:v>
      </s:c>
      <s:c r="J9" s="203">
        <s:f>Уразгильдеева!N13</s:f>
        <s:v>0.71142093200916701</s:v>
      </s:c>
      <s:c r="K9" s="204">
        <s:f>Уразгильдеева!M13</s:f>
        <s:v>50</s:v>
      </s:c>
      <s:c r="L9" s="205">
        <s:f>Уразгильдеева!P13</s:f>
        <s:v>0.71142093200916701</s:v>
      </s:c>
      <s:c r="M9" s="203" t="e">
        <s:f>'[2]Яковенко А. К'!K13</s:f>
        <s:v>#REF!</s:v>
      </s:c>
      <s:c r="N9" s="204" t="e">
        <s:f>'[2]Яковенко А. К'!J13</s:f>
        <s:v>#REF!</s:v>
      </s:c>
      <s:c r="O9" s="205" t="e">
        <s:f>'[2]Яковенко А. К'!M13</s:f>
        <s:v>#REF!</s:v>
      </s:c>
    </s:row>
    <s:row r="10" spans="1:15">
      <s:c r="A10" s="35" t="s">
        <s:v>74</s:v>
      </s:c>
      <s:c r="B10" s="35"/>
      <s:c r="C10" s="196"/>
      <s:c r="D10" s="197">
        <s:f>'Ялта, Ленина, 18'!K14</s:f>
        <s:v>1</s:v>
      </s:c>
      <s:c r="E10" s="211">
        <s:f>'Ялта, Ленина, 18'!J14</s:f>
        <s:v>31</s:v>
      </s:c>
      <s:c r="F10" s="199"/>
      <s:c r="G10" s="200">
        <s:f>Рогалевич!N14</s:f>
        <s:v>1</s:v>
      </s:c>
      <s:c r="H10" s="201">
        <s:f>Рогалевич!M14</s:f>
        <s:v>14</s:v>
      </s:c>
      <s:c r="I10" s="202"/>
      <s:c r="J10" s="203">
        <s:f>Уразгильдеева!N14</s:f>
        <s:v>1</s:v>
      </s:c>
      <s:c r="K10" s="201">
        <s:f>Уразгильдеева!M14</s:f>
        <s:v>17</s:v>
      </s:c>
      <s:c r="L10" s="205"/>
      <s:c r="M10" s="203" t="e">
        <s:f>'[2]Яковенко А. К'!K14</s:f>
        <s:v>#REF!</s:v>
      </s:c>
      <s:c r="N10" s="204" t="e">
        <s:f>'[2]Яковенко А. К'!J14</s:f>
        <s:v>#REF!</s:v>
      </s:c>
      <s:c r="O10" s="205"/>
    </s:row>
    <s:row r="11" spans="1:15">
      <s:c r="A11" s="35" t="s">
        <s:v>19</s:v>
      </s:c>
      <s:c r="B11" s="35"/>
      <s:c r="C11" s="196"/>
      <s:c r="D11" s="197">
        <s:f>'Ялта, Ленина, 18'!K15</s:f>
        <s:v>0.60425937824738396</s:v>
      </s:c>
      <s:c r="E11" s="212">
        <s:f>'Ялта, Ленина, 18'!J15</s:f>
        <s:v>39316</s:v>
      </s:c>
      <s:c r="F11" s="199">
        <s:f>'Ялта, Ленина, 18'!M15</s:f>
        <s:v>0.60425937824738396</s:v>
      </s:c>
      <s:c r="G11" s="200">
        <s:f>Рогалевич!N15</s:f>
        <s:v>0.52079859305041298</s:v>
      </s:c>
      <s:c r="H11" s="207">
        <s:f>Рогалевич!M15</s:f>
        <s:v>33885.642857142797</s:v>
      </s:c>
      <s:c r="I11" s="202">
        <s:f>Рогалевич!P15</s:f>
        <s:v>0.52079859305041298</s:v>
      </s:c>
      <s:c r="J11" s="203">
        <s:f>Уразгильдеева!N15</s:f>
        <s:v>0.52097133622731095</s:v>
      </s:c>
      <s:c r="K11" s="207">
        <s:f>Уразгильдеева!M15</s:f>
        <s:v>33896.882352941102</s:v>
      </s:c>
      <s:c r="L11" s="205">
        <s:f>Уразгильдеева!P15</s:f>
        <s:v>0.52097133622731095</s:v>
      </s:c>
      <s:c r="M11" s="203" t="e">
        <s:f>'[2]Яковенко А. К'!K15</s:f>
        <s:v>#REF!</s:v>
      </s:c>
      <s:c r="N11" s="204" t="e">
        <s:f>'[2]Яковенко А. К'!J15</s:f>
        <s:v>#REF!</s:v>
      </s:c>
      <s:c r="O11" s="205" t="e">
        <s:f>'[2]Яковенко А. К'!M15</s:f>
        <s:v>#REF!</s:v>
      </s:c>
    </s:row>
    <s:row r="12" spans="1:15">
      <s:c r="A12" s="213" t="s">
        <s:v>21</s:v>
      </s:c>
      <s:c r="B12" s="214"/>
      <s:c r="C12" s="215"/>
      <s:c r="D12" s="197">
        <s:f>'Ялта, Ленина, 18'!K17</s:f>
        <s:v>0.93771428571428583</s:v>
      </s:c>
      <s:c r="E12" s="211">
        <s:f>'Ялта, Ленина, 18'!J17</s:f>
        <s:v>1312.8000000000002</s:v>
      </s:c>
      <s:c r="F12" s="199">
        <s:f>'Ялта, Ленина, 18'!M17</s:f>
        <s:v>0.93771428571428495</s:v>
      </s:c>
      <s:c r="G12" s="200">
        <s:f>Рогалевич!N17</s:f>
        <s:v>0.68451181911613501</s:v>
      </s:c>
      <s:c r="H12" s="201">
        <s:f>Рогалевич!M17</s:f>
        <s:v>298</s:v>
      </s:c>
      <s:c r="I12" s="202">
        <s:f>Рогалевич!P17</s:f>
        <s:v>0.68451181911613501</s:v>
      </s:c>
      <s:c r="J12" s="203">
        <s:f>Уразгильдеева!N17</s:f>
        <s:v>1.0500572956455301</s:v>
      </s:c>
      <s:c r="K12" s="201">
        <s:f>Уразгильдеева!M17</s:f>
        <s:v>615</s:v>
      </s:c>
      <s:c r="L12" s="205">
        <s:f>Уразгильдеева!P17</s:f>
        <s:v>1.0500572956455301</s:v>
      </s:c>
      <s:c r="M12" s="203" t="e">
        <s:f>'[2]Яковенко А. К'!K17</s:f>
        <s:v>#REF!</s:v>
      </s:c>
      <s:c r="N12" s="201" t="e">
        <s:f>'[2]Яковенко А. К'!J17</s:f>
        <s:v>#REF!</s:v>
      </s:c>
      <s:c r="O12" s="205" t="e">
        <s:f>'[2]Яковенко А. К'!M17</s:f>
        <s:v>#REF!</s:v>
      </s:c>
    </s:row>
    <s:row r="13" spans="1:15">
      <s:c r="A13" s="213" t="s">
        <s:v>35</s:v>
      </s:c>
      <s:c r="B13" s="214"/>
      <s:c r="C13" s="215"/>
      <s:c r="D13" s="197">
        <s:f>'Ялта, Ленина, 18'!R19</s:f>
        <s:v>0</s:v>
      </s:c>
      <s:c r="E13" s="212">
        <s:f>'Ялта, Ленина, 18'!S18</s:f>
        <s:v>0</s:v>
      </s:c>
      <s:c r="F13" s="199">
        <s:f>'Ялта, Ленина, 18'!S19</s:f>
        <s:v>0</s:v>
      </s:c>
      <s:c r="G13" s="200">
        <s:f>Рогалевич!X19</s:f>
        <s:v>0</s:v>
      </s:c>
      <s:c r="H13" s="207">
        <s:f>Рогалевич!Y18</s:f>
        <s:v>0</s:v>
      </s:c>
      <s:c r="I13" s="202">
        <s:f>Рогалевич!Y19</s:f>
        <s:v>0</s:v>
      </s:c>
      <s:c r="J13" s="203">
        <s:f>Уразгильдеева!U19</s:f>
        <s:v>0</s:v>
      </s:c>
      <s:c r="K13" s="207">
        <s:f>Уразгильдеева!V18</s:f>
        <s:v>0</s:v>
      </s:c>
      <s:c r="L13" s="205">
        <s:f>Уразгильдеева!V19</s:f>
        <s:v>0</s:v>
      </s:c>
      <s:c r="M13" s="203" t="e">
        <s:f>'[2]Яковенко А. К'!S19</s:f>
        <s:v>#REF!</s:v>
      </s:c>
      <s:c r="N13" s="216" t="e">
        <s:f>'[2]Яковенко А. К'!T18</s:f>
        <s:v>#REF!</s:v>
      </s:c>
      <s:c r="O13" s="205" t="e">
        <s:f>'[2]Яковенко А. К'!T19</s:f>
        <s:v>#REF!</s:v>
      </s:c>
    </s:row>
    <s:row r="14" spans="1:15">
      <s:c r="A14" s="213" t="s">
        <s:v>36</s:v>
      </s:c>
      <s:c r="B14" s="214"/>
      <s:c r="C14" s="215"/>
      <s:c r="D14" s="217">
        <s:f>'Ялта, Ленина, 18'!R13</s:f>
        <s:v>0</s:v>
      </s:c>
      <s:c r="E14" s="212">
        <s:f>'Ялта, Ленина, 18'!S12</s:f>
        <s:v>0</s:v>
      </s:c>
      <s:c r="F14" s="218">
        <s:f>'Ялта, Ленина, 18'!S13</s:f>
        <s:v>0</s:v>
      </s:c>
      <s:c r="G14" s="200">
        <s:f>Рогалевич!Y13</s:f>
        <s:v>0</s:v>
      </s:c>
      <s:c r="H14" s="207">
        <s:f>Рогалевич!Y12</s:f>
        <s:v>0</s:v>
      </s:c>
      <s:c r="I14" s="202">
        <s:f>Рогалевич!Z13</s:f>
        <s:v>0</s:v>
      </s:c>
      <s:c r="J14" s="203">
        <s:f>Уразгильдеева!U13</s:f>
        <s:v>0</s:v>
      </s:c>
      <s:c r="K14" s="207">
        <s:f>Уразгильдеева!V12</s:f>
        <s:v>0</s:v>
      </s:c>
      <s:c r="L14" s="205">
        <s:f>Уразгильдеева!V13</s:f>
        <s:v>0</s:v>
      </s:c>
      <s:c r="M14" s="203" t="e">
        <s:f>'[2]Яковенко А. К'!S13</s:f>
        <s:v>#REF!</s:v>
      </s:c>
      <s:c r="N14" s="207" t="e">
        <s:f>'[2]Яковенко А. К'!T12</s:f>
        <s:v>#REF!</s:v>
      </s:c>
      <s:c r="O14" s="205" t="e">
        <s:f>'[2]Яковенко А. К'!T13</s:f>
        <s:v>#REF!</s:v>
      </s:c>
    </s:row>
    <s:row r="15" spans="1:15">
      <s:c r="A15" s="213" t="str">
        <s:f>'Ялта, Ленина, 18'!M23</s:f>
        <s:v>Agafi</s:v>
      </s:c>
      <s:c r="B15" s="214"/>
      <s:c r="C15" s="215"/>
      <s:c r="D15" s="219">
        <s:f>'Ялта, Ленина, 18'!U13</s:f>
        <s:v>0</s:v>
      </s:c>
      <s:c r="E15" s="220">
        <s:f>'Ялта, Ленина, 18'!V12</s:f>
        <s:v>0</s:v>
      </s:c>
      <s:c r="F15" s="221">
        <s:f>'Ялта, Ленина, 18'!V13</s:f>
        <s:v>0</s:v>
      </s:c>
      <s:c r="G15" s="222">
        <s:f>Рогалевич!AB13</s:f>
        <s:v>0</s:v>
      </s:c>
      <s:c r="H15" s="223">
        <s:f>Рогалевич!AB12</s:f>
        <s:v>0</s:v>
      </s:c>
      <s:c r="I15" s="224">
        <s:f>Рогалевич!AC13</s:f>
        <s:v>0</s:v>
      </s:c>
      <s:c r="J15" s="225">
        <s:f>Уразгильдеева!X13</s:f>
        <s:v>0</s:v>
      </s:c>
      <s:c r="K15" s="223">
        <s:f>Уразгильдеева!Y12</s:f>
        <s:v>0</s:v>
      </s:c>
      <s:c r="L15" s="226">
        <s:f>Уразгильдеева!Y13</s:f>
        <s:v>0</s:v>
      </s:c>
      <s:c r="M15" s="225" t="e">
        <s:f>'[2]Яковенко А. К'!V13</s:f>
        <s:v>#REF!</s:v>
      </s:c>
      <s:c r="N15" s="223" t="e">
        <s:f>'[2]Яковенко А. К'!W12</s:f>
        <s:v>#REF!</s:v>
      </s:c>
      <s:c r="O15" s="226" t="e">
        <s:f>'[2]Яковенко А. К'!W13</s:f>
        <s:v>#REF!</s:v>
      </s:c>
    </s:row>
    <s:row r="16" spans="1:15">
      <s:c r="A16" s="227" t="s">
        <s:v>75</s:v>
      </s:c>
      <s:c r="B16" s="227"/>
      <s:c r="C16" s="227"/>
      <s:c r="D16" s="228">
        <s:f>'Ялта, Ленина, 18'!J16</s:f>
        <s:v>-798212</s:v>
      </s:c>
      <s:c r="E16" s="229"/>
      <s:c r="F16" s="230"/>
      <s:c r="G16" s="231">
        <s:f>Рогалевич!Q8</s:f>
        <s:v>-152813.77852349001</s:v>
      </s:c>
      <s:c r="H16" s="232"/>
      <s:c r="I16" s="233"/>
      <s:c r="J16" s="234">
        <s:f>Уразгильдеева!Q8</s:f>
        <s:v>-267557.24161073798</s:v>
      </s:c>
      <s:c r="K16" s="223"/>
      <s:c r="L16" s="235"/>
      <s:c r="M16" s="234" t="e">
        <s:f>'[2]Яковенко А. К'!N8</s:f>
        <s:v>#REF!</s:v>
      </s:c>
      <s:c r="N16" s="223"/>
      <s:c r="O16" s="235"/>
    </s:row>
  </s:sheetData>
  <s:pageMargins left="0.7" right="0.7" top="0.75" bottom="0.75" header="0.3" footer="0.3"/>
</s:worksheet>
</file>

<file path=xl/worksheets/sheet4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300-000000000000}">
  <s:dimension ref="A1:B10"/>
  <s:sheetViews>
    <s:sheetView tabSelected="0" workbookViewId="0">
      <s:selection activeCell="F9" sqref="F9"/>
    </s:sheetView>
  </s:sheetViews>
  <s:sheetFormatPr baseColWidth="10" defaultColWidth="10" defaultRowHeight="15"/>
  <s:cols>
    <s:col min="1" max="1" width="25.832" customWidth="1"/>
  </s:cols>
  <s:sheetData>
    <s:row r="1" spans="1:2">
      <s:c r="A1" s="236" t="s">
        <s:v>12</s:v>
      </s:c>
      <s:c r="B1" s="237">
        <s:v>73000</s:v>
      </s:c>
    </s:row>
    <s:row r="2" spans="1:2">
      <s:c r="A2" s="186" t="s">
        <s:v>13</s:v>
      </s:c>
      <s:c r="B2" s="238">
        <s:f>B1/B4</s:f>
        <s:v>10.579710144927537</s:v>
      </s:c>
    </s:row>
    <s:row r="3" spans="1:2">
      <s:c r="A3" s="186" t="s">
        <s:v>14</s:v>
      </s:c>
      <s:c r="B3" s="239">
        <s:f>B4*B5</s:f>
        <s:v>12006</s:v>
      </s:c>
    </s:row>
    <s:row r="4" spans="1:2">
      <s:c r="A4" s="186" t="s">
        <s:v>15</s:v>
      </s:c>
      <s:c r="B4" s="240">
        <s:f>'Ялта, Ленина, 18'!I11</s:f>
        <s:v>6900</s:v>
      </s:c>
    </s:row>
    <s:row r="5" spans="1:2">
      <s:c r="A5" s="186" t="s">
        <s:v>16</s:v>
      </s:c>
      <s:c r="B5" s="241">
        <s:f>'Ялта, Ленина, 18'!I12</s:f>
        <s:v>1.74</s:v>
      </s:c>
    </s:row>
    <s:row r="6" spans="1:2">
      <s:c r="A6" s="186" t="s">
        <s:v>17</s:v>
      </s:c>
      <s:c r="B6" s="239">
        <s:f>IF(B5&lt;&gt;0,B2/B5,"")</s:f>
        <s:v>6.0802931867399641</s:v>
      </s:c>
    </s:row>
    <s:row r="7" spans="1:2">
      <s:c r="A7" s="186" t="s">
        <s:v>43</s:v>
      </s:c>
      <s:c r="B7" s="242">
        <s:f>'Ялта, Ленина, 18'!I20</s:f>
        <s:v>0.12</s:v>
      </s:c>
    </s:row>
    <s:row r="8" spans="1:2">
      <s:c r="A8" s="243" t="s">
        <s:v>36</s:v>
      </s:c>
      <s:c r="B8" s="244" t="e">
        <s:f>('Ялта, Ленина, 18'!R12-'Ялта, Ленина, 18'!S12)/('Ялта, Ленина, 18'!I14-'Ялта, Ленина, 18'!J14)</s:f>
        <s:v>#DIV/0!</s:v>
      </s:c>
    </s:row>
    <s:row r="9" spans="1:2">
      <s:c r="A9" s="243" t="s">
        <s:v>35</s:v>
      </s:c>
      <s:c r="B9" s="244" t="e">
        <s:f>('Ялта, Ленина, 18'!R18-'Ялта, Ленина, 18'!S18)/('Ялта, Ленина, 18'!I14-'Ялта, Ленина, 18'!J14)</s:f>
        <s:v>#DIV/0!</s:v>
      </s:c>
    </s:row>
    <s:row r="10" spans="1:2">
      <s:c r="A10" s="245" t="str">
        <s:f>'Ялта, Ленина, 18'!M23</s:f>
        <s:v>Agafi</s:v>
      </s:c>
      <s:c r="B10" s="246" t="e">
        <s:f>('Ялта, Ленина, 18'!U12-'Ялта, Ленина, 18'!V12)/('Ялта, Ленина, 18'!I14-'Ялта, Ленина, 18'!J14)</s:f>
        <s:v>#DIV/0!</s:v>
      </s:c>
    </s:row>
  </s:sheetData>
  <s:pageMargins left="0.7" right="0.7" top="0.75" bottom="0.75" header="0.3" footer="0.3"/>
</s:worksheet>
</file>

<file path=xl/worksheets/sheet5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400-000000000000}">
  <s:sheetPr>
    <s:pageSetUpPr fitToPage="1"/>
  </s:sheetPr>
  <s:dimension ref="A1:IZ62"/>
  <s:sheetViews>
    <s:sheetView showZeros="0" tabSelected="0" topLeftCell="A26" workbookViewId="0">
      <s:pane xSplit="30" topLeftCell="AE1" activePane="topRight" state="frozen"/>
      <s:selection activeCell="A21" sqref="A21"/>
      <s:selection pane="topRight" activeCell="R31" sqref="R31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7" width="10.832" style="3" customWidth="1"/>
    <s:col min="18" max="18" width="11.3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5" width="9.164" style="3" bestFit="1" customWidth="1"/>
    <s:col min="36" max="260" width="9.164" style="2" bestFit="1" customWidth="1"/>
  </s:cols>
  <s:sheetData>
    <s:row r="1" spans="2:28" ht="15.75" customHeight="1">
      <s:c r="B1" s="87" t="s">
        <s:v>52</s:v>
      </s:c>
      <s:c r="C1" s="247"/>
      <s:c r="D1" s="11"/>
      <s:c r="E1" s="11"/>
      <s:c r="F1" s="12"/>
      <s:c r="G1" s="12"/>
      <s:c r="H1" s="12"/>
      <s:c r="I1" s="12"/>
      <s:c r="J1" s="248"/>
      <s:c r="K1" s="248"/>
      <s:c r="L1" s="248"/>
      <s:c r="M1" s="248"/>
      <s:c r="N1" s="248"/>
      <s:c r="O1" s="248"/>
      <s:c r="P1" s="248"/>
      <s:c r="Q1" s="248"/>
      <s:c r="R1" s="248"/>
      <s:c r="S1" s="248"/>
      <s:c r="T1" s="248"/>
      <s:c r="U1" s="248"/>
      <s:c r="V1" s="581"/>
      <s:c r="W1" s="581"/>
      <s:c r="X1" s="581"/>
      <s:c r="Y1" s="581"/>
      <s:c r="Z1" s="12"/>
      <s:c r="AA1" s="12"/>
      <s:c r="AB1" s="12"/>
    </s:row>
    <s:row r="2" spans="2:28" ht="21.75" customHeight="1">
      <s:c r="B2" s="582" t="s">
        <s:v>0</s:v>
      </s:c>
      <s:c r="C2" s="582"/>
      <s:c r="D2" s="11"/>
      <s:c r="E2" s="11"/>
      <s:c r="F2" s="12"/>
      <s:c r="G2" s="12"/>
      <s:c r="H2" s="12"/>
      <s:c r="I2" s="12"/>
      <s:c r="J2" s="591" t="s">
        <s:v>142</s:v>
      </s:c>
      <s:c r="K2" s="591"/>
      <s:c r="L2" s="591"/>
      <s:c r="M2" s="591"/>
      <s:c r="N2" s="591"/>
      <s:c r="O2" s="591"/>
      <s:c r="P2" s="591"/>
      <s:c r="Q2" s="591"/>
      <s:c r="R2" s="591"/>
      <s:c r="S2" s="591"/>
      <s:c r="T2" s="508"/>
      <s:c r="U2" s="508"/>
      <s:c r="V2" s="581"/>
      <s:c r="W2" s="581"/>
      <s:c r="X2" s="581"/>
      <s:c r="Y2" s="581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583" t="str">
        <s:f>График!B29</s:f>
        <s:v>Рогалевич Ирина</s:v>
      </s:c>
      <s:c r="K3" s="584"/>
      <s:c r="L3" s="584"/>
      <s:c r="M3" s="584"/>
      <s:c r="N3" s="584"/>
      <s:c r="O3" s="584"/>
      <s:c r="P3" s="584"/>
      <s:c r="Q3" s="584"/>
      <s:c r="R3" s="584"/>
      <s:c r="S3" s="585"/>
      <s:c r="T3" s="12"/>
      <s:c r="U3" s="12"/>
      <s:c r="V3" s="581"/>
      <s:c r="W3" s="581"/>
      <s:c r="X3" s="581"/>
      <s:c r="Y3" s="581"/>
      <s:c r="Z3" s="12"/>
      <s:c r="AA3" s="12"/>
      <s:c r="AB3" s="12"/>
    </s:row>
    <s:row r="4" spans="2:28" ht="15" customHeight="1">
      <s:c r="B4" s="11"/>
      <s:c r="C4" s="589">
        <s:f>L8-D57</s:f>
        <s:v>152813.77852348899</s:v>
      </s:c>
      <s:c r="D4" s="590"/>
      <s:c r="E4" s="249">
        <s:f>IF(L8&lt;&gt;0,C4/L8,0)</s:f>
        <s:v>0.243639453397658</s:v>
      </s:c>
      <s:c r="F4" s="12"/>
      <s:c r="G4" s="12"/>
      <s:c r="H4" s="12"/>
      <s:c r="I4" s="12"/>
      <s:c r="J4" s="586"/>
      <s:c r="K4" s="587"/>
      <s:c r="L4" s="587"/>
      <s:c r="M4" s="587"/>
      <s:c r="N4" s="587"/>
      <s:c r="O4" s="587"/>
      <s:c r="P4" s="587"/>
      <s:c r="Q4" s="587"/>
      <s:c r="R4" s="587"/>
      <s:c r="S4" s="588"/>
      <s:c r="T4" s="12"/>
      <s:c r="U4" s="12"/>
      <s:c r="V4" s="581"/>
      <s:c r="W4" s="581"/>
      <s:c r="X4" s="581"/>
      <s:c r="Y4" s="581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12"/>
      <s:c r="K5" s="12"/>
      <s:c r="L5" s="12"/>
      <s:c r="M5" s="571"/>
      <s:c r="N5" s="571"/>
      <s:c r="O5" s="571"/>
      <s:c r="P5" s="571"/>
      <s:c r="Q5" s="571"/>
      <s:c r="R5" s="571"/>
      <s:c r="S5" s="571"/>
      <s:c r="T5" s="571"/>
      <s:c r="U5" s="571"/>
      <s:c r="V5" s="571"/>
      <s:c r="W5" s="12"/>
      <s:c r="X5" s="12"/>
      <s:c r="Y5" s="12"/>
      <s:c r="Z5" s="12"/>
      <s:c r="AA5" s="12"/>
      <s:c r="AB5" s="12"/>
    </s:row>
    <s:row r="6" spans="2:28" ht="15.75" customHeight="1" thickBot="1">
      <s:c r="B6" s="250"/>
      <s:c r="C6" s="12"/>
      <s:c r="D6" s="12"/>
      <s:c r="E6" s="12"/>
      <s:c r="F6" s="12"/>
      <s:c r="G6" s="12"/>
      <s:c r="H6" s="12"/>
      <s:c r="I6" s="578" t="s">
        <s:v>2</s:v>
      </s:c>
      <s:c r="J6" s="579"/>
      <s:c r="K6" s="579"/>
      <s:c r="L6" s="579"/>
      <s:c r="M6" s="579"/>
      <s:c r="N6" s="579"/>
      <s:c r="O6" s="579"/>
      <s:c r="P6" s="579"/>
      <s:c r="Q6" s="579"/>
      <s:c r="R6" s="579"/>
      <s:c r="S6" s="579"/>
      <s:c r="T6" s="58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250"/>
      <s:c r="C7" s="12"/>
      <s:c r="D7" s="12"/>
      <s:c r="E7" s="12"/>
      <s:c r="F7" s="12"/>
      <s:c r="G7" s="12"/>
      <s:c r="H7" s="12"/>
      <s:c r="I7" s="572" t="s">
        <s:v>3</s:v>
      </s:c>
      <s:c r="J7" s="573"/>
      <s:c r="K7" s="574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549" t="s">
        <s:v>11</s:v>
      </s:c>
      <s:c r="T7" s="550"/>
      <s:c r="U7" s="12"/>
      <s:c r="V7" s="12"/>
      <s:c r="W7" s="12"/>
      <s:c r="X7" s="18"/>
      <s:c r="Y7" s="12"/>
      <s:c r="Z7" s="12"/>
      <s:c r="AA7" s="12"/>
      <s:c r="AB7" s="12"/>
    </s:row>
    <s:row r="8" spans="2:28" ht="15.75" customHeight="1">
      <s:c r="B8" s="250"/>
      <s:c r="C8" s="12"/>
      <s:c r="D8" s="12"/>
      <s:c r="E8" s="12"/>
      <s:c r="F8" s="12"/>
      <s:c r="G8" s="12"/>
      <s:c r="H8" s="12"/>
      <s:c r="I8" s="575" t="s">
        <s:v>12</s:v>
      </s:c>
      <s:c r="J8" s="576"/>
      <s:c r="K8" s="577"/>
      <s:c r="L8" s="251">
        <s:f>'Ялта, Ленина, 18'!I8/График!AJ30*График!AJ29</s:f>
        <s:v>627212.77852348995</s:v>
      </s:c>
      <s:c r="M8" s="252">
        <s:f>D57</s:f>
        <s:v>474399</s:v>
      </s:c>
      <s:c r="N8" s="27">
        <s:f>IF(AND(L8&lt;&gt;"",L8&lt;&gt;0,M8&lt;&gt;""),M8/L8,"")</s:f>
        <s:v>0.75636054660234098</s:v>
      </s:c>
      <s:c r="O8" s="253">
        <s:f>IF(SUMIF($D$25:$D$56,"&gt;=0",$U$25:$U$56)&lt;&gt;0,L8*D57/SUMIF($D$25:$D$56,"&gt;=0",$U$25:$U$56),0)</s:f>
        <s:v>474398.99999999901</s:v>
      </s:c>
      <s:c r="P8" s="254">
        <s:f>IF(AND(L8&lt;&gt;"",L8&lt;&gt;0,O8&lt;&gt;"",O8&lt;&gt;0),O8/L8,"")</s:f>
        <s:v>0.75636054660234098</s:v>
      </s:c>
      <s:c r="Q8" s="32">
        <s:f>IF(AND(M8&lt;&gt;0,M8&lt;&gt;"",L8&lt;&gt;0,L8&lt;&gt;""),O8-L8,"")</s:f>
        <s:v>-152813.77852349001</s:v>
      </s:c>
      <s:c r="R8" s="255"/>
      <s:c r="S8" s="32" t="str">
        <s:f>IF(AND(R8&lt;&gt;"",R8&lt;&gt;0,O8&lt;&gt;"",O8&lt;&gt;0),-R8+O8,"")</s:f>
        <s:v/>
      </s:c>
      <s:c r="T8" s="33" t="str">
        <s:f>IF(AND(S8&lt;&gt;"",S8&lt;&gt;0,R8&lt;&gt;0,R8&lt;&gt;""),S8/R8,"")</s:f>
        <s:v/>
      </s:c>
      <s:c r="U8" s="12"/>
      <s:c r="V8" s="12"/>
      <s:c r="W8" s="12"/>
      <s:c r="X8" s="12"/>
      <s:c r="Y8" s="12"/>
      <s:c r="Z8" s="12"/>
      <s:c r="AA8" s="12"/>
      <s:c r="AB8" s="12"/>
    </s:row>
    <s:row r="9" spans="2:28" ht="15.75" customHeight="1">
      <s:c r="B9" s="250"/>
      <s:c r="C9" s="12"/>
      <s:c r="D9" s="12"/>
      <s:c r="E9" s="12"/>
      <s:c r="F9" s="12"/>
      <s:c r="G9" s="12"/>
      <s:c r="H9" s="12"/>
      <s:c r="I9" s="533" t="s">
        <s:v>13</s:v>
      </s:c>
      <s:c r="J9" s="534"/>
      <s:c r="K9" s="535"/>
      <s:c r="L9" s="36">
        <s:f>L8/L11</s:f>
        <s:v>90.900402684563701</s:v>
      </s:c>
      <s:c r="M9" s="37">
        <s:f>E57</s:f>
        <s:v>63</s:v>
      </s:c>
      <s:c r="N9" s="38">
        <s:f>IF(AND(L9&lt;&gt;"",L9&lt;&gt;0,M9&lt;&gt;""),M9/L9,"")</s:f>
        <s:v>0.693066236665839</s:v>
      </s:c>
      <s:c r="O9" s="256">
        <s:f>IF(SUMIF($E$25:$E$54,"&gt;=0",$V$25:$V$54)&lt;&gt;0,L9*E57/SUMIF($E$25:$E$54,"&gt;=0",$V$25:$V$54),0)</s:f>
        <s:v>62.999999999999901</s:v>
      </s:c>
      <s:c r="P9" s="257">
        <s:f>IF(AND(L9&lt;&gt;"",L9&lt;&gt;0,O9&lt;&gt;"",O9&lt;&gt;0),O9/L9,"")</s:f>
        <s:v>0.693066236665839</s:v>
      </s:c>
      <s:c r="Q9" s="41">
        <s:f>IF(AND(M9&lt;&gt;0,M9&lt;&gt;"",L9&lt;&gt;0,L9&lt;&gt;""),O9-L9,"")</s:f>
        <s:v>-27.900402684563701</s:v>
      </s:c>
      <s:c r="R9" s="258" t="e">
        <s:f>R8/R11</s:f>
        <s:v>#DIV/0!</s:v>
      </s:c>
      <s:c r="S9" s="41" t="e">
        <s:f>IF(AND(R9&lt;&gt;"",R9&lt;&gt;0,O9&lt;&gt;"",O9&lt;&gt;0),-R9+O9,"")</s:f>
        <s:v>#DIV/0!</s:v>
      </s:c>
      <s:c r="T9" s="43" t="e">
        <s:f>IF(AND(S9&lt;&gt;"",S9&lt;&gt;0,R9&lt;&gt;0,R9&lt;&gt;""),S9/R9,"")</s:f>
        <s:v>#DIV/0!</s:v>
      </s:c>
      <s:c r="U9" s="12"/>
      <s:c r="V9" s="12"/>
      <s:c r="W9" s="12"/>
      <s:c r="X9" s="12"/>
      <s:c r="Y9" s="12"/>
      <s:c r="Z9" s="12"/>
      <s:c r="AA9" s="12"/>
      <s:c r="AB9" s="12"/>
    </s:row>
    <s:row r="10" spans="2:28" ht="15.75" customHeight="1">
      <s:c r="B10" s="250"/>
      <s:c r="C10" s="12"/>
      <s:c r="D10" s="12"/>
      <s:c r="E10" s="12"/>
      <s:c r="F10" s="12"/>
      <s:c r="G10" s="12"/>
      <s:c r="H10" s="12"/>
      <s:c r="I10" s="539" t="s">
        <s:v>14</s:v>
      </s:c>
      <s:c r="J10" s="540"/>
      <s:c r="K10" s="541"/>
      <s:c r="L10" s="48">
        <s:f>L11*L12</s:f>
        <s:v>12006</s:v>
      </s:c>
      <s:c r="M10" s="259">
        <s:f>H57</s:f>
        <s:v>11295.214285714201</s:v>
      </s:c>
      <s:c r="N10" s="260">
        <s:f>IF(AND(L10&lt;&gt;"",L10&lt;&gt;0,M10&lt;&gt;""),M10/L10,"")</s:f>
        <s:v>0.94079745841365003</s:v>
      </s:c>
      <s:c r="O10" s="256">
        <s:f>M10</s:f>
        <s:v>11295.214285714201</s:v>
      </s:c>
      <s:c r="P10" s="261">
        <s:f>IF(AND(L10&lt;&gt;"",L10&lt;&gt;0,O10&lt;&gt;"",O10&lt;&gt;0),O10/L10,"")</s:f>
        <s:v>0.94079745841365003</s:v>
      </s:c>
      <s:c r="Q10" s="47">
        <s:f>IF(AND(M10&lt;&gt;0,M10&lt;&gt;"",L10&lt;&gt;0,L10&lt;&gt;""),O10-L10,"")</s:f>
        <s:v>-710.78571428571297</s:v>
      </s:c>
      <s:c r="R10" s="48">
        <s:f>R11*R12</s:f>
        <s:v>0</s:v>
      </s:c>
      <s:c r="S10" s="47" t="str">
        <s:f>IF(AND(R10&lt;&gt;"",R10&lt;&gt;0,O10&lt;&gt;"",O10&lt;&gt;0),-R10+O10,"")</s:f>
        <s:v/>
      </s:c>
      <s:c r="T10" s="262" t="str">
        <s:f>IF(AND(S10&lt;&gt;"",S10&lt;&gt;0,R10&lt;&gt;0,R10&lt;&gt;""),S10/R10,"")</s:f>
        <s:v/>
      </s:c>
      <s:c r="U10" s="12"/>
      <s:c r="V10" s="12"/>
      <s:c r="W10" s="12"/>
      <s:c r="X10" s="12"/>
      <s:c r="Y10" s="12"/>
      <s:c r="Z10" s="12"/>
      <s:c r="AA10" s="12"/>
      <s:c r="AB10" s="12"/>
    </s:row>
    <s:row r="11" spans="2:28" ht="15.75" customHeight="1">
      <s:c r="B11" s="250"/>
      <s:c r="C11" s="12"/>
      <s:c r="D11" s="12"/>
      <s:c r="E11" s="12"/>
      <s:c r="F11" s="12"/>
      <s:c r="G11" s="12"/>
      <s:c r="H11" s="12"/>
      <s:c r="I11" s="533" t="s">
        <s:v>15</s:v>
      </s:c>
      <s:c r="J11" s="534"/>
      <s:c r="K11" s="535"/>
      <s:c r="L11" s="50">
        <s:f>'Ялта, Ленина, 18'!I11</s:f>
        <s:v>6900</s:v>
      </s:c>
      <s:c r="M11" s="37">
        <s:f>F57</s:f>
        <s:v>7530.1428571428496</s:v>
      </s:c>
      <s:c r="N11" s="263">
        <s:f>IF(AND(L11&lt;&gt;"",L11&lt;&gt;0,M11&lt;&gt;""),M11/L11,"")</s:f>
        <s:v>1.0913250517598301</s:v>
      </s:c>
      <s:c r="O11" s="256">
        <s:f>IF(O9&gt;0,O8/O9,"")</s:f>
        <s:v>7530.1428571428496</s:v>
      </s:c>
      <s:c r="P11" s="257">
        <s:f>IF(AND(L11&lt;&gt;"",L11&lt;&gt;0,O11&lt;&gt;"",O11&lt;&gt;0),O11/L11,"")</s:f>
        <s:v>1.0913250517598301</s:v>
      </s:c>
      <s:c r="Q11" s="41">
        <s:f>IF(AND(M11&lt;&gt;0,M11&lt;&gt;"",L11&lt;&gt;0,L11&lt;&gt;""),O11-L11,"")</s:f>
        <s:v>630.14285714285802</s:v>
      </s:c>
      <s:c r="R11" s="51"/>
      <s:c r="S11" s="41" t="str">
        <s:f>IF(AND(R11&lt;&gt;"",R11&lt;&gt;0,O11&lt;&gt;"",O11&lt;&gt;0),-R11+O11,"")</s:f>
        <s:v/>
      </s:c>
      <s:c r="T11" s="43" t="str">
        <s:f>IF(AND(S11&lt;&gt;"",S11&lt;&gt;0,R11&lt;&gt;0,R11&lt;&gt;""),S11/R11,"")</s:f>
        <s:v/>
      </s:c>
      <s:c r="U11" s="12"/>
      <s:c r="V11" s="12"/>
      <s:c r="W11" s="12"/>
      <s:c r="X11" s="12"/>
      <s:c r="Y11" s="12"/>
      <s:c r="Z11" s="12"/>
      <s:c r="AA11" s="12"/>
      <s:c r="AB11" s="12"/>
    </s:row>
    <s:row r="12" spans="2:28" ht="15.75" customHeight="1">
      <s:c r="B12" s="250"/>
      <s:c r="C12" s="12"/>
      <s:c r="D12" s="12"/>
      <s:c r="E12" s="12"/>
      <s:c r="F12" s="12"/>
      <s:c r="G12" s="12"/>
      <s:c r="H12" s="12"/>
      <s:c r="I12" s="533" t="s">
        <s:v>16</s:v>
      </s:c>
      <s:c r="J12" s="534"/>
      <s:c r="K12" s="535"/>
      <s:c r="L12" s="52">
        <s:f>'Ялта, Ленина, 18'!I12</s:f>
        <s:v>1.74</s:v>
      </s:c>
      <s:c r="M12" s="53">
        <s:f>J57</s:f>
        <s:v>1.5</s:v>
      </s:c>
      <s:c r="N12" s="263">
        <s:f>IF(AND(L12&lt;&gt;"",L12&lt;&gt;0,M12&lt;&gt;""),M12/L12,"")</s:f>
        <s:v>0.86206896551724099</s:v>
      </s:c>
      <s:c r="O12" s="264">
        <s:f>M12</s:f>
        <s:v>1.5</s:v>
      </s:c>
      <s:c r="P12" s="257">
        <s:f>IF(AND(L12&lt;&gt;"",L12&lt;&gt;0,O12&lt;&gt;"",O12&lt;&gt;0),O12/L12,"")</s:f>
        <s:v>0.86206896551724099</s:v>
      </s:c>
      <s:c r="Q12" s="55">
        <s:f>IF(AND(M12&lt;&gt;0,M12&lt;&gt;"",L12&lt;&gt;0,L12&lt;&gt;""),O12-L12,"")</s:f>
        <s:v>-0.24</s:v>
      </s:c>
      <s:c r="R12" s="265"/>
      <s:c r="S12" s="41" t="str">
        <s:f>IF(AND(R12&lt;&gt;"",R12&lt;&gt;0,O12&lt;&gt;"",O12&lt;&gt;0),-R12+O12,"")</s:f>
        <s:v/>
      </s:c>
      <s:c r="T12" s="266" t="str">
        <s:f>IF(AND(S12&lt;&gt;"",S12&lt;&gt;0,R12&lt;&gt;0,R12&lt;&gt;""),S12/R12,"")</s:f>
        <s:v/>
      </s:c>
      <s:c r="U12" s="12"/>
      <s:c r="V12" s="12"/>
      <s:c r="W12" s="12"/>
      <s:c r="X12" s="12"/>
      <s:c r="Y12" s="12"/>
      <s:c r="Z12" s="12"/>
      <s:c r="AA12" s="12"/>
      <s:c r="AB12" s="12"/>
    </s:row>
    <s:row r="13" spans="2:28" ht="15.75" customHeight="1">
      <s:c r="B13" s="250"/>
      <s:c r="C13" s="12"/>
      <s:c r="D13" s="12"/>
      <s:c r="E13" s="12"/>
      <s:c r="F13" s="12"/>
      <s:c r="G13" s="267"/>
      <s:c r="H13" s="12"/>
      <s:c r="I13" s="533" t="s">
        <s:v>17</s:v>
      </s:c>
      <s:c r="J13" s="534"/>
      <s:c r="K13" s="535"/>
      <s:c r="L13" s="36">
        <s:f>IF(L12&lt;&gt;0,L9/L12,"")</s:f>
        <s:v>52.241610738254998</s:v>
      </s:c>
      <s:c r="M13" s="37">
        <s:f>G57</s:f>
        <s:v>42</s:v>
      </s:c>
      <s:c r="N13" s="38">
        <s:f>IF(AND(L13&lt;&gt;"",L13&lt;&gt;0,M13&lt;&gt;""),M13/L13,"")</s:f>
        <s:v>0.80395683453237399</s:v>
      </s:c>
      <s:c r="O13" s="256">
        <s:f>IF(SUMIF($G$25:$G$54,"&gt;=0",$W$25:$W$54)&lt;&gt;0,L13*G57/SUMIF($G$25:$G$54,"&gt;=0",$W$25:$W$54),"")</s:f>
        <s:v>41.999999999999901</s:v>
      </s:c>
      <s:c r="P13" s="257">
        <s:f>IF(AND(L13&lt;&gt;"",L13&lt;&gt;0,O13&lt;&gt;"",O13&lt;&gt;0),O13/L13,"")</s:f>
        <s:v>0.80395683453237299</s:v>
      </s:c>
      <s:c r="Q13" s="55">
        <s:f>IF(AND(M13&lt;&gt;0,M13&lt;&gt;"",L13&lt;&gt;0,L13&lt;&gt;""),O13-L13,"")</s:f>
        <s:v>-10.241610738255</s:v>
      </s:c>
      <s:c r="R13" s="51"/>
      <s:c r="S13" s="41" t="str">
        <s:f>IF(AND(R13&lt;&gt;"",R13&lt;&gt;0,O13&lt;&gt;"",O13&lt;&gt;0),-R13+O13,"")</s:f>
        <s:v/>
      </s:c>
      <s:c r="T13" s="41"/>
      <s:c r="U13" s="12"/>
      <s:c r="V13" s="267"/>
      <s:c r="W13" s="12"/>
      <s:c r="X13" s="12"/>
      <s:c r="Y13" s="12"/>
      <s:c r="Z13" s="12"/>
      <s:c r="AA13" s="12"/>
      <s:c r="AB13" s="12"/>
    </s:row>
    <s:row r="14" spans="2:28" ht="15.75" customHeight="1">
      <s:c r="B14" s="250"/>
      <s:c r="C14" s="12"/>
      <s:c r="D14" s="267"/>
      <s:c r="E14" s="12"/>
      <s:c r="F14" s="12"/>
      <s:c r="G14" s="12"/>
      <s:c r="H14" s="12"/>
      <s:c r="I14" s="533" t="s">
        <s:v>74</s:v>
      </s:c>
      <s:c r="J14" s="534"/>
      <s:c r="K14" s="535"/>
      <s:c r="L14" s="50">
        <s:f>График!AI29</s:f>
        <s:v>14</s:v>
      </s:c>
      <s:c r="M14" s="59">
        <s:v>14</s:v>
      </s:c>
      <s:c r="N14" s="38">
        <s:f>IF(AND(L14&lt;&gt;"",L14&lt;&gt;0,M14&lt;&gt;""),M14/L14,"")</s:f>
        <s:v>1</s:v>
      </s:c>
      <s:c r="O14" s="39">
        <s:f>L14</s:f>
        <s:v>14</s:v>
      </s:c>
      <s:c r="P14" s="257">
        <s:f>IF(AND(L14&lt;&gt;"",L14&lt;&gt;0,O14&lt;&gt;"",O14&lt;&gt;0),O14/L14,"")</s:f>
        <s:v>1</s:v>
      </s:c>
      <s:c r="Q14" s="41">
        <s:f>IF(AND(M14&lt;&gt;0,M14&lt;&gt;"",L14&lt;&gt;0,L14&lt;&gt;""),O14-L14,"")</s:f>
        <s:v>0</s:v>
      </s:c>
      <s:c r="R14" s="51"/>
      <s:c r="S14" s="41" t="str">
        <s:f>IF(AND(R14&lt;&gt;"",R14&lt;&gt;0,O14&lt;&gt;"",O14&lt;&gt;0),-R14+O14,"")</s:f>
        <s:v/>
      </s:c>
      <s:c r="T14" s="43" t="str">
        <s:f>IF(AND(S14&lt;&gt;"",S14&lt;&gt;0,R14&lt;&gt;0,R14&lt;&gt;""),S14/R14,"")</s:f>
        <s:v/>
      </s:c>
      <s:c r="U14" s="12"/>
      <s:c r="V14" s="12"/>
      <s:c r="W14" s="12"/>
      <s:c r="X14" s="12"/>
      <s:c r="Y14" s="12"/>
      <s:c r="Z14" s="12"/>
      <s:c r="AA14" s="12"/>
      <s:c r="AB14" s="12"/>
    </s:row>
    <s:row r="15" spans="2:28" ht="15.75" customHeight="1">
      <s:c r="B15" s="250"/>
      <s:c r="C15" s="12"/>
      <s:c r="D15" s="12"/>
      <s:c r="E15" s="12"/>
      <s:c r="F15" s="12"/>
      <s:c r="G15" s="12"/>
      <s:c r="H15" s="12"/>
      <s:c r="I15" s="533" t="s">
        <s:v>19</s:v>
      </s:c>
      <s:c r="J15" s="534"/>
      <s:c r="K15" s="535"/>
      <s:c r="L15" s="69">
        <s:f>'Ялта, Ленина, 18'!I15</s:f>
        <s:v>65064.774193548386</s:v>
      </s:c>
      <s:c r="M15" s="61">
        <s:f>M8/M14</s:f>
        <s:v>33885.642857142797</s:v>
      </s:c>
      <s:c r="N15" s="62">
        <s:f>IF(AND(L15&lt;&gt;"",L15&lt;&gt;0,M15&lt;&gt;""),M15/L15,"")</s:f>
        <s:v>0.52079859305041298</s:v>
      </s:c>
      <s:c r="O15" s="66">
        <s:f>M15</s:f>
        <s:v>33885.642857142797</s:v>
      </s:c>
      <s:c r="P15" s="268">
        <s:f>IF(AND(L15&lt;&gt;"",L15&lt;&gt;0,O15&lt;&gt;"",O15&lt;&gt;0),O15/L15,"")</s:f>
        <s:v>0.52079859305041298</s:v>
      </s:c>
      <s:c r="Q15" s="41">
        <s:f>IF(AND(M15&lt;&gt;0,M15&lt;&gt;"",L15&lt;&gt;0,L15&lt;&gt;""),O15-L15,"")</s:f>
        <s:v>-31179.131336405499</s:v>
      </s:c>
      <s:c r="R15" s="269"/>
      <s:c r="S15" s="41" t="str">
        <s:f>IF(AND(R15&lt;&gt;"",R15&lt;&gt;0,O15&lt;&gt;"",O15&lt;&gt;0),-R15+O15,"")</s:f>
        <s:v/>
      </s:c>
      <s:c r="T15" s="43" t="str">
        <s:f>IF(AND(S15&lt;&gt;"",S15&lt;&gt;0,R15&lt;&gt;0,R15&lt;&gt;""),S15/R15,"")</s:f>
        <s:v/>
      </s:c>
      <s:c r="U15" s="12"/>
      <s:c r="V15" s="12"/>
      <s:c r="W15" s="12"/>
      <s:c r="X15" s="12"/>
      <s:c r="Y15" s="12"/>
      <s:c r="Z15" s="12"/>
      <s:c r="AA15" s="12"/>
      <s:c r="AB15" s="12"/>
    </s:row>
    <s:row r="16" spans="2:28" ht="15.75" customHeight="1">
      <s:c r="B16" s="250"/>
      <s:c r="C16" s="12"/>
      <s:c r="D16" s="12"/>
      <s:c r="E16" s="12"/>
      <s:c r="F16" s="12"/>
      <s:c r="G16" s="12"/>
      <s:c r="H16" s="12"/>
      <s:c r="I16" s="533" t="s">
        <s:v>20</s:v>
      </s:c>
      <s:c r="J16" s="534"/>
      <s:c r="K16" s="535"/>
      <s:c r="L16" s="69"/>
      <s:c r="M16" s="61">
        <s:f>M8-L15*M14</s:f>
        <s:v>-436507.83870967699</s:v>
      </s:c>
      <s:c r="N16" s="62" t="str">
        <s:f>IF(AND(L16&lt;&gt;"",L16&lt;&gt;0,M16&lt;&gt;""),M16/L16,"")</s:f>
        <s:v/>
      </s:c>
      <s:c r="O16" s="66">
        <s:f>M16</s:f>
        <s:v>-436507.83870967699</s:v>
      </s:c>
      <s:c r="P16" s="270" t="str">
        <s:f>IF(AND(L16&lt;&gt;"",L16&lt;&gt;0,O16&lt;&gt;"",O16&lt;&gt;0),O16/L16,"")</s:f>
        <s:v/>
      </s:c>
      <s:c r="Q16" s="41" t="str">
        <s:f>IF(AND(M16&lt;&gt;0,M16&lt;&gt;"",L16&lt;&gt;0,L16&lt;&gt;""),O16-L16,"")</s:f>
        <s:v/>
      </s:c>
      <s:c r="R16" s="269"/>
      <s:c r="S16" s="41" t="str">
        <s:f>IF(AND(R16&lt;&gt;"",R16&lt;&gt;0,O16&lt;&gt;"",O16&lt;&gt;0),-R16+O16,"")</s:f>
        <s:v/>
      </s:c>
      <s:c r="T16" s="43" t="str">
        <s:f>IF(AND(S16&lt;&gt;"",S16&lt;&gt;0,R16&lt;&gt;0,R16&lt;&gt;""),S16/R16,"")</s:f>
        <s:v/>
      </s:c>
      <s:c r="U16" s="12"/>
      <s:c r="V16" s="12"/>
      <s:c r="W16" s="12"/>
      <s:c r="X16" s="12"/>
      <s:c r="Y16" s="12"/>
      <s:c r="Z16" s="12"/>
      <s:c r="AA16" s="12"/>
      <s:c r="AB16" s="12"/>
    </s:row>
    <s:row r="17" spans="1:260" ht="15.75" customHeight="1">
      <s:c r="B17" s="250"/>
      <s:c r="C17" s="12"/>
      <s:c r="D17" s="12"/>
      <s:c r="E17" s="12"/>
      <s:c r="F17" s="12"/>
      <s:c r="G17" s="12"/>
      <s:c r="H17" s="12"/>
      <s:c r="I17" s="533" t="s">
        <s:v>21</s:v>
      </s:c>
      <s:c r="J17" s="534"/>
      <s:c r="K17" s="535"/>
      <s:c r="L17" s="69">
        <s:f>'Ялта, Ленина, 18'!I17/График!AJ30*График!AJ29</s:f>
        <s:v>435.34675615212501</s:v>
      </s:c>
      <s:c r="M17" s="61">
        <s:f>I57</s:f>
        <s:v>298</s:v>
      </s:c>
      <s:c r="N17" s="62">
        <s:f>IF(AND(L17&lt;&gt;"",L17&lt;&gt;0,M17&lt;&gt;""),M17/L17,"")</s:f>
        <s:v>0.68451181911613501</s:v>
      </s:c>
      <s:c r="O17" s="66">
        <s:f>M17/M14*L14</s:f>
        <s:v>298</s:v>
      </s:c>
      <s:c r="P17" s="270">
        <s:f>IF(AND(L17&lt;&gt;"",L17&lt;&gt;0,O17&lt;&gt;"",O17&lt;&gt;0),O17/L17,"")</s:f>
        <s:v>0.68451181911613501</s:v>
      </s:c>
      <s:c r="Q17" s="41">
        <s:f>IF(AND(M17&lt;&gt;0,M17&lt;&gt;"",L17&lt;&gt;0,L17&lt;&gt;""),O17-L17,"")</s:f>
        <s:v>-137.34675615212501</s:v>
      </s:c>
      <s:c r="R17" s="269"/>
      <s:c r="S17" s="41" t="str">
        <s:f>IF(AND(R17&lt;&gt;"",R17&lt;&gt;0,O17&lt;&gt;"",O17&lt;&gt;0),-R17+O17,"")</s:f>
        <s:v/>
      </s:c>
      <s:c r="T17" s="43" t="str">
        <s:f>IF(AND(S17&lt;&gt;"",S17&lt;&gt;0,R17&lt;&gt;0,R17&lt;&gt;""),S17/R17,"")</s:f>
        <s:v/>
      </s:c>
      <s:c r="U17" s="12"/>
      <s:c r="V17" s="12"/>
      <s:c r="W17" s="12"/>
      <s:c r="X17" s="12"/>
      <s:c r="Y17" s="12"/>
      <s:c r="Z17" s="12"/>
      <s:c r="AA17" s="12"/>
      <s:c r="AB17" s="12"/>
    </s:row>
    <s:row r="18" spans="1:260" ht="15.75" customHeight="1">
      <s:c r="B18" s="250"/>
      <s:c r="C18" s="12"/>
      <s:c r="D18" s="12"/>
      <s:c r="E18" s="12"/>
      <s:c r="F18" s="12"/>
      <s:c r="G18" s="12"/>
      <s:c r="H18" s="12"/>
      <s:c r="I18" s="533"/>
      <s:c r="J18" s="534"/>
      <s:c r="K18" s="535"/>
      <s:c r="L18" s="70"/>
      <s:c r="M18" s="61"/>
      <s:c r="N18" s="62" t="str">
        <s:f>IF(AND(L18&lt;&gt;"",L18&lt;&gt;0,M18&lt;&gt;""),M18/L18,"")</s:f>
        <s:v/>
      </s:c>
      <s:c r="O18" s="66">
        <s:f>M18</s:f>
        <s:v>0</s:v>
      </s:c>
      <s:c r="P18" s="270" t="str">
        <s:f>IF(AND(L18&lt;&gt;"",L18&lt;&gt;0,O18&lt;&gt;"",O18&lt;&gt;0),O18/L18,"")</s:f>
        <s:v/>
      </s:c>
      <s:c r="Q18" s="41" t="str">
        <s:f>IF(AND(M18&lt;&gt;0,M18&lt;&gt;"",L18&lt;&gt;0,L18&lt;&gt;""),O18-L18,"")</s:f>
        <s:v/>
      </s:c>
      <s:c r="R18" s="271">
        <s:v>0</s:v>
      </s:c>
      <s:c r="S18" s="41" t="str">
        <s:f>IF(AND(R18&lt;&gt;"",R18&lt;&gt;0,O18&lt;&gt;"",O18&lt;&gt;0),-R18+O18,"")</s:f>
        <s:v/>
      </s:c>
      <s:c r="T18" s="43" t="str">
        <s:f>IF(AND(S18&lt;&gt;"",S18&lt;&gt;0,R18&lt;&gt;0,R18&lt;&gt;""),S18/R18,"")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260" ht="15.75" customHeight="1">
      <s:c r="B19" s="250"/>
      <s:c r="C19" s="12"/>
      <s:c r="D19" s="12"/>
      <s:c r="E19" s="12"/>
      <s:c r="F19" s="12"/>
      <s:c r="G19" s="12"/>
      <s:c r="H19" s="12"/>
      <s:c r="I19" s="533"/>
      <s:c r="J19" s="534"/>
      <s:c r="K19" s="535"/>
      <s:c r="L19" s="70"/>
      <s:c r="M19" s="61"/>
      <s:c r="N19" s="62" t="str">
        <s:f>IF(AND(L19&lt;&gt;"",L19&lt;&gt;0,M19&lt;&gt;""),M19/L19,"")</s:f>
        <s:v/>
      </s:c>
      <s:c r="O19" s="66">
        <s:f>M19</s:f>
        <s:v>0</s:v>
      </s:c>
      <s:c r="P19" s="270" t="str">
        <s:f>IF(AND(L19&lt;&gt;"",L19&lt;&gt;0,O19&lt;&gt;"",O19&lt;&gt;0),O19/L19,"")</s:f>
        <s:v/>
      </s:c>
      <s:c r="Q19" s="41" t="str">
        <s:f>IF(AND(M19&lt;&gt;0,M19&lt;&gt;"",L19&lt;&gt;0,L19&lt;&gt;""),O19-L19,"")</s:f>
        <s:v/>
      </s:c>
      <s:c r="R19" s="269">
        <s:v>0</s:v>
      </s:c>
      <s:c r="S19" s="41" t="str">
        <s:f>IF(AND(R19&lt;&gt;"",R19&lt;&gt;0,O19&lt;&gt;"",O19&lt;&gt;0),-R19+O19,"")</s:f>
        <s:v/>
      </s:c>
      <s:c r="T19" s="43" t="str">
        <s:f>IF(AND(S19&lt;&gt;"",S19&lt;&gt;0,R19&lt;&gt;0,R19&lt;&gt;""),S19/R19,"")</s:f>
        <s:v/>
      </s:c>
      <s:c r="U19" s="12"/>
      <s:c r="V19" s="12"/>
      <s:c r="W19" s="12"/>
      <s:c r="X19" s="12"/>
      <s:c r="Y19" s="12"/>
      <s:c r="Z19" s="12"/>
      <s:c r="AA19" s="12"/>
      <s:c r="AB19" s="12"/>
    </s:row>
    <s:row r="20" spans="1:260" ht="15.75" customHeight="1">
      <s:c r="B20" s="250"/>
      <s:c r="C20" s="12"/>
      <s:c r="D20" s="12"/>
      <s:c r="E20" s="12"/>
      <s:c r="F20" s="12"/>
      <s:c r="G20" s="12"/>
      <s:c r="H20" s="12"/>
      <s:c r="I20" s="536" t="s">
        <s:v>23</s:v>
      </s:c>
      <s:c r="J20" s="536"/>
      <s:c r="K20" s="536"/>
      <s:c r="L20" s="272">
        <s:f>'Ялта, Ленина, 18'!I20</s:f>
        <s:v>0.12</s:v>
      </s:c>
      <s:c r="M20" s="273">
        <s:f>S57</s:f>
        <s:v>0.14093959731543601</s:v>
      </s:c>
      <s:c r="N20" s="274">
        <s:f>M20/L20</s:f>
        <s:v>1.1744966442953</s:v>
      </s:c>
      <s:c r="O20" s="275">
        <s:f>IF(AND(N8&lt;&gt;0,L14&lt;&gt;0,I57&lt;&gt;0),(I57*S57+(I57/N8-I57)*L20)/(I57/N8),0)</s:f>
        <s:v>0.13583788527113599</s:v>
      </s:c>
      <s:c r="P20" s="78">
        <s:f>IF(AND(L20&lt;&gt;"",L20&lt;&gt;0,O20&lt;&gt;"",O20&lt;&gt;0),O20/L20,"")</s:f>
        <s:v>1.1319823772594599</s:v>
      </s:c>
      <s:c r="Q20" s="79">
        <s:f>IF(AND(M20&lt;&gt;0,M20&lt;&gt;"",L20&lt;&gt;0,L20&lt;&gt;""),O20-L20,"")</s:f>
        <s:v>1.5837885271136099E-2</s:v>
      </s:c>
      <s:c r="R20" s="276"/>
      <s:c r="S20" s="81" t="str">
        <s:f>IF(AND(R20&lt;&gt;"",R20&lt;&gt;0,O20&lt;&gt;"",O20&lt;&gt;0),-R20+O20,"")</s:f>
        <s:v/>
      </s:c>
      <s:c r="T20" s="82" t="str">
        <s:f>IF(AND(S20&lt;&gt;"",S20&lt;&gt;0,R20&lt;&gt;0,R20&lt;&gt;""),S20/R20,"")</s:f>
        <s:v/>
      </s:c>
      <s:c r="U20" s="12"/>
      <s:c r="V20" s="12"/>
      <s:c r="W20" s="12"/>
      <s:c r="X20" s="18"/>
      <s:c r="Y20" s="12"/>
      <s:c r="Z20" s="12"/>
      <s:c r="AA20" s="12"/>
      <s:c r="AB20" s="12"/>
    </s:row>
    <s:row r="21" spans="1:260" ht="15.75" customHeight="1">
      <s:c r="B21" s="25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260" ht="16.5" customHeight="1">
      <s:c r="B22" s="569" t="s">
        <s:v>24</s:v>
      </s:c>
      <s:c r="C22" s="569"/>
      <s:c r="D22" s="569"/>
      <s:c r="E22" s="569"/>
      <s:c r="F22" s="569"/>
      <s:c r="G22" s="569"/>
      <s:c r="H22" s="569"/>
      <s:c r="I22" s="569"/>
      <s:c r="J22" s="569"/>
      <s:c r="K22" s="569"/>
      <s:c r="L22" s="569"/>
      <s:c r="M22" s="569"/>
      <s:c r="N22" s="569"/>
      <s:c r="O22" s="569"/>
      <s:c r="P22" s="569"/>
      <s:c r="Q22" s="569"/>
      <s:c r="R22" s="569"/>
      <s:c r="S22" s="569"/>
      <s:c r="T22" s="570" t="s">
        <s:v>44</s:v>
      </s:c>
      <s:c r="U22" s="569" t="s">
        <s:v>25</s:v>
      </s:c>
      <s:c r="V22" s="569"/>
      <s:c r="W22" s="569"/>
      <s:c r="X22" s="569"/>
      <s:c r="Y22" s="569"/>
      <s:c r="Z22" s="569"/>
      <s:c r="AA22" s="569"/>
      <s:c r="AB22" s="569"/>
    </s:row>
    <s:row r="23" ht="36">
      <s:c r="B23" s="277" t="s">
        <s:v>27</s:v>
      </s:c>
      <s:c r="C23" s="277" t="s">
        <s:v>28</s:v>
      </s:c>
      <s:c r="D23" s="277" t="s">
        <s:v>29</s:v>
      </s:c>
      <s:c r="E23" s="277" t="s">
        <s:v>30</s:v>
      </s:c>
      <s:c r="F23" s="277" t="s">
        <s:v>31</s:v>
      </s:c>
      <s:c r="G23" s="277" t="s">
        <s:v>32</s:v>
      </s:c>
      <s:c r="H23" s="277" t="s">
        <s:v>33</s:v>
      </s:c>
      <s:c r="I23" s="277" t="s">
        <s:v>21</s:v>
      </s:c>
      <s:c r="J23" s="277" t="s">
        <s:v>34</s:v>
      </s:c>
      <s:c r="K23" s="85" t="s">
        <s:v>35</s:v>
      </s:c>
      <s:c r="L23" s="85" t="s">
        <s:v>36</s:v>
      </s:c>
      <s:c r="M23" s="85" t="s">
        <s:v>37</s:v>
      </s:c>
      <s:c r="N23" s="85" t="s">
        <s:v>38</s:v>
      </s:c>
      <s:c r="O23" s="85" t="s">
        <s:v>39</s:v>
      </s:c>
      <s:c r="P23" s="278" t="s">
        <s:v>76</s:v>
      </s:c>
      <s:c r="Q23" s="85" t="s">
        <s:v>77</s:v>
      </s:c>
      <s:c r="R23" s="85" t="s">
        <s:v>42</s:v>
      </s:c>
      <s:c r="S23" s="277" t="s">
        <s:v>78</s:v>
      </s:c>
      <s:c r="T23" s="570"/>
      <s:c r="U23" s="277" t="s">
        <s:v>45</s:v>
      </s:c>
      <s:c r="V23" s="277" t="s">
        <s:v>46</s:v>
      </s:c>
      <s:c r="W23" s="277" t="s">
        <s:v>47</s:v>
      </s:c>
      <s:c r="X23" s="277" t="s">
        <s:v>48</s:v>
      </s:c>
      <s:c r="Y23" s="277" t="s">
        <s:v>49</s:v>
      </s:c>
      <s:c r="Z23" s="277" t="s">
        <s:v>50</s:v>
      </s:c>
      <s:c r="AA23" s="279" t="s">
        <s:v>51</s:v>
      </s:c>
      <s:c r="AB23" s="279" t="s">
        <s:v>52</s:v>
      </s:c>
      <s:c r="AC23" s="124"/>
    </s:row>
    <s:row r="24">
      <s:c r="B24" s="280">
        <s:v>1</s:v>
      </s:c>
      <s:c r="C24" s="281">
        <s:v>2</s:v>
      </s:c>
      <s:c r="D24" s="280">
        <s:v>3</s:v>
      </s:c>
      <s:c r="E24" s="280">
        <s:v>4</s:v>
      </s:c>
      <s:c r="F24" s="280">
        <s:v>5</s:v>
      </s:c>
      <s:c r="G24" s="280">
        <s:v>6</s:v>
      </s:c>
      <s:c r="H24" s="280">
        <s:v>7</s:v>
      </s:c>
      <s:c r="I24" s="280">
        <s:v>8</s:v>
      </s:c>
      <s:c r="J24" s="280">
        <s:v>9</s:v>
      </s:c>
      <s:c r="K24" s="280">
        <s:v>10</s:v>
      </s:c>
      <s:c r="L24" s="280">
        <s:v>11</s:v>
      </s:c>
      <s:c r="M24" s="280">
        <s:v>12</s:v>
      </s:c>
      <s:c r="N24" s="280">
        <s:v>13</s:v>
      </s:c>
      <s:c r="O24" s="280">
        <s:v>14</s:v>
      </s:c>
      <s:c r="P24" s="280"/>
      <s:c r="Q24" s="280">
        <s:v>15</s:v>
      </s:c>
      <s:c r="R24" s="280">
        <s:v>16</s:v>
      </s:c>
      <s:c r="S24" s="280">
        <s:v>17</s:v>
      </s:c>
      <s:c r="T24" s="570"/>
      <s:c r="U24" s="282">
        <s:v>1</s:v>
      </s:c>
      <s:c r="V24" s="282">
        <s:v>2</s:v>
      </s:c>
      <s:c r="W24" s="282">
        <s:v>3</s:v>
      </s:c>
      <s:c r="X24" s="282">
        <s:v>4</s:v>
      </s:c>
      <s:c r="Y24" s="282">
        <s:v>5</s:v>
      </s:c>
      <s:c r="Z24" s="282">
        <s:v>6</s:v>
      </s:c>
      <s:c r="AA24" s="282">
        <s:v>10</s:v>
      </s:c>
      <s:c r="AB24" s="282">
        <s:v>11</s:v>
      </s:c>
    </s:row>
    <s:row r="25">
      <s:c r="A25" s="96">
        <s:v>1</s:v>
      </s:c>
      <s:c r="B25" s="97">
        <s:v>46082</s:v>
      </s:c>
      <s:c r="C25" s="98" t="s">
        <s:v>53</s:v>
      </s:c>
      <s:c r="D25" s="99">
        <s:v>70021</s:v>
      </s:c>
      <s:c r="E25" s="101">
        <s:v>9</s:v>
      </s:c>
      <s:c r="F25" s="101">
        <s:f>IF(AND(E25&lt;&gt;"",E25&lt;&gt;0),D25/E25,"")</s:f>
        <s:v>7780.1111111111113</s:v>
      </s:c>
      <s:c r="G25" s="101">
        <s:v>7</s:v>
      </s:c>
      <s:c r="H25" s="101">
        <s:f>IF(AND(G25&lt;&gt;"",G25&lt;&gt;0),D25/G25,"")</s:f>
        <s:v>10003</s:v>
      </s:c>
      <s:c r="I25" s="101">
        <s:v>20</s:v>
      </s:c>
      <s:c r="J25" s="99">
        <s:f>IF(AND(G25&lt;&gt;"",G25&lt;&gt;0),E25/G25,"")</s:f>
        <s:v>1.2857142857142858</s:v>
      </s:c>
      <s:c r="K25" s="101"/>
      <s:c r="L25" s="101"/>
      <s:c r="M25" s="101"/>
      <s:c r="N25" s="101"/>
      <s:c r="O25" s="101"/>
      <s:c r="P25" s="101"/>
      <s:c r="Q25" s="101">
        <s:v>32552</s:v>
      </s:c>
      <s:c r="R25" s="101"/>
      <s:c r="S25" s="102">
        <s:f>IF(AND(I25&lt;&gt;"",I25&lt;&gt;0),G25/I25,"")</s:f>
        <s:v>0.35</s:v>
      </s:c>
      <s:c r="T25" s="103">
        <s:f>D25/U25</s:f>
        <s:v>1.5629369068463299</s:v>
      </s:c>
      <s:c r="U25" s="104">
        <s:f>$L$8*AA25*AB25/SUMPRODUCT($AB$25:$AB$56,$AA$25:$AA$56)</s:f>
        <s:v>44800.912751677803</s:v>
      </s:c>
      <s:c r="V25" s="105">
        <s:f>$L$9*AA25*AB25/SUMPRODUCT($AB$25:$AB$56,$AA$25:$AA$56)</s:f>
        <s:v>6.4928859060402599</s:v>
      </s:c>
      <s:c r="W25" s="105">
        <s:f>IF($L$12="","",V25/$L$12)</s:f>
        <s:v>3.7315436241610702</s:v>
      </s:c>
      <s:c r="X25" s="104">
        <s:f>IF(D25&lt;&gt;"",D25,U25)</s:f>
        <s:v>70021</s:v>
      </s:c>
      <s:c r="Y25" s="105">
        <s:f>IF(E25&lt;&gt;"",E25,V25)</s:f>
        <s:v>9</s:v>
      </s:c>
      <s:c r="Z25" s="105">
        <s:f>IF(G25&lt;&gt;"",G25,W25)</s:f>
        <s:v>7</s:v>
      </s:c>
      <s:c r="AA25" s="106">
        <s:v>1</s:v>
      </s:c>
      <s:c r="AB25" s="106">
        <s:v>1</s:v>
      </s:c>
      <s:c r="AC25" s="283"/>
      <s:c r="AD25" s="108"/>
    </s:row>
    <s:row r="26">
      <s:c r="A26" s="96">
        <s:v>2</s:v>
      </s:c>
      <s:c r="B26" s="97">
        <s:v>46083</s:v>
      </s:c>
      <s:c r="C26" s="98" t="s">
        <s:v>55</s:v>
      </s:c>
      <s:c r="D26" s="99">
        <s:v>12184</s:v>
      </s:c>
      <s:c r="E26" s="101">
        <s:v>2</s:v>
      </s:c>
      <s:c r="F26" s="101">
        <s:f>IF(AND(E26&lt;&gt;"",E26&lt;&gt;0),D26/E26,"")</s:f>
        <s:v>6092</s:v>
      </s:c>
      <s:c r="G26" s="101">
        <s:v>1</s:v>
      </s:c>
      <s:c r="H26" s="101">
        <s:f>IF(AND(G26&lt;&gt;"",G26&lt;&gt;0),D26/G26,"")</s:f>
        <s:v>12184</s:v>
      </s:c>
      <s:c r="I26" s="101">
        <s:v>13</s:v>
      </s:c>
      <s:c r="J26" s="99">
        <s:f>IF(AND(G26&lt;&gt;"",G26&lt;&gt;0),E26/G26,"")</s:f>
        <s:v>2</s:v>
      </s:c>
      <s:c r="K26" s="101"/>
      <s:c r="L26" s="101"/>
      <s:c r="M26" s="101"/>
      <s:c r="N26" s="101"/>
      <s:c r="O26" s="101"/>
      <s:c r="P26" s="101"/>
      <s:c r="Q26" s="101"/>
      <s:c r="R26" s="101"/>
      <s:c r="S26" s="102">
        <s:f>IF(AND(I26&lt;&gt;"",I26&lt;&gt;0),G26/I26,"")</s:f>
        <s:v>7.6923076923076927E-2</s:v>
      </s:c>
      <s:c r="T26" s="103">
        <s:f>D26/U26</s:f>
        <s:v>0.27195874484819899</s:v>
      </s:c>
      <s:c r="U26" s="104">
        <s:f>$L$8*AA26*AB26/SUMPRODUCT($AB$25:$AB$56,$AA$25:$AA$56)</s:f>
        <s:v>44800.912751677803</s:v>
      </s:c>
      <s:c r="V26" s="105">
        <s:f>$L$9*AA26*AB26/SUMPRODUCT($AB$25:$AB$58,$AA$25:$AA$58)</s:f>
        <s:v>6.4928859060402599</s:v>
      </s:c>
      <s:c r="W26" s="105">
        <s:f>IF($L$12="","",V26/$L$12)</s:f>
        <s:v>3.7315436241610702</s:v>
      </s:c>
      <s:c r="X26" s="104">
        <s:f>IF(AB26&lt;&gt;"",IF(D26&lt;&gt;"",D26,($L$8-SUM($X$25:X25))*AA26*AB26/SUMPRODUCT($AB26:$AB$56,$AA26:$AA$56)),"")</s:f>
        <s:v>12184</s:v>
      </s:c>
      <s:c r="Y26" s="105">
        <s:f>IF(AB26&lt;&gt;"",IF(E26&lt;&gt;"",E26,($L$9-SUM($Y$25:Y25))*AA26*AB26/SUMPRODUCT($AB26:$AB$58,$AA26:$AA$58)),"")</s:f>
        <s:v>2</s:v>
      </s:c>
      <s:c r="Z26" s="105">
        <s:f>IF(AB26&lt;&gt;"",IF($L$12&lt;&gt;"",IF(G26&lt;&gt;"",G26,($L$9/$L$12-SUM($Z$25:Z25))*AA26*AB26/SUMPRODUCT($AB26:$AB$58,$AA26:$AA$58)),""),"")</s:f>
        <s:v>1</s:v>
      </s:c>
      <s:c r="AA26" s="106">
        <s:v>1</s:v>
      </s:c>
      <s:c r="AB26" s="106">
        <s:v>1</s:v>
      </s:c>
      <s:c r="AC26" s="107"/>
      <s:c r="AD26" s="108"/>
    </s:row>
    <s:row r="27">
      <s:c r="A27" s="96">
        <s:v>3</s:v>
      </s:c>
      <s:c r="B27" s="97">
        <s:v>46084</s:v>
      </s:c>
      <s:c r="C27" s="98" t="s">
        <s:v>56</s:v>
      </s:c>
      <s:c r="D27" s="99">
        <s:v>6593</s:v>
      </s:c>
      <s:c r="E27" s="101">
        <s:v>1</s:v>
      </s:c>
      <s:c r="F27" s="101">
        <s:v>6593</s:v>
      </s:c>
      <s:c r="G27" s="101">
        <s:v>1</s:v>
      </s:c>
      <s:c r="H27" s="101">
        <s:f>IF(AND(G27&lt;&gt;"",G27&lt;&gt;0),D27/G27,"")</s:f>
        <s:v>6593</s:v>
      </s:c>
      <s:c r="I27" s="101">
        <s:v>10</s:v>
      </s:c>
      <s:c r="J27" s="99">
        <s:f>IF(AND(G27&lt;&gt;"",G27&lt;&gt;0),E27/G27,"")</s:f>
        <s:v>1</s:v>
      </s:c>
      <s:c r="K27" s="101"/>
      <s:c r="L27" s="101"/>
      <s:c r="M27" s="101"/>
      <s:c r="N27" s="101"/>
      <s:c r="O27" s="101"/>
      <s:c r="P27" s="101"/>
      <s:c r="Q27" s="101"/>
      <s:c r="R27" s="101"/>
      <s:c r="S27" s="102">
        <s:f>IF(AND(I27&lt;&gt;"",I27&lt;&gt;0),G27/I27,"")</s:f>
        <s:v>0.1</s:v>
      </s:c>
      <s:c r="T27" s="103">
        <s:f>D27/U27</s:f>
        <s:v>0.147162180300736</s:v>
      </s:c>
      <s:c r="U27" s="104">
        <s:f>$L$8*AA27*AB27/SUMPRODUCT($AB$25:$AB$56,$AA$25:$AA$56)</s:f>
        <s:v>44800.912751677803</s:v>
      </s:c>
      <s:c r="V27" s="105">
        <s:f>$L$9*AA27*AB27/SUMPRODUCT($AB$25:$AB$58,$AA$25:$AA$58)</s:f>
        <s:v>6.4928859060402599</s:v>
      </s:c>
      <s:c r="W27" s="105">
        <s:f>IF($L$12="","",V27/$L$12)</s:f>
        <s:v>3.7315436241610702</s:v>
      </s:c>
      <s:c r="X27" s="104">
        <s:f>IF(AB27&lt;&gt;"",IF(D27&lt;&gt;"",D27,($L$8-SUM($X$25:X26))*AA27*AB27/SUMPRODUCT($AB27:$AB$58,$AA27:$AA$58)),"")</s:f>
        <s:v>6593</s:v>
      </s:c>
      <s:c r="Y27" s="105">
        <s:f>IF(AB27&lt;&gt;"",IF(E27&lt;&gt;"",E27,($L$9-SUM($Y$25:Y26))*AA27*AB27/SUMPRODUCT($AB27:$AB$58,$AA27:$AA$58)),"")</s:f>
        <s:v>1</s:v>
      </s:c>
      <s:c r="Z27" s="105">
        <s:f>IF(AB27&lt;&gt;"",IF($L$12&lt;&gt;"",IF(G27&lt;&gt;"",G27,($L$9/$L$12-SUM($Z$25:Z26))*AA27*AB27/SUMPRODUCT($AB27:$AB$58,$AA27:$AA$58)),""),"")</s:f>
        <s:v>1</s:v>
      </s:c>
      <s:c r="AA27" s="106">
        <s:v>1</s:v>
      </s:c>
      <s:c r="AB27" s="106">
        <s:v>1</s:v>
      </s:c>
      <s:c r="AC27" s="107"/>
      <s:c r="AD27" s="284"/>
      <s:c r="AE27" s="2"/>
      <s:c r="AF27" s="2"/>
      <s:c r="AG27" s="2"/>
      <s:c r="AH27" s="2"/>
      <s:c r="AI27" s="2"/>
    </s:row>
    <s:row r="28" spans="1:260" s="285" customFormat="1">
      <s:c r="A28" s="96">
        <s:v>4</s:v>
      </s:c>
      <s:c r="B28" s="97">
        <s:v>46085</s:v>
      </s:c>
      <s:c r="C28" s="98" t="s">
        <s:v>57</s:v>
      </s:c>
      <s:c r="D28" s="99">
        <s:v>0</s:v>
      </s:c>
      <s:c r="E28" s="101">
        <s:v>0</s:v>
      </s:c>
      <s:c r="F28" s="101">
        <s:v>0</s:v>
      </s:c>
      <s:c r="G28" s="101">
        <s:v>0</s:v>
      </s:c>
      <s:c r="H28" s="101">
        <s:v>0</s:v>
      </s:c>
      <s:c r="I28" s="101">
        <s:v>10</s:v>
      </s:c>
      <s:c r="J28" s="99" t="str">
        <s:f>IF(AND(G28&lt;&gt;"",G28&lt;&gt;0),E28/G28,"")</s:f>
        <s:v/>
      </s:c>
      <s:c r="K28" s="101"/>
      <s:c r="L28" s="101"/>
      <s:c r="M28" s="101"/>
      <s:c r="N28" s="101"/>
      <s:c r="O28" s="101"/>
      <s:c r="P28" s="101"/>
      <s:c r="Q28" s="101"/>
      <s:c r="R28" s="101"/>
      <s:c r="S28" s="102">
        <s:f>IF(AND(I28&lt;&gt;"",I28&lt;&gt;0),G28/I28,"")</s:f>
        <s:v>0</s:v>
      </s:c>
      <s:c r="T28" s="103">
        <s:f>D28/U28</s:f>
        <s:v>0</s:v>
      </s:c>
      <s:c r="U28" s="104">
        <s:f>$L$8*AA28*AB28/SUMPRODUCT($AB$25:$AB$56,$AA$25:$AA$56)</s:f>
        <s:v>44800.912751677803</s:v>
      </s:c>
      <s:c r="V28" s="105">
        <s:f>$L$9*AA28*AB28/SUMPRODUCT($AB$25:$AB$58,$AA$25:$AA$58)</s:f>
        <s:v>6.4928859060402599</s:v>
      </s:c>
      <s:c r="W28" s="105">
        <s:f>IF($L$12="","",V28/$L$12)</s:f>
        <s:v>3.7315436241610702</s:v>
      </s:c>
      <s:c r="X28" s="104">
        <s:f>IF(AB28&lt;&gt;"",IF(D28&lt;&gt;"",D28,($L$8-SUM($X$25:X27))*AA28*AB28/SUMPRODUCT($AB28:$AB$58,$AA28:$AA$58)),"")</s:f>
        <s:v>0</s:v>
      </s:c>
      <s:c r="Y28" s="105">
        <s:f>IF(AB28&lt;&gt;"",IF(E28&lt;&gt;"",E28,($L$9-SUM($Y$25:Y27))*AA28*AB28/SUMPRODUCT($AB28:$AB$58,$AA28:$AA$58)),"")</s:f>
        <s:v>0</s:v>
      </s:c>
      <s:c r="Z28" s="105">
        <s:f>IF(AB28&lt;&gt;"",IF($L$12&lt;&gt;"",IF(G28&lt;&gt;"",G28,($L$9/$L$12-SUM($Z$25:Z27))*AA28*AB28/SUMPRODUCT($AB28:$AB$58,$AA28:$AA$58)),""),"")</s:f>
        <s:v>0</s:v>
      </s:c>
      <s:c r="AA28" s="106">
        <s:v>1</s:v>
      </s:c>
      <s:c r="AB28" s="106">
        <s:v>1</s:v>
      </s:c>
      <s:c r="AC28" s="107"/>
      <s:c r="AD28" s="108"/>
      <s:c r="AE28" s="2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  <s:c r="AP28" s="2"/>
      <s:c r="AQ28" s="2"/>
      <s:c r="AR28" s="2"/>
      <s:c r="AS28" s="2"/>
      <s:c r="AT28" s="2"/>
      <s:c r="AU28" s="2"/>
      <s:c r="AV28" s="2"/>
      <s:c r="AW28" s="2"/>
      <s:c r="AX28" s="2"/>
      <s:c r="AY28" s="2"/>
      <s:c r="AZ28" s="2"/>
      <s:c r="BA28" s="2"/>
      <s:c r="BB28" s="2"/>
      <s:c r="BC28" s="2"/>
      <s:c r="BD28" s="2"/>
      <s:c r="BE28" s="2"/>
      <s:c r="BF28" s="2"/>
      <s:c r="BG28" s="2"/>
      <s:c r="BH28" s="2"/>
      <s:c r="BI28" s="2"/>
      <s:c r="BJ28" s="2"/>
      <s:c r="BK28" s="2"/>
      <s:c r="BL28" s="2"/>
      <s:c r="BM28" s="2"/>
      <s:c r="BN28" s="2"/>
      <s:c r="BO28" s="2"/>
      <s:c r="BP28" s="2"/>
      <s:c r="BQ28" s="2"/>
      <s:c r="BR28" s="2"/>
      <s:c r="BS28" s="2"/>
      <s:c r="BT28" s="2"/>
      <s:c r="BU28" s="2"/>
      <s:c r="BV28" s="2"/>
      <s:c r="BW28" s="2"/>
      <s:c r="BX28" s="2"/>
      <s:c r="BY28" s="2"/>
      <s:c r="BZ28" s="2"/>
      <s:c r="CA28" s="2"/>
      <s:c r="CB28" s="2"/>
      <s:c r="CC28" s="2"/>
      <s:c r="CD28" s="2"/>
      <s:c r="CE28" s="2"/>
      <s:c r="CF28" s="2"/>
      <s:c r="CG28" s="2"/>
      <s:c r="CH28" s="2"/>
      <s:c r="CI28" s="2"/>
      <s:c r="CJ28" s="2"/>
      <s:c r="CK28" s="2"/>
      <s:c r="CL28" s="2"/>
      <s:c r="CM28" s="2"/>
      <s:c r="CN28" s="2"/>
      <s:c r="CO28" s="2"/>
      <s:c r="CP28" s="2"/>
      <s:c r="CQ28" s="2"/>
      <s:c r="CR28" s="2"/>
      <s:c r="CS28" s="2"/>
      <s:c r="CT28" s="2"/>
      <s:c r="CU28" s="2"/>
      <s:c r="CV28" s="2"/>
      <s:c r="CW28" s="2"/>
      <s:c r="CX28" s="2"/>
      <s:c r="CY28" s="2"/>
      <s:c r="CZ28" s="2"/>
      <s:c r="DA28" s="2"/>
      <s:c r="DB28" s="2"/>
      <s:c r="DC28" s="2"/>
      <s:c r="DD28" s="2"/>
      <s:c r="DE28" s="2"/>
      <s:c r="DF28" s="2"/>
      <s:c r="DG28" s="2"/>
      <s:c r="DH28" s="2"/>
      <s:c r="DI28" s="2"/>
      <s:c r="DJ28" s="2"/>
      <s:c r="DK28" s="2"/>
      <s:c r="DL28" s="2"/>
      <s:c r="DM28" s="2"/>
      <s:c r="DN28" s="2"/>
      <s:c r="DO28" s="2"/>
      <s:c r="DP28" s="2"/>
      <s:c r="DQ28" s="2"/>
      <s:c r="DR28" s="2"/>
      <s:c r="DS28" s="2"/>
      <s:c r="DT28" s="2"/>
      <s:c r="DU28" s="2"/>
      <s:c r="DV28" s="2"/>
      <s:c r="DW28" s="2"/>
      <s:c r="DX28" s="2"/>
      <s:c r="DY28" s="2"/>
      <s:c r="DZ28" s="2"/>
      <s:c r="EA28" s="2"/>
      <s:c r="EB28" s="2"/>
      <s:c r="EC28" s="2"/>
      <s:c r="ED28" s="2"/>
      <s:c r="EE28" s="2"/>
      <s:c r="EF28" s="2"/>
      <s:c r="EG28" s="2"/>
      <s:c r="EH28" s="2"/>
      <s:c r="EI28" s="2"/>
      <s:c r="EJ28" s="2"/>
      <s:c r="EK28" s="2"/>
      <s:c r="EL28" s="2"/>
      <s:c r="EM28" s="2"/>
      <s:c r="EN28" s="2"/>
      <s:c r="EO28" s="2"/>
      <s:c r="EP28" s="2"/>
      <s:c r="EQ28" s="2"/>
      <s:c r="ER28" s="2"/>
      <s:c r="ES28" s="2"/>
      <s:c r="ET28" s="2"/>
      <s:c r="EU28" s="2"/>
      <s:c r="EV28" s="2"/>
      <s:c r="EW28" s="2"/>
      <s:c r="EX28" s="2"/>
      <s:c r="EY28" s="2"/>
      <s:c r="EZ28" s="2"/>
      <s:c r="FA28" s="2"/>
      <s:c r="FB28" s="2"/>
      <s:c r="FC28" s="2"/>
      <s:c r="FD28" s="2"/>
      <s:c r="FE28" s="2"/>
      <s:c r="FF28" s="2"/>
      <s:c r="FG28" s="2"/>
      <s:c r="FH28" s="2"/>
      <s:c r="FI28" s="2"/>
      <s:c r="FJ28" s="2"/>
      <s:c r="FK28" s="2"/>
      <s:c r="FL28" s="2"/>
      <s:c r="FM28" s="2"/>
      <s:c r="FN28" s="2"/>
      <s:c r="FO28" s="2"/>
      <s:c r="FP28" s="2"/>
      <s:c r="FQ28" s="2"/>
      <s:c r="FR28" s="2"/>
      <s:c r="FS28" s="2"/>
      <s:c r="FT28" s="2"/>
      <s:c r="FU28" s="2"/>
      <s:c r="FV28" s="2"/>
      <s:c r="FW28" s="2"/>
      <s:c r="FX28" s="2"/>
      <s:c r="FY28" s="2"/>
      <s:c r="FZ28" s="2"/>
      <s:c r="GA28" s="2"/>
      <s:c r="GB28" s="2"/>
      <s:c r="GC28" s="2"/>
      <s:c r="GD28" s="2"/>
      <s:c r="GE28" s="2"/>
      <s:c r="GF28" s="2"/>
      <s:c r="GG28" s="2"/>
      <s:c r="GH28" s="2"/>
      <s:c r="GI28" s="2"/>
      <s:c r="GJ28" s="2"/>
      <s:c r="GK28" s="2"/>
      <s:c r="GL28" s="2"/>
      <s:c r="GM28" s="2"/>
      <s:c r="GN28" s="2"/>
      <s:c r="GO28" s="2"/>
      <s:c r="GP28" s="2"/>
      <s:c r="GQ28" s="2"/>
      <s:c r="GR28" s="2"/>
      <s:c r="GS28" s="2"/>
      <s:c r="GT28" s="2"/>
      <s:c r="GU28" s="2"/>
      <s:c r="GV28" s="2"/>
      <s:c r="GW28" s="2"/>
      <s:c r="GX28" s="2"/>
      <s:c r="GY28" s="2"/>
      <s:c r="GZ28" s="2"/>
      <s:c r="HA28" s="2"/>
      <s:c r="HB28" s="2"/>
      <s:c r="HC28" s="2"/>
      <s:c r="HD28" s="2"/>
      <s:c r="HE28" s="2"/>
      <s:c r="HF28" s="2"/>
      <s:c r="HG28" s="2"/>
      <s:c r="HH28" s="2"/>
      <s:c r="HI28" s="2"/>
      <s:c r="HJ28" s="2"/>
      <s:c r="HK28" s="2"/>
      <s:c r="HL28" s="2"/>
      <s:c r="HM28" s="2"/>
      <s:c r="HN28" s="2"/>
      <s:c r="HO28" s="2"/>
      <s:c r="HP28" s="2"/>
      <s:c r="HQ28" s="2"/>
      <s:c r="HR28" s="2"/>
      <s:c r="HS28" s="2"/>
      <s:c r="HT28" s="2"/>
      <s:c r="HU28" s="2"/>
      <s:c r="HV28" s="2"/>
      <s:c r="HW28" s="2"/>
      <s:c r="HX28" s="2"/>
      <s:c r="HY28" s="2"/>
      <s:c r="HZ28" s="2"/>
      <s:c r="IA28" s="2"/>
      <s:c r="IB28" s="2"/>
      <s:c r="IC28" s="2"/>
      <s:c r="ID28" s="2"/>
      <s:c r="IE28" s="2"/>
      <s:c r="IF28" s="2"/>
      <s:c r="IG28" s="2"/>
      <s:c r="IH28" s="2"/>
      <s:c r="II28" s="2"/>
      <s:c r="IJ28" s="2"/>
      <s:c r="IK28" s="2"/>
      <s:c r="IL28" s="2"/>
      <s:c r="IM28" s="2"/>
      <s:c r="IN28" s="2"/>
      <s:c r="IO28" s="2"/>
      <s:c r="IP28" s="2"/>
      <s:c r="IQ28" s="2"/>
      <s:c r="IR28" s="2"/>
      <s:c r="IS28" s="2"/>
      <s:c r="IT28" s="2"/>
      <s:c r="IU28" s="2"/>
      <s:c r="IV28" s="2"/>
      <s:c r="IW28" s="2"/>
      <s:c r="IX28" s="2"/>
      <s:c r="IY28" s="2"/>
      <s:c r="IZ28" s="2"/>
    </s:row>
    <s:row r="29">
      <s:c r="A29" s="96">
        <s:v>5</s:v>
      </s:c>
      <s:c r="B29" s="97">
        <s:v>46086</s:v>
      </s:c>
      <s:c r="C29" s="98" t="s">
        <s:v>58</s:v>
      </s:c>
      <s:c r="D29" s="99">
        <s:v>20466</s:v>
      </s:c>
      <s:c r="E29" s="101">
        <s:v>4</s:v>
      </s:c>
      <s:c r="F29" s="101">
        <s:f>IF(AND(E29&lt;&gt;"",E29&lt;&gt;0),D29/E29,"")</s:f>
        <s:v>5116.5</s:v>
      </s:c>
      <s:c r="G29" s="101">
        <s:v>1</s:v>
      </s:c>
      <s:c r="H29" s="101">
        <s:f>IF(AND(G29&lt;&gt;"",G29&lt;&gt;0),D29/G29,"")</s:f>
        <s:v>20466</s:v>
      </s:c>
      <s:c r="I29" s="101">
        <s:v>15</s:v>
      </s:c>
      <s:c r="J29" s="99">
        <s:f>IF(AND(G29&lt;&gt;"",G29&lt;&gt;0),E29/G29,"")</s:f>
        <s:v>4</s:v>
      </s:c>
      <s:c r="K29" s="101"/>
      <s:c r="L29" s="101"/>
      <s:c r="M29" s="101"/>
      <s:c r="N29" s="101"/>
      <s:c r="O29" s="101"/>
      <s:c r="P29" s="101"/>
      <s:c r="Q29" s="101">
        <s:v>8790</s:v>
      </s:c>
      <s:c r="R29" s="101"/>
      <s:c r="S29" s="102">
        <s:f>IF(AND(I29&lt;&gt;"",I29&lt;&gt;0),G29/I29,"")</s:f>
        <s:v>6.6666666666666666E-2</s:v>
      </s:c>
      <s:c r="T29" s="103">
        <s:f>D29/U29</s:f>
        <s:v>0.45682104990670103</s:v>
      </s:c>
      <s:c r="U29" s="104">
        <s:f>$L$8*AA29*AB29/SUMPRODUCT($AB$25:$AB$56,$AA$25:$AA$56)</s:f>
        <s:v>44800.912751677803</s:v>
      </s:c>
      <s:c r="V29" s="105">
        <s:f>$L$9*AA29*AB29/SUMPRODUCT($AB$25:$AB$58,$AA$25:$AA$58)</s:f>
        <s:v>6.4928859060402599</s:v>
      </s:c>
      <s:c r="W29" s="105">
        <s:f>IF($L$12="","",V29/$L$12)</s:f>
        <s:v>3.7315436241610702</s:v>
      </s:c>
      <s:c r="X29" s="104">
        <s:f>IF(AB29&lt;&gt;"",IF(D29&lt;&gt;"",D29,($L$8-SUM($X$25:X28))*AA29*AB29/SUMPRODUCT($AB29:$AB$58,$AA29:$AA$58)),"")</s:f>
        <s:v>20466</s:v>
      </s:c>
      <s:c r="Y29" s="105">
        <s:f>IF(AB29&lt;&gt;"",IF(E29&lt;&gt;"",E29,($L$9-SUM($Y$25:Y28))*AA29*AB29/SUMPRODUCT($AB29:$AB$58,$AA29:$AA$58)),"")</s:f>
        <s:v>4</s:v>
      </s:c>
      <s:c r="Z29" s="105">
        <s:f>IF(AB29&lt;&gt;"",IF($L$12&lt;&gt;"",IF(G29&lt;&gt;"",G29,($L$9/$L$12-SUM($Z$25:Z28))*AA29*AB29/SUMPRODUCT($AB29:$AB$58,$AA29:$AA$58)),""),"")</s:f>
        <s:v>1</s:v>
      </s:c>
      <s:c r="AA29" s="106">
        <s:v>1</s:v>
      </s:c>
      <s:c r="AB29" s="106">
        <s:v>1</s:v>
      </s:c>
      <s:c r="AC29" s="107"/>
      <s:c r="AD29" s="108"/>
      <s:c r="AE29" s="2"/>
      <s:c r="AF29" s="2"/>
      <s:c r="AG29" s="2"/>
      <s:c r="AH29" s="2"/>
      <s:c r="AI29" s="2"/>
    </s:row>
    <s:row r="30">
      <s:c r="A30" s="96">
        <s:v>6</s:v>
      </s:c>
      <s:c r="B30" s="97">
        <s:v>46087</s:v>
      </s:c>
      <s:c r="C30" s="98" t="s">
        <s:v>59</s:v>
      </s:c>
      <s:c r="D30" s="99">
        <s:v>21978</s:v>
      </s:c>
      <s:c r="E30" s="101">
        <s:v>3</s:v>
      </s:c>
      <s:c r="F30" s="101">
        <s:f>IF(AND(E30&lt;&gt;"",E30&lt;&gt;0),D30/E30,"")</s:f>
        <s:v>7326</s:v>
      </s:c>
      <s:c r="G30" s="101">
        <s:v>2</s:v>
      </s:c>
      <s:c r="H30" s="101">
        <s:f>IF(AND(G30&lt;&gt;"",G30&lt;&gt;0),D30/G30,"")</s:f>
        <s:v>10989</s:v>
      </s:c>
      <s:c r="I30" s="101">
        <s:v>10</s:v>
      </s:c>
      <s:c r="J30" s="99">
        <s:f>IF(AND(G30&lt;&gt;"",G30&lt;&gt;0),E30/G30,"")</s:f>
        <s:v>1.5</s:v>
      </s:c>
      <s:c r="K30" s="101"/>
      <s:c r="L30" s="101"/>
      <s:c r="M30" s="101"/>
      <s:c r="N30" s="101"/>
      <s:c r="O30" s="101"/>
      <s:c r="P30" s="101"/>
      <s:c r="Q30" s="101"/>
      <s:c r="R30" s="101"/>
      <s:c r="S30" s="102">
        <s:f>IF(AND(I30&lt;&gt;"",I30&lt;&gt;0),G30/I30,"")</s:f>
        <s:v>0.2</s:v>
      </s:c>
      <s:c r="T30" s="103">
        <s:f>D30/U30</s:f>
        <s:v>0.49057036230086298</s:v>
      </s:c>
      <s:c r="U30" s="104">
        <s:f>$L$8*AA30*AB30/SUMPRODUCT($AB$25:$AB$56,$AA$25:$AA$56)</s:f>
        <s:v>44800.912751677803</s:v>
      </s:c>
      <s:c r="V30" s="105">
        <s:f>$L$9*AA30*AB30/SUMPRODUCT($AB$25:$AB$58,$AA$25:$AA$58)</s:f>
        <s:v>6.4928859060402599</s:v>
      </s:c>
      <s:c r="W30" s="105">
        <s:f>IF($L$12="","",V30/$L$12)</s:f>
        <s:v>3.7315436241610702</s:v>
      </s:c>
      <s:c r="X30" s="104">
        <s:f>IF(AB30&lt;&gt;"",IF(D30&lt;&gt;"",D30,($L$8-SUM($X$25:X29))*AA30*AB30/SUMPRODUCT($AB30:$AB$58,$AA30:$AA$58)),"")</s:f>
        <s:v>21978</s:v>
      </s:c>
      <s:c r="Y30" s="105">
        <s:f>IF(AB30&lt;&gt;"",IF(E30&lt;&gt;"",E30,($L$9-SUM($Y$25:Y29))*AA30*AB30/SUMPRODUCT($AB30:$AB$58,$AA30:$AA$58)),"")</s:f>
        <s:v>3</s:v>
      </s:c>
      <s:c r="Z30" s="105">
        <s:f>IF(AB30&lt;&gt;"",IF($L$12&lt;&gt;"",IF(G30&lt;&gt;"",G30,($L$9/$L$12-SUM($Z$25:Z29))*AA30*AB30/SUMPRODUCT($AB30:$AB$58,$AA30:$AA$58)),""),"")</s:f>
        <s:v>2</s:v>
      </s:c>
      <s:c r="AA30" s="106">
        <s:v>1</s:v>
      </s:c>
      <s:c r="AB30" s="106">
        <s:v>1</s:v>
      </s:c>
      <s:c r="AC30" s="107"/>
      <s:c r="AD30" s="108"/>
      <s:c r="AE30" s="2"/>
      <s:c r="AF30" s="2"/>
      <s:c r="AG30" s="2"/>
      <s:c r="AH30" s="2"/>
      <s:c r="AI30" s="2"/>
    </s:row>
    <s:row r="31">
      <s:c r="A31" s="96">
        <s:v>7</s:v>
      </s:c>
      <s:c r="B31" s="97">
        <s:v>46088</s:v>
      </s:c>
      <s:c r="C31" s="98" t="s">
        <s:v>60</s:v>
      </s:c>
      <s:c r="D31" s="99">
        <s:v>34746</s:v>
      </s:c>
      <s:c r="E31" s="101">
        <s:v>7</s:v>
      </s:c>
      <s:c r="F31" s="101">
        <s:f>IF(AND(E31&lt;&gt;"",E31&lt;&gt;0),D31/E31,"")</s:f>
        <s:v>4963.7142857142853</s:v>
      </s:c>
      <s:c r="G31" s="101">
        <s:v>6</s:v>
      </s:c>
      <s:c r="H31" s="101">
        <s:f>IF(AND(G31&lt;&gt;"",G31&lt;&gt;0),D31/G31,"")</s:f>
        <s:v>5791</s:v>
      </s:c>
      <s:c r="I31" s="101">
        <s:v>25</s:v>
      </s:c>
      <s:c r="J31" s="99">
        <s:f>IF(AND(G31&lt;&gt;"",G31&lt;&gt;0),E31/G31,"")</s:f>
        <s:v>1.1666666666666667</s:v>
      </s:c>
      <s:c r="K31" s="101"/>
      <s:c r="L31" s="101"/>
      <s:c r="M31" s="101"/>
      <s:c r="N31" s="101"/>
      <s:c r="O31" s="101"/>
      <s:c r="P31" s="101"/>
      <s:c r="Q31" s="101"/>
      <s:c r="R31" s="101">
        <s:v>2793</s:v>
      </s:c>
      <s:c r="S31" s="102">
        <s:f>IF(AND(I31&lt;&gt;"",I31&lt;&gt;0),G31/I31,"")</s:f>
        <s:v>0.24</s:v>
      </s:c>
      <s:c r="T31" s="103">
        <s:f>D31/U31</s:f>
        <s:v>0.77556455585157003</s:v>
      </s:c>
      <s:c r="U31" s="104">
        <s:f>$L$8*AA31*AB31/SUMPRODUCT($AB$25:$AB$56,$AA$25:$AA$56)</s:f>
        <s:v>44800.912751677803</s:v>
      </s:c>
      <s:c r="V31" s="105">
        <s:f>$L$9*AA31*AB31/SUMPRODUCT($AB$25:$AB$58,$AA$25:$AA$58)</s:f>
        <s:v>6.4928859060402599</s:v>
      </s:c>
      <s:c r="W31" s="105">
        <s:f>IF($L$12="","",V31/$L$12)</s:f>
        <s:v>3.7315436241610702</s:v>
      </s:c>
      <s:c r="X31" s="104">
        <s:f>IF(AB31&lt;&gt;"",IF(D31&lt;&gt;"",D31,($L$8-SUM($X$25:X30))*AA31*AB31/SUMPRODUCT($AB31:$AB$58,$AA31:$AA$58)),"")</s:f>
        <s:v>34746</s:v>
      </s:c>
      <s:c r="Y31" s="105">
        <s:f>IF(AB31&lt;&gt;"",IF(E31&lt;&gt;"",E31,($L$9-SUM($Y$25:Y30))*AA31*AB31/SUMPRODUCT($AB31:$AB$58,$AA31:$AA$58)),"")</s:f>
        <s:v>7</s:v>
      </s:c>
      <s:c r="Z31" s="105">
        <s:f>IF(AB31&lt;&gt;"",IF($L$12&lt;&gt;"",IF(G31&lt;&gt;"",G31,($L$9/$L$12-SUM($Z$25:Z30))*AA31*AB31/SUMPRODUCT($AB31:$AB$58,$AA31:$AA$58)),""),"")</s:f>
        <s:v>6</s:v>
      </s:c>
      <s:c r="AA31" s="106">
        <s:v>1</s:v>
      </s:c>
      <s:c r="AB31" s="106">
        <s:v>1</s:v>
      </s:c>
      <s:c r="AC31" s="107"/>
      <s:c r="AD31" s="108"/>
    </s:row>
    <s:row r="32">
      <s:c r="A32" s="96">
        <s:v>8</s:v>
      </s:c>
      <s:c r="B32" s="97">
        <s:v>46089</s:v>
      </s:c>
      <s:c r="C32" s="98" t="s">
        <s:v>53</s:v>
      </s:c>
      <s:c r="D32" s="99">
        <s:f>28093+100576+6191</s:f>
        <s:v>134860</s:v>
      </s:c>
      <s:c r="E32" s="101">
        <s:v>12</s:v>
      </s:c>
      <s:c r="F32" s="101">
        <s:f>IF(AND(E32&lt;&gt;"",E32&lt;&gt;0),D32/E32,"")</s:f>
        <s:v>11238.333333333334</s:v>
      </s:c>
      <s:c r="G32" s="101">
        <s:v>8</s:v>
      </s:c>
      <s:c r="H32" s="101">
        <s:f>IF(AND(G32&lt;&gt;"",G32&lt;&gt;0),D32/G32,"")</s:f>
        <s:v>16857.5</s:v>
      </s:c>
      <s:c r="I32" s="101">
        <s:v>40</s:v>
      </s:c>
      <s:c r="J32" s="99">
        <s:f>IF(AND(G32&lt;&gt;"",G32&lt;&gt;0),E32/G32,"")</s:f>
        <s:v>1.5</s:v>
      </s:c>
      <s:c r="K32" s="286">
        <s:v>100576</s:v>
      </s:c>
      <s:c r="L32" s="101"/>
      <s:c r="M32" s="101"/>
      <s:c r="N32" s="101">
        <s:v>6191</s:v>
      </s:c>
      <s:c r="O32" s="101"/>
      <s:c r="P32" s="101"/>
      <s:c r="Q32" s="101"/>
      <s:c r="R32" s="101"/>
      <s:c r="S32" s="102">
        <s:f>IF(AND(I32&lt;&gt;"",I32&lt;&gt;0),G32/I32,"")</s:f>
        <s:v>0.2</s:v>
      </s:c>
      <s:c r="T32" s="103">
        <s:f>D32/U32</s:f>
        <s:v>3.0102065274317198</s:v>
      </s:c>
      <s:c r="U32" s="104">
        <s:f>$L$8*AA32*AB32/SUMPRODUCT($AB$25:$AB$56,$AA$25:$AA$56)</s:f>
        <s:v>44800.912751677803</s:v>
      </s:c>
      <s:c r="V32" s="105">
        <s:f>$L$9*AA32*AB32/SUMPRODUCT($AB$25:$AB$58,$AA$25:$AA$58)</s:f>
        <s:v>6.4928859060402599</s:v>
      </s:c>
      <s:c r="W32" s="105">
        <s:f>IF($L$12="","",V32/$L$12)</s:f>
        <s:v>3.7315436241610702</s:v>
      </s:c>
      <s:c r="X32" s="104">
        <s:f>IF(AB32&lt;&gt;"",IF(D32&lt;&gt;"",D32,($L$8-SUM($X$25:X31))*AA32*AB32/SUMPRODUCT($AB32:$AB$58,$AA32:$AA$58)),"")</s:f>
        <s:v>134860</s:v>
      </s:c>
      <s:c r="Y32" s="105">
        <s:f>IF(AB32&lt;&gt;"",IF(E32&lt;&gt;"",E32,($L$9-SUM($Y$25:Y31))*AA32*AB32/SUMPRODUCT($AB32:$AB$58,$AA32:$AA$58)),"")</s:f>
        <s:v>12</s:v>
      </s:c>
      <s:c r="Z32" s="105">
        <s:f>IF(AB32&lt;&gt;"",IF($L$12&lt;&gt;"",IF(G32&lt;&gt;"",G32,($L$9/$L$12-SUM($Z$25:Z31))*AA32*AB32/SUMPRODUCT($AB32:$AB$58,$AA32:$AA$58)),""),"")</s:f>
        <s:v>8</s:v>
      </s:c>
      <s:c r="AA32" s="106">
        <s:v>1</s:v>
      </s:c>
      <s:c r="AB32" s="106">
        <s:v>1</s:v>
      </s:c>
      <s:c r="AC32" s="107"/>
      <s:c r="AD32" s="108"/>
    </s:row>
    <s:row r="33">
      <s:c r="A33" s="96">
        <s:v>9</s:v>
      </s:c>
      <s:c r="B33" s="97">
        <s:v>46090</s:v>
      </s:c>
      <s:c r="C33" s="98" t="s">
        <s:v>55</s:v>
      </s:c>
      <s:c r="D33" s="99">
        <s:v>20092</s:v>
      </s:c>
      <s:c r="E33" s="101">
        <s:v>3</s:v>
      </s:c>
      <s:c r="F33" s="101">
        <s:f>IF(AND(E33&lt;&gt;"",E33&lt;&gt;0),D33/E33,"")</s:f>
        <s:v>6697.3333333333303</s:v>
      </s:c>
      <s:c r="G33" s="101">
        <s:v>2</s:v>
      </s:c>
      <s:c r="H33" s="101">
        <s:f>IF(AND(G33&lt;&gt;"",G33&lt;&gt;0),D33/G33,"")</s:f>
        <s:v>10046</s:v>
      </s:c>
      <s:c r="I33" s="101">
        <s:v>40</s:v>
      </s:c>
      <s:c r="J33" s="99">
        <s:f>IF(AND(G33&lt;&gt;"",G33&lt;&gt;0),E33/G33,"")</s:f>
        <s:v>1.5</s:v>
      </s:c>
      <s:c r="K33" s="101"/>
      <s:c r="L33" s="101"/>
      <s:c r="M33" s="101"/>
      <s:c r="N33" s="101"/>
      <s:c r="O33" s="101"/>
      <s:c r="P33" s="101"/>
      <s:c r="Q33" s="101"/>
      <s:c r="R33" s="101"/>
      <s:c r="S33" s="102">
        <s:f>IF(AND(I33&lt;&gt;"",I33&lt;&gt;0),G33/I33,"")</s:f>
        <s:v>0.05</s:v>
      </s:c>
      <s:c r="T33" s="103">
        <s:f>D33/U33</s:f>
        <s:v>0.448473005703383</s:v>
      </s:c>
      <s:c r="U33" s="104">
        <s:f>$L$8*AA33*AB33/SUMPRODUCT($AB$25:$AB$56,$AA$25:$AA$56)</s:f>
        <s:v>44800.912751677803</s:v>
      </s:c>
      <s:c r="V33" s="105">
        <s:f>$L$9*AA33*AB33/SUMPRODUCT($AB$25:$AB$58,$AA$25:$AA$58)</s:f>
        <s:v>6.4928859060402599</s:v>
      </s:c>
      <s:c r="W33" s="105">
        <s:f>IF($L$12="","",V33/$L$12)</s:f>
        <s:v>3.7315436241610702</s:v>
      </s:c>
      <s:c r="X33" s="104">
        <s:f>IF(AB33&lt;&gt;"",IF(D33&lt;&gt;"",D33,($L$8-SUM($X$25:X32))*AA33*AB33/SUMPRODUCT($AB33:$AB$58,$AA33:$AA$58)),"")</s:f>
        <s:v>20092</s:v>
      </s:c>
      <s:c r="Y33" s="105">
        <s:f>IF(AB33&lt;&gt;"",IF(E33&lt;&gt;"",E33,($L$9-SUM($Y$25:Y32))*AA33*AB33/SUMPRODUCT($AB33:$AB$58,$AA33:$AA$58)),"")</s:f>
        <s:v>3</s:v>
      </s:c>
      <s:c r="Z33" s="105">
        <s:f>IF(AB33&lt;&gt;"",IF($L$12&lt;&gt;"",IF(G33&lt;&gt;"",G33,($L$9/$L$12-SUM($Z$25:Z32))*AA33*AB33/SUMPRODUCT($AB33:$AB$58,$AA33:$AA$58)),""),"")</s:f>
        <s:v>2</s:v>
      </s:c>
      <s:c r="AA33" s="106">
        <s:v>1</s:v>
      </s:c>
      <s:c r="AB33" s="106">
        <s:v>1</s:v>
      </s:c>
      <s:c r="AC33" s="107"/>
      <s:c r="AD33" s="108"/>
      <s:c r="AE33" s="2"/>
      <s:c r="AF33" s="2"/>
      <s:c r="AG33" s="2"/>
      <s:c r="AH33" s="2"/>
      <s:c r="AI33" s="2"/>
    </s:row>
    <s:row r="34">
      <s:c r="A34" s="96">
        <s:v>10</s:v>
      </s:c>
      <s:c r="B34" s="97">
        <s:v>46091</s:v>
      </s:c>
      <s:c r="C34" s="98" t="s">
        <s:v>56</s:v>
      </s:c>
      <s:c r="D34" s="99">
        <s:v>38929</s:v>
      </s:c>
      <s:c r="E34" s="100">
        <s:v>7</s:v>
      </s:c>
      <s:c r="F34" s="101">
        <s:f>IF(AND(E34&lt;&gt;"",E34&lt;&gt;0),D34/E34,"")</s:f>
        <s:v>5561.2857142857101</s:v>
      </s:c>
      <s:c r="G34" s="101">
        <s:v>6</s:v>
      </s:c>
      <s:c r="H34" s="101">
        <s:f>IF(AND(G34&lt;&gt;"",G34&lt;&gt;0),D34/G34,"")</s:f>
        <s:v>6488.1666666666597</s:v>
      </s:c>
      <s:c r="I34" s="101">
        <s:v>40</s:v>
      </s:c>
      <s:c r="J34" s="99">
        <s:f>IF(AND(G34&lt;&gt;"",G34&lt;&gt;0),E34/G34,"")</s:f>
        <s:v>1.1666666666666601</s:v>
      </s:c>
      <s:c r="K34" s="101">
        <s:v>9493</s:v>
      </s:c>
      <s:c r="L34" s="101"/>
      <s:c r="M34" s="101"/>
      <s:c r="N34" s="101"/>
      <s:c r="O34" s="101"/>
      <s:c r="P34" s="101"/>
      <s:c r="Q34" s="101"/>
      <s:c r="R34" s="101"/>
      <s:c r="S34" s="102">
        <s:f>IF(AND(I34&lt;&gt;"",I34&lt;&gt;0),G34/I34,"")</s:f>
        <s:v>0.15</s:v>
      </s:c>
      <s:c r="T34" s="103">
        <s:f>D34/U34</s:f>
        <s:v>0.86893318928065899</s:v>
      </s:c>
      <s:c r="U34" s="104">
        <s:f>$L$8*AA34*AB34/SUMPRODUCT($AB$25:$AB$56,$AA$25:$AA$56)</s:f>
        <s:v>44800.912751677803</s:v>
      </s:c>
      <s:c r="V34" s="105">
        <s:f>$L$9*AA34*AB34/SUMPRODUCT($AB$25:$AB$58,$AA$25:$AA$58)</s:f>
        <s:v>6.4928859060402599</s:v>
      </s:c>
      <s:c r="W34" s="105">
        <s:f>IF($L$12="","",V34/$L$12)</s:f>
        <s:v>3.7315436241610702</s:v>
      </s:c>
      <s:c r="X34" s="104">
        <s:f>IF(AB34&lt;&gt;"",IF(D34&lt;&gt;"",D34,($L$8-SUM($X$25:X33))*AA34*AB34/SUMPRODUCT($AB34:$AB$58,$AA34:$AA$58)),"")</s:f>
        <s:v>38929</s:v>
      </s:c>
      <s:c r="Y34" s="105">
        <s:f>IF(AB34&lt;&gt;"",IF(E34&lt;&gt;"",E34,($L$9-SUM($Y$25:Y33))*AA34*AB34/SUMPRODUCT($AB34:$AB$58,$AA34:$AA$58)),"")</s:f>
        <s:v>7</s:v>
      </s:c>
      <s:c r="Z34" s="105">
        <s:f>IF(AB34&lt;&gt;"",IF($L$12&lt;&gt;"",IF(G34&lt;&gt;"",G34,($L$9/$L$12-SUM($Z$25:Z33))*AA34*AB34/SUMPRODUCT($AB34:$AB$58,$AA34:$AA$58)),""),"")</s:f>
        <s:v>6</s:v>
      </s:c>
      <s:c r="AA34" s="106">
        <s:v>1</s:v>
      </s:c>
      <s:c r="AB34" s="106">
        <s:v>1</s:v>
      </s:c>
      <s:c r="AC34" s="107"/>
      <s:c r="AD34" s="108"/>
      <s:c r="AE34" s="2"/>
      <s:c r="AF34" s="2"/>
      <s:c r="AG34" s="2"/>
      <s:c r="AH34" s="2"/>
      <s:c r="AI34" s="2"/>
    </s:row>
    <s:row r="35">
      <s:c r="A35" s="96">
        <s:v>11</s:v>
      </s:c>
      <s:c r="B35" s="97">
        <s:v>46093</s:v>
      </s:c>
      <s:c r="C35" s="98" t="s">
        <s:v>58</s:v>
      </s:c>
      <s:c r="D35" s="99">
        <s:v>32075</s:v>
      </s:c>
      <s:c r="E35" s="98">
        <s:v>3</s:v>
      </s:c>
      <s:c r="F35" s="101">
        <s:f>IF(AND(E35&lt;&gt;"",E35&lt;&gt;0),D35/E35,"")</s:f>
        <s:v>10691.666666666601</s:v>
      </s:c>
      <s:c r="G35" s="101">
        <s:v>1</s:v>
      </s:c>
      <s:c r="H35" s="101">
        <s:f>IF(AND(G35&lt;&gt;"",G35&lt;&gt;0),D35/G35,"")</s:f>
        <s:v>32075</s:v>
      </s:c>
      <s:c r="I35" s="101">
        <s:v>18</s:v>
      </s:c>
      <s:c r="J35" s="99">
        <s:f>IF(AND(G35&lt;&gt;"",G35&lt;&gt;0),E35/G35,"")</s:f>
        <s:v>3</s:v>
      </s:c>
      <s:c r="K35" s="101"/>
      <s:c r="L35" s="101"/>
      <s:c r="M35" s="101"/>
      <s:c r="N35" s="101"/>
      <s:c r="O35" s="101"/>
      <s:c r="P35" s="101"/>
      <s:c r="Q35" s="101">
        <s:v>16890</s:v>
      </s:c>
      <s:c r="R35" s="101"/>
      <s:c r="S35" s="102">
        <s:f>IF(AND(I35&lt;&gt;"",I35&lt;&gt;0),G35/I35,"")</s:f>
        <s:v>5.5555555555555497E-2</s:v>
      </s:c>
      <s:c r="T35" s="103">
        <s:f>D35/U35</s:f>
        <s:v>0.71594523481664396</s:v>
      </s:c>
      <s:c r="U35" s="104">
        <s:f>$L$8*AA35*AB35/SUMPRODUCT($AB$25:$AB$56,$AA$25:$AA$56)</s:f>
        <s:v>44800.912751677803</s:v>
      </s:c>
      <s:c r="V35" s="105">
        <s:f>$L$9*AA35*AB35/SUMPRODUCT($AB$25:$AB$58,$AA$25:$AA$58)</s:f>
        <s:v>6.4928859060402599</s:v>
      </s:c>
      <s:c r="W35" s="105">
        <s:f>IF($L$12="","",V35/$L$12)</s:f>
        <s:v>3.7315436241610702</s:v>
      </s:c>
      <s:c r="X35" s="104">
        <s:f>IF(AB35&lt;&gt;"",IF(D35&lt;&gt;"",D35,($L$8-SUM($X$25:X34))*AA35*AB35/SUMPRODUCT($AB35:$AB$58,$AA35:$AA$58)),"")</s:f>
        <s:v>32075</s:v>
      </s:c>
      <s:c r="Y35" s="105">
        <s:f>IF(AB35&lt;&gt;"",IF(E34&lt;&gt;"",E34,($L$9-SUM($Y$25:Y34))*AA35*AB35/SUMPRODUCT($AB35:$AB$58,$AA35:$AA$58)),"")</s:f>
        <s:v>7</s:v>
      </s:c>
      <s:c r="Z35" s="105">
        <s:f>IF(AB35&lt;&gt;"",IF($L$12&lt;&gt;"",IF(G35&lt;&gt;"",G35,($L$9/$L$12-SUM($Z$25:Z34))*AA35*AB35/SUMPRODUCT($AB35:$AB$58,$AA35:$AA$58)),""),"")</s:f>
        <s:v>1</s:v>
      </s:c>
      <s:c r="AA35" s="106">
        <s:v>1</s:v>
      </s:c>
      <s:c r="AB35" s="106">
        <s:v>1</s:v>
      </s:c>
      <s:c r="AC35" s="107"/>
      <s:c r="AD35" s="108"/>
      <s:c r="AE35" s="2"/>
      <s:c r="AF35" s="2"/>
      <s:c r="AG35" s="2"/>
      <s:c r="AH35" s="2"/>
      <s:c r="AI35" s="2"/>
    </s:row>
    <s:row r="36" spans="1:35" ht="15.25" customHeight="1">
      <s:c r="A36" s="96">
        <s:v>12</s:v>
      </s:c>
      <s:c r="B36" s="97">
        <s:v>46094</s:v>
      </s:c>
      <s:c r="C36" s="98" t="s">
        <s:v>59</s:v>
      </s:c>
      <s:c r="D36" s="99">
        <s:v>4693</s:v>
      </s:c>
      <s:c r="E36" s="113">
        <s:v>1</s:v>
      </s:c>
      <s:c r="F36" s="101">
        <s:f>IF(AND(E36&lt;&gt;"",E36&lt;&gt;0),D36/E36,"")</s:f>
        <s:v>4693</s:v>
      </s:c>
      <s:c r="G36" s="287">
        <s:v>1</s:v>
      </s:c>
      <s:c r="H36" s="101">
        <s:f>IF(AND(G36&lt;&gt;"",G36&lt;&gt;0),D36/G36,"")</s:f>
        <s:v>4693</s:v>
      </s:c>
      <s:c r="I36" s="287">
        <s:v>20</s:v>
      </s:c>
      <s:c r="J36" s="99">
        <s:f>IF(AND(G36&lt;&gt;"",G36&lt;&gt;0),E36/G36,"")</s:f>
        <s:v>1</s:v>
      </s:c>
      <s:c r="K36" s="287"/>
      <s:c r="L36" s="101"/>
      <s:c r="M36" s="101"/>
      <s:c r="N36" s="101"/>
      <s:c r="O36" s="101"/>
      <s:c r="P36" s="101"/>
      <s:c r="Q36" s="101"/>
      <s:c r="R36" s="101"/>
      <s:c r="S36" s="102">
        <s:f>IF(AND(I36&lt;&gt;"",I36&lt;&gt;0),G36/I36,"")</s:f>
        <s:v>0.05</s:v>
      </s:c>
      <s:c r="T36" s="288">
        <s:f>D36/U36</s:f>
        <s:v>0.104752330069977</s:v>
      </s:c>
      <s:c r="U36" s="104">
        <s:f>$L$8*AA36*AB36/SUMPRODUCT($AB$25:$AB$56,$AA$25:$AA$56)</s:f>
        <s:v>44800.912751677803</s:v>
      </s:c>
      <s:c r="V36" s="289">
        <s:f>$L$9*AA36*AB36/SUMPRODUCT($AB$25:$AB$58,$AA$25:$AA$58)</s:f>
        <s:v>6.4928859060402599</s:v>
      </s:c>
      <s:c r="W36" s="105">
        <s:f>IF($L$12="","",V36/$L$12)</s:f>
        <s:v>3.7315436241610702</s:v>
      </s:c>
      <s:c r="X36" s="290">
        <s:f>IF(AB36&lt;&gt;"",IF(D36&lt;&gt;"",D36,($L$8-SUM($X$25:X35))*AA36*AB36/SUMPRODUCT($AB36:$AB$58,$AA36:$AA$58)),"")</s:f>
        <s:v>4693</s:v>
      </s:c>
      <s:c r="Y36" s="105">
        <s:f>IF(AB36&lt;&gt;"",IF(E35&lt;&gt;"",E35,($L$9-SUM($Y$25:Y35))*AA36*AB36/SUMPRODUCT($AB36:$AB$58,$AA36:$AA$58)),"")</s:f>
        <s:v>3</s:v>
      </s:c>
      <s:c r="Z36" s="289">
        <s:f>IF(AB36&lt;&gt;"",IF($L$12&lt;&gt;"",IF(G36&lt;&gt;"",G36,($L$9/$L$12-SUM($Z$25:Z35))*AA36*AB36/SUMPRODUCT($AB36:$AB$58,$AA36:$AA$58)),""),"")</s:f>
        <s:v>1</s:v>
      </s:c>
      <s:c r="AA36" s="106">
        <s:v>1</s:v>
      </s:c>
      <s:c r="AB36" s="106">
        <s:v>1</s:v>
      </s:c>
      <s:c r="AC36" s="107"/>
      <s:c r="AD36" s="108"/>
      <s:c r="AE36" s="2"/>
      <s:c r="AF36" s="2"/>
      <s:c r="AG36" s="2"/>
      <s:c r="AH36" s="2"/>
      <s:c r="AI36" s="2"/>
    </s:row>
    <s:row r="37">
      <s:c r="A37" s="96">
        <s:v>13</s:v>
      </s:c>
      <s:c r="B37" s="97">
        <s:v>46095</s:v>
      </s:c>
      <s:c r="C37" s="98" t="s">
        <s:v>60</s:v>
      </s:c>
      <s:c r="D37" s="99">
        <s:f>41805+4893</s:f>
        <s:v>46698</s:v>
      </s:c>
      <s:c r="E37" s="101">
        <s:v>4</s:v>
      </s:c>
      <s:c r="F37" s="101">
        <s:f>IF(AND(E37&lt;&gt;"",E37&lt;&gt;0),D37/E37,"")</s:f>
        <s:v>11674.5</s:v>
      </s:c>
      <s:c r="G37" s="101">
        <s:v>2</s:v>
      </s:c>
      <s:c r="H37" s="101">
        <s:f>IF(AND(G37&lt;&gt;"",G37&lt;&gt;0),D37/G37,"")</s:f>
        <s:v>23349</s:v>
      </s:c>
      <s:c r="I37" s="101">
        <s:v>15</s:v>
      </s:c>
      <s:c r="J37" s="99">
        <s:f>IF(AND(G37&lt;&gt;"",G37&lt;&gt;0),E37/G37,"")</s:f>
        <s:v>2</s:v>
      </s:c>
      <s:c r="K37" s="101"/>
      <s:c r="L37" s="101"/>
      <s:c r="M37" s="101"/>
      <s:c r="N37" s="101"/>
      <s:c r="O37" s="101"/>
      <s:c r="P37" s="101">
        <s:v>41805</s:v>
      </s:c>
      <s:c r="Q37" s="101"/>
      <s:c r="R37" s="101"/>
      <s:c r="S37" s="102">
        <s:f>IF(AND(I37&lt;&gt;"",I37&lt;&gt;0),G37/I37,"")</s:f>
        <s:v>0.133333333333333</s:v>
      </s:c>
      <s:c r="T37" s="103">
        <s:f>D37/U37</s:f>
        <s:v>1.04234483477685</s:v>
      </s:c>
      <s:c r="U37" s="104">
        <s:f>$L$8*AA37*AB37/SUMPRODUCT($AB$25:$AB$56,$AA$25:$AA$56)</s:f>
        <s:v>44800.912751677803</s:v>
      </s:c>
      <s:c r="V37" s="105">
        <s:f>$L$9*AA37*AB37/SUMPRODUCT($AB$25:$AB$58,$AA$25:$AA$58)</s:f>
        <s:v>6.4928859060402599</s:v>
      </s:c>
      <s:c r="W37" s="105">
        <s:f>IF($L$12="","",V37/$L$12)</s:f>
        <s:v>3.7315436241610702</s:v>
      </s:c>
      <s:c r="X37" s="104">
        <s:f>IF(AB37&lt;&gt;"",IF(D37&lt;&gt;"",D37,($L$8-SUM($X$25:X36))*AA37*AB37/SUMPRODUCT($AB37:$AB$58,$AA37:$AA$58)),"")</s:f>
        <s:v>46698</s:v>
      </s:c>
      <s:c r="Y37" s="105">
        <s:f>IF(AB37&lt;&gt;"",IF(E37&lt;&gt;"",E37,($L$9-SUM($Y$25:Y36))*AA37*AB37/SUMPRODUCT($AB37:$AB$58,$AA37:$AA$58)),"")</s:f>
        <s:v>4</s:v>
      </s:c>
      <s:c r="Z37" s="105">
        <s:f>IF(AB37&lt;&gt;"",IF($L$12&lt;&gt;"",IF(G37&lt;&gt;"",G37,($L$9/$L$12-SUM($Z$25:Z36))*AA37*AB37/SUMPRODUCT($AB37:$AB$58,$AA37:$AA$58)),""),"")</s:f>
        <s:v>2</s:v>
      </s:c>
      <s:c r="AA37" s="106">
        <s:v>1</s:v>
      </s:c>
      <s:c r="AB37" s="106">
        <s:v>1</s:v>
      </s:c>
      <s:c r="AC37" s="107"/>
      <s:c r="AD37" s="108"/>
      <s:c r="AE37" s="2"/>
      <s:c r="AF37" s="2"/>
      <s:c r="AG37" s="2"/>
      <s:c r="AH37" s="2"/>
      <s:c r="AI37" s="2"/>
    </s:row>
    <s:row r="38">
      <s:c r="A38" s="96" t="s">
        <s:v>79</s:v>
      </s:c>
      <s:c r="B38" s="97">
        <s:v>46096</s:v>
      </s:c>
      <s:c r="C38" s="98" t="s">
        <s:v>53</s:v>
      </s:c>
      <s:c r="D38" s="99">
        <s:v>19385</s:v>
      </s:c>
      <s:c r="E38" s="100">
        <s:v>2</s:v>
      </s:c>
      <s:c r="F38" s="101">
        <s:f>IF(AND(E38&lt;&gt;"",E38&lt;&gt;0),D38/E38,"")</s:f>
        <s:v>9692.5</s:v>
      </s:c>
      <s:c r="G38" s="101">
        <s:v>1</s:v>
      </s:c>
      <s:c r="H38" s="101">
        <s:f>IF(AND(G38&lt;&gt;"",G38&lt;&gt;0),D38/G38,"")</s:f>
        <s:v>19385</s:v>
      </s:c>
      <s:c r="I38" s="101">
        <s:v>22</s:v>
      </s:c>
      <s:c r="J38" s="99">
        <s:f>IF(AND(G38&lt;&gt;"",G38&lt;&gt;0),E38/G38,"")</s:f>
        <s:v>2</s:v>
      </s:c>
      <s:c r="K38" s="101"/>
      <s:c r="L38" s="101"/>
      <s:c r="M38" s="101"/>
      <s:c r="N38" s="101"/>
      <s:c r="O38" s="101">
        <s:v>15390</s:v>
      </s:c>
      <s:c r="P38" s="101"/>
      <s:c r="Q38" s="101"/>
      <s:c r="R38" s="101"/>
      <s:c r="S38" s="102">
        <s:f>IF(AND(I38&lt;&gt;"",I38&lt;&gt;0),G38/I38,"")</s:f>
        <s:v>4.54545454545454E-2</s:v>
      </s:c>
      <s:c r="T38" s="103">
        <s:f>D38/U38</s:f>
        <s:v>0.43269207722277903</s:v>
      </s:c>
      <s:c r="U38" s="104">
        <s:f>$L$8*AA38*AB38/SUMPRODUCT($AB$25:$AB$56,$AA$25:$AA$56)</s:f>
        <s:v>44800.912751677803</s:v>
      </s:c>
      <s:c r="V38" s="105">
        <s:f>$L$9*AA38*AB38/SUMPRODUCT($AB$25:$AB$58,$AA$25:$AA$58)</s:f>
        <s:v>6.4928859060402599</s:v>
      </s:c>
      <s:c r="W38" s="105">
        <s:f>IF($L$12="","",V38/$L$12)</s:f>
        <s:v>3.7315436241610702</s:v>
      </s:c>
      <s:c r="X38" s="104">
        <s:f>IF(AB38&lt;&gt;"",IF(D38&lt;&gt;"",D38,($L$8-SUM($X$25:X37))*AA38*AB38/SUMPRODUCT($AB38:$AB$58,$AA38:$AA$58)),"")</s:f>
        <s:v>19385</s:v>
      </s:c>
      <s:c r="Y38" s="105">
        <s:f>IF(AB38&lt;&gt;"",IF(E38&lt;&gt;"",E38,($L$9-SUM($Y$25:Y37))*AA38*AB38/SUMPRODUCT($AB38:$AB$58,$AA38:$AA$58)),"")</s:f>
        <s:v>2</s:v>
      </s:c>
      <s:c r="Z38" s="105">
        <s:f>IF(AB38&lt;&gt;"",IF($L$12&lt;&gt;"",IF(G38&lt;&gt;"",G38,($L$9/$L$12-SUM($Z$25:Z37))*AA38*AB38/SUMPRODUCT($AB38:$AB$58,$AA38:$AA$58)),""),"")</s:f>
        <s:v>1</s:v>
      </s:c>
      <s:c r="AA38" s="106">
        <s:v>1</s:v>
      </s:c>
      <s:c r="AB38" s="106">
        <s:v>1</s:v>
      </s:c>
      <s:c r="AC38" s="107"/>
      <s:c r="AD38" s="108"/>
      <s:c r="AE38" s="2"/>
      <s:c r="AF38" s="2"/>
      <s:c r="AG38" s="2"/>
      <s:c r="AH38" s="2"/>
      <s:c r="AI38" s="2"/>
    </s:row>
    <s:row r="39">
      <s:c r="A39" s="96">
        <s:v>15</s:v>
      </s:c>
      <s:c r="B39" s="97"/>
      <s:c r="C39" s="98"/>
      <s:c r="D39" s="99"/>
      <s:c r="E39" s="100"/>
      <s:c r="F39" s="101" t="str">
        <s:f>IF(AND(E39&lt;&gt;"",E39&lt;&gt;0),D39/E39,"")</s:f>
        <s:v/>
      </s:c>
      <s:c r="G39" s="101"/>
      <s:c r="H39" s="101" t="str">
        <s:f>IF(AND(G39&lt;&gt;"",G39&lt;&gt;0),D39/G39,"")</s:f>
        <s:v/>
      </s:c>
      <s:c r="I39" s="101"/>
      <s:c r="J39" s="99" t="str">
        <s:f>IF(AND(G39&lt;&gt;"",G39&lt;&gt;0),E39/G39,"")</s:f>
        <s:v/>
      </s:c>
      <s:c r="K39" s="101"/>
      <s:c r="L39" s="101"/>
      <s:c r="M39" s="101"/>
      <s:c r="N39" s="101"/>
      <s:c r="O39" s="101"/>
      <s:c r="P39" s="101"/>
      <s:c r="Q39" s="101"/>
      <s:c r="R39" s="101"/>
      <s:c r="S39" s="102" t="str">
        <s:f>IF(AND(I39&lt;&gt;"",I39&lt;&gt;0),G39/I39,"")</s:f>
        <s:v/>
      </s:c>
      <s:c r="T39" s="103" t="e">
        <s:f>D39/U39</s:f>
        <s:v>#DIV/0!</s:v>
      </s:c>
      <s:c r="U39" s="104">
        <s:f>$L$8*AA39*AB39/SUMPRODUCT($AB$25:$AB$56,$AA$25:$AA$56)</s:f>
        <s:v>0</s:v>
      </s:c>
      <s:c r="V39" s="105">
        <s:f>$L$9*AA39*AB39/SUMPRODUCT($AB$25:$AB$58,$AA$25:$AA$58)</s:f>
        <s:v>0</s:v>
      </s:c>
      <s:c r="W39" s="105">
        <s:f>IF($L$12="","",V39/$L$12)</s:f>
        <s:v>0</s:v>
      </s:c>
      <s:c r="X39" s="104" t="str">
        <s:f>IF(AB39&lt;&gt;"",IF(D39&lt;&gt;"",D39,($L$8-SUM($X$25:X38))*AA39*AB39/SUMPRODUCT($AB39:$AB$58,$AA39:$AA$58)),"")</s:f>
        <s:v/>
      </s:c>
      <s:c r="Y39" s="105" t="str">
        <s:f>IF(AB39&lt;&gt;"",IF(E39&lt;&gt;"",E39,($L$9-SUM($Y$25:Y38))*AA39*AB39/SUMPRODUCT($AB39:$AB$58,$AA39:$AA$58)),"")</s:f>
        <s:v/>
      </s:c>
      <s:c r="Z39" s="105" t="str">
        <s:f>IF(AB39&lt;&gt;"",IF($L$12&lt;&gt;"",IF(G39&lt;&gt;"",G39,($L$9/$L$12-SUM($Z$25:Z38))*AA39*AB39/SUMPRODUCT($AB39:$AB$58,$AA39:$AA$58)),""),"")</s:f>
        <s:v/>
      </s:c>
      <s:c r="AA39" s="106"/>
      <s:c r="AB39" s="106"/>
      <s:c r="AC39" s="107"/>
      <s:c r="AD39" s="108"/>
      <s:c r="AE39" s="2"/>
      <s:c r="AF39" s="2"/>
      <s:c r="AG39" s="2"/>
      <s:c r="AH39" s="2"/>
      <s:c r="AI39" s="2"/>
    </s:row>
    <s:row r="40">
      <s:c r="A40" s="96">
        <s:v>16</s:v>
      </s:c>
      <s:c r="B40" s="97"/>
      <s:c r="C40" s="98"/>
      <s:c r="D40" s="99"/>
      <s:c r="E40" s="98"/>
      <s:c r="F40" s="101" t="str">
        <s:f>IF(AND(E40&lt;&gt;"",E40&lt;&gt;0),D40/E40,"")</s:f>
        <s:v/>
      </s:c>
      <s:c r="G40" s="101"/>
      <s:c r="H40" s="101" t="str">
        <s:f>IF(AND(G40&lt;&gt;"",G40&lt;&gt;0),D40/G40,"")</s:f>
        <s:v/>
      </s:c>
      <s:c r="I40" s="101"/>
      <s:c r="J40" s="99" t="str">
        <s:f>IF(AND(G40&lt;&gt;"",G40&lt;&gt;0),E40/G40,"")</s:f>
        <s:v/>
      </s:c>
      <s:c r="K40" s="101"/>
      <s:c r="L40" s="101"/>
      <s:c r="M40" s="101"/>
      <s:c r="N40" s="101"/>
      <s:c r="O40" s="101"/>
      <s:c r="P40" s="101"/>
      <s:c r="Q40" s="101"/>
      <s:c r="R40" s="101"/>
      <s:c r="S40" s="102" t="str">
        <s:f>IF(AND(I40&lt;&gt;"",I40&lt;&gt;0),G40/I40,"")</s:f>
        <s:v/>
      </s:c>
      <s:c r="T40" s="103" t="e">
        <s:f>D40/U40</s:f>
        <s:v>#DIV/0!</s:v>
      </s:c>
      <s:c r="U40" s="104">
        <s:f>$L$8*AA40*AB40/SUMPRODUCT($AB$25:$AB$56,$AA$25:$AA$56)</s:f>
        <s:v>0</s:v>
      </s:c>
      <s:c r="V40" s="105">
        <s:f>$L$9*AA40*AB40/SUMPRODUCT($AB$25:$AB$58,$AA$25:$AA$58)</s:f>
        <s:v>0</s:v>
      </s:c>
      <s:c r="W40" s="105">
        <s:f>IF($L$12="","",V40/$L$12)</s:f>
        <s:v>0</s:v>
      </s:c>
      <s:c r="X40" s="104" t="str">
        <s:f>IF(AB40&lt;&gt;"",IF(D40&lt;&gt;"",D40,($L$8-SUM($X$25:X39))*AA40*AB40/SUMPRODUCT($AB40:$AB$58,$AA40:$AA$58)),"")</s:f>
        <s:v/>
      </s:c>
      <s:c r="Y40" s="105" t="str">
        <s:f>IF(AB40&lt;&gt;"",IF(E39&lt;&gt;"",E39,($L$9-SUM($Y$25:Y39))*AA40*AB40/SUMPRODUCT($AB40:$AB$58,$AA40:$AA$58)),"")</s:f>
        <s:v/>
      </s:c>
      <s:c r="Z40" s="105" t="str">
        <s:f>IF(AB40&lt;&gt;"",IF($L$12&lt;&gt;"",IF(G40&lt;&gt;"",G40,($L$9/$L$12-SUM($Z$25:Z39))*AA40*AB40/SUMPRODUCT($AB40:$AB$58,$AA40:$AA$58)),""),"")</s:f>
        <s:v/>
      </s:c>
      <s:c r="AA40" s="106"/>
      <s:c r="AB40" s="106"/>
      <s:c r="AC40" s="107"/>
      <s:c r="AD40" s="108"/>
      <s:c r="AE40" s="2"/>
      <s:c r="AF40" s="2"/>
      <s:c r="AG40" s="2"/>
      <s:c r="AH40" s="2"/>
      <s:c r="AI40" s="2"/>
    </s:row>
    <s:row r="41" spans="1:35" ht="15.25" customHeight="1">
      <s:c r="A41" s="96">
        <s:v>17</s:v>
      </s:c>
      <s:c r="B41" s="97"/>
      <s:c r="C41" s="98"/>
      <s:c r="D41" s="99"/>
      <s:c r="E41" s="113"/>
      <s:c r="F41" s="101" t="str">
        <s:f>IF(AND(E41&lt;&gt;"",E41&lt;&gt;0),D41/E41,"")</s:f>
        <s:v/>
      </s:c>
      <s:c r="G41" s="287"/>
      <s:c r="H41" s="101" t="str">
        <s:f>IF(AND(G41&lt;&gt;"",G41&lt;&gt;0),D41/G41,"")</s:f>
        <s:v/>
      </s:c>
      <s:c r="I41" s="287"/>
      <s:c r="J41" s="99" t="str">
        <s:f>IF(AND(G41&lt;&gt;"",G41&lt;&gt;0),E41/G41,"")</s:f>
        <s:v/>
      </s:c>
      <s:c r="K41" s="287"/>
      <s:c r="L41" s="101"/>
      <s:c r="M41" s="101"/>
      <s:c r="N41" s="101"/>
      <s:c r="O41" s="101"/>
      <s:c r="P41" s="101"/>
      <s:c r="Q41" s="101"/>
      <s:c r="R41" s="101"/>
      <s:c r="S41" s="102" t="str">
        <s:f>IF(AND(I41&lt;&gt;"",I41&lt;&gt;0),G41/I41,"")</s:f>
        <s:v/>
      </s:c>
      <s:c r="T41" s="288" t="e">
        <s:f>D41/U41</s:f>
        <s:v>#DIV/0!</s:v>
      </s:c>
      <s:c r="U41" s="104">
        <s:f>$L$8*AA41*AB41/SUMPRODUCT($AB$25:$AB$56,$AA$25:$AA$56)</s:f>
        <s:v>0</s:v>
      </s:c>
      <s:c r="V41" s="289">
        <s:f>$L$9*AA41*AB41/SUMPRODUCT($AB$25:$AB$58,$AA$25:$AA$58)</s:f>
        <s:v>0</s:v>
      </s:c>
      <s:c r="W41" s="105">
        <s:f>IF($L$12="","",V41/$L$12)</s:f>
        <s:v>0</s:v>
      </s:c>
      <s:c r="X41" s="290" t="str">
        <s:f>IF(AB41&lt;&gt;"",IF(D41&lt;&gt;"",D41,($L$8-SUM($X$25:X40))*AA41*AB41/SUMPRODUCT($AB41:$AB$58,$AA41:$AA$58)),"")</s:f>
        <s:v/>
      </s:c>
      <s:c r="Y41" s="105" t="str">
        <s:f>IF(AB41&lt;&gt;"",IF(E40&lt;&gt;"",E40,($L$9-SUM($Y$25:Y40))*AA41*AB41/SUMPRODUCT($AB41:$AB$58,$AA41:$AA$58)),"")</s:f>
        <s:v/>
      </s:c>
      <s:c r="Z41" s="289" t="str">
        <s:f>IF(AB41&lt;&gt;"",IF($L$12&lt;&gt;"",IF(G41&lt;&gt;"",G41,($L$9/$L$12-SUM($Z$25:Z40))*AA41*AB41/SUMPRODUCT($AB41:$AB$58,$AA41:$AA$58)),""),"")</s:f>
        <s:v/>
      </s:c>
      <s:c r="AA41" s="106"/>
      <s:c r="AB41" s="106"/>
      <s:c r="AC41" s="107"/>
      <s:c r="AD41" s="108"/>
      <s:c r="AE41" s="2"/>
      <s:c r="AF41" s="2"/>
      <s:c r="AG41" s="2"/>
      <s:c r="AH41" s="2"/>
      <s:c r="AI41" s="2"/>
    </s:row>
    <s:row r="42">
      <s:c r="A42" s="96">
        <s:v>18</s:v>
      </s:c>
      <s:c r="B42" s="97"/>
      <s:c r="C42" s="98"/>
      <s:c r="D42" s="99"/>
      <s:c r="E42" s="101"/>
      <s:c r="F42" s="101" t="str">
        <s:f>IF(AND(E42&lt;&gt;"",E42&lt;&gt;0),D42/E42,"")</s:f>
        <s:v/>
      </s:c>
      <s:c r="G42" s="101"/>
      <s:c r="H42" s="101" t="str">
        <s:f>IF(AND(G42&lt;&gt;"",G42&lt;&gt;0),D42/G42,"")</s:f>
        <s:v/>
      </s:c>
      <s:c r="I42" s="101"/>
      <s:c r="J42" s="99" t="str">
        <s:f>IF(AND(G42&lt;&gt;"",G42&lt;&gt;0),E42/G42,"")</s:f>
        <s:v/>
      </s:c>
      <s:c r="K42" s="101"/>
      <s:c r="L42" s="101"/>
      <s:c r="M42" s="101"/>
      <s:c r="N42" s="101"/>
      <s:c r="O42" s="101"/>
      <s:c r="P42" s="101"/>
      <s:c r="Q42" s="101"/>
      <s:c r="R42" s="101"/>
      <s:c r="S42" s="102" t="str">
        <s:f>IF(AND(I42&lt;&gt;"",I42&lt;&gt;0),G42/I42,"")</s:f>
        <s:v/>
      </s:c>
      <s:c r="T42" s="103" t="e">
        <s:f>D42/U42</s:f>
        <s:v>#DIV/0!</s:v>
      </s:c>
      <s:c r="U42" s="104">
        <s:f>$L$8*AA42*AB42/SUMPRODUCT($AB$25:$AB$56,$AA$25:$AA$56)</s:f>
        <s:v>0</s:v>
      </s:c>
      <s:c r="V42" s="105">
        <s:f>$L$9*AA42*AB42/SUMPRODUCT($AB$25:$AB$58,$AA$25:$AA$58)</s:f>
        <s:v>0</s:v>
      </s:c>
      <s:c r="W42" s="105">
        <s:f>IF($L$12="","",V42/$L$12)</s:f>
        <s:v>0</s:v>
      </s:c>
      <s:c r="X42" s="104" t="str">
        <s:f>IF(AB42&lt;&gt;"",IF(D42&lt;&gt;"",D42,($L$8-SUM($X$25:X41))*AA42*AB42/SUMPRODUCT($AB42:$AB$58,$AA42:$AA$58)),"")</s:f>
        <s:v/>
      </s:c>
      <s:c r="Y42" s="105" t="str">
        <s:f>IF(AB42&lt;&gt;"",IF(E42&lt;&gt;"",E42,($L$9-SUM($Y$25:Y41))*AA42*AB42/SUMPRODUCT($AB42:$AB$58,$AA42:$AA$58)),"")</s:f>
        <s:v/>
      </s:c>
      <s:c r="Z42" s="105" t="str">
        <s:f>IF(AB42&lt;&gt;"",IF($L$12&lt;&gt;"",IF(G42&lt;&gt;"",G42,($L$9/$L$12-SUM($Z$25:Z41))*AA42*AB42/SUMPRODUCT($AB42:$AB$58,$AA42:$AA$58)),""),"")</s:f>
        <s:v/>
      </s:c>
      <s:c r="AA42" s="106"/>
      <s:c r="AB42" s="106"/>
      <s:c r="AC42" s="107"/>
      <s:c r="AD42" s="108"/>
      <s:c r="AE42" s="2"/>
      <s:c r="AF42" s="2"/>
      <s:c r="AG42" s="2"/>
      <s:c r="AH42" s="2"/>
      <s:c r="AI42" s="2"/>
    </s:row>
    <s:row r="43">
      <s:c r="A43" s="96">
        <s:v>19</s:v>
      </s:c>
      <s:c r="B43" s="97"/>
      <s:c r="C43" s="98"/>
      <s:c r="D43" s="99"/>
      <s:c r="E43" s="101"/>
      <s:c r="F43" s="101"/>
      <s:c r="G43" s="101"/>
      <s:c r="H43" s="101"/>
      <s:c r="I43" s="101"/>
      <s:c r="J43" s="99" t="str">
        <s:f>IF(AND(G43&lt;&gt;"",G43&lt;&gt;0),E43/G43,"")</s:f>
        <s:v/>
      </s:c>
      <s:c r="K43" s="101"/>
      <s:c r="L43" s="101"/>
      <s:c r="M43" s="101"/>
      <s:c r="N43" s="101"/>
      <s:c r="O43" s="101"/>
      <s:c r="P43" s="101"/>
      <s:c r="Q43" s="101"/>
      <s:c r="R43" s="101"/>
      <s:c r="S43" s="102" t="str">
        <s:f>IF(AND(I43&lt;&gt;"",I43&lt;&gt;0),G43/I43,"")</s:f>
        <s:v/>
      </s:c>
      <s:c r="T43" s="103" t="e">
        <s:f>D43/U43</s:f>
        <s:v>#DIV/0!</s:v>
      </s:c>
      <s:c r="U43" s="104">
        <s:f>$L$8*AA43*AB43/SUMPRODUCT($AB$25:$AB$56,$AA$25:$AA$56)</s:f>
        <s:v>0</s:v>
      </s:c>
      <s:c r="V43" s="105">
        <s:f>$L$9*AA43*AB43/SUMPRODUCT($AB$25:$AB$58,$AA$25:$AA$58)</s:f>
        <s:v>0</s:v>
      </s:c>
      <s:c r="W43" s="105">
        <s:f>IF($L$12="","",V43/$L$12)</s:f>
        <s:v>0</s:v>
      </s:c>
      <s:c r="X43" s="104" t="str">
        <s:f>IF(AB43&lt;&gt;"",IF(D43&lt;&gt;"",D43,($L$8-SUM($X$25:X42))*AA43*AB43/SUMPRODUCT($AB43:$AB$58,$AA43:$AA$58)),"")</s:f>
        <s:v/>
      </s:c>
      <s:c r="Y43" s="105" t="str">
        <s:f>IF(AB43&lt;&gt;"",IF(E43&lt;&gt;"",E43,($L$9-SUM($Y$25:Y42))*AA43*AB43/SUMPRODUCT($AB43:$AB$58,$AA43:$AA$58)),"")</s:f>
        <s:v/>
      </s:c>
      <s:c r="Z43" s="105" t="str">
        <s:f>IF(AB43&lt;&gt;"",IF($L$12&lt;&gt;"",IF(G43&lt;&gt;"",G43,($L$9/$L$12-SUM($Z$25:Z42))*AA43*AB43/SUMPRODUCT($AB43:$AB$58,$AA43:$AA$58)),""),"")</s:f>
        <s:v/>
      </s:c>
      <s:c r="AA43" s="106"/>
      <s:c r="AB43" s="106"/>
      <s:c r="AC43" s="107"/>
      <s:c r="AD43" s="108"/>
      <s:c r="AE43" s="2"/>
      <s:c r="AF43" s="2"/>
      <s:c r="AG43" s="2"/>
      <s:c r="AH43" s="2"/>
      <s:c r="AI43" s="2"/>
    </s:row>
    <s:row r="44">
      <s:c r="A44" s="96">
        <s:v>20</s:v>
      </s:c>
      <s:c r="B44" s="97"/>
      <s:c r="C44" s="98"/>
      <s:c r="D44" s="99"/>
      <s:c r="E44" s="287"/>
      <s:c r="F44" s="101"/>
      <s:c r="G44" s="287"/>
      <s:c r="H44" s="101"/>
      <s:c r="I44" s="287"/>
      <s:c r="J44" s="99" t="str">
        <s:f>IF(AND(G44&lt;&gt;"",G44&lt;&gt;0),E44/G44,"")</s:f>
        <s:v/>
      </s:c>
      <s:c r="K44" s="101"/>
      <s:c r="L44" s="101"/>
      <s:c r="M44" s="101"/>
      <s:c r="N44" s="101"/>
      <s:c r="O44" s="101"/>
      <s:c r="P44" s="101"/>
      <s:c r="Q44" s="101"/>
      <s:c r="R44" s="101"/>
      <s:c r="S44" s="102" t="str">
        <s:f>IF(AND(I44&lt;&gt;"",I44&lt;&gt;0),G44/I44,"")</s:f>
        <s:v/>
      </s:c>
      <s:c r="T44" s="103" t="e">
        <s:f>D44/U44</s:f>
        <s:v>#DIV/0!</s:v>
      </s:c>
      <s:c r="U44" s="104">
        <s:f>$L$8*AA44*AB44/SUMPRODUCT($AB$25:$AB$56,$AA$25:$AA$56)</s:f>
        <s:v>0</s:v>
      </s:c>
      <s:c r="V44" s="105">
        <s:f>$L$9*AA44*AB44/SUMPRODUCT($AB$25:$AB$58,$AA$25:$AA$58)</s:f>
        <s:v>0</s:v>
      </s:c>
      <s:c r="W44" s="105">
        <s:f>IF($L$12="","",V44/$L$12)</s:f>
        <s:v>0</s:v>
      </s:c>
      <s:c r="X44" s="104" t="str">
        <s:f>IF(AB44&lt;&gt;"",IF(D44&lt;&gt;"",D44,($L$8-SUM($X$25:X43))*AA44*AB44/SUMPRODUCT($AB44:$AB$58,$AA44:$AA$58)),"")</s:f>
        <s:v/>
      </s:c>
      <s:c r="Y44" s="105" t="str">
        <s:f>IF(AB44&lt;&gt;"",IF(E44&lt;&gt;"",E44,($L$9-SUM($Y$25:Y43))*AA44*AB44/SUMPRODUCT($AB44:$AB$58,$AA44:$AA$58)),"")</s:f>
        <s:v/>
      </s:c>
      <s:c r="Z44" s="105" t="str">
        <s:f>IF(AB44&lt;&gt;"",IF($L$12&lt;&gt;"",IF(G44&lt;&gt;"",G44,($L$9/$L$12-SUM($Z$25:Z43))*AA44*AB44/SUMPRODUCT($AB44:$AB$58,$AA44:$AA$58)),""),"")</s:f>
        <s:v/>
      </s:c>
      <s:c r="AA44" s="106"/>
      <s:c r="AB44" s="106"/>
      <s:c r="AC44" s="107"/>
      <s:c r="AD44" s="108"/>
      <s:c r="AE44" s="2"/>
      <s:c r="AF44" s="2"/>
      <s:c r="AG44" s="2"/>
      <s:c r="AH44" s="2"/>
      <s:c r="AI44" s="2"/>
    </s:row>
    <s:row r="45">
      <s:c r="A45" s="96">
        <s:v>21</s:v>
      </s:c>
      <s:c r="B45" s="97"/>
      <s:c r="C45" s="98"/>
      <s:c r="D45" s="99"/>
      <s:c r="E45" s="101"/>
      <s:c r="F45" s="101"/>
      <s:c r="G45" s="101"/>
      <s:c r="H45" s="101"/>
      <s:c r="I45" s="101"/>
      <s:c r="J45" s="99" t="str">
        <s:f>IF(AND(G45&lt;&gt;"",G45&lt;&gt;0),E45/G45,"")</s:f>
        <s:v/>
      </s:c>
      <s:c r="K45" s="101"/>
      <s:c r="L45" s="101"/>
      <s:c r="M45" s="101"/>
      <s:c r="N45" s="101"/>
      <s:c r="O45" s="101"/>
      <s:c r="P45" s="101"/>
      <s:c r="Q45" s="101"/>
      <s:c r="R45" s="101"/>
      <s:c r="S45" s="292" t="str">
        <s:f>IF(AND(I45&lt;&gt;"",I45&lt;&gt;0),G45/I45,"")</s:f>
        <s:v/>
      </s:c>
      <s:c r="T45" s="103" t="e">
        <s:f>D45/U45</s:f>
        <s:v>#DIV/0!</s:v>
      </s:c>
      <s:c r="U45" s="104">
        <s:f>$L$8*AA45*AB45/SUMPRODUCT($AB$25:$AB$56,$AA$25:$AA$56)</s:f>
        <s:v>0</s:v>
      </s:c>
      <s:c r="V45" s="105">
        <s:f>$L$9*AA45*AB45/SUMPRODUCT($AB$25:$AB$58,$AA$25:$AA$58)</s:f>
        <s:v>0</s:v>
      </s:c>
      <s:c r="W45" s="105">
        <s:f>IF($L$12="","",V45/$L$12)</s:f>
        <s:v>0</s:v>
      </s:c>
      <s:c r="X45" s="104" t="str">
        <s:f>IF(AB45&lt;&gt;"",IF(D45&lt;&gt;"",D45,($L$8-SUM($X$25:X44))*AA45*AB45/SUMPRODUCT($AB45:$AB$58,$AA45:$AA$58)),"")</s:f>
        <s:v/>
      </s:c>
      <s:c r="Y45" s="105" t="str">
        <s:f>IF(AB45&lt;&gt;"",IF(E45&lt;&gt;"",E45,($L$9-SUM($Y$25:Y44))*AA45*AB45/SUMPRODUCT($AB45:$AB$58,$AA45:$AA$58)),"")</s:f>
        <s:v/>
      </s:c>
      <s:c r="Z45" s="105" t="str">
        <s:f>IF(AB45&lt;&gt;"",IF($L$12&lt;&gt;"",IF(G45&lt;&gt;"",G45,($L$9/$L$12-SUM($Z$25:Z44))*AA45*AB45/SUMPRODUCT($AB45:$AB$58,$AA45:$AA$58)),""),"")</s:f>
        <s:v/>
      </s:c>
      <s:c r="AA45" s="106"/>
      <s:c r="AB45" s="106"/>
      <s:c r="AC45" s="107"/>
      <s:c r="AD45" s="108"/>
      <s:c r="AE45" s="2"/>
      <s:c r="AF45" s="2"/>
      <s:c r="AG45" s="2"/>
      <s:c r="AH45" s="2"/>
      <s:c r="AI45" s="2"/>
    </s:row>
    <s:row r="46">
      <s:c r="A46" s="96">
        <s:v>22</s:v>
      </s:c>
      <s:c r="B46" s="97"/>
      <s:c r="C46" s="98"/>
      <s:c r="D46" s="99"/>
      <s:c r="E46" s="101"/>
      <s:c r="F46" s="101" t="str">
        <s:f>IF(AND(E46&lt;&gt;"",E46&lt;&gt;0),D46/E46,"")</s:f>
        <s:v/>
      </s:c>
      <s:c r="G46" s="101"/>
      <s:c r="H46" s="101" t="str">
        <s:f>IF(AND(G46&lt;&gt;"",G46&lt;&gt;0),D46/G46,"")</s:f>
        <s:v/>
      </s:c>
      <s:c r="I46" s="101"/>
      <s:c r="J46" s="99" t="str">
        <s:f>IF(AND(G46&lt;&gt;"",G46&lt;&gt;0),E46/G46,"")</s:f>
        <s:v/>
      </s:c>
      <s:c r="K46" s="101"/>
      <s:c r="L46" s="101"/>
      <s:c r="M46" s="101"/>
      <s:c r="N46" s="101"/>
      <s:c r="O46" s="101"/>
      <s:c r="P46" s="101"/>
      <s:c r="Q46" s="101"/>
      <s:c r="R46" s="101"/>
      <s:c r="S46" s="102" t="str">
        <s:f>IF(AND(I46&lt;&gt;"",I46&lt;&gt;0),G46/I46,"")</s:f>
        <s:v/>
      </s:c>
      <s:c r="T46" s="103" t="e">
        <s:f>D46/U46</s:f>
        <s:v>#DIV/0!</s:v>
      </s:c>
      <s:c r="U46" s="104">
        <s:f>$L$8*AA46*AB46/SUMPRODUCT($AB$25:$AB$56,$AA$25:$AA$56)</s:f>
        <s:v>0</s:v>
      </s:c>
      <s:c r="V46" s="105">
        <s:f>$L$9*AA46*AB46/SUMPRODUCT($AB$25:$AB$58,$AA$25:$AA$58)</s:f>
        <s:v>0</s:v>
      </s:c>
      <s:c r="W46" s="105">
        <s:f>IF($L$12="","",V46/$L$12)</s:f>
        <s:v>0</s:v>
      </s:c>
      <s:c r="X46" s="104" t="str">
        <s:f>IF(AB46&lt;&gt;"",IF(D46&lt;&gt;"",D46,($L$8-SUM($X$25:X45))*AA46*AB46/SUMPRODUCT($AB46:$AB$58,$AA46:$AA$58)),"")</s:f>
        <s:v/>
      </s:c>
      <s:c r="Y46" s="105" t="str">
        <s:f>IF(AB46&lt;&gt;"",IF(E46&lt;&gt;"",E46,($L$9-SUM($Y$25:Y45))*AA46*AB46/SUMPRODUCT($AB46:$AB$58,$AA46:$AA$58)),"")</s:f>
        <s:v/>
      </s:c>
      <s:c r="Z46" s="105" t="str">
        <s:f>IF(AB46&lt;&gt;"",IF($L$12&lt;&gt;"",IF(G46&lt;&gt;"",G46,($L$9/$L$12-SUM($Z$25:Z45))*AA46*AB46/SUMPRODUCT($AB46:$AB$58,$AA46:$AA$58)),""),"")</s:f>
        <s:v/>
      </s:c>
      <s:c r="AA46" s="106"/>
      <s:c r="AB46" s="106"/>
      <s:c r="AC46" s="107"/>
      <s:c r="AD46" s="108"/>
      <s:c r="AE46" s="2"/>
      <s:c r="AF46" s="2"/>
      <s:c r="AG46" s="2"/>
      <s:c r="AH46" s="2"/>
      <s:c r="AI46" s="2"/>
    </s:row>
    <s:row r="47">
      <s:c r="A47" s="96">
        <s:v>23</s:v>
      </s:c>
      <s:c r="B47" s="97"/>
      <s:c r="C47" s="98"/>
      <s:c r="D47" s="99"/>
      <s:c r="E47" s="101"/>
      <s:c r="F47" s="101" t="str">
        <s:f>IF(AND(E47&lt;&gt;"",E47&lt;&gt;0),D47/E47,"")</s:f>
        <s:v/>
      </s:c>
      <s:c r="G47" s="101"/>
      <s:c r="H47" s="101" t="str">
        <s:f>IF(AND(G47&lt;&gt;"",G47&lt;&gt;0),D47/G47,"")</s:f>
        <s:v/>
      </s:c>
      <s:c r="I47" s="101"/>
      <s:c r="J47" s="99" t="str">
        <s:f>IF(AND(G47&lt;&gt;"",G47&lt;&gt;0),E47/G47,"")</s:f>
        <s:v/>
      </s:c>
      <s:c r="K47" s="101"/>
      <s:c r="L47" s="101"/>
      <s:c r="M47" s="101"/>
      <s:c r="N47" s="101"/>
      <s:c r="O47" s="101"/>
      <s:c r="P47" s="101"/>
      <s:c r="Q47" s="101"/>
      <s:c r="R47" s="101"/>
      <s:c r="S47" s="102" t="str">
        <s:f>IF(AND(I47&lt;&gt;"",I47&lt;&gt;0),G47/I47,"")</s:f>
        <s:v/>
      </s:c>
      <s:c r="T47" s="103" t="e">
        <s:f>D47/U47</s:f>
        <s:v>#DIV/0!</s:v>
      </s:c>
      <s:c r="U47" s="104">
        <s:f>$L$8*AA47*AB47/SUMPRODUCT($AB$25:$AB$56,$AA$25:$AA$56)</s:f>
        <s:v>0</s:v>
      </s:c>
      <s:c r="V47" s="105">
        <s:f>$L$9*AA47*AB47/SUMPRODUCT($AB$25:$AB$58,$AA$25:$AA$58)</s:f>
        <s:v>0</s:v>
      </s:c>
      <s:c r="W47" s="105">
        <s:f>IF($L$12="","",V47/$L$12)</s:f>
        <s:v>0</s:v>
      </s:c>
      <s:c r="X47" s="104" t="str">
        <s:f>IF(AB47&lt;&gt;"",IF(D47&lt;&gt;"",D47,($L$8-SUM($X$25:X46))*AA47*AB47/SUMPRODUCT($AB47:$AB$58,$AA47:$AA$58)),"")</s:f>
        <s:v/>
      </s:c>
      <s:c r="Y47" s="105" t="str">
        <s:f>IF(AB47&lt;&gt;"",IF(E47&lt;&gt;"",E47,($L$9-SUM($Y$25:Y46))*AA47*AB47/SUMPRODUCT($AB47:$AB$58,$AA47:$AA$58)),"")</s:f>
        <s:v/>
      </s:c>
      <s:c r="Z47" s="105" t="str">
        <s:f>IF(AB47&lt;&gt;"",IF($L$12&lt;&gt;"",IF(G47&lt;&gt;"",G47,($L$9/$L$12-SUM($Z$25:Z46))*AA47*AB47/SUMPRODUCT($AB47:$AB$58,$AA47:$AA$58)),""),"")</s:f>
        <s:v/>
      </s:c>
      <s:c r="AA47" s="106"/>
      <s:c r="AB47" s="106"/>
      <s:c r="AC47" s="107"/>
      <s:c r="AD47" s="108"/>
      <s:c r="AE47" s="109"/>
      <s:c r="AF47" s="2"/>
      <s:c r="AG47" s="2"/>
      <s:c r="AH47" s="2"/>
      <s:c r="AI47" s="2"/>
    </s:row>
    <s:row r="48">
      <s:c r="A48" s="96">
        <s:v>24</s:v>
      </s:c>
      <s:c r="B48" s="97"/>
      <s:c r="C48" s="98"/>
      <s:c r="D48" s="99"/>
      <s:c r="E48" s="101"/>
      <s:c r="F48" s="101" t="str">
        <s:f>IF(AND(E48&lt;&gt;"",E48&lt;&gt;0),D48/E48,"")</s:f>
        <s:v/>
      </s:c>
      <s:c r="G48" s="101"/>
      <s:c r="H48" s="101" t="str">
        <s:f>IF(AND(G48&lt;&gt;"",G48&lt;&gt;0),D48/G48,"")</s:f>
        <s:v/>
      </s:c>
      <s:c r="I48" s="101"/>
      <s:c r="J48" s="99" t="str">
        <s:f>IF(AND(G48&lt;&gt;"",G48&lt;&gt;0),E48/G48,"")</s:f>
        <s:v/>
      </s:c>
      <s:c r="K48" s="101"/>
      <s:c r="L48" s="101"/>
      <s:c r="M48" s="101"/>
      <s:c r="N48" s="101"/>
      <s:c r="O48" s="101"/>
      <s:c r="P48" s="101"/>
      <s:c r="Q48" s="101"/>
      <s:c r="R48" s="101"/>
      <s:c r="S48" s="102" t="str">
        <s:f>IF(AND(I48&lt;&gt;"",I48&lt;&gt;0),G48/I48,"")</s:f>
        <s:v/>
      </s:c>
      <s:c r="T48" s="103" t="e">
        <s:f>D48/U48</s:f>
        <s:v>#DIV/0!</s:v>
      </s:c>
      <s:c r="U48" s="104">
        <s:f>$L$8*AA48*AB48/SUMPRODUCT($AB$25:$AB$56,$AA$25:$AA$56)</s:f>
        <s:v>0</s:v>
      </s:c>
      <s:c r="V48" s="105">
        <s:f>$L$9*AA48*AB48/SUMPRODUCT($AB$25:$AB$58,$AA$25:$AA$58)</s:f>
        <s:v>0</s:v>
      </s:c>
      <s:c r="W48" s="105">
        <s:f>IF($L$12="","",V48/$L$12)</s:f>
        <s:v>0</s:v>
      </s:c>
      <s:c r="X48" s="104" t="str">
        <s:f>IF(AB48&lt;&gt;"",IF(D48&lt;&gt;"",D48,($L$8-SUM($X$25:X47))*AA48*AB48/SUMPRODUCT($AB48:$AB$58,$AA48:$AA$58)),"")</s:f>
        <s:v/>
      </s:c>
      <s:c r="Y48" s="105" t="str">
        <s:f>IF(AB48&lt;&gt;"",IF(E48&lt;&gt;"",E48,($L$9-SUM($Y$25:Y47))*AA48*AB48/SUMPRODUCT($AB48:$AB$58,$AA48:$AA$58)),"")</s:f>
        <s:v/>
      </s:c>
      <s:c r="Z48" s="105" t="str">
        <s:f>IF(AB48&lt;&gt;"",IF($L$12&lt;&gt;"",IF(G48&lt;&gt;"",G48,($L$9/$L$12-SUM($Z$25:Z47))*AA48*AB48/SUMPRODUCT($AB48:$AB$58,$AA48:$AA$58)),""),"")</s:f>
        <s:v/>
      </s:c>
      <s:c r="AA48" s="106"/>
      <s:c r="AB48" s="106"/>
      <s:c r="AC48" s="107"/>
      <s:c r="AD48" s="108"/>
      <s:c r="AE48" s="109"/>
      <s:c r="AF48" s="2"/>
      <s:c r="AG48" s="2"/>
      <s:c r="AH48" s="2"/>
      <s:c r="AI48" s="2"/>
    </s:row>
    <s:row r="49">
      <s:c r="A49" s="96">
        <s:v>25</s:v>
      </s:c>
      <s:c r="B49" s="97">
        <s:v>46092</s:v>
      </s:c>
      <s:c r="C49" s="98" t="s">
        <s:v>57</s:v>
      </s:c>
      <s:c r="D49" s="99">
        <s:v>9993</s:v>
      </s:c>
      <s:c r="E49" s="101">
        <s:v>1</s:v>
      </s:c>
      <s:c r="F49" s="101">
        <s:f>IF(AND(E49&lt;&gt;"",E49&lt;&gt;0),D49/E49,"")</s:f>
        <s:v>9993</s:v>
      </s:c>
      <s:c r="G49" s="101">
        <s:v>1</s:v>
      </s:c>
      <s:c r="H49" s="101">
        <s:f>IF(AND(G49&lt;&gt;"",G49&lt;&gt;0),D49/G49,"")</s:f>
        <s:v>9993</s:v>
      </s:c>
      <s:c r="I49" s="101"/>
      <s:c r="J49" s="99">
        <s:f>IF(AND(G49&lt;&gt;"",G49&lt;&gt;0),E49/G49,"")</s:f>
        <s:v>1</s:v>
      </s:c>
      <s:c r="K49" s="101">
        <s:v>9993</s:v>
      </s:c>
      <s:c r="L49" s="101"/>
      <s:c r="M49" s="101"/>
      <s:c r="N49" s="101"/>
      <s:c r="O49" s="101"/>
      <s:c r="P49" s="101"/>
      <s:c r="Q49" s="101"/>
      <s:c r="R49" s="101"/>
      <s:c r="S49" s="102" t="str">
        <s:f>IF(AND(I49&lt;&gt;"",I49&lt;&gt;0),G49/I49,"")</s:f>
        <s:v/>
      </s:c>
      <s:c r="T49" s="103" t="e">
        <s:f>D49/U49</s:f>
        <s:v>#DIV/0!</s:v>
      </s:c>
      <s:c r="U49" s="104">
        <s:f>$L$8*AA49*AB49/SUMPRODUCT($AB$25:$AB$56,$AA$25:$AA$56)</s:f>
        <s:v>0</s:v>
      </s:c>
      <s:c r="V49" s="105">
        <s:f>$L$9*AA49*AB49/SUMPRODUCT($AB$25:$AB$58,$AA$25:$AA$58)</s:f>
        <s:v>0</s:v>
      </s:c>
      <s:c r="W49" s="105">
        <s:f>IF($L$12="","",V49/$L$12)</s:f>
        <s:v>0</s:v>
      </s:c>
      <s:c r="X49" s="104" t="str">
        <s:f>IF(AB49&lt;&gt;"",IF(D49&lt;&gt;"",D49,($L$8-SUM($X$25:X48))*AA49*AB49/SUMPRODUCT($AB49:$AB$58,$AA49:$AA$58)),"")</s:f>
        <s:v/>
      </s:c>
      <s:c r="Y49" s="105" t="str">
        <s:f>IF(AB49&lt;&gt;"",IF(E49&lt;&gt;"",E49,($L$9-SUM($Y$25:Y48))*AA49*AB49/SUMPRODUCT($AB49:$AB$58,$AA49:$AA$58)),"")</s:f>
        <s:v/>
      </s:c>
      <s:c r="Z49" s="105" t="str">
        <s:f>IF(AB49&lt;&gt;"",IF($L$12&lt;&gt;"",IF(G49&lt;&gt;"",G49,($L$9/$L$12-SUM($Z$25:Z48))*AA49*AB49/SUMPRODUCT($AB49:$AB$58,$AA49:$AA$58)),""),"")</s:f>
        <s:v/>
      </s:c>
      <s:c r="AA49" s="106"/>
      <s:c r="AB49" s="106"/>
      <s:c r="AC49" s="107"/>
      <s:c r="AD49" s="108"/>
      <s:c r="AE49" s="109"/>
      <s:c r="AF49" s="2"/>
      <s:c r="AG49" s="2"/>
      <s:c r="AH49" s="2"/>
      <s:c r="AI49" s="2"/>
    </s:row>
    <s:row r="50">
      <s:c r="A50" s="96">
        <s:v>26</s:v>
      </s:c>
      <s:c r="B50" s="97">
        <s:v>46097</s:v>
      </s:c>
      <s:c r="C50" s="98" t="s">
        <s:v>55</s:v>
      </s:c>
      <s:c r="D50" s="99">
        <s:v>9270</s:v>
      </s:c>
      <s:c r="E50" s="101">
        <s:v>2</s:v>
      </s:c>
      <s:c r="F50" s="101">
        <s:f>IF(AND(E50&lt;&gt;"",E50&lt;&gt;0),D50/E50,"")</s:f>
        <s:v>4635</s:v>
      </s:c>
      <s:c r="G50" s="101">
        <s:v>1</s:v>
      </s:c>
      <s:c r="H50" s="101">
        <s:f>IF(AND(G50&lt;&gt;"",G50&lt;&gt;0),D50/G50,"")</s:f>
        <s:v>9270</s:v>
      </s:c>
      <s:c r="I50" s="101"/>
      <s:c r="J50" s="99">
        <s:f>IF(AND(G50&lt;&gt;"",G50&lt;&gt;0),E50/G50,"")</s:f>
        <s:v>2</s:v>
      </s:c>
      <s:c r="K50" s="101"/>
      <s:c r="L50" s="101"/>
      <s:c r="M50" s="101"/>
      <s:c r="N50" s="101"/>
      <s:c r="O50" s="101"/>
      <s:c r="P50" s="101"/>
      <s:c r="Q50" s="101"/>
      <s:c r="R50" s="101"/>
      <s:c r="S50" s="102" t="str">
        <s:f>IF(AND(I50&lt;&gt;"",I50&lt;&gt;0),G50/I50,"")</s:f>
        <s:v/>
      </s:c>
      <s:c r="T50" s="103" t="e">
        <s:f>D50/U50</s:f>
        <s:v>#DIV/0!</s:v>
      </s:c>
      <s:c r="U50" s="104">
        <s:f>$L$8*AA50*AB50/SUMPRODUCT($AB$25:$AB$56,$AA$25:$AA$56)</s:f>
        <s:v>0</s:v>
      </s:c>
      <s:c r="V50" s="105">
        <s:f>$L$9*AA50*AB50/SUMPRODUCT($AB$25:$AB$58,$AA$25:$AA$58)</s:f>
        <s:v>0</s:v>
      </s:c>
      <s:c r="W50" s="105">
        <s:f>IF($L$12="","",V50/$L$12)</s:f>
        <s:v>0</s:v>
      </s:c>
      <s:c r="X50" s="104" t="str">
        <s:f>IF(AB50&lt;&gt;"",IF(D50&lt;&gt;"",D50,($L$8-SUM($X$25:X49))*AA50*AB50/SUMPRODUCT($AB50:$AB$58,$AA50:$AA$58)),"")</s:f>
        <s:v/>
      </s:c>
      <s:c r="Y50" s="105" t="str">
        <s:f>IF(AB50&lt;&gt;"",IF(E50&lt;&gt;"",E50,($L$9-SUM($Y$25:Y49))*AA50*AB50/SUMPRODUCT($AB50:$AB$58,$AA50:$AA$58)),"")</s:f>
        <s:v/>
      </s:c>
      <s:c r="Z50" s="105" t="str">
        <s:f>IF(AB50&lt;&gt;"",IF($L$12&lt;&gt;"",IF(G50&lt;&gt;"",G50,($L$9/$L$12-SUM($Z$25:Z49))*AA50*AB50/SUMPRODUCT($AB50:$AB$58,$AA50:$AA$58)),""),"")</s:f>
        <s:v/>
      </s:c>
      <s:c r="AA50" s="106"/>
      <s:c r="AB50" s="106"/>
      <s:c r="AC50" s="107"/>
      <s:c r="AD50" s="108"/>
      <s:c r="AE50" s="109"/>
      <s:c r="AF50" s="2"/>
      <s:c r="AG50" s="2"/>
      <s:c r="AH50" s="2"/>
      <s:c r="AI50" s="2"/>
    </s:row>
    <s:row r="51">
      <s:c r="A51" s="96">
        <s:v>27</s:v>
      </s:c>
      <s:c r="B51" s="97">
        <s:v>46102</s:v>
      </s:c>
      <s:c r="C51" s="113" t="s">
        <s:v>60</s:v>
      </s:c>
      <s:c r="D51" s="99">
        <s:v>-7584</s:v>
      </s:c>
      <s:c r="E51" s="287">
        <s:v>2</s:v>
      </s:c>
      <s:c r="F51" s="101">
        <s:f>IF(AND(E51&lt;&gt;"",E51&lt;&gt;0),D51/E51,"")</s:f>
        <s:v>-3792</s:v>
      </s:c>
      <s:c r="G51" s="287">
        <s:v>1</s:v>
      </s:c>
      <s:c r="H51" s="101">
        <s:f>IF(AND(G51&lt;&gt;"",G51&lt;&gt;0),D51/G51,"")</s:f>
        <s:v>-7584</s:v>
      </s:c>
      <s:c r="I51" s="287"/>
      <s:c r="J51" s="99">
        <s:f>IF(AND(G51&lt;&gt;"",G51&lt;&gt;0),E51/G51,"")</s:f>
        <s:v>2</s:v>
      </s:c>
      <s:c r="K51" s="287"/>
      <s:c r="L51" s="101"/>
      <s:c r="M51" s="101"/>
      <s:c r="N51" s="101"/>
      <s:c r="O51" s="101"/>
      <s:c r="P51" s="101"/>
      <s:c r="Q51" s="101"/>
      <s:c r="R51" s="101"/>
      <s:c r="S51" s="102" t="str">
        <s:f>IF(AND(I51&lt;&gt;"",I51&lt;&gt;0),G51/I51,"")</s:f>
        <s:v/>
      </s:c>
      <s:c r="T51" s="288" t="e">
        <s:f>D51/U51</s:f>
        <s:v>#DIV/0!</s:v>
      </s:c>
      <s:c r="U51" s="104">
        <s:f>$L$8*AA51*AB51/SUMPRODUCT($AB$25:$AB$56,$AA$25:$AA$56)</s:f>
        <s:v>0</s:v>
      </s:c>
      <s:c r="V51" s="289">
        <s:f>$L$9*AA51*AB51/SUMPRODUCT($AB$25:$AB$58,$AA$25:$AA$58)</s:f>
        <s:v>0</s:v>
      </s:c>
      <s:c r="W51" s="105">
        <s:f>IF($L$12="","",V51/$L$12)</s:f>
        <s:v>0</s:v>
      </s:c>
      <s:c r="X51" s="290" t="str">
        <s:f>IF(AB51&lt;&gt;"",IF(D51&lt;&gt;"",D51,($L$8-SUM($X$25:X50))*AA51*AB51/SUMPRODUCT($AB51:$AB$58,$AA51:$AA$58)),"")</s:f>
        <s:v/>
      </s:c>
      <s:c r="Y51" s="105" t="str">
        <s:f>IF(AB51&lt;&gt;"",IF(E51&lt;&gt;"",E51,($L$9-SUM($Y$25:Y50))*AA51*AB51/SUMPRODUCT($AB51:$AB$58,$AA51:$AA$58)),"")</s:f>
        <s:v/>
      </s:c>
      <s:c r="Z51" s="289" t="str">
        <s:f>IF(AB51&lt;&gt;"",IF($L$12&lt;&gt;"",IF(G51&lt;&gt;"",G51,($L$9/$L$12-SUM($Z$25:Z50))*AA51*AB51/SUMPRODUCT($AB51:$AB$58,$AA51:$AA$58)),""),"")</s:f>
        <s:v/>
      </s:c>
      <s:c r="AA51" s="106"/>
      <s:c r="AB51" s="106"/>
      <s:c r="AC51" s="107"/>
      <s:c r="AD51" s="108"/>
      <s:c r="AE51" s="109"/>
      <s:c r="AF51" s="2"/>
      <s:c r="AG51" s="2"/>
      <s:c r="AH51" s="2"/>
      <s:c r="AI51" s="2"/>
    </s:row>
    <s:row r="52">
      <s:c r="A52" s="96">
        <s:v>28</s:v>
      </s:c>
      <s:c r="B52" s="97"/>
      <s:c r="C52" s="98"/>
      <s:c r="D52" s="291"/>
      <s:c r="E52" s="101"/>
      <s:c r="F52" s="287" t="str">
        <s:f>IF(AND(E52&lt;&gt;"",E52&lt;&gt;0),D52/E52,"")</s:f>
        <s:v/>
      </s:c>
      <s:c r="G52" s="101"/>
      <s:c r="H52" s="287" t="str">
        <s:f>IF(AND(G52&lt;&gt;"",G52&lt;&gt;0),D52/G52,"")</s:f>
        <s:v/>
      </s:c>
      <s:c r="I52" s="101"/>
      <s:c r="J52" s="291" t="str">
        <s:f>IF(AND(G52&lt;&gt;"",G52&lt;&gt;0),E52/G52,"")</s:f>
        <s:v/>
      </s:c>
      <s:c r="K52" s="101"/>
      <s:c r="L52" s="101"/>
      <s:c r="M52" s="101"/>
      <s:c r="N52" s="101"/>
      <s:c r="O52" s="101"/>
      <s:c r="P52" s="101"/>
      <s:c r="Q52" s="101"/>
      <s:c r="R52" s="101"/>
      <s:c r="S52" s="292" t="str">
        <s:f>IF(AND(I52&lt;&gt;"",I52&lt;&gt;0),G52/I52,"")</s:f>
        <s:v/>
      </s:c>
      <s:c r="T52" s="103" t="e">
        <s:f>D52/U52</s:f>
        <s:v>#DIV/0!</s:v>
      </s:c>
      <s:c r="U52" s="290">
        <s:f>$L$8*AA52*AB52/SUMPRODUCT($AB$25:$AB$56,$AA$25:$AA$56)</s:f>
        <s:v>0</s:v>
      </s:c>
      <s:c r="V52" s="105">
        <s:f>$L$9*AA52*AB52/SUMPRODUCT($AB$25:$AB$58,$AA$25:$AA$58)</s:f>
        <s:v>0</s:v>
      </s:c>
      <s:c r="W52" s="289">
        <s:f>IF($L$12="","",V52/$L$12)</s:f>
        <s:v>0</s:v>
      </s:c>
      <s:c r="X52" s="104" t="str">
        <s:f>IF(AB52&lt;&gt;"",IF(D52&lt;&gt;"",D52,($L$8-SUM($X$25:X51))*AA52*AB52/SUMPRODUCT($AB52:$AB$58,$AA52:$AA$58)),"")</s:f>
        <s:v/>
      </s:c>
      <s:c r="Y52" s="289" t="str">
        <s:f>IF(AB52&lt;&gt;"",IF(E52&lt;&gt;"",E52,($L$9-SUM($Y$25:Y51))*AA52*AB52/SUMPRODUCT($AB52:$AB$58,$AA52:$AA$58)),"")</s:f>
        <s:v/>
      </s:c>
      <s:c r="Z52" s="105" t="str">
        <s:f>IF(AB52&lt;&gt;"",IF($L$12&lt;&gt;"",IF(G52&lt;&gt;"",G52,($L$9/$L$12-SUM($Z$25:Z51))*AA52*AB52/SUMPRODUCT($AB52:$AB$58,$AA52:$AA$58)),""),"")</s:f>
        <s:v/>
      </s:c>
      <s:c r="AA52" s="293"/>
      <s:c r="AB52" s="106"/>
      <s:c r="AC52" s="107"/>
      <s:c r="AD52" s="108"/>
      <s:c r="AE52" s="109"/>
      <s:c r="AF52" s="2"/>
      <s:c r="AG52" s="2"/>
      <s:c r="AH52" s="2"/>
      <s:c r="AI52" s="2"/>
    </s:row>
    <s:row r="53">
      <s:c r="A53" s="96">
        <s:v>29</s:v>
      </s:c>
      <s:c r="B53" s="97"/>
      <s:c r="C53" s="113"/>
      <s:c r="D53" s="99"/>
      <s:c r="E53" s="287"/>
      <s:c r="F53" s="101" t="str">
        <s:f>IF(AND(E53&lt;&gt;"",E53&lt;&gt;0),D53/E53,"")</s:f>
        <s:v/>
      </s:c>
      <s:c r="G53" s="287"/>
      <s:c r="H53" s="101" t="str">
        <s:f>IF(AND(G53&lt;&gt;"",G53&lt;&gt;0),D53/G53,"")</s:f>
        <s:v/>
      </s:c>
      <s:c r="I53" s="287"/>
      <s:c r="J53" s="99" t="str">
        <s:f>IF(AND(G53&lt;&gt;"",G53&lt;&gt;0),E53/G53,"")</s:f>
        <s:v/>
      </s:c>
      <s:c r="K53" s="287"/>
      <s:c r="L53" s="101"/>
      <s:c r="M53" s="101"/>
      <s:c r="N53" s="101"/>
      <s:c r="O53" s="101"/>
      <s:c r="P53" s="101"/>
      <s:c r="Q53" s="101"/>
      <s:c r="R53" s="101"/>
      <s:c r="S53" s="102" t="str">
        <s:f>IF(AND(I53&lt;&gt;"",I53&lt;&gt;0),G53/I53,"")</s:f>
        <s:v/>
      </s:c>
      <s:c r="T53" s="288" t="e">
        <s:f>D53/U53</s:f>
        <s:v>#DIV/0!</s:v>
      </s:c>
      <s:c r="U53" s="104">
        <s:f>$L$8*AA53*AB53/SUMPRODUCT($AB$25:$AB$56,$AA$25:$AA$56)</s:f>
        <s:v>0</s:v>
      </s:c>
      <s:c r="V53" s="289">
        <s:f>$L$9*AA53*AB53/SUMPRODUCT($AB$25:$AB$58,$AA$25:$AA$58)</s:f>
        <s:v>0</s:v>
      </s:c>
      <s:c r="W53" s="105">
        <s:f>IF($L$12="","",V53/$L$12)</s:f>
        <s:v>0</s:v>
      </s:c>
      <s:c r="X53" s="290" t="str">
        <s:f>IF(AB53&lt;&gt;"",IF(D53&lt;&gt;"",D53,($L$8-SUM($X$25:X52))*AA53*AB53/SUMPRODUCT($AB53:$AB$58,$AA53:$AA$58)),"")</s:f>
        <s:v/>
      </s:c>
      <s:c r="Y53" s="105" t="str">
        <s:f>IF(AB53&lt;&gt;"",IF(E53&lt;&gt;"",E53,($L$9-SUM($Y$25:Y52))*AA53*AB53/SUMPRODUCT($AB53:$AB$58,$AA53:$AA$58)),"")</s:f>
        <s:v/>
      </s:c>
      <s:c r="Z53" s="289" t="str">
        <s:f>IF(AB53&lt;&gt;"",IF($L$12&lt;&gt;"",IF(G53&lt;&gt;"",G53,($L$9/$L$12-SUM($Z$25:Z52))*AA53*AB53/SUMPRODUCT($AB53:$AB$58,$AA53:$AA$58)),""),"")</s:f>
        <s:v/>
      </s:c>
      <s:c r="AA53" s="106"/>
      <s:c r="AB53" s="106"/>
      <s:c r="AC53" s="107"/>
      <s:c r="AD53" s="108"/>
      <s:c r="AE53" s="109"/>
      <s:c r="AF53" s="2"/>
      <s:c r="AG53" s="2"/>
      <s:c r="AH53" s="2"/>
      <s:c r="AI53" s="2"/>
    </s:row>
    <s:row r="54">
      <s:c r="A54" s="96"/>
      <s:c r="B54" s="97"/>
      <s:c r="C54" s="98"/>
      <s:c r="D54" s="99"/>
      <s:c r="E54" s="101"/>
      <s:c r="F54" s="101" t="str">
        <s:f>IF(AND(E54&lt;&gt;"",E54&lt;&gt;0),D54/E54,"")</s:f>
        <s:v/>
      </s:c>
      <s:c r="G54" s="101"/>
      <s:c r="H54" s="101" t="str">
        <s:f>IF(AND(G54&lt;&gt;"",G54&lt;&gt;0),D54/G54,"")</s:f>
        <s:v/>
      </s:c>
      <s:c r="I54" s="101"/>
      <s:c r="J54" s="99" t="str">
        <s:f>IF(AND(G54&lt;&gt;"",G54&lt;&gt;0),E54/G54,"")</s:f>
        <s:v/>
      </s:c>
      <s:c r="K54" s="101"/>
      <s:c r="L54" s="101"/>
      <s:c r="M54" s="101"/>
      <s:c r="N54" s="101"/>
      <s:c r="O54" s="101"/>
      <s:c r="P54" s="101"/>
      <s:c r="Q54" s="101"/>
      <s:c r="R54" s="101"/>
      <s:c r="S54" s="102" t="str">
        <s:f>IF(AND(I54&lt;&gt;"",I54&lt;&gt;0),G54/I54,"")</s:f>
        <s:v/>
      </s:c>
      <s:c r="T54" s="103" t="e">
        <s:f>D54/U54</s:f>
        <s:v>#DIV/0!</s:v>
      </s:c>
      <s:c r="U54" s="104">
        <s:f>$L$8*AA54*AB54/SUMPRODUCT($AB$25:$AB$56,$AA$25:$AA$56)</s:f>
        <s:v>0</s:v>
      </s:c>
      <s:c r="V54" s="105">
        <s:f>$L$9*AA54*AB54/SUMPRODUCT($AB$25:$AB$58,$AA$25:$AA$58)</s:f>
        <s:v>0</s:v>
      </s:c>
      <s:c r="W54" s="105">
        <s:f>IF($L$12="","",V54/$L$12)</s:f>
        <s:v>0</s:v>
      </s:c>
      <s:c r="X54" s="104" t="str">
        <s:f>IF(AB54&lt;&gt;"",IF(D54&lt;&gt;"",D54,($L$8-SUM($X$25:X50))*AA54*AB54/SUMPRODUCT($AB54:$AB$58,$AA54:$AA$58)),"")</s:f>
        <s:v/>
      </s:c>
      <s:c r="Y54" s="105" t="str">
        <s:f>IF(AB54&lt;&gt;"",IF(E54&lt;&gt;"",E54,($L$9-SUM($Y$25:Y50))*AA54*AB54/SUMPRODUCT($AB54:$AB$58,$AA54:$AA$58)),"")</s:f>
        <s:v/>
      </s:c>
      <s:c r="Z54" s="105" t="str">
        <s:f>IF(AB54&lt;&gt;"",IF($L$12&lt;&gt;"",IF(G54&lt;&gt;"",G54,($L$9/$L$12-SUM($Z$25:Z50))*AA54*AB54/SUMPRODUCT($AB54:$AB$58,$AA54:$AA$58)),""),"")</s:f>
        <s:v/>
      </s:c>
      <s:c r="AA54" s="106"/>
      <s:c r="AB54" s="106"/>
      <s:c r="AC54" s="107"/>
      <s:c r="AD54" s="108"/>
      <s:c r="AE54" s="109"/>
      <s:c r="AF54" s="2"/>
      <s:c r="AG54" s="2"/>
      <s:c r="AH54" s="2"/>
      <s:c r="AI54" s="2"/>
    </s:row>
    <s:row r="55">
      <s:c r="A55" s="96"/>
      <s:c r="B55" s="97"/>
      <s:c r="C55" s="98"/>
      <s:c r="D55" s="99"/>
      <s:c r="E55" s="101"/>
      <s:c r="F55" s="101" t="str">
        <s:f>IF(AND(E55&lt;&gt;"",E55&lt;&gt;0),D55/E55,"")</s:f>
        <s:v/>
      </s:c>
      <s:c r="G55" s="101"/>
      <s:c r="H55" s="101" t="str">
        <s:f>IF(AND(G55&lt;&gt;"",G55&lt;&gt;0),D55/G55,"")</s:f>
        <s:v/>
      </s:c>
      <s:c r="I55" s="101"/>
      <s:c r="J55" s="99" t="str">
        <s:f>IF(AND(G55&lt;&gt;"",G55&lt;&gt;0),E55/G55,"")</s:f>
        <s:v/>
      </s:c>
      <s:c r="K55" s="101"/>
      <s:c r="L55" s="101"/>
      <s:c r="M55" s="101"/>
      <s:c r="N55" s="101"/>
      <s:c r="O55" s="101"/>
      <s:c r="P55" s="101"/>
      <s:c r="Q55" s="101"/>
      <s:c r="R55" s="101"/>
      <s:c r="S55" s="102" t="str">
        <s:f>IF(AND(I55&lt;&gt;"",I55&lt;&gt;0),G55/I55,"")</s:f>
        <s:v/>
      </s:c>
      <s:c r="T55" s="103" t="e">
        <s:f>D55/U55</s:f>
        <s:v>#DIV/0!</s:v>
      </s:c>
      <s:c r="U55" s="104">
        <s:f>$L$8*AA55*AB55/SUMPRODUCT($AB$25:$AB$56,$AA$25:$AA$56)</s:f>
        <s:v>0</s:v>
      </s:c>
      <s:c r="V55" s="105">
        <s:f>$L$9*AA55*AB55/SUMPRODUCT($AB$25:$AB$58,$AA$25:$AA$58)</s:f>
        <s:v>0</s:v>
      </s:c>
      <s:c r="W55" s="105">
        <s:f>IF($L$12="","",V55/$L$12)</s:f>
        <s:v>0</s:v>
      </s:c>
      <s:c r="X55" s="104" t="str">
        <s:f>IF(AB55&lt;&gt;"",IF(D55&lt;&gt;"",D55,($L$8-SUM($X$25:X54))*AA55*AB55/SUMPRODUCT($AB55:$AB$58,$AA55:$AA$58)),"")</s:f>
        <s:v/>
      </s:c>
      <s:c r="Y55" s="105" t="str">
        <s:f>IF(AB55&lt;&gt;"",IF(E55&lt;&gt;"",E55,($L$9-SUM($Y$25:Y54))*AA55*AB55/SUMPRODUCT($AB55:$AB$58,$AA55:$AA$58)),"")</s:f>
        <s:v/>
      </s:c>
      <s:c r="Z55" s="105" t="str">
        <s:f>IF(AB55&lt;&gt;"",IF($L$12&lt;&gt;"",IF(G55&lt;&gt;"",G55,($L$9/$L$12-SUM($Z$25:Z54))*AA55*AB55/SUMPRODUCT($AB55:$AB$58,$AA55:$AA$58)),""),"")</s:f>
        <s:v/>
      </s:c>
      <s:c r="AA55" s="106"/>
      <s:c r="AB55" s="106"/>
      <s:c r="AC55" s="107"/>
      <s:c r="AD55" s="108"/>
      <s:c r="AE55" s="109"/>
      <s:c r="AF55" s="2"/>
      <s:c r="AG55" s="2"/>
      <s:c r="AH55" s="2"/>
      <s:c r="AI55" s="2"/>
    </s:row>
    <s:row r="56">
      <s:c r="A56" s="96"/>
      <s:c r="B56" s="97"/>
      <s:c r="C56" s="98"/>
      <s:c r="D56" s="99"/>
      <s:c r="E56" s="101"/>
      <s:c r="F56" s="101" t="str">
        <s:f>IF(AND(E56&lt;&gt;"",E56&lt;&gt;0),D56/E56,"")</s:f>
        <s:v/>
      </s:c>
      <s:c r="G56" s="101"/>
      <s:c r="H56" s="101" t="str">
        <s:f>IF(AND(G56&lt;&gt;"",G56&lt;&gt;0),D56/G56,"")</s:f>
        <s:v/>
      </s:c>
      <s:c r="I56" s="101"/>
      <s:c r="J56" s="99" t="str">
        <s:f>IF(AND(G56&lt;&gt;"",G56&lt;&gt;0),E56/G56,"")</s:f>
        <s:v/>
      </s:c>
      <s:c r="K56" s="101"/>
      <s:c r="L56" s="101"/>
      <s:c r="M56" s="101"/>
      <s:c r="N56" s="101"/>
      <s:c r="O56" s="101"/>
      <s:c r="P56" s="101"/>
      <s:c r="Q56" s="101"/>
      <s:c r="R56" s="101"/>
      <s:c r="S56" s="102" t="str">
        <s:f>IF(AND(I56&lt;&gt;"",I56&lt;&gt;0),G56/I56,"")</s:f>
        <s:v/>
      </s:c>
      <s:c r="T56" s="103" t="e">
        <s:f>D56/U56</s:f>
        <s:v>#DIV/0!</s:v>
      </s:c>
      <s:c r="U56" s="104">
        <s:f>$L$8*AA56*AB56/SUMPRODUCT($AB$25:$AB$56,$AA$25:$AA$56)</s:f>
        <s:v>0</s:v>
      </s:c>
      <s:c r="V56" s="105">
        <s:f>$L$9*AA56*AB56/SUMPRODUCT($AB$25:$AB$58,$AA$25:$AA$58)</s:f>
        <s:v>0</s:v>
      </s:c>
      <s:c r="W56" s="105">
        <s:f>IF($L$12="","",V56/$L$12)</s:f>
        <s:v>0</s:v>
      </s:c>
      <s:c r="X56" s="104" t="str">
        <s:f>IF(AB56&lt;&gt;"",IF(D56&lt;&gt;"",D56,($L$8-SUM($X$25:X55))*AA56*AB56/SUMPRODUCT($AB56:$AB$58,$AA56:$AA$58)),"")</s:f>
        <s:v/>
      </s:c>
      <s:c r="Y56" s="105" t="str">
        <s:f>IF(AB56&lt;&gt;"",IF(E56&lt;&gt;"",E56,($L$9-SUM($Y$25:Y55))*AA56*AB56/SUMPRODUCT($AB56:$AB$58,$AA56:$AA$58)),"")</s:f>
        <s:v/>
      </s:c>
      <s:c r="Z56" s="105" t="str">
        <s:f>IF(AB56&lt;&gt;"",IF($L$12&lt;&gt;"",IF(G56&lt;&gt;"",G56,($L$9/$L$12-SUM($Z$25:Z55))*AA56*AB56/SUMPRODUCT($AB56:$AB$58,$AA56:$AA$58)),""),"")</s:f>
        <s:v/>
      </s:c>
      <s:c r="AA56" s="106"/>
      <s:c r="AB56" s="106"/>
      <s:c r="AC56" s="107"/>
      <s:c r="AD56" s="108"/>
      <s:c r="AE56" s="109"/>
      <s:c r="AF56" s="2"/>
      <s:c r="AG56" s="2"/>
      <s:c r="AH56" s="2"/>
      <s:c r="AI56" s="2"/>
    </s:row>
    <s:row r="57" spans="1:35" ht="15" customHeight="1">
      <s:c r="B57" s="531"/>
      <s:c r="C57" s="531"/>
      <s:c r="D57" s="92">
        <s:f>SUM(D25:D56)</s:f>
        <s:v>474399</s:v>
      </s:c>
      <s:c r="E57" s="92">
        <s:f>SUM(E25:E56)</s:f>
        <s:v>63</s:v>
      </s:c>
      <s:c r="F57" s="92">
        <s:f>IF(AND(E57&lt;&gt;"",E57&lt;&gt;0),D57/E57,"")</s:f>
        <s:v>7530.1428571428496</s:v>
      </s:c>
      <s:c r="G57" s="92">
        <s:f>SUM(G25:G56)</s:f>
        <s:v>42</s:v>
      </s:c>
      <s:c r="H57" s="92">
        <s:f>IF(AND(G57&lt;&gt;"",G57&lt;&gt;0),D57/G57,"")</s:f>
        <s:v>11295.214285714201</s:v>
      </s:c>
      <s:c r="I57" s="92">
        <s:f>SUM(I25:I56)</s:f>
        <s:v>298</s:v>
      </s:c>
      <s:c r="J57" s="93">
        <s:f>IF(AND(G57&lt;&gt;"",G57&lt;&gt;0),E57/G57,"")</s:f>
        <s:v>1.5</s:v>
      </s:c>
      <s:c r="K57" s="92">
        <s:f>SUM(K25:K56)</s:f>
        <s:v>120062</s:v>
      </s:c>
      <s:c r="L57" s="92">
        <s:f>SUM(L25:L56)</s:f>
        <s:v>0</s:v>
      </s:c>
      <s:c r="M57" s="92">
        <s:f>SUM(M25:M56)</s:f>
        <s:v>0</s:v>
      </s:c>
      <s:c r="N57" s="92">
        <s:f>SUM(N25:N56)</s:f>
        <s:v>6191</s:v>
      </s:c>
      <s:c r="O57" s="92">
        <s:f>SUM(O25:O56)</s:f>
        <s:v>15390</s:v>
      </s:c>
      <s:c r="P57" s="92">
        <s:f>SUM(P25:P56)</s:f>
        <s:v>41805</s:v>
      </s:c>
      <s:c r="Q57" s="92">
        <s:f>SUM(Q25:Q56)</s:f>
        <s:v>58232</s:v>
      </s:c>
      <s:c r="R57" s="92">
        <s:f>SUM(R25:R56)</s:f>
        <s:v>2793</s:v>
      </s:c>
      <s:c r="S57" s="110">
        <s:f>IF(AND(I57&lt;&gt;"",I57&lt;&gt;0),G57/I57,"")</s:f>
        <s:v>0.14093959731543601</s:v>
      </s:c>
      <s:c r="T57" s="94">
        <s:f>D57/U57</s:f>
        <s:v>0.75636054660234098</s:v>
      </s:c>
      <s:c r="U57" s="95">
        <s:f>SUM(U25:U56)</s:f>
        <s:v>627212.77852348995</s:v>
      </s:c>
      <s:c r="V57" s="95">
        <s:f>SUM(V25:V55)</s:f>
        <s:v>90.900402684563701</s:v>
      </s:c>
      <s:c r="W57" s="95">
        <s:f>SUM(W25:W55)</s:f>
        <s:v>52.241610738254998</s:v>
      </s:c>
      <s:c r="X57" s="95">
        <s:f>SUM(X25:X56)</s:f>
        <s:v>462720</s:v>
      </s:c>
      <s:c r="Y57" s="95">
        <s:f>SUM(Y25:Y55)</s:f>
        <s:v>64</s:v>
      </s:c>
      <s:c r="Z57" s="95">
        <s:f>SUM(Z25:Z55)</s:f>
        <s:v>39</s:v>
      </s:c>
      <s:c r="AA57" s="111"/>
      <s:c r="AB57" s="111"/>
    </s:row>
    <s:row r="58">
      <s:c r="B58" s="113"/>
      <s:c r="C58" s="114"/>
      <s:c r="D58" s="115">
        <s:f>SUMIF(D25:D54,"",U25:U54)+D57</s:f>
        <s:v>474399</s:v>
      </s:c>
      <s:c r="E58" s="116"/>
      <s:c r="F58" s="114"/>
      <s:c r="G58" s="114"/>
      <s:c r="H58" s="117"/>
      <s:c r="I58" s="294"/>
      <s:c r="J58" s="117"/>
      <s:c r="L58" s="119"/>
      <s:c r="M58" s="116"/>
      <s:c r="N58" s="116"/>
      <s:c r="O58" s="116"/>
      <s:c r="P58" s="116"/>
      <s:c r="Q58" s="116"/>
      <s:c r="R58" s="116"/>
      <s:c r="S58" s="119"/>
      <s:c r="T58" s="119"/>
      <s:c r="U58" s="119"/>
      <s:c r="V58" s="121"/>
    </s:row>
    <s:row r="59">
      <s:c r="D59" s="122"/>
    </s:row>
    <s:row r="60">
      <s:c r="D60" s="122"/>
    </s:row>
    <s:row r="61">
      <s:c r="D61" s="124"/>
    </s:row>
    <s:row r="62">
      <s:c r="D62" s="124"/>
      <s:c r="Z62" s="3" t="s">
        <s:v>126</s:v>
      </s:c>
    </s:row>
  </s:sheetData>
  <s:mergeCells count="26">
    <s:mergeCell ref="V1:Y4"/>
    <s:mergeCell ref="B2:C2"/>
    <s:mergeCell ref="J3:S4"/>
    <s:mergeCell ref="C4:D4"/>
    <s:mergeCell ref="J2:S2"/>
    <s:mergeCell ref="I10:K10"/>
    <s:mergeCell ref="I11:K11"/>
    <s:mergeCell ref="I12:K12"/>
    <s:mergeCell ref="M5:V5"/>
    <s:mergeCell ref="I7:K7"/>
    <s:mergeCell ref="S7:T7"/>
    <s:mergeCell ref="I8:K8"/>
    <s:mergeCell ref="I9:K9"/>
    <s:mergeCell ref="I6:T6"/>
    <s:mergeCell ref="I13:K13"/>
    <s:mergeCell ref="I14:K14"/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</s:mergeCells>
  <s:conditionalFormatting sqref="J25:J56">
    <s:cfRule type="cellIs" dxfId="170" priority="41" operator="greaterThan">
      <s:formula>$I$12</s:formula>
    </s:cfRule>
    <s:cfRule type="cellIs" dxfId="169" priority="1" operator="lessThan">
      <s:formula>$I$12</s:formula>
    </s:cfRule>
  </s:conditionalFormatting>
  <s:conditionalFormatting sqref="J36">
    <s:cfRule type="cellIs" dxfId="168" priority="1864" operator="lessThan">
      <s:formula>$I$12</s:formula>
    </s:cfRule>
  </s:conditionalFormatting>
  <s:conditionalFormatting sqref="J39:J41">
    <s:cfRule type="cellIs" dxfId="167" priority="1836" operator="lessThan">
      <s:formula>$I$12</s:formula>
    </s:cfRule>
  </s:conditionalFormatting>
  <s:conditionalFormatting sqref="J51:J53">
    <s:cfRule type="cellIs" dxfId="166" priority="1863" operator="lessThan">
      <s:formula>$I$12</s:formula>
    </s:cfRule>
  </s:conditionalFormatting>
  <s:conditionalFormatting sqref="M16">
    <s:cfRule type="cellIs" dxfId="165" priority="1818" operator="greaterThan">
      <s:formula>0</s:formula>
    </s:cfRule>
    <s:cfRule type="cellIs" dxfId="164" priority="1817" operator="lessThan">
      <s:formula>0</s:formula>
    </s:cfRule>
  </s:conditionalFormatting>
  <s:conditionalFormatting sqref="N8">
    <s:cfRule type="cellIs" dxfId="163" priority="11" operator="greaterThan">
      <s:formula>$K$17</s:formula>
    </s:cfRule>
    <s:cfRule type="cellIs" dxfId="162" priority="12" operator="lessThan">
      <s:formula>$K$17</s:formula>
    </s:cfRule>
  </s:conditionalFormatting>
  <s:conditionalFormatting sqref="N10:N12 N15">
    <s:cfRule type="cellIs" dxfId="161" priority="1816" operator="greaterThan">
      <s:formula>1</s:formula>
    </s:cfRule>
    <s:cfRule type="cellIs" dxfId="160" priority="1815" operator="lessThan">
      <s:formula>1</s:formula>
    </s:cfRule>
  </s:conditionalFormatting>
  <s:conditionalFormatting sqref="N13">
    <s:cfRule type="cellIs" dxfId="159" priority="1465" operator="lessThan">
      <s:formula>$K$14</s:formula>
    </s:cfRule>
    <s:cfRule type="cellIs" dxfId="158" priority="1466" operator="greaterThan">
      <s:formula>$K$14</s:formula>
    </s:cfRule>
  </s:conditionalFormatting>
  <s:conditionalFormatting sqref="P8:P15">
    <s:cfRule type="cellIs" dxfId="157" priority="1814" operator="greaterThan">
      <s:formula>1</s:formula>
    </s:cfRule>
    <s:cfRule type="cellIs" dxfId="156" priority="1833" operator="lessThan">
      <s:formula>1</s:formula>
    </s:cfRule>
  </s:conditionalFormatting>
  <s:conditionalFormatting sqref="S25:S43">
    <s:cfRule type="cellIs" dxfId="155" priority="38" operator="greaterThanOrEqual">
      <s:formula>0.25</s:formula>
    </s:cfRule>
  </s:conditionalFormatting>
  <s:conditionalFormatting sqref="S25:S45">
    <s:cfRule type="cellIs" dxfId="154" priority="2" operator="between">
      <s:formula>0.2</s:formula>
      <s:formula>0.25</s:formula>
    </s:cfRule>
  </s:conditionalFormatting>
  <s:conditionalFormatting sqref="S25:S56">
    <s:cfRule type="cellIs" dxfId="153" priority="39" operator="lessThan">
      <s:formula>0.2</s:formula>
    </s:cfRule>
  </s:conditionalFormatting>
  <s:conditionalFormatting sqref="S36">
    <s:cfRule type="cellIs" dxfId="152" priority="1868" operator="between">
      <s:formula>0.2</s:formula>
      <s:formula>0.25</s:formula>
    </s:cfRule>
  </s:conditionalFormatting>
  <s:conditionalFormatting sqref="S39:S41">
    <s:cfRule type="cellIs" dxfId="151" priority="1842" operator="between">
      <s:formula>0.2</s:formula>
      <s:formula>0.25</s:formula>
    </s:cfRule>
  </s:conditionalFormatting>
  <s:conditionalFormatting sqref="S39:S56">
    <s:cfRule type="cellIs" dxfId="150" priority="60" operator="greaterThanOrEqual">
      <s:formula>0.25</s:formula>
    </s:cfRule>
  </s:conditionalFormatting>
  <s:conditionalFormatting sqref="S41:S56">
    <s:cfRule type="cellIs" dxfId="149" priority="59" operator="between">
      <s:formula>0.2</s:formula>
      <s:formula>0.25</s:formula>
    </s:cfRule>
  </s:conditionalFormatting>
  <s:conditionalFormatting sqref="S51:S53">
    <s:cfRule type="cellIs" dxfId="148" priority="1856" operator="between">
      <s:formula>0.2</s:formula>
      <s:formula>0.25</s:formula>
    </s:cfRule>
  </s:conditionalFormatting>
  <s:conditionalFormatting sqref="S10:T10">
    <s:cfRule type="cellIs" dxfId="147" priority="1829" operator="lessThan">
      <s:formula>0</s:formula>
    </s:cfRule>
  </s:conditionalFormatting>
  <s:conditionalFormatting sqref="T25:T43">
    <s:cfRule type="cellIs" dxfId="146" priority="36" operator="between">
      <s:formula>0.01</s:formula>
      <s:formula>0.99</s:formula>
    </s:cfRule>
    <s:cfRule type="cellIs" dxfId="145" priority="10" operator="between">
      <s:formula>0.9001</s:formula>
      <s:formula>0.9999</s:formula>
    </s:cfRule>
    <s:cfRule type="cellIs" dxfId="144" priority="9" operator="lessThan">
      <s:formula>0.9</s:formula>
    </s:cfRule>
    <s:cfRule type="cellIs" dxfId="143" priority="35" operator="between">
      <s:formula>0.85</s:formula>
      <s:formula>1</s:formula>
    </s:cfRule>
  </s:conditionalFormatting>
  <s:conditionalFormatting sqref="T25:T56">
    <s:cfRule type="cellIs" dxfId="142" priority="34" operator="greaterThan">
      <s:formula>100</s:formula>
    </s:cfRule>
    <s:cfRule type="cellIs" dxfId="141" priority="33" operator="greaterThan">
      <s:formula>1</s:formula>
    </s:cfRule>
  </s:conditionalFormatting>
  <s:conditionalFormatting sqref="T36">
    <s:cfRule type="cellIs" dxfId="140" priority="1876" operator="between">
      <s:formula>0.9001</s:formula>
      <s:formula>0.9999</s:formula>
    </s:cfRule>
    <s:cfRule type="cellIs" dxfId="139" priority="1870" operator="between">
      <s:formula>0.85</s:formula>
      <s:formula>1</s:formula>
    </s:cfRule>
    <s:cfRule type="cellIs" dxfId="138" priority="1875" operator="lessThan">
      <s:formula>0.9</s:formula>
    </s:cfRule>
  </s:conditionalFormatting>
  <s:conditionalFormatting sqref="T39:T41">
    <s:cfRule type="cellIs" dxfId="137" priority="1846" operator="between">
      <s:formula>0.85</s:formula>
      <s:formula>1</s:formula>
    </s:cfRule>
    <s:cfRule type="cellIs" dxfId="136" priority="1852" operator="lessThan">
      <s:formula>0.9</s:formula>
    </s:cfRule>
    <s:cfRule type="cellIs" dxfId="135" priority="1854" operator="between">
      <s:formula>0.9001</s:formula>
      <s:formula>0.9999</s:formula>
    </s:cfRule>
  </s:conditionalFormatting>
  <s:conditionalFormatting sqref="T39:T56">
    <s:cfRule type="cellIs" dxfId="134" priority="58" operator="between">
      <s:formula>0.01</s:formula>
      <s:formula>0.99</s:formula>
    </s:cfRule>
  </s:conditionalFormatting>
  <s:conditionalFormatting sqref="T40:T41">
    <s:cfRule type="cellIs" dxfId="133" priority="8" operator="between">
      <s:formula>0.85</s:formula>
      <s:formula>1</s:formula>
    </s:cfRule>
  </s:conditionalFormatting>
  <s:conditionalFormatting sqref="T41:T56">
    <s:cfRule type="cellIs" dxfId="132" priority="57" operator="between">
      <s:formula>0.85</s:formula>
      <s:formula>1</s:formula>
    </s:cfRule>
    <s:cfRule type="cellIs" dxfId="131" priority="54" operator="lessThan">
      <s:formula>0.9</s:formula>
    </s:cfRule>
    <s:cfRule type="cellIs" dxfId="130" priority="53" operator="between">
      <s:formula>0.9001</s:formula>
      <s:formula>0.9999</s:formula>
    </s:cfRule>
  </s:conditionalFormatting>
  <s:conditionalFormatting sqref="T43:T45">
    <s:cfRule type="cellIs" dxfId="129" priority="4" operator="lessThan">
      <s:formula>0.9</s:formula>
    </s:cfRule>
    <s:cfRule type="cellIs" dxfId="128" priority="3" operator="between">
      <s:formula>0.85</s:formula>
      <s:formula>1</s:formula>
    </s:cfRule>
    <s:cfRule type="cellIs" dxfId="127" priority="5" operator="between">
      <s:formula>0.9001</s:formula>
      <s:formula>0.9999</s:formula>
    </s:cfRule>
  </s:conditionalFormatting>
  <s:conditionalFormatting sqref="T51:T53">
    <s:cfRule type="cellIs" dxfId="126" priority="1858" operator="between">
      <s:formula>0.85</s:formula>
      <s:formula>1</s:formula>
    </s:cfRule>
    <s:cfRule type="cellIs" dxfId="125" priority="1859" operator="lessThan">
      <s:formula>0.9</s:formula>
    </s:cfRule>
    <s:cfRule type="cellIs" dxfId="124" priority="186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500-000000000000}">
  <s:sheetPr>
    <s:pageSetUpPr fitToPage="1"/>
  </s:sheetPr>
  <s:dimension ref="A1:IZ57"/>
  <s:sheetViews>
    <s:sheetView showZeros="0" tabSelected="0" topLeftCell="A22" zoomScale="94" workbookViewId="0">
      <s:pane xSplit="2" topLeftCell="C1" activePane="topRight" state="frozen"/>
      <s:selection activeCell="A18" sqref="A18"/>
      <s:selection pane="topRight" activeCell="G36" sqref="G36"/>
    </s:sheetView>
  </s:sheetViews>
  <s:sheetFormatPr baseColWidth="10" defaultColWidth="9.164" defaultRowHeight="15"/>
  <s:cols>
    <s:col min="1" max="1" width="4.164" style="295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594">
        <s:f ca="1">TODAY()-1</s:f>
        <s:v>46171</s:v>
      </s:c>
      <s:c r="C1" s="594"/>
      <s:c r="D1" s="11"/>
      <s:c r="E1" s="11"/>
      <s:c r="F1" s="12"/>
      <s:c r="G1" s="12"/>
      <s:c r="H1" s="12"/>
      <s:c r="I1" s="12"/>
      <s:c r="J1" s="248"/>
      <s:c r="K1" s="248"/>
      <s:c r="L1" s="248"/>
      <s:c r="M1" s="248"/>
      <s:c r="N1" s="248"/>
      <s:c r="O1" s="248"/>
      <s:c r="P1" s="248"/>
      <s:c r="Q1" s="248"/>
      <s:c r="R1" s="248"/>
      <s:c r="S1" s="248"/>
      <s:c r="T1" s="248"/>
      <s:c r="U1" s="248"/>
      <s:c r="V1" s="581"/>
      <s:c r="W1" s="581"/>
      <s:c r="X1" s="581"/>
      <s:c r="Y1" s="581"/>
      <s:c r="Z1" s="12"/>
      <s:c r="AA1" s="12"/>
      <s:c r="AB1" s="12"/>
    </s:row>
    <s:row r="2" spans="2:28" ht="21.75" customHeight="1">
      <s:c r="B2" s="582" t="s">
        <s:v>0</s:v>
      </s:c>
      <s:c r="C2" s="582"/>
      <s:c r="D2" s="11"/>
      <s:c r="E2" s="11"/>
      <s:c r="F2" s="12"/>
      <s:c r="G2" s="12"/>
      <s:c r="H2" s="12"/>
      <s:c r="I2" s="12"/>
      <s:c r="J2" s="591" t="s">
        <s:v>142</s:v>
      </s:c>
      <s:c r="K2" s="591"/>
      <s:c r="L2" s="591"/>
      <s:c r="M2" s="591"/>
      <s:c r="N2" s="591"/>
      <s:c r="O2" s="591"/>
      <s:c r="P2" s="591"/>
      <s:c r="Q2" s="591"/>
      <s:c r="R2" s="591"/>
      <s:c r="S2" s="591"/>
      <s:c r="T2" s="508"/>
      <s:c r="U2" s="508"/>
      <s:c r="V2" s="581"/>
      <s:c r="W2" s="581"/>
      <s:c r="X2" s="581"/>
      <s:c r="Y2" s="581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583" t="str">
        <s:f>График!B28</s:f>
        <s:v>Уразгильдеева Екатерина</s:v>
      </s:c>
      <s:c r="K3" s="584"/>
      <s:c r="L3" s="584"/>
      <s:c r="M3" s="584"/>
      <s:c r="N3" s="584"/>
      <s:c r="O3" s="584"/>
      <s:c r="P3" s="584"/>
      <s:c r="Q3" s="584"/>
      <s:c r="R3" s="584"/>
      <s:c r="S3" s="585"/>
      <s:c r="T3" s="248"/>
      <s:c r="U3" s="296"/>
      <s:c r="V3" s="581"/>
      <s:c r="W3" s="581"/>
      <s:c r="X3" s="581"/>
      <s:c r="Y3" s="581"/>
      <s:c r="Z3" s="12"/>
      <s:c r="AA3" s="12"/>
      <s:c r="AB3" s="12"/>
    </s:row>
    <s:row r="4" spans="2:28" ht="15" customHeight="1">
      <s:c r="B4" s="11"/>
      <s:c r="C4" s="589">
        <s:f>L8-D50</s:f>
        <s:v>843804.24161073798</s:v>
      </s:c>
      <s:c r="D4" s="590"/>
      <s:c r="E4" s="249">
        <s:f>IF(L8&lt;&gt;0,C4/L8,0)</s:f>
        <s:v>1</s:v>
      </s:c>
      <s:c r="F4" s="12"/>
      <s:c r="G4" s="12"/>
      <s:c r="H4" s="12"/>
      <s:c r="I4" s="12"/>
      <s:c r="J4" s="586"/>
      <s:c r="K4" s="587"/>
      <s:c r="L4" s="587"/>
      <s:c r="M4" s="587"/>
      <s:c r="N4" s="587"/>
      <s:c r="O4" s="587"/>
      <s:c r="P4" s="587"/>
      <s:c r="Q4" s="587"/>
      <s:c r="R4" s="587"/>
      <s:c r="S4" s="588"/>
      <s:c r="T4" s="12"/>
      <s:c r="U4" s="12"/>
      <s:c r="V4" s="581"/>
      <s:c r="W4" s="581"/>
      <s:c r="X4" s="581"/>
      <s:c r="Y4" s="581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571"/>
      <s:c r="K5" s="571"/>
      <s:c r="L5" s="571"/>
      <s:c r="M5" s="571"/>
      <s:c r="N5" s="571"/>
      <s:c r="O5" s="571"/>
      <s:c r="P5" s="571"/>
      <s:c r="Q5" s="571"/>
      <s:c r="R5" s="571"/>
      <s:c r="S5" s="571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5.75" customHeight="1">
      <s:c r="B6" s="250"/>
      <s:c r="C6" s="12"/>
      <s:c r="D6" s="12"/>
      <s:c r="E6" s="12"/>
      <s:c r="F6" s="12"/>
      <s:c r="G6" s="12"/>
      <s:c r="H6" s="12"/>
      <s:c r="I6" s="578" t="s">
        <s:v>2</s:v>
      </s:c>
      <s:c r="J6" s="579"/>
      <s:c r="K6" s="579"/>
      <s:c r="L6" s="579"/>
      <s:c r="M6" s="579"/>
      <s:c r="N6" s="579"/>
      <s:c r="O6" s="579"/>
      <s:c r="P6" s="579"/>
      <s:c r="Q6" s="579"/>
      <s:c r="R6" s="579"/>
      <s:c r="S6" s="579"/>
      <s:c r="T6" s="58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>
      <s:c r="B7" s="250"/>
      <s:c r="C7" s="12"/>
      <s:c r="D7" s="12"/>
      <s:c r="E7" s="12"/>
      <s:c r="F7" s="12"/>
      <s:c r="G7" s="12"/>
      <s:c r="H7" s="12"/>
      <s:c r="I7" s="546" t="s">
        <s:v>3</s:v>
      </s:c>
      <s:c r="J7" s="547"/>
      <s:c r="K7" s="548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549" t="s">
        <s:v>11</s:v>
      </s:c>
      <s:c r="T7" s="550"/>
      <s:c r="U7" s="12"/>
      <s:c r="V7" s="12"/>
      <s:c r="W7" s="297"/>
      <s:c r="X7" s="18"/>
      <s:c r="Y7" s="12"/>
      <s:c r="Z7" s="12"/>
      <s:c r="AA7" s="12"/>
      <s:c r="AB7" s="12"/>
    </s:row>
    <s:row r="8" spans="2:28" ht="15.75" customHeight="1">
      <s:c r="B8" s="250"/>
      <s:c r="C8" s="12"/>
      <s:c r="D8" s="12"/>
      <s:c r="E8" s="297"/>
      <s:c r="F8" s="12"/>
      <s:c r="G8" s="12"/>
      <s:c r="H8" s="297"/>
      <s:c r="I8" s="539" t="s">
        <s:v>12</s:v>
      </s:c>
      <s:c r="J8" s="540"/>
      <s:c r="K8" s="541"/>
      <s:c r="L8" s="251">
        <s:f>'Ялта, Ленина, 18'!I8/График!AJ30*График!AJ28</s:f>
        <s:v>843804.24161073798</s:v>
      </s:c>
      <s:c r="M8" s="252">
        <s:f>D57</s:f>
        <s:v>576247</s:v>
      </s:c>
      <s:c r="N8" s="27">
        <s:f>IF(AND(L8&lt;&gt;"",L8&lt;&gt;0,M8&lt;&gt;""),M8/L8,"")</s:f>
        <s:v>0.68291550525984701</s:v>
      </s:c>
      <s:c r="O8" s="253">
        <s:f>IF(SUMIF($D$25:$D$56,"&gt;=0",$U$25:$U$56)&lt;&gt;0,L8*D57/SUMIF($D$25:$D$56,"&gt;=0",$U$25:$U$56),0)</s:f>
        <s:v>576246.99999999895</s:v>
      </s:c>
      <s:c r="P8" s="298">
        <s:f>IF(AND(L8&lt;&gt;"",L8&lt;&gt;0,O8&lt;&gt;"",O8&lt;&gt;0),O8/L8,"")</s:f>
        <s:v>0.68291550525984701</s:v>
      </s:c>
      <s:c r="Q8" s="32">
        <s:f>IF(AND(M8&lt;&gt;0,M8&lt;&gt;"",L8&lt;&gt;0,L8&lt;&gt;""),O8-L8,"")</s:f>
        <s:v>-267557.24161073798</s:v>
      </s:c>
      <s:c r="R8" s="31"/>
      <s:c r="S8" s="32" t="str">
        <s:f>IF(AND(R8&lt;&gt;"",R8&lt;&gt;0,O8&lt;&gt;"",O8&lt;&gt;0),-R8+O8,"")</s:f>
        <s:v/>
      </s:c>
      <s:c r="T8" s="33" t="str">
        <s:f>IF(AND(S8&lt;&gt;"",S8&lt;&gt;0,R8&lt;&gt;0,R8&lt;&gt;""),S8/R8,"")</s:f>
        <s:v/>
      </s:c>
      <s:c r="U8" s="12"/>
      <s:c r="V8" s="12"/>
      <s:c r="W8" s="297"/>
      <s:c r="X8" s="18"/>
      <s:c r="Y8" s="12"/>
      <s:c r="Z8" s="12"/>
      <s:c r="AA8" s="12"/>
      <s:c r="AB8" s="12"/>
    </s:row>
    <s:row r="9" spans="2:28" ht="15.75" customHeight="1">
      <s:c r="B9" s="250"/>
      <s:c r="C9" s="12"/>
      <s:c r="D9" s="12"/>
      <s:c r="E9" s="12"/>
      <s:c r="F9" s="12"/>
      <s:c r="G9" s="12"/>
      <s:c r="H9" s="12"/>
      <s:c r="I9" s="533" t="s">
        <s:v>13</s:v>
      </s:c>
      <s:c r="J9" s="534"/>
      <s:c r="K9" s="535"/>
      <s:c r="L9" s="36">
        <s:f>L8/L11</s:f>
        <s:v>122.290469798657</s:v>
      </s:c>
      <s:c r="M9" s="299">
        <s:f>E57</s:f>
        <s:v>95</s:v>
      </s:c>
      <s:c r="N9" s="38">
        <s:f>IF(AND(L9&lt;&gt;"",L9&lt;&gt;0,M9&lt;&gt;""),M9/L9,"")</s:f>
        <s:v>0.77683894874564197</s:v>
      </s:c>
      <s:c r="O9" s="300">
        <s:f>IF(SUMIF($E$25:$E$54,"&gt;=0",$V$25:$V$54)&lt;&gt;0,L9*E57/SUMIF($E$25:$E$54,"&gt;=0",$V$25:$V$54),0)</s:f>
        <s:v>95</s:v>
      </s:c>
      <s:c r="P9" s="301">
        <s:f>IF(AND(L9&lt;&gt;"",L9&lt;&gt;0,O9&lt;&gt;"",O9&lt;&gt;0),O9/L9,"")</s:f>
        <s:v>0.77683894874564197</s:v>
      </s:c>
      <s:c r="Q9" s="41">
        <s:f>IF(AND(M9&lt;&gt;0,M9&lt;&gt;"",L9&lt;&gt;0,L9&lt;&gt;""),O9-L9,"")</s:f>
        <s:v>-27.2904697986577</s:v>
      </s:c>
      <s:c r="R9" s="42" t="e">
        <s:f>R8/R11</s:f>
        <s:v>#DIV/0!</s:v>
      </s:c>
      <s:c r="S9" s="41" t="e">
        <s:f>IF(AND(R9&lt;&gt;"",R9&lt;&gt;0,O9&lt;&gt;"",O9&lt;&gt;0),-R9+O9,"")</s:f>
        <s:v>#DIV/0!</s:v>
      </s:c>
      <s:c r="T9" s="43" t="e">
        <s:f>IF(AND(S9&lt;&gt;"",S9&lt;&gt;0,R9&lt;&gt;0,R9&lt;&gt;""),S9/R9,"")</s:f>
        <s:v>#DIV/0!</s:v>
      </s:c>
      <s:c r="U9" s="12"/>
      <s:c r="V9" s="12"/>
      <s:c r="W9" s="297"/>
      <s:c r="X9" s="18"/>
      <s:c r="Y9" s="12"/>
      <s:c r="Z9" s="12"/>
      <s:c r="AA9" s="12"/>
      <s:c r="AB9" s="12"/>
    </s:row>
    <s:row r="10" spans="2:28" ht="15.75" customHeight="1">
      <s:c r="B10" s="250"/>
      <s:c r="C10" s="12"/>
      <s:c r="D10" s="12"/>
      <s:c r="E10" s="12"/>
      <s:c r="F10" s="12"/>
      <s:c r="G10" s="12"/>
      <s:c r="H10" s="12"/>
      <s:c r="I10" s="539" t="s">
        <s:v>14</s:v>
      </s:c>
      <s:c r="J10" s="540"/>
      <s:c r="K10" s="541"/>
      <s:c r="L10" s="48">
        <s:f>L11*L12</s:f>
        <s:v>12006</s:v>
      </s:c>
      <s:c r="M10" s="259">
        <s:f>H57</s:f>
        <s:v>11524.94</s:v>
      </s:c>
      <s:c r="N10" s="45">
        <s:f>IF(AND(L10&lt;&gt;"",L10&lt;&gt;0,M10&lt;&gt;""),M10/L10,"")</s:f>
        <s:v>0.959931700816258</s:v>
      </s:c>
      <s:c r="O10" s="256">
        <s:f>M10</s:f>
        <s:v>11524.94</s:v>
      </s:c>
      <s:c r="P10" s="302">
        <s:f>IF(AND(L10&lt;&gt;"",L10&lt;&gt;0,O10&lt;&gt;"",O10&lt;&gt;0),O10/L10,"")</s:f>
        <s:v>0.959931700816258</s:v>
      </s:c>
      <s:c r="Q10" s="47">
        <s:f>IF(AND(M10&lt;&gt;0,M10&lt;&gt;"",L10&lt;&gt;0,L10&lt;&gt;""),O10-L10,"")</s:f>
        <s:v>-481.05999999999898</s:v>
      </s:c>
      <s:c r="R10" s="48">
        <s:f>R11*R12</s:f>
        <s:v>0</s:v>
      </s:c>
      <s:c r="S10" s="47" t="str">
        <s:f>IF(AND(R10&lt;&gt;"",R10&lt;&gt;0,O10&lt;&gt;"",O10&lt;&gt;0),-R10+O10,"")</s:f>
        <s:v/>
      </s:c>
      <s:c r="T10" s="49" t="str">
        <s:f>IF(AND(S10&lt;&gt;"",S10&lt;&gt;0,R10&lt;&gt;0,R10&lt;&gt;""),S10/R10,"")</s:f>
        <s:v/>
      </s:c>
      <s:c r="U10" s="12"/>
      <s:c r="V10" s="12"/>
      <s:c r="W10" s="297"/>
      <s:c r="X10" s="18"/>
      <s:c r="Y10" s="12"/>
      <s:c r="Z10" s="12"/>
      <s:c r="AA10" s="12"/>
      <s:c r="AB10" s="12"/>
    </s:row>
    <s:row r="11" spans="2:28" ht="15.75" customHeight="1">
      <s:c r="B11" s="250"/>
      <s:c r="C11" s="12"/>
      <s:c r="D11" s="12"/>
      <s:c r="E11" s="12"/>
      <s:c r="F11" s="12"/>
      <s:c r="G11" s="12"/>
      <s:c r="H11" s="12"/>
      <s:c r="I11" s="533" t="s">
        <s:v>15</s:v>
      </s:c>
      <s:c r="J11" s="534"/>
      <s:c r="K11" s="535"/>
      <s:c r="L11" s="50">
        <s:f>'Ялта, Ленина, 18'!I11</s:f>
        <s:v>6900</s:v>
      </s:c>
      <s:c r="M11" s="299">
        <s:f>F57</s:f>
        <s:v>6065.7578947368402</s:v>
      </s:c>
      <s:c r="N11" s="38">
        <s:f>IF(AND(L11&lt;&gt;"",L11&lt;&gt;0,M11&lt;&gt;""),M11/L11,"")</s:f>
        <s:v>0.87909534706331005</s:v>
      </s:c>
      <s:c r="O11" s="300">
        <s:f>IF(O9&gt;0,O8/O9,"")</s:f>
        <s:v>6065.7578947368402</s:v>
      </s:c>
      <s:c r="P11" s="301">
        <s:f>IF(AND(L11&lt;&gt;"",L11&lt;&gt;0,O11&lt;&gt;"",O11&lt;&gt;0),O11/L11,"")</s:f>
        <s:v>0.87909534706331005</s:v>
      </s:c>
      <s:c r="Q11" s="41">
        <s:f>IF(AND(M11&lt;&gt;0,M11&lt;&gt;"",L11&lt;&gt;0,L11&lt;&gt;""),O11-L11,"")</s:f>
        <s:v>-834.24210526315903</s:v>
      </s:c>
      <s:c r="R11" s="51"/>
      <s:c r="S11" s="41" t="str">
        <s:f>IF(AND(R11&lt;&gt;"",R11&lt;&gt;0,O11&lt;&gt;"",O11&lt;&gt;0),-R11+O11,"")</s:f>
        <s:v/>
      </s:c>
      <s:c r="T11" s="43" t="str">
        <s:f>IF(AND(S11&lt;&gt;"",S11&lt;&gt;0,R11&lt;&gt;0,R11&lt;&gt;""),S11/R11,"")</s:f>
        <s:v/>
      </s:c>
      <s:c r="U11" s="12"/>
      <s:c r="V11" s="12"/>
      <s:c r="W11" s="297"/>
      <s:c r="X11" s="18"/>
      <s:c r="Y11" s="12"/>
      <s:c r="Z11" s="12"/>
      <s:c r="AA11" s="12"/>
      <s:c r="AB11" s="12"/>
    </s:row>
    <s:row r="12" spans="2:28" ht="15.75" customHeight="1">
      <s:c r="B12" s="250"/>
      <s:c r="C12" s="12"/>
      <s:c r="D12" s="12"/>
      <s:c r="E12" s="12"/>
      <s:c r="F12" s="12"/>
      <s:c r="G12" s="12"/>
      <s:c r="H12" s="12"/>
      <s:c r="I12" s="533" t="s">
        <s:v>16</s:v>
      </s:c>
      <s:c r="J12" s="534"/>
      <s:c r="K12" s="535"/>
      <s:c r="L12" s="52">
        <s:f>'Ялта, Ленина, 18'!I12</s:f>
        <s:v>1.74</s:v>
      </s:c>
      <s:c r="M12" s="53">
        <s:f>J57</s:f>
        <s:v>1.9</s:v>
      </s:c>
      <s:c r="N12" s="38">
        <s:f>IF(AND(L12&lt;&gt;"",L12&lt;&gt;0,M12&lt;&gt;""),M12/L12,"")</s:f>
        <s:v>1.0919540229885001</s:v>
      </s:c>
      <s:c r="O12" s="264">
        <s:f>M12</s:f>
        <s:v>1.9</s:v>
      </s:c>
      <s:c r="P12" s="303">
        <s:f>IF(AND(L12&lt;&gt;"",L12&lt;&gt;0,O12&lt;&gt;"",O12&lt;&gt;0),O12/L12,"")</s:f>
        <s:v>1.0919540229885001</s:v>
      </s:c>
      <s:c r="Q12" s="55">
        <s:f>IF(AND(M12&lt;&gt;0,M12&lt;&gt;"",L12&lt;&gt;0,L12&lt;&gt;""),O12-L12,"")</s:f>
        <s:v>0.159999999999999</s:v>
      </s:c>
      <s:c r="R12" s="56"/>
      <s:c r="S12" s="41" t="str">
        <s:f>IF(AND(R12&lt;&gt;"",R12&lt;&gt;0,O12&lt;&gt;"",O12&lt;&gt;0),-R12+O12,"")</s:f>
        <s:v/>
      </s:c>
      <s:c r="T12" s="43" t="str">
        <s:f>IF(AND(S12&lt;&gt;"",S12&lt;&gt;0,R12&lt;&gt;0,R12&lt;&gt;""),S12/R12,"")</s:f>
        <s:v/>
      </s:c>
      <s:c r="U12" s="12"/>
      <s:c r="V12" s="12"/>
      <s:c r="W12" s="297"/>
      <s:c r="X12" s="18"/>
      <s:c r="Y12" s="12"/>
      <s:c r="Z12" s="12"/>
      <s:c r="AA12" s="12"/>
      <s:c r="AB12" s="12"/>
    </s:row>
    <s:row r="13" spans="2:28" ht="15.75" customHeight="1">
      <s:c r="B13" s="250"/>
      <s:c r="C13" s="12"/>
      <s:c r="D13" s="12"/>
      <s:c r="E13" s="12"/>
      <s:c r="F13" s="12"/>
      <s:c r="G13" s="12"/>
      <s:c r="H13" s="12"/>
      <s:c r="I13" s="533" t="s">
        <s:v>17</s:v>
      </s:c>
      <s:c r="J13" s="534"/>
      <s:c r="K13" s="535"/>
      <s:c r="L13" s="36">
        <s:f>IF(L12&lt;&gt;0,L9/L12,"")</s:f>
        <s:v>70.281879194630804</s:v>
      </s:c>
      <s:c r="M13" s="299">
        <s:f>G57</s:f>
        <s:v>50</s:v>
      </s:c>
      <s:c r="N13" s="38">
        <s:f>IF(AND(L13&lt;&gt;"",L13&lt;&gt;0,M13&lt;&gt;""),M13/L13,"")</s:f>
        <s:v>0.71142093200916701</s:v>
      </s:c>
      <s:c r="O13" s="300">
        <s:f>IF(SUMIF($G$25:$G$54,"&gt;=0",$W$25:$W$54)&lt;&gt;0,L13*G57/SUMIF($G$25:$G$54,"&gt;=0",$W$25:$W$54),"")</s:f>
        <s:v>50</s:v>
      </s:c>
      <s:c r="P13" s="301">
        <s:f>IF(AND(L13&lt;&gt;"",L13&lt;&gt;0,O13&lt;&gt;"",O13&lt;&gt;0),O13/L13,"")</s:f>
        <s:v>0.71142093200916701</s:v>
      </s:c>
      <s:c r="Q13" s="55">
        <s:f>IF(AND(M13&lt;&gt;0,M13&lt;&gt;"",L13&lt;&gt;0,L13&lt;&gt;""),O13-L13,"")</s:f>
        <s:v>-20.2818791946308</s:v>
      </s:c>
      <s:c r="R13" s="57"/>
      <s:c r="S13" s="41" t="str">
        <s:f>IF(AND(R13&lt;&gt;"",R13&lt;&gt;0,O13&lt;&gt;"",O13&lt;&gt;0),-R13+O13,"")</s:f>
        <s:v/>
      </s:c>
      <s:c r="T13" s="43" t="str">
        <s:f>IF(AND(S13&lt;&gt;"",S13&lt;&gt;0,R13&lt;&gt;0,R13&lt;&gt;""),S13/R13,"")</s:f>
        <s:v/>
      </s:c>
      <s:c r="U13" s="12"/>
      <s:c r="V13" s="12"/>
      <s:c r="W13" s="297"/>
      <s:c r="X13" s="18"/>
      <s:c r="Y13" s="12"/>
      <s:c r="Z13" s="12"/>
      <s:c r="AA13" s="12"/>
      <s:c r="AB13" s="12"/>
    </s:row>
    <s:row r="14" spans="2:28" ht="15.75" customHeight="1">
      <s:c r="B14" s="250"/>
      <s:c r="C14" s="12"/>
      <s:c r="D14" s="12"/>
      <s:c r="E14" s="12"/>
      <s:c r="F14" s="12"/>
      <s:c r="G14" s="12"/>
      <s:c r="H14" s="12"/>
      <s:c r="I14" s="533" t="s">
        <s:v>74</s:v>
      </s:c>
      <s:c r="J14" s="534"/>
      <s:c r="K14" s="535"/>
      <s:c r="L14" s="50">
        <s:f>График!AI28</s:f>
        <s:v>17</s:v>
      </s:c>
      <s:c r="M14" s="59">
        <s:v>17</s:v>
      </s:c>
      <s:c r="N14" s="38">
        <s:f>IF(AND(L14&lt;&gt;"",L14&lt;&gt;0,M14&lt;&gt;""),M14/L14,"")</s:f>
        <s:v>1</s:v>
      </s:c>
      <s:c r="O14" s="39">
        <s:f>L14</s:f>
        <s:v>17</s:v>
      </s:c>
      <s:c r="P14" s="303">
        <s:f>IF(AND(L14&lt;&gt;"",L14&lt;&gt;0,O14&lt;&gt;"",O14&lt;&gt;0),O14/L14,"")</s:f>
        <s:v>1</s:v>
      </s:c>
      <s:c r="Q14" s="41">
        <s:f>IF(AND(M14&lt;&gt;0,M14&lt;&gt;"",L14&lt;&gt;0,L14&lt;&gt;""),O14-L14,"")</s:f>
        <s:v>0</s:v>
      </s:c>
      <s:c r="R14" s="57"/>
      <s:c r="S14" s="41" t="str">
        <s:f>IF(AND(R14&lt;&gt;"",R14&lt;&gt;0,O14&lt;&gt;"",O14&lt;&gt;0),-R14+O14,"")</s:f>
        <s:v/>
      </s:c>
      <s:c r="T14" s="43" t="str">
        <s:f>IF(AND(S14&lt;&gt;"",S14&lt;&gt;0,R14&lt;&gt;0,R14&lt;&gt;""),S14/R14,"")</s:f>
        <s:v/>
      </s:c>
      <s:c r="U14" s="12"/>
      <s:c r="V14" s="12"/>
      <s:c r="W14" s="297"/>
      <s:c r="X14" s="18"/>
      <s:c r="Y14" s="12"/>
      <s:c r="Z14" s="12"/>
      <s:c r="AA14" s="12"/>
      <s:c r="AB14" s="12"/>
    </s:row>
    <s:row r="15" spans="2:28" ht="15.75" customHeight="1">
      <s:c r="B15" s="250"/>
      <s:c r="C15" s="12"/>
      <s:c r="D15" s="12"/>
      <s:c r="E15" s="12"/>
      <s:c r="F15" s="12"/>
      <s:c r="G15" s="12"/>
      <s:c r="H15" s="12"/>
      <s:c r="I15" s="533" t="s">
        <s:v>19</s:v>
      </s:c>
      <s:c r="J15" s="534"/>
      <s:c r="K15" s="535"/>
      <s:c r="L15" s="69">
        <s:f>'Ялта, Ленина, 18'!I15</s:f>
        <s:v>65064.774193548386</s:v>
      </s:c>
      <s:c r="M15" s="299">
        <s:f>M8/M14</s:f>
        <s:v>33896.882352941102</s:v>
      </s:c>
      <s:c r="N15" s="62">
        <s:f>IF(AND(L15&lt;&gt;"",L15&lt;&gt;0,M15&lt;&gt;""),M15/L15,"")</s:f>
        <s:v>0.52097133622731095</s:v>
      </s:c>
      <s:c r="O15" s="300">
        <s:f>M15</s:f>
        <s:v>33896.882352941102</s:v>
      </s:c>
      <s:c r="P15" s="301">
        <s:f>IF(AND(L15&lt;&gt;"",L15&lt;&gt;0,O15&lt;&gt;"",O15&lt;&gt;0),O15/L15,"")</s:f>
        <s:v>0.52097133622731095</s:v>
      </s:c>
      <s:c r="Q15" s="41">
        <s:f>IF(AND(M15&lt;&gt;0,M15&lt;&gt;"",L15&lt;&gt;0,L15&lt;&gt;""),O15-L15,"")</s:f>
        <s:v>-31167.891840607201</s:v>
      </s:c>
      <s:c r="R15" s="65"/>
      <s:c r="S15" s="41" t="str">
        <s:f>IF(AND(R15&lt;&gt;"",R15&lt;&gt;0,O15&lt;&gt;"",O15&lt;&gt;0),-R15+O15,"")</s:f>
        <s:v/>
      </s:c>
      <s:c r="T15" s="43" t="str">
        <s:f>IF(AND(S15&lt;&gt;"",S15&lt;&gt;0,R15&lt;&gt;0,R15&lt;&gt;""),S15/R15,"")</s:f>
        <s:v/>
      </s:c>
      <s:c r="U15" s="12"/>
      <s:c r="V15" s="12"/>
      <s:c r="W15" s="297"/>
      <s:c r="X15" s="18"/>
      <s:c r="Y15" s="12"/>
      <s:c r="Z15" s="12"/>
      <s:c r="AA15" s="12"/>
      <s:c r="AB15" s="12"/>
    </s:row>
    <s:row r="16" spans="2:28" ht="15.75" customHeight="1">
      <s:c r="B16" s="250"/>
      <s:c r="C16" s="12"/>
      <s:c r="D16" s="12"/>
      <s:c r="E16" s="12"/>
      <s:c r="F16" s="12"/>
      <s:c r="G16" s="12"/>
      <s:c r="H16" s="12"/>
      <s:c r="I16" s="533" t="s">
        <s:v>20</s:v>
      </s:c>
      <s:c r="J16" s="534"/>
      <s:c r="K16" s="535"/>
      <s:c r="L16" s="69"/>
      <s:c r="M16" s="37">
        <s:f>M8-L15*M14</s:f>
        <s:v>-529854.16129032196</s:v>
      </s:c>
      <s:c r="N16" s="62" t="str">
        <s:f>IF(AND(L16&lt;&gt;"",L16&lt;&gt;0,M16&lt;&gt;""),M16/L16,"")</s:f>
        <s:v/>
      </s:c>
      <s:c r="O16" s="256">
        <s:f>M16</s:f>
        <s:v>-529854.16129032196</s:v>
      </s:c>
      <s:c r="P16" s="305" t="str">
        <s:f>IF(AND(L16&lt;&gt;"",L16&lt;&gt;0,O16&lt;&gt;"",O16&lt;&gt;0),O16/L16,"")</s:f>
        <s:v/>
      </s:c>
      <s:c r="Q16" s="41" t="str">
        <s:f>IF(AND(M16&lt;&gt;0,M16&lt;&gt;"",L16&lt;&gt;0,L16&lt;&gt;""),O16-L16,"")</s:f>
        <s:v/>
      </s:c>
      <s:c r="R16" s="65"/>
      <s:c r="S16" s="41" t="str">
        <s:f>IF(AND(R16&lt;&gt;"",R16&lt;&gt;0,O16&lt;&gt;"",O16&lt;&gt;0),-R16+O16,"")</s:f>
        <s:v/>
      </s:c>
      <s:c r="T16" s="43" t="str">
        <s:f>IF(AND(S16&lt;&gt;"",S16&lt;&gt;0,R16&lt;&gt;0,R16&lt;&gt;""),S16/R16,"")</s:f>
        <s:v/>
      </s:c>
      <s:c r="U16" s="12"/>
      <s:c r="V16" s="12"/>
      <s:c r="W16" s="297"/>
      <s:c r="X16" s="18"/>
      <s:c r="Y16" s="12"/>
      <s:c r="Z16" s="12"/>
      <s:c r="AA16" s="12"/>
      <s:c r="AB16" s="12"/>
    </s:row>
    <s:row r="17" spans="1:38" ht="15.75" customHeight="1">
      <s:c r="B17" s="250"/>
      <s:c r="C17" s="12"/>
      <s:c r="D17" s="267"/>
      <s:c r="E17" s="12"/>
      <s:c r="F17" s="12"/>
      <s:c r="G17" s="267"/>
      <s:c r="H17" s="12"/>
      <s:c r="I17" s="533" t="s">
        <s:v>21</s:v>
      </s:c>
      <s:c r="J17" s="534"/>
      <s:c r="K17" s="535"/>
      <s:c r="L17" s="69">
        <s:f>'Ялта, Ленина, 18'!I17/График!AJ30*График!AJ28</s:f>
        <s:v>585.68232662192395</s:v>
      </s:c>
      <s:c r="M17" s="299">
        <s:f>I57</s:f>
        <s:v>615</s:v>
      </s:c>
      <s:c r="N17" s="62">
        <s:f>IF(AND(L17&lt;&gt;"",L17&lt;&gt;0,M17&lt;&gt;""),M17/L17,"")</s:f>
        <s:v>1.0500572956455301</s:v>
      </s:c>
      <s:c r="O17" s="300">
        <s:f>M17/M14*L14</s:f>
        <s:v>615</s:v>
      </s:c>
      <s:c r="P17" s="306">
        <s:f>IF(AND(L17&lt;&gt;"",L17&lt;&gt;0,O17&lt;&gt;"",O17&lt;&gt;0),O17/L17,"")</s:f>
        <s:v>1.0500572956455301</s:v>
      </s:c>
      <s:c r="Q17" s="41">
        <s:f>IF(AND(M17&lt;&gt;0,M17&lt;&gt;"",L17&lt;&gt;0,L17&lt;&gt;""),O17-L17,"")</s:f>
        <s:v>29.317673378076002</s:v>
      </s:c>
      <s:c r="R17" s="65"/>
      <s:c r="S17" s="41" t="str">
        <s:f>IF(AND(R17&lt;&gt;"",R17&lt;&gt;0,O17&lt;&gt;"",O17&lt;&gt;0),-R17+O17,"")</s:f>
        <s:v/>
      </s:c>
      <s:c r="T17" s="43" t="str">
        <s:f>IF(AND(S17&lt;&gt;"",S17&lt;&gt;0,R17&lt;&gt;0,R17&lt;&gt;""),S17/R17,"")</s:f>
        <s:v/>
      </s:c>
      <s:c r="U17" s="12"/>
      <s:c r="V17" s="12"/>
      <s:c r="W17" s="297"/>
      <s:c r="X17" s="18"/>
      <s:c r="Y17" s="12"/>
      <s:c r="Z17" s="12"/>
      <s:c r="AA17" s="12"/>
      <s:c r="AB17" s="12"/>
    </s:row>
    <s:row r="18" spans="1:38" ht="15.75" customHeight="1">
      <s:c r="B18" s="250"/>
      <s:c r="C18" s="12"/>
      <s:c r="D18" s="12"/>
      <s:c r="E18" s="12"/>
      <s:c r="F18" s="12"/>
      <s:c r="G18" s="12"/>
      <s:c r="H18" s="12"/>
      <s:c r="I18" s="533"/>
      <s:c r="J18" s="534"/>
      <s:c r="K18" s="535"/>
      <s:c r="L18" s="70"/>
      <s:c r="M18" s="37"/>
      <s:c r="N18" s="62" t="str">
        <s:f>IF(AND(L18&lt;&gt;"",L18&lt;&gt;0,M18&lt;&gt;""),M18/L18,"")</s:f>
        <s:v/>
      </s:c>
      <s:c r="O18" s="256">
        <s:f>M18</s:f>
        <s:v>0</s:v>
      </s:c>
      <s:c r="P18" s="305" t="str">
        <s:f>IF(AND(L18&lt;&gt;"",L18&lt;&gt;0,O18&lt;&gt;"",O18&lt;&gt;0),O18/L18,"")</s:f>
        <s:v/>
      </s:c>
      <s:c r="Q18" s="41" t="str">
        <s:f>IF(AND(M18&lt;&gt;0,M18&lt;&gt;"",L18&lt;&gt;0,L18&lt;&gt;""),O18-L18,"")</s:f>
        <s:v/>
      </s:c>
      <s:c r="R18" s="73">
        <s:v>0</s:v>
      </s:c>
      <s:c r="S18" s="41" t="str">
        <s:f>IF(AND(R18&lt;&gt;"",R18&lt;&gt;0,O18&lt;&gt;"",O18&lt;&gt;0),-R18+O18,"")</s:f>
        <s:v/>
      </s:c>
      <s:c r="T18" s="43" t="str">
        <s:f>IF(AND(S18&lt;&gt;"",S18&lt;&gt;0,R18&lt;&gt;0,R18&lt;&gt;""),S18/R18,"")</s:f>
        <s:v/>
      </s:c>
      <s:c r="U18" s="12"/>
      <s:c r="V18" s="12"/>
      <s:c r="W18" s="297"/>
      <s:c r="X18" s="18"/>
      <s:c r="Y18" s="12"/>
      <s:c r="Z18" s="12"/>
      <s:c r="AA18" s="12"/>
      <s:c r="AB18" s="12"/>
    </s:row>
    <s:row r="19" spans="1:38" ht="15.75" customHeight="1">
      <s:c r="B19" s="250"/>
      <s:c r="C19" s="12"/>
      <s:c r="D19" s="12"/>
      <s:c r="E19" s="12"/>
      <s:c r="F19" s="12"/>
      <s:c r="G19" s="12"/>
      <s:c r="H19" s="12"/>
      <s:c r="I19" s="533"/>
      <s:c r="J19" s="534"/>
      <s:c r="K19" s="535"/>
      <s:c r="L19" s="70"/>
      <s:c r="M19" s="299"/>
      <s:c r="N19" s="62" t="str">
        <s:f>IF(AND(L19&lt;&gt;"",L19&lt;&gt;0,M19&lt;&gt;""),M19/L19,"")</s:f>
        <s:v/>
      </s:c>
      <s:c r="O19" s="300">
        <s:f>M19</s:f>
        <s:v>0</s:v>
      </s:c>
      <s:c r="P19" s="306" t="str">
        <s:f>IF(AND(L19&lt;&gt;"",L19&lt;&gt;0,O19&lt;&gt;"",O19&lt;&gt;0),O19/L19,"")</s:f>
        <s:v/>
      </s:c>
      <s:c r="Q19" s="41" t="str">
        <s:f>IF(AND(M19&lt;&gt;0,M19&lt;&gt;"",L19&lt;&gt;0,L19&lt;&gt;""),O19-L19,"")</s:f>
        <s:v/>
      </s:c>
      <s:c r="R19" s="65">
        <s:v>0</s:v>
      </s:c>
      <s:c r="S19" s="41" t="str">
        <s:f>IF(AND(R19&lt;&gt;"",R19&lt;&gt;0,O19&lt;&gt;"",O19&lt;&gt;0),-R19+O19,"")</s:f>
        <s:v/>
      </s:c>
      <s:c r="T19" s="43" t="str">
        <s:f>IF(AND(S19&lt;&gt;"",S19&lt;&gt;0,R19&lt;&gt;0,R19&lt;&gt;""),S19/R19,"")</s:f>
        <s:v/>
      </s:c>
      <s:c r="U19" s="12"/>
      <s:c r="V19" s="12"/>
      <s:c r="W19" s="297"/>
      <s:c r="X19" s="18"/>
      <s:c r="Y19" s="12"/>
      <s:c r="Z19" s="12"/>
      <s:c r="AA19" s="12"/>
      <s:c r="AB19" s="12"/>
    </s:row>
    <s:row r="20" spans="1:38" ht="15.75" customHeight="1">
      <s:c r="B20" s="250"/>
      <s:c r="C20" s="12"/>
      <s:c r="D20" s="12"/>
      <s:c r="E20" s="12"/>
      <s:c r="F20" s="12"/>
      <s:c r="G20" s="12"/>
      <s:c r="H20" s="12"/>
      <s:c r="I20" s="536" t="s">
        <s:v>23</s:v>
      </s:c>
      <s:c r="J20" s="536"/>
      <s:c r="K20" s="536"/>
      <s:c r="L20" s="272">
        <s:f>'Ялта, Ленина, 18'!I20</s:f>
        <s:v>0.12</s:v>
      </s:c>
      <s:c r="M20" s="273">
        <s:f>S57</s:f>
        <s:v>8.1300813008129996E-2</s:v>
      </s:c>
      <s:c r="N20" s="274">
        <s:f>M20/L20</s:f>
        <s:v>0.67750677506775003</s:v>
      </s:c>
      <s:c r="O20" s="275">
        <s:f>IF(AND(N8&lt;&gt;0,L14&lt;&gt;0,I57&lt;&gt;0),(I57*S57+(I57/N8-I57)*L20)/(I57/N8),0)</s:f>
        <s:v>9.3571725162301694E-2</s:v>
      </s:c>
      <s:c r="P20" s="275">
        <s:f>IF(AND(L20&lt;&gt;"",L20&lt;&gt;0,O20&lt;&gt;"",O20&lt;&gt;0),O20/L20,"")</s:f>
        <s:v>0.77976437635251405</s:v>
      </s:c>
      <s:c r="Q20" s="79">
        <s:f>IF(AND(M20&lt;&gt;0,M20&lt;&gt;"",L20&lt;&gt;0,L20&lt;&gt;""),O20-L20,"")</s:f>
        <s:v>-2.6428274837698201E-2</s:v>
      </s:c>
      <s:c r="R20" s="80"/>
      <s:c r="S20" s="81" t="str">
        <s:f>IF(AND(R20&lt;&gt;"",R20&lt;&gt;0,O20&lt;&gt;"",O20&lt;&gt;0),-R20+O20,"")</s:f>
        <s:v/>
      </s:c>
      <s:c r="T20" s="82" t="str">
        <s:f>IF(AND(S20&lt;&gt;"",S20&lt;&gt;0,R20&lt;&gt;0,R20&lt;&gt;""),S20/R20,"")</s:f>
        <s:v/>
      </s:c>
      <s:c r="U20" s="12"/>
      <s:c r="V20" s="12"/>
      <s:c r="W20" s="297"/>
      <s:c r="X20" s="18"/>
      <s:c r="Y20" s="12"/>
      <s:c r="Z20" s="12"/>
      <s:c r="AA20" s="12"/>
      <s:c r="AB20" s="12"/>
    </s:row>
    <s:row r="21" spans="1:38" ht="15.75" customHeight="1">
      <s:c r="B21" s="25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297"/>
      <s:c r="X21" s="18"/>
      <s:c r="Y21" s="12"/>
      <s:c r="Z21" s="12"/>
      <s:c r="AA21" s="12"/>
      <s:c r="AB21" s="12"/>
    </s:row>
    <s:row r="22" spans="1:38" ht="16.5" customHeight="1">
      <s:c r="B22" s="569" t="s">
        <s:v>24</s:v>
      </s:c>
      <s:c r="C22" s="569"/>
      <s:c r="D22" s="569"/>
      <s:c r="E22" s="569"/>
      <s:c r="F22" s="569"/>
      <s:c r="G22" s="569"/>
      <s:c r="H22" s="569"/>
      <s:c r="I22" s="569"/>
      <s:c r="J22" s="569"/>
      <s:c r="K22" s="569"/>
      <s:c r="L22" s="569"/>
      <s:c r="M22" s="569"/>
      <s:c r="N22" s="569"/>
      <s:c r="O22" s="569"/>
      <s:c r="P22" s="569"/>
      <s:c r="Q22" s="569"/>
      <s:c r="R22" s="569"/>
      <s:c r="S22" s="569"/>
      <s:c r="T22" s="570" t="s">
        <s:v>44</s:v>
      </s:c>
      <s:c r="U22" s="569" t="s">
        <s:v>25</s:v>
      </s:c>
      <s:c r="V22" s="569"/>
      <s:c r="W22" s="569"/>
      <s:c r="X22" s="569"/>
      <s:c r="Y22" s="569"/>
      <s:c r="Z22" s="569"/>
      <s:c r="AA22" s="569"/>
      <s:c r="AB22" s="569"/>
    </s:row>
    <s:row r="23" ht="36">
      <s:c r="B23" s="277" t="s">
        <s:v>27</s:v>
      </s:c>
      <s:c r="C23" s="277" t="s">
        <s:v>28</s:v>
      </s:c>
      <s:c r="D23" s="277" t="s">
        <s:v>29</s:v>
      </s:c>
      <s:c r="E23" s="277" t="s">
        <s:v>30</s:v>
      </s:c>
      <s:c r="F23" s="277" t="s">
        <s:v>31</s:v>
      </s:c>
      <s:c r="G23" s="277" t="s">
        <s:v>32</s:v>
      </s:c>
      <s:c r="H23" s="277" t="s">
        <s:v>33</s:v>
      </s:c>
      <s:c r="I23" s="277" t="s">
        <s:v>21</s:v>
      </s:c>
      <s:c r="J23" s="277" t="s">
        <s:v>34</s:v>
      </s:c>
      <s:c r="K23" s="85" t="s">
        <s:v>35</s:v>
      </s:c>
      <s:c r="L23" s="85" t="s">
        <s:v>36</s:v>
      </s:c>
      <s:c r="M23" s="85" t="s">
        <s:v>37</s:v>
      </s:c>
      <s:c r="N23" s="85" t="s">
        <s:v>38</s:v>
      </s:c>
      <s:c r="O23" s="278" t="s">
        <s:v>39</s:v>
      </s:c>
      <s:c r="P23" s="85" t="s">
        <s:v>40</s:v>
      </s:c>
      <s:c r="Q23" s="278" t="s">
        <s:v>77</s:v>
      </s:c>
      <s:c r="R23" s="85" t="s">
        <s:v>42</s:v>
      </s:c>
      <s:c r="S23" s="277" t="s">
        <s:v>78</s:v>
      </s:c>
      <s:c r="T23" s="570"/>
      <s:c r="U23" s="277" t="s">
        <s:v>45</s:v>
      </s:c>
      <s:c r="V23" s="277" t="s">
        <s:v>46</s:v>
      </s:c>
      <s:c r="W23" s="277" t="s">
        <s:v>47</s:v>
      </s:c>
      <s:c r="X23" s="277" t="s">
        <s:v>48</s:v>
      </s:c>
      <s:c r="Y23" s="277" t="s">
        <s:v>49</s:v>
      </s:c>
      <s:c r="Z23" s="277" t="s">
        <s:v>50</s:v>
      </s:c>
      <s:c r="AA23" s="279" t="s">
        <s:v>51</s:v>
      </s:c>
      <s:c r="AB23" s="279" t="s">
        <s:v>52</s:v>
      </s:c>
      <s:c r="AC23" s="124"/>
    </s:row>
    <s:row r="24">
      <s:c r="B24" s="280">
        <s:v>1</s:v>
      </s:c>
      <s:c r="C24" s="280">
        <s:v>2</s:v>
      </s:c>
      <s:c r="D24" s="280">
        <s:v>3</s:v>
      </s:c>
      <s:c r="E24" s="280" t="s">
        <s:v>80</s:v>
      </s:c>
      <s:c r="F24" s="280">
        <s:v>5</s:v>
      </s:c>
      <s:c r="G24" s="280">
        <s:v>6</s:v>
      </s:c>
      <s:c r="H24" s="280">
        <s:v>7</s:v>
      </s:c>
      <s:c r="I24" s="280">
        <s:v>8</s:v>
      </s:c>
      <s:c r="J24" s="280">
        <s:v>9</s:v>
      </s:c>
      <s:c r="K24" s="280">
        <s:v>10</s:v>
      </s:c>
      <s:c r="L24" s="280">
        <s:v>11</s:v>
      </s:c>
      <s:c r="M24" s="280">
        <s:v>12</s:v>
      </s:c>
      <s:c r="N24" s="280">
        <s:v>13</s:v>
      </s:c>
      <s:c r="O24" s="280"/>
      <s:c r="P24" s="280">
        <s:v>14</s:v>
      </s:c>
      <s:c r="Q24" s="280">
        <s:v>15</s:v>
      </s:c>
      <s:c r="R24" s="280">
        <s:v>16</s:v>
      </s:c>
      <s:c r="S24" s="280">
        <s:v>17</s:v>
      </s:c>
      <s:c r="T24" s="570"/>
      <s:c r="U24" s="282">
        <s:v>1</s:v>
      </s:c>
      <s:c r="V24" s="282">
        <s:v>2</s:v>
      </s:c>
      <s:c r="W24" s="282">
        <s:v>3</s:v>
      </s:c>
      <s:c r="X24" s="282">
        <s:v>4</s:v>
      </s:c>
      <s:c r="Y24" s="282">
        <s:v>5</s:v>
      </s:c>
      <s:c r="Z24" s="282">
        <s:v>6</s:v>
      </s:c>
      <s:c r="AA24" s="282">
        <s:v>10</s:v>
      </s:c>
      <s:c r="AB24" s="282">
        <s:v>11</s:v>
      </s:c>
    </s:row>
    <s:row r="25">
      <s:c r="A25" s="96">
        <s:v>1</s:v>
      </s:c>
      <s:c r="B25" s="97">
        <s:v>46082</s:v>
      </s:c>
      <s:c r="C25" s="98" t="s">
        <s:v>53</s:v>
      </s:c>
      <s:c r="D25" s="99">
        <s:v>19475</s:v>
      </s:c>
      <s:c r="E25" s="101">
        <s:v>3</s:v>
      </s:c>
      <s:c r="F25" s="101">
        <s:v>6492</s:v>
      </s:c>
      <s:c r="G25" s="101">
        <s:v>1</s:v>
      </s:c>
      <s:c r="H25" s="101">
        <s:f>IF(AND(G25&lt;&gt;"",G25&lt;&gt;0),D25/G25,"")</s:f>
        <s:v>19475</s:v>
      </s:c>
      <s:c r="I25" s="101">
        <s:v>20</s:v>
      </s:c>
      <s:c r="J25" s="99">
        <s:f>IF(AND(G25&lt;&gt;"",G25&lt;&gt;0),E25/G25,"")</s:f>
        <s:v>3</s:v>
      </s:c>
      <s:c r="K25" s="101"/>
      <s:c r="L25" s="101"/>
      <s:c r="M25" s="101"/>
      <s:c r="N25" s="101"/>
      <s:c r="O25" s="101"/>
      <s:c r="P25" s="101"/>
      <s:c r="Q25" s="101"/>
      <s:c r="R25" s="101">
        <s:v>7690</s:v>
      </s:c>
      <s:c r="S25" s="102">
        <s:f>IF(AND(I25&lt;&gt;"",I25&lt;&gt;0),G25/I25,"")</s:f>
        <s:v>0.05</s:v>
      </s:c>
      <s:c r="T25" s="103">
        <s:f>D25/U25</s:f>
        <s:v>0.32311996853622998</s:v>
      </s:c>
      <s:c r="U25" s="290">
        <s:f>$L$8*AA25*AB25/SUMPRODUCT($AB$25:$AB$56,$AA$25:$AA$56)</s:f>
        <s:v>60271.731543624097</s:v>
      </s:c>
      <s:c r="V25" s="105">
        <s:f>$L$9*AA25*AB25/SUMPRODUCT($AB$25:$AB$56,$AA$25:$AA$56)</s:f>
        <s:v>8.7350335570469806</s:v>
      </s:c>
      <s:c r="W25" s="289">
        <s:f>IF($L$12="","",V25/$L$12)</s:f>
        <s:v>5.0201342281879198</s:v>
      </s:c>
      <s:c r="X25" s="104">
        <s:f>IF(D25&lt;&gt;"",D25,U25)</s:f>
        <s:v>19475</s:v>
      </s:c>
      <s:c r="Y25" s="105">
        <s:f>IF(E25&lt;&gt;"",E25,V25)</s:f>
        <s:v>3</s:v>
      </s:c>
      <s:c r="Z25" s="105">
        <s:f>IF(G25&lt;&gt;"",G25,W25)</s:f>
        <s:v>1</s:v>
      </s:c>
      <s:c r="AA25" s="293">
        <s:v>1</s:v>
      </s:c>
      <s:c r="AB25" s="106">
        <s:v>1</s:v>
      </s:c>
      <s:c r="AC25" s="283"/>
      <s:c r="AD25" s="108"/>
    </s:row>
    <s:row r="26">
      <s:c r="A26" s="96">
        <s:v>2</s:v>
      </s:c>
      <s:c r="B26" s="97">
        <s:v>46085</s:v>
      </s:c>
      <s:c r="C26" s="98" t="s">
        <s:v>57</s:v>
      </s:c>
      <s:c r="D26" s="99">
        <s:v>0</s:v>
      </s:c>
      <s:c r="E26" s="101">
        <s:v>0</s:v>
      </s:c>
      <s:c r="F26" s="101">
        <s:v>0</s:v>
      </s:c>
      <s:c r="G26" s="101">
        <s:v>0</s:v>
      </s:c>
      <s:c r="H26" s="101">
        <s:v>0</s:v>
      </s:c>
      <s:c r="I26" s="101">
        <s:v>10</s:v>
      </s:c>
      <s:c r="J26" s="99" t="str">
        <s:f>IF(AND(G26&lt;&gt;"",G26&lt;&gt;0),E26/G26,"")</s:f>
        <s:v/>
      </s:c>
      <s:c r="K26" s="101"/>
      <s:c r="L26" s="101"/>
      <s:c r="M26" s="101"/>
      <s:c r="N26" s="101"/>
      <s:c r="O26" s="101"/>
      <s:c r="P26" s="101"/>
      <s:c r="Q26" s="101"/>
      <s:c r="R26" s="101"/>
      <s:c r="S26" s="102">
        <s:f>IF(AND(I26&lt;&gt;"",I26&lt;&gt;0),G26/I26,"")</s:f>
        <s:v>0</s:v>
      </s:c>
      <s:c r="T26" s="103">
        <s:f>D26/U26</s:f>
        <s:v>0</s:v>
      </s:c>
      <s:c r="U26" s="104">
        <s:f>$L$8*AA26*AB26/SUMPRODUCT($AB$25:$AB$56,$AA$25:$AA$56)</s:f>
        <s:v>60271.731543624097</s:v>
      </s:c>
      <s:c r="V26" s="289">
        <s:f>$L$9*AA26*AB26/SUMPRODUCT($AB$25:$AB$58,$AA$25:$AA$58)</s:f>
        <s:v>8.7350335570469806</s:v>
      </s:c>
      <s:c r="W26" s="105">
        <s:f>IF($L$12="","",V26/$L$12)</s:f>
        <s:v>5.0201342281879198</s:v>
      </s:c>
      <s:c r="X26" s="104">
        <s:f>IF(AB26&lt;&gt;"",IF(D26&lt;&gt;"",D26,($L$8-SUM($X$25:X25))*AA26*AB26/SUMPRODUCT($AB26:$AB$56,$AA26:$AA$56)),"")</s:f>
        <s:v>0</s:v>
      </s:c>
      <s:c r="Y26" s="105">
        <s:f>IF(AB26&lt;&gt;"",IF(E26&lt;&gt;"",E26,($L$9-SUM($Y$25:Y25))*AA26*AB26/SUMPRODUCT($AB26:$AB$55,$AA26:$AA$55)),"")</s:f>
        <s:v>0</s:v>
      </s:c>
      <s:c r="Z26" s="105">
        <s:f>IF(AB26&lt;&gt;"",IF($L$12&lt;&gt;"",IF(G26&lt;&gt;"",G26,($L$9/$L$12-SUM($Z$25:Z25))*AA26*AB26/SUMPRODUCT($AB26:$AB$55,$AA26:$AA$55)),""),"")</s:f>
        <s:v>0</s:v>
      </s:c>
      <s:c r="AA26" s="106">
        <s:v>1</s:v>
      </s:c>
      <s:c r="AB26" s="106">
        <s:v>1</s:v>
      </s:c>
      <s:c r="AC26" s="107"/>
      <s:c r="AD26" s="108"/>
    </s:row>
    <s:row r="27">
      <s:c r="A27" s="96">
        <s:v>3</s:v>
      </s:c>
      <s:c r="B27" s="97">
        <s:v>46086</s:v>
      </s:c>
      <s:c r="C27" s="98" t="s">
        <s:v>58</s:v>
      </s:c>
      <s:c r="D27" s="99">
        <s:v>34800</s:v>
      </s:c>
      <s:c r="E27" s="101">
        <s:v>6</s:v>
      </s:c>
      <s:c r="F27" s="101">
        <s:f>IF(AND(E27&lt;&gt;"",E27&lt;&gt;0),D27/E27,"")</s:f>
        <s:v>5800</s:v>
      </s:c>
      <s:c r="G27" s="101">
        <s:v>3</s:v>
      </s:c>
      <s:c r="H27" s="101">
        <s:f>IF(AND(G27&lt;&gt;"",G27&lt;&gt;0),D27/G27,"")</s:f>
        <s:v>11600</s:v>
      </s:c>
      <s:c r="I27" s="101">
        <s:v>15</s:v>
      </s:c>
      <s:c r="J27" s="99">
        <s:f>IF(AND(G27&lt;&gt;"",G27&lt;&gt;0),E27/G27,"")</s:f>
        <s:v>2</s:v>
      </s:c>
      <s:c r="K27" s="101"/>
      <s:c r="L27" s="101"/>
      <s:c r="M27" s="101"/>
      <s:c r="N27" s="101"/>
      <s:c r="O27" s="101"/>
      <s:c r="P27" s="101"/>
      <s:c r="Q27" s="101"/>
      <s:c r="R27" s="101">
        <s:v>4753</s:v>
      </s:c>
      <s:c r="S27" s="102">
        <s:f>IF(AND(I27&lt;&gt;"",I27&lt;&gt;0),G27/I27,"")</s:f>
        <s:v>0.2</s:v>
      </s:c>
      <s:c r="T27" s="103">
        <s:f>D27/U27</s:f>
        <s:v>0.57738510423932399</s:v>
      </s:c>
      <s:c r="U27" s="290">
        <s:f>$L$8*AA27*AB27/SUMPRODUCT($AB$25:$AB$56,$AA$25:$AA$56)</s:f>
        <s:v>60271.731543624097</s:v>
      </s:c>
      <s:c r="V27" s="105">
        <s:f>$L$9*AA27*AB27/SUMPRODUCT($AB$25:$AB$58,$AA$25:$AA$58)</s:f>
        <s:v>8.7350335570469806</s:v>
      </s:c>
      <s:c r="W27" s="289">
        <s:f>IF($L$12="","",V27/$L$12)</s:f>
        <s:v>5.0201342281879198</s:v>
      </s:c>
      <s:c r="X27" s="104">
        <s:f>IF(AB27&lt;&gt;"",IF(D27&lt;&gt;"",D27,($L$8-SUM($X$25:X26))*AA27*AB27/SUMPRODUCT($AB27:$AB$58,$AA27:$AA$58)),"")</s:f>
        <s:v>34800</s:v>
      </s:c>
      <s:c r="Y27" s="105">
        <s:f>IF(AB27&lt;&gt;"",IF(E27&lt;&gt;"",E27,($L$9-SUM($Y$25:Y26))*AA27*AB27/SUMPRODUCT($AB27:$AB$55,$AA27:$AA$55)),"")</s:f>
        <s:v>6</s:v>
      </s:c>
      <s:c r="Z27" s="105">
        <s:f>IF(AB27&lt;&gt;"",IF($L$12&lt;&gt;"",IF(G27&lt;&gt;"",G27,($L$9/$L$12-SUM($Z$25:Z26))*AA27*AB27/SUMPRODUCT($AB27:$AB$55,$AA27:$AA$55)),""),"")</s:f>
        <s:v>3</s:v>
      </s:c>
      <s:c r="AA27" s="293">
        <s:v>1</s:v>
      </s:c>
      <s:c r="AB27" s="106">
        <s:v>1</s:v>
      </s:c>
      <s:c r="AC27" s="107"/>
      <s:c r="AD27" s="108"/>
      <s:c r="AE27" s="109"/>
      <s:c r="AF27" s="2"/>
      <s:c r="AG27" s="2"/>
      <s:c r="AH27" s="2"/>
      <s:c r="AI27" s="2"/>
      <s:c r="AJ27" s="2"/>
      <s:c r="AK27" s="2"/>
      <s:c r="AL27" s="2"/>
    </s:row>
    <s:row r="28">
      <s:c r="A28" s="96">
        <s:v>4</s:v>
      </s:c>
      <s:c r="B28" s="97">
        <s:v>46087</s:v>
      </s:c>
      <s:c r="C28" s="113" t="s">
        <s:v>59</s:v>
      </s:c>
      <s:c r="D28" s="99">
        <s:v>12376</s:v>
      </s:c>
      <s:c r="E28" s="287">
        <s:v>3</s:v>
      </s:c>
      <s:c r="F28" s="101">
        <s:f>IF(AND(E28&lt;&gt;"",E28&lt;&gt;0),D28/E28,"")</s:f>
        <s:v>4125.333333333333</s:v>
      </s:c>
      <s:c r="G28" s="287">
        <s:v>1</s:v>
      </s:c>
      <s:c r="H28" s="101">
        <s:f>IF(AND(G28&lt;&gt;"",G28&lt;&gt;0),D28/G28,"")</s:f>
        <s:v>12376</s:v>
      </s:c>
      <s:c r="I28" s="287">
        <s:v>10</s:v>
      </s:c>
      <s:c r="J28" s="99">
        <s:f>IF(AND(G28&lt;&gt;"",G28&lt;&gt;0),E28/G28,"")</s:f>
        <s:v>3</s:v>
      </s:c>
      <s:c r="K28" s="287"/>
      <s:c r="L28" s="101"/>
      <s:c r="M28" s="307"/>
      <s:c r="N28" s="308"/>
      <s:c r="O28" s="308"/>
      <s:c r="P28" s="101"/>
      <s:c r="Q28" s="101"/>
      <s:c r="R28" s="101"/>
      <s:c r="S28" s="102">
        <s:f>IF(AND(I28&lt;&gt;"",I28&lt;&gt;0),G28/I28,"")</s:f>
        <s:v>0.1</s:v>
      </s:c>
      <s:c r="T28" s="288">
        <s:f>D28/U28</s:f>
        <s:v>0.20533672557660501</s:v>
      </s:c>
      <s:c r="U28" s="104">
        <s:f>$L$8*AA28*AB28/SUMPRODUCT($AB$25:$AB$56,$AA$25:$AA$56)</s:f>
        <s:v>60271.731543624097</s:v>
      </s:c>
      <s:c r="V28" s="289">
        <s:f>$L$9*AA28*AB28/SUMPRODUCT($AB$25:$AB$58,$AA$25:$AA$58)</s:f>
        <s:v>8.7350335570469806</s:v>
      </s:c>
      <s:c r="W28" s="105">
        <s:f>IF($L$12="","",V28/$L$12)</s:f>
        <s:v>5.0201342281879198</s:v>
      </s:c>
      <s:c r="X28" s="104">
        <s:f>IF(AB28&lt;&gt;"",IF(D28&lt;&gt;"",D28,($L$8-SUM($X$25:X27))*AA28*AB28/SUMPRODUCT($AB28:$AB$58,$AA28:$AA$58)),"")</s:f>
        <s:v>12376</s:v>
      </s:c>
      <s:c r="Y28" s="105">
        <s:f>IF(AB28&lt;&gt;"",IF(E28&lt;&gt;"",E28,($L$9-SUM($Y$25:Y27))*AA28*AB28/SUMPRODUCT($AB28:$AB$58,$AA28:$AA$58)),"")</s:f>
        <s:v>3</s:v>
      </s:c>
      <s:c r="Z28" s="289">
        <s:f>IF(AB28&lt;&gt;"",IF($L$12&lt;&gt;"",IF(G28&lt;&gt;"",G28,($L$9/$L$12-SUM($Z$25:Z27))*AA28*AB28/SUMPRODUCT($AB28:$AB$58,$AA28:$AA$58)),""),"")</s:f>
        <s:v>1</s:v>
      </s:c>
      <s:c r="AA28" s="106">
        <s:v>1</s:v>
      </s:c>
      <s:c r="AB28" s="106">
        <s:v>1</s:v>
      </s:c>
      <s:c r="AC28" s="107"/>
      <s:c r="AD28" s="108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96">
        <s:v>5</s:v>
      </s:c>
      <s:c r="B29" s="97">
        <s:v>46088</s:v>
      </s:c>
      <s:c r="C29" s="98" t="s">
        <s:v>60</s:v>
      </s:c>
      <s:c r="D29" s="291">
        <s:v>46837</s:v>
      </s:c>
      <s:c r="E29" s="101">
        <s:v>8</s:v>
      </s:c>
      <s:c r="F29" s="101">
        <s:f>IF(AND(E29&lt;&gt;"",E29&lt;&gt;0),D29/E29,"")</s:f>
        <s:v>5854.625</s:v>
      </s:c>
      <s:c r="G29" s="101">
        <s:v>4</s:v>
      </s:c>
      <s:c r="H29" s="287">
        <s:f>IF(AND(G29&lt;&gt;"",G29&lt;&gt;0),D29/G29,"")</s:f>
        <s:v>11709.25</s:v>
      </s:c>
      <s:c r="I29" s="101">
        <s:v>25</s:v>
      </s:c>
      <s:c r="J29" s="291">
        <s:f>IF(AND(G29&lt;&gt;"",G29&lt;&gt;0),E29/G29,"")</s:f>
        <s:v>2</s:v>
      </s:c>
      <s:c r="K29" s="101"/>
      <s:c r="L29" s="309"/>
      <s:c r="M29" s="101"/>
      <s:c r="N29" s="101"/>
      <s:c r="O29" s="310"/>
      <s:c r="P29" s="310"/>
      <s:c r="Q29" s="310"/>
      <s:c r="R29" s="101"/>
      <s:c r="S29" s="292">
        <s:f>IF(AND(I29&lt;&gt;"",I29&lt;&gt;0),G29/I29,"")</s:f>
        <s:v>0.16</s:v>
      </s:c>
      <s:c r="T29" s="103">
        <s:f>D29/U29</s:f>
        <s:v>0.77709730250739095</s:v>
      </s:c>
      <s:c r="U29" s="290">
        <s:f>$L$8*AA29*AB29/SUMPRODUCT($AB$25:$AB$56,$AA$25:$AA$56)</s:f>
        <s:v>60271.731543624097</s:v>
      </s:c>
      <s:c r="V29" s="105">
        <s:f>$L$9*AA29*AB29/SUMPRODUCT($AB$25:$AB$58,$AA$25:$AA$58)</s:f>
        <s:v>8.7350335570469806</s:v>
      </s:c>
      <s:c r="W29" s="289">
        <s:f>IF($L$12="","",V29/$L$12)</s:f>
        <s:v>5.0201342281879198</s:v>
      </s:c>
      <s:c r="X29" s="104">
        <s:f>IF(AB29&lt;&gt;"",IF(D29&lt;&gt;"",D29,($L$8-SUM($X$25:X28))*AA29*AB29/SUMPRODUCT($AB29:$AB$58,$AA29:$AA$58)),"")</s:f>
        <s:v>46837</s:v>
      </s:c>
      <s:c r="Y29" s="289">
        <s:f>IF(AB29&lt;&gt;"",IF(E29&lt;&gt;"",E29,($L$9-SUM($Y$25:Y28))*AA29*AB29/SUMPRODUCT($AB29:$AB$58,$AA29:$AA$58)),"")</s:f>
        <s:v>8</s:v>
      </s:c>
      <s:c r="Z29" s="105">
        <s:f>IF(AB29&lt;&gt;"",IF($L$12&lt;&gt;"",IF(G29&lt;&gt;"",G29,($L$9/$L$12-SUM($Z$25:Z28))*AA29*AB29/SUMPRODUCT($AB29:$AB$58,$AA29:$AA$58)),""),"")</s:f>
        <s:v>4</s:v>
      </s:c>
      <s:c r="AA29" s="293">
        <s:v>1</s:v>
      </s:c>
      <s:c r="AB29" s="106">
        <s:v>1</s:v>
      </s:c>
      <s:c r="AC29" s="107"/>
      <s:c r="AD29" s="108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96">
        <s:v>6</s:v>
      </s:c>
      <s:c r="B30" s="97">
        <s:v>46089</s:v>
      </s:c>
      <s:c r="C30" s="113" t="s">
        <s:v>53</s:v>
      </s:c>
      <s:c r="D30" s="99">
        <s:v>50790</s:v>
      </s:c>
      <s:c r="E30" s="101">
        <s:v>5</s:v>
      </s:c>
      <s:c r="F30" s="287">
        <s:f>IF(AND(E30&lt;&gt;"",E30&lt;&gt;0),D30/E30,"")</s:f>
        <s:v>10158</s:v>
      </s:c>
      <s:c r="G30" s="101">
        <s:v>3</s:v>
      </s:c>
      <s:c r="H30" s="101">
        <s:f>IF(AND(G30&lt;&gt;"",G30&lt;&gt;0),D30/G30,"")</s:f>
        <s:v>16930</s:v>
      </s:c>
      <s:c r="I30" s="287">
        <s:v>40</s:v>
      </s:c>
      <s:c r="J30" s="99">
        <s:f>IF(AND(G30&lt;&gt;"",G30&lt;&gt;0),E30/G30,"")</s:f>
        <s:v>1.6666666666666667</s:v>
      </s:c>
      <s:c r="K30" s="287">
        <s:v>23723</s:v>
      </s:c>
      <s:c r="L30" s="101"/>
      <s:c r="M30" s="101"/>
      <s:c r="N30" s="308"/>
      <s:c r="O30" s="308"/>
      <s:c r="P30" s="101"/>
      <s:c r="Q30" s="101"/>
      <s:c r="R30" s="101"/>
      <s:c r="S30" s="102">
        <s:f>IF(AND(I30&lt;&gt;"",I30&lt;&gt;0),G30/I30,"")</s:f>
        <s:v>7.4999999999999997E-2</s:v>
      </s:c>
      <s:c r="T30" s="288">
        <s:f>D30/U30</s:f>
        <s:v>0.84268360472170301</s:v>
      </s:c>
      <s:c r="U30" s="104">
        <s:f>$L$8*AA30*AB30/SUMPRODUCT($AB$25:$AB$56,$AA$25:$AA$56)</s:f>
        <s:v>60271.731543624097</s:v>
      </s:c>
      <s:c r="V30" s="289">
        <s:f>$L$9*AA30*AB30/SUMPRODUCT($AB$25:$AB$58,$AA$25:$AA$58)</s:f>
        <s:v>8.7350335570469806</s:v>
      </s:c>
      <s:c r="W30" s="105">
        <s:f>IF($L$12="","",V30/$L$12)</s:f>
        <s:v>5.0201342281879198</s:v>
      </s:c>
      <s:c r="X30" s="104">
        <s:f>IF(AB30&lt;&gt;"",IF(D30&lt;&gt;"",D30,($L$8-SUM($X$25:X29))*AA30*AB30/SUMPRODUCT($AB30:$AB$58,$AA30:$AA$58)),"")</s:f>
        <s:v>50790</s:v>
      </s:c>
      <s:c r="Y30" s="105">
        <s:f>IF(AB30&lt;&gt;"",IF(E30&lt;&gt;"",E30,($L$9-SUM($Y$25:Y29))*AA30*AB30/SUMPRODUCT($AB30:$AB$58,$AA30:$AA$58)),"")</s:f>
        <s:v>5</s:v>
      </s:c>
      <s:c r="Z30" s="289">
        <s:f>IF(AB30&lt;&gt;"",IF($L$12&lt;&gt;"",IF(G30&lt;&gt;"",G30,($L$9/$L$12-SUM($Z$25:Z29))*AA30*AB30/SUMPRODUCT($AB30:$AB$58,$AA30:$AA$58)),""),"")</s:f>
        <s:v>3</s:v>
      </s:c>
      <s:c r="AA30" s="106">
        <s:v>1</s:v>
      </s:c>
      <s:c r="AB30" s="106">
        <s:v>1</s:v>
      </s:c>
      <s:c r="AC30" s="107"/>
      <s:c r="AD30" s="108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96">
        <s:v>7</s:v>
      </s:c>
      <s:c r="B31" s="97">
        <s:v>46092</s:v>
      </s:c>
      <s:c r="C31" s="98" t="s">
        <s:v>57</s:v>
      </s:c>
      <s:c r="D31" s="291">
        <s:v>11086</s:v>
      </s:c>
      <s:c r="E31" s="101">
        <s:v>2</s:v>
      </s:c>
      <s:c r="F31" s="101">
        <s:v>5543</s:v>
      </s:c>
      <s:c r="G31" s="287">
        <s:v>2</s:v>
      </s:c>
      <s:c r="H31" s="101">
        <s:f>IF(AND(G31&lt;&gt;"",G31&lt;&gt;0),D31/G31,"")</s:f>
        <s:v>5543</s:v>
      </s:c>
      <s:c r="I31" s="101">
        <s:v>40</s:v>
      </s:c>
      <s:c r="J31" s="291">
        <s:f>IF(AND(G31&lt;&gt;"",G31&lt;&gt;0),E31/G31,"")</s:f>
        <s:v>1</s:v>
      </s:c>
      <s:c r="K31" s="101"/>
      <s:c r="L31" s="309"/>
      <s:c r="M31" s="101"/>
      <s:c r="N31" s="101"/>
      <s:c r="O31" s="310"/>
      <s:c r="P31" s="310"/>
      <s:c r="Q31" s="310"/>
      <s:c r="R31" s="101"/>
      <s:c r="S31" s="292">
        <s:f>IF(AND(I31&lt;&gt;"",I31&lt;&gt;0),G31/I31,"")</s:f>
        <s:v>0.05</s:v>
      </s:c>
      <s:c r="T31" s="103">
        <s:f>D31/U31</s:f>
        <s:v>0.18393365705738901</s:v>
      </s:c>
      <s:c r="U31" s="290">
        <s:f>$L$8*AA31*AB31/SUMPRODUCT($AB$25:$AB$56,$AA$25:$AA$56)</s:f>
        <s:v>60271.731543624097</s:v>
      </s:c>
      <s:c r="V31" s="105">
        <s:f>$L$9*AA31*AB31/SUMPRODUCT($AB$25:$AB$58,$AA$25:$AA$58)</s:f>
        <s:v>8.7350335570469806</s:v>
      </s:c>
      <s:c r="W31" s="289">
        <s:f>IF($L$12="","",V31/$L$12)</s:f>
        <s:v>5.0201342281879198</s:v>
      </s:c>
      <s:c r="X31" s="104">
        <s:f>IF(AB31&lt;&gt;"",IF(D31&lt;&gt;"",D31,($L$8-SUM($X$25:X30))*AA31*AB31/SUMPRODUCT($AB31:$AB$58,$AA31:$AA$58)),"")</s:f>
        <s:v>11086</s:v>
      </s:c>
      <s:c r="Y31" s="289">
        <s:f>IF(AB31&lt;&gt;"",IF(E31&lt;&gt;"",E31,($L$9-SUM($Y$25:Y30))*AA31*AB31/SUMPRODUCT($AB31:$AB$58,$AA31:$AA$58)),"")</s:f>
        <s:v>2</s:v>
      </s:c>
      <s:c r="Z31" s="105">
        <s:f>IF(AB31&lt;&gt;"",IF($L$12&lt;&gt;"",IF(G31&lt;&gt;"",G31,($L$9/$L$12-SUM($Z$25:Z30))*AA31*AB31/SUMPRODUCT($AB31:$AB$58,$AA31:$AA$58)),""),"")</s:f>
        <s:v>2</s:v>
      </s:c>
      <s:c r="AA31" s="293">
        <s:v>1</s:v>
      </s:c>
      <s:c r="AB31" s="106">
        <s:v>1</s:v>
      </s:c>
      <s:c r="AC31" s="107"/>
      <s:c r="AD31" s="108"/>
      <s:c r="AJ31" s="2"/>
      <s:c r="AK31" s="2"/>
      <s:c r="AL31" s="2"/>
    </s:row>
    <s:row r="32">
      <s:c r="A32" s="96">
        <s:v>8</s:v>
      </s:c>
      <s:c r="B32" s="97">
        <s:v>46093</s:v>
      </s:c>
      <s:c r="C32" s="113" t="s">
        <s:v>58</s:v>
      </s:c>
      <s:c r="D32" s="99">
        <s:f>7093+11484</s:f>
        <s:v>18577</s:v>
      </s:c>
      <s:c r="E32" s="287">
        <s:v>3</s:v>
      </s:c>
      <s:c r="F32" s="101">
        <s:f>IF(AND(E32&lt;&gt;"",E32&lt;&gt;0),D32/E32,"")</s:f>
        <s:v>6192.3333333333303</s:v>
      </s:c>
      <s:c r="G32" s="101">
        <s:v>2</s:v>
      </s:c>
      <s:c r="H32" s="287">
        <s:f>IF(AND(G32&lt;&gt;"",G32&lt;&gt;0),D32/G32,"")</s:f>
        <s:v>9288.5</s:v>
      </s:c>
      <s:c r="I32" s="101">
        <s:v>18</s:v>
      </s:c>
      <s:c r="J32" s="99">
        <s:f>IF(AND(G32&lt;&gt;"",G32&lt;&gt;0),E32/G32,"")</s:f>
        <s:v>1.5</s:v>
      </s:c>
      <s:c r="K32" s="101"/>
      <s:c r="L32" s="101"/>
      <s:c r="M32" s="101"/>
      <s:c r="N32" s="308"/>
      <s:c r="O32" s="308"/>
      <s:c r="P32" s="101">
        <s:v>7093</s:v>
      </s:c>
      <s:c r="Q32" s="101"/>
      <s:c r="R32" s="101">
        <s:v>6490</s:v>
      </s:c>
      <s:c r="S32" s="102">
        <s:f>IF(AND(I32&lt;&gt;"",I32&lt;&gt;0),G32/I32,"")</s:f>
        <s:v>0.11111111111111099</s:v>
      </s:c>
      <s:c r="T32" s="288">
        <s:f>D32/U32</s:f>
        <s:v>0.308220778202698</s:v>
      </s:c>
      <s:c r="U32" s="104">
        <s:f>$L$8*AA32*AB32/SUMPRODUCT($AB$25:$AB$56,$AA$25:$AA$56)</s:f>
        <s:v>60271.731543624097</s:v>
      </s:c>
      <s:c r="V32" s="289">
        <s:f>$L$9*AA32*AB32/SUMPRODUCT($AB$25:$AB$58,$AA$25:$AA$58)</s:f>
        <s:v>8.7350335570469806</s:v>
      </s:c>
      <s:c r="W32" s="105">
        <s:f>IF($L$12="","",V32/$L$12)</s:f>
        <s:v>5.0201342281879198</s:v>
      </s:c>
      <s:c r="X32" s="104">
        <s:f>IF(AB32&lt;&gt;"",IF(D32&lt;&gt;"",D32,($L$8-SUM($X$25:X31))*AA32*AB32/SUMPRODUCT($AB32:$AB$58,$AA32:$AA$58)),"")</s:f>
        <s:v>18577</s:v>
      </s:c>
      <s:c r="Y32" s="105">
        <s:f>IF(AB32&lt;&gt;"",IF(E32&lt;&gt;"",E32,($L$9-SUM($Y$25:Y31))*AA32*AB32/SUMPRODUCT($AB32:$AB$58,$AA32:$AA$58)),"")</s:f>
        <s:v>3</s:v>
      </s:c>
      <s:c r="Z32" s="289">
        <s:f>IF(AB32&lt;&gt;"",IF($L$12&lt;&gt;"",IF(G32&lt;&gt;"",G32,($L$9/$L$12-SUM($Z$25:Z31))*AA32*AB32/SUMPRODUCT($AB32:$AB$58,$AA32:$AA$58)),""),"")</s:f>
        <s:v>2</s:v>
      </s:c>
      <s:c r="AA32" s="106">
        <s:v>1</s:v>
      </s:c>
      <s:c r="AB32" s="106">
        <s:v>1</s:v>
      </s:c>
      <s:c r="AC32" s="107"/>
      <s:c r="AD32" s="108"/>
      <s:c r="AJ32" s="2"/>
      <s:c r="AK32" s="2"/>
      <s:c r="AL32" s="2"/>
    </s:row>
    <s:row r="33">
      <s:c r="A33" s="96">
        <s:v>9</s:v>
      </s:c>
      <s:c r="B33" s="97">
        <s:v>46097</s:v>
      </s:c>
      <s:c r="C33" s="98" t="s">
        <s:v>55</s:v>
      </s:c>
      <s:c r="D33" s="291">
        <s:v>83675</s:v>
      </s:c>
      <s:c r="E33" s="101">
        <s:v>13</s:v>
      </s:c>
      <s:c r="F33" s="287">
        <s:f>IF(AND(E33&lt;&gt;"",E33&lt;&gt;0),D33/E33,"")</s:f>
        <s:v>6436.5384615384601</s:v>
      </s:c>
      <s:c r="G33" s="101">
        <s:v>7</s:v>
      </s:c>
      <s:c r="H33" s="101">
        <s:f>IF(AND(G33&lt;&gt;"",G33&lt;&gt;0),D33/G33,"")</s:f>
        <s:v>11953.5714285714</s:v>
      </s:c>
      <s:c r="I33" s="287">
        <s:v>50</s:v>
      </s:c>
      <s:c r="J33" s="99">
        <s:f>IF(AND(G33&lt;&gt;"",G33&lt;&gt;0),E33/G33,"")</s:f>
        <s:v>1.8571428571428501</s:v>
      </s:c>
      <s:c r="K33" s="101">
        <s:v>17593</s:v>
      </s:c>
      <s:c r="L33" s="309"/>
      <s:c r="M33" s="101"/>
      <s:c r="N33" s="101"/>
      <s:c r="O33" s="310"/>
      <s:c r="P33" s="310">
        <s:v>7259</s:v>
      </s:c>
      <s:c r="Q33" s="310">
        <s:v>8240</s:v>
      </s:c>
      <s:c r="R33" s="101"/>
      <s:c r="S33" s="311">
        <s:f>IF(AND(I33&lt;&gt;"",I33&lt;&gt;0),G33/I33,"")</s:f>
        <s:v>0.14000000000000001</s:v>
      </s:c>
      <s:c r="T33" s="103">
        <s:f>D33/U33</s:f>
        <s:v>1.3882959367018799</s:v>
      </s:c>
      <s:c r="U33" s="290">
        <s:f>$L$8*AA33*AB33/SUMPRODUCT($AB$25:$AB$56,$AA$25:$AA$56)</s:f>
        <s:v>60271.731543624097</s:v>
      </s:c>
      <s:c r="V33" s="105">
        <s:f>$L$9*AA33*AB33/SUMPRODUCT($AB$25:$AB$58,$AA$25:$AA$58)</s:f>
        <s:v>8.7350335570469806</s:v>
      </s:c>
      <s:c r="W33" s="289">
        <s:f>IF($L$12="","",V33/$L$12)</s:f>
        <s:v>5.0201342281879198</s:v>
      </s:c>
      <s:c r="X33" s="104">
        <s:f>IF(AB33&lt;&gt;"",IF(D33&lt;&gt;"",D33,($L$8-SUM($X$25:X32))*AA33*AB33/SUMPRODUCT($AB33:$AB$58,$AA33:$AA$58)),"")</s:f>
        <s:v>83675</s:v>
      </s:c>
      <s:c r="Y33" s="289">
        <s:f>IF(AB33&lt;&gt;"",IF(E33&lt;&gt;"",E33,($L$9-SUM($Y$25:Y32))*AA33*AB33/SUMPRODUCT($AB33:$AB$58,$AA33:$AA$58)),"")</s:f>
        <s:v>13</s:v>
      </s:c>
      <s:c r="Z33" s="105">
        <s:f>IF(AB33&lt;&gt;"",IF($L$12&lt;&gt;"",IF(G33&lt;&gt;"",G33,($L$9/$L$12-SUM($Z$25:Z32))*AA33*AB33/SUMPRODUCT($AB33:$AB$58,$AA33:$AA$58)),""),"")</s:f>
        <s:v>7</s:v>
      </s:c>
      <s:c r="AA33" s="293">
        <s:v>1</s:v>
      </s:c>
      <s:c r="AB33" s="106">
        <s:v>1</s:v>
      </s:c>
      <s:c r="AC33" s="107"/>
      <s:c r="AD33" s="108"/>
      <s:c r="AE33" s="2"/>
      <s:c r="AF33" s="2"/>
      <s:c r="AG33" s="2"/>
      <s:c r="AH33" s="2"/>
      <s:c r="AI33" s="2"/>
      <s:c r="AJ33" s="2"/>
      <s:c r="AK33" s="2"/>
      <s:c r="AL33" s="2"/>
    </s:row>
    <s:row r="34" spans="1:260" s="312" customFormat="1">
      <s:c r="A34" s="96">
        <s:v>10</s:v>
      </s:c>
      <s:c r="B34" s="97">
        <s:v>46098</s:v>
      </s:c>
      <s:c r="C34" s="113" t="s">
        <s:v>56</s:v>
      </s:c>
      <s:c r="D34" s="99">
        <s:v>11392</s:v>
      </s:c>
      <s:c r="E34" s="313">
        <s:v>3</s:v>
      </s:c>
      <s:c r="F34" s="101">
        <s:f>IF(AND(E34&lt;&gt;"",E34&lt;&gt;0),D34/E34,"")</s:f>
        <s:v>3797.3333333333298</s:v>
      </s:c>
      <s:c r="G34" s="287">
        <s:v>2</s:v>
      </s:c>
      <s:c r="H34" s="101">
        <s:f>IF(AND(G34&lt;&gt;"",G34&lt;&gt;0),D34/G34,"")</s:f>
        <s:v>5696</s:v>
      </s:c>
      <s:c r="I34" s="101">
        <s:v>30</s:v>
      </s:c>
      <s:c r="J34" s="291">
        <s:f>IF(AND(G34&lt;&gt;"",G34&lt;&gt;0),E34/G34,"")</s:f>
        <s:v>1.5</s:v>
      </s:c>
      <s:c r="K34" s="101"/>
      <s:c r="L34" s="101"/>
      <s:c r="M34" s="101"/>
      <s:c r="N34" s="308"/>
      <s:c r="O34" s="308"/>
      <s:c r="P34" s="101"/>
      <s:c r="Q34" s="101"/>
      <s:c r="R34" s="101">
        <s:v>4190</s:v>
      </s:c>
      <s:c r="S34" s="102">
        <s:f>IF(AND(I34&lt;&gt;"",I34&lt;&gt;0),G34/I34,"")</s:f>
        <s:v>6.6666666666666596E-2</s:v>
      </s:c>
      <s:c r="T34" s="288">
        <s:f>D34/U34</s:f>
        <s:v>0.18901066400845901</s:v>
      </s:c>
      <s:c r="U34" s="104">
        <s:f>$L$8*AA34*AB34/SUMPRODUCT($AB$25:$AB$56,$AA$25:$AA$56)</s:f>
        <s:v>60271.731543624097</s:v>
      </s:c>
      <s:c r="V34" s="289">
        <s:f>$L$9*AA34*AB34/SUMPRODUCT($AB$25:$AB$58,$AA$25:$AA$58)</s:f>
        <s:v>8.7350335570469806</s:v>
      </s:c>
      <s:c r="W34" s="105">
        <s:f>IF($L$12="","",V34/$L$12)</s:f>
        <s:v>5.0201342281879198</s:v>
      </s:c>
      <s:c r="X34" s="104">
        <s:f>IF(AB34&lt;&gt;"",IF(D34&lt;&gt;"",D34,($L$8-SUM($X$25:X33))*AA34*AB34/SUMPRODUCT($AB34:$AB$58,$AA34:$AA$58)),"")</s:f>
        <s:v>11392</s:v>
      </s:c>
      <s:c r="Y34" s="105">
        <s:f>IF(AB34&lt;&gt;"",IF(E34&lt;&gt;"",E34,($L$9-SUM($Y$25:Y33))*AA34*AB34/SUMPRODUCT($AB34:$AB$58,$AA34:$AA$58)),"")</s:f>
        <s:v>3</s:v>
      </s:c>
      <s:c r="Z34" s="289">
        <s:f>IF(AB34&lt;&gt;"",IF($L$12&lt;&gt;"",IF(G34&lt;&gt;"",G34,($L$9/$L$12-SUM($Z$25:Z33))*AA34*AB34/SUMPRODUCT($AB34:$AB$58,$AA34:$AA$58)),""),"")</s:f>
        <s:v>2</s:v>
      </s:c>
      <s:c r="AA34" s="106">
        <s:v>1</s:v>
      </s:c>
      <s:c r="AB34" s="106">
        <s:v>1</s:v>
      </s:c>
      <s:c r="AC34" s="107"/>
      <s:c r="AD34" s="108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96">
        <s:v>11</s:v>
      </s:c>
      <s:c r="B35" s="97">
        <s:v>46102</s:v>
      </s:c>
      <s:c r="C35" s="98" t="s">
        <s:v>60</s:v>
      </s:c>
      <s:c r="D35" s="99">
        <s:v>44751</s:v>
      </s:c>
      <s:c r="E35" s="98">
        <s:v>10</s:v>
      </s:c>
      <s:c r="F35" s="101">
        <s:f>IF(AND(E35&lt;&gt;"",E35&lt;&gt;0),D35/E35,"")</s:f>
        <s:v>4475.1000000000004</s:v>
      </s:c>
      <s:c r="G35" s="101">
        <s:v>7</s:v>
      </s:c>
      <s:c r="H35" s="101">
        <s:f>IF(AND(G35&lt;&gt;"",G35&lt;&gt;0),D35/G35,"")</s:f>
        <s:v>6393</s:v>
      </s:c>
      <s:c r="I35" s="101">
        <s:v>35</s:v>
      </s:c>
      <s:c r="J35" s="99">
        <s:f>IF(AND(G35&lt;&gt;"",G35&lt;&gt;0),E35/G35,"")</s:f>
        <s:v>1.4285714285714199</s:v>
      </s:c>
      <s:c r="K35" s="101"/>
      <s:c r="L35" s="101"/>
      <s:c r="M35" s="101"/>
      <s:c r="N35" s="101"/>
      <s:c r="O35" s="310"/>
      <s:c r="P35" s="310"/>
      <s:c r="Q35" s="310"/>
      <s:c r="R35" s="101">
        <s:v>13269</s:v>
      </s:c>
      <s:c r="S35" s="314">
        <s:f>IF(AND(I35&lt;&gt;"",I35&lt;&gt;0),G35/I35,"")</s:f>
        <s:v>0.2</s:v>
      </s:c>
      <s:c r="T35" s="103">
        <s:f>D35/U35</s:f>
        <s:v>0.74248737930499897</s:v>
      </s:c>
      <s:c r="U35" s="290">
        <s:f>$L$8*AA35*AB35/SUMPRODUCT($AB$25:$AB$56,$AA$25:$AA$56)</s:f>
        <s:v>60271.731543624097</s:v>
      </s:c>
      <s:c r="V35" s="105">
        <s:f>$L$9*AA35*AB35/SUMPRODUCT($AB$25:$AB$58,$AA$25:$AA$58)</s:f>
        <s:v>8.7350335570469806</s:v>
      </s:c>
      <s:c r="W35" s="105">
        <s:f>IF($L$12="","",V35/$L$12)</s:f>
        <s:v>5.0201342281879198</s:v>
      </s:c>
      <s:c r="X35" s="104">
        <s:f>IF(AB35&lt;&gt;"",IF(D35&lt;&gt;"",D35,($L$8-SUM($X$25:X34))*AA35*AB35/SUMPRODUCT($AB35:$AB$58,$AA35:$AA$58)),"")</s:f>
        <s:v>44751</s:v>
      </s:c>
      <s:c r="Y35" s="105">
        <s:f>IF(AB35&lt;&gt;"",IF(E34&lt;&gt;"",E34,($L$9-SUM($Y$25:Y34))*AA35*AB35/SUMPRODUCT($AB35:$AB$58,$AA35:$AA$58)),"")</s:f>
        <s:v>3</s:v>
      </s:c>
      <s:c r="Z35" s="105">
        <s:f>IF(AB35&lt;&gt;"",IF($L$12&lt;&gt;"",IF(G35&lt;&gt;"",G35,($L$9/$L$12-SUM($Z$25:Z34))*AA35*AB35/SUMPRODUCT($AB35:$AB$58,$AA35:$AA$58)),""),"")</s:f>
        <s:v>7</s:v>
      </s:c>
      <s:c r="AA35" s="106">
        <s:v>1</s:v>
      </s:c>
      <s:c r="AB35" s="106">
        <s:v>1</s:v>
      </s:c>
      <s:c r="AC35" s="107"/>
      <s:c r="AD35" s="108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96">
        <s:v>11</s:v>
      </s:c>
      <s:c r="B36" s="97">
        <s:v>46103</s:v>
      </s:c>
      <s:c r="C36" s="113" t="s">
        <s:v>53</s:v>
      </s:c>
      <s:c r="D36" s="99">
        <s:v>0</s:v>
      </s:c>
      <s:c r="E36" s="98">
        <s:v>0</s:v>
      </s:c>
      <s:c r="F36" s="101">
        <s:v>0</s:v>
      </s:c>
      <s:c r="G36" s="101">
        <s:v>0</s:v>
      </s:c>
      <s:c r="H36" s="101">
        <s:v>0</s:v>
      </s:c>
      <s:c r="I36" s="287">
        <s:v>27</s:v>
      </s:c>
      <s:c r="J36" s="99" t="str">
        <s:f>IF(AND(G36&lt;&gt;"",G36&lt;&gt;0),E36/G36,"")</s:f>
        <s:v/>
      </s:c>
      <s:c r="K36" s="101"/>
      <s:c r="L36" s="309"/>
      <s:c r="M36" s="101"/>
      <s:c r="N36" s="101"/>
      <s:c r="O36" s="101"/>
      <s:c r="P36" s="101"/>
      <s:c r="Q36" s="101"/>
      <s:c r="R36" s="101"/>
      <s:c r="S36" s="102">
        <s:f>IF(AND(I36&lt;&gt;"",I36&lt;&gt;0),G36/I36,"")</s:f>
        <s:v>0</s:v>
      </s:c>
      <s:c r="T36" s="288">
        <s:f>D36/U36</s:f>
        <s:v>0</s:v>
      </s:c>
      <s:c r="U36" s="315">
        <s:f>$L$8*AA36*AB36/SUMPRODUCT($AB$25:$AB$56,$AA$25:$AA$56)</s:f>
        <s:v>60271.731543624097</s:v>
      </s:c>
      <s:c r="V36" s="105">
        <s:f>$L$9*AA36*AB36/SUMPRODUCT($AB$25:$AB$58,$AA$25:$AA$58)</s:f>
        <s:v>8.7350335570469806</s:v>
      </s:c>
      <s:c r="W36" s="105">
        <s:f>IF($L$12="","",V36/$L$12)</s:f>
        <s:v>5.0201342281879198</s:v>
      </s:c>
      <s:c r="X36" s="104">
        <s:f>IF(AB36&lt;&gt;"",IF(D36&lt;&gt;"",D36,($L$8-SUM($X$25:X35))*AA36*AB36/SUMPRODUCT($AB36:$AB$58,$AA36:$AA$58)),"")</s:f>
        <s:v>0</s:v>
      </s:c>
      <s:c r="Y36" s="105">
        <s:f>IF(AB36&lt;&gt;"",IF(E35&lt;&gt;"",E35,($L$9-SUM($Y$25:Y35))*AA36*AB36/SUMPRODUCT($AB36:$AB$58,$AA36:$AA$58)),"")</s:f>
        <s:v>10</s:v>
      </s:c>
      <s:c r="Z36" s="105">
        <s:f>IF(AB36&lt;&gt;"",IF($L$12&lt;&gt;"",IF(G36&lt;&gt;"",G36,($L$9/$L$12-SUM($Z$25:Z35))*AA36*AB36/SUMPRODUCT($AB36:$AB$58,$AA36:$AA$58)),""),"")</s:f>
        <s:v>0</s:v>
      </s:c>
      <s:c r="AA36" s="106">
        <s:v>1</s:v>
      </s:c>
      <s:c r="AB36" s="106">
        <s:v>1</s:v>
      </s:c>
      <s:c r="AC36" s="107"/>
      <s:c r="AD36" s="108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96">
        <s:v>13</s:v>
      </s:c>
      <s:c r="B37" s="97">
        <s:v>46104</s:v>
      </s:c>
      <s:c r="C37" s="98" t="s">
        <s:v>55</s:v>
      </s:c>
      <s:c r="D37" s="99">
        <s:v>83292</s:v>
      </s:c>
      <s:c r="E37" s="101">
        <s:v>13</s:v>
      </s:c>
      <s:c r="F37" s="101">
        <s:f>IF(AND(E37&lt;&gt;"",E37&lt;&gt;0),D37/E37,"")</s:f>
        <s:v>6407.0769230769201</s:v>
      </s:c>
      <s:c r="G37" s="101">
        <s:v>5</s:v>
      </s:c>
      <s:c r="H37" s="101">
        <s:f>IF(AND(G37&lt;&gt;"",G37&lt;&gt;0),D37/G37,"")</s:f>
        <s:v>16658.400000000001</s:v>
      </s:c>
      <s:c r="I37" s="101">
        <s:v>50</s:v>
      </s:c>
      <s:c r="J37" s="291">
        <s:f>IF(AND(G37&lt;&gt;"",G37&lt;&gt;0),E37/G37,"")</s:f>
        <s:v>2.6</s:v>
      </s:c>
      <s:c r="K37" s="101"/>
      <s:c r="L37" s="101"/>
      <s:c r="M37" s="101"/>
      <s:c r="N37" s="308"/>
      <s:c r="O37" s="308"/>
      <s:c r="P37" s="101"/>
      <s:c r="Q37" s="101">
        <s:v>17583</s:v>
      </s:c>
      <s:c r="R37" s="101"/>
      <s:c r="S37" s="102">
        <s:f>IF(AND(I37&lt;&gt;"",I37&lt;&gt;0),G37/I37,"")</s:f>
        <s:v>0.1</s:v>
      </s:c>
      <s:c r="T37" s="103">
        <s:f>D37/U37</s:f>
        <s:v>1.3819413822500499</s:v>
      </s:c>
      <s:c r="U37" s="290">
        <s:f>$L$8*AA37*AB37/SUMPRODUCT($AB$25:$AB$56,$AA$25:$AA$56)</s:f>
        <s:v>60271.731543624097</s:v>
      </s:c>
      <s:c r="V37" s="105">
        <s:f>$L$9*AA37*AB37/SUMPRODUCT($AB$25:$AB$58,$AA$25:$AA$58)</s:f>
        <s:v>8.7350335570469806</s:v>
      </s:c>
      <s:c r="W37" s="105">
        <s:f>IF($L$12="","",V37/$L$12)</s:f>
        <s:v>5.0201342281879198</s:v>
      </s:c>
      <s:c r="X37" s="104">
        <s:f>IF(AB37&lt;&gt;"",IF(D37&lt;&gt;"",D37,($L$8-SUM($X$25:X36))*AA37*AB37/SUMPRODUCT($AB37:$AB$58,$AA37:$AA$58)),"")</s:f>
        <s:v>83292</s:v>
      </s:c>
      <s:c r="Y37" s="105">
        <s:f>IF(AB37&lt;&gt;"",IF(E37&lt;&gt;"",E37,($L$9-SUM($Y$25:Y36))*AA37*AB37/SUMPRODUCT($AB37:$AB$58,$AA37:$AA$58)),"")</s:f>
        <s:v>13</s:v>
      </s:c>
      <s:c r="Z37" s="105">
        <s:f>IF(AB37&lt;&gt;"",IF($L$12&lt;&gt;"",IF(G37&lt;&gt;"",G37,($L$9/$L$12-SUM($Z$25:Z36))*AA37*AB37/SUMPRODUCT($AB37:$AB$58,$AA37:$AA$58)),""),"")</s:f>
        <s:v>5</s:v>
      </s:c>
      <s:c r="AA37" s="106">
        <s:v>1</s:v>
      </s:c>
      <s:c r="AB37" s="106">
        <s:v>1</s:v>
      </s:c>
      <s:c r="AC37" s="107"/>
      <s:c r="AD37" s="108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96">
        <s:v>14</s:v>
      </s:c>
      <s:c r="B38" s="97">
        <s:v>46105</s:v>
      </s:c>
      <s:c r="C38" s="113" t="s">
        <s:v>56</s:v>
      </s:c>
      <s:c r="D38" s="99">
        <s:v>24862</s:v>
      </s:c>
      <s:c r="E38" s="101">
        <s:v>5</s:v>
      </s:c>
      <s:c r="F38" s="101">
        <s:f>IF(AND(E38&lt;&gt;"",E38&lt;&gt;0),D38/E38,"")</s:f>
        <s:v>4972.3999999999996</s:v>
      </s:c>
      <s:c r="G38" s="101">
        <s:v>3</s:v>
      </s:c>
      <s:c r="H38" s="101">
        <s:f>IF(AND(G38&lt;&gt;"",G38&lt;&gt;0),D38/G38,"")</s:f>
        <s:v>8287.3333333333303</s:v>
      </s:c>
      <s:c r="I38" s="101">
        <s:v>45</s:v>
      </s:c>
      <s:c r="J38" s="99">
        <s:f>IF(AND(G38&lt;&gt;"",G38&lt;&gt;0),E38/G38,"")</s:f>
        <s:v>1.6666666666666601</s:v>
      </s:c>
      <s:c r="K38" s="287"/>
      <s:c r="L38" s="101"/>
      <s:c r="M38" s="101"/>
      <s:c r="N38" s="101"/>
      <s:c r="O38" s="310"/>
      <s:c r="P38" s="310"/>
      <s:c r="Q38" s="310"/>
      <s:c r="R38" s="101">
        <s:v>2790</s:v>
      </s:c>
      <s:c r="S38" s="503">
        <s:f>IF(AND(I38&lt;&gt;"",I38&lt;&gt;0),G38/I38,"")</s:f>
        <s:v>6.6666666666666596E-2</s:v>
      </s:c>
      <s:c r="T38" s="103">
        <s:f>D38/U38</s:f>
        <s:v>0.41249851901143803</s:v>
      </s:c>
      <s:c r="U38" s="104">
        <s:f>$L$8*AA38*AB38/SUMPRODUCT($AB$25:$AB$56,$AA$25:$AA$56)</s:f>
        <s:v>60271.731543624097</s:v>
      </s:c>
      <s:c r="V38" s="289">
        <s:f>$L$9*AA38*AB38/SUMPRODUCT($AB$25:$AB$58,$AA$25:$AA$58)</s:f>
        <s:v>8.7350335570469806</s:v>
      </s:c>
      <s:c r="W38" s="105">
        <s:f>IF($L$12="","",V38/$L$12)</s:f>
        <s:v>5.0201342281879198</s:v>
      </s:c>
      <s:c r="X38" s="104">
        <s:f>IF(AB38&lt;&gt;"",IF(D38&lt;&gt;"",D38,($L$8-SUM($X$25:X37))*AA38*AB38/SUMPRODUCT($AB38:$AB$58,$AA38:$AA$58)),"")</s:f>
        <s:v>24862</s:v>
      </s:c>
      <s:c r="Y38" s="105">
        <s:f>IF(AB38&lt;&gt;"",IF(E38&lt;&gt;"",E38,($L$9-SUM($Y$25:Y37))*AA38*AB38/SUMPRODUCT($AB38:$AB$58,$AA38:$AA$58)),"")</s:f>
        <s:v>5</s:v>
      </s:c>
      <s:c r="Z38" s="289">
        <s:f>IF(AB38&lt;&gt;"",IF($L$12&lt;&gt;"",IF(G38&lt;&gt;"",G38,($L$9/$L$12-SUM($Z$25:Z37))*AA38*AB38/SUMPRODUCT($AB38:$AB$58,$AA38:$AA$58)),""),"")</s:f>
        <s:v>3</s:v>
      </s:c>
      <s:c r="AA38" s="106">
        <s:v>1</s:v>
      </s:c>
      <s:c r="AB38" s="106">
        <s:v>1</s:v>
      </s:c>
      <s:c r="AC38" s="107"/>
      <s:c r="AD38" s="108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96">
        <s:v>15</s:v>
      </s:c>
      <s:c r="B39" s="97">
        <s:v>46108</s:v>
      </s:c>
      <s:c r="C39" s="98" t="s">
        <s:v>59</s:v>
      </s:c>
      <s:c r="D39" s="99">
        <s:v>25776</s:v>
      </s:c>
      <s:c r="E39" s="287">
        <s:v>3</s:v>
      </s:c>
      <s:c r="F39" s="101">
        <s:f>IF(AND(E39&lt;&gt;"",E39&lt;&gt;0),D39/E39,"")</s:f>
        <s:v>8592</s:v>
      </s:c>
      <s:c r="G39" s="287">
        <s:v>1</s:v>
      </s:c>
      <s:c r="H39" s="101">
        <s:f>IF(AND(G39&lt;&gt;"",G39&lt;&gt;0),D39/G39,"")</s:f>
        <s:v>25776</s:v>
      </s:c>
      <s:c r="I39" s="287">
        <s:v>60</s:v>
      </s:c>
      <s:c r="J39" s="99">
        <s:f>IF(AND(G39&lt;&gt;"",G39&lt;&gt;0),E39/G39,"")</s:f>
        <s:v>3</s:v>
      </s:c>
      <s:c r="K39" s="101"/>
      <s:c r="L39" s="309"/>
      <s:c r="M39" s="101"/>
      <s:c r="N39" s="101"/>
      <s:c r="O39" s="101">
        <s:v>21180</s:v>
      </s:c>
      <s:c r="P39" s="101"/>
      <s:c r="Q39" s="101"/>
      <s:c r="R39" s="101"/>
      <s:c r="S39" s="102">
        <s:f>IF(AND(I39&lt;&gt;"",I39&lt;&gt;0),G39/I39,"")</s:f>
        <s:v>1.6666666666666601E-2</s:v>
      </s:c>
      <s:c r="T39" s="288" t="e">
        <s:f>D39/U39</s:f>
        <s:v>#DIV/0!</s:v>
      </s:c>
      <s:c r="U39" s="104">
        <s:f>$L$8*AA39*AB39/SUMPRODUCT($AB$25:$AB$56,$AA$25:$AA$56)</s:f>
        <s:v>0</s:v>
      </s:c>
      <s:c r="V39" s="105">
        <s:f>$L$9*AA39*AB39/SUMPRODUCT($AB$25:$AB$58,$AA$25:$AA$58)</s:f>
        <s:v>0</s:v>
      </s:c>
      <s:c r="W39" s="289">
        <s:f>IF($L$12="","",V39/$L$12)</s:f>
        <s:v>0</s:v>
      </s:c>
      <s:c r="X39" s="104" t="str">
        <s:f>IF(AB39&lt;&gt;"",IF(D39&lt;&gt;"",D39,($L$8-SUM($X$25:X38))*AA39*AB39/SUMPRODUCT($AB39:$AB$58,$AA39:$AA$58)),"")</s:f>
        <s:v/>
      </s:c>
      <s:c r="Y39" s="289" t="str">
        <s:f>IF(AB39&lt;&gt;"",IF(E39&lt;&gt;"",E39,($L$9-SUM($Y$25:Y38))*AA39*AB39/SUMPRODUCT($AB39:$AB$58,$AA39:$AA$58)),"")</s:f>
        <s:v/>
      </s:c>
      <s:c r="Z39" s="105" t="str">
        <s:f>IF(AB39&lt;&gt;"",IF($L$12&lt;&gt;"",IF(G39&lt;&gt;"",G39,($L$9/$L$12-SUM($Z$25:Z38))*AA39*AB39/SUMPRODUCT($AB39:$AB$58,$AA39:$AA$58)),""),"")</s:f>
        <s:v/>
      </s:c>
      <s:c r="AA39" s="106"/>
      <s:c r="AB39" s="106"/>
      <s:c r="AC39" s="107"/>
      <s:c r="AD39" s="108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96">
        <s:v>16</s:v>
      </s:c>
      <s:c r="B40" s="97">
        <s:v>46109</s:v>
      </s:c>
      <s:c r="C40" s="113" t="s">
        <s:v>60</s:v>
      </s:c>
      <s:c r="D40" s="99">
        <s:v>60520</s:v>
      </s:c>
      <s:c r="E40" s="101">
        <s:v>10</s:v>
      </s:c>
      <s:c r="F40" s="287">
        <s:f>IF(AND(E40&lt;&gt;"",E40&lt;&gt;0),D40/E40,"")</s:f>
        <s:v>6052</s:v>
      </s:c>
      <s:c r="G40" s="101">
        <s:v>5</s:v>
      </s:c>
      <s:c r="H40" s="287">
        <s:f>IF(AND(G40&lt;&gt;"",G40&lt;&gt;0),D40/G40,"")</s:f>
        <s:v>12104</s:v>
      </s:c>
      <s:c r="I40" s="101">
        <s:v>65</s:v>
      </s:c>
      <s:c r="J40" s="291">
        <s:f>IF(AND(G40&lt;&gt;"",G40&lt;&gt;0),E40/G40,"")</s:f>
        <s:v>2</s:v>
      </s:c>
      <s:c r="K40" s="101"/>
      <s:c r="L40" s="101"/>
      <s:c r="M40" s="101"/>
      <s:c r="N40" s="308"/>
      <s:c r="O40" s="308"/>
      <s:c r="P40" s="101"/>
      <s:c r="Q40" s="101"/>
      <s:c r="R40" s="101"/>
      <s:c r="S40" s="102">
        <s:f>IF(AND(I40&lt;&gt;"",I40&lt;&gt;0),G40/I40,"")</s:f>
        <s:v>7.69230769230769E-2</s:v>
      </s:c>
      <s:c r="T40" s="103" t="e">
        <s:f>D40/U40</s:f>
        <s:v>#DIV/0!</s:v>
      </s:c>
      <s:c r="U40" s="290">
        <s:f>$L$8*AA40*AB40/SUMPRODUCT($AB$25:$AB$56,$AA$25:$AA$56)</s:f>
        <s:v>0</s:v>
      </s:c>
      <s:c r="V40" s="105">
        <s:f>$L$9*AA40*AB40/SUMPRODUCT($AB$25:$AB$58,$AA$25:$AA$58)</s:f>
        <s:v>0</s:v>
      </s:c>
      <s:c r="W40" s="105">
        <s:f>IF($L$12="","",V40/$L$12)</s:f>
        <s:v>0</s:v>
      </s:c>
      <s:c r="X40" s="104" t="str">
        <s:f>IF(AB40&lt;&gt;"",IF(D40&lt;&gt;"",D40,($L$8-SUM($X$25:X39))*AA40*AB40/SUMPRODUCT($AB40:$AB$58,$AA40:$AA$58)),"")</s:f>
        <s:v/>
      </s:c>
      <s:c r="Y40" s="105" t="str">
        <s:f>IF(AB40&lt;&gt;"",IF(E40&lt;&gt;"",E40,($L$9-SUM($Y$25:Y39))*AA40*AB40/SUMPRODUCT($AB40:$AB$58,$AA40:$AA$58)),"")</s:f>
        <s:v/>
      </s:c>
      <s:c r="Z40" s="105" t="str">
        <s:f>IF(AB40&lt;&gt;"",IF($L$12&lt;&gt;"",IF(G40&lt;&gt;"",G40,($L$9/$L$12-SUM($Z$25:Z39))*AA40*AB40/SUMPRODUCT($AB40:$AB$58,$AA40:$AA$58)),""),"")</s:f>
        <s:v/>
      </s:c>
      <s:c r="AA40" s="106"/>
      <s:c r="AB40" s="106"/>
      <s:c r="AC40" s="107"/>
      <s:c r="AD40" s="108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96">
        <s:v>17</s:v>
      </s:c>
      <s:c r="B41" s="97">
        <s:v>46110</s:v>
      </s:c>
      <s:c r="C41" s="98" t="s">
        <s:v>53</s:v>
      </s:c>
      <s:c r="D41" s="291">
        <s:v>48038</s:v>
      </s:c>
      <s:c r="E41" s="101">
        <s:v>8</s:v>
      </s:c>
      <s:c r="F41" s="101">
        <s:f>IF(AND(E41&lt;&gt;"",E41&lt;&gt;0),D41/E41,"")</s:f>
        <s:v>6004.75</s:v>
      </s:c>
      <s:c r="G41" s="287">
        <s:v>4</s:v>
      </s:c>
      <s:c r="H41" s="101">
        <s:f>IF(AND(G41&lt;&gt;"",G41&lt;&gt;0),D41/G41,"")</s:f>
        <s:v>12009.5</s:v>
      </s:c>
      <s:c r="I41" s="287">
        <s:v>75</s:v>
      </s:c>
      <s:c r="J41" s="99">
        <s:f>IF(AND(G41&lt;&gt;"",G41&lt;&gt;0),E41/G41,"")</s:f>
        <s:v>2</s:v>
      </s:c>
      <s:c r="K41" s="287"/>
      <s:c r="L41" s="101"/>
      <s:c r="M41" s="101"/>
      <s:c r="N41" s="101"/>
      <s:c r="O41" s="310"/>
      <s:c r="P41" s="310"/>
      <s:c r="Q41" s="310"/>
      <s:c r="R41" s="101">
        <s:v>3192</s:v>
      </s:c>
      <s:c r="S41" s="292">
        <s:f>IF(AND(I41&lt;&gt;"",I41&lt;&gt;0),G41/I41,"")</s:f>
        <s:v>5.3333333333333302E-2</s:v>
      </s:c>
      <s:c r="T41" s="103" t="e">
        <s:f>D41/U41</s:f>
        <s:v>#DIV/0!</s:v>
      </s:c>
      <s:c r="U41" s="104">
        <s:f>$L$8*AA41*AB41/SUMPRODUCT($AB$25:$AB$56,$AA$25:$AA$56)</s:f>
        <s:v>0</s:v>
      </s:c>
      <s:c r="V41" s="105">
        <s:f>$L$9*AA41*AB41/SUMPRODUCT($AB$25:$AB$58,$AA$25:$AA$58)</s:f>
        <s:v>0</s:v>
      </s:c>
      <s:c r="W41" s="105">
        <s:f>IF($L$12="","",V41/$L$12)</s:f>
        <s:v>0</s:v>
      </s:c>
      <s:c r="X41" s="104" t="str">
        <s:f>IF(AB41&lt;&gt;"",IF(D41&lt;&gt;"",D41,($L$8-SUM($X$25:X40))*AA41*AB41/SUMPRODUCT($AB41:$AB$58,$AA41:$AA$58)),"")</s:f>
        <s:v/>
      </s:c>
      <s:c r="Y41" s="105" t="str">
        <s:f>IF(AB41&lt;&gt;"",IF(E41&lt;&gt;"",E41,($L$9-SUM($Y$25:Y40))*AA41*AB41/SUMPRODUCT($AB41:$AB$58,$AA41:$AA$58)),"")</s:f>
        <s:v/>
      </s:c>
      <s:c r="Z41" s="105" t="str">
        <s:f>IF(AB41&lt;&gt;"",IF($L$12&lt;&gt;"",IF(G41&lt;&gt;"",G41,($L$9/$L$12-SUM($Z$25:Z40))*AA41*AB41/SUMPRODUCT($AB41:$AB$58,$AA41:$AA$58)),""),"")</s:f>
        <s:v/>
      </s:c>
      <s:c r="AA41" s="106"/>
      <s:c r="AB41" s="106"/>
      <s:c r="AC41" s="107"/>
      <s:c r="AD41" s="108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96">
        <s:v>18</s:v>
      </s:c>
      <s:c r="B42" s="97"/>
      <s:c r="C42" s="98"/>
      <s:c r="D42" s="99"/>
      <s:c r="E42" s="101"/>
      <s:c r="F42" s="101" t="str">
        <s:f>IF(AND(E42&lt;&gt;"",E42&lt;&gt;0),D42/E42,"")</s:f>
        <s:v/>
      </s:c>
      <s:c r="G42" s="101"/>
      <s:c r="H42" s="101" t="str">
        <s:f>IF(AND(G42&lt;&gt;"",G42&lt;&gt;0),D42/G42,"")</s:f>
        <s:v/>
      </s:c>
      <s:c r="I42" s="101"/>
      <s:c r="J42" s="99" t="str">
        <s:f>IF(AND(G42&lt;&gt;"",G42&lt;&gt;0),E42/G42,"")</s:f>
        <s:v/>
      </s:c>
      <s:c r="K42" s="101"/>
      <s:c r="L42" s="101"/>
      <s:c r="M42" s="101"/>
      <s:c r="N42" s="101"/>
      <s:c r="O42" s="101"/>
      <s:c r="P42" s="101"/>
      <s:c r="Q42" s="101"/>
      <s:c r="R42" s="101"/>
      <s:c r="S42" s="102" t="str">
        <s:f>IF(AND(I42&lt;&gt;"",I42&lt;&gt;0),G42/I42,"")</s:f>
        <s:v/>
      </s:c>
      <s:c r="T42" s="288" t="e">
        <s:f>D42/U42</s:f>
        <s:v>#DIV/0!</s:v>
      </s:c>
      <s:c r="U42" s="104">
        <s:f>$L$8*AA42*AB42/SUMPRODUCT($AB$25:$AB$56,$AA$25:$AA$56)</s:f>
        <s:v>0</s:v>
      </s:c>
      <s:c r="V42" s="105">
        <s:f>$L$9*AA42*AB42/SUMPRODUCT($AB$25:$AB$58,$AA$25:$AA$58)</s:f>
        <s:v>0</s:v>
      </s:c>
      <s:c r="W42" s="105">
        <s:f>IF($L$12="","",V42/$L$12)</s:f>
        <s:v>0</s:v>
      </s:c>
      <s:c r="X42" s="104" t="str">
        <s:f>IF(AB42&lt;&gt;"",IF(D42&lt;&gt;"",D42,($L$8-SUM($X$25:X41))*AA42*AB42/SUMPRODUCT($AB42:$AB$58,$AA42:$AA$58)),"")</s:f>
        <s:v/>
      </s:c>
      <s:c r="Y42" s="105" t="str">
        <s:f>IF(AB42&lt;&gt;"",IF(E42&lt;&gt;"",E42,($L$9-SUM($Y$25:Y41))*AA42*AB42/SUMPRODUCT($AB42:$AB$58,$AA42:$AA$58)),"")</s:f>
        <s:v/>
      </s:c>
      <s:c r="Z42" s="105" t="str">
        <s:f>IF(AB42&lt;&gt;"",IF($L$12&lt;&gt;"",IF(G42&lt;&gt;"",G42,($L$9/$L$12-SUM($Z$25:Z41))*AA42*AB42/SUMPRODUCT($AB42:$AB$58,$AA42:$AA$58)),""),"")</s:f>
        <s:v/>
      </s:c>
      <s:c r="AA42" s="106"/>
      <s:c r="AB42" s="106"/>
      <s:c r="AC42" s="107"/>
      <s:c r="AD42" s="108"/>
      <s:c r="AE42" s="109"/>
      <s:c r="AF42" s="2"/>
      <s:c r="AG42" s="2"/>
      <s:c r="AH42" s="2"/>
      <s:c r="AI42" s="2"/>
      <s:c r="AJ42" s="2"/>
      <s:c r="AK42" s="2"/>
      <s:c r="AL42" s="2"/>
    </s:row>
    <s:row r="43">
      <s:c r="A43" s="96">
        <s:v>18</s:v>
      </s:c>
      <s:c r="B43" s="97"/>
      <s:c r="C43" s="504"/>
      <s:c r="D43" s="505"/>
      <s:c r="E43" s="287"/>
      <s:c r="F43" s="307" t="str">
        <s:f>IF(AND(E43&lt;&gt;"",E43&lt;&gt;0),D43/E43,"")</s:f>
        <s:v/>
      </s:c>
      <s:c r="G43" s="307"/>
      <s:c r="H43" s="287" t="str">
        <s:f>IF(AND(G43&lt;&gt;"",G43&lt;&gt;0),D43/G43,"")</s:f>
        <s:v/>
      </s:c>
      <s:c r="I43" s="307"/>
      <s:c r="J43" s="291" t="str">
        <s:f>IF(AND(G43&lt;&gt;"",G43&lt;&gt;0),E43/G43,"")</s:f>
        <s:v/>
      </s:c>
      <s:c r="K43" s="307"/>
      <s:c r="L43" s="309"/>
      <s:c r="M43" s="506"/>
      <s:c r="N43" s="307"/>
      <s:c r="O43" s="307"/>
      <s:c r="P43" s="307"/>
      <s:c r="Q43" s="307"/>
      <s:c r="R43" s="307"/>
      <s:c r="S43" s="102" t="str">
        <s:f>IF(AND(I43&lt;&gt;"",I43&lt;&gt;0),G43/I43,"")</s:f>
        <s:v/>
      </s:c>
      <s:c r="T43" s="288" t="e">
        <s:f>D43/U43</s:f>
        <s:v>#DIV/0!</s:v>
      </s:c>
      <s:c r="U43" s="104">
        <s:f>$L$8*AA43*AB43/SUMPRODUCT($AB$25:$AB$56,$AA$25:$AA$56)</s:f>
        <s:v>0</s:v>
      </s:c>
      <s:c r="V43" s="105">
        <s:f>$L$9*AA43*AB43/SUMPRODUCT($AB$25:$AB$58,$AA$25:$AA$58)</s:f>
        <s:v>0</s:v>
      </s:c>
      <s:c r="W43" s="105">
        <s:f>IF($L$12="","",V43/$L$12)</s:f>
        <s:v>0</s:v>
      </s:c>
      <s:c r="X43" s="104" t="str">
        <s:f>IF(AB43&lt;&gt;"",IF(D43&lt;&gt;"",D43,($L$8-SUM($X$25:X42))*AA43*AB43/SUMPRODUCT($AB43:$AB$58,$AA43:$AA$58)),"")</s:f>
        <s:v/>
      </s:c>
      <s:c r="Y43" s="105" t="str">
        <s:f>IF(AB43&lt;&gt;"",IF(E43&lt;&gt;"",E43,($L$9-SUM($Y$25:Y42))*AA43*AB43/SUMPRODUCT($AB43:$AB$58,$AA43:$AA$58)),"")</s:f>
        <s:v/>
      </s:c>
      <s:c r="Z43" s="105" t="str">
        <s:f>IF(AB43&lt;&gt;"",IF($L$12&lt;&gt;"",IF(G43&lt;&gt;"",G43,($L$9/$L$12-SUM($Z$25:Z42))*AA43*AB43/SUMPRODUCT($AB43:$AB$58,$AA43:$AA$58)),""),"")</s:f>
        <s:v/>
      </s:c>
      <s:c r="AA43" s="106"/>
      <s:c r="AB43" s="106"/>
      <s:c r="AC43" s="107"/>
      <s:c r="AD43" s="108"/>
      <s:c r="AE43" s="109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96">
        <s:v>19</s:v>
      </s:c>
      <s:c r="B44" s="97"/>
      <s:c r="C44" s="98"/>
      <s:c r="D44" s="99"/>
      <s:c r="E44" s="101"/>
      <s:c r="F44" s="101" t="str">
        <s:f>IF(AND(E44&lt;&gt;"",E44&lt;&gt;0),D44/E44,"")</s:f>
        <s:v/>
      </s:c>
      <s:c r="G44" s="101"/>
      <s:c r="H44" s="101" t="str">
        <s:f>IF(AND(G44&lt;&gt;"",G44&lt;&gt;0),D44/G44,"")</s:f>
        <s:v/>
      </s:c>
      <s:c r="I44" s="101"/>
      <s:c r="J44" s="99" t="str">
        <s:f>IF(AND(G44&lt;&gt;"",G44&lt;&gt;0),E44/G44,"")</s:f>
        <s:v/>
      </s:c>
      <s:c r="K44" s="101"/>
      <s:c r="L44" s="101"/>
      <s:c r="M44" s="101"/>
      <s:c r="N44" s="101"/>
      <s:c r="O44" s="101"/>
      <s:c r="P44" s="101"/>
      <s:c r="Q44" s="101"/>
      <s:c r="R44" s="101"/>
      <s:c r="S44" s="102" t="str">
        <s:f>IF(AND(I44&lt;&gt;"",I44&lt;&gt;0),G44/I44,"")</s:f>
        <s:v/>
      </s:c>
      <s:c r="T44" s="103" t="e">
        <s:f>D44/U44</s:f>
        <s:v>#DIV/0!</s:v>
      </s:c>
      <s:c r="U44" s="290">
        <s:f>$L$8*AA44*AB44/SUMPRODUCT($AB$25:$AB$56,$AA$25:$AA$56)</s:f>
        <s:v>0</s:v>
      </s:c>
      <s:c r="V44" s="105">
        <s:f>$L$9*AA44*AB44/SUMPRODUCT($AB$25:$AB$58,$AA$25:$AA$58)</s:f>
        <s:v>0</s:v>
      </s:c>
      <s:c r="W44" s="105">
        <s:f>IF($L$12="","",V44/$L$12)</s:f>
        <s:v>0</s:v>
      </s:c>
      <s:c r="X44" s="104" t="str">
        <s:f>IF(AB44&lt;&gt;"",IF(D44&lt;&gt;"",D44,($L$8-SUM($X$25:X43))*AA44*AB44/SUMPRODUCT($AB44:$AB$58,$AA44:$AA$58)),"")</s:f>
        <s:v/>
      </s:c>
      <s:c r="Y44" s="105" t="str">
        <s:f>IF(AB44&lt;&gt;"",IF(E44&lt;&gt;"",E44,($L$9-SUM($Y$25:Y43))*AA44*AB44/SUMPRODUCT($AB44:$AB$58,$AA44:$AA$58)),"")</s:f>
        <s:v/>
      </s:c>
      <s:c r="Z44" s="105" t="str">
        <s:f>IF(AB44&lt;&gt;"",IF($L$12&lt;&gt;"",IF(G44&lt;&gt;"",G44,($L$9/$L$12-SUM($Z$25:Z43))*AA44*AB44/SUMPRODUCT($AB44:$AB$58,$AA44:$AA$58)),""),"")</s:f>
        <s:v/>
      </s:c>
      <s:c r="AA44" s="106"/>
      <s:c r="AB44" s="106"/>
      <s:c r="AC44" s="107"/>
      <s:c r="AD44" s="108"/>
      <s:c r="AE44" s="109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96">
        <s:v>20</s:v>
      </s:c>
      <s:c r="B45" s="97"/>
      <s:c r="C45" s="98"/>
      <s:c r="D45" s="99"/>
      <s:c r="E45" s="101"/>
      <s:c r="F45" s="101" t="str">
        <s:f>IF(AND(E45&lt;&gt;"",E45&lt;&gt;0),D45/E45,"")</s:f>
        <s:v/>
      </s:c>
      <s:c r="G45" s="101"/>
      <s:c r="H45" s="101" t="str">
        <s:f>IF(AND(G45&lt;&gt;"",G45&lt;&gt;0),D45/G45,"")</s:f>
        <s:v/>
      </s:c>
      <s:c r="I45" s="101"/>
      <s:c r="J45" s="99" t="str">
        <s:f>IF(AND(G45&lt;&gt;"",G45&lt;&gt;0),E45/G45,"")</s:f>
        <s:v/>
      </s:c>
      <s:c r="K45" s="101"/>
      <s:c r="L45" s="101"/>
      <s:c r="M45" s="101"/>
      <s:c r="N45" s="101"/>
      <s:c r="O45" s="101"/>
      <s:c r="P45" s="101"/>
      <s:c r="Q45" s="101"/>
      <s:c r="R45" s="101"/>
      <s:c r="S45" s="102" t="str">
        <s:f>IF(AND(I45&lt;&gt;"",I45&lt;&gt;0),G45/I45,"")</s:f>
        <s:v/>
      </s:c>
      <s:c r="T45" s="103" t="e">
        <s:f>D45/U45</s:f>
        <s:v>#DIV/0!</s:v>
      </s:c>
      <s:c r="U45" s="104">
        <s:f>$L$8*AA45*AB45/SUMPRODUCT($AB$25:$AB$56,$AA$25:$AA$56)</s:f>
        <s:v>0</s:v>
      </s:c>
      <s:c r="V45" s="105">
        <s:f>$L$9*AA45*AB45/SUMPRODUCT($AB$25:$AB$58,$AA$25:$AA$58)</s:f>
        <s:v>0</s:v>
      </s:c>
      <s:c r="W45" s="105">
        <s:f>IF($L$12="","",V45/$L$12)</s:f>
        <s:v>0</s:v>
      </s:c>
      <s:c r="X45" s="104" t="str">
        <s:f>IF(AB45&lt;&gt;"",IF(D45&lt;&gt;"",D45,($L$8-SUM($X$25:X44))*AA45*AB45/SUMPRODUCT($AB45:$AB$58,$AA45:$AA$58)),"")</s:f>
        <s:v/>
      </s:c>
      <s:c r="Y45" s="105" t="str">
        <s:f>IF(AB45&lt;&gt;"",IF(E45&lt;&gt;"",E45,($L$9-SUM($Y$25:Y44))*AA45*AB45/SUMPRODUCT($AB45:$AB$58,$AA45:$AA$58)),"")</s:f>
        <s:v/>
      </s:c>
      <s:c r="Z45" s="105" t="str">
        <s:f>IF(AB45&lt;&gt;"",IF($L$12&lt;&gt;"",IF(G45&lt;&gt;"",G45,($L$9/$L$12-SUM($Z$25:Z44))*AA45*AB45/SUMPRODUCT($AB45:$AB$58,$AA45:$AA$58)),""),"")</s:f>
        <s:v/>
      </s:c>
      <s:c r="AA45" s="106"/>
      <s:c r="AB45" s="106"/>
      <s:c r="AC45" s="107"/>
      <s:c r="AD45" s="108"/>
      <s:c r="AE45" s="109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96">
        <s:v>21</s:v>
      </s:c>
      <s:c r="B46" s="97"/>
      <s:c r="C46" s="98"/>
      <s:c r="D46" s="99"/>
      <s:c r="E46" s="101"/>
      <s:c r="F46" s="101" t="str">
        <s:f>IF(AND(E46&lt;&gt;"",E46&lt;&gt;0),D46/E46,"")</s:f>
        <s:v/>
      </s:c>
      <s:c r="G46" s="101"/>
      <s:c r="H46" s="101" t="str">
        <s:f>IF(AND(G46&lt;&gt;"",G46&lt;&gt;0),D46/G46,"")</s:f>
        <s:v/>
      </s:c>
      <s:c r="I46" s="101"/>
      <s:c r="J46" s="99" t="str">
        <s:f>IF(AND(G46&lt;&gt;"",G46&lt;&gt;0),E46/G46,"")</s:f>
        <s:v/>
      </s:c>
      <s:c r="K46" s="101"/>
      <s:c r="L46" s="101"/>
      <s:c r="M46" s="101"/>
      <s:c r="N46" s="101"/>
      <s:c r="O46" s="101"/>
      <s:c r="P46" s="101"/>
      <s:c r="Q46" s="101"/>
      <s:c r="R46" s="101"/>
      <s:c r="S46" s="102" t="str">
        <s:f>IF(AND(I46&lt;&gt;"",I46&lt;&gt;0),G46/I46,"")</s:f>
        <s:v/>
      </s:c>
      <s:c r="T46" s="103" t="e">
        <s:f>D46/U46</s:f>
        <s:v>#DIV/0!</s:v>
      </s:c>
      <s:c r="U46" s="290">
        <s:f>$L$8*AA46*AB46/SUMPRODUCT($AB$25:$AB$56,$AA$25:$AA$56)</s:f>
        <s:v>0</s:v>
      </s:c>
      <s:c r="V46" s="105">
        <s:f>$L$9*AA46*AB46/SUMPRODUCT($AB$25:$AB$58,$AA$25:$AA$58)</s:f>
        <s:v>0</s:v>
      </s:c>
      <s:c r="W46" s="105">
        <s:f>IF($L$12="","",V46/$L$12)</s:f>
        <s:v>0</s:v>
      </s:c>
      <s:c r="X46" s="104" t="str">
        <s:f>IF(AB46&lt;&gt;"",IF(D46&lt;&gt;"",D46,($L$8-SUM($X$25:X45))*AA46*AB46/SUMPRODUCT($AB46:$AB$58,$AA46:$AA$58)),"")</s:f>
        <s:v/>
      </s:c>
      <s:c r="Y46" s="105" t="str">
        <s:f>IF(AB46&lt;&gt;"",IF(E46&lt;&gt;"",E46,($L$9-SUM($Y$25:Y45))*AA46*AB46/SUMPRODUCT($AB46:$AB$58,$AA46:$AA$58)),"")</s:f>
        <s:v/>
      </s:c>
      <s:c r="Z46" s="105" t="str">
        <s:f>IF(AB46&lt;&gt;"",IF($L$12&lt;&gt;"",IF(G46&lt;&gt;"",G46,($L$9/$L$12-SUM($Z$25:Z45))*AA46*AB46/SUMPRODUCT($AB46:$AB$58,$AA46:$AA$58)),""),"")</s:f>
        <s:v/>
      </s:c>
      <s:c r="AA46" s="106"/>
      <s:c r="AB46" s="106"/>
      <s:c r="AC46" s="107"/>
      <s:c r="AD46" s="108"/>
      <s:c r="AE46" s="109"/>
      <s:c r="AJ46" s="2"/>
      <s:c r="AK46" s="2"/>
      <s:c r="AL46" s="2"/>
    </s:row>
    <s:row r="47" spans="1:260" ht="15" customHeight="1">
      <s:c r="A47" s="96">
        <s:v>22</s:v>
      </s:c>
      <s:c r="B47" s="97"/>
      <s:c r="C47" s="98"/>
      <s:c r="D47" s="99"/>
      <s:c r="E47" s="101"/>
      <s:c r="F47" s="101" t="str">
        <s:f>IF(AND(E47&lt;&gt;"",E47&lt;&gt;0),D47/E47,"")</s:f>
        <s:v/>
      </s:c>
      <s:c r="G47" s="101"/>
      <s:c r="H47" s="101" t="str">
        <s:f>IF(AND(G47&lt;&gt;"",G47&lt;&gt;0),D47/G47,"")</s:f>
        <s:v/>
      </s:c>
      <s:c r="I47" s="101"/>
      <s:c r="J47" s="99" t="str">
        <s:f>IF(AND(G47&lt;&gt;"",G47&lt;&gt;0),E47/G47,"")</s:f>
        <s:v/>
      </s:c>
      <s:c r="K47" s="101"/>
      <s:c r="L47" s="101"/>
      <s:c r="M47" s="101"/>
      <s:c r="N47" s="101"/>
      <s:c r="O47" s="101"/>
      <s:c r="P47" s="101"/>
      <s:c r="Q47" s="101"/>
      <s:c r="R47" s="101"/>
      <s:c r="S47" s="102" t="str">
        <s:f>IF(AND(I47&lt;&gt;"",I47&lt;&gt;0),G47/I47,"")</s:f>
        <s:v/>
      </s:c>
      <s:c r="T47" s="103" t="e">
        <s:f>D47/U47</s:f>
        <s:v>#DIV/0!</s:v>
      </s:c>
      <s:c r="U47" s="104">
        <s:f>$L$8*AA47*AB47/SUMPRODUCT($AB$25:$AB$56,$AA$25:$AA$56)</s:f>
        <s:v>0</s:v>
      </s:c>
      <s:c r="V47" s="105">
        <s:f>$L$9*AA47*AB47/SUMPRODUCT($AB$25:$AB$58,$AA$25:$AA$58)</s:f>
        <s:v>0</s:v>
      </s:c>
      <s:c r="W47" s="105">
        <s:f>IF($L$12="","",V47/$L$12)</s:f>
        <s:v>0</s:v>
      </s:c>
      <s:c r="X47" s="104" t="str">
        <s:f>IF(AB47&lt;&gt;"",IF(D47&lt;&gt;"",D47,($L$8-SUM($X$25:X46))*AA47*AB47/SUMPRODUCT($AB47:$AB$58,$AA47:$AA$58)),"")</s:f>
        <s:v/>
      </s:c>
      <s:c r="Y47" s="105" t="str">
        <s:f>IF(AB47&lt;&gt;"",IF(E47&lt;&gt;"",E47,($L$9-SUM($Y$25:Y46))*AA47*AB47/SUMPRODUCT($AB47:$AB$58,$AA47:$AA$58)),"")</s:f>
        <s:v/>
      </s:c>
      <s:c r="Z47" s="105" t="str">
        <s:f>IF(AB47&lt;&gt;"",IF($L$12&lt;&gt;"",IF(G47&lt;&gt;"",G47,($L$9/$L$12-SUM($Z$25:Z46))*AA47*AB47/SUMPRODUCT($AB47:$AB$58,$AA47:$AA$58)),""),"")</s:f>
        <s:v/>
      </s:c>
      <s:c r="AA47" s="106"/>
      <s:c r="AB47" s="106"/>
      <s:c r="AC47" s="107"/>
      <s:c r="AD47" s="108"/>
      <s:c r="AE47" s="109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96">
        <s:v>23</s:v>
      </s:c>
      <s:c r="B48" s="97"/>
      <s:c r="C48" s="98"/>
      <s:c r="D48" s="99"/>
      <s:c r="E48" s="101"/>
      <s:c r="F48" s="101" t="str">
        <s:f>IF(AND(E48&lt;&gt;"",E48&lt;&gt;0),D48/E48,"")</s:f>
        <s:v/>
      </s:c>
      <s:c r="G48" s="101"/>
      <s:c r="H48" s="101" t="str">
        <s:f>IF(AND(G48&lt;&gt;"",G48&lt;&gt;0),D48/G48,"")</s:f>
        <s:v/>
      </s:c>
      <s:c r="I48" s="101"/>
      <s:c r="J48" s="99" t="str">
        <s:f>IF(AND(G48&lt;&gt;"",G48&lt;&gt;0),E48/G48,"")</s:f>
        <s:v/>
      </s:c>
      <s:c r="K48" s="101"/>
      <s:c r="L48" s="101"/>
      <s:c r="M48" s="101"/>
      <s:c r="N48" s="101"/>
      <s:c r="O48" s="101"/>
      <s:c r="P48" s="101"/>
      <s:c r="Q48" s="101"/>
      <s:c r="R48" s="101"/>
      <s:c r="S48" s="102" t="str">
        <s:f>IF(AND(I48&lt;&gt;"",I48&lt;&gt;0),G48/I48,"")</s:f>
        <s:v/>
      </s:c>
      <s:c r="T48" s="103" t="e">
        <s:f>D48/U48</s:f>
        <s:v>#DIV/0!</s:v>
      </s:c>
      <s:c r="U48" s="290">
        <s:f>$L$8*AA48*AB48/SUMPRODUCT($AB$25:$AB$56,$AA$25:$AA$56)</s:f>
        <s:v>0</s:v>
      </s:c>
      <s:c r="V48" s="105">
        <s:f>$L$9*AA48*AB48/SUMPRODUCT($AB$25:$AB$58,$AA$25:$AA$58)</s:f>
        <s:v>0</s:v>
      </s:c>
      <s:c r="W48" s="105">
        <s:f>IF($L$12="","",V48/$L$12)</s:f>
        <s:v>0</s:v>
      </s:c>
      <s:c r="X48" s="104" t="str">
        <s:f>IF(AB48&lt;&gt;"",IF(D48&lt;&gt;"",D48,($L$8-SUM($X$25:X47))*AA48*AB48/SUMPRODUCT($AB48:$AB$58,$AA48:$AA$58)),"")</s:f>
        <s:v/>
      </s:c>
      <s:c r="Y48" s="105" t="str">
        <s:f>IF(AB48&lt;&gt;"",IF(E48&lt;&gt;"",E48,($L$9-SUM($Y$25:Y47))*AA48*AB48/SUMPRODUCT($AB48:$AB$58,$AA48:$AA$58)),"")</s:f>
        <s:v/>
      </s:c>
      <s:c r="Z48" s="105" t="str">
        <s:f>IF(AB48&lt;&gt;"",IF($L$12&lt;&gt;"",IF(G48&lt;&gt;"",G48,($L$9/$L$12-SUM($Z$25:Z47))*AA48*AB48/SUMPRODUCT($AB48:$AB$58,$AA48:$AA$58)),""),"")</s:f>
        <s:v/>
      </s:c>
      <s:c r="AA48" s="106"/>
      <s:c r="AB48" s="106"/>
      <s:c r="AC48" s="107"/>
      <s:c r="AD48" s="108"/>
      <s:c r="AE48" s="109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96">
        <s:v>24</s:v>
      </s:c>
      <s:c r="B49" s="97"/>
      <s:c r="C49" s="98"/>
      <s:c r="D49" s="99"/>
      <s:c r="E49" s="101"/>
      <s:c r="F49" s="101"/>
      <s:c r="G49" s="101"/>
      <s:c r="H49" s="101" t="str">
        <s:f>IF(AND(G49&lt;&gt;"",G49&lt;&gt;0),D49/G49,"")</s:f>
        <s:v/>
      </s:c>
      <s:c r="I49" s="101"/>
      <s:c r="J49" s="99" t="str">
        <s:f>IF(AND(G49&lt;&gt;"",G49&lt;&gt;0),E49/G49,"")</s:f>
        <s:v/>
      </s:c>
      <s:c r="K49" s="101"/>
      <s:c r="L49" s="101"/>
      <s:c r="M49" s="101"/>
      <s:c r="N49" s="101"/>
      <s:c r="O49" s="101"/>
      <s:c r="P49" s="101"/>
      <s:c r="Q49" s="101"/>
      <s:c r="R49" s="101"/>
      <s:c r="S49" s="102" t="str">
        <s:f>IF(AND(I49&lt;&gt;"",I49&lt;&gt;0),G49/I49,"")</s:f>
        <s:v/>
      </s:c>
      <s:c r="T49" s="103" t="e">
        <s:f>D49/U49</s:f>
        <s:v>#DIV/0!</s:v>
      </s:c>
      <s:c r="U49" s="104">
        <s:f>$L$8*AA49*AB49/SUMPRODUCT($AB$25:$AB$56,$AA$25:$AA$56)</s:f>
        <s:v>0</s:v>
      </s:c>
      <s:c r="V49" s="105">
        <s:f>$L$9*AA49*AB49/SUMPRODUCT($AB$25:$AB$58,$AA$25:$AA$58)</s:f>
        <s:v>0</s:v>
      </s:c>
      <s:c r="W49" s="105">
        <s:f>IF($L$12="","",V49/$L$12)</s:f>
        <s:v>0</s:v>
      </s:c>
      <s:c r="X49" s="104" t="str">
        <s:f>IF(AB49&lt;&gt;"",IF(D49&lt;&gt;"",D49,($L$8-SUM($X$25:X48))*AA49*AB49/SUMPRODUCT($AB49:$AB$58,$AA49:$AA$58)),"")</s:f>
        <s:v/>
      </s:c>
      <s:c r="Y49" s="105" t="str">
        <s:f>IF(AB49&lt;&gt;"",IF(E49&lt;&gt;"",E49,($L$9-SUM($Y$25:Y48))*AA49*AB49/SUMPRODUCT($AB49:$AB$58,$AA49:$AA$58)),"")</s:f>
        <s:v/>
      </s:c>
      <s:c r="Z49" s="105" t="str">
        <s:f>IF(AB49&lt;&gt;"",IF($L$12&lt;&gt;"",IF(G49&lt;&gt;"",G49,($L$9/$L$12-SUM($Z$25:Z48))*AA49*AB49/SUMPRODUCT($AB49:$AB$58,$AA49:$AA$58)),""),"")</s:f>
        <s:v/>
      </s:c>
      <s:c r="AA49" s="106"/>
      <s:c r="AB49" s="106"/>
      <s:c r="AC49" s="107"/>
      <s:c r="AD49" s="108"/>
      <s:c r="AE49" s="109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96"/>
      <s:c r="B50" s="97"/>
      <s:c r="C50" s="98"/>
      <s:c r="D50" s="99"/>
      <s:c r="E50" s="101"/>
      <s:c r="F50" s="101" t="str">
        <s:f>IF(AND(E50&lt;&gt;"",E50&lt;&gt;0),D50/E50,"")</s:f>
        <s:v/>
      </s:c>
      <s:c r="G50" s="101"/>
      <s:c r="H50" s="101" t="str">
        <s:f>IF(AND(G50&lt;&gt;"",G50&lt;&gt;0),D50/G50,"")</s:f>
        <s:v/>
      </s:c>
      <s:c r="I50" s="101"/>
      <s:c r="J50" s="99" t="str">
        <s:f>IF(AND(G50&lt;&gt;"",G50&lt;&gt;0),E50/G50,"")</s:f>
        <s:v/>
      </s:c>
      <s:c r="K50" s="101"/>
      <s:c r="L50" s="101"/>
      <s:c r="M50" s="101"/>
      <s:c r="N50" s="101"/>
      <s:c r="O50" s="101"/>
      <s:c r="P50" s="101"/>
      <s:c r="Q50" s="101"/>
      <s:c r="R50" s="101"/>
      <s:c r="S50" s="102" t="str">
        <s:f>IF(AND(I50&lt;&gt;"",I50&lt;&gt;0),G50/I50,"")</s:f>
        <s:v/>
      </s:c>
      <s:c r="T50" s="103" t="e">
        <s:f>D50/U50</s:f>
        <s:v>#DIV/0!</s:v>
      </s:c>
      <s:c r="U50" s="104">
        <s:f>$L$8*AA50*AB50/SUMPRODUCT($AB$25:$AB$56,$AA$25:$AA$56)</s:f>
        <s:v>0</s:v>
      </s:c>
      <s:c r="V50" s="105">
        <s:f>$L$9*AA50*AB50/SUMPRODUCT($AB$25:$AB$58,$AA$25:$AA$58)</s:f>
        <s:v>0</s:v>
      </s:c>
      <s:c r="W50" s="105">
        <s:f>IF($L$12="","",V50/$L$12)</s:f>
        <s:v>0</s:v>
      </s:c>
      <s:c r="X50" s="104" t="str">
        <s:f>IF(AB50&lt;&gt;"",IF(D50&lt;&gt;"",D50,($L$8-SUM($X$25:X49))*AA50*AB50/SUMPRODUCT($AB50:$AB$58,$AA50:$AA$58)),"")</s:f>
        <s:v/>
      </s:c>
      <s:c r="Y50" s="105" t="str">
        <s:f>IF(AB50&lt;&gt;"",IF(E50&lt;&gt;"",E50,($L$9-SUM($Y$25:Y49))*AA50*AB50/SUMPRODUCT($AB50:$AB$58,$AA50:$AA$58)),"")</s:f>
        <s:v/>
      </s:c>
      <s:c r="Z50" s="105" t="str">
        <s:f>IF(AB50&lt;&gt;"",IF($L$12&lt;&gt;"",IF(G50&lt;&gt;"",G50,($L$9/$L$12-SUM($Z$25:Z49))*AA50*AB50/SUMPRODUCT($AB50:$AB$58,$AA50:$AA$58)),""),"")</s:f>
        <s:v/>
      </s:c>
      <s:c r="AA50" s="106"/>
      <s:c r="AB50" s="106"/>
      <s:c r="AC50" s="107"/>
      <s:c r="AD50" s="108"/>
      <s:c r="AE50" s="109"/>
      <s:c r="AF50" s="2"/>
      <s:c r="AG50" s="2"/>
      <s:c r="AH50" s="2"/>
      <s:c r="AI50" s="2"/>
      <s:c r="AJ50" s="2"/>
      <s:c r="AK50" s="2"/>
      <s:c r="AL50" s="2"/>
    </s:row>
    <s:row r="51">
      <s:c r="A51" s="96"/>
      <s:c r="B51" s="97"/>
      <s:c r="C51" s="98"/>
      <s:c r="D51" s="99"/>
      <s:c r="E51" s="101"/>
      <s:c r="F51" s="101" t="str">
        <s:f>IF(AND(E51&lt;&gt;"",E51&lt;&gt;0),D51/E51,"")</s:f>
        <s:v/>
      </s:c>
      <s:c r="G51" s="101"/>
      <s:c r="H51" s="101" t="str">
        <s:f>IF(AND(G51&lt;&gt;"",G51&lt;&gt;0),D51/G51,"")</s:f>
        <s:v/>
      </s:c>
      <s:c r="I51" s="101"/>
      <s:c r="J51" s="99" t="str">
        <s:f>IF(AND(G51&lt;&gt;"",G51&lt;&gt;0),E51/G51,"")</s:f>
        <s:v/>
      </s:c>
      <s:c r="K51" s="101"/>
      <s:c r="L51" s="101"/>
      <s:c r="M51" s="101"/>
      <s:c r="N51" s="101"/>
      <s:c r="O51" s="101"/>
      <s:c r="P51" s="101"/>
      <s:c r="Q51" s="101"/>
      <s:c r="R51" s="101"/>
      <s:c r="S51" s="102" t="str">
        <s:f>IF(AND(I51&lt;&gt;"",I51&lt;&gt;0),G51/I51,"")</s:f>
        <s:v/>
      </s:c>
      <s:c r="T51" s="103" t="e">
        <s:f>D51/U51</s:f>
        <s:v>#DIV/0!</s:v>
      </s:c>
      <s:c r="U51" s="104">
        <s:f>$L$8*AA51*AB51/SUMPRODUCT($AB$25:$AB$56,$AA$25:$AA$56)</s:f>
        <s:v>0</s:v>
      </s:c>
      <s:c r="V51" s="105">
        <s:f>$L$9*AA51*AB51/SUMPRODUCT($AB$25:$AB$58,$AA$25:$AA$58)</s:f>
        <s:v>0</s:v>
      </s:c>
      <s:c r="W51" s="105">
        <s:f>IF($L$12="","",V51/$L$12)</s:f>
        <s:v>0</s:v>
      </s:c>
      <s:c r="X51" s="104" t="str">
        <s:f>IF(AB51&lt;&gt;"",IF(D51&lt;&gt;"",D51,($L$8-SUM($X$25:X50))*AA51*AB51/SUMPRODUCT($AB51:$AB$58,$AA51:$AA$58)),"")</s:f>
        <s:v/>
      </s:c>
      <s:c r="Y51" s="105" t="str">
        <s:f>IF(AB51&lt;&gt;"",IF(E51&lt;&gt;"",E51,($L$9-SUM($Y$25:Y50))*AA51*AB51/SUMPRODUCT($AB51:$AB$58,$AA51:$AA$58)),"")</s:f>
        <s:v/>
      </s:c>
      <s:c r="Z51" s="105" t="str">
        <s:f>IF(AB51&lt;&gt;"",IF($L$12&lt;&gt;"",IF(G51&lt;&gt;"",G51,($L$9/$L$12-SUM($Z$25:Z50))*AA51*AB51/SUMPRODUCT($AB51:$AB$58,$AA51:$AA$58)),""),"")</s:f>
        <s:v/>
      </s:c>
      <s:c r="AA51" s="106"/>
      <s:c r="AB51" s="106"/>
      <s:c r="AC51" s="107"/>
      <s:c r="AD51" s="108"/>
      <s:c r="AE51" s="109"/>
      <s:c r="AF51" s="2"/>
      <s:c r="AG51" s="2"/>
      <s:c r="AH51" s="2"/>
      <s:c r="AI51" s="2"/>
      <s:c r="AJ51" s="2"/>
      <s:c r="AK51" s="2"/>
      <s:c r="AL51" s="2"/>
    </s:row>
    <s:row r="52">
      <s:c r="A52" s="96"/>
      <s:c r="B52" s="97"/>
      <s:c r="C52" s="98"/>
      <s:c r="D52" s="99"/>
      <s:c r="E52" s="101"/>
      <s:c r="F52" s="101" t="str">
        <s:f>IF(AND(E52&lt;&gt;"",E52&lt;&gt;0),D52/E52,"")</s:f>
        <s:v/>
      </s:c>
      <s:c r="G52" s="101"/>
      <s:c r="H52" s="101" t="str">
        <s:f>IF(AND(G52&lt;&gt;"",G52&lt;&gt;0),D52/G52,"")</s:f>
        <s:v/>
      </s:c>
      <s:c r="I52" s="101"/>
      <s:c r="J52" s="99" t="str">
        <s:f>IF(AND(G52&lt;&gt;"",G52&lt;&gt;0),E52/G52,"")</s:f>
        <s:v/>
      </s:c>
      <s:c r="K52" s="101"/>
      <s:c r="L52" s="101"/>
      <s:c r="M52" s="101"/>
      <s:c r="N52" s="101"/>
      <s:c r="O52" s="101"/>
      <s:c r="P52" s="101"/>
      <s:c r="Q52" s="101"/>
      <s:c r="R52" s="101"/>
      <s:c r="S52" s="102" t="str">
        <s:f>IF(AND(I52&lt;&gt;"",I52&lt;&gt;0),G52/I52,"")</s:f>
        <s:v/>
      </s:c>
      <s:c r="T52" s="103" t="e">
        <s:f>D52/U52</s:f>
        <s:v>#DIV/0!</s:v>
      </s:c>
      <s:c r="U52" s="104">
        <s:f>$L$8*AA52*AB52/SUMPRODUCT($AB$25:$AB$56,$AA$25:$AA$56)</s:f>
        <s:v>0</s:v>
      </s:c>
      <s:c r="V52" s="105">
        <s:f>$L$9*AA52*AB52/SUMPRODUCT($AB$25:$AB$58,$AA$25:$AA$58)</s:f>
        <s:v>0</s:v>
      </s:c>
      <s:c r="W52" s="105">
        <s:f>IF($L$12="","",V52/$L$12)</s:f>
        <s:v>0</s:v>
      </s:c>
      <s:c r="X52" s="104" t="str">
        <s:f>IF(AB52&lt;&gt;"",IF(D52&lt;&gt;"",D52,($L$8-SUM($X$25:X51))*AA52*AB52/SUMPRODUCT($AB52:$AB$58,$AA52:$AA$58)),"")</s:f>
        <s:v/>
      </s:c>
      <s:c r="Y52" s="105" t="str">
        <s:f>IF(AB52&lt;&gt;"",IF(E52&lt;&gt;"",E52,($L$9-SUM($Y$25:Y51))*AA52*AB52/SUMPRODUCT($AB52:$AB$58,$AA52:$AA$58)),"")</s:f>
        <s:v/>
      </s:c>
      <s:c r="Z52" s="105" t="str">
        <s:f>IF(AB52&lt;&gt;"",IF($L$12&lt;&gt;"",IF(G52&lt;&gt;"",G52,($L$9/$L$12-SUM($Z$25:Z51))*AA52*AB52/SUMPRODUCT($AB52:$AB$58,$AA52:$AA$58)),""),"")</s:f>
        <s:v/>
      </s:c>
      <s:c r="AA52" s="106"/>
      <s:c r="AB52" s="106"/>
      <s:c r="AC52" s="107"/>
      <s:c r="AD52" s="108"/>
      <s:c r="AE52" s="109"/>
      <s:c r="AF52" s="2"/>
      <s:c r="AG52" s="2"/>
      <s:c r="AH52" s="2"/>
      <s:c r="AI52" s="2"/>
      <s:c r="AJ52" s="2"/>
      <s:c r="AK52" s="2"/>
      <s:c r="AL52" s="2"/>
    </s:row>
    <s:row r="53">
      <s:c r="A53" s="96"/>
      <s:c r="B53" s="97"/>
      <s:c r="C53" s="98"/>
      <s:c r="D53" s="99"/>
      <s:c r="E53" s="101"/>
      <s:c r="F53" s="101" t="str">
        <s:f>IF(AND(E53&lt;&gt;"",E53&lt;&gt;0),D53/E53,"")</s:f>
        <s:v/>
      </s:c>
      <s:c r="G53" s="101"/>
      <s:c r="H53" s="101" t="str">
        <s:f>IF(AND(G53&lt;&gt;"",G53&lt;&gt;0),D53/G53,"")</s:f>
        <s:v/>
      </s:c>
      <s:c r="I53" s="101"/>
      <s:c r="J53" s="99" t="str">
        <s:f>IF(AND(G53&lt;&gt;"",G53&lt;&gt;0),E53/G53,"")</s:f>
        <s:v/>
      </s:c>
      <s:c r="K53" s="101"/>
      <s:c r="L53" s="101"/>
      <s:c r="M53" s="101"/>
      <s:c r="N53" s="101"/>
      <s:c r="O53" s="101"/>
      <s:c r="P53" s="101"/>
      <s:c r="Q53" s="101"/>
      <s:c r="R53" s="101"/>
      <s:c r="S53" s="102" t="str">
        <s:f>IF(AND(I53&lt;&gt;"",I53&lt;&gt;0),G53/I53,"")</s:f>
        <s:v/>
      </s:c>
      <s:c r="T53" s="103" t="e">
        <s:f>D53/U53</s:f>
        <s:v>#DIV/0!</s:v>
      </s:c>
      <s:c r="U53" s="104">
        <s:f>$L$8*AA53*AB53/SUMPRODUCT($AB$25:$AB$56,$AA$25:$AA$56)</s:f>
        <s:v>0</s:v>
      </s:c>
      <s:c r="V53" s="105">
        <s:f>$L$9*AA53*AB53/SUMPRODUCT($AB$25:$AB$58,$AA$25:$AA$58)</s:f>
        <s:v>0</s:v>
      </s:c>
      <s:c r="W53" s="105">
        <s:f>IF($L$12="","",V53/$L$12)</s:f>
        <s:v>0</s:v>
      </s:c>
      <s:c r="X53" s="104" t="str">
        <s:f>IF(AB53&lt;&gt;"",IF(D53&lt;&gt;"",D53,($L$8-SUM($X$25:X52))*AA53*AB53/SUMPRODUCT($AB53:$AB$58,$AA53:$AA$58)),"")</s:f>
        <s:v/>
      </s:c>
      <s:c r="Y53" s="105" t="str">
        <s:f>IF(AB53&lt;&gt;"",IF(E53&lt;&gt;"",E53,($L$9-SUM($Y$25:Y52))*AA53*AB53/SUMPRODUCT($AB53:$AB$58,$AA53:$AA$58)),"")</s:f>
        <s:v/>
      </s:c>
      <s:c r="Z53" s="105" t="str">
        <s:f>IF(AB53&lt;&gt;"",IF($L$12&lt;&gt;"",IF(G53&lt;&gt;"",G53,($L$9/$L$12-SUM($Z$25:Z52))*AA53*AB53/SUMPRODUCT($AB53:$AB$58,$AA53:$AA$58)),""),"")</s:f>
        <s:v/>
      </s:c>
      <s:c r="AA53" s="106"/>
      <s:c r="AB53" s="106"/>
      <s:c r="AC53" s="107"/>
      <s:c r="AD53" s="108"/>
      <s:c r="AE53" s="109"/>
      <s:c r="AF53" s="2"/>
      <s:c r="AG53" s="2"/>
      <s:c r="AH53" s="2"/>
      <s:c r="AI53" s="2"/>
      <s:c r="AJ53" s="2"/>
      <s:c r="AK53" s="2"/>
      <s:c r="AL53" s="2"/>
    </s:row>
    <s:row r="54">
      <s:c r="A54" s="96"/>
      <s:c r="B54" s="97"/>
      <s:c r="C54" s="98"/>
      <s:c r="D54" s="99"/>
      <s:c r="E54" s="101"/>
      <s:c r="F54" s="101" t="str">
        <s:f>IF(AND(E54&lt;&gt;"",E54&lt;&gt;0),D54/E54,"")</s:f>
        <s:v/>
      </s:c>
      <s:c r="G54" s="101"/>
      <s:c r="H54" s="101" t="str">
        <s:f>IF(AND(G54&lt;&gt;"",G54&lt;&gt;0),D54/G54,"")</s:f>
        <s:v/>
      </s:c>
      <s:c r="I54" s="101"/>
      <s:c r="J54" s="99" t="str">
        <s:f>IF(AND(G54&lt;&gt;"",G54&lt;&gt;0),E54/G54,"")</s:f>
        <s:v/>
      </s:c>
      <s:c r="K54" s="101"/>
      <s:c r="L54" s="101"/>
      <s:c r="M54" s="101"/>
      <s:c r="N54" s="101"/>
      <s:c r="O54" s="101"/>
      <s:c r="P54" s="101"/>
      <s:c r="Q54" s="101"/>
      <s:c r="R54" s="101"/>
      <s:c r="S54" s="102" t="str">
        <s:f>IF(AND(I54&lt;&gt;"",I54&lt;&gt;0),G54/I54,"")</s:f>
        <s:v/>
      </s:c>
      <s:c r="T54" s="103" t="e">
        <s:f>D54/U54</s:f>
        <s:v>#DIV/0!</s:v>
      </s:c>
      <s:c r="U54" s="104">
        <s:f>$L$8*AA54*AB54/SUMPRODUCT($AB$25:$AB$56,$AA$25:$AA$56)</s:f>
        <s:v>0</s:v>
      </s:c>
      <s:c r="V54" s="105">
        <s:f>$L$9*AA54*AB54/SUMPRODUCT($AB$25:$AB$58,$AA$25:$AA$58)</s:f>
        <s:v>0</s:v>
      </s:c>
      <s:c r="W54" s="105">
        <s:f>IF($L$12="","",V54/$L$12)</s:f>
        <s:v>0</s:v>
      </s:c>
      <s:c r="X54" s="104" t="str">
        <s:f>IF(AB54&lt;&gt;"",IF(D54&lt;&gt;"",D54,($L$8-SUM($X$25:X50))*AA54*AB54/SUMPRODUCT($AB54:$AB$58,$AA54:$AA$58)),"")</s:f>
        <s:v/>
      </s:c>
      <s:c r="Y54" s="105" t="str">
        <s:f>IF(AB54&lt;&gt;"",IF(E54&lt;&gt;"",E54,($L$9-SUM($Y$25:Y50))*AA54*AB54/SUMPRODUCT($AB54:$AB$58,$AA54:$AA$58)),"")</s:f>
        <s:v/>
      </s:c>
      <s:c r="Z54" s="105" t="str">
        <s:f>IF(AB54&lt;&gt;"",IF($L$12&lt;&gt;"",IF(G54&lt;&gt;"",G54,($L$9/$L$12-SUM($Z$25:Z50))*AA54*AB54/SUMPRODUCT($AB54:$AB$58,$AA54:$AA$58)),""),"")</s:f>
        <s:v/>
      </s:c>
      <s:c r="AA54" s="106"/>
      <s:c r="AB54" s="106"/>
      <s:c r="AC54" s="107"/>
      <s:c r="AD54" s="108"/>
      <s:c r="AE54" s="109"/>
      <s:c r="AF54" s="2"/>
      <s:c r="AG54" s="2"/>
      <s:c r="AH54" s="2"/>
      <s:c r="AI54" s="2"/>
      <s:c r="AJ54" s="2"/>
      <s:c r="AK54" s="2"/>
      <s:c r="AL54" s="2"/>
    </s:row>
    <s:row r="55">
      <s:c r="A55" s="96"/>
      <s:c r="B55" s="97"/>
      <s:c r="C55" s="98"/>
      <s:c r="D55" s="99"/>
      <s:c r="E55" s="101"/>
      <s:c r="F55" s="101" t="str">
        <s:f>IF(AND(E55&lt;&gt;"",E55&lt;&gt;0),D55/E55,"")</s:f>
        <s:v/>
      </s:c>
      <s:c r="G55" s="101"/>
      <s:c r="H55" s="101" t="str">
        <s:f>IF(AND(G55&lt;&gt;"",G55&lt;&gt;0),D55/G55,"")</s:f>
        <s:v/>
      </s:c>
      <s:c r="I55" s="101"/>
      <s:c r="J55" s="99" t="str">
        <s:f>IF(AND(G55&lt;&gt;"",G55&lt;&gt;0),E55/G55,"")</s:f>
        <s:v/>
      </s:c>
      <s:c r="K55" s="101"/>
      <s:c r="L55" s="101"/>
      <s:c r="M55" s="101"/>
      <s:c r="N55" s="101"/>
      <s:c r="O55" s="101"/>
      <s:c r="P55" s="101"/>
      <s:c r="Q55" s="101"/>
      <s:c r="R55" s="101"/>
      <s:c r="S55" s="102" t="str">
        <s:f>IF(AND(I55&lt;&gt;"",I55&lt;&gt;0),G55/I55,"")</s:f>
        <s:v/>
      </s:c>
      <s:c r="T55" s="103" t="e">
        <s:f>D55/U55</s:f>
        <s:v>#DIV/0!</s:v>
      </s:c>
      <s:c r="U55" s="104">
        <s:f>$L$8*AA55*AB55/SUMPRODUCT($AB$25:$AB$56,$AA$25:$AA$56)</s:f>
        <s:v>0</s:v>
      </s:c>
      <s:c r="V55" s="105">
        <s:f>$L$9*AA55*AB55/SUMPRODUCT($AB$25:$AB$58,$AA$25:$AA$58)</s:f>
        <s:v>0</s:v>
      </s:c>
      <s:c r="W55" s="105">
        <s:f>IF($L$12="","",V55/$L$12)</s:f>
        <s:v>0</s:v>
      </s:c>
      <s:c r="X55" s="104" t="str">
        <s:f>IF(AB55&lt;&gt;"",IF(D55&lt;&gt;"",D55,($L$8-SUM($X$25:X54))*AA55*AB55/SUMPRODUCT($AB55:$AB$58,$AA55:$AA$58)),"")</s:f>
        <s:v/>
      </s:c>
      <s:c r="Y55" s="105" t="str">
        <s:f>IF(AB55&lt;&gt;"",IF(E55&lt;&gt;"",E55,($L$9-SUM($Y$25:Y54))*AA55*AB55/SUMPRODUCT($AB55:$AB$58,$AA55:$AA$58)),"")</s:f>
        <s:v/>
      </s:c>
      <s:c r="Z55" s="105" t="str">
        <s:f>IF(AB55&lt;&gt;"",IF($L$12&lt;&gt;"",IF(G55&lt;&gt;"",G55,($L$9/$L$12-SUM($Z$25:Z54))*AA55*AB55/SUMPRODUCT($AB55:$AB$58,$AA55:$AA$58)),""),"")</s:f>
        <s:v/>
      </s:c>
      <s:c r="AA55" s="106"/>
      <s:c r="AB55" s="106"/>
      <s:c r="AC55" s="107"/>
      <s:c r="AD55" s="108"/>
      <s:c r="AE55" s="109"/>
      <s:c r="AF55" s="2"/>
      <s:c r="AG55" s="2"/>
      <s:c r="AH55" s="2"/>
      <s:c r="AI55" s="2"/>
      <s:c r="AJ55" s="2"/>
      <s:c r="AK55" s="2"/>
      <s:c r="AL55" s="2"/>
    </s:row>
    <s:row r="56">
      <s:c r="A56" s="96"/>
      <s:c r="B56" s="97"/>
      <s:c r="C56" s="98"/>
      <s:c r="D56" s="99"/>
      <s:c r="E56" s="101"/>
      <s:c r="F56" s="101" t="str">
        <s:f>IF(AND(E56&lt;&gt;"",E56&lt;&gt;0),D56/E56,"")</s:f>
        <s:v/>
      </s:c>
      <s:c r="G56" s="101"/>
      <s:c r="H56" s="101" t="str">
        <s:f>IF(AND(G56&lt;&gt;"",G56&lt;&gt;0),D56/G56,"")</s:f>
        <s:v/>
      </s:c>
      <s:c r="I56" s="101"/>
      <s:c r="J56" s="99" t="str">
        <s:f>IF(AND(G56&lt;&gt;"",G56&lt;&gt;0),E56/G56,"")</s:f>
        <s:v/>
      </s:c>
      <s:c r="K56" s="101"/>
      <s:c r="L56" s="101"/>
      <s:c r="M56" s="101"/>
      <s:c r="N56" s="101"/>
      <s:c r="O56" s="101"/>
      <s:c r="P56" s="101"/>
      <s:c r="Q56" s="101"/>
      <s:c r="R56" s="101"/>
      <s:c r="S56" s="102" t="str">
        <s:f>IF(AND(I56&lt;&gt;"",I56&lt;&gt;0),G56/I56,"")</s:f>
        <s:v/>
      </s:c>
      <s:c r="T56" s="103" t="e">
        <s:f>D56/U56</s:f>
        <s:v>#DIV/0!</s:v>
      </s:c>
      <s:c r="U56" s="104">
        <s:f>$L$8*AA56*AB56/SUMPRODUCT($AB$25:$AB$56,$AA$25:$AA$56)</s:f>
        <s:v>0</s:v>
      </s:c>
      <s:c r="V56" s="105">
        <s:f>$L$9*AA56*AB56/SUMPRODUCT($AB$25:$AB$58,$AA$25:$AA$58)</s:f>
        <s:v>0</s:v>
      </s:c>
      <s:c r="W56" s="105">
        <s:f>IF($L$12="","",V56/$L$12)</s:f>
        <s:v>0</s:v>
      </s:c>
      <s:c r="X56" s="104" t="str">
        <s:f>IF(AB56&lt;&gt;"",IF(D56&lt;&gt;"",D56,($L$8-SUM($X$25:X55))*AA56*AB56/SUMPRODUCT($AB56:$AB$58,$AA56:$AA$58)),"")</s:f>
        <s:v/>
      </s:c>
      <s:c r="Y56" s="105" t="str">
        <s:f>IF(AB56&lt;&gt;"",IF(E56&lt;&gt;"",E56,($L$9-SUM($Y$25:Y55))*AA56*AB56/SUMPRODUCT($AB56:$AB$58,$AA56:$AA$58)),"")</s:f>
        <s:v/>
      </s:c>
      <s:c r="Z56" s="105" t="str">
        <s:f>IF(AB56&lt;&gt;"",IF($L$12&lt;&gt;"",IF(G56&lt;&gt;"",G56,($L$9/$L$12-SUM($Z$25:Z55))*AA56*AB56/SUMPRODUCT($AB56:$AB$58,$AA56:$AA$58)),""),"")</s:f>
        <s:v/>
      </s:c>
      <s:c r="AA56" s="106"/>
      <s:c r="AB56" s="106"/>
      <s:c r="AC56" s="107"/>
      <s:c r="AD56" s="108"/>
      <s:c r="AE56" s="109"/>
      <s:c r="AF56" s="2"/>
      <s:c r="AG56" s="2"/>
      <s:c r="AH56" s="2"/>
      <s:c r="AI56" s="2"/>
      <s:c r="AJ56" s="2"/>
      <s:c r="AK56" s="2"/>
      <s:c r="AL56" s="2"/>
    </s:row>
    <s:row r="57">
      <s:c r="A57" s="316"/>
      <s:c r="B57" s="592"/>
      <s:c r="C57" s="593"/>
      <s:c r="D57" s="92">
        <s:f>SUM(D25:D56)</s:f>
        <s:v>576247</s:v>
      </s:c>
      <s:c r="E57" s="92">
        <s:f>SUM(E25:E56)</s:f>
        <s:v>95</s:v>
      </s:c>
      <s:c r="F57" s="92">
        <s:f>IF(AND(E57&lt;&gt;"",E57&lt;&gt;0),D57/E57,"")</s:f>
        <s:v>6065.7578947368402</s:v>
      </s:c>
      <s:c r="G57" s="92">
        <s:f>SUM(G25:G56)</s:f>
        <s:v>50</s:v>
      </s:c>
      <s:c r="H57" s="92">
        <s:f>IF(AND(G57&lt;&gt;"",G57&lt;&gt;0),D57/G57,"")</s:f>
        <s:v>11524.94</s:v>
      </s:c>
      <s:c r="I57" s="92">
        <s:f>SUM(I25:I56)</s:f>
        <s:v>615</s:v>
      </s:c>
      <s:c r="J57" s="93">
        <s:f>IF(AND(G57&lt;&gt;"",G57&lt;&gt;0),E57/G57,"")</s:f>
        <s:v>1.9</s:v>
      </s:c>
      <s:c r="K57" s="92">
        <s:f>SUM(K25:K56)</s:f>
        <s:v>41316</s:v>
      </s:c>
      <s:c r="L57" s="92">
        <s:f>SUM(L25:L56)</s:f>
        <s:v>0</s:v>
      </s:c>
      <s:c r="M57" s="92">
        <s:f>SUM(M25:M56)</s:f>
        <s:v>0</s:v>
      </s:c>
      <s:c r="N57" s="92">
        <s:f>SUM(N25:N56)</s:f>
        <s:v>0</s:v>
      </s:c>
      <s:c r="O57" s="92">
        <s:f>SUM(O25:O56)</s:f>
        <s:v>21180</s:v>
      </s:c>
      <s:c r="P57" s="92">
        <s:f>SUM(P25:P56)</s:f>
        <s:v>14352</s:v>
      </s:c>
      <s:c r="Q57" s="92">
        <s:f>SUM(Q25:Q56)</s:f>
        <s:v>25823</s:v>
      </s:c>
      <s:c r="R57" s="92">
        <s:f>SUM(R25:R56)</s:f>
        <s:v>42374</s:v>
      </s:c>
      <s:c r="S57" s="110">
        <s:f>IF(AND(I57&lt;&gt;"",I57&lt;&gt;0),G57/I57,"")</s:f>
        <s:v>8.1300813008129996E-2</s:v>
      </s:c>
      <s:c r="T57" s="94">
        <s:f>D57/U57</s:f>
        <s:v>0.68291550525984701</s:v>
      </s:c>
      <s:c r="U57" s="95">
        <s:f>SUM(U25:U56)</s:f>
        <s:v>843804.24161073798</s:v>
      </s:c>
      <s:c r="V57" s="95">
        <s:f>SUM(V25:V55)</s:f>
        <s:v>122.290469798657</s:v>
      </s:c>
      <s:c r="W57" s="95">
        <s:f>SUM(W25:W55)</s:f>
        <s:v>70.281879194630804</s:v>
      </s:c>
      <s:c r="X57" s="95">
        <s:f>SUM(X25:X56)</s:f>
        <s:v>441913</s:v>
      </s:c>
      <s:c r="Y57" s="95">
        <s:f>SUM(Y25:Y55)</s:f>
        <s:v>77</s:v>
      </s:c>
      <s:c r="Z57" s="95">
        <s:f>SUM(Z25:Z55)</s:f>
        <s:v>40</s:v>
      </s:c>
      <s:c r="AA57" s="111"/>
      <s:c r="AB57" s="111"/>
      <s:c r="AJ57" s="2"/>
      <s:c r="AK57" s="2"/>
      <s:c r="AL57" s="2"/>
    </s:row>
  </s:sheetData>
  <s:mergeCells count="27">
    <s:mergeCell ref="B1:C1"/>
    <s:mergeCell ref="V1:Y4"/>
    <s:mergeCell ref="B2:C2"/>
    <s:mergeCell ref="J3:S4"/>
    <s:mergeCell ref="C4:D4"/>
    <s:mergeCell ref="J2:S2"/>
    <s:mergeCell ref="J5:S5"/>
    <s:mergeCell ref="I7:K7"/>
    <s:mergeCell ref="S7:T7"/>
    <s:mergeCell ref="I8:K8"/>
    <s:mergeCell ref="I9:K9"/>
    <s:mergeCell ref="I6:T6"/>
    <s:mergeCell ref="I10:K10"/>
    <s:mergeCell ref="I11:K11"/>
    <s:mergeCell ref="I12:K12"/>
    <s:mergeCell ref="I13:K13"/>
    <s:mergeCell ref="I14:K14"/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</s:mergeCells>
  <s:conditionalFormatting sqref="J25:J44">
    <s:cfRule type="cellIs" dxfId="123" priority="21" operator="lessThan">
      <s:formula>$I$12</s:formula>
    </s:cfRule>
  </s:conditionalFormatting>
  <s:conditionalFormatting sqref="J25:J49">
    <s:cfRule type="cellIs" dxfId="122" priority="22" operator="greaterThan">
      <s:formula>$I$12</s:formula>
    </s:cfRule>
  </s:conditionalFormatting>
  <s:conditionalFormatting sqref="J28:J56">
    <s:cfRule type="cellIs" dxfId="121" priority="31" operator="greaterThan">
      <s:formula>$I$12</s:formula>
    </s:cfRule>
    <s:cfRule type="cellIs" dxfId="120" priority="30" operator="lessThan">
      <s:formula>$I$12</s:formula>
    </s:cfRule>
  </s:conditionalFormatting>
  <s:conditionalFormatting sqref="J36">
    <s:cfRule type="cellIs" dxfId="119" priority="1869" operator="lessThan">
      <s:formula>$I$12</s:formula>
    </s:cfRule>
    <s:cfRule type="cellIs" dxfId="118" priority="1866" operator="greaterThan">
      <s:formula>$I$12</s:formula>
    </s:cfRule>
    <s:cfRule type="cellIs" dxfId="117" priority="1854" operator="lessThan">
      <s:formula>$I$12</s:formula>
    </s:cfRule>
  </s:conditionalFormatting>
  <s:conditionalFormatting sqref="J39:J40">
    <s:cfRule type="cellIs" dxfId="116" priority="1826" operator="lessThan">
      <s:formula>$I$12</s:formula>
    </s:cfRule>
  </s:conditionalFormatting>
  <s:conditionalFormatting sqref="J44:J49">
    <s:cfRule type="cellIs" dxfId="115" priority="240" operator="lessThan">
      <s:formula>$I$12</s:formula>
    </s:cfRule>
  </s:conditionalFormatting>
  <s:conditionalFormatting sqref="J51:J53">
    <s:cfRule type="cellIs" dxfId="114" priority="1853" operator="lessThan">
      <s:formula>$I$12</s:formula>
    </s:cfRule>
  </s:conditionalFormatting>
  <s:conditionalFormatting sqref="M16">
    <s:cfRule type="cellIs" dxfId="113" priority="233" operator="lessThan">
      <s:formula>0</s:formula>
    </s:cfRule>
    <s:cfRule type="cellIs" dxfId="112" priority="231" operator="greaterThan">
      <s:formula>0</s:formula>
    </s:cfRule>
  </s:conditionalFormatting>
  <s:conditionalFormatting sqref="N8">
    <s:cfRule type="cellIs" dxfId="111" priority="2" operator="lessThan">
      <s:formula>$K$17</s:formula>
    </s:cfRule>
    <s:cfRule type="cellIs" dxfId="110" priority="1" operator="greaterThan">
      <s:formula>$K$17</s:formula>
    </s:cfRule>
  </s:conditionalFormatting>
  <s:conditionalFormatting sqref="N10:N12 N15">
    <s:cfRule type="cellIs" dxfId="109" priority="234" operator="lessThan">
      <s:formula>1</s:formula>
    </s:cfRule>
    <s:cfRule type="cellIs" dxfId="108" priority="230" operator="greaterThan">
      <s:formula>1</s:formula>
    </s:cfRule>
  </s:conditionalFormatting>
  <s:conditionalFormatting sqref="N13">
    <s:cfRule type="cellIs" dxfId="107" priority="226" operator="lessThan">
      <s:formula>$K$14</s:formula>
    </s:cfRule>
    <s:cfRule type="cellIs" dxfId="106" priority="227" operator="greaterThan">
      <s:formula>$K$14</s:formula>
    </s:cfRule>
  </s:conditionalFormatting>
  <s:conditionalFormatting sqref="P8:P15">
    <s:cfRule type="cellIs" dxfId="105" priority="228" operator="lessThan">
      <s:formula>1</s:formula>
    </s:cfRule>
    <s:cfRule type="cellIs" dxfId="104" priority="229" operator="greaterThan">
      <s:formula>1</s:formula>
    </s:cfRule>
  </s:conditionalFormatting>
  <s:conditionalFormatting sqref="S25:S44">
    <s:cfRule type="cellIs" dxfId="103" priority="18" operator="between">
      <s:formula>0.2</s:formula>
      <s:formula>0.25</s:formula>
    </s:cfRule>
  </s:conditionalFormatting>
  <s:conditionalFormatting sqref="S25:S49">
    <s:cfRule type="cellIs" dxfId="102" priority="19" operator="greaterThanOrEqual">
      <s:formula>0.25</s:formula>
    </s:cfRule>
  </s:conditionalFormatting>
  <s:conditionalFormatting sqref="S25:S56">
    <s:cfRule type="cellIs" dxfId="101" priority="20" operator="lessThan">
      <s:formula>0.2</s:formula>
    </s:cfRule>
  </s:conditionalFormatting>
  <s:conditionalFormatting sqref="S28:S38">
    <s:cfRule type="cellIs" dxfId="100" priority="27" operator="between">
      <s:formula>0.2</s:formula>
      <s:formula>0.25</s:formula>
    </s:cfRule>
    <s:cfRule type="cellIs" dxfId="99" priority="28" operator="greaterThanOrEqual">
      <s:formula>0.25</s:formula>
    </s:cfRule>
  </s:conditionalFormatting>
  <s:conditionalFormatting sqref="S36">
    <s:cfRule type="cellIs" dxfId="98" priority="1858" operator="between">
      <s:formula>0.2</s:formula>
      <s:formula>0.25</s:formula>
    </s:cfRule>
    <s:cfRule type="cellIs" dxfId="97" priority="1872" operator="greaterThanOrEqual">
      <s:formula>0.25</s:formula>
    </s:cfRule>
    <s:cfRule type="cellIs" dxfId="96" priority="1873" operator="between">
      <s:formula>0.2</s:formula>
      <s:formula>0.25</s:formula>
    </s:cfRule>
  </s:conditionalFormatting>
  <s:conditionalFormatting sqref="S39:S40">
    <s:cfRule type="cellIs" dxfId="95" priority="1832" operator="between">
      <s:formula>0.2</s:formula>
      <s:formula>0.25</s:formula>
    </s:cfRule>
  </s:conditionalFormatting>
  <s:conditionalFormatting sqref="S39:S56">
    <s:cfRule type="cellIs" dxfId="94" priority="50" operator="greaterThanOrEqual">
      <s:formula>0.25</s:formula>
    </s:cfRule>
  </s:conditionalFormatting>
  <s:conditionalFormatting sqref="S41:S56">
    <s:cfRule type="cellIs" dxfId="93" priority="49" operator="between">
      <s:formula>0.2</s:formula>
      <s:formula>0.25</s:formula>
    </s:cfRule>
  </s:conditionalFormatting>
  <s:conditionalFormatting sqref="S44:S49">
    <s:cfRule type="cellIs" dxfId="92" priority="241" operator="between">
      <s:formula>0.2</s:formula>
      <s:formula>0.25</s:formula>
    </s:cfRule>
  </s:conditionalFormatting>
  <s:conditionalFormatting sqref="S51:S53">
    <s:cfRule type="cellIs" dxfId="91" priority="1846" operator="between">
      <s:formula>0.2</s:formula>
      <s:formula>0.25</s:formula>
    </s:cfRule>
  </s:conditionalFormatting>
  <s:conditionalFormatting sqref="S10:T10">
    <s:cfRule type="cellIs" dxfId="90" priority="232" operator="lessThan">
      <s:formula>0</s:formula>
    </s:cfRule>
  </s:conditionalFormatting>
  <s:conditionalFormatting sqref="T25:T44">
    <s:cfRule type="cellIs" dxfId="89" priority="12" operator="between">
      <s:formula>0.9001</s:formula>
      <s:formula>0.9999</s:formula>
    </s:cfRule>
    <s:cfRule type="cellIs" dxfId="88" priority="13" operator="lessThan">
      <s:formula>0.9</s:formula>
    </s:cfRule>
    <s:cfRule type="cellIs" dxfId="87" priority="16" operator="between">
      <s:formula>0.85</s:formula>
      <s:formula>1</s:formula>
    </s:cfRule>
  </s:conditionalFormatting>
  <s:conditionalFormatting sqref="T25:T49">
    <s:cfRule type="cellIs" dxfId="86" priority="17" operator="between">
      <s:formula>0.01</s:formula>
      <s:formula>0.99</s:formula>
    </s:cfRule>
  </s:conditionalFormatting>
  <s:conditionalFormatting sqref="T25:T56">
    <s:cfRule type="cellIs" dxfId="85" priority="14" operator="greaterThan">
      <s:formula>1</s:formula>
    </s:cfRule>
    <s:cfRule type="cellIs" dxfId="84" priority="15" operator="greaterThan">
      <s:formula>100</s:formula>
    </s:cfRule>
  </s:conditionalFormatting>
  <s:conditionalFormatting sqref="T28:T38">
    <s:cfRule type="cellIs" dxfId="83" priority="26" operator="between">
      <s:formula>0.01</s:formula>
      <s:formula>0.99</s:formula>
    </s:cfRule>
    <s:cfRule type="cellIs" dxfId="82" priority="1868" operator="between">
      <s:formula>0.9001</s:formula>
      <s:formula>0.9999</s:formula>
    </s:cfRule>
    <s:cfRule type="cellIs" dxfId="81" priority="1865" operator="lessThan">
      <s:formula>0.9</s:formula>
    </s:cfRule>
    <s:cfRule type="cellIs" dxfId="80" priority="25" operator="between">
      <s:formula>0.85</s:formula>
      <s:formula>1</s:formula>
    </s:cfRule>
  </s:conditionalFormatting>
  <s:conditionalFormatting sqref="T36">
    <s:cfRule type="cellIs" dxfId="79" priority="1879" operator="between">
      <s:formula>0.9001</s:formula>
      <s:formula>0.9999</s:formula>
    </s:cfRule>
    <s:cfRule type="cellIs" dxfId="78" priority="1860" operator="between">
      <s:formula>0.85</s:formula>
      <s:formula>1</s:formula>
    </s:cfRule>
    <s:cfRule type="cellIs" dxfId="77" priority="1874" operator="between">
      <s:formula>0.01</s:formula>
      <s:formula>0.99</s:formula>
    </s:cfRule>
    <s:cfRule type="cellIs" dxfId="76" priority="1875" operator="between">
      <s:formula>0.85</s:formula>
      <s:formula>1</s:formula>
    </s:cfRule>
    <s:cfRule type="cellIs" dxfId="75" priority="1878" operator="lessThan">
      <s:formula>0.9</s:formula>
    </s:cfRule>
  </s:conditionalFormatting>
  <s:conditionalFormatting sqref="T39:T40">
    <s:cfRule type="cellIs" dxfId="74" priority="1844" operator="between">
      <s:formula>0.9001</s:formula>
      <s:formula>0.9999</s:formula>
    </s:cfRule>
    <s:cfRule type="cellIs" dxfId="73" priority="1842" operator="lessThan">
      <s:formula>0.9</s:formula>
    </s:cfRule>
    <s:cfRule type="cellIs" dxfId="72" priority="1836" operator="between">
      <s:formula>0.85</s:formula>
      <s:formula>1</s:formula>
    </s:cfRule>
  </s:conditionalFormatting>
  <s:conditionalFormatting sqref="T39:T56">
    <s:cfRule type="cellIs" dxfId="71" priority="48" operator="between">
      <s:formula>0.01</s:formula>
      <s:formula>0.99</s:formula>
    </s:cfRule>
  </s:conditionalFormatting>
  <s:conditionalFormatting sqref="T41:T56">
    <s:cfRule type="cellIs" dxfId="70" priority="43" operator="between">
      <s:formula>0.9001</s:formula>
      <s:formula>0.9999</s:formula>
    </s:cfRule>
    <s:cfRule type="cellIs" dxfId="69" priority="44" operator="lessThan">
      <s:formula>0.9</s:formula>
    </s:cfRule>
    <s:cfRule type="cellIs" dxfId="68" priority="47" operator="between">
      <s:formula>0.85</s:formula>
      <s:formula>1</s:formula>
    </s:cfRule>
  </s:conditionalFormatting>
  <s:conditionalFormatting sqref="T44:T49">
    <s:cfRule type="cellIs" dxfId="67" priority="244" operator="between">
      <s:formula>0.9001</s:formula>
      <s:formula>0.9999</s:formula>
    </s:cfRule>
    <s:cfRule type="cellIs" dxfId="66" priority="243" operator="lessThan">
      <s:formula>0.9</s:formula>
    </s:cfRule>
    <s:cfRule type="cellIs" dxfId="65" priority="242" operator="between">
      <s:formula>0.85</s:formula>
      <s:formula>1</s:formula>
    </s:cfRule>
  </s:conditionalFormatting>
  <s:conditionalFormatting sqref="T51:T53">
    <s:cfRule type="cellIs" dxfId="64" priority="1848" operator="between">
      <s:formula>0.85</s:formula>
      <s:formula>1</s:formula>
    </s:cfRule>
    <s:cfRule type="cellIs" dxfId="63" priority="1849" operator="lessThan">
      <s:formula>0.9</s:formula>
    </s:cfRule>
    <s:cfRule type="cellIs" dxfId="62" priority="185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8A2FDD81-3E69-7B40-ABE8-E0DE2FEB1881}">
  <s:sheetPr>
    <s:pageSetUpPr fitToPage="1"/>
  </s:sheetPr>
  <s:dimension ref="A1:IZ57"/>
  <s:sheetViews>
    <s:sheetView showZeros="0" tabSelected="0" zoomScale="94" workbookViewId="0">
      <s:pane xSplit="2" topLeftCell="C1" activePane="topRight" state="frozen"/>
      <s:selection activeCell="A18" sqref="A18"/>
      <s:selection pane="topRight" activeCell="R57" sqref="R57"/>
    </s:sheetView>
  </s:sheetViews>
  <s:sheetFormatPr baseColWidth="10" defaultColWidth="9.164" defaultRowHeight="15"/>
  <s:cols>
    <s:col min="1" max="1" width="4.164" style="295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594">
        <s:f ca="1">TODAY()-1</s:f>
        <s:v>46171</s:v>
      </s:c>
      <s:c r="C1" s="594"/>
      <s:c r="D1" s="11"/>
      <s:c r="E1" s="11"/>
      <s:c r="F1" s="12"/>
      <s:c r="G1" s="12"/>
      <s:c r="H1" s="12"/>
      <s:c r="I1" s="12"/>
      <s:c r="J1" s="248"/>
      <s:c r="K1" s="248"/>
      <s:c r="L1" s="248"/>
      <s:c r="M1" s="248"/>
      <s:c r="N1" s="248"/>
      <s:c r="O1" s="248"/>
      <s:c r="P1" s="248"/>
      <s:c r="Q1" s="248"/>
      <s:c r="R1" s="248"/>
      <s:c r="S1" s="248"/>
      <s:c r="T1" s="248"/>
      <s:c r="U1" s="248"/>
      <s:c r="V1" s="581"/>
      <s:c r="W1" s="581"/>
      <s:c r="X1" s="581"/>
      <s:c r="Y1" s="581"/>
      <s:c r="Z1" s="12"/>
      <s:c r="AA1" s="12"/>
      <s:c r="AB1" s="12"/>
    </s:row>
    <s:row r="2" spans="2:28" ht="21.75" customHeight="1">
      <s:c r="B2" s="582" t="s">
        <s:v>0</s:v>
      </s:c>
      <s:c r="C2" s="582"/>
      <s:c r="D2" s="11"/>
      <s:c r="E2" s="11"/>
      <s:c r="F2" s="12"/>
      <s:c r="G2" s="12"/>
      <s:c r="H2" s="12"/>
      <s:c r="I2" s="12"/>
      <s:c r="J2" s="591" t="s">
        <s:v>142</s:v>
      </s:c>
      <s:c r="K2" s="591"/>
      <s:c r="L2" s="591"/>
      <s:c r="M2" s="591"/>
      <s:c r="N2" s="591"/>
      <s:c r="O2" s="591"/>
      <s:c r="P2" s="591"/>
      <s:c r="Q2" s="591"/>
      <s:c r="R2" s="591"/>
      <s:c r="S2" s="591"/>
      <s:c r="T2" s="508"/>
      <s:c r="U2" s="508"/>
      <s:c r="V2" s="581"/>
      <s:c r="W2" s="581"/>
      <s:c r="X2" s="581"/>
      <s:c r="Y2" s="581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583" t="str">
        <s:f>График!B27</s:f>
        <s:v>Самошкина Алина</s:v>
      </s:c>
      <s:c r="K3" s="584"/>
      <s:c r="L3" s="584"/>
      <s:c r="M3" s="584"/>
      <s:c r="N3" s="584"/>
      <s:c r="O3" s="584"/>
      <s:c r="P3" s="584"/>
      <s:c r="Q3" s="584"/>
      <s:c r="R3" s="584"/>
      <s:c r="S3" s="585"/>
      <s:c r="T3" s="248"/>
      <s:c r="U3" s="296"/>
      <s:c r="V3" s="581"/>
      <s:c r="W3" s="581"/>
      <s:c r="X3" s="581"/>
      <s:c r="Y3" s="581"/>
      <s:c r="Z3" s="12"/>
      <s:c r="AA3" s="12"/>
      <s:c r="AB3" s="12"/>
    </s:row>
    <s:row r="4" spans="2:28" ht="15" customHeight="1">
      <s:c r="B4" s="11"/>
      <s:c r="C4" s="589">
        <s:f>L8-D50</s:f>
        <s:v>545990.97986577102</s:v>
      </s:c>
      <s:c r="D4" s="590"/>
      <s:c r="E4" s="249">
        <s:f>IF(L8&lt;&gt;0,C4/L8,0)</s:f>
        <s:v>1</s:v>
      </s:c>
      <s:c r="F4" s="12"/>
      <s:c r="G4" s="12"/>
      <s:c r="H4" s="12"/>
      <s:c r="I4" s="12"/>
      <s:c r="J4" s="586"/>
      <s:c r="K4" s="587"/>
      <s:c r="L4" s="587"/>
      <s:c r="M4" s="587"/>
      <s:c r="N4" s="587"/>
      <s:c r="O4" s="587"/>
      <s:c r="P4" s="587"/>
      <s:c r="Q4" s="587"/>
      <s:c r="R4" s="587"/>
      <s:c r="S4" s="588"/>
      <s:c r="T4" s="12"/>
      <s:c r="U4" s="12"/>
      <s:c r="V4" s="581"/>
      <s:c r="W4" s="581"/>
      <s:c r="X4" s="581"/>
      <s:c r="Y4" s="581"/>
      <s:c r="Z4" s="12"/>
      <s:c r="AA4" s="12"/>
      <s:c r="AB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571"/>
      <s:c r="K5" s="571"/>
      <s:c r="L5" s="571"/>
      <s:c r="M5" s="571"/>
      <s:c r="N5" s="571"/>
      <s:c r="O5" s="571"/>
      <s:c r="P5" s="571"/>
      <s:c r="Q5" s="571"/>
      <s:c r="R5" s="571"/>
      <s:c r="S5" s="571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5.75" customHeight="1" thickBot="1">
      <s:c r="B6" s="250"/>
      <s:c r="C6" s="12"/>
      <s:c r="D6" s="12"/>
      <s:c r="E6" s="12"/>
      <s:c r="F6" s="12"/>
      <s:c r="G6" s="12"/>
      <s:c r="H6" s="12"/>
      <s:c r="I6" s="578" t="s">
        <s:v>2</s:v>
      </s:c>
      <s:c r="J6" s="579"/>
      <s:c r="K6" s="579"/>
      <s:c r="L6" s="579"/>
      <s:c r="M6" s="579"/>
      <s:c r="N6" s="579"/>
      <s:c r="O6" s="579"/>
      <s:c r="P6" s="579"/>
      <s:c r="Q6" s="579"/>
      <s:c r="R6" s="579"/>
      <s:c r="S6" s="579"/>
      <s:c r="T6" s="580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250"/>
      <s:c r="C7" s="12"/>
      <s:c r="D7" s="12"/>
      <s:c r="E7" s="12"/>
      <s:c r="F7" s="12"/>
      <s:c r="G7" s="12"/>
      <s:c r="H7" s="12"/>
      <s:c r="I7" s="546" t="s">
        <s:v>3</s:v>
      </s:c>
      <s:c r="J7" s="547"/>
      <s:c r="K7" s="548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549" t="s">
        <s:v>11</s:v>
      </s:c>
      <s:c r="T7" s="550"/>
      <s:c r="U7" s="12"/>
      <s:c r="V7" s="12"/>
      <s:c r="W7" s="297"/>
      <s:c r="X7" s="18"/>
      <s:c r="Y7" s="12"/>
      <s:c r="Z7" s="12"/>
      <s:c r="AA7" s="12"/>
      <s:c r="AB7" s="12"/>
    </s:row>
    <s:row r="8" spans="2:28" ht="15.75" customHeight="1">
      <s:c r="B8" s="250"/>
      <s:c r="C8" s="12"/>
      <s:c r="D8" s="12"/>
      <s:c r="E8" s="297"/>
      <s:c r="F8" s="12"/>
      <s:c r="G8" s="12"/>
      <s:c r="H8" s="297"/>
      <s:c r="I8" s="539" t="s">
        <s:v>12</s:v>
      </s:c>
      <s:c r="J8" s="540"/>
      <s:c r="K8" s="541"/>
      <s:c r="L8" s="251">
        <s:f>'Ялта, Ленина, 18'!I8/График!AJ30*График!AJ27</s:f>
        <s:v>545990.97986577102</s:v>
      </s:c>
      <s:c r="M8" s="252">
        <s:f>D57</s:f>
        <s:v>168150</s:v>
      </s:c>
      <s:c r="N8" s="27">
        <s:f>IF(AND(L8&lt;&gt;"",L8&lt;&gt;0,M8&lt;&gt;""),M8/L8,"")</s:f>
        <s:v>0.30797212078730402</s:v>
      </s:c>
      <s:c r="O8" s="253">
        <s:f>IF(SUMIF($D$25:$D$56,"&gt;=0",$U$25:$U$56)&lt;&gt;0,L8*D57/SUMIF($D$25:$D$56,"&gt;=0",$U$25:$U$56),0)</s:f>
        <s:v>168149.99999999901</s:v>
      </s:c>
      <s:c r="P8" s="298">
        <s:f>IF(AND(L8&lt;&gt;"",L8&lt;&gt;0,O8&lt;&gt;"",O8&lt;&gt;0),O8/L8,"")</s:f>
        <s:v>0.30797212078730402</s:v>
      </s:c>
      <s:c r="Q8" s="32">
        <s:f>IF(AND(M8&lt;&gt;0,M8&lt;&gt;"",L8&lt;&gt;0,L8&lt;&gt;""),O8-L8,"")</s:f>
        <s:v>-377840.97986577102</s:v>
      </s:c>
      <s:c r="R8" s="31"/>
      <s:c r="S8" s="32" t="str">
        <s:f>IF(AND(R8&lt;&gt;"",R8&lt;&gt;0,O8&lt;&gt;"",O8&lt;&gt;0),-R8+O8,"")</s:f>
        <s:v/>
      </s:c>
      <s:c r="T8" s="33" t="str">
        <s:f>IF(AND(S8&lt;&gt;"",S8&lt;&gt;0,R8&lt;&gt;0,R8&lt;&gt;""),S8/R8,"")</s:f>
        <s:v/>
      </s:c>
      <s:c r="U8" s="12"/>
      <s:c r="V8" s="12"/>
      <s:c r="W8" s="12"/>
      <s:c r="X8" s="34"/>
      <s:c r="Y8" s="12"/>
      <s:c r="Z8" s="12"/>
      <s:c r="AA8" s="12"/>
      <s:c r="AB8" s="12"/>
    </s:row>
    <s:row r="9" spans="2:28" ht="15.75" customHeight="1">
      <s:c r="B9" s="250"/>
      <s:c r="C9" s="12"/>
      <s:c r="D9" s="12"/>
      <s:c r="E9" s="12"/>
      <s:c r="F9" s="12"/>
      <s:c r="G9" s="12"/>
      <s:c r="H9" s="12"/>
      <s:c r="I9" s="533" t="s">
        <s:v>13</s:v>
      </s:c>
      <s:c r="J9" s="534"/>
      <s:c r="K9" s="535"/>
      <s:c r="L9" s="36">
        <s:f>L8/L11</s:f>
        <s:v>79.129127516778496</s:v>
      </s:c>
      <s:c r="M9" s="299">
        <s:f>E57</s:f>
        <s:v>24</s:v>
      </s:c>
      <s:c r="N9" s="38">
        <s:f>IF(AND(L9&lt;&gt;"",L9&lt;&gt;0,M9&lt;&gt;""),M9/L9,"")</s:f>
        <s:v>0.30330171396002098</s:v>
      </s:c>
      <s:c r="O9" s="300">
        <s:f>IF(SUMIF($E$25:$E$54,"&gt;=0",$V$25:$V$54)&lt;&gt;0,L9*E57/SUMIF($E$25:$E$54,"&gt;=0",$V$25:$V$54),0)</s:f>
        <s:v>24</s:v>
      </s:c>
      <s:c r="P9" s="301">
        <s:f>IF(AND(L9&lt;&gt;"",L9&lt;&gt;0,O9&lt;&gt;"",O9&lt;&gt;0),O9/L9,"")</s:f>
        <s:v>0.30330171396002098</s:v>
      </s:c>
      <s:c r="Q9" s="41">
        <s:f>IF(AND(M9&lt;&gt;0,M9&lt;&gt;"",L9&lt;&gt;0,L9&lt;&gt;""),O9-L9,"")</s:f>
        <s:v>-55.129127516778397</s:v>
      </s:c>
      <s:c r="R9" s="42" t="e">
        <s:f>R8/R11</s:f>
        <s:v>#DIV/0!</s:v>
      </s:c>
      <s:c r="S9" s="41" t="e">
        <s:f>IF(AND(R9&lt;&gt;"",R9&lt;&gt;0,O9&lt;&gt;"",O9&lt;&gt;0),-R9+O9,"")</s:f>
        <s:v>#DIV/0!</s:v>
      </s:c>
      <s:c r="T9" s="43" t="e">
        <s:f>IF(AND(S9&lt;&gt;"",S9&lt;&gt;0,R9&lt;&gt;0,R9&lt;&gt;""),S9/R9,"")</s:f>
        <s:v>#DIV/0!</s:v>
      </s:c>
      <s:c r="U9" s="12"/>
      <s:c r="V9" s="12"/>
      <s:c r="W9" s="12"/>
      <s:c r="X9" s="34"/>
      <s:c r="Y9" s="12"/>
      <s:c r="Z9" s="12"/>
      <s:c r="AA9" s="12"/>
      <s:c r="AB9" s="12"/>
    </s:row>
    <s:row r="10" spans="2:28" ht="15.75" customHeight="1">
      <s:c r="B10" s="250"/>
      <s:c r="C10" s="12"/>
      <s:c r="D10" s="12"/>
      <s:c r="E10" s="12"/>
      <s:c r="F10" s="12"/>
      <s:c r="G10" s="12"/>
      <s:c r="H10" s="12"/>
      <s:c r="I10" s="539" t="s">
        <s:v>14</s:v>
      </s:c>
      <s:c r="J10" s="540"/>
      <s:c r="K10" s="541"/>
      <s:c r="L10" s="48">
        <s:f>L11*L12</s:f>
        <s:v>12006</s:v>
      </s:c>
      <s:c r="M10" s="259">
        <s:f>H57</s:f>
        <s:v>9341.6666666666606</s:v>
      </s:c>
      <s:c r="N10" s="45">
        <s:f>IF(AND(L10&lt;&gt;"",L10&lt;&gt;0,M10&lt;&gt;""),M10/L10,"")</s:f>
        <s:v>0.77808318063190596</s:v>
      </s:c>
      <s:c r="O10" s="256">
        <s:f>M10</s:f>
        <s:v>9341.6666666666606</s:v>
      </s:c>
      <s:c r="P10" s="302">
        <s:f>IF(AND(L10&lt;&gt;"",L10&lt;&gt;0,O10&lt;&gt;"",O10&lt;&gt;0),O10/L10,"")</s:f>
        <s:v>0.77808318063190596</s:v>
      </s:c>
      <s:c r="Q10" s="47">
        <s:f>IF(AND(M10&lt;&gt;0,M10&lt;&gt;"",L10&lt;&gt;0,L10&lt;&gt;""),O10-L10,"")</s:f>
        <s:v>-2664.3333333333298</s:v>
      </s:c>
      <s:c r="R10" s="48">
        <s:f>R11*R12</s:f>
        <s:v>0</s:v>
      </s:c>
      <s:c r="S10" s="47" t="str">
        <s:f>IF(AND(R10&lt;&gt;"",R10&lt;&gt;0,O10&lt;&gt;"",O10&lt;&gt;0),-R10+O10,"")</s:f>
        <s:v/>
      </s:c>
      <s:c r="T10" s="49" t="str">
        <s:f>IF(AND(S10&lt;&gt;"",S10&lt;&gt;0,R10&lt;&gt;0,R10&lt;&gt;""),S10/R10,"")</s:f>
        <s:v/>
      </s:c>
      <s:c r="U10" s="12"/>
      <s:c r="V10" s="12"/>
      <s:c r="W10" s="12"/>
      <s:c r="X10" s="34"/>
      <s:c r="Y10" s="12"/>
      <s:c r="Z10" s="12"/>
      <s:c r="AA10" s="12"/>
      <s:c r="AB10" s="12"/>
    </s:row>
    <s:row r="11" spans="2:28" ht="15.75" customHeight="1">
      <s:c r="B11" s="250"/>
      <s:c r="C11" s="12"/>
      <s:c r="D11" s="12"/>
      <s:c r="E11" s="12"/>
      <s:c r="F11" s="12"/>
      <s:c r="G11" s="12"/>
      <s:c r="H11" s="12"/>
      <s:c r="I11" s="533" t="s">
        <s:v>15</s:v>
      </s:c>
      <s:c r="J11" s="534"/>
      <s:c r="K11" s="535"/>
      <s:c r="L11" s="50">
        <s:f>'Ялта, Ленина, 18'!I11</s:f>
        <s:v>6900</s:v>
      </s:c>
      <s:c r="M11" s="299">
        <s:f>F57</s:f>
        <s:v>7006.25</s:v>
      </s:c>
      <s:c r="N11" s="38">
        <s:f>IF(AND(L11&lt;&gt;"",L11&lt;&gt;0,M11&lt;&gt;""),M11/L11,"")</s:f>
        <s:v>1.0153985507246299</s:v>
      </s:c>
      <s:c r="O11" s="300">
        <s:f>IF(O9&gt;0,O8/O9,"")</s:f>
        <s:v>7006.24999999995</s:v>
      </s:c>
      <s:c r="P11" s="301">
        <s:f>IF(AND(L11&lt;&gt;"",L11&lt;&gt;0,O11&lt;&gt;"",O11&lt;&gt;0),O11/L11,"")</s:f>
        <s:v>1.0153985507246299</s:v>
      </s:c>
      <s:c r="Q11" s="41">
        <s:f>IF(AND(M11&lt;&gt;0,M11&lt;&gt;"",L11&lt;&gt;0,L11&lt;&gt;""),O11-L11,"")</s:f>
        <s:v>106.249999999956</s:v>
      </s:c>
      <s:c r="R11" s="51"/>
      <s:c r="S11" s="41" t="str">
        <s:f>IF(AND(R11&lt;&gt;"",R11&lt;&gt;0,O11&lt;&gt;"",O11&lt;&gt;0),-R11+O11,"")</s:f>
        <s:v/>
      </s:c>
      <s:c r="T11" s="43" t="str">
        <s:f>IF(AND(S11&lt;&gt;"",S11&lt;&gt;0,R11&lt;&gt;0,R11&lt;&gt;""),S11/R11,"")</s:f>
        <s:v/>
      </s:c>
      <s:c r="U11" s="12"/>
      <s:c r="V11" s="12"/>
      <s:c r="W11" s="12"/>
      <s:c r="X11" s="34"/>
      <s:c r="Y11" s="12"/>
      <s:c r="Z11" s="12"/>
      <s:c r="AA11" s="12"/>
      <s:c r="AB11" s="12"/>
    </s:row>
    <s:row r="12" spans="2:28" ht="15.75" customHeight="1">
      <s:c r="B12" s="250"/>
      <s:c r="C12" s="12"/>
      <s:c r="D12" s="12"/>
      <s:c r="E12" s="12"/>
      <s:c r="F12" s="12"/>
      <s:c r="G12" s="12"/>
      <s:c r="H12" s="12"/>
      <s:c r="I12" s="533" t="s">
        <s:v>16</s:v>
      </s:c>
      <s:c r="J12" s="534"/>
      <s:c r="K12" s="535"/>
      <s:c r="L12" s="52">
        <s:f>'Ялта, Ленина, 18'!I12</s:f>
        <s:v>1.74</s:v>
      </s:c>
      <s:c r="M12" s="53">
        <s:f>J57</s:f>
        <s:v>1.3333333333333299</s:v>
      </s:c>
      <s:c r="N12" s="38">
        <s:f>IF(AND(L12&lt;&gt;"",L12&lt;&gt;0,M12&lt;&gt;""),M12/L12,"")</s:f>
        <s:v>0.76628352490421403</s:v>
      </s:c>
      <s:c r="O12" s="264">
        <s:f>M12</s:f>
        <s:v>1.3333333333333299</s:v>
      </s:c>
      <s:c r="P12" s="303">
        <s:f>IF(AND(L12&lt;&gt;"",L12&lt;&gt;0,O12&lt;&gt;"",O12&lt;&gt;0),O12/L12,"")</s:f>
        <s:v>0.76628352490421403</s:v>
      </s:c>
      <s:c r="Q12" s="55">
        <s:f>IF(AND(M12&lt;&gt;0,M12&lt;&gt;"",L12&lt;&gt;0,L12&lt;&gt;""),O12-L12,"")</s:f>
        <s:v>-0.40666666666666601</s:v>
      </s:c>
      <s:c r="R12" s="56"/>
      <s:c r="S12" s="41" t="str">
        <s:f>IF(AND(R12&lt;&gt;"",R12&lt;&gt;0,O12&lt;&gt;"",O12&lt;&gt;0),-R12+O12,"")</s:f>
        <s:v/>
      </s:c>
      <s:c r="T12" s="43" t="str">
        <s:f>IF(AND(S12&lt;&gt;"",S12&lt;&gt;0,R12&lt;&gt;0,R12&lt;&gt;""),S12/R12,"")</s:f>
        <s:v/>
      </s:c>
      <s:c r="U12" s="12"/>
      <s:c r="V12" s="12"/>
      <s:c r="W12" s="304">
        <s:f>U12-V12</s:f>
        <s:v>0</s:v>
      </s:c>
      <s:c r="X12" s="34"/>
      <s:c r="Y12" s="12"/>
      <s:c r="Z12" s="12"/>
      <s:c r="AA12" s="12"/>
      <s:c r="AB12" s="12"/>
    </s:row>
    <s:row r="13" spans="2:28" ht="15.75" customHeight="1">
      <s:c r="B13" s="250"/>
      <s:c r="C13" s="12"/>
      <s:c r="D13" s="12"/>
      <s:c r="E13" s="12"/>
      <s:c r="F13" s="12"/>
      <s:c r="G13" s="12"/>
      <s:c r="H13" s="12"/>
      <s:c r="I13" s="533" t="s">
        <s:v>17</s:v>
      </s:c>
      <s:c r="J13" s="534"/>
      <s:c r="K13" s="535"/>
      <s:c r="L13" s="36">
        <s:f>IF(L12&lt;&gt;0,L9/L12,"")</s:f>
        <s:v>45.476510067113999</s:v>
      </s:c>
      <s:c r="M13" s="299">
        <s:f>G57</s:f>
        <s:v>18</s:v>
      </s:c>
      <s:c r="N13" s="38">
        <s:f>IF(AND(L13&lt;&gt;"",L13&lt;&gt;0,M13&lt;&gt;""),M13/L13,"")</s:f>
        <s:v>0.39580873671782801</s:v>
      </s:c>
      <s:c r="O13" s="300">
        <s:f>IF(SUMIF($G$25:$G$54,"&gt;=0",$W$25:$W$54)&lt;&gt;0,L13*G57/SUMIF($G$25:$G$54,"&gt;=0",$W$25:$W$54),"")</s:f>
        <s:v>17.999999999999901</s:v>
      </s:c>
      <s:c r="P13" s="301">
        <s:f>IF(AND(L13&lt;&gt;"",L13&lt;&gt;0,O13&lt;&gt;"",O13&lt;&gt;0),O13/L13,"")</s:f>
        <s:v>0.39580873671782701</s:v>
      </s:c>
      <s:c r="Q13" s="55">
        <s:f>IF(AND(M13&lt;&gt;0,M13&lt;&gt;"",L13&lt;&gt;0,L13&lt;&gt;""),O13-L13,"")</s:f>
        <s:v>-27.476510067113999</s:v>
      </s:c>
      <s:c r="R13" s="57"/>
      <s:c r="S13" s="41" t="str">
        <s:f>IF(AND(R13&lt;&gt;"",R13&lt;&gt;0,O13&lt;&gt;"",O13&lt;&gt;0),-R13+O13,"")</s:f>
        <s:v/>
      </s:c>
      <s:c r="T13" s="43" t="str">
        <s:f>IF(AND(S13&lt;&gt;"",S13&lt;&gt;0,R13&lt;&gt;0,R13&lt;&gt;""),S13/R13,"")</s:f>
        <s:v/>
      </s:c>
      <s:c r="U13" s="12"/>
      <s:c r="V13" s="12"/>
      <s:c r="W13" s="12"/>
      <s:c r="X13" s="34"/>
      <s:c r="Y13" s="12"/>
      <s:c r="Z13" s="12"/>
      <s:c r="AA13" s="12"/>
      <s:c r="AB13" s="12"/>
    </s:row>
    <s:row r="14" spans="2:28" ht="15.75" customHeight="1">
      <s:c r="B14" s="250"/>
      <s:c r="C14" s="12"/>
      <s:c r="D14" s="12"/>
      <s:c r="E14" s="12"/>
      <s:c r="F14" s="12"/>
      <s:c r="G14" s="12"/>
      <s:c r="H14" s="12"/>
      <s:c r="I14" s="533" t="s">
        <s:v>74</s:v>
      </s:c>
      <s:c r="J14" s="534"/>
      <s:c r="K14" s="535"/>
      <s:c r="L14" s="50">
        <s:f>График!AI27</s:f>
        <s:v>11</s:v>
      </s:c>
      <s:c r="M14" s="59">
        <s:v>11</s:v>
      </s:c>
      <s:c r="N14" s="38">
        <s:f>IF(AND(L14&lt;&gt;"",L14&lt;&gt;0,M14&lt;&gt;""),M14/L14,"")</s:f>
        <s:v>1</s:v>
      </s:c>
      <s:c r="O14" s="39">
        <s:f>L14</s:f>
        <s:v>11</s:v>
      </s:c>
      <s:c r="P14" s="303">
        <s:f>IF(AND(L14&lt;&gt;"",L14&lt;&gt;0,O14&lt;&gt;"",O14&lt;&gt;0),O14/L14,"")</s:f>
        <s:v>1</s:v>
      </s:c>
      <s:c r="Q14" s="41">
        <s:f>IF(AND(M14&lt;&gt;0,M14&lt;&gt;"",L14&lt;&gt;0,L14&lt;&gt;""),O14-L14,"")</s:f>
        <s:v>0</s:v>
      </s:c>
      <s:c r="R14" s="57"/>
      <s:c r="S14" s="41" t="str">
        <s:f>IF(AND(R14&lt;&gt;"",R14&lt;&gt;0,O14&lt;&gt;"",O14&lt;&gt;0),-R14+O14,"")</s:f>
        <s:v/>
      </s:c>
      <s:c r="T14" s="43" t="str">
        <s:f>IF(AND(S14&lt;&gt;"",S14&lt;&gt;0,R14&lt;&gt;0,R14&lt;&gt;""),S14/R14,"")</s:f>
        <s:v/>
      </s:c>
      <s:c r="U14" s="12"/>
      <s:c r="V14" s="12"/>
      <s:c r="W14" s="12"/>
      <s:c r="X14" s="34"/>
      <s:c r="Y14" s="12"/>
      <s:c r="Z14" s="12"/>
      <s:c r="AA14" s="12"/>
      <s:c r="AB14" s="12"/>
    </s:row>
    <s:row r="15" spans="2:28" ht="15.75" customHeight="1">
      <s:c r="B15" s="250"/>
      <s:c r="C15" s="12"/>
      <s:c r="D15" s="12"/>
      <s:c r="E15" s="12"/>
      <s:c r="F15" s="12"/>
      <s:c r="G15" s="12"/>
      <s:c r="H15" s="12"/>
      <s:c r="I15" s="533" t="s">
        <s:v>19</s:v>
      </s:c>
      <s:c r="J15" s="534"/>
      <s:c r="K15" s="535"/>
      <s:c r="L15" s="69">
        <s:f>'Ялта, Ленина, 18'!I15</s:f>
        <s:v>65064.774193548386</s:v>
      </s:c>
      <s:c r="M15" s="299">
        <s:f>M8/M14</s:f>
        <s:v>15286.3636363636</s:v>
      </s:c>
      <s:c r="N15" s="62">
        <s:f>IF(AND(L15&lt;&gt;"",L15&lt;&gt;0,M15&lt;&gt;""),M15/L15,"")</s:f>
        <s:v>0.234940700645348</s:v>
      </s:c>
      <s:c r="O15" s="300">
        <s:f>M15</s:f>
        <s:v>15286.3636363636</s:v>
      </s:c>
      <s:c r="P15" s="301">
        <s:f>IF(AND(L15&lt;&gt;"",L15&lt;&gt;0,O15&lt;&gt;"",O15&lt;&gt;0),O15/L15,"")</s:f>
        <s:v>0.234940700645348</s:v>
      </s:c>
      <s:c r="Q15" s="41">
        <s:f>IF(AND(M15&lt;&gt;0,M15&lt;&gt;"",L15&lt;&gt;0,L15&lt;&gt;""),O15-L15,"")</s:f>
        <s:v>-49778.410557184703</s:v>
      </s:c>
      <s:c r="R15" s="65"/>
      <s:c r="S15" s="41" t="str">
        <s:f>IF(AND(R15&lt;&gt;"",R15&lt;&gt;0,O15&lt;&gt;"",O15&lt;&gt;0),-R15+O15,"")</s:f>
        <s:v/>
      </s:c>
      <s:c r="T15" s="43" t="str">
        <s:f>IF(AND(S15&lt;&gt;"",S15&lt;&gt;0,R15&lt;&gt;0,R15&lt;&gt;""),S15/R15,"")</s:f>
        <s:v/>
      </s:c>
      <s:c r="U15" s="12"/>
      <s:c r="V15" s="12"/>
      <s:c r="W15" s="12"/>
      <s:c r="X15" s="34"/>
      <s:c r="Y15" s="12"/>
      <s:c r="Z15" s="12"/>
      <s:c r="AA15" s="12"/>
      <s:c r="AB15" s="12"/>
    </s:row>
    <s:row r="16" spans="2:28" ht="15.75" customHeight="1">
      <s:c r="B16" s="250"/>
      <s:c r="C16" s="12"/>
      <s:c r="D16" s="12"/>
      <s:c r="E16" s="12"/>
      <s:c r="F16" s="12"/>
      <s:c r="G16" s="12"/>
      <s:c r="H16" s="12"/>
      <s:c r="I16" s="533" t="s">
        <s:v>20</s:v>
      </s:c>
      <s:c r="J16" s="534"/>
      <s:c r="K16" s="535"/>
      <s:c r="L16" s="69"/>
      <s:c r="M16" s="37">
        <s:f>M8-L15*M14</s:f>
        <s:v>-547562.51612903201</s:v>
      </s:c>
      <s:c r="N16" s="62" t="str">
        <s:f>IF(AND(L16&lt;&gt;"",L16&lt;&gt;0,M16&lt;&gt;""),M16/L16,"")</s:f>
        <s:v/>
      </s:c>
      <s:c r="O16" s="256">
        <s:f>M16</s:f>
        <s:v>-547562.51612903201</s:v>
      </s:c>
      <s:c r="P16" s="305" t="str">
        <s:f>IF(AND(L16&lt;&gt;"",L16&lt;&gt;0,O16&lt;&gt;"",O16&lt;&gt;0),O16/L16,"")</s:f>
        <s:v/>
      </s:c>
      <s:c r="Q16" s="41" t="str">
        <s:f>IF(AND(M16&lt;&gt;0,M16&lt;&gt;"",L16&lt;&gt;0,L16&lt;&gt;""),O16-L16,"")</s:f>
        <s:v/>
      </s:c>
      <s:c r="R16" s="65"/>
      <s:c r="S16" s="41" t="str">
        <s:f>IF(AND(R16&lt;&gt;"",R16&lt;&gt;0,O16&lt;&gt;"",O16&lt;&gt;0),-R16+O16,"")</s:f>
        <s:v/>
      </s:c>
      <s:c r="T16" s="43" t="str">
        <s:f>IF(AND(S16&lt;&gt;"",S16&lt;&gt;0,R16&lt;&gt;0,R16&lt;&gt;""),S16/R16,"")</s:f>
        <s:v/>
      </s:c>
      <s:c r="U16" s="12"/>
      <s:c r="V16" s="12"/>
      <s:c r="W16" s="12"/>
      <s:c r="X16" s="34"/>
      <s:c r="Y16" s="12"/>
      <s:c r="Z16" s="12"/>
      <s:c r="AA16" s="12"/>
      <s:c r="AB16" s="12"/>
    </s:row>
    <s:row r="17" spans="1:38" ht="15.75" customHeight="1">
      <s:c r="B17" s="250"/>
      <s:c r="C17" s="12"/>
      <s:c r="D17" s="267"/>
      <s:c r="E17" s="12"/>
      <s:c r="F17" s="12"/>
      <s:c r="G17" s="267"/>
      <s:c r="H17" s="12"/>
      <s:c r="I17" s="533" t="s">
        <s:v>21</s:v>
      </s:c>
      <s:c r="J17" s="534"/>
      <s:c r="K17" s="535"/>
      <s:c r="L17" s="69">
        <s:f>'Ялта, Ленина, 18'!I17/График!AJ30*График!AJ27</s:f>
        <s:v>378.97091722595002</s:v>
      </s:c>
      <s:c r="M17" s="299">
        <s:f>I57</s:f>
        <s:v>364</s:v>
      </s:c>
      <s:c r="N17" s="62">
        <s:f>IF(AND(L17&lt;&gt;"",L17&lt;&gt;0,M17&lt;&gt;""),M17/L17,"")</s:f>
        <s:v>0.96049586776859697</s:v>
      </s:c>
      <s:c r="O17" s="300">
        <s:f>M17/M14*L14</s:f>
        <s:v>364</s:v>
      </s:c>
      <s:c r="P17" s="306">
        <s:f>IF(AND(L17&lt;&gt;"",L17&lt;&gt;0,O17&lt;&gt;"",O17&lt;&gt;0),O17/L17,"")</s:f>
        <s:v>0.96049586776859697</s:v>
      </s:c>
      <s:c r="Q17" s="41">
        <s:f>IF(AND(M17&lt;&gt;0,M17&lt;&gt;"",L17&lt;&gt;0,L17&lt;&gt;""),O17-L17,"")</s:f>
        <s:v>-14.97091722595</s:v>
      </s:c>
      <s:c r="R17" s="65"/>
      <s:c r="S17" s="41" t="str">
        <s:f>IF(AND(R17&lt;&gt;"",R17&lt;&gt;0,O17&lt;&gt;"",O17&lt;&gt;0),-R17+O17,"")</s:f>
        <s:v/>
      </s:c>
      <s:c r="T17" s="43" t="str">
        <s:f>IF(AND(S17&lt;&gt;"",S17&lt;&gt;0,R17&lt;&gt;0,R17&lt;&gt;""),S17/R17,"")</s:f>
        <s:v/>
      </s:c>
      <s:c r="U17" s="12"/>
      <s:c r="V17" s="12"/>
      <s:c r="W17" s="12"/>
      <s:c r="X17" s="34"/>
      <s:c r="Y17" s="12"/>
      <s:c r="Z17" s="12"/>
      <s:c r="AA17" s="12"/>
      <s:c r="AB17" s="12"/>
    </s:row>
    <s:row r="18" spans="1:38" ht="15.75" customHeight="1">
      <s:c r="B18" s="250"/>
      <s:c r="C18" s="12"/>
      <s:c r="D18" s="12"/>
      <s:c r="E18" s="12"/>
      <s:c r="F18" s="12"/>
      <s:c r="G18" s="12"/>
      <s:c r="H18" s="12"/>
      <s:c r="I18" s="533"/>
      <s:c r="J18" s="534"/>
      <s:c r="K18" s="535"/>
      <s:c r="L18" s="70"/>
      <s:c r="M18" s="37"/>
      <s:c r="N18" s="62" t="str">
        <s:f>IF(AND(L18&lt;&gt;"",L18&lt;&gt;0,M18&lt;&gt;""),M18/L18,"")</s:f>
        <s:v/>
      </s:c>
      <s:c r="O18" s="256">
        <s:f>M18</s:f>
        <s:v>0</s:v>
      </s:c>
      <s:c r="P18" s="305" t="str">
        <s:f>IF(AND(L18&lt;&gt;"",L18&lt;&gt;0,O18&lt;&gt;"",O18&lt;&gt;0),O18/L18,"")</s:f>
        <s:v/>
      </s:c>
      <s:c r="Q18" s="41" t="str">
        <s:f>IF(AND(M18&lt;&gt;0,M18&lt;&gt;"",L18&lt;&gt;0,L18&lt;&gt;""),O18-L18,"")</s:f>
        <s:v/>
      </s:c>
      <s:c r="R18" s="73">
        <s:v>0</s:v>
      </s:c>
      <s:c r="S18" s="41" t="str">
        <s:f>IF(AND(R18&lt;&gt;"",R18&lt;&gt;0,O18&lt;&gt;"",O18&lt;&gt;0),-R18+O18,"")</s:f>
        <s:v/>
      </s:c>
      <s:c r="T18" s="43" t="str">
        <s:f>IF(AND(S18&lt;&gt;"",S18&lt;&gt;0,R18&lt;&gt;0,R18&lt;&gt;""),S18/R18,"")</s:f>
        <s:v/>
      </s:c>
      <s:c r="U18" s="12"/>
      <s:c r="V18" s="12"/>
      <s:c r="W18" s="12"/>
      <s:c r="X18" s="12"/>
      <s:c r="Y18" s="12"/>
      <s:c r="Z18" s="12"/>
      <s:c r="AA18" s="12"/>
      <s:c r="AB18" s="12"/>
    </s:row>
    <s:row r="19" spans="1:38" ht="15.75" customHeight="1">
      <s:c r="B19" s="250"/>
      <s:c r="C19" s="12"/>
      <s:c r="D19" s="12"/>
      <s:c r="E19" s="12"/>
      <s:c r="F19" s="12"/>
      <s:c r="G19" s="12"/>
      <s:c r="H19" s="12"/>
      <s:c r="I19" s="533"/>
      <s:c r="J19" s="534"/>
      <s:c r="K19" s="535"/>
      <s:c r="L19" s="70"/>
      <s:c r="M19" s="299"/>
      <s:c r="N19" s="62" t="str">
        <s:f>IF(AND(L19&lt;&gt;"",L19&lt;&gt;0,M19&lt;&gt;""),M19/L19,"")</s:f>
        <s:v/>
      </s:c>
      <s:c r="O19" s="300">
        <s:f>M19</s:f>
        <s:v>0</s:v>
      </s:c>
      <s:c r="P19" s="306" t="str">
        <s:f>IF(AND(L19&lt;&gt;"",L19&lt;&gt;0,O19&lt;&gt;"",O19&lt;&gt;0),O19/L19,"")</s:f>
        <s:v/>
      </s:c>
      <s:c r="Q19" s="41" t="str">
        <s:f>IF(AND(M19&lt;&gt;0,M19&lt;&gt;"",L19&lt;&gt;0,L19&lt;&gt;""),O19-L19,"")</s:f>
        <s:v/>
      </s:c>
      <s:c r="R19" s="65">
        <s:v>0</s:v>
      </s:c>
      <s:c r="S19" s="41" t="str">
        <s:f>IF(AND(R19&lt;&gt;"",R19&lt;&gt;0,O19&lt;&gt;"",O19&lt;&gt;0),-R19+O19,"")</s:f>
        <s:v/>
      </s:c>
      <s:c r="T19" s="43" t="str">
        <s:f>IF(AND(S19&lt;&gt;"",S19&lt;&gt;0,R19&lt;&gt;0,R19&lt;&gt;""),S19/R19,"")</s:f>
        <s:v/>
      </s:c>
      <s:c r="U19" s="12"/>
      <s:c r="V19" s="12"/>
      <s:c r="W19" s="12"/>
      <s:c r="X19" s="12"/>
      <s:c r="Y19" s="12"/>
      <s:c r="Z19" s="12"/>
      <s:c r="AA19" s="12"/>
      <s:c r="AB19" s="12"/>
    </s:row>
    <s:row r="20" spans="1:38" ht="15.75" customHeight="1" thickBot="1">
      <s:c r="B20" s="250"/>
      <s:c r="C20" s="12"/>
      <s:c r="D20" s="12"/>
      <s:c r="E20" s="12"/>
      <s:c r="F20" s="12"/>
      <s:c r="G20" s="12"/>
      <s:c r="H20" s="12"/>
      <s:c r="I20" s="536" t="s">
        <s:v>23</s:v>
      </s:c>
      <s:c r="J20" s="536"/>
      <s:c r="K20" s="536"/>
      <s:c r="L20" s="272">
        <s:f>'Ялта, Ленина, 18'!I20</s:f>
        <s:v>0.12</s:v>
      </s:c>
      <s:c r="M20" s="273">
        <s:f>S57</s:f>
        <s:v>4.94505494505494E-2</s:v>
      </s:c>
      <s:c r="N20" s="274">
        <s:f>M20/L20</s:f>
        <s:v>0.41208791208791201</s:v>
      </s:c>
      <s:c r="O20" s="275">
        <s:f>IF(AND(N8&lt;&gt;0,L14&lt;&gt;0,I57&lt;&gt;0),(I57*S57+(I57/N8-I57)*L20)/(I57/N8),0)</s:f>
        <s:v>9.8272736093906604E-2</s:v>
      </s:c>
      <s:c r="P20" s="275">
        <s:f>IF(AND(L20&lt;&gt;"",L20&lt;&gt;0,O20&lt;&gt;"",O20&lt;&gt;0),O20/L20,"")</s:f>
        <s:v>0.81893946744922197</s:v>
      </s:c>
      <s:c r="Q20" s="79">
        <s:f>IF(AND(M20&lt;&gt;0,M20&lt;&gt;"",L20&lt;&gt;0,L20&lt;&gt;""),O20-L20,"")</s:f>
        <s:v>-2.1727263906093301E-2</s:v>
      </s:c>
      <s:c r="R20" s="80"/>
      <s:c r="S20" s="81" t="str">
        <s:f>IF(AND(R20&lt;&gt;"",R20&lt;&gt;0,O20&lt;&gt;"",O20&lt;&gt;0),-R20+O20,"")</s:f>
        <s:v/>
      </s:c>
      <s:c r="T20" s="82" t="str">
        <s:f>IF(AND(S20&lt;&gt;"",S20&lt;&gt;0,R20&lt;&gt;0,R20&lt;&gt;""),S20/R20,"")</s:f>
        <s:v/>
      </s:c>
      <s:c r="U20" s="12"/>
      <s:c r="V20" s="12"/>
      <s:c r="W20" s="18"/>
      <s:c r="X20" s="18"/>
      <s:c r="Y20" s="12"/>
      <s:c r="Z20" s="12"/>
      <s:c r="AA20" s="12"/>
      <s:c r="AB20" s="12"/>
    </s:row>
    <s:row r="21" spans="1:38" ht="15.75" customHeight="1">
      <s:c r="B21" s="250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38" ht="16.5" customHeight="1">
      <s:c r="B22" s="569" t="s">
        <s:v>24</s:v>
      </s:c>
      <s:c r="C22" s="569"/>
      <s:c r="D22" s="569"/>
      <s:c r="E22" s="569"/>
      <s:c r="F22" s="569"/>
      <s:c r="G22" s="569"/>
      <s:c r="H22" s="569"/>
      <s:c r="I22" s="569"/>
      <s:c r="J22" s="569"/>
      <s:c r="K22" s="569"/>
      <s:c r="L22" s="569"/>
      <s:c r="M22" s="569"/>
      <s:c r="N22" s="569"/>
      <s:c r="O22" s="569"/>
      <s:c r="P22" s="569"/>
      <s:c r="Q22" s="569"/>
      <s:c r="R22" s="569"/>
      <s:c r="S22" s="569"/>
      <s:c r="T22" s="570" t="s">
        <s:v>44</s:v>
      </s:c>
      <s:c r="U22" s="569" t="s">
        <s:v>25</s:v>
      </s:c>
      <s:c r="V22" s="569"/>
      <s:c r="W22" s="569"/>
      <s:c r="X22" s="569"/>
      <s:c r="Y22" s="569"/>
      <s:c r="Z22" s="569"/>
      <s:c r="AA22" s="569"/>
      <s:c r="AB22" s="569"/>
    </s:row>
    <s:row r="23" ht="36">
      <s:c r="B23" s="277" t="s">
        <s:v>27</s:v>
      </s:c>
      <s:c r="C23" s="277" t="s">
        <s:v>28</s:v>
      </s:c>
      <s:c r="D23" s="277" t="s">
        <s:v>29</s:v>
      </s:c>
      <s:c r="E23" s="277" t="s">
        <s:v>30</s:v>
      </s:c>
      <s:c r="F23" s="277" t="s">
        <s:v>31</s:v>
      </s:c>
      <s:c r="G23" s="277" t="s">
        <s:v>32</s:v>
      </s:c>
      <s:c r="H23" s="277" t="s">
        <s:v>33</s:v>
      </s:c>
      <s:c r="I23" s="277" t="s">
        <s:v>21</s:v>
      </s:c>
      <s:c r="J23" s="277" t="s">
        <s:v>34</s:v>
      </s:c>
      <s:c r="K23" s="85" t="s">
        <s:v>35</s:v>
      </s:c>
      <s:c r="L23" s="85" t="s">
        <s:v>36</s:v>
      </s:c>
      <s:c r="M23" s="85" t="s">
        <s:v>37</s:v>
      </s:c>
      <s:c r="N23" s="85" t="s">
        <s:v>38</s:v>
      </s:c>
      <s:c r="O23" s="278" t="s">
        <s:v>39</s:v>
      </s:c>
      <s:c r="P23" s="85" t="s">
        <s:v>40</s:v>
      </s:c>
      <s:c r="Q23" s="278" t="s">
        <s:v>77</s:v>
      </s:c>
      <s:c r="R23" s="85" t="s">
        <s:v>42</s:v>
      </s:c>
      <s:c r="S23" s="277" t="s">
        <s:v>78</s:v>
      </s:c>
      <s:c r="T23" s="570"/>
      <s:c r="U23" s="277" t="s">
        <s:v>45</s:v>
      </s:c>
      <s:c r="V23" s="277" t="s">
        <s:v>46</s:v>
      </s:c>
      <s:c r="W23" s="277" t="s">
        <s:v>47</s:v>
      </s:c>
      <s:c r="X23" s="277" t="s">
        <s:v>48</s:v>
      </s:c>
      <s:c r="Y23" s="277" t="s">
        <s:v>49</s:v>
      </s:c>
      <s:c r="Z23" s="277" t="s">
        <s:v>50</s:v>
      </s:c>
      <s:c r="AA23" s="279" t="s">
        <s:v>51</s:v>
      </s:c>
      <s:c r="AB23" s="279" t="s">
        <s:v>52</s:v>
      </s:c>
      <s:c r="AC23" s="124"/>
    </s:row>
    <s:row r="24">
      <s:c r="B24" s="280">
        <s:v>1</s:v>
      </s:c>
      <s:c r="C24" s="280">
        <s:v>2</s:v>
      </s:c>
      <s:c r="D24" s="280">
        <s:v>3</s:v>
      </s:c>
      <s:c r="E24" s="280" t="s">
        <s:v>80</s:v>
      </s:c>
      <s:c r="F24" s="280">
        <s:v>5</s:v>
      </s:c>
      <s:c r="G24" s="280">
        <s:v>6</s:v>
      </s:c>
      <s:c r="H24" s="280">
        <s:v>7</s:v>
      </s:c>
      <s:c r="I24" s="280">
        <s:v>8</s:v>
      </s:c>
      <s:c r="J24" s="280">
        <s:v>9</s:v>
      </s:c>
      <s:c r="K24" s="280">
        <s:v>10</s:v>
      </s:c>
      <s:c r="L24" s="280">
        <s:v>11</s:v>
      </s:c>
      <s:c r="M24" s="280">
        <s:v>12</s:v>
      </s:c>
      <s:c r="N24" s="280">
        <s:v>13</s:v>
      </s:c>
      <s:c r="O24" s="280"/>
      <s:c r="P24" s="280">
        <s:v>14</s:v>
      </s:c>
      <s:c r="Q24" s="280">
        <s:v>15</s:v>
      </s:c>
      <s:c r="R24" s="280">
        <s:v>16</s:v>
      </s:c>
      <s:c r="S24" s="280">
        <s:v>17</s:v>
      </s:c>
      <s:c r="T24" s="570"/>
      <s:c r="U24" s="282">
        <s:v>1</s:v>
      </s:c>
      <s:c r="V24" s="282">
        <s:v>2</s:v>
      </s:c>
      <s:c r="W24" s="282">
        <s:v>3</s:v>
      </s:c>
      <s:c r="X24" s="282">
        <s:v>4</s:v>
      </s:c>
      <s:c r="Y24" s="282">
        <s:v>5</s:v>
      </s:c>
      <s:c r="Z24" s="282">
        <s:v>6</s:v>
      </s:c>
      <s:c r="AA24" s="282">
        <s:v>10</s:v>
      </s:c>
      <s:c r="AB24" s="282">
        <s:v>11</s:v>
      </s:c>
    </s:row>
    <s:row r="25">
      <s:c r="A25" s="96">
        <s:v>1</s:v>
      </s:c>
      <s:c r="B25" s="97">
        <s:v>46094</s:v>
      </s:c>
      <s:c r="C25" s="98" t="s">
        <s:v>59</s:v>
      </s:c>
      <s:c r="D25" s="99">
        <s:f>7393+6893</s:f>
        <s:v>14286</s:v>
      </s:c>
      <s:c r="E25" s="101">
        <s:v>2</s:v>
      </s:c>
      <s:c r="F25" s="101">
        <s:f>IF(AND(E25&lt;&gt;"",E25&lt;&gt;0),D25/E25,"")</s:f>
        <s:v>7143</s:v>
      </s:c>
      <s:c r="G25" s="101">
        <s:v>2</s:v>
      </s:c>
      <s:c r="H25" s="101">
        <s:f>IF(AND(G25&lt;&gt;"",G25&lt;&gt;0),D25/G25,"")</s:f>
        <s:v>7143</s:v>
      </s:c>
      <s:c r="I25" s="101">
        <s:v>19</s:v>
      </s:c>
      <s:c r="J25" s="99">
        <s:f>IF(AND(G25&lt;&gt;"",G25&lt;&gt;0),E25/G25,"")</s:f>
        <s:v>1</s:v>
      </s:c>
      <s:c r="K25" s="101"/>
      <s:c r="L25" s="101"/>
      <s:c r="M25" s="101"/>
      <s:c r="N25" s="101"/>
      <s:c r="O25" s="101"/>
      <s:c r="P25" s="101"/>
      <s:c r="Q25" s="101"/>
      <s:c r="R25" s="101"/>
      <s:c r="S25" s="102">
        <s:f>IF(AND(I25&lt;&gt;"",I25&lt;&gt;0),G25/I25,"")</s:f>
        <s:v>0.10526315789473684</s:v>
      </s:c>
      <s:c r="T25" s="507">
        <s:f>D25/U25</s:f>
        <s:v>0.20932213940255301</s:v>
      </s:c>
      <s:c r="U25" s="104">
        <s:f>$L$8*AA25*AB25/SUMPRODUCT($AB$25:$AB$56,$AA$25:$AA$56)</s:f>
        <s:v>68248.872483221407</s:v>
      </s:c>
      <s:c r="V25" s="105">
        <s:f>$L$9*AA25*AB25/SUMPRODUCT($AB$25:$AB$56,$AA$25:$AA$56)</s:f>
        <s:v>9.8911409395973102</s:v>
      </s:c>
      <s:c r="W25" s="105">
        <s:f>IF($L$12="","",V25/$L$12)</s:f>
        <s:v>5.6845637583892596</s:v>
      </s:c>
      <s:c r="X25" s="104">
        <s:f>IF(D25&lt;&gt;"",D25,U25)</s:f>
        <s:v>14286</s:v>
      </s:c>
      <s:c r="Y25" s="105">
        <s:f>IF(E25&lt;&gt;"",E25,V25)</s:f>
        <s:v>2</s:v>
      </s:c>
      <s:c r="Z25" s="105">
        <s:f>IF(G25&lt;&gt;"",G25,W25)</s:f>
        <s:v>2</s:v>
      </s:c>
      <s:c r="AA25" s="106">
        <s:v>1</s:v>
      </s:c>
      <s:c r="AB25" s="106">
        <s:v>1</s:v>
      </s:c>
      <s:c r="AC25" s="283"/>
      <s:c r="AD25" s="108"/>
    </s:row>
    <s:row r="26">
      <s:c r="A26" s="96">
        <s:v>2</s:v>
      </s:c>
      <s:c r="B26" s="97">
        <s:v>46095</s:v>
      </s:c>
      <s:c r="C26" s="98" t="s">
        <s:v>60</s:v>
      </s:c>
      <s:c r="D26" s="99">
        <s:v>7584</s:v>
      </s:c>
      <s:c r="E26" s="101">
        <s:v>2</s:v>
      </s:c>
      <s:c r="F26" s="101">
        <s:f>IF(AND(E26&lt;&gt;"",E26&lt;&gt;0),D26/E26,"")</s:f>
        <s:v>3792</s:v>
      </s:c>
      <s:c r="G26" s="101">
        <s:v>1</s:v>
      </s:c>
      <s:c r="H26" s="101">
        <s:f>IF(AND(G26&lt;&gt;"",G26&lt;&gt;0),D26/G26,"")</s:f>
        <s:v>7584</s:v>
      </s:c>
      <s:c r="I26" s="101">
        <s:v>15</s:v>
      </s:c>
      <s:c r="J26" s="99">
        <s:f>IF(AND(G26&lt;&gt;"",G26&lt;&gt;0),E26/G26,"")</s:f>
        <s:v>2</s:v>
      </s:c>
      <s:c r="K26" s="101"/>
      <s:c r="L26" s="101"/>
      <s:c r="M26" s="101"/>
      <s:c r="N26" s="101"/>
      <s:c r="O26" s="101"/>
      <s:c r="P26" s="101"/>
      <s:c r="Q26" s="101"/>
      <s:c r="R26" s="101"/>
      <s:c r="S26" s="102">
        <s:f>IF(AND(I26&lt;&gt;"",I26&lt;&gt;0),G26/I26,"")</s:f>
        <s:v>6.6666666666666666E-2</s:v>
      </s:c>
      <s:c r="T26" s="507">
        <s:f>D26/U26</s:f>
        <s:v>0.111122714911729</s:v>
      </s:c>
      <s:c r="U26" s="104">
        <s:f>$L$8*AA26*AB26/SUMPRODUCT($AB$25:$AB$56,$AA$25:$AA$56)</s:f>
        <s:v>68248.872483221407</s:v>
      </s:c>
      <s:c r="V26" s="105">
        <s:f>$L$9*AA26*AB26/SUMPRODUCT($AB$25:$AB$58,$AA$25:$AA$58)</s:f>
        <s:v>9.8911409395973102</s:v>
      </s:c>
      <s:c r="W26" s="105">
        <s:f>IF($L$12="","",V26/$L$12)</s:f>
        <s:v>5.6845637583892596</s:v>
      </s:c>
      <s:c r="X26" s="104">
        <s:f>IF(AB26&lt;&gt;"",IF(D26&lt;&gt;"",D26,($L$8-SUM($X$25:X25))*AA26*AB26/SUMPRODUCT($AB26:$AB$56,$AA26:$AA$56)),"")</s:f>
        <s:v>7584</s:v>
      </s:c>
      <s:c r="Y26" s="105">
        <s:f>IF(AB26&lt;&gt;"",IF(E26&lt;&gt;"",E26,($L$9-SUM($Y$25:Y25))*AA26*AB26/SUMPRODUCT($AB26:$AB$58,$AA26:$AA$58)),"")</s:f>
        <s:v>2</s:v>
      </s:c>
      <s:c r="Z26" s="105">
        <s:f>IF(AB26&lt;&gt;"",IF($L$12&lt;&gt;"",IF(G26&lt;&gt;"",G26,($L$9/$L$12-SUM($Z$25:Z25))*AA26*AB26/SUMPRODUCT($AB26:$AB$58,$AA26:$AA$58)),""),"")</s:f>
        <s:v>1</s:v>
      </s:c>
      <s:c r="AA26" s="106">
        <s:v>1</s:v>
      </s:c>
      <s:c r="AB26" s="106">
        <s:v>1</s:v>
      </s:c>
      <s:c r="AC26" s="107"/>
      <s:c r="AD26" s="108"/>
    </s:row>
    <s:row r="27">
      <s:c r="A27" s="96">
        <s:v>3</s:v>
      </s:c>
      <s:c r="B27" s="97">
        <s:v>46096</s:v>
      </s:c>
      <s:c r="C27" s="98" t="s">
        <s:v>53</s:v>
      </s:c>
      <s:c r="D27" s="99">
        <s:v>0</s:v>
      </s:c>
      <s:c r="E27" s="101">
        <s:v>0</s:v>
      </s:c>
      <s:c r="F27" s="101">
        <s:v>0</s:v>
      </s:c>
      <s:c r="G27" s="101">
        <s:v>0</s:v>
      </s:c>
      <s:c r="H27" s="101">
        <s:v>0</s:v>
      </s:c>
      <s:c r="I27" s="101">
        <s:v>22</s:v>
      </s:c>
      <s:c r="J27" s="99" t="str">
        <s:f>IF(AND(G27&lt;&gt;"",G27&lt;&gt;0),E27/G27,"")</s:f>
        <s:v/>
      </s:c>
      <s:c r="K27" s="101"/>
      <s:c r="L27" s="101"/>
      <s:c r="M27" s="101"/>
      <s:c r="N27" s="101"/>
      <s:c r="O27" s="101"/>
      <s:c r="P27" s="101"/>
      <s:c r="Q27" s="101"/>
      <s:c r="R27" s="101"/>
      <s:c r="S27" s="102">
        <s:f>IF(AND(I27&lt;&gt;"",I27&lt;&gt;0),G27/I27,"")</s:f>
        <s:v>0</s:v>
      </s:c>
      <s:c r="T27" s="507">
        <s:f>I27/U27</s:f>
        <s:v>3.2234964768697901E-4</s:v>
      </s:c>
      <s:c r="U27" s="104">
        <s:f>$L$8*AA27*AB27/SUMPRODUCT($AB$25:$AB$56,$AA$25:$AA$56)</s:f>
        <s:v>68248.872483221407</s:v>
      </s:c>
      <s:c r="V27" s="105">
        <s:f>$L$9*AA27*AB27/SUMPRODUCT($AB$25:$AB$58,$AA$25:$AA$58)</s:f>
        <s:v>9.8911409395973102</s:v>
      </s:c>
      <s:c r="W27" s="105">
        <s:f>IF($L$12="","",V27/$L$12)</s:f>
        <s:v>5.6845637583892596</s:v>
      </s:c>
      <s:c r="X27" s="104">
        <s:f>IF(AB27&lt;&gt;"",IF(D27&lt;&gt;"",D27,($L$8-SUM($X$25:X26))*AA27*AB27/SUMPRODUCT($AB27:$AB$58,$AA27:$AA$58)),"")</s:f>
        <s:v>0</s:v>
      </s:c>
      <s:c r="Y27" s="105">
        <s:f>IF(AB27&lt;&gt;"",IF(E27&lt;&gt;"",E27,($L$9-SUM($Y$25:Y26))*AA27*AB27/SUMPRODUCT($AB27:$AB$58,$AA27:$AA$58)),"")</s:f>
        <s:v>0</s:v>
      </s:c>
      <s:c r="Z27" s="105">
        <s:f>IF(AB27&lt;&gt;"",IF($L$12&lt;&gt;"",IF(G27&lt;&gt;"",G27,($L$9/$L$12-SUM($Z$25:Z26))*AA27*AB27/SUMPRODUCT($AB27:$AB$58,$AA27:$AA$58)),""),"")</s:f>
        <s:v>0</s:v>
      </s:c>
      <s:c r="AA27" s="106">
        <s:v>1</s:v>
      </s:c>
      <s:c r="AB27" s="106">
        <s:v>1</s:v>
      </s:c>
      <s:c r="AC27" s="107"/>
      <s:c r="AD27" s="108"/>
      <s:c r="AE27" s="109"/>
      <s:c r="AF27" s="2"/>
      <s:c r="AG27" s="2"/>
      <s:c r="AH27" s="2"/>
      <s:c r="AI27" s="2"/>
      <s:c r="AJ27" s="2"/>
      <s:c r="AK27" s="2"/>
      <s:c r="AL27" s="2"/>
    </s:row>
    <s:row r="28">
      <s:c r="A28" s="96">
        <s:v>4</s:v>
      </s:c>
      <s:c r="B28" s="97">
        <s:v>46099</s:v>
      </s:c>
      <s:c r="C28" s="113" t="s">
        <s:v>57</s:v>
      </s:c>
      <s:c r="D28" s="99">
        <s:v>0</s:v>
      </s:c>
      <s:c r="E28" s="287">
        <s:v>0</s:v>
      </s:c>
      <s:c r="F28" s="101">
        <s:v>0</s:v>
      </s:c>
      <s:c r="G28" s="287">
        <s:v>0</s:v>
      </s:c>
      <s:c r="H28" s="101">
        <s:v>0</s:v>
      </s:c>
      <s:c r="I28" s="287">
        <s:v>8</s:v>
      </s:c>
      <s:c r="J28" s="99" t="str">
        <s:f>IF(AND(G28&lt;&gt;"",G28&lt;&gt;0),E28/G28,"")</s:f>
        <s:v/>
      </s:c>
      <s:c r="K28" s="287"/>
      <s:c r="L28" s="101"/>
      <s:c r="M28" s="307"/>
      <s:c r="N28" s="308"/>
      <s:c r="O28" s="308"/>
      <s:c r="P28" s="101"/>
      <s:c r="Q28" s="101"/>
      <s:c r="R28" s="101"/>
      <s:c r="S28" s="102">
        <s:f>IF(AND(I28&lt;&gt;"",I28&lt;&gt;0),G28/I28,"")</s:f>
        <s:v>0</s:v>
      </s:c>
      <s:c r="T28" s="507">
        <s:f>I28/U28</s:f>
        <s:v>1.17218053704356E-4</s:v>
      </s:c>
      <s:c r="U28" s="104">
        <s:f>$L$8*AA28*AB28/SUMPRODUCT($AB$25:$AB$56,$AA$25:$AA$56)</s:f>
        <s:v>68248.872483221407</s:v>
      </s:c>
      <s:c r="V28" s="105">
        <s:f>$L$9*AA28*AB28/SUMPRODUCT($AB$25:$AB$58,$AA$25:$AA$58)</s:f>
        <s:v>9.8911409395973102</s:v>
      </s:c>
      <s:c r="W28" s="105">
        <s:f>IF($L$12="","",V28/$L$12)</s:f>
        <s:v>5.6845637583892596</s:v>
      </s:c>
      <s:c r="X28" s="104">
        <s:f>IF(AB28&lt;&gt;"",IF(D28&lt;&gt;"",D28,($L$8-SUM($X$25:X27))*AA28*AB28/SUMPRODUCT($AB28:$AB$58,$AA28:$AA$58)),"")</s:f>
        <s:v>0</s:v>
      </s:c>
      <s:c r="Y28" s="105">
        <s:f>IF(AB28&lt;&gt;"",IF(E28&lt;&gt;"",E28,($L$9-SUM($Y$25:Y27))*AA28*AB28/SUMPRODUCT($AB28:$AB$58,$AA28:$AA$58)),"")</s:f>
        <s:v>0</s:v>
      </s:c>
      <s:c r="Z28" s="105">
        <s:f>IF(AB28&lt;&gt;"",IF($L$12&lt;&gt;"",IF(G28&lt;&gt;"",G28,($L$9/$L$12-SUM($Z$25:Z27))*AA28*AB28/SUMPRODUCT($AB28:$AB$58,$AA28:$AA$58)),""),"")</s:f>
        <s:v>0</s:v>
      </s:c>
      <s:c r="AA28" s="106">
        <s:v>1</s:v>
      </s:c>
      <s:c r="AB28" s="106">
        <s:v>1</s:v>
      </s:c>
      <s:c r="AC28" s="107"/>
      <s:c r="AD28" s="108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96">
        <s:v>5</s:v>
      </s:c>
      <s:c r="B29" s="97">
        <s:v>46100</s:v>
      </s:c>
      <s:c r="C29" s="98" t="s">
        <s:v>58</s:v>
      </s:c>
      <s:c r="D29" s="291">
        <s:v>7885</s:v>
      </s:c>
      <s:c r="E29" s="101">
        <s:v>2</s:v>
      </s:c>
      <s:c r="F29" s="101">
        <s:f>IF(AND(E29&lt;&gt;"",E29&lt;&gt;0),D29/E29,"")</s:f>
        <s:v>3942.5</s:v>
      </s:c>
      <s:c r="G29" s="101">
        <s:v>2</s:v>
      </s:c>
      <s:c r="H29" s="101">
        <s:f>IF(AND(G29&lt;&gt;"",G29&lt;&gt;0),D29/G29,"")</s:f>
        <s:v>3942.5</s:v>
      </s:c>
      <s:c r="I29" s="101">
        <s:v>30</s:v>
      </s:c>
      <s:c r="J29" s="291">
        <s:f>IF(AND(G29&lt;&gt;"",G29&lt;&gt;0),E29/G29,"")</s:f>
        <s:v>1</s:v>
      </s:c>
      <s:c r="K29" s="101"/>
      <s:c r="L29" s="309"/>
      <s:c r="M29" s="101"/>
      <s:c r="N29" s="101"/>
      <s:c r="O29" s="310"/>
      <s:c r="P29" s="310"/>
      <s:c r="Q29" s="310"/>
      <s:c r="R29" s="101"/>
      <s:c r="S29" s="292">
        <s:f>IF(AND(I29&lt;&gt;"",I29&lt;&gt;0),G29/I29,"")</s:f>
        <s:v>6.6666666666666596E-2</s:v>
      </s:c>
      <s:c r="T29" s="507">
        <s:f>I29/U29</s:f>
        <s:v>4.3956770139133501E-4</s:v>
      </s:c>
      <s:c r="U29" s="104">
        <s:f>$L$8*AA29*AB29/SUMPRODUCT($AB$25:$AB$56,$AA$25:$AA$56)</s:f>
        <s:v>68248.872483221407</s:v>
      </s:c>
      <s:c r="V29" s="105">
        <s:f>$L$9*AA29*AB29/SUMPRODUCT($AB$25:$AB$58,$AA$25:$AA$58)</s:f>
        <s:v>9.8911409395973102</s:v>
      </s:c>
      <s:c r="W29" s="105">
        <s:f>IF($L$12="","",V29/$L$12)</s:f>
        <s:v>5.6845637583892596</s:v>
      </s:c>
      <s:c r="X29" s="104">
        <s:f>IF(AB29&lt;&gt;"",IF(D29&lt;&gt;"",D29,($L$8-SUM($X$25:X28))*AA29*AB29/SUMPRODUCT($AB29:$AB$58,$AA29:$AA$58)),"")</s:f>
        <s:v>7885</s:v>
      </s:c>
      <s:c r="Y29" s="105">
        <s:f>IF(AB29&lt;&gt;"",IF(E29&lt;&gt;"",E29,($L$9-SUM($Y$25:Y28))*AA29*AB29/SUMPRODUCT($AB29:$AB$58,$AA29:$AA$58)),"")</s:f>
        <s:v>2</s:v>
      </s:c>
      <s:c r="Z29" s="105">
        <s:f>IF(AB29&lt;&gt;"",IF($L$12&lt;&gt;"",IF(G29&lt;&gt;"",G29,($L$9/$L$12-SUM($Z$25:Z28))*AA29*AB29/SUMPRODUCT($AB29:$AB$58,$AA29:$AA$58)),""),"")</s:f>
        <s:v>2</s:v>
      </s:c>
      <s:c r="AA29" s="106">
        <s:v>1</s:v>
      </s:c>
      <s:c r="AB29" s="106">
        <s:v>1</s:v>
      </s:c>
      <s:c r="AC29" s="107"/>
      <s:c r="AD29" s="108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96">
        <s:v>6</s:v>
      </s:c>
      <s:c r="B30" s="97">
        <s:v>46101</s:v>
      </s:c>
      <s:c r="C30" s="113" t="s">
        <s:v>59</s:v>
      </s:c>
      <s:c r="D30" s="99">
        <s:v>0</s:v>
      </s:c>
      <s:c r="E30" s="101">
        <s:v>0</s:v>
      </s:c>
      <s:c r="F30" s="101">
        <s:v>0</s:v>
      </s:c>
      <s:c r="G30" s="101">
        <s:v>0</s:v>
      </s:c>
      <s:c r="H30" s="101">
        <s:v>0</s:v>
      </s:c>
      <s:c r="I30" s="287">
        <s:v>30</s:v>
      </s:c>
      <s:c r="J30" s="99" t="str">
        <s:f>IF(AND(G30&lt;&gt;"",G30&lt;&gt;0),E30/G30,"")</s:f>
        <s:v/>
      </s:c>
      <s:c r="K30" s="287"/>
      <s:c r="L30" s="101"/>
      <s:c r="M30" s="101"/>
      <s:c r="N30" s="308"/>
      <s:c r="O30" s="308"/>
      <s:c r="P30" s="101"/>
      <s:c r="Q30" s="101"/>
      <s:c r="R30" s="101"/>
      <s:c r="S30" s="102">
        <s:f>IF(AND(I30&lt;&gt;"",I30&lt;&gt;0),G30/I30,"")</s:f>
        <s:v>0</s:v>
      </s:c>
      <s:c r="T30" s="507">
        <s:f>I30/U30</s:f>
        <s:v>4.3956770139133501E-4</s:v>
      </s:c>
      <s:c r="U30" s="104">
        <s:f>$L$8*AA30*AB30/SUMPRODUCT($AB$25:$AB$56,$AA$25:$AA$56)</s:f>
        <s:v>68248.872483221407</s:v>
      </s:c>
      <s:c r="V30" s="105">
        <s:f>$L$9*AA30*AB30/SUMPRODUCT($AB$25:$AB$58,$AA$25:$AA$58)</s:f>
        <s:v>9.8911409395973102</s:v>
      </s:c>
      <s:c r="W30" s="105">
        <s:f>IF($L$12="","",V30/$L$12)</s:f>
        <s:v>5.6845637583892596</s:v>
      </s:c>
      <s:c r="X30" s="104">
        <s:f>IF(AB30&lt;&gt;"",IF(D30&lt;&gt;"",D30,($L$8-SUM($X$25:X29))*AA30*AB30/SUMPRODUCT($AB30:$AB$58,$AA30:$AA$58)),"")</s:f>
        <s:v>0</s:v>
      </s:c>
      <s:c r="Y30" s="105">
        <s:f>IF(AB30&lt;&gt;"",IF(E30&lt;&gt;"",E30,($L$9-SUM($Y$25:Y29))*AA30*AB30/SUMPRODUCT($AB30:$AB$58,$AA30:$AA$58)),"")</s:f>
        <s:v>0</s:v>
      </s:c>
      <s:c r="Z30" s="105">
        <s:f>IF(AB30&lt;&gt;"",IF($L$12&lt;&gt;"",IF(G30&lt;&gt;"",G30,($L$9/$L$12-SUM($Z$25:Z29))*AA30*AB30/SUMPRODUCT($AB30:$AB$58,$AA30:$AA$58)),""),"")</s:f>
        <s:v>0</s:v>
      </s:c>
      <s:c r="AA30" s="106">
        <s:v>1</s:v>
      </s:c>
      <s:c r="AB30" s="106">
        <s:v>1</s:v>
      </s:c>
      <s:c r="AC30" s="107"/>
      <s:c r="AD30" s="108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96">
        <s:v>7</s:v>
      </s:c>
      <s:c r="B31" s="97">
        <s:v>46103</s:v>
      </s:c>
      <s:c r="C31" s="98" t="s">
        <s:v>53</s:v>
      </s:c>
      <s:c r="D31" s="291">
        <s:v>4693</s:v>
      </s:c>
      <s:c r="E31" s="101">
        <s:v>1</s:v>
      </s:c>
      <s:c r="F31" s="101">
        <s:f>IF(AND(E31&lt;&gt;"",E31&lt;&gt;0),D31/E31,"")</s:f>
        <s:v>4693</s:v>
      </s:c>
      <s:c r="G31" s="287">
        <s:v>1</s:v>
      </s:c>
      <s:c r="H31" s="101">
        <s:f>IF(AND(G31&lt;&gt;"",G31&lt;&gt;0),D31/G31,"")</s:f>
        <s:v>4693</s:v>
      </s:c>
      <s:c r="I31" s="101">
        <s:v>27</s:v>
      </s:c>
      <s:c r="J31" s="291">
        <s:f>IF(AND(G31&lt;&gt;"",G31&lt;&gt;0),E31/G31,"")</s:f>
        <s:v>1</s:v>
      </s:c>
      <s:c r="K31" s="101"/>
      <s:c r="L31" s="309"/>
      <s:c r="M31" s="101"/>
      <s:c r="N31" s="101"/>
      <s:c r="O31" s="310"/>
      <s:c r="P31" s="310"/>
      <s:c r="Q31" s="310"/>
      <s:c r="R31" s="101"/>
      <s:c r="S31" s="292">
        <s:f>IF(AND(I31&lt;&gt;"",I31&lt;&gt;0),G31/I31,"")</s:f>
        <s:v>3.7037037037037E-2</s:v>
      </s:c>
      <s:c r="T31" s="507">
        <s:f>I31/U31</s:f>
        <s:v>3.9561093125220102E-4</s:v>
      </s:c>
      <s:c r="U31" s="104">
        <s:f>$L$8*AA31*AB31/SUMPRODUCT($AB$25:$AB$56,$AA$25:$AA$56)</s:f>
        <s:v>68248.872483221407</s:v>
      </s:c>
      <s:c r="V31" s="105">
        <s:f>$L$9*AA31*AB31/SUMPRODUCT($AB$25:$AB$58,$AA$25:$AA$58)</s:f>
        <s:v>9.8911409395973102</s:v>
      </s:c>
      <s:c r="W31" s="105">
        <s:f>IF($L$12="","",V31/$L$12)</s:f>
        <s:v>5.6845637583892596</s:v>
      </s:c>
      <s:c r="X31" s="104">
        <s:f>IF(AB31&lt;&gt;"",IF(D31&lt;&gt;"",D31,($L$8-SUM($X$25:X30))*AA31*AB31/SUMPRODUCT($AB31:$AB$58,$AA31:$AA$58)),"")</s:f>
        <s:v>4693</s:v>
      </s:c>
      <s:c r="Y31" s="105">
        <s:f>IF(AB31&lt;&gt;"",IF(E31&lt;&gt;"",E31,($L$9-SUM($Y$25:Y30))*AA31*AB31/SUMPRODUCT($AB31:$AB$58,$AA31:$AA$58)),"")</s:f>
        <s:v>1</s:v>
      </s:c>
      <s:c r="Z31" s="105">
        <s:f>IF(AB31&lt;&gt;"",IF($L$12&lt;&gt;"",IF(G31&lt;&gt;"",G31,($L$9/$L$12-SUM($Z$25:Z30))*AA31*AB31/SUMPRODUCT($AB31:$AB$58,$AA31:$AA$58)),""),"")</s:f>
        <s:v>1</s:v>
      </s:c>
      <s:c r="AA31" s="106">
        <s:v>1</s:v>
      </s:c>
      <s:c r="AB31" s="106">
        <s:v>1</s:v>
      </s:c>
      <s:c r="AC31" s="107"/>
      <s:c r="AD31" s="108"/>
      <s:c r="AJ31" s="2"/>
      <s:c r="AK31" s="2"/>
      <s:c r="AL31" s="2"/>
    </s:row>
    <s:row r="32">
      <s:c r="A32" s="96">
        <s:v>8</s:v>
      </s:c>
      <s:c r="B32" s="97">
        <s:v>46106</s:v>
      </s:c>
      <s:c r="C32" s="113" t="s">
        <s:v>57</s:v>
      </s:c>
      <s:c r="D32" s="99">
        <s:v>17183</s:v>
      </s:c>
      <s:c r="E32" s="287">
        <s:v>2</s:v>
      </s:c>
      <s:c r="F32" s="101">
        <s:f>IF(AND(E32&lt;&gt;"",E32&lt;&gt;0),D32/E32,"")</s:f>
        <s:v>8591.5</s:v>
      </s:c>
      <s:c r="G32" s="101">
        <s:v>1</s:v>
      </s:c>
      <s:c r="H32" s="101">
        <s:f>IF(AND(G32&lt;&gt;"",G32&lt;&gt;0),D32/G32,"")</s:f>
        <s:v>17183</s:v>
      </s:c>
      <s:c r="I32" s="101">
        <s:v>66</s:v>
      </s:c>
      <s:c r="J32" s="99">
        <s:f>IF(AND(G32&lt;&gt;"",G32&lt;&gt;0),E32/G32,"")</s:f>
        <s:v>2</s:v>
      </s:c>
      <s:c r="K32" s="101"/>
      <s:c r="L32" s="101"/>
      <s:c r="M32" s="101"/>
      <s:c r="N32" s="308"/>
      <s:c r="O32" s="308"/>
      <s:c r="P32" s="101"/>
      <s:c r="Q32" s="101"/>
      <s:c r="R32" s="101"/>
      <s:c r="S32" s="102">
        <s:f>IF(AND(I32&lt;&gt;"",I32&lt;&gt;0),G32/I32,"")</s:f>
        <s:v>1.5151515151515152E-2</s:v>
      </s:c>
      <s:c r="T32" s="507">
        <s:f>I32/U32</s:f>
        <s:v>9.6704894306093704E-4</s:v>
      </s:c>
      <s:c r="U32" s="104">
        <s:f>$L$8*AA32*AB32/SUMPRODUCT($AB$25:$AB$56,$AA$25:$AA$56)</s:f>
        <s:v>68248.872483221407</s:v>
      </s:c>
      <s:c r="V32" s="105">
        <s:f>$L$9*AA32*AB32/SUMPRODUCT($AB$25:$AB$58,$AA$25:$AA$58)</s:f>
        <s:v>9.8911409395973102</s:v>
      </s:c>
      <s:c r="W32" s="105">
        <s:f>IF($L$12="","",V32/$L$12)</s:f>
        <s:v>5.6845637583892596</s:v>
      </s:c>
      <s:c r="X32" s="104">
        <s:f>IF(AB32&lt;&gt;"",IF(D32&lt;&gt;"",D32,($L$8-SUM($X$25:X31))*AA32*AB32/SUMPRODUCT($AB32:$AB$58,$AA32:$AA$58)),"")</s:f>
        <s:v>17183</s:v>
      </s:c>
      <s:c r="Y32" s="105">
        <s:f>IF(AB32&lt;&gt;"",IF(E32&lt;&gt;"",E32,($L$9-SUM($Y$25:Y31))*AA32*AB32/SUMPRODUCT($AB32:$AB$58,$AA32:$AA$58)),"")</s:f>
        <s:v>2</s:v>
      </s:c>
      <s:c r="Z32" s="105">
        <s:f>IF(AB32&lt;&gt;"",IF($L$12&lt;&gt;"",IF(G32&lt;&gt;"",G32,($L$9/$L$12-SUM($Z$25:Z31))*AA32*AB32/SUMPRODUCT($AB32:$AB$58,$AA32:$AA$58)),""),"")</s:f>
        <s:v>1</s:v>
      </s:c>
      <s:c r="AA32" s="106">
        <s:v>1</s:v>
      </s:c>
      <s:c r="AB32" s="106">
        <s:v>1</s:v>
      </s:c>
      <s:c r="AC32" s="107"/>
      <s:c r="AD32" s="108"/>
      <s:c r="AJ32" s="2"/>
      <s:c r="AK32" s="2"/>
      <s:c r="AL32" s="2"/>
    </s:row>
    <s:row r="33">
      <s:c r="A33" s="96"/>
      <s:c r="B33" s="97">
        <s:v>46107</s:v>
      </s:c>
      <s:c r="C33" s="98" t="s">
        <s:v>58</s:v>
      </s:c>
      <s:c r="D33" s="291">
        <s:v>67031</s:v>
      </s:c>
      <s:c r="E33" s="101">
        <s:v>7</s:v>
      </s:c>
      <s:c r="F33" s="101">
        <s:f>IF(AND(E33&lt;&gt;"",E33&lt;&gt;0),D33/E33,"")</s:f>
        <s:v>9575.8571428571395</s:v>
      </s:c>
      <s:c r="G33" s="101">
        <s:v>4</s:v>
      </s:c>
      <s:c r="H33" s="101">
        <s:f>IF(AND(G33&lt;&gt;"",G33&lt;&gt;0),D33/G33,"")</s:f>
        <s:v>16757.75</s:v>
      </s:c>
      <s:c r="I33" s="287">
        <s:v>68</s:v>
      </s:c>
      <s:c r="J33" s="99">
        <s:f>IF(AND(G33&lt;&gt;"",G33&lt;&gt;0),E33/G33,"")</s:f>
        <s:v>1.75</s:v>
      </s:c>
      <s:c r="K33" s="101">
        <s:v>10990</s:v>
      </s:c>
      <s:c r="L33" s="309"/>
      <s:c r="M33" s="101"/>
      <s:c r="N33" s="101"/>
      <s:c r="O33" s="310"/>
      <s:c r="P33" s="310">
        <s:v>12290</s:v>
      </s:c>
      <s:c r="Q33" s="310"/>
      <s:c r="R33" s="101"/>
      <s:c r="S33" s="311">
        <s:f>IF(AND(I33&lt;&gt;"",I33&lt;&gt;0),G33/I33,"")</s:f>
        <s:v>5.8823529411764705E-2</s:v>
      </s:c>
      <s:c r="T33" s="507" t="e">
        <s:f>I33/U33</s:f>
        <s:v>#DIV/0!</s:v>
      </s:c>
      <s:c r="U33" s="104">
        <s:f>$L$8*AA33*AB33/SUMPRODUCT($AB$25:$AB$56,$AA$25:$AA$56)</s:f>
        <s:v>0</s:v>
      </s:c>
      <s:c r="V33" s="105">
        <s:f>$L$9*AA33*AB33/SUMPRODUCT($AB$25:$AB$58,$AA$25:$AA$58)</s:f>
        <s:v>0</s:v>
      </s:c>
      <s:c r="W33" s="105">
        <s:f>IF($L$12="","",V33/$L$12)</s:f>
        <s:v>0</s:v>
      </s:c>
      <s:c r="X33" s="104" t="str">
        <s:f>IF(AB33&lt;&gt;"",IF(D33&lt;&gt;"",D33,($L$8-SUM($X$25:X32))*AA33*AB33/SUMPRODUCT($AB33:$AB$58,$AA33:$AA$58)),"")</s:f>
        <s:v/>
      </s:c>
      <s:c r="Y33" s="105" t="str">
        <s:f>IF(AB33&lt;&gt;"",IF(E33&lt;&gt;"",E33,($L$9-SUM($Y$25:Y32))*AA33*AB33/SUMPRODUCT($AB33:$AB$58,$AA33:$AA$58)),"")</s:f>
        <s:v/>
      </s:c>
      <s:c r="Z33" s="105" t="str">
        <s:f>IF(AB33&lt;&gt;"",IF($L$12&lt;&gt;"",IF(G33&lt;&gt;"",G33,($L$9/$L$12-SUM($Z$25:Z32))*AA33*AB33/SUMPRODUCT($AB33:$AB$58,$AA33:$AA$58)),""),"")</s:f>
        <s:v/>
      </s:c>
      <s:c r="AA33" s="106"/>
      <s:c r="AB33" s="106"/>
      <s:c r="AC33" s="107"/>
      <s:c r="AD33" s="108"/>
      <s:c r="AE33" s="2"/>
      <s:c r="AF33" s="2"/>
      <s:c r="AG33" s="2"/>
      <s:c r="AH33" s="2"/>
      <s:c r="AI33" s="2"/>
      <s:c r="AJ33" s="2"/>
      <s:c r="AK33" s="2"/>
      <s:c r="AL33" s="2"/>
    </s:row>
    <s:row r="34" spans="1:260" s="312" customFormat="1">
      <s:c r="A34" s="96"/>
      <s:c r="B34" s="97">
        <s:v>46111</s:v>
      </s:c>
      <s:c r="C34" s="113" t="s">
        <s:v>55</s:v>
      </s:c>
      <s:c r="D34" s="99">
        <s:v>13977</s:v>
      </s:c>
      <s:c r="E34" s="313">
        <s:v>3</s:v>
      </s:c>
      <s:c r="F34" s="101">
        <s:f>IF(AND(E34&lt;&gt;"",E34&lt;&gt;0),D34/E34,"")</s:f>
        <s:v>4659</s:v>
      </s:c>
      <s:c r="G34" s="287">
        <s:v>2</s:v>
      </s:c>
      <s:c r="H34" s="101">
        <s:f>IF(AND(G34&lt;&gt;"",G34&lt;&gt;0),D34/G34,"")</s:f>
        <s:v>6988.5</s:v>
      </s:c>
      <s:c r="I34" s="101">
        <s:v>33</s:v>
      </s:c>
      <s:c r="J34" s="291">
        <s:f>IF(AND(G34&lt;&gt;"",G34&lt;&gt;0),E34/G34,"")</s:f>
        <s:v>1.5</s:v>
      </s:c>
      <s:c r="K34" s="101"/>
      <s:c r="L34" s="101"/>
      <s:c r="M34" s="101"/>
      <s:c r="N34" s="308"/>
      <s:c r="O34" s="308"/>
      <s:c r="P34" s="101"/>
      <s:c r="Q34" s="101"/>
      <s:c r="R34" s="101"/>
      <s:c r="S34" s="102">
        <s:f>IF(AND(I34&lt;&gt;"",I34&lt;&gt;0),G34/I34,"")</s:f>
        <s:v>6.0606060606060601E-2</s:v>
      </s:c>
      <s:c r="T34" s="507" t="e">
        <s:f>I34/U34</s:f>
        <s:v>#DIV/0!</s:v>
      </s:c>
      <s:c r="U34" s="104">
        <s:f>$L$8*AA34*AB34/SUMPRODUCT($AB$25:$AB$56,$AA$25:$AA$56)</s:f>
        <s:v>0</s:v>
      </s:c>
      <s:c r="V34" s="105">
        <s:f>$L$9*AA34*AB34/SUMPRODUCT($AB$25:$AB$58,$AA$25:$AA$58)</s:f>
        <s:v>0</s:v>
      </s:c>
      <s:c r="W34" s="105">
        <s:f>IF($L$12="","",V34/$L$12)</s:f>
        <s:v>0</s:v>
      </s:c>
      <s:c r="X34" s="104" t="str">
        <s:f>IF(AB34&lt;&gt;"",IF(D34&lt;&gt;"",D34,($L$8-SUM($X$25:X33))*AA34*AB34/SUMPRODUCT($AB34:$AB$58,$AA34:$AA$58)),"")</s:f>
        <s:v/>
      </s:c>
      <s:c r="Y34" s="105" t="str">
        <s:f>IF(AB34&lt;&gt;"",IF(E34&lt;&gt;"",E34,($L$9-SUM($Y$25:Y33))*AA34*AB34/SUMPRODUCT($AB34:$AB$58,$AA34:$AA$58)),"")</s:f>
        <s:v/>
      </s:c>
      <s:c r="Z34" s="105" t="str">
        <s:f>IF(AB34&lt;&gt;"",IF($L$12&lt;&gt;"",IF(G34&lt;&gt;"",G34,($L$9/$L$12-SUM($Z$25:Z33))*AA34*AB34/SUMPRODUCT($AB34:$AB$58,$AA34:$AA$58)),""),"")</s:f>
        <s:v/>
      </s:c>
      <s:c r="AA34" s="106"/>
      <s:c r="AB34" s="106"/>
      <s:c r="AC34" s="107"/>
      <s:c r="AD34" s="108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96"/>
      <s:c r="B35" s="97">
        <s:v>46112</s:v>
      </s:c>
      <s:c r="C35" s="98" t="s">
        <s:v>56</s:v>
      </s:c>
      <s:c r="D35" s="99">
        <s:v>21719</s:v>
      </s:c>
      <s:c r="E35" s="98">
        <s:v>4</s:v>
      </s:c>
      <s:c r="F35" s="101">
        <s:f>IF(AND(E35&lt;&gt;"",E35&lt;&gt;0),D35/E35,"")</s:f>
        <s:v>5429.75</s:v>
      </s:c>
      <s:c r="G35" s="101">
        <s:v>4</s:v>
      </s:c>
      <s:c r="H35" s="101">
        <s:f>IF(AND(G35&lt;&gt;"",G35&lt;&gt;0),D35/G35,"")</s:f>
        <s:v>5429.75</s:v>
      </s:c>
      <s:c r="I35" s="101">
        <s:v>46</s:v>
      </s:c>
      <s:c r="J35" s="99">
        <s:f>IF(AND(G35&lt;&gt;"",G35&lt;&gt;0),E35/G35,"")</s:f>
        <s:v>1</s:v>
      </s:c>
      <s:c r="K35" s="101"/>
      <s:c r="L35" s="101"/>
      <s:c r="M35" s="101"/>
      <s:c r="N35" s="101"/>
      <s:c r="O35" s="310"/>
      <s:c r="P35" s="310"/>
      <s:c r="Q35" s="310"/>
      <s:c r="R35" s="101">
        <s:v>2555</s:v>
      </s:c>
      <s:c r="S35" s="314">
        <s:f>IF(AND(I35&lt;&gt;"",I35&lt;&gt;0),G35/I35,"")</s:f>
        <s:v>8.6956521739130405E-2</s:v>
      </s:c>
      <s:c r="T35" s="507" t="e">
        <s:f>I35/U35</s:f>
        <s:v>#DIV/0!</s:v>
      </s:c>
      <s:c r="U35" s="104">
        <s:f>$L$8*AA35*AB35/SUMPRODUCT($AB$25:$AB$56,$AA$25:$AA$56)</s:f>
        <s:v>0</s:v>
      </s:c>
      <s:c r="V35" s="105">
        <s:f>$L$9*AA35*AB35/SUMPRODUCT($AB$25:$AB$58,$AA$25:$AA$58)</s:f>
        <s:v>0</s:v>
      </s:c>
      <s:c r="W35" s="105">
        <s:f>IF($L$12="","",V35/$L$12)</s:f>
        <s:v>0</s:v>
      </s:c>
      <s:c r="X35" s="104" t="str">
        <s:f>IF(AB35&lt;&gt;"",IF(D35&lt;&gt;"",D35,($L$8-SUM($X$25:X34))*AA35*AB35/SUMPRODUCT($AB35:$AB$58,$AA35:$AA$58)),"")</s:f>
        <s:v/>
      </s:c>
      <s:c r="Y35" s="105" t="str">
        <s:f>IF(AB35&lt;&gt;"",IF(E35&lt;&gt;"",E35,($L$9-SUM($Y$25:Y34))*AA35*AB35/SUMPRODUCT($AB35:$AB$58,$AA35:$AA$58)),"")</s:f>
        <s:v/>
      </s:c>
      <s:c r="Z35" s="105" t="str">
        <s:f>IF(AB35&lt;&gt;"",IF($L$12&lt;&gt;"",IF(G35&lt;&gt;"",G35,($L$9/$L$12-SUM($Z$25:Z34))*AA35*AB35/SUMPRODUCT($AB35:$AB$58,$AA35:$AA$58)),""),"")</s:f>
        <s:v/>
      </s:c>
      <s:c r="AA35" s="106"/>
      <s:c r="AB35" s="106"/>
      <s:c r="AC35" s="107"/>
      <s:c r="AD35" s="108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96"/>
      <s:c r="B36" s="97"/>
      <s:c r="C36" s="113"/>
      <s:c r="D36" s="99"/>
      <s:c r="E36" s="98"/>
      <s:c r="F36" s="101" t="str">
        <s:f>IF(AND(E36&lt;&gt;"",E36&lt;&gt;0),D36/E36,"")</s:f>
        <s:v/>
      </s:c>
      <s:c r="G36" s="101"/>
      <s:c r="H36" s="101" t="str">
        <s:f>IF(AND(G36&lt;&gt;"",G36&lt;&gt;0),D36/G36,"")</s:f>
        <s:v/>
      </s:c>
      <s:c r="I36" s="287"/>
      <s:c r="J36" s="99" t="str">
        <s:f>IF(AND(G36&lt;&gt;"",G36&lt;&gt;0),E36/G36,"")</s:f>
        <s:v/>
      </s:c>
      <s:c r="K36" s="101"/>
      <s:c r="L36" s="309"/>
      <s:c r="M36" s="101"/>
      <s:c r="N36" s="101"/>
      <s:c r="O36" s="101"/>
      <s:c r="P36" s="101"/>
      <s:c r="Q36" s="101"/>
      <s:c r="R36" s="101"/>
      <s:c r="S36" s="102" t="str">
        <s:f>IF(AND(I36&lt;&gt;"",I36&lt;&gt;0),G36/I36,"")</s:f>
        <s:v/>
      </s:c>
      <s:c r="T36" s="507" t="e">
        <s:f>I36/U36</s:f>
        <s:v>#DIV/0!</s:v>
      </s:c>
      <s:c r="U36" s="104">
        <s:f>$L$8*AA36*AB36/SUMPRODUCT($AB$25:$AB$56,$AA$25:$AA$56)</s:f>
        <s:v>0</s:v>
      </s:c>
      <s:c r="V36" s="105">
        <s:f>$L$9*AA36*AB36/SUMPRODUCT($AB$25:$AB$58,$AA$25:$AA$58)</s:f>
        <s:v>0</s:v>
      </s:c>
      <s:c r="W36" s="105">
        <s:f>IF($L$12="","",V36/$L$12)</s:f>
        <s:v>0</s:v>
      </s:c>
      <s:c r="X36" s="104" t="str">
        <s:f>IF(AB36&lt;&gt;"",IF(D36&lt;&gt;"",D36,($L$8-SUM($X$25:X35))*AA36*AB36/SUMPRODUCT($AB36:$AB$58,$AA36:$AA$58)),"")</s:f>
        <s:v/>
      </s:c>
      <s:c r="Y36" s="105" t="str">
        <s:f>IF(AB36&lt;&gt;"",IF(E36&lt;&gt;"",E36,($L$9-SUM($Y$25:Y35))*AA36*AB36/SUMPRODUCT($AB36:$AB$58,$AA36:$AA$58)),"")</s:f>
        <s:v/>
      </s:c>
      <s:c r="Z36" s="105" t="str">
        <s:f>IF(AB36&lt;&gt;"",IF($L$12&lt;&gt;"",IF(G36&lt;&gt;"",G36,($L$9/$L$12-SUM($Z$25:Z35))*AA36*AB36/SUMPRODUCT($AB36:$AB$58,$AA36:$AA$58)),""),"")</s:f>
        <s:v/>
      </s:c>
      <s:c r="AA36" s="106"/>
      <s:c r="AB36" s="106"/>
      <s:c r="AC36" s="107"/>
      <s:c r="AD36" s="108"/>
      <s:c r="AE36" s="2"/>
      <s:c r="AF36" s="2"/>
      <s:c r="AG36" s="2"/>
      <s:c r="AH36" s="2"/>
      <s:c r="AI36" s="2"/>
      <s:c r="AJ36" s="2"/>
      <s:c r="AK36" s="2"/>
      <s:c r="AL36" s="2"/>
    </s:row>
    <s:row r="37">
      <s:c r="A37" s="96"/>
      <s:c r="B37" s="97"/>
      <s:c r="C37" s="98"/>
      <s:c r="D37" s="99"/>
      <s:c r="E37" s="101"/>
      <s:c r="F37" s="101" t="str">
        <s:f>IF(AND(E37&lt;&gt;"",E37&lt;&gt;0),D37/E37,"")</s:f>
        <s:v/>
      </s:c>
      <s:c r="G37" s="101"/>
      <s:c r="H37" s="101" t="str">
        <s:f>IF(AND(G37&lt;&gt;"",G37&lt;&gt;0),D37/G37,"")</s:f>
        <s:v/>
      </s:c>
      <s:c r="I37" s="101"/>
      <s:c r="J37" s="291" t="str">
        <s:f>IF(AND(G37&lt;&gt;"",G37&lt;&gt;0),E37/G37,"")</s:f>
        <s:v/>
      </s:c>
      <s:c r="K37" s="101"/>
      <s:c r="L37" s="101"/>
      <s:c r="M37" s="101"/>
      <s:c r="N37" s="308"/>
      <s:c r="O37" s="308"/>
      <s:c r="P37" s="101"/>
      <s:c r="Q37" s="101"/>
      <s:c r="R37" s="101"/>
      <s:c r="S37" s="102" t="str">
        <s:f>IF(AND(I37&lt;&gt;"",I37&lt;&gt;0),G37/I37,"")</s:f>
        <s:v/>
      </s:c>
      <s:c r="T37" s="507" t="e">
        <s:f>I37/U37</s:f>
        <s:v>#DIV/0!</s:v>
      </s:c>
      <s:c r="U37" s="104">
        <s:f>$L$8*AA37*AB37/SUMPRODUCT($AB$25:$AB$56,$AA$25:$AA$56)</s:f>
        <s:v>0</s:v>
      </s:c>
      <s:c r="V37" s="105">
        <s:f>$L$9*AA37*AB37/SUMPRODUCT($AB$25:$AB$58,$AA$25:$AA$58)</s:f>
        <s:v>0</s:v>
      </s:c>
      <s:c r="W37" s="105">
        <s:f>IF($L$12="","",V37/$L$12)</s:f>
        <s:v>0</s:v>
      </s:c>
      <s:c r="X37" s="104" t="str">
        <s:f>IF(AB37&lt;&gt;"",IF(D37&lt;&gt;"",D37,($L$8-SUM($X$25:X36))*AA37*AB37/SUMPRODUCT($AB37:$AB$58,$AA37:$AA$58)),"")</s:f>
        <s:v/>
      </s:c>
      <s:c r="Y37" s="105" t="str">
        <s:f>IF(AB37&lt;&gt;"",IF(E37&lt;&gt;"",E37,($L$9-SUM($Y$25:Y36))*AA37*AB37/SUMPRODUCT($AB37:$AB$58,$AA37:$AA$58)),"")</s:f>
        <s:v/>
      </s:c>
      <s:c r="Z37" s="105" t="str">
        <s:f>IF(AB37&lt;&gt;"",IF($L$12&lt;&gt;"",IF(G37&lt;&gt;"",G37,($L$9/$L$12-SUM($Z$25:Z36))*AA37*AB37/SUMPRODUCT($AB37:$AB$58,$AA37:$AA$58)),""),"")</s:f>
        <s:v/>
      </s:c>
      <s:c r="AA37" s="106"/>
      <s:c r="AB37" s="106"/>
      <s:c r="AC37" s="107"/>
      <s:c r="AD37" s="108"/>
      <s:c r="AE37" s="2"/>
      <s:c r="AF37" s="2"/>
      <s:c r="AG37" s="2"/>
      <s:c r="AH37" s="2"/>
      <s:c r="AI37" s="2"/>
      <s:c r="AJ37" s="2"/>
      <s:c r="AK37" s="2"/>
      <s:c r="AL37" s="2"/>
    </s:row>
    <s:row r="38">
      <s:c r="A38" s="96"/>
      <s:c r="B38" s="97"/>
      <s:c r="C38" s="113"/>
      <s:c r="D38" s="99"/>
      <s:c r="E38" s="101"/>
      <s:c r="F38" s="101" t="str">
        <s:f>IF(AND(E38&lt;&gt;"",E38&lt;&gt;0),D38/E38,"")</s:f>
        <s:v/>
      </s:c>
      <s:c r="G38" s="101"/>
      <s:c r="H38" s="101" t="str">
        <s:f>IF(AND(G38&lt;&gt;"",G38&lt;&gt;0),D38/G38,"")</s:f>
        <s:v/>
      </s:c>
      <s:c r="I38" s="101"/>
      <s:c r="J38" s="99" t="str">
        <s:f>IF(AND(G38&lt;&gt;"",G38&lt;&gt;0),E38/G38,"")</s:f>
        <s:v/>
      </s:c>
      <s:c r="K38" s="287"/>
      <s:c r="L38" s="101"/>
      <s:c r="M38" s="101"/>
      <s:c r="N38" s="101"/>
      <s:c r="O38" s="310"/>
      <s:c r="P38" s="310"/>
      <s:c r="Q38" s="310"/>
      <s:c r="R38" s="101"/>
      <s:c r="S38" s="503" t="str">
        <s:f>IF(AND(I38&lt;&gt;"",I38&lt;&gt;0),G38/I38,"")</s:f>
        <s:v/>
      </s:c>
      <s:c r="T38" s="507" t="e">
        <s:f>I38/U38</s:f>
        <s:v>#DIV/0!</s:v>
      </s:c>
      <s:c r="U38" s="104">
        <s:f>$L$8*AA38*AB38/SUMPRODUCT($AB$25:$AB$56,$AA$25:$AA$56)</s:f>
        <s:v>0</s:v>
      </s:c>
      <s:c r="V38" s="105">
        <s:f>$L$9*AA38*AB38/SUMPRODUCT($AB$25:$AB$58,$AA$25:$AA$58)</s:f>
        <s:v>0</s:v>
      </s:c>
      <s:c r="W38" s="105">
        <s:f>IF($L$12="","",V38/$L$12)</s:f>
        <s:v>0</s:v>
      </s:c>
      <s:c r="X38" s="104" t="str">
        <s:f>IF(AB38&lt;&gt;"",IF(D38&lt;&gt;"",D38,($L$8-SUM($X$25:X37))*AA38*AB38/SUMPRODUCT($AB38:$AB$58,$AA38:$AA$58)),"")</s:f>
        <s:v/>
      </s:c>
      <s:c r="Y38" s="105" t="str">
        <s:f>IF(AB38&lt;&gt;"",IF(E38&lt;&gt;"",E38,($L$9-SUM($Y$25:Y37))*AA38*AB38/SUMPRODUCT($AB38:$AB$58,$AA38:$AA$58)),"")</s:f>
        <s:v/>
      </s:c>
      <s:c r="Z38" s="105" t="str">
        <s:f>IF(AB38&lt;&gt;"",IF($L$12&lt;&gt;"",IF(G38&lt;&gt;"",G38,($L$9/$L$12-SUM($Z$25:Z37))*AA38*AB38/SUMPRODUCT($AB38:$AB$58,$AA38:$AA$58)),""),"")</s:f>
        <s:v/>
      </s:c>
      <s:c r="AA38" s="106"/>
      <s:c r="AB38" s="106"/>
      <s:c r="AC38" s="107"/>
      <s:c r="AD38" s="108"/>
      <s:c r="AE38" s="2"/>
      <s:c r="AF38" s="2"/>
      <s:c r="AG38" s="2"/>
      <s:c r="AH38" s="2"/>
      <s:c r="AI38" s="2"/>
      <s:c r="AJ38" s="2"/>
      <s:c r="AK38" s="2"/>
      <s:c r="AL38" s="2"/>
    </s:row>
    <s:row r="39">
      <s:c r="A39" s="96"/>
      <s:c r="B39" s="97"/>
      <s:c r="C39" s="98"/>
      <s:c r="D39" s="99"/>
      <s:c r="E39" s="287"/>
      <s:c r="F39" s="101" t="str">
        <s:f>IF(AND(E39&lt;&gt;"",E39&lt;&gt;0),D39/E39,"")</s:f>
        <s:v/>
      </s:c>
      <s:c r="G39" s="287"/>
      <s:c r="H39" s="101" t="str">
        <s:f>IF(AND(G39&lt;&gt;"",G39&lt;&gt;0),D39/G39,"")</s:f>
        <s:v/>
      </s:c>
      <s:c r="I39" s="287"/>
      <s:c r="J39" s="99" t="str">
        <s:f>IF(AND(G39&lt;&gt;"",G39&lt;&gt;0),E39/G39,"")</s:f>
        <s:v/>
      </s:c>
      <s:c r="K39" s="101"/>
      <s:c r="L39" s="309"/>
      <s:c r="M39" s="101"/>
      <s:c r="N39" s="101"/>
      <s:c r="O39" s="101"/>
      <s:c r="P39" s="101"/>
      <s:c r="Q39" s="101"/>
      <s:c r="R39" s="101"/>
      <s:c r="S39" s="102" t="str">
        <s:f>IF(AND(I39&lt;&gt;"",I39&lt;&gt;0),G39/I39,"")</s:f>
        <s:v/>
      </s:c>
      <s:c r="T39" s="507" t="e">
        <s:f>I39/U39</s:f>
        <s:v>#DIV/0!</s:v>
      </s:c>
      <s:c r="U39" s="104">
        <s:f>$L$8*AA39*AB39/SUMPRODUCT($AB$25:$AB$56,$AA$25:$AA$56)</s:f>
        <s:v>0</s:v>
      </s:c>
      <s:c r="V39" s="105">
        <s:f>$L$9*AA39*AB39/SUMPRODUCT($AB$25:$AB$58,$AA$25:$AA$58)</s:f>
        <s:v>0</s:v>
      </s:c>
      <s:c r="W39" s="105">
        <s:f>IF($L$12="","",V39/$L$12)</s:f>
        <s:v>0</s:v>
      </s:c>
      <s:c r="X39" s="104" t="str">
        <s:f>IF(AB39&lt;&gt;"",IF(D39&lt;&gt;"",D39,($L$8-SUM($X$25:X38))*AA39*AB39/SUMPRODUCT($AB39:$AB$58,$AA39:$AA$58)),"")</s:f>
        <s:v/>
      </s:c>
      <s:c r="Y39" s="105" t="str">
        <s:f>IF(AB39&lt;&gt;"",IF(E39&lt;&gt;"",E39,($L$9-SUM($Y$25:Y38))*AA39*AB39/SUMPRODUCT($AB39:$AB$58,$AA39:$AA$58)),"")</s:f>
        <s:v/>
      </s:c>
      <s:c r="Z39" s="105" t="str">
        <s:f>IF(AB39&lt;&gt;"",IF($L$12&lt;&gt;"",IF(G39&lt;&gt;"",G39,($L$9/$L$12-SUM($Z$25:Z38))*AA39*AB39/SUMPRODUCT($AB39:$AB$58,$AA39:$AA$58)),""),"")</s:f>
        <s:v/>
      </s:c>
      <s:c r="AA39" s="293"/>
      <s:c r="AB39" s="106"/>
      <s:c r="AC39" s="107"/>
      <s:c r="AD39" s="108"/>
      <s:c r="AE39" s="2"/>
      <s:c r="AF39" s="2"/>
      <s:c r="AG39" s="2"/>
      <s:c r="AH39" s="2"/>
      <s:c r="AI39" s="2"/>
      <s:c r="AJ39" s="2"/>
      <s:c r="AK39" s="2"/>
      <s:c r="AL39" s="2"/>
    </s:row>
    <s:row r="40">
      <s:c r="A40" s="96"/>
      <s:c r="B40" s="97">
        <s:v>46108</s:v>
      </s:c>
      <s:c r="C40" s="113" t="s">
        <s:v>59</s:v>
      </s:c>
      <s:c r="D40" s="99">
        <s:v>13792</s:v>
      </s:c>
      <s:c r="E40" s="101">
        <s:v>1</s:v>
      </s:c>
      <s:c r="F40" s="101">
        <s:f>IF(AND(E40&lt;&gt;"",E40&lt;&gt;0),D40/E40,"")</s:f>
        <s:v>13792</s:v>
      </s:c>
      <s:c r="G40" s="101">
        <s:v>1</s:v>
      </s:c>
      <s:c r="H40" s="101">
        <s:f>IF(AND(G40&lt;&gt;"",G40&lt;&gt;0),D40/G40,"")</s:f>
        <s:v>13792</s:v>
      </s:c>
      <s:c r="I40" s="101"/>
      <s:c r="J40" s="291">
        <s:f>IF(AND(G40&lt;&gt;"",G40&lt;&gt;0),E40/G40,"")</s:f>
        <s:v>1</s:v>
      </s:c>
      <s:c r="K40" s="101"/>
      <s:c r="L40" s="101"/>
      <s:c r="M40" s="101"/>
      <s:c r="N40" s="308"/>
      <s:c r="O40" s="308"/>
      <s:c r="P40" s="101">
        <s:v>13792</s:v>
      </s:c>
      <s:c r="Q40" s="101"/>
      <s:c r="R40" s="101"/>
      <s:c r="S40" s="102" t="str">
        <s:f>IF(AND(I40&lt;&gt;"",I40&lt;&gt;0),G40/I40,"")</s:f>
        <s:v/>
      </s:c>
      <s:c r="T40" s="507" t="e">
        <s:f>I40/U40</s:f>
        <s:v>#DIV/0!</s:v>
      </s:c>
      <s:c r="U40" s="104">
        <s:f>$L$8*AA40*AB40/SUMPRODUCT($AB$25:$AB$56,$AA$25:$AA$56)</s:f>
        <s:v>0</s:v>
      </s:c>
      <s:c r="V40" s="105">
        <s:f>$L$9*AA40*AB40/SUMPRODUCT($AB$25:$AB$58,$AA$25:$AA$58)</s:f>
        <s:v>0</s:v>
      </s:c>
      <s:c r="W40" s="105">
        <s:f>IF($L$12="","",V40/$L$12)</s:f>
        <s:v>0</s:v>
      </s:c>
      <s:c r="X40" s="104" t="str">
        <s:f>IF(AB40&lt;&gt;"",IF(D40&lt;&gt;"",D40,($L$8-SUM($X$25:X39))*AA40*AB40/SUMPRODUCT($AB40:$AB$58,$AA40:$AA$58)),"")</s:f>
        <s:v/>
      </s:c>
      <s:c r="Y40" s="105" t="str">
        <s:f>IF(AB40&lt;&gt;"",IF(E40&lt;&gt;"",E40,($L$9-SUM($Y$25:Y39))*AA40*AB40/SUMPRODUCT($AB40:$AB$58,$AA40:$AA$58)),"")</s:f>
        <s:v/>
      </s:c>
      <s:c r="Z40" s="105" t="str">
        <s:f>IF(AB40&lt;&gt;"",IF($L$12&lt;&gt;"",IF(G40&lt;&gt;"",G40,($L$9/$L$12-SUM($Z$25:Z39))*AA40*AB40/SUMPRODUCT($AB40:$AB$58,$AA40:$AA$58)),""),"")</s:f>
        <s:v/>
      </s:c>
      <s:c r="AA40" s="106"/>
      <s:c r="AB40" s="106"/>
      <s:c r="AC40" s="107"/>
      <s:c r="AD40" s="108"/>
      <s:c r="AE40" s="2"/>
      <s:c r="AF40" s="2"/>
      <s:c r="AG40" s="2"/>
      <s:c r="AH40" s="2"/>
      <s:c r="AI40" s="2"/>
      <s:c r="AJ40" s="2"/>
      <s:c r="AK40" s="2"/>
      <s:c r="AL40" s="2"/>
    </s:row>
    <s:row r="41">
      <s:c r="A41" s="96"/>
      <s:c r="B41" s="97"/>
      <s:c r="C41" s="98"/>
      <s:c r="D41" s="291"/>
      <s:c r="E41" s="101"/>
      <s:c r="F41" s="101" t="str">
        <s:f>IF(AND(E41&lt;&gt;"",E41&lt;&gt;0),D41/E41,"")</s:f>
        <s:v/>
      </s:c>
      <s:c r="G41" s="287"/>
      <s:c r="H41" s="101" t="str">
        <s:f>IF(AND(G41&lt;&gt;"",G41&lt;&gt;0),D41/G41,"")</s:f>
        <s:v/>
      </s:c>
      <s:c r="I41" s="287"/>
      <s:c r="J41" s="99" t="str">
        <s:f>IF(AND(G41&lt;&gt;"",G41&lt;&gt;0),E41/G41,"")</s:f>
        <s:v/>
      </s:c>
      <s:c r="K41" s="287"/>
      <s:c r="L41" s="101"/>
      <s:c r="M41" s="101"/>
      <s:c r="N41" s="101"/>
      <s:c r="O41" s="310"/>
      <s:c r="P41" s="310"/>
      <s:c r="Q41" s="310"/>
      <s:c r="R41" s="101"/>
      <s:c r="S41" s="292" t="str">
        <s:f>IF(AND(I41&lt;&gt;"",I41&lt;&gt;0),G41/I41,"")</s:f>
        <s:v/>
      </s:c>
      <s:c r="T41" s="507" t="e">
        <s:f>I41/U41</s:f>
        <s:v>#DIV/0!</s:v>
      </s:c>
      <s:c r="U41" s="104">
        <s:f>$L$8*AA41*AB41/SUMPRODUCT($AB$25:$AB$56,$AA$25:$AA$56)</s:f>
        <s:v>0</s:v>
      </s:c>
      <s:c r="V41" s="105">
        <s:f>$L$9*AA41*AB41/SUMPRODUCT($AB$25:$AB$58,$AA$25:$AA$58)</s:f>
        <s:v>0</s:v>
      </s:c>
      <s:c r="W41" s="105">
        <s:f>IF($L$12="","",V41/$L$12)</s:f>
        <s:v>0</s:v>
      </s:c>
      <s:c r="X41" s="104" t="str">
        <s:f>IF(AB41&lt;&gt;"",IF(D41&lt;&gt;"",D41,($L$8-SUM($X$25:X40))*AA41*AB41/SUMPRODUCT($AB41:$AB$58,$AA41:$AA$58)),"")</s:f>
        <s:v/>
      </s:c>
      <s:c r="Y41" s="105" t="str">
        <s:f>IF(AB41&lt;&gt;"",IF(E41&lt;&gt;"",E41,($L$9-SUM($Y$25:Y40))*AA41*AB41/SUMPRODUCT($AB41:$AB$58,$AA41:$AA$58)),"")</s:f>
        <s:v/>
      </s:c>
      <s:c r="Z41" s="105" t="str">
        <s:f>IF(AB41&lt;&gt;"",IF($L$12&lt;&gt;"",IF(G41&lt;&gt;"",G41,($L$9/$L$12-SUM($Z$25:Z40))*AA41*AB41/SUMPRODUCT($AB41:$AB$58,$AA41:$AA$58)),""),"")</s:f>
        <s:v/>
      </s:c>
      <s:c r="AA41" s="293"/>
      <s:c r="AB41" s="106"/>
      <s:c r="AC41" s="107"/>
      <s:c r="AD41" s="108"/>
      <s:c r="AE41" s="2"/>
      <s:c r="AF41" s="2"/>
      <s:c r="AG41" s="2"/>
      <s:c r="AH41" s="2"/>
      <s:c r="AI41" s="2"/>
      <s:c r="AJ41" s="2"/>
      <s:c r="AK41" s="2"/>
      <s:c r="AL41" s="2"/>
    </s:row>
    <s:row r="42">
      <s:c r="A42" s="96"/>
      <s:c r="B42" s="97"/>
      <s:c r="C42" s="98"/>
      <s:c r="D42" s="99"/>
      <s:c r="E42" s="101"/>
      <s:c r="F42" s="101" t="str">
        <s:f>IF(AND(E42&lt;&gt;"",E42&lt;&gt;0),D42/E42,"")</s:f>
        <s:v/>
      </s:c>
      <s:c r="G42" s="101"/>
      <s:c r="H42" s="101" t="str">
        <s:f>IF(AND(G42&lt;&gt;"",G42&lt;&gt;0),D42/G42,"")</s:f>
        <s:v/>
      </s:c>
      <s:c r="I42" s="101"/>
      <s:c r="J42" s="99" t="str">
        <s:f>IF(AND(G42&lt;&gt;"",G42&lt;&gt;0),E42/G42,"")</s:f>
        <s:v/>
      </s:c>
      <s:c r="K42" s="101"/>
      <s:c r="L42" s="101"/>
      <s:c r="M42" s="101"/>
      <s:c r="N42" s="101"/>
      <s:c r="O42" s="101"/>
      <s:c r="P42" s="101"/>
      <s:c r="Q42" s="101"/>
      <s:c r="R42" s="101"/>
      <s:c r="S42" s="102" t="str">
        <s:f>IF(AND(I42&lt;&gt;"",I42&lt;&gt;0),G42/I42,"")</s:f>
        <s:v/>
      </s:c>
      <s:c r="T42" s="507" t="e">
        <s:f>I42/U42</s:f>
        <s:v>#DIV/0!</s:v>
      </s:c>
      <s:c r="U42" s="104">
        <s:f>$L$8*AA42*AB42/SUMPRODUCT($AB$25:$AB$56,$AA$25:$AA$56)</s:f>
        <s:v>0</s:v>
      </s:c>
      <s:c r="V42" s="105">
        <s:f>$L$9*AA42*AB42/SUMPRODUCT($AB$25:$AB$58,$AA$25:$AA$58)</s:f>
        <s:v>0</s:v>
      </s:c>
      <s:c r="W42" s="105">
        <s:f>IF($L$12="","",V42/$L$12)</s:f>
        <s:v>0</s:v>
      </s:c>
      <s:c r="X42" s="104" t="str">
        <s:f>IF(AB42&lt;&gt;"",IF(D42&lt;&gt;"",D42,($L$8-SUM($X$25:X41))*AA42*AB42/SUMPRODUCT($AB42:$AB$58,$AA42:$AA$58)),"")</s:f>
        <s:v/>
      </s:c>
      <s:c r="Y42" s="105" t="str">
        <s:f>IF(AB42&lt;&gt;"",IF(E42&lt;&gt;"",E42,($L$9-SUM($Y$25:Y41))*AA42*AB42/SUMPRODUCT($AB42:$AB$58,$AA42:$AA$58)),"")</s:f>
        <s:v/>
      </s:c>
      <s:c r="Z42" s="105" t="str">
        <s:f>IF(AB42&lt;&gt;"",IF($L$12&lt;&gt;"",IF(G42&lt;&gt;"",G42,($L$9/$L$12-SUM($Z$25:Z41))*AA42*AB42/SUMPRODUCT($AB42:$AB$58,$AA42:$AA$58)),""),"")</s:f>
        <s:v/>
      </s:c>
      <s:c r="AA42" s="106"/>
      <s:c r="AB42" s="106"/>
      <s:c r="AC42" s="107"/>
      <s:c r="AD42" s="108"/>
      <s:c r="AE42" s="109"/>
      <s:c r="AF42" s="2"/>
      <s:c r="AG42" s="2"/>
      <s:c r="AH42" s="2"/>
      <s:c r="AI42" s="2"/>
      <s:c r="AJ42" s="2"/>
      <s:c r="AK42" s="2"/>
      <s:c r="AL42" s="2"/>
    </s:row>
    <s:row r="43">
      <s:c r="A43" s="96"/>
      <s:c r="B43" s="97"/>
      <s:c r="C43" s="504"/>
      <s:c r="D43" s="505"/>
      <s:c r="E43" s="287"/>
      <s:c r="F43" s="101" t="str">
        <s:f>IF(AND(E43&lt;&gt;"",E43&lt;&gt;0),D43/E43,"")</s:f>
        <s:v/>
      </s:c>
      <s:c r="G43" s="307"/>
      <s:c r="H43" s="101" t="str">
        <s:f>IF(AND(G43&lt;&gt;"",G43&lt;&gt;0),D43/G43,"")</s:f>
        <s:v/>
      </s:c>
      <s:c r="I43" s="307"/>
      <s:c r="J43" s="291" t="str">
        <s:f>IF(AND(G43&lt;&gt;"",G43&lt;&gt;0),E43/G43,"")</s:f>
        <s:v/>
      </s:c>
      <s:c r="K43" s="307"/>
      <s:c r="L43" s="309"/>
      <s:c r="M43" s="506"/>
      <s:c r="N43" s="307"/>
      <s:c r="O43" s="307"/>
      <s:c r="P43" s="307"/>
      <s:c r="Q43" s="307"/>
      <s:c r="R43" s="307"/>
      <s:c r="S43" s="102" t="str">
        <s:f>IF(AND(I43&lt;&gt;"",I43&lt;&gt;0),G43/I43,"")</s:f>
        <s:v/>
      </s:c>
      <s:c r="T43" s="507" t="e">
        <s:f>I43/U43</s:f>
        <s:v>#DIV/0!</s:v>
      </s:c>
      <s:c r="U43" s="104">
        <s:f>$L$8*AA43*AB43/SUMPRODUCT($AB$25:$AB$56,$AA$25:$AA$56)</s:f>
        <s:v>0</s:v>
      </s:c>
      <s:c r="V43" s="105">
        <s:f>$L$9*AA43*AB43/SUMPRODUCT($AB$25:$AB$58,$AA$25:$AA$58)</s:f>
        <s:v>0</s:v>
      </s:c>
      <s:c r="W43" s="105">
        <s:f>IF($L$12="","",V43/$L$12)</s:f>
        <s:v>0</s:v>
      </s:c>
      <s:c r="X43" s="104" t="str">
        <s:f>IF(AB43&lt;&gt;"",IF(D43&lt;&gt;"",D43,($L$8-SUM($X$25:X42))*AA43*AB43/SUMPRODUCT($AB43:$AB$58,$AA43:$AA$58)),"")</s:f>
        <s:v/>
      </s:c>
      <s:c r="Y43" s="105" t="str">
        <s:f>IF(AB43&lt;&gt;"",IF(E43&lt;&gt;"",E43,($L$9-SUM($Y$25:Y42))*AA43*AB43/SUMPRODUCT($AB43:$AB$58,$AA43:$AA$58)),"")</s:f>
        <s:v/>
      </s:c>
      <s:c r="Z43" s="105" t="str">
        <s:f>IF(AB43&lt;&gt;"",IF($L$12&lt;&gt;"",IF(G43&lt;&gt;"",G43,($L$9/$L$12-SUM($Z$25:Z42))*AA43*AB43/SUMPRODUCT($AB43:$AB$58,$AA43:$AA$58)),""),"")</s:f>
        <s:v/>
      </s:c>
      <s:c r="AA43" s="293"/>
      <s:c r="AB43" s="106"/>
      <s:c r="AC43" s="107"/>
      <s:c r="AD43" s="108"/>
      <s:c r="AE43" s="109"/>
      <s:c r="AF43" s="2"/>
      <s:c r="AG43" s="2"/>
      <s:c r="AH43" s="2"/>
      <s:c r="AI43" s="2"/>
      <s:c r="AJ43" s="2"/>
      <s:c r="AK43" s="2"/>
      <s:c r="AL43" s="2"/>
    </s:row>
    <s:row r="44" spans="1:260" ht="15" customHeight="1">
      <s:c r="A44" s="96"/>
      <s:c r="B44" s="97"/>
      <s:c r="C44" s="98"/>
      <s:c r="D44" s="99"/>
      <s:c r="E44" s="101"/>
      <s:c r="F44" s="101" t="str">
        <s:f>IF(AND(E44&lt;&gt;"",E44&lt;&gt;0),D44/E44,"")</s:f>
        <s:v/>
      </s:c>
      <s:c r="G44" s="101"/>
      <s:c r="H44" s="101" t="str">
        <s:f>IF(AND(G44&lt;&gt;"",G44&lt;&gt;0),D44/G44,"")</s:f>
        <s:v/>
      </s:c>
      <s:c r="I44" s="101"/>
      <s:c r="J44" s="99" t="str">
        <s:f>IF(AND(G44&lt;&gt;"",G44&lt;&gt;0),E44/G44,"")</s:f>
        <s:v/>
      </s:c>
      <s:c r="K44" s="101"/>
      <s:c r="L44" s="101"/>
      <s:c r="M44" s="101"/>
      <s:c r="N44" s="101"/>
      <s:c r="O44" s="101"/>
      <s:c r="P44" s="101"/>
      <s:c r="Q44" s="101"/>
      <s:c r="R44" s="101"/>
      <s:c r="S44" s="102" t="str">
        <s:f>IF(AND(I44&lt;&gt;"",I44&lt;&gt;0),G44/I44,"")</s:f>
        <s:v/>
      </s:c>
      <s:c r="T44" s="507" t="e">
        <s:f>I44/U44</s:f>
        <s:v>#DIV/0!</s:v>
      </s:c>
      <s:c r="U44" s="104">
        <s:f>$L$8*AA44*AB44/SUMPRODUCT($AB$25:$AB$56,$AA$25:$AA$56)</s:f>
        <s:v>0</s:v>
      </s:c>
      <s:c r="V44" s="105">
        <s:f>$L$9*AA44*AB44/SUMPRODUCT($AB$25:$AB$58,$AA$25:$AA$58)</s:f>
        <s:v>0</s:v>
      </s:c>
      <s:c r="W44" s="105">
        <s:f>IF($L$12="","",V44/$L$12)</s:f>
        <s:v>0</s:v>
      </s:c>
      <s:c r="X44" s="104" t="str">
        <s:f>IF(AB44&lt;&gt;"",IF(D44&lt;&gt;"",D44,($L$8-SUM($X$25:X43))*AA44*AB44/SUMPRODUCT($AB44:$AB$58,$AA44:$AA$58)),"")</s:f>
        <s:v/>
      </s:c>
      <s:c r="Y44" s="105" t="str">
        <s:f>IF(AB44&lt;&gt;"",IF(E44&lt;&gt;"",E44,($L$9-SUM($Y$25:Y43))*AA44*AB44/SUMPRODUCT($AB44:$AB$58,$AA44:$AA$58)),"")</s:f>
        <s:v/>
      </s:c>
      <s:c r="Z44" s="105" t="str">
        <s:f>IF(AB44&lt;&gt;"",IF($L$12&lt;&gt;"",IF(G44&lt;&gt;"",G44,($L$9/$L$12-SUM($Z$25:Z43))*AA44*AB44/SUMPRODUCT($AB44:$AB$58,$AA44:$AA$58)),""),"")</s:f>
        <s:v/>
      </s:c>
      <s:c r="AA44" s="106"/>
      <s:c r="AB44" s="106"/>
      <s:c r="AC44" s="107"/>
      <s:c r="AD44" s="108"/>
      <s:c r="AE44" s="109"/>
      <s:c r="AF44" s="2"/>
      <s:c r="AG44" s="2"/>
      <s:c r="AH44" s="2"/>
      <s:c r="AI44" s="2"/>
      <s:c r="AJ44" s="2"/>
      <s:c r="AK44" s="2"/>
      <s:c r="AL44" s="2"/>
    </s:row>
    <s:row r="45" spans="1:260" ht="15" customHeight="1">
      <s:c r="A45" s="96"/>
      <s:c r="B45" s="97"/>
      <s:c r="C45" s="98"/>
      <s:c r="D45" s="99"/>
      <s:c r="E45" s="101"/>
      <s:c r="F45" s="101" t="str">
        <s:f>IF(AND(E45&lt;&gt;"",E45&lt;&gt;0),D45/E45,"")</s:f>
        <s:v/>
      </s:c>
      <s:c r="G45" s="101"/>
      <s:c r="H45" s="101" t="str">
        <s:f>IF(AND(G45&lt;&gt;"",G45&lt;&gt;0),D45/G45,"")</s:f>
        <s:v/>
      </s:c>
      <s:c r="I45" s="101"/>
      <s:c r="J45" s="99" t="str">
        <s:f>IF(AND(G45&lt;&gt;"",G45&lt;&gt;0),E45/G45,"")</s:f>
        <s:v/>
      </s:c>
      <s:c r="K45" s="101"/>
      <s:c r="L45" s="101"/>
      <s:c r="M45" s="101"/>
      <s:c r="N45" s="101"/>
      <s:c r="O45" s="101"/>
      <s:c r="P45" s="101"/>
      <s:c r="Q45" s="101"/>
      <s:c r="R45" s="101"/>
      <s:c r="S45" s="102" t="str">
        <s:f>IF(AND(I45&lt;&gt;"",I45&lt;&gt;0),G45/I45,"")</s:f>
        <s:v/>
      </s:c>
      <s:c r="T45" s="507" t="e">
        <s:f>I45/U45</s:f>
        <s:v>#DIV/0!</s:v>
      </s:c>
      <s:c r="U45" s="104">
        <s:f>$L$8*AA45*AB45/SUMPRODUCT($AB$25:$AB$56,$AA$25:$AA$56)</s:f>
        <s:v>0</s:v>
      </s:c>
      <s:c r="V45" s="105">
        <s:f>$L$9*AA45*AB45/SUMPRODUCT($AB$25:$AB$58,$AA$25:$AA$58)</s:f>
        <s:v>0</s:v>
      </s:c>
      <s:c r="W45" s="105">
        <s:f>IF($L$12="","",V45/$L$12)</s:f>
        <s:v>0</s:v>
      </s:c>
      <s:c r="X45" s="104" t="str">
        <s:f>IF(AB45&lt;&gt;"",IF(D45&lt;&gt;"",D45,($L$8-SUM($X$25:X44))*AA45*AB45/SUMPRODUCT($AB45:$AB$58,$AA45:$AA$58)),"")</s:f>
        <s:v/>
      </s:c>
      <s:c r="Y45" s="105" t="str">
        <s:f>IF(AB45&lt;&gt;"",IF(E45&lt;&gt;"",E45,($L$9-SUM($Y$25:Y44))*AA45*AB45/SUMPRODUCT($AB45:$AB$58,$AA45:$AA$58)),"")</s:f>
        <s:v/>
      </s:c>
      <s:c r="Z45" s="105" t="str">
        <s:f>IF(AB45&lt;&gt;"",IF($L$12&lt;&gt;"",IF(G45&lt;&gt;"",G45,($L$9/$L$12-SUM($Z$25:Z44))*AA45*AB45/SUMPRODUCT($AB45:$AB$58,$AA45:$AA$58)),""),"")</s:f>
        <s:v/>
      </s:c>
      <s:c r="AA45" s="293"/>
      <s:c r="AB45" s="106"/>
      <s:c r="AC45" s="107"/>
      <s:c r="AD45" s="108"/>
      <s:c r="AE45" s="109"/>
      <s:c r="AF45" s="2"/>
      <s:c r="AG45" s="2"/>
      <s:c r="AH45" s="2"/>
      <s:c r="AI45" s="2"/>
      <s:c r="AJ45" s="2"/>
      <s:c r="AK45" s="2"/>
      <s:c r="AL45" s="2"/>
    </s:row>
    <s:row r="46" spans="1:260" ht="15" customHeight="1">
      <s:c r="A46" s="96"/>
      <s:c r="B46" s="97"/>
      <s:c r="C46" s="98"/>
      <s:c r="D46" s="99"/>
      <s:c r="E46" s="101"/>
      <s:c r="F46" s="101" t="str">
        <s:f>IF(AND(E46&lt;&gt;"",E46&lt;&gt;0),D46/E46,"")</s:f>
        <s:v/>
      </s:c>
      <s:c r="G46" s="101"/>
      <s:c r="H46" s="101" t="str">
        <s:f>IF(AND(G46&lt;&gt;"",G46&lt;&gt;0),D46/G46,"")</s:f>
        <s:v/>
      </s:c>
      <s:c r="I46" s="101"/>
      <s:c r="J46" s="99" t="str">
        <s:f>IF(AND(G46&lt;&gt;"",G46&lt;&gt;0),E46/G46,"")</s:f>
        <s:v/>
      </s:c>
      <s:c r="K46" s="101"/>
      <s:c r="L46" s="101"/>
      <s:c r="M46" s="101"/>
      <s:c r="N46" s="101"/>
      <s:c r="O46" s="101"/>
      <s:c r="P46" s="101"/>
      <s:c r="Q46" s="101"/>
      <s:c r="R46" s="101"/>
      <s:c r="S46" s="102" t="str">
        <s:f>IF(AND(I46&lt;&gt;"",I46&lt;&gt;0),G46/I46,"")</s:f>
        <s:v/>
      </s:c>
      <s:c r="T46" s="507" t="e">
        <s:f>I46/U46</s:f>
        <s:v>#DIV/0!</s:v>
      </s:c>
      <s:c r="U46" s="104">
        <s:f>$L$8*AA46*AB46/SUMPRODUCT($AB$25:$AB$56,$AA$25:$AA$56)</s:f>
        <s:v>0</s:v>
      </s:c>
      <s:c r="V46" s="105">
        <s:f>$L$9*AA46*AB46/SUMPRODUCT($AB$25:$AB$58,$AA$25:$AA$58)</s:f>
        <s:v>0</s:v>
      </s:c>
      <s:c r="W46" s="105">
        <s:f>IF($L$12="","",V46/$L$12)</s:f>
        <s:v>0</s:v>
      </s:c>
      <s:c r="X46" s="104" t="str">
        <s:f>IF(AB46&lt;&gt;"",IF(D46&lt;&gt;"",D46,($L$8-SUM($X$25:X45))*AA46*AB46/SUMPRODUCT($AB46:$AB$58,$AA46:$AA$58)),"")</s:f>
        <s:v/>
      </s:c>
      <s:c r="Y46" s="105" t="str">
        <s:f>IF(AB46&lt;&gt;"",IF(E46&lt;&gt;"",E46,($L$9-SUM($Y$25:Y45))*AA46*AB46/SUMPRODUCT($AB46:$AB$58,$AA46:$AA$58)),"")</s:f>
        <s:v/>
      </s:c>
      <s:c r="Z46" s="105" t="str">
        <s:f>IF(AB46&lt;&gt;"",IF($L$12&lt;&gt;"",IF(G46&lt;&gt;"",G46,($L$9/$L$12-SUM($Z$25:Z45))*AA46*AB46/SUMPRODUCT($AB46:$AB$58,$AA46:$AA$58)),""),"")</s:f>
        <s:v/>
      </s:c>
      <s:c r="AA46" s="106"/>
      <s:c r="AB46" s="106"/>
      <s:c r="AC46" s="107"/>
      <s:c r="AD46" s="108"/>
      <s:c r="AE46" s="109"/>
      <s:c r="AJ46" s="2"/>
      <s:c r="AK46" s="2"/>
      <s:c r="AL46" s="2"/>
    </s:row>
    <s:row r="47" spans="1:260" ht="15" customHeight="1">
      <s:c r="A47" s="96"/>
      <s:c r="B47" s="97"/>
      <s:c r="C47" s="98"/>
      <s:c r="D47" s="99"/>
      <s:c r="E47" s="101"/>
      <s:c r="F47" s="101" t="str">
        <s:f>IF(AND(E47&lt;&gt;"",E47&lt;&gt;0),D47/E47,"")</s:f>
        <s:v/>
      </s:c>
      <s:c r="G47" s="101"/>
      <s:c r="H47" s="101" t="str">
        <s:f>IF(AND(G47&lt;&gt;"",G47&lt;&gt;0),D47/G47,"")</s:f>
        <s:v/>
      </s:c>
      <s:c r="I47" s="101"/>
      <s:c r="J47" s="99" t="str">
        <s:f>IF(AND(G47&lt;&gt;"",G47&lt;&gt;0),E47/G47,"")</s:f>
        <s:v/>
      </s:c>
      <s:c r="K47" s="101"/>
      <s:c r="L47" s="101"/>
      <s:c r="M47" s="101"/>
      <s:c r="N47" s="101"/>
      <s:c r="O47" s="101"/>
      <s:c r="P47" s="101"/>
      <s:c r="Q47" s="101"/>
      <s:c r="R47" s="101"/>
      <s:c r="S47" s="102" t="str">
        <s:f>IF(AND(I47&lt;&gt;"",I47&lt;&gt;0),G47/I47,"")</s:f>
        <s:v/>
      </s:c>
      <s:c r="T47" s="507" t="e">
        <s:f>I47/U47</s:f>
        <s:v>#DIV/0!</s:v>
      </s:c>
      <s:c r="U47" s="104">
        <s:f>$L$8*AA47*AB47/SUMPRODUCT($AB$25:$AB$56,$AA$25:$AA$56)</s:f>
        <s:v>0</s:v>
      </s:c>
      <s:c r="V47" s="105">
        <s:f>$L$9*AA47*AB47/SUMPRODUCT($AB$25:$AB$58,$AA$25:$AA$58)</s:f>
        <s:v>0</s:v>
      </s:c>
      <s:c r="W47" s="105">
        <s:f>IF($L$12="","",V47/$L$12)</s:f>
        <s:v>0</s:v>
      </s:c>
      <s:c r="X47" s="104" t="str">
        <s:f>IF(AB47&lt;&gt;"",IF(D47&lt;&gt;"",D47,($L$8-SUM($X$25:X46))*AA47*AB47/SUMPRODUCT($AB47:$AB$58,$AA47:$AA$58)),"")</s:f>
        <s:v/>
      </s:c>
      <s:c r="Y47" s="105" t="str">
        <s:f>IF(AB47&lt;&gt;"",IF(E47&lt;&gt;"",E47,($L$9-SUM($Y$25:Y46))*AA47*AB47/SUMPRODUCT($AB47:$AB$58,$AA47:$AA$58)),"")</s:f>
        <s:v/>
      </s:c>
      <s:c r="Z47" s="105" t="str">
        <s:f>IF(AB47&lt;&gt;"",IF($L$12&lt;&gt;"",IF(G47&lt;&gt;"",G47,($L$9/$L$12-SUM($Z$25:Z46))*AA47*AB47/SUMPRODUCT($AB47:$AB$58,$AA47:$AA$58)),""),"")</s:f>
        <s:v/>
      </s:c>
      <s:c r="AA47" s="293"/>
      <s:c r="AB47" s="106"/>
      <s:c r="AC47" s="107"/>
      <s:c r="AD47" s="108"/>
      <s:c r="AE47" s="109"/>
      <s:c r="AF47" s="2"/>
      <s:c r="AG47" s="2"/>
      <s:c r="AH47" s="2"/>
      <s:c r="AI47" s="2"/>
      <s:c r="AJ47" s="2"/>
      <s:c r="AK47" s="2"/>
      <s:c r="AL47" s="2"/>
    </s:row>
    <s:row r="48" spans="1:260" ht="15" customHeight="1">
      <s:c r="A48" s="96"/>
      <s:c r="B48" s="97"/>
      <s:c r="C48" s="98"/>
      <s:c r="D48" s="99"/>
      <s:c r="E48" s="101"/>
      <s:c r="F48" s="101" t="str">
        <s:f>IF(AND(E48&lt;&gt;"",E48&lt;&gt;0),D48/E48,"")</s:f>
        <s:v/>
      </s:c>
      <s:c r="G48" s="101"/>
      <s:c r="H48" s="101" t="str">
        <s:f>IF(AND(G48&lt;&gt;"",G48&lt;&gt;0),D48/G48,"")</s:f>
        <s:v/>
      </s:c>
      <s:c r="I48" s="101"/>
      <s:c r="J48" s="99" t="str">
        <s:f>IF(AND(G48&lt;&gt;"",G48&lt;&gt;0),E48/G48,"")</s:f>
        <s:v/>
      </s:c>
      <s:c r="K48" s="101"/>
      <s:c r="L48" s="101"/>
      <s:c r="M48" s="101"/>
      <s:c r="N48" s="101"/>
      <s:c r="O48" s="101"/>
      <s:c r="P48" s="101"/>
      <s:c r="Q48" s="101"/>
      <s:c r="R48" s="101"/>
      <s:c r="S48" s="102" t="str">
        <s:f>IF(AND(I48&lt;&gt;"",I48&lt;&gt;0),G48/I48,"")</s:f>
        <s:v/>
      </s:c>
      <s:c r="T48" s="507" t="e">
        <s:f>I48/U48</s:f>
        <s:v>#DIV/0!</s:v>
      </s:c>
      <s:c r="U48" s="104">
        <s:f>$L$8*AA48*AB48/SUMPRODUCT($AB$25:$AB$56,$AA$25:$AA$56)</s:f>
        <s:v>0</s:v>
      </s:c>
      <s:c r="V48" s="105">
        <s:f>$L$9*AA48*AB48/SUMPRODUCT($AB$25:$AB$58,$AA$25:$AA$58)</s:f>
        <s:v>0</s:v>
      </s:c>
      <s:c r="W48" s="105">
        <s:f>IF($L$12="","",V48/$L$12)</s:f>
        <s:v>0</s:v>
      </s:c>
      <s:c r="X48" s="104" t="str">
        <s:f>IF(AB48&lt;&gt;"",IF(D48&lt;&gt;"",D48,($L$8-SUM($X$25:X47))*AA48*AB48/SUMPRODUCT($AB48:$AB$58,$AA48:$AA$58)),"")</s:f>
        <s:v/>
      </s:c>
      <s:c r="Y48" s="105" t="str">
        <s:f>IF(AB48&lt;&gt;"",IF(E48&lt;&gt;"",E48,($L$9-SUM($Y$25:Y47))*AA48*AB48/SUMPRODUCT($AB48:$AB$58,$AA48:$AA$58)),"")</s:f>
        <s:v/>
      </s:c>
      <s:c r="Z48" s="105" t="str">
        <s:f>IF(AB48&lt;&gt;"",IF($L$12&lt;&gt;"",IF(G48&lt;&gt;"",G48,($L$9/$L$12-SUM($Z$25:Z47))*AA48*AB48/SUMPRODUCT($AB48:$AB$58,$AA48:$AA$58)),""),"")</s:f>
        <s:v/>
      </s:c>
      <s:c r="AA48" s="106"/>
      <s:c r="AB48" s="106"/>
      <s:c r="AC48" s="107"/>
      <s:c r="AD48" s="108"/>
      <s:c r="AE48" s="109"/>
      <s:c r="AF48" s="2"/>
      <s:c r="AG48" s="2"/>
      <s:c r="AH48" s="2"/>
      <s:c r="AI48" s="2"/>
      <s:c r="AJ48" s="2"/>
      <s:c r="AK48" s="2"/>
      <s:c r="AL48" s="2"/>
    </s:row>
    <s:row r="49" spans="1:38" ht="15" customHeight="1">
      <s:c r="A49" s="96"/>
      <s:c r="B49" s="97"/>
      <s:c r="C49" s="98"/>
      <s:c r="D49" s="99"/>
      <s:c r="E49" s="101"/>
      <s:c r="F49" s="101"/>
      <s:c r="G49" s="101"/>
      <s:c r="H49" s="101" t="str">
        <s:f>IF(AND(G49&lt;&gt;"",G49&lt;&gt;0),D49/G49,"")</s:f>
        <s:v/>
      </s:c>
      <s:c r="I49" s="101"/>
      <s:c r="J49" s="99" t="str">
        <s:f>IF(AND(G49&lt;&gt;"",G49&lt;&gt;0),E49/G49,"")</s:f>
        <s:v/>
      </s:c>
      <s:c r="K49" s="101"/>
      <s:c r="L49" s="101"/>
      <s:c r="M49" s="101"/>
      <s:c r="N49" s="101"/>
      <s:c r="O49" s="101"/>
      <s:c r="P49" s="101"/>
      <s:c r="Q49" s="101"/>
      <s:c r="R49" s="101"/>
      <s:c r="S49" s="102" t="str">
        <s:f>IF(AND(I49&lt;&gt;"",I49&lt;&gt;0),G49/I49,"")</s:f>
        <s:v/>
      </s:c>
      <s:c r="T49" s="507" t="e">
        <s:f>I49/U49</s:f>
        <s:v>#DIV/0!</s:v>
      </s:c>
      <s:c r="U49" s="104">
        <s:f>$L$8*AA49*AB49/SUMPRODUCT($AB$25:$AB$56,$AA$25:$AA$56)</s:f>
        <s:v>0</s:v>
      </s:c>
      <s:c r="V49" s="105">
        <s:f>$L$9*AA49*AB49/SUMPRODUCT($AB$25:$AB$58,$AA$25:$AA$58)</s:f>
        <s:v>0</s:v>
      </s:c>
      <s:c r="W49" s="105">
        <s:f>IF($L$12="","",V49/$L$12)</s:f>
        <s:v>0</s:v>
      </s:c>
      <s:c r="X49" s="104" t="str">
        <s:f>IF(AB49&lt;&gt;"",IF(D49&lt;&gt;"",D49,($L$8-SUM($X$25:X48))*AA49*AB49/SUMPRODUCT($AB49:$AB$58,$AA49:$AA$58)),"")</s:f>
        <s:v/>
      </s:c>
      <s:c r="Y49" s="105" t="str">
        <s:f>IF(AB49&lt;&gt;"",IF(E49&lt;&gt;"",E49,($L$9-SUM($Y$25:Y48))*AA49*AB49/SUMPRODUCT($AB49:$AB$58,$AA49:$AA$58)),"")</s:f>
        <s:v/>
      </s:c>
      <s:c r="Z49" s="105" t="str">
        <s:f>IF(AB49&lt;&gt;"",IF($L$12&lt;&gt;"",IF(G49&lt;&gt;"",G49,($L$9/$L$12-SUM($Z$25:Z48))*AA49*AB49/SUMPRODUCT($AB49:$AB$58,$AA49:$AA$58)),""),"")</s:f>
        <s:v/>
      </s:c>
      <s:c r="AA49" s="293"/>
      <s:c r="AB49" s="106"/>
      <s:c r="AC49" s="107"/>
      <s:c r="AD49" s="108"/>
      <s:c r="AE49" s="109"/>
      <s:c r="AF49" s="2"/>
      <s:c r="AG49" s="2"/>
      <s:c r="AH49" s="2"/>
      <s:c r="AI49" s="2"/>
      <s:c r="AJ49" s="2"/>
      <s:c r="AK49" s="2"/>
      <s:c r="AL49" s="2"/>
    </s:row>
    <s:row r="50" spans="1:38" ht="15" customHeight="1">
      <s:c r="A50" s="96"/>
      <s:c r="B50" s="97"/>
      <s:c r="C50" s="98"/>
      <s:c r="D50" s="99"/>
      <s:c r="E50" s="101"/>
      <s:c r="F50" s="101" t="str">
        <s:f>IF(AND(E50&lt;&gt;"",E50&lt;&gt;0),D50/E50,"")</s:f>
        <s:v/>
      </s:c>
      <s:c r="G50" s="101"/>
      <s:c r="H50" s="101" t="str">
        <s:f>IF(AND(G50&lt;&gt;"",G50&lt;&gt;0),D50/G50,"")</s:f>
        <s:v/>
      </s:c>
      <s:c r="I50" s="101"/>
      <s:c r="J50" s="99" t="str">
        <s:f>IF(AND(G50&lt;&gt;"",G50&lt;&gt;0),E50/G50,"")</s:f>
        <s:v/>
      </s:c>
      <s:c r="K50" s="101"/>
      <s:c r="L50" s="101"/>
      <s:c r="M50" s="101"/>
      <s:c r="N50" s="101"/>
      <s:c r="O50" s="101"/>
      <s:c r="P50" s="101"/>
      <s:c r="Q50" s="101"/>
      <s:c r="R50" s="101"/>
      <s:c r="S50" s="102" t="str">
        <s:f>IF(AND(I50&lt;&gt;"",I50&lt;&gt;0),G50/I50,"")</s:f>
        <s:v/>
      </s:c>
      <s:c r="T50" s="507" t="e">
        <s:f>I50/U50</s:f>
        <s:v>#DIV/0!</s:v>
      </s:c>
      <s:c r="U50" s="104">
        <s:f>$L$8*AA50*AB50/SUMPRODUCT($AB$25:$AB$56,$AA$25:$AA$56)</s:f>
        <s:v>0</s:v>
      </s:c>
      <s:c r="V50" s="105">
        <s:f>$L$9*AA50*AB50/SUMPRODUCT($AB$25:$AB$58,$AA$25:$AA$58)</s:f>
        <s:v>0</s:v>
      </s:c>
      <s:c r="W50" s="105">
        <s:f>IF($L$12="","",V50/$L$12)</s:f>
        <s:v>0</s:v>
      </s:c>
      <s:c r="X50" s="104" t="str">
        <s:f>IF(AB50&lt;&gt;"",IF(D50&lt;&gt;"",D50,($L$8-SUM($X$25:X49))*AA50*AB50/SUMPRODUCT($AB50:$AB$58,$AA50:$AA$58)),"")</s:f>
        <s:v/>
      </s:c>
      <s:c r="Y50" s="105" t="str">
        <s:f>IF(AB50&lt;&gt;"",IF(E50&lt;&gt;"",E50,($L$9-SUM($Y$25:Y49))*AA50*AB50/SUMPRODUCT($AB50:$AB$58,$AA50:$AA$58)),"")</s:f>
        <s:v/>
      </s:c>
      <s:c r="Z50" s="105" t="str">
        <s:f>IF(AB50&lt;&gt;"",IF($L$12&lt;&gt;"",IF(G50&lt;&gt;"",G50,($L$9/$L$12-SUM($Z$25:Z49))*AA50*AB50/SUMPRODUCT($AB50:$AB$58,$AA50:$AA$58)),""),"")</s:f>
        <s:v/>
      </s:c>
      <s:c r="AA50" s="106"/>
      <s:c r="AB50" s="106"/>
      <s:c r="AC50" s="107"/>
      <s:c r="AD50" s="108"/>
      <s:c r="AE50" s="109"/>
      <s:c r="AF50" s="2"/>
      <s:c r="AG50" s="2"/>
      <s:c r="AH50" s="2"/>
      <s:c r="AI50" s="2"/>
      <s:c r="AJ50" s="2"/>
      <s:c r="AK50" s="2"/>
      <s:c r="AL50" s="2"/>
    </s:row>
    <s:row r="51">
      <s:c r="A51" s="96"/>
      <s:c r="B51" s="97"/>
      <s:c r="C51" s="98"/>
      <s:c r="D51" s="99"/>
      <s:c r="E51" s="101"/>
      <s:c r="F51" s="101" t="str">
        <s:f>IF(AND(E51&lt;&gt;"",E51&lt;&gt;0),D51/E51,"")</s:f>
        <s:v/>
      </s:c>
      <s:c r="G51" s="101"/>
      <s:c r="H51" s="101" t="str">
        <s:f>IF(AND(G51&lt;&gt;"",G51&lt;&gt;0),D51/G51,"")</s:f>
        <s:v/>
      </s:c>
      <s:c r="I51" s="101"/>
      <s:c r="J51" s="99" t="str">
        <s:f>IF(AND(G51&lt;&gt;"",G51&lt;&gt;0),E51/G51,"")</s:f>
        <s:v/>
      </s:c>
      <s:c r="K51" s="101"/>
      <s:c r="L51" s="101"/>
      <s:c r="M51" s="101"/>
      <s:c r="N51" s="101"/>
      <s:c r="O51" s="101"/>
      <s:c r="P51" s="101"/>
      <s:c r="Q51" s="101"/>
      <s:c r="R51" s="101"/>
      <s:c r="S51" s="102" t="str">
        <s:f>IF(AND(I51&lt;&gt;"",I51&lt;&gt;0),G51/I51,"")</s:f>
        <s:v/>
      </s:c>
      <s:c r="T51" s="507" t="e">
        <s:f>I51/U51</s:f>
        <s:v>#DIV/0!</s:v>
      </s:c>
      <s:c r="U51" s="104">
        <s:f>$L$8*AA51*AB51/SUMPRODUCT($AB$25:$AB$56,$AA$25:$AA$56)</s:f>
        <s:v>0</s:v>
      </s:c>
      <s:c r="V51" s="105">
        <s:f>$L$9*AA51*AB51/SUMPRODUCT($AB$25:$AB$58,$AA$25:$AA$58)</s:f>
        <s:v>0</s:v>
      </s:c>
      <s:c r="W51" s="105">
        <s:f>IF($L$12="","",V51/$L$12)</s:f>
        <s:v>0</s:v>
      </s:c>
      <s:c r="X51" s="104" t="str">
        <s:f>IF(AB51&lt;&gt;"",IF(D51&lt;&gt;"",D51,($L$8-SUM($X$25:X50))*AA51*AB51/SUMPRODUCT($AB51:$AB$58,$AA51:$AA$58)),"")</s:f>
        <s:v/>
      </s:c>
      <s:c r="Y51" s="105" t="str">
        <s:f>IF(AB51&lt;&gt;"",IF(E51&lt;&gt;"",E51,($L$9-SUM($Y$25:Y50))*AA51*AB51/SUMPRODUCT($AB51:$AB$58,$AA51:$AA$58)),"")</s:f>
        <s:v/>
      </s:c>
      <s:c r="Z51" s="105" t="str">
        <s:f>IF(AB51&lt;&gt;"",IF($L$12&lt;&gt;"",IF(G51&lt;&gt;"",G51,($L$9/$L$12-SUM($Z$25:Z50))*AA51*AB51/SUMPRODUCT($AB51:$AB$58,$AA51:$AA$58)),""),"")</s:f>
        <s:v/>
      </s:c>
      <s:c r="AA51" s="106"/>
      <s:c r="AB51" s="106"/>
      <s:c r="AC51" s="107"/>
      <s:c r="AD51" s="108"/>
      <s:c r="AE51" s="109"/>
      <s:c r="AF51" s="2"/>
      <s:c r="AG51" s="2"/>
      <s:c r="AH51" s="2"/>
      <s:c r="AI51" s="2"/>
      <s:c r="AJ51" s="2"/>
      <s:c r="AK51" s="2"/>
      <s:c r="AL51" s="2"/>
    </s:row>
    <s:row r="52">
      <s:c r="A52" s="96"/>
      <s:c r="B52" s="97"/>
      <s:c r="C52" s="98"/>
      <s:c r="D52" s="99"/>
      <s:c r="E52" s="101"/>
      <s:c r="F52" s="101" t="str">
        <s:f>IF(AND(E52&lt;&gt;"",E52&lt;&gt;0),D52/E52,"")</s:f>
        <s:v/>
      </s:c>
      <s:c r="G52" s="101"/>
      <s:c r="H52" s="101" t="str">
        <s:f>IF(AND(G52&lt;&gt;"",G52&lt;&gt;0),D52/G52,"")</s:f>
        <s:v/>
      </s:c>
      <s:c r="I52" s="101"/>
      <s:c r="J52" s="99" t="str">
        <s:f>IF(AND(G52&lt;&gt;"",G52&lt;&gt;0),E52/G52,"")</s:f>
        <s:v/>
      </s:c>
      <s:c r="K52" s="101"/>
      <s:c r="L52" s="101"/>
      <s:c r="M52" s="101"/>
      <s:c r="N52" s="101"/>
      <s:c r="O52" s="101"/>
      <s:c r="P52" s="101"/>
      <s:c r="Q52" s="101"/>
      <s:c r="R52" s="101"/>
      <s:c r="S52" s="102" t="str">
        <s:f>IF(AND(I52&lt;&gt;"",I52&lt;&gt;0),G52/I52,"")</s:f>
        <s:v/>
      </s:c>
      <s:c r="T52" s="507" t="e">
        <s:f>I52/U52</s:f>
        <s:v>#DIV/0!</s:v>
      </s:c>
      <s:c r="U52" s="104">
        <s:f>$L$8*AA52*AB52/SUMPRODUCT($AB$25:$AB$56,$AA$25:$AA$56)</s:f>
        <s:v>0</s:v>
      </s:c>
      <s:c r="V52" s="105">
        <s:f>$L$9*AA52*AB52/SUMPRODUCT($AB$25:$AB$58,$AA$25:$AA$58)</s:f>
        <s:v>0</s:v>
      </s:c>
      <s:c r="W52" s="105">
        <s:f>IF($L$12="","",V52/$L$12)</s:f>
        <s:v>0</s:v>
      </s:c>
      <s:c r="X52" s="104" t="str">
        <s:f>IF(AB52&lt;&gt;"",IF(D52&lt;&gt;"",D52,($L$8-SUM($X$25:X51))*AA52*AB52/SUMPRODUCT($AB52:$AB$58,$AA52:$AA$58)),"")</s:f>
        <s:v/>
      </s:c>
      <s:c r="Y52" s="105" t="str">
        <s:f>IF(AB52&lt;&gt;"",IF(E52&lt;&gt;"",E52,($L$9-SUM($Y$25:Y51))*AA52*AB52/SUMPRODUCT($AB52:$AB$58,$AA52:$AA$58)),"")</s:f>
        <s:v/>
      </s:c>
      <s:c r="Z52" s="105" t="str">
        <s:f>IF(AB52&lt;&gt;"",IF($L$12&lt;&gt;"",IF(G52&lt;&gt;"",G52,($L$9/$L$12-SUM($Z$25:Z51))*AA52*AB52/SUMPRODUCT($AB52:$AB$58,$AA52:$AA$58)),""),"")</s:f>
        <s:v/>
      </s:c>
      <s:c r="AA52" s="106"/>
      <s:c r="AB52" s="106"/>
      <s:c r="AC52" s="107"/>
      <s:c r="AD52" s="108"/>
      <s:c r="AE52" s="109"/>
      <s:c r="AF52" s="2"/>
      <s:c r="AG52" s="2"/>
      <s:c r="AH52" s="2"/>
      <s:c r="AI52" s="2"/>
      <s:c r="AJ52" s="2"/>
      <s:c r="AK52" s="2"/>
      <s:c r="AL52" s="2"/>
    </s:row>
    <s:row r="53">
      <s:c r="A53" s="96"/>
      <s:c r="B53" s="97"/>
      <s:c r="C53" s="98"/>
      <s:c r="D53" s="99"/>
      <s:c r="E53" s="101"/>
      <s:c r="F53" s="101" t="str">
        <s:f>IF(AND(E53&lt;&gt;"",E53&lt;&gt;0),D53/E53,"")</s:f>
        <s:v/>
      </s:c>
      <s:c r="G53" s="101"/>
      <s:c r="H53" s="101" t="str">
        <s:f>IF(AND(G53&lt;&gt;"",G53&lt;&gt;0),D53/G53,"")</s:f>
        <s:v/>
      </s:c>
      <s:c r="I53" s="101"/>
      <s:c r="J53" s="99" t="str">
        <s:f>IF(AND(G53&lt;&gt;"",G53&lt;&gt;0),E53/G53,"")</s:f>
        <s:v/>
      </s:c>
      <s:c r="K53" s="101"/>
      <s:c r="L53" s="101"/>
      <s:c r="M53" s="101"/>
      <s:c r="N53" s="101"/>
      <s:c r="O53" s="101"/>
      <s:c r="P53" s="101"/>
      <s:c r="Q53" s="101"/>
      <s:c r="R53" s="101"/>
      <s:c r="S53" s="102" t="str">
        <s:f>IF(AND(I53&lt;&gt;"",I53&lt;&gt;0),G53/I53,"")</s:f>
        <s:v/>
      </s:c>
      <s:c r="T53" s="507" t="e">
        <s:f>I53/U53</s:f>
        <s:v>#DIV/0!</s:v>
      </s:c>
      <s:c r="U53" s="104">
        <s:f>$L$8*AA53*AB53/SUMPRODUCT($AB$25:$AB$56,$AA$25:$AA$56)</s:f>
        <s:v>0</s:v>
      </s:c>
      <s:c r="V53" s="105">
        <s:f>$L$9*AA53*AB53/SUMPRODUCT($AB$25:$AB$58,$AA$25:$AA$58)</s:f>
        <s:v>0</s:v>
      </s:c>
      <s:c r="W53" s="105">
        <s:f>IF($L$12="","",V53/$L$12)</s:f>
        <s:v>0</s:v>
      </s:c>
      <s:c r="X53" s="104" t="str">
        <s:f>IF(AB53&lt;&gt;"",IF(D53&lt;&gt;"",D53,($L$8-SUM($X$25:X52))*AA53*AB53/SUMPRODUCT($AB53:$AB$58,$AA53:$AA$58)),"")</s:f>
        <s:v/>
      </s:c>
      <s:c r="Y53" s="105" t="str">
        <s:f>IF(AB53&lt;&gt;"",IF(E53&lt;&gt;"",E53,($L$9-SUM($Y$25:Y52))*AA53*AB53/SUMPRODUCT($AB53:$AB$58,$AA53:$AA$58)),"")</s:f>
        <s:v/>
      </s:c>
      <s:c r="Z53" s="105" t="str">
        <s:f>IF(AB53&lt;&gt;"",IF($L$12&lt;&gt;"",IF(G53&lt;&gt;"",G53,($L$9/$L$12-SUM($Z$25:Z52))*AA53*AB53/SUMPRODUCT($AB53:$AB$58,$AA53:$AA$58)),""),"")</s:f>
        <s:v/>
      </s:c>
      <s:c r="AA53" s="106"/>
      <s:c r="AB53" s="106"/>
      <s:c r="AC53" s="107"/>
      <s:c r="AD53" s="108"/>
      <s:c r="AE53" s="109"/>
      <s:c r="AF53" s="2"/>
      <s:c r="AG53" s="2"/>
      <s:c r="AH53" s="2"/>
      <s:c r="AI53" s="2"/>
      <s:c r="AJ53" s="2"/>
      <s:c r="AK53" s="2"/>
      <s:c r="AL53" s="2"/>
    </s:row>
    <s:row r="54">
      <s:c r="A54" s="96"/>
      <s:c r="B54" s="97"/>
      <s:c r="C54" s="98"/>
      <s:c r="D54" s="99"/>
      <s:c r="E54" s="101"/>
      <s:c r="F54" s="101" t="str">
        <s:f>IF(AND(E54&lt;&gt;"",E54&lt;&gt;0),D54/E54,"")</s:f>
        <s:v/>
      </s:c>
      <s:c r="G54" s="101"/>
      <s:c r="H54" s="101" t="str">
        <s:f>IF(AND(G54&lt;&gt;"",G54&lt;&gt;0),D54/G54,"")</s:f>
        <s:v/>
      </s:c>
      <s:c r="I54" s="101"/>
      <s:c r="J54" s="99" t="str">
        <s:f>IF(AND(G54&lt;&gt;"",G54&lt;&gt;0),E54/G54,"")</s:f>
        <s:v/>
      </s:c>
      <s:c r="K54" s="101"/>
      <s:c r="L54" s="101"/>
      <s:c r="M54" s="101"/>
      <s:c r="N54" s="101"/>
      <s:c r="O54" s="101"/>
      <s:c r="P54" s="101"/>
      <s:c r="Q54" s="101"/>
      <s:c r="R54" s="101"/>
      <s:c r="S54" s="102" t="str">
        <s:f>IF(AND(I54&lt;&gt;"",I54&lt;&gt;0),G54/I54,"")</s:f>
        <s:v/>
      </s:c>
      <s:c r="T54" s="507" t="e">
        <s:f>I54/U54</s:f>
        <s:v>#DIV/0!</s:v>
      </s:c>
      <s:c r="U54" s="104">
        <s:f>$L$8*AA54*AB54/SUMPRODUCT($AB$25:$AB$56,$AA$25:$AA$56)</s:f>
        <s:v>0</s:v>
      </s:c>
      <s:c r="V54" s="105">
        <s:f>$L$9*AA54*AB54/SUMPRODUCT($AB$25:$AB$58,$AA$25:$AA$58)</s:f>
        <s:v>0</s:v>
      </s:c>
      <s:c r="W54" s="105">
        <s:f>IF($L$12="","",V54/$L$12)</s:f>
        <s:v>0</s:v>
      </s:c>
      <s:c r="X54" s="104" t="str">
        <s:f>IF(AB54&lt;&gt;"",IF(D54&lt;&gt;"",D54,($L$8-SUM($X$25:X53))*AA54*AB54/SUMPRODUCT($AB54:$AB$58,$AA54:$AA$58)),"")</s:f>
        <s:v/>
      </s:c>
      <s:c r="Y54" s="105" t="str">
        <s:f>IF(AB54&lt;&gt;"",IF(E54&lt;&gt;"",E54,($L$9-SUM($Y$25:Y53))*AA54*AB54/SUMPRODUCT($AB54:$AB$58,$AA54:$AA$58)),"")</s:f>
        <s:v/>
      </s:c>
      <s:c r="Z54" s="105" t="str">
        <s:f>IF(AB54&lt;&gt;"",IF($L$12&lt;&gt;"",IF(G54&lt;&gt;"",G54,($L$9/$L$12-SUM($Z$25:Z53))*AA54*AB54/SUMPRODUCT($AB54:$AB$58,$AA54:$AA$58)),""),"")</s:f>
        <s:v/>
      </s:c>
      <s:c r="AA54" s="106"/>
      <s:c r="AB54" s="106"/>
      <s:c r="AC54" s="107"/>
      <s:c r="AD54" s="108"/>
      <s:c r="AE54" s="109"/>
      <s:c r="AF54" s="2"/>
      <s:c r="AG54" s="2"/>
      <s:c r="AH54" s="2"/>
      <s:c r="AI54" s="2"/>
      <s:c r="AJ54" s="2"/>
      <s:c r="AK54" s="2"/>
      <s:c r="AL54" s="2"/>
    </s:row>
    <s:row r="55">
      <s:c r="A55" s="96"/>
      <s:c r="B55" s="97"/>
      <s:c r="C55" s="98"/>
      <s:c r="D55" s="99"/>
      <s:c r="E55" s="101"/>
      <s:c r="F55" s="101" t="str">
        <s:f>IF(AND(E55&lt;&gt;"",E55&lt;&gt;0),D55/E55,"")</s:f>
        <s:v/>
      </s:c>
      <s:c r="G55" s="101"/>
      <s:c r="H55" s="101" t="str">
        <s:f>IF(AND(G55&lt;&gt;"",G55&lt;&gt;0),D55/G55,"")</s:f>
        <s:v/>
      </s:c>
      <s:c r="I55" s="101"/>
      <s:c r="J55" s="99" t="str">
        <s:f>IF(AND(G55&lt;&gt;"",G55&lt;&gt;0),E55/G55,"")</s:f>
        <s:v/>
      </s:c>
      <s:c r="K55" s="101"/>
      <s:c r="L55" s="101"/>
      <s:c r="M55" s="101"/>
      <s:c r="N55" s="101"/>
      <s:c r="O55" s="101"/>
      <s:c r="P55" s="101"/>
      <s:c r="Q55" s="101"/>
      <s:c r="R55" s="101"/>
      <s:c r="S55" s="102" t="str">
        <s:f>IF(AND(I55&lt;&gt;"",I55&lt;&gt;0),G55/I55,"")</s:f>
        <s:v/>
      </s:c>
      <s:c r="T55" s="507" t="e">
        <s:f>I55/U55</s:f>
        <s:v>#DIV/0!</s:v>
      </s:c>
      <s:c r="U55" s="104">
        <s:f>$L$8*AA55*AB55/SUMPRODUCT($AB$25:$AB$56,$AA$25:$AA$56)</s:f>
        <s:v>0</s:v>
      </s:c>
      <s:c r="V55" s="105">
        <s:f>$L$9*AA55*AB55/SUMPRODUCT($AB$25:$AB$58,$AA$25:$AA$58)</s:f>
        <s:v>0</s:v>
      </s:c>
      <s:c r="W55" s="105">
        <s:f>IF($L$12="","",V55/$L$12)</s:f>
        <s:v>0</s:v>
      </s:c>
      <s:c r="X55" s="104" t="str">
        <s:f>IF(AB55&lt;&gt;"",IF(D55&lt;&gt;"",D55,($L$8-SUM($X$25:X54))*AA55*AB55/SUMPRODUCT($AB55:$AB$58,$AA55:$AA$58)),"")</s:f>
        <s:v/>
      </s:c>
      <s:c r="Y55" s="105" t="str">
        <s:f>IF(AB55&lt;&gt;"",IF(E55&lt;&gt;"",E55,($L$9-SUM($Y$25:Y54))*AA55*AB55/SUMPRODUCT($AB55:$AB$58,$AA55:$AA$58)),"")</s:f>
        <s:v/>
      </s:c>
      <s:c r="Z55" s="105" t="str">
        <s:f>IF(AB55&lt;&gt;"",IF($L$12&lt;&gt;"",IF(G55&lt;&gt;"",G55,($L$9/$L$12-SUM($Z$25:Z54))*AA55*AB55/SUMPRODUCT($AB55:$AB$58,$AA55:$AA$58)),""),"")</s:f>
        <s:v/>
      </s:c>
      <s:c r="AA55" s="106"/>
      <s:c r="AB55" s="106"/>
      <s:c r="AC55" s="107"/>
      <s:c r="AD55" s="108"/>
      <s:c r="AE55" s="109"/>
      <s:c r="AF55" s="2"/>
      <s:c r="AG55" s="2"/>
      <s:c r="AH55" s="2"/>
      <s:c r="AI55" s="2"/>
      <s:c r="AJ55" s="2"/>
      <s:c r="AK55" s="2"/>
      <s:c r="AL55" s="2"/>
    </s:row>
    <s:row r="56">
      <s:c r="A56" s="96"/>
      <s:c r="B56" s="97"/>
      <s:c r="C56" s="98"/>
      <s:c r="D56" s="99"/>
      <s:c r="E56" s="101"/>
      <s:c r="F56" s="101" t="str">
        <s:f>IF(AND(E56&lt;&gt;"",E56&lt;&gt;0),D56/E56,"")</s:f>
        <s:v/>
      </s:c>
      <s:c r="G56" s="101"/>
      <s:c r="H56" s="101" t="str">
        <s:f>IF(AND(G56&lt;&gt;"",G56&lt;&gt;0),D56/G56,"")</s:f>
        <s:v/>
      </s:c>
      <s:c r="I56" s="101"/>
      <s:c r="J56" s="99" t="str">
        <s:f>IF(AND(G56&lt;&gt;"",G56&lt;&gt;0),E56/G56,"")</s:f>
        <s:v/>
      </s:c>
      <s:c r="K56" s="101"/>
      <s:c r="L56" s="101"/>
      <s:c r="M56" s="101"/>
      <s:c r="N56" s="101"/>
      <s:c r="O56" s="101"/>
      <s:c r="P56" s="101"/>
      <s:c r="Q56" s="101"/>
      <s:c r="R56" s="101"/>
      <s:c r="S56" s="102" t="str">
        <s:f>IF(AND(I56&lt;&gt;"",I56&lt;&gt;0),G56/I56,"")</s:f>
        <s:v/>
      </s:c>
      <s:c r="T56" s="507" t="e">
        <s:f>I56/U56</s:f>
        <s:v>#DIV/0!</s:v>
      </s:c>
      <s:c r="U56" s="104">
        <s:f>$L$8*AA56*AB56/SUMPRODUCT($AB$25:$AB$56,$AA$25:$AA$56)</s:f>
        <s:v>0</s:v>
      </s:c>
      <s:c r="V56" s="105">
        <s:f>$L$9*AA56*AB56/SUMPRODUCT($AB$25:$AB$58,$AA$25:$AA$58)</s:f>
        <s:v>0</s:v>
      </s:c>
      <s:c r="W56" s="105">
        <s:f>IF($L$12="","",V56/$L$12)</s:f>
        <s:v>0</s:v>
      </s:c>
      <s:c r="X56" s="104" t="str">
        <s:f>IF(AB56&lt;&gt;"",IF(D56&lt;&gt;"",D56,($L$8-SUM($X$25:X55))*AA56*AB56/SUMPRODUCT($AB56:$AB$58,$AA56:$AA$58)),"")</s:f>
        <s:v/>
      </s:c>
      <s:c r="Y56" s="105" t="str">
        <s:f>IF(AB56&lt;&gt;"",IF(E56&lt;&gt;"",E56,($L$9-SUM($Y$25:Y55))*AA56*AB56/SUMPRODUCT($AB56:$AB$58,$AA56:$AA$58)),"")</s:f>
        <s:v/>
      </s:c>
      <s:c r="Z56" s="105" t="str">
        <s:f>IF(AB56&lt;&gt;"",IF($L$12&lt;&gt;"",IF(G56&lt;&gt;"",G56,($L$9/$L$12-SUM($Z$25:Z55))*AA56*AB56/SUMPRODUCT($AB56:$AB$58,$AA56:$AA$58)),""),"")</s:f>
        <s:v/>
      </s:c>
      <s:c r="AA56" s="106"/>
      <s:c r="AB56" s="106"/>
      <s:c r="AC56" s="107"/>
      <s:c r="AD56" s="108"/>
      <s:c r="AE56" s="109"/>
      <s:c r="AF56" s="2"/>
      <s:c r="AG56" s="2"/>
      <s:c r="AH56" s="2"/>
      <s:c r="AI56" s="2"/>
      <s:c r="AJ56" s="2"/>
      <s:c r="AK56" s="2"/>
      <s:c r="AL56" s="2"/>
    </s:row>
    <s:row r="57">
      <s:c r="A57" s="316"/>
      <s:c r="B57" s="592"/>
      <s:c r="C57" s="593"/>
      <s:c r="D57" s="92">
        <s:f>SUM(D25:D56)</s:f>
        <s:v>168150</s:v>
      </s:c>
      <s:c r="E57" s="92">
        <s:f>SUM(E25:E56)</s:f>
        <s:v>24</s:v>
      </s:c>
      <s:c r="F57" s="92">
        <s:f>IF(AND(E57&lt;&gt;"",E57&lt;&gt;0),D57/E57,"")</s:f>
        <s:v>7006.25</s:v>
      </s:c>
      <s:c r="G57" s="92">
        <s:f>SUM(G25:G56)</s:f>
        <s:v>18</s:v>
      </s:c>
      <s:c r="H57" s="92">
        <s:f>IF(AND(G57&lt;&gt;"",G57&lt;&gt;0),D57/G57,"")</s:f>
        <s:v>9341.6666666666606</s:v>
      </s:c>
      <s:c r="I57" s="92">
        <s:f>SUM(I25:I56)</s:f>
        <s:v>364</s:v>
      </s:c>
      <s:c r="J57" s="93">
        <s:f>IF(AND(G57&lt;&gt;"",G57&lt;&gt;0),E57/G57,"")</s:f>
        <s:v>1.3333333333333299</s:v>
      </s:c>
      <s:c r="K57" s="92">
        <s:f>SUM(K25:K56)</s:f>
        <s:v>10990</s:v>
      </s:c>
      <s:c r="L57" s="92">
        <s:f>SUM(L25:L56)</s:f>
        <s:v>0</s:v>
      </s:c>
      <s:c r="M57" s="92">
        <s:f>SUM(M25:M56)</s:f>
        <s:v>0</s:v>
      </s:c>
      <s:c r="N57" s="92">
        <s:f>SUM(N25:N56)</s:f>
        <s:v>0</s:v>
      </s:c>
      <s:c r="O57" s="92">
        <s:f>SUM(O25:O56)</s:f>
        <s:v>0</s:v>
      </s:c>
      <s:c r="P57" s="92">
        <s:f>SUM(P25:P56)</s:f>
        <s:v>26082</s:v>
      </s:c>
      <s:c r="Q57" s="92">
        <s:f>SUM(Q25:Q56)</s:f>
        <s:v>0</s:v>
      </s:c>
      <s:c r="R57" s="92">
        <s:f>SUM(R25:R56)</s:f>
        <s:v>2555</s:v>
      </s:c>
      <s:c r="S57" s="110">
        <s:f>IF(AND(I57&lt;&gt;"",I57&lt;&gt;0),G57/I57,"")</s:f>
        <s:v>4.94505494505494E-2</s:v>
      </s:c>
      <s:c r="T57" s="94">
        <s:f>I57/U57</s:f>
        <s:v>6.6667768044352505E-4</s:v>
      </s:c>
      <s:c r="U57" s="95">
        <s:f>SUM(U25:U56)</s:f>
        <s:v>545990.97986577102</s:v>
      </s:c>
      <s:c r="V57" s="95">
        <s:f>SUM(V25:V55)</s:f>
        <s:v>79.129127516778496</s:v>
      </s:c>
      <s:c r="W57" s="95">
        <s:f>SUM(W25:W55)</s:f>
        <s:v>45.476510067113999</s:v>
      </s:c>
      <s:c r="X57" s="95">
        <s:f>SUM(X25:X56)</s:f>
        <s:v>51631</s:v>
      </s:c>
      <s:c r="Y57" s="95">
        <s:f>SUM(Y25:Y55)</s:f>
        <s:v>9</s:v>
      </s:c>
      <s:c r="Z57" s="95">
        <s:f>SUM(Z25:Z55)</s:f>
        <s:v>7</s:v>
      </s:c>
      <s:c r="AA57" s="111"/>
      <s:c r="AB57" s="111"/>
      <s:c r="AJ57" s="2"/>
      <s:c r="AK57" s="2"/>
      <s:c r="AL57" s="2"/>
    </s:row>
  </s:sheetData>
  <s:mergeCells count="27">
    <s:mergeCell ref="B1:C1"/>
    <s:mergeCell ref="V1:Y4"/>
    <s:mergeCell ref="B2:C2"/>
    <s:mergeCell ref="J3:S4"/>
    <s:mergeCell ref="C4:D4"/>
    <s:mergeCell ref="J2:S2"/>
    <s:mergeCell ref="I11:K11"/>
    <s:mergeCell ref="I12:K12"/>
    <s:mergeCell ref="I13:K13"/>
    <s:mergeCell ref="I14:K14"/>
    <s:mergeCell ref="J5:S5"/>
    <s:mergeCell ref="I7:K7"/>
    <s:mergeCell ref="S7:T7"/>
    <s:mergeCell ref="I8:K8"/>
    <s:mergeCell ref="I9:K9"/>
    <s:mergeCell ref="I10:K10"/>
    <s:mergeCell ref="I6:T6"/>
    <s:mergeCell ref="I15:K15"/>
    <s:mergeCell ref="I16:K16"/>
    <s:mergeCell ref="I17:K17"/>
    <s:mergeCell ref="I18:K18"/>
    <s:mergeCell ref="I19:K19"/>
    <s:mergeCell ref="I20:K20"/>
    <s:mergeCell ref="B22:S22"/>
    <s:mergeCell ref="T22:T24"/>
    <s:mergeCell ref="U22:AB22"/>
    <s:mergeCell ref="B57:C57"/>
  </s:mergeCells>
  <s:conditionalFormatting sqref="J25:J44">
    <s:cfRule type="cellIs" dxfId="61" priority="35" operator="lessThan">
      <s:formula>$I$12</s:formula>
    </s:cfRule>
  </s:conditionalFormatting>
  <s:conditionalFormatting sqref="J25:J49">
    <s:cfRule type="cellIs" dxfId="60" priority="36" operator="greaterThan">
      <s:formula>$I$12</s:formula>
    </s:cfRule>
  </s:conditionalFormatting>
  <s:conditionalFormatting sqref="J28:J56">
    <s:cfRule type="cellIs" dxfId="59" priority="61" operator="greaterThan">
      <s:formula>$I$12</s:formula>
    </s:cfRule>
    <s:cfRule type="cellIs" dxfId="58" priority="60" operator="lessThan">
      <s:formula>$I$12</s:formula>
    </s:cfRule>
  </s:conditionalFormatting>
  <s:conditionalFormatting sqref="J36">
    <s:cfRule type="cellIs" dxfId="57" priority="96" operator="greaterThan">
      <s:formula>$I$12</s:formula>
    </s:cfRule>
    <s:cfRule type="cellIs" dxfId="56" priority="92" operator="lessThan">
      <s:formula>$I$12</s:formula>
    </s:cfRule>
    <s:cfRule type="cellIs" dxfId="55" priority="98" operator="lessThan">
      <s:formula>$I$12</s:formula>
    </s:cfRule>
  </s:conditionalFormatting>
  <s:conditionalFormatting sqref="J39:J40">
    <s:cfRule type="cellIs" dxfId="54" priority="82" operator="lessThan">
      <s:formula>$I$12</s:formula>
    </s:cfRule>
  </s:conditionalFormatting>
  <s:conditionalFormatting sqref="J44:J49">
    <s:cfRule type="cellIs" dxfId="53" priority="77" operator="lessThan">
      <s:formula>$I$12</s:formula>
    </s:cfRule>
  </s:conditionalFormatting>
  <s:conditionalFormatting sqref="J51:J53">
    <s:cfRule type="cellIs" dxfId="52" priority="91" operator="lessThan">
      <s:formula>$I$12</s:formula>
    </s:cfRule>
  </s:conditionalFormatting>
  <s:conditionalFormatting sqref="M16">
    <s:cfRule type="cellIs" dxfId="51" priority="75" operator="lessThan">
      <s:formula>0</s:formula>
    </s:cfRule>
    <s:cfRule type="cellIs" dxfId="50" priority="73" operator="greaterThan">
      <s:formula>0</s:formula>
    </s:cfRule>
  </s:conditionalFormatting>
  <s:conditionalFormatting sqref="N8">
    <s:cfRule type="cellIs" dxfId="49" priority="38" operator="lessThan">
      <s:formula>$K$17</s:formula>
    </s:cfRule>
    <s:cfRule type="cellIs" dxfId="48" priority="37" operator="greaterThan">
      <s:formula>$K$17</s:formula>
    </s:cfRule>
  </s:conditionalFormatting>
  <s:conditionalFormatting sqref="N10:N12 N15">
    <s:cfRule type="cellIs" dxfId="47" priority="76" operator="lessThan">
      <s:formula>1</s:formula>
    </s:cfRule>
    <s:cfRule type="cellIs" dxfId="46" priority="72" operator="greaterThan">
      <s:formula>1</s:formula>
    </s:cfRule>
  </s:conditionalFormatting>
  <s:conditionalFormatting sqref="N13">
    <s:cfRule type="cellIs" dxfId="45" priority="69" operator="greaterThan">
      <s:formula>$K$14</s:formula>
    </s:cfRule>
    <s:cfRule type="cellIs" dxfId="44" priority="68" operator="lessThan">
      <s:formula>$K$14</s:formula>
    </s:cfRule>
  </s:conditionalFormatting>
  <s:conditionalFormatting sqref="P8:P15">
    <s:cfRule type="cellIs" dxfId="43" priority="71" operator="greaterThan">
      <s:formula>1</s:formula>
    </s:cfRule>
    <s:cfRule type="cellIs" dxfId="42" priority="70" operator="lessThan">
      <s:formula>1</s:formula>
    </s:cfRule>
  </s:conditionalFormatting>
  <s:conditionalFormatting sqref="S25:S44">
    <s:cfRule type="cellIs" dxfId="41" priority="51" operator="between">
      <s:formula>0.2</s:formula>
      <s:formula>0.25</s:formula>
    </s:cfRule>
  </s:conditionalFormatting>
  <s:conditionalFormatting sqref="S25:S49">
    <s:cfRule type="cellIs" dxfId="40" priority="52" operator="greaterThanOrEqual">
      <s:formula>0.25</s:formula>
    </s:cfRule>
  </s:conditionalFormatting>
  <s:conditionalFormatting sqref="S25:S56">
    <s:cfRule type="cellIs" dxfId="39" priority="53" operator="lessThan">
      <s:formula>0.2</s:formula>
    </s:cfRule>
  </s:conditionalFormatting>
  <s:conditionalFormatting sqref="S28:S38">
    <s:cfRule type="cellIs" dxfId="38" priority="59" operator="greaterThanOrEqual">
      <s:formula>0.25</s:formula>
    </s:cfRule>
    <s:cfRule type="cellIs" dxfId="37" priority="58" operator="between">
      <s:formula>0.2</s:formula>
      <s:formula>0.25</s:formula>
    </s:cfRule>
  </s:conditionalFormatting>
  <s:conditionalFormatting sqref="S36">
    <s:cfRule type="cellIs" dxfId="36" priority="100" operator="between">
      <s:formula>0.2</s:formula>
      <s:formula>0.25</s:formula>
    </s:cfRule>
    <s:cfRule type="cellIs" dxfId="35" priority="99" operator="greaterThanOrEqual">
      <s:formula>0.25</s:formula>
    </s:cfRule>
    <s:cfRule type="cellIs" dxfId="34" priority="93" operator="between">
      <s:formula>0.2</s:formula>
      <s:formula>0.25</s:formula>
    </s:cfRule>
  </s:conditionalFormatting>
  <s:conditionalFormatting sqref="S39:S40">
    <s:cfRule type="cellIs" dxfId="33" priority="83" operator="between">
      <s:formula>0.2</s:formula>
      <s:formula>0.25</s:formula>
    </s:cfRule>
  </s:conditionalFormatting>
  <s:conditionalFormatting sqref="S39:S56">
    <s:cfRule type="cellIs" dxfId="32" priority="67" operator="greaterThanOrEqual">
      <s:formula>0.25</s:formula>
    </s:cfRule>
  </s:conditionalFormatting>
  <s:conditionalFormatting sqref="S41:S56">
    <s:cfRule type="cellIs" dxfId="31" priority="66" operator="between">
      <s:formula>0.2</s:formula>
      <s:formula>0.25</s:formula>
    </s:cfRule>
  </s:conditionalFormatting>
  <s:conditionalFormatting sqref="S44:S49">
    <s:cfRule type="cellIs" dxfId="30" priority="78" operator="between">
      <s:formula>0.2</s:formula>
      <s:formula>0.25</s:formula>
    </s:cfRule>
  </s:conditionalFormatting>
  <s:conditionalFormatting sqref="S51:S53">
    <s:cfRule type="cellIs" dxfId="29" priority="87" operator="between">
      <s:formula>0.2</s:formula>
      <s:formula>0.25</s:formula>
    </s:cfRule>
  </s:conditionalFormatting>
  <s:conditionalFormatting sqref="S10:T10">
    <s:cfRule type="cellIs" dxfId="28" priority="74" operator="lessThan">
      <s:formula>0</s:formula>
    </s:cfRule>
  </s:conditionalFormatting>
  <s:conditionalFormatting sqref="T25:T43">
    <s:cfRule type="cellIs" dxfId="27" priority="1" operator="between">
      <s:formula>0.9001</s:formula>
      <s:formula>0.9999</s:formula>
    </s:cfRule>
    <s:cfRule type="cellIs" dxfId="26" priority="2" operator="lessThan">
      <s:formula>0.9</s:formula>
    </s:cfRule>
    <s:cfRule type="cellIs" dxfId="25" priority="5" operator="between">
      <s:formula>0.85</s:formula>
      <s:formula>1</s:formula>
    </s:cfRule>
  </s:conditionalFormatting>
  <s:conditionalFormatting sqref="T25:T49">
    <s:cfRule type="cellIs" dxfId="24" priority="6" operator="between">
      <s:formula>0.01</s:formula>
      <s:formula>0.99</s:formula>
    </s:cfRule>
  </s:conditionalFormatting>
  <s:conditionalFormatting sqref="T25:T56">
    <s:cfRule type="cellIs" dxfId="23" priority="3" operator="greaterThan">
      <s:formula>1</s:formula>
    </s:cfRule>
    <s:cfRule type="cellIs" dxfId="22" priority="4" operator="greaterThan">
      <s:formula>100</s:formula>
    </s:cfRule>
  </s:conditionalFormatting>
  <s:conditionalFormatting sqref="T28:T38">
    <s:cfRule type="cellIs" dxfId="21" priority="30" operator="between">
      <s:formula>0.9001</s:formula>
      <s:formula>0.9999</s:formula>
    </s:cfRule>
    <s:cfRule type="cellIs" dxfId="20" priority="29" operator="lessThan">
      <s:formula>0.9</s:formula>
    </s:cfRule>
    <s:cfRule type="cellIs" dxfId="19" priority="13" operator="between">
      <s:formula>0.85</s:formula>
      <s:formula>1</s:formula>
    </s:cfRule>
    <s:cfRule type="cellIs" dxfId="18" priority="14" operator="between">
      <s:formula>0.01</s:formula>
      <s:formula>0.99</s:formula>
    </s:cfRule>
  </s:conditionalFormatting>
  <s:conditionalFormatting sqref="T36">
    <s:cfRule type="cellIs" dxfId="17" priority="33" operator="lessThan">
      <s:formula>0.9</s:formula>
    </s:cfRule>
    <s:cfRule type="cellIs" dxfId="16" priority="28" operator="between">
      <s:formula>0.85</s:formula>
      <s:formula>1</s:formula>
    </s:cfRule>
    <s:cfRule type="cellIs" dxfId="15" priority="31" operator="between">
      <s:formula>0.01</s:formula>
      <s:formula>0.99</s:formula>
    </s:cfRule>
    <s:cfRule type="cellIs" dxfId="14" priority="32" operator="between">
      <s:formula>0.85</s:formula>
      <s:formula>1</s:formula>
    </s:cfRule>
    <s:cfRule type="cellIs" dxfId="13" priority="34" operator="between">
      <s:formula>0.9001</s:formula>
      <s:formula>0.9999</s:formula>
    </s:cfRule>
  </s:conditionalFormatting>
  <s:conditionalFormatting sqref="T39:T40">
    <s:cfRule type="cellIs" dxfId="12" priority="22" operator="between">
      <s:formula>0.85</s:formula>
      <s:formula>1</s:formula>
    </s:cfRule>
    <s:cfRule type="cellIs" dxfId="11" priority="23" operator="lessThan">
      <s:formula>0.9</s:formula>
    </s:cfRule>
    <s:cfRule type="cellIs" dxfId="10" priority="24" operator="between">
      <s:formula>0.9001</s:formula>
      <s:formula>0.9999</s:formula>
    </s:cfRule>
  </s:conditionalFormatting>
  <s:conditionalFormatting sqref="T39:T56">
    <s:cfRule type="cellIs" dxfId="9" priority="18" operator="between">
      <s:formula>0.01</s:formula>
      <s:formula>0.99</s:formula>
    </s:cfRule>
  </s:conditionalFormatting>
  <s:conditionalFormatting sqref="T41:T56">
    <s:cfRule type="cellIs" dxfId="8" priority="17" operator="between">
      <s:formula>0.85</s:formula>
      <s:formula>1</s:formula>
    </s:cfRule>
    <s:cfRule type="cellIs" dxfId="7" priority="16" operator="lessThan">
      <s:formula>0.9</s:formula>
    </s:cfRule>
    <s:cfRule type="cellIs" dxfId="6" priority="15" operator="between">
      <s:formula>0.9001</s:formula>
      <s:formula>0.9999</s:formula>
    </s:cfRule>
  </s:conditionalFormatting>
  <s:conditionalFormatting sqref="T44:T49">
    <s:cfRule type="cellIs" dxfId="5" priority="19" operator="between">
      <s:formula>0.85</s:formula>
      <s:formula>1</s:formula>
    </s:cfRule>
    <s:cfRule type="cellIs" dxfId="4" priority="20" operator="lessThan">
      <s:formula>0.9</s:formula>
    </s:cfRule>
    <s:cfRule type="cellIs" dxfId="3" priority="21" operator="between">
      <s:formula>0.9001</s:formula>
      <s:formula>0.9999</s:formula>
    </s:cfRule>
  </s:conditionalFormatting>
  <s:conditionalFormatting sqref="T51:T53">
    <s:cfRule type="cellIs" dxfId="2" priority="25" operator="between">
      <s:formula>0.85</s:formula>
      <s:formula>1</s:formula>
    </s:cfRule>
    <s:cfRule type="cellIs" dxfId="1" priority="26" operator="lessThan">
      <s:formula>0.9</s:formula>
    </s:cfRule>
    <s:cfRule type="cellIs" dxfId="0" priority="27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700-000000000000}">
  <s:dimension ref="A1:N25"/>
  <s:sheetViews>
    <s:sheetView tabSelected="0" zoomScale="93" workbookViewId="0">
      <s:selection activeCell="R21" sqref="R21"/>
    </s:sheetView>
  </s:sheetViews>
  <s:sheetFormatPr baseColWidth="10" defaultColWidth="11.5" defaultRowHeight="15"/>
  <s:cols>
    <s:col min="1" max="1" width="2.5" style="3" customWidth="1"/>
    <s:col min="2" max="2" width="11.832" style="3" customWidth="1"/>
    <s:col min="3" max="3" width="18.332" style="3" bestFit="1" customWidth="1"/>
    <s:col min="4" max="4" width="10.5" style="3" bestFit="1" customWidth="1"/>
    <s:col min="5" max="5" width="11.664" style="3" customWidth="1"/>
    <s:col min="6" max="6" width="11.832" style="3" customWidth="1"/>
    <s:col min="7" max="7" width="14" style="3" customWidth="1"/>
    <s:col min="8" max="8" width="13.332" style="3" customWidth="1"/>
    <s:col min="9" max="9" width="12" style="3" customWidth="1"/>
    <s:col min="10" max="10" width="17.5" style="3" customWidth="1"/>
    <s:col min="11" max="11" width="14.164" style="3" customWidth="1"/>
    <s:col min="12" max="12" width="14.832" style="3" customWidth="1"/>
    <s:col min="13" max="13" width="12.164" style="3" customWidth="1"/>
  </s:cols>
  <s:sheetData>
    <s:row r="1" spans="1:14" ht="17" customHeight="1">
      <s:c r="A1" s="514" t="str">
        <s:f>[1]График!B1</s:f>
        <s:v>Март, 2026</s:v>
      </s:c>
      <s:c r="B1" s="515"/>
      <s:c r="C1" s="515"/>
      <s:c r="D1" s="516"/>
      <s:c r="E1" s="451"/>
      <s:c r="F1" s="317"/>
      <s:c r="G1" s="317"/>
      <s:c r="H1" s="317"/>
      <s:c r="I1" s="317"/>
      <s:c r="J1" s="317"/>
      <s:c r="K1" s="317"/>
      <s:c r="L1" s="317"/>
      <s:c r="M1" s="452"/>
    </s:row>
    <s:row r="2" spans="1:14" ht="18" customHeight="1" thickBot="1">
      <s:c r="A2" s="517" t="str">
        <s:f>График!B3</s:f>
        <s:v>ул. Набережная Ленина, 18</s:v>
      </s:c>
      <s:c r="B2" s="518"/>
      <s:c r="C2" s="519"/>
      <s:c r="D2" s="453" t="str">
        <s:f>[1]График!B4</s:f>
        <s:v>GL-0004</s:v>
      </s:c>
      <s:c r="E2" s="318"/>
      <s:c r="F2" s="454"/>
      <s:c r="G2" s="454"/>
      <s:c r="H2" s="454"/>
      <s:c r="I2" s="454"/>
      <s:c r="J2" s="455"/>
      <s:c r="K2" s="455"/>
      <s:c r="L2" s="455"/>
      <s:c r="M2" s="456"/>
    </s:row>
    <s:row r="3" spans="1:14" ht="75" customHeight="1">
      <s:c r="A3" s="525" t="s">
        <s:v>26</s:v>
      </s:c>
      <s:c r="B3" s="526"/>
      <s:c r="C3" s="526"/>
      <s:c r="D3" s="457" t="s">
        <s:v>81</s:v>
      </s:c>
      <s:c r="E3" s="458" t="s">
        <s:v>82</s:v>
      </s:c>
      <s:c r="F3" s="319" t="s">
        <s:v>84</s:v>
      </s:c>
      <s:c r="G3" s="320" t="s">
        <s:v>100</s:v>
      </s:c>
      <s:c r="H3" s="320" t="s">
        <s:v>85</s:v>
      </s:c>
      <s:c r="I3" s="321" t="s">
        <s:v>83</s:v>
      </s:c>
      <s:c r="J3" s="459" t="s">
        <s:v>66</s:v>
      </s:c>
      <s:c r="K3" s="460" t="s">
        <s:v>86</s:v>
      </s:c>
      <s:c r="L3" s="321" t="s">
        <s:v>87</s:v>
      </s:c>
      <s:c r="M3" s="456"/>
    </s:row>
    <s:row r="4" spans="1:14" ht="18" customHeight="1" thickBot="1">
      <s:c r="A4" s="527" t="str">
        <s:f>График!B29</s:f>
        <s:v>Рогалевич Ирина</s:v>
      </s:c>
      <s:c r="B4" s="528"/>
      <s:c r="C4" s="528"/>
      <s:c r="D4" s="461">
        <s:f>19140+19140</s:f>
        <s:v>38280</s:v>
      </s:c>
      <s:c r="E4" s="462"/>
      <s:c r="F4" s="463">
        <s:f>G7</s:f>
        <s:v>13900</s:v>
      </s:c>
      <s:c r="G4" s="464">
        <s:f>G14</s:f>
        <s:v>23859.599999999999</s:v>
      </s:c>
      <s:c r="H4" s="464">
        <s:f>G20</s:f>
        <s:v>7283.1895302013399</s:v>
      </s:c>
      <s:c r="I4" s="465">
        <s:f>L14</s:f>
        <s:v>12187.96</s:v>
      </s:c>
      <s:c r="J4" s="466">
        <s:f>G4+F4+I4+H4</s:f>
        <s:v>57230.749530201341</s:v>
      </s:c>
      <s:c r="K4" s="467">
        <s:f>L20</s:f>
        <s:v>5760</s:v>
      </s:c>
      <s:c r="L4" s="465">
        <s:f>J4-K4-D4-E4</s:f>
        <s:v>13190.749530201341</s:v>
      </s:c>
      <s:c r="M4" s="456"/>
    </s:row>
    <s:row r="5" spans="1:14">
      <s:c r="A5" s="468"/>
      <s:c r="B5" s="322"/>
      <s:c r="C5" s="323"/>
      <s:c r="D5" s="323"/>
      <s:c r="E5" s="323"/>
      <s:c r="F5" s="323"/>
      <s:c r="G5" s="323"/>
      <s:c r="H5" s="323"/>
      <s:c r="I5" s="323"/>
      <s:c r="J5" s="323"/>
      <s:c r="K5" s="324"/>
      <s:c r="L5" s="323"/>
      <s:c r="M5" s="456"/>
    </s:row>
    <s:row r="6" spans="1:14">
      <s:c r="A6" s="468"/>
      <s:c r="B6" s="469"/>
      <s:c r="C6" s="470"/>
      <s:c r="F6" s="323"/>
      <s:c r="I6" s="471"/>
      <s:c r="M6" s="456"/>
    </s:row>
    <s:row r="7" spans="1:14" ht="16" customHeight="1">
      <s:c r="A7" s="468"/>
      <s:c r="B7" s="331" t="s">
        <s:v>91</s:v>
      </s:c>
      <s:c r="C7" s="330"/>
      <s:c r="D7" s="330"/>
      <s:c r="E7" s="330"/>
      <s:c r="F7" s="330"/>
      <s:c r="G7" s="472">
        <s:f>G9+G10</s:f>
        <s:v>13900</s:v>
      </s:c>
      <s:c r="M7" s="456"/>
    </s:row>
    <s:row r="8" spans="1:14" ht="20" customHeight="1">
      <s:c r="A8" s="473"/>
      <s:c r="B8" s="332" t="s">
        <s:v>92</s:v>
      </s:c>
      <s:c r="C8" s="332" t="s">
        <s:v>93</s:v>
      </s:c>
      <s:c r="D8" s="332" t="s">
        <s:v>94</s:v>
      </s:c>
      <s:c r="E8" s="332" t="s">
        <s:v>95</s:v>
      </s:c>
      <s:c r="F8" s="332" t="s">
        <s:v>96</s:v>
      </s:c>
      <s:c r="G8" s="332" t="s">
        <s:v>97</s:v>
      </s:c>
      <s:c r="I8" s="332" t="s">
        <s:v>98</s:v>
      </s:c>
      <s:c r="J8" s="332" t="s">
        <s:v>6</s:v>
      </s:c>
      <s:c r="M8" s="456"/>
    </s:row>
    <s:row r="9" spans="1:14" ht="19" customHeight="1">
      <s:c r="A9" s="473"/>
      <s:c r="B9" s="334">
        <s:f>График!AI29</s:f>
        <s:v>14</s:v>
      </s:c>
      <s:c r="C9" s="335" t="str">
        <s:f>A2</s:f>
        <s:v>ул. Набережная Ленина, 18</s:v>
      </s:c>
      <s:c r="D9" s="335" t="s">
        <s:v>122</s:v>
      </s:c>
      <s:c r="E9" s="336">
        <s:f>График!AJ29</s:f>
        <s:v>139</s:v>
      </s:c>
      <s:c r="F9" s="337">
        <s:v>100</s:v>
      </s:c>
      <s:c r="G9" s="474">
        <s:f>E9*F9</s:f>
        <s:v>13900</s:v>
      </s:c>
      <s:c r="I9" s="335" t="s">
        <s:v>93</s:v>
      </s:c>
      <s:c r="J9" s="475">
        <s:f>'Ялта, Ленина, 18'!K8</s:f>
        <s:v>0.60425937824738396</s:v>
      </s:c>
      <s:c r="M9" s="456"/>
    </s:row>
    <s:row r="10" spans="1:14">
      <s:c r="A10" s="468"/>
      <s:c r="B10" s="332"/>
      <s:c r="C10" s="335"/>
      <s:c r="D10" s="335"/>
      <s:c r="E10" s="339"/>
      <s:c r="F10" s="337"/>
      <s:c r="G10" s="474"/>
      <s:c r="H10" s="323"/>
      <s:c r="I10" s="476" t="s">
        <s:v>134</s:v>
      </s:c>
      <s:c r="J10" s="477">
        <s:f>Рогалевич!N8</s:f>
        <s:v>0.75636054660234098</s:v>
      </s:c>
      <s:c r="K10" s="520"/>
      <s:c r="L10" s="520"/>
      <s:c r="M10" s="456"/>
    </s:row>
    <s:row r="11" spans="1:14">
      <s:c r="A11" s="473"/>
      <s:c r="H11" s="323"/>
      <s:c r="I11" s="323"/>
      <s:c r="J11" s="323"/>
      <s:c r="K11" s="323"/>
      <s:c r="L11" s="323"/>
      <s:c r="M11" s="456"/>
    </s:row>
    <s:row r="12" spans="1:14">
      <s:c r="A12" s="473"/>
      <s:c r="B12" s="330"/>
      <s:c r="C12" s="340"/>
      <s:c r="D12" s="323"/>
      <s:c r="E12" s="341"/>
      <s:c r="F12" s="341"/>
      <s:c r="G12" s="342"/>
      <s:c r="M12" s="456"/>
    </s:row>
    <s:row r="13" spans="1:14" ht="15" customHeight="1">
      <s:c r="A13" s="478"/>
      <s:c r="B13" s="323"/>
      <s:c r="C13" s="322"/>
      <s:c r="D13" s="325"/>
      <s:c r="E13" s="325"/>
      <s:c r="F13" s="325"/>
      <s:c r="G13" s="325"/>
      <s:c r="H13" s="330"/>
      <s:c r="M13" s="456"/>
    </s:row>
    <s:row r="14" spans="1:14">
      <s:c r="A14" s="478"/>
      <s:c r="B14" s="479" t="s">
        <s:v>100</s:v>
      </s:c>
      <s:c r="C14" s="325"/>
      <s:c r="D14" s="325"/>
      <s:c r="E14" s="325"/>
      <s:c r="F14" s="325"/>
      <s:c r="G14" s="480">
        <s:f>G16+G17</s:f>
        <s:v>23859.599999999999</s:v>
      </s:c>
      <s:c r="H14" s="481"/>
      <s:c r="I14" s="479" t="s">
        <s:v>88</s:v>
      </s:c>
      <s:c r="J14" s="482"/>
      <s:c r="K14" s="482"/>
      <s:c r="L14" s="483">
        <s:f>J16+J17+J18</s:f>
        <s:v>12187.96</s:v>
      </s:c>
      <s:c r="M14" s="456"/>
      <s:c r="N14" s="333"/>
    </s:row>
    <s:row r="15" spans="1:14" ht="23" customHeight="1">
      <s:c r="A15" s="484"/>
      <s:c r="B15" s="332" t="s">
        <s:v>135</s:v>
      </s:c>
      <s:c r="C15" s="485" t="s">
        <s:v>93</s:v>
      </s:c>
      <s:c r="D15" s="486"/>
      <s:c r="E15" s="332" t="s">
        <s:v>102</s:v>
      </s:c>
      <s:c r="F15" s="332" t="s">
        <s:v>103</s:v>
      </s:c>
      <s:c r="G15" s="332" t="s">
        <s:v>104</s:v>
      </s:c>
      <s:c r="H15" s="487"/>
      <s:c r="I15" s="326" t="s">
        <s:v>27</s:v>
      </s:c>
      <s:c r="J15" s="326" t="s">
        <s:v>89</s:v>
      </s:c>
      <s:c r="K15" s="521" t="s">
        <s:v>90</s:v>
      </s:c>
      <s:c r="L15" s="522"/>
      <s:c r="M15" s="456"/>
    </s:row>
    <s:row r="16" spans="1:14" ht="19" customHeight="1">
      <s:c r="A16" s="478"/>
      <s:c r="B16" s="335" t="s">
        <s:v>136</s:v>
      </s:c>
      <s:c r="C16" s="449" t="str">
        <s:f>A2</s:f>
        <s:v>ул. Набережная Ленина, 18</s:v>
      </s:c>
      <s:c r="D16" s="450"/>
      <s:c r="E16" s="338">
        <s:v>0.05</s:v>
      </s:c>
      <s:c r="F16" s="328">
        <s:f>Рогалевич!M8-'Вед-ть Рогалевич'!F17</s:f>
        <s:v>471606</s:v>
      </s:c>
      <s:c r="G16" s="344">
        <s:f>F16*E16</s:f>
        <s:v>23580.3</s:v>
      </s:c>
      <s:c r="H16" s="330"/>
      <s:c r="I16" s="327">
        <s:v>46112</s:v>
      </s:c>
      <s:c r="J16" s="448">
        <s:v>0</s:v>
      </s:c>
      <s:c r="K16" s="529" t="s">
        <s:v>141</s:v>
      </s:c>
      <s:c r="L16" s="530"/>
      <s:c r="M16" s="456"/>
    </s:row>
    <s:row r="17" spans="1:13" ht="24">
      <s:c r="A17" s="484"/>
      <s:c r="B17" s="329" t="s">
        <s:v>137</s:v>
      </s:c>
      <s:c r="C17" s="449" t="str">
        <s:f>A2</s:f>
        <s:v>ул. Набережная Ленина, 18</s:v>
      </s:c>
      <s:c r="D17" s="450"/>
      <s:c r="E17" s="338">
        <s:v>0.1</s:v>
      </s:c>
      <s:c r="F17" s="347">
        <s:f>Рогалевич!L57+Рогалевич!R57</s:f>
        <s:v>2793</s:v>
      </s:c>
      <s:c r="G17" s="344">
        <s:f>F17*E17</s:f>
        <s:v>279.3</s:v>
      </s:c>
      <s:c r="I17" s="327">
        <s:v>46112</s:v>
      </s:c>
      <s:c r="J17" s="448">
        <s:f>'Ялта, Ленина, 18'!J8*0.01</s:f>
        <s:v>12187.96</s:v>
      </s:c>
      <s:c r="K17" s="529" t="s">
        <s:v>145</s:v>
      </s:c>
      <s:c r="L17" s="530"/>
      <s:c r="M17" s="456"/>
    </s:row>
    <s:row r="18" spans="1:13">
      <s:c r="A18" s="488"/>
      <s:c r="F18" s="489">
        <s:f>F16+F17</s:f>
        <s:v>474399</s:v>
      </s:c>
      <s:c r="H18" s="325"/>
      <s:c r="I18" s="327">
        <s:v>46112</s:v>
      </s:c>
      <s:c r="J18" s="448">
        <s:v>0</s:v>
      </s:c>
      <s:c r="K18" s="529" t="s">
        <s:v>140</s:v>
      </s:c>
      <s:c r="L18" s="530"/>
      <s:c r="M18" s="456"/>
    </s:row>
    <s:row r="19" spans="1:13">
      <s:c r="A19" s="488"/>
      <s:c r="H19" s="325"/>
      <s:c r="I19" s="350"/>
      <s:c r="J19" s="351"/>
      <s:c r="K19" s="490"/>
      <s:c r="L19" s="490"/>
      <s:c r="M19" s="456"/>
    </s:row>
    <s:row r="20" spans="1:13">
      <s:c r="A20" s="488"/>
      <s:c r="B20" s="322" t="s">
        <s:v>101</s:v>
      </s:c>
      <s:c r="C20" s="322"/>
      <s:c r="D20" s="325"/>
      <s:c r="E20" s="325"/>
      <s:c r="F20" s="325"/>
      <s:c r="G20" s="480">
        <s:f>G22+G23</s:f>
        <s:v>7283.1895302013399</s:v>
      </s:c>
      <s:c r="H20" s="343"/>
      <s:c r="I20" s="491" t="s">
        <s:v>86</s:v>
      </s:c>
      <s:c r="J20" s="492"/>
      <s:c r="K20" s="492"/>
      <s:c r="L20" s="493">
        <s:f>J22+J23+J24</s:f>
        <s:v>5760</s:v>
      </s:c>
      <s:c r="M20" s="456"/>
    </s:row>
    <s:row r="21" spans="1:13" ht="36">
      <s:c r="A21" s="488"/>
      <s:c r="B21" s="332" t="s">
        <s:v>26</s:v>
      </s:c>
      <s:c r="C21" s="332" t="s">
        <s:v>93</s:v>
      </s:c>
      <s:c r="D21" s="332" t="s">
        <s:v>105</s:v>
      </s:c>
      <s:c r="E21" s="332" t="s">
        <s:v>106</s:v>
      </s:c>
      <s:c r="F21" s="332" t="s">
        <s:v>102</s:v>
      </s:c>
      <s:c r="G21" s="332" t="s">
        <s:v>104</s:v>
      </s:c>
      <s:c r="H21" s="325"/>
      <s:c r="I21" s="326" t="s">
        <s:v>27</s:v>
      </s:c>
      <s:c r="J21" s="326" t="s">
        <s:v>89</s:v>
      </s:c>
      <s:c r="K21" s="521" t="s">
        <s:v>90</s:v>
      </s:c>
      <s:c r="L21" s="522"/>
      <s:c r="M21" s="456"/>
    </s:row>
    <s:row r="22" spans="1:13">
      <s:c r="A22" s="488"/>
      <s:c r="B22" s="345" t="str">
        <s:f>A4</s:f>
        <s:v>Рогалевич Ирина</s:v>
      </s:c>
      <s:c r="C22" s="346" t="str">
        <s:f>C16</s:f>
        <s:v>ул. Набережная Ленина, 18</s:v>
      </s:c>
      <s:c r="D22" s="346">
        <s:f>E9</s:f>
        <s:v>139</s:v>
      </s:c>
      <s:c r="E22" s="494">
        <s:f>График!AJ30</s:f>
        <s:v>447</s:v>
      </s:c>
      <s:c r="F22" s="338">
        <s:v>0.02</s:v>
      </s:c>
      <s:c r="G22" s="495">
        <s:f>('Ялта, Ленина, 18'!J8-'Ялта, Ленина, 18'!L56-'Ялта, Ленина, 18'!R56)*F22*D22/E22</s:f>
        <s:v>7283.1895302013399</s:v>
      </s:c>
      <s:c r="H22" s="330"/>
      <s:c r="I22" s="327">
        <s:v>46112</s:v>
      </s:c>
      <s:c r="J22" s="328">
        <s:f>2860+2860</s:f>
        <s:v>5720</s:v>
      </s:c>
      <s:c r="K22" s="529" t="s">
        <s:v>138</s:v>
      </s:c>
      <s:c r="L22" s="530"/>
      <s:c r="M22" s="456"/>
    </s:row>
    <s:row r="23" spans="1:13" ht="28" customHeight="1">
      <s:c r="A23" s="488"/>
      <s:c r="B23" s="345"/>
      <s:c r="C23" s="346"/>
      <s:c r="D23" s="346"/>
      <s:c r="E23" s="494"/>
      <s:c r="F23" s="338"/>
      <s:c r="G23" s="495"/>
      <s:c r="H23" s="323"/>
      <s:c r="I23" s="327">
        <s:v>46112</s:v>
      </s:c>
      <s:c r="J23" s="328">
        <s:v>40</s:v>
      </s:c>
      <s:c r="K23" s="529" t="s">
        <s:v>146</s:v>
      </s:c>
      <s:c r="L23" s="530"/>
      <s:c r="M23" s="456"/>
    </s:row>
    <s:row r="24" spans="1:13">
      <s:c r="A24" s="488"/>
      <s:c r="B24" s="496"/>
      <s:c r="C24" s="497"/>
      <s:c r="D24" s="497"/>
      <s:c r="E24" s="498"/>
      <s:c r="F24" s="499"/>
      <s:c r="G24" s="500"/>
      <s:c r="H24" s="323"/>
      <s:c r="I24" s="327"/>
      <s:c r="J24" s="328"/>
      <s:c r="K24" s="529"/>
      <s:c r="L24" s="530"/>
      <s:c r="M24" s="456"/>
    </s:row>
    <s:row r="25" spans="1:13" ht="16" thickBot="1">
      <s:c r="A25" s="348"/>
      <s:c r="B25" s="349"/>
      <s:c r="C25" s="349"/>
      <s:c r="D25" s="349"/>
      <s:c r="E25" s="349"/>
      <s:c r="F25" s="349"/>
      <s:c r="G25" s="349"/>
      <s:c r="H25" s="501"/>
      <s:c r="I25" s="349"/>
      <s:c r="J25" s="349"/>
      <s:c r="K25" s="349"/>
      <s:c r="L25" s="349"/>
      <s:c r="M25" s="502"/>
    </s:row>
  </s:sheetData>
  <s:mergeCells count="13">
    <s:mergeCell ref="K22:L22"/>
    <s:mergeCell ref="K23:L23"/>
    <s:mergeCell ref="K24:L24"/>
    <s:mergeCell ref="K10:L10"/>
    <s:mergeCell ref="A1:D1"/>
    <s:mergeCell ref="A2:C2"/>
    <s:mergeCell ref="A3:C3"/>
    <s:mergeCell ref="A4:C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800-000000000000}">
  <s:dimension ref="A1:M25"/>
  <s:sheetViews>
    <s:sheetView tabSelected="0" zoomScale="82" workbookViewId="0">
      <s:selection activeCell="P11" sqref="P11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9.664" style="3" bestFit="1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3" style="3" customWidth="1"/>
    <s:col min="12" max="12" width="14.164" style="3" customWidth="1"/>
    <s:col min="13" max="13" width="13.332" style="3" customWidth="1"/>
  </s:cols>
  <s:sheetData>
    <s:row r="1" spans="1:13" ht="20" customHeight="1">
      <s:c r="A1" s="514" t="str">
        <s:f>[1]График!B1</s:f>
        <s:v>Март, 2026</s:v>
      </s:c>
      <s:c r="B1" s="515"/>
      <s:c r="C1" s="515"/>
      <s:c r="D1" s="516"/>
      <s:c r="E1" s="451"/>
      <s:c r="F1" s="317"/>
      <s:c r="G1" s="317"/>
      <s:c r="H1" s="317"/>
      <s:c r="I1" s="317"/>
      <s:c r="J1" s="317"/>
      <s:c r="K1" s="317"/>
      <s:c r="L1" s="317"/>
      <s:c r="M1" s="452"/>
    </s:row>
    <s:row r="2" spans="1:13" ht="17" customHeight="1" thickBot="1">
      <s:c r="A2" s="517" t="str">
        <s:f>График!B3</s:f>
        <s:v>ул. Набережная Ленина, 18</s:v>
      </s:c>
      <s:c r="B2" s="518"/>
      <s:c r="C2" s="519"/>
      <s:c r="D2" s="453" t="str">
        <s:f>[1]График!B4</s:f>
        <s:v>GL-0004</s:v>
      </s:c>
      <s:c r="E2" s="318"/>
      <s:c r="F2" s="454"/>
      <s:c r="G2" s="454"/>
      <s:c r="H2" s="454"/>
      <s:c r="I2" s="454"/>
      <s:c r="J2" s="455"/>
      <s:c r="K2" s="455"/>
      <s:c r="L2" s="455"/>
      <s:c r="M2" s="456"/>
    </s:row>
    <s:row r="3" spans="1:13" ht="75" customHeight="1">
      <s:c r="A3" s="525" t="s">
        <s:v>26</s:v>
      </s:c>
      <s:c r="B3" s="526"/>
      <s:c r="C3" s="526"/>
      <s:c r="D3" s="457" t="s">
        <s:v>81</s:v>
      </s:c>
      <s:c r="E3" s="458" t="s">
        <s:v>82</s:v>
      </s:c>
      <s:c r="F3" s="319" t="s">
        <s:v>84</s:v>
      </s:c>
      <s:c r="G3" s="320" t="s">
        <s:v>100</s:v>
      </s:c>
      <s:c r="H3" s="320" t="s">
        <s:v>85</s:v>
      </s:c>
      <s:c r="I3" s="321" t="s">
        <s:v>83</s:v>
      </s:c>
      <s:c r="J3" s="459" t="s">
        <s:v>66</s:v>
      </s:c>
      <s:c r="K3" s="460" t="s">
        <s:v>86</s:v>
      </s:c>
      <s:c r="L3" s="321" t="s">
        <s:v>87</s:v>
      </s:c>
      <s:c r="M3" s="456"/>
    </s:row>
    <s:row r="4" spans="1:13" ht="19" customHeight="1" thickBot="1">
      <s:c r="A4" s="527" t="str">
        <s:f>График!B28</s:f>
        <s:v>Уразгильдеева Екатерина</s:v>
      </s:c>
      <s:c r="B4" s="528"/>
      <s:c r="C4" s="528"/>
      <s:c r="D4" s="461">
        <s:f>17400+17400</s:f>
        <s:v>34800</s:v>
      </s:c>
      <s:c r="E4" s="462"/>
      <s:c r="F4" s="463">
        <s:f>G7</s:f>
        <s:v>18700</s:v>
      </s:c>
      <s:c r="G4" s="464">
        <s:f>G14</s:f>
        <s:v>30931.05</s:v>
      </s:c>
      <s:c r="H4" s="464">
        <s:f>G20</s:f>
        <s:v>9798.2477852348893</s:v>
      </s:c>
      <s:c r="I4" s="465">
        <s:f>L14</s:f>
        <s:v>0</s:v>
      </s:c>
      <s:c r="J4" s="466">
        <s:f>G4+F4+I4+H4</s:f>
        <s:v>59429.297785234892</s:v>
      </s:c>
      <s:c r="K4" s="467">
        <s:f>L20</s:f>
        <s:v>5240</s:v>
      </s:c>
      <s:c r="L4" s="465">
        <s:f>J4-K4-D4-E4</s:f>
        <s:v>19389.297785234892</s:v>
      </s:c>
      <s:c r="M4" s="456"/>
    </s:row>
    <s:row r="5" spans="1:13">
      <s:c r="A5" s="468"/>
      <s:c r="B5" s="322"/>
      <s:c r="C5" s="323"/>
      <s:c r="D5" s="323"/>
      <s:c r="E5" s="323"/>
      <s:c r="F5" s="323"/>
      <s:c r="G5" s="323"/>
      <s:c r="H5" s="323"/>
      <s:c r="I5" s="323"/>
      <s:c r="J5" s="323"/>
      <s:c r="K5" s="324"/>
      <s:c r="L5" s="323"/>
      <s:c r="M5" s="456"/>
    </s:row>
    <s:row r="6" spans="1:13">
      <s:c r="A6" s="468"/>
      <s:c r="B6" s="469"/>
      <s:c r="C6" s="470"/>
      <s:c r="F6" s="323"/>
      <s:c r="I6" s="471"/>
      <s:c r="M6" s="456"/>
    </s:row>
    <s:row r="7" spans="1:13">
      <s:c r="A7" s="468"/>
      <s:c r="B7" s="331" t="s">
        <s:v>91</s:v>
      </s:c>
      <s:c r="C7" s="330"/>
      <s:c r="D7" s="330"/>
      <s:c r="E7" s="330"/>
      <s:c r="F7" s="330"/>
      <s:c r="G7" s="472">
        <s:f>G9+G10</s:f>
        <s:v>18700</s:v>
      </s:c>
      <s:c r="M7" s="456"/>
    </s:row>
    <s:row r="8" spans="1:13" ht="22" customHeight="1">
      <s:c r="A8" s="473"/>
      <s:c r="B8" s="332" t="s">
        <s:v>92</s:v>
      </s:c>
      <s:c r="C8" s="332" t="s">
        <s:v>93</s:v>
      </s:c>
      <s:c r="D8" s="332" t="s">
        <s:v>94</s:v>
      </s:c>
      <s:c r="E8" s="332" t="s">
        <s:v>95</s:v>
      </s:c>
      <s:c r="F8" s="332" t="s">
        <s:v>96</s:v>
      </s:c>
      <s:c r="G8" s="332" t="s">
        <s:v>97</s:v>
      </s:c>
      <s:c r="I8" s="332" t="s">
        <s:v>98</s:v>
      </s:c>
      <s:c r="J8" s="332" t="s">
        <s:v>6</s:v>
      </s:c>
      <s:c r="M8" s="456"/>
    </s:row>
    <s:row r="9" spans="1:13" ht="20" customHeight="1">
      <s:c r="A9" s="473"/>
      <s:c r="B9" s="334">
        <s:f>График!AI28</s:f>
        <s:v>17</s:v>
      </s:c>
      <s:c r="C9" s="335" t="str">
        <s:f>A2</s:f>
        <s:v>ул. Набережная Ленина, 18</s:v>
      </s:c>
      <s:c r="D9" s="335" t="s">
        <s:v>99</s:v>
      </s:c>
      <s:c r="E9" s="336">
        <s:f>График!AJ28</s:f>
        <s:v>187</s:v>
      </s:c>
      <s:c r="F9" s="337">
        <s:v>100</s:v>
      </s:c>
      <s:c r="G9" s="474">
        <s:f>E9*F9</s:f>
        <s:v>18700</s:v>
      </s:c>
      <s:c r="I9" s="335" t="s">
        <s:v>93</s:v>
      </s:c>
      <s:c r="J9" s="475">
        <s:f>'Ялта, Ленина, 18'!K8</s:f>
        <s:v>0.60425937824738396</s:v>
      </s:c>
      <s:c r="M9" s="456"/>
    </s:row>
    <s:row r="10" spans="1:13" ht="20" customHeight="1">
      <s:c r="A10" s="468"/>
      <s:c r="B10" s="332"/>
      <s:c r="C10" s="335"/>
      <s:c r="D10" s="335"/>
      <s:c r="E10" s="339"/>
      <s:c r="F10" s="337"/>
      <s:c r="G10" s="474"/>
      <s:c r="H10" s="323"/>
      <s:c r="I10" s="476" t="s">
        <s:v>134</s:v>
      </s:c>
      <s:c r="J10" s="477">
        <s:f>Уразгильдеева!N8</s:f>
        <s:v>0.68291550525984701</s:v>
      </s:c>
      <s:c r="K10" s="520"/>
      <s:c r="L10" s="520"/>
      <s:c r="M10" s="456"/>
    </s:row>
    <s:row r="11" spans="1:13" ht="34" customHeight="1">
      <s:c r="A11" s="473"/>
      <s:c r="H11" s="323"/>
      <s:c r="I11" s="323"/>
      <s:c r="J11" s="323"/>
      <s:c r="K11" s="323"/>
      <s:c r="L11" s="323"/>
      <s:c r="M11" s="456"/>
    </s:row>
    <s:row r="12" spans="1:13">
      <s:c r="A12" s="473"/>
      <s:c r="B12" s="330"/>
      <s:c r="C12" s="340"/>
      <s:c r="D12" s="323"/>
      <s:c r="E12" s="341"/>
      <s:c r="F12" s="341"/>
      <s:c r="G12" s="342"/>
      <s:c r="M12" s="456"/>
    </s:row>
    <s:row r="13" spans="1:13">
      <s:c r="A13" s="478"/>
      <s:c r="B13" s="323"/>
      <s:c r="C13" s="322"/>
      <s:c r="D13" s="325"/>
      <s:c r="E13" s="325"/>
      <s:c r="F13" s="325"/>
      <s:c r="G13" s="325"/>
      <s:c r="H13" s="330"/>
      <s:c r="M13" s="456"/>
    </s:row>
    <s:row r="14" spans="1:13" ht="15" customHeight="1">
      <s:c r="A14" s="478"/>
      <s:c r="B14" s="479" t="s">
        <s:v>100</s:v>
      </s:c>
      <s:c r="C14" s="325"/>
      <s:c r="D14" s="325"/>
      <s:c r="E14" s="325"/>
      <s:c r="F14" s="325"/>
      <s:c r="G14" s="480">
        <s:f>G16+G17</s:f>
        <s:v>30931.05</s:v>
      </s:c>
      <s:c r="H14" s="481"/>
      <s:c r="I14" s="479" t="s">
        <s:v>88</s:v>
      </s:c>
      <s:c r="J14" s="482"/>
      <s:c r="K14" s="482"/>
      <s:c r="L14" s="483">
        <s:f>J16+J17+J18</s:f>
        <s:v>0</s:v>
      </s:c>
      <s:c r="M14" s="456"/>
    </s:row>
    <s:row r="15" spans="1:13" ht="36">
      <s:c r="A15" s="484"/>
      <s:c r="B15" s="332" t="s">
        <s:v>135</s:v>
      </s:c>
      <s:c r="C15" s="485" t="s">
        <s:v>93</s:v>
      </s:c>
      <s:c r="D15" s="486"/>
      <s:c r="E15" s="332" t="s">
        <s:v>102</s:v>
      </s:c>
      <s:c r="F15" s="332" t="s">
        <s:v>103</s:v>
      </s:c>
      <s:c r="G15" s="332" t="s">
        <s:v>104</s:v>
      </s:c>
      <s:c r="H15" s="487"/>
      <s:c r="I15" s="326" t="s">
        <s:v>27</s:v>
      </s:c>
      <s:c r="J15" s="326" t="s">
        <s:v>89</s:v>
      </s:c>
      <s:c r="K15" s="521" t="s">
        <s:v>90</s:v>
      </s:c>
      <s:c r="L15" s="522"/>
      <s:c r="M15" s="456"/>
    </s:row>
    <s:row r="16" spans="1:13" ht="15" customHeight="1">
      <s:c r="A16" s="478"/>
      <s:c r="B16" s="335" t="s">
        <s:v>136</s:v>
      </s:c>
      <s:c r="C16" s="449" t="str">
        <s:f>A2</s:f>
        <s:v>ул. Набережная Ленина, 18</s:v>
      </s:c>
      <s:c r="D16" s="450"/>
      <s:c r="E16" s="338">
        <s:v>0.05</s:v>
      </s:c>
      <s:c r="F16" s="328">
        <s:f>Уразгильдеева!M8-'Вед-ть Уразгильдеева'!F17</s:f>
        <s:v>533873</s:v>
      </s:c>
      <s:c r="G16" s="344">
        <s:f>F16*E16</s:f>
        <s:v>26693.65</s:v>
      </s:c>
      <s:c r="H16" s="330"/>
      <s:c r="I16" s="327"/>
      <s:c r="J16" s="448"/>
      <s:c r="K16" s="523"/>
      <s:c r="L16" s="524"/>
      <s:c r="M16" s="456"/>
    </s:row>
    <s:row r="17" spans="1:13" ht="19" customHeight="1">
      <s:c r="A17" s="484"/>
      <s:c r="B17" s="329" t="s">
        <s:v>137</s:v>
      </s:c>
      <s:c r="C17" s="449" t="str">
        <s:f>A2</s:f>
        <s:v>ул. Набережная Ленина, 18</s:v>
      </s:c>
      <s:c r="D17" s="450"/>
      <s:c r="E17" s="338">
        <s:v>0.1</s:v>
      </s:c>
      <s:c r="F17" s="347">
        <s:f>Уразгильдеева!L57+Уразгильдеева!R57</s:f>
        <s:v>42374</s:v>
      </s:c>
      <s:c r="G17" s="344">
        <s:f>F17*E17</s:f>
        <s:v>4237.3999999999996</s:v>
      </s:c>
      <s:c r="I17" s="327"/>
      <s:c r="J17" s="448"/>
      <s:c r="K17" s="523"/>
      <s:c r="L17" s="524"/>
      <s:c r="M17" s="456"/>
    </s:row>
    <s:row r="18" spans="1:13">
      <s:c r="A18" s="488"/>
      <s:c r="F18" s="512">
        <s:f>F16+F17</s:f>
        <s:v>576247</s:v>
      </s:c>
      <s:c r="H18" s="325"/>
      <s:c r="I18" s="327"/>
      <s:c r="J18" s="448"/>
      <s:c r="K18" s="523"/>
      <s:c r="L18" s="524"/>
      <s:c r="M18" s="456"/>
    </s:row>
    <s:row r="19" spans="1:13">
      <s:c r="A19" s="488"/>
      <s:c r="H19" s="325"/>
      <s:c r="I19" s="350"/>
      <s:c r="J19" s="351"/>
      <s:c r="K19" s="490"/>
      <s:c r="L19" s="490"/>
      <s:c r="M19" s="456"/>
    </s:row>
    <s:row r="20" spans="1:13">
      <s:c r="A20" s="488"/>
      <s:c r="B20" s="322" t="s">
        <s:v>101</s:v>
      </s:c>
      <s:c r="C20" s="322"/>
      <s:c r="D20" s="325"/>
      <s:c r="E20" s="325"/>
      <s:c r="F20" s="325"/>
      <s:c r="G20" s="480">
        <s:f>G22+G23</s:f>
        <s:v>9798.2477852348893</s:v>
      </s:c>
      <s:c r="H20" s="343"/>
      <s:c r="I20" s="491" t="s">
        <s:v>86</s:v>
      </s:c>
      <s:c r="J20" s="492"/>
      <s:c r="K20" s="492"/>
      <s:c r="L20" s="493">
        <s:f>J22+J23+J24</s:f>
        <s:v>5240</s:v>
      </s:c>
      <s:c r="M20" s="456"/>
    </s:row>
    <s:row r="21" spans="1:13" ht="36">
      <s:c r="A21" s="488"/>
      <s:c r="B21" s="332" t="s">
        <s:v>26</s:v>
      </s:c>
      <s:c r="C21" s="332" t="s">
        <s:v>93</s:v>
      </s:c>
      <s:c r="D21" s="332" t="s">
        <s:v>105</s:v>
      </s:c>
      <s:c r="E21" s="332" t="s">
        <s:v>106</s:v>
      </s:c>
      <s:c r="F21" s="332" t="s">
        <s:v>102</s:v>
      </s:c>
      <s:c r="G21" s="332" t="s">
        <s:v>104</s:v>
      </s:c>
      <s:c r="H21" s="325"/>
      <s:c r="I21" s="326" t="s">
        <s:v>27</s:v>
      </s:c>
      <s:c r="J21" s="326" t="s">
        <s:v>89</s:v>
      </s:c>
      <s:c r="K21" s="521" t="s">
        <s:v>90</s:v>
      </s:c>
      <s:c r="L21" s="522"/>
      <s:c r="M21" s="456"/>
    </s:row>
    <s:row r="22" spans="1:13" ht="19" customHeight="1">
      <s:c r="A22" s="488"/>
      <s:c r="B22" s="345" t="str">
        <s:f>A4</s:f>
        <s:v>Уразгильдеева Екатерина</s:v>
      </s:c>
      <s:c r="C22" s="346" t="str">
        <s:f>C16</s:f>
        <s:v>ул. Набережная Ленина, 18</s:v>
      </s:c>
      <s:c r="D22" s="346">
        <s:f>E9</s:f>
        <s:v>187</s:v>
      </s:c>
      <s:c r="E22" s="494">
        <s:f>График!AJ30</s:f>
        <s:v>447</s:v>
      </s:c>
      <s:c r="F22" s="338">
        <s:v>0.02</s:v>
      </s:c>
      <s:c r="G22" s="495">
        <s:f>('Ялта, Ленина, 18'!J8-'Ялта, Ленина, 18'!L56-'Ялта, Ленина, 18'!R56)*F22*D22/E22</s:f>
        <s:v>9798.2477852348893</s:v>
      </s:c>
      <s:c r="H22" s="330"/>
      <s:c r="I22" s="327">
        <s:v>46112</s:v>
      </s:c>
      <s:c r="J22" s="328">
        <s:f>2600+2600</s:f>
        <s:v>5200</s:v>
      </s:c>
      <s:c r="K22" s="529" t="s">
        <s:v>138</s:v>
      </s:c>
      <s:c r="L22" s="530"/>
      <s:c r="M22" s="456"/>
    </s:row>
    <s:row r="23" spans="1:13" ht="37" customHeight="1">
      <s:c r="A23" s="488"/>
      <s:c r="B23" s="345"/>
      <s:c r="C23" s="346"/>
      <s:c r="D23" s="346"/>
      <s:c r="E23" s="494"/>
      <s:c r="F23" s="338"/>
      <s:c r="G23" s="495"/>
      <s:c r="H23" s="323"/>
      <s:c r="I23" s="327">
        <s:v>46112</s:v>
      </s:c>
      <s:c r="J23" s="328">
        <s:v>40</s:v>
      </s:c>
      <s:c r="K23" s="529" t="s">
        <s:v>146</s:v>
      </s:c>
      <s:c r="L23" s="530"/>
      <s:c r="M23" s="456"/>
    </s:row>
    <s:row r="24" spans="1:13" ht="19" customHeight="1">
      <s:c r="A24" s="488"/>
      <s:c r="B24" s="496"/>
      <s:c r="C24" s="497"/>
      <s:c r="D24" s="497"/>
      <s:c r="E24" s="498"/>
      <s:c r="F24" s="499"/>
      <s:c r="G24" s="500"/>
      <s:c r="H24" s="323"/>
      <s:c r="I24" s="327"/>
      <s:c r="J24" s="328"/>
      <s:c r="K24" s="529"/>
      <s:c r="L24" s="530"/>
      <s:c r="M24" s="456"/>
    </s:row>
    <s:row r="25" spans="1:13" ht="16" thickBot="1">
      <s:c r="A25" s="348"/>
      <s:c r="B25" s="349"/>
      <s:c r="C25" s="349"/>
      <s:c r="D25" s="349"/>
      <s:c r="E25" s="349"/>
      <s:c r="F25" s="349"/>
      <s:c r="G25" s="349"/>
      <s:c r="H25" s="501"/>
      <s:c r="I25" s="349"/>
      <s:c r="J25" s="349"/>
      <s:c r="K25" s="349"/>
      <s:c r="L25" s="349"/>
      <s:c r="M25" s="502"/>
    </s:row>
  </s:sheetData>
  <s:mergeCells count="13">
    <s:mergeCell ref="K10:L10"/>
    <s:mergeCell ref="A1:D1"/>
    <s:mergeCell ref="A2:C2"/>
    <s:mergeCell ref="A3:C3"/>
    <s:mergeCell ref="A4:C4"/>
    <s:mergeCell ref="K22:L22"/>
    <s:mergeCell ref="K23:L23"/>
    <s:mergeCell ref="K24:L24"/>
    <s:mergeCell ref="K15:L15"/>
    <s:mergeCell ref="K16:L16"/>
    <s:mergeCell ref="K17:L17"/>
    <s:mergeCell ref="K18:L18"/>
    <s:mergeCell ref="K21:L21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A00-000000000000}">
  <s:dimension ref="A1:M26"/>
  <s:sheetViews>
    <s:sheetView tabSelected="0" zoomScale="86" workbookViewId="0">
      <s:selection activeCell="D5" sqref="D5"/>
    </s:sheetView>
  </s:sheetViews>
  <s:sheetFormatPr baseColWidth="10" defaultColWidth="11.5" defaultRowHeight="14.25" customHeight="1"/>
  <s:cols>
    <s:col min="1" max="1" width="2.332" style="3" customWidth="1"/>
    <s:col min="2" max="2" width="17.164" style="3" customWidth="1"/>
    <s:col min="3" max="3" width="18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5.5" style="3" customWidth="1"/>
    <s:col min="11" max="11" width="11.5" style="3"/>
    <s:col min="12" max="12" width="12.164" style="3" customWidth="1"/>
    <s:col min="13" max="13" width="13.332" style="3" customWidth="1"/>
    <s:col min="16" max="16" width="11.164" customWidth="1"/>
  </s:cols>
  <s:sheetData>
    <s:row r="1" spans="1:13" ht="20" customHeight="1">
      <s:c r="A1" s="514" t="str">
        <s:f>[1]График!B1</s:f>
        <s:v>Март, 2026</s:v>
      </s:c>
      <s:c r="B1" s="515"/>
      <s:c r="C1" s="515"/>
      <s:c r="D1" s="516"/>
      <s:c r="E1" s="451"/>
      <s:c r="F1" s="317"/>
      <s:c r="G1" s="317"/>
      <s:c r="H1" s="317"/>
      <s:c r="I1" s="317"/>
      <s:c r="J1" s="317"/>
      <s:c r="K1" s="317"/>
      <s:c r="L1" s="317"/>
      <s:c r="M1" s="452"/>
    </s:row>
    <s:row r="2" spans="1:13" ht="17" customHeight="1" thickBot="1">
      <s:c r="A2" s="517" t="str">
        <s:f>График!B3</s:f>
        <s:v>ул. Набережная Ленина, 18</s:v>
      </s:c>
      <s:c r="B2" s="518"/>
      <s:c r="C2" s="519"/>
      <s:c r="D2" s="453" t="str">
        <s:f>[1]График!B4</s:f>
        <s:v>GL-0004</s:v>
      </s:c>
      <s:c r="E2" s="318"/>
      <s:c r="F2" s="454"/>
      <s:c r="G2" s="454"/>
      <s:c r="H2" s="454"/>
      <s:c r="I2" s="454"/>
      <s:c r="J2" s="455"/>
      <s:c r="K2" s="455"/>
      <s:c r="L2" s="455"/>
      <s:c r="M2" s="456"/>
    </s:row>
    <s:row r="3" spans="1:13" ht="75" customHeight="1">
      <s:c r="A3" s="525" t="s">
        <s:v>26</s:v>
      </s:c>
      <s:c r="B3" s="526"/>
      <s:c r="C3" s="526"/>
      <s:c r="D3" s="457" t="s">
        <s:v>81</s:v>
      </s:c>
      <s:c r="E3" s="458" t="s">
        <s:v>82</s:v>
      </s:c>
      <s:c r="F3" s="319" t="s">
        <s:v>84</s:v>
      </s:c>
      <s:c r="G3" s="320" t="s">
        <s:v>100</s:v>
      </s:c>
      <s:c r="H3" s="320" t="s">
        <s:v>85</s:v>
      </s:c>
      <s:c r="I3" s="321" t="s">
        <s:v>83</s:v>
      </s:c>
      <s:c r="J3" s="459" t="s">
        <s:v>66</s:v>
      </s:c>
      <s:c r="K3" s="460" t="s">
        <s:v>86</s:v>
      </s:c>
      <s:c r="L3" s="321" t="s">
        <s:v>87</s:v>
      </s:c>
      <s:c r="M3" s="456"/>
    </s:row>
    <s:row r="4" spans="1:13" ht="19" customHeight="1" thickBot="1">
      <s:c r="A4" s="527" t="str">
        <s:f>График!B27</s:f>
        <s:v>Самошкина Алина</s:v>
      </s:c>
      <s:c r="B4" s="528"/>
      <s:c r="C4" s="528"/>
      <s:c r="D4" s="461">
        <s:f>1934+16294.38</s:f>
        <s:v>18228.379999999997</s:v>
      </s:c>
      <s:c r="E4" s="462"/>
      <s:c r="F4" s="463">
        <s:f>G7</s:f>
        <s:v>12100</s:v>
      </s:c>
      <s:c r="G4" s="464">
        <s:f>G14</s:f>
        <s:v>8535.25</s:v>
      </s:c>
      <s:c r="H4" s="464">
        <s:f>G20</s:f>
        <s:v>6340.0426845637503</s:v>
      </s:c>
      <s:c r="I4" s="465">
        <s:f>L14</s:f>
        <s:v>0</s:v>
      </s:c>
      <s:c r="J4" s="466">
        <s:f>G4+F4+I4+H4</s:f>
        <s:v>26975.292684563748</s:v>
      </s:c>
      <s:c r="K4" s="467">
        <s:f>L20</s:f>
        <s:v>2724</s:v>
      </s:c>
      <s:c r="L4" s="465">
        <s:f>J4-K4-D4-E4</s:f>
        <s:v>6022.9126845637511</s:v>
      </s:c>
      <s:c r="M4" s="456"/>
    </s:row>
    <s:row r="5" spans="1:13" ht="15">
      <s:c r="A5" s="468"/>
      <s:c r="B5" s="322"/>
      <s:c r="C5" s="323"/>
      <s:c r="D5" s="323"/>
      <s:c r="E5" s="323"/>
      <s:c r="F5" s="323"/>
      <s:c r="G5" s="323"/>
      <s:c r="H5" s="323"/>
      <s:c r="I5" s="323"/>
      <s:c r="J5" s="323"/>
      <s:c r="K5" s="324"/>
      <s:c r="L5" s="323"/>
      <s:c r="M5" s="456"/>
    </s:row>
    <s:row r="6" spans="1:13" ht="15">
      <s:c r="A6" s="468"/>
      <s:c r="B6" s="469"/>
      <s:c r="C6" s="470"/>
      <s:c r="F6" s="323"/>
      <s:c r="I6" s="471"/>
      <s:c r="M6" s="456"/>
    </s:row>
    <s:row r="7" spans="1:13" ht="15">
      <s:c r="A7" s="468"/>
      <s:c r="B7" s="331" t="s">
        <s:v>91</s:v>
      </s:c>
      <s:c r="C7" s="330"/>
      <s:c r="D7" s="330"/>
      <s:c r="E7" s="330"/>
      <s:c r="F7" s="330"/>
      <s:c r="G7" s="472">
        <s:f>G9+G10</s:f>
        <s:v>12100</s:v>
      </s:c>
      <s:c r="M7" s="456"/>
    </s:row>
    <s:row r="8" spans="1:13" ht="22" customHeight="1">
      <s:c r="A8" s="473"/>
      <s:c r="B8" s="332" t="s">
        <s:v>92</s:v>
      </s:c>
      <s:c r="C8" s="332" t="s">
        <s:v>93</s:v>
      </s:c>
      <s:c r="D8" s="332" t="s">
        <s:v>94</s:v>
      </s:c>
      <s:c r="E8" s="332" t="s">
        <s:v>95</s:v>
      </s:c>
      <s:c r="F8" s="332" t="s">
        <s:v>96</s:v>
      </s:c>
      <s:c r="G8" s="332" t="s">
        <s:v>97</s:v>
      </s:c>
      <s:c r="I8" s="332" t="s">
        <s:v>98</s:v>
      </s:c>
      <s:c r="J8" s="332" t="s">
        <s:v>6</s:v>
      </s:c>
      <s:c r="M8" s="456"/>
    </s:row>
    <s:row r="9" spans="1:13" ht="20" customHeight="1">
      <s:c r="A9" s="473"/>
      <s:c r="B9" s="334">
        <s:f>График!AI27</s:f>
        <s:v>11</s:v>
      </s:c>
      <s:c r="C9" s="335" t="str">
        <s:f>A2</s:f>
        <s:v>ул. Набережная Ленина, 18</s:v>
      </s:c>
      <s:c r="D9" s="335" t="s">
        <s:v>99</s:v>
      </s:c>
      <s:c r="E9" s="336">
        <s:f>График!AJ27</s:f>
        <s:v>121</s:v>
      </s:c>
      <s:c r="F9" s="337">
        <s:v>100</s:v>
      </s:c>
      <s:c r="G9" s="474">
        <s:f>E9*F9</s:f>
        <s:v>12100</s:v>
      </s:c>
      <s:c r="I9" s="335" t="s">
        <s:v>93</s:v>
      </s:c>
      <s:c r="J9" s="475">
        <s:f>'Ялта, Ленина, 18'!K8</s:f>
        <s:v>0.60425937824738396</s:v>
      </s:c>
      <s:c r="M9" s="456"/>
    </s:row>
    <s:row r="10" spans="1:13" ht="20" customHeight="1">
      <s:c r="A10" s="468"/>
      <s:c r="B10" s="332"/>
      <s:c r="C10" s="335"/>
      <s:c r="D10" s="335"/>
      <s:c r="E10" s="339"/>
      <s:c r="F10" s="337"/>
      <s:c r="G10" s="474"/>
      <s:c r="H10" s="323"/>
      <s:c r="I10" s="476" t="s">
        <s:v>134</s:v>
      </s:c>
      <s:c r="J10" s="477">
        <s:f>Самошкина!N8</s:f>
        <s:v>0.30797212078730402</s:v>
      </s:c>
      <s:c r="K10" s="520"/>
      <s:c r="L10" s="520"/>
      <s:c r="M10" s="456"/>
    </s:row>
    <s:row r="11" spans="1:13" ht="34" customHeight="1">
      <s:c r="A11" s="473"/>
      <s:c r="H11" s="323"/>
      <s:c r="I11" s="323"/>
      <s:c r="J11" s="323"/>
      <s:c r="K11" s="323"/>
      <s:c r="L11" s="323"/>
      <s:c r="M11" s="456"/>
    </s:row>
    <s:row r="12" spans="1:13" ht="15">
      <s:c r="A12" s="473"/>
      <s:c r="B12" s="330"/>
      <s:c r="C12" s="340"/>
      <s:c r="D12" s="323"/>
      <s:c r="E12" s="341"/>
      <s:c r="F12" s="341"/>
      <s:c r="G12" s="342"/>
      <s:c r="M12" s="456"/>
    </s:row>
    <s:row r="13" spans="1:13" ht="15">
      <s:c r="A13" s="478"/>
      <s:c r="B13" s="323"/>
      <s:c r="C13" s="322"/>
      <s:c r="D13" s="325"/>
      <s:c r="E13" s="325"/>
      <s:c r="F13" s="325"/>
      <s:c r="G13" s="325"/>
      <s:c r="H13" s="330"/>
      <s:c r="M13" s="456"/>
    </s:row>
    <s:row r="14" spans="1:13" ht="15" customHeight="1">
      <s:c r="A14" s="478"/>
      <s:c r="B14" s="479" t="s">
        <s:v>100</s:v>
      </s:c>
      <s:c r="C14" s="325"/>
      <s:c r="D14" s="325"/>
      <s:c r="E14" s="325"/>
      <s:c r="F14" s="325"/>
      <s:c r="G14" s="480">
        <s:f>G16+G17</s:f>
        <s:v>8535.25</s:v>
      </s:c>
      <s:c r="H14" s="481"/>
      <s:c r="I14" s="479" t="s">
        <s:v>88</s:v>
      </s:c>
      <s:c r="J14" s="482"/>
      <s:c r="K14" s="482"/>
      <s:c r="L14" s="483">
        <s:f>J16+J17+J18</s:f>
        <s:v>0</s:v>
      </s:c>
      <s:c r="M14" s="456"/>
    </s:row>
    <s:row r="15" spans="1:13" ht="36">
      <s:c r="A15" s="484"/>
      <s:c r="B15" s="332" t="s">
        <s:v>135</s:v>
      </s:c>
      <s:c r="C15" s="485" t="s">
        <s:v>93</s:v>
      </s:c>
      <s:c r="D15" s="486"/>
      <s:c r="E15" s="332" t="s">
        <s:v>102</s:v>
      </s:c>
      <s:c r="F15" s="332" t="s">
        <s:v>103</s:v>
      </s:c>
      <s:c r="G15" s="332" t="s">
        <s:v>104</s:v>
      </s:c>
      <s:c r="H15" s="487"/>
      <s:c r="I15" s="326" t="s">
        <s:v>27</s:v>
      </s:c>
      <s:c r="J15" s="326" t="s">
        <s:v>89</s:v>
      </s:c>
      <s:c r="K15" s="521" t="s">
        <s:v>90</s:v>
      </s:c>
      <s:c r="L15" s="522"/>
      <s:c r="M15" s="456"/>
    </s:row>
    <s:row r="16" spans="1:13" ht="15" customHeight="1">
      <s:c r="A16" s="478"/>
      <s:c r="B16" s="335" t="s">
        <s:v>136</s:v>
      </s:c>
      <s:c r="C16" s="449" t="str">
        <s:f>A2</s:f>
        <s:v>ул. Набережная Ленина, 18</s:v>
      </s:c>
      <s:c r="D16" s="450"/>
      <s:c r="E16" s="338">
        <s:v>0.05</s:v>
      </s:c>
      <s:c r="F16" s="328">
        <s:f>Самошкина!M8-'Вед-ть Самошкина'!F17</s:f>
        <s:v>165595</s:v>
      </s:c>
      <s:c r="G16" s="344">
        <s:f>F16*E16</s:f>
        <s:v>8279.75</s:v>
      </s:c>
      <s:c r="H16" s="330"/>
      <s:c r="I16" s="327"/>
      <s:c r="J16" s="448"/>
      <s:c r="K16" s="523"/>
      <s:c r="L16" s="524"/>
      <s:c r="M16" s="456"/>
    </s:row>
    <s:row r="17" spans="1:13" ht="15">
      <s:c r="A17" s="484"/>
      <s:c r="B17" s="329" t="s">
        <s:v>137</s:v>
      </s:c>
      <s:c r="C17" s="449" t="str">
        <s:f>A2</s:f>
        <s:v>ул. Набережная Ленина, 18</s:v>
      </s:c>
      <s:c r="D17" s="450"/>
      <s:c r="E17" s="338">
        <s:v>0.1</s:v>
      </s:c>
      <s:c r="F17" s="347">
        <s:f>Самошкина!L57+Самошкина!R57</s:f>
        <s:v>2555</s:v>
      </s:c>
      <s:c r="G17" s="344">
        <s:f>F17*E17</s:f>
        <s:v>255.5</s:v>
      </s:c>
      <s:c r="I17" s="327"/>
      <s:c r="J17" s="448"/>
      <s:c r="K17" s="523"/>
      <s:c r="L17" s="524"/>
      <s:c r="M17" s="456"/>
    </s:row>
    <s:row r="18" spans="1:13" ht="15">
      <s:c r="A18" s="488"/>
      <s:c r="F18" s="512">
        <s:f>F16+F17</s:f>
        <s:v>168150</s:v>
      </s:c>
      <s:c r="H18" s="325"/>
      <s:c r="I18" s="327"/>
      <s:c r="J18" s="448"/>
      <s:c r="K18" s="523"/>
      <s:c r="L18" s="524"/>
      <s:c r="M18" s="456"/>
    </s:row>
    <s:row r="19" spans="1:13" ht="15">
      <s:c r="A19" s="488"/>
      <s:c r="H19" s="325"/>
      <s:c r="I19" s="350"/>
      <s:c r="J19" s="351"/>
      <s:c r="K19" s="490"/>
      <s:c r="L19" s="490"/>
      <s:c r="M19" s="456"/>
    </s:row>
    <s:row r="20" spans="1:13" ht="15">
      <s:c r="A20" s="488"/>
      <s:c r="B20" s="322" t="s">
        <s:v>101</s:v>
      </s:c>
      <s:c r="C20" s="322"/>
      <s:c r="D20" s="325"/>
      <s:c r="E20" s="325"/>
      <s:c r="F20" s="325"/>
      <s:c r="G20" s="480">
        <s:f>G22+G23</s:f>
        <s:v>6340.0426845637503</s:v>
      </s:c>
      <s:c r="H20" s="343"/>
      <s:c r="I20" s="491" t="s">
        <s:v>86</s:v>
      </s:c>
      <s:c r="J20" s="492"/>
      <s:c r="K20" s="492"/>
      <s:c r="L20" s="493">
        <s:f>J22+J23+J24</s:f>
        <s:v>2724</s:v>
      </s:c>
      <s:c r="M20" s="456"/>
    </s:row>
    <s:row r="21" spans="1:13" ht="36">
      <s:c r="A21" s="488"/>
      <s:c r="B21" s="332" t="s">
        <s:v>26</s:v>
      </s:c>
      <s:c r="C21" s="332" t="s">
        <s:v>93</s:v>
      </s:c>
      <s:c r="D21" s="332" t="s">
        <s:v>105</s:v>
      </s:c>
      <s:c r="E21" s="332" t="s">
        <s:v>106</s:v>
      </s:c>
      <s:c r="F21" s="332" t="s">
        <s:v>102</s:v>
      </s:c>
      <s:c r="G21" s="332" t="s">
        <s:v>104</s:v>
      </s:c>
      <s:c r="H21" s="325"/>
      <s:c r="I21" s="326" t="s">
        <s:v>27</s:v>
      </s:c>
      <s:c r="J21" s="326" t="s">
        <s:v>89</s:v>
      </s:c>
      <s:c r="K21" s="521" t="s">
        <s:v>90</s:v>
      </s:c>
      <s:c r="L21" s="522"/>
      <s:c r="M21" s="456"/>
    </s:row>
    <s:row r="22" spans="1:13" ht="19" customHeight="1">
      <s:c r="A22" s="488"/>
      <s:c r="B22" s="345" t="str">
        <s:f>A4</s:f>
        <s:v>Самошкина Алина</s:v>
      </s:c>
      <s:c r="C22" s="346" t="str">
        <s:f>C16</s:f>
        <s:v>ул. Набережная Ленина, 18</s:v>
      </s:c>
      <s:c r="D22" s="346">
        <s:f>E9</s:f>
        <s:v>121</s:v>
      </s:c>
      <s:c r="E22" s="494">
        <s:f>График!AJ30</s:f>
        <s:v>447</s:v>
      </s:c>
      <s:c r="F22" s="338">
        <s:v>0.02</s:v>
      </s:c>
      <s:c r="G22" s="495">
        <s:f>('Ялта, Ленина, 18'!J8-'Ялта, Ленина, 18'!L56-'Ялта, Ленина, 18'!R56)*F22*D22/E22</s:f>
        <s:v>6340.0426845637503</s:v>
      </s:c>
      <s:c r="H22" s="330"/>
      <s:c r="I22" s="327">
        <s:v>46112</s:v>
      </s:c>
      <s:c r="J22" s="328">
        <s:f>289+2435</s:f>
        <s:v>2724</s:v>
      </s:c>
      <s:c r="K22" s="529" t="s">
        <s:v>138</s:v>
      </s:c>
      <s:c r="L22" s="530"/>
      <s:c r="M22" s="456"/>
    </s:row>
    <s:row r="23" spans="1:13" ht="25" customHeight="1">
      <s:c r="A23" s="488"/>
      <s:c r="B23" s="345"/>
      <s:c r="C23" s="346"/>
      <s:c r="D23" s="346"/>
      <s:c r="E23" s="494"/>
      <s:c r="F23" s="338"/>
      <s:c r="G23" s="495"/>
      <s:c r="H23" s="323"/>
      <s:c r="I23" s="327">
        <s:v>46112</s:v>
      </s:c>
      <s:c r="J23" s="328">
        <s:v>0</s:v>
      </s:c>
      <s:c r="K23" s="529" t="s">
        <s:v>139</s:v>
      </s:c>
      <s:c r="L23" s="530"/>
      <s:c r="M23" s="456"/>
    </s:row>
    <s:row r="24" spans="1:13" ht="19" customHeight="1">
      <s:c r="A24" s="488"/>
      <s:c r="B24" s="496"/>
      <s:c r="C24" s="497"/>
      <s:c r="D24" s="497"/>
      <s:c r="E24" s="498"/>
      <s:c r="F24" s="499"/>
      <s:c r="G24" s="500"/>
      <s:c r="H24" s="323"/>
      <s:c r="I24" s="327"/>
      <s:c r="J24" s="328"/>
      <s:c r="K24" s="529"/>
      <s:c r="L24" s="530"/>
      <s:c r="M24" s="456"/>
    </s:row>
    <s:row r="25" spans="1:13" ht="16" thickBot="1">
      <s:c r="A25" s="348"/>
      <s:c r="B25" s="349"/>
      <s:c r="C25" s="349"/>
      <s:c r="D25" s="349"/>
      <s:c r="E25" s="349"/>
      <s:c r="F25" s="349"/>
      <s:c r="G25" s="349"/>
      <s:c r="H25" s="501"/>
      <s:c r="I25" s="349"/>
      <s:c r="J25" s="349"/>
      <s:c r="K25" s="349"/>
      <s:c r="L25" s="349"/>
      <s:c r="M25" s="502"/>
    </s:row>
    <s:row r="26" spans="1:13" ht="15"/>
  </s:sheetData>
  <s:mergeCells count="13">
    <s:mergeCell ref="K24:L24"/>
    <s:mergeCell ref="K17:L17"/>
    <s:mergeCell ref="K18:L18"/>
    <s:mergeCell ref="K21:L21"/>
    <s:mergeCell ref="K22:L22"/>
    <s:mergeCell ref="K23:L23"/>
    <s:mergeCell ref="A1:D1"/>
    <s:mergeCell ref="A2:C2"/>
    <s:mergeCell ref="K10:L10"/>
    <s:mergeCell ref="K15:L15"/>
    <s:mergeCell ref="K16:L16"/>
    <s:mergeCell ref="A3:C3"/>
    <s:mergeCell ref="A4:C4"/>
  </s:mergeCells>
  <s:pageMargins left="0.7" right="0.7" top="0.75" bottom="0.75" header="0.3" footer="0.3"/>
</s:worksheet>
</file>

<file path=xl/worksheets/sheet11.xml><?xml version="1.0" encoding="utf-8"?>
<s:worksheet xmlns:xr2="http://schemas.microsoft.com/office/spreadsheetml/2015/revision2" xmlns:s="http://schemas.openxmlformats.org/spreadsheetml/2006/main" xmlns:xr="http://schemas.microsoft.com/office/spreadsheetml/2014/revision" xmlns:x14ac="http://schemas.microsoft.com/office/spreadsheetml/2009/9/ac" xmlns:mc="http://schemas.openxmlformats.org/markup-compatibility/2006" xmlns:xr3="http://schemas.microsoft.com/office/spreadsheetml/2016/revision3" mc:Ignorable="x14ac xr xr2 xr3" xr:uid="{00000000-0001-0000-0900-000000000000}">
  <s:dimension ref="A1:AN33"/>
  <s:sheetViews>
    <s:sheetView tabSelected="0" zoomScale="67" workbookViewId="0">
      <s:selection activeCell="AD38" sqref="AD38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4.664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352"/>
      <s:c r="B1" s="353" t="s">
        <s:v>125</s:v>
      </s:c>
      <s:c r="C1" s="354"/>
      <s:c r="D1" s="354"/>
      <s:c r="E1" s="354"/>
      <s:c r="F1" s="354"/>
      <s:c r="G1" s="354"/>
      <s:c r="H1" s="354"/>
      <s:c r="I1" s="354"/>
      <s:c r="J1" s="354"/>
      <s:c r="K1" s="354"/>
      <s:c r="L1" s="354"/>
      <s:c r="M1" s="354"/>
      <s:c r="N1" s="354"/>
      <s:c r="O1" s="354"/>
      <s:c r="P1" s="354"/>
      <s:c r="Q1" s="354"/>
      <s:c r="R1" s="354"/>
      <s:c r="S1" s="354"/>
      <s:c r="T1" s="354" t="s">
        <s:v>80</s:v>
      </s:c>
      <s:c r="U1" s="354"/>
      <s:c r="V1" s="354"/>
      <s:c r="W1" s="354"/>
      <s:c r="X1" s="354"/>
      <s:c r="Y1" s="354"/>
      <s:c r="Z1" s="354"/>
      <s:c r="AA1" s="354"/>
      <s:c r="AB1" s="354"/>
      <s:c r="AC1" s="354"/>
      <s:c r="AD1" s="354"/>
      <s:c r="AE1" s="354"/>
      <s:c r="AF1" s="354"/>
      <s:c r="AG1" s="354"/>
      <s:c r="AH1" s="354"/>
      <s:c r="AI1" s="354"/>
      <s:c r="AJ1" s="354"/>
      <s:c r="AK1" s="354"/>
      <s:c r="AL1" s="354"/>
      <s:c r="AM1" s="354"/>
      <s:c r="AN1" s="354"/>
    </s:row>
    <s:row r="2" spans="1:40" ht="16">
      <s:c r="A2" s="352"/>
      <s:c r="B2" s="355" t="s">
        <s:v>107</s:v>
      </s:c>
      <s:c r="C2" s="356" t="s">
        <s:v>108</s:v>
      </s:c>
      <s:c r="D2" s="357"/>
      <s:c r="E2" s="358"/>
      <s:c r="F2" s="358"/>
      <s:c r="G2" s="358"/>
      <s:c r="H2" s="358"/>
      <s:c r="I2" s="358"/>
      <s:c r="J2" s="358"/>
      <s:c r="K2" s="358"/>
      <s:c r="L2" s="358"/>
      <s:c r="M2" s="358"/>
      <s:c r="N2" s="358"/>
      <s:c r="O2" s="358"/>
      <s:c r="P2" s="358"/>
      <s:c r="Q2" s="358"/>
      <s:c r="R2" s="358"/>
      <s:c r="S2" s="358"/>
      <s:c r="T2" s="358"/>
      <s:c r="U2" s="358"/>
      <s:c r="V2" s="358"/>
      <s:c r="W2" s="358"/>
      <s:c r="X2" s="358"/>
      <s:c r="Y2" s="358"/>
      <s:c r="Z2" s="358"/>
      <s:c r="AA2" s="358"/>
      <s:c r="AB2" s="358"/>
      <s:c r="AC2" s="358"/>
      <s:c r="AD2" s="358"/>
      <s:c r="AE2" s="358"/>
      <s:c r="AF2" s="358"/>
      <s:c r="AG2" s="358"/>
      <s:c r="AH2" s="358"/>
      <s:c r="AI2" s="358"/>
      <s:c r="AJ2" s="358"/>
      <s:c r="AK2" s="358"/>
      <s:c r="AL2" s="358"/>
      <s:c r="AM2" s="358"/>
      <s:c r="AN2" s="358"/>
    </s:row>
    <s:row r="3" spans="1:40" ht="16">
      <s:c r="A3" s="352"/>
      <s:c r="B3" s="359" t="s">
        <s:v>109</s:v>
      </s:c>
      <s:c r="C3" s="360"/>
      <s:c r="D3" s="360"/>
      <s:c r="E3" s="361"/>
      <s:c r="F3" s="361"/>
      <s:c r="G3" s="361"/>
      <s:c r="H3" s="361"/>
      <s:c r="I3" s="361"/>
      <s:c r="J3" s="361"/>
      <s:c r="K3" s="358"/>
      <s:c r="L3" s="358"/>
      <s:c r="M3" s="358"/>
      <s:c r="N3" s="358"/>
      <s:c r="O3" s="358"/>
      <s:c r="P3" s="358"/>
      <s:c r="Q3" s="358"/>
      <s:c r="R3" s="358"/>
      <s:c r="S3" s="358"/>
      <s:c r="T3" s="358"/>
      <s:c r="U3" s="358"/>
      <s:c r="V3" s="358"/>
      <s:c r="W3" s="358"/>
      <s:c r="X3" s="358"/>
      <s:c r="Y3" s="358"/>
      <s:c r="Z3" s="358"/>
      <s:c r="AA3" s="358"/>
      <s:c r="AB3" s="358"/>
      <s:c r="AC3" s="358"/>
      <s:c r="AD3" s="358"/>
      <s:c r="AE3" s="358"/>
      <s:c r="AF3" s="358"/>
      <s:c r="AG3" s="358"/>
      <s:c r="AH3" s="358"/>
      <s:c r="AI3" s="358"/>
      <s:c r="AJ3" s="358"/>
      <s:c r="AK3" s="358"/>
      <s:c r="AL3" s="358"/>
      <s:c r="AM3" s="358"/>
      <s:c r="AN3" s="358"/>
    </s:row>
    <s:row r="4" spans="1:40" ht="19">
      <s:c r="A4" s="352"/>
      <s:c r="B4" s="362" t="s">
        <s:v>110</s:v>
      </s:c>
      <s:c r="C4" s="357"/>
      <s:c r="D4" s="357"/>
      <s:c r="E4" s="358"/>
      <s:c r="F4" s="358"/>
      <s:c r="G4" s="358"/>
      <s:c r="H4" s="358"/>
      <s:c r="I4" s="358"/>
      <s:c r="J4" s="358"/>
      <s:c r="K4" s="358"/>
      <s:c r="L4" s="358"/>
      <s:c r="M4" s="358"/>
      <s:c r="N4" s="358"/>
      <s:c r="O4" s="358"/>
      <s:c r="P4" s="358"/>
      <s:c r="Q4" s="358"/>
      <s:c r="R4" s="358"/>
      <s:c r="S4" s="358"/>
      <s:c r="T4" s="358"/>
      <s:c r="U4" s="358"/>
      <s:c r="V4" s="358"/>
      <s:c r="W4" s="358"/>
      <s:c r="X4" s="358"/>
      <s:c r="Y4" s="358"/>
      <s:c r="Z4" s="358"/>
      <s:c r="AA4" s="358"/>
      <s:c r="AB4" s="358"/>
      <s:c r="AC4" s="358"/>
      <s:c r="AD4" s="358"/>
      <s:c r="AE4" s="358"/>
      <s:c r="AF4" s="358"/>
      <s:c r="AG4" s="358"/>
      <s:c r="AH4" s="358"/>
      <s:c r="AI4" s="358"/>
      <s:c r="AJ4" s="358"/>
      <s:c r="AK4" s="358"/>
      <s:c r="AL4" s="358"/>
      <s:c r="AM4" s="358"/>
      <s:c r="AN4" s="358"/>
    </s:row>
    <s:row r="5" spans="1:40" ht="16">
      <s:c r="A5" s="352"/>
      <s:c r="B5" s="363" t="s">
        <s:v>111</s:v>
      </s:c>
      <s:c r="C5" s="358"/>
      <s:c r="D5" s="358"/>
      <s:c r="E5" s="358"/>
      <s:c r="F5" s="358"/>
      <s:c r="G5" s="358"/>
      <s:c r="H5" s="358"/>
      <s:c r="I5" s="358"/>
      <s:c r="J5" s="358"/>
      <s:c r="K5" s="358"/>
      <s:c r="L5" s="358"/>
      <s:c r="M5" s="358"/>
      <s:c r="N5" s="358"/>
      <s:c r="O5" s="358"/>
      <s:c r="P5" s="358"/>
      <s:c r="Q5" s="358"/>
      <s:c r="R5" s="358"/>
      <s:c r="S5" s="358"/>
      <s:c r="T5" s="358"/>
      <s:c r="U5" s="358"/>
      <s:c r="V5" s="358"/>
      <s:c r="W5" s="358"/>
      <s:c r="X5" s="358"/>
      <s:c r="Y5" s="358"/>
      <s:c r="Z5" s="358"/>
      <s:c r="AA5" s="358"/>
      <s:c r="AB5" s="358"/>
      <s:c r="AC5" s="358"/>
      <s:c r="AD5" s="358"/>
      <s:c r="AE5" s="358"/>
      <s:c r="AF5" s="358"/>
      <s:c r="AG5" s="358"/>
      <s:c r="AH5" s="358"/>
      <s:c r="AI5" s="358"/>
      <s:c r="AJ5" s="595"/>
      <s:c r="AK5" s="596"/>
      <s:c r="AL5" s="597"/>
      <s:c r="AM5" s="598"/>
      <s:c r="AN5" s="599"/>
    </s:row>
    <s:row r="6" spans="1:40">
      <s:c r="A6" s="352"/>
      <s:c r="B6" s="364" t="s">
        <s:v>112</s:v>
      </s:c>
      <s:c r="C6" s="600" t="s">
        <s:v>113</s:v>
      </s:c>
      <s:c r="D6" s="601"/>
      <s:c r="E6" s="601"/>
      <s:c r="F6" s="601"/>
      <s:c r="G6" s="601"/>
      <s:c r="H6" s="601"/>
      <s:c r="I6" s="601"/>
      <s:c r="J6" s="601"/>
      <s:c r="K6" s="601"/>
      <s:c r="L6" s="601"/>
      <s:c r="M6" s="601"/>
      <s:c r="N6" s="601"/>
      <s:c r="O6" s="601"/>
      <s:c r="P6" s="601"/>
      <s:c r="Q6" s="601"/>
      <s:c r="R6" s="601"/>
      <s:c r="S6" s="601"/>
      <s:c r="T6" s="601"/>
      <s:c r="U6" s="601"/>
      <s:c r="V6" s="601"/>
      <s:c r="W6" s="601"/>
      <s:c r="X6" s="601"/>
      <s:c r="Y6" s="601"/>
      <s:c r="Z6" s="601"/>
      <s:c r="AA6" s="601"/>
      <s:c r="AB6" s="601"/>
      <s:c r="AC6" s="601"/>
      <s:c r="AD6" s="601"/>
      <s:c r="AE6" s="601"/>
      <s:c r="AF6" s="601"/>
      <s:c r="AG6" s="601"/>
      <s:c r="AH6" s="601"/>
      <s:c r="AI6" s="601"/>
      <s:c r="AJ6" s="602"/>
      <s:c r="AK6" s="365">
        <s:v>31</s:v>
      </s:c>
      <s:c r="AL6" s="366"/>
      <s:c r="AM6" s="366"/>
      <s:c r="AN6" s="366"/>
    </s:row>
    <s:row r="7" spans="1:40">
      <s:c r="A7" s="367"/>
      <s:c r="B7" s="368" t="e">
        <s:f>BT30*100/BH30</s:f>
        <s:v>#DIV/0!</s:v>
      </s:c>
      <s:c r="C7" s="600"/>
      <s:c r="D7" s="601"/>
      <s:c r="E7" s="601"/>
      <s:c r="F7" s="601"/>
      <s:c r="G7" s="601"/>
      <s:c r="H7" s="601"/>
      <s:c r="I7" s="601"/>
      <s:c r="J7" s="601"/>
      <s:c r="K7" s="601"/>
      <s:c r="L7" s="601"/>
      <s:c r="M7" s="601"/>
      <s:c r="N7" s="601"/>
      <s:c r="O7" s="601"/>
      <s:c r="P7" s="601"/>
      <s:c r="Q7" s="601"/>
      <s:c r="R7" s="601"/>
      <s:c r="S7" s="601"/>
      <s:c r="T7" s="601"/>
      <s:c r="U7" s="601"/>
      <s:c r="V7" s="601"/>
      <s:c r="W7" s="601"/>
      <s:c r="X7" s="601"/>
      <s:c r="Y7" s="601"/>
      <s:c r="Z7" s="601"/>
      <s:c r="AA7" s="601"/>
      <s:c r="AB7" s="601"/>
      <s:c r="AC7" s="601"/>
      <s:c r="AD7" s="601"/>
      <s:c r="AE7" s="601"/>
      <s:c r="AF7" s="601"/>
      <s:c r="AG7" s="601"/>
      <s:c r="AH7" s="601"/>
      <s:c r="AI7" s="601"/>
      <s:c r="AJ7" s="602"/>
      <s:c r="AK7" s="369"/>
      <s:c r="AL7" s="369"/>
      <s:c r="AM7" s="370"/>
      <s:c r="AN7" s="370"/>
    </s:row>
    <s:row r="8" spans="1:40" ht="30">
      <s:c r="A8" s="371"/>
      <s:c r="B8" s="372"/>
      <s:c r="C8" s="373"/>
      <s:c r="D8" s="374" t="s">
        <s:v>53</s:v>
      </s:c>
      <s:c r="E8" s="374" t="s">
        <s:v>55</s:v>
      </s:c>
      <s:c r="F8" s="374" t="s">
        <s:v>56</s:v>
      </s:c>
      <s:c r="G8" s="374" t="s">
        <s:v>57</s:v>
      </s:c>
      <s:c r="H8" s="374" t="s">
        <s:v>58</s:v>
      </s:c>
      <s:c r="I8" s="374" t="s">
        <s:v>59</s:v>
      </s:c>
      <s:c r="J8" s="374" t="s">
        <s:v>60</s:v>
      </s:c>
      <s:c r="K8" s="374" t="s">
        <s:v>53</s:v>
      </s:c>
      <s:c r="L8" s="374" t="s">
        <s:v>55</s:v>
      </s:c>
      <s:c r="M8" s="374" t="s">
        <s:v>56</s:v>
      </s:c>
      <s:c r="N8" s="374" t="s">
        <s:v>57</s:v>
      </s:c>
      <s:c r="O8" s="374" t="s">
        <s:v>58</s:v>
      </s:c>
      <s:c r="P8" s="374" t="s">
        <s:v>59</s:v>
      </s:c>
      <s:c r="Q8" s="374" t="s">
        <s:v>60</s:v>
      </s:c>
      <s:c r="R8" s="374" t="s">
        <s:v>53</s:v>
      </s:c>
      <s:c r="S8" s="374" t="s">
        <s:v>55</s:v>
      </s:c>
      <s:c r="T8" s="374" t="s">
        <s:v>56</s:v>
      </s:c>
      <s:c r="U8" s="374" t="s">
        <s:v>57</s:v>
      </s:c>
      <s:c r="V8" s="374" t="s">
        <s:v>58</s:v>
      </s:c>
      <s:c r="W8" s="374" t="s">
        <s:v>59</s:v>
      </s:c>
      <s:c r="X8" s="374" t="s">
        <s:v>60</s:v>
      </s:c>
      <s:c r="Y8" s="374" t="s">
        <s:v>53</s:v>
      </s:c>
      <s:c r="Z8" s="374" t="s">
        <s:v>55</s:v>
      </s:c>
      <s:c r="AA8" s="374" t="s">
        <s:v>56</s:v>
      </s:c>
      <s:c r="AB8" s="374" t="s">
        <s:v>57</s:v>
      </s:c>
      <s:c r="AC8" s="374" t="s">
        <s:v>58</s:v>
      </s:c>
      <s:c r="AD8" s="374" t="s">
        <s:v>59</s:v>
      </s:c>
      <s:c r="AE8" s="374" t="s">
        <s:v>60</s:v>
      </s:c>
      <s:c r="AF8" s="374" t="s">
        <s:v>53</s:v>
      </s:c>
      <s:c r="AG8" s="374" t="s">
        <s:v>55</s:v>
      </s:c>
      <s:c r="AH8" s="374" t="s">
        <s:v>56</s:v>
      </s:c>
      <s:c r="AI8" s="375"/>
      <s:c r="AJ8" s="376" t="s">
        <s:v>114</s:v>
      </s:c>
      <s:c r="AK8" s="376" t="s">
        <s:v>115</s:v>
      </s:c>
      <s:c r="AL8" s="603" t="s">
        <s:v>116</s:v>
      </s:c>
      <s:c r="AM8" s="603" t="s">
        <s:v>117</s:v>
      </s:c>
      <s:c r="AN8" s="607" t="s">
        <s:v>118</s:v>
      </s:c>
    </s:row>
    <s:row r="9" spans="1:40">
      <s:c r="A9" s="352"/>
      <s:c r="B9" s="358"/>
      <s:c r="C9" s="377"/>
      <s:c r="D9" s="378"/>
      <s:c r="E9" s="378"/>
      <s:c r="F9" s="378"/>
      <s:c r="G9" s="378"/>
      <s:c r="H9" s="378"/>
      <s:c r="I9" s="378"/>
      <s:c r="J9" s="378"/>
      <s:c r="K9" s="378"/>
      <s:c r="L9" s="378"/>
      <s:c r="M9" s="378"/>
      <s:c r="N9" s="378"/>
      <s:c r="O9" s="378"/>
      <s:c r="P9" s="378"/>
      <s:c r="Q9" s="378"/>
      <s:c r="R9" s="378"/>
      <s:c r="S9" s="378"/>
      <s:c r="T9" s="378"/>
      <s:c r="U9" s="378"/>
      <s:c r="V9" s="378"/>
      <s:c r="W9" s="378"/>
      <s:c r="X9" s="378"/>
      <s:c r="Y9" s="378"/>
      <s:c r="Z9" s="378"/>
      <s:c r="AA9" s="378"/>
      <s:c r="AB9" s="378"/>
      <s:c r="AC9" s="378"/>
      <s:c r="AD9" s="378"/>
      <s:c r="AE9" s="378"/>
      <s:c r="AF9" s="378"/>
      <s:c r="AG9" s="378"/>
      <s:c r="AH9" s="378"/>
      <s:c r="AI9" s="379"/>
      <s:c r="AJ9" s="380"/>
      <s:c r="AK9" s="380"/>
      <s:c r="AL9" s="604"/>
      <s:c r="AM9" s="604"/>
      <s:c r="AN9" s="608"/>
    </s:row>
    <s:row r="10" spans="1:40">
      <s:c r="A10" s="381" t="s">
        <s:v>119</s:v>
      </s:c>
      <s:c r="B10" s="382" t="s">
        <s:v>120</s:v>
      </s:c>
      <s:c r="C10" s="383" t="s">
        <s:v>94</s:v>
      </s:c>
      <s:c r="D10" s="384">
        <s:v>1</s:v>
      </s:c>
      <s:c r="E10" s="384">
        <s:v>2</s:v>
      </s:c>
      <s:c r="F10" s="384">
        <s:v>3</s:v>
      </s:c>
      <s:c r="G10" s="384">
        <s:v>4</s:v>
      </s:c>
      <s:c r="H10" s="384">
        <s:v>5</s:v>
      </s:c>
      <s:c r="I10" s="384">
        <s:v>6</s:v>
      </s:c>
      <s:c r="J10" s="384">
        <s:v>7</s:v>
      </s:c>
      <s:c r="K10" s="384">
        <s:v>8</s:v>
      </s:c>
      <s:c r="L10" s="384">
        <s:v>9</s:v>
      </s:c>
      <s:c r="M10" s="384">
        <s:v>10</s:v>
      </s:c>
      <s:c r="N10" s="384">
        <s:v>11</s:v>
      </s:c>
      <s:c r="O10" s="384">
        <s:v>12</s:v>
      </s:c>
      <s:c r="P10" s="384">
        <s:v>13</s:v>
      </s:c>
      <s:c r="Q10" s="384">
        <s:v>14</s:v>
      </s:c>
      <s:c r="R10" s="384">
        <s:v>15</s:v>
      </s:c>
      <s:c r="S10" s="384">
        <s:v>16</s:v>
      </s:c>
      <s:c r="T10" s="384">
        <s:v>17</s:v>
      </s:c>
      <s:c r="U10" s="384">
        <s:v>18</s:v>
      </s:c>
      <s:c r="V10" s="384">
        <s:v>19</s:v>
      </s:c>
      <s:c r="W10" s="384">
        <s:v>20</s:v>
      </s:c>
      <s:c r="X10" s="384">
        <s:v>21</s:v>
      </s:c>
      <s:c r="Y10" s="384">
        <s:v>22</s:v>
      </s:c>
      <s:c r="Z10" s="384">
        <s:v>23</s:v>
      </s:c>
      <s:c r="AA10" s="384">
        <s:v>24</s:v>
      </s:c>
      <s:c r="AB10" s="384">
        <s:v>25</s:v>
      </s:c>
      <s:c r="AC10" s="384">
        <s:v>26</s:v>
      </s:c>
      <s:c r="AD10" s="384">
        <s:v>27</s:v>
      </s:c>
      <s:c r="AE10" s="384">
        <s:v>28</s:v>
      </s:c>
      <s:c r="AF10" s="384">
        <s:v>29</s:v>
      </s:c>
      <s:c r="AG10" s="384">
        <s:v>30</s:v>
      </s:c>
      <s:c r="AH10" s="384">
        <s:v>31</s:v>
      </s:c>
      <s:c r="AI10" s="385" t="s">
        <s:v>121</s:v>
      </s:c>
      <s:c r="AJ10" s="386"/>
      <s:c r="AK10" s="387"/>
      <s:c r="AL10" s="605"/>
      <s:c r="AM10" s="606"/>
      <s:c r="AN10" s="609"/>
    </s:row>
    <s:row r="11" spans="1:40">
      <s:c r="A11" s="415">
        <s:v>19</s:v>
      </s:c>
      <s:c r="B11" s="388"/>
      <s:c r="C11" s="389"/>
      <s:c r="D11" s="389"/>
      <s:c r="E11" s="389"/>
      <s:c r="F11" s="389"/>
      <s:c r="G11" s="389"/>
      <s:c r="H11" s="389"/>
      <s:c r="I11" s="389"/>
      <s:c r="J11" s="389"/>
      <s:c r="K11" s="389"/>
      <s:c r="L11" s="389"/>
      <s:c r="M11" s="389"/>
      <s:c r="N11" s="389"/>
      <s:c r="O11" s="389"/>
      <s:c r="P11" s="389"/>
      <s:c r="Q11" s="389"/>
      <s:c r="R11" s="389"/>
      <s:c r="S11" s="389"/>
      <s:c r="T11" s="389"/>
      <s:c r="U11" s="389"/>
      <s:c r="V11" s="389"/>
      <s:c r="W11" s="389"/>
      <s:c r="X11" s="389"/>
      <s:c r="Y11" s="389"/>
      <s:c r="Z11" s="390"/>
      <s:c r="AA11" s="390"/>
      <s:c r="AB11" s="390"/>
      <s:c r="AC11" s="390"/>
      <s:c r="AD11" s="390"/>
      <s:c r="AE11" s="390"/>
      <s:c r="AF11" s="389"/>
      <s:c r="AG11" s="389"/>
      <s:c r="AH11" s="391"/>
      <s:c r="AI11" s="392">
        <s:v>0</s:v>
      </s:c>
      <s:c r="AJ11" s="393">
        <s:v>0</s:v>
      </s:c>
      <s:c r="AK11" s="394">
        <s:v>0</s:v>
      </s:c>
      <s:c r="AL11" s="394">
        <s:v>0</s:v>
      </s:c>
      <s:c r="AM11" s="394">
        <s:v>0</s:v>
      </s:c>
      <s:c r="AN11" s="395">
        <s:v>0</s:v>
      </s:c>
    </s:row>
    <s:row r="12" spans="1:40">
      <s:c r="A12" s="429">
        <s:v>18</s:v>
      </s:c>
      <s:c r="B12" s="396"/>
      <s:c r="C12" s="397"/>
      <s:c r="D12" s="397"/>
      <s:c r="E12" s="397"/>
      <s:c r="F12" s="397"/>
      <s:c r="G12" s="397"/>
      <s:c r="H12" s="397"/>
      <s:c r="I12" s="397"/>
      <s:c r="J12" s="397"/>
      <s:c r="K12" s="397"/>
      <s:c r="L12" s="397"/>
      <s:c r="M12" s="397"/>
      <s:c r="N12" s="397"/>
      <s:c r="O12" s="397"/>
      <s:c r="P12" s="397"/>
      <s:c r="Q12" s="397"/>
      <s:c r="R12" s="397"/>
      <s:c r="S12" s="397"/>
      <s:c r="T12" s="397"/>
      <s:c r="U12" s="397"/>
      <s:c r="V12" s="397"/>
      <s:c r="W12" s="397"/>
      <s:c r="X12" s="397"/>
      <s:c r="Y12" s="397"/>
      <s:c r="Z12" s="398"/>
      <s:c r="AA12" s="398"/>
      <s:c r="AB12" s="398"/>
      <s:c r="AC12" s="398"/>
      <s:c r="AD12" s="398"/>
      <s:c r="AE12" s="398"/>
      <s:c r="AF12" s="397"/>
      <s:c r="AG12" s="397"/>
      <s:c r="AH12" s="399"/>
      <s:c r="AI12" s="400">
        <s:v>0</s:v>
      </s:c>
      <s:c r="AJ12" s="401">
        <s:v>0</s:v>
      </s:c>
      <s:c r="AK12" s="402">
        <s:v>0</s:v>
      </s:c>
      <s:c r="AL12" s="402">
        <s:v>0</s:v>
      </s:c>
      <s:c r="AM12" s="402">
        <s:v>0</s:v>
      </s:c>
      <s:c r="AN12" s="403">
        <s:v>0</s:v>
      </s:c>
    </s:row>
    <s:row r="13" spans="1:40">
      <s:c r="A13" s="415">
        <s:v>17</s:v>
      </s:c>
      <s:c r="B13" s="396"/>
      <s:c r="C13" s="397"/>
      <s:c r="D13" s="397"/>
      <s:c r="E13" s="397"/>
      <s:c r="F13" s="397"/>
      <s:c r="G13" s="397"/>
      <s:c r="H13" s="397"/>
      <s:c r="I13" s="397"/>
      <s:c r="J13" s="397"/>
      <s:c r="K13" s="397"/>
      <s:c r="L13" s="397"/>
      <s:c r="M13" s="397"/>
      <s:c r="N13" s="397"/>
      <s:c r="O13" s="397"/>
      <s:c r="P13" s="397"/>
      <s:c r="Q13" s="397"/>
      <s:c r="R13" s="397"/>
      <s:c r="S13" s="397"/>
      <s:c r="T13" s="397"/>
      <s:c r="U13" s="397"/>
      <s:c r="V13" s="397"/>
      <s:c r="W13" s="397"/>
      <s:c r="X13" s="397"/>
      <s:c r="Y13" s="397"/>
      <s:c r="Z13" s="398"/>
      <s:c r="AA13" s="398"/>
      <s:c r="AB13" s="398"/>
      <s:c r="AC13" s="398"/>
      <s:c r="AD13" s="398"/>
      <s:c r="AE13" s="398"/>
      <s:c r="AF13" s="397"/>
      <s:c r="AG13" s="397"/>
      <s:c r="AH13" s="399"/>
      <s:c r="AI13" s="400">
        <s:v>0</s:v>
      </s:c>
      <s:c r="AJ13" s="393">
        <s:v>0</s:v>
      </s:c>
      <s:c r="AK13" s="394">
        <s:v>0</s:v>
      </s:c>
      <s:c r="AL13" s="394">
        <s:v>0</s:v>
      </s:c>
      <s:c r="AM13" s="394">
        <s:v>0</s:v>
      </s:c>
      <s:c r="AN13" s="395">
        <s:v>0</s:v>
      </s:c>
    </s:row>
    <s:row r="14" spans="1:40">
      <s:c r="A14" s="415">
        <s:v>16</s:v>
      </s:c>
      <s:c r="B14" s="396"/>
      <s:c r="C14" s="397"/>
      <s:c r="D14" s="397"/>
      <s:c r="E14" s="397"/>
      <s:c r="F14" s="397"/>
      <s:c r="G14" s="397"/>
      <s:c r="H14" s="397"/>
      <s:c r="I14" s="397"/>
      <s:c r="J14" s="397"/>
      <s:c r="K14" s="397"/>
      <s:c r="L14" s="397"/>
      <s:c r="M14" s="397"/>
      <s:c r="N14" s="397"/>
      <s:c r="O14" s="397"/>
      <s:c r="P14" s="397"/>
      <s:c r="Q14" s="397"/>
      <s:c r="R14" s="397"/>
      <s:c r="S14" s="397"/>
      <s:c r="T14" s="397"/>
      <s:c r="U14" s="397"/>
      <s:c r="V14" s="397"/>
      <s:c r="W14" s="397"/>
      <s:c r="X14" s="397"/>
      <s:c r="Y14" s="397"/>
      <s:c r="Z14" s="397"/>
      <s:c r="AA14" s="397"/>
      <s:c r="AB14" s="397"/>
      <s:c r="AC14" s="397"/>
      <s:c r="AD14" s="397"/>
      <s:c r="AE14" s="397"/>
      <s:c r="AF14" s="397"/>
      <s:c r="AG14" s="397"/>
      <s:c r="AH14" s="399"/>
      <s:c r="AI14" s="400">
        <s:v>0</s:v>
      </s:c>
      <s:c r="AJ14" s="401">
        <s:v>0</s:v>
      </s:c>
      <s:c r="AK14" s="402">
        <s:v>0</s:v>
      </s:c>
      <s:c r="AL14" s="402">
        <s:v>0</s:v>
      </s:c>
      <s:c r="AM14" s="402">
        <s:v>0</s:v>
      </s:c>
      <s:c r="AN14" s="403">
        <s:v>0</s:v>
      </s:c>
    </s:row>
    <s:row r="15" spans="1:40">
      <s:c r="A15" s="429">
        <s:v>15</s:v>
      </s:c>
      <s:c r="B15" s="396"/>
      <s:c r="C15" s="397"/>
      <s:c r="D15" s="397"/>
      <s:c r="E15" s="397"/>
      <s:c r="F15" s="397"/>
      <s:c r="G15" s="397"/>
      <s:c r="H15" s="397"/>
      <s:c r="I15" s="397"/>
      <s:c r="J15" s="397"/>
      <s:c r="K15" s="397"/>
      <s:c r="L15" s="397"/>
      <s:c r="M15" s="397"/>
      <s:c r="N15" s="397"/>
      <s:c r="O15" s="397"/>
      <s:c r="P15" s="397"/>
      <s:c r="Q15" s="397"/>
      <s:c r="R15" s="397"/>
      <s:c r="S15" s="397"/>
      <s:c r="T15" s="404"/>
      <s:c r="U15" s="397"/>
      <s:c r="V15" s="397"/>
      <s:c r="W15" s="397"/>
      <s:c r="X15" s="397"/>
      <s:c r="Y15" s="397"/>
      <s:c r="Z15" s="397"/>
      <s:c r="AA15" s="397"/>
      <s:c r="AB15" s="397"/>
      <s:c r="AC15" s="397"/>
      <s:c r="AD15" s="397"/>
      <s:c r="AE15" s="397"/>
      <s:c r="AF15" s="397"/>
      <s:c r="AG15" s="397"/>
      <s:c r="AH15" s="399"/>
      <s:c r="AI15" s="400">
        <s:v>0</s:v>
      </s:c>
      <s:c r="AJ15" s="393">
        <s:v>0</s:v>
      </s:c>
      <s:c r="AK15" s="394">
        <s:v>0</s:v>
      </s:c>
      <s:c r="AL15" s="394">
        <s:v>0</s:v>
      </s:c>
      <s:c r="AM15" s="394">
        <s:v>0</s:v>
      </s:c>
      <s:c r="AN15" s="395">
        <s:v>0</s:v>
      </s:c>
    </s:row>
    <s:row r="16" spans="1:40">
      <s:c r="A16" s="415">
        <s:v>14</s:v>
      </s:c>
      <s:c r="B16" s="396"/>
      <s:c r="C16" s="397"/>
      <s:c r="D16" s="397"/>
      <s:c r="E16" s="397"/>
      <s:c r="F16" s="397"/>
      <s:c r="G16" s="397"/>
      <s:c r="H16" s="397"/>
      <s:c r="I16" s="397"/>
      <s:c r="J16" s="397"/>
      <s:c r="K16" s="397"/>
      <s:c r="L16" s="397"/>
      <s:c r="M16" s="397"/>
      <s:c r="N16" s="397"/>
      <s:c r="O16" s="397"/>
      <s:c r="P16" s="397"/>
      <s:c r="Q16" s="397"/>
      <s:c r="R16" s="397"/>
      <s:c r="S16" s="397"/>
      <s:c r="T16" s="397"/>
      <s:c r="U16" s="397"/>
      <s:c r="V16" s="397"/>
      <s:c r="W16" s="397"/>
      <s:c r="X16" s="397"/>
      <s:c r="Y16" s="397"/>
      <s:c r="Z16" s="397"/>
      <s:c r="AA16" s="397"/>
      <s:c r="AB16" s="397"/>
      <s:c r="AC16" s="397"/>
      <s:c r="AD16" s="397"/>
      <s:c r="AE16" s="397"/>
      <s:c r="AF16" s="397"/>
      <s:c r="AG16" s="397"/>
      <s:c r="AH16" s="399"/>
      <s:c r="AI16" s="400">
        <s:v>0</s:v>
      </s:c>
      <s:c r="AJ16" s="401">
        <s:v>0</s:v>
      </s:c>
      <s:c r="AK16" s="402">
        <s:v>0</s:v>
      </s:c>
      <s:c r="AL16" s="402">
        <s:v>0</s:v>
      </s:c>
      <s:c r="AM16" s="402">
        <s:v>0</s:v>
      </s:c>
      <s:c r="AN16" s="403">
        <s:v>0</s:v>
      </s:c>
    </s:row>
    <s:row r="17" spans="1:40">
      <s:c r="A17" s="415">
        <s:v>13</s:v>
      </s:c>
      <s:c r="B17" s="396"/>
      <s:c r="C17" s="397"/>
      <s:c r="D17" s="397"/>
      <s:c r="E17" s="397"/>
      <s:c r="F17" s="397"/>
      <s:c r="G17" s="397"/>
      <s:c r="H17" s="397"/>
      <s:c r="I17" s="397"/>
      <s:c r="J17" s="397"/>
      <s:c r="K17" s="397"/>
      <s:c r="L17" s="397"/>
      <s:c r="M17" s="397"/>
      <s:c r="N17" s="397"/>
      <s:c r="O17" s="397"/>
      <s:c r="P17" s="397"/>
      <s:c r="Q17" s="397"/>
      <s:c r="R17" s="397"/>
      <s:c r="S17" s="397"/>
      <s:c r="T17" s="397"/>
      <s:c r="U17" s="397"/>
      <s:c r="V17" s="397"/>
      <s:c r="W17" s="397"/>
      <s:c r="X17" s="397"/>
      <s:c r="Y17" s="397"/>
      <s:c r="Z17" s="397"/>
      <s:c r="AA17" s="397"/>
      <s:c r="AB17" s="397"/>
      <s:c r="AC17" s="397"/>
      <s:c r="AD17" s="397"/>
      <s:c r="AE17" s="397"/>
      <s:c r="AF17" s="397"/>
      <s:c r="AG17" s="397"/>
      <s:c r="AH17" s="399"/>
      <s:c r="AI17" s="400">
        <s:v>0</s:v>
      </s:c>
      <s:c r="AJ17" s="401">
        <s:v>0</s:v>
      </s:c>
      <s:c r="AK17" s="402">
        <s:v>0</s:v>
      </s:c>
      <s:c r="AL17" s="402">
        <s:v>0</s:v>
      </s:c>
      <s:c r="AM17" s="402">
        <s:v>0</s:v>
      </s:c>
      <s:c r="AN17" s="403">
        <s:v>0</s:v>
      </s:c>
    </s:row>
    <s:row r="18" spans="1:40">
      <s:c r="A18" s="429">
        <s:v>12</s:v>
      </s:c>
      <s:c r="B18" s="396"/>
      <s:c r="C18" s="397"/>
      <s:c r="D18" s="397"/>
      <s:c r="E18" s="397"/>
      <s:c r="F18" s="397"/>
      <s:c r="G18" s="397"/>
      <s:c r="H18" s="397"/>
      <s:c r="I18" s="397"/>
      <s:c r="J18" s="397"/>
      <s:c r="K18" s="397"/>
      <s:c r="L18" s="397"/>
      <s:c r="M18" s="397"/>
      <s:c r="N18" s="397"/>
      <s:c r="O18" s="397"/>
      <s:c r="P18" s="397"/>
      <s:c r="Q18" s="397"/>
      <s:c r="R18" s="397"/>
      <s:c r="S18" s="397"/>
      <s:c r="T18" s="397"/>
      <s:c r="U18" s="397"/>
      <s:c r="V18" s="397"/>
      <s:c r="W18" s="397"/>
      <s:c r="X18" s="397"/>
      <s:c r="Y18" s="397"/>
      <s:c r="Z18" s="397"/>
      <s:c r="AA18" s="397"/>
      <s:c r="AB18" s="397"/>
      <s:c r="AC18" s="397"/>
      <s:c r="AD18" s="397"/>
      <s:c r="AE18" s="397"/>
      <s:c r="AF18" s="397"/>
      <s:c r="AG18" s="397"/>
      <s:c r="AH18" s="399"/>
      <s:c r="AI18" s="400">
        <s:v>0</s:v>
      </s:c>
      <s:c r="AJ18" s="401">
        <s:v>0</s:v>
      </s:c>
      <s:c r="AK18" s="402">
        <s:v>0</s:v>
      </s:c>
      <s:c r="AL18" s="402">
        <s:v>0</s:v>
      </s:c>
      <s:c r="AM18" s="402">
        <s:v>0</s:v>
      </s:c>
      <s:c r="AN18" s="403">
        <s:v>0</s:v>
      </s:c>
    </s:row>
    <s:row r="19" spans="1:40">
      <s:c r="A19" s="415">
        <s:v>11</s:v>
      </s:c>
      <s:c r="B19" s="396"/>
      <s:c r="C19" s="397"/>
      <s:c r="D19" s="397"/>
      <s:c r="E19" s="397"/>
      <s:c r="F19" s="397"/>
      <s:c r="G19" s="397"/>
      <s:c r="H19" s="397"/>
      <s:c r="I19" s="397"/>
      <s:c r="J19" s="397"/>
      <s:c r="K19" s="397"/>
      <s:c r="L19" s="397"/>
      <s:c r="M19" s="397"/>
      <s:c r="N19" s="397"/>
      <s:c r="O19" s="397"/>
      <s:c r="P19" s="397"/>
      <s:c r="Q19" s="397"/>
      <s:c r="R19" s="397"/>
      <s:c r="S19" s="397"/>
      <s:c r="T19" s="397"/>
      <s:c r="U19" s="397"/>
      <s:c r="V19" s="397"/>
      <s:c r="W19" s="397"/>
      <s:c r="X19" s="397"/>
      <s:c r="Y19" s="397"/>
      <s:c r="Z19" s="397"/>
      <s:c r="AA19" s="397"/>
      <s:c r="AB19" s="397"/>
      <s:c r="AC19" s="397"/>
      <s:c r="AD19" s="397"/>
      <s:c r="AE19" s="397"/>
      <s:c r="AF19" s="397"/>
      <s:c r="AG19" s="397"/>
      <s:c r="AH19" s="399"/>
      <s:c r="AI19" s="400">
        <s:v>0</s:v>
      </s:c>
      <s:c r="AJ19" s="401">
        <s:v>0</s:v>
      </s:c>
      <s:c r="AK19" s="402">
        <s:v>0</s:v>
      </s:c>
      <s:c r="AL19" s="402">
        <s:v>0</s:v>
      </s:c>
      <s:c r="AM19" s="402">
        <s:v>0</s:v>
      </s:c>
      <s:c r="AN19" s="403">
        <s:v>0</s:v>
      </s:c>
    </s:row>
    <s:row r="20" spans="1:40">
      <s:c r="A20" s="415">
        <s:v>10</s:v>
      </s:c>
      <s:c r="B20" s="396"/>
      <s:c r="C20" s="397"/>
      <s:c r="D20" s="397"/>
      <s:c r="E20" s="397"/>
      <s:c r="F20" s="397"/>
      <s:c r="G20" s="397"/>
      <s:c r="H20" s="397"/>
      <s:c r="I20" s="397"/>
      <s:c r="J20" s="397"/>
      <s:c r="K20" s="397"/>
      <s:c r="L20" s="397"/>
      <s:c r="M20" s="397"/>
      <s:c r="N20" s="397"/>
      <s:c r="O20" s="397"/>
      <s:c r="P20" s="397"/>
      <s:c r="Q20" s="397"/>
      <s:c r="R20" s="397"/>
      <s:c r="S20" s="397"/>
      <s:c r="T20" s="397"/>
      <s:c r="U20" s="397"/>
      <s:c r="V20" s="397"/>
      <s:c r="W20" s="397"/>
      <s:c r="X20" s="397"/>
      <s:c r="Y20" s="397"/>
      <s:c r="Z20" s="397"/>
      <s:c r="AA20" s="397"/>
      <s:c r="AB20" s="397"/>
      <s:c r="AC20" s="397"/>
      <s:c r="AD20" s="397"/>
      <s:c r="AE20" s="397"/>
      <s:c r="AF20" s="397"/>
      <s:c r="AG20" s="397"/>
      <s:c r="AH20" s="399"/>
      <s:c r="AI20" s="400">
        <s:v>0</s:v>
      </s:c>
      <s:c r="AJ20" s="401">
        <s:v>0</s:v>
      </s:c>
      <s:c r="AK20" s="402">
        <s:v>0</s:v>
      </s:c>
      <s:c r="AL20" s="402">
        <s:v>0</s:v>
      </s:c>
      <s:c r="AM20" s="402">
        <s:v>0</s:v>
      </s:c>
      <s:c r="AN20" s="403">
        <s:v>0</s:v>
      </s:c>
    </s:row>
    <s:row r="21" spans="1:40">
      <s:c r="A21" s="429">
        <s:v>9</s:v>
      </s:c>
      <s:c r="B21" s="396"/>
      <s:c r="C21" s="405"/>
      <s:c r="D21" s="397"/>
      <s:c r="E21" s="397"/>
      <s:c r="F21" s="397"/>
      <s:c r="G21" s="397"/>
      <s:c r="H21" s="397"/>
      <s:c r="I21" s="397"/>
      <s:c r="J21" s="397"/>
      <s:c r="K21" s="397"/>
      <s:c r="L21" s="397"/>
      <s:c r="M21" s="397"/>
      <s:c r="N21" s="397"/>
      <s:c r="O21" s="397"/>
      <s:c r="P21" s="397"/>
      <s:c r="Q21" s="397"/>
      <s:c r="R21" s="397"/>
      <s:c r="S21" s="397"/>
      <s:c r="T21" s="397"/>
      <s:c r="U21" s="397"/>
      <s:c r="V21" s="397"/>
      <s:c r="W21" s="397"/>
      <s:c r="X21" s="397"/>
      <s:c r="Y21" s="397"/>
      <s:c r="Z21" s="397"/>
      <s:c r="AA21" s="397"/>
      <s:c r="AB21" s="397"/>
      <s:c r="AC21" s="397"/>
      <s:c r="AD21" s="397"/>
      <s:c r="AE21" s="397"/>
      <s:c r="AF21" s="397"/>
      <s:c r="AG21" s="397"/>
      <s:c r="AH21" s="399"/>
      <s:c r="AI21" s="400">
        <s:v>0</s:v>
      </s:c>
      <s:c r="AJ21" s="401">
        <s:v>0</s:v>
      </s:c>
      <s:c r="AK21" s="402">
        <s:v>0</s:v>
      </s:c>
      <s:c r="AL21" s="402">
        <s:v>0</s:v>
      </s:c>
      <s:c r="AM21" s="402">
        <s:v>0</s:v>
      </s:c>
      <s:c r="AN21" s="403">
        <s:v>0</s:v>
      </s:c>
    </s:row>
    <s:row r="22" spans="1:40">
      <s:c r="A22" s="415">
        <s:v>8</s:v>
      </s:c>
      <s:c r="B22" s="396"/>
      <s:c r="C22" s="397"/>
      <s:c r="D22" s="397"/>
      <s:c r="E22" s="397"/>
      <s:c r="F22" s="397"/>
      <s:c r="G22" s="397"/>
      <s:c r="H22" s="397"/>
      <s:c r="I22" s="397"/>
      <s:c r="J22" s="397"/>
      <s:c r="K22" s="397"/>
      <s:c r="L22" s="397"/>
      <s:c r="M22" s="397"/>
      <s:c r="N22" s="397"/>
      <s:c r="O22" s="397"/>
      <s:c r="P22" s="397"/>
      <s:c r="Q22" s="397"/>
      <s:c r="R22" s="397"/>
      <s:c r="S22" s="397"/>
      <s:c r="T22" s="397"/>
      <s:c r="U22" s="397"/>
      <s:c r="V22" s="397"/>
      <s:c r="W22" s="397"/>
      <s:c r="X22" s="397"/>
      <s:c r="Y22" s="397"/>
      <s:c r="Z22" s="397"/>
      <s:c r="AA22" s="397"/>
      <s:c r="AB22" s="397"/>
      <s:c r="AC22" s="397"/>
      <s:c r="AD22" s="397"/>
      <s:c r="AE22" s="397"/>
      <s:c r="AF22" s="397"/>
      <s:c r="AG22" s="397"/>
      <s:c r="AH22" s="399"/>
      <s:c r="AI22" s="400">
        <s:f>COUNTIF(D22:AH22, "&gt;0")</s:f>
        <s:v>0</s:v>
      </s:c>
      <s:c r="AJ22" s="401">
        <s:v>0</s:v>
      </s:c>
      <s:c r="AK22" s="402">
        <s:v>0</s:v>
      </s:c>
      <s:c r="AL22" s="402">
        <s:v>0</s:v>
      </s:c>
      <s:c r="AM22" s="402">
        <s:v>0</s:v>
      </s:c>
      <s:c r="AN22" s="403">
        <s:v>0</s:v>
      </s:c>
    </s:row>
    <s:row r="23" spans="1:40">
      <s:c r="A23" s="415">
        <s:v>7</s:v>
      </s:c>
      <s:c r="B23" s="406"/>
      <s:c r="C23" s="407"/>
      <s:c r="D23" s="407"/>
      <s:c r="E23" s="407"/>
      <s:c r="F23" s="407"/>
      <s:c r="G23" s="407"/>
      <s:c r="H23" s="407"/>
      <s:c r="I23" s="407"/>
      <s:c r="J23" s="407"/>
      <s:c r="K23" s="407"/>
      <s:c r="L23" s="407"/>
      <s:c r="M23" s="407"/>
      <s:c r="N23" s="408"/>
      <s:c r="O23" s="409"/>
      <s:c r="P23" s="409"/>
      <s:c r="Q23" s="409"/>
      <s:c r="R23" s="409"/>
      <s:c r="S23" s="409"/>
      <s:c r="T23" s="409"/>
      <s:c r="U23" s="409"/>
      <s:c r="V23" s="409"/>
      <s:c r="W23" s="410"/>
      <s:c r="X23" s="409"/>
      <s:c r="Y23" s="409"/>
      <s:c r="Z23" s="409"/>
      <s:c r="AA23" s="409"/>
      <s:c r="AB23" s="409"/>
      <s:c r="AC23" s="409"/>
      <s:c r="AD23" s="409"/>
      <s:c r="AE23" s="409"/>
      <s:c r="AF23" s="409"/>
      <s:c r="AG23" s="409"/>
      <s:c r="AH23" s="411"/>
      <s:c r="AI23" s="400">
        <s:f>COUNTIF(D23:AH23, "&gt;0")</s:f>
        <s:v>0</s:v>
      </s:c>
      <s:c r="AJ23" s="401">
        <s:v>0</s:v>
      </s:c>
      <s:c r="AK23" s="402">
        <s:v>0</s:v>
      </s:c>
      <s:c r="AL23" s="402">
        <s:v>0</s:v>
      </s:c>
      <s:c r="AM23" s="402">
        <s:v>0</s:v>
      </s:c>
      <s:c r="AN23" s="403">
        <s:v>0</s:v>
      </s:c>
    </s:row>
    <s:row r="24" spans="1:40" ht="16">
      <s:c r="A24" s="429">
        <s:v>6</s:v>
      </s:c>
      <s:c r="B24" s="412"/>
      <s:c r="C24" s="413"/>
      <s:c r="D24" s="414"/>
      <s:c r="E24" s="414"/>
      <s:c r="F24" s="414"/>
      <s:c r="G24" s="414"/>
      <s:c r="H24" s="409"/>
      <s:c r="I24" s="409"/>
      <s:c r="J24" s="407"/>
      <s:c r="K24" s="407"/>
      <s:c r="L24" s="409"/>
      <s:c r="M24" s="409"/>
      <s:c r="N24" s="407"/>
      <s:c r="O24" s="407"/>
      <s:c r="P24" s="409"/>
      <s:c r="Q24" s="409"/>
      <s:c r="R24" s="407"/>
      <s:c r="S24" s="407"/>
      <s:c r="T24" s="409"/>
      <s:c r="U24" s="409"/>
      <s:c r="V24" s="409"/>
      <s:c r="W24" s="407"/>
      <s:c r="X24" s="407"/>
      <s:c r="Y24" s="409"/>
      <s:c r="Z24" s="409"/>
      <s:c r="AA24" s="409"/>
      <s:c r="AB24" s="407"/>
      <s:c r="AC24" s="407"/>
      <s:c r="AD24" s="409"/>
      <s:c r="AE24" s="409"/>
      <s:c r="AF24" s="409"/>
      <s:c r="AG24" s="409"/>
      <s:c r="AH24" s="407"/>
      <s:c r="AI24" s="400">
        <s:f>COUNTIF(D24:AH24, "&gt;0")</s:f>
        <s:v>0</s:v>
      </s:c>
      <s:c r="AJ24" s="401">
        <s:v>0</s:v>
      </s:c>
      <s:c r="AK24" s="402">
        <s:v>0</s:v>
      </s:c>
      <s:c r="AL24" s="402">
        <s:v>0</s:v>
      </s:c>
      <s:c r="AM24" s="402">
        <s:v>0</s:v>
      </s:c>
      <s:c r="AN24" s="403">
        <s:v>0</s:v>
      </s:c>
    </s:row>
    <s:row r="25" spans="1:40" ht="16">
      <s:c r="A25" s="415">
        <s:v>5</s:v>
      </s:c>
      <s:c r="B25" s="412"/>
      <s:c r="C25" s="413"/>
      <s:c r="D25" s="416"/>
      <s:c r="E25" s="416"/>
      <s:c r="F25" s="416"/>
      <s:c r="G25" s="414"/>
      <s:c r="H25" s="417"/>
      <s:c r="I25" s="417"/>
      <s:c r="J25" s="418"/>
      <s:c r="K25" s="418"/>
      <s:c r="L25" s="418"/>
      <s:c r="M25" s="418"/>
      <s:c r="N25" s="418"/>
      <s:c r="O25" s="418"/>
      <s:c r="P25" s="418"/>
      <s:c r="Q25" s="418"/>
      <s:c r="R25" s="418"/>
      <s:c r="S25" s="407"/>
      <s:c r="T25" s="417"/>
      <s:c r="U25" s="417"/>
      <s:c r="V25" s="417"/>
      <s:c r="W25" s="418"/>
      <s:c r="X25" s="418"/>
      <s:c r="Y25" s="417"/>
      <s:c r="Z25" s="417"/>
      <s:c r="AA25" s="417"/>
      <s:c r="AB25" s="419"/>
      <s:c r="AC25" s="418"/>
      <s:c r="AD25" s="417"/>
      <s:c r="AE25" s="417"/>
      <s:c r="AF25" s="417"/>
      <s:c r="AG25" s="417"/>
      <s:c r="AH25" s="418"/>
      <s:c r="AI25" s="420">
        <s:f>COUNTIF(D25:AH25,"&gt;0")</s:f>
        <s:v>0</s:v>
      </s:c>
      <s:c r="AJ25" s="421">
        <s:f>SUMIF(D25:AH25,"&gt;0")</s:f>
        <s:v>0</s:v>
      </s:c>
      <s:c r="AK25" s="422">
        <s:f>COUNTIF(D25:AH25,"В")</s:f>
        <s:v>0</s:v>
      </s:c>
      <s:c r="AL25" s="422">
        <s:f>COUNTIF(E25:AI25,"о")</s:f>
        <s:v>0</s:v>
      </s:c>
      <s:c r="AM25" s="422">
        <s:f>COUNTIF(F25:AJ25,"б")</s:f>
        <s:v>0</s:v>
      </s:c>
      <s:c r="AN25" s="423">
        <s:v>0</s:v>
      </s:c>
    </s:row>
    <s:row r="26" spans="1:40" ht="16">
      <s:c r="A26" s="415">
        <s:v>4</s:v>
      </s:c>
      <s:c r="B26" s="412"/>
      <s:c r="C26" s="409"/>
      <s:c r="D26" s="414"/>
      <s:c r="E26" s="414"/>
      <s:c r="F26" s="414"/>
      <s:c r="G26" s="414"/>
      <s:c r="H26" s="414"/>
      <s:c r="I26" s="407"/>
      <s:c r="J26" s="409"/>
      <s:c r="K26" s="417"/>
      <s:c r="L26" s="417"/>
      <s:c r="M26" s="417"/>
      <s:c r="N26" s="417"/>
      <s:c r="O26" s="418"/>
      <s:c r="P26" s="418"/>
      <s:c r="Q26" s="417"/>
      <s:c r="R26" s="418"/>
      <s:c r="S26" s="424"/>
      <s:c r="T26" s="418"/>
      <s:c r="U26" s="417"/>
      <s:c r="V26" s="417"/>
      <s:c r="W26" s="417"/>
      <s:c r="X26" s="417"/>
      <s:c r="Y26" s="417"/>
      <s:c r="Z26" s="417"/>
      <s:c r="AA26" s="417"/>
      <s:c r="AB26" s="417"/>
      <s:c r="AC26" s="417"/>
      <s:c r="AD26" s="417"/>
      <s:c r="AE26" s="417"/>
      <s:c r="AF26" s="417"/>
      <s:c r="AG26" s="417"/>
      <s:c r="AH26" s="417"/>
      <s:c r="AI26" s="425">
        <s:f>COUNTIF(D26:AH26, "&gt;0")</s:f>
        <s:v>0</s:v>
      </s:c>
      <s:c r="AJ26" s="426">
        <s:f>SUMIF(D26:AH26,"&gt;0")</s:f>
        <s:v>0</s:v>
      </s:c>
      <s:c r="AK26" s="427">
        <s:f>COUNTIF(D26:AH26, "В")</s:f>
        <s:v>0</s:v>
      </s:c>
      <s:c r="AL26" s="427">
        <s:v>0</s:v>
      </s:c>
      <s:c r="AM26" s="427">
        <s:v>0</s:v>
      </s:c>
      <s:c r="AN26" s="428">
        <s:v>0</s:v>
      </s:c>
    </s:row>
    <s:row r="27" spans="1:40" ht="16">
      <s:c r="A27" s="429">
        <s:v>3</s:v>
      </s:c>
      <s:c r="B27" s="406" t="s">
        <s:v>127</s:v>
      </s:c>
      <s:c r="C27" s="430" t="s">
        <s:v>99</s:v>
      </s:c>
      <s:c r="D27" s="424"/>
      <s:c r="E27" s="418"/>
      <s:c r="F27" s="424" t="s">
        <s:v>129</s:v>
      </s:c>
      <s:c r="G27" s="424" t="s">
        <s:v>128</s:v>
      </s:c>
      <s:c r="H27" s="424" t="s">
        <s:v>80</s:v>
      </s:c>
      <s:c r="I27" s="418" t="s">
        <s:v>128</s:v>
      </s:c>
      <s:c r="J27" s="418" t="s">
        <s:v>128</s:v>
      </s:c>
      <s:c r="K27" s="424" t="s">
        <s:v>128</s:v>
      </s:c>
      <s:c r="L27" s="424" t="s">
        <s:v>128</s:v>
      </s:c>
      <s:c r="M27" s="424" t="s">
        <s:v>128</s:v>
      </s:c>
      <s:c r="N27" s="417" t="s">
        <s:v>80</s:v>
      </s:c>
      <s:c r="O27" s="417" t="s">
        <s:v>80</s:v>
      </s:c>
      <s:c r="P27" s="443">
        <s:v>11</s:v>
      </s:c>
      <s:c r="Q27" s="443">
        <s:v>11</s:v>
      </s:c>
      <s:c r="R27" s="443">
        <s:v>11</s:v>
      </s:c>
      <s:c r="S27" s="418" t="s">
        <s:v>80</s:v>
      </s:c>
      <s:c r="T27" s="418" t="s">
        <s:v>80</s:v>
      </s:c>
      <s:c r="U27" s="442">
        <s:v>11</s:v>
      </s:c>
      <s:c r="V27" s="442">
        <s:v>11</s:v>
      </s:c>
      <s:c r="W27" s="511">
        <s:v>11</s:v>
      </s:c>
      <s:c r="X27" s="447" t="s">
        <s:v>80</s:v>
      </s:c>
      <s:c r="Y27" s="443">
        <s:v>11</s:v>
      </s:c>
      <s:c r="Z27" s="447" t="s">
        <s:v>80</s:v>
      </s:c>
      <s:c r="AA27" s="447" t="s">
        <s:v>80</s:v>
      </s:c>
      <s:c r="AB27" s="443">
        <s:v>11</s:v>
      </s:c>
      <s:c r="AC27" s="443">
        <s:v>11</s:v>
      </s:c>
      <s:c r="AD27" s="424" t="s">
        <s:v>80</s:v>
      </s:c>
      <s:c r="AE27" s="424" t="s">
        <s:v>80</s:v>
      </s:c>
      <s:c r="AF27" s="424" t="s">
        <s:v>80</s:v>
      </s:c>
      <s:c r="AG27" s="442">
        <s:v>11</s:v>
      </s:c>
      <s:c r="AH27" s="442">
        <s:v>11</s:v>
      </s:c>
      <s:c r="AI27" s="431">
        <s:f>COUNTIF(D27:AH27,"&gt;0")</s:f>
        <s:v>11</s:v>
      </s:c>
      <s:c r="AJ27" s="421">
        <s:f>SUMIF(D27:AH27,"&gt;0")</s:f>
        <s:v>121</s:v>
      </s:c>
      <s:c r="AK27" s="422">
        <s:f>COUNTIF(D27:AH27,"В")</s:f>
        <s:v>11</s:v>
      </s:c>
      <s:c r="AL27" s="422">
        <s:f>COUNTIF(E27:AI27,"о")</s:f>
        <s:v>0</s:v>
      </s:c>
      <s:c r="AM27" s="422">
        <s:f>COUNTIF(F27:AJ27,"б")</s:f>
        <s:v>0</s:v>
      </s:c>
      <s:c r="AN27" s="432">
        <s:v>0</s:v>
      </s:c>
    </s:row>
    <s:row r="28" spans="1:40" ht="16">
      <s:c r="A28" s="415">
        <s:v>2</s:v>
      </s:c>
      <s:c r="B28" s="412" t="s">
        <s:v>69</s:v>
      </s:c>
      <s:c r="C28" s="430" t="s">
        <s:v>99</s:v>
      </s:c>
      <s:c r="D28" s="433">
        <s:v>11</s:v>
      </s:c>
      <s:c r="E28" s="424" t="s">
        <s:v>80</s:v>
      </s:c>
      <s:c r="F28" s="424" t="s">
        <s:v>80</s:v>
      </s:c>
      <s:c r="G28" s="433">
        <s:v>11</s:v>
      </s:c>
      <s:c r="H28" s="433">
        <s:v>11</s:v>
      </s:c>
      <s:c r="I28" s="442">
        <s:v>11</s:v>
      </s:c>
      <s:c r="J28" s="442">
        <s:v>11</s:v>
      </s:c>
      <s:c r="K28" s="434">
        <s:v>11</s:v>
      </s:c>
      <s:c r="L28" s="441" t="s">
        <s:v>80</s:v>
      </s:c>
      <s:c r="M28" s="424" t="s">
        <s:v>80</s:v>
      </s:c>
      <s:c r="N28" s="442">
        <s:v>11</s:v>
      </s:c>
      <s:c r="O28" s="445">
        <s:v>11</s:v>
      </s:c>
      <s:c r="P28" s="444" t="s">
        <s:v>80</s:v>
      </s:c>
      <s:c r="Q28" s="441" t="s">
        <s:v>80</s:v>
      </s:c>
      <s:c r="R28" s="441" t="s">
        <s:v>80</s:v>
      </s:c>
      <s:c r="S28" s="443">
        <s:v>11</s:v>
      </s:c>
      <s:c r="T28" s="443">
        <s:v>11</s:v>
      </s:c>
      <s:c r="U28" s="441" t="s">
        <s:v>80</s:v>
      </s:c>
      <s:c r="V28" s="441" t="s">
        <s:v>80</s:v>
      </s:c>
      <s:c r="W28" s="441" t="s">
        <s:v>80</s:v>
      </s:c>
      <s:c r="X28" s="443">
        <s:v>11</s:v>
      </s:c>
      <s:c r="Y28" s="510">
        <s:v>11</s:v>
      </s:c>
      <s:c r="Z28" s="443">
        <s:v>11</s:v>
      </s:c>
      <s:c r="AA28" s="443">
        <s:v>11</s:v>
      </s:c>
      <s:c r="AB28" s="441" t="s">
        <s:v>80</s:v>
      </s:c>
      <s:c r="AC28" s="444" t="s">
        <s:v>80</s:v>
      </s:c>
      <s:c r="AD28" s="445">
        <s:v>11</s:v>
      </s:c>
      <s:c r="AE28" s="442">
        <s:v>11</s:v>
      </s:c>
      <s:c r="AF28" s="445">
        <s:v>11</s:v>
      </s:c>
      <s:c r="AG28" s="417" t="s">
        <s:v>80</s:v>
      </s:c>
      <s:c r="AH28" s="424" t="s">
        <s:v>80</s:v>
      </s:c>
      <s:c r="AI28" s="431">
        <s:f>COUNTIF(D28:AH28,"&gt;0")</s:f>
        <s:v>17</s:v>
      </s:c>
      <s:c r="AJ28" s="421">
        <s:f>SUMIF(D28:AH28,"&gt;0")</s:f>
        <s:v>187</s:v>
      </s:c>
      <s:c r="AK28" s="422">
        <s:f>COUNTIF(D28:AH28,"В")</s:f>
        <s:v>14</s:v>
      </s:c>
      <s:c r="AL28" s="422">
        <s:f>COUNTIF(E28:AI28,"о")</s:f>
        <s:v>0</s:v>
      </s:c>
      <s:c r="AM28" s="422">
        <s:f>COUNTIF(F28:AJ28,"б")</s:f>
        <s:v>0</s:v>
      </s:c>
      <s:c r="AN28" s="423">
        <s:v>0</s:v>
      </s:c>
    </s:row>
    <s:row r="29" spans="1:40" ht="16">
      <s:c r="A29" s="415">
        <s:v>1</s:v>
      </s:c>
      <s:c r="B29" s="435" t="s">
        <s:v>67</s:v>
      </s:c>
      <s:c r="C29" s="430" t="s">
        <s:v>122</s:v>
      </s:c>
      <s:c r="D29" s="433">
        <s:v>8</s:v>
      </s:c>
      <s:c r="E29" s="433">
        <s:v>11</s:v>
      </s:c>
      <s:c r="F29" s="433">
        <s:v>11</s:v>
      </s:c>
      <s:c r="G29" s="443">
        <s:v>9</s:v>
      </s:c>
      <s:c r="H29" s="433">
        <s:v>9</s:v>
      </s:c>
      <s:c r="I29" s="433">
        <s:v>9</s:v>
      </s:c>
      <s:c r="J29" s="433">
        <s:v>9</s:v>
      </s:c>
      <s:c r="K29" s="433">
        <s:v>9</s:v>
      </s:c>
      <s:c r="L29" s="442">
        <s:v>11</s:v>
      </s:c>
      <s:c r="M29" s="433">
        <s:v>11</s:v>
      </s:c>
      <s:c r="N29" s="441" t="s">
        <s:v>80</s:v>
      </s:c>
      <s:c r="O29" s="442">
        <s:v>9</s:v>
      </s:c>
      <s:c r="P29" s="433">
        <s:v>11</s:v>
      </s:c>
      <s:c r="Q29" s="433">
        <s:v>11</s:v>
      </s:c>
      <s:c r="R29" s="433">
        <s:v>11</s:v>
      </s:c>
      <s:c r="S29" s="441" t="s">
        <s:v>80</s:v>
      </s:c>
      <s:c r="T29" s="446" t="s">
        <s:v>131</s:v>
      </s:c>
      <s:c r="U29" s="446" t="s">
        <s:v>131</s:v>
      </s:c>
      <s:c r="V29" s="446" t="s">
        <s:v>131</s:v>
      </s:c>
      <s:c r="W29" s="446" t="s">
        <s:v>131</s:v>
      </s:c>
      <s:c r="X29" s="446" t="s">
        <s:v>131</s:v>
      </s:c>
      <s:c r="Y29" s="446" t="s">
        <s:v>131</s:v>
      </s:c>
      <s:c r="Z29" s="446" t="s">
        <s:v>131</s:v>
      </s:c>
      <s:c r="AA29" s="446" t="s">
        <s:v>131</s:v>
      </s:c>
      <s:c r="AB29" s="446" t="s">
        <s:v>131</s:v>
      </s:c>
      <s:c r="AC29" s="446" t="s">
        <s:v>131</s:v>
      </s:c>
      <s:c r="AD29" s="446" t="s">
        <s:v>131</s:v>
      </s:c>
      <s:c r="AE29" s="446" t="s">
        <s:v>131</s:v>
      </s:c>
      <s:c r="AF29" s="446" t="s">
        <s:v>131</s:v>
      </s:c>
      <s:c r="AG29" s="446" t="s">
        <s:v>131</s:v>
      </s:c>
      <s:c r="AH29" s="441" t="s">
        <s:v>80</s:v>
      </s:c>
      <s:c r="AI29" s="431">
        <s:f>COUNTIF(D29:AH29,"&gt;0")</s:f>
        <s:v>14</s:v>
      </s:c>
      <s:c r="AJ29" s="421">
        <s:f>SUMIF(D29:AH29,"&gt;0")</s:f>
        <s:v>139</s:v>
      </s:c>
      <s:c r="AK29" s="422">
        <s:f>COUNTIF(D29:AH29,"В")</s:f>
        <s:v>3</s:v>
      </s:c>
      <s:c r="AL29" s="422">
        <s:f>COUNTIF(E29:AI29,"о")</s:f>
        <s:v>0</s:v>
      </s:c>
      <s:c r="AM29" s="422">
        <s:f>COUNTIF(F29:AJ29,"б")</s:f>
        <s:v>0</s:v>
      </s:c>
      <s:c r="AN29" s="423">
        <s:v>0</s:v>
      </s:c>
    </s:row>
    <s:row r="30" spans="1:40" ht="19" customHeight="1">
      <s:c r="A30" s="436"/>
      <s:c r="B30" s="437" t="s">
        <s:v>123</s:v>
      </s:c>
      <s:c r="C30" s="438"/>
      <s:c r="D30" s="439">
        <s:f validation_="true">COUNTIF(D11:D29, "&gt;0")</s:f>
        <s:v>2</s:v>
      </s:c>
      <s:c r="E30" s="437">
        <s:f validation_="true">COUNTIF(E11:E29, "&gt;0")</s:f>
        <s:v>1</s:v>
      </s:c>
      <s:c r="F30" s="437">
        <s:f validation_="true">COUNTIF(F11:F29, "&gt;0")</s:f>
        <s:v>1</s:v>
      </s:c>
      <s:c r="G30" s="437">
        <s:f validation_="true">COUNTIF(G11:G29, "&gt;0")</s:f>
        <s:v>2</s:v>
      </s:c>
      <s:c r="H30" s="437">
        <s:f validation_="true">COUNTIF(H11:H29, "&gt;0")</s:f>
        <s:v>2</s:v>
      </s:c>
      <s:c r="I30" s="437">
        <s:f validation_="true">COUNTIF(I11:I29, "&gt;0")</s:f>
        <s:v>2</s:v>
      </s:c>
      <s:c r="J30" s="437">
        <s:f validation_="true">COUNTIF(J11:J29, "&gt;0")</s:f>
        <s:v>2</s:v>
      </s:c>
      <s:c r="K30" s="437">
        <s:f validation_="true">COUNTIF(K11:K29, "&gt;0")</s:f>
        <s:v>2</s:v>
      </s:c>
      <s:c r="L30" s="437">
        <s:f validation_="true">COUNTIF(L11:L29, "&gt;0")</s:f>
        <s:v>1</s:v>
      </s:c>
      <s:c r="M30" s="437">
        <s:f validation_="true">COUNTIF(M11:M29, "&gt;0")</s:f>
        <s:v>1</s:v>
      </s:c>
      <s:c r="N30" s="437">
        <s:f validation_="true">COUNTIF(N11:N29, "&gt;0")</s:f>
        <s:v>1</s:v>
      </s:c>
      <s:c r="O30" s="437">
        <s:f validation_="true">COUNTIF(O11:O29, "&gt;0")</s:f>
        <s:v>2</s:v>
      </s:c>
      <s:c r="P30" s="437">
        <s:f validation_="true">COUNTIF(P11:P29, "&gt;0")</s:f>
        <s:v>2</s:v>
      </s:c>
      <s:c r="Q30" s="437">
        <s:f validation_="true">COUNTIF(Q11:Q29, "&gt;0")</s:f>
        <s:v>2</s:v>
      </s:c>
      <s:c r="R30" s="437">
        <s:f validation_="true">COUNTIF(R11:R29, "&gt;0")</s:f>
        <s:v>2</s:v>
      </s:c>
      <s:c r="S30" s="437">
        <s:f validation_="true">COUNTIF(S11:S29, "&gt;0")</s:f>
        <s:v>1</s:v>
      </s:c>
      <s:c r="T30" s="437">
        <s:f validation_="true">COUNTIF(T11:T29, "&gt;0")</s:f>
        <s:v>1</s:v>
      </s:c>
      <s:c r="U30" s="437">
        <s:f validation_="true">COUNTIF(U11:U29, "&gt;0")</s:f>
        <s:v>1</s:v>
      </s:c>
      <s:c r="V30" s="437">
        <s:f validation_="true">COUNTIF(V11:V29, "&gt;0")</s:f>
        <s:v>1</s:v>
      </s:c>
      <s:c r="W30" s="437">
        <s:f validation_="true">COUNTIF(W11:W29, "&gt;0")</s:f>
        <s:v>1</s:v>
      </s:c>
      <s:c r="X30" s="437">
        <s:f validation_="true">COUNTIF(X11:X29, "&gt;0")</s:f>
        <s:v>1</s:v>
      </s:c>
      <s:c r="Y30" s="437">
        <s:f validation_="true">COUNTIF(Y11:Y29, "&gt;0")</s:f>
        <s:v>2</s:v>
      </s:c>
      <s:c r="Z30" s="437">
        <s:f validation_="true">COUNTIF(Z11:Z29, "&gt;0")</s:f>
        <s:v>1</s:v>
      </s:c>
      <s:c r="AA30" s="437">
        <s:f validation_="true">COUNTIF(AA11:AA29, "&gt;0")</s:f>
        <s:v>1</s:v>
      </s:c>
      <s:c r="AB30" s="437">
        <s:f validation_="true">COUNTIF(AB11:AB29, "&gt;0")</s:f>
        <s:v>1</s:v>
      </s:c>
      <s:c r="AC30" s="437">
        <s:f validation_="true">COUNTIF(AC11:AC29, "&gt;0")</s:f>
        <s:v>1</s:v>
      </s:c>
      <s:c r="AD30" s="437">
        <s:f validation_="true">COUNTIF(AD11:AD29, "&gt;0")</s:f>
        <s:v>1</s:v>
      </s:c>
      <s:c r="AE30" s="437">
        <s:f validation_="true">COUNTIF(AE11:AE29, "&gt;0")</s:f>
        <s:v>1</s:v>
      </s:c>
      <s:c r="AF30" s="437">
        <s:f validation_="true">COUNTIF(AF11:AF29, "&gt;0")</s:f>
        <s:v>1</s:v>
      </s:c>
      <s:c r="AG30" s="437">
        <s:f validation_="true">COUNTIF(AG11:AG29, "&gt;0")</s:f>
        <s:v>1</s:v>
      </s:c>
      <s:c r="AH30" s="437">
        <s:f validation_="true">COUNTIF(AH11:AH29, "&gt;0")</s:f>
        <s:v>1</s:v>
      </s:c>
      <s:c r="AI30" s="440">
        <s:f validation_="true">SUM(AI11:AI29)</s:f>
        <s:v>42</s:v>
      </s:c>
      <s:c r="AJ30" s="440">
        <s:f validation_="true">SUM(AJ11:AJ29)</s:f>
        <s:v>447</s:v>
      </s:c>
      <s:c r="AK30" s="440">
        <s:f validation_="true">SUM(AK11:AK29)</s:f>
        <s:v>28</s:v>
      </s:c>
      <s:c r="AL30" s="440">
        <s:f validation_="true">SUM(AL11:AL29)</s:f>
        <s:v>0</s:v>
      </s:c>
      <s:c r="AM30" s="440">
        <s:f validation_="true">SUM(AM11:AM29)</s:f>
        <s:v>0</s:v>
      </s:c>
      <s:c r="AN30" s="440">
        <s:f validation_="true">SUM(AN11:AN29)</s:f>
        <s:v>0</s:v>
      </s:c>
    </s:row>
    <s:row r="32" spans="1:40">
      <s:c r="P32" s="3" t="s">
        <s:v>124</s:v>
      </s:c>
    </s:row>
    <s:row r="33" ht="14.25" customHeight="1"/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11</vt:i4>
      </vt:variant>
    </vt:vector>
  </ep:HeadingPairs>
  <ep:TitlesOfParts>
    <vt:vector size="11" baseType="lpstr">
      <vt:lpstr>Ялта, Ленина, 18</vt:lpstr>
      <vt:lpstr>Конкурс</vt:lpstr>
      <vt:lpstr>Св. по пок.</vt:lpstr>
      <vt:lpstr>План на день</vt:lpstr>
      <vt:lpstr>Рогалевич</vt:lpstr>
      <vt:lpstr>Уразгильдеева</vt:lpstr>
      <vt:lpstr>Самошкина</vt:lpstr>
      <vt:lpstr>Вед-ть Рогалевич</vt:lpstr>
      <vt:lpstr>Вед-ть Уразгильдеева</vt:lpstr>
      <vt:lpstr>Вед-ть Самошкина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terms="http://purl.org/dc/terms/">
  <cp:lastModifiedBy>lenadacenko@icloud.com</cp:lastModifiedBy>
  <cp:revision>1044</cp:revision>
  <dcterms:created xsi:type="dcterms:W3CDTF">2025-04-30T22:17:27Z</dcterms:created>
  <dcterms:modified xsi:type="dcterms:W3CDTF">2026-04-09T18:45:53Z</dcterms:modified>
</cp:coreProperties>
</file>