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enadacenko/Yandex.Disk-glamejewelry.localized/Glame API/Ежедневно/Ялта/Ежемесячные отчеты/"/>
    </mc:Choice>
  </mc:AlternateContent>
  <xr:revisionPtr revIDLastSave="0" documentId="13_ncr:1_{D15B5F9B-6D71-6343-9D2E-060EAC7D3AE1}" xr6:coauthVersionLast="47" xr6:coauthVersionMax="47" xr10:uidLastSave="{00000000-0000-0000-0000-000000000000}"/>
  <bookViews>
    <workbookView xWindow="0" yWindow="660" windowWidth="25600" windowHeight="15980" firstSheet="4" activeTab="4" xr2:uid="{00000000-000D-0000-FFFF-FFFF00000000}"/>
  </bookViews>
  <sheets>
    <sheet name="Ялта, Ленина, 18" sheetId="1" r:id="rId1"/>
    <sheet name="Св. по пок." sheetId="2" r:id="rId2"/>
    <sheet name="План на день" sheetId="3" r:id="rId3"/>
    <sheet name="Рогалевич И. Е." sheetId="4" r:id="rId4"/>
    <sheet name="Уразгильдеева Е. Р." sheetId="5" r:id="rId5"/>
    <sheet name="Яковенко А. К." sheetId="6" r:id="rId6"/>
    <sheet name="ПК 3" sheetId="7" r:id="rId7"/>
    <sheet name="ПК 4" sheetId="8" r:id="rId8"/>
    <sheet name="Доп сотрудник" sheetId="9" r:id="rId9"/>
    <sheet name="Вед-ть Рогалевич" sheetId="10" r:id="rId10"/>
    <sheet name="Вед-ть Яковенко" sheetId="11" r:id="rId11"/>
    <sheet name="Вед-ть Уразгильдеева" sheetId="12" r:id="rId12"/>
    <sheet name="График" sheetId="13" r:id="rId13"/>
  </sheets>
  <definedNames>
    <definedName name="маг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" i="11" l="1"/>
  <c r="AI31" i="13"/>
  <c r="AJ31" i="13"/>
  <c r="L24" i="11"/>
  <c r="D42" i="1"/>
  <c r="D43" i="1"/>
  <c r="D44" i="1"/>
  <c r="D45" i="1"/>
  <c r="D46" i="1"/>
  <c r="D47" i="1"/>
  <c r="H47" i="1" s="1"/>
  <c r="D48" i="1"/>
  <c r="F48" i="1" s="1"/>
  <c r="D49" i="1"/>
  <c r="F49" i="1" s="1"/>
  <c r="D50" i="1"/>
  <c r="D51" i="1"/>
  <c r="D52" i="1"/>
  <c r="F24" i="11"/>
  <c r="D38" i="6"/>
  <c r="D45" i="5"/>
  <c r="AN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AM30" i="13"/>
  <c r="AL30" i="13"/>
  <c r="AK30" i="13"/>
  <c r="AJ30" i="13"/>
  <c r="AI30" i="13"/>
  <c r="AK29" i="13"/>
  <c r="AJ29" i="13"/>
  <c r="AM29" i="13" s="1"/>
  <c r="AI29" i="13"/>
  <c r="AL29" i="13" s="1"/>
  <c r="AK28" i="13"/>
  <c r="AJ28" i="13"/>
  <c r="E16" i="12" s="1"/>
  <c r="K24" i="12" s="1"/>
  <c r="AI28" i="13"/>
  <c r="AL28" i="13" s="1"/>
  <c r="AK27" i="13"/>
  <c r="AJ27" i="13"/>
  <c r="E16" i="11" s="1"/>
  <c r="K24" i="11" s="1"/>
  <c r="AI27" i="13"/>
  <c r="AL27" i="13" s="1"/>
  <c r="AK26" i="13"/>
  <c r="AJ26" i="13"/>
  <c r="AI26" i="13"/>
  <c r="AM25" i="13"/>
  <c r="AL25" i="13"/>
  <c r="AK25" i="13"/>
  <c r="AJ25" i="13"/>
  <c r="AI25" i="13"/>
  <c r="AI24" i="13"/>
  <c r="AI23" i="13"/>
  <c r="AI22" i="13"/>
  <c r="B7" i="13"/>
  <c r="N25" i="12"/>
  <c r="J16" i="12"/>
  <c r="L12" i="12"/>
  <c r="J4" i="12" s="1"/>
  <c r="L4" i="12"/>
  <c r="F4" i="12"/>
  <c r="A4" i="12"/>
  <c r="B24" i="12" s="1"/>
  <c r="D2" i="12"/>
  <c r="A2" i="12"/>
  <c r="C16" i="12" s="1"/>
  <c r="A1" i="12"/>
  <c r="G24" i="11"/>
  <c r="D19" i="11" s="1"/>
  <c r="H4" i="11" s="1"/>
  <c r="J16" i="11"/>
  <c r="B16" i="11"/>
  <c r="L12" i="11"/>
  <c r="L4" i="11"/>
  <c r="J4" i="11"/>
  <c r="F4" i="11"/>
  <c r="A4" i="11"/>
  <c r="B24" i="11" s="1"/>
  <c r="D2" i="11"/>
  <c r="A2" i="11"/>
  <c r="C16" i="11" s="1"/>
  <c r="A1" i="11"/>
  <c r="N24" i="10"/>
  <c r="G24" i="10"/>
  <c r="C24" i="10"/>
  <c r="B23" i="10"/>
  <c r="I23" i="10" s="1"/>
  <c r="G16" i="10"/>
  <c r="J15" i="10"/>
  <c r="E15" i="10"/>
  <c r="G15" i="10" s="1"/>
  <c r="D11" i="10" s="1"/>
  <c r="G4" i="10" s="1"/>
  <c r="B15" i="10"/>
  <c r="L11" i="10"/>
  <c r="J4" i="10" s="1"/>
  <c r="L4" i="10"/>
  <c r="A4" i="10"/>
  <c r="D2" i="10"/>
  <c r="A2" i="10"/>
  <c r="C23" i="10" s="1"/>
  <c r="J23" i="10" s="1"/>
  <c r="A1" i="10"/>
  <c r="M48" i="9"/>
  <c r="L48" i="9"/>
  <c r="K48" i="9"/>
  <c r="J48" i="9"/>
  <c r="I48" i="9"/>
  <c r="N48" i="9" s="1"/>
  <c r="J20" i="9" s="1"/>
  <c r="G48" i="9"/>
  <c r="H48" i="9" s="1"/>
  <c r="E48" i="9"/>
  <c r="F48" i="9" s="1"/>
  <c r="J11" i="9" s="1"/>
  <c r="D48" i="9"/>
  <c r="U47" i="9"/>
  <c r="T47" i="9"/>
  <c r="S47" i="9"/>
  <c r="N47" i="9"/>
  <c r="J47" i="9"/>
  <c r="H47" i="9"/>
  <c r="F47" i="9"/>
  <c r="U46" i="9"/>
  <c r="T46" i="9"/>
  <c r="S46" i="9"/>
  <c r="N46" i="9"/>
  <c r="J46" i="9"/>
  <c r="H46" i="9"/>
  <c r="F46" i="9"/>
  <c r="U45" i="9"/>
  <c r="T45" i="9"/>
  <c r="S45" i="9"/>
  <c r="N45" i="9"/>
  <c r="J45" i="9"/>
  <c r="H45" i="9"/>
  <c r="F45" i="9"/>
  <c r="U44" i="9"/>
  <c r="T44" i="9"/>
  <c r="S44" i="9"/>
  <c r="N44" i="9"/>
  <c r="J44" i="9"/>
  <c r="H44" i="9"/>
  <c r="F44" i="9"/>
  <c r="U43" i="9"/>
  <c r="T43" i="9"/>
  <c r="S43" i="9"/>
  <c r="N43" i="9"/>
  <c r="J43" i="9"/>
  <c r="H43" i="9"/>
  <c r="F43" i="9"/>
  <c r="U42" i="9"/>
  <c r="T42" i="9"/>
  <c r="S42" i="9"/>
  <c r="N42" i="9"/>
  <c r="J42" i="9"/>
  <c r="H42" i="9"/>
  <c r="F42" i="9"/>
  <c r="U41" i="9"/>
  <c r="T41" i="9"/>
  <c r="S41" i="9"/>
  <c r="N41" i="9"/>
  <c r="J41" i="9"/>
  <c r="H41" i="9"/>
  <c r="F41" i="9"/>
  <c r="U40" i="9"/>
  <c r="T40" i="9"/>
  <c r="S40" i="9"/>
  <c r="N40" i="9"/>
  <c r="J40" i="9"/>
  <c r="H40" i="9"/>
  <c r="F40" i="9"/>
  <c r="U39" i="9"/>
  <c r="T39" i="9"/>
  <c r="S39" i="9"/>
  <c r="N39" i="9"/>
  <c r="J39" i="9"/>
  <c r="H39" i="9"/>
  <c r="F39" i="9"/>
  <c r="U38" i="9"/>
  <c r="T38" i="9"/>
  <c r="S38" i="9"/>
  <c r="N38" i="9"/>
  <c r="J38" i="9"/>
  <c r="H38" i="9"/>
  <c r="F38" i="9"/>
  <c r="U37" i="9"/>
  <c r="T37" i="9"/>
  <c r="S37" i="9"/>
  <c r="N37" i="9"/>
  <c r="J37" i="9"/>
  <c r="H37" i="9"/>
  <c r="F37" i="9"/>
  <c r="U36" i="9"/>
  <c r="T36" i="9"/>
  <c r="S36" i="9"/>
  <c r="N36" i="9"/>
  <c r="J36" i="9"/>
  <c r="H36" i="9"/>
  <c r="F36" i="9"/>
  <c r="U35" i="9"/>
  <c r="T35" i="9"/>
  <c r="S35" i="9"/>
  <c r="N35" i="9"/>
  <c r="J35" i="9"/>
  <c r="H35" i="9"/>
  <c r="F35" i="9"/>
  <c r="U34" i="9"/>
  <c r="T34" i="9"/>
  <c r="S34" i="9"/>
  <c r="N34" i="9"/>
  <c r="J34" i="9"/>
  <c r="H34" i="9"/>
  <c r="F34" i="9"/>
  <c r="U33" i="9"/>
  <c r="T33" i="9"/>
  <c r="S33" i="9"/>
  <c r="N33" i="9"/>
  <c r="J33" i="9"/>
  <c r="H33" i="9"/>
  <c r="F33" i="9"/>
  <c r="U32" i="9"/>
  <c r="T32" i="9"/>
  <c r="S32" i="9"/>
  <c r="N32" i="9"/>
  <c r="J32" i="9"/>
  <c r="H32" i="9"/>
  <c r="F32" i="9"/>
  <c r="U31" i="9"/>
  <c r="T31" i="9"/>
  <c r="S31" i="9"/>
  <c r="N31" i="9"/>
  <c r="J31" i="9"/>
  <c r="H31" i="9"/>
  <c r="F31" i="9"/>
  <c r="U30" i="9"/>
  <c r="T30" i="9"/>
  <c r="S30" i="9"/>
  <c r="N30" i="9"/>
  <c r="J30" i="9"/>
  <c r="H30" i="9"/>
  <c r="F30" i="9"/>
  <c r="U29" i="9"/>
  <c r="T29" i="9"/>
  <c r="S29" i="9"/>
  <c r="N29" i="9"/>
  <c r="J29" i="9"/>
  <c r="H29" i="9"/>
  <c r="F29" i="9"/>
  <c r="U28" i="9"/>
  <c r="T28" i="9"/>
  <c r="S28" i="9"/>
  <c r="N28" i="9"/>
  <c r="J28" i="9"/>
  <c r="H28" i="9"/>
  <c r="F28" i="9"/>
  <c r="U27" i="9"/>
  <c r="T27" i="9"/>
  <c r="S27" i="9"/>
  <c r="N27" i="9"/>
  <c r="J27" i="9"/>
  <c r="H27" i="9"/>
  <c r="F27" i="9"/>
  <c r="U26" i="9"/>
  <c r="T26" i="9"/>
  <c r="S26" i="9"/>
  <c r="N26" i="9"/>
  <c r="J26" i="9"/>
  <c r="H26" i="9"/>
  <c r="F26" i="9"/>
  <c r="N25" i="9"/>
  <c r="J25" i="9"/>
  <c r="H25" i="9"/>
  <c r="F25" i="9"/>
  <c r="I20" i="9"/>
  <c r="N19" i="9"/>
  <c r="L19" i="9"/>
  <c r="P19" i="9" s="1"/>
  <c r="Q19" i="9" s="1"/>
  <c r="K19" i="9"/>
  <c r="T18" i="9"/>
  <c r="N18" i="9"/>
  <c r="L18" i="9"/>
  <c r="P18" i="9" s="1"/>
  <c r="Q18" i="9" s="1"/>
  <c r="K18" i="9"/>
  <c r="P17" i="9"/>
  <c r="Q17" i="9" s="1"/>
  <c r="J17" i="9"/>
  <c r="L17" i="9" s="1"/>
  <c r="P14" i="9"/>
  <c r="Q14" i="9" s="1"/>
  <c r="N14" i="9"/>
  <c r="I14" i="9"/>
  <c r="K14" i="9" s="1"/>
  <c r="L13" i="9"/>
  <c r="P13" i="9" s="1"/>
  <c r="Q13" i="9" s="1"/>
  <c r="J13" i="9"/>
  <c r="T12" i="9"/>
  <c r="L12" i="9"/>
  <c r="P12" i="9" s="1"/>
  <c r="Q12" i="9" s="1"/>
  <c r="J12" i="9"/>
  <c r="I12" i="9"/>
  <c r="K11" i="9"/>
  <c r="I11" i="9"/>
  <c r="O10" i="9"/>
  <c r="L10" i="9"/>
  <c r="P10" i="9" s="1"/>
  <c r="Q10" i="9" s="1"/>
  <c r="J10" i="9"/>
  <c r="O9" i="9"/>
  <c r="L9" i="9"/>
  <c r="L11" i="9" s="1"/>
  <c r="P11" i="9" s="1"/>
  <c r="Q11" i="9" s="1"/>
  <c r="J9" i="9"/>
  <c r="L8" i="9"/>
  <c r="P8" i="9" s="1"/>
  <c r="Q8" i="9" s="1"/>
  <c r="J8" i="9"/>
  <c r="J3" i="9"/>
  <c r="B1" i="9"/>
  <c r="M48" i="8"/>
  <c r="J19" i="8" s="1"/>
  <c r="L48" i="8"/>
  <c r="K48" i="8"/>
  <c r="I48" i="8"/>
  <c r="N48" i="8" s="1"/>
  <c r="J20" i="8" s="1"/>
  <c r="H48" i="8"/>
  <c r="J10" i="8" s="1"/>
  <c r="G48" i="8"/>
  <c r="E48" i="8"/>
  <c r="F48" i="8" s="1"/>
  <c r="J11" i="8" s="1"/>
  <c r="N11" i="8" s="1"/>
  <c r="D48" i="8"/>
  <c r="U47" i="8"/>
  <c r="T47" i="8"/>
  <c r="N49" i="2" s="1"/>
  <c r="S47" i="8"/>
  <c r="N47" i="8"/>
  <c r="J47" i="8"/>
  <c r="H47" i="8"/>
  <c r="F47" i="8"/>
  <c r="U46" i="8"/>
  <c r="T46" i="8"/>
  <c r="S46" i="8"/>
  <c r="N46" i="8"/>
  <c r="J46" i="8"/>
  <c r="H46" i="8"/>
  <c r="F46" i="8"/>
  <c r="U45" i="8"/>
  <c r="T45" i="8"/>
  <c r="S45" i="8"/>
  <c r="N45" i="8"/>
  <c r="J45" i="8"/>
  <c r="H45" i="8"/>
  <c r="F45" i="8"/>
  <c r="N44" i="8"/>
  <c r="J44" i="8"/>
  <c r="H44" i="8"/>
  <c r="F44" i="8"/>
  <c r="N43" i="8"/>
  <c r="J43" i="8"/>
  <c r="H43" i="8"/>
  <c r="F43" i="8"/>
  <c r="N42" i="8"/>
  <c r="J42" i="8"/>
  <c r="H42" i="8"/>
  <c r="F42" i="8"/>
  <c r="N41" i="8"/>
  <c r="J41" i="8"/>
  <c r="H41" i="8"/>
  <c r="F41" i="8"/>
  <c r="N40" i="8"/>
  <c r="J40" i="8"/>
  <c r="H40" i="8"/>
  <c r="F40" i="8"/>
  <c r="N39" i="8"/>
  <c r="J39" i="8"/>
  <c r="H39" i="8"/>
  <c r="F39" i="8"/>
  <c r="N38" i="8"/>
  <c r="J38" i="8"/>
  <c r="H38" i="8"/>
  <c r="F38" i="8"/>
  <c r="N37" i="8"/>
  <c r="J37" i="8"/>
  <c r="H37" i="8"/>
  <c r="F37" i="8"/>
  <c r="N36" i="8"/>
  <c r="J36" i="8"/>
  <c r="H36" i="8"/>
  <c r="F36" i="8"/>
  <c r="N35" i="8"/>
  <c r="J35" i="8"/>
  <c r="H35" i="8"/>
  <c r="F35" i="8"/>
  <c r="N34" i="8"/>
  <c r="J34" i="8"/>
  <c r="H34" i="8"/>
  <c r="F34" i="8"/>
  <c r="N33" i="8"/>
  <c r="J33" i="8"/>
  <c r="H33" i="8"/>
  <c r="F33" i="8"/>
  <c r="N32" i="8"/>
  <c r="J32" i="8"/>
  <c r="H32" i="8"/>
  <c r="F32" i="8"/>
  <c r="N31" i="8"/>
  <c r="J31" i="8"/>
  <c r="H31" i="8"/>
  <c r="F31" i="8"/>
  <c r="N30" i="8"/>
  <c r="J30" i="8"/>
  <c r="H30" i="8"/>
  <c r="F30" i="8"/>
  <c r="N29" i="8"/>
  <c r="J29" i="8"/>
  <c r="H29" i="8"/>
  <c r="F29" i="8"/>
  <c r="N28" i="8"/>
  <c r="J28" i="8"/>
  <c r="H28" i="8"/>
  <c r="N27" i="8"/>
  <c r="J27" i="8"/>
  <c r="H27" i="8"/>
  <c r="N26" i="8"/>
  <c r="J26" i="8"/>
  <c r="H26" i="8"/>
  <c r="F26" i="8"/>
  <c r="N25" i="8"/>
  <c r="J25" i="8"/>
  <c r="H25" i="8"/>
  <c r="F25" i="8"/>
  <c r="I20" i="8"/>
  <c r="T18" i="8"/>
  <c r="Q18" i="8"/>
  <c r="P18" i="8"/>
  <c r="N18" i="8"/>
  <c r="L18" i="8"/>
  <c r="M18" i="8" s="1"/>
  <c r="K18" i="8"/>
  <c r="J17" i="8"/>
  <c r="Q15" i="8"/>
  <c r="L15" i="8"/>
  <c r="P15" i="8" s="1"/>
  <c r="J15" i="8"/>
  <c r="L13" i="8"/>
  <c r="P13" i="8" s="1"/>
  <c r="Q13" i="8" s="1"/>
  <c r="T12" i="8"/>
  <c r="I12" i="8"/>
  <c r="K11" i="8"/>
  <c r="I11" i="8"/>
  <c r="O10" i="8"/>
  <c r="L10" i="8"/>
  <c r="P10" i="8" s="1"/>
  <c r="Q10" i="8" s="1"/>
  <c r="I10" i="8"/>
  <c r="O9" i="8"/>
  <c r="L9" i="8"/>
  <c r="L8" i="8"/>
  <c r="P8" i="8" s="1"/>
  <c r="Q8" i="8" s="1"/>
  <c r="J3" i="8"/>
  <c r="B1" i="8"/>
  <c r="M48" i="7"/>
  <c r="J19" i="7" s="1"/>
  <c r="L19" i="7" s="1"/>
  <c r="P19" i="7" s="1"/>
  <c r="L48" i="7"/>
  <c r="K48" i="7"/>
  <c r="J48" i="7"/>
  <c r="J12" i="7" s="1"/>
  <c r="I48" i="7"/>
  <c r="N48" i="7" s="1"/>
  <c r="J20" i="7" s="1"/>
  <c r="G48" i="7"/>
  <c r="H48" i="7" s="1"/>
  <c r="J10" i="7" s="1"/>
  <c r="L10" i="7" s="1"/>
  <c r="P10" i="7" s="1"/>
  <c r="E48" i="7"/>
  <c r="F48" i="7" s="1"/>
  <c r="J11" i="7" s="1"/>
  <c r="N11" i="7" s="1"/>
  <c r="D48" i="7"/>
  <c r="U47" i="7"/>
  <c r="T47" i="7"/>
  <c r="S47" i="7"/>
  <c r="N47" i="7"/>
  <c r="J47" i="7"/>
  <c r="H47" i="7"/>
  <c r="F47" i="7"/>
  <c r="U46" i="7"/>
  <c r="T46" i="7"/>
  <c r="S46" i="7"/>
  <c r="N46" i="7"/>
  <c r="J46" i="7"/>
  <c r="H46" i="7"/>
  <c r="F46" i="7"/>
  <c r="U45" i="7"/>
  <c r="T45" i="7"/>
  <c r="S45" i="7"/>
  <c r="N45" i="7"/>
  <c r="J45" i="7"/>
  <c r="H45" i="7"/>
  <c r="F45" i="7"/>
  <c r="U44" i="7"/>
  <c r="T44" i="7"/>
  <c r="S44" i="7"/>
  <c r="N44" i="7"/>
  <c r="J44" i="7"/>
  <c r="H44" i="7"/>
  <c r="F44" i="7"/>
  <c r="U43" i="7"/>
  <c r="T43" i="7"/>
  <c r="S43" i="7"/>
  <c r="N43" i="7"/>
  <c r="J43" i="7"/>
  <c r="H43" i="7"/>
  <c r="F43" i="7"/>
  <c r="U42" i="7"/>
  <c r="T42" i="7"/>
  <c r="S42" i="7"/>
  <c r="N42" i="7"/>
  <c r="J42" i="7"/>
  <c r="H42" i="7"/>
  <c r="F42" i="7"/>
  <c r="U41" i="7"/>
  <c r="T41" i="7"/>
  <c r="S41" i="7"/>
  <c r="N41" i="7"/>
  <c r="J41" i="7"/>
  <c r="H41" i="7"/>
  <c r="F41" i="7"/>
  <c r="U40" i="7"/>
  <c r="T40" i="7"/>
  <c r="S40" i="7"/>
  <c r="N40" i="7"/>
  <c r="J40" i="7"/>
  <c r="H40" i="7"/>
  <c r="F40" i="7"/>
  <c r="U39" i="7"/>
  <c r="T39" i="7"/>
  <c r="S39" i="7"/>
  <c r="N39" i="7"/>
  <c r="J39" i="7"/>
  <c r="H39" i="7"/>
  <c r="F39" i="7"/>
  <c r="U38" i="7"/>
  <c r="T38" i="7"/>
  <c r="S38" i="7"/>
  <c r="N38" i="7"/>
  <c r="J38" i="7"/>
  <c r="H38" i="7"/>
  <c r="F38" i="7"/>
  <c r="U37" i="7"/>
  <c r="T37" i="7"/>
  <c r="S37" i="7"/>
  <c r="N37" i="7"/>
  <c r="J37" i="7"/>
  <c r="H37" i="7"/>
  <c r="F37" i="7"/>
  <c r="U36" i="7"/>
  <c r="T36" i="7"/>
  <c r="S36" i="7"/>
  <c r="N36" i="7"/>
  <c r="J36" i="7"/>
  <c r="H36" i="7"/>
  <c r="F36" i="7"/>
  <c r="U35" i="7"/>
  <c r="T35" i="7"/>
  <c r="S35" i="7"/>
  <c r="N35" i="7"/>
  <c r="J35" i="7"/>
  <c r="H35" i="7"/>
  <c r="F35" i="7"/>
  <c r="U34" i="7"/>
  <c r="T34" i="7"/>
  <c r="S34" i="7"/>
  <c r="N34" i="7"/>
  <c r="J34" i="7"/>
  <c r="H34" i="7"/>
  <c r="F34" i="7"/>
  <c r="U33" i="7"/>
  <c r="T33" i="7"/>
  <c r="S33" i="7"/>
  <c r="N33" i="7"/>
  <c r="J33" i="7"/>
  <c r="H33" i="7"/>
  <c r="F33" i="7"/>
  <c r="U32" i="7"/>
  <c r="T32" i="7"/>
  <c r="S32" i="7"/>
  <c r="N32" i="7"/>
  <c r="J32" i="7"/>
  <c r="H32" i="7"/>
  <c r="F32" i="7"/>
  <c r="U31" i="7"/>
  <c r="T31" i="7"/>
  <c r="S31" i="7"/>
  <c r="N31" i="7"/>
  <c r="J31" i="7"/>
  <c r="H31" i="7"/>
  <c r="F31" i="7"/>
  <c r="U30" i="7"/>
  <c r="T30" i="7"/>
  <c r="S30" i="7"/>
  <c r="N30" i="7"/>
  <c r="J30" i="7"/>
  <c r="H30" i="7"/>
  <c r="F30" i="7"/>
  <c r="U29" i="7"/>
  <c r="T29" i="7"/>
  <c r="S29" i="7"/>
  <c r="N29" i="7"/>
  <c r="J29" i="7"/>
  <c r="H29" i="7"/>
  <c r="F29" i="7"/>
  <c r="U28" i="7"/>
  <c r="T28" i="7"/>
  <c r="S28" i="7"/>
  <c r="N28" i="7"/>
  <c r="J28" i="7"/>
  <c r="H28" i="7"/>
  <c r="F28" i="7"/>
  <c r="U27" i="7"/>
  <c r="T27" i="7"/>
  <c r="S27" i="7"/>
  <c r="N27" i="7"/>
  <c r="J27" i="7"/>
  <c r="H27" i="7"/>
  <c r="F27" i="7"/>
  <c r="U26" i="7"/>
  <c r="T26" i="7"/>
  <c r="S26" i="7"/>
  <c r="N26" i="7"/>
  <c r="J26" i="7"/>
  <c r="H26" i="7"/>
  <c r="F26" i="7"/>
  <c r="N25" i="7"/>
  <c r="J25" i="7"/>
  <c r="H25" i="7"/>
  <c r="F25" i="7"/>
  <c r="I20" i="7"/>
  <c r="Q19" i="7"/>
  <c r="N19" i="7"/>
  <c r="K19" i="7"/>
  <c r="T18" i="7"/>
  <c r="N18" i="7"/>
  <c r="L18" i="7"/>
  <c r="K18" i="7"/>
  <c r="J17" i="7"/>
  <c r="J13" i="7"/>
  <c r="T12" i="7"/>
  <c r="P12" i="7"/>
  <c r="Q12" i="7" s="1"/>
  <c r="N12" i="7"/>
  <c r="L12" i="7"/>
  <c r="I12" i="7"/>
  <c r="I11" i="7"/>
  <c r="Q10" i="7"/>
  <c r="O10" i="7"/>
  <c r="N10" i="7"/>
  <c r="M10" i="7"/>
  <c r="I10" i="7"/>
  <c r="O9" i="7"/>
  <c r="L9" i="7"/>
  <c r="L11" i="7" s="1"/>
  <c r="P11" i="7" s="1"/>
  <c r="Q11" i="7" s="1"/>
  <c r="J9" i="7"/>
  <c r="L8" i="7"/>
  <c r="P8" i="7" s="1"/>
  <c r="Q8" i="7" s="1"/>
  <c r="J8" i="7"/>
  <c r="J3" i="7"/>
  <c r="B1" i="7"/>
  <c r="M48" i="6"/>
  <c r="J19" i="6" s="1"/>
  <c r="L48" i="6"/>
  <c r="K48" i="6"/>
  <c r="I48" i="6"/>
  <c r="J17" i="6" s="1"/>
  <c r="G48" i="6"/>
  <c r="N48" i="6" s="1"/>
  <c r="J20" i="6" s="1"/>
  <c r="E48" i="6"/>
  <c r="U47" i="6"/>
  <c r="T47" i="6"/>
  <c r="S47" i="6"/>
  <c r="N47" i="6"/>
  <c r="J47" i="6"/>
  <c r="H47" i="6"/>
  <c r="F47" i="6"/>
  <c r="U46" i="6"/>
  <c r="T46" i="6"/>
  <c r="S46" i="6"/>
  <c r="N46" i="6"/>
  <c r="J46" i="6"/>
  <c r="H46" i="6"/>
  <c r="F46" i="6"/>
  <c r="U45" i="6"/>
  <c r="T45" i="6"/>
  <c r="S45" i="6"/>
  <c r="N45" i="6"/>
  <c r="J45" i="6"/>
  <c r="H45" i="6"/>
  <c r="F45" i="6"/>
  <c r="N44" i="6"/>
  <c r="J44" i="6"/>
  <c r="H44" i="6"/>
  <c r="F44" i="6"/>
  <c r="N43" i="6"/>
  <c r="J43" i="6"/>
  <c r="H43" i="6"/>
  <c r="F43" i="6"/>
  <c r="N42" i="6"/>
  <c r="J42" i="6"/>
  <c r="H42" i="6"/>
  <c r="F42" i="6"/>
  <c r="N41" i="6"/>
  <c r="J41" i="6"/>
  <c r="H41" i="6"/>
  <c r="F41" i="6"/>
  <c r="N40" i="6"/>
  <c r="J40" i="6"/>
  <c r="H40" i="6"/>
  <c r="F40" i="6"/>
  <c r="N39" i="6"/>
  <c r="J39" i="6"/>
  <c r="H39" i="6"/>
  <c r="F39" i="6"/>
  <c r="U38" i="6"/>
  <c r="T38" i="6"/>
  <c r="S38" i="6"/>
  <c r="N38" i="6"/>
  <c r="J38" i="6"/>
  <c r="H38" i="6"/>
  <c r="F38" i="6"/>
  <c r="U37" i="6"/>
  <c r="T37" i="6"/>
  <c r="S37" i="6"/>
  <c r="N37" i="6"/>
  <c r="J37" i="6"/>
  <c r="H37" i="6"/>
  <c r="F37" i="6"/>
  <c r="T36" i="6"/>
  <c r="S36" i="6"/>
  <c r="N36" i="6"/>
  <c r="J36" i="6"/>
  <c r="H36" i="6"/>
  <c r="F36" i="6"/>
  <c r="T35" i="6"/>
  <c r="N35" i="6"/>
  <c r="J35" i="6"/>
  <c r="F35" i="6"/>
  <c r="D35" i="6"/>
  <c r="H35" i="6" s="1"/>
  <c r="U34" i="6"/>
  <c r="T34" i="6"/>
  <c r="S34" i="6"/>
  <c r="N34" i="6"/>
  <c r="J34" i="6"/>
  <c r="F34" i="6"/>
  <c r="D34" i="6"/>
  <c r="U33" i="6"/>
  <c r="T33" i="6"/>
  <c r="N33" i="6"/>
  <c r="J33" i="6"/>
  <c r="H33" i="6"/>
  <c r="D33" i="6"/>
  <c r="F33" i="6" s="1"/>
  <c r="U32" i="6"/>
  <c r="T32" i="6"/>
  <c r="S32" i="6"/>
  <c r="N32" i="6"/>
  <c r="J32" i="6"/>
  <c r="H32" i="6"/>
  <c r="F32" i="6"/>
  <c r="U31" i="6"/>
  <c r="T31" i="6"/>
  <c r="S31" i="6"/>
  <c r="N31" i="6"/>
  <c r="J31" i="6"/>
  <c r="H31" i="6"/>
  <c r="F31" i="6"/>
  <c r="U30" i="6"/>
  <c r="T30" i="6"/>
  <c r="S30" i="6"/>
  <c r="N30" i="6"/>
  <c r="J30" i="6"/>
  <c r="H30" i="6"/>
  <c r="F30" i="6"/>
  <c r="T29" i="6"/>
  <c r="N29" i="6"/>
  <c r="J29" i="6"/>
  <c r="D29" i="6"/>
  <c r="H29" i="6" s="1"/>
  <c r="U28" i="6"/>
  <c r="T28" i="6"/>
  <c r="N28" i="6"/>
  <c r="J28" i="6"/>
  <c r="D28" i="6"/>
  <c r="U27" i="6"/>
  <c r="T27" i="6"/>
  <c r="N27" i="6"/>
  <c r="J27" i="6"/>
  <c r="H27" i="6"/>
  <c r="D27" i="6"/>
  <c r="S27" i="6" s="1"/>
  <c r="U26" i="6"/>
  <c r="T26" i="6"/>
  <c r="N26" i="6"/>
  <c r="J26" i="6"/>
  <c r="D26" i="6"/>
  <c r="H26" i="6" s="1"/>
  <c r="U25" i="6"/>
  <c r="T25" i="6"/>
  <c r="S25" i="6"/>
  <c r="N25" i="6"/>
  <c r="J25" i="6"/>
  <c r="H25" i="6"/>
  <c r="F25" i="6"/>
  <c r="D25" i="6"/>
  <c r="I20" i="6"/>
  <c r="T18" i="6"/>
  <c r="P18" i="6"/>
  <c r="Q18" i="6" s="1"/>
  <c r="N18" i="6"/>
  <c r="M18" i="6"/>
  <c r="L18" i="6"/>
  <c r="K18" i="6"/>
  <c r="T12" i="6"/>
  <c r="I12" i="6"/>
  <c r="I11" i="6"/>
  <c r="O10" i="6"/>
  <c r="O9" i="6"/>
  <c r="J3" i="6"/>
  <c r="B1" i="6"/>
  <c r="N50" i="5"/>
  <c r="J20" i="5" s="1"/>
  <c r="K20" i="5" s="1"/>
  <c r="M50" i="5"/>
  <c r="J19" i="5" s="1"/>
  <c r="L50" i="5"/>
  <c r="K50" i="5"/>
  <c r="I50" i="5"/>
  <c r="G50" i="5"/>
  <c r="J50" i="5" s="1"/>
  <c r="E50" i="5"/>
  <c r="U49" i="5"/>
  <c r="T49" i="5"/>
  <c r="S49" i="5"/>
  <c r="N49" i="5"/>
  <c r="J49" i="5"/>
  <c r="H49" i="5"/>
  <c r="F49" i="5"/>
  <c r="U48" i="5"/>
  <c r="T48" i="5"/>
  <c r="L49" i="2" s="1"/>
  <c r="S48" i="5"/>
  <c r="J49" i="2" s="1"/>
  <c r="N48" i="5"/>
  <c r="J48" i="5"/>
  <c r="H48" i="5"/>
  <c r="F48" i="5"/>
  <c r="U47" i="5"/>
  <c r="T47" i="5"/>
  <c r="K49" i="2" s="1"/>
  <c r="S47" i="5"/>
  <c r="N47" i="5"/>
  <c r="J47" i="5"/>
  <c r="H47" i="5"/>
  <c r="F47" i="5"/>
  <c r="U46" i="5"/>
  <c r="T46" i="5"/>
  <c r="S46" i="5"/>
  <c r="N46" i="5"/>
  <c r="J46" i="5"/>
  <c r="K42" i="2" s="1"/>
  <c r="H46" i="5"/>
  <c r="F46" i="5"/>
  <c r="U45" i="5"/>
  <c r="T45" i="5"/>
  <c r="S45" i="5"/>
  <c r="N45" i="5"/>
  <c r="J45" i="5"/>
  <c r="K41" i="2" s="1"/>
  <c r="H45" i="5"/>
  <c r="F45" i="5"/>
  <c r="T44" i="5"/>
  <c r="S44" i="5"/>
  <c r="N44" i="5"/>
  <c r="J44" i="5"/>
  <c r="H44" i="5"/>
  <c r="F44" i="5"/>
  <c r="T43" i="5"/>
  <c r="S43" i="5"/>
  <c r="N43" i="5"/>
  <c r="J43" i="5"/>
  <c r="K39" i="2" s="1"/>
  <c r="H43" i="5"/>
  <c r="F43" i="5"/>
  <c r="T42" i="5"/>
  <c r="S42" i="5"/>
  <c r="N42" i="5"/>
  <c r="J42" i="5"/>
  <c r="H42" i="5"/>
  <c r="F42" i="5"/>
  <c r="T41" i="5"/>
  <c r="S41" i="5"/>
  <c r="N41" i="5"/>
  <c r="J41" i="5"/>
  <c r="H41" i="5"/>
  <c r="F41" i="5"/>
  <c r="T40" i="5"/>
  <c r="S40" i="5"/>
  <c r="N40" i="5"/>
  <c r="J40" i="5"/>
  <c r="H40" i="5"/>
  <c r="F40" i="5"/>
  <c r="U39" i="5"/>
  <c r="T39" i="5"/>
  <c r="S39" i="5"/>
  <c r="N39" i="5"/>
  <c r="J39" i="5"/>
  <c r="H39" i="5"/>
  <c r="F39" i="5"/>
  <c r="U38" i="5"/>
  <c r="T38" i="5"/>
  <c r="N38" i="5"/>
  <c r="J38" i="5"/>
  <c r="H38" i="5"/>
  <c r="D38" i="5"/>
  <c r="T37" i="5"/>
  <c r="S37" i="5"/>
  <c r="N37" i="5"/>
  <c r="J37" i="5"/>
  <c r="H37" i="5"/>
  <c r="F37" i="5"/>
  <c r="U36" i="5"/>
  <c r="T36" i="5"/>
  <c r="S36" i="5"/>
  <c r="N36" i="5"/>
  <c r="J36" i="5"/>
  <c r="H36" i="5"/>
  <c r="F36" i="5"/>
  <c r="D36" i="5"/>
  <c r="U35" i="5"/>
  <c r="T35" i="5"/>
  <c r="N35" i="5"/>
  <c r="J35" i="5"/>
  <c r="H35" i="5"/>
  <c r="D35" i="5"/>
  <c r="S35" i="5" s="1"/>
  <c r="T34" i="5"/>
  <c r="S34" i="5"/>
  <c r="N34" i="5"/>
  <c r="J34" i="5"/>
  <c r="H34" i="5"/>
  <c r="F34" i="5"/>
  <c r="D34" i="5"/>
  <c r="T33" i="5"/>
  <c r="S33" i="5"/>
  <c r="N33" i="5"/>
  <c r="J33" i="5"/>
  <c r="H33" i="5"/>
  <c r="F33" i="5"/>
  <c r="D33" i="5"/>
  <c r="T32" i="5"/>
  <c r="S32" i="5"/>
  <c r="N32" i="5"/>
  <c r="J32" i="5"/>
  <c r="D32" i="5"/>
  <c r="H32" i="5" s="1"/>
  <c r="T31" i="5"/>
  <c r="S31" i="5"/>
  <c r="N31" i="5"/>
  <c r="J31" i="5"/>
  <c r="H31" i="5"/>
  <c r="F31" i="5"/>
  <c r="T30" i="5"/>
  <c r="N30" i="5"/>
  <c r="J30" i="5"/>
  <c r="H30" i="5"/>
  <c r="D30" i="5"/>
  <c r="S30" i="5" s="1"/>
  <c r="T29" i="5"/>
  <c r="S29" i="5"/>
  <c r="N29" i="5"/>
  <c r="J29" i="5"/>
  <c r="D29" i="5"/>
  <c r="U28" i="5"/>
  <c r="T28" i="5"/>
  <c r="S28" i="5"/>
  <c r="N28" i="5"/>
  <c r="J28" i="5"/>
  <c r="H28" i="5"/>
  <c r="F28" i="5"/>
  <c r="T27" i="5"/>
  <c r="S27" i="5"/>
  <c r="N27" i="5"/>
  <c r="J27" i="5"/>
  <c r="H27" i="5"/>
  <c r="F27" i="5"/>
  <c r="T26" i="5"/>
  <c r="S26" i="5"/>
  <c r="N26" i="5"/>
  <c r="J26" i="5"/>
  <c r="H26" i="5"/>
  <c r="F26" i="5"/>
  <c r="U25" i="5"/>
  <c r="T25" i="5"/>
  <c r="N25" i="5"/>
  <c r="J25" i="5"/>
  <c r="D25" i="5"/>
  <c r="H25" i="5" s="1"/>
  <c r="I20" i="5"/>
  <c r="P18" i="5"/>
  <c r="Q18" i="5" s="1"/>
  <c r="N18" i="5"/>
  <c r="L18" i="5"/>
  <c r="M18" i="5" s="1"/>
  <c r="K18" i="5"/>
  <c r="J17" i="5"/>
  <c r="J13" i="5"/>
  <c r="L13" i="5" s="1"/>
  <c r="P13" i="5" s="1"/>
  <c r="Q13" i="5" s="1"/>
  <c r="T12" i="5"/>
  <c r="I12" i="5"/>
  <c r="I11" i="5"/>
  <c r="O10" i="5"/>
  <c r="O9" i="5"/>
  <c r="J9" i="5"/>
  <c r="J3" i="5"/>
  <c r="B1" i="5"/>
  <c r="N54" i="4"/>
  <c r="J20" i="4" s="1"/>
  <c r="M54" i="4"/>
  <c r="J19" i="4" s="1"/>
  <c r="L54" i="4"/>
  <c r="T12" i="4" s="1"/>
  <c r="K54" i="4"/>
  <c r="I54" i="4"/>
  <c r="J17" i="4" s="1"/>
  <c r="G54" i="4"/>
  <c r="E54" i="4"/>
  <c r="J9" i="4" s="1"/>
  <c r="U53" i="4"/>
  <c r="T53" i="4"/>
  <c r="H48" i="2" s="1"/>
  <c r="S53" i="4"/>
  <c r="N53" i="4"/>
  <c r="J53" i="4"/>
  <c r="H53" i="4"/>
  <c r="F53" i="4"/>
  <c r="U52" i="4"/>
  <c r="T52" i="4"/>
  <c r="S52" i="4"/>
  <c r="N52" i="4"/>
  <c r="J52" i="4"/>
  <c r="H52" i="4"/>
  <c r="F52" i="4"/>
  <c r="N51" i="4"/>
  <c r="J51" i="4"/>
  <c r="H51" i="4"/>
  <c r="F51" i="4"/>
  <c r="T50" i="4"/>
  <c r="S50" i="4"/>
  <c r="N50" i="4"/>
  <c r="J50" i="4"/>
  <c r="H50" i="4"/>
  <c r="F50" i="4"/>
  <c r="U49" i="4"/>
  <c r="T49" i="4"/>
  <c r="S49" i="4"/>
  <c r="N49" i="4"/>
  <c r="J49" i="4"/>
  <c r="H45" i="2" s="1"/>
  <c r="H49" i="4"/>
  <c r="F49" i="4"/>
  <c r="D49" i="4"/>
  <c r="T48" i="4"/>
  <c r="I49" i="2" s="1"/>
  <c r="N48" i="4"/>
  <c r="J48" i="4"/>
  <c r="D48" i="4"/>
  <c r="T47" i="4"/>
  <c r="H49" i="2" s="1"/>
  <c r="S47" i="4"/>
  <c r="N47" i="4"/>
  <c r="J47" i="4"/>
  <c r="F47" i="4"/>
  <c r="D47" i="4"/>
  <c r="U46" i="4"/>
  <c r="T46" i="4"/>
  <c r="S46" i="4"/>
  <c r="N46" i="4"/>
  <c r="J46" i="4"/>
  <c r="H42" i="2" s="1"/>
  <c r="H46" i="4"/>
  <c r="F46" i="4"/>
  <c r="U45" i="4"/>
  <c r="T45" i="4"/>
  <c r="S45" i="4"/>
  <c r="N45" i="4"/>
  <c r="J45" i="4"/>
  <c r="H41" i="2" s="1"/>
  <c r="H45" i="4"/>
  <c r="F45" i="4"/>
  <c r="T44" i="4"/>
  <c r="S44" i="4"/>
  <c r="N44" i="4"/>
  <c r="J44" i="4"/>
  <c r="H40" i="2" s="1"/>
  <c r="H44" i="4"/>
  <c r="F44" i="4"/>
  <c r="D44" i="4"/>
  <c r="T43" i="4"/>
  <c r="S43" i="4"/>
  <c r="N43" i="4"/>
  <c r="J43" i="4"/>
  <c r="H43" i="4"/>
  <c r="F43" i="4"/>
  <c r="U42" i="4"/>
  <c r="T42" i="4"/>
  <c r="N42" i="4"/>
  <c r="J42" i="4"/>
  <c r="H42" i="4"/>
  <c r="F42" i="4"/>
  <c r="D42" i="4"/>
  <c r="S42" i="4" s="1"/>
  <c r="T41" i="4"/>
  <c r="S41" i="4"/>
  <c r="N41" i="4"/>
  <c r="J41" i="4"/>
  <c r="H41" i="4"/>
  <c r="F41" i="4"/>
  <c r="T40" i="4"/>
  <c r="N40" i="4"/>
  <c r="J40" i="4"/>
  <c r="D40" i="4"/>
  <c r="F40" i="4" s="1"/>
  <c r="U39" i="4"/>
  <c r="T39" i="4"/>
  <c r="N39" i="4"/>
  <c r="J39" i="4"/>
  <c r="F39" i="4"/>
  <c r="D39" i="4"/>
  <c r="H39" i="4" s="1"/>
  <c r="T38" i="4"/>
  <c r="N38" i="4"/>
  <c r="J38" i="4"/>
  <c r="F38" i="4"/>
  <c r="D38" i="4"/>
  <c r="H38" i="4" s="1"/>
  <c r="U37" i="4"/>
  <c r="T37" i="4"/>
  <c r="N37" i="4"/>
  <c r="J37" i="4"/>
  <c r="D37" i="4"/>
  <c r="U36" i="4"/>
  <c r="T36" i="4"/>
  <c r="S36" i="4"/>
  <c r="N36" i="4"/>
  <c r="J36" i="4"/>
  <c r="H36" i="4"/>
  <c r="D36" i="4"/>
  <c r="T35" i="4"/>
  <c r="S35" i="4"/>
  <c r="N35" i="4"/>
  <c r="J35" i="4"/>
  <c r="H35" i="4"/>
  <c r="F35" i="4"/>
  <c r="U34" i="4"/>
  <c r="T34" i="4"/>
  <c r="N34" i="4"/>
  <c r="J34" i="4"/>
  <c r="H34" i="4"/>
  <c r="F34" i="4"/>
  <c r="D34" i="4"/>
  <c r="T33" i="4"/>
  <c r="S33" i="4"/>
  <c r="N33" i="4"/>
  <c r="J33" i="4"/>
  <c r="H33" i="4"/>
  <c r="F33" i="4"/>
  <c r="D33" i="4"/>
  <c r="T32" i="4"/>
  <c r="S32" i="4"/>
  <c r="N32" i="4"/>
  <c r="J32" i="4"/>
  <c r="H32" i="4"/>
  <c r="D32" i="4"/>
  <c r="U31" i="4"/>
  <c r="T31" i="4"/>
  <c r="S31" i="4"/>
  <c r="N31" i="4"/>
  <c r="J31" i="4"/>
  <c r="H31" i="4"/>
  <c r="F31" i="4"/>
  <c r="D31" i="4"/>
  <c r="T30" i="4"/>
  <c r="S30" i="4"/>
  <c r="N30" i="4"/>
  <c r="J30" i="4"/>
  <c r="F30" i="4"/>
  <c r="D30" i="4"/>
  <c r="U29" i="4"/>
  <c r="T29" i="4"/>
  <c r="S29" i="4"/>
  <c r="N29" i="4"/>
  <c r="J29" i="4"/>
  <c r="H29" i="4"/>
  <c r="F29" i="4"/>
  <c r="D29" i="4"/>
  <c r="T28" i="4"/>
  <c r="N28" i="4"/>
  <c r="J28" i="4"/>
  <c r="D28" i="4"/>
  <c r="U27" i="4"/>
  <c r="T27" i="4"/>
  <c r="S27" i="4"/>
  <c r="N27" i="4"/>
  <c r="J27" i="4"/>
  <c r="H27" i="4"/>
  <c r="F27" i="4"/>
  <c r="D27" i="4"/>
  <c r="T26" i="4"/>
  <c r="N26" i="4"/>
  <c r="J26" i="4"/>
  <c r="F26" i="4"/>
  <c r="D26" i="4"/>
  <c r="H26" i="4" s="1"/>
  <c r="U25" i="4"/>
  <c r="T25" i="4"/>
  <c r="S25" i="4"/>
  <c r="N25" i="4"/>
  <c r="J25" i="4"/>
  <c r="H25" i="4"/>
  <c r="F25" i="4"/>
  <c r="D25" i="4"/>
  <c r="K20" i="4"/>
  <c r="I20" i="4"/>
  <c r="T18" i="4"/>
  <c r="P18" i="4"/>
  <c r="Q18" i="4" s="1"/>
  <c r="N18" i="4"/>
  <c r="M18" i="4"/>
  <c r="L18" i="4"/>
  <c r="K18" i="4"/>
  <c r="I14" i="4"/>
  <c r="K14" i="4" s="1"/>
  <c r="G10" i="2" s="1"/>
  <c r="I12" i="4"/>
  <c r="I11" i="4"/>
  <c r="O10" i="4"/>
  <c r="O9" i="4"/>
  <c r="J3" i="4"/>
  <c r="B1" i="4"/>
  <c r="D7" i="3"/>
  <c r="D5" i="3"/>
  <c r="D6" i="3" s="1"/>
  <c r="D4" i="3"/>
  <c r="D3" i="3" s="1"/>
  <c r="D2" i="3"/>
  <c r="M50" i="2"/>
  <c r="J50" i="2"/>
  <c r="G50" i="2"/>
  <c r="O48" i="2"/>
  <c r="N48" i="2"/>
  <c r="M48" i="2"/>
  <c r="L48" i="2"/>
  <c r="K48" i="2"/>
  <c r="J48" i="2"/>
  <c r="O47" i="2"/>
  <c r="N47" i="2"/>
  <c r="M47" i="2"/>
  <c r="L47" i="2"/>
  <c r="K47" i="2"/>
  <c r="J47" i="2"/>
  <c r="I47" i="2"/>
  <c r="H47" i="2"/>
  <c r="G47" i="2"/>
  <c r="F47" i="2"/>
  <c r="D47" i="2"/>
  <c r="O46" i="2"/>
  <c r="N46" i="2"/>
  <c r="M46" i="2"/>
  <c r="L46" i="2"/>
  <c r="I46" i="2"/>
  <c r="H46" i="2"/>
  <c r="G46" i="2"/>
  <c r="F46" i="2"/>
  <c r="E46" i="2"/>
  <c r="D46" i="2"/>
  <c r="N45" i="2"/>
  <c r="M45" i="2"/>
  <c r="K45" i="2"/>
  <c r="J45" i="2"/>
  <c r="G45" i="2"/>
  <c r="E45" i="2"/>
  <c r="D45" i="2"/>
  <c r="O44" i="2"/>
  <c r="M44" i="2"/>
  <c r="L44" i="2"/>
  <c r="K44" i="2"/>
  <c r="J44" i="2"/>
  <c r="I44" i="2"/>
  <c r="H44" i="2"/>
  <c r="G44" i="2"/>
  <c r="F44" i="2"/>
  <c r="D44" i="2"/>
  <c r="O43" i="2"/>
  <c r="N43" i="2"/>
  <c r="M43" i="2"/>
  <c r="L43" i="2"/>
  <c r="K43" i="2"/>
  <c r="J43" i="2"/>
  <c r="I43" i="2"/>
  <c r="H43" i="2"/>
  <c r="G43" i="2"/>
  <c r="F43" i="2"/>
  <c r="D43" i="2"/>
  <c r="O42" i="2"/>
  <c r="N42" i="2"/>
  <c r="M42" i="2"/>
  <c r="L42" i="2"/>
  <c r="J42" i="2"/>
  <c r="I42" i="2"/>
  <c r="G42" i="2"/>
  <c r="F42" i="2"/>
  <c r="D42" i="2"/>
  <c r="O41" i="2"/>
  <c r="N41" i="2"/>
  <c r="M41" i="2"/>
  <c r="L41" i="2"/>
  <c r="J41" i="2"/>
  <c r="I41" i="2"/>
  <c r="G41" i="2"/>
  <c r="F41" i="2"/>
  <c r="D41" i="2"/>
  <c r="O40" i="2"/>
  <c r="N40" i="2"/>
  <c r="M40" i="2"/>
  <c r="L40" i="2"/>
  <c r="K40" i="2"/>
  <c r="J40" i="2"/>
  <c r="I40" i="2"/>
  <c r="G40" i="2"/>
  <c r="F40" i="2"/>
  <c r="D40" i="2"/>
  <c r="O39" i="2"/>
  <c r="N39" i="2"/>
  <c r="M39" i="2"/>
  <c r="L39" i="2"/>
  <c r="J39" i="2"/>
  <c r="I39" i="2"/>
  <c r="H39" i="2"/>
  <c r="G39" i="2"/>
  <c r="F39" i="2"/>
  <c r="E39" i="2"/>
  <c r="D39" i="2"/>
  <c r="M37" i="2"/>
  <c r="J37" i="2"/>
  <c r="G37" i="2"/>
  <c r="D37" i="2"/>
  <c r="N14" i="2"/>
  <c r="N13" i="2"/>
  <c r="N12" i="2"/>
  <c r="K12" i="2"/>
  <c r="H12" i="2"/>
  <c r="N11" i="2"/>
  <c r="N10" i="2"/>
  <c r="K10" i="2"/>
  <c r="H10" i="2"/>
  <c r="E10" i="2"/>
  <c r="N7" i="2"/>
  <c r="M7" i="2"/>
  <c r="N6" i="2"/>
  <c r="N5" i="2"/>
  <c r="K5" i="2"/>
  <c r="N4" i="2"/>
  <c r="M2" i="2"/>
  <c r="J2" i="2"/>
  <c r="G2" i="2"/>
  <c r="I57" i="1"/>
  <c r="M56" i="1"/>
  <c r="J19" i="1" s="1"/>
  <c r="I56" i="1"/>
  <c r="G56" i="1"/>
  <c r="J13" i="1" s="1"/>
  <c r="E56" i="1"/>
  <c r="U55" i="1"/>
  <c r="T55" i="1"/>
  <c r="S55" i="1"/>
  <c r="N55" i="1"/>
  <c r="J55" i="1"/>
  <c r="H55" i="1"/>
  <c r="F55" i="1"/>
  <c r="U54" i="1"/>
  <c r="T54" i="1"/>
  <c r="F48" i="2" s="1"/>
  <c r="S54" i="1"/>
  <c r="D48" i="2" s="1"/>
  <c r="N54" i="1"/>
  <c r="J54" i="1"/>
  <c r="H54" i="1"/>
  <c r="F54" i="1"/>
  <c r="U53" i="1"/>
  <c r="T53" i="1"/>
  <c r="E48" i="2" s="1"/>
  <c r="S53" i="1"/>
  <c r="P53" i="1"/>
  <c r="O53" i="1" s="1"/>
  <c r="N53" i="1"/>
  <c r="J53" i="1"/>
  <c r="H53" i="1"/>
  <c r="F53" i="1"/>
  <c r="U52" i="1"/>
  <c r="T52" i="1"/>
  <c r="N52" i="1"/>
  <c r="J52" i="1"/>
  <c r="E47" i="2" s="1"/>
  <c r="F52" i="1"/>
  <c r="U51" i="1"/>
  <c r="T51" i="1"/>
  <c r="P51" i="1"/>
  <c r="O51" i="1" s="1"/>
  <c r="N51" i="1"/>
  <c r="J51" i="1"/>
  <c r="D50" i="2" s="1"/>
  <c r="H51" i="1"/>
  <c r="F51" i="1"/>
  <c r="U50" i="1"/>
  <c r="T50" i="1"/>
  <c r="N50" i="1"/>
  <c r="J50" i="1"/>
  <c r="H50" i="1"/>
  <c r="U49" i="1"/>
  <c r="T49" i="1"/>
  <c r="N49" i="1"/>
  <c r="J49" i="1"/>
  <c r="U48" i="1"/>
  <c r="T48" i="1"/>
  <c r="F49" i="2" s="1"/>
  <c r="N48" i="1"/>
  <c r="J48" i="1"/>
  <c r="E44" i="2" s="1"/>
  <c r="U47" i="1"/>
  <c r="T47" i="1"/>
  <c r="E49" i="2" s="1"/>
  <c r="N47" i="1"/>
  <c r="J47" i="1"/>
  <c r="E43" i="2" s="1"/>
  <c r="U46" i="1"/>
  <c r="T46" i="1"/>
  <c r="P46" i="1"/>
  <c r="O46" i="1" s="1"/>
  <c r="N46" i="1"/>
  <c r="J46" i="1"/>
  <c r="E42" i="2" s="1"/>
  <c r="U45" i="1"/>
  <c r="T45" i="1"/>
  <c r="N45" i="1"/>
  <c r="J45" i="1"/>
  <c r="E41" i="2" s="1"/>
  <c r="H45" i="1"/>
  <c r="F45" i="1"/>
  <c r="U44" i="1"/>
  <c r="T44" i="1"/>
  <c r="N44" i="1"/>
  <c r="J44" i="1"/>
  <c r="E40" i="2" s="1"/>
  <c r="H44" i="1"/>
  <c r="F44" i="1"/>
  <c r="U43" i="1"/>
  <c r="T43" i="1"/>
  <c r="N43" i="1"/>
  <c r="J43" i="1"/>
  <c r="H43" i="1"/>
  <c r="F43" i="1"/>
  <c r="U42" i="1"/>
  <c r="T42" i="1"/>
  <c r="N42" i="1"/>
  <c r="J42" i="1"/>
  <c r="H42" i="1"/>
  <c r="U41" i="1"/>
  <c r="T41" i="1"/>
  <c r="S41" i="1"/>
  <c r="N41" i="1"/>
  <c r="J41" i="1"/>
  <c r="H41" i="1"/>
  <c r="F41" i="1"/>
  <c r="D41" i="1"/>
  <c r="U40" i="1"/>
  <c r="T40" i="1"/>
  <c r="S40" i="1"/>
  <c r="N40" i="1"/>
  <c r="J40" i="1"/>
  <c r="H40" i="1"/>
  <c r="F40" i="1"/>
  <c r="D40" i="1"/>
  <c r="U39" i="1"/>
  <c r="T39" i="1"/>
  <c r="P39" i="1"/>
  <c r="O39" i="1" s="1"/>
  <c r="N39" i="1"/>
  <c r="K39" i="1"/>
  <c r="J39" i="1"/>
  <c r="D39" i="1"/>
  <c r="S39" i="1" s="1"/>
  <c r="U38" i="1"/>
  <c r="T38" i="1"/>
  <c r="S38" i="1"/>
  <c r="N38" i="1"/>
  <c r="J38" i="1"/>
  <c r="D38" i="1"/>
  <c r="F38" i="1" s="1"/>
  <c r="U37" i="1"/>
  <c r="T37" i="1"/>
  <c r="P37" i="1"/>
  <c r="O37" i="1" s="1"/>
  <c r="N37" i="1"/>
  <c r="J37" i="1"/>
  <c r="H37" i="1"/>
  <c r="D37" i="1"/>
  <c r="U36" i="1"/>
  <c r="T36" i="1"/>
  <c r="S36" i="1"/>
  <c r="P36" i="1"/>
  <c r="N36" i="1"/>
  <c r="J36" i="1"/>
  <c r="D36" i="1"/>
  <c r="U35" i="1"/>
  <c r="T35" i="1"/>
  <c r="N35" i="1"/>
  <c r="J35" i="1"/>
  <c r="D35" i="1"/>
  <c r="U34" i="1"/>
  <c r="T34" i="1"/>
  <c r="P34" i="1"/>
  <c r="N34" i="1"/>
  <c r="J34" i="1"/>
  <c r="H34" i="1"/>
  <c r="F34" i="1"/>
  <c r="D34" i="1"/>
  <c r="U33" i="1"/>
  <c r="T33" i="1"/>
  <c r="N33" i="1"/>
  <c r="J33" i="1"/>
  <c r="H33" i="1"/>
  <c r="D33" i="1"/>
  <c r="U32" i="1"/>
  <c r="T32" i="1"/>
  <c r="N32" i="1"/>
  <c r="L32" i="1"/>
  <c r="L56" i="1" s="1"/>
  <c r="T12" i="1" s="1"/>
  <c r="J32" i="1"/>
  <c r="H32" i="1"/>
  <c r="F32" i="1"/>
  <c r="D32" i="1"/>
  <c r="U31" i="1"/>
  <c r="T31" i="1"/>
  <c r="P31" i="1"/>
  <c r="O31" i="1" s="1"/>
  <c r="N31" i="1"/>
  <c r="K31" i="1"/>
  <c r="K56" i="1" s="1"/>
  <c r="J31" i="1"/>
  <c r="F31" i="1"/>
  <c r="D31" i="1"/>
  <c r="S31" i="1" s="1"/>
  <c r="U30" i="1"/>
  <c r="T30" i="1"/>
  <c r="S30" i="1"/>
  <c r="N30" i="1"/>
  <c r="J30" i="1"/>
  <c r="H30" i="1"/>
  <c r="F30" i="1"/>
  <c r="D30" i="1"/>
  <c r="U29" i="1"/>
  <c r="T29" i="1"/>
  <c r="S29" i="1"/>
  <c r="N29" i="1"/>
  <c r="J29" i="1"/>
  <c r="F29" i="1"/>
  <c r="D29" i="1"/>
  <c r="H29" i="1" s="1"/>
  <c r="U28" i="1"/>
  <c r="T28" i="1"/>
  <c r="S28" i="1"/>
  <c r="N28" i="1"/>
  <c r="J28" i="1"/>
  <c r="H28" i="1"/>
  <c r="F28" i="1"/>
  <c r="D28" i="1"/>
  <c r="U27" i="1"/>
  <c r="T27" i="1"/>
  <c r="S27" i="1"/>
  <c r="P27" i="1"/>
  <c r="O27" i="1" s="1"/>
  <c r="N27" i="1"/>
  <c r="J27" i="1"/>
  <c r="F27" i="1"/>
  <c r="D27" i="1"/>
  <c r="H27" i="1" s="1"/>
  <c r="U26" i="1"/>
  <c r="T26" i="1"/>
  <c r="T56" i="1" s="1"/>
  <c r="S26" i="1"/>
  <c r="N26" i="1"/>
  <c r="J26" i="1"/>
  <c r="H26" i="1"/>
  <c r="F26" i="1"/>
  <c r="D26" i="1"/>
  <c r="U25" i="1"/>
  <c r="U56" i="1" s="1"/>
  <c r="T25" i="1"/>
  <c r="S25" i="1"/>
  <c r="N25" i="1"/>
  <c r="J25" i="1"/>
  <c r="F25" i="1"/>
  <c r="D25" i="1"/>
  <c r="S19" i="1"/>
  <c r="T19" i="1" s="1"/>
  <c r="F13" i="2" s="1"/>
  <c r="K19" i="1"/>
  <c r="T18" i="1"/>
  <c r="D9" i="3" s="1"/>
  <c r="P18" i="1"/>
  <c r="Q18" i="1" s="1"/>
  <c r="N18" i="1"/>
  <c r="M18" i="1"/>
  <c r="L18" i="1"/>
  <c r="K18" i="1"/>
  <c r="I15" i="1"/>
  <c r="L14" i="1"/>
  <c r="N14" i="1" s="1"/>
  <c r="K14" i="1"/>
  <c r="D10" i="2" s="1"/>
  <c r="I13" i="1"/>
  <c r="I8" i="1" s="1"/>
  <c r="O10" i="1"/>
  <c r="I10" i="1"/>
  <c r="O9" i="1"/>
  <c r="J9" i="1"/>
  <c r="E5" i="2" s="1"/>
  <c r="I3" i="1"/>
  <c r="D2" i="2" s="1"/>
  <c r="B1" i="1"/>
  <c r="P9" i="9" l="1"/>
  <c r="Q9" i="9" s="1"/>
  <c r="I14" i="8"/>
  <c r="L14" i="8" s="1"/>
  <c r="AM27" i="13"/>
  <c r="K23" i="10"/>
  <c r="I14" i="7"/>
  <c r="L14" i="7" s="1"/>
  <c r="L14" i="4"/>
  <c r="M14" i="4" s="1"/>
  <c r="L17" i="4"/>
  <c r="P17" i="4" s="1"/>
  <c r="Q17" i="4" s="1"/>
  <c r="I14" i="6"/>
  <c r="L17" i="6" s="1"/>
  <c r="P17" i="6" s="1"/>
  <c r="Q17" i="6" s="1"/>
  <c r="K14" i="6"/>
  <c r="H49" i="1"/>
  <c r="H48" i="1"/>
  <c r="F47" i="1"/>
  <c r="G16" i="11"/>
  <c r="D12" i="11" s="1"/>
  <c r="G4" i="11" s="1"/>
  <c r="L17" i="8"/>
  <c r="P17" i="8" s="1"/>
  <c r="Q17" i="8" s="1"/>
  <c r="AL31" i="13"/>
  <c r="I14" i="5"/>
  <c r="L17" i="5" s="1"/>
  <c r="P17" i="5" s="1"/>
  <c r="Q17" i="5" s="1"/>
  <c r="B16" i="12"/>
  <c r="AM28" i="13"/>
  <c r="AM31" i="13" s="1"/>
  <c r="G16" i="12"/>
  <c r="D12" i="12" s="1"/>
  <c r="G4" i="12" s="1"/>
  <c r="AK31" i="13"/>
  <c r="K9" i="2"/>
  <c r="K19" i="4"/>
  <c r="N19" i="4"/>
  <c r="L19" i="4"/>
  <c r="N56" i="1"/>
  <c r="J20" i="1" s="1"/>
  <c r="J17" i="1"/>
  <c r="I8" i="9"/>
  <c r="P54" i="1"/>
  <c r="O54" i="1" s="1"/>
  <c r="P47" i="1"/>
  <c r="O47" i="1" s="1"/>
  <c r="P49" i="1"/>
  <c r="O49" i="1" s="1"/>
  <c r="P40" i="1"/>
  <c r="O40" i="1" s="1"/>
  <c r="P30" i="1"/>
  <c r="O30" i="1" s="1"/>
  <c r="P28" i="1"/>
  <c r="O28" i="1" s="1"/>
  <c r="P26" i="1"/>
  <c r="O26" i="1" s="1"/>
  <c r="I9" i="1"/>
  <c r="P44" i="1"/>
  <c r="O44" i="1" s="1"/>
  <c r="P55" i="1"/>
  <c r="O55" i="1" s="1"/>
  <c r="P52" i="1"/>
  <c r="O52" i="1" s="1"/>
  <c r="P45" i="1"/>
  <c r="O45" i="1" s="1"/>
  <c r="P35" i="1"/>
  <c r="O35" i="1" s="1"/>
  <c r="P32" i="1"/>
  <c r="P38" i="1"/>
  <c r="M14" i="1"/>
  <c r="K13" i="1"/>
  <c r="D9" i="2" s="1"/>
  <c r="P14" i="1"/>
  <c r="Q14" i="1" s="1"/>
  <c r="D56" i="1"/>
  <c r="H56" i="1" s="1"/>
  <c r="J10" i="1" s="1"/>
  <c r="O36" i="1"/>
  <c r="F36" i="1"/>
  <c r="H36" i="1"/>
  <c r="P42" i="1"/>
  <c r="P43" i="1"/>
  <c r="O43" i="1" s="1"/>
  <c r="F46" i="1"/>
  <c r="H46" i="1"/>
  <c r="L9" i="5"/>
  <c r="P9" i="5" s="1"/>
  <c r="Q9" i="5" s="1"/>
  <c r="K14" i="2"/>
  <c r="J12" i="5"/>
  <c r="K46" i="2"/>
  <c r="I15" i="8"/>
  <c r="I15" i="9"/>
  <c r="I15" i="6"/>
  <c r="I15" i="4"/>
  <c r="I15" i="7"/>
  <c r="I15" i="5"/>
  <c r="H13" i="2"/>
  <c r="J46" i="2"/>
  <c r="T18" i="5"/>
  <c r="E14" i="2"/>
  <c r="D8" i="3"/>
  <c r="S35" i="1"/>
  <c r="F35" i="1"/>
  <c r="H35" i="1"/>
  <c r="E9" i="2"/>
  <c r="M18" i="7"/>
  <c r="P18" i="7"/>
  <c r="Q18" i="7" s="1"/>
  <c r="F50" i="1"/>
  <c r="S13" i="1"/>
  <c r="O42" i="1"/>
  <c r="P25" i="1"/>
  <c r="P29" i="1"/>
  <c r="O29" i="1" s="1"/>
  <c r="O32" i="1"/>
  <c r="S32" i="1"/>
  <c r="P33" i="1"/>
  <c r="O33" i="1" s="1"/>
  <c r="P48" i="1"/>
  <c r="O48" i="1" s="1"/>
  <c r="H52" i="1"/>
  <c r="L19" i="1"/>
  <c r="N19" i="1"/>
  <c r="H14" i="2"/>
  <c r="K19" i="6"/>
  <c r="N19" i="6"/>
  <c r="L19" i="6"/>
  <c r="D13" i="2"/>
  <c r="H37" i="4"/>
  <c r="F37" i="4"/>
  <c r="S37" i="4"/>
  <c r="K20" i="6"/>
  <c r="O38" i="1"/>
  <c r="H38" i="1"/>
  <c r="F39" i="1"/>
  <c r="H39" i="1"/>
  <c r="P41" i="1"/>
  <c r="O41" i="1" s="1"/>
  <c r="P50" i="1"/>
  <c r="O50" i="1" s="1"/>
  <c r="E13" i="2"/>
  <c r="H40" i="4"/>
  <c r="S40" i="4"/>
  <c r="O34" i="1"/>
  <c r="S34" i="1"/>
  <c r="S37" i="1"/>
  <c r="F37" i="1"/>
  <c r="F42" i="1"/>
  <c r="T50" i="5"/>
  <c r="L19" i="8"/>
  <c r="K19" i="8"/>
  <c r="N19" i="8"/>
  <c r="H28" i="4"/>
  <c r="S28" i="4"/>
  <c r="F28" i="4"/>
  <c r="H30" i="4"/>
  <c r="D54" i="4"/>
  <c r="F54" i="4" s="1"/>
  <c r="J11" i="4" s="1"/>
  <c r="H28" i="6"/>
  <c r="S28" i="6"/>
  <c r="D48" i="6"/>
  <c r="F48" i="6" s="1"/>
  <c r="J11" i="6" s="1"/>
  <c r="K20" i="7"/>
  <c r="N20" i="7"/>
  <c r="L19" i="5"/>
  <c r="K19" i="5"/>
  <c r="N19" i="5"/>
  <c r="J9" i="6"/>
  <c r="M10" i="8"/>
  <c r="O6" i="2" s="1"/>
  <c r="K10" i="8"/>
  <c r="M6" i="2" s="1"/>
  <c r="H25" i="1"/>
  <c r="H31" i="1"/>
  <c r="S33" i="1"/>
  <c r="F33" i="1"/>
  <c r="S34" i="4"/>
  <c r="U40" i="5"/>
  <c r="U41" i="5"/>
  <c r="U37" i="5"/>
  <c r="U32" i="5"/>
  <c r="U27" i="5"/>
  <c r="U44" i="5"/>
  <c r="U34" i="5"/>
  <c r="U29" i="5"/>
  <c r="U26" i="5"/>
  <c r="U33" i="5"/>
  <c r="U43" i="5"/>
  <c r="U42" i="5"/>
  <c r="U31" i="5"/>
  <c r="U30" i="5"/>
  <c r="K12" i="5"/>
  <c r="J8" i="2" s="1"/>
  <c r="H29" i="5"/>
  <c r="D50" i="5"/>
  <c r="H50" i="5" s="1"/>
  <c r="J10" i="5" s="1"/>
  <c r="F29" i="5"/>
  <c r="J56" i="1"/>
  <c r="J12" i="1" s="1"/>
  <c r="H5" i="2"/>
  <c r="F32" i="4"/>
  <c r="J15" i="7"/>
  <c r="J16" i="7"/>
  <c r="U32" i="4"/>
  <c r="S38" i="4"/>
  <c r="U40" i="4"/>
  <c r="U43" i="4"/>
  <c r="J54" i="4"/>
  <c r="J12" i="4" s="1"/>
  <c r="J13" i="4"/>
  <c r="N12" i="9"/>
  <c r="M12" i="9"/>
  <c r="K12" i="9"/>
  <c r="U50" i="4"/>
  <c r="U41" i="4"/>
  <c r="S26" i="4"/>
  <c r="U30" i="4"/>
  <c r="U47" i="4"/>
  <c r="J48" i="6"/>
  <c r="J12" i="6" s="1"/>
  <c r="J13" i="6"/>
  <c r="H48" i="6"/>
  <c r="J10" i="6" s="1"/>
  <c r="P14" i="8"/>
  <c r="Q14" i="8" s="1"/>
  <c r="M14" i="8"/>
  <c r="I10" i="4"/>
  <c r="U28" i="4"/>
  <c r="U35" i="4"/>
  <c r="U38" i="4"/>
  <c r="U44" i="4"/>
  <c r="H47" i="4"/>
  <c r="H48" i="4"/>
  <c r="S48" i="4"/>
  <c r="G49" i="2" s="1"/>
  <c r="F48" i="4"/>
  <c r="U48" i="4"/>
  <c r="I10" i="5"/>
  <c r="U26" i="4"/>
  <c r="U33" i="4"/>
  <c r="S39" i="4"/>
  <c r="H34" i="6"/>
  <c r="K10" i="7"/>
  <c r="S35" i="6"/>
  <c r="P9" i="7"/>
  <c r="Q9" i="7" s="1"/>
  <c r="K11" i="7"/>
  <c r="M11" i="7"/>
  <c r="M14" i="7"/>
  <c r="P14" i="7"/>
  <c r="Q14" i="7" s="1"/>
  <c r="S29" i="6"/>
  <c r="L17" i="7"/>
  <c r="P17" i="7" s="1"/>
  <c r="Q17" i="7" s="1"/>
  <c r="M11" i="9"/>
  <c r="I10" i="9"/>
  <c r="F25" i="5"/>
  <c r="S25" i="5"/>
  <c r="U36" i="6"/>
  <c r="U29" i="6"/>
  <c r="F26" i="6"/>
  <c r="S26" i="6"/>
  <c r="S33" i="6"/>
  <c r="U35" i="6"/>
  <c r="N11" i="9"/>
  <c r="F30" i="5"/>
  <c r="F35" i="5"/>
  <c r="S38" i="5"/>
  <c r="F38" i="5"/>
  <c r="I10" i="6"/>
  <c r="N20" i="8"/>
  <c r="K20" i="8"/>
  <c r="N14" i="8"/>
  <c r="J15" i="9"/>
  <c r="J16" i="9"/>
  <c r="K20" i="9"/>
  <c r="N20" i="9"/>
  <c r="B25" i="11"/>
  <c r="I24" i="11"/>
  <c r="J48" i="8"/>
  <c r="J13" i="8"/>
  <c r="N8" i="9"/>
  <c r="L11" i="8"/>
  <c r="P11" i="8" s="1"/>
  <c r="Q11" i="8" s="1"/>
  <c r="P9" i="8"/>
  <c r="Q9" i="8" s="1"/>
  <c r="N15" i="8"/>
  <c r="N10" i="8"/>
  <c r="N10" i="9"/>
  <c r="K12" i="7"/>
  <c r="M12" i="7"/>
  <c r="M19" i="7"/>
  <c r="I24" i="12"/>
  <c r="B25" i="12"/>
  <c r="K14" i="8"/>
  <c r="M10" i="2" s="1"/>
  <c r="M14" i="9"/>
  <c r="C15" i="10"/>
  <c r="B24" i="10"/>
  <c r="C24" i="12"/>
  <c r="J24" i="12" s="1"/>
  <c r="M18" i="9"/>
  <c r="M19" i="9"/>
  <c r="C24" i="11"/>
  <c r="J24" i="11" s="1"/>
  <c r="N14" i="7" l="1"/>
  <c r="K14" i="7"/>
  <c r="N14" i="4"/>
  <c r="P14" i="4"/>
  <c r="Q14" i="4" s="1"/>
  <c r="L14" i="6"/>
  <c r="I8" i="5"/>
  <c r="P46" i="5" s="1"/>
  <c r="O46" i="5" s="1"/>
  <c r="L19" i="11"/>
  <c r="I4" i="11" s="1"/>
  <c r="K4" i="11" s="1"/>
  <c r="M4" i="11" s="1"/>
  <c r="L24" i="12"/>
  <c r="S42" i="1"/>
  <c r="I17" i="7"/>
  <c r="I8" i="8"/>
  <c r="P32" i="8" s="1"/>
  <c r="O32" i="8" s="1"/>
  <c r="I8" i="6"/>
  <c r="P45" i="6" s="1"/>
  <c r="O45" i="6" s="1"/>
  <c r="S12" i="8"/>
  <c r="S13" i="8" s="1"/>
  <c r="S18" i="8"/>
  <c r="S19" i="8" s="1"/>
  <c r="T19" i="8" s="1"/>
  <c r="O13" i="2" s="1"/>
  <c r="I17" i="9"/>
  <c r="M17" i="9" s="1"/>
  <c r="K14" i="5"/>
  <c r="J10" i="2" s="1"/>
  <c r="L14" i="5"/>
  <c r="N14" i="5" s="1"/>
  <c r="I17" i="6"/>
  <c r="S18" i="9"/>
  <c r="S19" i="9" s="1"/>
  <c r="T19" i="9" s="1"/>
  <c r="S18" i="5"/>
  <c r="I17" i="5"/>
  <c r="S18" i="7"/>
  <c r="S19" i="7" s="1"/>
  <c r="T19" i="7" s="1"/>
  <c r="S12" i="4"/>
  <c r="S13" i="4" s="1"/>
  <c r="I17" i="8"/>
  <c r="S12" i="9"/>
  <c r="S13" i="9" s="1"/>
  <c r="T13" i="9" s="1"/>
  <c r="S18" i="6"/>
  <c r="S19" i="6" s="1"/>
  <c r="T19" i="6" s="1"/>
  <c r="S12" i="6"/>
  <c r="S13" i="6" s="1"/>
  <c r="T13" i="6" s="1"/>
  <c r="S12" i="5"/>
  <c r="S13" i="5" s="1"/>
  <c r="J14" i="2" s="1"/>
  <c r="S18" i="4"/>
  <c r="S19" i="4" s="1"/>
  <c r="T19" i="4" s="1"/>
  <c r="I13" i="2" s="1"/>
  <c r="I17" i="4"/>
  <c r="S50" i="5"/>
  <c r="I8" i="4"/>
  <c r="P40" i="4" s="1"/>
  <c r="O40" i="4" s="1"/>
  <c r="L23" i="10"/>
  <c r="I8" i="7"/>
  <c r="N8" i="7" s="1"/>
  <c r="S12" i="7"/>
  <c r="S13" i="7" s="1"/>
  <c r="T13" i="7" s="1"/>
  <c r="U50" i="5"/>
  <c r="T13" i="8"/>
  <c r="O14" i="2" s="1"/>
  <c r="M14" i="2"/>
  <c r="K11" i="4"/>
  <c r="G7" i="2" s="1"/>
  <c r="H7" i="2"/>
  <c r="N15" i="7"/>
  <c r="L15" i="7"/>
  <c r="P15" i="7" s="1"/>
  <c r="Q15" i="7" s="1"/>
  <c r="L15" i="9"/>
  <c r="P15" i="9" s="1"/>
  <c r="Q15" i="9" s="1"/>
  <c r="N15" i="9"/>
  <c r="M19" i="8"/>
  <c r="P19" i="8"/>
  <c r="Q19" i="8" s="1"/>
  <c r="J16" i="8"/>
  <c r="K15" i="8"/>
  <c r="M11" i="2" s="1"/>
  <c r="M15" i="8"/>
  <c r="O11" i="2" s="1"/>
  <c r="P46" i="9"/>
  <c r="O46" i="9" s="1"/>
  <c r="P38" i="9"/>
  <c r="O38" i="9" s="1"/>
  <c r="P30" i="9"/>
  <c r="O30" i="9" s="1"/>
  <c r="E4" i="9"/>
  <c r="P43" i="9"/>
  <c r="O43" i="9" s="1"/>
  <c r="P35" i="9"/>
  <c r="O35" i="9" s="1"/>
  <c r="P27" i="9"/>
  <c r="O27" i="9" s="1"/>
  <c r="C4" i="9"/>
  <c r="P40" i="9"/>
  <c r="O40" i="9" s="1"/>
  <c r="P32" i="9"/>
  <c r="O32" i="9" s="1"/>
  <c r="P45" i="9"/>
  <c r="O45" i="9" s="1"/>
  <c r="P37" i="9"/>
  <c r="O37" i="9" s="1"/>
  <c r="P29" i="9"/>
  <c r="O29" i="9" s="1"/>
  <c r="P42" i="9"/>
  <c r="O42" i="9" s="1"/>
  <c r="P34" i="9"/>
  <c r="O34" i="9" s="1"/>
  <c r="P26" i="9"/>
  <c r="O26" i="9" s="1"/>
  <c r="P47" i="9"/>
  <c r="O47" i="9" s="1"/>
  <c r="P41" i="9"/>
  <c r="O41" i="9" s="1"/>
  <c r="P33" i="9"/>
  <c r="O33" i="9" s="1"/>
  <c r="P25" i="9"/>
  <c r="I9" i="9"/>
  <c r="P39" i="9"/>
  <c r="O39" i="9" s="1"/>
  <c r="P31" i="9"/>
  <c r="O31" i="9" s="1"/>
  <c r="P44" i="9"/>
  <c r="O44" i="9" s="1"/>
  <c r="P28" i="9"/>
  <c r="O28" i="9" s="1"/>
  <c r="P36" i="9"/>
  <c r="O36" i="9" s="1"/>
  <c r="K8" i="9"/>
  <c r="L20" i="9" s="1"/>
  <c r="M8" i="9"/>
  <c r="L16" i="9"/>
  <c r="K16" i="9"/>
  <c r="N16" i="9"/>
  <c r="K10" i="5"/>
  <c r="J6" i="2" s="1"/>
  <c r="L10" i="6"/>
  <c r="P10" i="6" s="1"/>
  <c r="Q10" i="6" s="1"/>
  <c r="P35" i="8"/>
  <c r="O35" i="8" s="1"/>
  <c r="P40" i="8"/>
  <c r="O40" i="8" s="1"/>
  <c r="P26" i="8"/>
  <c r="O26" i="8" s="1"/>
  <c r="P31" i="8"/>
  <c r="O31" i="8" s="1"/>
  <c r="P25" i="8"/>
  <c r="P46" i="8"/>
  <c r="O46" i="8" s="1"/>
  <c r="P30" i="8"/>
  <c r="O30" i="8" s="1"/>
  <c r="C4" i="8"/>
  <c r="E4" i="8" s="1"/>
  <c r="P41" i="8"/>
  <c r="O41" i="8" s="1"/>
  <c r="P34" i="8"/>
  <c r="O34" i="8" s="1"/>
  <c r="K8" i="8"/>
  <c r="P44" i="8"/>
  <c r="O44" i="8" s="1"/>
  <c r="P29" i="8"/>
  <c r="O29" i="8" s="1"/>
  <c r="M11" i="8"/>
  <c r="O7" i="2" s="1"/>
  <c r="J8" i="5"/>
  <c r="M19" i="5"/>
  <c r="P19" i="5"/>
  <c r="Q19" i="5" s="1"/>
  <c r="E6" i="2"/>
  <c r="L10" i="1"/>
  <c r="N10" i="1" s="1"/>
  <c r="K10" i="1"/>
  <c r="D6" i="2" s="1"/>
  <c r="L12" i="5"/>
  <c r="N12" i="5" s="1"/>
  <c r="K8" i="2"/>
  <c r="K10" i="9"/>
  <c r="M10" i="9"/>
  <c r="N9" i="2"/>
  <c r="L12" i="6"/>
  <c r="K12" i="6"/>
  <c r="P47" i="5"/>
  <c r="O47" i="5" s="1"/>
  <c r="P39" i="5"/>
  <c r="O39" i="5" s="1"/>
  <c r="P31" i="5"/>
  <c r="O31" i="5" s="1"/>
  <c r="P49" i="5"/>
  <c r="O49" i="5" s="1"/>
  <c r="P26" i="5"/>
  <c r="O26" i="5" s="1"/>
  <c r="C4" i="5"/>
  <c r="E4" i="5" s="1"/>
  <c r="P33" i="5"/>
  <c r="O33" i="5" s="1"/>
  <c r="P40" i="5"/>
  <c r="O40" i="5" s="1"/>
  <c r="P37" i="5"/>
  <c r="O37" i="5" s="1"/>
  <c r="P28" i="5"/>
  <c r="O28" i="5" s="1"/>
  <c r="P36" i="5"/>
  <c r="O36" i="5" s="1"/>
  <c r="P34" i="5"/>
  <c r="O34" i="5" s="1"/>
  <c r="P27" i="5"/>
  <c r="O27" i="5" s="1"/>
  <c r="P45" i="5"/>
  <c r="O45" i="5" s="1"/>
  <c r="P25" i="5"/>
  <c r="P38" i="5"/>
  <c r="O38" i="5" s="1"/>
  <c r="P44" i="5"/>
  <c r="O44" i="5" s="1"/>
  <c r="P42" i="5"/>
  <c r="O42" i="5" s="1"/>
  <c r="P32" i="5"/>
  <c r="O32" i="5" s="1"/>
  <c r="P48" i="5"/>
  <c r="O48" i="5" s="1"/>
  <c r="P30" i="5"/>
  <c r="O30" i="5" s="1"/>
  <c r="P29" i="5"/>
  <c r="O29" i="5" s="1"/>
  <c r="E12" i="2"/>
  <c r="L17" i="1"/>
  <c r="N17" i="1" s="1"/>
  <c r="K17" i="1"/>
  <c r="D12" i="2" s="1"/>
  <c r="M10" i="6"/>
  <c r="K10" i="6"/>
  <c r="K17" i="7"/>
  <c r="M17" i="7"/>
  <c r="J12" i="8"/>
  <c r="N44" i="2"/>
  <c r="N17" i="7"/>
  <c r="H9" i="2"/>
  <c r="D14" i="2"/>
  <c r="T13" i="1"/>
  <c r="F14" i="2" s="1"/>
  <c r="M15" i="7"/>
  <c r="K15" i="7"/>
  <c r="T13" i="5"/>
  <c r="L14" i="2" s="1"/>
  <c r="K20" i="1"/>
  <c r="H54" i="4"/>
  <c r="J10" i="4" s="1"/>
  <c r="J8" i="4"/>
  <c r="P33" i="6"/>
  <c r="O33" i="6" s="1"/>
  <c r="P46" i="6"/>
  <c r="O46" i="6" s="1"/>
  <c r="P41" i="6"/>
  <c r="O41" i="6" s="1"/>
  <c r="P34" i="6"/>
  <c r="O34" i="6" s="1"/>
  <c r="C4" i="6"/>
  <c r="E4" i="6" s="1"/>
  <c r="P40" i="6"/>
  <c r="O40" i="6" s="1"/>
  <c r="P30" i="6"/>
  <c r="O30" i="6" s="1"/>
  <c r="P47" i="6"/>
  <c r="O47" i="6" s="1"/>
  <c r="P32" i="6"/>
  <c r="O32" i="6" s="1"/>
  <c r="P19" i="4"/>
  <c r="Q19" i="4" s="1"/>
  <c r="M19" i="4"/>
  <c r="L12" i="4"/>
  <c r="H8" i="2"/>
  <c r="N12" i="4"/>
  <c r="N16" i="7"/>
  <c r="K16" i="7"/>
  <c r="L16" i="7"/>
  <c r="N10" i="5"/>
  <c r="L10" i="5"/>
  <c r="P10" i="5" s="1"/>
  <c r="Q10" i="5" s="1"/>
  <c r="K6" i="2"/>
  <c r="K12" i="4"/>
  <c r="G8" i="2" s="1"/>
  <c r="K10" i="4"/>
  <c r="G6" i="2" s="1"/>
  <c r="F50" i="5"/>
  <c r="J11" i="5" s="1"/>
  <c r="K12" i="1"/>
  <c r="D8" i="2" s="1"/>
  <c r="E8" i="2"/>
  <c r="L12" i="1"/>
  <c r="N12" i="1" s="1"/>
  <c r="K11" i="6"/>
  <c r="J8" i="6"/>
  <c r="K8" i="6" s="1"/>
  <c r="L20" i="6" s="1"/>
  <c r="M19" i="1"/>
  <c r="P19" i="1"/>
  <c r="Q19" i="1" s="1"/>
  <c r="P56" i="1"/>
  <c r="O56" i="1" s="1"/>
  <c r="O25" i="1"/>
  <c r="L8" i="1"/>
  <c r="S19" i="5"/>
  <c r="K13" i="2"/>
  <c r="Q49" i="1"/>
  <c r="R49" i="1" s="1"/>
  <c r="Q54" i="1"/>
  <c r="R54" i="1" s="1"/>
  <c r="Q51" i="1"/>
  <c r="R51" i="1" s="1"/>
  <c r="Q42" i="1"/>
  <c r="R42" i="1" s="1"/>
  <c r="Q37" i="1"/>
  <c r="R37" i="1" s="1"/>
  <c r="Q34" i="1"/>
  <c r="R34" i="1" s="1"/>
  <c r="Q53" i="1"/>
  <c r="R53" i="1" s="1"/>
  <c r="Q46" i="1"/>
  <c r="R46" i="1" s="1"/>
  <c r="Q39" i="1"/>
  <c r="R39" i="1" s="1"/>
  <c r="Q33" i="1"/>
  <c r="R33" i="1" s="1"/>
  <c r="Q31" i="1"/>
  <c r="R31" i="1" s="1"/>
  <c r="Q47" i="1"/>
  <c r="R47" i="1" s="1"/>
  <c r="Q38" i="1"/>
  <c r="R38" i="1" s="1"/>
  <c r="K9" i="1"/>
  <c r="D5" i="2" s="1"/>
  <c r="Q40" i="1"/>
  <c r="R40" i="1" s="1"/>
  <c r="Q30" i="1"/>
  <c r="R30" i="1" s="1"/>
  <c r="Q29" i="1"/>
  <c r="R29" i="1" s="1"/>
  <c r="Q55" i="1"/>
  <c r="R55" i="1" s="1"/>
  <c r="Q45" i="1"/>
  <c r="R45" i="1" s="1"/>
  <c r="Q36" i="1"/>
  <c r="R36" i="1" s="1"/>
  <c r="Q35" i="1"/>
  <c r="R35" i="1" s="1"/>
  <c r="Q28" i="1"/>
  <c r="R28" i="1" s="1"/>
  <c r="Q44" i="1"/>
  <c r="R44" i="1" s="1"/>
  <c r="Q32" i="1"/>
  <c r="R32" i="1" s="1"/>
  <c r="Q27" i="1"/>
  <c r="R27" i="1" s="1"/>
  <c r="Q43" i="1"/>
  <c r="R43" i="1" s="1"/>
  <c r="Q52" i="1"/>
  <c r="R52" i="1" s="1"/>
  <c r="Q50" i="1"/>
  <c r="R50" i="1" s="1"/>
  <c r="Q41" i="1"/>
  <c r="R41" i="1" s="1"/>
  <c r="Q26" i="1"/>
  <c r="R26" i="1" s="1"/>
  <c r="Q48" i="1"/>
  <c r="R48" i="1" s="1"/>
  <c r="Q25" i="1"/>
  <c r="P19" i="6"/>
  <c r="Q19" i="6" s="1"/>
  <c r="M19" i="6"/>
  <c r="K15" i="9"/>
  <c r="M15" i="9"/>
  <c r="D57" i="1"/>
  <c r="F56" i="1"/>
  <c r="J11" i="1" s="1"/>
  <c r="J8" i="1"/>
  <c r="C4" i="1"/>
  <c r="P42" i="7"/>
  <c r="O42" i="7" s="1"/>
  <c r="P47" i="7"/>
  <c r="O47" i="7" s="1"/>
  <c r="P39" i="7"/>
  <c r="O39" i="7" s="1"/>
  <c r="P31" i="7"/>
  <c r="O31" i="7" s="1"/>
  <c r="P38" i="7"/>
  <c r="O38" i="7" s="1"/>
  <c r="P30" i="7"/>
  <c r="O30" i="7" s="1"/>
  <c r="P45" i="7"/>
  <c r="O45" i="7" s="1"/>
  <c r="P29" i="7"/>
  <c r="O29" i="7" s="1"/>
  <c r="P40" i="7"/>
  <c r="O40" i="7" s="1"/>
  <c r="P26" i="7"/>
  <c r="O26" i="7" s="1"/>
  <c r="M8" i="7"/>
  <c r="P43" i="7"/>
  <c r="O43" i="7" s="1"/>
  <c r="P35" i="7"/>
  <c r="O35" i="7" s="1"/>
  <c r="I9" i="7"/>
  <c r="P44" i="7"/>
  <c r="O44" i="7" s="1"/>
  <c r="P41" i="7"/>
  <c r="O41" i="7" s="1"/>
  <c r="P33" i="7"/>
  <c r="O33" i="7" s="1"/>
  <c r="K8" i="7"/>
  <c r="L20" i="7" s="1"/>
  <c r="P32" i="7"/>
  <c r="O32" i="7" s="1"/>
  <c r="P27" i="7"/>
  <c r="O27" i="7" s="1"/>
  <c r="P43" i="6" l="1"/>
  <c r="O43" i="6" s="1"/>
  <c r="P41" i="5"/>
  <c r="O41" i="5" s="1"/>
  <c r="P35" i="5"/>
  <c r="O35" i="5" s="1"/>
  <c r="P43" i="5"/>
  <c r="O43" i="5" s="1"/>
  <c r="P14" i="6"/>
  <c r="Q14" i="6" s="1"/>
  <c r="N14" i="6"/>
  <c r="M14" i="6"/>
  <c r="I9" i="5"/>
  <c r="P26" i="6"/>
  <c r="O26" i="6" s="1"/>
  <c r="P27" i="6"/>
  <c r="O27" i="6" s="1"/>
  <c r="P28" i="6"/>
  <c r="O28" i="6" s="1"/>
  <c r="P42" i="6"/>
  <c r="O42" i="6" s="1"/>
  <c r="P36" i="6"/>
  <c r="O36" i="6" s="1"/>
  <c r="P37" i="6"/>
  <c r="O37" i="6" s="1"/>
  <c r="P35" i="6"/>
  <c r="O35" i="6" s="1"/>
  <c r="P31" i="6"/>
  <c r="O31" i="6" s="1"/>
  <c r="P29" i="6"/>
  <c r="O29" i="6" s="1"/>
  <c r="S39" i="6"/>
  <c r="P38" i="6"/>
  <c r="O38" i="6" s="1"/>
  <c r="P39" i="6"/>
  <c r="O39" i="6" s="1"/>
  <c r="I9" i="6"/>
  <c r="P25" i="6"/>
  <c r="P44" i="6"/>
  <c r="O44" i="6" s="1"/>
  <c r="P42" i="8"/>
  <c r="O42" i="8" s="1"/>
  <c r="N8" i="8"/>
  <c r="M15" i="2" s="1"/>
  <c r="H8" i="10"/>
  <c r="F4" i="10" s="1"/>
  <c r="N24" i="12"/>
  <c r="L19" i="12" s="1"/>
  <c r="I4" i="12" s="1"/>
  <c r="S43" i="1"/>
  <c r="S44" i="1" s="1"/>
  <c r="K8" i="4"/>
  <c r="K17" i="9"/>
  <c r="P27" i="4"/>
  <c r="O27" i="4" s="1"/>
  <c r="P36" i="7"/>
  <c r="O36" i="7" s="1"/>
  <c r="P25" i="7"/>
  <c r="P46" i="7"/>
  <c r="O46" i="7" s="1"/>
  <c r="P30" i="4"/>
  <c r="O30" i="4" s="1"/>
  <c r="P28" i="8"/>
  <c r="O28" i="8" s="1"/>
  <c r="P36" i="8"/>
  <c r="O36" i="8" s="1"/>
  <c r="P39" i="8"/>
  <c r="O39" i="8" s="1"/>
  <c r="P43" i="8"/>
  <c r="O43" i="8" s="1"/>
  <c r="P36" i="4"/>
  <c r="O36" i="4" s="1"/>
  <c r="S51" i="4"/>
  <c r="S54" i="4" s="1"/>
  <c r="G48" i="2" s="1"/>
  <c r="P45" i="8"/>
  <c r="O45" i="8" s="1"/>
  <c r="P37" i="8"/>
  <c r="O37" i="8" s="1"/>
  <c r="P47" i="8"/>
  <c r="O47" i="8" s="1"/>
  <c r="M13" i="2"/>
  <c r="P41" i="4"/>
  <c r="O41" i="4" s="1"/>
  <c r="N17" i="9"/>
  <c r="P33" i="8"/>
  <c r="O33" i="8" s="1"/>
  <c r="P27" i="8"/>
  <c r="O27" i="8" s="1"/>
  <c r="M8" i="8"/>
  <c r="O4" i="2" s="1"/>
  <c r="P28" i="4"/>
  <c r="O28" i="4" s="1"/>
  <c r="P38" i="4"/>
  <c r="O38" i="4" s="1"/>
  <c r="P45" i="4"/>
  <c r="O45" i="4" s="1"/>
  <c r="C4" i="7"/>
  <c r="E4" i="7" s="1"/>
  <c r="P28" i="7"/>
  <c r="O28" i="7" s="1"/>
  <c r="P37" i="7"/>
  <c r="O37" i="7" s="1"/>
  <c r="P34" i="7"/>
  <c r="O34" i="7" s="1"/>
  <c r="I9" i="4"/>
  <c r="Q51" i="4" s="1"/>
  <c r="R51" i="4" s="1"/>
  <c r="I9" i="8"/>
  <c r="Q40" i="8" s="1"/>
  <c r="R40" i="8" s="1"/>
  <c r="P38" i="8"/>
  <c r="O38" i="8" s="1"/>
  <c r="P14" i="5"/>
  <c r="Q14" i="5" s="1"/>
  <c r="M14" i="5"/>
  <c r="P47" i="4"/>
  <c r="O47" i="4" s="1"/>
  <c r="P44" i="4"/>
  <c r="O44" i="4" s="1"/>
  <c r="P53" i="4"/>
  <c r="O53" i="4" s="1"/>
  <c r="P39" i="4"/>
  <c r="O39" i="4" s="1"/>
  <c r="P50" i="4"/>
  <c r="O50" i="4" s="1"/>
  <c r="P51" i="4"/>
  <c r="O51" i="4" s="1"/>
  <c r="C4" i="4"/>
  <c r="E4" i="4" s="1"/>
  <c r="P25" i="4"/>
  <c r="P48" i="4"/>
  <c r="O48" i="4" s="1"/>
  <c r="P52" i="4"/>
  <c r="O52" i="4" s="1"/>
  <c r="P29" i="4"/>
  <c r="O29" i="4" s="1"/>
  <c r="P32" i="4"/>
  <c r="O32" i="4" s="1"/>
  <c r="P34" i="4"/>
  <c r="O34" i="4" s="1"/>
  <c r="P46" i="4"/>
  <c r="O46" i="4" s="1"/>
  <c r="P49" i="4"/>
  <c r="O49" i="4" s="1"/>
  <c r="P26" i="4"/>
  <c r="O26" i="4" s="1"/>
  <c r="P35" i="4"/>
  <c r="O35" i="4" s="1"/>
  <c r="P42" i="4"/>
  <c r="O42" i="4" s="1"/>
  <c r="P43" i="4"/>
  <c r="O43" i="4" s="1"/>
  <c r="P33" i="4"/>
  <c r="O33" i="4" s="1"/>
  <c r="P31" i="4"/>
  <c r="O31" i="4" s="1"/>
  <c r="P37" i="4"/>
  <c r="O37" i="4" s="1"/>
  <c r="G13" i="2"/>
  <c r="K17" i="8"/>
  <c r="M12" i="2" s="1"/>
  <c r="N17" i="8"/>
  <c r="M17" i="8"/>
  <c r="O12" i="2" s="1"/>
  <c r="T13" i="4"/>
  <c r="I14" i="2" s="1"/>
  <c r="G14" i="2"/>
  <c r="K17" i="4"/>
  <c r="G12" i="2" s="1"/>
  <c r="N17" i="4"/>
  <c r="M17" i="4"/>
  <c r="I12" i="2" s="1"/>
  <c r="K17" i="5"/>
  <c r="J12" i="2" s="1"/>
  <c r="N17" i="5"/>
  <c r="M17" i="5"/>
  <c r="L12" i="2" s="1"/>
  <c r="M17" i="6"/>
  <c r="N17" i="6"/>
  <c r="K17" i="6"/>
  <c r="D58" i="1"/>
  <c r="N10" i="6"/>
  <c r="M10" i="5"/>
  <c r="L6" i="2" s="1"/>
  <c r="M20" i="6"/>
  <c r="P20" i="6"/>
  <c r="Q20" i="6" s="1"/>
  <c r="N20" i="6"/>
  <c r="E7" i="2"/>
  <c r="K11" i="1"/>
  <c r="D7" i="2" s="1"/>
  <c r="L20" i="4"/>
  <c r="G4" i="2"/>
  <c r="Q29" i="4"/>
  <c r="R29" i="4" s="1"/>
  <c r="P12" i="6"/>
  <c r="Q12" i="6" s="1"/>
  <c r="M12" i="6"/>
  <c r="F24" i="12"/>
  <c r="G24" i="12" s="1"/>
  <c r="D19" i="12" s="1"/>
  <c r="H4" i="12" s="1"/>
  <c r="J15" i="5"/>
  <c r="J16" i="5"/>
  <c r="K8" i="5"/>
  <c r="K4" i="2"/>
  <c r="J16" i="6"/>
  <c r="J15" i="6"/>
  <c r="L11" i="5"/>
  <c r="K7" i="2"/>
  <c r="K11" i="5"/>
  <c r="J7" i="2" s="1"/>
  <c r="M16" i="7"/>
  <c r="P16" i="7"/>
  <c r="Q16" i="7" s="1"/>
  <c r="O25" i="6"/>
  <c r="L8" i="6"/>
  <c r="N8" i="6" s="1"/>
  <c r="P48" i="6"/>
  <c r="O48" i="6" s="1"/>
  <c r="S40" i="6"/>
  <c r="D51" i="5"/>
  <c r="D5" i="1"/>
  <c r="E4" i="1"/>
  <c r="J13" i="2"/>
  <c r="T19" i="5"/>
  <c r="L13" i="2" s="1"/>
  <c r="O25" i="7"/>
  <c r="P48" i="7"/>
  <c r="O48" i="7" s="1"/>
  <c r="S25" i="7"/>
  <c r="S48" i="7" s="1"/>
  <c r="D49" i="7"/>
  <c r="N23" i="10"/>
  <c r="L18" i="10" s="1"/>
  <c r="I4" i="10" s="1"/>
  <c r="E4" i="2"/>
  <c r="J15" i="1"/>
  <c r="J16" i="1"/>
  <c r="N8" i="1"/>
  <c r="K8" i="1"/>
  <c r="P8" i="1"/>
  <c r="Q8" i="1" s="1"/>
  <c r="M8" i="1"/>
  <c r="F4" i="2" s="1"/>
  <c r="M10" i="1"/>
  <c r="F6" i="2" s="1"/>
  <c r="P10" i="1"/>
  <c r="Q10" i="1" s="1"/>
  <c r="P20" i="7"/>
  <c r="Q20" i="7" s="1"/>
  <c r="M20" i="7"/>
  <c r="Q40" i="6"/>
  <c r="R40" i="6" s="1"/>
  <c r="T39" i="6"/>
  <c r="T40" i="6" s="1"/>
  <c r="Q41" i="6"/>
  <c r="R41" i="6" s="1"/>
  <c r="Q37" i="6"/>
  <c r="R37" i="6" s="1"/>
  <c r="Q34" i="6"/>
  <c r="R34" i="6" s="1"/>
  <c r="Q27" i="6"/>
  <c r="R27" i="6" s="1"/>
  <c r="Q44" i="6"/>
  <c r="R44" i="6" s="1"/>
  <c r="Q31" i="6"/>
  <c r="R31" i="6" s="1"/>
  <c r="Q36" i="6"/>
  <c r="R36" i="6" s="1"/>
  <c r="Q30" i="6"/>
  <c r="R30" i="6" s="1"/>
  <c r="Q33" i="6"/>
  <c r="R33" i="6" s="1"/>
  <c r="Q26" i="6"/>
  <c r="R26" i="6" s="1"/>
  <c r="Q47" i="6"/>
  <c r="R47" i="6" s="1"/>
  <c r="Q25" i="6"/>
  <c r="Q29" i="6"/>
  <c r="R29" i="6" s="1"/>
  <c r="Q39" i="6"/>
  <c r="R39" i="6" s="1"/>
  <c r="Q35" i="6"/>
  <c r="R35" i="6" s="1"/>
  <c r="Q28" i="6"/>
  <c r="R28" i="6" s="1"/>
  <c r="Q38" i="6"/>
  <c r="R38" i="6" s="1"/>
  <c r="Q46" i="6"/>
  <c r="R46" i="6" s="1"/>
  <c r="Q45" i="6"/>
  <c r="R45" i="6" s="1"/>
  <c r="Q43" i="6"/>
  <c r="R43" i="6" s="1"/>
  <c r="Q32" i="6"/>
  <c r="R32" i="6" s="1"/>
  <c r="Q42" i="6"/>
  <c r="R42" i="6" s="1"/>
  <c r="K9" i="6"/>
  <c r="U39" i="6"/>
  <c r="I13" i="6"/>
  <c r="L20" i="8"/>
  <c r="M4" i="2"/>
  <c r="O25" i="8"/>
  <c r="Q45" i="8"/>
  <c r="R45" i="8" s="1"/>
  <c r="Q44" i="8"/>
  <c r="R44" i="8" s="1"/>
  <c r="Q43" i="8"/>
  <c r="R43" i="8" s="1"/>
  <c r="Q35" i="8"/>
  <c r="R35" i="8" s="1"/>
  <c r="Q25" i="8"/>
  <c r="Q41" i="8"/>
  <c r="R41" i="8" s="1"/>
  <c r="I13" i="8"/>
  <c r="Q34" i="8"/>
  <c r="R34" i="8" s="1"/>
  <c r="M16" i="9"/>
  <c r="P16" i="9"/>
  <c r="Q16" i="9" s="1"/>
  <c r="Q43" i="9"/>
  <c r="R43" i="9" s="1"/>
  <c r="Q35" i="9"/>
  <c r="R35" i="9" s="1"/>
  <c r="Q27" i="9"/>
  <c r="R27" i="9" s="1"/>
  <c r="Q40" i="9"/>
  <c r="R40" i="9" s="1"/>
  <c r="Q32" i="9"/>
  <c r="R32" i="9" s="1"/>
  <c r="Q45" i="9"/>
  <c r="R45" i="9" s="1"/>
  <c r="Q37" i="9"/>
  <c r="R37" i="9" s="1"/>
  <c r="Q29" i="9"/>
  <c r="R29" i="9" s="1"/>
  <c r="Q42" i="9"/>
  <c r="R42" i="9" s="1"/>
  <c r="Q34" i="9"/>
  <c r="R34" i="9" s="1"/>
  <c r="Q26" i="9"/>
  <c r="R26" i="9" s="1"/>
  <c r="Q47" i="9"/>
  <c r="R47" i="9" s="1"/>
  <c r="Q39" i="9"/>
  <c r="R39" i="9" s="1"/>
  <c r="Q31" i="9"/>
  <c r="R31" i="9" s="1"/>
  <c r="Q46" i="9"/>
  <c r="R46" i="9" s="1"/>
  <c r="Q38" i="9"/>
  <c r="R38" i="9" s="1"/>
  <c r="Q30" i="9"/>
  <c r="R30" i="9" s="1"/>
  <c r="K9" i="9"/>
  <c r="Q44" i="9"/>
  <c r="R44" i="9" s="1"/>
  <c r="Q36" i="9"/>
  <c r="R36" i="9" s="1"/>
  <c r="Q28" i="9"/>
  <c r="R28" i="9" s="1"/>
  <c r="Q41" i="9"/>
  <c r="R41" i="9" s="1"/>
  <c r="M9" i="9"/>
  <c r="Q33" i="9"/>
  <c r="R33" i="9" s="1"/>
  <c r="Q25" i="9"/>
  <c r="N9" i="9"/>
  <c r="I13" i="9"/>
  <c r="K16" i="8"/>
  <c r="L16" i="8"/>
  <c r="N16" i="8"/>
  <c r="F23" i="10"/>
  <c r="G23" i="10" s="1"/>
  <c r="D18" i="10" s="1"/>
  <c r="H4" i="10" s="1"/>
  <c r="J16" i="4"/>
  <c r="J15" i="4"/>
  <c r="H4" i="2"/>
  <c r="L12" i="8"/>
  <c r="N12" i="8"/>
  <c r="K12" i="8"/>
  <c r="M8" i="2" s="1"/>
  <c r="N8" i="2"/>
  <c r="P17" i="1"/>
  <c r="Q17" i="1" s="1"/>
  <c r="M17" i="1"/>
  <c r="F12" i="2" s="1"/>
  <c r="Q47" i="7"/>
  <c r="R47" i="7" s="1"/>
  <c r="Q39" i="7"/>
  <c r="R39" i="7" s="1"/>
  <c r="Q31" i="7"/>
  <c r="R31" i="7" s="1"/>
  <c r="Q44" i="7"/>
  <c r="R44" i="7" s="1"/>
  <c r="Q36" i="7"/>
  <c r="R36" i="7" s="1"/>
  <c r="Q28" i="7"/>
  <c r="R28" i="7" s="1"/>
  <c r="Q43" i="7"/>
  <c r="R43" i="7" s="1"/>
  <c r="Q35" i="7"/>
  <c r="R35" i="7" s="1"/>
  <c r="Q27" i="7"/>
  <c r="R27" i="7" s="1"/>
  <c r="Q42" i="7"/>
  <c r="R42" i="7" s="1"/>
  <c r="Q34" i="7"/>
  <c r="R34" i="7" s="1"/>
  <c r="Q26" i="7"/>
  <c r="R26" i="7" s="1"/>
  <c r="L13" i="7" s="1"/>
  <c r="P13" i="7" s="1"/>
  <c r="Q13" i="7" s="1"/>
  <c r="Q41" i="7"/>
  <c r="R41" i="7" s="1"/>
  <c r="Q33" i="7"/>
  <c r="R33" i="7" s="1"/>
  <c r="Q46" i="7"/>
  <c r="R46" i="7" s="1"/>
  <c r="Q38" i="7"/>
  <c r="R38" i="7" s="1"/>
  <c r="Q30" i="7"/>
  <c r="R30" i="7" s="1"/>
  <c r="M9" i="7"/>
  <c r="Q45" i="7"/>
  <c r="R45" i="7" s="1"/>
  <c r="Q40" i="7"/>
  <c r="R40" i="7" s="1"/>
  <c r="Q37" i="7"/>
  <c r="R37" i="7" s="1"/>
  <c r="Q32" i="7"/>
  <c r="R32" i="7" s="1"/>
  <c r="Q25" i="7"/>
  <c r="Q29" i="7"/>
  <c r="R29" i="7" s="1"/>
  <c r="K9" i="7"/>
  <c r="I13" i="7"/>
  <c r="N9" i="7"/>
  <c r="R25" i="1"/>
  <c r="Q56" i="1"/>
  <c r="L9" i="1"/>
  <c r="P12" i="4"/>
  <c r="Q12" i="4" s="1"/>
  <c r="M12" i="4"/>
  <c r="I8" i="2" s="1"/>
  <c r="Q44" i="5"/>
  <c r="R44" i="5" s="1"/>
  <c r="Q49" i="5"/>
  <c r="R49" i="5" s="1"/>
  <c r="Q46" i="5"/>
  <c r="R46" i="5" s="1"/>
  <c r="Q43" i="5"/>
  <c r="R43" i="5" s="1"/>
  <c r="Q26" i="5"/>
  <c r="R26" i="5" s="1"/>
  <c r="Q39" i="5"/>
  <c r="R39" i="5" s="1"/>
  <c r="Q33" i="5"/>
  <c r="R33" i="5" s="1"/>
  <c r="Q38" i="5"/>
  <c r="R38" i="5" s="1"/>
  <c r="Q35" i="5"/>
  <c r="R35" i="5" s="1"/>
  <c r="Q30" i="5"/>
  <c r="R30" i="5" s="1"/>
  <c r="Q28" i="5"/>
  <c r="R28" i="5" s="1"/>
  <c r="Q36" i="5"/>
  <c r="R36" i="5" s="1"/>
  <c r="Q47" i="5"/>
  <c r="R47" i="5" s="1"/>
  <c r="Q34" i="5"/>
  <c r="R34" i="5" s="1"/>
  <c r="Q27" i="5"/>
  <c r="R27" i="5" s="1"/>
  <c r="Q45" i="5"/>
  <c r="R45" i="5" s="1"/>
  <c r="Q25" i="5"/>
  <c r="Q42" i="5"/>
  <c r="R42" i="5" s="1"/>
  <c r="Q41" i="5"/>
  <c r="R41" i="5" s="1"/>
  <c r="Q37" i="5"/>
  <c r="R37" i="5" s="1"/>
  <c r="Q40" i="5"/>
  <c r="R40" i="5" s="1"/>
  <c r="M9" i="5"/>
  <c r="L5" i="2" s="1"/>
  <c r="Q48" i="5"/>
  <c r="R48" i="5" s="1"/>
  <c r="Q29" i="5"/>
  <c r="R29" i="5" s="1"/>
  <c r="I13" i="5"/>
  <c r="K9" i="5"/>
  <c r="J5" i="2" s="1"/>
  <c r="Q32" i="5"/>
  <c r="R32" i="5" s="1"/>
  <c r="Q31" i="5"/>
  <c r="R31" i="5" s="1"/>
  <c r="N9" i="5"/>
  <c r="N12" i="6"/>
  <c r="P12" i="5"/>
  <c r="Q12" i="5" s="1"/>
  <c r="M12" i="5"/>
  <c r="L8" i="2" s="1"/>
  <c r="O25" i="9"/>
  <c r="P48" i="9"/>
  <c r="O48" i="9" s="1"/>
  <c r="D49" i="9"/>
  <c r="P12" i="1"/>
  <c r="Q12" i="1" s="1"/>
  <c r="M12" i="1"/>
  <c r="F8" i="2" s="1"/>
  <c r="L10" i="4"/>
  <c r="H6" i="2"/>
  <c r="P50" i="5"/>
  <c r="O50" i="5" s="1"/>
  <c r="L8" i="5"/>
  <c r="O25" i="5"/>
  <c r="M20" i="9"/>
  <c r="P20" i="9"/>
  <c r="Q20" i="9" s="1"/>
  <c r="Q25" i="4" l="1"/>
  <c r="Q34" i="4"/>
  <c r="R34" i="4" s="1"/>
  <c r="Q50" i="4"/>
  <c r="R50" i="4" s="1"/>
  <c r="Q30" i="4"/>
  <c r="R30" i="4" s="1"/>
  <c r="K9" i="4"/>
  <c r="G5" i="2" s="1"/>
  <c r="Q52" i="4"/>
  <c r="R52" i="4" s="1"/>
  <c r="Q27" i="4"/>
  <c r="R27" i="4" s="1"/>
  <c r="D49" i="6"/>
  <c r="S47" i="1"/>
  <c r="K16" i="12"/>
  <c r="K15" i="10"/>
  <c r="K16" i="11"/>
  <c r="K4" i="12"/>
  <c r="M4" i="12" s="1"/>
  <c r="S45" i="1"/>
  <c r="S46" i="1"/>
  <c r="Q43" i="4"/>
  <c r="R43" i="4" s="1"/>
  <c r="Q46" i="4"/>
  <c r="R46" i="4" s="1"/>
  <c r="M9" i="8"/>
  <c r="O5" i="2" s="1"/>
  <c r="Q29" i="8"/>
  <c r="R29" i="8" s="1"/>
  <c r="I13" i="4"/>
  <c r="K13" i="4" s="1"/>
  <c r="G9" i="2" s="1"/>
  <c r="T51" i="4"/>
  <c r="T54" i="4" s="1"/>
  <c r="I48" i="2" s="1"/>
  <c r="Q42" i="4"/>
  <c r="R42" i="4" s="1"/>
  <c r="Q28" i="4"/>
  <c r="R28" i="4" s="1"/>
  <c r="Q33" i="4"/>
  <c r="R33" i="4" s="1"/>
  <c r="Q27" i="8"/>
  <c r="R27" i="8" s="1"/>
  <c r="Q26" i="8"/>
  <c r="R26" i="8" s="1"/>
  <c r="Q32" i="4"/>
  <c r="R32" i="4" s="1"/>
  <c r="Q36" i="4"/>
  <c r="R36" i="4" s="1"/>
  <c r="Q46" i="8"/>
  <c r="R46" i="8" s="1"/>
  <c r="Q28" i="8"/>
  <c r="R28" i="8" s="1"/>
  <c r="Q30" i="8"/>
  <c r="R30" i="8" s="1"/>
  <c r="Q47" i="8"/>
  <c r="R47" i="8" s="1"/>
  <c r="N9" i="8"/>
  <c r="Q38" i="8"/>
  <c r="R38" i="8" s="1"/>
  <c r="Q39" i="8"/>
  <c r="R39" i="8" s="1"/>
  <c r="Q37" i="8"/>
  <c r="R37" i="8" s="1"/>
  <c r="Q31" i="8"/>
  <c r="R31" i="8" s="1"/>
  <c r="K9" i="8"/>
  <c r="M5" i="2" s="1"/>
  <c r="Q32" i="8"/>
  <c r="R32" i="8" s="1"/>
  <c r="Q48" i="4"/>
  <c r="R48" i="4" s="1"/>
  <c r="Q49" i="4"/>
  <c r="R49" i="4" s="1"/>
  <c r="U51" i="4"/>
  <c r="U54" i="4" s="1"/>
  <c r="Q53" i="4"/>
  <c r="R53" i="4" s="1"/>
  <c r="K4" i="10"/>
  <c r="M4" i="10" s="1"/>
  <c r="D49" i="8"/>
  <c r="P48" i="8"/>
  <c r="O48" i="8" s="1"/>
  <c r="Q26" i="4"/>
  <c r="R26" i="4" s="1"/>
  <c r="Q40" i="4"/>
  <c r="R40" i="4" s="1"/>
  <c r="Q45" i="4"/>
  <c r="R45" i="4" s="1"/>
  <c r="Q37" i="4"/>
  <c r="R37" i="4" s="1"/>
  <c r="Q38" i="4"/>
  <c r="R38" i="4" s="1"/>
  <c r="Q35" i="4"/>
  <c r="R35" i="4" s="1"/>
  <c r="Q31" i="4"/>
  <c r="R31" i="4" s="1"/>
  <c r="Q44" i="4"/>
  <c r="R44" i="4" s="1"/>
  <c r="Q33" i="8"/>
  <c r="R33" i="8" s="1"/>
  <c r="Q42" i="8"/>
  <c r="R42" i="8" s="1"/>
  <c r="Q36" i="8"/>
  <c r="R36" i="8" s="1"/>
  <c r="Q41" i="4"/>
  <c r="R41" i="4" s="1"/>
  <c r="Q47" i="4"/>
  <c r="R47" i="4" s="1"/>
  <c r="Q39" i="4"/>
  <c r="R39" i="4" s="1"/>
  <c r="P54" i="4"/>
  <c r="O54" i="4" s="1"/>
  <c r="O25" i="4"/>
  <c r="L8" i="4"/>
  <c r="N8" i="4" s="1"/>
  <c r="G15" i="2" s="1"/>
  <c r="D55" i="4"/>
  <c r="S41" i="6"/>
  <c r="S42" i="6" s="1"/>
  <c r="L11" i="1"/>
  <c r="P9" i="1"/>
  <c r="Q9" i="1" s="1"/>
  <c r="N9" i="1"/>
  <c r="M9" i="1"/>
  <c r="F5" i="2" s="1"/>
  <c r="M20" i="8"/>
  <c r="P20" i="8"/>
  <c r="Q20" i="8" s="1"/>
  <c r="T41" i="6"/>
  <c r="T42" i="6" s="1"/>
  <c r="T43" i="6" s="1"/>
  <c r="P8" i="6"/>
  <c r="Q8" i="6" s="1"/>
  <c r="M8" i="6"/>
  <c r="L15" i="6"/>
  <c r="N15" i="6"/>
  <c r="K15" i="6"/>
  <c r="P20" i="4"/>
  <c r="Q20" i="4" s="1"/>
  <c r="M20" i="4"/>
  <c r="N20" i="4"/>
  <c r="P8" i="5"/>
  <c r="Q8" i="5" s="1"/>
  <c r="M8" i="5"/>
  <c r="L4" i="2" s="1"/>
  <c r="P10" i="4"/>
  <c r="Q10" i="4" s="1"/>
  <c r="M10" i="4"/>
  <c r="I6" i="2" s="1"/>
  <c r="N10" i="4"/>
  <c r="L15" i="4"/>
  <c r="H11" i="2"/>
  <c r="K15" i="4"/>
  <c r="G11" i="2" s="1"/>
  <c r="K13" i="9"/>
  <c r="M13" i="9"/>
  <c r="N13" i="9"/>
  <c r="K13" i="6"/>
  <c r="D15" i="2"/>
  <c r="K16" i="1"/>
  <c r="N16" i="1"/>
  <c r="L16" i="1"/>
  <c r="R56" i="1"/>
  <c r="L13" i="1"/>
  <c r="T25" i="7"/>
  <c r="T48" i="7" s="1"/>
  <c r="Q48" i="7"/>
  <c r="R25" i="7"/>
  <c r="E11" i="2"/>
  <c r="L15" i="1"/>
  <c r="N15" i="1" s="1"/>
  <c r="K15" i="1"/>
  <c r="D11" i="2" s="1"/>
  <c r="L16" i="6"/>
  <c r="K16" i="6"/>
  <c r="N16" i="6"/>
  <c r="N16" i="4"/>
  <c r="L16" i="4"/>
  <c r="K16" i="4"/>
  <c r="Q48" i="9"/>
  <c r="R25" i="9"/>
  <c r="R48" i="9" s="1"/>
  <c r="R25" i="4"/>
  <c r="J4" i="2"/>
  <c r="L20" i="5"/>
  <c r="Q48" i="6"/>
  <c r="L9" i="6"/>
  <c r="R25" i="6"/>
  <c r="K13" i="5"/>
  <c r="J9" i="2" s="1"/>
  <c r="N13" i="5"/>
  <c r="M13" i="5"/>
  <c r="L9" i="2" s="1"/>
  <c r="N8" i="5"/>
  <c r="J15" i="2" s="1"/>
  <c r="Q50" i="5"/>
  <c r="R25" i="5"/>
  <c r="R50" i="5" s="1"/>
  <c r="P12" i="8"/>
  <c r="Q12" i="8" s="1"/>
  <c r="M12" i="8"/>
  <c r="O8" i="2" s="1"/>
  <c r="P16" i="8"/>
  <c r="Q16" i="8" s="1"/>
  <c r="M16" i="8"/>
  <c r="R25" i="8"/>
  <c r="P11" i="5"/>
  <c r="Q11" i="5" s="1"/>
  <c r="M11" i="5"/>
  <c r="L7" i="2" s="1"/>
  <c r="L16" i="5"/>
  <c r="K16" i="5"/>
  <c r="N16" i="5"/>
  <c r="K13" i="7"/>
  <c r="M13" i="7"/>
  <c r="N13" i="7"/>
  <c r="K13" i="8"/>
  <c r="M9" i="2" s="1"/>
  <c r="M13" i="8"/>
  <c r="O9" i="2" s="1"/>
  <c r="N13" i="8"/>
  <c r="U40" i="6"/>
  <c r="D4" i="2"/>
  <c r="L20" i="1"/>
  <c r="N11" i="5"/>
  <c r="L15" i="5"/>
  <c r="K11" i="2"/>
  <c r="N15" i="5"/>
  <c r="K15" i="5"/>
  <c r="J11" i="2" s="1"/>
  <c r="S48" i="1" l="1"/>
  <c r="Q48" i="8"/>
  <c r="R48" i="8"/>
  <c r="P8" i="4"/>
  <c r="Q8" i="4" s="1"/>
  <c r="L9" i="4"/>
  <c r="M9" i="4" s="1"/>
  <c r="I5" i="2" s="1"/>
  <c r="Q54" i="4"/>
  <c r="M8" i="4"/>
  <c r="I4" i="2" s="1"/>
  <c r="T44" i="6"/>
  <c r="T48" i="6" s="1"/>
  <c r="S43" i="6"/>
  <c r="S44" i="6" s="1"/>
  <c r="S48" i="6" s="1"/>
  <c r="U41" i="6"/>
  <c r="U42" i="6" s="1"/>
  <c r="U43" i="6" s="1"/>
  <c r="U44" i="6" s="1"/>
  <c r="U48" i="6" s="1"/>
  <c r="M20" i="1"/>
  <c r="P20" i="1"/>
  <c r="Q20" i="1" s="1"/>
  <c r="N20" i="1"/>
  <c r="R48" i="6"/>
  <c r="L13" i="6"/>
  <c r="L11" i="6"/>
  <c r="P9" i="6"/>
  <c r="Q9" i="6" s="1"/>
  <c r="M9" i="6"/>
  <c r="N9" i="6"/>
  <c r="M16" i="6"/>
  <c r="P16" i="6"/>
  <c r="Q16" i="6" s="1"/>
  <c r="P15" i="4"/>
  <c r="Q15" i="4" s="1"/>
  <c r="M15" i="4"/>
  <c r="I11" i="2" s="1"/>
  <c r="P16" i="1"/>
  <c r="Q16" i="1" s="1"/>
  <c r="M16" i="1"/>
  <c r="P15" i="6"/>
  <c r="Q15" i="6" s="1"/>
  <c r="M15" i="6"/>
  <c r="R54" i="4"/>
  <c r="L13" i="4"/>
  <c r="P11" i="1"/>
  <c r="Q11" i="1" s="1"/>
  <c r="M11" i="1"/>
  <c r="F7" i="2" s="1"/>
  <c r="N11" i="1"/>
  <c r="P15" i="5"/>
  <c r="Q15" i="5" s="1"/>
  <c r="M15" i="5"/>
  <c r="L11" i="2" s="1"/>
  <c r="M13" i="1"/>
  <c r="F9" i="2" s="1"/>
  <c r="P13" i="1"/>
  <c r="Q13" i="1" s="1"/>
  <c r="N13" i="1"/>
  <c r="P16" i="5"/>
  <c r="Q16" i="5" s="1"/>
  <c r="M16" i="5"/>
  <c r="P20" i="5"/>
  <c r="Q20" i="5" s="1"/>
  <c r="N20" i="5"/>
  <c r="M20" i="5"/>
  <c r="M16" i="4"/>
  <c r="P16" i="4"/>
  <c r="Q16" i="4" s="1"/>
  <c r="P15" i="1"/>
  <c r="Q15" i="1" s="1"/>
  <c r="M15" i="1"/>
  <c r="F11" i="2" s="1"/>
  <c r="U25" i="7"/>
  <c r="U48" i="7" s="1"/>
  <c r="R48" i="7"/>
  <c r="N15" i="4"/>
  <c r="D49" i="2" l="1"/>
  <c r="S49" i="1"/>
  <c r="S50" i="1" s="1"/>
  <c r="S51" i="1" s="1"/>
  <c r="S52" i="1" s="1"/>
  <c r="S56" i="1" s="1"/>
  <c r="P9" i="4"/>
  <c r="Q9" i="4" s="1"/>
  <c r="N9" i="4"/>
  <c r="L11" i="4"/>
  <c r="N11" i="4" s="1"/>
  <c r="P13" i="4"/>
  <c r="Q13" i="4" s="1"/>
  <c r="M13" i="4"/>
  <c r="I9" i="2" s="1"/>
  <c r="N13" i="4"/>
  <c r="P11" i="6"/>
  <c r="Q11" i="6" s="1"/>
  <c r="M11" i="6"/>
  <c r="N11" i="6"/>
  <c r="P13" i="6"/>
  <c r="Q13" i="6" s="1"/>
  <c r="M13" i="6"/>
  <c r="N13" i="6"/>
  <c r="P11" i="4" l="1"/>
  <c r="Q11" i="4" s="1"/>
  <c r="M11" i="4"/>
  <c r="I7" i="2" s="1"/>
  <c r="O49" i="2"/>
  <c r="T48" i="8"/>
  <c r="T48" i="9"/>
  <c r="T25" i="9"/>
  <c r="U25" i="9"/>
  <c r="U48" i="9"/>
  <c r="S48" i="9"/>
  <c r="S25" i="9"/>
  <c r="T40" i="8"/>
  <c r="T30" i="8"/>
  <c r="T29" i="8"/>
  <c r="T37" i="8"/>
  <c r="T35" i="8"/>
  <c r="T26" i="8"/>
  <c r="T32" i="8"/>
  <c r="T34" i="8"/>
  <c r="T39" i="8"/>
  <c r="T36" i="8"/>
  <c r="T44" i="8"/>
  <c r="T28" i="8"/>
  <c r="T42" i="8"/>
  <c r="T31" i="8"/>
  <c r="T38" i="8"/>
  <c r="T43" i="8"/>
  <c r="T27" i="8"/>
  <c r="T41" i="8"/>
  <c r="T25" i="8"/>
  <c r="T33" i="8"/>
  <c r="U28" i="8"/>
  <c r="U48" i="8"/>
  <c r="U38" i="8"/>
  <c r="U39" i="8"/>
  <c r="U32" i="8"/>
  <c r="U37" i="8"/>
  <c r="U41" i="8"/>
  <c r="U36" i="8"/>
  <c r="U33" i="8"/>
  <c r="U40" i="8"/>
  <c r="U34" i="8"/>
  <c r="U43" i="8"/>
  <c r="U44" i="8"/>
  <c r="U29" i="8"/>
  <c r="U31" i="8"/>
  <c r="U30" i="8"/>
  <c r="U35" i="8"/>
  <c r="U42" i="8"/>
  <c r="U27" i="8"/>
  <c r="U25" i="8"/>
  <c r="U26" i="8"/>
  <c r="S43" i="8"/>
  <c r="S36" i="8"/>
  <c r="S29" i="8"/>
  <c r="S40" i="8"/>
  <c r="S38" i="8"/>
  <c r="S34" i="8"/>
  <c r="S44" i="8"/>
  <c r="S28" i="8"/>
  <c r="S42" i="8"/>
  <c r="S37" i="8"/>
  <c r="S35" i="8"/>
  <c r="S30" i="8"/>
  <c r="S32" i="8"/>
  <c r="S33" i="8"/>
  <c r="S26" i="8"/>
  <c r="S31" i="8"/>
  <c r="S41" i="8"/>
  <c r="S39" i="8"/>
  <c r="S27" i="8"/>
  <c r="S25" i="8"/>
  <c r="S48" i="8"/>
  <c r="M4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Microsoft Office</author>
  </authors>
  <commentList>
    <comment ref="AC28" authorId="0" shapeId="0" xr:uid="{1491C007-6B42-6E4D-B372-2672370C0EBA}">
      <text>
        <r>
          <rPr>
            <b/>
            <sz val="10"/>
            <color rgb="FF000000"/>
            <rFont val="Tahoma"/>
            <family val="2"/>
            <charset val="204"/>
          </rPr>
          <t>Пользователь Microsoft Office:</t>
        </r>
        <r>
          <rPr>
            <sz val="10"/>
            <color rgb="FF000000"/>
            <rFont val="Tahoma"/>
            <family val="2"/>
            <charset val="204"/>
          </rPr>
          <t xml:space="preserve">
</t>
        </r>
        <r>
          <rPr>
            <sz val="10"/>
            <color rgb="FF000000"/>
            <rFont val="Tahoma"/>
            <family val="2"/>
            <charset val="204"/>
          </rPr>
          <t xml:space="preserve">+4 </t>
        </r>
        <r>
          <rPr>
            <sz val="10"/>
            <color rgb="FF000000"/>
            <rFont val="Tahoma"/>
            <family val="2"/>
            <charset val="204"/>
          </rPr>
          <t xml:space="preserve">часа с 28.07
</t>
        </r>
      </text>
    </comment>
  </commentList>
</comments>
</file>

<file path=xl/sharedStrings.xml><?xml version="1.0" encoding="utf-8"?>
<sst xmlns="http://schemas.openxmlformats.org/spreadsheetml/2006/main" count="774" uniqueCount="125">
  <si>
    <t>(отчетная дата)</t>
  </si>
  <si>
    <t>Осталось до выполнения плана!!!</t>
  </si>
  <si>
    <t>Целевые показатели</t>
  </si>
  <si>
    <t>Показатель</t>
  </si>
  <si>
    <t>План</t>
  </si>
  <si>
    <t>Факт</t>
  </si>
  <si>
    <t>% выполнения</t>
  </si>
  <si>
    <t>Прогноз выполнения</t>
  </si>
  <si>
    <t>% выполнения по прогнозу</t>
  </si>
  <si>
    <t>Отклонение</t>
  </si>
  <si>
    <t>Факт аналогичного месяца прошлого года</t>
  </si>
  <si>
    <t>Отклонение LFL</t>
  </si>
  <si>
    <t>Выручка</t>
  </si>
  <si>
    <t>Кол-во изделий</t>
  </si>
  <si>
    <t>Средний чек</t>
  </si>
  <si>
    <t>IS</t>
  </si>
  <si>
    <t>Средняя стоимость изделия</t>
  </si>
  <si>
    <t>Длина чека</t>
  </si>
  <si>
    <t>Кол-во чеков</t>
  </si>
  <si>
    <t>Кол-во смен</t>
  </si>
  <si>
    <t>Средние продажи в смену</t>
  </si>
  <si>
    <t>Отставание/Перевыполнение</t>
  </si>
  <si>
    <t>UNOde50</t>
  </si>
  <si>
    <t>Трафик</t>
  </si>
  <si>
    <t>Конверсия план/факт</t>
  </si>
  <si>
    <t>Факт продаж за месяц</t>
  </si>
  <si>
    <t>% выполнения дневного плана</t>
  </si>
  <si>
    <t>Раcпределение плана по дням</t>
  </si>
  <si>
    <t>Сотрудник</t>
  </si>
  <si>
    <t>Дата</t>
  </si>
  <si>
    <t>День недели</t>
  </si>
  <si>
    <t>Выручка (руб)</t>
  </si>
  <si>
    <t>Кол-во единиц (шт.)</t>
  </si>
  <si>
    <t>Средняя стоимость изделия (руб.)</t>
  </si>
  <si>
    <t>Количество чеков  (шт.)</t>
  </si>
  <si>
    <t>Средняя сумма чека (руб.)</t>
  </si>
  <si>
    <t>Длина чека (шт.)</t>
  </si>
  <si>
    <t>Запасной</t>
  </si>
  <si>
    <t>Конверсия (%)</t>
  </si>
  <si>
    <t>выручка, план</t>
  </si>
  <si>
    <t>кол-во ед, план</t>
  </si>
  <si>
    <t>Кол-во чеков, план</t>
  </si>
  <si>
    <t>выручка, скорректир.план</t>
  </si>
  <si>
    <t>кол-во ед, скорр. план</t>
  </si>
  <si>
    <t>кол-во чеков, скорр. план</t>
  </si>
  <si>
    <t>Коэфф. Дня Недели</t>
  </si>
  <si>
    <t>Специфика месяца</t>
  </si>
  <si>
    <t>Уразгильдеева,Яковенко</t>
  </si>
  <si>
    <t>вт</t>
  </si>
  <si>
    <t>Рогалевич,Уразгильдеева</t>
  </si>
  <si>
    <t>ср</t>
  </si>
  <si>
    <t>Рогалевич,Яковенко</t>
  </si>
  <si>
    <t>чт</t>
  </si>
  <si>
    <t>пт</t>
  </si>
  <si>
    <t>сб</t>
  </si>
  <si>
    <t>вс</t>
  </si>
  <si>
    <t>пн</t>
  </si>
  <si>
    <t>Яковенко,Уразгильдеева</t>
  </si>
  <si>
    <t>Рогалевич,Яковенко,Уразгильдеева</t>
  </si>
  <si>
    <t>Рогалевич</t>
  </si>
  <si>
    <t>итого</t>
  </si>
  <si>
    <t xml:space="preserve">Факт </t>
  </si>
  <si>
    <t>Прогноз</t>
  </si>
  <si>
    <t>Кол-во смен план/отработано</t>
  </si>
  <si>
    <t>Отклонение от плана</t>
  </si>
  <si>
    <t>Конверсия</t>
  </si>
  <si>
    <t xml:space="preserve">                          ЕЖЕДНЕВНЫЙ ОТЧЕТ О ПРОДАЖАХ</t>
  </si>
  <si>
    <t>в</t>
  </si>
  <si>
    <t>Выплачено на карту</t>
  </si>
  <si>
    <t>Выплачено наличными по платежной ведомости</t>
  </si>
  <si>
    <t>Дополнительные начисления, доплаты</t>
  </si>
  <si>
    <t>Оклад</t>
  </si>
  <si>
    <t>Бонусная часть от личных продаж</t>
  </si>
  <si>
    <t>Бонусная часть от общих продаж</t>
  </si>
  <si>
    <t>Базовый бонус за выполнение плана</t>
  </si>
  <si>
    <t>Итого:</t>
  </si>
  <si>
    <t>Вычеты</t>
  </si>
  <si>
    <t>Итого к выдаче с учетом авансов и вычетов</t>
  </si>
  <si>
    <t>Подпись</t>
  </si>
  <si>
    <t>Доп начисления</t>
  </si>
  <si>
    <t>Сумма</t>
  </si>
  <si>
    <t>Описание</t>
  </si>
  <si>
    <t>Оклад:</t>
  </si>
  <si>
    <t>Дней</t>
  </si>
  <si>
    <t>Магазин</t>
  </si>
  <si>
    <t>Должность</t>
  </si>
  <si>
    <t>Зачислено часов</t>
  </si>
  <si>
    <t>Ставка за час, руб</t>
  </si>
  <si>
    <t>Начислено за день, руб</t>
  </si>
  <si>
    <t>КВП</t>
  </si>
  <si>
    <t>Начисленный ББ</t>
  </si>
  <si>
    <t>ПК</t>
  </si>
  <si>
    <t>БонуснаяЧасть</t>
  </si>
  <si>
    <t>Бонус от личных продаж по категории товара</t>
  </si>
  <si>
    <t>Бонус от общих продаж</t>
  </si>
  <si>
    <t>Процент от продажи</t>
  </si>
  <si>
    <t>Продано на сумму, руб</t>
  </si>
  <si>
    <t>Начисленный бонус от продаж, руб</t>
  </si>
  <si>
    <t>Кол-во отработанных личных часов</t>
  </si>
  <si>
    <t>Кол-во отработанных общих часов</t>
  </si>
  <si>
    <t>Июль, 2025</t>
  </si>
  <si>
    <t>г. Ялта</t>
  </si>
  <si>
    <t>ул. Набережная Ленина, 18</t>
  </si>
  <si>
    <t>GL-0005</t>
  </si>
  <si>
    <t>10.00-23.00</t>
  </si>
  <si>
    <t>ФОТ</t>
  </si>
  <si>
    <t>Кол-во дней в месяц</t>
  </si>
  <si>
    <t>Часы</t>
  </si>
  <si>
    <t>Выходные</t>
  </si>
  <si>
    <t>Отпуск</t>
  </si>
  <si>
    <t>Больничный (официальный)</t>
  </si>
  <si>
    <t>Дни стажировки</t>
  </si>
  <si>
    <t>№</t>
  </si>
  <si>
    <t>ФИО</t>
  </si>
  <si>
    <t>Дни</t>
  </si>
  <si>
    <t>Орешникова Елена</t>
  </si>
  <si>
    <t>Яковенко Алина</t>
  </si>
  <si>
    <t>о</t>
  </si>
  <si>
    <t>Уразгильдеева Екатерина</t>
  </si>
  <si>
    <t>Рогалевич Ирина</t>
  </si>
  <si>
    <t>УМ</t>
  </si>
  <si>
    <t>Итого магазин</t>
  </si>
  <si>
    <t xml:space="preserve">    </t>
  </si>
  <si>
    <t>НДФЛ июль 2025</t>
  </si>
  <si>
    <t>Административный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</si>
</sst>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#,##0\ &quot;₽&quot;;\-#,##0\ &quot;₽&quot;"/>
    <numFmt numFmtId="164" formatCode="dddd&quot;, &quot;mmmm\ dd&quot;, &quot;yyyy"/>
    <numFmt numFmtId="165" formatCode="0.0%"/>
    <numFmt numFmtId="166" formatCode="#,##0\ &quot;₽&quot;"/>
    <numFmt numFmtId="167" formatCode="#,##0.0"/>
    <numFmt numFmtId="168" formatCode="_-* #,##0.00_р_._-;\-* #,##0.00_р_._-;_-* \-??_р_._-;_-@_-"/>
    <numFmt numFmtId="169" formatCode="#,##0.00\ &quot;₽&quot;"/>
    <numFmt numFmtId="170" formatCode="#,##0\ _₽"/>
    <numFmt numFmtId="171" formatCode="#,##0.00\ _₽"/>
    <numFmt numFmtId="172" formatCode="0.0"/>
    <numFmt numFmtId="173" formatCode="mmmm\ yyyy;@"/>
  </numFmts>
  <fonts count="55">
    <font>
      <sz val="11"/>
      <color indexed="63"/>
      <name val="Calibri"/>
    </font>
    <font>
      <sz val="9"/>
      <color indexed="63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linica Pro Regular"/>
    </font>
    <font>
      <sz val="11"/>
      <color rgb="FFCC66FF"/>
      <name val="Times New Roman"/>
      <family val="1"/>
    </font>
    <font>
      <b/>
      <sz val="8"/>
      <color rgb="FFCC66FF"/>
      <name val="Times New Roman"/>
      <family val="1"/>
    </font>
    <font>
      <sz val="8"/>
      <name val="Times New Roman"/>
      <family val="1"/>
    </font>
    <font>
      <sz val="28"/>
      <color rgb="FFCC66FF"/>
      <name val="Times New Roman"/>
      <family val="1"/>
    </font>
    <font>
      <sz val="8"/>
      <color rgb="FFCC66FF"/>
      <name val="Times New Roman"/>
      <family val="1"/>
    </font>
    <font>
      <b/>
      <sz val="11"/>
      <color rgb="FFCC66FF"/>
      <name val="Times New Roman"/>
      <family val="1"/>
    </font>
    <font>
      <b/>
      <sz val="11"/>
      <color rgb="FFCC66FF"/>
      <name val="Clinica Pro Regular"/>
    </font>
    <font>
      <sz val="11"/>
      <color rgb="FFCC66FF"/>
      <name val="Clinica Pro Regular"/>
    </font>
    <font>
      <b/>
      <sz val="12"/>
      <color rgb="FFCC66FF"/>
      <name val="Clinica Pro Regular"/>
    </font>
    <font>
      <b/>
      <sz val="8"/>
      <name val="Times New Roman"/>
      <family val="1"/>
    </font>
    <font>
      <sz val="11"/>
      <color rgb="FFFFC000"/>
      <name val="Times New Roman"/>
      <family val="1"/>
    </font>
    <font>
      <b/>
      <sz val="12"/>
      <name val="Clinica Pro Regular"/>
    </font>
    <font>
      <sz val="8"/>
      <name val="Clinica Pro Regular"/>
    </font>
    <font>
      <b/>
      <sz val="8"/>
      <name val="Clinica Pro Regular"/>
    </font>
    <font>
      <b/>
      <sz val="8"/>
      <color indexed="17"/>
      <name val="Clinica Pro Regular"/>
    </font>
    <font>
      <b/>
      <sz val="9"/>
      <name val="Clinica Pro Regular"/>
    </font>
    <font>
      <sz val="9"/>
      <name val="Clinica Pro Regular"/>
    </font>
    <font>
      <sz val="10"/>
      <name val="Clinica Pro Regular"/>
    </font>
    <font>
      <b/>
      <sz val="9"/>
      <color theme="1"/>
      <name val="Clinica Pro Regular"/>
    </font>
    <font>
      <b/>
      <sz val="8"/>
      <color theme="1"/>
      <name val="Clinica Pro Regular"/>
    </font>
    <font>
      <b/>
      <sz val="9"/>
      <color indexed="17"/>
      <name val="Clinica Pro Regular"/>
    </font>
    <font>
      <b/>
      <sz val="8"/>
      <color indexed="63"/>
      <name val="Clinica Pro Regular"/>
    </font>
    <font>
      <b/>
      <sz val="8"/>
      <color rgb="FF3B3838"/>
      <name val="Clinica Pro Regular"/>
    </font>
    <font>
      <sz val="9"/>
      <color indexed="63"/>
      <name val="Clinica Pro Regular"/>
    </font>
    <font>
      <b/>
      <sz val="8"/>
      <color rgb="FF1F4E79"/>
      <name val="Clinica Pro Regular"/>
    </font>
    <font>
      <sz val="11"/>
      <name val="Calibri"/>
      <family val="2"/>
    </font>
    <font>
      <sz val="8"/>
      <color indexed="63"/>
      <name val="Clinica Pro Regular"/>
    </font>
    <font>
      <sz val="9"/>
      <color theme="1"/>
      <name val="Clinica Pro Regular"/>
    </font>
    <font>
      <sz val="10"/>
      <color indexed="63"/>
      <name val="Clinica Pro Regular"/>
    </font>
    <font>
      <b/>
      <sz val="8"/>
      <color rgb="FFCC66FF"/>
      <name val="Clinica Pro Regular"/>
    </font>
    <font>
      <sz val="28"/>
      <color rgb="FFCC66FF"/>
      <name val="Clinica Pro Regular"/>
    </font>
    <font>
      <sz val="8"/>
      <color rgb="FFCC66FF"/>
      <name val="Clinica Pro Regular"/>
    </font>
    <font>
      <sz val="11"/>
      <color rgb="FFFFC000"/>
      <name val="Clinica Pro Regular"/>
    </font>
    <font>
      <b/>
      <sz val="10"/>
      <name val="Clinica Pro Regular"/>
    </font>
    <font>
      <sz val="8"/>
      <color rgb="FF413003"/>
      <name val="Clinica Pro Regular"/>
    </font>
    <font>
      <b/>
      <sz val="8"/>
      <color rgb="FF413003"/>
      <name val="Clinica Pro Regular"/>
    </font>
    <font>
      <b/>
      <sz val="11"/>
      <color indexed="56"/>
      <name val="Arial"/>
      <family val="2"/>
    </font>
    <font>
      <b/>
      <sz val="11"/>
      <color indexed="56"/>
      <name val="Clinica Pro Regular"/>
    </font>
    <font>
      <sz val="12"/>
      <name val="Clinica Pro Regular"/>
    </font>
    <font>
      <b/>
      <sz val="14"/>
      <color indexed="56"/>
      <name val="Clinica Pro Regular"/>
    </font>
    <font>
      <b/>
      <sz val="12"/>
      <color indexed="18"/>
      <name val="Clinica Pro Regular"/>
    </font>
    <font>
      <sz val="10"/>
      <color indexed="56"/>
      <name val="Clinica Pro Regular"/>
    </font>
    <font>
      <b/>
      <sz val="10"/>
      <color indexed="18"/>
      <name val="Clinica Pro Regular"/>
    </font>
    <font>
      <b/>
      <sz val="10"/>
      <color indexed="16"/>
      <name val="Clinica Pro Regular"/>
    </font>
    <font>
      <sz val="11"/>
      <name val="Clinica Pro Regular"/>
    </font>
    <font>
      <sz val="10"/>
      <color theme="0"/>
      <name val="Clinica Pro Regular"/>
    </font>
    <font>
      <b/>
      <sz val="11"/>
      <name val="Clinica Pro Regular"/>
    </font>
    <font>
      <sz val="12"/>
      <color theme="1"/>
      <name val="Clinica Pro Regular"/>
    </font>
    <font>
      <sz val="11"/>
      <color indexed="63"/>
      <name val="Calibri"/>
      <family val="2"/>
    </font>
    <font>
      <sz val="10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</fonts>
  <fills count="35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CFF00"/>
        <bgColor rgb="FFCCFF00"/>
      </patternFill>
    </fill>
    <fill>
      <patternFill patternType="solid">
        <fgColor indexed="65"/>
      </patternFill>
    </fill>
    <fill>
      <patternFill patternType="solid">
        <fgColor rgb="FF66FFFF"/>
        <bgColor rgb="FF4ACCD3"/>
      </patternFill>
    </fill>
    <fill>
      <patternFill patternType="solid">
        <fgColor indexed="6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theme="0"/>
        <bgColor rgb="FF66FFFF"/>
      </patternFill>
    </fill>
    <fill>
      <patternFill patternType="solid">
        <fgColor indexed="5"/>
        <bgColor indexed="5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2"/>
        <bgColor theme="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rgb="FFCCFF00"/>
        <bgColor indexed="5"/>
      </patternFill>
    </fill>
    <fill>
      <patternFill patternType="solid">
        <fgColor theme="2"/>
        <bgColor rgb="FF4ACCD3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8" tint="0.59999389629810485"/>
        <bgColor rgb="FF3B3838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theme="9" tint="0.79998168889431442"/>
        <bgColor indexed="64"/>
      </patternFill>
    </fill>
  </fills>
  <borders count="1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medium">
        <color auto="1"/>
      </left>
      <right/>
      <top style="medium">
        <color auto="1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indexed="16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/>
    </border>
    <border>
      <left/>
      <right/>
      <top style="medium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 style="medium">
        <color indexed="16"/>
      </top>
      <bottom/>
      <diagonal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medium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/>
      <diagonal/>
    </border>
    <border>
      <left/>
      <right/>
      <top style="thin">
        <color indexed="16"/>
      </top>
      <bottom style="thin">
        <color indexed="16"/>
      </bottom>
      <diagonal/>
    </border>
    <border>
      <left style="medium">
        <color auto="1"/>
      </left>
      <right style="medium">
        <color auto="1"/>
      </right>
      <top style="thin">
        <color indexed="16"/>
      </top>
      <bottom style="medium">
        <color auto="1"/>
      </bottom>
      <diagonal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2" fillId="0" borderId="0" applyFont="0" applyFill="0" applyBorder="0" applyProtection="0"/>
  </cellStyleXfs>
  <cellXfs count="7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3" fillId="2" borderId="0" xfId="0" applyFont="1" applyFill="1"/>
    <xf numFmtId="164" fontId="13" fillId="2" borderId="0" xfId="0" applyNumberFormat="1" applyFont="1" applyFill="1" applyAlignment="1">
      <alignment horizontal="center" vertical="center"/>
    </xf>
    <xf numFmtId="9" fontId="11" fillId="2" borderId="5" xfId="0" applyNumberFormat="1" applyFont="1" applyFill="1" applyBorder="1"/>
    <xf numFmtId="1" fontId="2" fillId="2" borderId="0" xfId="0" applyNumberFormat="1" applyFont="1" applyFill="1"/>
    <xf numFmtId="0" fontId="14" fillId="2" borderId="0" xfId="0" applyFont="1" applyFill="1"/>
    <xf numFmtId="0" fontId="15" fillId="2" borderId="9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3" fontId="14" fillId="2" borderId="0" xfId="0" applyNumberFormat="1" applyFont="1" applyFill="1"/>
    <xf numFmtId="3" fontId="20" fillId="3" borderId="18" xfId="0" applyNumberFormat="1" applyFont="1" applyFill="1" applyBorder="1" applyAlignment="1">
      <alignment horizontal="center" vertical="center"/>
    </xf>
    <xf numFmtId="3" fontId="20" fillId="4" borderId="19" xfId="0" applyNumberFormat="1" applyFont="1" applyFill="1" applyBorder="1" applyAlignment="1">
      <alignment horizontal="center" vertical="center"/>
    </xf>
    <xf numFmtId="10" fontId="21" fillId="4" borderId="19" xfId="0" applyNumberFormat="1" applyFont="1" applyFill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165" fontId="23" fillId="0" borderId="20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/>
    </xf>
    <xf numFmtId="3" fontId="16" fillId="3" borderId="21" xfId="0" applyNumberFormat="1" applyFont="1" applyFill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5" borderId="0" xfId="1" applyNumberFormat="1" applyFont="1" applyFill="1" applyAlignment="1" applyProtection="1">
      <alignment vertical="center"/>
    </xf>
    <xf numFmtId="3" fontId="20" fillId="4" borderId="23" xfId="0" applyNumberFormat="1" applyFont="1" applyFill="1" applyBorder="1" applyAlignment="1">
      <alignment horizontal="center" vertical="center"/>
    </xf>
    <xf numFmtId="3" fontId="16" fillId="4" borderId="24" xfId="0" applyNumberFormat="1" applyFont="1" applyFill="1" applyBorder="1" applyAlignment="1">
      <alignment horizontal="center" vertical="center"/>
    </xf>
    <xf numFmtId="10" fontId="16" fillId="4" borderId="24" xfId="0" applyNumberFormat="1" applyFont="1" applyFill="1" applyBorder="1" applyAlignment="1">
      <alignment horizontal="center" vertical="center"/>
    </xf>
    <xf numFmtId="3" fontId="22" fillId="0" borderId="24" xfId="0" applyNumberFormat="1" applyFont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3" fontId="16" fillId="0" borderId="24" xfId="0" applyNumberFormat="1" applyFont="1" applyBorder="1" applyAlignment="1">
      <alignment horizontal="center" vertical="center"/>
    </xf>
    <xf numFmtId="3" fontId="16" fillId="4" borderId="16" xfId="0" applyNumberFormat="1" applyFont="1" applyFill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3" fontId="20" fillId="4" borderId="24" xfId="0" applyNumberFormat="1" applyFont="1" applyFill="1" applyBorder="1" applyAlignment="1">
      <alignment horizontal="center" vertical="center"/>
    </xf>
    <xf numFmtId="10" fontId="19" fillId="4" borderId="24" xfId="0" applyNumberFormat="1" applyFont="1" applyFill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3" fontId="19" fillId="4" borderId="23" xfId="0" applyNumberFormat="1" applyFont="1" applyFill="1" applyBorder="1" applyAlignment="1">
      <alignment horizontal="center" vertical="center"/>
    </xf>
    <xf numFmtId="165" fontId="19" fillId="0" borderId="26" xfId="0" applyNumberFormat="1" applyFont="1" applyBorder="1" applyAlignment="1">
      <alignment horizontal="center" vertical="center"/>
    </xf>
    <xf numFmtId="3" fontId="20" fillId="3" borderId="23" xfId="0" applyNumberFormat="1" applyFont="1" applyFill="1" applyBorder="1" applyAlignment="1">
      <alignment horizontal="center" vertical="center"/>
    </xf>
    <xf numFmtId="3" fontId="16" fillId="3" borderId="23" xfId="0" applyNumberFormat="1" applyFont="1" applyFill="1" applyBorder="1" applyAlignment="1">
      <alignment horizontal="center" vertical="center"/>
    </xf>
    <xf numFmtId="4" fontId="20" fillId="3" borderId="23" xfId="0" applyNumberFormat="1" applyFont="1" applyFill="1" applyBorder="1" applyAlignment="1">
      <alignment horizontal="center" vertical="center"/>
    </xf>
    <xf numFmtId="4" fontId="16" fillId="4" borderId="24" xfId="0" applyNumberFormat="1" applyFont="1" applyFill="1" applyBorder="1" applyAlignment="1">
      <alignment horizontal="center" vertical="center"/>
    </xf>
    <xf numFmtId="4" fontId="22" fillId="0" borderId="24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3" borderId="16" xfId="0" applyNumberFormat="1" applyFont="1" applyFill="1" applyBorder="1" applyAlignment="1">
      <alignment horizontal="center" vertical="center"/>
    </xf>
    <xf numFmtId="166" fontId="16" fillId="7" borderId="19" xfId="1" applyNumberFormat="1" applyFont="1" applyFill="1" applyBorder="1" applyAlignment="1" applyProtection="1">
      <alignment horizontal="right" vertical="center"/>
    </xf>
    <xf numFmtId="166" fontId="2" fillId="8" borderId="24" xfId="0" applyNumberFormat="1" applyFont="1" applyFill="1" applyBorder="1"/>
    <xf numFmtId="3" fontId="16" fillId="3" borderId="16" xfId="0" applyNumberFormat="1" applyFont="1" applyFill="1" applyBorder="1" applyAlignment="1">
      <alignment horizontal="center" vertical="center"/>
    </xf>
    <xf numFmtId="10" fontId="16" fillId="6" borderId="24" xfId="1" applyNumberFormat="1" applyFont="1" applyFill="1" applyBorder="1" applyAlignment="1" applyProtection="1">
      <alignment vertical="center"/>
    </xf>
    <xf numFmtId="10" fontId="0" fillId="2" borderId="0" xfId="0" applyNumberFormat="1" applyFill="1"/>
    <xf numFmtId="3" fontId="16" fillId="9" borderId="24" xfId="0" applyNumberFormat="1" applyFont="1" applyFill="1" applyBorder="1" applyAlignment="1">
      <alignment horizontal="center" vertical="center"/>
    </xf>
    <xf numFmtId="10" fontId="16" fillId="5" borderId="0" xfId="1" applyNumberFormat="1" applyFont="1" applyFill="1" applyAlignment="1" applyProtection="1">
      <alignment horizontal="center" vertical="center"/>
    </xf>
    <xf numFmtId="3" fontId="20" fillId="0" borderId="28" xfId="0" applyNumberFormat="1" applyFont="1" applyBorder="1" applyAlignment="1">
      <alignment horizontal="center" vertical="center"/>
    </xf>
    <xf numFmtId="3" fontId="16" fillId="4" borderId="30" xfId="0" applyNumberFormat="1" applyFont="1" applyFill="1" applyBorder="1" applyAlignment="1">
      <alignment horizontal="center" vertical="center"/>
    </xf>
    <xf numFmtId="10" fontId="16" fillId="4" borderId="30" xfId="0" applyNumberFormat="1" applyFont="1" applyFill="1" applyBorder="1" applyAlignment="1">
      <alignment horizontal="center" vertical="center"/>
    </xf>
    <xf numFmtId="3" fontId="22" fillId="0" borderId="30" xfId="0" applyNumberFormat="1" applyFont="1" applyBorder="1" applyAlignment="1">
      <alignment horizontal="center" vertical="center"/>
    </xf>
    <xf numFmtId="165" fontId="23" fillId="0" borderId="27" xfId="0" applyNumberFormat="1" applyFont="1" applyBorder="1" applyAlignment="1">
      <alignment horizontal="center" vertical="center"/>
    </xf>
    <xf numFmtId="3" fontId="16" fillId="3" borderId="31" xfId="0" applyNumberFormat="1" applyFont="1" applyFill="1" applyBorder="1" applyAlignment="1">
      <alignment horizontal="center" vertical="center"/>
    </xf>
    <xf numFmtId="3" fontId="24" fillId="0" borderId="30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3" fontId="20" fillId="3" borderId="28" xfId="0" applyNumberFormat="1" applyFont="1" applyFill="1" applyBorder="1" applyAlignment="1">
      <alignment horizontal="center" vertical="center"/>
    </xf>
    <xf numFmtId="3" fontId="20" fillId="4" borderId="28" xfId="0" applyNumberFormat="1" applyFont="1" applyFill="1" applyBorder="1" applyAlignment="1">
      <alignment horizontal="center" vertical="center"/>
    </xf>
    <xf numFmtId="165" fontId="16" fillId="4" borderId="30" xfId="0" applyNumberFormat="1" applyFont="1" applyFill="1" applyBorder="1" applyAlignment="1">
      <alignment horizontal="center" vertical="center"/>
    </xf>
    <xf numFmtId="167" fontId="24" fillId="0" borderId="30" xfId="0" applyNumberFormat="1" applyFont="1" applyBorder="1" applyAlignment="1">
      <alignment horizontal="center" vertical="center"/>
    </xf>
    <xf numFmtId="3" fontId="16" fillId="4" borderId="31" xfId="0" applyNumberFormat="1" applyFont="1" applyFill="1" applyBorder="1" applyAlignment="1">
      <alignment horizontal="center" vertical="center"/>
    </xf>
    <xf numFmtId="10" fontId="19" fillId="3" borderId="33" xfId="0" applyNumberFormat="1" applyFont="1" applyFill="1" applyBorder="1" applyAlignment="1">
      <alignment horizontal="center" vertical="center"/>
    </xf>
    <xf numFmtId="10" fontId="19" fillId="6" borderId="34" xfId="1" applyNumberFormat="1" applyFont="1" applyFill="1" applyBorder="1" applyAlignment="1" applyProtection="1">
      <alignment horizontal="center" vertical="center"/>
    </xf>
    <xf numFmtId="10" fontId="24" fillId="0" borderId="34" xfId="0" applyNumberFormat="1" applyFont="1" applyBorder="1" applyAlignment="1">
      <alignment horizontal="center" vertical="center"/>
    </xf>
    <xf numFmtId="165" fontId="24" fillId="0" borderId="35" xfId="0" applyNumberFormat="1" applyFont="1" applyBorder="1" applyAlignment="1">
      <alignment horizontal="center" vertical="center"/>
    </xf>
    <xf numFmtId="165" fontId="20" fillId="0" borderId="34" xfId="0" applyNumberFormat="1" applyFont="1" applyBorder="1" applyAlignment="1">
      <alignment horizontal="center" vertical="center"/>
    </xf>
    <xf numFmtId="165" fontId="20" fillId="3" borderId="36" xfId="0" applyNumberFormat="1" applyFont="1" applyFill="1" applyBorder="1" applyAlignment="1">
      <alignment horizontal="center" vertical="center"/>
    </xf>
    <xf numFmtId="3" fontId="20" fillId="0" borderId="34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4" fontId="2" fillId="2" borderId="0" xfId="0" applyNumberFormat="1" applyFont="1" applyFill="1"/>
    <xf numFmtId="0" fontId="17" fillId="10" borderId="24" xfId="0" applyFont="1" applyFill="1" applyBorder="1" applyAlignment="1">
      <alignment horizontal="center" vertical="center" wrapText="1"/>
    </xf>
    <xf numFmtId="0" fontId="17" fillId="11" borderId="24" xfId="0" applyFont="1" applyFill="1" applyBorder="1" applyAlignment="1">
      <alignment horizontal="center" vertical="center" wrapText="1"/>
    </xf>
    <xf numFmtId="0" fontId="26" fillId="10" borderId="24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16" fillId="10" borderId="24" xfId="0" applyFont="1" applyFill="1" applyBorder="1" applyAlignment="1">
      <alignment horizontal="center" vertical="top" wrapText="1"/>
    </xf>
    <xf numFmtId="0" fontId="17" fillId="10" borderId="24" xfId="0" applyFont="1" applyFill="1" applyBorder="1" applyAlignment="1">
      <alignment horizontal="center" vertical="top" wrapText="1"/>
    </xf>
    <xf numFmtId="0" fontId="27" fillId="0" borderId="24" xfId="0" applyFont="1" applyBorder="1" applyAlignment="1">
      <alignment horizontal="center" vertical="center"/>
    </xf>
    <xf numFmtId="16" fontId="16" fillId="0" borderId="24" xfId="0" applyNumberFormat="1" applyFont="1" applyBorder="1" applyAlignment="1">
      <alignment horizontal="center" vertical="top"/>
    </xf>
    <xf numFmtId="0" fontId="16" fillId="0" borderId="24" xfId="0" applyFont="1" applyBorder="1" applyAlignment="1">
      <alignment horizontal="center" vertical="top"/>
    </xf>
    <xf numFmtId="4" fontId="16" fillId="0" borderId="24" xfId="0" applyNumberFormat="1" applyFont="1" applyBorder="1" applyAlignment="1">
      <alignment horizontal="center" vertical="top"/>
    </xf>
    <xf numFmtId="3" fontId="16" fillId="0" borderId="24" xfId="0" applyNumberFormat="1" applyFont="1" applyBorder="1" applyAlignment="1">
      <alignment horizontal="center" vertical="top"/>
    </xf>
    <xf numFmtId="10" fontId="16" fillId="0" borderId="24" xfId="0" applyNumberFormat="1" applyFont="1" applyBorder="1" applyAlignment="1">
      <alignment horizontal="center" vertical="top"/>
    </xf>
    <xf numFmtId="9" fontId="3" fillId="0" borderId="24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/>
    </xf>
    <xf numFmtId="3" fontId="16" fillId="0" borderId="24" xfId="0" applyNumberFormat="1" applyFont="1" applyBorder="1" applyAlignment="1">
      <alignment horizontal="center"/>
    </xf>
    <xf numFmtId="2" fontId="16" fillId="0" borderId="24" xfId="0" applyNumberFormat="1" applyFont="1" applyBorder="1" applyAlignment="1">
      <alignment horizontal="right"/>
    </xf>
    <xf numFmtId="2" fontId="0" fillId="0" borderId="0" xfId="0" applyNumberFormat="1"/>
    <xf numFmtId="165" fontId="2" fillId="0" borderId="0" xfId="0" applyNumberFormat="1" applyFont="1"/>
    <xf numFmtId="2" fontId="2" fillId="0" borderId="0" xfId="0" applyNumberFormat="1" applyFont="1"/>
    <xf numFmtId="3" fontId="16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vertical="center"/>
    </xf>
    <xf numFmtId="0" fontId="29" fillId="0" borderId="0" xfId="0" applyFont="1"/>
    <xf numFmtId="168" fontId="2" fillId="0" borderId="0" xfId="0" applyNumberFormat="1" applyFont="1"/>
    <xf numFmtId="0" fontId="27" fillId="12" borderId="24" xfId="0" applyFont="1" applyFill="1" applyBorder="1" applyAlignment="1">
      <alignment horizontal="center" vertical="center"/>
    </xf>
    <xf numFmtId="4" fontId="16" fillId="12" borderId="24" xfId="0" applyNumberFormat="1" applyFont="1" applyFill="1" applyBorder="1" applyAlignment="1">
      <alignment horizontal="center" vertical="top"/>
    </xf>
    <xf numFmtId="3" fontId="16" fillId="12" borderId="24" xfId="0" applyNumberFormat="1" applyFont="1" applyFill="1" applyBorder="1" applyAlignment="1">
      <alignment horizontal="center" vertical="top"/>
    </xf>
    <xf numFmtId="165" fontId="16" fillId="12" borderId="24" xfId="0" applyNumberFormat="1" applyFont="1" applyFill="1" applyBorder="1" applyAlignment="1">
      <alignment horizontal="center" vertical="top"/>
    </xf>
    <xf numFmtId="9" fontId="3" fillId="12" borderId="24" xfId="0" applyNumberFormat="1" applyFont="1" applyFill="1" applyBorder="1" applyAlignment="1">
      <alignment horizontal="center" vertical="center"/>
    </xf>
    <xf numFmtId="3" fontId="16" fillId="12" borderId="24" xfId="0" applyNumberFormat="1" applyFont="1" applyFill="1" applyBorder="1" applyAlignment="1">
      <alignment horizontal="center"/>
    </xf>
    <xf numFmtId="3" fontId="16" fillId="12" borderId="24" xfId="0" applyNumberFormat="1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0" xfId="0" applyFont="1"/>
    <xf numFmtId="3" fontId="30" fillId="0" borderId="0" xfId="0" applyNumberFormat="1" applyFont="1"/>
    <xf numFmtId="165" fontId="16" fillId="0" borderId="0" xfId="0" applyNumberFormat="1" applyFont="1"/>
    <xf numFmtId="0" fontId="16" fillId="0" borderId="0" xfId="0" applyFont="1" applyAlignment="1">
      <alignment vertical="top"/>
    </xf>
    <xf numFmtId="1" fontId="16" fillId="0" borderId="0" xfId="0" applyNumberFormat="1" applyFont="1" applyAlignment="1">
      <alignment vertical="top"/>
    </xf>
    <xf numFmtId="3" fontId="16" fillId="0" borderId="0" xfId="0" applyNumberFormat="1" applyFont="1"/>
    <xf numFmtId="9" fontId="30" fillId="0" borderId="0" xfId="0" applyNumberFormat="1" applyFont="1"/>
    <xf numFmtId="4" fontId="3" fillId="0" borderId="0" xfId="0" applyNumberFormat="1" applyFont="1"/>
    <xf numFmtId="1" fontId="3" fillId="0" borderId="0" xfId="0" applyNumberFormat="1" applyFont="1"/>
    <xf numFmtId="10" fontId="3" fillId="0" borderId="0" xfId="0" applyNumberFormat="1" applyFont="1"/>
    <xf numFmtId="4" fontId="2" fillId="0" borderId="0" xfId="0" applyNumberFormat="1" applyFont="1"/>
    <xf numFmtId="14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3" fontId="17" fillId="5" borderId="35" xfId="0" applyNumberFormat="1" applyFont="1" applyFill="1" applyBorder="1" applyAlignment="1">
      <alignment horizontal="center" vertical="center"/>
    </xf>
    <xf numFmtId="3" fontId="17" fillId="5" borderId="27" xfId="0" applyNumberFormat="1" applyFont="1" applyFill="1" applyBorder="1" applyAlignment="1">
      <alignment horizontal="center" vertical="center"/>
    </xf>
    <xf numFmtId="0" fontId="17" fillId="5" borderId="44" xfId="0" applyFont="1" applyFill="1" applyBorder="1" applyAlignment="1">
      <alignment horizontal="center" vertical="center" wrapText="1"/>
    </xf>
    <xf numFmtId="10" fontId="31" fillId="0" borderId="18" xfId="0" applyNumberFormat="1" applyFont="1" applyBorder="1" applyAlignment="1">
      <alignment horizontal="center" vertical="center"/>
    </xf>
    <xf numFmtId="166" fontId="31" fillId="0" borderId="39" xfId="0" applyNumberFormat="1" applyFont="1" applyBorder="1" applyAlignment="1">
      <alignment horizontal="center" vertical="center"/>
    </xf>
    <xf numFmtId="10" fontId="31" fillId="0" borderId="40" xfId="0" applyNumberFormat="1" applyFont="1" applyBorder="1" applyAlignment="1">
      <alignment horizontal="center" vertical="center"/>
    </xf>
    <xf numFmtId="10" fontId="31" fillId="0" borderId="46" xfId="1" applyNumberFormat="1" applyFont="1" applyBorder="1" applyAlignment="1" applyProtection="1">
      <alignment horizontal="center" vertical="center"/>
    </xf>
    <xf numFmtId="166" fontId="31" fillId="0" borderId="47" xfId="1" applyNumberFormat="1" applyFont="1" applyBorder="1" applyAlignment="1" applyProtection="1">
      <alignment horizontal="center" vertical="center"/>
    </xf>
    <xf numFmtId="10" fontId="31" fillId="0" borderId="48" xfId="0" applyNumberFormat="1" applyFont="1" applyBorder="1" applyAlignment="1">
      <alignment horizontal="center" vertical="center"/>
    </xf>
    <xf numFmtId="10" fontId="31" fillId="0" borderId="18" xfId="1" applyNumberFormat="1" applyFont="1" applyBorder="1" applyAlignment="1" applyProtection="1">
      <alignment horizontal="center" vertical="center"/>
    </xf>
    <xf numFmtId="10" fontId="20" fillId="0" borderId="40" xfId="0" applyNumberFormat="1" applyFont="1" applyBorder="1" applyAlignment="1">
      <alignment horizontal="center" vertical="center"/>
    </xf>
    <xf numFmtId="10" fontId="31" fillId="0" borderId="49" xfId="0" applyNumberFormat="1" applyFont="1" applyBorder="1" applyAlignment="1">
      <alignment horizontal="center" vertical="center"/>
    </xf>
    <xf numFmtId="1" fontId="31" fillId="0" borderId="16" xfId="0" applyNumberFormat="1" applyFont="1" applyBorder="1" applyAlignment="1">
      <alignment horizontal="center" vertical="center"/>
    </xf>
    <xf numFmtId="10" fontId="31" fillId="0" borderId="26" xfId="0" applyNumberFormat="1" applyFont="1" applyBorder="1" applyAlignment="1">
      <alignment horizontal="center" vertical="center"/>
    </xf>
    <xf numFmtId="10" fontId="31" fillId="0" borderId="23" xfId="1" applyNumberFormat="1" applyFont="1" applyBorder="1" applyAlignment="1" applyProtection="1">
      <alignment horizontal="center" vertical="center"/>
    </xf>
    <xf numFmtId="1" fontId="31" fillId="0" borderId="24" xfId="1" applyNumberFormat="1" applyFont="1" applyBorder="1" applyAlignment="1" applyProtection="1">
      <alignment horizontal="center" vertical="center"/>
    </xf>
    <xf numFmtId="10" fontId="31" fillId="0" borderId="25" xfId="0" applyNumberFormat="1" applyFont="1" applyBorder="1" applyAlignment="1">
      <alignment horizontal="center" vertical="center"/>
    </xf>
    <xf numFmtId="10" fontId="31" fillId="0" borderId="49" xfId="1" applyNumberFormat="1" applyFont="1" applyBorder="1" applyAlignment="1" applyProtection="1">
      <alignment horizontal="center" vertical="center"/>
    </xf>
    <xf numFmtId="3" fontId="31" fillId="0" borderId="24" xfId="1" applyNumberFormat="1" applyFont="1" applyBorder="1" applyAlignment="1" applyProtection="1">
      <alignment horizontal="center" vertical="center"/>
    </xf>
    <xf numFmtId="10" fontId="20" fillId="0" borderId="26" xfId="0" applyNumberFormat="1" applyFont="1" applyBorder="1" applyAlignment="1">
      <alignment horizontal="center" vertical="center"/>
    </xf>
    <xf numFmtId="166" fontId="31" fillId="0" borderId="16" xfId="0" applyNumberFormat="1" applyFont="1" applyBorder="1" applyAlignment="1">
      <alignment horizontal="center" vertical="center"/>
    </xf>
    <xf numFmtId="166" fontId="31" fillId="0" borderId="24" xfId="1" applyNumberFormat="1" applyFont="1" applyBorder="1" applyAlignment="1" applyProtection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2" fontId="31" fillId="0" borderId="24" xfId="1" applyNumberFormat="1" applyFont="1" applyBorder="1" applyAlignment="1" applyProtection="1">
      <alignment horizontal="center" vertical="center"/>
    </xf>
    <xf numFmtId="4" fontId="31" fillId="0" borderId="24" xfId="1" applyNumberFormat="1" applyFont="1" applyBorder="1" applyAlignment="1" applyProtection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166" fontId="31" fillId="0" borderId="24" xfId="0" applyNumberFormat="1" applyFont="1" applyBorder="1" applyAlignment="1">
      <alignment horizontal="center" vertical="center"/>
    </xf>
    <xf numFmtId="169" fontId="31" fillId="0" borderId="24" xfId="1" applyNumberFormat="1" applyFont="1" applyBorder="1" applyAlignment="1" applyProtection="1">
      <alignment horizontal="center" vertical="center"/>
    </xf>
    <xf numFmtId="10" fontId="31" fillId="0" borderId="42" xfId="0" applyNumberFormat="1" applyFont="1" applyBorder="1" applyAlignment="1">
      <alignment horizontal="center" vertical="center"/>
    </xf>
    <xf numFmtId="166" fontId="31" fillId="0" borderId="34" xfId="0" applyNumberFormat="1" applyFont="1" applyBorder="1" applyAlignment="1">
      <alignment horizontal="center" vertical="center"/>
    </xf>
    <xf numFmtId="10" fontId="31" fillId="0" borderId="50" xfId="0" applyNumberFormat="1" applyFont="1" applyBorder="1" applyAlignment="1">
      <alignment horizontal="center" vertical="center"/>
    </xf>
    <xf numFmtId="10" fontId="31" fillId="0" borderId="51" xfId="1" applyNumberFormat="1" applyFont="1" applyBorder="1" applyAlignment="1" applyProtection="1">
      <alignment horizontal="center" vertical="center"/>
    </xf>
    <xf numFmtId="166" fontId="31" fillId="0" borderId="52" xfId="1" applyNumberFormat="1" applyFont="1" applyBorder="1" applyAlignment="1" applyProtection="1">
      <alignment horizontal="center" vertical="center"/>
    </xf>
    <xf numFmtId="10" fontId="31" fillId="0" borderId="53" xfId="0" applyNumberFormat="1" applyFont="1" applyBorder="1" applyAlignment="1">
      <alignment horizontal="center" vertical="center"/>
    </xf>
    <xf numFmtId="10" fontId="31" fillId="0" borderId="54" xfId="1" applyNumberFormat="1" applyFont="1" applyBorder="1" applyAlignment="1" applyProtection="1">
      <alignment horizontal="center" vertical="center"/>
    </xf>
    <xf numFmtId="166" fontId="31" fillId="0" borderId="34" xfId="1" applyNumberFormat="1" applyFont="1" applyBorder="1" applyAlignment="1" applyProtection="1">
      <alignment horizontal="center" vertical="center"/>
    </xf>
    <xf numFmtId="10" fontId="20" fillId="0" borderId="37" xfId="0" applyNumberFormat="1" applyFont="1" applyBorder="1" applyAlignment="1">
      <alignment horizontal="center" vertical="center"/>
    </xf>
    <xf numFmtId="3" fontId="17" fillId="5" borderId="37" xfId="0" applyNumberFormat="1" applyFont="1" applyFill="1" applyBorder="1" applyAlignment="1">
      <alignment horizontal="center" vertical="center"/>
    </xf>
    <xf numFmtId="0" fontId="17" fillId="5" borderId="37" xfId="0" applyFont="1" applyFill="1" applyBorder="1" applyAlignment="1">
      <alignment horizontal="center" vertical="center" wrapText="1"/>
    </xf>
    <xf numFmtId="166" fontId="31" fillId="0" borderId="47" xfId="0" applyNumberFormat="1" applyFont="1" applyBorder="1" applyAlignment="1">
      <alignment horizontal="center" vertical="center"/>
    </xf>
    <xf numFmtId="10" fontId="31" fillId="0" borderId="18" xfId="1" applyNumberFormat="1" applyFont="1" applyBorder="1" applyAlignment="1">
      <alignment horizontal="center" vertical="center"/>
    </xf>
    <xf numFmtId="166" fontId="31" fillId="0" borderId="47" xfId="1" applyNumberFormat="1" applyFont="1" applyBorder="1" applyAlignment="1">
      <alignment horizontal="center" vertical="center"/>
    </xf>
    <xf numFmtId="10" fontId="31" fillId="0" borderId="49" xfId="1" applyNumberFormat="1" applyFont="1" applyBorder="1" applyAlignment="1">
      <alignment horizontal="center" vertical="center"/>
    </xf>
    <xf numFmtId="1" fontId="31" fillId="0" borderId="24" xfId="1" applyNumberFormat="1" applyFont="1" applyBorder="1" applyAlignment="1">
      <alignment horizontal="center" vertical="center"/>
    </xf>
    <xf numFmtId="3" fontId="31" fillId="0" borderId="24" xfId="1" applyNumberFormat="1" applyFont="1" applyBorder="1" applyAlignment="1">
      <alignment horizontal="center" vertical="center"/>
    </xf>
    <xf numFmtId="166" fontId="31" fillId="0" borderId="24" xfId="1" applyNumberFormat="1" applyFont="1" applyBorder="1" applyAlignment="1">
      <alignment horizontal="center" vertical="center"/>
    </xf>
    <xf numFmtId="2" fontId="31" fillId="0" borderId="24" xfId="0" applyNumberFormat="1" applyFont="1" applyBorder="1" applyAlignment="1">
      <alignment horizontal="center" vertical="center"/>
    </xf>
    <xf numFmtId="2" fontId="31" fillId="0" borderId="24" xfId="1" applyNumberFormat="1" applyFont="1" applyBorder="1" applyAlignment="1">
      <alignment horizontal="center" vertical="center"/>
    </xf>
    <xf numFmtId="4" fontId="31" fillId="0" borderId="24" xfId="1" applyNumberFormat="1" applyFont="1" applyBorder="1" applyAlignment="1">
      <alignment horizontal="center" vertical="center"/>
    </xf>
    <xf numFmtId="169" fontId="31" fillId="0" borderId="24" xfId="1" applyNumberFormat="1" applyFont="1" applyBorder="1" applyAlignment="1">
      <alignment horizontal="center" vertical="center"/>
    </xf>
    <xf numFmtId="10" fontId="31" fillId="0" borderId="54" xfId="0" applyNumberFormat="1" applyFont="1" applyBorder="1" applyAlignment="1">
      <alignment horizontal="center" vertical="center"/>
    </xf>
    <xf numFmtId="10" fontId="31" fillId="0" borderId="37" xfId="0" applyNumberFormat="1" applyFont="1" applyBorder="1" applyAlignment="1">
      <alignment horizontal="center" vertical="center"/>
    </xf>
    <xf numFmtId="10" fontId="31" fillId="0" borderId="54" xfId="1" applyNumberFormat="1" applyFont="1" applyBorder="1" applyAlignment="1">
      <alignment horizontal="center" vertical="center"/>
    </xf>
    <xf numFmtId="166" fontId="31" fillId="0" borderId="34" xfId="1" applyNumberFormat="1" applyFont="1" applyBorder="1" applyAlignment="1">
      <alignment horizontal="center" vertical="center"/>
    </xf>
    <xf numFmtId="0" fontId="27" fillId="0" borderId="0" xfId="0" applyFont="1"/>
    <xf numFmtId="3" fontId="3" fillId="0" borderId="60" xfId="0" applyNumberFormat="1" applyFont="1" applyBorder="1" applyAlignment="1">
      <alignment horizontal="center" vertical="center" wrapText="1"/>
    </xf>
    <xf numFmtId="3" fontId="21" fillId="6" borderId="15" xfId="0" applyNumberFormat="1" applyFont="1" applyFill="1" applyBorder="1" applyAlignment="1">
      <alignment horizontal="center" vertical="center" wrapText="1"/>
    </xf>
    <xf numFmtId="3" fontId="21" fillId="4" borderId="15" xfId="0" applyNumberFormat="1" applyFont="1" applyFill="1" applyBorder="1" applyAlignment="1">
      <alignment horizontal="center" vertical="center"/>
    </xf>
    <xf numFmtId="3" fontId="21" fillId="3" borderId="15" xfId="0" applyNumberFormat="1" applyFont="1" applyFill="1" applyBorder="1" applyAlignment="1">
      <alignment horizontal="center" vertical="center"/>
    </xf>
    <xf numFmtId="4" fontId="21" fillId="3" borderId="15" xfId="0" applyNumberFormat="1" applyFont="1" applyFill="1" applyBorder="1" applyAlignment="1">
      <alignment horizontal="center" vertical="center"/>
    </xf>
    <xf numFmtId="10" fontId="21" fillId="6" borderId="15" xfId="0" applyNumberFormat="1" applyFont="1" applyFill="1" applyBorder="1" applyAlignment="1">
      <alignment horizontal="center" vertical="center"/>
    </xf>
    <xf numFmtId="170" fontId="32" fillId="0" borderId="15" xfId="0" applyNumberFormat="1" applyFont="1" applyBorder="1" applyAlignment="1">
      <alignment horizontal="center"/>
    </xf>
    <xf numFmtId="170" fontId="32" fillId="0" borderId="32" xfId="0" applyNumberFormat="1" applyFont="1" applyBorder="1" applyAlignment="1">
      <alignment horizontal="center"/>
    </xf>
    <xf numFmtId="0" fontId="16" fillId="2" borderId="0" xfId="0" applyFont="1" applyFill="1"/>
    <xf numFmtId="164" fontId="17" fillId="2" borderId="0" xfId="0" applyNumberFormat="1" applyFont="1" applyFill="1" applyAlignment="1">
      <alignment horizontal="center" vertical="center"/>
    </xf>
    <xf numFmtId="9" fontId="11" fillId="2" borderId="61" xfId="0" applyNumberFormat="1" applyFont="1" applyFill="1" applyBorder="1"/>
    <xf numFmtId="0" fontId="36" fillId="2" borderId="0" xfId="0" applyFont="1" applyFill="1"/>
    <xf numFmtId="3" fontId="19" fillId="0" borderId="18" xfId="0" applyNumberFormat="1" applyFont="1" applyBorder="1" applyAlignment="1">
      <alignment horizontal="center" vertical="center"/>
    </xf>
    <xf numFmtId="3" fontId="19" fillId="4" borderId="19" xfId="0" applyNumberFormat="1" applyFont="1" applyFill="1" applyBorder="1" applyAlignment="1">
      <alignment horizontal="center" vertical="center"/>
    </xf>
    <xf numFmtId="10" fontId="37" fillId="4" borderId="19" xfId="0" applyNumberFormat="1" applyFont="1" applyFill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10" fontId="23" fillId="0" borderId="20" xfId="0" applyNumberFormat="1" applyFont="1" applyBorder="1" applyAlignment="1">
      <alignment horizontal="center" vertical="center"/>
    </xf>
    <xf numFmtId="3" fontId="24" fillId="0" borderId="24" xfId="0" applyNumberFormat="1" applyFont="1" applyBorder="1" applyAlignment="1">
      <alignment horizontal="center" vertical="center"/>
    </xf>
    <xf numFmtId="10" fontId="23" fillId="0" borderId="25" xfId="0" applyNumberFormat="1" applyFont="1" applyBorder="1" applyAlignment="1">
      <alignment horizontal="center" vertical="center"/>
    </xf>
    <xf numFmtId="3" fontId="19" fillId="4" borderId="24" xfId="0" applyNumberFormat="1" applyFont="1" applyFill="1" applyBorder="1" applyAlignment="1">
      <alignment horizontal="center" vertical="center"/>
    </xf>
    <xf numFmtId="10" fontId="19" fillId="0" borderId="24" xfId="0" applyNumberFormat="1" applyFont="1" applyBorder="1" applyAlignment="1">
      <alignment horizontal="center" vertical="center"/>
    </xf>
    <xf numFmtId="10" fontId="22" fillId="0" borderId="25" xfId="0" applyNumberFormat="1" applyFont="1" applyBorder="1" applyAlignment="1">
      <alignment horizontal="center" vertical="center"/>
    </xf>
    <xf numFmtId="10" fontId="16" fillId="0" borderId="24" xfId="0" applyNumberFormat="1" applyFont="1" applyBorder="1" applyAlignment="1">
      <alignment horizontal="center" vertical="center"/>
    </xf>
    <xf numFmtId="4" fontId="24" fillId="0" borderId="24" xfId="0" applyNumberFormat="1" applyFont="1" applyBorder="1" applyAlignment="1">
      <alignment horizontal="center" vertical="center"/>
    </xf>
    <xf numFmtId="3" fontId="3" fillId="2" borderId="0" xfId="0" applyNumberFormat="1" applyFont="1" applyFill="1"/>
    <xf numFmtId="10" fontId="23" fillId="0" borderId="27" xfId="0" applyNumberFormat="1" applyFont="1" applyBorder="1" applyAlignment="1">
      <alignment horizontal="center" vertical="center"/>
    </xf>
    <xf numFmtId="10" fontId="18" fillId="0" borderId="27" xfId="0" applyNumberFormat="1" applyFont="1" applyBorder="1" applyAlignment="1">
      <alignment horizontal="center" vertical="center"/>
    </xf>
    <xf numFmtId="165" fontId="19" fillId="3" borderId="33" xfId="0" applyNumberFormat="1" applyFont="1" applyFill="1" applyBorder="1" applyAlignment="1">
      <alignment horizontal="center" vertical="center"/>
    </xf>
    <xf numFmtId="165" fontId="19" fillId="4" borderId="34" xfId="0" applyNumberFormat="1" applyFont="1" applyFill="1" applyBorder="1" applyAlignment="1">
      <alignment horizontal="center" vertical="center"/>
    </xf>
    <xf numFmtId="10" fontId="19" fillId="4" borderId="34" xfId="0" applyNumberFormat="1" applyFont="1" applyFill="1" applyBorder="1" applyAlignment="1">
      <alignment horizontal="center" vertical="center"/>
    </xf>
    <xf numFmtId="165" fontId="24" fillId="0" borderId="34" xfId="0" applyNumberFormat="1" applyFont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 wrapText="1"/>
    </xf>
    <xf numFmtId="0" fontId="17" fillId="14" borderId="24" xfId="0" applyFont="1" applyFill="1" applyBorder="1" applyAlignment="1">
      <alignment horizontal="center" vertical="center" wrapText="1"/>
    </xf>
    <xf numFmtId="0" fontId="26" fillId="13" borderId="24" xfId="0" applyFont="1" applyFill="1" applyBorder="1" applyAlignment="1">
      <alignment horizontal="center" vertical="center" wrapText="1"/>
    </xf>
    <xf numFmtId="3" fontId="3" fillId="0" borderId="0" xfId="0" applyNumberFormat="1" applyFont="1"/>
    <xf numFmtId="0" fontId="16" fillId="13" borderId="24" xfId="0" applyFont="1" applyFill="1" applyBorder="1" applyAlignment="1">
      <alignment horizontal="center" vertical="top" wrapText="1"/>
    </xf>
    <xf numFmtId="0" fontId="16" fillId="13" borderId="30" xfId="0" applyFont="1" applyFill="1" applyBorder="1" applyAlignment="1">
      <alignment horizontal="center" vertical="top" wrapText="1"/>
    </xf>
    <xf numFmtId="0" fontId="17" fillId="13" borderId="24" xfId="0" applyFont="1" applyFill="1" applyBorder="1" applyAlignment="1">
      <alignment horizontal="center" vertical="top" wrapText="1"/>
    </xf>
    <xf numFmtId="10" fontId="16" fillId="0" borderId="0" xfId="0" applyNumberFormat="1" applyFont="1" applyAlignment="1">
      <alignment horizontal="center" vertical="top"/>
    </xf>
    <xf numFmtId="165" fontId="16" fillId="0" borderId="0" xfId="0" applyNumberFormat="1" applyFont="1" applyAlignment="1">
      <alignment vertical="top"/>
    </xf>
    <xf numFmtId="0" fontId="27" fillId="0" borderId="0" xfId="0" applyFont="1" applyAlignment="1">
      <alignment horizontal="center"/>
    </xf>
    <xf numFmtId="0" fontId="16" fillId="0" borderId="25" xfId="0" applyFont="1" applyBorder="1" applyAlignment="1">
      <alignment horizontal="center" vertical="top"/>
    </xf>
    <xf numFmtId="4" fontId="16" fillId="15" borderId="24" xfId="0" applyNumberFormat="1" applyFont="1" applyFill="1" applyBorder="1" applyAlignment="1">
      <alignment horizontal="center" vertical="top"/>
    </xf>
    <xf numFmtId="2" fontId="16" fillId="15" borderId="24" xfId="0" applyNumberFormat="1" applyFont="1" applyFill="1" applyBorder="1" applyAlignment="1">
      <alignment horizontal="right"/>
    </xf>
    <xf numFmtId="0" fontId="0" fillId="15" borderId="0" xfId="0" applyFill="1"/>
    <xf numFmtId="0" fontId="27" fillId="15" borderId="24" xfId="0" applyFont="1" applyFill="1" applyBorder="1" applyAlignment="1">
      <alignment horizontal="center" vertical="center"/>
    </xf>
    <xf numFmtId="16" fontId="16" fillId="15" borderId="24" xfId="0" applyNumberFormat="1" applyFont="1" applyFill="1" applyBorder="1" applyAlignment="1">
      <alignment horizontal="center" vertical="top"/>
    </xf>
    <xf numFmtId="0" fontId="16" fillId="15" borderId="24" xfId="0" applyFont="1" applyFill="1" applyBorder="1" applyAlignment="1">
      <alignment horizontal="center" vertical="top"/>
    </xf>
    <xf numFmtId="3" fontId="16" fillId="15" borderId="24" xfId="0" applyNumberFormat="1" applyFont="1" applyFill="1" applyBorder="1" applyAlignment="1">
      <alignment horizontal="center" vertical="top"/>
    </xf>
    <xf numFmtId="10" fontId="16" fillId="15" borderId="24" xfId="0" applyNumberFormat="1" applyFont="1" applyFill="1" applyBorder="1" applyAlignment="1">
      <alignment horizontal="center" vertical="top"/>
    </xf>
    <xf numFmtId="9" fontId="3" fillId="15" borderId="24" xfId="0" applyNumberFormat="1" applyFont="1" applyFill="1" applyBorder="1" applyAlignment="1">
      <alignment horizontal="center" vertical="center"/>
    </xf>
    <xf numFmtId="3" fontId="28" fillId="15" borderId="24" xfId="0" applyNumberFormat="1" applyFont="1" applyFill="1" applyBorder="1" applyAlignment="1">
      <alignment horizontal="center"/>
    </xf>
    <xf numFmtId="3" fontId="16" fillId="15" borderId="24" xfId="0" applyNumberFormat="1" applyFont="1" applyFill="1" applyBorder="1" applyAlignment="1">
      <alignment horizontal="center"/>
    </xf>
    <xf numFmtId="165" fontId="2" fillId="15" borderId="0" xfId="0" applyNumberFormat="1" applyFont="1" applyFill="1"/>
    <xf numFmtId="0" fontId="2" fillId="15" borderId="0" xfId="0" applyFont="1" applyFill="1"/>
    <xf numFmtId="3" fontId="16" fillId="15" borderId="0" xfId="0" applyNumberFormat="1" applyFont="1" applyFill="1" applyAlignment="1">
      <alignment horizontal="center" vertical="top"/>
    </xf>
    <xf numFmtId="168" fontId="2" fillId="15" borderId="0" xfId="0" applyNumberFormat="1" applyFont="1" applyFill="1"/>
    <xf numFmtId="0" fontId="16" fillId="15" borderId="25" xfId="0" applyFont="1" applyFill="1" applyBorder="1" applyAlignment="1">
      <alignment horizontal="center" vertical="top"/>
    </xf>
    <xf numFmtId="4" fontId="16" fillId="15" borderId="0" xfId="0" applyNumberFormat="1" applyFont="1" applyFill="1" applyAlignment="1">
      <alignment horizontal="center" vertical="top"/>
    </xf>
    <xf numFmtId="4" fontId="16" fillId="15" borderId="23" xfId="0" applyNumberFormat="1" applyFont="1" applyFill="1" applyBorder="1" applyAlignment="1">
      <alignment horizontal="center" vertical="top"/>
    </xf>
    <xf numFmtId="3" fontId="16" fillId="15" borderId="30" xfId="0" applyNumberFormat="1" applyFont="1" applyFill="1" applyBorder="1" applyAlignment="1">
      <alignment horizontal="center" vertical="top"/>
    </xf>
    <xf numFmtId="4" fontId="16" fillId="15" borderId="30" xfId="0" applyNumberFormat="1" applyFont="1" applyFill="1" applyBorder="1" applyAlignment="1">
      <alignment horizontal="center" vertical="top"/>
    </xf>
    <xf numFmtId="165" fontId="16" fillId="15" borderId="30" xfId="0" applyNumberFormat="1" applyFont="1" applyFill="1" applyBorder="1" applyAlignment="1">
      <alignment horizontal="center" vertical="top"/>
    </xf>
    <xf numFmtId="9" fontId="3" fillId="15" borderId="30" xfId="0" applyNumberFormat="1" applyFont="1" applyFill="1" applyBorder="1" applyAlignment="1">
      <alignment horizontal="center" vertical="center"/>
    </xf>
    <xf numFmtId="3" fontId="28" fillId="15" borderId="30" xfId="0" applyNumberFormat="1" applyFont="1" applyFill="1" applyBorder="1" applyAlignment="1">
      <alignment horizontal="center"/>
    </xf>
    <xf numFmtId="3" fontId="16" fillId="15" borderId="30" xfId="0" applyNumberFormat="1" applyFont="1" applyFill="1" applyBorder="1" applyAlignment="1">
      <alignment horizontal="center"/>
    </xf>
    <xf numFmtId="4" fontId="16" fillId="15" borderId="63" xfId="0" applyNumberFormat="1" applyFont="1" applyFill="1" applyBorder="1" applyAlignment="1">
      <alignment horizontal="center" vertical="top"/>
    </xf>
    <xf numFmtId="3" fontId="16" fillId="15" borderId="64" xfId="0" applyNumberFormat="1" applyFont="1" applyFill="1" applyBorder="1" applyAlignment="1">
      <alignment horizontal="center" vertical="top"/>
    </xf>
    <xf numFmtId="4" fontId="16" fillId="15" borderId="64" xfId="0" applyNumberFormat="1" applyFont="1" applyFill="1" applyBorder="1" applyAlignment="1">
      <alignment horizontal="center" vertical="top"/>
    </xf>
    <xf numFmtId="10" fontId="16" fillId="15" borderId="64" xfId="0" applyNumberFormat="1" applyFont="1" applyFill="1" applyBorder="1" applyAlignment="1">
      <alignment horizontal="center" vertical="top"/>
    </xf>
    <xf numFmtId="9" fontId="3" fillId="15" borderId="64" xfId="0" applyNumberFormat="1" applyFont="1" applyFill="1" applyBorder="1" applyAlignment="1">
      <alignment horizontal="center" vertical="center"/>
    </xf>
    <xf numFmtId="3" fontId="28" fillId="15" borderId="64" xfId="0" applyNumberFormat="1" applyFont="1" applyFill="1" applyBorder="1" applyAlignment="1">
      <alignment horizontal="center"/>
    </xf>
    <xf numFmtId="3" fontId="16" fillId="15" borderId="64" xfId="0" applyNumberFormat="1" applyFont="1" applyFill="1" applyBorder="1" applyAlignment="1">
      <alignment horizontal="center"/>
    </xf>
    <xf numFmtId="0" fontId="16" fillId="15" borderId="65" xfId="0" applyFont="1" applyFill="1" applyBorder="1" applyAlignment="1">
      <alignment horizontal="center" vertical="top"/>
    </xf>
    <xf numFmtId="2" fontId="16" fillId="15" borderId="23" xfId="0" applyNumberFormat="1" applyFont="1" applyFill="1" applyBorder="1" applyAlignment="1">
      <alignment horizontal="right"/>
    </xf>
    <xf numFmtId="0" fontId="16" fillId="15" borderId="27" xfId="0" applyFont="1" applyFill="1" applyBorder="1" applyAlignment="1">
      <alignment horizontal="center" vertical="top"/>
    </xf>
    <xf numFmtId="2" fontId="16" fillId="15" borderId="64" xfId="0" applyNumberFormat="1" applyFont="1" applyFill="1" applyBorder="1" applyAlignment="1">
      <alignment horizontal="right"/>
    </xf>
    <xf numFmtId="2" fontId="16" fillId="12" borderId="24" xfId="0" applyNumberFormat="1" applyFont="1" applyFill="1" applyBorder="1" applyAlignment="1">
      <alignment horizontal="right"/>
    </xf>
    <xf numFmtId="165" fontId="37" fillId="4" borderId="19" xfId="0" applyNumberFormat="1" applyFont="1" applyFill="1" applyBorder="1" applyAlignment="1">
      <alignment horizontal="center" vertical="center"/>
    </xf>
    <xf numFmtId="165" fontId="16" fillId="4" borderId="24" xfId="0" applyNumberFormat="1" applyFont="1" applyFill="1" applyBorder="1" applyAlignment="1">
      <alignment horizontal="center" vertical="center"/>
    </xf>
    <xf numFmtId="165" fontId="19" fillId="0" borderId="24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9" fontId="3" fillId="15" borderId="0" xfId="0" applyNumberFormat="1" applyFont="1" applyFill="1" applyAlignment="1">
      <alignment horizontal="center" vertical="center"/>
    </xf>
    <xf numFmtId="3" fontId="16" fillId="15" borderId="0" xfId="0" applyNumberFormat="1" applyFont="1" applyFill="1" applyAlignment="1">
      <alignment horizontal="center"/>
    </xf>
    <xf numFmtId="3" fontId="28" fillId="15" borderId="0" xfId="0" applyNumberFormat="1" applyFont="1" applyFill="1" applyAlignment="1">
      <alignment horizontal="center"/>
    </xf>
    <xf numFmtId="165" fontId="16" fillId="15" borderId="24" xfId="0" applyNumberFormat="1" applyFont="1" applyFill="1" applyBorder="1" applyAlignment="1">
      <alignment horizontal="center" vertical="top"/>
    </xf>
    <xf numFmtId="0" fontId="32" fillId="0" borderId="0" xfId="0" applyFont="1"/>
    <xf numFmtId="165" fontId="16" fillId="0" borderId="24" xfId="0" applyNumberFormat="1" applyFont="1" applyBorder="1" applyAlignment="1">
      <alignment horizontal="center" vertical="top"/>
    </xf>
    <xf numFmtId="168" fontId="16" fillId="0" borderId="24" xfId="0" applyNumberFormat="1" applyFont="1" applyBorder="1" applyAlignment="1">
      <alignment horizontal="right"/>
    </xf>
    <xf numFmtId="165" fontId="3" fillId="0" borderId="0" xfId="0" applyNumberFormat="1" applyFont="1"/>
    <xf numFmtId="168" fontId="3" fillId="0" borderId="0" xfId="0" applyNumberFormat="1" applyFont="1"/>
    <xf numFmtId="0" fontId="32" fillId="15" borderId="0" xfId="0" applyFont="1" applyFill="1"/>
    <xf numFmtId="168" fontId="16" fillId="15" borderId="24" xfId="0" applyNumberFormat="1" applyFont="1" applyFill="1" applyBorder="1" applyAlignment="1">
      <alignment horizontal="right"/>
    </xf>
    <xf numFmtId="165" fontId="3" fillId="15" borderId="0" xfId="0" applyNumberFormat="1" applyFont="1" applyFill="1"/>
    <xf numFmtId="168" fontId="3" fillId="15" borderId="0" xfId="0" applyNumberFormat="1" applyFont="1" applyFill="1"/>
    <xf numFmtId="0" fontId="27" fillId="15" borderId="0" xfId="0" applyFont="1" applyFill="1"/>
    <xf numFmtId="16" fontId="16" fillId="15" borderId="24" xfId="0" applyNumberFormat="1" applyFont="1" applyFill="1" applyBorder="1" applyAlignment="1">
      <alignment horizontal="center" vertical="top" wrapText="1"/>
    </xf>
    <xf numFmtId="0" fontId="16" fillId="15" borderId="24" xfId="0" applyFont="1" applyFill="1" applyBorder="1" applyAlignment="1">
      <alignment horizontal="center" vertical="top" wrapText="1"/>
    </xf>
    <xf numFmtId="4" fontId="16" fillId="15" borderId="24" xfId="0" applyNumberFormat="1" applyFont="1" applyFill="1" applyBorder="1" applyAlignment="1">
      <alignment horizontal="center" vertical="top" wrapText="1"/>
    </xf>
    <xf numFmtId="3" fontId="16" fillId="15" borderId="66" xfId="0" applyNumberFormat="1" applyFont="1" applyFill="1" applyBorder="1" applyAlignment="1">
      <alignment horizontal="center" vertical="top" wrapText="1"/>
    </xf>
    <xf numFmtId="3" fontId="16" fillId="15" borderId="24" xfId="0" applyNumberFormat="1" applyFont="1" applyFill="1" applyBorder="1" applyAlignment="1">
      <alignment horizontal="center" vertical="top" wrapText="1"/>
    </xf>
    <xf numFmtId="3" fontId="16" fillId="15" borderId="65" xfId="0" applyNumberFormat="1" applyFont="1" applyFill="1" applyBorder="1" applyAlignment="1">
      <alignment horizontal="center" vertical="top" wrapText="1"/>
    </xf>
    <xf numFmtId="4" fontId="16" fillId="15" borderId="0" xfId="0" applyNumberFormat="1" applyFont="1" applyFill="1" applyAlignment="1">
      <alignment horizontal="center" vertical="top" wrapText="1"/>
    </xf>
    <xf numFmtId="0" fontId="29" fillId="15" borderId="0" xfId="0" applyFont="1" applyFill="1"/>
    <xf numFmtId="0" fontId="11" fillId="5" borderId="0" xfId="0" applyFont="1" applyFill="1"/>
    <xf numFmtId="0" fontId="3" fillId="5" borderId="0" xfId="0" applyFont="1" applyFill="1"/>
    <xf numFmtId="0" fontId="16" fillId="5" borderId="0" xfId="0" applyFont="1" applyFill="1"/>
    <xf numFmtId="0" fontId="10" fillId="5" borderId="0" xfId="0" applyFont="1" applyFill="1"/>
    <xf numFmtId="164" fontId="17" fillId="5" borderId="0" xfId="0" applyNumberFormat="1" applyFont="1" applyFill="1" applyAlignment="1">
      <alignment horizontal="center" vertical="center"/>
    </xf>
    <xf numFmtId="9" fontId="11" fillId="5" borderId="67" xfId="1" applyFont="1" applyFill="1" applyBorder="1" applyProtection="1"/>
    <xf numFmtId="0" fontId="36" fillId="5" borderId="0" xfId="0" applyFont="1" applyFill="1"/>
    <xf numFmtId="0" fontId="26" fillId="14" borderId="24" xfId="0" applyFont="1" applyFill="1" applyBorder="1" applyAlignment="1">
      <alignment horizontal="center" vertical="center" wrapText="1"/>
    </xf>
    <xf numFmtId="0" fontId="3" fillId="0" borderId="68" xfId="0" applyFont="1" applyBorder="1"/>
    <xf numFmtId="0" fontId="16" fillId="14" borderId="23" xfId="0" applyFont="1" applyFill="1" applyBorder="1" applyAlignment="1">
      <alignment horizontal="center" vertical="top" wrapText="1"/>
    </xf>
    <xf numFmtId="0" fontId="16" fillId="14" borderId="24" xfId="0" applyFont="1" applyFill="1" applyBorder="1" applyAlignment="1">
      <alignment horizontal="center" vertical="top" wrapText="1"/>
    </xf>
    <xf numFmtId="0" fontId="17" fillId="14" borderId="24" xfId="0" applyFont="1" applyFill="1" applyBorder="1" applyAlignment="1">
      <alignment horizontal="center" vertical="top" wrapText="1"/>
    </xf>
    <xf numFmtId="16" fontId="16" fillId="0" borderId="25" xfId="0" applyNumberFormat="1" applyFont="1" applyBorder="1" applyAlignment="1">
      <alignment horizontal="center" vertical="top"/>
    </xf>
    <xf numFmtId="0" fontId="16" fillId="0" borderId="64" xfId="0" applyFont="1" applyBorder="1" applyAlignment="1">
      <alignment horizontal="center" vertical="top"/>
    </xf>
    <xf numFmtId="4" fontId="16" fillId="0" borderId="23" xfId="0" applyNumberFormat="1" applyFont="1" applyBorder="1" applyAlignment="1">
      <alignment horizontal="center" vertical="top"/>
    </xf>
    <xf numFmtId="0" fontId="16" fillId="15" borderId="64" xfId="0" applyFont="1" applyFill="1" applyBorder="1" applyAlignment="1">
      <alignment horizontal="center" vertical="top"/>
    </xf>
    <xf numFmtId="16" fontId="16" fillId="15" borderId="25" xfId="0" applyNumberFormat="1" applyFont="1" applyFill="1" applyBorder="1" applyAlignment="1">
      <alignment horizontal="center" vertical="top"/>
    </xf>
    <xf numFmtId="10" fontId="16" fillId="15" borderId="0" xfId="0" applyNumberFormat="1" applyFont="1" applyFill="1" applyAlignment="1">
      <alignment horizontal="center" vertical="top"/>
    </xf>
    <xf numFmtId="0" fontId="16" fillId="15" borderId="19" xfId="0" applyFont="1" applyFill="1" applyBorder="1" applyAlignment="1">
      <alignment horizontal="center" vertical="top"/>
    </xf>
    <xf numFmtId="0" fontId="0" fillId="15" borderId="24" xfId="0" applyFill="1" applyBorder="1"/>
    <xf numFmtId="16" fontId="16" fillId="15" borderId="24" xfId="0" applyNumberFormat="1" applyFont="1" applyFill="1" applyBorder="1" applyAlignment="1" applyProtection="1">
      <alignment horizontal="center" vertical="top"/>
      <protection locked="0"/>
    </xf>
    <xf numFmtId="4" fontId="16" fillId="15" borderId="24" xfId="0" applyNumberFormat="1" applyFont="1" applyFill="1" applyBorder="1" applyAlignment="1" applyProtection="1">
      <alignment horizontal="center" vertical="top"/>
      <protection locked="0"/>
    </xf>
    <xf numFmtId="3" fontId="16" fillId="15" borderId="24" xfId="0" applyNumberFormat="1" applyFont="1" applyFill="1" applyBorder="1" applyAlignment="1" applyProtection="1">
      <alignment horizontal="center" vertical="top"/>
      <protection locked="0"/>
    </xf>
    <xf numFmtId="9" fontId="3" fillId="15" borderId="24" xfId="1" applyFont="1" applyFill="1" applyBorder="1" applyAlignment="1" applyProtection="1">
      <alignment horizontal="center" vertical="center"/>
    </xf>
    <xf numFmtId="165" fontId="3" fillId="15" borderId="0" xfId="1" applyNumberFormat="1" applyFont="1" applyFill="1" applyProtection="1"/>
    <xf numFmtId="0" fontId="17" fillId="15" borderId="24" xfId="0" applyFont="1" applyFill="1" applyBorder="1" applyAlignment="1">
      <alignment horizontal="center" vertical="top"/>
    </xf>
    <xf numFmtId="0" fontId="3" fillId="0" borderId="24" xfId="0" applyFont="1" applyBorder="1"/>
    <xf numFmtId="4" fontId="16" fillId="0" borderId="24" xfId="0" applyNumberFormat="1" applyFont="1" applyBorder="1" applyAlignment="1" applyProtection="1">
      <alignment horizontal="center" vertical="top"/>
      <protection locked="0"/>
    </xf>
    <xf numFmtId="3" fontId="16" fillId="0" borderId="24" xfId="0" applyNumberFormat="1" applyFont="1" applyBorder="1" applyAlignment="1" applyProtection="1">
      <alignment horizontal="center" vertical="top"/>
      <protection locked="0"/>
    </xf>
    <xf numFmtId="9" fontId="3" fillId="0" borderId="24" xfId="1" applyFont="1" applyBorder="1" applyAlignment="1" applyProtection="1">
      <alignment horizontal="center" vertical="center"/>
    </xf>
    <xf numFmtId="165" fontId="3" fillId="0" borderId="0" xfId="1" applyNumberFormat="1" applyFont="1" applyProtection="1"/>
    <xf numFmtId="165" fontId="3" fillId="0" borderId="0" xfId="1" applyNumberFormat="1" applyFont="1" applyAlignment="1" applyProtection="1">
      <alignment vertical="center"/>
    </xf>
    <xf numFmtId="0" fontId="16" fillId="0" borderId="65" xfId="0" applyFont="1" applyBorder="1" applyAlignment="1">
      <alignment horizontal="center" vertical="top"/>
    </xf>
    <xf numFmtId="3" fontId="16" fillId="17" borderId="24" xfId="0" applyNumberFormat="1" applyFont="1" applyFill="1" applyBorder="1" applyAlignment="1">
      <alignment horizontal="center" vertical="top"/>
    </xf>
    <xf numFmtId="4" fontId="16" fillId="17" borderId="24" xfId="0" applyNumberFormat="1" applyFont="1" applyFill="1" applyBorder="1" applyAlignment="1">
      <alignment horizontal="center" vertical="top"/>
    </xf>
    <xf numFmtId="165" fontId="16" fillId="17" borderId="24" xfId="0" applyNumberFormat="1" applyFont="1" applyFill="1" applyBorder="1" applyAlignment="1">
      <alignment horizontal="center" vertical="top"/>
    </xf>
    <xf numFmtId="9" fontId="3" fillId="17" borderId="24" xfId="1" applyFont="1" applyFill="1" applyBorder="1" applyAlignment="1" applyProtection="1">
      <alignment horizontal="center" vertical="center"/>
    </xf>
    <xf numFmtId="3" fontId="16" fillId="17" borderId="24" xfId="0" applyNumberFormat="1" applyFont="1" applyFill="1" applyBorder="1" applyAlignment="1">
      <alignment horizontal="center"/>
    </xf>
    <xf numFmtId="3" fontId="16" fillId="17" borderId="24" xfId="0" applyNumberFormat="1" applyFont="1" applyFill="1" applyBorder="1" applyAlignment="1">
      <alignment horizontal="right"/>
    </xf>
    <xf numFmtId="165" fontId="16" fillId="0" borderId="0" xfId="1" applyNumberFormat="1" applyFont="1" applyProtection="1"/>
    <xf numFmtId="9" fontId="30" fillId="0" borderId="0" xfId="1" applyFont="1" applyProtection="1"/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7" fillId="12" borderId="24" xfId="0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21" fillId="18" borderId="71" xfId="0" applyFont="1" applyFill="1" applyBorder="1" applyAlignment="1">
      <alignment horizontal="center" vertical="center" wrapText="1"/>
    </xf>
    <xf numFmtId="0" fontId="21" fillId="18" borderId="72" xfId="0" applyFont="1" applyFill="1" applyBorder="1" applyAlignment="1">
      <alignment horizontal="center" vertical="center" wrapText="1"/>
    </xf>
    <xf numFmtId="0" fontId="21" fillId="18" borderId="18" xfId="0" applyFont="1" applyFill="1" applyBorder="1" applyAlignment="1">
      <alignment horizontal="center" vertical="center" wrapText="1"/>
    </xf>
    <xf numFmtId="0" fontId="21" fillId="18" borderId="47" xfId="0" applyFont="1" applyFill="1" applyBorder="1" applyAlignment="1">
      <alignment horizontal="center" vertical="center" wrapText="1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40" xfId="0" applyFont="1" applyFill="1" applyBorder="1" applyAlignment="1">
      <alignment horizontal="center" vertical="center" wrapText="1"/>
    </xf>
    <xf numFmtId="0" fontId="21" fillId="18" borderId="73" xfId="0" applyFont="1" applyFill="1" applyBorder="1" applyAlignment="1">
      <alignment horizontal="center" vertical="center" wrapText="1"/>
    </xf>
    <xf numFmtId="0" fontId="21" fillId="18" borderId="74" xfId="0" applyFont="1" applyFill="1" applyBorder="1" applyAlignment="1">
      <alignment horizontal="center" vertical="center" wrapText="1"/>
    </xf>
    <xf numFmtId="0" fontId="21" fillId="18" borderId="60" xfId="0" applyFont="1" applyFill="1" applyBorder="1" applyAlignment="1">
      <alignment horizontal="center" vertical="center" wrapText="1"/>
    </xf>
    <xf numFmtId="0" fontId="21" fillId="18" borderId="75" xfId="0" applyFont="1" applyFill="1" applyBorder="1" applyAlignment="1">
      <alignment horizontal="center" vertical="center" wrapText="1"/>
    </xf>
    <xf numFmtId="171" fontId="37" fillId="19" borderId="77" xfId="0" applyNumberFormat="1" applyFont="1" applyFill="1" applyBorder="1" applyAlignment="1">
      <alignment horizontal="right" vertical="top" wrapText="1" indent="1"/>
    </xf>
    <xf numFmtId="171" fontId="37" fillId="19" borderId="74" xfId="0" applyNumberFormat="1" applyFont="1" applyFill="1" applyBorder="1" applyAlignment="1">
      <alignment horizontal="right" vertical="top" wrapText="1"/>
    </xf>
    <xf numFmtId="171" fontId="37" fillId="19" borderId="78" xfId="0" applyNumberFormat="1" applyFont="1" applyFill="1" applyBorder="1" applyAlignment="1">
      <alignment horizontal="right" vertical="top" wrapText="1" indent="1"/>
    </xf>
    <xf numFmtId="171" fontId="37" fillId="19" borderId="54" xfId="0" applyNumberFormat="1" applyFont="1" applyFill="1" applyBorder="1" applyAlignment="1">
      <alignment horizontal="right" vertical="top" wrapText="1" indent="1"/>
    </xf>
    <xf numFmtId="171" fontId="37" fillId="19" borderId="34" xfId="0" applyNumberFormat="1" applyFont="1" applyFill="1" applyBorder="1" applyAlignment="1">
      <alignment horizontal="right" vertical="top" wrapText="1" indent="1"/>
    </xf>
    <xf numFmtId="171" fontId="37" fillId="19" borderId="35" xfId="0" applyNumberFormat="1" applyFont="1" applyFill="1" applyBorder="1" applyAlignment="1">
      <alignment horizontal="right" vertical="top" wrapText="1" indent="1"/>
    </xf>
    <xf numFmtId="171" fontId="37" fillId="0" borderId="37" xfId="0" applyNumberFormat="1" applyFont="1" applyBorder="1" applyAlignment="1">
      <alignment horizontal="right" vertical="top" wrapText="1" indent="1"/>
    </xf>
    <xf numFmtId="171" fontId="37" fillId="0" borderId="73" xfId="0" applyNumberFormat="1" applyFont="1" applyBorder="1" applyAlignment="1">
      <alignment horizontal="right" vertical="top" wrapText="1" indent="1"/>
    </xf>
    <xf numFmtId="171" fontId="37" fillId="19" borderId="74" xfId="0" applyNumberFormat="1" applyFont="1" applyFill="1" applyBorder="1" applyAlignment="1">
      <alignment horizontal="right" vertical="top" wrapText="1" indent="1"/>
    </xf>
    <xf numFmtId="171" fontId="37" fillId="19" borderId="79" xfId="0" applyNumberFormat="1" applyFont="1" applyFill="1" applyBorder="1" applyAlignment="1">
      <alignment horizontal="right" vertical="top" wrapText="1" indent="1"/>
    </xf>
    <xf numFmtId="171" fontId="37" fillId="19" borderId="75" xfId="0" applyNumberFormat="1" applyFont="1" applyFill="1" applyBorder="1" applyAlignment="1">
      <alignment horizontal="right" vertical="top" wrapText="1"/>
    </xf>
    <xf numFmtId="0" fontId="38" fillId="4" borderId="80" xfId="0" applyFont="1" applyFill="1" applyBorder="1" applyAlignment="1">
      <alignment horizontal="left" vertical="top"/>
    </xf>
    <xf numFmtId="0" fontId="39" fillId="4" borderId="0" xfId="0" applyFont="1" applyFill="1" applyAlignment="1">
      <alignment horizontal="left" vertical="top"/>
    </xf>
    <xf numFmtId="0" fontId="38" fillId="4" borderId="0" xfId="0" applyFont="1" applyFill="1" applyAlignment="1">
      <alignment horizontal="left" vertical="top"/>
    </xf>
    <xf numFmtId="2" fontId="38" fillId="4" borderId="0" xfId="0" applyNumberFormat="1" applyFont="1" applyFill="1" applyAlignment="1">
      <alignment horizontal="right" vertical="top"/>
    </xf>
    <xf numFmtId="0" fontId="16" fillId="4" borderId="0" xfId="0" applyFont="1" applyFill="1" applyAlignment="1">
      <alignment horizontal="left"/>
    </xf>
    <xf numFmtId="0" fontId="16" fillId="4" borderId="69" xfId="0" applyFont="1" applyFill="1" applyBorder="1" applyAlignment="1">
      <alignment horizontal="left"/>
    </xf>
    <xf numFmtId="0" fontId="38" fillId="4" borderId="80" xfId="0" applyFont="1" applyFill="1" applyBorder="1" applyAlignment="1">
      <alignment horizontal="center" vertical="center"/>
    </xf>
    <xf numFmtId="0" fontId="38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69" xfId="0" applyFont="1" applyFill="1" applyBorder="1" applyAlignment="1">
      <alignment horizontal="center" vertical="center"/>
    </xf>
    <xf numFmtId="0" fontId="38" fillId="20" borderId="80" xfId="0" applyFont="1" applyFill="1" applyBorder="1" applyAlignment="1">
      <alignment horizontal="left" vertical="top"/>
    </xf>
    <xf numFmtId="0" fontId="38" fillId="20" borderId="0" xfId="0" applyFont="1" applyFill="1" applyAlignment="1">
      <alignment horizontal="left" vertical="top"/>
    </xf>
    <xf numFmtId="4" fontId="39" fillId="20" borderId="0" xfId="0" applyNumberFormat="1" applyFont="1" applyFill="1" applyAlignment="1">
      <alignment horizontal="right" vertical="top"/>
    </xf>
    <xf numFmtId="0" fontId="38" fillId="20" borderId="0" xfId="0" applyFont="1" applyFill="1" applyAlignment="1">
      <alignment horizontal="right" vertical="top"/>
    </xf>
    <xf numFmtId="0" fontId="16" fillId="20" borderId="0" xfId="0" applyFont="1" applyFill="1" applyAlignment="1">
      <alignment horizontal="left"/>
    </xf>
    <xf numFmtId="2" fontId="39" fillId="20" borderId="0" xfId="0" applyNumberFormat="1" applyFont="1" applyFill="1" applyAlignment="1">
      <alignment horizontal="left" vertical="top"/>
    </xf>
    <xf numFmtId="2" fontId="38" fillId="20" borderId="0" xfId="0" applyNumberFormat="1" applyFont="1" applyFill="1" applyAlignment="1">
      <alignment horizontal="left" vertical="top"/>
    </xf>
    <xf numFmtId="0" fontId="16" fillId="20" borderId="69" xfId="0" applyFont="1" applyFill="1" applyBorder="1" applyAlignment="1">
      <alignment horizontal="left"/>
    </xf>
    <xf numFmtId="0" fontId="38" fillId="4" borderId="0" xfId="0" applyFont="1" applyFill="1" applyAlignment="1">
      <alignment horizontal="center" vertical="center" wrapText="1"/>
    </xf>
    <xf numFmtId="0" fontId="38" fillId="4" borderId="80" xfId="0" applyFont="1" applyFill="1" applyBorder="1" applyAlignment="1">
      <alignment horizontal="center" vertical="center" wrapText="1"/>
    </xf>
    <xf numFmtId="0" fontId="39" fillId="4" borderId="0" xfId="0" applyFont="1" applyFill="1" applyAlignment="1">
      <alignment horizontal="left" vertical="top" wrapText="1"/>
    </xf>
    <xf numFmtId="0" fontId="16" fillId="4" borderId="0" xfId="0" applyFont="1" applyFill="1" applyAlignment="1">
      <alignment horizontal="center" vertical="center" wrapText="1"/>
    </xf>
    <xf numFmtId="0" fontId="16" fillId="4" borderId="69" xfId="0" applyFont="1" applyFill="1" applyBorder="1" applyAlignment="1">
      <alignment horizontal="center" vertical="center" wrapText="1"/>
    </xf>
    <xf numFmtId="4" fontId="0" fillId="0" borderId="0" xfId="0" applyNumberFormat="1"/>
    <xf numFmtId="4" fontId="38" fillId="4" borderId="0" xfId="0" applyNumberFormat="1" applyFont="1" applyFill="1" applyAlignment="1">
      <alignment horizontal="left" vertical="top"/>
    </xf>
    <xf numFmtId="0" fontId="38" fillId="4" borderId="0" xfId="0" applyFont="1" applyFill="1" applyAlignment="1">
      <alignment horizontal="left" vertical="center"/>
    </xf>
    <xf numFmtId="172" fontId="38" fillId="4" borderId="0" xfId="0" applyNumberFormat="1" applyFont="1" applyFill="1" applyAlignment="1">
      <alignment horizontal="center" vertical="center" wrapText="1"/>
    </xf>
    <xf numFmtId="2" fontId="39" fillId="4" borderId="0" xfId="0" applyNumberFormat="1" applyFont="1" applyFill="1" applyAlignment="1">
      <alignment horizontal="right" vertical="center" wrapText="1"/>
    </xf>
    <xf numFmtId="4" fontId="17" fillId="20" borderId="0" xfId="0" applyNumberFormat="1" applyFont="1" applyFill="1" applyAlignment="1">
      <alignment horizontal="right"/>
    </xf>
    <xf numFmtId="0" fontId="16" fillId="20" borderId="0" xfId="0" applyFont="1" applyFill="1" applyAlignment="1">
      <alignment horizontal="right"/>
    </xf>
    <xf numFmtId="2" fontId="16" fillId="20" borderId="0" xfId="0" applyNumberFormat="1" applyFont="1" applyFill="1" applyAlignment="1">
      <alignment horizontal="left"/>
    </xf>
    <xf numFmtId="0" fontId="16" fillId="4" borderId="80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69" xfId="0" applyFont="1" applyBorder="1"/>
    <xf numFmtId="0" fontId="39" fillId="4" borderId="21" xfId="0" applyFont="1" applyFill="1" applyBorder="1" applyAlignment="1">
      <alignment horizontal="left" vertical="top"/>
    </xf>
    <xf numFmtId="0" fontId="17" fillId="4" borderId="21" xfId="0" applyFont="1" applyFill="1" applyBorder="1" applyAlignment="1">
      <alignment horizontal="left"/>
    </xf>
    <xf numFmtId="0" fontId="16" fillId="4" borderId="21" xfId="0" applyFont="1" applyFill="1" applyBorder="1" applyAlignment="1">
      <alignment horizontal="left"/>
    </xf>
    <xf numFmtId="0" fontId="16" fillId="4" borderId="59" xfId="0" applyFont="1" applyFill="1" applyBorder="1" applyAlignment="1">
      <alignment horizontal="left"/>
    </xf>
    <xf numFmtId="0" fontId="16" fillId="4" borderId="80" xfId="0" applyFont="1" applyFill="1" applyBorder="1" applyAlignment="1">
      <alignment horizontal="center" vertical="center" wrapText="1"/>
    </xf>
    <xf numFmtId="0" fontId="38" fillId="4" borderId="24" xfId="0" applyFont="1" applyFill="1" applyBorder="1" applyAlignment="1">
      <alignment horizontal="center" vertical="center" wrapText="1"/>
    </xf>
    <xf numFmtId="0" fontId="38" fillId="4" borderId="26" xfId="0" applyFont="1" applyFill="1" applyBorder="1" applyAlignment="1">
      <alignment horizontal="center" vertical="center" wrapText="1"/>
    </xf>
    <xf numFmtId="3" fontId="38" fillId="4" borderId="24" xfId="0" applyNumberFormat="1" applyFont="1" applyFill="1" applyBorder="1" applyAlignment="1">
      <alignment horizontal="left" vertical="top"/>
    </xf>
    <xf numFmtId="172" fontId="38" fillId="4" borderId="24" xfId="0" applyNumberFormat="1" applyFont="1" applyFill="1" applyBorder="1" applyAlignment="1">
      <alignment vertical="top"/>
    </xf>
    <xf numFmtId="3" fontId="16" fillId="4" borderId="24" xfId="0" applyNumberFormat="1" applyFont="1" applyFill="1" applyBorder="1" applyAlignment="1">
      <alignment vertical="top"/>
    </xf>
    <xf numFmtId="10" fontId="38" fillId="4" borderId="24" xfId="0" applyNumberFormat="1" applyFont="1" applyFill="1" applyBorder="1" applyAlignment="1">
      <alignment horizontal="center" vertical="top"/>
    </xf>
    <xf numFmtId="2" fontId="39" fillId="4" borderId="26" xfId="0" applyNumberFormat="1" applyFont="1" applyFill="1" applyBorder="1" applyAlignment="1">
      <alignment horizontal="right" vertical="top" indent="1"/>
    </xf>
    <xf numFmtId="3" fontId="38" fillId="4" borderId="24" xfId="0" applyNumberFormat="1" applyFont="1" applyFill="1" applyBorder="1" applyAlignment="1">
      <alignment horizontal="left" vertical="top" wrapText="1"/>
    </xf>
    <xf numFmtId="0" fontId="38" fillId="4" borderId="24" xfId="0" applyFont="1" applyFill="1" applyBorder="1" applyAlignment="1">
      <alignment vertical="center"/>
    </xf>
    <xf numFmtId="172" fontId="38" fillId="4" borderId="24" xfId="0" applyNumberFormat="1" applyFont="1" applyFill="1" applyBorder="1" applyAlignment="1">
      <alignment vertical="center" wrapText="1"/>
    </xf>
    <xf numFmtId="0" fontId="16" fillId="4" borderId="24" xfId="0" applyFont="1" applyFill="1" applyBorder="1" applyAlignment="1">
      <alignment vertical="top" wrapText="1"/>
    </xf>
    <xf numFmtId="10" fontId="38" fillId="4" borderId="24" xfId="0" applyNumberFormat="1" applyFont="1" applyFill="1" applyBorder="1" applyAlignment="1">
      <alignment horizontal="center" vertical="top" wrapText="1"/>
    </xf>
    <xf numFmtId="2" fontId="39" fillId="4" borderId="26" xfId="0" applyNumberFormat="1" applyFont="1" applyFill="1" applyBorder="1" applyAlignment="1">
      <alignment horizontal="right" vertical="top" wrapText="1" inden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7" fillId="12" borderId="30" xfId="0" applyFont="1" applyFill="1" applyBorder="1" applyAlignment="1">
      <alignment horizontal="center" vertical="center"/>
    </xf>
    <xf numFmtId="0" fontId="21" fillId="18" borderId="24" xfId="0" applyFont="1" applyFill="1" applyBorder="1" applyAlignment="1">
      <alignment horizontal="center" vertical="center" wrapText="1"/>
    </xf>
    <xf numFmtId="0" fontId="21" fillId="18" borderId="25" xfId="0" applyFont="1" applyFill="1" applyBorder="1" applyAlignment="1">
      <alignment horizontal="center" vertical="center" wrapText="1"/>
    </xf>
    <xf numFmtId="0" fontId="21" fillId="18" borderId="3" xfId="0" applyFont="1" applyFill="1" applyBorder="1" applyAlignment="1">
      <alignment horizontal="center" vertical="center" wrapText="1"/>
    </xf>
    <xf numFmtId="171" fontId="21" fillId="19" borderId="24" xfId="0" applyNumberFormat="1" applyFont="1" applyFill="1" applyBorder="1" applyAlignment="1">
      <alignment horizontal="right" vertical="top" wrapText="1" indent="1"/>
    </xf>
    <xf numFmtId="171" fontId="21" fillId="19" borderId="25" xfId="0" applyNumberFormat="1" applyFont="1" applyFill="1" applyBorder="1" applyAlignment="1">
      <alignment horizontal="right" vertical="top" wrapText="1"/>
    </xf>
    <xf numFmtId="171" fontId="21" fillId="19" borderId="78" xfId="0" applyNumberFormat="1" applyFont="1" applyFill="1" applyBorder="1" applyAlignment="1">
      <alignment horizontal="right" vertical="top" wrapText="1" indent="1"/>
    </xf>
    <xf numFmtId="171" fontId="21" fillId="19" borderId="54" xfId="0" applyNumberFormat="1" applyFont="1" applyFill="1" applyBorder="1" applyAlignment="1">
      <alignment horizontal="right" vertical="top" wrapText="1" indent="1"/>
    </xf>
    <xf numFmtId="171" fontId="21" fillId="19" borderId="34" xfId="0" applyNumberFormat="1" applyFont="1" applyFill="1" applyBorder="1" applyAlignment="1">
      <alignment horizontal="right" vertical="top" wrapText="1" indent="1"/>
    </xf>
    <xf numFmtId="171" fontId="21" fillId="19" borderId="35" xfId="0" applyNumberFormat="1" applyFont="1" applyFill="1" applyBorder="1" applyAlignment="1">
      <alignment horizontal="right" vertical="top" wrapText="1" indent="1"/>
    </xf>
    <xf numFmtId="171" fontId="21" fillId="0" borderId="35" xfId="0" applyNumberFormat="1" applyFont="1" applyBorder="1" applyAlignment="1">
      <alignment horizontal="right" vertical="top" wrapText="1" indent="1"/>
    </xf>
    <xf numFmtId="171" fontId="37" fillId="0" borderId="54" xfId="0" applyNumberFormat="1" applyFont="1" applyBorder="1" applyAlignment="1">
      <alignment horizontal="right" vertical="top" wrapText="1" indent="1"/>
    </xf>
    <xf numFmtId="171" fontId="37" fillId="19" borderId="37" xfId="0" applyNumberFormat="1" applyFont="1" applyFill="1" applyBorder="1" applyAlignment="1">
      <alignment horizontal="right" vertical="top" wrapText="1" indent="1"/>
    </xf>
    <xf numFmtId="171" fontId="37" fillId="19" borderId="82" xfId="0" applyNumberFormat="1" applyFont="1" applyFill="1" applyBorder="1" applyAlignment="1">
      <alignment horizontal="right" vertical="top" wrapText="1" indent="1"/>
    </xf>
    <xf numFmtId="0" fontId="38" fillId="4" borderId="24" xfId="0" applyFont="1" applyFill="1" applyBorder="1" applyAlignment="1">
      <alignment horizontal="center" vertical="center"/>
    </xf>
    <xf numFmtId="14" fontId="38" fillId="4" borderId="24" xfId="0" applyNumberFormat="1" applyFont="1" applyFill="1" applyBorder="1" applyAlignment="1">
      <alignment horizontal="center" vertical="top"/>
    </xf>
    <xf numFmtId="4" fontId="38" fillId="4" borderId="24" xfId="0" applyNumberFormat="1" applyFont="1" applyFill="1" applyBorder="1" applyAlignment="1">
      <alignment horizontal="right" vertical="top"/>
    </xf>
    <xf numFmtId="0" fontId="38" fillId="4" borderId="24" xfId="0" applyFont="1" applyFill="1" applyBorder="1" applyAlignment="1">
      <alignment horizontal="left" vertical="top" wrapText="1"/>
    </xf>
    <xf numFmtId="14" fontId="38" fillId="4" borderId="0" xfId="0" applyNumberFormat="1" applyFont="1" applyFill="1" applyAlignment="1">
      <alignment horizontal="center" vertical="top"/>
    </xf>
    <xf numFmtId="4" fontId="38" fillId="4" borderId="0" xfId="0" applyNumberFormat="1" applyFont="1" applyFill="1" applyAlignment="1">
      <alignment horizontal="center" vertical="top"/>
    </xf>
    <xf numFmtId="0" fontId="38" fillId="4" borderId="0" xfId="0" applyFont="1" applyFill="1" applyAlignment="1">
      <alignment horizontal="left" vertical="top" wrapText="1"/>
    </xf>
    <xf numFmtId="1" fontId="38" fillId="4" borderId="24" xfId="0" applyNumberFormat="1" applyFont="1" applyFill="1" applyBorder="1" applyAlignment="1">
      <alignment horizontal="center" vertical="top"/>
    </xf>
    <xf numFmtId="0" fontId="38" fillId="4" borderId="24" xfId="0" applyFont="1" applyFill="1" applyBorder="1" applyAlignment="1">
      <alignment horizontal="left" vertical="top"/>
    </xf>
    <xf numFmtId="172" fontId="38" fillId="4" borderId="24" xfId="0" applyNumberFormat="1" applyFont="1" applyFill="1" applyBorder="1" applyAlignment="1">
      <alignment horizontal="center" vertical="top"/>
    </xf>
    <xf numFmtId="2" fontId="38" fillId="4" borderId="24" xfId="0" applyNumberFormat="1" applyFont="1" applyFill="1" applyBorder="1" applyAlignment="1">
      <alignment horizontal="center" vertical="top"/>
    </xf>
    <xf numFmtId="2" fontId="39" fillId="4" borderId="24" xfId="0" applyNumberFormat="1" applyFont="1" applyFill="1" applyBorder="1" applyAlignment="1">
      <alignment horizontal="right" vertical="center" wrapText="1" indent="1"/>
    </xf>
    <xf numFmtId="0" fontId="38" fillId="4" borderId="24" xfId="0" applyFont="1" applyFill="1" applyBorder="1" applyAlignment="1">
      <alignment horizontal="left" vertical="center"/>
    </xf>
    <xf numFmtId="172" fontId="38" fillId="4" borderId="24" xfId="0" applyNumberFormat="1" applyFont="1" applyFill="1" applyBorder="1" applyAlignment="1">
      <alignment horizontal="center" vertical="center" wrapText="1"/>
    </xf>
    <xf numFmtId="10" fontId="38" fillId="4" borderId="24" xfId="0" applyNumberFormat="1" applyFont="1" applyFill="1" applyBorder="1" applyAlignment="1">
      <alignment horizontal="center" vertical="center" wrapText="1"/>
    </xf>
    <xf numFmtId="2" fontId="38" fillId="4" borderId="24" xfId="0" applyNumberFormat="1" applyFont="1" applyFill="1" applyBorder="1" applyAlignment="1">
      <alignment horizontal="center" vertical="center" wrapText="1"/>
    </xf>
    <xf numFmtId="2" fontId="17" fillId="20" borderId="0" xfId="0" applyNumberFormat="1" applyFont="1" applyFill="1" applyAlignment="1">
      <alignment horizontal="left"/>
    </xf>
    <xf numFmtId="2" fontId="39" fillId="4" borderId="24" xfId="0" applyNumberFormat="1" applyFont="1" applyFill="1" applyBorder="1" applyAlignment="1">
      <alignment horizontal="right" vertical="top" indent="1"/>
    </xf>
    <xf numFmtId="4" fontId="38" fillId="4" borderId="24" xfId="0" applyNumberFormat="1" applyFont="1" applyFill="1" applyBorder="1" applyAlignment="1">
      <alignment horizontal="right" vertical="center" wrapText="1"/>
    </xf>
    <xf numFmtId="0" fontId="21" fillId="18" borderId="11" xfId="0" applyFont="1" applyFill="1" applyBorder="1" applyAlignment="1">
      <alignment horizontal="center" vertical="center" wrapText="1"/>
    </xf>
    <xf numFmtId="171" fontId="21" fillId="19" borderId="77" xfId="0" applyNumberFormat="1" applyFont="1" applyFill="1" applyBorder="1" applyAlignment="1">
      <alignment horizontal="right" vertical="top" wrapText="1" indent="1"/>
    </xf>
    <xf numFmtId="171" fontId="21" fillId="19" borderId="74" xfId="0" applyNumberFormat="1" applyFont="1" applyFill="1" applyBorder="1" applyAlignment="1">
      <alignment horizontal="right" vertical="top" wrapText="1"/>
    </xf>
    <xf numFmtId="171" fontId="21" fillId="0" borderId="37" xfId="0" applyNumberFormat="1" applyFont="1" applyBorder="1" applyAlignment="1">
      <alignment horizontal="right" vertical="top" wrapText="1" indent="1"/>
    </xf>
    <xf numFmtId="0" fontId="37" fillId="22" borderId="83" xfId="0" applyFont="1" applyFill="1" applyBorder="1"/>
    <xf numFmtId="173" fontId="40" fillId="23" borderId="84" xfId="0" applyNumberFormat="1" applyFont="1" applyFill="1" applyBorder="1" applyAlignment="1" applyProtection="1">
      <alignment horizontal="left"/>
      <protection locked="0"/>
    </xf>
    <xf numFmtId="0" fontId="21" fillId="22" borderId="85" xfId="0" applyFont="1" applyFill="1" applyBorder="1"/>
    <xf numFmtId="0" fontId="41" fillId="23" borderId="86" xfId="0" applyFont="1" applyFill="1" applyBorder="1" applyProtection="1">
      <protection locked="0"/>
    </xf>
    <xf numFmtId="0" fontId="42" fillId="22" borderId="0" xfId="0" applyFont="1" applyFill="1" applyAlignment="1">
      <alignment vertical="center"/>
    </xf>
    <xf numFmtId="0" fontId="21" fillId="22" borderId="0" xfId="0" applyFont="1" applyFill="1"/>
    <xf numFmtId="0" fontId="41" fillId="24" borderId="87" xfId="0" applyFont="1" applyFill="1" applyBorder="1"/>
    <xf numFmtId="0" fontId="42" fillId="25" borderId="0" xfId="0" applyFont="1" applyFill="1" applyAlignment="1">
      <alignment vertical="center"/>
    </xf>
    <xf numFmtId="0" fontId="21" fillId="25" borderId="0" xfId="0" applyFont="1" applyFill="1"/>
    <xf numFmtId="0" fontId="43" fillId="24" borderId="87" xfId="0" applyFont="1" applyFill="1" applyBorder="1"/>
    <xf numFmtId="0" fontId="41" fillId="24" borderId="88" xfId="0" applyFont="1" applyFill="1" applyBorder="1"/>
    <xf numFmtId="0" fontId="46" fillId="22" borderId="89" xfId="0" applyFont="1" applyFill="1" applyBorder="1" applyAlignment="1">
      <alignment horizontal="center" wrapText="1"/>
    </xf>
    <xf numFmtId="0" fontId="37" fillId="22" borderId="92" xfId="0" applyFont="1" applyFill="1" applyBorder="1" applyAlignment="1">
      <alignment horizontal="center"/>
    </xf>
    <xf numFmtId="0" fontId="21" fillId="26" borderId="0" xfId="0" applyFont="1" applyFill="1"/>
    <xf numFmtId="0" fontId="37" fillId="22" borderId="93" xfId="0" applyFont="1" applyFill="1" applyBorder="1"/>
    <xf numFmtId="2" fontId="46" fillId="22" borderId="94" xfId="0" applyNumberFormat="1" applyFont="1" applyFill="1" applyBorder="1" applyAlignment="1">
      <alignment horizontal="center"/>
    </xf>
    <xf numFmtId="3" fontId="47" fillId="22" borderId="89" xfId="0" applyNumberFormat="1" applyFont="1" applyFill="1" applyBorder="1" applyAlignment="1">
      <alignment horizontal="center"/>
    </xf>
    <xf numFmtId="10" fontId="21" fillId="26" borderId="0" xfId="0" applyNumberFormat="1" applyFont="1" applyFill="1"/>
    <xf numFmtId="0" fontId="37" fillId="22" borderId="95" xfId="0" applyFont="1" applyFill="1" applyBorder="1"/>
    <xf numFmtId="0" fontId="21" fillId="22" borderId="91" xfId="0" applyFont="1" applyFill="1" applyBorder="1"/>
    <xf numFmtId="0" fontId="21" fillId="22" borderId="96" xfId="0" applyFont="1" applyFill="1" applyBorder="1"/>
    <xf numFmtId="0" fontId="37" fillId="27" borderId="97" xfId="0" applyFont="1" applyFill="1" applyBorder="1" applyAlignment="1" applyProtection="1">
      <alignment wrapText="1"/>
      <protection locked="0"/>
    </xf>
    <xf numFmtId="0" fontId="21" fillId="28" borderId="98" xfId="0" applyFont="1" applyFill="1" applyBorder="1"/>
    <xf numFmtId="0" fontId="37" fillId="29" borderId="98" xfId="0" applyFont="1" applyFill="1" applyBorder="1" applyAlignment="1">
      <alignment horizontal="center" vertical="center" wrapText="1"/>
    </xf>
    <xf numFmtId="0" fontId="21" fillId="22" borderId="99" xfId="0" applyFont="1" applyFill="1" applyBorder="1"/>
    <xf numFmtId="0" fontId="21" fillId="22" borderId="100" xfId="0" applyFont="1" applyFill="1" applyBorder="1"/>
    <xf numFmtId="0" fontId="21" fillId="28" borderId="100" xfId="0" applyFont="1" applyFill="1" applyBorder="1"/>
    <xf numFmtId="0" fontId="37" fillId="29" borderId="101" xfId="0" applyFont="1" applyFill="1" applyBorder="1" applyAlignment="1">
      <alignment horizontal="center" vertical="center" wrapText="1"/>
    </xf>
    <xf numFmtId="0" fontId="37" fillId="22" borderId="9" xfId="0" applyFont="1" applyFill="1" applyBorder="1" applyAlignment="1">
      <alignment vertical="center" wrapText="1"/>
    </xf>
    <xf numFmtId="0" fontId="37" fillId="22" borderId="102" xfId="0" applyFont="1" applyFill="1" applyBorder="1" applyAlignment="1">
      <alignment horizontal="center" vertical="center"/>
    </xf>
    <xf numFmtId="0" fontId="47" fillId="22" borderId="103" xfId="0" applyFont="1" applyFill="1" applyBorder="1" applyAlignment="1">
      <alignment horizontal="center" vertical="center"/>
    </xf>
    <xf numFmtId="0" fontId="47" fillId="22" borderId="97" xfId="0" applyFont="1" applyFill="1" applyBorder="1" applyAlignment="1">
      <alignment horizontal="center" vertical="center"/>
    </xf>
    <xf numFmtId="0" fontId="47" fillId="28" borderId="97" xfId="0" applyFont="1" applyFill="1" applyBorder="1" applyAlignment="1">
      <alignment horizontal="center" vertical="center"/>
    </xf>
    <xf numFmtId="0" fontId="37" fillId="29" borderId="97" xfId="0" applyFont="1" applyFill="1" applyBorder="1" applyAlignment="1">
      <alignment horizontal="center" vertical="center" wrapText="1"/>
    </xf>
    <xf numFmtId="0" fontId="37" fillId="29" borderId="104" xfId="0" applyFont="1" applyFill="1" applyBorder="1" applyAlignment="1">
      <alignment horizontal="center" vertical="center" wrapText="1"/>
    </xf>
    <xf numFmtId="0" fontId="37" fillId="22" borderId="84" xfId="0" applyFont="1" applyFill="1" applyBorder="1"/>
    <xf numFmtId="0" fontId="48" fillId="0" borderId="107" xfId="0" applyFont="1" applyBorder="1"/>
    <xf numFmtId="0" fontId="21" fillId="0" borderId="108" xfId="0" applyFont="1" applyBorder="1"/>
    <xf numFmtId="0" fontId="3" fillId="0" borderId="108" xfId="0" applyFont="1" applyBorder="1"/>
    <xf numFmtId="0" fontId="21" fillId="0" borderId="109" xfId="0" applyFont="1" applyBorder="1"/>
    <xf numFmtId="3" fontId="21" fillId="28" borderId="19" xfId="0" applyNumberFormat="1" applyFont="1" applyFill="1" applyBorder="1" applyAlignment="1">
      <alignment horizontal="center"/>
    </xf>
    <xf numFmtId="3" fontId="21" fillId="29" borderId="107" xfId="0" applyNumberFormat="1" applyFont="1" applyFill="1" applyBorder="1" applyAlignment="1">
      <alignment horizontal="center"/>
    </xf>
    <xf numFmtId="3" fontId="21" fillId="29" borderId="108" xfId="0" applyNumberFormat="1" applyFont="1" applyFill="1" applyBorder="1" applyAlignment="1">
      <alignment horizontal="center"/>
    </xf>
    <xf numFmtId="3" fontId="21" fillId="0" borderId="108" xfId="0" applyNumberFormat="1" applyFont="1" applyBorder="1" applyAlignment="1">
      <alignment horizontal="center"/>
    </xf>
    <xf numFmtId="0" fontId="37" fillId="22" borderId="86" xfId="0" applyFont="1" applyFill="1" applyBorder="1"/>
    <xf numFmtId="0" fontId="48" fillId="0" borderId="110" xfId="0" applyFont="1" applyBorder="1"/>
    <xf numFmtId="0" fontId="21" fillId="0" borderId="111" xfId="0" applyFont="1" applyBorder="1"/>
    <xf numFmtId="0" fontId="3" fillId="0" borderId="111" xfId="0" applyFont="1" applyBorder="1"/>
    <xf numFmtId="0" fontId="21" fillId="0" borderId="112" xfId="0" applyFont="1" applyBorder="1"/>
    <xf numFmtId="3" fontId="21" fillId="28" borderId="24" xfId="0" applyNumberFormat="1" applyFont="1" applyFill="1" applyBorder="1" applyAlignment="1">
      <alignment horizontal="center"/>
    </xf>
    <xf numFmtId="3" fontId="21" fillId="29" borderId="110" xfId="0" applyNumberFormat="1" applyFont="1" applyFill="1" applyBorder="1" applyAlignment="1">
      <alignment horizontal="center"/>
    </xf>
    <xf numFmtId="3" fontId="21" fillId="29" borderId="111" xfId="0" applyNumberFormat="1" applyFont="1" applyFill="1" applyBorder="1" applyAlignment="1">
      <alignment horizontal="center"/>
    </xf>
    <xf numFmtId="3" fontId="21" fillId="0" borderId="111" xfId="0" applyNumberFormat="1" applyFont="1" applyBorder="1" applyAlignment="1">
      <alignment horizontal="center"/>
    </xf>
    <xf numFmtId="0" fontId="21" fillId="15" borderId="111" xfId="0" applyFont="1" applyFill="1" applyBorder="1"/>
    <xf numFmtId="0" fontId="49" fillId="0" borderId="111" xfId="0" applyFont="1" applyBorder="1"/>
    <xf numFmtId="0" fontId="48" fillId="0" borderId="110" xfId="0" applyFont="1" applyBorder="1" applyProtection="1">
      <protection locked="0"/>
    </xf>
    <xf numFmtId="0" fontId="48" fillId="0" borderId="111" xfId="0" applyFont="1" applyBorder="1" applyProtection="1">
      <protection locked="0"/>
    </xf>
    <xf numFmtId="0" fontId="3" fillId="0" borderId="111" xfId="0" applyFont="1" applyBorder="1" applyProtection="1">
      <protection locked="0"/>
    </xf>
    <xf numFmtId="0" fontId="48" fillId="0" borderId="24" xfId="0" applyFont="1" applyBorder="1"/>
    <xf numFmtId="0" fontId="48" fillId="0" borderId="0" xfId="0" applyFont="1" applyProtection="1">
      <protection locked="0"/>
    </xf>
    <xf numFmtId="0" fontId="48" fillId="0" borderId="112" xfId="0" applyFont="1" applyBorder="1" applyProtection="1">
      <protection locked="0"/>
    </xf>
    <xf numFmtId="0" fontId="42" fillId="0" borderId="110" xfId="0" applyFont="1" applyBorder="1" applyProtection="1">
      <protection locked="0"/>
    </xf>
    <xf numFmtId="0" fontId="42" fillId="0" borderId="111" xfId="0" applyFont="1" applyBorder="1" applyProtection="1">
      <protection locked="0"/>
    </xf>
    <xf numFmtId="0" fontId="42" fillId="0" borderId="24" xfId="0" applyFont="1" applyBorder="1"/>
    <xf numFmtId="0" fontId="37" fillId="30" borderId="86" xfId="0" applyFont="1" applyFill="1" applyBorder="1" applyProtection="1">
      <protection locked="0"/>
    </xf>
    <xf numFmtId="0" fontId="42" fillId="31" borderId="24" xfId="0" applyFont="1" applyFill="1" applyBorder="1"/>
    <xf numFmtId="0" fontId="48" fillId="15" borderId="24" xfId="0" applyFont="1" applyFill="1" applyBorder="1"/>
    <xf numFmtId="0" fontId="48" fillId="15" borderId="111" xfId="0" applyFont="1" applyFill="1" applyBorder="1" applyProtection="1">
      <protection locked="0"/>
    </xf>
    <xf numFmtId="0" fontId="48" fillId="15" borderId="113" xfId="0" applyFont="1" applyFill="1" applyBorder="1" applyProtection="1">
      <protection locked="0"/>
    </xf>
    <xf numFmtId="3" fontId="21" fillId="32" borderId="24" xfId="0" applyNumberFormat="1" applyFont="1" applyFill="1" applyBorder="1" applyAlignment="1" applyProtection="1">
      <alignment horizontal="center"/>
      <protection hidden="1"/>
    </xf>
    <xf numFmtId="3" fontId="21" fillId="33" borderId="110" xfId="0" applyNumberFormat="1" applyFont="1" applyFill="1" applyBorder="1" applyAlignment="1" applyProtection="1">
      <alignment horizontal="center"/>
      <protection hidden="1"/>
    </xf>
    <xf numFmtId="3" fontId="21" fillId="33" borderId="111" xfId="0" applyNumberFormat="1" applyFont="1" applyFill="1" applyBorder="1" applyAlignment="1" applyProtection="1">
      <alignment horizontal="center"/>
      <protection hidden="1"/>
    </xf>
    <xf numFmtId="3" fontId="21" fillId="0" borderId="111" xfId="0" applyNumberFormat="1" applyFont="1" applyBorder="1" applyAlignment="1" applyProtection="1">
      <alignment horizontal="center"/>
      <protection hidden="1"/>
    </xf>
    <xf numFmtId="0" fontId="21" fillId="0" borderId="111" xfId="0" applyFont="1" applyBorder="1" applyAlignment="1" applyProtection="1">
      <alignment horizontal="center"/>
      <protection locked="0"/>
    </xf>
    <xf numFmtId="0" fontId="50" fillId="22" borderId="86" xfId="0" applyFont="1" applyFill="1" applyBorder="1"/>
    <xf numFmtId="3" fontId="48" fillId="28" borderId="24" xfId="0" applyNumberFormat="1" applyFont="1" applyFill="1" applyBorder="1" applyAlignment="1">
      <alignment horizontal="center"/>
    </xf>
    <xf numFmtId="3" fontId="48" fillId="29" borderId="110" xfId="0" applyNumberFormat="1" applyFont="1" applyFill="1" applyBorder="1" applyAlignment="1">
      <alignment horizontal="center"/>
    </xf>
    <xf numFmtId="3" fontId="48" fillId="29" borderId="111" xfId="0" applyNumberFormat="1" applyFont="1" applyFill="1" applyBorder="1" applyAlignment="1">
      <alignment horizontal="center"/>
    </xf>
    <xf numFmtId="3" fontId="48" fillId="0" borderId="111" xfId="0" applyNumberFormat="1" applyFont="1" applyBorder="1" applyAlignment="1">
      <alignment horizontal="center"/>
    </xf>
    <xf numFmtId="0" fontId="37" fillId="30" borderId="114" xfId="0" applyFont="1" applyFill="1" applyBorder="1" applyProtection="1">
      <protection locked="0"/>
    </xf>
    <xf numFmtId="0" fontId="42" fillId="0" borderId="24" xfId="0" applyFont="1" applyBorder="1" applyProtection="1">
      <protection locked="0"/>
    </xf>
    <xf numFmtId="0" fontId="42" fillId="12" borderId="24" xfId="0" applyFont="1" applyFill="1" applyBorder="1"/>
    <xf numFmtId="0" fontId="48" fillId="12" borderId="111" xfId="0" applyFont="1" applyFill="1" applyBorder="1" applyProtection="1">
      <protection locked="0"/>
    </xf>
    <xf numFmtId="0" fontId="48" fillId="12" borderId="24" xfId="0" applyFont="1" applyFill="1" applyBorder="1"/>
    <xf numFmtId="3" fontId="21" fillId="32" borderId="23" xfId="0" applyNumberFormat="1" applyFont="1" applyFill="1" applyBorder="1" applyAlignment="1" applyProtection="1">
      <alignment horizontal="center"/>
      <protection hidden="1"/>
    </xf>
    <xf numFmtId="3" fontId="21" fillId="0" borderId="113" xfId="0" applyNumberFormat="1" applyFont="1" applyBorder="1" applyAlignment="1" applyProtection="1">
      <alignment horizontal="center"/>
      <protection hidden="1"/>
    </xf>
    <xf numFmtId="0" fontId="42" fillId="0" borderId="115" xfId="0" applyFont="1" applyBorder="1" applyProtection="1">
      <protection locked="0"/>
    </xf>
    <xf numFmtId="0" fontId="50" fillId="22" borderId="116" xfId="0" applyFont="1" applyFill="1" applyBorder="1"/>
    <xf numFmtId="0" fontId="42" fillId="0" borderId="31" xfId="0" applyFont="1" applyBorder="1" applyProtection="1">
      <protection locked="0"/>
    </xf>
    <xf numFmtId="0" fontId="42" fillId="0" borderId="30" xfId="0" applyFont="1" applyBorder="1" applyProtection="1">
      <protection locked="0"/>
    </xf>
    <xf numFmtId="0" fontId="51" fillId="0" borderId="24" xfId="0" applyFont="1" applyBorder="1"/>
    <xf numFmtId="0" fontId="42" fillId="0" borderId="0" xfId="0" applyFont="1"/>
    <xf numFmtId="0" fontId="42" fillId="0" borderId="23" xfId="0" applyFont="1" applyBorder="1"/>
    <xf numFmtId="3" fontId="48" fillId="28" borderId="28" xfId="0" applyNumberFormat="1" applyFont="1" applyFill="1" applyBorder="1" applyAlignment="1">
      <alignment horizontal="center"/>
    </xf>
    <xf numFmtId="3" fontId="48" fillId="29" borderId="113" xfId="0" applyNumberFormat="1" applyFont="1" applyFill="1" applyBorder="1" applyAlignment="1">
      <alignment horizontal="center"/>
    </xf>
    <xf numFmtId="3" fontId="48" fillId="0" borderId="113" xfId="0" applyNumberFormat="1" applyFont="1" applyBorder="1" applyAlignment="1">
      <alignment horizontal="center"/>
    </xf>
    <xf numFmtId="3" fontId="37" fillId="22" borderId="117" xfId="0" applyNumberFormat="1" applyFont="1" applyFill="1" applyBorder="1" applyAlignment="1">
      <alignment horizontal="center"/>
    </xf>
    <xf numFmtId="3" fontId="37" fillId="28" borderId="97" xfId="0" applyNumberFormat="1" applyFont="1" applyFill="1" applyBorder="1" applyAlignment="1">
      <alignment horizontal="center"/>
    </xf>
    <xf numFmtId="3" fontId="37" fillId="28" borderId="118" xfId="0" applyNumberFormat="1" applyFont="1" applyFill="1" applyBorder="1" applyAlignment="1">
      <alignment horizontal="center"/>
    </xf>
    <xf numFmtId="3" fontId="37" fillId="28" borderId="117" xfId="0" applyNumberFormat="1" applyFont="1" applyFill="1" applyBorder="1" applyAlignment="1">
      <alignment horizontal="center"/>
    </xf>
    <xf numFmtId="3" fontId="37" fillId="28" borderId="104" xfId="0" applyNumberFormat="1" applyFont="1" applyFill="1" applyBorder="1" applyAlignment="1">
      <alignment horizontal="center"/>
    </xf>
    <xf numFmtId="3" fontId="37" fillId="28" borderId="13" xfId="0" applyNumberFormat="1" applyFont="1" applyFill="1" applyBorder="1" applyAlignment="1">
      <alignment horizontal="center"/>
    </xf>
    <xf numFmtId="167" fontId="48" fillId="29" borderId="110" xfId="0" applyNumberFormat="1" applyFont="1" applyFill="1" applyBorder="1" applyAlignment="1">
      <alignment horizontal="center"/>
    </xf>
    <xf numFmtId="167" fontId="21" fillId="33" borderId="110" xfId="0" applyNumberFormat="1" applyFont="1" applyFill="1" applyBorder="1" applyAlignment="1" applyProtection="1">
      <alignment horizontal="center"/>
      <protection hidden="1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17" fillId="2" borderId="1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165" fontId="16" fillId="6" borderId="27" xfId="1" applyNumberFormat="1" applyFont="1" applyFill="1" applyBorder="1" applyAlignment="1" applyProtection="1">
      <alignment horizontal="center" vertical="center" wrapText="1"/>
    </xf>
    <xf numFmtId="165" fontId="16" fillId="6" borderId="28" xfId="1" applyNumberFormat="1" applyFont="1" applyFill="1" applyBorder="1" applyAlignment="1" applyProtection="1">
      <alignment horizontal="center" vertical="center" wrapText="1"/>
    </xf>
    <xf numFmtId="165" fontId="16" fillId="6" borderId="20" xfId="1" applyNumberFormat="1" applyFont="1" applyFill="1" applyBorder="1" applyAlignment="1" applyProtection="1">
      <alignment horizontal="center" vertical="center" wrapText="1"/>
    </xf>
    <xf numFmtId="165" fontId="16" fillId="6" borderId="29" xfId="1" applyNumberFormat="1" applyFont="1" applyFill="1" applyBorder="1" applyAlignment="1" applyProtection="1">
      <alignment horizontal="center" vertical="center" wrapText="1"/>
    </xf>
    <xf numFmtId="165" fontId="16" fillId="6" borderId="24" xfId="1" applyNumberFormat="1" applyFont="1" applyFill="1" applyBorder="1" applyAlignment="1" applyProtection="1">
      <alignment horizontal="center" vertical="center" wrapText="1"/>
    </xf>
    <xf numFmtId="0" fontId="15" fillId="10" borderId="24" xfId="0" applyFont="1" applyFill="1" applyBorder="1" applyAlignment="1">
      <alignment horizontal="center" vertical="center"/>
    </xf>
    <xf numFmtId="0" fontId="25" fillId="10" borderId="24" xfId="0" applyFont="1" applyFill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top"/>
    </xf>
    <xf numFmtId="0" fontId="2" fillId="0" borderId="0" xfId="0" applyFont="1"/>
    <xf numFmtId="0" fontId="19" fillId="0" borderId="32" xfId="0" applyFont="1" applyBorder="1" applyAlignment="1">
      <alignment horizontal="left" vertical="center"/>
    </xf>
    <xf numFmtId="0" fontId="17" fillId="10" borderId="24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7" fillId="5" borderId="38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1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3" fontId="17" fillId="5" borderId="38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center" vertical="center"/>
    </xf>
    <xf numFmtId="3" fontId="17" fillId="5" borderId="38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 vertical="center" wrapText="1"/>
    </xf>
    <xf numFmtId="3" fontId="17" fillId="5" borderId="18" xfId="0" applyNumberFormat="1" applyFont="1" applyFill="1" applyBorder="1" applyAlignment="1">
      <alignment horizontal="center" vertical="center" wrapText="1"/>
    </xf>
    <xf numFmtId="3" fontId="17" fillId="5" borderId="39" xfId="0" applyNumberFormat="1" applyFont="1" applyFill="1" applyBorder="1" applyAlignment="1">
      <alignment horizontal="center" vertical="center" wrapText="1"/>
    </xf>
    <xf numFmtId="3" fontId="17" fillId="5" borderId="40" xfId="0" applyNumberFormat="1" applyFont="1" applyFill="1" applyBorder="1" applyAlignment="1">
      <alignment horizontal="center" vertical="center" wrapText="1"/>
    </xf>
    <xf numFmtId="3" fontId="17" fillId="5" borderId="42" xfId="0" applyNumberFormat="1" applyFont="1" applyFill="1" applyBorder="1" applyAlignment="1">
      <alignment horizontal="center" vertical="center"/>
    </xf>
    <xf numFmtId="3" fontId="17" fillId="5" borderId="33" xfId="0" applyNumberFormat="1" applyFont="1" applyFill="1" applyBorder="1" applyAlignment="1">
      <alignment horizontal="center" vertical="center"/>
    </xf>
    <xf numFmtId="3" fontId="17" fillId="5" borderId="43" xfId="0" applyNumberFormat="1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3" fontId="17" fillId="5" borderId="42" xfId="0" applyNumberFormat="1" applyFont="1" applyFill="1" applyBorder="1" applyAlignment="1">
      <alignment horizontal="center" vertical="center" wrapText="1"/>
    </xf>
    <xf numFmtId="3" fontId="17" fillId="5" borderId="33" xfId="0" applyNumberFormat="1" applyFont="1" applyFill="1" applyBorder="1" applyAlignment="1">
      <alignment horizontal="center" vertical="center" wrapText="1"/>
    </xf>
    <xf numFmtId="0" fontId="19" fillId="0" borderId="45" xfId="0" applyFont="1" applyBorder="1" applyAlignment="1">
      <alignment horizontal="left" vertical="center"/>
    </xf>
    <xf numFmtId="0" fontId="16" fillId="0" borderId="45" xfId="0" applyFont="1" applyBorder="1" applyAlignment="1">
      <alignment horizontal="left" vertical="center"/>
    </xf>
    <xf numFmtId="0" fontId="16" fillId="0" borderId="4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/>
    </xf>
    <xf numFmtId="5" fontId="31" fillId="0" borderId="9" xfId="0" applyNumberFormat="1" applyFont="1" applyBorder="1" applyAlignment="1">
      <alignment horizontal="center" vertical="center"/>
    </xf>
    <xf numFmtId="5" fontId="31" fillId="0" borderId="10" xfId="0" applyNumberFormat="1" applyFont="1" applyBorder="1" applyAlignment="1">
      <alignment horizontal="center" vertical="center"/>
    </xf>
    <xf numFmtId="5" fontId="31" fillId="0" borderId="4" xfId="0" applyNumberFormat="1" applyFont="1" applyBorder="1" applyAlignment="1">
      <alignment horizontal="center" vertical="center"/>
    </xf>
    <xf numFmtId="166" fontId="31" fillId="0" borderId="55" xfId="1" applyNumberFormat="1" applyFont="1" applyBorder="1" applyAlignment="1" applyProtection="1">
      <alignment horizontal="center" vertical="center"/>
    </xf>
    <xf numFmtId="166" fontId="31" fillId="0" borderId="13" xfId="1" applyNumberFormat="1" applyFont="1" applyBorder="1" applyAlignment="1" applyProtection="1">
      <alignment horizontal="center" vertical="center"/>
    </xf>
    <xf numFmtId="166" fontId="31" fillId="0" borderId="14" xfId="1" applyNumberFormat="1" applyFont="1" applyBorder="1" applyAlignment="1" applyProtection="1">
      <alignment horizontal="center" vertical="center"/>
    </xf>
    <xf numFmtId="166" fontId="31" fillId="0" borderId="51" xfId="1" applyNumberFormat="1" applyFont="1" applyBorder="1" applyAlignment="1" applyProtection="1">
      <alignment horizontal="center" vertical="center"/>
    </xf>
    <xf numFmtId="166" fontId="31" fillId="0" borderId="52" xfId="1" applyNumberFormat="1" applyFont="1" applyBorder="1" applyAlignment="1" applyProtection="1">
      <alignment horizontal="center" vertical="center"/>
    </xf>
    <xf numFmtId="166" fontId="31" fillId="0" borderId="56" xfId="1" applyNumberFormat="1" applyFont="1" applyBorder="1" applyAlignment="1" applyProtection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0" fontId="17" fillId="5" borderId="59" xfId="0" applyFont="1" applyFill="1" applyBorder="1" applyAlignment="1">
      <alignment horizontal="center" vertical="center" wrapText="1"/>
    </xf>
    <xf numFmtId="3" fontId="17" fillId="5" borderId="57" xfId="0" applyNumberFormat="1" applyFont="1" applyFill="1" applyBorder="1" applyAlignment="1">
      <alignment horizontal="center" vertical="center"/>
    </xf>
    <xf numFmtId="3" fontId="17" fillId="5" borderId="39" xfId="0" applyNumberFormat="1" applyFont="1" applyFill="1" applyBorder="1" applyAlignment="1">
      <alignment horizontal="center" vertical="center"/>
    </xf>
    <xf numFmtId="3" fontId="17" fillId="5" borderId="58" xfId="0" applyNumberFormat="1" applyFont="1" applyFill="1" applyBorder="1" applyAlignment="1">
      <alignment horizontal="center" vertical="center"/>
    </xf>
    <xf numFmtId="3" fontId="17" fillId="5" borderId="57" xfId="0" applyNumberFormat="1" applyFont="1" applyFill="1" applyBorder="1" applyAlignment="1">
      <alignment horizontal="center" vertical="center" wrapText="1"/>
    </xf>
    <xf numFmtId="3" fontId="17" fillId="5" borderId="58" xfId="0" applyNumberFormat="1" applyFont="1" applyFill="1" applyBorder="1" applyAlignment="1">
      <alignment horizontal="center" vertical="center" wrapText="1"/>
    </xf>
    <xf numFmtId="166" fontId="31" fillId="0" borderId="9" xfId="1" applyNumberFormat="1" applyFont="1" applyBorder="1" applyAlignment="1">
      <alignment horizontal="center" vertical="center"/>
    </xf>
    <xf numFmtId="166" fontId="31" fillId="0" borderId="10" xfId="1" applyNumberFormat="1" applyFont="1" applyBorder="1" applyAlignment="1">
      <alignment horizontal="center" vertical="center"/>
    </xf>
    <xf numFmtId="166" fontId="31" fillId="0" borderId="4" xfId="1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0" fontId="16" fillId="0" borderId="50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45" xfId="0" applyFont="1" applyBorder="1" applyAlignment="1">
      <alignment horizontal="left" vertical="center"/>
    </xf>
    <xf numFmtId="0" fontId="27" fillId="0" borderId="49" xfId="0" applyFont="1" applyBorder="1" applyAlignment="1">
      <alignment horizontal="left"/>
    </xf>
    <xf numFmtId="0" fontId="27" fillId="0" borderId="24" xfId="0" applyFont="1" applyBorder="1" applyAlignment="1">
      <alignment horizontal="left"/>
    </xf>
    <xf numFmtId="0" fontId="27" fillId="0" borderId="25" xfId="0" applyFont="1" applyBorder="1" applyAlignment="1">
      <alignment horizontal="left"/>
    </xf>
    <xf numFmtId="0" fontId="27" fillId="0" borderId="54" xfId="0" applyFont="1" applyBorder="1" applyAlignment="1">
      <alignment horizontal="left"/>
    </xf>
    <xf numFmtId="0" fontId="27" fillId="0" borderId="34" xfId="0" applyFont="1" applyBorder="1" applyAlignment="1">
      <alignment horizontal="left"/>
    </xf>
    <xf numFmtId="0" fontId="27" fillId="0" borderId="35" xfId="0" applyFont="1" applyBorder="1" applyAlignment="1">
      <alignment horizontal="left"/>
    </xf>
    <xf numFmtId="0" fontId="19" fillId="0" borderId="60" xfId="0" applyFont="1" applyBorder="1" applyAlignment="1">
      <alignment horizontal="left" vertical="center"/>
    </xf>
    <xf numFmtId="0" fontId="19" fillId="0" borderId="39" xfId="0" applyFont="1" applyBorder="1" applyAlignment="1">
      <alignment horizontal="left" vertical="center"/>
    </xf>
    <xf numFmtId="164" fontId="33" fillId="2" borderId="0" xfId="0" applyNumberFormat="1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35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12" fillId="3" borderId="24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3" fontId="11" fillId="2" borderId="61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left" vertical="center" wrapText="1"/>
    </xf>
    <xf numFmtId="0" fontId="17" fillId="2" borderId="10" xfId="0" applyFont="1" applyFill="1" applyBorder="1" applyAlignment="1">
      <alignment horizontal="left" vertical="center" wrapText="1"/>
    </xf>
    <xf numFmtId="0" fontId="17" fillId="2" borderId="4" xfId="0" applyFont="1" applyFill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/>
    </xf>
    <xf numFmtId="0" fontId="19" fillId="0" borderId="59" xfId="0" applyFont="1" applyBorder="1" applyAlignment="1">
      <alignment horizontal="left" vertical="center"/>
    </xf>
    <xf numFmtId="0" fontId="15" fillId="13" borderId="24" xfId="0" applyFont="1" applyFill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 wrapText="1"/>
    </xf>
    <xf numFmtId="164" fontId="33" fillId="5" borderId="0" xfId="0" applyNumberFormat="1" applyFont="1" applyFill="1" applyAlignment="1">
      <alignment horizontal="center" vertical="center"/>
    </xf>
    <xf numFmtId="0" fontId="34" fillId="5" borderId="0" xfId="0" applyFont="1" applyFill="1" applyAlignment="1">
      <alignment horizontal="center"/>
    </xf>
    <xf numFmtId="0" fontId="35" fillId="5" borderId="0" xfId="0" applyFont="1" applyFill="1" applyAlignment="1">
      <alignment horizontal="center" vertical="top"/>
    </xf>
    <xf numFmtId="0" fontId="10" fillId="5" borderId="0" xfId="0" applyFont="1" applyFill="1" applyAlignment="1">
      <alignment horizontal="left" vertical="top"/>
    </xf>
    <xf numFmtId="0" fontId="12" fillId="16" borderId="24" xfId="0" applyFont="1" applyFill="1" applyBorder="1" applyAlignment="1" applyProtection="1">
      <alignment horizontal="center" vertical="center" wrapText="1"/>
      <protection locked="0"/>
    </xf>
    <xf numFmtId="3" fontId="11" fillId="5" borderId="67" xfId="0" applyNumberFormat="1" applyFont="1" applyFill="1" applyBorder="1" applyAlignment="1" applyProtection="1">
      <alignment horizontal="center"/>
      <protection locked="0"/>
    </xf>
    <xf numFmtId="0" fontId="16" fillId="5" borderId="0" xfId="0" applyFont="1" applyFill="1" applyAlignment="1">
      <alignment horizontal="center" vertical="top"/>
    </xf>
    <xf numFmtId="0" fontId="15" fillId="14" borderId="24" xfId="0" applyFont="1" applyFill="1" applyBorder="1" applyAlignment="1">
      <alignment horizontal="center" vertical="center"/>
    </xf>
    <xf numFmtId="0" fontId="17" fillId="17" borderId="24" xfId="0" applyFont="1" applyFill="1" applyBorder="1" applyAlignment="1">
      <alignment horizontal="center" vertical="top"/>
    </xf>
    <xf numFmtId="0" fontId="17" fillId="14" borderId="24" xfId="0" applyFont="1" applyFill="1" applyBorder="1" applyAlignment="1">
      <alignment horizontal="center" vertical="center" wrapText="1"/>
    </xf>
    <xf numFmtId="17" fontId="37" fillId="34" borderId="57" xfId="0" applyNumberFormat="1" applyFont="1" applyFill="1" applyBorder="1" applyAlignment="1">
      <alignment horizontal="left" vertical="center" wrapText="1"/>
    </xf>
    <xf numFmtId="17" fontId="37" fillId="34" borderId="39" xfId="0" applyNumberFormat="1" applyFont="1" applyFill="1" applyBorder="1" applyAlignment="1">
      <alignment horizontal="left" vertical="center" wrapText="1"/>
    </xf>
    <xf numFmtId="17" fontId="37" fillId="34" borderId="46" xfId="0" applyNumberFormat="1" applyFont="1" applyFill="1" applyBorder="1" applyAlignment="1">
      <alignment horizontal="left" vertical="center" wrapText="1"/>
    </xf>
    <xf numFmtId="0" fontId="37" fillId="4" borderId="49" xfId="0" applyFont="1" applyFill="1" applyBorder="1" applyAlignment="1">
      <alignment horizontal="left" vertical="center" wrapText="1"/>
    </xf>
    <xf numFmtId="0" fontId="37" fillId="4" borderId="24" xfId="0" applyFont="1" applyFill="1" applyBorder="1" applyAlignment="1">
      <alignment horizontal="left" vertical="center" wrapText="1"/>
    </xf>
    <xf numFmtId="0" fontId="21" fillId="18" borderId="70" xfId="0" applyFont="1" applyFill="1" applyBorder="1" applyAlignment="1">
      <alignment horizontal="center" vertical="center" wrapText="1"/>
    </xf>
    <xf numFmtId="0" fontId="21" fillId="18" borderId="71" xfId="0" applyFont="1" applyFill="1" applyBorder="1" applyAlignment="1">
      <alignment horizontal="center" vertical="center" wrapText="1"/>
    </xf>
    <xf numFmtId="3" fontId="37" fillId="19" borderId="76" xfId="0" applyNumberFormat="1" applyFont="1" applyFill="1" applyBorder="1" applyAlignment="1">
      <alignment horizontal="left" vertical="top" wrapText="1"/>
    </xf>
    <xf numFmtId="0" fontId="37" fillId="19" borderId="77" xfId="0" applyFont="1" applyFill="1" applyBorder="1" applyAlignment="1">
      <alignment horizontal="left" vertical="top" wrapText="1"/>
    </xf>
    <xf numFmtId="0" fontId="38" fillId="4" borderId="24" xfId="0" applyFont="1" applyFill="1" applyBorder="1" applyAlignment="1">
      <alignment horizontal="center" vertical="center"/>
    </xf>
    <xf numFmtId="0" fontId="38" fillId="4" borderId="24" xfId="0" applyFont="1" applyFill="1" applyBorder="1" applyAlignment="1">
      <alignment horizontal="left" vertical="top" wrapText="1"/>
    </xf>
    <xf numFmtId="4" fontId="38" fillId="4" borderId="24" xfId="0" applyNumberFormat="1" applyFont="1" applyFill="1" applyBorder="1" applyAlignment="1">
      <alignment horizontal="center" vertical="top"/>
    </xf>
    <xf numFmtId="0" fontId="17" fillId="4" borderId="0" xfId="0" applyFont="1" applyFill="1" applyAlignment="1">
      <alignment horizontal="left" vertical="top" wrapText="1"/>
    </xf>
    <xf numFmtId="0" fontId="38" fillId="4" borderId="24" xfId="0" applyFont="1" applyFill="1" applyBorder="1" applyAlignment="1">
      <alignment horizontal="center" vertical="center" wrapText="1"/>
    </xf>
    <xf numFmtId="2" fontId="38" fillId="4" borderId="24" xfId="0" applyNumberFormat="1" applyFont="1" applyFill="1" applyBorder="1" applyAlignment="1">
      <alignment horizontal="center" vertical="top"/>
    </xf>
    <xf numFmtId="2" fontId="38" fillId="4" borderId="24" xfId="0" applyNumberFormat="1" applyFont="1" applyFill="1" applyBorder="1" applyAlignment="1">
      <alignment horizontal="center" vertical="center" wrapText="1"/>
    </xf>
    <xf numFmtId="0" fontId="38" fillId="4" borderId="24" xfId="0" applyFont="1" applyFill="1" applyBorder="1" applyAlignment="1">
      <alignment horizontal="left" vertical="top"/>
    </xf>
    <xf numFmtId="0" fontId="38" fillId="4" borderId="24" xfId="0" applyFont="1" applyFill="1" applyBorder="1" applyAlignment="1">
      <alignment horizontal="left" vertical="center"/>
    </xf>
    <xf numFmtId="17" fontId="37" fillId="21" borderId="57" xfId="0" applyNumberFormat="1" applyFont="1" applyFill="1" applyBorder="1" applyAlignment="1">
      <alignment horizontal="left" vertical="center" wrapText="1"/>
    </xf>
    <xf numFmtId="17" fontId="37" fillId="21" borderId="39" xfId="0" applyNumberFormat="1" applyFont="1" applyFill="1" applyBorder="1" applyAlignment="1">
      <alignment horizontal="left" vertical="center" wrapText="1"/>
    </xf>
    <xf numFmtId="17" fontId="37" fillId="21" borderId="46" xfId="0" applyNumberFormat="1" applyFont="1" applyFill="1" applyBorder="1" applyAlignment="1">
      <alignment horizontal="left" vertical="center" wrapText="1"/>
    </xf>
    <xf numFmtId="0" fontId="37" fillId="4" borderId="81" xfId="0" applyFont="1" applyFill="1" applyBorder="1" applyAlignment="1">
      <alignment horizontal="left" vertical="center" wrapText="1"/>
    </xf>
    <xf numFmtId="0" fontId="37" fillId="4" borderId="30" xfId="0" applyFont="1" applyFill="1" applyBorder="1" applyAlignment="1">
      <alignment horizontal="left" vertical="center" wrapText="1"/>
    </xf>
    <xf numFmtId="0" fontId="21" fillId="18" borderId="24" xfId="0" applyFont="1" applyFill="1" applyBorder="1" applyAlignment="1">
      <alignment horizontal="center" vertical="center" wrapText="1"/>
    </xf>
    <xf numFmtId="3" fontId="37" fillId="19" borderId="24" xfId="0" applyNumberFormat="1" applyFont="1" applyFill="1" applyBorder="1" applyAlignment="1">
      <alignment horizontal="left" vertical="top" wrapText="1"/>
    </xf>
    <xf numFmtId="0" fontId="37" fillId="19" borderId="24" xfId="0" applyFont="1" applyFill="1" applyBorder="1" applyAlignment="1">
      <alignment horizontal="left" vertical="top" wrapText="1"/>
    </xf>
    <xf numFmtId="4" fontId="38" fillId="4" borderId="24" xfId="0" applyNumberFormat="1" applyFont="1" applyFill="1" applyBorder="1" applyAlignment="1">
      <alignment horizontal="right" vertical="top"/>
    </xf>
    <xf numFmtId="0" fontId="44" fillId="22" borderId="89" xfId="0" applyFont="1" applyFill="1" applyBorder="1" applyAlignment="1">
      <alignment horizontal="center"/>
    </xf>
    <xf numFmtId="0" fontId="44" fillId="22" borderId="90" xfId="0" applyFont="1" applyFill="1" applyBorder="1" applyAlignment="1">
      <alignment horizontal="center"/>
    </xf>
    <xf numFmtId="3" fontId="45" fillId="22" borderId="89" xfId="0" applyNumberFormat="1" applyFont="1" applyFill="1" applyBorder="1" applyAlignment="1">
      <alignment horizontal="center"/>
    </xf>
    <xf numFmtId="3" fontId="45" fillId="22" borderId="91" xfId="0" applyNumberFormat="1" applyFont="1" applyFill="1" applyBorder="1" applyAlignment="1">
      <alignment horizontal="center"/>
    </xf>
    <xf numFmtId="3" fontId="45" fillId="22" borderId="90" xfId="0" applyNumberFormat="1" applyFont="1" applyFill="1" applyBorder="1" applyAlignment="1">
      <alignment horizontal="center"/>
    </xf>
    <xf numFmtId="0" fontId="21" fillId="22" borderId="89" xfId="0" applyFont="1" applyFill="1" applyBorder="1" applyAlignment="1">
      <alignment horizontal="left" wrapText="1"/>
    </xf>
    <xf numFmtId="0" fontId="21" fillId="22" borderId="91" xfId="0" applyFont="1" applyFill="1" applyBorder="1" applyAlignment="1">
      <alignment horizontal="left" wrapText="1"/>
    </xf>
    <xf numFmtId="0" fontId="21" fillId="22" borderId="90" xfId="0" applyFont="1" applyFill="1" applyBorder="1" applyAlignment="1">
      <alignment horizontal="left" wrapText="1"/>
    </xf>
    <xf numFmtId="0" fontId="37" fillId="29" borderId="98" xfId="0" applyFont="1" applyFill="1" applyBorder="1" applyAlignment="1">
      <alignment horizontal="center" vertical="center" wrapText="1"/>
    </xf>
    <xf numFmtId="0" fontId="37" fillId="29" borderId="100" xfId="0" applyFont="1" applyFill="1" applyBorder="1" applyAlignment="1">
      <alignment horizontal="center" vertical="center" wrapText="1"/>
    </xf>
    <xf numFmtId="0" fontId="37" fillId="29" borderId="105" xfId="0" applyFont="1" applyFill="1" applyBorder="1" applyAlignment="1">
      <alignment horizontal="center" vertical="center" wrapText="1"/>
    </xf>
    <xf numFmtId="0" fontId="37" fillId="29" borderId="106" xfId="0" applyFont="1" applyFill="1" applyBorder="1" applyAlignment="1">
      <alignment horizontal="center" vertical="center" wrapText="1"/>
    </xf>
    <xf numFmtId="0" fontId="47" fillId="26" borderId="98" xfId="0" applyFont="1" applyFill="1" applyBorder="1" applyAlignment="1">
      <alignment horizontal="center" vertical="center" wrapText="1"/>
    </xf>
    <xf numFmtId="0" fontId="47" fillId="26" borderId="100" xfId="0" applyFont="1" applyFill="1" applyBorder="1" applyAlignment="1">
      <alignment horizontal="center" vertical="center" wrapText="1"/>
    </xf>
    <xf numFmtId="0" fontId="47" fillId="26" borderId="106" xfId="0" applyFont="1" applyFill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279"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68"/>
  <sheetViews>
    <sheetView showZeros="0" topLeftCell="A25" workbookViewId="0">
      <pane xSplit="3" topLeftCell="D1" activePane="topRight" state="frozen"/>
      <selection activeCell="J15" sqref="J15"/>
      <selection pane="topRight" activeCell="D42" sqref="D42:D52"/>
    </sheetView>
  </sheetViews>
  <sheetFormatPr baseColWidth="10" defaultColWidth="9.1640625" defaultRowHeight="15"/>
  <cols>
    <col min="1" max="1" width="20.1640625" style="1" customWidth="1"/>
    <col min="2" max="2" width="10.33203125" style="2" customWidth="1"/>
    <col min="3" max="3" width="10.83203125" style="2" customWidth="1"/>
    <col min="4" max="4" width="17.1640625" style="2" customWidth="1"/>
    <col min="5" max="5" width="10.1640625" style="2" customWidth="1"/>
    <col min="6" max="6" width="11.33203125" style="2" customWidth="1"/>
    <col min="7" max="7" width="9.83203125" style="2" customWidth="1"/>
    <col min="8" max="8" width="9.5" style="2" customWidth="1"/>
    <col min="9" max="9" width="11" style="2" customWidth="1"/>
    <col min="10" max="10" width="8.83203125" style="2" customWidth="1"/>
    <col min="11" max="11" width="12.6640625" style="2" customWidth="1"/>
    <col min="12" max="12" width="11.5" style="2" customWidth="1"/>
    <col min="13" max="13" width="10.83203125" style="2" customWidth="1"/>
    <col min="14" max="14" width="11.6640625" style="2" customWidth="1"/>
    <col min="15" max="15" width="12.83203125" style="2" customWidth="1"/>
    <col min="16" max="16" width="10.33203125" style="2" customWidth="1"/>
    <col min="17" max="18" width="11.33203125" style="2" customWidth="1"/>
    <col min="19" max="19" width="11" style="3" customWidth="1"/>
    <col min="20" max="20" width="11.33203125" style="2" customWidth="1"/>
    <col min="21" max="21" width="9.1640625" style="2" bestFit="1" customWidth="1"/>
    <col min="22" max="23" width="10.5" style="2" customWidth="1"/>
    <col min="24" max="255" width="9.1640625" style="2" bestFit="1" customWidth="1"/>
  </cols>
  <sheetData>
    <row r="1" spans="1:23" ht="15.75" customHeight="1">
      <c r="A1" s="4"/>
      <c r="B1" s="561">
        <f ca="1">TODAY()-1</f>
        <v>45879</v>
      </c>
      <c r="C1" s="561"/>
      <c r="D1" s="5"/>
      <c r="E1" s="5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562"/>
      <c r="R1" s="562"/>
      <c r="S1" s="562"/>
      <c r="T1" s="562"/>
      <c r="U1" s="8"/>
      <c r="V1" s="6"/>
      <c r="W1" s="6"/>
    </row>
    <row r="2" spans="1:23" ht="21.75" customHeight="1">
      <c r="A2" s="4"/>
      <c r="B2" s="563" t="s">
        <v>0</v>
      </c>
      <c r="C2" s="563"/>
      <c r="D2" s="5"/>
      <c r="E2" s="5"/>
      <c r="F2" s="6"/>
      <c r="G2" s="6"/>
      <c r="H2" s="6"/>
      <c r="I2" s="6"/>
      <c r="J2" s="564"/>
      <c r="K2" s="564"/>
      <c r="L2" s="564"/>
      <c r="M2" s="564"/>
      <c r="N2" s="564"/>
      <c r="O2" s="564"/>
      <c r="P2" s="564"/>
      <c r="Q2" s="562"/>
      <c r="R2" s="562"/>
      <c r="S2" s="562"/>
      <c r="T2" s="562"/>
      <c r="U2" s="8"/>
      <c r="V2" s="6"/>
      <c r="W2" s="6"/>
    </row>
    <row r="3" spans="1:23" ht="14" customHeight="1">
      <c r="A3" s="4"/>
      <c r="B3" s="9"/>
      <c r="C3" s="10" t="s">
        <v>1</v>
      </c>
      <c r="D3" s="11"/>
      <c r="E3" s="11"/>
      <c r="F3" s="12"/>
      <c r="G3" s="12"/>
      <c r="H3" s="12"/>
      <c r="I3" s="565" t="str">
        <f>График!B3</f>
        <v>ул. Набережная Ленина, 18</v>
      </c>
      <c r="J3" s="566"/>
      <c r="K3" s="566"/>
      <c r="L3" s="566"/>
      <c r="M3" s="567"/>
      <c r="N3" s="7"/>
      <c r="O3" s="7"/>
      <c r="P3" s="13"/>
      <c r="Q3" s="562"/>
      <c r="R3" s="562"/>
      <c r="S3" s="562"/>
      <c r="T3" s="562"/>
      <c r="U3" s="8"/>
      <c r="V3" s="6"/>
      <c r="W3" s="6"/>
    </row>
    <row r="4" spans="1:23" ht="15" customHeight="1">
      <c r="A4" s="4"/>
      <c r="B4" s="5"/>
      <c r="C4" s="571">
        <f>I8-D56</f>
        <v>910348.39999999991</v>
      </c>
      <c r="D4" s="572"/>
      <c r="E4" s="14">
        <f>IF(I8&lt;&gt;0, C4/I8, 0)</f>
        <v>0.22312460784313723</v>
      </c>
      <c r="F4" s="12"/>
      <c r="G4" s="12"/>
      <c r="H4" s="12"/>
      <c r="I4" s="568"/>
      <c r="J4" s="569"/>
      <c r="K4" s="569"/>
      <c r="L4" s="569"/>
      <c r="M4" s="570"/>
      <c r="N4" s="7"/>
      <c r="O4" s="6"/>
      <c r="P4" s="6"/>
      <c r="Q4" s="562"/>
      <c r="R4" s="562"/>
      <c r="S4" s="562"/>
      <c r="T4" s="562"/>
      <c r="U4" s="8"/>
      <c r="V4" s="6"/>
      <c r="W4" s="6"/>
    </row>
    <row r="5" spans="1:23">
      <c r="A5" s="4"/>
      <c r="B5" s="6"/>
      <c r="C5" s="6"/>
      <c r="D5" s="15" t="e">
        <f>C4/(I14-J14)</f>
        <v>#DIV/0!</v>
      </c>
      <c r="E5" s="6"/>
      <c r="F5" s="6"/>
      <c r="G5" s="6"/>
      <c r="H5" s="6"/>
      <c r="I5" s="6"/>
      <c r="J5" s="573"/>
      <c r="K5" s="573"/>
      <c r="L5" s="573"/>
      <c r="M5" s="573"/>
      <c r="N5" s="573"/>
      <c r="O5" s="6"/>
      <c r="P5" s="6"/>
      <c r="Q5" s="6"/>
      <c r="R5" s="6"/>
      <c r="S5" s="12"/>
      <c r="T5" s="6"/>
      <c r="U5" s="8"/>
      <c r="V5" s="6"/>
      <c r="W5" s="6"/>
    </row>
    <row r="6" spans="1:23" ht="15.75" customHeight="1">
      <c r="A6" s="4"/>
      <c r="B6" s="16"/>
      <c r="C6" s="6"/>
      <c r="D6" s="6"/>
      <c r="E6" s="6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0"/>
      <c r="S6" s="21"/>
      <c r="T6" s="6"/>
      <c r="U6" s="8"/>
      <c r="V6" s="6"/>
      <c r="W6" s="6"/>
    </row>
    <row r="7" spans="1:23" ht="50.75" customHeight="1">
      <c r="A7" s="4"/>
      <c r="B7" s="16"/>
      <c r="C7" s="16"/>
      <c r="D7" s="16"/>
      <c r="E7" s="6"/>
      <c r="F7" s="574" t="s">
        <v>3</v>
      </c>
      <c r="G7" s="575"/>
      <c r="H7" s="576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77" t="s">
        <v>11</v>
      </c>
      <c r="Q7" s="578"/>
      <c r="R7" s="20"/>
      <c r="S7" s="21"/>
      <c r="T7" s="6"/>
      <c r="U7" s="8"/>
      <c r="V7" s="6"/>
      <c r="W7" s="6"/>
    </row>
    <row r="8" spans="1:23" ht="15.75" customHeight="1">
      <c r="A8" s="4"/>
      <c r="B8" s="16"/>
      <c r="C8" s="16"/>
      <c r="D8" s="27"/>
      <c r="E8" s="6"/>
      <c r="F8" s="579" t="s">
        <v>12</v>
      </c>
      <c r="G8" s="580"/>
      <c r="H8" s="581"/>
      <c r="I8" s="28">
        <f>I11*I12*I13</f>
        <v>4080000</v>
      </c>
      <c r="J8" s="29">
        <f>D56</f>
        <v>3169651.6</v>
      </c>
      <c r="K8" s="30">
        <f t="shared" ref="K8:K19" si="0">IF(AND(I8&lt;&gt;"", I8&lt;&gt;0, J8&lt;&gt;""), J8/I8, "")</f>
        <v>0.77687539215686274</v>
      </c>
      <c r="L8" s="31">
        <f>IF(SUMIF($D$25:$D$55,"&gt;=0",$P$25:$P$55)&lt;&gt;0,I8*D56/SUMIF($D$25:$D$55,"&gt;=0",$P$25:$P$55),0)</f>
        <v>3169651.6000000006</v>
      </c>
      <c r="M8" s="32">
        <f t="shared" ref="M8:M20" si="1">IF(AND(I8&lt;&gt;"", I8&lt;&gt;0, L8&lt;&gt;"", L8&lt;&gt;0), L8/I8, "")</f>
        <v>0.77687539215686285</v>
      </c>
      <c r="N8" s="33">
        <f t="shared" ref="N8:N20" si="2">IF(AND(J8&lt;&gt;0, J8&lt;&gt;"", I8&lt;&gt;0, I8&lt;&gt;""), L8-I8, "")</f>
        <v>-910348.39999999944</v>
      </c>
      <c r="O8" s="34"/>
      <c r="P8" s="35" t="str">
        <f t="shared" ref="P8:P20" si="3">IF(AND(O8&lt;&gt;"", O8&lt;&gt;0, L8&lt;&gt;"", L8&lt;&gt;0), -O8+L8, "")</f>
        <v/>
      </c>
      <c r="Q8" s="36" t="str">
        <f t="shared" ref="Q8:Q20" si="4">IF(AND(P8&lt;&gt;"", P8&lt;&gt;0, O8&lt;&gt;0, O8&lt;&gt;""), P8/O8, "")</f>
        <v/>
      </c>
      <c r="R8" s="20"/>
      <c r="S8" s="37"/>
      <c r="T8" s="6"/>
      <c r="U8" s="8"/>
      <c r="V8" s="6"/>
      <c r="W8" s="6"/>
    </row>
    <row r="9" spans="1:23" ht="15.75" customHeight="1">
      <c r="A9" s="4"/>
      <c r="B9" s="16"/>
      <c r="C9" s="16"/>
      <c r="D9" s="16"/>
      <c r="E9" s="6"/>
      <c r="F9" s="582" t="s">
        <v>13</v>
      </c>
      <c r="G9" s="583"/>
      <c r="H9" s="584"/>
      <c r="I9" s="38">
        <f>I8/I11</f>
        <v>680</v>
      </c>
      <c r="J9" s="39">
        <f>E56</f>
        <v>559</v>
      </c>
      <c r="K9" s="40">
        <f t="shared" si="0"/>
        <v>0.82205882352941173</v>
      </c>
      <c r="L9" s="41">
        <f>IF(SUMIF($E$25:$E$55, "&gt;=0", $Q$25:$Q$55)&lt;&gt;0, I9*E56/SUMIF($E$25:$E$55, "&gt;=0", $Q$25:$Q$55), 0)</f>
        <v>559.00000000000011</v>
      </c>
      <c r="M9" s="42">
        <f t="shared" si="1"/>
        <v>0.82205882352941195</v>
      </c>
      <c r="N9" s="43">
        <f t="shared" si="2"/>
        <v>-120.99999999999989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0"/>
      <c r="S9" s="37"/>
      <c r="T9" s="6"/>
      <c r="U9" s="8"/>
      <c r="V9" s="6"/>
      <c r="W9" s="6"/>
    </row>
    <row r="10" spans="1:23" ht="15.75" customHeight="1">
      <c r="A10" s="4"/>
      <c r="B10" s="16"/>
      <c r="C10" s="16"/>
      <c r="D10" s="16"/>
      <c r="E10" s="6"/>
      <c r="F10" s="579" t="s">
        <v>14</v>
      </c>
      <c r="G10" s="580"/>
      <c r="H10" s="581"/>
      <c r="I10" s="38">
        <f>I11*I12</f>
        <v>10200</v>
      </c>
      <c r="J10" s="46">
        <f>H56</f>
        <v>9693.1241590214067</v>
      </c>
      <c r="K10" s="47">
        <f t="shared" si="0"/>
        <v>0.9503062901001379</v>
      </c>
      <c r="L10" s="41">
        <f>J10</f>
        <v>9693.1241590214067</v>
      </c>
      <c r="M10" s="48">
        <f t="shared" si="1"/>
        <v>0.9503062901001379</v>
      </c>
      <c r="N10" s="49">
        <f t="shared" si="2"/>
        <v>-506.87584097859326</v>
      </c>
      <c r="O10" s="50">
        <f>O11*O12</f>
        <v>0</v>
      </c>
      <c r="P10" s="49" t="str">
        <f t="shared" si="3"/>
        <v/>
      </c>
      <c r="Q10" s="51" t="str">
        <f t="shared" si="4"/>
        <v/>
      </c>
      <c r="R10" s="20"/>
      <c r="S10" s="585" t="s">
        <v>15</v>
      </c>
      <c r="T10" s="586"/>
      <c r="U10" s="8"/>
      <c r="V10" s="6"/>
      <c r="W10" s="6"/>
    </row>
    <row r="11" spans="1:23" ht="15.75" customHeight="1">
      <c r="A11" s="4"/>
      <c r="B11" s="16"/>
      <c r="C11" s="16"/>
      <c r="D11" s="16"/>
      <c r="E11" s="6"/>
      <c r="F11" s="582" t="s">
        <v>16</v>
      </c>
      <c r="G11" s="583"/>
      <c r="H11" s="584"/>
      <c r="I11" s="52">
        <v>6000</v>
      </c>
      <c r="J11" s="39">
        <f>F56</f>
        <v>5670.2175313059033</v>
      </c>
      <c r="K11" s="40">
        <f t="shared" si="0"/>
        <v>0.94503625521765056</v>
      </c>
      <c r="L11" s="41">
        <f>IF(L9&gt;0, L8/L9, "")</f>
        <v>5670.2175313059033</v>
      </c>
      <c r="M11" s="42">
        <f t="shared" si="1"/>
        <v>0.94503625521765056</v>
      </c>
      <c r="N11" s="43">
        <f t="shared" si="2"/>
        <v>-329.78246869409668</v>
      </c>
      <c r="O11" s="53"/>
      <c r="P11" s="43" t="str">
        <f t="shared" si="3"/>
        <v/>
      </c>
      <c r="Q11" s="45" t="str">
        <f t="shared" si="4"/>
        <v/>
      </c>
      <c r="R11" s="20"/>
      <c r="S11" s="587"/>
      <c r="T11" s="588"/>
      <c r="U11" s="8"/>
      <c r="V11" s="6"/>
      <c r="W11" s="6"/>
    </row>
    <row r="12" spans="1:23" ht="15.75" customHeight="1">
      <c r="A12" s="4"/>
      <c r="B12" s="16"/>
      <c r="C12" s="6"/>
      <c r="D12" s="6"/>
      <c r="E12" s="6"/>
      <c r="F12" s="582" t="s">
        <v>17</v>
      </c>
      <c r="G12" s="583"/>
      <c r="H12" s="584"/>
      <c r="I12" s="54">
        <v>1.7</v>
      </c>
      <c r="J12" s="55">
        <f>J56</f>
        <v>1.7094801223241589</v>
      </c>
      <c r="K12" s="40">
        <f t="shared" si="0"/>
        <v>1.0055765425436229</v>
      </c>
      <c r="L12" s="56">
        <f>J12</f>
        <v>1.7094801223241589</v>
      </c>
      <c r="M12" s="42">
        <f t="shared" si="1"/>
        <v>1.0055765425436229</v>
      </c>
      <c r="N12" s="57">
        <f t="shared" si="2"/>
        <v>9.4801223241589572E-3</v>
      </c>
      <c r="O12" s="58"/>
      <c r="P12" s="43" t="str">
        <f t="shared" si="3"/>
        <v/>
      </c>
      <c r="Q12" s="45" t="str">
        <f t="shared" si="4"/>
        <v/>
      </c>
      <c r="R12" s="20"/>
      <c r="S12" s="59">
        <v>860000</v>
      </c>
      <c r="T12" s="60">
        <f>L56</f>
        <v>393831</v>
      </c>
      <c r="U12" s="8"/>
      <c r="V12" s="6"/>
      <c r="W12" s="6"/>
    </row>
    <row r="13" spans="1:23" ht="15.75" customHeight="1">
      <c r="A13" s="4"/>
      <c r="B13" s="16"/>
      <c r="C13" s="6"/>
      <c r="D13" s="6"/>
      <c r="E13" s="6"/>
      <c r="F13" s="582" t="s">
        <v>18</v>
      </c>
      <c r="G13" s="583"/>
      <c r="H13" s="584"/>
      <c r="I13" s="38">
        <f>I17*I20</f>
        <v>400</v>
      </c>
      <c r="J13" s="39">
        <f>G56</f>
        <v>327</v>
      </c>
      <c r="K13" s="40">
        <f t="shared" si="0"/>
        <v>0.8175</v>
      </c>
      <c r="L13" s="41">
        <f>IF(SUMIF($G$25:$G$55, "&gt;=0", $R$25:$R$55)&lt;&gt;0, I13*G56/SUMIF($G$25:$G$55, "&gt;=0", $R$25:$R$55), "")</f>
        <v>327</v>
      </c>
      <c r="M13" s="42">
        <f t="shared" si="1"/>
        <v>0.8175</v>
      </c>
      <c r="N13" s="57">
        <f t="shared" si="2"/>
        <v>-73</v>
      </c>
      <c r="O13" s="61"/>
      <c r="P13" s="43" t="str">
        <f t="shared" si="3"/>
        <v/>
      </c>
      <c r="Q13" s="45" t="str">
        <f t="shared" si="4"/>
        <v/>
      </c>
      <c r="R13" s="20"/>
      <c r="S13" s="62">
        <f>T12/S12</f>
        <v>0.45794302325581393</v>
      </c>
      <c r="T13" s="62">
        <f>S13/J14*I14</f>
        <v>0.45794302325581393</v>
      </c>
      <c r="U13" s="63"/>
      <c r="V13" s="6"/>
      <c r="W13" s="6"/>
    </row>
    <row r="14" spans="1:23" ht="15.75" customHeight="1">
      <c r="A14" s="4"/>
      <c r="B14" s="16"/>
      <c r="C14" s="6"/>
      <c r="D14" s="6"/>
      <c r="E14" s="6"/>
      <c r="F14" s="582" t="s">
        <v>19</v>
      </c>
      <c r="G14" s="583"/>
      <c r="H14" s="584"/>
      <c r="I14" s="52">
        <v>31</v>
      </c>
      <c r="J14" s="64">
        <v>31</v>
      </c>
      <c r="K14" s="40">
        <f t="shared" si="0"/>
        <v>1</v>
      </c>
      <c r="L14" s="41">
        <f>I14</f>
        <v>31</v>
      </c>
      <c r="M14" s="42">
        <f t="shared" si="1"/>
        <v>1</v>
      </c>
      <c r="N14" s="43">
        <f t="shared" si="2"/>
        <v>0</v>
      </c>
      <c r="O14" s="61"/>
      <c r="P14" s="43" t="str">
        <f t="shared" si="3"/>
        <v/>
      </c>
      <c r="Q14" s="45" t="str">
        <f t="shared" si="4"/>
        <v/>
      </c>
      <c r="R14" s="20"/>
      <c r="S14" s="65"/>
      <c r="T14" s="6"/>
      <c r="U14" s="8"/>
      <c r="V14" s="6"/>
      <c r="W14" s="6"/>
    </row>
    <row r="15" spans="1:23" ht="15.75" customHeight="1">
      <c r="A15" s="4"/>
      <c r="B15" s="16"/>
      <c r="C15" s="6"/>
      <c r="D15" s="6"/>
      <c r="E15" s="6"/>
      <c r="F15" s="582" t="s">
        <v>20</v>
      </c>
      <c r="G15" s="583"/>
      <c r="H15" s="584"/>
      <c r="I15" s="66">
        <f>I8/I14</f>
        <v>131612.90322580645</v>
      </c>
      <c r="J15" s="67">
        <f>J8/J14</f>
        <v>102246.82580645161</v>
      </c>
      <c r="K15" s="68">
        <f t="shared" si="0"/>
        <v>0.77687539215686274</v>
      </c>
      <c r="L15" s="69">
        <f t="shared" ref="L15:L19" si="5">J15</f>
        <v>102246.82580645161</v>
      </c>
      <c r="M15" s="70">
        <f t="shared" si="1"/>
        <v>0.77687539215686274</v>
      </c>
      <c r="N15" s="43">
        <f t="shared" si="2"/>
        <v>-29366.077419354842</v>
      </c>
      <c r="O15" s="71"/>
      <c r="P15" s="43" t="str">
        <f t="shared" si="3"/>
        <v/>
      </c>
      <c r="Q15" s="45" t="str">
        <f t="shared" si="4"/>
        <v/>
      </c>
      <c r="R15" s="20"/>
      <c r="S15" s="37"/>
      <c r="T15" s="6"/>
      <c r="U15" s="8"/>
      <c r="V15" s="6"/>
      <c r="W15" s="6"/>
    </row>
    <row r="16" spans="1:23" ht="15.75" customHeight="1">
      <c r="A16" s="4"/>
      <c r="B16" s="16"/>
      <c r="C16" s="6"/>
      <c r="D16" s="6"/>
      <c r="E16" s="6"/>
      <c r="F16" s="582" t="s">
        <v>21</v>
      </c>
      <c r="G16" s="583"/>
      <c r="H16" s="584"/>
      <c r="I16" s="66"/>
      <c r="J16" s="67">
        <f>J8-I15*J14</f>
        <v>-910348.39999999991</v>
      </c>
      <c r="K16" s="68" t="str">
        <f t="shared" si="0"/>
        <v/>
      </c>
      <c r="L16" s="72">
        <f t="shared" si="5"/>
        <v>-910348.39999999991</v>
      </c>
      <c r="M16" s="73" t="str">
        <f t="shared" si="1"/>
        <v/>
      </c>
      <c r="N16" s="43" t="str">
        <f t="shared" si="2"/>
        <v/>
      </c>
      <c r="O16" s="71"/>
      <c r="P16" s="43" t="str">
        <f t="shared" si="3"/>
        <v/>
      </c>
      <c r="Q16" s="45" t="str">
        <f t="shared" si="4"/>
        <v/>
      </c>
      <c r="R16" s="20"/>
      <c r="S16" s="589" t="s">
        <v>22</v>
      </c>
      <c r="T16" s="589"/>
      <c r="U16" s="8"/>
      <c r="V16" s="6"/>
      <c r="W16" s="6"/>
    </row>
    <row r="17" spans="1:255" ht="15.75" customHeight="1">
      <c r="A17" s="4"/>
      <c r="B17" s="16"/>
      <c r="C17" s="6"/>
      <c r="D17" s="74"/>
      <c r="E17" s="6"/>
      <c r="F17" s="582" t="s">
        <v>23</v>
      </c>
      <c r="G17" s="583"/>
      <c r="H17" s="584"/>
      <c r="I17" s="75">
        <v>1600</v>
      </c>
      <c r="J17" s="67">
        <f>I56</f>
        <v>1890</v>
      </c>
      <c r="K17" s="68">
        <f t="shared" si="0"/>
        <v>1.1812499999999999</v>
      </c>
      <c r="L17" s="72">
        <f>J17/J14*I14</f>
        <v>1890</v>
      </c>
      <c r="M17" s="73">
        <f t="shared" si="1"/>
        <v>1.1812499999999999</v>
      </c>
      <c r="N17" s="43">
        <f t="shared" si="2"/>
        <v>290</v>
      </c>
      <c r="O17" s="71"/>
      <c r="P17" s="43" t="str">
        <f t="shared" si="3"/>
        <v/>
      </c>
      <c r="Q17" s="45" t="str">
        <f t="shared" si="4"/>
        <v/>
      </c>
      <c r="R17" s="20"/>
      <c r="S17" s="589"/>
      <c r="T17" s="589"/>
      <c r="U17" s="8"/>
      <c r="V17" s="6"/>
      <c r="W17" s="6"/>
    </row>
    <row r="18" spans="1:255" ht="15.75" customHeight="1">
      <c r="A18" s="4"/>
      <c r="B18" s="16"/>
      <c r="C18" s="6"/>
      <c r="D18" s="6"/>
      <c r="E18" s="6"/>
      <c r="F18" s="582"/>
      <c r="G18" s="583"/>
      <c r="H18" s="584"/>
      <c r="I18" s="76"/>
      <c r="J18" s="67"/>
      <c r="K18" s="77" t="str">
        <f t="shared" si="0"/>
        <v/>
      </c>
      <c r="L18" s="78">
        <f t="shared" si="5"/>
        <v>0</v>
      </c>
      <c r="M18" s="73" t="str">
        <f t="shared" si="1"/>
        <v/>
      </c>
      <c r="N18" s="43" t="str">
        <f t="shared" si="2"/>
        <v/>
      </c>
      <c r="O18" s="79">
        <v>0</v>
      </c>
      <c r="P18" s="43" t="str">
        <f t="shared" si="3"/>
        <v/>
      </c>
      <c r="Q18" s="45" t="str">
        <f t="shared" si="4"/>
        <v/>
      </c>
      <c r="R18" s="20"/>
      <c r="S18" s="59">
        <v>780000</v>
      </c>
      <c r="T18" s="60">
        <f>K56</f>
        <v>684518</v>
      </c>
      <c r="U18" s="8"/>
      <c r="V18" s="6"/>
      <c r="W18" s="6"/>
    </row>
    <row r="19" spans="1:255" ht="15.75" customHeight="1">
      <c r="A19" s="4"/>
      <c r="B19" s="16"/>
      <c r="C19" s="6"/>
      <c r="D19" s="6"/>
      <c r="E19" s="6"/>
      <c r="F19" s="582"/>
      <c r="G19" s="583"/>
      <c r="H19" s="584"/>
      <c r="I19" s="76"/>
      <c r="J19" s="67">
        <f>M56</f>
        <v>0</v>
      </c>
      <c r="K19" s="77" t="str">
        <f t="shared" si="0"/>
        <v/>
      </c>
      <c r="L19" s="78">
        <f t="shared" si="5"/>
        <v>0</v>
      </c>
      <c r="M19" s="73" t="str">
        <f t="shared" si="1"/>
        <v/>
      </c>
      <c r="N19" s="43" t="str">
        <f t="shared" si="2"/>
        <v/>
      </c>
      <c r="O19" s="71">
        <v>0</v>
      </c>
      <c r="P19" s="43" t="str">
        <f t="shared" si="3"/>
        <v/>
      </c>
      <c r="Q19" s="45" t="str">
        <f t="shared" si="4"/>
        <v/>
      </c>
      <c r="R19" s="20"/>
      <c r="S19" s="62">
        <f>T18/S18</f>
        <v>0.87758717948717946</v>
      </c>
      <c r="T19" s="62">
        <f>S19/J14*I14</f>
        <v>0.87758717948717946</v>
      </c>
      <c r="U19" s="63"/>
      <c r="V19" s="6"/>
      <c r="W19" s="6"/>
    </row>
    <row r="20" spans="1:255" ht="15.75" customHeight="1">
      <c r="A20" s="4"/>
      <c r="B20" s="16"/>
      <c r="C20" s="6"/>
      <c r="D20" s="6"/>
      <c r="E20" s="6"/>
      <c r="F20" s="594" t="s">
        <v>24</v>
      </c>
      <c r="G20" s="594"/>
      <c r="H20" s="594"/>
      <c r="I20" s="80">
        <v>0.25</v>
      </c>
      <c r="J20" s="81">
        <f>N56</f>
        <v>0.17301587301587301</v>
      </c>
      <c r="K20" s="81">
        <f>J20/I20</f>
        <v>0.69206349206349205</v>
      </c>
      <c r="L20" s="82">
        <f>IF(AND(K8&lt;&gt;0, I14&lt;&gt;0, I56&lt;&gt;0), (I56*N56+(I56/K8-I56)*I20)/(I56/K8), 0)</f>
        <v>0.19019292615935263</v>
      </c>
      <c r="M20" s="83">
        <f t="shared" si="1"/>
        <v>0.76077170463741051</v>
      </c>
      <c r="N20" s="84">
        <f t="shared" si="2"/>
        <v>-5.9807073840647373E-2</v>
      </c>
      <c r="O20" s="85"/>
      <c r="P20" s="86" t="str">
        <f t="shared" si="3"/>
        <v/>
      </c>
      <c r="Q20" s="87" t="str">
        <f t="shared" si="4"/>
        <v/>
      </c>
      <c r="R20" s="20"/>
      <c r="S20" s="21"/>
      <c r="T20" s="6"/>
      <c r="U20" s="8"/>
      <c r="V20" s="6"/>
      <c r="W20" s="6"/>
    </row>
    <row r="21" spans="1:255" ht="15.75" customHeight="1">
      <c r="A21" s="4"/>
      <c r="B21" s="16"/>
      <c r="C21" s="6"/>
      <c r="D21" s="88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0"/>
      <c r="S21" s="21"/>
      <c r="T21" s="6"/>
      <c r="U21" s="8"/>
      <c r="V21" s="6"/>
      <c r="W21" s="6"/>
    </row>
    <row r="22" spans="1:255" ht="21" customHeight="1">
      <c r="A22" s="590" t="s">
        <v>25</v>
      </c>
      <c r="B22" s="590"/>
      <c r="C22" s="590"/>
      <c r="D22" s="590"/>
      <c r="E22" s="590"/>
      <c r="F22" s="590"/>
      <c r="G22" s="590"/>
      <c r="H22" s="590"/>
      <c r="I22" s="590"/>
      <c r="J22" s="590"/>
      <c r="K22" s="590"/>
      <c r="L22" s="590"/>
      <c r="M22" s="590"/>
      <c r="N22" s="590"/>
      <c r="O22" s="595" t="s">
        <v>26</v>
      </c>
      <c r="P22" s="590" t="s">
        <v>27</v>
      </c>
      <c r="Q22" s="590"/>
      <c r="R22" s="590"/>
      <c r="S22" s="590"/>
      <c r="T22" s="590"/>
      <c r="U22" s="590"/>
      <c r="V22" s="590"/>
      <c r="W22" s="590"/>
    </row>
    <row r="23" spans="1:255" ht="36">
      <c r="A23" s="591" t="s">
        <v>28</v>
      </c>
      <c r="B23" s="89" t="s">
        <v>29</v>
      </c>
      <c r="C23" s="89" t="s">
        <v>30</v>
      </c>
      <c r="D23" s="89" t="s">
        <v>31</v>
      </c>
      <c r="E23" s="89" t="s">
        <v>32</v>
      </c>
      <c r="F23" s="89" t="s">
        <v>33</v>
      </c>
      <c r="G23" s="89" t="s">
        <v>34</v>
      </c>
      <c r="H23" s="89" t="s">
        <v>35</v>
      </c>
      <c r="I23" s="89" t="s">
        <v>23</v>
      </c>
      <c r="J23" s="89" t="s">
        <v>36</v>
      </c>
      <c r="K23" s="90" t="s">
        <v>22</v>
      </c>
      <c r="L23" s="90" t="s">
        <v>15</v>
      </c>
      <c r="M23" s="90" t="s">
        <v>37</v>
      </c>
      <c r="N23" s="89" t="s">
        <v>38</v>
      </c>
      <c r="O23" s="595"/>
      <c r="P23" s="89" t="s">
        <v>39</v>
      </c>
      <c r="Q23" s="89" t="s">
        <v>40</v>
      </c>
      <c r="R23" s="89" t="s">
        <v>41</v>
      </c>
      <c r="S23" s="89" t="s">
        <v>42</v>
      </c>
      <c r="T23" s="89" t="s">
        <v>43</v>
      </c>
      <c r="U23" s="89" t="s">
        <v>44</v>
      </c>
      <c r="V23" s="91" t="s">
        <v>45</v>
      </c>
      <c r="W23" s="91" t="s">
        <v>46</v>
      </c>
      <c r="X23" s="92"/>
    </row>
    <row r="24" spans="1:255">
      <c r="A24" s="591"/>
      <c r="B24" s="93">
        <v>1</v>
      </c>
      <c r="C24" s="93">
        <v>2</v>
      </c>
      <c r="D24" s="93">
        <v>3</v>
      </c>
      <c r="E24" s="93">
        <v>4</v>
      </c>
      <c r="F24" s="93">
        <v>5</v>
      </c>
      <c r="G24" s="93">
        <v>6</v>
      </c>
      <c r="H24" s="93">
        <v>7</v>
      </c>
      <c r="I24" s="93">
        <v>8</v>
      </c>
      <c r="J24" s="93">
        <v>9</v>
      </c>
      <c r="K24" s="93">
        <v>10</v>
      </c>
      <c r="L24" s="93">
        <v>11</v>
      </c>
      <c r="M24" s="93">
        <v>12</v>
      </c>
      <c r="N24" s="93">
        <v>13</v>
      </c>
      <c r="O24" s="595"/>
      <c r="P24" s="94">
        <v>1</v>
      </c>
      <c r="Q24" s="94">
        <v>2</v>
      </c>
      <c r="R24" s="94">
        <v>3</v>
      </c>
      <c r="S24" s="94">
        <v>4</v>
      </c>
      <c r="T24" s="94">
        <v>5</v>
      </c>
      <c r="U24" s="94">
        <v>6</v>
      </c>
      <c r="V24" s="94">
        <v>10</v>
      </c>
      <c r="W24" s="94">
        <v>11</v>
      </c>
    </row>
    <row r="25" spans="1:255">
      <c r="A25" s="95" t="s">
        <v>47</v>
      </c>
      <c r="B25" s="96">
        <v>45839</v>
      </c>
      <c r="C25" s="97" t="s">
        <v>48</v>
      </c>
      <c r="D25" s="98">
        <f>13986+16599</f>
        <v>30585</v>
      </c>
      <c r="E25" s="99">
        <v>5</v>
      </c>
      <c r="F25" s="99">
        <f t="shared" ref="F25:F55" si="6">IF(AND(E25&lt;&gt;"",E25&lt;&gt;0),D25/E25,"")</f>
        <v>6117</v>
      </c>
      <c r="G25" s="99">
        <v>7</v>
      </c>
      <c r="H25" s="99">
        <f t="shared" ref="H25:H55" si="7">IF(AND(G25&lt;&gt;"",G25&lt;&gt;0),D25/G25,"")</f>
        <v>4369.2857142857147</v>
      </c>
      <c r="I25" s="99">
        <v>30</v>
      </c>
      <c r="J25" s="98">
        <f t="shared" ref="J25:J55" si="8">IF(AND(G25&lt;&gt;"",G25&lt;&gt;0),E25/G25,"")</f>
        <v>0.7142857142857143</v>
      </c>
      <c r="K25" s="99">
        <v>0</v>
      </c>
      <c r="L25" s="99">
        <v>5720</v>
      </c>
      <c r="M25" s="99"/>
      <c r="N25" s="100">
        <f t="shared" ref="N25:N55" si="9">IF(AND(I25&lt;&gt;"",I25&lt;&gt;0),G25/I25,"")</f>
        <v>0.23333333333333334</v>
      </c>
      <c r="O25" s="101">
        <f t="shared" ref="O25:O56" si="10">D25/P25</f>
        <v>0.21811301441354075</v>
      </c>
      <c r="P25" s="102">
        <f t="shared" ref="P25:P55" si="11">$I$8*V25*W25/SUMPRODUCT($W$25:$W$55,$V$25:$V$55)</f>
        <v>140225.47018680442</v>
      </c>
      <c r="Q25" s="103">
        <f t="shared" ref="Q25:Q55" si="12">$I$9*V25*W25/SUMPRODUCT($W$25:$W$55,$V$25:$V$55)</f>
        <v>23.370911697800736</v>
      </c>
      <c r="R25" s="103">
        <f t="shared" ref="R25:R55" si="13">IF($I$12="","",Q25/$I$12)</f>
        <v>13.747595116353374</v>
      </c>
      <c r="S25" s="102">
        <f>IF(D25&lt;&gt;"",D25,P25)</f>
        <v>30585</v>
      </c>
      <c r="T25" s="103">
        <f>IF(E25&lt;&gt;"",E25,Q25)</f>
        <v>5</v>
      </c>
      <c r="U25" s="103">
        <f>IF(G25&lt;&gt;"",G25,R25)</f>
        <v>7</v>
      </c>
      <c r="V25" s="104">
        <v>0.9414554019711151</v>
      </c>
      <c r="W25" s="104">
        <v>0.9414554019711151</v>
      </c>
      <c r="X25" s="105"/>
      <c r="Y25" s="106"/>
    </row>
    <row r="26" spans="1:255">
      <c r="A26" s="95" t="s">
        <v>49</v>
      </c>
      <c r="B26" s="96">
        <v>45840</v>
      </c>
      <c r="C26" s="97" t="s">
        <v>50</v>
      </c>
      <c r="D26" s="98">
        <f>27675+32744+12397+40209</f>
        <v>113025</v>
      </c>
      <c r="E26" s="99">
        <v>18</v>
      </c>
      <c r="F26" s="99">
        <f t="shared" si="6"/>
        <v>6279.166666666667</v>
      </c>
      <c r="G26" s="99">
        <v>12</v>
      </c>
      <c r="H26" s="99">
        <f t="shared" si="7"/>
        <v>9418.75</v>
      </c>
      <c r="I26" s="99">
        <v>40</v>
      </c>
      <c r="J26" s="98">
        <f t="shared" si="8"/>
        <v>1.5</v>
      </c>
      <c r="K26" s="99">
        <v>12397</v>
      </c>
      <c r="L26" s="99">
        <v>40209</v>
      </c>
      <c r="M26" s="99"/>
      <c r="N26" s="100">
        <f t="shared" si="9"/>
        <v>0.3</v>
      </c>
      <c r="O26" s="101">
        <f t="shared" si="10"/>
        <v>0.98162328357362572</v>
      </c>
      <c r="P26" s="102">
        <f t="shared" si="11"/>
        <v>115140.91188681821</v>
      </c>
      <c r="Q26" s="103">
        <f t="shared" si="12"/>
        <v>19.190151981136367</v>
      </c>
      <c r="R26" s="103">
        <f t="shared" si="13"/>
        <v>11.288324694786098</v>
      </c>
      <c r="S26" s="102">
        <f t="shared" ref="S26:S55" si="14">IF(W26&lt;&gt;"",IF(D26&lt;&gt;"",D26,($I$8-SUM($S$25:S25))*V26*W26/SUMPRODUCT($W26:$W$55,$V26:$V$55)),"")</f>
        <v>113025</v>
      </c>
      <c r="T26" s="103">
        <f t="shared" ref="T26:T54" si="15">IF(W26&lt;&gt;"",IF(E26&lt;&gt;"",E26,($I$9-SUM($T$25:T25))*V26*W26/SUMPRODUCT($W26:$W$55,$V26:$V$55)),"")</f>
        <v>18</v>
      </c>
      <c r="U26" s="103">
        <f t="shared" ref="U26:U55" si="16">IF(W26&lt;&gt;"",IF($I$12&lt;&gt;"",IF(G26&lt;&gt;"",G26,($I$9/$I$12-SUM($U$25:U25))*V26*W26/SUMPRODUCT($W26:$W$55,$V26:$V$55)),""),"")</f>
        <v>12</v>
      </c>
      <c r="V26" s="104">
        <v>0.85310233682514103</v>
      </c>
      <c r="W26" s="104">
        <v>0.85310233682514103</v>
      </c>
      <c r="X26" s="107"/>
      <c r="Y26" s="106"/>
    </row>
    <row r="27" spans="1:255">
      <c r="A27" s="95" t="s">
        <v>51</v>
      </c>
      <c r="B27" s="96">
        <v>45841</v>
      </c>
      <c r="C27" s="97" t="s">
        <v>52</v>
      </c>
      <c r="D27" s="98">
        <f>11403+21984+22922+24648</f>
        <v>80957</v>
      </c>
      <c r="E27" s="108">
        <v>18</v>
      </c>
      <c r="F27" s="99">
        <f t="shared" si="6"/>
        <v>4497.6111111111113</v>
      </c>
      <c r="G27" s="108">
        <v>10</v>
      </c>
      <c r="H27" s="99">
        <f t="shared" si="7"/>
        <v>8095.7</v>
      </c>
      <c r="I27" s="108">
        <v>40</v>
      </c>
      <c r="J27" s="98">
        <f t="shared" si="8"/>
        <v>1.8</v>
      </c>
      <c r="K27" s="99">
        <v>21984</v>
      </c>
      <c r="L27" s="99">
        <v>11403</v>
      </c>
      <c r="M27" s="99"/>
      <c r="N27" s="100">
        <f t="shared" si="9"/>
        <v>0.25</v>
      </c>
      <c r="O27" s="101">
        <f t="shared" si="10"/>
        <v>0.70311237485750955</v>
      </c>
      <c r="P27" s="102">
        <f t="shared" si="11"/>
        <v>115140.91188681821</v>
      </c>
      <c r="Q27" s="103">
        <f t="shared" si="12"/>
        <v>19.190151981136367</v>
      </c>
      <c r="R27" s="103">
        <f t="shared" si="13"/>
        <v>11.288324694786098</v>
      </c>
      <c r="S27" s="102">
        <f t="shared" si="14"/>
        <v>80957</v>
      </c>
      <c r="T27" s="103">
        <f t="shared" si="15"/>
        <v>18</v>
      </c>
      <c r="U27" s="103">
        <f t="shared" si="16"/>
        <v>10</v>
      </c>
      <c r="V27" s="104">
        <v>0.85310233682514103</v>
      </c>
      <c r="W27" s="104">
        <v>0.85310233682514103</v>
      </c>
      <c r="X27" s="107"/>
      <c r="Y27" s="106"/>
    </row>
    <row r="28" spans="1:255">
      <c r="A28" s="95" t="s">
        <v>49</v>
      </c>
      <c r="B28" s="96">
        <v>45842</v>
      </c>
      <c r="C28" s="97" t="s">
        <v>53</v>
      </c>
      <c r="D28" s="98">
        <f>56696+10503</f>
        <v>67199</v>
      </c>
      <c r="E28" s="99">
        <v>12</v>
      </c>
      <c r="F28" s="99">
        <f t="shared" si="6"/>
        <v>5599.916666666667</v>
      </c>
      <c r="G28" s="99">
        <v>6</v>
      </c>
      <c r="H28" s="99">
        <f t="shared" si="7"/>
        <v>11199.833333333334</v>
      </c>
      <c r="I28" s="99">
        <v>30</v>
      </c>
      <c r="J28" s="98">
        <f t="shared" si="8"/>
        <v>2</v>
      </c>
      <c r="K28" s="99"/>
      <c r="L28" s="99">
        <v>10503</v>
      </c>
      <c r="M28" s="99"/>
      <c r="N28" s="100">
        <f t="shared" si="9"/>
        <v>0.2</v>
      </c>
      <c r="O28" s="101">
        <f t="shared" si="10"/>
        <v>0.58362400382980817</v>
      </c>
      <c r="P28" s="102">
        <f t="shared" si="11"/>
        <v>115140.91188681821</v>
      </c>
      <c r="Q28" s="103">
        <f t="shared" si="12"/>
        <v>19.190151981136367</v>
      </c>
      <c r="R28" s="103">
        <f t="shared" si="13"/>
        <v>11.288324694786098</v>
      </c>
      <c r="S28" s="102">
        <f t="shared" si="14"/>
        <v>67199</v>
      </c>
      <c r="T28" s="103">
        <f t="shared" si="15"/>
        <v>12</v>
      </c>
      <c r="U28" s="103">
        <f t="shared" si="16"/>
        <v>6</v>
      </c>
      <c r="V28" s="104">
        <v>0.85310233682514103</v>
      </c>
      <c r="W28" s="104">
        <v>0.85310233682514103</v>
      </c>
      <c r="X28" s="107"/>
      <c r="Y28" s="109"/>
    </row>
    <row r="29" spans="1:255" s="110" customFormat="1">
      <c r="A29" s="95" t="s">
        <v>49</v>
      </c>
      <c r="B29" s="96">
        <v>45843</v>
      </c>
      <c r="C29" s="97" t="s">
        <v>54</v>
      </c>
      <c r="D29" s="98">
        <f>20972+6203+18370+31245</f>
        <v>76790</v>
      </c>
      <c r="E29" s="99">
        <v>14</v>
      </c>
      <c r="F29" s="99">
        <f t="shared" si="6"/>
        <v>5485</v>
      </c>
      <c r="G29" s="99">
        <v>9</v>
      </c>
      <c r="H29" s="99">
        <f t="shared" si="7"/>
        <v>8532.2222222222226</v>
      </c>
      <c r="I29" s="99">
        <v>40</v>
      </c>
      <c r="J29" s="98">
        <f t="shared" si="8"/>
        <v>1.5555555555555556</v>
      </c>
      <c r="K29" s="99">
        <v>20972</v>
      </c>
      <c r="L29" s="99">
        <v>6203</v>
      </c>
      <c r="M29" s="99"/>
      <c r="N29" s="100">
        <f t="shared" si="9"/>
        <v>0.22500000000000001</v>
      </c>
      <c r="O29" s="101">
        <f t="shared" si="10"/>
        <v>0.67179909535876803</v>
      </c>
      <c r="P29" s="102">
        <f t="shared" si="11"/>
        <v>114305.0065570437</v>
      </c>
      <c r="Q29" s="103">
        <f t="shared" si="12"/>
        <v>19.05083442617395</v>
      </c>
      <c r="R29" s="103">
        <f t="shared" si="13"/>
        <v>11.20637319186703</v>
      </c>
      <c r="S29" s="102">
        <f t="shared" si="14"/>
        <v>76790</v>
      </c>
      <c r="T29" s="103">
        <f t="shared" si="15"/>
        <v>14</v>
      </c>
      <c r="U29" s="103">
        <f t="shared" si="16"/>
        <v>9</v>
      </c>
      <c r="V29" s="104">
        <v>0.85</v>
      </c>
      <c r="W29" s="104">
        <v>0.85</v>
      </c>
      <c r="X29" s="107"/>
      <c r="Y29" s="106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>
      <c r="A30" s="95" t="s">
        <v>51</v>
      </c>
      <c r="B30" s="96">
        <v>45844</v>
      </c>
      <c r="C30" s="97" t="s">
        <v>55</v>
      </c>
      <c r="D30" s="98">
        <f>76658+25706+17568+62588</f>
        <v>182520</v>
      </c>
      <c r="E30" s="99">
        <v>26</v>
      </c>
      <c r="F30" s="99">
        <f t="shared" si="6"/>
        <v>7020</v>
      </c>
      <c r="G30" s="99">
        <v>12</v>
      </c>
      <c r="H30" s="99">
        <f t="shared" si="7"/>
        <v>15210</v>
      </c>
      <c r="I30" s="99">
        <v>70</v>
      </c>
      <c r="J30" s="98">
        <f t="shared" si="8"/>
        <v>2.1666666666666665</v>
      </c>
      <c r="K30" s="99">
        <v>76658</v>
      </c>
      <c r="L30" s="99">
        <v>25706</v>
      </c>
      <c r="M30" s="99"/>
      <c r="N30" s="100">
        <f t="shared" si="9"/>
        <v>0.17142857142857143</v>
      </c>
      <c r="O30" s="101">
        <f t="shared" si="10"/>
        <v>1.1536738763423295</v>
      </c>
      <c r="P30" s="102">
        <f t="shared" si="11"/>
        <v>158207.62153224042</v>
      </c>
      <c r="Q30" s="103">
        <f t="shared" si="12"/>
        <v>26.367936922040069</v>
      </c>
      <c r="R30" s="103">
        <f t="shared" si="13"/>
        <v>15.510551130611805</v>
      </c>
      <c r="S30" s="102">
        <f t="shared" si="14"/>
        <v>182520</v>
      </c>
      <c r="T30" s="103">
        <f t="shared" si="15"/>
        <v>26</v>
      </c>
      <c r="U30" s="103">
        <f t="shared" si="16"/>
        <v>12</v>
      </c>
      <c r="V30" s="104">
        <v>1</v>
      </c>
      <c r="W30" s="104">
        <v>1</v>
      </c>
      <c r="X30" s="107"/>
      <c r="Y30" s="106"/>
    </row>
    <row r="31" spans="1:255">
      <c r="A31" s="95" t="s">
        <v>51</v>
      </c>
      <c r="B31" s="96">
        <v>45845</v>
      </c>
      <c r="C31" s="97" t="s">
        <v>56</v>
      </c>
      <c r="D31" s="98">
        <f>58719+12068+10874</f>
        <v>81661</v>
      </c>
      <c r="E31" s="99">
        <v>10</v>
      </c>
      <c r="F31" s="99">
        <f t="shared" si="6"/>
        <v>8166.1</v>
      </c>
      <c r="G31" s="99">
        <v>7</v>
      </c>
      <c r="H31" s="99">
        <f t="shared" si="7"/>
        <v>11665.857142857143</v>
      </c>
      <c r="I31" s="99">
        <v>50</v>
      </c>
      <c r="J31" s="98">
        <f t="shared" si="8"/>
        <v>1.4285714285714286</v>
      </c>
      <c r="K31" s="99">
        <f>19984+38735</f>
        <v>58719</v>
      </c>
      <c r="L31" s="99"/>
      <c r="M31" s="99"/>
      <c r="N31" s="100">
        <f t="shared" si="9"/>
        <v>0.14000000000000001</v>
      </c>
      <c r="O31" s="101">
        <f t="shared" si="10"/>
        <v>0.70922662207392917</v>
      </c>
      <c r="P31" s="102">
        <f t="shared" si="11"/>
        <v>115140.91188681821</v>
      </c>
      <c r="Q31" s="103">
        <f t="shared" si="12"/>
        <v>19.190151981136367</v>
      </c>
      <c r="R31" s="103">
        <f t="shared" si="13"/>
        <v>11.288324694786098</v>
      </c>
      <c r="S31" s="102">
        <f t="shared" si="14"/>
        <v>81661</v>
      </c>
      <c r="T31" s="103">
        <f t="shared" si="15"/>
        <v>10</v>
      </c>
      <c r="U31" s="103">
        <f t="shared" si="16"/>
        <v>7</v>
      </c>
      <c r="V31" s="104">
        <v>0.85310233682514103</v>
      </c>
      <c r="W31" s="104">
        <v>0.85310233682514103</v>
      </c>
      <c r="X31" s="107"/>
      <c r="Y31" s="106"/>
    </row>
    <row r="32" spans="1:255">
      <c r="A32" s="95" t="s">
        <v>57</v>
      </c>
      <c r="B32" s="96">
        <v>45846</v>
      </c>
      <c r="C32" s="97" t="s">
        <v>48</v>
      </c>
      <c r="D32" s="98">
        <f>34806+17992+6684+32506</f>
        <v>91988</v>
      </c>
      <c r="E32" s="99">
        <v>15</v>
      </c>
      <c r="F32" s="99">
        <f t="shared" si="6"/>
        <v>6132.5333333333338</v>
      </c>
      <c r="G32" s="99">
        <v>9</v>
      </c>
      <c r="H32" s="99">
        <f t="shared" si="7"/>
        <v>10220.888888888889</v>
      </c>
      <c r="I32" s="99">
        <v>50</v>
      </c>
      <c r="J32" s="98">
        <f t="shared" si="8"/>
        <v>1.6666666666666667</v>
      </c>
      <c r="K32" s="99">
        <v>17992</v>
      </c>
      <c r="L32" s="99">
        <f>25903+8903</f>
        <v>34806</v>
      </c>
      <c r="M32" s="99"/>
      <c r="N32" s="100">
        <f t="shared" si="9"/>
        <v>0.18</v>
      </c>
      <c r="O32" s="101">
        <f t="shared" si="10"/>
        <v>0.79891672293183524</v>
      </c>
      <c r="P32" s="102">
        <f t="shared" si="11"/>
        <v>115140.91188681821</v>
      </c>
      <c r="Q32" s="103">
        <f t="shared" si="12"/>
        <v>19.190151981136367</v>
      </c>
      <c r="R32" s="103">
        <f t="shared" si="13"/>
        <v>11.288324694786098</v>
      </c>
      <c r="S32" s="102">
        <f t="shared" si="14"/>
        <v>91988</v>
      </c>
      <c r="T32" s="103">
        <f t="shared" si="15"/>
        <v>15</v>
      </c>
      <c r="U32" s="103">
        <f t="shared" si="16"/>
        <v>9</v>
      </c>
      <c r="V32" s="104">
        <v>0.85310233682514103</v>
      </c>
      <c r="W32" s="104">
        <v>0.85310233682514103</v>
      </c>
      <c r="X32" s="107"/>
      <c r="Y32" s="106"/>
    </row>
    <row r="33" spans="1:26">
      <c r="A33" s="95" t="s">
        <v>49</v>
      </c>
      <c r="B33" s="96">
        <v>45847</v>
      </c>
      <c r="C33" s="97" t="s">
        <v>50</v>
      </c>
      <c r="D33" s="98">
        <f>8903+10592+21259+22463</f>
        <v>63217</v>
      </c>
      <c r="E33" s="99">
        <v>12</v>
      </c>
      <c r="F33" s="99">
        <f t="shared" si="6"/>
        <v>5268.083333333333</v>
      </c>
      <c r="G33" s="99">
        <v>9</v>
      </c>
      <c r="H33" s="99">
        <f t="shared" si="7"/>
        <v>7024.1111111111113</v>
      </c>
      <c r="I33" s="99">
        <v>50</v>
      </c>
      <c r="J33" s="98">
        <f t="shared" si="8"/>
        <v>1.3333333333333333</v>
      </c>
      <c r="K33" s="99">
        <v>10592</v>
      </c>
      <c r="L33" s="99">
        <v>8903</v>
      </c>
      <c r="M33" s="99"/>
      <c r="N33" s="100">
        <f t="shared" si="9"/>
        <v>0.18</v>
      </c>
      <c r="O33" s="101">
        <f t="shared" si="10"/>
        <v>0.54904029301193447</v>
      </c>
      <c r="P33" s="102">
        <f t="shared" si="11"/>
        <v>115140.91188681821</v>
      </c>
      <c r="Q33" s="103">
        <f t="shared" si="12"/>
        <v>19.190151981136367</v>
      </c>
      <c r="R33" s="103">
        <f t="shared" si="13"/>
        <v>11.288324694786098</v>
      </c>
      <c r="S33" s="102">
        <f t="shared" si="14"/>
        <v>63217</v>
      </c>
      <c r="T33" s="103">
        <f t="shared" si="15"/>
        <v>12</v>
      </c>
      <c r="U33" s="103">
        <f t="shared" si="16"/>
        <v>9</v>
      </c>
      <c r="V33" s="104">
        <v>0.85310233682514103</v>
      </c>
      <c r="W33" s="104">
        <v>0.85310233682514103</v>
      </c>
      <c r="X33" s="107"/>
      <c r="Y33" s="106"/>
    </row>
    <row r="34" spans="1:26">
      <c r="A34" s="95" t="s">
        <v>51</v>
      </c>
      <c r="B34" s="96">
        <v>45848</v>
      </c>
      <c r="C34" s="97" t="s">
        <v>52</v>
      </c>
      <c r="D34" s="98">
        <f>28836+75897+10491+24903</f>
        <v>140127</v>
      </c>
      <c r="E34" s="99">
        <v>23</v>
      </c>
      <c r="F34" s="99">
        <f t="shared" si="6"/>
        <v>6092.478260869565</v>
      </c>
      <c r="G34" s="99">
        <v>12</v>
      </c>
      <c r="H34" s="99">
        <f t="shared" si="7"/>
        <v>11677.25</v>
      </c>
      <c r="I34" s="99">
        <v>70</v>
      </c>
      <c r="J34" s="98">
        <f t="shared" si="8"/>
        <v>1.9166666666666667</v>
      </c>
      <c r="K34" s="99">
        <v>10491</v>
      </c>
      <c r="L34" s="99">
        <v>24903</v>
      </c>
      <c r="M34" s="99"/>
      <c r="N34" s="100">
        <f t="shared" si="9"/>
        <v>0.17142857142857143</v>
      </c>
      <c r="O34" s="101">
        <f t="shared" si="10"/>
        <v>1.2170044313852815</v>
      </c>
      <c r="P34" s="102">
        <f t="shared" si="11"/>
        <v>115140.91188681821</v>
      </c>
      <c r="Q34" s="103">
        <f t="shared" si="12"/>
        <v>19.190151981136367</v>
      </c>
      <c r="R34" s="103">
        <f t="shared" si="13"/>
        <v>11.288324694786098</v>
      </c>
      <c r="S34" s="102">
        <f t="shared" si="14"/>
        <v>140127</v>
      </c>
      <c r="T34" s="103">
        <f t="shared" si="15"/>
        <v>23</v>
      </c>
      <c r="U34" s="103">
        <f t="shared" si="16"/>
        <v>12</v>
      </c>
      <c r="V34" s="104">
        <v>0.85310233682514103</v>
      </c>
      <c r="W34" s="104">
        <v>0.85310233682514103</v>
      </c>
      <c r="X34" s="107"/>
      <c r="Y34" s="106"/>
    </row>
    <row r="35" spans="1:26">
      <c r="A35" s="95" t="s">
        <v>51</v>
      </c>
      <c r="B35" s="96">
        <v>45849</v>
      </c>
      <c r="C35" s="97" t="s">
        <v>53</v>
      </c>
      <c r="D35" s="98">
        <f>24990+42706+14959</f>
        <v>82655</v>
      </c>
      <c r="E35" s="99">
        <v>14</v>
      </c>
      <c r="F35" s="99">
        <f t="shared" si="6"/>
        <v>5903.9285714285716</v>
      </c>
      <c r="G35" s="99">
        <v>9</v>
      </c>
      <c r="H35" s="99">
        <f t="shared" si="7"/>
        <v>9183.8888888888887</v>
      </c>
      <c r="I35" s="99">
        <v>60</v>
      </c>
      <c r="J35" s="98">
        <f t="shared" si="8"/>
        <v>1.5555555555555556</v>
      </c>
      <c r="K35" s="99">
        <v>24990</v>
      </c>
      <c r="L35" s="99"/>
      <c r="M35" s="99"/>
      <c r="N35" s="100">
        <f t="shared" si="9"/>
        <v>0.15</v>
      </c>
      <c r="O35" s="101">
        <f t="shared" si="10"/>
        <v>0.52244638532256871</v>
      </c>
      <c r="P35" s="102">
        <f t="shared" si="11"/>
        <v>158207.62153224042</v>
      </c>
      <c r="Q35" s="103">
        <f t="shared" si="12"/>
        <v>26.367936922040069</v>
      </c>
      <c r="R35" s="103">
        <f t="shared" si="13"/>
        <v>15.510551130611805</v>
      </c>
      <c r="S35" s="102">
        <f t="shared" si="14"/>
        <v>82655</v>
      </c>
      <c r="T35" s="103">
        <f t="shared" si="15"/>
        <v>14</v>
      </c>
      <c r="U35" s="103">
        <f t="shared" si="16"/>
        <v>9</v>
      </c>
      <c r="V35" s="104">
        <v>1</v>
      </c>
      <c r="W35" s="104">
        <v>1</v>
      </c>
      <c r="X35" s="107"/>
      <c r="Y35" s="106"/>
    </row>
    <row r="36" spans="1:26">
      <c r="A36" s="95" t="s">
        <v>58</v>
      </c>
      <c r="B36" s="96">
        <v>45850</v>
      </c>
      <c r="C36" s="97" t="s">
        <v>54</v>
      </c>
      <c r="D36" s="98">
        <f>57567+72793+35483.6+16758</f>
        <v>182601.60000000001</v>
      </c>
      <c r="E36" s="99">
        <v>30</v>
      </c>
      <c r="F36" s="99">
        <f t="shared" si="6"/>
        <v>6086.72</v>
      </c>
      <c r="G36" s="99">
        <v>14</v>
      </c>
      <c r="H36" s="99">
        <f t="shared" si="7"/>
        <v>13042.971428571429</v>
      </c>
      <c r="I36" s="99">
        <v>90</v>
      </c>
      <c r="J36" s="98">
        <f t="shared" si="8"/>
        <v>2.1428571428571428</v>
      </c>
      <c r="K36" s="99">
        <v>57567</v>
      </c>
      <c r="L36" s="99"/>
      <c r="M36" s="99"/>
      <c r="N36" s="100">
        <f t="shared" si="9"/>
        <v>0.15555555555555556</v>
      </c>
      <c r="O36" s="101">
        <f t="shared" si="10"/>
        <v>1.0311620222092077</v>
      </c>
      <c r="P36" s="102">
        <f t="shared" si="11"/>
        <v>177083.32547855686</v>
      </c>
      <c r="Q36" s="103">
        <f t="shared" si="12"/>
        <v>29.513887579759484</v>
      </c>
      <c r="R36" s="103">
        <f t="shared" si="13"/>
        <v>17.361110341034991</v>
      </c>
      <c r="S36" s="102">
        <f t="shared" si="14"/>
        <v>182601.60000000001</v>
      </c>
      <c r="T36" s="103">
        <f t="shared" si="15"/>
        <v>30</v>
      </c>
      <c r="U36" s="103">
        <f t="shared" si="16"/>
        <v>14</v>
      </c>
      <c r="V36" s="104">
        <v>1.05797433831278</v>
      </c>
      <c r="W36" s="104">
        <v>1.05797433831278</v>
      </c>
      <c r="X36" s="107"/>
      <c r="Y36" s="106"/>
    </row>
    <row r="37" spans="1:26" ht="15.25" customHeight="1">
      <c r="A37" s="95" t="s">
        <v>49</v>
      </c>
      <c r="B37" s="96">
        <v>45851</v>
      </c>
      <c r="C37" s="97" t="s">
        <v>55</v>
      </c>
      <c r="D37" s="98">
        <f>27565+16368+32106+9993</f>
        <v>86032</v>
      </c>
      <c r="E37" s="99">
        <v>12</v>
      </c>
      <c r="F37" s="99">
        <f t="shared" si="6"/>
        <v>7169.333333333333</v>
      </c>
      <c r="G37" s="99">
        <v>10</v>
      </c>
      <c r="H37" s="99">
        <f t="shared" si="7"/>
        <v>8603.2000000000007</v>
      </c>
      <c r="I37" s="99">
        <v>70</v>
      </c>
      <c r="J37" s="98">
        <f t="shared" si="8"/>
        <v>1.2</v>
      </c>
      <c r="K37" s="99">
        <v>9993</v>
      </c>
      <c r="L37" s="99">
        <v>32106</v>
      </c>
      <c r="M37" s="99"/>
      <c r="N37" s="100">
        <f t="shared" si="9"/>
        <v>0.14285714285714285</v>
      </c>
      <c r="O37" s="101">
        <f t="shared" si="10"/>
        <v>0.48582778625544659</v>
      </c>
      <c r="P37" s="102">
        <f t="shared" si="11"/>
        <v>177083.32547855686</v>
      </c>
      <c r="Q37" s="103">
        <f t="shared" si="12"/>
        <v>29.513887579759484</v>
      </c>
      <c r="R37" s="103">
        <f t="shared" si="13"/>
        <v>17.361110341034991</v>
      </c>
      <c r="S37" s="102">
        <f t="shared" si="14"/>
        <v>86032</v>
      </c>
      <c r="T37" s="103">
        <f t="shared" si="15"/>
        <v>12</v>
      </c>
      <c r="U37" s="103">
        <f t="shared" si="16"/>
        <v>10</v>
      </c>
      <c r="V37" s="104">
        <v>1.05797433831278</v>
      </c>
      <c r="W37" s="104">
        <v>1.05797433831278</v>
      </c>
      <c r="X37" s="107"/>
      <c r="Y37" s="106"/>
    </row>
    <row r="38" spans="1:26">
      <c r="A38" s="95" t="s">
        <v>51</v>
      </c>
      <c r="B38" s="96">
        <v>45852</v>
      </c>
      <c r="C38" s="97" t="s">
        <v>56</v>
      </c>
      <c r="D38" s="98">
        <f>55154+21805+29881+71171</f>
        <v>178011</v>
      </c>
      <c r="E38" s="99">
        <v>27</v>
      </c>
      <c r="F38" s="99">
        <f t="shared" si="6"/>
        <v>6593</v>
      </c>
      <c r="G38" s="99">
        <v>20</v>
      </c>
      <c r="H38" s="99">
        <f t="shared" si="7"/>
        <v>8900.5499999999993</v>
      </c>
      <c r="I38" s="99">
        <v>90</v>
      </c>
      <c r="J38" s="98">
        <f t="shared" si="8"/>
        <v>1.35</v>
      </c>
      <c r="K38" s="99">
        <v>55154</v>
      </c>
      <c r="L38" s="99">
        <v>21805</v>
      </c>
      <c r="M38" s="99"/>
      <c r="N38" s="100">
        <f t="shared" si="9"/>
        <v>0.22222222222222221</v>
      </c>
      <c r="O38" s="101">
        <f t="shared" si="10"/>
        <v>1.5460273597188647</v>
      </c>
      <c r="P38" s="102">
        <f t="shared" si="11"/>
        <v>115140.91188681821</v>
      </c>
      <c r="Q38" s="103">
        <f t="shared" si="12"/>
        <v>19.190151981136367</v>
      </c>
      <c r="R38" s="103">
        <f t="shared" si="13"/>
        <v>11.288324694786098</v>
      </c>
      <c r="S38" s="102">
        <f t="shared" si="14"/>
        <v>178011</v>
      </c>
      <c r="T38" s="103">
        <f t="shared" si="15"/>
        <v>27</v>
      </c>
      <c r="U38" s="103">
        <f t="shared" si="16"/>
        <v>20</v>
      </c>
      <c r="V38" s="104">
        <v>0.85310233682514103</v>
      </c>
      <c r="W38" s="104">
        <v>0.85310233682514103</v>
      </c>
      <c r="X38" s="107"/>
      <c r="Y38" s="106"/>
    </row>
    <row r="39" spans="1:26">
      <c r="A39" s="95" t="s">
        <v>51</v>
      </c>
      <c r="B39" s="96">
        <v>45853</v>
      </c>
      <c r="C39" s="97" t="s">
        <v>48</v>
      </c>
      <c r="D39" s="98">
        <f>6203+122902+15666+21450</f>
        <v>166221</v>
      </c>
      <c r="E39" s="99">
        <v>18</v>
      </c>
      <c r="F39" s="99">
        <f t="shared" si="6"/>
        <v>9234.5</v>
      </c>
      <c r="G39" s="99">
        <v>9</v>
      </c>
      <c r="H39" s="99">
        <f t="shared" si="7"/>
        <v>18469</v>
      </c>
      <c r="I39" s="99">
        <v>70</v>
      </c>
      <c r="J39" s="98">
        <f t="shared" si="8"/>
        <v>2</v>
      </c>
      <c r="K39" s="99">
        <f>109909+12993</f>
        <v>122902</v>
      </c>
      <c r="L39" s="99">
        <v>6203</v>
      </c>
      <c r="M39" s="99"/>
      <c r="N39" s="100">
        <f t="shared" si="9"/>
        <v>0.12857142857142856</v>
      </c>
      <c r="O39" s="101">
        <f t="shared" si="10"/>
        <v>1.4436310888643364</v>
      </c>
      <c r="P39" s="102">
        <f t="shared" si="11"/>
        <v>115140.91188681821</v>
      </c>
      <c r="Q39" s="103">
        <f t="shared" si="12"/>
        <v>19.190151981136367</v>
      </c>
      <c r="R39" s="103">
        <f t="shared" si="13"/>
        <v>11.288324694786098</v>
      </c>
      <c r="S39" s="102">
        <f t="shared" si="14"/>
        <v>166221</v>
      </c>
      <c r="T39" s="103">
        <f t="shared" si="15"/>
        <v>18</v>
      </c>
      <c r="U39" s="103">
        <f t="shared" si="16"/>
        <v>9</v>
      </c>
      <c r="V39" s="104">
        <v>0.85310233682514103</v>
      </c>
      <c r="W39" s="104">
        <v>0.85310233682514103</v>
      </c>
      <c r="X39" s="107"/>
      <c r="Y39" s="106"/>
    </row>
    <row r="40" spans="1:26">
      <c r="A40" s="95" t="s">
        <v>47</v>
      </c>
      <c r="B40" s="96">
        <v>45854</v>
      </c>
      <c r="C40" s="97" t="s">
        <v>50</v>
      </c>
      <c r="D40" s="98">
        <f>15184+15796+12069+25450</f>
        <v>68499</v>
      </c>
      <c r="E40" s="99">
        <v>14</v>
      </c>
      <c r="F40" s="99">
        <f t="shared" si="6"/>
        <v>4892.7857142857147</v>
      </c>
      <c r="G40" s="99">
        <v>8</v>
      </c>
      <c r="H40" s="99">
        <f t="shared" si="7"/>
        <v>8562.375</v>
      </c>
      <c r="I40" s="99">
        <v>40</v>
      </c>
      <c r="J40" s="98">
        <f t="shared" si="8"/>
        <v>1.75</v>
      </c>
      <c r="K40" s="99">
        <v>15184</v>
      </c>
      <c r="L40" s="99">
        <v>15796</v>
      </c>
      <c r="M40" s="99"/>
      <c r="N40" s="100">
        <f t="shared" si="9"/>
        <v>0.2</v>
      </c>
      <c r="O40" s="101">
        <f t="shared" si="10"/>
        <v>0.59491451715558319</v>
      </c>
      <c r="P40" s="102">
        <f t="shared" si="11"/>
        <v>115140.91188681821</v>
      </c>
      <c r="Q40" s="103">
        <f t="shared" si="12"/>
        <v>19.190151981136367</v>
      </c>
      <c r="R40" s="103">
        <f t="shared" si="13"/>
        <v>11.288324694786098</v>
      </c>
      <c r="S40" s="102">
        <f t="shared" si="14"/>
        <v>68499</v>
      </c>
      <c r="T40" s="103">
        <f t="shared" si="15"/>
        <v>14</v>
      </c>
      <c r="U40" s="103">
        <f t="shared" si="16"/>
        <v>8</v>
      </c>
      <c r="V40" s="104">
        <v>0.85310233682514103</v>
      </c>
      <c r="W40" s="104">
        <v>0.85310233682514103</v>
      </c>
      <c r="X40" s="107"/>
      <c r="Y40" s="106"/>
    </row>
    <row r="41" spans="1:26">
      <c r="A41" s="95" t="s">
        <v>49</v>
      </c>
      <c r="B41" s="96">
        <v>45855</v>
      </c>
      <c r="C41" s="97" t="s">
        <v>52</v>
      </c>
      <c r="D41" s="98">
        <f>51866+8202+42831+32345</f>
        <v>135244</v>
      </c>
      <c r="E41" s="99">
        <v>21</v>
      </c>
      <c r="F41" s="99">
        <f t="shared" si="6"/>
        <v>6440.1904761904761</v>
      </c>
      <c r="G41" s="99">
        <v>14</v>
      </c>
      <c r="H41" s="99">
        <f t="shared" si="7"/>
        <v>9660.2857142857138</v>
      </c>
      <c r="I41" s="99">
        <v>70</v>
      </c>
      <c r="J41" s="98">
        <f t="shared" si="8"/>
        <v>1.5</v>
      </c>
      <c r="K41" s="99">
        <v>51866</v>
      </c>
      <c r="L41" s="99">
        <v>8202</v>
      </c>
      <c r="M41" s="99"/>
      <c r="N41" s="100">
        <f t="shared" si="9"/>
        <v>0.2</v>
      </c>
      <c r="O41" s="101">
        <f t="shared" si="10"/>
        <v>1.1745955263316208</v>
      </c>
      <c r="P41" s="102">
        <f t="shared" si="11"/>
        <v>115140.91188681821</v>
      </c>
      <c r="Q41" s="103">
        <f t="shared" si="12"/>
        <v>19.190151981136367</v>
      </c>
      <c r="R41" s="103">
        <f t="shared" si="13"/>
        <v>11.288324694786098</v>
      </c>
      <c r="S41" s="102">
        <f t="shared" si="14"/>
        <v>135244</v>
      </c>
      <c r="T41" s="103">
        <f t="shared" si="15"/>
        <v>21</v>
      </c>
      <c r="U41" s="103">
        <f t="shared" si="16"/>
        <v>14</v>
      </c>
      <c r="V41" s="104">
        <v>0.85310233682514103</v>
      </c>
      <c r="W41" s="104">
        <v>0.85310233682514103</v>
      </c>
      <c r="X41" s="107"/>
      <c r="Y41" s="106"/>
    </row>
    <row r="42" spans="1:26">
      <c r="A42" s="95" t="s">
        <v>49</v>
      </c>
      <c r="B42" s="96">
        <v>45856</v>
      </c>
      <c r="C42" s="97" t="s">
        <v>53</v>
      </c>
      <c r="D42" s="98">
        <f>7993+6594+51413+48602</f>
        <v>114602</v>
      </c>
      <c r="E42" s="99">
        <v>25</v>
      </c>
      <c r="F42" s="99">
        <f t="shared" si="6"/>
        <v>4584.08</v>
      </c>
      <c r="G42" s="99">
        <v>14</v>
      </c>
      <c r="H42" s="99">
        <f t="shared" si="7"/>
        <v>8185.8571428571431</v>
      </c>
      <c r="I42" s="99">
        <v>80</v>
      </c>
      <c r="J42" s="98">
        <f t="shared" si="8"/>
        <v>1.7857142857142858</v>
      </c>
      <c r="K42" s="99">
        <v>7993</v>
      </c>
      <c r="L42" s="99">
        <v>6594</v>
      </c>
      <c r="M42" s="99"/>
      <c r="N42" s="100">
        <f t="shared" si="9"/>
        <v>0.17499999999999999</v>
      </c>
      <c r="O42" s="101">
        <f t="shared" si="10"/>
        <v>0.72437723853048241</v>
      </c>
      <c r="P42" s="102">
        <f t="shared" si="11"/>
        <v>158207.62153224042</v>
      </c>
      <c r="Q42" s="103">
        <f t="shared" si="12"/>
        <v>26.367936922040069</v>
      </c>
      <c r="R42" s="103">
        <f t="shared" si="13"/>
        <v>15.510551130611805</v>
      </c>
      <c r="S42" s="102">
        <f t="shared" si="14"/>
        <v>114602</v>
      </c>
      <c r="T42" s="103">
        <f t="shared" si="15"/>
        <v>25</v>
      </c>
      <c r="U42" s="103">
        <f t="shared" si="16"/>
        <v>14</v>
      </c>
      <c r="V42" s="104">
        <v>1</v>
      </c>
      <c r="W42" s="104">
        <v>1</v>
      </c>
      <c r="X42" s="107"/>
      <c r="Y42" s="106"/>
    </row>
    <row r="43" spans="1:26">
      <c r="A43" s="95" t="s">
        <v>49</v>
      </c>
      <c r="B43" s="96">
        <v>45857</v>
      </c>
      <c r="C43" s="97" t="s">
        <v>54</v>
      </c>
      <c r="D43" s="98">
        <f>18483+7903+29037+9108</f>
        <v>64531</v>
      </c>
      <c r="E43" s="99">
        <v>15</v>
      </c>
      <c r="F43" s="99">
        <f t="shared" si="6"/>
        <v>4302.0666666666666</v>
      </c>
      <c r="G43" s="99">
        <v>11</v>
      </c>
      <c r="H43" s="99">
        <f t="shared" si="7"/>
        <v>5866.454545454545</v>
      </c>
      <c r="I43" s="99">
        <v>60</v>
      </c>
      <c r="J43" s="98">
        <f t="shared" si="8"/>
        <v>1.3636363636363635</v>
      </c>
      <c r="K43" s="99">
        <v>18483</v>
      </c>
      <c r="L43" s="99">
        <v>7903</v>
      </c>
      <c r="M43" s="99"/>
      <c r="N43" s="100">
        <f t="shared" si="9"/>
        <v>0.18333333333333332</v>
      </c>
      <c r="O43" s="101">
        <f t="shared" si="10"/>
        <v>0.36441036910510305</v>
      </c>
      <c r="P43" s="102">
        <f t="shared" si="11"/>
        <v>177083.32547855686</v>
      </c>
      <c r="Q43" s="103">
        <f t="shared" si="12"/>
        <v>29.513887579759484</v>
      </c>
      <c r="R43" s="103">
        <f t="shared" si="13"/>
        <v>17.361110341034991</v>
      </c>
      <c r="S43" s="102">
        <f t="shared" si="14"/>
        <v>64531</v>
      </c>
      <c r="T43" s="103">
        <f t="shared" si="15"/>
        <v>15</v>
      </c>
      <c r="U43" s="103">
        <f t="shared" si="16"/>
        <v>11</v>
      </c>
      <c r="V43" s="104">
        <v>1.05797433831278</v>
      </c>
      <c r="W43" s="104">
        <v>1.05797433831278</v>
      </c>
      <c r="X43" s="107"/>
      <c r="Y43" s="106"/>
      <c r="Z43" s="111"/>
    </row>
    <row r="44" spans="1:26">
      <c r="A44" s="95" t="s">
        <v>49</v>
      </c>
      <c r="B44" s="96">
        <v>45858</v>
      </c>
      <c r="C44" s="97" t="s">
        <v>55</v>
      </c>
      <c r="D44" s="98">
        <f>18872+48809</f>
        <v>67681</v>
      </c>
      <c r="E44" s="99">
        <v>16</v>
      </c>
      <c r="F44" s="99">
        <f t="shared" si="6"/>
        <v>4230.0625</v>
      </c>
      <c r="G44" s="99">
        <v>9</v>
      </c>
      <c r="H44" s="99">
        <f t="shared" si="7"/>
        <v>7520.1111111111113</v>
      </c>
      <c r="I44" s="99">
        <v>50</v>
      </c>
      <c r="J44" s="98">
        <f t="shared" si="8"/>
        <v>1.7777777777777777</v>
      </c>
      <c r="K44" s="99"/>
      <c r="L44" s="99"/>
      <c r="M44" s="99"/>
      <c r="N44" s="100">
        <f t="shared" si="9"/>
        <v>0.18</v>
      </c>
      <c r="O44" s="101">
        <f t="shared" si="10"/>
        <v>0.3821986051882425</v>
      </c>
      <c r="P44" s="102">
        <f t="shared" si="11"/>
        <v>177083.32547855686</v>
      </c>
      <c r="Q44" s="103">
        <f t="shared" si="12"/>
        <v>29.513887579759484</v>
      </c>
      <c r="R44" s="103">
        <f t="shared" si="13"/>
        <v>17.361110341034991</v>
      </c>
      <c r="S44" s="102">
        <f t="shared" si="14"/>
        <v>67681</v>
      </c>
      <c r="T44" s="103">
        <f t="shared" si="15"/>
        <v>16</v>
      </c>
      <c r="U44" s="103">
        <f t="shared" si="16"/>
        <v>9</v>
      </c>
      <c r="V44" s="104">
        <v>1.05797433831278</v>
      </c>
      <c r="W44" s="104">
        <v>1.05797433831278</v>
      </c>
      <c r="X44" s="107"/>
      <c r="Y44" s="106"/>
      <c r="Z44" s="111"/>
    </row>
    <row r="45" spans="1:26">
      <c r="A45" s="95" t="s">
        <v>49</v>
      </c>
      <c r="B45" s="96">
        <v>45859</v>
      </c>
      <c r="C45" s="97" t="s">
        <v>56</v>
      </c>
      <c r="D45" s="98">
        <f>690+54657+27155+81821</f>
        <v>164323</v>
      </c>
      <c r="E45" s="99">
        <v>29</v>
      </c>
      <c r="F45" s="99">
        <f t="shared" si="6"/>
        <v>5666.3103448275861</v>
      </c>
      <c r="G45" s="99">
        <v>17</v>
      </c>
      <c r="H45" s="99">
        <f t="shared" si="7"/>
        <v>9666.0588235294126</v>
      </c>
      <c r="I45" s="99">
        <v>80</v>
      </c>
      <c r="J45" s="98">
        <f t="shared" si="8"/>
        <v>1.7058823529411764</v>
      </c>
      <c r="K45" s="99">
        <v>54657</v>
      </c>
      <c r="L45" s="99">
        <v>690</v>
      </c>
      <c r="M45" s="99"/>
      <c r="N45" s="100">
        <f t="shared" si="9"/>
        <v>0.21249999999999999</v>
      </c>
      <c r="O45" s="101">
        <f t="shared" si="10"/>
        <v>1.4375835752915591</v>
      </c>
      <c r="P45" s="102">
        <f t="shared" si="11"/>
        <v>114305.0065570437</v>
      </c>
      <c r="Q45" s="103">
        <f t="shared" si="12"/>
        <v>19.05083442617395</v>
      </c>
      <c r="R45" s="103">
        <f t="shared" si="13"/>
        <v>11.20637319186703</v>
      </c>
      <c r="S45" s="102">
        <f t="shared" si="14"/>
        <v>164323</v>
      </c>
      <c r="T45" s="103">
        <f t="shared" si="15"/>
        <v>29</v>
      </c>
      <c r="U45" s="103">
        <f t="shared" si="16"/>
        <v>17</v>
      </c>
      <c r="V45" s="104">
        <v>0.85</v>
      </c>
      <c r="W45" s="104">
        <v>0.85</v>
      </c>
      <c r="X45" s="107"/>
      <c r="Y45" s="106"/>
      <c r="Z45" s="111"/>
    </row>
    <row r="46" spans="1:26">
      <c r="A46" s="95" t="s">
        <v>49</v>
      </c>
      <c r="B46" s="96">
        <v>45860</v>
      </c>
      <c r="C46" s="97" t="s">
        <v>48</v>
      </c>
      <c r="D46" s="98">
        <f>10286+11679</f>
        <v>21965</v>
      </c>
      <c r="E46" s="99">
        <v>5</v>
      </c>
      <c r="F46" s="99">
        <f t="shared" si="6"/>
        <v>4393</v>
      </c>
      <c r="G46" s="99">
        <v>5</v>
      </c>
      <c r="H46" s="99">
        <f t="shared" si="7"/>
        <v>4393</v>
      </c>
      <c r="I46" s="99">
        <v>40</v>
      </c>
      <c r="J46" s="98">
        <f t="shared" si="8"/>
        <v>1</v>
      </c>
      <c r="K46" s="99"/>
      <c r="L46" s="99"/>
      <c r="M46" s="99"/>
      <c r="N46" s="100">
        <f t="shared" si="9"/>
        <v>0.125</v>
      </c>
      <c r="O46" s="101">
        <f t="shared" si="10"/>
        <v>0.19216131175355305</v>
      </c>
      <c r="P46" s="102">
        <f t="shared" si="11"/>
        <v>114305.0065570437</v>
      </c>
      <c r="Q46" s="103">
        <f t="shared" si="12"/>
        <v>19.05083442617395</v>
      </c>
      <c r="R46" s="103">
        <f t="shared" si="13"/>
        <v>11.20637319186703</v>
      </c>
      <c r="S46" s="102">
        <f t="shared" si="14"/>
        <v>21965</v>
      </c>
      <c r="T46" s="103">
        <f t="shared" si="15"/>
        <v>5</v>
      </c>
      <c r="U46" s="103">
        <f t="shared" si="16"/>
        <v>5</v>
      </c>
      <c r="V46" s="104">
        <v>0.85</v>
      </c>
      <c r="W46" s="104">
        <v>0.85</v>
      </c>
      <c r="X46" s="107"/>
      <c r="Y46" s="106"/>
      <c r="Z46" s="111"/>
    </row>
    <row r="47" spans="1:26">
      <c r="A47" s="95" t="s">
        <v>49</v>
      </c>
      <c r="B47" s="96">
        <v>45861</v>
      </c>
      <c r="C47" s="97" t="s">
        <v>50</v>
      </c>
      <c r="D47" s="98">
        <f>12242+7384+22959</f>
        <v>42585</v>
      </c>
      <c r="E47" s="99">
        <v>8</v>
      </c>
      <c r="F47" s="99">
        <f t="shared" si="6"/>
        <v>5323.125</v>
      </c>
      <c r="G47" s="99">
        <v>4</v>
      </c>
      <c r="H47" s="99">
        <f t="shared" si="7"/>
        <v>10646.25</v>
      </c>
      <c r="I47" s="99">
        <v>40</v>
      </c>
      <c r="J47" s="98">
        <f t="shared" si="8"/>
        <v>2</v>
      </c>
      <c r="K47" s="99">
        <v>12242</v>
      </c>
      <c r="L47" s="99"/>
      <c r="M47" s="99"/>
      <c r="N47" s="100">
        <f t="shared" si="9"/>
        <v>0.1</v>
      </c>
      <c r="O47" s="101">
        <f t="shared" si="10"/>
        <v>0.37255585982358558</v>
      </c>
      <c r="P47" s="102">
        <f t="shared" si="11"/>
        <v>114305.0065570437</v>
      </c>
      <c r="Q47" s="103">
        <f t="shared" si="12"/>
        <v>19.05083442617395</v>
      </c>
      <c r="R47" s="103">
        <f t="shared" si="13"/>
        <v>11.20637319186703</v>
      </c>
      <c r="S47" s="102">
        <f t="shared" si="14"/>
        <v>42585</v>
      </c>
      <c r="T47" s="103">
        <f t="shared" si="15"/>
        <v>8</v>
      </c>
      <c r="U47" s="103">
        <f t="shared" si="16"/>
        <v>4</v>
      </c>
      <c r="V47" s="104">
        <v>0.85</v>
      </c>
      <c r="W47" s="104">
        <v>0.85</v>
      </c>
      <c r="X47" s="107"/>
      <c r="Y47" s="106"/>
      <c r="Z47" s="111"/>
    </row>
    <row r="48" spans="1:26">
      <c r="A48" s="95" t="s">
        <v>49</v>
      </c>
      <c r="B48" s="96">
        <v>45862</v>
      </c>
      <c r="C48" s="97" t="s">
        <v>52</v>
      </c>
      <c r="D48" s="98">
        <f>11979+45216</f>
        <v>57195</v>
      </c>
      <c r="E48" s="99">
        <v>13</v>
      </c>
      <c r="F48" s="99">
        <f t="shared" si="6"/>
        <v>4399.6153846153848</v>
      </c>
      <c r="G48" s="99">
        <v>6</v>
      </c>
      <c r="H48" s="99">
        <f t="shared" si="7"/>
        <v>9532.5</v>
      </c>
      <c r="I48" s="99">
        <v>40</v>
      </c>
      <c r="J48" s="98">
        <f t="shared" si="8"/>
        <v>2.1666666666666665</v>
      </c>
      <c r="K48" s="99"/>
      <c r="L48" s="99"/>
      <c r="M48" s="99"/>
      <c r="N48" s="100">
        <f t="shared" si="9"/>
        <v>0.15</v>
      </c>
      <c r="O48" s="101">
        <f t="shared" si="10"/>
        <v>0.5003717835531285</v>
      </c>
      <c r="P48" s="102">
        <f t="shared" si="11"/>
        <v>114305.0065570437</v>
      </c>
      <c r="Q48" s="103">
        <f t="shared" si="12"/>
        <v>19.05083442617395</v>
      </c>
      <c r="R48" s="103">
        <f t="shared" si="13"/>
        <v>11.20637319186703</v>
      </c>
      <c r="S48" s="102">
        <f t="shared" si="14"/>
        <v>57195</v>
      </c>
      <c r="T48" s="103">
        <f t="shared" si="15"/>
        <v>13</v>
      </c>
      <c r="U48" s="103">
        <f t="shared" si="16"/>
        <v>6</v>
      </c>
      <c r="V48" s="104">
        <v>0.85</v>
      </c>
      <c r="W48" s="104">
        <v>0.85</v>
      </c>
      <c r="X48" s="107"/>
      <c r="Y48" s="106"/>
      <c r="Z48" s="111"/>
    </row>
    <row r="49" spans="1:26">
      <c r="A49" s="95" t="s">
        <v>49</v>
      </c>
      <c r="B49" s="96">
        <v>45863</v>
      </c>
      <c r="C49" s="97" t="s">
        <v>53</v>
      </c>
      <c r="D49" s="98">
        <f>53195+23761</f>
        <v>76956</v>
      </c>
      <c r="E49" s="99">
        <v>17</v>
      </c>
      <c r="F49" s="99">
        <f t="shared" si="6"/>
        <v>4526.8235294117649</v>
      </c>
      <c r="G49" s="99">
        <v>10</v>
      </c>
      <c r="H49" s="99">
        <f t="shared" si="7"/>
        <v>7695.6</v>
      </c>
      <c r="I49" s="99">
        <v>70</v>
      </c>
      <c r="J49" s="98">
        <f t="shared" si="8"/>
        <v>1.7</v>
      </c>
      <c r="K49" s="99"/>
      <c r="L49" s="99"/>
      <c r="M49" s="99"/>
      <c r="N49" s="100">
        <f t="shared" si="9"/>
        <v>0.14285714285714285</v>
      </c>
      <c r="O49" s="101">
        <f t="shared" si="10"/>
        <v>0.48642410052487567</v>
      </c>
      <c r="P49" s="102">
        <f t="shared" si="11"/>
        <v>158207.62153224042</v>
      </c>
      <c r="Q49" s="103">
        <f t="shared" si="12"/>
        <v>26.367936922040069</v>
      </c>
      <c r="R49" s="103">
        <f t="shared" si="13"/>
        <v>15.510551130611805</v>
      </c>
      <c r="S49" s="102">
        <f t="shared" si="14"/>
        <v>76956</v>
      </c>
      <c r="T49" s="103">
        <f t="shared" si="15"/>
        <v>17</v>
      </c>
      <c r="U49" s="103">
        <f t="shared" si="16"/>
        <v>10</v>
      </c>
      <c r="V49" s="104">
        <v>1</v>
      </c>
      <c r="W49" s="104">
        <v>1</v>
      </c>
      <c r="X49" s="107"/>
      <c r="Y49" s="106"/>
      <c r="Z49" s="111"/>
    </row>
    <row r="50" spans="1:26">
      <c r="A50" s="95" t="s">
        <v>49</v>
      </c>
      <c r="B50" s="96">
        <v>45864</v>
      </c>
      <c r="C50" s="97" t="s">
        <v>54</v>
      </c>
      <c r="D50" s="98">
        <f>65619+L50</f>
        <v>74522</v>
      </c>
      <c r="E50" s="99">
        <v>16</v>
      </c>
      <c r="F50" s="108">
        <f t="shared" si="6"/>
        <v>4657.625</v>
      </c>
      <c r="G50" s="99">
        <v>7</v>
      </c>
      <c r="H50" s="99">
        <f t="shared" si="7"/>
        <v>10646</v>
      </c>
      <c r="I50" s="99">
        <v>70</v>
      </c>
      <c r="J50" s="98">
        <f t="shared" si="8"/>
        <v>2.2857142857142856</v>
      </c>
      <c r="K50" s="99"/>
      <c r="L50" s="99">
        <v>8903</v>
      </c>
      <c r="M50" s="99"/>
      <c r="N50" s="100">
        <f t="shared" si="9"/>
        <v>0.1</v>
      </c>
      <c r="O50" s="101">
        <f t="shared" si="10"/>
        <v>0.41922325903385926</v>
      </c>
      <c r="P50" s="102">
        <f t="shared" si="11"/>
        <v>177762.08355362533</v>
      </c>
      <c r="Q50" s="103">
        <f t="shared" si="12"/>
        <v>29.627013925604228</v>
      </c>
      <c r="R50" s="103">
        <f t="shared" si="13"/>
        <v>17.427655250355429</v>
      </c>
      <c r="S50" s="102">
        <f t="shared" si="14"/>
        <v>74522</v>
      </c>
      <c r="T50" s="103">
        <f t="shared" si="15"/>
        <v>16</v>
      </c>
      <c r="U50" s="103">
        <f t="shared" si="16"/>
        <v>7</v>
      </c>
      <c r="V50" s="104">
        <v>1.06</v>
      </c>
      <c r="W50" s="104">
        <v>1.06</v>
      </c>
      <c r="X50" s="107"/>
      <c r="Y50" s="106"/>
      <c r="Z50" s="111"/>
    </row>
    <row r="51" spans="1:26">
      <c r="A51" s="95" t="s">
        <v>59</v>
      </c>
      <c r="B51" s="96">
        <v>45865</v>
      </c>
      <c r="C51" s="97" t="s">
        <v>55</v>
      </c>
      <c r="D51" s="98">
        <f>6691+36025+80758</f>
        <v>123474</v>
      </c>
      <c r="E51" s="99">
        <v>24</v>
      </c>
      <c r="F51" s="99">
        <f t="shared" si="6"/>
        <v>5144.75</v>
      </c>
      <c r="G51" s="99">
        <v>12</v>
      </c>
      <c r="H51" s="99">
        <f t="shared" si="7"/>
        <v>10289.5</v>
      </c>
      <c r="I51" s="99">
        <v>70</v>
      </c>
      <c r="J51" s="98">
        <f t="shared" si="8"/>
        <v>2</v>
      </c>
      <c r="K51" s="99">
        <v>6691</v>
      </c>
      <c r="L51" s="99">
        <v>36025</v>
      </c>
      <c r="M51" s="99"/>
      <c r="N51" s="100">
        <f t="shared" si="9"/>
        <v>0.17142857142857143</v>
      </c>
      <c r="O51" s="101">
        <f t="shared" si="10"/>
        <v>0.69460256952237909</v>
      </c>
      <c r="P51" s="102">
        <f t="shared" si="11"/>
        <v>177762.08355362533</v>
      </c>
      <c r="Q51" s="103">
        <f t="shared" si="12"/>
        <v>29.627013925604228</v>
      </c>
      <c r="R51" s="103">
        <f t="shared" si="13"/>
        <v>17.427655250355429</v>
      </c>
      <c r="S51" s="102">
        <f t="shared" si="14"/>
        <v>123474</v>
      </c>
      <c r="T51" s="103">
        <f t="shared" si="15"/>
        <v>24</v>
      </c>
      <c r="U51" s="103">
        <f t="shared" si="16"/>
        <v>12</v>
      </c>
      <c r="V51" s="104">
        <v>1.06</v>
      </c>
      <c r="W51" s="104">
        <v>1.06</v>
      </c>
      <c r="X51" s="107"/>
      <c r="Y51" s="106"/>
      <c r="Z51" s="111"/>
    </row>
    <row r="52" spans="1:26">
      <c r="A52" s="95" t="s">
        <v>59</v>
      </c>
      <c r="B52" s="96">
        <v>45866</v>
      </c>
      <c r="C52" s="97" t="s">
        <v>56</v>
      </c>
      <c r="D52" s="98">
        <f>14796+83533</f>
        <v>98329</v>
      </c>
      <c r="E52" s="99">
        <v>21</v>
      </c>
      <c r="F52" s="99">
        <f t="shared" si="6"/>
        <v>4682.333333333333</v>
      </c>
      <c r="G52" s="99">
        <v>9</v>
      </c>
      <c r="H52" s="99">
        <f t="shared" si="7"/>
        <v>10925.444444444445</v>
      </c>
      <c r="I52" s="99">
        <v>60</v>
      </c>
      <c r="J52" s="98">
        <f t="shared" si="8"/>
        <v>2.3333333333333335</v>
      </c>
      <c r="K52" s="99"/>
      <c r="L52" s="99">
        <v>14796</v>
      </c>
      <c r="M52" s="99"/>
      <c r="N52" s="100">
        <f t="shared" si="9"/>
        <v>0.15</v>
      </c>
      <c r="O52" s="101">
        <f t="shared" si="10"/>
        <v>0.97112301551597879</v>
      </c>
      <c r="P52" s="102">
        <f t="shared" si="11"/>
        <v>101252.87778063386</v>
      </c>
      <c r="Q52" s="103">
        <f t="shared" si="12"/>
        <v>16.875479630105648</v>
      </c>
      <c r="R52" s="103">
        <f t="shared" si="13"/>
        <v>9.9267527235915587</v>
      </c>
      <c r="S52" s="102">
        <f t="shared" si="14"/>
        <v>98329</v>
      </c>
      <c r="T52" s="103">
        <f t="shared" si="15"/>
        <v>21</v>
      </c>
      <c r="U52" s="103">
        <f t="shared" si="16"/>
        <v>9</v>
      </c>
      <c r="V52" s="104">
        <v>0.8</v>
      </c>
      <c r="W52" s="104">
        <v>0.8</v>
      </c>
      <c r="X52" s="107"/>
      <c r="Y52" s="106"/>
      <c r="Z52" s="111"/>
    </row>
    <row r="53" spans="1:26">
      <c r="A53" s="95" t="s">
        <v>51</v>
      </c>
      <c r="B53" s="96">
        <v>45867</v>
      </c>
      <c r="C53" s="97" t="s">
        <v>48</v>
      </c>
      <c r="D53" s="98">
        <v>88234</v>
      </c>
      <c r="E53" s="99">
        <v>21</v>
      </c>
      <c r="F53" s="99">
        <f t="shared" si="6"/>
        <v>4201.6190476190477</v>
      </c>
      <c r="G53" s="99">
        <v>12</v>
      </c>
      <c r="H53" s="99">
        <f t="shared" si="7"/>
        <v>7352.833333333333</v>
      </c>
      <c r="I53" s="99">
        <v>70</v>
      </c>
      <c r="J53" s="98">
        <f t="shared" si="8"/>
        <v>1.75</v>
      </c>
      <c r="K53" s="99"/>
      <c r="L53" s="99"/>
      <c r="M53" s="99"/>
      <c r="N53" s="100">
        <f t="shared" si="9"/>
        <v>0.17142857142857143</v>
      </c>
      <c r="O53" s="101">
        <f t="shared" si="10"/>
        <v>0.87142214556272179</v>
      </c>
      <c r="P53" s="102">
        <f t="shared" si="11"/>
        <v>101252.87778063386</v>
      </c>
      <c r="Q53" s="103">
        <f t="shared" si="12"/>
        <v>16.875479630105648</v>
      </c>
      <c r="R53" s="103">
        <f t="shared" si="13"/>
        <v>9.9267527235915587</v>
      </c>
      <c r="S53" s="102">
        <f t="shared" si="14"/>
        <v>88234</v>
      </c>
      <c r="T53" s="103">
        <f t="shared" si="15"/>
        <v>21</v>
      </c>
      <c r="U53" s="103">
        <f t="shared" si="16"/>
        <v>12</v>
      </c>
      <c r="V53" s="104">
        <v>0.8</v>
      </c>
      <c r="W53" s="104">
        <v>0.8</v>
      </c>
      <c r="X53" s="107"/>
      <c r="Y53" s="106"/>
      <c r="Z53" s="111"/>
    </row>
    <row r="54" spans="1:26" ht="15" customHeight="1">
      <c r="A54" s="95" t="s">
        <v>57</v>
      </c>
      <c r="B54" s="96">
        <v>45868</v>
      </c>
      <c r="C54" s="97" t="s">
        <v>50</v>
      </c>
      <c r="D54" s="98">
        <v>185267</v>
      </c>
      <c r="E54" s="99">
        <v>31</v>
      </c>
      <c r="F54" s="99">
        <f t="shared" si="6"/>
        <v>5976.3548387096771</v>
      </c>
      <c r="G54" s="99">
        <v>16</v>
      </c>
      <c r="H54" s="99">
        <f t="shared" si="7"/>
        <v>11579.1875</v>
      </c>
      <c r="I54" s="99">
        <v>100</v>
      </c>
      <c r="J54" s="98">
        <f t="shared" si="8"/>
        <v>1.9375</v>
      </c>
      <c r="K54" s="99"/>
      <c r="L54" s="99">
        <v>66452</v>
      </c>
      <c r="M54" s="99"/>
      <c r="N54" s="100">
        <f t="shared" si="9"/>
        <v>0.16</v>
      </c>
      <c r="O54" s="101">
        <f t="shared" si="10"/>
        <v>1.8297455248766776</v>
      </c>
      <c r="P54" s="102">
        <f t="shared" si="11"/>
        <v>101252.87778063386</v>
      </c>
      <c r="Q54" s="103">
        <f t="shared" si="12"/>
        <v>16.875479630105648</v>
      </c>
      <c r="R54" s="103">
        <f t="shared" si="13"/>
        <v>9.9267527235915587</v>
      </c>
      <c r="S54" s="102">
        <f t="shared" si="14"/>
        <v>185267</v>
      </c>
      <c r="T54" s="103">
        <f t="shared" si="15"/>
        <v>31</v>
      </c>
      <c r="U54" s="103">
        <f t="shared" si="16"/>
        <v>16</v>
      </c>
      <c r="V54" s="104">
        <v>0.8</v>
      </c>
      <c r="W54" s="104">
        <v>0.8</v>
      </c>
      <c r="X54" s="107"/>
      <c r="Y54" s="106"/>
      <c r="Z54" s="111"/>
    </row>
    <row r="55" spans="1:26" ht="15" customHeight="1">
      <c r="A55" s="95" t="s">
        <v>57</v>
      </c>
      <c r="B55" s="96">
        <v>45869</v>
      </c>
      <c r="C55" s="97" t="s">
        <v>52</v>
      </c>
      <c r="D55" s="98">
        <v>162655</v>
      </c>
      <c r="E55" s="99">
        <v>29</v>
      </c>
      <c r="F55" s="99">
        <f t="shared" si="6"/>
        <v>5608.7931034482763</v>
      </c>
      <c r="G55" s="99">
        <v>18</v>
      </c>
      <c r="H55" s="99">
        <f t="shared" si="7"/>
        <v>9036.3888888888887</v>
      </c>
      <c r="I55" s="99">
        <v>100</v>
      </c>
      <c r="J55" s="98">
        <f t="shared" si="8"/>
        <v>1.6111111111111112</v>
      </c>
      <c r="K55" s="99">
        <v>16991</v>
      </c>
      <c r="L55" s="99"/>
      <c r="M55" s="99"/>
      <c r="N55" s="100">
        <f t="shared" si="9"/>
        <v>0.18</v>
      </c>
      <c r="O55" s="101">
        <f t="shared" si="10"/>
        <v>1.6064234771913832</v>
      </c>
      <c r="P55" s="102">
        <f t="shared" si="11"/>
        <v>101252.87778063386</v>
      </c>
      <c r="Q55" s="103">
        <f t="shared" si="12"/>
        <v>16.875479630105648</v>
      </c>
      <c r="R55" s="103">
        <f t="shared" si="13"/>
        <v>9.9267527235915587</v>
      </c>
      <c r="S55" s="102">
        <f t="shared" si="14"/>
        <v>162655</v>
      </c>
      <c r="T55" s="103">
        <f>IF(W55&lt;&gt;"",IF(E55&lt;&gt;"",E55,($I$9-SUM($T$25:T54))*V55*W55/SUMPRODUCT($W55:$W$55,$V55:$V$55)),0)</f>
        <v>29</v>
      </c>
      <c r="U55" s="103">
        <f t="shared" si="16"/>
        <v>18</v>
      </c>
      <c r="V55" s="104">
        <v>0.8</v>
      </c>
      <c r="W55" s="104">
        <v>0.8</v>
      </c>
      <c r="X55" s="107"/>
      <c r="Y55" s="106"/>
    </row>
    <row r="56" spans="1:26" ht="15" customHeight="1">
      <c r="A56" s="112"/>
      <c r="B56" s="592" t="s">
        <v>60</v>
      </c>
      <c r="C56" s="592"/>
      <c r="D56" s="113">
        <f>SUM(D25:D55)</f>
        <v>3169651.6</v>
      </c>
      <c r="E56" s="114">
        <f>SUM(E25:E55)</f>
        <v>559</v>
      </c>
      <c r="F56" s="114">
        <f>IF(AND(E56&lt;&gt;"", E56&lt;&gt;0), D56/E56, "")</f>
        <v>5670.2175313059033</v>
      </c>
      <c r="G56" s="114">
        <f>SUM(G25:G55)</f>
        <v>327</v>
      </c>
      <c r="H56" s="114">
        <f>IF(AND(G56&lt;&gt;"", G56&lt;&gt;0), D56/G56, "")</f>
        <v>9693.1241590214067</v>
      </c>
      <c r="I56" s="114">
        <f>SUM(I25:I55)</f>
        <v>1890</v>
      </c>
      <c r="J56" s="113">
        <f>E56/G56</f>
        <v>1.7094801223241589</v>
      </c>
      <c r="K56" s="114">
        <f>SUM(K25:K55)</f>
        <v>684518</v>
      </c>
      <c r="L56" s="114">
        <f>SUM(L25:L55)</f>
        <v>393831</v>
      </c>
      <c r="M56" s="114">
        <f>SUM(M25:M55)</f>
        <v>0</v>
      </c>
      <c r="N56" s="115">
        <f>IF(AND(I56&lt;&gt;"", I56&lt;&gt;0), G56/I56, "")</f>
        <v>0.17301587301587301</v>
      </c>
      <c r="O56" s="116">
        <f t="shared" si="10"/>
        <v>0.77687539215686297</v>
      </c>
      <c r="P56" s="117">
        <f t="shared" ref="P56:R56" si="17">SUM(P25:P55)</f>
        <v>4079999.9999999991</v>
      </c>
      <c r="Q56" s="117">
        <f t="shared" si="17"/>
        <v>679.99999999999989</v>
      </c>
      <c r="R56" s="117">
        <f t="shared" si="17"/>
        <v>400</v>
      </c>
      <c r="S56" s="117">
        <f>SUM(S25:S55)</f>
        <v>3169651.6</v>
      </c>
      <c r="T56" s="117">
        <f>SUM(T25:T55)</f>
        <v>559</v>
      </c>
      <c r="U56" s="117">
        <f>SUM(U25:U55)</f>
        <v>327</v>
      </c>
      <c r="V56" s="118"/>
      <c r="W56" s="118"/>
    </row>
    <row r="57" spans="1:26">
      <c r="A57" s="119"/>
      <c r="B57" s="120"/>
      <c r="C57" s="121"/>
      <c r="D57" s="122">
        <f>SUMIF(D25:D55,"",P25:P55)+D56</f>
        <v>3169651.6</v>
      </c>
      <c r="E57" s="123"/>
      <c r="F57" s="121"/>
      <c r="G57" s="121"/>
      <c r="H57" s="124"/>
      <c r="I57" s="125">
        <f>I56/J14</f>
        <v>60.967741935483872</v>
      </c>
      <c r="J57" s="124"/>
      <c r="K57" s="3"/>
      <c r="L57" s="126"/>
      <c r="M57" s="123"/>
      <c r="N57" s="126"/>
      <c r="O57" s="126"/>
      <c r="P57" s="126"/>
      <c r="Q57" s="127"/>
      <c r="R57" s="3"/>
      <c r="T57" s="3"/>
      <c r="U57" s="3"/>
      <c r="V57" s="3"/>
      <c r="W57" s="3"/>
    </row>
    <row r="58" spans="1:26">
      <c r="A58" s="119"/>
      <c r="B58" s="3"/>
      <c r="C58" s="128"/>
      <c r="D58" s="128">
        <f>'Рогалевич И. Е.'!J8+'Уразгильдеева Е. Р.'!J8+'ПК 4'!J8+'Доп сотрудник'!J8+'Яковенко А. К.'!J8+3692</f>
        <v>3169651.6</v>
      </c>
      <c r="E58" s="128"/>
      <c r="F58" s="3"/>
      <c r="G58" s="3"/>
      <c r="H58" s="3"/>
      <c r="I58" s="129"/>
      <c r="J58" s="130"/>
      <c r="K58" s="3"/>
      <c r="L58" s="3"/>
      <c r="M58" s="3"/>
      <c r="N58" s="3"/>
      <c r="O58" s="3"/>
      <c r="P58" s="3"/>
      <c r="Q58" s="3"/>
      <c r="R58" s="3"/>
      <c r="T58" s="3"/>
      <c r="U58" s="3"/>
      <c r="V58" s="3"/>
      <c r="W58" s="3"/>
    </row>
    <row r="59" spans="1:26">
      <c r="D59" s="131"/>
      <c r="F59" s="132"/>
    </row>
    <row r="60" spans="1:26">
      <c r="D60" s="92"/>
      <c r="G60" s="133"/>
    </row>
    <row r="61" spans="1:26">
      <c r="D61" s="92"/>
    </row>
    <row r="64" spans="1:26">
      <c r="F64" s="593"/>
    </row>
    <row r="65" spans="4:6">
      <c r="F65" s="593"/>
    </row>
    <row r="68" spans="4:6">
      <c r="D68" s="134"/>
    </row>
  </sheetData>
  <mergeCells count="30">
    <mergeCell ref="P22:W22"/>
    <mergeCell ref="A23:A24"/>
    <mergeCell ref="B56:C56"/>
    <mergeCell ref="F64:F65"/>
    <mergeCell ref="F18:H18"/>
    <mergeCell ref="F19:H19"/>
    <mergeCell ref="F20:H20"/>
    <mergeCell ref="A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I3:M4"/>
    <mergeCell ref="C4:D4"/>
  </mergeCells>
  <conditionalFormatting sqref="D58">
    <cfRule type="cellIs" dxfId="278" priority="30" operator="notEqual">
      <formula>$D$56</formula>
    </cfRule>
    <cfRule type="cellIs" dxfId="277" priority="31" operator="equal">
      <formula>$D$56</formula>
    </cfRule>
  </conditionalFormatting>
  <conditionalFormatting sqref="J16">
    <cfRule type="cellIs" dxfId="276" priority="33" operator="lessThan">
      <formula>0</formula>
    </cfRule>
    <cfRule type="cellIs" dxfId="275" priority="34" operator="greaterThan">
      <formula>0</formula>
    </cfRule>
  </conditionalFormatting>
  <conditionalFormatting sqref="J25:J55">
    <cfRule type="cellIs" dxfId="274" priority="10" operator="lessThan">
      <formula>$I$12</formula>
    </cfRule>
    <cfRule type="cellIs" dxfId="273" priority="11" operator="greaterThan">
      <formula>$I$12</formula>
    </cfRule>
  </conditionalFormatting>
  <conditionalFormatting sqref="J27">
    <cfRule type="cellIs" dxfId="272" priority="45" operator="lessThan">
      <formula>$I$12</formula>
    </cfRule>
  </conditionalFormatting>
  <conditionalFormatting sqref="K10:K12 K15">
    <cfRule type="cellIs" dxfId="271" priority="37" operator="lessThan">
      <formula>1</formula>
    </cfRule>
    <cfRule type="cellIs" dxfId="270" priority="38" operator="greaterThan">
      <formula>1</formula>
    </cfRule>
  </conditionalFormatting>
  <conditionalFormatting sqref="M8:M15">
    <cfRule type="cellIs" dxfId="269" priority="23" operator="lessThan">
      <formula>1</formula>
    </cfRule>
    <cfRule type="cellIs" dxfId="268" priority="24" operator="greaterThan">
      <formula>1</formula>
    </cfRule>
  </conditionalFormatting>
  <conditionalFormatting sqref="N25:N55">
    <cfRule type="cellIs" dxfId="267" priority="7" operator="between">
      <formula>0.2</formula>
      <formula>0.25</formula>
    </cfRule>
    <cfRule type="cellIs" dxfId="266" priority="8" operator="greaterThanOrEqual">
      <formula>0.25</formula>
    </cfRule>
    <cfRule type="cellIs" dxfId="265" priority="9" operator="lessThan">
      <formula>0.2</formula>
    </cfRule>
  </conditionalFormatting>
  <conditionalFormatting sqref="O25:O55">
    <cfRule type="cellIs" dxfId="264" priority="1" operator="between">
      <formula>0.9001</formula>
      <formula>0.9999</formula>
    </cfRule>
    <cfRule type="cellIs" dxfId="263" priority="2" operator="lessThan">
      <formula>0.9</formula>
    </cfRule>
    <cfRule type="cellIs" dxfId="262" priority="3" operator="greaterThan">
      <formula>1</formula>
    </cfRule>
    <cfRule type="cellIs" dxfId="261" priority="4" operator="greaterThan">
      <formula>100</formula>
    </cfRule>
    <cfRule type="cellIs" dxfId="260" priority="5" operator="between">
      <formula>0.85</formula>
      <formula>1</formula>
    </cfRule>
    <cfRule type="cellIs" dxfId="259" priority="6" operator="between">
      <formula>0.01</formula>
      <formula>0.99</formula>
    </cfRule>
  </conditionalFormatting>
  <conditionalFormatting sqref="P10:Q10">
    <cfRule type="cellIs" dxfId="258" priority="43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topLeftCell="A26" zoomScale="111" workbookViewId="0">
      <selection activeCell="F12" sqref="F12"/>
    </sheetView>
  </sheetViews>
  <sheetFormatPr baseColWidth="10" defaultRowHeight="15"/>
  <cols>
    <col min="1" max="1" width="10.83203125" style="3"/>
    <col min="2" max="2" width="10" style="3" customWidth="1"/>
    <col min="3" max="3" width="1.6640625" style="3" customWidth="1"/>
    <col min="4" max="11" width="11.6640625" style="3" customWidth="1"/>
    <col min="12" max="12" width="13.1640625" style="3" customWidth="1"/>
    <col min="13" max="14" width="11.6640625" customWidth="1"/>
    <col min="15" max="15" width="15.33203125" customWidth="1"/>
  </cols>
  <sheetData>
    <row r="1" spans="1:15" ht="22" customHeight="1">
      <c r="A1" s="596"/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597"/>
      <c r="M1" s="597"/>
      <c r="N1" s="597"/>
      <c r="O1" s="598"/>
    </row>
    <row r="2" spans="1:15" ht="18" customHeight="1">
      <c r="A2" s="599" t="s">
        <v>3</v>
      </c>
      <c r="B2" s="600"/>
      <c r="C2" s="600"/>
      <c r="D2" s="603" t="str">
        <f>'Ялта, Ленина, 18'!I3</f>
        <v>ул. Набережная Ленина, 18</v>
      </c>
      <c r="E2" s="604"/>
      <c r="F2" s="604"/>
      <c r="G2" s="605" t="str">
        <f>График!B29</f>
        <v>Рогалевич Ирина</v>
      </c>
      <c r="H2" s="606"/>
      <c r="I2" s="606"/>
      <c r="J2" s="607" t="str">
        <f>График!B28</f>
        <v>Уразгильдеева Екатерина</v>
      </c>
      <c r="K2" s="608"/>
      <c r="L2" s="609"/>
      <c r="M2" s="607" t="str">
        <f>График!B27</f>
        <v>Яковенко Алина</v>
      </c>
      <c r="N2" s="608"/>
      <c r="O2" s="609"/>
    </row>
    <row r="3" spans="1:15" ht="18" customHeight="1">
      <c r="A3" s="601"/>
      <c r="B3" s="602"/>
      <c r="C3" s="602"/>
      <c r="D3" s="610" t="s">
        <v>61</v>
      </c>
      <c r="E3" s="611"/>
      <c r="F3" s="135" t="s">
        <v>62</v>
      </c>
      <c r="G3" s="612" t="s">
        <v>5</v>
      </c>
      <c r="H3" s="613"/>
      <c r="I3" s="136" t="s">
        <v>62</v>
      </c>
      <c r="J3" s="614" t="s">
        <v>5</v>
      </c>
      <c r="K3" s="615"/>
      <c r="L3" s="137" t="s">
        <v>62</v>
      </c>
      <c r="M3" s="614" t="s">
        <v>5</v>
      </c>
      <c r="N3" s="615"/>
      <c r="O3" s="137" t="s">
        <v>62</v>
      </c>
    </row>
    <row r="4" spans="1:15">
      <c r="A4" s="579" t="s">
        <v>12</v>
      </c>
      <c r="B4" s="579"/>
      <c r="C4" s="616"/>
      <c r="D4" s="138">
        <f>'Ялта, Ленина, 18'!K8</f>
        <v>0.77687539215686274</v>
      </c>
      <c r="E4" s="139">
        <f>'Ялта, Ленина, 18'!J8</f>
        <v>3169651.6</v>
      </c>
      <c r="F4" s="140">
        <f>'Ялта, Ленина, 18'!M8</f>
        <v>0.77687539215686285</v>
      </c>
      <c r="G4" s="141">
        <f>'Рогалевич И. Е.'!K8</f>
        <v>1.0893173064570656</v>
      </c>
      <c r="H4" s="142">
        <f>'Рогалевич И. Е.'!J8</f>
        <v>1740554</v>
      </c>
      <c r="I4" s="143">
        <f>'Рогалевич И. Е.'!M8</f>
        <v>1.0893173064570654</v>
      </c>
      <c r="J4" s="144">
        <f>'Уразгильдеева Е. Р.'!K8</f>
        <v>0.56926097329342695</v>
      </c>
      <c r="K4" s="142">
        <f>'Уразгильдеева Е. Р.'!J8</f>
        <v>801378</v>
      </c>
      <c r="L4" s="145">
        <f>'Уразгильдеева Е. Р.'!M8</f>
        <v>0.56926097329342662</v>
      </c>
      <c r="M4" s="144" t="str">
        <f>'ПК 4'!K8</f>
        <v/>
      </c>
      <c r="N4" s="142">
        <f>'ПК 4'!J8</f>
        <v>0</v>
      </c>
      <c r="O4" s="145" t="str">
        <f>'ПК 4'!M8</f>
        <v/>
      </c>
    </row>
    <row r="5" spans="1:15">
      <c r="A5" s="582" t="s">
        <v>13</v>
      </c>
      <c r="B5" s="582"/>
      <c r="C5" s="617"/>
      <c r="D5" s="146">
        <f>'Ялта, Ленина, 18'!K9</f>
        <v>0.82205882352941173</v>
      </c>
      <c r="E5" s="147">
        <f>'Ялта, Ленина, 18'!J9</f>
        <v>559</v>
      </c>
      <c r="F5" s="148">
        <f>'Ялта, Ленина, 18'!M9</f>
        <v>0.82205882352941195</v>
      </c>
      <c r="G5" s="149">
        <f>'Рогалевич И. Е.'!K9</f>
        <v>1.1227662271805274</v>
      </c>
      <c r="H5" s="150">
        <f>'Рогалевич И. Е.'!J9</f>
        <v>299</v>
      </c>
      <c r="I5" s="151">
        <f>'Рогалевич И. Е.'!M9</f>
        <v>1.1227662271805272</v>
      </c>
      <c r="J5" s="152">
        <f>'Уразгильдеева Е. Р.'!K9</f>
        <v>0.66062794981006101</v>
      </c>
      <c r="K5" s="153">
        <f>'Уразгильдеева Е. Р.'!J9</f>
        <v>155</v>
      </c>
      <c r="L5" s="154">
        <f>'Уразгильдеева Е. Р.'!M9</f>
        <v>0.66062794981006101</v>
      </c>
      <c r="M5" s="152" t="str">
        <f>'ПК 4'!K9</f>
        <v/>
      </c>
      <c r="N5" s="153">
        <f>'ПК 4'!J9</f>
        <v>0</v>
      </c>
      <c r="O5" s="154" t="str">
        <f>'ПК 4'!M9</f>
        <v/>
      </c>
    </row>
    <row r="6" spans="1:15">
      <c r="A6" s="579" t="s">
        <v>14</v>
      </c>
      <c r="B6" s="579"/>
      <c r="C6" s="616"/>
      <c r="D6" s="146">
        <f>'Ялта, Ленина, 18'!K10</f>
        <v>0.9503062901001379</v>
      </c>
      <c r="E6" s="155">
        <f>'Ялта, Ленина, 18'!J10</f>
        <v>9693.1241590214067</v>
      </c>
      <c r="F6" s="148">
        <f>'Ялта, Ленина, 18'!M10</f>
        <v>0.9503062901001379</v>
      </c>
      <c r="G6" s="149">
        <f>'Рогалевич И. Е.'!K10</f>
        <v>1.0800161330354927</v>
      </c>
      <c r="H6" s="156">
        <f>'Рогалевич И. Е.'!J10</f>
        <v>11016.164556962025</v>
      </c>
      <c r="I6" s="151">
        <f>'Рогалевич И. Е.'!M10</f>
        <v>1.0800161330354927</v>
      </c>
      <c r="J6" s="152">
        <f>'Уразгильдеева Е. Р.'!K10</f>
        <v>0.78566470588235293</v>
      </c>
      <c r="K6" s="156">
        <f>'Уразгильдеева Е. Р.'!J10</f>
        <v>8013.78</v>
      </c>
      <c r="L6" s="154">
        <f>'Уразгильдеева Е. Р.'!M10</f>
        <v>0.78566470588235293</v>
      </c>
      <c r="M6" s="152" t="str">
        <f>'ПК 4'!K10</f>
        <v/>
      </c>
      <c r="N6" s="153" t="str">
        <f>'ПК 4'!J10</f>
        <v/>
      </c>
      <c r="O6" s="154" t="str">
        <f>'ПК 4'!M10</f>
        <v/>
      </c>
    </row>
    <row r="7" spans="1:15">
      <c r="A7" s="582" t="s">
        <v>16</v>
      </c>
      <c r="B7" s="582"/>
      <c r="C7" s="617"/>
      <c r="D7" s="146">
        <f>'Ялта, Ленина, 18'!K11</f>
        <v>0.94503625521765056</v>
      </c>
      <c r="E7" s="155">
        <f>'Ялта, Ленина, 18'!J11</f>
        <v>5670.2175313059033</v>
      </c>
      <c r="F7" s="148">
        <f>'Ялта, Ленина, 18'!M11</f>
        <v>0.94503625521765056</v>
      </c>
      <c r="G7" s="149">
        <f>'Рогалевич И. Е.'!K11</f>
        <v>0.97020847268673349</v>
      </c>
      <c r="H7" s="156">
        <f>'Рогалевич И. Е.'!J11</f>
        <v>5821.2508361204009</v>
      </c>
      <c r="I7" s="151">
        <f>'Рогалевич И. Е.'!M11</f>
        <v>0.97020847268673349</v>
      </c>
      <c r="J7" s="152">
        <f>'Уразгильдеева Е. Р.'!K11</f>
        <v>0.8616967741935484</v>
      </c>
      <c r="K7" s="156">
        <f>'Уразгильдеева Е. Р.'!J11</f>
        <v>5170.1806451612902</v>
      </c>
      <c r="L7" s="154">
        <f>'Уразгильдеева Е. Р.'!M11</f>
        <v>0.8616967741935484</v>
      </c>
      <c r="M7" s="152" t="str">
        <f>'ПК 4'!K11</f>
        <v/>
      </c>
      <c r="N7" s="153" t="str">
        <f>'ПК 4'!J11</f>
        <v/>
      </c>
      <c r="O7" s="154" t="str">
        <f>'ПК 4'!M11</f>
        <v/>
      </c>
    </row>
    <row r="8" spans="1:15">
      <c r="A8" s="582" t="s">
        <v>17</v>
      </c>
      <c r="B8" s="582"/>
      <c r="C8" s="617"/>
      <c r="D8" s="146">
        <f>'Ялта, Ленина, 18'!K12</f>
        <v>1.0055765425436229</v>
      </c>
      <c r="E8" s="157">
        <f>'Ялта, Ленина, 18'!J12</f>
        <v>1.7094801223241589</v>
      </c>
      <c r="F8" s="148">
        <f>'Ялта, Ленина, 18'!M12</f>
        <v>1.0055765425436229</v>
      </c>
      <c r="G8" s="149">
        <f>'Рогалевич И. Е.'!K12</f>
        <v>1.1131794489947879</v>
      </c>
      <c r="H8" s="158">
        <f>'Рогалевич И. Е.'!J12</f>
        <v>1.8924050632911393</v>
      </c>
      <c r="I8" s="151">
        <f>'Рогалевич И. Е.'!M12</f>
        <v>1.1131794489947879</v>
      </c>
      <c r="J8" s="152">
        <f>'Уразгильдеева Е. Р.'!K12</f>
        <v>0.91176470588235303</v>
      </c>
      <c r="K8" s="159">
        <f>'Уразгильдеева Е. Р.'!J12</f>
        <v>1.55</v>
      </c>
      <c r="L8" s="154">
        <f>'Уразгильдеева Е. Р.'!M12</f>
        <v>0.91176470588235303</v>
      </c>
      <c r="M8" s="152" t="str">
        <f>'ПК 4'!K12</f>
        <v/>
      </c>
      <c r="N8" s="159" t="str">
        <f>'ПК 4'!J12</f>
        <v/>
      </c>
      <c r="O8" s="154" t="str">
        <f>'ПК 4'!M12</f>
        <v/>
      </c>
    </row>
    <row r="9" spans="1:15">
      <c r="A9" s="582" t="s">
        <v>18</v>
      </c>
      <c r="B9" s="582"/>
      <c r="C9" s="617"/>
      <c r="D9" s="146">
        <f>'Ялта, Ленина, 18'!K13</f>
        <v>0.8175</v>
      </c>
      <c r="E9" s="147">
        <f>'Ялта, Ленина, 18'!J13</f>
        <v>327</v>
      </c>
      <c r="F9" s="148">
        <f>'Ялта, Ленина, 18'!M13</f>
        <v>0.8175</v>
      </c>
      <c r="G9" s="149">
        <f>'Рогалевич И. Е.'!K13</f>
        <v>1.0086120689655174</v>
      </c>
      <c r="H9" s="150">
        <f>'Рогалевич И. Е.'!J13</f>
        <v>158</v>
      </c>
      <c r="I9" s="151">
        <f>'Рогалевич И. Е.'!M13</f>
        <v>1.0086120689655169</v>
      </c>
      <c r="J9" s="152">
        <f>'Уразгильдеева Е. Р.'!K13</f>
        <v>0.72455968688845396</v>
      </c>
      <c r="K9" s="153">
        <f>'Уразгильдеева Е. Р.'!J13</f>
        <v>100</v>
      </c>
      <c r="L9" s="154">
        <f>'Уразгильдеева Е. Р.'!M13</f>
        <v>0.72455968688845396</v>
      </c>
      <c r="M9" s="152">
        <f>'ПК 4'!K13</f>
        <v>0</v>
      </c>
      <c r="N9" s="153">
        <f>'ПК 4'!J13</f>
        <v>0</v>
      </c>
      <c r="O9" s="154" t="str">
        <f>'ПК 4'!M13</f>
        <v/>
      </c>
    </row>
    <row r="10" spans="1:15">
      <c r="A10" s="582" t="s">
        <v>63</v>
      </c>
      <c r="B10" s="582"/>
      <c r="C10" s="617"/>
      <c r="D10" s="146">
        <f>'Ялта, Ленина, 18'!K14</f>
        <v>1</v>
      </c>
      <c r="E10" s="160">
        <f>'Ялта, Ленина, 18'!J14</f>
        <v>31</v>
      </c>
      <c r="F10" s="148"/>
      <c r="G10" s="149">
        <f>'Рогалевич И. Е.'!K14</f>
        <v>1</v>
      </c>
      <c r="H10" s="150">
        <f>'Рогалевич И. Е.'!J14</f>
        <v>26</v>
      </c>
      <c r="I10" s="151"/>
      <c r="J10" s="152">
        <f>'Уразгильдеева Е. Р.'!K14</f>
        <v>1</v>
      </c>
      <c r="K10" s="150">
        <f>'Уразгильдеева Е. Р.'!J14</f>
        <v>21</v>
      </c>
      <c r="L10" s="154"/>
      <c r="M10" s="152">
        <f>'ПК 4'!K14</f>
        <v>0.9285714285714286</v>
      </c>
      <c r="N10" s="153">
        <f>'ПК 4'!J14</f>
        <v>13</v>
      </c>
      <c r="O10" s="154"/>
    </row>
    <row r="11" spans="1:15">
      <c r="A11" s="582" t="s">
        <v>20</v>
      </c>
      <c r="B11" s="582"/>
      <c r="C11" s="617"/>
      <c r="D11" s="146">
        <f>'Ялта, Ленина, 18'!K15</f>
        <v>0.77687539215686274</v>
      </c>
      <c r="E11" s="161">
        <f>'Ялта, Ленина, 18'!J15</f>
        <v>102246.82580645161</v>
      </c>
      <c r="F11" s="148">
        <f>'Ялта, Ленина, 18'!M15</f>
        <v>0.77687539215686274</v>
      </c>
      <c r="G11" s="149">
        <f>'Рогалевич И. Е.'!K15</f>
        <v>0.50864605957767717</v>
      </c>
      <c r="H11" s="156">
        <f>'Рогалевич И. Е.'!J15</f>
        <v>66944.38461538461</v>
      </c>
      <c r="I11" s="151">
        <f>'Рогалевич И. Е.'!M15</f>
        <v>0.50864605957767717</v>
      </c>
      <c r="J11" s="152">
        <f>'Уразгильдеева Е. Р.'!K15</f>
        <v>0.28994768907563029</v>
      </c>
      <c r="K11" s="156">
        <f>'Уразгильдеева Е. Р.'!J15</f>
        <v>38160.857142857145</v>
      </c>
      <c r="L11" s="154">
        <f>'Уразгильдеева Е. Р.'!M15</f>
        <v>0.28994768907563029</v>
      </c>
      <c r="M11" s="152">
        <f>'ПК 4'!K15</f>
        <v>0</v>
      </c>
      <c r="N11" s="153">
        <f>'ПК 4'!J15</f>
        <v>0</v>
      </c>
      <c r="O11" s="154" t="str">
        <f>'ПК 4'!M15</f>
        <v/>
      </c>
    </row>
    <row r="12" spans="1:15">
      <c r="A12" s="618" t="s">
        <v>23</v>
      </c>
      <c r="B12" s="619"/>
      <c r="C12" s="620"/>
      <c r="D12" s="146">
        <f>'Ялта, Ленина, 18'!K17</f>
        <v>1.1812499999999999</v>
      </c>
      <c r="E12" s="160">
        <f>'Ялта, Ленина, 18'!J17</f>
        <v>1890</v>
      </c>
      <c r="F12" s="148">
        <f>'Ялта, Ленина, 18'!M17</f>
        <v>1.1812499999999999</v>
      </c>
      <c r="G12" s="149">
        <f>'Рогалевич И. Е.'!K17</f>
        <v>1.3325808189655173</v>
      </c>
      <c r="H12" s="150">
        <f>'Рогалевич И. Е.'!J17</f>
        <v>835</v>
      </c>
      <c r="I12" s="151">
        <f>'Рогалевич И. Е.'!M17</f>
        <v>1.3325808189655173</v>
      </c>
      <c r="J12" s="152">
        <f>'Уразгильдеева Е. Р.'!K17</f>
        <v>1.0958965264187865</v>
      </c>
      <c r="K12" s="150">
        <f>'Уразгильдеева Е. Р.'!J17</f>
        <v>605</v>
      </c>
      <c r="L12" s="154">
        <f>'Уразгильдеева Е. Р.'!M17</f>
        <v>1.0958965264187865</v>
      </c>
      <c r="M12" s="152">
        <f>'ПК 4'!K17</f>
        <v>0</v>
      </c>
      <c r="N12" s="150">
        <f>'ПК 4'!J17</f>
        <v>0</v>
      </c>
      <c r="O12" s="154" t="str">
        <f>'ПК 4'!M17</f>
        <v/>
      </c>
    </row>
    <row r="13" spans="1:15">
      <c r="A13" s="618" t="s">
        <v>22</v>
      </c>
      <c r="B13" s="619"/>
      <c r="C13" s="620"/>
      <c r="D13" s="146">
        <f>'Ялта, Ленина, 18'!S19</f>
        <v>0.87758717948717946</v>
      </c>
      <c r="E13" s="161">
        <f>'Ялта, Ленина, 18'!T18</f>
        <v>684518</v>
      </c>
      <c r="F13" s="148">
        <f>'Ялта, Ленина, 18'!T19</f>
        <v>0.87758717948717946</v>
      </c>
      <c r="G13" s="149">
        <f>'Рогалевич И. Е.'!S19</f>
        <v>1.4482209261715295</v>
      </c>
      <c r="H13" s="156">
        <f>'Рогалевич И. Е.'!T18</f>
        <v>442387</v>
      </c>
      <c r="I13" s="151">
        <f>'Рогалевич И. Е.'!T19</f>
        <v>1.4482209261715295</v>
      </c>
      <c r="J13" s="152">
        <f>'Уразгильдеева Е. Р.'!S19</f>
        <v>0.2205596843795474</v>
      </c>
      <c r="K13" s="156">
        <f>'Уразгильдеева Е. Р.'!T18</f>
        <v>59359</v>
      </c>
      <c r="L13" s="154">
        <f>'Уразгильдеева Е. Р.'!T19</f>
        <v>0.22055968437954737</v>
      </c>
      <c r="M13" s="152">
        <f>'ПК 4'!S19</f>
        <v>0</v>
      </c>
      <c r="N13" s="162">
        <f>'ПК 4'!T18</f>
        <v>0</v>
      </c>
      <c r="O13" s="154">
        <f>'ПК 4'!T19</f>
        <v>0</v>
      </c>
    </row>
    <row r="14" spans="1:15">
      <c r="A14" s="618" t="s">
        <v>15</v>
      </c>
      <c r="B14" s="619"/>
      <c r="C14" s="620"/>
      <c r="D14" s="163">
        <f>'Ялта, Ленина, 18'!S13</f>
        <v>0.45794302325581393</v>
      </c>
      <c r="E14" s="164">
        <f>'Ялта, Ленина, 18'!T12</f>
        <v>393831</v>
      </c>
      <c r="F14" s="165">
        <f>'Ялта, Ленина, 18'!T13</f>
        <v>0.45794302325581393</v>
      </c>
      <c r="G14" s="166">
        <f>'Рогалевич И. Е.'!S13</f>
        <v>0.58327290697674428</v>
      </c>
      <c r="H14" s="167">
        <f>'Рогалевич И. Е.'!T12</f>
        <v>196446</v>
      </c>
      <c r="I14" s="168">
        <f>'Рогалевич И. Е.'!T13</f>
        <v>0.58327290697674428</v>
      </c>
      <c r="J14" s="169">
        <f>'Уразгильдеева Е. Р.'!S13</f>
        <v>0.4437776430164293</v>
      </c>
      <c r="K14" s="170">
        <f>'Уразгильдеева Е. Р.'!T12</f>
        <v>131683</v>
      </c>
      <c r="L14" s="171">
        <f>'Уразгильдеева Е. Р.'!T13</f>
        <v>0.4437776430164293</v>
      </c>
      <c r="M14" s="169">
        <f>'ПК 4'!S13</f>
        <v>0</v>
      </c>
      <c r="N14" s="170">
        <f>'ПК 4'!T12</f>
        <v>0</v>
      </c>
      <c r="O14" s="171">
        <f>'ПК 4'!T13</f>
        <v>0</v>
      </c>
    </row>
    <row r="15" spans="1:15">
      <c r="A15" s="621" t="s">
        <v>64</v>
      </c>
      <c r="B15" s="621"/>
      <c r="C15" s="621"/>
      <c r="D15" s="622">
        <f>'Ялта, Ленина, 18'!J16</f>
        <v>-910348.39999999991</v>
      </c>
      <c r="E15" s="623"/>
      <c r="F15" s="624"/>
      <c r="G15" s="625">
        <f>'Рогалевич И. Е.'!N8</f>
        <v>142714.70222822367</v>
      </c>
      <c r="H15" s="626"/>
      <c r="I15" s="627"/>
      <c r="J15" s="628">
        <f>'Уразгильдеева Е. Р.'!N8</f>
        <v>-606373.51924375468</v>
      </c>
      <c r="K15" s="629"/>
      <c r="L15" s="630"/>
      <c r="M15" s="628" t="str">
        <f>'ПК 4'!N8</f>
        <v/>
      </c>
      <c r="N15" s="629"/>
      <c r="O15" s="630"/>
    </row>
    <row r="36" spans="1:15" ht="16">
      <c r="A36" s="596"/>
      <c r="B36" s="597"/>
      <c r="C36" s="597"/>
      <c r="D36" s="597"/>
      <c r="E36" s="597"/>
      <c r="F36" s="597"/>
      <c r="G36" s="597"/>
      <c r="H36" s="597"/>
      <c r="I36" s="597"/>
      <c r="J36" s="597"/>
      <c r="K36" s="597"/>
      <c r="L36" s="597"/>
      <c r="M36" s="597"/>
      <c r="N36" s="597"/>
      <c r="O36" s="598"/>
    </row>
    <row r="37" spans="1:15">
      <c r="A37" s="599" t="s">
        <v>3</v>
      </c>
      <c r="B37" s="600"/>
      <c r="C37" s="631"/>
      <c r="D37" s="633">
        <f>'Ялта, Ленина, 18'!I38</f>
        <v>90</v>
      </c>
      <c r="E37" s="634"/>
      <c r="F37" s="635"/>
      <c r="G37" s="636">
        <f>График!B64</f>
        <v>0</v>
      </c>
      <c r="H37" s="608"/>
      <c r="I37" s="637"/>
      <c r="J37" s="636">
        <f>График!B63</f>
        <v>0</v>
      </c>
      <c r="K37" s="608"/>
      <c r="L37" s="637"/>
      <c r="M37" s="636">
        <f>График!B62</f>
        <v>0</v>
      </c>
      <c r="N37" s="608"/>
      <c r="O37" s="637"/>
    </row>
    <row r="38" spans="1:15">
      <c r="A38" s="601"/>
      <c r="B38" s="602"/>
      <c r="C38" s="632"/>
      <c r="D38" s="610" t="s">
        <v>61</v>
      </c>
      <c r="E38" s="611"/>
      <c r="F38" s="172" t="s">
        <v>62</v>
      </c>
      <c r="G38" s="614" t="s">
        <v>5</v>
      </c>
      <c r="H38" s="615"/>
      <c r="I38" s="172" t="s">
        <v>62</v>
      </c>
      <c r="J38" s="614" t="s">
        <v>5</v>
      </c>
      <c r="K38" s="615"/>
      <c r="L38" s="173" t="s">
        <v>62</v>
      </c>
      <c r="M38" s="614" t="s">
        <v>5</v>
      </c>
      <c r="N38" s="615"/>
      <c r="O38" s="173" t="s">
        <v>62</v>
      </c>
    </row>
    <row r="39" spans="1:15">
      <c r="A39" s="616" t="s">
        <v>12</v>
      </c>
      <c r="B39" s="580"/>
      <c r="C39" s="581"/>
      <c r="D39" s="138">
        <f>'Ялта, Ленина, 18'!K43</f>
        <v>18483</v>
      </c>
      <c r="E39" s="174">
        <f>'Ялта, Ленина, 18'!J43</f>
        <v>1.3636363636363635</v>
      </c>
      <c r="F39" s="140">
        <f>'Ялта, Ленина, 18'!M43</f>
        <v>0</v>
      </c>
      <c r="G39" s="175">
        <f>'Рогалевич И. Е.'!K43</f>
        <v>0</v>
      </c>
      <c r="H39" s="176">
        <f>'Рогалевич И. Е.'!J43</f>
        <v>1</v>
      </c>
      <c r="I39" s="140">
        <f>'Рогалевич И. Е.'!M43</f>
        <v>0</v>
      </c>
      <c r="J39" s="175">
        <f>'Уразгильдеева Е. Р.'!K43</f>
        <v>0</v>
      </c>
      <c r="K39" s="176">
        <f>'Уразгильдеева Е. Р.'!J43</f>
        <v>2</v>
      </c>
      <c r="L39" s="145">
        <f>'Уразгильдеева Е. Р.'!M43</f>
        <v>0</v>
      </c>
      <c r="M39" s="175">
        <f>'ПК 4'!K43</f>
        <v>0</v>
      </c>
      <c r="N39" s="176" t="str">
        <f>'ПК 4'!J43</f>
        <v/>
      </c>
      <c r="O39" s="145">
        <f>'ПК 4'!M43</f>
        <v>0</v>
      </c>
    </row>
    <row r="40" spans="1:15">
      <c r="A40" s="617" t="s">
        <v>13</v>
      </c>
      <c r="B40" s="583"/>
      <c r="C40" s="584"/>
      <c r="D40" s="146">
        <f>'Ялта, Ленина, 18'!K44</f>
        <v>0</v>
      </c>
      <c r="E40" s="160">
        <f>'Ялта, Ленина, 18'!J44</f>
        <v>1.7777777777777777</v>
      </c>
      <c r="F40" s="148">
        <f>'Ялта, Ленина, 18'!M44</f>
        <v>0</v>
      </c>
      <c r="G40" s="177">
        <f>'Рогалевич И. Е.'!K44</f>
        <v>12242</v>
      </c>
      <c r="H40" s="178">
        <f>'Рогалевич И. Е.'!J44</f>
        <v>2</v>
      </c>
      <c r="I40" s="148">
        <f>'Рогалевич И. Е.'!M44</f>
        <v>0</v>
      </c>
      <c r="J40" s="177">
        <f>'Уразгильдеева Е. Р.'!K44</f>
        <v>0</v>
      </c>
      <c r="K40" s="179">
        <f>'Уразгильдеева Е. Р.'!J44</f>
        <v>2.1</v>
      </c>
      <c r="L40" s="154">
        <f>'Уразгильдеева Е. Р.'!M44</f>
        <v>0</v>
      </c>
      <c r="M40" s="177">
        <f>'ПК 4'!K44</f>
        <v>0</v>
      </c>
      <c r="N40" s="179" t="str">
        <f>'ПК 4'!J44</f>
        <v/>
      </c>
      <c r="O40" s="154">
        <f>'ПК 4'!M44</f>
        <v>0</v>
      </c>
    </row>
    <row r="41" spans="1:15">
      <c r="A41" s="616" t="s">
        <v>14</v>
      </c>
      <c r="B41" s="580"/>
      <c r="C41" s="581"/>
      <c r="D41" s="146">
        <f>'Ялта, Ленина, 18'!K45</f>
        <v>54657</v>
      </c>
      <c r="E41" s="161">
        <f>'Ялта, Ленина, 18'!J45</f>
        <v>1.7058823529411764</v>
      </c>
      <c r="F41" s="148">
        <f>'Ялта, Ленина, 18'!M45</f>
        <v>0</v>
      </c>
      <c r="G41" s="177">
        <f>'Рогалевич И. Е.'!K45</f>
        <v>0</v>
      </c>
      <c r="H41" s="180">
        <f>'Рогалевич И. Е.'!J45</f>
        <v>3.3333333333333335</v>
      </c>
      <c r="I41" s="148">
        <f>'Рогалевич И. Е.'!M45</f>
        <v>0</v>
      </c>
      <c r="J41" s="177">
        <f>'Уразгильдеева Е. Р.'!K45</f>
        <v>16991</v>
      </c>
      <c r="K41" s="180">
        <f>'Уразгильдеева Е. Р.'!J45</f>
        <v>1.7777777777777777</v>
      </c>
      <c r="L41" s="154">
        <f>'Уразгильдеева Е. Р.'!M45</f>
        <v>0</v>
      </c>
      <c r="M41" s="177">
        <f>'ПК 4'!K45</f>
        <v>0</v>
      </c>
      <c r="N41" s="179" t="str">
        <f>'ПК 4'!J45</f>
        <v/>
      </c>
      <c r="O41" s="154">
        <f>'ПК 4'!M45</f>
        <v>0</v>
      </c>
    </row>
    <row r="42" spans="1:15">
      <c r="A42" s="617" t="s">
        <v>16</v>
      </c>
      <c r="B42" s="583"/>
      <c r="C42" s="584"/>
      <c r="D42" s="146">
        <f>'Ялта, Ленина, 18'!K46</f>
        <v>0</v>
      </c>
      <c r="E42" s="161">
        <f>'Ялта, Ленина, 18'!J46</f>
        <v>1</v>
      </c>
      <c r="F42" s="148">
        <f>'Ялта, Ленина, 18'!M46</f>
        <v>0</v>
      </c>
      <c r="G42" s="177">
        <f>'Рогалевич И. Е.'!K46</f>
        <v>0</v>
      </c>
      <c r="H42" s="180">
        <f>'Рогалевич И. Е.'!J46</f>
        <v>1.6666666666666667</v>
      </c>
      <c r="I42" s="148">
        <f>'Рогалевич И. Е.'!M46</f>
        <v>0</v>
      </c>
      <c r="J42" s="177">
        <f>'Уразгильдеева Е. Р.'!K46</f>
        <v>0</v>
      </c>
      <c r="K42" s="180" t="str">
        <f>'Уразгильдеева Е. Р.'!J46</f>
        <v/>
      </c>
      <c r="L42" s="154">
        <f>'Уразгильдеева Е. Р.'!M46</f>
        <v>0</v>
      </c>
      <c r="M42" s="177">
        <f>'ПК 4'!K46</f>
        <v>0</v>
      </c>
      <c r="N42" s="179" t="str">
        <f>'ПК 4'!J46</f>
        <v/>
      </c>
      <c r="O42" s="154">
        <f>'ПК 4'!M46</f>
        <v>0</v>
      </c>
    </row>
    <row r="43" spans="1:15">
      <c r="A43" s="617" t="s">
        <v>17</v>
      </c>
      <c r="B43" s="583"/>
      <c r="C43" s="584"/>
      <c r="D43" s="146">
        <f>'Ялта, Ленина, 18'!K47</f>
        <v>12242</v>
      </c>
      <c r="E43" s="181">
        <f>'Ялта, Ленина, 18'!J47</f>
        <v>2</v>
      </c>
      <c r="F43" s="148">
        <f>'Ялта, Ленина, 18'!M47</f>
        <v>0</v>
      </c>
      <c r="G43" s="177">
        <f>'Рогалевич И. Е.'!K47</f>
        <v>0</v>
      </c>
      <c r="H43" s="182">
        <f>'Рогалевич И. Е.'!J47</f>
        <v>2.4</v>
      </c>
      <c r="I43" s="148">
        <f>'Рогалевич И. Е.'!M47</f>
        <v>0</v>
      </c>
      <c r="J43" s="177">
        <f>'Уразгильдеева Е. Р.'!K47</f>
        <v>0</v>
      </c>
      <c r="K43" s="183" t="str">
        <f>'Уразгильдеева Е. Р.'!J47</f>
        <v/>
      </c>
      <c r="L43" s="154">
        <f>'Уразгильдеева Е. Р.'!M47</f>
        <v>0</v>
      </c>
      <c r="M43" s="177">
        <f>'ПК 4'!K47</f>
        <v>0</v>
      </c>
      <c r="N43" s="183" t="str">
        <f>'ПК 4'!J47</f>
        <v/>
      </c>
      <c r="O43" s="154">
        <f>'ПК 4'!M47</f>
        <v>0</v>
      </c>
    </row>
    <row r="44" spans="1:15">
      <c r="A44" s="617" t="s">
        <v>18</v>
      </c>
      <c r="B44" s="583"/>
      <c r="C44" s="584"/>
      <c r="D44" s="146">
        <f>'Ялта, Ленина, 18'!K48</f>
        <v>0</v>
      </c>
      <c r="E44" s="160">
        <f>'Ялта, Ленина, 18'!J48</f>
        <v>2.1666666666666665</v>
      </c>
      <c r="F44" s="148">
        <f>'Ялта, Ленина, 18'!M48</f>
        <v>0</v>
      </c>
      <c r="G44" s="177">
        <f>'Рогалевич И. Е.'!K48</f>
        <v>6691</v>
      </c>
      <c r="H44" s="178">
        <f>'Рогалевич И. Е.'!J48</f>
        <v>2</v>
      </c>
      <c r="I44" s="148">
        <f>'Рогалевич И. Е.'!M48</f>
        <v>0</v>
      </c>
      <c r="J44" s="177">
        <f>'Уразгильдеева Е. Р.'!K48</f>
        <v>0</v>
      </c>
      <c r="K44" s="179" t="str">
        <f>'Уразгильдеева Е. Р.'!J48</f>
        <v/>
      </c>
      <c r="L44" s="154">
        <f>'Уразгильдеева Е. Р.'!M48</f>
        <v>0</v>
      </c>
      <c r="M44" s="177">
        <f>'ПК 4'!K48</f>
        <v>0</v>
      </c>
      <c r="N44" s="179" t="str">
        <f>'ПК 4'!J48</f>
        <v/>
      </c>
      <c r="O44" s="154">
        <f>'ПК 4'!M48</f>
        <v>0</v>
      </c>
    </row>
    <row r="45" spans="1:15">
      <c r="A45" s="617" t="s">
        <v>63</v>
      </c>
      <c r="B45" s="583"/>
      <c r="C45" s="584"/>
      <c r="D45" s="146">
        <f>'Ялта, Ленина, 18'!K49</f>
        <v>0</v>
      </c>
      <c r="E45" s="160">
        <f>'Ялта, Ленина, 18'!J49</f>
        <v>1.7</v>
      </c>
      <c r="F45" s="148"/>
      <c r="G45" s="177">
        <f>'Рогалевич И. Е.'!K49</f>
        <v>0</v>
      </c>
      <c r="H45" s="178">
        <f>'Рогалевич И. Е.'!J49</f>
        <v>2.3333333333333335</v>
      </c>
      <c r="I45" s="148"/>
      <c r="J45" s="177">
        <f>'Уразгильдеева Е. Р.'!K49</f>
        <v>0</v>
      </c>
      <c r="K45" s="178" t="str">
        <f>'Уразгильдеева Е. Р.'!J49</f>
        <v/>
      </c>
      <c r="L45" s="154"/>
      <c r="M45" s="177">
        <f>'ПК 4'!K49</f>
        <v>0</v>
      </c>
      <c r="N45" s="179">
        <f>'ПК 4'!J49</f>
        <v>0</v>
      </c>
      <c r="O45" s="154"/>
    </row>
    <row r="46" spans="1:15">
      <c r="A46" s="617" t="s">
        <v>20</v>
      </c>
      <c r="B46" s="583"/>
      <c r="C46" s="584"/>
      <c r="D46" s="146">
        <f>'Ялта, Ленина, 18'!K50</f>
        <v>0</v>
      </c>
      <c r="E46" s="161">
        <f>'Ялта, Ленина, 18'!J50</f>
        <v>2.2857142857142856</v>
      </c>
      <c r="F46" s="148">
        <f>'Ялта, Ленина, 18'!M50</f>
        <v>0</v>
      </c>
      <c r="G46" s="177">
        <f>'Рогалевич И. Е.'!K50</f>
        <v>0</v>
      </c>
      <c r="H46" s="180">
        <f>'Рогалевич И. Е.'!J50</f>
        <v>2</v>
      </c>
      <c r="I46" s="148">
        <f>'Рогалевич И. Е.'!M50</f>
        <v>0</v>
      </c>
      <c r="J46" s="177">
        <f>'Уразгильдеева Е. Р.'!K50</f>
        <v>59359</v>
      </c>
      <c r="K46" s="180">
        <f>'Уразгильдеева Е. Р.'!J50</f>
        <v>1.55</v>
      </c>
      <c r="L46" s="154">
        <f>'Уразгильдеева Е. Р.'!M50</f>
        <v>0</v>
      </c>
      <c r="M46" s="177">
        <f>'ПК 4'!K50</f>
        <v>0</v>
      </c>
      <c r="N46" s="179">
        <f>'ПК 4'!J50</f>
        <v>0</v>
      </c>
      <c r="O46" s="154">
        <f>'ПК 4'!M50</f>
        <v>0</v>
      </c>
    </row>
    <row r="47" spans="1:15">
      <c r="A47" s="618" t="s">
        <v>23</v>
      </c>
      <c r="B47" s="619"/>
      <c r="C47" s="620"/>
      <c r="D47" s="146">
        <f>'Ялта, Ленина, 18'!K52</f>
        <v>0</v>
      </c>
      <c r="E47" s="160">
        <f>'Ялта, Ленина, 18'!J52</f>
        <v>2.3333333333333335</v>
      </c>
      <c r="F47" s="148">
        <f>'Ялта, Ленина, 18'!M52</f>
        <v>0</v>
      </c>
      <c r="G47" s="177">
        <f>'Рогалевич И. Е.'!K52</f>
        <v>0</v>
      </c>
      <c r="H47" s="178" t="str">
        <f>'Рогалевич И. Е.'!J52</f>
        <v/>
      </c>
      <c r="I47" s="148">
        <f>'Рогалевич И. Е.'!M52</f>
        <v>0</v>
      </c>
      <c r="J47" s="177">
        <f>'Уразгильдеева Е. Р.'!K52</f>
        <v>0</v>
      </c>
      <c r="K47" s="178">
        <f>'Уразгильдеева Е. Р.'!J52</f>
        <v>0</v>
      </c>
      <c r="L47" s="154">
        <f>'Уразгильдеева Е. Р.'!M52</f>
        <v>0</v>
      </c>
      <c r="M47" s="177">
        <f>'ПК 4'!K52</f>
        <v>0</v>
      </c>
      <c r="N47" s="178">
        <f>'ПК 4'!J52</f>
        <v>0</v>
      </c>
      <c r="O47" s="154">
        <f>'ПК 4'!M52</f>
        <v>0</v>
      </c>
    </row>
    <row r="48" spans="1:15">
      <c r="A48" s="618" t="s">
        <v>22</v>
      </c>
      <c r="B48" s="619"/>
      <c r="C48" s="620"/>
      <c r="D48" s="146">
        <f>'Ялта, Ленина, 18'!S54</f>
        <v>185267</v>
      </c>
      <c r="E48" s="161">
        <f>'Ялта, Ленина, 18'!T53</f>
        <v>21</v>
      </c>
      <c r="F48" s="148">
        <f>'Ялта, Ленина, 18'!T54</f>
        <v>31</v>
      </c>
      <c r="G48" s="177">
        <f>'Рогалевич И. Е.'!S54</f>
        <v>1740554</v>
      </c>
      <c r="H48" s="180" t="str">
        <f>'Рогалевич И. Е.'!T53</f>
        <v/>
      </c>
      <c r="I48" s="148">
        <f>'Рогалевич И. Е.'!T54</f>
        <v>311</v>
      </c>
      <c r="J48" s="177">
        <f>'Уразгильдеева Е. Р.'!S54</f>
        <v>0</v>
      </c>
      <c r="K48" s="180">
        <f>'Уразгильдеева Е. Р.'!T53</f>
        <v>0</v>
      </c>
      <c r="L48" s="154">
        <f>'Уразгильдеева Е. Р.'!T54</f>
        <v>0</v>
      </c>
      <c r="M48" s="177">
        <f>'ПК 4'!S54</f>
        <v>0</v>
      </c>
      <c r="N48" s="184">
        <f>'ПК 4'!T53</f>
        <v>0</v>
      </c>
      <c r="O48" s="154">
        <f>'ПК 4'!T54</f>
        <v>0</v>
      </c>
    </row>
    <row r="49" spans="1:15">
      <c r="A49" s="618" t="s">
        <v>15</v>
      </c>
      <c r="B49" s="619"/>
      <c r="C49" s="620"/>
      <c r="D49" s="185">
        <f>'Ялта, Ленина, 18'!S48</f>
        <v>57195</v>
      </c>
      <c r="E49" s="164">
        <f>'Ялта, Ленина, 18'!T47</f>
        <v>8</v>
      </c>
      <c r="F49" s="186">
        <f>'Ялта, Ленина, 18'!T48</f>
        <v>13</v>
      </c>
      <c r="G49" s="187">
        <f>'Рогалевич И. Е.'!S48</f>
        <v>123474</v>
      </c>
      <c r="H49" s="188">
        <f>'Рогалевич И. Е.'!T47</f>
        <v>12</v>
      </c>
      <c r="I49" s="186">
        <f>'Рогалевич И. Е.'!T48</f>
        <v>24</v>
      </c>
      <c r="J49" s="187" t="str">
        <f>'Уразгильдеева Е. Р.'!S48</f>
        <v/>
      </c>
      <c r="K49" s="188" t="str">
        <f>'Уразгильдеева Е. Р.'!T47</f>
        <v/>
      </c>
      <c r="L49" s="171" t="str">
        <f>'Уразгильдеева Е. Р.'!T48</f>
        <v/>
      </c>
      <c r="M49" s="187" t="e">
        <f ca="1">'ПК 4'!S48</f>
        <v>#REF!</v>
      </c>
      <c r="N49" s="188" t="str">
        <f>'ПК 4'!T47</f>
        <v/>
      </c>
      <c r="O49" s="171" t="e">
        <f ca="1">'ПК 4'!T48</f>
        <v>#REF!</v>
      </c>
    </row>
    <row r="50" spans="1:15">
      <c r="A50" s="641" t="s">
        <v>64</v>
      </c>
      <c r="B50" s="642"/>
      <c r="C50" s="643"/>
      <c r="D50" s="622">
        <f>'Ялта, Ленина, 18'!J51</f>
        <v>2</v>
      </c>
      <c r="E50" s="623"/>
      <c r="F50" s="624"/>
      <c r="G50" s="638">
        <f>'Рогалевич И. Е.'!N43</f>
        <v>0.15</v>
      </c>
      <c r="H50" s="639"/>
      <c r="I50" s="640"/>
      <c r="J50" s="638">
        <f>'Уразгильдеева Е. Р.'!N43</f>
        <v>5.7142857142857141E-2</v>
      </c>
      <c r="K50" s="639"/>
      <c r="L50" s="640"/>
      <c r="M50" s="638" t="str">
        <f>'ПК 4'!N43</f>
        <v/>
      </c>
      <c r="N50" s="639"/>
      <c r="O50" s="640"/>
    </row>
  </sheetData>
  <mergeCells count="52">
    <mergeCell ref="M50:O50"/>
    <mergeCell ref="A49:C49"/>
    <mergeCell ref="A50:C50"/>
    <mergeCell ref="D50:F50"/>
    <mergeCell ref="G50:I50"/>
    <mergeCell ref="J50:L50"/>
    <mergeCell ref="A44:C44"/>
    <mergeCell ref="A45:C45"/>
    <mergeCell ref="A46:C46"/>
    <mergeCell ref="A47:C47"/>
    <mergeCell ref="A48:C48"/>
    <mergeCell ref="A39:C39"/>
    <mergeCell ref="A40:C40"/>
    <mergeCell ref="A41:C41"/>
    <mergeCell ref="A42:C42"/>
    <mergeCell ref="A43:C43"/>
    <mergeCell ref="M15:O15"/>
    <mergeCell ref="A36:O36"/>
    <mergeCell ref="A37:C38"/>
    <mergeCell ref="D37:F37"/>
    <mergeCell ref="G37:I37"/>
    <mergeCell ref="J37:L37"/>
    <mergeCell ref="M37:O37"/>
    <mergeCell ref="D38:E38"/>
    <mergeCell ref="G38:H38"/>
    <mergeCell ref="J38:K38"/>
    <mergeCell ref="M38:N38"/>
    <mergeCell ref="A14:C14"/>
    <mergeCell ref="A15:C15"/>
    <mergeCell ref="D15:F15"/>
    <mergeCell ref="G15:I15"/>
    <mergeCell ref="J15:L15"/>
    <mergeCell ref="A9:C9"/>
    <mergeCell ref="A10:C10"/>
    <mergeCell ref="A11:C11"/>
    <mergeCell ref="A12:C12"/>
    <mergeCell ref="A13:C13"/>
    <mergeCell ref="A4:C4"/>
    <mergeCell ref="A5:C5"/>
    <mergeCell ref="A6:C6"/>
    <mergeCell ref="A7:C7"/>
    <mergeCell ref="A8:C8"/>
    <mergeCell ref="A1:O1"/>
    <mergeCell ref="A2:C3"/>
    <mergeCell ref="D2:F2"/>
    <mergeCell ref="G2:I2"/>
    <mergeCell ref="J2:L2"/>
    <mergeCell ref="M2:O2"/>
    <mergeCell ref="D3:E3"/>
    <mergeCell ref="G3:H3"/>
    <mergeCell ref="J3:K3"/>
    <mergeCell ref="M3:N3"/>
  </mergeCells>
  <conditionalFormatting sqref="D4">
    <cfRule type="cellIs" dxfId="257" priority="155" operator="greaterThanOrEqual">
      <formula>$D$10</formula>
    </cfRule>
    <cfRule type="cellIs" dxfId="256" priority="152" operator="lessThan">
      <formula>$D$10</formula>
    </cfRule>
  </conditionalFormatting>
  <conditionalFormatting sqref="D4:D9 F4:G9 I4:J9 L4:M9 O4:O9 D11 F11:G11 I11:J11 L11:M11 O11 D13:D14 F13:G14 I13:J14 L13:M14 O13:O14">
    <cfRule type="cellIs" dxfId="255" priority="123" operator="between">
      <formula>0.9</formula>
      <formula>0.9999</formula>
    </cfRule>
  </conditionalFormatting>
  <conditionalFormatting sqref="D6:D8 D11 D13:D14">
    <cfRule type="cellIs" dxfId="254" priority="148" operator="lessThan">
      <formula>1</formula>
    </cfRule>
    <cfRule type="cellIs" dxfId="253" priority="149" operator="greaterThanOrEqual">
      <formula>1</formula>
    </cfRule>
  </conditionalFormatting>
  <conditionalFormatting sqref="D39">
    <cfRule type="cellIs" dxfId="252" priority="170" operator="lessThan">
      <formula>$D$10</formula>
    </cfRule>
    <cfRule type="cellIs" dxfId="251" priority="167" operator="greaterThanOrEqual">
      <formula>$D$10</formula>
    </cfRule>
  </conditionalFormatting>
  <conditionalFormatting sqref="D41:D43 D46 D48:D49">
    <cfRule type="cellIs" dxfId="250" priority="174" operator="lessThan">
      <formula>1</formula>
    </cfRule>
    <cfRule type="cellIs" dxfId="249" priority="173" operator="greaterThanOrEqual">
      <formula>1</formula>
    </cfRule>
  </conditionalFormatting>
  <conditionalFormatting sqref="D15:O15">
    <cfRule type="cellIs" dxfId="248" priority="97" operator="lessThan">
      <formula>0</formula>
    </cfRule>
  </conditionalFormatting>
  <conditionalFormatting sqref="D50:O50">
    <cfRule type="cellIs" dxfId="247" priority="184" operator="lessThan">
      <formula>0</formula>
    </cfRule>
  </conditionalFormatting>
  <conditionalFormatting sqref="F4:F9 I4:I9 F11 F13:F14">
    <cfRule type="cellIs" dxfId="246" priority="156" operator="lessThan">
      <formula>1</formula>
    </cfRule>
  </conditionalFormatting>
  <conditionalFormatting sqref="F4:F9 I4:I9 F11 I11 F13:F14 I13:I14">
    <cfRule type="cellIs" dxfId="245" priority="157" operator="greaterThan">
      <formula>1</formula>
    </cfRule>
  </conditionalFormatting>
  <conditionalFormatting sqref="F39:F44 I39:I44 F46 F48:F49">
    <cfRule type="cellIs" dxfId="244" priority="166" operator="lessThan">
      <formula>1</formula>
    </cfRule>
  </conditionalFormatting>
  <conditionalFormatting sqref="F39:F44 I39:I44 F46 I46 F48:F49 I48:I49">
    <cfRule type="cellIs" dxfId="243" priority="165" operator="greaterThan">
      <formula>1</formula>
    </cfRule>
  </conditionalFormatting>
  <conditionalFormatting sqref="G4:G9 G11 G13:G14">
    <cfRule type="cellIs" dxfId="242" priority="151" operator="lessThan">
      <formula>$G$10</formula>
    </cfRule>
    <cfRule type="cellIs" dxfId="241" priority="154" operator="greaterThanOrEqual">
      <formula>$G$10</formula>
    </cfRule>
  </conditionalFormatting>
  <conditionalFormatting sqref="G39:G44 G46 G48:G49">
    <cfRule type="cellIs" dxfId="240" priority="171" operator="lessThan">
      <formula>$G$10</formula>
    </cfRule>
    <cfRule type="cellIs" dxfId="239" priority="168" operator="greaterThanOrEqual">
      <formula>$G$10</formula>
    </cfRule>
  </conditionalFormatting>
  <conditionalFormatting sqref="G15:O15">
    <cfRule type="cellIs" dxfId="238" priority="161" operator="greaterThan">
      <formula>0</formula>
    </cfRule>
  </conditionalFormatting>
  <conditionalFormatting sqref="G50:O50">
    <cfRule type="cellIs" dxfId="237" priority="162" operator="greaterThan">
      <formula>0</formula>
    </cfRule>
  </conditionalFormatting>
  <conditionalFormatting sqref="J4:J5">
    <cfRule type="cellIs" dxfId="236" priority="150" operator="lessThan">
      <formula>$J$10</formula>
    </cfRule>
    <cfRule type="cellIs" dxfId="235" priority="153" operator="greaterThanOrEqual">
      <formula>$J$10</formula>
    </cfRule>
  </conditionalFormatting>
  <conditionalFormatting sqref="J6:J9 I11:J11 I13:J14">
    <cfRule type="cellIs" dxfId="234" priority="146" operator="lessThan">
      <formula>1</formula>
    </cfRule>
  </conditionalFormatting>
  <conditionalFormatting sqref="J6:J9 J11 J13:J14">
    <cfRule type="cellIs" dxfId="233" priority="147" operator="greaterThanOrEqual">
      <formula>1</formula>
    </cfRule>
  </conditionalFormatting>
  <conditionalFormatting sqref="J39:J40">
    <cfRule type="cellIs" dxfId="232" priority="169" operator="greaterThanOrEqual">
      <formula>$J$10</formula>
    </cfRule>
    <cfRule type="cellIs" dxfId="231" priority="172" operator="lessThan">
      <formula>$J$10</formula>
    </cfRule>
  </conditionalFormatting>
  <conditionalFormatting sqref="J41:J44 I46:J46 I48:J49">
    <cfRule type="cellIs" dxfId="230" priority="176" operator="lessThan">
      <formula>1</formula>
    </cfRule>
  </conditionalFormatting>
  <conditionalFormatting sqref="J41:J44 J46 J48:J49">
    <cfRule type="cellIs" dxfId="229" priority="175" operator="greaterThanOrEqual">
      <formula>1</formula>
    </cfRule>
  </conditionalFormatting>
  <conditionalFormatting sqref="L4:L9 L11 L13:L14">
    <cfRule type="cellIs" dxfId="228" priority="159" operator="greaterThan">
      <formula>1</formula>
    </cfRule>
  </conditionalFormatting>
  <conditionalFormatting sqref="L4:L9 L11">
    <cfRule type="cellIs" dxfId="227" priority="158" operator="lessThan">
      <formula>1</formula>
    </cfRule>
  </conditionalFormatting>
  <conditionalFormatting sqref="L39:L44 L46 L48:L49">
    <cfRule type="cellIs" dxfId="226" priority="163" operator="greaterThan">
      <formula>1</formula>
    </cfRule>
  </conditionalFormatting>
  <conditionalFormatting sqref="L39:L44 L46">
    <cfRule type="cellIs" dxfId="225" priority="164" operator="lessThan">
      <formula>1</formula>
    </cfRule>
  </conditionalFormatting>
  <conditionalFormatting sqref="L13:M14">
    <cfRule type="cellIs" dxfId="224" priority="124" operator="lessThan">
      <formula>1</formula>
    </cfRule>
  </conditionalFormatting>
  <conditionalFormatting sqref="L48:M49 L39:M44 L46:M46 O39:O44 O46 O48:O49 I39:J44 I46:J46 I48:J49 D39:D44 D46 D48:D49 F39:G44 F46:G46 F48:G49">
    <cfRule type="cellIs" dxfId="223" priority="183" operator="between">
      <formula>0.9</formula>
      <formula>0.9999</formula>
    </cfRule>
  </conditionalFormatting>
  <conditionalFormatting sqref="L48:M49">
    <cfRule type="cellIs" dxfId="222" priority="182" operator="lessThan">
      <formula>1</formula>
    </cfRule>
  </conditionalFormatting>
  <conditionalFormatting sqref="M4:M9 M11">
    <cfRule type="cellIs" dxfId="221" priority="126" operator="lessThan">
      <formula>$J$10</formula>
    </cfRule>
    <cfRule type="cellIs" dxfId="220" priority="127" operator="greaterThanOrEqual">
      <formula>$J$10</formula>
    </cfRule>
  </conditionalFormatting>
  <conditionalFormatting sqref="M13:M14">
    <cfRule type="cellIs" dxfId="219" priority="125" operator="greaterThanOrEqual">
      <formula>1</formula>
    </cfRule>
  </conditionalFormatting>
  <conditionalFormatting sqref="M39:M44 M46">
    <cfRule type="cellIs" dxfId="218" priority="179" operator="greaterThanOrEqual">
      <formula>$J$10</formula>
    </cfRule>
    <cfRule type="cellIs" dxfId="217" priority="180" operator="lessThan">
      <formula>$J$10</formula>
    </cfRule>
  </conditionalFormatting>
  <conditionalFormatting sqref="M48:M49">
    <cfRule type="cellIs" dxfId="216" priority="181" operator="greaterThanOrEqual">
      <formula>1</formula>
    </cfRule>
  </conditionalFormatting>
  <conditionalFormatting sqref="O4:O9 O11 O13:O14">
    <cfRule type="cellIs" dxfId="215" priority="128" operator="lessThan">
      <formula>1</formula>
    </cfRule>
    <cfRule type="cellIs" dxfId="214" priority="129" operator="greaterThan">
      <formula>1</formula>
    </cfRule>
  </conditionalFormatting>
  <conditionalFormatting sqref="O39:O44 O46 O48:O49">
    <cfRule type="cellIs" dxfId="213" priority="177" operator="greaterThan">
      <formula>1</formula>
    </cfRule>
    <cfRule type="cellIs" dxfId="212" priority="178" operator="lessThan">
      <formula>1</formula>
    </cfRule>
  </conditionalFormatting>
  <dataValidations count="1">
    <dataValidation type="decimal" allowBlank="1" showErrorMessage="1" sqref="D4:F14 D39:F49" xr:uid="{00BA00C1-00DC-4125-9817-004C000F0099}">
      <formula1>0</formula1>
      <formula2>1000000000000000</formula2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9"/>
  <sheetViews>
    <sheetView showZeros="0" zoomScale="138" workbookViewId="0">
      <selection activeCell="D2" sqref="D2"/>
    </sheetView>
  </sheetViews>
  <sheetFormatPr baseColWidth="10" defaultColWidth="11.5" defaultRowHeight="15"/>
  <cols>
    <col min="1" max="3" width="11.5" style="189"/>
    <col min="4" max="4" width="11.5" style="3"/>
  </cols>
  <sheetData>
    <row r="1" spans="1:4">
      <c r="A1" s="653" t="s">
        <v>12</v>
      </c>
      <c r="B1" s="654"/>
      <c r="C1" s="654"/>
      <c r="D1" s="190">
        <v>185833</v>
      </c>
    </row>
    <row r="2" spans="1:4">
      <c r="A2" s="644" t="s">
        <v>13</v>
      </c>
      <c r="B2" s="645"/>
      <c r="C2" s="645"/>
      <c r="D2" s="191">
        <f>D1/D4</f>
        <v>30.972166666666666</v>
      </c>
    </row>
    <row r="3" spans="1:4">
      <c r="A3" s="644" t="s">
        <v>14</v>
      </c>
      <c r="B3" s="645"/>
      <c r="C3" s="645"/>
      <c r="D3" s="192">
        <f>D4*D5</f>
        <v>10200</v>
      </c>
    </row>
    <row r="4" spans="1:4">
      <c r="A4" s="644" t="s">
        <v>16</v>
      </c>
      <c r="B4" s="645"/>
      <c r="C4" s="645"/>
      <c r="D4" s="193">
        <f>'Ялта, Ленина, 18'!I11</f>
        <v>6000</v>
      </c>
    </row>
    <row r="5" spans="1:4">
      <c r="A5" s="644" t="s">
        <v>17</v>
      </c>
      <c r="B5" s="645"/>
      <c r="C5" s="645"/>
      <c r="D5" s="194">
        <f>'Ялта, Ленина, 18'!I12</f>
        <v>1.7</v>
      </c>
    </row>
    <row r="6" spans="1:4">
      <c r="A6" s="644" t="s">
        <v>18</v>
      </c>
      <c r="B6" s="645"/>
      <c r="C6" s="645"/>
      <c r="D6" s="192">
        <f>IF(D5&lt;&gt;0,D2/D5,"")</f>
        <v>18.218921568627451</v>
      </c>
    </row>
    <row r="7" spans="1:4">
      <c r="A7" s="644" t="s">
        <v>65</v>
      </c>
      <c r="B7" s="644"/>
      <c r="C7" s="646"/>
      <c r="D7" s="195">
        <f>'Ялта, Ленина, 18'!I20</f>
        <v>0.25</v>
      </c>
    </row>
    <row r="8" spans="1:4">
      <c r="A8" s="647" t="s">
        <v>15</v>
      </c>
      <c r="B8" s="648"/>
      <c r="C8" s="649"/>
      <c r="D8" s="196" t="e">
        <f>('Ялта, Ленина, 18'!S12-'Ялта, Ленина, 18'!T12)/('Ялта, Ленина, 18'!I14-'Ялта, Ленина, 18'!J14)</f>
        <v>#DIV/0!</v>
      </c>
    </row>
    <row r="9" spans="1:4">
      <c r="A9" s="650" t="s">
        <v>22</v>
      </c>
      <c r="B9" s="651"/>
      <c r="C9" s="652"/>
      <c r="D9" s="197" t="e">
        <f>('Ялта, Ленина, 18'!S18-'Ялта, Ленина, 18'!T18)/('Ялта, Ленина, 18'!I14-'Ялта, Ленина, 18'!J14)</f>
        <v>#DIV/0!</v>
      </c>
    </row>
  </sheetData>
  <mergeCells count="9">
    <mergeCell ref="A6:C6"/>
    <mergeCell ref="A7:C7"/>
    <mergeCell ref="A8:C8"/>
    <mergeCell ref="A9:C9"/>
    <mergeCell ref="A1:C1"/>
    <mergeCell ref="A2:C2"/>
    <mergeCell ref="A3:C3"/>
    <mergeCell ref="A4:C4"/>
    <mergeCell ref="A5:C5"/>
  </mergeCells>
  <dataValidations count="1">
    <dataValidation type="decimal" allowBlank="1" showErrorMessage="1" sqref="D7 D2" xr:uid="{004500DD-00F5-4D43-9D09-00E0008A0082}">
      <formula1>0</formula1>
      <formula2>1000000000000000</formula2>
    </dataValidation>
  </dataValidations>
  <pageMargins left="0.78750002384185791" right="0.78750002384185791" top="0.78750002384185791" bottom="0.78750002384185791" header="0.51180553436279297" footer="0.51180553436279297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U59"/>
  <sheetViews>
    <sheetView showZeros="0" topLeftCell="A33" zoomScale="110" workbookViewId="0">
      <pane xSplit="3" topLeftCell="D1" activePane="topRight" state="frozen"/>
      <selection activeCell="A8" sqref="A8"/>
      <selection pane="topRight" activeCell="G59" sqref="G59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55">
        <f ca="1">TODAY()-1</f>
        <v>45879</v>
      </c>
      <c r="C1" s="655"/>
      <c r="D1" s="11"/>
      <c r="E1" s="11"/>
      <c r="F1" s="12"/>
      <c r="G1" s="12"/>
      <c r="H1" s="12"/>
      <c r="I1" s="12"/>
      <c r="J1" s="198"/>
      <c r="K1" s="198"/>
      <c r="L1" s="198"/>
      <c r="M1" s="198"/>
      <c r="N1" s="198"/>
      <c r="O1" s="198"/>
      <c r="P1" s="198"/>
      <c r="Q1" s="656"/>
      <c r="R1" s="656"/>
      <c r="S1" s="656"/>
      <c r="T1" s="656"/>
      <c r="U1" s="12"/>
      <c r="V1" s="12"/>
      <c r="W1" s="12"/>
    </row>
    <row r="2" spans="2:23" ht="21.75" customHeight="1">
      <c r="B2" s="657" t="s">
        <v>0</v>
      </c>
      <c r="C2" s="657"/>
      <c r="D2" s="11"/>
      <c r="E2" s="11"/>
      <c r="F2" s="12"/>
      <c r="G2" s="12"/>
      <c r="H2" s="12"/>
      <c r="I2" s="12"/>
      <c r="J2" s="658" t="s">
        <v>66</v>
      </c>
      <c r="K2" s="658"/>
      <c r="L2" s="658"/>
      <c r="M2" s="658"/>
      <c r="N2" s="658"/>
      <c r="O2" s="658"/>
      <c r="P2" s="658"/>
      <c r="Q2" s="656"/>
      <c r="R2" s="656"/>
      <c r="S2" s="656"/>
      <c r="T2" s="656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59" t="str">
        <f>График!B29</f>
        <v>Рогалевич Ирина</v>
      </c>
      <c r="K3" s="660"/>
      <c r="L3" s="660"/>
      <c r="M3" s="660"/>
      <c r="N3" s="661"/>
      <c r="O3" s="198"/>
      <c r="P3" s="199"/>
      <c r="Q3" s="656"/>
      <c r="R3" s="656"/>
      <c r="S3" s="656"/>
      <c r="T3" s="656"/>
      <c r="U3" s="12"/>
      <c r="V3" s="12"/>
      <c r="W3" s="12"/>
    </row>
    <row r="4" spans="2:23" ht="15" customHeight="1">
      <c r="B4" s="11"/>
      <c r="C4" s="665">
        <f>I8-D54</f>
        <v>-142714.70222822414</v>
      </c>
      <c r="D4" s="666"/>
      <c r="E4" s="200">
        <f>IF(I8&lt;&gt;0,C4/I8,0)</f>
        <v>-8.9317306457065565E-2</v>
      </c>
      <c r="F4" s="12"/>
      <c r="G4" s="12"/>
      <c r="H4" s="12"/>
      <c r="I4" s="12"/>
      <c r="J4" s="662"/>
      <c r="K4" s="663"/>
      <c r="L4" s="663"/>
      <c r="M4" s="663"/>
      <c r="N4" s="664"/>
      <c r="O4" s="12"/>
      <c r="P4" s="12"/>
      <c r="Q4" s="656"/>
      <c r="R4" s="656"/>
      <c r="S4" s="656"/>
      <c r="T4" s="656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7"/>
      <c r="K5" s="667"/>
      <c r="L5" s="667"/>
      <c r="M5" s="667"/>
      <c r="N5" s="667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1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1"/>
      <c r="C7" s="12"/>
      <c r="D7" s="12"/>
      <c r="E7" s="12"/>
      <c r="F7" s="668" t="s">
        <v>3</v>
      </c>
      <c r="G7" s="669"/>
      <c r="H7" s="670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77" t="s">
        <v>11</v>
      </c>
      <c r="Q7" s="578"/>
      <c r="R7" s="21"/>
      <c r="S7" s="21"/>
      <c r="T7" s="12"/>
      <c r="U7" s="12"/>
      <c r="V7" s="12"/>
      <c r="W7" s="12"/>
    </row>
    <row r="8" spans="2:23" ht="15.75" customHeight="1">
      <c r="B8" s="201"/>
      <c r="C8" s="12"/>
      <c r="D8" s="12"/>
      <c r="E8" s="12"/>
      <c r="F8" s="671" t="s">
        <v>12</v>
      </c>
      <c r="G8" s="672"/>
      <c r="H8" s="673"/>
      <c r="I8" s="202">
        <f>'Ялта, Ленина, 18'!I8/График!AJ31*График!AJ29</f>
        <v>1597839.2977717759</v>
      </c>
      <c r="J8" s="203">
        <f>D54</f>
        <v>1740554</v>
      </c>
      <c r="K8" s="204">
        <f t="shared" ref="K8:K9" si="0">IF(AND(I8&lt;&gt;"",I8&lt;&gt;0,J8&lt;&gt;""),J8/I8,"")</f>
        <v>1.0893173064570656</v>
      </c>
      <c r="L8" s="205">
        <f>IF(SUMIF($D$25:$D$53,"&gt;=0",$P$25:$P$53)&lt;&gt;0,I8*D54/SUMIF($D$25:$D$53,"&gt;=0",$P$25:$P$53),0)</f>
        <v>1740553.9999999995</v>
      </c>
      <c r="M8" s="206">
        <f t="shared" ref="M8:M9" si="1">IF(AND(I8&lt;&gt;"",I8&lt;&gt;0,L8&lt;&gt;"",L8&lt;&gt;0),L8/I8,"")</f>
        <v>1.0893173064570654</v>
      </c>
      <c r="N8" s="35">
        <f t="shared" ref="N8:N9" si="2">IF(AND(J8&lt;&gt;0,J8&lt;&gt;"",I8&lt;&gt;0,I8&lt;&gt;""),L8-I8,"")</f>
        <v>142714.70222822367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1"/>
      <c r="C9" s="12"/>
      <c r="D9" s="12"/>
      <c r="E9" s="12"/>
      <c r="F9" s="582" t="s">
        <v>13</v>
      </c>
      <c r="G9" s="583"/>
      <c r="H9" s="584"/>
      <c r="I9" s="38">
        <f>I8/I11</f>
        <v>266.30654962862928</v>
      </c>
      <c r="J9" s="39">
        <f>E54</f>
        <v>299</v>
      </c>
      <c r="K9" s="40">
        <f t="shared" si="0"/>
        <v>1.1227662271805274</v>
      </c>
      <c r="L9" s="207">
        <f>IF(SUMIF($E$25:$E$51,"&gt;=0",$Q$25:$Q$51)&lt;&gt;0,I9*E54/SUMIF($E$25:$E$51,"&gt;=0",$Q$25:$Q$51),0)</f>
        <v>298.99999999999994</v>
      </c>
      <c r="M9" s="208">
        <f t="shared" si="1"/>
        <v>1.1227662271805272</v>
      </c>
      <c r="N9" s="43">
        <f t="shared" si="2"/>
        <v>32.693450371370659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1"/>
      <c r="C10" s="12"/>
      <c r="D10" s="12"/>
      <c r="E10" s="12"/>
      <c r="F10" s="579" t="s">
        <v>14</v>
      </c>
      <c r="G10" s="580"/>
      <c r="H10" s="581"/>
      <c r="I10" s="50">
        <f>I11*I12</f>
        <v>10200</v>
      </c>
      <c r="J10" s="209">
        <f>H54</f>
        <v>11016.164556962025</v>
      </c>
      <c r="K10" s="210">
        <f t="shared" ref="K10:K19" si="5">IF(AND(I10&lt;&gt;"",I10&lt;&gt;0,J10&lt;&gt;""),J10/I10,"")</f>
        <v>1.0800161330354927</v>
      </c>
      <c r="L10" s="207">
        <f>J10</f>
        <v>11016.164556962025</v>
      </c>
      <c r="M10" s="211">
        <f t="shared" ref="M10:M20" si="6">IF(AND(I10&lt;&gt;"",I10&lt;&gt;0,L10&lt;&gt;"",L10&lt;&gt;0),L10/I10,"")</f>
        <v>1.0800161330354927</v>
      </c>
      <c r="N10" s="49">
        <f t="shared" ref="N10:N20" si="7">IF(AND(J10&lt;&gt;0,J10&lt;&gt;"",I10&lt;&gt;0,I10&lt;&gt;""),L10-I10,"")</f>
        <v>816.16455696202502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89" t="s">
        <v>15</v>
      </c>
      <c r="T10" s="589"/>
      <c r="U10" s="12"/>
      <c r="V10" s="12"/>
      <c r="W10" s="12"/>
    </row>
    <row r="11" spans="2:23" ht="15.75" customHeight="1">
      <c r="B11" s="201"/>
      <c r="C11" s="12"/>
      <c r="D11" s="12"/>
      <c r="E11" s="12"/>
      <c r="F11" s="582" t="s">
        <v>16</v>
      </c>
      <c r="G11" s="583"/>
      <c r="H11" s="584"/>
      <c r="I11" s="52">
        <f>'Ялта, Ленина, 18'!I11</f>
        <v>6000</v>
      </c>
      <c r="J11" s="39">
        <f>F54</f>
        <v>5821.2508361204009</v>
      </c>
      <c r="K11" s="212">
        <f t="shared" si="5"/>
        <v>0.97020847268673349</v>
      </c>
      <c r="L11" s="207">
        <f>IF(L9&gt;0,L8/L9,"")</f>
        <v>5821.2508361204009</v>
      </c>
      <c r="M11" s="208">
        <f t="shared" si="6"/>
        <v>0.97020847268673349</v>
      </c>
      <c r="N11" s="43">
        <f t="shared" si="7"/>
        <v>-178.74916387959911</v>
      </c>
      <c r="O11" s="53"/>
      <c r="P11" s="43" t="str">
        <f t="shared" si="8"/>
        <v/>
      </c>
      <c r="Q11" s="45" t="str">
        <f t="shared" si="9"/>
        <v/>
      </c>
      <c r="R11" s="21"/>
      <c r="S11" s="589"/>
      <c r="T11" s="589"/>
      <c r="U11" s="12"/>
      <c r="V11" s="12"/>
      <c r="W11" s="12"/>
    </row>
    <row r="12" spans="2:23" ht="15.75" customHeight="1">
      <c r="B12" s="201"/>
      <c r="C12" s="12"/>
      <c r="D12" s="12"/>
      <c r="E12" s="12"/>
      <c r="F12" s="582" t="s">
        <v>17</v>
      </c>
      <c r="G12" s="583"/>
      <c r="H12" s="584"/>
      <c r="I12" s="54">
        <f>'Ялта, Ленина, 18'!I12</f>
        <v>1.7</v>
      </c>
      <c r="J12" s="55">
        <f>J54</f>
        <v>1.8924050632911393</v>
      </c>
      <c r="K12" s="212">
        <f t="shared" si="5"/>
        <v>1.1131794489947879</v>
      </c>
      <c r="L12" s="213">
        <f>J12</f>
        <v>1.8924050632911393</v>
      </c>
      <c r="M12" s="208">
        <f t="shared" si="6"/>
        <v>1.1131794489947879</v>
      </c>
      <c r="N12" s="57">
        <f t="shared" si="7"/>
        <v>0.19240506329113938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18'!S12*График!AJ29/График!AJ31</f>
        <v>336799.45982444292</v>
      </c>
      <c r="T12" s="60">
        <f>L54</f>
        <v>196446</v>
      </c>
      <c r="U12" s="12"/>
      <c r="V12" s="12"/>
      <c r="W12" s="12"/>
    </row>
    <row r="13" spans="2:23" ht="15.75" customHeight="1">
      <c r="B13" s="201"/>
      <c r="C13" s="12"/>
      <c r="D13" s="12"/>
      <c r="E13" s="12"/>
      <c r="F13" s="582" t="s">
        <v>18</v>
      </c>
      <c r="G13" s="583"/>
      <c r="H13" s="584"/>
      <c r="I13" s="38">
        <f>IF(I12&lt;&gt;0,I9/I12,"")</f>
        <v>156.65091154625253</v>
      </c>
      <c r="J13" s="39">
        <f>G54</f>
        <v>158</v>
      </c>
      <c r="K13" s="40">
        <f t="shared" si="5"/>
        <v>1.0086120689655174</v>
      </c>
      <c r="L13" s="207">
        <f>IF(SUMIF($G$25:$G$51,"&gt;=0",$R$25:$R$51)&lt;&gt;0,I13*G54/SUMIF($G$25:$G$51,"&gt;=0",$R$25:$R$51),"")</f>
        <v>157.99999999999994</v>
      </c>
      <c r="M13" s="208">
        <f t="shared" si="6"/>
        <v>1.0086120689655169</v>
      </c>
      <c r="N13" s="57">
        <f t="shared" si="7"/>
        <v>1.349088453747413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0.58327290697674428</v>
      </c>
      <c r="T13" s="62">
        <f>S13/J14*I14</f>
        <v>0.58327290697674428</v>
      </c>
      <c r="U13" s="12"/>
      <c r="V13" s="12"/>
      <c r="W13" s="12"/>
    </row>
    <row r="14" spans="2:23" ht="15.75" customHeight="1">
      <c r="B14" s="201"/>
      <c r="C14" s="12"/>
      <c r="D14" s="214"/>
      <c r="E14" s="12"/>
      <c r="F14" s="582" t="s">
        <v>63</v>
      </c>
      <c r="G14" s="583"/>
      <c r="H14" s="584"/>
      <c r="I14" s="52">
        <f>График!AI29</f>
        <v>26</v>
      </c>
      <c r="J14" s="64">
        <v>26</v>
      </c>
      <c r="K14" s="40">
        <f t="shared" si="5"/>
        <v>1</v>
      </c>
      <c r="L14" s="41">
        <f>I14</f>
        <v>26</v>
      </c>
      <c r="M14" s="208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01"/>
      <c r="C15" s="12"/>
      <c r="D15" s="12"/>
      <c r="E15" s="12"/>
      <c r="F15" s="582" t="s">
        <v>20</v>
      </c>
      <c r="G15" s="583"/>
      <c r="H15" s="584"/>
      <c r="I15" s="75">
        <f>'Ялта, Ленина, 18'!I15</f>
        <v>131612.90322580645</v>
      </c>
      <c r="J15" s="67">
        <f>J8/J14</f>
        <v>66944.38461538461</v>
      </c>
      <c r="K15" s="68">
        <f t="shared" si="5"/>
        <v>0.50864605957767717</v>
      </c>
      <c r="L15" s="72">
        <f t="shared" ref="L15:L19" si="10">J15</f>
        <v>66944.38461538461</v>
      </c>
      <c r="M15" s="215">
        <f t="shared" si="6"/>
        <v>0.50864605957767717</v>
      </c>
      <c r="N15" s="43">
        <f t="shared" si="7"/>
        <v>-64668.518610421845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01"/>
      <c r="C16" s="12"/>
      <c r="D16" s="12"/>
      <c r="E16" s="12"/>
      <c r="F16" s="582" t="s">
        <v>21</v>
      </c>
      <c r="G16" s="583"/>
      <c r="H16" s="584"/>
      <c r="I16" s="75"/>
      <c r="J16" s="67">
        <f>J8-I15*J14</f>
        <v>-1681381.4838709678</v>
      </c>
      <c r="K16" s="68" t="str">
        <f t="shared" si="5"/>
        <v/>
      </c>
      <c r="L16" s="72">
        <f t="shared" si="10"/>
        <v>-1681381.4838709678</v>
      </c>
      <c r="M16" s="216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89" t="s">
        <v>22</v>
      </c>
      <c r="T16" s="589"/>
      <c r="U16" s="12"/>
      <c r="V16" s="12"/>
      <c r="W16" s="12"/>
    </row>
    <row r="17" spans="1:255" ht="15.75" customHeight="1">
      <c r="B17" s="201"/>
      <c r="C17" s="12"/>
      <c r="D17" s="12"/>
      <c r="E17" s="12"/>
      <c r="F17" s="582" t="s">
        <v>23</v>
      </c>
      <c r="G17" s="583"/>
      <c r="H17" s="584"/>
      <c r="I17" s="75">
        <f>'Ялта, Ленина, 18'!I17/График!AJ31*График!AJ29</f>
        <v>626.60364618501012</v>
      </c>
      <c r="J17" s="67">
        <f>I54</f>
        <v>835</v>
      </c>
      <c r="K17" s="68">
        <f t="shared" si="5"/>
        <v>1.3325808189655173</v>
      </c>
      <c r="L17" s="72">
        <f>J17/J14*I14</f>
        <v>835</v>
      </c>
      <c r="M17" s="216">
        <f t="shared" si="6"/>
        <v>1.3325808189655173</v>
      </c>
      <c r="N17" s="43">
        <f t="shared" si="7"/>
        <v>208.39635381498988</v>
      </c>
      <c r="O17" s="71"/>
      <c r="P17" s="43" t="str">
        <f t="shared" si="8"/>
        <v/>
      </c>
      <c r="Q17" s="45" t="str">
        <f t="shared" si="9"/>
        <v/>
      </c>
      <c r="R17" s="21"/>
      <c r="S17" s="589"/>
      <c r="T17" s="589"/>
      <c r="U17" s="12"/>
      <c r="V17" s="12"/>
      <c r="W17" s="12"/>
    </row>
    <row r="18" spans="1:255" ht="15.75" customHeight="1">
      <c r="B18" s="201"/>
      <c r="C18" s="12"/>
      <c r="D18" s="12"/>
      <c r="E18" s="12"/>
      <c r="F18" s="582"/>
      <c r="G18" s="583"/>
      <c r="H18" s="584"/>
      <c r="I18" s="76"/>
      <c r="J18" s="67"/>
      <c r="K18" s="68" t="str">
        <f t="shared" si="5"/>
        <v/>
      </c>
      <c r="L18" s="72">
        <f t="shared" si="10"/>
        <v>0</v>
      </c>
      <c r="M18" s="216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18'!S18*График!AJ29/График!AJ31</f>
        <v>305469.27751519246</v>
      </c>
      <c r="T18" s="60">
        <f>K54</f>
        <v>442387</v>
      </c>
      <c r="U18" s="12"/>
      <c r="V18" s="12"/>
      <c r="W18" s="12"/>
    </row>
    <row r="19" spans="1:255" ht="15.75" customHeight="1">
      <c r="B19" s="201"/>
      <c r="C19" s="12"/>
      <c r="D19" s="12"/>
      <c r="E19" s="12"/>
      <c r="F19" s="582"/>
      <c r="G19" s="583"/>
      <c r="H19" s="584"/>
      <c r="I19" s="76"/>
      <c r="J19" s="67">
        <f>M54</f>
        <v>0</v>
      </c>
      <c r="K19" s="68" t="str">
        <f t="shared" si="5"/>
        <v/>
      </c>
      <c r="L19" s="72">
        <f t="shared" si="10"/>
        <v>0</v>
      </c>
      <c r="M19" s="216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1.4482209261715295</v>
      </c>
      <c r="T19" s="62">
        <f>S19/J14*I14</f>
        <v>1.4482209261715295</v>
      </c>
      <c r="U19" s="12"/>
      <c r="V19" s="12"/>
      <c r="W19" s="12"/>
    </row>
    <row r="20" spans="1:255" ht="15.75" customHeight="1">
      <c r="B20" s="201"/>
      <c r="C20" s="12"/>
      <c r="D20" s="12"/>
      <c r="E20" s="12"/>
      <c r="F20" s="594" t="s">
        <v>24</v>
      </c>
      <c r="G20" s="594"/>
      <c r="H20" s="594"/>
      <c r="I20" s="217">
        <f>'Ялта, Ленина, 18'!I20</f>
        <v>0.25</v>
      </c>
      <c r="J20" s="218">
        <f>N54</f>
        <v>0.18922155688622755</v>
      </c>
      <c r="K20" s="219">
        <f>J20/I20</f>
        <v>0.7568862275449102</v>
      </c>
      <c r="L20" s="220">
        <f>IF(AND(K8&lt;&gt;0,I14&lt;&gt;0,I54&lt;&gt;0),(I54*N54+(I54/K8-I54)*I20)/(I54/K8),0)</f>
        <v>0.1837929900566514</v>
      </c>
      <c r="M20" s="83">
        <f t="shared" si="6"/>
        <v>0.73517196022660558</v>
      </c>
      <c r="N20" s="84">
        <f t="shared" si="7"/>
        <v>-6.6207009943348605E-2</v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255" ht="15.75" customHeight="1">
      <c r="B21" s="20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255" ht="16.5" customHeight="1">
      <c r="B22" s="674" t="s">
        <v>25</v>
      </c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5" t="s">
        <v>26</v>
      </c>
      <c r="P22" s="674" t="s">
        <v>27</v>
      </c>
      <c r="Q22" s="674"/>
      <c r="R22" s="674"/>
      <c r="S22" s="674"/>
      <c r="T22" s="674"/>
      <c r="U22" s="674"/>
      <c r="V22" s="674"/>
      <c r="W22" s="674"/>
    </row>
    <row r="23" spans="1:255" ht="36">
      <c r="B23" s="221" t="s">
        <v>29</v>
      </c>
      <c r="C23" s="221" t="s">
        <v>30</v>
      </c>
      <c r="D23" s="221" t="s">
        <v>31</v>
      </c>
      <c r="E23" s="221" t="s">
        <v>32</v>
      </c>
      <c r="F23" s="221" t="s">
        <v>33</v>
      </c>
      <c r="G23" s="221" t="s">
        <v>34</v>
      </c>
      <c r="H23" s="221" t="s">
        <v>35</v>
      </c>
      <c r="I23" s="221" t="s">
        <v>23</v>
      </c>
      <c r="J23" s="221" t="s">
        <v>36</v>
      </c>
      <c r="K23" s="90" t="s">
        <v>22</v>
      </c>
      <c r="L23" s="90" t="s">
        <v>15</v>
      </c>
      <c r="M23" s="222" t="s">
        <v>37</v>
      </c>
      <c r="N23" s="221" t="s">
        <v>38</v>
      </c>
      <c r="O23" s="675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3" t="s">
        <v>45</v>
      </c>
      <c r="W23" s="223" t="s">
        <v>46</v>
      </c>
      <c r="X23" s="224"/>
    </row>
    <row r="24" spans="1:255">
      <c r="B24" s="225">
        <v>1</v>
      </c>
      <c r="C24" s="226">
        <v>2</v>
      </c>
      <c r="D24" s="225">
        <v>3</v>
      </c>
      <c r="E24" s="225">
        <v>4</v>
      </c>
      <c r="F24" s="225">
        <v>5</v>
      </c>
      <c r="G24" s="225">
        <v>6</v>
      </c>
      <c r="H24" s="225">
        <v>7</v>
      </c>
      <c r="I24" s="225">
        <v>8</v>
      </c>
      <c r="J24" s="225">
        <v>9</v>
      </c>
      <c r="K24" s="225">
        <v>10</v>
      </c>
      <c r="L24" s="225">
        <v>11</v>
      </c>
      <c r="M24" s="225">
        <v>12</v>
      </c>
      <c r="N24" s="225">
        <v>13</v>
      </c>
      <c r="O24" s="675"/>
      <c r="P24" s="227">
        <v>1</v>
      </c>
      <c r="Q24" s="227">
        <v>2</v>
      </c>
      <c r="R24" s="227">
        <v>3</v>
      </c>
      <c r="S24" s="227">
        <v>4</v>
      </c>
      <c r="T24" s="227">
        <v>5</v>
      </c>
      <c r="U24" s="227">
        <v>6</v>
      </c>
      <c r="V24" s="227">
        <v>10</v>
      </c>
      <c r="W24" s="227">
        <v>11</v>
      </c>
    </row>
    <row r="25" spans="1:255">
      <c r="A25" s="95">
        <v>1</v>
      </c>
      <c r="B25" s="96">
        <v>45840</v>
      </c>
      <c r="C25" s="97" t="s">
        <v>50</v>
      </c>
      <c r="D25" s="98">
        <f>40209+12397+32744</f>
        <v>85350</v>
      </c>
      <c r="E25" s="99">
        <v>12</v>
      </c>
      <c r="F25" s="99">
        <f t="shared" ref="F25:F54" si="11">IF(AND(E25&lt;&gt;"",E25&lt;&gt;0),D25/E25,"")</f>
        <v>7112.5</v>
      </c>
      <c r="G25" s="99">
        <v>8</v>
      </c>
      <c r="H25" s="99">
        <f t="shared" ref="H25:H54" si="12">IF(AND(G25&lt;&gt;"",G25&lt;&gt;0),D25/G25,"")</f>
        <v>10668.75</v>
      </c>
      <c r="I25" s="99">
        <v>20</v>
      </c>
      <c r="J25" s="98">
        <f t="shared" ref="J25:J54" si="13">IF(AND(G25&lt;&gt;"",G25&lt;&gt;0),E25/G25,"")</f>
        <v>1.5</v>
      </c>
      <c r="K25" s="99">
        <v>12397</v>
      </c>
      <c r="L25" s="99">
        <v>40209</v>
      </c>
      <c r="M25" s="99"/>
      <c r="N25" s="100">
        <f t="shared" ref="N25:N54" si="14">IF(AND(I25&lt;&gt;"",I25&lt;&gt;0),G25/I25,"")</f>
        <v>0.4</v>
      </c>
      <c r="O25" s="101">
        <f t="shared" ref="O25:O54" si="15">D25/P25</f>
        <v>1.3888130070993916</v>
      </c>
      <c r="P25" s="102">
        <f t="shared" ref="P25:P53" si="16">$I$8*V25*W25/SUMPRODUCT($W$25:$W$55,$V$25:$V$55)</f>
        <v>61455.357606606762</v>
      </c>
      <c r="Q25" s="103">
        <f t="shared" ref="Q25:Q53" si="17">$I$9*V25*W25/SUMPRODUCT($W$25:$W$55,$V$25:$V$55)</f>
        <v>10.242559601101126</v>
      </c>
      <c r="R25" s="103">
        <f t="shared" ref="R25:R53" si="18">IF($I$12="","",Q25/$I$12)</f>
        <v>6.025035059471251</v>
      </c>
      <c r="S25" s="102">
        <f>IF(D25&lt;&gt;"",D25,P25)</f>
        <v>85350</v>
      </c>
      <c r="T25" s="103">
        <f>IF(E25&lt;&gt;"",E25,Q25)</f>
        <v>12</v>
      </c>
      <c r="U25" s="103">
        <f>IF(G25&lt;&gt;"",G25,R25)</f>
        <v>8</v>
      </c>
      <c r="V25" s="104">
        <v>1</v>
      </c>
      <c r="W25" s="104">
        <v>1</v>
      </c>
      <c r="X25" s="105"/>
      <c r="Y25" s="106"/>
    </row>
    <row r="26" spans="1:255">
      <c r="A26" s="95">
        <v>2</v>
      </c>
      <c r="B26" s="96">
        <v>45841</v>
      </c>
      <c r="C26" s="97" t="s">
        <v>52</v>
      </c>
      <c r="D26" s="98">
        <f>11403+24648</f>
        <v>36051</v>
      </c>
      <c r="E26" s="99">
        <v>11</v>
      </c>
      <c r="F26" s="99">
        <f t="shared" si="11"/>
        <v>3277.3636363636365</v>
      </c>
      <c r="G26" s="99">
        <v>6</v>
      </c>
      <c r="H26" s="99">
        <f t="shared" si="12"/>
        <v>6008.5</v>
      </c>
      <c r="I26" s="99">
        <v>20</v>
      </c>
      <c r="J26" s="98">
        <f t="shared" si="13"/>
        <v>1.8333333333333333</v>
      </c>
      <c r="K26" s="99"/>
      <c r="L26" s="99">
        <v>11403</v>
      </c>
      <c r="M26" s="99"/>
      <c r="N26" s="100">
        <f t="shared" si="14"/>
        <v>0.3</v>
      </c>
      <c r="O26" s="101">
        <f t="shared" si="15"/>
        <v>0.58662094574036516</v>
      </c>
      <c r="P26" s="102">
        <f t="shared" si="16"/>
        <v>61455.357606606762</v>
      </c>
      <c r="Q26" s="103">
        <f t="shared" si="17"/>
        <v>10.242559601101126</v>
      </c>
      <c r="R26" s="103">
        <f t="shared" si="18"/>
        <v>6.025035059471251</v>
      </c>
      <c r="S26" s="102">
        <f t="shared" ref="S26:S53" si="19">IF(W26&lt;&gt;"",IF(D26&lt;&gt;"",D26,($I$8-SUM($S$25:S25))*V26*W26/SUMPRODUCT($W26:$W$55,$V26:$V$55)),"")</f>
        <v>36051</v>
      </c>
      <c r="T26" s="103">
        <f t="shared" ref="T26:T34" si="20">IF(W26&lt;&gt;"",IF(E26&lt;&gt;"",E26,($I$9-SUM($T$25:T25))*V26*W26/SUMPRODUCT($W26:$W$55,$V26:$V$55)),"")</f>
        <v>11</v>
      </c>
      <c r="U26" s="103">
        <f t="shared" ref="U26:U53" si="21">IF(W26&lt;&gt;"",IF($I$12&lt;&gt;"",IF(G26&lt;&gt;"",G26,($I$9/$I$12-SUM($U$25:U25))*V26*W26/SUMPRODUCT($W26:$W$55,$V26:$V$55)),""),"")</f>
        <v>6</v>
      </c>
      <c r="V26" s="104">
        <v>1</v>
      </c>
      <c r="W26" s="104">
        <v>1</v>
      </c>
      <c r="X26" s="107"/>
      <c r="Y26" s="106"/>
    </row>
    <row r="27" spans="1:255">
      <c r="A27" s="95">
        <v>3</v>
      </c>
      <c r="B27" s="96">
        <v>45842</v>
      </c>
      <c r="C27" s="97" t="s">
        <v>53</v>
      </c>
      <c r="D27" s="98">
        <f>10503+48680</f>
        <v>59183</v>
      </c>
      <c r="E27" s="99">
        <v>9</v>
      </c>
      <c r="F27" s="99">
        <f t="shared" si="11"/>
        <v>6575.8888888888887</v>
      </c>
      <c r="G27" s="99">
        <v>4</v>
      </c>
      <c r="H27" s="99">
        <f t="shared" si="12"/>
        <v>14795.75</v>
      </c>
      <c r="I27" s="99">
        <v>15</v>
      </c>
      <c r="J27" s="98">
        <f t="shared" si="13"/>
        <v>2.25</v>
      </c>
      <c r="K27" s="99"/>
      <c r="L27" s="99">
        <v>10503</v>
      </c>
      <c r="M27" s="99"/>
      <c r="N27" s="100">
        <f t="shared" si="14"/>
        <v>0.26666666666666666</v>
      </c>
      <c r="O27" s="101">
        <f t="shared" si="15"/>
        <v>0.96302425540906023</v>
      </c>
      <c r="P27" s="102">
        <f t="shared" si="16"/>
        <v>61455.357606606762</v>
      </c>
      <c r="Q27" s="103">
        <f t="shared" si="17"/>
        <v>10.242559601101126</v>
      </c>
      <c r="R27" s="103">
        <f t="shared" si="18"/>
        <v>6.025035059471251</v>
      </c>
      <c r="S27" s="102">
        <f t="shared" si="19"/>
        <v>59183</v>
      </c>
      <c r="T27" s="103">
        <f t="shared" si="20"/>
        <v>9</v>
      </c>
      <c r="U27" s="103">
        <f t="shared" si="21"/>
        <v>4</v>
      </c>
      <c r="V27" s="104">
        <v>1</v>
      </c>
      <c r="W27" s="104">
        <v>1</v>
      </c>
      <c r="X27" s="107"/>
      <c r="Y27" s="109"/>
      <c r="Z27" s="2"/>
      <c r="AA27" s="2"/>
      <c r="AB27" s="2"/>
      <c r="AC27" s="2"/>
      <c r="AD27" s="2"/>
    </row>
    <row r="28" spans="1:255" s="110" customFormat="1">
      <c r="A28" s="95">
        <v>4</v>
      </c>
      <c r="B28" s="96">
        <v>45843</v>
      </c>
      <c r="C28" s="97" t="s">
        <v>54</v>
      </c>
      <c r="D28" s="98">
        <f>20972+6203+31245</f>
        <v>58420</v>
      </c>
      <c r="E28" s="99">
        <v>10</v>
      </c>
      <c r="F28" s="99">
        <f t="shared" si="11"/>
        <v>5842</v>
      </c>
      <c r="G28" s="99">
        <v>6</v>
      </c>
      <c r="H28" s="99">
        <f t="shared" si="12"/>
        <v>9736.6666666666661</v>
      </c>
      <c r="I28" s="99">
        <v>20</v>
      </c>
      <c r="J28" s="98">
        <f t="shared" si="13"/>
        <v>1.6666666666666667</v>
      </c>
      <c r="K28" s="99">
        <v>20972</v>
      </c>
      <c r="L28" s="99">
        <v>6203</v>
      </c>
      <c r="M28" s="99"/>
      <c r="N28" s="100">
        <f t="shared" si="14"/>
        <v>0.3</v>
      </c>
      <c r="O28" s="101">
        <f t="shared" si="15"/>
        <v>0.95060873901284648</v>
      </c>
      <c r="P28" s="102">
        <f t="shared" si="16"/>
        <v>61455.357606606762</v>
      </c>
      <c r="Q28" s="103">
        <f t="shared" si="17"/>
        <v>10.242559601101126</v>
      </c>
      <c r="R28" s="103">
        <f t="shared" si="18"/>
        <v>6.025035059471251</v>
      </c>
      <c r="S28" s="102">
        <f t="shared" si="19"/>
        <v>58420</v>
      </c>
      <c r="T28" s="103">
        <f t="shared" si="20"/>
        <v>10</v>
      </c>
      <c r="U28" s="103">
        <f t="shared" si="21"/>
        <v>6</v>
      </c>
      <c r="V28" s="104">
        <v>1</v>
      </c>
      <c r="W28" s="104">
        <v>1</v>
      </c>
      <c r="X28" s="107"/>
      <c r="Y28" s="106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>
      <c r="A29" s="95">
        <v>5</v>
      </c>
      <c r="B29" s="96">
        <v>45844</v>
      </c>
      <c r="C29" s="97" t="s">
        <v>55</v>
      </c>
      <c r="D29" s="98">
        <f>22992+25706+62588</f>
        <v>111286</v>
      </c>
      <c r="E29" s="99">
        <v>18</v>
      </c>
      <c r="F29" s="99">
        <f t="shared" si="11"/>
        <v>6182.5555555555557</v>
      </c>
      <c r="G29" s="99">
        <v>9</v>
      </c>
      <c r="H29" s="99">
        <f t="shared" si="12"/>
        <v>12365.111111111111</v>
      </c>
      <c r="I29" s="99">
        <v>35</v>
      </c>
      <c r="J29" s="98">
        <f t="shared" si="13"/>
        <v>2</v>
      </c>
      <c r="K29" s="99">
        <v>22992</v>
      </c>
      <c r="L29" s="99">
        <v>25706</v>
      </c>
      <c r="M29" s="99"/>
      <c r="N29" s="100">
        <f t="shared" si="14"/>
        <v>0.25714285714285712</v>
      </c>
      <c r="O29" s="101">
        <f t="shared" si="15"/>
        <v>1.8108429327248141</v>
      </c>
      <c r="P29" s="102">
        <f t="shared" si="16"/>
        <v>61455.357606606762</v>
      </c>
      <c r="Q29" s="103">
        <f t="shared" si="17"/>
        <v>10.242559601101126</v>
      </c>
      <c r="R29" s="103">
        <f t="shared" si="18"/>
        <v>6.025035059471251</v>
      </c>
      <c r="S29" s="102">
        <f t="shared" si="19"/>
        <v>111286</v>
      </c>
      <c r="T29" s="103">
        <f t="shared" si="20"/>
        <v>18</v>
      </c>
      <c r="U29" s="103">
        <f t="shared" si="21"/>
        <v>9</v>
      </c>
      <c r="V29" s="104">
        <v>1</v>
      </c>
      <c r="W29" s="104">
        <v>1</v>
      </c>
      <c r="X29" s="107"/>
      <c r="Y29" s="106"/>
      <c r="Z29" s="2"/>
      <c r="AA29" s="2"/>
      <c r="AB29" s="2"/>
      <c r="AC29" s="2"/>
      <c r="AD29" s="2"/>
    </row>
    <row r="30" spans="1:255">
      <c r="A30" s="95">
        <v>6</v>
      </c>
      <c r="B30" s="96">
        <v>45845</v>
      </c>
      <c r="C30" s="97" t="s">
        <v>56</v>
      </c>
      <c r="D30" s="98">
        <f>38735+10874</f>
        <v>49609</v>
      </c>
      <c r="E30" s="99">
        <v>4</v>
      </c>
      <c r="F30" s="99">
        <f t="shared" si="11"/>
        <v>12402.25</v>
      </c>
      <c r="G30" s="99">
        <v>4</v>
      </c>
      <c r="H30" s="99">
        <f t="shared" si="12"/>
        <v>12402.25</v>
      </c>
      <c r="I30" s="99">
        <v>25</v>
      </c>
      <c r="J30" s="98">
        <f t="shared" si="13"/>
        <v>1</v>
      </c>
      <c r="K30" s="99">
        <v>38735</v>
      </c>
      <c r="L30" s="99"/>
      <c r="M30" s="99"/>
      <c r="N30" s="100">
        <f t="shared" si="14"/>
        <v>0.16</v>
      </c>
      <c r="O30" s="101">
        <f t="shared" si="15"/>
        <v>0.8072363733941853</v>
      </c>
      <c r="P30" s="102">
        <f t="shared" si="16"/>
        <v>61455.357606606762</v>
      </c>
      <c r="Q30" s="103">
        <f t="shared" si="17"/>
        <v>10.242559601101126</v>
      </c>
      <c r="R30" s="103">
        <f t="shared" si="18"/>
        <v>6.025035059471251</v>
      </c>
      <c r="S30" s="102">
        <f t="shared" si="19"/>
        <v>49609</v>
      </c>
      <c r="T30" s="103">
        <f t="shared" si="20"/>
        <v>4</v>
      </c>
      <c r="U30" s="103">
        <f t="shared" si="21"/>
        <v>4</v>
      </c>
      <c r="V30" s="104">
        <v>1</v>
      </c>
      <c r="W30" s="104">
        <v>1</v>
      </c>
      <c r="X30" s="107"/>
      <c r="Y30" s="106"/>
      <c r="Z30" s="2"/>
      <c r="AA30" s="2"/>
      <c r="AB30" s="2"/>
      <c r="AC30" s="2"/>
      <c r="AD30" s="2"/>
    </row>
    <row r="31" spans="1:255">
      <c r="A31" s="95">
        <v>7</v>
      </c>
      <c r="B31" s="96">
        <v>45847</v>
      </c>
      <c r="C31" s="97" t="s">
        <v>50</v>
      </c>
      <c r="D31" s="98">
        <f>10592+22463</f>
        <v>33055</v>
      </c>
      <c r="E31" s="99">
        <v>6</v>
      </c>
      <c r="F31" s="99">
        <f t="shared" si="11"/>
        <v>5509.166666666667</v>
      </c>
      <c r="G31" s="99">
        <v>5</v>
      </c>
      <c r="H31" s="99">
        <f t="shared" si="12"/>
        <v>6611</v>
      </c>
      <c r="I31" s="99">
        <v>25</v>
      </c>
      <c r="J31" s="98">
        <f t="shared" si="13"/>
        <v>1.2</v>
      </c>
      <c r="K31" s="99">
        <v>10592</v>
      </c>
      <c r="L31" s="99"/>
      <c r="M31" s="99"/>
      <c r="N31" s="100">
        <f t="shared" si="14"/>
        <v>0.2</v>
      </c>
      <c r="O31" s="101">
        <f t="shared" si="15"/>
        <v>0.53787011071670043</v>
      </c>
      <c r="P31" s="102">
        <f t="shared" si="16"/>
        <v>61455.357606606762</v>
      </c>
      <c r="Q31" s="103">
        <f t="shared" si="17"/>
        <v>10.242559601101126</v>
      </c>
      <c r="R31" s="103">
        <f t="shared" si="18"/>
        <v>6.025035059471251</v>
      </c>
      <c r="S31" s="102">
        <f t="shared" si="19"/>
        <v>33055</v>
      </c>
      <c r="T31" s="103">
        <f t="shared" si="20"/>
        <v>6</v>
      </c>
      <c r="U31" s="103">
        <f t="shared" si="21"/>
        <v>5</v>
      </c>
      <c r="V31" s="104">
        <v>1</v>
      </c>
      <c r="W31" s="104">
        <v>1</v>
      </c>
      <c r="X31" s="107"/>
      <c r="Y31" s="106"/>
    </row>
    <row r="32" spans="1:255">
      <c r="A32" s="95">
        <v>8</v>
      </c>
      <c r="B32" s="96">
        <v>45848</v>
      </c>
      <c r="C32" s="97" t="s">
        <v>52</v>
      </c>
      <c r="D32" s="98">
        <f>75897+10491+24903</f>
        <v>111291</v>
      </c>
      <c r="E32" s="99">
        <v>16</v>
      </c>
      <c r="F32" s="99">
        <f t="shared" si="11"/>
        <v>6955.6875</v>
      </c>
      <c r="G32" s="99">
        <v>7</v>
      </c>
      <c r="H32" s="99">
        <f t="shared" si="12"/>
        <v>15898.714285714286</v>
      </c>
      <c r="I32" s="99">
        <v>35</v>
      </c>
      <c r="J32" s="98">
        <f t="shared" si="13"/>
        <v>2.2857142857142856</v>
      </c>
      <c r="K32" s="3">
        <v>10491</v>
      </c>
      <c r="L32" s="99">
        <v>24903</v>
      </c>
      <c r="M32" s="99"/>
      <c r="N32" s="100">
        <f t="shared" si="14"/>
        <v>0.2</v>
      </c>
      <c r="O32" s="101">
        <f t="shared" si="15"/>
        <v>1.8109242925963489</v>
      </c>
      <c r="P32" s="102">
        <f t="shared" si="16"/>
        <v>61455.357606606762</v>
      </c>
      <c r="Q32" s="103">
        <f t="shared" si="17"/>
        <v>10.242559601101126</v>
      </c>
      <c r="R32" s="103">
        <f t="shared" si="18"/>
        <v>6.025035059471251</v>
      </c>
      <c r="S32" s="102">
        <f t="shared" si="19"/>
        <v>111291</v>
      </c>
      <c r="T32" s="103">
        <f t="shared" si="20"/>
        <v>16</v>
      </c>
      <c r="U32" s="103">
        <f t="shared" si="21"/>
        <v>7</v>
      </c>
      <c r="V32" s="104">
        <v>1</v>
      </c>
      <c r="W32" s="104">
        <v>1</v>
      </c>
      <c r="X32" s="107"/>
      <c r="Y32" s="106"/>
    </row>
    <row r="33" spans="1:30">
      <c r="A33" s="95">
        <v>9</v>
      </c>
      <c r="B33" s="96">
        <v>45849</v>
      </c>
      <c r="C33" s="97" t="s">
        <v>53</v>
      </c>
      <c r="D33" s="98">
        <f>24990+14959</f>
        <v>39949</v>
      </c>
      <c r="E33" s="99">
        <v>5</v>
      </c>
      <c r="F33" s="99">
        <f t="shared" si="11"/>
        <v>7989.8</v>
      </c>
      <c r="G33" s="99">
        <v>4</v>
      </c>
      <c r="H33" s="99">
        <f t="shared" si="12"/>
        <v>9987.25</v>
      </c>
      <c r="I33" s="99">
        <v>30</v>
      </c>
      <c r="J33" s="98">
        <f t="shared" si="13"/>
        <v>1.25</v>
      </c>
      <c r="K33" s="99">
        <v>24990</v>
      </c>
      <c r="L33" s="99"/>
      <c r="M33" s="99"/>
      <c r="N33" s="100">
        <f t="shared" si="14"/>
        <v>0.13333333333333333</v>
      </c>
      <c r="O33" s="101">
        <f t="shared" si="15"/>
        <v>0.65004910158891138</v>
      </c>
      <c r="P33" s="102">
        <f t="shared" si="16"/>
        <v>61455.357606606762</v>
      </c>
      <c r="Q33" s="103">
        <f t="shared" si="17"/>
        <v>10.242559601101126</v>
      </c>
      <c r="R33" s="103">
        <f t="shared" si="18"/>
        <v>6.025035059471251</v>
      </c>
      <c r="S33" s="102">
        <f t="shared" si="19"/>
        <v>39949</v>
      </c>
      <c r="T33" s="103">
        <f t="shared" si="20"/>
        <v>5</v>
      </c>
      <c r="U33" s="103">
        <f t="shared" si="21"/>
        <v>4</v>
      </c>
      <c r="V33" s="104">
        <v>1</v>
      </c>
      <c r="W33" s="104">
        <v>1</v>
      </c>
      <c r="X33" s="107"/>
      <c r="Y33" s="106"/>
      <c r="Z33" s="2"/>
      <c r="AA33" s="2"/>
      <c r="AB33" s="2"/>
      <c r="AC33" s="2"/>
      <c r="AD33" s="2"/>
    </row>
    <row r="34" spans="1:30">
      <c r="A34" s="95">
        <v>10</v>
      </c>
      <c r="B34" s="96">
        <v>45850</v>
      </c>
      <c r="C34" s="97" t="s">
        <v>54</v>
      </c>
      <c r="D34" s="98">
        <f>57567+72793</f>
        <v>130360</v>
      </c>
      <c r="E34" s="99">
        <v>17</v>
      </c>
      <c r="F34" s="99">
        <f t="shared" si="11"/>
        <v>7668.2352941176468</v>
      </c>
      <c r="G34" s="99">
        <v>5</v>
      </c>
      <c r="H34" s="99">
        <f t="shared" si="12"/>
        <v>26072</v>
      </c>
      <c r="I34" s="99">
        <v>30</v>
      </c>
      <c r="J34" s="98">
        <f t="shared" si="13"/>
        <v>3.4</v>
      </c>
      <c r="K34" s="99">
        <v>57567</v>
      </c>
      <c r="L34" s="99"/>
      <c r="M34" s="99"/>
      <c r="N34" s="100">
        <f t="shared" si="14"/>
        <v>0.16666666666666666</v>
      </c>
      <c r="O34" s="101">
        <f t="shared" si="15"/>
        <v>2.1212145706558485</v>
      </c>
      <c r="P34" s="102">
        <f t="shared" si="16"/>
        <v>61455.357606606762</v>
      </c>
      <c r="Q34" s="103">
        <f t="shared" si="17"/>
        <v>10.242559601101126</v>
      </c>
      <c r="R34" s="103">
        <f t="shared" si="18"/>
        <v>6.025035059471251</v>
      </c>
      <c r="S34" s="102">
        <f t="shared" si="19"/>
        <v>130360</v>
      </c>
      <c r="T34" s="103">
        <f t="shared" si="20"/>
        <v>17</v>
      </c>
      <c r="U34" s="103">
        <f t="shared" si="21"/>
        <v>5</v>
      </c>
      <c r="V34" s="104">
        <v>1</v>
      </c>
      <c r="W34" s="104">
        <v>1</v>
      </c>
      <c r="X34" s="107"/>
      <c r="Y34" s="106"/>
      <c r="Z34" s="2"/>
      <c r="AA34" s="2"/>
      <c r="AB34" s="2"/>
      <c r="AC34" s="2"/>
      <c r="AD34" s="2"/>
    </row>
    <row r="35" spans="1:30">
      <c r="A35" s="95">
        <v>11</v>
      </c>
      <c r="B35" s="96">
        <v>45851</v>
      </c>
      <c r="C35" s="97" t="s">
        <v>55</v>
      </c>
      <c r="D35" s="98">
        <v>27565</v>
      </c>
      <c r="E35" s="97">
        <v>5</v>
      </c>
      <c r="F35" s="99">
        <f t="shared" si="11"/>
        <v>5513</v>
      </c>
      <c r="G35" s="99">
        <v>5</v>
      </c>
      <c r="H35" s="99">
        <f t="shared" si="12"/>
        <v>5513</v>
      </c>
      <c r="I35" s="99">
        <v>35</v>
      </c>
      <c r="J35" s="98">
        <f t="shared" si="13"/>
        <v>1</v>
      </c>
      <c r="K35" s="99"/>
      <c r="L35" s="99"/>
      <c r="M35" s="99"/>
      <c r="N35" s="100">
        <f t="shared" si="14"/>
        <v>0.14285714285714285</v>
      </c>
      <c r="O35" s="101">
        <f t="shared" si="15"/>
        <v>0.44853697177146723</v>
      </c>
      <c r="P35" s="102">
        <f t="shared" si="16"/>
        <v>61455.357606606762</v>
      </c>
      <c r="Q35" s="103">
        <f t="shared" si="17"/>
        <v>10.242559601101126</v>
      </c>
      <c r="R35" s="103">
        <f t="shared" si="18"/>
        <v>6.025035059471251</v>
      </c>
      <c r="S35" s="102">
        <f t="shared" si="19"/>
        <v>27565</v>
      </c>
      <c r="T35" s="103">
        <f>IF(W35&lt;&gt;"",IF(E34&lt;&gt;"",E34,($I$9-SUM($T$25:T34))*V35*W35/SUMPRODUCT($W35:$W$55,$V35:$V$55)),"")</f>
        <v>17</v>
      </c>
      <c r="U35" s="103">
        <f t="shared" si="21"/>
        <v>5</v>
      </c>
      <c r="V35" s="104">
        <v>1</v>
      </c>
      <c r="W35" s="104">
        <v>1</v>
      </c>
      <c r="X35" s="107"/>
      <c r="Y35" s="106"/>
      <c r="Z35" s="2"/>
      <c r="AA35" s="2"/>
      <c r="AB35" s="2"/>
      <c r="AC35" s="2"/>
      <c r="AD35" s="2"/>
    </row>
    <row r="36" spans="1:30" ht="15.25" customHeight="1">
      <c r="A36" s="95">
        <v>12</v>
      </c>
      <c r="B36" s="96">
        <v>45852</v>
      </c>
      <c r="C36" s="97" t="s">
        <v>56</v>
      </c>
      <c r="D36" s="98">
        <f>14185+8902+71171</f>
        <v>94258</v>
      </c>
      <c r="E36" s="99">
        <v>17</v>
      </c>
      <c r="F36" s="99">
        <v>5544</v>
      </c>
      <c r="G36" s="99">
        <v>12</v>
      </c>
      <c r="H36" s="99">
        <f t="shared" si="12"/>
        <v>7854.833333333333</v>
      </c>
      <c r="I36" s="99">
        <v>45</v>
      </c>
      <c r="J36" s="98">
        <f t="shared" si="13"/>
        <v>1.4166666666666667</v>
      </c>
      <c r="K36" s="99">
        <v>14185</v>
      </c>
      <c r="L36" s="99">
        <v>8902</v>
      </c>
      <c r="M36" s="99"/>
      <c r="N36" s="100">
        <f t="shared" si="14"/>
        <v>0.26666666666666666</v>
      </c>
      <c r="O36" s="101">
        <f t="shared" si="15"/>
        <v>1.5337637542258282</v>
      </c>
      <c r="P36" s="102">
        <f t="shared" si="16"/>
        <v>61455.357606606762</v>
      </c>
      <c r="Q36" s="103">
        <f t="shared" si="17"/>
        <v>10.242559601101126</v>
      </c>
      <c r="R36" s="103">
        <f t="shared" si="18"/>
        <v>6.025035059471251</v>
      </c>
      <c r="S36" s="102">
        <f t="shared" si="19"/>
        <v>94258</v>
      </c>
      <c r="T36" s="103">
        <f t="shared" ref="T36:T53" si="22">IF(W36&lt;&gt;"",IF(E36&lt;&gt;"",E36,($I$9-SUM($T$25:T35))*V36*W36/SUMPRODUCT($W36:$W$55,$V36:$V$55)),"")</f>
        <v>17</v>
      </c>
      <c r="U36" s="103">
        <f t="shared" si="21"/>
        <v>12</v>
      </c>
      <c r="V36" s="104">
        <v>1</v>
      </c>
      <c r="W36" s="104">
        <v>1</v>
      </c>
      <c r="X36" s="107"/>
      <c r="Y36" s="106"/>
      <c r="Z36" s="2"/>
      <c r="AA36" s="2"/>
      <c r="AB36" s="2"/>
      <c r="AC36" s="2"/>
      <c r="AD36" s="2"/>
    </row>
    <row r="37" spans="1:30">
      <c r="A37" s="95">
        <v>13</v>
      </c>
      <c r="B37" s="96">
        <v>45853</v>
      </c>
      <c r="C37" s="97" t="s">
        <v>48</v>
      </c>
      <c r="D37" s="98">
        <f>109909+15666</f>
        <v>125575</v>
      </c>
      <c r="E37" s="99">
        <v>11</v>
      </c>
      <c r="F37" s="99">
        <f t="shared" si="11"/>
        <v>11415.90909090909</v>
      </c>
      <c r="G37" s="99">
        <v>4</v>
      </c>
      <c r="H37" s="99">
        <f t="shared" si="12"/>
        <v>31393.75</v>
      </c>
      <c r="I37" s="99">
        <v>35</v>
      </c>
      <c r="J37" s="98">
        <f t="shared" si="13"/>
        <v>2.75</v>
      </c>
      <c r="K37" s="99">
        <v>109909</v>
      </c>
      <c r="L37" s="99"/>
      <c r="M37" s="99"/>
      <c r="N37" s="100">
        <f t="shared" si="14"/>
        <v>0.11428571428571428</v>
      </c>
      <c r="O37" s="101">
        <f t="shared" si="15"/>
        <v>2.043353173597025</v>
      </c>
      <c r="P37" s="102">
        <f t="shared" si="16"/>
        <v>61455.357606606762</v>
      </c>
      <c r="Q37" s="103">
        <f t="shared" si="17"/>
        <v>10.242559601101126</v>
      </c>
      <c r="R37" s="103">
        <f t="shared" si="18"/>
        <v>6.025035059471251</v>
      </c>
      <c r="S37" s="102">
        <f t="shared" si="19"/>
        <v>125575</v>
      </c>
      <c r="T37" s="103">
        <f t="shared" si="22"/>
        <v>11</v>
      </c>
      <c r="U37" s="103">
        <f t="shared" si="21"/>
        <v>4</v>
      </c>
      <c r="V37" s="104">
        <v>1</v>
      </c>
      <c r="W37" s="104">
        <v>1</v>
      </c>
      <c r="X37" s="107"/>
      <c r="Y37" s="106"/>
      <c r="Z37" s="2"/>
      <c r="AA37" s="2"/>
      <c r="AB37" s="2"/>
      <c r="AC37" s="2"/>
      <c r="AD37" s="2"/>
    </row>
    <row r="38" spans="1:30">
      <c r="A38" s="95">
        <v>14</v>
      </c>
      <c r="B38" s="96">
        <v>45855</v>
      </c>
      <c r="C38" s="97" t="s">
        <v>52</v>
      </c>
      <c r="D38" s="98">
        <f>8202+27484+32345</f>
        <v>68031</v>
      </c>
      <c r="E38" s="99">
        <v>10</v>
      </c>
      <c r="F38" s="99">
        <f t="shared" si="11"/>
        <v>6803.1</v>
      </c>
      <c r="G38" s="99">
        <v>7</v>
      </c>
      <c r="H38" s="99">
        <f t="shared" si="12"/>
        <v>9718.7142857142862</v>
      </c>
      <c r="I38" s="99">
        <v>35</v>
      </c>
      <c r="J38" s="98">
        <f t="shared" si="13"/>
        <v>1.4285714285714286</v>
      </c>
      <c r="K38" s="99">
        <v>27484</v>
      </c>
      <c r="L38" s="99">
        <v>8202</v>
      </c>
      <c r="M38" s="99"/>
      <c r="N38" s="100">
        <f t="shared" si="14"/>
        <v>0.2</v>
      </c>
      <c r="O38" s="101">
        <f t="shared" si="15"/>
        <v>1.1069986840770791</v>
      </c>
      <c r="P38" s="102">
        <f t="shared" si="16"/>
        <v>61455.357606606762</v>
      </c>
      <c r="Q38" s="103">
        <f t="shared" si="17"/>
        <v>10.242559601101126</v>
      </c>
      <c r="R38" s="103">
        <f t="shared" si="18"/>
        <v>6.025035059471251</v>
      </c>
      <c r="S38" s="102">
        <f t="shared" si="19"/>
        <v>68031</v>
      </c>
      <c r="T38" s="103">
        <f t="shared" si="22"/>
        <v>10</v>
      </c>
      <c r="U38" s="103">
        <f t="shared" si="21"/>
        <v>7</v>
      </c>
      <c r="V38" s="104">
        <v>1</v>
      </c>
      <c r="W38" s="104">
        <v>1</v>
      </c>
      <c r="X38" s="107"/>
      <c r="Y38" s="106"/>
      <c r="Z38" s="2"/>
      <c r="AA38" s="2"/>
      <c r="AB38" s="2"/>
      <c r="AC38" s="2"/>
      <c r="AD38" s="2"/>
    </row>
    <row r="39" spans="1:30">
      <c r="A39" s="95">
        <v>13</v>
      </c>
      <c r="B39" s="96">
        <v>45856</v>
      </c>
      <c r="C39" s="97" t="s">
        <v>53</v>
      </c>
      <c r="D39" s="98">
        <f>691+48602</f>
        <v>49293</v>
      </c>
      <c r="E39" s="108">
        <v>12</v>
      </c>
      <c r="F39" s="99">
        <f t="shared" si="11"/>
        <v>4107.75</v>
      </c>
      <c r="G39" s="108">
        <v>6</v>
      </c>
      <c r="H39" s="99">
        <f t="shared" si="12"/>
        <v>8215.5</v>
      </c>
      <c r="I39" s="108">
        <v>40</v>
      </c>
      <c r="J39" s="98">
        <f t="shared" si="13"/>
        <v>2</v>
      </c>
      <c r="K39" s="99"/>
      <c r="L39" s="99">
        <v>691</v>
      </c>
      <c r="M39" s="108"/>
      <c r="N39" s="100">
        <f t="shared" si="14"/>
        <v>0.15</v>
      </c>
      <c r="O39" s="101">
        <f t="shared" si="15"/>
        <v>0.80209442951318455</v>
      </c>
      <c r="P39" s="102">
        <f t="shared" si="16"/>
        <v>61455.357606606762</v>
      </c>
      <c r="Q39" s="103">
        <f t="shared" si="17"/>
        <v>10.242559601101126</v>
      </c>
      <c r="R39" s="103">
        <f t="shared" si="18"/>
        <v>6.025035059471251</v>
      </c>
      <c r="S39" s="102">
        <f t="shared" si="19"/>
        <v>49293</v>
      </c>
      <c r="T39" s="103">
        <f t="shared" si="22"/>
        <v>12</v>
      </c>
      <c r="U39" s="103">
        <f t="shared" si="21"/>
        <v>6</v>
      </c>
      <c r="V39" s="104">
        <v>1</v>
      </c>
      <c r="W39" s="104">
        <v>1</v>
      </c>
      <c r="X39" s="107"/>
      <c r="Y39" s="106"/>
      <c r="Z39" s="2"/>
      <c r="AA39" s="2"/>
      <c r="AB39" s="2"/>
      <c r="AC39" s="2"/>
      <c r="AD39" s="2"/>
    </row>
    <row r="40" spans="1:30">
      <c r="A40" s="95">
        <v>13</v>
      </c>
      <c r="B40" s="96">
        <v>45857</v>
      </c>
      <c r="C40" s="97" t="s">
        <v>54</v>
      </c>
      <c r="D40" s="98">
        <f>18483+9108</f>
        <v>27591</v>
      </c>
      <c r="E40" s="99">
        <v>6</v>
      </c>
      <c r="F40" s="99">
        <f t="shared" si="11"/>
        <v>4598.5</v>
      </c>
      <c r="G40" s="99">
        <v>5</v>
      </c>
      <c r="H40" s="99">
        <f t="shared" si="12"/>
        <v>5518.2</v>
      </c>
      <c r="I40" s="99">
        <v>30</v>
      </c>
      <c r="J40" s="98">
        <f t="shared" si="13"/>
        <v>1.2</v>
      </c>
      <c r="K40" s="99">
        <v>18483</v>
      </c>
      <c r="L40" s="99"/>
      <c r="M40" s="99"/>
      <c r="N40" s="228">
        <f t="shared" si="14"/>
        <v>0.16666666666666666</v>
      </c>
      <c r="O40" s="101">
        <f t="shared" si="15"/>
        <v>0.44896004310344828</v>
      </c>
      <c r="P40" s="102">
        <f t="shared" si="16"/>
        <v>61455.357606606762</v>
      </c>
      <c r="Q40" s="103">
        <f t="shared" si="17"/>
        <v>10.242559601101126</v>
      </c>
      <c r="R40" s="103">
        <f t="shared" si="18"/>
        <v>6.025035059471251</v>
      </c>
      <c r="S40" s="102">
        <f t="shared" si="19"/>
        <v>27591</v>
      </c>
      <c r="T40" s="103">
        <f t="shared" si="22"/>
        <v>6</v>
      </c>
      <c r="U40" s="103">
        <f t="shared" si="21"/>
        <v>5</v>
      </c>
      <c r="V40" s="104">
        <v>1</v>
      </c>
      <c r="W40" s="104">
        <v>1</v>
      </c>
      <c r="X40" s="107"/>
      <c r="Y40" s="106"/>
      <c r="Z40" s="2"/>
      <c r="AA40" s="2"/>
      <c r="AB40" s="2"/>
      <c r="AC40" s="2"/>
      <c r="AD40" s="2"/>
    </row>
    <row r="41" spans="1:30">
      <c r="A41" s="95">
        <v>17</v>
      </c>
      <c r="B41" s="96">
        <v>45858</v>
      </c>
      <c r="C41" s="97" t="s">
        <v>55</v>
      </c>
      <c r="D41" s="98">
        <v>48809</v>
      </c>
      <c r="E41" s="99">
        <v>12</v>
      </c>
      <c r="F41" s="99">
        <f t="shared" si="11"/>
        <v>4067.4166666666665</v>
      </c>
      <c r="G41" s="99">
        <v>5</v>
      </c>
      <c r="H41" s="99">
        <f t="shared" si="12"/>
        <v>9761.7999999999993</v>
      </c>
      <c r="I41" s="99">
        <v>25</v>
      </c>
      <c r="J41" s="98">
        <f t="shared" si="13"/>
        <v>2.4</v>
      </c>
      <c r="K41" s="99"/>
      <c r="L41" s="99"/>
      <c r="M41" s="99"/>
      <c r="N41" s="100">
        <f t="shared" si="14"/>
        <v>0.2</v>
      </c>
      <c r="O41" s="101">
        <f t="shared" si="15"/>
        <v>0.79421879394861394</v>
      </c>
      <c r="P41" s="102">
        <f t="shared" si="16"/>
        <v>61455.357606606762</v>
      </c>
      <c r="Q41" s="103">
        <f t="shared" si="17"/>
        <v>10.242559601101126</v>
      </c>
      <c r="R41" s="103">
        <f t="shared" si="18"/>
        <v>6.025035059471251</v>
      </c>
      <c r="S41" s="102">
        <f t="shared" si="19"/>
        <v>48809</v>
      </c>
      <c r="T41" s="103">
        <f t="shared" si="22"/>
        <v>12</v>
      </c>
      <c r="U41" s="103">
        <f t="shared" si="21"/>
        <v>5</v>
      </c>
      <c r="V41" s="104">
        <v>1</v>
      </c>
      <c r="W41" s="104">
        <v>1</v>
      </c>
      <c r="X41" s="107"/>
      <c r="Y41" s="106"/>
      <c r="Z41" s="2"/>
      <c r="AA41" s="2"/>
      <c r="AB41" s="2"/>
      <c r="AC41" s="2"/>
      <c r="AD41" s="2"/>
    </row>
    <row r="42" spans="1:30">
      <c r="A42" s="95">
        <v>18</v>
      </c>
      <c r="B42" s="96">
        <v>45859</v>
      </c>
      <c r="C42" s="97" t="s">
        <v>56</v>
      </c>
      <c r="D42" s="98">
        <f>54657+81821</f>
        <v>136478</v>
      </c>
      <c r="E42" s="99">
        <v>23</v>
      </c>
      <c r="F42" s="99">
        <f t="shared" si="11"/>
        <v>5933.826086956522</v>
      </c>
      <c r="G42" s="99">
        <v>11</v>
      </c>
      <c r="H42" s="99">
        <f t="shared" si="12"/>
        <v>12407.09090909091</v>
      </c>
      <c r="I42" s="99">
        <v>40</v>
      </c>
      <c r="J42" s="98">
        <f t="shared" si="13"/>
        <v>2.0909090909090908</v>
      </c>
      <c r="K42" s="99">
        <v>54657</v>
      </c>
      <c r="L42" s="99"/>
      <c r="M42" s="99"/>
      <c r="N42" s="100">
        <f t="shared" si="14"/>
        <v>0.27500000000000002</v>
      </c>
      <c r="O42" s="101">
        <f t="shared" si="15"/>
        <v>2.2207665094658555</v>
      </c>
      <c r="P42" s="102">
        <f t="shared" si="16"/>
        <v>61455.357606606762</v>
      </c>
      <c r="Q42" s="103">
        <f t="shared" si="17"/>
        <v>10.242559601101126</v>
      </c>
      <c r="R42" s="103">
        <f t="shared" si="18"/>
        <v>6.025035059471251</v>
      </c>
      <c r="S42" s="102">
        <f t="shared" si="19"/>
        <v>136478</v>
      </c>
      <c r="T42" s="103">
        <f t="shared" si="22"/>
        <v>23</v>
      </c>
      <c r="U42" s="103">
        <f t="shared" si="21"/>
        <v>11</v>
      </c>
      <c r="V42" s="104">
        <v>1</v>
      </c>
      <c r="W42" s="104">
        <v>1</v>
      </c>
      <c r="X42" s="107"/>
      <c r="Y42" s="106"/>
      <c r="Z42" s="111"/>
      <c r="AA42" s="2"/>
      <c r="AB42" s="2"/>
      <c r="AC42" s="2"/>
      <c r="AD42" s="2"/>
    </row>
    <row r="43" spans="1:30">
      <c r="A43" s="95">
        <v>19</v>
      </c>
      <c r="B43" s="96">
        <v>45860</v>
      </c>
      <c r="C43" s="97" t="s">
        <v>48</v>
      </c>
      <c r="D43" s="98">
        <v>11679</v>
      </c>
      <c r="E43" s="99">
        <v>3</v>
      </c>
      <c r="F43" s="99">
        <f t="shared" si="11"/>
        <v>3893</v>
      </c>
      <c r="G43" s="99">
        <v>3</v>
      </c>
      <c r="H43" s="99">
        <f t="shared" si="12"/>
        <v>3893</v>
      </c>
      <c r="I43" s="99">
        <v>20</v>
      </c>
      <c r="J43" s="98">
        <f t="shared" si="13"/>
        <v>1</v>
      </c>
      <c r="K43" s="99"/>
      <c r="L43" s="99"/>
      <c r="M43" s="99"/>
      <c r="N43" s="100">
        <f t="shared" si="14"/>
        <v>0.15</v>
      </c>
      <c r="O43" s="101">
        <f t="shared" si="15"/>
        <v>0.19004038793103448</v>
      </c>
      <c r="P43" s="102">
        <f t="shared" si="16"/>
        <v>61455.357606606762</v>
      </c>
      <c r="Q43" s="103">
        <f t="shared" si="17"/>
        <v>10.242559601101126</v>
      </c>
      <c r="R43" s="103">
        <f t="shared" si="18"/>
        <v>6.025035059471251</v>
      </c>
      <c r="S43" s="102">
        <f t="shared" si="19"/>
        <v>11679</v>
      </c>
      <c r="T43" s="103">
        <f t="shared" si="22"/>
        <v>3</v>
      </c>
      <c r="U43" s="103">
        <f t="shared" si="21"/>
        <v>3</v>
      </c>
      <c r="V43" s="104">
        <v>1</v>
      </c>
      <c r="W43" s="104">
        <v>1</v>
      </c>
      <c r="X43" s="107"/>
      <c r="Y43" s="106"/>
      <c r="Z43" s="111"/>
      <c r="AA43" s="2"/>
      <c r="AB43" s="2"/>
      <c r="AC43" s="2"/>
      <c r="AD43" s="2"/>
    </row>
    <row r="44" spans="1:30">
      <c r="A44" s="95">
        <v>20</v>
      </c>
      <c r="B44" s="96">
        <v>45861</v>
      </c>
      <c r="C44" s="97" t="s">
        <v>50</v>
      </c>
      <c r="D44" s="98">
        <f>12242+22959</f>
        <v>35201</v>
      </c>
      <c r="E44" s="99">
        <v>6</v>
      </c>
      <c r="F44" s="99">
        <f t="shared" si="11"/>
        <v>5866.833333333333</v>
      </c>
      <c r="G44" s="99">
        <v>3</v>
      </c>
      <c r="H44" s="99">
        <f t="shared" si="12"/>
        <v>11733.666666666666</v>
      </c>
      <c r="I44" s="99">
        <v>20</v>
      </c>
      <c r="J44" s="98">
        <f t="shared" si="13"/>
        <v>2</v>
      </c>
      <c r="K44" s="99">
        <v>12242</v>
      </c>
      <c r="L44" s="99"/>
      <c r="M44" s="99"/>
      <c r="N44" s="100">
        <f t="shared" si="14"/>
        <v>0.15</v>
      </c>
      <c r="O44" s="101">
        <f t="shared" si="15"/>
        <v>0.57278976757944555</v>
      </c>
      <c r="P44" s="102">
        <f t="shared" si="16"/>
        <v>61455.357606606762</v>
      </c>
      <c r="Q44" s="103">
        <f t="shared" si="17"/>
        <v>10.242559601101126</v>
      </c>
      <c r="R44" s="103">
        <f t="shared" si="18"/>
        <v>6.025035059471251</v>
      </c>
      <c r="S44" s="102">
        <f t="shared" si="19"/>
        <v>35201</v>
      </c>
      <c r="T44" s="103">
        <f t="shared" si="22"/>
        <v>6</v>
      </c>
      <c r="U44" s="103">
        <f t="shared" si="21"/>
        <v>3</v>
      </c>
      <c r="V44" s="104">
        <v>1</v>
      </c>
      <c r="W44" s="104">
        <v>1</v>
      </c>
      <c r="X44" s="107"/>
      <c r="Y44" s="106"/>
      <c r="Z44" s="111"/>
      <c r="AA44" s="2"/>
      <c r="AB44" s="2"/>
      <c r="AC44" s="2"/>
      <c r="AD44" s="2"/>
    </row>
    <row r="45" spans="1:30">
      <c r="A45" s="95">
        <v>21</v>
      </c>
      <c r="B45" s="96">
        <v>45862</v>
      </c>
      <c r="C45" s="97" t="s">
        <v>52</v>
      </c>
      <c r="D45" s="98">
        <v>45216</v>
      </c>
      <c r="E45" s="99">
        <v>10</v>
      </c>
      <c r="F45" s="99">
        <f t="shared" si="11"/>
        <v>4521.6000000000004</v>
      </c>
      <c r="G45" s="99">
        <v>3</v>
      </c>
      <c r="H45" s="99">
        <f t="shared" si="12"/>
        <v>15072</v>
      </c>
      <c r="I45" s="99">
        <v>20</v>
      </c>
      <c r="J45" s="98">
        <f t="shared" si="13"/>
        <v>3.3333333333333335</v>
      </c>
      <c r="K45" s="99"/>
      <c r="L45" s="99"/>
      <c r="M45" s="99"/>
      <c r="N45" s="100">
        <f t="shared" si="14"/>
        <v>0.15</v>
      </c>
      <c r="O45" s="101">
        <f t="shared" si="15"/>
        <v>0.73575359026369169</v>
      </c>
      <c r="P45" s="102">
        <f t="shared" si="16"/>
        <v>61455.357606606762</v>
      </c>
      <c r="Q45" s="103">
        <f t="shared" si="17"/>
        <v>10.242559601101126</v>
      </c>
      <c r="R45" s="103">
        <f t="shared" si="18"/>
        <v>6.025035059471251</v>
      </c>
      <c r="S45" s="102">
        <f t="shared" si="19"/>
        <v>45216</v>
      </c>
      <c r="T45" s="103">
        <f t="shared" si="22"/>
        <v>10</v>
      </c>
      <c r="U45" s="103">
        <f t="shared" si="21"/>
        <v>3</v>
      </c>
      <c r="V45" s="104">
        <v>1</v>
      </c>
      <c r="W45" s="104">
        <v>1</v>
      </c>
      <c r="X45" s="107"/>
      <c r="Y45" s="106"/>
      <c r="Z45" s="111"/>
    </row>
    <row r="46" spans="1:30">
      <c r="A46" s="95">
        <v>22</v>
      </c>
      <c r="B46" s="96">
        <v>45863</v>
      </c>
      <c r="C46" s="97" t="s">
        <v>53</v>
      </c>
      <c r="D46" s="98">
        <v>23761</v>
      </c>
      <c r="E46" s="99">
        <v>5</v>
      </c>
      <c r="F46" s="99">
        <f t="shared" si="11"/>
        <v>4752.2</v>
      </c>
      <c r="G46" s="99">
        <v>3</v>
      </c>
      <c r="H46" s="99">
        <f t="shared" si="12"/>
        <v>7920.333333333333</v>
      </c>
      <c r="I46" s="99">
        <v>35</v>
      </c>
      <c r="J46" s="98">
        <f t="shared" si="13"/>
        <v>1.6666666666666667</v>
      </c>
      <c r="K46" s="99"/>
      <c r="L46" s="99"/>
      <c r="M46" s="99"/>
      <c r="N46" s="100">
        <f t="shared" si="14"/>
        <v>8.5714285714285715E-2</v>
      </c>
      <c r="O46" s="101">
        <f t="shared" si="15"/>
        <v>0.38663838150777552</v>
      </c>
      <c r="P46" s="102">
        <f t="shared" si="16"/>
        <v>61455.357606606762</v>
      </c>
      <c r="Q46" s="103">
        <f t="shared" si="17"/>
        <v>10.242559601101126</v>
      </c>
      <c r="R46" s="103">
        <f t="shared" si="18"/>
        <v>6.025035059471251</v>
      </c>
      <c r="S46" s="102">
        <f t="shared" si="19"/>
        <v>23761</v>
      </c>
      <c r="T46" s="103">
        <f t="shared" si="22"/>
        <v>5</v>
      </c>
      <c r="U46" s="103">
        <f t="shared" si="21"/>
        <v>3</v>
      </c>
      <c r="V46" s="104">
        <v>1</v>
      </c>
      <c r="W46" s="104">
        <v>1</v>
      </c>
      <c r="X46" s="107"/>
      <c r="Y46" s="106"/>
      <c r="Z46" s="111"/>
      <c r="AA46" s="2"/>
      <c r="AB46" s="2"/>
      <c r="AC46" s="2"/>
      <c r="AD46" s="2"/>
    </row>
    <row r="47" spans="1:30">
      <c r="A47" s="95">
        <v>23</v>
      </c>
      <c r="B47" s="96">
        <v>45864</v>
      </c>
      <c r="C47" s="97" t="s">
        <v>54</v>
      </c>
      <c r="D47" s="98">
        <f>8903+43351</f>
        <v>52254</v>
      </c>
      <c r="E47" s="99">
        <v>12</v>
      </c>
      <c r="F47" s="99">
        <f t="shared" si="11"/>
        <v>4354.5</v>
      </c>
      <c r="G47" s="99">
        <v>5</v>
      </c>
      <c r="H47" s="99">
        <f t="shared" si="12"/>
        <v>10450.799999999999</v>
      </c>
      <c r="I47" s="99">
        <v>35</v>
      </c>
      <c r="J47" s="98">
        <f t="shared" si="13"/>
        <v>2.4</v>
      </c>
      <c r="K47" s="99"/>
      <c r="L47" s="99">
        <v>8903</v>
      </c>
      <c r="M47" s="99"/>
      <c r="N47" s="100">
        <f t="shared" si="14"/>
        <v>0.14285714285714285</v>
      </c>
      <c r="O47" s="101">
        <f t="shared" si="15"/>
        <v>0.85027574543610551</v>
      </c>
      <c r="P47" s="102">
        <f t="shared" si="16"/>
        <v>61455.357606606762</v>
      </c>
      <c r="Q47" s="103">
        <f t="shared" si="17"/>
        <v>10.242559601101126</v>
      </c>
      <c r="R47" s="103">
        <f t="shared" si="18"/>
        <v>6.025035059471251</v>
      </c>
      <c r="S47" s="102">
        <f t="shared" si="19"/>
        <v>52254</v>
      </c>
      <c r="T47" s="103">
        <f t="shared" si="22"/>
        <v>12</v>
      </c>
      <c r="U47" s="103">
        <f t="shared" si="21"/>
        <v>5</v>
      </c>
      <c r="V47" s="104">
        <v>1</v>
      </c>
      <c r="W47" s="104">
        <v>1</v>
      </c>
      <c r="X47" s="107"/>
      <c r="Y47" s="106"/>
      <c r="Z47" s="111"/>
      <c r="AA47" s="2"/>
      <c r="AB47" s="2"/>
      <c r="AC47" s="2"/>
      <c r="AD47" s="2"/>
    </row>
    <row r="48" spans="1:30">
      <c r="A48" s="95">
        <v>24</v>
      </c>
      <c r="B48" s="96">
        <v>45865</v>
      </c>
      <c r="C48" s="97" t="s">
        <v>55</v>
      </c>
      <c r="D48" s="98">
        <f>36025+6691+80758</f>
        <v>123474</v>
      </c>
      <c r="E48" s="99">
        <v>24</v>
      </c>
      <c r="F48" s="99">
        <f t="shared" si="11"/>
        <v>5144.75</v>
      </c>
      <c r="G48" s="99">
        <v>12</v>
      </c>
      <c r="H48" s="99">
        <f t="shared" si="12"/>
        <v>10289.5</v>
      </c>
      <c r="I48" s="99">
        <v>70</v>
      </c>
      <c r="J48" s="98">
        <f t="shared" si="13"/>
        <v>2</v>
      </c>
      <c r="K48" s="99">
        <v>6691</v>
      </c>
      <c r="L48" s="99">
        <v>36025</v>
      </c>
      <c r="M48" s="99"/>
      <c r="N48" s="100">
        <f t="shared" si="14"/>
        <v>0.17142857142857143</v>
      </c>
      <c r="O48" s="101">
        <f t="shared" si="15"/>
        <v>2.0091657555780933</v>
      </c>
      <c r="P48" s="102">
        <f t="shared" si="16"/>
        <v>61455.357606606762</v>
      </c>
      <c r="Q48" s="103">
        <f t="shared" si="17"/>
        <v>10.242559601101126</v>
      </c>
      <c r="R48" s="103">
        <f t="shared" si="18"/>
        <v>6.025035059471251</v>
      </c>
      <c r="S48" s="102">
        <f t="shared" si="19"/>
        <v>123474</v>
      </c>
      <c r="T48" s="103">
        <f t="shared" si="22"/>
        <v>24</v>
      </c>
      <c r="U48" s="103">
        <f t="shared" si="21"/>
        <v>12</v>
      </c>
      <c r="V48" s="104">
        <v>1</v>
      </c>
      <c r="W48" s="104">
        <v>1</v>
      </c>
      <c r="X48" s="107"/>
      <c r="Y48" s="106"/>
      <c r="Z48" s="111"/>
      <c r="AA48" s="2"/>
      <c r="AB48" s="2"/>
      <c r="AC48" s="2"/>
      <c r="AD48" s="2"/>
    </row>
    <row r="49" spans="1:30">
      <c r="A49" s="95">
        <v>25</v>
      </c>
      <c r="B49" s="96">
        <v>45866</v>
      </c>
      <c r="C49" s="97" t="s">
        <v>56</v>
      </c>
      <c r="D49" s="98">
        <f>14796+83533</f>
        <v>98329</v>
      </c>
      <c r="E49" s="99">
        <v>21</v>
      </c>
      <c r="F49" s="108">
        <f t="shared" si="11"/>
        <v>4682.333333333333</v>
      </c>
      <c r="G49" s="99">
        <v>9</v>
      </c>
      <c r="H49" s="99">
        <f t="shared" si="12"/>
        <v>10925.444444444445</v>
      </c>
      <c r="I49" s="99">
        <v>60</v>
      </c>
      <c r="J49" s="98">
        <f t="shared" si="13"/>
        <v>2.3333333333333335</v>
      </c>
      <c r="K49" s="99"/>
      <c r="L49" s="99">
        <v>14796</v>
      </c>
      <c r="M49" s="99"/>
      <c r="N49" s="100">
        <f t="shared" si="14"/>
        <v>0.15</v>
      </c>
      <c r="O49" s="101">
        <f t="shared" si="15"/>
        <v>1.6000069616294794</v>
      </c>
      <c r="P49" s="102">
        <f t="shared" si="16"/>
        <v>61455.357606606762</v>
      </c>
      <c r="Q49" s="103">
        <f t="shared" si="17"/>
        <v>10.242559601101126</v>
      </c>
      <c r="R49" s="103">
        <f t="shared" si="18"/>
        <v>6.025035059471251</v>
      </c>
      <c r="S49" s="102">
        <f t="shared" si="19"/>
        <v>98329</v>
      </c>
      <c r="T49" s="103">
        <f t="shared" si="22"/>
        <v>21</v>
      </c>
      <c r="U49" s="103">
        <f t="shared" si="21"/>
        <v>9</v>
      </c>
      <c r="V49" s="104">
        <v>1</v>
      </c>
      <c r="W49" s="104">
        <v>1</v>
      </c>
      <c r="X49" s="107"/>
      <c r="Y49" s="106"/>
      <c r="Z49" s="111"/>
      <c r="AA49" s="2"/>
      <c r="AB49" s="2"/>
      <c r="AC49" s="2"/>
      <c r="AD49" s="2"/>
    </row>
    <row r="50" spans="1:30">
      <c r="A50" s="95">
        <v>26</v>
      </c>
      <c r="B50" s="96">
        <v>45867</v>
      </c>
      <c r="C50" s="97" t="s">
        <v>48</v>
      </c>
      <c r="D50" s="98">
        <v>58486</v>
      </c>
      <c r="E50" s="99">
        <v>14</v>
      </c>
      <c r="F50" s="99">
        <f t="shared" si="11"/>
        <v>4177.5714285714284</v>
      </c>
      <c r="G50" s="99">
        <v>7</v>
      </c>
      <c r="H50" s="99">
        <f t="shared" si="12"/>
        <v>8355.1428571428569</v>
      </c>
      <c r="I50" s="99">
        <v>35</v>
      </c>
      <c r="J50" s="98">
        <f t="shared" si="13"/>
        <v>2</v>
      </c>
      <c r="K50" s="99"/>
      <c r="L50" s="99"/>
      <c r="M50" s="99"/>
      <c r="N50" s="100">
        <f t="shared" si="14"/>
        <v>0.2</v>
      </c>
      <c r="O50" s="101">
        <f t="shared" si="15"/>
        <v>0.9516826893171062</v>
      </c>
      <c r="P50" s="102">
        <f t="shared" si="16"/>
        <v>61455.357606606762</v>
      </c>
      <c r="Q50" s="103">
        <f t="shared" si="17"/>
        <v>10.242559601101126</v>
      </c>
      <c r="R50" s="103">
        <f t="shared" si="18"/>
        <v>6.025035059471251</v>
      </c>
      <c r="S50" s="102">
        <f t="shared" si="19"/>
        <v>58486</v>
      </c>
      <c r="T50" s="103">
        <f t="shared" si="22"/>
        <v>14</v>
      </c>
      <c r="U50" s="103">
        <f t="shared" si="21"/>
        <v>7</v>
      </c>
      <c r="V50" s="104">
        <v>1</v>
      </c>
      <c r="W50" s="104">
        <v>1</v>
      </c>
      <c r="X50" s="107"/>
      <c r="Y50" s="106"/>
      <c r="Z50" s="111"/>
      <c r="AA50" s="2"/>
      <c r="AB50" s="2"/>
      <c r="AC50" s="2"/>
      <c r="AD50" s="2"/>
    </row>
    <row r="51" spans="1:30">
      <c r="A51" s="95">
        <v>27</v>
      </c>
      <c r="B51" s="96"/>
      <c r="C51" s="97"/>
      <c r="D51" s="98"/>
      <c r="E51" s="99"/>
      <c r="F51" s="99" t="str">
        <f t="shared" si="11"/>
        <v/>
      </c>
      <c r="G51" s="99"/>
      <c r="H51" s="99" t="str">
        <f t="shared" si="12"/>
        <v/>
      </c>
      <c r="I51" s="99"/>
      <c r="J51" s="98" t="str">
        <f t="shared" si="13"/>
        <v/>
      </c>
      <c r="K51" s="99"/>
      <c r="L51" s="99"/>
      <c r="M51" s="99"/>
      <c r="N51" s="100" t="str">
        <f t="shared" si="14"/>
        <v/>
      </c>
      <c r="O51" s="101" t="e">
        <f t="shared" si="15"/>
        <v>#DIV/0!</v>
      </c>
      <c r="P51" s="102">
        <f t="shared" si="16"/>
        <v>0</v>
      </c>
      <c r="Q51" s="103">
        <f t="shared" si="17"/>
        <v>0</v>
      </c>
      <c r="R51" s="103">
        <f t="shared" si="18"/>
        <v>0</v>
      </c>
      <c r="S51" s="102" t="str">
        <f t="shared" si="19"/>
        <v/>
      </c>
      <c r="T51" s="103" t="str">
        <f t="shared" si="22"/>
        <v/>
      </c>
      <c r="U51" s="103" t="str">
        <f t="shared" si="21"/>
        <v/>
      </c>
      <c r="V51" s="104"/>
      <c r="W51" s="104"/>
      <c r="X51" s="107"/>
      <c r="Y51" s="106"/>
      <c r="Z51" s="111"/>
      <c r="AA51" s="2"/>
      <c r="AB51" s="2"/>
      <c r="AC51" s="2"/>
      <c r="AD51" s="2"/>
    </row>
    <row r="52" spans="1:30">
      <c r="A52" s="95">
        <v>28</v>
      </c>
      <c r="B52" s="96"/>
      <c r="C52" s="97"/>
      <c r="D52" s="98"/>
      <c r="E52" s="99"/>
      <c r="F52" s="99" t="str">
        <f t="shared" si="11"/>
        <v/>
      </c>
      <c r="G52" s="99"/>
      <c r="H52" s="99" t="str">
        <f t="shared" si="12"/>
        <v/>
      </c>
      <c r="I52" s="99"/>
      <c r="J52" s="98" t="str">
        <f t="shared" si="13"/>
        <v/>
      </c>
      <c r="K52" s="99"/>
      <c r="L52" s="99"/>
      <c r="M52" s="99"/>
      <c r="N52" s="100" t="str">
        <f t="shared" si="14"/>
        <v/>
      </c>
      <c r="O52" s="101" t="e">
        <f t="shared" si="15"/>
        <v>#DIV/0!</v>
      </c>
      <c r="P52" s="102">
        <f t="shared" si="16"/>
        <v>0</v>
      </c>
      <c r="Q52" s="103">
        <f t="shared" si="17"/>
        <v>0</v>
      </c>
      <c r="R52" s="103">
        <f t="shared" si="18"/>
        <v>0</v>
      </c>
      <c r="S52" s="102" t="str">
        <f t="shared" si="19"/>
        <v/>
      </c>
      <c r="T52" s="103" t="str">
        <f t="shared" si="22"/>
        <v/>
      </c>
      <c r="U52" s="103" t="str">
        <f t="shared" si="21"/>
        <v/>
      </c>
      <c r="V52" s="104"/>
      <c r="W52" s="104"/>
      <c r="X52" s="107"/>
      <c r="Y52" s="106"/>
      <c r="Z52" s="111"/>
      <c r="AA52" s="2"/>
      <c r="AB52" s="2"/>
      <c r="AC52" s="2"/>
      <c r="AD52" s="2"/>
    </row>
    <row r="53" spans="1:30" ht="15" customHeight="1">
      <c r="A53" s="95">
        <v>29</v>
      </c>
      <c r="B53" s="96"/>
      <c r="C53" s="97"/>
      <c r="D53" s="98"/>
      <c r="E53" s="99"/>
      <c r="F53" s="99" t="str">
        <f t="shared" si="11"/>
        <v/>
      </c>
      <c r="G53" s="99"/>
      <c r="H53" s="99" t="str">
        <f t="shared" si="12"/>
        <v/>
      </c>
      <c r="I53" s="99"/>
      <c r="J53" s="98" t="str">
        <f t="shared" si="13"/>
        <v/>
      </c>
      <c r="K53" s="99"/>
      <c r="L53" s="99"/>
      <c r="M53" s="99"/>
      <c r="N53" s="100" t="str">
        <f t="shared" si="14"/>
        <v/>
      </c>
      <c r="O53" s="101" t="e">
        <f t="shared" si="15"/>
        <v>#DIV/0!</v>
      </c>
      <c r="P53" s="102">
        <f t="shared" si="16"/>
        <v>0</v>
      </c>
      <c r="Q53" s="103">
        <f t="shared" si="17"/>
        <v>0</v>
      </c>
      <c r="R53" s="103">
        <f t="shared" si="18"/>
        <v>0</v>
      </c>
      <c r="S53" s="102" t="str">
        <f t="shared" si="19"/>
        <v/>
      </c>
      <c r="T53" s="103" t="str">
        <f t="shared" si="22"/>
        <v/>
      </c>
      <c r="U53" s="103" t="str">
        <f t="shared" si="21"/>
        <v/>
      </c>
      <c r="V53" s="104"/>
      <c r="W53" s="104"/>
      <c r="X53" s="107"/>
      <c r="Y53" s="106"/>
      <c r="Z53" s="111"/>
      <c r="AA53" s="2"/>
      <c r="AB53" s="2"/>
      <c r="AC53" s="2"/>
      <c r="AD53" s="2"/>
    </row>
    <row r="54" spans="1:30" ht="15" customHeight="1">
      <c r="B54" s="592" t="s">
        <v>60</v>
      </c>
      <c r="C54" s="592"/>
      <c r="D54" s="114">
        <f>SUM(D25:D53)</f>
        <v>1740554</v>
      </c>
      <c r="E54" s="114">
        <f>SUM(E25:E53)</f>
        <v>299</v>
      </c>
      <c r="F54" s="114">
        <f t="shared" si="11"/>
        <v>5821.2508361204009</v>
      </c>
      <c r="G54" s="114">
        <f>SUM(G25:G53)</f>
        <v>158</v>
      </c>
      <c r="H54" s="114">
        <f t="shared" si="12"/>
        <v>11016.164556962025</v>
      </c>
      <c r="I54" s="114">
        <f>SUM(I25:I53)</f>
        <v>835</v>
      </c>
      <c r="J54" s="113">
        <f t="shared" si="13"/>
        <v>1.8924050632911393</v>
      </c>
      <c r="K54" s="114">
        <f>SUM(K25:K51)</f>
        <v>442387</v>
      </c>
      <c r="L54" s="114">
        <f>SUM(L25:L51)</f>
        <v>196446</v>
      </c>
      <c r="M54" s="114">
        <f>SUM(M25:M51)</f>
        <v>0</v>
      </c>
      <c r="N54" s="115">
        <f t="shared" si="14"/>
        <v>0.18922155688622755</v>
      </c>
      <c r="O54" s="116">
        <f t="shared" si="15"/>
        <v>1.0893173064570651</v>
      </c>
      <c r="P54" s="117">
        <f>SUM(P25:P53)</f>
        <v>1597839.2977717763</v>
      </c>
      <c r="Q54" s="117">
        <f>SUM(Q25:Q52)</f>
        <v>266.30654962862934</v>
      </c>
      <c r="R54" s="117">
        <f>SUM(R25:R52)</f>
        <v>156.65091154625259</v>
      </c>
      <c r="S54" s="117">
        <f>SUM(S25:S53)</f>
        <v>1740554</v>
      </c>
      <c r="T54" s="117">
        <f>SUM(T25:T52)</f>
        <v>311</v>
      </c>
      <c r="U54" s="117">
        <f>SUM(U25:U52)</f>
        <v>158</v>
      </c>
      <c r="V54" s="118"/>
      <c r="W54" s="118"/>
    </row>
    <row r="55" spans="1:30">
      <c r="B55" s="120"/>
      <c r="C55" s="121"/>
      <c r="D55" s="122">
        <f>SUMIF(D25:D51,"",P25:P51)+D54</f>
        <v>1740554</v>
      </c>
      <c r="E55" s="123"/>
      <c r="F55" s="121"/>
      <c r="G55" s="121"/>
      <c r="H55" s="124"/>
      <c r="I55" s="229"/>
      <c r="J55" s="124"/>
      <c r="L55" s="126"/>
      <c r="M55" s="123"/>
      <c r="N55" s="126"/>
      <c r="O55" s="126"/>
      <c r="P55" s="126"/>
      <c r="Q55" s="127"/>
    </row>
    <row r="56" spans="1:30">
      <c r="D56" s="128"/>
    </row>
    <row r="57" spans="1:30">
      <c r="D57" s="128"/>
    </row>
    <row r="58" spans="1:30">
      <c r="D58" s="224"/>
    </row>
    <row r="59" spans="1:30">
      <c r="D59" s="224"/>
    </row>
  </sheetData>
  <mergeCells count="28">
    <mergeCell ref="P22:W22"/>
    <mergeCell ref="B54:C54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211" priority="1788" operator="greaterThan">
      <formula>0</formula>
    </cfRule>
    <cfRule type="cellIs" dxfId="210" priority="1787" operator="lessThan">
      <formula>0</formula>
    </cfRule>
  </conditionalFormatting>
  <conditionalFormatting sqref="J25:J53">
    <cfRule type="cellIs" dxfId="209" priority="10" operator="lessThan">
      <formula>$I$12</formula>
    </cfRule>
    <cfRule type="cellIs" dxfId="208" priority="11" operator="greaterThan">
      <formula>$I$12</formula>
    </cfRule>
  </conditionalFormatting>
  <conditionalFormatting sqref="J39:J40">
    <cfRule type="cellIs" dxfId="207" priority="1806" operator="lessThan">
      <formula>$I$12</formula>
    </cfRule>
  </conditionalFormatting>
  <conditionalFormatting sqref="K10:K12 K15">
    <cfRule type="cellIs" dxfId="206" priority="1786" operator="greaterThan">
      <formula>1</formula>
    </cfRule>
    <cfRule type="cellIs" dxfId="205" priority="1785" operator="lessThan">
      <formula>1</formula>
    </cfRule>
  </conditionalFormatting>
  <conditionalFormatting sqref="K13">
    <cfRule type="cellIs" dxfId="204" priority="1435" operator="lessThan">
      <formula>$K$14</formula>
    </cfRule>
    <cfRule type="cellIs" dxfId="203" priority="1436" operator="greaterThan">
      <formula>$K$14</formula>
    </cfRule>
  </conditionalFormatting>
  <conditionalFormatting sqref="M8:M15">
    <cfRule type="cellIs" dxfId="202" priority="1803" operator="lessThan">
      <formula>1</formula>
    </cfRule>
    <cfRule type="cellIs" dxfId="201" priority="1784" operator="greaterThan">
      <formula>1</formula>
    </cfRule>
  </conditionalFormatting>
  <conditionalFormatting sqref="N25:N38">
    <cfRule type="cellIs" dxfId="200" priority="7" operator="between">
      <formula>0.2</formula>
      <formula>0.25</formula>
    </cfRule>
    <cfRule type="cellIs" dxfId="199" priority="8" operator="greaterThanOrEqual">
      <formula>0.25</formula>
    </cfRule>
  </conditionalFormatting>
  <conditionalFormatting sqref="N25:N53">
    <cfRule type="cellIs" dxfId="198" priority="9" operator="lessThan">
      <formula>0.2</formula>
    </cfRule>
  </conditionalFormatting>
  <conditionalFormatting sqref="N39:N40">
    <cfRule type="cellIs" dxfId="197" priority="1812" operator="between">
      <formula>0.2</formula>
      <formula>0.25</formula>
    </cfRule>
  </conditionalFormatting>
  <conditionalFormatting sqref="N39:N53">
    <cfRule type="cellIs" dxfId="196" priority="30" operator="greaterThanOrEqual">
      <formula>0.25</formula>
    </cfRule>
  </conditionalFormatting>
  <conditionalFormatting sqref="N41:N53">
    <cfRule type="cellIs" dxfId="195" priority="29" operator="between">
      <formula>0.2</formula>
      <formula>0.25</formula>
    </cfRule>
  </conditionalFormatting>
  <conditionalFormatting sqref="O25:O38">
    <cfRule type="cellIs" dxfId="194" priority="1" operator="between">
      <formula>0.9001</formula>
      <formula>0.9999</formula>
    </cfRule>
    <cfRule type="cellIs" dxfId="193" priority="6" operator="between">
      <formula>0.01</formula>
      <formula>0.99</formula>
    </cfRule>
    <cfRule type="cellIs" dxfId="192" priority="5" operator="between">
      <formula>0.85</formula>
      <formula>1</formula>
    </cfRule>
    <cfRule type="cellIs" dxfId="191" priority="2" operator="lessThan">
      <formula>0.9</formula>
    </cfRule>
  </conditionalFormatting>
  <conditionalFormatting sqref="O25:O53">
    <cfRule type="cellIs" dxfId="190" priority="4" operator="greaterThan">
      <formula>100</formula>
    </cfRule>
    <cfRule type="cellIs" dxfId="189" priority="3" operator="greaterThan">
      <formula>1</formula>
    </cfRule>
  </conditionalFormatting>
  <conditionalFormatting sqref="O39:O40">
    <cfRule type="cellIs" dxfId="188" priority="1816" operator="between">
      <formula>0.85</formula>
      <formula>1</formula>
    </cfRule>
    <cfRule type="cellIs" dxfId="187" priority="1822" operator="lessThan">
      <formula>0.9</formula>
    </cfRule>
    <cfRule type="cellIs" dxfId="186" priority="1824" operator="between">
      <formula>0.9001</formula>
      <formula>0.9999</formula>
    </cfRule>
  </conditionalFormatting>
  <conditionalFormatting sqref="O39:O53">
    <cfRule type="cellIs" dxfId="185" priority="28" operator="between">
      <formula>0.01</formula>
      <formula>0.99</formula>
    </cfRule>
  </conditionalFormatting>
  <conditionalFormatting sqref="O41:O53">
    <cfRule type="cellIs" dxfId="184" priority="27" operator="between">
      <formula>0.85</formula>
      <formula>1</formula>
    </cfRule>
    <cfRule type="cellIs" dxfId="183" priority="24" operator="lessThan">
      <formula>0.9</formula>
    </cfRule>
    <cfRule type="cellIs" dxfId="182" priority="23" operator="between">
      <formula>0.9001</formula>
      <formula>0.9999</formula>
    </cfRule>
  </conditionalFormatting>
  <conditionalFormatting sqref="P10:Q10">
    <cfRule type="cellIs" dxfId="181" priority="1799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U55"/>
  <sheetViews>
    <sheetView showZeros="0" tabSelected="1" zoomScale="116" workbookViewId="0">
      <pane xSplit="2" topLeftCell="C1" activePane="topRight" state="frozen"/>
      <selection activeCell="A6" sqref="A6"/>
      <selection pane="topRight" activeCell="X45" sqref="X45"/>
    </sheetView>
  </sheetViews>
  <sheetFormatPr baseColWidth="10" defaultColWidth="9.1640625" defaultRowHeight="15"/>
  <cols>
    <col min="1" max="1" width="4.1640625" style="230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3" ht="15.75" customHeight="1">
      <c r="B1" s="655">
        <f ca="1">TODAY()-1</f>
        <v>45879</v>
      </c>
      <c r="C1" s="655"/>
      <c r="D1" s="11"/>
      <c r="E1" s="11"/>
      <c r="F1" s="12"/>
      <c r="G1" s="12"/>
      <c r="H1" s="12"/>
      <c r="I1" s="12"/>
      <c r="J1" s="198"/>
      <c r="K1" s="198"/>
      <c r="L1" s="198"/>
      <c r="M1" s="198"/>
      <c r="N1" s="198"/>
      <c r="O1" s="198"/>
      <c r="P1" s="198"/>
      <c r="Q1" s="656"/>
      <c r="R1" s="656"/>
      <c r="S1" s="656"/>
      <c r="T1" s="656"/>
      <c r="U1" s="12"/>
      <c r="V1" s="12"/>
      <c r="W1" s="12"/>
    </row>
    <row r="2" spans="2:23" ht="21.75" customHeight="1">
      <c r="B2" s="657" t="s">
        <v>0</v>
      </c>
      <c r="C2" s="657"/>
      <c r="D2" s="11"/>
      <c r="E2" s="11"/>
      <c r="F2" s="12"/>
      <c r="G2" s="12"/>
      <c r="H2" s="12"/>
      <c r="I2" s="12"/>
      <c r="J2" s="658" t="s">
        <v>66</v>
      </c>
      <c r="K2" s="658"/>
      <c r="L2" s="658"/>
      <c r="M2" s="658"/>
      <c r="N2" s="658"/>
      <c r="O2" s="658"/>
      <c r="P2" s="658"/>
      <c r="Q2" s="656"/>
      <c r="R2" s="656"/>
      <c r="S2" s="656"/>
      <c r="T2" s="656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59" t="str">
        <f>График!B28</f>
        <v>Уразгильдеева Екатерина</v>
      </c>
      <c r="K3" s="660"/>
      <c r="L3" s="660"/>
      <c r="M3" s="660"/>
      <c r="N3" s="661"/>
      <c r="O3" s="198"/>
      <c r="P3" s="199"/>
      <c r="Q3" s="656"/>
      <c r="R3" s="656"/>
      <c r="S3" s="656"/>
      <c r="T3" s="656"/>
      <c r="U3" s="12"/>
      <c r="V3" s="12"/>
      <c r="W3" s="12"/>
    </row>
    <row r="4" spans="2:23" ht="15" customHeight="1">
      <c r="B4" s="11"/>
      <c r="C4" s="665">
        <f>I8-D50</f>
        <v>606373.51924375421</v>
      </c>
      <c r="D4" s="666"/>
      <c r="E4" s="200">
        <f>IF(I8&lt;&gt;0, C4/I8, 0)</f>
        <v>0.43073902670657305</v>
      </c>
      <c r="F4" s="12"/>
      <c r="G4" s="12"/>
      <c r="H4" s="12"/>
      <c r="I4" s="12"/>
      <c r="J4" s="662"/>
      <c r="K4" s="663"/>
      <c r="L4" s="663"/>
      <c r="M4" s="663"/>
      <c r="N4" s="664"/>
      <c r="O4" s="12"/>
      <c r="P4" s="12"/>
      <c r="Q4" s="656"/>
      <c r="R4" s="656"/>
      <c r="S4" s="656"/>
      <c r="T4" s="656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7"/>
      <c r="K5" s="667"/>
      <c r="L5" s="667"/>
      <c r="M5" s="667"/>
      <c r="N5" s="667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1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1"/>
      <c r="C7" s="12"/>
      <c r="D7" s="12"/>
      <c r="E7" s="12"/>
      <c r="F7" s="574" t="s">
        <v>3</v>
      </c>
      <c r="G7" s="575"/>
      <c r="H7" s="576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77" t="s">
        <v>11</v>
      </c>
      <c r="Q7" s="578"/>
      <c r="R7" s="21"/>
      <c r="S7" s="21"/>
      <c r="T7" s="12"/>
      <c r="U7" s="12"/>
      <c r="V7" s="12"/>
      <c r="W7" s="12"/>
    </row>
    <row r="8" spans="2:23" ht="15.75" customHeight="1">
      <c r="B8" s="201"/>
      <c r="C8" s="12"/>
      <c r="D8" s="12"/>
      <c r="E8" s="12"/>
      <c r="F8" s="579" t="s">
        <v>12</v>
      </c>
      <c r="G8" s="580"/>
      <c r="H8" s="581"/>
      <c r="I8" s="202">
        <f>'Ялта, Ленина, 18'!I8/График!AJ31*График!AJ28</f>
        <v>1407751.5192437542</v>
      </c>
      <c r="J8" s="203">
        <f>D50</f>
        <v>801378</v>
      </c>
      <c r="K8" s="204">
        <f>J8/I8</f>
        <v>0.56926097329342695</v>
      </c>
      <c r="L8" s="205">
        <f>IF(SUMIF($D$25:$D$49,"&gt;=0",$P$25:$P$49)&lt;&gt;0,I8*D50/SUMIF($D$25:$D$49,"&gt;=0",$P$25:$P$49),0)</f>
        <v>801377.99999999953</v>
      </c>
      <c r="M8" s="42">
        <f t="shared" ref="M8:M20" si="0">IF(AND(I8&lt;&gt;"",I8&lt;&gt;0,L8&lt;&gt;"",L8&lt;&gt;0),L8/I8,"")</f>
        <v>0.56926097329342662</v>
      </c>
      <c r="N8" s="35">
        <f t="shared" ref="N8:N20" si="1">IF(AND(J8&lt;&gt;0, J8&lt;&gt;"", I8&lt;&gt;0, I8&lt;&gt;""), L8-I8, "")</f>
        <v>-606373.51924375468</v>
      </c>
      <c r="O8" s="34"/>
      <c r="P8" s="35" t="str">
        <f t="shared" ref="P8:P20" si="2">IF(AND(O8&lt;&gt;"", O8&lt;&gt;0, L8&lt;&gt;"", L8&lt;&gt;0), -O8+L8, "")</f>
        <v/>
      </c>
      <c r="Q8" s="36" t="str">
        <f t="shared" ref="Q8:Q20" si="3">IF(AND(P8&lt;&gt;"", P8&lt;&gt;0, O8&lt;&gt;0, O8&lt;&gt;""), P8/O8, "")</f>
        <v/>
      </c>
      <c r="R8" s="21"/>
      <c r="S8" s="37"/>
      <c r="T8" s="12"/>
      <c r="U8" s="12"/>
      <c r="V8" s="12"/>
      <c r="W8" s="12"/>
    </row>
    <row r="9" spans="2:23" ht="15.75" customHeight="1">
      <c r="B9" s="201"/>
      <c r="C9" s="12"/>
      <c r="D9" s="12"/>
      <c r="E9" s="12"/>
      <c r="F9" s="582" t="s">
        <v>13</v>
      </c>
      <c r="G9" s="583"/>
      <c r="H9" s="584"/>
      <c r="I9" s="38">
        <f>I8/I11</f>
        <v>234.62525320729236</v>
      </c>
      <c r="J9" s="39">
        <f>E50</f>
        <v>155</v>
      </c>
      <c r="K9" s="40">
        <f t="shared" ref="K9:K19" si="4">IF(AND(I9&lt;&gt;"", I9&lt;&gt;0, J9&lt;&gt;""), J9/I9, "")</f>
        <v>0.66062794981006101</v>
      </c>
      <c r="L9" s="207">
        <f>J9</f>
        <v>155</v>
      </c>
      <c r="M9" s="42">
        <f t="shared" si="0"/>
        <v>0.66062794981006101</v>
      </c>
      <c r="N9" s="43">
        <f t="shared" si="1"/>
        <v>-79.62525320729236</v>
      </c>
      <c r="O9" s="44" t="e">
        <f>O8/O11</f>
        <v>#DIV/0!</v>
      </c>
      <c r="P9" s="43" t="e">
        <f t="shared" si="2"/>
        <v>#DIV/0!</v>
      </c>
      <c r="Q9" s="45" t="e">
        <f t="shared" si="3"/>
        <v>#DIV/0!</v>
      </c>
      <c r="R9" s="21"/>
      <c r="S9" s="37"/>
      <c r="T9" s="12"/>
      <c r="U9" s="12"/>
      <c r="V9" s="12"/>
      <c r="W9" s="12"/>
    </row>
    <row r="10" spans="2:23" ht="15.75" customHeight="1">
      <c r="B10" s="201"/>
      <c r="C10" s="12"/>
      <c r="D10" s="12"/>
      <c r="E10" s="12"/>
      <c r="F10" s="579" t="s">
        <v>14</v>
      </c>
      <c r="G10" s="580"/>
      <c r="H10" s="581"/>
      <c r="I10" s="50">
        <f>I11*I12</f>
        <v>10200</v>
      </c>
      <c r="J10" s="209">
        <f>H50</f>
        <v>8013.78</v>
      </c>
      <c r="K10" s="47">
        <f t="shared" si="4"/>
        <v>0.78566470588235293</v>
      </c>
      <c r="L10" s="207">
        <f t="shared" ref="L10:L19" si="5">J10</f>
        <v>8013.78</v>
      </c>
      <c r="M10" s="48">
        <f t="shared" si="0"/>
        <v>0.78566470588235293</v>
      </c>
      <c r="N10" s="49">
        <f t="shared" si="1"/>
        <v>-2186.2200000000003</v>
      </c>
      <c r="O10" s="50">
        <f>O11*O12</f>
        <v>0</v>
      </c>
      <c r="P10" s="49" t="str">
        <f t="shared" si="2"/>
        <v/>
      </c>
      <c r="Q10" s="51" t="str">
        <f t="shared" si="3"/>
        <v/>
      </c>
      <c r="R10" s="21"/>
      <c r="S10" s="589" t="s">
        <v>15</v>
      </c>
      <c r="T10" s="589"/>
      <c r="U10" s="12"/>
      <c r="V10" s="12"/>
      <c r="W10" s="12"/>
    </row>
    <row r="11" spans="2:23" ht="15.75" customHeight="1">
      <c r="B11" s="201"/>
      <c r="C11" s="12"/>
      <c r="D11" s="12"/>
      <c r="E11" s="12"/>
      <c r="F11" s="582" t="s">
        <v>16</v>
      </c>
      <c r="G11" s="583"/>
      <c r="H11" s="584"/>
      <c r="I11" s="52">
        <f>'Ялта, Ленина, 18'!I11</f>
        <v>6000</v>
      </c>
      <c r="J11" s="39">
        <f>F50</f>
        <v>5170.1806451612902</v>
      </c>
      <c r="K11" s="40">
        <f t="shared" si="4"/>
        <v>0.8616967741935484</v>
      </c>
      <c r="L11" s="207">
        <f t="shared" si="5"/>
        <v>5170.1806451612902</v>
      </c>
      <c r="M11" s="42">
        <f t="shared" si="0"/>
        <v>0.8616967741935484</v>
      </c>
      <c r="N11" s="43">
        <f t="shared" si="1"/>
        <v>-829.81935483870984</v>
      </c>
      <c r="O11" s="53"/>
      <c r="P11" s="43" t="str">
        <f t="shared" si="2"/>
        <v/>
      </c>
      <c r="Q11" s="45" t="str">
        <f t="shared" si="3"/>
        <v/>
      </c>
      <c r="R11" s="21"/>
      <c r="S11" s="589"/>
      <c r="T11" s="589"/>
      <c r="U11" s="12"/>
      <c r="V11" s="12"/>
      <c r="W11" s="12"/>
    </row>
    <row r="12" spans="2:23" ht="15.75" customHeight="1">
      <c r="B12" s="201"/>
      <c r="C12" s="12"/>
      <c r="D12" s="12"/>
      <c r="E12" s="12"/>
      <c r="F12" s="582" t="s">
        <v>17</v>
      </c>
      <c r="G12" s="583"/>
      <c r="H12" s="584"/>
      <c r="I12" s="54">
        <f>'Ялта, Ленина, 18'!I12</f>
        <v>1.7</v>
      </c>
      <c r="J12" s="55">
        <f>J50</f>
        <v>1.55</v>
      </c>
      <c r="K12" s="40">
        <f t="shared" si="4"/>
        <v>0.91176470588235303</v>
      </c>
      <c r="L12" s="213">
        <f t="shared" si="5"/>
        <v>1.55</v>
      </c>
      <c r="M12" s="42">
        <f t="shared" si="0"/>
        <v>0.91176470588235303</v>
      </c>
      <c r="N12" s="57">
        <f t="shared" si="1"/>
        <v>-0.14999999999999991</v>
      </c>
      <c r="O12" s="58"/>
      <c r="P12" s="43" t="str">
        <f t="shared" si="2"/>
        <v/>
      </c>
      <c r="Q12" s="45" t="str">
        <f t="shared" si="3"/>
        <v/>
      </c>
      <c r="R12" s="21"/>
      <c r="S12" s="59">
        <f>'Ялта, Ленина, 18'!S12*График!AJ28/График!AJ31</f>
        <v>296731.93787981092</v>
      </c>
      <c r="T12" s="60">
        <f>L50</f>
        <v>131683</v>
      </c>
      <c r="U12" s="12"/>
      <c r="V12" s="12"/>
      <c r="W12" s="12"/>
    </row>
    <row r="13" spans="2:23" ht="15.75" customHeight="1">
      <c r="B13" s="201"/>
      <c r="C13" s="12"/>
      <c r="D13" s="12"/>
      <c r="E13" s="12"/>
      <c r="F13" s="582" t="s">
        <v>18</v>
      </c>
      <c r="G13" s="583"/>
      <c r="H13" s="584"/>
      <c r="I13" s="38">
        <f>IF(I12&lt;&gt;0, I9/I12, "")</f>
        <v>138.01485482781905</v>
      </c>
      <c r="J13" s="39">
        <f>G50</f>
        <v>100</v>
      </c>
      <c r="K13" s="40">
        <f t="shared" si="4"/>
        <v>0.72455968688845396</v>
      </c>
      <c r="L13" s="207">
        <f t="shared" si="5"/>
        <v>100</v>
      </c>
      <c r="M13" s="42">
        <f t="shared" si="0"/>
        <v>0.72455968688845396</v>
      </c>
      <c r="N13" s="57">
        <f t="shared" si="1"/>
        <v>-38.01485482781905</v>
      </c>
      <c r="O13" s="61"/>
      <c r="P13" s="43" t="str">
        <f t="shared" si="2"/>
        <v/>
      </c>
      <c r="Q13" s="45" t="str">
        <f t="shared" si="3"/>
        <v/>
      </c>
      <c r="R13" s="21"/>
      <c r="S13" s="62">
        <f>T12/S12</f>
        <v>0.4437776430164293</v>
      </c>
      <c r="T13" s="62">
        <f>S13/J14*I14</f>
        <v>0.4437776430164293</v>
      </c>
      <c r="U13" s="12"/>
      <c r="V13" s="12"/>
      <c r="W13" s="12"/>
    </row>
    <row r="14" spans="2:23" ht="15.75" customHeight="1">
      <c r="B14" s="201"/>
      <c r="C14" s="12"/>
      <c r="D14" s="12"/>
      <c r="E14" s="12"/>
      <c r="F14" s="582" t="s">
        <v>63</v>
      </c>
      <c r="G14" s="583"/>
      <c r="H14" s="584"/>
      <c r="I14" s="52">
        <f>График!AI28</f>
        <v>21</v>
      </c>
      <c r="J14" s="64">
        <v>21</v>
      </c>
      <c r="K14" s="40">
        <f t="shared" si="4"/>
        <v>1</v>
      </c>
      <c r="L14" s="41">
        <f>I14</f>
        <v>21</v>
      </c>
      <c r="M14" s="42">
        <f t="shared" si="0"/>
        <v>1</v>
      </c>
      <c r="N14" s="43">
        <f t="shared" si="1"/>
        <v>0</v>
      </c>
      <c r="O14" s="61"/>
      <c r="P14" s="43" t="str">
        <f t="shared" si="2"/>
        <v/>
      </c>
      <c r="Q14" s="45" t="str">
        <f t="shared" si="3"/>
        <v/>
      </c>
      <c r="R14" s="21"/>
      <c r="S14" s="65"/>
      <c r="T14" s="6"/>
      <c r="U14" s="12"/>
      <c r="V14" s="12"/>
      <c r="W14" s="12"/>
    </row>
    <row r="15" spans="2:23" ht="15.75" customHeight="1">
      <c r="B15" s="201"/>
      <c r="C15" s="12"/>
      <c r="D15" s="12"/>
      <c r="E15" s="12"/>
      <c r="F15" s="582" t="s">
        <v>20</v>
      </c>
      <c r="G15" s="583"/>
      <c r="H15" s="584"/>
      <c r="I15" s="75">
        <f>'Ялта, Ленина, 18'!I15</f>
        <v>131612.90322580645</v>
      </c>
      <c r="J15" s="67">
        <f>J8/J14</f>
        <v>38160.857142857145</v>
      </c>
      <c r="K15" s="68">
        <f t="shared" si="4"/>
        <v>0.28994768907563029</v>
      </c>
      <c r="L15" s="207">
        <f t="shared" si="5"/>
        <v>38160.857142857145</v>
      </c>
      <c r="M15" s="70">
        <f t="shared" si="0"/>
        <v>0.28994768907563029</v>
      </c>
      <c r="N15" s="43">
        <f t="shared" si="1"/>
        <v>-93452.046082949309</v>
      </c>
      <c r="O15" s="71"/>
      <c r="P15" s="43" t="str">
        <f t="shared" si="2"/>
        <v/>
      </c>
      <c r="Q15" s="45" t="str">
        <f t="shared" si="3"/>
        <v/>
      </c>
      <c r="R15" s="21"/>
      <c r="S15" s="37"/>
      <c r="T15" s="6"/>
      <c r="U15" s="12"/>
      <c r="V15" s="12"/>
      <c r="W15" s="12"/>
    </row>
    <row r="16" spans="2:23" ht="15.75" customHeight="1">
      <c r="B16" s="201"/>
      <c r="C16" s="12"/>
      <c r="D16" s="12"/>
      <c r="E16" s="12"/>
      <c r="F16" s="582" t="s">
        <v>21</v>
      </c>
      <c r="G16" s="583"/>
      <c r="H16" s="584"/>
      <c r="I16" s="75"/>
      <c r="J16" s="67">
        <f>J8-I15*J14</f>
        <v>-1962492.9677419355</v>
      </c>
      <c r="K16" s="68" t="str">
        <f t="shared" si="4"/>
        <v/>
      </c>
      <c r="L16" s="72">
        <f t="shared" si="5"/>
        <v>-1962492.9677419355</v>
      </c>
      <c r="M16" s="73" t="str">
        <f t="shared" si="0"/>
        <v/>
      </c>
      <c r="N16" s="43" t="str">
        <f t="shared" si="1"/>
        <v/>
      </c>
      <c r="O16" s="71"/>
      <c r="P16" s="43" t="str">
        <f t="shared" si="2"/>
        <v/>
      </c>
      <c r="Q16" s="45" t="str">
        <f t="shared" si="3"/>
        <v/>
      </c>
      <c r="R16" s="21"/>
      <c r="S16" s="589" t="s">
        <v>22</v>
      </c>
      <c r="T16" s="589"/>
      <c r="U16" s="12"/>
      <c r="V16" s="12"/>
      <c r="W16" s="12"/>
    </row>
    <row r="17" spans="1:33" ht="15.75" customHeight="1">
      <c r="B17" s="201"/>
      <c r="C17" s="12"/>
      <c r="D17" s="214"/>
      <c r="E17" s="12"/>
      <c r="F17" s="582" t="s">
        <v>23</v>
      </c>
      <c r="G17" s="583"/>
      <c r="H17" s="584"/>
      <c r="I17" s="75">
        <f>'Ялта, Ленина, 18'!I17/График!AJ31*График!AJ28</f>
        <v>552.0594193112762</v>
      </c>
      <c r="J17" s="67">
        <f>I50</f>
        <v>605</v>
      </c>
      <c r="K17" s="68">
        <f t="shared" si="4"/>
        <v>1.0958965264187865</v>
      </c>
      <c r="L17" s="78">
        <f>J17/J14*I14</f>
        <v>605</v>
      </c>
      <c r="M17" s="73">
        <f t="shared" si="0"/>
        <v>1.0958965264187865</v>
      </c>
      <c r="N17" s="43">
        <f t="shared" si="1"/>
        <v>52.940580688723799</v>
      </c>
      <c r="O17" s="71"/>
      <c r="P17" s="43" t="str">
        <f t="shared" si="2"/>
        <v/>
      </c>
      <c r="Q17" s="45" t="str">
        <f t="shared" si="3"/>
        <v/>
      </c>
      <c r="R17" s="21"/>
      <c r="S17" s="589"/>
      <c r="T17" s="589"/>
      <c r="U17" s="12"/>
      <c r="V17" s="12"/>
      <c r="W17" s="12"/>
    </row>
    <row r="18" spans="1:33" ht="15.75" customHeight="1">
      <c r="B18" s="201"/>
      <c r="C18" s="12"/>
      <c r="D18" s="12"/>
      <c r="E18" s="12"/>
      <c r="F18" s="582"/>
      <c r="G18" s="583"/>
      <c r="H18" s="584"/>
      <c r="I18" s="76"/>
      <c r="J18" s="67"/>
      <c r="K18" s="68" t="str">
        <f t="shared" si="4"/>
        <v/>
      </c>
      <c r="L18" s="72">
        <f t="shared" si="5"/>
        <v>0</v>
      </c>
      <c r="M18" s="73" t="str">
        <f t="shared" si="0"/>
        <v/>
      </c>
      <c r="N18" s="43" t="str">
        <f t="shared" si="1"/>
        <v/>
      </c>
      <c r="O18" s="79">
        <v>0</v>
      </c>
      <c r="P18" s="43" t="str">
        <f t="shared" si="2"/>
        <v/>
      </c>
      <c r="Q18" s="45" t="str">
        <f t="shared" si="3"/>
        <v/>
      </c>
      <c r="R18" s="21"/>
      <c r="S18" s="59">
        <f>'Ялта, Ленина, 18'!S18*График!AJ28/График!AJ31</f>
        <v>269128.96691424714</v>
      </c>
      <c r="T18" s="60">
        <f>K50</f>
        <v>59359</v>
      </c>
      <c r="U18" s="12"/>
      <c r="V18" s="12"/>
      <c r="W18" s="12"/>
    </row>
    <row r="19" spans="1:33" ht="15.75" customHeight="1">
      <c r="B19" s="201"/>
      <c r="C19" s="12"/>
      <c r="D19" s="12"/>
      <c r="E19" s="12"/>
      <c r="F19" s="582"/>
      <c r="G19" s="583"/>
      <c r="H19" s="584"/>
      <c r="I19" s="76"/>
      <c r="J19" s="67">
        <f>M50</f>
        <v>0</v>
      </c>
      <c r="K19" s="68" t="str">
        <f t="shared" si="4"/>
        <v/>
      </c>
      <c r="L19" s="72">
        <f t="shared" si="5"/>
        <v>0</v>
      </c>
      <c r="M19" s="73" t="str">
        <f t="shared" si="0"/>
        <v/>
      </c>
      <c r="N19" s="43" t="str">
        <f t="shared" si="1"/>
        <v/>
      </c>
      <c r="O19" s="71">
        <v>0</v>
      </c>
      <c r="P19" s="43" t="str">
        <f t="shared" si="2"/>
        <v/>
      </c>
      <c r="Q19" s="45" t="str">
        <f t="shared" si="3"/>
        <v/>
      </c>
      <c r="R19" s="21"/>
      <c r="S19" s="62">
        <f>T18/S18</f>
        <v>0.2205596843795474</v>
      </c>
      <c r="T19" s="62">
        <f>S19/J14*I14</f>
        <v>0.22055968437954737</v>
      </c>
      <c r="U19" s="12"/>
      <c r="V19" s="12"/>
      <c r="W19" s="12"/>
    </row>
    <row r="20" spans="1:33" ht="15.75" customHeight="1">
      <c r="B20" s="201"/>
      <c r="C20" s="12"/>
      <c r="D20" s="12"/>
      <c r="E20" s="12"/>
      <c r="F20" s="594" t="s">
        <v>24</v>
      </c>
      <c r="G20" s="594"/>
      <c r="H20" s="594"/>
      <c r="I20" s="217">
        <f>'Ялта, Ленина, 18'!I20</f>
        <v>0.25</v>
      </c>
      <c r="J20" s="218">
        <f>N50</f>
        <v>0.16528925619834711</v>
      </c>
      <c r="K20" s="219">
        <f>J20/I20</f>
        <v>0.66115702479338845</v>
      </c>
      <c r="L20" s="220">
        <f>IF(AND(K8&lt;&gt;0,I14&lt;&gt;0,I50&lt;&gt;0),(I50*N50+(I50/K8-I50)*I20)/(I50/K8),0)</f>
        <v>0.20177747953506095</v>
      </c>
      <c r="M20" s="83">
        <f t="shared" si="0"/>
        <v>0.8071099181402438</v>
      </c>
      <c r="N20" s="84">
        <f t="shared" si="1"/>
        <v>-4.822252046493905E-2</v>
      </c>
      <c r="O20" s="85"/>
      <c r="P20" s="86" t="str">
        <f t="shared" si="2"/>
        <v/>
      </c>
      <c r="Q20" s="87" t="str">
        <f t="shared" si="3"/>
        <v/>
      </c>
      <c r="R20" s="21"/>
      <c r="S20" s="21"/>
      <c r="T20" s="12"/>
      <c r="U20" s="12"/>
      <c r="V20" s="12"/>
      <c r="W20" s="12"/>
    </row>
    <row r="21" spans="1:33" ht="15.75" customHeight="1">
      <c r="B21" s="20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3" ht="16.5" customHeight="1">
      <c r="B22" s="674" t="s">
        <v>25</v>
      </c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5" t="s">
        <v>26</v>
      </c>
      <c r="P22" s="674" t="s">
        <v>27</v>
      </c>
      <c r="Q22" s="674"/>
      <c r="R22" s="674"/>
      <c r="S22" s="674"/>
      <c r="T22" s="674"/>
      <c r="U22" s="674"/>
      <c r="V22" s="674"/>
      <c r="W22" s="674"/>
    </row>
    <row r="23" spans="1:33" ht="36">
      <c r="B23" s="221" t="s">
        <v>29</v>
      </c>
      <c r="C23" s="221" t="s">
        <v>30</v>
      </c>
      <c r="D23" s="221" t="s">
        <v>31</v>
      </c>
      <c r="E23" s="221" t="s">
        <v>32</v>
      </c>
      <c r="F23" s="221" t="s">
        <v>33</v>
      </c>
      <c r="G23" s="221" t="s">
        <v>34</v>
      </c>
      <c r="H23" s="221" t="s">
        <v>35</v>
      </c>
      <c r="I23" s="221" t="s">
        <v>23</v>
      </c>
      <c r="J23" s="221" t="s">
        <v>36</v>
      </c>
      <c r="K23" s="90" t="s">
        <v>22</v>
      </c>
      <c r="L23" s="90" t="s">
        <v>15</v>
      </c>
      <c r="M23" s="222" t="s">
        <v>37</v>
      </c>
      <c r="N23" s="221" t="s">
        <v>38</v>
      </c>
      <c r="O23" s="675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3" t="s">
        <v>45</v>
      </c>
      <c r="W23" s="223" t="s">
        <v>46</v>
      </c>
      <c r="X23" s="224"/>
    </row>
    <row r="24" spans="1:33">
      <c r="B24" s="225">
        <v>1</v>
      </c>
      <c r="C24" s="225">
        <v>2</v>
      </c>
      <c r="D24" s="225">
        <v>3</v>
      </c>
      <c r="E24" s="225" t="s">
        <v>67</v>
      </c>
      <c r="F24" s="225">
        <v>5</v>
      </c>
      <c r="G24" s="225">
        <v>6</v>
      </c>
      <c r="H24" s="225">
        <v>7</v>
      </c>
      <c r="I24" s="225">
        <v>8</v>
      </c>
      <c r="J24" s="225">
        <v>9</v>
      </c>
      <c r="K24" s="225">
        <v>10</v>
      </c>
      <c r="L24" s="225">
        <v>11</v>
      </c>
      <c r="M24" s="225">
        <v>12</v>
      </c>
      <c r="N24" s="225">
        <v>13</v>
      </c>
      <c r="O24" s="675"/>
      <c r="P24" s="227">
        <v>1</v>
      </c>
      <c r="Q24" s="227">
        <v>2</v>
      </c>
      <c r="R24" s="227">
        <v>3</v>
      </c>
      <c r="S24" s="227">
        <v>4</v>
      </c>
      <c r="T24" s="227">
        <v>5</v>
      </c>
      <c r="U24" s="227">
        <v>6</v>
      </c>
      <c r="V24" s="227">
        <v>10</v>
      </c>
      <c r="W24" s="227">
        <v>11</v>
      </c>
    </row>
    <row r="25" spans="1:33">
      <c r="A25" s="95">
        <v>1</v>
      </c>
      <c r="B25" s="96">
        <v>45839</v>
      </c>
      <c r="C25" s="97" t="s">
        <v>48</v>
      </c>
      <c r="D25" s="98">
        <f>16379+220</f>
        <v>16599</v>
      </c>
      <c r="E25" s="99">
        <v>3</v>
      </c>
      <c r="F25" s="99">
        <f t="shared" ref="F25:F50" si="6">IF(AND(E25&lt;&gt;"",E25&lt;&gt;0),D25/E25,"")</f>
        <v>5533</v>
      </c>
      <c r="G25" s="99">
        <v>4</v>
      </c>
      <c r="H25" s="99">
        <f t="shared" ref="H25:H50" si="7">IF(AND(G25&lt;&gt;"",G25&lt;&gt;0),D25/G25,"")</f>
        <v>4149.75</v>
      </c>
      <c r="I25" s="99">
        <v>15</v>
      </c>
      <c r="J25" s="98">
        <f t="shared" ref="J25:J50" si="8">IF(AND(G25&lt;&gt;"",G25&lt;&gt;0),E25/G25,"")</f>
        <v>0.75</v>
      </c>
      <c r="K25" s="99"/>
      <c r="L25" s="99">
        <v>220</v>
      </c>
      <c r="M25" s="99"/>
      <c r="N25" s="100">
        <f t="shared" ref="N25:N50" si="9">IF(AND(I25&lt;&gt;"",I25&lt;&gt;0),G25/I25,"")</f>
        <v>0.26666666666666666</v>
      </c>
      <c r="O25" s="101">
        <f t="shared" ref="O25:O50" si="10">D25/P25</f>
        <v>0.31084901956814998</v>
      </c>
      <c r="P25" s="102">
        <f t="shared" ref="P25:P27" si="11">$I$8*V25*W25/SUMPRODUCT($W$25:$W$55,$V$25:$V$55)</f>
        <v>53398.913797638234</v>
      </c>
      <c r="Q25" s="103">
        <f t="shared" ref="Q25:Q27" si="12">$I$9*V25*W25/SUMPRODUCT($W$25:$W$55,$V$25:$V$55)</f>
        <v>8.8998189662730383</v>
      </c>
      <c r="R25" s="103">
        <f t="shared" ref="R25:R49" si="13">IF($I$12="","",Q25/$I$12)</f>
        <v>5.2351876272194344</v>
      </c>
      <c r="S25" s="102">
        <f>IF(D25&lt;&gt;"",D25,P25)</f>
        <v>16599</v>
      </c>
      <c r="T25" s="103">
        <f>IF(E25&lt;&gt;"",E25,Q25)</f>
        <v>3</v>
      </c>
      <c r="U25" s="103">
        <f>IF(G25&lt;&gt;"",G25,R25)</f>
        <v>4</v>
      </c>
      <c r="V25" s="104">
        <v>0.90048519598893295</v>
      </c>
      <c r="W25" s="104">
        <v>0.90048519598893295</v>
      </c>
      <c r="X25" s="105"/>
      <c r="Y25" s="106"/>
    </row>
    <row r="26" spans="1:33">
      <c r="A26" s="95">
        <v>2</v>
      </c>
      <c r="B26" s="96">
        <v>45840</v>
      </c>
      <c r="C26" s="97" t="s">
        <v>50</v>
      </c>
      <c r="D26" s="98">
        <v>27675</v>
      </c>
      <c r="E26" s="99">
        <v>6</v>
      </c>
      <c r="F26" s="99">
        <f t="shared" si="6"/>
        <v>4612.5</v>
      </c>
      <c r="G26" s="99">
        <v>4</v>
      </c>
      <c r="H26" s="99">
        <f t="shared" si="7"/>
        <v>6918.75</v>
      </c>
      <c r="I26" s="99">
        <v>20</v>
      </c>
      <c r="J26" s="98">
        <f t="shared" si="8"/>
        <v>1.5</v>
      </c>
      <c r="K26" s="99"/>
      <c r="L26" s="99"/>
      <c r="M26" s="99"/>
      <c r="N26" s="100">
        <f t="shared" si="9"/>
        <v>0.2</v>
      </c>
      <c r="O26" s="101">
        <f t="shared" si="10"/>
        <v>0.37318279316637759</v>
      </c>
      <c r="P26" s="102">
        <f t="shared" si="11"/>
        <v>74159.367759653222</v>
      </c>
      <c r="Q26" s="103">
        <f t="shared" si="12"/>
        <v>12.359894626608869</v>
      </c>
      <c r="R26" s="103">
        <f t="shared" si="13"/>
        <v>7.2705262509463937</v>
      </c>
      <c r="S26" s="102">
        <f t="shared" ref="S26:S27" si="14">IF(W26&lt;&gt;"",IF(D26&lt;&gt;"",D26,($I$8-SUM($S$25:S25))*V26*W26/SUMPRODUCT($W26:$W$55,$V26:$V$55)),"")</f>
        <v>27675</v>
      </c>
      <c r="T26" s="103">
        <f t="shared" ref="T26:T27" si="15">IF(W26&lt;&gt;"",IF(E26&lt;&gt;"",E26,($I$9-SUM($T$25:T25))*V26*W26/SUMPRODUCT($W26:$W$55,$V26:$V$55)),"")</f>
        <v>6</v>
      </c>
      <c r="U26" s="103">
        <f t="shared" ref="U26:U27" si="16">IF(W26&lt;&gt;"",IF($I$12&lt;&gt;"",IF(G26&lt;&gt;"",G26,($I$9/$I$12-SUM($U$25:U25))*V26*W26/SUMPRODUCT($W26:$W$55,$V26:$V$55)),""),"")</f>
        <v>4</v>
      </c>
      <c r="V26" s="104">
        <v>1.0611905531725472</v>
      </c>
      <c r="W26" s="104">
        <v>1.0611905531725472</v>
      </c>
      <c r="X26" s="107"/>
      <c r="Y26" s="106"/>
    </row>
    <row r="27" spans="1:33">
      <c r="A27" s="95">
        <v>3</v>
      </c>
      <c r="B27" s="96">
        <v>45842</v>
      </c>
      <c r="C27" s="97" t="s">
        <v>53</v>
      </c>
      <c r="D27" s="98">
        <v>8016</v>
      </c>
      <c r="E27" s="99">
        <v>3</v>
      </c>
      <c r="F27" s="99">
        <f t="shared" si="6"/>
        <v>2672</v>
      </c>
      <c r="G27" s="99">
        <v>2</v>
      </c>
      <c r="H27" s="99">
        <f t="shared" si="7"/>
        <v>4008</v>
      </c>
      <c r="I27" s="99">
        <v>15</v>
      </c>
      <c r="J27" s="98">
        <f t="shared" si="8"/>
        <v>1.5</v>
      </c>
      <c r="K27" s="99"/>
      <c r="L27" s="99"/>
      <c r="M27" s="99"/>
      <c r="N27" s="100">
        <f t="shared" si="9"/>
        <v>0.13333333333333333</v>
      </c>
      <c r="O27" s="101">
        <f t="shared" si="10"/>
        <v>8.4530988615098127E-2</v>
      </c>
      <c r="P27" s="102">
        <f t="shared" si="11"/>
        <v>94829.128717515763</v>
      </c>
      <c r="Q27" s="103">
        <f t="shared" si="12"/>
        <v>15.804854786252626</v>
      </c>
      <c r="R27" s="103">
        <f t="shared" si="13"/>
        <v>9.2969734036780149</v>
      </c>
      <c r="S27" s="102">
        <f t="shared" si="14"/>
        <v>8016</v>
      </c>
      <c r="T27" s="103">
        <f t="shared" si="15"/>
        <v>3</v>
      </c>
      <c r="U27" s="103">
        <f t="shared" si="16"/>
        <v>2</v>
      </c>
      <c r="V27" s="104">
        <v>1.2</v>
      </c>
      <c r="W27" s="104">
        <v>1.2</v>
      </c>
      <c r="X27" s="107"/>
      <c r="Y27" s="106"/>
      <c r="Z27" s="111"/>
      <c r="AA27" s="2"/>
      <c r="AB27" s="2"/>
      <c r="AC27" s="2"/>
      <c r="AD27" s="2"/>
      <c r="AE27" s="2"/>
      <c r="AF27" s="2"/>
      <c r="AG27" s="2"/>
    </row>
    <row r="28" spans="1:33">
      <c r="A28" s="95">
        <v>4</v>
      </c>
      <c r="B28" s="96">
        <v>45843</v>
      </c>
      <c r="C28" s="97" t="s">
        <v>54</v>
      </c>
      <c r="D28" s="98">
        <v>18370</v>
      </c>
      <c r="E28" s="99">
        <v>4</v>
      </c>
      <c r="F28" s="99">
        <f t="shared" si="6"/>
        <v>4592.5</v>
      </c>
      <c r="G28" s="99">
        <v>3</v>
      </c>
      <c r="H28" s="99">
        <f t="shared" si="7"/>
        <v>6123.333333333333</v>
      </c>
      <c r="I28" s="99">
        <v>20</v>
      </c>
      <c r="J28" s="98">
        <f t="shared" si="8"/>
        <v>1.3333333333333333</v>
      </c>
      <c r="K28" s="99"/>
      <c r="L28" s="99"/>
      <c r="M28" s="99"/>
      <c r="N28" s="100">
        <f t="shared" si="9"/>
        <v>0.15</v>
      </c>
      <c r="O28" s="101">
        <f t="shared" si="10"/>
        <v>0.27895226242982385</v>
      </c>
      <c r="P28" s="102">
        <f t="shared" ref="P28:P49" si="17">$I$8*V28*W28/SUMPRODUCT($W$25:$W$60,$V$25:$V$60)</f>
        <v>65853.561609385943</v>
      </c>
      <c r="Q28" s="103">
        <f t="shared" ref="Q28:Q49" si="18">$I$9*V28*W28/SUMPRODUCT($W$25:$W$60,$V$25:$V$60)</f>
        <v>10.975593601564324</v>
      </c>
      <c r="R28" s="103">
        <f t="shared" si="13"/>
        <v>6.4562315303319551</v>
      </c>
      <c r="S28" s="102">
        <f>IF(W28&lt;&gt;"",IF(D28&lt;&gt;"",D28,($I$8-SUM($S$25:S27))*V28*W28/SUMPRODUCT($W28:$W$60,$V28:$V$60)),"")</f>
        <v>18370</v>
      </c>
      <c r="T28" s="103">
        <f>IF(W28&lt;&gt;"",IF(E28&lt;&gt;"",E28,($I$9-SUM($T$25:T27))*V28*W28/SUMPRODUCT($W28:$W$60,$V28:$V$60)),"")</f>
        <v>4</v>
      </c>
      <c r="U28" s="103">
        <f>IF(W28&lt;&gt;"",IF($I$12&lt;&gt;"",IF(G28&lt;&gt;"",G28,($I$9/$I$12-SUM($U$25:U27))*V28*W28/SUMPRODUCT($W28:$W$60,$V28:$V$60)),""),"")</f>
        <v>3</v>
      </c>
      <c r="V28" s="104">
        <v>1</v>
      </c>
      <c r="W28" s="104">
        <v>1</v>
      </c>
      <c r="X28" s="106"/>
      <c r="Y28" s="106"/>
      <c r="Z28" s="2"/>
      <c r="AA28" s="2"/>
      <c r="AB28" s="2"/>
      <c r="AC28" s="2"/>
      <c r="AD28" s="2"/>
      <c r="AE28" s="2"/>
      <c r="AF28" s="2"/>
      <c r="AG28" s="2"/>
    </row>
    <row r="29" spans="1:33">
      <c r="A29" s="95">
        <v>5</v>
      </c>
      <c r="B29" s="96">
        <v>45846</v>
      </c>
      <c r="C29" s="97" t="s">
        <v>48</v>
      </c>
      <c r="D29" s="98">
        <f>32506+8903</f>
        <v>41409</v>
      </c>
      <c r="E29" s="99">
        <v>11</v>
      </c>
      <c r="F29" s="99">
        <f t="shared" si="6"/>
        <v>3764.4545454545455</v>
      </c>
      <c r="G29" s="99">
        <v>6</v>
      </c>
      <c r="H29" s="99">
        <f t="shared" si="7"/>
        <v>6901.5</v>
      </c>
      <c r="I29" s="99">
        <v>25</v>
      </c>
      <c r="J29" s="98">
        <f t="shared" si="8"/>
        <v>1.8333333333333333</v>
      </c>
      <c r="K29" s="99"/>
      <c r="L29" s="99">
        <v>8903</v>
      </c>
      <c r="M29" s="99"/>
      <c r="N29" s="100">
        <f t="shared" si="9"/>
        <v>0.24</v>
      </c>
      <c r="O29" s="101">
        <f t="shared" si="10"/>
        <v>0.6288042588435806</v>
      </c>
      <c r="P29" s="102">
        <f t="shared" ref="P29:P33" si="19">$I$8*V29*W29/SUMPRODUCT($W$25:$W$55,$V$25:$V$55)</f>
        <v>65853.561609385943</v>
      </c>
      <c r="Q29" s="103">
        <f t="shared" ref="Q29:Q33" si="20">$I$9*V29*W29/SUMPRODUCT($W$25:$W$55,$V$25:$V$55)</f>
        <v>10.975593601564324</v>
      </c>
      <c r="R29" s="103">
        <f t="shared" si="13"/>
        <v>6.4562315303319551</v>
      </c>
      <c r="S29" s="102">
        <f t="shared" ref="S29:S33" si="21">IF(W29&lt;&gt;"",IF(D29&lt;&gt;"",D29,($I$8-SUM($S$25:S28))*V29*W29/SUMPRODUCT($W29:$W$55,$V29:$V$55)),"")</f>
        <v>41409</v>
      </c>
      <c r="T29" s="103">
        <f t="shared" ref="T29:T31" si="22">IF(W29&lt;&gt;"",IF(E29&lt;&gt;"",E29,($I$9-SUM($T$25:T28))*V29*W29/SUMPRODUCT($W29:$W$55,$V29:$V$55)),"")</f>
        <v>11</v>
      </c>
      <c r="U29" s="103">
        <f t="shared" ref="U29:U33" si="23">IF(W29&lt;&gt;"",IF($I$12&lt;&gt;"",IF(G29&lt;&gt;"",G29,($I$9/$I$12-SUM($U$25:U28))*V29*W29/SUMPRODUCT($W29:$W$55,$V29:$V$55)),""),"")</f>
        <v>6</v>
      </c>
      <c r="V29" s="104">
        <v>1</v>
      </c>
      <c r="W29" s="104">
        <v>1</v>
      </c>
      <c r="X29" s="107"/>
      <c r="Y29" s="106"/>
      <c r="Z29" s="111"/>
      <c r="AA29" s="2"/>
      <c r="AB29" s="2"/>
      <c r="AC29" s="2"/>
      <c r="AD29" s="2"/>
      <c r="AE29" s="2"/>
      <c r="AF29" s="2"/>
      <c r="AG29" s="2"/>
    </row>
    <row r="30" spans="1:33">
      <c r="A30" s="95">
        <v>6</v>
      </c>
      <c r="B30" s="96">
        <v>45847</v>
      </c>
      <c r="C30" s="97" t="s">
        <v>50</v>
      </c>
      <c r="D30" s="98">
        <f>8903+21259</f>
        <v>30162</v>
      </c>
      <c r="E30" s="99">
        <v>5</v>
      </c>
      <c r="F30" s="108">
        <f t="shared" si="6"/>
        <v>6032.4</v>
      </c>
      <c r="G30" s="99">
        <v>4</v>
      </c>
      <c r="H30" s="99">
        <f t="shared" si="7"/>
        <v>7540.5</v>
      </c>
      <c r="I30" s="99">
        <v>25</v>
      </c>
      <c r="J30" s="98">
        <f t="shared" si="8"/>
        <v>1.25</v>
      </c>
      <c r="K30" s="99"/>
      <c r="L30" s="99">
        <v>8903</v>
      </c>
      <c r="M30" s="99"/>
      <c r="N30" s="100">
        <f t="shared" si="9"/>
        <v>0.16</v>
      </c>
      <c r="O30" s="101">
        <f t="shared" si="10"/>
        <v>0.45801622969016587</v>
      </c>
      <c r="P30" s="102">
        <f t="shared" si="19"/>
        <v>65853.561609385943</v>
      </c>
      <c r="Q30" s="103">
        <f t="shared" si="20"/>
        <v>10.975593601564324</v>
      </c>
      <c r="R30" s="103">
        <f t="shared" si="13"/>
        <v>6.4562315303319551</v>
      </c>
      <c r="S30" s="102">
        <f t="shared" si="21"/>
        <v>30162</v>
      </c>
      <c r="T30" s="103">
        <f t="shared" si="22"/>
        <v>5</v>
      </c>
      <c r="U30" s="103">
        <f t="shared" si="23"/>
        <v>4</v>
      </c>
      <c r="V30" s="104">
        <v>1</v>
      </c>
      <c r="W30" s="104">
        <v>1</v>
      </c>
      <c r="X30" s="107"/>
      <c r="Y30" s="106"/>
      <c r="Z30" s="111"/>
      <c r="AA30" s="2"/>
      <c r="AB30" s="2"/>
      <c r="AC30" s="2"/>
      <c r="AD30" s="2"/>
      <c r="AE30" s="2"/>
      <c r="AF30" s="2"/>
      <c r="AG30" s="2"/>
    </row>
    <row r="31" spans="1:33">
      <c r="A31" s="95">
        <v>7</v>
      </c>
      <c r="B31" s="96">
        <v>45850</v>
      </c>
      <c r="C31" s="97" t="s">
        <v>54</v>
      </c>
      <c r="D31" s="98">
        <v>16758</v>
      </c>
      <c r="E31" s="99">
        <v>5</v>
      </c>
      <c r="F31" s="99">
        <f t="shared" si="6"/>
        <v>3351.6</v>
      </c>
      <c r="G31" s="99">
        <v>2</v>
      </c>
      <c r="H31" s="99">
        <f t="shared" si="7"/>
        <v>8379</v>
      </c>
      <c r="I31" s="99">
        <v>30</v>
      </c>
      <c r="J31" s="98">
        <f t="shared" si="8"/>
        <v>2.5</v>
      </c>
      <c r="K31" s="99"/>
      <c r="L31" s="99"/>
      <c r="M31" s="99"/>
      <c r="N31" s="100">
        <f t="shared" si="9"/>
        <v>6.6666666666666666E-2</v>
      </c>
      <c r="O31" s="101">
        <f t="shared" si="10"/>
        <v>0.2544737078823619</v>
      </c>
      <c r="P31" s="102">
        <f t="shared" si="19"/>
        <v>65853.561609385943</v>
      </c>
      <c r="Q31" s="103">
        <f t="shared" si="20"/>
        <v>10.975593601564324</v>
      </c>
      <c r="R31" s="103">
        <f t="shared" si="13"/>
        <v>6.4562315303319551</v>
      </c>
      <c r="S31" s="102">
        <f t="shared" si="21"/>
        <v>16758</v>
      </c>
      <c r="T31" s="103">
        <f t="shared" si="22"/>
        <v>5</v>
      </c>
      <c r="U31" s="103">
        <f t="shared" si="23"/>
        <v>2</v>
      </c>
      <c r="V31" s="104">
        <v>1</v>
      </c>
      <c r="W31" s="104">
        <v>1</v>
      </c>
      <c r="X31" s="107"/>
      <c r="Y31" s="106"/>
      <c r="Z31" s="111"/>
      <c r="AA31" s="2"/>
      <c r="AB31" s="2"/>
      <c r="AC31" s="2"/>
      <c r="AD31" s="2"/>
      <c r="AE31" s="2"/>
      <c r="AF31" s="2"/>
      <c r="AG31" s="2"/>
    </row>
    <row r="32" spans="1:33">
      <c r="A32" s="95">
        <v>8</v>
      </c>
      <c r="B32" s="96">
        <v>45851</v>
      </c>
      <c r="C32" s="231" t="s">
        <v>55</v>
      </c>
      <c r="D32" s="98">
        <f>32106+16368+9993</f>
        <v>58467</v>
      </c>
      <c r="E32" s="97">
        <v>7</v>
      </c>
      <c r="F32" s="99">
        <v>6925</v>
      </c>
      <c r="G32" s="99">
        <v>5</v>
      </c>
      <c r="H32" s="99">
        <f t="shared" si="7"/>
        <v>11693.4</v>
      </c>
      <c r="I32" s="99">
        <v>35</v>
      </c>
      <c r="J32" s="98">
        <f t="shared" si="8"/>
        <v>1.4</v>
      </c>
      <c r="K32" s="99">
        <v>9993</v>
      </c>
      <c r="L32" s="99">
        <v>32106</v>
      </c>
      <c r="M32" s="99"/>
      <c r="N32" s="100">
        <f t="shared" si="9"/>
        <v>0.14285714285714285</v>
      </c>
      <c r="O32" s="101">
        <f t="shared" si="10"/>
        <v>0.88783352898663637</v>
      </c>
      <c r="P32" s="102">
        <f t="shared" si="19"/>
        <v>65853.561609385943</v>
      </c>
      <c r="Q32" s="103">
        <f t="shared" si="20"/>
        <v>10.975593601564324</v>
      </c>
      <c r="R32" s="103">
        <f t="shared" si="13"/>
        <v>6.4562315303319551</v>
      </c>
      <c r="S32" s="102">
        <f t="shared" si="21"/>
        <v>58467</v>
      </c>
      <c r="T32" s="103">
        <f>IF(W32&lt;&gt;"",IF(E31&lt;&gt;"",E31,($I$9-SUM($T$25:T31))*V32*W32/SUMPRODUCT($W32:$W$55,$V32:$V$55)),"")</f>
        <v>5</v>
      </c>
      <c r="U32" s="103">
        <f t="shared" si="23"/>
        <v>5</v>
      </c>
      <c r="V32" s="104">
        <v>1</v>
      </c>
      <c r="W32" s="104">
        <v>1</v>
      </c>
      <c r="X32" s="106"/>
      <c r="Y32" s="106"/>
      <c r="Z32" s="2"/>
      <c r="AA32" s="2"/>
      <c r="AB32" s="2"/>
      <c r="AC32" s="2"/>
      <c r="AD32" s="2"/>
      <c r="AE32" s="2"/>
      <c r="AF32" s="2"/>
      <c r="AG32" s="2"/>
    </row>
    <row r="33" spans="1:33">
      <c r="A33" s="95">
        <v>9</v>
      </c>
      <c r="B33" s="96">
        <v>45854</v>
      </c>
      <c r="C33" s="231" t="s">
        <v>50</v>
      </c>
      <c r="D33" s="98">
        <f>15106+25450</f>
        <v>40556</v>
      </c>
      <c r="E33" s="99">
        <v>8</v>
      </c>
      <c r="F33" s="99">
        <f t="shared" si="6"/>
        <v>5069.5</v>
      </c>
      <c r="G33" s="99">
        <v>4</v>
      </c>
      <c r="H33" s="99">
        <f t="shared" si="7"/>
        <v>10139</v>
      </c>
      <c r="I33" s="99">
        <v>20</v>
      </c>
      <c r="J33" s="232">
        <f t="shared" si="8"/>
        <v>2</v>
      </c>
      <c r="K33" s="99"/>
      <c r="L33" s="99">
        <v>15106</v>
      </c>
      <c r="M33" s="99"/>
      <c r="N33" s="100">
        <f t="shared" si="9"/>
        <v>0.2</v>
      </c>
      <c r="O33" s="101">
        <f t="shared" si="10"/>
        <v>0.6158512768156742</v>
      </c>
      <c r="P33" s="102">
        <f t="shared" si="19"/>
        <v>65853.561609385943</v>
      </c>
      <c r="Q33" s="103">
        <f t="shared" si="20"/>
        <v>10.975593601564324</v>
      </c>
      <c r="R33" s="103">
        <f t="shared" si="13"/>
        <v>6.4562315303319551</v>
      </c>
      <c r="S33" s="102">
        <f t="shared" si="21"/>
        <v>40556</v>
      </c>
      <c r="T33" s="103">
        <f>IF(W33&lt;&gt;"",IF(E33&lt;&gt;"",E33,($I$9-SUM($T$25:T32))*V33*W33/SUMPRODUCT($W33:$W$55,$V33:$V$55)),"")</f>
        <v>8</v>
      </c>
      <c r="U33" s="103">
        <f t="shared" si="23"/>
        <v>4</v>
      </c>
      <c r="V33" s="233">
        <v>1</v>
      </c>
      <c r="W33" s="233">
        <v>1</v>
      </c>
      <c r="X33" s="106"/>
      <c r="Y33" s="106"/>
      <c r="Z33" s="2"/>
      <c r="AA33" s="2"/>
      <c r="AB33" s="2"/>
      <c r="AC33" s="2"/>
      <c r="AD33" s="2"/>
      <c r="AE33" s="2"/>
      <c r="AF33" s="2"/>
      <c r="AG33" s="2"/>
    </row>
    <row r="34" spans="1:33" s="234" customFormat="1">
      <c r="A34" s="235">
        <v>10</v>
      </c>
      <c r="B34" s="236">
        <v>45855</v>
      </c>
      <c r="C34" s="237" t="s">
        <v>52</v>
      </c>
      <c r="D34" s="232">
        <f>24382+42831</f>
        <v>67213</v>
      </c>
      <c r="E34" s="238">
        <v>11</v>
      </c>
      <c r="F34" s="99">
        <f t="shared" si="6"/>
        <v>6110.272727272727</v>
      </c>
      <c r="G34" s="238">
        <v>7</v>
      </c>
      <c r="H34" s="99">
        <f t="shared" si="7"/>
        <v>9601.8571428571431</v>
      </c>
      <c r="I34" s="238">
        <v>35</v>
      </c>
      <c r="J34" s="232">
        <f t="shared" si="8"/>
        <v>1.5714285714285714</v>
      </c>
      <c r="K34" s="238">
        <v>24382</v>
      </c>
      <c r="L34" s="238"/>
      <c r="M34" s="238"/>
      <c r="N34" s="239">
        <f t="shared" si="9"/>
        <v>0.2</v>
      </c>
      <c r="O34" s="240">
        <f t="shared" si="10"/>
        <v>1.0206433540933995</v>
      </c>
      <c r="P34" s="241">
        <f t="shared" si="17"/>
        <v>65853.561609385943</v>
      </c>
      <c r="Q34" s="242">
        <f t="shared" si="18"/>
        <v>10.975593601564324</v>
      </c>
      <c r="R34" s="242">
        <f t="shared" si="13"/>
        <v>6.4562315303319551</v>
      </c>
      <c r="S34" s="241">
        <f t="shared" ref="S34:S49" si="24">IF(W34&lt;&gt;"",IF(D34&lt;&gt;"",D34,($I$8-SUM($S$25:S33))*V34*W34/SUMPRODUCT($W34:$W$60,$V34:$V$60)),"")</f>
        <v>67213</v>
      </c>
      <c r="T34" s="242">
        <f t="shared" ref="T34:T49" si="25">IF(W34&lt;&gt;"",IF(E34&lt;&gt;"",E34,($I$9-SUM($T$25:T33))*V34*W34/SUMPRODUCT($W34:$W$60,$V34:$V$60)),"")</f>
        <v>11</v>
      </c>
      <c r="U34" s="242">
        <f t="shared" ref="U34:U49" si="26">IF(W34&lt;&gt;"",IF($I$12&lt;&gt;"",IF(G34&lt;&gt;"",G34,($I$9/$I$12-SUM($U$25:U33))*V34*W34/SUMPRODUCT($W34:$W$60,$V34:$V$60)),""),"")</f>
        <v>7</v>
      </c>
      <c r="V34" s="233">
        <v>1</v>
      </c>
      <c r="W34" s="233">
        <v>1</v>
      </c>
      <c r="X34" s="243"/>
      <c r="Y34" s="243"/>
      <c r="Z34" s="244"/>
      <c r="AA34" s="244"/>
      <c r="AB34" s="244"/>
      <c r="AC34" s="244"/>
      <c r="AD34" s="244"/>
      <c r="AE34" s="244"/>
      <c r="AF34" s="244"/>
      <c r="AG34" s="244"/>
    </row>
    <row r="35" spans="1:33">
      <c r="A35" s="95">
        <v>11</v>
      </c>
      <c r="B35" s="96">
        <v>45856</v>
      </c>
      <c r="C35" s="231" t="s">
        <v>53</v>
      </c>
      <c r="D35" s="98">
        <f>7993+5903+51413</f>
        <v>65309</v>
      </c>
      <c r="E35" s="99">
        <v>13</v>
      </c>
      <c r="F35" s="99">
        <f t="shared" si="6"/>
        <v>5023.7692307692305</v>
      </c>
      <c r="G35" s="99">
        <v>8</v>
      </c>
      <c r="H35" s="99">
        <f t="shared" si="7"/>
        <v>8163.625</v>
      </c>
      <c r="I35" s="99">
        <v>40</v>
      </c>
      <c r="J35" s="232">
        <f t="shared" si="8"/>
        <v>1.625</v>
      </c>
      <c r="K35" s="99">
        <v>7993</v>
      </c>
      <c r="L35" s="99">
        <v>5903</v>
      </c>
      <c r="M35" s="99"/>
      <c r="N35" s="100">
        <f t="shared" si="9"/>
        <v>0.2</v>
      </c>
      <c r="O35" s="101">
        <f t="shared" si="10"/>
        <v>0.99173071894552889</v>
      </c>
      <c r="P35" s="102">
        <f t="shared" ref="P35:P38" si="27">$I$8*V35*W35/SUMPRODUCT($W$25:$W$55,$V$25:$V$55)</f>
        <v>65853.561609385943</v>
      </c>
      <c r="Q35" s="103">
        <f t="shared" ref="Q35:Q38" si="28">$I$9*V35*W35/SUMPRODUCT($W$25:$W$55,$V$25:$V$55)</f>
        <v>10.975593601564324</v>
      </c>
      <c r="R35" s="103">
        <f t="shared" si="13"/>
        <v>6.4562315303319551</v>
      </c>
      <c r="S35" s="102">
        <f t="shared" ref="S35:S38" si="29">IF(W35&lt;&gt;"",IF(D35&lt;&gt;"",D35,($I$8-SUM($S$25:S34))*V35*W35/SUMPRODUCT($W35:$W$55,$V35:$V$55)),"")</f>
        <v>65309</v>
      </c>
      <c r="T35" s="103">
        <f t="shared" ref="T35:T38" si="30">IF(W35&lt;&gt;"",IF(E35&lt;&gt;"",E35,($I$9-SUM($T$25:T34))*V35*W35/SUMPRODUCT($W35:$W$55,$V35:$V$55)),"")</f>
        <v>13</v>
      </c>
      <c r="U35" s="103">
        <f t="shared" ref="U35:U38" si="31">IF(W35&lt;&gt;"",IF($I$12&lt;&gt;"",IF(G35&lt;&gt;"",G35,($I$9/$I$12-SUM($U$25:U34))*V35*W35/SUMPRODUCT($W35:$W$55,$V35:$V$55)),""),"")</f>
        <v>8</v>
      </c>
      <c r="V35" s="233">
        <v>1</v>
      </c>
      <c r="W35" s="233">
        <v>1</v>
      </c>
      <c r="X35" s="106"/>
      <c r="Y35" s="106"/>
      <c r="Z35" s="2"/>
      <c r="AA35" s="2"/>
      <c r="AB35" s="2"/>
      <c r="AC35" s="2"/>
      <c r="AD35" s="2"/>
      <c r="AE35" s="2"/>
      <c r="AF35" s="2"/>
      <c r="AG35" s="2"/>
    </row>
    <row r="36" spans="1:33">
      <c r="A36" s="95">
        <v>12</v>
      </c>
      <c r="B36" s="96">
        <v>45857</v>
      </c>
      <c r="C36" s="97" t="s">
        <v>54</v>
      </c>
      <c r="D36" s="98">
        <f>7903+29037</f>
        <v>36940</v>
      </c>
      <c r="E36" s="99">
        <v>9</v>
      </c>
      <c r="F36" s="99">
        <f t="shared" si="6"/>
        <v>4104.4444444444443</v>
      </c>
      <c r="G36" s="99">
        <v>6</v>
      </c>
      <c r="H36" s="99">
        <f t="shared" si="7"/>
        <v>6156.666666666667</v>
      </c>
      <c r="I36" s="99">
        <v>30</v>
      </c>
      <c r="J36" s="232">
        <f t="shared" si="8"/>
        <v>1.5</v>
      </c>
      <c r="K36" s="99"/>
      <c r="L36" s="99">
        <v>7903</v>
      </c>
      <c r="M36" s="99"/>
      <c r="N36" s="100">
        <f t="shared" si="9"/>
        <v>0.2</v>
      </c>
      <c r="O36" s="101">
        <f t="shared" si="10"/>
        <v>0.56094156636677694</v>
      </c>
      <c r="P36" s="102">
        <f t="shared" si="27"/>
        <v>65853.561609385943</v>
      </c>
      <c r="Q36" s="103">
        <f t="shared" si="28"/>
        <v>10.975593601564324</v>
      </c>
      <c r="R36" s="103">
        <f t="shared" si="13"/>
        <v>6.4562315303319551</v>
      </c>
      <c r="S36" s="102">
        <f t="shared" si="29"/>
        <v>36940</v>
      </c>
      <c r="T36" s="103">
        <f t="shared" si="30"/>
        <v>9</v>
      </c>
      <c r="U36" s="103">
        <f t="shared" si="31"/>
        <v>6</v>
      </c>
      <c r="V36" s="233">
        <v>1</v>
      </c>
      <c r="W36" s="233">
        <v>1</v>
      </c>
      <c r="X36" s="106"/>
      <c r="Y36" s="106"/>
      <c r="Z36" s="2"/>
      <c r="AA36" s="2"/>
      <c r="AB36" s="2"/>
      <c r="AC36" s="2"/>
      <c r="AD36" s="2"/>
      <c r="AE36" s="2"/>
      <c r="AF36" s="2"/>
      <c r="AG36" s="2"/>
    </row>
    <row r="37" spans="1:33">
      <c r="A37" s="95">
        <v>13</v>
      </c>
      <c r="B37" s="96">
        <v>45858</v>
      </c>
      <c r="C37" s="231" t="s">
        <v>55</v>
      </c>
      <c r="D37" s="98">
        <v>18872</v>
      </c>
      <c r="E37" s="99">
        <v>4</v>
      </c>
      <c r="F37" s="99">
        <f t="shared" si="6"/>
        <v>4718</v>
      </c>
      <c r="G37" s="99">
        <v>4</v>
      </c>
      <c r="H37" s="99">
        <f t="shared" si="7"/>
        <v>4718</v>
      </c>
      <c r="I37" s="99">
        <v>25</v>
      </c>
      <c r="J37" s="232">
        <f t="shared" si="8"/>
        <v>1</v>
      </c>
      <c r="K37" s="99"/>
      <c r="L37" s="99"/>
      <c r="M37" s="99"/>
      <c r="N37" s="100">
        <f t="shared" si="9"/>
        <v>0.16</v>
      </c>
      <c r="O37" s="101">
        <f t="shared" si="10"/>
        <v>0.28657523661271833</v>
      </c>
      <c r="P37" s="102">
        <f t="shared" si="27"/>
        <v>65853.561609385943</v>
      </c>
      <c r="Q37" s="103">
        <f t="shared" si="28"/>
        <v>10.975593601564324</v>
      </c>
      <c r="R37" s="103">
        <f t="shared" si="13"/>
        <v>6.4562315303319551</v>
      </c>
      <c r="S37" s="102">
        <f t="shared" si="29"/>
        <v>18872</v>
      </c>
      <c r="T37" s="103">
        <f t="shared" si="30"/>
        <v>4</v>
      </c>
      <c r="U37" s="103">
        <f t="shared" si="31"/>
        <v>4</v>
      </c>
      <c r="V37" s="233">
        <v>1</v>
      </c>
      <c r="W37" s="233">
        <v>1</v>
      </c>
      <c r="X37" s="106"/>
      <c r="Y37" s="106"/>
      <c r="Z37" s="111"/>
      <c r="AA37" s="2"/>
      <c r="AB37" s="2"/>
      <c r="AC37" s="2"/>
      <c r="AD37" s="2"/>
      <c r="AE37" s="2"/>
      <c r="AF37" s="2"/>
      <c r="AG37" s="2"/>
    </row>
    <row r="38" spans="1:33">
      <c r="A38" s="95">
        <v>14</v>
      </c>
      <c r="B38" s="96">
        <v>45859</v>
      </c>
      <c r="C38" s="120" t="s">
        <v>56</v>
      </c>
      <c r="D38" s="98">
        <f>690+27155</f>
        <v>27845</v>
      </c>
      <c r="E38" s="99">
        <v>6</v>
      </c>
      <c r="F38" s="99">
        <f t="shared" si="6"/>
        <v>4640.833333333333</v>
      </c>
      <c r="G38" s="99">
        <v>7</v>
      </c>
      <c r="H38" s="99">
        <f t="shared" si="7"/>
        <v>3977.8571428571427</v>
      </c>
      <c r="I38" s="99">
        <v>40</v>
      </c>
      <c r="J38" s="232">
        <f t="shared" si="8"/>
        <v>0.8571428571428571</v>
      </c>
      <c r="K38" s="99"/>
      <c r="L38" s="99">
        <v>690</v>
      </c>
      <c r="M38" s="99"/>
      <c r="N38" s="100">
        <f t="shared" si="9"/>
        <v>0.17499999999999999</v>
      </c>
      <c r="O38" s="101">
        <f t="shared" si="10"/>
        <v>0.42283210383007319</v>
      </c>
      <c r="P38" s="102">
        <f t="shared" si="27"/>
        <v>65853.561609385943</v>
      </c>
      <c r="Q38" s="103">
        <f t="shared" si="28"/>
        <v>10.975593601564324</v>
      </c>
      <c r="R38" s="103">
        <f t="shared" si="13"/>
        <v>6.4562315303319551</v>
      </c>
      <c r="S38" s="102">
        <f t="shared" si="29"/>
        <v>27845</v>
      </c>
      <c r="T38" s="103">
        <f t="shared" si="30"/>
        <v>6</v>
      </c>
      <c r="U38" s="103">
        <f t="shared" si="31"/>
        <v>7</v>
      </c>
      <c r="V38" s="233">
        <v>1</v>
      </c>
      <c r="W38" s="233">
        <v>1</v>
      </c>
      <c r="X38" s="106"/>
      <c r="Y38" s="106"/>
      <c r="Z38" s="111"/>
      <c r="AA38" s="2"/>
      <c r="AB38" s="2"/>
      <c r="AC38" s="2"/>
      <c r="AD38" s="2"/>
      <c r="AE38" s="2"/>
      <c r="AF38" s="2"/>
      <c r="AG38" s="2"/>
    </row>
    <row r="39" spans="1:33" s="234" customFormat="1">
      <c r="A39" s="235">
        <v>15</v>
      </c>
      <c r="B39" s="236">
        <v>45860</v>
      </c>
      <c r="C39" s="237" t="s">
        <v>48</v>
      </c>
      <c r="D39" s="232">
        <v>10286</v>
      </c>
      <c r="E39" s="245">
        <v>2</v>
      </c>
      <c r="F39" s="99">
        <f t="shared" si="6"/>
        <v>5143</v>
      </c>
      <c r="G39" s="245">
        <v>2</v>
      </c>
      <c r="H39" s="99">
        <f t="shared" si="7"/>
        <v>5143</v>
      </c>
      <c r="I39" s="245">
        <v>20</v>
      </c>
      <c r="J39" s="232">
        <f t="shared" si="8"/>
        <v>1</v>
      </c>
      <c r="K39" s="238"/>
      <c r="L39" s="238"/>
      <c r="M39" s="238"/>
      <c r="N39" s="239">
        <f t="shared" si="9"/>
        <v>0.1</v>
      </c>
      <c r="O39" s="240">
        <f t="shared" si="10"/>
        <v>0.15619504471165857</v>
      </c>
      <c r="P39" s="241">
        <f t="shared" si="17"/>
        <v>65853.561609385943</v>
      </c>
      <c r="Q39" s="242">
        <f t="shared" si="18"/>
        <v>10.975593601564324</v>
      </c>
      <c r="R39" s="242">
        <f t="shared" si="13"/>
        <v>6.4562315303319551</v>
      </c>
      <c r="S39" s="241">
        <f t="shared" si="24"/>
        <v>10286</v>
      </c>
      <c r="T39" s="242">
        <f t="shared" si="25"/>
        <v>2</v>
      </c>
      <c r="U39" s="242">
        <f t="shared" si="26"/>
        <v>2</v>
      </c>
      <c r="V39" s="233">
        <v>1</v>
      </c>
      <c r="W39" s="233">
        <v>1</v>
      </c>
      <c r="X39" s="243"/>
      <c r="Y39" s="243"/>
      <c r="Z39" s="246"/>
      <c r="AA39" s="244"/>
      <c r="AB39" s="244"/>
      <c r="AC39" s="244"/>
      <c r="AD39" s="244"/>
      <c r="AE39" s="244"/>
      <c r="AF39" s="244"/>
      <c r="AG39" s="244"/>
    </row>
    <row r="40" spans="1:33" s="234" customFormat="1">
      <c r="A40" s="235">
        <v>16</v>
      </c>
      <c r="B40" s="236">
        <v>45861</v>
      </c>
      <c r="C40" s="247" t="s">
        <v>50</v>
      </c>
      <c r="D40" s="232">
        <v>7384</v>
      </c>
      <c r="E40" s="238">
        <v>2</v>
      </c>
      <c r="F40" s="99">
        <f t="shared" si="6"/>
        <v>3692</v>
      </c>
      <c r="G40" s="238">
        <v>1</v>
      </c>
      <c r="H40" s="99">
        <f t="shared" si="7"/>
        <v>7384</v>
      </c>
      <c r="I40" s="238">
        <v>20</v>
      </c>
      <c r="J40" s="232">
        <f t="shared" si="8"/>
        <v>2</v>
      </c>
      <c r="K40" s="238"/>
      <c r="L40" s="238"/>
      <c r="M40" s="238"/>
      <c r="N40" s="239">
        <f t="shared" si="9"/>
        <v>0.05</v>
      </c>
      <c r="O40" s="240">
        <f t="shared" si="10"/>
        <v>0.11212757244321281</v>
      </c>
      <c r="P40" s="241">
        <f t="shared" si="17"/>
        <v>65853.561609385943</v>
      </c>
      <c r="Q40" s="242">
        <f t="shared" si="18"/>
        <v>10.975593601564324</v>
      </c>
      <c r="R40" s="242">
        <f t="shared" si="13"/>
        <v>6.4562315303319551</v>
      </c>
      <c r="S40" s="241">
        <f t="shared" si="24"/>
        <v>7384</v>
      </c>
      <c r="T40" s="242">
        <f t="shared" si="25"/>
        <v>2</v>
      </c>
      <c r="U40" s="242">
        <f t="shared" si="26"/>
        <v>1</v>
      </c>
      <c r="V40" s="233">
        <v>1</v>
      </c>
      <c r="W40" s="233">
        <v>1</v>
      </c>
      <c r="X40" s="243"/>
      <c r="Y40" s="243"/>
      <c r="Z40" s="246"/>
      <c r="AA40" s="244"/>
      <c r="AB40" s="244"/>
      <c r="AC40" s="244"/>
      <c r="AD40" s="244"/>
      <c r="AE40" s="244"/>
      <c r="AF40" s="244"/>
      <c r="AG40" s="244"/>
    </row>
    <row r="41" spans="1:33" s="234" customFormat="1">
      <c r="A41" s="235">
        <v>17</v>
      </c>
      <c r="B41" s="236">
        <v>45862</v>
      </c>
      <c r="C41" s="237" t="s">
        <v>52</v>
      </c>
      <c r="D41" s="248">
        <v>11979</v>
      </c>
      <c r="E41" s="238">
        <v>3</v>
      </c>
      <c r="F41" s="99">
        <f t="shared" si="6"/>
        <v>3993</v>
      </c>
      <c r="G41" s="245">
        <v>3</v>
      </c>
      <c r="H41" s="99">
        <f t="shared" si="7"/>
        <v>3993</v>
      </c>
      <c r="I41" s="245">
        <v>20</v>
      </c>
      <c r="J41" s="232">
        <f t="shared" si="8"/>
        <v>1</v>
      </c>
      <c r="K41" s="238"/>
      <c r="L41" s="238"/>
      <c r="M41" s="238"/>
      <c r="N41" s="239">
        <f t="shared" si="9"/>
        <v>0.15</v>
      </c>
      <c r="O41" s="240">
        <f t="shared" si="10"/>
        <v>0.18190360106950787</v>
      </c>
      <c r="P41" s="241">
        <f t="shared" si="17"/>
        <v>65853.561609385943</v>
      </c>
      <c r="Q41" s="242">
        <f t="shared" si="18"/>
        <v>10.975593601564324</v>
      </c>
      <c r="R41" s="242">
        <f t="shared" si="13"/>
        <v>6.4562315303319551</v>
      </c>
      <c r="S41" s="241">
        <f t="shared" si="24"/>
        <v>11979</v>
      </c>
      <c r="T41" s="242">
        <f t="shared" si="25"/>
        <v>3</v>
      </c>
      <c r="U41" s="242">
        <f t="shared" si="26"/>
        <v>3</v>
      </c>
      <c r="V41" s="233">
        <v>1</v>
      </c>
      <c r="W41" s="233">
        <v>1</v>
      </c>
      <c r="X41" s="243"/>
      <c r="Y41" s="243"/>
      <c r="Z41" s="246"/>
      <c r="AA41" s="244"/>
      <c r="AB41" s="244"/>
      <c r="AC41" s="244"/>
      <c r="AD41" s="244"/>
      <c r="AE41" s="244"/>
      <c r="AF41" s="244"/>
      <c r="AG41" s="244"/>
    </row>
    <row r="42" spans="1:33" s="234" customFormat="1">
      <c r="A42" s="235">
        <v>18</v>
      </c>
      <c r="B42" s="236">
        <v>45863</v>
      </c>
      <c r="C42" s="237" t="s">
        <v>53</v>
      </c>
      <c r="D42" s="249">
        <v>53195</v>
      </c>
      <c r="E42" s="245">
        <v>12</v>
      </c>
      <c r="F42" s="238">
        <f t="shared" si="6"/>
        <v>4432.916666666667</v>
      </c>
      <c r="G42" s="238">
        <v>7</v>
      </c>
      <c r="H42" s="245">
        <f t="shared" si="7"/>
        <v>7599.2857142857147</v>
      </c>
      <c r="I42" s="238">
        <v>35</v>
      </c>
      <c r="J42" s="232">
        <f t="shared" si="8"/>
        <v>1.7142857142857142</v>
      </c>
      <c r="K42" s="238"/>
      <c r="L42" s="238"/>
      <c r="M42" s="238"/>
      <c r="N42" s="239">
        <f t="shared" si="9"/>
        <v>0.2</v>
      </c>
      <c r="O42" s="240">
        <f t="shared" si="10"/>
        <v>0.80777711485870873</v>
      </c>
      <c r="P42" s="241">
        <f t="shared" si="17"/>
        <v>65853.561609385943</v>
      </c>
      <c r="Q42" s="242">
        <f t="shared" si="18"/>
        <v>10.975593601564324</v>
      </c>
      <c r="R42" s="242">
        <f t="shared" si="13"/>
        <v>6.4562315303319551</v>
      </c>
      <c r="S42" s="241">
        <f t="shared" si="24"/>
        <v>53195</v>
      </c>
      <c r="T42" s="242">
        <f t="shared" si="25"/>
        <v>12</v>
      </c>
      <c r="U42" s="242">
        <f t="shared" si="26"/>
        <v>7</v>
      </c>
      <c r="V42" s="233">
        <v>1</v>
      </c>
      <c r="W42" s="233">
        <v>1</v>
      </c>
      <c r="X42" s="243"/>
      <c r="Y42" s="243"/>
      <c r="Z42" s="244"/>
      <c r="AA42" s="244"/>
      <c r="AB42" s="244"/>
      <c r="AC42" s="244"/>
      <c r="AD42" s="244"/>
      <c r="AE42" s="244"/>
      <c r="AF42" s="244"/>
      <c r="AG42" s="244"/>
    </row>
    <row r="43" spans="1:33" s="234" customFormat="1" ht="15" customHeight="1">
      <c r="A43" s="235">
        <v>19</v>
      </c>
      <c r="B43" s="236">
        <v>45864</v>
      </c>
      <c r="C43" s="237" t="s">
        <v>54</v>
      </c>
      <c r="D43" s="248">
        <v>22268</v>
      </c>
      <c r="E43" s="250">
        <v>4</v>
      </c>
      <c r="F43" s="245">
        <f t="shared" si="6"/>
        <v>5567</v>
      </c>
      <c r="G43" s="250">
        <v>2</v>
      </c>
      <c r="H43" s="250">
        <f t="shared" si="7"/>
        <v>11134</v>
      </c>
      <c r="I43" s="250">
        <v>35</v>
      </c>
      <c r="J43" s="251">
        <f t="shared" si="8"/>
        <v>2</v>
      </c>
      <c r="K43" s="250"/>
      <c r="L43" s="250"/>
      <c r="M43" s="250"/>
      <c r="N43" s="252">
        <f t="shared" si="9"/>
        <v>5.7142857142857141E-2</v>
      </c>
      <c r="O43" s="253">
        <f t="shared" si="10"/>
        <v>0.33814420140377338</v>
      </c>
      <c r="P43" s="254">
        <f t="shared" si="17"/>
        <v>65853.561609385943</v>
      </c>
      <c r="Q43" s="255">
        <f t="shared" si="18"/>
        <v>10.975593601564324</v>
      </c>
      <c r="R43" s="255">
        <f t="shared" si="13"/>
        <v>6.4562315303319551</v>
      </c>
      <c r="S43" s="254">
        <f t="shared" si="24"/>
        <v>22268</v>
      </c>
      <c r="T43" s="255">
        <f t="shared" si="25"/>
        <v>4</v>
      </c>
      <c r="U43" s="255">
        <f t="shared" si="26"/>
        <v>2</v>
      </c>
      <c r="V43" s="233">
        <v>1</v>
      </c>
      <c r="W43" s="233">
        <v>1</v>
      </c>
      <c r="X43" s="243"/>
      <c r="Y43" s="243"/>
      <c r="Z43" s="246"/>
      <c r="AA43" s="244"/>
      <c r="AB43" s="244"/>
      <c r="AC43" s="244"/>
      <c r="AD43" s="244"/>
      <c r="AE43" s="244"/>
      <c r="AF43" s="244"/>
      <c r="AG43" s="244"/>
    </row>
    <row r="44" spans="1:33" s="234" customFormat="1" ht="15" customHeight="1">
      <c r="A44" s="235">
        <v>20</v>
      </c>
      <c r="B44" s="236">
        <v>45868</v>
      </c>
      <c r="C44" s="237" t="s">
        <v>50</v>
      </c>
      <c r="D44" s="256">
        <v>129600</v>
      </c>
      <c r="E44" s="257">
        <v>21</v>
      </c>
      <c r="F44" s="257">
        <f t="shared" si="6"/>
        <v>6171.4285714285716</v>
      </c>
      <c r="G44" s="257">
        <v>10</v>
      </c>
      <c r="H44" s="257">
        <f t="shared" si="7"/>
        <v>12960</v>
      </c>
      <c r="I44" s="257">
        <v>50</v>
      </c>
      <c r="J44" s="258">
        <f t="shared" si="8"/>
        <v>2.1</v>
      </c>
      <c r="K44" s="257"/>
      <c r="L44" s="257">
        <v>51949</v>
      </c>
      <c r="M44" s="257"/>
      <c r="N44" s="259">
        <f t="shared" si="9"/>
        <v>0.2</v>
      </c>
      <c r="O44" s="260">
        <f t="shared" si="10"/>
        <v>1.9680028966197698</v>
      </c>
      <c r="P44" s="261">
        <f t="shared" si="17"/>
        <v>65853.561609385943</v>
      </c>
      <c r="Q44" s="262">
        <f t="shared" si="18"/>
        <v>10.975593601564324</v>
      </c>
      <c r="R44" s="262">
        <f t="shared" si="13"/>
        <v>6.4562315303319551</v>
      </c>
      <c r="S44" s="261">
        <f t="shared" si="24"/>
        <v>129600</v>
      </c>
      <c r="T44" s="262">
        <f t="shared" si="25"/>
        <v>21</v>
      </c>
      <c r="U44" s="262">
        <f t="shared" si="26"/>
        <v>10</v>
      </c>
      <c r="V44" s="233">
        <v>1</v>
      </c>
      <c r="W44" s="233">
        <v>1</v>
      </c>
      <c r="X44" s="243"/>
      <c r="Y44" s="243"/>
      <c r="Z44" s="246"/>
      <c r="AA44" s="244"/>
      <c r="AB44" s="244"/>
      <c r="AC44" s="244"/>
      <c r="AD44" s="244"/>
      <c r="AE44" s="244"/>
      <c r="AF44" s="244"/>
      <c r="AG44" s="244"/>
    </row>
    <row r="45" spans="1:33" s="234" customFormat="1" ht="15" customHeight="1">
      <c r="A45" s="235">
        <v>21</v>
      </c>
      <c r="B45" s="236">
        <v>45869</v>
      </c>
      <c r="C45" s="247" t="s">
        <v>52</v>
      </c>
      <c r="D45" s="258">
        <f>103540-6394-4671</f>
        <v>92475</v>
      </c>
      <c r="E45" s="257">
        <v>16</v>
      </c>
      <c r="F45" s="257">
        <f t="shared" si="6"/>
        <v>5779.6875</v>
      </c>
      <c r="G45" s="257">
        <v>9</v>
      </c>
      <c r="H45" s="257">
        <f t="shared" si="7"/>
        <v>10275</v>
      </c>
      <c r="I45" s="257">
        <v>50</v>
      </c>
      <c r="J45" s="258">
        <f t="shared" si="8"/>
        <v>1.7777777777777777</v>
      </c>
      <c r="K45" s="257">
        <v>16991</v>
      </c>
      <c r="L45" s="257"/>
      <c r="M45" s="257"/>
      <c r="N45" s="259">
        <f t="shared" si="9"/>
        <v>0.18</v>
      </c>
      <c r="O45" s="260">
        <f t="shared" si="10"/>
        <v>1.4042520668588983</v>
      </c>
      <c r="P45" s="261">
        <f t="shared" si="17"/>
        <v>65853.561609385943</v>
      </c>
      <c r="Q45" s="262">
        <f t="shared" si="18"/>
        <v>10.975593601564324</v>
      </c>
      <c r="R45" s="262">
        <f t="shared" si="13"/>
        <v>6.4562315303319551</v>
      </c>
      <c r="S45" s="261">
        <f t="shared" si="24"/>
        <v>92475</v>
      </c>
      <c r="T45" s="262">
        <f t="shared" si="25"/>
        <v>16</v>
      </c>
      <c r="U45" s="262">
        <f t="shared" si="26"/>
        <v>9</v>
      </c>
      <c r="V45" s="233">
        <v>1</v>
      </c>
      <c r="W45" s="233">
        <v>1</v>
      </c>
      <c r="X45" s="243"/>
      <c r="Y45" s="243"/>
      <c r="Z45" s="246"/>
      <c r="AA45" s="244"/>
      <c r="AB45" s="244"/>
      <c r="AC45" s="244"/>
      <c r="AD45" s="244"/>
      <c r="AE45" s="244"/>
      <c r="AF45" s="244"/>
      <c r="AG45" s="244"/>
    </row>
    <row r="46" spans="1:33" s="234" customFormat="1" ht="15" customHeight="1">
      <c r="A46" s="235">
        <v>22</v>
      </c>
      <c r="B46" s="236"/>
      <c r="C46" s="263"/>
      <c r="D46" s="258"/>
      <c r="E46" s="257"/>
      <c r="F46" s="257" t="str">
        <f t="shared" si="6"/>
        <v/>
      </c>
      <c r="G46" s="257"/>
      <c r="H46" s="257" t="str">
        <f t="shared" si="7"/>
        <v/>
      </c>
      <c r="I46" s="257"/>
      <c r="J46" s="258" t="str">
        <f t="shared" si="8"/>
        <v/>
      </c>
      <c r="K46" s="257"/>
      <c r="L46" s="257"/>
      <c r="M46" s="257"/>
      <c r="N46" s="259" t="str">
        <f t="shared" si="9"/>
        <v/>
      </c>
      <c r="O46" s="260" t="e">
        <f t="shared" si="10"/>
        <v>#DIV/0!</v>
      </c>
      <c r="P46" s="261">
        <f t="shared" si="17"/>
        <v>0</v>
      </c>
      <c r="Q46" s="262">
        <f t="shared" si="18"/>
        <v>0</v>
      </c>
      <c r="R46" s="262">
        <f t="shared" si="13"/>
        <v>0</v>
      </c>
      <c r="S46" s="261" t="str">
        <f t="shared" si="24"/>
        <v/>
      </c>
      <c r="T46" s="262" t="str">
        <f t="shared" si="25"/>
        <v/>
      </c>
      <c r="U46" s="262" t="str">
        <f t="shared" si="26"/>
        <v/>
      </c>
      <c r="V46" s="233"/>
      <c r="W46" s="233"/>
      <c r="X46" s="243"/>
      <c r="Y46" s="243"/>
      <c r="Z46" s="246"/>
      <c r="AA46" s="244"/>
      <c r="AB46" s="244"/>
      <c r="AC46" s="244"/>
      <c r="AD46" s="244"/>
      <c r="AE46" s="244"/>
      <c r="AF46" s="244"/>
      <c r="AG46" s="244"/>
    </row>
    <row r="47" spans="1:33" s="234" customFormat="1" ht="15" customHeight="1">
      <c r="A47" s="235">
        <v>23</v>
      </c>
      <c r="B47" s="236"/>
      <c r="C47" s="247"/>
      <c r="D47" s="258"/>
      <c r="E47" s="257"/>
      <c r="F47" s="257" t="str">
        <f t="shared" si="6"/>
        <v/>
      </c>
      <c r="G47" s="257"/>
      <c r="H47" s="257" t="str">
        <f t="shared" si="7"/>
        <v/>
      </c>
      <c r="I47" s="257"/>
      <c r="J47" s="258" t="str">
        <f t="shared" si="8"/>
        <v/>
      </c>
      <c r="K47" s="257"/>
      <c r="L47" s="257"/>
      <c r="M47" s="257"/>
      <c r="N47" s="259" t="str">
        <f t="shared" si="9"/>
        <v/>
      </c>
      <c r="O47" s="260" t="e">
        <f t="shared" si="10"/>
        <v>#DIV/0!</v>
      </c>
      <c r="P47" s="261">
        <f t="shared" si="17"/>
        <v>0</v>
      </c>
      <c r="Q47" s="262">
        <f t="shared" si="18"/>
        <v>0</v>
      </c>
      <c r="R47" s="262">
        <f t="shared" si="13"/>
        <v>0</v>
      </c>
      <c r="S47" s="261" t="str">
        <f t="shared" si="24"/>
        <v/>
      </c>
      <c r="T47" s="262" t="str">
        <f t="shared" si="25"/>
        <v/>
      </c>
      <c r="U47" s="262" t="str">
        <f t="shared" si="26"/>
        <v/>
      </c>
      <c r="V47" s="233"/>
      <c r="W47" s="264"/>
      <c r="X47" s="243"/>
      <c r="Y47" s="243"/>
      <c r="Z47" s="246"/>
      <c r="AA47" s="244"/>
      <c r="AB47" s="244"/>
      <c r="AC47" s="244"/>
      <c r="AD47" s="244"/>
      <c r="AE47" s="244"/>
      <c r="AF47" s="244"/>
      <c r="AG47" s="244"/>
    </row>
    <row r="48" spans="1:33" s="234" customFormat="1" ht="15" customHeight="1">
      <c r="A48" s="235">
        <v>24</v>
      </c>
      <c r="B48" s="236"/>
      <c r="C48" s="265"/>
      <c r="D48" s="258"/>
      <c r="E48" s="257"/>
      <c r="F48" s="257" t="str">
        <f t="shared" si="6"/>
        <v/>
      </c>
      <c r="G48" s="257"/>
      <c r="H48" s="257" t="str">
        <f t="shared" si="7"/>
        <v/>
      </c>
      <c r="I48" s="257"/>
      <c r="J48" s="258" t="str">
        <f t="shared" si="8"/>
        <v/>
      </c>
      <c r="K48" s="257"/>
      <c r="L48" s="257"/>
      <c r="M48" s="257"/>
      <c r="N48" s="259" t="str">
        <f t="shared" si="9"/>
        <v/>
      </c>
      <c r="O48" s="260" t="e">
        <f t="shared" si="10"/>
        <v>#DIV/0!</v>
      </c>
      <c r="P48" s="261">
        <f t="shared" si="17"/>
        <v>0</v>
      </c>
      <c r="Q48" s="262">
        <f t="shared" si="18"/>
        <v>0</v>
      </c>
      <c r="R48" s="262">
        <f t="shared" si="13"/>
        <v>0</v>
      </c>
      <c r="S48" s="261" t="str">
        <f t="shared" si="24"/>
        <v/>
      </c>
      <c r="T48" s="262" t="str">
        <f t="shared" si="25"/>
        <v/>
      </c>
      <c r="U48" s="262" t="str">
        <f t="shared" si="26"/>
        <v/>
      </c>
      <c r="V48" s="233"/>
      <c r="W48" s="264"/>
      <c r="X48" s="243"/>
      <c r="Y48" s="243"/>
      <c r="Z48" s="246"/>
      <c r="AA48" s="244"/>
      <c r="AB48" s="244"/>
      <c r="AC48" s="244"/>
      <c r="AD48" s="244"/>
      <c r="AE48" s="244"/>
      <c r="AF48" s="244"/>
      <c r="AG48" s="244"/>
    </row>
    <row r="49" spans="1:33" s="234" customFormat="1" ht="15" customHeight="1">
      <c r="A49" s="235">
        <v>25</v>
      </c>
      <c r="B49" s="236"/>
      <c r="C49" s="265"/>
      <c r="D49" s="258"/>
      <c r="E49" s="257"/>
      <c r="F49" s="257" t="str">
        <f t="shared" si="6"/>
        <v/>
      </c>
      <c r="G49" s="257"/>
      <c r="H49" s="257" t="str">
        <f t="shared" si="7"/>
        <v/>
      </c>
      <c r="I49" s="257"/>
      <c r="J49" s="258" t="str">
        <f t="shared" si="8"/>
        <v/>
      </c>
      <c r="K49" s="257"/>
      <c r="L49" s="257"/>
      <c r="M49" s="257"/>
      <c r="N49" s="259" t="str">
        <f t="shared" si="9"/>
        <v/>
      </c>
      <c r="O49" s="260" t="e">
        <f t="shared" si="10"/>
        <v>#DIV/0!</v>
      </c>
      <c r="P49" s="261">
        <f t="shared" si="17"/>
        <v>0</v>
      </c>
      <c r="Q49" s="262">
        <f t="shared" si="18"/>
        <v>0</v>
      </c>
      <c r="R49" s="262">
        <f t="shared" si="13"/>
        <v>0</v>
      </c>
      <c r="S49" s="261" t="str">
        <f t="shared" si="24"/>
        <v/>
      </c>
      <c r="T49" s="262" t="str">
        <f t="shared" si="25"/>
        <v/>
      </c>
      <c r="U49" s="262" t="str">
        <f t="shared" si="26"/>
        <v/>
      </c>
      <c r="V49" s="266"/>
      <c r="W49" s="264"/>
      <c r="X49" s="243"/>
      <c r="Y49" s="243"/>
      <c r="Z49" s="246"/>
      <c r="AA49" s="244"/>
      <c r="AB49" s="244"/>
      <c r="AC49" s="244"/>
      <c r="AD49" s="244"/>
      <c r="AE49" s="244"/>
      <c r="AF49" s="244"/>
      <c r="AG49" s="244"/>
    </row>
    <row r="50" spans="1:33" ht="15" customHeight="1">
      <c r="B50" s="592" t="s">
        <v>60</v>
      </c>
      <c r="C50" s="592"/>
      <c r="D50" s="114">
        <f>SUM(D25:D49)</f>
        <v>801378</v>
      </c>
      <c r="E50" s="114">
        <f>SUM(E25:E49)</f>
        <v>155</v>
      </c>
      <c r="F50" s="114">
        <f t="shared" si="6"/>
        <v>5170.1806451612902</v>
      </c>
      <c r="G50" s="114">
        <f>SUM(G25:G49)</f>
        <v>100</v>
      </c>
      <c r="H50" s="114">
        <f t="shared" si="7"/>
        <v>8013.78</v>
      </c>
      <c r="I50" s="114">
        <f>SUM(I25:I49)</f>
        <v>605</v>
      </c>
      <c r="J50" s="113">
        <f t="shared" si="8"/>
        <v>1.55</v>
      </c>
      <c r="K50" s="114">
        <f>SUM(K25:K49)</f>
        <v>59359</v>
      </c>
      <c r="L50" s="114">
        <f>SUM(L25:L49)</f>
        <v>131683</v>
      </c>
      <c r="M50" s="114">
        <f>SUM(M25:M49)</f>
        <v>0</v>
      </c>
      <c r="N50" s="115">
        <f t="shared" si="9"/>
        <v>0.16528925619834711</v>
      </c>
      <c r="O50" s="116">
        <f t="shared" si="10"/>
        <v>0.56926097329342673</v>
      </c>
      <c r="P50" s="117">
        <f t="shared" ref="P50:U50" si="32">SUM(P25:P49)</f>
        <v>1407751.5192437549</v>
      </c>
      <c r="Q50" s="117">
        <f t="shared" si="32"/>
        <v>234.62525320729242</v>
      </c>
      <c r="R50" s="117">
        <f t="shared" si="32"/>
        <v>138.01485482781911</v>
      </c>
      <c r="S50" s="117">
        <f t="shared" si="32"/>
        <v>801378</v>
      </c>
      <c r="T50" s="117">
        <f t="shared" si="32"/>
        <v>153</v>
      </c>
      <c r="U50" s="117">
        <f t="shared" si="32"/>
        <v>100</v>
      </c>
      <c r="V50" s="267"/>
      <c r="W50" s="267"/>
    </row>
    <row r="51" spans="1:33">
      <c r="B51" s="120"/>
      <c r="C51" s="121"/>
      <c r="D51" s="122">
        <f>SUMIF(D25:D49,"",P25:P49)+D50</f>
        <v>801378</v>
      </c>
      <c r="E51" s="123"/>
      <c r="F51" s="121"/>
      <c r="G51" s="121"/>
      <c r="H51" s="124"/>
      <c r="I51" s="229"/>
      <c r="J51" s="124"/>
      <c r="L51" s="126"/>
      <c r="M51" s="123"/>
      <c r="N51" s="126"/>
      <c r="O51" s="126"/>
      <c r="P51" s="126"/>
      <c r="Q51" s="127"/>
    </row>
    <row r="52" spans="1:33">
      <c r="D52" s="224"/>
    </row>
    <row r="54" spans="1:33">
      <c r="D54" s="224"/>
    </row>
    <row r="55" spans="1:33">
      <c r="D55" s="224"/>
    </row>
  </sheetData>
  <mergeCells count="28">
    <mergeCell ref="P22:W22"/>
    <mergeCell ref="B50:C50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80" priority="222" operator="lessThan">
      <formula>0</formula>
    </cfRule>
    <cfRule type="cellIs" dxfId="179" priority="220" operator="greaterThan">
      <formula>0</formula>
    </cfRule>
  </conditionalFormatting>
  <conditionalFormatting sqref="J25:J43">
    <cfRule type="cellIs" dxfId="178" priority="10" operator="lessThan">
      <formula>$I$12</formula>
    </cfRule>
  </conditionalFormatting>
  <conditionalFormatting sqref="J25:J49">
    <cfRule type="cellIs" dxfId="177" priority="11" operator="greaterThan">
      <formula>$I$12</formula>
    </cfRule>
  </conditionalFormatting>
  <conditionalFormatting sqref="J44:J49">
    <cfRule type="cellIs" dxfId="176" priority="229" operator="lessThan">
      <formula>$I$12</formula>
    </cfRule>
  </conditionalFormatting>
  <conditionalFormatting sqref="K10:K12 K15">
    <cfRule type="cellIs" dxfId="175" priority="219" operator="greaterThan">
      <formula>1</formula>
    </cfRule>
    <cfRule type="cellIs" dxfId="174" priority="223" operator="lessThan">
      <formula>1</formula>
    </cfRule>
  </conditionalFormatting>
  <conditionalFormatting sqref="K13">
    <cfRule type="cellIs" dxfId="173" priority="215" operator="lessThan">
      <formula>$K$14</formula>
    </cfRule>
    <cfRule type="cellIs" dxfId="172" priority="216" operator="greaterThan">
      <formula>$K$14</formula>
    </cfRule>
  </conditionalFormatting>
  <conditionalFormatting sqref="M8:M15">
    <cfRule type="cellIs" dxfId="171" priority="217" operator="lessThan">
      <formula>1</formula>
    </cfRule>
    <cfRule type="cellIs" dxfId="170" priority="218" operator="greaterThan">
      <formula>1</formula>
    </cfRule>
  </conditionalFormatting>
  <conditionalFormatting sqref="N25:N43">
    <cfRule type="cellIs" dxfId="169" priority="7" operator="between">
      <formula>0.2</formula>
      <formula>0.25</formula>
    </cfRule>
  </conditionalFormatting>
  <conditionalFormatting sqref="N25:N49">
    <cfRule type="cellIs" dxfId="168" priority="8" operator="greaterThanOrEqual">
      <formula>0.25</formula>
    </cfRule>
    <cfRule type="cellIs" dxfId="167" priority="9" operator="lessThan">
      <formula>0.2</formula>
    </cfRule>
  </conditionalFormatting>
  <conditionalFormatting sqref="N44:N49">
    <cfRule type="cellIs" dxfId="166" priority="230" operator="between">
      <formula>0.2</formula>
      <formula>0.25</formula>
    </cfRule>
  </conditionalFormatting>
  <conditionalFormatting sqref="O25:O43">
    <cfRule type="cellIs" dxfId="165" priority="1" operator="between">
      <formula>0.9001</formula>
      <formula>0.9999</formula>
    </cfRule>
    <cfRule type="cellIs" dxfId="164" priority="5" operator="between">
      <formula>0.85</formula>
      <formula>1</formula>
    </cfRule>
    <cfRule type="cellIs" dxfId="163" priority="2" operator="lessThan">
      <formula>0.9</formula>
    </cfRule>
  </conditionalFormatting>
  <conditionalFormatting sqref="O25:O49">
    <cfRule type="cellIs" dxfId="162" priority="6" operator="between">
      <formula>0.01</formula>
      <formula>0.99</formula>
    </cfRule>
    <cfRule type="cellIs" dxfId="161" priority="4" operator="greaterThan">
      <formula>100</formula>
    </cfRule>
    <cfRule type="cellIs" dxfId="160" priority="3" operator="greaterThan">
      <formula>1</formula>
    </cfRule>
  </conditionalFormatting>
  <conditionalFormatting sqref="O44:O49">
    <cfRule type="cellIs" dxfId="159" priority="231" operator="between">
      <formula>0.85</formula>
      <formula>1</formula>
    </cfRule>
    <cfRule type="cellIs" dxfId="158" priority="232" operator="lessThan">
      <formula>0.9</formula>
    </cfRule>
    <cfRule type="cellIs" dxfId="157" priority="233" operator="between">
      <formula>0.9001</formula>
      <formula>0.9999</formula>
    </cfRule>
  </conditionalFormatting>
  <conditionalFormatting sqref="P10:Q10">
    <cfRule type="cellIs" dxfId="156" priority="221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U53"/>
  <sheetViews>
    <sheetView showZeros="0" topLeftCell="A2" workbookViewId="0">
      <pane xSplit="3" topLeftCell="D1" activePane="topRight" state="frozen"/>
      <selection pane="topRight" activeCell="L38" sqref="L38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55">
        <f ca="1">TODAY()-1</f>
        <v>45879</v>
      </c>
      <c r="C1" s="655"/>
      <c r="D1" s="11"/>
      <c r="E1" s="11"/>
      <c r="F1" s="12"/>
      <c r="G1" s="12"/>
      <c r="H1" s="12"/>
      <c r="I1" s="12"/>
      <c r="J1" s="198"/>
      <c r="K1" s="198"/>
      <c r="L1" s="198"/>
      <c r="M1" s="198"/>
      <c r="N1" s="198"/>
      <c r="O1" s="198"/>
      <c r="P1" s="198"/>
      <c r="Q1" s="656"/>
      <c r="R1" s="656"/>
      <c r="S1" s="656"/>
      <c r="T1" s="656"/>
      <c r="U1" s="12"/>
      <c r="V1" s="12"/>
      <c r="W1" s="12"/>
    </row>
    <row r="2" spans="2:23" ht="21.75" customHeight="1">
      <c r="B2" s="657" t="s">
        <v>0</v>
      </c>
      <c r="C2" s="657"/>
      <c r="D2" s="11"/>
      <c r="E2" s="11"/>
      <c r="F2" s="12"/>
      <c r="G2" s="12"/>
      <c r="H2" s="12"/>
      <c r="I2" s="12"/>
      <c r="J2" s="658" t="s">
        <v>66</v>
      </c>
      <c r="K2" s="658"/>
      <c r="L2" s="658"/>
      <c r="M2" s="658"/>
      <c r="N2" s="658"/>
      <c r="O2" s="658"/>
      <c r="P2" s="658"/>
      <c r="Q2" s="656"/>
      <c r="R2" s="656"/>
      <c r="S2" s="656"/>
      <c r="T2" s="656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59" t="str">
        <f>График!B27</f>
        <v>Яковенко Алина</v>
      </c>
      <c r="K3" s="660"/>
      <c r="L3" s="660"/>
      <c r="M3" s="660"/>
      <c r="N3" s="661"/>
      <c r="O3" s="198"/>
      <c r="P3" s="199"/>
      <c r="Q3" s="656"/>
      <c r="R3" s="656"/>
      <c r="S3" s="656"/>
      <c r="T3" s="656"/>
      <c r="U3" s="12"/>
      <c r="V3" s="12"/>
      <c r="W3" s="12"/>
    </row>
    <row r="4" spans="2:23" ht="15" customHeight="1">
      <c r="B4" s="11"/>
      <c r="C4" s="665">
        <f>I8-D48</f>
        <v>285087.86252532073</v>
      </c>
      <c r="D4" s="666"/>
      <c r="E4" s="200">
        <f>IF(I8&lt;&gt;0,C4/I8,0)</f>
        <v>0.31358817914438503</v>
      </c>
      <c r="F4" s="12"/>
      <c r="G4" s="12"/>
      <c r="H4" s="12"/>
      <c r="I4" s="12"/>
      <c r="J4" s="662"/>
      <c r="K4" s="663"/>
      <c r="L4" s="663"/>
      <c r="M4" s="663"/>
      <c r="N4" s="664"/>
      <c r="O4" s="12"/>
      <c r="P4" s="12"/>
      <c r="Q4" s="656"/>
      <c r="R4" s="656"/>
      <c r="S4" s="656"/>
      <c r="T4" s="656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7"/>
      <c r="K5" s="667"/>
      <c r="L5" s="667"/>
      <c r="M5" s="667"/>
      <c r="N5" s="667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1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1"/>
      <c r="C7" s="12"/>
      <c r="D7" s="12"/>
      <c r="E7" s="12"/>
      <c r="F7" s="574" t="s">
        <v>3</v>
      </c>
      <c r="G7" s="575"/>
      <c r="H7" s="576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77" t="s">
        <v>11</v>
      </c>
      <c r="Q7" s="578"/>
      <c r="R7" s="21"/>
      <c r="S7" s="21"/>
      <c r="T7" s="12"/>
      <c r="U7" s="12"/>
      <c r="V7" s="12"/>
      <c r="W7" s="12"/>
    </row>
    <row r="8" spans="2:23" ht="15.75" customHeight="1">
      <c r="B8" s="201"/>
      <c r="C8" s="12"/>
      <c r="D8" s="12"/>
      <c r="E8" s="12"/>
      <c r="F8" s="579" t="s">
        <v>12</v>
      </c>
      <c r="G8" s="580"/>
      <c r="H8" s="581"/>
      <c r="I8" s="202">
        <f>'Ялта, Ленина, 18'!I8/График!AJ31*График!AJ27</f>
        <v>909115.46252532071</v>
      </c>
      <c r="J8" s="203">
        <f>D48</f>
        <v>624027.6</v>
      </c>
      <c r="K8" s="268">
        <f t="shared" ref="K8:K9" si="0">IF(AND(I8&lt;&gt;"",I8&lt;&gt;0,J8&lt;&gt;""),J8/I8,"")</f>
        <v>0.68641182085561492</v>
      </c>
      <c r="L8" s="205">
        <f>IF(SUMIF($D$25:$D$47,"&gt;=0",$P$25:$P$47)&lt;&gt;0,I8*D48/SUMIF($D$25:$D$47,"&gt;=0",$P$25:$P$47),0)</f>
        <v>883318.84653739585</v>
      </c>
      <c r="M8" s="32">
        <f t="shared" ref="M8:M9" si="1">IF(AND(I8&lt;&gt;"",I8&lt;&gt;0,L8&lt;&gt;"",L8&lt;&gt;0),L8/I8,"")</f>
        <v>0.97162448880116103</v>
      </c>
      <c r="N8" s="35">
        <f t="shared" ref="N8:N9" si="2">IF(AND(J8&lt;&gt;0,J8&lt;&gt;"",I8&lt;&gt;0,I8&lt;&gt;""),L8-I8,"")</f>
        <v>-25796.615987924859</v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1"/>
      <c r="C9" s="12"/>
      <c r="D9" s="12"/>
      <c r="E9" s="12"/>
      <c r="F9" s="582" t="s">
        <v>13</v>
      </c>
      <c r="G9" s="583"/>
      <c r="H9" s="584"/>
      <c r="I9" s="38">
        <f>I8/I11</f>
        <v>151.51924375422013</v>
      </c>
      <c r="J9" s="39">
        <f>E48</f>
        <v>103</v>
      </c>
      <c r="K9" s="269">
        <f t="shared" si="0"/>
        <v>0.67978163992869878</v>
      </c>
      <c r="L9" s="207">
        <f>IF(SUMIF($E$25:$E$47,"&gt;=0",$Q$25:$Q$47)&lt;&gt;0,I9*E48/SUMIF($E$25:$E$47,"&gt;=0",$Q$25:$Q$47),0)</f>
        <v>145.79778393351796</v>
      </c>
      <c r="M9" s="42">
        <f t="shared" si="1"/>
        <v>0.96223938505142648</v>
      </c>
      <c r="N9" s="43">
        <f t="shared" si="2"/>
        <v>-5.7214598207021652</v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1"/>
      <c r="C10" s="12"/>
      <c r="D10" s="12"/>
      <c r="E10" s="12"/>
      <c r="F10" s="579" t="s">
        <v>14</v>
      </c>
      <c r="G10" s="580"/>
      <c r="H10" s="581"/>
      <c r="I10" s="50">
        <f>I11*I12</f>
        <v>10200</v>
      </c>
      <c r="J10" s="209">
        <f>H48</f>
        <v>9043.8782608695656</v>
      </c>
      <c r="K10" s="270">
        <f t="shared" ref="K10:K19" si="5">IF(AND(I10&lt;&gt;"",I10&lt;&gt;0,J10&lt;&gt;""),J10/I10,"")</f>
        <v>0.88665473145780049</v>
      </c>
      <c r="L10" s="207">
        <f>J10</f>
        <v>9043.8782608695656</v>
      </c>
      <c r="M10" s="48">
        <f t="shared" ref="M10:M20" si="6">IF(AND(I10&lt;&gt;"",I10&lt;&gt;0,L10&lt;&gt;"",L10&lt;&gt;0),L10/I10,"")</f>
        <v>0.88665473145780049</v>
      </c>
      <c r="N10" s="49">
        <f t="shared" ref="N10:N20" si="7">IF(AND(J10&lt;&gt;0,J10&lt;&gt;"",I10&lt;&gt;0,I10&lt;&gt;""),L10-I10,"")</f>
        <v>-1156.1217391304344</v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89" t="s">
        <v>15</v>
      </c>
      <c r="T10" s="589"/>
      <c r="U10" s="12"/>
      <c r="V10" s="12"/>
      <c r="W10" s="12"/>
    </row>
    <row r="11" spans="2:23" ht="15.75" customHeight="1">
      <c r="B11" s="201"/>
      <c r="C11" s="12"/>
      <c r="D11" s="12"/>
      <c r="E11" s="12"/>
      <c r="F11" s="582" t="s">
        <v>16</v>
      </c>
      <c r="G11" s="583"/>
      <c r="H11" s="584"/>
      <c r="I11" s="52">
        <f>'Ялта, Ленина, 18'!I11</f>
        <v>6000</v>
      </c>
      <c r="J11" s="39">
        <f>F48</f>
        <v>6058.5203883495142</v>
      </c>
      <c r="K11" s="271">
        <f t="shared" si="5"/>
        <v>1.0097533980582523</v>
      </c>
      <c r="L11" s="207">
        <f>IF(L9&gt;0,L8/L9,"")</f>
        <v>6058.5203883495142</v>
      </c>
      <c r="M11" s="42">
        <f t="shared" si="6"/>
        <v>1.0097533980582523</v>
      </c>
      <c r="N11" s="43">
        <f t="shared" si="7"/>
        <v>58.520388349514178</v>
      </c>
      <c r="O11" s="53"/>
      <c r="P11" s="43" t="str">
        <f t="shared" si="8"/>
        <v/>
      </c>
      <c r="Q11" s="45" t="str">
        <f t="shared" si="9"/>
        <v/>
      </c>
      <c r="R11" s="21"/>
      <c r="S11" s="589"/>
      <c r="T11" s="589"/>
      <c r="U11" s="12"/>
      <c r="V11" s="12"/>
      <c r="W11" s="12"/>
    </row>
    <row r="12" spans="2:23" ht="15.75" customHeight="1">
      <c r="B12" s="201"/>
      <c r="C12" s="12"/>
      <c r="D12" s="12"/>
      <c r="E12" s="12"/>
      <c r="F12" s="582" t="s">
        <v>17</v>
      </c>
      <c r="G12" s="583"/>
      <c r="H12" s="584"/>
      <c r="I12" s="54">
        <f>'Ялта, Ленина, 18'!I12</f>
        <v>1.7</v>
      </c>
      <c r="J12" s="55">
        <f>J48</f>
        <v>1.4927536231884058</v>
      </c>
      <c r="K12" s="271">
        <f t="shared" si="5"/>
        <v>0.87809036658141515</v>
      </c>
      <c r="L12" s="213">
        <f>J12</f>
        <v>1.4927536231884058</v>
      </c>
      <c r="M12" s="42">
        <f t="shared" si="6"/>
        <v>0.87809036658141515</v>
      </c>
      <c r="N12" s="57">
        <f t="shared" si="7"/>
        <v>-0.20724637681159419</v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18'!S12*График!AJ27/График!AJ31</f>
        <v>191627.27886563132</v>
      </c>
      <c r="T12" s="60">
        <f>L48</f>
        <v>65702</v>
      </c>
      <c r="U12" s="12"/>
      <c r="V12" s="12"/>
      <c r="W12" s="12"/>
    </row>
    <row r="13" spans="2:23" ht="15.75" customHeight="1">
      <c r="B13" s="201"/>
      <c r="C13" s="12"/>
      <c r="D13" s="12"/>
      <c r="E13" s="12"/>
      <c r="F13" s="582" t="s">
        <v>18</v>
      </c>
      <c r="G13" s="583"/>
      <c r="H13" s="584"/>
      <c r="I13" s="38">
        <f>IF(I12&lt;&gt;0,I9/I12,"")</f>
        <v>89.12896691424713</v>
      </c>
      <c r="J13" s="39">
        <f>G48</f>
        <v>69</v>
      </c>
      <c r="K13" s="269">
        <f t="shared" si="5"/>
        <v>0.77415909090909096</v>
      </c>
      <c r="L13" s="207">
        <f>IF(SUMIF($G$25:$G$47,"&gt;=0",$R$25:$R$47)&lt;&gt;0,I13*G48/SUMIF($G$25:$G$47,"&gt;=0",$R$25:$R$47),"")</f>
        <v>97.670360110803287</v>
      </c>
      <c r="M13" s="42">
        <f t="shared" si="6"/>
        <v>1.0958318433643914</v>
      </c>
      <c r="N13" s="57">
        <f t="shared" si="7"/>
        <v>8.5413931965561574</v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0.34286350246652575</v>
      </c>
      <c r="T13" s="62">
        <f>S13/J14*I14</f>
        <v>0.34286350246652575</v>
      </c>
      <c r="U13" s="12"/>
      <c r="V13" s="12"/>
      <c r="W13" s="12"/>
    </row>
    <row r="14" spans="2:23" ht="15.75" customHeight="1">
      <c r="B14" s="201"/>
      <c r="C14" s="12"/>
      <c r="D14" s="214"/>
      <c r="E14" s="12"/>
      <c r="F14" s="582" t="s">
        <v>63</v>
      </c>
      <c r="G14" s="583"/>
      <c r="H14" s="584"/>
      <c r="I14" s="52">
        <f>График!AI27</f>
        <v>14</v>
      </c>
      <c r="J14" s="64">
        <v>14</v>
      </c>
      <c r="K14" s="269">
        <f t="shared" si="5"/>
        <v>1</v>
      </c>
      <c r="L14" s="41">
        <f>I14</f>
        <v>14</v>
      </c>
      <c r="M14" s="42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01"/>
      <c r="C15" s="12"/>
      <c r="D15" s="12"/>
      <c r="E15" s="12"/>
      <c r="F15" s="582" t="s">
        <v>20</v>
      </c>
      <c r="G15" s="583"/>
      <c r="H15" s="584"/>
      <c r="I15" s="75">
        <f>'Ялта, Ленина, 18'!I15</f>
        <v>131612.90322580645</v>
      </c>
      <c r="J15" s="67">
        <f>J8/J14</f>
        <v>44573.4</v>
      </c>
      <c r="K15" s="77">
        <f t="shared" si="5"/>
        <v>0.3386704411764706</v>
      </c>
      <c r="L15" s="72">
        <f t="shared" ref="L15:L16" si="10">J15</f>
        <v>44573.4</v>
      </c>
      <c r="M15" s="70">
        <f t="shared" si="6"/>
        <v>0.3386704411764706</v>
      </c>
      <c r="N15" s="43">
        <f t="shared" si="7"/>
        <v>-87039.50322580646</v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01"/>
      <c r="C16" s="12"/>
      <c r="D16" s="12"/>
      <c r="E16" s="12"/>
      <c r="F16" s="582" t="s">
        <v>21</v>
      </c>
      <c r="G16" s="583"/>
      <c r="H16" s="584"/>
      <c r="I16" s="75"/>
      <c r="J16" s="67">
        <f>J8-I15*J14</f>
        <v>-1218553.0451612906</v>
      </c>
      <c r="K16" s="77" t="str">
        <f t="shared" si="5"/>
        <v/>
      </c>
      <c r="L16" s="72">
        <f t="shared" si="10"/>
        <v>-1218553.0451612906</v>
      </c>
      <c r="M16" s="73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89" t="s">
        <v>22</v>
      </c>
      <c r="T16" s="589"/>
      <c r="U16" s="12"/>
      <c r="V16" s="12"/>
      <c r="W16" s="12"/>
    </row>
    <row r="17" spans="1:30" ht="15.75" customHeight="1">
      <c r="B17" s="201"/>
      <c r="C17" s="12"/>
      <c r="D17" s="12"/>
      <c r="E17" s="12"/>
      <c r="F17" s="582" t="s">
        <v>23</v>
      </c>
      <c r="G17" s="583"/>
      <c r="H17" s="584"/>
      <c r="I17" s="75">
        <f>'Ялта, Ленина, 18'!I17/График!AJ31*График!AJ27</f>
        <v>356.51586765698858</v>
      </c>
      <c r="J17" s="67">
        <f>I48</f>
        <v>450</v>
      </c>
      <c r="K17" s="77">
        <f t="shared" si="5"/>
        <v>1.2622159090909089</v>
      </c>
      <c r="L17" s="78">
        <f>J17/J14*I14</f>
        <v>450.00000000000006</v>
      </c>
      <c r="M17" s="73">
        <f t="shared" si="6"/>
        <v>1.2622159090909091</v>
      </c>
      <c r="N17" s="43">
        <f t="shared" si="7"/>
        <v>93.484132343011481</v>
      </c>
      <c r="O17" s="71"/>
      <c r="P17" s="43" t="str">
        <f t="shared" si="8"/>
        <v/>
      </c>
      <c r="Q17" s="45" t="str">
        <f t="shared" si="9"/>
        <v/>
      </c>
      <c r="R17" s="21"/>
      <c r="S17" s="589"/>
      <c r="T17" s="589"/>
      <c r="U17" s="12"/>
      <c r="V17" s="12"/>
      <c r="W17" s="12"/>
    </row>
    <row r="18" spans="1:30" ht="15.75" customHeight="1">
      <c r="B18" s="201"/>
      <c r="C18" s="12"/>
      <c r="D18" s="12"/>
      <c r="E18" s="12"/>
      <c r="F18" s="582"/>
      <c r="G18" s="583"/>
      <c r="H18" s="584"/>
      <c r="I18" s="76"/>
      <c r="J18" s="67"/>
      <c r="K18" s="77" t="str">
        <f t="shared" si="5"/>
        <v/>
      </c>
      <c r="L18" s="72">
        <f t="shared" ref="L18:L19" si="11">J18</f>
        <v>0</v>
      </c>
      <c r="M18" s="73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18'!S18*График!AJ27/График!AJ31</f>
        <v>173801.48548278189</v>
      </c>
      <c r="T18" s="60">
        <f>K48</f>
        <v>182772</v>
      </c>
      <c r="U18" s="12"/>
      <c r="V18" s="12"/>
      <c r="W18" s="12"/>
    </row>
    <row r="19" spans="1:30" ht="15.75" customHeight="1">
      <c r="B19" s="201"/>
      <c r="C19" s="12"/>
      <c r="D19" s="12"/>
      <c r="E19" s="12"/>
      <c r="F19" s="582"/>
      <c r="G19" s="583"/>
      <c r="H19" s="584"/>
      <c r="I19" s="76"/>
      <c r="J19" s="67">
        <f>M48</f>
        <v>0</v>
      </c>
      <c r="K19" s="77" t="str">
        <f t="shared" si="5"/>
        <v/>
      </c>
      <c r="L19" s="72">
        <f t="shared" si="11"/>
        <v>0</v>
      </c>
      <c r="M19" s="73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1.0516135664335664</v>
      </c>
      <c r="T19" s="62">
        <f>S19/J14*I14</f>
        <v>1.0516135664335664</v>
      </c>
      <c r="U19" s="12"/>
      <c r="V19" s="12"/>
      <c r="W19" s="12"/>
    </row>
    <row r="20" spans="1:30" ht="15.75" customHeight="1">
      <c r="B20" s="201"/>
      <c r="C20" s="12"/>
      <c r="D20" s="12"/>
      <c r="E20" s="12"/>
      <c r="F20" s="594" t="s">
        <v>24</v>
      </c>
      <c r="G20" s="594"/>
      <c r="H20" s="594"/>
      <c r="I20" s="217">
        <f>'Ялта, Ленина, 18'!I20</f>
        <v>0.25</v>
      </c>
      <c r="J20" s="218">
        <f>N48</f>
        <v>0.15333333333333332</v>
      </c>
      <c r="K20" s="218">
        <f>J20/I20</f>
        <v>0.61333333333333329</v>
      </c>
      <c r="L20" s="220">
        <f>IF(AND(K8&lt;&gt;0,I14&lt;&gt;0,I48&lt;&gt;0),(I48*N48+(I48/K8-I48)*I20)/(I48/K8),0)</f>
        <v>0.18364685731729055</v>
      </c>
      <c r="M20" s="83">
        <f t="shared" si="6"/>
        <v>0.73458742926916221</v>
      </c>
      <c r="N20" s="84">
        <f t="shared" si="7"/>
        <v>-6.6353142682709448E-2</v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30" ht="15.75" customHeight="1">
      <c r="B21" s="20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0" ht="16.5" customHeight="1">
      <c r="B22" s="674" t="s">
        <v>25</v>
      </c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5" t="s">
        <v>26</v>
      </c>
      <c r="P22" s="674" t="s">
        <v>27</v>
      </c>
      <c r="Q22" s="674"/>
      <c r="R22" s="674"/>
      <c r="S22" s="674"/>
      <c r="T22" s="674"/>
      <c r="U22" s="674"/>
      <c r="V22" s="674"/>
      <c r="W22" s="674"/>
    </row>
    <row r="23" spans="1:30" ht="36">
      <c r="B23" s="221" t="s">
        <v>29</v>
      </c>
      <c r="C23" s="221" t="s">
        <v>30</v>
      </c>
      <c r="D23" s="221" t="s">
        <v>31</v>
      </c>
      <c r="E23" s="221" t="s">
        <v>32</v>
      </c>
      <c r="F23" s="221" t="s">
        <v>33</v>
      </c>
      <c r="G23" s="221" t="s">
        <v>34</v>
      </c>
      <c r="H23" s="221" t="s">
        <v>35</v>
      </c>
      <c r="I23" s="221" t="s">
        <v>23</v>
      </c>
      <c r="J23" s="221" t="s">
        <v>36</v>
      </c>
      <c r="K23" s="90" t="s">
        <v>22</v>
      </c>
      <c r="L23" s="90" t="s">
        <v>15</v>
      </c>
      <c r="M23" s="222" t="s">
        <v>37</v>
      </c>
      <c r="N23" s="221" t="s">
        <v>38</v>
      </c>
      <c r="O23" s="675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3" t="s">
        <v>45</v>
      </c>
      <c r="W23" s="223" t="s">
        <v>46</v>
      </c>
      <c r="X23" s="224"/>
    </row>
    <row r="24" spans="1:30">
      <c r="B24" s="225">
        <v>1</v>
      </c>
      <c r="C24" s="226">
        <v>2</v>
      </c>
      <c r="D24" s="225">
        <v>3</v>
      </c>
      <c r="E24" s="225">
        <v>4</v>
      </c>
      <c r="F24" s="225">
        <v>5</v>
      </c>
      <c r="G24" s="225">
        <v>6</v>
      </c>
      <c r="H24" s="225">
        <v>7</v>
      </c>
      <c r="I24" s="225">
        <v>8</v>
      </c>
      <c r="J24" s="225">
        <v>9</v>
      </c>
      <c r="K24" s="225">
        <v>10</v>
      </c>
      <c r="L24" s="225">
        <v>11</v>
      </c>
      <c r="M24" s="225">
        <v>12</v>
      </c>
      <c r="N24" s="225">
        <v>13</v>
      </c>
      <c r="O24" s="675"/>
      <c r="P24" s="227">
        <v>1</v>
      </c>
      <c r="Q24" s="227">
        <v>2</v>
      </c>
      <c r="R24" s="227">
        <v>3</v>
      </c>
      <c r="S24" s="227">
        <v>4</v>
      </c>
      <c r="T24" s="227">
        <v>5</v>
      </c>
      <c r="U24" s="227">
        <v>6</v>
      </c>
      <c r="V24" s="227">
        <v>10</v>
      </c>
      <c r="W24" s="227">
        <v>11</v>
      </c>
    </row>
    <row r="25" spans="1:30">
      <c r="A25" s="95">
        <v>1</v>
      </c>
      <c r="B25" s="96">
        <v>45839</v>
      </c>
      <c r="C25" s="97" t="s">
        <v>48</v>
      </c>
      <c r="D25" s="98">
        <f>8486+5500</f>
        <v>13986</v>
      </c>
      <c r="E25" s="99">
        <v>2</v>
      </c>
      <c r="F25" s="99">
        <f t="shared" ref="F25:F48" si="12">IF(AND(E25&lt;&gt;"",E25&lt;&gt;0),D25/E25,"")</f>
        <v>6993</v>
      </c>
      <c r="G25" s="99">
        <v>3</v>
      </c>
      <c r="H25" s="99">
        <f t="shared" ref="H25:H48" si="13">IF(AND(G25&lt;&gt;"",G25&lt;&gt;0),D25/G25,"")</f>
        <v>4662</v>
      </c>
      <c r="I25" s="99">
        <v>15</v>
      </c>
      <c r="J25" s="98">
        <f t="shared" ref="J25:J48" si="14">IF(AND(G25&lt;&gt;"",G25&lt;&gt;0),E25/G25,"")</f>
        <v>0.66666666666666663</v>
      </c>
      <c r="K25" s="99"/>
      <c r="L25" s="99">
        <v>5500</v>
      </c>
      <c r="M25" s="99"/>
      <c r="N25" s="100">
        <f t="shared" ref="N25:N48" si="15">IF(AND(I25&lt;&gt;"",I25&lt;&gt;0),G25/I25,"")</f>
        <v>0.2</v>
      </c>
      <c r="O25" s="101">
        <f t="shared" ref="O25:O48" si="16">D25/P25</f>
        <v>0.21836995209447413</v>
      </c>
      <c r="P25" s="102">
        <f t="shared" ref="P25:P44" si="17">$I$8*V25*W25/SUMPRODUCT($W$25:$W$55,$V$25:$V$55)</f>
        <v>64047.273289455086</v>
      </c>
      <c r="Q25" s="103">
        <f t="shared" ref="Q25:Q44" si="18">$I$9*V25*W25/SUMPRODUCT($W$25:$W$55,$V$25:$V$55)</f>
        <v>10.674545548242515</v>
      </c>
      <c r="R25" s="103">
        <f t="shared" ref="R25:R47" si="19">IF($I$12="","",Q25/$I$12)</f>
        <v>6.2791444401426562</v>
      </c>
      <c r="S25" s="102">
        <f t="shared" ref="S25:S26" si="20">IF(W25&lt;&gt;"",IF(D25&lt;&gt;"",D25,($I$8-SUM($S24:S$25))*V25*W25/SUMPRODUCT($W25:$W$55,$V25:$V$55)),"")</f>
        <v>13986</v>
      </c>
      <c r="T25" s="103">
        <f t="shared" ref="T25:T26" si="21">IF(W25&lt;&gt;"",IF(E25&lt;&gt;"",E25,($I$9-SUM($T24:T$25))*V25*W25/SUMPRODUCT($W25:$W$55,$V25:$V$55)),"")</f>
        <v>2</v>
      </c>
      <c r="U25" s="103">
        <f t="shared" ref="U25:U26" si="22">IF(W25&lt;&gt;"",IF($I$12&lt;&gt;"",IF(G25&lt;&gt;"",G25,($I$9/$I$12-SUM($U24:U$25))*V25*W25/SUMPRODUCT($W25:$W$55,$V25:$V$55)),""),"")</f>
        <v>3</v>
      </c>
      <c r="V25" s="104">
        <v>1.2</v>
      </c>
      <c r="W25" s="104">
        <v>1.2</v>
      </c>
      <c r="X25" s="107"/>
      <c r="Y25" s="106"/>
      <c r="Z25" s="2"/>
      <c r="AA25" s="2"/>
      <c r="AB25" s="2"/>
      <c r="AC25" s="2"/>
      <c r="AD25" s="2"/>
    </row>
    <row r="26" spans="1:30">
      <c r="A26" s="95">
        <v>2</v>
      </c>
      <c r="B26" s="96">
        <v>45841</v>
      </c>
      <c r="C26" s="97" t="s">
        <v>52</v>
      </c>
      <c r="D26" s="98">
        <f>21984+22922</f>
        <v>44906</v>
      </c>
      <c r="E26" s="99">
        <v>7</v>
      </c>
      <c r="F26" s="99">
        <f t="shared" si="12"/>
        <v>6415.1428571428569</v>
      </c>
      <c r="G26" s="99">
        <v>4</v>
      </c>
      <c r="H26" s="99">
        <f t="shared" si="13"/>
        <v>11226.5</v>
      </c>
      <c r="I26" s="99">
        <v>20</v>
      </c>
      <c r="J26" s="98">
        <f t="shared" si="14"/>
        <v>1.75</v>
      </c>
      <c r="K26" s="99">
        <v>21984</v>
      </c>
      <c r="L26" s="99"/>
      <c r="M26" s="99"/>
      <c r="N26" s="100">
        <f t="shared" si="15"/>
        <v>0.2</v>
      </c>
      <c r="O26" s="101">
        <f t="shared" si="16"/>
        <v>1.0096392348781937</v>
      </c>
      <c r="P26" s="102">
        <f t="shared" si="17"/>
        <v>44477.273117677141</v>
      </c>
      <c r="Q26" s="103">
        <f t="shared" si="18"/>
        <v>7.4128788529461911</v>
      </c>
      <c r="R26" s="103">
        <f t="shared" si="19"/>
        <v>4.3605169723212889</v>
      </c>
      <c r="S26" s="102">
        <f t="shared" si="20"/>
        <v>44906</v>
      </c>
      <c r="T26" s="103">
        <f t="shared" si="21"/>
        <v>7</v>
      </c>
      <c r="U26" s="103">
        <f t="shared" si="22"/>
        <v>4</v>
      </c>
      <c r="V26" s="104">
        <v>1</v>
      </c>
      <c r="W26" s="104">
        <v>1</v>
      </c>
      <c r="X26" s="107"/>
      <c r="Y26" s="106"/>
      <c r="Z26" s="2"/>
      <c r="AA26" s="2"/>
      <c r="AB26" s="2"/>
      <c r="AC26" s="2"/>
      <c r="AD26" s="2"/>
    </row>
    <row r="27" spans="1:30">
      <c r="A27" s="95">
        <v>3</v>
      </c>
      <c r="B27" s="96">
        <v>45844</v>
      </c>
      <c r="C27" s="97" t="s">
        <v>55</v>
      </c>
      <c r="D27" s="98">
        <f>53666+17568</f>
        <v>71234</v>
      </c>
      <c r="E27" s="99">
        <v>8</v>
      </c>
      <c r="F27" s="99">
        <v>8904</v>
      </c>
      <c r="G27" s="99">
        <v>3</v>
      </c>
      <c r="H27" s="99">
        <f t="shared" si="13"/>
        <v>23744.666666666668</v>
      </c>
      <c r="I27" s="99">
        <v>35</v>
      </c>
      <c r="J27" s="98">
        <f t="shared" si="14"/>
        <v>2.6666666666666665</v>
      </c>
      <c r="K27" s="99">
        <v>53666</v>
      </c>
      <c r="L27" s="99"/>
      <c r="M27" s="99"/>
      <c r="N27" s="100">
        <f t="shared" si="15"/>
        <v>8.5714285714285715E-2</v>
      </c>
      <c r="O27" s="101">
        <f t="shared" si="16"/>
        <v>1.6015819992275697</v>
      </c>
      <c r="P27" s="102">
        <f t="shared" si="17"/>
        <v>44477.273117677141</v>
      </c>
      <c r="Q27" s="103">
        <f t="shared" si="18"/>
        <v>7.4128788529461911</v>
      </c>
      <c r="R27" s="103">
        <f t="shared" si="19"/>
        <v>4.3605169723212889</v>
      </c>
      <c r="S27" s="102">
        <f t="shared" ref="S27:S44" si="23">IF(W27&lt;&gt;"",IF(D27&lt;&gt;"",D27,($I$8-SUM($S$25:S26))*V27*W27/SUMPRODUCT($W27:$W$55,$V27:$V$55)),"")</f>
        <v>71234</v>
      </c>
      <c r="T27" s="103">
        <f t="shared" ref="T27:T29" si="24">IF(W27&lt;&gt;"",IF(E27&lt;&gt;"",E27,($I$9-SUM($T$25:T26))*V27*W27/SUMPRODUCT($W27:$W$55,$V27:$V$55)),"")</f>
        <v>8</v>
      </c>
      <c r="U27" s="103">
        <f t="shared" ref="U27:U44" si="25">IF(W27&lt;&gt;"",IF($I$12&lt;&gt;"",IF(G27&lt;&gt;"",G27,($I$9/$I$12-SUM($U$25:U26))*V27*W27/SUMPRODUCT($W27:$W$55,$V27:$V$55)),""),"")</f>
        <v>3</v>
      </c>
      <c r="V27" s="104">
        <v>1</v>
      </c>
      <c r="W27" s="104">
        <v>1</v>
      </c>
      <c r="X27" s="107"/>
      <c r="Y27" s="106"/>
      <c r="Z27" s="111"/>
      <c r="AA27" s="2"/>
      <c r="AB27" s="2"/>
      <c r="AC27" s="2"/>
      <c r="AD27" s="2"/>
    </row>
    <row r="28" spans="1:30">
      <c r="A28" s="95">
        <v>4</v>
      </c>
      <c r="B28" s="96">
        <v>45845</v>
      </c>
      <c r="C28" s="97" t="s">
        <v>56</v>
      </c>
      <c r="D28" s="98">
        <f>19984+12068</f>
        <v>32052</v>
      </c>
      <c r="E28" s="99">
        <v>6</v>
      </c>
      <c r="F28" s="99">
        <v>5342</v>
      </c>
      <c r="G28" s="99">
        <v>3</v>
      </c>
      <c r="H28" s="99">
        <f t="shared" si="13"/>
        <v>10684</v>
      </c>
      <c r="I28" s="99">
        <v>25</v>
      </c>
      <c r="J28" s="98">
        <f t="shared" si="14"/>
        <v>2</v>
      </c>
      <c r="K28" s="99">
        <v>19984</v>
      </c>
      <c r="L28" s="99"/>
      <c r="M28" s="99"/>
      <c r="N28" s="100">
        <f t="shared" si="15"/>
        <v>0.12</v>
      </c>
      <c r="O28" s="101">
        <f t="shared" si="16"/>
        <v>0.72063770445632791</v>
      </c>
      <c r="P28" s="102">
        <f t="shared" si="17"/>
        <v>44477.273117677141</v>
      </c>
      <c r="Q28" s="103">
        <f t="shared" si="18"/>
        <v>7.4128788529461911</v>
      </c>
      <c r="R28" s="103">
        <f t="shared" si="19"/>
        <v>4.3605169723212889</v>
      </c>
      <c r="S28" s="102">
        <f t="shared" si="23"/>
        <v>32052</v>
      </c>
      <c r="T28" s="103">
        <f t="shared" si="24"/>
        <v>6</v>
      </c>
      <c r="U28" s="103">
        <f t="shared" si="25"/>
        <v>3</v>
      </c>
      <c r="V28" s="104">
        <v>1</v>
      </c>
      <c r="W28" s="104">
        <v>1</v>
      </c>
      <c r="X28" s="107"/>
      <c r="Y28" s="106"/>
      <c r="Z28" s="111"/>
    </row>
    <row r="29" spans="1:30">
      <c r="A29" s="95">
        <v>5</v>
      </c>
      <c r="B29" s="96">
        <v>45846</v>
      </c>
      <c r="C29" s="97" t="s">
        <v>48</v>
      </c>
      <c r="D29" s="98">
        <f>17992+25903+6684</f>
        <v>50579</v>
      </c>
      <c r="E29" s="99">
        <v>4</v>
      </c>
      <c r="F29" s="99">
        <v>12645</v>
      </c>
      <c r="G29" s="99">
        <v>3</v>
      </c>
      <c r="H29" s="99">
        <f t="shared" si="13"/>
        <v>16859.666666666668</v>
      </c>
      <c r="I29" s="99">
        <v>25</v>
      </c>
      <c r="J29" s="98">
        <f t="shared" si="14"/>
        <v>1.3333333333333333</v>
      </c>
      <c r="K29" s="99">
        <v>17992</v>
      </c>
      <c r="L29" s="99">
        <v>25903</v>
      </c>
      <c r="M29" s="99"/>
      <c r="N29" s="100">
        <f t="shared" si="15"/>
        <v>0.12</v>
      </c>
      <c r="O29" s="101">
        <f t="shared" si="16"/>
        <v>1.1371875219548424</v>
      </c>
      <c r="P29" s="102">
        <f t="shared" si="17"/>
        <v>44477.273117677141</v>
      </c>
      <c r="Q29" s="103">
        <f t="shared" si="18"/>
        <v>7.4128788529461911</v>
      </c>
      <c r="R29" s="103">
        <f t="shared" si="19"/>
        <v>4.3605169723212889</v>
      </c>
      <c r="S29" s="102">
        <f t="shared" si="23"/>
        <v>50579</v>
      </c>
      <c r="T29" s="103">
        <f t="shared" si="24"/>
        <v>4</v>
      </c>
      <c r="U29" s="103">
        <f t="shared" si="25"/>
        <v>3</v>
      </c>
      <c r="V29" s="104">
        <v>1</v>
      </c>
      <c r="W29" s="104">
        <v>1</v>
      </c>
      <c r="X29" s="107"/>
      <c r="Y29" s="106"/>
      <c r="Z29" s="111"/>
    </row>
    <row r="30" spans="1:30">
      <c r="A30" s="95">
        <v>6</v>
      </c>
      <c r="B30" s="96">
        <v>45848</v>
      </c>
      <c r="C30" s="97" t="s">
        <v>52</v>
      </c>
      <c r="D30" s="272">
        <v>28836</v>
      </c>
      <c r="E30" s="99">
        <v>7</v>
      </c>
      <c r="F30" s="108">
        <f t="shared" si="12"/>
        <v>4119.4285714285716</v>
      </c>
      <c r="G30" s="99">
        <v>5</v>
      </c>
      <c r="H30" s="108">
        <f t="shared" si="13"/>
        <v>5767.2</v>
      </c>
      <c r="I30" s="99">
        <v>35</v>
      </c>
      <c r="J30" s="98">
        <f t="shared" si="14"/>
        <v>1.4</v>
      </c>
      <c r="K30" s="99"/>
      <c r="L30" s="99"/>
      <c r="M30" s="99"/>
      <c r="N30" s="100">
        <f t="shared" si="15"/>
        <v>0.14285714285714285</v>
      </c>
      <c r="O30" s="101">
        <f t="shared" si="16"/>
        <v>0.64833111336898397</v>
      </c>
      <c r="P30" s="102">
        <f t="shared" si="17"/>
        <v>44477.273117677141</v>
      </c>
      <c r="Q30" s="103">
        <f t="shared" si="18"/>
        <v>7.4128788529461911</v>
      </c>
      <c r="R30" s="103">
        <f t="shared" si="19"/>
        <v>4.3605169723212889</v>
      </c>
      <c r="S30" s="102">
        <f t="shared" si="23"/>
        <v>28836</v>
      </c>
      <c r="T30" s="103">
        <f>IF(W30&lt;&gt;"",IF(E29&lt;&gt;"",E29,($I$9-SUM($T$25:T29))*V30*W30/SUMPRODUCT($W30:$W$55,$V30:$V$55)),"")</f>
        <v>4</v>
      </c>
      <c r="U30" s="103">
        <f t="shared" si="25"/>
        <v>5</v>
      </c>
      <c r="V30" s="104">
        <v>1</v>
      </c>
      <c r="W30" s="104">
        <v>1</v>
      </c>
      <c r="X30" s="106"/>
      <c r="Y30" s="106"/>
      <c r="Z30" s="2"/>
      <c r="AA30" s="2"/>
      <c r="AB30" s="2"/>
      <c r="AC30" s="2"/>
      <c r="AD30" s="2"/>
    </row>
    <row r="31" spans="1:30">
      <c r="A31" s="95">
        <v>7</v>
      </c>
      <c r="B31" s="96">
        <v>45849</v>
      </c>
      <c r="C31" s="97" t="s">
        <v>53</v>
      </c>
      <c r="D31" s="98">
        <v>42706</v>
      </c>
      <c r="E31" s="108">
        <v>9</v>
      </c>
      <c r="F31" s="99">
        <f t="shared" si="12"/>
        <v>4745.1111111111113</v>
      </c>
      <c r="G31" s="108">
        <v>5</v>
      </c>
      <c r="H31" s="99">
        <f t="shared" si="13"/>
        <v>8541.2000000000007</v>
      </c>
      <c r="I31" s="108">
        <v>30</v>
      </c>
      <c r="J31" s="98">
        <f t="shared" si="14"/>
        <v>1.8</v>
      </c>
      <c r="K31" s="99"/>
      <c r="L31" s="99"/>
      <c r="M31" s="99"/>
      <c r="N31" s="100">
        <f t="shared" si="15"/>
        <v>0.16666666666666666</v>
      </c>
      <c r="O31" s="101">
        <f t="shared" si="16"/>
        <v>0.96017577082590611</v>
      </c>
      <c r="P31" s="102">
        <f t="shared" si="17"/>
        <v>44477.273117677141</v>
      </c>
      <c r="Q31" s="103">
        <f t="shared" si="18"/>
        <v>7.4128788529461911</v>
      </c>
      <c r="R31" s="103">
        <f t="shared" si="19"/>
        <v>4.3605169723212889</v>
      </c>
      <c r="S31" s="102">
        <f t="shared" si="23"/>
        <v>42706</v>
      </c>
      <c r="T31" s="103">
        <f t="shared" ref="T31:T43" si="26">IF(W31&lt;&gt;"",IF(E31&lt;&gt;"",E31,($I$9-SUM($T$25:T30))*V31*W31/SUMPRODUCT($W31:$W$55,$V31:$V$55)),"")</f>
        <v>9</v>
      </c>
      <c r="U31" s="103">
        <f t="shared" si="25"/>
        <v>5</v>
      </c>
      <c r="V31" s="104">
        <v>1</v>
      </c>
      <c r="W31" s="104">
        <v>1</v>
      </c>
      <c r="X31" s="106"/>
      <c r="Y31" s="106"/>
      <c r="Z31" s="2"/>
      <c r="AA31" s="2"/>
      <c r="AB31" s="2"/>
      <c r="AC31" s="2"/>
      <c r="AD31" s="2"/>
    </row>
    <row r="32" spans="1:30">
      <c r="A32" s="95">
        <v>8</v>
      </c>
      <c r="B32" s="96">
        <v>45850</v>
      </c>
      <c r="C32" s="97" t="s">
        <v>54</v>
      </c>
      <c r="D32" s="272">
        <v>35483.599999999999</v>
      </c>
      <c r="E32" s="99">
        <v>8</v>
      </c>
      <c r="F32" s="99">
        <f t="shared" si="12"/>
        <v>4435.45</v>
      </c>
      <c r="G32" s="99">
        <v>7</v>
      </c>
      <c r="H32" s="108">
        <f t="shared" si="13"/>
        <v>5069.0857142857139</v>
      </c>
      <c r="I32" s="99">
        <v>30</v>
      </c>
      <c r="J32" s="98">
        <f t="shared" si="14"/>
        <v>1.1428571428571428</v>
      </c>
      <c r="K32" s="99"/>
      <c r="L32" s="99"/>
      <c r="M32" s="99"/>
      <c r="N32" s="100">
        <f t="shared" si="15"/>
        <v>0.23333333333333334</v>
      </c>
      <c r="O32" s="101">
        <f t="shared" si="16"/>
        <v>0.79779171502079615</v>
      </c>
      <c r="P32" s="102">
        <f t="shared" si="17"/>
        <v>44477.273117677141</v>
      </c>
      <c r="Q32" s="103">
        <f t="shared" si="18"/>
        <v>7.4128788529461911</v>
      </c>
      <c r="R32" s="103">
        <f t="shared" si="19"/>
        <v>4.3605169723212889</v>
      </c>
      <c r="S32" s="102">
        <f t="shared" si="23"/>
        <v>35483.599999999999</v>
      </c>
      <c r="T32" s="103">
        <f t="shared" si="26"/>
        <v>8</v>
      </c>
      <c r="U32" s="103">
        <f t="shared" si="25"/>
        <v>7</v>
      </c>
      <c r="V32" s="104">
        <v>1</v>
      </c>
      <c r="W32" s="104">
        <v>1</v>
      </c>
      <c r="X32" s="106"/>
      <c r="Y32" s="106"/>
      <c r="Z32" s="2"/>
      <c r="AA32" s="2"/>
      <c r="AB32" s="2"/>
      <c r="AC32" s="2"/>
      <c r="AD32" s="2"/>
    </row>
    <row r="33" spans="1:30" s="234" customFormat="1">
      <c r="A33" s="95">
        <v>9</v>
      </c>
      <c r="B33" s="236">
        <v>45852</v>
      </c>
      <c r="C33" s="237" t="s">
        <v>56</v>
      </c>
      <c r="D33" s="232">
        <f>40969+12903+29881</f>
        <v>83753</v>
      </c>
      <c r="E33" s="238">
        <v>10</v>
      </c>
      <c r="F33" s="99">
        <f t="shared" si="12"/>
        <v>8375.2999999999993</v>
      </c>
      <c r="G33" s="238">
        <v>8</v>
      </c>
      <c r="H33" s="108">
        <f t="shared" si="13"/>
        <v>10469.125</v>
      </c>
      <c r="I33" s="238">
        <v>45</v>
      </c>
      <c r="J33" s="98">
        <f t="shared" si="14"/>
        <v>1.25</v>
      </c>
      <c r="K33" s="238">
        <v>40969</v>
      </c>
      <c r="L33" s="238">
        <v>12903</v>
      </c>
      <c r="M33" s="238"/>
      <c r="N33" s="239">
        <f t="shared" si="15"/>
        <v>0.17777777777777778</v>
      </c>
      <c r="O33" s="101">
        <f t="shared" si="16"/>
        <v>1.8830515930778371</v>
      </c>
      <c r="P33" s="241">
        <f t="shared" si="17"/>
        <v>44477.273117677141</v>
      </c>
      <c r="Q33" s="242">
        <f t="shared" si="18"/>
        <v>7.4128788529461911</v>
      </c>
      <c r="R33" s="242">
        <f t="shared" si="19"/>
        <v>4.3605169723212889</v>
      </c>
      <c r="S33" s="102">
        <f t="shared" si="23"/>
        <v>83753</v>
      </c>
      <c r="T33" s="242">
        <f t="shared" si="26"/>
        <v>10</v>
      </c>
      <c r="U33" s="242">
        <f t="shared" si="25"/>
        <v>8</v>
      </c>
      <c r="V33" s="233">
        <v>1</v>
      </c>
      <c r="W33" s="233">
        <v>1</v>
      </c>
      <c r="X33" s="243"/>
      <c r="Y33" s="243"/>
      <c r="Z33" s="244"/>
      <c r="AA33" s="244"/>
      <c r="AB33" s="244"/>
      <c r="AC33" s="244"/>
      <c r="AD33" s="244"/>
    </row>
    <row r="34" spans="1:30" s="234" customFormat="1">
      <c r="A34" s="95">
        <v>10</v>
      </c>
      <c r="B34" s="236">
        <v>45853</v>
      </c>
      <c r="C34" s="273" t="s">
        <v>48</v>
      </c>
      <c r="D34" s="232">
        <f>12993+21450+6203</f>
        <v>40646</v>
      </c>
      <c r="E34" s="245">
        <v>7</v>
      </c>
      <c r="F34" s="99">
        <f t="shared" si="12"/>
        <v>5806.5714285714284</v>
      </c>
      <c r="G34" s="245">
        <v>5</v>
      </c>
      <c r="H34" s="108">
        <f t="shared" si="13"/>
        <v>8129.2</v>
      </c>
      <c r="I34" s="245">
        <v>35</v>
      </c>
      <c r="J34" s="98">
        <f t="shared" si="14"/>
        <v>1.4</v>
      </c>
      <c r="K34" s="238">
        <v>12993</v>
      </c>
      <c r="L34" s="238">
        <v>6203</v>
      </c>
      <c r="M34" s="238"/>
      <c r="N34" s="239">
        <f t="shared" si="15"/>
        <v>0.14285714285714285</v>
      </c>
      <c r="O34" s="240">
        <f t="shared" si="16"/>
        <v>0.91385998175876404</v>
      </c>
      <c r="P34" s="241">
        <f t="shared" si="17"/>
        <v>44477.273117677141</v>
      </c>
      <c r="Q34" s="242">
        <f t="shared" si="18"/>
        <v>7.4128788529461911</v>
      </c>
      <c r="R34" s="242">
        <f t="shared" si="19"/>
        <v>4.3605169723212889</v>
      </c>
      <c r="S34" s="241">
        <f t="shared" si="23"/>
        <v>40646</v>
      </c>
      <c r="T34" s="242">
        <f t="shared" si="26"/>
        <v>7</v>
      </c>
      <c r="U34" s="242">
        <f t="shared" si="25"/>
        <v>5</v>
      </c>
      <c r="V34" s="233">
        <v>1</v>
      </c>
      <c r="W34" s="233">
        <v>1</v>
      </c>
      <c r="X34" s="243"/>
      <c r="Y34" s="243"/>
      <c r="Z34" s="246"/>
      <c r="AA34" s="244"/>
      <c r="AB34" s="244"/>
      <c r="AC34" s="244"/>
      <c r="AD34" s="244"/>
    </row>
    <row r="35" spans="1:30" s="234" customFormat="1">
      <c r="A35" s="95">
        <v>11</v>
      </c>
      <c r="B35" s="236">
        <v>45854</v>
      </c>
      <c r="C35" s="237" t="s">
        <v>50</v>
      </c>
      <c r="D35" s="232">
        <f>690+15184+12069</f>
        <v>27943</v>
      </c>
      <c r="E35" s="238">
        <v>6</v>
      </c>
      <c r="F35" s="99">
        <f t="shared" si="12"/>
        <v>4657.166666666667</v>
      </c>
      <c r="G35" s="238">
        <v>4</v>
      </c>
      <c r="H35" s="108">
        <f t="shared" si="13"/>
        <v>6985.75</v>
      </c>
      <c r="I35" s="238">
        <v>20</v>
      </c>
      <c r="J35" s="98">
        <f t="shared" si="14"/>
        <v>1.5</v>
      </c>
      <c r="K35" s="238">
        <v>15184</v>
      </c>
      <c r="L35" s="238">
        <v>690</v>
      </c>
      <c r="M35" s="238"/>
      <c r="N35" s="239">
        <f t="shared" si="15"/>
        <v>0.2</v>
      </c>
      <c r="O35" s="101">
        <f t="shared" si="16"/>
        <v>0.6282534436423054</v>
      </c>
      <c r="P35" s="241">
        <f t="shared" si="17"/>
        <v>44477.273117677141</v>
      </c>
      <c r="Q35" s="242">
        <f t="shared" si="18"/>
        <v>7.4128788529461911</v>
      </c>
      <c r="R35" s="242">
        <f t="shared" si="19"/>
        <v>4.3605169723212889</v>
      </c>
      <c r="S35" s="102">
        <f t="shared" si="23"/>
        <v>27943</v>
      </c>
      <c r="T35" s="242">
        <f t="shared" si="26"/>
        <v>6</v>
      </c>
      <c r="U35" s="242">
        <f t="shared" si="25"/>
        <v>4</v>
      </c>
      <c r="V35" s="233">
        <v>1</v>
      </c>
      <c r="W35" s="233">
        <v>1</v>
      </c>
      <c r="X35" s="243"/>
      <c r="Y35" s="243"/>
      <c r="Z35" s="244"/>
      <c r="AA35" s="244"/>
      <c r="AB35" s="244"/>
      <c r="AC35" s="244"/>
      <c r="AD35" s="244"/>
    </row>
    <row r="36" spans="1:30" s="234" customFormat="1">
      <c r="A36" s="95">
        <v>12</v>
      </c>
      <c r="B36" s="236">
        <v>45867</v>
      </c>
      <c r="C36" s="273" t="s">
        <v>48</v>
      </c>
      <c r="D36" s="232">
        <v>29748</v>
      </c>
      <c r="E36" s="245">
        <v>7</v>
      </c>
      <c r="F36" s="99">
        <f t="shared" si="12"/>
        <v>4249.7142857142853</v>
      </c>
      <c r="G36" s="238">
        <v>5</v>
      </c>
      <c r="H36" s="108">
        <f t="shared" si="13"/>
        <v>5949.6</v>
      </c>
      <c r="I36" s="245">
        <v>35</v>
      </c>
      <c r="J36" s="98">
        <f t="shared" si="14"/>
        <v>1.4</v>
      </c>
      <c r="K36" s="238"/>
      <c r="L36" s="238"/>
      <c r="M36" s="238"/>
      <c r="N36" s="239">
        <f t="shared" si="15"/>
        <v>0.14285714285714285</v>
      </c>
      <c r="O36" s="240">
        <f t="shared" si="16"/>
        <v>0.66883596755793229</v>
      </c>
      <c r="P36" s="241">
        <f t="shared" si="17"/>
        <v>44477.273117677141</v>
      </c>
      <c r="Q36" s="242">
        <f t="shared" si="18"/>
        <v>7.4128788529461911</v>
      </c>
      <c r="R36" s="242">
        <f t="shared" si="19"/>
        <v>4.3605169723212889</v>
      </c>
      <c r="S36" s="241">
        <f t="shared" si="23"/>
        <v>29748</v>
      </c>
      <c r="T36" s="242">
        <f t="shared" si="26"/>
        <v>7</v>
      </c>
      <c r="U36" s="242">
        <f t="shared" si="25"/>
        <v>5</v>
      </c>
      <c r="V36" s="233">
        <v>1</v>
      </c>
      <c r="W36" s="233">
        <v>1</v>
      </c>
      <c r="X36" s="243"/>
      <c r="Y36" s="243"/>
      <c r="Z36" s="246"/>
      <c r="AA36" s="244"/>
      <c r="AB36" s="244"/>
      <c r="AC36" s="244"/>
      <c r="AD36" s="244"/>
    </row>
    <row r="37" spans="1:30" s="234" customFormat="1">
      <c r="A37" s="95">
        <v>13</v>
      </c>
      <c r="B37" s="236">
        <v>45868</v>
      </c>
      <c r="C37" s="237" t="s">
        <v>50</v>
      </c>
      <c r="D37" s="248">
        <v>51975</v>
      </c>
      <c r="E37" s="238">
        <v>9</v>
      </c>
      <c r="F37" s="99">
        <f t="shared" si="12"/>
        <v>5775</v>
      </c>
      <c r="G37" s="238">
        <v>5</v>
      </c>
      <c r="H37" s="108">
        <f t="shared" si="13"/>
        <v>10395</v>
      </c>
      <c r="I37" s="238">
        <v>50</v>
      </c>
      <c r="J37" s="98">
        <f t="shared" si="14"/>
        <v>1.8</v>
      </c>
      <c r="K37" s="238"/>
      <c r="L37" s="238">
        <v>14503</v>
      </c>
      <c r="M37" s="238"/>
      <c r="N37" s="239">
        <f t="shared" si="15"/>
        <v>0.1</v>
      </c>
      <c r="O37" s="240">
        <f t="shared" si="16"/>
        <v>1.168574338235294</v>
      </c>
      <c r="P37" s="241">
        <f t="shared" si="17"/>
        <v>44477.273117677141</v>
      </c>
      <c r="Q37" s="242">
        <f t="shared" si="18"/>
        <v>7.4128788529461911</v>
      </c>
      <c r="R37" s="242">
        <f t="shared" si="19"/>
        <v>4.3605169723212889</v>
      </c>
      <c r="S37" s="241">
        <f t="shared" si="23"/>
        <v>51975</v>
      </c>
      <c r="T37" s="242">
        <f t="shared" si="26"/>
        <v>9</v>
      </c>
      <c r="U37" s="242">
        <f t="shared" si="25"/>
        <v>5</v>
      </c>
      <c r="V37" s="233">
        <v>1</v>
      </c>
      <c r="W37" s="233">
        <v>1</v>
      </c>
      <c r="X37" s="243"/>
      <c r="Y37" s="243"/>
      <c r="Z37" s="246"/>
      <c r="AA37" s="244"/>
      <c r="AB37" s="244"/>
      <c r="AC37" s="244"/>
      <c r="AD37" s="244"/>
    </row>
    <row r="38" spans="1:30" s="234" customFormat="1">
      <c r="A38" s="95">
        <v>14</v>
      </c>
      <c r="B38" s="236">
        <v>45869</v>
      </c>
      <c r="C38" s="273" t="s">
        <v>52</v>
      </c>
      <c r="D38" s="232">
        <f>59115+6394+4671</f>
        <v>70180</v>
      </c>
      <c r="E38" s="245">
        <v>13</v>
      </c>
      <c r="F38" s="99">
        <f t="shared" si="12"/>
        <v>5398.4615384615381</v>
      </c>
      <c r="G38" s="245">
        <v>9</v>
      </c>
      <c r="H38" s="108">
        <f t="shared" si="13"/>
        <v>7797.7777777777774</v>
      </c>
      <c r="I38" s="245">
        <v>50</v>
      </c>
      <c r="J38" s="98">
        <f t="shared" si="14"/>
        <v>1.4444444444444444</v>
      </c>
      <c r="K38" s="245"/>
      <c r="L38" s="238"/>
      <c r="M38" s="245"/>
      <c r="N38" s="239">
        <f t="shared" si="15"/>
        <v>0.18</v>
      </c>
      <c r="O38" s="274">
        <f t="shared" si="16"/>
        <v>1.5778845032679738</v>
      </c>
      <c r="P38" s="241">
        <f t="shared" si="17"/>
        <v>44477.273117677141</v>
      </c>
      <c r="Q38" s="275">
        <f t="shared" si="18"/>
        <v>7.4128788529461911</v>
      </c>
      <c r="R38" s="242">
        <f t="shared" si="19"/>
        <v>4.3605169723212889</v>
      </c>
      <c r="S38" s="276">
        <f t="shared" si="23"/>
        <v>70180</v>
      </c>
      <c r="T38" s="242">
        <f t="shared" si="26"/>
        <v>13</v>
      </c>
      <c r="U38" s="275">
        <f t="shared" si="25"/>
        <v>9</v>
      </c>
      <c r="V38" s="233">
        <v>1</v>
      </c>
      <c r="W38" s="233">
        <v>1</v>
      </c>
      <c r="X38" s="243"/>
      <c r="Y38" s="243"/>
      <c r="Z38" s="246"/>
      <c r="AA38" s="244"/>
      <c r="AB38" s="244"/>
      <c r="AC38" s="244"/>
      <c r="AD38" s="244"/>
    </row>
    <row r="39" spans="1:30" s="234" customFormat="1">
      <c r="A39" s="95">
        <v>15</v>
      </c>
      <c r="B39" s="236"/>
      <c r="C39" s="237"/>
      <c r="D39" s="248"/>
      <c r="E39" s="238"/>
      <c r="F39" s="245" t="str">
        <f t="shared" si="12"/>
        <v/>
      </c>
      <c r="G39" s="238"/>
      <c r="H39" s="245" t="str">
        <f t="shared" si="13"/>
        <v/>
      </c>
      <c r="I39" s="238"/>
      <c r="J39" s="98" t="str">
        <f t="shared" si="14"/>
        <v/>
      </c>
      <c r="K39" s="238"/>
      <c r="L39" s="238"/>
      <c r="M39" s="238"/>
      <c r="N39" s="239" t="str">
        <f t="shared" si="15"/>
        <v/>
      </c>
      <c r="O39" s="240">
        <f t="shared" si="16"/>
        <v>0</v>
      </c>
      <c r="P39" s="241">
        <f t="shared" si="17"/>
        <v>44477.273117677141</v>
      </c>
      <c r="Q39" s="242">
        <f t="shared" si="18"/>
        <v>7.4128788529461911</v>
      </c>
      <c r="R39" s="242">
        <f t="shared" si="19"/>
        <v>4.3605169723212889</v>
      </c>
      <c r="S39" s="241">
        <f t="shared" si="23"/>
        <v>47514.643754220124</v>
      </c>
      <c r="T39" s="242">
        <f t="shared" si="26"/>
        <v>8.5865406257033552</v>
      </c>
      <c r="U39" s="242">
        <f t="shared" si="25"/>
        <v>3.3548278190411884</v>
      </c>
      <c r="V39" s="233">
        <v>1</v>
      </c>
      <c r="W39" s="233">
        <v>1</v>
      </c>
      <c r="X39" s="243"/>
      <c r="Y39" s="243"/>
      <c r="Z39" s="246"/>
      <c r="AA39" s="244"/>
      <c r="AB39" s="244"/>
      <c r="AC39" s="244"/>
      <c r="AD39" s="244"/>
    </row>
    <row r="40" spans="1:30" s="234" customFormat="1" ht="15" customHeight="1">
      <c r="A40" s="95">
        <v>16</v>
      </c>
      <c r="B40" s="236"/>
      <c r="C40" s="273"/>
      <c r="D40" s="232"/>
      <c r="E40" s="245"/>
      <c r="F40" s="238" t="str">
        <f t="shared" si="12"/>
        <v/>
      </c>
      <c r="G40" s="245"/>
      <c r="H40" s="238" t="str">
        <f t="shared" si="13"/>
        <v/>
      </c>
      <c r="I40" s="245"/>
      <c r="J40" s="98" t="str">
        <f t="shared" si="14"/>
        <v/>
      </c>
      <c r="K40" s="238"/>
      <c r="L40" s="238"/>
      <c r="M40" s="238"/>
      <c r="N40" s="239" t="str">
        <f t="shared" si="15"/>
        <v/>
      </c>
      <c r="O40" s="240">
        <f t="shared" si="16"/>
        <v>0</v>
      </c>
      <c r="P40" s="241">
        <f t="shared" si="17"/>
        <v>44477.273117677141</v>
      </c>
      <c r="Q40" s="242">
        <f t="shared" si="18"/>
        <v>7.4128788529461911</v>
      </c>
      <c r="R40" s="242">
        <f t="shared" si="19"/>
        <v>4.3605169723212889</v>
      </c>
      <c r="S40" s="241">
        <f t="shared" si="23"/>
        <v>47514.643754220124</v>
      </c>
      <c r="T40" s="242">
        <f t="shared" si="26"/>
        <v>8.5865406257033552</v>
      </c>
      <c r="U40" s="242">
        <f t="shared" si="25"/>
        <v>3.354827819041188</v>
      </c>
      <c r="V40" s="233">
        <v>1</v>
      </c>
      <c r="W40" s="233">
        <v>1</v>
      </c>
      <c r="X40" s="243"/>
      <c r="Y40" s="243"/>
      <c r="Z40" s="246"/>
      <c r="AA40" s="244"/>
      <c r="AB40" s="244"/>
      <c r="AC40" s="244"/>
      <c r="AD40" s="244"/>
    </row>
    <row r="41" spans="1:30" s="234" customFormat="1">
      <c r="A41" s="95">
        <v>17</v>
      </c>
      <c r="B41" s="236"/>
      <c r="C41" s="237"/>
      <c r="D41" s="248"/>
      <c r="E41" s="238"/>
      <c r="F41" s="245" t="str">
        <f t="shared" si="12"/>
        <v/>
      </c>
      <c r="G41" s="238"/>
      <c r="H41" s="245" t="str">
        <f t="shared" si="13"/>
        <v/>
      </c>
      <c r="I41" s="238"/>
      <c r="J41" s="98" t="str">
        <f t="shared" si="14"/>
        <v/>
      </c>
      <c r="K41" s="238"/>
      <c r="L41" s="238"/>
      <c r="M41" s="238"/>
      <c r="N41" s="277" t="str">
        <f t="shared" si="15"/>
        <v/>
      </c>
      <c r="O41" s="240">
        <f t="shared" si="16"/>
        <v>0</v>
      </c>
      <c r="P41" s="241">
        <f t="shared" si="17"/>
        <v>44477.273117677141</v>
      </c>
      <c r="Q41" s="242">
        <f t="shared" si="18"/>
        <v>7.4128788529461911</v>
      </c>
      <c r="R41" s="242">
        <f t="shared" si="19"/>
        <v>4.3605169723212889</v>
      </c>
      <c r="S41" s="241">
        <f t="shared" si="23"/>
        <v>47514.643754220131</v>
      </c>
      <c r="T41" s="242">
        <f t="shared" si="26"/>
        <v>8.586540625703357</v>
      </c>
      <c r="U41" s="242">
        <f t="shared" si="25"/>
        <v>3.3548278190411871</v>
      </c>
      <c r="V41" s="233">
        <v>1</v>
      </c>
      <c r="W41" s="233">
        <v>1</v>
      </c>
      <c r="X41" s="243"/>
      <c r="Y41" s="243"/>
      <c r="Z41" s="246"/>
      <c r="AA41" s="244"/>
      <c r="AB41" s="244"/>
      <c r="AC41" s="244"/>
      <c r="AD41" s="244"/>
    </row>
    <row r="42" spans="1:30" s="234" customFormat="1">
      <c r="A42" s="95">
        <v>18</v>
      </c>
      <c r="B42" s="236"/>
      <c r="C42" s="273"/>
      <c r="D42" s="232"/>
      <c r="E42" s="245"/>
      <c r="F42" s="238" t="str">
        <f t="shared" si="12"/>
        <v/>
      </c>
      <c r="G42" s="245"/>
      <c r="H42" s="238" t="str">
        <f t="shared" si="13"/>
        <v/>
      </c>
      <c r="I42" s="245"/>
      <c r="J42" s="98" t="str">
        <f t="shared" si="14"/>
        <v/>
      </c>
      <c r="K42" s="238"/>
      <c r="L42" s="238"/>
      <c r="M42" s="238"/>
      <c r="N42" s="277" t="str">
        <f t="shared" si="15"/>
        <v/>
      </c>
      <c r="O42" s="240">
        <f t="shared" si="16"/>
        <v>0</v>
      </c>
      <c r="P42" s="241">
        <f t="shared" si="17"/>
        <v>44477.273117677141</v>
      </c>
      <c r="Q42" s="242">
        <f t="shared" si="18"/>
        <v>7.4128788529461911</v>
      </c>
      <c r="R42" s="242">
        <f t="shared" si="19"/>
        <v>4.3605169723212889</v>
      </c>
      <c r="S42" s="241">
        <f t="shared" si="23"/>
        <v>47514.643754220138</v>
      </c>
      <c r="T42" s="242">
        <f t="shared" si="26"/>
        <v>8.5865406257033587</v>
      </c>
      <c r="U42" s="242">
        <f t="shared" si="25"/>
        <v>3.3548278190411858</v>
      </c>
      <c r="V42" s="233">
        <v>1</v>
      </c>
      <c r="W42" s="233">
        <v>1</v>
      </c>
      <c r="X42" s="243"/>
      <c r="Y42" s="243"/>
      <c r="Z42" s="246"/>
      <c r="AA42" s="244"/>
      <c r="AB42" s="244"/>
      <c r="AC42" s="244"/>
      <c r="AD42" s="244"/>
    </row>
    <row r="43" spans="1:30" s="234" customFormat="1" ht="15" customHeight="1">
      <c r="A43" s="235">
        <v>19</v>
      </c>
      <c r="B43" s="236"/>
      <c r="C43" s="237"/>
      <c r="D43" s="232"/>
      <c r="E43" s="238"/>
      <c r="F43" s="238" t="str">
        <f t="shared" si="12"/>
        <v/>
      </c>
      <c r="G43" s="238"/>
      <c r="H43" s="238" t="str">
        <f t="shared" si="13"/>
        <v/>
      </c>
      <c r="I43" s="238"/>
      <c r="J43" s="98" t="str">
        <f t="shared" si="14"/>
        <v/>
      </c>
      <c r="K43" s="238"/>
      <c r="L43" s="238"/>
      <c r="M43" s="238"/>
      <c r="N43" s="277" t="str">
        <f t="shared" si="15"/>
        <v/>
      </c>
      <c r="O43" s="240">
        <f t="shared" si="16"/>
        <v>0</v>
      </c>
      <c r="P43" s="241">
        <f t="shared" si="17"/>
        <v>44477.273117677141</v>
      </c>
      <c r="Q43" s="242">
        <f t="shared" si="18"/>
        <v>7.4128788529461911</v>
      </c>
      <c r="R43" s="242">
        <f t="shared" si="19"/>
        <v>4.3605169723212889</v>
      </c>
      <c r="S43" s="241">
        <f t="shared" si="23"/>
        <v>47514.64375422016</v>
      </c>
      <c r="T43" s="242">
        <f t="shared" si="26"/>
        <v>8.5865406257033641</v>
      </c>
      <c r="U43" s="242">
        <f t="shared" si="25"/>
        <v>3.3548278190411835</v>
      </c>
      <c r="V43" s="233">
        <v>1</v>
      </c>
      <c r="W43" s="233">
        <v>1</v>
      </c>
      <c r="X43" s="243"/>
      <c r="Y43" s="243"/>
      <c r="Z43" s="246"/>
      <c r="AA43" s="244"/>
      <c r="AB43" s="244"/>
      <c r="AC43" s="244"/>
      <c r="AD43" s="244"/>
    </row>
    <row r="44" spans="1:30" s="234" customFormat="1" ht="15" customHeight="1">
      <c r="A44" s="235">
        <v>20</v>
      </c>
      <c r="B44" s="236"/>
      <c r="C44" s="237"/>
      <c r="D44" s="232"/>
      <c r="E44" s="238"/>
      <c r="F44" s="238" t="str">
        <f t="shared" si="12"/>
        <v/>
      </c>
      <c r="G44" s="238"/>
      <c r="H44" s="238" t="str">
        <f t="shared" si="13"/>
        <v/>
      </c>
      <c r="I44" s="238"/>
      <c r="J44" s="98" t="str">
        <f t="shared" si="14"/>
        <v/>
      </c>
      <c r="K44" s="238"/>
      <c r="L44" s="238"/>
      <c r="M44" s="238"/>
      <c r="N44" s="277" t="str">
        <f t="shared" si="15"/>
        <v/>
      </c>
      <c r="O44" s="240">
        <f t="shared" si="16"/>
        <v>0</v>
      </c>
      <c r="P44" s="241">
        <f t="shared" si="17"/>
        <v>44477.273117677141</v>
      </c>
      <c r="Q44" s="242">
        <f t="shared" si="18"/>
        <v>7.4128788529461911</v>
      </c>
      <c r="R44" s="242">
        <f t="shared" si="19"/>
        <v>4.3605169723212889</v>
      </c>
      <c r="S44" s="241">
        <f t="shared" si="23"/>
        <v>47514.643754220102</v>
      </c>
      <c r="T44" s="242">
        <f>IF(W44&lt;&gt;"",IF(E44&lt;&gt;"",E44,($I$9-SUM($T$25:T43))*V44*W44/SUMPRODUCT($W44:$W$55,$V44:$V$55)),0)</f>
        <v>8.5865406257033499</v>
      </c>
      <c r="U44" s="242">
        <f t="shared" si="25"/>
        <v>3.3548278190411764</v>
      </c>
      <c r="V44" s="233">
        <v>1</v>
      </c>
      <c r="W44" s="233">
        <v>1</v>
      </c>
      <c r="X44" s="243"/>
      <c r="Y44" s="243"/>
      <c r="Z44" s="244"/>
      <c r="AA44" s="244"/>
      <c r="AB44" s="244"/>
      <c r="AC44" s="244"/>
      <c r="AD44" s="244"/>
    </row>
    <row r="45" spans="1:30">
      <c r="A45" s="278"/>
      <c r="B45" s="96"/>
      <c r="C45" s="231"/>
      <c r="D45" s="98"/>
      <c r="E45" s="99"/>
      <c r="F45" s="99" t="str">
        <f t="shared" si="12"/>
        <v/>
      </c>
      <c r="G45" s="99"/>
      <c r="H45" s="99" t="str">
        <f t="shared" si="13"/>
        <v/>
      </c>
      <c r="I45" s="99"/>
      <c r="J45" s="98" t="str">
        <f t="shared" si="14"/>
        <v/>
      </c>
      <c r="K45" s="99"/>
      <c r="L45" s="99"/>
      <c r="M45" s="99"/>
      <c r="N45" s="279" t="str">
        <f t="shared" si="15"/>
        <v/>
      </c>
      <c r="O45" s="101" t="e">
        <f t="shared" si="16"/>
        <v>#DIV/0!</v>
      </c>
      <c r="P45" s="102">
        <f t="shared" ref="P45:P46" si="27">$I$8*V45*W45/SUMPRODUCT($W$25:$W$44,$V$25:$V$44)</f>
        <v>0</v>
      </c>
      <c r="Q45" s="103">
        <f t="shared" ref="Q45:Q46" si="28">$I$9*V45*W45/SUMPRODUCT($W$25:$W$44,$V$25:$V$44)</f>
        <v>0</v>
      </c>
      <c r="R45" s="103">
        <f t="shared" si="19"/>
        <v>0</v>
      </c>
      <c r="S45" s="102" t="str">
        <f t="shared" ref="S45:S46" si="29">IF(W45&lt;&gt;"",IF(D45&lt;&gt;"",D45,($I$8-SUM($S$25:S44))*V45*W45/SUMPRODUCT($W$44:$W45,$V$44:$V45)),"")</f>
        <v/>
      </c>
      <c r="T45" s="103" t="str">
        <f t="shared" ref="T45:T46" si="30">IF(W45&lt;&gt;"",IF(E45&lt;&gt;"",E45,($I$9-SUM($T$25:T44))*V45*W45/SUMPRODUCT($W$44:$W45,$V$44:$V45)),"")</f>
        <v/>
      </c>
      <c r="U45" s="103" t="str">
        <f t="shared" ref="U45:U46" si="31">IF(W45&lt;&gt;"",IF($I$12&lt;&gt;"",IF(G45&lt;&gt;"",G45,($I$9/$I$12-SUM($U$25:U44))*V45*W45/SUMPRODUCT($W$44:$W45,$V$44:$V45)),""),"")</f>
        <v/>
      </c>
      <c r="V45" s="280"/>
      <c r="W45" s="280"/>
      <c r="X45" s="281"/>
      <c r="Y45" s="281"/>
      <c r="Z45" s="282"/>
    </row>
    <row r="46" spans="1:30" s="234" customFormat="1">
      <c r="A46" s="283"/>
      <c r="B46" s="236"/>
      <c r="C46" s="263"/>
      <c r="D46" s="232"/>
      <c r="E46" s="238"/>
      <c r="F46" s="238" t="str">
        <f t="shared" si="12"/>
        <v/>
      </c>
      <c r="G46" s="238"/>
      <c r="H46" s="238" t="str">
        <f t="shared" si="13"/>
        <v/>
      </c>
      <c r="I46" s="238"/>
      <c r="J46" s="232" t="str">
        <f t="shared" si="14"/>
        <v/>
      </c>
      <c r="K46" s="238"/>
      <c r="L46" s="238"/>
      <c r="M46" s="238"/>
      <c r="N46" s="277" t="str">
        <f t="shared" si="15"/>
        <v/>
      </c>
      <c r="O46" s="240" t="e">
        <f t="shared" si="16"/>
        <v>#DIV/0!</v>
      </c>
      <c r="P46" s="241">
        <f t="shared" si="27"/>
        <v>0</v>
      </c>
      <c r="Q46" s="242">
        <f t="shared" si="28"/>
        <v>0</v>
      </c>
      <c r="R46" s="242">
        <f t="shared" si="19"/>
        <v>0</v>
      </c>
      <c r="S46" s="241" t="str">
        <f t="shared" si="29"/>
        <v/>
      </c>
      <c r="T46" s="242" t="str">
        <f t="shared" si="30"/>
        <v/>
      </c>
      <c r="U46" s="242" t="str">
        <f t="shared" si="31"/>
        <v/>
      </c>
      <c r="V46" s="284"/>
      <c r="W46" s="284"/>
      <c r="X46" s="285"/>
      <c r="Y46" s="285"/>
      <c r="Z46" s="286"/>
    </row>
    <row r="47" spans="1:30" s="234" customFormat="1">
      <c r="A47" s="287"/>
      <c r="B47" s="236"/>
      <c r="C47" s="247"/>
      <c r="D47" s="232"/>
      <c r="E47" s="238"/>
      <c r="F47" s="238" t="str">
        <f t="shared" si="12"/>
        <v/>
      </c>
      <c r="G47" s="238"/>
      <c r="H47" s="238" t="str">
        <f t="shared" si="13"/>
        <v/>
      </c>
      <c r="I47" s="238"/>
      <c r="J47" s="232" t="str">
        <f t="shared" si="14"/>
        <v/>
      </c>
      <c r="K47" s="238"/>
      <c r="L47" s="238"/>
      <c r="M47" s="238"/>
      <c r="N47" s="277" t="str">
        <f t="shared" si="15"/>
        <v/>
      </c>
      <c r="O47" s="240" t="e">
        <f t="shared" si="16"/>
        <v>#DIV/0!</v>
      </c>
      <c r="P47" s="241">
        <f>$I$8*V47*W47/SUMPRODUCT($W$25:$W$47,$V$25:$V$47)</f>
        <v>0</v>
      </c>
      <c r="Q47" s="242">
        <f>$I$9*V47*W47/SUMPRODUCT($W$25:$W$47,$V$25:$V$47)</f>
        <v>0</v>
      </c>
      <c r="R47" s="242">
        <f t="shared" si="19"/>
        <v>0</v>
      </c>
      <c r="S47" s="241" t="str">
        <f>IF(W47&lt;&gt;"",IF(D47&lt;&gt;"",D47,($I$8-SUM($S$25:S46))*V47*W47/SUMPRODUCT($W47:$W$47,$V47:$V$47)),"")</f>
        <v/>
      </c>
      <c r="T47" s="242" t="str">
        <f>IF(W47&lt;&gt;"",IF(E47&lt;&gt;"",E47,($I$9-SUM($T$25:T46))*V47*W47/SUMPRODUCT($W47:$W$47,$V47:$V$47)),"")</f>
        <v/>
      </c>
      <c r="U47" s="242" t="str">
        <f>IF(W47&lt;&gt;"",IF($I$12&lt;&gt;"",IF(G47&lt;&gt;"",G47,($I$9/$I$12-SUM($U$25:U46))*V47*W47/SUMPRODUCT($W47:$W$47,$V47:$V$47)),""),"")</f>
        <v/>
      </c>
      <c r="V47" s="284"/>
      <c r="W47" s="284"/>
      <c r="X47" s="285"/>
      <c r="Y47" s="285"/>
      <c r="Z47" s="286"/>
    </row>
    <row r="48" spans="1:30" ht="15" customHeight="1">
      <c r="B48" s="592" t="s">
        <v>60</v>
      </c>
      <c r="C48" s="592"/>
      <c r="D48" s="114">
        <f>SUM(D25:D47)</f>
        <v>624027.6</v>
      </c>
      <c r="E48" s="114">
        <f>SUM(E25:E47)</f>
        <v>103</v>
      </c>
      <c r="F48" s="114">
        <f t="shared" si="12"/>
        <v>6058.5203883495142</v>
      </c>
      <c r="G48" s="114">
        <f>SUM(G25:G47)</f>
        <v>69</v>
      </c>
      <c r="H48" s="114">
        <f t="shared" si="13"/>
        <v>9043.8782608695656</v>
      </c>
      <c r="I48" s="114">
        <f>SUM(I25:I47)</f>
        <v>450</v>
      </c>
      <c r="J48" s="113">
        <f t="shared" si="14"/>
        <v>1.4927536231884058</v>
      </c>
      <c r="K48" s="114">
        <f>SUM(K25:K47)</f>
        <v>182772</v>
      </c>
      <c r="L48" s="114">
        <f>SUM(L25:L47)</f>
        <v>65702</v>
      </c>
      <c r="M48" s="114">
        <f>SUM(M25:M47)</f>
        <v>0</v>
      </c>
      <c r="N48" s="115">
        <f t="shared" si="15"/>
        <v>0.15333333333333332</v>
      </c>
      <c r="O48" s="116">
        <f t="shared" si="16"/>
        <v>0.68641182085561459</v>
      </c>
      <c r="P48" s="117">
        <f t="shared" ref="P48:U48" si="32">SUM(P25:P47)</f>
        <v>909115.46252532117</v>
      </c>
      <c r="Q48" s="117">
        <f t="shared" si="32"/>
        <v>151.51924375422016</v>
      </c>
      <c r="R48" s="117">
        <f t="shared" si="32"/>
        <v>89.128966914247187</v>
      </c>
      <c r="S48" s="117">
        <f t="shared" si="32"/>
        <v>909115.46252532071</v>
      </c>
      <c r="T48" s="117">
        <f t="shared" si="32"/>
        <v>151.51924375422013</v>
      </c>
      <c r="U48" s="117">
        <f t="shared" si="32"/>
        <v>89.12896691424713</v>
      </c>
      <c r="V48" s="118"/>
      <c r="W48" s="118"/>
    </row>
    <row r="49" spans="2:17">
      <c r="B49" s="120"/>
      <c r="C49" s="121"/>
      <c r="D49" s="122">
        <f>SUMIF(D25:D47,"",P25:P47)+D48</f>
        <v>890891.23870606278</v>
      </c>
      <c r="E49" s="123"/>
      <c r="F49" s="121"/>
      <c r="G49" s="121"/>
      <c r="H49" s="124"/>
      <c r="I49" s="229"/>
      <c r="J49" s="124"/>
      <c r="L49" s="126"/>
      <c r="M49" s="123"/>
      <c r="N49" s="126"/>
      <c r="O49" s="126"/>
      <c r="P49" s="126"/>
      <c r="Q49" s="127"/>
    </row>
    <row r="50" spans="2:17">
      <c r="D50" s="128"/>
    </row>
    <row r="51" spans="2:17">
      <c r="D51" s="128"/>
    </row>
    <row r="52" spans="2:17">
      <c r="D52" s="224"/>
    </row>
    <row r="53" spans="2:17">
      <c r="D53" s="224"/>
    </row>
  </sheetData>
  <mergeCells count="28">
    <mergeCell ref="P22:W22"/>
    <mergeCell ref="B48:C48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55" priority="904" operator="greaterThan">
      <formula>0</formula>
    </cfRule>
    <cfRule type="cellIs" dxfId="154" priority="903" operator="lessThan">
      <formula>0</formula>
    </cfRule>
  </conditionalFormatting>
  <conditionalFormatting sqref="J25:J44">
    <cfRule type="cellIs" dxfId="153" priority="10" operator="lessThan">
      <formula>$I$12</formula>
    </cfRule>
    <cfRule type="cellIs" dxfId="152" priority="11" operator="greaterThan">
      <formula>$I$12</formula>
    </cfRule>
  </conditionalFormatting>
  <conditionalFormatting sqref="J30:J44">
    <cfRule type="cellIs" dxfId="151" priority="1068" operator="lessThan">
      <formula>$I$12</formula>
    </cfRule>
  </conditionalFormatting>
  <conditionalFormatting sqref="J30:J47">
    <cfRule type="cellIs" dxfId="150" priority="219" operator="lessThan">
      <formula>$I$12</formula>
    </cfRule>
    <cfRule type="cellIs" dxfId="149" priority="220" operator="greaterThan">
      <formula>$I$12</formula>
    </cfRule>
  </conditionalFormatting>
  <conditionalFormatting sqref="K10:K12 K15">
    <cfRule type="cellIs" dxfId="148" priority="902" operator="greaterThan">
      <formula>1</formula>
    </cfRule>
    <cfRule type="cellIs" dxfId="147" priority="901" operator="lessThan">
      <formula>1</formula>
    </cfRule>
  </conditionalFormatting>
  <conditionalFormatting sqref="K13">
    <cfRule type="cellIs" dxfId="146" priority="552" operator="greaterThan">
      <formula>$K$14</formula>
    </cfRule>
    <cfRule type="cellIs" dxfId="145" priority="551" operator="lessThan">
      <formula>$K$14</formula>
    </cfRule>
  </conditionalFormatting>
  <conditionalFormatting sqref="M8:M15">
    <cfRule type="cellIs" dxfId="144" priority="919" operator="lessThan">
      <formula>1</formula>
    </cfRule>
    <cfRule type="cellIs" dxfId="143" priority="900" operator="greaterThan">
      <formula>1</formula>
    </cfRule>
  </conditionalFormatting>
  <conditionalFormatting sqref="N25:N39">
    <cfRule type="cellIs" dxfId="142" priority="7" operator="between">
      <formula>0.2</formula>
      <formula>0.25</formula>
    </cfRule>
    <cfRule type="cellIs" dxfId="141" priority="8" operator="greaterThanOrEqual">
      <formula>0.25</formula>
    </cfRule>
  </conditionalFormatting>
  <conditionalFormatting sqref="N25:N47">
    <cfRule type="cellIs" dxfId="140" priority="9" operator="lessThan">
      <formula>0.2</formula>
    </cfRule>
  </conditionalFormatting>
  <conditionalFormatting sqref="N38">
    <cfRule type="cellIs" dxfId="139" priority="1054" operator="between">
      <formula>0.2</formula>
      <formula>0.25</formula>
    </cfRule>
  </conditionalFormatting>
  <conditionalFormatting sqref="N38:N47">
    <cfRule type="cellIs" dxfId="138" priority="217" operator="greaterThanOrEqual">
      <formula>0.25</formula>
    </cfRule>
  </conditionalFormatting>
  <conditionalFormatting sqref="N39:N47">
    <cfRule type="cellIs" dxfId="137" priority="216" operator="between">
      <formula>0.2</formula>
      <formula>0.25</formula>
    </cfRule>
  </conditionalFormatting>
  <conditionalFormatting sqref="O25:O37">
    <cfRule type="cellIs" dxfId="136" priority="5" operator="between">
      <formula>0.85</formula>
      <formula>1</formula>
    </cfRule>
    <cfRule type="cellIs" dxfId="135" priority="6" operator="between">
      <formula>0.01</formula>
      <formula>0.99</formula>
    </cfRule>
    <cfRule type="cellIs" dxfId="134" priority="2" operator="lessThan">
      <formula>0.9</formula>
    </cfRule>
    <cfRule type="cellIs" dxfId="133" priority="1" operator="between">
      <formula>0.9001</formula>
      <formula>0.9999</formula>
    </cfRule>
  </conditionalFormatting>
  <conditionalFormatting sqref="O25:O47">
    <cfRule type="cellIs" dxfId="132" priority="4" operator="greaterThan">
      <formula>100</formula>
    </cfRule>
    <cfRule type="cellIs" dxfId="131" priority="3" operator="greaterThan">
      <formula>1</formula>
    </cfRule>
  </conditionalFormatting>
  <conditionalFormatting sqref="O38">
    <cfRule type="cellIs" dxfId="130" priority="1056" operator="between">
      <formula>0.85</formula>
      <formula>1</formula>
    </cfRule>
    <cfRule type="cellIs" dxfId="129" priority="1059" operator="lessThan">
      <formula>0.9</formula>
    </cfRule>
    <cfRule type="cellIs" dxfId="128" priority="1060" operator="between">
      <formula>0.9001</formula>
      <formula>0.9999</formula>
    </cfRule>
  </conditionalFormatting>
  <conditionalFormatting sqref="O38:O47">
    <cfRule type="cellIs" dxfId="127" priority="215" operator="between">
      <formula>0.01</formula>
      <formula>0.99</formula>
    </cfRule>
  </conditionalFormatting>
  <conditionalFormatting sqref="O39:O44">
    <cfRule type="cellIs" dxfId="126" priority="214" operator="between">
      <formula>0.85</formula>
      <formula>1</formula>
    </cfRule>
  </conditionalFormatting>
  <conditionalFormatting sqref="O39:O47">
    <cfRule type="cellIs" dxfId="125" priority="211" operator="lessThan">
      <formula>0.9</formula>
    </cfRule>
    <cfRule type="cellIs" dxfId="124" priority="210" operator="between">
      <formula>0.9001</formula>
      <formula>0.9999</formula>
    </cfRule>
  </conditionalFormatting>
  <conditionalFormatting sqref="O45:O47">
    <cfRule type="cellIs" dxfId="123" priority="639" operator="between">
      <formula>0.85</formula>
      <formula>1</formula>
    </cfRule>
  </conditionalFormatting>
  <conditionalFormatting sqref="P10:Q10">
    <cfRule type="cellIs" dxfId="122" priority="915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U53"/>
  <sheetViews>
    <sheetView showZeros="0" zoomScale="75" workbookViewId="0">
      <pane xSplit="3" topLeftCell="D1" activePane="topRight" state="frozen"/>
      <selection activeCell="A7" sqref="A7"/>
      <selection pane="topRight" activeCell="A7" sqref="A7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10.16406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55">
        <f ca="1">TODAY()-1</f>
        <v>45879</v>
      </c>
      <c r="C1" s="655"/>
      <c r="D1" s="11"/>
      <c r="E1" s="11"/>
      <c r="F1" s="12"/>
      <c r="G1" s="12"/>
      <c r="H1" s="12"/>
      <c r="I1" s="12"/>
      <c r="J1" s="198"/>
      <c r="K1" s="198"/>
      <c r="L1" s="198"/>
      <c r="M1" s="198"/>
      <c r="N1" s="198"/>
      <c r="O1" s="198"/>
      <c r="P1" s="198"/>
      <c r="Q1" s="656"/>
      <c r="R1" s="656"/>
      <c r="S1" s="656"/>
      <c r="T1" s="656"/>
      <c r="U1" s="12"/>
      <c r="V1" s="12"/>
      <c r="W1" s="12"/>
    </row>
    <row r="2" spans="2:23" ht="21.75" customHeight="1">
      <c r="B2" s="657" t="s">
        <v>0</v>
      </c>
      <c r="C2" s="657"/>
      <c r="D2" s="11"/>
      <c r="E2" s="11"/>
      <c r="F2" s="12"/>
      <c r="G2" s="12"/>
      <c r="H2" s="12"/>
      <c r="I2" s="12"/>
      <c r="J2" s="658" t="s">
        <v>66</v>
      </c>
      <c r="K2" s="658"/>
      <c r="L2" s="658"/>
      <c r="M2" s="658"/>
      <c r="N2" s="658"/>
      <c r="O2" s="658"/>
      <c r="P2" s="658"/>
      <c r="Q2" s="656"/>
      <c r="R2" s="656"/>
      <c r="S2" s="656"/>
      <c r="T2" s="656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59" t="str">
        <f>График!B26</f>
        <v>Орешникова Елена</v>
      </c>
      <c r="K3" s="660"/>
      <c r="L3" s="660"/>
      <c r="M3" s="660"/>
      <c r="N3" s="661"/>
      <c r="O3" s="198"/>
      <c r="P3" s="199"/>
      <c r="Q3" s="656"/>
      <c r="R3" s="656"/>
      <c r="S3" s="656"/>
      <c r="T3" s="656"/>
      <c r="U3" s="12"/>
      <c r="V3" s="12"/>
      <c r="W3" s="12"/>
    </row>
    <row r="4" spans="2:23" ht="15" customHeight="1">
      <c r="B4" s="11"/>
      <c r="C4" s="665">
        <f>I8-D48</f>
        <v>165293.72045914922</v>
      </c>
      <c r="D4" s="666"/>
      <c r="E4" s="200">
        <f>IF(I8&lt;&gt;0,C4/I8,0)</f>
        <v>1</v>
      </c>
      <c r="F4" s="12"/>
      <c r="G4" s="12"/>
      <c r="H4" s="12"/>
      <c r="I4" s="12"/>
      <c r="J4" s="662"/>
      <c r="K4" s="663"/>
      <c r="L4" s="663"/>
      <c r="M4" s="663"/>
      <c r="N4" s="664"/>
      <c r="O4" s="12"/>
      <c r="P4" s="12"/>
      <c r="Q4" s="656"/>
      <c r="R4" s="656"/>
      <c r="S4" s="656"/>
      <c r="T4" s="656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7"/>
      <c r="K5" s="667"/>
      <c r="L5" s="667"/>
      <c r="M5" s="667"/>
      <c r="N5" s="667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1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1"/>
      <c r="C7" s="12"/>
      <c r="D7" s="12"/>
      <c r="E7" s="12"/>
      <c r="F7" s="574" t="s">
        <v>3</v>
      </c>
      <c r="G7" s="575"/>
      <c r="H7" s="576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77" t="s">
        <v>11</v>
      </c>
      <c r="Q7" s="578"/>
      <c r="R7" s="21"/>
      <c r="S7" s="21"/>
      <c r="T7" s="12"/>
      <c r="U7" s="12"/>
      <c r="V7" s="12"/>
      <c r="W7" s="12"/>
    </row>
    <row r="8" spans="2:23" ht="15.75" customHeight="1">
      <c r="B8" s="201"/>
      <c r="C8" s="12"/>
      <c r="D8" s="12"/>
      <c r="E8" s="12"/>
      <c r="F8" s="579" t="s">
        <v>12</v>
      </c>
      <c r="G8" s="580"/>
      <c r="H8" s="581"/>
      <c r="I8" s="202">
        <f>'Ялта, Ленина, 18'!I8/График!AJ31*График!AJ26</f>
        <v>165293.72045914922</v>
      </c>
      <c r="J8" s="203">
        <f>D48</f>
        <v>0</v>
      </c>
      <c r="K8" s="268">
        <f t="shared" ref="K8:K19" si="0">IF(AND(I8&lt;&gt;"",I8&lt;&gt;0,J8&lt;&gt;""),J8/I8,"")</f>
        <v>0</v>
      </c>
      <c r="L8" s="205">
        <f>IF(SUMIF($D$25:$D$47,"&gt;=0",$P$25:$P$47)&lt;&gt;0,I8*D48/SUMIF($D$25:$D$47,"&gt;=0",$P$25:$P$47),0)</f>
        <v>0</v>
      </c>
      <c r="M8" s="32" t="str">
        <f t="shared" ref="M8:M20" si="1">IF(AND(I8&lt;&gt;"",I8&lt;&gt;0,L8&lt;&gt;"",L8&lt;&gt;0),L8/I8,"")</f>
        <v/>
      </c>
      <c r="N8" s="35" t="str">
        <f t="shared" ref="N8:N20" si="2">IF(AND(J8&lt;&gt;0,J8&lt;&gt;"",I8&lt;&gt;0,I8&lt;&gt;""),L8-I8,"")</f>
        <v/>
      </c>
      <c r="O8" s="34"/>
      <c r="P8" s="35" t="str">
        <f t="shared" ref="P8:P20" si="3">IF(AND(O8&lt;&gt;"",O8&lt;&gt;0,L8&lt;&gt;"",L8&lt;&gt;0),-O8+L8,"")</f>
        <v/>
      </c>
      <c r="Q8" s="36" t="str">
        <f t="shared" ref="Q8:Q20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1"/>
      <c r="C9" s="12"/>
      <c r="D9" s="12"/>
      <c r="E9" s="12"/>
      <c r="F9" s="582" t="s">
        <v>13</v>
      </c>
      <c r="G9" s="583"/>
      <c r="H9" s="584"/>
      <c r="I9" s="38">
        <f>I8/I11</f>
        <v>27.548953409858203</v>
      </c>
      <c r="J9" s="39">
        <f>E48</f>
        <v>0</v>
      </c>
      <c r="K9" s="269">
        <f t="shared" si="0"/>
        <v>0</v>
      </c>
      <c r="L9" s="207">
        <f>IF(SUMIF($E$25:$E$47,"&gt;=0",$Q$25:$Q$47)&lt;&gt;0,I9*E48/SUMIF($E$25:$E$47,"&gt;=0",$Q$25:$Q$47),0)</f>
        <v>0</v>
      </c>
      <c r="M9" s="42" t="str">
        <f t="shared" si="1"/>
        <v/>
      </c>
      <c r="N9" s="43" t="str">
        <f t="shared" si="2"/>
        <v/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1"/>
      <c r="C10" s="12"/>
      <c r="D10" s="12"/>
      <c r="E10" s="12"/>
      <c r="F10" s="579" t="s">
        <v>14</v>
      </c>
      <c r="G10" s="580"/>
      <c r="H10" s="581"/>
      <c r="I10" s="50">
        <f>I11*I12</f>
        <v>10200</v>
      </c>
      <c r="J10" s="209" t="str">
        <f>H48</f>
        <v/>
      </c>
      <c r="K10" s="270" t="str">
        <f t="shared" si="0"/>
        <v/>
      </c>
      <c r="L10" s="207" t="str">
        <f>J10</f>
        <v/>
      </c>
      <c r="M10" s="48" t="str">
        <f t="shared" si="1"/>
        <v/>
      </c>
      <c r="N10" s="49" t="str">
        <f t="shared" si="2"/>
        <v/>
      </c>
      <c r="O10" s="50">
        <f>O11*O12</f>
        <v>0</v>
      </c>
      <c r="P10" s="49" t="str">
        <f t="shared" si="3"/>
        <v/>
      </c>
      <c r="Q10" s="51" t="str">
        <f t="shared" si="4"/>
        <v/>
      </c>
      <c r="R10" s="21"/>
      <c r="S10" s="589" t="s">
        <v>15</v>
      </c>
      <c r="T10" s="589"/>
      <c r="U10" s="12"/>
      <c r="V10" s="12"/>
      <c r="W10" s="12"/>
    </row>
    <row r="11" spans="2:23" ht="15.75" customHeight="1">
      <c r="B11" s="201"/>
      <c r="C11" s="12"/>
      <c r="D11" s="12"/>
      <c r="E11" s="12"/>
      <c r="F11" s="582" t="s">
        <v>16</v>
      </c>
      <c r="G11" s="583"/>
      <c r="H11" s="584"/>
      <c r="I11" s="52">
        <f>'Ялта, Ленина, 18'!I11</f>
        <v>6000</v>
      </c>
      <c r="J11" s="39" t="str">
        <f>F48</f>
        <v/>
      </c>
      <c r="K11" s="271" t="str">
        <f t="shared" si="0"/>
        <v/>
      </c>
      <c r="L11" s="207" t="str">
        <f>IF(L9&gt;0,L8/L9,"")</f>
        <v/>
      </c>
      <c r="M11" s="42" t="str">
        <f t="shared" si="1"/>
        <v/>
      </c>
      <c r="N11" s="43" t="str">
        <f t="shared" si="2"/>
        <v/>
      </c>
      <c r="O11" s="53"/>
      <c r="P11" s="43" t="str">
        <f t="shared" si="3"/>
        <v/>
      </c>
      <c r="Q11" s="45" t="str">
        <f t="shared" si="4"/>
        <v/>
      </c>
      <c r="R11" s="21"/>
      <c r="S11" s="589"/>
      <c r="T11" s="589"/>
      <c r="U11" s="12"/>
      <c r="V11" s="12"/>
      <c r="W11" s="12"/>
    </row>
    <row r="12" spans="2:23" ht="15.75" customHeight="1">
      <c r="B12" s="201"/>
      <c r="C12" s="12"/>
      <c r="D12" s="12"/>
      <c r="E12" s="12"/>
      <c r="F12" s="582" t="s">
        <v>17</v>
      </c>
      <c r="G12" s="583"/>
      <c r="H12" s="584"/>
      <c r="I12" s="54">
        <f>'Ялта, Ленина, 18'!I12</f>
        <v>1.7</v>
      </c>
      <c r="J12" s="55" t="str">
        <f>J48</f>
        <v/>
      </c>
      <c r="K12" s="271" t="str">
        <f t="shared" si="0"/>
        <v/>
      </c>
      <c r="L12" s="213" t="str">
        <f>J12</f>
        <v/>
      </c>
      <c r="M12" s="42" t="str">
        <f t="shared" si="1"/>
        <v/>
      </c>
      <c r="N12" s="57" t="str">
        <f t="shared" si="2"/>
        <v/>
      </c>
      <c r="O12" s="58"/>
      <c r="P12" s="43" t="str">
        <f t="shared" si="3"/>
        <v/>
      </c>
      <c r="Q12" s="45" t="str">
        <f t="shared" si="4"/>
        <v/>
      </c>
      <c r="R12" s="21"/>
      <c r="S12" s="59">
        <f>'Ялта, Ленина, 18'!S12*График!AJ26/График!AJ31</f>
        <v>34841.32343011479</v>
      </c>
      <c r="T12" s="60">
        <f>L54</f>
        <v>0</v>
      </c>
      <c r="U12" s="12"/>
      <c r="V12" s="12"/>
      <c r="W12" s="12"/>
    </row>
    <row r="13" spans="2:23" ht="15.75" customHeight="1">
      <c r="B13" s="201"/>
      <c r="C13" s="12"/>
      <c r="D13" s="12"/>
      <c r="E13" s="12"/>
      <c r="F13" s="582" t="s">
        <v>18</v>
      </c>
      <c r="G13" s="583"/>
      <c r="H13" s="584"/>
      <c r="I13" s="38">
        <f>IF(I12&lt;&gt;0,I9/I12,"")</f>
        <v>16.205266711681297</v>
      </c>
      <c r="J13" s="39">
        <f>G48</f>
        <v>0</v>
      </c>
      <c r="K13" s="269">
        <f t="shared" si="0"/>
        <v>0</v>
      </c>
      <c r="L13" s="207" t="e">
        <f>IF(SUMIF($G$25:$G$47,"&gt;=0",$R$25:$R$47)&lt;&gt;0,I13*G48/SUMIF($G$25:$G$47,"&gt;=0",$R$25:$R$47),"")</f>
        <v>#DIV/0!</v>
      </c>
      <c r="M13" s="42" t="e">
        <f t="shared" si="1"/>
        <v>#DIV/0!</v>
      </c>
      <c r="N13" s="57" t="str">
        <f t="shared" si="2"/>
        <v/>
      </c>
      <c r="O13" s="61"/>
      <c r="P13" s="43" t="e">
        <f t="shared" si="3"/>
        <v>#DIV/0!</v>
      </c>
      <c r="Q13" s="45" t="e">
        <f t="shared" si="4"/>
        <v>#DIV/0!</v>
      </c>
      <c r="R13" s="21"/>
      <c r="S13" s="62">
        <f>T12/S12</f>
        <v>0</v>
      </c>
      <c r="T13" s="62" t="e">
        <f>S13/J14*I14</f>
        <v>#DIV/0!</v>
      </c>
      <c r="U13" s="12"/>
      <c r="V13" s="12"/>
      <c r="W13" s="12"/>
    </row>
    <row r="14" spans="2:23" ht="15.75" customHeight="1">
      <c r="B14" s="201"/>
      <c r="C14" s="12"/>
      <c r="D14" s="214"/>
      <c r="E14" s="12"/>
      <c r="F14" s="582" t="s">
        <v>63</v>
      </c>
      <c r="G14" s="583"/>
      <c r="H14" s="584"/>
      <c r="I14" s="52">
        <f>График!AI27</f>
        <v>14</v>
      </c>
      <c r="J14" s="64"/>
      <c r="K14" s="269" t="str">
        <f t="shared" si="0"/>
        <v/>
      </c>
      <c r="L14" s="41">
        <f>I14</f>
        <v>14</v>
      </c>
      <c r="M14" s="42">
        <f t="shared" si="1"/>
        <v>1</v>
      </c>
      <c r="N14" s="43" t="str">
        <f t="shared" si="2"/>
        <v/>
      </c>
      <c r="O14" s="61"/>
      <c r="P14" s="43" t="str">
        <f t="shared" si="3"/>
        <v/>
      </c>
      <c r="Q14" s="45" t="str">
        <f t="shared" si="4"/>
        <v/>
      </c>
      <c r="R14" s="21"/>
      <c r="S14" s="65"/>
      <c r="T14" s="6"/>
      <c r="U14" s="12"/>
      <c r="V14" s="12"/>
      <c r="W14" s="12"/>
    </row>
    <row r="15" spans="2:23" ht="15.75" customHeight="1">
      <c r="B15" s="201"/>
      <c r="C15" s="12"/>
      <c r="D15" s="12"/>
      <c r="E15" s="12"/>
      <c r="F15" s="582" t="s">
        <v>20</v>
      </c>
      <c r="G15" s="583"/>
      <c r="H15" s="584"/>
      <c r="I15" s="75">
        <f>'Ялта, Ленина, 18'!I15</f>
        <v>131612.90322580645</v>
      </c>
      <c r="J15" s="67" t="e">
        <f>J8/J14</f>
        <v>#DIV/0!</v>
      </c>
      <c r="K15" s="77" t="e">
        <f t="shared" si="0"/>
        <v>#DIV/0!</v>
      </c>
      <c r="L15" s="72" t="e">
        <f t="shared" ref="L15:L19" si="5">J15</f>
        <v>#DIV/0!</v>
      </c>
      <c r="M15" s="70" t="e">
        <f t="shared" si="1"/>
        <v>#DIV/0!</v>
      </c>
      <c r="N15" s="43" t="e">
        <f t="shared" si="2"/>
        <v>#DIV/0!</v>
      </c>
      <c r="O15" s="71"/>
      <c r="P15" s="43" t="e">
        <f t="shared" si="3"/>
        <v>#DIV/0!</v>
      </c>
      <c r="Q15" s="45" t="e">
        <f t="shared" si="4"/>
        <v>#DIV/0!</v>
      </c>
      <c r="R15" s="21"/>
      <c r="S15" s="37"/>
      <c r="T15" s="6"/>
      <c r="U15" s="12"/>
      <c r="V15" s="12"/>
      <c r="W15" s="12"/>
    </row>
    <row r="16" spans="2:23" ht="15.75" customHeight="1">
      <c r="B16" s="201"/>
      <c r="C16" s="12"/>
      <c r="D16" s="12"/>
      <c r="E16" s="12"/>
      <c r="F16" s="582" t="s">
        <v>21</v>
      </c>
      <c r="G16" s="583"/>
      <c r="H16" s="584"/>
      <c r="I16" s="75"/>
      <c r="J16" s="67">
        <f>J8-I15*J14</f>
        <v>0</v>
      </c>
      <c r="K16" s="77" t="str">
        <f t="shared" si="0"/>
        <v/>
      </c>
      <c r="L16" s="72">
        <f t="shared" si="5"/>
        <v>0</v>
      </c>
      <c r="M16" s="73" t="str">
        <f t="shared" si="1"/>
        <v/>
      </c>
      <c r="N16" s="43" t="str">
        <f t="shared" si="2"/>
        <v/>
      </c>
      <c r="O16" s="71"/>
      <c r="P16" s="43" t="str">
        <f t="shared" si="3"/>
        <v/>
      </c>
      <c r="Q16" s="45" t="str">
        <f t="shared" si="4"/>
        <v/>
      </c>
      <c r="R16" s="21"/>
      <c r="S16" s="589" t="s">
        <v>22</v>
      </c>
      <c r="T16" s="589"/>
      <c r="U16" s="12"/>
      <c r="V16" s="12"/>
      <c r="W16" s="12"/>
    </row>
    <row r="17" spans="1:255" ht="15.75" customHeight="1">
      <c r="B17" s="201"/>
      <c r="C17" s="12"/>
      <c r="D17" s="12"/>
      <c r="E17" s="12"/>
      <c r="F17" s="582" t="s">
        <v>23</v>
      </c>
      <c r="G17" s="583"/>
      <c r="H17" s="584"/>
      <c r="I17" s="75">
        <f>'Ялта, Ленина, 18'!I17/График!AJ31*График!AJ26</f>
        <v>64.821066846725188</v>
      </c>
      <c r="J17" s="67">
        <f>I48</f>
        <v>0</v>
      </c>
      <c r="K17" s="77">
        <f t="shared" si="0"/>
        <v>0</v>
      </c>
      <c r="L17" s="78" t="e">
        <f>J17/J14*I14</f>
        <v>#DIV/0!</v>
      </c>
      <c r="M17" s="73" t="e">
        <f t="shared" si="1"/>
        <v>#DIV/0!</v>
      </c>
      <c r="N17" s="43" t="str">
        <f t="shared" si="2"/>
        <v/>
      </c>
      <c r="O17" s="71"/>
      <c r="P17" s="43" t="e">
        <f t="shared" si="3"/>
        <v>#DIV/0!</v>
      </c>
      <c r="Q17" s="45" t="e">
        <f t="shared" si="4"/>
        <v>#DIV/0!</v>
      </c>
      <c r="R17" s="21"/>
      <c r="S17" s="589"/>
      <c r="T17" s="589"/>
      <c r="U17" s="12"/>
      <c r="V17" s="12"/>
      <c r="W17" s="12"/>
    </row>
    <row r="18" spans="1:255" ht="15.75" customHeight="1">
      <c r="B18" s="201"/>
      <c r="C18" s="12"/>
      <c r="D18" s="12"/>
      <c r="E18" s="12"/>
      <c r="F18" s="582"/>
      <c r="G18" s="583"/>
      <c r="H18" s="584"/>
      <c r="I18" s="76"/>
      <c r="J18" s="67"/>
      <c r="K18" s="77" t="str">
        <f t="shared" si="0"/>
        <v/>
      </c>
      <c r="L18" s="72">
        <f t="shared" si="5"/>
        <v>0</v>
      </c>
      <c r="M18" s="73" t="str">
        <f t="shared" si="1"/>
        <v/>
      </c>
      <c r="N18" s="43" t="str">
        <f t="shared" si="2"/>
        <v/>
      </c>
      <c r="O18" s="79">
        <v>0</v>
      </c>
      <c r="P18" s="43" t="str">
        <f t="shared" si="3"/>
        <v/>
      </c>
      <c r="Q18" s="45" t="str">
        <f t="shared" si="4"/>
        <v/>
      </c>
      <c r="R18" s="21"/>
      <c r="S18" s="59">
        <f>'Ялта, Ленина, 18'!S18*График!AJ26/График!AJ31</f>
        <v>31600.270087778528</v>
      </c>
      <c r="T18" s="60">
        <f>K54</f>
        <v>0</v>
      </c>
      <c r="U18" s="12"/>
      <c r="V18" s="12"/>
      <c r="W18" s="12"/>
    </row>
    <row r="19" spans="1:255" ht="15.75" customHeight="1">
      <c r="B19" s="201"/>
      <c r="C19" s="12"/>
      <c r="D19" s="12"/>
      <c r="E19" s="12"/>
      <c r="F19" s="582"/>
      <c r="G19" s="583"/>
      <c r="H19" s="584"/>
      <c r="I19" s="76"/>
      <c r="J19" s="67">
        <f>M48</f>
        <v>0</v>
      </c>
      <c r="K19" s="77" t="str">
        <f t="shared" si="0"/>
        <v/>
      </c>
      <c r="L19" s="72">
        <f t="shared" si="5"/>
        <v>0</v>
      </c>
      <c r="M19" s="73" t="str">
        <f t="shared" si="1"/>
        <v/>
      </c>
      <c r="N19" s="43" t="str">
        <f t="shared" si="2"/>
        <v/>
      </c>
      <c r="O19" s="71">
        <v>0</v>
      </c>
      <c r="P19" s="43" t="str">
        <f t="shared" si="3"/>
        <v/>
      </c>
      <c r="Q19" s="45" t="str">
        <f t="shared" si="4"/>
        <v/>
      </c>
      <c r="R19" s="21"/>
      <c r="S19" s="62">
        <f>T18/S18</f>
        <v>0</v>
      </c>
      <c r="T19" s="62" t="e">
        <f>S19/J14*I14</f>
        <v>#DIV/0!</v>
      </c>
      <c r="U19" s="12"/>
      <c r="V19" s="12"/>
      <c r="W19" s="12"/>
    </row>
    <row r="20" spans="1:255" ht="15.75" customHeight="1">
      <c r="B20" s="201"/>
      <c r="C20" s="12"/>
      <c r="D20" s="12"/>
      <c r="E20" s="12"/>
      <c r="F20" s="594" t="s">
        <v>24</v>
      </c>
      <c r="G20" s="594"/>
      <c r="H20" s="594"/>
      <c r="I20" s="217">
        <f>'Ялта, Ленина, 18'!I20</f>
        <v>0.25</v>
      </c>
      <c r="J20" s="218" t="str">
        <f>N48</f>
        <v/>
      </c>
      <c r="K20" s="218" t="e">
        <f>J20/I20</f>
        <v>#VALUE!</v>
      </c>
      <c r="L20" s="220">
        <f>IF(AND(K8&lt;&gt;0,I14&lt;&gt;0,I48&lt;&gt;0),(I48*N48+(I48/K8-I48)*I20)/(I48/K8),0)</f>
        <v>0</v>
      </c>
      <c r="M20" s="83" t="str">
        <f t="shared" si="1"/>
        <v/>
      </c>
      <c r="N20" s="84" t="str">
        <f t="shared" si="2"/>
        <v/>
      </c>
      <c r="O20" s="85"/>
      <c r="P20" s="86" t="str">
        <f t="shared" si="3"/>
        <v/>
      </c>
      <c r="Q20" s="87" t="str">
        <f t="shared" si="4"/>
        <v/>
      </c>
      <c r="R20" s="21"/>
      <c r="S20" s="21"/>
      <c r="T20" s="12"/>
      <c r="U20" s="12"/>
      <c r="V20" s="12"/>
      <c r="W20" s="12"/>
    </row>
    <row r="21" spans="1:255" ht="15.75" customHeight="1">
      <c r="B21" s="20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255" ht="16.5" customHeight="1">
      <c r="B22" s="674" t="s">
        <v>25</v>
      </c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5" t="s">
        <v>26</v>
      </c>
      <c r="P22" s="674" t="s">
        <v>27</v>
      </c>
      <c r="Q22" s="674"/>
      <c r="R22" s="674"/>
      <c r="S22" s="674"/>
      <c r="T22" s="674"/>
      <c r="U22" s="674"/>
      <c r="V22" s="674"/>
      <c r="W22" s="674"/>
    </row>
    <row r="23" spans="1:255" ht="36">
      <c r="B23" s="221" t="s">
        <v>29</v>
      </c>
      <c r="C23" s="221" t="s">
        <v>30</v>
      </c>
      <c r="D23" s="221" t="s">
        <v>31</v>
      </c>
      <c r="E23" s="221" t="s">
        <v>32</v>
      </c>
      <c r="F23" s="221" t="s">
        <v>33</v>
      </c>
      <c r="G23" s="221" t="s">
        <v>34</v>
      </c>
      <c r="H23" s="221" t="s">
        <v>35</v>
      </c>
      <c r="I23" s="221" t="s">
        <v>23</v>
      </c>
      <c r="J23" s="221" t="s">
        <v>36</v>
      </c>
      <c r="K23" s="90" t="s">
        <v>22</v>
      </c>
      <c r="L23" s="90" t="s">
        <v>15</v>
      </c>
      <c r="M23" s="222" t="s">
        <v>37</v>
      </c>
      <c r="N23" s="221" t="s">
        <v>38</v>
      </c>
      <c r="O23" s="675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3" t="s">
        <v>45</v>
      </c>
      <c r="W23" s="223" t="s">
        <v>46</v>
      </c>
      <c r="X23" s="224"/>
    </row>
    <row r="24" spans="1:255">
      <c r="B24" s="225">
        <v>1</v>
      </c>
      <c r="C24" s="226">
        <v>2</v>
      </c>
      <c r="D24" s="225">
        <v>3</v>
      </c>
      <c r="E24" s="225">
        <v>4</v>
      </c>
      <c r="F24" s="225">
        <v>5</v>
      </c>
      <c r="G24" s="225">
        <v>6</v>
      </c>
      <c r="H24" s="225">
        <v>7</v>
      </c>
      <c r="I24" s="225">
        <v>8</v>
      </c>
      <c r="J24" s="225">
        <v>9</v>
      </c>
      <c r="K24" s="225">
        <v>10</v>
      </c>
      <c r="L24" s="225">
        <v>11</v>
      </c>
      <c r="M24" s="225">
        <v>12</v>
      </c>
      <c r="N24" s="225">
        <v>13</v>
      </c>
      <c r="O24" s="675"/>
      <c r="P24" s="227">
        <v>1</v>
      </c>
      <c r="Q24" s="227">
        <v>2</v>
      </c>
      <c r="R24" s="227">
        <v>3</v>
      </c>
      <c r="S24" s="227">
        <v>4</v>
      </c>
      <c r="T24" s="227">
        <v>5</v>
      </c>
      <c r="U24" s="227">
        <v>6</v>
      </c>
      <c r="V24" s="227">
        <v>10</v>
      </c>
      <c r="W24" s="227">
        <v>11</v>
      </c>
    </row>
    <row r="25" spans="1:255" s="234" customFormat="1">
      <c r="A25" s="235">
        <v>1</v>
      </c>
      <c r="B25" s="288"/>
      <c r="C25" s="289"/>
      <c r="D25" s="290"/>
      <c r="E25" s="291"/>
      <c r="F25" s="292" t="str">
        <f t="shared" ref="F25:F48" si="6">IF(AND(E25&lt;&gt;"",E25&lt;&gt;0),D25/E25,"")</f>
        <v/>
      </c>
      <c r="G25" s="291"/>
      <c r="H25" s="292" t="str">
        <f t="shared" ref="H25:H48" si="7">IF(AND(G25&lt;&gt;"",G25&lt;&gt;0),D25/G25,"")</f>
        <v/>
      </c>
      <c r="I25" s="293"/>
      <c r="J25" s="294" t="str">
        <f t="shared" ref="J25:J48" si="8">IF(AND(G25&lt;&gt;"",G25&lt;&gt;0),E25/G25,"")</f>
        <v/>
      </c>
      <c r="K25" s="238"/>
      <c r="L25" s="238"/>
      <c r="M25" s="238"/>
      <c r="N25" s="239" t="str">
        <f t="shared" ref="N25:N48" si="9">IF(AND(I25&lt;&gt;"",I25&lt;&gt;0),G25/I25,"")</f>
        <v/>
      </c>
      <c r="O25" s="240" t="e">
        <f t="shared" ref="O25:O48" si="10">D25/P25</f>
        <v>#DIV/0!</v>
      </c>
      <c r="P25" s="241" t="e">
        <f t="shared" ref="P25:P44" si="11">$I$8*V25*W25/SUMPRODUCT($W$25:$W$55,$V$25:$V$55)</f>
        <v>#DIV/0!</v>
      </c>
      <c r="Q25" s="242" t="e">
        <f t="shared" ref="Q25:Q44" si="12">$I$9*V25*W25/SUMPRODUCT($W$25:$W$55,$V$25:$V$55)</f>
        <v>#DIV/0!</v>
      </c>
      <c r="R25" s="242" t="e">
        <f t="shared" ref="R25:R47" si="13">IF($I$12="","",Q25/$I$12)</f>
        <v>#DIV/0!</v>
      </c>
      <c r="S25" s="241" t="e">
        <f>IF(D25&lt;&gt;"",D25,P25)</f>
        <v>#DIV/0!</v>
      </c>
      <c r="T25" s="242" t="e">
        <f>IF(E25&lt;&gt;"",E25,Q25)</f>
        <v>#DIV/0!</v>
      </c>
      <c r="U25" s="242" t="e">
        <f>IF(G25&lt;&gt;"",G25,R25)</f>
        <v>#DIV/0!</v>
      </c>
      <c r="V25" s="284"/>
      <c r="W25" s="284"/>
      <c r="X25" s="244"/>
      <c r="Y25" s="243"/>
      <c r="Z25" s="244"/>
      <c r="AA25" s="244"/>
      <c r="AB25" s="244"/>
      <c r="AC25" s="244"/>
      <c r="AD25" s="244"/>
    </row>
    <row r="26" spans="1:255" s="295" customFormat="1">
      <c r="A26" s="235">
        <v>2</v>
      </c>
      <c r="B26" s="236"/>
      <c r="C26" s="237"/>
      <c r="D26" s="248"/>
      <c r="E26" s="238"/>
      <c r="F26" s="245" t="str">
        <f t="shared" si="6"/>
        <v/>
      </c>
      <c r="G26" s="238">
        <v>0</v>
      </c>
      <c r="H26" s="245" t="str">
        <f t="shared" si="7"/>
        <v/>
      </c>
      <c r="I26" s="238"/>
      <c r="J26" s="232" t="str">
        <f t="shared" si="8"/>
        <v/>
      </c>
      <c r="K26" s="238"/>
      <c r="L26" s="238"/>
      <c r="M26" s="238"/>
      <c r="N26" s="239" t="str">
        <f t="shared" si="9"/>
        <v/>
      </c>
      <c r="O26" s="240" t="e">
        <f t="shared" si="10"/>
        <v>#DIV/0!</v>
      </c>
      <c r="P26" s="241" t="e">
        <f t="shared" si="11"/>
        <v>#DIV/0!</v>
      </c>
      <c r="Q26" s="242" t="e">
        <f t="shared" si="12"/>
        <v>#DIV/0!</v>
      </c>
      <c r="R26" s="242" t="e">
        <f t="shared" si="13"/>
        <v>#DIV/0!</v>
      </c>
      <c r="S26" s="241" t="str">
        <f t="shared" ref="S26:S44" si="14">IF(W26&lt;&gt;"",IF(D26&lt;&gt;"",D26,($I$8-SUM($S$25:S25))*V26*W26/SUMPRODUCT($W26:$W$55,$V26:$V$55)),"")</f>
        <v/>
      </c>
      <c r="T26" s="242" t="str">
        <f t="shared" ref="T26:T29" si="15">IF(W26&lt;&gt;"",IF(E26&lt;&gt;"",E26,($I$9-SUM($T$25:T25))*V26*W26/SUMPRODUCT($W26:$W$55,$V26:$V$55)),"")</f>
        <v/>
      </c>
      <c r="U26" s="242" t="str">
        <f t="shared" ref="U26:U44" si="16">IF(W26&lt;&gt;"",IF($I$12&lt;&gt;"",IF(G26&lt;&gt;"",G26,($I$9/$I$12-SUM($U$25:U25))*V26*W26/SUMPRODUCT($W26:$W$55,$V26:$V$55)),""),"")</f>
        <v/>
      </c>
      <c r="V26" s="284"/>
      <c r="W26" s="284"/>
      <c r="X26" s="243"/>
      <c r="Y26" s="243"/>
      <c r="Z26" s="244"/>
      <c r="AA26" s="244"/>
      <c r="AB26" s="244"/>
      <c r="AC26" s="244"/>
      <c r="AD26" s="244"/>
      <c r="AE26" s="244"/>
      <c r="AF26" s="244"/>
      <c r="AG26" s="244"/>
      <c r="AH26" s="244"/>
      <c r="AI26" s="244"/>
      <c r="AJ26" s="244"/>
      <c r="AK26" s="244"/>
      <c r="AL26" s="244"/>
      <c r="AM26" s="244"/>
      <c r="AN26" s="244"/>
      <c r="AO26" s="244"/>
      <c r="AP26" s="244"/>
      <c r="AQ26" s="244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  <c r="BB26" s="244"/>
      <c r="BC26" s="244"/>
      <c r="BD26" s="244"/>
      <c r="BE26" s="244"/>
      <c r="BF26" s="244"/>
      <c r="BG26" s="244"/>
      <c r="BH26" s="244"/>
      <c r="BI26" s="244"/>
      <c r="BJ26" s="244"/>
      <c r="BK26" s="244"/>
      <c r="BL26" s="244"/>
      <c r="BM26" s="244"/>
      <c r="BN26" s="244"/>
      <c r="BO26" s="244"/>
      <c r="BP26" s="244"/>
      <c r="BQ26" s="244"/>
      <c r="BR26" s="244"/>
      <c r="BS26" s="244"/>
      <c r="BT26" s="244"/>
      <c r="BU26" s="244"/>
      <c r="BV26" s="244"/>
      <c r="BW26" s="244"/>
      <c r="BX26" s="244"/>
      <c r="BY26" s="244"/>
      <c r="BZ26" s="244"/>
      <c r="CA26" s="244"/>
      <c r="CB26" s="244"/>
      <c r="CC26" s="244"/>
      <c r="CD26" s="244"/>
      <c r="CE26" s="244"/>
      <c r="CF26" s="244"/>
      <c r="CG26" s="244"/>
      <c r="CH26" s="244"/>
      <c r="CI26" s="244"/>
      <c r="CJ26" s="244"/>
      <c r="CK26" s="244"/>
      <c r="CL26" s="244"/>
      <c r="CM26" s="244"/>
      <c r="CN26" s="244"/>
      <c r="CO26" s="244"/>
      <c r="CP26" s="244"/>
      <c r="CQ26" s="244"/>
      <c r="CR26" s="244"/>
      <c r="CS26" s="244"/>
      <c r="CT26" s="244"/>
      <c r="CU26" s="244"/>
      <c r="CV26" s="244"/>
      <c r="CW26" s="244"/>
      <c r="CX26" s="244"/>
      <c r="CY26" s="244"/>
      <c r="CZ26" s="244"/>
      <c r="DA26" s="244"/>
      <c r="DB26" s="244"/>
      <c r="DC26" s="244"/>
      <c r="DD26" s="244"/>
      <c r="DE26" s="244"/>
      <c r="DF26" s="244"/>
      <c r="DG26" s="244"/>
      <c r="DH26" s="244"/>
      <c r="DI26" s="244"/>
      <c r="DJ26" s="244"/>
      <c r="DK26" s="244"/>
      <c r="DL26" s="244"/>
      <c r="DM26" s="244"/>
      <c r="DN26" s="244"/>
      <c r="DO26" s="244"/>
      <c r="DP26" s="244"/>
      <c r="DQ26" s="244"/>
      <c r="DR26" s="244"/>
      <c r="DS26" s="244"/>
      <c r="DT26" s="244"/>
      <c r="DU26" s="244"/>
      <c r="DV26" s="244"/>
      <c r="DW26" s="244"/>
      <c r="DX26" s="244"/>
      <c r="DY26" s="244"/>
      <c r="DZ26" s="244"/>
      <c r="EA26" s="244"/>
      <c r="EB26" s="244"/>
      <c r="EC26" s="244"/>
      <c r="ED26" s="244"/>
      <c r="EE26" s="244"/>
      <c r="EF26" s="244"/>
      <c r="EG26" s="244"/>
      <c r="EH26" s="244"/>
      <c r="EI26" s="244"/>
      <c r="EJ26" s="244"/>
      <c r="EK26" s="244"/>
      <c r="EL26" s="244"/>
      <c r="EM26" s="244"/>
      <c r="EN26" s="244"/>
      <c r="EO26" s="244"/>
      <c r="EP26" s="244"/>
      <c r="EQ26" s="244"/>
      <c r="ER26" s="244"/>
      <c r="ES26" s="244"/>
      <c r="ET26" s="244"/>
      <c r="EU26" s="244"/>
      <c r="EV26" s="244"/>
      <c r="EW26" s="244"/>
      <c r="EX26" s="244"/>
      <c r="EY26" s="244"/>
      <c r="EZ26" s="244"/>
      <c r="FA26" s="244"/>
      <c r="FB26" s="244"/>
      <c r="FC26" s="244"/>
      <c r="FD26" s="244"/>
      <c r="FE26" s="244"/>
      <c r="FF26" s="244"/>
      <c r="FG26" s="244"/>
      <c r="FH26" s="244"/>
      <c r="FI26" s="244"/>
      <c r="FJ26" s="244"/>
      <c r="FK26" s="244"/>
      <c r="FL26" s="244"/>
      <c r="FM26" s="244"/>
      <c r="FN26" s="244"/>
      <c r="FO26" s="244"/>
      <c r="FP26" s="244"/>
      <c r="FQ26" s="244"/>
      <c r="FR26" s="244"/>
      <c r="FS26" s="244"/>
      <c r="FT26" s="244"/>
      <c r="FU26" s="244"/>
      <c r="FV26" s="244"/>
      <c r="FW26" s="244"/>
      <c r="FX26" s="244"/>
      <c r="FY26" s="244"/>
      <c r="FZ26" s="244"/>
      <c r="GA26" s="244"/>
      <c r="GB26" s="244"/>
      <c r="GC26" s="244"/>
      <c r="GD26" s="244"/>
      <c r="GE26" s="244"/>
      <c r="GF26" s="244"/>
      <c r="GG26" s="244"/>
      <c r="GH26" s="244"/>
      <c r="GI26" s="244"/>
      <c r="GJ26" s="244"/>
      <c r="GK26" s="244"/>
      <c r="GL26" s="244"/>
      <c r="GM26" s="244"/>
      <c r="GN26" s="244"/>
      <c r="GO26" s="244"/>
      <c r="GP26" s="244"/>
      <c r="GQ26" s="244"/>
      <c r="GR26" s="244"/>
      <c r="GS26" s="244"/>
      <c r="GT26" s="244"/>
      <c r="GU26" s="244"/>
      <c r="GV26" s="244"/>
      <c r="GW26" s="244"/>
      <c r="GX26" s="244"/>
      <c r="GY26" s="244"/>
      <c r="GZ26" s="244"/>
      <c r="HA26" s="244"/>
      <c r="HB26" s="244"/>
      <c r="HC26" s="244"/>
      <c r="HD26" s="244"/>
      <c r="HE26" s="244"/>
      <c r="HF26" s="244"/>
      <c r="HG26" s="244"/>
      <c r="HH26" s="244"/>
      <c r="HI26" s="244"/>
      <c r="HJ26" s="244"/>
      <c r="HK26" s="244"/>
      <c r="HL26" s="244"/>
      <c r="HM26" s="244"/>
      <c r="HN26" s="244"/>
      <c r="HO26" s="244"/>
      <c r="HP26" s="244"/>
      <c r="HQ26" s="244"/>
      <c r="HR26" s="244"/>
      <c r="HS26" s="244"/>
      <c r="HT26" s="244"/>
      <c r="HU26" s="244"/>
      <c r="HV26" s="244"/>
      <c r="HW26" s="244"/>
      <c r="HX26" s="244"/>
      <c r="HY26" s="244"/>
      <c r="HZ26" s="244"/>
      <c r="IA26" s="244"/>
      <c r="IB26" s="244"/>
      <c r="IC26" s="244"/>
      <c r="ID26" s="244"/>
      <c r="IE26" s="244"/>
      <c r="IF26" s="244"/>
      <c r="IG26" s="244"/>
      <c r="IH26" s="244"/>
      <c r="II26" s="244"/>
      <c r="IJ26" s="244"/>
      <c r="IK26" s="244"/>
      <c r="IL26" s="244"/>
      <c r="IM26" s="244"/>
      <c r="IN26" s="244"/>
      <c r="IO26" s="244"/>
      <c r="IP26" s="244"/>
      <c r="IQ26" s="244"/>
      <c r="IR26" s="244"/>
      <c r="IS26" s="244"/>
      <c r="IT26" s="244"/>
      <c r="IU26" s="244"/>
    </row>
    <row r="27" spans="1:255" s="234" customFormat="1">
      <c r="A27" s="235">
        <v>3</v>
      </c>
      <c r="B27" s="236"/>
      <c r="C27" s="237"/>
      <c r="D27" s="232"/>
      <c r="E27" s="273"/>
      <c r="F27" s="238" t="str">
        <f t="shared" si="6"/>
        <v/>
      </c>
      <c r="G27" s="245"/>
      <c r="H27" s="238" t="str">
        <f t="shared" si="7"/>
        <v/>
      </c>
      <c r="I27" s="245"/>
      <c r="J27" s="232" t="str">
        <f t="shared" si="8"/>
        <v/>
      </c>
      <c r="K27" s="238"/>
      <c r="L27" s="238"/>
      <c r="M27" s="238"/>
      <c r="N27" s="239" t="str">
        <f t="shared" si="9"/>
        <v/>
      </c>
      <c r="O27" s="240" t="e">
        <f t="shared" si="10"/>
        <v>#DIV/0!</v>
      </c>
      <c r="P27" s="241" t="e">
        <f t="shared" si="11"/>
        <v>#DIV/0!</v>
      </c>
      <c r="Q27" s="242" t="e">
        <f t="shared" si="12"/>
        <v>#DIV/0!</v>
      </c>
      <c r="R27" s="242" t="e">
        <f t="shared" si="13"/>
        <v>#DIV/0!</v>
      </c>
      <c r="S27" s="241" t="str">
        <f t="shared" si="14"/>
        <v/>
      </c>
      <c r="T27" s="242" t="str">
        <f t="shared" si="15"/>
        <v/>
      </c>
      <c r="U27" s="242" t="str">
        <f t="shared" si="16"/>
        <v/>
      </c>
      <c r="V27" s="284"/>
      <c r="W27" s="284"/>
      <c r="X27" s="243"/>
      <c r="Y27" s="243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  <c r="AO27" s="244"/>
      <c r="AP27" s="244"/>
      <c r="AQ27" s="244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  <c r="BB27" s="244"/>
      <c r="BC27" s="244"/>
      <c r="BD27" s="244"/>
      <c r="BE27" s="244"/>
      <c r="BF27" s="244"/>
      <c r="BG27" s="244"/>
      <c r="BH27" s="244"/>
      <c r="BI27" s="244"/>
      <c r="BJ27" s="244"/>
      <c r="BK27" s="244"/>
      <c r="BL27" s="244"/>
      <c r="BM27" s="244"/>
      <c r="BN27" s="244"/>
      <c r="BO27" s="244"/>
      <c r="BP27" s="244"/>
      <c r="BQ27" s="244"/>
      <c r="BR27" s="244"/>
      <c r="BS27" s="244"/>
      <c r="BT27" s="244"/>
      <c r="BU27" s="244"/>
      <c r="BV27" s="244"/>
      <c r="BW27" s="244"/>
      <c r="BX27" s="244"/>
      <c r="BY27" s="244"/>
      <c r="BZ27" s="244"/>
      <c r="CA27" s="244"/>
      <c r="CB27" s="244"/>
      <c r="CC27" s="244"/>
      <c r="CD27" s="244"/>
      <c r="CE27" s="244"/>
      <c r="CF27" s="244"/>
      <c r="CG27" s="244"/>
      <c r="CH27" s="244"/>
      <c r="CI27" s="244"/>
      <c r="CJ27" s="244"/>
      <c r="CK27" s="244"/>
      <c r="CL27" s="244"/>
      <c r="CM27" s="244"/>
      <c r="CN27" s="244"/>
      <c r="CO27" s="244"/>
      <c r="CP27" s="244"/>
      <c r="CQ27" s="244"/>
      <c r="CR27" s="244"/>
      <c r="CS27" s="244"/>
      <c r="CT27" s="244"/>
      <c r="CU27" s="244"/>
      <c r="CV27" s="244"/>
      <c r="CW27" s="244"/>
      <c r="CX27" s="244"/>
      <c r="CY27" s="244"/>
      <c r="CZ27" s="244"/>
      <c r="DA27" s="244"/>
      <c r="DB27" s="244"/>
      <c r="DC27" s="244"/>
      <c r="DD27" s="244"/>
      <c r="DE27" s="244"/>
      <c r="DF27" s="244"/>
      <c r="DG27" s="244"/>
      <c r="DH27" s="244"/>
      <c r="DI27" s="244"/>
      <c r="DJ27" s="244"/>
      <c r="DK27" s="244"/>
      <c r="DL27" s="244"/>
      <c r="DM27" s="244"/>
      <c r="DN27" s="244"/>
      <c r="DO27" s="244"/>
      <c r="DP27" s="244"/>
      <c r="DQ27" s="244"/>
      <c r="DR27" s="244"/>
      <c r="DS27" s="244"/>
      <c r="DT27" s="244"/>
      <c r="DU27" s="244"/>
      <c r="DV27" s="244"/>
      <c r="DW27" s="244"/>
      <c r="DX27" s="244"/>
      <c r="DY27" s="244"/>
      <c r="DZ27" s="244"/>
      <c r="EA27" s="244"/>
      <c r="EB27" s="244"/>
      <c r="EC27" s="244"/>
      <c r="ED27" s="244"/>
      <c r="EE27" s="244"/>
      <c r="EF27" s="244"/>
      <c r="EG27" s="244"/>
      <c r="EH27" s="244"/>
      <c r="EI27" s="244"/>
      <c r="EJ27" s="244"/>
      <c r="EK27" s="244"/>
      <c r="EL27" s="244"/>
      <c r="EM27" s="244"/>
      <c r="EN27" s="244"/>
      <c r="EO27" s="244"/>
      <c r="EP27" s="244"/>
      <c r="EQ27" s="244"/>
      <c r="ER27" s="244"/>
      <c r="ES27" s="244"/>
      <c r="ET27" s="244"/>
      <c r="EU27" s="244"/>
      <c r="EV27" s="244"/>
      <c r="EW27" s="244"/>
      <c r="EX27" s="244"/>
      <c r="EY27" s="244"/>
      <c r="EZ27" s="244"/>
      <c r="FA27" s="244"/>
      <c r="FB27" s="244"/>
      <c r="FC27" s="244"/>
      <c r="FD27" s="244"/>
      <c r="FE27" s="244"/>
      <c r="FF27" s="244"/>
      <c r="FG27" s="244"/>
      <c r="FH27" s="244"/>
      <c r="FI27" s="244"/>
      <c r="FJ27" s="244"/>
      <c r="FK27" s="244"/>
      <c r="FL27" s="244"/>
      <c r="FM27" s="244"/>
      <c r="FN27" s="244"/>
      <c r="FO27" s="244"/>
      <c r="FP27" s="244"/>
      <c r="FQ27" s="244"/>
      <c r="FR27" s="244"/>
      <c r="FS27" s="244"/>
      <c r="FT27" s="244"/>
      <c r="FU27" s="244"/>
      <c r="FV27" s="244"/>
      <c r="FW27" s="244"/>
      <c r="FX27" s="244"/>
      <c r="FY27" s="244"/>
      <c r="FZ27" s="244"/>
      <c r="GA27" s="244"/>
      <c r="GB27" s="244"/>
      <c r="GC27" s="244"/>
      <c r="GD27" s="244"/>
      <c r="GE27" s="244"/>
      <c r="GF27" s="244"/>
      <c r="GG27" s="244"/>
      <c r="GH27" s="244"/>
      <c r="GI27" s="244"/>
      <c r="GJ27" s="244"/>
      <c r="GK27" s="244"/>
      <c r="GL27" s="244"/>
      <c r="GM27" s="244"/>
      <c r="GN27" s="244"/>
      <c r="GO27" s="244"/>
      <c r="GP27" s="244"/>
      <c r="GQ27" s="244"/>
      <c r="GR27" s="244"/>
      <c r="GS27" s="244"/>
      <c r="GT27" s="244"/>
      <c r="GU27" s="244"/>
      <c r="GV27" s="244"/>
      <c r="GW27" s="244"/>
      <c r="GX27" s="244"/>
      <c r="GY27" s="244"/>
      <c r="GZ27" s="244"/>
      <c r="HA27" s="244"/>
      <c r="HB27" s="244"/>
      <c r="HC27" s="244"/>
      <c r="HD27" s="244"/>
      <c r="HE27" s="244"/>
      <c r="HF27" s="244"/>
      <c r="HG27" s="244"/>
      <c r="HH27" s="244"/>
      <c r="HI27" s="244"/>
      <c r="HJ27" s="244"/>
      <c r="HK27" s="244"/>
      <c r="HL27" s="244"/>
      <c r="HM27" s="244"/>
      <c r="HN27" s="244"/>
      <c r="HO27" s="244"/>
      <c r="HP27" s="244"/>
      <c r="HQ27" s="244"/>
      <c r="HR27" s="244"/>
      <c r="HS27" s="244"/>
      <c r="HT27" s="244"/>
      <c r="HU27" s="244"/>
      <c r="HV27" s="244"/>
      <c r="HW27" s="244"/>
      <c r="HX27" s="244"/>
      <c r="HY27" s="244"/>
      <c r="HZ27" s="244"/>
      <c r="IA27" s="244"/>
      <c r="IB27" s="244"/>
      <c r="IC27" s="244"/>
      <c r="ID27" s="244"/>
      <c r="IE27" s="244"/>
      <c r="IF27" s="244"/>
      <c r="IG27" s="244"/>
      <c r="IH27" s="244"/>
      <c r="II27" s="244"/>
      <c r="IJ27" s="244"/>
      <c r="IK27" s="244"/>
      <c r="IL27" s="244"/>
      <c r="IM27" s="244"/>
      <c r="IN27" s="244"/>
      <c r="IO27" s="244"/>
      <c r="IP27" s="244"/>
      <c r="IQ27" s="244"/>
      <c r="IR27" s="244"/>
      <c r="IS27" s="244"/>
      <c r="IT27" s="244"/>
      <c r="IU27" s="244"/>
    </row>
    <row r="28" spans="1:255" s="234" customFormat="1">
      <c r="A28" s="235">
        <v>4</v>
      </c>
      <c r="B28" s="236"/>
      <c r="C28" s="237"/>
      <c r="D28" s="248"/>
      <c r="E28" s="238"/>
      <c r="F28" s="245" t="str">
        <f t="shared" si="6"/>
        <v/>
      </c>
      <c r="G28" s="238"/>
      <c r="H28" s="245" t="str">
        <f t="shared" si="7"/>
        <v/>
      </c>
      <c r="I28" s="238"/>
      <c r="J28" s="232" t="str">
        <f t="shared" si="8"/>
        <v/>
      </c>
      <c r="K28" s="238"/>
      <c r="L28" s="238"/>
      <c r="M28" s="238"/>
      <c r="N28" s="239" t="str">
        <f t="shared" si="9"/>
        <v/>
      </c>
      <c r="O28" s="240" t="e">
        <f t="shared" si="10"/>
        <v>#DIV/0!</v>
      </c>
      <c r="P28" s="241" t="e">
        <f t="shared" si="11"/>
        <v>#DIV/0!</v>
      </c>
      <c r="Q28" s="242" t="e">
        <f t="shared" si="12"/>
        <v>#DIV/0!</v>
      </c>
      <c r="R28" s="242" t="e">
        <f t="shared" si="13"/>
        <v>#DIV/0!</v>
      </c>
      <c r="S28" s="241" t="str">
        <f t="shared" si="14"/>
        <v/>
      </c>
      <c r="T28" s="242" t="str">
        <f t="shared" si="15"/>
        <v/>
      </c>
      <c r="U28" s="242" t="str">
        <f t="shared" si="16"/>
        <v/>
      </c>
      <c r="V28" s="284"/>
      <c r="W28" s="284"/>
      <c r="X28" s="243"/>
      <c r="Y28" s="243"/>
      <c r="Z28" s="244"/>
      <c r="AA28" s="244"/>
      <c r="AB28" s="244"/>
      <c r="AC28" s="244"/>
      <c r="AD28" s="244"/>
    </row>
    <row r="29" spans="1:255" s="234" customFormat="1">
      <c r="A29" s="235">
        <v>5</v>
      </c>
      <c r="B29" s="236"/>
      <c r="C29" s="237"/>
      <c r="D29" s="232"/>
      <c r="E29" s="245"/>
      <c r="F29" s="238" t="str">
        <f t="shared" si="6"/>
        <v/>
      </c>
      <c r="G29" s="245"/>
      <c r="H29" s="238" t="str">
        <f t="shared" si="7"/>
        <v/>
      </c>
      <c r="I29" s="245"/>
      <c r="J29" s="232" t="str">
        <f t="shared" si="8"/>
        <v/>
      </c>
      <c r="K29" s="238"/>
      <c r="L29" s="238"/>
      <c r="M29" s="238"/>
      <c r="N29" s="239" t="str">
        <f t="shared" si="9"/>
        <v/>
      </c>
      <c r="O29" s="240" t="e">
        <f t="shared" si="10"/>
        <v>#DIV/0!</v>
      </c>
      <c r="P29" s="241" t="e">
        <f t="shared" si="11"/>
        <v>#DIV/0!</v>
      </c>
      <c r="Q29" s="242" t="e">
        <f t="shared" si="12"/>
        <v>#DIV/0!</v>
      </c>
      <c r="R29" s="242" t="e">
        <f t="shared" si="13"/>
        <v>#DIV/0!</v>
      </c>
      <c r="S29" s="241" t="str">
        <f t="shared" si="14"/>
        <v/>
      </c>
      <c r="T29" s="242" t="str">
        <f t="shared" si="15"/>
        <v/>
      </c>
      <c r="U29" s="242" t="str">
        <f t="shared" si="16"/>
        <v/>
      </c>
      <c r="V29" s="284"/>
      <c r="W29" s="284"/>
      <c r="X29" s="243"/>
      <c r="Y29" s="243"/>
      <c r="Z29" s="244"/>
      <c r="AA29" s="244"/>
      <c r="AB29" s="244"/>
      <c r="AC29" s="244"/>
      <c r="AD29" s="244"/>
    </row>
    <row r="30" spans="1:255" s="234" customFormat="1">
      <c r="A30" s="235">
        <v>6</v>
      </c>
      <c r="B30" s="236"/>
      <c r="C30" s="237"/>
      <c r="D30" s="248"/>
      <c r="E30" s="238"/>
      <c r="F30" s="245" t="str">
        <f t="shared" si="6"/>
        <v/>
      </c>
      <c r="G30" s="238"/>
      <c r="H30" s="245" t="str">
        <f t="shared" si="7"/>
        <v/>
      </c>
      <c r="I30" s="238"/>
      <c r="J30" s="248" t="str">
        <f t="shared" si="8"/>
        <v/>
      </c>
      <c r="K30" s="238"/>
      <c r="L30" s="238"/>
      <c r="M30" s="238"/>
      <c r="N30" s="239" t="str">
        <f t="shared" si="9"/>
        <v/>
      </c>
      <c r="O30" s="240" t="e">
        <f t="shared" si="10"/>
        <v>#DIV/0!</v>
      </c>
      <c r="P30" s="241" t="e">
        <f t="shared" si="11"/>
        <v>#DIV/0!</v>
      </c>
      <c r="Q30" s="242" t="e">
        <f t="shared" si="12"/>
        <v>#DIV/0!</v>
      </c>
      <c r="R30" s="242" t="e">
        <f t="shared" si="13"/>
        <v>#DIV/0!</v>
      </c>
      <c r="S30" s="241" t="str">
        <f t="shared" si="14"/>
        <v/>
      </c>
      <c r="T30" s="242" t="str">
        <f>IF(W30&lt;&gt;"",IF(E29&lt;&gt;"",E29,($I$9-SUM($T$25:T29))*V30*W30/SUMPRODUCT($W30:$W$55,$V30:$V$55)),"")</f>
        <v/>
      </c>
      <c r="U30" s="242" t="str">
        <f t="shared" si="16"/>
        <v/>
      </c>
      <c r="V30" s="284"/>
      <c r="W30" s="284"/>
      <c r="X30" s="243"/>
      <c r="Y30" s="243"/>
      <c r="Z30" s="244"/>
      <c r="AA30" s="244"/>
      <c r="AB30" s="244"/>
      <c r="AC30" s="244"/>
      <c r="AD30" s="244"/>
    </row>
    <row r="31" spans="1:255" s="234" customFormat="1">
      <c r="A31" s="235">
        <v>7</v>
      </c>
      <c r="B31" s="236"/>
      <c r="C31" s="237"/>
      <c r="D31" s="232"/>
      <c r="E31" s="245"/>
      <c r="F31" s="238" t="str">
        <f t="shared" si="6"/>
        <v/>
      </c>
      <c r="G31" s="245"/>
      <c r="H31" s="238" t="str">
        <f t="shared" si="7"/>
        <v/>
      </c>
      <c r="I31" s="245"/>
      <c r="J31" s="232" t="str">
        <f t="shared" si="8"/>
        <v/>
      </c>
      <c r="K31" s="238"/>
      <c r="L31" s="238"/>
      <c r="M31" s="238"/>
      <c r="N31" s="239" t="str">
        <f t="shared" si="9"/>
        <v/>
      </c>
      <c r="O31" s="240" t="e">
        <f t="shared" si="10"/>
        <v>#DIV/0!</v>
      </c>
      <c r="P31" s="241" t="e">
        <f t="shared" si="11"/>
        <v>#DIV/0!</v>
      </c>
      <c r="Q31" s="242" t="e">
        <f t="shared" si="12"/>
        <v>#DIV/0!</v>
      </c>
      <c r="R31" s="242" t="e">
        <f t="shared" si="13"/>
        <v>#DIV/0!</v>
      </c>
      <c r="S31" s="241" t="str">
        <f t="shared" si="14"/>
        <v/>
      </c>
      <c r="T31" s="242" t="str">
        <f t="shared" ref="T31:T43" si="17">IF(W31&lt;&gt;"",IF(E31&lt;&gt;"",E31,($I$9-SUM($T$25:T30))*V31*W31/SUMPRODUCT($W31:$W$55,$V31:$V$55)),"")</f>
        <v/>
      </c>
      <c r="U31" s="242" t="str">
        <f t="shared" si="16"/>
        <v/>
      </c>
      <c r="V31" s="284"/>
      <c r="W31" s="284"/>
      <c r="X31" s="243"/>
      <c r="Y31" s="243"/>
      <c r="Z31" s="244"/>
      <c r="AA31" s="244"/>
      <c r="AB31" s="244"/>
      <c r="AC31" s="244"/>
      <c r="AD31" s="244"/>
    </row>
    <row r="32" spans="1:255" s="234" customFormat="1">
      <c r="A32" s="235">
        <v>8</v>
      </c>
      <c r="B32" s="236"/>
      <c r="C32" s="237"/>
      <c r="D32" s="248"/>
      <c r="E32" s="238"/>
      <c r="F32" s="245" t="str">
        <f t="shared" si="6"/>
        <v/>
      </c>
      <c r="G32" s="238"/>
      <c r="H32" s="245" t="str">
        <f t="shared" si="7"/>
        <v/>
      </c>
      <c r="I32" s="238"/>
      <c r="J32" s="248" t="str">
        <f t="shared" si="8"/>
        <v/>
      </c>
      <c r="K32" s="238"/>
      <c r="L32" s="238"/>
      <c r="M32" s="238"/>
      <c r="N32" s="239" t="str">
        <f t="shared" si="9"/>
        <v/>
      </c>
      <c r="O32" s="240" t="e">
        <f t="shared" si="10"/>
        <v>#DIV/0!</v>
      </c>
      <c r="P32" s="241" t="e">
        <f t="shared" si="11"/>
        <v>#DIV/0!</v>
      </c>
      <c r="Q32" s="242" t="e">
        <f t="shared" si="12"/>
        <v>#DIV/0!</v>
      </c>
      <c r="R32" s="242" t="e">
        <f t="shared" si="13"/>
        <v>#DIV/0!</v>
      </c>
      <c r="S32" s="241" t="str">
        <f t="shared" si="14"/>
        <v/>
      </c>
      <c r="T32" s="242" t="str">
        <f t="shared" si="17"/>
        <v/>
      </c>
      <c r="U32" s="242" t="str">
        <f t="shared" si="16"/>
        <v/>
      </c>
      <c r="V32" s="284"/>
      <c r="W32" s="284"/>
      <c r="X32" s="243"/>
      <c r="Y32" s="243"/>
      <c r="Z32" s="244"/>
      <c r="AA32" s="244"/>
      <c r="AB32" s="244"/>
      <c r="AC32" s="244"/>
      <c r="AD32" s="244"/>
    </row>
    <row r="33" spans="1:30" s="234" customFormat="1">
      <c r="A33" s="235">
        <v>9</v>
      </c>
      <c r="B33" s="236"/>
      <c r="C33" s="237"/>
      <c r="D33" s="232"/>
      <c r="E33" s="238"/>
      <c r="F33" s="238" t="str">
        <f t="shared" si="6"/>
        <v/>
      </c>
      <c r="G33" s="238"/>
      <c r="H33" s="238" t="str">
        <f t="shared" si="7"/>
        <v/>
      </c>
      <c r="I33" s="238"/>
      <c r="J33" s="232" t="str">
        <f t="shared" si="8"/>
        <v/>
      </c>
      <c r="K33" s="238"/>
      <c r="L33" s="238"/>
      <c r="M33" s="238"/>
      <c r="N33" s="239" t="str">
        <f t="shared" si="9"/>
        <v/>
      </c>
      <c r="O33" s="240" t="e">
        <f t="shared" si="10"/>
        <v>#DIV/0!</v>
      </c>
      <c r="P33" s="241" t="e">
        <f t="shared" si="11"/>
        <v>#DIV/0!</v>
      </c>
      <c r="Q33" s="242" t="e">
        <f t="shared" si="12"/>
        <v>#DIV/0!</v>
      </c>
      <c r="R33" s="242" t="e">
        <f t="shared" si="13"/>
        <v>#DIV/0!</v>
      </c>
      <c r="S33" s="241" t="str">
        <f t="shared" si="14"/>
        <v/>
      </c>
      <c r="T33" s="242" t="str">
        <f t="shared" si="17"/>
        <v/>
      </c>
      <c r="U33" s="242" t="str">
        <f t="shared" si="16"/>
        <v/>
      </c>
      <c r="V33" s="284"/>
      <c r="W33" s="284"/>
      <c r="X33" s="243"/>
      <c r="Y33" s="243"/>
      <c r="Z33" s="244"/>
      <c r="AA33" s="244"/>
      <c r="AB33" s="244"/>
      <c r="AC33" s="244"/>
      <c r="AD33" s="244"/>
    </row>
    <row r="34" spans="1:30" s="234" customFormat="1">
      <c r="A34" s="235">
        <v>10</v>
      </c>
      <c r="B34" s="236"/>
      <c r="C34" s="273"/>
      <c r="D34" s="232"/>
      <c r="E34" s="245"/>
      <c r="F34" s="238" t="str">
        <f t="shared" si="6"/>
        <v/>
      </c>
      <c r="G34" s="245"/>
      <c r="H34" s="238" t="str">
        <f t="shared" si="7"/>
        <v/>
      </c>
      <c r="I34" s="245"/>
      <c r="J34" s="232" t="str">
        <f t="shared" si="8"/>
        <v/>
      </c>
      <c r="K34" s="238"/>
      <c r="L34" s="238"/>
      <c r="M34" s="238"/>
      <c r="N34" s="239" t="str">
        <f t="shared" si="9"/>
        <v/>
      </c>
      <c r="O34" s="240" t="e">
        <f t="shared" si="10"/>
        <v>#DIV/0!</v>
      </c>
      <c r="P34" s="241" t="e">
        <f t="shared" si="11"/>
        <v>#DIV/0!</v>
      </c>
      <c r="Q34" s="242" t="e">
        <f t="shared" si="12"/>
        <v>#DIV/0!</v>
      </c>
      <c r="R34" s="242" t="e">
        <f t="shared" si="13"/>
        <v>#DIV/0!</v>
      </c>
      <c r="S34" s="241" t="str">
        <f t="shared" si="14"/>
        <v/>
      </c>
      <c r="T34" s="242" t="str">
        <f t="shared" si="17"/>
        <v/>
      </c>
      <c r="U34" s="242" t="str">
        <f t="shared" si="16"/>
        <v/>
      </c>
      <c r="V34" s="284"/>
      <c r="W34" s="284"/>
      <c r="X34" s="243"/>
      <c r="Y34" s="243"/>
      <c r="Z34" s="246"/>
      <c r="AA34" s="244"/>
      <c r="AB34" s="244"/>
      <c r="AC34" s="244"/>
      <c r="AD34" s="244"/>
    </row>
    <row r="35" spans="1:30" s="234" customFormat="1">
      <c r="A35" s="235">
        <v>11</v>
      </c>
      <c r="B35" s="236"/>
      <c r="C35" s="237"/>
      <c r="D35" s="248"/>
      <c r="E35" s="238"/>
      <c r="F35" s="245" t="str">
        <f t="shared" si="6"/>
        <v/>
      </c>
      <c r="G35" s="238"/>
      <c r="H35" s="245" t="str">
        <f t="shared" si="7"/>
        <v/>
      </c>
      <c r="I35" s="238"/>
      <c r="J35" s="248" t="str">
        <f t="shared" si="8"/>
        <v/>
      </c>
      <c r="K35" s="238"/>
      <c r="L35" s="238"/>
      <c r="M35" s="238"/>
      <c r="N35" s="239" t="str">
        <f t="shared" si="9"/>
        <v/>
      </c>
      <c r="O35" s="240" t="e">
        <f t="shared" si="10"/>
        <v>#DIV/0!</v>
      </c>
      <c r="P35" s="241" t="e">
        <f t="shared" si="11"/>
        <v>#DIV/0!</v>
      </c>
      <c r="Q35" s="242" t="e">
        <f t="shared" si="12"/>
        <v>#DIV/0!</v>
      </c>
      <c r="R35" s="242" t="e">
        <f t="shared" si="13"/>
        <v>#DIV/0!</v>
      </c>
      <c r="S35" s="241" t="str">
        <f t="shared" si="14"/>
        <v/>
      </c>
      <c r="T35" s="242" t="str">
        <f t="shared" si="17"/>
        <v/>
      </c>
      <c r="U35" s="242" t="str">
        <f t="shared" si="16"/>
        <v/>
      </c>
      <c r="V35" s="284"/>
      <c r="W35" s="284"/>
      <c r="X35" s="243"/>
      <c r="Y35" s="243"/>
      <c r="Z35" s="246"/>
      <c r="AA35" s="244"/>
      <c r="AB35" s="244"/>
      <c r="AC35" s="244"/>
      <c r="AD35" s="244"/>
    </row>
    <row r="36" spans="1:30" s="234" customFormat="1">
      <c r="A36" s="235">
        <v>12</v>
      </c>
      <c r="B36" s="236"/>
      <c r="C36" s="273"/>
      <c r="D36" s="232"/>
      <c r="E36" s="245"/>
      <c r="F36" s="238" t="str">
        <f t="shared" si="6"/>
        <v/>
      </c>
      <c r="G36" s="238"/>
      <c r="H36" s="238" t="str">
        <f t="shared" si="7"/>
        <v/>
      </c>
      <c r="I36" s="245"/>
      <c r="J36" s="232" t="str">
        <f t="shared" si="8"/>
        <v/>
      </c>
      <c r="K36" s="238"/>
      <c r="L36" s="238"/>
      <c r="M36" s="238"/>
      <c r="N36" s="239" t="str">
        <f t="shared" si="9"/>
        <v/>
      </c>
      <c r="O36" s="240" t="e">
        <f t="shared" si="10"/>
        <v>#DIV/0!</v>
      </c>
      <c r="P36" s="241" t="e">
        <f t="shared" si="11"/>
        <v>#DIV/0!</v>
      </c>
      <c r="Q36" s="242" t="e">
        <f t="shared" si="12"/>
        <v>#DIV/0!</v>
      </c>
      <c r="R36" s="242" t="e">
        <f t="shared" si="13"/>
        <v>#DIV/0!</v>
      </c>
      <c r="S36" s="241" t="str">
        <f t="shared" si="14"/>
        <v/>
      </c>
      <c r="T36" s="242" t="str">
        <f t="shared" si="17"/>
        <v/>
      </c>
      <c r="U36" s="242" t="str">
        <f t="shared" si="16"/>
        <v/>
      </c>
      <c r="V36" s="284"/>
      <c r="W36" s="284"/>
      <c r="X36" s="243"/>
      <c r="Y36" s="243"/>
      <c r="Z36" s="246"/>
      <c r="AA36" s="244"/>
      <c r="AB36" s="244"/>
      <c r="AC36" s="244"/>
      <c r="AD36" s="244"/>
    </row>
    <row r="37" spans="1:30" s="234" customFormat="1">
      <c r="A37" s="235">
        <v>13</v>
      </c>
      <c r="B37" s="236"/>
      <c r="C37" s="237"/>
      <c r="D37" s="248"/>
      <c r="E37" s="238"/>
      <c r="F37" s="238" t="str">
        <f t="shared" si="6"/>
        <v/>
      </c>
      <c r="G37" s="238"/>
      <c r="H37" s="245" t="str">
        <f t="shared" si="7"/>
        <v/>
      </c>
      <c r="I37" s="238"/>
      <c r="J37" s="248" t="str">
        <f t="shared" si="8"/>
        <v/>
      </c>
      <c r="K37" s="238"/>
      <c r="L37" s="238"/>
      <c r="M37" s="238"/>
      <c r="N37" s="239" t="str">
        <f t="shared" si="9"/>
        <v/>
      </c>
      <c r="O37" s="240" t="e">
        <f t="shared" si="10"/>
        <v>#DIV/0!</v>
      </c>
      <c r="P37" s="241" t="e">
        <f t="shared" si="11"/>
        <v>#DIV/0!</v>
      </c>
      <c r="Q37" s="242" t="e">
        <f t="shared" si="12"/>
        <v>#DIV/0!</v>
      </c>
      <c r="R37" s="242" t="e">
        <f t="shared" si="13"/>
        <v>#DIV/0!</v>
      </c>
      <c r="S37" s="241" t="str">
        <f t="shared" si="14"/>
        <v/>
      </c>
      <c r="T37" s="242" t="str">
        <f t="shared" si="17"/>
        <v/>
      </c>
      <c r="U37" s="242" t="str">
        <f t="shared" si="16"/>
        <v/>
      </c>
      <c r="V37" s="284"/>
      <c r="W37" s="284"/>
      <c r="X37" s="243"/>
      <c r="Y37" s="243"/>
      <c r="Z37" s="246"/>
      <c r="AA37" s="244"/>
      <c r="AB37" s="244"/>
      <c r="AC37" s="244"/>
      <c r="AD37" s="244"/>
    </row>
    <row r="38" spans="1:30" s="234" customFormat="1">
      <c r="A38" s="235">
        <v>14</v>
      </c>
      <c r="B38" s="236"/>
      <c r="C38" s="273"/>
      <c r="D38" s="232"/>
      <c r="E38" s="245"/>
      <c r="F38" s="238" t="str">
        <f t="shared" si="6"/>
        <v/>
      </c>
      <c r="G38" s="245"/>
      <c r="H38" s="238" t="str">
        <f t="shared" si="7"/>
        <v/>
      </c>
      <c r="I38" s="245"/>
      <c r="J38" s="232" t="str">
        <f t="shared" si="8"/>
        <v/>
      </c>
      <c r="K38" s="245"/>
      <c r="L38" s="238"/>
      <c r="M38" s="245"/>
      <c r="N38" s="239" t="str">
        <f t="shared" si="9"/>
        <v/>
      </c>
      <c r="O38" s="274" t="e">
        <f t="shared" si="10"/>
        <v>#DIV/0!</v>
      </c>
      <c r="P38" s="241" t="e">
        <f t="shared" si="11"/>
        <v>#DIV/0!</v>
      </c>
      <c r="Q38" s="275" t="e">
        <f t="shared" si="12"/>
        <v>#DIV/0!</v>
      </c>
      <c r="R38" s="242" t="e">
        <f t="shared" si="13"/>
        <v>#DIV/0!</v>
      </c>
      <c r="S38" s="276" t="str">
        <f t="shared" si="14"/>
        <v/>
      </c>
      <c r="T38" s="242" t="str">
        <f t="shared" si="17"/>
        <v/>
      </c>
      <c r="U38" s="275" t="str">
        <f t="shared" si="16"/>
        <v/>
      </c>
      <c r="V38" s="284"/>
      <c r="W38" s="284"/>
      <c r="X38" s="243"/>
      <c r="Y38" s="243"/>
      <c r="Z38" s="246"/>
      <c r="AA38" s="244"/>
      <c r="AB38" s="244"/>
      <c r="AC38" s="244"/>
      <c r="AD38" s="244"/>
    </row>
    <row r="39" spans="1:30" s="234" customFormat="1">
      <c r="A39" s="235">
        <v>15</v>
      </c>
      <c r="B39" s="236"/>
      <c r="C39" s="237"/>
      <c r="D39" s="248"/>
      <c r="E39" s="238"/>
      <c r="F39" s="245" t="str">
        <f t="shared" si="6"/>
        <v/>
      </c>
      <c r="G39" s="238"/>
      <c r="H39" s="245" t="str">
        <f t="shared" si="7"/>
        <v/>
      </c>
      <c r="I39" s="238"/>
      <c r="J39" s="248" t="str">
        <f t="shared" si="8"/>
        <v/>
      </c>
      <c r="K39" s="238"/>
      <c r="L39" s="238"/>
      <c r="M39" s="238"/>
      <c r="N39" s="239" t="str">
        <f t="shared" si="9"/>
        <v/>
      </c>
      <c r="O39" s="240" t="e">
        <f t="shared" si="10"/>
        <v>#DIV/0!</v>
      </c>
      <c r="P39" s="241" t="e">
        <f t="shared" si="11"/>
        <v>#DIV/0!</v>
      </c>
      <c r="Q39" s="242" t="e">
        <f t="shared" si="12"/>
        <v>#DIV/0!</v>
      </c>
      <c r="R39" s="242" t="e">
        <f t="shared" si="13"/>
        <v>#DIV/0!</v>
      </c>
      <c r="S39" s="241" t="str">
        <f t="shared" si="14"/>
        <v/>
      </c>
      <c r="T39" s="242" t="str">
        <f t="shared" si="17"/>
        <v/>
      </c>
      <c r="U39" s="242" t="str">
        <f t="shared" si="16"/>
        <v/>
      </c>
      <c r="V39" s="284"/>
      <c r="W39" s="284"/>
      <c r="X39" s="243"/>
      <c r="Y39" s="243"/>
      <c r="Z39" s="246"/>
      <c r="AA39" s="244"/>
      <c r="AB39" s="244"/>
      <c r="AC39" s="244"/>
      <c r="AD39" s="244"/>
    </row>
    <row r="40" spans="1:30" s="234" customFormat="1" ht="15" customHeight="1">
      <c r="A40" s="235">
        <v>16</v>
      </c>
      <c r="B40" s="236"/>
      <c r="C40" s="273"/>
      <c r="D40" s="232"/>
      <c r="E40" s="245"/>
      <c r="F40" s="238" t="str">
        <f t="shared" si="6"/>
        <v/>
      </c>
      <c r="G40" s="245"/>
      <c r="H40" s="238" t="str">
        <f t="shared" si="7"/>
        <v/>
      </c>
      <c r="I40" s="245"/>
      <c r="J40" s="232" t="str">
        <f t="shared" si="8"/>
        <v/>
      </c>
      <c r="K40" s="238"/>
      <c r="L40" s="238"/>
      <c r="M40" s="238"/>
      <c r="N40" s="239" t="str">
        <f t="shared" si="9"/>
        <v/>
      </c>
      <c r="O40" s="240" t="e">
        <f t="shared" si="10"/>
        <v>#DIV/0!</v>
      </c>
      <c r="P40" s="241" t="e">
        <f t="shared" si="11"/>
        <v>#DIV/0!</v>
      </c>
      <c r="Q40" s="242" t="e">
        <f t="shared" si="12"/>
        <v>#DIV/0!</v>
      </c>
      <c r="R40" s="242" t="e">
        <f t="shared" si="13"/>
        <v>#DIV/0!</v>
      </c>
      <c r="S40" s="241" t="str">
        <f t="shared" si="14"/>
        <v/>
      </c>
      <c r="T40" s="242" t="str">
        <f t="shared" si="17"/>
        <v/>
      </c>
      <c r="U40" s="242" t="str">
        <f t="shared" si="16"/>
        <v/>
      </c>
      <c r="V40" s="284"/>
      <c r="W40" s="284"/>
      <c r="X40" s="243"/>
      <c r="Y40" s="243"/>
      <c r="Z40" s="246"/>
      <c r="AA40" s="244"/>
      <c r="AB40" s="244"/>
      <c r="AC40" s="244"/>
      <c r="AD40" s="244"/>
    </row>
    <row r="41" spans="1:30" s="234" customFormat="1">
      <c r="A41" s="235">
        <v>17</v>
      </c>
      <c r="B41" s="236"/>
      <c r="C41" s="237"/>
      <c r="D41" s="248"/>
      <c r="E41" s="238"/>
      <c r="F41" s="245" t="str">
        <f t="shared" si="6"/>
        <v/>
      </c>
      <c r="G41" s="238"/>
      <c r="H41" s="245" t="str">
        <f t="shared" si="7"/>
        <v/>
      </c>
      <c r="I41" s="238"/>
      <c r="J41" s="248" t="str">
        <f t="shared" si="8"/>
        <v/>
      </c>
      <c r="K41" s="238"/>
      <c r="L41" s="238"/>
      <c r="M41" s="238"/>
      <c r="N41" s="277" t="str">
        <f t="shared" si="9"/>
        <v/>
      </c>
      <c r="O41" s="240" t="e">
        <f t="shared" si="10"/>
        <v>#DIV/0!</v>
      </c>
      <c r="P41" s="241" t="e">
        <f t="shared" si="11"/>
        <v>#DIV/0!</v>
      </c>
      <c r="Q41" s="242" t="e">
        <f t="shared" si="12"/>
        <v>#DIV/0!</v>
      </c>
      <c r="R41" s="242" t="e">
        <f t="shared" si="13"/>
        <v>#DIV/0!</v>
      </c>
      <c r="S41" s="241" t="str">
        <f t="shared" si="14"/>
        <v/>
      </c>
      <c r="T41" s="242" t="str">
        <f t="shared" si="17"/>
        <v/>
      </c>
      <c r="U41" s="242" t="str">
        <f t="shared" si="16"/>
        <v/>
      </c>
      <c r="V41" s="284"/>
      <c r="W41" s="284"/>
      <c r="X41" s="243"/>
      <c r="Y41" s="243"/>
      <c r="Z41" s="246"/>
      <c r="AA41" s="244"/>
      <c r="AB41" s="244"/>
      <c r="AC41" s="244"/>
      <c r="AD41" s="244"/>
    </row>
    <row r="42" spans="1:30" s="234" customFormat="1">
      <c r="A42" s="235">
        <v>18</v>
      </c>
      <c r="B42" s="236"/>
      <c r="C42" s="273"/>
      <c r="D42" s="232"/>
      <c r="E42" s="245"/>
      <c r="F42" s="238" t="str">
        <f t="shared" si="6"/>
        <v/>
      </c>
      <c r="G42" s="245"/>
      <c r="H42" s="238" t="str">
        <f t="shared" si="7"/>
        <v/>
      </c>
      <c r="I42" s="245"/>
      <c r="J42" s="232" t="str">
        <f t="shared" si="8"/>
        <v/>
      </c>
      <c r="K42" s="238"/>
      <c r="L42" s="238"/>
      <c r="M42" s="238"/>
      <c r="N42" s="277" t="str">
        <f t="shared" si="9"/>
        <v/>
      </c>
      <c r="O42" s="240" t="e">
        <f t="shared" si="10"/>
        <v>#DIV/0!</v>
      </c>
      <c r="P42" s="241" t="e">
        <f t="shared" si="11"/>
        <v>#DIV/0!</v>
      </c>
      <c r="Q42" s="242" t="e">
        <f t="shared" si="12"/>
        <v>#DIV/0!</v>
      </c>
      <c r="R42" s="242" t="e">
        <f t="shared" si="13"/>
        <v>#DIV/0!</v>
      </c>
      <c r="S42" s="241" t="str">
        <f t="shared" si="14"/>
        <v/>
      </c>
      <c r="T42" s="242" t="str">
        <f t="shared" si="17"/>
        <v/>
      </c>
      <c r="U42" s="242" t="str">
        <f t="shared" si="16"/>
        <v/>
      </c>
      <c r="V42" s="284"/>
      <c r="W42" s="284"/>
      <c r="X42" s="243"/>
      <c r="Y42" s="243"/>
      <c r="Z42" s="246"/>
      <c r="AA42" s="244"/>
      <c r="AB42" s="244"/>
      <c r="AC42" s="244"/>
      <c r="AD42" s="244"/>
    </row>
    <row r="43" spans="1:30" s="234" customFormat="1" ht="15" customHeight="1">
      <c r="A43" s="235"/>
      <c r="B43" s="236"/>
      <c r="C43" s="237"/>
      <c r="D43" s="232"/>
      <c r="E43" s="238"/>
      <c r="F43" s="238" t="str">
        <f t="shared" si="6"/>
        <v/>
      </c>
      <c r="G43" s="238"/>
      <c r="H43" s="238" t="str">
        <f t="shared" si="7"/>
        <v/>
      </c>
      <c r="I43" s="238"/>
      <c r="J43" s="232" t="str">
        <f t="shared" si="8"/>
        <v/>
      </c>
      <c r="K43" s="238"/>
      <c r="L43" s="238"/>
      <c r="M43" s="238"/>
      <c r="N43" s="277" t="str">
        <f t="shared" si="9"/>
        <v/>
      </c>
      <c r="O43" s="240" t="e">
        <f t="shared" si="10"/>
        <v>#DIV/0!</v>
      </c>
      <c r="P43" s="241" t="e">
        <f t="shared" si="11"/>
        <v>#DIV/0!</v>
      </c>
      <c r="Q43" s="242" t="e">
        <f t="shared" si="12"/>
        <v>#DIV/0!</v>
      </c>
      <c r="R43" s="242" t="e">
        <f t="shared" si="13"/>
        <v>#DIV/0!</v>
      </c>
      <c r="S43" s="241" t="str">
        <f t="shared" si="14"/>
        <v/>
      </c>
      <c r="T43" s="242" t="str">
        <f t="shared" si="17"/>
        <v/>
      </c>
      <c r="U43" s="242" t="str">
        <f t="shared" si="16"/>
        <v/>
      </c>
      <c r="V43" s="284"/>
      <c r="W43" s="284"/>
      <c r="X43" s="243"/>
      <c r="Y43" s="243"/>
      <c r="Z43" s="246"/>
      <c r="AA43" s="244"/>
      <c r="AB43" s="244"/>
      <c r="AC43" s="244"/>
      <c r="AD43" s="244"/>
    </row>
    <row r="44" spans="1:30" s="234" customFormat="1" ht="15" customHeight="1">
      <c r="A44" s="235"/>
      <c r="B44" s="236"/>
      <c r="C44" s="237"/>
      <c r="D44" s="232"/>
      <c r="E44" s="238"/>
      <c r="F44" s="238" t="str">
        <f t="shared" si="6"/>
        <v/>
      </c>
      <c r="G44" s="238"/>
      <c r="H44" s="238" t="str">
        <f t="shared" si="7"/>
        <v/>
      </c>
      <c r="I44" s="238"/>
      <c r="J44" s="232" t="str">
        <f t="shared" si="8"/>
        <v/>
      </c>
      <c r="K44" s="238"/>
      <c r="L44" s="238"/>
      <c r="M44" s="238"/>
      <c r="N44" s="277" t="str">
        <f t="shared" si="9"/>
        <v/>
      </c>
      <c r="O44" s="240" t="e">
        <f t="shared" si="10"/>
        <v>#DIV/0!</v>
      </c>
      <c r="P44" s="241" t="e">
        <f t="shared" si="11"/>
        <v>#DIV/0!</v>
      </c>
      <c r="Q44" s="242" t="e">
        <f t="shared" si="12"/>
        <v>#DIV/0!</v>
      </c>
      <c r="R44" s="242" t="e">
        <f t="shared" si="13"/>
        <v>#DIV/0!</v>
      </c>
      <c r="S44" s="241" t="str">
        <f t="shared" si="14"/>
        <v/>
      </c>
      <c r="T44" s="242">
        <f>IF(W44&lt;&gt;"",IF(E44&lt;&gt;"",E44,($I$9-SUM($T$25:T43))*V44*W44/SUMPRODUCT($W44:$W$55,$V44:$V$55)),0)</f>
        <v>0</v>
      </c>
      <c r="U44" s="242" t="str">
        <f t="shared" si="16"/>
        <v/>
      </c>
      <c r="V44" s="284"/>
      <c r="W44" s="284"/>
      <c r="X44" s="243"/>
      <c r="Y44" s="243"/>
      <c r="Z44" s="244"/>
      <c r="AA44" s="244"/>
      <c r="AB44" s="244"/>
      <c r="AC44" s="244"/>
      <c r="AD44" s="244"/>
    </row>
    <row r="45" spans="1:30" customFormat="1">
      <c r="A45" s="278"/>
      <c r="B45" s="96"/>
      <c r="C45" s="231"/>
      <c r="D45" s="98"/>
      <c r="E45" s="99"/>
      <c r="F45" s="99" t="str">
        <f t="shared" si="6"/>
        <v/>
      </c>
      <c r="G45" s="99"/>
      <c r="H45" s="99" t="str">
        <f t="shared" si="7"/>
        <v/>
      </c>
      <c r="I45" s="99"/>
      <c r="J45" s="98" t="str">
        <f t="shared" si="8"/>
        <v/>
      </c>
      <c r="K45" s="99"/>
      <c r="L45" s="99"/>
      <c r="M45" s="99"/>
      <c r="N45" s="279" t="str">
        <f t="shared" si="9"/>
        <v/>
      </c>
      <c r="O45" s="101" t="e">
        <f t="shared" si="10"/>
        <v>#DIV/0!</v>
      </c>
      <c r="P45" s="102" t="e">
        <f t="shared" ref="P45:P46" si="18">$I$8*V45*W45/SUMPRODUCT($W$25:$W$44,$V$25:$V$44)</f>
        <v>#DIV/0!</v>
      </c>
      <c r="Q45" s="103" t="e">
        <f t="shared" ref="Q45:Q46" si="19">$I$9*V45*W45/SUMPRODUCT($W$25:$W$44,$V$25:$V$44)</f>
        <v>#DIV/0!</v>
      </c>
      <c r="R45" s="103" t="e">
        <f t="shared" si="13"/>
        <v>#DIV/0!</v>
      </c>
      <c r="S45" s="102" t="str">
        <f t="shared" ref="S45:S46" si="20">IF(W45&lt;&gt;"",IF(D45&lt;&gt;"",D45,($I$8-SUM($S$25:S44))*V45*W45/SUMPRODUCT($W$44:$W45,$V$44:$V45)),"")</f>
        <v/>
      </c>
      <c r="T45" s="103" t="str">
        <f t="shared" ref="T45:T46" si="21">IF(W45&lt;&gt;"",IF(E45&lt;&gt;"",E45,($I$9-SUM($T$25:T44))*V45*W45/SUMPRODUCT($W$44:$W45,$V$44:$V45)),"")</f>
        <v/>
      </c>
      <c r="U45" s="103" t="str">
        <f t="shared" ref="U45:U46" si="22">IF(W45&lt;&gt;"",IF($I$12&lt;&gt;"",IF(G45&lt;&gt;"",G45,($I$9/$I$12-SUM($U$25:U44))*V45*W45/SUMPRODUCT($W$44:$W45,$V$44:$V45)),""),"")</f>
        <v/>
      </c>
      <c r="V45" s="280"/>
      <c r="W45" s="280"/>
      <c r="X45" s="281"/>
      <c r="Y45" s="281"/>
      <c r="Z45" s="282"/>
    </row>
    <row r="46" spans="1:30" s="234" customFormat="1">
      <c r="A46" s="283"/>
      <c r="B46" s="236"/>
      <c r="C46" s="263"/>
      <c r="D46" s="232"/>
      <c r="E46" s="238"/>
      <c r="F46" s="238" t="str">
        <f t="shared" si="6"/>
        <v/>
      </c>
      <c r="G46" s="238"/>
      <c r="H46" s="238" t="str">
        <f t="shared" si="7"/>
        <v/>
      </c>
      <c r="I46" s="238"/>
      <c r="J46" s="232" t="str">
        <f t="shared" si="8"/>
        <v/>
      </c>
      <c r="K46" s="238"/>
      <c r="L46" s="238"/>
      <c r="M46" s="238"/>
      <c r="N46" s="277" t="str">
        <f t="shared" si="9"/>
        <v/>
      </c>
      <c r="O46" s="240" t="e">
        <f t="shared" si="10"/>
        <v>#DIV/0!</v>
      </c>
      <c r="P46" s="241" t="e">
        <f t="shared" si="18"/>
        <v>#DIV/0!</v>
      </c>
      <c r="Q46" s="242" t="e">
        <f t="shared" si="19"/>
        <v>#DIV/0!</v>
      </c>
      <c r="R46" s="242" t="e">
        <f t="shared" si="13"/>
        <v>#DIV/0!</v>
      </c>
      <c r="S46" s="241" t="str">
        <f t="shared" si="20"/>
        <v/>
      </c>
      <c r="T46" s="242" t="str">
        <f t="shared" si="21"/>
        <v/>
      </c>
      <c r="U46" s="242" t="str">
        <f t="shared" si="22"/>
        <v/>
      </c>
      <c r="V46" s="284"/>
      <c r="W46" s="284"/>
      <c r="X46" s="285"/>
      <c r="Y46" s="285"/>
      <c r="Z46" s="286"/>
    </row>
    <row r="47" spans="1:30" s="234" customFormat="1">
      <c r="A47" s="287"/>
      <c r="B47" s="236"/>
      <c r="C47" s="247"/>
      <c r="D47" s="232"/>
      <c r="E47" s="238"/>
      <c r="F47" s="238" t="str">
        <f t="shared" si="6"/>
        <v/>
      </c>
      <c r="G47" s="238"/>
      <c r="H47" s="238" t="str">
        <f t="shared" si="7"/>
        <v/>
      </c>
      <c r="I47" s="238"/>
      <c r="J47" s="232" t="str">
        <f t="shared" si="8"/>
        <v/>
      </c>
      <c r="K47" s="238"/>
      <c r="L47" s="238"/>
      <c r="M47" s="238"/>
      <c r="N47" s="277" t="str">
        <f t="shared" si="9"/>
        <v/>
      </c>
      <c r="O47" s="240" t="e">
        <f t="shared" si="10"/>
        <v>#DIV/0!</v>
      </c>
      <c r="P47" s="241" t="e">
        <f>$I$8*V47*W47/SUMPRODUCT($W$25:$W$47,$V$25:$V$47)</f>
        <v>#DIV/0!</v>
      </c>
      <c r="Q47" s="242" t="e">
        <f>$I$9*V47*W47/SUMPRODUCT($W$25:$W$47,$V$25:$V$47)</f>
        <v>#DIV/0!</v>
      </c>
      <c r="R47" s="242" t="e">
        <f t="shared" si="13"/>
        <v>#DIV/0!</v>
      </c>
      <c r="S47" s="241" t="str">
        <f>IF(W47&lt;&gt;"",IF(D47&lt;&gt;"",D47,($I$8-SUM($S$25:S46))*V47*W47/SUMPRODUCT($W47:$W$47,$V47:$V$47)),"")</f>
        <v/>
      </c>
      <c r="T47" s="242" t="str">
        <f>IF(W47&lt;&gt;"",IF(E47&lt;&gt;"",E47,($I$9-SUM($T$25:T46))*V47*W47/SUMPRODUCT($W47:$W$47,$V47:$V$47)),"")</f>
        <v/>
      </c>
      <c r="U47" s="242" t="str">
        <f>IF(W47&lt;&gt;"",IF($I$12&lt;&gt;"",IF(G47&lt;&gt;"",G47,($I$9/$I$12-SUM($U$25:U46))*V47*W47/SUMPRODUCT($W47:$W$47,$V47:$V$47)),""),"")</f>
        <v/>
      </c>
      <c r="V47" s="284"/>
      <c r="W47" s="284"/>
      <c r="X47" s="285"/>
      <c r="Y47" s="285"/>
      <c r="Z47" s="286"/>
    </row>
    <row r="48" spans="1:30" ht="15" customHeight="1">
      <c r="B48" s="592" t="s">
        <v>60</v>
      </c>
      <c r="C48" s="592"/>
      <c r="D48" s="114">
        <f>SUM(D25:D47)</f>
        <v>0</v>
      </c>
      <c r="E48" s="114">
        <f>SUM(E25:E47)</f>
        <v>0</v>
      </c>
      <c r="F48" s="114" t="str">
        <f t="shared" si="6"/>
        <v/>
      </c>
      <c r="G48" s="114">
        <f>SUM(G25:G47)</f>
        <v>0</v>
      </c>
      <c r="H48" s="114" t="str">
        <f t="shared" si="7"/>
        <v/>
      </c>
      <c r="I48" s="114">
        <f>SUM(I25:I47)</f>
        <v>0</v>
      </c>
      <c r="J48" s="113" t="str">
        <f t="shared" si="8"/>
        <v/>
      </c>
      <c r="K48" s="114">
        <f>SUM(K25:K47)</f>
        <v>0</v>
      </c>
      <c r="L48" s="114">
        <f>SUM(L25:L47)</f>
        <v>0</v>
      </c>
      <c r="M48" s="114">
        <f>SUM(M25:M47)</f>
        <v>0</v>
      </c>
      <c r="N48" s="115" t="str">
        <f t="shared" si="9"/>
        <v/>
      </c>
      <c r="O48" s="116" t="e">
        <f t="shared" si="10"/>
        <v>#DIV/0!</v>
      </c>
      <c r="P48" s="117" t="e">
        <f t="shared" ref="P48:U48" si="23">SUM(P25:P47)</f>
        <v>#DIV/0!</v>
      </c>
      <c r="Q48" s="117" t="e">
        <f t="shared" si="23"/>
        <v>#DIV/0!</v>
      </c>
      <c r="R48" s="117" t="e">
        <f t="shared" si="23"/>
        <v>#DIV/0!</v>
      </c>
      <c r="S48" s="117" t="e">
        <f t="shared" si="23"/>
        <v>#DIV/0!</v>
      </c>
      <c r="T48" s="117" t="e">
        <f t="shared" si="23"/>
        <v>#DIV/0!</v>
      </c>
      <c r="U48" s="117" t="e">
        <f t="shared" si="23"/>
        <v>#DIV/0!</v>
      </c>
      <c r="V48" s="118"/>
      <c r="W48" s="118"/>
    </row>
    <row r="49" spans="2:17">
      <c r="B49" s="120"/>
      <c r="C49" s="121"/>
      <c r="D49" s="122" t="e">
        <f>SUMIF(D25:D47,"",P25:P47)+D48</f>
        <v>#DIV/0!</v>
      </c>
      <c r="E49" s="123"/>
      <c r="F49" s="121"/>
      <c r="G49" s="121"/>
      <c r="H49" s="124"/>
      <c r="I49" s="229"/>
      <c r="J49" s="124"/>
      <c r="L49" s="126"/>
      <c r="M49" s="123"/>
      <c r="N49" s="126"/>
      <c r="O49" s="126"/>
      <c r="P49" s="126"/>
      <c r="Q49" s="127"/>
    </row>
    <row r="50" spans="2:17">
      <c r="D50" s="128"/>
    </row>
    <row r="51" spans="2:17">
      <c r="D51" s="128"/>
    </row>
    <row r="52" spans="2:17">
      <c r="D52" s="224"/>
    </row>
    <row r="53" spans="2:17">
      <c r="D53" s="224"/>
    </row>
  </sheetData>
  <mergeCells count="28">
    <mergeCell ref="P22:W22"/>
    <mergeCell ref="B48:C48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21" priority="27" operator="greaterThan">
      <formula>0</formula>
    </cfRule>
    <cfRule type="cellIs" dxfId="120" priority="26" operator="lessThan">
      <formula>0</formula>
    </cfRule>
  </conditionalFormatting>
  <conditionalFormatting sqref="J25:J31">
    <cfRule type="cellIs" dxfId="119" priority="11" operator="greaterThan">
      <formula>$I$12</formula>
    </cfRule>
  </conditionalFormatting>
  <conditionalFormatting sqref="J26:J30">
    <cfRule type="cellIs" dxfId="118" priority="10" operator="lessThan">
      <formula>$I$12</formula>
    </cfRule>
  </conditionalFormatting>
  <conditionalFormatting sqref="J28:J42 J25">
    <cfRule type="cellIs" dxfId="117" priority="36" operator="lessThan">
      <formula>$I$12</formula>
    </cfRule>
  </conditionalFormatting>
  <conditionalFormatting sqref="J28:J42">
    <cfRule type="cellIs" dxfId="116" priority="35" operator="greaterThan">
      <formula>$I$12</formula>
    </cfRule>
  </conditionalFormatting>
  <conditionalFormatting sqref="J29:J30">
    <cfRule type="cellIs" dxfId="115" priority="30" operator="lessThan">
      <formula>$I$12</formula>
    </cfRule>
  </conditionalFormatting>
  <conditionalFormatting sqref="J43:J47 J37">
    <cfRule type="cellIs" dxfId="114" priority="19" operator="greaterThan">
      <formula>$I$12</formula>
    </cfRule>
  </conditionalFormatting>
  <conditionalFormatting sqref="J43:J47">
    <cfRule type="cellIs" dxfId="113" priority="18" operator="lessThan">
      <formula>$I$12</formula>
    </cfRule>
  </conditionalFormatting>
  <conditionalFormatting sqref="K10:K12 K15">
    <cfRule type="cellIs" dxfId="112" priority="25" operator="greaterThan">
      <formula>1</formula>
    </cfRule>
    <cfRule type="cellIs" dxfId="111" priority="24" operator="lessThan">
      <formula>1</formula>
    </cfRule>
  </conditionalFormatting>
  <conditionalFormatting sqref="K13">
    <cfRule type="cellIs" dxfId="110" priority="21" operator="greaterThan">
      <formula>$K$14</formula>
    </cfRule>
    <cfRule type="cellIs" dxfId="109" priority="20" operator="lessThan">
      <formula>$K$14</formula>
    </cfRule>
  </conditionalFormatting>
  <conditionalFormatting sqref="M8:M15">
    <cfRule type="cellIs" dxfId="108" priority="29" operator="lessThan">
      <formula>1</formula>
    </cfRule>
    <cfRule type="cellIs" dxfId="107" priority="23" operator="greaterThan">
      <formula>1</formula>
    </cfRule>
  </conditionalFormatting>
  <conditionalFormatting sqref="N25:N37">
    <cfRule type="cellIs" dxfId="106" priority="8" operator="greaterThanOrEqual">
      <formula>0.25</formula>
    </cfRule>
    <cfRule type="cellIs" dxfId="105" priority="7" operator="between">
      <formula>0.2</formula>
      <formula>0.25</formula>
    </cfRule>
  </conditionalFormatting>
  <conditionalFormatting sqref="N25:N47">
    <cfRule type="cellIs" dxfId="104" priority="9" operator="lessThan">
      <formula>0.2</formula>
    </cfRule>
  </conditionalFormatting>
  <conditionalFormatting sqref="N38">
    <cfRule type="cellIs" dxfId="103" priority="31" operator="between">
      <formula>0.2</formula>
      <formula>0.25</formula>
    </cfRule>
  </conditionalFormatting>
  <conditionalFormatting sqref="N38:N47">
    <cfRule type="cellIs" dxfId="102" priority="17" operator="greaterThanOrEqual">
      <formula>0.25</formula>
    </cfRule>
  </conditionalFormatting>
  <conditionalFormatting sqref="N39:N47">
    <cfRule type="cellIs" dxfId="101" priority="16" operator="between">
      <formula>0.2</formula>
      <formula>0.25</formula>
    </cfRule>
  </conditionalFormatting>
  <conditionalFormatting sqref="O25:O37">
    <cfRule type="cellIs" dxfId="100" priority="6" operator="between">
      <formula>0.01</formula>
      <formula>0.99</formula>
    </cfRule>
    <cfRule type="cellIs" dxfId="99" priority="5" operator="between">
      <formula>0.85</formula>
      <formula>1</formula>
    </cfRule>
    <cfRule type="cellIs" dxfId="98" priority="2" operator="lessThan">
      <formula>0.9</formula>
    </cfRule>
    <cfRule type="cellIs" dxfId="97" priority="1" operator="between">
      <formula>0.9001</formula>
      <formula>0.9999</formula>
    </cfRule>
  </conditionalFormatting>
  <conditionalFormatting sqref="O25:O47">
    <cfRule type="cellIs" dxfId="96" priority="4" operator="greaterThan">
      <formula>100</formula>
    </cfRule>
    <cfRule type="cellIs" dxfId="95" priority="3" operator="greaterThan">
      <formula>1</formula>
    </cfRule>
  </conditionalFormatting>
  <conditionalFormatting sqref="O38">
    <cfRule type="cellIs" dxfId="94" priority="32" operator="between">
      <formula>0.85</formula>
      <formula>1</formula>
    </cfRule>
    <cfRule type="cellIs" dxfId="93" priority="33" operator="lessThan">
      <formula>0.9</formula>
    </cfRule>
    <cfRule type="cellIs" dxfId="92" priority="34" operator="between">
      <formula>0.9001</formula>
      <formula>0.9999</formula>
    </cfRule>
  </conditionalFormatting>
  <conditionalFormatting sqref="O38:O47">
    <cfRule type="cellIs" dxfId="91" priority="15" operator="between">
      <formula>0.01</formula>
      <formula>0.99</formula>
    </cfRule>
  </conditionalFormatting>
  <conditionalFormatting sqref="O39:O44">
    <cfRule type="cellIs" dxfId="90" priority="14" operator="between">
      <formula>0.85</formula>
      <formula>1</formula>
    </cfRule>
  </conditionalFormatting>
  <conditionalFormatting sqref="O39:O47">
    <cfRule type="cellIs" dxfId="89" priority="13" operator="lessThan">
      <formula>0.9</formula>
    </cfRule>
    <cfRule type="cellIs" dxfId="88" priority="12" operator="between">
      <formula>0.9001</formula>
      <formula>0.9999</formula>
    </cfRule>
  </conditionalFormatting>
  <conditionalFormatting sqref="O45:O47">
    <cfRule type="cellIs" dxfId="87" priority="22" operator="between">
      <formula>0.85</formula>
      <formula>1</formula>
    </cfRule>
  </conditionalFormatting>
  <conditionalFormatting sqref="P10:Q10">
    <cfRule type="cellIs" dxfId="86" priority="28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U53"/>
  <sheetViews>
    <sheetView showZeros="0" topLeftCell="A22" workbookViewId="0">
      <pane xSplit="3" topLeftCell="D1" activePane="topRight" state="frozen"/>
      <selection activeCell="A7" sqref="A7"/>
      <selection pane="topRight" activeCell="A7" sqref="A7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55">
        <f ca="1">TODAY()-1</f>
        <v>45879</v>
      </c>
      <c r="C1" s="655"/>
      <c r="D1" s="11"/>
      <c r="E1" s="11"/>
      <c r="F1" s="12"/>
      <c r="G1" s="12"/>
      <c r="H1" s="12"/>
      <c r="I1" s="12"/>
      <c r="J1" s="198"/>
      <c r="K1" s="198"/>
      <c r="L1" s="198"/>
      <c r="M1" s="198"/>
      <c r="N1" s="198"/>
      <c r="O1" s="198"/>
      <c r="P1" s="198"/>
      <c r="Q1" s="656"/>
      <c r="R1" s="656"/>
      <c r="S1" s="656"/>
      <c r="T1" s="656"/>
      <c r="U1" s="12"/>
      <c r="V1" s="12"/>
      <c r="W1" s="12"/>
    </row>
    <row r="2" spans="2:23" ht="21.75" customHeight="1">
      <c r="B2" s="657" t="s">
        <v>0</v>
      </c>
      <c r="C2" s="657"/>
      <c r="D2" s="11"/>
      <c r="E2" s="11"/>
      <c r="F2" s="12"/>
      <c r="G2" s="12"/>
      <c r="H2" s="12"/>
      <c r="I2" s="12"/>
      <c r="J2" s="658" t="s">
        <v>66</v>
      </c>
      <c r="K2" s="658"/>
      <c r="L2" s="658"/>
      <c r="M2" s="658"/>
      <c r="N2" s="658"/>
      <c r="O2" s="658"/>
      <c r="P2" s="658"/>
      <c r="Q2" s="656"/>
      <c r="R2" s="656"/>
      <c r="S2" s="656"/>
      <c r="T2" s="656"/>
      <c r="U2" s="12"/>
      <c r="V2" s="12"/>
      <c r="W2" s="12"/>
    </row>
    <row r="3" spans="2:23" ht="14" customHeight="1">
      <c r="B3" s="10" t="s">
        <v>1</v>
      </c>
      <c r="C3" s="11"/>
      <c r="D3" s="11"/>
      <c r="E3" s="11"/>
      <c r="F3" s="12"/>
      <c r="G3" s="12"/>
      <c r="H3" s="12"/>
      <c r="I3" s="12"/>
      <c r="J3" s="659" t="str">
        <f>График!B26</f>
        <v>Орешникова Елена</v>
      </c>
      <c r="K3" s="660"/>
      <c r="L3" s="660"/>
      <c r="M3" s="660"/>
      <c r="N3" s="661"/>
      <c r="O3" s="198"/>
      <c r="P3" s="199"/>
      <c r="Q3" s="656"/>
      <c r="R3" s="656"/>
      <c r="S3" s="656"/>
      <c r="T3" s="656"/>
      <c r="U3" s="12"/>
      <c r="V3" s="12"/>
      <c r="W3" s="12"/>
    </row>
    <row r="4" spans="2:23" ht="15" customHeight="1">
      <c r="B4" s="11"/>
      <c r="C4" s="665">
        <f>I8-D48</f>
        <v>165293.72045914922</v>
      </c>
      <c r="D4" s="666"/>
      <c r="E4" s="200">
        <f>IF(I8&lt;&gt;0,C4/I8,0)</f>
        <v>1</v>
      </c>
      <c r="F4" s="12"/>
      <c r="G4" s="12"/>
      <c r="H4" s="12"/>
      <c r="I4" s="12"/>
      <c r="J4" s="662"/>
      <c r="K4" s="663"/>
      <c r="L4" s="663"/>
      <c r="M4" s="663"/>
      <c r="N4" s="664"/>
      <c r="O4" s="12"/>
      <c r="P4" s="12"/>
      <c r="Q4" s="656"/>
      <c r="R4" s="656"/>
      <c r="S4" s="656"/>
      <c r="T4" s="656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7"/>
      <c r="K5" s="667"/>
      <c r="L5" s="667"/>
      <c r="M5" s="667"/>
      <c r="N5" s="667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201"/>
      <c r="C6" s="12"/>
      <c r="D6" s="12"/>
      <c r="E6" s="12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21"/>
      <c r="S6" s="21"/>
      <c r="T6" s="12"/>
      <c r="U6" s="12"/>
      <c r="V6" s="12"/>
      <c r="W6" s="12"/>
    </row>
    <row r="7" spans="2:23" ht="50.75" customHeight="1">
      <c r="B7" s="201"/>
      <c r="C7" s="12"/>
      <c r="D7" s="12"/>
      <c r="E7" s="12"/>
      <c r="F7" s="574" t="s">
        <v>3</v>
      </c>
      <c r="G7" s="575"/>
      <c r="H7" s="576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77" t="s">
        <v>11</v>
      </c>
      <c r="Q7" s="578"/>
      <c r="R7" s="21"/>
      <c r="S7" s="21"/>
      <c r="T7" s="12"/>
      <c r="U7" s="12"/>
      <c r="V7" s="12"/>
      <c r="W7" s="12"/>
    </row>
    <row r="8" spans="2:23" ht="15.75" customHeight="1">
      <c r="B8" s="201"/>
      <c r="C8" s="12"/>
      <c r="D8" s="12"/>
      <c r="E8" s="12"/>
      <c r="F8" s="579" t="s">
        <v>12</v>
      </c>
      <c r="G8" s="580"/>
      <c r="H8" s="581"/>
      <c r="I8" s="202">
        <f>'Ялта, Ленина, 18'!I8/График!AJ31*График!AJ26</f>
        <v>165293.72045914922</v>
      </c>
      <c r="J8" s="203"/>
      <c r="K8" s="268" t="str">
        <f t="shared" ref="K8:K9" si="0">IF(AND(I8&lt;&gt;"",I8&lt;&gt;0,J8&lt;&gt;""),J8/I8,"")</f>
        <v/>
      </c>
      <c r="L8" s="205">
        <f>IF(SUMIF($D$25:$D$47,"&gt;=0",$P$25:$P$47)&lt;&gt;0,I8*D48/SUMIF($D$25:$D$47,"&gt;=0",$P$25:$P$47),0)</f>
        <v>0</v>
      </c>
      <c r="M8" s="32" t="str">
        <f t="shared" ref="M8:M9" si="1">IF(AND(I8&lt;&gt;"",I8&lt;&gt;0,L8&lt;&gt;"",L8&lt;&gt;0),L8/I8,"")</f>
        <v/>
      </c>
      <c r="N8" s="35" t="str">
        <f t="shared" ref="N8:N9" si="2">IF(AND(J8&lt;&gt;0,J8&lt;&gt;"",I8&lt;&gt;0,I8&lt;&gt;""),L8-I8,"")</f>
        <v/>
      </c>
      <c r="O8" s="34"/>
      <c r="P8" s="35" t="str">
        <f t="shared" ref="P8:P9" si="3">IF(AND(O8&lt;&gt;"",O8&lt;&gt;0,L8&lt;&gt;"",L8&lt;&gt;0),-O8+L8,"")</f>
        <v/>
      </c>
      <c r="Q8" s="36" t="str">
        <f t="shared" ref="Q8:Q9" si="4">IF(AND(P8&lt;&gt;"",P8&lt;&gt;0,O8&lt;&gt;0,O8&lt;&gt;""),P8/O8,"")</f>
        <v/>
      </c>
      <c r="R8" s="21"/>
      <c r="S8" s="37"/>
      <c r="T8" s="12"/>
      <c r="U8" s="12"/>
      <c r="V8" s="12"/>
      <c r="W8" s="12"/>
    </row>
    <row r="9" spans="2:23" ht="15.75" customHeight="1">
      <c r="B9" s="201"/>
      <c r="C9" s="12"/>
      <c r="D9" s="12"/>
      <c r="E9" s="12"/>
      <c r="F9" s="582" t="s">
        <v>13</v>
      </c>
      <c r="G9" s="583"/>
      <c r="H9" s="584"/>
      <c r="I9" s="38">
        <f>I8/I11</f>
        <v>27.548953409858203</v>
      </c>
      <c r="J9" s="39"/>
      <c r="K9" s="269" t="str">
        <f t="shared" si="0"/>
        <v/>
      </c>
      <c r="L9" s="207">
        <f>IF(SUMIF($E$25:$E$47,"&gt;=0",$Q$25:$Q$47)&lt;&gt;0,I9*E48/SUMIF($E$25:$E$47,"&gt;=0",$Q$25:$Q$47),0)</f>
        <v>0</v>
      </c>
      <c r="M9" s="42" t="str">
        <f t="shared" si="1"/>
        <v/>
      </c>
      <c r="N9" s="43" t="str">
        <f t="shared" si="2"/>
        <v/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21"/>
      <c r="S9" s="37"/>
      <c r="T9" s="12"/>
      <c r="U9" s="12"/>
      <c r="V9" s="12"/>
      <c r="W9" s="12"/>
    </row>
    <row r="10" spans="2:23" ht="15.75" customHeight="1">
      <c r="B10" s="201"/>
      <c r="C10" s="12"/>
      <c r="D10" s="12"/>
      <c r="E10" s="12"/>
      <c r="F10" s="579" t="s">
        <v>14</v>
      </c>
      <c r="G10" s="580"/>
      <c r="H10" s="581"/>
      <c r="I10" s="50">
        <f>I11*I12</f>
        <v>10200</v>
      </c>
      <c r="J10" s="209" t="str">
        <f>H48</f>
        <v/>
      </c>
      <c r="K10" s="270" t="str">
        <f t="shared" ref="K10:K19" si="5">IF(AND(I10&lt;&gt;"",I10&lt;&gt;0,J10&lt;&gt;""),J10/I10,"")</f>
        <v/>
      </c>
      <c r="L10" s="207" t="str">
        <f>J10</f>
        <v/>
      </c>
      <c r="M10" s="48" t="str">
        <f t="shared" ref="M10:M20" si="6">IF(AND(I10&lt;&gt;"",I10&lt;&gt;0,L10&lt;&gt;"",L10&lt;&gt;0),L10/I10,"")</f>
        <v/>
      </c>
      <c r="N10" s="49" t="str">
        <f t="shared" ref="N10:N20" si="7">IF(AND(J10&lt;&gt;0,J10&lt;&gt;"",I10&lt;&gt;0,I10&lt;&gt;""),L10-I10,"")</f>
        <v/>
      </c>
      <c r="O10" s="50">
        <f>O11*O12</f>
        <v>0</v>
      </c>
      <c r="P10" s="49" t="str">
        <f t="shared" ref="P10:P20" si="8">IF(AND(O10&lt;&gt;"",O10&lt;&gt;0,L10&lt;&gt;"",L10&lt;&gt;0),-O10+L10,"")</f>
        <v/>
      </c>
      <c r="Q10" s="51" t="str">
        <f t="shared" ref="Q10:Q20" si="9">IF(AND(P10&lt;&gt;"",P10&lt;&gt;0,O10&lt;&gt;0,O10&lt;&gt;""),P10/O10,"")</f>
        <v/>
      </c>
      <c r="R10" s="21"/>
      <c r="S10" s="589" t="s">
        <v>15</v>
      </c>
      <c r="T10" s="589"/>
      <c r="U10" s="12"/>
      <c r="V10" s="12"/>
      <c r="W10" s="12"/>
    </row>
    <row r="11" spans="2:23" ht="15.75" customHeight="1">
      <c r="B11" s="201"/>
      <c r="C11" s="12"/>
      <c r="D11" s="12"/>
      <c r="E11" s="12"/>
      <c r="F11" s="582" t="s">
        <v>16</v>
      </c>
      <c r="G11" s="583"/>
      <c r="H11" s="584"/>
      <c r="I11" s="52">
        <f>'Ялта, Ленина, 18'!I11</f>
        <v>6000</v>
      </c>
      <c r="J11" s="39" t="str">
        <f>F48</f>
        <v/>
      </c>
      <c r="K11" s="271" t="str">
        <f t="shared" si="5"/>
        <v/>
      </c>
      <c r="L11" s="207" t="str">
        <f>IF(L9&gt;0,L8/L9,"")</f>
        <v/>
      </c>
      <c r="M11" s="42" t="str">
        <f t="shared" si="6"/>
        <v/>
      </c>
      <c r="N11" s="43" t="str">
        <f t="shared" si="7"/>
        <v/>
      </c>
      <c r="O11" s="53"/>
      <c r="P11" s="43" t="str">
        <f t="shared" si="8"/>
        <v/>
      </c>
      <c r="Q11" s="45" t="str">
        <f t="shared" si="9"/>
        <v/>
      </c>
      <c r="R11" s="21"/>
      <c r="S11" s="589"/>
      <c r="T11" s="589"/>
      <c r="U11" s="12"/>
      <c r="V11" s="12"/>
      <c r="W11" s="12"/>
    </row>
    <row r="12" spans="2:23" ht="15.75" customHeight="1">
      <c r="B12" s="201"/>
      <c r="C12" s="12"/>
      <c r="D12" s="12"/>
      <c r="E12" s="12"/>
      <c r="F12" s="582" t="s">
        <v>17</v>
      </c>
      <c r="G12" s="583"/>
      <c r="H12" s="584"/>
      <c r="I12" s="54">
        <f>'Ялта, Ленина, 18'!I12</f>
        <v>1.7</v>
      </c>
      <c r="J12" s="55" t="str">
        <f>J48</f>
        <v/>
      </c>
      <c r="K12" s="271" t="str">
        <f t="shared" si="5"/>
        <v/>
      </c>
      <c r="L12" s="213" t="str">
        <f>J12</f>
        <v/>
      </c>
      <c r="M12" s="42" t="str">
        <f t="shared" si="6"/>
        <v/>
      </c>
      <c r="N12" s="57" t="str">
        <f t="shared" si="7"/>
        <v/>
      </c>
      <c r="O12" s="58"/>
      <c r="P12" s="43" t="str">
        <f t="shared" si="8"/>
        <v/>
      </c>
      <c r="Q12" s="45" t="str">
        <f t="shared" si="9"/>
        <v/>
      </c>
      <c r="R12" s="21"/>
      <c r="S12" s="59">
        <f>'Ялта, Ленина, 18'!S12*График!AJ27/График!AJ31</f>
        <v>191627.27886563132</v>
      </c>
      <c r="T12" s="60">
        <f>L48</f>
        <v>0</v>
      </c>
      <c r="U12" s="12"/>
      <c r="V12" s="12"/>
      <c r="W12" s="12"/>
    </row>
    <row r="13" spans="2:23" ht="15.75" customHeight="1">
      <c r="B13" s="201"/>
      <c r="C13" s="12"/>
      <c r="D13" s="12"/>
      <c r="E13" s="12"/>
      <c r="F13" s="582" t="s">
        <v>18</v>
      </c>
      <c r="G13" s="583"/>
      <c r="H13" s="584"/>
      <c r="I13" s="38">
        <f>IF(I12&lt;&gt;0,I9/I12,"")</f>
        <v>16.205266711681297</v>
      </c>
      <c r="J13" s="39">
        <f>G48</f>
        <v>0</v>
      </c>
      <c r="K13" s="269">
        <f t="shared" si="5"/>
        <v>0</v>
      </c>
      <c r="L13" s="207" t="str">
        <f>IF(SUMIF($G$25:$G$47,"&gt;=0",$R$25:$R$47)&lt;&gt;0,I13*G48/SUMIF($G$25:$G$47,"&gt;=0",$R$25:$R$47),"")</f>
        <v/>
      </c>
      <c r="M13" s="42" t="str">
        <f t="shared" si="6"/>
        <v/>
      </c>
      <c r="N13" s="57" t="str">
        <f t="shared" si="7"/>
        <v/>
      </c>
      <c r="O13" s="61"/>
      <c r="P13" s="43" t="str">
        <f t="shared" si="8"/>
        <v/>
      </c>
      <c r="Q13" s="45" t="str">
        <f t="shared" si="9"/>
        <v/>
      </c>
      <c r="R13" s="21"/>
      <c r="S13" s="62">
        <f>T12/S12</f>
        <v>0</v>
      </c>
      <c r="T13" s="62">
        <f>S13/J14*I14</f>
        <v>0</v>
      </c>
      <c r="U13" s="12"/>
      <c r="V13" s="12"/>
      <c r="W13" s="12"/>
    </row>
    <row r="14" spans="2:23" ht="15.75" customHeight="1">
      <c r="B14" s="201"/>
      <c r="C14" s="12"/>
      <c r="D14" s="214"/>
      <c r="E14" s="12"/>
      <c r="F14" s="582" t="s">
        <v>63</v>
      </c>
      <c r="G14" s="583"/>
      <c r="H14" s="584"/>
      <c r="I14" s="52">
        <f>График!AI27</f>
        <v>14</v>
      </c>
      <c r="J14" s="64">
        <v>13</v>
      </c>
      <c r="K14" s="269">
        <f t="shared" si="5"/>
        <v>0.9285714285714286</v>
      </c>
      <c r="L14" s="41">
        <f>I14</f>
        <v>14</v>
      </c>
      <c r="M14" s="42">
        <f t="shared" si="6"/>
        <v>1</v>
      </c>
      <c r="N14" s="43">
        <f t="shared" si="7"/>
        <v>0</v>
      </c>
      <c r="O14" s="61"/>
      <c r="P14" s="43" t="str">
        <f t="shared" si="8"/>
        <v/>
      </c>
      <c r="Q14" s="45" t="str">
        <f t="shared" si="9"/>
        <v/>
      </c>
      <c r="R14" s="21"/>
      <c r="S14" s="65"/>
      <c r="T14" s="6"/>
      <c r="U14" s="12"/>
      <c r="V14" s="12"/>
      <c r="W14" s="12"/>
    </row>
    <row r="15" spans="2:23" ht="15.75" customHeight="1">
      <c r="B15" s="201"/>
      <c r="C15" s="12"/>
      <c r="D15" s="12"/>
      <c r="E15" s="12"/>
      <c r="F15" s="582" t="s">
        <v>20</v>
      </c>
      <c r="G15" s="583"/>
      <c r="H15" s="584"/>
      <c r="I15" s="75">
        <f>'Ялта, Ленина, 18'!I15</f>
        <v>131612.90322580645</v>
      </c>
      <c r="J15" s="67">
        <f>J8/J14</f>
        <v>0</v>
      </c>
      <c r="K15" s="77">
        <f t="shared" si="5"/>
        <v>0</v>
      </c>
      <c r="L15" s="72">
        <f t="shared" ref="L15:L19" si="10">J15</f>
        <v>0</v>
      </c>
      <c r="M15" s="70" t="str">
        <f t="shared" si="6"/>
        <v/>
      </c>
      <c r="N15" s="43" t="str">
        <f t="shared" si="7"/>
        <v/>
      </c>
      <c r="O15" s="71"/>
      <c r="P15" s="43" t="str">
        <f t="shared" si="8"/>
        <v/>
      </c>
      <c r="Q15" s="45" t="str">
        <f t="shared" si="9"/>
        <v/>
      </c>
      <c r="R15" s="21"/>
      <c r="S15" s="37"/>
      <c r="T15" s="6"/>
      <c r="U15" s="12"/>
      <c r="V15" s="12"/>
      <c r="W15" s="12"/>
    </row>
    <row r="16" spans="2:23" ht="15.75" customHeight="1">
      <c r="B16" s="201"/>
      <c r="C16" s="12"/>
      <c r="D16" s="12"/>
      <c r="E16" s="12"/>
      <c r="F16" s="582" t="s">
        <v>21</v>
      </c>
      <c r="G16" s="583"/>
      <c r="H16" s="584"/>
      <c r="I16" s="75"/>
      <c r="J16" s="67">
        <f>J8-I15*J14</f>
        <v>-1710967.7419354839</v>
      </c>
      <c r="K16" s="77" t="str">
        <f t="shared" si="5"/>
        <v/>
      </c>
      <c r="L16" s="72">
        <f t="shared" si="10"/>
        <v>-1710967.7419354839</v>
      </c>
      <c r="M16" s="73" t="str">
        <f t="shared" si="6"/>
        <v/>
      </c>
      <c r="N16" s="43" t="str">
        <f t="shared" si="7"/>
        <v/>
      </c>
      <c r="O16" s="71"/>
      <c r="P16" s="43" t="str">
        <f t="shared" si="8"/>
        <v/>
      </c>
      <c r="Q16" s="45" t="str">
        <f t="shared" si="9"/>
        <v/>
      </c>
      <c r="R16" s="21"/>
      <c r="S16" s="589" t="s">
        <v>22</v>
      </c>
      <c r="T16" s="589"/>
      <c r="U16" s="12"/>
      <c r="V16" s="12"/>
      <c r="W16" s="12"/>
    </row>
    <row r="17" spans="1:30" ht="15.75" customHeight="1">
      <c r="B17" s="201"/>
      <c r="C17" s="12"/>
      <c r="D17" s="12"/>
      <c r="E17" s="12"/>
      <c r="F17" s="582" t="s">
        <v>23</v>
      </c>
      <c r="G17" s="583"/>
      <c r="H17" s="584"/>
      <c r="I17" s="75">
        <f>'Ялта, Ленина, 18'!I17/График!AJ31*График!AJ27</f>
        <v>356.51586765698858</v>
      </c>
      <c r="J17" s="67">
        <f>I48</f>
        <v>0</v>
      </c>
      <c r="K17" s="77">
        <f t="shared" si="5"/>
        <v>0</v>
      </c>
      <c r="L17" s="78">
        <f>J17/J14*I14</f>
        <v>0</v>
      </c>
      <c r="M17" s="73" t="str">
        <f t="shared" si="6"/>
        <v/>
      </c>
      <c r="N17" s="43" t="str">
        <f t="shared" si="7"/>
        <v/>
      </c>
      <c r="O17" s="71"/>
      <c r="P17" s="43" t="str">
        <f t="shared" si="8"/>
        <v/>
      </c>
      <c r="Q17" s="45" t="str">
        <f t="shared" si="9"/>
        <v/>
      </c>
      <c r="R17" s="21"/>
      <c r="S17" s="589"/>
      <c r="T17" s="589"/>
      <c r="U17" s="12"/>
      <c r="V17" s="12"/>
      <c r="W17" s="12"/>
    </row>
    <row r="18" spans="1:30" ht="15.75" customHeight="1">
      <c r="B18" s="201"/>
      <c r="C18" s="12"/>
      <c r="D18" s="12"/>
      <c r="E18" s="12"/>
      <c r="F18" s="582"/>
      <c r="G18" s="583"/>
      <c r="H18" s="584"/>
      <c r="I18" s="76"/>
      <c r="J18" s="67"/>
      <c r="K18" s="77" t="str">
        <f t="shared" si="5"/>
        <v/>
      </c>
      <c r="L18" s="72">
        <f t="shared" si="10"/>
        <v>0</v>
      </c>
      <c r="M18" s="73" t="str">
        <f t="shared" si="6"/>
        <v/>
      </c>
      <c r="N18" s="43" t="str">
        <f t="shared" si="7"/>
        <v/>
      </c>
      <c r="O18" s="79">
        <v>0</v>
      </c>
      <c r="P18" s="43" t="str">
        <f t="shared" si="8"/>
        <v/>
      </c>
      <c r="Q18" s="45" t="str">
        <f t="shared" si="9"/>
        <v/>
      </c>
      <c r="R18" s="21"/>
      <c r="S18" s="59">
        <f>'Ялта, Ленина, 18'!S18*График!AJ27/График!AJ31</f>
        <v>173801.48548278189</v>
      </c>
      <c r="T18" s="60">
        <f>K48</f>
        <v>0</v>
      </c>
      <c r="U18" s="12"/>
      <c r="V18" s="12"/>
      <c r="W18" s="12"/>
    </row>
    <row r="19" spans="1:30" ht="15.75" customHeight="1">
      <c r="B19" s="201"/>
      <c r="C19" s="12"/>
      <c r="D19" s="12"/>
      <c r="E19" s="12"/>
      <c r="F19" s="582"/>
      <c r="G19" s="583"/>
      <c r="H19" s="584"/>
      <c r="I19" s="76"/>
      <c r="J19" s="67">
        <f>M48</f>
        <v>0</v>
      </c>
      <c r="K19" s="77" t="str">
        <f t="shared" si="5"/>
        <v/>
      </c>
      <c r="L19" s="72">
        <f t="shared" si="10"/>
        <v>0</v>
      </c>
      <c r="M19" s="73" t="str">
        <f t="shared" si="6"/>
        <v/>
      </c>
      <c r="N19" s="43" t="str">
        <f t="shared" si="7"/>
        <v/>
      </c>
      <c r="O19" s="71">
        <v>0</v>
      </c>
      <c r="P19" s="43" t="str">
        <f t="shared" si="8"/>
        <v/>
      </c>
      <c r="Q19" s="45" t="str">
        <f t="shared" si="9"/>
        <v/>
      </c>
      <c r="R19" s="21"/>
      <c r="S19" s="62">
        <f>T18/S18</f>
        <v>0</v>
      </c>
      <c r="T19" s="62">
        <f>S19/J14*I14</f>
        <v>0</v>
      </c>
      <c r="U19" s="12"/>
      <c r="V19" s="12"/>
      <c r="W19" s="12"/>
    </row>
    <row r="20" spans="1:30" ht="15.75" customHeight="1">
      <c r="B20" s="201"/>
      <c r="C20" s="12"/>
      <c r="D20" s="12"/>
      <c r="E20" s="12"/>
      <c r="F20" s="594" t="s">
        <v>24</v>
      </c>
      <c r="G20" s="594"/>
      <c r="H20" s="594"/>
      <c r="I20" s="217">
        <f>'Ялта, Ленина, 18'!I20</f>
        <v>0.25</v>
      </c>
      <c r="J20" s="218" t="str">
        <f>N48</f>
        <v/>
      </c>
      <c r="K20" s="218" t="e">
        <f>J20/I20</f>
        <v>#VALUE!</v>
      </c>
      <c r="L20" s="220">
        <f>IF(AND(K8&lt;&gt;0,I14&lt;&gt;0,I48&lt;&gt;0),(I48*N48+(I48/K8-I48)*I20)/(I48/K8),0)</f>
        <v>0</v>
      </c>
      <c r="M20" s="83" t="str">
        <f t="shared" si="6"/>
        <v/>
      </c>
      <c r="N20" s="84" t="str">
        <f t="shared" si="7"/>
        <v/>
      </c>
      <c r="O20" s="85"/>
      <c r="P20" s="86" t="str">
        <f t="shared" si="8"/>
        <v/>
      </c>
      <c r="Q20" s="87" t="str">
        <f t="shared" si="9"/>
        <v/>
      </c>
      <c r="R20" s="21"/>
      <c r="S20" s="21"/>
      <c r="T20" s="12"/>
      <c r="U20" s="12"/>
      <c r="V20" s="12"/>
      <c r="W20" s="12"/>
    </row>
    <row r="21" spans="1:30" ht="15.75" customHeight="1">
      <c r="B21" s="20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1"/>
      <c r="S21" s="21"/>
      <c r="T21" s="12"/>
      <c r="U21" s="12"/>
      <c r="V21" s="12"/>
      <c r="W21" s="12"/>
    </row>
    <row r="22" spans="1:30" ht="16.5" customHeight="1">
      <c r="B22" s="674" t="s">
        <v>25</v>
      </c>
      <c r="C22" s="674"/>
      <c r="D22" s="674"/>
      <c r="E22" s="674"/>
      <c r="F22" s="674"/>
      <c r="G22" s="674"/>
      <c r="H22" s="674"/>
      <c r="I22" s="674"/>
      <c r="J22" s="674"/>
      <c r="K22" s="674"/>
      <c r="L22" s="674"/>
      <c r="M22" s="674"/>
      <c r="N22" s="674"/>
      <c r="O22" s="675" t="s">
        <v>26</v>
      </c>
      <c r="P22" s="674" t="s">
        <v>27</v>
      </c>
      <c r="Q22" s="674"/>
      <c r="R22" s="674"/>
      <c r="S22" s="674"/>
      <c r="T22" s="674"/>
      <c r="U22" s="674"/>
      <c r="V22" s="674"/>
      <c r="W22" s="674"/>
    </row>
    <row r="23" spans="1:30" ht="36">
      <c r="B23" s="221" t="s">
        <v>29</v>
      </c>
      <c r="C23" s="221" t="s">
        <v>30</v>
      </c>
      <c r="D23" s="221" t="s">
        <v>31</v>
      </c>
      <c r="E23" s="221" t="s">
        <v>32</v>
      </c>
      <c r="F23" s="221" t="s">
        <v>33</v>
      </c>
      <c r="G23" s="221" t="s">
        <v>34</v>
      </c>
      <c r="H23" s="221" t="s">
        <v>35</v>
      </c>
      <c r="I23" s="221" t="s">
        <v>23</v>
      </c>
      <c r="J23" s="221" t="s">
        <v>36</v>
      </c>
      <c r="K23" s="90" t="s">
        <v>22</v>
      </c>
      <c r="L23" s="90" t="s">
        <v>15</v>
      </c>
      <c r="M23" s="222" t="s">
        <v>37</v>
      </c>
      <c r="N23" s="221" t="s">
        <v>38</v>
      </c>
      <c r="O23" s="675"/>
      <c r="P23" s="221" t="s">
        <v>39</v>
      </c>
      <c r="Q23" s="221" t="s">
        <v>40</v>
      </c>
      <c r="R23" s="221" t="s">
        <v>41</v>
      </c>
      <c r="S23" s="221" t="s">
        <v>42</v>
      </c>
      <c r="T23" s="221" t="s">
        <v>43</v>
      </c>
      <c r="U23" s="221" t="s">
        <v>44</v>
      </c>
      <c r="V23" s="223" t="s">
        <v>45</v>
      </c>
      <c r="W23" s="223" t="s">
        <v>46</v>
      </c>
      <c r="X23" s="224"/>
    </row>
    <row r="24" spans="1:30">
      <c r="B24" s="225">
        <v>1</v>
      </c>
      <c r="C24" s="226">
        <v>2</v>
      </c>
      <c r="D24" s="225">
        <v>3</v>
      </c>
      <c r="E24" s="225">
        <v>4</v>
      </c>
      <c r="F24" s="225">
        <v>5</v>
      </c>
      <c r="G24" s="225">
        <v>6</v>
      </c>
      <c r="H24" s="225">
        <v>7</v>
      </c>
      <c r="I24" s="225">
        <v>8</v>
      </c>
      <c r="J24" s="225">
        <v>9</v>
      </c>
      <c r="K24" s="225">
        <v>10</v>
      </c>
      <c r="L24" s="225">
        <v>11</v>
      </c>
      <c r="M24" s="225">
        <v>12</v>
      </c>
      <c r="N24" s="225">
        <v>13</v>
      </c>
      <c r="O24" s="675"/>
      <c r="P24" s="227">
        <v>1</v>
      </c>
      <c r="Q24" s="227">
        <v>2</v>
      </c>
      <c r="R24" s="227">
        <v>3</v>
      </c>
      <c r="S24" s="227">
        <v>4</v>
      </c>
      <c r="T24" s="227">
        <v>5</v>
      </c>
      <c r="U24" s="227">
        <v>6</v>
      </c>
      <c r="V24" s="227">
        <v>10</v>
      </c>
      <c r="W24" s="227">
        <v>11</v>
      </c>
    </row>
    <row r="25" spans="1:30">
      <c r="A25" s="95">
        <v>1</v>
      </c>
      <c r="B25" s="96"/>
      <c r="C25" s="97"/>
      <c r="D25" s="98"/>
      <c r="E25" s="99"/>
      <c r="F25" s="99" t="str">
        <f t="shared" ref="F25:F48" si="11">IF(AND(E25&lt;&gt;"",E25&lt;&gt;0),D25/E25,"")</f>
        <v/>
      </c>
      <c r="G25" s="99"/>
      <c r="H25" s="99" t="str">
        <f t="shared" ref="H25:H48" si="12">IF(AND(G25&lt;&gt;"",G25&lt;&gt;0),D25/G25,"")</f>
        <v/>
      </c>
      <c r="I25" s="99"/>
      <c r="J25" s="98" t="str">
        <f t="shared" ref="J25:J48" si="13">IF(AND(G25&lt;&gt;"",G25&lt;&gt;0),E25/G25,"")</f>
        <v/>
      </c>
      <c r="K25" s="99"/>
      <c r="L25" s="99"/>
      <c r="M25" s="99"/>
      <c r="N25" s="100" t="str">
        <f t="shared" ref="N25:N48" si="14">IF(AND(I25&lt;&gt;"",I25&lt;&gt;0),G25/I25,"")</f>
        <v/>
      </c>
      <c r="O25" s="101">
        <f t="shared" ref="O25:O48" si="15">D25/P25</f>
        <v>0</v>
      </c>
      <c r="P25" s="102">
        <f t="shared" ref="P25:P44" si="16">$I$8*V25*W25/SUMPRODUCT($W$25:$W$55,$V$25:$V$55)</f>
        <v>11644.958779900924</v>
      </c>
      <c r="Q25" s="103">
        <f t="shared" ref="Q25:Q44" si="17">$I$9*V25*W25/SUMPRODUCT($W$25:$W$55,$V$25:$V$55)</f>
        <v>1.9408264633168208</v>
      </c>
      <c r="R25" s="103">
        <f t="shared" ref="R25:R47" si="18">IF($I$12="","",Q25/$I$12)</f>
        <v>1.1416626254804829</v>
      </c>
      <c r="S25" s="102" t="e">
        <f t="shared" ref="S25:S26" ca="1" si="19">IF(W25&lt;&gt;"",IF(D25&lt;&gt;"",D25,($I$8-SUM($S24:S$25))*V25*W25/SUMPRODUCT($W25:$W$55,$V25:$V$55)),"")</f>
        <v>#REF!</v>
      </c>
      <c r="T25" s="103" t="e">
        <f t="shared" ref="T25:T26" ca="1" si="20">IF(W25&lt;&gt;"",IF(E25&lt;&gt;"",E25,($I$9-SUM($T24:T$25))*V25*W25/SUMPRODUCT($W25:$W$55,$V25:$V$55)),"")</f>
        <v>#REF!</v>
      </c>
      <c r="U25" s="103" t="e">
        <f t="shared" ref="U25:U26" ca="1" si="21">IF(W25&lt;&gt;"",IF($I$12&lt;&gt;"",IF(G25&lt;&gt;"",G25,($I$9/$I$12-SUM($U24:U$25))*V25*W25/SUMPRODUCT($W25:$W$55,$V25:$V$55)),""),"")</f>
        <v>#REF!</v>
      </c>
      <c r="V25" s="104">
        <v>1.2</v>
      </c>
      <c r="W25" s="104">
        <v>1.2</v>
      </c>
      <c r="X25" s="107"/>
      <c r="Y25" s="106"/>
      <c r="Z25" s="2"/>
      <c r="AA25" s="2"/>
      <c r="AB25" s="2"/>
      <c r="AC25" s="2"/>
      <c r="AD25" s="2"/>
    </row>
    <row r="26" spans="1:30">
      <c r="A26" s="95">
        <v>2</v>
      </c>
      <c r="B26" s="96"/>
      <c r="C26" s="97"/>
      <c r="D26" s="98"/>
      <c r="E26" s="99"/>
      <c r="F26" s="99" t="str">
        <f t="shared" si="11"/>
        <v/>
      </c>
      <c r="G26" s="99"/>
      <c r="H26" s="99" t="str">
        <f t="shared" si="12"/>
        <v/>
      </c>
      <c r="I26" s="99"/>
      <c r="J26" s="98" t="str">
        <f t="shared" si="13"/>
        <v/>
      </c>
      <c r="K26" s="99"/>
      <c r="L26" s="99"/>
      <c r="M26" s="99"/>
      <c r="N26" s="100" t="str">
        <f t="shared" si="14"/>
        <v/>
      </c>
      <c r="O26" s="101">
        <f t="shared" si="15"/>
        <v>0</v>
      </c>
      <c r="P26" s="102">
        <f t="shared" si="16"/>
        <v>8086.7769304867534</v>
      </c>
      <c r="Q26" s="103">
        <f t="shared" si="17"/>
        <v>1.3477961550811255</v>
      </c>
      <c r="R26" s="103">
        <f t="shared" si="18"/>
        <v>0.79282126769477967</v>
      </c>
      <c r="S26" s="102" t="e">
        <f t="shared" ca="1" si="19"/>
        <v>#REF!</v>
      </c>
      <c r="T26" s="103" t="e">
        <f t="shared" ca="1" si="20"/>
        <v>#REF!</v>
      </c>
      <c r="U26" s="103" t="e">
        <f t="shared" ca="1" si="21"/>
        <v>#REF!</v>
      </c>
      <c r="V26" s="104">
        <v>1</v>
      </c>
      <c r="W26" s="104">
        <v>1</v>
      </c>
      <c r="X26" s="107"/>
      <c r="Y26" s="106"/>
      <c r="Z26" s="2"/>
      <c r="AA26" s="2"/>
      <c r="AB26" s="2"/>
      <c r="AC26" s="2"/>
      <c r="AD26" s="2"/>
    </row>
    <row r="27" spans="1:30">
      <c r="A27" s="95">
        <v>3</v>
      </c>
      <c r="B27" s="96"/>
      <c r="C27" s="97"/>
      <c r="D27" s="98"/>
      <c r="E27" s="99"/>
      <c r="F27" s="99"/>
      <c r="G27" s="99"/>
      <c r="H27" s="99" t="str">
        <f t="shared" si="12"/>
        <v/>
      </c>
      <c r="I27" s="99"/>
      <c r="J27" s="98" t="str">
        <f t="shared" si="13"/>
        <v/>
      </c>
      <c r="K27" s="99"/>
      <c r="L27" s="99"/>
      <c r="M27" s="99"/>
      <c r="N27" s="100" t="str">
        <f t="shared" si="14"/>
        <v/>
      </c>
      <c r="O27" s="101">
        <f t="shared" si="15"/>
        <v>0</v>
      </c>
      <c r="P27" s="102">
        <f t="shared" si="16"/>
        <v>8086.7769304867534</v>
      </c>
      <c r="Q27" s="103">
        <f t="shared" si="17"/>
        <v>1.3477961550811255</v>
      </c>
      <c r="R27" s="103">
        <f t="shared" si="18"/>
        <v>0.79282126769477967</v>
      </c>
      <c r="S27" s="102" t="e">
        <f t="shared" ref="S27:S44" ca="1" si="22">IF(W27&lt;&gt;"",IF(D27&lt;&gt;"",D27,($I$8-SUM($S$25:S26))*V27*W27/SUMPRODUCT($W27:$W$55,$V27:$V$55)),"")</f>
        <v>#REF!</v>
      </c>
      <c r="T27" s="103" t="e">
        <f t="shared" ref="T27:T29" ca="1" si="23">IF(W27&lt;&gt;"",IF(E27&lt;&gt;"",E27,($I$9-SUM($T$25:T26))*V27*W27/SUMPRODUCT($W27:$W$55,$V27:$V$55)),"")</f>
        <v>#REF!</v>
      </c>
      <c r="U27" s="103" t="e">
        <f t="shared" ref="U27:U44" ca="1" si="24">IF(W27&lt;&gt;"",IF($I$12&lt;&gt;"",IF(G27&lt;&gt;"",G27,($I$9/$I$12-SUM($U$25:U26))*V27*W27/SUMPRODUCT($W27:$W$55,$V27:$V$55)),""),"")</f>
        <v>#REF!</v>
      </c>
      <c r="V27" s="104">
        <v>1</v>
      </c>
      <c r="W27" s="104">
        <v>1</v>
      </c>
      <c r="X27" s="107"/>
      <c r="Y27" s="106"/>
      <c r="Z27" s="111"/>
      <c r="AA27" s="2"/>
      <c r="AB27" s="2"/>
      <c r="AC27" s="2"/>
      <c r="AD27" s="2"/>
    </row>
    <row r="28" spans="1:30">
      <c r="A28" s="95">
        <v>4</v>
      </c>
      <c r="B28" s="96"/>
      <c r="C28" s="97"/>
      <c r="D28" s="98"/>
      <c r="E28" s="99"/>
      <c r="F28" s="99"/>
      <c r="G28" s="99"/>
      <c r="H28" s="99" t="str">
        <f t="shared" si="12"/>
        <v/>
      </c>
      <c r="I28" s="99"/>
      <c r="J28" s="98" t="str">
        <f t="shared" si="13"/>
        <v/>
      </c>
      <c r="K28" s="99"/>
      <c r="L28" s="99"/>
      <c r="M28" s="99"/>
      <c r="N28" s="100" t="str">
        <f t="shared" si="14"/>
        <v/>
      </c>
      <c r="O28" s="101">
        <f t="shared" si="15"/>
        <v>0</v>
      </c>
      <c r="P28" s="102">
        <f t="shared" si="16"/>
        <v>8086.7769304867534</v>
      </c>
      <c r="Q28" s="103">
        <f t="shared" si="17"/>
        <v>1.3477961550811255</v>
      </c>
      <c r="R28" s="103">
        <f t="shared" si="18"/>
        <v>0.79282126769477967</v>
      </c>
      <c r="S28" s="102" t="e">
        <f t="shared" ca="1" si="22"/>
        <v>#REF!</v>
      </c>
      <c r="T28" s="103" t="e">
        <f t="shared" ca="1" si="23"/>
        <v>#REF!</v>
      </c>
      <c r="U28" s="103" t="e">
        <f t="shared" ca="1" si="24"/>
        <v>#REF!</v>
      </c>
      <c r="V28" s="104">
        <v>1</v>
      </c>
      <c r="W28" s="104">
        <v>1</v>
      </c>
      <c r="X28" s="107"/>
      <c r="Y28" s="106"/>
      <c r="Z28" s="111"/>
    </row>
    <row r="29" spans="1:30">
      <c r="A29" s="95">
        <v>5</v>
      </c>
      <c r="B29" s="96"/>
      <c r="C29" s="97"/>
      <c r="D29" s="98"/>
      <c r="E29" s="108"/>
      <c r="F29" s="99" t="str">
        <f t="shared" si="11"/>
        <v/>
      </c>
      <c r="G29" s="108"/>
      <c r="H29" s="99" t="str">
        <f t="shared" si="12"/>
        <v/>
      </c>
      <c r="I29" s="108"/>
      <c r="J29" s="98" t="str">
        <f t="shared" si="13"/>
        <v/>
      </c>
      <c r="K29" s="99"/>
      <c r="L29" s="99"/>
      <c r="M29" s="99"/>
      <c r="N29" s="100" t="str">
        <f t="shared" si="14"/>
        <v/>
      </c>
      <c r="O29" s="101">
        <f t="shared" si="15"/>
        <v>0</v>
      </c>
      <c r="P29" s="102">
        <f t="shared" si="16"/>
        <v>8086.7769304867534</v>
      </c>
      <c r="Q29" s="103">
        <f t="shared" si="17"/>
        <v>1.3477961550811255</v>
      </c>
      <c r="R29" s="103">
        <f t="shared" si="18"/>
        <v>0.79282126769477967</v>
      </c>
      <c r="S29" s="102" t="e">
        <f t="shared" ca="1" si="22"/>
        <v>#REF!</v>
      </c>
      <c r="T29" s="103" t="e">
        <f t="shared" ca="1" si="23"/>
        <v>#REF!</v>
      </c>
      <c r="U29" s="103" t="e">
        <f t="shared" ca="1" si="24"/>
        <v>#REF!</v>
      </c>
      <c r="V29" s="104">
        <v>1</v>
      </c>
      <c r="W29" s="104">
        <v>1</v>
      </c>
      <c r="X29" s="106"/>
      <c r="Y29" s="106"/>
      <c r="Z29" s="2"/>
      <c r="AA29" s="2"/>
      <c r="AB29" s="2"/>
      <c r="AC29" s="2"/>
      <c r="AD29" s="2"/>
    </row>
    <row r="30" spans="1:30">
      <c r="A30" s="95">
        <v>6</v>
      </c>
      <c r="B30" s="96"/>
      <c r="C30" s="97"/>
      <c r="D30" s="272"/>
      <c r="E30" s="99"/>
      <c r="F30" s="108" t="str">
        <f t="shared" si="11"/>
        <v/>
      </c>
      <c r="G30" s="99"/>
      <c r="H30" s="108" t="str">
        <f t="shared" si="12"/>
        <v/>
      </c>
      <c r="I30" s="99"/>
      <c r="J30" s="272" t="str">
        <f t="shared" si="13"/>
        <v/>
      </c>
      <c r="K30" s="99"/>
      <c r="L30" s="99"/>
      <c r="M30" s="99"/>
      <c r="N30" s="100" t="str">
        <f t="shared" si="14"/>
        <v/>
      </c>
      <c r="O30" s="101">
        <f t="shared" si="15"/>
        <v>0</v>
      </c>
      <c r="P30" s="102">
        <f t="shared" si="16"/>
        <v>8086.7769304867534</v>
      </c>
      <c r="Q30" s="103">
        <f t="shared" si="17"/>
        <v>1.3477961550811255</v>
      </c>
      <c r="R30" s="103">
        <f t="shared" si="18"/>
        <v>0.79282126769477967</v>
      </c>
      <c r="S30" s="102" t="e">
        <f t="shared" ca="1" si="22"/>
        <v>#REF!</v>
      </c>
      <c r="T30" s="103" t="e">
        <f ca="1">IF(W30&lt;&gt;"",IF(E29&lt;&gt;"",E29,($I$9-SUM($T$25:T29))*V30*W30/SUMPRODUCT($W30:$W$55,$V30:$V$55)),"")</f>
        <v>#REF!</v>
      </c>
      <c r="U30" s="103" t="e">
        <f t="shared" ca="1" si="24"/>
        <v>#REF!</v>
      </c>
      <c r="V30" s="104">
        <v>1</v>
      </c>
      <c r="W30" s="104">
        <v>1</v>
      </c>
      <c r="X30" s="106"/>
      <c r="Y30" s="106"/>
      <c r="Z30" s="2"/>
      <c r="AA30" s="2"/>
      <c r="AB30" s="2"/>
      <c r="AC30" s="2"/>
      <c r="AD30" s="2"/>
    </row>
    <row r="31" spans="1:30">
      <c r="A31" s="95">
        <v>7</v>
      </c>
      <c r="B31" s="96"/>
      <c r="C31" s="97"/>
      <c r="D31" s="98"/>
      <c r="E31" s="108"/>
      <c r="F31" s="99" t="str">
        <f t="shared" si="11"/>
        <v/>
      </c>
      <c r="G31" s="108"/>
      <c r="H31" s="99" t="str">
        <f t="shared" si="12"/>
        <v/>
      </c>
      <c r="I31" s="108"/>
      <c r="J31" s="98" t="str">
        <f t="shared" si="13"/>
        <v/>
      </c>
      <c r="K31" s="99"/>
      <c r="L31" s="99"/>
      <c r="M31" s="99"/>
      <c r="N31" s="100" t="str">
        <f t="shared" si="14"/>
        <v/>
      </c>
      <c r="O31" s="101">
        <f t="shared" si="15"/>
        <v>0</v>
      </c>
      <c r="P31" s="102">
        <f t="shared" si="16"/>
        <v>8086.7769304867534</v>
      </c>
      <c r="Q31" s="103">
        <f t="shared" si="17"/>
        <v>1.3477961550811255</v>
      </c>
      <c r="R31" s="103">
        <f t="shared" si="18"/>
        <v>0.79282126769477967</v>
      </c>
      <c r="S31" s="102" t="e">
        <f t="shared" ca="1" si="22"/>
        <v>#REF!</v>
      </c>
      <c r="T31" s="103" t="e">
        <f t="shared" ref="T31:T43" ca="1" si="25">IF(W31&lt;&gt;"",IF(E31&lt;&gt;"",E31,($I$9-SUM($T$25:T30))*V31*W31/SUMPRODUCT($W31:$W$55,$V31:$V$55)),"")</f>
        <v>#REF!</v>
      </c>
      <c r="U31" s="103" t="e">
        <f t="shared" ca="1" si="24"/>
        <v>#REF!</v>
      </c>
      <c r="V31" s="104">
        <v>1</v>
      </c>
      <c r="W31" s="104">
        <v>1</v>
      </c>
      <c r="X31" s="106"/>
      <c r="Y31" s="106"/>
      <c r="Z31" s="2"/>
      <c r="AA31" s="2"/>
      <c r="AB31" s="2"/>
      <c r="AC31" s="2"/>
      <c r="AD31" s="2"/>
    </row>
    <row r="32" spans="1:30">
      <c r="A32" s="95">
        <v>8</v>
      </c>
      <c r="B32" s="96"/>
      <c r="C32" s="97"/>
      <c r="D32" s="272"/>
      <c r="E32" s="99"/>
      <c r="F32" s="99" t="str">
        <f t="shared" si="11"/>
        <v/>
      </c>
      <c r="G32" s="99"/>
      <c r="H32" s="108" t="str">
        <f t="shared" si="12"/>
        <v/>
      </c>
      <c r="I32" s="99"/>
      <c r="J32" s="272" t="str">
        <f t="shared" si="13"/>
        <v/>
      </c>
      <c r="K32" s="99"/>
      <c r="L32" s="99"/>
      <c r="M32" s="99"/>
      <c r="N32" s="100" t="str">
        <f t="shared" si="14"/>
        <v/>
      </c>
      <c r="O32" s="101">
        <f t="shared" si="15"/>
        <v>0</v>
      </c>
      <c r="P32" s="102">
        <f t="shared" si="16"/>
        <v>8086.7769304867534</v>
      </c>
      <c r="Q32" s="103">
        <f t="shared" si="17"/>
        <v>1.3477961550811255</v>
      </c>
      <c r="R32" s="103">
        <f t="shared" si="18"/>
        <v>0.79282126769477967</v>
      </c>
      <c r="S32" s="102" t="e">
        <f t="shared" ca="1" si="22"/>
        <v>#REF!</v>
      </c>
      <c r="T32" s="103" t="e">
        <f t="shared" ca="1" si="25"/>
        <v>#REF!</v>
      </c>
      <c r="U32" s="103" t="e">
        <f t="shared" ca="1" si="24"/>
        <v>#REF!</v>
      </c>
      <c r="V32" s="104">
        <v>1</v>
      </c>
      <c r="W32" s="104">
        <v>1</v>
      </c>
      <c r="X32" s="106"/>
      <c r="Y32" s="106"/>
      <c r="Z32" s="2"/>
      <c r="AA32" s="2"/>
      <c r="AB32" s="2"/>
      <c r="AC32" s="2"/>
      <c r="AD32" s="2"/>
    </row>
    <row r="33" spans="1:30" s="234" customFormat="1">
      <c r="A33" s="95">
        <v>9</v>
      </c>
      <c r="B33" s="236"/>
      <c r="C33" s="237"/>
      <c r="D33" s="232"/>
      <c r="E33" s="238"/>
      <c r="F33" s="238" t="str">
        <f t="shared" si="11"/>
        <v/>
      </c>
      <c r="G33" s="238"/>
      <c r="H33" s="238" t="str">
        <f t="shared" si="12"/>
        <v/>
      </c>
      <c r="I33" s="238"/>
      <c r="J33" s="232" t="str">
        <f t="shared" si="13"/>
        <v/>
      </c>
      <c r="K33" s="238"/>
      <c r="L33" s="238"/>
      <c r="M33" s="238"/>
      <c r="N33" s="239" t="str">
        <f t="shared" si="14"/>
        <v/>
      </c>
      <c r="O33" s="240">
        <f t="shared" si="15"/>
        <v>0</v>
      </c>
      <c r="P33" s="241">
        <f t="shared" si="16"/>
        <v>8086.7769304867534</v>
      </c>
      <c r="Q33" s="242">
        <f t="shared" si="17"/>
        <v>1.3477961550811255</v>
      </c>
      <c r="R33" s="242">
        <f t="shared" si="18"/>
        <v>0.79282126769477967</v>
      </c>
      <c r="S33" s="241" t="e">
        <f t="shared" ca="1" si="22"/>
        <v>#REF!</v>
      </c>
      <c r="T33" s="242" t="e">
        <f t="shared" ca="1" si="25"/>
        <v>#REF!</v>
      </c>
      <c r="U33" s="242" t="e">
        <f t="shared" ca="1" si="24"/>
        <v>#REF!</v>
      </c>
      <c r="V33" s="233">
        <v>1</v>
      </c>
      <c r="W33" s="233">
        <v>1</v>
      </c>
      <c r="X33" s="243"/>
      <c r="Y33" s="243"/>
      <c r="Z33" s="244"/>
      <c r="AA33" s="244"/>
      <c r="AB33" s="244"/>
      <c r="AC33" s="244"/>
      <c r="AD33" s="244"/>
    </row>
    <row r="34" spans="1:30" s="234" customFormat="1">
      <c r="A34" s="95">
        <v>10</v>
      </c>
      <c r="B34" s="236"/>
      <c r="C34" s="273"/>
      <c r="D34" s="232"/>
      <c r="E34" s="245"/>
      <c r="F34" s="238" t="str">
        <f t="shared" si="11"/>
        <v/>
      </c>
      <c r="G34" s="245"/>
      <c r="H34" s="238" t="str">
        <f t="shared" si="12"/>
        <v/>
      </c>
      <c r="I34" s="245"/>
      <c r="J34" s="232" t="str">
        <f t="shared" si="13"/>
        <v/>
      </c>
      <c r="K34" s="238"/>
      <c r="L34" s="238"/>
      <c r="M34" s="238"/>
      <c r="N34" s="239" t="str">
        <f t="shared" si="14"/>
        <v/>
      </c>
      <c r="O34" s="240">
        <f t="shared" si="15"/>
        <v>0</v>
      </c>
      <c r="P34" s="241">
        <f t="shared" si="16"/>
        <v>8086.7769304867534</v>
      </c>
      <c r="Q34" s="242">
        <f t="shared" si="17"/>
        <v>1.3477961550811255</v>
      </c>
      <c r="R34" s="242">
        <f t="shared" si="18"/>
        <v>0.79282126769477967</v>
      </c>
      <c r="S34" s="241" t="e">
        <f t="shared" ca="1" si="22"/>
        <v>#REF!</v>
      </c>
      <c r="T34" s="242" t="e">
        <f t="shared" ca="1" si="25"/>
        <v>#REF!</v>
      </c>
      <c r="U34" s="242" t="e">
        <f t="shared" ca="1" si="24"/>
        <v>#REF!</v>
      </c>
      <c r="V34" s="233">
        <v>1</v>
      </c>
      <c r="W34" s="233">
        <v>1</v>
      </c>
      <c r="X34" s="243"/>
      <c r="Y34" s="243"/>
      <c r="Z34" s="246"/>
      <c r="AA34" s="244"/>
      <c r="AB34" s="244"/>
      <c r="AC34" s="244"/>
      <c r="AD34" s="244"/>
    </row>
    <row r="35" spans="1:30" s="234" customFormat="1">
      <c r="A35" s="95">
        <v>11</v>
      </c>
      <c r="B35" s="236"/>
      <c r="C35" s="237"/>
      <c r="D35" s="248"/>
      <c r="E35" s="238"/>
      <c r="F35" s="245" t="str">
        <f t="shared" si="11"/>
        <v/>
      </c>
      <c r="G35" s="238"/>
      <c r="H35" s="245" t="str">
        <f t="shared" si="12"/>
        <v/>
      </c>
      <c r="I35" s="238"/>
      <c r="J35" s="248" t="str">
        <f t="shared" si="13"/>
        <v/>
      </c>
      <c r="K35" s="238"/>
      <c r="L35" s="238"/>
      <c r="M35" s="238"/>
      <c r="N35" s="239" t="str">
        <f t="shared" si="14"/>
        <v/>
      </c>
      <c r="O35" s="240">
        <f t="shared" si="15"/>
        <v>0</v>
      </c>
      <c r="P35" s="241">
        <f t="shared" si="16"/>
        <v>8086.7769304867534</v>
      </c>
      <c r="Q35" s="242">
        <f t="shared" si="17"/>
        <v>1.3477961550811255</v>
      </c>
      <c r="R35" s="242">
        <f t="shared" si="18"/>
        <v>0.79282126769477967</v>
      </c>
      <c r="S35" s="241" t="e">
        <f t="shared" ca="1" si="22"/>
        <v>#REF!</v>
      </c>
      <c r="T35" s="242" t="e">
        <f t="shared" ca="1" si="25"/>
        <v>#REF!</v>
      </c>
      <c r="U35" s="242" t="e">
        <f t="shared" ca="1" si="24"/>
        <v>#REF!</v>
      </c>
      <c r="V35" s="233">
        <v>1</v>
      </c>
      <c r="W35" s="233">
        <v>1</v>
      </c>
      <c r="X35" s="243"/>
      <c r="Y35" s="243"/>
      <c r="Z35" s="246"/>
      <c r="AA35" s="244"/>
      <c r="AB35" s="244"/>
      <c r="AC35" s="244"/>
      <c r="AD35" s="244"/>
    </row>
    <row r="36" spans="1:30" s="234" customFormat="1">
      <c r="A36" s="95">
        <v>12</v>
      </c>
      <c r="B36" s="236"/>
      <c r="C36" s="273"/>
      <c r="D36" s="232"/>
      <c r="E36" s="245"/>
      <c r="F36" s="238" t="str">
        <f t="shared" si="11"/>
        <v/>
      </c>
      <c r="G36" s="238"/>
      <c r="H36" s="238" t="str">
        <f t="shared" si="12"/>
        <v/>
      </c>
      <c r="I36" s="245"/>
      <c r="J36" s="232" t="str">
        <f t="shared" si="13"/>
        <v/>
      </c>
      <c r="K36" s="238"/>
      <c r="L36" s="238"/>
      <c r="M36" s="238"/>
      <c r="N36" s="239" t="str">
        <f t="shared" si="14"/>
        <v/>
      </c>
      <c r="O36" s="240">
        <f t="shared" si="15"/>
        <v>0</v>
      </c>
      <c r="P36" s="241">
        <f t="shared" si="16"/>
        <v>8086.7769304867534</v>
      </c>
      <c r="Q36" s="242">
        <f t="shared" si="17"/>
        <v>1.3477961550811255</v>
      </c>
      <c r="R36" s="242">
        <f t="shared" si="18"/>
        <v>0.79282126769477967</v>
      </c>
      <c r="S36" s="241" t="e">
        <f t="shared" ca="1" si="22"/>
        <v>#REF!</v>
      </c>
      <c r="T36" s="242" t="e">
        <f t="shared" ca="1" si="25"/>
        <v>#REF!</v>
      </c>
      <c r="U36" s="242" t="e">
        <f t="shared" ca="1" si="24"/>
        <v>#REF!</v>
      </c>
      <c r="V36" s="233">
        <v>1</v>
      </c>
      <c r="W36" s="233">
        <v>1</v>
      </c>
      <c r="X36" s="243"/>
      <c r="Y36" s="243"/>
      <c r="Z36" s="246"/>
      <c r="AA36" s="244"/>
      <c r="AB36" s="244"/>
      <c r="AC36" s="244"/>
      <c r="AD36" s="244"/>
    </row>
    <row r="37" spans="1:30" s="234" customFormat="1">
      <c r="A37" s="95">
        <v>13</v>
      </c>
      <c r="B37" s="236"/>
      <c r="C37" s="237"/>
      <c r="D37" s="248"/>
      <c r="E37" s="238"/>
      <c r="F37" s="238" t="str">
        <f t="shared" si="11"/>
        <v/>
      </c>
      <c r="G37" s="238"/>
      <c r="H37" s="245" t="str">
        <f t="shared" si="12"/>
        <v/>
      </c>
      <c r="I37" s="238"/>
      <c r="J37" s="248" t="str">
        <f t="shared" si="13"/>
        <v/>
      </c>
      <c r="K37" s="238"/>
      <c r="L37" s="238"/>
      <c r="M37" s="238"/>
      <c r="N37" s="239" t="str">
        <f t="shared" si="14"/>
        <v/>
      </c>
      <c r="O37" s="240">
        <f t="shared" si="15"/>
        <v>0</v>
      </c>
      <c r="P37" s="241">
        <f t="shared" si="16"/>
        <v>8086.7769304867534</v>
      </c>
      <c r="Q37" s="242">
        <f t="shared" si="17"/>
        <v>1.3477961550811255</v>
      </c>
      <c r="R37" s="242">
        <f t="shared" si="18"/>
        <v>0.79282126769477967</v>
      </c>
      <c r="S37" s="241" t="e">
        <f t="shared" ca="1" si="22"/>
        <v>#REF!</v>
      </c>
      <c r="T37" s="242" t="e">
        <f t="shared" ca="1" si="25"/>
        <v>#REF!</v>
      </c>
      <c r="U37" s="242" t="e">
        <f t="shared" ca="1" si="24"/>
        <v>#REF!</v>
      </c>
      <c r="V37" s="233">
        <v>1</v>
      </c>
      <c r="W37" s="233">
        <v>1</v>
      </c>
      <c r="X37" s="243"/>
      <c r="Y37" s="243"/>
      <c r="Z37" s="246"/>
      <c r="AA37" s="244"/>
      <c r="AB37" s="244"/>
      <c r="AC37" s="244"/>
      <c r="AD37" s="244"/>
    </row>
    <row r="38" spans="1:30" s="234" customFormat="1">
      <c r="A38" s="95">
        <v>14</v>
      </c>
      <c r="B38" s="236"/>
      <c r="C38" s="273"/>
      <c r="D38" s="232"/>
      <c r="E38" s="245"/>
      <c r="F38" s="238" t="str">
        <f t="shared" si="11"/>
        <v/>
      </c>
      <c r="G38" s="245"/>
      <c r="H38" s="238" t="str">
        <f t="shared" si="12"/>
        <v/>
      </c>
      <c r="I38" s="245"/>
      <c r="J38" s="232" t="str">
        <f t="shared" si="13"/>
        <v/>
      </c>
      <c r="K38" s="245"/>
      <c r="L38" s="238"/>
      <c r="M38" s="245"/>
      <c r="N38" s="239" t="str">
        <f t="shared" si="14"/>
        <v/>
      </c>
      <c r="O38" s="274">
        <f t="shared" si="15"/>
        <v>0</v>
      </c>
      <c r="P38" s="241">
        <f t="shared" si="16"/>
        <v>8086.7769304867534</v>
      </c>
      <c r="Q38" s="275">
        <f t="shared" si="17"/>
        <v>1.3477961550811255</v>
      </c>
      <c r="R38" s="242">
        <f t="shared" si="18"/>
        <v>0.79282126769477967</v>
      </c>
      <c r="S38" s="276" t="e">
        <f t="shared" ca="1" si="22"/>
        <v>#REF!</v>
      </c>
      <c r="T38" s="242" t="e">
        <f t="shared" ca="1" si="25"/>
        <v>#REF!</v>
      </c>
      <c r="U38" s="275" t="e">
        <f t="shared" ca="1" si="24"/>
        <v>#REF!</v>
      </c>
      <c r="V38" s="233">
        <v>1</v>
      </c>
      <c r="W38" s="233">
        <v>1</v>
      </c>
      <c r="X38" s="243"/>
      <c r="Y38" s="243"/>
      <c r="Z38" s="246"/>
      <c r="AA38" s="244"/>
      <c r="AB38" s="244"/>
      <c r="AC38" s="244"/>
      <c r="AD38" s="244"/>
    </row>
    <row r="39" spans="1:30" s="234" customFormat="1">
      <c r="A39" s="95">
        <v>15</v>
      </c>
      <c r="B39" s="236"/>
      <c r="C39" s="237"/>
      <c r="D39" s="248"/>
      <c r="E39" s="238"/>
      <c r="F39" s="245" t="str">
        <f t="shared" si="11"/>
        <v/>
      </c>
      <c r="G39" s="238"/>
      <c r="H39" s="245" t="str">
        <f t="shared" si="12"/>
        <v/>
      </c>
      <c r="I39" s="238"/>
      <c r="J39" s="248" t="str">
        <f t="shared" si="13"/>
        <v/>
      </c>
      <c r="K39" s="238"/>
      <c r="L39" s="238"/>
      <c r="M39" s="238"/>
      <c r="N39" s="239" t="str">
        <f t="shared" si="14"/>
        <v/>
      </c>
      <c r="O39" s="240">
        <f t="shared" si="15"/>
        <v>0</v>
      </c>
      <c r="P39" s="241">
        <f t="shared" si="16"/>
        <v>8086.7769304867534</v>
      </c>
      <c r="Q39" s="242">
        <f t="shared" si="17"/>
        <v>1.3477961550811255</v>
      </c>
      <c r="R39" s="242">
        <f t="shared" si="18"/>
        <v>0.79282126769477967</v>
      </c>
      <c r="S39" s="241" t="e">
        <f t="shared" ca="1" si="22"/>
        <v>#REF!</v>
      </c>
      <c r="T39" s="242" t="e">
        <f t="shared" ca="1" si="25"/>
        <v>#REF!</v>
      </c>
      <c r="U39" s="242" t="e">
        <f t="shared" ca="1" si="24"/>
        <v>#REF!</v>
      </c>
      <c r="V39" s="233">
        <v>1</v>
      </c>
      <c r="W39" s="233">
        <v>1</v>
      </c>
      <c r="X39" s="243"/>
      <c r="Y39" s="243"/>
      <c r="Z39" s="246"/>
      <c r="AA39" s="244"/>
      <c r="AB39" s="244"/>
      <c r="AC39" s="244"/>
      <c r="AD39" s="244"/>
    </row>
    <row r="40" spans="1:30" s="234" customFormat="1" ht="15" customHeight="1">
      <c r="A40" s="95">
        <v>16</v>
      </c>
      <c r="B40" s="236"/>
      <c r="C40" s="273"/>
      <c r="D40" s="232"/>
      <c r="E40" s="245"/>
      <c r="F40" s="238" t="str">
        <f t="shared" si="11"/>
        <v/>
      </c>
      <c r="G40" s="245"/>
      <c r="H40" s="238" t="str">
        <f t="shared" si="12"/>
        <v/>
      </c>
      <c r="I40" s="245"/>
      <c r="J40" s="232" t="str">
        <f t="shared" si="13"/>
        <v/>
      </c>
      <c r="K40" s="238"/>
      <c r="L40" s="238"/>
      <c r="M40" s="238"/>
      <c r="N40" s="239" t="str">
        <f t="shared" si="14"/>
        <v/>
      </c>
      <c r="O40" s="240">
        <f t="shared" si="15"/>
        <v>0</v>
      </c>
      <c r="P40" s="241">
        <f t="shared" si="16"/>
        <v>8086.7769304867534</v>
      </c>
      <c r="Q40" s="242">
        <f t="shared" si="17"/>
        <v>1.3477961550811255</v>
      </c>
      <c r="R40" s="242">
        <f t="shared" si="18"/>
        <v>0.79282126769477967</v>
      </c>
      <c r="S40" s="241" t="e">
        <f t="shared" ca="1" si="22"/>
        <v>#REF!</v>
      </c>
      <c r="T40" s="242" t="e">
        <f t="shared" ca="1" si="25"/>
        <v>#REF!</v>
      </c>
      <c r="U40" s="242" t="e">
        <f t="shared" ca="1" si="24"/>
        <v>#REF!</v>
      </c>
      <c r="V40" s="233">
        <v>1</v>
      </c>
      <c r="W40" s="233">
        <v>1</v>
      </c>
      <c r="X40" s="243"/>
      <c r="Y40" s="243"/>
      <c r="Z40" s="246"/>
      <c r="AA40" s="244"/>
      <c r="AB40" s="244"/>
      <c r="AC40" s="244"/>
      <c r="AD40" s="244"/>
    </row>
    <row r="41" spans="1:30" s="234" customFormat="1">
      <c r="A41" s="95">
        <v>17</v>
      </c>
      <c r="B41" s="236"/>
      <c r="C41" s="237"/>
      <c r="D41" s="248"/>
      <c r="E41" s="238"/>
      <c r="F41" s="245" t="str">
        <f t="shared" si="11"/>
        <v/>
      </c>
      <c r="G41" s="238"/>
      <c r="H41" s="245" t="str">
        <f t="shared" si="12"/>
        <v/>
      </c>
      <c r="I41" s="238"/>
      <c r="J41" s="248" t="str">
        <f t="shared" si="13"/>
        <v/>
      </c>
      <c r="K41" s="238"/>
      <c r="L41" s="238"/>
      <c r="M41" s="238"/>
      <c r="N41" s="277" t="str">
        <f t="shared" si="14"/>
        <v/>
      </c>
      <c r="O41" s="240">
        <f t="shared" si="15"/>
        <v>0</v>
      </c>
      <c r="P41" s="241">
        <f t="shared" si="16"/>
        <v>8086.7769304867534</v>
      </c>
      <c r="Q41" s="242">
        <f t="shared" si="17"/>
        <v>1.3477961550811255</v>
      </c>
      <c r="R41" s="242">
        <f t="shared" si="18"/>
        <v>0.79282126769477967</v>
      </c>
      <c r="S41" s="241" t="e">
        <f t="shared" ca="1" si="22"/>
        <v>#REF!</v>
      </c>
      <c r="T41" s="242" t="e">
        <f t="shared" ca="1" si="25"/>
        <v>#REF!</v>
      </c>
      <c r="U41" s="242" t="e">
        <f t="shared" ca="1" si="24"/>
        <v>#REF!</v>
      </c>
      <c r="V41" s="233">
        <v>1</v>
      </c>
      <c r="W41" s="233">
        <v>1</v>
      </c>
      <c r="X41" s="243"/>
      <c r="Y41" s="243"/>
      <c r="Z41" s="246"/>
      <c r="AA41" s="244"/>
      <c r="AB41" s="244"/>
      <c r="AC41" s="244"/>
      <c r="AD41" s="244"/>
    </row>
    <row r="42" spans="1:30" s="234" customFormat="1">
      <c r="A42" s="95">
        <v>18</v>
      </c>
      <c r="B42" s="236"/>
      <c r="C42" s="273"/>
      <c r="D42" s="232"/>
      <c r="E42" s="245"/>
      <c r="F42" s="238" t="str">
        <f t="shared" si="11"/>
        <v/>
      </c>
      <c r="G42" s="245"/>
      <c r="H42" s="238" t="str">
        <f t="shared" si="12"/>
        <v/>
      </c>
      <c r="I42" s="245"/>
      <c r="J42" s="232" t="str">
        <f t="shared" si="13"/>
        <v/>
      </c>
      <c r="K42" s="238"/>
      <c r="L42" s="238"/>
      <c r="M42" s="238"/>
      <c r="N42" s="277" t="str">
        <f t="shared" si="14"/>
        <v/>
      </c>
      <c r="O42" s="240">
        <f t="shared" si="15"/>
        <v>0</v>
      </c>
      <c r="P42" s="241">
        <f t="shared" si="16"/>
        <v>8086.7769304867534</v>
      </c>
      <c r="Q42" s="242">
        <f t="shared" si="17"/>
        <v>1.3477961550811255</v>
      </c>
      <c r="R42" s="242">
        <f t="shared" si="18"/>
        <v>0.79282126769477967</v>
      </c>
      <c r="S42" s="241" t="e">
        <f t="shared" ca="1" si="22"/>
        <v>#REF!</v>
      </c>
      <c r="T42" s="242" t="e">
        <f t="shared" ca="1" si="25"/>
        <v>#REF!</v>
      </c>
      <c r="U42" s="242" t="e">
        <f t="shared" ca="1" si="24"/>
        <v>#REF!</v>
      </c>
      <c r="V42" s="233">
        <v>1</v>
      </c>
      <c r="W42" s="233">
        <v>1</v>
      </c>
      <c r="X42" s="243"/>
      <c r="Y42" s="243"/>
      <c r="Z42" s="246"/>
      <c r="AA42" s="244"/>
      <c r="AB42" s="244"/>
      <c r="AC42" s="244"/>
      <c r="AD42" s="244"/>
    </row>
    <row r="43" spans="1:30" s="234" customFormat="1" ht="15" customHeight="1">
      <c r="A43" s="235">
        <v>19</v>
      </c>
      <c r="B43" s="236"/>
      <c r="C43" s="237"/>
      <c r="D43" s="232"/>
      <c r="E43" s="238"/>
      <c r="F43" s="238" t="str">
        <f t="shared" si="11"/>
        <v/>
      </c>
      <c r="G43" s="238"/>
      <c r="H43" s="238" t="str">
        <f t="shared" si="12"/>
        <v/>
      </c>
      <c r="I43" s="238"/>
      <c r="J43" s="232" t="str">
        <f t="shared" si="13"/>
        <v/>
      </c>
      <c r="K43" s="238"/>
      <c r="L43" s="238"/>
      <c r="M43" s="238"/>
      <c r="N43" s="277" t="str">
        <f t="shared" si="14"/>
        <v/>
      </c>
      <c r="O43" s="240">
        <f t="shared" si="15"/>
        <v>0</v>
      </c>
      <c r="P43" s="241">
        <f t="shared" si="16"/>
        <v>8086.7769304867534</v>
      </c>
      <c r="Q43" s="242">
        <f t="shared" si="17"/>
        <v>1.3477961550811255</v>
      </c>
      <c r="R43" s="242">
        <f t="shared" si="18"/>
        <v>0.79282126769477967</v>
      </c>
      <c r="S43" s="241" t="e">
        <f t="shared" ca="1" si="22"/>
        <v>#REF!</v>
      </c>
      <c r="T43" s="242" t="e">
        <f t="shared" ca="1" si="25"/>
        <v>#REF!</v>
      </c>
      <c r="U43" s="242" t="e">
        <f t="shared" ca="1" si="24"/>
        <v>#REF!</v>
      </c>
      <c r="V43" s="233">
        <v>1</v>
      </c>
      <c r="W43" s="233">
        <v>1</v>
      </c>
      <c r="X43" s="243"/>
      <c r="Y43" s="243"/>
      <c r="Z43" s="246"/>
      <c r="AA43" s="244"/>
      <c r="AB43" s="244"/>
      <c r="AC43" s="244"/>
      <c r="AD43" s="244"/>
    </row>
    <row r="44" spans="1:30" s="234" customFormat="1" ht="15" customHeight="1">
      <c r="A44" s="235">
        <v>20</v>
      </c>
      <c r="B44" s="236"/>
      <c r="C44" s="237"/>
      <c r="D44" s="232"/>
      <c r="E44" s="238"/>
      <c r="F44" s="238" t="str">
        <f t="shared" si="11"/>
        <v/>
      </c>
      <c r="G44" s="238"/>
      <c r="H44" s="238" t="str">
        <f t="shared" si="12"/>
        <v/>
      </c>
      <c r="I44" s="238"/>
      <c r="J44" s="232" t="str">
        <f t="shared" si="13"/>
        <v/>
      </c>
      <c r="K44" s="238"/>
      <c r="L44" s="238"/>
      <c r="M44" s="238"/>
      <c r="N44" s="277" t="str">
        <f t="shared" si="14"/>
        <v/>
      </c>
      <c r="O44" s="240">
        <f t="shared" si="15"/>
        <v>0</v>
      </c>
      <c r="P44" s="241">
        <f t="shared" si="16"/>
        <v>8086.7769304867534</v>
      </c>
      <c r="Q44" s="242">
        <f t="shared" si="17"/>
        <v>1.3477961550811255</v>
      </c>
      <c r="R44" s="242">
        <f t="shared" si="18"/>
        <v>0.79282126769477967</v>
      </c>
      <c r="S44" s="241" t="e">
        <f t="shared" ca="1" si="22"/>
        <v>#REF!</v>
      </c>
      <c r="T44" s="242" t="e">
        <f ca="1">IF(W44&lt;&gt;"",IF(E44&lt;&gt;"",E44,($I$9-SUM($T$25:T43))*V44*W44/SUMPRODUCT($W44:$W$55,$V44:$V$55)),0)</f>
        <v>#REF!</v>
      </c>
      <c r="U44" s="242" t="e">
        <f t="shared" ca="1" si="24"/>
        <v>#REF!</v>
      </c>
      <c r="V44" s="233">
        <v>1</v>
      </c>
      <c r="W44" s="233">
        <v>1</v>
      </c>
      <c r="X44" s="243"/>
      <c r="Y44" s="243"/>
      <c r="Z44" s="244"/>
      <c r="AA44" s="244"/>
      <c r="AB44" s="244"/>
      <c r="AC44" s="244"/>
      <c r="AD44" s="244"/>
    </row>
    <row r="45" spans="1:30" customFormat="1">
      <c r="A45" s="278"/>
      <c r="B45" s="96"/>
      <c r="C45" s="231"/>
      <c r="D45" s="98"/>
      <c r="E45" s="99"/>
      <c r="F45" s="99" t="str">
        <f t="shared" si="11"/>
        <v/>
      </c>
      <c r="G45" s="99"/>
      <c r="H45" s="99" t="str">
        <f t="shared" si="12"/>
        <v/>
      </c>
      <c r="I45" s="99"/>
      <c r="J45" s="98" t="str">
        <f t="shared" si="13"/>
        <v/>
      </c>
      <c r="K45" s="99"/>
      <c r="L45" s="99"/>
      <c r="M45" s="99"/>
      <c r="N45" s="279" t="str">
        <f t="shared" si="14"/>
        <v/>
      </c>
      <c r="O45" s="101" t="e">
        <f t="shared" si="15"/>
        <v>#DIV/0!</v>
      </c>
      <c r="P45" s="102">
        <f t="shared" ref="P45:P46" si="26">$I$8*V45*W45/SUMPRODUCT($W$25:$W$44,$V$25:$V$44)</f>
        <v>0</v>
      </c>
      <c r="Q45" s="103">
        <f t="shared" ref="Q45:Q46" si="27">$I$9*V45*W45/SUMPRODUCT($W$25:$W$44,$V$25:$V$44)</f>
        <v>0</v>
      </c>
      <c r="R45" s="103">
        <f t="shared" si="18"/>
        <v>0</v>
      </c>
      <c r="S45" s="102" t="str">
        <f t="shared" ref="S45:S46" si="28">IF(W45&lt;&gt;"",IF(D45&lt;&gt;"",D45,($I$8-SUM($S$25:S44))*V45*W45/SUMPRODUCT($W$44:$W45,$V$44:$V45)),"")</f>
        <v/>
      </c>
      <c r="T45" s="103" t="str">
        <f t="shared" ref="T45:T46" si="29">IF(W45&lt;&gt;"",IF(E45&lt;&gt;"",E45,($I$9-SUM($T$25:T44))*V45*W45/SUMPRODUCT($W$44:$W45,$V$44:$V45)),"")</f>
        <v/>
      </c>
      <c r="U45" s="103" t="str">
        <f t="shared" ref="U45:U46" si="30">IF(W45&lt;&gt;"",IF($I$12&lt;&gt;"",IF(G45&lt;&gt;"",G45,($I$9/$I$12-SUM($U$25:U44))*V45*W45/SUMPRODUCT($W$44:$W45,$V$44:$V45)),""),"")</f>
        <v/>
      </c>
      <c r="V45" s="280"/>
      <c r="W45" s="280"/>
      <c r="X45" s="281"/>
      <c r="Y45" s="281"/>
      <c r="Z45" s="282"/>
    </row>
    <row r="46" spans="1:30" s="234" customFormat="1">
      <c r="A46" s="283"/>
      <c r="B46" s="236"/>
      <c r="C46" s="263"/>
      <c r="D46" s="232"/>
      <c r="E46" s="238"/>
      <c r="F46" s="238" t="str">
        <f t="shared" si="11"/>
        <v/>
      </c>
      <c r="G46" s="238"/>
      <c r="H46" s="238" t="str">
        <f t="shared" si="12"/>
        <v/>
      </c>
      <c r="I46" s="238"/>
      <c r="J46" s="232" t="str">
        <f t="shared" si="13"/>
        <v/>
      </c>
      <c r="K46" s="238"/>
      <c r="L46" s="238"/>
      <c r="M46" s="238"/>
      <c r="N46" s="277" t="str">
        <f t="shared" si="14"/>
        <v/>
      </c>
      <c r="O46" s="240" t="e">
        <f t="shared" si="15"/>
        <v>#DIV/0!</v>
      </c>
      <c r="P46" s="241">
        <f t="shared" si="26"/>
        <v>0</v>
      </c>
      <c r="Q46" s="242">
        <f t="shared" si="27"/>
        <v>0</v>
      </c>
      <c r="R46" s="242">
        <f t="shared" si="18"/>
        <v>0</v>
      </c>
      <c r="S46" s="241" t="str">
        <f t="shared" si="28"/>
        <v/>
      </c>
      <c r="T46" s="242" t="str">
        <f t="shared" si="29"/>
        <v/>
      </c>
      <c r="U46" s="242" t="str">
        <f t="shared" si="30"/>
        <v/>
      </c>
      <c r="V46" s="284"/>
      <c r="W46" s="284"/>
      <c r="X46" s="285"/>
      <c r="Y46" s="285"/>
      <c r="Z46" s="286"/>
    </row>
    <row r="47" spans="1:30" s="234" customFormat="1">
      <c r="A47" s="287"/>
      <c r="B47" s="236"/>
      <c r="C47" s="247"/>
      <c r="D47" s="232"/>
      <c r="E47" s="238"/>
      <c r="F47" s="238" t="str">
        <f t="shared" si="11"/>
        <v/>
      </c>
      <c r="G47" s="238"/>
      <c r="H47" s="238" t="str">
        <f t="shared" si="12"/>
        <v/>
      </c>
      <c r="I47" s="238"/>
      <c r="J47" s="232" t="str">
        <f t="shared" si="13"/>
        <v/>
      </c>
      <c r="K47" s="238"/>
      <c r="L47" s="238"/>
      <c r="M47" s="238"/>
      <c r="N47" s="277" t="str">
        <f t="shared" si="14"/>
        <v/>
      </c>
      <c r="O47" s="240" t="e">
        <f t="shared" si="15"/>
        <v>#DIV/0!</v>
      </c>
      <c r="P47" s="241">
        <f>$I$8*V47*W47/SUMPRODUCT($W$25:$W$47,$V$25:$V$47)</f>
        <v>0</v>
      </c>
      <c r="Q47" s="242">
        <f>$I$9*V47*W47/SUMPRODUCT($W$25:$W$47,$V$25:$V$47)</f>
        <v>0</v>
      </c>
      <c r="R47" s="242">
        <f t="shared" si="18"/>
        <v>0</v>
      </c>
      <c r="S47" s="241" t="str">
        <f>IF(W47&lt;&gt;"",IF(D47&lt;&gt;"",D47,($I$8-SUM($S$25:S46))*V47*W47/SUMPRODUCT($W47:$W$47,$V47:$V$47)),"")</f>
        <v/>
      </c>
      <c r="T47" s="242" t="str">
        <f>IF(W47&lt;&gt;"",IF(E47&lt;&gt;"",E47,($I$9-SUM($T$25:T46))*V47*W47/SUMPRODUCT($W47:$W$47,$V47:$V$47)),"")</f>
        <v/>
      </c>
      <c r="U47" s="242" t="str">
        <f>IF(W47&lt;&gt;"",IF($I$12&lt;&gt;"",IF(G47&lt;&gt;"",G47,($I$9/$I$12-SUM($U$25:U46))*V47*W47/SUMPRODUCT($W47:$W$47,$V47:$V$47)),""),"")</f>
        <v/>
      </c>
      <c r="V47" s="284"/>
      <c r="W47" s="284"/>
      <c r="X47" s="285"/>
      <c r="Y47" s="285"/>
      <c r="Z47" s="286"/>
    </row>
    <row r="48" spans="1:30" ht="15" customHeight="1">
      <c r="B48" s="592" t="s">
        <v>60</v>
      </c>
      <c r="C48" s="592"/>
      <c r="D48" s="114">
        <f>SUM(D25:D47)</f>
        <v>0</v>
      </c>
      <c r="E48" s="114">
        <f>SUM(E25:E47)</f>
        <v>0</v>
      </c>
      <c r="F48" s="114" t="str">
        <f t="shared" si="11"/>
        <v/>
      </c>
      <c r="G48" s="114">
        <f>SUM(G25:G47)</f>
        <v>0</v>
      </c>
      <c r="H48" s="114" t="str">
        <f t="shared" si="12"/>
        <v/>
      </c>
      <c r="I48" s="114">
        <f>SUM(I25:I47)</f>
        <v>0</v>
      </c>
      <c r="J48" s="113" t="str">
        <f t="shared" si="13"/>
        <v/>
      </c>
      <c r="K48" s="114">
        <f>SUM(K25:K47)</f>
        <v>0</v>
      </c>
      <c r="L48" s="114">
        <f>SUM(L25:L47)</f>
        <v>0</v>
      </c>
      <c r="M48" s="114">
        <f>SUM(M25:M47)</f>
        <v>0</v>
      </c>
      <c r="N48" s="115" t="str">
        <f t="shared" si="14"/>
        <v/>
      </c>
      <c r="O48" s="116">
        <f t="shared" si="15"/>
        <v>0</v>
      </c>
      <c r="P48" s="117">
        <f t="shared" ref="P48:U48" si="31">SUM(P25:P47)</f>
        <v>165293.72045914925</v>
      </c>
      <c r="Q48" s="117">
        <f t="shared" si="31"/>
        <v>27.548953409858221</v>
      </c>
      <c r="R48" s="117">
        <f t="shared" si="31"/>
        <v>16.205266711681301</v>
      </c>
      <c r="S48" s="117" t="e">
        <f t="shared" ca="1" si="31"/>
        <v>#REF!</v>
      </c>
      <c r="T48" s="117" t="e">
        <f t="shared" ca="1" si="31"/>
        <v>#REF!</v>
      </c>
      <c r="U48" s="117" t="e">
        <f t="shared" ca="1" si="31"/>
        <v>#REF!</v>
      </c>
      <c r="V48" s="118"/>
      <c r="W48" s="118"/>
    </row>
    <row r="49" spans="2:17">
      <c r="B49" s="120"/>
      <c r="C49" s="121"/>
      <c r="D49" s="122">
        <f>SUMIF(D25:D47,"",P25:P47)+D48</f>
        <v>165293.72045914925</v>
      </c>
      <c r="E49" s="123"/>
      <c r="F49" s="121"/>
      <c r="G49" s="121"/>
      <c r="H49" s="124"/>
      <c r="I49" s="229"/>
      <c r="J49" s="124"/>
      <c r="L49" s="126"/>
      <c r="M49" s="123"/>
      <c r="N49" s="126"/>
      <c r="O49" s="126"/>
      <c r="P49" s="126"/>
      <c r="Q49" s="127"/>
    </row>
    <row r="50" spans="2:17">
      <c r="D50" s="128"/>
    </row>
    <row r="51" spans="2:17">
      <c r="D51" s="128"/>
    </row>
    <row r="52" spans="2:17">
      <c r="D52" s="224"/>
    </row>
    <row r="53" spans="2:17">
      <c r="D53" s="224"/>
    </row>
  </sheetData>
  <mergeCells count="28">
    <mergeCell ref="P22:W22"/>
    <mergeCell ref="B48:C48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85" priority="904" operator="greaterThan">
      <formula>0</formula>
    </cfRule>
    <cfRule type="cellIs" dxfId="84" priority="903" operator="lessThan">
      <formula>0</formula>
    </cfRule>
  </conditionalFormatting>
  <conditionalFormatting sqref="J25:J30">
    <cfRule type="cellIs" dxfId="83" priority="10" operator="lessThan">
      <formula>$I$12</formula>
    </cfRule>
  </conditionalFormatting>
  <conditionalFormatting sqref="J25:J31">
    <cfRule type="cellIs" dxfId="82" priority="11" operator="greaterThan">
      <formula>$I$12</formula>
    </cfRule>
  </conditionalFormatting>
  <conditionalFormatting sqref="J29:J30">
    <cfRule type="cellIs" dxfId="81" priority="1041" operator="lessThan">
      <formula>$I$12</formula>
    </cfRule>
  </conditionalFormatting>
  <conditionalFormatting sqref="J29:J42">
    <cfRule type="cellIs" dxfId="80" priority="1061" operator="greaterThan">
      <formula>$I$12</formula>
    </cfRule>
    <cfRule type="cellIs" dxfId="79" priority="1068" operator="lessThan">
      <formula>$I$12</formula>
    </cfRule>
  </conditionalFormatting>
  <conditionalFormatting sqref="J43:J47 J37">
    <cfRule type="cellIs" dxfId="78" priority="220" operator="greaterThan">
      <formula>$I$12</formula>
    </cfRule>
  </conditionalFormatting>
  <conditionalFormatting sqref="J43:J47">
    <cfRule type="cellIs" dxfId="77" priority="219" operator="lessThan">
      <formula>$I$12</formula>
    </cfRule>
  </conditionalFormatting>
  <conditionalFormatting sqref="K10:K12 K15">
    <cfRule type="cellIs" dxfId="76" priority="902" operator="greaterThan">
      <formula>1</formula>
    </cfRule>
    <cfRule type="cellIs" dxfId="75" priority="901" operator="lessThan">
      <formula>1</formula>
    </cfRule>
  </conditionalFormatting>
  <conditionalFormatting sqref="K13">
    <cfRule type="cellIs" dxfId="74" priority="552" operator="greaterThan">
      <formula>$K$14</formula>
    </cfRule>
    <cfRule type="cellIs" dxfId="73" priority="551" operator="lessThan">
      <formula>$K$14</formula>
    </cfRule>
  </conditionalFormatting>
  <conditionalFormatting sqref="M8:M15">
    <cfRule type="cellIs" dxfId="72" priority="919" operator="lessThan">
      <formula>1</formula>
    </cfRule>
    <cfRule type="cellIs" dxfId="71" priority="900" operator="greaterThan">
      <formula>1</formula>
    </cfRule>
  </conditionalFormatting>
  <conditionalFormatting sqref="N25:N37">
    <cfRule type="cellIs" dxfId="70" priority="8" operator="greaterThanOrEqual">
      <formula>0.25</formula>
    </cfRule>
    <cfRule type="cellIs" dxfId="69" priority="7" operator="between">
      <formula>0.2</formula>
      <formula>0.25</formula>
    </cfRule>
  </conditionalFormatting>
  <conditionalFormatting sqref="N25:N47">
    <cfRule type="cellIs" dxfId="68" priority="9" operator="lessThan">
      <formula>0.2</formula>
    </cfRule>
  </conditionalFormatting>
  <conditionalFormatting sqref="N38">
    <cfRule type="cellIs" dxfId="67" priority="1054" operator="between">
      <formula>0.2</formula>
      <formula>0.25</formula>
    </cfRule>
  </conditionalFormatting>
  <conditionalFormatting sqref="N38:N47">
    <cfRule type="cellIs" dxfId="66" priority="217" operator="greaterThanOrEqual">
      <formula>0.25</formula>
    </cfRule>
  </conditionalFormatting>
  <conditionalFormatting sqref="N39:N47">
    <cfRule type="cellIs" dxfId="65" priority="216" operator="between">
      <formula>0.2</formula>
      <formula>0.25</formula>
    </cfRule>
  </conditionalFormatting>
  <conditionalFormatting sqref="O25:O37">
    <cfRule type="cellIs" dxfId="64" priority="6" operator="between">
      <formula>0.01</formula>
      <formula>0.99</formula>
    </cfRule>
    <cfRule type="cellIs" dxfId="63" priority="5" operator="between">
      <formula>0.85</formula>
      <formula>1</formula>
    </cfRule>
    <cfRule type="cellIs" dxfId="62" priority="2" operator="lessThan">
      <formula>0.9</formula>
    </cfRule>
    <cfRule type="cellIs" dxfId="61" priority="1" operator="between">
      <formula>0.9001</formula>
      <formula>0.9999</formula>
    </cfRule>
  </conditionalFormatting>
  <conditionalFormatting sqref="O25:O47">
    <cfRule type="cellIs" dxfId="60" priority="4" operator="greaterThan">
      <formula>100</formula>
    </cfRule>
    <cfRule type="cellIs" dxfId="59" priority="3" operator="greaterThan">
      <formula>1</formula>
    </cfRule>
  </conditionalFormatting>
  <conditionalFormatting sqref="O38">
    <cfRule type="cellIs" dxfId="58" priority="1056" operator="between">
      <formula>0.85</formula>
      <formula>1</formula>
    </cfRule>
    <cfRule type="cellIs" dxfId="57" priority="1059" operator="lessThan">
      <formula>0.9</formula>
    </cfRule>
    <cfRule type="cellIs" dxfId="56" priority="1060" operator="between">
      <formula>0.9001</formula>
      <formula>0.9999</formula>
    </cfRule>
  </conditionalFormatting>
  <conditionalFormatting sqref="O38:O47">
    <cfRule type="cellIs" dxfId="55" priority="215" operator="between">
      <formula>0.01</formula>
      <formula>0.99</formula>
    </cfRule>
  </conditionalFormatting>
  <conditionalFormatting sqref="O39:O44">
    <cfRule type="cellIs" dxfId="54" priority="214" operator="between">
      <formula>0.85</formula>
      <formula>1</formula>
    </cfRule>
  </conditionalFormatting>
  <conditionalFormatting sqref="O39:O47">
    <cfRule type="cellIs" dxfId="53" priority="211" operator="lessThan">
      <formula>0.9</formula>
    </cfRule>
    <cfRule type="cellIs" dxfId="52" priority="210" operator="between">
      <formula>0.9001</formula>
      <formula>0.9999</formula>
    </cfRule>
  </conditionalFormatting>
  <conditionalFormatting sqref="O45:O47">
    <cfRule type="cellIs" dxfId="51" priority="639" operator="between">
      <formula>0.85</formula>
      <formula>1</formula>
    </cfRule>
  </conditionalFormatting>
  <conditionalFormatting sqref="P10:Q10">
    <cfRule type="cellIs" dxfId="50" priority="915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U53"/>
  <sheetViews>
    <sheetView zoomScale="108" workbookViewId="0">
      <selection activeCell="J14" sqref="J14"/>
    </sheetView>
  </sheetViews>
  <sheetFormatPr baseColWidth="10" defaultColWidth="9.1640625" defaultRowHeight="15"/>
  <cols>
    <col min="1" max="1" width="12.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/>
    <col min="22" max="23" width="10.5" style="3" customWidth="1"/>
    <col min="24" max="33" width="9.1640625" style="3"/>
    <col min="34" max="255" width="9.1640625" style="2"/>
  </cols>
  <sheetData>
    <row r="1" spans="2:23" ht="15.75" customHeight="1">
      <c r="B1" s="676">
        <f ca="1">TODAY()-1</f>
        <v>45879</v>
      </c>
      <c r="C1" s="676"/>
      <c r="D1" s="296"/>
      <c r="E1" s="296"/>
      <c r="F1" s="297"/>
      <c r="G1" s="297"/>
      <c r="H1" s="297"/>
      <c r="I1" s="297"/>
      <c r="J1" s="298"/>
      <c r="K1" s="298"/>
      <c r="L1" s="298"/>
      <c r="M1" s="298"/>
      <c r="N1" s="298"/>
      <c r="O1" s="298"/>
      <c r="P1" s="298"/>
      <c r="Q1" s="677"/>
      <c r="R1" s="677"/>
      <c r="S1" s="677"/>
      <c r="T1" s="677"/>
      <c r="U1" s="297"/>
      <c r="V1" s="297"/>
      <c r="W1" s="297"/>
    </row>
    <row r="2" spans="2:23" ht="21.75" customHeight="1">
      <c r="B2" s="678" t="s">
        <v>0</v>
      </c>
      <c r="C2" s="678"/>
      <c r="D2" s="296"/>
      <c r="E2" s="296"/>
      <c r="F2" s="297"/>
      <c r="G2" s="297"/>
      <c r="H2" s="297"/>
      <c r="I2" s="297"/>
      <c r="J2" s="679" t="s">
        <v>66</v>
      </c>
      <c r="K2" s="679"/>
      <c r="L2" s="679"/>
      <c r="M2" s="679"/>
      <c r="N2" s="679"/>
      <c r="O2" s="679"/>
      <c r="P2" s="679"/>
      <c r="Q2" s="677"/>
      <c r="R2" s="677"/>
      <c r="S2" s="677"/>
      <c r="T2" s="677"/>
      <c r="U2" s="297"/>
      <c r="V2" s="297"/>
      <c r="W2" s="297"/>
    </row>
    <row r="3" spans="2:23" ht="14" customHeight="1">
      <c r="B3" s="299" t="s">
        <v>1</v>
      </c>
      <c r="C3" s="296"/>
      <c r="D3" s="296"/>
      <c r="E3" s="296"/>
      <c r="F3" s="297"/>
      <c r="G3" s="297"/>
      <c r="H3" s="297"/>
      <c r="I3" s="297"/>
      <c r="J3" s="680">
        <f>График!B25</f>
        <v>0</v>
      </c>
      <c r="K3" s="680"/>
      <c r="L3" s="680"/>
      <c r="M3" s="680"/>
      <c r="N3" s="680"/>
      <c r="O3" s="298"/>
      <c r="P3" s="300"/>
      <c r="Q3" s="677"/>
      <c r="R3" s="677"/>
      <c r="S3" s="677"/>
      <c r="T3" s="677"/>
      <c r="U3" s="297"/>
      <c r="V3" s="297"/>
      <c r="W3" s="297"/>
    </row>
    <row r="4" spans="2:23" ht="15" customHeight="1">
      <c r="B4" s="296"/>
      <c r="C4" s="681">
        <f>I8-D48</f>
        <v>0</v>
      </c>
      <c r="D4" s="681"/>
      <c r="E4" s="301">
        <f>IF(I8&lt;&gt;0,C4/I8,0)</f>
        <v>0</v>
      </c>
      <c r="F4" s="297"/>
      <c r="G4" s="297"/>
      <c r="H4" s="297"/>
      <c r="I4" s="297"/>
      <c r="J4" s="680"/>
      <c r="K4" s="680"/>
      <c r="L4" s="680"/>
      <c r="M4" s="680"/>
      <c r="N4" s="680"/>
      <c r="O4" s="297"/>
      <c r="P4" s="297"/>
      <c r="Q4" s="677"/>
      <c r="R4" s="677"/>
      <c r="S4" s="677"/>
      <c r="T4" s="677"/>
      <c r="U4" s="297"/>
      <c r="V4" s="297"/>
      <c r="W4" s="297"/>
    </row>
    <row r="5" spans="2:23">
      <c r="B5" s="297"/>
      <c r="C5" s="297"/>
      <c r="D5" s="297"/>
      <c r="E5" s="297"/>
      <c r="F5" s="297"/>
      <c r="G5" s="297"/>
      <c r="H5" s="297"/>
      <c r="I5" s="297"/>
      <c r="J5" s="682"/>
      <c r="K5" s="682"/>
      <c r="L5" s="682"/>
      <c r="M5" s="682"/>
      <c r="N5" s="682"/>
      <c r="O5" s="297"/>
      <c r="P5" s="297"/>
      <c r="Q5" s="297"/>
      <c r="R5" s="297"/>
      <c r="S5" s="297"/>
      <c r="T5" s="297"/>
      <c r="U5" s="297"/>
      <c r="V5" s="297"/>
      <c r="W5" s="297"/>
    </row>
    <row r="6" spans="2:23" ht="15.75" customHeight="1">
      <c r="B6" s="302"/>
      <c r="C6" s="297"/>
      <c r="D6" s="297"/>
      <c r="E6" s="297"/>
      <c r="F6" s="17" t="s">
        <v>2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9"/>
      <c r="R6" s="37"/>
      <c r="S6" s="37"/>
      <c r="T6" s="297"/>
      <c r="U6" s="297"/>
      <c r="V6" s="297"/>
      <c r="W6" s="297"/>
    </row>
    <row r="7" spans="2:23" ht="50.75" customHeight="1">
      <c r="B7" s="302"/>
      <c r="C7" s="297"/>
      <c r="D7" s="297"/>
      <c r="E7" s="297"/>
      <c r="F7" s="574" t="s">
        <v>3</v>
      </c>
      <c r="G7" s="575"/>
      <c r="H7" s="576"/>
      <c r="I7" s="22" t="s">
        <v>4</v>
      </c>
      <c r="J7" s="23" t="s">
        <v>5</v>
      </c>
      <c r="K7" s="24" t="s">
        <v>6</v>
      </c>
      <c r="L7" s="25" t="s">
        <v>7</v>
      </c>
      <c r="M7" s="25" t="s">
        <v>8</v>
      </c>
      <c r="N7" s="26" t="s">
        <v>9</v>
      </c>
      <c r="O7" s="26" t="s">
        <v>10</v>
      </c>
      <c r="P7" s="577" t="s">
        <v>11</v>
      </c>
      <c r="Q7" s="578"/>
      <c r="R7" s="37"/>
      <c r="S7" s="37"/>
      <c r="T7" s="297"/>
      <c r="U7" s="297"/>
      <c r="V7" s="297"/>
      <c r="W7" s="297"/>
    </row>
    <row r="8" spans="2:23" ht="15.75" customHeight="1">
      <c r="B8" s="302"/>
      <c r="C8" s="297"/>
      <c r="D8" s="297"/>
      <c r="E8" s="297"/>
      <c r="F8" s="579" t="s">
        <v>12</v>
      </c>
      <c r="G8" s="580"/>
      <c r="H8" s="581"/>
      <c r="I8" s="202">
        <f>'Ялта, Ленина, 18'!I8/График!AI31*График!AI25</f>
        <v>0</v>
      </c>
      <c r="J8" s="203">
        <f>D48</f>
        <v>0</v>
      </c>
      <c r="K8" s="204" t="str">
        <f t="shared" ref="K8:K19" si="0">IF(AND(I8&lt;&gt;"", I8&lt;&gt;0, J8&lt;&gt;""), J8/I8, "")</f>
        <v/>
      </c>
      <c r="L8" s="205">
        <f>IF(SUMIF($D$25:$D$47,"&gt;=0",$P$25:$P$47)&lt;&gt;0,I8*D48/SUMIF($D$25:$D$47,"&gt;=0",$P$25:$P$47),0)</f>
        <v>0</v>
      </c>
      <c r="M8" s="32" t="str">
        <f t="shared" ref="M8:M20" si="1">IF(AND(I8&lt;&gt;"", I8&lt;&gt;0, L8&lt;&gt;"", L8&lt;&gt;0), L8/I8, "")</f>
        <v/>
      </c>
      <c r="N8" s="35" t="str">
        <f t="shared" ref="N8:N20" si="2">IF(AND(J8&lt;&gt;0, J8&lt;&gt;"", I8&lt;&gt;0, I8&lt;&gt;""), L8-I8, "")</f>
        <v/>
      </c>
      <c r="O8" s="34"/>
      <c r="P8" s="35" t="str">
        <f t="shared" ref="P8:P20" si="3">IF(AND(O8&lt;&gt;"", O8&lt;&gt;0, L8&lt;&gt;"", L8&lt;&gt;0), -O8+L8, "")</f>
        <v/>
      </c>
      <c r="Q8" s="36" t="str">
        <f t="shared" ref="Q8:Q20" si="4">IF(AND(P8&lt;&gt;"", P8&lt;&gt;0, O8&lt;&gt;0, O8&lt;&gt;""), P8/O8, "")</f>
        <v/>
      </c>
      <c r="R8" s="37"/>
      <c r="S8" s="37"/>
      <c r="T8" s="297"/>
      <c r="U8" s="297"/>
      <c r="V8" s="297"/>
      <c r="W8" s="297"/>
    </row>
    <row r="9" spans="2:23" ht="15.75" customHeight="1">
      <c r="B9" s="302"/>
      <c r="C9" s="297"/>
      <c r="D9" s="297"/>
      <c r="E9" s="297"/>
      <c r="F9" s="582" t="s">
        <v>13</v>
      </c>
      <c r="G9" s="583"/>
      <c r="H9" s="584"/>
      <c r="I9" s="38">
        <f>I8/I11</f>
        <v>0</v>
      </c>
      <c r="J9" s="39">
        <f>E48</f>
        <v>0</v>
      </c>
      <c r="K9" s="40" t="str">
        <f t="shared" si="0"/>
        <v/>
      </c>
      <c r="L9" s="207">
        <f>IF(SUMIF($E$25:$E$47,"&gt;=0",$Q$25:$Q$47)&lt;&gt;0,I9*E48/SUMIF($E$25:$E$47,"&gt;=0",$Q$25:$Q$47),0)</f>
        <v>0</v>
      </c>
      <c r="M9" s="42" t="str">
        <f t="shared" si="1"/>
        <v/>
      </c>
      <c r="N9" s="43" t="str">
        <f t="shared" si="2"/>
        <v/>
      </c>
      <c r="O9" s="44" t="e">
        <f>O8/O11</f>
        <v>#DIV/0!</v>
      </c>
      <c r="P9" s="43" t="e">
        <f t="shared" si="3"/>
        <v>#DIV/0!</v>
      </c>
      <c r="Q9" s="45" t="e">
        <f t="shared" si="4"/>
        <v>#DIV/0!</v>
      </c>
      <c r="R9" s="37"/>
      <c r="S9" s="37"/>
      <c r="T9" s="297"/>
      <c r="U9" s="297"/>
      <c r="V9" s="297"/>
      <c r="W9" s="297"/>
    </row>
    <row r="10" spans="2:23" ht="15.75" customHeight="1">
      <c r="B10" s="302"/>
      <c r="C10" s="297"/>
      <c r="D10" s="297"/>
      <c r="E10" s="297"/>
      <c r="F10" s="579" t="s">
        <v>14</v>
      </c>
      <c r="G10" s="580"/>
      <c r="H10" s="581"/>
      <c r="I10" s="50">
        <f>I11*I12</f>
        <v>10200</v>
      </c>
      <c r="J10" s="209" t="str">
        <f>H48</f>
        <v/>
      </c>
      <c r="K10" s="210" t="str">
        <f t="shared" si="0"/>
        <v/>
      </c>
      <c r="L10" s="207" t="str">
        <f>J10</f>
        <v/>
      </c>
      <c r="M10" s="48" t="str">
        <f t="shared" si="1"/>
        <v/>
      </c>
      <c r="N10" s="49" t="str">
        <f t="shared" si="2"/>
        <v/>
      </c>
      <c r="O10" s="50">
        <f>O11*O12</f>
        <v>0</v>
      </c>
      <c r="P10" s="49" t="str">
        <f t="shared" si="3"/>
        <v/>
      </c>
      <c r="Q10" s="51" t="str">
        <f t="shared" si="4"/>
        <v/>
      </c>
      <c r="R10" s="37"/>
      <c r="S10" s="589" t="s">
        <v>15</v>
      </c>
      <c r="T10" s="589"/>
      <c r="U10" s="297"/>
      <c r="V10" s="297"/>
      <c r="W10" s="297"/>
    </row>
    <row r="11" spans="2:23" ht="15.75" customHeight="1">
      <c r="B11" s="302"/>
      <c r="C11" s="297"/>
      <c r="D11" s="297"/>
      <c r="E11" s="297"/>
      <c r="F11" s="582" t="s">
        <v>16</v>
      </c>
      <c r="G11" s="583"/>
      <c r="H11" s="584"/>
      <c r="I11" s="52">
        <f>'Ялта, Ленина, 18'!I11</f>
        <v>6000</v>
      </c>
      <c r="J11" s="39" t="str">
        <f>F48</f>
        <v/>
      </c>
      <c r="K11" s="212" t="str">
        <f t="shared" si="0"/>
        <v/>
      </c>
      <c r="L11" s="207" t="str">
        <f>IF(L9&gt;0, L8/L9, "")</f>
        <v/>
      </c>
      <c r="M11" s="42" t="str">
        <f t="shared" si="1"/>
        <v/>
      </c>
      <c r="N11" s="43" t="str">
        <f t="shared" si="2"/>
        <v/>
      </c>
      <c r="O11" s="53"/>
      <c r="P11" s="43" t="str">
        <f t="shared" si="3"/>
        <v/>
      </c>
      <c r="Q11" s="45" t="str">
        <f t="shared" si="4"/>
        <v/>
      </c>
      <c r="R11" s="37"/>
      <c r="S11" s="589"/>
      <c r="T11" s="589"/>
      <c r="U11" s="297"/>
      <c r="V11" s="297"/>
      <c r="W11" s="297"/>
    </row>
    <row r="12" spans="2:23" ht="15.75" customHeight="1">
      <c r="B12" s="302"/>
      <c r="C12" s="297"/>
      <c r="D12" s="297"/>
      <c r="E12" s="297"/>
      <c r="F12" s="582" t="s">
        <v>17</v>
      </c>
      <c r="G12" s="583"/>
      <c r="H12" s="584"/>
      <c r="I12" s="54">
        <f>'Ялта, Ленина, 18'!I12</f>
        <v>1.7</v>
      </c>
      <c r="J12" s="55" t="str">
        <f>J48</f>
        <v/>
      </c>
      <c r="K12" s="212" t="str">
        <f t="shared" si="0"/>
        <v/>
      </c>
      <c r="L12" s="213" t="str">
        <f>J12</f>
        <v/>
      </c>
      <c r="M12" s="42" t="str">
        <f t="shared" si="1"/>
        <v/>
      </c>
      <c r="N12" s="57" t="str">
        <f t="shared" si="2"/>
        <v/>
      </c>
      <c r="O12" s="58"/>
      <c r="P12" s="43" t="str">
        <f t="shared" si="3"/>
        <v/>
      </c>
      <c r="Q12" s="45" t="str">
        <f t="shared" si="4"/>
        <v/>
      </c>
      <c r="R12" s="37"/>
      <c r="S12" s="59">
        <f>'Ялта, Ленина, 18'!S12*График!AJ25/График!AJ31</f>
        <v>0</v>
      </c>
      <c r="T12" s="60">
        <f>L48</f>
        <v>0</v>
      </c>
      <c r="U12" s="297"/>
      <c r="V12" s="297"/>
      <c r="W12" s="297"/>
    </row>
    <row r="13" spans="2:23" ht="15.75" customHeight="1">
      <c r="B13" s="302"/>
      <c r="C13" s="297"/>
      <c r="D13" s="297"/>
      <c r="E13" s="297"/>
      <c r="F13" s="582" t="s">
        <v>18</v>
      </c>
      <c r="G13" s="583"/>
      <c r="H13" s="584"/>
      <c r="I13" s="38">
        <f>IF(I12&lt;&gt;0, I9/I12, "")</f>
        <v>0</v>
      </c>
      <c r="J13" s="39">
        <f>G48</f>
        <v>0</v>
      </c>
      <c r="K13" s="212" t="str">
        <f t="shared" si="0"/>
        <v/>
      </c>
      <c r="L13" s="207" t="str">
        <f>IF(SUMIF($G$25:$G$47,"&gt;=0",$R$25:$R$47)&lt;&gt;0,I13*G48/SUMIF($G$25:$G$47,"&gt;=0",$R$25:$R$47),"")</f>
        <v/>
      </c>
      <c r="M13" s="42" t="str">
        <f t="shared" si="1"/>
        <v/>
      </c>
      <c r="N13" s="57" t="str">
        <f t="shared" si="2"/>
        <v/>
      </c>
      <c r="O13" s="61"/>
      <c r="P13" s="43" t="str">
        <f t="shared" si="3"/>
        <v/>
      </c>
      <c r="Q13" s="45" t="str">
        <f t="shared" si="4"/>
        <v/>
      </c>
      <c r="R13" s="37"/>
      <c r="S13" s="62" t="e">
        <f>T12/S12</f>
        <v>#DIV/0!</v>
      </c>
      <c r="T13" s="62" t="e">
        <f>S13/J14*I14</f>
        <v>#DIV/0!</v>
      </c>
      <c r="U13" s="297"/>
      <c r="V13" s="297"/>
      <c r="W13" s="297"/>
    </row>
    <row r="14" spans="2:23" ht="15.75" customHeight="1">
      <c r="B14" s="302"/>
      <c r="C14" s="297"/>
      <c r="D14" s="297"/>
      <c r="E14" s="297"/>
      <c r="F14" s="582" t="s">
        <v>63</v>
      </c>
      <c r="G14" s="583"/>
      <c r="H14" s="584"/>
      <c r="I14" s="52">
        <f>График!AI25</f>
        <v>0</v>
      </c>
      <c r="J14" s="64"/>
      <c r="K14" s="40" t="str">
        <f t="shared" si="0"/>
        <v/>
      </c>
      <c r="L14" s="41"/>
      <c r="M14" s="42" t="str">
        <f t="shared" si="1"/>
        <v/>
      </c>
      <c r="N14" s="43" t="str">
        <f t="shared" si="2"/>
        <v/>
      </c>
      <c r="O14" s="61"/>
      <c r="P14" s="43" t="str">
        <f t="shared" si="3"/>
        <v/>
      </c>
      <c r="Q14" s="45" t="str">
        <f t="shared" si="4"/>
        <v/>
      </c>
      <c r="R14" s="37"/>
      <c r="S14" s="65"/>
      <c r="T14" s="6"/>
      <c r="U14" s="297"/>
      <c r="V14" s="297"/>
      <c r="W14" s="297"/>
    </row>
    <row r="15" spans="2:23" ht="15.75" customHeight="1">
      <c r="B15" s="302"/>
      <c r="C15" s="297"/>
      <c r="D15" s="297"/>
      <c r="E15" s="297"/>
      <c r="F15" s="582" t="s">
        <v>20</v>
      </c>
      <c r="G15" s="583"/>
      <c r="H15" s="584"/>
      <c r="I15" s="75">
        <f>'Ялта, Ленина, 18'!I15</f>
        <v>131612.90322580645</v>
      </c>
      <c r="J15" s="67" t="e">
        <f>J8/J14</f>
        <v>#DIV/0!</v>
      </c>
      <c r="K15" s="68" t="e">
        <f t="shared" si="0"/>
        <v>#DIV/0!</v>
      </c>
      <c r="L15" s="72" t="e">
        <f t="shared" ref="L15:L19" si="5">J15</f>
        <v>#DIV/0!</v>
      </c>
      <c r="M15" s="70" t="e">
        <f t="shared" si="1"/>
        <v>#DIV/0!</v>
      </c>
      <c r="N15" s="43" t="e">
        <f t="shared" si="2"/>
        <v>#DIV/0!</v>
      </c>
      <c r="O15" s="71"/>
      <c r="P15" s="43" t="e">
        <f t="shared" si="3"/>
        <v>#DIV/0!</v>
      </c>
      <c r="Q15" s="45" t="e">
        <f t="shared" si="4"/>
        <v>#DIV/0!</v>
      </c>
      <c r="R15" s="37"/>
      <c r="S15" s="37"/>
      <c r="T15" s="6"/>
      <c r="U15" s="297"/>
      <c r="V15" s="297"/>
      <c r="W15" s="297"/>
    </row>
    <row r="16" spans="2:23" ht="15.75" customHeight="1">
      <c r="B16" s="302"/>
      <c r="C16" s="297"/>
      <c r="D16" s="297"/>
      <c r="E16" s="297"/>
      <c r="F16" s="582" t="s">
        <v>21</v>
      </c>
      <c r="G16" s="583"/>
      <c r="H16" s="584"/>
      <c r="I16" s="75"/>
      <c r="J16" s="67">
        <f>J8-I15*J14</f>
        <v>0</v>
      </c>
      <c r="K16" s="68" t="str">
        <f t="shared" si="0"/>
        <v/>
      </c>
      <c r="L16" s="72">
        <f t="shared" si="5"/>
        <v>0</v>
      </c>
      <c r="M16" s="73" t="str">
        <f t="shared" si="1"/>
        <v/>
      </c>
      <c r="N16" s="43" t="str">
        <f t="shared" si="2"/>
        <v/>
      </c>
      <c r="O16" s="71"/>
      <c r="P16" s="43" t="str">
        <f t="shared" si="3"/>
        <v/>
      </c>
      <c r="Q16" s="45" t="str">
        <f t="shared" si="4"/>
        <v/>
      </c>
      <c r="R16" s="37"/>
      <c r="S16" s="589" t="s">
        <v>22</v>
      </c>
      <c r="T16" s="589"/>
      <c r="U16" s="297"/>
      <c r="V16" s="297"/>
      <c r="W16" s="297"/>
    </row>
    <row r="17" spans="1:33" ht="15.75" customHeight="1">
      <c r="B17" s="302"/>
      <c r="C17" s="297"/>
      <c r="D17" s="297"/>
      <c r="E17" s="297"/>
      <c r="F17" s="582" t="s">
        <v>23</v>
      </c>
      <c r="G17" s="583"/>
      <c r="H17" s="584"/>
      <c r="I17" s="75">
        <f>'Ялта, Ленина, 18'!I17/График!AJ31*График!AJ25</f>
        <v>0</v>
      </c>
      <c r="J17" s="67">
        <f>I48</f>
        <v>0</v>
      </c>
      <c r="K17" s="68" t="str">
        <f t="shared" si="0"/>
        <v/>
      </c>
      <c r="L17" s="72" t="e">
        <f>J17/J14*I14</f>
        <v>#DIV/0!</v>
      </c>
      <c r="M17" s="73" t="e">
        <f t="shared" si="1"/>
        <v>#DIV/0!</v>
      </c>
      <c r="N17" s="43" t="str">
        <f t="shared" si="2"/>
        <v/>
      </c>
      <c r="O17" s="71"/>
      <c r="P17" s="43" t="e">
        <f t="shared" si="3"/>
        <v>#DIV/0!</v>
      </c>
      <c r="Q17" s="45" t="e">
        <f t="shared" si="4"/>
        <v>#DIV/0!</v>
      </c>
      <c r="R17" s="37"/>
      <c r="S17" s="589"/>
      <c r="T17" s="589"/>
      <c r="U17" s="297"/>
      <c r="V17" s="297"/>
      <c r="W17" s="297"/>
    </row>
    <row r="18" spans="1:33" ht="15.75" customHeight="1">
      <c r="B18" s="302"/>
      <c r="C18" s="297"/>
      <c r="D18" s="297"/>
      <c r="E18" s="297"/>
      <c r="F18" s="582"/>
      <c r="G18" s="583"/>
      <c r="H18" s="584"/>
      <c r="I18" s="76"/>
      <c r="J18" s="67"/>
      <c r="K18" s="68" t="str">
        <f t="shared" si="0"/>
        <v/>
      </c>
      <c r="L18" s="72">
        <f t="shared" si="5"/>
        <v>0</v>
      </c>
      <c r="M18" s="73" t="str">
        <f t="shared" si="1"/>
        <v/>
      </c>
      <c r="N18" s="43" t="str">
        <f t="shared" si="2"/>
        <v/>
      </c>
      <c r="O18" s="79">
        <v>0</v>
      </c>
      <c r="P18" s="43" t="str">
        <f t="shared" si="3"/>
        <v/>
      </c>
      <c r="Q18" s="45" t="str">
        <f t="shared" si="4"/>
        <v/>
      </c>
      <c r="R18" s="37"/>
      <c r="S18" s="59">
        <f>'Ялта, Ленина, 18'!S18*График!AJ25/График!AJ31</f>
        <v>0</v>
      </c>
      <c r="T18" s="60">
        <f>K48</f>
        <v>0</v>
      </c>
      <c r="U18" s="297"/>
      <c r="V18" s="297"/>
      <c r="W18" s="297"/>
    </row>
    <row r="19" spans="1:33" ht="15.75" customHeight="1">
      <c r="B19" s="302"/>
      <c r="C19" s="297"/>
      <c r="D19" s="297"/>
      <c r="E19" s="297"/>
      <c r="F19" s="582"/>
      <c r="G19" s="583"/>
      <c r="H19" s="584"/>
      <c r="I19" s="76"/>
      <c r="J19" s="67"/>
      <c r="K19" s="68" t="str">
        <f t="shared" si="0"/>
        <v/>
      </c>
      <c r="L19" s="72">
        <f t="shared" si="5"/>
        <v>0</v>
      </c>
      <c r="M19" s="73" t="str">
        <f t="shared" si="1"/>
        <v/>
      </c>
      <c r="N19" s="43" t="str">
        <f t="shared" si="2"/>
        <v/>
      </c>
      <c r="O19" s="71">
        <v>0</v>
      </c>
      <c r="P19" s="43" t="str">
        <f t="shared" si="3"/>
        <v/>
      </c>
      <c r="Q19" s="45" t="str">
        <f t="shared" si="4"/>
        <v/>
      </c>
      <c r="R19" s="37"/>
      <c r="S19" s="62" t="e">
        <f>T18/S18</f>
        <v>#DIV/0!</v>
      </c>
      <c r="T19" s="62" t="e">
        <f>S19/J14*I14</f>
        <v>#DIV/0!</v>
      </c>
      <c r="U19" s="297"/>
      <c r="V19" s="297"/>
      <c r="W19" s="297"/>
    </row>
    <row r="20" spans="1:33" ht="15.75" customHeight="1">
      <c r="B20" s="302"/>
      <c r="C20" s="297"/>
      <c r="D20" s="297"/>
      <c r="E20" s="297"/>
      <c r="F20" s="594" t="s">
        <v>24</v>
      </c>
      <c r="G20" s="594"/>
      <c r="H20" s="594"/>
      <c r="I20" s="80">
        <f>'Ялта, Ленина, 18'!I20</f>
        <v>0.25</v>
      </c>
      <c r="J20" s="219" t="str">
        <f>N48</f>
        <v/>
      </c>
      <c r="K20" s="219" t="e">
        <f>J20/I20</f>
        <v>#VALUE!</v>
      </c>
      <c r="L20" s="220">
        <f>IF(AND(K8&lt;&gt;0,I14&lt;&gt;0,I48&lt;&gt;0),(I48*N48+(I48/K8-I48)*I20)/(I48/K8),0)</f>
        <v>0</v>
      </c>
      <c r="M20" s="83" t="str">
        <f t="shared" si="1"/>
        <v/>
      </c>
      <c r="N20" s="84" t="str">
        <f t="shared" si="2"/>
        <v/>
      </c>
      <c r="O20" s="85"/>
      <c r="P20" s="86" t="str">
        <f t="shared" si="3"/>
        <v/>
      </c>
      <c r="Q20" s="87" t="str">
        <f t="shared" si="4"/>
        <v/>
      </c>
      <c r="R20" s="37"/>
      <c r="S20" s="37"/>
      <c r="T20" s="297"/>
      <c r="U20" s="297"/>
      <c r="V20" s="297"/>
      <c r="W20" s="297"/>
    </row>
    <row r="21" spans="1:33" ht="15.75" customHeight="1">
      <c r="B21" s="302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37"/>
      <c r="S21" s="37"/>
      <c r="T21" s="297"/>
      <c r="U21" s="297"/>
      <c r="V21" s="297"/>
      <c r="W21" s="297"/>
    </row>
    <row r="22" spans="1:33" ht="16.5" customHeight="1">
      <c r="B22" s="683" t="s">
        <v>25</v>
      </c>
      <c r="C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683"/>
      <c r="O22" s="685" t="s">
        <v>26</v>
      </c>
      <c r="P22" s="683" t="s">
        <v>27</v>
      </c>
      <c r="Q22" s="683"/>
      <c r="R22" s="683"/>
      <c r="S22" s="683"/>
      <c r="T22" s="683"/>
      <c r="U22" s="683"/>
      <c r="V22" s="683"/>
      <c r="W22" s="683"/>
    </row>
    <row r="23" spans="1:33" ht="36">
      <c r="B23" s="222" t="s">
        <v>29</v>
      </c>
      <c r="C23" s="222" t="s">
        <v>30</v>
      </c>
      <c r="D23" s="222" t="s">
        <v>31</v>
      </c>
      <c r="E23" s="222" t="s">
        <v>32</v>
      </c>
      <c r="F23" s="222" t="s">
        <v>33</v>
      </c>
      <c r="G23" s="222" t="s">
        <v>34</v>
      </c>
      <c r="H23" s="222" t="s">
        <v>35</v>
      </c>
      <c r="I23" s="222" t="s">
        <v>23</v>
      </c>
      <c r="J23" s="222" t="s">
        <v>36</v>
      </c>
      <c r="K23" s="90" t="s">
        <v>22</v>
      </c>
      <c r="L23" s="90" t="s">
        <v>15</v>
      </c>
      <c r="M23" s="222" t="s">
        <v>37</v>
      </c>
      <c r="N23" s="222" t="s">
        <v>38</v>
      </c>
      <c r="O23" s="685"/>
      <c r="P23" s="222" t="s">
        <v>39</v>
      </c>
      <c r="Q23" s="222" t="s">
        <v>40</v>
      </c>
      <c r="R23" s="222" t="s">
        <v>41</v>
      </c>
      <c r="S23" s="222" t="s">
        <v>42</v>
      </c>
      <c r="T23" s="222" t="s">
        <v>43</v>
      </c>
      <c r="U23" s="222" t="s">
        <v>44</v>
      </c>
      <c r="V23" s="303" t="s">
        <v>45</v>
      </c>
      <c r="W23" s="303" t="s">
        <v>46</v>
      </c>
      <c r="X23" s="224"/>
    </row>
    <row r="24" spans="1:33">
      <c r="A24" s="304"/>
      <c r="B24" s="305">
        <v>1</v>
      </c>
      <c r="C24" s="306">
        <v>2</v>
      </c>
      <c r="D24" s="306">
        <v>3</v>
      </c>
      <c r="E24" s="306" t="s">
        <v>67</v>
      </c>
      <c r="F24" s="306">
        <v>5</v>
      </c>
      <c r="G24" s="306">
        <v>6</v>
      </c>
      <c r="H24" s="306">
        <v>7</v>
      </c>
      <c r="I24" s="306">
        <v>8</v>
      </c>
      <c r="J24" s="306">
        <v>9</v>
      </c>
      <c r="K24" s="306">
        <v>10</v>
      </c>
      <c r="L24" s="306">
        <v>11</v>
      </c>
      <c r="M24" s="306">
        <v>12</v>
      </c>
      <c r="N24" s="306">
        <v>13</v>
      </c>
      <c r="O24" s="685"/>
      <c r="P24" s="307">
        <v>1</v>
      </c>
      <c r="Q24" s="307">
        <v>2</v>
      </c>
      <c r="R24" s="307">
        <v>3</v>
      </c>
      <c r="S24" s="307">
        <v>4</v>
      </c>
      <c r="T24" s="307">
        <v>5</v>
      </c>
      <c r="U24" s="307">
        <v>6</v>
      </c>
      <c r="V24" s="307">
        <v>10</v>
      </c>
      <c r="W24" s="307">
        <v>11</v>
      </c>
    </row>
    <row r="25" spans="1:33">
      <c r="A25" s="95"/>
      <c r="B25" s="96"/>
      <c r="C25" s="97"/>
      <c r="D25" s="98"/>
      <c r="E25" s="108"/>
      <c r="F25" s="99" t="str">
        <f t="shared" ref="F25:F48" si="6">IF(AND(E25&lt;&gt;"",E25&lt;&gt;0),D25/E25,"")</f>
        <v/>
      </c>
      <c r="G25" s="108"/>
      <c r="H25" s="99" t="str">
        <f t="shared" ref="H25:H48" si="7">IF(AND(G25&lt;&gt;"",G25&lt;&gt;0),D25/G25,"")</f>
        <v/>
      </c>
      <c r="I25" s="108"/>
      <c r="J25" s="98" t="str">
        <f t="shared" ref="J25:J48" si="8">IF(AND(G25&lt;&gt;"",G25&lt;&gt;0),E25/G25,"")</f>
        <v/>
      </c>
      <c r="K25" s="99"/>
      <c r="L25" s="99"/>
      <c r="M25" s="99"/>
      <c r="N25" s="100" t="str">
        <f t="shared" ref="N25:N48" si="9">IF(AND(I25&lt;&gt;"",I25&lt;&gt;0),G25/I25,"")</f>
        <v/>
      </c>
      <c r="O25" s="101" t="e">
        <f t="shared" ref="O25:O48" si="10">D25/P25</f>
        <v>#DIV/0!</v>
      </c>
      <c r="P25" s="102">
        <f t="shared" ref="P25:P37" si="11">$I$8*V25*W25/SUMPRODUCT($W$25:$W$55,$V$25:$V$55)</f>
        <v>0</v>
      </c>
      <c r="Q25" s="103">
        <f t="shared" ref="Q25:Q37" si="12">$I$9*V25*W25/SUMPRODUCT($W$25:$W$55,$V$25:$V$55)</f>
        <v>0</v>
      </c>
      <c r="R25" s="103">
        <f t="shared" ref="R25:R39" si="13">IF($I$12="","",Q25/$I$12)</f>
        <v>0</v>
      </c>
      <c r="S25" s="102" t="e">
        <f ca="1">IF(W25&lt;&gt;"",IF(D25&lt;&gt;"",D25,($I$8-SUM($S24:S$25))*V25*W25/SUMPRODUCT($W25:$W$55,$V25:$V$55)),"")</f>
        <v>#DIV/0!</v>
      </c>
      <c r="T25" s="103" t="e">
        <f ca="1">IF(W25&lt;&gt;"",IF(E25&lt;&gt;"",E25,($I$9-SUM($T24:T$25))*V25*W25/SUMPRODUCT($W25:$W$55,$V25:$V$55)),"")</f>
        <v>#DIV/0!</v>
      </c>
      <c r="U25" s="103" t="e">
        <f ca="1">IF(W25&lt;&gt;"",IF($I$12&lt;&gt;"",IF(G25&lt;&gt;"",G25,($I$9/$I$12-SUM($U24:U$25))*V25*W25/SUMPRODUCT($W25:$W$55,$V25:$V$55)),""),"")</f>
        <v>#DIV/0!</v>
      </c>
      <c r="V25" s="104">
        <v>1.1982013014921034</v>
      </c>
      <c r="W25" s="104">
        <v>1.1982013014921034</v>
      </c>
      <c r="X25" s="107"/>
      <c r="Y25" s="106"/>
      <c r="Z25" s="2"/>
      <c r="AA25" s="2"/>
      <c r="AB25" s="2"/>
      <c r="AC25" s="2"/>
      <c r="AD25" s="2"/>
      <c r="AE25" s="2"/>
      <c r="AF25" s="2"/>
      <c r="AG25" s="2"/>
    </row>
    <row r="26" spans="1:33">
      <c r="A26" s="95"/>
      <c r="B26" s="96"/>
      <c r="C26" s="97"/>
      <c r="D26" s="98"/>
      <c r="E26" s="97"/>
      <c r="F26" s="99" t="str">
        <f t="shared" si="6"/>
        <v/>
      </c>
      <c r="G26" s="99"/>
      <c r="H26" s="99" t="str">
        <f t="shared" si="7"/>
        <v/>
      </c>
      <c r="I26" s="99"/>
      <c r="J26" s="98" t="str">
        <f t="shared" si="8"/>
        <v/>
      </c>
      <c r="K26" s="99"/>
      <c r="L26" s="99"/>
      <c r="M26" s="99"/>
      <c r="N26" s="100" t="str">
        <f t="shared" si="9"/>
        <v/>
      </c>
      <c r="O26" s="101" t="e">
        <f t="shared" si="10"/>
        <v>#DIV/0!</v>
      </c>
      <c r="P26" s="102">
        <f t="shared" si="11"/>
        <v>0</v>
      </c>
      <c r="Q26" s="103">
        <f t="shared" si="12"/>
        <v>0</v>
      </c>
      <c r="R26" s="103">
        <f t="shared" si="13"/>
        <v>0</v>
      </c>
      <c r="S26" s="102" t="str">
        <f t="shared" ref="S26:S47" si="14">IF(W26&lt;&gt;"",IF(D26&lt;&gt;"",D26,($I$8-SUM($S$25:S25))*V26*W26/SUMPRODUCT($W26:$W$55,$V26:$V$55)),"")</f>
        <v/>
      </c>
      <c r="T26" s="103" t="str">
        <f>IF(W26&lt;&gt;"",IF(E25&lt;&gt;"",E25,($I$9-SUM($T$25:T25))*V26*W26/SUMPRODUCT($W26:$W$55,$V26:$V$55)),"")</f>
        <v/>
      </c>
      <c r="U26" s="103" t="str">
        <f t="shared" ref="U26:U47" si="15">IF(W26&lt;&gt;"",IF($I$12&lt;&gt;"",IF(G26&lt;&gt;"",G26,($I$9/$I$12-SUM($U$25:U25))*V26*W26/SUMPRODUCT($W26:$W$55,$V26:$V$55)),""),"")</f>
        <v/>
      </c>
      <c r="V26" s="104"/>
      <c r="W26" s="104"/>
      <c r="X26" s="107"/>
      <c r="Y26" s="106"/>
      <c r="Z26" s="2"/>
      <c r="AA26" s="2"/>
      <c r="AB26" s="2"/>
      <c r="AC26" s="2"/>
      <c r="AD26" s="2"/>
      <c r="AE26" s="2"/>
      <c r="AF26" s="2"/>
      <c r="AG26" s="2"/>
    </row>
    <row r="27" spans="1:33">
      <c r="A27" s="95"/>
      <c r="B27" s="308"/>
      <c r="C27" s="309"/>
      <c r="D27" s="310"/>
      <c r="E27" s="108"/>
      <c r="F27" s="99" t="str">
        <f t="shared" si="6"/>
        <v/>
      </c>
      <c r="G27" s="108"/>
      <c r="H27" s="99" t="str">
        <f t="shared" si="7"/>
        <v/>
      </c>
      <c r="I27" s="108"/>
      <c r="J27" s="98" t="str">
        <f t="shared" si="8"/>
        <v/>
      </c>
      <c r="K27" s="99"/>
      <c r="L27" s="99"/>
      <c r="M27" s="99"/>
      <c r="N27" s="100" t="str">
        <f t="shared" si="9"/>
        <v/>
      </c>
      <c r="O27" s="101" t="e">
        <f t="shared" si="10"/>
        <v>#DIV/0!</v>
      </c>
      <c r="P27" s="102">
        <f t="shared" si="11"/>
        <v>0</v>
      </c>
      <c r="Q27" s="103">
        <f t="shared" si="12"/>
        <v>0</v>
      </c>
      <c r="R27" s="103">
        <f t="shared" si="13"/>
        <v>0</v>
      </c>
      <c r="S27" s="102" t="str">
        <f t="shared" si="14"/>
        <v/>
      </c>
      <c r="T27" s="103" t="str">
        <f t="shared" ref="T27:T47" si="16">IF(W27&lt;&gt;"",IF(E27&lt;&gt;"",E27,($I$9-SUM($T$25:T26))*V27*W27/SUMPRODUCT($W27:$W$55,$V27:$V$55)),"")</f>
        <v/>
      </c>
      <c r="U27" s="103" t="str">
        <f t="shared" si="15"/>
        <v/>
      </c>
      <c r="V27" s="280"/>
      <c r="W27" s="280"/>
      <c r="X27" s="106"/>
      <c r="Y27" s="106"/>
      <c r="Z27" s="111"/>
      <c r="AA27" s="2"/>
      <c r="AB27" s="2"/>
      <c r="AC27" s="2"/>
      <c r="AD27" s="2"/>
      <c r="AE27" s="2"/>
      <c r="AF27" s="2"/>
      <c r="AG27" s="2"/>
    </row>
    <row r="28" spans="1:33">
      <c r="A28" s="95"/>
      <c r="B28" s="236"/>
      <c r="C28" s="237"/>
      <c r="D28" s="98"/>
      <c r="E28" s="99"/>
      <c r="F28" s="108" t="str">
        <f t="shared" si="6"/>
        <v/>
      </c>
      <c r="G28" s="99"/>
      <c r="H28" s="99" t="str">
        <f t="shared" si="7"/>
        <v/>
      </c>
      <c r="I28" s="99"/>
      <c r="J28" s="98" t="str">
        <f t="shared" si="8"/>
        <v/>
      </c>
      <c r="K28" s="99"/>
      <c r="L28" s="99"/>
      <c r="M28" s="99"/>
      <c r="N28" s="100" t="str">
        <f t="shared" si="9"/>
        <v/>
      </c>
      <c r="O28" s="101" t="e">
        <f t="shared" si="10"/>
        <v>#DIV/0!</v>
      </c>
      <c r="P28" s="102">
        <f t="shared" si="11"/>
        <v>0</v>
      </c>
      <c r="Q28" s="103">
        <f t="shared" si="12"/>
        <v>0</v>
      </c>
      <c r="R28" s="103">
        <f t="shared" si="13"/>
        <v>0</v>
      </c>
      <c r="S28" s="102" t="str">
        <f t="shared" si="14"/>
        <v/>
      </c>
      <c r="T28" s="103" t="str">
        <f t="shared" si="16"/>
        <v/>
      </c>
      <c r="U28" s="103" t="str">
        <f t="shared" si="15"/>
        <v/>
      </c>
      <c r="V28" s="280"/>
      <c r="W28" s="280"/>
      <c r="X28" s="106"/>
      <c r="Y28" s="106"/>
      <c r="Z28" s="111"/>
      <c r="AA28" s="2"/>
      <c r="AB28" s="2"/>
      <c r="AC28" s="2"/>
      <c r="AD28" s="2"/>
      <c r="AE28" s="2"/>
      <c r="AF28" s="2"/>
      <c r="AG28" s="2"/>
    </row>
    <row r="29" spans="1:33" s="234" customFormat="1">
      <c r="A29" s="95"/>
      <c r="B29" s="308"/>
      <c r="C29" s="311"/>
      <c r="D29" s="249"/>
      <c r="E29" s="245"/>
      <c r="F29" s="238" t="str">
        <f t="shared" si="6"/>
        <v/>
      </c>
      <c r="G29" s="245"/>
      <c r="H29" s="238" t="str">
        <f t="shared" si="7"/>
        <v/>
      </c>
      <c r="I29" s="245"/>
      <c r="J29" s="232" t="str">
        <f t="shared" si="8"/>
        <v/>
      </c>
      <c r="K29" s="238"/>
      <c r="L29" s="238"/>
      <c r="M29" s="238"/>
      <c r="N29" s="239" t="str">
        <f t="shared" si="9"/>
        <v/>
      </c>
      <c r="O29" s="240" t="e">
        <f t="shared" si="10"/>
        <v>#DIV/0!</v>
      </c>
      <c r="P29" s="241">
        <f t="shared" si="11"/>
        <v>0</v>
      </c>
      <c r="Q29" s="242">
        <f t="shared" si="12"/>
        <v>0</v>
      </c>
      <c r="R29" s="242">
        <f t="shared" si="13"/>
        <v>0</v>
      </c>
      <c r="S29" s="241" t="str">
        <f t="shared" si="14"/>
        <v/>
      </c>
      <c r="T29" s="242" t="str">
        <f t="shared" si="16"/>
        <v/>
      </c>
      <c r="U29" s="242" t="str">
        <f t="shared" si="15"/>
        <v/>
      </c>
      <c r="V29" s="284"/>
      <c r="W29" s="284"/>
      <c r="X29" s="243"/>
      <c r="Y29" s="243"/>
      <c r="Z29" s="244"/>
      <c r="AA29" s="244"/>
      <c r="AB29" s="244"/>
      <c r="AC29" s="244"/>
      <c r="AD29" s="244"/>
      <c r="AE29" s="244"/>
      <c r="AF29" s="244"/>
      <c r="AG29" s="244"/>
    </row>
    <row r="30" spans="1:33" s="234" customFormat="1" ht="15.25" customHeight="1">
      <c r="A30" s="235"/>
      <c r="B30" s="312"/>
      <c r="C30" s="311"/>
      <c r="D30" s="248"/>
      <c r="E30" s="238"/>
      <c r="F30" s="245" t="str">
        <f t="shared" si="6"/>
        <v/>
      </c>
      <c r="G30" s="238"/>
      <c r="H30" s="245" t="str">
        <f t="shared" si="7"/>
        <v/>
      </c>
      <c r="I30" s="238"/>
      <c r="J30" s="248" t="str">
        <f t="shared" si="8"/>
        <v/>
      </c>
      <c r="K30" s="238"/>
      <c r="L30" s="245"/>
      <c r="M30" s="238"/>
      <c r="N30" s="313" t="str">
        <f t="shared" si="9"/>
        <v/>
      </c>
      <c r="O30" s="240" t="e">
        <f t="shared" si="10"/>
        <v>#DIV/0!</v>
      </c>
      <c r="P30" s="276">
        <f t="shared" si="11"/>
        <v>0</v>
      </c>
      <c r="Q30" s="242">
        <f t="shared" si="12"/>
        <v>0</v>
      </c>
      <c r="R30" s="275">
        <f t="shared" si="13"/>
        <v>0</v>
      </c>
      <c r="S30" s="241" t="str">
        <f t="shared" si="14"/>
        <v/>
      </c>
      <c r="T30" s="242" t="str">
        <f t="shared" si="16"/>
        <v/>
      </c>
      <c r="U30" s="242" t="str">
        <f t="shared" si="15"/>
        <v/>
      </c>
      <c r="V30" s="284"/>
      <c r="W30" s="284"/>
      <c r="X30" s="243"/>
      <c r="Y30" s="243"/>
      <c r="Z30" s="244"/>
      <c r="AA30" s="244"/>
      <c r="AB30" s="244"/>
      <c r="AC30" s="244"/>
      <c r="AD30" s="244"/>
      <c r="AE30" s="244"/>
      <c r="AF30" s="244"/>
      <c r="AG30" s="244"/>
    </row>
    <row r="31" spans="1:33" s="234" customFormat="1">
      <c r="A31" s="235"/>
      <c r="B31" s="312"/>
      <c r="C31" s="311"/>
      <c r="D31" s="249"/>
      <c r="E31" s="245"/>
      <c r="F31" s="238" t="str">
        <f t="shared" si="6"/>
        <v/>
      </c>
      <c r="G31" s="245"/>
      <c r="H31" s="238" t="str">
        <f t="shared" si="7"/>
        <v/>
      </c>
      <c r="I31" s="245"/>
      <c r="J31" s="232" t="str">
        <f t="shared" si="8"/>
        <v/>
      </c>
      <c r="K31" s="238"/>
      <c r="L31" s="238"/>
      <c r="M31" s="238"/>
      <c r="N31" s="239" t="str">
        <f t="shared" si="9"/>
        <v/>
      </c>
      <c r="O31" s="240" t="e">
        <f t="shared" si="10"/>
        <v>#DIV/0!</v>
      </c>
      <c r="P31" s="241">
        <f t="shared" si="11"/>
        <v>0</v>
      </c>
      <c r="Q31" s="242">
        <f t="shared" si="12"/>
        <v>0</v>
      </c>
      <c r="R31" s="242">
        <f t="shared" si="13"/>
        <v>0</v>
      </c>
      <c r="S31" s="241" t="str">
        <f t="shared" si="14"/>
        <v/>
      </c>
      <c r="T31" s="242" t="str">
        <f t="shared" si="16"/>
        <v/>
      </c>
      <c r="U31" s="242" t="str">
        <f t="shared" si="15"/>
        <v/>
      </c>
      <c r="V31" s="284"/>
      <c r="W31" s="284"/>
      <c r="X31" s="243"/>
      <c r="Y31" s="243"/>
      <c r="Z31" s="246"/>
      <c r="AA31" s="244"/>
      <c r="AB31" s="244"/>
      <c r="AC31" s="244"/>
      <c r="AD31" s="244"/>
      <c r="AE31" s="244"/>
      <c r="AF31" s="244"/>
      <c r="AG31" s="244"/>
    </row>
    <row r="32" spans="1:33" s="234" customFormat="1">
      <c r="A32" s="235"/>
      <c r="B32" s="312"/>
      <c r="C32" s="311"/>
      <c r="D32" s="248"/>
      <c r="E32" s="238"/>
      <c r="F32" s="245" t="str">
        <f t="shared" si="6"/>
        <v/>
      </c>
      <c r="G32" s="238"/>
      <c r="H32" s="245" t="str">
        <f t="shared" si="7"/>
        <v/>
      </c>
      <c r="I32" s="238"/>
      <c r="J32" s="232" t="str">
        <f t="shared" si="8"/>
        <v/>
      </c>
      <c r="K32" s="238"/>
      <c r="L32" s="238"/>
      <c r="M32" s="238"/>
      <c r="N32" s="239" t="str">
        <f t="shared" si="9"/>
        <v/>
      </c>
      <c r="O32" s="240" t="e">
        <f t="shared" si="10"/>
        <v>#DIV/0!</v>
      </c>
      <c r="P32" s="241">
        <f t="shared" si="11"/>
        <v>0</v>
      </c>
      <c r="Q32" s="242">
        <f t="shared" si="12"/>
        <v>0</v>
      </c>
      <c r="R32" s="242">
        <f t="shared" si="13"/>
        <v>0</v>
      </c>
      <c r="S32" s="241" t="str">
        <f t="shared" si="14"/>
        <v/>
      </c>
      <c r="T32" s="242" t="str">
        <f t="shared" si="16"/>
        <v/>
      </c>
      <c r="U32" s="242" t="str">
        <f t="shared" si="15"/>
        <v/>
      </c>
      <c r="V32" s="284"/>
      <c r="W32" s="284"/>
      <c r="X32" s="243"/>
      <c r="Y32" s="243"/>
      <c r="Z32" s="246"/>
      <c r="AA32" s="244"/>
      <c r="AB32" s="244"/>
      <c r="AC32" s="244"/>
      <c r="AD32" s="244"/>
      <c r="AE32" s="244"/>
      <c r="AF32" s="244"/>
      <c r="AG32" s="244"/>
    </row>
    <row r="33" spans="1:33" s="234" customFormat="1">
      <c r="A33" s="235"/>
      <c r="B33" s="312"/>
      <c r="C33" s="311"/>
      <c r="D33" s="249"/>
      <c r="E33" s="238"/>
      <c r="F33" s="238" t="str">
        <f t="shared" si="6"/>
        <v/>
      </c>
      <c r="G33" s="238"/>
      <c r="H33" s="238" t="str">
        <f t="shared" si="7"/>
        <v/>
      </c>
      <c r="I33" s="238"/>
      <c r="J33" s="232" t="str">
        <f t="shared" si="8"/>
        <v/>
      </c>
      <c r="K33" s="238"/>
      <c r="L33" s="238"/>
      <c r="M33" s="238"/>
      <c r="N33" s="239" t="str">
        <f t="shared" si="9"/>
        <v/>
      </c>
      <c r="O33" s="240" t="e">
        <f t="shared" si="10"/>
        <v>#DIV/0!</v>
      </c>
      <c r="P33" s="241">
        <f t="shared" si="11"/>
        <v>0</v>
      </c>
      <c r="Q33" s="242">
        <f t="shared" si="12"/>
        <v>0</v>
      </c>
      <c r="R33" s="242">
        <f t="shared" si="13"/>
        <v>0</v>
      </c>
      <c r="S33" s="241" t="str">
        <f t="shared" si="14"/>
        <v/>
      </c>
      <c r="T33" s="242" t="str">
        <f t="shared" si="16"/>
        <v/>
      </c>
      <c r="U33" s="242" t="str">
        <f t="shared" si="15"/>
        <v/>
      </c>
      <c r="V33" s="284"/>
      <c r="W33" s="284"/>
      <c r="X33" s="243"/>
      <c r="Y33" s="243"/>
      <c r="Z33" s="246"/>
      <c r="AA33" s="244"/>
      <c r="AB33" s="244"/>
      <c r="AC33" s="244"/>
      <c r="AD33" s="244"/>
      <c r="AE33" s="244"/>
      <c r="AF33" s="244"/>
      <c r="AG33" s="244"/>
    </row>
    <row r="34" spans="1:33" s="234" customFormat="1">
      <c r="A34" s="235"/>
      <c r="B34" s="236"/>
      <c r="C34" s="314"/>
      <c r="D34" s="232"/>
      <c r="E34" s="245"/>
      <c r="F34" s="238" t="str">
        <f t="shared" si="6"/>
        <v/>
      </c>
      <c r="G34" s="245"/>
      <c r="H34" s="238" t="str">
        <f t="shared" si="7"/>
        <v/>
      </c>
      <c r="I34" s="245"/>
      <c r="J34" s="232" t="str">
        <f t="shared" si="8"/>
        <v/>
      </c>
      <c r="K34" s="245"/>
      <c r="L34" s="238"/>
      <c r="M34" s="245"/>
      <c r="N34" s="239" t="str">
        <f t="shared" si="9"/>
        <v/>
      </c>
      <c r="O34" s="274" t="e">
        <f t="shared" si="10"/>
        <v>#DIV/0!</v>
      </c>
      <c r="P34" s="241">
        <f t="shared" si="11"/>
        <v>0</v>
      </c>
      <c r="Q34" s="275">
        <f t="shared" si="12"/>
        <v>0</v>
      </c>
      <c r="R34" s="242">
        <f t="shared" si="13"/>
        <v>0</v>
      </c>
      <c r="S34" s="241" t="str">
        <f t="shared" si="14"/>
        <v/>
      </c>
      <c r="T34" s="242" t="str">
        <f t="shared" si="16"/>
        <v/>
      </c>
      <c r="U34" s="242" t="str">
        <f t="shared" si="15"/>
        <v/>
      </c>
      <c r="V34" s="284"/>
      <c r="W34" s="284"/>
      <c r="X34" s="243"/>
      <c r="Y34" s="243"/>
      <c r="Z34" s="244"/>
      <c r="AA34" s="244"/>
      <c r="AB34" s="244"/>
      <c r="AC34" s="244"/>
      <c r="AD34" s="244"/>
      <c r="AE34" s="244"/>
      <c r="AF34" s="244"/>
      <c r="AG34" s="244"/>
    </row>
    <row r="35" spans="1:33" s="234" customFormat="1">
      <c r="A35" s="235"/>
      <c r="B35" s="236"/>
      <c r="C35" s="237"/>
      <c r="D35" s="232"/>
      <c r="E35" s="238"/>
      <c r="F35" s="238" t="str">
        <f t="shared" si="6"/>
        <v/>
      </c>
      <c r="G35" s="238"/>
      <c r="H35" s="238" t="str">
        <f t="shared" si="7"/>
        <v/>
      </c>
      <c r="I35" s="238"/>
      <c r="J35" s="232" t="str">
        <f t="shared" si="8"/>
        <v/>
      </c>
      <c r="K35" s="238"/>
      <c r="L35" s="238"/>
      <c r="M35" s="238"/>
      <c r="N35" s="239" t="str">
        <f t="shared" si="9"/>
        <v/>
      </c>
      <c r="O35" s="240" t="e">
        <f t="shared" si="10"/>
        <v>#DIV/0!</v>
      </c>
      <c r="P35" s="241">
        <f t="shared" si="11"/>
        <v>0</v>
      </c>
      <c r="Q35" s="242">
        <f t="shared" si="12"/>
        <v>0</v>
      </c>
      <c r="R35" s="242">
        <f t="shared" si="13"/>
        <v>0</v>
      </c>
      <c r="S35" s="241" t="str">
        <f t="shared" si="14"/>
        <v/>
      </c>
      <c r="T35" s="242" t="str">
        <f t="shared" si="16"/>
        <v/>
      </c>
      <c r="U35" s="242" t="str">
        <f t="shared" si="15"/>
        <v/>
      </c>
      <c r="V35" s="284"/>
      <c r="W35" s="284"/>
      <c r="X35" s="243"/>
      <c r="Y35" s="243"/>
      <c r="Z35" s="244"/>
      <c r="AA35" s="244"/>
      <c r="AB35" s="244"/>
      <c r="AC35" s="244"/>
      <c r="AD35" s="244"/>
      <c r="AE35" s="244"/>
      <c r="AF35" s="244"/>
      <c r="AG35" s="244"/>
    </row>
    <row r="36" spans="1:33" s="234" customFormat="1">
      <c r="A36" s="235"/>
      <c r="B36" s="236"/>
      <c r="C36" s="237"/>
      <c r="D36" s="232"/>
      <c r="E36" s="238"/>
      <c r="F36" s="238" t="str">
        <f t="shared" si="6"/>
        <v/>
      </c>
      <c r="G36" s="238"/>
      <c r="H36" s="238" t="str">
        <f t="shared" si="7"/>
        <v/>
      </c>
      <c r="I36" s="238"/>
      <c r="J36" s="232" t="str">
        <f t="shared" si="8"/>
        <v/>
      </c>
      <c r="K36" s="238"/>
      <c r="L36" s="238"/>
      <c r="M36" s="238"/>
      <c r="N36" s="239" t="str">
        <f t="shared" si="9"/>
        <v/>
      </c>
      <c r="O36" s="240" t="e">
        <f t="shared" si="10"/>
        <v>#DIV/0!</v>
      </c>
      <c r="P36" s="241">
        <f t="shared" si="11"/>
        <v>0</v>
      </c>
      <c r="Q36" s="242">
        <f t="shared" si="12"/>
        <v>0</v>
      </c>
      <c r="R36" s="242">
        <f t="shared" si="13"/>
        <v>0</v>
      </c>
      <c r="S36" s="241" t="str">
        <f t="shared" si="14"/>
        <v/>
      </c>
      <c r="T36" s="242" t="str">
        <f t="shared" si="16"/>
        <v/>
      </c>
      <c r="U36" s="242" t="str">
        <f t="shared" si="15"/>
        <v/>
      </c>
      <c r="V36" s="284"/>
      <c r="W36" s="284"/>
      <c r="X36" s="243"/>
      <c r="Y36" s="243"/>
      <c r="Z36" s="246"/>
      <c r="AA36" s="244"/>
      <c r="AB36" s="244"/>
      <c r="AC36" s="244"/>
      <c r="AD36" s="244"/>
      <c r="AE36" s="244"/>
      <c r="AF36" s="244"/>
      <c r="AG36" s="244"/>
    </row>
    <row r="37" spans="1:33" s="234" customFormat="1">
      <c r="A37" s="235"/>
      <c r="B37" s="236"/>
      <c r="C37" s="237"/>
      <c r="D37" s="232"/>
      <c r="E37" s="238"/>
      <c r="F37" s="238" t="str">
        <f t="shared" si="6"/>
        <v/>
      </c>
      <c r="G37" s="238"/>
      <c r="H37" s="238" t="str">
        <f t="shared" si="7"/>
        <v/>
      </c>
      <c r="I37" s="238"/>
      <c r="J37" s="232" t="str">
        <f t="shared" si="8"/>
        <v/>
      </c>
      <c r="K37" s="238"/>
      <c r="L37" s="238"/>
      <c r="M37" s="238"/>
      <c r="N37" s="239" t="str">
        <f t="shared" si="9"/>
        <v/>
      </c>
      <c r="O37" s="240" t="e">
        <f t="shared" si="10"/>
        <v>#DIV/0!</v>
      </c>
      <c r="P37" s="241">
        <f t="shared" si="11"/>
        <v>0</v>
      </c>
      <c r="Q37" s="242">
        <f t="shared" si="12"/>
        <v>0</v>
      </c>
      <c r="R37" s="242">
        <f t="shared" si="13"/>
        <v>0</v>
      </c>
      <c r="S37" s="241" t="str">
        <f t="shared" si="14"/>
        <v/>
      </c>
      <c r="T37" s="242" t="str">
        <f t="shared" si="16"/>
        <v/>
      </c>
      <c r="U37" s="242" t="str">
        <f t="shared" si="15"/>
        <v/>
      </c>
      <c r="V37" s="284"/>
      <c r="W37" s="284"/>
      <c r="X37" s="243"/>
      <c r="Y37" s="243"/>
      <c r="Z37" s="246"/>
      <c r="AA37" s="244"/>
      <c r="AB37" s="244"/>
      <c r="AC37" s="244"/>
      <c r="AD37" s="244"/>
      <c r="AE37" s="244"/>
      <c r="AF37" s="244"/>
      <c r="AG37" s="244"/>
    </row>
    <row r="38" spans="1:33" s="234" customFormat="1">
      <c r="A38" s="315"/>
      <c r="B38" s="316"/>
      <c r="C38" s="237"/>
      <c r="D38" s="317"/>
      <c r="E38" s="318"/>
      <c r="F38" s="238" t="str">
        <f t="shared" si="6"/>
        <v/>
      </c>
      <c r="G38" s="318"/>
      <c r="H38" s="238" t="str">
        <f t="shared" si="7"/>
        <v/>
      </c>
      <c r="I38" s="318"/>
      <c r="J38" s="232" t="str">
        <f t="shared" si="8"/>
        <v/>
      </c>
      <c r="K38" s="238"/>
      <c r="L38" s="238"/>
      <c r="M38" s="238"/>
      <c r="N38" s="277" t="str">
        <f t="shared" si="9"/>
        <v/>
      </c>
      <c r="O38" s="319" t="e">
        <f t="shared" si="10"/>
        <v>#DIV/0!</v>
      </c>
      <c r="P38" s="241">
        <f t="shared" ref="P38:P39" si="17">$I$8*V38*W38/SUMPRODUCT($W$25:$W$44,$V$25:$V$44)</f>
        <v>0</v>
      </c>
      <c r="Q38" s="242">
        <f t="shared" ref="Q38:Q39" si="18">$I$9*V38*W38/SUMPRODUCT($W$25:$W$44,$V$25:$V$44)</f>
        <v>0</v>
      </c>
      <c r="R38" s="242">
        <f t="shared" si="13"/>
        <v>0</v>
      </c>
      <c r="S38" s="241" t="str">
        <f t="shared" si="14"/>
        <v/>
      </c>
      <c r="T38" s="242" t="str">
        <f t="shared" si="16"/>
        <v/>
      </c>
      <c r="U38" s="242" t="str">
        <f t="shared" si="15"/>
        <v/>
      </c>
      <c r="V38" s="284"/>
      <c r="W38" s="284"/>
      <c r="X38" s="320"/>
      <c r="Y38" s="320"/>
      <c r="Z38" s="286"/>
    </row>
    <row r="39" spans="1:33" s="234" customFormat="1">
      <c r="A39" s="315"/>
      <c r="B39" s="316"/>
      <c r="C39" s="237"/>
      <c r="D39" s="317"/>
      <c r="E39" s="318"/>
      <c r="F39" s="238" t="str">
        <f t="shared" si="6"/>
        <v/>
      </c>
      <c r="G39" s="318"/>
      <c r="H39" s="238" t="str">
        <f t="shared" si="7"/>
        <v/>
      </c>
      <c r="I39" s="318"/>
      <c r="J39" s="232" t="str">
        <f t="shared" si="8"/>
        <v/>
      </c>
      <c r="K39" s="238"/>
      <c r="L39" s="238"/>
      <c r="M39" s="238"/>
      <c r="N39" s="277" t="str">
        <f t="shared" si="9"/>
        <v/>
      </c>
      <c r="O39" s="319" t="e">
        <f t="shared" si="10"/>
        <v>#DIV/0!</v>
      </c>
      <c r="P39" s="241">
        <f t="shared" si="17"/>
        <v>0</v>
      </c>
      <c r="Q39" s="242">
        <f t="shared" si="18"/>
        <v>0</v>
      </c>
      <c r="R39" s="242">
        <f t="shared" si="13"/>
        <v>0</v>
      </c>
      <c r="S39" s="241" t="str">
        <f t="shared" si="14"/>
        <v/>
      </c>
      <c r="T39" s="242" t="str">
        <f t="shared" si="16"/>
        <v/>
      </c>
      <c r="U39" s="242" t="str">
        <f t="shared" si="15"/>
        <v/>
      </c>
      <c r="V39" s="284"/>
      <c r="W39" s="284"/>
      <c r="X39" s="320"/>
      <c r="Y39" s="320"/>
      <c r="Z39" s="286"/>
    </row>
    <row r="40" spans="1:33" s="234" customFormat="1">
      <c r="A40" s="315"/>
      <c r="B40" s="316"/>
      <c r="C40" s="237"/>
      <c r="D40" s="317"/>
      <c r="E40" s="318"/>
      <c r="F40" s="238" t="str">
        <f t="shared" si="6"/>
        <v/>
      </c>
      <c r="G40" s="318"/>
      <c r="H40" s="238" t="str">
        <f t="shared" si="7"/>
        <v/>
      </c>
      <c r="I40" s="318"/>
      <c r="J40" s="232" t="str">
        <f t="shared" si="8"/>
        <v/>
      </c>
      <c r="K40" s="238"/>
      <c r="L40" s="238"/>
      <c r="M40" s="238"/>
      <c r="N40" s="277" t="str">
        <f t="shared" si="9"/>
        <v/>
      </c>
      <c r="O40" s="319" t="e">
        <f t="shared" si="10"/>
        <v>#DIV/0!</v>
      </c>
      <c r="P40" s="241">
        <f t="shared" ref="P40:P42" si="19">$I$8*V40*W40/SUMPRODUCT($W$25:$W$47,$V$25:$V$47)</f>
        <v>0</v>
      </c>
      <c r="Q40" s="242">
        <f t="shared" ref="Q40:Q42" si="20">$I$9*V40*W40/SUMPRODUCT($W$25:$W$47,$V$25:$V$47)</f>
        <v>0</v>
      </c>
      <c r="R40" s="242">
        <f t="shared" ref="R40:R46" si="21">IF($I$12="", "", Q40/$I$12)</f>
        <v>0</v>
      </c>
      <c r="S40" s="241" t="str">
        <f t="shared" si="14"/>
        <v/>
      </c>
      <c r="T40" s="242" t="str">
        <f t="shared" si="16"/>
        <v/>
      </c>
      <c r="U40" s="242" t="str">
        <f t="shared" si="15"/>
        <v/>
      </c>
      <c r="V40" s="284"/>
      <c r="W40" s="284"/>
      <c r="X40" s="320"/>
      <c r="Y40" s="320"/>
      <c r="Z40" s="286"/>
    </row>
    <row r="41" spans="1:33" s="234" customFormat="1">
      <c r="A41" s="315"/>
      <c r="B41" s="316"/>
      <c r="C41" s="237"/>
      <c r="D41" s="317"/>
      <c r="E41" s="318"/>
      <c r="F41" s="238" t="str">
        <f t="shared" si="6"/>
        <v/>
      </c>
      <c r="G41" s="318"/>
      <c r="H41" s="238" t="str">
        <f t="shared" si="7"/>
        <v/>
      </c>
      <c r="I41" s="318"/>
      <c r="J41" s="232" t="str">
        <f t="shared" si="8"/>
        <v/>
      </c>
      <c r="K41" s="238"/>
      <c r="L41" s="238"/>
      <c r="M41" s="238"/>
      <c r="N41" s="277" t="str">
        <f t="shared" si="9"/>
        <v/>
      </c>
      <c r="O41" s="319" t="e">
        <f t="shared" si="10"/>
        <v>#DIV/0!</v>
      </c>
      <c r="P41" s="241">
        <f t="shared" si="19"/>
        <v>0</v>
      </c>
      <c r="Q41" s="242">
        <f t="shared" si="20"/>
        <v>0</v>
      </c>
      <c r="R41" s="242">
        <f t="shared" si="21"/>
        <v>0</v>
      </c>
      <c r="S41" s="241" t="str">
        <f t="shared" si="14"/>
        <v/>
      </c>
      <c r="T41" s="242" t="str">
        <f t="shared" si="16"/>
        <v/>
      </c>
      <c r="U41" s="242" t="str">
        <f t="shared" si="15"/>
        <v/>
      </c>
      <c r="V41" s="284"/>
      <c r="W41" s="284"/>
      <c r="X41" s="320"/>
      <c r="Y41" s="320"/>
      <c r="Z41" s="286"/>
    </row>
    <row r="42" spans="1:33" s="234" customFormat="1">
      <c r="A42" s="315"/>
      <c r="B42" s="316"/>
      <c r="C42" s="237"/>
      <c r="D42" s="317"/>
      <c r="E42" s="318"/>
      <c r="F42" s="238" t="str">
        <f t="shared" si="6"/>
        <v/>
      </c>
      <c r="G42" s="318"/>
      <c r="H42" s="238" t="str">
        <f t="shared" si="7"/>
        <v/>
      </c>
      <c r="I42" s="318"/>
      <c r="J42" s="232" t="str">
        <f t="shared" si="8"/>
        <v/>
      </c>
      <c r="K42" s="238"/>
      <c r="L42" s="238"/>
      <c r="M42" s="238"/>
      <c r="N42" s="277" t="str">
        <f t="shared" si="9"/>
        <v/>
      </c>
      <c r="O42" s="319" t="e">
        <f t="shared" si="10"/>
        <v>#DIV/0!</v>
      </c>
      <c r="P42" s="241">
        <f t="shared" si="19"/>
        <v>0</v>
      </c>
      <c r="Q42" s="242">
        <f t="shared" si="20"/>
        <v>0</v>
      </c>
      <c r="R42" s="242">
        <f t="shared" si="21"/>
        <v>0</v>
      </c>
      <c r="S42" s="241" t="str">
        <f t="shared" si="14"/>
        <v/>
      </c>
      <c r="T42" s="242" t="str">
        <f t="shared" si="16"/>
        <v/>
      </c>
      <c r="U42" s="242" t="str">
        <f t="shared" si="15"/>
        <v/>
      </c>
      <c r="V42" s="284"/>
      <c r="W42" s="284"/>
      <c r="X42" s="320"/>
      <c r="Y42" s="320"/>
      <c r="Z42" s="286"/>
    </row>
    <row r="43" spans="1:33" s="234" customFormat="1" ht="15" customHeight="1">
      <c r="A43" s="315"/>
      <c r="B43" s="316"/>
      <c r="C43" s="321"/>
      <c r="D43" s="317"/>
      <c r="E43" s="318"/>
      <c r="F43" s="238" t="str">
        <f t="shared" si="6"/>
        <v/>
      </c>
      <c r="G43" s="318"/>
      <c r="H43" s="238" t="str">
        <f t="shared" si="7"/>
        <v/>
      </c>
      <c r="I43" s="318"/>
      <c r="J43" s="232" t="str">
        <f t="shared" si="8"/>
        <v/>
      </c>
      <c r="K43" s="238"/>
      <c r="L43" s="238"/>
      <c r="M43" s="238"/>
      <c r="N43" s="277" t="str">
        <f t="shared" si="9"/>
        <v/>
      </c>
      <c r="O43" s="319" t="e">
        <f t="shared" si="10"/>
        <v>#DIV/0!</v>
      </c>
      <c r="P43" s="241">
        <f t="shared" ref="P43:P46" si="22">$I$8*V43*W43/SUMPRODUCT($W$25:$W$44, $V$25:$V$44)</f>
        <v>0</v>
      </c>
      <c r="Q43" s="242">
        <f t="shared" ref="Q43:Q46" si="23">$I$9*V43*W43/SUMPRODUCT($W$25:$W$44, $V$25:$V$44)</f>
        <v>0</v>
      </c>
      <c r="R43" s="242">
        <f t="shared" si="21"/>
        <v>0</v>
      </c>
      <c r="S43" s="241" t="str">
        <f t="shared" si="14"/>
        <v/>
      </c>
      <c r="T43" s="242" t="str">
        <f t="shared" si="16"/>
        <v/>
      </c>
      <c r="U43" s="242" t="str">
        <f t="shared" si="15"/>
        <v/>
      </c>
      <c r="V43" s="284"/>
      <c r="W43" s="284"/>
      <c r="X43" s="320"/>
      <c r="Y43" s="320"/>
      <c r="Z43" s="286"/>
    </row>
    <row r="44" spans="1:33" s="234" customFormat="1">
      <c r="A44" s="315"/>
      <c r="B44" s="316"/>
      <c r="C44" s="237"/>
      <c r="D44" s="317"/>
      <c r="E44" s="318"/>
      <c r="F44" s="238" t="str">
        <f t="shared" si="6"/>
        <v/>
      </c>
      <c r="G44" s="318"/>
      <c r="H44" s="238" t="str">
        <f t="shared" si="7"/>
        <v/>
      </c>
      <c r="I44" s="318"/>
      <c r="J44" s="232" t="str">
        <f t="shared" si="8"/>
        <v/>
      </c>
      <c r="K44" s="238"/>
      <c r="L44" s="238"/>
      <c r="M44" s="238"/>
      <c r="N44" s="277" t="str">
        <f t="shared" si="9"/>
        <v/>
      </c>
      <c r="O44" s="319" t="e">
        <f t="shared" si="10"/>
        <v>#DIV/0!</v>
      </c>
      <c r="P44" s="241">
        <f t="shared" si="22"/>
        <v>0</v>
      </c>
      <c r="Q44" s="242">
        <f t="shared" si="23"/>
        <v>0</v>
      </c>
      <c r="R44" s="242">
        <f t="shared" si="21"/>
        <v>0</v>
      </c>
      <c r="S44" s="241" t="str">
        <f t="shared" si="14"/>
        <v/>
      </c>
      <c r="T44" s="242" t="str">
        <f t="shared" si="16"/>
        <v/>
      </c>
      <c r="U44" s="242" t="str">
        <f t="shared" si="15"/>
        <v/>
      </c>
      <c r="V44" s="284"/>
      <c r="W44" s="284"/>
      <c r="X44" s="320"/>
      <c r="Y44" s="320"/>
      <c r="Z44" s="286"/>
    </row>
    <row r="45" spans="1:33" s="234" customFormat="1">
      <c r="A45" s="315"/>
      <c r="B45" s="236"/>
      <c r="C45" s="237"/>
      <c r="D45" s="317"/>
      <c r="E45" s="318"/>
      <c r="F45" s="238" t="str">
        <f t="shared" si="6"/>
        <v/>
      </c>
      <c r="G45" s="318"/>
      <c r="H45" s="238" t="str">
        <f t="shared" si="7"/>
        <v/>
      </c>
      <c r="I45" s="318"/>
      <c r="J45" s="232" t="str">
        <f t="shared" si="8"/>
        <v/>
      </c>
      <c r="K45" s="238"/>
      <c r="L45" s="238"/>
      <c r="M45" s="238"/>
      <c r="N45" s="277" t="str">
        <f t="shared" si="9"/>
        <v/>
      </c>
      <c r="O45" s="319" t="e">
        <f t="shared" si="10"/>
        <v>#DIV/0!</v>
      </c>
      <c r="P45" s="241">
        <f t="shared" si="22"/>
        <v>0</v>
      </c>
      <c r="Q45" s="242">
        <f t="shared" si="23"/>
        <v>0</v>
      </c>
      <c r="R45" s="242">
        <f t="shared" si="21"/>
        <v>0</v>
      </c>
      <c r="S45" s="241" t="str">
        <f t="shared" si="14"/>
        <v/>
      </c>
      <c r="T45" s="242" t="str">
        <f t="shared" si="16"/>
        <v/>
      </c>
      <c r="U45" s="242" t="str">
        <f t="shared" si="15"/>
        <v/>
      </c>
      <c r="V45" s="284"/>
      <c r="W45" s="284"/>
      <c r="X45" s="320"/>
      <c r="Y45" s="320"/>
      <c r="Z45" s="286"/>
    </row>
    <row r="46" spans="1:33" customFormat="1">
      <c r="A46" s="322"/>
      <c r="B46" s="96"/>
      <c r="C46" s="97"/>
      <c r="D46" s="323"/>
      <c r="E46" s="324"/>
      <c r="F46" s="99" t="str">
        <f t="shared" si="6"/>
        <v/>
      </c>
      <c r="G46" s="324"/>
      <c r="H46" s="99" t="str">
        <f t="shared" si="7"/>
        <v/>
      </c>
      <c r="I46" s="99"/>
      <c r="J46" s="98" t="str">
        <f t="shared" si="8"/>
        <v/>
      </c>
      <c r="K46" s="99"/>
      <c r="L46" s="99"/>
      <c r="M46" s="99"/>
      <c r="N46" s="279" t="str">
        <f t="shared" si="9"/>
        <v/>
      </c>
      <c r="O46" s="325" t="e">
        <f t="shared" si="10"/>
        <v>#DIV/0!</v>
      </c>
      <c r="P46" s="102">
        <f t="shared" si="22"/>
        <v>0</v>
      </c>
      <c r="Q46" s="103">
        <f t="shared" si="23"/>
        <v>0</v>
      </c>
      <c r="R46" s="103">
        <f t="shared" si="21"/>
        <v>0</v>
      </c>
      <c r="S46" s="102" t="str">
        <f t="shared" si="14"/>
        <v/>
      </c>
      <c r="T46" s="103" t="str">
        <f t="shared" si="16"/>
        <v/>
      </c>
      <c r="U46" s="103" t="str">
        <f t="shared" si="15"/>
        <v/>
      </c>
      <c r="V46" s="280"/>
      <c r="W46" s="280"/>
      <c r="X46" s="326"/>
      <c r="Y46" s="327"/>
    </row>
    <row r="47" spans="1:33" customFormat="1" ht="15.25" customHeight="1">
      <c r="A47" s="95"/>
      <c r="B47" s="96"/>
      <c r="C47" s="328"/>
      <c r="D47" s="98"/>
      <c r="E47" s="99"/>
      <c r="F47" s="99" t="str">
        <f t="shared" si="6"/>
        <v/>
      </c>
      <c r="G47" s="99"/>
      <c r="H47" s="99" t="str">
        <f t="shared" si="7"/>
        <v/>
      </c>
      <c r="I47" s="99"/>
      <c r="J47" s="98" t="str">
        <f t="shared" si="8"/>
        <v/>
      </c>
      <c r="K47" s="99"/>
      <c r="L47" s="99"/>
      <c r="M47" s="99"/>
      <c r="N47" s="100" t="str">
        <f t="shared" si="9"/>
        <v/>
      </c>
      <c r="O47" s="101" t="e">
        <f t="shared" si="10"/>
        <v>#DIV/0!</v>
      </c>
      <c r="P47" s="102">
        <f>$I$8*V47*W47/SUMPRODUCT($W$25:$W$55,$V$25:$V$55)</f>
        <v>0</v>
      </c>
      <c r="Q47" s="103">
        <f>$I$9*V47*W47/SUMPRODUCT($W$25:$W$55,$V$25:$V$55)</f>
        <v>0</v>
      </c>
      <c r="R47" s="103">
        <f>IF($I$12="","",Q47/$I$12)</f>
        <v>0</v>
      </c>
      <c r="S47" s="102" t="str">
        <f t="shared" si="14"/>
        <v/>
      </c>
      <c r="T47" s="103" t="str">
        <f t="shared" si="16"/>
        <v/>
      </c>
      <c r="U47" s="103" t="str">
        <f t="shared" si="15"/>
        <v/>
      </c>
      <c r="V47" s="280"/>
      <c r="W47" s="280"/>
      <c r="X47" s="106"/>
      <c r="Y47" s="106"/>
      <c r="Z47" s="2"/>
      <c r="AA47" s="2"/>
      <c r="AB47" s="2"/>
      <c r="AC47" s="2"/>
      <c r="AD47" s="2"/>
      <c r="AE47" s="2"/>
      <c r="AF47" s="2"/>
      <c r="AG47" s="2"/>
    </row>
    <row r="48" spans="1:33" ht="15" customHeight="1">
      <c r="B48" s="684" t="s">
        <v>60</v>
      </c>
      <c r="C48" s="684"/>
      <c r="D48" s="329">
        <f>SUM(D25:D47)</f>
        <v>0</v>
      </c>
      <c r="E48" s="329">
        <f>SUM(E25:E47)</f>
        <v>0</v>
      </c>
      <c r="F48" s="329" t="str">
        <f t="shared" si="6"/>
        <v/>
      </c>
      <c r="G48" s="329">
        <f>SUM(G25:G47)</f>
        <v>0</v>
      </c>
      <c r="H48" s="329" t="str">
        <f t="shared" si="7"/>
        <v/>
      </c>
      <c r="I48" s="329">
        <f>SUM(I25:I47)</f>
        <v>0</v>
      </c>
      <c r="J48" s="330" t="str">
        <f t="shared" si="8"/>
        <v/>
      </c>
      <c r="K48" s="329">
        <f>SUM(K25:K47)</f>
        <v>0</v>
      </c>
      <c r="L48" s="329">
        <f>SUM(L25:L47)</f>
        <v>0</v>
      </c>
      <c r="M48" s="329">
        <f>SUM(M25:M47)</f>
        <v>0</v>
      </c>
      <c r="N48" s="331" t="str">
        <f t="shared" si="9"/>
        <v/>
      </c>
      <c r="O48" s="332" t="e">
        <f t="shared" si="10"/>
        <v>#DIV/0!</v>
      </c>
      <c r="P48" s="333">
        <f t="shared" ref="P48:U48" si="24">SUM(P25:P47)</f>
        <v>0</v>
      </c>
      <c r="Q48" s="333">
        <f t="shared" si="24"/>
        <v>0</v>
      </c>
      <c r="R48" s="333">
        <f t="shared" si="24"/>
        <v>0</v>
      </c>
      <c r="S48" s="333" t="e">
        <f t="shared" ca="1" si="24"/>
        <v>#DIV/0!</v>
      </c>
      <c r="T48" s="333" t="e">
        <f t="shared" ca="1" si="24"/>
        <v>#DIV/0!</v>
      </c>
      <c r="U48" s="333" t="e">
        <f t="shared" ca="1" si="24"/>
        <v>#DIV/0!</v>
      </c>
      <c r="V48" s="334"/>
      <c r="W48" s="334"/>
    </row>
    <row r="49" spans="2:17">
      <c r="B49" s="120"/>
      <c r="C49" s="121"/>
      <c r="D49" s="122">
        <f>SUMIF(D25:D47,"",P25:P47)+D48</f>
        <v>0</v>
      </c>
      <c r="E49" s="335"/>
      <c r="F49" s="121"/>
      <c r="G49" s="121"/>
      <c r="H49" s="124"/>
      <c r="I49" s="229"/>
      <c r="J49" s="124"/>
      <c r="L49" s="126"/>
      <c r="M49" s="335"/>
      <c r="N49" s="126"/>
      <c r="O49" s="126"/>
      <c r="P49" s="126"/>
      <c r="Q49" s="336"/>
    </row>
    <row r="50" spans="2:17">
      <c r="D50" s="224"/>
    </row>
    <row r="52" spans="2:17">
      <c r="D52" s="224"/>
    </row>
    <row r="53" spans="2:17">
      <c r="D53" s="224"/>
    </row>
  </sheetData>
  <mergeCells count="28">
    <mergeCell ref="P22:W22"/>
    <mergeCell ref="B48:C48"/>
    <mergeCell ref="F18:H18"/>
    <mergeCell ref="F19:H19"/>
    <mergeCell ref="F20:H20"/>
    <mergeCell ref="B22:N22"/>
    <mergeCell ref="O22:O24"/>
    <mergeCell ref="F14:H14"/>
    <mergeCell ref="F15:H15"/>
    <mergeCell ref="F16:H16"/>
    <mergeCell ref="S16:T17"/>
    <mergeCell ref="F17:H17"/>
    <mergeCell ref="F10:H10"/>
    <mergeCell ref="S10:T11"/>
    <mergeCell ref="F11:H11"/>
    <mergeCell ref="F12:H12"/>
    <mergeCell ref="F13:H13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49" priority="274" operator="lessThan">
      <formula>0</formula>
    </cfRule>
    <cfRule type="cellIs" dxfId="48" priority="275" operator="greaterThan">
      <formula>0</formula>
    </cfRule>
  </conditionalFormatting>
  <conditionalFormatting sqref="J25">
    <cfRule type="cellIs" dxfId="47" priority="10" operator="lessThan">
      <formula>$I$12</formula>
    </cfRule>
    <cfRule type="cellIs" dxfId="46" priority="11" operator="greaterThan">
      <formula>$I$12</formula>
    </cfRule>
  </conditionalFormatting>
  <conditionalFormatting sqref="J25:J28">
    <cfRule type="cellIs" dxfId="45" priority="12" operator="lessThan">
      <formula>$I$12</formula>
    </cfRule>
  </conditionalFormatting>
  <conditionalFormatting sqref="J26:J28">
    <cfRule type="cellIs" dxfId="44" priority="23" operator="greaterThan">
      <formula>$I$12</formula>
    </cfRule>
  </conditionalFormatting>
  <conditionalFormatting sqref="J29:J33">
    <cfRule type="cellIs" dxfId="43" priority="105" operator="greaterThan">
      <formula>$I$12</formula>
    </cfRule>
  </conditionalFormatting>
  <conditionalFormatting sqref="J29:J34">
    <cfRule type="cellIs" dxfId="42" priority="90" operator="lessThan">
      <formula>$I$12</formula>
    </cfRule>
  </conditionalFormatting>
  <conditionalFormatting sqref="J30">
    <cfRule type="cellIs" dxfId="41" priority="279" operator="lessThan">
      <formula>$I$12</formula>
    </cfRule>
  </conditionalFormatting>
  <conditionalFormatting sqref="J34:J47">
    <cfRule type="cellIs" dxfId="40" priority="89" operator="greaterThan">
      <formula>$I$12</formula>
    </cfRule>
    <cfRule type="cellIs" dxfId="39" priority="88" operator="lessThan">
      <formula>$I$12</formula>
    </cfRule>
  </conditionalFormatting>
  <conditionalFormatting sqref="K10:K12 K15">
    <cfRule type="cellIs" dxfId="38" priority="273" operator="greaterThan">
      <formula>1</formula>
    </cfRule>
    <cfRule type="cellIs" dxfId="37" priority="272" operator="lessThan">
      <formula>1</formula>
    </cfRule>
  </conditionalFormatting>
  <conditionalFormatting sqref="M8:M15">
    <cfRule type="cellIs" dxfId="36" priority="277" operator="lessThan">
      <formula>1</formula>
    </cfRule>
    <cfRule type="cellIs" dxfId="35" priority="271" operator="greaterThan">
      <formula>1</formula>
    </cfRule>
  </conditionalFormatting>
  <conditionalFormatting sqref="N25:N28">
    <cfRule type="cellIs" dxfId="34" priority="8" operator="greaterThanOrEqual">
      <formula>0.25</formula>
    </cfRule>
    <cfRule type="cellIs" dxfId="33" priority="7" operator="between">
      <formula>0.2</formula>
      <formula>0.25</formula>
    </cfRule>
  </conditionalFormatting>
  <conditionalFormatting sqref="N25:N47">
    <cfRule type="cellIs" dxfId="32" priority="9" operator="lessThan">
      <formula>0.2</formula>
    </cfRule>
  </conditionalFormatting>
  <conditionalFormatting sqref="N29:N33">
    <cfRule type="cellIs" dxfId="31" priority="102" operator="greaterThanOrEqual">
      <formula>0.25</formula>
    </cfRule>
  </conditionalFormatting>
  <conditionalFormatting sqref="N29:N34">
    <cfRule type="cellIs" dxfId="30" priority="91" operator="between">
      <formula>0.2</formula>
      <formula>0.25</formula>
    </cfRule>
  </conditionalFormatting>
  <conditionalFormatting sqref="N30">
    <cfRule type="cellIs" dxfId="29" priority="282" operator="between">
      <formula>0.2</formula>
      <formula>0.25</formula>
    </cfRule>
  </conditionalFormatting>
  <conditionalFormatting sqref="N34:N47">
    <cfRule type="cellIs" dxfId="28" priority="85" operator="between">
      <formula>0.2</formula>
      <formula>0.25</formula>
    </cfRule>
    <cfRule type="cellIs" dxfId="27" priority="86" operator="greaterThanOrEqual">
      <formula>0.25</formula>
    </cfRule>
  </conditionalFormatting>
  <conditionalFormatting sqref="O25:O28">
    <cfRule type="cellIs" dxfId="26" priority="6" operator="between">
      <formula>0.01</formula>
      <formula>0.99</formula>
    </cfRule>
    <cfRule type="cellIs" dxfId="25" priority="5" operator="between">
      <formula>0.85</formula>
      <formula>1</formula>
    </cfRule>
    <cfRule type="cellIs" dxfId="24" priority="1" operator="between">
      <formula>0.9001</formula>
      <formula>0.9999</formula>
    </cfRule>
    <cfRule type="cellIs" dxfId="23" priority="2" operator="lessThan">
      <formula>0.9</formula>
    </cfRule>
  </conditionalFormatting>
  <conditionalFormatting sqref="O25:O47">
    <cfRule type="cellIs" dxfId="22" priority="4" operator="greaterThan">
      <formula>100</formula>
    </cfRule>
    <cfRule type="cellIs" dxfId="21" priority="3" operator="greaterThan">
      <formula>1</formula>
    </cfRule>
  </conditionalFormatting>
  <conditionalFormatting sqref="O29:O33">
    <cfRule type="cellIs" dxfId="20" priority="99" operator="between">
      <formula>0.85</formula>
      <formula>1</formula>
    </cfRule>
    <cfRule type="cellIs" dxfId="19" priority="100" operator="between">
      <formula>0.01</formula>
      <formula>0.99</formula>
    </cfRule>
  </conditionalFormatting>
  <conditionalFormatting sqref="O29:O34">
    <cfRule type="cellIs" dxfId="18" priority="94" operator="between">
      <formula>0.9001</formula>
      <formula>0.9999</formula>
    </cfRule>
    <cfRule type="cellIs" dxfId="17" priority="93" operator="lessThan">
      <formula>0.9</formula>
    </cfRule>
  </conditionalFormatting>
  <conditionalFormatting sqref="O30">
    <cfRule type="cellIs" dxfId="16" priority="284" operator="between">
      <formula>0.85</formula>
      <formula>1</formula>
    </cfRule>
    <cfRule type="cellIs" dxfId="15" priority="287" operator="lessThan">
      <formula>0.9</formula>
    </cfRule>
    <cfRule type="cellIs" dxfId="14" priority="288" operator="between">
      <formula>0.9001</formula>
      <formula>0.9999</formula>
    </cfRule>
  </conditionalFormatting>
  <conditionalFormatting sqref="O34">
    <cfRule type="cellIs" dxfId="13" priority="92" operator="between">
      <formula>0.85</formula>
      <formula>1</formula>
    </cfRule>
  </conditionalFormatting>
  <conditionalFormatting sqref="O34:O37">
    <cfRule type="cellIs" dxfId="12" priority="84" operator="between">
      <formula>0.01</formula>
      <formula>0.99</formula>
    </cfRule>
    <cfRule type="cellIs" dxfId="11" priority="80" operator="lessThan">
      <formula>0.9</formula>
    </cfRule>
    <cfRule type="cellIs" dxfId="10" priority="79" operator="between">
      <formula>0.9001</formula>
      <formula>0.9999</formula>
    </cfRule>
  </conditionalFormatting>
  <conditionalFormatting sqref="O35:O37">
    <cfRule type="cellIs" dxfId="9" priority="83" operator="between">
      <formula>0.85</formula>
      <formula>1</formula>
    </cfRule>
  </conditionalFormatting>
  <conditionalFormatting sqref="O38:O45">
    <cfRule type="cellIs" dxfId="8" priority="132" operator="between">
      <formula>0.85</formula>
      <formula>1</formula>
    </cfRule>
    <cfRule type="cellIs" dxfId="7" priority="133" operator="between">
      <formula>0.01</formula>
      <formula>0.99</formula>
    </cfRule>
  </conditionalFormatting>
  <conditionalFormatting sqref="O38:O46">
    <cfRule type="cellIs" dxfId="6" priority="128" operator="between">
      <formula>0.9001</formula>
      <formula>0.9999</formula>
    </cfRule>
    <cfRule type="cellIs" dxfId="5" priority="129" operator="lessThan">
      <formula>0.9</formula>
    </cfRule>
  </conditionalFormatting>
  <conditionalFormatting sqref="O46:O47">
    <cfRule type="cellIs" dxfId="4" priority="121" operator="between">
      <formula>0.85</formula>
      <formula>1</formula>
    </cfRule>
    <cfRule type="cellIs" dxfId="3" priority="122" operator="between">
      <formula>0.01</formula>
      <formula>0.99</formula>
    </cfRule>
  </conditionalFormatting>
  <conditionalFormatting sqref="O47">
    <cfRule type="cellIs" dxfId="2" priority="118" operator="lessThan">
      <formula>0.9</formula>
    </cfRule>
    <cfRule type="cellIs" dxfId="1" priority="117" operator="between">
      <formula>0.9001</formula>
      <formula>0.9999</formula>
    </cfRule>
  </conditionalFormatting>
  <conditionalFormatting sqref="P10:Q10">
    <cfRule type="cellIs" dxfId="0" priority="276" operator="lessThan">
      <formula>0</formula>
    </cfRule>
  </conditionalFormatting>
  <dataValidations count="3">
    <dataValidation type="date" allowBlank="1" showErrorMessage="1" sqref="B35:B45" xr:uid="{008A00EB-00CE-4A42-8A2A-0078007D00FD}">
      <formula1>40544</formula1>
      <formula2>73051</formula2>
    </dataValidation>
    <dataValidation type="decimal" allowBlank="1" showErrorMessage="1" sqref="I14 O10:O11 I8:J13" xr:uid="{00AE0029-00A3-40C9-B051-004200180003}">
      <formula1>0</formula1>
      <formula2>1000000000000000</formula2>
    </dataValidation>
    <dataValidation type="decimal" allowBlank="1" showErrorMessage="1" sqref="I41" xr:uid="{00260010-004F-45CB-AF93-00DD003E00E1}">
      <formula1>0</formula1>
      <formula2>10000000000000000</formula2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5"/>
  <sheetViews>
    <sheetView zoomScale="93" workbookViewId="0">
      <selection activeCell="N23" sqref="N23"/>
    </sheetView>
  </sheetViews>
  <sheetFormatPr baseColWidth="10" defaultColWidth="11.5" defaultRowHeight="15"/>
  <cols>
    <col min="1" max="1" width="2.5" style="3" customWidth="1"/>
    <col min="2" max="2" width="11.83203125" style="3" customWidth="1"/>
    <col min="3" max="3" width="17.33203125" style="3" customWidth="1"/>
    <col min="4" max="4" width="11.5" style="3" customWidth="1"/>
    <col min="5" max="5" width="11.6640625" style="3" customWidth="1"/>
    <col min="6" max="6" width="11.83203125" style="3" customWidth="1"/>
    <col min="7" max="7" width="14" style="3" customWidth="1"/>
    <col min="8" max="8" width="10.6640625" style="3" bestFit="1" customWidth="1"/>
    <col min="9" max="9" width="12" style="3" customWidth="1"/>
    <col min="10" max="10" width="17.5" style="3" customWidth="1"/>
    <col min="11" max="11" width="10.83203125" style="3" customWidth="1"/>
    <col min="12" max="12" width="11.1640625" style="3" customWidth="1"/>
    <col min="13" max="13" width="13.33203125" style="3" customWidth="1"/>
    <col min="14" max="14" width="13.83203125" style="3" customWidth="1"/>
  </cols>
  <sheetData>
    <row r="1" spans="1:15" ht="17" customHeight="1">
      <c r="A1" s="686" t="str">
        <f>График!B1</f>
        <v>Июль, 2025</v>
      </c>
      <c r="B1" s="687"/>
      <c r="C1" s="687"/>
      <c r="D1" s="688"/>
      <c r="E1" s="337"/>
      <c r="F1" s="338"/>
      <c r="G1" s="338"/>
      <c r="H1" s="338"/>
      <c r="I1" s="338"/>
      <c r="J1" s="338"/>
      <c r="K1" s="338"/>
      <c r="L1" s="338"/>
      <c r="M1" s="338"/>
      <c r="N1" s="339"/>
    </row>
    <row r="2" spans="1:15" ht="15" customHeight="1">
      <c r="A2" s="689" t="str">
        <f>График!B3</f>
        <v>ул. Набережная Ленина, 18</v>
      </c>
      <c r="B2" s="690"/>
      <c r="C2" s="690"/>
      <c r="D2" s="340" t="str">
        <f>График!B4</f>
        <v>GL-0005</v>
      </c>
      <c r="E2" s="341"/>
      <c r="F2" s="342"/>
      <c r="G2" s="342"/>
      <c r="H2" s="342"/>
      <c r="I2" s="342"/>
      <c r="J2" s="342"/>
      <c r="K2" s="342"/>
      <c r="L2" s="342"/>
      <c r="M2" s="342"/>
      <c r="N2" s="343"/>
    </row>
    <row r="3" spans="1:15" ht="75">
      <c r="A3" s="691" t="s">
        <v>28</v>
      </c>
      <c r="B3" s="692"/>
      <c r="C3" s="692"/>
      <c r="D3" s="344" t="s">
        <v>68</v>
      </c>
      <c r="E3" s="344" t="s">
        <v>69</v>
      </c>
      <c r="F3" s="345" t="s">
        <v>70</v>
      </c>
      <c r="G3" s="346" t="s">
        <v>71</v>
      </c>
      <c r="H3" s="347" t="s">
        <v>72</v>
      </c>
      <c r="I3" s="348" t="s">
        <v>73</v>
      </c>
      <c r="J3" s="349" t="s">
        <v>74</v>
      </c>
      <c r="K3" s="350" t="s">
        <v>75</v>
      </c>
      <c r="L3" s="351" t="s">
        <v>76</v>
      </c>
      <c r="M3" s="352" t="s">
        <v>77</v>
      </c>
      <c r="N3" s="353" t="s">
        <v>78</v>
      </c>
    </row>
    <row r="4" spans="1:15" ht="16" customHeight="1">
      <c r="A4" s="693" t="str">
        <f>График!B29</f>
        <v>Рогалевич Ирина</v>
      </c>
      <c r="B4" s="694"/>
      <c r="C4" s="694"/>
      <c r="D4" s="354">
        <v>38280</v>
      </c>
      <c r="E4" s="355"/>
      <c r="F4" s="356">
        <f>H8+H9+G16+G24+L24</f>
        <v>31696.516000000003</v>
      </c>
      <c r="G4" s="357">
        <f>D11</f>
        <v>29000</v>
      </c>
      <c r="H4" s="358">
        <f>D18</f>
        <v>104433.23999999999</v>
      </c>
      <c r="I4" s="359">
        <f>L18</f>
        <v>24826.440621201891</v>
      </c>
      <c r="J4" s="360">
        <f>L11</f>
        <v>0</v>
      </c>
      <c r="K4" s="361">
        <f>H4+J4+G4+F4+I4</f>
        <v>189956.19662120187</v>
      </c>
      <c r="L4" s="362">
        <f>C8+C9</f>
        <v>5720</v>
      </c>
      <c r="M4" s="363">
        <f>K4-L4-D4-E4</f>
        <v>145956.19662120187</v>
      </c>
      <c r="N4" s="364"/>
    </row>
    <row r="5" spans="1:15">
      <c r="A5" s="365"/>
      <c r="B5" s="366"/>
      <c r="C5" s="367"/>
      <c r="D5" s="367"/>
      <c r="E5" s="367"/>
      <c r="F5" s="367"/>
      <c r="G5" s="367"/>
      <c r="H5" s="367"/>
      <c r="I5" s="367"/>
      <c r="J5" s="367"/>
      <c r="K5" s="368"/>
      <c r="L5" s="367"/>
      <c r="M5" s="369"/>
      <c r="N5" s="370"/>
    </row>
    <row r="6" spans="1:15">
      <c r="A6" s="365"/>
      <c r="B6" s="366" t="s">
        <v>76</v>
      </c>
      <c r="C6" s="367"/>
      <c r="D6" s="367"/>
      <c r="E6" s="367"/>
      <c r="F6" s="367"/>
      <c r="G6" s="366" t="s">
        <v>79</v>
      </c>
      <c r="H6" s="367"/>
      <c r="I6" s="367"/>
      <c r="J6" s="367"/>
      <c r="K6" s="367"/>
      <c r="L6" s="367"/>
      <c r="M6" s="369"/>
      <c r="N6" s="370"/>
    </row>
    <row r="7" spans="1:15">
      <c r="A7" s="371"/>
      <c r="B7" s="434" t="s">
        <v>29</v>
      </c>
      <c r="C7" s="434" t="s">
        <v>80</v>
      </c>
      <c r="D7" s="695" t="s">
        <v>81</v>
      </c>
      <c r="E7" s="695"/>
      <c r="F7" s="372"/>
      <c r="G7" s="434" t="s">
        <v>29</v>
      </c>
      <c r="H7" s="695" t="s">
        <v>80</v>
      </c>
      <c r="I7" s="695"/>
      <c r="J7" s="695" t="s">
        <v>81</v>
      </c>
      <c r="K7" s="695"/>
      <c r="L7" s="372"/>
      <c r="M7" s="373"/>
      <c r="N7" s="374"/>
    </row>
    <row r="8" spans="1:15" ht="20" customHeight="1">
      <c r="A8" s="365"/>
      <c r="B8" s="435">
        <v>45869</v>
      </c>
      <c r="C8" s="436">
        <v>5720</v>
      </c>
      <c r="D8" s="696" t="s">
        <v>123</v>
      </c>
      <c r="E8" s="696"/>
      <c r="F8" s="367"/>
      <c r="G8" s="435">
        <v>45869</v>
      </c>
      <c r="H8" s="697">
        <f>0.01*'Ялта, Ленина, 18'!J8</f>
        <v>31696.516000000003</v>
      </c>
      <c r="I8" s="697"/>
      <c r="J8" s="696" t="s">
        <v>124</v>
      </c>
      <c r="K8" s="696"/>
      <c r="L8" s="367"/>
      <c r="M8" s="369"/>
      <c r="N8" s="370"/>
    </row>
    <row r="9" spans="1:15" ht="19" customHeight="1">
      <c r="A9" s="365"/>
      <c r="B9" s="435"/>
      <c r="C9" s="436"/>
      <c r="D9" s="696"/>
      <c r="E9" s="696"/>
      <c r="F9" s="367"/>
      <c r="G9" s="435"/>
      <c r="H9" s="697"/>
      <c r="I9" s="697"/>
      <c r="J9" s="696"/>
      <c r="K9" s="696"/>
      <c r="L9" s="367"/>
      <c r="M9" s="369"/>
      <c r="N9" s="370"/>
    </row>
    <row r="10" spans="1:15">
      <c r="A10" s="365"/>
      <c r="B10" s="366"/>
      <c r="C10" s="367"/>
      <c r="D10" s="367"/>
      <c r="E10" s="367"/>
      <c r="F10" s="367"/>
      <c r="G10" s="367"/>
      <c r="H10" s="367"/>
      <c r="I10" s="367"/>
      <c r="J10" s="367"/>
      <c r="K10" s="367"/>
      <c r="L10" s="367"/>
      <c r="M10" s="369"/>
      <c r="N10" s="370"/>
    </row>
    <row r="11" spans="1:15">
      <c r="A11" s="375" t="s">
        <v>82</v>
      </c>
      <c r="B11" s="376"/>
      <c r="C11" s="376"/>
      <c r="D11" s="377">
        <f>G15</f>
        <v>29000</v>
      </c>
      <c r="E11" s="378"/>
      <c r="F11" s="379"/>
      <c r="G11" s="376"/>
      <c r="H11" s="376"/>
      <c r="I11" s="380" t="s">
        <v>74</v>
      </c>
      <c r="J11" s="376"/>
      <c r="K11" s="376"/>
      <c r="L11" s="381">
        <f>L15+L16</f>
        <v>0</v>
      </c>
      <c r="M11" s="379"/>
      <c r="N11" s="382"/>
    </row>
    <row r="12" spans="1:15">
      <c r="A12" s="365"/>
      <c r="B12" s="366"/>
      <c r="C12" s="367"/>
      <c r="D12" s="383"/>
      <c r="E12" s="383"/>
      <c r="F12" s="367"/>
      <c r="G12" s="367"/>
      <c r="H12" s="367"/>
      <c r="I12" s="367"/>
      <c r="J12" s="367"/>
      <c r="K12" s="369"/>
      <c r="L12" s="369"/>
      <c r="M12" s="369"/>
      <c r="N12" s="370"/>
    </row>
    <row r="13" spans="1:15">
      <c r="A13" s="384"/>
      <c r="B13" s="385" t="s">
        <v>82</v>
      </c>
      <c r="C13" s="383"/>
      <c r="D13" s="383"/>
      <c r="E13" s="383"/>
      <c r="F13" s="383"/>
      <c r="G13" s="383"/>
      <c r="H13" s="383"/>
      <c r="I13" s="383"/>
      <c r="J13" s="698" t="s">
        <v>74</v>
      </c>
      <c r="K13" s="698"/>
      <c r="L13" s="386"/>
      <c r="M13" s="386"/>
      <c r="N13" s="387"/>
    </row>
    <row r="14" spans="1:15" ht="24">
      <c r="A14" s="384"/>
      <c r="B14" s="404" t="s">
        <v>83</v>
      </c>
      <c r="C14" s="404" t="s">
        <v>84</v>
      </c>
      <c r="D14" s="404" t="s">
        <v>85</v>
      </c>
      <c r="E14" s="404" t="s">
        <v>86</v>
      </c>
      <c r="F14" s="404" t="s">
        <v>87</v>
      </c>
      <c r="G14" s="404" t="s">
        <v>88</v>
      </c>
      <c r="H14" s="383"/>
      <c r="I14" s="383"/>
      <c r="J14" s="404" t="s">
        <v>84</v>
      </c>
      <c r="K14" s="404" t="s">
        <v>89</v>
      </c>
      <c r="L14" s="699" t="s">
        <v>90</v>
      </c>
      <c r="M14" s="699"/>
      <c r="N14" s="387"/>
      <c r="O14" s="388"/>
    </row>
    <row r="15" spans="1:15" ht="19" customHeight="1">
      <c r="A15" s="365"/>
      <c r="B15" s="441">
        <f>График!AI29</f>
        <v>26</v>
      </c>
      <c r="C15" s="442" t="str">
        <f>A2</f>
        <v>ул. Набережная Ленина, 18</v>
      </c>
      <c r="D15" s="442" t="s">
        <v>91</v>
      </c>
      <c r="E15" s="443">
        <f>График!AJ29</f>
        <v>290</v>
      </c>
      <c r="F15" s="444">
        <v>100</v>
      </c>
      <c r="G15" s="445">
        <f t="shared" ref="G15:G16" si="0">E15*F15</f>
        <v>29000</v>
      </c>
      <c r="H15" s="389"/>
      <c r="I15" s="389"/>
      <c r="J15" s="442" t="str">
        <f>График!B3</f>
        <v>ул. Набережная Ленина, 18</v>
      </c>
      <c r="K15" s="409">
        <f>'Ялта, Ленина, 18'!K8</f>
        <v>0.77687539215686274</v>
      </c>
      <c r="L15" s="700"/>
      <c r="M15" s="700"/>
      <c r="N15" s="370"/>
    </row>
    <row r="16" spans="1:15" ht="19" customHeight="1">
      <c r="A16" s="384"/>
      <c r="B16" s="404"/>
      <c r="C16" s="446"/>
      <c r="D16" s="442" t="s">
        <v>91</v>
      </c>
      <c r="E16" s="447"/>
      <c r="F16" s="444"/>
      <c r="G16" s="445">
        <f t="shared" si="0"/>
        <v>0</v>
      </c>
      <c r="H16" s="383"/>
      <c r="I16" s="383"/>
      <c r="J16" s="437"/>
      <c r="K16" s="448"/>
      <c r="L16" s="701"/>
      <c r="M16" s="701"/>
      <c r="N16" s="387"/>
    </row>
    <row r="17" spans="1:14">
      <c r="A17" s="384"/>
      <c r="B17" s="383"/>
      <c r="C17" s="390"/>
      <c r="D17" s="367"/>
      <c r="E17" s="391"/>
      <c r="F17" s="391"/>
      <c r="G17" s="392"/>
      <c r="H17" s="383"/>
      <c r="I17" s="383"/>
      <c r="J17" s="383"/>
      <c r="K17" s="383"/>
      <c r="L17" s="386"/>
      <c r="M17" s="386"/>
      <c r="N17" s="387"/>
    </row>
    <row r="18" spans="1:14">
      <c r="A18" s="375" t="s">
        <v>92</v>
      </c>
      <c r="B18" s="376"/>
      <c r="C18" s="376"/>
      <c r="D18" s="393">
        <f>G23</f>
        <v>104433.23999999999</v>
      </c>
      <c r="E18" s="394"/>
      <c r="F18" s="379"/>
      <c r="G18" s="379"/>
      <c r="H18" s="379"/>
      <c r="I18" s="376" t="s">
        <v>73</v>
      </c>
      <c r="J18" s="379"/>
      <c r="K18" s="379"/>
      <c r="L18" s="395">
        <f>N23</f>
        <v>24826.440621201891</v>
      </c>
      <c r="M18" s="379"/>
      <c r="N18" s="382"/>
    </row>
    <row r="19" spans="1:14">
      <c r="A19" s="396"/>
      <c r="B19" s="366"/>
      <c r="C19" s="369"/>
      <c r="D19" s="369"/>
      <c r="E19" s="369"/>
      <c r="F19" s="369"/>
      <c r="G19" s="369"/>
      <c r="H19" s="369"/>
      <c r="I19" s="369"/>
      <c r="J19" s="369"/>
      <c r="K19" s="397"/>
      <c r="L19" s="121"/>
      <c r="M19" s="121"/>
      <c r="N19" s="398"/>
    </row>
    <row r="20" spans="1:14">
      <c r="A20" s="396"/>
      <c r="B20" s="367"/>
      <c r="C20" s="366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70"/>
    </row>
    <row r="21" spans="1:14">
      <c r="A21" s="396"/>
      <c r="B21" s="366" t="s">
        <v>93</v>
      </c>
      <c r="C21" s="369"/>
      <c r="D21" s="369"/>
      <c r="E21" s="369"/>
      <c r="F21" s="369"/>
      <c r="G21" s="369"/>
      <c r="H21" s="369"/>
      <c r="I21" s="399" t="s">
        <v>94</v>
      </c>
      <c r="J21" s="400"/>
      <c r="K21" s="401"/>
      <c r="L21" s="401"/>
      <c r="M21" s="401"/>
      <c r="N21" s="402"/>
    </row>
    <row r="22" spans="1:14" ht="36">
      <c r="A22" s="403"/>
      <c r="B22" s="404" t="s">
        <v>28</v>
      </c>
      <c r="C22" s="699" t="s">
        <v>84</v>
      </c>
      <c r="D22" s="699"/>
      <c r="E22" s="404" t="s">
        <v>95</v>
      </c>
      <c r="F22" s="404" t="s">
        <v>96</v>
      </c>
      <c r="G22" s="404" t="s">
        <v>97</v>
      </c>
      <c r="H22" s="383"/>
      <c r="I22" s="404" t="s">
        <v>28</v>
      </c>
      <c r="J22" s="404" t="s">
        <v>84</v>
      </c>
      <c r="K22" s="404" t="s">
        <v>98</v>
      </c>
      <c r="L22" s="404" t="s">
        <v>99</v>
      </c>
      <c r="M22" s="404" t="s">
        <v>95</v>
      </c>
      <c r="N22" s="405" t="s">
        <v>97</v>
      </c>
    </row>
    <row r="23" spans="1:14">
      <c r="A23" s="396"/>
      <c r="B23" s="442" t="str">
        <f>A4</f>
        <v>Рогалевич Ирина</v>
      </c>
      <c r="C23" s="702" t="str">
        <f>A2</f>
        <v>ул. Набережная Ленина, 18</v>
      </c>
      <c r="D23" s="702"/>
      <c r="E23" s="409">
        <v>0.06</v>
      </c>
      <c r="F23" s="436">
        <f>'Рогалевич И. Е.'!J8</f>
        <v>1740554</v>
      </c>
      <c r="G23" s="451">
        <f t="shared" ref="G23:G24" si="1">F23*E23</f>
        <v>104433.23999999999</v>
      </c>
      <c r="H23" s="367"/>
      <c r="I23" s="406" t="str">
        <f>B23</f>
        <v>Рогалевич Ирина</v>
      </c>
      <c r="J23" s="407" t="str">
        <f>C23</f>
        <v>ул. Набережная Ленина, 18</v>
      </c>
      <c r="K23" s="407">
        <f>E15</f>
        <v>290</v>
      </c>
      <c r="L23" s="408">
        <f>График!AJ31</f>
        <v>740.5</v>
      </c>
      <c r="M23" s="409">
        <v>0.02</v>
      </c>
      <c r="N23" s="410">
        <f>'Ялта, Ленина, 18'!J8*M23*K23/L23</f>
        <v>24826.440621201891</v>
      </c>
    </row>
    <row r="24" spans="1:14">
      <c r="A24" s="403"/>
      <c r="B24" s="442" t="str">
        <f>B23</f>
        <v>Рогалевич Ирина</v>
      </c>
      <c r="C24" s="703">
        <f>C16</f>
        <v>0</v>
      </c>
      <c r="D24" s="703"/>
      <c r="E24" s="409"/>
      <c r="F24" s="452"/>
      <c r="G24" s="445">
        <f t="shared" si="1"/>
        <v>0</v>
      </c>
      <c r="H24" s="383"/>
      <c r="I24" s="411"/>
      <c r="J24" s="412"/>
      <c r="K24" s="413"/>
      <c r="L24" s="414"/>
      <c r="M24" s="415"/>
      <c r="N24" s="416" t="e">
        <f>1477363.14*M24*K24/L24</f>
        <v>#DIV/0!</v>
      </c>
    </row>
    <row r="25" spans="1:14">
      <c r="A25" s="417"/>
      <c r="B25" s="418"/>
      <c r="C25" s="418"/>
      <c r="D25" s="418"/>
      <c r="E25" s="418"/>
      <c r="F25" s="418"/>
      <c r="G25" s="418"/>
      <c r="H25" s="418"/>
      <c r="I25" s="418"/>
      <c r="J25" s="418"/>
      <c r="K25" s="418"/>
      <c r="L25" s="418"/>
      <c r="M25" s="418"/>
      <c r="N25" s="419"/>
    </row>
  </sheetData>
  <mergeCells count="20">
    <mergeCell ref="L15:M15"/>
    <mergeCell ref="L16:M16"/>
    <mergeCell ref="C22:D22"/>
    <mergeCell ref="C23:D23"/>
    <mergeCell ref="C24:D24"/>
    <mergeCell ref="D9:E9"/>
    <mergeCell ref="H9:I9"/>
    <mergeCell ref="J9:K9"/>
    <mergeCell ref="J13:K13"/>
    <mergeCell ref="L14:M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6"/>
  <sheetViews>
    <sheetView zoomScale="91" workbookViewId="0">
      <selection activeCell="Q20" sqref="Q20"/>
    </sheetView>
  </sheetViews>
  <sheetFormatPr baseColWidth="10" defaultColWidth="11.5" defaultRowHeight="15"/>
  <cols>
    <col min="1" max="1" width="2.33203125" style="3" customWidth="1"/>
    <col min="2" max="2" width="12.6640625" style="3" customWidth="1"/>
    <col min="3" max="3" width="18" style="3" customWidth="1"/>
    <col min="4" max="4" width="12.6640625" style="3" customWidth="1"/>
    <col min="5" max="5" width="12.5" style="3" customWidth="1"/>
    <col min="6" max="6" width="12.1640625" style="3" customWidth="1"/>
    <col min="7" max="7" width="11.5" style="3"/>
    <col min="8" max="8" width="12.6640625" style="3" customWidth="1"/>
    <col min="9" max="9" width="15" style="3" customWidth="1"/>
    <col min="10" max="10" width="17.83203125" style="3" customWidth="1"/>
    <col min="11" max="11" width="11.5" style="3" customWidth="1"/>
    <col min="12" max="12" width="12" style="3" customWidth="1"/>
    <col min="13" max="13" width="15.6640625" style="3" customWidth="1"/>
    <col min="14" max="14" width="14" style="3" customWidth="1"/>
  </cols>
  <sheetData>
    <row r="1" spans="1:14" ht="20" customHeight="1">
      <c r="A1" s="704" t="str">
        <f>График!B1</f>
        <v>Июль, 2025</v>
      </c>
      <c r="B1" s="705"/>
      <c r="C1" s="705"/>
      <c r="D1" s="706"/>
      <c r="E1" s="337"/>
      <c r="F1" s="338"/>
      <c r="G1" s="338"/>
      <c r="H1" s="338"/>
      <c r="I1" s="338"/>
      <c r="J1" s="338"/>
      <c r="K1" s="338"/>
      <c r="L1" s="338"/>
      <c r="M1" s="338"/>
      <c r="N1" s="339"/>
    </row>
    <row r="2" spans="1:14" ht="20" customHeight="1">
      <c r="A2" s="707" t="str">
        <f>График!B3</f>
        <v>ул. Набережная Ленина, 18</v>
      </c>
      <c r="B2" s="708"/>
      <c r="C2" s="708"/>
      <c r="D2" s="420" t="str">
        <f>График!B4</f>
        <v>GL-0005</v>
      </c>
      <c r="E2" s="341"/>
      <c r="F2" s="342"/>
      <c r="G2" s="342"/>
      <c r="H2" s="342"/>
      <c r="I2" s="342"/>
      <c r="J2" s="342"/>
      <c r="K2" s="342"/>
      <c r="L2" s="342"/>
      <c r="M2" s="342"/>
      <c r="N2" s="343"/>
    </row>
    <row r="3" spans="1:14" ht="60">
      <c r="A3" s="709" t="s">
        <v>28</v>
      </c>
      <c r="B3" s="709"/>
      <c r="C3" s="709"/>
      <c r="D3" s="421" t="s">
        <v>68</v>
      </c>
      <c r="E3" s="422" t="s">
        <v>69</v>
      </c>
      <c r="F3" s="345" t="s">
        <v>70</v>
      </c>
      <c r="G3" s="346" t="s">
        <v>71</v>
      </c>
      <c r="H3" s="347" t="s">
        <v>72</v>
      </c>
      <c r="I3" s="348" t="s">
        <v>73</v>
      </c>
      <c r="J3" s="348" t="s">
        <v>74</v>
      </c>
      <c r="K3" s="346" t="s">
        <v>75</v>
      </c>
      <c r="L3" s="349" t="s">
        <v>76</v>
      </c>
      <c r="M3" s="423" t="s">
        <v>77</v>
      </c>
      <c r="N3" s="353" t="s">
        <v>78</v>
      </c>
    </row>
    <row r="4" spans="1:14" ht="18" customHeight="1">
      <c r="A4" s="710" t="str">
        <f>График!B27</f>
        <v>Яковенко Алина</v>
      </c>
      <c r="B4" s="711"/>
      <c r="C4" s="711"/>
      <c r="D4" s="424">
        <v>24208.09</v>
      </c>
      <c r="E4" s="425"/>
      <c r="F4" s="426">
        <f>H8+H9</f>
        <v>0</v>
      </c>
      <c r="G4" s="427">
        <f>D12</f>
        <v>16500</v>
      </c>
      <c r="H4" s="428">
        <f>D19</f>
        <v>37441.655999999995</v>
      </c>
      <c r="I4" s="429">
        <f>L19</f>
        <v>10087.120027008779</v>
      </c>
      <c r="J4" s="430">
        <f>L12</f>
        <v>0</v>
      </c>
      <c r="K4" s="431">
        <f>H4+J4+G4+F4+I4</f>
        <v>64028.776027008775</v>
      </c>
      <c r="L4" s="432">
        <f>C8+C9+C10</f>
        <v>3618</v>
      </c>
      <c r="M4" s="433">
        <f>K4-L4-D4-E4</f>
        <v>36202.686027008778</v>
      </c>
      <c r="N4" s="364"/>
    </row>
    <row r="5" spans="1:14">
      <c r="A5" s="365"/>
      <c r="B5" s="366"/>
      <c r="C5" s="367"/>
      <c r="D5" s="367"/>
      <c r="E5" s="367"/>
      <c r="F5" s="367"/>
      <c r="G5" s="367"/>
      <c r="H5" s="367"/>
      <c r="I5" s="367"/>
      <c r="J5" s="367"/>
      <c r="K5" s="368"/>
      <c r="L5" s="367"/>
      <c r="M5" s="369"/>
      <c r="N5" s="370"/>
    </row>
    <row r="6" spans="1:14">
      <c r="A6" s="365"/>
      <c r="B6" s="366" t="s">
        <v>76</v>
      </c>
      <c r="C6" s="367"/>
      <c r="D6" s="367"/>
      <c r="E6" s="367"/>
      <c r="F6" s="367"/>
      <c r="G6" s="366" t="s">
        <v>79</v>
      </c>
      <c r="H6" s="367"/>
      <c r="I6" s="367"/>
      <c r="J6" s="367"/>
      <c r="K6" s="367"/>
      <c r="L6" s="367"/>
      <c r="M6" s="369"/>
      <c r="N6" s="370"/>
    </row>
    <row r="7" spans="1:14" ht="20" customHeight="1">
      <c r="A7" s="371"/>
      <c r="B7" s="434" t="s">
        <v>29</v>
      </c>
      <c r="C7" s="434" t="s">
        <v>80</v>
      </c>
      <c r="D7" s="695" t="s">
        <v>81</v>
      </c>
      <c r="E7" s="695"/>
      <c r="F7" s="372"/>
      <c r="G7" s="434" t="s">
        <v>29</v>
      </c>
      <c r="H7" s="695" t="s">
        <v>80</v>
      </c>
      <c r="I7" s="695"/>
      <c r="J7" s="695" t="s">
        <v>81</v>
      </c>
      <c r="K7" s="695"/>
      <c r="L7" s="372"/>
      <c r="M7" s="373"/>
      <c r="N7" s="374"/>
    </row>
    <row r="8" spans="1:14" ht="18" customHeight="1">
      <c r="A8" s="365"/>
      <c r="B8" s="435">
        <v>45869</v>
      </c>
      <c r="C8" s="436">
        <v>3618</v>
      </c>
      <c r="D8" s="696" t="s">
        <v>123</v>
      </c>
      <c r="E8" s="696"/>
      <c r="F8" s="367"/>
      <c r="G8" s="435"/>
      <c r="H8" s="712"/>
      <c r="I8" s="712"/>
      <c r="J8" s="696"/>
      <c r="K8" s="696"/>
      <c r="L8" s="367"/>
      <c r="M8" s="369"/>
      <c r="N8" s="370"/>
    </row>
    <row r="9" spans="1:14" ht="18" customHeight="1">
      <c r="A9" s="365"/>
      <c r="B9" s="435"/>
      <c r="C9" s="436"/>
      <c r="D9" s="696"/>
      <c r="E9" s="696"/>
      <c r="F9" s="367"/>
      <c r="G9" s="435"/>
      <c r="H9" s="712"/>
      <c r="I9" s="712"/>
      <c r="J9" s="696"/>
      <c r="K9" s="696"/>
      <c r="L9" s="367"/>
      <c r="M9" s="369"/>
      <c r="N9" s="370"/>
    </row>
    <row r="10" spans="1:14" ht="18" customHeight="1">
      <c r="A10" s="365"/>
      <c r="B10" s="435"/>
      <c r="C10" s="436"/>
      <c r="D10" s="696"/>
      <c r="E10" s="696"/>
      <c r="F10" s="367"/>
      <c r="G10" s="438"/>
      <c r="H10" s="439"/>
      <c r="I10" s="439"/>
      <c r="J10" s="440"/>
      <c r="K10" s="440"/>
      <c r="L10" s="367"/>
      <c r="M10" s="369"/>
      <c r="N10" s="370"/>
    </row>
    <row r="11" spans="1:14" ht="34" customHeight="1">
      <c r="A11" s="365"/>
      <c r="B11" s="366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9"/>
      <c r="N11" s="370"/>
    </row>
    <row r="12" spans="1:14">
      <c r="A12" s="375" t="s">
        <v>82</v>
      </c>
      <c r="B12" s="376"/>
      <c r="C12" s="376"/>
      <c r="D12" s="377">
        <f>G16</f>
        <v>16500</v>
      </c>
      <c r="E12" s="378"/>
      <c r="F12" s="379"/>
      <c r="G12" s="376"/>
      <c r="H12" s="376"/>
      <c r="I12" s="381" t="s">
        <v>74</v>
      </c>
      <c r="J12" s="376"/>
      <c r="K12" s="376"/>
      <c r="L12" s="380">
        <f>L16+L17</f>
        <v>0</v>
      </c>
      <c r="M12" s="379"/>
      <c r="N12" s="382"/>
    </row>
    <row r="13" spans="1:14">
      <c r="A13" s="365"/>
      <c r="B13" s="366"/>
      <c r="C13" s="367"/>
      <c r="D13" s="383"/>
      <c r="E13" s="383"/>
      <c r="F13" s="367"/>
      <c r="G13" s="367"/>
      <c r="H13" s="367"/>
      <c r="I13" s="367"/>
      <c r="J13" s="367"/>
      <c r="K13" s="369"/>
      <c r="L13" s="369"/>
      <c r="M13" s="369"/>
      <c r="N13" s="370"/>
    </row>
    <row r="14" spans="1:14">
      <c r="A14" s="384"/>
      <c r="B14" s="385" t="s">
        <v>82</v>
      </c>
      <c r="C14" s="383"/>
      <c r="D14" s="383"/>
      <c r="E14" s="383"/>
      <c r="F14" s="383"/>
      <c r="G14" s="383"/>
      <c r="H14" s="383"/>
      <c r="I14" s="383"/>
      <c r="J14" s="698" t="s">
        <v>74</v>
      </c>
      <c r="K14" s="698"/>
      <c r="L14" s="386"/>
      <c r="M14" s="386"/>
      <c r="N14" s="387"/>
    </row>
    <row r="15" spans="1:14" ht="24">
      <c r="A15" s="384"/>
      <c r="B15" s="404" t="s">
        <v>83</v>
      </c>
      <c r="C15" s="404" t="s">
        <v>84</v>
      </c>
      <c r="D15" s="404" t="s">
        <v>85</v>
      </c>
      <c r="E15" s="404" t="s">
        <v>86</v>
      </c>
      <c r="F15" s="404" t="s">
        <v>87</v>
      </c>
      <c r="G15" s="404" t="s">
        <v>88</v>
      </c>
      <c r="H15" s="383"/>
      <c r="I15" s="383"/>
      <c r="J15" s="404" t="s">
        <v>84</v>
      </c>
      <c r="K15" s="404" t="s">
        <v>89</v>
      </c>
      <c r="L15" s="404" t="s">
        <v>90</v>
      </c>
      <c r="M15" s="386"/>
      <c r="N15" s="387"/>
    </row>
    <row r="16" spans="1:14" ht="17" customHeight="1">
      <c r="A16" s="365"/>
      <c r="B16" s="441">
        <f>График!AI27</f>
        <v>14</v>
      </c>
      <c r="C16" s="442" t="str">
        <f>A2</f>
        <v>ул. Набережная Ленина, 18</v>
      </c>
      <c r="D16" s="442" t="s">
        <v>91</v>
      </c>
      <c r="E16" s="443">
        <f>График!AJ27</f>
        <v>165</v>
      </c>
      <c r="F16" s="444">
        <v>100</v>
      </c>
      <c r="G16" s="445">
        <f>E16*F16</f>
        <v>16500</v>
      </c>
      <c r="H16" s="389"/>
      <c r="I16" s="389"/>
      <c r="J16" s="442" t="str">
        <f>График!B3</f>
        <v>ул. Набережная Ленина, 18</v>
      </c>
      <c r="K16" s="409">
        <f>'Ялта, Ленина, 18'!K8</f>
        <v>0.77687539215686274</v>
      </c>
      <c r="L16" s="444">
        <v>0</v>
      </c>
      <c r="M16" s="369"/>
      <c r="N16" s="370"/>
    </row>
    <row r="17" spans="1:14" ht="17" customHeight="1">
      <c r="A17" s="384"/>
      <c r="B17" s="404"/>
      <c r="C17" s="446"/>
      <c r="D17" s="442"/>
      <c r="E17" s="447"/>
      <c r="F17" s="444"/>
      <c r="G17" s="445"/>
      <c r="H17" s="383"/>
      <c r="I17" s="383"/>
      <c r="J17" s="437"/>
      <c r="K17" s="448"/>
      <c r="L17" s="449"/>
      <c r="M17" s="386"/>
      <c r="N17" s="387"/>
    </row>
    <row r="18" spans="1:14">
      <c r="A18" s="384"/>
      <c r="B18" s="383"/>
      <c r="C18" s="390"/>
      <c r="D18" s="367"/>
      <c r="E18" s="391"/>
      <c r="F18" s="391"/>
      <c r="G18" s="392"/>
      <c r="H18" s="383"/>
      <c r="I18" s="383"/>
      <c r="J18" s="383"/>
      <c r="K18" s="383"/>
      <c r="L18" s="386"/>
      <c r="M18" s="386"/>
      <c r="N18" s="387"/>
    </row>
    <row r="19" spans="1:14">
      <c r="A19" s="375" t="s">
        <v>92</v>
      </c>
      <c r="B19" s="376"/>
      <c r="C19" s="376"/>
      <c r="D19" s="393">
        <f>G24</f>
        <v>37441.655999999995</v>
      </c>
      <c r="E19" s="394"/>
      <c r="F19" s="379"/>
      <c r="G19" s="379"/>
      <c r="H19" s="379"/>
      <c r="I19" s="376" t="s">
        <v>73</v>
      </c>
      <c r="J19" s="379"/>
      <c r="K19" s="379"/>
      <c r="L19" s="450">
        <f>N24</f>
        <v>10087.120027008779</v>
      </c>
      <c r="M19" s="379"/>
      <c r="N19" s="382"/>
    </row>
    <row r="20" spans="1:14">
      <c r="A20" s="396"/>
      <c r="B20" s="366"/>
      <c r="C20" s="369"/>
      <c r="D20" s="369"/>
      <c r="E20" s="369"/>
      <c r="F20" s="369"/>
      <c r="G20" s="369"/>
      <c r="H20" s="369"/>
      <c r="I20" s="369"/>
      <c r="J20" s="369"/>
      <c r="K20" s="397"/>
      <c r="L20" s="121"/>
      <c r="M20" s="121"/>
      <c r="N20" s="398"/>
    </row>
    <row r="21" spans="1:14">
      <c r="A21" s="396"/>
      <c r="B21" s="367"/>
      <c r="C21" s="366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70"/>
    </row>
    <row r="22" spans="1:14">
      <c r="A22" s="396"/>
      <c r="B22" s="366" t="s">
        <v>93</v>
      </c>
      <c r="C22" s="369"/>
      <c r="D22" s="369"/>
      <c r="E22" s="369"/>
      <c r="F22" s="369"/>
      <c r="G22" s="369"/>
      <c r="H22" s="369"/>
      <c r="I22" s="399" t="s">
        <v>94</v>
      </c>
      <c r="J22" s="400"/>
      <c r="K22" s="401"/>
      <c r="L22" s="401"/>
      <c r="M22" s="401"/>
      <c r="N22" s="402"/>
    </row>
    <row r="23" spans="1:14" ht="36">
      <c r="A23" s="403"/>
      <c r="B23" s="404" t="s">
        <v>28</v>
      </c>
      <c r="C23" s="699" t="s">
        <v>84</v>
      </c>
      <c r="D23" s="699"/>
      <c r="E23" s="404" t="s">
        <v>95</v>
      </c>
      <c r="F23" s="404" t="s">
        <v>96</v>
      </c>
      <c r="G23" s="404" t="s">
        <v>97</v>
      </c>
      <c r="H23" s="383"/>
      <c r="I23" s="404" t="s">
        <v>28</v>
      </c>
      <c r="J23" s="404" t="s">
        <v>84</v>
      </c>
      <c r="K23" s="404" t="s">
        <v>98</v>
      </c>
      <c r="L23" s="404" t="s">
        <v>99</v>
      </c>
      <c r="M23" s="404" t="s">
        <v>95</v>
      </c>
      <c r="N23" s="405" t="s">
        <v>97</v>
      </c>
    </row>
    <row r="24" spans="1:14">
      <c r="A24" s="396"/>
      <c r="B24" s="442" t="str">
        <f>A4</f>
        <v>Яковенко Алина</v>
      </c>
      <c r="C24" s="702" t="str">
        <f>A2</f>
        <v>ул. Набережная Ленина, 18</v>
      </c>
      <c r="D24" s="702"/>
      <c r="E24" s="409">
        <v>0.06</v>
      </c>
      <c r="F24" s="436">
        <f>'Яковенко А. К.'!J8</f>
        <v>624027.6</v>
      </c>
      <c r="G24" s="451">
        <f>F24*E24</f>
        <v>37441.655999999995</v>
      </c>
      <c r="H24" s="367"/>
      <c r="I24" s="406" t="str">
        <f>B24</f>
        <v>Яковенко Алина</v>
      </c>
      <c r="J24" s="407" t="str">
        <f>C24</f>
        <v>ул. Набережная Ленина, 18</v>
      </c>
      <c r="K24" s="407">
        <f>E16</f>
        <v>165</v>
      </c>
      <c r="L24" s="408">
        <f>График!AJ31</f>
        <v>740.5</v>
      </c>
      <c r="M24" s="409">
        <v>0.02</v>
      </c>
      <c r="N24" s="410">
        <f>2263488.6*M24*K24/L24</f>
        <v>10087.120027008779</v>
      </c>
    </row>
    <row r="25" spans="1:14">
      <c r="A25" s="403"/>
      <c r="B25" s="442" t="str">
        <f>B24</f>
        <v>Яковенко Алина</v>
      </c>
      <c r="C25" s="703"/>
      <c r="D25" s="703"/>
      <c r="E25" s="409"/>
      <c r="F25" s="452"/>
      <c r="G25" s="445"/>
      <c r="H25" s="383"/>
      <c r="I25" s="411"/>
      <c r="J25" s="412"/>
      <c r="K25" s="413"/>
      <c r="L25" s="414"/>
      <c r="M25" s="415"/>
      <c r="N25" s="416"/>
    </row>
    <row r="26" spans="1:14">
      <c r="A26" s="417"/>
      <c r="B26" s="418"/>
      <c r="C26" s="418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9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6"/>
  <sheetViews>
    <sheetView zoomScale="91" workbookViewId="0">
      <selection activeCell="H11" sqref="H11"/>
    </sheetView>
  </sheetViews>
  <sheetFormatPr baseColWidth="10" defaultColWidth="11.5" defaultRowHeight="15"/>
  <cols>
    <col min="1" max="1" width="2.33203125" style="3" customWidth="1"/>
    <col min="2" max="2" width="17.1640625" style="3" customWidth="1"/>
    <col min="3" max="3" width="19.33203125" style="3" customWidth="1"/>
    <col min="4" max="4" width="11.5" style="3"/>
    <col min="5" max="5" width="12" style="3" customWidth="1"/>
    <col min="6" max="6" width="12.1640625" style="3" customWidth="1"/>
    <col min="7" max="7" width="11.5" style="3"/>
    <col min="8" max="8" width="11.6640625" style="3" customWidth="1"/>
    <col min="9" max="9" width="15.5" style="3" customWidth="1"/>
    <col min="10" max="10" width="17.6640625" style="3" customWidth="1"/>
    <col min="11" max="11" width="11.5" style="3" customWidth="1"/>
    <col min="12" max="12" width="11.5" style="3"/>
    <col min="13" max="14" width="13.33203125" style="3" customWidth="1"/>
  </cols>
  <sheetData>
    <row r="1" spans="1:14" ht="20" customHeight="1">
      <c r="A1" s="686" t="str">
        <f>График!B1</f>
        <v>Июль, 2025</v>
      </c>
      <c r="B1" s="687"/>
      <c r="C1" s="687"/>
      <c r="D1" s="688"/>
      <c r="E1" s="337"/>
      <c r="F1" s="338"/>
      <c r="G1" s="338"/>
      <c r="H1" s="338"/>
      <c r="I1" s="338"/>
      <c r="J1" s="338"/>
      <c r="K1" s="338"/>
      <c r="L1" s="338"/>
      <c r="M1" s="338"/>
      <c r="N1" s="339"/>
    </row>
    <row r="2" spans="1:14" ht="17" customHeight="1">
      <c r="A2" s="689" t="str">
        <f>График!B3</f>
        <v>ул. Набережная Ленина, 18</v>
      </c>
      <c r="B2" s="690"/>
      <c r="C2" s="690"/>
      <c r="D2" s="340" t="str">
        <f>График!B4</f>
        <v>GL-0005</v>
      </c>
      <c r="E2" s="341"/>
      <c r="F2" s="342"/>
      <c r="G2" s="342"/>
      <c r="H2" s="342"/>
      <c r="I2" s="342"/>
      <c r="J2" s="342"/>
      <c r="K2" s="342"/>
      <c r="L2" s="342"/>
      <c r="M2" s="342"/>
      <c r="N2" s="343"/>
    </row>
    <row r="3" spans="1:14" ht="75">
      <c r="A3" s="691" t="s">
        <v>28</v>
      </c>
      <c r="B3" s="692"/>
      <c r="C3" s="692"/>
      <c r="D3" s="344" t="s">
        <v>68</v>
      </c>
      <c r="E3" s="344" t="s">
        <v>69</v>
      </c>
      <c r="F3" s="345" t="s">
        <v>70</v>
      </c>
      <c r="G3" s="346" t="s">
        <v>71</v>
      </c>
      <c r="H3" s="347" t="s">
        <v>72</v>
      </c>
      <c r="I3" s="348" t="s">
        <v>73</v>
      </c>
      <c r="J3" s="349" t="s">
        <v>74</v>
      </c>
      <c r="K3" s="350" t="s">
        <v>75</v>
      </c>
      <c r="L3" s="351" t="s">
        <v>76</v>
      </c>
      <c r="M3" s="453" t="s">
        <v>77</v>
      </c>
      <c r="N3" s="353" t="s">
        <v>78</v>
      </c>
    </row>
    <row r="4" spans="1:14" ht="19" customHeight="1">
      <c r="A4" s="693" t="str">
        <f>График!B28</f>
        <v>Уразгильдеева Екатерина</v>
      </c>
      <c r="B4" s="694"/>
      <c r="C4" s="694"/>
      <c r="D4" s="454">
        <v>34800</v>
      </c>
      <c r="E4" s="455"/>
      <c r="F4" s="426">
        <f>H8+H9</f>
        <v>0</v>
      </c>
      <c r="G4" s="427">
        <f>D12</f>
        <v>25550</v>
      </c>
      <c r="H4" s="428">
        <f>D19</f>
        <v>48082.68</v>
      </c>
      <c r="I4" s="429">
        <f>L19</f>
        <v>21872.950271438218</v>
      </c>
      <c r="J4" s="456">
        <f>L12</f>
        <v>0</v>
      </c>
      <c r="K4" s="361">
        <f>H4+J4+G4+F4+I4</f>
        <v>95505.630271438218</v>
      </c>
      <c r="L4" s="362">
        <f>C8+C9+C10</f>
        <v>5200</v>
      </c>
      <c r="M4" s="363">
        <f>K4-L4-D4-E4</f>
        <v>55505.630271438218</v>
      </c>
      <c r="N4" s="364"/>
    </row>
    <row r="5" spans="1:14">
      <c r="A5" s="365"/>
      <c r="B5" s="366"/>
      <c r="C5" s="367"/>
      <c r="D5" s="367"/>
      <c r="E5" s="367"/>
      <c r="F5" s="367"/>
      <c r="G5" s="367"/>
      <c r="H5" s="367"/>
      <c r="I5" s="367"/>
      <c r="J5" s="367"/>
      <c r="K5" s="368"/>
      <c r="L5" s="367"/>
      <c r="M5" s="369"/>
      <c r="N5" s="370"/>
    </row>
    <row r="6" spans="1:14">
      <c r="A6" s="365"/>
      <c r="B6" s="366" t="s">
        <v>76</v>
      </c>
      <c r="C6" s="367"/>
      <c r="D6" s="367"/>
      <c r="E6" s="367"/>
      <c r="F6" s="367"/>
      <c r="G6" s="366" t="s">
        <v>79</v>
      </c>
      <c r="H6" s="367"/>
      <c r="I6" s="367"/>
      <c r="J6" s="367"/>
      <c r="K6" s="367"/>
      <c r="L6" s="367"/>
      <c r="M6" s="369"/>
      <c r="N6" s="370"/>
    </row>
    <row r="7" spans="1:14">
      <c r="A7" s="371"/>
      <c r="B7" s="434" t="s">
        <v>29</v>
      </c>
      <c r="C7" s="434" t="s">
        <v>80</v>
      </c>
      <c r="D7" s="695" t="s">
        <v>81</v>
      </c>
      <c r="E7" s="695"/>
      <c r="F7" s="372"/>
      <c r="G7" s="434" t="s">
        <v>29</v>
      </c>
      <c r="H7" s="695" t="s">
        <v>80</v>
      </c>
      <c r="I7" s="695"/>
      <c r="J7" s="695" t="s">
        <v>81</v>
      </c>
      <c r="K7" s="695"/>
      <c r="L7" s="372"/>
      <c r="M7" s="373"/>
      <c r="N7" s="374"/>
    </row>
    <row r="8" spans="1:14" ht="20" customHeight="1">
      <c r="A8" s="365"/>
      <c r="B8" s="435">
        <v>45869</v>
      </c>
      <c r="C8" s="436">
        <v>5200</v>
      </c>
      <c r="D8" s="696" t="s">
        <v>123</v>
      </c>
      <c r="E8" s="696"/>
      <c r="F8" s="367"/>
      <c r="G8" s="435"/>
      <c r="H8" s="712"/>
      <c r="I8" s="712"/>
      <c r="J8" s="696"/>
      <c r="K8" s="696"/>
      <c r="L8" s="367"/>
      <c r="M8" s="369"/>
      <c r="N8" s="370"/>
    </row>
    <row r="9" spans="1:14" ht="20" customHeight="1">
      <c r="A9" s="365"/>
      <c r="B9" s="435"/>
      <c r="C9" s="436"/>
      <c r="D9" s="696"/>
      <c r="E9" s="696"/>
      <c r="F9" s="367"/>
      <c r="G9" s="435"/>
      <c r="H9" s="712"/>
      <c r="I9" s="712"/>
      <c r="J9" s="696"/>
      <c r="K9" s="696"/>
      <c r="L9" s="367"/>
      <c r="M9" s="369"/>
      <c r="N9" s="370"/>
    </row>
    <row r="10" spans="1:14" ht="20" customHeight="1">
      <c r="A10" s="365"/>
      <c r="B10" s="435"/>
      <c r="C10" s="436"/>
      <c r="D10" s="696"/>
      <c r="E10" s="696"/>
      <c r="F10" s="367"/>
      <c r="G10" s="438"/>
      <c r="H10" s="439"/>
      <c r="I10" s="439"/>
      <c r="J10" s="440"/>
      <c r="K10" s="440"/>
      <c r="L10" s="367"/>
      <c r="M10" s="369"/>
      <c r="N10" s="370"/>
    </row>
    <row r="11" spans="1:14" ht="34" customHeight="1">
      <c r="A11" s="365"/>
      <c r="B11" s="366"/>
      <c r="C11" s="367"/>
      <c r="D11" s="367"/>
      <c r="E11" s="367"/>
      <c r="F11" s="367"/>
      <c r="G11" s="367"/>
      <c r="H11" s="367"/>
      <c r="I11" s="367"/>
      <c r="J11" s="367"/>
      <c r="K11" s="367"/>
      <c r="L11" s="367"/>
      <c r="M11" s="369"/>
      <c r="N11" s="370"/>
    </row>
    <row r="12" spans="1:14">
      <c r="A12" s="375" t="s">
        <v>82</v>
      </c>
      <c r="B12" s="376"/>
      <c r="C12" s="376"/>
      <c r="D12" s="377">
        <f>G16</f>
        <v>25550</v>
      </c>
      <c r="E12" s="378"/>
      <c r="F12" s="379"/>
      <c r="G12" s="376"/>
      <c r="H12" s="376"/>
      <c r="I12" s="380" t="s">
        <v>74</v>
      </c>
      <c r="J12" s="376"/>
      <c r="K12" s="376"/>
      <c r="L12" s="381">
        <f>L16+L17</f>
        <v>0</v>
      </c>
      <c r="M12" s="379"/>
      <c r="N12" s="382"/>
    </row>
    <row r="13" spans="1:14">
      <c r="A13" s="365"/>
      <c r="B13" s="366"/>
      <c r="C13" s="367"/>
      <c r="D13" s="383"/>
      <c r="E13" s="383"/>
      <c r="F13" s="367"/>
      <c r="G13" s="367"/>
      <c r="H13" s="367"/>
      <c r="I13" s="367"/>
      <c r="J13" s="367"/>
      <c r="K13" s="369"/>
      <c r="L13" s="369"/>
      <c r="M13" s="369"/>
      <c r="N13" s="370"/>
    </row>
    <row r="14" spans="1:14">
      <c r="A14" s="384"/>
      <c r="B14" s="385" t="s">
        <v>82</v>
      </c>
      <c r="C14" s="383"/>
      <c r="D14" s="383"/>
      <c r="E14" s="383"/>
      <c r="F14" s="383"/>
      <c r="G14" s="383"/>
      <c r="H14" s="383"/>
      <c r="I14" s="383"/>
      <c r="J14" s="698" t="s">
        <v>74</v>
      </c>
      <c r="K14" s="698"/>
      <c r="L14" s="386"/>
      <c r="M14" s="386"/>
      <c r="N14" s="387"/>
    </row>
    <row r="15" spans="1:14" ht="24">
      <c r="A15" s="384"/>
      <c r="B15" s="404" t="s">
        <v>83</v>
      </c>
      <c r="C15" s="404" t="s">
        <v>84</v>
      </c>
      <c r="D15" s="404" t="s">
        <v>85</v>
      </c>
      <c r="E15" s="404" t="s">
        <v>86</v>
      </c>
      <c r="F15" s="404" t="s">
        <v>87</v>
      </c>
      <c r="G15" s="404" t="s">
        <v>88</v>
      </c>
      <c r="H15" s="383"/>
      <c r="I15" s="383"/>
      <c r="J15" s="404" t="s">
        <v>84</v>
      </c>
      <c r="K15" s="404" t="s">
        <v>89</v>
      </c>
      <c r="L15" s="404" t="s">
        <v>90</v>
      </c>
      <c r="M15" s="386"/>
      <c r="N15" s="387"/>
    </row>
    <row r="16" spans="1:14">
      <c r="A16" s="365"/>
      <c r="B16" s="441">
        <f>График!AI28</f>
        <v>21</v>
      </c>
      <c r="C16" s="442" t="str">
        <f>A2</f>
        <v>ул. Набережная Ленина, 18</v>
      </c>
      <c r="D16" s="442" t="s">
        <v>91</v>
      </c>
      <c r="E16" s="443">
        <f>График!AJ28</f>
        <v>255.5</v>
      </c>
      <c r="F16" s="444">
        <v>100</v>
      </c>
      <c r="G16" s="445">
        <f>E16*F16</f>
        <v>25550</v>
      </c>
      <c r="H16" s="389"/>
      <c r="I16" s="389"/>
      <c r="J16" s="442" t="str">
        <f>График!B3</f>
        <v>ул. Набережная Ленина, 18</v>
      </c>
      <c r="K16" s="409">
        <f>'Ялта, Ленина, 18'!K8</f>
        <v>0.77687539215686274</v>
      </c>
      <c r="L16" s="444">
        <v>0</v>
      </c>
      <c r="M16" s="369"/>
      <c r="N16" s="370"/>
    </row>
    <row r="17" spans="1:14">
      <c r="A17" s="384"/>
      <c r="B17" s="404"/>
      <c r="C17" s="446"/>
      <c r="D17" s="442"/>
      <c r="E17" s="447"/>
      <c r="F17" s="444"/>
      <c r="G17" s="445"/>
      <c r="H17" s="383"/>
      <c r="I17" s="383"/>
      <c r="J17" s="437"/>
      <c r="K17" s="448"/>
      <c r="L17" s="449"/>
      <c r="M17" s="386"/>
      <c r="N17" s="387"/>
    </row>
    <row r="18" spans="1:14">
      <c r="A18" s="384"/>
      <c r="B18" s="383"/>
      <c r="C18" s="390"/>
      <c r="D18" s="367"/>
      <c r="E18" s="391"/>
      <c r="F18" s="391"/>
      <c r="G18" s="392"/>
      <c r="H18" s="383"/>
      <c r="I18" s="383"/>
      <c r="J18" s="383"/>
      <c r="K18" s="383"/>
      <c r="L18" s="386"/>
      <c r="M18" s="386"/>
      <c r="N18" s="387"/>
    </row>
    <row r="19" spans="1:14">
      <c r="A19" s="375" t="s">
        <v>92</v>
      </c>
      <c r="B19" s="376"/>
      <c r="C19" s="376"/>
      <c r="D19" s="393">
        <f>G24</f>
        <v>48082.68</v>
      </c>
      <c r="E19" s="394"/>
      <c r="F19" s="379"/>
      <c r="G19" s="379"/>
      <c r="H19" s="379"/>
      <c r="I19" s="376" t="s">
        <v>73</v>
      </c>
      <c r="J19" s="379"/>
      <c r="K19" s="379"/>
      <c r="L19" s="395">
        <f>N24</f>
        <v>21872.950271438218</v>
      </c>
      <c r="M19" s="379"/>
      <c r="N19" s="382"/>
    </row>
    <row r="20" spans="1:14">
      <c r="A20" s="396"/>
      <c r="B20" s="366"/>
      <c r="C20" s="369"/>
      <c r="D20" s="369"/>
      <c r="E20" s="369"/>
      <c r="F20" s="369"/>
      <c r="G20" s="369"/>
      <c r="H20" s="369"/>
      <c r="I20" s="369"/>
      <c r="J20" s="369"/>
      <c r="K20" s="397"/>
      <c r="L20" s="121"/>
      <c r="M20" s="121"/>
      <c r="N20" s="398"/>
    </row>
    <row r="21" spans="1:14">
      <c r="A21" s="396"/>
      <c r="B21" s="367"/>
      <c r="C21" s="366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70"/>
    </row>
    <row r="22" spans="1:14">
      <c r="A22" s="396"/>
      <c r="B22" s="366" t="s">
        <v>93</v>
      </c>
      <c r="C22" s="369"/>
      <c r="D22" s="369"/>
      <c r="E22" s="369"/>
      <c r="F22" s="369"/>
      <c r="G22" s="369"/>
      <c r="H22" s="369"/>
      <c r="I22" s="399" t="s">
        <v>94</v>
      </c>
      <c r="J22" s="400"/>
      <c r="K22" s="401"/>
      <c r="L22" s="401"/>
      <c r="M22" s="401"/>
      <c r="N22" s="402"/>
    </row>
    <row r="23" spans="1:14" ht="36">
      <c r="A23" s="403"/>
      <c r="B23" s="404" t="s">
        <v>28</v>
      </c>
      <c r="C23" s="699" t="s">
        <v>84</v>
      </c>
      <c r="D23" s="699"/>
      <c r="E23" s="404" t="s">
        <v>95</v>
      </c>
      <c r="F23" s="404" t="s">
        <v>96</v>
      </c>
      <c r="G23" s="404" t="s">
        <v>97</v>
      </c>
      <c r="H23" s="383"/>
      <c r="I23" s="404" t="s">
        <v>28</v>
      </c>
      <c r="J23" s="404" t="s">
        <v>84</v>
      </c>
      <c r="K23" s="404" t="s">
        <v>98</v>
      </c>
      <c r="L23" s="404" t="s">
        <v>99</v>
      </c>
      <c r="M23" s="404" t="s">
        <v>95</v>
      </c>
      <c r="N23" s="405" t="s">
        <v>97</v>
      </c>
    </row>
    <row r="24" spans="1:14">
      <c r="A24" s="396"/>
      <c r="B24" s="442" t="str">
        <f>A4</f>
        <v>Уразгильдеева Екатерина</v>
      </c>
      <c r="C24" s="702" t="str">
        <f>A2</f>
        <v>ул. Набережная Ленина, 18</v>
      </c>
      <c r="D24" s="702"/>
      <c r="E24" s="409">
        <v>0.06</v>
      </c>
      <c r="F24" s="436">
        <f>'Уразгильдеева Е. Р.'!J8</f>
        <v>801378</v>
      </c>
      <c r="G24" s="451">
        <f>F24*E24</f>
        <v>48082.68</v>
      </c>
      <c r="H24" s="367"/>
      <c r="I24" s="406" t="str">
        <f>B24</f>
        <v>Уразгильдеева Екатерина</v>
      </c>
      <c r="J24" s="407" t="str">
        <f>C24</f>
        <v>ул. Набережная Ленина, 18</v>
      </c>
      <c r="K24" s="407">
        <f>E16</f>
        <v>255.5</v>
      </c>
      <c r="L24" s="408">
        <f>График!AJ31</f>
        <v>740.5</v>
      </c>
      <c r="M24" s="409">
        <v>0.02</v>
      </c>
      <c r="N24" s="410">
        <f>'Ялта, Ленина, 18'!J8*M24*K24/L24</f>
        <v>21872.950271438218</v>
      </c>
    </row>
    <row r="25" spans="1:14">
      <c r="A25" s="403"/>
      <c r="B25" s="442" t="str">
        <f>B24</f>
        <v>Уразгильдеева Екатерина</v>
      </c>
      <c r="C25" s="703"/>
      <c r="D25" s="703"/>
      <c r="E25" s="409"/>
      <c r="F25" s="452"/>
      <c r="G25" s="445"/>
      <c r="H25" s="383"/>
      <c r="I25" s="411"/>
      <c r="J25" s="412"/>
      <c r="K25" s="413"/>
      <c r="L25" s="414"/>
      <c r="M25" s="415"/>
      <c r="N25" s="416" t="e">
        <f>1477363.14*M25*K25/L25</f>
        <v>#DIV/0!</v>
      </c>
    </row>
    <row r="26" spans="1:14">
      <c r="A26" s="417"/>
      <c r="B26" s="418"/>
      <c r="C26" s="418"/>
      <c r="D26" s="418"/>
      <c r="E26" s="418"/>
      <c r="F26" s="418"/>
      <c r="G26" s="418"/>
      <c r="H26" s="418"/>
      <c r="I26" s="418"/>
      <c r="J26" s="418"/>
      <c r="K26" s="418"/>
      <c r="L26" s="418"/>
      <c r="M26" s="418"/>
      <c r="N26" s="419"/>
    </row>
  </sheetData>
  <mergeCells count="18">
    <mergeCell ref="C23:D23"/>
    <mergeCell ref="C24:D24"/>
    <mergeCell ref="C25:D25"/>
    <mergeCell ref="D9:E9"/>
    <mergeCell ref="H9:I9"/>
    <mergeCell ref="J9:K9"/>
    <mergeCell ref="D10:E10"/>
    <mergeCell ref="J14:K14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O33"/>
  <sheetViews>
    <sheetView zoomScale="67" workbookViewId="0">
      <selection activeCell="AJ36" sqref="AJ36"/>
    </sheetView>
  </sheetViews>
  <sheetFormatPr baseColWidth="10" defaultColWidth="11.5" defaultRowHeight="15"/>
  <cols>
    <col min="1" max="1" width="4.83203125" style="3" customWidth="1"/>
    <col min="2" max="2" width="26.6640625" style="3" customWidth="1"/>
    <col min="3" max="3" width="17" style="3" customWidth="1"/>
    <col min="4" max="34" width="6.33203125" style="3" customWidth="1"/>
    <col min="35" max="35" width="4.83203125" style="3" customWidth="1"/>
    <col min="36" max="36" width="11.1640625" style="3" customWidth="1"/>
    <col min="37" max="40" width="6.33203125" style="3" customWidth="1"/>
    <col min="41" max="16384" width="11.5" style="3"/>
  </cols>
  <sheetData>
    <row r="1" spans="1:40">
      <c r="A1" s="457"/>
      <c r="B1" s="458" t="s">
        <v>100</v>
      </c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 t="s">
        <v>67</v>
      </c>
      <c r="U1" s="459"/>
      <c r="V1" s="459"/>
      <c r="W1" s="459"/>
      <c r="X1" s="459"/>
      <c r="Y1" s="459"/>
      <c r="Z1" s="459"/>
      <c r="AA1" s="459"/>
      <c r="AB1" s="459"/>
      <c r="AC1" s="459"/>
      <c r="AD1" s="459"/>
      <c r="AE1" s="459"/>
      <c r="AF1" s="459"/>
      <c r="AG1" s="459"/>
      <c r="AH1" s="459"/>
      <c r="AI1" s="459"/>
      <c r="AJ1" s="459"/>
      <c r="AK1" s="459"/>
      <c r="AL1" s="459"/>
      <c r="AM1" s="459"/>
      <c r="AN1" s="459"/>
    </row>
    <row r="2" spans="1:40" ht="16">
      <c r="A2" s="457"/>
      <c r="B2" s="460" t="s">
        <v>101</v>
      </c>
      <c r="C2" s="461"/>
      <c r="D2" s="461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  <c r="AJ2" s="462"/>
      <c r="AK2" s="462"/>
      <c r="AL2" s="462"/>
      <c r="AM2" s="462"/>
      <c r="AN2" s="462"/>
    </row>
    <row r="3" spans="1:40" ht="16">
      <c r="A3" s="457"/>
      <c r="B3" s="463" t="s">
        <v>102</v>
      </c>
      <c r="C3" s="464"/>
      <c r="D3" s="464"/>
      <c r="E3" s="465"/>
      <c r="F3" s="465"/>
      <c r="G3" s="465"/>
      <c r="H3" s="465"/>
      <c r="I3" s="465"/>
      <c r="J3" s="465"/>
      <c r="K3" s="462"/>
      <c r="L3" s="462"/>
      <c r="M3" s="462"/>
      <c r="N3" s="462"/>
      <c r="O3" s="462"/>
      <c r="P3" s="462"/>
      <c r="Q3" s="462"/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2"/>
      <c r="AC3" s="462"/>
      <c r="AD3" s="462"/>
      <c r="AE3" s="462"/>
      <c r="AF3" s="462"/>
      <c r="AG3" s="462"/>
      <c r="AH3" s="462"/>
      <c r="AI3" s="462"/>
      <c r="AJ3" s="462"/>
      <c r="AK3" s="462"/>
      <c r="AL3" s="462"/>
      <c r="AM3" s="462"/>
      <c r="AN3" s="462"/>
    </row>
    <row r="4" spans="1:40" ht="19">
      <c r="A4" s="457"/>
      <c r="B4" s="466" t="s">
        <v>103</v>
      </c>
      <c r="C4" s="461"/>
      <c r="D4" s="461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2"/>
      <c r="AC4" s="462"/>
      <c r="AD4" s="462"/>
      <c r="AE4" s="462"/>
      <c r="AF4" s="462"/>
      <c r="AG4" s="462"/>
      <c r="AH4" s="462"/>
      <c r="AI4" s="462"/>
      <c r="AJ4" s="462"/>
      <c r="AK4" s="462"/>
      <c r="AL4" s="462"/>
      <c r="AM4" s="462"/>
      <c r="AN4" s="462"/>
    </row>
    <row r="5" spans="1:40" ht="16">
      <c r="A5" s="457"/>
      <c r="B5" s="467" t="s">
        <v>104</v>
      </c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  <c r="AJ5" s="713"/>
      <c r="AK5" s="714"/>
      <c r="AL5" s="715"/>
      <c r="AM5" s="716"/>
      <c r="AN5" s="717"/>
    </row>
    <row r="6" spans="1:40">
      <c r="A6" s="457"/>
      <c r="B6" s="468" t="s">
        <v>105</v>
      </c>
      <c r="C6" s="718" t="s">
        <v>106</v>
      </c>
      <c r="D6" s="719"/>
      <c r="E6" s="719"/>
      <c r="F6" s="719"/>
      <c r="G6" s="719"/>
      <c r="H6" s="719"/>
      <c r="I6" s="719"/>
      <c r="J6" s="719"/>
      <c r="K6" s="719"/>
      <c r="L6" s="719"/>
      <c r="M6" s="719"/>
      <c r="N6" s="719"/>
      <c r="O6" s="719"/>
      <c r="P6" s="719"/>
      <c r="Q6" s="719"/>
      <c r="R6" s="719"/>
      <c r="S6" s="719"/>
      <c r="T6" s="719"/>
      <c r="U6" s="719"/>
      <c r="V6" s="719"/>
      <c r="W6" s="719"/>
      <c r="X6" s="719"/>
      <c r="Y6" s="719"/>
      <c r="Z6" s="719"/>
      <c r="AA6" s="719"/>
      <c r="AB6" s="719"/>
      <c r="AC6" s="719"/>
      <c r="AD6" s="719"/>
      <c r="AE6" s="719"/>
      <c r="AF6" s="719"/>
      <c r="AG6" s="719"/>
      <c r="AH6" s="719"/>
      <c r="AI6" s="719"/>
      <c r="AJ6" s="720"/>
      <c r="AK6" s="469">
        <v>30</v>
      </c>
      <c r="AL6" s="470"/>
      <c r="AM6" s="470"/>
      <c r="AN6" s="470"/>
    </row>
    <row r="7" spans="1:40">
      <c r="A7" s="471"/>
      <c r="B7" s="472" t="e">
        <f>BT31*100/BH31</f>
        <v>#DIV/0!</v>
      </c>
      <c r="C7" s="718"/>
      <c r="D7" s="719"/>
      <c r="E7" s="719"/>
      <c r="F7" s="719"/>
      <c r="G7" s="719"/>
      <c r="H7" s="719"/>
      <c r="I7" s="719"/>
      <c r="J7" s="719"/>
      <c r="K7" s="719"/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719"/>
      <c r="X7" s="719"/>
      <c r="Y7" s="719"/>
      <c r="Z7" s="719"/>
      <c r="AA7" s="719"/>
      <c r="AB7" s="719"/>
      <c r="AC7" s="719"/>
      <c r="AD7" s="719"/>
      <c r="AE7" s="719"/>
      <c r="AF7" s="719"/>
      <c r="AG7" s="719"/>
      <c r="AH7" s="719"/>
      <c r="AI7" s="719"/>
      <c r="AJ7" s="720"/>
      <c r="AK7" s="473"/>
      <c r="AL7" s="473"/>
      <c r="AM7" s="474"/>
      <c r="AN7" s="474"/>
    </row>
    <row r="8" spans="1:40" ht="30">
      <c r="A8" s="475"/>
      <c r="B8" s="476"/>
      <c r="C8" s="477"/>
      <c r="D8" s="478" t="s">
        <v>48</v>
      </c>
      <c r="E8" s="478" t="s">
        <v>50</v>
      </c>
      <c r="F8" s="478" t="s">
        <v>52</v>
      </c>
      <c r="G8" s="478" t="s">
        <v>53</v>
      </c>
      <c r="H8" s="478" t="s">
        <v>54</v>
      </c>
      <c r="I8" s="478" t="s">
        <v>55</v>
      </c>
      <c r="J8" s="478" t="s">
        <v>56</v>
      </c>
      <c r="K8" s="478" t="s">
        <v>48</v>
      </c>
      <c r="L8" s="478" t="s">
        <v>50</v>
      </c>
      <c r="M8" s="478" t="s">
        <v>52</v>
      </c>
      <c r="N8" s="478" t="s">
        <v>53</v>
      </c>
      <c r="O8" s="478" t="s">
        <v>54</v>
      </c>
      <c r="P8" s="478" t="s">
        <v>55</v>
      </c>
      <c r="Q8" s="478" t="s">
        <v>56</v>
      </c>
      <c r="R8" s="478" t="s">
        <v>48</v>
      </c>
      <c r="S8" s="478" t="s">
        <v>50</v>
      </c>
      <c r="T8" s="478" t="s">
        <v>52</v>
      </c>
      <c r="U8" s="478" t="s">
        <v>53</v>
      </c>
      <c r="V8" s="478" t="s">
        <v>54</v>
      </c>
      <c r="W8" s="478" t="s">
        <v>55</v>
      </c>
      <c r="X8" s="478" t="s">
        <v>56</v>
      </c>
      <c r="Y8" s="478" t="s">
        <v>48</v>
      </c>
      <c r="Z8" s="478" t="s">
        <v>50</v>
      </c>
      <c r="AA8" s="478" t="s">
        <v>52</v>
      </c>
      <c r="AB8" s="478" t="s">
        <v>53</v>
      </c>
      <c r="AC8" s="478" t="s">
        <v>54</v>
      </c>
      <c r="AD8" s="478" t="s">
        <v>55</v>
      </c>
      <c r="AE8" s="478" t="s">
        <v>56</v>
      </c>
      <c r="AF8" s="478" t="s">
        <v>48</v>
      </c>
      <c r="AG8" s="478" t="s">
        <v>50</v>
      </c>
      <c r="AH8" s="478" t="s">
        <v>52</v>
      </c>
      <c r="AI8" s="479"/>
      <c r="AJ8" s="480" t="s">
        <v>107</v>
      </c>
      <c r="AK8" s="480" t="s">
        <v>108</v>
      </c>
      <c r="AL8" s="721" t="s">
        <v>109</v>
      </c>
      <c r="AM8" s="721" t="s">
        <v>110</v>
      </c>
      <c r="AN8" s="725" t="s">
        <v>111</v>
      </c>
    </row>
    <row r="9" spans="1:40">
      <c r="A9" s="457"/>
      <c r="B9" s="462"/>
      <c r="C9" s="481"/>
      <c r="D9" s="482"/>
      <c r="E9" s="482"/>
      <c r="F9" s="482"/>
      <c r="G9" s="482"/>
      <c r="H9" s="482"/>
      <c r="I9" s="482"/>
      <c r="J9" s="482"/>
      <c r="K9" s="482"/>
      <c r="L9" s="482"/>
      <c r="M9" s="482"/>
      <c r="N9" s="482"/>
      <c r="O9" s="482"/>
      <c r="P9" s="482"/>
      <c r="Q9" s="482"/>
      <c r="R9" s="482"/>
      <c r="S9" s="482"/>
      <c r="T9" s="482"/>
      <c r="U9" s="482"/>
      <c r="V9" s="482"/>
      <c r="W9" s="482"/>
      <c r="X9" s="482"/>
      <c r="Y9" s="482"/>
      <c r="Z9" s="482"/>
      <c r="AA9" s="482"/>
      <c r="AB9" s="482"/>
      <c r="AC9" s="482"/>
      <c r="AD9" s="482"/>
      <c r="AE9" s="482"/>
      <c r="AF9" s="482"/>
      <c r="AG9" s="482"/>
      <c r="AH9" s="482"/>
      <c r="AI9" s="483"/>
      <c r="AJ9" s="484"/>
      <c r="AK9" s="484"/>
      <c r="AL9" s="722"/>
      <c r="AM9" s="722"/>
      <c r="AN9" s="726"/>
    </row>
    <row r="10" spans="1:40">
      <c r="A10" s="485" t="s">
        <v>112</v>
      </c>
      <c r="B10" s="486" t="s">
        <v>113</v>
      </c>
      <c r="C10" s="487" t="s">
        <v>85</v>
      </c>
      <c r="D10" s="488">
        <v>1</v>
      </c>
      <c r="E10" s="488">
        <v>2</v>
      </c>
      <c r="F10" s="488">
        <v>3</v>
      </c>
      <c r="G10" s="488">
        <v>4</v>
      </c>
      <c r="H10" s="488">
        <v>5</v>
      </c>
      <c r="I10" s="488">
        <v>6</v>
      </c>
      <c r="J10" s="488">
        <v>7</v>
      </c>
      <c r="K10" s="488">
        <v>8</v>
      </c>
      <c r="L10" s="488">
        <v>9</v>
      </c>
      <c r="M10" s="488">
        <v>10</v>
      </c>
      <c r="N10" s="488">
        <v>11</v>
      </c>
      <c r="O10" s="488">
        <v>12</v>
      </c>
      <c r="P10" s="488">
        <v>13</v>
      </c>
      <c r="Q10" s="488">
        <v>14</v>
      </c>
      <c r="R10" s="488">
        <v>15</v>
      </c>
      <c r="S10" s="488">
        <v>16</v>
      </c>
      <c r="T10" s="488">
        <v>17</v>
      </c>
      <c r="U10" s="488">
        <v>18</v>
      </c>
      <c r="V10" s="488">
        <v>19</v>
      </c>
      <c r="W10" s="488">
        <v>20</v>
      </c>
      <c r="X10" s="488">
        <v>21</v>
      </c>
      <c r="Y10" s="488">
        <v>22</v>
      </c>
      <c r="Z10" s="488">
        <v>23</v>
      </c>
      <c r="AA10" s="488">
        <v>24</v>
      </c>
      <c r="AB10" s="488">
        <v>25</v>
      </c>
      <c r="AC10" s="488">
        <v>26</v>
      </c>
      <c r="AD10" s="488">
        <v>27</v>
      </c>
      <c r="AE10" s="488">
        <v>28</v>
      </c>
      <c r="AF10" s="488">
        <v>29</v>
      </c>
      <c r="AG10" s="488">
        <v>30</v>
      </c>
      <c r="AH10" s="488">
        <v>31</v>
      </c>
      <c r="AI10" s="489" t="s">
        <v>114</v>
      </c>
      <c r="AJ10" s="490"/>
      <c r="AK10" s="491"/>
      <c r="AL10" s="723"/>
      <c r="AM10" s="724"/>
      <c r="AN10" s="727"/>
    </row>
    <row r="11" spans="1:40">
      <c r="A11" s="492">
        <v>20</v>
      </c>
      <c r="B11" s="493"/>
      <c r="C11" s="494"/>
      <c r="D11" s="494"/>
      <c r="E11" s="494"/>
      <c r="F11" s="494"/>
      <c r="G11" s="494"/>
      <c r="H11" s="494"/>
      <c r="I11" s="494"/>
      <c r="J11" s="494"/>
      <c r="K11" s="494"/>
      <c r="L11" s="494"/>
      <c r="M11" s="494"/>
      <c r="N11" s="494"/>
      <c r="O11" s="494"/>
      <c r="P11" s="494"/>
      <c r="Q11" s="494"/>
      <c r="R11" s="494"/>
      <c r="S11" s="494"/>
      <c r="T11" s="494"/>
      <c r="U11" s="494"/>
      <c r="V11" s="494"/>
      <c r="W11" s="494"/>
      <c r="X11" s="494"/>
      <c r="Y11" s="494"/>
      <c r="Z11" s="495"/>
      <c r="AA11" s="495"/>
      <c r="AB11" s="495"/>
      <c r="AC11" s="495"/>
      <c r="AD11" s="495"/>
      <c r="AE11" s="495"/>
      <c r="AF11" s="494"/>
      <c r="AG11" s="494"/>
      <c r="AH11" s="496"/>
      <c r="AI11" s="497">
        <v>0</v>
      </c>
      <c r="AJ11" s="498">
        <v>0</v>
      </c>
      <c r="AK11" s="499">
        <v>0</v>
      </c>
      <c r="AL11" s="499">
        <v>0</v>
      </c>
      <c r="AM11" s="499">
        <v>0</v>
      </c>
      <c r="AN11" s="500">
        <v>0</v>
      </c>
    </row>
    <row r="12" spans="1:40">
      <c r="A12" s="501">
        <v>19</v>
      </c>
      <c r="B12" s="502"/>
      <c r="C12" s="503"/>
      <c r="D12" s="503"/>
      <c r="E12" s="503"/>
      <c r="F12" s="503"/>
      <c r="G12" s="503"/>
      <c r="H12" s="503"/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4"/>
      <c r="AA12" s="504"/>
      <c r="AB12" s="504"/>
      <c r="AC12" s="504"/>
      <c r="AD12" s="504"/>
      <c r="AE12" s="504"/>
      <c r="AF12" s="503"/>
      <c r="AG12" s="503"/>
      <c r="AH12" s="505"/>
      <c r="AI12" s="506">
        <v>0</v>
      </c>
      <c r="AJ12" s="507">
        <v>0</v>
      </c>
      <c r="AK12" s="508">
        <v>0</v>
      </c>
      <c r="AL12" s="508">
        <v>0</v>
      </c>
      <c r="AM12" s="508">
        <v>0</v>
      </c>
      <c r="AN12" s="509">
        <v>0</v>
      </c>
    </row>
    <row r="13" spans="1:40">
      <c r="A13" s="501">
        <v>18</v>
      </c>
      <c r="B13" s="502"/>
      <c r="C13" s="503"/>
      <c r="D13" s="503"/>
      <c r="E13" s="503"/>
      <c r="F13" s="503"/>
      <c r="G13" s="503"/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4"/>
      <c r="AA13" s="504"/>
      <c r="AB13" s="504"/>
      <c r="AC13" s="504"/>
      <c r="AD13" s="504"/>
      <c r="AE13" s="504"/>
      <c r="AF13" s="503"/>
      <c r="AG13" s="503"/>
      <c r="AH13" s="505"/>
      <c r="AI13" s="506">
        <v>0</v>
      </c>
      <c r="AJ13" s="498">
        <v>0</v>
      </c>
      <c r="AK13" s="499">
        <v>0</v>
      </c>
      <c r="AL13" s="499">
        <v>0</v>
      </c>
      <c r="AM13" s="499">
        <v>0</v>
      </c>
      <c r="AN13" s="500">
        <v>0</v>
      </c>
    </row>
    <row r="14" spans="1:40">
      <c r="A14" s="501">
        <v>17</v>
      </c>
      <c r="B14" s="502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/>
      <c r="V14" s="503"/>
      <c r="W14" s="503"/>
      <c r="X14" s="503"/>
      <c r="Y14" s="503"/>
      <c r="Z14" s="503"/>
      <c r="AA14" s="503"/>
      <c r="AB14" s="503"/>
      <c r="AC14" s="503"/>
      <c r="AD14" s="503"/>
      <c r="AE14" s="503"/>
      <c r="AF14" s="503"/>
      <c r="AG14" s="503"/>
      <c r="AH14" s="505"/>
      <c r="AI14" s="506">
        <v>0</v>
      </c>
      <c r="AJ14" s="507">
        <v>0</v>
      </c>
      <c r="AK14" s="508">
        <v>0</v>
      </c>
      <c r="AL14" s="508">
        <v>0</v>
      </c>
      <c r="AM14" s="508">
        <v>0</v>
      </c>
      <c r="AN14" s="509">
        <v>0</v>
      </c>
    </row>
    <row r="15" spans="1:40">
      <c r="A15" s="501">
        <v>16</v>
      </c>
      <c r="B15" s="502"/>
      <c r="C15" s="503"/>
      <c r="D15" s="503"/>
      <c r="E15" s="503"/>
      <c r="F15" s="503"/>
      <c r="G15" s="503"/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10"/>
      <c r="U15" s="503"/>
      <c r="V15" s="503"/>
      <c r="W15" s="503"/>
      <c r="X15" s="503"/>
      <c r="Y15" s="503"/>
      <c r="Z15" s="503"/>
      <c r="AA15" s="503"/>
      <c r="AB15" s="503"/>
      <c r="AC15" s="503"/>
      <c r="AD15" s="503"/>
      <c r="AE15" s="503"/>
      <c r="AF15" s="503"/>
      <c r="AG15" s="503"/>
      <c r="AH15" s="505"/>
      <c r="AI15" s="506">
        <v>0</v>
      </c>
      <c r="AJ15" s="498">
        <v>0</v>
      </c>
      <c r="AK15" s="499">
        <v>0</v>
      </c>
      <c r="AL15" s="499">
        <v>0</v>
      </c>
      <c r="AM15" s="499">
        <v>0</v>
      </c>
      <c r="AN15" s="500">
        <v>0</v>
      </c>
    </row>
    <row r="16" spans="1:40">
      <c r="A16" s="501">
        <v>15</v>
      </c>
      <c r="B16" s="502"/>
      <c r="C16" s="503"/>
      <c r="D16" s="503"/>
      <c r="E16" s="503"/>
      <c r="F16" s="503"/>
      <c r="G16" s="503"/>
      <c r="H16" s="503"/>
      <c r="I16" s="503"/>
      <c r="J16" s="503"/>
      <c r="K16" s="503"/>
      <c r="L16" s="503"/>
      <c r="M16" s="503"/>
      <c r="N16" s="503"/>
      <c r="O16" s="503"/>
      <c r="P16" s="503"/>
      <c r="Q16" s="503"/>
      <c r="R16" s="503"/>
      <c r="S16" s="503"/>
      <c r="T16" s="503"/>
      <c r="U16" s="503"/>
      <c r="V16" s="503"/>
      <c r="W16" s="503"/>
      <c r="X16" s="503"/>
      <c r="Y16" s="503"/>
      <c r="Z16" s="503"/>
      <c r="AA16" s="503"/>
      <c r="AB16" s="503"/>
      <c r="AC16" s="503"/>
      <c r="AD16" s="503"/>
      <c r="AE16" s="503"/>
      <c r="AF16" s="503"/>
      <c r="AG16" s="503"/>
      <c r="AH16" s="505"/>
      <c r="AI16" s="506">
        <v>0</v>
      </c>
      <c r="AJ16" s="507">
        <v>0</v>
      </c>
      <c r="AK16" s="508">
        <v>0</v>
      </c>
      <c r="AL16" s="508">
        <v>0</v>
      </c>
      <c r="AM16" s="508">
        <v>0</v>
      </c>
      <c r="AN16" s="509">
        <v>0</v>
      </c>
    </row>
    <row r="17" spans="1:41">
      <c r="A17" s="501">
        <v>14</v>
      </c>
      <c r="B17" s="502"/>
      <c r="C17" s="503"/>
      <c r="D17" s="503"/>
      <c r="E17" s="503"/>
      <c r="F17" s="503"/>
      <c r="G17" s="503"/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5"/>
      <c r="AI17" s="506">
        <v>0</v>
      </c>
      <c r="AJ17" s="507">
        <v>0</v>
      </c>
      <c r="AK17" s="508">
        <v>0</v>
      </c>
      <c r="AL17" s="508">
        <v>0</v>
      </c>
      <c r="AM17" s="508">
        <v>0</v>
      </c>
      <c r="AN17" s="509">
        <v>0</v>
      </c>
    </row>
    <row r="18" spans="1:41">
      <c r="A18" s="501">
        <v>13</v>
      </c>
      <c r="B18" s="502"/>
      <c r="C18" s="503"/>
      <c r="D18" s="503"/>
      <c r="E18" s="503"/>
      <c r="F18" s="503"/>
      <c r="G18" s="503"/>
      <c r="H18" s="503"/>
      <c r="I18" s="503"/>
      <c r="J18" s="503"/>
      <c r="K18" s="503"/>
      <c r="L18" s="503"/>
      <c r="M18" s="503"/>
      <c r="N18" s="503"/>
      <c r="O18" s="503"/>
      <c r="P18" s="503"/>
      <c r="Q18" s="503"/>
      <c r="R18" s="503"/>
      <c r="S18" s="503"/>
      <c r="T18" s="503"/>
      <c r="U18" s="503"/>
      <c r="V18" s="503"/>
      <c r="W18" s="503"/>
      <c r="X18" s="503"/>
      <c r="Y18" s="503"/>
      <c r="Z18" s="503"/>
      <c r="AA18" s="503"/>
      <c r="AB18" s="503"/>
      <c r="AC18" s="503"/>
      <c r="AD18" s="503"/>
      <c r="AE18" s="503"/>
      <c r="AF18" s="503"/>
      <c r="AG18" s="503"/>
      <c r="AH18" s="505"/>
      <c r="AI18" s="506">
        <v>0</v>
      </c>
      <c r="AJ18" s="507">
        <v>0</v>
      </c>
      <c r="AK18" s="508">
        <v>0</v>
      </c>
      <c r="AL18" s="508">
        <v>0</v>
      </c>
      <c r="AM18" s="508">
        <v>0</v>
      </c>
      <c r="AN18" s="509">
        <v>0</v>
      </c>
    </row>
    <row r="19" spans="1:41">
      <c r="A19" s="501">
        <v>12</v>
      </c>
      <c r="B19" s="502"/>
      <c r="C19" s="503"/>
      <c r="D19" s="503"/>
      <c r="E19" s="503"/>
      <c r="F19" s="503"/>
      <c r="G19" s="503"/>
      <c r="H19" s="503"/>
      <c r="I19" s="503"/>
      <c r="J19" s="503"/>
      <c r="K19" s="503"/>
      <c r="L19" s="503"/>
      <c r="M19" s="503"/>
      <c r="N19" s="503"/>
      <c r="O19" s="503"/>
      <c r="P19" s="503"/>
      <c r="Q19" s="503"/>
      <c r="R19" s="503"/>
      <c r="S19" s="503"/>
      <c r="T19" s="503"/>
      <c r="U19" s="503"/>
      <c r="V19" s="503"/>
      <c r="W19" s="503"/>
      <c r="X19" s="503"/>
      <c r="Y19" s="503"/>
      <c r="Z19" s="503"/>
      <c r="AA19" s="503"/>
      <c r="AB19" s="503"/>
      <c r="AC19" s="503"/>
      <c r="AD19" s="503"/>
      <c r="AE19" s="503"/>
      <c r="AF19" s="503"/>
      <c r="AG19" s="503"/>
      <c r="AH19" s="505"/>
      <c r="AI19" s="506">
        <v>0</v>
      </c>
      <c r="AJ19" s="507">
        <v>0</v>
      </c>
      <c r="AK19" s="508">
        <v>0</v>
      </c>
      <c r="AL19" s="508">
        <v>0</v>
      </c>
      <c r="AM19" s="508">
        <v>0</v>
      </c>
      <c r="AN19" s="509">
        <v>0</v>
      </c>
    </row>
    <row r="20" spans="1:41">
      <c r="A20" s="501">
        <v>11</v>
      </c>
      <c r="B20" s="502"/>
      <c r="C20" s="503"/>
      <c r="D20" s="503"/>
      <c r="E20" s="503"/>
      <c r="F20" s="503"/>
      <c r="G20" s="503"/>
      <c r="H20" s="503"/>
      <c r="I20" s="503"/>
      <c r="J20" s="503"/>
      <c r="K20" s="503"/>
      <c r="L20" s="503"/>
      <c r="M20" s="503"/>
      <c r="N20" s="503"/>
      <c r="O20" s="503"/>
      <c r="P20" s="503"/>
      <c r="Q20" s="503"/>
      <c r="R20" s="503"/>
      <c r="S20" s="503"/>
      <c r="T20" s="503"/>
      <c r="U20" s="503"/>
      <c r="V20" s="503"/>
      <c r="W20" s="503"/>
      <c r="X20" s="503"/>
      <c r="Y20" s="503"/>
      <c r="Z20" s="503"/>
      <c r="AA20" s="503"/>
      <c r="AB20" s="503"/>
      <c r="AC20" s="503"/>
      <c r="AD20" s="503"/>
      <c r="AE20" s="503"/>
      <c r="AF20" s="503"/>
      <c r="AG20" s="503"/>
      <c r="AH20" s="505"/>
      <c r="AI20" s="506">
        <v>0</v>
      </c>
      <c r="AJ20" s="507">
        <v>0</v>
      </c>
      <c r="AK20" s="508">
        <v>0</v>
      </c>
      <c r="AL20" s="508">
        <v>0</v>
      </c>
      <c r="AM20" s="508">
        <v>0</v>
      </c>
      <c r="AN20" s="509">
        <v>0</v>
      </c>
    </row>
    <row r="21" spans="1:41">
      <c r="A21" s="501">
        <v>10</v>
      </c>
      <c r="B21" s="502"/>
      <c r="C21" s="511"/>
      <c r="D21" s="503"/>
      <c r="E21" s="503"/>
      <c r="F21" s="503"/>
      <c r="G21" s="503"/>
      <c r="H21" s="503"/>
      <c r="I21" s="503"/>
      <c r="J21" s="503"/>
      <c r="K21" s="503"/>
      <c r="L21" s="503"/>
      <c r="M21" s="503"/>
      <c r="N21" s="503"/>
      <c r="O21" s="503"/>
      <c r="P21" s="503"/>
      <c r="Q21" s="503"/>
      <c r="R21" s="503"/>
      <c r="S21" s="503"/>
      <c r="T21" s="503"/>
      <c r="U21" s="503"/>
      <c r="V21" s="503"/>
      <c r="W21" s="503"/>
      <c r="X21" s="503"/>
      <c r="Y21" s="503"/>
      <c r="Z21" s="503"/>
      <c r="AA21" s="503"/>
      <c r="AB21" s="503"/>
      <c r="AC21" s="503"/>
      <c r="AD21" s="503"/>
      <c r="AE21" s="503"/>
      <c r="AF21" s="503"/>
      <c r="AG21" s="503"/>
      <c r="AH21" s="505"/>
      <c r="AI21" s="506">
        <v>0</v>
      </c>
      <c r="AJ21" s="507">
        <v>0</v>
      </c>
      <c r="AK21" s="508">
        <v>0</v>
      </c>
      <c r="AL21" s="508">
        <v>0</v>
      </c>
      <c r="AM21" s="508">
        <v>0</v>
      </c>
      <c r="AN21" s="509">
        <v>0</v>
      </c>
    </row>
    <row r="22" spans="1:41">
      <c r="A22" s="501">
        <v>9</v>
      </c>
      <c r="B22" s="502"/>
      <c r="C22" s="503"/>
      <c r="D22" s="503"/>
      <c r="E22" s="503"/>
      <c r="F22" s="503"/>
      <c r="G22" s="50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3"/>
      <c r="W22" s="503"/>
      <c r="X22" s="503"/>
      <c r="Y22" s="503"/>
      <c r="Z22" s="503"/>
      <c r="AA22" s="503"/>
      <c r="AB22" s="503"/>
      <c r="AC22" s="503"/>
      <c r="AD22" s="503"/>
      <c r="AE22" s="503"/>
      <c r="AF22" s="503"/>
      <c r="AG22" s="503"/>
      <c r="AH22" s="505"/>
      <c r="AI22" s="506">
        <f t="shared" ref="AI22:AI30" si="0">COUNTIF(D22:AH22, "&gt;0")</f>
        <v>0</v>
      </c>
      <c r="AJ22" s="507">
        <v>0</v>
      </c>
      <c r="AK22" s="508">
        <v>0</v>
      </c>
      <c r="AL22" s="508">
        <v>0</v>
      </c>
      <c r="AM22" s="508">
        <v>0</v>
      </c>
      <c r="AN22" s="509">
        <v>0</v>
      </c>
    </row>
    <row r="23" spans="1:41">
      <c r="A23" s="501">
        <v>8</v>
      </c>
      <c r="B23" s="512"/>
      <c r="C23" s="513"/>
      <c r="D23" s="513"/>
      <c r="E23" s="513"/>
      <c r="F23" s="513"/>
      <c r="G23" s="513"/>
      <c r="H23" s="513"/>
      <c r="I23" s="513"/>
      <c r="J23" s="513"/>
      <c r="K23" s="513"/>
      <c r="L23" s="513"/>
      <c r="M23" s="513"/>
      <c r="N23" s="514"/>
      <c r="O23" s="515"/>
      <c r="P23" s="515"/>
      <c r="Q23" s="515"/>
      <c r="R23" s="515"/>
      <c r="S23" s="515"/>
      <c r="T23" s="515"/>
      <c r="U23" s="515"/>
      <c r="V23" s="515"/>
      <c r="W23" s="516"/>
      <c r="X23" s="515"/>
      <c r="Y23" s="515"/>
      <c r="Z23" s="515"/>
      <c r="AA23" s="515"/>
      <c r="AB23" s="515"/>
      <c r="AC23" s="515"/>
      <c r="AD23" s="515"/>
      <c r="AE23" s="515"/>
      <c r="AF23" s="515"/>
      <c r="AG23" s="515"/>
      <c r="AH23" s="517"/>
      <c r="AI23" s="506">
        <f t="shared" si="0"/>
        <v>0</v>
      </c>
      <c r="AJ23" s="507">
        <v>0</v>
      </c>
      <c r="AK23" s="508">
        <v>0</v>
      </c>
      <c r="AL23" s="508">
        <v>0</v>
      </c>
      <c r="AM23" s="508">
        <v>0</v>
      </c>
      <c r="AN23" s="509">
        <v>0</v>
      </c>
    </row>
    <row r="24" spans="1:41" ht="16">
      <c r="A24" s="501">
        <v>7</v>
      </c>
      <c r="B24" s="518"/>
      <c r="C24" s="519"/>
      <c r="D24" s="520"/>
      <c r="E24" s="520"/>
      <c r="F24" s="520"/>
      <c r="G24" s="520"/>
      <c r="H24" s="515"/>
      <c r="I24" s="515"/>
      <c r="J24" s="513"/>
      <c r="K24" s="513"/>
      <c r="L24" s="515"/>
      <c r="M24" s="515"/>
      <c r="N24" s="513"/>
      <c r="O24" s="513"/>
      <c r="P24" s="515"/>
      <c r="Q24" s="515"/>
      <c r="R24" s="513"/>
      <c r="S24" s="513"/>
      <c r="T24" s="515"/>
      <c r="U24" s="515"/>
      <c r="V24" s="515"/>
      <c r="W24" s="513"/>
      <c r="X24" s="513"/>
      <c r="Y24" s="515"/>
      <c r="Z24" s="515"/>
      <c r="AA24" s="515"/>
      <c r="AB24" s="513"/>
      <c r="AC24" s="513"/>
      <c r="AD24" s="515"/>
      <c r="AE24" s="515"/>
      <c r="AF24" s="515"/>
      <c r="AG24" s="515"/>
      <c r="AH24" s="513"/>
      <c r="AI24" s="506">
        <f t="shared" si="0"/>
        <v>0</v>
      </c>
      <c r="AJ24" s="507">
        <v>0</v>
      </c>
      <c r="AK24" s="508">
        <v>0</v>
      </c>
      <c r="AL24" s="508">
        <v>0</v>
      </c>
      <c r="AM24" s="508">
        <v>0</v>
      </c>
      <c r="AN24" s="509">
        <v>0</v>
      </c>
    </row>
    <row r="25" spans="1:41" ht="16">
      <c r="A25" s="521">
        <v>6</v>
      </c>
      <c r="B25" s="518"/>
      <c r="C25" s="519"/>
      <c r="D25" s="522"/>
      <c r="E25" s="522"/>
      <c r="F25" s="522"/>
      <c r="G25" s="520"/>
      <c r="H25" s="523"/>
      <c r="I25" s="523"/>
      <c r="J25" s="524"/>
      <c r="K25" s="524"/>
      <c r="L25" s="524"/>
      <c r="M25" s="524"/>
      <c r="N25" s="524"/>
      <c r="O25" s="524"/>
      <c r="P25" s="524"/>
      <c r="Q25" s="524"/>
      <c r="R25" s="524"/>
      <c r="S25" s="513"/>
      <c r="T25" s="523"/>
      <c r="U25" s="523"/>
      <c r="V25" s="523"/>
      <c r="W25" s="524"/>
      <c r="X25" s="524"/>
      <c r="Y25" s="523"/>
      <c r="Z25" s="523"/>
      <c r="AA25" s="523"/>
      <c r="AB25" s="525"/>
      <c r="AC25" s="524"/>
      <c r="AD25" s="523"/>
      <c r="AE25" s="523"/>
      <c r="AF25" s="523"/>
      <c r="AG25" s="523"/>
      <c r="AH25" s="524"/>
      <c r="AI25" s="526">
        <f>COUNTIF(D25:AH25,"&gt;0")</f>
        <v>0</v>
      </c>
      <c r="AJ25" s="527">
        <f t="shared" ref="AJ25:AJ30" si="1">SUMIF(D25:AH25,"&gt;0")</f>
        <v>0</v>
      </c>
      <c r="AK25" s="528">
        <f>COUNTIF(D25:AH25,"В")</f>
        <v>0</v>
      </c>
      <c r="AL25" s="528">
        <f t="shared" ref="AL25:AL29" si="2">COUNTIF(E25:AI25,"о")</f>
        <v>0</v>
      </c>
      <c r="AM25" s="528">
        <f t="shared" ref="AM25:AM29" si="3">COUNTIF(F25:AJ25,"б")</f>
        <v>0</v>
      </c>
      <c r="AN25" s="529">
        <v>0</v>
      </c>
      <c r="AO25" s="530"/>
    </row>
    <row r="26" spans="1:41" ht="16">
      <c r="A26" s="531">
        <v>5</v>
      </c>
      <c r="B26" s="518" t="s">
        <v>115</v>
      </c>
      <c r="C26" s="515"/>
      <c r="D26" s="520"/>
      <c r="E26" s="520"/>
      <c r="F26" s="520"/>
      <c r="G26" s="520"/>
      <c r="H26" s="520"/>
      <c r="I26" s="513"/>
      <c r="J26" s="515"/>
      <c r="K26" s="515"/>
      <c r="L26" s="515"/>
      <c r="M26" s="515"/>
      <c r="N26" s="515"/>
      <c r="O26" s="513"/>
      <c r="P26" s="513"/>
      <c r="Q26" s="515"/>
      <c r="R26" s="513"/>
      <c r="S26" s="520"/>
      <c r="T26" s="513"/>
      <c r="U26" s="515"/>
      <c r="V26" s="515"/>
      <c r="W26" s="515"/>
      <c r="X26" s="515"/>
      <c r="Y26" s="515"/>
      <c r="Z26" s="515"/>
      <c r="AA26" s="515"/>
      <c r="AB26" s="515"/>
      <c r="AC26" s="515"/>
      <c r="AD26" s="515">
        <v>10</v>
      </c>
      <c r="AE26" s="515">
        <v>5</v>
      </c>
      <c r="AF26" s="515">
        <v>5</v>
      </c>
      <c r="AG26" s="515">
        <v>5</v>
      </c>
      <c r="AH26" s="513">
        <v>5</v>
      </c>
      <c r="AI26" s="532">
        <f t="shared" si="0"/>
        <v>5</v>
      </c>
      <c r="AJ26" s="559">
        <f t="shared" si="1"/>
        <v>30</v>
      </c>
      <c r="AK26" s="534">
        <f t="shared" ref="AK26:AK30" si="4">COUNTIF(D26:AH26, "В")</f>
        <v>0</v>
      </c>
      <c r="AL26" s="534">
        <v>0</v>
      </c>
      <c r="AM26" s="534">
        <v>0</v>
      </c>
      <c r="AN26" s="535">
        <v>0</v>
      </c>
    </row>
    <row r="27" spans="1:41" ht="16">
      <c r="A27" s="536">
        <v>4</v>
      </c>
      <c r="B27" s="512" t="s">
        <v>116</v>
      </c>
      <c r="C27" s="537" t="s">
        <v>91</v>
      </c>
      <c r="D27" s="538">
        <v>10</v>
      </c>
      <c r="E27" s="513" t="s">
        <v>67</v>
      </c>
      <c r="F27" s="538">
        <v>11</v>
      </c>
      <c r="G27" s="520" t="s">
        <v>67</v>
      </c>
      <c r="H27" s="520" t="s">
        <v>67</v>
      </c>
      <c r="I27" s="539">
        <v>11</v>
      </c>
      <c r="J27" s="539">
        <v>13</v>
      </c>
      <c r="K27" s="538">
        <v>11</v>
      </c>
      <c r="L27" s="520" t="s">
        <v>67</v>
      </c>
      <c r="M27" s="538">
        <v>11</v>
      </c>
      <c r="N27" s="540">
        <v>13</v>
      </c>
      <c r="O27" s="540">
        <v>11</v>
      </c>
      <c r="P27" s="520" t="s">
        <v>67</v>
      </c>
      <c r="Q27" s="538">
        <v>11</v>
      </c>
      <c r="R27" s="538">
        <v>13</v>
      </c>
      <c r="S27" s="539">
        <v>11</v>
      </c>
      <c r="T27" s="513" t="s">
        <v>67</v>
      </c>
      <c r="U27" s="520" t="s">
        <v>117</v>
      </c>
      <c r="V27" s="520" t="s">
        <v>117</v>
      </c>
      <c r="W27" s="520" t="s">
        <v>117</v>
      </c>
      <c r="X27" s="520" t="s">
        <v>117</v>
      </c>
      <c r="Y27" s="520" t="s">
        <v>117</v>
      </c>
      <c r="Z27" s="520" t="s">
        <v>117</v>
      </c>
      <c r="AA27" s="520" t="s">
        <v>117</v>
      </c>
      <c r="AB27" s="520" t="s">
        <v>117</v>
      </c>
      <c r="AC27" s="520" t="s">
        <v>117</v>
      </c>
      <c r="AD27" s="520" t="s">
        <v>117</v>
      </c>
      <c r="AE27" s="520" t="s">
        <v>117</v>
      </c>
      <c r="AF27" s="520">
        <v>13</v>
      </c>
      <c r="AG27" s="520">
        <v>12.5</v>
      </c>
      <c r="AH27" s="520">
        <v>13.5</v>
      </c>
      <c r="AI27" s="541">
        <f t="shared" ref="AI27:AI29" si="5">COUNTIF(D27:AH27,"&gt;0")</f>
        <v>14</v>
      </c>
      <c r="AJ27" s="560">
        <f t="shared" si="1"/>
        <v>165</v>
      </c>
      <c r="AK27" s="528">
        <f t="shared" ref="AK27:AK29" si="6">COUNTIF(D27:AH27,"В")</f>
        <v>6</v>
      </c>
      <c r="AL27" s="528">
        <f t="shared" si="2"/>
        <v>11</v>
      </c>
      <c r="AM27" s="528">
        <f t="shared" si="3"/>
        <v>0</v>
      </c>
      <c r="AN27" s="542">
        <v>0</v>
      </c>
      <c r="AO27" s="530"/>
    </row>
    <row r="28" spans="1:41" ht="16">
      <c r="A28" s="521">
        <v>3</v>
      </c>
      <c r="B28" s="518" t="s">
        <v>118</v>
      </c>
      <c r="C28" s="537" t="s">
        <v>91</v>
      </c>
      <c r="D28" s="538">
        <v>13</v>
      </c>
      <c r="E28" s="538">
        <v>13</v>
      </c>
      <c r="F28" s="520" t="s">
        <v>67</v>
      </c>
      <c r="G28" s="538">
        <v>13</v>
      </c>
      <c r="H28" s="538">
        <v>13</v>
      </c>
      <c r="I28" s="520" t="s">
        <v>67</v>
      </c>
      <c r="J28" s="520" t="s">
        <v>67</v>
      </c>
      <c r="K28" s="540">
        <v>13</v>
      </c>
      <c r="L28" s="538">
        <v>13</v>
      </c>
      <c r="M28" s="520" t="s">
        <v>67</v>
      </c>
      <c r="N28" s="520" t="s">
        <v>67</v>
      </c>
      <c r="O28" s="540">
        <v>13</v>
      </c>
      <c r="P28" s="540">
        <v>13</v>
      </c>
      <c r="Q28" s="520" t="s">
        <v>67</v>
      </c>
      <c r="R28" s="520" t="s">
        <v>67</v>
      </c>
      <c r="S28" s="538">
        <v>13</v>
      </c>
      <c r="T28" s="539">
        <v>13</v>
      </c>
      <c r="U28" s="513">
        <v>9</v>
      </c>
      <c r="V28" s="520">
        <v>13</v>
      </c>
      <c r="W28" s="520">
        <v>9</v>
      </c>
      <c r="X28" s="520">
        <v>13</v>
      </c>
      <c r="Y28" s="513">
        <v>9</v>
      </c>
      <c r="Z28" s="513">
        <v>13</v>
      </c>
      <c r="AA28" s="520">
        <v>9</v>
      </c>
      <c r="AB28" s="520">
        <v>13</v>
      </c>
      <c r="AC28" s="520">
        <v>13</v>
      </c>
      <c r="AD28" s="515" t="s">
        <v>67</v>
      </c>
      <c r="AE28" s="515" t="s">
        <v>67</v>
      </c>
      <c r="AF28" s="520" t="s">
        <v>67</v>
      </c>
      <c r="AG28" s="520">
        <v>13</v>
      </c>
      <c r="AH28" s="520">
        <v>11.5</v>
      </c>
      <c r="AI28" s="541">
        <f t="shared" si="5"/>
        <v>21</v>
      </c>
      <c r="AJ28" s="560">
        <f t="shared" si="1"/>
        <v>255.5</v>
      </c>
      <c r="AK28" s="528">
        <f t="shared" si="6"/>
        <v>10</v>
      </c>
      <c r="AL28" s="528">
        <f t="shared" si="2"/>
        <v>0</v>
      </c>
      <c r="AM28" s="528">
        <f t="shared" si="3"/>
        <v>0</v>
      </c>
      <c r="AN28" s="529">
        <v>0</v>
      </c>
      <c r="AO28" s="530"/>
    </row>
    <row r="29" spans="1:41" ht="16">
      <c r="A29" s="521">
        <v>2</v>
      </c>
      <c r="B29" s="543" t="s">
        <v>119</v>
      </c>
      <c r="C29" s="537" t="s">
        <v>120</v>
      </c>
      <c r="D29" s="520" t="s">
        <v>67</v>
      </c>
      <c r="E29" s="538">
        <v>10</v>
      </c>
      <c r="F29" s="538">
        <v>13</v>
      </c>
      <c r="G29" s="538">
        <v>10</v>
      </c>
      <c r="H29" s="538">
        <v>10</v>
      </c>
      <c r="I29" s="538">
        <v>13</v>
      </c>
      <c r="J29" s="538">
        <v>11</v>
      </c>
      <c r="K29" s="520" t="s">
        <v>67</v>
      </c>
      <c r="L29" s="538">
        <v>10</v>
      </c>
      <c r="M29" s="538">
        <v>13</v>
      </c>
      <c r="N29" s="538">
        <v>11</v>
      </c>
      <c r="O29" s="538">
        <v>9</v>
      </c>
      <c r="P29" s="538">
        <v>10</v>
      </c>
      <c r="Q29" s="538">
        <v>13</v>
      </c>
      <c r="R29" s="538">
        <v>11</v>
      </c>
      <c r="S29" s="520" t="s">
        <v>67</v>
      </c>
      <c r="T29" s="538">
        <v>10</v>
      </c>
      <c r="U29" s="538">
        <v>13</v>
      </c>
      <c r="V29" s="520">
        <v>9</v>
      </c>
      <c r="W29" s="520">
        <v>13</v>
      </c>
      <c r="X29" s="520">
        <v>9</v>
      </c>
      <c r="Y29" s="520">
        <v>13</v>
      </c>
      <c r="Z29" s="520">
        <v>9</v>
      </c>
      <c r="AA29" s="520">
        <v>13</v>
      </c>
      <c r="AB29" s="520">
        <v>9</v>
      </c>
      <c r="AC29" s="520">
        <v>13</v>
      </c>
      <c r="AD29" s="520">
        <v>9</v>
      </c>
      <c r="AE29" s="520">
        <v>13</v>
      </c>
      <c r="AF29" s="520">
        <v>13</v>
      </c>
      <c r="AG29" s="520" t="s">
        <v>67</v>
      </c>
      <c r="AH29" s="520" t="s">
        <v>67</v>
      </c>
      <c r="AI29" s="541">
        <f t="shared" si="5"/>
        <v>26</v>
      </c>
      <c r="AJ29" s="560">
        <f t="shared" si="1"/>
        <v>290</v>
      </c>
      <c r="AK29" s="528">
        <f t="shared" si="6"/>
        <v>5</v>
      </c>
      <c r="AL29" s="528">
        <f t="shared" si="2"/>
        <v>0</v>
      </c>
      <c r="AM29" s="528">
        <f t="shared" si="3"/>
        <v>0</v>
      </c>
      <c r="AN29" s="529">
        <v>0</v>
      </c>
      <c r="AO29" s="530"/>
    </row>
    <row r="30" spans="1:41" ht="16">
      <c r="A30" s="544">
        <v>1</v>
      </c>
      <c r="B30" s="545"/>
      <c r="C30" s="546"/>
      <c r="D30" s="547"/>
      <c r="E30" s="520"/>
      <c r="F30" s="520"/>
      <c r="G30" s="520"/>
      <c r="H30" s="520"/>
      <c r="I30" s="520"/>
      <c r="J30" s="520"/>
      <c r="K30" s="520"/>
      <c r="L30" s="548"/>
      <c r="M30" s="520"/>
      <c r="N30" s="520"/>
      <c r="O30" s="520"/>
      <c r="P30" s="520"/>
      <c r="Q30" s="520"/>
      <c r="R30" s="520"/>
      <c r="S30" s="520"/>
      <c r="T30" s="520"/>
      <c r="U30" s="549"/>
      <c r="V30" s="549"/>
      <c r="W30" s="520"/>
      <c r="X30" s="520"/>
      <c r="Y30" s="520"/>
      <c r="Z30" s="520"/>
      <c r="AA30" s="520"/>
      <c r="AB30" s="520"/>
      <c r="AC30" s="520"/>
      <c r="AD30" s="520"/>
      <c r="AE30" s="520"/>
      <c r="AF30" s="520"/>
      <c r="AG30" s="520"/>
      <c r="AH30" s="520"/>
      <c r="AI30" s="550">
        <f t="shared" si="0"/>
        <v>0</v>
      </c>
      <c r="AJ30" s="533">
        <f t="shared" si="1"/>
        <v>0</v>
      </c>
      <c r="AK30" s="551">
        <f t="shared" si="4"/>
        <v>0</v>
      </c>
      <c r="AL30" s="551">
        <f>COUNTIF(E30:AI30, "о")</f>
        <v>0</v>
      </c>
      <c r="AM30" s="551">
        <f>COUNTIF(F30:AJ30, "б")</f>
        <v>0</v>
      </c>
      <c r="AN30" s="552">
        <v>0</v>
      </c>
    </row>
    <row r="31" spans="1:41">
      <c r="A31" s="553"/>
      <c r="B31" s="554" t="s">
        <v>121</v>
      </c>
      <c r="C31" s="555"/>
      <c r="D31" s="556">
        <f>COUNTIF(D11:D30, "&gt;0")</f>
        <v>2</v>
      </c>
      <c r="E31" s="554">
        <f t="shared" ref="E31:AH31" si="7">COUNTIF(E11:E30, "&gt;0")</f>
        <v>2</v>
      </c>
      <c r="F31" s="554">
        <f t="shared" si="7"/>
        <v>2</v>
      </c>
      <c r="G31" s="554">
        <f t="shared" si="7"/>
        <v>2</v>
      </c>
      <c r="H31" s="554">
        <f t="shared" si="7"/>
        <v>2</v>
      </c>
      <c r="I31" s="554">
        <f t="shared" si="7"/>
        <v>2</v>
      </c>
      <c r="J31" s="554">
        <f t="shared" si="7"/>
        <v>2</v>
      </c>
      <c r="K31" s="554">
        <f>COUNTIF(K11:K29, "&gt;0")</f>
        <v>2</v>
      </c>
      <c r="L31" s="554">
        <f t="shared" si="7"/>
        <v>2</v>
      </c>
      <c r="M31" s="554">
        <f t="shared" si="7"/>
        <v>2</v>
      </c>
      <c r="N31" s="554">
        <f t="shared" si="7"/>
        <v>2</v>
      </c>
      <c r="O31" s="554">
        <f t="shared" si="7"/>
        <v>3</v>
      </c>
      <c r="P31" s="554">
        <f t="shared" si="7"/>
        <v>2</v>
      </c>
      <c r="Q31" s="554">
        <f t="shared" si="7"/>
        <v>2</v>
      </c>
      <c r="R31" s="554">
        <f t="shared" si="7"/>
        <v>2</v>
      </c>
      <c r="S31" s="554">
        <f t="shared" si="7"/>
        <v>2</v>
      </c>
      <c r="T31" s="554">
        <f t="shared" si="7"/>
        <v>2</v>
      </c>
      <c r="U31" s="554">
        <f t="shared" si="7"/>
        <v>2</v>
      </c>
      <c r="V31" s="554">
        <f t="shared" si="7"/>
        <v>2</v>
      </c>
      <c r="W31" s="554">
        <f t="shared" si="7"/>
        <v>2</v>
      </c>
      <c r="X31" s="554">
        <f t="shared" si="7"/>
        <v>2</v>
      </c>
      <c r="Y31" s="554">
        <f t="shared" si="7"/>
        <v>2</v>
      </c>
      <c r="Z31" s="554">
        <f t="shared" si="7"/>
        <v>2</v>
      </c>
      <c r="AA31" s="554">
        <f t="shared" si="7"/>
        <v>2</v>
      </c>
      <c r="AB31" s="554">
        <f t="shared" si="7"/>
        <v>2</v>
      </c>
      <c r="AC31" s="554">
        <f t="shared" si="7"/>
        <v>2</v>
      </c>
      <c r="AD31" s="554">
        <f t="shared" si="7"/>
        <v>2</v>
      </c>
      <c r="AE31" s="554">
        <f t="shared" si="7"/>
        <v>2</v>
      </c>
      <c r="AF31" s="554">
        <f t="shared" si="7"/>
        <v>3</v>
      </c>
      <c r="AG31" s="554">
        <f t="shared" si="7"/>
        <v>3</v>
      </c>
      <c r="AH31" s="557">
        <f t="shared" si="7"/>
        <v>3</v>
      </c>
      <c r="AI31" s="558">
        <f>SUM(AI11:AI30)</f>
        <v>66</v>
      </c>
      <c r="AJ31" s="558">
        <f>SUM(AJ11:AJ30)</f>
        <v>740.5</v>
      </c>
      <c r="AK31" s="558">
        <f>SUM(AK11:AK30)</f>
        <v>21</v>
      </c>
      <c r="AL31" s="558">
        <f t="shared" ref="AL31:AN31" si="8">SUM(AL11:AL30)</f>
        <v>11</v>
      </c>
      <c r="AM31" s="558">
        <f t="shared" si="8"/>
        <v>0</v>
      </c>
      <c r="AN31" s="558">
        <f t="shared" si="8"/>
        <v>0</v>
      </c>
    </row>
    <row r="33" spans="16:16">
      <c r="P33" s="3" t="s">
        <v>122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ageMargins left="0.70000004768371604" right="0.70000004768371604" top="0.75" bottom="0.75" header="0.30000001192092901" footer="0.30000001192092901"/>
  <pageSetup paperSize="9" fitToWidth="0" fitToHeight="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Ялта, Ленина, 18</vt:lpstr>
      <vt:lpstr>Св. по пок.</vt:lpstr>
      <vt:lpstr>План на день</vt:lpstr>
      <vt:lpstr>Рогалевич И. Е.</vt:lpstr>
      <vt:lpstr>Уразгильдеева Е. Р.</vt:lpstr>
      <vt:lpstr>Яковенко А. К.</vt:lpstr>
      <vt:lpstr>ПК 3</vt:lpstr>
      <vt:lpstr>ПК 4</vt:lpstr>
      <vt:lpstr>Доп сотрудник</vt:lpstr>
      <vt:lpstr>Вед-ть Рогалевич</vt:lpstr>
      <vt:lpstr>Вед-ть Яковенко</vt:lpstr>
      <vt:lpstr>Вед-ть Уразгильдеева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lenadacenko@icloud.com</cp:lastModifiedBy>
  <cp:revision>661</cp:revision>
  <dcterms:created xsi:type="dcterms:W3CDTF">2025-04-30T22:17:27Z</dcterms:created>
  <dcterms:modified xsi:type="dcterms:W3CDTF">2025-08-11T13:14:49Z</dcterms:modified>
</cp:coreProperties>
</file>