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enadacenko/Yandex.Disk-glamejewelry.localized/Glame API/Ежедневно/Ялта/Ежемесячные отчеты/"/>
    </mc:Choice>
  </mc:AlternateContent>
  <xr:revisionPtr revIDLastSave="0" documentId="13_ncr:1_{D876939A-937C-3146-B423-74DC2B0B4CAB}" xr6:coauthVersionLast="47" xr6:coauthVersionMax="47" xr10:uidLastSave="{00000000-0000-0000-0000-000000000000}"/>
  <bookViews>
    <workbookView xWindow="0" yWindow="640" windowWidth="25600" windowHeight="16000" firstSheet="4" activeTab="9" xr2:uid="{00000000-000D-0000-FFFF-FFFF00000000}"/>
  </bookViews>
  <sheets>
    <sheet name="Ялта, Ленина, 18" sheetId="1" r:id="rId1"/>
    <sheet name="Конкурс" sheetId="2" r:id="rId2"/>
    <sheet name="Св. по пок." sheetId="3" r:id="rId3"/>
    <sheet name="План на день" sheetId="4" r:id="rId4"/>
    <sheet name="Рогалевич И. Е. " sheetId="5" r:id="rId5"/>
    <sheet name="Уразгильдеева Е. Р. " sheetId="6" r:id="rId6"/>
    <sheet name="Яковенко А. К. " sheetId="7" r:id="rId7"/>
    <sheet name="ПК 3" sheetId="8" r:id="rId8"/>
    <sheet name="Доп сотрудник" sheetId="9" r:id="rId9"/>
    <sheet name="Вед-ть Рогалевич" sheetId="10" r:id="rId10"/>
    <sheet name="Вед-ть Яковенко" sheetId="11" r:id="rId11"/>
    <sheet name="Вед-ть Уразгильдеева" sheetId="12" r:id="rId12"/>
    <sheet name="График" sheetId="13" r:id="rId13"/>
  </sheets>
  <definedNames>
    <definedName name="маг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0" l="1"/>
  <c r="F4" i="10"/>
  <c r="D18" i="10"/>
  <c r="L18" i="10"/>
  <c r="L11" i="10"/>
  <c r="D11" i="10"/>
  <c r="G4" i="10"/>
  <c r="L4" i="10"/>
  <c r="D40" i="7"/>
  <c r="D45" i="1"/>
  <c r="D47" i="5"/>
  <c r="D52" i="1"/>
  <c r="C8" i="10"/>
  <c r="D4" i="10"/>
  <c r="AJ29" i="13" l="1"/>
  <c r="AJ28" i="13"/>
  <c r="AJ27" i="13"/>
  <c r="G24" i="12"/>
  <c r="C8" i="12"/>
  <c r="D4" i="12"/>
  <c r="AN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AM30" i="13"/>
  <c r="AL30" i="13"/>
  <c r="AK30" i="13"/>
  <c r="AJ30" i="13"/>
  <c r="AI30" i="13"/>
  <c r="AM29" i="13"/>
  <c r="AK29" i="13"/>
  <c r="AI29" i="13"/>
  <c r="AL29" i="13" s="1"/>
  <c r="AK28" i="13"/>
  <c r="AM28" i="13"/>
  <c r="AI28" i="13"/>
  <c r="AL28" i="13" s="1"/>
  <c r="AM27" i="13"/>
  <c r="AL27" i="13"/>
  <c r="AK27" i="13"/>
  <c r="AI27" i="13"/>
  <c r="AK26" i="13"/>
  <c r="AJ26" i="13"/>
  <c r="AI26" i="13"/>
  <c r="AM25" i="13"/>
  <c r="AL25" i="13"/>
  <c r="AK25" i="13"/>
  <c r="AK31" i="13" s="1"/>
  <c r="AJ25" i="13"/>
  <c r="AI25" i="13"/>
  <c r="AI24" i="13"/>
  <c r="AI23" i="13"/>
  <c r="AI22" i="13"/>
  <c r="AI31" i="13" s="1"/>
  <c r="B7" i="13"/>
  <c r="N25" i="12"/>
  <c r="J16" i="12"/>
  <c r="E16" i="12"/>
  <c r="K24" i="12" s="1"/>
  <c r="B16" i="12"/>
  <c r="L12" i="12"/>
  <c r="L4" i="12"/>
  <c r="J4" i="12"/>
  <c r="F4" i="12"/>
  <c r="A4" i="12"/>
  <c r="B24" i="12" s="1"/>
  <c r="D2" i="12"/>
  <c r="A2" i="12"/>
  <c r="C24" i="12" s="1"/>
  <c r="J24" i="12" s="1"/>
  <c r="A1" i="12"/>
  <c r="J17" i="11"/>
  <c r="E17" i="11"/>
  <c r="K25" i="11" s="1"/>
  <c r="B17" i="11"/>
  <c r="L13" i="11"/>
  <c r="C8" i="11"/>
  <c r="L4" i="11"/>
  <c r="J4" i="11"/>
  <c r="F4" i="11"/>
  <c r="D4" i="11"/>
  <c r="A4" i="11"/>
  <c r="B25" i="11" s="1"/>
  <c r="D2" i="11"/>
  <c r="A2" i="11"/>
  <c r="C25" i="11" s="1"/>
  <c r="J25" i="11" s="1"/>
  <c r="A1" i="11"/>
  <c r="N24" i="10"/>
  <c r="G24" i="10"/>
  <c r="C24" i="10"/>
  <c r="C23" i="10"/>
  <c r="J23" i="10" s="1"/>
  <c r="G16" i="10"/>
  <c r="J15" i="10"/>
  <c r="E15" i="10"/>
  <c r="G15" i="10" s="1"/>
  <c r="B15" i="10"/>
  <c r="A4" i="10"/>
  <c r="B23" i="10" s="1"/>
  <c r="D2" i="10"/>
  <c r="A2" i="10"/>
  <c r="C15" i="10" s="1"/>
  <c r="A1" i="10"/>
  <c r="N48" i="9"/>
  <c r="M48" i="9"/>
  <c r="L48" i="9"/>
  <c r="K48" i="9"/>
  <c r="I48" i="9"/>
  <c r="G48" i="9"/>
  <c r="J48" i="9" s="1"/>
  <c r="J12" i="9" s="1"/>
  <c r="F48" i="9"/>
  <c r="E48" i="9"/>
  <c r="D48" i="9"/>
  <c r="U47" i="9"/>
  <c r="T47" i="9"/>
  <c r="S47" i="9"/>
  <c r="N47" i="9"/>
  <c r="J47" i="9"/>
  <c r="H47" i="9"/>
  <c r="F47" i="9"/>
  <c r="U46" i="9"/>
  <c r="T46" i="9"/>
  <c r="S46" i="9"/>
  <c r="N46" i="9"/>
  <c r="J46" i="9"/>
  <c r="H46" i="9"/>
  <c r="F46" i="9"/>
  <c r="U45" i="9"/>
  <c r="T45" i="9"/>
  <c r="S45" i="9"/>
  <c r="N45" i="9"/>
  <c r="J45" i="9"/>
  <c r="H45" i="9"/>
  <c r="F45" i="9"/>
  <c r="U44" i="9"/>
  <c r="T44" i="9"/>
  <c r="S44" i="9"/>
  <c r="N44" i="9"/>
  <c r="J44" i="9"/>
  <c r="H44" i="9"/>
  <c r="F44" i="9"/>
  <c r="U43" i="9"/>
  <c r="T43" i="9"/>
  <c r="S43" i="9"/>
  <c r="N43" i="9"/>
  <c r="J43" i="9"/>
  <c r="H43" i="9"/>
  <c r="F43" i="9"/>
  <c r="U42" i="9"/>
  <c r="T42" i="9"/>
  <c r="S42" i="9"/>
  <c r="N42" i="9"/>
  <c r="J42" i="9"/>
  <c r="H42" i="9"/>
  <c r="F42" i="9"/>
  <c r="U41" i="9"/>
  <c r="T41" i="9"/>
  <c r="S41" i="9"/>
  <c r="N41" i="9"/>
  <c r="J41" i="9"/>
  <c r="H41" i="9"/>
  <c r="F41" i="9"/>
  <c r="U40" i="9"/>
  <c r="T40" i="9"/>
  <c r="S40" i="9"/>
  <c r="N40" i="9"/>
  <c r="J40" i="9"/>
  <c r="H40" i="9"/>
  <c r="F40" i="9"/>
  <c r="U39" i="9"/>
  <c r="T39" i="9"/>
  <c r="S39" i="9"/>
  <c r="N39" i="9"/>
  <c r="J39" i="9"/>
  <c r="H39" i="9"/>
  <c r="F39" i="9"/>
  <c r="U38" i="9"/>
  <c r="T38" i="9"/>
  <c r="S38" i="9"/>
  <c r="N38" i="9"/>
  <c r="J38" i="9"/>
  <c r="H38" i="9"/>
  <c r="F38" i="9"/>
  <c r="U37" i="9"/>
  <c r="T37" i="9"/>
  <c r="S37" i="9"/>
  <c r="N37" i="9"/>
  <c r="J37" i="9"/>
  <c r="H37" i="9"/>
  <c r="F37" i="9"/>
  <c r="U36" i="9"/>
  <c r="T36" i="9"/>
  <c r="S36" i="9"/>
  <c r="N36" i="9"/>
  <c r="J36" i="9"/>
  <c r="H36" i="9"/>
  <c r="F36" i="9"/>
  <c r="U35" i="9"/>
  <c r="T35" i="9"/>
  <c r="S35" i="9"/>
  <c r="N35" i="9"/>
  <c r="J35" i="9"/>
  <c r="H35" i="9"/>
  <c r="F35" i="9"/>
  <c r="U34" i="9"/>
  <c r="T34" i="9"/>
  <c r="S34" i="9"/>
  <c r="N34" i="9"/>
  <c r="J34" i="9"/>
  <c r="H34" i="9"/>
  <c r="F34" i="9"/>
  <c r="U33" i="9"/>
  <c r="T33" i="9"/>
  <c r="S33" i="9"/>
  <c r="N33" i="9"/>
  <c r="J33" i="9"/>
  <c r="H33" i="9"/>
  <c r="F33" i="9"/>
  <c r="U32" i="9"/>
  <c r="T32" i="9"/>
  <c r="S32" i="9"/>
  <c r="N32" i="9"/>
  <c r="J32" i="9"/>
  <c r="H32" i="9"/>
  <c r="F32" i="9"/>
  <c r="U31" i="9"/>
  <c r="T31" i="9"/>
  <c r="S31" i="9"/>
  <c r="N31" i="9"/>
  <c r="J31" i="9"/>
  <c r="H31" i="9"/>
  <c r="F31" i="9"/>
  <c r="U30" i="9"/>
  <c r="T30" i="9"/>
  <c r="S30" i="9"/>
  <c r="N30" i="9"/>
  <c r="J30" i="9"/>
  <c r="H30" i="9"/>
  <c r="F30" i="9"/>
  <c r="U29" i="9"/>
  <c r="T29" i="9"/>
  <c r="S29" i="9"/>
  <c r="N29" i="9"/>
  <c r="J29" i="9"/>
  <c r="H29" i="9"/>
  <c r="F29" i="9"/>
  <c r="U28" i="9"/>
  <c r="T28" i="9"/>
  <c r="S28" i="9"/>
  <c r="N28" i="9"/>
  <c r="J28" i="9"/>
  <c r="H28" i="9"/>
  <c r="F28" i="9"/>
  <c r="U27" i="9"/>
  <c r="T27" i="9"/>
  <c r="S27" i="9"/>
  <c r="N27" i="9"/>
  <c r="J27" i="9"/>
  <c r="H27" i="9"/>
  <c r="F27" i="9"/>
  <c r="U26" i="9"/>
  <c r="T26" i="9"/>
  <c r="S26" i="9"/>
  <c r="N26" i="9"/>
  <c r="J26" i="9"/>
  <c r="H26" i="9"/>
  <c r="F26" i="9"/>
  <c r="N25" i="9"/>
  <c r="J25" i="9"/>
  <c r="H25" i="9"/>
  <c r="F25" i="9"/>
  <c r="J20" i="9"/>
  <c r="I20" i="9"/>
  <c r="N19" i="9"/>
  <c r="L19" i="9"/>
  <c r="K19" i="9"/>
  <c r="T18" i="9"/>
  <c r="P18" i="9"/>
  <c r="Q18" i="9" s="1"/>
  <c r="N18" i="9"/>
  <c r="L18" i="9"/>
  <c r="M18" i="9" s="1"/>
  <c r="K18" i="9"/>
  <c r="L17" i="9"/>
  <c r="P17" i="9" s="1"/>
  <c r="Q17" i="9" s="1"/>
  <c r="J17" i="9"/>
  <c r="P14" i="9"/>
  <c r="Q14" i="9" s="1"/>
  <c r="N14" i="9"/>
  <c r="I14" i="9"/>
  <c r="M14" i="9" s="1"/>
  <c r="L13" i="9"/>
  <c r="P13" i="9" s="1"/>
  <c r="Q13" i="9" s="1"/>
  <c r="J13" i="9"/>
  <c r="T12" i="9"/>
  <c r="K12" i="9"/>
  <c r="I12" i="9"/>
  <c r="N11" i="9"/>
  <c r="K11" i="9"/>
  <c r="J11" i="9"/>
  <c r="I11" i="9"/>
  <c r="O10" i="9"/>
  <c r="I10" i="9"/>
  <c r="O9" i="9"/>
  <c r="P9" i="9" s="1"/>
  <c r="Q9" i="9" s="1"/>
  <c r="L9" i="9"/>
  <c r="L11" i="9" s="1"/>
  <c r="J9" i="9"/>
  <c r="P8" i="9"/>
  <c r="Q8" i="9" s="1"/>
  <c r="L8" i="9"/>
  <c r="J8" i="9"/>
  <c r="J3" i="9"/>
  <c r="B1" i="9"/>
  <c r="M48" i="8"/>
  <c r="L48" i="8"/>
  <c r="K48" i="8"/>
  <c r="J48" i="8"/>
  <c r="J12" i="8" s="1"/>
  <c r="N12" i="8" s="1"/>
  <c r="I48" i="8"/>
  <c r="G48" i="8"/>
  <c r="H48" i="8" s="1"/>
  <c r="E48" i="8"/>
  <c r="F48" i="8" s="1"/>
  <c r="J11" i="8" s="1"/>
  <c r="D48" i="8"/>
  <c r="U47" i="8"/>
  <c r="T47" i="8"/>
  <c r="S47" i="8"/>
  <c r="N47" i="8"/>
  <c r="J47" i="8"/>
  <c r="H47" i="8"/>
  <c r="F47" i="8"/>
  <c r="U46" i="8"/>
  <c r="T46" i="8"/>
  <c r="S46" i="8"/>
  <c r="N46" i="8"/>
  <c r="J46" i="8"/>
  <c r="H46" i="8"/>
  <c r="F46" i="8"/>
  <c r="U45" i="8"/>
  <c r="T45" i="8"/>
  <c r="S45" i="8"/>
  <c r="N45" i="8"/>
  <c r="J45" i="8"/>
  <c r="H45" i="8"/>
  <c r="F45" i="8"/>
  <c r="U44" i="8"/>
  <c r="T44" i="8"/>
  <c r="S44" i="8"/>
  <c r="N44" i="8"/>
  <c r="J44" i="8"/>
  <c r="H44" i="8"/>
  <c r="F44" i="8"/>
  <c r="U43" i="8"/>
  <c r="T43" i="8"/>
  <c r="S43" i="8"/>
  <c r="N43" i="8"/>
  <c r="J43" i="8"/>
  <c r="H43" i="8"/>
  <c r="F43" i="8"/>
  <c r="U42" i="8"/>
  <c r="T42" i="8"/>
  <c r="S42" i="8"/>
  <c r="N42" i="8"/>
  <c r="J42" i="8"/>
  <c r="H42" i="8"/>
  <c r="F42" i="8"/>
  <c r="U41" i="8"/>
  <c r="T41" i="8"/>
  <c r="S41" i="8"/>
  <c r="N41" i="8"/>
  <c r="J41" i="8"/>
  <c r="H41" i="8"/>
  <c r="F41" i="8"/>
  <c r="U40" i="8"/>
  <c r="T40" i="8"/>
  <c r="S40" i="8"/>
  <c r="N40" i="8"/>
  <c r="J40" i="8"/>
  <c r="H40" i="8"/>
  <c r="F40" i="8"/>
  <c r="U39" i="8"/>
  <c r="T39" i="8"/>
  <c r="S39" i="8"/>
  <c r="N39" i="8"/>
  <c r="J39" i="8"/>
  <c r="H39" i="8"/>
  <c r="F39" i="8"/>
  <c r="U38" i="8"/>
  <c r="T38" i="8"/>
  <c r="S38" i="8"/>
  <c r="N38" i="8"/>
  <c r="J38" i="8"/>
  <c r="H38" i="8"/>
  <c r="F38" i="8"/>
  <c r="U37" i="8"/>
  <c r="T37" i="8"/>
  <c r="S37" i="8"/>
  <c r="N37" i="8"/>
  <c r="J37" i="8"/>
  <c r="H37" i="8"/>
  <c r="F37" i="8"/>
  <c r="U36" i="8"/>
  <c r="T36" i="8"/>
  <c r="S36" i="8"/>
  <c r="N36" i="8"/>
  <c r="J36" i="8"/>
  <c r="H36" i="8"/>
  <c r="F36" i="8"/>
  <c r="U35" i="8"/>
  <c r="T35" i="8"/>
  <c r="S35" i="8"/>
  <c r="N35" i="8"/>
  <c r="J35" i="8"/>
  <c r="H35" i="8"/>
  <c r="F35" i="8"/>
  <c r="U34" i="8"/>
  <c r="T34" i="8"/>
  <c r="S34" i="8"/>
  <c r="N34" i="8"/>
  <c r="J34" i="8"/>
  <c r="H34" i="8"/>
  <c r="F34" i="8"/>
  <c r="U33" i="8"/>
  <c r="T33" i="8"/>
  <c r="S33" i="8"/>
  <c r="N33" i="8"/>
  <c r="J33" i="8"/>
  <c r="H33" i="8"/>
  <c r="F33" i="8"/>
  <c r="U32" i="8"/>
  <c r="T32" i="8"/>
  <c r="S32" i="8"/>
  <c r="N32" i="8"/>
  <c r="J32" i="8"/>
  <c r="H32" i="8"/>
  <c r="F32" i="8"/>
  <c r="U31" i="8"/>
  <c r="T31" i="8"/>
  <c r="S31" i="8"/>
  <c r="N31" i="8"/>
  <c r="J31" i="8"/>
  <c r="H31" i="8"/>
  <c r="F31" i="8"/>
  <c r="U30" i="8"/>
  <c r="T30" i="8"/>
  <c r="S30" i="8"/>
  <c r="N30" i="8"/>
  <c r="J30" i="8"/>
  <c r="H30" i="8"/>
  <c r="F30" i="8"/>
  <c r="U29" i="8"/>
  <c r="T29" i="8"/>
  <c r="S29" i="8"/>
  <c r="N29" i="8"/>
  <c r="J29" i="8"/>
  <c r="H29" i="8"/>
  <c r="F29" i="8"/>
  <c r="U28" i="8"/>
  <c r="T28" i="8"/>
  <c r="S28" i="8"/>
  <c r="N28" i="8"/>
  <c r="J28" i="8"/>
  <c r="H28" i="8"/>
  <c r="F28" i="8"/>
  <c r="U27" i="8"/>
  <c r="T27" i="8"/>
  <c r="S27" i="8"/>
  <c r="N27" i="8"/>
  <c r="J27" i="8"/>
  <c r="H27" i="8"/>
  <c r="F27" i="8"/>
  <c r="U26" i="8"/>
  <c r="T26" i="8"/>
  <c r="S26" i="8"/>
  <c r="N26" i="8"/>
  <c r="J26" i="8"/>
  <c r="H26" i="8"/>
  <c r="F26" i="8"/>
  <c r="N25" i="8"/>
  <c r="J25" i="8"/>
  <c r="H25" i="8"/>
  <c r="F25" i="8"/>
  <c r="I20" i="8"/>
  <c r="Q19" i="8"/>
  <c r="N19" i="8"/>
  <c r="M19" i="8"/>
  <c r="L19" i="8"/>
  <c r="P19" i="8" s="1"/>
  <c r="K19" i="8"/>
  <c r="J19" i="8"/>
  <c r="T18" i="8"/>
  <c r="N18" i="8"/>
  <c r="L18" i="8"/>
  <c r="K18" i="8"/>
  <c r="N14" i="8"/>
  <c r="L14" i="8"/>
  <c r="P14" i="8" s="1"/>
  <c r="Q14" i="8" s="1"/>
  <c r="K14" i="8"/>
  <c r="I14" i="8"/>
  <c r="J13" i="8"/>
  <c r="T12" i="8"/>
  <c r="L12" i="8"/>
  <c r="P12" i="8" s="1"/>
  <c r="Q12" i="8" s="1"/>
  <c r="I12" i="8"/>
  <c r="I11" i="8"/>
  <c r="O10" i="8"/>
  <c r="J10" i="8"/>
  <c r="O9" i="8"/>
  <c r="L9" i="8"/>
  <c r="P9" i="8" s="1"/>
  <c r="Q9" i="8" s="1"/>
  <c r="J9" i="8"/>
  <c r="L8" i="8"/>
  <c r="P8" i="8" s="1"/>
  <c r="Q8" i="8" s="1"/>
  <c r="J3" i="8"/>
  <c r="B1" i="8"/>
  <c r="M49" i="7"/>
  <c r="W12" i="7" s="1"/>
  <c r="L49" i="7"/>
  <c r="K49" i="7"/>
  <c r="T18" i="7" s="1"/>
  <c r="N13" i="3" s="1"/>
  <c r="I49" i="7"/>
  <c r="G49" i="7"/>
  <c r="E49" i="7"/>
  <c r="U48" i="7"/>
  <c r="T48" i="7"/>
  <c r="S48" i="7"/>
  <c r="N48" i="7"/>
  <c r="J48" i="7"/>
  <c r="H48" i="7"/>
  <c r="F48" i="7"/>
  <c r="U47" i="7"/>
  <c r="T47" i="7"/>
  <c r="S47" i="7"/>
  <c r="N47" i="7"/>
  <c r="J47" i="7"/>
  <c r="H47" i="7"/>
  <c r="F47" i="7"/>
  <c r="U46" i="7"/>
  <c r="T46" i="7"/>
  <c r="S46" i="7"/>
  <c r="N46" i="7"/>
  <c r="J46" i="7"/>
  <c r="H46" i="7"/>
  <c r="F46" i="7"/>
  <c r="U45" i="7"/>
  <c r="T45" i="7"/>
  <c r="S45" i="7"/>
  <c r="N45" i="7"/>
  <c r="J45" i="7"/>
  <c r="H45" i="7"/>
  <c r="F45" i="7"/>
  <c r="T44" i="7"/>
  <c r="S44" i="7"/>
  <c r="N44" i="7"/>
  <c r="J44" i="7"/>
  <c r="H44" i="7"/>
  <c r="F44" i="7"/>
  <c r="T43" i="7"/>
  <c r="S43" i="7"/>
  <c r="N43" i="7"/>
  <c r="J43" i="7"/>
  <c r="H43" i="7"/>
  <c r="F43" i="7"/>
  <c r="D43" i="7"/>
  <c r="U42" i="7"/>
  <c r="T42" i="7"/>
  <c r="N42" i="7"/>
  <c r="J42" i="7"/>
  <c r="H42" i="7"/>
  <c r="F42" i="7"/>
  <c r="D42" i="7"/>
  <c r="T41" i="7"/>
  <c r="S41" i="7"/>
  <c r="N41" i="7"/>
  <c r="J41" i="7"/>
  <c r="H41" i="7"/>
  <c r="F41" i="7"/>
  <c r="T40" i="7"/>
  <c r="N40" i="7"/>
  <c r="J40" i="7"/>
  <c r="H40" i="7"/>
  <c r="F40" i="7"/>
  <c r="S40" i="7"/>
  <c r="T39" i="7"/>
  <c r="S39" i="7"/>
  <c r="N39" i="7"/>
  <c r="J39" i="7"/>
  <c r="D39" i="7"/>
  <c r="T38" i="7"/>
  <c r="S38" i="7"/>
  <c r="N38" i="7"/>
  <c r="J38" i="7"/>
  <c r="D38" i="7"/>
  <c r="T37" i="7"/>
  <c r="S37" i="7"/>
  <c r="N37" i="7"/>
  <c r="J37" i="7"/>
  <c r="D37" i="7"/>
  <c r="T36" i="7"/>
  <c r="S36" i="7"/>
  <c r="N36" i="7"/>
  <c r="J36" i="7"/>
  <c r="H36" i="7"/>
  <c r="F36" i="7"/>
  <c r="T35" i="7"/>
  <c r="S35" i="7"/>
  <c r="N35" i="7"/>
  <c r="J35" i="7"/>
  <c r="H35" i="7"/>
  <c r="F35" i="7"/>
  <c r="U34" i="7"/>
  <c r="T34" i="7"/>
  <c r="S34" i="7"/>
  <c r="N34" i="7"/>
  <c r="J34" i="7"/>
  <c r="H34" i="7"/>
  <c r="F34" i="7"/>
  <c r="T33" i="7"/>
  <c r="S33" i="7"/>
  <c r="N33" i="7"/>
  <c r="J33" i="7"/>
  <c r="D33" i="7"/>
  <c r="H33" i="7" s="1"/>
  <c r="T32" i="7"/>
  <c r="S32" i="7"/>
  <c r="N32" i="7"/>
  <c r="J32" i="7"/>
  <c r="H32" i="7"/>
  <c r="F32" i="7"/>
  <c r="T31" i="7"/>
  <c r="S31" i="7"/>
  <c r="N31" i="7"/>
  <c r="J31" i="7"/>
  <c r="D31" i="7"/>
  <c r="U30" i="7"/>
  <c r="T30" i="7"/>
  <c r="N30" i="7"/>
  <c r="J30" i="7"/>
  <c r="F30" i="7"/>
  <c r="D30" i="7"/>
  <c r="H30" i="7" s="1"/>
  <c r="U29" i="7"/>
  <c r="T29" i="7"/>
  <c r="S29" i="7"/>
  <c r="N29" i="7"/>
  <c r="J29" i="7"/>
  <c r="H29" i="7"/>
  <c r="U28" i="7"/>
  <c r="T28" i="7"/>
  <c r="S28" i="7"/>
  <c r="N28" i="7"/>
  <c r="J28" i="7"/>
  <c r="H28" i="7"/>
  <c r="D28" i="7"/>
  <c r="T27" i="7"/>
  <c r="S27" i="7"/>
  <c r="N27" i="7"/>
  <c r="J27" i="7"/>
  <c r="H27" i="7"/>
  <c r="U26" i="7"/>
  <c r="T26" i="7"/>
  <c r="S26" i="7"/>
  <c r="N26" i="7"/>
  <c r="J26" i="7"/>
  <c r="H26" i="7"/>
  <c r="F26" i="7"/>
  <c r="U25" i="7"/>
  <c r="T25" i="7"/>
  <c r="S25" i="7"/>
  <c r="N25" i="7"/>
  <c r="J25" i="7"/>
  <c r="H25" i="7"/>
  <c r="F25" i="7"/>
  <c r="I20" i="7"/>
  <c r="N19" i="7"/>
  <c r="L19" i="7"/>
  <c r="K19" i="7"/>
  <c r="N18" i="7"/>
  <c r="M18" i="7"/>
  <c r="L18" i="7"/>
  <c r="P18" i="7" s="1"/>
  <c r="Q18" i="7" s="1"/>
  <c r="K18" i="7"/>
  <c r="J17" i="7"/>
  <c r="K14" i="7"/>
  <c r="I14" i="7"/>
  <c r="T12" i="7"/>
  <c r="I12" i="7"/>
  <c r="I11" i="7"/>
  <c r="V10" i="7"/>
  <c r="O10" i="7"/>
  <c r="I10" i="7"/>
  <c r="O9" i="7"/>
  <c r="J9" i="7"/>
  <c r="J3" i="7"/>
  <c r="B1" i="7"/>
  <c r="M50" i="6"/>
  <c r="L50" i="6"/>
  <c r="K50" i="6"/>
  <c r="T18" i="6" s="1"/>
  <c r="I50" i="6"/>
  <c r="G50" i="6"/>
  <c r="J50" i="6" s="1"/>
  <c r="E50" i="6"/>
  <c r="U49" i="6"/>
  <c r="T49" i="6"/>
  <c r="S49" i="6"/>
  <c r="N49" i="6"/>
  <c r="J49" i="6"/>
  <c r="H49" i="6"/>
  <c r="F49" i="6"/>
  <c r="U48" i="6"/>
  <c r="T48" i="6"/>
  <c r="S48" i="6"/>
  <c r="N48" i="6"/>
  <c r="J48" i="6"/>
  <c r="H48" i="6"/>
  <c r="F48" i="6"/>
  <c r="U47" i="6"/>
  <c r="T47" i="6"/>
  <c r="S47" i="6"/>
  <c r="N47" i="6"/>
  <c r="J47" i="6"/>
  <c r="H47" i="6"/>
  <c r="F47" i="6"/>
  <c r="U46" i="6"/>
  <c r="T46" i="6"/>
  <c r="S46" i="6"/>
  <c r="N46" i="6"/>
  <c r="J46" i="6"/>
  <c r="H46" i="6"/>
  <c r="F46" i="6"/>
  <c r="U45" i="6"/>
  <c r="T45" i="6"/>
  <c r="S45" i="6"/>
  <c r="N45" i="6"/>
  <c r="J45" i="6"/>
  <c r="H45" i="6"/>
  <c r="F45" i="6"/>
  <c r="U44" i="6"/>
  <c r="T44" i="6"/>
  <c r="S44" i="6"/>
  <c r="N44" i="6"/>
  <c r="J44" i="6"/>
  <c r="H44" i="6"/>
  <c r="F44" i="6"/>
  <c r="U43" i="6"/>
  <c r="T43" i="6"/>
  <c r="S43" i="6"/>
  <c r="N43" i="6"/>
  <c r="J43" i="6"/>
  <c r="H43" i="6"/>
  <c r="F43" i="6"/>
  <c r="U42" i="6"/>
  <c r="T42" i="6"/>
  <c r="N42" i="6"/>
  <c r="J42" i="6"/>
  <c r="D42" i="6"/>
  <c r="T41" i="6"/>
  <c r="S41" i="6"/>
  <c r="N41" i="6"/>
  <c r="J41" i="6"/>
  <c r="H41" i="6"/>
  <c r="F41" i="6"/>
  <c r="U40" i="6"/>
  <c r="T40" i="6"/>
  <c r="S40" i="6"/>
  <c r="N40" i="6"/>
  <c r="J40" i="6"/>
  <c r="H40" i="6"/>
  <c r="F40" i="6"/>
  <c r="T39" i="6"/>
  <c r="S39" i="6"/>
  <c r="N39" i="6"/>
  <c r="J39" i="6"/>
  <c r="H39" i="6"/>
  <c r="F39" i="6"/>
  <c r="U38" i="6"/>
  <c r="T38" i="6"/>
  <c r="S38" i="6"/>
  <c r="N38" i="6"/>
  <c r="J38" i="6"/>
  <c r="H38" i="6"/>
  <c r="F38" i="6"/>
  <c r="T37" i="6"/>
  <c r="S37" i="6"/>
  <c r="N37" i="6"/>
  <c r="J37" i="6"/>
  <c r="D37" i="6"/>
  <c r="T36" i="6"/>
  <c r="N36" i="6"/>
  <c r="J36" i="6"/>
  <c r="H36" i="6"/>
  <c r="F36" i="6"/>
  <c r="D36" i="6"/>
  <c r="S36" i="6" s="1"/>
  <c r="T35" i="6"/>
  <c r="S35" i="6"/>
  <c r="N35" i="6"/>
  <c r="J35" i="6"/>
  <c r="D35" i="6"/>
  <c r="T34" i="6"/>
  <c r="S34" i="6"/>
  <c r="N34" i="6"/>
  <c r="J34" i="6"/>
  <c r="H34" i="6"/>
  <c r="F34" i="6"/>
  <c r="U33" i="6"/>
  <c r="T33" i="6"/>
  <c r="S33" i="6"/>
  <c r="N33" i="6"/>
  <c r="J33" i="6"/>
  <c r="H33" i="6"/>
  <c r="F33" i="6"/>
  <c r="T32" i="6"/>
  <c r="S32" i="6"/>
  <c r="N32" i="6"/>
  <c r="J32" i="6"/>
  <c r="H32" i="6"/>
  <c r="F32" i="6"/>
  <c r="U31" i="6"/>
  <c r="T31" i="6"/>
  <c r="S31" i="6"/>
  <c r="N31" i="6"/>
  <c r="J31" i="6"/>
  <c r="H31" i="6"/>
  <c r="F31" i="6"/>
  <c r="U30" i="6"/>
  <c r="T30" i="6"/>
  <c r="N30" i="6"/>
  <c r="J30" i="6"/>
  <c r="H30" i="6"/>
  <c r="F30" i="6"/>
  <c r="D30" i="6"/>
  <c r="S30" i="6" s="1"/>
  <c r="T29" i="6"/>
  <c r="N29" i="6"/>
  <c r="J29" i="6"/>
  <c r="D29" i="6"/>
  <c r="U28" i="6"/>
  <c r="T28" i="6"/>
  <c r="S28" i="6"/>
  <c r="N28" i="6"/>
  <c r="J28" i="6"/>
  <c r="D28" i="6"/>
  <c r="T27" i="6"/>
  <c r="S27" i="6"/>
  <c r="N27" i="6"/>
  <c r="J27" i="6"/>
  <c r="H27" i="6"/>
  <c r="F27" i="6"/>
  <c r="T26" i="6"/>
  <c r="S26" i="6"/>
  <c r="N26" i="6"/>
  <c r="J26" i="6"/>
  <c r="D26" i="6"/>
  <c r="U25" i="6"/>
  <c r="T25" i="6"/>
  <c r="N25" i="6"/>
  <c r="J25" i="6"/>
  <c r="D25" i="6"/>
  <c r="I20" i="6"/>
  <c r="N19" i="6"/>
  <c r="L19" i="6"/>
  <c r="K19" i="6"/>
  <c r="N18" i="6"/>
  <c r="L18" i="6"/>
  <c r="M18" i="6" s="1"/>
  <c r="K18" i="6"/>
  <c r="M14" i="6"/>
  <c r="L14" i="6"/>
  <c r="K14" i="6"/>
  <c r="I14" i="6"/>
  <c r="W12" i="6"/>
  <c r="T12" i="6"/>
  <c r="L12" i="6"/>
  <c r="J12" i="6"/>
  <c r="I12" i="6"/>
  <c r="I11" i="6"/>
  <c r="V10" i="6"/>
  <c r="O10" i="6"/>
  <c r="O9" i="6"/>
  <c r="J9" i="6"/>
  <c r="J3" i="6"/>
  <c r="B1" i="6"/>
  <c r="M54" i="5"/>
  <c r="L54" i="5"/>
  <c r="K54" i="5"/>
  <c r="J54" i="5"/>
  <c r="J12" i="5" s="1"/>
  <c r="I54" i="5"/>
  <c r="G54" i="5"/>
  <c r="E54" i="5"/>
  <c r="U53" i="5"/>
  <c r="T53" i="5"/>
  <c r="S53" i="5"/>
  <c r="N53" i="5"/>
  <c r="J53" i="5"/>
  <c r="H53" i="5"/>
  <c r="F53" i="5"/>
  <c r="U52" i="5"/>
  <c r="T52" i="5"/>
  <c r="S52" i="5"/>
  <c r="N52" i="5"/>
  <c r="J52" i="5"/>
  <c r="H52" i="5"/>
  <c r="F52" i="5"/>
  <c r="D52" i="5"/>
  <c r="U51" i="5"/>
  <c r="T51" i="5"/>
  <c r="S51" i="5"/>
  <c r="N51" i="5"/>
  <c r="J51" i="5"/>
  <c r="H51" i="5"/>
  <c r="F51" i="5"/>
  <c r="T50" i="5"/>
  <c r="N50" i="5"/>
  <c r="J50" i="5"/>
  <c r="D50" i="5"/>
  <c r="F50" i="5" s="1"/>
  <c r="T49" i="5"/>
  <c r="N49" i="5"/>
  <c r="J49" i="5"/>
  <c r="D49" i="5"/>
  <c r="T48" i="5"/>
  <c r="N48" i="5"/>
  <c r="J48" i="5"/>
  <c r="F48" i="5"/>
  <c r="D48" i="5"/>
  <c r="T47" i="5"/>
  <c r="N47" i="5"/>
  <c r="J47" i="5"/>
  <c r="U46" i="5"/>
  <c r="T46" i="5"/>
  <c r="S46" i="5"/>
  <c r="N46" i="5"/>
  <c r="J46" i="5"/>
  <c r="H46" i="5"/>
  <c r="F46" i="5"/>
  <c r="U45" i="5"/>
  <c r="T45" i="5"/>
  <c r="N45" i="5"/>
  <c r="J45" i="5"/>
  <c r="D45" i="5"/>
  <c r="H45" i="5" s="1"/>
  <c r="U44" i="5"/>
  <c r="T44" i="5"/>
  <c r="N44" i="5"/>
  <c r="J44" i="5"/>
  <c r="D44" i="5"/>
  <c r="U43" i="5"/>
  <c r="T43" i="5"/>
  <c r="N43" i="5"/>
  <c r="J43" i="5"/>
  <c r="D43" i="5"/>
  <c r="H43" i="5" s="1"/>
  <c r="U42" i="5"/>
  <c r="T42" i="5"/>
  <c r="N42" i="5"/>
  <c r="J42" i="5"/>
  <c r="D42" i="5"/>
  <c r="U41" i="5"/>
  <c r="T41" i="5"/>
  <c r="N41" i="5"/>
  <c r="J41" i="5"/>
  <c r="D41" i="5"/>
  <c r="H41" i="5" s="1"/>
  <c r="T40" i="5"/>
  <c r="N40" i="5"/>
  <c r="J40" i="5"/>
  <c r="H40" i="5"/>
  <c r="D40" i="5"/>
  <c r="T39" i="5"/>
  <c r="N39" i="5"/>
  <c r="J39" i="5"/>
  <c r="D39" i="5"/>
  <c r="H39" i="5" s="1"/>
  <c r="T38" i="5"/>
  <c r="S38" i="5"/>
  <c r="N38" i="5"/>
  <c r="J38" i="5"/>
  <c r="H38" i="5"/>
  <c r="F38" i="5"/>
  <c r="T37" i="5"/>
  <c r="S37" i="5"/>
  <c r="N37" i="5"/>
  <c r="J37" i="5"/>
  <c r="H37" i="5"/>
  <c r="F37" i="5"/>
  <c r="T36" i="5"/>
  <c r="S36" i="5"/>
  <c r="N36" i="5"/>
  <c r="J36" i="5"/>
  <c r="D36" i="5"/>
  <c r="H36" i="5" s="1"/>
  <c r="U35" i="5"/>
  <c r="T35" i="5"/>
  <c r="S35" i="5"/>
  <c r="N35" i="5"/>
  <c r="J35" i="5"/>
  <c r="H35" i="5"/>
  <c r="F35" i="5"/>
  <c r="U34" i="5"/>
  <c r="T34" i="5"/>
  <c r="N34" i="5"/>
  <c r="J34" i="5"/>
  <c r="D34" i="5"/>
  <c r="H34" i="5" s="1"/>
  <c r="T33" i="5"/>
  <c r="N33" i="5"/>
  <c r="J33" i="5"/>
  <c r="H33" i="5"/>
  <c r="D33" i="5"/>
  <c r="T32" i="5"/>
  <c r="S32" i="5"/>
  <c r="N32" i="5"/>
  <c r="J32" i="5"/>
  <c r="H32" i="5"/>
  <c r="F32" i="5"/>
  <c r="U31" i="5"/>
  <c r="T31" i="5"/>
  <c r="S31" i="5"/>
  <c r="N31" i="5"/>
  <c r="J31" i="5"/>
  <c r="H31" i="5"/>
  <c r="F31" i="5"/>
  <c r="U30" i="5"/>
  <c r="T30" i="5"/>
  <c r="S30" i="5"/>
  <c r="N30" i="5"/>
  <c r="J30" i="5"/>
  <c r="H30" i="5"/>
  <c r="F30" i="5"/>
  <c r="D30" i="5"/>
  <c r="T29" i="5"/>
  <c r="N29" i="5"/>
  <c r="J29" i="5"/>
  <c r="D29" i="5"/>
  <c r="H29" i="5" s="1"/>
  <c r="T28" i="5"/>
  <c r="S28" i="5"/>
  <c r="N28" i="5"/>
  <c r="J28" i="5"/>
  <c r="H28" i="5"/>
  <c r="F28" i="5"/>
  <c r="D28" i="5"/>
  <c r="U27" i="5"/>
  <c r="T27" i="5"/>
  <c r="S27" i="5"/>
  <c r="N27" i="5"/>
  <c r="J27" i="5"/>
  <c r="H27" i="5"/>
  <c r="F27" i="5"/>
  <c r="T26" i="5"/>
  <c r="S26" i="5"/>
  <c r="N26" i="5"/>
  <c r="J26" i="5"/>
  <c r="D26" i="5"/>
  <c r="U25" i="5"/>
  <c r="T25" i="5"/>
  <c r="S25" i="5"/>
  <c r="N25" i="5"/>
  <c r="J25" i="5"/>
  <c r="H25" i="5"/>
  <c r="F25" i="5"/>
  <c r="I20" i="5"/>
  <c r="L19" i="5"/>
  <c r="K19" i="5"/>
  <c r="J19" i="5"/>
  <c r="N19" i="5" s="1"/>
  <c r="N18" i="5"/>
  <c r="L18" i="5"/>
  <c r="P18" i="5" s="1"/>
  <c r="Q18" i="5" s="1"/>
  <c r="K18" i="5"/>
  <c r="J17" i="5"/>
  <c r="I14" i="5"/>
  <c r="J13" i="5"/>
  <c r="W12" i="5"/>
  <c r="T12" i="5"/>
  <c r="I12" i="5"/>
  <c r="I11" i="5"/>
  <c r="V10" i="5"/>
  <c r="O10" i="5"/>
  <c r="O9" i="5"/>
  <c r="J9" i="5"/>
  <c r="J3" i="5"/>
  <c r="B1" i="5"/>
  <c r="A10" i="4"/>
  <c r="D7" i="4"/>
  <c r="D5" i="4"/>
  <c r="D4" i="4"/>
  <c r="D3" i="4"/>
  <c r="D2" i="4"/>
  <c r="D6" i="4" s="1"/>
  <c r="N15" i="3"/>
  <c r="K15" i="3"/>
  <c r="H15" i="3"/>
  <c r="A15" i="3"/>
  <c r="N14" i="3"/>
  <c r="K14" i="3"/>
  <c r="H14" i="3"/>
  <c r="N12" i="3"/>
  <c r="N10" i="3"/>
  <c r="M10" i="3"/>
  <c r="K10" i="3"/>
  <c r="J10" i="3"/>
  <c r="H10" i="3"/>
  <c r="E10" i="3"/>
  <c r="D10" i="3"/>
  <c r="H9" i="3"/>
  <c r="K8" i="3"/>
  <c r="N5" i="3"/>
  <c r="K5" i="3"/>
  <c r="H5" i="3"/>
  <c r="M2" i="3"/>
  <c r="J2" i="3"/>
  <c r="G2" i="3"/>
  <c r="Y5" i="2"/>
  <c r="A5" i="2"/>
  <c r="Y4" i="2"/>
  <c r="B4" i="2"/>
  <c r="A4" i="2"/>
  <c r="Y3" i="2"/>
  <c r="A3" i="2"/>
  <c r="M58" i="1"/>
  <c r="L58" i="1"/>
  <c r="G58" i="1"/>
  <c r="E58" i="1"/>
  <c r="I57" i="1"/>
  <c r="N56" i="1"/>
  <c r="M56" i="1"/>
  <c r="L56" i="1"/>
  <c r="K56" i="1"/>
  <c r="T18" i="1" s="1"/>
  <c r="S19" i="1" s="1"/>
  <c r="T19" i="1" s="1"/>
  <c r="F13" i="3" s="1"/>
  <c r="I56" i="1"/>
  <c r="G56" i="1"/>
  <c r="J56" i="1" s="1"/>
  <c r="E56" i="1"/>
  <c r="U55" i="1"/>
  <c r="T55" i="1"/>
  <c r="N55" i="1"/>
  <c r="J55" i="1"/>
  <c r="H55" i="1"/>
  <c r="F55" i="1"/>
  <c r="D55" i="1"/>
  <c r="U54" i="1"/>
  <c r="T54" i="1"/>
  <c r="N54" i="1"/>
  <c r="J54" i="1"/>
  <c r="H54" i="1"/>
  <c r="D54" i="1"/>
  <c r="S54" i="1" s="1"/>
  <c r="U53" i="1"/>
  <c r="T53" i="1"/>
  <c r="S53" i="1"/>
  <c r="N53" i="1"/>
  <c r="J53" i="1"/>
  <c r="D53" i="1"/>
  <c r="U52" i="1"/>
  <c r="T52" i="1"/>
  <c r="N52" i="1"/>
  <c r="J52" i="1"/>
  <c r="U51" i="1"/>
  <c r="T51" i="1"/>
  <c r="S51" i="1"/>
  <c r="N51" i="1"/>
  <c r="J51" i="1"/>
  <c r="H51" i="1"/>
  <c r="F51" i="1"/>
  <c r="U50" i="1"/>
  <c r="T50" i="1"/>
  <c r="S50" i="1"/>
  <c r="N50" i="1"/>
  <c r="J50" i="1"/>
  <c r="H50" i="1"/>
  <c r="F50" i="1"/>
  <c r="D50" i="1"/>
  <c r="U49" i="1"/>
  <c r="T49" i="1"/>
  <c r="N49" i="1"/>
  <c r="J49" i="1"/>
  <c r="D49" i="1"/>
  <c r="U48" i="1"/>
  <c r="T48" i="1"/>
  <c r="S48" i="1"/>
  <c r="N48" i="1"/>
  <c r="J48" i="1"/>
  <c r="H48" i="1"/>
  <c r="F48" i="1"/>
  <c r="D48" i="1"/>
  <c r="U47" i="1"/>
  <c r="T47" i="1"/>
  <c r="N47" i="1"/>
  <c r="J47" i="1"/>
  <c r="D47" i="1"/>
  <c r="H47" i="1" s="1"/>
  <c r="U46" i="1"/>
  <c r="T46" i="1"/>
  <c r="S46" i="1"/>
  <c r="N46" i="1"/>
  <c r="J46" i="1"/>
  <c r="H46" i="1"/>
  <c r="F46" i="1"/>
  <c r="D46" i="1"/>
  <c r="U45" i="1"/>
  <c r="T45" i="1"/>
  <c r="N45" i="1"/>
  <c r="J45" i="1"/>
  <c r="H45" i="1"/>
  <c r="S45" i="1"/>
  <c r="U44" i="1"/>
  <c r="T44" i="1"/>
  <c r="S44" i="1"/>
  <c r="N44" i="1"/>
  <c r="J44" i="1"/>
  <c r="H44" i="1"/>
  <c r="F44" i="1"/>
  <c r="D44" i="1"/>
  <c r="U43" i="1"/>
  <c r="T43" i="1"/>
  <c r="N43" i="1"/>
  <c r="J43" i="1"/>
  <c r="H43" i="1"/>
  <c r="D43" i="1"/>
  <c r="S43" i="1" s="1"/>
  <c r="U42" i="1"/>
  <c r="T42" i="1"/>
  <c r="N42" i="1"/>
  <c r="J42" i="1"/>
  <c r="D42" i="1"/>
  <c r="H42" i="1" s="1"/>
  <c r="U41" i="1"/>
  <c r="T41" i="1"/>
  <c r="S41" i="1"/>
  <c r="N41" i="1"/>
  <c r="J41" i="1"/>
  <c r="H41" i="1"/>
  <c r="F41" i="1"/>
  <c r="U40" i="1"/>
  <c r="T40" i="1"/>
  <c r="N40" i="1"/>
  <c r="J40" i="1"/>
  <c r="H40" i="1"/>
  <c r="F40" i="1"/>
  <c r="D40" i="1"/>
  <c r="S40" i="1" s="1"/>
  <c r="U39" i="1"/>
  <c r="T39" i="1"/>
  <c r="S39" i="1"/>
  <c r="N39" i="1"/>
  <c r="J39" i="1"/>
  <c r="D39" i="1"/>
  <c r="U38" i="1"/>
  <c r="T38" i="1"/>
  <c r="S38" i="1"/>
  <c r="N38" i="1"/>
  <c r="J38" i="1"/>
  <c r="H38" i="1"/>
  <c r="F38" i="1"/>
  <c r="U37" i="1"/>
  <c r="T37" i="1"/>
  <c r="S37" i="1"/>
  <c r="N37" i="1"/>
  <c r="J37" i="1"/>
  <c r="H37" i="1"/>
  <c r="F37" i="1"/>
  <c r="U36" i="1"/>
  <c r="T36" i="1"/>
  <c r="N36" i="1"/>
  <c r="J36" i="1"/>
  <c r="D36" i="1"/>
  <c r="F36" i="1" s="1"/>
  <c r="U35" i="1"/>
  <c r="T35" i="1"/>
  <c r="S35" i="1"/>
  <c r="N35" i="1"/>
  <c r="J35" i="1"/>
  <c r="H35" i="1"/>
  <c r="F35" i="1"/>
  <c r="D35" i="1"/>
  <c r="U34" i="1"/>
  <c r="T34" i="1"/>
  <c r="N34" i="1"/>
  <c r="J34" i="1"/>
  <c r="D34" i="1"/>
  <c r="U33" i="1"/>
  <c r="T33" i="1"/>
  <c r="S33" i="1"/>
  <c r="N33" i="1"/>
  <c r="J33" i="1"/>
  <c r="H33" i="1"/>
  <c r="F33" i="1"/>
  <c r="D33" i="1"/>
  <c r="U32" i="1"/>
  <c r="T32" i="1"/>
  <c r="N32" i="1"/>
  <c r="J32" i="1"/>
  <c r="D32" i="1"/>
  <c r="U31" i="1"/>
  <c r="T31" i="1"/>
  <c r="S31" i="1"/>
  <c r="N31" i="1"/>
  <c r="J31" i="1"/>
  <c r="H31" i="1"/>
  <c r="F31" i="1"/>
  <c r="D31" i="1"/>
  <c r="U30" i="1"/>
  <c r="T30" i="1"/>
  <c r="N30" i="1"/>
  <c r="J30" i="1"/>
  <c r="D30" i="1"/>
  <c r="U29" i="1"/>
  <c r="T29" i="1"/>
  <c r="S29" i="1"/>
  <c r="N29" i="1"/>
  <c r="J29" i="1"/>
  <c r="H29" i="1"/>
  <c r="F29" i="1"/>
  <c r="U28" i="1"/>
  <c r="T28" i="1"/>
  <c r="S28" i="1"/>
  <c r="N28" i="1"/>
  <c r="J28" i="1"/>
  <c r="H28" i="1"/>
  <c r="F28" i="1"/>
  <c r="U27" i="1"/>
  <c r="T27" i="1"/>
  <c r="S27" i="1"/>
  <c r="N27" i="1"/>
  <c r="J27" i="1"/>
  <c r="F27" i="1"/>
  <c r="D27" i="1"/>
  <c r="U26" i="1"/>
  <c r="T26" i="1"/>
  <c r="N26" i="1"/>
  <c r="J26" i="1"/>
  <c r="H26" i="1"/>
  <c r="D26" i="1"/>
  <c r="S26" i="1" s="1"/>
  <c r="U25" i="1"/>
  <c r="T25" i="1"/>
  <c r="T56" i="1" s="1"/>
  <c r="N25" i="1"/>
  <c r="J25" i="1"/>
  <c r="D25" i="1"/>
  <c r="H25" i="1" s="1"/>
  <c r="J20" i="1"/>
  <c r="N19" i="1"/>
  <c r="L19" i="1"/>
  <c r="K19" i="1"/>
  <c r="Q18" i="1"/>
  <c r="P18" i="1"/>
  <c r="N18" i="1"/>
  <c r="L18" i="1"/>
  <c r="M18" i="1" s="1"/>
  <c r="K18" i="1"/>
  <c r="J17" i="1"/>
  <c r="E12" i="3" s="1"/>
  <c r="S16" i="1"/>
  <c r="Q14" i="1"/>
  <c r="P14" i="1"/>
  <c r="N14" i="1"/>
  <c r="M14" i="1"/>
  <c r="L14" i="1"/>
  <c r="K14" i="1"/>
  <c r="J13" i="1"/>
  <c r="I13" i="1"/>
  <c r="W12" i="1"/>
  <c r="T12" i="1"/>
  <c r="J12" i="1"/>
  <c r="V10" i="1"/>
  <c r="S10" i="1"/>
  <c r="O10" i="1"/>
  <c r="I10" i="1"/>
  <c r="O9" i="1"/>
  <c r="J9" i="1"/>
  <c r="E5" i="3" s="1"/>
  <c r="I3" i="1"/>
  <c r="D2" i="3" s="1"/>
  <c r="B1" i="1"/>
  <c r="K58" i="1" l="1"/>
  <c r="AJ31" i="13"/>
  <c r="S12" i="6"/>
  <c r="S12" i="5"/>
  <c r="AM31" i="13"/>
  <c r="T54" i="5"/>
  <c r="L11" i="8"/>
  <c r="P11" i="8" s="1"/>
  <c r="Q11" i="8" s="1"/>
  <c r="E14" i="3"/>
  <c r="D8" i="4"/>
  <c r="E8" i="3"/>
  <c r="H30" i="1"/>
  <c r="S30" i="1"/>
  <c r="F30" i="1"/>
  <c r="K12" i="1"/>
  <c r="D8" i="3" s="1"/>
  <c r="S13" i="1"/>
  <c r="K20" i="1"/>
  <c r="H32" i="1"/>
  <c r="S32" i="1"/>
  <c r="F32" i="1"/>
  <c r="S52" i="1"/>
  <c r="F52" i="1"/>
  <c r="D13" i="3"/>
  <c r="H49" i="1"/>
  <c r="F49" i="1"/>
  <c r="L12" i="1"/>
  <c r="N12" i="1" s="1"/>
  <c r="E13" i="3"/>
  <c r="D9" i="4"/>
  <c r="S25" i="1"/>
  <c r="H34" i="1"/>
  <c r="S34" i="1"/>
  <c r="F34" i="1"/>
  <c r="S36" i="1"/>
  <c r="H52" i="1"/>
  <c r="D10" i="4"/>
  <c r="V13" i="1"/>
  <c r="E15" i="3"/>
  <c r="P19" i="1"/>
  <c r="Q19" i="1" s="1"/>
  <c r="M19" i="1"/>
  <c r="I8" i="1"/>
  <c r="K13" i="1"/>
  <c r="D9" i="3" s="1"/>
  <c r="H39" i="1"/>
  <c r="F39" i="1"/>
  <c r="I10" i="5"/>
  <c r="D56" i="1"/>
  <c r="H36" i="1"/>
  <c r="F25" i="1"/>
  <c r="E9" i="3"/>
  <c r="S49" i="1"/>
  <c r="H27" i="1"/>
  <c r="B3" i="2"/>
  <c r="L17" i="5"/>
  <c r="P17" i="5" s="1"/>
  <c r="Q17" i="5" s="1"/>
  <c r="H49" i="5"/>
  <c r="S49" i="5"/>
  <c r="F49" i="5"/>
  <c r="J17" i="6"/>
  <c r="N50" i="6"/>
  <c r="J20" i="6" s="1"/>
  <c r="I58" i="1"/>
  <c r="L24" i="12"/>
  <c r="L25" i="11"/>
  <c r="I17" i="9"/>
  <c r="N17" i="9" s="1"/>
  <c r="I17" i="8"/>
  <c r="S12" i="9"/>
  <c r="S13" i="9" s="1"/>
  <c r="T13" i="9" s="1"/>
  <c r="L23" i="10"/>
  <c r="V12" i="7"/>
  <c r="V13" i="7" s="1"/>
  <c r="S18" i="9"/>
  <c r="S19" i="9" s="1"/>
  <c r="T19" i="9" s="1"/>
  <c r="I17" i="7"/>
  <c r="S12" i="8"/>
  <c r="S13" i="8" s="1"/>
  <c r="T13" i="8" s="1"/>
  <c r="S18" i="7"/>
  <c r="U18" i="7" s="1"/>
  <c r="I17" i="6"/>
  <c r="S18" i="5"/>
  <c r="S18" i="6"/>
  <c r="S19" i="6" s="1"/>
  <c r="S12" i="7"/>
  <c r="V12" i="5"/>
  <c r="V13" i="5" s="1"/>
  <c r="V12" i="6"/>
  <c r="X12" i="6" s="1"/>
  <c r="U12" i="6"/>
  <c r="S13" i="6"/>
  <c r="M19" i="5"/>
  <c r="P19" i="5"/>
  <c r="Q19" i="5" s="1"/>
  <c r="H48" i="5"/>
  <c r="S48" i="5"/>
  <c r="H25" i="6"/>
  <c r="F25" i="6"/>
  <c r="D50" i="6"/>
  <c r="S25" i="6"/>
  <c r="L12" i="5"/>
  <c r="P12" i="5" s="1"/>
  <c r="Q12" i="5" s="1"/>
  <c r="H8" i="3"/>
  <c r="I10" i="6"/>
  <c r="H12" i="3"/>
  <c r="L14" i="5"/>
  <c r="P14" i="5" s="1"/>
  <c r="Q14" i="5" s="1"/>
  <c r="K14" i="5"/>
  <c r="G10" i="3" s="1"/>
  <c r="M18" i="5"/>
  <c r="M19" i="6"/>
  <c r="P19" i="6"/>
  <c r="Q19" i="6" s="1"/>
  <c r="N49" i="7"/>
  <c r="J20" i="7" s="1"/>
  <c r="J13" i="7"/>
  <c r="J49" i="7"/>
  <c r="J12" i="7" s="1"/>
  <c r="S18" i="8"/>
  <c r="S19" i="8" s="1"/>
  <c r="T19" i="8" s="1"/>
  <c r="S13" i="5"/>
  <c r="F53" i="1"/>
  <c r="K17" i="1"/>
  <c r="D12" i="3" s="1"/>
  <c r="D54" i="5"/>
  <c r="H26" i="5"/>
  <c r="F26" i="5"/>
  <c r="H47" i="5"/>
  <c r="S47" i="5"/>
  <c r="F47" i="5"/>
  <c r="T50" i="6"/>
  <c r="H42" i="6"/>
  <c r="S42" i="6"/>
  <c r="F42" i="6"/>
  <c r="S44" i="5"/>
  <c r="F44" i="5"/>
  <c r="H44" i="5"/>
  <c r="H50" i="5"/>
  <c r="S50" i="5"/>
  <c r="U56" i="1"/>
  <c r="S42" i="1"/>
  <c r="F42" i="1"/>
  <c r="F47" i="1"/>
  <c r="S47" i="1"/>
  <c r="H53" i="1"/>
  <c r="L17" i="1"/>
  <c r="F26" i="1"/>
  <c r="F45" i="1"/>
  <c r="S55" i="1"/>
  <c r="K13" i="3"/>
  <c r="U49" i="5"/>
  <c r="U47" i="5"/>
  <c r="U36" i="5"/>
  <c r="U29" i="5"/>
  <c r="U50" i="5"/>
  <c r="U38" i="5"/>
  <c r="U26" i="5"/>
  <c r="K12" i="5"/>
  <c r="G8" i="3" s="1"/>
  <c r="U40" i="5"/>
  <c r="U39" i="5"/>
  <c r="U37" i="5"/>
  <c r="U33" i="5"/>
  <c r="U32" i="5"/>
  <c r="I17" i="5"/>
  <c r="T18" i="5"/>
  <c r="U28" i="5"/>
  <c r="U48" i="5"/>
  <c r="P12" i="6"/>
  <c r="Q12" i="6" s="1"/>
  <c r="M12" i="6"/>
  <c r="L8" i="3" s="1"/>
  <c r="S42" i="5"/>
  <c r="F42" i="5"/>
  <c r="P19" i="7"/>
  <c r="Q19" i="7" s="1"/>
  <c r="M19" i="7"/>
  <c r="L12" i="9"/>
  <c r="N12" i="9"/>
  <c r="F29" i="5"/>
  <c r="S29" i="5"/>
  <c r="S33" i="5"/>
  <c r="F33" i="5"/>
  <c r="S40" i="5"/>
  <c r="F40" i="5"/>
  <c r="H42" i="5"/>
  <c r="P14" i="6"/>
  <c r="Q14" i="6" s="1"/>
  <c r="N14" i="6"/>
  <c r="H37" i="6"/>
  <c r="F37" i="6"/>
  <c r="N48" i="8"/>
  <c r="J20" i="8" s="1"/>
  <c r="J17" i="8"/>
  <c r="J15" i="9"/>
  <c r="F28" i="6"/>
  <c r="H29" i="6"/>
  <c r="S29" i="6"/>
  <c r="F29" i="6"/>
  <c r="H38" i="7"/>
  <c r="F38" i="7"/>
  <c r="P10" i="8"/>
  <c r="Q10" i="8" s="1"/>
  <c r="F54" i="1"/>
  <c r="N54" i="5"/>
  <c r="J20" i="5" s="1"/>
  <c r="L9" i="6"/>
  <c r="P9" i="6" s="1"/>
  <c r="Q9" i="6" s="1"/>
  <c r="N12" i="6"/>
  <c r="H26" i="6"/>
  <c r="F26" i="6"/>
  <c r="H28" i="6"/>
  <c r="H35" i="6"/>
  <c r="F35" i="6"/>
  <c r="U41" i="6"/>
  <c r="U36" i="6"/>
  <c r="U34" i="6"/>
  <c r="U29" i="6"/>
  <c r="U27" i="6"/>
  <c r="K12" i="6"/>
  <c r="J8" i="3" s="1"/>
  <c r="U37" i="6"/>
  <c r="K11" i="8"/>
  <c r="I10" i="8"/>
  <c r="M18" i="8"/>
  <c r="P18" i="8"/>
  <c r="Q18" i="8" s="1"/>
  <c r="N17" i="7"/>
  <c r="H39" i="7"/>
  <c r="F39" i="7"/>
  <c r="M12" i="8"/>
  <c r="K12" i="8"/>
  <c r="J8" i="8"/>
  <c r="M19" i="9"/>
  <c r="P19" i="9"/>
  <c r="Q19" i="9" s="1"/>
  <c r="I23" i="10"/>
  <c r="B24" i="10"/>
  <c r="I25" i="11"/>
  <c r="B26" i="11"/>
  <c r="F34" i="5"/>
  <c r="S34" i="5"/>
  <c r="F39" i="5"/>
  <c r="S39" i="5"/>
  <c r="F41" i="5"/>
  <c r="S41" i="5"/>
  <c r="F43" i="5"/>
  <c r="S43" i="5"/>
  <c r="F45" i="5"/>
  <c r="S45" i="5"/>
  <c r="U26" i="6"/>
  <c r="U35" i="6"/>
  <c r="H31" i="7"/>
  <c r="F31" i="7"/>
  <c r="H37" i="7"/>
  <c r="F37" i="7"/>
  <c r="N11" i="8"/>
  <c r="J13" i="6"/>
  <c r="P18" i="6"/>
  <c r="Q18" i="6" s="1"/>
  <c r="U32" i="6"/>
  <c r="U39" i="6"/>
  <c r="H50" i="6"/>
  <c r="J10" i="6" s="1"/>
  <c r="U40" i="7"/>
  <c r="U38" i="7"/>
  <c r="U36" i="7"/>
  <c r="U31" i="7"/>
  <c r="U43" i="7"/>
  <c r="U41" i="7"/>
  <c r="U32" i="7"/>
  <c r="U27" i="7"/>
  <c r="U44" i="7"/>
  <c r="U35" i="7"/>
  <c r="U39" i="7"/>
  <c r="U37" i="7"/>
  <c r="U33" i="7"/>
  <c r="L14" i="7"/>
  <c r="L17" i="7"/>
  <c r="P17" i="7" s="1"/>
  <c r="Q17" i="7" s="1"/>
  <c r="F33" i="7"/>
  <c r="N10" i="8"/>
  <c r="L10" i="8"/>
  <c r="P11" i="9"/>
  <c r="Q11" i="9" s="1"/>
  <c r="M11" i="9"/>
  <c r="T49" i="7"/>
  <c r="S30" i="7"/>
  <c r="S42" i="7"/>
  <c r="K20" i="9"/>
  <c r="N20" i="9"/>
  <c r="I24" i="12"/>
  <c r="B25" i="12"/>
  <c r="AL31" i="13"/>
  <c r="D49" i="7"/>
  <c r="F49" i="7" s="1"/>
  <c r="J11" i="7" s="1"/>
  <c r="M14" i="8"/>
  <c r="K10" i="9"/>
  <c r="K14" i="9"/>
  <c r="K23" i="10"/>
  <c r="C17" i="11"/>
  <c r="C16" i="12"/>
  <c r="G17" i="11"/>
  <c r="D13" i="11" s="1"/>
  <c r="G4" i="11" s="1"/>
  <c r="G16" i="12"/>
  <c r="D12" i="12" s="1"/>
  <c r="G4" i="12" s="1"/>
  <c r="H48" i="9"/>
  <c r="J10" i="9" s="1"/>
  <c r="M11" i="8" l="1"/>
  <c r="U49" i="7"/>
  <c r="S49" i="7"/>
  <c r="U50" i="6"/>
  <c r="S54" i="5"/>
  <c r="V13" i="6"/>
  <c r="J15" i="3" s="1"/>
  <c r="U54" i="5"/>
  <c r="N7" i="3"/>
  <c r="K11" i="7"/>
  <c r="M7" i="3" s="1"/>
  <c r="J13" i="3"/>
  <c r="T19" i="6"/>
  <c r="L13" i="3" s="1"/>
  <c r="L13" i="6"/>
  <c r="P13" i="6" s="1"/>
  <c r="Q13" i="6" s="1"/>
  <c r="K9" i="3"/>
  <c r="M17" i="1"/>
  <c r="F12" i="3" s="1"/>
  <c r="N17" i="1"/>
  <c r="P17" i="1"/>
  <c r="Q17" i="1" s="1"/>
  <c r="K10" i="6"/>
  <c r="J6" i="3" s="1"/>
  <c r="F50" i="6"/>
  <c r="J11" i="6" s="1"/>
  <c r="J8" i="6"/>
  <c r="L17" i="6"/>
  <c r="P17" i="6" s="1"/>
  <c r="Q17" i="6" s="1"/>
  <c r="K12" i="3"/>
  <c r="N12" i="5"/>
  <c r="N17" i="8"/>
  <c r="L17" i="8"/>
  <c r="P17" i="8" s="1"/>
  <c r="Q17" i="8" s="1"/>
  <c r="N9" i="3"/>
  <c r="N10" i="9"/>
  <c r="L10" i="9"/>
  <c r="W13" i="7"/>
  <c r="O15" i="3" s="1"/>
  <c r="M15" i="3"/>
  <c r="K20" i="5"/>
  <c r="D55" i="5"/>
  <c r="F54" i="5"/>
  <c r="J11" i="5" s="1"/>
  <c r="J8" i="5"/>
  <c r="D15" i="3"/>
  <c r="W13" i="1"/>
  <c r="F15" i="3" s="1"/>
  <c r="K17" i="6"/>
  <c r="J12" i="3" s="1"/>
  <c r="M17" i="6"/>
  <c r="L12" i="3" s="1"/>
  <c r="K17" i="8"/>
  <c r="M17" i="8"/>
  <c r="D57" i="1"/>
  <c r="J8" i="1"/>
  <c r="H8" i="10" s="1"/>
  <c r="F56" i="1"/>
  <c r="J11" i="1" s="1"/>
  <c r="K17" i="9"/>
  <c r="M17" i="9"/>
  <c r="S56" i="1"/>
  <c r="P14" i="7"/>
  <c r="Q14" i="7" s="1"/>
  <c r="N14" i="7"/>
  <c r="L10" i="6"/>
  <c r="P10" i="6" s="1"/>
  <c r="Q10" i="6" s="1"/>
  <c r="K6" i="3"/>
  <c r="H56" i="1"/>
  <c r="J10" i="1" s="1"/>
  <c r="H49" i="7"/>
  <c r="J10" i="7" s="1"/>
  <c r="M14" i="5"/>
  <c r="I8" i="9"/>
  <c r="I8" i="8"/>
  <c r="I8" i="7"/>
  <c r="P40" i="1"/>
  <c r="O40" i="1" s="1"/>
  <c r="P38" i="1"/>
  <c r="O38" i="1" s="1"/>
  <c r="P50" i="1"/>
  <c r="O50" i="1" s="1"/>
  <c r="P48" i="1"/>
  <c r="O48" i="1" s="1"/>
  <c r="P41" i="1"/>
  <c r="O41" i="1" s="1"/>
  <c r="I9" i="1"/>
  <c r="P35" i="1"/>
  <c r="O35" i="1" s="1"/>
  <c r="P33" i="1"/>
  <c r="O33" i="1" s="1"/>
  <c r="P31" i="1"/>
  <c r="O31" i="1" s="1"/>
  <c r="P29" i="1"/>
  <c r="O29" i="1" s="1"/>
  <c r="P43" i="1"/>
  <c r="O43" i="1" s="1"/>
  <c r="P51" i="1"/>
  <c r="O51" i="1" s="1"/>
  <c r="I15" i="1"/>
  <c r="P54" i="1"/>
  <c r="O54" i="1" s="1"/>
  <c r="P55" i="1"/>
  <c r="O55" i="1" s="1"/>
  <c r="I8" i="6"/>
  <c r="I8" i="5"/>
  <c r="P52" i="1"/>
  <c r="O52" i="1" s="1"/>
  <c r="P46" i="1"/>
  <c r="O46" i="1" s="1"/>
  <c r="P27" i="1"/>
  <c r="O27" i="1" s="1"/>
  <c r="P25" i="1"/>
  <c r="P36" i="1"/>
  <c r="O36" i="1" s="1"/>
  <c r="P34" i="1"/>
  <c r="O34" i="1" s="1"/>
  <c r="P47" i="1"/>
  <c r="O47" i="1" s="1"/>
  <c r="P45" i="1"/>
  <c r="O45" i="1" s="1"/>
  <c r="P30" i="1"/>
  <c r="O30" i="1" s="1"/>
  <c r="P53" i="1"/>
  <c r="O53" i="1" s="1"/>
  <c r="P32" i="1"/>
  <c r="O32" i="1" s="1"/>
  <c r="P28" i="1"/>
  <c r="O28" i="1" s="1"/>
  <c r="P44" i="1"/>
  <c r="O44" i="1" s="1"/>
  <c r="P42" i="1"/>
  <c r="O42" i="1" s="1"/>
  <c r="P37" i="1"/>
  <c r="O37" i="1" s="1"/>
  <c r="P26" i="1"/>
  <c r="O26" i="1" s="1"/>
  <c r="C4" i="1"/>
  <c r="D5" i="1" s="1"/>
  <c r="P49" i="1"/>
  <c r="O49" i="1" s="1"/>
  <c r="P39" i="1"/>
  <c r="O39" i="1" s="1"/>
  <c r="K8" i="1"/>
  <c r="N20" i="8"/>
  <c r="K20" i="8"/>
  <c r="M14" i="7"/>
  <c r="S19" i="7"/>
  <c r="S19" i="5"/>
  <c r="H13" i="3"/>
  <c r="K20" i="7"/>
  <c r="N14" i="5"/>
  <c r="M17" i="7"/>
  <c r="O12" i="3" s="1"/>
  <c r="K17" i="7"/>
  <c r="M12" i="3" s="1"/>
  <c r="L15" i="9"/>
  <c r="P15" i="9" s="1"/>
  <c r="Q15" i="9" s="1"/>
  <c r="L12" i="7"/>
  <c r="N12" i="7" s="1"/>
  <c r="B5" i="2"/>
  <c r="K12" i="7"/>
  <c r="M8" i="3" s="1"/>
  <c r="N8" i="3"/>
  <c r="T13" i="6"/>
  <c r="L14" i="3" s="1"/>
  <c r="J14" i="3"/>
  <c r="J15" i="8"/>
  <c r="N8" i="8"/>
  <c r="J8" i="7"/>
  <c r="K10" i="8"/>
  <c r="M10" i="8"/>
  <c r="M17" i="5"/>
  <c r="I12" i="3" s="1"/>
  <c r="K17" i="5"/>
  <c r="G12" i="3" s="1"/>
  <c r="M12" i="5"/>
  <c r="I8" i="3" s="1"/>
  <c r="G15" i="3"/>
  <c r="W13" i="5"/>
  <c r="I15" i="3" s="1"/>
  <c r="N17" i="5"/>
  <c r="P12" i="1"/>
  <c r="Q12" i="1" s="1"/>
  <c r="M12" i="1"/>
  <c r="F8" i="3" s="1"/>
  <c r="D14" i="3"/>
  <c r="T13" i="1"/>
  <c r="F14" i="3" s="1"/>
  <c r="H54" i="5"/>
  <c r="J10" i="5" s="1"/>
  <c r="P12" i="9"/>
  <c r="Q12" i="9" s="1"/>
  <c r="M12" i="9"/>
  <c r="G14" i="3"/>
  <c r="T13" i="5"/>
  <c r="I14" i="3" s="1"/>
  <c r="S50" i="6"/>
  <c r="U12" i="7"/>
  <c r="S13" i="7"/>
  <c r="K20" i="6"/>
  <c r="W13" i="6" l="1"/>
  <c r="L15" i="3" s="1"/>
  <c r="P45" i="6"/>
  <c r="O45" i="6" s="1"/>
  <c r="P40" i="6"/>
  <c r="O40" i="6" s="1"/>
  <c r="P33" i="6"/>
  <c r="O33" i="6" s="1"/>
  <c r="P26" i="6"/>
  <c r="O26" i="6" s="1"/>
  <c r="P46" i="6"/>
  <c r="O46" i="6" s="1"/>
  <c r="P41" i="6"/>
  <c r="O41" i="6" s="1"/>
  <c r="P36" i="6"/>
  <c r="O36" i="6" s="1"/>
  <c r="P34" i="6"/>
  <c r="O34" i="6" s="1"/>
  <c r="P31" i="6"/>
  <c r="O31" i="6" s="1"/>
  <c r="P28" i="6"/>
  <c r="O28" i="6" s="1"/>
  <c r="P37" i="6"/>
  <c r="O37" i="6" s="1"/>
  <c r="P25" i="6"/>
  <c r="P49" i="6"/>
  <c r="O49" i="6" s="1"/>
  <c r="P30" i="6"/>
  <c r="O30" i="6" s="1"/>
  <c r="K8" i="6"/>
  <c r="P43" i="6"/>
  <c r="P39" i="6"/>
  <c r="O39" i="6" s="1"/>
  <c r="P35" i="6"/>
  <c r="O35" i="6" s="1"/>
  <c r="P32" i="6"/>
  <c r="O32" i="6" s="1"/>
  <c r="P29" i="6"/>
  <c r="O29" i="6" s="1"/>
  <c r="I9" i="6"/>
  <c r="P42" i="6"/>
  <c r="O42" i="6" s="1"/>
  <c r="P38" i="6"/>
  <c r="O38" i="6" s="1"/>
  <c r="P27" i="6"/>
  <c r="O27" i="6" s="1"/>
  <c r="P48" i="6"/>
  <c r="O48" i="6" s="1"/>
  <c r="P47" i="6"/>
  <c r="O47" i="6" s="1"/>
  <c r="P44" i="6"/>
  <c r="O44" i="6" s="1"/>
  <c r="C4" i="6"/>
  <c r="E4" i="6" s="1"/>
  <c r="P35" i="7"/>
  <c r="O35" i="7" s="1"/>
  <c r="P48" i="7"/>
  <c r="O48" i="7" s="1"/>
  <c r="P40" i="7"/>
  <c r="O40" i="7" s="1"/>
  <c r="P38" i="7"/>
  <c r="O38" i="7" s="1"/>
  <c r="P36" i="7"/>
  <c r="O36" i="7" s="1"/>
  <c r="P31" i="7"/>
  <c r="O31" i="7" s="1"/>
  <c r="P29" i="7"/>
  <c r="O29" i="7" s="1"/>
  <c r="P30" i="7"/>
  <c r="O30" i="7" s="1"/>
  <c r="P25" i="7"/>
  <c r="P46" i="7"/>
  <c r="P41" i="7"/>
  <c r="O41" i="7" s="1"/>
  <c r="P37" i="7"/>
  <c r="O37" i="7" s="1"/>
  <c r="P33" i="7"/>
  <c r="O33" i="7" s="1"/>
  <c r="P39" i="7"/>
  <c r="O39" i="7" s="1"/>
  <c r="P27" i="7"/>
  <c r="O27" i="7" s="1"/>
  <c r="K8" i="7"/>
  <c r="P26" i="7"/>
  <c r="O26" i="7" s="1"/>
  <c r="C4" i="7"/>
  <c r="E4" i="7" s="1"/>
  <c r="P47" i="7"/>
  <c r="O47" i="7" s="1"/>
  <c r="P32" i="7"/>
  <c r="O32" i="7" s="1"/>
  <c r="P43" i="7"/>
  <c r="O43" i="7" s="1"/>
  <c r="P44" i="7"/>
  <c r="O44" i="7" s="1"/>
  <c r="P42" i="7"/>
  <c r="O42" i="7" s="1"/>
  <c r="P34" i="7"/>
  <c r="O34" i="7" s="1"/>
  <c r="P45" i="7"/>
  <c r="O45" i="7" s="1"/>
  <c r="P28" i="7"/>
  <c r="O28" i="7" s="1"/>
  <c r="I9" i="7"/>
  <c r="L11" i="6"/>
  <c r="N11" i="6" s="1"/>
  <c r="K7" i="3"/>
  <c r="K11" i="6"/>
  <c r="J7" i="3" s="1"/>
  <c r="F25" i="11"/>
  <c r="G25" i="11" s="1"/>
  <c r="D20" i="11" s="1"/>
  <c r="H4" i="11" s="1"/>
  <c r="J15" i="7"/>
  <c r="N4" i="3"/>
  <c r="N10" i="5"/>
  <c r="H6" i="3"/>
  <c r="L10" i="5"/>
  <c r="K15" i="10"/>
  <c r="K16" i="12"/>
  <c r="K17" i="11"/>
  <c r="L20" i="1"/>
  <c r="D4" i="3"/>
  <c r="P45" i="8"/>
  <c r="O45" i="8" s="1"/>
  <c r="P37" i="8"/>
  <c r="O37" i="8" s="1"/>
  <c r="P29" i="8"/>
  <c r="O29" i="8" s="1"/>
  <c r="C4" i="8"/>
  <c r="P47" i="8"/>
  <c r="O47" i="8" s="1"/>
  <c r="P39" i="8"/>
  <c r="O39" i="8" s="1"/>
  <c r="P31" i="8"/>
  <c r="O31" i="8" s="1"/>
  <c r="M8" i="8"/>
  <c r="P44" i="8"/>
  <c r="O44" i="8" s="1"/>
  <c r="P36" i="8"/>
  <c r="O36" i="8" s="1"/>
  <c r="P28" i="8"/>
  <c r="O28" i="8" s="1"/>
  <c r="P46" i="8"/>
  <c r="O46" i="8" s="1"/>
  <c r="P38" i="8"/>
  <c r="O38" i="8" s="1"/>
  <c r="P30" i="8"/>
  <c r="O30" i="8" s="1"/>
  <c r="E4" i="8"/>
  <c r="P42" i="8"/>
  <c r="O42" i="8" s="1"/>
  <c r="P41" i="8"/>
  <c r="O41" i="8" s="1"/>
  <c r="P34" i="8"/>
  <c r="O34" i="8" s="1"/>
  <c r="P33" i="8"/>
  <c r="O33" i="8" s="1"/>
  <c r="P26" i="8"/>
  <c r="O26" i="8" s="1"/>
  <c r="P40" i="8"/>
  <c r="O40" i="8" s="1"/>
  <c r="P32" i="8"/>
  <c r="O32" i="8" s="1"/>
  <c r="K8" i="8"/>
  <c r="L20" i="8" s="1"/>
  <c r="P35" i="8"/>
  <c r="O35" i="8" s="1"/>
  <c r="P27" i="8"/>
  <c r="O27" i="8" s="1"/>
  <c r="I9" i="8"/>
  <c r="P43" i="8"/>
  <c r="O43" i="8" s="1"/>
  <c r="P25" i="8"/>
  <c r="T13" i="7"/>
  <c r="O14" i="3" s="1"/>
  <c r="M14" i="3"/>
  <c r="P56" i="1"/>
  <c r="O56" i="1" s="1"/>
  <c r="L8" i="1"/>
  <c r="N8" i="1" s="1"/>
  <c r="O25" i="1"/>
  <c r="E4" i="1"/>
  <c r="Q42" i="1"/>
  <c r="R42" i="1" s="1"/>
  <c r="Q54" i="1"/>
  <c r="R54" i="1" s="1"/>
  <c r="Q52" i="1"/>
  <c r="R52" i="1" s="1"/>
  <c r="Q38" i="1"/>
  <c r="R38" i="1" s="1"/>
  <c r="Q35" i="1"/>
  <c r="R35" i="1" s="1"/>
  <c r="Q33" i="1"/>
  <c r="R33" i="1" s="1"/>
  <c r="Q31" i="1"/>
  <c r="R31" i="1" s="1"/>
  <c r="Q29" i="1"/>
  <c r="R29" i="1" s="1"/>
  <c r="Q51" i="1"/>
  <c r="R51" i="1" s="1"/>
  <c r="Q43" i="1"/>
  <c r="R43" i="1" s="1"/>
  <c r="Q55" i="1"/>
  <c r="R55" i="1" s="1"/>
  <c r="Q50" i="1"/>
  <c r="R50" i="1" s="1"/>
  <c r="Q45" i="1"/>
  <c r="R45" i="1" s="1"/>
  <c r="Q40" i="1"/>
  <c r="R40" i="1" s="1"/>
  <c r="Q37" i="1"/>
  <c r="R37" i="1" s="1"/>
  <c r="Q26" i="1"/>
  <c r="R26" i="1" s="1"/>
  <c r="Q48" i="1"/>
  <c r="R48" i="1" s="1"/>
  <c r="Q41" i="1"/>
  <c r="R41" i="1" s="1"/>
  <c r="Q34" i="1"/>
  <c r="R34" i="1" s="1"/>
  <c r="Q32" i="1"/>
  <c r="R32" i="1" s="1"/>
  <c r="Q53" i="1"/>
  <c r="R53" i="1" s="1"/>
  <c r="Q47" i="1"/>
  <c r="R47" i="1" s="1"/>
  <c r="Q30" i="1"/>
  <c r="R30" i="1" s="1"/>
  <c r="Q28" i="1"/>
  <c r="R28" i="1" s="1"/>
  <c r="Q49" i="1"/>
  <c r="R49" i="1" s="1"/>
  <c r="Q46" i="1"/>
  <c r="R46" i="1" s="1"/>
  <c r="Q27" i="1"/>
  <c r="R27" i="1" s="1"/>
  <c r="Q25" i="1"/>
  <c r="Q44" i="1"/>
  <c r="R44" i="1" s="1"/>
  <c r="Q39" i="1"/>
  <c r="R39" i="1" s="1"/>
  <c r="Q36" i="1"/>
  <c r="R36" i="1" s="1"/>
  <c r="K9" i="1"/>
  <c r="D5" i="3" s="1"/>
  <c r="P40" i="9"/>
  <c r="O40" i="9" s="1"/>
  <c r="P32" i="9"/>
  <c r="O32" i="9" s="1"/>
  <c r="P42" i="9"/>
  <c r="O42" i="9" s="1"/>
  <c r="P34" i="9"/>
  <c r="O34" i="9" s="1"/>
  <c r="P26" i="9"/>
  <c r="O26" i="9" s="1"/>
  <c r="P47" i="9"/>
  <c r="O47" i="9" s="1"/>
  <c r="P39" i="9"/>
  <c r="O39" i="9" s="1"/>
  <c r="P31" i="9"/>
  <c r="O31" i="9" s="1"/>
  <c r="K8" i="9"/>
  <c r="L20" i="9" s="1"/>
  <c r="P41" i="9"/>
  <c r="O41" i="9" s="1"/>
  <c r="P33" i="9"/>
  <c r="O33" i="9" s="1"/>
  <c r="P25" i="9"/>
  <c r="I9" i="9"/>
  <c r="P46" i="9"/>
  <c r="O46" i="9" s="1"/>
  <c r="P45" i="9"/>
  <c r="O45" i="9" s="1"/>
  <c r="P44" i="9"/>
  <c r="O44" i="9" s="1"/>
  <c r="P43" i="9"/>
  <c r="O43" i="9" s="1"/>
  <c r="M8" i="9"/>
  <c r="P37" i="9"/>
  <c r="O37" i="9" s="1"/>
  <c r="P36" i="9"/>
  <c r="O36" i="9" s="1"/>
  <c r="P29" i="9"/>
  <c r="O29" i="9" s="1"/>
  <c r="P28" i="9"/>
  <c r="O28" i="9" s="1"/>
  <c r="P35" i="9"/>
  <c r="O35" i="9" s="1"/>
  <c r="P27" i="9"/>
  <c r="O27" i="9" s="1"/>
  <c r="P30" i="9"/>
  <c r="O30" i="9" s="1"/>
  <c r="E4" i="9"/>
  <c r="P38" i="9"/>
  <c r="O38" i="9" s="1"/>
  <c r="C4" i="9"/>
  <c r="N8" i="9"/>
  <c r="N10" i="6"/>
  <c r="E7" i="3"/>
  <c r="K11" i="1"/>
  <c r="D7" i="3" s="1"/>
  <c r="P12" i="7"/>
  <c r="Q12" i="7" s="1"/>
  <c r="M12" i="7"/>
  <c r="O8" i="3" s="1"/>
  <c r="I15" i="9"/>
  <c r="I15" i="6"/>
  <c r="I15" i="7"/>
  <c r="I15" i="8"/>
  <c r="I15" i="5"/>
  <c r="M10" i="6"/>
  <c r="L6" i="3" s="1"/>
  <c r="T19" i="7"/>
  <c r="O13" i="3" s="1"/>
  <c r="M13" i="3"/>
  <c r="L15" i="8"/>
  <c r="P15" i="8" s="1"/>
  <c r="Q15" i="8" s="1"/>
  <c r="G13" i="3"/>
  <c r="T19" i="5"/>
  <c r="I13" i="3" s="1"/>
  <c r="N6" i="3"/>
  <c r="L10" i="7"/>
  <c r="N10" i="7" s="1"/>
  <c r="K10" i="7"/>
  <c r="M6" i="3" s="1"/>
  <c r="N23" i="10"/>
  <c r="I4" i="10" s="1"/>
  <c r="N24" i="12"/>
  <c r="L19" i="12" s="1"/>
  <c r="I4" i="12" s="1"/>
  <c r="K4" i="12" s="1"/>
  <c r="M4" i="12" s="1"/>
  <c r="N25" i="11"/>
  <c r="L20" i="11" s="1"/>
  <c r="I4" i="11" s="1"/>
  <c r="E4" i="3"/>
  <c r="J15" i="1"/>
  <c r="K15" i="1" s="1"/>
  <c r="D11" i="3" s="1"/>
  <c r="J16" i="1"/>
  <c r="F23" i="10"/>
  <c r="G23" i="10" s="1"/>
  <c r="H4" i="10" s="1"/>
  <c r="H4" i="3"/>
  <c r="J16" i="5"/>
  <c r="J15" i="5"/>
  <c r="D58" i="1"/>
  <c r="P10" i="9"/>
  <c r="Q10" i="9" s="1"/>
  <c r="M10" i="9"/>
  <c r="N17" i="6"/>
  <c r="E6" i="3"/>
  <c r="K10" i="1"/>
  <c r="D6" i="3" s="1"/>
  <c r="L10" i="1"/>
  <c r="N10" i="1" s="1"/>
  <c r="P44" i="5"/>
  <c r="O44" i="5" s="1"/>
  <c r="P42" i="5"/>
  <c r="O42" i="5" s="1"/>
  <c r="P40" i="5"/>
  <c r="O40" i="5" s="1"/>
  <c r="P38" i="5"/>
  <c r="O38" i="5" s="1"/>
  <c r="P33" i="5"/>
  <c r="O33" i="5" s="1"/>
  <c r="P50" i="5"/>
  <c r="O50" i="5" s="1"/>
  <c r="P48" i="5"/>
  <c r="O48" i="5" s="1"/>
  <c r="P46" i="5"/>
  <c r="O46" i="5" s="1"/>
  <c r="P35" i="5"/>
  <c r="O35" i="5" s="1"/>
  <c r="P52" i="5"/>
  <c r="O52" i="5" s="1"/>
  <c r="P49" i="5"/>
  <c r="O49" i="5" s="1"/>
  <c r="P47" i="5"/>
  <c r="O47" i="5" s="1"/>
  <c r="P53" i="5"/>
  <c r="O53" i="5" s="1"/>
  <c r="P43" i="5"/>
  <c r="O43" i="5" s="1"/>
  <c r="P32" i="5"/>
  <c r="O32" i="5" s="1"/>
  <c r="P28" i="5"/>
  <c r="O28" i="5" s="1"/>
  <c r="P45" i="5"/>
  <c r="O45" i="5" s="1"/>
  <c r="C4" i="5"/>
  <c r="E4" i="5" s="1"/>
  <c r="P51" i="5"/>
  <c r="O51" i="5" s="1"/>
  <c r="P31" i="5"/>
  <c r="O31" i="5" s="1"/>
  <c r="P30" i="5"/>
  <c r="O30" i="5" s="1"/>
  <c r="P25" i="5"/>
  <c r="P36" i="5"/>
  <c r="O36" i="5" s="1"/>
  <c r="P29" i="5"/>
  <c r="O29" i="5" s="1"/>
  <c r="P39" i="5"/>
  <c r="O39" i="5" s="1"/>
  <c r="I9" i="5"/>
  <c r="K8" i="5"/>
  <c r="P41" i="5"/>
  <c r="O41" i="5" s="1"/>
  <c r="P27" i="5"/>
  <c r="O27" i="5" s="1"/>
  <c r="P26" i="5"/>
  <c r="O26" i="5" s="1"/>
  <c r="P37" i="5"/>
  <c r="O37" i="5" s="1"/>
  <c r="P34" i="5"/>
  <c r="O34" i="5" s="1"/>
  <c r="K10" i="5"/>
  <c r="G6" i="3" s="1"/>
  <c r="H7" i="3"/>
  <c r="K11" i="5"/>
  <c r="G7" i="3" s="1"/>
  <c r="F24" i="12"/>
  <c r="D19" i="12" s="1"/>
  <c r="H4" i="12" s="1"/>
  <c r="J15" i="6"/>
  <c r="J16" i="6"/>
  <c r="K4" i="3"/>
  <c r="K4" i="11" l="1"/>
  <c r="M4" i="11" s="1"/>
  <c r="M15" i="8"/>
  <c r="K15" i="8"/>
  <c r="J16" i="8"/>
  <c r="P48" i="8"/>
  <c r="O48" i="8" s="1"/>
  <c r="O25" i="8"/>
  <c r="S25" i="8"/>
  <c r="S48" i="8" s="1"/>
  <c r="D49" i="8"/>
  <c r="J4" i="3"/>
  <c r="C4" i="2"/>
  <c r="L20" i="6"/>
  <c r="L20" i="5"/>
  <c r="G4" i="3"/>
  <c r="C3" i="2"/>
  <c r="N15" i="8"/>
  <c r="K15" i="7"/>
  <c r="M11" i="3" s="1"/>
  <c r="P10" i="5"/>
  <c r="Q10" i="5" s="1"/>
  <c r="M10" i="5"/>
  <c r="I6" i="3" s="1"/>
  <c r="L20" i="7"/>
  <c r="C5" i="2"/>
  <c r="M4" i="3"/>
  <c r="O25" i="7"/>
  <c r="L8" i="7"/>
  <c r="P49" i="7"/>
  <c r="O49" i="7" s="1"/>
  <c r="Q50" i="5"/>
  <c r="R50" i="5" s="1"/>
  <c r="Q48" i="5"/>
  <c r="R48" i="5" s="1"/>
  <c r="Q46" i="5"/>
  <c r="R46" i="5" s="1"/>
  <c r="Q35" i="5"/>
  <c r="R35" i="5" s="1"/>
  <c r="Q26" i="5"/>
  <c r="R26" i="5" s="1"/>
  <c r="Q52" i="5"/>
  <c r="R52" i="5" s="1"/>
  <c r="Q30" i="5"/>
  <c r="R30" i="5" s="1"/>
  <c r="Q37" i="5"/>
  <c r="R37" i="5" s="1"/>
  <c r="Q51" i="5"/>
  <c r="R51" i="5" s="1"/>
  <c r="Q36" i="5"/>
  <c r="R36" i="5" s="1"/>
  <c r="Q45" i="5"/>
  <c r="R45" i="5" s="1"/>
  <c r="Q44" i="5"/>
  <c r="R44" i="5" s="1"/>
  <c r="Q47" i="5"/>
  <c r="R47" i="5" s="1"/>
  <c r="Q31" i="5"/>
  <c r="R31" i="5" s="1"/>
  <c r="Q25" i="5"/>
  <c r="Q49" i="5"/>
  <c r="R49" i="5" s="1"/>
  <c r="Q27" i="5"/>
  <c r="R27" i="5" s="1"/>
  <c r="Q39" i="5"/>
  <c r="R39" i="5" s="1"/>
  <c r="Q38" i="5"/>
  <c r="R38" i="5" s="1"/>
  <c r="Q53" i="5"/>
  <c r="R53" i="5" s="1"/>
  <c r="Q41" i="5"/>
  <c r="R41" i="5" s="1"/>
  <c r="Q28" i="5"/>
  <c r="R28" i="5" s="1"/>
  <c r="Q40" i="5"/>
  <c r="R40" i="5" s="1"/>
  <c r="Q29" i="5"/>
  <c r="R29" i="5" s="1"/>
  <c r="Q42" i="5"/>
  <c r="R42" i="5" s="1"/>
  <c r="Q33" i="5"/>
  <c r="R33" i="5" s="1"/>
  <c r="Q32" i="5"/>
  <c r="R32" i="5" s="1"/>
  <c r="Q43" i="5"/>
  <c r="R43" i="5" s="1"/>
  <c r="Q34" i="5"/>
  <c r="R34" i="5" s="1"/>
  <c r="K9" i="5"/>
  <c r="G5" i="3" s="1"/>
  <c r="I13" i="5"/>
  <c r="K4" i="10"/>
  <c r="M4" i="10" s="1"/>
  <c r="K15" i="6"/>
  <c r="J11" i="3" s="1"/>
  <c r="Q45" i="9"/>
  <c r="R45" i="9" s="1"/>
  <c r="Q37" i="9"/>
  <c r="R37" i="9" s="1"/>
  <c r="Q29" i="9"/>
  <c r="R29" i="9" s="1"/>
  <c r="Q47" i="9"/>
  <c r="R47" i="9" s="1"/>
  <c r="Q39" i="9"/>
  <c r="R39" i="9" s="1"/>
  <c r="Q31" i="9"/>
  <c r="R31" i="9" s="1"/>
  <c r="Q44" i="9"/>
  <c r="R44" i="9" s="1"/>
  <c r="Q36" i="9"/>
  <c r="R36" i="9" s="1"/>
  <c r="Q28" i="9"/>
  <c r="R28" i="9" s="1"/>
  <c r="K9" i="9"/>
  <c r="Q46" i="9"/>
  <c r="R46" i="9" s="1"/>
  <c r="Q38" i="9"/>
  <c r="R38" i="9" s="1"/>
  <c r="Q30" i="9"/>
  <c r="R30" i="9" s="1"/>
  <c r="Q43" i="9"/>
  <c r="R43" i="9" s="1"/>
  <c r="Q42" i="9"/>
  <c r="R42" i="9" s="1"/>
  <c r="Q41" i="9"/>
  <c r="R41" i="9" s="1"/>
  <c r="Q40" i="9"/>
  <c r="R40" i="9" s="1"/>
  <c r="Q32" i="9"/>
  <c r="R32" i="9" s="1"/>
  <c r="Q35" i="9"/>
  <c r="R35" i="9" s="1"/>
  <c r="Q27" i="9"/>
  <c r="R27" i="9" s="1"/>
  <c r="Q34" i="9"/>
  <c r="R34" i="9" s="1"/>
  <c r="Q33" i="9"/>
  <c r="R33" i="9" s="1"/>
  <c r="Q26" i="9"/>
  <c r="R26" i="9" s="1"/>
  <c r="I13" i="9"/>
  <c r="Q25" i="9"/>
  <c r="M9" i="9"/>
  <c r="N9" i="9"/>
  <c r="Q42" i="8"/>
  <c r="R42" i="8" s="1"/>
  <c r="Q34" i="8"/>
  <c r="R34" i="8" s="1"/>
  <c r="Q26" i="8"/>
  <c r="R26" i="8" s="1"/>
  <c r="L13" i="8" s="1"/>
  <c r="P13" i="8" s="1"/>
  <c r="Q13" i="8" s="1"/>
  <c r="Q44" i="8"/>
  <c r="R44" i="8" s="1"/>
  <c r="Q36" i="8"/>
  <c r="R36" i="8" s="1"/>
  <c r="Q28" i="8"/>
  <c r="R28" i="8" s="1"/>
  <c r="M9" i="8"/>
  <c r="Q41" i="8"/>
  <c r="R41" i="8" s="1"/>
  <c r="Q33" i="8"/>
  <c r="R33" i="8" s="1"/>
  <c r="Q25" i="8"/>
  <c r="Q43" i="8"/>
  <c r="R43" i="8" s="1"/>
  <c r="Q35" i="8"/>
  <c r="R35" i="8" s="1"/>
  <c r="Q27" i="8"/>
  <c r="R27" i="8" s="1"/>
  <c r="Q45" i="8"/>
  <c r="R45" i="8" s="1"/>
  <c r="Q37" i="8"/>
  <c r="R37" i="8" s="1"/>
  <c r="Q29" i="8"/>
  <c r="R29" i="8" s="1"/>
  <c r="K9" i="8"/>
  <c r="Q40" i="8"/>
  <c r="R40" i="8" s="1"/>
  <c r="Q32" i="8"/>
  <c r="R32" i="8" s="1"/>
  <c r="Q47" i="8"/>
  <c r="R47" i="8" s="1"/>
  <c r="Q46" i="8"/>
  <c r="R46" i="8" s="1"/>
  <c r="Q39" i="8"/>
  <c r="R39" i="8" s="1"/>
  <c r="Q38" i="8"/>
  <c r="R38" i="8" s="1"/>
  <c r="Q31" i="8"/>
  <c r="R31" i="8" s="1"/>
  <c r="Q30" i="8"/>
  <c r="R30" i="8" s="1"/>
  <c r="N9" i="8"/>
  <c r="I13" i="8"/>
  <c r="Q42" i="6"/>
  <c r="R42" i="6" s="1"/>
  <c r="Q37" i="6"/>
  <c r="R37" i="6" s="1"/>
  <c r="Q35" i="6"/>
  <c r="R35" i="6" s="1"/>
  <c r="Q30" i="6"/>
  <c r="R30" i="6" s="1"/>
  <c r="Q28" i="6"/>
  <c r="R28" i="6" s="1"/>
  <c r="Q43" i="6"/>
  <c r="R43" i="6" s="1"/>
  <c r="Q38" i="6"/>
  <c r="R38" i="6" s="1"/>
  <c r="Q45" i="6"/>
  <c r="R45" i="6" s="1"/>
  <c r="Q41" i="6"/>
  <c r="R41" i="6" s="1"/>
  <c r="Q25" i="6"/>
  <c r="Q49" i="6"/>
  <c r="R49" i="6" s="1"/>
  <c r="M9" i="6"/>
  <c r="L5" i="3" s="1"/>
  <c r="Q48" i="6"/>
  <c r="R48" i="6" s="1"/>
  <c r="Q44" i="6"/>
  <c r="R44" i="6" s="1"/>
  <c r="Q40" i="6"/>
  <c r="R40" i="6" s="1"/>
  <c r="Q36" i="6"/>
  <c r="R36" i="6" s="1"/>
  <c r="Q33" i="6"/>
  <c r="R33" i="6" s="1"/>
  <c r="Q27" i="6"/>
  <c r="R27" i="6" s="1"/>
  <c r="Q26" i="6"/>
  <c r="R26" i="6" s="1"/>
  <c r="K9" i="6"/>
  <c r="J5" i="3" s="1"/>
  <c r="Q47" i="6"/>
  <c r="R47" i="6" s="1"/>
  <c r="Q39" i="6"/>
  <c r="R39" i="6" s="1"/>
  <c r="Q32" i="6"/>
  <c r="R32" i="6" s="1"/>
  <c r="Q46" i="6"/>
  <c r="R46" i="6" s="1"/>
  <c r="Q34" i="6"/>
  <c r="R34" i="6" s="1"/>
  <c r="Q29" i="6"/>
  <c r="R29" i="6" s="1"/>
  <c r="Q31" i="6"/>
  <c r="R31" i="6" s="1"/>
  <c r="N9" i="6"/>
  <c r="I13" i="6"/>
  <c r="P8" i="1"/>
  <c r="Q8" i="1" s="1"/>
  <c r="M8" i="1"/>
  <c r="F4" i="3" s="1"/>
  <c r="J16" i="7"/>
  <c r="E11" i="3"/>
  <c r="L15" i="1"/>
  <c r="N15" i="1" s="1"/>
  <c r="P20" i="8"/>
  <c r="Q20" i="8" s="1"/>
  <c r="M20" i="8"/>
  <c r="M20" i="1"/>
  <c r="P20" i="1"/>
  <c r="Q20" i="1" s="1"/>
  <c r="N20" i="1"/>
  <c r="P10" i="7"/>
  <c r="Q10" i="7" s="1"/>
  <c r="M10" i="7"/>
  <c r="O6" i="3" s="1"/>
  <c r="M15" i="9"/>
  <c r="K15" i="9"/>
  <c r="J16" i="9"/>
  <c r="N15" i="9"/>
  <c r="P48" i="9"/>
  <c r="O48" i="9" s="1"/>
  <c r="O25" i="9"/>
  <c r="D49" i="9"/>
  <c r="P11" i="6"/>
  <c r="Q11" i="6" s="1"/>
  <c r="M11" i="6"/>
  <c r="L7" i="3" s="1"/>
  <c r="P50" i="6"/>
  <c r="O50" i="6" s="1"/>
  <c r="O25" i="6"/>
  <c r="L8" i="6"/>
  <c r="K16" i="6"/>
  <c r="N16" i="6"/>
  <c r="L16" i="6"/>
  <c r="D16" i="3"/>
  <c r="L16" i="1"/>
  <c r="K16" i="1"/>
  <c r="N16" i="1"/>
  <c r="M10" i="1"/>
  <c r="F6" i="3" s="1"/>
  <c r="P10" i="1"/>
  <c r="Q10" i="1" s="1"/>
  <c r="L15" i="5"/>
  <c r="P15" i="5" s="1"/>
  <c r="Q15" i="5" s="1"/>
  <c r="H11" i="3"/>
  <c r="M15" i="5"/>
  <c r="I11" i="3" s="1"/>
  <c r="K15" i="5"/>
  <c r="G11" i="3" s="1"/>
  <c r="P20" i="9"/>
  <c r="Q20" i="9" s="1"/>
  <c r="M20" i="9"/>
  <c r="L15" i="7"/>
  <c r="P15" i="7" s="1"/>
  <c r="Q15" i="7" s="1"/>
  <c r="N15" i="7"/>
  <c r="N11" i="3"/>
  <c r="Q46" i="7"/>
  <c r="R46" i="7" s="1"/>
  <c r="Q39" i="7"/>
  <c r="R39" i="7" s="1"/>
  <c r="Q37" i="7"/>
  <c r="R37" i="7" s="1"/>
  <c r="Q45" i="7"/>
  <c r="R45" i="7" s="1"/>
  <c r="Q47" i="7"/>
  <c r="R47" i="7" s="1"/>
  <c r="Q42" i="7"/>
  <c r="R42" i="7" s="1"/>
  <c r="Q33" i="7"/>
  <c r="R33" i="7" s="1"/>
  <c r="Q41" i="7"/>
  <c r="R41" i="7" s="1"/>
  <c r="Q48" i="7"/>
  <c r="R48" i="7" s="1"/>
  <c r="K9" i="7"/>
  <c r="M5" i="3" s="1"/>
  <c r="Q25" i="7"/>
  <c r="Q44" i="7"/>
  <c r="R44" i="7" s="1"/>
  <c r="Q43" i="7"/>
  <c r="R43" i="7" s="1"/>
  <c r="Q40" i="7"/>
  <c r="R40" i="7" s="1"/>
  <c r="Q38" i="7"/>
  <c r="R38" i="7" s="1"/>
  <c r="Q35" i="7"/>
  <c r="R35" i="7" s="1"/>
  <c r="Q34" i="7"/>
  <c r="R34" i="7" s="1"/>
  <c r="Q30" i="7"/>
  <c r="R30" i="7" s="1"/>
  <c r="Q29" i="7"/>
  <c r="R29" i="7" s="1"/>
  <c r="Q28" i="7"/>
  <c r="R28" i="7" s="1"/>
  <c r="Q36" i="7"/>
  <c r="R36" i="7" s="1"/>
  <c r="Q26" i="7"/>
  <c r="R26" i="7" s="1"/>
  <c r="Q27" i="7"/>
  <c r="R27" i="7" s="1"/>
  <c r="Q32" i="7"/>
  <c r="R32" i="7" s="1"/>
  <c r="Q31" i="7"/>
  <c r="R31" i="7" s="1"/>
  <c r="I13" i="7"/>
  <c r="Q56" i="1"/>
  <c r="R25" i="1"/>
  <c r="L9" i="1"/>
  <c r="L15" i="6"/>
  <c r="P15" i="6" s="1"/>
  <c r="Q15" i="6" s="1"/>
  <c r="K11" i="3"/>
  <c r="N15" i="6"/>
  <c r="P54" i="5"/>
  <c r="O54" i="5" s="1"/>
  <c r="O25" i="5"/>
  <c r="L8" i="5"/>
  <c r="N16" i="5"/>
  <c r="L16" i="5"/>
  <c r="K16" i="5"/>
  <c r="O46" i="7"/>
  <c r="D50" i="7"/>
  <c r="O43" i="6"/>
  <c r="D51" i="6"/>
  <c r="P16" i="6" l="1"/>
  <c r="Q16" i="6" s="1"/>
  <c r="M16" i="6"/>
  <c r="L11" i="1"/>
  <c r="P9" i="1"/>
  <c r="Q9" i="1" s="1"/>
  <c r="N9" i="1"/>
  <c r="M9" i="1"/>
  <c r="F5" i="3" s="1"/>
  <c r="N16" i="7"/>
  <c r="L16" i="7"/>
  <c r="K16" i="7"/>
  <c r="K13" i="8"/>
  <c r="M13" i="8"/>
  <c r="N13" i="8"/>
  <c r="Q49" i="7"/>
  <c r="L9" i="7"/>
  <c r="R25" i="7"/>
  <c r="K13" i="5"/>
  <c r="G9" i="3" s="1"/>
  <c r="Q54" i="5"/>
  <c r="L9" i="5"/>
  <c r="R25" i="5"/>
  <c r="P8" i="7"/>
  <c r="Q8" i="7" s="1"/>
  <c r="N8" i="7"/>
  <c r="M16" i="3" s="1"/>
  <c r="M8" i="7"/>
  <c r="O4" i="3" s="1"/>
  <c r="M15" i="7"/>
  <c r="O11" i="3" s="1"/>
  <c r="P15" i="1"/>
  <c r="Q15" i="1" s="1"/>
  <c r="M15" i="1"/>
  <c r="F11" i="3" s="1"/>
  <c r="Q50" i="6"/>
  <c r="R25" i="6"/>
  <c r="R50" i="6" s="1"/>
  <c r="Q48" i="9"/>
  <c r="R25" i="9"/>
  <c r="R48" i="9" s="1"/>
  <c r="M13" i="9"/>
  <c r="K13" i="9"/>
  <c r="N13" i="9"/>
  <c r="P16" i="5"/>
  <c r="Q16" i="5" s="1"/>
  <c r="M16" i="5"/>
  <c r="N15" i="5"/>
  <c r="P8" i="5"/>
  <c r="Q8" i="5" s="1"/>
  <c r="M8" i="5"/>
  <c r="I4" i="3" s="1"/>
  <c r="N8" i="5"/>
  <c r="G16" i="3" s="1"/>
  <c r="R56" i="1"/>
  <c r="L13" i="1"/>
  <c r="T25" i="8"/>
  <c r="T48" i="8" s="1"/>
  <c r="Q48" i="8"/>
  <c r="R25" i="8"/>
  <c r="M15" i="6"/>
  <c r="L11" i="3" s="1"/>
  <c r="P20" i="7"/>
  <c r="Q20" i="7" s="1"/>
  <c r="M20" i="7"/>
  <c r="N20" i="7"/>
  <c r="P20" i="5"/>
  <c r="Q20" i="5" s="1"/>
  <c r="M20" i="5"/>
  <c r="N20" i="5"/>
  <c r="K16" i="8"/>
  <c r="N16" i="8"/>
  <c r="L16" i="8"/>
  <c r="M16" i="1"/>
  <c r="P16" i="1"/>
  <c r="Q16" i="1" s="1"/>
  <c r="P8" i="6"/>
  <c r="Q8" i="6" s="1"/>
  <c r="M8" i="6"/>
  <c r="L4" i="3" s="1"/>
  <c r="N8" i="6"/>
  <c r="J16" i="3" s="1"/>
  <c r="P20" i="6"/>
  <c r="Q20" i="6" s="1"/>
  <c r="M20" i="6"/>
  <c r="N20" i="6"/>
  <c r="K13" i="7"/>
  <c r="M9" i="3" s="1"/>
  <c r="K16" i="9"/>
  <c r="N16" i="9"/>
  <c r="L16" i="9"/>
  <c r="M13" i="6"/>
  <c r="L9" i="3" s="1"/>
  <c r="K13" i="6"/>
  <c r="J9" i="3" s="1"/>
  <c r="N13" i="6"/>
  <c r="M16" i="7" l="1"/>
  <c r="P16" i="7"/>
  <c r="Q16" i="7" s="1"/>
  <c r="R48" i="8"/>
  <c r="U25" i="8"/>
  <c r="U48" i="8" s="1"/>
  <c r="R54" i="5"/>
  <c r="L13" i="5"/>
  <c r="L11" i="5"/>
  <c r="P9" i="5"/>
  <c r="Q9" i="5" s="1"/>
  <c r="N9" i="5"/>
  <c r="M9" i="5"/>
  <c r="I5" i="3" s="1"/>
  <c r="P16" i="8"/>
  <c r="Q16" i="8" s="1"/>
  <c r="M16" i="8"/>
  <c r="L13" i="7"/>
  <c r="R49" i="7"/>
  <c r="L11" i="7"/>
  <c r="P9" i="7"/>
  <c r="Q9" i="7" s="1"/>
  <c r="M9" i="7"/>
  <c r="O5" i="3" s="1"/>
  <c r="N9" i="7"/>
  <c r="M11" i="1"/>
  <c r="F7" i="3" s="1"/>
  <c r="P11" i="1"/>
  <c r="Q11" i="1" s="1"/>
  <c r="N11" i="1"/>
  <c r="P16" i="9"/>
  <c r="Q16" i="9" s="1"/>
  <c r="M16" i="9"/>
  <c r="P13" i="1"/>
  <c r="Q13" i="1" s="1"/>
  <c r="M13" i="1"/>
  <c r="F9" i="3" s="1"/>
  <c r="N13" i="1"/>
  <c r="P11" i="5" l="1"/>
  <c r="Q11" i="5" s="1"/>
  <c r="M11" i="5"/>
  <c r="I7" i="3" s="1"/>
  <c r="N11" i="5"/>
  <c r="P11" i="7"/>
  <c r="Q11" i="7" s="1"/>
  <c r="M11" i="7"/>
  <c r="O7" i="3" s="1"/>
  <c r="N11" i="7"/>
  <c r="P13" i="5"/>
  <c r="Q13" i="5" s="1"/>
  <c r="M13" i="5"/>
  <c r="I9" i="3" s="1"/>
  <c r="N13" i="5"/>
  <c r="P13" i="7"/>
  <c r="Q13" i="7" s="1"/>
  <c r="M13" i="7"/>
  <c r="O9" i="3" s="1"/>
  <c r="N13" i="7"/>
  <c r="T25" i="9"/>
  <c r="T48" i="9"/>
  <c r="S25" i="9"/>
  <c r="S48" i="9"/>
  <c r="U48" i="9"/>
  <c r="U25" i="9"/>
</calcChain>
</file>

<file path=xl/sharedStrings.xml><?xml version="1.0" encoding="utf-8"?>
<sst xmlns="http://schemas.openxmlformats.org/spreadsheetml/2006/main" count="721" uniqueCount="139">
  <si>
    <t>(отчетная дата)</t>
  </si>
  <si>
    <t>Осталось до выполнения плана!!!</t>
  </si>
  <si>
    <t>Целевые показатели</t>
  </si>
  <si>
    <t>Показатель</t>
  </si>
  <si>
    <t>План</t>
  </si>
  <si>
    <t>Факт</t>
  </si>
  <si>
    <t>% выполнения</t>
  </si>
  <si>
    <t>Прогноз выполнения</t>
  </si>
  <si>
    <t>% выполнения по прогнозу</t>
  </si>
  <si>
    <t>Отклонение</t>
  </si>
  <si>
    <t>Факт аналогичного месяца прошлого года</t>
  </si>
  <si>
    <t>Отклонение LFL</t>
  </si>
  <si>
    <t>Выручка</t>
  </si>
  <si>
    <t>Кол-во изделий</t>
  </si>
  <si>
    <t>Средний чек</t>
  </si>
  <si>
    <t>Средняя стоимость изделия</t>
  </si>
  <si>
    <t>Длина чека</t>
  </si>
  <si>
    <t>Кол-во чеков</t>
  </si>
  <si>
    <t>Кол-во смен</t>
  </si>
  <si>
    <t>Средние продажи в смену</t>
  </si>
  <si>
    <t>Отставание/Перевыполнение</t>
  </si>
  <si>
    <t>Трафик</t>
  </si>
  <si>
    <t>Конверсия план/факт</t>
  </si>
  <si>
    <t>Факт продаж за месяц</t>
  </si>
  <si>
    <t>% выполнения дневного плана</t>
  </si>
  <si>
    <t>Раcпределение плана по дням</t>
  </si>
  <si>
    <t>Сотрудник</t>
  </si>
  <si>
    <t>Дата</t>
  </si>
  <si>
    <t>День недели</t>
  </si>
  <si>
    <t>Выручка (руб)</t>
  </si>
  <si>
    <t>Кол-во единиц (шт.)</t>
  </si>
  <si>
    <t>Средняя стоимость изделия (руб.)</t>
  </si>
  <si>
    <t>Количество чеков  (шт.)</t>
  </si>
  <si>
    <t>Средняя сумма чека (руб.)</t>
  </si>
  <si>
    <t>Длина чека (шт.)</t>
  </si>
  <si>
    <t>UNOde50</t>
  </si>
  <si>
    <t>IS</t>
  </si>
  <si>
    <t>Agafi</t>
  </si>
  <si>
    <t>Конверсия (%)</t>
  </si>
  <si>
    <t>выручка, план</t>
  </si>
  <si>
    <t>кол-во ед, план</t>
  </si>
  <si>
    <t>Кол-во чеков, план</t>
  </si>
  <si>
    <t>выручка, скорректир.план</t>
  </si>
  <si>
    <t>кол-во ед, скорр. план</t>
  </si>
  <si>
    <t>кол-во чеков, скорр. план</t>
  </si>
  <si>
    <t>Коэфф. Дня Недели</t>
  </si>
  <si>
    <t>Специфика месяца</t>
  </si>
  <si>
    <t>Уразгильдеева,Яковенко</t>
  </si>
  <si>
    <t>пт</t>
  </si>
  <si>
    <t>Рогалевич,Уразгильдеева</t>
  </si>
  <si>
    <t>сб</t>
  </si>
  <si>
    <t>Рогалевич,Яковенко</t>
  </si>
  <si>
    <t>вс</t>
  </si>
  <si>
    <t>пн</t>
  </si>
  <si>
    <t>Яковенко,Уразгильдеева</t>
  </si>
  <si>
    <t>вт</t>
  </si>
  <si>
    <t>ср</t>
  </si>
  <si>
    <t>чт</t>
  </si>
  <si>
    <t>Рогалевич,Яковенко,Уразгильдеева</t>
  </si>
  <si>
    <t>Рогалевич,Уразгильдеева,Яковенко</t>
  </si>
  <si>
    <t>Рогалевич, Уразгильдеева</t>
  </si>
  <si>
    <t>Яковенко ,Уразгильдеева</t>
  </si>
  <si>
    <t>итого</t>
  </si>
  <si>
    <t>КВП</t>
  </si>
  <si>
    <t>Итого</t>
  </si>
  <si>
    <t>1-20.08</t>
  </si>
  <si>
    <t xml:space="preserve">Факт </t>
  </si>
  <si>
    <t>Прогноз</t>
  </si>
  <si>
    <t>Кол-во смен план/отработано</t>
  </si>
  <si>
    <t>Отклонение от плана</t>
  </si>
  <si>
    <t>Конверсия</t>
  </si>
  <si>
    <t xml:space="preserve">                          ЕЖЕДНЕВНЫЙ ОТЧЕТ О ПРОДАЖАХ</t>
  </si>
  <si>
    <t>в</t>
  </si>
  <si>
    <t>Запасной</t>
  </si>
  <si>
    <t>Выплачено на карту</t>
  </si>
  <si>
    <t>Выплачено наличными по платежной ведомости</t>
  </si>
  <si>
    <t>Дополнительные начисления, доплаты</t>
  </si>
  <si>
    <t>Оклад</t>
  </si>
  <si>
    <t>Бонусная часть от личных продаж</t>
  </si>
  <si>
    <t>Бонусная часть от общих продаж</t>
  </si>
  <si>
    <t>Базовый бонус за выполнение плана</t>
  </si>
  <si>
    <t>Итого:</t>
  </si>
  <si>
    <t>Вычеты</t>
  </si>
  <si>
    <t>Итого к выдаче с учетом авансов и вычетов</t>
  </si>
  <si>
    <t>Подпись</t>
  </si>
  <si>
    <t>Доп начисления</t>
  </si>
  <si>
    <t>Сумма</t>
  </si>
  <si>
    <t>Описание</t>
  </si>
  <si>
    <t>НДФЛ август 2025</t>
  </si>
  <si>
    <t>Административный %</t>
  </si>
  <si>
    <t>Оклад:</t>
  </si>
  <si>
    <t>Дней</t>
  </si>
  <si>
    <t>Магазин</t>
  </si>
  <si>
    <t>Должность</t>
  </si>
  <si>
    <t>Зачислено часов</t>
  </si>
  <si>
    <t>Ставка за час, руб</t>
  </si>
  <si>
    <t>Начислено за день, руб</t>
  </si>
  <si>
    <t>Начисленный ББ</t>
  </si>
  <si>
    <t>ПК</t>
  </si>
  <si>
    <t>БонуснаяЧасть</t>
  </si>
  <si>
    <t>Бонус от личных продаж по категории товара</t>
  </si>
  <si>
    <t>Бонус от общих продаж</t>
  </si>
  <si>
    <t>Процент от продажи</t>
  </si>
  <si>
    <t>Продано на сумму, руб</t>
  </si>
  <si>
    <t>Начисленный бонус от продаж, руб</t>
  </si>
  <si>
    <t>Кол-во отработанных личных часов</t>
  </si>
  <si>
    <t>Кол-во отработанных общих часов</t>
  </si>
  <si>
    <t>Компенсация отпуска при увольнении</t>
  </si>
  <si>
    <t>Форма лето 2025</t>
  </si>
  <si>
    <t>Конкурс август 2025 (Длина чека)</t>
  </si>
  <si>
    <t>Вычет стажировочные часы (51 час)</t>
  </si>
  <si>
    <t>Вычет согласно инвентаризационной ведомости</t>
  </si>
  <si>
    <t>пб</t>
  </si>
  <si>
    <t>НДфЛ август 2025</t>
  </si>
  <si>
    <t>Август, 2025</t>
  </si>
  <si>
    <t>г. Ялта</t>
  </si>
  <si>
    <t>ул. Набережная Ленина, 18</t>
  </si>
  <si>
    <t>GL-0005</t>
  </si>
  <si>
    <t>10.00-23.00</t>
  </si>
  <si>
    <t>ФОТ</t>
  </si>
  <si>
    <t>Кол-во дней в месяц</t>
  </si>
  <si>
    <t>Часы</t>
  </si>
  <si>
    <t>Выходные</t>
  </si>
  <si>
    <t>Отпуск</t>
  </si>
  <si>
    <t>Больничный (официальный)</t>
  </si>
  <si>
    <t>Дни стажировки</t>
  </si>
  <si>
    <t>№</t>
  </si>
  <si>
    <t>ФИО</t>
  </si>
  <si>
    <t>Дни</t>
  </si>
  <si>
    <t>Яковенко Алина</t>
  </si>
  <si>
    <t>у</t>
  </si>
  <si>
    <t>Уразгильдеева Екатерина</t>
  </si>
  <si>
    <t>Рогалевич Ирина</t>
  </si>
  <si>
    <t>УМ</t>
  </si>
  <si>
    <t>Итого магазин</t>
  </si>
  <si>
    <t>График рандомный для приблизительного прогноза по продажам.</t>
  </si>
  <si>
    <t xml:space="preserve">    </t>
  </si>
  <si>
    <t xml:space="preserve">Вычет согласно инвентаризационной ведомости </t>
  </si>
  <si>
    <t>Конкурс август 2025 (Акционные позиции)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</si>
</sst>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₽&quot;;\-#,##0\ &quot;₽&quot;"/>
    <numFmt numFmtId="164" formatCode="dddd&quot;, &quot;mmmm\ dd&quot;, &quot;yyyy"/>
    <numFmt numFmtId="165" formatCode="0.0%"/>
    <numFmt numFmtId="166" formatCode="#,##0\ &quot;₽&quot;"/>
    <numFmt numFmtId="167" formatCode="#,##0.0"/>
    <numFmt numFmtId="168" formatCode="_-* #,##0.00_р_._-;\-* #,##0.00_р_._-;_-* \-??_р_._-;_-@_-"/>
    <numFmt numFmtId="169" formatCode="#,##0.00\ &quot;₽&quot;"/>
    <numFmt numFmtId="170" formatCode="#,##0\ _₽"/>
    <numFmt numFmtId="171" formatCode="#,##0.00\ _₽"/>
    <numFmt numFmtId="172" formatCode="0.0"/>
    <numFmt numFmtId="173" formatCode="mmmm\ yyyy;@"/>
  </numFmts>
  <fonts count="57">
    <font>
      <sz val="11"/>
      <color indexed="63"/>
      <name val="Calibri"/>
    </font>
    <font>
      <sz val="9"/>
      <color indexed="63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linica Pro Regular"/>
    </font>
    <font>
      <sz val="11"/>
      <color rgb="FFCC66FF"/>
      <name val="Times New Roman"/>
      <family val="1"/>
    </font>
    <font>
      <b/>
      <sz val="8"/>
      <color rgb="FFCC66FF"/>
      <name val="Times New Roman"/>
      <family val="1"/>
    </font>
    <font>
      <sz val="8"/>
      <name val="Times New Roman"/>
      <family val="1"/>
    </font>
    <font>
      <sz val="28"/>
      <color rgb="FFCC66FF"/>
      <name val="Times New Roman"/>
      <family val="1"/>
    </font>
    <font>
      <sz val="8"/>
      <color rgb="FFCC66FF"/>
      <name val="Times New Roman"/>
      <family val="1"/>
    </font>
    <font>
      <b/>
      <sz val="11"/>
      <color rgb="FFCC66FF"/>
      <name val="Times New Roman"/>
      <family val="1"/>
    </font>
    <font>
      <b/>
      <sz val="11"/>
      <color rgb="FFCC66FF"/>
      <name val="Clinica Pro Regular"/>
    </font>
    <font>
      <sz val="11"/>
      <color rgb="FFCC66FF"/>
      <name val="Clinica Pro Regular"/>
    </font>
    <font>
      <b/>
      <sz val="12"/>
      <color rgb="FFCC66FF"/>
      <name val="Clinica Pro Regular"/>
    </font>
    <font>
      <b/>
      <sz val="8"/>
      <name val="Times New Roman"/>
      <family val="1"/>
    </font>
    <font>
      <sz val="11"/>
      <color rgb="FFFFC000"/>
      <name val="Times New Roman"/>
      <family val="1"/>
    </font>
    <font>
      <b/>
      <sz val="12"/>
      <name val="Clinica Pro Regular"/>
    </font>
    <font>
      <sz val="8"/>
      <name val="Clinica Pro Regular"/>
    </font>
    <font>
      <b/>
      <sz val="8"/>
      <name val="Clinica Pro Regular"/>
    </font>
    <font>
      <b/>
      <sz val="8"/>
      <color indexed="17"/>
      <name val="Clinica Pro Regular"/>
    </font>
    <font>
      <b/>
      <sz val="9"/>
      <name val="Clinica Pro Regular"/>
    </font>
    <font>
      <sz val="9"/>
      <name val="Clinica Pro Regular"/>
    </font>
    <font>
      <b/>
      <sz val="10"/>
      <name val="Clinica Pro Regular"/>
    </font>
    <font>
      <b/>
      <sz val="9"/>
      <color theme="1"/>
      <name val="Clinica Pro Regular"/>
    </font>
    <font>
      <b/>
      <sz val="8"/>
      <color theme="1"/>
      <name val="Clinica Pro Regular"/>
    </font>
    <font>
      <b/>
      <sz val="9"/>
      <color indexed="17"/>
      <name val="Clinica Pro Regular"/>
    </font>
    <font>
      <b/>
      <sz val="8"/>
      <color indexed="63"/>
      <name val="Clinica Pro Regular"/>
    </font>
    <font>
      <b/>
      <sz val="8"/>
      <color rgb="FF3B3838"/>
      <name val="Clinica Pro Regular"/>
    </font>
    <font>
      <sz val="9"/>
      <color indexed="63"/>
      <name val="Clinica Pro Regular"/>
    </font>
    <font>
      <b/>
      <sz val="8"/>
      <color rgb="FF1F4E79"/>
      <name val="Clinica Pro Regular"/>
    </font>
    <font>
      <sz val="11"/>
      <name val="Calibri"/>
      <family val="2"/>
    </font>
    <font>
      <sz val="8"/>
      <color theme="1"/>
      <name val="Clinica Pro Regular"/>
    </font>
    <font>
      <sz val="8"/>
      <color indexed="63"/>
      <name val="Clinica Pro Regular"/>
    </font>
    <font>
      <sz val="9"/>
      <color theme="1"/>
      <name val="Clinica Pro Regular"/>
    </font>
    <font>
      <sz val="10"/>
      <name val="Clinica Pro Regular"/>
    </font>
    <font>
      <sz val="10"/>
      <color indexed="63"/>
      <name val="Clinica Pro Regular"/>
    </font>
    <font>
      <b/>
      <sz val="8"/>
      <color rgb="FFCC66FF"/>
      <name val="Clinica Pro Regular"/>
    </font>
    <font>
      <sz val="28"/>
      <color rgb="FFCC66FF"/>
      <name val="Clinica Pro Regular"/>
    </font>
    <font>
      <sz val="8"/>
      <color rgb="FFCC66FF"/>
      <name val="Clinica Pro Regular"/>
    </font>
    <font>
      <sz val="11"/>
      <color rgb="FFFFC000"/>
      <name val="Clinica Pro Regular"/>
    </font>
    <font>
      <sz val="8"/>
      <color rgb="FF413003"/>
      <name val="Clinica Pro Regular"/>
    </font>
    <font>
      <b/>
      <sz val="8"/>
      <color rgb="FF413003"/>
      <name val="Clinica Pro Regular"/>
    </font>
    <font>
      <b/>
      <sz val="11"/>
      <color indexed="56"/>
      <name val="Arial"/>
      <family val="2"/>
    </font>
    <font>
      <b/>
      <sz val="11"/>
      <color indexed="56"/>
      <name val="Clinica Pro Regular"/>
    </font>
    <font>
      <sz val="12"/>
      <name val="Clinica Pro Regular"/>
    </font>
    <font>
      <b/>
      <sz val="14"/>
      <color indexed="56"/>
      <name val="Clinica Pro Regular"/>
    </font>
    <font>
      <b/>
      <sz val="12"/>
      <color indexed="18"/>
      <name val="Clinica Pro Regular"/>
    </font>
    <font>
      <sz val="10"/>
      <color indexed="56"/>
      <name val="Clinica Pro Regular"/>
    </font>
    <font>
      <b/>
      <sz val="10"/>
      <color indexed="18"/>
      <name val="Clinica Pro Regular"/>
    </font>
    <font>
      <b/>
      <sz val="10"/>
      <color indexed="16"/>
      <name val="Clinica Pro Regular"/>
    </font>
    <font>
      <sz val="11"/>
      <name val="Clinica Pro Regular"/>
    </font>
    <font>
      <sz val="10"/>
      <color theme="0"/>
      <name val="Clinica Pro Regular"/>
    </font>
    <font>
      <b/>
      <sz val="11"/>
      <name val="Clinica Pro Regular"/>
    </font>
    <font>
      <sz val="12"/>
      <color indexed="2"/>
      <name val="Clinica Pro Regular"/>
    </font>
    <font>
      <sz val="12"/>
      <color theme="1"/>
      <name val="Clinica Pro Regular"/>
    </font>
    <font>
      <sz val="11"/>
      <color indexed="63"/>
      <name val="Calibri"/>
      <family val="2"/>
    </font>
    <font>
      <b/>
      <sz val="8"/>
      <name val="Clinica Pro Regular"/>
      <charset val="204"/>
    </font>
    <font>
      <sz val="8"/>
      <name val="Clinica Pro Regula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CFF00"/>
        <bgColor rgb="FFCCFF00"/>
      </patternFill>
    </fill>
    <fill>
      <patternFill patternType="solid">
        <fgColor indexed="65"/>
      </patternFill>
    </fill>
    <fill>
      <patternFill patternType="solid">
        <fgColor rgb="FF66FFFF"/>
        <bgColor rgb="FF4ACCD3"/>
      </patternFill>
    </fill>
    <fill>
      <patternFill patternType="solid">
        <fgColor indexed="6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theme="0"/>
        <bgColor rgb="FF66FFFF"/>
      </patternFill>
    </fill>
    <fill>
      <patternFill patternType="solid">
        <fgColor indexed="5"/>
        <bgColor indexed="5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2"/>
        <bgColor theme="2"/>
      </patternFill>
    </fill>
    <fill>
      <patternFill patternType="solid">
        <fgColor indexed="2"/>
        <bgColor indexed="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5B9BD5"/>
      </patternFill>
    </fill>
    <fill>
      <patternFill patternType="solid">
        <fgColor rgb="FFCCFF00"/>
        <bgColor indexed="5"/>
      </patternFill>
    </fill>
    <fill>
      <patternFill patternType="solid">
        <fgColor theme="2"/>
        <bgColor rgb="FF4ACCD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rgb="FF3B3838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rgb="FF00B050"/>
        <bgColor rgb="FF00B050"/>
      </patternFill>
    </fill>
  </fills>
  <borders count="1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medium">
        <color auto="1"/>
      </left>
      <right/>
      <top style="medium">
        <color auto="1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16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/>
    </border>
    <border>
      <left/>
      <right/>
      <top style="medium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 style="medium">
        <color indexed="16"/>
      </top>
      <bottom/>
      <diagonal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medium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 style="medium">
        <color auto="1"/>
      </left>
      <right style="medium">
        <color auto="1"/>
      </right>
      <top style="thin">
        <color indexed="16"/>
      </top>
      <bottom style="medium">
        <color auto="1"/>
      </bottom>
      <diagonal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4" fillId="0" borderId="0" applyFont="0" applyFill="0" applyBorder="0" applyProtection="0"/>
  </cellStyleXfs>
  <cellXfs count="7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3" fillId="2" borderId="0" xfId="0" applyFont="1" applyFill="1"/>
    <xf numFmtId="164" fontId="13" fillId="2" borderId="0" xfId="0" applyNumberFormat="1" applyFont="1" applyFill="1" applyAlignment="1">
      <alignment horizontal="center" vertical="center"/>
    </xf>
    <xf numFmtId="9" fontId="11" fillId="2" borderId="5" xfId="0" applyNumberFormat="1" applyFont="1" applyFill="1" applyBorder="1"/>
    <xf numFmtId="1" fontId="2" fillId="2" borderId="0" xfId="0" applyNumberFormat="1" applyFont="1" applyFill="1"/>
    <xf numFmtId="0" fontId="14" fillId="2" borderId="0" xfId="0" applyFont="1" applyFill="1"/>
    <xf numFmtId="0" fontId="15" fillId="2" borderId="9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3" fontId="14" fillId="2" borderId="0" xfId="0" applyNumberFormat="1" applyFont="1" applyFill="1"/>
    <xf numFmtId="3" fontId="20" fillId="3" borderId="18" xfId="0" applyNumberFormat="1" applyFont="1" applyFill="1" applyBorder="1" applyAlignment="1">
      <alignment horizontal="center" vertical="center"/>
    </xf>
    <xf numFmtId="3" fontId="20" fillId="4" borderId="19" xfId="0" applyNumberFormat="1" applyFont="1" applyFill="1" applyBorder="1" applyAlignment="1">
      <alignment horizontal="center" vertical="center"/>
    </xf>
    <xf numFmtId="10" fontId="21" fillId="4" borderId="19" xfId="0" applyNumberFormat="1" applyFont="1" applyFill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165" fontId="23" fillId="0" borderId="20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/>
    </xf>
    <xf numFmtId="3" fontId="16" fillId="3" borderId="21" xfId="0" applyNumberFormat="1" applyFont="1" applyFill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5" borderId="0" xfId="1" applyNumberFormat="1" applyFont="1" applyFill="1" applyAlignment="1" applyProtection="1">
      <alignment vertical="center"/>
    </xf>
    <xf numFmtId="3" fontId="20" fillId="4" borderId="23" xfId="0" applyNumberFormat="1" applyFont="1" applyFill="1" applyBorder="1" applyAlignment="1">
      <alignment horizontal="center" vertical="center"/>
    </xf>
    <xf numFmtId="3" fontId="16" fillId="4" borderId="24" xfId="0" applyNumberFormat="1" applyFont="1" applyFill="1" applyBorder="1" applyAlignment="1">
      <alignment horizontal="center" vertical="center"/>
    </xf>
    <xf numFmtId="10" fontId="16" fillId="4" borderId="24" xfId="0" applyNumberFormat="1" applyFont="1" applyFill="1" applyBorder="1" applyAlignment="1">
      <alignment horizontal="center" vertical="center"/>
    </xf>
    <xf numFmtId="3" fontId="22" fillId="0" borderId="24" xfId="0" applyNumberFormat="1" applyFont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3" fontId="16" fillId="0" borderId="24" xfId="0" applyNumberFormat="1" applyFont="1" applyBorder="1" applyAlignment="1">
      <alignment horizontal="center" vertical="center"/>
    </xf>
    <xf numFmtId="3" fontId="16" fillId="4" borderId="16" xfId="0" applyNumberFormat="1" applyFont="1" applyFill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3" fontId="20" fillId="4" borderId="24" xfId="0" applyNumberFormat="1" applyFont="1" applyFill="1" applyBorder="1" applyAlignment="1">
      <alignment horizontal="center" vertical="center"/>
    </xf>
    <xf numFmtId="10" fontId="19" fillId="4" borderId="24" xfId="0" applyNumberFormat="1" applyFont="1" applyFill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3" fontId="19" fillId="4" borderId="23" xfId="0" applyNumberFormat="1" applyFont="1" applyFill="1" applyBorder="1" applyAlignment="1">
      <alignment horizontal="center" vertical="center"/>
    </xf>
    <xf numFmtId="165" fontId="19" fillId="0" borderId="26" xfId="0" applyNumberFormat="1" applyFont="1" applyBorder="1" applyAlignment="1">
      <alignment horizontal="center" vertical="center"/>
    </xf>
    <xf numFmtId="3" fontId="20" fillId="3" borderId="23" xfId="0" applyNumberFormat="1" applyFont="1" applyFill="1" applyBorder="1" applyAlignment="1">
      <alignment horizontal="center" vertical="center"/>
    </xf>
    <xf numFmtId="3" fontId="16" fillId="3" borderId="23" xfId="0" applyNumberFormat="1" applyFont="1" applyFill="1" applyBorder="1" applyAlignment="1">
      <alignment horizontal="center" vertical="center"/>
    </xf>
    <xf numFmtId="4" fontId="20" fillId="3" borderId="23" xfId="0" applyNumberFormat="1" applyFont="1" applyFill="1" applyBorder="1" applyAlignment="1">
      <alignment horizontal="center" vertical="center"/>
    </xf>
    <xf numFmtId="4" fontId="16" fillId="4" borderId="24" xfId="0" applyNumberFormat="1" applyFont="1" applyFill="1" applyBorder="1" applyAlignment="1">
      <alignment horizontal="center" vertical="center"/>
    </xf>
    <xf numFmtId="4" fontId="22" fillId="0" borderId="24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3" borderId="16" xfId="0" applyNumberFormat="1" applyFont="1" applyFill="1" applyBorder="1" applyAlignment="1">
      <alignment horizontal="center" vertical="center"/>
    </xf>
    <xf numFmtId="166" fontId="16" fillId="7" borderId="19" xfId="1" applyNumberFormat="1" applyFont="1" applyFill="1" applyBorder="1" applyAlignment="1" applyProtection="1">
      <alignment horizontal="right" vertical="center"/>
    </xf>
    <xf numFmtId="166" fontId="2" fillId="8" borderId="24" xfId="0" applyNumberFormat="1" applyFont="1" applyFill="1" applyBorder="1"/>
    <xf numFmtId="3" fontId="16" fillId="3" borderId="16" xfId="0" applyNumberFormat="1" applyFont="1" applyFill="1" applyBorder="1" applyAlignment="1">
      <alignment horizontal="center" vertical="center"/>
    </xf>
    <xf numFmtId="10" fontId="16" fillId="6" borderId="24" xfId="1" applyNumberFormat="1" applyFont="1" applyFill="1" applyBorder="1" applyAlignment="1" applyProtection="1">
      <alignment vertical="center"/>
    </xf>
    <xf numFmtId="10" fontId="0" fillId="2" borderId="0" xfId="0" applyNumberFormat="1" applyFill="1"/>
    <xf numFmtId="3" fontId="16" fillId="9" borderId="24" xfId="0" applyNumberFormat="1" applyFont="1" applyFill="1" applyBorder="1" applyAlignment="1">
      <alignment horizontal="center" vertical="center"/>
    </xf>
    <xf numFmtId="10" fontId="16" fillId="5" borderId="0" xfId="1" applyNumberFormat="1" applyFont="1" applyFill="1" applyAlignment="1" applyProtection="1">
      <alignment horizontal="center" vertical="center"/>
    </xf>
    <xf numFmtId="3" fontId="20" fillId="0" borderId="28" xfId="0" applyNumberFormat="1" applyFont="1" applyBorder="1" applyAlignment="1">
      <alignment horizontal="center" vertical="center"/>
    </xf>
    <xf numFmtId="3" fontId="16" fillId="4" borderId="30" xfId="0" applyNumberFormat="1" applyFont="1" applyFill="1" applyBorder="1" applyAlignment="1">
      <alignment horizontal="center" vertical="center"/>
    </xf>
    <xf numFmtId="10" fontId="16" fillId="4" borderId="30" xfId="0" applyNumberFormat="1" applyFont="1" applyFill="1" applyBorder="1" applyAlignment="1">
      <alignment horizontal="center" vertical="center"/>
    </xf>
    <xf numFmtId="3" fontId="22" fillId="0" borderId="30" xfId="0" applyNumberFormat="1" applyFont="1" applyBorder="1" applyAlignment="1">
      <alignment horizontal="center" vertical="center"/>
    </xf>
    <xf numFmtId="165" fontId="23" fillId="0" borderId="27" xfId="0" applyNumberFormat="1" applyFont="1" applyBorder="1" applyAlignment="1">
      <alignment horizontal="center" vertical="center"/>
    </xf>
    <xf numFmtId="3" fontId="16" fillId="3" borderId="31" xfId="0" applyNumberFormat="1" applyFont="1" applyFill="1" applyBorder="1" applyAlignment="1">
      <alignment horizontal="center" vertical="center"/>
    </xf>
    <xf numFmtId="3" fontId="24" fillId="0" borderId="30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3" fontId="20" fillId="3" borderId="28" xfId="0" applyNumberFormat="1" applyFont="1" applyFill="1" applyBorder="1" applyAlignment="1">
      <alignment horizontal="center" vertical="center"/>
    </xf>
    <xf numFmtId="3" fontId="20" fillId="4" borderId="28" xfId="0" applyNumberFormat="1" applyFont="1" applyFill="1" applyBorder="1" applyAlignment="1">
      <alignment horizontal="center" vertical="center"/>
    </xf>
    <xf numFmtId="165" fontId="16" fillId="4" borderId="30" xfId="0" applyNumberFormat="1" applyFont="1" applyFill="1" applyBorder="1" applyAlignment="1">
      <alignment horizontal="center" vertical="center"/>
    </xf>
    <xf numFmtId="167" fontId="24" fillId="0" borderId="30" xfId="0" applyNumberFormat="1" applyFont="1" applyBorder="1" applyAlignment="1">
      <alignment horizontal="center" vertical="center"/>
    </xf>
    <xf numFmtId="3" fontId="16" fillId="4" borderId="31" xfId="0" applyNumberFormat="1" applyFont="1" applyFill="1" applyBorder="1" applyAlignment="1">
      <alignment horizontal="center" vertical="center"/>
    </xf>
    <xf numFmtId="10" fontId="19" fillId="3" borderId="33" xfId="0" applyNumberFormat="1" applyFont="1" applyFill="1" applyBorder="1" applyAlignment="1">
      <alignment horizontal="center" vertical="center"/>
    </xf>
    <xf numFmtId="10" fontId="19" fillId="6" borderId="34" xfId="1" applyNumberFormat="1" applyFont="1" applyFill="1" applyBorder="1" applyAlignment="1" applyProtection="1">
      <alignment horizontal="center" vertical="center"/>
    </xf>
    <xf numFmtId="10" fontId="24" fillId="0" borderId="34" xfId="0" applyNumberFormat="1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165" fontId="20" fillId="0" borderId="34" xfId="0" applyNumberFormat="1" applyFont="1" applyBorder="1" applyAlignment="1">
      <alignment horizontal="center" vertical="center"/>
    </xf>
    <xf numFmtId="165" fontId="20" fillId="3" borderId="36" xfId="0" applyNumberFormat="1" applyFont="1" applyFill="1" applyBorder="1" applyAlignment="1">
      <alignment horizontal="center" vertical="center"/>
    </xf>
    <xf numFmtId="3" fontId="20" fillId="0" borderId="34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4" fontId="2" fillId="2" borderId="0" xfId="0" applyNumberFormat="1" applyFont="1" applyFill="1"/>
    <xf numFmtId="0" fontId="17" fillId="10" borderId="24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26" fillId="10" borderId="24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16" fillId="10" borderId="24" xfId="0" applyFont="1" applyFill="1" applyBorder="1" applyAlignment="1">
      <alignment horizontal="center" vertical="top" wrapText="1"/>
    </xf>
    <xf numFmtId="0" fontId="17" fillId="10" borderId="24" xfId="0" applyFont="1" applyFill="1" applyBorder="1" applyAlignment="1">
      <alignment horizontal="center" vertical="top" wrapText="1"/>
    </xf>
    <xf numFmtId="0" fontId="27" fillId="0" borderId="24" xfId="0" applyFont="1" applyBorder="1" applyAlignment="1">
      <alignment horizontal="center" vertical="center"/>
    </xf>
    <xf numFmtId="16" fontId="16" fillId="0" borderId="24" xfId="0" applyNumberFormat="1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4" fontId="16" fillId="0" borderId="24" xfId="0" applyNumberFormat="1" applyFont="1" applyBorder="1" applyAlignment="1">
      <alignment horizontal="center" vertical="top"/>
    </xf>
    <xf numFmtId="3" fontId="16" fillId="0" borderId="24" xfId="0" applyNumberFormat="1" applyFont="1" applyBorder="1" applyAlignment="1">
      <alignment horizontal="center" vertical="top"/>
    </xf>
    <xf numFmtId="10" fontId="16" fillId="0" borderId="24" xfId="0" applyNumberFormat="1" applyFont="1" applyBorder="1" applyAlignment="1">
      <alignment horizontal="center" vertical="top"/>
    </xf>
    <xf numFmtId="9" fontId="3" fillId="0" borderId="24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/>
    </xf>
    <xf numFmtId="3" fontId="16" fillId="0" borderId="24" xfId="0" applyNumberFormat="1" applyFont="1" applyBorder="1" applyAlignment="1">
      <alignment horizontal="center"/>
    </xf>
    <xf numFmtId="2" fontId="16" fillId="0" borderId="24" xfId="0" applyNumberFormat="1" applyFont="1" applyBorder="1" applyAlignment="1">
      <alignment horizontal="right"/>
    </xf>
    <xf numFmtId="2" fontId="0" fillId="0" borderId="0" xfId="0" applyNumberFormat="1"/>
    <xf numFmtId="165" fontId="2" fillId="0" borderId="0" xfId="0" applyNumberFormat="1" applyFont="1"/>
    <xf numFmtId="2" fontId="2" fillId="0" borderId="0" xfId="0" applyNumberFormat="1" applyFont="1"/>
    <xf numFmtId="3" fontId="16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vertical="center"/>
    </xf>
    <xf numFmtId="0" fontId="29" fillId="0" borderId="0" xfId="0" applyFont="1"/>
    <xf numFmtId="3" fontId="30" fillId="0" borderId="24" xfId="0" applyNumberFormat="1" applyFont="1" applyBorder="1" applyAlignment="1">
      <alignment horizontal="center" vertical="top"/>
    </xf>
    <xf numFmtId="168" fontId="2" fillId="0" borderId="0" xfId="0" applyNumberFormat="1" applyFont="1"/>
    <xf numFmtId="0" fontId="27" fillId="12" borderId="24" xfId="0" applyFont="1" applyFill="1" applyBorder="1" applyAlignment="1">
      <alignment horizontal="center" vertical="center"/>
    </xf>
    <xf numFmtId="4" fontId="16" fillId="12" borderId="24" xfId="0" applyNumberFormat="1" applyFont="1" applyFill="1" applyBorder="1" applyAlignment="1">
      <alignment horizontal="center" vertical="top"/>
    </xf>
    <xf numFmtId="3" fontId="16" fillId="12" borderId="24" xfId="0" applyNumberFormat="1" applyFont="1" applyFill="1" applyBorder="1" applyAlignment="1">
      <alignment horizontal="center" vertical="top"/>
    </xf>
    <xf numFmtId="165" fontId="16" fillId="12" borderId="24" xfId="0" applyNumberFormat="1" applyFont="1" applyFill="1" applyBorder="1" applyAlignment="1">
      <alignment horizontal="center" vertical="top"/>
    </xf>
    <xf numFmtId="9" fontId="3" fillId="12" borderId="24" xfId="0" applyNumberFormat="1" applyFont="1" applyFill="1" applyBorder="1" applyAlignment="1">
      <alignment horizontal="center" vertical="center"/>
    </xf>
    <xf numFmtId="3" fontId="16" fillId="12" borderId="24" xfId="0" applyNumberFormat="1" applyFont="1" applyFill="1" applyBorder="1" applyAlignment="1">
      <alignment horizontal="center"/>
    </xf>
    <xf numFmtId="3" fontId="16" fillId="12" borderId="24" xfId="0" applyNumberFormat="1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0" xfId="0" applyFont="1"/>
    <xf numFmtId="3" fontId="31" fillId="0" borderId="0" xfId="0" applyNumberFormat="1" applyFont="1"/>
    <xf numFmtId="165" fontId="16" fillId="0" borderId="0" xfId="0" applyNumberFormat="1" applyFont="1"/>
    <xf numFmtId="0" fontId="16" fillId="0" borderId="0" xfId="0" applyFont="1" applyAlignment="1">
      <alignment vertical="top"/>
    </xf>
    <xf numFmtId="1" fontId="16" fillId="0" borderId="0" xfId="0" applyNumberFormat="1" applyFont="1" applyAlignment="1">
      <alignment vertical="top"/>
    </xf>
    <xf numFmtId="3" fontId="16" fillId="0" borderId="0" xfId="0" applyNumberFormat="1" applyFont="1"/>
    <xf numFmtId="9" fontId="31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1" fontId="3" fillId="0" borderId="0" xfId="0" applyNumberFormat="1" applyFont="1"/>
    <xf numFmtId="10" fontId="3" fillId="0" borderId="0" xfId="0" applyNumberFormat="1" applyFont="1"/>
    <xf numFmtId="3" fontId="3" fillId="13" borderId="0" xfId="0" applyNumberFormat="1" applyFont="1" applyFill="1"/>
    <xf numFmtId="4" fontId="2" fillId="0" borderId="0" xfId="0" applyNumberFormat="1" applyFont="1"/>
    <xf numFmtId="14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34" xfId="0" applyBorder="1"/>
    <xf numFmtId="0" fontId="0" fillId="0" borderId="37" xfId="0" applyBorder="1"/>
    <xf numFmtId="0" fontId="0" fillId="0" borderId="44" xfId="0" applyBorder="1"/>
    <xf numFmtId="4" fontId="0" fillId="0" borderId="45" xfId="0" applyNumberFormat="1" applyBorder="1"/>
    <xf numFmtId="10" fontId="0" fillId="0" borderId="21" xfId="0" applyNumberFormat="1" applyBorder="1"/>
    <xf numFmtId="0" fontId="0" fillId="0" borderId="19" xfId="0" applyBorder="1"/>
    <xf numFmtId="0" fontId="0" fillId="0" borderId="22" xfId="0" applyBorder="1"/>
    <xf numFmtId="0" fontId="0" fillId="0" borderId="46" xfId="0" applyBorder="1"/>
    <xf numFmtId="4" fontId="0" fillId="0" borderId="47" xfId="0" applyNumberFormat="1" applyBorder="1"/>
    <xf numFmtId="10" fontId="0" fillId="0" borderId="0" xfId="0" applyNumberFormat="1"/>
    <xf numFmtId="0" fontId="0" fillId="0" borderId="48" xfId="0" applyBorder="1"/>
    <xf numFmtId="0" fontId="0" fillId="0" borderId="43" xfId="0" applyBorder="1"/>
    <xf numFmtId="4" fontId="0" fillId="0" borderId="32" xfId="0" applyNumberFormat="1" applyBorder="1"/>
    <xf numFmtId="10" fontId="0" fillId="0" borderId="36" xfId="0" applyNumberFormat="1" applyBorder="1"/>
    <xf numFmtId="3" fontId="17" fillId="5" borderId="35" xfId="0" applyNumberFormat="1" applyFont="1" applyFill="1" applyBorder="1" applyAlignment="1">
      <alignment horizontal="center" vertical="center"/>
    </xf>
    <xf numFmtId="3" fontId="17" fillId="5" borderId="27" xfId="0" applyNumberFormat="1" applyFont="1" applyFill="1" applyBorder="1" applyAlignment="1">
      <alignment horizontal="center" vertical="center"/>
    </xf>
    <xf numFmtId="0" fontId="17" fillId="5" borderId="51" xfId="0" applyFont="1" applyFill="1" applyBorder="1" applyAlignment="1">
      <alignment horizontal="center" vertical="center" wrapText="1"/>
    </xf>
    <xf numFmtId="10" fontId="32" fillId="0" borderId="18" xfId="0" applyNumberFormat="1" applyFont="1" applyBorder="1" applyAlignment="1">
      <alignment horizontal="center" vertical="center"/>
    </xf>
    <xf numFmtId="166" fontId="32" fillId="0" borderId="40" xfId="0" applyNumberFormat="1" applyFont="1" applyBorder="1" applyAlignment="1">
      <alignment horizontal="center" vertical="center"/>
    </xf>
    <xf numFmtId="10" fontId="32" fillId="0" borderId="42" xfId="0" applyNumberFormat="1" applyFont="1" applyBorder="1" applyAlignment="1">
      <alignment horizontal="center" vertical="center"/>
    </xf>
    <xf numFmtId="10" fontId="32" fillId="0" borderId="53" xfId="1" applyNumberFormat="1" applyFont="1" applyBorder="1" applyAlignment="1" applyProtection="1">
      <alignment horizontal="center" vertical="center"/>
    </xf>
    <xf numFmtId="166" fontId="32" fillId="0" borderId="41" xfId="1" applyNumberFormat="1" applyFont="1" applyBorder="1" applyAlignment="1" applyProtection="1">
      <alignment horizontal="center" vertical="center"/>
    </xf>
    <xf numFmtId="10" fontId="32" fillId="0" borderId="54" xfId="0" applyNumberFormat="1" applyFont="1" applyBorder="1" applyAlignment="1">
      <alignment horizontal="center" vertical="center"/>
    </xf>
    <xf numFmtId="10" fontId="32" fillId="0" borderId="18" xfId="1" applyNumberFormat="1" applyFont="1" applyBorder="1" applyAlignment="1" applyProtection="1">
      <alignment horizontal="center" vertical="center"/>
    </xf>
    <xf numFmtId="10" fontId="20" fillId="0" borderId="42" xfId="0" applyNumberFormat="1" applyFont="1" applyBorder="1" applyAlignment="1">
      <alignment horizontal="center" vertical="center"/>
    </xf>
    <xf numFmtId="10" fontId="32" fillId="0" borderId="55" xfId="0" applyNumberFormat="1" applyFont="1" applyBorder="1" applyAlignment="1">
      <alignment horizontal="center" vertical="center"/>
    </xf>
    <xf numFmtId="1" fontId="32" fillId="0" borderId="16" xfId="0" applyNumberFormat="1" applyFont="1" applyBorder="1" applyAlignment="1">
      <alignment horizontal="center" vertical="center"/>
    </xf>
    <xf numFmtId="10" fontId="32" fillId="0" borderId="26" xfId="0" applyNumberFormat="1" applyFont="1" applyBorder="1" applyAlignment="1">
      <alignment horizontal="center" vertical="center"/>
    </xf>
    <xf numFmtId="10" fontId="32" fillId="0" borderId="23" xfId="1" applyNumberFormat="1" applyFont="1" applyBorder="1" applyAlignment="1" applyProtection="1">
      <alignment horizontal="center" vertical="center"/>
    </xf>
    <xf numFmtId="1" fontId="32" fillId="0" borderId="24" xfId="1" applyNumberFormat="1" applyFont="1" applyBorder="1" applyAlignment="1" applyProtection="1">
      <alignment horizontal="center" vertical="center"/>
    </xf>
    <xf numFmtId="10" fontId="32" fillId="0" borderId="25" xfId="0" applyNumberFormat="1" applyFont="1" applyBorder="1" applyAlignment="1">
      <alignment horizontal="center" vertical="center"/>
    </xf>
    <xf numFmtId="10" fontId="32" fillId="0" borderId="55" xfId="1" applyNumberFormat="1" applyFont="1" applyBorder="1" applyAlignment="1" applyProtection="1">
      <alignment horizontal="center" vertical="center"/>
    </xf>
    <xf numFmtId="3" fontId="32" fillId="0" borderId="24" xfId="1" applyNumberFormat="1" applyFont="1" applyBorder="1" applyAlignment="1" applyProtection="1">
      <alignment horizontal="center" vertical="center"/>
    </xf>
    <xf numFmtId="10" fontId="20" fillId="0" borderId="26" xfId="0" applyNumberFormat="1" applyFont="1" applyBorder="1" applyAlignment="1">
      <alignment horizontal="center" vertical="center"/>
    </xf>
    <xf numFmtId="166" fontId="32" fillId="0" borderId="16" xfId="0" applyNumberFormat="1" applyFont="1" applyBorder="1" applyAlignment="1">
      <alignment horizontal="center" vertical="center"/>
    </xf>
    <xf numFmtId="166" fontId="32" fillId="0" borderId="24" xfId="1" applyNumberFormat="1" applyFont="1" applyBorder="1" applyAlignment="1" applyProtection="1">
      <alignment horizontal="center" vertical="center"/>
    </xf>
    <xf numFmtId="2" fontId="32" fillId="0" borderId="16" xfId="0" applyNumberFormat="1" applyFont="1" applyBorder="1" applyAlignment="1">
      <alignment horizontal="center" vertical="center"/>
    </xf>
    <xf numFmtId="2" fontId="32" fillId="0" borderId="24" xfId="1" applyNumberFormat="1" applyFont="1" applyBorder="1" applyAlignment="1" applyProtection="1">
      <alignment horizontal="center" vertical="center"/>
    </xf>
    <xf numFmtId="4" fontId="32" fillId="0" borderId="24" xfId="1" applyNumberFormat="1" applyFont="1" applyBorder="1" applyAlignment="1" applyProtection="1">
      <alignment horizontal="center" vertical="center"/>
    </xf>
    <xf numFmtId="1" fontId="32" fillId="0" borderId="24" xfId="0" applyNumberFormat="1" applyFont="1" applyBorder="1" applyAlignment="1">
      <alignment horizontal="center" vertical="center"/>
    </xf>
    <xf numFmtId="166" fontId="32" fillId="0" borderId="24" xfId="0" applyNumberFormat="1" applyFont="1" applyBorder="1" applyAlignment="1">
      <alignment horizontal="center" vertical="center"/>
    </xf>
    <xf numFmtId="169" fontId="32" fillId="0" borderId="24" xfId="1" applyNumberFormat="1" applyFont="1" applyBorder="1" applyAlignment="1" applyProtection="1">
      <alignment horizontal="center" vertical="center"/>
    </xf>
    <xf numFmtId="10" fontId="32" fillId="0" borderId="52" xfId="0" applyNumberFormat="1" applyFont="1" applyBorder="1" applyAlignment="1">
      <alignment horizontal="center" vertical="center"/>
    </xf>
    <xf numFmtId="10" fontId="32" fillId="0" borderId="17" xfId="0" applyNumberFormat="1" applyFont="1" applyBorder="1" applyAlignment="1">
      <alignment horizontal="center" vertical="center"/>
    </xf>
    <xf numFmtId="10" fontId="32" fillId="0" borderId="6" xfId="0" applyNumberFormat="1" applyFont="1" applyBorder="1" applyAlignment="1">
      <alignment horizontal="center" vertical="center"/>
    </xf>
    <xf numFmtId="166" fontId="32" fillId="0" borderId="56" xfId="0" applyNumberFormat="1" applyFont="1" applyBorder="1" applyAlignment="1">
      <alignment horizontal="center" vertical="center"/>
    </xf>
    <xf numFmtId="10" fontId="32" fillId="0" borderId="8" xfId="0" applyNumberFormat="1" applyFont="1" applyBorder="1" applyAlignment="1">
      <alignment horizontal="center" vertical="center"/>
    </xf>
    <xf numFmtId="10" fontId="32" fillId="0" borderId="57" xfId="1" applyNumberFormat="1" applyFont="1" applyBorder="1" applyAlignment="1" applyProtection="1">
      <alignment horizontal="center" vertical="center"/>
    </xf>
    <xf numFmtId="166" fontId="32" fillId="0" borderId="56" xfId="1" applyNumberFormat="1" applyFont="1" applyBorder="1" applyAlignment="1" applyProtection="1">
      <alignment horizontal="center" vertical="center"/>
    </xf>
    <xf numFmtId="10" fontId="32" fillId="0" borderId="58" xfId="0" applyNumberFormat="1" applyFont="1" applyBorder="1" applyAlignment="1">
      <alignment horizontal="center" vertical="center"/>
    </xf>
    <xf numFmtId="10" fontId="32" fillId="0" borderId="59" xfId="1" applyNumberFormat="1" applyFont="1" applyBorder="1" applyAlignment="1" applyProtection="1">
      <alignment horizontal="center" vertical="center"/>
    </xf>
    <xf numFmtId="10" fontId="20" fillId="0" borderId="60" xfId="0" applyNumberFormat="1" applyFont="1" applyBorder="1" applyAlignment="1">
      <alignment horizontal="center" vertical="center"/>
    </xf>
    <xf numFmtId="0" fontId="27" fillId="0" borderId="0" xfId="0" applyFont="1"/>
    <xf numFmtId="3" fontId="3" fillId="0" borderId="39" xfId="0" applyNumberFormat="1" applyFont="1" applyBorder="1" applyAlignment="1">
      <alignment horizontal="center" vertical="center" wrapText="1"/>
    </xf>
    <xf numFmtId="3" fontId="33" fillId="6" borderId="15" xfId="0" applyNumberFormat="1" applyFont="1" applyFill="1" applyBorder="1" applyAlignment="1">
      <alignment horizontal="center" vertical="center" wrapText="1"/>
    </xf>
    <xf numFmtId="3" fontId="33" fillId="4" borderId="15" xfId="0" applyNumberFormat="1" applyFont="1" applyFill="1" applyBorder="1" applyAlignment="1">
      <alignment horizontal="center" vertical="center"/>
    </xf>
    <xf numFmtId="3" fontId="33" fillId="3" borderId="15" xfId="0" applyNumberFormat="1" applyFont="1" applyFill="1" applyBorder="1" applyAlignment="1">
      <alignment horizontal="center" vertical="center"/>
    </xf>
    <xf numFmtId="4" fontId="33" fillId="3" borderId="15" xfId="0" applyNumberFormat="1" applyFont="1" applyFill="1" applyBorder="1" applyAlignment="1">
      <alignment horizontal="center" vertical="center"/>
    </xf>
    <xf numFmtId="10" fontId="33" fillId="6" borderId="15" xfId="0" applyNumberFormat="1" applyFont="1" applyFill="1" applyBorder="1" applyAlignment="1">
      <alignment horizontal="center" vertical="center"/>
    </xf>
    <xf numFmtId="170" fontId="34" fillId="0" borderId="15" xfId="0" applyNumberFormat="1" applyFont="1" applyBorder="1" applyAlignment="1">
      <alignment horizontal="center"/>
    </xf>
    <xf numFmtId="170" fontId="34" fillId="0" borderId="62" xfId="0" applyNumberFormat="1" applyFont="1" applyBorder="1" applyAlignment="1">
      <alignment horizontal="center"/>
    </xf>
    <xf numFmtId="0" fontId="16" fillId="2" borderId="0" xfId="0" applyFont="1" applyFill="1"/>
    <xf numFmtId="164" fontId="17" fillId="2" borderId="0" xfId="0" applyNumberFormat="1" applyFont="1" applyFill="1" applyAlignment="1">
      <alignment horizontal="center" vertical="center"/>
    </xf>
    <xf numFmtId="9" fontId="11" fillId="2" borderId="63" xfId="0" applyNumberFormat="1" applyFont="1" applyFill="1" applyBorder="1"/>
    <xf numFmtId="0" fontId="38" fillId="2" borderId="0" xfId="0" applyFont="1" applyFill="1"/>
    <xf numFmtId="3" fontId="19" fillId="0" borderId="18" xfId="0" applyNumberFormat="1" applyFont="1" applyBorder="1" applyAlignment="1">
      <alignment horizontal="center" vertical="center"/>
    </xf>
    <xf numFmtId="3" fontId="19" fillId="4" borderId="19" xfId="0" applyNumberFormat="1" applyFont="1" applyFill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10" fontId="23" fillId="0" borderId="20" xfId="0" applyNumberFormat="1" applyFont="1" applyBorder="1" applyAlignment="1">
      <alignment horizontal="center" vertical="center"/>
    </xf>
    <xf numFmtId="3" fontId="24" fillId="0" borderId="24" xfId="0" applyNumberFormat="1" applyFont="1" applyBorder="1" applyAlignment="1">
      <alignment horizontal="center" vertical="center"/>
    </xf>
    <xf numFmtId="10" fontId="23" fillId="0" borderId="25" xfId="0" applyNumberFormat="1" applyFont="1" applyBorder="1" applyAlignment="1">
      <alignment horizontal="center" vertical="center"/>
    </xf>
    <xf numFmtId="3" fontId="19" fillId="4" borderId="24" xfId="0" applyNumberFormat="1" applyFont="1" applyFill="1" applyBorder="1" applyAlignment="1">
      <alignment horizontal="center" vertical="center"/>
    </xf>
    <xf numFmtId="10" fontId="19" fillId="0" borderId="24" xfId="0" applyNumberFormat="1" applyFont="1" applyBorder="1" applyAlignment="1">
      <alignment horizontal="center" vertical="center"/>
    </xf>
    <xf numFmtId="10" fontId="22" fillId="0" borderId="25" xfId="0" applyNumberFormat="1" applyFont="1" applyBorder="1" applyAlignment="1">
      <alignment horizontal="center" vertical="center"/>
    </xf>
    <xf numFmtId="10" fontId="16" fillId="0" borderId="24" xfId="0" applyNumberFormat="1" applyFont="1" applyBorder="1" applyAlignment="1">
      <alignment horizontal="center" vertical="center"/>
    </xf>
    <xf numFmtId="4" fontId="24" fillId="0" borderId="24" xfId="0" applyNumberFormat="1" applyFont="1" applyBorder="1" applyAlignment="1">
      <alignment horizontal="center" vertical="center"/>
    </xf>
    <xf numFmtId="3" fontId="3" fillId="2" borderId="0" xfId="0" applyNumberFormat="1" applyFont="1" applyFill="1"/>
    <xf numFmtId="10" fontId="23" fillId="0" borderId="27" xfId="0" applyNumberFormat="1" applyFont="1" applyBorder="1" applyAlignment="1">
      <alignment horizontal="center" vertical="center"/>
    </xf>
    <xf numFmtId="10" fontId="18" fillId="0" borderId="27" xfId="0" applyNumberFormat="1" applyFont="1" applyBorder="1" applyAlignment="1">
      <alignment horizontal="center" vertical="center"/>
    </xf>
    <xf numFmtId="165" fontId="19" fillId="3" borderId="33" xfId="0" applyNumberFormat="1" applyFont="1" applyFill="1" applyBorder="1" applyAlignment="1">
      <alignment horizontal="center" vertical="center"/>
    </xf>
    <xf numFmtId="165" fontId="19" fillId="4" borderId="34" xfId="0" applyNumberFormat="1" applyFont="1" applyFill="1" applyBorder="1" applyAlignment="1">
      <alignment horizontal="center" vertical="center"/>
    </xf>
    <xf numFmtId="10" fontId="19" fillId="4" borderId="34" xfId="0" applyNumberFormat="1" applyFont="1" applyFill="1" applyBorder="1" applyAlignment="1">
      <alignment horizontal="center" vertical="center"/>
    </xf>
    <xf numFmtId="165" fontId="24" fillId="0" borderId="34" xfId="0" applyNumberFormat="1" applyFont="1" applyBorder="1" applyAlignment="1">
      <alignment horizontal="center" vertical="center"/>
    </xf>
    <xf numFmtId="0" fontId="17" fillId="14" borderId="24" xfId="0" applyFont="1" applyFill="1" applyBorder="1" applyAlignment="1">
      <alignment horizontal="center" vertical="center" wrapText="1"/>
    </xf>
    <xf numFmtId="0" fontId="26" fillId="14" borderId="24" xfId="0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top" wrapText="1"/>
    </xf>
    <xf numFmtId="0" fontId="16" fillId="14" borderId="30" xfId="0" applyFont="1" applyFill="1" applyBorder="1" applyAlignment="1">
      <alignment horizontal="center" vertical="top" wrapText="1"/>
    </xf>
    <xf numFmtId="0" fontId="17" fillId="14" borderId="24" xfId="0" applyFont="1" applyFill="1" applyBorder="1" applyAlignment="1">
      <alignment horizontal="center" vertical="top" wrapText="1"/>
    </xf>
    <xf numFmtId="10" fontId="16" fillId="0" borderId="0" xfId="0" applyNumberFormat="1" applyFont="1" applyAlignment="1">
      <alignment horizontal="center" vertical="top"/>
    </xf>
    <xf numFmtId="165" fontId="16" fillId="0" borderId="0" xfId="0" applyNumberFormat="1" applyFont="1" applyAlignment="1">
      <alignment vertical="top"/>
    </xf>
    <xf numFmtId="0" fontId="27" fillId="0" borderId="0" xfId="0" applyFont="1" applyAlignment="1">
      <alignment horizontal="center"/>
    </xf>
    <xf numFmtId="10" fontId="3" fillId="2" borderId="0" xfId="0" applyNumberFormat="1" applyFont="1" applyFill="1"/>
    <xf numFmtId="166" fontId="3" fillId="2" borderId="0" xfId="0" applyNumberFormat="1" applyFont="1" applyFill="1"/>
    <xf numFmtId="166" fontId="3" fillId="0" borderId="0" xfId="0" applyNumberFormat="1" applyFont="1"/>
    <xf numFmtId="0" fontId="16" fillId="0" borderId="25" xfId="0" applyFont="1" applyBorder="1" applyAlignment="1">
      <alignment horizontal="center" vertical="top"/>
    </xf>
    <xf numFmtId="4" fontId="16" fillId="15" borderId="24" xfId="0" applyNumberFormat="1" applyFont="1" applyFill="1" applyBorder="1" applyAlignment="1">
      <alignment horizontal="center" vertical="top"/>
    </xf>
    <xf numFmtId="2" fontId="16" fillId="15" borderId="24" xfId="0" applyNumberFormat="1" applyFont="1" applyFill="1" applyBorder="1" applyAlignment="1">
      <alignment horizontal="right"/>
    </xf>
    <xf numFmtId="0" fontId="0" fillId="15" borderId="0" xfId="0" applyFill="1"/>
    <xf numFmtId="0" fontId="27" fillId="15" borderId="24" xfId="0" applyFont="1" applyFill="1" applyBorder="1" applyAlignment="1">
      <alignment horizontal="center" vertical="center"/>
    </xf>
    <xf numFmtId="16" fontId="16" fillId="15" borderId="24" xfId="0" applyNumberFormat="1" applyFont="1" applyFill="1" applyBorder="1" applyAlignment="1">
      <alignment horizontal="center" vertical="top"/>
    </xf>
    <xf numFmtId="0" fontId="16" fillId="15" borderId="24" xfId="0" applyFont="1" applyFill="1" applyBorder="1" applyAlignment="1">
      <alignment horizontal="center" vertical="top"/>
    </xf>
    <xf numFmtId="3" fontId="16" fillId="15" borderId="24" xfId="0" applyNumberFormat="1" applyFont="1" applyFill="1" applyBorder="1" applyAlignment="1">
      <alignment horizontal="center" vertical="top"/>
    </xf>
    <xf numFmtId="10" fontId="16" fillId="15" borderId="24" xfId="0" applyNumberFormat="1" applyFont="1" applyFill="1" applyBorder="1" applyAlignment="1">
      <alignment horizontal="center" vertical="top"/>
    </xf>
    <xf numFmtId="9" fontId="3" fillId="15" borderId="24" xfId="0" applyNumberFormat="1" applyFont="1" applyFill="1" applyBorder="1" applyAlignment="1">
      <alignment horizontal="center" vertical="center"/>
    </xf>
    <xf numFmtId="3" fontId="16" fillId="15" borderId="24" xfId="0" applyNumberFormat="1" applyFont="1" applyFill="1" applyBorder="1" applyAlignment="1">
      <alignment horizontal="center"/>
    </xf>
    <xf numFmtId="3" fontId="28" fillId="15" borderId="24" xfId="0" applyNumberFormat="1" applyFont="1" applyFill="1" applyBorder="1" applyAlignment="1">
      <alignment horizontal="center"/>
    </xf>
    <xf numFmtId="165" fontId="2" fillId="15" borderId="0" xfId="0" applyNumberFormat="1" applyFont="1" applyFill="1"/>
    <xf numFmtId="0" fontId="2" fillId="15" borderId="0" xfId="0" applyFont="1" applyFill="1"/>
    <xf numFmtId="3" fontId="16" fillId="15" borderId="0" xfId="0" applyNumberFormat="1" applyFont="1" applyFill="1" applyAlignment="1">
      <alignment horizontal="center" vertical="top"/>
    </xf>
    <xf numFmtId="168" fontId="2" fillId="15" borderId="0" xfId="0" applyNumberFormat="1" applyFont="1" applyFill="1"/>
    <xf numFmtId="0" fontId="16" fillId="15" borderId="25" xfId="0" applyFont="1" applyFill="1" applyBorder="1" applyAlignment="1">
      <alignment horizontal="center" vertical="top"/>
    </xf>
    <xf numFmtId="4" fontId="16" fillId="15" borderId="0" xfId="0" applyNumberFormat="1" applyFont="1" applyFill="1" applyAlignment="1">
      <alignment horizontal="center" vertical="top"/>
    </xf>
    <xf numFmtId="4" fontId="16" fillId="15" borderId="23" xfId="0" applyNumberFormat="1" applyFont="1" applyFill="1" applyBorder="1" applyAlignment="1">
      <alignment horizontal="center" vertical="top"/>
    </xf>
    <xf numFmtId="3" fontId="16" fillId="15" borderId="30" xfId="0" applyNumberFormat="1" applyFont="1" applyFill="1" applyBorder="1" applyAlignment="1">
      <alignment horizontal="center" vertical="top"/>
    </xf>
    <xf numFmtId="4" fontId="16" fillId="15" borderId="30" xfId="0" applyNumberFormat="1" applyFont="1" applyFill="1" applyBorder="1" applyAlignment="1">
      <alignment horizontal="center" vertical="top"/>
    </xf>
    <xf numFmtId="165" fontId="16" fillId="15" borderId="30" xfId="0" applyNumberFormat="1" applyFont="1" applyFill="1" applyBorder="1" applyAlignment="1">
      <alignment horizontal="center" vertical="top"/>
    </xf>
    <xf numFmtId="9" fontId="3" fillId="15" borderId="30" xfId="0" applyNumberFormat="1" applyFont="1" applyFill="1" applyBorder="1" applyAlignment="1">
      <alignment horizontal="center" vertical="center"/>
    </xf>
    <xf numFmtId="3" fontId="16" fillId="15" borderId="30" xfId="0" applyNumberFormat="1" applyFont="1" applyFill="1" applyBorder="1" applyAlignment="1">
      <alignment horizontal="center"/>
    </xf>
    <xf numFmtId="3" fontId="28" fillId="15" borderId="30" xfId="0" applyNumberFormat="1" applyFont="1" applyFill="1" applyBorder="1" applyAlignment="1">
      <alignment horizontal="center"/>
    </xf>
    <xf numFmtId="4" fontId="16" fillId="15" borderId="65" xfId="0" applyNumberFormat="1" applyFont="1" applyFill="1" applyBorder="1" applyAlignment="1">
      <alignment horizontal="center" vertical="top"/>
    </xf>
    <xf numFmtId="3" fontId="16" fillId="15" borderId="66" xfId="0" applyNumberFormat="1" applyFont="1" applyFill="1" applyBorder="1" applyAlignment="1">
      <alignment horizontal="center" vertical="top"/>
    </xf>
    <xf numFmtId="4" fontId="16" fillId="15" borderId="66" xfId="0" applyNumberFormat="1" applyFont="1" applyFill="1" applyBorder="1" applyAlignment="1">
      <alignment horizontal="center" vertical="top"/>
    </xf>
    <xf numFmtId="10" fontId="16" fillId="15" borderId="66" xfId="0" applyNumberFormat="1" applyFont="1" applyFill="1" applyBorder="1" applyAlignment="1">
      <alignment horizontal="center" vertical="top"/>
    </xf>
    <xf numFmtId="9" fontId="3" fillId="15" borderId="66" xfId="0" applyNumberFormat="1" applyFont="1" applyFill="1" applyBorder="1" applyAlignment="1">
      <alignment horizontal="center" vertical="center"/>
    </xf>
    <xf numFmtId="3" fontId="16" fillId="15" borderId="66" xfId="0" applyNumberFormat="1" applyFont="1" applyFill="1" applyBorder="1" applyAlignment="1">
      <alignment horizontal="center"/>
    </xf>
    <xf numFmtId="3" fontId="28" fillId="15" borderId="66" xfId="0" applyNumberFormat="1" applyFont="1" applyFill="1" applyBorder="1" applyAlignment="1">
      <alignment horizontal="center"/>
    </xf>
    <xf numFmtId="0" fontId="16" fillId="15" borderId="67" xfId="0" applyFont="1" applyFill="1" applyBorder="1" applyAlignment="1">
      <alignment horizontal="center" vertical="top"/>
    </xf>
    <xf numFmtId="2" fontId="16" fillId="15" borderId="23" xfId="0" applyNumberFormat="1" applyFont="1" applyFill="1" applyBorder="1" applyAlignment="1">
      <alignment horizontal="right"/>
    </xf>
    <xf numFmtId="0" fontId="16" fillId="15" borderId="27" xfId="0" applyFont="1" applyFill="1" applyBorder="1" applyAlignment="1">
      <alignment horizontal="center" vertical="top"/>
    </xf>
    <xf numFmtId="2" fontId="16" fillId="15" borderId="66" xfId="0" applyNumberFormat="1" applyFont="1" applyFill="1" applyBorder="1" applyAlignment="1">
      <alignment horizontal="right"/>
    </xf>
    <xf numFmtId="2" fontId="16" fillId="12" borderId="24" xfId="0" applyNumberFormat="1" applyFont="1" applyFill="1" applyBorder="1" applyAlignment="1">
      <alignment horizontal="right"/>
    </xf>
    <xf numFmtId="165" fontId="16" fillId="4" borderId="24" xfId="0" applyNumberFormat="1" applyFont="1" applyFill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horizontal="center" vertical="top"/>
    </xf>
    <xf numFmtId="3" fontId="16" fillId="0" borderId="25" xfId="0" applyNumberFormat="1" applyFont="1" applyBorder="1" applyAlignment="1">
      <alignment horizontal="center" vertical="top"/>
    </xf>
    <xf numFmtId="3" fontId="16" fillId="0" borderId="23" xfId="0" applyNumberFormat="1" applyFont="1" applyBorder="1" applyAlignment="1">
      <alignment horizontal="center" vertical="top"/>
    </xf>
    <xf numFmtId="3" fontId="30" fillId="15" borderId="24" xfId="0" applyNumberFormat="1" applyFont="1" applyFill="1" applyBorder="1" applyAlignment="1">
      <alignment horizontal="center" vertical="top"/>
    </xf>
    <xf numFmtId="3" fontId="16" fillId="15" borderId="25" xfId="0" applyNumberFormat="1" applyFont="1" applyFill="1" applyBorder="1" applyAlignment="1">
      <alignment horizontal="center" vertical="top"/>
    </xf>
    <xf numFmtId="3" fontId="16" fillId="15" borderId="23" xfId="0" applyNumberFormat="1" applyFont="1" applyFill="1" applyBorder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9" fontId="3" fillId="15" borderId="0" xfId="0" applyNumberFormat="1" applyFont="1" applyFill="1" applyAlignment="1">
      <alignment horizontal="center" vertical="center"/>
    </xf>
    <xf numFmtId="3" fontId="16" fillId="15" borderId="0" xfId="0" applyNumberFormat="1" applyFont="1" applyFill="1" applyAlignment="1">
      <alignment horizontal="center"/>
    </xf>
    <xf numFmtId="165" fontId="16" fillId="15" borderId="24" xfId="0" applyNumberFormat="1" applyFont="1" applyFill="1" applyBorder="1" applyAlignment="1">
      <alignment horizontal="center" vertical="top"/>
    </xf>
    <xf numFmtId="165" fontId="16" fillId="0" borderId="24" xfId="0" applyNumberFormat="1" applyFont="1" applyBorder="1" applyAlignment="1">
      <alignment horizontal="center" vertical="top"/>
    </xf>
    <xf numFmtId="165" fontId="3" fillId="0" borderId="0" xfId="0" applyNumberFormat="1" applyFont="1"/>
    <xf numFmtId="168" fontId="3" fillId="0" borderId="0" xfId="0" applyNumberFormat="1" applyFont="1"/>
    <xf numFmtId="165" fontId="3" fillId="15" borderId="0" xfId="0" applyNumberFormat="1" applyFont="1" applyFill="1"/>
    <xf numFmtId="168" fontId="3" fillId="15" borderId="0" xfId="0" applyNumberFormat="1" applyFont="1" applyFill="1"/>
    <xf numFmtId="0" fontId="34" fillId="0" borderId="0" xfId="0" applyFont="1"/>
    <xf numFmtId="168" fontId="16" fillId="0" borderId="24" xfId="0" applyNumberFormat="1" applyFont="1" applyBorder="1" applyAlignment="1">
      <alignment horizontal="right"/>
    </xf>
    <xf numFmtId="165" fontId="21" fillId="4" borderId="19" xfId="0" applyNumberFormat="1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 wrapText="1"/>
    </xf>
    <xf numFmtId="16" fontId="16" fillId="15" borderId="24" xfId="0" applyNumberFormat="1" applyFont="1" applyFill="1" applyBorder="1" applyAlignment="1">
      <alignment horizontal="center" vertical="top" wrapText="1"/>
    </xf>
    <xf numFmtId="0" fontId="16" fillId="15" borderId="24" xfId="0" applyFont="1" applyFill="1" applyBorder="1" applyAlignment="1">
      <alignment horizontal="center" vertical="top" wrapText="1"/>
    </xf>
    <xf numFmtId="4" fontId="16" fillId="15" borderId="24" xfId="0" applyNumberFormat="1" applyFont="1" applyFill="1" applyBorder="1" applyAlignment="1">
      <alignment horizontal="center" vertical="top" wrapText="1"/>
    </xf>
    <xf numFmtId="3" fontId="16" fillId="15" borderId="48" xfId="0" applyNumberFormat="1" applyFont="1" applyFill="1" applyBorder="1" applyAlignment="1">
      <alignment horizontal="center" vertical="top" wrapText="1"/>
    </xf>
    <xf numFmtId="3" fontId="16" fillId="15" borderId="24" xfId="0" applyNumberFormat="1" applyFont="1" applyFill="1" applyBorder="1" applyAlignment="1">
      <alignment horizontal="center" vertical="top" wrapText="1"/>
    </xf>
    <xf numFmtId="3" fontId="16" fillId="15" borderId="67" xfId="0" applyNumberFormat="1" applyFont="1" applyFill="1" applyBorder="1" applyAlignment="1">
      <alignment horizontal="center" vertical="top" wrapText="1"/>
    </xf>
    <xf numFmtId="4" fontId="16" fillId="15" borderId="0" xfId="0" applyNumberFormat="1" applyFont="1" applyFill="1" applyAlignment="1">
      <alignment horizontal="center" vertical="top" wrapText="1"/>
    </xf>
    <xf numFmtId="0" fontId="28" fillId="15" borderId="24" xfId="0" applyFont="1" applyFill="1" applyBorder="1" applyAlignment="1">
      <alignment horizontal="center"/>
    </xf>
    <xf numFmtId="168" fontId="16" fillId="15" borderId="24" xfId="0" applyNumberFormat="1" applyFont="1" applyFill="1" applyBorder="1" applyAlignment="1">
      <alignment horizontal="right"/>
    </xf>
    <xf numFmtId="0" fontId="29" fillId="15" borderId="0" xfId="0" applyFont="1" applyFill="1"/>
    <xf numFmtId="3" fontId="28" fillId="15" borderId="0" xfId="0" applyNumberFormat="1" applyFont="1" applyFill="1" applyAlignment="1">
      <alignment horizontal="center"/>
    </xf>
    <xf numFmtId="0" fontId="34" fillId="15" borderId="0" xfId="0" applyFont="1" applyFill="1"/>
    <xf numFmtId="0" fontId="27" fillId="15" borderId="0" xfId="0" applyFont="1" applyFill="1"/>
    <xf numFmtId="0" fontId="11" fillId="5" borderId="0" xfId="0" applyFont="1" applyFill="1"/>
    <xf numFmtId="0" fontId="3" fillId="5" borderId="0" xfId="0" applyFont="1" applyFill="1"/>
    <xf numFmtId="0" fontId="16" fillId="5" borderId="0" xfId="0" applyFont="1" applyFill="1"/>
    <xf numFmtId="0" fontId="10" fillId="5" borderId="0" xfId="0" applyFont="1" applyFill="1"/>
    <xf numFmtId="164" fontId="17" fillId="5" borderId="0" xfId="0" applyNumberFormat="1" applyFont="1" applyFill="1" applyAlignment="1">
      <alignment horizontal="center" vertical="center"/>
    </xf>
    <xf numFmtId="9" fontId="11" fillId="5" borderId="68" xfId="1" applyFont="1" applyFill="1" applyBorder="1" applyProtection="1"/>
    <xf numFmtId="0" fontId="38" fillId="5" borderId="0" xfId="0" applyFont="1" applyFill="1"/>
    <xf numFmtId="0" fontId="26" fillId="16" borderId="24" xfId="0" applyFont="1" applyFill="1" applyBorder="1" applyAlignment="1">
      <alignment horizontal="center" vertical="center" wrapText="1"/>
    </xf>
    <xf numFmtId="0" fontId="3" fillId="0" borderId="69" xfId="0" applyFont="1" applyBorder="1"/>
    <xf numFmtId="0" fontId="16" fillId="16" borderId="23" xfId="0" applyFont="1" applyFill="1" applyBorder="1" applyAlignment="1">
      <alignment horizontal="center" vertical="top" wrapText="1"/>
    </xf>
    <xf numFmtId="0" fontId="16" fillId="16" borderId="24" xfId="0" applyFont="1" applyFill="1" applyBorder="1" applyAlignment="1">
      <alignment horizontal="center" vertical="top" wrapText="1"/>
    </xf>
    <xf numFmtId="0" fontId="17" fillId="16" borderId="24" xfId="0" applyFont="1" applyFill="1" applyBorder="1" applyAlignment="1">
      <alignment horizontal="center" vertical="top" wrapText="1"/>
    </xf>
    <xf numFmtId="16" fontId="16" fillId="0" borderId="25" xfId="0" applyNumberFormat="1" applyFont="1" applyBorder="1" applyAlignment="1">
      <alignment horizontal="center" vertical="top"/>
    </xf>
    <xf numFmtId="0" fontId="16" fillId="0" borderId="66" xfId="0" applyFont="1" applyBorder="1" applyAlignment="1">
      <alignment horizontal="center" vertical="top"/>
    </xf>
    <xf numFmtId="4" fontId="16" fillId="0" borderId="23" xfId="0" applyNumberFormat="1" applyFont="1" applyBorder="1" applyAlignment="1">
      <alignment horizontal="center" vertical="top"/>
    </xf>
    <xf numFmtId="0" fontId="16" fillId="15" borderId="66" xfId="0" applyFont="1" applyFill="1" applyBorder="1" applyAlignment="1">
      <alignment horizontal="center" vertical="top"/>
    </xf>
    <xf numFmtId="16" fontId="16" fillId="15" borderId="25" xfId="0" applyNumberFormat="1" applyFont="1" applyFill="1" applyBorder="1" applyAlignment="1">
      <alignment horizontal="center" vertical="top"/>
    </xf>
    <xf numFmtId="10" fontId="16" fillId="15" borderId="0" xfId="0" applyNumberFormat="1" applyFont="1" applyFill="1" applyAlignment="1">
      <alignment horizontal="center" vertical="top"/>
    </xf>
    <xf numFmtId="0" fontId="16" fillId="15" borderId="19" xfId="0" applyFont="1" applyFill="1" applyBorder="1" applyAlignment="1">
      <alignment horizontal="center" vertical="top"/>
    </xf>
    <xf numFmtId="0" fontId="0" fillId="15" borderId="24" xfId="0" applyFill="1" applyBorder="1"/>
    <xf numFmtId="16" fontId="16" fillId="15" borderId="24" xfId="0" applyNumberFormat="1" applyFont="1" applyFill="1" applyBorder="1" applyAlignment="1" applyProtection="1">
      <alignment horizontal="center" vertical="top"/>
      <protection locked="0"/>
    </xf>
    <xf numFmtId="4" fontId="16" fillId="15" borderId="24" xfId="0" applyNumberFormat="1" applyFont="1" applyFill="1" applyBorder="1" applyAlignment="1" applyProtection="1">
      <alignment horizontal="center" vertical="top"/>
      <protection locked="0"/>
    </xf>
    <xf numFmtId="3" fontId="16" fillId="15" borderId="24" xfId="0" applyNumberFormat="1" applyFont="1" applyFill="1" applyBorder="1" applyAlignment="1" applyProtection="1">
      <alignment horizontal="center" vertical="top"/>
      <protection locked="0"/>
    </xf>
    <xf numFmtId="9" fontId="3" fillId="15" borderId="24" xfId="1" applyFont="1" applyFill="1" applyBorder="1" applyAlignment="1" applyProtection="1">
      <alignment horizontal="center" vertical="center"/>
    </xf>
    <xf numFmtId="165" fontId="3" fillId="15" borderId="0" xfId="1" applyNumberFormat="1" applyFont="1" applyFill="1" applyProtection="1"/>
    <xf numFmtId="0" fontId="17" fillId="15" borderId="24" xfId="0" applyFont="1" applyFill="1" applyBorder="1" applyAlignment="1">
      <alignment horizontal="center" vertical="top"/>
    </xf>
    <xf numFmtId="0" fontId="3" fillId="0" borderId="24" xfId="0" applyFont="1" applyBorder="1"/>
    <xf numFmtId="4" fontId="16" fillId="0" borderId="24" xfId="0" applyNumberFormat="1" applyFont="1" applyBorder="1" applyAlignment="1" applyProtection="1">
      <alignment horizontal="center" vertical="top"/>
      <protection locked="0"/>
    </xf>
    <xf numFmtId="3" fontId="16" fillId="0" borderId="24" xfId="0" applyNumberFormat="1" applyFont="1" applyBorder="1" applyAlignment="1" applyProtection="1">
      <alignment horizontal="center" vertical="top"/>
      <protection locked="0"/>
    </xf>
    <xf numFmtId="9" fontId="3" fillId="0" borderId="24" xfId="1" applyFont="1" applyBorder="1" applyAlignment="1" applyProtection="1">
      <alignment horizontal="center" vertical="center"/>
    </xf>
    <xf numFmtId="165" fontId="3" fillId="0" borderId="0" xfId="1" applyNumberFormat="1" applyFont="1" applyProtection="1"/>
    <xf numFmtId="165" fontId="3" fillId="0" borderId="0" xfId="1" applyNumberFormat="1" applyFont="1" applyAlignment="1" applyProtection="1">
      <alignment vertical="center"/>
    </xf>
    <xf numFmtId="0" fontId="16" fillId="0" borderId="67" xfId="0" applyFont="1" applyBorder="1" applyAlignment="1">
      <alignment horizontal="center" vertical="top"/>
    </xf>
    <xf numFmtId="3" fontId="16" fillId="18" borderId="24" xfId="0" applyNumberFormat="1" applyFont="1" applyFill="1" applyBorder="1" applyAlignment="1">
      <alignment horizontal="center" vertical="top"/>
    </xf>
    <xf numFmtId="4" fontId="16" fillId="18" borderId="24" xfId="0" applyNumberFormat="1" applyFont="1" applyFill="1" applyBorder="1" applyAlignment="1">
      <alignment horizontal="center" vertical="top"/>
    </xf>
    <xf numFmtId="165" fontId="16" fillId="18" borderId="24" xfId="0" applyNumberFormat="1" applyFont="1" applyFill="1" applyBorder="1" applyAlignment="1">
      <alignment horizontal="center" vertical="top"/>
    </xf>
    <xf numFmtId="9" fontId="3" fillId="18" borderId="24" xfId="1" applyFont="1" applyFill="1" applyBorder="1" applyAlignment="1" applyProtection="1">
      <alignment horizontal="center" vertical="center"/>
    </xf>
    <xf numFmtId="3" fontId="16" fillId="18" borderId="24" xfId="0" applyNumberFormat="1" applyFont="1" applyFill="1" applyBorder="1" applyAlignment="1">
      <alignment horizontal="center"/>
    </xf>
    <xf numFmtId="3" fontId="16" fillId="18" borderId="24" xfId="0" applyNumberFormat="1" applyFont="1" applyFill="1" applyBorder="1" applyAlignment="1">
      <alignment horizontal="right"/>
    </xf>
    <xf numFmtId="165" fontId="16" fillId="0" borderId="0" xfId="1" applyNumberFormat="1" applyFont="1" applyProtection="1"/>
    <xf numFmtId="9" fontId="31" fillId="0" borderId="0" xfId="1" applyFont="1" applyProtection="1"/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12" borderId="24" xfId="0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33" fillId="20" borderId="72" xfId="0" applyFont="1" applyFill="1" applyBorder="1" applyAlignment="1">
      <alignment horizontal="center" vertical="center" wrapText="1"/>
    </xf>
    <xf numFmtId="0" fontId="33" fillId="20" borderId="73" xfId="0" applyFont="1" applyFill="1" applyBorder="1" applyAlignment="1">
      <alignment horizontal="center" vertical="center" wrapText="1"/>
    </xf>
    <xf numFmtId="0" fontId="33" fillId="20" borderId="18" xfId="0" applyFont="1" applyFill="1" applyBorder="1" applyAlignment="1">
      <alignment horizontal="center" vertical="center" wrapText="1"/>
    </xf>
    <xf numFmtId="0" fontId="33" fillId="20" borderId="41" xfId="0" applyFont="1" applyFill="1" applyBorder="1" applyAlignment="1">
      <alignment horizontal="center" vertical="center" wrapText="1"/>
    </xf>
    <xf numFmtId="0" fontId="33" fillId="20" borderId="54" xfId="0" applyFont="1" applyFill="1" applyBorder="1" applyAlignment="1">
      <alignment horizontal="center" vertical="center" wrapText="1"/>
    </xf>
    <xf numFmtId="0" fontId="33" fillId="20" borderId="42" xfId="0" applyFont="1" applyFill="1" applyBorder="1" applyAlignment="1">
      <alignment horizontal="center" vertical="center" wrapText="1"/>
    </xf>
    <xf numFmtId="0" fontId="33" fillId="20" borderId="74" xfId="0" applyFont="1" applyFill="1" applyBorder="1" applyAlignment="1">
      <alignment horizontal="center" vertical="center" wrapText="1"/>
    </xf>
    <xf numFmtId="0" fontId="33" fillId="20" borderId="75" xfId="0" applyFont="1" applyFill="1" applyBorder="1" applyAlignment="1">
      <alignment horizontal="center" vertical="center" wrapText="1"/>
    </xf>
    <xf numFmtId="0" fontId="33" fillId="20" borderId="39" xfId="0" applyFont="1" applyFill="1" applyBorder="1" applyAlignment="1">
      <alignment horizontal="center" vertical="center" wrapText="1"/>
    </xf>
    <xf numFmtId="0" fontId="33" fillId="20" borderId="76" xfId="0" applyFont="1" applyFill="1" applyBorder="1" applyAlignment="1">
      <alignment horizontal="center" vertical="center" wrapText="1"/>
    </xf>
    <xf numFmtId="171" fontId="21" fillId="21" borderId="78" xfId="0" applyNumberFormat="1" applyFont="1" applyFill="1" applyBorder="1" applyAlignment="1">
      <alignment horizontal="right" vertical="top" wrapText="1" indent="1"/>
    </xf>
    <xf numFmtId="171" fontId="21" fillId="21" borderId="75" xfId="0" applyNumberFormat="1" applyFont="1" applyFill="1" applyBorder="1" applyAlignment="1">
      <alignment horizontal="right" vertical="top" wrapText="1"/>
    </xf>
    <xf numFmtId="171" fontId="21" fillId="21" borderId="79" xfId="0" applyNumberFormat="1" applyFont="1" applyFill="1" applyBorder="1" applyAlignment="1">
      <alignment horizontal="right" vertical="top" wrapText="1" indent="1"/>
    </xf>
    <xf numFmtId="171" fontId="21" fillId="21" borderId="80" xfId="0" applyNumberFormat="1" applyFont="1" applyFill="1" applyBorder="1" applyAlignment="1">
      <alignment horizontal="right" vertical="top" wrapText="1" indent="1"/>
    </xf>
    <xf numFmtId="171" fontId="21" fillId="21" borderId="34" xfId="0" applyNumberFormat="1" applyFont="1" applyFill="1" applyBorder="1" applyAlignment="1">
      <alignment horizontal="right" vertical="top" wrapText="1" indent="1"/>
    </xf>
    <xf numFmtId="171" fontId="21" fillId="21" borderId="35" xfId="0" applyNumberFormat="1" applyFont="1" applyFill="1" applyBorder="1" applyAlignment="1">
      <alignment horizontal="right" vertical="top" wrapText="1" indent="1"/>
    </xf>
    <xf numFmtId="171" fontId="21" fillId="0" borderId="37" xfId="0" applyNumberFormat="1" applyFont="1" applyBorder="1" applyAlignment="1">
      <alignment horizontal="right" vertical="top" wrapText="1" indent="1"/>
    </xf>
    <xf numFmtId="171" fontId="21" fillId="0" borderId="74" xfId="0" applyNumberFormat="1" applyFont="1" applyBorder="1" applyAlignment="1">
      <alignment horizontal="right" vertical="top" wrapText="1" indent="1"/>
    </xf>
    <xf numFmtId="171" fontId="21" fillId="21" borderId="75" xfId="0" applyNumberFormat="1" applyFont="1" applyFill="1" applyBorder="1" applyAlignment="1">
      <alignment horizontal="right" vertical="top" wrapText="1" indent="1"/>
    </xf>
    <xf numFmtId="171" fontId="21" fillId="21" borderId="81" xfId="0" applyNumberFormat="1" applyFont="1" applyFill="1" applyBorder="1" applyAlignment="1">
      <alignment horizontal="right" vertical="top" wrapText="1" indent="1"/>
    </xf>
    <xf numFmtId="171" fontId="21" fillId="21" borderId="76" xfId="0" applyNumberFormat="1" applyFont="1" applyFill="1" applyBorder="1" applyAlignment="1">
      <alignment horizontal="right" vertical="top" wrapText="1"/>
    </xf>
    <xf numFmtId="0" fontId="39" fillId="4" borderId="46" xfId="0" applyFont="1" applyFill="1" applyBorder="1" applyAlignment="1">
      <alignment horizontal="left" vertical="top"/>
    </xf>
    <xf numFmtId="0" fontId="40" fillId="4" borderId="0" xfId="0" applyFont="1" applyFill="1" applyAlignment="1">
      <alignment horizontal="left" vertical="top"/>
    </xf>
    <xf numFmtId="0" fontId="39" fillId="4" borderId="0" xfId="0" applyFont="1" applyFill="1" applyAlignment="1">
      <alignment horizontal="left" vertical="top"/>
    </xf>
    <xf numFmtId="2" fontId="39" fillId="4" borderId="0" xfId="0" applyNumberFormat="1" applyFont="1" applyFill="1" applyAlignment="1">
      <alignment horizontal="right" vertical="top"/>
    </xf>
    <xf numFmtId="0" fontId="16" fillId="4" borderId="0" xfId="0" applyFont="1" applyFill="1" applyAlignment="1">
      <alignment horizontal="left"/>
    </xf>
    <xf numFmtId="0" fontId="16" fillId="4" borderId="70" xfId="0" applyFont="1" applyFill="1" applyBorder="1" applyAlignment="1">
      <alignment horizontal="left"/>
    </xf>
    <xf numFmtId="0" fontId="39" fillId="4" borderId="46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70" xfId="0" applyFont="1" applyFill="1" applyBorder="1" applyAlignment="1">
      <alignment horizontal="center" vertical="center"/>
    </xf>
    <xf numFmtId="14" fontId="39" fillId="4" borderId="24" xfId="0" applyNumberFormat="1" applyFont="1" applyFill="1" applyBorder="1" applyAlignment="1">
      <alignment horizontal="center" vertical="top"/>
    </xf>
    <xf numFmtId="4" fontId="39" fillId="4" borderId="24" xfId="0" applyNumberFormat="1" applyFont="1" applyFill="1" applyBorder="1" applyAlignment="1">
      <alignment horizontal="right" vertical="top"/>
    </xf>
    <xf numFmtId="0" fontId="39" fillId="4" borderId="24" xfId="0" applyFont="1" applyFill="1" applyBorder="1" applyAlignment="1">
      <alignment horizontal="left" vertical="top" wrapText="1"/>
    </xf>
    <xf numFmtId="0" fontId="39" fillId="22" borderId="46" xfId="0" applyFont="1" applyFill="1" applyBorder="1" applyAlignment="1">
      <alignment horizontal="left" vertical="top"/>
    </xf>
    <xf numFmtId="0" fontId="39" fillId="22" borderId="0" xfId="0" applyFont="1" applyFill="1" applyAlignment="1">
      <alignment horizontal="left" vertical="top"/>
    </xf>
    <xf numFmtId="4" fontId="40" fillId="22" borderId="0" xfId="0" applyNumberFormat="1" applyFont="1" applyFill="1" applyAlignment="1">
      <alignment horizontal="right" vertical="top"/>
    </xf>
    <xf numFmtId="0" fontId="39" fillId="22" borderId="0" xfId="0" applyFont="1" applyFill="1" applyAlignment="1">
      <alignment horizontal="right" vertical="top"/>
    </xf>
    <xf numFmtId="0" fontId="16" fillId="22" borderId="0" xfId="0" applyFont="1" applyFill="1" applyAlignment="1">
      <alignment horizontal="left"/>
    </xf>
    <xf numFmtId="2" fontId="40" fillId="22" borderId="0" xfId="0" applyNumberFormat="1" applyFont="1" applyFill="1" applyAlignment="1">
      <alignment horizontal="left" vertical="top"/>
    </xf>
    <xf numFmtId="2" fontId="39" fillId="22" borderId="0" xfId="0" applyNumberFormat="1" applyFont="1" applyFill="1" applyAlignment="1">
      <alignment horizontal="left" vertical="top"/>
    </xf>
    <xf numFmtId="0" fontId="16" fillId="22" borderId="70" xfId="0" applyFont="1" applyFill="1" applyBorder="1" applyAlignment="1">
      <alignment horizontal="left"/>
    </xf>
    <xf numFmtId="0" fontId="39" fillId="4" borderId="0" xfId="0" applyFont="1" applyFill="1" applyAlignment="1">
      <alignment horizontal="center" vertical="center" wrapText="1"/>
    </xf>
    <xf numFmtId="0" fontId="39" fillId="4" borderId="46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left" vertical="top" wrapText="1"/>
    </xf>
    <xf numFmtId="0" fontId="16" fillId="4" borderId="0" xfId="0" applyFont="1" applyFill="1" applyAlignment="1">
      <alignment horizontal="center" vertical="center" wrapText="1"/>
    </xf>
    <xf numFmtId="0" fontId="16" fillId="4" borderId="70" xfId="0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center" vertical="center" wrapText="1"/>
    </xf>
    <xf numFmtId="4" fontId="0" fillId="0" borderId="0" xfId="0" applyNumberFormat="1"/>
    <xf numFmtId="1" fontId="39" fillId="4" borderId="24" xfId="0" applyNumberFormat="1" applyFont="1" applyFill="1" applyBorder="1" applyAlignment="1">
      <alignment horizontal="center" vertical="top"/>
    </xf>
    <xf numFmtId="0" fontId="39" fillId="4" borderId="24" xfId="0" applyFont="1" applyFill="1" applyBorder="1" applyAlignment="1">
      <alignment horizontal="left" vertical="top"/>
    </xf>
    <xf numFmtId="172" fontId="39" fillId="4" borderId="24" xfId="0" applyNumberFormat="1" applyFont="1" applyFill="1" applyBorder="1" applyAlignment="1">
      <alignment horizontal="center" vertical="top"/>
    </xf>
    <xf numFmtId="2" fontId="39" fillId="4" borderId="24" xfId="0" applyNumberFormat="1" applyFont="1" applyFill="1" applyBorder="1" applyAlignment="1">
      <alignment horizontal="center" vertical="top"/>
    </xf>
    <xf numFmtId="2" fontId="40" fillId="4" borderId="24" xfId="0" applyNumberFormat="1" applyFont="1" applyFill="1" applyBorder="1" applyAlignment="1">
      <alignment horizontal="right" vertical="center" wrapText="1" indent="1"/>
    </xf>
    <xf numFmtId="4" fontId="39" fillId="4" borderId="0" xfId="0" applyNumberFormat="1" applyFont="1" applyFill="1" applyAlignment="1">
      <alignment horizontal="left" vertical="top"/>
    </xf>
    <xf numFmtId="10" fontId="39" fillId="4" borderId="24" xfId="0" applyNumberFormat="1" applyFont="1" applyFill="1" applyBorder="1" applyAlignment="1">
      <alignment horizontal="center" vertical="top"/>
    </xf>
    <xf numFmtId="0" fontId="39" fillId="4" borderId="24" xfId="0" applyFont="1" applyFill="1" applyBorder="1" applyAlignment="1">
      <alignment horizontal="left" vertical="center"/>
    </xf>
    <xf numFmtId="172" fontId="39" fillId="4" borderId="24" xfId="0" applyNumberFormat="1" applyFont="1" applyFill="1" applyBorder="1" applyAlignment="1">
      <alignment horizontal="center" vertical="center" wrapText="1"/>
    </xf>
    <xf numFmtId="10" fontId="39" fillId="4" borderId="24" xfId="0" applyNumberFormat="1" applyFont="1" applyFill="1" applyBorder="1" applyAlignment="1">
      <alignment horizontal="center" vertical="center" wrapText="1"/>
    </xf>
    <xf numFmtId="2" fontId="39" fillId="4" borderId="24" xfId="0" applyNumberFormat="1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left" vertical="center"/>
    </xf>
    <xf numFmtId="172" fontId="39" fillId="4" borderId="0" xfId="0" applyNumberFormat="1" applyFont="1" applyFill="1" applyAlignment="1">
      <alignment horizontal="center" vertical="center" wrapText="1"/>
    </xf>
    <xf numFmtId="2" fontId="40" fillId="4" borderId="0" xfId="0" applyNumberFormat="1" applyFont="1" applyFill="1" applyAlignment="1">
      <alignment horizontal="right" vertical="center" wrapText="1"/>
    </xf>
    <xf numFmtId="4" fontId="17" fillId="22" borderId="0" xfId="0" applyNumberFormat="1" applyFont="1" applyFill="1" applyAlignment="1">
      <alignment horizontal="right"/>
    </xf>
    <xf numFmtId="0" fontId="16" fillId="22" borderId="0" xfId="0" applyFont="1" applyFill="1" applyAlignment="1">
      <alignment horizontal="right"/>
    </xf>
    <xf numFmtId="2" fontId="16" fillId="22" borderId="0" xfId="0" applyNumberFormat="1" applyFont="1" applyFill="1" applyAlignment="1">
      <alignment horizontal="left"/>
    </xf>
    <xf numFmtId="0" fontId="16" fillId="4" borderId="46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70" xfId="0" applyFont="1" applyBorder="1"/>
    <xf numFmtId="0" fontId="40" fillId="4" borderId="21" xfId="0" applyFont="1" applyFill="1" applyBorder="1" applyAlignment="1">
      <alignment horizontal="left" vertical="top"/>
    </xf>
    <xf numFmtId="0" fontId="17" fillId="4" borderId="21" xfId="0" applyFont="1" applyFill="1" applyBorder="1" applyAlignment="1">
      <alignment horizontal="left"/>
    </xf>
    <xf numFmtId="0" fontId="16" fillId="4" borderId="21" xfId="0" applyFont="1" applyFill="1" applyBorder="1" applyAlignment="1">
      <alignment horizontal="left"/>
    </xf>
    <xf numFmtId="0" fontId="16" fillId="4" borderId="64" xfId="0" applyFont="1" applyFill="1" applyBorder="1" applyAlignment="1">
      <alignment horizontal="left"/>
    </xf>
    <xf numFmtId="0" fontId="16" fillId="4" borderId="46" xfId="0" applyFont="1" applyFill="1" applyBorder="1" applyAlignment="1">
      <alignment horizontal="center" vertical="center" wrapText="1"/>
    </xf>
    <xf numFmtId="0" fontId="39" fillId="4" borderId="26" xfId="0" applyFont="1" applyFill="1" applyBorder="1" applyAlignment="1">
      <alignment horizontal="center" vertical="center" wrapText="1"/>
    </xf>
    <xf numFmtId="2" fontId="40" fillId="4" borderId="24" xfId="0" applyNumberFormat="1" applyFont="1" applyFill="1" applyBorder="1" applyAlignment="1">
      <alignment horizontal="right" vertical="top" indent="1"/>
    </xf>
    <xf numFmtId="3" fontId="39" fillId="4" borderId="24" xfId="0" applyNumberFormat="1" applyFont="1" applyFill="1" applyBorder="1" applyAlignment="1">
      <alignment horizontal="left" vertical="top"/>
    </xf>
    <xf numFmtId="172" fontId="39" fillId="4" borderId="24" xfId="0" applyNumberFormat="1" applyFont="1" applyFill="1" applyBorder="1" applyAlignment="1">
      <alignment vertical="top"/>
    </xf>
    <xf numFmtId="3" fontId="16" fillId="4" borderId="24" xfId="0" applyNumberFormat="1" applyFont="1" applyFill="1" applyBorder="1" applyAlignment="1">
      <alignment vertical="top"/>
    </xf>
    <xf numFmtId="2" fontId="40" fillId="4" borderId="26" xfId="0" applyNumberFormat="1" applyFont="1" applyFill="1" applyBorder="1" applyAlignment="1">
      <alignment horizontal="right" vertical="top" indent="1"/>
    </xf>
    <xf numFmtId="4" fontId="39" fillId="4" borderId="24" xfId="0" applyNumberFormat="1" applyFont="1" applyFill="1" applyBorder="1" applyAlignment="1">
      <alignment horizontal="right" vertical="center" wrapText="1"/>
    </xf>
    <xf numFmtId="3" fontId="39" fillId="4" borderId="24" xfId="0" applyNumberFormat="1" applyFont="1" applyFill="1" applyBorder="1" applyAlignment="1">
      <alignment horizontal="left" vertical="top" wrapText="1"/>
    </xf>
    <xf numFmtId="0" fontId="39" fillId="4" borderId="24" xfId="0" applyFont="1" applyFill="1" applyBorder="1" applyAlignment="1">
      <alignment vertical="center"/>
    </xf>
    <xf numFmtId="172" fontId="39" fillId="4" borderId="24" xfId="0" applyNumberFormat="1" applyFont="1" applyFill="1" applyBorder="1" applyAlignment="1">
      <alignment vertical="center" wrapText="1"/>
    </xf>
    <xf numFmtId="0" fontId="16" fillId="4" borderId="24" xfId="0" applyFont="1" applyFill="1" applyBorder="1" applyAlignment="1">
      <alignment vertical="top" wrapText="1"/>
    </xf>
    <xf numFmtId="10" fontId="39" fillId="4" borderId="24" xfId="0" applyNumberFormat="1" applyFont="1" applyFill="1" applyBorder="1" applyAlignment="1">
      <alignment horizontal="center" vertical="top" wrapText="1"/>
    </xf>
    <xf numFmtId="2" fontId="40" fillId="4" borderId="26" xfId="0" applyNumberFormat="1" applyFont="1" applyFill="1" applyBorder="1" applyAlignment="1">
      <alignment horizontal="right" vertical="top" wrapText="1" inden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1" fillId="12" borderId="30" xfId="0" applyFont="1" applyFill="1" applyBorder="1" applyAlignment="1">
      <alignment horizontal="center" vertical="center"/>
    </xf>
    <xf numFmtId="0" fontId="33" fillId="20" borderId="24" xfId="0" applyFont="1" applyFill="1" applyBorder="1" applyAlignment="1">
      <alignment horizontal="center" vertical="center" wrapText="1"/>
    </xf>
    <xf numFmtId="0" fontId="33" fillId="20" borderId="25" xfId="0" applyFont="1" applyFill="1" applyBorder="1" applyAlignment="1">
      <alignment horizontal="center" vertical="center" wrapText="1"/>
    </xf>
    <xf numFmtId="171" fontId="33" fillId="21" borderId="24" xfId="0" applyNumberFormat="1" applyFont="1" applyFill="1" applyBorder="1" applyAlignment="1">
      <alignment horizontal="right" vertical="top" wrapText="1" indent="1"/>
    </xf>
    <xf numFmtId="171" fontId="33" fillId="21" borderId="25" xfId="0" applyNumberFormat="1" applyFont="1" applyFill="1" applyBorder="1" applyAlignment="1">
      <alignment horizontal="right" vertical="top" wrapText="1"/>
    </xf>
    <xf numFmtId="171" fontId="33" fillId="21" borderId="6" xfId="0" applyNumberFormat="1" applyFont="1" applyFill="1" applyBorder="1" applyAlignment="1">
      <alignment horizontal="right" vertical="top" wrapText="1" indent="1"/>
    </xf>
    <xf numFmtId="171" fontId="33" fillId="21" borderId="80" xfId="0" applyNumberFormat="1" applyFont="1" applyFill="1" applyBorder="1" applyAlignment="1">
      <alignment horizontal="right" vertical="top" wrapText="1" indent="1"/>
    </xf>
    <xf numFmtId="171" fontId="33" fillId="21" borderId="34" xfId="0" applyNumberFormat="1" applyFont="1" applyFill="1" applyBorder="1" applyAlignment="1">
      <alignment horizontal="right" vertical="top" wrapText="1" indent="1"/>
    </xf>
    <xf numFmtId="171" fontId="33" fillId="21" borderId="35" xfId="0" applyNumberFormat="1" applyFont="1" applyFill="1" applyBorder="1" applyAlignment="1">
      <alignment horizontal="right" vertical="top" wrapText="1" indent="1"/>
    </xf>
    <xf numFmtId="171" fontId="33" fillId="0" borderId="35" xfId="0" applyNumberFormat="1" applyFont="1" applyBorder="1" applyAlignment="1">
      <alignment horizontal="right" vertical="top" wrapText="1" indent="1"/>
    </xf>
    <xf numFmtId="171" fontId="21" fillId="0" borderId="80" xfId="0" applyNumberFormat="1" applyFont="1" applyBorder="1" applyAlignment="1">
      <alignment horizontal="right" vertical="top" wrapText="1" indent="1"/>
    </xf>
    <xf numFmtId="171" fontId="21" fillId="21" borderId="37" xfId="0" applyNumberFormat="1" applyFont="1" applyFill="1" applyBorder="1" applyAlignment="1">
      <alignment horizontal="right" vertical="top" wrapText="1" indent="1"/>
    </xf>
    <xf numFmtId="171" fontId="21" fillId="21" borderId="8" xfId="0" applyNumberFormat="1" applyFont="1" applyFill="1" applyBorder="1" applyAlignment="1">
      <alignment horizontal="right" vertical="top" wrapText="1" indent="1"/>
    </xf>
    <xf numFmtId="14" fontId="39" fillId="4" borderId="0" xfId="0" applyNumberFormat="1" applyFont="1" applyFill="1" applyAlignment="1">
      <alignment horizontal="center" vertical="top"/>
    </xf>
    <xf numFmtId="4" fontId="39" fillId="4" borderId="0" xfId="0" applyNumberFormat="1" applyFont="1" applyFill="1" applyAlignment="1">
      <alignment horizontal="right" vertical="top"/>
    </xf>
    <xf numFmtId="0" fontId="39" fillId="4" borderId="0" xfId="0" applyFont="1" applyFill="1" applyAlignment="1">
      <alignment horizontal="left" vertical="top" wrapText="1"/>
    </xf>
    <xf numFmtId="4" fontId="39" fillId="4" borderId="0" xfId="0" applyNumberFormat="1" applyFont="1" applyFill="1" applyAlignment="1">
      <alignment horizontal="center" vertical="top"/>
    </xf>
    <xf numFmtId="2" fontId="17" fillId="22" borderId="0" xfId="0" applyNumberFormat="1" applyFont="1" applyFill="1" applyAlignment="1">
      <alignment horizontal="left"/>
    </xf>
    <xf numFmtId="0" fontId="33" fillId="20" borderId="11" xfId="0" applyFont="1" applyFill="1" applyBorder="1" applyAlignment="1">
      <alignment horizontal="center" vertical="center" wrapText="1"/>
    </xf>
    <xf numFmtId="171" fontId="33" fillId="21" borderId="78" xfId="0" applyNumberFormat="1" applyFont="1" applyFill="1" applyBorder="1" applyAlignment="1">
      <alignment horizontal="right" vertical="top" wrapText="1" indent="1"/>
    </xf>
    <xf numFmtId="171" fontId="33" fillId="21" borderId="75" xfId="0" applyNumberFormat="1" applyFont="1" applyFill="1" applyBorder="1" applyAlignment="1">
      <alignment horizontal="right" vertical="top" wrapText="1"/>
    </xf>
    <xf numFmtId="171" fontId="33" fillId="21" borderId="79" xfId="0" applyNumberFormat="1" applyFont="1" applyFill="1" applyBorder="1" applyAlignment="1">
      <alignment horizontal="right" vertical="top" wrapText="1" indent="1"/>
    </xf>
    <xf numFmtId="171" fontId="33" fillId="0" borderId="37" xfId="0" applyNumberFormat="1" applyFont="1" applyBorder="1" applyAlignment="1">
      <alignment horizontal="right" vertical="top" wrapText="1" indent="1"/>
    </xf>
    <xf numFmtId="0" fontId="21" fillId="23" borderId="83" xfId="0" applyFont="1" applyFill="1" applyBorder="1"/>
    <xf numFmtId="173" fontId="41" fillId="24" borderId="84" xfId="0" applyNumberFormat="1" applyFont="1" applyFill="1" applyBorder="1" applyAlignment="1" applyProtection="1">
      <alignment horizontal="left"/>
      <protection locked="0"/>
    </xf>
    <xf numFmtId="0" fontId="33" fillId="23" borderId="85" xfId="0" applyFont="1" applyFill="1" applyBorder="1"/>
    <xf numFmtId="0" fontId="42" fillId="24" borderId="86" xfId="0" applyFont="1" applyFill="1" applyBorder="1" applyProtection="1">
      <protection locked="0"/>
    </xf>
    <xf numFmtId="0" fontId="43" fillId="23" borderId="0" xfId="0" applyFont="1" applyFill="1" applyAlignment="1">
      <alignment vertical="center"/>
    </xf>
    <xf numFmtId="0" fontId="33" fillId="23" borderId="0" xfId="0" applyFont="1" applyFill="1"/>
    <xf numFmtId="0" fontId="42" fillId="25" borderId="87" xfId="0" applyFont="1" applyFill="1" applyBorder="1"/>
    <xf numFmtId="0" fontId="43" fillId="26" borderId="0" xfId="0" applyFont="1" applyFill="1" applyAlignment="1">
      <alignment vertical="center"/>
    </xf>
    <xf numFmtId="0" fontId="33" fillId="26" borderId="0" xfId="0" applyFont="1" applyFill="1"/>
    <xf numFmtId="0" fontId="44" fillId="25" borderId="87" xfId="0" applyFont="1" applyFill="1" applyBorder="1"/>
    <xf numFmtId="0" fontId="42" fillId="25" borderId="88" xfId="0" applyFont="1" applyFill="1" applyBorder="1"/>
    <xf numFmtId="0" fontId="47" fillId="23" borderId="89" xfId="0" applyFont="1" applyFill="1" applyBorder="1" applyAlignment="1">
      <alignment horizontal="center" wrapText="1"/>
    </xf>
    <xf numFmtId="0" fontId="21" fillId="23" borderId="92" xfId="0" applyFont="1" applyFill="1" applyBorder="1" applyAlignment="1">
      <alignment horizontal="center"/>
    </xf>
    <xf numFmtId="0" fontId="33" fillId="27" borderId="0" xfId="0" applyFont="1" applyFill="1"/>
    <xf numFmtId="0" fontId="21" fillId="23" borderId="93" xfId="0" applyFont="1" applyFill="1" applyBorder="1"/>
    <xf numFmtId="2" fontId="47" fillId="23" borderId="94" xfId="0" applyNumberFormat="1" applyFont="1" applyFill="1" applyBorder="1" applyAlignment="1">
      <alignment horizontal="center"/>
    </xf>
    <xf numFmtId="3" fontId="48" fillId="23" borderId="89" xfId="0" applyNumberFormat="1" applyFont="1" applyFill="1" applyBorder="1" applyAlignment="1">
      <alignment horizontal="center"/>
    </xf>
    <xf numFmtId="10" fontId="33" fillId="27" borderId="0" xfId="0" applyNumberFormat="1" applyFont="1" applyFill="1"/>
    <xf numFmtId="0" fontId="21" fillId="23" borderId="95" xfId="0" applyFont="1" applyFill="1" applyBorder="1"/>
    <xf numFmtId="0" fontId="33" fillId="23" borderId="91" xfId="0" applyFont="1" applyFill="1" applyBorder="1"/>
    <xf numFmtId="0" fontId="33" fillId="23" borderId="96" xfId="0" applyFont="1" applyFill="1" applyBorder="1"/>
    <xf numFmtId="0" fontId="21" fillId="28" borderId="97" xfId="0" applyFont="1" applyFill="1" applyBorder="1" applyAlignment="1" applyProtection="1">
      <alignment wrapText="1"/>
      <protection locked="0"/>
    </xf>
    <xf numFmtId="0" fontId="33" fillId="29" borderId="98" xfId="0" applyFont="1" applyFill="1" applyBorder="1"/>
    <xf numFmtId="0" fontId="21" fillId="30" borderId="98" xfId="0" applyFont="1" applyFill="1" applyBorder="1" applyAlignment="1">
      <alignment horizontal="center" vertical="center" wrapText="1"/>
    </xf>
    <xf numFmtId="0" fontId="33" fillId="23" borderId="99" xfId="0" applyFont="1" applyFill="1" applyBorder="1"/>
    <xf numFmtId="0" fontId="33" fillId="23" borderId="100" xfId="0" applyFont="1" applyFill="1" applyBorder="1"/>
    <xf numFmtId="0" fontId="33" fillId="29" borderId="100" xfId="0" applyFont="1" applyFill="1" applyBorder="1"/>
    <xf numFmtId="0" fontId="21" fillId="30" borderId="101" xfId="0" applyFont="1" applyFill="1" applyBorder="1" applyAlignment="1">
      <alignment horizontal="center" vertical="center" wrapText="1"/>
    </xf>
    <xf numFmtId="0" fontId="21" fillId="23" borderId="9" xfId="0" applyFont="1" applyFill="1" applyBorder="1" applyAlignment="1">
      <alignment vertical="center" wrapText="1"/>
    </xf>
    <xf numFmtId="0" fontId="21" fillId="23" borderId="102" xfId="0" applyFont="1" applyFill="1" applyBorder="1" applyAlignment="1">
      <alignment horizontal="center" vertical="center"/>
    </xf>
    <xf numFmtId="0" fontId="48" fillId="23" borderId="103" xfId="0" applyFont="1" applyFill="1" applyBorder="1" applyAlignment="1">
      <alignment horizontal="center" vertical="center"/>
    </xf>
    <xf numFmtId="0" fontId="48" fillId="23" borderId="97" xfId="0" applyFont="1" applyFill="1" applyBorder="1" applyAlignment="1">
      <alignment horizontal="center" vertical="center"/>
    </xf>
    <xf numFmtId="0" fontId="48" fillId="29" borderId="97" xfId="0" applyFont="1" applyFill="1" applyBorder="1" applyAlignment="1">
      <alignment horizontal="center" vertical="center"/>
    </xf>
    <xf numFmtId="0" fontId="21" fillId="30" borderId="97" xfId="0" applyFont="1" applyFill="1" applyBorder="1" applyAlignment="1">
      <alignment horizontal="center" vertical="center" wrapText="1"/>
    </xf>
    <xf numFmtId="0" fontId="21" fillId="30" borderId="104" xfId="0" applyFont="1" applyFill="1" applyBorder="1" applyAlignment="1">
      <alignment horizontal="center" vertical="center" wrapText="1"/>
    </xf>
    <xf numFmtId="0" fontId="21" fillId="23" borderId="84" xfId="0" applyFont="1" applyFill="1" applyBorder="1"/>
    <xf numFmtId="0" fontId="49" fillId="0" borderId="107" xfId="0" applyFont="1" applyBorder="1"/>
    <xf numFmtId="0" fontId="33" fillId="0" borderId="108" xfId="0" applyFont="1" applyBorder="1"/>
    <xf numFmtId="0" fontId="3" fillId="0" borderId="108" xfId="0" applyFont="1" applyBorder="1"/>
    <xf numFmtId="0" fontId="33" fillId="0" borderId="109" xfId="0" applyFont="1" applyBorder="1"/>
    <xf numFmtId="3" fontId="33" fillId="29" borderId="19" xfId="0" applyNumberFormat="1" applyFont="1" applyFill="1" applyBorder="1" applyAlignment="1">
      <alignment horizontal="center"/>
    </xf>
    <xf numFmtId="3" fontId="33" fillId="30" borderId="107" xfId="0" applyNumberFormat="1" applyFont="1" applyFill="1" applyBorder="1" applyAlignment="1">
      <alignment horizontal="center"/>
    </xf>
    <xf numFmtId="3" fontId="33" fillId="30" borderId="108" xfId="0" applyNumberFormat="1" applyFont="1" applyFill="1" applyBorder="1" applyAlignment="1">
      <alignment horizontal="center"/>
    </xf>
    <xf numFmtId="3" fontId="33" fillId="0" borderId="108" xfId="0" applyNumberFormat="1" applyFont="1" applyBorder="1" applyAlignment="1">
      <alignment horizontal="center"/>
    </xf>
    <xf numFmtId="0" fontId="21" fillId="23" borderId="86" xfId="0" applyFont="1" applyFill="1" applyBorder="1"/>
    <xf numFmtId="0" fontId="49" fillId="0" borderId="110" xfId="0" applyFont="1" applyBorder="1"/>
    <xf numFmtId="0" fontId="33" fillId="0" borderId="111" xfId="0" applyFont="1" applyBorder="1"/>
    <xf numFmtId="0" fontId="3" fillId="0" borderId="111" xfId="0" applyFont="1" applyBorder="1"/>
    <xf numFmtId="0" fontId="33" fillId="0" borderId="112" xfId="0" applyFont="1" applyBorder="1"/>
    <xf numFmtId="3" fontId="33" fillId="29" borderId="24" xfId="0" applyNumberFormat="1" applyFont="1" applyFill="1" applyBorder="1" applyAlignment="1">
      <alignment horizontal="center"/>
    </xf>
    <xf numFmtId="3" fontId="33" fillId="30" borderId="110" xfId="0" applyNumberFormat="1" applyFont="1" applyFill="1" applyBorder="1" applyAlignment="1">
      <alignment horizontal="center"/>
    </xf>
    <xf numFmtId="3" fontId="33" fillId="30" borderId="111" xfId="0" applyNumberFormat="1" applyFont="1" applyFill="1" applyBorder="1" applyAlignment="1">
      <alignment horizontal="center"/>
    </xf>
    <xf numFmtId="3" fontId="33" fillId="0" borderId="111" xfId="0" applyNumberFormat="1" applyFont="1" applyBorder="1" applyAlignment="1">
      <alignment horizontal="center"/>
    </xf>
    <xf numFmtId="0" fontId="33" fillId="15" borderId="111" xfId="0" applyFont="1" applyFill="1" applyBorder="1"/>
    <xf numFmtId="0" fontId="50" fillId="0" borderId="111" xfId="0" applyFont="1" applyBorder="1"/>
    <xf numFmtId="0" fontId="49" fillId="0" borderId="110" xfId="0" applyFont="1" applyBorder="1" applyProtection="1">
      <protection locked="0"/>
    </xf>
    <xf numFmtId="0" fontId="49" fillId="0" borderId="111" xfId="0" applyFont="1" applyBorder="1" applyProtection="1">
      <protection locked="0"/>
    </xf>
    <xf numFmtId="0" fontId="3" fillId="0" borderId="111" xfId="0" applyFont="1" applyBorder="1" applyProtection="1">
      <protection locked="0"/>
    </xf>
    <xf numFmtId="0" fontId="49" fillId="0" borderId="24" xfId="0" applyFont="1" applyBorder="1"/>
    <xf numFmtId="0" fontId="49" fillId="0" borderId="0" xfId="0" applyFont="1" applyProtection="1">
      <protection locked="0"/>
    </xf>
    <xf numFmtId="0" fontId="49" fillId="0" borderId="112" xfId="0" applyFont="1" applyBorder="1" applyProtection="1">
      <protection locked="0"/>
    </xf>
    <xf numFmtId="0" fontId="43" fillId="0" borderId="110" xfId="0" applyFont="1" applyBorder="1" applyProtection="1">
      <protection locked="0"/>
    </xf>
    <xf numFmtId="0" fontId="43" fillId="0" borderId="111" xfId="0" applyFont="1" applyBorder="1" applyProtection="1">
      <protection locked="0"/>
    </xf>
    <xf numFmtId="0" fontId="43" fillId="0" borderId="24" xfId="0" applyFont="1" applyBorder="1"/>
    <xf numFmtId="0" fontId="21" fillId="31" borderId="86" xfId="0" applyFont="1" applyFill="1" applyBorder="1" applyProtection="1">
      <protection locked="0"/>
    </xf>
    <xf numFmtId="0" fontId="43" fillId="32" borderId="24" xfId="0" applyFont="1" applyFill="1" applyBorder="1"/>
    <xf numFmtId="0" fontId="49" fillId="15" borderId="24" xfId="0" applyFont="1" applyFill="1" applyBorder="1"/>
    <xf numFmtId="0" fontId="49" fillId="15" borderId="111" xfId="0" applyFont="1" applyFill="1" applyBorder="1" applyProtection="1">
      <protection locked="0"/>
    </xf>
    <xf numFmtId="0" fontId="49" fillId="15" borderId="113" xfId="0" applyFont="1" applyFill="1" applyBorder="1" applyProtection="1">
      <protection locked="0"/>
    </xf>
    <xf numFmtId="3" fontId="33" fillId="33" borderId="24" xfId="0" applyNumberFormat="1" applyFont="1" applyFill="1" applyBorder="1" applyAlignment="1" applyProtection="1">
      <alignment horizontal="center"/>
      <protection hidden="1"/>
    </xf>
    <xf numFmtId="3" fontId="33" fillId="34" borderId="110" xfId="0" applyNumberFormat="1" applyFont="1" applyFill="1" applyBorder="1" applyAlignment="1" applyProtection="1">
      <alignment horizontal="center"/>
      <protection hidden="1"/>
    </xf>
    <xf numFmtId="3" fontId="33" fillId="34" borderId="111" xfId="0" applyNumberFormat="1" applyFont="1" applyFill="1" applyBorder="1" applyAlignment="1" applyProtection="1">
      <alignment horizontal="center"/>
      <protection hidden="1"/>
    </xf>
    <xf numFmtId="3" fontId="33" fillId="0" borderId="111" xfId="0" applyNumberFormat="1" applyFont="1" applyBorder="1" applyAlignment="1" applyProtection="1">
      <alignment horizontal="center"/>
      <protection hidden="1"/>
    </xf>
    <xf numFmtId="0" fontId="51" fillId="23" borderId="86" xfId="0" applyFont="1" applyFill="1" applyBorder="1"/>
    <xf numFmtId="3" fontId="49" fillId="29" borderId="24" xfId="0" applyNumberFormat="1" applyFont="1" applyFill="1" applyBorder="1" applyAlignment="1">
      <alignment horizontal="center"/>
    </xf>
    <xf numFmtId="3" fontId="49" fillId="30" borderId="110" xfId="0" applyNumberFormat="1" applyFont="1" applyFill="1" applyBorder="1" applyAlignment="1">
      <alignment horizontal="center"/>
    </xf>
    <xf numFmtId="3" fontId="49" fillId="30" borderId="111" xfId="0" applyNumberFormat="1" applyFont="1" applyFill="1" applyBorder="1" applyAlignment="1">
      <alignment horizontal="center"/>
    </xf>
    <xf numFmtId="3" fontId="49" fillId="0" borderId="111" xfId="0" applyNumberFormat="1" applyFont="1" applyBorder="1" applyAlignment="1">
      <alignment horizontal="center"/>
    </xf>
    <xf numFmtId="0" fontId="21" fillId="31" borderId="114" xfId="0" applyFont="1" applyFill="1" applyBorder="1" applyProtection="1">
      <protection locked="0"/>
    </xf>
    <xf numFmtId="0" fontId="43" fillId="0" borderId="24" xfId="0" applyFont="1" applyBorder="1" applyProtection="1">
      <protection locked="0"/>
    </xf>
    <xf numFmtId="0" fontId="43" fillId="12" borderId="24" xfId="0" applyFont="1" applyFill="1" applyBorder="1"/>
    <xf numFmtId="0" fontId="49" fillId="12" borderId="111" xfId="0" applyFont="1" applyFill="1" applyBorder="1" applyProtection="1">
      <protection locked="0"/>
    </xf>
    <xf numFmtId="0" fontId="49" fillId="12" borderId="24" xfId="0" applyFont="1" applyFill="1" applyBorder="1"/>
    <xf numFmtId="0" fontId="43" fillId="35" borderId="24" xfId="0" applyFont="1" applyFill="1" applyBorder="1"/>
    <xf numFmtId="3" fontId="33" fillId="33" borderId="23" xfId="0" applyNumberFormat="1" applyFont="1" applyFill="1" applyBorder="1" applyAlignment="1" applyProtection="1">
      <alignment horizontal="center"/>
      <protection hidden="1"/>
    </xf>
    <xf numFmtId="3" fontId="33" fillId="0" borderId="113" xfId="0" applyNumberFormat="1" applyFont="1" applyBorder="1" applyAlignment="1" applyProtection="1">
      <alignment horizontal="center"/>
      <protection hidden="1"/>
    </xf>
    <xf numFmtId="0" fontId="43" fillId="0" borderId="115" xfId="0" applyFont="1" applyBorder="1" applyProtection="1">
      <protection locked="0"/>
    </xf>
    <xf numFmtId="0" fontId="52" fillId="12" borderId="24" xfId="0" applyFont="1" applyFill="1" applyBorder="1"/>
    <xf numFmtId="0" fontId="51" fillId="23" borderId="116" xfId="0" applyFont="1" applyFill="1" applyBorder="1"/>
    <xf numFmtId="0" fontId="43" fillId="0" borderId="31" xfId="0" applyFont="1" applyBorder="1" applyProtection="1">
      <protection locked="0"/>
    </xf>
    <xf numFmtId="0" fontId="43" fillId="0" borderId="30" xfId="0" applyFont="1" applyBorder="1" applyProtection="1">
      <protection locked="0"/>
    </xf>
    <xf numFmtId="0" fontId="53" fillId="0" borderId="24" xfId="0" applyFont="1" applyBorder="1"/>
    <xf numFmtId="0" fontId="43" fillId="0" borderId="0" xfId="0" applyFont="1"/>
    <xf numFmtId="0" fontId="43" fillId="0" borderId="23" xfId="0" applyFont="1" applyBorder="1"/>
    <xf numFmtId="3" fontId="49" fillId="29" borderId="28" xfId="0" applyNumberFormat="1" applyFont="1" applyFill="1" applyBorder="1" applyAlignment="1">
      <alignment horizontal="center"/>
    </xf>
    <xf numFmtId="3" fontId="49" fillId="30" borderId="113" xfId="0" applyNumberFormat="1" applyFont="1" applyFill="1" applyBorder="1" applyAlignment="1">
      <alignment horizontal="center"/>
    </xf>
    <xf numFmtId="3" fontId="49" fillId="0" borderId="113" xfId="0" applyNumberFormat="1" applyFont="1" applyBorder="1" applyAlignment="1">
      <alignment horizontal="center"/>
    </xf>
    <xf numFmtId="3" fontId="21" fillId="23" borderId="117" xfId="0" applyNumberFormat="1" applyFont="1" applyFill="1" applyBorder="1" applyAlignment="1">
      <alignment horizontal="center"/>
    </xf>
    <xf numFmtId="3" fontId="21" fillId="29" borderId="97" xfId="0" applyNumberFormat="1" applyFont="1" applyFill="1" applyBorder="1" applyAlignment="1">
      <alignment horizontal="center"/>
    </xf>
    <xf numFmtId="3" fontId="21" fillId="29" borderId="118" xfId="0" applyNumberFormat="1" applyFont="1" applyFill="1" applyBorder="1" applyAlignment="1">
      <alignment horizontal="center"/>
    </xf>
    <xf numFmtId="3" fontId="21" fillId="29" borderId="117" xfId="0" applyNumberFormat="1" applyFont="1" applyFill="1" applyBorder="1" applyAlignment="1">
      <alignment horizontal="center"/>
    </xf>
    <xf numFmtId="3" fontId="21" fillId="29" borderId="104" xfId="0" applyNumberFormat="1" applyFont="1" applyFill="1" applyBorder="1" applyAlignment="1">
      <alignment horizontal="center"/>
    </xf>
    <xf numFmtId="3" fontId="21" fillId="29" borderId="13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17" fillId="2" borderId="1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165" fontId="16" fillId="6" borderId="27" xfId="1" applyNumberFormat="1" applyFont="1" applyFill="1" applyBorder="1" applyAlignment="1" applyProtection="1">
      <alignment horizontal="center" vertical="center" wrapText="1"/>
    </xf>
    <xf numFmtId="165" fontId="16" fillId="6" borderId="28" xfId="1" applyNumberFormat="1" applyFont="1" applyFill="1" applyBorder="1" applyAlignment="1" applyProtection="1">
      <alignment horizontal="center" vertical="center" wrapText="1"/>
    </xf>
    <xf numFmtId="165" fontId="16" fillId="6" borderId="20" xfId="1" applyNumberFormat="1" applyFont="1" applyFill="1" applyBorder="1" applyAlignment="1" applyProtection="1">
      <alignment horizontal="center" vertical="center" wrapText="1"/>
    </xf>
    <xf numFmtId="165" fontId="16" fillId="6" borderId="29" xfId="1" applyNumberFormat="1" applyFont="1" applyFill="1" applyBorder="1" applyAlignment="1" applyProtection="1">
      <alignment horizontal="center" vertical="center" wrapText="1"/>
    </xf>
    <xf numFmtId="165" fontId="16" fillId="6" borderId="24" xfId="1" applyNumberFormat="1" applyFont="1" applyFill="1" applyBorder="1" applyAlignment="1" applyProtection="1">
      <alignment horizontal="center" vertical="center" wrapText="1"/>
    </xf>
    <xf numFmtId="0" fontId="19" fillId="0" borderId="32" xfId="0" applyFont="1" applyBorder="1" applyAlignment="1">
      <alignment horizontal="left" vertical="center"/>
    </xf>
    <xf numFmtId="0" fontId="15" fillId="10" borderId="24" xfId="0" applyFont="1" applyFill="1" applyBorder="1" applyAlignment="1">
      <alignment horizontal="center" vertical="center"/>
    </xf>
    <xf numFmtId="0" fontId="17" fillId="10" borderId="24" xfId="0" applyFont="1" applyFill="1" applyBorder="1" applyAlignment="1">
      <alignment horizontal="center" vertical="center" wrapText="1"/>
    </xf>
    <xf numFmtId="0" fontId="25" fillId="10" borderId="24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top"/>
    </xf>
    <xf numFmtId="0" fontId="2" fillId="0" borderId="0" xfId="0" applyFont="1"/>
    <xf numFmtId="0" fontId="0" fillId="0" borderId="3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3" fontId="17" fillId="5" borderId="49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center" vertical="center"/>
    </xf>
    <xf numFmtId="3" fontId="17" fillId="5" borderId="49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 vertical="center" wrapText="1"/>
    </xf>
    <xf numFmtId="3" fontId="17" fillId="5" borderId="18" xfId="0" applyNumberFormat="1" applyFont="1" applyFill="1" applyBorder="1" applyAlignment="1">
      <alignment horizontal="center" vertical="center" wrapText="1"/>
    </xf>
    <xf numFmtId="3" fontId="17" fillId="5" borderId="40" xfId="0" applyNumberFormat="1" applyFont="1" applyFill="1" applyBorder="1" applyAlignment="1">
      <alignment horizontal="center" vertical="center" wrapText="1"/>
    </xf>
    <xf numFmtId="3" fontId="17" fillId="5" borderId="42" xfId="0" applyNumberFormat="1" applyFont="1" applyFill="1" applyBorder="1" applyAlignment="1">
      <alignment horizontal="center" vertical="center" wrapText="1"/>
    </xf>
    <xf numFmtId="3" fontId="17" fillId="5" borderId="43" xfId="0" applyNumberFormat="1" applyFont="1" applyFill="1" applyBorder="1" applyAlignment="1">
      <alignment horizontal="center" vertical="center"/>
    </xf>
    <xf numFmtId="3" fontId="17" fillId="5" borderId="33" xfId="0" applyNumberFormat="1" applyFont="1" applyFill="1" applyBorder="1" applyAlignment="1">
      <alignment horizontal="center" vertical="center"/>
    </xf>
    <xf numFmtId="3" fontId="17" fillId="5" borderId="50" xfId="0" applyNumberFormat="1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3" fontId="17" fillId="5" borderId="43" xfId="0" applyNumberFormat="1" applyFont="1" applyFill="1" applyBorder="1" applyAlignment="1">
      <alignment horizontal="center" vertical="center" wrapText="1"/>
    </xf>
    <xf numFmtId="3" fontId="17" fillId="5" borderId="33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/>
    </xf>
    <xf numFmtId="0" fontId="20" fillId="0" borderId="52" xfId="0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5" fontId="32" fillId="0" borderId="9" xfId="0" applyNumberFormat="1" applyFont="1" applyBorder="1" applyAlignment="1">
      <alignment horizontal="center" vertical="center"/>
    </xf>
    <xf numFmtId="5" fontId="32" fillId="0" borderId="10" xfId="0" applyNumberFormat="1" applyFont="1" applyBorder="1" applyAlignment="1">
      <alignment horizontal="center" vertical="center"/>
    </xf>
    <xf numFmtId="5" fontId="32" fillId="0" borderId="4" xfId="0" applyNumberFormat="1" applyFont="1" applyBorder="1" applyAlignment="1">
      <alignment horizontal="center" vertical="center"/>
    </xf>
    <xf numFmtId="166" fontId="32" fillId="0" borderId="61" xfId="1" applyNumberFormat="1" applyFont="1" applyBorder="1" applyAlignment="1" applyProtection="1">
      <alignment horizontal="center" vertical="center"/>
    </xf>
    <xf numFmtId="166" fontId="32" fillId="0" borderId="13" xfId="1" applyNumberFormat="1" applyFont="1" applyBorder="1" applyAlignment="1" applyProtection="1">
      <alignment horizontal="center" vertical="center"/>
    </xf>
    <xf numFmtId="166" fontId="32" fillId="0" borderId="14" xfId="1" applyNumberFormat="1" applyFont="1" applyBorder="1" applyAlignment="1" applyProtection="1">
      <alignment horizontal="center" vertical="center"/>
    </xf>
    <xf numFmtId="166" fontId="32" fillId="0" borderId="57" xfId="1" applyNumberFormat="1" applyFont="1" applyBorder="1" applyAlignment="1" applyProtection="1">
      <alignment horizontal="center" vertical="center"/>
    </xf>
    <xf numFmtId="166" fontId="32" fillId="0" borderId="56" xfId="1" applyNumberFormat="1" applyFont="1" applyBorder="1" applyAlignment="1" applyProtection="1">
      <alignment horizontal="center" vertical="center"/>
    </xf>
    <xf numFmtId="166" fontId="32" fillId="0" borderId="60" xfId="1" applyNumberFormat="1" applyFont="1" applyBorder="1" applyAlignment="1" applyProtection="1">
      <alignment horizontal="center" vertical="center"/>
    </xf>
    <xf numFmtId="0" fontId="19" fillId="0" borderId="39" xfId="0" applyFont="1" applyBorder="1" applyAlignment="1">
      <alignment horizontal="left" vertical="center"/>
    </xf>
    <xf numFmtId="0" fontId="19" fillId="0" borderId="40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7" fillId="0" borderId="55" xfId="0" applyFont="1" applyBorder="1" applyAlignment="1">
      <alignment horizontal="left"/>
    </xf>
    <xf numFmtId="0" fontId="27" fillId="0" borderId="24" xfId="0" applyFont="1" applyBorder="1" applyAlignment="1">
      <alignment horizontal="left"/>
    </xf>
    <xf numFmtId="0" fontId="27" fillId="0" borderId="25" xfId="0" applyFont="1" applyBorder="1" applyAlignment="1">
      <alignment horizontal="left"/>
    </xf>
    <xf numFmtId="0" fontId="27" fillId="0" borderId="59" xfId="0" applyFont="1" applyBorder="1" applyAlignment="1">
      <alignment horizontal="left"/>
    </xf>
    <xf numFmtId="0" fontId="27" fillId="0" borderId="56" xfId="0" applyFont="1" applyBorder="1" applyAlignment="1">
      <alignment horizontal="left"/>
    </xf>
    <xf numFmtId="0" fontId="27" fillId="0" borderId="58" xfId="0" applyFont="1" applyBorder="1" applyAlignment="1">
      <alignment horizontal="left"/>
    </xf>
    <xf numFmtId="164" fontId="35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12" fillId="3" borderId="2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3" fontId="11" fillId="2" borderId="63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64" xfId="0" applyFont="1" applyBorder="1" applyAlignment="1">
      <alignment horizontal="left" vertical="center"/>
    </xf>
    <xf numFmtId="0" fontId="15" fillId="14" borderId="24" xfId="0" applyFont="1" applyFill="1" applyBorder="1" applyAlignment="1">
      <alignment horizontal="center" vertical="center"/>
    </xf>
    <xf numFmtId="0" fontId="17" fillId="14" borderId="24" xfId="0" applyFont="1" applyFill="1" applyBorder="1" applyAlignment="1">
      <alignment horizontal="center" vertical="center" wrapText="1"/>
    </xf>
    <xf numFmtId="164" fontId="35" fillId="5" borderId="0" xfId="0" applyNumberFormat="1" applyFont="1" applyFill="1" applyAlignment="1">
      <alignment horizontal="center" vertical="center"/>
    </xf>
    <xf numFmtId="0" fontId="36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 vertical="top"/>
    </xf>
    <xf numFmtId="0" fontId="10" fillId="5" borderId="0" xfId="0" applyFont="1" applyFill="1" applyAlignment="1">
      <alignment horizontal="left" vertical="top"/>
    </xf>
    <xf numFmtId="0" fontId="12" fillId="17" borderId="24" xfId="0" applyFont="1" applyFill="1" applyBorder="1" applyAlignment="1" applyProtection="1">
      <alignment horizontal="center" vertical="center" wrapText="1"/>
      <protection locked="0"/>
    </xf>
    <xf numFmtId="3" fontId="11" fillId="5" borderId="68" xfId="0" applyNumberFormat="1" applyFont="1" applyFill="1" applyBorder="1" applyAlignment="1" applyProtection="1">
      <alignment horizontal="center"/>
      <protection locked="0"/>
    </xf>
    <xf numFmtId="0" fontId="16" fillId="5" borderId="0" xfId="0" applyFont="1" applyFill="1" applyAlignment="1">
      <alignment horizontal="center" vertical="top"/>
    </xf>
    <xf numFmtId="0" fontId="15" fillId="16" borderId="24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 wrapText="1"/>
    </xf>
    <xf numFmtId="0" fontId="17" fillId="18" borderId="24" xfId="0" applyFont="1" applyFill="1" applyBorder="1" applyAlignment="1">
      <alignment horizontal="center" vertical="top"/>
    </xf>
    <xf numFmtId="17" fontId="21" fillId="19" borderId="38" xfId="0" applyNumberFormat="1" applyFont="1" applyFill="1" applyBorder="1" applyAlignment="1">
      <alignment horizontal="left" vertical="center" wrapText="1"/>
    </xf>
    <xf numFmtId="17" fontId="21" fillId="19" borderId="40" xfId="0" applyNumberFormat="1" applyFont="1" applyFill="1" applyBorder="1" applyAlignment="1">
      <alignment horizontal="left" vertical="center" wrapText="1"/>
    </xf>
    <xf numFmtId="17" fontId="21" fillId="19" borderId="53" xfId="0" applyNumberFormat="1" applyFont="1" applyFill="1" applyBorder="1" applyAlignment="1">
      <alignment horizontal="left" vertical="center" wrapText="1"/>
    </xf>
    <xf numFmtId="0" fontId="21" fillId="4" borderId="55" xfId="0" applyFont="1" applyFill="1" applyBorder="1" applyAlignment="1">
      <alignment horizontal="left" vertical="center" wrapText="1"/>
    </xf>
    <xf numFmtId="0" fontId="21" fillId="4" borderId="24" xfId="0" applyFont="1" applyFill="1" applyBorder="1" applyAlignment="1">
      <alignment horizontal="left" vertical="center" wrapText="1"/>
    </xf>
    <xf numFmtId="0" fontId="33" fillId="20" borderId="71" xfId="0" applyFont="1" applyFill="1" applyBorder="1" applyAlignment="1">
      <alignment horizontal="center" vertical="center" wrapText="1"/>
    </xf>
    <xf numFmtId="0" fontId="33" fillId="20" borderId="72" xfId="0" applyFont="1" applyFill="1" applyBorder="1" applyAlignment="1">
      <alignment horizontal="center" vertical="center" wrapText="1"/>
    </xf>
    <xf numFmtId="3" fontId="21" fillId="21" borderId="77" xfId="0" applyNumberFormat="1" applyFont="1" applyFill="1" applyBorder="1" applyAlignment="1">
      <alignment horizontal="left" vertical="top" wrapText="1"/>
    </xf>
    <xf numFmtId="0" fontId="21" fillId="21" borderId="78" xfId="0" applyFont="1" applyFill="1" applyBorder="1" applyAlignment="1">
      <alignment horizontal="left" vertical="top" wrapText="1"/>
    </xf>
    <xf numFmtId="0" fontId="39" fillId="4" borderId="24" xfId="0" applyFont="1" applyFill="1" applyBorder="1" applyAlignment="1">
      <alignment horizontal="center" vertical="center"/>
    </xf>
    <xf numFmtId="0" fontId="39" fillId="4" borderId="24" xfId="0" applyFont="1" applyFill="1" applyBorder="1" applyAlignment="1">
      <alignment horizontal="left" vertical="top" wrapText="1"/>
    </xf>
    <xf numFmtId="4" fontId="39" fillId="4" borderId="24" xfId="0" applyNumberFormat="1" applyFont="1" applyFill="1" applyBorder="1" applyAlignment="1">
      <alignment horizontal="center" vertical="top"/>
    </xf>
    <xf numFmtId="0" fontId="17" fillId="4" borderId="0" xfId="0" applyFont="1" applyFill="1" applyAlignment="1">
      <alignment horizontal="left" vertical="top" wrapText="1"/>
    </xf>
    <xf numFmtId="0" fontId="39" fillId="4" borderId="24" xfId="0" applyFont="1" applyFill="1" applyBorder="1" applyAlignment="1">
      <alignment horizontal="center" vertical="center" wrapText="1"/>
    </xf>
    <xf numFmtId="2" fontId="39" fillId="4" borderId="24" xfId="0" applyNumberFormat="1" applyFont="1" applyFill="1" applyBorder="1" applyAlignment="1">
      <alignment horizontal="center" vertical="top"/>
    </xf>
    <xf numFmtId="2" fontId="39" fillId="4" borderId="24" xfId="0" applyNumberFormat="1" applyFont="1" applyFill="1" applyBorder="1" applyAlignment="1">
      <alignment horizontal="center" vertical="center" wrapText="1"/>
    </xf>
    <xf numFmtId="0" fontId="39" fillId="4" borderId="24" xfId="0" applyFont="1" applyFill="1" applyBorder="1" applyAlignment="1">
      <alignment horizontal="left" vertical="top"/>
    </xf>
    <xf numFmtId="0" fontId="39" fillId="4" borderId="24" xfId="0" applyFont="1" applyFill="1" applyBorder="1" applyAlignment="1">
      <alignment horizontal="left" vertical="center"/>
    </xf>
    <xf numFmtId="0" fontId="21" fillId="4" borderId="82" xfId="0" applyFont="1" applyFill="1" applyBorder="1" applyAlignment="1">
      <alignment horizontal="left" vertical="center" wrapText="1"/>
    </xf>
    <xf numFmtId="0" fontId="21" fillId="4" borderId="30" xfId="0" applyFont="1" applyFill="1" applyBorder="1" applyAlignment="1">
      <alignment horizontal="left" vertical="center" wrapText="1"/>
    </xf>
    <xf numFmtId="0" fontId="33" fillId="20" borderId="24" xfId="0" applyFont="1" applyFill="1" applyBorder="1" applyAlignment="1">
      <alignment horizontal="center" vertical="center" wrapText="1"/>
    </xf>
    <xf numFmtId="3" fontId="21" fillId="21" borderId="24" xfId="0" applyNumberFormat="1" applyFont="1" applyFill="1" applyBorder="1" applyAlignment="1">
      <alignment horizontal="left" vertical="top" wrapText="1"/>
    </xf>
    <xf numFmtId="0" fontId="21" fillId="21" borderId="24" xfId="0" applyFont="1" applyFill="1" applyBorder="1" applyAlignment="1">
      <alignment horizontal="left" vertical="top" wrapText="1"/>
    </xf>
    <xf numFmtId="4" fontId="39" fillId="4" borderId="24" xfId="0" applyNumberFormat="1" applyFont="1" applyFill="1" applyBorder="1" applyAlignment="1">
      <alignment horizontal="right" vertical="top"/>
    </xf>
    <xf numFmtId="0" fontId="39" fillId="4" borderId="25" xfId="0" applyFont="1" applyFill="1" applyBorder="1" applyAlignment="1">
      <alignment horizontal="left" vertical="top" wrapText="1"/>
    </xf>
    <xf numFmtId="0" fontId="39" fillId="4" borderId="23" xfId="0" applyFont="1" applyFill="1" applyBorder="1" applyAlignment="1">
      <alignment horizontal="left" vertical="top" wrapText="1"/>
    </xf>
    <xf numFmtId="0" fontId="45" fillId="23" borderId="89" xfId="0" applyFont="1" applyFill="1" applyBorder="1" applyAlignment="1">
      <alignment horizontal="center"/>
    </xf>
    <xf numFmtId="0" fontId="45" fillId="23" borderId="90" xfId="0" applyFont="1" applyFill="1" applyBorder="1" applyAlignment="1">
      <alignment horizontal="center"/>
    </xf>
    <xf numFmtId="3" fontId="46" fillId="23" borderId="89" xfId="0" applyNumberFormat="1" applyFont="1" applyFill="1" applyBorder="1" applyAlignment="1">
      <alignment horizontal="center"/>
    </xf>
    <xf numFmtId="3" fontId="46" fillId="23" borderId="91" xfId="0" applyNumberFormat="1" applyFont="1" applyFill="1" applyBorder="1" applyAlignment="1">
      <alignment horizontal="center"/>
    </xf>
    <xf numFmtId="3" fontId="46" fillId="23" borderId="90" xfId="0" applyNumberFormat="1" applyFont="1" applyFill="1" applyBorder="1" applyAlignment="1">
      <alignment horizontal="center"/>
    </xf>
    <xf numFmtId="0" fontId="33" fillId="23" borderId="89" xfId="0" applyFont="1" applyFill="1" applyBorder="1" applyAlignment="1">
      <alignment horizontal="left" wrapText="1"/>
    </xf>
    <xf numFmtId="0" fontId="33" fillId="23" borderId="91" xfId="0" applyFont="1" applyFill="1" applyBorder="1" applyAlignment="1">
      <alignment horizontal="left" wrapText="1"/>
    </xf>
    <xf numFmtId="0" fontId="33" fillId="23" borderId="90" xfId="0" applyFont="1" applyFill="1" applyBorder="1" applyAlignment="1">
      <alignment horizontal="left" wrapText="1"/>
    </xf>
    <xf numFmtId="0" fontId="21" fillId="30" borderId="98" xfId="0" applyFont="1" applyFill="1" applyBorder="1" applyAlignment="1">
      <alignment horizontal="center" vertical="center" wrapText="1"/>
    </xf>
    <xf numFmtId="0" fontId="21" fillId="30" borderId="100" xfId="0" applyFont="1" applyFill="1" applyBorder="1" applyAlignment="1">
      <alignment horizontal="center" vertical="center" wrapText="1"/>
    </xf>
    <xf numFmtId="0" fontId="21" fillId="30" borderId="105" xfId="0" applyFont="1" applyFill="1" applyBorder="1" applyAlignment="1">
      <alignment horizontal="center" vertical="center" wrapText="1"/>
    </xf>
    <xf numFmtId="0" fontId="21" fillId="30" borderId="106" xfId="0" applyFont="1" applyFill="1" applyBorder="1" applyAlignment="1">
      <alignment horizontal="center" vertical="center" wrapText="1"/>
    </xf>
    <xf numFmtId="0" fontId="48" fillId="27" borderId="98" xfId="0" applyFont="1" applyFill="1" applyBorder="1" applyAlignment="1">
      <alignment horizontal="center" vertical="center" wrapText="1"/>
    </xf>
    <xf numFmtId="0" fontId="48" fillId="27" borderId="100" xfId="0" applyFont="1" applyFill="1" applyBorder="1" applyAlignment="1">
      <alignment horizontal="center" vertical="center" wrapText="1"/>
    </xf>
    <xf numFmtId="0" fontId="48" fillId="27" borderId="106" xfId="0" applyFont="1" applyFill="1" applyBorder="1" applyAlignment="1">
      <alignment horizontal="center" vertical="center" wrapText="1"/>
    </xf>
    <xf numFmtId="3" fontId="55" fillId="12" borderId="24" xfId="0" applyNumberFormat="1" applyFont="1" applyFill="1" applyBorder="1" applyAlignment="1">
      <alignment horizontal="center" vertical="top"/>
    </xf>
    <xf numFmtId="4" fontId="56" fillId="0" borderId="24" xfId="0" applyNumberFormat="1" applyFont="1" applyBorder="1" applyAlignment="1">
      <alignment horizontal="center" vertical="top"/>
    </xf>
    <xf numFmtId="4" fontId="55" fillId="15" borderId="24" xfId="0" applyNumberFormat="1" applyFont="1" applyFill="1" applyBorder="1" applyAlignment="1">
      <alignment horizontal="center" vertical="top"/>
    </xf>
    <xf numFmtId="2" fontId="55" fillId="22" borderId="0" xfId="0" applyNumberFormat="1" applyFont="1" applyFill="1" applyAlignment="1">
      <alignment horizontal="left"/>
    </xf>
  </cellXfs>
  <cellStyles count="2">
    <cellStyle name="Обычный" xfId="0" builtinId="0"/>
    <cellStyle name="Процентный" xfId="1" builtinId="5"/>
  </cellStyles>
  <dxfs count="277"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63544</xdr:rowOff>
    </xdr:from>
    <xdr:to>
      <xdr:col>15</xdr:col>
      <xdr:colOff>45767</xdr:colOff>
      <xdr:row>72</xdr:row>
      <xdr:rowOff>22709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961664"/>
          <a:ext cx="12832605" cy="32807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21708</xdr:rowOff>
    </xdr:from>
    <xdr:to>
      <xdr:col>15</xdr:col>
      <xdr:colOff>19539</xdr:colOff>
      <xdr:row>54</xdr:row>
      <xdr:rowOff>8404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7402905"/>
          <a:ext cx="12806377" cy="33082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54271</xdr:rowOff>
    </xdr:from>
    <xdr:to>
      <xdr:col>15</xdr:col>
      <xdr:colOff>32564</xdr:colOff>
      <xdr:row>36</xdr:row>
      <xdr:rowOff>19203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3918547"/>
          <a:ext cx="12819402" cy="3286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68"/>
  <sheetViews>
    <sheetView showZeros="0" topLeftCell="A12" zoomScale="75" workbookViewId="0">
      <pane xSplit="3" topLeftCell="D1" activePane="topRight" state="frozen"/>
      <selection activeCell="L62" sqref="L62"/>
      <selection pane="topRight" activeCell="X52" sqref="X52"/>
    </sheetView>
  </sheetViews>
  <sheetFormatPr baseColWidth="10" defaultColWidth="9.1640625" defaultRowHeight="15"/>
  <cols>
    <col min="1" max="1" width="20.83203125" style="1" customWidth="1"/>
    <col min="2" max="2" width="10.33203125" style="2" customWidth="1"/>
    <col min="3" max="3" width="10.83203125" style="2" customWidth="1"/>
    <col min="4" max="4" width="13.6640625" style="2" customWidth="1"/>
    <col min="5" max="5" width="10.1640625" style="2" customWidth="1"/>
    <col min="6" max="6" width="11.33203125" style="2" customWidth="1"/>
    <col min="7" max="7" width="9.83203125" style="2" customWidth="1"/>
    <col min="8" max="8" width="9.5" style="2" customWidth="1"/>
    <col min="9" max="9" width="11" style="2" customWidth="1"/>
    <col min="10" max="10" width="8.83203125" style="2" customWidth="1"/>
    <col min="11" max="11" width="12.6640625" style="2" customWidth="1"/>
    <col min="12" max="12" width="11.5" style="2" customWidth="1"/>
    <col min="13" max="13" width="12.83203125" style="2" customWidth="1"/>
    <col min="14" max="14" width="11.6640625" style="2" customWidth="1"/>
    <col min="15" max="15" width="12.83203125" style="2" customWidth="1"/>
    <col min="16" max="16" width="10.33203125" style="2" customWidth="1"/>
    <col min="17" max="18" width="11.33203125" style="2" customWidth="1"/>
    <col min="19" max="19" width="11" style="3" customWidth="1"/>
    <col min="20" max="20" width="11.33203125" style="2" customWidth="1"/>
    <col min="21" max="21" width="9.1640625" style="2" bestFit="1" customWidth="1"/>
    <col min="22" max="23" width="10.5" style="2" customWidth="1"/>
    <col min="24" max="255" width="9.1640625" style="2" bestFit="1" customWidth="1"/>
  </cols>
  <sheetData>
    <row r="1" spans="1:23" ht="15.75" customHeight="1">
      <c r="A1" s="4"/>
      <c r="B1" s="569">
        <f ca="1">TODAY()-1</f>
        <v>45909</v>
      </c>
      <c r="C1" s="569"/>
      <c r="D1" s="5"/>
      <c r="E1" s="5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570"/>
      <c r="R1" s="570"/>
      <c r="S1" s="570"/>
      <c r="T1" s="570"/>
      <c r="U1" s="8"/>
      <c r="V1" s="6"/>
      <c r="W1" s="6"/>
    </row>
    <row r="2" spans="1:23" ht="21.75" customHeight="1">
      <c r="A2" s="4"/>
      <c r="B2" s="571" t="s">
        <v>0</v>
      </c>
      <c r="C2" s="571"/>
      <c r="D2" s="5"/>
      <c r="E2" s="5"/>
      <c r="F2" s="6"/>
      <c r="G2" s="6"/>
      <c r="H2" s="6"/>
      <c r="I2" s="6"/>
      <c r="J2" s="572"/>
      <c r="K2" s="572"/>
      <c r="L2" s="572"/>
      <c r="M2" s="572"/>
      <c r="N2" s="572"/>
      <c r="O2" s="572"/>
      <c r="P2" s="572"/>
      <c r="Q2" s="570"/>
      <c r="R2" s="570"/>
      <c r="S2" s="570"/>
      <c r="T2" s="570"/>
      <c r="U2" s="8"/>
      <c r="V2" s="6"/>
      <c r="W2" s="6"/>
    </row>
    <row r="3" spans="1:23" ht="14" customHeight="1">
      <c r="A3" s="4"/>
      <c r="B3" s="9"/>
      <c r="C3" s="10" t="s">
        <v>1</v>
      </c>
      <c r="D3" s="11"/>
      <c r="E3" s="11"/>
      <c r="F3" s="12"/>
      <c r="G3" s="12"/>
      <c r="H3" s="12"/>
      <c r="I3" s="573" t="str">
        <f>График!B3</f>
        <v>ул. Набережная Ленина, 18</v>
      </c>
      <c r="J3" s="574"/>
      <c r="K3" s="574"/>
      <c r="L3" s="574"/>
      <c r="M3" s="575"/>
      <c r="N3" s="7"/>
      <c r="O3" s="7"/>
      <c r="P3" s="13"/>
      <c r="Q3" s="570"/>
      <c r="R3" s="570"/>
      <c r="S3" s="570"/>
      <c r="T3" s="570"/>
      <c r="U3" s="8"/>
      <c r="V3" s="6"/>
      <c r="W3" s="6"/>
    </row>
    <row r="4" spans="1:23" ht="15" customHeight="1">
      <c r="A4" s="4"/>
      <c r="B4" s="5"/>
      <c r="C4" s="579">
        <f>I8-D56</f>
        <v>818706</v>
      </c>
      <c r="D4" s="580"/>
      <c r="E4" s="14">
        <f>IF(I8&lt;&gt;0, C4/I8, 0)</f>
        <v>0.17418683619281045</v>
      </c>
      <c r="F4" s="12"/>
      <c r="G4" s="12"/>
      <c r="H4" s="12"/>
      <c r="I4" s="576"/>
      <c r="J4" s="577"/>
      <c r="K4" s="577"/>
      <c r="L4" s="577"/>
      <c r="M4" s="578"/>
      <c r="N4" s="7"/>
      <c r="O4" s="6"/>
      <c r="P4" s="6"/>
      <c r="Q4" s="570"/>
      <c r="R4" s="570"/>
      <c r="S4" s="570"/>
      <c r="T4" s="570"/>
      <c r="U4" s="8"/>
      <c r="V4" s="6"/>
      <c r="W4" s="6"/>
    </row>
    <row r="5" spans="1:23">
      <c r="A5" s="4"/>
      <c r="B5" s="6"/>
      <c r="C5" s="6"/>
      <c r="D5" s="15" t="e">
        <f>C4/(I14-J14)</f>
        <v>#DIV/0!</v>
      </c>
      <c r="E5" s="6"/>
      <c r="F5" s="6"/>
      <c r="G5" s="6"/>
      <c r="H5" s="6"/>
      <c r="I5" s="6"/>
      <c r="J5" s="581"/>
      <c r="K5" s="581"/>
      <c r="L5" s="581"/>
      <c r="M5" s="581"/>
      <c r="N5" s="581"/>
      <c r="O5" s="6"/>
      <c r="P5" s="6"/>
      <c r="Q5" s="6"/>
      <c r="R5" s="6"/>
      <c r="S5" s="12"/>
      <c r="T5" s="6"/>
      <c r="U5" s="8"/>
      <c r="V5" s="6"/>
      <c r="W5" s="6"/>
    </row>
    <row r="6" spans="1:23" ht="15.75" customHeight="1">
      <c r="A6" s="4"/>
      <c r="B6" s="16"/>
      <c r="C6" s="6"/>
      <c r="D6" s="6"/>
      <c r="E6" s="6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0"/>
      <c r="S6" s="21"/>
      <c r="T6" s="6"/>
      <c r="U6" s="8"/>
      <c r="V6" s="6"/>
      <c r="W6" s="6"/>
    </row>
    <row r="7" spans="1:23" ht="50.75" customHeight="1">
      <c r="A7" s="4"/>
      <c r="B7" s="16"/>
      <c r="C7" s="16"/>
      <c r="D7" s="16"/>
      <c r="E7" s="6"/>
      <c r="F7" s="582" t="s">
        <v>3</v>
      </c>
      <c r="G7" s="583"/>
      <c r="H7" s="584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85" t="s">
        <v>11</v>
      </c>
      <c r="Q7" s="586"/>
      <c r="R7" s="20"/>
      <c r="S7" s="21"/>
      <c r="T7" s="6"/>
      <c r="U7" s="8"/>
      <c r="V7" s="6"/>
      <c r="W7" s="6"/>
    </row>
    <row r="8" spans="1:23" ht="15.75" customHeight="1">
      <c r="A8" s="4"/>
      <c r="B8" s="16"/>
      <c r="C8" s="16"/>
      <c r="D8" s="27"/>
      <c r="E8" s="6"/>
      <c r="F8" s="587" t="s">
        <v>12</v>
      </c>
      <c r="G8" s="588"/>
      <c r="H8" s="589"/>
      <c r="I8" s="28">
        <f>I11*I12*I13</f>
        <v>4700160</v>
      </c>
      <c r="J8" s="29">
        <f>D56</f>
        <v>3881454</v>
      </c>
      <c r="K8" s="30">
        <f>IF(AND(I8&lt;&gt;"",I8&lt;&gt;0,J8&lt;&gt;""),J8/I8,"")</f>
        <v>0.8258131638071895</v>
      </c>
      <c r="L8" s="31">
        <f>IF(SUMIF($D$25:$D$55,"&gt;=0",$P$25:$P$55)&lt;&gt;0,I8*D56/SUMIF($D$25:$D$55,"&gt;=0",$P$25:$P$55),0)</f>
        <v>3881454.0000000023</v>
      </c>
      <c r="M8" s="32">
        <f t="shared" ref="M8:M9" si="0">IF(AND(I8&lt;&gt;"", I8&lt;&gt;0, L8&lt;&gt;"", L8&lt;&gt;0), L8/I8, "")</f>
        <v>0.82581316380719005</v>
      </c>
      <c r="N8" s="33">
        <f t="shared" ref="N8:N9" si="1">IF(AND(J8&lt;&gt;0, J8&lt;&gt;"", I8&lt;&gt;0, I8&lt;&gt;""), L8-I8, "")</f>
        <v>-818705.99999999767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0"/>
      <c r="S8" s="37"/>
      <c r="T8" s="6"/>
      <c r="U8" s="8"/>
      <c r="V8" s="6"/>
      <c r="W8" s="6"/>
    </row>
    <row r="9" spans="1:23" ht="15.75" customHeight="1">
      <c r="A9" s="4"/>
      <c r="B9" s="16"/>
      <c r="C9" s="16"/>
      <c r="D9" s="16"/>
      <c r="E9" s="6"/>
      <c r="F9" s="590" t="s">
        <v>13</v>
      </c>
      <c r="G9" s="591"/>
      <c r="H9" s="592"/>
      <c r="I9" s="38">
        <f>I8/I11</f>
        <v>783.36</v>
      </c>
      <c r="J9" s="39">
        <f>E56</f>
        <v>672</v>
      </c>
      <c r="K9" s="40">
        <f>IF(AND(I9&lt;&gt;"", I9&lt;&gt;0, J9&lt;&gt;""), J9/I9, "")</f>
        <v>0.85784313725490191</v>
      </c>
      <c r="L9" s="41">
        <f>IF(SUMIF($E$25:$E$55, "&gt;=0", $Q$25:$Q$55)&lt;&gt;0, I9*E56/SUMIF($E$25:$E$55, "&gt;=0", $Q$25:$Q$55), 0)</f>
        <v>672.00000000000034</v>
      </c>
      <c r="M9" s="42">
        <f t="shared" si="0"/>
        <v>0.85784313725490235</v>
      </c>
      <c r="N9" s="43">
        <f t="shared" si="1"/>
        <v>-111.35999999999967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0"/>
      <c r="S9" s="37"/>
      <c r="T9" s="6"/>
      <c r="U9" s="8"/>
      <c r="V9" s="6"/>
      <c r="W9" s="6"/>
    </row>
    <row r="10" spans="1:23" ht="15.75" customHeight="1">
      <c r="A10" s="4"/>
      <c r="B10" s="16"/>
      <c r="C10" s="16"/>
      <c r="D10" s="16"/>
      <c r="E10" s="6"/>
      <c r="F10" s="587" t="s">
        <v>14</v>
      </c>
      <c r="G10" s="588"/>
      <c r="H10" s="589"/>
      <c r="I10" s="38">
        <f>I11*I12</f>
        <v>10200</v>
      </c>
      <c r="J10" s="46">
        <f>H56</f>
        <v>10323.015957446809</v>
      </c>
      <c r="K10" s="47">
        <f t="shared" ref="K10:K19" si="4">IF(AND(I10&lt;&gt;"", I10&lt;&gt;0, J10&lt;&gt;""), J10/I10, "")</f>
        <v>1.0120603879849812</v>
      </c>
      <c r="L10" s="41">
        <f>J10</f>
        <v>10323.015957446809</v>
      </c>
      <c r="M10" s="48">
        <f t="shared" ref="M10:M20" si="5">IF(AND(I10&lt;&gt;"", I10&lt;&gt;0, L10&lt;&gt;"", L10&lt;&gt;0), L10/I10, "")</f>
        <v>1.0120603879849812</v>
      </c>
      <c r="N10" s="49">
        <f t="shared" ref="N10:N20" si="6">IF(AND(J10&lt;&gt;0, J10&lt;&gt;"", I10&lt;&gt;0, I10&lt;&gt;""), L10-I10, "")</f>
        <v>123.0159574468089</v>
      </c>
      <c r="O10" s="50">
        <f>O11*O12</f>
        <v>0</v>
      </c>
      <c r="P10" s="49" t="str">
        <f t="shared" ref="P10:P20" si="7">IF(AND(O10&lt;&gt;"", O10&lt;&gt;0, L10&lt;&gt;"", L10&lt;&gt;0), -O10+L10, "")</f>
        <v/>
      </c>
      <c r="Q10" s="51" t="str">
        <f t="shared" ref="Q10:Q20" si="8">IF(AND(P10&lt;&gt;"", P10&lt;&gt;0, O10&lt;&gt;0, O10&lt;&gt;""), P10/O10, "")</f>
        <v/>
      </c>
      <c r="R10" s="20"/>
      <c r="S10" s="593" t="str">
        <f>L23</f>
        <v>IS</v>
      </c>
      <c r="T10" s="594"/>
      <c r="U10" s="8"/>
      <c r="V10" s="597" t="str">
        <f>M23</f>
        <v>Agafi</v>
      </c>
      <c r="W10" s="597"/>
    </row>
    <row r="11" spans="1:23" ht="15.75" customHeight="1">
      <c r="A11" s="4"/>
      <c r="B11" s="16"/>
      <c r="C11" s="16"/>
      <c r="D11" s="16"/>
      <c r="E11" s="6"/>
      <c r="F11" s="590" t="s">
        <v>15</v>
      </c>
      <c r="G11" s="591"/>
      <c r="H11" s="592"/>
      <c r="I11" s="52">
        <v>6000</v>
      </c>
      <c r="J11" s="39">
        <f>F56</f>
        <v>5775.9732142857147</v>
      </c>
      <c r="K11" s="40">
        <f t="shared" si="4"/>
        <v>0.96266220238095246</v>
      </c>
      <c r="L11" s="41">
        <f>IF(L9&gt;0, L8/L9, "")</f>
        <v>5775.9732142857147</v>
      </c>
      <c r="M11" s="42">
        <f t="shared" si="5"/>
        <v>0.96266220238095246</v>
      </c>
      <c r="N11" s="43">
        <f t="shared" si="6"/>
        <v>-224.02678571428532</v>
      </c>
      <c r="O11" s="53"/>
      <c r="P11" s="43" t="str">
        <f t="shared" si="7"/>
        <v/>
      </c>
      <c r="Q11" s="45" t="str">
        <f t="shared" si="8"/>
        <v/>
      </c>
      <c r="R11" s="20"/>
      <c r="S11" s="595"/>
      <c r="T11" s="596"/>
      <c r="U11" s="8"/>
      <c r="V11" s="597"/>
      <c r="W11" s="597"/>
    </row>
    <row r="12" spans="1:23" ht="15.75" customHeight="1">
      <c r="A12" s="4"/>
      <c r="B12" s="16"/>
      <c r="C12" s="6"/>
      <c r="D12" s="6"/>
      <c r="E12" s="6"/>
      <c r="F12" s="590" t="s">
        <v>16</v>
      </c>
      <c r="G12" s="591"/>
      <c r="H12" s="592"/>
      <c r="I12" s="54">
        <v>1.7</v>
      </c>
      <c r="J12" s="55">
        <f>J56</f>
        <v>1.7872340425531914</v>
      </c>
      <c r="K12" s="40">
        <f t="shared" si="4"/>
        <v>1.0513141426783479</v>
      </c>
      <c r="L12" s="56">
        <f>J12</f>
        <v>1.7872340425531914</v>
      </c>
      <c r="M12" s="42">
        <f t="shared" si="5"/>
        <v>1.0513141426783479</v>
      </c>
      <c r="N12" s="57">
        <f t="shared" si="6"/>
        <v>8.7234042553191449E-2</v>
      </c>
      <c r="O12" s="58"/>
      <c r="P12" s="43" t="str">
        <f t="shared" si="7"/>
        <v/>
      </c>
      <c r="Q12" s="45" t="str">
        <f t="shared" si="8"/>
        <v/>
      </c>
      <c r="R12" s="20"/>
      <c r="S12" s="59">
        <v>760000</v>
      </c>
      <c r="T12" s="60">
        <f>L56</f>
        <v>420152</v>
      </c>
      <c r="U12" s="8"/>
      <c r="V12" s="59">
        <v>460000</v>
      </c>
      <c r="W12" s="60">
        <f>M56</f>
        <v>296296.31</v>
      </c>
    </row>
    <row r="13" spans="1:23" ht="15.75" customHeight="1">
      <c r="A13" s="4"/>
      <c r="B13" s="16"/>
      <c r="C13" s="6"/>
      <c r="D13" s="6"/>
      <c r="E13" s="6"/>
      <c r="F13" s="590" t="s">
        <v>17</v>
      </c>
      <c r="G13" s="591"/>
      <c r="H13" s="592"/>
      <c r="I13" s="38">
        <f>I17*I20</f>
        <v>460.79999999999995</v>
      </c>
      <c r="J13" s="39">
        <f>G56</f>
        <v>376</v>
      </c>
      <c r="K13" s="40">
        <f t="shared" si="4"/>
        <v>0.81597222222222232</v>
      </c>
      <c r="L13" s="41">
        <f>IF(SUMIF($G$25:$G$55, "&gt;=0", $R$25:$R$55)&lt;&gt;0, I13*G56/SUMIF($G$25:$G$55, "&gt;=0", $R$25:$R$55), "")</f>
        <v>375.99999999999994</v>
      </c>
      <c r="M13" s="42">
        <f t="shared" si="5"/>
        <v>0.81597222222222221</v>
      </c>
      <c r="N13" s="57">
        <f t="shared" si="6"/>
        <v>-84.800000000000011</v>
      </c>
      <c r="O13" s="61"/>
      <c r="P13" s="43" t="str">
        <f t="shared" si="7"/>
        <v/>
      </c>
      <c r="Q13" s="45" t="str">
        <f t="shared" si="8"/>
        <v/>
      </c>
      <c r="R13" s="20"/>
      <c r="S13" s="62">
        <f>T12/S12</f>
        <v>0.55283157894736845</v>
      </c>
      <c r="T13" s="62">
        <f>S13/J14*I14</f>
        <v>0.55283157894736845</v>
      </c>
      <c r="U13" s="63"/>
      <c r="V13" s="62">
        <f>W12/V12</f>
        <v>0.64412241304347828</v>
      </c>
      <c r="W13" s="62">
        <f>V13/J14*I14</f>
        <v>0.64412241304347828</v>
      </c>
    </row>
    <row r="14" spans="1:23" ht="15.75" customHeight="1">
      <c r="A14" s="4"/>
      <c r="B14" s="16"/>
      <c r="C14" s="6"/>
      <c r="D14" s="6"/>
      <c r="E14" s="6"/>
      <c r="F14" s="590" t="s">
        <v>18</v>
      </c>
      <c r="G14" s="591"/>
      <c r="H14" s="592"/>
      <c r="I14" s="52">
        <v>31</v>
      </c>
      <c r="J14" s="64">
        <v>31</v>
      </c>
      <c r="K14" s="40">
        <f t="shared" si="4"/>
        <v>1</v>
      </c>
      <c r="L14" s="41">
        <f>I14</f>
        <v>31</v>
      </c>
      <c r="M14" s="42">
        <f t="shared" si="5"/>
        <v>1</v>
      </c>
      <c r="N14" s="43">
        <f t="shared" si="6"/>
        <v>0</v>
      </c>
      <c r="O14" s="61"/>
      <c r="P14" s="43" t="str">
        <f t="shared" si="7"/>
        <v/>
      </c>
      <c r="Q14" s="45" t="str">
        <f t="shared" si="8"/>
        <v/>
      </c>
      <c r="R14" s="20"/>
      <c r="S14" s="65"/>
      <c r="T14" s="6"/>
      <c r="U14" s="8"/>
      <c r="V14" s="6"/>
      <c r="W14" s="6"/>
    </row>
    <row r="15" spans="1:23" ht="15.75" customHeight="1">
      <c r="A15" s="4"/>
      <c r="B15" s="16"/>
      <c r="C15" s="6"/>
      <c r="D15" s="6"/>
      <c r="E15" s="6"/>
      <c r="F15" s="590" t="s">
        <v>19</v>
      </c>
      <c r="G15" s="591"/>
      <c r="H15" s="592"/>
      <c r="I15" s="66">
        <f>I8/I14</f>
        <v>151618.06451612903</v>
      </c>
      <c r="J15" s="67">
        <f>J8/J14</f>
        <v>125208.19354838709</v>
      </c>
      <c r="K15" s="68">
        <f t="shared" si="4"/>
        <v>0.8258131638071895</v>
      </c>
      <c r="L15" s="69">
        <f t="shared" ref="L15:L16" si="9">J15</f>
        <v>125208.19354838709</v>
      </c>
      <c r="M15" s="70">
        <f t="shared" si="5"/>
        <v>0.8258131638071895</v>
      </c>
      <c r="N15" s="43">
        <f t="shared" si="6"/>
        <v>-26409.870967741939</v>
      </c>
      <c r="O15" s="71"/>
      <c r="P15" s="43" t="str">
        <f t="shared" si="7"/>
        <v/>
      </c>
      <c r="Q15" s="45" t="str">
        <f t="shared" si="8"/>
        <v/>
      </c>
      <c r="R15" s="20"/>
      <c r="S15" s="37"/>
      <c r="T15" s="6"/>
      <c r="U15" s="8"/>
      <c r="V15" s="6"/>
      <c r="W15" s="6"/>
    </row>
    <row r="16" spans="1:23" ht="15.75" customHeight="1">
      <c r="A16" s="4"/>
      <c r="B16" s="16"/>
      <c r="C16" s="6"/>
      <c r="D16" s="6"/>
      <c r="E16" s="6"/>
      <c r="F16" s="590" t="s">
        <v>20</v>
      </c>
      <c r="G16" s="591"/>
      <c r="H16" s="592"/>
      <c r="I16" s="66"/>
      <c r="J16" s="67">
        <f>J8-I15*J14</f>
        <v>-818706</v>
      </c>
      <c r="K16" s="68" t="str">
        <f t="shared" si="4"/>
        <v/>
      </c>
      <c r="L16" s="72">
        <f t="shared" si="9"/>
        <v>-818706</v>
      </c>
      <c r="M16" s="73" t="str">
        <f t="shared" si="5"/>
        <v/>
      </c>
      <c r="N16" s="43" t="str">
        <f t="shared" si="6"/>
        <v/>
      </c>
      <c r="O16" s="71"/>
      <c r="P16" s="43" t="str">
        <f t="shared" si="7"/>
        <v/>
      </c>
      <c r="Q16" s="45" t="str">
        <f t="shared" si="8"/>
        <v/>
      </c>
      <c r="R16" s="20"/>
      <c r="S16" s="597" t="str">
        <f>K23</f>
        <v>UNOde50</v>
      </c>
      <c r="T16" s="597"/>
      <c r="U16" s="8"/>
      <c r="V16" s="6"/>
      <c r="W16" s="6"/>
    </row>
    <row r="17" spans="1:255" ht="15.75" customHeight="1">
      <c r="A17" s="4"/>
      <c r="B17" s="16"/>
      <c r="C17" s="6"/>
      <c r="D17" s="74"/>
      <c r="E17" s="6"/>
      <c r="F17" s="590" t="s">
        <v>21</v>
      </c>
      <c r="G17" s="591"/>
      <c r="H17" s="592"/>
      <c r="I17" s="75">
        <v>2560</v>
      </c>
      <c r="J17" s="67">
        <f>I56</f>
        <v>2645</v>
      </c>
      <c r="K17" s="68">
        <f t="shared" si="4"/>
        <v>1.033203125</v>
      </c>
      <c r="L17" s="72">
        <f>J17/J14*I14</f>
        <v>2645</v>
      </c>
      <c r="M17" s="73">
        <f t="shared" si="5"/>
        <v>1.033203125</v>
      </c>
      <c r="N17" s="43">
        <f t="shared" si="6"/>
        <v>85</v>
      </c>
      <c r="O17" s="71"/>
      <c r="P17" s="43" t="str">
        <f t="shared" si="7"/>
        <v/>
      </c>
      <c r="Q17" s="45" t="str">
        <f t="shared" si="8"/>
        <v/>
      </c>
      <c r="R17" s="20"/>
      <c r="S17" s="597"/>
      <c r="T17" s="597"/>
      <c r="U17" s="8"/>
      <c r="V17" s="6"/>
      <c r="W17" s="6"/>
    </row>
    <row r="18" spans="1:255" ht="15.75" customHeight="1">
      <c r="A18" s="4"/>
      <c r="B18" s="16"/>
      <c r="C18" s="6"/>
      <c r="D18" s="6"/>
      <c r="E18" s="6"/>
      <c r="F18" s="590"/>
      <c r="G18" s="591"/>
      <c r="H18" s="592"/>
      <c r="I18" s="76"/>
      <c r="J18" s="67"/>
      <c r="K18" s="77" t="str">
        <f t="shared" si="4"/>
        <v/>
      </c>
      <c r="L18" s="78">
        <f t="shared" ref="L18:L19" si="10">J18</f>
        <v>0</v>
      </c>
      <c r="M18" s="73" t="str">
        <f t="shared" si="5"/>
        <v/>
      </c>
      <c r="N18" s="43" t="str">
        <f t="shared" si="6"/>
        <v/>
      </c>
      <c r="O18" s="79">
        <v>0</v>
      </c>
      <c r="P18" s="43" t="str">
        <f t="shared" si="7"/>
        <v/>
      </c>
      <c r="Q18" s="45" t="str">
        <f t="shared" si="8"/>
        <v/>
      </c>
      <c r="R18" s="20"/>
      <c r="S18" s="59">
        <v>880000</v>
      </c>
      <c r="T18" s="60">
        <f>K56</f>
        <v>639010.35</v>
      </c>
      <c r="U18" s="8"/>
      <c r="V18" s="6"/>
      <c r="W18" s="6"/>
    </row>
    <row r="19" spans="1:255" ht="15.75" customHeight="1">
      <c r="A19" s="4"/>
      <c r="B19" s="16"/>
      <c r="C19" s="6"/>
      <c r="D19" s="6"/>
      <c r="E19" s="6"/>
      <c r="F19" s="590"/>
      <c r="G19" s="591"/>
      <c r="H19" s="592"/>
      <c r="I19" s="76"/>
      <c r="J19" s="67"/>
      <c r="K19" s="77" t="str">
        <f t="shared" si="4"/>
        <v/>
      </c>
      <c r="L19" s="78">
        <f t="shared" si="10"/>
        <v>0</v>
      </c>
      <c r="M19" s="73" t="str">
        <f t="shared" si="5"/>
        <v/>
      </c>
      <c r="N19" s="43" t="str">
        <f t="shared" si="6"/>
        <v/>
      </c>
      <c r="O19" s="71">
        <v>0</v>
      </c>
      <c r="P19" s="43" t="str">
        <f t="shared" si="7"/>
        <v/>
      </c>
      <c r="Q19" s="45" t="str">
        <f t="shared" si="8"/>
        <v/>
      </c>
      <c r="R19" s="20"/>
      <c r="S19" s="62">
        <f>T18/S18</f>
        <v>0.72614812499999992</v>
      </c>
      <c r="T19" s="62">
        <f>S19/J14*I14</f>
        <v>0.72614812499999992</v>
      </c>
      <c r="U19" s="63"/>
      <c r="V19" s="6"/>
      <c r="W19" s="6"/>
    </row>
    <row r="20" spans="1:255" ht="15.75" customHeight="1">
      <c r="A20" s="4"/>
      <c r="B20" s="16"/>
      <c r="C20" s="6"/>
      <c r="D20" s="6"/>
      <c r="E20" s="6"/>
      <c r="F20" s="598" t="s">
        <v>22</v>
      </c>
      <c r="G20" s="598"/>
      <c r="H20" s="598"/>
      <c r="I20" s="80">
        <v>0.18</v>
      </c>
      <c r="J20" s="81">
        <f>N56</f>
        <v>0.14215500945179585</v>
      </c>
      <c r="K20" s="81">
        <f>J20/I20</f>
        <v>0.78975005250997699</v>
      </c>
      <c r="L20" s="82">
        <f>IF(AND(K8&lt;&gt;0, I14&lt;&gt;0, I56&lt;&gt;0), (I56*N56+(I56/K8-I56)*I20)/(I56/K8), 0)</f>
        <v>0.14874710862113433</v>
      </c>
      <c r="M20" s="83">
        <f t="shared" si="5"/>
        <v>0.82637282567296855</v>
      </c>
      <c r="N20" s="84">
        <f t="shared" si="6"/>
        <v>-3.1252891378865666E-2</v>
      </c>
      <c r="O20" s="85"/>
      <c r="P20" s="86" t="str">
        <f t="shared" si="7"/>
        <v/>
      </c>
      <c r="Q20" s="87" t="str">
        <f t="shared" si="8"/>
        <v/>
      </c>
      <c r="R20" s="20"/>
      <c r="S20" s="21"/>
      <c r="T20" s="6"/>
      <c r="U20" s="8"/>
      <c r="V20" s="6"/>
      <c r="W20" s="6"/>
    </row>
    <row r="21" spans="1:255" ht="15.75" customHeight="1">
      <c r="A21" s="4"/>
      <c r="B21" s="16"/>
      <c r="C21" s="6"/>
      <c r="D21" s="8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0"/>
      <c r="S21" s="21"/>
      <c r="T21" s="6"/>
      <c r="U21" s="8"/>
      <c r="V21" s="6"/>
      <c r="W21" s="6"/>
    </row>
    <row r="22" spans="1:255" ht="21" customHeight="1">
      <c r="A22" s="599" t="s">
        <v>23</v>
      </c>
      <c r="B22" s="599"/>
      <c r="C22" s="599"/>
      <c r="D22" s="599"/>
      <c r="E22" s="599"/>
      <c r="F22" s="599"/>
      <c r="G22" s="599"/>
      <c r="H22" s="599"/>
      <c r="I22" s="599"/>
      <c r="J22" s="599"/>
      <c r="K22" s="599"/>
      <c r="L22" s="599"/>
      <c r="M22" s="599"/>
      <c r="N22" s="599"/>
      <c r="O22" s="600" t="s">
        <v>24</v>
      </c>
      <c r="P22" s="599" t="s">
        <v>25</v>
      </c>
      <c r="Q22" s="599"/>
      <c r="R22" s="599"/>
      <c r="S22" s="599"/>
      <c r="T22" s="599"/>
      <c r="U22" s="599"/>
      <c r="V22" s="599"/>
      <c r="W22" s="599"/>
    </row>
    <row r="23" spans="1:255" ht="36">
      <c r="A23" s="601" t="s">
        <v>26</v>
      </c>
      <c r="B23" s="89" t="s">
        <v>27</v>
      </c>
      <c r="C23" s="89" t="s">
        <v>28</v>
      </c>
      <c r="D23" s="89" t="s">
        <v>29</v>
      </c>
      <c r="E23" s="89" t="s">
        <v>30</v>
      </c>
      <c r="F23" s="89" t="s">
        <v>31</v>
      </c>
      <c r="G23" s="89" t="s">
        <v>32</v>
      </c>
      <c r="H23" s="89" t="s">
        <v>33</v>
      </c>
      <c r="I23" s="89" t="s">
        <v>21</v>
      </c>
      <c r="J23" s="89" t="s">
        <v>34</v>
      </c>
      <c r="K23" s="90" t="s">
        <v>35</v>
      </c>
      <c r="L23" s="90" t="s">
        <v>36</v>
      </c>
      <c r="M23" s="90" t="s">
        <v>37</v>
      </c>
      <c r="N23" s="89" t="s">
        <v>38</v>
      </c>
      <c r="O23" s="600"/>
      <c r="P23" s="89" t="s">
        <v>39</v>
      </c>
      <c r="Q23" s="89" t="s">
        <v>40</v>
      </c>
      <c r="R23" s="89" t="s">
        <v>41</v>
      </c>
      <c r="S23" s="89" t="s">
        <v>42</v>
      </c>
      <c r="T23" s="89" t="s">
        <v>43</v>
      </c>
      <c r="U23" s="89" t="s">
        <v>44</v>
      </c>
      <c r="V23" s="91" t="s">
        <v>45</v>
      </c>
      <c r="W23" s="91" t="s">
        <v>46</v>
      </c>
      <c r="X23" s="92"/>
    </row>
    <row r="24" spans="1:255">
      <c r="A24" s="601"/>
      <c r="B24" s="93">
        <v>1</v>
      </c>
      <c r="C24" s="93">
        <v>2</v>
      </c>
      <c r="D24" s="93">
        <v>3</v>
      </c>
      <c r="E24" s="93">
        <v>4</v>
      </c>
      <c r="F24" s="93">
        <v>5</v>
      </c>
      <c r="G24" s="93">
        <v>6</v>
      </c>
      <c r="H24" s="93">
        <v>7</v>
      </c>
      <c r="I24" s="93">
        <v>8</v>
      </c>
      <c r="J24" s="93">
        <v>9</v>
      </c>
      <c r="K24" s="93">
        <v>10</v>
      </c>
      <c r="L24" s="93">
        <v>11</v>
      </c>
      <c r="M24" s="93">
        <v>12</v>
      </c>
      <c r="N24" s="93">
        <v>13</v>
      </c>
      <c r="O24" s="600"/>
      <c r="P24" s="94">
        <v>1</v>
      </c>
      <c r="Q24" s="94">
        <v>2</v>
      </c>
      <c r="R24" s="94">
        <v>3</v>
      </c>
      <c r="S24" s="94">
        <v>4</v>
      </c>
      <c r="T24" s="94">
        <v>5</v>
      </c>
      <c r="U24" s="94">
        <v>6</v>
      </c>
      <c r="V24" s="94">
        <v>10</v>
      </c>
      <c r="W24" s="94">
        <v>11</v>
      </c>
    </row>
    <row r="25" spans="1:255">
      <c r="A25" s="95" t="s">
        <v>47</v>
      </c>
      <c r="B25" s="96">
        <v>45870</v>
      </c>
      <c r="C25" s="97" t="s">
        <v>48</v>
      </c>
      <c r="D25" s="98">
        <f>14392+15952+3413.7+35091</f>
        <v>68848.7</v>
      </c>
      <c r="E25" s="99">
        <v>15</v>
      </c>
      <c r="F25" s="99">
        <f t="shared" ref="F25:F55" si="11">IF(AND(E25&lt;&gt;"",E25&lt;&gt;0),D25/E25,"")</f>
        <v>4589.913333333333</v>
      </c>
      <c r="G25" s="99">
        <v>9</v>
      </c>
      <c r="H25" s="99">
        <f t="shared" ref="H25:H55" si="12">IF(AND(G25&lt;&gt;"",G25&lt;&gt;0),D25/G25,"")</f>
        <v>7649.8555555555549</v>
      </c>
      <c r="I25" s="99">
        <v>40</v>
      </c>
      <c r="J25" s="98">
        <f t="shared" ref="J25:J55" si="13">IF(AND(G25&lt;&gt;"",G25&lt;&gt;0),E25/G25,"")</f>
        <v>1.6666666666666667</v>
      </c>
      <c r="K25" s="99">
        <v>14392</v>
      </c>
      <c r="L25" s="99"/>
      <c r="M25" s="99">
        <v>4772.0600000000004</v>
      </c>
      <c r="N25" s="100">
        <f t="shared" ref="N25:N55" si="14">IF(AND(I25&lt;&gt;"",I25&lt;&gt;0),G25/I25,"")</f>
        <v>0.22500000000000001</v>
      </c>
      <c r="O25" s="101">
        <f t="shared" ref="O25:O56" si="15">D25/P25</f>
        <v>0.4505701273983741</v>
      </c>
      <c r="P25" s="102">
        <f t="shared" ref="P25:P55" si="16">$I$8*V25*W25/SUMPRODUCT($W$25:$W$55,$V$25:$V$55)</f>
        <v>152803.51673009834</v>
      </c>
      <c r="Q25" s="103">
        <f t="shared" ref="Q25:Q55" si="17">$I$9*V25*W25/SUMPRODUCT($W$25:$W$55,$V$25:$V$55)</f>
        <v>25.467252788349722</v>
      </c>
      <c r="R25" s="103">
        <f t="shared" ref="R25:R55" si="18">IF($I$12="","",Q25/$I$12)</f>
        <v>14.980736934323366</v>
      </c>
      <c r="S25" s="102">
        <f>IF(D25&lt;&gt;"",D25,P25)</f>
        <v>68848.7</v>
      </c>
      <c r="T25" s="103">
        <f>IF(E25&lt;&gt;"",E25,Q25)</f>
        <v>15</v>
      </c>
      <c r="U25" s="103">
        <f>IF(G25&lt;&gt;"",G25,R25)</f>
        <v>9</v>
      </c>
      <c r="V25" s="104">
        <v>0.9414554019711151</v>
      </c>
      <c r="W25" s="104">
        <v>0.9414554019711151</v>
      </c>
      <c r="X25" s="105"/>
      <c r="Y25" s="106"/>
    </row>
    <row r="26" spans="1:255">
      <c r="A26" s="95" t="s">
        <v>49</v>
      </c>
      <c r="B26" s="96">
        <v>45871</v>
      </c>
      <c r="C26" s="97" t="s">
        <v>50</v>
      </c>
      <c r="D26" s="98">
        <f>16900+48674+11383</f>
        <v>76957</v>
      </c>
      <c r="E26" s="99">
        <v>13</v>
      </c>
      <c r="F26" s="99">
        <f t="shared" si="11"/>
        <v>5919.7692307692305</v>
      </c>
      <c r="G26" s="99">
        <v>9</v>
      </c>
      <c r="H26" s="99">
        <f t="shared" si="12"/>
        <v>8550.7777777777774</v>
      </c>
      <c r="I26" s="99">
        <v>60</v>
      </c>
      <c r="J26" s="98">
        <f t="shared" si="13"/>
        <v>1.4444444444444444</v>
      </c>
      <c r="K26" s="99">
        <v>11383</v>
      </c>
      <c r="L26" s="99">
        <v>16900</v>
      </c>
      <c r="M26" s="99">
        <v>0</v>
      </c>
      <c r="N26" s="100">
        <f t="shared" si="14"/>
        <v>0.15</v>
      </c>
      <c r="O26" s="101">
        <f t="shared" si="15"/>
        <v>0.61335515556381004</v>
      </c>
      <c r="P26" s="102">
        <f t="shared" si="16"/>
        <v>125468.90541624188</v>
      </c>
      <c r="Q26" s="103">
        <f t="shared" si="17"/>
        <v>20.911484236040312</v>
      </c>
      <c r="R26" s="103">
        <f t="shared" si="18"/>
        <v>12.300873080023713</v>
      </c>
      <c r="S26" s="102">
        <f t="shared" ref="S26:S55" si="19">IF(W26&lt;&gt;"",IF(D26&lt;&gt;"",D26,($I$8-SUM($S$25:S25))*V26*W26/SUMPRODUCT($W26:$W$55,$V26:$V$55)),"")</f>
        <v>76957</v>
      </c>
      <c r="T26" s="103">
        <f t="shared" ref="T26:T55" si="20">IF(W26&lt;&gt;"",IF(E26&lt;&gt;"",E26,($I$9-SUM($T$25:T25))*V26*W26/SUMPRODUCT($W26:$W$55,$V26:$V$55)),"")</f>
        <v>13</v>
      </c>
      <c r="U26" s="103">
        <f t="shared" ref="U26:U55" si="21">IF(W26&lt;&gt;"",IF($I$12&lt;&gt;"",IF(G26&lt;&gt;"",G26,($I$9/$I$12-SUM($U$25:U25))*V26*W26/SUMPRODUCT($W26:$W$55,$V26:$V$55)),""),"")</f>
        <v>9</v>
      </c>
      <c r="V26" s="104">
        <v>0.85310233682514103</v>
      </c>
      <c r="W26" s="104">
        <v>0.85310233682514103</v>
      </c>
      <c r="X26" s="107"/>
      <c r="Y26" s="106"/>
    </row>
    <row r="27" spans="1:255">
      <c r="A27" s="95" t="s">
        <v>51</v>
      </c>
      <c r="B27" s="96">
        <v>45872</v>
      </c>
      <c r="C27" s="97" t="s">
        <v>52</v>
      </c>
      <c r="D27" s="98">
        <f>222210.6+4623</f>
        <v>226833.6</v>
      </c>
      <c r="E27" s="108">
        <v>46</v>
      </c>
      <c r="F27" s="99">
        <f t="shared" si="11"/>
        <v>4931.1652173913044</v>
      </c>
      <c r="G27" s="108">
        <v>20</v>
      </c>
      <c r="H27" s="99">
        <f t="shared" si="12"/>
        <v>11341.68</v>
      </c>
      <c r="I27" s="108">
        <v>110</v>
      </c>
      <c r="J27" s="98">
        <f t="shared" si="13"/>
        <v>2.2999999999999998</v>
      </c>
      <c r="K27" s="99"/>
      <c r="L27" s="99">
        <v>4623</v>
      </c>
      <c r="M27" s="99">
        <v>44443.25</v>
      </c>
      <c r="N27" s="100">
        <f t="shared" si="14"/>
        <v>0.18181818181818182</v>
      </c>
      <c r="O27" s="101">
        <f t="shared" si="15"/>
        <v>1.8078869760398542</v>
      </c>
      <c r="P27" s="102">
        <f t="shared" si="16"/>
        <v>125468.90541624188</v>
      </c>
      <c r="Q27" s="103">
        <f t="shared" si="17"/>
        <v>20.911484236040312</v>
      </c>
      <c r="R27" s="103">
        <f t="shared" si="18"/>
        <v>12.300873080023713</v>
      </c>
      <c r="S27" s="102">
        <f t="shared" si="19"/>
        <v>226833.6</v>
      </c>
      <c r="T27" s="103">
        <f t="shared" si="20"/>
        <v>46</v>
      </c>
      <c r="U27" s="103">
        <f t="shared" si="21"/>
        <v>20</v>
      </c>
      <c r="V27" s="104">
        <v>0.85310233682514103</v>
      </c>
      <c r="W27" s="104">
        <v>0.85310233682514103</v>
      </c>
      <c r="X27" s="107"/>
      <c r="Y27" s="106"/>
    </row>
    <row r="28" spans="1:255">
      <c r="A28" s="95" t="s">
        <v>51</v>
      </c>
      <c r="B28" s="96">
        <v>45873</v>
      </c>
      <c r="C28" s="97" t="s">
        <v>53</v>
      </c>
      <c r="D28" s="98">
        <v>45513</v>
      </c>
      <c r="E28" s="99">
        <v>11</v>
      </c>
      <c r="F28" s="99">
        <f t="shared" si="11"/>
        <v>4137.545454545455</v>
      </c>
      <c r="G28" s="99">
        <v>9</v>
      </c>
      <c r="H28" s="99">
        <f t="shared" si="12"/>
        <v>5057</v>
      </c>
      <c r="I28" s="99">
        <v>60</v>
      </c>
      <c r="J28" s="98">
        <f t="shared" si="13"/>
        <v>1.2222222222222223</v>
      </c>
      <c r="K28" s="99"/>
      <c r="L28" s="99"/>
      <c r="M28" s="99"/>
      <c r="N28" s="100">
        <f t="shared" si="14"/>
        <v>0.15</v>
      </c>
      <c r="O28" s="101">
        <f t="shared" si="15"/>
        <v>0.36274326175884825</v>
      </c>
      <c r="P28" s="102">
        <f t="shared" si="16"/>
        <v>125468.90541624188</v>
      </c>
      <c r="Q28" s="103">
        <f t="shared" si="17"/>
        <v>20.911484236040312</v>
      </c>
      <c r="R28" s="103">
        <f t="shared" si="18"/>
        <v>12.300873080023713</v>
      </c>
      <c r="S28" s="102">
        <f t="shared" si="19"/>
        <v>45513</v>
      </c>
      <c r="T28" s="103">
        <f t="shared" si="20"/>
        <v>11</v>
      </c>
      <c r="U28" s="103">
        <f t="shared" si="21"/>
        <v>9</v>
      </c>
      <c r="V28" s="104">
        <v>0.85310233682514103</v>
      </c>
      <c r="W28" s="104">
        <v>0.85310233682514103</v>
      </c>
      <c r="X28" s="107"/>
      <c r="Y28" s="109"/>
    </row>
    <row r="29" spans="1:255" s="110" customFormat="1">
      <c r="A29" s="95" t="s">
        <v>54</v>
      </c>
      <c r="B29" s="96">
        <v>45874</v>
      </c>
      <c r="C29" s="97" t="s">
        <v>55</v>
      </c>
      <c r="D29" s="98">
        <v>82687.7</v>
      </c>
      <c r="E29" s="99">
        <v>18</v>
      </c>
      <c r="F29" s="99">
        <f t="shared" si="11"/>
        <v>4593.7611111111109</v>
      </c>
      <c r="G29" s="99">
        <v>11</v>
      </c>
      <c r="H29" s="99">
        <f t="shared" si="12"/>
        <v>7517.0636363636359</v>
      </c>
      <c r="I29" s="99">
        <v>50</v>
      </c>
      <c r="J29" s="98">
        <f t="shared" si="13"/>
        <v>1.6363636363636365</v>
      </c>
      <c r="K29" s="99"/>
      <c r="L29" s="99">
        <v>16203</v>
      </c>
      <c r="M29" s="99"/>
      <c r="N29" s="100">
        <f t="shared" si="14"/>
        <v>0.22</v>
      </c>
      <c r="O29" s="101">
        <f t="shared" si="15"/>
        <v>0.66384886101860852</v>
      </c>
      <c r="P29" s="102">
        <f t="shared" si="16"/>
        <v>124558.02044026126</v>
      </c>
      <c r="Q29" s="103">
        <f t="shared" si="17"/>
        <v>20.759670073376874</v>
      </c>
      <c r="R29" s="103">
        <f t="shared" si="18"/>
        <v>12.211570631398162</v>
      </c>
      <c r="S29" s="102">
        <f t="shared" si="19"/>
        <v>82687.7</v>
      </c>
      <c r="T29" s="103">
        <f t="shared" si="20"/>
        <v>18</v>
      </c>
      <c r="U29" s="103">
        <f t="shared" si="21"/>
        <v>11</v>
      </c>
      <c r="V29" s="104">
        <v>0.85</v>
      </c>
      <c r="W29" s="104">
        <v>0.85</v>
      </c>
      <c r="X29" s="107"/>
      <c r="Y29" s="106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>
      <c r="A30" s="95" t="s">
        <v>49</v>
      </c>
      <c r="B30" s="96">
        <v>45875</v>
      </c>
      <c r="C30" s="97" t="s">
        <v>56</v>
      </c>
      <c r="D30" s="98">
        <f>24903+46510+57982</f>
        <v>129395</v>
      </c>
      <c r="E30" s="99">
        <v>13</v>
      </c>
      <c r="F30" s="99">
        <f t="shared" si="11"/>
        <v>9953.461538461539</v>
      </c>
      <c r="G30" s="99">
        <v>11</v>
      </c>
      <c r="H30" s="99">
        <f t="shared" si="12"/>
        <v>11763.181818181818</v>
      </c>
      <c r="I30" s="99">
        <v>50</v>
      </c>
      <c r="J30" s="98">
        <f t="shared" si="13"/>
        <v>1.1818181818181819</v>
      </c>
      <c r="K30" s="99">
        <v>57982</v>
      </c>
      <c r="L30" s="99">
        <v>24903</v>
      </c>
      <c r="M30" s="99"/>
      <c r="N30" s="100">
        <f t="shared" si="14"/>
        <v>0.22</v>
      </c>
      <c r="O30" s="101">
        <f t="shared" si="15"/>
        <v>0.75055694663064532</v>
      </c>
      <c r="P30" s="102">
        <f t="shared" si="16"/>
        <v>172398.64420797405</v>
      </c>
      <c r="Q30" s="103">
        <f t="shared" si="17"/>
        <v>28.733107367995675</v>
      </c>
      <c r="R30" s="103">
        <f t="shared" si="18"/>
        <v>16.901827863526869</v>
      </c>
      <c r="S30" s="102">
        <f t="shared" si="19"/>
        <v>129395</v>
      </c>
      <c r="T30" s="103">
        <f t="shared" si="20"/>
        <v>13</v>
      </c>
      <c r="U30" s="103">
        <f t="shared" si="21"/>
        <v>11</v>
      </c>
      <c r="V30" s="104">
        <v>1</v>
      </c>
      <c r="W30" s="104">
        <v>1</v>
      </c>
      <c r="X30" s="107"/>
      <c r="Y30" s="106"/>
    </row>
    <row r="31" spans="1:255">
      <c r="A31" s="95" t="s">
        <v>51</v>
      </c>
      <c r="B31" s="96">
        <v>45876</v>
      </c>
      <c r="C31" s="97" t="s">
        <v>57</v>
      </c>
      <c r="D31" s="98">
        <f>16403+77557+50326+38820</f>
        <v>183106</v>
      </c>
      <c r="E31" s="99">
        <v>27</v>
      </c>
      <c r="F31" s="99">
        <f t="shared" si="11"/>
        <v>6781.7037037037035</v>
      </c>
      <c r="G31" s="99">
        <v>19</v>
      </c>
      <c r="H31" s="99">
        <f t="shared" si="12"/>
        <v>9637.1578947368416</v>
      </c>
      <c r="I31" s="99">
        <v>110</v>
      </c>
      <c r="J31" s="98">
        <f t="shared" si="13"/>
        <v>1.4210526315789473</v>
      </c>
      <c r="K31" s="99">
        <v>77557</v>
      </c>
      <c r="L31" s="99">
        <v>16403</v>
      </c>
      <c r="M31" s="99">
        <v>12890</v>
      </c>
      <c r="N31" s="100">
        <f t="shared" si="14"/>
        <v>0.17272727272727273</v>
      </c>
      <c r="O31" s="101">
        <f t="shared" si="15"/>
        <v>1.4593735347618411</v>
      </c>
      <c r="P31" s="102">
        <f t="shared" si="16"/>
        <v>125468.90541624188</v>
      </c>
      <c r="Q31" s="103">
        <f t="shared" si="17"/>
        <v>20.911484236040312</v>
      </c>
      <c r="R31" s="103">
        <f t="shared" si="18"/>
        <v>12.300873080023713</v>
      </c>
      <c r="S31" s="102">
        <f t="shared" si="19"/>
        <v>183106</v>
      </c>
      <c r="T31" s="103">
        <f t="shared" si="20"/>
        <v>27</v>
      </c>
      <c r="U31" s="103">
        <f t="shared" si="21"/>
        <v>19</v>
      </c>
      <c r="V31" s="104">
        <v>0.85310233682514103</v>
      </c>
      <c r="W31" s="104">
        <v>0.85310233682514103</v>
      </c>
      <c r="X31" s="107"/>
      <c r="Y31" s="106"/>
    </row>
    <row r="32" spans="1:255">
      <c r="A32" s="95" t="s">
        <v>51</v>
      </c>
      <c r="B32" s="96">
        <v>45877</v>
      </c>
      <c r="C32" s="97" t="s">
        <v>48</v>
      </c>
      <c r="D32" s="98">
        <f>110637+25206+7492</f>
        <v>143335</v>
      </c>
      <c r="E32" s="99">
        <v>22</v>
      </c>
      <c r="F32" s="99">
        <f t="shared" si="11"/>
        <v>6515.227272727273</v>
      </c>
      <c r="G32" s="99">
        <v>11</v>
      </c>
      <c r="H32" s="99">
        <f t="shared" si="12"/>
        <v>13030.454545454546</v>
      </c>
      <c r="I32" s="99">
        <v>80</v>
      </c>
      <c r="J32" s="98">
        <f t="shared" si="13"/>
        <v>2</v>
      </c>
      <c r="K32" s="99">
        <v>7492</v>
      </c>
      <c r="L32" s="99">
        <v>25206</v>
      </c>
      <c r="M32" s="99">
        <v>34570</v>
      </c>
      <c r="N32" s="100">
        <f t="shared" si="14"/>
        <v>0.13750000000000001</v>
      </c>
      <c r="O32" s="101">
        <f t="shared" si="15"/>
        <v>1.1423945998770575</v>
      </c>
      <c r="P32" s="102">
        <f t="shared" si="16"/>
        <v>125468.90541624188</v>
      </c>
      <c r="Q32" s="103">
        <f t="shared" si="17"/>
        <v>20.911484236040312</v>
      </c>
      <c r="R32" s="103">
        <f t="shared" si="18"/>
        <v>12.300873080023713</v>
      </c>
      <c r="S32" s="102">
        <f t="shared" si="19"/>
        <v>143335</v>
      </c>
      <c r="T32" s="103">
        <f t="shared" si="20"/>
        <v>22</v>
      </c>
      <c r="U32" s="103">
        <f t="shared" si="21"/>
        <v>11</v>
      </c>
      <c r="V32" s="104">
        <v>0.85310233682514103</v>
      </c>
      <c r="W32" s="104">
        <v>0.85310233682514103</v>
      </c>
      <c r="X32" s="107"/>
      <c r="Y32" s="106"/>
    </row>
    <row r="33" spans="1:26">
      <c r="A33" s="95" t="s">
        <v>58</v>
      </c>
      <c r="B33" s="96">
        <v>45878</v>
      </c>
      <c r="C33" s="97" t="s">
        <v>50</v>
      </c>
      <c r="D33" s="98">
        <f>46707+128331</f>
        <v>175038</v>
      </c>
      <c r="E33" s="99">
        <v>22</v>
      </c>
      <c r="F33" s="99">
        <f t="shared" si="11"/>
        <v>7956.272727272727</v>
      </c>
      <c r="G33" s="99">
        <v>16</v>
      </c>
      <c r="H33" s="99">
        <f t="shared" si="12"/>
        <v>10939.875</v>
      </c>
      <c r="I33" s="99">
        <v>110</v>
      </c>
      <c r="J33" s="98">
        <f t="shared" si="13"/>
        <v>1.375</v>
      </c>
      <c r="K33" s="99"/>
      <c r="L33" s="99">
        <v>46707</v>
      </c>
      <c r="M33" s="99">
        <v>49280</v>
      </c>
      <c r="N33" s="100">
        <f t="shared" si="14"/>
        <v>0.14545454545454545</v>
      </c>
      <c r="O33" s="101">
        <f t="shared" si="15"/>
        <v>1.3950707501536985</v>
      </c>
      <c r="P33" s="102">
        <f t="shared" si="16"/>
        <v>125468.90541624188</v>
      </c>
      <c r="Q33" s="103">
        <f t="shared" si="17"/>
        <v>20.911484236040312</v>
      </c>
      <c r="R33" s="103">
        <f t="shared" si="18"/>
        <v>12.300873080023713</v>
      </c>
      <c r="S33" s="102">
        <f t="shared" si="19"/>
        <v>175038</v>
      </c>
      <c r="T33" s="103">
        <f t="shared" si="20"/>
        <v>22</v>
      </c>
      <c r="U33" s="103">
        <f t="shared" si="21"/>
        <v>16</v>
      </c>
      <c r="V33" s="104">
        <v>0.85310233682514103</v>
      </c>
      <c r="W33" s="104">
        <v>0.85310233682514103</v>
      </c>
      <c r="X33" s="107"/>
      <c r="Y33" s="106"/>
    </row>
    <row r="34" spans="1:26">
      <c r="A34" s="95" t="s">
        <v>49</v>
      </c>
      <c r="B34" s="96">
        <v>45879</v>
      </c>
      <c r="C34" s="97" t="s">
        <v>52</v>
      </c>
      <c r="D34" s="98">
        <f>6991+50928+33665+20158</f>
        <v>111742</v>
      </c>
      <c r="E34" s="99">
        <v>17</v>
      </c>
      <c r="F34" s="99">
        <f t="shared" si="11"/>
        <v>6573.0588235294117</v>
      </c>
      <c r="G34" s="99">
        <v>10</v>
      </c>
      <c r="H34" s="99">
        <f t="shared" si="12"/>
        <v>11174.2</v>
      </c>
      <c r="I34" s="99">
        <v>60</v>
      </c>
      <c r="J34" s="98">
        <f t="shared" si="13"/>
        <v>1.7</v>
      </c>
      <c r="K34" s="99">
        <v>6991</v>
      </c>
      <c r="L34" s="99">
        <v>50928</v>
      </c>
      <c r="M34" s="99"/>
      <c r="N34" s="100">
        <f t="shared" si="14"/>
        <v>0.16666666666666666</v>
      </c>
      <c r="O34" s="101">
        <f t="shared" si="15"/>
        <v>0.89059516084321455</v>
      </c>
      <c r="P34" s="102">
        <f t="shared" si="16"/>
        <v>125468.90541624188</v>
      </c>
      <c r="Q34" s="103">
        <f t="shared" si="17"/>
        <v>20.911484236040312</v>
      </c>
      <c r="R34" s="103">
        <f t="shared" si="18"/>
        <v>12.300873080023713</v>
      </c>
      <c r="S34" s="102">
        <f t="shared" si="19"/>
        <v>111742</v>
      </c>
      <c r="T34" s="103">
        <f t="shared" si="20"/>
        <v>17</v>
      </c>
      <c r="U34" s="103">
        <f t="shared" si="21"/>
        <v>10</v>
      </c>
      <c r="V34" s="104">
        <v>0.85310233682514103</v>
      </c>
      <c r="W34" s="104">
        <v>0.85310233682514103</v>
      </c>
      <c r="X34" s="107"/>
      <c r="Y34" s="106"/>
    </row>
    <row r="35" spans="1:26">
      <c r="A35" s="95" t="s">
        <v>51</v>
      </c>
      <c r="B35" s="96">
        <v>45880</v>
      </c>
      <c r="C35" s="97" t="s">
        <v>53</v>
      </c>
      <c r="D35" s="98">
        <f>6992+35332+6000+38721</f>
        <v>87045</v>
      </c>
      <c r="E35" s="99">
        <v>20</v>
      </c>
      <c r="F35" s="99">
        <f t="shared" si="11"/>
        <v>4352.25</v>
      </c>
      <c r="G35" s="99">
        <v>10</v>
      </c>
      <c r="H35" s="99">
        <f t="shared" si="12"/>
        <v>8704.5</v>
      </c>
      <c r="I35" s="99">
        <v>60</v>
      </c>
      <c r="J35" s="98">
        <f t="shared" si="13"/>
        <v>2</v>
      </c>
      <c r="K35" s="99">
        <v>6992</v>
      </c>
      <c r="L35" s="99"/>
      <c r="M35" s="99"/>
      <c r="N35" s="100">
        <f t="shared" si="14"/>
        <v>0.16666666666666666</v>
      </c>
      <c r="O35" s="101">
        <f t="shared" si="15"/>
        <v>0.50490536279967946</v>
      </c>
      <c r="P35" s="102">
        <f t="shared" si="16"/>
        <v>172398.64420797405</v>
      </c>
      <c r="Q35" s="103">
        <f t="shared" si="17"/>
        <v>28.733107367995675</v>
      </c>
      <c r="R35" s="103">
        <f t="shared" si="18"/>
        <v>16.901827863526869</v>
      </c>
      <c r="S35" s="102">
        <f t="shared" si="19"/>
        <v>87045</v>
      </c>
      <c r="T35" s="103">
        <f t="shared" si="20"/>
        <v>20</v>
      </c>
      <c r="U35" s="103">
        <f t="shared" si="21"/>
        <v>10</v>
      </c>
      <c r="V35" s="104">
        <v>1</v>
      </c>
      <c r="W35" s="104">
        <v>1</v>
      </c>
      <c r="X35" s="107"/>
      <c r="Y35" s="106"/>
    </row>
    <row r="36" spans="1:26">
      <c r="A36" s="95" t="s">
        <v>51</v>
      </c>
      <c r="B36" s="96">
        <v>45881</v>
      </c>
      <c r="C36" s="97" t="s">
        <v>55</v>
      </c>
      <c r="D36" s="98">
        <f>20806+14280+66878+79259</f>
        <v>181223</v>
      </c>
      <c r="E36" s="111">
        <v>38</v>
      </c>
      <c r="F36" s="99">
        <f t="shared" si="11"/>
        <v>4769.0263157894733</v>
      </c>
      <c r="G36" s="99">
        <v>23</v>
      </c>
      <c r="H36" s="99">
        <f t="shared" si="12"/>
        <v>7879.260869565217</v>
      </c>
      <c r="I36" s="99">
        <v>110</v>
      </c>
      <c r="J36" s="98">
        <f t="shared" si="13"/>
        <v>1.6521739130434783</v>
      </c>
      <c r="K36" s="99"/>
      <c r="L36" s="99">
        <v>20806</v>
      </c>
      <c r="M36" s="99">
        <v>14280</v>
      </c>
      <c r="N36" s="100">
        <f t="shared" si="14"/>
        <v>0.20909090909090908</v>
      </c>
      <c r="O36" s="101">
        <f t="shared" si="15"/>
        <v>1.0511857609586572</v>
      </c>
      <c r="P36" s="102">
        <f t="shared" si="16"/>
        <v>172398.64420797405</v>
      </c>
      <c r="Q36" s="103">
        <f t="shared" si="17"/>
        <v>28.733107367995675</v>
      </c>
      <c r="R36" s="103">
        <f t="shared" si="18"/>
        <v>16.901827863526869</v>
      </c>
      <c r="S36" s="102">
        <f t="shared" si="19"/>
        <v>181223</v>
      </c>
      <c r="T36" s="103">
        <f t="shared" si="20"/>
        <v>38</v>
      </c>
      <c r="U36" s="103">
        <f t="shared" si="21"/>
        <v>23</v>
      </c>
      <c r="V36" s="104">
        <v>1</v>
      </c>
      <c r="W36" s="104">
        <v>1</v>
      </c>
      <c r="X36" s="107"/>
      <c r="Y36" s="106"/>
    </row>
    <row r="37" spans="1:26" ht="15.25" customHeight="1">
      <c r="A37" s="95" t="s">
        <v>59</v>
      </c>
      <c r="B37" s="96">
        <v>45882</v>
      </c>
      <c r="C37" s="97" t="s">
        <v>56</v>
      </c>
      <c r="D37" s="98">
        <v>268700</v>
      </c>
      <c r="E37" s="99">
        <v>40</v>
      </c>
      <c r="F37" s="99">
        <f t="shared" si="11"/>
        <v>6717.5</v>
      </c>
      <c r="G37" s="99">
        <v>18</v>
      </c>
      <c r="H37" s="99">
        <f t="shared" si="12"/>
        <v>14927.777777777777</v>
      </c>
      <c r="I37" s="99">
        <v>110</v>
      </c>
      <c r="J37" s="98">
        <f t="shared" si="13"/>
        <v>2.2222222222222223</v>
      </c>
      <c r="K37" s="99">
        <v>109143</v>
      </c>
      <c r="L37" s="99">
        <v>16106</v>
      </c>
      <c r="M37" s="99">
        <v>7390</v>
      </c>
      <c r="N37" s="100">
        <f t="shared" si="14"/>
        <v>0.16363636363636364</v>
      </c>
      <c r="O37" s="101">
        <f t="shared" si="15"/>
        <v>1.5585969439287022</v>
      </c>
      <c r="P37" s="102">
        <f t="shared" si="16"/>
        <v>172398.64420797405</v>
      </c>
      <c r="Q37" s="103">
        <f t="shared" si="17"/>
        <v>28.733107367995675</v>
      </c>
      <c r="R37" s="103">
        <f t="shared" si="18"/>
        <v>16.901827863526869</v>
      </c>
      <c r="S37" s="102">
        <f t="shared" si="19"/>
        <v>268700</v>
      </c>
      <c r="T37" s="103">
        <f t="shared" si="20"/>
        <v>40</v>
      </c>
      <c r="U37" s="103">
        <f t="shared" si="21"/>
        <v>18</v>
      </c>
      <c r="V37" s="104">
        <v>1</v>
      </c>
      <c r="W37" s="104">
        <v>1</v>
      </c>
      <c r="X37" s="107"/>
      <c r="Y37" s="106"/>
    </row>
    <row r="38" spans="1:26">
      <c r="A38" s="95" t="s">
        <v>47</v>
      </c>
      <c r="B38" s="96">
        <v>45883</v>
      </c>
      <c r="C38" s="97" t="s">
        <v>57</v>
      </c>
      <c r="D38" s="98">
        <v>127931</v>
      </c>
      <c r="E38" s="99">
        <v>21</v>
      </c>
      <c r="F38" s="99">
        <f t="shared" si="11"/>
        <v>6091.9523809523807</v>
      </c>
      <c r="G38" s="99">
        <v>9</v>
      </c>
      <c r="H38" s="99">
        <f t="shared" si="12"/>
        <v>14214.555555555555</v>
      </c>
      <c r="I38" s="99">
        <v>100</v>
      </c>
      <c r="J38" s="98">
        <f t="shared" si="13"/>
        <v>2.3333333333333335</v>
      </c>
      <c r="K38" s="99">
        <v>36570.35</v>
      </c>
      <c r="L38" s="99">
        <v>0</v>
      </c>
      <c r="M38" s="99">
        <v>19970</v>
      </c>
      <c r="N38" s="100">
        <f t="shared" si="14"/>
        <v>0.09</v>
      </c>
      <c r="O38" s="101">
        <f t="shared" si="15"/>
        <v>0.74206500049774016</v>
      </c>
      <c r="P38" s="102">
        <f t="shared" si="16"/>
        <v>172398.64420797405</v>
      </c>
      <c r="Q38" s="103">
        <f t="shared" si="17"/>
        <v>28.733107367995675</v>
      </c>
      <c r="R38" s="103">
        <f t="shared" si="18"/>
        <v>16.901827863526869</v>
      </c>
      <c r="S38" s="102">
        <f t="shared" si="19"/>
        <v>127931</v>
      </c>
      <c r="T38" s="103">
        <f t="shared" si="20"/>
        <v>21</v>
      </c>
      <c r="U38" s="103">
        <f t="shared" si="21"/>
        <v>9</v>
      </c>
      <c r="V38" s="104">
        <v>1</v>
      </c>
      <c r="W38" s="104">
        <v>1</v>
      </c>
      <c r="X38" s="107"/>
      <c r="Y38" s="106"/>
    </row>
    <row r="39" spans="1:26">
      <c r="A39" s="95" t="s">
        <v>51</v>
      </c>
      <c r="B39" s="96">
        <v>45853</v>
      </c>
      <c r="C39" s="97" t="s">
        <v>48</v>
      </c>
      <c r="D39" s="98">
        <f>19598+47387+39885</f>
        <v>106870</v>
      </c>
      <c r="E39" s="99">
        <v>20</v>
      </c>
      <c r="F39" s="99">
        <f t="shared" si="11"/>
        <v>5343.5</v>
      </c>
      <c r="G39" s="99">
        <v>12</v>
      </c>
      <c r="H39" s="99">
        <f t="shared" si="12"/>
        <v>8905.8333333333339</v>
      </c>
      <c r="I39" s="99">
        <v>100</v>
      </c>
      <c r="J39" s="98">
        <f t="shared" si="13"/>
        <v>1.6666666666666667</v>
      </c>
      <c r="K39" s="99">
        <v>19598</v>
      </c>
      <c r="L39" s="99"/>
      <c r="M39" s="99"/>
      <c r="N39" s="100">
        <f t="shared" si="14"/>
        <v>0.12</v>
      </c>
      <c r="O39" s="101">
        <f t="shared" si="15"/>
        <v>0.61990046668277032</v>
      </c>
      <c r="P39" s="102">
        <f t="shared" si="16"/>
        <v>172398.64420797405</v>
      </c>
      <c r="Q39" s="103">
        <f t="shared" si="17"/>
        <v>28.733107367995675</v>
      </c>
      <c r="R39" s="103">
        <f t="shared" si="18"/>
        <v>16.901827863526869</v>
      </c>
      <c r="S39" s="102">
        <f t="shared" si="19"/>
        <v>106870</v>
      </c>
      <c r="T39" s="103">
        <f t="shared" si="20"/>
        <v>20</v>
      </c>
      <c r="U39" s="103">
        <f t="shared" si="21"/>
        <v>12</v>
      </c>
      <c r="V39" s="104">
        <v>1</v>
      </c>
      <c r="W39" s="104">
        <v>1</v>
      </c>
      <c r="X39" s="107"/>
      <c r="Y39" s="106"/>
    </row>
    <row r="40" spans="1:26">
      <c r="A40" s="95" t="s">
        <v>58</v>
      </c>
      <c r="B40" s="96">
        <v>45854</v>
      </c>
      <c r="C40" s="97" t="s">
        <v>50</v>
      </c>
      <c r="D40" s="98">
        <f>5501+49605+66972+74558+9283</f>
        <v>205919</v>
      </c>
      <c r="E40" s="99">
        <v>42</v>
      </c>
      <c r="F40" s="99">
        <f t="shared" si="11"/>
        <v>4902.833333333333</v>
      </c>
      <c r="G40" s="99">
        <v>23</v>
      </c>
      <c r="H40" s="99">
        <f t="shared" si="12"/>
        <v>8953</v>
      </c>
      <c r="I40" s="99">
        <v>100</v>
      </c>
      <c r="J40" s="98">
        <f t="shared" si="13"/>
        <v>1.826086956521739</v>
      </c>
      <c r="K40" s="99"/>
      <c r="L40" s="99">
        <v>5501</v>
      </c>
      <c r="M40" s="99"/>
      <c r="N40" s="100">
        <f t="shared" si="14"/>
        <v>0.23</v>
      </c>
      <c r="O40" s="101">
        <f t="shared" si="15"/>
        <v>1.1944351473645494</v>
      </c>
      <c r="P40" s="102">
        <f t="shared" si="16"/>
        <v>172398.64420797405</v>
      </c>
      <c r="Q40" s="103">
        <f t="shared" si="17"/>
        <v>28.733107367995675</v>
      </c>
      <c r="R40" s="103">
        <f t="shared" si="18"/>
        <v>16.901827863526869</v>
      </c>
      <c r="S40" s="102">
        <f t="shared" si="19"/>
        <v>205919</v>
      </c>
      <c r="T40" s="103">
        <f t="shared" si="20"/>
        <v>42</v>
      </c>
      <c r="U40" s="103">
        <f t="shared" si="21"/>
        <v>23</v>
      </c>
      <c r="V40" s="104">
        <v>1</v>
      </c>
      <c r="W40" s="104">
        <v>1</v>
      </c>
      <c r="X40" s="107"/>
      <c r="Y40" s="106"/>
    </row>
    <row r="41" spans="1:26">
      <c r="A41" s="95" t="s">
        <v>49</v>
      </c>
      <c r="B41" s="96">
        <v>45855</v>
      </c>
      <c r="C41" s="97" t="s">
        <v>52</v>
      </c>
      <c r="D41" s="98">
        <v>67955</v>
      </c>
      <c r="E41" s="99">
        <v>16</v>
      </c>
      <c r="F41" s="99">
        <f t="shared" si="11"/>
        <v>4247.1875</v>
      </c>
      <c r="G41" s="99">
        <v>9</v>
      </c>
      <c r="H41" s="99">
        <f t="shared" si="12"/>
        <v>7550.5555555555557</v>
      </c>
      <c r="I41" s="99">
        <v>70</v>
      </c>
      <c r="J41" s="98">
        <f t="shared" si="13"/>
        <v>1.7777777777777777</v>
      </c>
      <c r="K41" s="99"/>
      <c r="L41" s="99"/>
      <c r="M41" s="99"/>
      <c r="N41" s="100">
        <f t="shared" si="14"/>
        <v>0.12857142857142856</v>
      </c>
      <c r="O41" s="101">
        <f t="shared" si="15"/>
        <v>0.39417363351200208</v>
      </c>
      <c r="P41" s="102">
        <f t="shared" si="16"/>
        <v>172398.64420797405</v>
      </c>
      <c r="Q41" s="103">
        <f t="shared" si="17"/>
        <v>28.733107367995675</v>
      </c>
      <c r="R41" s="103">
        <f t="shared" si="18"/>
        <v>16.901827863526869</v>
      </c>
      <c r="S41" s="102">
        <f t="shared" si="19"/>
        <v>67955</v>
      </c>
      <c r="T41" s="103">
        <f t="shared" si="20"/>
        <v>16</v>
      </c>
      <c r="U41" s="103">
        <f t="shared" si="21"/>
        <v>9</v>
      </c>
      <c r="V41" s="104">
        <v>1</v>
      </c>
      <c r="W41" s="104">
        <v>1</v>
      </c>
      <c r="X41" s="107"/>
      <c r="Y41" s="106"/>
    </row>
    <row r="42" spans="1:26">
      <c r="A42" s="95" t="s">
        <v>51</v>
      </c>
      <c r="B42" s="96">
        <v>45856</v>
      </c>
      <c r="C42" s="97" t="s">
        <v>53</v>
      </c>
      <c r="D42" s="98">
        <f>21304+23583+65259+39632</f>
        <v>149778</v>
      </c>
      <c r="E42" s="99">
        <v>27</v>
      </c>
      <c r="F42" s="99">
        <f t="shared" si="11"/>
        <v>5547.333333333333</v>
      </c>
      <c r="G42" s="99">
        <v>13</v>
      </c>
      <c r="H42" s="99">
        <f t="shared" si="12"/>
        <v>11521.384615384615</v>
      </c>
      <c r="I42" s="99">
        <v>90</v>
      </c>
      <c r="J42" s="98">
        <f t="shared" si="13"/>
        <v>2.0769230769230771</v>
      </c>
      <c r="K42" s="99"/>
      <c r="L42" s="99">
        <v>21304</v>
      </c>
      <c r="M42" s="99">
        <v>23583</v>
      </c>
      <c r="N42" s="100">
        <f t="shared" si="14"/>
        <v>0.14444444444444443</v>
      </c>
      <c r="O42" s="101">
        <f t="shared" si="15"/>
        <v>0.86878873490045827</v>
      </c>
      <c r="P42" s="102">
        <f t="shared" si="16"/>
        <v>172398.64420797405</v>
      </c>
      <c r="Q42" s="103">
        <f t="shared" si="17"/>
        <v>28.733107367995675</v>
      </c>
      <c r="R42" s="103">
        <f t="shared" si="18"/>
        <v>16.901827863526869</v>
      </c>
      <c r="S42" s="102">
        <f t="shared" si="19"/>
        <v>149778</v>
      </c>
      <c r="T42" s="103">
        <f t="shared" si="20"/>
        <v>27</v>
      </c>
      <c r="U42" s="103">
        <f t="shared" si="21"/>
        <v>13</v>
      </c>
      <c r="V42" s="104">
        <v>1</v>
      </c>
      <c r="W42" s="104">
        <v>1</v>
      </c>
      <c r="X42" s="107"/>
      <c r="Y42" s="106"/>
    </row>
    <row r="43" spans="1:26">
      <c r="A43" s="95" t="s">
        <v>51</v>
      </c>
      <c r="B43" s="96">
        <v>45857</v>
      </c>
      <c r="C43" s="97" t="s">
        <v>55</v>
      </c>
      <c r="D43" s="98">
        <f>59466+2203+13180+72366+69525</f>
        <v>216740</v>
      </c>
      <c r="E43" s="99">
        <v>37</v>
      </c>
      <c r="F43" s="99">
        <v>5859</v>
      </c>
      <c r="G43" s="99">
        <v>19</v>
      </c>
      <c r="H43" s="99">
        <f t="shared" si="12"/>
        <v>11407.368421052632</v>
      </c>
      <c r="I43" s="99">
        <v>150</v>
      </c>
      <c r="J43" s="98">
        <f t="shared" si="13"/>
        <v>1.9473684210526316</v>
      </c>
      <c r="K43" s="99">
        <v>59466</v>
      </c>
      <c r="L43" s="99">
        <v>2203</v>
      </c>
      <c r="M43" s="99">
        <v>13180</v>
      </c>
      <c r="N43" s="100">
        <f t="shared" si="14"/>
        <v>0.12666666666666668</v>
      </c>
      <c r="O43" s="101">
        <f t="shared" si="15"/>
        <v>1.257202462326412</v>
      </c>
      <c r="P43" s="102">
        <f t="shared" si="16"/>
        <v>172398.64420797405</v>
      </c>
      <c r="Q43" s="103">
        <f t="shared" si="17"/>
        <v>28.733107367995675</v>
      </c>
      <c r="R43" s="103">
        <f t="shared" si="18"/>
        <v>16.901827863526869</v>
      </c>
      <c r="S43" s="102">
        <f t="shared" si="19"/>
        <v>216740</v>
      </c>
      <c r="T43" s="103">
        <f t="shared" si="20"/>
        <v>37</v>
      </c>
      <c r="U43" s="103">
        <f t="shared" si="21"/>
        <v>19</v>
      </c>
      <c r="V43" s="104">
        <v>1</v>
      </c>
      <c r="W43" s="104">
        <v>1</v>
      </c>
      <c r="X43" s="107"/>
      <c r="Y43" s="106"/>
      <c r="Z43" s="112"/>
    </row>
    <row r="44" spans="1:26">
      <c r="A44" s="95" t="s">
        <v>60</v>
      </c>
      <c r="B44" s="96">
        <v>45858</v>
      </c>
      <c r="C44" s="97" t="s">
        <v>56</v>
      </c>
      <c r="D44" s="98">
        <f>126520+36309+14265+26550</f>
        <v>203644</v>
      </c>
      <c r="E44" s="99">
        <v>22</v>
      </c>
      <c r="F44" s="99">
        <f t="shared" si="11"/>
        <v>9256.545454545454</v>
      </c>
      <c r="G44" s="99">
        <v>11</v>
      </c>
      <c r="H44" s="99">
        <f t="shared" si="12"/>
        <v>18513.090909090908</v>
      </c>
      <c r="I44" s="99">
        <v>99</v>
      </c>
      <c r="J44" s="98">
        <f t="shared" si="13"/>
        <v>2</v>
      </c>
      <c r="K44" s="99">
        <v>126520</v>
      </c>
      <c r="L44" s="99">
        <v>36309</v>
      </c>
      <c r="M44" s="99"/>
      <c r="N44" s="100">
        <f t="shared" si="14"/>
        <v>0.1111111111111111</v>
      </c>
      <c r="O44" s="101">
        <f t="shared" si="15"/>
        <v>1.1812389879025553</v>
      </c>
      <c r="P44" s="102">
        <f t="shared" si="16"/>
        <v>172398.64420797405</v>
      </c>
      <c r="Q44" s="103">
        <f t="shared" si="17"/>
        <v>28.733107367995675</v>
      </c>
      <c r="R44" s="103">
        <f t="shared" si="18"/>
        <v>16.901827863526869</v>
      </c>
      <c r="S44" s="102">
        <f t="shared" si="19"/>
        <v>203644</v>
      </c>
      <c r="T44" s="103">
        <f t="shared" si="20"/>
        <v>22</v>
      </c>
      <c r="U44" s="103">
        <f t="shared" si="21"/>
        <v>11</v>
      </c>
      <c r="V44" s="104">
        <v>1</v>
      </c>
      <c r="W44" s="104">
        <v>1</v>
      </c>
      <c r="X44" s="107"/>
      <c r="Y44" s="106"/>
      <c r="Z44" s="112"/>
    </row>
    <row r="45" spans="1:26">
      <c r="A45" s="95" t="s">
        <v>47</v>
      </c>
      <c r="B45" s="96">
        <v>45859</v>
      </c>
      <c r="C45" s="97" t="s">
        <v>57</v>
      </c>
      <c r="D45" s="98">
        <f>28480+18503+6392+95543+45615+18974</f>
        <v>213507</v>
      </c>
      <c r="E45" s="99">
        <v>40</v>
      </c>
      <c r="F45" s="99">
        <f t="shared" si="11"/>
        <v>5337.6750000000002</v>
      </c>
      <c r="G45" s="99">
        <v>20</v>
      </c>
      <c r="H45" s="99">
        <f t="shared" si="12"/>
        <v>10675.35</v>
      </c>
      <c r="I45" s="99">
        <v>145</v>
      </c>
      <c r="J45" s="98">
        <f t="shared" si="13"/>
        <v>2</v>
      </c>
      <c r="K45" s="99">
        <v>28480</v>
      </c>
      <c r="L45" s="99">
        <v>18503</v>
      </c>
      <c r="M45" s="99">
        <v>6392</v>
      </c>
      <c r="N45" s="100">
        <f t="shared" si="14"/>
        <v>0.13793103448275862</v>
      </c>
      <c r="O45" s="101">
        <f t="shared" si="15"/>
        <v>1.2384494146162464</v>
      </c>
      <c r="P45" s="102">
        <f t="shared" si="16"/>
        <v>172398.64420797405</v>
      </c>
      <c r="Q45" s="103">
        <f t="shared" si="17"/>
        <v>28.733107367995675</v>
      </c>
      <c r="R45" s="103">
        <f t="shared" si="18"/>
        <v>16.901827863526869</v>
      </c>
      <c r="S45" s="102">
        <f t="shared" si="19"/>
        <v>213507</v>
      </c>
      <c r="T45" s="103">
        <f t="shared" si="20"/>
        <v>40</v>
      </c>
      <c r="U45" s="103">
        <f t="shared" si="21"/>
        <v>20</v>
      </c>
      <c r="V45" s="104">
        <v>1</v>
      </c>
      <c r="W45" s="104">
        <v>1</v>
      </c>
      <c r="X45" s="107"/>
      <c r="Y45" s="106"/>
      <c r="Z45" s="112"/>
    </row>
    <row r="46" spans="1:26">
      <c r="A46" s="95" t="s">
        <v>51</v>
      </c>
      <c r="B46" s="96">
        <v>45860</v>
      </c>
      <c r="C46" s="97" t="s">
        <v>48</v>
      </c>
      <c r="D46" s="98">
        <f>14990+87860+23648</f>
        <v>126498</v>
      </c>
      <c r="E46" s="99">
        <v>23</v>
      </c>
      <c r="F46" s="99">
        <f t="shared" si="11"/>
        <v>5499.913043478261</v>
      </c>
      <c r="G46" s="99">
        <v>6</v>
      </c>
      <c r="H46" s="99">
        <f t="shared" si="12"/>
        <v>21083</v>
      </c>
      <c r="I46" s="99">
        <v>72</v>
      </c>
      <c r="J46" s="98">
        <f t="shared" si="13"/>
        <v>3.8333333333333335</v>
      </c>
      <c r="K46" s="99">
        <v>14990</v>
      </c>
      <c r="L46" s="99"/>
      <c r="M46" s="99"/>
      <c r="N46" s="100">
        <f t="shared" si="14"/>
        <v>8.3333333333333329E-2</v>
      </c>
      <c r="O46" s="101">
        <f t="shared" si="15"/>
        <v>0.7337528701640974</v>
      </c>
      <c r="P46" s="102">
        <f t="shared" si="16"/>
        <v>172398.64420797405</v>
      </c>
      <c r="Q46" s="103">
        <f t="shared" si="17"/>
        <v>28.733107367995675</v>
      </c>
      <c r="R46" s="103">
        <f t="shared" si="18"/>
        <v>16.901827863526869</v>
      </c>
      <c r="S46" s="102">
        <f t="shared" si="19"/>
        <v>126498</v>
      </c>
      <c r="T46" s="103">
        <f t="shared" si="20"/>
        <v>23</v>
      </c>
      <c r="U46" s="103">
        <f t="shared" si="21"/>
        <v>6</v>
      </c>
      <c r="V46" s="104">
        <v>1</v>
      </c>
      <c r="W46" s="104">
        <v>1</v>
      </c>
      <c r="X46" s="107"/>
      <c r="Y46" s="106"/>
      <c r="Z46" s="112"/>
    </row>
    <row r="47" spans="1:26">
      <c r="A47" s="95" t="s">
        <v>49</v>
      </c>
      <c r="B47" s="96">
        <v>45861</v>
      </c>
      <c r="C47" s="97" t="s">
        <v>50</v>
      </c>
      <c r="D47" s="98">
        <f>13992+9903+40123+37729</f>
        <v>101747</v>
      </c>
      <c r="E47" s="99">
        <v>17</v>
      </c>
      <c r="F47" s="99">
        <f t="shared" si="11"/>
        <v>5985.1176470588234</v>
      </c>
      <c r="G47" s="99">
        <v>11</v>
      </c>
      <c r="H47" s="99">
        <f t="shared" si="12"/>
        <v>9249.7272727272721</v>
      </c>
      <c r="I47" s="99">
        <v>108</v>
      </c>
      <c r="J47" s="98">
        <f t="shared" si="13"/>
        <v>1.5454545454545454</v>
      </c>
      <c r="K47" s="99">
        <v>13992</v>
      </c>
      <c r="L47" s="99">
        <v>9903</v>
      </c>
      <c r="M47" s="99"/>
      <c r="N47" s="100">
        <f t="shared" si="14"/>
        <v>0.10185185185185185</v>
      </c>
      <c r="O47" s="101">
        <f t="shared" si="15"/>
        <v>0.59018445572725586</v>
      </c>
      <c r="P47" s="102">
        <f t="shared" si="16"/>
        <v>172398.64420797405</v>
      </c>
      <c r="Q47" s="103">
        <f t="shared" si="17"/>
        <v>28.733107367995675</v>
      </c>
      <c r="R47" s="103">
        <f t="shared" si="18"/>
        <v>16.901827863526869</v>
      </c>
      <c r="S47" s="102">
        <f t="shared" si="19"/>
        <v>101747</v>
      </c>
      <c r="T47" s="103">
        <f t="shared" si="20"/>
        <v>17</v>
      </c>
      <c r="U47" s="103">
        <f t="shared" si="21"/>
        <v>11</v>
      </c>
      <c r="V47" s="104">
        <v>1</v>
      </c>
      <c r="W47" s="104">
        <v>1</v>
      </c>
      <c r="X47" s="107"/>
      <c r="Y47" s="106"/>
      <c r="Z47" s="112"/>
    </row>
    <row r="48" spans="1:26">
      <c r="A48" s="95" t="s">
        <v>49</v>
      </c>
      <c r="B48" s="96">
        <v>45862</v>
      </c>
      <c r="C48" s="97" t="s">
        <v>52</v>
      </c>
      <c r="D48" s="98">
        <f>7903+36349</f>
        <v>44252</v>
      </c>
      <c r="E48" s="99">
        <v>7</v>
      </c>
      <c r="F48" s="99">
        <f t="shared" si="11"/>
        <v>6321.7142857142853</v>
      </c>
      <c r="G48" s="99">
        <v>4</v>
      </c>
      <c r="H48" s="99">
        <f t="shared" si="12"/>
        <v>11063</v>
      </c>
      <c r="I48" s="99">
        <v>89</v>
      </c>
      <c r="J48" s="98">
        <f t="shared" si="13"/>
        <v>1.75</v>
      </c>
      <c r="K48" s="99">
        <v>22980</v>
      </c>
      <c r="L48" s="99">
        <v>7903</v>
      </c>
      <c r="M48" s="99"/>
      <c r="N48" s="100">
        <f t="shared" si="14"/>
        <v>4.49438202247191E-2</v>
      </c>
      <c r="O48" s="101">
        <f t="shared" si="15"/>
        <v>0.25668415319215826</v>
      </c>
      <c r="P48" s="102">
        <f t="shared" si="16"/>
        <v>172398.64420797405</v>
      </c>
      <c r="Q48" s="103">
        <f t="shared" si="17"/>
        <v>28.733107367995675</v>
      </c>
      <c r="R48" s="103">
        <f t="shared" si="18"/>
        <v>16.901827863526869</v>
      </c>
      <c r="S48" s="102">
        <f t="shared" si="19"/>
        <v>44252</v>
      </c>
      <c r="T48" s="103">
        <f t="shared" si="20"/>
        <v>7</v>
      </c>
      <c r="U48" s="103">
        <f t="shared" si="21"/>
        <v>4</v>
      </c>
      <c r="V48" s="104">
        <v>1</v>
      </c>
      <c r="W48" s="104">
        <v>1</v>
      </c>
      <c r="X48" s="107"/>
      <c r="Y48" s="106"/>
      <c r="Z48" s="112"/>
    </row>
    <row r="49" spans="1:26">
      <c r="A49" s="95" t="s">
        <v>51</v>
      </c>
      <c r="B49" s="96">
        <v>45863</v>
      </c>
      <c r="C49" s="97" t="s">
        <v>53</v>
      </c>
      <c r="D49" s="98">
        <f>16992+28726+33172+18966+24262</f>
        <v>122118</v>
      </c>
      <c r="E49" s="99">
        <v>16</v>
      </c>
      <c r="F49" s="99">
        <f t="shared" si="11"/>
        <v>7632.375</v>
      </c>
      <c r="G49" s="99">
        <v>12</v>
      </c>
      <c r="H49" s="99">
        <f t="shared" si="12"/>
        <v>10176.5</v>
      </c>
      <c r="I49" s="99">
        <v>78</v>
      </c>
      <c r="J49" s="98">
        <f t="shared" si="13"/>
        <v>1.3333333333333333</v>
      </c>
      <c r="K49" s="99">
        <v>16992</v>
      </c>
      <c r="L49" s="99">
        <v>28726</v>
      </c>
      <c r="M49" s="99">
        <v>33172</v>
      </c>
      <c r="N49" s="100">
        <f t="shared" si="14"/>
        <v>0.15384615384615385</v>
      </c>
      <c r="O49" s="101">
        <f t="shared" si="15"/>
        <v>0.70834663788122532</v>
      </c>
      <c r="P49" s="102">
        <f t="shared" si="16"/>
        <v>172398.64420797405</v>
      </c>
      <c r="Q49" s="103">
        <f t="shared" si="17"/>
        <v>28.733107367995675</v>
      </c>
      <c r="R49" s="103">
        <f t="shared" si="18"/>
        <v>16.901827863526869</v>
      </c>
      <c r="S49" s="102">
        <f t="shared" si="19"/>
        <v>122118</v>
      </c>
      <c r="T49" s="103">
        <f t="shared" si="20"/>
        <v>16</v>
      </c>
      <c r="U49" s="103">
        <f t="shared" si="21"/>
        <v>12</v>
      </c>
      <c r="V49" s="104">
        <v>1</v>
      </c>
      <c r="W49" s="104">
        <v>1</v>
      </c>
      <c r="X49" s="107"/>
      <c r="Y49" s="106"/>
      <c r="Z49" s="112"/>
    </row>
    <row r="50" spans="1:26">
      <c r="A50" s="95" t="s">
        <v>51</v>
      </c>
      <c r="B50" s="96">
        <v>45864</v>
      </c>
      <c r="C50" s="97" t="s">
        <v>55</v>
      </c>
      <c r="D50" s="98">
        <f>8692+54126+32441+15374-6203</f>
        <v>104430</v>
      </c>
      <c r="E50" s="99">
        <v>22</v>
      </c>
      <c r="F50" s="108">
        <f t="shared" si="11"/>
        <v>4746.818181818182</v>
      </c>
      <c r="G50" s="99">
        <v>10</v>
      </c>
      <c r="H50" s="99">
        <f t="shared" si="12"/>
        <v>10443</v>
      </c>
      <c r="I50" s="99">
        <v>98</v>
      </c>
      <c r="J50" s="98">
        <f t="shared" si="13"/>
        <v>2.2000000000000002</v>
      </c>
      <c r="K50" s="99"/>
      <c r="L50" s="99">
        <v>-6203</v>
      </c>
      <c r="M50" s="99">
        <v>8692</v>
      </c>
      <c r="N50" s="100">
        <f t="shared" si="14"/>
        <v>0.10204081632653061</v>
      </c>
      <c r="O50" s="101">
        <f t="shared" si="15"/>
        <v>0.60574722312792839</v>
      </c>
      <c r="P50" s="102">
        <f t="shared" si="16"/>
        <v>172398.64420797405</v>
      </c>
      <c r="Q50" s="103">
        <f t="shared" si="17"/>
        <v>28.733107367995675</v>
      </c>
      <c r="R50" s="103">
        <f t="shared" si="18"/>
        <v>16.901827863526869</v>
      </c>
      <c r="S50" s="102">
        <f t="shared" si="19"/>
        <v>104430</v>
      </c>
      <c r="T50" s="103">
        <f t="shared" si="20"/>
        <v>22</v>
      </c>
      <c r="U50" s="103">
        <f t="shared" si="21"/>
        <v>10</v>
      </c>
      <c r="V50" s="104">
        <v>1</v>
      </c>
      <c r="W50" s="104">
        <v>1</v>
      </c>
      <c r="X50" s="107"/>
      <c r="Y50" s="106"/>
      <c r="Z50" s="112"/>
    </row>
    <row r="51" spans="1:26">
      <c r="A51" s="95" t="s">
        <v>61</v>
      </c>
      <c r="B51" s="96">
        <v>45865</v>
      </c>
      <c r="C51" s="97" t="s">
        <v>56</v>
      </c>
      <c r="D51" s="98">
        <v>61467</v>
      </c>
      <c r="E51" s="99">
        <v>14</v>
      </c>
      <c r="F51" s="99">
        <f t="shared" si="11"/>
        <v>4390.5</v>
      </c>
      <c r="G51" s="99">
        <v>10</v>
      </c>
      <c r="H51" s="99">
        <f t="shared" si="12"/>
        <v>6146.7</v>
      </c>
      <c r="I51" s="99">
        <v>88</v>
      </c>
      <c r="J51" s="98">
        <f t="shared" si="13"/>
        <v>1.4</v>
      </c>
      <c r="K51" s="99"/>
      <c r="L51" s="99"/>
      <c r="M51" s="99"/>
      <c r="N51" s="100">
        <f t="shared" si="14"/>
        <v>0.11363636363636363</v>
      </c>
      <c r="O51" s="101">
        <f t="shared" si="15"/>
        <v>0.35653992687929115</v>
      </c>
      <c r="P51" s="102">
        <f t="shared" si="16"/>
        <v>172398.64420797405</v>
      </c>
      <c r="Q51" s="103">
        <f t="shared" si="17"/>
        <v>28.733107367995675</v>
      </c>
      <c r="R51" s="103">
        <f t="shared" si="18"/>
        <v>16.901827863526869</v>
      </c>
      <c r="S51" s="102">
        <f t="shared" si="19"/>
        <v>61467</v>
      </c>
      <c r="T51" s="103">
        <f t="shared" si="20"/>
        <v>14</v>
      </c>
      <c r="U51" s="103">
        <f t="shared" si="21"/>
        <v>10</v>
      </c>
      <c r="V51" s="104">
        <v>1</v>
      </c>
      <c r="W51" s="104">
        <v>1</v>
      </c>
      <c r="X51" s="107"/>
      <c r="Y51" s="106"/>
      <c r="Z51" s="112"/>
    </row>
    <row r="52" spans="1:26">
      <c r="A52" s="95" t="s">
        <v>49</v>
      </c>
      <c r="B52" s="96">
        <v>45866</v>
      </c>
      <c r="C52" s="97" t="s">
        <v>57</v>
      </c>
      <c r="D52" s="730">
        <f>48843+2203</f>
        <v>51046</v>
      </c>
      <c r="E52" s="99">
        <v>8</v>
      </c>
      <c r="F52" s="99">
        <f t="shared" si="11"/>
        <v>6380.75</v>
      </c>
      <c r="G52" s="99">
        <v>7</v>
      </c>
      <c r="H52" s="99">
        <f t="shared" si="12"/>
        <v>7292.2857142857147</v>
      </c>
      <c r="I52" s="99">
        <v>71</v>
      </c>
      <c r="J52" s="98">
        <f t="shared" si="13"/>
        <v>1.1428571428571428</v>
      </c>
      <c r="K52" s="99">
        <v>7490</v>
      </c>
      <c r="L52" s="99">
        <v>2203</v>
      </c>
      <c r="M52" s="99">
        <v>8892</v>
      </c>
      <c r="N52" s="100">
        <f t="shared" si="14"/>
        <v>9.8591549295774641E-2</v>
      </c>
      <c r="O52" s="101">
        <f t="shared" si="15"/>
        <v>0.46264502465449686</v>
      </c>
      <c r="P52" s="102">
        <f t="shared" si="16"/>
        <v>110335.13229310341</v>
      </c>
      <c r="Q52" s="103">
        <f t="shared" si="17"/>
        <v>18.389188715517236</v>
      </c>
      <c r="R52" s="103">
        <f t="shared" si="18"/>
        <v>10.817169832657198</v>
      </c>
      <c r="S52" s="102">
        <f t="shared" si="19"/>
        <v>51046</v>
      </c>
      <c r="T52" s="103">
        <f t="shared" si="20"/>
        <v>8</v>
      </c>
      <c r="U52" s="103">
        <f t="shared" si="21"/>
        <v>7</v>
      </c>
      <c r="V52" s="104">
        <v>0.8</v>
      </c>
      <c r="W52" s="104">
        <v>0.8</v>
      </c>
      <c r="X52" s="107"/>
      <c r="Y52" s="106"/>
      <c r="Z52" s="112"/>
    </row>
    <row r="53" spans="1:26">
      <c r="A53" s="95" t="s">
        <v>51</v>
      </c>
      <c r="B53" s="96">
        <v>45867</v>
      </c>
      <c r="C53" s="97" t="s">
        <v>48</v>
      </c>
      <c r="D53" s="730">
        <f>55394+L53</f>
        <v>65297</v>
      </c>
      <c r="E53" s="99">
        <v>12</v>
      </c>
      <c r="F53" s="99">
        <f t="shared" si="11"/>
        <v>5441.416666666667</v>
      </c>
      <c r="G53" s="99">
        <v>6</v>
      </c>
      <c r="H53" s="99">
        <f t="shared" si="12"/>
        <v>10882.833333333334</v>
      </c>
      <c r="I53" s="99">
        <v>56</v>
      </c>
      <c r="J53" s="98">
        <f t="shared" si="13"/>
        <v>2</v>
      </c>
      <c r="K53" s="99"/>
      <c r="L53" s="99">
        <v>9903</v>
      </c>
      <c r="M53" s="99"/>
      <c r="N53" s="100">
        <f t="shared" si="14"/>
        <v>0.10714285714285714</v>
      </c>
      <c r="O53" s="101">
        <f t="shared" si="15"/>
        <v>0.59180606070729702</v>
      </c>
      <c r="P53" s="102">
        <f t="shared" si="16"/>
        <v>110335.13229310341</v>
      </c>
      <c r="Q53" s="103">
        <f t="shared" si="17"/>
        <v>18.389188715517236</v>
      </c>
      <c r="R53" s="103">
        <f t="shared" si="18"/>
        <v>10.817169832657198</v>
      </c>
      <c r="S53" s="102">
        <f t="shared" si="19"/>
        <v>65297</v>
      </c>
      <c r="T53" s="103">
        <f t="shared" si="20"/>
        <v>12</v>
      </c>
      <c r="U53" s="103">
        <f t="shared" si="21"/>
        <v>6</v>
      </c>
      <c r="V53" s="104">
        <v>0.8</v>
      </c>
      <c r="W53" s="104">
        <v>0.8</v>
      </c>
      <c r="X53" s="107"/>
      <c r="Y53" s="106"/>
      <c r="Z53" s="112"/>
    </row>
    <row r="54" spans="1:26" ht="15" customHeight="1">
      <c r="A54" s="95" t="s">
        <v>49</v>
      </c>
      <c r="B54" s="96">
        <v>45868</v>
      </c>
      <c r="C54" s="97" t="s">
        <v>50</v>
      </c>
      <c r="D54" s="730">
        <f>23402+L54</f>
        <v>46608</v>
      </c>
      <c r="E54" s="99">
        <v>10</v>
      </c>
      <c r="F54" s="99">
        <f t="shared" si="11"/>
        <v>4660.8</v>
      </c>
      <c r="G54" s="99">
        <v>7</v>
      </c>
      <c r="H54" s="99">
        <f t="shared" si="12"/>
        <v>6658.2857142857147</v>
      </c>
      <c r="I54" s="99">
        <v>50</v>
      </c>
      <c r="J54" s="98">
        <f t="shared" si="13"/>
        <v>1.4285714285714286</v>
      </c>
      <c r="K54" s="99"/>
      <c r="L54" s="99">
        <v>23206</v>
      </c>
      <c r="M54" s="99"/>
      <c r="N54" s="100">
        <f t="shared" si="14"/>
        <v>0.14000000000000001</v>
      </c>
      <c r="O54" s="101">
        <f t="shared" si="15"/>
        <v>0.42242211552514969</v>
      </c>
      <c r="P54" s="102">
        <f t="shared" si="16"/>
        <v>110335.13229310341</v>
      </c>
      <c r="Q54" s="103">
        <f t="shared" si="17"/>
        <v>18.389188715517236</v>
      </c>
      <c r="R54" s="103">
        <f t="shared" si="18"/>
        <v>10.817169832657198</v>
      </c>
      <c r="S54" s="102">
        <f t="shared" si="19"/>
        <v>46608</v>
      </c>
      <c r="T54" s="103">
        <f t="shared" si="20"/>
        <v>10</v>
      </c>
      <c r="U54" s="103">
        <f t="shared" si="21"/>
        <v>7</v>
      </c>
      <c r="V54" s="104">
        <v>0.8</v>
      </c>
      <c r="W54" s="104">
        <v>0.8</v>
      </c>
      <c r="X54" s="107"/>
      <c r="Y54" s="106"/>
      <c r="Z54" s="112"/>
    </row>
    <row r="55" spans="1:26" ht="15" customHeight="1">
      <c r="A55" s="95" t="s">
        <v>49</v>
      </c>
      <c r="B55" s="96">
        <v>45869</v>
      </c>
      <c r="C55" s="97" t="s">
        <v>52</v>
      </c>
      <c r="D55" s="730">
        <f>63317+L55</f>
        <v>85223</v>
      </c>
      <c r="E55" s="99">
        <v>16</v>
      </c>
      <c r="F55" s="99">
        <f t="shared" si="11"/>
        <v>5326.4375</v>
      </c>
      <c r="G55" s="99">
        <v>11</v>
      </c>
      <c r="H55" s="99">
        <f t="shared" si="12"/>
        <v>7747.545454545455</v>
      </c>
      <c r="I55" s="99">
        <v>71</v>
      </c>
      <c r="J55" s="98">
        <f t="shared" si="13"/>
        <v>1.4545454545454546</v>
      </c>
      <c r="K55" s="99"/>
      <c r="L55" s="99">
        <v>21906</v>
      </c>
      <c r="M55" s="99">
        <v>14790</v>
      </c>
      <c r="N55" s="100">
        <f t="shared" si="14"/>
        <v>0.15492957746478872</v>
      </c>
      <c r="O55" s="101">
        <f t="shared" si="15"/>
        <v>0.77240130345433899</v>
      </c>
      <c r="P55" s="102">
        <f t="shared" si="16"/>
        <v>110335.13229310341</v>
      </c>
      <c r="Q55" s="103">
        <f t="shared" si="17"/>
        <v>18.389188715517236</v>
      </c>
      <c r="R55" s="103">
        <f t="shared" si="18"/>
        <v>10.817169832657198</v>
      </c>
      <c r="S55" s="102">
        <f t="shared" si="19"/>
        <v>85223</v>
      </c>
      <c r="T55" s="103">
        <f t="shared" si="20"/>
        <v>16</v>
      </c>
      <c r="U55" s="103">
        <f t="shared" si="21"/>
        <v>11</v>
      </c>
      <c r="V55" s="104">
        <v>0.8</v>
      </c>
      <c r="W55" s="104">
        <v>0.8</v>
      </c>
      <c r="X55" s="107"/>
      <c r="Y55" s="106"/>
    </row>
    <row r="56" spans="1:26" ht="15" customHeight="1">
      <c r="A56" s="113"/>
      <c r="B56" s="602" t="s">
        <v>62</v>
      </c>
      <c r="C56" s="602"/>
      <c r="D56" s="114">
        <f>SUM(D25:D55)</f>
        <v>3881454</v>
      </c>
      <c r="E56" s="115">
        <f>SUM(E25:E55)</f>
        <v>672</v>
      </c>
      <c r="F56" s="115">
        <f>IF(AND(E56&lt;&gt;"", E56&lt;&gt;0), D56/E56, "")</f>
        <v>5775.9732142857147</v>
      </c>
      <c r="G56" s="115">
        <f>SUM(G25:G55)</f>
        <v>376</v>
      </c>
      <c r="H56" s="115">
        <f>IF(AND(G56&lt;&gt;"", G56&lt;&gt;0), D56/G56, "")</f>
        <v>10323.015957446809</v>
      </c>
      <c r="I56" s="115">
        <f>SUM(I25:I55)</f>
        <v>2645</v>
      </c>
      <c r="J56" s="114">
        <f>E56/G56</f>
        <v>1.7872340425531914</v>
      </c>
      <c r="K56" s="115">
        <f>SUM(K25:K55)</f>
        <v>639010.35</v>
      </c>
      <c r="L56" s="729">
        <f>SUM(L25:L55)</f>
        <v>420152</v>
      </c>
      <c r="M56" s="115">
        <f>SUM(M25:M55)</f>
        <v>296296.31</v>
      </c>
      <c r="N56" s="116">
        <f>IF(AND(I56&lt;&gt;"", I56&lt;&gt;0), G56/I56, "")</f>
        <v>0.14215500945179585</v>
      </c>
      <c r="O56" s="117">
        <f t="shared" si="15"/>
        <v>0.82581316380719005</v>
      </c>
      <c r="P56" s="118">
        <f t="shared" ref="P56:U56" si="22">SUM(P25:P55)</f>
        <v>4700159.9999999972</v>
      </c>
      <c r="Q56" s="118">
        <f t="shared" si="22"/>
        <v>783.35999999999967</v>
      </c>
      <c r="R56" s="118">
        <f t="shared" si="22"/>
        <v>460.80000000000007</v>
      </c>
      <c r="S56" s="118">
        <f t="shared" si="22"/>
        <v>3881454</v>
      </c>
      <c r="T56" s="118">
        <f t="shared" si="22"/>
        <v>672</v>
      </c>
      <c r="U56" s="118">
        <f t="shared" si="22"/>
        <v>376</v>
      </c>
      <c r="V56" s="119"/>
      <c r="W56" s="119"/>
    </row>
    <row r="57" spans="1:26">
      <c r="A57" s="120"/>
      <c r="B57" s="121"/>
      <c r="C57" s="122"/>
      <c r="D57" s="123">
        <f>SUMIF(D25:D55,"",P25:P55)+D56</f>
        <v>3881454</v>
      </c>
      <c r="E57" s="124"/>
      <c r="F57" s="122"/>
      <c r="G57" s="122"/>
      <c r="H57" s="125"/>
      <c r="I57" s="126">
        <f>I56/J14</f>
        <v>85.322580645161295</v>
      </c>
      <c r="J57" s="125"/>
      <c r="K57" s="3"/>
      <c r="L57" s="127"/>
      <c r="M57" s="124"/>
      <c r="N57" s="127"/>
      <c r="O57" s="127"/>
      <c r="P57" s="127"/>
      <c r="Q57" s="128"/>
      <c r="R57" s="3"/>
      <c r="T57" s="3"/>
      <c r="U57" s="3"/>
      <c r="V57" s="3"/>
      <c r="W57" s="3"/>
    </row>
    <row r="58" spans="1:26">
      <c r="A58" s="120"/>
      <c r="B58" s="3"/>
      <c r="C58" s="129"/>
      <c r="D58" s="129">
        <f>'Рогалевич И. Е. '!J8+'Уразгильдеева Е. Р. '!J8+'Доп сотрудник'!J8+'Яковенко А. К. '!J8</f>
        <v>3881454</v>
      </c>
      <c r="E58" s="130">
        <f>'Рогалевич И. Е. '!E54+'Уразгильдеева Е. Р. '!E50+'Яковенко А. К. '!E49</f>
        <v>672</v>
      </c>
      <c r="F58" s="3"/>
      <c r="G58" s="130">
        <f>'Рогалевич И. Е. '!G54+'Уразгильдеева Е. Р. '!G50+'Яковенко А. К. '!G49</f>
        <v>377</v>
      </c>
      <c r="H58" s="3"/>
      <c r="I58" s="131">
        <f>'Рогалевич И. Е. '!I54+'Уразгильдеева Е. Р. '!I50+'Яковенко А. К. '!I49</f>
        <v>2645</v>
      </c>
      <c r="J58" s="132"/>
      <c r="K58" s="133">
        <f>'Рогалевич И. Е. '!K54+'Уразгильдеева Е. Р. '!K50+'Яковенко А. К. '!K49</f>
        <v>639010.35</v>
      </c>
      <c r="L58" s="130">
        <f>'Рогалевич И. Е. '!L54+'Уразгильдеева Е. Р. '!L50+'Яковенко А. К. '!L49</f>
        <v>420152</v>
      </c>
      <c r="M58" s="130">
        <f>'Рогалевич И. Е. '!M54+'Уразгильдеева Е. Р. '!M50+'Яковенко А. К. '!M49</f>
        <v>296296.31</v>
      </c>
      <c r="N58" s="3"/>
      <c r="O58" s="3"/>
      <c r="P58" s="3"/>
      <c r="Q58" s="3"/>
      <c r="R58" s="3"/>
      <c r="T58" s="3"/>
      <c r="U58" s="3"/>
      <c r="V58" s="3"/>
      <c r="W58" s="3"/>
    </row>
    <row r="59" spans="1:26">
      <c r="D59" s="134"/>
      <c r="F59" s="135"/>
    </row>
    <row r="60" spans="1:26">
      <c r="D60" s="92">
        <v>3881457</v>
      </c>
      <c r="G60" s="136"/>
      <c r="M60" s="134"/>
    </row>
    <row r="61" spans="1:26">
      <c r="D61" s="92"/>
    </row>
    <row r="62" spans="1:26">
      <c r="M62" s="134"/>
    </row>
    <row r="64" spans="1:26">
      <c r="F64" s="603"/>
    </row>
    <row r="65" spans="4:6">
      <c r="F65" s="603"/>
    </row>
    <row r="68" spans="4:6">
      <c r="D68" s="137"/>
    </row>
  </sheetData>
  <mergeCells count="31">
    <mergeCell ref="P22:W22"/>
    <mergeCell ref="A23:A24"/>
    <mergeCell ref="B56:C56"/>
    <mergeCell ref="F64:F65"/>
    <mergeCell ref="F18:H18"/>
    <mergeCell ref="F19:H19"/>
    <mergeCell ref="F20:H20"/>
    <mergeCell ref="A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I3:M4"/>
    <mergeCell ref="C4:D4"/>
  </mergeCells>
  <conditionalFormatting sqref="D58">
    <cfRule type="cellIs" dxfId="276" priority="59" operator="equal">
      <formula>$D$56</formula>
    </cfRule>
    <cfRule type="cellIs" dxfId="275" priority="58" operator="notEqual">
      <formula>$D$56</formula>
    </cfRule>
  </conditionalFormatting>
  <conditionalFormatting sqref="G58">
    <cfRule type="cellIs" dxfId="274" priority="17" operator="notEqual">
      <formula>$G$56</formula>
    </cfRule>
  </conditionalFormatting>
  <conditionalFormatting sqref="J16">
    <cfRule type="cellIs" dxfId="273" priority="62" operator="greaterThan">
      <formula>0</formula>
    </cfRule>
    <cfRule type="cellIs" dxfId="272" priority="61" operator="lessThan">
      <formula>0</formula>
    </cfRule>
  </conditionalFormatting>
  <conditionalFormatting sqref="J25:J55">
    <cfRule type="cellIs" dxfId="271" priority="39" operator="greaterThan">
      <formula>$I$12</formula>
    </cfRule>
    <cfRule type="cellIs" dxfId="270" priority="38" operator="lessThan">
      <formula>$I$12</formula>
    </cfRule>
  </conditionalFormatting>
  <conditionalFormatting sqref="J27">
    <cfRule type="cellIs" dxfId="269" priority="73" operator="lessThan">
      <formula>$I$12</formula>
    </cfRule>
  </conditionalFormatting>
  <conditionalFormatting sqref="K8">
    <cfRule type="cellIs" dxfId="268" priority="1" operator="greaterThan">
      <formula>$K$17</formula>
    </cfRule>
    <cfRule type="cellIs" dxfId="267" priority="2" operator="lessThan">
      <formula>$K$17</formula>
    </cfRule>
  </conditionalFormatting>
  <conditionalFormatting sqref="K10:K12 K15">
    <cfRule type="cellIs" dxfId="266" priority="66" operator="greaterThan">
      <formula>1</formula>
    </cfRule>
    <cfRule type="cellIs" dxfId="265" priority="65" operator="lessThan">
      <formula>1</formula>
    </cfRule>
  </conditionalFormatting>
  <conditionalFormatting sqref="K58">
    <cfRule type="cellIs" dxfId="264" priority="18" operator="equal">
      <formula>$K$56</formula>
    </cfRule>
  </conditionalFormatting>
  <conditionalFormatting sqref="L58">
    <cfRule type="cellIs" dxfId="263" priority="22" operator="notEqual">
      <formula>$L$56</formula>
    </cfRule>
    <cfRule type="cellIs" dxfId="262" priority="21" operator="equal">
      <formula>$L$56</formula>
    </cfRule>
  </conditionalFormatting>
  <conditionalFormatting sqref="M8:M15">
    <cfRule type="cellIs" dxfId="261" priority="52" operator="greaterThan">
      <formula>1</formula>
    </cfRule>
    <cfRule type="cellIs" dxfId="260" priority="51" operator="lessThan">
      <formula>1</formula>
    </cfRule>
  </conditionalFormatting>
  <conditionalFormatting sqref="M58">
    <cfRule type="cellIs" dxfId="259" priority="19" operator="equal">
      <formula>$M$56</formula>
    </cfRule>
    <cfRule type="cellIs" dxfId="258" priority="20" operator="notEqual">
      <formula>$M$56</formula>
    </cfRule>
  </conditionalFormatting>
  <conditionalFormatting sqref="N25:N55">
    <cfRule type="cellIs" dxfId="257" priority="3" operator="lessThan">
      <formula>$I$20</formula>
    </cfRule>
    <cfRule type="cellIs" dxfId="256" priority="4" operator="greaterThan">
      <formula>$I$20</formula>
    </cfRule>
  </conditionalFormatting>
  <conditionalFormatting sqref="O25:O55">
    <cfRule type="cellIs" dxfId="255" priority="31" operator="greaterThan">
      <formula>1</formula>
    </cfRule>
    <cfRule type="cellIs" dxfId="254" priority="29" operator="between">
      <formula>0.9001</formula>
      <formula>0.9999</formula>
    </cfRule>
    <cfRule type="cellIs" dxfId="253" priority="30" operator="lessThan">
      <formula>0.9</formula>
    </cfRule>
    <cfRule type="cellIs" dxfId="252" priority="32" operator="greaterThan">
      <formula>100</formula>
    </cfRule>
    <cfRule type="cellIs" dxfId="251" priority="33" operator="between">
      <formula>0.85</formula>
      <formula>1</formula>
    </cfRule>
    <cfRule type="cellIs" dxfId="250" priority="34" operator="between">
      <formula>0.01</formula>
      <formula>0.99</formula>
    </cfRule>
  </conditionalFormatting>
  <conditionalFormatting sqref="P10:Q10">
    <cfRule type="cellIs" dxfId="249" priority="71" operator="lessThan">
      <formula>0</formula>
    </cfRule>
  </conditionalFormatting>
  <conditionalFormatting sqref="T13">
    <cfRule type="cellIs" dxfId="248" priority="16" operator="greaterThan">
      <formula>0.95</formula>
    </cfRule>
    <cfRule type="cellIs" dxfId="247" priority="15" operator="lessThan">
      <formula>0.9</formula>
    </cfRule>
    <cfRule type="cellIs" dxfId="246" priority="14" operator="between">
      <formula>0.9</formula>
      <formula>0.95</formula>
    </cfRule>
  </conditionalFormatting>
  <conditionalFormatting sqref="T19">
    <cfRule type="cellIs" dxfId="245" priority="13" operator="greaterThan">
      <formula>0.95</formula>
    </cfRule>
    <cfRule type="cellIs" dxfId="244" priority="12" operator="lessThan">
      <formula>0.9</formula>
    </cfRule>
    <cfRule type="cellIs" dxfId="243" priority="11" operator="between">
      <formula>0.9</formula>
      <formula>0.95</formula>
    </cfRule>
  </conditionalFormatting>
  <conditionalFormatting sqref="W13">
    <cfRule type="cellIs" dxfId="242" priority="8" operator="lessThan">
      <formula>1</formula>
    </cfRule>
    <cfRule type="cellIs" dxfId="241" priority="7" operator="greaterThan">
      <formula>0.95</formula>
    </cfRule>
    <cfRule type="cellIs" dxfId="240" priority="6" operator="lessThan">
      <formula>0.9</formula>
    </cfRule>
    <cfRule type="cellIs" dxfId="239" priority="9" operator="greaterThan">
      <formula>1</formula>
    </cfRule>
    <cfRule type="cellIs" dxfId="238" priority="5" operator="between">
      <formula>0.9</formula>
      <formula>0.95</formula>
    </cfRule>
    <cfRule type="cellIs" dxfId="237" priority="10" operator="greaterThan">
      <formula>"100;"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"/>
  <sheetViews>
    <sheetView workbookViewId="0">
      <selection activeCell="Q20" sqref="Q20"/>
    </sheetView>
  </sheetViews>
  <sheetFormatPr baseColWidth="10" defaultColWidth="10" defaultRowHeight="15"/>
  <cols>
    <col min="1" max="1" width="21.1640625" bestFit="1" customWidth="1"/>
    <col min="4" max="24" width="4.1640625" customWidth="1"/>
  </cols>
  <sheetData>
    <row r="1" spans="1:25">
      <c r="A1" s="604" t="s">
        <v>26</v>
      </c>
      <c r="B1" s="606" t="s">
        <v>16</v>
      </c>
      <c r="C1" s="608" t="s">
        <v>63</v>
      </c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1"/>
    </row>
    <row r="2" spans="1:25">
      <c r="A2" s="605"/>
      <c r="B2" s="607"/>
      <c r="C2" s="609"/>
      <c r="D2" s="138">
        <v>11</v>
      </c>
      <c r="E2" s="138">
        <v>12</v>
      </c>
      <c r="F2" s="138">
        <v>13</v>
      </c>
      <c r="G2" s="138">
        <v>14</v>
      </c>
      <c r="H2" s="138">
        <v>15</v>
      </c>
      <c r="I2" s="138">
        <v>16</v>
      </c>
      <c r="J2" s="138">
        <v>17</v>
      </c>
      <c r="K2" s="138">
        <v>18</v>
      </c>
      <c r="L2" s="138">
        <v>19</v>
      </c>
      <c r="M2" s="138">
        <v>20</v>
      </c>
      <c r="N2" s="138">
        <v>21</v>
      </c>
      <c r="O2" s="138">
        <v>22</v>
      </c>
      <c r="P2" s="138">
        <v>23</v>
      </c>
      <c r="Q2" s="138">
        <v>24</v>
      </c>
      <c r="R2" s="138">
        <v>25</v>
      </c>
      <c r="S2" s="138">
        <v>26</v>
      </c>
      <c r="T2" s="138">
        <v>27</v>
      </c>
      <c r="U2" s="138">
        <v>28</v>
      </c>
      <c r="V2" s="138">
        <v>29</v>
      </c>
      <c r="W2" s="138">
        <v>30</v>
      </c>
      <c r="X2" s="138">
        <v>31</v>
      </c>
      <c r="Y2" s="139" t="s">
        <v>64</v>
      </c>
    </row>
    <row r="3" spans="1:25">
      <c r="A3" s="140" t="str">
        <f>График!B29</f>
        <v>Рогалевич Ирина</v>
      </c>
      <c r="B3" s="141">
        <f>'Рогалевич И. Е. '!J12</f>
        <v>1.8355263157894737</v>
      </c>
      <c r="C3" s="142">
        <f>'Рогалевич И. Е. '!K8</f>
        <v>0.9358975690430128</v>
      </c>
      <c r="D3" s="143">
        <v>2</v>
      </c>
      <c r="E3" s="143">
        <v>1</v>
      </c>
      <c r="F3" s="143">
        <v>1</v>
      </c>
      <c r="G3" s="143">
        <v>0</v>
      </c>
      <c r="H3" s="143">
        <v>1</v>
      </c>
      <c r="I3" s="143">
        <v>1</v>
      </c>
      <c r="J3" s="143">
        <v>0</v>
      </c>
      <c r="K3" s="143">
        <v>0</v>
      </c>
      <c r="L3" s="143">
        <v>2</v>
      </c>
      <c r="M3" s="143">
        <v>0</v>
      </c>
      <c r="N3" s="143">
        <v>0</v>
      </c>
      <c r="O3" s="143">
        <v>1</v>
      </c>
      <c r="P3" s="143">
        <v>1</v>
      </c>
      <c r="Q3" s="143">
        <v>0</v>
      </c>
      <c r="R3" s="143">
        <v>1</v>
      </c>
      <c r="S3" s="143">
        <v>0</v>
      </c>
      <c r="T3" s="143">
        <v>1</v>
      </c>
      <c r="U3" s="143">
        <v>0</v>
      </c>
      <c r="V3" s="143">
        <v>0</v>
      </c>
      <c r="W3" s="143">
        <v>1</v>
      </c>
      <c r="X3" s="143">
        <v>2</v>
      </c>
      <c r="Y3" s="144">
        <f t="shared" ref="Y3:Y5" si="0">SUM(D3:X3)</f>
        <v>15</v>
      </c>
    </row>
    <row r="4" spans="1:25">
      <c r="A4" s="145" t="str">
        <f>График!B28</f>
        <v>Уразгильдеева Екатерина</v>
      </c>
      <c r="B4" s="146">
        <f>'Уразгильдеева Е. Р. '!J12</f>
        <v>1.5824175824175823</v>
      </c>
      <c r="C4" s="147">
        <f>'Уразгильдеева Е. Р. '!K8</f>
        <v>0.65490658012901537</v>
      </c>
      <c r="D4" s="148">
        <v>0</v>
      </c>
      <c r="E4" s="148">
        <v>0</v>
      </c>
      <c r="F4" s="148">
        <v>1</v>
      </c>
      <c r="G4" s="148">
        <v>0</v>
      </c>
      <c r="H4" s="148">
        <v>0</v>
      </c>
      <c r="I4" s="148">
        <v>1</v>
      </c>
      <c r="J4" s="148">
        <v>2</v>
      </c>
      <c r="K4" s="148">
        <v>0</v>
      </c>
      <c r="L4" s="148">
        <v>0</v>
      </c>
      <c r="M4" s="148">
        <v>0</v>
      </c>
      <c r="N4" s="148">
        <v>1</v>
      </c>
      <c r="O4" s="148">
        <v>0</v>
      </c>
      <c r="P4" s="148">
        <v>0</v>
      </c>
      <c r="Q4" s="148">
        <v>0</v>
      </c>
      <c r="R4" s="148">
        <v>0</v>
      </c>
      <c r="S4" s="148">
        <v>0</v>
      </c>
      <c r="T4" s="148">
        <v>0</v>
      </c>
      <c r="U4" s="148">
        <v>0</v>
      </c>
      <c r="V4" s="148">
        <v>0</v>
      </c>
      <c r="W4" s="148">
        <v>0</v>
      </c>
      <c r="X4" s="148">
        <v>0</v>
      </c>
      <c r="Y4" s="144">
        <f t="shared" si="0"/>
        <v>5</v>
      </c>
    </row>
    <row r="5" spans="1:25">
      <c r="A5" s="149" t="str">
        <f>График!B27</f>
        <v>Яковенко Алина</v>
      </c>
      <c r="B5" s="150">
        <f>'Яковенко А. К. '!J12</f>
        <v>1.8582089552238805</v>
      </c>
      <c r="C5" s="151">
        <f>'Яковенко А. К. '!K8</f>
        <v>0.86451360005281574</v>
      </c>
      <c r="D5" s="138">
        <v>1</v>
      </c>
      <c r="E5" s="138">
        <v>1</v>
      </c>
      <c r="F5" s="138">
        <v>0</v>
      </c>
      <c r="G5" s="138">
        <v>1</v>
      </c>
      <c r="H5" s="138">
        <v>0</v>
      </c>
      <c r="I5" s="138">
        <v>0</v>
      </c>
      <c r="J5" s="138">
        <v>0</v>
      </c>
      <c r="K5" s="138">
        <v>0</v>
      </c>
      <c r="L5" s="138">
        <v>0</v>
      </c>
      <c r="M5" s="138">
        <v>0</v>
      </c>
      <c r="N5" s="138">
        <v>1</v>
      </c>
      <c r="O5" s="138">
        <v>1</v>
      </c>
      <c r="P5" s="138">
        <v>0</v>
      </c>
      <c r="Q5" s="138">
        <v>0</v>
      </c>
      <c r="R5" s="138">
        <v>0</v>
      </c>
      <c r="S5" s="138">
        <v>0</v>
      </c>
      <c r="T5" s="138">
        <v>1</v>
      </c>
      <c r="U5" s="138">
        <v>0</v>
      </c>
      <c r="V5" s="138">
        <v>0</v>
      </c>
      <c r="W5" s="138">
        <v>0</v>
      </c>
      <c r="X5" s="138">
        <v>0</v>
      </c>
      <c r="Y5" s="139">
        <f t="shared" si="0"/>
        <v>6</v>
      </c>
    </row>
  </sheetData>
  <mergeCells count="4">
    <mergeCell ref="A1:A2"/>
    <mergeCell ref="B1:B2"/>
    <mergeCell ref="C1:C2"/>
    <mergeCell ref="D1:Y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"/>
  <sheetViews>
    <sheetView topLeftCell="A2" zoomScale="117" workbookViewId="0">
      <selection activeCell="K11" sqref="K11"/>
    </sheetView>
  </sheetViews>
  <sheetFormatPr baseColWidth="10" defaultColWidth="10" defaultRowHeight="15"/>
  <cols>
    <col min="1" max="1" width="10.83203125" style="3"/>
    <col min="2" max="2" width="10" style="3" customWidth="1"/>
    <col min="3" max="3" width="1.6640625" style="3" customWidth="1"/>
    <col min="4" max="11" width="11.6640625" style="3" customWidth="1"/>
    <col min="12" max="12" width="13.1640625" style="3" customWidth="1"/>
    <col min="13" max="14" width="11.6640625" customWidth="1"/>
    <col min="15" max="15" width="15.33203125" customWidth="1"/>
  </cols>
  <sheetData>
    <row r="1" spans="1:15" ht="22" customHeight="1">
      <c r="A1" s="612" t="s">
        <v>65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4"/>
    </row>
    <row r="2" spans="1:15" ht="18" customHeight="1">
      <c r="A2" s="615" t="s">
        <v>3</v>
      </c>
      <c r="B2" s="616"/>
      <c r="C2" s="616"/>
      <c r="D2" s="619" t="str">
        <f>'Ялта, Ленина, 18'!I3</f>
        <v>ул. Набережная Ленина, 18</v>
      </c>
      <c r="E2" s="620"/>
      <c r="F2" s="620"/>
      <c r="G2" s="621" t="str">
        <f>График!B29</f>
        <v>Рогалевич Ирина</v>
      </c>
      <c r="H2" s="622"/>
      <c r="I2" s="622"/>
      <c r="J2" s="623" t="str">
        <f>График!B28</f>
        <v>Уразгильдеева Екатерина</v>
      </c>
      <c r="K2" s="624"/>
      <c r="L2" s="625"/>
      <c r="M2" s="623" t="str">
        <f>График!B27</f>
        <v>Яковенко Алина</v>
      </c>
      <c r="N2" s="624"/>
      <c r="O2" s="625"/>
    </row>
    <row r="3" spans="1:15" ht="18" customHeight="1">
      <c r="A3" s="617"/>
      <c r="B3" s="618"/>
      <c r="C3" s="618"/>
      <c r="D3" s="626" t="s">
        <v>66</v>
      </c>
      <c r="E3" s="627"/>
      <c r="F3" s="152" t="s">
        <v>67</v>
      </c>
      <c r="G3" s="628" t="s">
        <v>5</v>
      </c>
      <c r="H3" s="629"/>
      <c r="I3" s="153" t="s">
        <v>67</v>
      </c>
      <c r="J3" s="630" t="s">
        <v>5</v>
      </c>
      <c r="K3" s="631"/>
      <c r="L3" s="154" t="s">
        <v>67</v>
      </c>
      <c r="M3" s="630" t="s">
        <v>5</v>
      </c>
      <c r="N3" s="631"/>
      <c r="O3" s="154" t="s">
        <v>67</v>
      </c>
    </row>
    <row r="4" spans="1:15">
      <c r="A4" s="632" t="s">
        <v>12</v>
      </c>
      <c r="B4" s="632"/>
      <c r="C4" s="633"/>
      <c r="D4" s="155">
        <f>'Ялта, Ленина, 18'!K8</f>
        <v>0.8258131638071895</v>
      </c>
      <c r="E4" s="156">
        <f>'Ялта, Ленина, 18'!J8</f>
        <v>3881454</v>
      </c>
      <c r="F4" s="157">
        <f>'Ялта, Ленина, 18'!M8</f>
        <v>0.82581316380719005</v>
      </c>
      <c r="G4" s="158">
        <f>'Рогалевич И. Е. '!K8</f>
        <v>0.9358975690430128</v>
      </c>
      <c r="H4" s="159">
        <f>'Рогалевич И. Е. '!J8</f>
        <v>1621279.7</v>
      </c>
      <c r="I4" s="160">
        <f>'Рогалевич И. Е. '!M8</f>
        <v>0.9358975690430128</v>
      </c>
      <c r="J4" s="161">
        <f>'Уразгильдеева Е. Р. '!K8</f>
        <v>0.65490658012901537</v>
      </c>
      <c r="K4" s="159">
        <f>'Уразгильдеева Е. Р. '!J8</f>
        <v>954702.3</v>
      </c>
      <c r="L4" s="162">
        <f>'Уразгильдеева Е. Р. '!M8</f>
        <v>0.65490658012901515</v>
      </c>
      <c r="M4" s="161">
        <f>'Яковенко А. К. '!K8</f>
        <v>0.86451360005281574</v>
      </c>
      <c r="N4" s="159">
        <f>'Яковенко А. К. '!J8</f>
        <v>1305472</v>
      </c>
      <c r="O4" s="162">
        <f>'Яковенко А. К. '!M8</f>
        <v>0.86451360005281541</v>
      </c>
    </row>
    <row r="5" spans="1:15">
      <c r="A5" s="590" t="s">
        <v>13</v>
      </c>
      <c r="B5" s="590"/>
      <c r="C5" s="634"/>
      <c r="D5" s="163">
        <f>'Ялта, Ленина, 18'!K9</f>
        <v>0.85784313725490191</v>
      </c>
      <c r="E5" s="164">
        <f>'Ялта, Ленина, 18'!J9</f>
        <v>672</v>
      </c>
      <c r="F5" s="165">
        <f>'Ялта, Ленина, 18'!M9</f>
        <v>0.85784313725490235</v>
      </c>
      <c r="G5" s="166">
        <f>'Рогалевич И. Е. '!K9</f>
        <v>0.96633081298557144</v>
      </c>
      <c r="H5" s="167">
        <f>'Рогалевич И. Е. '!J9</f>
        <v>279</v>
      </c>
      <c r="I5" s="168">
        <f>'Рогалевич И. Е. '!M9</f>
        <v>0.96633081298557189</v>
      </c>
      <c r="J5" s="169">
        <f>'Уразгильдеева Е. Р. '!K9</f>
        <v>0.59268662621999468</v>
      </c>
      <c r="K5" s="170">
        <f>'Уразгильдеева Е. Р. '!J9</f>
        <v>144</v>
      </c>
      <c r="L5" s="171">
        <f>'Уразгильдеева Е. Р. '!M9</f>
        <v>0.59268662621999468</v>
      </c>
      <c r="M5" s="169">
        <f>'Яковенко А. К. '!K9</f>
        <v>0.98936118007809182</v>
      </c>
      <c r="N5" s="170">
        <f>'Яковенко А. К. '!J9</f>
        <v>249</v>
      </c>
      <c r="O5" s="171">
        <f>'Яковенко А. К. '!M9</f>
        <v>0.98936118007809126</v>
      </c>
    </row>
    <row r="6" spans="1:15">
      <c r="A6" s="632" t="s">
        <v>14</v>
      </c>
      <c r="B6" s="632"/>
      <c r="C6" s="633"/>
      <c r="D6" s="163">
        <f>'Ялта, Ленина, 18'!K10</f>
        <v>1.0120603879849812</v>
      </c>
      <c r="E6" s="172">
        <f>'Ялта, Ленина, 18'!J10</f>
        <v>10323.015957446809</v>
      </c>
      <c r="F6" s="165">
        <f>'Ялта, Ленина, 18'!M10</f>
        <v>1.0120603879849812</v>
      </c>
      <c r="G6" s="166">
        <f>'Рогалевич И. Е. '!K10</f>
        <v>1.045717040763674</v>
      </c>
      <c r="H6" s="173">
        <f>'Рогалевич И. Е. '!J10</f>
        <v>10666.313815789474</v>
      </c>
      <c r="I6" s="168">
        <f>'Рогалевич И. Е. '!M10</f>
        <v>1.045717040763674</v>
      </c>
      <c r="J6" s="169">
        <f>'Уразгильдеева Е. Р. '!K10</f>
        <v>1.0285523594053005</v>
      </c>
      <c r="K6" s="173">
        <f>'Уразгильдеева Е. Р. '!J10</f>
        <v>10491.234065934066</v>
      </c>
      <c r="L6" s="171">
        <f>'Уразгильдеева Е. Р. '!M10</f>
        <v>1.0285523594053005</v>
      </c>
      <c r="M6" s="169">
        <f>'Яковенко А. К. '!K10</f>
        <v>0.95513023119695639</v>
      </c>
      <c r="N6" s="170">
        <f>'Яковенко А. К. '!J10</f>
        <v>9742.3283582089553</v>
      </c>
      <c r="O6" s="171">
        <f>'Яковенко А. К. '!M10</f>
        <v>0.95513023119695639</v>
      </c>
    </row>
    <row r="7" spans="1:15">
      <c r="A7" s="590" t="s">
        <v>15</v>
      </c>
      <c r="B7" s="590"/>
      <c r="C7" s="634"/>
      <c r="D7" s="163">
        <f>'Ялта, Ленина, 18'!K11</f>
        <v>0.96266220238095246</v>
      </c>
      <c r="E7" s="172">
        <f>'Ялта, Ленина, 18'!J11</f>
        <v>5775.9732142857147</v>
      </c>
      <c r="F7" s="165">
        <f>'Ялта, Ленина, 18'!M11</f>
        <v>0.96266220238095246</v>
      </c>
      <c r="G7" s="166">
        <f>'Рогалевич И. Е. '!K11</f>
        <v>0.96850639187574672</v>
      </c>
      <c r="H7" s="173">
        <f>'Рогалевич И. Е. '!J11</f>
        <v>5811.0383512544804</v>
      </c>
      <c r="I7" s="168">
        <f>'Рогалевич И. Е. '!M11</f>
        <v>0.96850639187574628</v>
      </c>
      <c r="J7" s="169">
        <f>'Уразгильдеева Е. Р. '!K11</f>
        <v>1.1049795138888889</v>
      </c>
      <c r="K7" s="173">
        <f>'Уразгильдеева Е. Р. '!J11</f>
        <v>6629.8770833333338</v>
      </c>
      <c r="L7" s="171">
        <f>'Уразгильдеева Е. Р. '!M11</f>
        <v>1.1049795138888889</v>
      </c>
      <c r="M7" s="169">
        <f>'Яковенко А. К. '!K11</f>
        <v>0.87380990629183408</v>
      </c>
      <c r="N7" s="170">
        <f>'Яковенко А. К. '!J11</f>
        <v>5242.8594377510044</v>
      </c>
      <c r="O7" s="171">
        <f>'Яковенко А. К. '!M11</f>
        <v>0.87380990629183419</v>
      </c>
    </row>
    <row r="8" spans="1:15">
      <c r="A8" s="590" t="s">
        <v>16</v>
      </c>
      <c r="B8" s="590"/>
      <c r="C8" s="634"/>
      <c r="D8" s="163">
        <f>'Ялта, Ленина, 18'!K12</f>
        <v>1.0513141426783479</v>
      </c>
      <c r="E8" s="174">
        <f>'Ялта, Ленина, 18'!J12</f>
        <v>1.7872340425531914</v>
      </c>
      <c r="F8" s="165">
        <f>'Ялта, Ленина, 18'!M12</f>
        <v>1.0513141426783479</v>
      </c>
      <c r="G8" s="166">
        <f>'Рогалевич И. Е. '!K12</f>
        <v>1.0797213622291022</v>
      </c>
      <c r="H8" s="175">
        <f>'Рогалевич И. Е. '!J12</f>
        <v>1.8355263157894737</v>
      </c>
      <c r="I8" s="168">
        <f>'Рогалевич И. Е. '!M12</f>
        <v>1.0797213622291022</v>
      </c>
      <c r="J8" s="169">
        <f>'Уразгильдеева Е. Р. '!K12</f>
        <v>0.93083387201034262</v>
      </c>
      <c r="K8" s="176">
        <f>'Уразгильдеева Е. Р. '!J12</f>
        <v>1.5824175824175823</v>
      </c>
      <c r="L8" s="171">
        <f>'Уразгильдеева Е. Р. '!M12</f>
        <v>0.93083387201034262</v>
      </c>
      <c r="M8" s="169">
        <f>'Яковенко А. К. '!K12</f>
        <v>1.0930640913081651</v>
      </c>
      <c r="N8" s="176">
        <f>'Яковенко А. К. '!J12</f>
        <v>1.8582089552238805</v>
      </c>
      <c r="O8" s="171">
        <f>'Яковенко А. К. '!M12</f>
        <v>1.0930640913081651</v>
      </c>
    </row>
    <row r="9" spans="1:15">
      <c r="A9" s="590" t="s">
        <v>17</v>
      </c>
      <c r="B9" s="590"/>
      <c r="C9" s="634"/>
      <c r="D9" s="163">
        <f>'Ялта, Ленина, 18'!K13</f>
        <v>0.81597222222222232</v>
      </c>
      <c r="E9" s="164">
        <f>'Ялта, Ленина, 18'!J13</f>
        <v>376</v>
      </c>
      <c r="F9" s="165">
        <f>'Ялта, Ленина, 18'!M13</f>
        <v>0.81597222222222221</v>
      </c>
      <c r="G9" s="166">
        <f>'Рогалевич И. Е. '!K13</f>
        <v>0.89498165618448633</v>
      </c>
      <c r="H9" s="167">
        <f>'Рогалевич И. Е. '!J13</f>
        <v>152</v>
      </c>
      <c r="I9" s="168">
        <f>'Рогалевич И. Е. '!M13</f>
        <v>0.89498165618448677</v>
      </c>
      <c r="J9" s="169">
        <f>'Уразгильдеева Е. Р. '!K13</f>
        <v>0.63672653525161926</v>
      </c>
      <c r="K9" s="170">
        <f>'Уразгильдеева Е. Р. '!J13</f>
        <v>91</v>
      </c>
      <c r="L9" s="171">
        <f>'Уразгильдеева Е. Р. '!M13</f>
        <v>0.63672653525161926</v>
      </c>
      <c r="M9" s="169">
        <f>'Яковенко А. К. '!K13</f>
        <v>0.90512641293891305</v>
      </c>
      <c r="N9" s="170">
        <f>'Яковенко А. К. '!J13</f>
        <v>134</v>
      </c>
      <c r="O9" s="171">
        <f>'Яковенко А. К. '!M13</f>
        <v>0.90512641293891305</v>
      </c>
    </row>
    <row r="10" spans="1:15">
      <c r="A10" s="590" t="s">
        <v>68</v>
      </c>
      <c r="B10" s="590"/>
      <c r="C10" s="634"/>
      <c r="D10" s="163">
        <f>'Ялта, Ленина, 18'!K14</f>
        <v>1</v>
      </c>
      <c r="E10" s="177">
        <f>'Ялта, Ленина, 18'!J14</f>
        <v>31</v>
      </c>
      <c r="F10" s="165"/>
      <c r="G10" s="166">
        <f>'Рогалевич И. Е. '!K14</f>
        <v>1</v>
      </c>
      <c r="H10" s="167">
        <f>'Рогалевич И. Е. '!J14</f>
        <v>26</v>
      </c>
      <c r="I10" s="168"/>
      <c r="J10" s="169">
        <f>'Уразгильдеева Е. Р. '!K14</f>
        <v>1</v>
      </c>
      <c r="K10" s="167">
        <f>'Уразгильдеева Е. Р. '!J14</f>
        <v>18</v>
      </c>
      <c r="L10" s="171"/>
      <c r="M10" s="169">
        <f>'Яковенко А. К. '!K14</f>
        <v>1</v>
      </c>
      <c r="N10" s="170">
        <f>'Яковенко А. К. '!J14</f>
        <v>21</v>
      </c>
      <c r="O10" s="171"/>
    </row>
    <row r="11" spans="1:15">
      <c r="A11" s="590" t="s">
        <v>19</v>
      </c>
      <c r="B11" s="590"/>
      <c r="C11" s="634"/>
      <c r="D11" s="163">
        <f>'Ялта, Ленина, 18'!K15</f>
        <v>0.8258131638071895</v>
      </c>
      <c r="E11" s="178">
        <f>'Ялта, Ленина, 18'!J15</f>
        <v>125208.19354838709</v>
      </c>
      <c r="F11" s="165">
        <f>'Ялта, Ленина, 18'!M15</f>
        <v>0.8258131638071895</v>
      </c>
      <c r="G11" s="166">
        <f>'Рогалевич И. Е. '!K15</f>
        <v>0.41127626669992245</v>
      </c>
      <c r="H11" s="173">
        <f>'Рогалевич И. Е. '!J15</f>
        <v>62356.911538461536</v>
      </c>
      <c r="I11" s="168">
        <f>'Рогалевич И. Е. '!M15</f>
        <v>0.41127626669992245</v>
      </c>
      <c r="J11" s="169">
        <f>'Уразгильдеева Е. Р. '!K15</f>
        <v>0.34981990329407231</v>
      </c>
      <c r="K11" s="173">
        <f>'Уразгильдеева Е. Р. '!J15</f>
        <v>53039.01666666667</v>
      </c>
      <c r="L11" s="171">
        <f>'Уразгильдеева Е. Р. '!M15</f>
        <v>0.34981990329407231</v>
      </c>
      <c r="M11" s="169">
        <f>'Яковенко А. К. '!K15</f>
        <v>0.41001270878721863</v>
      </c>
      <c r="N11" s="170">
        <f>'Яковенко А. К. '!J15</f>
        <v>62165.333333333336</v>
      </c>
      <c r="O11" s="171">
        <f>'Яковенко А. К. '!M15</f>
        <v>0.41001270878721863</v>
      </c>
    </row>
    <row r="12" spans="1:15">
      <c r="A12" s="635" t="s">
        <v>21</v>
      </c>
      <c r="B12" s="636"/>
      <c r="C12" s="637"/>
      <c r="D12" s="163">
        <f>'Ялта, Ленина, 18'!K17</f>
        <v>1.033203125</v>
      </c>
      <c r="E12" s="177">
        <f>'Ялта, Ленина, 18'!J17</f>
        <v>2645</v>
      </c>
      <c r="F12" s="165">
        <f>'Ялта, Ленина, 18'!M17</f>
        <v>1.033203125</v>
      </c>
      <c r="G12" s="166">
        <f>'Рогалевич И. Е. '!K17</f>
        <v>1.0736247051886791</v>
      </c>
      <c r="H12" s="167">
        <f>'Рогалевич И. Е. '!J17</f>
        <v>1013</v>
      </c>
      <c r="I12" s="168">
        <f>'Рогалевич И. Е. '!M17</f>
        <v>1.0736247051886791</v>
      </c>
      <c r="J12" s="169">
        <f>'Уразгильдеева Е. Р. '!K17</f>
        <v>0.92444296524663672</v>
      </c>
      <c r="K12" s="167">
        <f>'Уразгильдеева Е. Р. '!J17</f>
        <v>734</v>
      </c>
      <c r="L12" s="171">
        <f>'Уразгильдеева Е. Р. '!M17</f>
        <v>0.92444296524663672</v>
      </c>
      <c r="M12" s="169">
        <f>'Яковенко А. К. '!K17</f>
        <v>1.0918256222943723</v>
      </c>
      <c r="N12" s="167">
        <f>'Яковенко А. К. '!J17</f>
        <v>898</v>
      </c>
      <c r="O12" s="171">
        <f>'Яковенко А. К. '!M17</f>
        <v>1.0918256222943723</v>
      </c>
    </row>
    <row r="13" spans="1:15">
      <c r="A13" s="635" t="s">
        <v>35</v>
      </c>
      <c r="B13" s="636"/>
      <c r="C13" s="637"/>
      <c r="D13" s="163">
        <f>'Ялта, Ленина, 18'!S19</f>
        <v>0.72614812499999992</v>
      </c>
      <c r="E13" s="178">
        <f>'Ялта, Ленина, 18'!T18</f>
        <v>639010.35</v>
      </c>
      <c r="F13" s="165">
        <f>'Ялта, Ленина, 18'!T19</f>
        <v>0.72614812499999992</v>
      </c>
      <c r="G13" s="166">
        <f>'Рогалевич И. Е. '!S19</f>
        <v>0.98418520583190394</v>
      </c>
      <c r="H13" s="173">
        <f>'Рогалевич И. Е. '!T18</f>
        <v>319210</v>
      </c>
      <c r="I13" s="168">
        <f>'Рогалевич И. Е. '!T19</f>
        <v>0.98418520583190383</v>
      </c>
      <c r="J13" s="169">
        <f>'Уразгильдеева Е. Р. '!S19</f>
        <v>0.82748513376477784</v>
      </c>
      <c r="K13" s="173">
        <f>'Уразгильдеева Е. Р. '!T18</f>
        <v>225849.35</v>
      </c>
      <c r="L13" s="171">
        <f>'Уразгильдеева Е. Р. '!T19</f>
        <v>0.82748513376477784</v>
      </c>
      <c r="M13" s="169">
        <f>'Яковенко А. К. '!S19</f>
        <v>0.33230405844155847</v>
      </c>
      <c r="N13" s="179">
        <f>'Яковенко А. К. '!T18</f>
        <v>93951</v>
      </c>
      <c r="O13" s="171">
        <f>'Яковенко А. К. '!T19</f>
        <v>0.33230405844155847</v>
      </c>
    </row>
    <row r="14" spans="1:15">
      <c r="A14" s="635" t="s">
        <v>36</v>
      </c>
      <c r="B14" s="636"/>
      <c r="C14" s="637"/>
      <c r="D14" s="180">
        <f>'Ялта, Ленина, 18'!S13</f>
        <v>0.55283157894736845</v>
      </c>
      <c r="E14" s="178">
        <f>'Ялта, Ленина, 18'!T12</f>
        <v>420152</v>
      </c>
      <c r="F14" s="181">
        <f>'Ялта, Ленина, 18'!T13</f>
        <v>0.55283157894736845</v>
      </c>
      <c r="G14" s="166">
        <f>'Рогалевич И. Е. '!S13</f>
        <v>0.54286642005958285</v>
      </c>
      <c r="H14" s="173">
        <f>'Рогалевич И. Е. '!T12</f>
        <v>152063</v>
      </c>
      <c r="I14" s="168">
        <f>'Рогалевич И. Е. '!T13</f>
        <v>0.54286642005958285</v>
      </c>
      <c r="J14" s="169">
        <f>'Уразгильдеева Е. Р. '!S13</f>
        <v>0.65226298678310124</v>
      </c>
      <c r="K14" s="173">
        <f>'Уразгильдеева Е. Р. '!T12</f>
        <v>153749</v>
      </c>
      <c r="L14" s="171">
        <f>'Уразгильдеева Е. Р. '!T13</f>
        <v>0.65226298678310124</v>
      </c>
      <c r="M14" s="169">
        <f>'Яковенко А. К. '!S13</f>
        <v>0.46827557530189107</v>
      </c>
      <c r="N14" s="173">
        <f>'Яковенко А. К. '!T12</f>
        <v>114340</v>
      </c>
      <c r="O14" s="171">
        <f>'Яковенко А. К. '!T13</f>
        <v>0.46827557530189112</v>
      </c>
    </row>
    <row r="15" spans="1:15">
      <c r="A15" s="635" t="str">
        <f>'Ялта, Ленина, 18'!M23</f>
        <v>Agafi</v>
      </c>
      <c r="B15" s="636"/>
      <c r="C15" s="637"/>
      <c r="D15" s="182">
        <f>'Ялта, Ленина, 18'!V13</f>
        <v>0.64412241304347828</v>
      </c>
      <c r="E15" s="183">
        <f>'Ялта, Ленина, 18'!W12</f>
        <v>296296.31</v>
      </c>
      <c r="F15" s="184">
        <f>'Ялта, Ленина, 18'!W13</f>
        <v>0.64412241304347828</v>
      </c>
      <c r="G15" s="185">
        <f>'Рогалевич И. Е. '!V13</f>
        <v>0.50266298605414272</v>
      </c>
      <c r="H15" s="186">
        <f>'Рогалевич И. Е. '!W12</f>
        <v>85222</v>
      </c>
      <c r="I15" s="187">
        <f>'Рогалевич И. Е. '!W13</f>
        <v>0.50266298605414272</v>
      </c>
      <c r="J15" s="188">
        <f>'Уразгильдеева Е. Р. '!V13</f>
        <v>0.38439654903489956</v>
      </c>
      <c r="K15" s="186">
        <f>'Уразгильдеева Е. Р. '!W12</f>
        <v>54842</v>
      </c>
      <c r="L15" s="189">
        <f>'Уразгильдеева Е. Р. '!W13</f>
        <v>0.38439654903489956</v>
      </c>
      <c r="M15" s="188">
        <f>'Яковенко А. К. '!V13</f>
        <v>1.0571337369659326</v>
      </c>
      <c r="N15" s="186">
        <f>'Яковенко А. К. '!W12</f>
        <v>156232.31</v>
      </c>
      <c r="O15" s="189">
        <f>'Яковенко А. К. '!W13</f>
        <v>1.0571337369659326</v>
      </c>
    </row>
    <row r="16" spans="1:15">
      <c r="A16" s="638" t="s">
        <v>69</v>
      </c>
      <c r="B16" s="638"/>
      <c r="C16" s="638"/>
      <c r="D16" s="639">
        <f>'Ялта, Ленина, 18'!J16</f>
        <v>-818706</v>
      </c>
      <c r="E16" s="640"/>
      <c r="F16" s="641"/>
      <c r="G16" s="642">
        <f>'Рогалевич И. Е. '!N8</f>
        <v>-111046.30834492366</v>
      </c>
      <c r="H16" s="643"/>
      <c r="I16" s="644"/>
      <c r="J16" s="645">
        <f>'Уразгильдеева Е. Р. '!N8</f>
        <v>-503066.37872044544</v>
      </c>
      <c r="K16" s="646"/>
      <c r="L16" s="647"/>
      <c r="M16" s="645">
        <f>'Яковенко А. К. '!N8</f>
        <v>-204593.31293463195</v>
      </c>
      <c r="N16" s="646"/>
      <c r="O16" s="647"/>
    </row>
  </sheetData>
  <mergeCells count="27">
    <mergeCell ref="J16:L16"/>
    <mergeCell ref="M16:O16"/>
    <mergeCell ref="A14:C14"/>
    <mergeCell ref="A15:C15"/>
    <mergeCell ref="A16:C16"/>
    <mergeCell ref="D16:F16"/>
    <mergeCell ref="G16:I16"/>
    <mergeCell ref="A9:C9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1:O1"/>
    <mergeCell ref="A2:C3"/>
    <mergeCell ref="D2:F2"/>
    <mergeCell ref="G2:I2"/>
    <mergeCell ref="J2:L2"/>
    <mergeCell ref="M2:O2"/>
    <mergeCell ref="D3:E3"/>
    <mergeCell ref="G3:H3"/>
    <mergeCell ref="J3:K3"/>
    <mergeCell ref="M3:N3"/>
  </mergeCells>
  <conditionalFormatting sqref="D4 D13:D15">
    <cfRule type="cellIs" dxfId="236" priority="10" operator="greaterThan">
      <formula>$D$10</formula>
    </cfRule>
    <cfRule type="cellIs" dxfId="235" priority="11" operator="lessThan">
      <formula>$D$10</formula>
    </cfRule>
  </conditionalFormatting>
  <conditionalFormatting sqref="D6:D8 G6:G8 J6:J8 M6:M8">
    <cfRule type="cellIs" dxfId="234" priority="2" operator="between">
      <formula>0.9</formula>
      <formula>0.95</formula>
    </cfRule>
    <cfRule type="cellIs" dxfId="233" priority="3" operator="lessThan">
      <formula>0.9</formula>
    </cfRule>
    <cfRule type="cellIs" dxfId="232" priority="1" operator="greaterThan">
      <formula>0.95</formula>
    </cfRule>
  </conditionalFormatting>
  <conditionalFormatting sqref="D16:O16">
    <cfRule type="cellIs" dxfId="231" priority="117" operator="lessThan">
      <formula>0</formula>
    </cfRule>
  </conditionalFormatting>
  <conditionalFormatting sqref="F4:F5 I4:I5 F9 I9 F11 F13:F15">
    <cfRule type="cellIs" dxfId="230" priority="176" operator="lessThan">
      <formula>1</formula>
    </cfRule>
  </conditionalFormatting>
  <conditionalFormatting sqref="F4:F5 I4:I5 L4:L5 O4:O5 F9 I9 L9 O9 F11 I11 L11 O11 F13:F15 I13:I15 L13:L15 O13:O15">
    <cfRule type="cellIs" dxfId="229" priority="143" operator="between">
      <formula>0.9</formula>
      <formula>0.9999</formula>
    </cfRule>
  </conditionalFormatting>
  <conditionalFormatting sqref="F4:F9 I4:I9 L4:L9 O4:O9">
    <cfRule type="cellIs" dxfId="228" priority="14" operator="greaterThan">
      <formula>1</formula>
    </cfRule>
  </conditionalFormatting>
  <conditionalFormatting sqref="F6:F8 I6:I8 L6:L8 O6:O8">
    <cfRule type="cellIs" dxfId="227" priority="13" operator="lessThan">
      <formula>0.95</formula>
    </cfRule>
    <cfRule type="cellIs" dxfId="226" priority="12" operator="between">
      <formula>0.9501</formula>
      <formula>0.9999</formula>
    </cfRule>
  </conditionalFormatting>
  <conditionalFormatting sqref="F11 I11 F13:F15 I13:I15">
    <cfRule type="cellIs" dxfId="225" priority="177" operator="greaterThan">
      <formula>1</formula>
    </cfRule>
  </conditionalFormatting>
  <conditionalFormatting sqref="G4 G13:G15">
    <cfRule type="cellIs" dxfId="224" priority="9" operator="lessThan">
      <formula>$G$10</formula>
    </cfRule>
    <cfRule type="cellIs" dxfId="223" priority="8" operator="greaterThan">
      <formula>$G$10</formula>
    </cfRule>
  </conditionalFormatting>
  <conditionalFormatting sqref="G16:O16">
    <cfRule type="cellIs" dxfId="222" priority="181" operator="greaterThan">
      <formula>0</formula>
    </cfRule>
  </conditionalFormatting>
  <conditionalFormatting sqref="I11 I13:I15">
    <cfRule type="cellIs" dxfId="221" priority="166" operator="lessThan">
      <formula>1</formula>
    </cfRule>
  </conditionalFormatting>
  <conditionalFormatting sqref="J4 J13:J15">
    <cfRule type="cellIs" dxfId="220" priority="7" operator="lessThan">
      <formula>$J$10</formula>
    </cfRule>
    <cfRule type="cellIs" dxfId="219" priority="6" operator="greaterThan">
      <formula>$J$10</formula>
    </cfRule>
  </conditionalFormatting>
  <conditionalFormatting sqref="L4:L5 L9 L11">
    <cfRule type="cellIs" dxfId="218" priority="178" operator="lessThan">
      <formula>1</formula>
    </cfRule>
  </conditionalFormatting>
  <conditionalFormatting sqref="L11 L13:L15">
    <cfRule type="cellIs" dxfId="217" priority="179" operator="greaterThan">
      <formula>1</formula>
    </cfRule>
  </conditionalFormatting>
  <conditionalFormatting sqref="L13:L15">
    <cfRule type="cellIs" dxfId="216" priority="144" operator="lessThan">
      <formula>1</formula>
    </cfRule>
  </conditionalFormatting>
  <conditionalFormatting sqref="M4 M13:M15">
    <cfRule type="cellIs" dxfId="215" priority="5" operator="lessThan">
      <formula>$M$10</formula>
    </cfRule>
    <cfRule type="cellIs" dxfId="214" priority="4" operator="greaterThan">
      <formula>$M$10</formula>
    </cfRule>
  </conditionalFormatting>
  <conditionalFormatting sqref="O4:O5 O9 O11 O13:O15">
    <cfRule type="cellIs" dxfId="213" priority="148" operator="lessThan">
      <formula>1</formula>
    </cfRule>
  </conditionalFormatting>
  <conditionalFormatting sqref="O11 O13:O15">
    <cfRule type="cellIs" dxfId="212" priority="149" operator="greaterThan">
      <formula>1</formula>
    </cfRule>
  </conditionalFormatting>
  <dataValidations count="1">
    <dataValidation type="decimal" allowBlank="1" showErrorMessage="1" sqref="D4:F15" xr:uid="{009D00F0-00C2-43E9-90A4-000200FB00BD}">
      <formula1>0</formula1>
      <formula2>1000000000000000</formula2>
    </dataValidation>
  </dataValidation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0"/>
  <sheetViews>
    <sheetView showZeros="0" zoomScale="138" workbookViewId="0">
      <selection activeCell="D8" sqref="D8"/>
    </sheetView>
  </sheetViews>
  <sheetFormatPr baseColWidth="10" defaultColWidth="11.5" defaultRowHeight="15"/>
  <cols>
    <col min="1" max="3" width="11.5" style="190"/>
    <col min="4" max="4" width="11.5" style="3"/>
  </cols>
  <sheetData>
    <row r="1" spans="1:4">
      <c r="A1" s="648" t="s">
        <v>12</v>
      </c>
      <c r="B1" s="649"/>
      <c r="C1" s="649"/>
      <c r="D1" s="191">
        <v>172399</v>
      </c>
    </row>
    <row r="2" spans="1:4">
      <c r="A2" s="632" t="s">
        <v>13</v>
      </c>
      <c r="B2" s="650"/>
      <c r="C2" s="650"/>
      <c r="D2" s="192">
        <f>D1/D4</f>
        <v>28.733166666666666</v>
      </c>
    </row>
    <row r="3" spans="1:4">
      <c r="A3" s="632" t="s">
        <v>14</v>
      </c>
      <c r="B3" s="650"/>
      <c r="C3" s="650"/>
      <c r="D3" s="193">
        <f>D4*D5</f>
        <v>10200</v>
      </c>
    </row>
    <row r="4" spans="1:4">
      <c r="A4" s="632" t="s">
        <v>15</v>
      </c>
      <c r="B4" s="650"/>
      <c r="C4" s="650"/>
      <c r="D4" s="194">
        <f>'Ялта, Ленина, 18'!I11</f>
        <v>6000</v>
      </c>
    </row>
    <row r="5" spans="1:4">
      <c r="A5" s="632" t="s">
        <v>16</v>
      </c>
      <c r="B5" s="650"/>
      <c r="C5" s="650"/>
      <c r="D5" s="195">
        <f>'Ялта, Ленина, 18'!I12</f>
        <v>1.7</v>
      </c>
    </row>
    <row r="6" spans="1:4">
      <c r="A6" s="632" t="s">
        <v>17</v>
      </c>
      <c r="B6" s="650"/>
      <c r="C6" s="650"/>
      <c r="D6" s="193">
        <f>IF(D5&lt;&gt;0,D2/D5,"")</f>
        <v>16.90186274509804</v>
      </c>
    </row>
    <row r="7" spans="1:4">
      <c r="A7" s="632" t="s">
        <v>70</v>
      </c>
      <c r="B7" s="632"/>
      <c r="C7" s="633"/>
      <c r="D7" s="196">
        <f>'Ялта, Ленина, 18'!I20</f>
        <v>0.18</v>
      </c>
    </row>
    <row r="8" spans="1:4">
      <c r="A8" s="651" t="s">
        <v>36</v>
      </c>
      <c r="B8" s="652"/>
      <c r="C8" s="653"/>
      <c r="D8" s="197" t="e">
        <f>('Ялта, Ленина, 18'!S12-'Ялта, Ленина, 18'!T12)/('Ялта, Ленина, 18'!I14-'Ялта, Ленина, 18'!J14)</f>
        <v>#DIV/0!</v>
      </c>
    </row>
    <row r="9" spans="1:4">
      <c r="A9" s="651" t="s">
        <v>35</v>
      </c>
      <c r="B9" s="652"/>
      <c r="C9" s="653"/>
      <c r="D9" s="197" t="e">
        <f>('Ялта, Ленина, 18'!S18-'Ялта, Ленина, 18'!T18)/('Ялта, Ленина, 18'!I14-'Ялта, Ленина, 18'!J14)</f>
        <v>#DIV/0!</v>
      </c>
    </row>
    <row r="10" spans="1:4">
      <c r="A10" s="654" t="str">
        <f>'Ялта, Ленина, 18'!M23</f>
        <v>Agafi</v>
      </c>
      <c r="B10" s="655"/>
      <c r="C10" s="656"/>
      <c r="D10" s="198" t="e">
        <f>('Ялта, Ленина, 18'!V12-'Ялта, Ленина, 18'!W12)/('Ялта, Ленина, 18'!I14-'Ялта, Ленина, 18'!J14)</f>
        <v>#DIV/0!</v>
      </c>
    </row>
  </sheetData>
  <mergeCells count="10">
    <mergeCell ref="A6:C6"/>
    <mergeCell ref="A7:C7"/>
    <mergeCell ref="A8:C8"/>
    <mergeCell ref="A9:C9"/>
    <mergeCell ref="A10:C10"/>
    <mergeCell ref="A1:C1"/>
    <mergeCell ref="A2:C2"/>
    <mergeCell ref="A3:C3"/>
    <mergeCell ref="A4:C4"/>
    <mergeCell ref="A5:C5"/>
  </mergeCells>
  <dataValidations count="1">
    <dataValidation type="decimal" allowBlank="1" showErrorMessage="1" sqref="D7 D2" xr:uid="{00A1006E-009C-4C9B-8AB6-00DF003700DB}">
      <formula1>0</formula1>
      <formula2>1000000000000000</formula2>
    </dataValidation>
  </dataValidations>
  <pageMargins left="0.78800000000000003" right="0.78800000000000003" top="0.78800000000000003" bottom="0.78800000000000003" header="0.51200000000000001" footer="0.51200000000000001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U59"/>
  <sheetViews>
    <sheetView showZeros="0" topLeftCell="A23" workbookViewId="0">
      <pane xSplit="3" topLeftCell="D1" activePane="topRight" state="frozen"/>
      <selection activeCell="AB43" sqref="AB43"/>
      <selection pane="topRight" activeCell="D48" sqref="D48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57">
        <f ca="1">TODAY()-1</f>
        <v>45909</v>
      </c>
      <c r="C1" s="657"/>
      <c r="D1" s="11"/>
      <c r="E1" s="11"/>
      <c r="F1" s="12"/>
      <c r="G1" s="12"/>
      <c r="H1" s="12"/>
      <c r="I1" s="12"/>
      <c r="J1" s="199"/>
      <c r="K1" s="199"/>
      <c r="L1" s="199"/>
      <c r="M1" s="199"/>
      <c r="N1" s="199"/>
      <c r="O1" s="199"/>
      <c r="P1" s="199"/>
      <c r="Q1" s="658"/>
      <c r="R1" s="658"/>
      <c r="S1" s="658"/>
      <c r="T1" s="658"/>
      <c r="U1" s="12"/>
      <c r="V1" s="12"/>
      <c r="W1" s="12"/>
    </row>
    <row r="2" spans="2:23" ht="21.75" customHeight="1">
      <c r="B2" s="659" t="s">
        <v>0</v>
      </c>
      <c r="C2" s="659"/>
      <c r="D2" s="11"/>
      <c r="E2" s="11"/>
      <c r="F2" s="12"/>
      <c r="G2" s="12"/>
      <c r="H2" s="12"/>
      <c r="I2" s="12"/>
      <c r="J2" s="660" t="s">
        <v>71</v>
      </c>
      <c r="K2" s="660"/>
      <c r="L2" s="660"/>
      <c r="M2" s="660"/>
      <c r="N2" s="660"/>
      <c r="O2" s="660"/>
      <c r="P2" s="660"/>
      <c r="Q2" s="658"/>
      <c r="R2" s="658"/>
      <c r="S2" s="658"/>
      <c r="T2" s="658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61" t="str">
        <f>График!B29</f>
        <v>Рогалевич Ирина</v>
      </c>
      <c r="K3" s="662"/>
      <c r="L3" s="662"/>
      <c r="M3" s="662"/>
      <c r="N3" s="663"/>
      <c r="O3" s="199"/>
      <c r="P3" s="200"/>
      <c r="Q3" s="658"/>
      <c r="R3" s="658"/>
      <c r="S3" s="658"/>
      <c r="T3" s="658"/>
      <c r="U3" s="12"/>
      <c r="V3" s="12"/>
      <c r="W3" s="12"/>
    </row>
    <row r="4" spans="2:23" ht="15" customHeight="1">
      <c r="B4" s="11"/>
      <c r="C4" s="667">
        <f>I8-D54</f>
        <v>111046.30834492366</v>
      </c>
      <c r="D4" s="668"/>
      <c r="E4" s="201">
        <f>IF(I8&lt;&gt;0,C4/I8,0)</f>
        <v>6.4102430956987172E-2</v>
      </c>
      <c r="F4" s="12"/>
      <c r="G4" s="12"/>
      <c r="H4" s="12"/>
      <c r="I4" s="12"/>
      <c r="J4" s="664"/>
      <c r="K4" s="665"/>
      <c r="L4" s="665"/>
      <c r="M4" s="665"/>
      <c r="N4" s="666"/>
      <c r="O4" s="12"/>
      <c r="P4" s="12"/>
      <c r="Q4" s="658"/>
      <c r="R4" s="658"/>
      <c r="S4" s="658"/>
      <c r="T4" s="658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9"/>
      <c r="K5" s="669"/>
      <c r="L5" s="669"/>
      <c r="M5" s="669"/>
      <c r="N5" s="669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2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2"/>
      <c r="C7" s="12"/>
      <c r="D7" s="12"/>
      <c r="E7" s="12"/>
      <c r="F7" s="670" t="s">
        <v>3</v>
      </c>
      <c r="G7" s="671"/>
      <c r="H7" s="672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85" t="s">
        <v>11</v>
      </c>
      <c r="Q7" s="586"/>
      <c r="R7" s="21"/>
      <c r="S7" s="21"/>
      <c r="T7" s="12"/>
      <c r="U7" s="12"/>
      <c r="V7" s="12"/>
      <c r="W7" s="12"/>
    </row>
    <row r="8" spans="2:23" ht="15.75" customHeight="1">
      <c r="B8" s="202"/>
      <c r="C8" s="12"/>
      <c r="D8" s="12"/>
      <c r="E8" s="12"/>
      <c r="F8" s="673" t="s">
        <v>12</v>
      </c>
      <c r="G8" s="674"/>
      <c r="H8" s="675"/>
      <c r="I8" s="203">
        <f>'Ялта, Ленина, 18'!I8/График!AJ31*График!AJ29</f>
        <v>1732326.0083449236</v>
      </c>
      <c r="J8" s="204">
        <f>D54</f>
        <v>1621279.7</v>
      </c>
      <c r="K8" s="30">
        <f t="shared" ref="K8:K9" si="0">IF(AND(I8&lt;&gt;"",I8&lt;&gt;0,J8&lt;&gt;""),J8/I8,"")</f>
        <v>0.9358975690430128</v>
      </c>
      <c r="L8" s="205">
        <f>IF(SUMIF($D$25:$D$53,"&gt;=0",$P$25:$P$53)&lt;&gt;0,I8*D54/SUMIF($D$25:$D$53,"&gt;=0",$P$25:$P$53),0)</f>
        <v>1621279.7</v>
      </c>
      <c r="M8" s="206">
        <f t="shared" ref="M8:M9" si="1">IF(AND(I8&lt;&gt;"",I8&lt;&gt;0,L8&lt;&gt;"",L8&lt;&gt;0),L8/I8,"")</f>
        <v>0.9358975690430128</v>
      </c>
      <c r="N8" s="35">
        <f t="shared" ref="N8:N9" si="2">IF(AND(J8&lt;&gt;0,J8&lt;&gt;"",I8&lt;&gt;0,I8&lt;&gt;""),L8-I8,"")</f>
        <v>-111046.30834492366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2"/>
      <c r="C9" s="12"/>
      <c r="D9" s="12"/>
      <c r="E9" s="12"/>
      <c r="F9" s="590" t="s">
        <v>13</v>
      </c>
      <c r="G9" s="591"/>
      <c r="H9" s="592"/>
      <c r="I9" s="38">
        <f>I8/I11</f>
        <v>288.72100139082062</v>
      </c>
      <c r="J9" s="39">
        <f>E54</f>
        <v>279</v>
      </c>
      <c r="K9" s="40">
        <f t="shared" si="0"/>
        <v>0.96633081298557144</v>
      </c>
      <c r="L9" s="207">
        <f>IF(SUMIF($E$25:$E$51,"&gt;=0",$Q$25:$Q$51)&lt;&gt;0,I9*E54/SUMIF($E$25:$E$51,"&gt;=0",$Q$25:$Q$51),0)</f>
        <v>279.00000000000011</v>
      </c>
      <c r="M9" s="208">
        <f t="shared" si="1"/>
        <v>0.96633081298557189</v>
      </c>
      <c r="N9" s="43">
        <f t="shared" si="2"/>
        <v>-9.7210013908205042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2"/>
      <c r="C10" s="12"/>
      <c r="D10" s="12"/>
      <c r="E10" s="12"/>
      <c r="F10" s="587" t="s">
        <v>14</v>
      </c>
      <c r="G10" s="588"/>
      <c r="H10" s="589"/>
      <c r="I10" s="50">
        <f>I11*I12</f>
        <v>10200</v>
      </c>
      <c r="J10" s="209">
        <f>H54</f>
        <v>10666.313815789474</v>
      </c>
      <c r="K10" s="210">
        <f t="shared" ref="K10:K19" si="5">IF(AND(I10&lt;&gt;"",I10&lt;&gt;0,J10&lt;&gt;""),J10/I10,"")</f>
        <v>1.045717040763674</v>
      </c>
      <c r="L10" s="207">
        <f>J10</f>
        <v>10666.313815789474</v>
      </c>
      <c r="M10" s="211">
        <f t="shared" ref="M10:M20" si="6">IF(AND(I10&lt;&gt;"",I10&lt;&gt;0,L10&lt;&gt;"",L10&lt;&gt;0),L10/I10,"")</f>
        <v>1.045717040763674</v>
      </c>
      <c r="N10" s="49">
        <f t="shared" ref="N10:N20" si="7">IF(AND(J10&lt;&gt;0,J10&lt;&gt;"",I10&lt;&gt;0,I10&lt;&gt;""),L10-I10,"")</f>
        <v>466.31381578947367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97" t="s">
        <v>36</v>
      </c>
      <c r="T10" s="597"/>
      <c r="U10" s="12"/>
      <c r="V10" s="597" t="str">
        <f>M23</f>
        <v>Agafi</v>
      </c>
      <c r="W10" s="597"/>
    </row>
    <row r="11" spans="2:23" ht="15.75" customHeight="1">
      <c r="B11" s="202"/>
      <c r="C11" s="12"/>
      <c r="D11" s="12"/>
      <c r="E11" s="12"/>
      <c r="F11" s="590" t="s">
        <v>15</v>
      </c>
      <c r="G11" s="591"/>
      <c r="H11" s="592"/>
      <c r="I11" s="52">
        <f>'Ялта, Ленина, 18'!I11</f>
        <v>6000</v>
      </c>
      <c r="J11" s="39">
        <f>F54</f>
        <v>5811.0383512544804</v>
      </c>
      <c r="K11" s="212">
        <f t="shared" si="5"/>
        <v>0.96850639187574672</v>
      </c>
      <c r="L11" s="207">
        <f>IF(L9&gt;0,L8/L9,"")</f>
        <v>5811.0383512544777</v>
      </c>
      <c r="M11" s="208">
        <f t="shared" si="6"/>
        <v>0.96850639187574628</v>
      </c>
      <c r="N11" s="43">
        <f t="shared" si="7"/>
        <v>-188.96164874552233</v>
      </c>
      <c r="O11" s="53"/>
      <c r="P11" s="43" t="str">
        <f t="shared" si="8"/>
        <v/>
      </c>
      <c r="Q11" s="45" t="str">
        <f t="shared" si="9"/>
        <v/>
      </c>
      <c r="R11" s="21"/>
      <c r="S11" s="597"/>
      <c r="T11" s="597"/>
      <c r="U11" s="12"/>
      <c r="V11" s="597"/>
      <c r="W11" s="597"/>
    </row>
    <row r="12" spans="2:23" ht="15.75" customHeight="1">
      <c r="B12" s="202"/>
      <c r="C12" s="12"/>
      <c r="D12" s="12"/>
      <c r="E12" s="12"/>
      <c r="F12" s="590" t="s">
        <v>16</v>
      </c>
      <c r="G12" s="591"/>
      <c r="H12" s="592"/>
      <c r="I12" s="54">
        <f>'Ялта, Ленина, 18'!I12</f>
        <v>1.7</v>
      </c>
      <c r="J12" s="55">
        <f>J54</f>
        <v>1.8355263157894737</v>
      </c>
      <c r="K12" s="212">
        <f t="shared" si="5"/>
        <v>1.0797213622291022</v>
      </c>
      <c r="L12" s="213">
        <f>J12</f>
        <v>1.8355263157894737</v>
      </c>
      <c r="M12" s="208">
        <f t="shared" si="6"/>
        <v>1.0797213622291022</v>
      </c>
      <c r="N12" s="57">
        <f t="shared" si="7"/>
        <v>0.13552631578947372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18'!S12*График!AJ29/График!AJ31</f>
        <v>280111.2656467316</v>
      </c>
      <c r="T12" s="60">
        <f>L54</f>
        <v>152063</v>
      </c>
      <c r="U12" s="12"/>
      <c r="V12" s="59">
        <f>'Ялта, Ленина, 18'!V12/График!AJ31*График!AJ29</f>
        <v>169541.02920723226</v>
      </c>
      <c r="W12" s="60">
        <f>M54</f>
        <v>85222</v>
      </c>
    </row>
    <row r="13" spans="2:23" ht="15.75" customHeight="1">
      <c r="B13" s="202"/>
      <c r="C13" s="12"/>
      <c r="D13" s="12"/>
      <c r="E13" s="12"/>
      <c r="F13" s="590" t="s">
        <v>17</v>
      </c>
      <c r="G13" s="591"/>
      <c r="H13" s="592"/>
      <c r="I13" s="38">
        <f>IF(I12&lt;&gt;0,I9/I12,"")</f>
        <v>169.83588317107095</v>
      </c>
      <c r="J13" s="39">
        <f>G54</f>
        <v>152</v>
      </c>
      <c r="K13" s="40">
        <f t="shared" si="5"/>
        <v>0.89498165618448633</v>
      </c>
      <c r="L13" s="207">
        <f>IF(SUMIF($G$25:$G$51,"&gt;=0",$R$25:$R$51)&lt;&gt;0,I13*G54/SUMIF($G$25:$G$51,"&gt;=0",$R$25:$R$51),"")</f>
        <v>152.00000000000009</v>
      </c>
      <c r="M13" s="208">
        <f t="shared" si="6"/>
        <v>0.89498165618448677</v>
      </c>
      <c r="N13" s="57">
        <f t="shared" si="7"/>
        <v>-17.835883171070861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0.54286642005958285</v>
      </c>
      <c r="T13" s="62">
        <f>S13/J14*I14</f>
        <v>0.54286642005958285</v>
      </c>
      <c r="U13" s="12"/>
      <c r="V13" s="62">
        <f>W12/V12</f>
        <v>0.50266298605414272</v>
      </c>
      <c r="W13" s="62">
        <f>V13/J14*I14</f>
        <v>0.50266298605414272</v>
      </c>
    </row>
    <row r="14" spans="2:23" ht="15.75" customHeight="1">
      <c r="B14" s="202"/>
      <c r="C14" s="12"/>
      <c r="D14" s="214"/>
      <c r="E14" s="12"/>
      <c r="F14" s="590" t="s">
        <v>68</v>
      </c>
      <c r="G14" s="591"/>
      <c r="H14" s="592"/>
      <c r="I14" s="52">
        <f>График!AI29</f>
        <v>26</v>
      </c>
      <c r="J14" s="64">
        <v>26</v>
      </c>
      <c r="K14" s="40">
        <f t="shared" si="5"/>
        <v>1</v>
      </c>
      <c r="L14" s="41">
        <f>I14</f>
        <v>26</v>
      </c>
      <c r="M14" s="208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02"/>
      <c r="C15" s="12"/>
      <c r="D15" s="12"/>
      <c r="E15" s="12"/>
      <c r="F15" s="590" t="s">
        <v>19</v>
      </c>
      <c r="G15" s="591"/>
      <c r="H15" s="592"/>
      <c r="I15" s="75">
        <f>'Ялта, Ленина, 18'!I15</f>
        <v>151618.06451612903</v>
      </c>
      <c r="J15" s="67">
        <f>J8/J14</f>
        <v>62356.911538461536</v>
      </c>
      <c r="K15" s="68">
        <f t="shared" si="5"/>
        <v>0.41127626669992245</v>
      </c>
      <c r="L15" s="72">
        <f t="shared" ref="L15:L16" si="10">J15</f>
        <v>62356.911538461536</v>
      </c>
      <c r="M15" s="215">
        <f t="shared" si="6"/>
        <v>0.41127626669992245</v>
      </c>
      <c r="N15" s="43">
        <f t="shared" si="7"/>
        <v>-89261.152977667487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02"/>
      <c r="C16" s="12"/>
      <c r="D16" s="12"/>
      <c r="E16" s="12"/>
      <c r="F16" s="590" t="s">
        <v>20</v>
      </c>
      <c r="G16" s="591"/>
      <c r="H16" s="592"/>
      <c r="I16" s="75"/>
      <c r="J16" s="67">
        <f>J8-I15*J14</f>
        <v>-2320789.977419355</v>
      </c>
      <c r="K16" s="68" t="str">
        <f t="shared" si="5"/>
        <v/>
      </c>
      <c r="L16" s="72">
        <f t="shared" si="10"/>
        <v>-2320789.977419355</v>
      </c>
      <c r="M16" s="216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97" t="s">
        <v>35</v>
      </c>
      <c r="T16" s="597"/>
      <c r="U16" s="12"/>
      <c r="V16" s="12"/>
      <c r="W16" s="12"/>
    </row>
    <row r="17" spans="1:255" ht="15.75" customHeight="1">
      <c r="B17" s="202"/>
      <c r="C17" s="12"/>
      <c r="D17" s="12"/>
      <c r="E17" s="12"/>
      <c r="F17" s="590" t="s">
        <v>21</v>
      </c>
      <c r="G17" s="591"/>
      <c r="H17" s="592"/>
      <c r="I17" s="75">
        <f>'Ялта, Ленина, 18'!I17/График!AJ31*График!AJ29</f>
        <v>943.53268428372746</v>
      </c>
      <c r="J17" s="67">
        <f>I54</f>
        <v>1013</v>
      </c>
      <c r="K17" s="68">
        <f t="shared" si="5"/>
        <v>1.0736247051886791</v>
      </c>
      <c r="L17" s="72">
        <f>J17/J14*I14</f>
        <v>1013</v>
      </c>
      <c r="M17" s="216">
        <f t="shared" si="6"/>
        <v>1.0736247051886791</v>
      </c>
      <c r="N17" s="43">
        <f t="shared" si="7"/>
        <v>69.467315716272537</v>
      </c>
      <c r="O17" s="71"/>
      <c r="P17" s="43" t="str">
        <f t="shared" si="8"/>
        <v/>
      </c>
      <c r="Q17" s="45" t="str">
        <f t="shared" si="9"/>
        <v/>
      </c>
      <c r="R17" s="21"/>
      <c r="S17" s="597"/>
      <c r="T17" s="597"/>
      <c r="U17" s="12"/>
      <c r="V17" s="12"/>
      <c r="W17" s="12"/>
    </row>
    <row r="18" spans="1:255" ht="15.75" customHeight="1">
      <c r="B18" s="202"/>
      <c r="C18" s="12"/>
      <c r="D18" s="12"/>
      <c r="E18" s="12"/>
      <c r="F18" s="590"/>
      <c r="G18" s="591"/>
      <c r="H18" s="592"/>
      <c r="I18" s="76"/>
      <c r="J18" s="67"/>
      <c r="K18" s="68" t="str">
        <f t="shared" si="5"/>
        <v/>
      </c>
      <c r="L18" s="72">
        <f t="shared" ref="L18:L19" si="11">J18</f>
        <v>0</v>
      </c>
      <c r="M18" s="216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18'!S18*График!AJ29/График!AJ31</f>
        <v>324339.36022253131</v>
      </c>
      <c r="T18" s="60">
        <f>K54</f>
        <v>319210</v>
      </c>
      <c r="U18" s="12"/>
      <c r="V18" s="12"/>
      <c r="W18" s="12"/>
    </row>
    <row r="19" spans="1:255" ht="15.75" customHeight="1">
      <c r="B19" s="202"/>
      <c r="C19" s="12"/>
      <c r="D19" s="12"/>
      <c r="E19" s="12"/>
      <c r="F19" s="590"/>
      <c r="G19" s="591"/>
      <c r="H19" s="592"/>
      <c r="I19" s="76"/>
      <c r="J19" s="67">
        <f>M54</f>
        <v>85222</v>
      </c>
      <c r="K19" s="68" t="str">
        <f t="shared" si="5"/>
        <v/>
      </c>
      <c r="L19" s="72">
        <f t="shared" si="11"/>
        <v>85222</v>
      </c>
      <c r="M19" s="216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0.98418520583190394</v>
      </c>
      <c r="T19" s="62">
        <f>S19/J14*I14</f>
        <v>0.98418520583190383</v>
      </c>
      <c r="U19" s="12"/>
      <c r="V19" s="12"/>
      <c r="W19" s="12"/>
    </row>
    <row r="20" spans="1:255" ht="15.75" customHeight="1">
      <c r="B20" s="202"/>
      <c r="C20" s="12"/>
      <c r="D20" s="12"/>
      <c r="E20" s="12"/>
      <c r="F20" s="598" t="s">
        <v>22</v>
      </c>
      <c r="G20" s="598"/>
      <c r="H20" s="598"/>
      <c r="I20" s="217">
        <f>'Ялта, Ленина, 18'!I20</f>
        <v>0.18</v>
      </c>
      <c r="J20" s="218">
        <f>N54</f>
        <v>0.15004935834155972</v>
      </c>
      <c r="K20" s="219">
        <f>J20/I20</f>
        <v>0.83360754634199852</v>
      </c>
      <c r="L20" s="220">
        <f>IF(AND(K8&lt;&gt;0,I14&lt;&gt;0,I54&lt;&gt;0),(I54*N54+(I54/K8-I54)*I20)/(I54/K8),0)</f>
        <v>0.15196926728058735</v>
      </c>
      <c r="M20" s="83">
        <f t="shared" si="6"/>
        <v>0.84427370711437422</v>
      </c>
      <c r="N20" s="84">
        <f t="shared" si="7"/>
        <v>-2.8030732719412643E-2</v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255" ht="15.75" customHeight="1">
      <c r="B21" s="20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255" ht="16.5" customHeight="1">
      <c r="B22" s="676" t="s">
        <v>23</v>
      </c>
      <c r="C22" s="676"/>
      <c r="D22" s="676"/>
      <c r="E22" s="676"/>
      <c r="F22" s="676"/>
      <c r="G22" s="676"/>
      <c r="H22" s="676"/>
      <c r="I22" s="676"/>
      <c r="J22" s="676"/>
      <c r="K22" s="676"/>
      <c r="L22" s="676"/>
      <c r="M22" s="676"/>
      <c r="N22" s="676"/>
      <c r="O22" s="677" t="s">
        <v>24</v>
      </c>
      <c r="P22" s="676" t="s">
        <v>25</v>
      </c>
      <c r="Q22" s="676"/>
      <c r="R22" s="676"/>
      <c r="S22" s="676"/>
      <c r="T22" s="676"/>
      <c r="U22" s="676"/>
      <c r="V22" s="676"/>
      <c r="W22" s="676"/>
    </row>
    <row r="23" spans="1:255" ht="36">
      <c r="B23" s="221" t="s">
        <v>27</v>
      </c>
      <c r="C23" s="221" t="s">
        <v>28</v>
      </c>
      <c r="D23" s="221" t="s">
        <v>29</v>
      </c>
      <c r="E23" s="221" t="s">
        <v>30</v>
      </c>
      <c r="F23" s="221" t="s">
        <v>31</v>
      </c>
      <c r="G23" s="221" t="s">
        <v>32</v>
      </c>
      <c r="H23" s="221" t="s">
        <v>33</v>
      </c>
      <c r="I23" s="221" t="s">
        <v>21</v>
      </c>
      <c r="J23" s="221" t="s">
        <v>34</v>
      </c>
      <c r="K23" s="90" t="s">
        <v>35</v>
      </c>
      <c r="L23" s="90" t="s">
        <v>36</v>
      </c>
      <c r="M23" s="90" t="s">
        <v>37</v>
      </c>
      <c r="N23" s="221" t="s">
        <v>38</v>
      </c>
      <c r="O23" s="677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2" t="s">
        <v>45</v>
      </c>
      <c r="W23" s="222" t="s">
        <v>46</v>
      </c>
      <c r="X23" s="130"/>
    </row>
    <row r="24" spans="1:255">
      <c r="B24" s="223">
        <v>1</v>
      </c>
      <c r="C24" s="224">
        <v>2</v>
      </c>
      <c r="D24" s="223">
        <v>3</v>
      </c>
      <c r="E24" s="223">
        <v>4</v>
      </c>
      <c r="F24" s="223">
        <v>5</v>
      </c>
      <c r="G24" s="223">
        <v>6</v>
      </c>
      <c r="H24" s="223">
        <v>7</v>
      </c>
      <c r="I24" s="223">
        <v>8</v>
      </c>
      <c r="J24" s="223">
        <v>9</v>
      </c>
      <c r="K24" s="223">
        <v>10</v>
      </c>
      <c r="L24" s="223">
        <v>11</v>
      </c>
      <c r="M24" s="223">
        <v>12</v>
      </c>
      <c r="N24" s="223">
        <v>13</v>
      </c>
      <c r="O24" s="677"/>
      <c r="P24" s="225">
        <v>1</v>
      </c>
      <c r="Q24" s="225">
        <v>2</v>
      </c>
      <c r="R24" s="225">
        <v>3</v>
      </c>
      <c r="S24" s="225">
        <v>4</v>
      </c>
      <c r="T24" s="225">
        <v>5</v>
      </c>
      <c r="U24" s="225">
        <v>6</v>
      </c>
      <c r="V24" s="225">
        <v>10</v>
      </c>
      <c r="W24" s="225">
        <v>11</v>
      </c>
    </row>
    <row r="25" spans="1:255">
      <c r="A25" s="95">
        <v>1</v>
      </c>
      <c r="B25" s="96">
        <v>45871</v>
      </c>
      <c r="C25" s="97" t="s">
        <v>50</v>
      </c>
      <c r="D25" s="98">
        <v>32095</v>
      </c>
      <c r="E25" s="99">
        <v>8</v>
      </c>
      <c r="F25" s="99">
        <f t="shared" ref="F25:F54" si="12">IF(AND(E25&lt;&gt;"",E25&lt;&gt;0),D25/E25,"")</f>
        <v>4011.875</v>
      </c>
      <c r="G25" s="99">
        <v>4</v>
      </c>
      <c r="H25" s="99">
        <f t="shared" ref="H25:H54" si="13">IF(AND(G25&lt;&gt;"",G25&lt;&gt;0),D25/G25,"")</f>
        <v>8023.75</v>
      </c>
      <c r="I25" s="99">
        <v>30</v>
      </c>
      <c r="J25" s="98">
        <f t="shared" ref="J25:J54" si="14">IF(AND(G25&lt;&gt;"",G25&lt;&gt;0),E25/G25,"")</f>
        <v>2</v>
      </c>
      <c r="K25" s="99"/>
      <c r="L25" s="99"/>
      <c r="M25" s="99"/>
      <c r="N25" s="100">
        <f t="shared" ref="N25:N54" si="15">IF(AND(I25&lt;&gt;"",I25&lt;&gt;0),G25/I25,"")</f>
        <v>0.13333333333333333</v>
      </c>
      <c r="O25" s="101">
        <f t="shared" ref="O25:O54" si="16">D25/P25</f>
        <v>0.48170494236085415</v>
      </c>
      <c r="P25" s="102">
        <f t="shared" ref="P25:P53" si="17">$I$8*V25*W25/SUMPRODUCT($W$25:$W$53,$V$25:$V$53)</f>
        <v>66627.923397881677</v>
      </c>
      <c r="Q25" s="103">
        <f t="shared" ref="Q25:Q53" si="18">$I$9*V25*W25/SUMPRODUCT($W$25:$W$53,$V$25:$V$53)</f>
        <v>11.104653899646946</v>
      </c>
      <c r="R25" s="103">
        <f t="shared" ref="R25:R53" si="19">IF($I$12="","",Q25/$I$12)</f>
        <v>6.5321493527334979</v>
      </c>
      <c r="S25" s="102">
        <f>IF(D25&lt;&gt;"",D25,P25)</f>
        <v>32095</v>
      </c>
      <c r="T25" s="103">
        <f>IF(E25&lt;&gt;"",E25,Q25)</f>
        <v>8</v>
      </c>
      <c r="U25" s="103">
        <f>IF(G25&lt;&gt;"",G25,R25)</f>
        <v>4</v>
      </c>
      <c r="V25" s="104">
        <v>1</v>
      </c>
      <c r="W25" s="104">
        <v>1</v>
      </c>
      <c r="X25" s="105"/>
      <c r="Y25" s="106"/>
    </row>
    <row r="26" spans="1:255">
      <c r="A26" s="95">
        <v>2</v>
      </c>
      <c r="B26" s="96">
        <v>45872</v>
      </c>
      <c r="C26" s="97" t="s">
        <v>52</v>
      </c>
      <c r="D26" s="98">
        <f>122924+4623</f>
        <v>127547</v>
      </c>
      <c r="E26" s="99">
        <v>25</v>
      </c>
      <c r="F26" s="99">
        <f t="shared" si="12"/>
        <v>5101.88</v>
      </c>
      <c r="G26" s="99">
        <v>10</v>
      </c>
      <c r="H26" s="99">
        <f t="shared" si="13"/>
        <v>12754.7</v>
      </c>
      <c r="I26" s="99">
        <v>55</v>
      </c>
      <c r="J26" s="98">
        <f t="shared" si="14"/>
        <v>2.5</v>
      </c>
      <c r="K26" s="99"/>
      <c r="L26" s="99">
        <v>4623</v>
      </c>
      <c r="M26" s="99">
        <v>27270</v>
      </c>
      <c r="N26" s="100">
        <f t="shared" si="15"/>
        <v>0.18181818181818182</v>
      </c>
      <c r="O26" s="101">
        <f t="shared" si="16"/>
        <v>1.914317503763822</v>
      </c>
      <c r="P26" s="102">
        <f t="shared" si="17"/>
        <v>66627.923397881677</v>
      </c>
      <c r="Q26" s="103">
        <f t="shared" si="18"/>
        <v>11.104653899646946</v>
      </c>
      <c r="R26" s="103">
        <f t="shared" si="19"/>
        <v>6.5321493527334979</v>
      </c>
      <c r="S26" s="102">
        <f t="shared" ref="S26:S53" si="20">IF(W26&lt;&gt;"",IF(D26&lt;&gt;"",D26,($I$8-SUM($S$25:S25))*V26*W26/SUMPRODUCT($W26:$W$55,$V26:$V$55)),"")</f>
        <v>127547</v>
      </c>
      <c r="T26" s="103">
        <f t="shared" ref="T26:T34" si="21">IF(W26&lt;&gt;"",IF(E26&lt;&gt;"",E26,($I$9-SUM($T$25:T25))*V26*W26/SUMPRODUCT($W26:$W$55,$V26:$V$55)),"")</f>
        <v>25</v>
      </c>
      <c r="U26" s="103">
        <f t="shared" ref="U26:U53" si="22">IF(W26&lt;&gt;"",IF($I$12&lt;&gt;"",IF(G26&lt;&gt;"",G26,($I$9/$I$12-SUM($U$25:U25))*V26*W26/SUMPRODUCT($W26:$W$55,$V26:$V$55)),""),"")</f>
        <v>10</v>
      </c>
      <c r="V26" s="104">
        <v>1</v>
      </c>
      <c r="W26" s="104">
        <v>1</v>
      </c>
      <c r="X26" s="107"/>
      <c r="Y26" s="106"/>
    </row>
    <row r="27" spans="1:255">
      <c r="A27" s="95">
        <v>3</v>
      </c>
      <c r="B27" s="96">
        <v>45873</v>
      </c>
      <c r="C27" s="97" t="s">
        <v>53</v>
      </c>
      <c r="D27" s="98">
        <v>22961</v>
      </c>
      <c r="E27" s="99">
        <v>5</v>
      </c>
      <c r="F27" s="99">
        <f t="shared" si="12"/>
        <v>4592.2</v>
      </c>
      <c r="G27" s="99">
        <v>4</v>
      </c>
      <c r="H27" s="99">
        <f t="shared" si="13"/>
        <v>5740.25</v>
      </c>
      <c r="I27" s="99">
        <v>30</v>
      </c>
      <c r="J27" s="98">
        <f t="shared" si="14"/>
        <v>1.25</v>
      </c>
      <c r="K27" s="99"/>
      <c r="L27" s="99"/>
      <c r="M27" s="99"/>
      <c r="N27" s="100">
        <f t="shared" si="15"/>
        <v>0.13333333333333333</v>
      </c>
      <c r="O27" s="101">
        <f t="shared" si="16"/>
        <v>0.34461527283214122</v>
      </c>
      <c r="P27" s="102">
        <f t="shared" si="17"/>
        <v>66627.923397881677</v>
      </c>
      <c r="Q27" s="103">
        <f t="shared" si="18"/>
        <v>11.104653899646946</v>
      </c>
      <c r="R27" s="103">
        <f t="shared" si="19"/>
        <v>6.5321493527334979</v>
      </c>
      <c r="S27" s="102">
        <f t="shared" si="20"/>
        <v>22961</v>
      </c>
      <c r="T27" s="103">
        <f t="shared" si="21"/>
        <v>5</v>
      </c>
      <c r="U27" s="103">
        <f t="shared" si="22"/>
        <v>4</v>
      </c>
      <c r="V27" s="104">
        <v>1</v>
      </c>
      <c r="W27" s="104">
        <v>1</v>
      </c>
      <c r="X27" s="107"/>
      <c r="Y27" s="109"/>
      <c r="Z27" s="2"/>
      <c r="AA27" s="2"/>
      <c r="AB27" s="2"/>
      <c r="AC27" s="2"/>
      <c r="AD27" s="2"/>
    </row>
    <row r="28" spans="1:255" s="110" customFormat="1">
      <c r="A28" s="95">
        <v>4</v>
      </c>
      <c r="B28" s="96">
        <v>45875</v>
      </c>
      <c r="C28" s="97" t="s">
        <v>56</v>
      </c>
      <c r="D28" s="98">
        <f>57982+27939</f>
        <v>85921</v>
      </c>
      <c r="E28" s="99">
        <v>8</v>
      </c>
      <c r="F28" s="99">
        <f t="shared" si="12"/>
        <v>10740.125</v>
      </c>
      <c r="G28" s="99">
        <v>6</v>
      </c>
      <c r="H28" s="99">
        <f t="shared" si="13"/>
        <v>14320.166666666666</v>
      </c>
      <c r="I28" s="99">
        <v>25</v>
      </c>
      <c r="J28" s="98">
        <f t="shared" si="14"/>
        <v>1.3333333333333333</v>
      </c>
      <c r="K28" s="99">
        <v>57982</v>
      </c>
      <c r="L28" s="99"/>
      <c r="M28" s="99"/>
      <c r="N28" s="100">
        <f t="shared" si="15"/>
        <v>0.24</v>
      </c>
      <c r="O28" s="101">
        <f t="shared" si="16"/>
        <v>1.289564429119394</v>
      </c>
      <c r="P28" s="102">
        <f t="shared" si="17"/>
        <v>66627.923397881677</v>
      </c>
      <c r="Q28" s="103">
        <f t="shared" si="18"/>
        <v>11.104653899646946</v>
      </c>
      <c r="R28" s="103">
        <f t="shared" si="19"/>
        <v>6.5321493527334979</v>
      </c>
      <c r="S28" s="102">
        <f t="shared" si="20"/>
        <v>85921</v>
      </c>
      <c r="T28" s="103">
        <f t="shared" si="21"/>
        <v>8</v>
      </c>
      <c r="U28" s="103">
        <f t="shared" si="22"/>
        <v>6</v>
      </c>
      <c r="V28" s="104">
        <v>1</v>
      </c>
      <c r="W28" s="104">
        <v>1</v>
      </c>
      <c r="X28" s="107"/>
      <c r="Y28" s="106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>
      <c r="A29" s="95">
        <v>5</v>
      </c>
      <c r="B29" s="96">
        <v>45876</v>
      </c>
      <c r="C29" s="97" t="s">
        <v>57</v>
      </c>
      <c r="D29" s="98">
        <f>77557+16403+38820</f>
        <v>132780</v>
      </c>
      <c r="E29" s="99">
        <v>17</v>
      </c>
      <c r="F29" s="99">
        <f t="shared" si="12"/>
        <v>7810.588235294118</v>
      </c>
      <c r="G29" s="99">
        <v>13</v>
      </c>
      <c r="H29" s="99">
        <f t="shared" si="13"/>
        <v>10213.846153846154</v>
      </c>
      <c r="I29" s="99">
        <v>55</v>
      </c>
      <c r="J29" s="98">
        <f t="shared" si="14"/>
        <v>1.3076923076923077</v>
      </c>
      <c r="K29" s="99">
        <v>77557</v>
      </c>
      <c r="L29" s="99">
        <v>16403</v>
      </c>
      <c r="M29" s="99"/>
      <c r="N29" s="100">
        <f t="shared" si="15"/>
        <v>0.23636363636363636</v>
      </c>
      <c r="O29" s="101">
        <f t="shared" si="16"/>
        <v>1.9928581475829323</v>
      </c>
      <c r="P29" s="102">
        <f t="shared" si="17"/>
        <v>66627.923397881677</v>
      </c>
      <c r="Q29" s="103">
        <f t="shared" si="18"/>
        <v>11.104653899646946</v>
      </c>
      <c r="R29" s="103">
        <f t="shared" si="19"/>
        <v>6.5321493527334979</v>
      </c>
      <c r="S29" s="102">
        <f t="shared" si="20"/>
        <v>132780</v>
      </c>
      <c r="T29" s="103">
        <f t="shared" si="21"/>
        <v>17</v>
      </c>
      <c r="U29" s="103">
        <f t="shared" si="22"/>
        <v>13</v>
      </c>
      <c r="V29" s="104">
        <v>1</v>
      </c>
      <c r="W29" s="104">
        <v>1</v>
      </c>
      <c r="X29" s="107"/>
      <c r="Y29" s="106"/>
      <c r="Z29" s="2"/>
      <c r="AA29" s="2"/>
      <c r="AB29" s="2"/>
      <c r="AC29" s="2"/>
      <c r="AD29" s="2"/>
    </row>
    <row r="30" spans="1:255">
      <c r="A30" s="95">
        <v>6</v>
      </c>
      <c r="B30" s="96">
        <v>45877</v>
      </c>
      <c r="C30" s="97" t="s">
        <v>48</v>
      </c>
      <c r="D30" s="98">
        <f>7492+38149</f>
        <v>45641</v>
      </c>
      <c r="E30" s="99">
        <v>7</v>
      </c>
      <c r="F30" s="99">
        <f t="shared" si="12"/>
        <v>6520.1428571428569</v>
      </c>
      <c r="G30" s="99">
        <v>4</v>
      </c>
      <c r="H30" s="99">
        <f t="shared" si="13"/>
        <v>11410.25</v>
      </c>
      <c r="I30" s="99">
        <v>40</v>
      </c>
      <c r="J30" s="98">
        <f t="shared" si="14"/>
        <v>1.75</v>
      </c>
      <c r="K30" s="99">
        <v>7492</v>
      </c>
      <c r="L30" s="99"/>
      <c r="M30" s="99">
        <v>13290</v>
      </c>
      <c r="N30" s="100">
        <f t="shared" si="15"/>
        <v>0.1</v>
      </c>
      <c r="O30" s="101">
        <f t="shared" si="16"/>
        <v>0.6850130946967361</v>
      </c>
      <c r="P30" s="102">
        <f t="shared" si="17"/>
        <v>66627.923397881677</v>
      </c>
      <c r="Q30" s="103">
        <f t="shared" si="18"/>
        <v>11.104653899646946</v>
      </c>
      <c r="R30" s="103">
        <f t="shared" si="19"/>
        <v>6.5321493527334979</v>
      </c>
      <c r="S30" s="102">
        <f t="shared" si="20"/>
        <v>45641</v>
      </c>
      <c r="T30" s="103">
        <f t="shared" si="21"/>
        <v>7</v>
      </c>
      <c r="U30" s="103">
        <f t="shared" si="22"/>
        <v>4</v>
      </c>
      <c r="V30" s="104">
        <v>1</v>
      </c>
      <c r="W30" s="104">
        <v>1</v>
      </c>
      <c r="X30" s="107"/>
      <c r="Y30" s="106"/>
      <c r="Z30" s="2"/>
      <c r="AA30" s="2"/>
      <c r="AB30" s="2"/>
      <c r="AC30" s="2"/>
      <c r="AD30" s="2"/>
    </row>
    <row r="31" spans="1:255">
      <c r="A31" s="95">
        <v>7</v>
      </c>
      <c r="B31" s="96">
        <v>45878</v>
      </c>
      <c r="C31" s="97" t="s">
        <v>50</v>
      </c>
      <c r="D31" s="98">
        <v>28859</v>
      </c>
      <c r="E31" s="99">
        <v>6</v>
      </c>
      <c r="F31" s="99">
        <f t="shared" si="12"/>
        <v>4809.833333333333</v>
      </c>
      <c r="G31" s="99">
        <v>4</v>
      </c>
      <c r="H31" s="99">
        <f t="shared" si="13"/>
        <v>7214.75</v>
      </c>
      <c r="I31" s="99">
        <v>30</v>
      </c>
      <c r="J31" s="98">
        <f t="shared" si="14"/>
        <v>1.5</v>
      </c>
      <c r="K31" s="99"/>
      <c r="L31" s="99"/>
      <c r="M31" s="99"/>
      <c r="N31" s="100">
        <f t="shared" si="15"/>
        <v>0.13333333333333333</v>
      </c>
      <c r="O31" s="101">
        <f t="shared" si="16"/>
        <v>0.43313671698370121</v>
      </c>
      <c r="P31" s="102">
        <f t="shared" si="17"/>
        <v>66627.923397881677</v>
      </c>
      <c r="Q31" s="103">
        <f t="shared" si="18"/>
        <v>11.104653899646946</v>
      </c>
      <c r="R31" s="103">
        <f t="shared" si="19"/>
        <v>6.5321493527334979</v>
      </c>
      <c r="S31" s="102">
        <f t="shared" si="20"/>
        <v>28859</v>
      </c>
      <c r="T31" s="103">
        <f t="shared" si="21"/>
        <v>6</v>
      </c>
      <c r="U31" s="103">
        <f t="shared" si="22"/>
        <v>4</v>
      </c>
      <c r="V31" s="104">
        <v>1</v>
      </c>
      <c r="W31" s="104">
        <v>1</v>
      </c>
      <c r="X31" s="107"/>
      <c r="Y31" s="106"/>
    </row>
    <row r="32" spans="1:255">
      <c r="A32" s="95">
        <v>8</v>
      </c>
      <c r="B32" s="96">
        <v>45879</v>
      </c>
      <c r="C32" s="97" t="s">
        <v>52</v>
      </c>
      <c r="D32" s="98">
        <v>33665</v>
      </c>
      <c r="E32" s="99">
        <v>8</v>
      </c>
      <c r="F32" s="99">
        <f t="shared" si="12"/>
        <v>4208.125</v>
      </c>
      <c r="G32" s="99">
        <v>4</v>
      </c>
      <c r="H32" s="99">
        <f t="shared" si="13"/>
        <v>8416.25</v>
      </c>
      <c r="I32" s="99">
        <v>30</v>
      </c>
      <c r="J32" s="98">
        <f t="shared" si="14"/>
        <v>2</v>
      </c>
      <c r="L32" s="99"/>
      <c r="M32" s="99"/>
      <c r="N32" s="100">
        <f t="shared" si="15"/>
        <v>0.13333333333333333</v>
      </c>
      <c r="O32" s="101">
        <f t="shared" si="16"/>
        <v>0.50526863637881769</v>
      </c>
      <c r="P32" s="102">
        <f t="shared" si="17"/>
        <v>66627.923397881677</v>
      </c>
      <c r="Q32" s="103">
        <f t="shared" si="18"/>
        <v>11.104653899646946</v>
      </c>
      <c r="R32" s="103">
        <f t="shared" si="19"/>
        <v>6.5321493527334979</v>
      </c>
      <c r="S32" s="102">
        <f t="shared" si="20"/>
        <v>33665</v>
      </c>
      <c r="T32" s="103">
        <f t="shared" si="21"/>
        <v>8</v>
      </c>
      <c r="U32" s="103">
        <f t="shared" si="22"/>
        <v>4</v>
      </c>
      <c r="V32" s="104">
        <v>1</v>
      </c>
      <c r="W32" s="104">
        <v>1</v>
      </c>
      <c r="X32" s="107"/>
      <c r="Y32" s="106"/>
    </row>
    <row r="33" spans="1:30">
      <c r="A33" s="95">
        <v>9</v>
      </c>
      <c r="B33" s="96">
        <v>45880</v>
      </c>
      <c r="C33" s="97" t="s">
        <v>53</v>
      </c>
      <c r="D33" s="98">
        <f>38721+6992</f>
        <v>45713</v>
      </c>
      <c r="E33" s="99">
        <v>11</v>
      </c>
      <c r="F33" s="99">
        <f t="shared" si="12"/>
        <v>4155.727272727273</v>
      </c>
      <c r="G33" s="99">
        <v>5</v>
      </c>
      <c r="H33" s="99">
        <f t="shared" si="13"/>
        <v>9142.6</v>
      </c>
      <c r="I33" s="99">
        <v>30</v>
      </c>
      <c r="J33" s="98">
        <f t="shared" si="14"/>
        <v>2.2000000000000002</v>
      </c>
      <c r="K33" s="99">
        <v>6992</v>
      </c>
      <c r="L33" s="99"/>
      <c r="M33" s="99"/>
      <c r="N33" s="100">
        <f t="shared" si="15"/>
        <v>0.16666666666666666</v>
      </c>
      <c r="O33" s="101">
        <f t="shared" si="16"/>
        <v>0.68609372270265545</v>
      </c>
      <c r="P33" s="102">
        <f t="shared" si="17"/>
        <v>66627.923397881677</v>
      </c>
      <c r="Q33" s="103">
        <f t="shared" si="18"/>
        <v>11.104653899646946</v>
      </c>
      <c r="R33" s="103">
        <f t="shared" si="19"/>
        <v>6.5321493527334979</v>
      </c>
      <c r="S33" s="102">
        <f t="shared" si="20"/>
        <v>45713</v>
      </c>
      <c r="T33" s="103">
        <f t="shared" si="21"/>
        <v>11</v>
      </c>
      <c r="U33" s="103">
        <f t="shared" si="22"/>
        <v>5</v>
      </c>
      <c r="V33" s="104">
        <v>1</v>
      </c>
      <c r="W33" s="104">
        <v>1</v>
      </c>
      <c r="X33" s="107"/>
      <c r="Y33" s="106"/>
      <c r="Z33" s="2"/>
      <c r="AA33" s="2"/>
      <c r="AB33" s="2"/>
      <c r="AC33" s="2"/>
      <c r="AD33" s="2"/>
    </row>
    <row r="34" spans="1:30">
      <c r="A34" s="95">
        <v>10</v>
      </c>
      <c r="B34" s="96">
        <v>45881</v>
      </c>
      <c r="C34" s="97" t="s">
        <v>55</v>
      </c>
      <c r="D34" s="98">
        <f>79259+14803</f>
        <v>94062</v>
      </c>
      <c r="E34" s="111">
        <v>19</v>
      </c>
      <c r="F34" s="99">
        <f t="shared" si="12"/>
        <v>4950.6315789473683</v>
      </c>
      <c r="G34" s="99">
        <v>11</v>
      </c>
      <c r="H34" s="99">
        <f t="shared" si="13"/>
        <v>8551.0909090909099</v>
      </c>
      <c r="I34" s="99">
        <v>55</v>
      </c>
      <c r="J34" s="98">
        <f t="shared" si="14"/>
        <v>1.7272727272727273</v>
      </c>
      <c r="K34" s="99"/>
      <c r="L34" s="99">
        <v>14803</v>
      </c>
      <c r="M34" s="99"/>
      <c r="N34" s="100">
        <f t="shared" si="15"/>
        <v>0.2</v>
      </c>
      <c r="O34" s="101">
        <f t="shared" si="16"/>
        <v>1.4117504373998027</v>
      </c>
      <c r="P34" s="102">
        <f t="shared" si="17"/>
        <v>66627.923397881677</v>
      </c>
      <c r="Q34" s="103">
        <f t="shared" si="18"/>
        <v>11.104653899646946</v>
      </c>
      <c r="R34" s="103">
        <f t="shared" si="19"/>
        <v>6.5321493527334979</v>
      </c>
      <c r="S34" s="102">
        <f t="shared" si="20"/>
        <v>94062</v>
      </c>
      <c r="T34" s="103">
        <f t="shared" si="21"/>
        <v>19</v>
      </c>
      <c r="U34" s="103">
        <f t="shared" si="22"/>
        <v>11</v>
      </c>
      <c r="V34" s="104">
        <v>1</v>
      </c>
      <c r="W34" s="104">
        <v>1</v>
      </c>
      <c r="X34" s="107"/>
      <c r="Y34" s="106"/>
      <c r="Z34" s="2"/>
      <c r="AA34" s="2"/>
      <c r="AB34" s="2"/>
      <c r="AC34" s="2"/>
      <c r="AD34" s="2"/>
    </row>
    <row r="35" spans="1:30">
      <c r="A35" s="95">
        <v>11</v>
      </c>
      <c r="B35" s="96">
        <v>45882</v>
      </c>
      <c r="C35" s="97" t="s">
        <v>56</v>
      </c>
      <c r="D35" s="98">
        <v>99166</v>
      </c>
      <c r="E35" s="97">
        <v>18</v>
      </c>
      <c r="F35" s="99">
        <f t="shared" si="12"/>
        <v>5509.2222222222226</v>
      </c>
      <c r="G35" s="99">
        <v>7</v>
      </c>
      <c r="H35" s="99">
        <f t="shared" si="13"/>
        <v>14166.571428571429</v>
      </c>
      <c r="I35" s="99">
        <v>40</v>
      </c>
      <c r="J35" s="98">
        <f t="shared" si="14"/>
        <v>2.5714285714285716</v>
      </c>
      <c r="K35" s="99">
        <v>21180</v>
      </c>
      <c r="L35" s="99">
        <v>9903</v>
      </c>
      <c r="M35" s="99"/>
      <c r="N35" s="100">
        <f t="shared" si="15"/>
        <v>0.17499999999999999</v>
      </c>
      <c r="O35" s="101">
        <f t="shared" si="16"/>
        <v>1.4883549560416409</v>
      </c>
      <c r="P35" s="102">
        <f t="shared" si="17"/>
        <v>66627.923397881677</v>
      </c>
      <c r="Q35" s="103">
        <f t="shared" si="18"/>
        <v>11.104653899646946</v>
      </c>
      <c r="R35" s="103">
        <f t="shared" si="19"/>
        <v>6.5321493527334979</v>
      </c>
      <c r="S35" s="102">
        <f t="shared" si="20"/>
        <v>99166</v>
      </c>
      <c r="T35" s="103">
        <f>IF(W35&lt;&gt;"",IF(E34&lt;&gt;"",E34,($I$9-SUM($T$25:T34))*V35*W35/SUMPRODUCT($W35:$W$55,$V35:$V$55)),"")</f>
        <v>19</v>
      </c>
      <c r="U35" s="103">
        <f t="shared" si="22"/>
        <v>7</v>
      </c>
      <c r="V35" s="104">
        <v>1</v>
      </c>
      <c r="W35" s="104">
        <v>1</v>
      </c>
      <c r="X35" s="107"/>
      <c r="Y35" s="106"/>
      <c r="Z35" s="2"/>
      <c r="AA35" s="2"/>
      <c r="AB35" s="2"/>
      <c r="AC35" s="2"/>
      <c r="AD35" s="2"/>
    </row>
    <row r="36" spans="1:30" ht="15.25" customHeight="1">
      <c r="A36" s="95">
        <v>12</v>
      </c>
      <c r="B36" s="96">
        <v>45884</v>
      </c>
      <c r="C36" s="97" t="s">
        <v>48</v>
      </c>
      <c r="D36" s="98">
        <f>39885+19598</f>
        <v>59483</v>
      </c>
      <c r="E36" s="99">
        <v>8</v>
      </c>
      <c r="F36" s="99">
        <v>7435</v>
      </c>
      <c r="G36" s="99">
        <v>5</v>
      </c>
      <c r="H36" s="99">
        <f t="shared" si="13"/>
        <v>11896.6</v>
      </c>
      <c r="I36" s="99">
        <v>50</v>
      </c>
      <c r="J36" s="98">
        <f t="shared" si="14"/>
        <v>1.6</v>
      </c>
      <c r="K36" s="99">
        <v>19598</v>
      </c>
      <c r="L36" s="99"/>
      <c r="M36" s="99"/>
      <c r="N36" s="100">
        <f t="shared" si="15"/>
        <v>0.1</v>
      </c>
      <c r="O36" s="101">
        <f t="shared" si="16"/>
        <v>0.89276382883473093</v>
      </c>
      <c r="P36" s="102">
        <f t="shared" si="17"/>
        <v>66627.923397881677</v>
      </c>
      <c r="Q36" s="103">
        <f t="shared" si="18"/>
        <v>11.104653899646946</v>
      </c>
      <c r="R36" s="103">
        <f t="shared" si="19"/>
        <v>6.5321493527334979</v>
      </c>
      <c r="S36" s="102">
        <f t="shared" si="20"/>
        <v>59483</v>
      </c>
      <c r="T36" s="103">
        <f t="shared" ref="T36:T53" si="23">IF(W36&lt;&gt;"",IF(E36&lt;&gt;"",E36,($I$9-SUM($T$25:T35))*V36*W36/SUMPRODUCT($W36:$W$55,$V36:$V$55)),"")</f>
        <v>8</v>
      </c>
      <c r="U36" s="103">
        <f t="shared" si="22"/>
        <v>5</v>
      </c>
      <c r="V36" s="104">
        <v>1</v>
      </c>
      <c r="W36" s="104">
        <v>1</v>
      </c>
      <c r="X36" s="107"/>
      <c r="Y36" s="106"/>
      <c r="Z36" s="2"/>
      <c r="AA36" s="2"/>
      <c r="AB36" s="2"/>
      <c r="AC36" s="2"/>
      <c r="AD36" s="2"/>
    </row>
    <row r="37" spans="1:30">
      <c r="A37" s="95">
        <v>13</v>
      </c>
      <c r="B37" s="96">
        <v>45885</v>
      </c>
      <c r="C37" s="97" t="s">
        <v>50</v>
      </c>
      <c r="D37" s="98">
        <v>74558</v>
      </c>
      <c r="E37" s="99">
        <v>15</v>
      </c>
      <c r="F37" s="99">
        <f t="shared" si="12"/>
        <v>4970.5333333333338</v>
      </c>
      <c r="G37" s="99">
        <v>6</v>
      </c>
      <c r="H37" s="99">
        <f t="shared" si="13"/>
        <v>12426.333333333334</v>
      </c>
      <c r="I37" s="99">
        <v>30</v>
      </c>
      <c r="J37" s="98">
        <f t="shared" si="14"/>
        <v>2.5</v>
      </c>
      <c r="K37" s="99"/>
      <c r="L37" s="99"/>
      <c r="M37" s="99"/>
      <c r="N37" s="100">
        <f t="shared" si="15"/>
        <v>0.2</v>
      </c>
      <c r="O37" s="101">
        <f t="shared" si="16"/>
        <v>1.1190203175740945</v>
      </c>
      <c r="P37" s="102">
        <f t="shared" si="17"/>
        <v>66627.923397881677</v>
      </c>
      <c r="Q37" s="103">
        <f t="shared" si="18"/>
        <v>11.104653899646946</v>
      </c>
      <c r="R37" s="103">
        <f t="shared" si="19"/>
        <v>6.5321493527334979</v>
      </c>
      <c r="S37" s="102">
        <f t="shared" si="20"/>
        <v>74558</v>
      </c>
      <c r="T37" s="103">
        <f t="shared" si="23"/>
        <v>15</v>
      </c>
      <c r="U37" s="103">
        <f t="shared" si="22"/>
        <v>6</v>
      </c>
      <c r="V37" s="104">
        <v>1</v>
      </c>
      <c r="W37" s="104">
        <v>1</v>
      </c>
      <c r="X37" s="107"/>
      <c r="Y37" s="106"/>
      <c r="Z37" s="2"/>
      <c r="AA37" s="2"/>
      <c r="AB37" s="2"/>
      <c r="AC37" s="2"/>
      <c r="AD37" s="2"/>
    </row>
    <row r="38" spans="1:30">
      <c r="A38" s="95">
        <v>14</v>
      </c>
      <c r="B38" s="96">
        <v>45886</v>
      </c>
      <c r="C38" s="97" t="s">
        <v>52</v>
      </c>
      <c r="D38" s="98">
        <v>21063</v>
      </c>
      <c r="E38" s="99">
        <v>5</v>
      </c>
      <c r="F38" s="99">
        <f t="shared" si="12"/>
        <v>4212.6000000000004</v>
      </c>
      <c r="G38" s="99">
        <v>4</v>
      </c>
      <c r="H38" s="99">
        <f t="shared" si="13"/>
        <v>5265.75</v>
      </c>
      <c r="I38" s="99">
        <v>35</v>
      </c>
      <c r="J38" s="98">
        <f t="shared" si="14"/>
        <v>1.25</v>
      </c>
      <c r="K38" s="99"/>
      <c r="L38" s="99"/>
      <c r="M38" s="99"/>
      <c r="N38" s="100">
        <f t="shared" si="15"/>
        <v>0.11428571428571428</v>
      </c>
      <c r="O38" s="101">
        <f t="shared" si="16"/>
        <v>0.31612871789832281</v>
      </c>
      <c r="P38" s="102">
        <f t="shared" si="17"/>
        <v>66627.923397881677</v>
      </c>
      <c r="Q38" s="103">
        <f t="shared" si="18"/>
        <v>11.104653899646946</v>
      </c>
      <c r="R38" s="103">
        <f t="shared" si="19"/>
        <v>6.5321493527334979</v>
      </c>
      <c r="S38" s="102">
        <f t="shared" si="20"/>
        <v>21063</v>
      </c>
      <c r="T38" s="103">
        <f t="shared" si="23"/>
        <v>5</v>
      </c>
      <c r="U38" s="103">
        <f t="shared" si="22"/>
        <v>4</v>
      </c>
      <c r="V38" s="104">
        <v>1</v>
      </c>
      <c r="W38" s="104">
        <v>1</v>
      </c>
      <c r="X38" s="107"/>
      <c r="Y38" s="106"/>
      <c r="Z38" s="2"/>
      <c r="AA38" s="2"/>
      <c r="AB38" s="2"/>
      <c r="AC38" s="2"/>
      <c r="AD38" s="2"/>
    </row>
    <row r="39" spans="1:30">
      <c r="A39" s="95">
        <v>15</v>
      </c>
      <c r="B39" s="96">
        <v>45887</v>
      </c>
      <c r="C39" s="97" t="s">
        <v>53</v>
      </c>
      <c r="D39" s="98">
        <f>21304+39632</f>
        <v>60936</v>
      </c>
      <c r="E39" s="108">
        <v>10</v>
      </c>
      <c r="F39" s="99">
        <f t="shared" si="12"/>
        <v>6093.6</v>
      </c>
      <c r="G39" s="108">
        <v>6</v>
      </c>
      <c r="H39" s="99">
        <f t="shared" si="13"/>
        <v>10156</v>
      </c>
      <c r="I39" s="108">
        <v>40</v>
      </c>
      <c r="J39" s="98">
        <f t="shared" si="14"/>
        <v>1.6666666666666667</v>
      </c>
      <c r="K39" s="99"/>
      <c r="L39" s="99">
        <v>21304</v>
      </c>
      <c r="M39" s="108"/>
      <c r="N39" s="100">
        <f t="shared" si="15"/>
        <v>0.15</v>
      </c>
      <c r="O39" s="101">
        <f t="shared" si="16"/>
        <v>0.91457150234307549</v>
      </c>
      <c r="P39" s="102">
        <f t="shared" si="17"/>
        <v>66627.923397881677</v>
      </c>
      <c r="Q39" s="103">
        <f t="shared" si="18"/>
        <v>11.104653899646946</v>
      </c>
      <c r="R39" s="103">
        <f t="shared" si="19"/>
        <v>6.5321493527334979</v>
      </c>
      <c r="S39" s="102">
        <f t="shared" si="20"/>
        <v>60936</v>
      </c>
      <c r="T39" s="103">
        <f t="shared" si="23"/>
        <v>10</v>
      </c>
      <c r="U39" s="103">
        <f t="shared" si="22"/>
        <v>6</v>
      </c>
      <c r="V39" s="104">
        <v>1</v>
      </c>
      <c r="W39" s="104">
        <v>1</v>
      </c>
      <c r="X39" s="107"/>
      <c r="Y39" s="106"/>
      <c r="Z39" s="2"/>
      <c r="AA39" s="2"/>
      <c r="AB39" s="2"/>
      <c r="AC39" s="2"/>
      <c r="AD39" s="2"/>
    </row>
    <row r="40" spans="1:30">
      <c r="A40" s="95">
        <v>16</v>
      </c>
      <c r="B40" s="96">
        <v>45888</v>
      </c>
      <c r="C40" s="97" t="s">
        <v>55</v>
      </c>
      <c r="D40" s="98">
        <f>41975+2203+69525</f>
        <v>113703</v>
      </c>
      <c r="E40" s="99">
        <v>18</v>
      </c>
      <c r="F40" s="99">
        <f t="shared" si="12"/>
        <v>6316.833333333333</v>
      </c>
      <c r="G40" s="99">
        <v>11</v>
      </c>
      <c r="H40" s="99">
        <f t="shared" si="13"/>
        <v>10336.636363636364</v>
      </c>
      <c r="I40" s="99">
        <v>75</v>
      </c>
      <c r="J40" s="98">
        <f t="shared" si="14"/>
        <v>1.6363636363636365</v>
      </c>
      <c r="K40" s="99">
        <v>41975</v>
      </c>
      <c r="L40" s="99">
        <v>2203</v>
      </c>
      <c r="M40" s="99"/>
      <c r="N40" s="226">
        <f t="shared" si="15"/>
        <v>0.14666666666666667</v>
      </c>
      <c r="O40" s="101">
        <f t="shared" si="16"/>
        <v>1.7065367521812183</v>
      </c>
      <c r="P40" s="102">
        <f t="shared" si="17"/>
        <v>66627.923397881677</v>
      </c>
      <c r="Q40" s="103">
        <f t="shared" si="18"/>
        <v>11.104653899646946</v>
      </c>
      <c r="R40" s="103">
        <f t="shared" si="19"/>
        <v>6.5321493527334979</v>
      </c>
      <c r="S40" s="102">
        <f t="shared" si="20"/>
        <v>113703</v>
      </c>
      <c r="T40" s="103">
        <f t="shared" si="23"/>
        <v>18</v>
      </c>
      <c r="U40" s="103">
        <f t="shared" si="22"/>
        <v>11</v>
      </c>
      <c r="V40" s="104">
        <v>1</v>
      </c>
      <c r="W40" s="104">
        <v>1</v>
      </c>
      <c r="X40" s="107"/>
      <c r="Y40" s="106"/>
      <c r="Z40" s="2"/>
      <c r="AA40" s="2"/>
      <c r="AB40" s="2"/>
      <c r="AC40" s="2"/>
      <c r="AD40" s="2"/>
    </row>
    <row r="41" spans="1:30">
      <c r="A41" s="95">
        <v>17</v>
      </c>
      <c r="B41" s="96">
        <v>45889</v>
      </c>
      <c r="C41" s="97" t="s">
        <v>56</v>
      </c>
      <c r="D41" s="98">
        <f>9990+15103+26550</f>
        <v>51643</v>
      </c>
      <c r="E41" s="99">
        <v>9</v>
      </c>
      <c r="F41" s="99">
        <f t="shared" si="12"/>
        <v>5738.1111111111113</v>
      </c>
      <c r="G41" s="99">
        <v>6</v>
      </c>
      <c r="H41" s="99">
        <f t="shared" si="13"/>
        <v>8607.1666666666661</v>
      </c>
      <c r="I41" s="99">
        <v>49</v>
      </c>
      <c r="J41" s="98">
        <f t="shared" si="14"/>
        <v>1.5</v>
      </c>
      <c r="K41" s="99">
        <v>9990</v>
      </c>
      <c r="L41" s="99">
        <v>15103</v>
      </c>
      <c r="M41" s="99"/>
      <c r="N41" s="100">
        <f t="shared" si="15"/>
        <v>0.12244897959183673</v>
      </c>
      <c r="O41" s="101">
        <f t="shared" si="16"/>
        <v>0.77509544596795732</v>
      </c>
      <c r="P41" s="102">
        <f t="shared" si="17"/>
        <v>66627.923397881677</v>
      </c>
      <c r="Q41" s="103">
        <f t="shared" si="18"/>
        <v>11.104653899646946</v>
      </c>
      <c r="R41" s="103">
        <f t="shared" si="19"/>
        <v>6.5321493527334979</v>
      </c>
      <c r="S41" s="102">
        <f t="shared" si="20"/>
        <v>51643</v>
      </c>
      <c r="T41" s="103">
        <f t="shared" si="23"/>
        <v>9</v>
      </c>
      <c r="U41" s="103">
        <f t="shared" si="22"/>
        <v>6</v>
      </c>
      <c r="V41" s="104">
        <v>1</v>
      </c>
      <c r="W41" s="104">
        <v>1</v>
      </c>
      <c r="X41" s="107"/>
      <c r="Y41" s="106"/>
      <c r="Z41" s="2"/>
      <c r="AA41" s="2"/>
      <c r="AB41" s="2"/>
      <c r="AC41" s="2"/>
      <c r="AD41" s="2"/>
    </row>
    <row r="42" spans="1:30">
      <c r="A42" s="95">
        <v>18</v>
      </c>
      <c r="B42" s="96">
        <v>45891</v>
      </c>
      <c r="C42" s="97" t="s">
        <v>48</v>
      </c>
      <c r="D42" s="98">
        <f>14990+87860</f>
        <v>102850</v>
      </c>
      <c r="E42" s="99">
        <v>17</v>
      </c>
      <c r="F42" s="99">
        <f t="shared" si="12"/>
        <v>6050</v>
      </c>
      <c r="G42" s="99">
        <v>3</v>
      </c>
      <c r="H42" s="99">
        <f t="shared" si="13"/>
        <v>34283.333333333336</v>
      </c>
      <c r="I42" s="99">
        <v>32</v>
      </c>
      <c r="J42" s="98">
        <f t="shared" si="14"/>
        <v>5.666666666666667</v>
      </c>
      <c r="K42" s="99">
        <v>14990</v>
      </c>
      <c r="L42" s="99"/>
      <c r="M42" s="99"/>
      <c r="N42" s="100">
        <f t="shared" si="15"/>
        <v>9.375E-2</v>
      </c>
      <c r="O42" s="101">
        <f t="shared" si="16"/>
        <v>1.5436470890111809</v>
      </c>
      <c r="P42" s="102">
        <f t="shared" si="17"/>
        <v>66627.923397881677</v>
      </c>
      <c r="Q42" s="103">
        <f t="shared" si="18"/>
        <v>11.104653899646946</v>
      </c>
      <c r="R42" s="103">
        <f t="shared" si="19"/>
        <v>6.5321493527334979</v>
      </c>
      <c r="S42" s="102">
        <f t="shared" si="20"/>
        <v>102850</v>
      </c>
      <c r="T42" s="103">
        <f t="shared" si="23"/>
        <v>17</v>
      </c>
      <c r="U42" s="103">
        <f t="shared" si="22"/>
        <v>3</v>
      </c>
      <c r="V42" s="104">
        <v>1</v>
      </c>
      <c r="W42" s="104">
        <v>1</v>
      </c>
      <c r="X42" s="107"/>
      <c r="Y42" s="106"/>
      <c r="Z42" s="112"/>
      <c r="AA42" s="2"/>
      <c r="AB42" s="2"/>
      <c r="AC42" s="2"/>
      <c r="AD42" s="2"/>
    </row>
    <row r="43" spans="1:30">
      <c r="A43" s="95">
        <v>19</v>
      </c>
      <c r="B43" s="96">
        <v>45892</v>
      </c>
      <c r="C43" s="97" t="s">
        <v>50</v>
      </c>
      <c r="D43" s="98">
        <f>13992+37729</f>
        <v>51721</v>
      </c>
      <c r="E43" s="99">
        <v>8</v>
      </c>
      <c r="F43" s="99">
        <f t="shared" si="12"/>
        <v>6465.125</v>
      </c>
      <c r="G43" s="99">
        <v>5</v>
      </c>
      <c r="H43" s="99">
        <f t="shared" si="13"/>
        <v>10344.200000000001</v>
      </c>
      <c r="I43" s="99">
        <v>51</v>
      </c>
      <c r="J43" s="98">
        <f t="shared" si="14"/>
        <v>1.6</v>
      </c>
      <c r="K43" s="99">
        <v>13992</v>
      </c>
      <c r="L43" s="99"/>
      <c r="M43" s="99"/>
      <c r="N43" s="100">
        <f t="shared" si="15"/>
        <v>9.8039215686274508E-2</v>
      </c>
      <c r="O43" s="101">
        <f t="shared" si="16"/>
        <v>0.77626612630770331</v>
      </c>
      <c r="P43" s="102">
        <f t="shared" si="17"/>
        <v>66627.923397881677</v>
      </c>
      <c r="Q43" s="103">
        <f t="shared" si="18"/>
        <v>11.104653899646946</v>
      </c>
      <c r="R43" s="103">
        <f t="shared" si="19"/>
        <v>6.5321493527334979</v>
      </c>
      <c r="S43" s="102">
        <f t="shared" si="20"/>
        <v>51721</v>
      </c>
      <c r="T43" s="103">
        <f t="shared" si="23"/>
        <v>8</v>
      </c>
      <c r="U43" s="103">
        <f t="shared" si="22"/>
        <v>5</v>
      </c>
      <c r="V43" s="104">
        <v>1</v>
      </c>
      <c r="W43" s="104">
        <v>1</v>
      </c>
      <c r="X43" s="107"/>
      <c r="Y43" s="106"/>
      <c r="Z43" s="112"/>
      <c r="AA43" s="2"/>
      <c r="AB43" s="2"/>
      <c r="AC43" s="2"/>
      <c r="AD43" s="2"/>
    </row>
    <row r="44" spans="1:30">
      <c r="A44" s="95">
        <v>20</v>
      </c>
      <c r="B44" s="96">
        <v>45893</v>
      </c>
      <c r="C44" s="97" t="s">
        <v>52</v>
      </c>
      <c r="D44" s="98">
        <f>7903+22980+2794</f>
        <v>33677</v>
      </c>
      <c r="E44" s="99">
        <v>4</v>
      </c>
      <c r="F44" s="99">
        <f t="shared" si="12"/>
        <v>8419.25</v>
      </c>
      <c r="G44" s="99">
        <v>2</v>
      </c>
      <c r="H44" s="99">
        <f t="shared" si="13"/>
        <v>16838.5</v>
      </c>
      <c r="I44" s="99">
        <v>35</v>
      </c>
      <c r="J44" s="98">
        <f t="shared" si="14"/>
        <v>2</v>
      </c>
      <c r="K44" s="99">
        <v>22980</v>
      </c>
      <c r="L44" s="99">
        <v>7903</v>
      </c>
      <c r="M44" s="99"/>
      <c r="N44" s="100">
        <f t="shared" si="15"/>
        <v>5.7142857142857141E-2</v>
      </c>
      <c r="O44" s="101">
        <f t="shared" si="16"/>
        <v>0.50544874104647097</v>
      </c>
      <c r="P44" s="102">
        <f t="shared" si="17"/>
        <v>66627.923397881677</v>
      </c>
      <c r="Q44" s="103">
        <f t="shared" si="18"/>
        <v>11.104653899646946</v>
      </c>
      <c r="R44" s="103">
        <f t="shared" si="19"/>
        <v>6.5321493527334979</v>
      </c>
      <c r="S44" s="102">
        <f t="shared" si="20"/>
        <v>33677</v>
      </c>
      <c r="T44" s="103">
        <f t="shared" si="23"/>
        <v>4</v>
      </c>
      <c r="U44" s="103">
        <f t="shared" si="22"/>
        <v>2</v>
      </c>
      <c r="V44" s="104">
        <v>1</v>
      </c>
      <c r="W44" s="104">
        <v>1</v>
      </c>
      <c r="X44" s="107"/>
      <c r="Y44" s="106"/>
      <c r="Z44" s="112"/>
      <c r="AA44" s="2"/>
      <c r="AB44" s="2"/>
      <c r="AC44" s="2"/>
      <c r="AD44" s="2"/>
    </row>
    <row r="45" spans="1:30">
      <c r="A45" s="95">
        <v>21</v>
      </c>
      <c r="B45" s="96">
        <v>45894</v>
      </c>
      <c r="C45" s="97" t="s">
        <v>53</v>
      </c>
      <c r="D45" s="98">
        <f>16992+6003+20980+24262</f>
        <v>68237</v>
      </c>
      <c r="E45" s="99">
        <v>10</v>
      </c>
      <c r="F45" s="99">
        <f t="shared" si="12"/>
        <v>6823.7</v>
      </c>
      <c r="G45" s="99">
        <v>7</v>
      </c>
      <c r="H45" s="99">
        <f t="shared" si="13"/>
        <v>9748.1428571428569</v>
      </c>
      <c r="I45" s="99">
        <v>39</v>
      </c>
      <c r="J45" s="98">
        <f t="shared" si="14"/>
        <v>1.4285714285714286</v>
      </c>
      <c r="K45" s="99">
        <v>16992</v>
      </c>
      <c r="L45" s="99">
        <v>6003</v>
      </c>
      <c r="M45" s="99">
        <v>20980</v>
      </c>
      <c r="N45" s="100">
        <f t="shared" si="15"/>
        <v>0.17948717948717949</v>
      </c>
      <c r="O45" s="101">
        <f t="shared" si="16"/>
        <v>1.0241501838877585</v>
      </c>
      <c r="P45" s="102">
        <f t="shared" si="17"/>
        <v>66627.923397881677</v>
      </c>
      <c r="Q45" s="103">
        <f t="shared" si="18"/>
        <v>11.104653899646946</v>
      </c>
      <c r="R45" s="103">
        <f t="shared" si="19"/>
        <v>6.5321493527334979</v>
      </c>
      <c r="S45" s="102">
        <f t="shared" si="20"/>
        <v>68237</v>
      </c>
      <c r="T45" s="103">
        <f t="shared" si="23"/>
        <v>10</v>
      </c>
      <c r="U45" s="103">
        <f t="shared" si="22"/>
        <v>7</v>
      </c>
      <c r="V45" s="104">
        <v>1</v>
      </c>
      <c r="W45" s="104">
        <v>1</v>
      </c>
      <c r="X45" s="107"/>
      <c r="Y45" s="106"/>
      <c r="Z45" s="112"/>
    </row>
    <row r="46" spans="1:30">
      <c r="A46" s="95">
        <v>22</v>
      </c>
      <c r="B46" s="96">
        <v>45895</v>
      </c>
      <c r="C46" s="97" t="s">
        <v>55</v>
      </c>
      <c r="D46" s="98">
        <v>32441</v>
      </c>
      <c r="E46" s="99">
        <v>7</v>
      </c>
      <c r="F46" s="99">
        <f t="shared" si="12"/>
        <v>4634.4285714285716</v>
      </c>
      <c r="G46" s="99">
        <v>4</v>
      </c>
      <c r="H46" s="99">
        <f t="shared" si="13"/>
        <v>8110.25</v>
      </c>
      <c r="I46" s="99">
        <v>40</v>
      </c>
      <c r="J46" s="98">
        <f t="shared" si="14"/>
        <v>1.75</v>
      </c>
      <c r="K46" s="99"/>
      <c r="L46" s="99"/>
      <c r="M46" s="99"/>
      <c r="N46" s="100">
        <f t="shared" si="15"/>
        <v>0.1</v>
      </c>
      <c r="O46" s="101">
        <f t="shared" si="16"/>
        <v>0.48689796027818882</v>
      </c>
      <c r="P46" s="102">
        <f t="shared" si="17"/>
        <v>66627.923397881677</v>
      </c>
      <c r="Q46" s="103">
        <f t="shared" si="18"/>
        <v>11.104653899646946</v>
      </c>
      <c r="R46" s="103">
        <f t="shared" si="19"/>
        <v>6.5321493527334979</v>
      </c>
      <c r="S46" s="102">
        <f t="shared" si="20"/>
        <v>32441</v>
      </c>
      <c r="T46" s="103">
        <f t="shared" si="23"/>
        <v>7</v>
      </c>
      <c r="U46" s="103">
        <f t="shared" si="22"/>
        <v>4</v>
      </c>
      <c r="V46" s="104">
        <v>1</v>
      </c>
      <c r="W46" s="104">
        <v>1</v>
      </c>
      <c r="X46" s="107"/>
      <c r="Y46" s="106"/>
      <c r="Z46" s="112"/>
      <c r="AA46" s="2"/>
      <c r="AB46" s="2"/>
      <c r="AC46" s="2"/>
      <c r="AD46" s="2"/>
    </row>
    <row r="47" spans="1:30">
      <c r="A47" s="95">
        <v>23</v>
      </c>
      <c r="B47" s="96">
        <v>45897</v>
      </c>
      <c r="C47" s="97" t="s">
        <v>57</v>
      </c>
      <c r="D47" s="98">
        <f>33050+L47</f>
        <v>35253</v>
      </c>
      <c r="E47" s="99">
        <v>7</v>
      </c>
      <c r="F47" s="99">
        <f t="shared" si="12"/>
        <v>5036.1428571428569</v>
      </c>
      <c r="G47" s="99">
        <v>5</v>
      </c>
      <c r="H47" s="99">
        <f t="shared" si="13"/>
        <v>7050.6</v>
      </c>
      <c r="I47" s="99">
        <v>29</v>
      </c>
      <c r="J47" s="98">
        <f t="shared" si="14"/>
        <v>1.4</v>
      </c>
      <c r="K47" s="99">
        <v>7490</v>
      </c>
      <c r="L47" s="99">
        <v>2203</v>
      </c>
      <c r="M47" s="99">
        <v>8892</v>
      </c>
      <c r="N47" s="100">
        <f t="shared" si="15"/>
        <v>0.17241379310344829</v>
      </c>
      <c r="O47" s="101">
        <f t="shared" si="16"/>
        <v>0.52910248739826116</v>
      </c>
      <c r="P47" s="102">
        <f t="shared" si="17"/>
        <v>66627.923397881677</v>
      </c>
      <c r="Q47" s="103">
        <f t="shared" si="18"/>
        <v>11.104653899646946</v>
      </c>
      <c r="R47" s="103">
        <f t="shared" si="19"/>
        <v>6.5321493527334979</v>
      </c>
      <c r="S47" s="102">
        <f t="shared" si="20"/>
        <v>35253</v>
      </c>
      <c r="T47" s="103">
        <f t="shared" si="23"/>
        <v>7</v>
      </c>
      <c r="U47" s="103">
        <f t="shared" si="22"/>
        <v>5</v>
      </c>
      <c r="V47" s="104">
        <v>1</v>
      </c>
      <c r="W47" s="104">
        <v>1</v>
      </c>
      <c r="X47" s="107"/>
      <c r="Y47" s="106"/>
      <c r="Z47" s="112"/>
      <c r="AA47" s="2"/>
      <c r="AB47" s="2"/>
      <c r="AC47" s="2"/>
      <c r="AD47" s="2"/>
    </row>
    <row r="48" spans="1:30">
      <c r="A48" s="95">
        <v>24</v>
      </c>
      <c r="B48" s="96">
        <v>45898</v>
      </c>
      <c r="C48" s="97" t="s">
        <v>48</v>
      </c>
      <c r="D48" s="98">
        <f>9903+39919</f>
        <v>49822</v>
      </c>
      <c r="E48" s="99">
        <v>9</v>
      </c>
      <c r="F48" s="99">
        <f t="shared" si="12"/>
        <v>5535.7777777777774</v>
      </c>
      <c r="G48" s="99">
        <v>4</v>
      </c>
      <c r="H48" s="99">
        <f t="shared" si="13"/>
        <v>12455.5</v>
      </c>
      <c r="I48" s="99">
        <v>28</v>
      </c>
      <c r="J48" s="98">
        <f t="shared" si="14"/>
        <v>2.25</v>
      </c>
      <c r="K48" s="99"/>
      <c r="L48" s="99">
        <v>9903</v>
      </c>
      <c r="M48" s="99"/>
      <c r="N48" s="100">
        <f t="shared" si="15"/>
        <v>0.14285714285714285</v>
      </c>
      <c r="O48" s="101">
        <f t="shared" si="16"/>
        <v>0.74776456265158053</v>
      </c>
      <c r="P48" s="102">
        <f t="shared" si="17"/>
        <v>66627.923397881677</v>
      </c>
      <c r="Q48" s="103">
        <f t="shared" si="18"/>
        <v>11.104653899646946</v>
      </c>
      <c r="R48" s="103">
        <f t="shared" si="19"/>
        <v>6.5321493527334979</v>
      </c>
      <c r="S48" s="102">
        <f t="shared" si="20"/>
        <v>49822</v>
      </c>
      <c r="T48" s="103">
        <f t="shared" si="23"/>
        <v>9</v>
      </c>
      <c r="U48" s="103">
        <f t="shared" si="22"/>
        <v>4</v>
      </c>
      <c r="V48" s="104">
        <v>1</v>
      </c>
      <c r="W48" s="104">
        <v>1</v>
      </c>
      <c r="X48" s="107"/>
      <c r="Y48" s="106"/>
      <c r="Z48" s="112"/>
      <c r="AA48" s="2"/>
      <c r="AB48" s="2"/>
      <c r="AC48" s="2"/>
      <c r="AD48" s="2"/>
    </row>
    <row r="49" spans="1:30">
      <c r="A49" s="95">
        <v>25</v>
      </c>
      <c r="B49" s="96">
        <v>45899</v>
      </c>
      <c r="C49" s="97" t="s">
        <v>50</v>
      </c>
      <c r="D49" s="98">
        <f>23206+15317</f>
        <v>38523</v>
      </c>
      <c r="E49" s="99">
        <v>7</v>
      </c>
      <c r="F49" s="99">
        <f t="shared" si="12"/>
        <v>5503.2857142857147</v>
      </c>
      <c r="G49" s="99">
        <v>4</v>
      </c>
      <c r="H49" s="99">
        <f t="shared" si="13"/>
        <v>9630.75</v>
      </c>
      <c r="I49" s="99">
        <v>22</v>
      </c>
      <c r="J49" s="98">
        <f t="shared" si="14"/>
        <v>1.75</v>
      </c>
      <c r="K49" s="99"/>
      <c r="L49" s="99">
        <v>23206</v>
      </c>
      <c r="M49" s="99"/>
      <c r="N49" s="100">
        <f t="shared" si="15"/>
        <v>0.18181818181818182</v>
      </c>
      <c r="O49" s="101">
        <f t="shared" si="16"/>
        <v>0.57818100933376493</v>
      </c>
      <c r="P49" s="102">
        <f t="shared" si="17"/>
        <v>66627.923397881677</v>
      </c>
      <c r="Q49" s="103">
        <f t="shared" si="18"/>
        <v>11.104653899646946</v>
      </c>
      <c r="R49" s="103">
        <f t="shared" si="19"/>
        <v>6.5321493527334979</v>
      </c>
      <c r="S49" s="102">
        <f t="shared" si="20"/>
        <v>38523</v>
      </c>
      <c r="T49" s="103">
        <f t="shared" si="23"/>
        <v>7</v>
      </c>
      <c r="U49" s="103">
        <f t="shared" si="22"/>
        <v>4</v>
      </c>
      <c r="V49" s="104">
        <v>1</v>
      </c>
      <c r="W49" s="104">
        <v>1</v>
      </c>
      <c r="X49" s="107"/>
      <c r="Y49" s="106"/>
      <c r="Z49" s="112"/>
      <c r="AA49" s="2"/>
      <c r="AB49" s="2"/>
      <c r="AC49" s="2"/>
      <c r="AD49" s="2"/>
    </row>
    <row r="50" spans="1:30">
      <c r="A50" s="95">
        <v>26</v>
      </c>
      <c r="B50" s="96">
        <v>45900</v>
      </c>
      <c r="C50" s="97" t="s">
        <v>52</v>
      </c>
      <c r="D50" s="98">
        <f>14790+15796</f>
        <v>30586</v>
      </c>
      <c r="E50" s="99">
        <v>6</v>
      </c>
      <c r="F50" s="99">
        <f t="shared" si="12"/>
        <v>5097.666666666667</v>
      </c>
      <c r="G50" s="99">
        <v>4</v>
      </c>
      <c r="H50" s="99">
        <f t="shared" si="13"/>
        <v>7646.5</v>
      </c>
      <c r="I50" s="99">
        <v>38</v>
      </c>
      <c r="J50" s="98">
        <f t="shared" si="14"/>
        <v>1.5</v>
      </c>
      <c r="K50" s="99"/>
      <c r="L50" s="99"/>
      <c r="M50" s="99">
        <v>14790</v>
      </c>
      <c r="N50" s="100">
        <f t="shared" si="15"/>
        <v>0.10526315789473684</v>
      </c>
      <c r="O50" s="101">
        <f t="shared" si="16"/>
        <v>0.45905678040346115</v>
      </c>
      <c r="P50" s="102">
        <f t="shared" si="17"/>
        <v>66627.923397881677</v>
      </c>
      <c r="Q50" s="103">
        <f t="shared" si="18"/>
        <v>11.104653899646946</v>
      </c>
      <c r="R50" s="103">
        <f t="shared" si="19"/>
        <v>6.5321493527334979</v>
      </c>
      <c r="S50" s="102">
        <f t="shared" si="20"/>
        <v>30586</v>
      </c>
      <c r="T50" s="103">
        <f t="shared" si="23"/>
        <v>6</v>
      </c>
      <c r="U50" s="103">
        <f t="shared" si="22"/>
        <v>4</v>
      </c>
      <c r="V50" s="104">
        <v>1</v>
      </c>
      <c r="W50" s="104">
        <v>1</v>
      </c>
      <c r="X50" s="107"/>
      <c r="Y50" s="106"/>
      <c r="Z50" s="112"/>
      <c r="AA50" s="2"/>
      <c r="AB50" s="2"/>
      <c r="AC50" s="2"/>
      <c r="AD50" s="2"/>
    </row>
    <row r="51" spans="1:30">
      <c r="A51" s="95"/>
      <c r="B51" s="96">
        <v>45870</v>
      </c>
      <c r="C51" s="97" t="s">
        <v>48</v>
      </c>
      <c r="D51" s="98">
        <v>3413.7</v>
      </c>
      <c r="E51" s="99">
        <v>1</v>
      </c>
      <c r="F51" s="99">
        <f t="shared" si="12"/>
        <v>3413.7</v>
      </c>
      <c r="G51" s="99">
        <v>1</v>
      </c>
      <c r="H51" s="99">
        <f t="shared" si="13"/>
        <v>3413.7</v>
      </c>
      <c r="I51" s="99"/>
      <c r="J51" s="98">
        <f t="shared" si="14"/>
        <v>1</v>
      </c>
      <c r="K51" s="99"/>
      <c r="L51" s="99"/>
      <c r="M51" s="99"/>
      <c r="N51" s="100" t="str">
        <f t="shared" si="15"/>
        <v/>
      </c>
      <c r="O51" s="101" t="e">
        <f t="shared" si="16"/>
        <v>#DIV/0!</v>
      </c>
      <c r="P51" s="102">
        <f t="shared" si="17"/>
        <v>0</v>
      </c>
      <c r="Q51" s="103">
        <f t="shared" si="18"/>
        <v>0</v>
      </c>
      <c r="R51" s="103">
        <f t="shared" si="19"/>
        <v>0</v>
      </c>
      <c r="S51" s="102" t="str">
        <f t="shared" si="20"/>
        <v/>
      </c>
      <c r="T51" s="103" t="str">
        <f t="shared" si="23"/>
        <v/>
      </c>
      <c r="U51" s="103" t="str">
        <f t="shared" si="22"/>
        <v/>
      </c>
      <c r="V51" s="104"/>
      <c r="W51" s="104"/>
      <c r="X51" s="107"/>
      <c r="Y51" s="106"/>
      <c r="Z51" s="112"/>
      <c r="AA51" s="2"/>
      <c r="AB51" s="2"/>
      <c r="AC51" s="2"/>
      <c r="AD51" s="2"/>
    </row>
    <row r="52" spans="1:30">
      <c r="A52" s="95"/>
      <c r="B52" s="96">
        <v>45890</v>
      </c>
      <c r="C52" s="97" t="s">
        <v>57</v>
      </c>
      <c r="D52" s="98">
        <f>18974+18503</f>
        <v>37477</v>
      </c>
      <c r="E52" s="99">
        <v>4</v>
      </c>
      <c r="F52" s="99">
        <f t="shared" si="12"/>
        <v>9369.25</v>
      </c>
      <c r="G52" s="99">
        <v>2</v>
      </c>
      <c r="H52" s="99">
        <f t="shared" si="13"/>
        <v>18738.5</v>
      </c>
      <c r="I52" s="99"/>
      <c r="J52" s="98">
        <f t="shared" si="14"/>
        <v>2</v>
      </c>
      <c r="K52" s="99"/>
      <c r="L52" s="99">
        <v>18503</v>
      </c>
      <c r="M52" s="99"/>
      <c r="N52" s="100" t="str">
        <f t="shared" si="15"/>
        <v/>
      </c>
      <c r="O52" s="101" t="e">
        <f t="shared" si="16"/>
        <v>#DIV/0!</v>
      </c>
      <c r="P52" s="102">
        <f t="shared" si="17"/>
        <v>0</v>
      </c>
      <c r="Q52" s="103">
        <f t="shared" si="18"/>
        <v>0</v>
      </c>
      <c r="R52" s="103">
        <f t="shared" si="19"/>
        <v>0</v>
      </c>
      <c r="S52" s="102" t="str">
        <f t="shared" si="20"/>
        <v/>
      </c>
      <c r="T52" s="103" t="str">
        <f t="shared" si="23"/>
        <v/>
      </c>
      <c r="U52" s="103" t="str">
        <f t="shared" si="22"/>
        <v/>
      </c>
      <c r="V52" s="104"/>
      <c r="W52" s="104"/>
      <c r="X52" s="107"/>
      <c r="Y52" s="106"/>
      <c r="Z52" s="112"/>
      <c r="AA52" s="2"/>
      <c r="AB52" s="2"/>
      <c r="AC52" s="2"/>
      <c r="AD52" s="2"/>
    </row>
    <row r="53" spans="1:30" ht="15" customHeight="1">
      <c r="A53" s="95"/>
      <c r="B53" s="96">
        <v>45896</v>
      </c>
      <c r="C53" s="97" t="s">
        <v>56</v>
      </c>
      <c r="D53" s="98">
        <v>7483</v>
      </c>
      <c r="E53" s="99">
        <v>2</v>
      </c>
      <c r="F53" s="99">
        <f t="shared" si="12"/>
        <v>3741.5</v>
      </c>
      <c r="G53" s="99">
        <v>1</v>
      </c>
      <c r="H53" s="99">
        <f t="shared" si="13"/>
        <v>7483</v>
      </c>
      <c r="I53" s="99"/>
      <c r="J53" s="98">
        <f t="shared" si="14"/>
        <v>2</v>
      </c>
      <c r="K53" s="99"/>
      <c r="L53" s="99"/>
      <c r="M53" s="99"/>
      <c r="N53" s="100" t="str">
        <f t="shared" si="15"/>
        <v/>
      </c>
      <c r="O53" s="101" t="e">
        <f t="shared" si="16"/>
        <v>#DIV/0!</v>
      </c>
      <c r="P53" s="102">
        <f t="shared" si="17"/>
        <v>0</v>
      </c>
      <c r="Q53" s="103">
        <f t="shared" si="18"/>
        <v>0</v>
      </c>
      <c r="R53" s="103">
        <f t="shared" si="19"/>
        <v>0</v>
      </c>
      <c r="S53" s="102" t="str">
        <f t="shared" si="20"/>
        <v/>
      </c>
      <c r="T53" s="103" t="str">
        <f t="shared" si="23"/>
        <v/>
      </c>
      <c r="U53" s="103" t="str">
        <f t="shared" si="22"/>
        <v/>
      </c>
      <c r="V53" s="104"/>
      <c r="W53" s="104"/>
      <c r="X53" s="107"/>
      <c r="Y53" s="106"/>
      <c r="Z53" s="112"/>
      <c r="AA53" s="2"/>
      <c r="AB53" s="2"/>
      <c r="AC53" s="2"/>
      <c r="AD53" s="2"/>
    </row>
    <row r="54" spans="1:30" ht="15" customHeight="1">
      <c r="B54" s="602" t="s">
        <v>62</v>
      </c>
      <c r="C54" s="602"/>
      <c r="D54" s="115">
        <f>SUM(D25:D53)</f>
        <v>1621279.7</v>
      </c>
      <c r="E54" s="115">
        <f>SUM(E25:E53)</f>
        <v>279</v>
      </c>
      <c r="F54" s="115">
        <f t="shared" si="12"/>
        <v>5811.0383512544804</v>
      </c>
      <c r="G54" s="115">
        <f>SUM(G25:G53)</f>
        <v>152</v>
      </c>
      <c r="H54" s="115">
        <f t="shared" si="13"/>
        <v>10666.313815789474</v>
      </c>
      <c r="I54" s="115">
        <f>SUM(I25:I53)</f>
        <v>1013</v>
      </c>
      <c r="J54" s="114">
        <f t="shared" si="14"/>
        <v>1.8355263157894737</v>
      </c>
      <c r="K54" s="115">
        <f>SUM(K25:K53)</f>
        <v>319210</v>
      </c>
      <c r="L54" s="115">
        <f>SUM(L25:L53)</f>
        <v>152063</v>
      </c>
      <c r="M54" s="115">
        <f>SUM(M25:M53)</f>
        <v>85222</v>
      </c>
      <c r="N54" s="116">
        <f t="shared" si="15"/>
        <v>0.15004935834155972</v>
      </c>
      <c r="O54" s="117">
        <f t="shared" si="16"/>
        <v>0.9358975690430128</v>
      </c>
      <c r="P54" s="118">
        <f>SUM(P25:P53)</f>
        <v>1732326.0083449236</v>
      </c>
      <c r="Q54" s="118">
        <f>SUM(Q25:Q52)</f>
        <v>288.7210013908205</v>
      </c>
      <c r="R54" s="118">
        <f>SUM(R25:R52)</f>
        <v>169.83588317107086</v>
      </c>
      <c r="S54" s="118">
        <f>SUM(S25:S53)</f>
        <v>1572906</v>
      </c>
      <c r="T54" s="118">
        <f>SUM(T25:T52)</f>
        <v>273</v>
      </c>
      <c r="U54" s="118">
        <f>SUM(U25:U52)</f>
        <v>148</v>
      </c>
      <c r="V54" s="119"/>
      <c r="W54" s="119"/>
    </row>
    <row r="55" spans="1:30">
      <c r="B55" s="121"/>
      <c r="C55" s="122"/>
      <c r="D55" s="123">
        <f>SUMIF(D25:D51,"",P25:P51)+D54</f>
        <v>1621279.7</v>
      </c>
      <c r="E55" s="124"/>
      <c r="F55" s="122"/>
      <c r="G55" s="122"/>
      <c r="H55" s="125"/>
      <c r="I55" s="227"/>
      <c r="J55" s="125"/>
      <c r="L55" s="127"/>
      <c r="M55" s="124"/>
      <c r="N55" s="127"/>
      <c r="O55" s="127"/>
      <c r="P55" s="127"/>
      <c r="Q55" s="128"/>
    </row>
    <row r="56" spans="1:30">
      <c r="D56" s="129"/>
    </row>
    <row r="57" spans="1:30">
      <c r="D57" s="129"/>
    </row>
    <row r="58" spans="1:30">
      <c r="D58" s="130"/>
    </row>
    <row r="59" spans="1:30">
      <c r="D59" s="130"/>
    </row>
  </sheetData>
  <mergeCells count="29">
    <mergeCell ref="P22:W22"/>
    <mergeCell ref="B54:C54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211" priority="1808" operator="greaterThan">
      <formula>0</formula>
    </cfRule>
    <cfRule type="cellIs" dxfId="210" priority="1807" operator="lessThan">
      <formula>0</formula>
    </cfRule>
  </conditionalFormatting>
  <conditionalFormatting sqref="J25:J53">
    <cfRule type="cellIs" dxfId="209" priority="31" operator="greaterThan">
      <formula>$I$12</formula>
    </cfRule>
    <cfRule type="cellIs" dxfId="208" priority="30" operator="lessThan">
      <formula>$I$12</formula>
    </cfRule>
  </conditionalFormatting>
  <conditionalFormatting sqref="J39:J40">
    <cfRule type="cellIs" dxfId="207" priority="1826" operator="lessThan">
      <formula>$I$12</formula>
    </cfRule>
  </conditionalFormatting>
  <conditionalFormatting sqref="K8">
    <cfRule type="cellIs" dxfId="206" priority="2" operator="lessThan">
      <formula>$K$17</formula>
    </cfRule>
    <cfRule type="cellIs" dxfId="205" priority="1" operator="greaterThan">
      <formula>$K$17</formula>
    </cfRule>
  </conditionalFormatting>
  <conditionalFormatting sqref="K10:K12 K15">
    <cfRule type="cellIs" dxfId="204" priority="1806" operator="greaterThan">
      <formula>1</formula>
    </cfRule>
    <cfRule type="cellIs" dxfId="203" priority="1805" operator="lessThan">
      <formula>1</formula>
    </cfRule>
  </conditionalFormatting>
  <conditionalFormatting sqref="K13">
    <cfRule type="cellIs" dxfId="202" priority="1456" operator="greaterThan">
      <formula>$K$14</formula>
    </cfRule>
    <cfRule type="cellIs" dxfId="201" priority="1455" operator="lessThan">
      <formula>$K$14</formula>
    </cfRule>
  </conditionalFormatting>
  <conditionalFormatting sqref="M8:M15">
    <cfRule type="cellIs" dxfId="200" priority="1823" operator="lessThan">
      <formula>1</formula>
    </cfRule>
    <cfRule type="cellIs" dxfId="199" priority="1804" operator="greaterThan">
      <formula>1</formula>
    </cfRule>
  </conditionalFormatting>
  <conditionalFormatting sqref="N25:N38">
    <cfRule type="cellIs" dxfId="198" priority="27" operator="between">
      <formula>0.2</formula>
      <formula>0.25</formula>
    </cfRule>
    <cfRule type="cellIs" dxfId="197" priority="28" operator="greaterThanOrEqual">
      <formula>0.25</formula>
    </cfRule>
  </conditionalFormatting>
  <conditionalFormatting sqref="N25:N53">
    <cfRule type="cellIs" dxfId="196" priority="29" operator="lessThan">
      <formula>0.2</formula>
    </cfRule>
  </conditionalFormatting>
  <conditionalFormatting sqref="N39:N40">
    <cfRule type="cellIs" dxfId="195" priority="1832" operator="between">
      <formula>0.2</formula>
      <formula>0.25</formula>
    </cfRule>
  </conditionalFormatting>
  <conditionalFormatting sqref="N39:N53">
    <cfRule type="cellIs" dxfId="194" priority="50" operator="greaterThanOrEqual">
      <formula>0.25</formula>
    </cfRule>
  </conditionalFormatting>
  <conditionalFormatting sqref="N41:N53">
    <cfRule type="cellIs" dxfId="193" priority="49" operator="between">
      <formula>0.2</formula>
      <formula>0.25</formula>
    </cfRule>
  </conditionalFormatting>
  <conditionalFormatting sqref="O25:O38">
    <cfRule type="cellIs" dxfId="192" priority="25" operator="between">
      <formula>0.85</formula>
      <formula>1</formula>
    </cfRule>
    <cfRule type="cellIs" dxfId="191" priority="26" operator="between">
      <formula>0.01</formula>
      <formula>0.99</formula>
    </cfRule>
    <cfRule type="cellIs" dxfId="190" priority="22" operator="lessThan">
      <formula>0.9</formula>
    </cfRule>
    <cfRule type="cellIs" dxfId="189" priority="21" operator="between">
      <formula>0.9001</formula>
      <formula>0.9999</formula>
    </cfRule>
  </conditionalFormatting>
  <conditionalFormatting sqref="O25:O53">
    <cfRule type="cellIs" dxfId="188" priority="23" operator="greaterThan">
      <formula>1</formula>
    </cfRule>
    <cfRule type="cellIs" dxfId="187" priority="24" operator="greaterThan">
      <formula>100</formula>
    </cfRule>
  </conditionalFormatting>
  <conditionalFormatting sqref="O39:O40">
    <cfRule type="cellIs" dxfId="186" priority="1836" operator="between">
      <formula>0.85</formula>
      <formula>1</formula>
    </cfRule>
    <cfRule type="cellIs" dxfId="185" priority="1842" operator="lessThan">
      <formula>0.9</formula>
    </cfRule>
    <cfRule type="cellIs" dxfId="184" priority="1844" operator="between">
      <formula>0.9001</formula>
      <formula>0.9999</formula>
    </cfRule>
  </conditionalFormatting>
  <conditionalFormatting sqref="O39:O53">
    <cfRule type="cellIs" dxfId="183" priority="48" operator="between">
      <formula>0.01</formula>
      <formula>0.99</formula>
    </cfRule>
  </conditionalFormatting>
  <conditionalFormatting sqref="O41:O53">
    <cfRule type="cellIs" dxfId="182" priority="43" operator="between">
      <formula>0.9001</formula>
      <formula>0.9999</formula>
    </cfRule>
    <cfRule type="cellIs" dxfId="181" priority="44" operator="lessThan">
      <formula>0.9</formula>
    </cfRule>
    <cfRule type="cellIs" dxfId="180" priority="47" operator="between">
      <formula>0.85</formula>
      <formula>1</formula>
    </cfRule>
  </conditionalFormatting>
  <conditionalFormatting sqref="P10:Q10">
    <cfRule type="cellIs" dxfId="179" priority="1819" operator="lessThan">
      <formula>0</formula>
    </cfRule>
  </conditionalFormatting>
  <conditionalFormatting sqref="T13">
    <cfRule type="cellIs" dxfId="178" priority="12" operator="between">
      <formula>0.9</formula>
      <formula>0.95</formula>
    </cfRule>
    <cfRule type="cellIs" dxfId="177" priority="13" operator="lessThan">
      <formula>0.9</formula>
    </cfRule>
    <cfRule type="cellIs" dxfId="176" priority="14" operator="greaterThan">
      <formula>0.95</formula>
    </cfRule>
  </conditionalFormatting>
  <conditionalFormatting sqref="T19">
    <cfRule type="cellIs" dxfId="175" priority="5" operator="greaterThan">
      <formula>0.95</formula>
    </cfRule>
    <cfRule type="cellIs" dxfId="174" priority="4" operator="lessThan">
      <formula>0.9</formula>
    </cfRule>
    <cfRule type="cellIs" dxfId="173" priority="3" operator="between">
      <formula>0.9</formula>
      <formula>0.95</formula>
    </cfRule>
  </conditionalFormatting>
  <conditionalFormatting sqref="W13">
    <cfRule type="cellIs" dxfId="172" priority="11" operator="greaterThan">
      <formula>"100;"</formula>
    </cfRule>
    <cfRule type="cellIs" dxfId="171" priority="10" operator="greaterThan">
      <formula>1</formula>
    </cfRule>
    <cfRule type="cellIs" dxfId="170" priority="9" operator="lessThan">
      <formula>1</formula>
    </cfRule>
    <cfRule type="cellIs" dxfId="169" priority="8" operator="greaterThan">
      <formula>0.95</formula>
    </cfRule>
    <cfRule type="cellIs" dxfId="168" priority="7" operator="lessThan">
      <formula>0.9</formula>
    </cfRule>
    <cfRule type="cellIs" dxfId="167" priority="6" operator="between">
      <formula>0.9</formula>
      <formula>0.95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U55"/>
  <sheetViews>
    <sheetView showZeros="0" topLeftCell="A16" zoomScale="92" workbookViewId="0">
      <pane xSplit="2" topLeftCell="C1" activePane="topRight" state="frozen"/>
      <selection activeCell="U46" sqref="U46"/>
      <selection pane="topRight" activeCell="A36" sqref="A36:XFD36"/>
    </sheetView>
  </sheetViews>
  <sheetFormatPr baseColWidth="10" defaultColWidth="9.1640625" defaultRowHeight="15"/>
  <cols>
    <col min="1" max="1" width="4.1640625" style="228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4" ht="15.75" customHeight="1">
      <c r="B1" s="657">
        <f ca="1">TODAY()-1</f>
        <v>45909</v>
      </c>
      <c r="C1" s="657"/>
      <c r="D1" s="11"/>
      <c r="E1" s="11"/>
      <c r="F1" s="12"/>
      <c r="G1" s="12"/>
      <c r="H1" s="12"/>
      <c r="I1" s="12"/>
      <c r="J1" s="199"/>
      <c r="K1" s="199"/>
      <c r="L1" s="199"/>
      <c r="M1" s="199"/>
      <c r="N1" s="199"/>
      <c r="O1" s="199"/>
      <c r="P1" s="199"/>
      <c r="Q1" s="658"/>
      <c r="R1" s="658"/>
      <c r="S1" s="658"/>
      <c r="T1" s="658"/>
      <c r="U1" s="12"/>
      <c r="V1" s="12"/>
      <c r="W1" s="12"/>
    </row>
    <row r="2" spans="2:24" ht="21.75" customHeight="1">
      <c r="B2" s="659" t="s">
        <v>0</v>
      </c>
      <c r="C2" s="659"/>
      <c r="D2" s="11"/>
      <c r="E2" s="11"/>
      <c r="F2" s="12"/>
      <c r="G2" s="12"/>
      <c r="H2" s="12"/>
      <c r="I2" s="12"/>
      <c r="J2" s="660" t="s">
        <v>71</v>
      </c>
      <c r="K2" s="660"/>
      <c r="L2" s="660"/>
      <c r="M2" s="660"/>
      <c r="N2" s="660"/>
      <c r="O2" s="660"/>
      <c r="P2" s="660"/>
      <c r="Q2" s="658"/>
      <c r="R2" s="658"/>
      <c r="S2" s="658"/>
      <c r="T2" s="658"/>
      <c r="U2" s="12"/>
      <c r="V2" s="12"/>
      <c r="W2" s="12"/>
    </row>
    <row r="3" spans="2:24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61" t="str">
        <f>График!B28</f>
        <v>Уразгильдеева Екатерина</v>
      </c>
      <c r="K3" s="662"/>
      <c r="L3" s="662"/>
      <c r="M3" s="662"/>
      <c r="N3" s="663"/>
      <c r="O3" s="199"/>
      <c r="P3" s="200"/>
      <c r="Q3" s="658"/>
      <c r="R3" s="658"/>
      <c r="S3" s="658"/>
      <c r="T3" s="658"/>
      <c r="U3" s="12"/>
      <c r="V3" s="12"/>
      <c r="W3" s="12"/>
    </row>
    <row r="4" spans="2:24" ht="15" customHeight="1">
      <c r="B4" s="11"/>
      <c r="C4" s="667">
        <f>I8-D50</f>
        <v>503066.37872044509</v>
      </c>
      <c r="D4" s="668"/>
      <c r="E4" s="201">
        <f>IF(I8&lt;&gt;0, C4/I8, 0)</f>
        <v>0.34509341987098463</v>
      </c>
      <c r="F4" s="12"/>
      <c r="G4" s="12"/>
      <c r="H4" s="12"/>
      <c r="I4" s="12"/>
      <c r="J4" s="664"/>
      <c r="K4" s="665"/>
      <c r="L4" s="665"/>
      <c r="M4" s="665"/>
      <c r="N4" s="666"/>
      <c r="O4" s="12"/>
      <c r="P4" s="12"/>
      <c r="Q4" s="658"/>
      <c r="R4" s="658"/>
      <c r="S4" s="658"/>
      <c r="T4" s="658"/>
      <c r="U4" s="12"/>
      <c r="V4" s="12"/>
      <c r="W4" s="12"/>
    </row>
    <row r="5" spans="2:24">
      <c r="B5" s="12"/>
      <c r="C5" s="12"/>
      <c r="D5" s="12"/>
      <c r="E5" s="12"/>
      <c r="F5" s="12"/>
      <c r="G5" s="12"/>
      <c r="H5" s="12"/>
      <c r="I5" s="12"/>
      <c r="J5" s="669"/>
      <c r="K5" s="669"/>
      <c r="L5" s="669"/>
      <c r="M5" s="669"/>
      <c r="N5" s="669"/>
      <c r="O5" s="12"/>
      <c r="P5" s="12"/>
      <c r="Q5" s="12"/>
      <c r="R5" s="12"/>
      <c r="S5" s="12"/>
      <c r="T5" s="12"/>
      <c r="U5" s="12"/>
      <c r="V5" s="12"/>
      <c r="W5" s="12"/>
    </row>
    <row r="6" spans="2:24" ht="15.75" customHeight="1">
      <c r="B6" s="202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4" ht="50.75" customHeight="1">
      <c r="B7" s="202"/>
      <c r="C7" s="12"/>
      <c r="D7" s="12"/>
      <c r="E7" s="12"/>
      <c r="F7" s="582" t="s">
        <v>3</v>
      </c>
      <c r="G7" s="583"/>
      <c r="H7" s="584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85" t="s">
        <v>11</v>
      </c>
      <c r="Q7" s="586"/>
      <c r="R7" s="21"/>
      <c r="S7" s="21"/>
      <c r="T7" s="12"/>
      <c r="U7" s="12"/>
      <c r="V7" s="12"/>
      <c r="W7" s="12"/>
    </row>
    <row r="8" spans="2:24" ht="15.75" customHeight="1">
      <c r="B8" s="202"/>
      <c r="C8" s="12"/>
      <c r="D8" s="12"/>
      <c r="E8" s="229"/>
      <c r="F8" s="587" t="s">
        <v>12</v>
      </c>
      <c r="G8" s="588"/>
      <c r="H8" s="589"/>
      <c r="I8" s="203">
        <f>'Ялта, Ленина, 18'!I8/График!AJ31*График!AJ28</f>
        <v>1457768.6787204451</v>
      </c>
      <c r="J8" s="204">
        <f>D50</f>
        <v>954702.3</v>
      </c>
      <c r="K8" s="30">
        <f>IF(AND(I8&lt;&gt;"",I8&lt;&gt;0,J8&lt;&gt;""),J8/I8,"")</f>
        <v>0.65490658012901537</v>
      </c>
      <c r="L8" s="205">
        <f>IF(SUMIF($D$25:$D$49,"&gt;=0",$P$25:$P$49)&lt;&gt;0,I8*D50/SUMIF($D$25:$D$49,"&gt;=0",$P$25:$P$49),0)</f>
        <v>954702.2999999997</v>
      </c>
      <c r="M8" s="42">
        <f t="shared" ref="M8:M9" si="0">IF(AND(I8&lt;&gt;"",I8&lt;&gt;0,L8&lt;&gt;"",L8&lt;&gt;0),L8/I8,"")</f>
        <v>0.65490658012901515</v>
      </c>
      <c r="N8" s="35">
        <f t="shared" ref="N8:N9" si="1">IF(AND(J8&lt;&gt;0, J8&lt;&gt;"", I8&lt;&gt;0, I8&lt;&gt;""), L8-I8, "")</f>
        <v>-503066.37872044544</v>
      </c>
      <c r="O8" s="34"/>
      <c r="P8" s="35" t="str">
        <f t="shared" ref="P8:P9" si="2">IF(AND(O8&lt;&gt;"", O8&lt;&gt;0, L8&lt;&gt;"", L8&lt;&gt;0), -O8+L8, "")</f>
        <v/>
      </c>
      <c r="Q8" s="36" t="str">
        <f t="shared" ref="Q8:Q9" si="3">IF(AND(P8&lt;&gt;"", P8&lt;&gt;0, O8&lt;&gt;0, O8&lt;&gt;""), P8/O8, "")</f>
        <v/>
      </c>
      <c r="R8" s="21"/>
      <c r="S8" s="37"/>
      <c r="T8" s="12"/>
      <c r="U8" s="12"/>
      <c r="V8" s="12"/>
      <c r="W8" s="12"/>
    </row>
    <row r="9" spans="2:24" ht="15.75" customHeight="1">
      <c r="B9" s="202"/>
      <c r="C9" s="12"/>
      <c r="D9" s="12"/>
      <c r="E9" s="12"/>
      <c r="F9" s="590" t="s">
        <v>13</v>
      </c>
      <c r="G9" s="591"/>
      <c r="H9" s="592"/>
      <c r="I9" s="38">
        <f>I8/I11</f>
        <v>242.96144645340752</v>
      </c>
      <c r="J9" s="39">
        <f>E50</f>
        <v>144</v>
      </c>
      <c r="K9" s="40">
        <f>IF(AND(I9&lt;&gt;"", I9&lt;&gt;0, J9&lt;&gt;""), J9/I9, "")</f>
        <v>0.59268662621999468</v>
      </c>
      <c r="L9" s="207">
        <f>J9</f>
        <v>144</v>
      </c>
      <c r="M9" s="42">
        <f t="shared" si="0"/>
        <v>0.59268662621999468</v>
      </c>
      <c r="N9" s="43">
        <f t="shared" si="1"/>
        <v>-98.961446453407518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1"/>
      <c r="S9" s="37"/>
      <c r="T9" s="12"/>
      <c r="U9" s="12"/>
      <c r="V9" s="12"/>
      <c r="W9" s="12"/>
    </row>
    <row r="10" spans="2:24" ht="15.75" customHeight="1">
      <c r="B10" s="202"/>
      <c r="C10" s="12"/>
      <c r="D10" s="12"/>
      <c r="E10" s="12"/>
      <c r="F10" s="587" t="s">
        <v>14</v>
      </c>
      <c r="G10" s="588"/>
      <c r="H10" s="589"/>
      <c r="I10" s="50">
        <f>I11*I12</f>
        <v>10200</v>
      </c>
      <c r="J10" s="209">
        <f>H50</f>
        <v>10491.234065934066</v>
      </c>
      <c r="K10" s="47">
        <f t="shared" ref="K10:K19" si="4">IF(AND(I10&lt;&gt;"", I10&lt;&gt;0, J10&lt;&gt;""), J10/I10, "")</f>
        <v>1.0285523594053005</v>
      </c>
      <c r="L10" s="207">
        <f t="shared" ref="L10:L13" si="5">J10</f>
        <v>10491.234065934066</v>
      </c>
      <c r="M10" s="48">
        <f t="shared" ref="M10:M20" si="6">IF(AND(I10&lt;&gt;"",I10&lt;&gt;0,L10&lt;&gt;"",L10&lt;&gt;0),L10/I10,"")</f>
        <v>1.0285523594053005</v>
      </c>
      <c r="N10" s="49">
        <f t="shared" ref="N10:N20" si="7">IF(AND(J10&lt;&gt;0, J10&lt;&gt;"", I10&lt;&gt;0, I10&lt;&gt;""), L10-I10, "")</f>
        <v>291.23406593406617</v>
      </c>
      <c r="O10" s="50">
        <f>O11*O12</f>
        <v>0</v>
      </c>
      <c r="P10" s="49" t="str">
        <f t="shared" ref="P10:P20" si="8">IF(AND(O10&lt;&gt;"", O10&lt;&gt;0, L10&lt;&gt;"", L10&lt;&gt;0), -O10+L10, "")</f>
        <v/>
      </c>
      <c r="Q10" s="51" t="str">
        <f t="shared" ref="Q10:Q20" si="9">IF(AND(P10&lt;&gt;"", P10&lt;&gt;0, O10&lt;&gt;0, O10&lt;&gt;""), P10/O10, "")</f>
        <v/>
      </c>
      <c r="R10" s="21"/>
      <c r="S10" s="597" t="s">
        <v>36</v>
      </c>
      <c r="T10" s="597"/>
      <c r="U10" s="12"/>
      <c r="V10" s="597" t="str">
        <f>M23</f>
        <v>Agafi</v>
      </c>
      <c r="W10" s="597"/>
    </row>
    <row r="11" spans="2:24" ht="15.75" customHeight="1">
      <c r="B11" s="202"/>
      <c r="C11" s="12"/>
      <c r="D11" s="12"/>
      <c r="E11" s="12"/>
      <c r="F11" s="590" t="s">
        <v>15</v>
      </c>
      <c r="G11" s="591"/>
      <c r="H11" s="592"/>
      <c r="I11" s="52">
        <f>'Ялта, Ленина, 18'!I11</f>
        <v>6000</v>
      </c>
      <c r="J11" s="39">
        <f>F50</f>
        <v>6629.8770833333338</v>
      </c>
      <c r="K11" s="40">
        <f t="shared" si="4"/>
        <v>1.1049795138888889</v>
      </c>
      <c r="L11" s="207">
        <f t="shared" si="5"/>
        <v>6629.8770833333338</v>
      </c>
      <c r="M11" s="42">
        <f t="shared" si="6"/>
        <v>1.1049795138888889</v>
      </c>
      <c r="N11" s="43">
        <f t="shared" si="7"/>
        <v>629.87708333333376</v>
      </c>
      <c r="O11" s="53"/>
      <c r="P11" s="43" t="str">
        <f t="shared" si="8"/>
        <v/>
      </c>
      <c r="Q11" s="45" t="str">
        <f t="shared" si="9"/>
        <v/>
      </c>
      <c r="R11" s="21"/>
      <c r="S11" s="597"/>
      <c r="T11" s="597"/>
      <c r="U11" s="12"/>
      <c r="V11" s="597"/>
      <c r="W11" s="597"/>
    </row>
    <row r="12" spans="2:24" ht="15.75" customHeight="1">
      <c r="B12" s="202"/>
      <c r="C12" s="12"/>
      <c r="D12" s="12"/>
      <c r="E12" s="12"/>
      <c r="F12" s="590" t="s">
        <v>16</v>
      </c>
      <c r="G12" s="591"/>
      <c r="H12" s="592"/>
      <c r="I12" s="54">
        <f>'Ялта, Ленина, 18'!I12</f>
        <v>1.7</v>
      </c>
      <c r="J12" s="55">
        <f>J50</f>
        <v>1.5824175824175823</v>
      </c>
      <c r="K12" s="40">
        <f t="shared" si="4"/>
        <v>0.93083387201034262</v>
      </c>
      <c r="L12" s="213">
        <f t="shared" si="5"/>
        <v>1.5824175824175823</v>
      </c>
      <c r="M12" s="42">
        <f t="shared" si="6"/>
        <v>0.93083387201034262</v>
      </c>
      <c r="N12" s="57">
        <f t="shared" si="7"/>
        <v>-0.11758241758241761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18'!S12*График!AJ28/График!AJ31</f>
        <v>235716.27260083449</v>
      </c>
      <c r="T12" s="60">
        <f>L50</f>
        <v>153749</v>
      </c>
      <c r="U12" s="230">
        <f>S12-T12</f>
        <v>81967.272600834491</v>
      </c>
      <c r="V12" s="59">
        <f>'Ялта, Ленина, 18'!V12/График!AJ31*График!AJ28</f>
        <v>142670.37552155773</v>
      </c>
      <c r="W12" s="60">
        <f>M50</f>
        <v>54842</v>
      </c>
      <c r="X12" s="231">
        <f>V12-W12</f>
        <v>87828.375521557726</v>
      </c>
    </row>
    <row r="13" spans="2:24" ht="15.75" customHeight="1">
      <c r="B13" s="202"/>
      <c r="C13" s="12"/>
      <c r="D13" s="12"/>
      <c r="E13" s="12"/>
      <c r="F13" s="590" t="s">
        <v>17</v>
      </c>
      <c r="G13" s="591"/>
      <c r="H13" s="592"/>
      <c r="I13" s="38">
        <f>IF(I12&lt;&gt;0, I9/I12, "")</f>
        <v>142.91849791376913</v>
      </c>
      <c r="J13" s="39">
        <f>G50</f>
        <v>91</v>
      </c>
      <c r="K13" s="40">
        <f t="shared" si="4"/>
        <v>0.63672653525161926</v>
      </c>
      <c r="L13" s="207">
        <f t="shared" si="5"/>
        <v>91</v>
      </c>
      <c r="M13" s="42">
        <f t="shared" si="6"/>
        <v>0.63672653525161926</v>
      </c>
      <c r="N13" s="57">
        <f t="shared" si="7"/>
        <v>-51.91849791376913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0.65226298678310124</v>
      </c>
      <c r="T13" s="62">
        <f>S13/J14*I14</f>
        <v>0.65226298678310124</v>
      </c>
      <c r="U13" s="12"/>
      <c r="V13" s="62">
        <f>W12/V12</f>
        <v>0.38439654903489956</v>
      </c>
      <c r="W13" s="62">
        <f>V13/J14*I14</f>
        <v>0.38439654903489956</v>
      </c>
    </row>
    <row r="14" spans="2:24" ht="15.75" customHeight="1">
      <c r="B14" s="202"/>
      <c r="C14" s="12"/>
      <c r="D14" s="12"/>
      <c r="E14" s="12"/>
      <c r="F14" s="590" t="s">
        <v>68</v>
      </c>
      <c r="G14" s="591"/>
      <c r="H14" s="592"/>
      <c r="I14" s="52">
        <f>График!AI28</f>
        <v>18</v>
      </c>
      <c r="J14" s="64">
        <v>18</v>
      </c>
      <c r="K14" s="40">
        <f t="shared" si="4"/>
        <v>1</v>
      </c>
      <c r="L14" s="41">
        <f>I14</f>
        <v>18</v>
      </c>
      <c r="M14" s="42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4" ht="15.75" customHeight="1">
      <c r="B15" s="202"/>
      <c r="C15" s="12"/>
      <c r="D15" s="12"/>
      <c r="E15" s="12"/>
      <c r="F15" s="590" t="s">
        <v>19</v>
      </c>
      <c r="G15" s="591"/>
      <c r="H15" s="592"/>
      <c r="I15" s="75">
        <f>'Ялта, Ленина, 18'!I15</f>
        <v>151618.06451612903</v>
      </c>
      <c r="J15" s="67">
        <f>J8/J14</f>
        <v>53039.01666666667</v>
      </c>
      <c r="K15" s="68">
        <f t="shared" si="4"/>
        <v>0.34981990329407231</v>
      </c>
      <c r="L15" s="207">
        <f t="shared" ref="L15:L16" si="10">J15</f>
        <v>53039.01666666667</v>
      </c>
      <c r="M15" s="70">
        <f t="shared" si="6"/>
        <v>0.34981990329407231</v>
      </c>
      <c r="N15" s="43">
        <f t="shared" si="7"/>
        <v>-98579.047849462368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4" ht="15.75" customHeight="1">
      <c r="B16" s="202"/>
      <c r="C16" s="12"/>
      <c r="D16" s="12"/>
      <c r="E16" s="12"/>
      <c r="F16" s="590" t="s">
        <v>20</v>
      </c>
      <c r="G16" s="591"/>
      <c r="H16" s="592"/>
      <c r="I16" s="75"/>
      <c r="J16" s="67">
        <f>J8-I15*J14</f>
        <v>-1774422.8612903224</v>
      </c>
      <c r="K16" s="68" t="str">
        <f t="shared" si="4"/>
        <v/>
      </c>
      <c r="L16" s="72">
        <f t="shared" si="10"/>
        <v>-1774422.8612903224</v>
      </c>
      <c r="M16" s="73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97" t="s">
        <v>35</v>
      </c>
      <c r="T16" s="597"/>
      <c r="U16" s="12"/>
      <c r="V16" s="12"/>
      <c r="W16" s="12"/>
    </row>
    <row r="17" spans="1:33" ht="15.75" customHeight="1">
      <c r="B17" s="202"/>
      <c r="C17" s="12"/>
      <c r="D17" s="214"/>
      <c r="E17" s="12"/>
      <c r="F17" s="590" t="s">
        <v>21</v>
      </c>
      <c r="G17" s="591"/>
      <c r="H17" s="592"/>
      <c r="I17" s="75">
        <f>'Ялта, Ленина, 18'!I17/График!AJ31*График!AJ28</f>
        <v>793.99165507649514</v>
      </c>
      <c r="J17" s="67">
        <f>I50</f>
        <v>734</v>
      </c>
      <c r="K17" s="68">
        <f t="shared" si="4"/>
        <v>0.92444296524663672</v>
      </c>
      <c r="L17" s="78">
        <f>J17/J14*I14</f>
        <v>734</v>
      </c>
      <c r="M17" s="73">
        <f t="shared" si="6"/>
        <v>0.92444296524663672</v>
      </c>
      <c r="N17" s="43">
        <f t="shared" si="7"/>
        <v>-59.991655076495135</v>
      </c>
      <c r="O17" s="71"/>
      <c r="P17" s="43" t="str">
        <f t="shared" si="8"/>
        <v/>
      </c>
      <c r="Q17" s="45" t="str">
        <f t="shared" si="9"/>
        <v/>
      </c>
      <c r="R17" s="21"/>
      <c r="S17" s="597"/>
      <c r="T17" s="597"/>
      <c r="U17" s="12"/>
      <c r="V17" s="12"/>
      <c r="W17" s="12"/>
    </row>
    <row r="18" spans="1:33" ht="15.75" customHeight="1">
      <c r="B18" s="202"/>
      <c r="C18" s="12"/>
      <c r="D18" s="12"/>
      <c r="E18" s="12"/>
      <c r="F18" s="590"/>
      <c r="G18" s="591"/>
      <c r="H18" s="592"/>
      <c r="I18" s="76"/>
      <c r="J18" s="67"/>
      <c r="K18" s="68" t="str">
        <f t="shared" si="4"/>
        <v/>
      </c>
      <c r="L18" s="72">
        <f t="shared" ref="L18:L19" si="11">J18</f>
        <v>0</v>
      </c>
      <c r="M18" s="73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18'!S18*График!AJ28/График!AJ31</f>
        <v>272934.6314325452</v>
      </c>
      <c r="T18" s="60">
        <f>K50</f>
        <v>225849.35</v>
      </c>
      <c r="U18" s="12"/>
      <c r="V18" s="12"/>
      <c r="W18" s="12"/>
    </row>
    <row r="19" spans="1:33" ht="15.75" customHeight="1">
      <c r="B19" s="202"/>
      <c r="C19" s="12"/>
      <c r="D19" s="12"/>
      <c r="E19" s="12"/>
      <c r="F19" s="590"/>
      <c r="G19" s="591"/>
      <c r="H19" s="592"/>
      <c r="I19" s="76"/>
      <c r="J19" s="67"/>
      <c r="K19" s="68" t="str">
        <f t="shared" si="4"/>
        <v/>
      </c>
      <c r="L19" s="72">
        <f t="shared" si="11"/>
        <v>0</v>
      </c>
      <c r="M19" s="73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0.82748513376477784</v>
      </c>
      <c r="T19" s="62">
        <f>S19/J14*I14</f>
        <v>0.82748513376477784</v>
      </c>
      <c r="U19" s="12"/>
      <c r="V19" s="12"/>
      <c r="W19" s="12"/>
    </row>
    <row r="20" spans="1:33" ht="15.75" customHeight="1">
      <c r="B20" s="202"/>
      <c r="C20" s="12"/>
      <c r="D20" s="12"/>
      <c r="E20" s="12"/>
      <c r="F20" s="598" t="s">
        <v>22</v>
      </c>
      <c r="G20" s="598"/>
      <c r="H20" s="598"/>
      <c r="I20" s="217">
        <f>'Ялта, Ленина, 18'!I20</f>
        <v>0.18</v>
      </c>
      <c r="J20" s="218">
        <f>N50</f>
        <v>0.12397820163487738</v>
      </c>
      <c r="K20" s="219">
        <f>J20/I20</f>
        <v>0.68876778686042994</v>
      </c>
      <c r="L20" s="220">
        <f>IF(AND(K8&lt;&gt;0,I14&lt;&gt;0,I50&lt;&gt;0),(I50*N50+(I50/K8-I50)*I20)/(I50/K8),0)</f>
        <v>0.1433109556200203</v>
      </c>
      <c r="M20" s="83">
        <f t="shared" si="6"/>
        <v>0.79617197566677944</v>
      </c>
      <c r="N20" s="84">
        <f t="shared" si="7"/>
        <v>-3.6689044379979691E-2</v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33" ht="15.75" customHeight="1">
      <c r="B21" s="20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3" ht="16.5" customHeight="1">
      <c r="B22" s="676" t="s">
        <v>23</v>
      </c>
      <c r="C22" s="676"/>
      <c r="D22" s="676"/>
      <c r="E22" s="676"/>
      <c r="F22" s="676"/>
      <c r="G22" s="676"/>
      <c r="H22" s="676"/>
      <c r="I22" s="676"/>
      <c r="J22" s="676"/>
      <c r="K22" s="676"/>
      <c r="L22" s="676"/>
      <c r="M22" s="676"/>
      <c r="N22" s="676"/>
      <c r="O22" s="677" t="s">
        <v>24</v>
      </c>
      <c r="P22" s="676" t="s">
        <v>25</v>
      </c>
      <c r="Q22" s="676"/>
      <c r="R22" s="676"/>
      <c r="S22" s="676"/>
      <c r="T22" s="676"/>
      <c r="U22" s="676"/>
      <c r="V22" s="676"/>
      <c r="W22" s="676"/>
    </row>
    <row r="23" spans="1:33" ht="36">
      <c r="B23" s="221" t="s">
        <v>27</v>
      </c>
      <c r="C23" s="221" t="s">
        <v>28</v>
      </c>
      <c r="D23" s="221" t="s">
        <v>29</v>
      </c>
      <c r="E23" s="221" t="s">
        <v>30</v>
      </c>
      <c r="F23" s="221" t="s">
        <v>31</v>
      </c>
      <c r="G23" s="221" t="s">
        <v>32</v>
      </c>
      <c r="H23" s="221" t="s">
        <v>33</v>
      </c>
      <c r="I23" s="221" t="s">
        <v>21</v>
      </c>
      <c r="J23" s="221" t="s">
        <v>34</v>
      </c>
      <c r="K23" s="90" t="s">
        <v>35</v>
      </c>
      <c r="L23" s="90" t="s">
        <v>36</v>
      </c>
      <c r="M23" s="90" t="s">
        <v>37</v>
      </c>
      <c r="N23" s="221" t="s">
        <v>38</v>
      </c>
      <c r="O23" s="677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2" t="s">
        <v>45</v>
      </c>
      <c r="W23" s="222" t="s">
        <v>46</v>
      </c>
      <c r="X23" s="130"/>
    </row>
    <row r="24" spans="1:33">
      <c r="B24" s="223">
        <v>1</v>
      </c>
      <c r="C24" s="223">
        <v>2</v>
      </c>
      <c r="D24" s="223">
        <v>3</v>
      </c>
      <c r="E24" s="223" t="s">
        <v>72</v>
      </c>
      <c r="F24" s="223">
        <v>5</v>
      </c>
      <c r="G24" s="223">
        <v>6</v>
      </c>
      <c r="H24" s="223">
        <v>7</v>
      </c>
      <c r="I24" s="223">
        <v>8</v>
      </c>
      <c r="J24" s="223">
        <v>9</v>
      </c>
      <c r="K24" s="223">
        <v>10</v>
      </c>
      <c r="L24" s="223">
        <v>11</v>
      </c>
      <c r="M24" s="223">
        <v>12</v>
      </c>
      <c r="N24" s="223">
        <v>13</v>
      </c>
      <c r="O24" s="677"/>
      <c r="P24" s="225">
        <v>1</v>
      </c>
      <c r="Q24" s="225">
        <v>2</v>
      </c>
      <c r="R24" s="225">
        <v>3</v>
      </c>
      <c r="S24" s="225">
        <v>4</v>
      </c>
      <c r="T24" s="225">
        <v>5</v>
      </c>
      <c r="U24" s="225">
        <v>6</v>
      </c>
      <c r="V24" s="225">
        <v>10</v>
      </c>
      <c r="W24" s="225">
        <v>11</v>
      </c>
    </row>
    <row r="25" spans="1:33">
      <c r="A25" s="95">
        <v>1</v>
      </c>
      <c r="B25" s="96">
        <v>45870</v>
      </c>
      <c r="C25" s="97" t="s">
        <v>48</v>
      </c>
      <c r="D25" s="98">
        <f>14392+35091</f>
        <v>49483</v>
      </c>
      <c r="E25" s="99">
        <v>10</v>
      </c>
      <c r="F25" s="99">
        <f t="shared" ref="F25:F50" si="12">IF(AND(E25&lt;&gt;"",E25&lt;&gt;0),D25/E25,"")</f>
        <v>4948.3</v>
      </c>
      <c r="G25" s="99">
        <v>5</v>
      </c>
      <c r="H25" s="99">
        <f t="shared" ref="H25:H50" si="13">IF(AND(G25&lt;&gt;"",G25&lt;&gt;0),D25/G25,"")</f>
        <v>9896.6</v>
      </c>
      <c r="I25" s="99">
        <v>20</v>
      </c>
      <c r="J25" s="98">
        <f t="shared" ref="J25:J50" si="14">IF(AND(G25&lt;&gt;"",G25&lt;&gt;0),E25/G25,"")</f>
        <v>2</v>
      </c>
      <c r="K25" s="99">
        <v>14392</v>
      </c>
      <c r="L25" s="99"/>
      <c r="M25" s="99"/>
      <c r="N25" s="100">
        <f t="shared" ref="N25:N50" si="15">IF(AND(I25&lt;&gt;"",I25&lt;&gt;0),G25/I25,"")</f>
        <v>0.25</v>
      </c>
      <c r="O25" s="101">
        <f t="shared" ref="O25:O50" si="16">D25/P25</f>
        <v>0.76928779669670722</v>
      </c>
      <c r="P25" s="102">
        <f t="shared" ref="P25:P49" si="17">$I$8*V25*W25/SUMPRODUCT($W$25:$W$49,$V$25:$V$49)</f>
        <v>64323.131359262603</v>
      </c>
      <c r="Q25" s="103">
        <f t="shared" ref="Q25:Q49" si="18">$I$9*V25*W25/SUMPRODUCT($W$25:$W$49,$V$25:$V$49)</f>
        <v>10.720521893210433</v>
      </c>
      <c r="R25" s="103">
        <f t="shared" ref="R25:R49" si="19">IF($I$12="","",Q25/$I$12)</f>
        <v>6.3061893489473135</v>
      </c>
      <c r="S25" s="102">
        <f>IF(D25&lt;&gt;"",D25,P25)</f>
        <v>49483</v>
      </c>
      <c r="T25" s="103">
        <f>IF(E25&lt;&gt;"",E25,Q25)</f>
        <v>10</v>
      </c>
      <c r="U25" s="103">
        <f>IF(G25&lt;&gt;"",G25,R25)</f>
        <v>5</v>
      </c>
      <c r="V25" s="104">
        <v>0.90048519598893295</v>
      </c>
      <c r="W25" s="104">
        <v>0.90048519598893295</v>
      </c>
      <c r="X25" s="105"/>
      <c r="Y25" s="106"/>
    </row>
    <row r="26" spans="1:33">
      <c r="A26" s="95">
        <v>2</v>
      </c>
      <c r="B26" s="96">
        <v>45871</v>
      </c>
      <c r="C26" s="97" t="s">
        <v>50</v>
      </c>
      <c r="D26" s="98">
        <f>11383+16579</f>
        <v>27962</v>
      </c>
      <c r="E26" s="99">
        <v>4</v>
      </c>
      <c r="F26" s="99">
        <f t="shared" si="12"/>
        <v>6990.5</v>
      </c>
      <c r="G26" s="99">
        <v>4</v>
      </c>
      <c r="H26" s="99">
        <f t="shared" si="13"/>
        <v>6990.5</v>
      </c>
      <c r="I26" s="99">
        <v>30</v>
      </c>
      <c r="J26" s="98">
        <f t="shared" si="14"/>
        <v>1</v>
      </c>
      <c r="K26" s="99">
        <v>11383</v>
      </c>
      <c r="L26" s="99"/>
      <c r="M26" s="99"/>
      <c r="N26" s="100">
        <f t="shared" si="15"/>
        <v>0.13333333333333333</v>
      </c>
      <c r="O26" s="101">
        <f t="shared" si="16"/>
        <v>0.31301666308581838</v>
      </c>
      <c r="P26" s="102">
        <f t="shared" si="17"/>
        <v>89330.707587071112</v>
      </c>
      <c r="Q26" s="103">
        <f t="shared" si="18"/>
        <v>14.888451264511854</v>
      </c>
      <c r="R26" s="103">
        <f t="shared" si="19"/>
        <v>8.7579125085363856</v>
      </c>
      <c r="S26" s="102">
        <f t="shared" ref="S26:S27" si="20">IF(W26&lt;&gt;"",IF(D26&lt;&gt;"",D26,($I$8-SUM($S$25:S25))*V26*W26/SUMPRODUCT($W26:$W$55,$V26:$V$55)),"")</f>
        <v>27962</v>
      </c>
      <c r="T26" s="103">
        <f t="shared" ref="T26:T27" si="21">IF(W26&lt;&gt;"",IF(E26&lt;&gt;"",E26,($I$9-SUM($T$25:T25))*V26*W26/SUMPRODUCT($W26:$W$55,$V26:$V$55)),"")</f>
        <v>4</v>
      </c>
      <c r="U26" s="103">
        <f t="shared" ref="U26:U27" si="22">IF(W26&lt;&gt;"",IF($I$12&lt;&gt;"",IF(G26&lt;&gt;"",G26,($I$9/$I$12-SUM($U$25:U25))*V26*W26/SUMPRODUCT($W26:$W$55,$V26:$V$55)),""),"")</f>
        <v>4</v>
      </c>
      <c r="V26" s="104">
        <v>1.0611905531725472</v>
      </c>
      <c r="W26" s="104">
        <v>1.0611905531725472</v>
      </c>
      <c r="X26" s="107"/>
      <c r="Y26" s="106"/>
    </row>
    <row r="27" spans="1:33">
      <c r="A27" s="95">
        <v>3</v>
      </c>
      <c r="B27" s="96">
        <v>45874</v>
      </c>
      <c r="C27" s="97" t="s">
        <v>55</v>
      </c>
      <c r="D27" s="98">
        <v>30745</v>
      </c>
      <c r="E27" s="99">
        <v>7</v>
      </c>
      <c r="F27" s="99">
        <f t="shared" si="12"/>
        <v>4392.1428571428569</v>
      </c>
      <c r="G27" s="99">
        <v>4</v>
      </c>
      <c r="H27" s="99">
        <f t="shared" si="13"/>
        <v>7686.25</v>
      </c>
      <c r="I27" s="99">
        <v>25</v>
      </c>
      <c r="J27" s="98">
        <f t="shared" si="14"/>
        <v>1.75</v>
      </c>
      <c r="K27" s="99"/>
      <c r="L27" s="99"/>
      <c r="M27" s="99"/>
      <c r="N27" s="100">
        <f t="shared" si="15"/>
        <v>0.16</v>
      </c>
      <c r="O27" s="101">
        <f t="shared" si="16"/>
        <v>0.26915222951336493</v>
      </c>
      <c r="P27" s="102">
        <f t="shared" si="17"/>
        <v>114229.03706050609</v>
      </c>
      <c r="Q27" s="103">
        <f t="shared" si="18"/>
        <v>19.03817284341768</v>
      </c>
      <c r="R27" s="103">
        <f t="shared" si="19"/>
        <v>11.1989252020104</v>
      </c>
      <c r="S27" s="102">
        <f t="shared" si="20"/>
        <v>30745</v>
      </c>
      <c r="T27" s="103">
        <f t="shared" si="21"/>
        <v>7</v>
      </c>
      <c r="U27" s="103">
        <f t="shared" si="22"/>
        <v>4</v>
      </c>
      <c r="V27" s="104">
        <v>1.2</v>
      </c>
      <c r="W27" s="104">
        <v>1.2</v>
      </c>
      <c r="X27" s="107"/>
      <c r="Y27" s="106"/>
      <c r="Z27" s="112"/>
      <c r="AA27" s="2"/>
      <c r="AB27" s="2"/>
      <c r="AC27" s="2"/>
      <c r="AD27" s="2"/>
      <c r="AE27" s="2"/>
      <c r="AF27" s="2"/>
      <c r="AG27" s="2"/>
    </row>
    <row r="28" spans="1:33">
      <c r="A28" s="95">
        <v>4</v>
      </c>
      <c r="B28" s="96">
        <v>45875</v>
      </c>
      <c r="C28" s="97" t="s">
        <v>56</v>
      </c>
      <c r="D28" s="98">
        <f>24903+18571</f>
        <v>43474</v>
      </c>
      <c r="E28" s="99">
        <v>5</v>
      </c>
      <c r="F28" s="99">
        <f t="shared" si="12"/>
        <v>8694.7999999999993</v>
      </c>
      <c r="G28" s="99">
        <v>5</v>
      </c>
      <c r="H28" s="99">
        <f t="shared" si="13"/>
        <v>8694.7999999999993</v>
      </c>
      <c r="I28" s="99">
        <v>25</v>
      </c>
      <c r="J28" s="98">
        <f t="shared" si="14"/>
        <v>1</v>
      </c>
      <c r="K28" s="99"/>
      <c r="L28" s="99">
        <v>24903</v>
      </c>
      <c r="M28" s="99"/>
      <c r="N28" s="100">
        <f t="shared" si="15"/>
        <v>0.2</v>
      </c>
      <c r="O28" s="101">
        <f t="shared" si="16"/>
        <v>0.54804418920943876</v>
      </c>
      <c r="P28" s="102">
        <f t="shared" si="17"/>
        <v>79325.720180907025</v>
      </c>
      <c r="Q28" s="103">
        <f t="shared" si="18"/>
        <v>13.220953363484503</v>
      </c>
      <c r="R28" s="103">
        <f t="shared" si="19"/>
        <v>7.7770313902850017</v>
      </c>
      <c r="S28" s="102">
        <f>IF(W28&lt;&gt;"",IF(D28&lt;&gt;"",D28,($I$8-SUM($S$25:S27))*V28*W28/SUMPRODUCT($W28:$W$60,$V28:$V$60)),"")</f>
        <v>43474</v>
      </c>
      <c r="T28" s="103">
        <f>IF(W28&lt;&gt;"",IF(E28&lt;&gt;"",E28,($I$9-SUM($T$25:T27))*V28*W28/SUMPRODUCT($W28:$W$60,$V28:$V$60)),"")</f>
        <v>5</v>
      </c>
      <c r="U28" s="103">
        <f>IF(W28&lt;&gt;"",IF($I$12&lt;&gt;"",IF(G28&lt;&gt;"",G28,($I$9/$I$12-SUM($U$25:U27))*V28*W28/SUMPRODUCT($W28:$W$60,$V28:$V$60)),""),"")</f>
        <v>5</v>
      </c>
      <c r="V28" s="104">
        <v>1</v>
      </c>
      <c r="W28" s="104">
        <v>1</v>
      </c>
      <c r="X28" s="106"/>
      <c r="Y28" s="106"/>
      <c r="Z28" s="2"/>
      <c r="AA28" s="2"/>
      <c r="AB28" s="2"/>
      <c r="AC28" s="2"/>
      <c r="AD28" s="2"/>
      <c r="AE28" s="2"/>
      <c r="AF28" s="2"/>
      <c r="AG28" s="2"/>
    </row>
    <row r="29" spans="1:33">
      <c r="A29" s="95">
        <v>5</v>
      </c>
      <c r="B29" s="96">
        <v>45878</v>
      </c>
      <c r="C29" s="97" t="s">
        <v>50</v>
      </c>
      <c r="D29" s="98">
        <f>24903+53110</f>
        <v>78013</v>
      </c>
      <c r="E29" s="99">
        <v>7</v>
      </c>
      <c r="F29" s="99">
        <f t="shared" si="12"/>
        <v>11144.714285714286</v>
      </c>
      <c r="G29" s="99">
        <v>5</v>
      </c>
      <c r="H29" s="99">
        <f t="shared" si="13"/>
        <v>15602.6</v>
      </c>
      <c r="I29" s="99">
        <v>40</v>
      </c>
      <c r="J29" s="98">
        <f t="shared" si="14"/>
        <v>1.4</v>
      </c>
      <c r="K29" s="99"/>
      <c r="L29" s="99">
        <v>24903</v>
      </c>
      <c r="M29" s="99">
        <v>28380</v>
      </c>
      <c r="N29" s="100">
        <f t="shared" si="15"/>
        <v>0.125</v>
      </c>
      <c r="O29" s="101">
        <f t="shared" si="16"/>
        <v>0.98345151890315918</v>
      </c>
      <c r="P29" s="102">
        <f t="shared" si="17"/>
        <v>79325.720180907025</v>
      </c>
      <c r="Q29" s="103">
        <f t="shared" si="18"/>
        <v>13.220953363484503</v>
      </c>
      <c r="R29" s="103">
        <f t="shared" si="19"/>
        <v>7.7770313902850017</v>
      </c>
      <c r="S29" s="102">
        <f t="shared" ref="S29:S33" si="23">IF(W29&lt;&gt;"",IF(D29&lt;&gt;"",D29,($I$8-SUM($S$25:S28))*V29*W29/SUMPRODUCT($W29:$W$55,$V29:$V$55)),"")</f>
        <v>78013</v>
      </c>
      <c r="T29" s="103">
        <f t="shared" ref="T29:T31" si="24">IF(W29&lt;&gt;"",IF(E29&lt;&gt;"",E29,($I$9-SUM($T$25:T28))*V29*W29/SUMPRODUCT($W29:$W$55,$V29:$V$55)),"")</f>
        <v>7</v>
      </c>
      <c r="U29" s="103">
        <f t="shared" ref="U29:U33" si="25">IF(W29&lt;&gt;"",IF($I$12&lt;&gt;"",IF(G29&lt;&gt;"",G29,($I$9/$I$12-SUM($U$25:U28))*V29*W29/SUMPRODUCT($W29:$W$55,$V29:$V$55)),""),"")</f>
        <v>5</v>
      </c>
      <c r="V29" s="104">
        <v>1</v>
      </c>
      <c r="W29" s="104">
        <v>1</v>
      </c>
      <c r="X29" s="107"/>
      <c r="Y29" s="106"/>
      <c r="Z29" s="112"/>
      <c r="AA29" s="2"/>
      <c r="AB29" s="2"/>
      <c r="AC29" s="2"/>
      <c r="AD29" s="2"/>
      <c r="AE29" s="2"/>
      <c r="AF29" s="2"/>
      <c r="AG29" s="2"/>
    </row>
    <row r="30" spans="1:33">
      <c r="A30" s="95">
        <v>6</v>
      </c>
      <c r="B30" s="96">
        <v>45879</v>
      </c>
      <c r="C30" s="97" t="s">
        <v>52</v>
      </c>
      <c r="D30" s="98">
        <f>6991+50928+20158</f>
        <v>78077</v>
      </c>
      <c r="E30" s="99">
        <v>9</v>
      </c>
      <c r="F30" s="108">
        <f t="shared" si="12"/>
        <v>8675.2222222222226</v>
      </c>
      <c r="G30" s="99">
        <v>6</v>
      </c>
      <c r="H30" s="99">
        <f t="shared" si="13"/>
        <v>13012.833333333334</v>
      </c>
      <c r="I30" s="99">
        <v>40</v>
      </c>
      <c r="J30" s="98">
        <f t="shared" si="14"/>
        <v>1.5</v>
      </c>
      <c r="K30" s="99">
        <v>6991</v>
      </c>
      <c r="L30" s="99">
        <v>50928</v>
      </c>
      <c r="M30" s="99"/>
      <c r="N30" s="100">
        <f t="shared" si="15"/>
        <v>0.15</v>
      </c>
      <c r="O30" s="101">
        <f t="shared" si="16"/>
        <v>0.98425831901608651</v>
      </c>
      <c r="P30" s="102">
        <f t="shared" si="17"/>
        <v>79325.720180907025</v>
      </c>
      <c r="Q30" s="103">
        <f t="shared" si="18"/>
        <v>13.220953363484503</v>
      </c>
      <c r="R30" s="103">
        <f t="shared" si="19"/>
        <v>7.7770313902850017</v>
      </c>
      <c r="S30" s="102">
        <f t="shared" si="23"/>
        <v>78077</v>
      </c>
      <c r="T30" s="103">
        <f t="shared" si="24"/>
        <v>9</v>
      </c>
      <c r="U30" s="103">
        <f t="shared" si="25"/>
        <v>6</v>
      </c>
      <c r="V30" s="104">
        <v>1</v>
      </c>
      <c r="W30" s="104">
        <v>1</v>
      </c>
      <c r="X30" s="107"/>
      <c r="Y30" s="106"/>
      <c r="Z30" s="112"/>
      <c r="AA30" s="2"/>
      <c r="AB30" s="2"/>
      <c r="AC30" s="2"/>
      <c r="AD30" s="2"/>
      <c r="AE30" s="2"/>
      <c r="AF30" s="2"/>
      <c r="AG30" s="2"/>
    </row>
    <row r="31" spans="1:33">
      <c r="A31" s="95">
        <v>7</v>
      </c>
      <c r="B31" s="96">
        <v>45882</v>
      </c>
      <c r="C31" s="97" t="s">
        <v>56</v>
      </c>
      <c r="D31" s="98">
        <v>86307</v>
      </c>
      <c r="E31" s="99">
        <v>12</v>
      </c>
      <c r="F31" s="99">
        <f t="shared" si="12"/>
        <v>7192.25</v>
      </c>
      <c r="G31" s="99">
        <v>8</v>
      </c>
      <c r="H31" s="99">
        <f t="shared" si="13"/>
        <v>10788.375</v>
      </c>
      <c r="I31" s="99">
        <v>50</v>
      </c>
      <c r="J31" s="98">
        <f t="shared" si="14"/>
        <v>1.5</v>
      </c>
      <c r="K31" s="99">
        <v>39983</v>
      </c>
      <c r="L31" s="99"/>
      <c r="M31" s="99">
        <v>7390</v>
      </c>
      <c r="N31" s="100">
        <f t="shared" si="15"/>
        <v>0.16</v>
      </c>
      <c r="O31" s="101">
        <f t="shared" si="16"/>
        <v>1.0880077710378393</v>
      </c>
      <c r="P31" s="102">
        <f t="shared" si="17"/>
        <v>79325.720180907025</v>
      </c>
      <c r="Q31" s="103">
        <f t="shared" si="18"/>
        <v>13.220953363484503</v>
      </c>
      <c r="R31" s="103">
        <f t="shared" si="19"/>
        <v>7.7770313902850017</v>
      </c>
      <c r="S31" s="102">
        <f t="shared" si="23"/>
        <v>86307</v>
      </c>
      <c r="T31" s="103">
        <f t="shared" si="24"/>
        <v>12</v>
      </c>
      <c r="U31" s="103">
        <f t="shared" si="25"/>
        <v>8</v>
      </c>
      <c r="V31" s="104">
        <v>1</v>
      </c>
      <c r="W31" s="104">
        <v>1</v>
      </c>
      <c r="X31" s="107"/>
      <c r="Y31" s="106"/>
      <c r="Z31" s="112"/>
      <c r="AA31" s="2"/>
      <c r="AB31" s="2"/>
      <c r="AC31" s="2"/>
      <c r="AD31" s="2"/>
      <c r="AE31" s="2"/>
      <c r="AF31" s="2"/>
      <c r="AG31" s="2"/>
    </row>
    <row r="32" spans="1:33">
      <c r="A32" s="95">
        <v>8</v>
      </c>
      <c r="B32" s="96">
        <v>45883</v>
      </c>
      <c r="C32" s="232" t="s">
        <v>57</v>
      </c>
      <c r="D32" s="98">
        <v>76717</v>
      </c>
      <c r="E32" s="97">
        <v>10</v>
      </c>
      <c r="F32" s="99">
        <f t="shared" si="12"/>
        <v>7671.7</v>
      </c>
      <c r="G32" s="99">
        <v>5</v>
      </c>
      <c r="H32" s="99">
        <f t="shared" si="13"/>
        <v>15343.4</v>
      </c>
      <c r="I32" s="99">
        <v>50</v>
      </c>
      <c r="J32" s="98">
        <f t="shared" si="14"/>
        <v>2</v>
      </c>
      <c r="K32" s="99">
        <v>36570.35</v>
      </c>
      <c r="L32" s="99"/>
      <c r="M32" s="99">
        <v>12680</v>
      </c>
      <c r="N32" s="100">
        <f t="shared" si="15"/>
        <v>0.1</v>
      </c>
      <c r="O32" s="101">
        <f t="shared" si="16"/>
        <v>0.96711381661638007</v>
      </c>
      <c r="P32" s="102">
        <f t="shared" si="17"/>
        <v>79325.720180907025</v>
      </c>
      <c r="Q32" s="103">
        <f t="shared" si="18"/>
        <v>13.220953363484503</v>
      </c>
      <c r="R32" s="103">
        <f t="shared" si="19"/>
        <v>7.7770313902850017</v>
      </c>
      <c r="S32" s="102">
        <f t="shared" si="23"/>
        <v>76717</v>
      </c>
      <c r="T32" s="103">
        <f>IF(W32&lt;&gt;"",IF(E31&lt;&gt;"",E31,($I$9-SUM($T$25:T31))*V32*W32/SUMPRODUCT($W32:$W$55,$V32:$V$55)),"")</f>
        <v>12</v>
      </c>
      <c r="U32" s="103">
        <f t="shared" si="25"/>
        <v>5</v>
      </c>
      <c r="V32" s="104">
        <v>1</v>
      </c>
      <c r="W32" s="104">
        <v>1</v>
      </c>
      <c r="X32" s="106"/>
      <c r="Y32" s="106"/>
      <c r="Z32" s="2"/>
      <c r="AA32" s="2"/>
      <c r="AB32" s="2"/>
      <c r="AC32" s="2"/>
      <c r="AD32" s="2"/>
      <c r="AE32" s="2"/>
      <c r="AF32" s="2"/>
      <c r="AG32" s="2"/>
    </row>
    <row r="33" spans="1:33">
      <c r="A33" s="95">
        <v>9</v>
      </c>
      <c r="B33" s="96">
        <v>45885</v>
      </c>
      <c r="C33" s="232" t="s">
        <v>50</v>
      </c>
      <c r="D33" s="98">
        <v>49605</v>
      </c>
      <c r="E33" s="99">
        <v>10</v>
      </c>
      <c r="F33" s="99">
        <f t="shared" si="12"/>
        <v>4960.5</v>
      </c>
      <c r="G33" s="99">
        <v>6</v>
      </c>
      <c r="H33" s="99">
        <f t="shared" si="13"/>
        <v>8267.5</v>
      </c>
      <c r="I33" s="99">
        <v>35</v>
      </c>
      <c r="J33" s="233">
        <f t="shared" si="14"/>
        <v>1.6666666666666667</v>
      </c>
      <c r="K33" s="99"/>
      <c r="L33" s="99"/>
      <c r="M33" s="99"/>
      <c r="N33" s="100">
        <f t="shared" si="15"/>
        <v>0.17142857142857143</v>
      </c>
      <c r="O33" s="101">
        <f t="shared" si="16"/>
        <v>0.62533311877752695</v>
      </c>
      <c r="P33" s="102">
        <f t="shared" si="17"/>
        <v>79325.720180907025</v>
      </c>
      <c r="Q33" s="103">
        <f t="shared" si="18"/>
        <v>13.220953363484503</v>
      </c>
      <c r="R33" s="103">
        <f t="shared" si="19"/>
        <v>7.7770313902850017</v>
      </c>
      <c r="S33" s="102">
        <f t="shared" si="23"/>
        <v>49605</v>
      </c>
      <c r="T33" s="103">
        <f>IF(W33&lt;&gt;"",IF(E33&lt;&gt;"",E33,($I$9-SUM($T$25:T32))*V33*W33/SUMPRODUCT($W33:$W$55,$V33:$V$55)),"")</f>
        <v>10</v>
      </c>
      <c r="U33" s="103">
        <f t="shared" si="25"/>
        <v>6</v>
      </c>
      <c r="V33" s="234">
        <v>1</v>
      </c>
      <c r="W33" s="234">
        <v>1</v>
      </c>
      <c r="X33" s="106"/>
      <c r="Y33" s="106"/>
      <c r="Z33" s="2"/>
      <c r="AA33" s="2"/>
      <c r="AB33" s="2"/>
      <c r="AC33" s="2"/>
      <c r="AD33" s="2"/>
      <c r="AE33" s="2"/>
      <c r="AF33" s="2"/>
      <c r="AG33" s="2"/>
    </row>
    <row r="34" spans="1:33" s="235" customFormat="1">
      <c r="A34" s="236">
        <v>10</v>
      </c>
      <c r="B34" s="237">
        <v>45886</v>
      </c>
      <c r="C34" s="238" t="s">
        <v>52</v>
      </c>
      <c r="D34" s="233">
        <v>46892</v>
      </c>
      <c r="E34" s="239">
        <v>11</v>
      </c>
      <c r="F34" s="99">
        <f t="shared" si="12"/>
        <v>4262.909090909091</v>
      </c>
      <c r="G34" s="239">
        <v>5</v>
      </c>
      <c r="H34" s="99">
        <f t="shared" si="13"/>
        <v>9378.4</v>
      </c>
      <c r="I34" s="239">
        <v>35</v>
      </c>
      <c r="J34" s="233">
        <f t="shared" si="14"/>
        <v>2.2000000000000002</v>
      </c>
      <c r="K34" s="239"/>
      <c r="L34" s="239"/>
      <c r="M34" s="239"/>
      <c r="N34" s="240">
        <f t="shared" si="15"/>
        <v>0.14285714285714285</v>
      </c>
      <c r="O34" s="241">
        <f t="shared" si="16"/>
        <v>0.59113235774046557</v>
      </c>
      <c r="P34" s="102">
        <f t="shared" si="17"/>
        <v>79325.720180907025</v>
      </c>
      <c r="Q34" s="103">
        <f t="shared" si="18"/>
        <v>13.220953363484503</v>
      </c>
      <c r="R34" s="242">
        <f t="shared" si="19"/>
        <v>7.7770313902850017</v>
      </c>
      <c r="S34" s="243">
        <f>IF(W34&lt;&gt;"",IF(D34&lt;&gt;"",D34,($I$8-SUM($S$25:S33))*V34*W34/SUMPRODUCT($W34:$W$60,$V34:$V$60)),"")</f>
        <v>46892</v>
      </c>
      <c r="T34" s="242">
        <f>IF(W34&lt;&gt;"",IF(E34&lt;&gt;"",E34,($I$9-SUM($T$25:T33))*V34*W34/SUMPRODUCT($W34:$W$60,$V34:$V$60)),"")</f>
        <v>11</v>
      </c>
      <c r="U34" s="242">
        <f>IF(W34&lt;&gt;"",IF($I$12&lt;&gt;"",IF(G34&lt;&gt;"",G34,($I$9/$I$12-SUM($U$25:U33))*V34*W34/SUMPRODUCT($W34:$W$60,$V34:$V$60)),""),"")</f>
        <v>5</v>
      </c>
      <c r="V34" s="234">
        <v>1</v>
      </c>
      <c r="W34" s="234">
        <v>1</v>
      </c>
      <c r="X34" s="244"/>
      <c r="Y34" s="244"/>
      <c r="Z34" s="245"/>
      <c r="AA34" s="245"/>
      <c r="AB34" s="245"/>
      <c r="AC34" s="245"/>
      <c r="AD34" s="245"/>
      <c r="AE34" s="245"/>
      <c r="AF34" s="245"/>
      <c r="AG34" s="245"/>
    </row>
    <row r="35" spans="1:33">
      <c r="A35" s="95">
        <v>11</v>
      </c>
      <c r="B35" s="96">
        <v>45889</v>
      </c>
      <c r="C35" s="232" t="s">
        <v>56</v>
      </c>
      <c r="D35" s="98">
        <f>116530+21206+14265</f>
        <v>152001</v>
      </c>
      <c r="E35" s="99">
        <v>13</v>
      </c>
      <c r="F35" s="99">
        <f t="shared" si="12"/>
        <v>11692.384615384615</v>
      </c>
      <c r="G35" s="99">
        <v>5</v>
      </c>
      <c r="H35" s="99">
        <f t="shared" si="13"/>
        <v>30400.2</v>
      </c>
      <c r="I35" s="99">
        <v>50</v>
      </c>
      <c r="J35" s="233">
        <f t="shared" si="14"/>
        <v>2.6</v>
      </c>
      <c r="K35" s="99">
        <v>116530</v>
      </c>
      <c r="L35" s="99">
        <v>21206</v>
      </c>
      <c r="M35" s="99"/>
      <c r="N35" s="100">
        <f t="shared" si="15"/>
        <v>0.1</v>
      </c>
      <c r="O35" s="101">
        <f t="shared" si="16"/>
        <v>1.916162874454246</v>
      </c>
      <c r="P35" s="102">
        <f t="shared" si="17"/>
        <v>79325.720180907025</v>
      </c>
      <c r="Q35" s="103">
        <f t="shared" si="18"/>
        <v>13.220953363484503</v>
      </c>
      <c r="R35" s="103">
        <f t="shared" si="19"/>
        <v>7.7770313902850017</v>
      </c>
      <c r="S35" s="102">
        <f t="shared" ref="S35:S38" si="26">IF(W35&lt;&gt;"",IF(D35&lt;&gt;"",D35,($I$8-SUM($S$25:S34))*V35*W35/SUMPRODUCT($W35:$W$55,$V35:$V$55)),"")</f>
        <v>152001</v>
      </c>
      <c r="T35" s="103">
        <f t="shared" ref="T35:T38" si="27">IF(W35&lt;&gt;"",IF(E35&lt;&gt;"",E35,($I$9-SUM($T$25:T34))*V35*W35/SUMPRODUCT($W35:$W$55,$V35:$V$55)),"")</f>
        <v>13</v>
      </c>
      <c r="U35" s="103">
        <f t="shared" ref="U35:U38" si="28">IF(W35&lt;&gt;"",IF($I$12&lt;&gt;"",IF(G35&lt;&gt;"",G35,($I$9/$I$12-SUM($U$25:U34))*V35*W35/SUMPRODUCT($W35:$W$55,$V35:$V$55)),""),"")</f>
        <v>5</v>
      </c>
      <c r="V35" s="234">
        <v>1</v>
      </c>
      <c r="W35" s="234">
        <v>1</v>
      </c>
      <c r="X35" s="106"/>
      <c r="Y35" s="106"/>
      <c r="Z35" s="2"/>
      <c r="AA35" s="2"/>
      <c r="AB35" s="2"/>
      <c r="AC35" s="2"/>
      <c r="AD35" s="2"/>
      <c r="AE35" s="2"/>
      <c r="AF35" s="2"/>
      <c r="AG35" s="2"/>
    </row>
    <row r="36" spans="1:33">
      <c r="A36" s="95">
        <v>12</v>
      </c>
      <c r="B36" s="96">
        <v>45890</v>
      </c>
      <c r="C36" s="97" t="s">
        <v>57</v>
      </c>
      <c r="D36" s="98">
        <f>6392+45615</f>
        <v>52007</v>
      </c>
      <c r="E36" s="99">
        <v>11</v>
      </c>
      <c r="F36" s="99">
        <f t="shared" si="12"/>
        <v>4727.909090909091</v>
      </c>
      <c r="G36" s="99">
        <v>6</v>
      </c>
      <c r="H36" s="99">
        <f t="shared" si="13"/>
        <v>8667.8333333333339</v>
      </c>
      <c r="I36" s="99">
        <v>75</v>
      </c>
      <c r="J36" s="233">
        <f t="shared" si="14"/>
        <v>1.8333333333333333</v>
      </c>
      <c r="K36" s="99"/>
      <c r="L36" s="99"/>
      <c r="M36" s="99">
        <v>6392</v>
      </c>
      <c r="N36" s="100">
        <f t="shared" si="15"/>
        <v>0.08</v>
      </c>
      <c r="O36" s="101">
        <f t="shared" si="16"/>
        <v>0.65561333551583201</v>
      </c>
      <c r="P36" s="102">
        <f t="shared" si="17"/>
        <v>79325.720180907025</v>
      </c>
      <c r="Q36" s="103">
        <f t="shared" si="18"/>
        <v>13.220953363484503</v>
      </c>
      <c r="R36" s="103">
        <f t="shared" si="19"/>
        <v>7.7770313902850017</v>
      </c>
      <c r="S36" s="102">
        <f t="shared" si="26"/>
        <v>52007</v>
      </c>
      <c r="T36" s="103">
        <f t="shared" si="27"/>
        <v>11</v>
      </c>
      <c r="U36" s="103">
        <f t="shared" si="28"/>
        <v>6</v>
      </c>
      <c r="V36" s="234">
        <v>1</v>
      </c>
      <c r="W36" s="234">
        <v>1</v>
      </c>
      <c r="X36" s="106"/>
      <c r="Y36" s="106"/>
      <c r="Z36" s="2"/>
      <c r="AA36" s="2"/>
      <c r="AB36" s="2"/>
      <c r="AC36" s="2"/>
      <c r="AD36" s="2"/>
      <c r="AE36" s="2"/>
      <c r="AF36" s="2"/>
      <c r="AG36" s="2"/>
    </row>
    <row r="37" spans="1:33">
      <c r="A37" s="95">
        <v>13</v>
      </c>
      <c r="B37" s="96">
        <v>45892</v>
      </c>
      <c r="C37" s="232" t="s">
        <v>50</v>
      </c>
      <c r="D37" s="98">
        <f>9903+40123</f>
        <v>50026</v>
      </c>
      <c r="E37" s="99">
        <v>9</v>
      </c>
      <c r="F37" s="99">
        <f t="shared" si="12"/>
        <v>5558.4444444444443</v>
      </c>
      <c r="G37" s="99">
        <v>6</v>
      </c>
      <c r="H37" s="99">
        <f t="shared" si="13"/>
        <v>8337.6666666666661</v>
      </c>
      <c r="I37" s="99">
        <v>57</v>
      </c>
      <c r="J37" s="233">
        <f t="shared" si="14"/>
        <v>1.5</v>
      </c>
      <c r="K37" s="99"/>
      <c r="L37" s="99">
        <v>9903</v>
      </c>
      <c r="M37" s="99"/>
      <c r="N37" s="100">
        <f t="shared" si="15"/>
        <v>0.10526315789473684</v>
      </c>
      <c r="O37" s="101">
        <f t="shared" si="16"/>
        <v>0.63064035077037728</v>
      </c>
      <c r="P37" s="102">
        <f t="shared" si="17"/>
        <v>79325.720180907025</v>
      </c>
      <c r="Q37" s="103">
        <f t="shared" si="18"/>
        <v>13.220953363484503</v>
      </c>
      <c r="R37" s="103">
        <f t="shared" si="19"/>
        <v>7.7770313902850017</v>
      </c>
      <c r="S37" s="102">
        <f t="shared" si="26"/>
        <v>50026</v>
      </c>
      <c r="T37" s="103">
        <f t="shared" si="27"/>
        <v>9</v>
      </c>
      <c r="U37" s="103">
        <f t="shared" si="28"/>
        <v>6</v>
      </c>
      <c r="V37" s="234">
        <v>1</v>
      </c>
      <c r="W37" s="234">
        <v>1</v>
      </c>
      <c r="X37" s="106"/>
      <c r="Y37" s="106"/>
      <c r="Z37" s="112"/>
      <c r="AA37" s="2"/>
      <c r="AB37" s="2"/>
      <c r="AC37" s="2"/>
      <c r="AD37" s="2"/>
      <c r="AE37" s="2"/>
      <c r="AF37" s="2"/>
      <c r="AG37" s="2"/>
    </row>
    <row r="38" spans="1:33">
      <c r="A38" s="95">
        <v>14</v>
      </c>
      <c r="B38" s="96">
        <v>45893</v>
      </c>
      <c r="C38" s="121" t="s">
        <v>52</v>
      </c>
      <c r="D38" s="98">
        <v>10575</v>
      </c>
      <c r="E38" s="99">
        <v>3</v>
      </c>
      <c r="F38" s="99">
        <f t="shared" si="12"/>
        <v>3525</v>
      </c>
      <c r="G38" s="99">
        <v>2</v>
      </c>
      <c r="H38" s="99">
        <f t="shared" si="13"/>
        <v>5287.5</v>
      </c>
      <c r="I38" s="99">
        <v>54</v>
      </c>
      <c r="J38" s="233">
        <f t="shared" si="14"/>
        <v>1.5</v>
      </c>
      <c r="K38" s="99"/>
      <c r="L38" s="99"/>
      <c r="M38" s="99"/>
      <c r="N38" s="100">
        <f t="shared" si="15"/>
        <v>3.7037037037037035E-2</v>
      </c>
      <c r="O38" s="101">
        <f t="shared" si="16"/>
        <v>0.13331111240948185</v>
      </c>
      <c r="P38" s="102">
        <f t="shared" si="17"/>
        <v>79325.720180907025</v>
      </c>
      <c r="Q38" s="103">
        <f t="shared" si="18"/>
        <v>13.220953363484503</v>
      </c>
      <c r="R38" s="103">
        <f t="shared" si="19"/>
        <v>7.7770313902850017</v>
      </c>
      <c r="S38" s="102">
        <f t="shared" si="26"/>
        <v>10575</v>
      </c>
      <c r="T38" s="103">
        <f t="shared" si="27"/>
        <v>3</v>
      </c>
      <c r="U38" s="103">
        <f t="shared" si="28"/>
        <v>2</v>
      </c>
      <c r="V38" s="234">
        <v>1</v>
      </c>
      <c r="W38" s="234">
        <v>1</v>
      </c>
      <c r="X38" s="106"/>
      <c r="Y38" s="106"/>
      <c r="Z38" s="112"/>
      <c r="AA38" s="2"/>
      <c r="AB38" s="2"/>
      <c r="AC38" s="2"/>
      <c r="AD38" s="2"/>
      <c r="AE38" s="2"/>
      <c r="AF38" s="2"/>
      <c r="AG38" s="2"/>
    </row>
    <row r="39" spans="1:33" s="235" customFormat="1">
      <c r="A39" s="236">
        <v>15</v>
      </c>
      <c r="B39" s="237">
        <v>45896</v>
      </c>
      <c r="C39" s="238" t="s">
        <v>56</v>
      </c>
      <c r="D39" s="233">
        <v>18768</v>
      </c>
      <c r="E39" s="246">
        <v>4</v>
      </c>
      <c r="F39" s="99">
        <f t="shared" si="12"/>
        <v>4692</v>
      </c>
      <c r="G39" s="246">
        <v>4</v>
      </c>
      <c r="H39" s="99">
        <f t="shared" si="13"/>
        <v>4692</v>
      </c>
      <c r="I39" s="246">
        <v>45</v>
      </c>
      <c r="J39" s="233">
        <f t="shared" si="14"/>
        <v>1</v>
      </c>
      <c r="K39" s="239"/>
      <c r="L39" s="239"/>
      <c r="M39" s="239"/>
      <c r="N39" s="240">
        <f t="shared" si="15"/>
        <v>8.8888888888888892E-2</v>
      </c>
      <c r="O39" s="241">
        <f t="shared" si="16"/>
        <v>0.23659413311594851</v>
      </c>
      <c r="P39" s="102">
        <f t="shared" si="17"/>
        <v>79325.720180907025</v>
      </c>
      <c r="Q39" s="103">
        <f t="shared" si="18"/>
        <v>13.220953363484503</v>
      </c>
      <c r="R39" s="242">
        <f t="shared" si="19"/>
        <v>7.7770313902850017</v>
      </c>
      <c r="S39" s="243">
        <f t="shared" ref="S39:S49" si="29">IF(W39&lt;&gt;"",IF(D39&lt;&gt;"",D39,($I$8-SUM($S$25:S38))*V39*W39/SUMPRODUCT($W39:$W$60,$V39:$V$60)),"")</f>
        <v>18768</v>
      </c>
      <c r="T39" s="242">
        <f t="shared" ref="T39:T49" si="30">IF(W39&lt;&gt;"",IF(E39&lt;&gt;"",E39,($I$9-SUM($T$25:T38))*V39*W39/SUMPRODUCT($W39:$W$60,$V39:$V$60)),"")</f>
        <v>4</v>
      </c>
      <c r="U39" s="242">
        <f t="shared" ref="U39:U49" si="31">IF(W39&lt;&gt;"",IF($I$12&lt;&gt;"",IF(G39&lt;&gt;"",G39,($I$9/$I$12-SUM($U$25:U38))*V39*W39/SUMPRODUCT($W39:$W$60,$V39:$V$60)),""),"")</f>
        <v>4</v>
      </c>
      <c r="V39" s="234">
        <v>1</v>
      </c>
      <c r="W39" s="234">
        <v>1</v>
      </c>
      <c r="X39" s="244"/>
      <c r="Y39" s="244"/>
      <c r="Z39" s="247"/>
      <c r="AA39" s="245"/>
      <c r="AB39" s="245"/>
      <c r="AC39" s="245"/>
      <c r="AD39" s="245"/>
      <c r="AE39" s="245"/>
      <c r="AF39" s="245"/>
      <c r="AG39" s="245"/>
    </row>
    <row r="40" spans="1:33" s="235" customFormat="1">
      <c r="A40" s="236">
        <v>16</v>
      </c>
      <c r="B40" s="237">
        <v>45897</v>
      </c>
      <c r="C40" s="248" t="s">
        <v>57</v>
      </c>
      <c r="D40" s="731">
        <v>15793</v>
      </c>
      <c r="E40" s="239">
        <v>1</v>
      </c>
      <c r="F40" s="99">
        <f t="shared" si="12"/>
        <v>15793</v>
      </c>
      <c r="G40" s="239">
        <v>2</v>
      </c>
      <c r="H40" s="99">
        <f t="shared" si="13"/>
        <v>7896.5</v>
      </c>
      <c r="I40" s="239">
        <v>42</v>
      </c>
      <c r="J40" s="233">
        <f t="shared" si="14"/>
        <v>0.5</v>
      </c>
      <c r="K40" s="239"/>
      <c r="L40" s="239"/>
      <c r="M40" s="239"/>
      <c r="N40" s="240">
        <f t="shared" si="15"/>
        <v>4.7619047619047616E-2</v>
      </c>
      <c r="O40" s="241">
        <f t="shared" si="16"/>
        <v>0.19909053411659072</v>
      </c>
      <c r="P40" s="102">
        <f t="shared" si="17"/>
        <v>79325.720180907025</v>
      </c>
      <c r="Q40" s="103">
        <f t="shared" si="18"/>
        <v>13.220953363484503</v>
      </c>
      <c r="R40" s="242">
        <f t="shared" si="19"/>
        <v>7.7770313902850017</v>
      </c>
      <c r="S40" s="243">
        <f t="shared" si="29"/>
        <v>15793</v>
      </c>
      <c r="T40" s="242">
        <f t="shared" si="30"/>
        <v>1</v>
      </c>
      <c r="U40" s="242">
        <f t="shared" si="31"/>
        <v>2</v>
      </c>
      <c r="V40" s="234">
        <v>1</v>
      </c>
      <c r="W40" s="234">
        <v>1</v>
      </c>
      <c r="X40" s="244"/>
      <c r="Y40" s="244"/>
      <c r="Z40" s="247"/>
      <c r="AA40" s="245"/>
      <c r="AB40" s="245"/>
      <c r="AC40" s="245"/>
      <c r="AD40" s="245"/>
      <c r="AE40" s="245"/>
      <c r="AF40" s="245"/>
      <c r="AG40" s="245"/>
    </row>
    <row r="41" spans="1:33" s="235" customFormat="1">
      <c r="A41" s="236">
        <v>17</v>
      </c>
      <c r="B41" s="237">
        <v>45899</v>
      </c>
      <c r="C41" s="238" t="s">
        <v>50</v>
      </c>
      <c r="D41" s="249">
        <v>8085</v>
      </c>
      <c r="E41" s="239">
        <v>3</v>
      </c>
      <c r="F41" s="99">
        <f t="shared" si="12"/>
        <v>2695</v>
      </c>
      <c r="G41" s="246">
        <v>3</v>
      </c>
      <c r="H41" s="99">
        <f t="shared" si="13"/>
        <v>2695</v>
      </c>
      <c r="I41" s="246">
        <v>28</v>
      </c>
      <c r="J41" s="233">
        <f t="shared" si="14"/>
        <v>1</v>
      </c>
      <c r="K41" s="239"/>
      <c r="L41" s="239"/>
      <c r="M41" s="239"/>
      <c r="N41" s="240">
        <f t="shared" si="15"/>
        <v>0.10714285714285714</v>
      </c>
      <c r="O41" s="241">
        <f t="shared" si="16"/>
        <v>0.10192154551590173</v>
      </c>
      <c r="P41" s="102">
        <f t="shared" si="17"/>
        <v>79325.720180907025</v>
      </c>
      <c r="Q41" s="103">
        <f t="shared" si="18"/>
        <v>13.220953363484503</v>
      </c>
      <c r="R41" s="242">
        <f t="shared" si="19"/>
        <v>7.7770313902850017</v>
      </c>
      <c r="S41" s="243">
        <f t="shared" si="29"/>
        <v>8085</v>
      </c>
      <c r="T41" s="242">
        <f t="shared" si="30"/>
        <v>3</v>
      </c>
      <c r="U41" s="242">
        <f t="shared" si="31"/>
        <v>3</v>
      </c>
      <c r="V41" s="234">
        <v>1</v>
      </c>
      <c r="W41" s="234">
        <v>1</v>
      </c>
      <c r="X41" s="244"/>
      <c r="Y41" s="244"/>
      <c r="Z41" s="247"/>
      <c r="AA41" s="245"/>
      <c r="AB41" s="245"/>
      <c r="AC41" s="245"/>
      <c r="AD41" s="245"/>
      <c r="AE41" s="245"/>
      <c r="AF41" s="245"/>
      <c r="AG41" s="245"/>
    </row>
    <row r="42" spans="1:33" s="235" customFormat="1">
      <c r="A42" s="236">
        <v>18</v>
      </c>
      <c r="B42" s="237">
        <v>45900</v>
      </c>
      <c r="C42" s="238" t="s">
        <v>52</v>
      </c>
      <c r="D42" s="250">
        <f>21906+32731</f>
        <v>54637</v>
      </c>
      <c r="E42" s="246">
        <v>10</v>
      </c>
      <c r="F42" s="239">
        <f t="shared" si="12"/>
        <v>5463.7</v>
      </c>
      <c r="G42" s="239">
        <v>7</v>
      </c>
      <c r="H42" s="246">
        <f t="shared" si="13"/>
        <v>7805.2857142857147</v>
      </c>
      <c r="I42" s="239">
        <v>33</v>
      </c>
      <c r="J42" s="233">
        <f t="shared" si="14"/>
        <v>1.4285714285714286</v>
      </c>
      <c r="K42" s="239"/>
      <c r="L42" s="239">
        <v>21906</v>
      </c>
      <c r="M42" s="239"/>
      <c r="N42" s="240">
        <f t="shared" si="15"/>
        <v>0.21212121212121213</v>
      </c>
      <c r="O42" s="241">
        <f t="shared" si="16"/>
        <v>0.68876777765644071</v>
      </c>
      <c r="P42" s="102">
        <f t="shared" si="17"/>
        <v>79325.720180907025</v>
      </c>
      <c r="Q42" s="103">
        <f t="shared" si="18"/>
        <v>13.220953363484503</v>
      </c>
      <c r="R42" s="242">
        <f t="shared" si="19"/>
        <v>7.7770313902850017</v>
      </c>
      <c r="S42" s="243">
        <f t="shared" si="29"/>
        <v>54637</v>
      </c>
      <c r="T42" s="242">
        <f t="shared" si="30"/>
        <v>10</v>
      </c>
      <c r="U42" s="242">
        <f t="shared" si="31"/>
        <v>7</v>
      </c>
      <c r="V42" s="234">
        <v>1</v>
      </c>
      <c r="W42" s="234">
        <v>1</v>
      </c>
      <c r="X42" s="244"/>
      <c r="Y42" s="244"/>
      <c r="Z42" s="245"/>
      <c r="AA42" s="245"/>
      <c r="AB42" s="245"/>
      <c r="AC42" s="245"/>
      <c r="AD42" s="245"/>
      <c r="AE42" s="245"/>
      <c r="AF42" s="245"/>
      <c r="AG42" s="245"/>
    </row>
    <row r="43" spans="1:33" s="235" customFormat="1" ht="15" customHeight="1">
      <c r="A43" s="236">
        <v>19</v>
      </c>
      <c r="B43" s="237"/>
      <c r="C43" s="238"/>
      <c r="D43" s="249"/>
      <c r="E43" s="251"/>
      <c r="F43" s="246" t="str">
        <f t="shared" si="12"/>
        <v/>
      </c>
      <c r="G43" s="251"/>
      <c r="H43" s="251" t="str">
        <f t="shared" si="13"/>
        <v/>
      </c>
      <c r="I43" s="251"/>
      <c r="J43" s="252" t="str">
        <f t="shared" si="14"/>
        <v/>
      </c>
      <c r="K43" s="251"/>
      <c r="L43" s="251"/>
      <c r="M43" s="251"/>
      <c r="N43" s="253" t="str">
        <f t="shared" si="15"/>
        <v/>
      </c>
      <c r="O43" s="254" t="e">
        <f t="shared" si="16"/>
        <v>#DIV/0!</v>
      </c>
      <c r="P43" s="102">
        <f t="shared" si="17"/>
        <v>0</v>
      </c>
      <c r="Q43" s="103">
        <f t="shared" si="18"/>
        <v>0</v>
      </c>
      <c r="R43" s="255">
        <f t="shared" si="19"/>
        <v>0</v>
      </c>
      <c r="S43" s="256" t="str">
        <f t="shared" si="29"/>
        <v/>
      </c>
      <c r="T43" s="255" t="str">
        <f t="shared" si="30"/>
        <v/>
      </c>
      <c r="U43" s="255" t="str">
        <f t="shared" si="31"/>
        <v/>
      </c>
      <c r="V43" s="234"/>
      <c r="W43" s="234"/>
      <c r="X43" s="244"/>
      <c r="Y43" s="244"/>
      <c r="Z43" s="247"/>
      <c r="AA43" s="245"/>
      <c r="AB43" s="245"/>
      <c r="AC43" s="245"/>
      <c r="AD43" s="245"/>
      <c r="AE43" s="245"/>
      <c r="AF43" s="245"/>
      <c r="AG43" s="245"/>
    </row>
    <row r="44" spans="1:33" s="235" customFormat="1" ht="15" customHeight="1">
      <c r="A44" s="236">
        <v>20</v>
      </c>
      <c r="B44" s="237"/>
      <c r="C44" s="238"/>
      <c r="D44" s="257"/>
      <c r="E44" s="258"/>
      <c r="F44" s="258" t="str">
        <f t="shared" si="12"/>
        <v/>
      </c>
      <c r="G44" s="258"/>
      <c r="H44" s="258" t="str">
        <f t="shared" si="13"/>
        <v/>
      </c>
      <c r="I44" s="258"/>
      <c r="J44" s="259" t="str">
        <f t="shared" si="14"/>
        <v/>
      </c>
      <c r="K44" s="258"/>
      <c r="L44" s="258"/>
      <c r="M44" s="258"/>
      <c r="N44" s="260" t="str">
        <f t="shared" si="15"/>
        <v/>
      </c>
      <c r="O44" s="261" t="e">
        <f t="shared" si="16"/>
        <v>#DIV/0!</v>
      </c>
      <c r="P44" s="102">
        <f t="shared" si="17"/>
        <v>0</v>
      </c>
      <c r="Q44" s="103">
        <f t="shared" si="18"/>
        <v>0</v>
      </c>
      <c r="R44" s="262">
        <f t="shared" si="19"/>
        <v>0</v>
      </c>
      <c r="S44" s="263" t="str">
        <f t="shared" si="29"/>
        <v/>
      </c>
      <c r="T44" s="262" t="str">
        <f t="shared" si="30"/>
        <v/>
      </c>
      <c r="U44" s="262" t="str">
        <f t="shared" si="31"/>
        <v/>
      </c>
      <c r="V44" s="234"/>
      <c r="W44" s="234"/>
      <c r="X44" s="244"/>
      <c r="Y44" s="244"/>
      <c r="Z44" s="247"/>
      <c r="AA44" s="245"/>
      <c r="AB44" s="245"/>
      <c r="AC44" s="245"/>
      <c r="AD44" s="245"/>
      <c r="AE44" s="245"/>
      <c r="AF44" s="245"/>
      <c r="AG44" s="245"/>
    </row>
    <row r="45" spans="1:33" s="235" customFormat="1" ht="15" customHeight="1">
      <c r="A45" s="236">
        <v>21</v>
      </c>
      <c r="B45" s="237">
        <v>45872</v>
      </c>
      <c r="C45" s="248" t="s">
        <v>52</v>
      </c>
      <c r="D45" s="259">
        <v>4161.3</v>
      </c>
      <c r="E45" s="258">
        <v>1</v>
      </c>
      <c r="F45" s="258">
        <f t="shared" si="12"/>
        <v>4161.3</v>
      </c>
      <c r="G45" s="258">
        <v>1</v>
      </c>
      <c r="H45" s="258">
        <f t="shared" si="13"/>
        <v>4161.3</v>
      </c>
      <c r="I45" s="258"/>
      <c r="J45" s="259">
        <f t="shared" si="14"/>
        <v>1</v>
      </c>
      <c r="K45" s="258"/>
      <c r="L45" s="258"/>
      <c r="M45" s="258"/>
      <c r="N45" s="260" t="str">
        <f t="shared" si="15"/>
        <v/>
      </c>
      <c r="O45" s="261" t="e">
        <f t="shared" si="16"/>
        <v>#DIV/0!</v>
      </c>
      <c r="P45" s="102">
        <f t="shared" si="17"/>
        <v>0</v>
      </c>
      <c r="Q45" s="103">
        <f t="shared" si="18"/>
        <v>0</v>
      </c>
      <c r="R45" s="262">
        <f t="shared" si="19"/>
        <v>0</v>
      </c>
      <c r="S45" s="263" t="str">
        <f t="shared" si="29"/>
        <v/>
      </c>
      <c r="T45" s="262" t="str">
        <f t="shared" si="30"/>
        <v/>
      </c>
      <c r="U45" s="262" t="str">
        <f t="shared" si="31"/>
        <v/>
      </c>
      <c r="V45" s="234"/>
      <c r="W45" s="234"/>
      <c r="X45" s="244"/>
      <c r="Y45" s="244"/>
      <c r="Z45" s="247"/>
      <c r="AA45" s="245"/>
      <c r="AB45" s="245"/>
      <c r="AC45" s="245"/>
      <c r="AD45" s="245"/>
      <c r="AE45" s="245"/>
      <c r="AF45" s="245"/>
      <c r="AG45" s="245"/>
    </row>
    <row r="46" spans="1:33" s="235" customFormat="1" ht="15" customHeight="1">
      <c r="A46" s="236">
        <v>22</v>
      </c>
      <c r="B46" s="237">
        <v>45880</v>
      </c>
      <c r="C46" s="264" t="s">
        <v>53</v>
      </c>
      <c r="D46" s="259">
        <v>6000</v>
      </c>
      <c r="E46" s="258">
        <v>1</v>
      </c>
      <c r="F46" s="258">
        <f t="shared" si="12"/>
        <v>6000</v>
      </c>
      <c r="G46" s="258">
        <v>1</v>
      </c>
      <c r="H46" s="258">
        <f t="shared" si="13"/>
        <v>6000</v>
      </c>
      <c r="I46" s="258"/>
      <c r="J46" s="259">
        <f t="shared" si="14"/>
        <v>1</v>
      </c>
      <c r="K46" s="258"/>
      <c r="L46" s="258"/>
      <c r="M46" s="258"/>
      <c r="N46" s="260" t="str">
        <f t="shared" si="15"/>
        <v/>
      </c>
      <c r="O46" s="261" t="e">
        <f t="shared" si="16"/>
        <v>#DIV/0!</v>
      </c>
      <c r="P46" s="102">
        <f t="shared" si="17"/>
        <v>0</v>
      </c>
      <c r="Q46" s="103">
        <f t="shared" si="18"/>
        <v>0</v>
      </c>
      <c r="R46" s="262">
        <f t="shared" si="19"/>
        <v>0</v>
      </c>
      <c r="S46" s="263" t="str">
        <f t="shared" si="29"/>
        <v/>
      </c>
      <c r="T46" s="262" t="str">
        <f t="shared" si="30"/>
        <v/>
      </c>
      <c r="U46" s="262" t="str">
        <f t="shared" si="31"/>
        <v/>
      </c>
      <c r="V46" s="234"/>
      <c r="W46" s="234"/>
      <c r="X46" s="244"/>
      <c r="Y46" s="244"/>
      <c r="Z46" s="247"/>
      <c r="AA46" s="245"/>
      <c r="AB46" s="245"/>
      <c r="AC46" s="245"/>
      <c r="AD46" s="245"/>
      <c r="AE46" s="245"/>
      <c r="AF46" s="245"/>
      <c r="AG46" s="245"/>
    </row>
    <row r="47" spans="1:33" s="235" customFormat="1" ht="15" customHeight="1">
      <c r="A47" s="236">
        <v>23</v>
      </c>
      <c r="B47" s="237">
        <v>45895</v>
      </c>
      <c r="C47" s="248" t="s">
        <v>55</v>
      </c>
      <c r="D47" s="259">
        <v>15374</v>
      </c>
      <c r="E47" s="258">
        <v>3</v>
      </c>
      <c r="F47" s="258">
        <f t="shared" si="12"/>
        <v>5124.666666666667</v>
      </c>
      <c r="G47" s="258">
        <v>1</v>
      </c>
      <c r="H47" s="258">
        <f t="shared" si="13"/>
        <v>15374</v>
      </c>
      <c r="I47" s="258"/>
      <c r="J47" s="259">
        <f t="shared" si="14"/>
        <v>3</v>
      </c>
      <c r="K47" s="258"/>
      <c r="L47" s="258"/>
      <c r="M47" s="258"/>
      <c r="N47" s="260" t="str">
        <f t="shared" si="15"/>
        <v/>
      </c>
      <c r="O47" s="261" t="e">
        <f t="shared" si="16"/>
        <v>#DIV/0!</v>
      </c>
      <c r="P47" s="102">
        <f t="shared" si="17"/>
        <v>0</v>
      </c>
      <c r="Q47" s="103">
        <f t="shared" si="18"/>
        <v>0</v>
      </c>
      <c r="R47" s="262">
        <f t="shared" si="19"/>
        <v>0</v>
      </c>
      <c r="S47" s="263" t="str">
        <f t="shared" si="29"/>
        <v/>
      </c>
      <c r="T47" s="262" t="str">
        <f t="shared" si="30"/>
        <v/>
      </c>
      <c r="U47" s="262" t="str">
        <f t="shared" si="31"/>
        <v/>
      </c>
      <c r="V47" s="234"/>
      <c r="W47" s="265"/>
      <c r="X47" s="244"/>
      <c r="Y47" s="244"/>
      <c r="Z47" s="247"/>
      <c r="AA47" s="245"/>
      <c r="AB47" s="245"/>
      <c r="AC47" s="245"/>
      <c r="AD47" s="245"/>
      <c r="AE47" s="245"/>
      <c r="AF47" s="245"/>
      <c r="AG47" s="245"/>
    </row>
    <row r="48" spans="1:33" s="235" customFormat="1" ht="15" customHeight="1">
      <c r="A48" s="236">
        <v>24</v>
      </c>
      <c r="B48" s="237"/>
      <c r="C48" s="266"/>
      <c r="D48" s="259"/>
      <c r="E48" s="258"/>
      <c r="F48" s="258" t="str">
        <f t="shared" si="12"/>
        <v/>
      </c>
      <c r="G48" s="258"/>
      <c r="H48" s="258" t="str">
        <f t="shared" si="13"/>
        <v/>
      </c>
      <c r="I48" s="258"/>
      <c r="J48" s="259" t="str">
        <f t="shared" si="14"/>
        <v/>
      </c>
      <c r="K48" s="258"/>
      <c r="L48" s="258"/>
      <c r="M48" s="258"/>
      <c r="N48" s="260" t="str">
        <f t="shared" si="15"/>
        <v/>
      </c>
      <c r="O48" s="261" t="e">
        <f t="shared" si="16"/>
        <v>#DIV/0!</v>
      </c>
      <c r="P48" s="102">
        <f t="shared" si="17"/>
        <v>0</v>
      </c>
      <c r="Q48" s="103">
        <f t="shared" si="18"/>
        <v>0</v>
      </c>
      <c r="R48" s="262">
        <f t="shared" si="19"/>
        <v>0</v>
      </c>
      <c r="S48" s="263" t="str">
        <f t="shared" si="29"/>
        <v/>
      </c>
      <c r="T48" s="262" t="str">
        <f t="shared" si="30"/>
        <v/>
      </c>
      <c r="U48" s="262" t="str">
        <f t="shared" si="31"/>
        <v/>
      </c>
      <c r="V48" s="234"/>
      <c r="W48" s="265"/>
      <c r="X48" s="244"/>
      <c r="Y48" s="244"/>
      <c r="Z48" s="247"/>
      <c r="AA48" s="245"/>
      <c r="AB48" s="245"/>
      <c r="AC48" s="245"/>
      <c r="AD48" s="245"/>
      <c r="AE48" s="245"/>
      <c r="AF48" s="245"/>
      <c r="AG48" s="245"/>
    </row>
    <row r="49" spans="1:33" s="235" customFormat="1" ht="15" customHeight="1">
      <c r="A49" s="236">
        <v>25</v>
      </c>
      <c r="B49" s="237"/>
      <c r="C49" s="266"/>
      <c r="D49" s="259"/>
      <c r="E49" s="258"/>
      <c r="F49" s="258" t="str">
        <f t="shared" si="12"/>
        <v/>
      </c>
      <c r="G49" s="258"/>
      <c r="H49" s="258" t="str">
        <f t="shared" si="13"/>
        <v/>
      </c>
      <c r="I49" s="258"/>
      <c r="J49" s="259" t="str">
        <f t="shared" si="14"/>
        <v/>
      </c>
      <c r="K49" s="258"/>
      <c r="L49" s="258"/>
      <c r="M49" s="258"/>
      <c r="N49" s="260" t="str">
        <f t="shared" si="15"/>
        <v/>
      </c>
      <c r="O49" s="261" t="e">
        <f t="shared" si="16"/>
        <v>#DIV/0!</v>
      </c>
      <c r="P49" s="102">
        <f t="shared" si="17"/>
        <v>0</v>
      </c>
      <c r="Q49" s="103">
        <f t="shared" si="18"/>
        <v>0</v>
      </c>
      <c r="R49" s="262">
        <f t="shared" si="19"/>
        <v>0</v>
      </c>
      <c r="S49" s="263" t="str">
        <f t="shared" si="29"/>
        <v/>
      </c>
      <c r="T49" s="262" t="str">
        <f t="shared" si="30"/>
        <v/>
      </c>
      <c r="U49" s="262" t="str">
        <f t="shared" si="31"/>
        <v/>
      </c>
      <c r="V49" s="267"/>
      <c r="W49" s="265"/>
      <c r="X49" s="244"/>
      <c r="Y49" s="244"/>
      <c r="Z49" s="247"/>
      <c r="AA49" s="245"/>
      <c r="AB49" s="245"/>
      <c r="AC49" s="245"/>
      <c r="AD49" s="245"/>
      <c r="AE49" s="245"/>
      <c r="AF49" s="245"/>
      <c r="AG49" s="245"/>
    </row>
    <row r="50" spans="1:33" ht="15" customHeight="1">
      <c r="B50" s="602" t="s">
        <v>62</v>
      </c>
      <c r="C50" s="602"/>
      <c r="D50" s="115">
        <f>SUM(D25:D49)</f>
        <v>954702.3</v>
      </c>
      <c r="E50" s="115">
        <f>SUM(E25:E49)</f>
        <v>144</v>
      </c>
      <c r="F50" s="115">
        <f t="shared" si="12"/>
        <v>6629.8770833333338</v>
      </c>
      <c r="G50" s="115">
        <f>SUM(G25:G49)</f>
        <v>91</v>
      </c>
      <c r="H50" s="115">
        <f t="shared" si="13"/>
        <v>10491.234065934066</v>
      </c>
      <c r="I50" s="115">
        <f>SUM(I25:I49)</f>
        <v>734</v>
      </c>
      <c r="J50" s="114">
        <f t="shared" si="14"/>
        <v>1.5824175824175823</v>
      </c>
      <c r="K50" s="115">
        <f>SUM(K25:K49)</f>
        <v>225849.35</v>
      </c>
      <c r="L50" s="115">
        <f>SUM(L25:L49)</f>
        <v>153749</v>
      </c>
      <c r="M50" s="115">
        <f>SUM(M25:M49)</f>
        <v>54842</v>
      </c>
      <c r="N50" s="116">
        <f t="shared" si="15"/>
        <v>0.12397820163487738</v>
      </c>
      <c r="O50" s="117">
        <f t="shared" si="16"/>
        <v>0.65490658012901515</v>
      </c>
      <c r="P50" s="118">
        <f t="shared" ref="P50:U50" si="32">SUM(P25:P49)</f>
        <v>1457768.6787204456</v>
      </c>
      <c r="Q50" s="118">
        <f t="shared" si="32"/>
        <v>242.96144645340758</v>
      </c>
      <c r="R50" s="118">
        <f t="shared" si="32"/>
        <v>142.91849791376913</v>
      </c>
      <c r="S50" s="118">
        <f t="shared" si="32"/>
        <v>929167</v>
      </c>
      <c r="T50" s="118">
        <f t="shared" si="32"/>
        <v>141</v>
      </c>
      <c r="U50" s="118">
        <f t="shared" si="32"/>
        <v>88</v>
      </c>
      <c r="V50" s="268"/>
      <c r="W50" s="268"/>
    </row>
    <row r="51" spans="1:33">
      <c r="B51" s="121"/>
      <c r="C51" s="122"/>
      <c r="D51" s="123">
        <f>SUMIF(D25:D49,"",P25:P49)+D50</f>
        <v>954702.3</v>
      </c>
      <c r="E51" s="124"/>
      <c r="F51" s="122"/>
      <c r="G51" s="122"/>
      <c r="H51" s="125"/>
      <c r="I51" s="227"/>
      <c r="J51" s="125"/>
      <c r="L51" s="127"/>
      <c r="M51" s="124"/>
      <c r="N51" s="127"/>
      <c r="O51" s="127"/>
      <c r="P51" s="127"/>
      <c r="Q51" s="128"/>
    </row>
    <row r="52" spans="1:33">
      <c r="D52" s="130"/>
    </row>
    <row r="54" spans="1:33">
      <c r="D54" s="130"/>
    </row>
    <row r="55" spans="1:33">
      <c r="D55" s="130"/>
    </row>
  </sheetData>
  <mergeCells count="29">
    <mergeCell ref="P22:W22"/>
    <mergeCell ref="B50:C50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66" priority="233" operator="lessThan">
      <formula>0</formula>
    </cfRule>
    <cfRule type="cellIs" dxfId="165" priority="231" operator="greaterThan">
      <formula>0</formula>
    </cfRule>
  </conditionalFormatting>
  <conditionalFormatting sqref="J25:J43">
    <cfRule type="cellIs" dxfId="164" priority="21" operator="lessThan">
      <formula>$I$12</formula>
    </cfRule>
  </conditionalFormatting>
  <conditionalFormatting sqref="J25:J49">
    <cfRule type="cellIs" dxfId="163" priority="22" operator="greaterThan">
      <formula>$I$12</formula>
    </cfRule>
  </conditionalFormatting>
  <conditionalFormatting sqref="J44:J49">
    <cfRule type="cellIs" dxfId="162" priority="240" operator="lessThan">
      <formula>$I$12</formula>
    </cfRule>
  </conditionalFormatting>
  <conditionalFormatting sqref="K8">
    <cfRule type="cellIs" dxfId="161" priority="2" operator="lessThan">
      <formula>$K$17</formula>
    </cfRule>
    <cfRule type="cellIs" dxfId="160" priority="1" operator="greaterThan">
      <formula>$K$17</formula>
    </cfRule>
  </conditionalFormatting>
  <conditionalFormatting sqref="K10:K12 K15">
    <cfRule type="cellIs" dxfId="159" priority="234" operator="lessThan">
      <formula>1</formula>
    </cfRule>
    <cfRule type="cellIs" dxfId="158" priority="230" operator="greaterThan">
      <formula>1</formula>
    </cfRule>
  </conditionalFormatting>
  <conditionalFormatting sqref="K13">
    <cfRule type="cellIs" dxfId="157" priority="227" operator="greaterThan">
      <formula>$K$14</formula>
    </cfRule>
    <cfRule type="cellIs" dxfId="156" priority="226" operator="lessThan">
      <formula>$K$14</formula>
    </cfRule>
  </conditionalFormatting>
  <conditionalFormatting sqref="M8:M15">
    <cfRule type="cellIs" dxfId="155" priority="229" operator="greaterThan">
      <formula>1</formula>
    </cfRule>
    <cfRule type="cellIs" dxfId="154" priority="228" operator="lessThan">
      <formula>1</formula>
    </cfRule>
  </conditionalFormatting>
  <conditionalFormatting sqref="N25:N43">
    <cfRule type="cellIs" dxfId="153" priority="18" operator="between">
      <formula>0.2</formula>
      <formula>0.25</formula>
    </cfRule>
  </conditionalFormatting>
  <conditionalFormatting sqref="N25:N49">
    <cfRule type="cellIs" dxfId="152" priority="20" operator="lessThan">
      <formula>0.2</formula>
    </cfRule>
    <cfRule type="cellIs" dxfId="151" priority="19" operator="greaterThanOrEqual">
      <formula>0.25</formula>
    </cfRule>
  </conditionalFormatting>
  <conditionalFormatting sqref="N44:N49">
    <cfRule type="cellIs" dxfId="150" priority="241" operator="between">
      <formula>0.2</formula>
      <formula>0.25</formula>
    </cfRule>
  </conditionalFormatting>
  <conditionalFormatting sqref="O25:O43">
    <cfRule type="cellIs" dxfId="149" priority="16" operator="between">
      <formula>0.85</formula>
      <formula>1</formula>
    </cfRule>
    <cfRule type="cellIs" dxfId="148" priority="13" operator="lessThan">
      <formula>0.9</formula>
    </cfRule>
    <cfRule type="cellIs" dxfId="147" priority="12" operator="between">
      <formula>0.9001</formula>
      <formula>0.9999</formula>
    </cfRule>
  </conditionalFormatting>
  <conditionalFormatting sqref="O25:O49">
    <cfRule type="cellIs" dxfId="146" priority="17" operator="between">
      <formula>0.01</formula>
      <formula>0.99</formula>
    </cfRule>
    <cfRule type="cellIs" dxfId="145" priority="15" operator="greaterThan">
      <formula>100</formula>
    </cfRule>
    <cfRule type="cellIs" dxfId="144" priority="14" operator="greaterThan">
      <formula>1</formula>
    </cfRule>
  </conditionalFormatting>
  <conditionalFormatting sqref="O44:O49">
    <cfRule type="cellIs" dxfId="143" priority="242" operator="between">
      <formula>0.85</formula>
      <formula>1</formula>
    </cfRule>
    <cfRule type="cellIs" dxfId="142" priority="243" operator="lessThan">
      <formula>0.9</formula>
    </cfRule>
    <cfRule type="cellIs" dxfId="141" priority="244" operator="between">
      <formula>0.9001</formula>
      <formula>0.9999</formula>
    </cfRule>
  </conditionalFormatting>
  <conditionalFormatting sqref="P10:Q10">
    <cfRule type="cellIs" dxfId="140" priority="232" operator="lessThan">
      <formula>0</formula>
    </cfRule>
  </conditionalFormatting>
  <conditionalFormatting sqref="T13 W13 T19">
    <cfRule type="cellIs" dxfId="139" priority="5" operator="greaterThan">
      <formula>0.95</formula>
    </cfRule>
    <cfRule type="cellIs" dxfId="138" priority="4" operator="lessThan">
      <formula>0.9</formula>
    </cfRule>
    <cfRule type="cellIs" dxfId="137" priority="3" operator="between">
      <formula>0.9</formula>
      <formula>0.95</formula>
    </cfRule>
  </conditionalFormatting>
  <conditionalFormatting sqref="W13">
    <cfRule type="cellIs" dxfId="136" priority="8" operator="greaterThan">
      <formula>"100;"</formula>
    </cfRule>
    <cfRule type="cellIs" dxfId="135" priority="7" operator="greaterThan">
      <formula>1</formula>
    </cfRule>
    <cfRule type="cellIs" dxfId="134" priority="6" operator="lessThan">
      <formula>1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U54"/>
  <sheetViews>
    <sheetView showZeros="0" topLeftCell="A22" workbookViewId="0">
      <pane xSplit="3" topLeftCell="D1" activePane="topRight" state="frozen"/>
      <selection activeCell="U26" sqref="U26"/>
      <selection pane="topRight" activeCell="K40" sqref="K40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57">
        <f ca="1">TODAY()-1</f>
        <v>45909</v>
      </c>
      <c r="C1" s="657"/>
      <c r="D1" s="11"/>
      <c r="E1" s="11"/>
      <c r="F1" s="12"/>
      <c r="G1" s="12"/>
      <c r="H1" s="12"/>
      <c r="I1" s="12"/>
      <c r="J1" s="199"/>
      <c r="K1" s="199"/>
      <c r="L1" s="199"/>
      <c r="M1" s="199"/>
      <c r="N1" s="199"/>
      <c r="O1" s="199"/>
      <c r="P1" s="199"/>
      <c r="Q1" s="658"/>
      <c r="R1" s="658"/>
      <c r="S1" s="658"/>
      <c r="T1" s="658"/>
      <c r="U1" s="12"/>
      <c r="V1" s="12"/>
      <c r="W1" s="12"/>
    </row>
    <row r="2" spans="2:23" ht="21.75" customHeight="1">
      <c r="B2" s="659" t="s">
        <v>0</v>
      </c>
      <c r="C2" s="659"/>
      <c r="D2" s="11"/>
      <c r="E2" s="11"/>
      <c r="F2" s="12"/>
      <c r="G2" s="12"/>
      <c r="H2" s="12"/>
      <c r="I2" s="12"/>
      <c r="J2" s="660" t="s">
        <v>71</v>
      </c>
      <c r="K2" s="660"/>
      <c r="L2" s="660"/>
      <c r="M2" s="660"/>
      <c r="N2" s="660"/>
      <c r="O2" s="660"/>
      <c r="P2" s="660"/>
      <c r="Q2" s="658"/>
      <c r="R2" s="658"/>
      <c r="S2" s="658"/>
      <c r="T2" s="658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61" t="str">
        <f>График!B27</f>
        <v>Яковенко Алина</v>
      </c>
      <c r="K3" s="662"/>
      <c r="L3" s="662"/>
      <c r="M3" s="662"/>
      <c r="N3" s="663"/>
      <c r="O3" s="199"/>
      <c r="P3" s="200"/>
      <c r="Q3" s="658"/>
      <c r="R3" s="658"/>
      <c r="S3" s="658"/>
      <c r="T3" s="658"/>
      <c r="U3" s="12"/>
      <c r="V3" s="12"/>
      <c r="W3" s="12"/>
    </row>
    <row r="4" spans="2:23" ht="15" customHeight="1">
      <c r="B4" s="11"/>
      <c r="C4" s="667">
        <f>I8-D49</f>
        <v>204593.31293463148</v>
      </c>
      <c r="D4" s="668"/>
      <c r="E4" s="201">
        <f>IF(I8&lt;&gt;0,C4/I8,0)</f>
        <v>0.13548639994718428</v>
      </c>
      <c r="F4" s="12"/>
      <c r="G4" s="12"/>
      <c r="H4" s="12"/>
      <c r="I4" s="12"/>
      <c r="J4" s="664"/>
      <c r="K4" s="665"/>
      <c r="L4" s="665"/>
      <c r="M4" s="665"/>
      <c r="N4" s="666"/>
      <c r="O4" s="12"/>
      <c r="P4" s="12"/>
      <c r="Q4" s="658"/>
      <c r="R4" s="658"/>
      <c r="S4" s="658"/>
      <c r="T4" s="658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9"/>
      <c r="K5" s="669"/>
      <c r="L5" s="669"/>
      <c r="M5" s="669"/>
      <c r="N5" s="669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2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2"/>
      <c r="C7" s="12"/>
      <c r="D7" s="12"/>
      <c r="E7" s="12"/>
      <c r="F7" s="582" t="s">
        <v>3</v>
      </c>
      <c r="G7" s="583"/>
      <c r="H7" s="584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85" t="s">
        <v>11</v>
      </c>
      <c r="Q7" s="586"/>
      <c r="R7" s="21"/>
      <c r="S7" s="21"/>
      <c r="T7" s="12"/>
      <c r="U7" s="12"/>
      <c r="V7" s="12"/>
      <c r="W7" s="12"/>
    </row>
    <row r="8" spans="2:23" ht="15.75" customHeight="1">
      <c r="B8" s="202"/>
      <c r="C8" s="12"/>
      <c r="D8" s="12"/>
      <c r="E8" s="12"/>
      <c r="F8" s="587" t="s">
        <v>12</v>
      </c>
      <c r="G8" s="588"/>
      <c r="H8" s="589"/>
      <c r="I8" s="203">
        <f>'Ялта, Ленина, 18'!I8/График!AJ31*График!AJ27</f>
        <v>1510065.3129346315</v>
      </c>
      <c r="J8" s="204">
        <f>D49</f>
        <v>1305472</v>
      </c>
      <c r="K8" s="30">
        <f t="shared" ref="K8:K9" si="0">IF(AND(I8&lt;&gt;"",I8&lt;&gt;0,J8&lt;&gt;""),J8/I8,"")</f>
        <v>0.86451360005281574</v>
      </c>
      <c r="L8" s="205">
        <f>IF(SUMIF($D$25:$D$48,"&gt;=0",$P$25:$P$48)&lt;&gt;0,I8*D49/SUMIF($D$25:$D$48,"&gt;=0",$P$25:$P$48),0)</f>
        <v>1305471.9999999995</v>
      </c>
      <c r="M8" s="32">
        <f t="shared" ref="M8:M9" si="1">IF(AND(I8&lt;&gt;"",I8&lt;&gt;0,L8&lt;&gt;"",L8&lt;&gt;0),L8/I8,"")</f>
        <v>0.86451360005281541</v>
      </c>
      <c r="N8" s="35">
        <f t="shared" ref="N8:N9" si="2">IF(AND(J8&lt;&gt;0,J8&lt;&gt;"",I8&lt;&gt;0,I8&lt;&gt;""),L8-I8,"")</f>
        <v>-204593.31293463195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2"/>
      <c r="C9" s="12"/>
      <c r="D9" s="12"/>
      <c r="E9" s="12"/>
      <c r="F9" s="590" t="s">
        <v>13</v>
      </c>
      <c r="G9" s="591"/>
      <c r="H9" s="592"/>
      <c r="I9" s="38">
        <f>I8/I11</f>
        <v>251.67755215577191</v>
      </c>
      <c r="J9" s="39">
        <f>E49</f>
        <v>249</v>
      </c>
      <c r="K9" s="269">
        <f t="shared" si="0"/>
        <v>0.98936118007809182</v>
      </c>
      <c r="L9" s="207">
        <f>IF(SUMIF($E$25:$E$48,"&gt;=0",$Q$25:$Q$48)&lt;&gt;0,I9*E49/SUMIF($E$25:$E$48,"&gt;=0",$Q$25:$Q$48),0)</f>
        <v>248.99999999999986</v>
      </c>
      <c r="M9" s="42">
        <f t="shared" si="1"/>
        <v>0.98936118007809126</v>
      </c>
      <c r="N9" s="43">
        <f t="shared" si="2"/>
        <v>-2.6775521557720481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2"/>
      <c r="C10" s="12"/>
      <c r="D10" s="12"/>
      <c r="E10" s="12"/>
      <c r="F10" s="587" t="s">
        <v>14</v>
      </c>
      <c r="G10" s="588"/>
      <c r="H10" s="589"/>
      <c r="I10" s="50">
        <f>I11*I12</f>
        <v>10200</v>
      </c>
      <c r="J10" s="209">
        <f>H49</f>
        <v>9742.3283582089553</v>
      </c>
      <c r="K10" s="270">
        <f t="shared" ref="K10:K19" si="5">IF(AND(I10&lt;&gt;"",I10&lt;&gt;0,J10&lt;&gt;""),J10/I10,"")</f>
        <v>0.95513023119695639</v>
      </c>
      <c r="L10" s="207">
        <f>J10</f>
        <v>9742.3283582089553</v>
      </c>
      <c r="M10" s="48">
        <f t="shared" ref="M10:M20" si="6">IF(AND(I10&lt;&gt;"",I10&lt;&gt;0,L10&lt;&gt;"",L10&lt;&gt;0),L10/I10,"")</f>
        <v>0.95513023119695639</v>
      </c>
      <c r="N10" s="49">
        <f t="shared" ref="N10:N20" si="7">IF(AND(J10&lt;&gt;0,J10&lt;&gt;"",I10&lt;&gt;0,I10&lt;&gt;""),L10-I10,"")</f>
        <v>-457.67164179104475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97" t="s">
        <v>36</v>
      </c>
      <c r="T10" s="597"/>
      <c r="U10" s="12"/>
      <c r="V10" s="597" t="str">
        <f>M23</f>
        <v>Agafi</v>
      </c>
      <c r="W10" s="597"/>
    </row>
    <row r="11" spans="2:23" ht="15.75" customHeight="1">
      <c r="B11" s="202"/>
      <c r="C11" s="12"/>
      <c r="D11" s="12"/>
      <c r="E11" s="12"/>
      <c r="F11" s="590" t="s">
        <v>15</v>
      </c>
      <c r="G11" s="591"/>
      <c r="H11" s="592"/>
      <c r="I11" s="52">
        <f>'Ялта, Ленина, 18'!I11</f>
        <v>6000</v>
      </c>
      <c r="J11" s="39">
        <f>F49</f>
        <v>5242.8594377510044</v>
      </c>
      <c r="K11" s="271">
        <f t="shared" si="5"/>
        <v>0.87380990629183408</v>
      </c>
      <c r="L11" s="207">
        <f>IF(L9&gt;0,L8/L9,"")</f>
        <v>5242.8594377510053</v>
      </c>
      <c r="M11" s="42">
        <f t="shared" si="6"/>
        <v>0.87380990629183419</v>
      </c>
      <c r="N11" s="43">
        <f t="shared" si="7"/>
        <v>-757.14056224899468</v>
      </c>
      <c r="O11" s="53"/>
      <c r="P11" s="43" t="str">
        <f t="shared" si="8"/>
        <v/>
      </c>
      <c r="Q11" s="45" t="str">
        <f t="shared" si="9"/>
        <v/>
      </c>
      <c r="R11" s="21"/>
      <c r="S11" s="597"/>
      <c r="T11" s="597"/>
      <c r="U11" s="12"/>
      <c r="V11" s="597"/>
      <c r="W11" s="597"/>
    </row>
    <row r="12" spans="2:23" ht="15.75" customHeight="1">
      <c r="B12" s="202"/>
      <c r="C12" s="12"/>
      <c r="D12" s="12"/>
      <c r="E12" s="12"/>
      <c r="F12" s="590" t="s">
        <v>16</v>
      </c>
      <c r="G12" s="591"/>
      <c r="H12" s="592"/>
      <c r="I12" s="54">
        <f>'Ялта, Ленина, 18'!I12</f>
        <v>1.7</v>
      </c>
      <c r="J12" s="55">
        <f>J49</f>
        <v>1.8582089552238805</v>
      </c>
      <c r="K12" s="271">
        <f t="shared" si="5"/>
        <v>1.0930640913081651</v>
      </c>
      <c r="L12" s="213">
        <f>J12</f>
        <v>1.8582089552238805</v>
      </c>
      <c r="M12" s="42">
        <f t="shared" si="6"/>
        <v>1.0930640913081651</v>
      </c>
      <c r="N12" s="57">
        <f t="shared" si="7"/>
        <v>0.15820895522388057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18'!S12*График!AJ27/График!AJ31</f>
        <v>244172.46175243394</v>
      </c>
      <c r="T12" s="60">
        <f>L49</f>
        <v>114340</v>
      </c>
      <c r="U12" s="230">
        <f>S12-T12</f>
        <v>129832.46175243394</v>
      </c>
      <c r="V12" s="59">
        <f>'Ялта, Ленина, 18'!V12/График!AJ31*График!AJ27</f>
        <v>147788.59527121001</v>
      </c>
      <c r="W12" s="60">
        <f>M49</f>
        <v>156232.31</v>
      </c>
    </row>
    <row r="13" spans="2:23" ht="15.75" customHeight="1">
      <c r="B13" s="202"/>
      <c r="C13" s="12"/>
      <c r="D13" s="12"/>
      <c r="E13" s="12"/>
      <c r="F13" s="590" t="s">
        <v>17</v>
      </c>
      <c r="G13" s="591"/>
      <c r="H13" s="592"/>
      <c r="I13" s="38">
        <f>IF(I12&lt;&gt;0,I9/I12,"")</f>
        <v>148.04561891515993</v>
      </c>
      <c r="J13" s="39">
        <f>G49</f>
        <v>134</v>
      </c>
      <c r="K13" s="269">
        <f t="shared" si="5"/>
        <v>0.90512641293891305</v>
      </c>
      <c r="L13" s="207">
        <f>IF(SUMIF($G$25:$G$48,"&gt;=0",$R$25:$R$48)&lt;&gt;0,I13*G49/SUMIF($G$25:$G$48,"&gt;=0",$R$25:$R$48),"")</f>
        <v>134</v>
      </c>
      <c r="M13" s="42">
        <f t="shared" si="6"/>
        <v>0.90512641293891305</v>
      </c>
      <c r="N13" s="57">
        <f t="shared" si="7"/>
        <v>-14.045618915159935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0.46827557530189107</v>
      </c>
      <c r="T13" s="62">
        <f>S13/J14*I14</f>
        <v>0.46827557530189112</v>
      </c>
      <c r="U13" s="12"/>
      <c r="V13" s="62">
        <f>W12/V12</f>
        <v>1.0571337369659326</v>
      </c>
      <c r="W13" s="62">
        <f>V13/J14*I14</f>
        <v>1.0571337369659326</v>
      </c>
    </row>
    <row r="14" spans="2:23" ht="15.75" customHeight="1">
      <c r="B14" s="202"/>
      <c r="C14" s="12"/>
      <c r="D14" s="214"/>
      <c r="E14" s="12"/>
      <c r="F14" s="590" t="s">
        <v>68</v>
      </c>
      <c r="G14" s="591"/>
      <c r="H14" s="592"/>
      <c r="I14" s="52">
        <f>График!AI27</f>
        <v>21</v>
      </c>
      <c r="J14" s="64">
        <v>21</v>
      </c>
      <c r="K14" s="269">
        <f t="shared" si="5"/>
        <v>1</v>
      </c>
      <c r="L14" s="41">
        <f>I14</f>
        <v>21</v>
      </c>
      <c r="M14" s="42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02"/>
      <c r="C15" s="12"/>
      <c r="D15" s="12"/>
      <c r="E15" s="12"/>
      <c r="F15" s="590" t="s">
        <v>19</v>
      </c>
      <c r="G15" s="591"/>
      <c r="H15" s="592"/>
      <c r="I15" s="75">
        <f>'Ялта, Ленина, 18'!I15</f>
        <v>151618.06451612903</v>
      </c>
      <c r="J15" s="67">
        <f>J8/J14</f>
        <v>62165.333333333336</v>
      </c>
      <c r="K15" s="77">
        <f t="shared" si="5"/>
        <v>0.41001270878721863</v>
      </c>
      <c r="L15" s="72">
        <f t="shared" ref="L15:L16" si="10">J15</f>
        <v>62165.333333333336</v>
      </c>
      <c r="M15" s="70">
        <f t="shared" si="6"/>
        <v>0.41001270878721863</v>
      </c>
      <c r="N15" s="43">
        <f t="shared" si="7"/>
        <v>-89452.731182795687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02"/>
      <c r="C16" s="12"/>
      <c r="D16" s="12"/>
      <c r="E16" s="12"/>
      <c r="F16" s="590" t="s">
        <v>20</v>
      </c>
      <c r="G16" s="591"/>
      <c r="H16" s="592"/>
      <c r="I16" s="75"/>
      <c r="J16" s="67">
        <f>J8-I15*J14</f>
        <v>-1878507.3548387098</v>
      </c>
      <c r="K16" s="77" t="str">
        <f t="shared" si="5"/>
        <v/>
      </c>
      <c r="L16" s="72">
        <f t="shared" si="10"/>
        <v>-1878507.3548387098</v>
      </c>
      <c r="M16" s="73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97" t="s">
        <v>35</v>
      </c>
      <c r="T16" s="597"/>
      <c r="U16" s="12"/>
      <c r="V16" s="12"/>
      <c r="W16" s="12"/>
    </row>
    <row r="17" spans="1:30" ht="15.75" customHeight="1">
      <c r="B17" s="202"/>
      <c r="C17" s="12"/>
      <c r="D17" s="12"/>
      <c r="E17" s="12"/>
      <c r="F17" s="590" t="s">
        <v>21</v>
      </c>
      <c r="G17" s="591"/>
      <c r="H17" s="592"/>
      <c r="I17" s="75">
        <f>'Ялта, Ленина, 18'!I17/График!AJ31*График!AJ27</f>
        <v>822.47566063977752</v>
      </c>
      <c r="J17" s="67">
        <f>I49</f>
        <v>898</v>
      </c>
      <c r="K17" s="77">
        <f t="shared" si="5"/>
        <v>1.0918256222943723</v>
      </c>
      <c r="L17" s="78">
        <f>J17/J14*I14</f>
        <v>898</v>
      </c>
      <c r="M17" s="73">
        <f t="shared" si="6"/>
        <v>1.0918256222943723</v>
      </c>
      <c r="N17" s="43">
        <f t="shared" si="7"/>
        <v>75.524339360222484</v>
      </c>
      <c r="O17" s="71"/>
      <c r="P17" s="43" t="str">
        <f t="shared" si="8"/>
        <v/>
      </c>
      <c r="Q17" s="45" t="str">
        <f t="shared" si="9"/>
        <v/>
      </c>
      <c r="R17" s="21"/>
      <c r="S17" s="597"/>
      <c r="T17" s="597"/>
      <c r="U17" s="12"/>
      <c r="V17" s="12"/>
      <c r="W17" s="12"/>
    </row>
    <row r="18" spans="1:30" ht="15.75" customHeight="1">
      <c r="B18" s="202"/>
      <c r="C18" s="12"/>
      <c r="D18" s="12"/>
      <c r="E18" s="12"/>
      <c r="F18" s="590"/>
      <c r="G18" s="591"/>
      <c r="H18" s="592"/>
      <c r="I18" s="76"/>
      <c r="J18" s="67"/>
      <c r="K18" s="77" t="str">
        <f t="shared" si="5"/>
        <v/>
      </c>
      <c r="L18" s="72">
        <f t="shared" ref="L18:L19" si="11">J18</f>
        <v>0</v>
      </c>
      <c r="M18" s="73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18'!S18*График!AJ27/График!AJ31</f>
        <v>282726.0083449235</v>
      </c>
      <c r="T18" s="60">
        <f>K49</f>
        <v>93951</v>
      </c>
      <c r="U18" s="230">
        <f>S18-T18</f>
        <v>188775.0083449235</v>
      </c>
      <c r="V18" s="12"/>
      <c r="W18" s="12"/>
    </row>
    <row r="19" spans="1:30" ht="15.75" customHeight="1">
      <c r="B19" s="202"/>
      <c r="C19" s="12"/>
      <c r="D19" s="12"/>
      <c r="E19" s="12"/>
      <c r="F19" s="590"/>
      <c r="G19" s="591"/>
      <c r="H19" s="592"/>
      <c r="I19" s="76"/>
      <c r="J19" s="67"/>
      <c r="K19" s="77" t="str">
        <f t="shared" si="5"/>
        <v/>
      </c>
      <c r="L19" s="72">
        <f t="shared" si="11"/>
        <v>0</v>
      </c>
      <c r="M19" s="73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0.33230405844155847</v>
      </c>
      <c r="T19" s="62">
        <f>S19/J14*I14</f>
        <v>0.33230405844155847</v>
      </c>
      <c r="U19" s="12"/>
      <c r="V19" s="12"/>
      <c r="W19" s="12"/>
    </row>
    <row r="20" spans="1:30" ht="15.75" customHeight="1">
      <c r="B20" s="202"/>
      <c r="C20" s="12"/>
      <c r="D20" s="12"/>
      <c r="E20" s="12"/>
      <c r="F20" s="598" t="s">
        <v>22</v>
      </c>
      <c r="G20" s="598"/>
      <c r="H20" s="598"/>
      <c r="I20" s="217">
        <f>'Ялта, Ленина, 18'!I20</f>
        <v>0.18</v>
      </c>
      <c r="J20" s="218">
        <f>N49</f>
        <v>0.1492204899777283</v>
      </c>
      <c r="K20" s="218">
        <f>J20/I20</f>
        <v>0.82900272209849057</v>
      </c>
      <c r="L20" s="220">
        <f>IF(AND(K8&lt;&gt;0,I14&lt;&gt;0,I49&lt;&gt;0),(I49*N49+(I49/K8-I49)*I20)/(I49/K8),0)</f>
        <v>0.15339069498278415</v>
      </c>
      <c r="M20" s="83">
        <f t="shared" si="6"/>
        <v>0.85217052768213419</v>
      </c>
      <c r="N20" s="84">
        <f t="shared" si="7"/>
        <v>-2.660930501721584E-2</v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30" ht="15.75" customHeight="1">
      <c r="B21" s="20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0" ht="16.5" customHeight="1">
      <c r="B22" s="676" t="s">
        <v>23</v>
      </c>
      <c r="C22" s="676"/>
      <c r="D22" s="676"/>
      <c r="E22" s="676"/>
      <c r="F22" s="676"/>
      <c r="G22" s="676"/>
      <c r="H22" s="676"/>
      <c r="I22" s="676"/>
      <c r="J22" s="676"/>
      <c r="K22" s="676"/>
      <c r="L22" s="676"/>
      <c r="M22" s="676"/>
      <c r="N22" s="676"/>
      <c r="O22" s="677" t="s">
        <v>24</v>
      </c>
      <c r="P22" s="676" t="s">
        <v>25</v>
      </c>
      <c r="Q22" s="676"/>
      <c r="R22" s="676"/>
      <c r="S22" s="676"/>
      <c r="T22" s="676"/>
      <c r="U22" s="676"/>
      <c r="V22" s="676"/>
      <c r="W22" s="676"/>
    </row>
    <row r="23" spans="1:30" ht="36">
      <c r="B23" s="221" t="s">
        <v>27</v>
      </c>
      <c r="C23" s="221" t="s">
        <v>28</v>
      </c>
      <c r="D23" s="221" t="s">
        <v>29</v>
      </c>
      <c r="E23" s="221" t="s">
        <v>30</v>
      </c>
      <c r="F23" s="221" t="s">
        <v>31</v>
      </c>
      <c r="G23" s="221" t="s">
        <v>32</v>
      </c>
      <c r="H23" s="221" t="s">
        <v>33</v>
      </c>
      <c r="I23" s="221" t="s">
        <v>21</v>
      </c>
      <c r="J23" s="221" t="s">
        <v>34</v>
      </c>
      <c r="K23" s="90" t="s">
        <v>35</v>
      </c>
      <c r="L23" s="90" t="s">
        <v>36</v>
      </c>
      <c r="M23" s="90" t="s">
        <v>37</v>
      </c>
      <c r="N23" s="221" t="s">
        <v>38</v>
      </c>
      <c r="O23" s="677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2" t="s">
        <v>45</v>
      </c>
      <c r="W23" s="222" t="s">
        <v>46</v>
      </c>
      <c r="X23" s="130"/>
    </row>
    <row r="24" spans="1:30">
      <c r="B24" s="223">
        <v>1</v>
      </c>
      <c r="C24" s="224">
        <v>2</v>
      </c>
      <c r="D24" s="223">
        <v>3</v>
      </c>
      <c r="E24" s="223">
        <v>4</v>
      </c>
      <c r="F24" s="223">
        <v>5</v>
      </c>
      <c r="G24" s="223">
        <v>6</v>
      </c>
      <c r="H24" s="223">
        <v>7</v>
      </c>
      <c r="I24" s="223">
        <v>8</v>
      </c>
      <c r="J24" s="223">
        <v>9</v>
      </c>
      <c r="K24" s="223">
        <v>10</v>
      </c>
      <c r="L24" s="223">
        <v>11</v>
      </c>
      <c r="M24" s="223">
        <v>12</v>
      </c>
      <c r="N24" s="223">
        <v>13</v>
      </c>
      <c r="O24" s="677"/>
      <c r="P24" s="225">
        <v>1</v>
      </c>
      <c r="Q24" s="225">
        <v>2</v>
      </c>
      <c r="R24" s="225">
        <v>3</v>
      </c>
      <c r="S24" s="225">
        <v>4</v>
      </c>
      <c r="T24" s="225">
        <v>5</v>
      </c>
      <c r="U24" s="225">
        <v>6</v>
      </c>
      <c r="V24" s="225">
        <v>10</v>
      </c>
      <c r="W24" s="225">
        <v>11</v>
      </c>
    </row>
    <row r="25" spans="1:30">
      <c r="A25" s="95">
        <v>1</v>
      </c>
      <c r="B25" s="96">
        <v>45870</v>
      </c>
      <c r="C25" s="97" t="s">
        <v>48</v>
      </c>
      <c r="D25" s="98">
        <v>15952</v>
      </c>
      <c r="E25" s="99">
        <v>4</v>
      </c>
      <c r="F25" s="99">
        <f t="shared" ref="F25:F49" si="12">IF(AND(E25&lt;&gt;"",E25&lt;&gt;0),D25/E25,"")</f>
        <v>3988</v>
      </c>
      <c r="G25" s="99">
        <v>3</v>
      </c>
      <c r="H25" s="99">
        <f t="shared" ref="H25:H49" si="13">IF(AND(G25&lt;&gt;"",G25&lt;&gt;0),D25/G25,"")</f>
        <v>5317.333333333333</v>
      </c>
      <c r="I25" s="99">
        <v>20</v>
      </c>
      <c r="J25" s="98">
        <f t="shared" ref="J25:J49" si="14">IF(AND(G25&lt;&gt;"",G25&lt;&gt;0),E25/G25,"")</f>
        <v>1.3333333333333333</v>
      </c>
      <c r="K25" s="99"/>
      <c r="L25" s="99"/>
      <c r="M25" s="99">
        <v>4772.0600000000004</v>
      </c>
      <c r="N25" s="100">
        <f t="shared" ref="N25:N49" si="15">IF(AND(I25&lt;&gt;"",I25&lt;&gt;0),G25/I25,"")</f>
        <v>0.15</v>
      </c>
      <c r="O25" s="101">
        <f t="shared" ref="O25:O49" si="16">D25/P25</f>
        <v>0.15728296883661808</v>
      </c>
      <c r="P25" s="102">
        <f t="shared" ref="P25:P48" si="17">$I$8*V25*W25/SUMPRODUCT($W$25:$W$48,$V$25:$V$48)</f>
        <v>101422.29713740062</v>
      </c>
      <c r="Q25" s="103">
        <f t="shared" ref="Q25:Q48" si="18">$I$9*V25*W25/SUMPRODUCT($W$25:$W$48,$V$25:$V$48)</f>
        <v>16.903716189566769</v>
      </c>
      <c r="R25" s="103">
        <f t="shared" ref="R25:R48" si="19">IF($I$12="","",Q25/$I$12)</f>
        <v>9.9433624644510399</v>
      </c>
      <c r="S25" s="102">
        <f>IF(W25&lt;&gt;"",IF(D25&lt;&gt;"",D25,($I$8-SUM($S25:S$25))*V25*W25/SUMPRODUCT($W25:$W$48,$V25:$V$48)),"")</f>
        <v>15952</v>
      </c>
      <c r="T25" s="103">
        <f>IF(W25&lt;&gt;"",IF(E25&lt;&gt;"",E25,($I$9-SUM($T25:T$25))*V25*W25/SUMPRODUCT($W25:$W$48,$V25:$V$48)),"")</f>
        <v>4</v>
      </c>
      <c r="U25" s="103">
        <f>IF(W25&lt;&gt;"",IF($I$12&lt;&gt;"",IF(G25&lt;&gt;"",G25,($I$9/$I$12-SUM($U25:U$25))*V25*W25/SUMPRODUCT($W25:$W$48,$V25:$V$48)),""),"")</f>
        <v>3</v>
      </c>
      <c r="V25" s="104">
        <v>1.2</v>
      </c>
      <c r="W25" s="104">
        <v>1.2</v>
      </c>
      <c r="X25" s="107"/>
      <c r="Y25" s="106"/>
      <c r="Z25" s="2"/>
      <c r="AA25" s="2"/>
      <c r="AB25" s="2"/>
      <c r="AC25" s="2"/>
      <c r="AD25" s="2"/>
    </row>
    <row r="26" spans="1:30">
      <c r="A26" s="95">
        <v>2</v>
      </c>
      <c r="B26" s="96">
        <v>45872</v>
      </c>
      <c r="C26" s="97" t="s">
        <v>52</v>
      </c>
      <c r="D26" s="98">
        <v>95125.3</v>
      </c>
      <c r="E26" s="99">
        <v>20</v>
      </c>
      <c r="F26" s="99">
        <f t="shared" si="12"/>
        <v>4756.2650000000003</v>
      </c>
      <c r="G26" s="99">
        <v>10</v>
      </c>
      <c r="H26" s="99">
        <f t="shared" si="13"/>
        <v>9512.5300000000007</v>
      </c>
      <c r="I26" s="99">
        <v>55</v>
      </c>
      <c r="J26" s="98">
        <f t="shared" si="14"/>
        <v>2</v>
      </c>
      <c r="K26" s="99"/>
      <c r="L26" s="99"/>
      <c r="M26" s="99">
        <v>17173.25</v>
      </c>
      <c r="N26" s="100">
        <f t="shared" si="15"/>
        <v>0.18181818181818182</v>
      </c>
      <c r="O26" s="101">
        <f t="shared" si="16"/>
        <v>1.350594848137066</v>
      </c>
      <c r="P26" s="102">
        <f t="shared" si="17"/>
        <v>70432.150789861553</v>
      </c>
      <c r="Q26" s="103">
        <f t="shared" si="18"/>
        <v>11.738691798310258</v>
      </c>
      <c r="R26" s="103">
        <f t="shared" si="19"/>
        <v>6.9051128225354459</v>
      </c>
      <c r="S26" s="102">
        <f t="shared" ref="S26:S48" si="20">IF(W26&lt;&gt;"",IF(D26&lt;&gt;"",D26,($I$8-SUM($S$25:S26))*V26*W26/SUMPRODUCT($W26:$W$48,$V26:$V$48)),"")</f>
        <v>95125.3</v>
      </c>
      <c r="T26" s="103">
        <f>IF(W26&lt;&gt;"",IF(E26&lt;&gt;"",E26,($I$9-SUM($T25:T$25))*V26*W26/SUMPRODUCT($W26:$W$56,$V26:$V$56)),"")</f>
        <v>20</v>
      </c>
      <c r="U26" s="103">
        <f>IF(W26&lt;&gt;"",IF($I$12&lt;&gt;"",IF(G26&lt;&gt;"",G26,($I$9/$I$12-SUM($U25:U$25))*V26*W26/SUMPRODUCT($W26:$W$56,$V26:$V$56)),""),"")</f>
        <v>10</v>
      </c>
      <c r="V26" s="104">
        <v>1</v>
      </c>
      <c r="W26" s="104">
        <v>1</v>
      </c>
      <c r="X26" s="107"/>
      <c r="Y26" s="106"/>
      <c r="Z26" s="2"/>
      <c r="AA26" s="2"/>
      <c r="AB26" s="2"/>
      <c r="AC26" s="2"/>
      <c r="AD26" s="2"/>
    </row>
    <row r="27" spans="1:30">
      <c r="A27" s="95">
        <v>3</v>
      </c>
      <c r="B27" s="96">
        <v>45873</v>
      </c>
      <c r="C27" s="97" t="s">
        <v>53</v>
      </c>
      <c r="D27" s="98">
        <v>22552</v>
      </c>
      <c r="E27" s="99">
        <v>6</v>
      </c>
      <c r="F27" s="99">
        <v>3759</v>
      </c>
      <c r="G27" s="99">
        <v>5</v>
      </c>
      <c r="H27" s="99">
        <f t="shared" si="13"/>
        <v>4510.3999999999996</v>
      </c>
      <c r="I27" s="99">
        <v>30</v>
      </c>
      <c r="J27" s="98">
        <f t="shared" si="14"/>
        <v>1.2</v>
      </c>
      <c r="K27" s="99"/>
      <c r="L27" s="99"/>
      <c r="M27" s="99"/>
      <c r="N27" s="100">
        <f t="shared" si="15"/>
        <v>0.16666666666666666</v>
      </c>
      <c r="O27" s="101">
        <f t="shared" si="16"/>
        <v>0.32019468022899389</v>
      </c>
      <c r="P27" s="102">
        <f t="shared" si="17"/>
        <v>70432.150789861553</v>
      </c>
      <c r="Q27" s="103">
        <f t="shared" si="18"/>
        <v>11.738691798310258</v>
      </c>
      <c r="R27" s="103">
        <f t="shared" si="19"/>
        <v>6.9051128225354459</v>
      </c>
      <c r="S27" s="102">
        <f t="shared" si="20"/>
        <v>22552</v>
      </c>
      <c r="T27" s="103">
        <f t="shared" ref="T27:T29" si="21">IF(W27&lt;&gt;"",IF(E27&lt;&gt;"",E27,($I$9-SUM($T$25:T26))*V27*W27/SUMPRODUCT($W27:$W$56,$V27:$V$56)),"")</f>
        <v>6</v>
      </c>
      <c r="U27" s="103">
        <f t="shared" ref="U27:U45" si="22">IF(W27&lt;&gt;"",IF($I$12&lt;&gt;"",IF(G27&lt;&gt;"",G27,($I$9/$I$12-SUM($U$25:U26))*V27*W27/SUMPRODUCT($W27:$W$56,$V27:$V$56)),""),"")</f>
        <v>5</v>
      </c>
      <c r="V27" s="104">
        <v>1</v>
      </c>
      <c r="W27" s="104">
        <v>1</v>
      </c>
      <c r="X27" s="107"/>
      <c r="Y27" s="106"/>
      <c r="Z27" s="112"/>
      <c r="AA27" s="2"/>
      <c r="AB27" s="2"/>
      <c r="AC27" s="2"/>
      <c r="AD27" s="2"/>
    </row>
    <row r="28" spans="1:30">
      <c r="A28" s="95">
        <v>4</v>
      </c>
      <c r="B28" s="96">
        <v>45874</v>
      </c>
      <c r="C28" s="97" t="s">
        <v>55</v>
      </c>
      <c r="D28" s="98">
        <f>16203+35739.7</f>
        <v>51942.7</v>
      </c>
      <c r="E28" s="99">
        <v>11</v>
      </c>
      <c r="F28" s="99">
        <v>4725</v>
      </c>
      <c r="G28" s="99">
        <v>7</v>
      </c>
      <c r="H28" s="99">
        <f t="shared" si="13"/>
        <v>7420.3857142857141</v>
      </c>
      <c r="I28" s="99">
        <v>25</v>
      </c>
      <c r="J28" s="98">
        <f t="shared" si="14"/>
        <v>1.5714285714285714</v>
      </c>
      <c r="K28" s="99"/>
      <c r="L28" s="99">
        <v>16203</v>
      </c>
      <c r="M28" s="99"/>
      <c r="N28" s="100">
        <f t="shared" si="15"/>
        <v>0.28000000000000003</v>
      </c>
      <c r="O28" s="101">
        <f t="shared" si="16"/>
        <v>0.73748564281352258</v>
      </c>
      <c r="P28" s="102">
        <f t="shared" si="17"/>
        <v>70432.150789861553</v>
      </c>
      <c r="Q28" s="103">
        <f t="shared" si="18"/>
        <v>11.738691798310258</v>
      </c>
      <c r="R28" s="103">
        <f t="shared" si="19"/>
        <v>6.9051128225354459</v>
      </c>
      <c r="S28" s="102">
        <f t="shared" si="20"/>
        <v>51942.7</v>
      </c>
      <c r="T28" s="103">
        <f t="shared" si="21"/>
        <v>11</v>
      </c>
      <c r="U28" s="103">
        <f t="shared" si="22"/>
        <v>7</v>
      </c>
      <c r="V28" s="104">
        <v>1</v>
      </c>
      <c r="W28" s="104">
        <v>1</v>
      </c>
      <c r="X28" s="107"/>
      <c r="Y28" s="106"/>
      <c r="Z28" s="112"/>
    </row>
    <row r="29" spans="1:30">
      <c r="A29" s="95">
        <v>5</v>
      </c>
      <c r="B29" s="96">
        <v>45876</v>
      </c>
      <c r="C29" s="97" t="s">
        <v>57</v>
      </c>
      <c r="D29" s="98">
        <v>50326</v>
      </c>
      <c r="E29" s="99">
        <v>10</v>
      </c>
      <c r="F29" s="99">
        <v>5032</v>
      </c>
      <c r="G29" s="99">
        <v>6</v>
      </c>
      <c r="H29" s="99">
        <f t="shared" si="13"/>
        <v>8387.6666666666661</v>
      </c>
      <c r="I29" s="99">
        <v>55</v>
      </c>
      <c r="J29" s="98">
        <f t="shared" si="14"/>
        <v>1.6666666666666667</v>
      </c>
      <c r="K29" s="99"/>
      <c r="L29" s="99"/>
      <c r="M29" s="99">
        <v>12890</v>
      </c>
      <c r="N29" s="100">
        <f t="shared" si="15"/>
        <v>0.10909090909090909</v>
      </c>
      <c r="O29" s="101">
        <f t="shared" si="16"/>
        <v>0.71453163698139177</v>
      </c>
      <c r="P29" s="102">
        <f t="shared" si="17"/>
        <v>70432.150789861553</v>
      </c>
      <c r="Q29" s="103">
        <f t="shared" si="18"/>
        <v>11.738691798310258</v>
      </c>
      <c r="R29" s="103">
        <f t="shared" si="19"/>
        <v>6.9051128225354459</v>
      </c>
      <c r="S29" s="102">
        <f t="shared" si="20"/>
        <v>50326</v>
      </c>
      <c r="T29" s="103">
        <f t="shared" si="21"/>
        <v>10</v>
      </c>
      <c r="U29" s="103">
        <f t="shared" si="22"/>
        <v>6</v>
      </c>
      <c r="V29" s="104">
        <v>1</v>
      </c>
      <c r="W29" s="104">
        <v>1</v>
      </c>
      <c r="X29" s="107"/>
      <c r="Y29" s="106"/>
      <c r="Z29" s="112"/>
    </row>
    <row r="30" spans="1:30">
      <c r="A30" s="95">
        <v>6</v>
      </c>
      <c r="B30" s="96">
        <v>45877</v>
      </c>
      <c r="C30" s="97" t="s">
        <v>48</v>
      </c>
      <c r="D30" s="272">
        <f>25206+72488</f>
        <v>97694</v>
      </c>
      <c r="E30" s="99">
        <v>15</v>
      </c>
      <c r="F30" s="108">
        <f t="shared" si="12"/>
        <v>6512.9333333333334</v>
      </c>
      <c r="G30" s="99">
        <v>7</v>
      </c>
      <c r="H30" s="108">
        <f t="shared" si="13"/>
        <v>13956.285714285714</v>
      </c>
      <c r="I30" s="99">
        <v>40</v>
      </c>
      <c r="J30" s="98">
        <f t="shared" si="14"/>
        <v>2.1428571428571428</v>
      </c>
      <c r="K30" s="99"/>
      <c r="L30" s="99">
        <v>25206</v>
      </c>
      <c r="M30" s="99">
        <v>21280</v>
      </c>
      <c r="N30" s="100">
        <f t="shared" si="15"/>
        <v>0.17499999999999999</v>
      </c>
      <c r="O30" s="101">
        <f t="shared" si="16"/>
        <v>1.3870654084024179</v>
      </c>
      <c r="P30" s="102">
        <f t="shared" si="17"/>
        <v>70432.150789861553</v>
      </c>
      <c r="Q30" s="103">
        <f t="shared" si="18"/>
        <v>11.738691798310258</v>
      </c>
      <c r="R30" s="103">
        <f t="shared" si="19"/>
        <v>6.9051128225354459</v>
      </c>
      <c r="S30" s="102">
        <f t="shared" si="20"/>
        <v>97694</v>
      </c>
      <c r="T30" s="103">
        <f>IF(W30&lt;&gt;"",IF(E29&lt;&gt;"",E29,($I$9-SUM($T$25:T29))*V30*W30/SUMPRODUCT($W30:$W$56,$V30:$V$56)),"")</f>
        <v>10</v>
      </c>
      <c r="U30" s="103">
        <f t="shared" si="22"/>
        <v>7</v>
      </c>
      <c r="V30" s="104">
        <v>1</v>
      </c>
      <c r="W30" s="104">
        <v>1</v>
      </c>
      <c r="X30" s="106"/>
      <c r="Y30" s="106"/>
      <c r="Z30" s="2"/>
      <c r="AA30" s="2"/>
      <c r="AB30" s="2"/>
      <c r="AC30" s="2"/>
      <c r="AD30" s="2"/>
    </row>
    <row r="31" spans="1:30">
      <c r="A31" s="95">
        <v>7</v>
      </c>
      <c r="B31" s="96">
        <v>45878</v>
      </c>
      <c r="C31" s="97" t="s">
        <v>50</v>
      </c>
      <c r="D31" s="98">
        <f>21804+46362</f>
        <v>68166</v>
      </c>
      <c r="E31" s="108">
        <v>9</v>
      </c>
      <c r="F31" s="99">
        <f t="shared" si="12"/>
        <v>7574</v>
      </c>
      <c r="G31" s="108">
        <v>7</v>
      </c>
      <c r="H31" s="99">
        <f t="shared" si="13"/>
        <v>9738</v>
      </c>
      <c r="I31" s="108">
        <v>40</v>
      </c>
      <c r="J31" s="98">
        <f t="shared" si="14"/>
        <v>1.2857142857142858</v>
      </c>
      <c r="K31" s="99"/>
      <c r="L31" s="99">
        <v>21804</v>
      </c>
      <c r="M31" s="99">
        <v>20900</v>
      </c>
      <c r="N31" s="100">
        <f t="shared" si="15"/>
        <v>0.17499999999999999</v>
      </c>
      <c r="O31" s="101">
        <f t="shared" si="16"/>
        <v>0.96782505199049296</v>
      </c>
      <c r="P31" s="102">
        <f t="shared" si="17"/>
        <v>70432.150789861553</v>
      </c>
      <c r="Q31" s="103">
        <f t="shared" si="18"/>
        <v>11.738691798310258</v>
      </c>
      <c r="R31" s="103">
        <f t="shared" si="19"/>
        <v>6.9051128225354459</v>
      </c>
      <c r="S31" s="102">
        <f t="shared" si="20"/>
        <v>68166</v>
      </c>
      <c r="T31" s="103">
        <f t="shared" ref="T31:T43" si="23">IF(W31&lt;&gt;"",IF(E31&lt;&gt;"",E31,($I$9-SUM($T$25:T30))*V31*W31/SUMPRODUCT($W31:$W$56,$V31:$V$56)),"")</f>
        <v>9</v>
      </c>
      <c r="U31" s="103">
        <f t="shared" si="22"/>
        <v>7</v>
      </c>
      <c r="V31" s="104">
        <v>1</v>
      </c>
      <c r="W31" s="104">
        <v>1</v>
      </c>
      <c r="X31" s="106"/>
      <c r="Y31" s="106"/>
      <c r="Z31" s="2"/>
      <c r="AA31" s="2"/>
      <c r="AB31" s="2"/>
      <c r="AC31" s="2"/>
      <c r="AD31" s="2"/>
    </row>
    <row r="32" spans="1:30">
      <c r="A32" s="95">
        <v>8</v>
      </c>
      <c r="B32" s="96">
        <v>45880</v>
      </c>
      <c r="C32" s="97" t="s">
        <v>53</v>
      </c>
      <c r="D32" s="272">
        <v>35332</v>
      </c>
      <c r="E32" s="99">
        <v>8</v>
      </c>
      <c r="F32" s="99">
        <f t="shared" si="12"/>
        <v>4416.5</v>
      </c>
      <c r="G32" s="273">
        <v>4</v>
      </c>
      <c r="H32" s="99">
        <f t="shared" si="13"/>
        <v>8833</v>
      </c>
      <c r="I32" s="274">
        <v>30</v>
      </c>
      <c r="J32" s="98">
        <f t="shared" si="14"/>
        <v>2</v>
      </c>
      <c r="K32" s="99"/>
      <c r="L32" s="99"/>
      <c r="M32" s="99"/>
      <c r="N32" s="100">
        <f t="shared" si="15"/>
        <v>0.13333333333333333</v>
      </c>
      <c r="O32" s="101">
        <f t="shared" si="16"/>
        <v>0.5016459046581595</v>
      </c>
      <c r="P32" s="102">
        <f t="shared" si="17"/>
        <v>70432.150789861553</v>
      </c>
      <c r="Q32" s="103">
        <f t="shared" si="18"/>
        <v>11.738691798310258</v>
      </c>
      <c r="R32" s="103">
        <f t="shared" si="19"/>
        <v>6.9051128225354459</v>
      </c>
      <c r="S32" s="102">
        <f t="shared" si="20"/>
        <v>35332</v>
      </c>
      <c r="T32" s="103">
        <f t="shared" si="23"/>
        <v>8</v>
      </c>
      <c r="U32" s="103">
        <f t="shared" si="22"/>
        <v>4</v>
      </c>
      <c r="V32" s="104">
        <v>1</v>
      </c>
      <c r="W32" s="104">
        <v>1</v>
      </c>
      <c r="X32" s="106"/>
      <c r="Y32" s="106"/>
      <c r="Z32" s="2"/>
      <c r="AA32" s="2"/>
      <c r="AB32" s="2"/>
      <c r="AC32" s="2"/>
      <c r="AD32" s="2"/>
    </row>
    <row r="33" spans="1:30" s="235" customFormat="1">
      <c r="A33" s="95">
        <v>9</v>
      </c>
      <c r="B33" s="237">
        <v>45881</v>
      </c>
      <c r="C33" s="238" t="s">
        <v>55</v>
      </c>
      <c r="D33" s="233">
        <f>6003+14280+66878</f>
        <v>87161</v>
      </c>
      <c r="E33" s="275">
        <v>19</v>
      </c>
      <c r="F33" s="99">
        <f t="shared" si="12"/>
        <v>4587.4210526315792</v>
      </c>
      <c r="G33" s="276">
        <v>12</v>
      </c>
      <c r="H33" s="99">
        <f t="shared" si="13"/>
        <v>7263.416666666667</v>
      </c>
      <c r="I33" s="277">
        <v>55</v>
      </c>
      <c r="J33" s="98">
        <f t="shared" si="14"/>
        <v>1.5833333333333333</v>
      </c>
      <c r="K33" s="239"/>
      <c r="L33" s="239">
        <v>6003</v>
      </c>
      <c r="M33" s="239">
        <v>14280</v>
      </c>
      <c r="N33" s="240">
        <f t="shared" si="15"/>
        <v>0.21818181818181817</v>
      </c>
      <c r="O33" s="101">
        <f t="shared" si="16"/>
        <v>1.2375172278928404</v>
      </c>
      <c r="P33" s="102">
        <f t="shared" si="17"/>
        <v>70432.150789861553</v>
      </c>
      <c r="Q33" s="103">
        <f t="shared" si="18"/>
        <v>11.738691798310258</v>
      </c>
      <c r="R33" s="242">
        <f t="shared" si="19"/>
        <v>6.9051128225354459</v>
      </c>
      <c r="S33" s="102">
        <f t="shared" si="20"/>
        <v>87161</v>
      </c>
      <c r="T33" s="242">
        <f t="shared" si="23"/>
        <v>19</v>
      </c>
      <c r="U33" s="242">
        <f t="shared" si="22"/>
        <v>12</v>
      </c>
      <c r="V33" s="234">
        <v>1</v>
      </c>
      <c r="W33" s="234">
        <v>1</v>
      </c>
      <c r="X33" s="244"/>
      <c r="Y33" s="244"/>
      <c r="Z33" s="245"/>
      <c r="AA33" s="245"/>
      <c r="AB33" s="245"/>
      <c r="AC33" s="245"/>
      <c r="AD33" s="245"/>
    </row>
    <row r="34" spans="1:30" s="235" customFormat="1">
      <c r="A34" s="95">
        <v>10</v>
      </c>
      <c r="B34" s="237">
        <v>45882</v>
      </c>
      <c r="C34" s="278" t="s">
        <v>56</v>
      </c>
      <c r="D34" s="233">
        <v>83227</v>
      </c>
      <c r="E34" s="246">
        <v>10</v>
      </c>
      <c r="F34" s="99">
        <f t="shared" si="12"/>
        <v>8322.7000000000007</v>
      </c>
      <c r="G34" s="246">
        <v>3</v>
      </c>
      <c r="H34" s="99">
        <f t="shared" si="13"/>
        <v>27742.333333333332</v>
      </c>
      <c r="I34" s="246">
        <v>20</v>
      </c>
      <c r="J34" s="98">
        <f t="shared" si="14"/>
        <v>3.3333333333333335</v>
      </c>
      <c r="K34" s="239">
        <v>47980</v>
      </c>
      <c r="L34" s="239">
        <v>6203</v>
      </c>
      <c r="M34" s="239"/>
      <c r="N34" s="240">
        <f t="shared" si="15"/>
        <v>0.15</v>
      </c>
      <c r="O34" s="241">
        <f t="shared" si="16"/>
        <v>1.1816620544261474</v>
      </c>
      <c r="P34" s="102">
        <f t="shared" si="17"/>
        <v>70432.150789861553</v>
      </c>
      <c r="Q34" s="103">
        <f t="shared" si="18"/>
        <v>11.738691798310258</v>
      </c>
      <c r="R34" s="242">
        <f t="shared" si="19"/>
        <v>6.9051128225354459</v>
      </c>
      <c r="S34" s="102">
        <f t="shared" si="20"/>
        <v>83227</v>
      </c>
      <c r="T34" s="242">
        <f t="shared" si="23"/>
        <v>10</v>
      </c>
      <c r="U34" s="242">
        <f t="shared" si="22"/>
        <v>3</v>
      </c>
      <c r="V34" s="234">
        <v>1</v>
      </c>
      <c r="W34" s="234">
        <v>1</v>
      </c>
      <c r="X34" s="244"/>
      <c r="Y34" s="244"/>
      <c r="Z34" s="247"/>
      <c r="AA34" s="245"/>
      <c r="AB34" s="245"/>
      <c r="AC34" s="245"/>
      <c r="AD34" s="245"/>
    </row>
    <row r="35" spans="1:30" s="235" customFormat="1">
      <c r="A35" s="95">
        <v>11</v>
      </c>
      <c r="B35" s="237">
        <v>45883</v>
      </c>
      <c r="C35" s="238" t="s">
        <v>57</v>
      </c>
      <c r="D35" s="233">
        <v>51214</v>
      </c>
      <c r="E35" s="239">
        <v>11</v>
      </c>
      <c r="F35" s="99">
        <f t="shared" si="12"/>
        <v>4655.818181818182</v>
      </c>
      <c r="G35" s="276">
        <v>4</v>
      </c>
      <c r="H35" s="99">
        <f t="shared" si="13"/>
        <v>12803.5</v>
      </c>
      <c r="I35" s="277">
        <v>50</v>
      </c>
      <c r="J35" s="98">
        <f t="shared" si="14"/>
        <v>2.75</v>
      </c>
      <c r="K35" s="239"/>
      <c r="L35" s="239"/>
      <c r="M35" s="239">
        <v>7290</v>
      </c>
      <c r="N35" s="240">
        <f t="shared" si="15"/>
        <v>0.08</v>
      </c>
      <c r="O35" s="101">
        <f t="shared" si="16"/>
        <v>0.72713951548632905</v>
      </c>
      <c r="P35" s="102">
        <f t="shared" si="17"/>
        <v>70432.150789861553</v>
      </c>
      <c r="Q35" s="103">
        <f t="shared" si="18"/>
        <v>11.738691798310258</v>
      </c>
      <c r="R35" s="242">
        <f t="shared" si="19"/>
        <v>6.9051128225354459</v>
      </c>
      <c r="S35" s="102">
        <f t="shared" si="20"/>
        <v>51214</v>
      </c>
      <c r="T35" s="242">
        <f t="shared" si="23"/>
        <v>11</v>
      </c>
      <c r="U35" s="242">
        <f t="shared" si="22"/>
        <v>4</v>
      </c>
      <c r="V35" s="234">
        <v>1</v>
      </c>
      <c r="W35" s="234">
        <v>1</v>
      </c>
      <c r="X35" s="244"/>
      <c r="Y35" s="244"/>
      <c r="Z35" s="245"/>
      <c r="AA35" s="245"/>
      <c r="AB35" s="245"/>
      <c r="AC35" s="245"/>
      <c r="AD35" s="245"/>
    </row>
    <row r="36" spans="1:30" s="235" customFormat="1">
      <c r="A36" s="95">
        <v>12</v>
      </c>
      <c r="B36" s="237">
        <v>45884</v>
      </c>
      <c r="C36" s="278" t="s">
        <v>48</v>
      </c>
      <c r="D36" s="233">
        <v>47387</v>
      </c>
      <c r="E36" s="246">
        <v>12</v>
      </c>
      <c r="F36" s="99">
        <f t="shared" si="12"/>
        <v>3948.9166666666665</v>
      </c>
      <c r="G36" s="276">
        <v>7</v>
      </c>
      <c r="H36" s="99">
        <f t="shared" si="13"/>
        <v>6769.5714285714284</v>
      </c>
      <c r="I36" s="246">
        <v>50</v>
      </c>
      <c r="J36" s="98">
        <f t="shared" si="14"/>
        <v>1.7142857142857142</v>
      </c>
      <c r="K36" s="239"/>
      <c r="L36" s="239"/>
      <c r="M36" s="239"/>
      <c r="N36" s="240">
        <f t="shared" si="15"/>
        <v>0.14000000000000001</v>
      </c>
      <c r="O36" s="241">
        <f t="shared" si="16"/>
        <v>0.67280353458723541</v>
      </c>
      <c r="P36" s="102">
        <f t="shared" si="17"/>
        <v>70432.150789861553</v>
      </c>
      <c r="Q36" s="103">
        <f t="shared" si="18"/>
        <v>11.738691798310258</v>
      </c>
      <c r="R36" s="242">
        <f t="shared" si="19"/>
        <v>6.9051128225354459</v>
      </c>
      <c r="S36" s="102">
        <f t="shared" si="20"/>
        <v>47387</v>
      </c>
      <c r="T36" s="242">
        <f t="shared" si="23"/>
        <v>12</v>
      </c>
      <c r="U36" s="242">
        <f t="shared" si="22"/>
        <v>7</v>
      </c>
      <c r="V36" s="234">
        <v>1</v>
      </c>
      <c r="W36" s="234">
        <v>1</v>
      </c>
      <c r="X36" s="244"/>
      <c r="Y36" s="244"/>
      <c r="Z36" s="247"/>
      <c r="AA36" s="245"/>
      <c r="AB36" s="245"/>
      <c r="AC36" s="245"/>
      <c r="AD36" s="245"/>
    </row>
    <row r="37" spans="1:30" s="235" customFormat="1">
      <c r="A37" s="95">
        <v>13</v>
      </c>
      <c r="B37" s="237">
        <v>45885</v>
      </c>
      <c r="C37" s="238" t="s">
        <v>50</v>
      </c>
      <c r="D37" s="249">
        <f>5501+76255</f>
        <v>81756</v>
      </c>
      <c r="E37" s="239">
        <v>17</v>
      </c>
      <c r="F37" s="99">
        <f t="shared" si="12"/>
        <v>4809.1764705882351</v>
      </c>
      <c r="G37" s="276">
        <v>11</v>
      </c>
      <c r="H37" s="99">
        <f t="shared" si="13"/>
        <v>7432.363636363636</v>
      </c>
      <c r="I37" s="277">
        <v>35</v>
      </c>
      <c r="J37" s="98">
        <f t="shared" si="14"/>
        <v>1.5454545454545454</v>
      </c>
      <c r="K37" s="239"/>
      <c r="L37" s="239">
        <v>5501</v>
      </c>
      <c r="M37" s="239"/>
      <c r="N37" s="240">
        <f t="shared" si="15"/>
        <v>0.31428571428571428</v>
      </c>
      <c r="O37" s="241">
        <f t="shared" si="16"/>
        <v>1.160776706137</v>
      </c>
      <c r="P37" s="102">
        <f t="shared" si="17"/>
        <v>70432.150789861553</v>
      </c>
      <c r="Q37" s="103">
        <f t="shared" si="18"/>
        <v>11.738691798310258</v>
      </c>
      <c r="R37" s="242">
        <f t="shared" si="19"/>
        <v>6.9051128225354459</v>
      </c>
      <c r="S37" s="102">
        <f t="shared" si="20"/>
        <v>81756</v>
      </c>
      <c r="T37" s="242">
        <f t="shared" si="23"/>
        <v>17</v>
      </c>
      <c r="U37" s="242">
        <f t="shared" si="22"/>
        <v>11</v>
      </c>
      <c r="V37" s="234">
        <v>1</v>
      </c>
      <c r="W37" s="234">
        <v>1</v>
      </c>
      <c r="X37" s="244"/>
      <c r="Y37" s="244"/>
      <c r="Z37" s="247"/>
      <c r="AA37" s="245"/>
      <c r="AB37" s="245"/>
      <c r="AC37" s="245"/>
      <c r="AD37" s="245"/>
    </row>
    <row r="38" spans="1:30" s="235" customFormat="1">
      <c r="A38" s="95">
        <v>14</v>
      </c>
      <c r="B38" s="237">
        <v>45887</v>
      </c>
      <c r="C38" s="278" t="s">
        <v>53</v>
      </c>
      <c r="D38" s="233">
        <f>23583+65259</f>
        <v>88842</v>
      </c>
      <c r="E38" s="246">
        <v>17</v>
      </c>
      <c r="F38" s="99">
        <f t="shared" si="12"/>
        <v>5226</v>
      </c>
      <c r="G38" s="246">
        <v>7</v>
      </c>
      <c r="H38" s="99">
        <f t="shared" si="13"/>
        <v>12691.714285714286</v>
      </c>
      <c r="I38" s="246">
        <v>40</v>
      </c>
      <c r="J38" s="98">
        <f t="shared" si="14"/>
        <v>2.4285714285714284</v>
      </c>
      <c r="K38" s="246"/>
      <c r="L38" s="239"/>
      <c r="M38" s="246">
        <v>23583</v>
      </c>
      <c r="N38" s="240">
        <f t="shared" si="15"/>
        <v>0.17499999999999999</v>
      </c>
      <c r="O38" s="279">
        <f t="shared" si="16"/>
        <v>1.2613841690716689</v>
      </c>
      <c r="P38" s="102">
        <f t="shared" si="17"/>
        <v>70432.150789861553</v>
      </c>
      <c r="Q38" s="103">
        <f t="shared" si="18"/>
        <v>11.738691798310258</v>
      </c>
      <c r="R38" s="242">
        <f t="shared" si="19"/>
        <v>6.9051128225354459</v>
      </c>
      <c r="S38" s="102">
        <f t="shared" si="20"/>
        <v>88842</v>
      </c>
      <c r="T38" s="242">
        <f t="shared" si="23"/>
        <v>17</v>
      </c>
      <c r="U38" s="280">
        <f t="shared" si="22"/>
        <v>7</v>
      </c>
      <c r="V38" s="234">
        <v>1</v>
      </c>
      <c r="W38" s="234">
        <v>1</v>
      </c>
      <c r="X38" s="244"/>
      <c r="Y38" s="244"/>
      <c r="Z38" s="247"/>
      <c r="AA38" s="245"/>
      <c r="AB38" s="245"/>
      <c r="AC38" s="245"/>
      <c r="AD38" s="245"/>
    </row>
    <row r="39" spans="1:30" s="235" customFormat="1">
      <c r="A39" s="95">
        <v>15</v>
      </c>
      <c r="B39" s="237">
        <v>45888</v>
      </c>
      <c r="C39" s="238" t="s">
        <v>55</v>
      </c>
      <c r="D39" s="249">
        <f>17491+13180+72366</f>
        <v>103037</v>
      </c>
      <c r="E39" s="239">
        <v>19</v>
      </c>
      <c r="F39" s="246">
        <f t="shared" si="12"/>
        <v>5423</v>
      </c>
      <c r="G39" s="276">
        <v>8</v>
      </c>
      <c r="H39" s="239">
        <f t="shared" si="13"/>
        <v>12879.625</v>
      </c>
      <c r="I39" s="277">
        <v>75</v>
      </c>
      <c r="J39" s="98">
        <f t="shared" si="14"/>
        <v>2.375</v>
      </c>
      <c r="K39" s="239">
        <v>17491</v>
      </c>
      <c r="L39" s="239"/>
      <c r="M39" s="239">
        <v>13180</v>
      </c>
      <c r="N39" s="240">
        <f t="shared" si="15"/>
        <v>0.10666666666666667</v>
      </c>
      <c r="O39" s="241">
        <f t="shared" si="16"/>
        <v>1.4629256503527335</v>
      </c>
      <c r="P39" s="102">
        <f t="shared" si="17"/>
        <v>70432.150789861553</v>
      </c>
      <c r="Q39" s="103">
        <f t="shared" si="18"/>
        <v>11.738691798310258</v>
      </c>
      <c r="R39" s="242">
        <f t="shared" si="19"/>
        <v>6.9051128225354459</v>
      </c>
      <c r="S39" s="102">
        <f t="shared" si="20"/>
        <v>103037</v>
      </c>
      <c r="T39" s="242">
        <f t="shared" si="23"/>
        <v>19</v>
      </c>
      <c r="U39" s="242">
        <f t="shared" si="22"/>
        <v>8</v>
      </c>
      <c r="V39" s="234">
        <v>1</v>
      </c>
      <c r="W39" s="234">
        <v>1</v>
      </c>
      <c r="X39" s="244"/>
      <c r="Y39" s="244"/>
      <c r="Z39" s="247"/>
      <c r="AA39" s="245"/>
      <c r="AB39" s="245"/>
      <c r="AC39" s="245"/>
      <c r="AD39" s="245"/>
    </row>
    <row r="40" spans="1:30" s="235" customFormat="1" ht="15" customHeight="1">
      <c r="A40" s="95">
        <v>16</v>
      </c>
      <c r="B40" s="237">
        <v>45890</v>
      </c>
      <c r="C40" s="278" t="s">
        <v>57</v>
      </c>
      <c r="D40" s="233">
        <f>28480+95543</f>
        <v>124023</v>
      </c>
      <c r="E40" s="246">
        <v>25</v>
      </c>
      <c r="F40" s="239">
        <f t="shared" si="12"/>
        <v>4960.92</v>
      </c>
      <c r="G40" s="246">
        <v>12</v>
      </c>
      <c r="H40" s="239">
        <f t="shared" si="13"/>
        <v>10335.25</v>
      </c>
      <c r="I40" s="246">
        <v>70</v>
      </c>
      <c r="J40" s="98">
        <f t="shared" si="14"/>
        <v>2.0833333333333335</v>
      </c>
      <c r="K40" s="239">
        <v>28480</v>
      </c>
      <c r="L40" s="239"/>
      <c r="M40" s="239"/>
      <c r="N40" s="240">
        <f t="shared" si="15"/>
        <v>0.17142857142857143</v>
      </c>
      <c r="O40" s="241">
        <f t="shared" si="16"/>
        <v>1.7608861664615338</v>
      </c>
      <c r="P40" s="102">
        <f t="shared" si="17"/>
        <v>70432.150789861553</v>
      </c>
      <c r="Q40" s="103">
        <f t="shared" si="18"/>
        <v>11.738691798310258</v>
      </c>
      <c r="R40" s="242">
        <f t="shared" si="19"/>
        <v>6.9051128225354459</v>
      </c>
      <c r="S40" s="102">
        <f t="shared" si="20"/>
        <v>124023</v>
      </c>
      <c r="T40" s="242">
        <f t="shared" si="23"/>
        <v>25</v>
      </c>
      <c r="U40" s="242">
        <f t="shared" si="22"/>
        <v>12</v>
      </c>
      <c r="V40" s="234">
        <v>1</v>
      </c>
      <c r="W40" s="234">
        <v>1</v>
      </c>
      <c r="X40" s="244"/>
      <c r="Y40" s="244"/>
      <c r="Z40" s="247"/>
      <c r="AA40" s="245"/>
      <c r="AB40" s="245"/>
      <c r="AC40" s="245"/>
      <c r="AD40" s="245"/>
    </row>
    <row r="41" spans="1:30" s="235" customFormat="1">
      <c r="A41" s="95">
        <v>17</v>
      </c>
      <c r="B41" s="237">
        <v>45891</v>
      </c>
      <c r="C41" s="238" t="s">
        <v>48</v>
      </c>
      <c r="D41" s="249">
        <v>23648</v>
      </c>
      <c r="E41" s="239">
        <v>6</v>
      </c>
      <c r="F41" s="246">
        <f t="shared" si="12"/>
        <v>3941.3333333333335</v>
      </c>
      <c r="G41" s="239">
        <v>3</v>
      </c>
      <c r="H41" s="246">
        <f t="shared" si="13"/>
        <v>7882.666666666667</v>
      </c>
      <c r="I41" s="239">
        <v>40</v>
      </c>
      <c r="J41" s="98">
        <f t="shared" si="14"/>
        <v>2</v>
      </c>
      <c r="K41" s="239"/>
      <c r="L41" s="239"/>
      <c r="M41" s="239"/>
      <c r="N41" s="281">
        <f t="shared" si="15"/>
        <v>7.4999999999999997E-2</v>
      </c>
      <c r="O41" s="241">
        <f t="shared" si="16"/>
        <v>0.33575575550085346</v>
      </c>
      <c r="P41" s="102">
        <f t="shared" si="17"/>
        <v>70432.150789861553</v>
      </c>
      <c r="Q41" s="103">
        <f t="shared" si="18"/>
        <v>11.738691798310258</v>
      </c>
      <c r="R41" s="242">
        <f t="shared" si="19"/>
        <v>6.9051128225354459</v>
      </c>
      <c r="S41" s="102">
        <f t="shared" si="20"/>
        <v>23648</v>
      </c>
      <c r="T41" s="242">
        <f t="shared" si="23"/>
        <v>6</v>
      </c>
      <c r="U41" s="242">
        <f t="shared" si="22"/>
        <v>3</v>
      </c>
      <c r="V41" s="234">
        <v>1</v>
      </c>
      <c r="W41" s="234">
        <v>1</v>
      </c>
      <c r="X41" s="244"/>
      <c r="Y41" s="244"/>
      <c r="Z41" s="247"/>
      <c r="AA41" s="245"/>
      <c r="AB41" s="245"/>
      <c r="AC41" s="245"/>
      <c r="AD41" s="245"/>
    </row>
    <row r="42" spans="1:30" s="235" customFormat="1">
      <c r="A42" s="95">
        <v>18</v>
      </c>
      <c r="B42" s="237">
        <v>45894</v>
      </c>
      <c r="C42" s="278" t="s">
        <v>53</v>
      </c>
      <c r="D42" s="233">
        <f>22723+12192+18966</f>
        <v>53881</v>
      </c>
      <c r="E42" s="246">
        <v>6</v>
      </c>
      <c r="F42" s="239">
        <f t="shared" si="12"/>
        <v>8980.1666666666661</v>
      </c>
      <c r="G42" s="246">
        <v>5</v>
      </c>
      <c r="H42" s="239">
        <f t="shared" si="13"/>
        <v>10776.2</v>
      </c>
      <c r="I42" s="246">
        <v>39</v>
      </c>
      <c r="J42" s="98">
        <f t="shared" si="14"/>
        <v>1.2</v>
      </c>
      <c r="K42" s="239"/>
      <c r="L42" s="239">
        <v>22723</v>
      </c>
      <c r="M42" s="239">
        <v>12192</v>
      </c>
      <c r="N42" s="281">
        <f t="shared" si="15"/>
        <v>0.12820512820512819</v>
      </c>
      <c r="O42" s="241">
        <f t="shared" si="16"/>
        <v>0.76500574518527942</v>
      </c>
      <c r="P42" s="102">
        <f t="shared" si="17"/>
        <v>70432.150789861553</v>
      </c>
      <c r="Q42" s="103">
        <f t="shared" si="18"/>
        <v>11.738691798310258</v>
      </c>
      <c r="R42" s="242">
        <f t="shared" si="19"/>
        <v>6.9051128225354459</v>
      </c>
      <c r="S42" s="102">
        <f t="shared" si="20"/>
        <v>53881</v>
      </c>
      <c r="T42" s="242">
        <f t="shared" si="23"/>
        <v>6</v>
      </c>
      <c r="U42" s="242">
        <f t="shared" si="22"/>
        <v>5</v>
      </c>
      <c r="V42" s="234">
        <v>1</v>
      </c>
      <c r="W42" s="234">
        <v>1</v>
      </c>
      <c r="X42" s="244"/>
      <c r="Y42" s="244"/>
      <c r="Z42" s="247"/>
      <c r="AA42" s="245"/>
      <c r="AB42" s="245"/>
      <c r="AC42" s="245"/>
      <c r="AD42" s="245"/>
    </row>
    <row r="43" spans="1:30" s="235" customFormat="1" ht="15" customHeight="1">
      <c r="A43" s="236">
        <v>19</v>
      </c>
      <c r="B43" s="237">
        <v>45895</v>
      </c>
      <c r="C43" s="238" t="s">
        <v>55</v>
      </c>
      <c r="D43" s="233">
        <f>54126+8692-6203</f>
        <v>56615</v>
      </c>
      <c r="E43" s="239">
        <v>12</v>
      </c>
      <c r="F43" s="239">
        <f t="shared" si="12"/>
        <v>4717.916666666667</v>
      </c>
      <c r="G43" s="239">
        <v>5</v>
      </c>
      <c r="H43" s="239">
        <f t="shared" si="13"/>
        <v>11323</v>
      </c>
      <c r="I43" s="239">
        <v>58</v>
      </c>
      <c r="J43" s="98">
        <f t="shared" si="14"/>
        <v>2.4</v>
      </c>
      <c r="K43" s="239"/>
      <c r="L43" s="239">
        <v>-6203</v>
      </c>
      <c r="M43" s="239">
        <v>8692</v>
      </c>
      <c r="N43" s="281">
        <f t="shared" si="15"/>
        <v>8.6206896551724144E-2</v>
      </c>
      <c r="O43" s="241">
        <f t="shared" si="16"/>
        <v>0.8038232449966517</v>
      </c>
      <c r="P43" s="102">
        <f t="shared" si="17"/>
        <v>70432.150789861553</v>
      </c>
      <c r="Q43" s="103">
        <f t="shared" si="18"/>
        <v>11.738691798310258</v>
      </c>
      <c r="R43" s="242">
        <f t="shared" si="19"/>
        <v>6.9051128225354459</v>
      </c>
      <c r="S43" s="102">
        <f t="shared" si="20"/>
        <v>56615</v>
      </c>
      <c r="T43" s="242">
        <f t="shared" si="23"/>
        <v>12</v>
      </c>
      <c r="U43" s="242">
        <f t="shared" si="22"/>
        <v>5</v>
      </c>
      <c r="V43" s="234">
        <v>1</v>
      </c>
      <c r="W43" s="234">
        <v>1</v>
      </c>
      <c r="X43" s="244"/>
      <c r="Y43" s="244"/>
      <c r="Z43" s="247"/>
      <c r="AA43" s="245"/>
      <c r="AB43" s="245"/>
      <c r="AC43" s="245"/>
      <c r="AD43" s="245"/>
    </row>
    <row r="44" spans="1:30" s="235" customFormat="1" ht="15" customHeight="1">
      <c r="A44" s="236">
        <v>20</v>
      </c>
      <c r="B44" s="237">
        <v>45896</v>
      </c>
      <c r="C44" s="238" t="s">
        <v>56</v>
      </c>
      <c r="D44" s="233">
        <v>35216</v>
      </c>
      <c r="E44" s="239">
        <v>8</v>
      </c>
      <c r="F44" s="239">
        <f t="shared" si="12"/>
        <v>4402</v>
      </c>
      <c r="G44" s="239">
        <v>5</v>
      </c>
      <c r="H44" s="239">
        <f t="shared" si="13"/>
        <v>7043.2</v>
      </c>
      <c r="I44" s="239">
        <v>43</v>
      </c>
      <c r="J44" s="98">
        <f t="shared" si="14"/>
        <v>1.6</v>
      </c>
      <c r="K44" s="239"/>
      <c r="L44" s="239"/>
      <c r="M44" s="239"/>
      <c r="N44" s="281">
        <f t="shared" si="15"/>
        <v>0.11627906976744186</v>
      </c>
      <c r="O44" s="241">
        <f t="shared" si="16"/>
        <v>0.49999892953814512</v>
      </c>
      <c r="P44" s="102">
        <f t="shared" si="17"/>
        <v>70432.150789861553</v>
      </c>
      <c r="Q44" s="103">
        <f t="shared" si="18"/>
        <v>11.738691798310258</v>
      </c>
      <c r="R44" s="242">
        <f t="shared" si="19"/>
        <v>6.9051128225354459</v>
      </c>
      <c r="S44" s="102">
        <f t="shared" si="20"/>
        <v>35216</v>
      </c>
      <c r="T44" s="242">
        <f t="shared" ref="T44:T45" si="24">IF(W44&lt;&gt;"",IF(E44&lt;&gt;"",E44,($I$9-SUM($T$25:T43))*V44*W44/SUMPRODUCT($W44:$W$56,$V44:$V$56)),0)</f>
        <v>8</v>
      </c>
      <c r="U44" s="242">
        <f t="shared" si="22"/>
        <v>5</v>
      </c>
      <c r="V44" s="234">
        <v>1</v>
      </c>
      <c r="W44" s="234">
        <v>1</v>
      </c>
      <c r="X44" s="244"/>
      <c r="Y44" s="244"/>
      <c r="Z44" s="245"/>
      <c r="AA44" s="245"/>
      <c r="AB44" s="245"/>
      <c r="AC44" s="245"/>
      <c r="AD44" s="245"/>
    </row>
    <row r="45" spans="1:30" s="235" customFormat="1" ht="15" customHeight="1">
      <c r="A45" s="236">
        <v>21</v>
      </c>
      <c r="B45" s="237">
        <v>45898</v>
      </c>
      <c r="C45" s="238" t="s">
        <v>48</v>
      </c>
      <c r="D45" s="233">
        <v>15475</v>
      </c>
      <c r="E45" s="239">
        <v>3</v>
      </c>
      <c r="F45" s="239">
        <f t="shared" si="12"/>
        <v>5158.333333333333</v>
      </c>
      <c r="G45" s="239">
        <v>2</v>
      </c>
      <c r="H45" s="239">
        <f t="shared" si="13"/>
        <v>7737.5</v>
      </c>
      <c r="I45" s="239">
        <v>28</v>
      </c>
      <c r="J45" s="98">
        <f t="shared" si="14"/>
        <v>1.5</v>
      </c>
      <c r="K45" s="239"/>
      <c r="L45" s="239"/>
      <c r="M45" s="239"/>
      <c r="N45" s="281">
        <f t="shared" si="15"/>
        <v>7.1428571428571425E-2</v>
      </c>
      <c r="O45" s="241">
        <f t="shared" si="16"/>
        <v>0.21971499984674001</v>
      </c>
      <c r="P45" s="102">
        <f t="shared" si="17"/>
        <v>70432.150789861553</v>
      </c>
      <c r="Q45" s="103">
        <f t="shared" si="18"/>
        <v>11.738691798310258</v>
      </c>
      <c r="R45" s="242">
        <f t="shared" si="19"/>
        <v>6.9051128225354459</v>
      </c>
      <c r="S45" s="102">
        <f t="shared" si="20"/>
        <v>15475</v>
      </c>
      <c r="T45" s="242">
        <f t="shared" si="24"/>
        <v>3</v>
      </c>
      <c r="U45" s="242">
        <f t="shared" si="22"/>
        <v>2</v>
      </c>
      <c r="V45" s="234">
        <v>1</v>
      </c>
      <c r="W45" s="234">
        <v>1</v>
      </c>
      <c r="X45" s="244"/>
      <c r="Y45" s="244"/>
      <c r="Z45" s="245"/>
      <c r="AA45" s="245"/>
      <c r="AB45" s="245"/>
      <c r="AC45" s="245"/>
      <c r="AD45" s="245"/>
    </row>
    <row r="46" spans="1:30">
      <c r="A46" s="236"/>
      <c r="B46" s="96"/>
      <c r="C46" s="232"/>
      <c r="D46" s="98"/>
      <c r="E46" s="99"/>
      <c r="F46" s="99" t="str">
        <f t="shared" si="12"/>
        <v/>
      </c>
      <c r="G46" s="99"/>
      <c r="H46" s="99" t="str">
        <f t="shared" si="13"/>
        <v/>
      </c>
      <c r="I46" s="99"/>
      <c r="J46" s="98" t="str">
        <f t="shared" si="14"/>
        <v/>
      </c>
      <c r="K46" s="99"/>
      <c r="L46" s="99"/>
      <c r="M46" s="99"/>
      <c r="N46" s="282" t="str">
        <f t="shared" si="15"/>
        <v/>
      </c>
      <c r="O46" s="101" t="e">
        <f t="shared" si="16"/>
        <v>#DIV/0!</v>
      </c>
      <c r="P46" s="102">
        <f t="shared" si="17"/>
        <v>0</v>
      </c>
      <c r="Q46" s="103">
        <f t="shared" si="18"/>
        <v>0</v>
      </c>
      <c r="R46" s="103">
        <f t="shared" si="19"/>
        <v>0</v>
      </c>
      <c r="S46" s="102" t="str">
        <f t="shared" si="20"/>
        <v/>
      </c>
      <c r="T46" s="103" t="str">
        <f>IF(W46&lt;&gt;"",IF(E46&lt;&gt;"",E46,($I$9-SUM($T$25:T44))*V46*W46/SUMPRODUCT($W$44:$W46,$V$44:$V46)),"")</f>
        <v/>
      </c>
      <c r="U46" s="103" t="str">
        <f>IF(W46&lt;&gt;"",IF($I$12&lt;&gt;"",IF(G46&lt;&gt;"",G46,($I$9/$I$12-SUM($U$25:U44))*V46*W46/SUMPRODUCT($W$44:$W46,$V$44:$V46)),""),"")</f>
        <v/>
      </c>
      <c r="V46" s="234"/>
      <c r="W46" s="234"/>
      <c r="X46" s="283"/>
      <c r="Y46" s="283"/>
      <c r="Z46" s="284"/>
    </row>
    <row r="47" spans="1:30" s="235" customFormat="1">
      <c r="A47" s="236"/>
      <c r="B47" s="237"/>
      <c r="C47" s="264"/>
      <c r="D47" s="233"/>
      <c r="E47" s="239"/>
      <c r="F47" s="239" t="str">
        <f t="shared" si="12"/>
        <v/>
      </c>
      <c r="G47" s="239"/>
      <c r="H47" s="239" t="str">
        <f t="shared" si="13"/>
        <v/>
      </c>
      <c r="I47" s="239"/>
      <c r="J47" s="233" t="str">
        <f t="shared" si="14"/>
        <v/>
      </c>
      <c r="K47" s="239"/>
      <c r="L47" s="239"/>
      <c r="M47" s="239"/>
      <c r="N47" s="281" t="str">
        <f t="shared" si="15"/>
        <v/>
      </c>
      <c r="O47" s="241" t="e">
        <f t="shared" si="16"/>
        <v>#DIV/0!</v>
      </c>
      <c r="P47" s="102">
        <f t="shared" si="17"/>
        <v>0</v>
      </c>
      <c r="Q47" s="103">
        <f t="shared" si="18"/>
        <v>0</v>
      </c>
      <c r="R47" s="242">
        <f t="shared" si="19"/>
        <v>0</v>
      </c>
      <c r="S47" s="102" t="str">
        <f t="shared" si="20"/>
        <v/>
      </c>
      <c r="T47" s="242" t="str">
        <f>IF(W47&lt;&gt;"",IF(E47&lt;&gt;"",E47,($I$9-SUM($T$25:T46))*V47*W47/SUMPRODUCT($W$44:$W47,$V$44:$V47)),"")</f>
        <v/>
      </c>
      <c r="U47" s="242" t="str">
        <f>IF(W47&lt;&gt;"",IF($I$12&lt;&gt;"",IF(G47&lt;&gt;"",G47,($I$9/$I$12-SUM($U$25:U46))*V47*W47/SUMPRODUCT($W$44:$W47,$V$44:$V47)),""),"")</f>
        <v/>
      </c>
      <c r="V47" s="234"/>
      <c r="W47" s="234"/>
      <c r="X47" s="285"/>
      <c r="Y47" s="285"/>
      <c r="Z47" s="286"/>
    </row>
    <row r="48" spans="1:30">
      <c r="A48" s="287"/>
      <c r="B48" s="96">
        <v>45871</v>
      </c>
      <c r="C48" s="232" t="s">
        <v>50</v>
      </c>
      <c r="D48" s="98">
        <v>16900</v>
      </c>
      <c r="E48" s="99">
        <v>1</v>
      </c>
      <c r="F48" s="99">
        <f t="shared" si="12"/>
        <v>16900</v>
      </c>
      <c r="G48" s="99">
        <v>1</v>
      </c>
      <c r="H48" s="99">
        <f t="shared" si="13"/>
        <v>16900</v>
      </c>
      <c r="I48" s="99"/>
      <c r="J48" s="98">
        <f t="shared" si="14"/>
        <v>1</v>
      </c>
      <c r="K48" s="99"/>
      <c r="L48" s="99">
        <v>16900</v>
      </c>
      <c r="M48" s="99"/>
      <c r="N48" s="282" t="str">
        <f t="shared" si="15"/>
        <v/>
      </c>
      <c r="O48" s="101" t="e">
        <f t="shared" si="16"/>
        <v>#DIV/0!</v>
      </c>
      <c r="P48" s="102">
        <f t="shared" si="17"/>
        <v>0</v>
      </c>
      <c r="Q48" s="103">
        <f t="shared" si="18"/>
        <v>0</v>
      </c>
      <c r="R48" s="103">
        <f t="shared" si="19"/>
        <v>0</v>
      </c>
      <c r="S48" s="102" t="str">
        <f t="shared" si="20"/>
        <v/>
      </c>
      <c r="T48" s="103" t="str">
        <f>IF(W48&lt;&gt;"",IF(E48&lt;&gt;"",E48,($I$9-SUM($T$25:T46))*V48*W48/SUMPRODUCT($W$44:$W48,$V$44:$V48)),"")</f>
        <v/>
      </c>
      <c r="U48" s="103" t="str">
        <f>IF(W48&lt;&gt;"",IF($I$12&lt;&gt;"",IF(G48&lt;&gt;"",G48,($I$9/$I$12-SUM($U$25:U46))*V48*W48/SUMPRODUCT($W$44:$W48,$V$44:$V48)),""),"")</f>
        <v/>
      </c>
      <c r="V48" s="288"/>
      <c r="W48" s="288"/>
      <c r="X48" s="283"/>
      <c r="Y48" s="283"/>
      <c r="Z48" s="284"/>
    </row>
    <row r="49" spans="2:23" ht="15" customHeight="1">
      <c r="B49" s="602" t="s">
        <v>62</v>
      </c>
      <c r="C49" s="602"/>
      <c r="D49" s="115">
        <f>SUM(D25:D48)</f>
        <v>1305472</v>
      </c>
      <c r="E49" s="115">
        <f>SUM(E25:E48)</f>
        <v>249</v>
      </c>
      <c r="F49" s="115">
        <f t="shared" si="12"/>
        <v>5242.8594377510044</v>
      </c>
      <c r="G49" s="115">
        <f>SUM(G25:G48)</f>
        <v>134</v>
      </c>
      <c r="H49" s="115">
        <f t="shared" si="13"/>
        <v>9742.3283582089553</v>
      </c>
      <c r="I49" s="115">
        <f>SUM(I25:I48)</f>
        <v>898</v>
      </c>
      <c r="J49" s="114">
        <f t="shared" si="14"/>
        <v>1.8582089552238805</v>
      </c>
      <c r="K49" s="115">
        <f>SUM(K25:K48)</f>
        <v>93951</v>
      </c>
      <c r="L49" s="115">
        <f>SUM(L25:L48)</f>
        <v>114340</v>
      </c>
      <c r="M49" s="115">
        <f>SUM(M25:M48)</f>
        <v>156232.31</v>
      </c>
      <c r="N49" s="116">
        <f t="shared" si="15"/>
        <v>0.1492204899777283</v>
      </c>
      <c r="O49" s="117">
        <f t="shared" si="16"/>
        <v>0.86451360005281541</v>
      </c>
      <c r="P49" s="118">
        <f t="shared" ref="P49:U49" si="25">SUM(P25:P48)</f>
        <v>1510065.3129346319</v>
      </c>
      <c r="Q49" s="118">
        <f t="shared" si="25"/>
        <v>251.67755215577205</v>
      </c>
      <c r="R49" s="118">
        <f t="shared" si="25"/>
        <v>148.04561891515993</v>
      </c>
      <c r="S49" s="118">
        <f t="shared" si="25"/>
        <v>1288572</v>
      </c>
      <c r="T49" s="118">
        <f t="shared" si="25"/>
        <v>243</v>
      </c>
      <c r="U49" s="118">
        <f t="shared" si="25"/>
        <v>133</v>
      </c>
      <c r="V49" s="119"/>
      <c r="W49" s="119"/>
    </row>
    <row r="50" spans="2:23">
      <c r="B50" s="121"/>
      <c r="C50" s="122"/>
      <c r="D50" s="123">
        <f>SUMIF(D25:D48,"",P25:P48)+D49</f>
        <v>1305472</v>
      </c>
      <c r="E50" s="124"/>
      <c r="F50" s="122"/>
      <c r="G50" s="122"/>
      <c r="H50" s="125"/>
      <c r="I50" s="227"/>
      <c r="J50" s="125"/>
      <c r="L50" s="127"/>
      <c r="M50" s="124"/>
      <c r="N50" s="127"/>
      <c r="O50" s="127"/>
      <c r="P50" s="127"/>
      <c r="Q50" s="128"/>
    </row>
    <row r="51" spans="2:23">
      <c r="D51" s="129"/>
    </row>
    <row r="52" spans="2:23">
      <c r="D52" s="129"/>
    </row>
    <row r="53" spans="2:23">
      <c r="D53" s="130"/>
    </row>
    <row r="54" spans="2:23">
      <c r="D54" s="130"/>
    </row>
  </sheetData>
  <mergeCells count="29">
    <mergeCell ref="P22:W22"/>
    <mergeCell ref="B49:C49"/>
    <mergeCell ref="F18:H18"/>
    <mergeCell ref="F19:H19"/>
    <mergeCell ref="F20:H20"/>
    <mergeCell ref="B22:N22"/>
    <mergeCell ref="O22:O24"/>
    <mergeCell ref="F13:H13"/>
    <mergeCell ref="F14:H14"/>
    <mergeCell ref="F15:H15"/>
    <mergeCell ref="F16:H16"/>
    <mergeCell ref="S16:T17"/>
    <mergeCell ref="F17:H17"/>
    <mergeCell ref="F10:H10"/>
    <mergeCell ref="S10:T11"/>
    <mergeCell ref="V10:W11"/>
    <mergeCell ref="F11:H11"/>
    <mergeCell ref="F12:H12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33" priority="924" operator="greaterThan">
      <formula>0</formula>
    </cfRule>
    <cfRule type="cellIs" dxfId="132" priority="923" operator="lessThan">
      <formula>0</formula>
    </cfRule>
  </conditionalFormatting>
  <conditionalFormatting sqref="J25:J45">
    <cfRule type="cellIs" dxfId="131" priority="30" operator="lessThan">
      <formula>$I$12</formula>
    </cfRule>
    <cfRule type="cellIs" dxfId="130" priority="31" operator="greaterThan">
      <formula>$I$12</formula>
    </cfRule>
  </conditionalFormatting>
  <conditionalFormatting sqref="J30:J45">
    <cfRule type="cellIs" dxfId="129" priority="1088" operator="lessThan">
      <formula>$I$12</formula>
    </cfRule>
  </conditionalFormatting>
  <conditionalFormatting sqref="J30:J48">
    <cfRule type="cellIs" dxfId="128" priority="239" operator="lessThan">
      <formula>$I$12</formula>
    </cfRule>
    <cfRule type="cellIs" dxfId="127" priority="240" operator="greaterThan">
      <formula>$I$12</formula>
    </cfRule>
  </conditionalFormatting>
  <conditionalFormatting sqref="K8">
    <cfRule type="cellIs" dxfId="126" priority="1" operator="greaterThan">
      <formula>$K$17</formula>
    </cfRule>
    <cfRule type="cellIs" dxfId="125" priority="2" operator="lessThan">
      <formula>$K$17</formula>
    </cfRule>
  </conditionalFormatting>
  <conditionalFormatting sqref="K10:K12 K15">
    <cfRule type="cellIs" dxfId="124" priority="922" operator="greaterThan">
      <formula>1</formula>
    </cfRule>
    <cfRule type="cellIs" dxfId="123" priority="921" operator="lessThan">
      <formula>1</formula>
    </cfRule>
  </conditionalFormatting>
  <conditionalFormatting sqref="K13">
    <cfRule type="cellIs" dxfId="122" priority="571" operator="lessThan">
      <formula>$K$14</formula>
    </cfRule>
    <cfRule type="cellIs" dxfId="121" priority="572" operator="greaterThan">
      <formula>$K$14</formula>
    </cfRule>
  </conditionalFormatting>
  <conditionalFormatting sqref="M8:M15">
    <cfRule type="cellIs" dxfId="120" priority="939" operator="lessThan">
      <formula>1</formula>
    </cfRule>
    <cfRule type="cellIs" dxfId="119" priority="920" operator="greaterThan">
      <formula>1</formula>
    </cfRule>
  </conditionalFormatting>
  <conditionalFormatting sqref="N25:N39">
    <cfRule type="cellIs" dxfId="118" priority="28" operator="greaterThanOrEqual">
      <formula>0.25</formula>
    </cfRule>
    <cfRule type="cellIs" dxfId="117" priority="27" operator="between">
      <formula>0.2</formula>
      <formula>0.25</formula>
    </cfRule>
  </conditionalFormatting>
  <conditionalFormatting sqref="N25:N48">
    <cfRule type="cellIs" dxfId="116" priority="29" operator="lessThan">
      <formula>0.2</formula>
    </cfRule>
  </conditionalFormatting>
  <conditionalFormatting sqref="N38">
    <cfRule type="cellIs" dxfId="115" priority="1074" operator="between">
      <formula>0.2</formula>
      <formula>0.25</formula>
    </cfRule>
  </conditionalFormatting>
  <conditionalFormatting sqref="N38:N48">
    <cfRule type="cellIs" dxfId="114" priority="237" operator="greaterThanOrEqual">
      <formula>0.25</formula>
    </cfRule>
  </conditionalFormatting>
  <conditionalFormatting sqref="N39:N48">
    <cfRule type="cellIs" dxfId="113" priority="236" operator="between">
      <formula>0.2</formula>
      <formula>0.25</formula>
    </cfRule>
  </conditionalFormatting>
  <conditionalFormatting sqref="O25:O37">
    <cfRule type="cellIs" dxfId="112" priority="26" operator="between">
      <formula>0.01</formula>
      <formula>0.99</formula>
    </cfRule>
    <cfRule type="cellIs" dxfId="111" priority="22" operator="lessThan">
      <formula>0.9</formula>
    </cfRule>
    <cfRule type="cellIs" dxfId="110" priority="21" operator="between">
      <formula>0.9001</formula>
      <formula>0.9999</formula>
    </cfRule>
    <cfRule type="cellIs" dxfId="109" priority="25" operator="between">
      <formula>0.85</formula>
      <formula>1</formula>
    </cfRule>
  </conditionalFormatting>
  <conditionalFormatting sqref="O25:O48">
    <cfRule type="cellIs" dxfId="108" priority="24" operator="greaterThan">
      <formula>100</formula>
    </cfRule>
    <cfRule type="cellIs" dxfId="107" priority="23" operator="greaterThan">
      <formula>1</formula>
    </cfRule>
  </conditionalFormatting>
  <conditionalFormatting sqref="O38">
    <cfRule type="cellIs" dxfId="106" priority="1076" operator="between">
      <formula>0.85</formula>
      <formula>1</formula>
    </cfRule>
    <cfRule type="cellIs" dxfId="105" priority="1079" operator="lessThan">
      <formula>0.9</formula>
    </cfRule>
    <cfRule type="cellIs" dxfId="104" priority="1080" operator="between">
      <formula>0.9001</formula>
      <formula>0.9999</formula>
    </cfRule>
  </conditionalFormatting>
  <conditionalFormatting sqref="O38:O48">
    <cfRule type="cellIs" dxfId="103" priority="235" operator="between">
      <formula>0.01</formula>
      <formula>0.99</formula>
    </cfRule>
  </conditionalFormatting>
  <conditionalFormatting sqref="O39:O45">
    <cfRule type="cellIs" dxfId="102" priority="234" operator="between">
      <formula>0.85</formula>
      <formula>1</formula>
    </cfRule>
  </conditionalFormatting>
  <conditionalFormatting sqref="O39:O48">
    <cfRule type="cellIs" dxfId="101" priority="231" operator="lessThan">
      <formula>0.9</formula>
    </cfRule>
    <cfRule type="cellIs" dxfId="100" priority="230" operator="between">
      <formula>0.9001</formula>
      <formula>0.9999</formula>
    </cfRule>
  </conditionalFormatting>
  <conditionalFormatting sqref="O46:O48">
    <cfRule type="cellIs" dxfId="99" priority="659" operator="between">
      <formula>0.85</formula>
      <formula>1</formula>
    </cfRule>
  </conditionalFormatting>
  <conditionalFormatting sqref="P10:Q10">
    <cfRule type="cellIs" dxfId="98" priority="935" operator="lessThan">
      <formula>0</formula>
    </cfRule>
  </conditionalFormatting>
  <conditionalFormatting sqref="T13">
    <cfRule type="cellIs" dxfId="97" priority="11" operator="greaterThan">
      <formula>0.95</formula>
    </cfRule>
    <cfRule type="cellIs" dxfId="96" priority="10" operator="lessThan">
      <formula>0.9</formula>
    </cfRule>
    <cfRule type="cellIs" dxfId="95" priority="9" operator="between">
      <formula>0.9</formula>
      <formula>0.95</formula>
    </cfRule>
  </conditionalFormatting>
  <conditionalFormatting sqref="T19">
    <cfRule type="cellIs" dxfId="94" priority="14" operator="greaterThan">
      <formula>0.95</formula>
    </cfRule>
    <cfRule type="cellIs" dxfId="93" priority="13" operator="lessThan">
      <formula>0.9</formula>
    </cfRule>
    <cfRule type="cellIs" dxfId="92" priority="12" operator="between">
      <formula>0.9</formula>
      <formula>0.95</formula>
    </cfRule>
  </conditionalFormatting>
  <conditionalFormatting sqref="W13">
    <cfRule type="cellIs" dxfId="91" priority="4" operator="lessThan">
      <formula>0.9</formula>
    </cfRule>
    <cfRule type="cellIs" dxfId="90" priority="5" operator="greaterThan">
      <formula>0.95</formula>
    </cfRule>
    <cfRule type="cellIs" dxfId="89" priority="3" operator="between">
      <formula>0.9</formula>
      <formula>0.95</formula>
    </cfRule>
    <cfRule type="cellIs" dxfId="88" priority="8" operator="greaterThan">
      <formula>"100;"</formula>
    </cfRule>
    <cfRule type="cellIs" dxfId="87" priority="7" operator="greaterThan">
      <formula>1</formula>
    </cfRule>
    <cfRule type="cellIs" dxfId="86" priority="6" operator="lessThan">
      <formula>1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U53"/>
  <sheetViews>
    <sheetView showZeros="0" zoomScale="75" workbookViewId="0">
      <pane xSplit="3" topLeftCell="D1" activePane="topRight" state="frozen"/>
      <selection activeCell="Q41" sqref="Q41"/>
      <selection pane="topRight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10.16406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57">
        <f ca="1">TODAY()-1</f>
        <v>45909</v>
      </c>
      <c r="C1" s="657"/>
      <c r="D1" s="11"/>
      <c r="E1" s="11"/>
      <c r="F1" s="12"/>
      <c r="G1" s="12"/>
      <c r="H1" s="12"/>
      <c r="I1" s="12"/>
      <c r="J1" s="199"/>
      <c r="K1" s="199"/>
      <c r="L1" s="199"/>
      <c r="M1" s="199"/>
      <c r="N1" s="199"/>
      <c r="O1" s="199"/>
      <c r="P1" s="199"/>
      <c r="Q1" s="658"/>
      <c r="R1" s="658"/>
      <c r="S1" s="658"/>
      <c r="T1" s="658"/>
      <c r="U1" s="12"/>
      <c r="V1" s="12"/>
      <c r="W1" s="12"/>
    </row>
    <row r="2" spans="2:23" ht="21.75" customHeight="1">
      <c r="B2" s="659" t="s">
        <v>0</v>
      </c>
      <c r="C2" s="659"/>
      <c r="D2" s="11"/>
      <c r="E2" s="11"/>
      <c r="F2" s="12"/>
      <c r="G2" s="12"/>
      <c r="H2" s="12"/>
      <c r="I2" s="12"/>
      <c r="J2" s="660" t="s">
        <v>71</v>
      </c>
      <c r="K2" s="660"/>
      <c r="L2" s="660"/>
      <c r="M2" s="660"/>
      <c r="N2" s="660"/>
      <c r="O2" s="660"/>
      <c r="P2" s="660"/>
      <c r="Q2" s="658"/>
      <c r="R2" s="658"/>
      <c r="S2" s="658"/>
      <c r="T2" s="658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61">
        <f>График!B26</f>
        <v>0</v>
      </c>
      <c r="K3" s="662"/>
      <c r="L3" s="662"/>
      <c r="M3" s="662"/>
      <c r="N3" s="663"/>
      <c r="O3" s="199"/>
      <c r="P3" s="200"/>
      <c r="Q3" s="658"/>
      <c r="R3" s="658"/>
      <c r="S3" s="658"/>
      <c r="T3" s="658"/>
      <c r="U3" s="12"/>
      <c r="V3" s="12"/>
      <c r="W3" s="12"/>
    </row>
    <row r="4" spans="2:23" ht="15" customHeight="1">
      <c r="B4" s="11"/>
      <c r="C4" s="667">
        <f>I8-D48</f>
        <v>0</v>
      </c>
      <c r="D4" s="668"/>
      <c r="E4" s="201">
        <f>IF(I8&lt;&gt;0,C4/I8,0)</f>
        <v>0</v>
      </c>
      <c r="F4" s="12"/>
      <c r="G4" s="12"/>
      <c r="H4" s="12"/>
      <c r="I4" s="12"/>
      <c r="J4" s="664"/>
      <c r="K4" s="665"/>
      <c r="L4" s="665"/>
      <c r="M4" s="665"/>
      <c r="N4" s="666"/>
      <c r="O4" s="12"/>
      <c r="P4" s="12"/>
      <c r="Q4" s="658"/>
      <c r="R4" s="658"/>
      <c r="S4" s="658"/>
      <c r="T4" s="658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9"/>
      <c r="K5" s="669"/>
      <c r="L5" s="669"/>
      <c r="M5" s="669"/>
      <c r="N5" s="669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2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2"/>
      <c r="C7" s="12"/>
      <c r="D7" s="12"/>
      <c r="E7" s="12"/>
      <c r="F7" s="582" t="s">
        <v>3</v>
      </c>
      <c r="G7" s="583"/>
      <c r="H7" s="584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85" t="s">
        <v>11</v>
      </c>
      <c r="Q7" s="586"/>
      <c r="R7" s="21"/>
      <c r="S7" s="21"/>
      <c r="T7" s="12"/>
      <c r="U7" s="12"/>
      <c r="V7" s="12"/>
      <c r="W7" s="12"/>
    </row>
    <row r="8" spans="2:23" ht="15.75" customHeight="1">
      <c r="B8" s="202"/>
      <c r="C8" s="12"/>
      <c r="D8" s="12"/>
      <c r="E8" s="12"/>
      <c r="F8" s="587" t="s">
        <v>12</v>
      </c>
      <c r="G8" s="588"/>
      <c r="H8" s="589"/>
      <c r="I8" s="203">
        <f>'Ялта, Ленина, 18'!I8/График!AJ31*График!AJ26</f>
        <v>0</v>
      </c>
      <c r="J8" s="204">
        <f>D48</f>
        <v>0</v>
      </c>
      <c r="K8" s="289" t="str">
        <f t="shared" ref="K8:K9" si="0">IF(AND(I8&lt;&gt;"",I8&lt;&gt;0,J8&lt;&gt;""),J8/I8,"")</f>
        <v/>
      </c>
      <c r="L8" s="205">
        <f>IF(SUMIF($D$25:$D$47,"&gt;=0",$P$25:$P$47)&lt;&gt;0,I8*D48/SUMIF($D$25:$D$47,"&gt;=0",$P$25:$P$47),0)</f>
        <v>0</v>
      </c>
      <c r="M8" s="32" t="str">
        <f t="shared" ref="M8:M9" si="1">IF(AND(I8&lt;&gt;"",I8&lt;&gt;0,L8&lt;&gt;"",L8&lt;&gt;0),L8/I8,"")</f>
        <v/>
      </c>
      <c r="N8" s="35" t="str">
        <f t="shared" ref="N8:N9" si="2">IF(AND(J8&lt;&gt;0,J8&lt;&gt;"",I8&lt;&gt;0,I8&lt;&gt;""),L8-I8,"")</f>
        <v/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2"/>
      <c r="C9" s="12"/>
      <c r="D9" s="12"/>
      <c r="E9" s="12"/>
      <c r="F9" s="590" t="s">
        <v>13</v>
      </c>
      <c r="G9" s="591"/>
      <c r="H9" s="592"/>
      <c r="I9" s="38">
        <f>I8/I11</f>
        <v>0</v>
      </c>
      <c r="J9" s="39">
        <f>E48</f>
        <v>0</v>
      </c>
      <c r="K9" s="269" t="str">
        <f t="shared" si="0"/>
        <v/>
      </c>
      <c r="L9" s="207">
        <f>IF(SUMIF($E$25:$E$47,"&gt;=0",$Q$25:$Q$47)&lt;&gt;0,I9*E48/SUMIF($E$25:$E$47,"&gt;=0",$Q$25:$Q$47),0)</f>
        <v>0</v>
      </c>
      <c r="M9" s="42" t="str">
        <f t="shared" si="1"/>
        <v/>
      </c>
      <c r="N9" s="43" t="str">
        <f t="shared" si="2"/>
        <v/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2"/>
      <c r="C10" s="12"/>
      <c r="D10" s="12"/>
      <c r="E10" s="12"/>
      <c r="F10" s="587" t="s">
        <v>14</v>
      </c>
      <c r="G10" s="588"/>
      <c r="H10" s="589"/>
      <c r="I10" s="50">
        <f>I11*I12</f>
        <v>10200</v>
      </c>
      <c r="J10" s="209" t="str">
        <f>H48</f>
        <v/>
      </c>
      <c r="K10" s="270" t="str">
        <f t="shared" ref="K10:K19" si="5">IF(AND(I10&lt;&gt;"",I10&lt;&gt;0,J10&lt;&gt;""),J10/I10,"")</f>
        <v/>
      </c>
      <c r="L10" s="207" t="str">
        <f>J10</f>
        <v/>
      </c>
      <c r="M10" s="48" t="str">
        <f t="shared" ref="M10:M20" si="6">IF(AND(I10&lt;&gt;"",I10&lt;&gt;0,L10&lt;&gt;"",L10&lt;&gt;0),L10/I10,"")</f>
        <v/>
      </c>
      <c r="N10" s="49" t="str">
        <f t="shared" ref="N10:N20" si="7">IF(AND(J10&lt;&gt;0,J10&lt;&gt;"",I10&lt;&gt;0,I10&lt;&gt;""),L10-I10,"")</f>
        <v/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97" t="s">
        <v>36</v>
      </c>
      <c r="T10" s="597"/>
      <c r="U10" s="12"/>
      <c r="V10" s="12"/>
      <c r="W10" s="12"/>
    </row>
    <row r="11" spans="2:23" ht="15.75" customHeight="1">
      <c r="B11" s="202"/>
      <c r="C11" s="12"/>
      <c r="D11" s="12"/>
      <c r="E11" s="12"/>
      <c r="F11" s="590" t="s">
        <v>15</v>
      </c>
      <c r="G11" s="591"/>
      <c r="H11" s="592"/>
      <c r="I11" s="52">
        <f>'Ялта, Ленина, 18'!I11</f>
        <v>6000</v>
      </c>
      <c r="J11" s="39" t="str">
        <f>F48</f>
        <v/>
      </c>
      <c r="K11" s="271" t="str">
        <f t="shared" si="5"/>
        <v/>
      </c>
      <c r="L11" s="207" t="str">
        <f>IF(L9&gt;0,L8/L9,"")</f>
        <v/>
      </c>
      <c r="M11" s="42" t="str">
        <f t="shared" si="6"/>
        <v/>
      </c>
      <c r="N11" s="43" t="str">
        <f t="shared" si="7"/>
        <v/>
      </c>
      <c r="O11" s="53"/>
      <c r="P11" s="43" t="str">
        <f t="shared" si="8"/>
        <v/>
      </c>
      <c r="Q11" s="45" t="str">
        <f t="shared" si="9"/>
        <v/>
      </c>
      <c r="R11" s="21"/>
      <c r="S11" s="597"/>
      <c r="T11" s="597"/>
      <c r="U11" s="12"/>
      <c r="V11" s="12"/>
      <c r="W11" s="12"/>
    </row>
    <row r="12" spans="2:23" ht="15.75" customHeight="1">
      <c r="B12" s="202"/>
      <c r="C12" s="12"/>
      <c r="D12" s="12"/>
      <c r="E12" s="12"/>
      <c r="F12" s="590" t="s">
        <v>16</v>
      </c>
      <c r="G12" s="591"/>
      <c r="H12" s="592"/>
      <c r="I12" s="54">
        <f>'Ялта, Ленина, 18'!I12</f>
        <v>1.7</v>
      </c>
      <c r="J12" s="55" t="str">
        <f>J48</f>
        <v/>
      </c>
      <c r="K12" s="271" t="str">
        <f t="shared" si="5"/>
        <v/>
      </c>
      <c r="L12" s="213" t="str">
        <f>J12</f>
        <v/>
      </c>
      <c r="M12" s="42" t="str">
        <f t="shared" si="6"/>
        <v/>
      </c>
      <c r="N12" s="57" t="str">
        <f t="shared" si="7"/>
        <v/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18'!S12*График!AJ26/График!AJ31</f>
        <v>0</v>
      </c>
      <c r="T12" s="60">
        <f>L54</f>
        <v>0</v>
      </c>
      <c r="U12" s="12"/>
      <c r="V12" s="12"/>
      <c r="W12" s="12"/>
    </row>
    <row r="13" spans="2:23" ht="15.75" customHeight="1">
      <c r="B13" s="202"/>
      <c r="C13" s="12"/>
      <c r="D13" s="12"/>
      <c r="E13" s="12"/>
      <c r="F13" s="590" t="s">
        <v>17</v>
      </c>
      <c r="G13" s="591"/>
      <c r="H13" s="592"/>
      <c r="I13" s="38">
        <f>IF(I12&lt;&gt;0,I9/I12,"")</f>
        <v>0</v>
      </c>
      <c r="J13" s="39">
        <f>G48</f>
        <v>0</v>
      </c>
      <c r="K13" s="269" t="str">
        <f t="shared" si="5"/>
        <v/>
      </c>
      <c r="L13" s="207" t="e">
        <f>IF(SUMIF($G$25:$G$47,"&gt;=0",$R$25:$R$47)&lt;&gt;0,I13*G48/SUMIF($G$25:$G$47,"&gt;=0",$R$25:$R$47),"")</f>
        <v>#DIV/0!</v>
      </c>
      <c r="M13" s="42" t="e">
        <f t="shared" si="6"/>
        <v>#DIV/0!</v>
      </c>
      <c r="N13" s="57" t="str">
        <f t="shared" si="7"/>
        <v/>
      </c>
      <c r="O13" s="61"/>
      <c r="P13" s="43" t="e">
        <f t="shared" si="8"/>
        <v>#DIV/0!</v>
      </c>
      <c r="Q13" s="45" t="e">
        <f t="shared" si="9"/>
        <v>#DIV/0!</v>
      </c>
      <c r="R13" s="21"/>
      <c r="S13" s="62" t="e">
        <f>T12/S12</f>
        <v>#DIV/0!</v>
      </c>
      <c r="T13" s="62" t="e">
        <f>S13/J14*I14</f>
        <v>#DIV/0!</v>
      </c>
      <c r="U13" s="12"/>
      <c r="V13" s="12"/>
      <c r="W13" s="12"/>
    </row>
    <row r="14" spans="2:23" ht="15.75" customHeight="1">
      <c r="B14" s="202"/>
      <c r="C14" s="12"/>
      <c r="D14" s="214"/>
      <c r="E14" s="12"/>
      <c r="F14" s="590" t="s">
        <v>68</v>
      </c>
      <c r="G14" s="591"/>
      <c r="H14" s="592"/>
      <c r="I14" s="52">
        <f>График!AI27</f>
        <v>21</v>
      </c>
      <c r="J14" s="64"/>
      <c r="K14" s="269" t="str">
        <f t="shared" si="5"/>
        <v/>
      </c>
      <c r="L14" s="41">
        <f>I14</f>
        <v>21</v>
      </c>
      <c r="M14" s="42">
        <f t="shared" si="6"/>
        <v>1</v>
      </c>
      <c r="N14" s="43" t="str">
        <f t="shared" si="7"/>
        <v/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02"/>
      <c r="C15" s="12"/>
      <c r="D15" s="12"/>
      <c r="E15" s="12"/>
      <c r="F15" s="590" t="s">
        <v>19</v>
      </c>
      <c r="G15" s="591"/>
      <c r="H15" s="592"/>
      <c r="I15" s="75">
        <f>'Ялта, Ленина, 18'!I15</f>
        <v>151618.06451612903</v>
      </c>
      <c r="J15" s="67" t="e">
        <f>J8/J14</f>
        <v>#DIV/0!</v>
      </c>
      <c r="K15" s="77" t="e">
        <f t="shared" si="5"/>
        <v>#DIV/0!</v>
      </c>
      <c r="L15" s="72" t="e">
        <f t="shared" ref="L15:L16" si="10">J15</f>
        <v>#DIV/0!</v>
      </c>
      <c r="M15" s="70" t="e">
        <f t="shared" si="6"/>
        <v>#DIV/0!</v>
      </c>
      <c r="N15" s="43" t="e">
        <f t="shared" si="7"/>
        <v>#DIV/0!</v>
      </c>
      <c r="O15" s="71"/>
      <c r="P15" s="43" t="e">
        <f t="shared" si="8"/>
        <v>#DIV/0!</v>
      </c>
      <c r="Q15" s="45" t="e">
        <f t="shared" si="9"/>
        <v>#DIV/0!</v>
      </c>
      <c r="R15" s="21"/>
      <c r="S15" s="37"/>
      <c r="T15" s="6"/>
      <c r="U15" s="12"/>
      <c r="V15" s="12"/>
      <c r="W15" s="12"/>
    </row>
    <row r="16" spans="2:23" ht="15.75" customHeight="1">
      <c r="B16" s="202"/>
      <c r="C16" s="12"/>
      <c r="D16" s="12"/>
      <c r="E16" s="12"/>
      <c r="F16" s="590" t="s">
        <v>20</v>
      </c>
      <c r="G16" s="591"/>
      <c r="H16" s="592"/>
      <c r="I16" s="75"/>
      <c r="J16" s="67">
        <f>J8-I15*J14</f>
        <v>0</v>
      </c>
      <c r="K16" s="77" t="str">
        <f t="shared" si="5"/>
        <v/>
      </c>
      <c r="L16" s="72">
        <f t="shared" si="10"/>
        <v>0</v>
      </c>
      <c r="M16" s="73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97" t="s">
        <v>35</v>
      </c>
      <c r="T16" s="597"/>
      <c r="U16" s="12"/>
      <c r="V16" s="12"/>
      <c r="W16" s="12"/>
    </row>
    <row r="17" spans="1:255" ht="15.75" customHeight="1">
      <c r="B17" s="202"/>
      <c r="C17" s="12"/>
      <c r="D17" s="12"/>
      <c r="E17" s="12"/>
      <c r="F17" s="590" t="s">
        <v>21</v>
      </c>
      <c r="G17" s="591"/>
      <c r="H17" s="592"/>
      <c r="I17" s="75">
        <f>'Ялта, Ленина, 18'!I17/График!AJ31*График!AJ26</f>
        <v>0</v>
      </c>
      <c r="J17" s="67">
        <f>I48</f>
        <v>0</v>
      </c>
      <c r="K17" s="77" t="str">
        <f t="shared" si="5"/>
        <v/>
      </c>
      <c r="L17" s="78" t="e">
        <f>J17/J14*I14</f>
        <v>#DIV/0!</v>
      </c>
      <c r="M17" s="73" t="e">
        <f t="shared" si="6"/>
        <v>#DIV/0!</v>
      </c>
      <c r="N17" s="43" t="str">
        <f t="shared" si="7"/>
        <v/>
      </c>
      <c r="O17" s="71"/>
      <c r="P17" s="43" t="e">
        <f t="shared" si="8"/>
        <v>#DIV/0!</v>
      </c>
      <c r="Q17" s="45" t="e">
        <f t="shared" si="9"/>
        <v>#DIV/0!</v>
      </c>
      <c r="R17" s="21"/>
      <c r="S17" s="597"/>
      <c r="T17" s="597"/>
      <c r="U17" s="12"/>
      <c r="V17" s="12"/>
      <c r="W17" s="12"/>
    </row>
    <row r="18" spans="1:255" ht="15.75" customHeight="1">
      <c r="B18" s="202"/>
      <c r="C18" s="12"/>
      <c r="D18" s="12"/>
      <c r="E18" s="12"/>
      <c r="F18" s="590"/>
      <c r="G18" s="591"/>
      <c r="H18" s="592"/>
      <c r="I18" s="76"/>
      <c r="J18" s="67"/>
      <c r="K18" s="77" t="str">
        <f t="shared" si="5"/>
        <v/>
      </c>
      <c r="L18" s="72">
        <f t="shared" ref="L18:L19" si="11">J18</f>
        <v>0</v>
      </c>
      <c r="M18" s="73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18'!S18*График!AJ26/График!AJ31</f>
        <v>0</v>
      </c>
      <c r="T18" s="60">
        <f>K54</f>
        <v>0</v>
      </c>
      <c r="U18" s="12"/>
      <c r="V18" s="12"/>
      <c r="W18" s="12"/>
    </row>
    <row r="19" spans="1:255" ht="15.75" customHeight="1">
      <c r="B19" s="202"/>
      <c r="C19" s="12"/>
      <c r="D19" s="12"/>
      <c r="E19" s="12"/>
      <c r="F19" s="590"/>
      <c r="G19" s="591"/>
      <c r="H19" s="592"/>
      <c r="I19" s="76"/>
      <c r="J19" s="67">
        <f>M48</f>
        <v>0</v>
      </c>
      <c r="K19" s="77" t="str">
        <f t="shared" si="5"/>
        <v/>
      </c>
      <c r="L19" s="72">
        <f t="shared" si="11"/>
        <v>0</v>
      </c>
      <c r="M19" s="73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 t="e">
        <f>T18/S18</f>
        <v>#DIV/0!</v>
      </c>
      <c r="T19" s="62" t="e">
        <f>S19/J14*I14</f>
        <v>#DIV/0!</v>
      </c>
      <c r="U19" s="12"/>
      <c r="V19" s="12"/>
      <c r="W19" s="12"/>
    </row>
    <row r="20" spans="1:255" ht="15.75" customHeight="1">
      <c r="B20" s="202"/>
      <c r="C20" s="12"/>
      <c r="D20" s="12"/>
      <c r="E20" s="12"/>
      <c r="F20" s="598" t="s">
        <v>22</v>
      </c>
      <c r="G20" s="598"/>
      <c r="H20" s="598"/>
      <c r="I20" s="217">
        <f>'Ялта, Ленина, 18'!I20</f>
        <v>0.18</v>
      </c>
      <c r="J20" s="218" t="str">
        <f>N48</f>
        <v/>
      </c>
      <c r="K20" s="218" t="e">
        <f>J20/I20</f>
        <v>#VALUE!</v>
      </c>
      <c r="L20" s="220">
        <f>IF(AND(K8&lt;&gt;0,I14&lt;&gt;0,I48&lt;&gt;0),(I48*N48+(I48/K8-I48)*I20)/(I48/K8),0)</f>
        <v>0</v>
      </c>
      <c r="M20" s="83" t="str">
        <f t="shared" si="6"/>
        <v/>
      </c>
      <c r="N20" s="84" t="str">
        <f t="shared" si="7"/>
        <v/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255" ht="15.75" customHeight="1">
      <c r="B21" s="20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255" ht="16.5" customHeight="1">
      <c r="B22" s="676" t="s">
        <v>23</v>
      </c>
      <c r="C22" s="676"/>
      <c r="D22" s="676"/>
      <c r="E22" s="676"/>
      <c r="F22" s="676"/>
      <c r="G22" s="676"/>
      <c r="H22" s="676"/>
      <c r="I22" s="676"/>
      <c r="J22" s="676"/>
      <c r="K22" s="676"/>
      <c r="L22" s="676"/>
      <c r="M22" s="676"/>
      <c r="N22" s="676"/>
      <c r="O22" s="677" t="s">
        <v>24</v>
      </c>
      <c r="P22" s="676" t="s">
        <v>25</v>
      </c>
      <c r="Q22" s="676"/>
      <c r="R22" s="676"/>
      <c r="S22" s="676"/>
      <c r="T22" s="676"/>
      <c r="U22" s="676"/>
      <c r="V22" s="676"/>
      <c r="W22" s="676"/>
    </row>
    <row r="23" spans="1:255" ht="36">
      <c r="B23" s="221" t="s">
        <v>27</v>
      </c>
      <c r="C23" s="221" t="s">
        <v>28</v>
      </c>
      <c r="D23" s="221" t="s">
        <v>29</v>
      </c>
      <c r="E23" s="221" t="s">
        <v>30</v>
      </c>
      <c r="F23" s="221" t="s">
        <v>31</v>
      </c>
      <c r="G23" s="221" t="s">
        <v>32</v>
      </c>
      <c r="H23" s="221" t="s">
        <v>33</v>
      </c>
      <c r="I23" s="221" t="s">
        <v>21</v>
      </c>
      <c r="J23" s="221" t="s">
        <v>34</v>
      </c>
      <c r="K23" s="90" t="s">
        <v>35</v>
      </c>
      <c r="L23" s="90" t="s">
        <v>36</v>
      </c>
      <c r="M23" s="290" t="s">
        <v>73</v>
      </c>
      <c r="N23" s="221" t="s">
        <v>38</v>
      </c>
      <c r="O23" s="677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2" t="s">
        <v>45</v>
      </c>
      <c r="W23" s="222" t="s">
        <v>46</v>
      </c>
      <c r="X23" s="130"/>
    </row>
    <row r="24" spans="1:255">
      <c r="B24" s="223">
        <v>1</v>
      </c>
      <c r="C24" s="224">
        <v>2</v>
      </c>
      <c r="D24" s="223">
        <v>3</v>
      </c>
      <c r="E24" s="223">
        <v>4</v>
      </c>
      <c r="F24" s="223">
        <v>5</v>
      </c>
      <c r="G24" s="223">
        <v>6</v>
      </c>
      <c r="H24" s="223">
        <v>7</v>
      </c>
      <c r="I24" s="223">
        <v>8</v>
      </c>
      <c r="J24" s="223">
        <v>9</v>
      </c>
      <c r="K24" s="223">
        <v>10</v>
      </c>
      <c r="L24" s="223">
        <v>11</v>
      </c>
      <c r="M24" s="223">
        <v>12</v>
      </c>
      <c r="N24" s="223">
        <v>13</v>
      </c>
      <c r="O24" s="677"/>
      <c r="P24" s="225">
        <v>1</v>
      </c>
      <c r="Q24" s="225">
        <v>2</v>
      </c>
      <c r="R24" s="225">
        <v>3</v>
      </c>
      <c r="S24" s="225">
        <v>4</v>
      </c>
      <c r="T24" s="225">
        <v>5</v>
      </c>
      <c r="U24" s="225">
        <v>6</v>
      </c>
      <c r="V24" s="225">
        <v>10</v>
      </c>
      <c r="W24" s="225">
        <v>11</v>
      </c>
    </row>
    <row r="25" spans="1:255" s="235" customFormat="1">
      <c r="A25" s="236">
        <v>1</v>
      </c>
      <c r="B25" s="291"/>
      <c r="C25" s="292"/>
      <c r="D25" s="293"/>
      <c r="E25" s="294"/>
      <c r="F25" s="295" t="str">
        <f t="shared" ref="F25:F48" si="12">IF(AND(E25&lt;&gt;"",E25&lt;&gt;0),D25/E25,"")</f>
        <v/>
      </c>
      <c r="G25" s="294"/>
      <c r="H25" s="295" t="str">
        <f t="shared" ref="H25:H48" si="13">IF(AND(G25&lt;&gt;"",G25&lt;&gt;0),D25/G25,"")</f>
        <v/>
      </c>
      <c r="I25" s="296"/>
      <c r="J25" s="297" t="str">
        <f t="shared" ref="J25:J48" si="14">IF(AND(G25&lt;&gt;"",G25&lt;&gt;0),E25/G25,"")</f>
        <v/>
      </c>
      <c r="K25" s="239"/>
      <c r="L25" s="239"/>
      <c r="M25" s="239"/>
      <c r="N25" s="240" t="str">
        <f t="shared" ref="N25:N48" si="15">IF(AND(I25&lt;&gt;"",I25&lt;&gt;0),G25/I25,"")</f>
        <v/>
      </c>
      <c r="O25" s="241" t="e">
        <f t="shared" ref="O25:O48" si="16">D25/P25</f>
        <v>#DIV/0!</v>
      </c>
      <c r="P25" s="298" t="e">
        <f t="shared" ref="P25:P47" si="17">$I$8*V25*W25/SUMPRODUCT($W$25:$W$47,$V$25:$V$47)</f>
        <v>#DIV/0!</v>
      </c>
      <c r="Q25" s="242" t="e">
        <f t="shared" ref="Q25:Q44" si="18">$I$9*V25*W25/SUMPRODUCT($W$25:$W$55,$V$25:$V$55)</f>
        <v>#DIV/0!</v>
      </c>
      <c r="R25" s="242" t="e">
        <f t="shared" ref="R25:R47" si="19">IF($I$12="","",Q25/$I$12)</f>
        <v>#DIV/0!</v>
      </c>
      <c r="S25" s="243" t="e">
        <f>IF(D25&lt;&gt;"",D25,P25)</f>
        <v>#DIV/0!</v>
      </c>
      <c r="T25" s="242" t="e">
        <f>IF(E25&lt;&gt;"",E25,Q25)</f>
        <v>#DIV/0!</v>
      </c>
      <c r="U25" s="242" t="e">
        <f>IF(G25&lt;&gt;"",G25,R25)</f>
        <v>#DIV/0!</v>
      </c>
      <c r="V25" s="299"/>
      <c r="W25" s="299"/>
      <c r="X25" s="245"/>
      <c r="Y25" s="244"/>
      <c r="Z25" s="245"/>
      <c r="AA25" s="245"/>
      <c r="AB25" s="245"/>
      <c r="AC25" s="245"/>
      <c r="AD25" s="245"/>
    </row>
    <row r="26" spans="1:255" s="300" customFormat="1">
      <c r="A26" s="236">
        <v>2</v>
      </c>
      <c r="B26" s="237"/>
      <c r="C26" s="238"/>
      <c r="D26" s="249"/>
      <c r="E26" s="239"/>
      <c r="F26" s="246" t="str">
        <f t="shared" si="12"/>
        <v/>
      </c>
      <c r="G26" s="239">
        <v>0</v>
      </c>
      <c r="H26" s="246" t="str">
        <f t="shared" si="13"/>
        <v/>
      </c>
      <c r="I26" s="239"/>
      <c r="J26" s="233" t="str">
        <f t="shared" si="14"/>
        <v/>
      </c>
      <c r="K26" s="239"/>
      <c r="L26" s="239"/>
      <c r="M26" s="239"/>
      <c r="N26" s="240" t="str">
        <f t="shared" si="15"/>
        <v/>
      </c>
      <c r="O26" s="241" t="e">
        <f t="shared" si="16"/>
        <v>#DIV/0!</v>
      </c>
      <c r="P26" s="298" t="e">
        <f t="shared" si="17"/>
        <v>#DIV/0!</v>
      </c>
      <c r="Q26" s="242" t="e">
        <f t="shared" si="18"/>
        <v>#DIV/0!</v>
      </c>
      <c r="R26" s="242" t="e">
        <f t="shared" si="19"/>
        <v>#DIV/0!</v>
      </c>
      <c r="S26" s="243" t="str">
        <f t="shared" ref="S26:S44" si="20">IF(W26&lt;&gt;"",IF(D26&lt;&gt;"",D26,($I$8-SUM($S$25:S25))*V26*W26/SUMPRODUCT($W26:$W$55,$V26:$V$55)),"")</f>
        <v/>
      </c>
      <c r="T26" s="242" t="str">
        <f t="shared" ref="T26:T29" si="21">IF(W26&lt;&gt;"",IF(E26&lt;&gt;"",E26,($I$9-SUM($T$25:T25))*V26*W26/SUMPRODUCT($W26:$W$55,$V26:$V$55)),"")</f>
        <v/>
      </c>
      <c r="U26" s="242" t="str">
        <f t="shared" ref="U26:U44" si="22">IF(W26&lt;&gt;"",IF($I$12&lt;&gt;"",IF(G26&lt;&gt;"",G26,($I$9/$I$12-SUM($U$25:U25))*V26*W26/SUMPRODUCT($W26:$W$55,$V26:$V$55)),""),"")</f>
        <v/>
      </c>
      <c r="V26" s="299"/>
      <c r="W26" s="299"/>
      <c r="X26" s="244"/>
      <c r="Y26" s="244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5"/>
      <c r="BM26" s="245"/>
      <c r="BN26" s="245"/>
      <c r="BO26" s="245"/>
      <c r="BP26" s="245"/>
      <c r="BQ26" s="245"/>
      <c r="BR26" s="245"/>
      <c r="BS26" s="245"/>
      <c r="BT26" s="245"/>
      <c r="BU26" s="245"/>
      <c r="BV26" s="245"/>
      <c r="BW26" s="245"/>
      <c r="BX26" s="245"/>
      <c r="BY26" s="245"/>
      <c r="BZ26" s="245"/>
      <c r="CA26" s="245"/>
      <c r="CB26" s="245"/>
      <c r="CC26" s="245"/>
      <c r="CD26" s="245"/>
      <c r="CE26" s="245"/>
      <c r="CF26" s="245"/>
      <c r="CG26" s="245"/>
      <c r="CH26" s="245"/>
      <c r="CI26" s="245"/>
      <c r="CJ26" s="245"/>
      <c r="CK26" s="245"/>
      <c r="CL26" s="245"/>
      <c r="CM26" s="245"/>
      <c r="CN26" s="245"/>
      <c r="CO26" s="245"/>
      <c r="CP26" s="245"/>
      <c r="CQ26" s="245"/>
      <c r="CR26" s="245"/>
      <c r="CS26" s="245"/>
      <c r="CT26" s="245"/>
      <c r="CU26" s="245"/>
      <c r="CV26" s="245"/>
      <c r="CW26" s="245"/>
      <c r="CX26" s="245"/>
      <c r="CY26" s="245"/>
      <c r="CZ26" s="245"/>
      <c r="DA26" s="245"/>
      <c r="DB26" s="245"/>
      <c r="DC26" s="245"/>
      <c r="DD26" s="245"/>
      <c r="DE26" s="245"/>
      <c r="DF26" s="245"/>
      <c r="DG26" s="245"/>
      <c r="DH26" s="245"/>
      <c r="DI26" s="245"/>
      <c r="DJ26" s="245"/>
      <c r="DK26" s="245"/>
      <c r="DL26" s="245"/>
      <c r="DM26" s="245"/>
      <c r="DN26" s="245"/>
      <c r="DO26" s="245"/>
      <c r="DP26" s="245"/>
      <c r="DQ26" s="245"/>
      <c r="DR26" s="245"/>
      <c r="DS26" s="245"/>
      <c r="DT26" s="245"/>
      <c r="DU26" s="245"/>
      <c r="DV26" s="245"/>
      <c r="DW26" s="245"/>
      <c r="DX26" s="245"/>
      <c r="DY26" s="245"/>
      <c r="DZ26" s="245"/>
      <c r="EA26" s="245"/>
      <c r="EB26" s="245"/>
      <c r="EC26" s="245"/>
      <c r="ED26" s="245"/>
      <c r="EE26" s="245"/>
      <c r="EF26" s="245"/>
      <c r="EG26" s="245"/>
      <c r="EH26" s="245"/>
      <c r="EI26" s="245"/>
      <c r="EJ26" s="245"/>
      <c r="EK26" s="245"/>
      <c r="EL26" s="245"/>
      <c r="EM26" s="245"/>
      <c r="EN26" s="245"/>
      <c r="EO26" s="245"/>
      <c r="EP26" s="245"/>
      <c r="EQ26" s="245"/>
      <c r="ER26" s="245"/>
      <c r="ES26" s="245"/>
      <c r="ET26" s="245"/>
      <c r="EU26" s="245"/>
      <c r="EV26" s="245"/>
      <c r="EW26" s="245"/>
      <c r="EX26" s="245"/>
      <c r="EY26" s="245"/>
      <c r="EZ26" s="245"/>
      <c r="FA26" s="245"/>
      <c r="FB26" s="245"/>
      <c r="FC26" s="245"/>
      <c r="FD26" s="245"/>
      <c r="FE26" s="245"/>
      <c r="FF26" s="245"/>
      <c r="FG26" s="245"/>
      <c r="FH26" s="245"/>
      <c r="FI26" s="245"/>
      <c r="FJ26" s="245"/>
      <c r="FK26" s="245"/>
      <c r="FL26" s="245"/>
      <c r="FM26" s="245"/>
      <c r="FN26" s="245"/>
      <c r="FO26" s="245"/>
      <c r="FP26" s="245"/>
      <c r="FQ26" s="245"/>
      <c r="FR26" s="245"/>
      <c r="FS26" s="245"/>
      <c r="FT26" s="245"/>
      <c r="FU26" s="245"/>
      <c r="FV26" s="245"/>
      <c r="FW26" s="245"/>
      <c r="FX26" s="245"/>
      <c r="FY26" s="245"/>
      <c r="FZ26" s="245"/>
      <c r="GA26" s="245"/>
      <c r="GB26" s="245"/>
      <c r="GC26" s="245"/>
      <c r="GD26" s="245"/>
      <c r="GE26" s="245"/>
      <c r="GF26" s="245"/>
      <c r="GG26" s="245"/>
      <c r="GH26" s="245"/>
      <c r="GI26" s="245"/>
      <c r="GJ26" s="245"/>
      <c r="GK26" s="245"/>
      <c r="GL26" s="245"/>
      <c r="GM26" s="245"/>
      <c r="GN26" s="245"/>
      <c r="GO26" s="245"/>
      <c r="GP26" s="245"/>
      <c r="GQ26" s="245"/>
      <c r="GR26" s="245"/>
      <c r="GS26" s="245"/>
      <c r="GT26" s="245"/>
      <c r="GU26" s="245"/>
      <c r="GV26" s="245"/>
      <c r="GW26" s="245"/>
      <c r="GX26" s="245"/>
      <c r="GY26" s="245"/>
      <c r="GZ26" s="245"/>
      <c r="HA26" s="245"/>
      <c r="HB26" s="245"/>
      <c r="HC26" s="245"/>
      <c r="HD26" s="245"/>
      <c r="HE26" s="245"/>
      <c r="HF26" s="245"/>
      <c r="HG26" s="245"/>
      <c r="HH26" s="245"/>
      <c r="HI26" s="245"/>
      <c r="HJ26" s="245"/>
      <c r="HK26" s="245"/>
      <c r="HL26" s="245"/>
      <c r="HM26" s="245"/>
      <c r="HN26" s="245"/>
      <c r="HO26" s="245"/>
      <c r="HP26" s="245"/>
      <c r="HQ26" s="245"/>
      <c r="HR26" s="245"/>
      <c r="HS26" s="245"/>
      <c r="HT26" s="245"/>
      <c r="HU26" s="245"/>
      <c r="HV26" s="245"/>
      <c r="HW26" s="245"/>
      <c r="HX26" s="245"/>
      <c r="HY26" s="245"/>
      <c r="HZ26" s="245"/>
      <c r="IA26" s="245"/>
      <c r="IB26" s="245"/>
      <c r="IC26" s="245"/>
      <c r="ID26" s="245"/>
      <c r="IE26" s="245"/>
      <c r="IF26" s="245"/>
      <c r="IG26" s="245"/>
      <c r="IH26" s="245"/>
      <c r="II26" s="245"/>
      <c r="IJ26" s="245"/>
      <c r="IK26" s="245"/>
      <c r="IL26" s="245"/>
      <c r="IM26" s="245"/>
      <c r="IN26" s="245"/>
      <c r="IO26" s="245"/>
      <c r="IP26" s="245"/>
      <c r="IQ26" s="245"/>
      <c r="IR26" s="245"/>
      <c r="IS26" s="245"/>
      <c r="IT26" s="245"/>
      <c r="IU26" s="245"/>
    </row>
    <row r="27" spans="1:255" s="235" customFormat="1">
      <c r="A27" s="236">
        <v>3</v>
      </c>
      <c r="B27" s="237"/>
      <c r="C27" s="238"/>
      <c r="D27" s="233"/>
      <c r="E27" s="278"/>
      <c r="F27" s="239" t="str">
        <f t="shared" si="12"/>
        <v/>
      </c>
      <c r="G27" s="246"/>
      <c r="H27" s="239" t="str">
        <f t="shared" si="13"/>
        <v/>
      </c>
      <c r="I27" s="246"/>
      <c r="J27" s="233" t="str">
        <f t="shared" si="14"/>
        <v/>
      </c>
      <c r="K27" s="239"/>
      <c r="L27" s="239"/>
      <c r="M27" s="239"/>
      <c r="N27" s="240" t="str">
        <f t="shared" si="15"/>
        <v/>
      </c>
      <c r="O27" s="241" t="e">
        <f t="shared" si="16"/>
        <v>#DIV/0!</v>
      </c>
      <c r="P27" s="298" t="e">
        <f t="shared" si="17"/>
        <v>#DIV/0!</v>
      </c>
      <c r="Q27" s="242" t="e">
        <f t="shared" si="18"/>
        <v>#DIV/0!</v>
      </c>
      <c r="R27" s="242" t="e">
        <f t="shared" si="19"/>
        <v>#DIV/0!</v>
      </c>
      <c r="S27" s="243" t="str">
        <f t="shared" si="20"/>
        <v/>
      </c>
      <c r="T27" s="242" t="str">
        <f t="shared" si="21"/>
        <v/>
      </c>
      <c r="U27" s="242" t="str">
        <f t="shared" si="22"/>
        <v/>
      </c>
      <c r="V27" s="299"/>
      <c r="W27" s="299"/>
      <c r="X27" s="244"/>
      <c r="Y27" s="244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5"/>
      <c r="BH27" s="245"/>
      <c r="BI27" s="245"/>
      <c r="BJ27" s="245"/>
      <c r="BK27" s="245"/>
      <c r="BL27" s="245"/>
      <c r="BM27" s="245"/>
      <c r="BN27" s="245"/>
      <c r="BO27" s="245"/>
      <c r="BP27" s="245"/>
      <c r="BQ27" s="245"/>
      <c r="BR27" s="245"/>
      <c r="BS27" s="245"/>
      <c r="BT27" s="245"/>
      <c r="BU27" s="245"/>
      <c r="BV27" s="245"/>
      <c r="BW27" s="245"/>
      <c r="BX27" s="245"/>
      <c r="BY27" s="245"/>
      <c r="BZ27" s="245"/>
      <c r="CA27" s="245"/>
      <c r="CB27" s="245"/>
      <c r="CC27" s="245"/>
      <c r="CD27" s="245"/>
      <c r="CE27" s="245"/>
      <c r="CF27" s="245"/>
      <c r="CG27" s="245"/>
      <c r="CH27" s="245"/>
      <c r="CI27" s="245"/>
      <c r="CJ27" s="245"/>
      <c r="CK27" s="245"/>
      <c r="CL27" s="245"/>
      <c r="CM27" s="245"/>
      <c r="CN27" s="245"/>
      <c r="CO27" s="245"/>
      <c r="CP27" s="245"/>
      <c r="CQ27" s="245"/>
      <c r="CR27" s="245"/>
      <c r="CS27" s="245"/>
      <c r="CT27" s="245"/>
      <c r="CU27" s="245"/>
      <c r="CV27" s="245"/>
      <c r="CW27" s="245"/>
      <c r="CX27" s="245"/>
      <c r="CY27" s="245"/>
      <c r="CZ27" s="245"/>
      <c r="DA27" s="245"/>
      <c r="DB27" s="245"/>
      <c r="DC27" s="245"/>
      <c r="DD27" s="245"/>
      <c r="DE27" s="245"/>
      <c r="DF27" s="245"/>
      <c r="DG27" s="245"/>
      <c r="DH27" s="245"/>
      <c r="DI27" s="245"/>
      <c r="DJ27" s="245"/>
      <c r="DK27" s="245"/>
      <c r="DL27" s="245"/>
      <c r="DM27" s="245"/>
      <c r="DN27" s="245"/>
      <c r="DO27" s="245"/>
      <c r="DP27" s="245"/>
      <c r="DQ27" s="245"/>
      <c r="DR27" s="245"/>
      <c r="DS27" s="245"/>
      <c r="DT27" s="245"/>
      <c r="DU27" s="245"/>
      <c r="DV27" s="245"/>
      <c r="DW27" s="245"/>
      <c r="DX27" s="245"/>
      <c r="DY27" s="245"/>
      <c r="DZ27" s="245"/>
      <c r="EA27" s="245"/>
      <c r="EB27" s="245"/>
      <c r="EC27" s="245"/>
      <c r="ED27" s="245"/>
      <c r="EE27" s="245"/>
      <c r="EF27" s="245"/>
      <c r="EG27" s="245"/>
      <c r="EH27" s="245"/>
      <c r="EI27" s="245"/>
      <c r="EJ27" s="245"/>
      <c r="EK27" s="245"/>
      <c r="EL27" s="245"/>
      <c r="EM27" s="245"/>
      <c r="EN27" s="245"/>
      <c r="EO27" s="245"/>
      <c r="EP27" s="245"/>
      <c r="EQ27" s="245"/>
      <c r="ER27" s="245"/>
      <c r="ES27" s="245"/>
      <c r="ET27" s="245"/>
      <c r="EU27" s="245"/>
      <c r="EV27" s="245"/>
      <c r="EW27" s="245"/>
      <c r="EX27" s="245"/>
      <c r="EY27" s="245"/>
      <c r="EZ27" s="245"/>
      <c r="FA27" s="245"/>
      <c r="FB27" s="245"/>
      <c r="FC27" s="245"/>
      <c r="FD27" s="245"/>
      <c r="FE27" s="245"/>
      <c r="FF27" s="245"/>
      <c r="FG27" s="245"/>
      <c r="FH27" s="245"/>
      <c r="FI27" s="245"/>
      <c r="FJ27" s="245"/>
      <c r="FK27" s="245"/>
      <c r="FL27" s="245"/>
      <c r="FM27" s="245"/>
      <c r="FN27" s="245"/>
      <c r="FO27" s="245"/>
      <c r="FP27" s="245"/>
      <c r="FQ27" s="245"/>
      <c r="FR27" s="245"/>
      <c r="FS27" s="245"/>
      <c r="FT27" s="245"/>
      <c r="FU27" s="245"/>
      <c r="FV27" s="245"/>
      <c r="FW27" s="245"/>
      <c r="FX27" s="245"/>
      <c r="FY27" s="245"/>
      <c r="FZ27" s="245"/>
      <c r="GA27" s="245"/>
      <c r="GB27" s="245"/>
      <c r="GC27" s="245"/>
      <c r="GD27" s="245"/>
      <c r="GE27" s="245"/>
      <c r="GF27" s="245"/>
      <c r="GG27" s="245"/>
      <c r="GH27" s="245"/>
      <c r="GI27" s="245"/>
      <c r="GJ27" s="245"/>
      <c r="GK27" s="245"/>
      <c r="GL27" s="245"/>
      <c r="GM27" s="245"/>
      <c r="GN27" s="245"/>
      <c r="GO27" s="245"/>
      <c r="GP27" s="245"/>
      <c r="GQ27" s="245"/>
      <c r="GR27" s="245"/>
      <c r="GS27" s="245"/>
      <c r="GT27" s="245"/>
      <c r="GU27" s="245"/>
      <c r="GV27" s="245"/>
      <c r="GW27" s="245"/>
      <c r="GX27" s="245"/>
      <c r="GY27" s="245"/>
      <c r="GZ27" s="245"/>
      <c r="HA27" s="245"/>
      <c r="HB27" s="245"/>
      <c r="HC27" s="245"/>
      <c r="HD27" s="245"/>
      <c r="HE27" s="245"/>
      <c r="HF27" s="245"/>
      <c r="HG27" s="245"/>
      <c r="HH27" s="245"/>
      <c r="HI27" s="245"/>
      <c r="HJ27" s="245"/>
      <c r="HK27" s="245"/>
      <c r="HL27" s="245"/>
      <c r="HM27" s="245"/>
      <c r="HN27" s="245"/>
      <c r="HO27" s="245"/>
      <c r="HP27" s="245"/>
      <c r="HQ27" s="245"/>
      <c r="HR27" s="245"/>
      <c r="HS27" s="245"/>
      <c r="HT27" s="245"/>
      <c r="HU27" s="245"/>
      <c r="HV27" s="245"/>
      <c r="HW27" s="245"/>
      <c r="HX27" s="245"/>
      <c r="HY27" s="245"/>
      <c r="HZ27" s="245"/>
      <c r="IA27" s="245"/>
      <c r="IB27" s="245"/>
      <c r="IC27" s="245"/>
      <c r="ID27" s="245"/>
      <c r="IE27" s="245"/>
      <c r="IF27" s="245"/>
      <c r="IG27" s="245"/>
      <c r="IH27" s="245"/>
      <c r="II27" s="245"/>
      <c r="IJ27" s="245"/>
      <c r="IK27" s="245"/>
      <c r="IL27" s="245"/>
      <c r="IM27" s="245"/>
      <c r="IN27" s="245"/>
      <c r="IO27" s="245"/>
      <c r="IP27" s="245"/>
      <c r="IQ27" s="245"/>
      <c r="IR27" s="245"/>
      <c r="IS27" s="245"/>
      <c r="IT27" s="245"/>
      <c r="IU27" s="245"/>
    </row>
    <row r="28" spans="1:255" s="235" customFormat="1">
      <c r="A28" s="236">
        <v>4</v>
      </c>
      <c r="B28" s="237"/>
      <c r="C28" s="238"/>
      <c r="D28" s="249"/>
      <c r="E28" s="239"/>
      <c r="F28" s="246" t="str">
        <f t="shared" si="12"/>
        <v/>
      </c>
      <c r="G28" s="239"/>
      <c r="H28" s="246" t="str">
        <f t="shared" si="13"/>
        <v/>
      </c>
      <c r="I28" s="239"/>
      <c r="J28" s="233" t="str">
        <f t="shared" si="14"/>
        <v/>
      </c>
      <c r="K28" s="239"/>
      <c r="L28" s="239"/>
      <c r="M28" s="239"/>
      <c r="N28" s="240" t="str">
        <f t="shared" si="15"/>
        <v/>
      </c>
      <c r="O28" s="241" t="e">
        <f t="shared" si="16"/>
        <v>#DIV/0!</v>
      </c>
      <c r="P28" s="298" t="e">
        <f t="shared" si="17"/>
        <v>#DIV/0!</v>
      </c>
      <c r="Q28" s="242" t="e">
        <f t="shared" si="18"/>
        <v>#DIV/0!</v>
      </c>
      <c r="R28" s="242" t="e">
        <f t="shared" si="19"/>
        <v>#DIV/0!</v>
      </c>
      <c r="S28" s="243" t="str">
        <f t="shared" si="20"/>
        <v/>
      </c>
      <c r="T28" s="242" t="str">
        <f t="shared" si="21"/>
        <v/>
      </c>
      <c r="U28" s="242" t="str">
        <f t="shared" si="22"/>
        <v/>
      </c>
      <c r="V28" s="299"/>
      <c r="W28" s="299"/>
      <c r="X28" s="244"/>
      <c r="Y28" s="244"/>
      <c r="Z28" s="245"/>
      <c r="AA28" s="245"/>
      <c r="AB28" s="245"/>
      <c r="AC28" s="245"/>
      <c r="AD28" s="245"/>
    </row>
    <row r="29" spans="1:255" s="235" customFormat="1">
      <c r="A29" s="236">
        <v>5</v>
      </c>
      <c r="B29" s="237"/>
      <c r="C29" s="238"/>
      <c r="D29" s="233"/>
      <c r="E29" s="246"/>
      <c r="F29" s="239" t="str">
        <f t="shared" si="12"/>
        <v/>
      </c>
      <c r="G29" s="246"/>
      <c r="H29" s="239" t="str">
        <f t="shared" si="13"/>
        <v/>
      </c>
      <c r="I29" s="246"/>
      <c r="J29" s="233" t="str">
        <f t="shared" si="14"/>
        <v/>
      </c>
      <c r="K29" s="239"/>
      <c r="L29" s="239"/>
      <c r="M29" s="239"/>
      <c r="N29" s="240" t="str">
        <f t="shared" si="15"/>
        <v/>
      </c>
      <c r="O29" s="241" t="e">
        <f t="shared" si="16"/>
        <v>#DIV/0!</v>
      </c>
      <c r="P29" s="298" t="e">
        <f t="shared" si="17"/>
        <v>#DIV/0!</v>
      </c>
      <c r="Q29" s="242" t="e">
        <f t="shared" si="18"/>
        <v>#DIV/0!</v>
      </c>
      <c r="R29" s="242" t="e">
        <f t="shared" si="19"/>
        <v>#DIV/0!</v>
      </c>
      <c r="S29" s="243" t="str">
        <f t="shared" si="20"/>
        <v/>
      </c>
      <c r="T29" s="242" t="str">
        <f t="shared" si="21"/>
        <v/>
      </c>
      <c r="U29" s="242" t="str">
        <f t="shared" si="22"/>
        <v/>
      </c>
      <c r="V29" s="299"/>
      <c r="W29" s="299"/>
      <c r="X29" s="244"/>
      <c r="Y29" s="244"/>
      <c r="Z29" s="245"/>
      <c r="AA29" s="245"/>
      <c r="AB29" s="245"/>
      <c r="AC29" s="245"/>
      <c r="AD29" s="245"/>
    </row>
    <row r="30" spans="1:255" s="235" customFormat="1">
      <c r="A30" s="236">
        <v>6</v>
      </c>
      <c r="B30" s="237"/>
      <c r="C30" s="238"/>
      <c r="D30" s="249"/>
      <c r="E30" s="239"/>
      <c r="F30" s="246" t="str">
        <f t="shared" si="12"/>
        <v/>
      </c>
      <c r="G30" s="239"/>
      <c r="H30" s="246" t="str">
        <f t="shared" si="13"/>
        <v/>
      </c>
      <c r="I30" s="239"/>
      <c r="J30" s="249" t="str">
        <f t="shared" si="14"/>
        <v/>
      </c>
      <c r="K30" s="239"/>
      <c r="L30" s="239"/>
      <c r="M30" s="239"/>
      <c r="N30" s="240" t="str">
        <f t="shared" si="15"/>
        <v/>
      </c>
      <c r="O30" s="241" t="e">
        <f t="shared" si="16"/>
        <v>#DIV/0!</v>
      </c>
      <c r="P30" s="298" t="e">
        <f t="shared" si="17"/>
        <v>#DIV/0!</v>
      </c>
      <c r="Q30" s="242" t="e">
        <f t="shared" si="18"/>
        <v>#DIV/0!</v>
      </c>
      <c r="R30" s="242" t="e">
        <f t="shared" si="19"/>
        <v>#DIV/0!</v>
      </c>
      <c r="S30" s="243" t="str">
        <f t="shared" si="20"/>
        <v/>
      </c>
      <c r="T30" s="242" t="str">
        <f>IF(W30&lt;&gt;"",IF(E29&lt;&gt;"",E29,($I$9-SUM($T$25:T29))*V30*W30/SUMPRODUCT($W30:$W$55,$V30:$V$55)),"")</f>
        <v/>
      </c>
      <c r="U30" s="242" t="str">
        <f t="shared" si="22"/>
        <v/>
      </c>
      <c r="V30" s="299"/>
      <c r="W30" s="299"/>
      <c r="X30" s="244"/>
      <c r="Y30" s="244"/>
      <c r="Z30" s="245"/>
      <c r="AA30" s="245"/>
      <c r="AB30" s="245"/>
      <c r="AC30" s="245"/>
      <c r="AD30" s="245"/>
    </row>
    <row r="31" spans="1:255" s="235" customFormat="1">
      <c r="A31" s="236">
        <v>7</v>
      </c>
      <c r="B31" s="237"/>
      <c r="C31" s="238"/>
      <c r="D31" s="233"/>
      <c r="E31" s="246"/>
      <c r="F31" s="239" t="str">
        <f t="shared" si="12"/>
        <v/>
      </c>
      <c r="G31" s="246"/>
      <c r="H31" s="239" t="str">
        <f t="shared" si="13"/>
        <v/>
      </c>
      <c r="I31" s="246"/>
      <c r="J31" s="233" t="str">
        <f t="shared" si="14"/>
        <v/>
      </c>
      <c r="K31" s="239"/>
      <c r="L31" s="239"/>
      <c r="M31" s="239"/>
      <c r="N31" s="240" t="str">
        <f t="shared" si="15"/>
        <v/>
      </c>
      <c r="O31" s="241" t="e">
        <f t="shared" si="16"/>
        <v>#DIV/0!</v>
      </c>
      <c r="P31" s="298" t="e">
        <f t="shared" si="17"/>
        <v>#DIV/0!</v>
      </c>
      <c r="Q31" s="242" t="e">
        <f t="shared" si="18"/>
        <v>#DIV/0!</v>
      </c>
      <c r="R31" s="242" t="e">
        <f t="shared" si="19"/>
        <v>#DIV/0!</v>
      </c>
      <c r="S31" s="243" t="str">
        <f t="shared" si="20"/>
        <v/>
      </c>
      <c r="T31" s="242" t="str">
        <f t="shared" ref="T31:T43" si="23">IF(W31&lt;&gt;"",IF(E31&lt;&gt;"",E31,($I$9-SUM($T$25:T30))*V31*W31/SUMPRODUCT($W31:$W$55,$V31:$V$55)),"")</f>
        <v/>
      </c>
      <c r="U31" s="242" t="str">
        <f t="shared" si="22"/>
        <v/>
      </c>
      <c r="V31" s="299"/>
      <c r="W31" s="299"/>
      <c r="X31" s="244"/>
      <c r="Y31" s="244"/>
      <c r="Z31" s="245"/>
      <c r="AA31" s="245"/>
      <c r="AB31" s="245"/>
      <c r="AC31" s="245"/>
      <c r="AD31" s="245"/>
    </row>
    <row r="32" spans="1:255" s="235" customFormat="1">
      <c r="A32" s="236">
        <v>8</v>
      </c>
      <c r="B32" s="237"/>
      <c r="C32" s="238"/>
      <c r="D32" s="249"/>
      <c r="E32" s="239"/>
      <c r="F32" s="246" t="str">
        <f t="shared" si="12"/>
        <v/>
      </c>
      <c r="G32" s="239"/>
      <c r="H32" s="246" t="str">
        <f t="shared" si="13"/>
        <v/>
      </c>
      <c r="I32" s="239"/>
      <c r="J32" s="249" t="str">
        <f t="shared" si="14"/>
        <v/>
      </c>
      <c r="K32" s="239"/>
      <c r="L32" s="239"/>
      <c r="M32" s="239"/>
      <c r="N32" s="240" t="str">
        <f t="shared" si="15"/>
        <v/>
      </c>
      <c r="O32" s="241" t="e">
        <f t="shared" si="16"/>
        <v>#DIV/0!</v>
      </c>
      <c r="P32" s="298" t="e">
        <f t="shared" si="17"/>
        <v>#DIV/0!</v>
      </c>
      <c r="Q32" s="242" t="e">
        <f t="shared" si="18"/>
        <v>#DIV/0!</v>
      </c>
      <c r="R32" s="242" t="e">
        <f t="shared" si="19"/>
        <v>#DIV/0!</v>
      </c>
      <c r="S32" s="243" t="str">
        <f t="shared" si="20"/>
        <v/>
      </c>
      <c r="T32" s="242" t="str">
        <f t="shared" si="23"/>
        <v/>
      </c>
      <c r="U32" s="242" t="str">
        <f t="shared" si="22"/>
        <v/>
      </c>
      <c r="V32" s="299"/>
      <c r="W32" s="299"/>
      <c r="X32" s="244"/>
      <c r="Y32" s="244"/>
      <c r="Z32" s="245"/>
      <c r="AA32" s="245"/>
      <c r="AB32" s="245"/>
      <c r="AC32" s="245"/>
      <c r="AD32" s="245"/>
    </row>
    <row r="33" spans="1:30" s="235" customFormat="1">
      <c r="A33" s="236">
        <v>9</v>
      </c>
      <c r="B33" s="237"/>
      <c r="C33" s="238"/>
      <c r="D33" s="233"/>
      <c r="E33" s="239"/>
      <c r="F33" s="239" t="str">
        <f t="shared" si="12"/>
        <v/>
      </c>
      <c r="G33" s="239"/>
      <c r="H33" s="239" t="str">
        <f t="shared" si="13"/>
        <v/>
      </c>
      <c r="I33" s="239"/>
      <c r="J33" s="233" t="str">
        <f t="shared" si="14"/>
        <v/>
      </c>
      <c r="K33" s="239"/>
      <c r="L33" s="239"/>
      <c r="M33" s="239"/>
      <c r="N33" s="240" t="str">
        <f t="shared" si="15"/>
        <v/>
      </c>
      <c r="O33" s="241" t="e">
        <f t="shared" si="16"/>
        <v>#DIV/0!</v>
      </c>
      <c r="P33" s="298" t="e">
        <f t="shared" si="17"/>
        <v>#DIV/0!</v>
      </c>
      <c r="Q33" s="242" t="e">
        <f t="shared" si="18"/>
        <v>#DIV/0!</v>
      </c>
      <c r="R33" s="242" t="e">
        <f t="shared" si="19"/>
        <v>#DIV/0!</v>
      </c>
      <c r="S33" s="243" t="str">
        <f t="shared" si="20"/>
        <v/>
      </c>
      <c r="T33" s="242" t="str">
        <f t="shared" si="23"/>
        <v/>
      </c>
      <c r="U33" s="242" t="str">
        <f t="shared" si="22"/>
        <v/>
      </c>
      <c r="V33" s="299"/>
      <c r="W33" s="299"/>
      <c r="X33" s="244"/>
      <c r="Y33" s="244"/>
      <c r="Z33" s="245"/>
      <c r="AA33" s="245"/>
      <c r="AB33" s="245"/>
      <c r="AC33" s="245"/>
      <c r="AD33" s="245"/>
    </row>
    <row r="34" spans="1:30" s="235" customFormat="1">
      <c r="A34" s="236">
        <v>10</v>
      </c>
      <c r="B34" s="237"/>
      <c r="C34" s="278"/>
      <c r="D34" s="233"/>
      <c r="E34" s="246"/>
      <c r="F34" s="239" t="str">
        <f t="shared" si="12"/>
        <v/>
      </c>
      <c r="G34" s="246"/>
      <c r="H34" s="239" t="str">
        <f t="shared" si="13"/>
        <v/>
      </c>
      <c r="I34" s="246"/>
      <c r="J34" s="233" t="str">
        <f t="shared" si="14"/>
        <v/>
      </c>
      <c r="K34" s="239"/>
      <c r="L34" s="239"/>
      <c r="M34" s="239"/>
      <c r="N34" s="240" t="str">
        <f t="shared" si="15"/>
        <v/>
      </c>
      <c r="O34" s="241" t="e">
        <f t="shared" si="16"/>
        <v>#DIV/0!</v>
      </c>
      <c r="P34" s="298" t="e">
        <f t="shared" si="17"/>
        <v>#DIV/0!</v>
      </c>
      <c r="Q34" s="242" t="e">
        <f t="shared" si="18"/>
        <v>#DIV/0!</v>
      </c>
      <c r="R34" s="242" t="e">
        <f t="shared" si="19"/>
        <v>#DIV/0!</v>
      </c>
      <c r="S34" s="243" t="str">
        <f t="shared" si="20"/>
        <v/>
      </c>
      <c r="T34" s="242" t="str">
        <f t="shared" si="23"/>
        <v/>
      </c>
      <c r="U34" s="242" t="str">
        <f t="shared" si="22"/>
        <v/>
      </c>
      <c r="V34" s="299"/>
      <c r="W34" s="299"/>
      <c r="X34" s="244"/>
      <c r="Y34" s="244"/>
      <c r="Z34" s="247"/>
      <c r="AA34" s="245"/>
      <c r="AB34" s="245"/>
      <c r="AC34" s="245"/>
      <c r="AD34" s="245"/>
    </row>
    <row r="35" spans="1:30" s="235" customFormat="1">
      <c r="A35" s="236">
        <v>11</v>
      </c>
      <c r="B35" s="237"/>
      <c r="C35" s="238"/>
      <c r="D35" s="249"/>
      <c r="E35" s="239"/>
      <c r="F35" s="246" t="str">
        <f t="shared" si="12"/>
        <v/>
      </c>
      <c r="G35" s="239"/>
      <c r="H35" s="246" t="str">
        <f t="shared" si="13"/>
        <v/>
      </c>
      <c r="I35" s="239"/>
      <c r="J35" s="249" t="str">
        <f t="shared" si="14"/>
        <v/>
      </c>
      <c r="K35" s="239"/>
      <c r="L35" s="239"/>
      <c r="M35" s="239"/>
      <c r="N35" s="240" t="str">
        <f t="shared" si="15"/>
        <v/>
      </c>
      <c r="O35" s="241" t="e">
        <f t="shared" si="16"/>
        <v>#DIV/0!</v>
      </c>
      <c r="P35" s="298" t="e">
        <f t="shared" si="17"/>
        <v>#DIV/0!</v>
      </c>
      <c r="Q35" s="242" t="e">
        <f t="shared" si="18"/>
        <v>#DIV/0!</v>
      </c>
      <c r="R35" s="242" t="e">
        <f t="shared" si="19"/>
        <v>#DIV/0!</v>
      </c>
      <c r="S35" s="243" t="str">
        <f t="shared" si="20"/>
        <v/>
      </c>
      <c r="T35" s="242" t="str">
        <f t="shared" si="23"/>
        <v/>
      </c>
      <c r="U35" s="242" t="str">
        <f t="shared" si="22"/>
        <v/>
      </c>
      <c r="V35" s="299"/>
      <c r="W35" s="299"/>
      <c r="X35" s="244"/>
      <c r="Y35" s="244"/>
      <c r="Z35" s="247"/>
      <c r="AA35" s="245"/>
      <c r="AB35" s="245"/>
      <c r="AC35" s="245"/>
      <c r="AD35" s="245"/>
    </row>
    <row r="36" spans="1:30" s="235" customFormat="1">
      <c r="A36" s="236">
        <v>12</v>
      </c>
      <c r="B36" s="237"/>
      <c r="C36" s="278"/>
      <c r="D36" s="233"/>
      <c r="E36" s="246"/>
      <c r="F36" s="239" t="str">
        <f t="shared" si="12"/>
        <v/>
      </c>
      <c r="G36" s="239"/>
      <c r="H36" s="239" t="str">
        <f t="shared" si="13"/>
        <v/>
      </c>
      <c r="I36" s="246"/>
      <c r="J36" s="233" t="str">
        <f t="shared" si="14"/>
        <v/>
      </c>
      <c r="K36" s="239"/>
      <c r="L36" s="239"/>
      <c r="M36" s="239"/>
      <c r="N36" s="240" t="str">
        <f t="shared" si="15"/>
        <v/>
      </c>
      <c r="O36" s="241" t="e">
        <f t="shared" si="16"/>
        <v>#DIV/0!</v>
      </c>
      <c r="P36" s="298" t="e">
        <f t="shared" si="17"/>
        <v>#DIV/0!</v>
      </c>
      <c r="Q36" s="242" t="e">
        <f t="shared" si="18"/>
        <v>#DIV/0!</v>
      </c>
      <c r="R36" s="242" t="e">
        <f t="shared" si="19"/>
        <v>#DIV/0!</v>
      </c>
      <c r="S36" s="243" t="str">
        <f t="shared" si="20"/>
        <v/>
      </c>
      <c r="T36" s="242" t="str">
        <f t="shared" si="23"/>
        <v/>
      </c>
      <c r="U36" s="242" t="str">
        <f t="shared" si="22"/>
        <v/>
      </c>
      <c r="V36" s="299"/>
      <c r="W36" s="299"/>
      <c r="X36" s="244"/>
      <c r="Y36" s="244"/>
      <c r="Z36" s="247"/>
      <c r="AA36" s="245"/>
      <c r="AB36" s="245"/>
      <c r="AC36" s="245"/>
      <c r="AD36" s="245"/>
    </row>
    <row r="37" spans="1:30" s="235" customFormat="1">
      <c r="A37" s="236">
        <v>13</v>
      </c>
      <c r="B37" s="237"/>
      <c r="C37" s="238"/>
      <c r="D37" s="249"/>
      <c r="E37" s="239"/>
      <c r="F37" s="239" t="str">
        <f t="shared" si="12"/>
        <v/>
      </c>
      <c r="G37" s="239"/>
      <c r="H37" s="246" t="str">
        <f t="shared" si="13"/>
        <v/>
      </c>
      <c r="I37" s="239"/>
      <c r="J37" s="249" t="str">
        <f t="shared" si="14"/>
        <v/>
      </c>
      <c r="K37" s="239"/>
      <c r="L37" s="239"/>
      <c r="M37" s="239"/>
      <c r="N37" s="240" t="str">
        <f t="shared" si="15"/>
        <v/>
      </c>
      <c r="O37" s="241" t="e">
        <f t="shared" si="16"/>
        <v>#DIV/0!</v>
      </c>
      <c r="P37" s="298" t="e">
        <f t="shared" si="17"/>
        <v>#DIV/0!</v>
      </c>
      <c r="Q37" s="242" t="e">
        <f t="shared" si="18"/>
        <v>#DIV/0!</v>
      </c>
      <c r="R37" s="242" t="e">
        <f t="shared" si="19"/>
        <v>#DIV/0!</v>
      </c>
      <c r="S37" s="243" t="str">
        <f t="shared" si="20"/>
        <v/>
      </c>
      <c r="T37" s="242" t="str">
        <f t="shared" si="23"/>
        <v/>
      </c>
      <c r="U37" s="242" t="str">
        <f t="shared" si="22"/>
        <v/>
      </c>
      <c r="V37" s="299"/>
      <c r="W37" s="299"/>
      <c r="X37" s="244"/>
      <c r="Y37" s="244"/>
      <c r="Z37" s="247"/>
      <c r="AA37" s="245"/>
      <c r="AB37" s="245"/>
      <c r="AC37" s="245"/>
      <c r="AD37" s="245"/>
    </row>
    <row r="38" spans="1:30" s="235" customFormat="1">
      <c r="A38" s="236">
        <v>14</v>
      </c>
      <c r="B38" s="237"/>
      <c r="C38" s="278"/>
      <c r="D38" s="233"/>
      <c r="E38" s="246"/>
      <c r="F38" s="239" t="str">
        <f t="shared" si="12"/>
        <v/>
      </c>
      <c r="G38" s="246"/>
      <c r="H38" s="239" t="str">
        <f t="shared" si="13"/>
        <v/>
      </c>
      <c r="I38" s="246"/>
      <c r="J38" s="233" t="str">
        <f t="shared" si="14"/>
        <v/>
      </c>
      <c r="K38" s="246"/>
      <c r="L38" s="239"/>
      <c r="M38" s="246"/>
      <c r="N38" s="240" t="str">
        <f t="shared" si="15"/>
        <v/>
      </c>
      <c r="O38" s="279" t="e">
        <f t="shared" si="16"/>
        <v>#DIV/0!</v>
      </c>
      <c r="P38" s="298" t="e">
        <f t="shared" si="17"/>
        <v>#DIV/0!</v>
      </c>
      <c r="Q38" s="280" t="e">
        <f t="shared" si="18"/>
        <v>#DIV/0!</v>
      </c>
      <c r="R38" s="242" t="e">
        <f t="shared" si="19"/>
        <v>#DIV/0!</v>
      </c>
      <c r="S38" s="301" t="str">
        <f t="shared" si="20"/>
        <v/>
      </c>
      <c r="T38" s="242" t="str">
        <f t="shared" si="23"/>
        <v/>
      </c>
      <c r="U38" s="280" t="str">
        <f t="shared" si="22"/>
        <v/>
      </c>
      <c r="V38" s="299"/>
      <c r="W38" s="299"/>
      <c r="X38" s="244"/>
      <c r="Y38" s="244"/>
      <c r="Z38" s="247"/>
      <c r="AA38" s="245"/>
      <c r="AB38" s="245"/>
      <c r="AC38" s="245"/>
      <c r="AD38" s="245"/>
    </row>
    <row r="39" spans="1:30" s="235" customFormat="1">
      <c r="A39" s="236">
        <v>15</v>
      </c>
      <c r="B39" s="237"/>
      <c r="C39" s="238"/>
      <c r="D39" s="249"/>
      <c r="E39" s="239"/>
      <c r="F39" s="246" t="str">
        <f t="shared" si="12"/>
        <v/>
      </c>
      <c r="G39" s="239"/>
      <c r="H39" s="246" t="str">
        <f t="shared" si="13"/>
        <v/>
      </c>
      <c r="I39" s="239"/>
      <c r="J39" s="249" t="str">
        <f t="shared" si="14"/>
        <v/>
      </c>
      <c r="K39" s="239"/>
      <c r="L39" s="239"/>
      <c r="M39" s="239"/>
      <c r="N39" s="240" t="str">
        <f t="shared" si="15"/>
        <v/>
      </c>
      <c r="O39" s="241" t="e">
        <f t="shared" si="16"/>
        <v>#DIV/0!</v>
      </c>
      <c r="P39" s="298" t="e">
        <f t="shared" si="17"/>
        <v>#DIV/0!</v>
      </c>
      <c r="Q39" s="242" t="e">
        <f t="shared" si="18"/>
        <v>#DIV/0!</v>
      </c>
      <c r="R39" s="242" t="e">
        <f t="shared" si="19"/>
        <v>#DIV/0!</v>
      </c>
      <c r="S39" s="243" t="str">
        <f t="shared" si="20"/>
        <v/>
      </c>
      <c r="T39" s="242" t="str">
        <f t="shared" si="23"/>
        <v/>
      </c>
      <c r="U39" s="242" t="str">
        <f t="shared" si="22"/>
        <v/>
      </c>
      <c r="V39" s="299"/>
      <c r="W39" s="299"/>
      <c r="X39" s="244"/>
      <c r="Y39" s="244"/>
      <c r="Z39" s="247"/>
      <c r="AA39" s="245"/>
      <c r="AB39" s="245"/>
      <c r="AC39" s="245"/>
      <c r="AD39" s="245"/>
    </row>
    <row r="40" spans="1:30" s="235" customFormat="1" ht="15" customHeight="1">
      <c r="A40" s="236">
        <v>16</v>
      </c>
      <c r="B40" s="237"/>
      <c r="C40" s="278"/>
      <c r="D40" s="233"/>
      <c r="E40" s="246"/>
      <c r="F40" s="239" t="str">
        <f t="shared" si="12"/>
        <v/>
      </c>
      <c r="G40" s="246"/>
      <c r="H40" s="239" t="str">
        <f t="shared" si="13"/>
        <v/>
      </c>
      <c r="I40" s="246"/>
      <c r="J40" s="233" t="str">
        <f t="shared" si="14"/>
        <v/>
      </c>
      <c r="K40" s="239"/>
      <c r="L40" s="239"/>
      <c r="M40" s="239"/>
      <c r="N40" s="240" t="str">
        <f t="shared" si="15"/>
        <v/>
      </c>
      <c r="O40" s="241" t="e">
        <f t="shared" si="16"/>
        <v>#DIV/0!</v>
      </c>
      <c r="P40" s="298" t="e">
        <f t="shared" si="17"/>
        <v>#DIV/0!</v>
      </c>
      <c r="Q40" s="242" t="e">
        <f t="shared" si="18"/>
        <v>#DIV/0!</v>
      </c>
      <c r="R40" s="242" t="e">
        <f t="shared" si="19"/>
        <v>#DIV/0!</v>
      </c>
      <c r="S40" s="243" t="str">
        <f t="shared" si="20"/>
        <v/>
      </c>
      <c r="T40" s="242" t="str">
        <f t="shared" si="23"/>
        <v/>
      </c>
      <c r="U40" s="242" t="str">
        <f t="shared" si="22"/>
        <v/>
      </c>
      <c r="V40" s="299"/>
      <c r="W40" s="299"/>
      <c r="X40" s="244"/>
      <c r="Y40" s="244"/>
      <c r="Z40" s="247"/>
      <c r="AA40" s="245"/>
      <c r="AB40" s="245"/>
      <c r="AC40" s="245"/>
      <c r="AD40" s="245"/>
    </row>
    <row r="41" spans="1:30" s="235" customFormat="1">
      <c r="A41" s="236">
        <v>17</v>
      </c>
      <c r="B41" s="237"/>
      <c r="C41" s="238"/>
      <c r="D41" s="249"/>
      <c r="E41" s="239"/>
      <c r="F41" s="246" t="str">
        <f t="shared" si="12"/>
        <v/>
      </c>
      <c r="G41" s="239"/>
      <c r="H41" s="246" t="str">
        <f t="shared" si="13"/>
        <v/>
      </c>
      <c r="I41" s="239"/>
      <c r="J41" s="249" t="str">
        <f t="shared" si="14"/>
        <v/>
      </c>
      <c r="K41" s="239"/>
      <c r="L41" s="239"/>
      <c r="M41" s="239"/>
      <c r="N41" s="281" t="str">
        <f t="shared" si="15"/>
        <v/>
      </c>
      <c r="O41" s="241" t="e">
        <f t="shared" si="16"/>
        <v>#DIV/0!</v>
      </c>
      <c r="P41" s="298" t="e">
        <f t="shared" si="17"/>
        <v>#DIV/0!</v>
      </c>
      <c r="Q41" s="242" t="e">
        <f t="shared" si="18"/>
        <v>#DIV/0!</v>
      </c>
      <c r="R41" s="242" t="e">
        <f t="shared" si="19"/>
        <v>#DIV/0!</v>
      </c>
      <c r="S41" s="243" t="str">
        <f t="shared" si="20"/>
        <v/>
      </c>
      <c r="T41" s="242" t="str">
        <f t="shared" si="23"/>
        <v/>
      </c>
      <c r="U41" s="242" t="str">
        <f t="shared" si="22"/>
        <v/>
      </c>
      <c r="V41" s="299"/>
      <c r="W41" s="299"/>
      <c r="X41" s="244"/>
      <c r="Y41" s="244"/>
      <c r="Z41" s="247"/>
      <c r="AA41" s="245"/>
      <c r="AB41" s="245"/>
      <c r="AC41" s="245"/>
      <c r="AD41" s="245"/>
    </row>
    <row r="42" spans="1:30" s="235" customFormat="1">
      <c r="A42" s="236">
        <v>18</v>
      </c>
      <c r="B42" s="237"/>
      <c r="C42" s="278"/>
      <c r="D42" s="233"/>
      <c r="E42" s="246"/>
      <c r="F42" s="239" t="str">
        <f t="shared" si="12"/>
        <v/>
      </c>
      <c r="G42" s="246"/>
      <c r="H42" s="239" t="str">
        <f t="shared" si="13"/>
        <v/>
      </c>
      <c r="I42" s="246"/>
      <c r="J42" s="233" t="str">
        <f t="shared" si="14"/>
        <v/>
      </c>
      <c r="K42" s="239"/>
      <c r="L42" s="239"/>
      <c r="M42" s="239"/>
      <c r="N42" s="281" t="str">
        <f t="shared" si="15"/>
        <v/>
      </c>
      <c r="O42" s="241" t="e">
        <f t="shared" si="16"/>
        <v>#DIV/0!</v>
      </c>
      <c r="P42" s="298" t="e">
        <f t="shared" si="17"/>
        <v>#DIV/0!</v>
      </c>
      <c r="Q42" s="242" t="e">
        <f t="shared" si="18"/>
        <v>#DIV/0!</v>
      </c>
      <c r="R42" s="242" t="e">
        <f t="shared" si="19"/>
        <v>#DIV/0!</v>
      </c>
      <c r="S42" s="243" t="str">
        <f t="shared" si="20"/>
        <v/>
      </c>
      <c r="T42" s="242" t="str">
        <f t="shared" si="23"/>
        <v/>
      </c>
      <c r="U42" s="242" t="str">
        <f t="shared" si="22"/>
        <v/>
      </c>
      <c r="V42" s="299"/>
      <c r="W42" s="299"/>
      <c r="X42" s="244"/>
      <c r="Y42" s="244"/>
      <c r="Z42" s="247"/>
      <c r="AA42" s="245"/>
      <c r="AB42" s="245"/>
      <c r="AC42" s="245"/>
      <c r="AD42" s="245"/>
    </row>
    <row r="43" spans="1:30" s="235" customFormat="1" ht="15" customHeight="1">
      <c r="A43" s="236"/>
      <c r="B43" s="237"/>
      <c r="C43" s="238"/>
      <c r="D43" s="233"/>
      <c r="E43" s="239"/>
      <c r="F43" s="239" t="str">
        <f t="shared" si="12"/>
        <v/>
      </c>
      <c r="G43" s="239"/>
      <c r="H43" s="239" t="str">
        <f t="shared" si="13"/>
        <v/>
      </c>
      <c r="I43" s="239"/>
      <c r="J43" s="233" t="str">
        <f t="shared" si="14"/>
        <v/>
      </c>
      <c r="K43" s="239"/>
      <c r="L43" s="239"/>
      <c r="M43" s="239"/>
      <c r="N43" s="281" t="str">
        <f t="shared" si="15"/>
        <v/>
      </c>
      <c r="O43" s="241" t="e">
        <f t="shared" si="16"/>
        <v>#DIV/0!</v>
      </c>
      <c r="P43" s="298" t="e">
        <f t="shared" si="17"/>
        <v>#DIV/0!</v>
      </c>
      <c r="Q43" s="242" t="e">
        <f t="shared" si="18"/>
        <v>#DIV/0!</v>
      </c>
      <c r="R43" s="242" t="e">
        <f t="shared" si="19"/>
        <v>#DIV/0!</v>
      </c>
      <c r="S43" s="243" t="str">
        <f t="shared" si="20"/>
        <v/>
      </c>
      <c r="T43" s="242" t="str">
        <f t="shared" si="23"/>
        <v/>
      </c>
      <c r="U43" s="242" t="str">
        <f t="shared" si="22"/>
        <v/>
      </c>
      <c r="V43" s="299"/>
      <c r="W43" s="299"/>
      <c r="X43" s="244"/>
      <c r="Y43" s="244"/>
      <c r="Z43" s="247"/>
      <c r="AA43" s="245"/>
      <c r="AB43" s="245"/>
      <c r="AC43" s="245"/>
      <c r="AD43" s="245"/>
    </row>
    <row r="44" spans="1:30" s="235" customFormat="1" ht="15" customHeight="1">
      <c r="A44" s="236"/>
      <c r="B44" s="237"/>
      <c r="C44" s="238"/>
      <c r="D44" s="233"/>
      <c r="E44" s="239"/>
      <c r="F44" s="239" t="str">
        <f t="shared" si="12"/>
        <v/>
      </c>
      <c r="G44" s="239"/>
      <c r="H44" s="239" t="str">
        <f t="shared" si="13"/>
        <v/>
      </c>
      <c r="I44" s="239"/>
      <c r="J44" s="233" t="str">
        <f t="shared" si="14"/>
        <v/>
      </c>
      <c r="K44" s="239"/>
      <c r="L44" s="239"/>
      <c r="M44" s="239"/>
      <c r="N44" s="281" t="str">
        <f t="shared" si="15"/>
        <v/>
      </c>
      <c r="O44" s="241" t="e">
        <f t="shared" si="16"/>
        <v>#DIV/0!</v>
      </c>
      <c r="P44" s="298" t="e">
        <f t="shared" si="17"/>
        <v>#DIV/0!</v>
      </c>
      <c r="Q44" s="242" t="e">
        <f t="shared" si="18"/>
        <v>#DIV/0!</v>
      </c>
      <c r="R44" s="242" t="e">
        <f t="shared" si="19"/>
        <v>#DIV/0!</v>
      </c>
      <c r="S44" s="243" t="str">
        <f t="shared" si="20"/>
        <v/>
      </c>
      <c r="T44" s="242">
        <f>IF(W44&lt;&gt;"",IF(E44&lt;&gt;"",E44,($I$9-SUM($T$25:T43))*V44*W44/SUMPRODUCT($W44:$W$55,$V44:$V$55)),0)</f>
        <v>0</v>
      </c>
      <c r="U44" s="242" t="str">
        <f t="shared" si="22"/>
        <v/>
      </c>
      <c r="V44" s="299"/>
      <c r="W44" s="299"/>
      <c r="X44" s="244"/>
      <c r="Y44" s="244"/>
      <c r="Z44" s="245"/>
      <c r="AA44" s="245"/>
      <c r="AB44" s="245"/>
      <c r="AC44" s="245"/>
      <c r="AD44" s="245"/>
    </row>
    <row r="45" spans="1:30" customFormat="1">
      <c r="A45" s="287"/>
      <c r="B45" s="96"/>
      <c r="C45" s="232"/>
      <c r="D45" s="98"/>
      <c r="E45" s="99"/>
      <c r="F45" s="99" t="str">
        <f t="shared" si="12"/>
        <v/>
      </c>
      <c r="G45" s="99"/>
      <c r="H45" s="99" t="str">
        <f t="shared" si="13"/>
        <v/>
      </c>
      <c r="I45" s="99"/>
      <c r="J45" s="98" t="str">
        <f t="shared" si="14"/>
        <v/>
      </c>
      <c r="K45" s="99"/>
      <c r="L45" s="99"/>
      <c r="M45" s="99"/>
      <c r="N45" s="282" t="str">
        <f t="shared" si="15"/>
        <v/>
      </c>
      <c r="O45" s="101" t="e">
        <f t="shared" si="16"/>
        <v>#DIV/0!</v>
      </c>
      <c r="P45" s="298" t="e">
        <f t="shared" si="17"/>
        <v>#DIV/0!</v>
      </c>
      <c r="Q45" s="103" t="e">
        <f t="shared" ref="Q45:Q46" si="24">$I$9*V45*W45/SUMPRODUCT($W$25:$W$44,$V$25:$V$44)</f>
        <v>#DIV/0!</v>
      </c>
      <c r="R45" s="103" t="e">
        <f t="shared" si="19"/>
        <v>#DIV/0!</v>
      </c>
      <c r="S45" s="102" t="str">
        <f t="shared" ref="S45:S46" si="25">IF(W45&lt;&gt;"",IF(D45&lt;&gt;"",D45,($I$8-SUM($S$25:S44))*V45*W45/SUMPRODUCT($W$44:$W45,$V$44:$V45)),"")</f>
        <v/>
      </c>
      <c r="T45" s="103" t="str">
        <f t="shared" ref="T45:T46" si="26">IF(W45&lt;&gt;"",IF(E45&lt;&gt;"",E45,($I$9-SUM($T$25:T44))*V45*W45/SUMPRODUCT($W$44:$W45,$V$44:$V45)),"")</f>
        <v/>
      </c>
      <c r="U45" s="103" t="str">
        <f t="shared" ref="U45:U46" si="27">IF(W45&lt;&gt;"",IF($I$12&lt;&gt;"",IF(G45&lt;&gt;"",G45,($I$9/$I$12-SUM($U$25:U44))*V45*W45/SUMPRODUCT($W$44:$W45,$V$44:$V45)),""),"")</f>
        <v/>
      </c>
      <c r="V45" s="288"/>
      <c r="W45" s="288"/>
      <c r="X45" s="283"/>
      <c r="Y45" s="283"/>
      <c r="Z45" s="284"/>
    </row>
    <row r="46" spans="1:30" s="235" customFormat="1">
      <c r="A46" s="302"/>
      <c r="B46" s="237"/>
      <c r="C46" s="264"/>
      <c r="D46" s="233"/>
      <c r="E46" s="239"/>
      <c r="F46" s="239" t="str">
        <f t="shared" si="12"/>
        <v/>
      </c>
      <c r="G46" s="239"/>
      <c r="H46" s="239" t="str">
        <f t="shared" si="13"/>
        <v/>
      </c>
      <c r="I46" s="239"/>
      <c r="J46" s="233" t="str">
        <f t="shared" si="14"/>
        <v/>
      </c>
      <c r="K46" s="239"/>
      <c r="L46" s="239"/>
      <c r="M46" s="239"/>
      <c r="N46" s="281" t="str">
        <f t="shared" si="15"/>
        <v/>
      </c>
      <c r="O46" s="241" t="e">
        <f t="shared" si="16"/>
        <v>#DIV/0!</v>
      </c>
      <c r="P46" s="298" t="e">
        <f t="shared" si="17"/>
        <v>#DIV/0!</v>
      </c>
      <c r="Q46" s="242" t="e">
        <f t="shared" si="24"/>
        <v>#DIV/0!</v>
      </c>
      <c r="R46" s="242" t="e">
        <f t="shared" si="19"/>
        <v>#DIV/0!</v>
      </c>
      <c r="S46" s="243" t="str">
        <f t="shared" si="25"/>
        <v/>
      </c>
      <c r="T46" s="242" t="str">
        <f t="shared" si="26"/>
        <v/>
      </c>
      <c r="U46" s="242" t="str">
        <f t="shared" si="27"/>
        <v/>
      </c>
      <c r="V46" s="299"/>
      <c r="W46" s="299"/>
      <c r="X46" s="285"/>
      <c r="Y46" s="285"/>
      <c r="Z46" s="286"/>
    </row>
    <row r="47" spans="1:30" s="235" customFormat="1">
      <c r="A47" s="303"/>
      <c r="B47" s="237"/>
      <c r="C47" s="248"/>
      <c r="D47" s="233"/>
      <c r="E47" s="239"/>
      <c r="F47" s="239" t="str">
        <f t="shared" si="12"/>
        <v/>
      </c>
      <c r="G47" s="239"/>
      <c r="H47" s="239" t="str">
        <f t="shared" si="13"/>
        <v/>
      </c>
      <c r="I47" s="239"/>
      <c r="J47" s="233" t="str">
        <f t="shared" si="14"/>
        <v/>
      </c>
      <c r="K47" s="239"/>
      <c r="L47" s="239"/>
      <c r="M47" s="239"/>
      <c r="N47" s="281" t="str">
        <f t="shared" si="15"/>
        <v/>
      </c>
      <c r="O47" s="241" t="e">
        <f t="shared" si="16"/>
        <v>#DIV/0!</v>
      </c>
      <c r="P47" s="298" t="e">
        <f t="shared" si="17"/>
        <v>#DIV/0!</v>
      </c>
      <c r="Q47" s="242" t="e">
        <f>$I$9*V47*W47/SUMPRODUCT($W$25:$W$47,$V$25:$V$47)</f>
        <v>#DIV/0!</v>
      </c>
      <c r="R47" s="242" t="e">
        <f t="shared" si="19"/>
        <v>#DIV/0!</v>
      </c>
      <c r="S47" s="243" t="str">
        <f>IF(W47&lt;&gt;"",IF(D47&lt;&gt;"",D47,($I$8-SUM($S$25:S46))*V47*W47/SUMPRODUCT($W47:$W$47,$V47:$V$47)),"")</f>
        <v/>
      </c>
      <c r="T47" s="242" t="str">
        <f>IF(W47&lt;&gt;"",IF(E47&lt;&gt;"",E47,($I$9-SUM($T$25:T46))*V47*W47/SUMPRODUCT($W47:$W$47,$V47:$V$47)),"")</f>
        <v/>
      </c>
      <c r="U47" s="242" t="str">
        <f>IF(W47&lt;&gt;"",IF($I$12&lt;&gt;"",IF(G47&lt;&gt;"",G47,($I$9/$I$12-SUM($U$25:U46))*V47*W47/SUMPRODUCT($W47:$W$47,$V47:$V$47)),""),"")</f>
        <v/>
      </c>
      <c r="V47" s="299"/>
      <c r="W47" s="299"/>
      <c r="X47" s="285"/>
      <c r="Y47" s="285"/>
      <c r="Z47" s="286"/>
    </row>
    <row r="48" spans="1:30" ht="15" customHeight="1">
      <c r="B48" s="602" t="s">
        <v>62</v>
      </c>
      <c r="C48" s="602"/>
      <c r="D48" s="115">
        <f>SUM(D25:D47)</f>
        <v>0</v>
      </c>
      <c r="E48" s="115">
        <f>SUM(E25:E47)</f>
        <v>0</v>
      </c>
      <c r="F48" s="115" t="str">
        <f t="shared" si="12"/>
        <v/>
      </c>
      <c r="G48" s="115">
        <f>SUM(G25:G47)</f>
        <v>0</v>
      </c>
      <c r="H48" s="115" t="str">
        <f t="shared" si="13"/>
        <v/>
      </c>
      <c r="I48" s="115">
        <f>SUM(I25:I47)</f>
        <v>0</v>
      </c>
      <c r="J48" s="114" t="str">
        <f t="shared" si="14"/>
        <v/>
      </c>
      <c r="K48" s="115">
        <f>SUM(K25:K47)</f>
        <v>0</v>
      </c>
      <c r="L48" s="115">
        <f>SUM(L25:L47)</f>
        <v>0</v>
      </c>
      <c r="M48" s="115">
        <f>SUM(M25:M47)</f>
        <v>0</v>
      </c>
      <c r="N48" s="116" t="str">
        <f t="shared" si="15"/>
        <v/>
      </c>
      <c r="O48" s="117" t="e">
        <f t="shared" si="16"/>
        <v>#DIV/0!</v>
      </c>
      <c r="P48" s="118" t="e">
        <f t="shared" ref="P48:U48" si="28">SUM(P25:P47)</f>
        <v>#DIV/0!</v>
      </c>
      <c r="Q48" s="118" t="e">
        <f t="shared" si="28"/>
        <v>#DIV/0!</v>
      </c>
      <c r="R48" s="118" t="e">
        <f t="shared" si="28"/>
        <v>#DIV/0!</v>
      </c>
      <c r="S48" s="118" t="e">
        <f t="shared" si="28"/>
        <v>#DIV/0!</v>
      </c>
      <c r="T48" s="118" t="e">
        <f t="shared" si="28"/>
        <v>#DIV/0!</v>
      </c>
      <c r="U48" s="118" t="e">
        <f t="shared" si="28"/>
        <v>#DIV/0!</v>
      </c>
      <c r="V48" s="119"/>
      <c r="W48" s="119"/>
    </row>
    <row r="49" spans="2:17">
      <c r="B49" s="121"/>
      <c r="C49" s="122"/>
      <c r="D49" s="123" t="e">
        <f>SUMIF(D25:D47,"",P25:P47)+D48</f>
        <v>#DIV/0!</v>
      </c>
      <c r="E49" s="124"/>
      <c r="F49" s="122"/>
      <c r="G49" s="122"/>
      <c r="H49" s="125"/>
      <c r="I49" s="227"/>
      <c r="J49" s="125"/>
      <c r="L49" s="127"/>
      <c r="M49" s="124"/>
      <c r="N49" s="127"/>
      <c r="O49" s="127"/>
      <c r="P49" s="127"/>
      <c r="Q49" s="128"/>
    </row>
    <row r="50" spans="2:17">
      <c r="D50" s="129"/>
    </row>
    <row r="51" spans="2:17">
      <c r="D51" s="129"/>
    </row>
    <row r="52" spans="2:17">
      <c r="D52" s="130"/>
    </row>
    <row r="53" spans="2:17">
      <c r="D53" s="130"/>
    </row>
  </sheetData>
  <mergeCells count="28">
    <mergeCell ref="P22:W22"/>
    <mergeCell ref="B48:C48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85" priority="27" operator="greaterThan">
      <formula>0</formula>
    </cfRule>
    <cfRule type="cellIs" dxfId="84" priority="26" operator="lessThan">
      <formula>0</formula>
    </cfRule>
  </conditionalFormatting>
  <conditionalFormatting sqref="J25:J31">
    <cfRule type="cellIs" dxfId="83" priority="11" operator="greaterThan">
      <formula>$I$12</formula>
    </cfRule>
  </conditionalFormatting>
  <conditionalFormatting sqref="J26:J30">
    <cfRule type="cellIs" dxfId="82" priority="10" operator="lessThan">
      <formula>$I$12</formula>
    </cfRule>
  </conditionalFormatting>
  <conditionalFormatting sqref="J28:J42 J25">
    <cfRule type="cellIs" dxfId="81" priority="36" operator="lessThan">
      <formula>$I$12</formula>
    </cfRule>
  </conditionalFormatting>
  <conditionalFormatting sqref="J28:J42">
    <cfRule type="cellIs" dxfId="80" priority="35" operator="greaterThan">
      <formula>$I$12</formula>
    </cfRule>
  </conditionalFormatting>
  <conditionalFormatting sqref="J29:J30">
    <cfRule type="cellIs" dxfId="79" priority="30" operator="lessThan">
      <formula>$I$12</formula>
    </cfRule>
  </conditionalFormatting>
  <conditionalFormatting sqref="J43:J47 J37">
    <cfRule type="cellIs" dxfId="78" priority="19" operator="greaterThan">
      <formula>$I$12</formula>
    </cfRule>
  </conditionalFormatting>
  <conditionalFormatting sqref="J43:J47">
    <cfRule type="cellIs" dxfId="77" priority="18" operator="lessThan">
      <formula>$I$12</formula>
    </cfRule>
  </conditionalFormatting>
  <conditionalFormatting sqref="K10:K12 K15">
    <cfRule type="cellIs" dxfId="76" priority="25" operator="greaterThan">
      <formula>1</formula>
    </cfRule>
    <cfRule type="cellIs" dxfId="75" priority="24" operator="lessThan">
      <formula>1</formula>
    </cfRule>
  </conditionalFormatting>
  <conditionalFormatting sqref="K13">
    <cfRule type="cellIs" dxfId="74" priority="21" operator="greaterThan">
      <formula>$K$14</formula>
    </cfRule>
    <cfRule type="cellIs" dxfId="73" priority="20" operator="lessThan">
      <formula>$K$14</formula>
    </cfRule>
  </conditionalFormatting>
  <conditionalFormatting sqref="M8:M15">
    <cfRule type="cellIs" dxfId="72" priority="29" operator="lessThan">
      <formula>1</formula>
    </cfRule>
    <cfRule type="cellIs" dxfId="71" priority="23" operator="greaterThan">
      <formula>1</formula>
    </cfRule>
  </conditionalFormatting>
  <conditionalFormatting sqref="N25:N37">
    <cfRule type="cellIs" dxfId="70" priority="8" operator="greaterThanOrEqual">
      <formula>0.25</formula>
    </cfRule>
    <cfRule type="cellIs" dxfId="69" priority="7" operator="between">
      <formula>0.2</formula>
      <formula>0.25</formula>
    </cfRule>
  </conditionalFormatting>
  <conditionalFormatting sqref="N25:N47">
    <cfRule type="cellIs" dxfId="68" priority="9" operator="lessThan">
      <formula>0.2</formula>
    </cfRule>
  </conditionalFormatting>
  <conditionalFormatting sqref="N38">
    <cfRule type="cellIs" dxfId="67" priority="31" operator="between">
      <formula>0.2</formula>
      <formula>0.25</formula>
    </cfRule>
  </conditionalFormatting>
  <conditionalFormatting sqref="N38:N47">
    <cfRule type="cellIs" dxfId="66" priority="17" operator="greaterThanOrEqual">
      <formula>0.25</formula>
    </cfRule>
  </conditionalFormatting>
  <conditionalFormatting sqref="N39:N47">
    <cfRule type="cellIs" dxfId="65" priority="16" operator="between">
      <formula>0.2</formula>
      <formula>0.25</formula>
    </cfRule>
  </conditionalFormatting>
  <conditionalFormatting sqref="O25:O37">
    <cfRule type="cellIs" dxfId="64" priority="6" operator="between">
      <formula>0.01</formula>
      <formula>0.99</formula>
    </cfRule>
    <cfRule type="cellIs" dxfId="63" priority="5" operator="between">
      <formula>0.85</formula>
      <formula>1</formula>
    </cfRule>
    <cfRule type="cellIs" dxfId="62" priority="2" operator="lessThan">
      <formula>0.9</formula>
    </cfRule>
    <cfRule type="cellIs" dxfId="61" priority="1" operator="between">
      <formula>0.9001</formula>
      <formula>0.9999</formula>
    </cfRule>
  </conditionalFormatting>
  <conditionalFormatting sqref="O25:O47">
    <cfRule type="cellIs" dxfId="60" priority="4" operator="greaterThan">
      <formula>100</formula>
    </cfRule>
    <cfRule type="cellIs" dxfId="59" priority="3" operator="greaterThan">
      <formula>1</formula>
    </cfRule>
  </conditionalFormatting>
  <conditionalFormatting sqref="O38">
    <cfRule type="cellIs" dxfId="58" priority="32" operator="between">
      <formula>0.85</formula>
      <formula>1</formula>
    </cfRule>
    <cfRule type="cellIs" dxfId="57" priority="33" operator="lessThan">
      <formula>0.9</formula>
    </cfRule>
    <cfRule type="cellIs" dxfId="56" priority="34" operator="between">
      <formula>0.9001</formula>
      <formula>0.9999</formula>
    </cfRule>
  </conditionalFormatting>
  <conditionalFormatting sqref="O38:O47">
    <cfRule type="cellIs" dxfId="55" priority="15" operator="between">
      <formula>0.01</formula>
      <formula>0.99</formula>
    </cfRule>
  </conditionalFormatting>
  <conditionalFormatting sqref="O39:O44">
    <cfRule type="cellIs" dxfId="54" priority="14" operator="between">
      <formula>0.85</formula>
      <formula>1</formula>
    </cfRule>
  </conditionalFormatting>
  <conditionalFormatting sqref="O39:O47">
    <cfRule type="cellIs" dxfId="53" priority="13" operator="lessThan">
      <formula>0.9</formula>
    </cfRule>
    <cfRule type="cellIs" dxfId="52" priority="12" operator="between">
      <formula>0.9001</formula>
      <formula>0.9999</formula>
    </cfRule>
  </conditionalFormatting>
  <conditionalFormatting sqref="O45:O47">
    <cfRule type="cellIs" dxfId="51" priority="22" operator="between">
      <formula>0.85</formula>
      <formula>1</formula>
    </cfRule>
  </conditionalFormatting>
  <conditionalFormatting sqref="P10:Q10">
    <cfRule type="cellIs" dxfId="50" priority="28" operator="lessThan">
      <formula>0</formula>
    </cfRule>
  </conditionalFormatting>
  <pageMargins left="0.7" right="0.7" top="0.75" bottom="0.75" header="0.51200000000000001" footer="0.51200000000000001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U53"/>
  <sheetViews>
    <sheetView topLeftCell="A7" zoomScale="108" workbookViewId="0">
      <selection activeCell="J14" sqref="J14"/>
    </sheetView>
  </sheetViews>
  <sheetFormatPr baseColWidth="10" defaultColWidth="9.1640625" defaultRowHeight="15"/>
  <cols>
    <col min="1" max="1" width="12.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/>
    <col min="22" max="23" width="10.5" style="3" customWidth="1"/>
    <col min="24" max="33" width="9.1640625" style="3"/>
    <col min="34" max="255" width="9.1640625" style="2"/>
  </cols>
  <sheetData>
    <row r="1" spans="2:23" ht="15.75" customHeight="1">
      <c r="B1" s="678">
        <f ca="1">TODAY()-1</f>
        <v>45909</v>
      </c>
      <c r="C1" s="678"/>
      <c r="D1" s="304"/>
      <c r="E1" s="304"/>
      <c r="F1" s="305"/>
      <c r="G1" s="305"/>
      <c r="H1" s="305"/>
      <c r="I1" s="305"/>
      <c r="J1" s="306"/>
      <c r="K1" s="306"/>
      <c r="L1" s="306"/>
      <c r="M1" s="306"/>
      <c r="N1" s="306"/>
      <c r="O1" s="306"/>
      <c r="P1" s="306"/>
      <c r="Q1" s="679"/>
      <c r="R1" s="679"/>
      <c r="S1" s="679"/>
      <c r="T1" s="679"/>
      <c r="U1" s="305"/>
      <c r="V1" s="305"/>
      <c r="W1" s="305"/>
    </row>
    <row r="2" spans="2:23" ht="21.75" customHeight="1">
      <c r="B2" s="680" t="s">
        <v>0</v>
      </c>
      <c r="C2" s="680"/>
      <c r="D2" s="304"/>
      <c r="E2" s="304"/>
      <c r="F2" s="305"/>
      <c r="G2" s="305"/>
      <c r="H2" s="305"/>
      <c r="I2" s="305"/>
      <c r="J2" s="681" t="s">
        <v>71</v>
      </c>
      <c r="K2" s="681"/>
      <c r="L2" s="681"/>
      <c r="M2" s="681"/>
      <c r="N2" s="681"/>
      <c r="O2" s="681"/>
      <c r="P2" s="681"/>
      <c r="Q2" s="679"/>
      <c r="R2" s="679"/>
      <c r="S2" s="679"/>
      <c r="T2" s="679"/>
      <c r="U2" s="305"/>
      <c r="V2" s="305"/>
      <c r="W2" s="305"/>
    </row>
    <row r="3" spans="2:23" ht="14" customHeight="1">
      <c r="B3" s="307" t="s">
        <v>1</v>
      </c>
      <c r="C3" s="304"/>
      <c r="D3" s="304"/>
      <c r="E3" s="304"/>
      <c r="F3" s="305"/>
      <c r="G3" s="305"/>
      <c r="H3" s="305"/>
      <c r="I3" s="305"/>
      <c r="J3" s="682">
        <f>График!B25</f>
        <v>0</v>
      </c>
      <c r="K3" s="682"/>
      <c r="L3" s="682"/>
      <c r="M3" s="682"/>
      <c r="N3" s="682"/>
      <c r="O3" s="306"/>
      <c r="P3" s="308"/>
      <c r="Q3" s="679"/>
      <c r="R3" s="679"/>
      <c r="S3" s="679"/>
      <c r="T3" s="679"/>
      <c r="U3" s="305"/>
      <c r="V3" s="305"/>
      <c r="W3" s="305"/>
    </row>
    <row r="4" spans="2:23" ht="15" customHeight="1">
      <c r="B4" s="304"/>
      <c r="C4" s="683">
        <f>I8-D48</f>
        <v>0</v>
      </c>
      <c r="D4" s="683"/>
      <c r="E4" s="309">
        <f>IF(I8&lt;&gt;0,C4/I8,0)</f>
        <v>0</v>
      </c>
      <c r="F4" s="305"/>
      <c r="G4" s="305"/>
      <c r="H4" s="305"/>
      <c r="I4" s="305"/>
      <c r="J4" s="682"/>
      <c r="K4" s="682"/>
      <c r="L4" s="682"/>
      <c r="M4" s="682"/>
      <c r="N4" s="682"/>
      <c r="O4" s="305"/>
      <c r="P4" s="305"/>
      <c r="Q4" s="679"/>
      <c r="R4" s="679"/>
      <c r="S4" s="679"/>
      <c r="T4" s="679"/>
      <c r="U4" s="305"/>
      <c r="V4" s="305"/>
      <c r="W4" s="305"/>
    </row>
    <row r="5" spans="2:23">
      <c r="B5" s="305"/>
      <c r="C5" s="305"/>
      <c r="D5" s="305"/>
      <c r="E5" s="305"/>
      <c r="F5" s="305"/>
      <c r="G5" s="305"/>
      <c r="H5" s="305"/>
      <c r="I5" s="305"/>
      <c r="J5" s="684"/>
      <c r="K5" s="684"/>
      <c r="L5" s="684"/>
      <c r="M5" s="684"/>
      <c r="N5" s="684"/>
      <c r="O5" s="305"/>
      <c r="P5" s="305"/>
      <c r="Q5" s="305"/>
      <c r="R5" s="305"/>
      <c r="S5" s="305"/>
      <c r="T5" s="305"/>
      <c r="U5" s="305"/>
      <c r="V5" s="305"/>
      <c r="W5" s="305"/>
    </row>
    <row r="6" spans="2:23" ht="15.75" customHeight="1">
      <c r="B6" s="310"/>
      <c r="C6" s="305"/>
      <c r="D6" s="305"/>
      <c r="E6" s="305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37"/>
      <c r="S6" s="37"/>
      <c r="T6" s="305"/>
      <c r="U6" s="305"/>
      <c r="V6" s="305"/>
      <c r="W6" s="305"/>
    </row>
    <row r="7" spans="2:23" ht="50.75" customHeight="1">
      <c r="B7" s="310"/>
      <c r="C7" s="305"/>
      <c r="D7" s="305"/>
      <c r="E7" s="305"/>
      <c r="F7" s="582" t="s">
        <v>3</v>
      </c>
      <c r="G7" s="583"/>
      <c r="H7" s="584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85" t="s">
        <v>11</v>
      </c>
      <c r="Q7" s="586"/>
      <c r="R7" s="37"/>
      <c r="S7" s="37"/>
      <c r="T7" s="305"/>
      <c r="U7" s="305"/>
      <c r="V7" s="305"/>
      <c r="W7" s="305"/>
    </row>
    <row r="8" spans="2:23" ht="15.75" customHeight="1">
      <c r="B8" s="310"/>
      <c r="C8" s="305"/>
      <c r="D8" s="305"/>
      <c r="E8" s="305"/>
      <c r="F8" s="587" t="s">
        <v>12</v>
      </c>
      <c r="G8" s="588"/>
      <c r="H8" s="589"/>
      <c r="I8" s="203">
        <f>'Ялта, Ленина, 18'!I8/График!AI31*График!AI25</f>
        <v>0</v>
      </c>
      <c r="J8" s="204">
        <f>D48</f>
        <v>0</v>
      </c>
      <c r="K8" s="30" t="str">
        <f t="shared" ref="K8:K9" si="0">IF(AND(I8&lt;&gt;"", I8&lt;&gt;0, J8&lt;&gt;""), J8/I8, "")</f>
        <v/>
      </c>
      <c r="L8" s="205">
        <f>IF(SUMIF($D$25:$D$47,"&gt;=0",$P$25:$P$47)&lt;&gt;0,I8*D48/SUMIF($D$25:$D$47,"&gt;=0",$P$25:$P$47),0)</f>
        <v>0</v>
      </c>
      <c r="M8" s="32" t="str">
        <f t="shared" ref="M8:M9" si="1">IF(AND(I8&lt;&gt;"", I8&lt;&gt;0, L8&lt;&gt;"", L8&lt;&gt;0), L8/I8, "")</f>
        <v/>
      </c>
      <c r="N8" s="35" t="str">
        <f t="shared" ref="N8:N9" si="2">IF(AND(J8&lt;&gt;0, J8&lt;&gt;"", I8&lt;&gt;0, I8&lt;&gt;""), L8-I8, "")</f>
        <v/>
      </c>
      <c r="O8" s="34"/>
      <c r="P8" s="35" t="str">
        <f t="shared" ref="P8:P9" si="3">IF(AND(O8&lt;&gt;"", O8&lt;&gt;0, L8&lt;&gt;"", L8&lt;&gt;0), -O8+L8, "")</f>
        <v/>
      </c>
      <c r="Q8" s="36" t="str">
        <f t="shared" ref="Q8:Q9" si="4">IF(AND(P8&lt;&gt;"", P8&lt;&gt;0, O8&lt;&gt;0, O8&lt;&gt;""), P8/O8, "")</f>
        <v/>
      </c>
      <c r="R8" s="37"/>
      <c r="S8" s="37"/>
      <c r="T8" s="305"/>
      <c r="U8" s="305"/>
      <c r="V8" s="305"/>
      <c r="W8" s="305"/>
    </row>
    <row r="9" spans="2:23" ht="15.75" customHeight="1">
      <c r="B9" s="310"/>
      <c r="C9" s="305"/>
      <c r="D9" s="305"/>
      <c r="E9" s="305"/>
      <c r="F9" s="590" t="s">
        <v>13</v>
      </c>
      <c r="G9" s="591"/>
      <c r="H9" s="592"/>
      <c r="I9" s="38">
        <f>I8/I11</f>
        <v>0</v>
      </c>
      <c r="J9" s="39">
        <f>E48</f>
        <v>0</v>
      </c>
      <c r="K9" s="40" t="str">
        <f t="shared" si="0"/>
        <v/>
      </c>
      <c r="L9" s="207">
        <f>IF(SUMIF($E$25:$E$47,"&gt;=0",$Q$25:$Q$47)&lt;&gt;0,I9*E48/SUMIF($E$25:$E$47,"&gt;=0",$Q$25:$Q$47),0)</f>
        <v>0</v>
      </c>
      <c r="M9" s="42" t="str">
        <f t="shared" si="1"/>
        <v/>
      </c>
      <c r="N9" s="43" t="str">
        <f t="shared" si="2"/>
        <v/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37"/>
      <c r="S9" s="37"/>
      <c r="T9" s="305"/>
      <c r="U9" s="305"/>
      <c r="V9" s="305"/>
      <c r="W9" s="305"/>
    </row>
    <row r="10" spans="2:23" ht="15.75" customHeight="1">
      <c r="B10" s="310"/>
      <c r="C10" s="305"/>
      <c r="D10" s="305"/>
      <c r="E10" s="305"/>
      <c r="F10" s="587" t="s">
        <v>14</v>
      </c>
      <c r="G10" s="588"/>
      <c r="H10" s="589"/>
      <c r="I10" s="50">
        <f>I11*I12</f>
        <v>10200</v>
      </c>
      <c r="J10" s="209" t="str">
        <f>H48</f>
        <v/>
      </c>
      <c r="K10" s="210" t="str">
        <f t="shared" ref="K10:K19" si="5">IF(AND(I10&lt;&gt;"", I10&lt;&gt;0, J10&lt;&gt;""), J10/I10, "")</f>
        <v/>
      </c>
      <c r="L10" s="207" t="str">
        <f>J10</f>
        <v/>
      </c>
      <c r="M10" s="48" t="str">
        <f t="shared" ref="M10:M20" si="6">IF(AND(I10&lt;&gt;"", I10&lt;&gt;0, L10&lt;&gt;"", L10&lt;&gt;0), L10/I10, "")</f>
        <v/>
      </c>
      <c r="N10" s="49" t="str">
        <f t="shared" ref="N10:N20" si="7">IF(AND(J10&lt;&gt;0, J10&lt;&gt;"", I10&lt;&gt;0, I10&lt;&gt;""), L10-I10, "")</f>
        <v/>
      </c>
      <c r="O10" s="50">
        <f>O11*O12</f>
        <v>0</v>
      </c>
      <c r="P10" s="49" t="str">
        <f t="shared" ref="P10:P20" si="8">IF(AND(O10&lt;&gt;"", O10&lt;&gt;0, L10&lt;&gt;"", L10&lt;&gt;0), -O10+L10, "")</f>
        <v/>
      </c>
      <c r="Q10" s="51" t="str">
        <f t="shared" ref="Q10:Q20" si="9">IF(AND(P10&lt;&gt;"", P10&lt;&gt;0, O10&lt;&gt;0, O10&lt;&gt;""), P10/O10, "")</f>
        <v/>
      </c>
      <c r="R10" s="37"/>
      <c r="S10" s="597" t="s">
        <v>36</v>
      </c>
      <c r="T10" s="597"/>
      <c r="U10" s="305"/>
      <c r="V10" s="305"/>
      <c r="W10" s="305"/>
    </row>
    <row r="11" spans="2:23" ht="15.75" customHeight="1">
      <c r="B11" s="310"/>
      <c r="C11" s="305"/>
      <c r="D11" s="305"/>
      <c r="E11" s="305"/>
      <c r="F11" s="590" t="s">
        <v>15</v>
      </c>
      <c r="G11" s="591"/>
      <c r="H11" s="592"/>
      <c r="I11" s="52">
        <f>'Ялта, Ленина, 18'!I11</f>
        <v>6000</v>
      </c>
      <c r="J11" s="39" t="str">
        <f>F48</f>
        <v/>
      </c>
      <c r="K11" s="212" t="str">
        <f t="shared" si="5"/>
        <v/>
      </c>
      <c r="L11" s="207" t="str">
        <f>IF(L9&gt;0, L8/L9, "")</f>
        <v/>
      </c>
      <c r="M11" s="42" t="str">
        <f t="shared" si="6"/>
        <v/>
      </c>
      <c r="N11" s="43" t="str">
        <f t="shared" si="7"/>
        <v/>
      </c>
      <c r="O11" s="53"/>
      <c r="P11" s="43" t="str">
        <f t="shared" si="8"/>
        <v/>
      </c>
      <c r="Q11" s="45" t="str">
        <f t="shared" si="9"/>
        <v/>
      </c>
      <c r="R11" s="37"/>
      <c r="S11" s="597"/>
      <c r="T11" s="597"/>
      <c r="U11" s="305"/>
      <c r="V11" s="305"/>
      <c r="W11" s="305"/>
    </row>
    <row r="12" spans="2:23" ht="15.75" customHeight="1">
      <c r="B12" s="310"/>
      <c r="C12" s="305"/>
      <c r="D12" s="305"/>
      <c r="E12" s="305"/>
      <c r="F12" s="590" t="s">
        <v>16</v>
      </c>
      <c r="G12" s="591"/>
      <c r="H12" s="592"/>
      <c r="I12" s="54">
        <f>'Ялта, Ленина, 18'!I12</f>
        <v>1.7</v>
      </c>
      <c r="J12" s="55" t="str">
        <f>J48</f>
        <v/>
      </c>
      <c r="K12" s="212" t="str">
        <f t="shared" si="5"/>
        <v/>
      </c>
      <c r="L12" s="213" t="str">
        <f>J12</f>
        <v/>
      </c>
      <c r="M12" s="42" t="str">
        <f t="shared" si="6"/>
        <v/>
      </c>
      <c r="N12" s="57" t="str">
        <f t="shared" si="7"/>
        <v/>
      </c>
      <c r="O12" s="58"/>
      <c r="P12" s="43" t="str">
        <f t="shared" si="8"/>
        <v/>
      </c>
      <c r="Q12" s="45" t="str">
        <f t="shared" si="9"/>
        <v/>
      </c>
      <c r="R12" s="37"/>
      <c r="S12" s="59">
        <f>'Ялта, Ленина, 18'!S12*График!AJ25/График!AJ31</f>
        <v>0</v>
      </c>
      <c r="T12" s="60">
        <f>L48</f>
        <v>0</v>
      </c>
      <c r="U12" s="305"/>
      <c r="V12" s="305"/>
      <c r="W12" s="305"/>
    </row>
    <row r="13" spans="2:23" ht="15.75" customHeight="1">
      <c r="B13" s="310"/>
      <c r="C13" s="305"/>
      <c r="D13" s="305"/>
      <c r="E13" s="305"/>
      <c r="F13" s="590" t="s">
        <v>17</v>
      </c>
      <c r="G13" s="591"/>
      <c r="H13" s="592"/>
      <c r="I13" s="38">
        <f>IF(I12&lt;&gt;0, I9/I12, "")</f>
        <v>0</v>
      </c>
      <c r="J13" s="39">
        <f>G48</f>
        <v>0</v>
      </c>
      <c r="K13" s="212" t="str">
        <f t="shared" si="5"/>
        <v/>
      </c>
      <c r="L13" s="207" t="str">
        <f>IF(SUMIF($G$25:$G$47,"&gt;=0",$R$25:$R$47)&lt;&gt;0,I13*G48/SUMIF($G$25:$G$47,"&gt;=0",$R$25:$R$47),"")</f>
        <v/>
      </c>
      <c r="M13" s="42" t="str">
        <f t="shared" si="6"/>
        <v/>
      </c>
      <c r="N13" s="57" t="str">
        <f t="shared" si="7"/>
        <v/>
      </c>
      <c r="O13" s="61"/>
      <c r="P13" s="43" t="str">
        <f t="shared" si="8"/>
        <v/>
      </c>
      <c r="Q13" s="45" t="str">
        <f t="shared" si="9"/>
        <v/>
      </c>
      <c r="R13" s="37"/>
      <c r="S13" s="62" t="e">
        <f>T12/S12</f>
        <v>#DIV/0!</v>
      </c>
      <c r="T13" s="62" t="e">
        <f>S13/J14*I14</f>
        <v>#DIV/0!</v>
      </c>
      <c r="U13" s="305"/>
      <c r="V13" s="305"/>
      <c r="W13" s="305"/>
    </row>
    <row r="14" spans="2:23" ht="15.75" customHeight="1">
      <c r="B14" s="310"/>
      <c r="C14" s="305"/>
      <c r="D14" s="305"/>
      <c r="E14" s="305"/>
      <c r="F14" s="590" t="s">
        <v>68</v>
      </c>
      <c r="G14" s="591"/>
      <c r="H14" s="592"/>
      <c r="I14" s="52">
        <f>График!AI25</f>
        <v>0</v>
      </c>
      <c r="J14" s="64"/>
      <c r="K14" s="40" t="str">
        <f t="shared" si="5"/>
        <v/>
      </c>
      <c r="L14" s="41"/>
      <c r="M14" s="42" t="str">
        <f t="shared" si="6"/>
        <v/>
      </c>
      <c r="N14" s="43" t="str">
        <f t="shared" si="7"/>
        <v/>
      </c>
      <c r="O14" s="61"/>
      <c r="P14" s="43" t="str">
        <f t="shared" si="8"/>
        <v/>
      </c>
      <c r="Q14" s="45" t="str">
        <f t="shared" si="9"/>
        <v/>
      </c>
      <c r="R14" s="37"/>
      <c r="S14" s="65"/>
      <c r="T14" s="6"/>
      <c r="U14" s="305"/>
      <c r="V14" s="305"/>
      <c r="W14" s="305"/>
    </row>
    <row r="15" spans="2:23" ht="15.75" customHeight="1">
      <c r="B15" s="310"/>
      <c r="C15" s="305"/>
      <c r="D15" s="305"/>
      <c r="E15" s="305"/>
      <c r="F15" s="590" t="s">
        <v>19</v>
      </c>
      <c r="G15" s="591"/>
      <c r="H15" s="592"/>
      <c r="I15" s="75">
        <f>'Ялта, Ленина, 18'!I15</f>
        <v>151618.06451612903</v>
      </c>
      <c r="J15" s="67" t="e">
        <f>J8/J14</f>
        <v>#DIV/0!</v>
      </c>
      <c r="K15" s="68" t="e">
        <f t="shared" si="5"/>
        <v>#DIV/0!</v>
      </c>
      <c r="L15" s="72" t="e">
        <f t="shared" ref="L15:L16" si="10">J15</f>
        <v>#DIV/0!</v>
      </c>
      <c r="M15" s="70" t="e">
        <f t="shared" si="6"/>
        <v>#DIV/0!</v>
      </c>
      <c r="N15" s="43" t="e">
        <f t="shared" si="7"/>
        <v>#DIV/0!</v>
      </c>
      <c r="O15" s="71"/>
      <c r="P15" s="43" t="e">
        <f t="shared" si="8"/>
        <v>#DIV/0!</v>
      </c>
      <c r="Q15" s="45" t="e">
        <f t="shared" si="9"/>
        <v>#DIV/0!</v>
      </c>
      <c r="R15" s="37"/>
      <c r="S15" s="37"/>
      <c r="T15" s="6"/>
      <c r="U15" s="305"/>
      <c r="V15" s="305"/>
      <c r="W15" s="305"/>
    </row>
    <row r="16" spans="2:23" ht="15.75" customHeight="1">
      <c r="B16" s="310"/>
      <c r="C16" s="305"/>
      <c r="D16" s="305"/>
      <c r="E16" s="305"/>
      <c r="F16" s="590" t="s">
        <v>20</v>
      </c>
      <c r="G16" s="591"/>
      <c r="H16" s="592"/>
      <c r="I16" s="75"/>
      <c r="J16" s="67">
        <f>J8-I15*J14</f>
        <v>0</v>
      </c>
      <c r="K16" s="68" t="str">
        <f t="shared" si="5"/>
        <v/>
      </c>
      <c r="L16" s="72">
        <f t="shared" si="10"/>
        <v>0</v>
      </c>
      <c r="M16" s="73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37"/>
      <c r="S16" s="597" t="s">
        <v>35</v>
      </c>
      <c r="T16" s="597"/>
      <c r="U16" s="305"/>
      <c r="V16" s="305"/>
      <c r="W16" s="305"/>
    </row>
    <row r="17" spans="1:33" ht="15.75" customHeight="1">
      <c r="B17" s="310"/>
      <c r="C17" s="305"/>
      <c r="D17" s="305"/>
      <c r="E17" s="305"/>
      <c r="F17" s="590" t="s">
        <v>21</v>
      </c>
      <c r="G17" s="591"/>
      <c r="H17" s="592"/>
      <c r="I17" s="75">
        <f>'Ялта, Ленина, 18'!I17/График!AJ31*График!AJ25</f>
        <v>0</v>
      </c>
      <c r="J17" s="67">
        <f>I48</f>
        <v>0</v>
      </c>
      <c r="K17" s="68" t="str">
        <f t="shared" si="5"/>
        <v/>
      </c>
      <c r="L17" s="72" t="e">
        <f>J17/J14*I14</f>
        <v>#DIV/0!</v>
      </c>
      <c r="M17" s="73" t="e">
        <f t="shared" si="6"/>
        <v>#DIV/0!</v>
      </c>
      <c r="N17" s="43" t="str">
        <f t="shared" si="7"/>
        <v/>
      </c>
      <c r="O17" s="71"/>
      <c r="P17" s="43" t="e">
        <f t="shared" si="8"/>
        <v>#DIV/0!</v>
      </c>
      <c r="Q17" s="45" t="e">
        <f t="shared" si="9"/>
        <v>#DIV/0!</v>
      </c>
      <c r="R17" s="37"/>
      <c r="S17" s="597"/>
      <c r="T17" s="597"/>
      <c r="U17" s="305"/>
      <c r="V17" s="305"/>
      <c r="W17" s="305"/>
    </row>
    <row r="18" spans="1:33" ht="15.75" customHeight="1">
      <c r="B18" s="310"/>
      <c r="C18" s="305"/>
      <c r="D18" s="305"/>
      <c r="E18" s="305"/>
      <c r="F18" s="590"/>
      <c r="G18" s="591"/>
      <c r="H18" s="592"/>
      <c r="I18" s="76"/>
      <c r="J18" s="67"/>
      <c r="K18" s="68" t="str">
        <f t="shared" si="5"/>
        <v/>
      </c>
      <c r="L18" s="72">
        <f t="shared" ref="L18:L19" si="11">J18</f>
        <v>0</v>
      </c>
      <c r="M18" s="73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37"/>
      <c r="S18" s="59">
        <f>'Ялта, Ленина, 18'!S18*График!AJ25/График!AJ31</f>
        <v>0</v>
      </c>
      <c r="T18" s="60">
        <f>K48</f>
        <v>0</v>
      </c>
      <c r="U18" s="305"/>
      <c r="V18" s="305"/>
      <c r="W18" s="305"/>
    </row>
    <row r="19" spans="1:33" ht="15.75" customHeight="1">
      <c r="B19" s="310"/>
      <c r="C19" s="305"/>
      <c r="D19" s="305"/>
      <c r="E19" s="305"/>
      <c r="F19" s="590"/>
      <c r="G19" s="591"/>
      <c r="H19" s="592"/>
      <c r="I19" s="76"/>
      <c r="J19" s="67"/>
      <c r="K19" s="68" t="str">
        <f t="shared" si="5"/>
        <v/>
      </c>
      <c r="L19" s="72">
        <f t="shared" si="11"/>
        <v>0</v>
      </c>
      <c r="M19" s="73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37"/>
      <c r="S19" s="62" t="e">
        <f>T18/S18</f>
        <v>#DIV/0!</v>
      </c>
      <c r="T19" s="62" t="e">
        <f>S19/J14*I14</f>
        <v>#DIV/0!</v>
      </c>
      <c r="U19" s="305"/>
      <c r="V19" s="305"/>
      <c r="W19" s="305"/>
    </row>
    <row r="20" spans="1:33" ht="15.75" customHeight="1">
      <c r="B20" s="310"/>
      <c r="C20" s="305"/>
      <c r="D20" s="305"/>
      <c r="E20" s="305"/>
      <c r="F20" s="598" t="s">
        <v>22</v>
      </c>
      <c r="G20" s="598"/>
      <c r="H20" s="598"/>
      <c r="I20" s="80">
        <f>'Ялта, Ленина, 18'!I20</f>
        <v>0.18</v>
      </c>
      <c r="J20" s="219" t="str">
        <f>N48</f>
        <v/>
      </c>
      <c r="K20" s="219" t="e">
        <f>J20/I20</f>
        <v>#VALUE!</v>
      </c>
      <c r="L20" s="220">
        <f>IF(AND(K8&lt;&gt;0,I14&lt;&gt;0,I48&lt;&gt;0),(I48*N48+(I48/K8-I48)*I20)/(I48/K8),0)</f>
        <v>0</v>
      </c>
      <c r="M20" s="83" t="str">
        <f t="shared" si="6"/>
        <v/>
      </c>
      <c r="N20" s="84" t="str">
        <f t="shared" si="7"/>
        <v/>
      </c>
      <c r="O20" s="85"/>
      <c r="P20" s="86" t="str">
        <f t="shared" si="8"/>
        <v/>
      </c>
      <c r="Q20" s="87" t="str">
        <f t="shared" si="9"/>
        <v/>
      </c>
      <c r="R20" s="37"/>
      <c r="S20" s="37"/>
      <c r="T20" s="305"/>
      <c r="U20" s="305"/>
      <c r="V20" s="305"/>
      <c r="W20" s="305"/>
    </row>
    <row r="21" spans="1:33" ht="15.75" customHeight="1">
      <c r="B21" s="310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7"/>
      <c r="S21" s="37"/>
      <c r="T21" s="305"/>
      <c r="U21" s="305"/>
      <c r="V21" s="305"/>
      <c r="W21" s="305"/>
    </row>
    <row r="22" spans="1:33" ht="16.5" customHeight="1">
      <c r="B22" s="685" t="s">
        <v>23</v>
      </c>
      <c r="C22" s="685"/>
      <c r="D22" s="685"/>
      <c r="E22" s="685"/>
      <c r="F22" s="685"/>
      <c r="G22" s="685"/>
      <c r="H22" s="685"/>
      <c r="I22" s="685"/>
      <c r="J22" s="685"/>
      <c r="K22" s="685"/>
      <c r="L22" s="685"/>
      <c r="M22" s="685"/>
      <c r="N22" s="685"/>
      <c r="O22" s="686" t="s">
        <v>24</v>
      </c>
      <c r="P22" s="685" t="s">
        <v>25</v>
      </c>
      <c r="Q22" s="685"/>
      <c r="R22" s="685"/>
      <c r="S22" s="685"/>
      <c r="T22" s="685"/>
      <c r="U22" s="685"/>
      <c r="V22" s="685"/>
      <c r="W22" s="685"/>
    </row>
    <row r="23" spans="1:33" ht="36">
      <c r="B23" s="290" t="s">
        <v>27</v>
      </c>
      <c r="C23" s="290" t="s">
        <v>28</v>
      </c>
      <c r="D23" s="290" t="s">
        <v>29</v>
      </c>
      <c r="E23" s="290" t="s">
        <v>30</v>
      </c>
      <c r="F23" s="290" t="s">
        <v>31</v>
      </c>
      <c r="G23" s="290" t="s">
        <v>32</v>
      </c>
      <c r="H23" s="290" t="s">
        <v>33</v>
      </c>
      <c r="I23" s="290" t="s">
        <v>21</v>
      </c>
      <c r="J23" s="290" t="s">
        <v>34</v>
      </c>
      <c r="K23" s="90" t="s">
        <v>35</v>
      </c>
      <c r="L23" s="90" t="s">
        <v>36</v>
      </c>
      <c r="M23" s="290" t="s">
        <v>73</v>
      </c>
      <c r="N23" s="290" t="s">
        <v>38</v>
      </c>
      <c r="O23" s="686"/>
      <c r="P23" s="290" t="s">
        <v>39</v>
      </c>
      <c r="Q23" s="290" t="s">
        <v>40</v>
      </c>
      <c r="R23" s="290" t="s">
        <v>41</v>
      </c>
      <c r="S23" s="290" t="s">
        <v>42</v>
      </c>
      <c r="T23" s="290" t="s">
        <v>43</v>
      </c>
      <c r="U23" s="290" t="s">
        <v>44</v>
      </c>
      <c r="V23" s="311" t="s">
        <v>45</v>
      </c>
      <c r="W23" s="311" t="s">
        <v>46</v>
      </c>
      <c r="X23" s="130"/>
    </row>
    <row r="24" spans="1:33">
      <c r="A24" s="312"/>
      <c r="B24" s="313">
        <v>1</v>
      </c>
      <c r="C24" s="314">
        <v>2</v>
      </c>
      <c r="D24" s="314">
        <v>3</v>
      </c>
      <c r="E24" s="314" t="s">
        <v>72</v>
      </c>
      <c r="F24" s="314">
        <v>5</v>
      </c>
      <c r="G24" s="314">
        <v>6</v>
      </c>
      <c r="H24" s="314">
        <v>7</v>
      </c>
      <c r="I24" s="314">
        <v>8</v>
      </c>
      <c r="J24" s="314">
        <v>9</v>
      </c>
      <c r="K24" s="314">
        <v>10</v>
      </c>
      <c r="L24" s="314">
        <v>11</v>
      </c>
      <c r="M24" s="314">
        <v>12</v>
      </c>
      <c r="N24" s="314">
        <v>13</v>
      </c>
      <c r="O24" s="686"/>
      <c r="P24" s="315">
        <v>1</v>
      </c>
      <c r="Q24" s="315">
        <v>2</v>
      </c>
      <c r="R24" s="315">
        <v>3</v>
      </c>
      <c r="S24" s="315">
        <v>4</v>
      </c>
      <c r="T24" s="315">
        <v>5</v>
      </c>
      <c r="U24" s="315">
        <v>6</v>
      </c>
      <c r="V24" s="315">
        <v>10</v>
      </c>
      <c r="W24" s="315">
        <v>11</v>
      </c>
    </row>
    <row r="25" spans="1:33">
      <c r="A25" s="95"/>
      <c r="B25" s="96"/>
      <c r="C25" s="97"/>
      <c r="D25" s="98"/>
      <c r="E25" s="108"/>
      <c r="F25" s="99" t="str">
        <f t="shared" ref="F25:F48" si="12">IF(AND(E25&lt;&gt;"",E25&lt;&gt;0),D25/E25,"")</f>
        <v/>
      </c>
      <c r="G25" s="108"/>
      <c r="H25" s="99" t="str">
        <f t="shared" ref="H25:H48" si="13">IF(AND(G25&lt;&gt;"",G25&lt;&gt;0),D25/G25,"")</f>
        <v/>
      </c>
      <c r="I25" s="108"/>
      <c r="J25" s="98" t="str">
        <f t="shared" ref="J25:J48" si="14">IF(AND(G25&lt;&gt;"",G25&lt;&gt;0),E25/G25,"")</f>
        <v/>
      </c>
      <c r="K25" s="99"/>
      <c r="L25" s="99"/>
      <c r="M25" s="99"/>
      <c r="N25" s="100" t="str">
        <f t="shared" ref="N25:N48" si="15">IF(AND(I25&lt;&gt;"",I25&lt;&gt;0),G25/I25,"")</f>
        <v/>
      </c>
      <c r="O25" s="101" t="e">
        <f t="shared" ref="O25:O48" si="16">D25/P25</f>
        <v>#DIV/0!</v>
      </c>
      <c r="P25" s="102">
        <f t="shared" ref="P25:P37" si="17">$I$8*V25*W25/SUMPRODUCT($W$25:$W$55,$V$25:$V$55)</f>
        <v>0</v>
      </c>
      <c r="Q25" s="103">
        <f t="shared" ref="Q25:Q37" si="18">$I$9*V25*W25/SUMPRODUCT($W$25:$W$55,$V$25:$V$55)</f>
        <v>0</v>
      </c>
      <c r="R25" s="103">
        <f t="shared" ref="R25:R39" si="19">IF($I$12="","",Q25/$I$12)</f>
        <v>0</v>
      </c>
      <c r="S25" s="102" t="e">
        <f ca="1">IF(W25&lt;&gt;"",IF(D25&lt;&gt;"",D25,($I$8-SUM($S24:S$25))*V25*W25/SUMPRODUCT($W25:$W$55,$V25:$V$55)),"")</f>
        <v>#REF!</v>
      </c>
      <c r="T25" s="103" t="e">
        <f ca="1">IF(W25&lt;&gt;"",IF(E25&lt;&gt;"",E25,($I$9-SUM($T24:T$25))*V25*W25/SUMPRODUCT($W25:$W$55,$V25:$V$55)),"")</f>
        <v>#REF!</v>
      </c>
      <c r="U25" s="103" t="e">
        <f ca="1">IF(W25&lt;&gt;"",IF($I$12&lt;&gt;"",IF(G25&lt;&gt;"",G25,($I$9/$I$12-SUM($U24:U$25))*V25*W25/SUMPRODUCT($W25:$W$55,$V25:$V$55)),""),"")</f>
        <v>#REF!</v>
      </c>
      <c r="V25" s="104">
        <v>1.1982013014921034</v>
      </c>
      <c r="W25" s="104">
        <v>1.1982013014921034</v>
      </c>
      <c r="X25" s="107"/>
      <c r="Y25" s="106"/>
      <c r="Z25" s="2"/>
      <c r="AA25" s="2"/>
      <c r="AB25" s="2"/>
      <c r="AC25" s="2"/>
      <c r="AD25" s="2"/>
      <c r="AE25" s="2"/>
      <c r="AF25" s="2"/>
      <c r="AG25" s="2"/>
    </row>
    <row r="26" spans="1:33">
      <c r="A26" s="95"/>
      <c r="B26" s="96"/>
      <c r="C26" s="97"/>
      <c r="D26" s="98"/>
      <c r="E26" s="97"/>
      <c r="F26" s="99" t="str">
        <f t="shared" si="12"/>
        <v/>
      </c>
      <c r="G26" s="99"/>
      <c r="H26" s="99" t="str">
        <f t="shared" si="13"/>
        <v/>
      </c>
      <c r="I26" s="99"/>
      <c r="J26" s="98" t="str">
        <f t="shared" si="14"/>
        <v/>
      </c>
      <c r="K26" s="99"/>
      <c r="L26" s="99"/>
      <c r="M26" s="99"/>
      <c r="N26" s="100" t="str">
        <f t="shared" si="15"/>
        <v/>
      </c>
      <c r="O26" s="101" t="e">
        <f t="shared" si="16"/>
        <v>#DIV/0!</v>
      </c>
      <c r="P26" s="102">
        <f t="shared" si="17"/>
        <v>0</v>
      </c>
      <c r="Q26" s="103">
        <f t="shared" si="18"/>
        <v>0</v>
      </c>
      <c r="R26" s="103">
        <f t="shared" si="19"/>
        <v>0</v>
      </c>
      <c r="S26" s="102" t="str">
        <f t="shared" ref="S26:S47" si="20">IF(W26&lt;&gt;"",IF(D26&lt;&gt;"",D26,($I$8-SUM($S$25:S25))*V26*W26/SUMPRODUCT($W26:$W$55,$V26:$V$55)),"")</f>
        <v/>
      </c>
      <c r="T26" s="103" t="str">
        <f>IF(W26&lt;&gt;"",IF(E25&lt;&gt;"",E25,($I$9-SUM($T$25:T25))*V26*W26/SUMPRODUCT($W26:$W$55,$V26:$V$55)),"")</f>
        <v/>
      </c>
      <c r="U26" s="103" t="str">
        <f t="shared" ref="U26:U47" si="21">IF(W26&lt;&gt;"",IF($I$12&lt;&gt;"",IF(G26&lt;&gt;"",G26,($I$9/$I$12-SUM($U$25:U25))*V26*W26/SUMPRODUCT($W26:$W$55,$V26:$V$55)),""),"")</f>
        <v/>
      </c>
      <c r="V26" s="104"/>
      <c r="W26" s="104"/>
      <c r="X26" s="107"/>
      <c r="Y26" s="106"/>
      <c r="Z26" s="2"/>
      <c r="AA26" s="2"/>
      <c r="AB26" s="2"/>
      <c r="AC26" s="2"/>
      <c r="AD26" s="2"/>
      <c r="AE26" s="2"/>
      <c r="AF26" s="2"/>
      <c r="AG26" s="2"/>
    </row>
    <row r="27" spans="1:33">
      <c r="A27" s="95"/>
      <c r="B27" s="316"/>
      <c r="C27" s="317"/>
      <c r="D27" s="318"/>
      <c r="E27" s="108"/>
      <c r="F27" s="99" t="str">
        <f t="shared" si="12"/>
        <v/>
      </c>
      <c r="G27" s="108"/>
      <c r="H27" s="99" t="str">
        <f t="shared" si="13"/>
        <v/>
      </c>
      <c r="I27" s="108"/>
      <c r="J27" s="98" t="str">
        <f t="shared" si="14"/>
        <v/>
      </c>
      <c r="K27" s="99"/>
      <c r="L27" s="99"/>
      <c r="M27" s="99"/>
      <c r="N27" s="100" t="str">
        <f t="shared" si="15"/>
        <v/>
      </c>
      <c r="O27" s="101" t="e">
        <f t="shared" si="16"/>
        <v>#DIV/0!</v>
      </c>
      <c r="P27" s="102">
        <f t="shared" si="17"/>
        <v>0</v>
      </c>
      <c r="Q27" s="103">
        <f t="shared" si="18"/>
        <v>0</v>
      </c>
      <c r="R27" s="103">
        <f t="shared" si="19"/>
        <v>0</v>
      </c>
      <c r="S27" s="102" t="str">
        <f t="shared" si="20"/>
        <v/>
      </c>
      <c r="T27" s="103" t="str">
        <f t="shared" ref="T27:T47" si="22">IF(W27&lt;&gt;"",IF(E27&lt;&gt;"",E27,($I$9-SUM($T$25:T26))*V27*W27/SUMPRODUCT($W27:$W$55,$V27:$V$55)),"")</f>
        <v/>
      </c>
      <c r="U27" s="103" t="str">
        <f t="shared" si="21"/>
        <v/>
      </c>
      <c r="V27" s="288"/>
      <c r="W27" s="288"/>
      <c r="X27" s="106"/>
      <c r="Y27" s="106"/>
      <c r="Z27" s="112"/>
      <c r="AA27" s="2"/>
      <c r="AB27" s="2"/>
      <c r="AC27" s="2"/>
      <c r="AD27" s="2"/>
      <c r="AE27" s="2"/>
      <c r="AF27" s="2"/>
      <c r="AG27" s="2"/>
    </row>
    <row r="28" spans="1:33">
      <c r="A28" s="95"/>
      <c r="B28" s="237"/>
      <c r="C28" s="238"/>
      <c r="D28" s="98"/>
      <c r="E28" s="99"/>
      <c r="F28" s="108" t="str">
        <f t="shared" si="12"/>
        <v/>
      </c>
      <c r="G28" s="99"/>
      <c r="H28" s="99" t="str">
        <f t="shared" si="13"/>
        <v/>
      </c>
      <c r="I28" s="99"/>
      <c r="J28" s="98" t="str">
        <f t="shared" si="14"/>
        <v/>
      </c>
      <c r="K28" s="99"/>
      <c r="L28" s="99"/>
      <c r="M28" s="99"/>
      <c r="N28" s="100" t="str">
        <f t="shared" si="15"/>
        <v/>
      </c>
      <c r="O28" s="101" t="e">
        <f t="shared" si="16"/>
        <v>#DIV/0!</v>
      </c>
      <c r="P28" s="102">
        <f t="shared" si="17"/>
        <v>0</v>
      </c>
      <c r="Q28" s="103">
        <f t="shared" si="18"/>
        <v>0</v>
      </c>
      <c r="R28" s="103">
        <f t="shared" si="19"/>
        <v>0</v>
      </c>
      <c r="S28" s="102" t="str">
        <f t="shared" si="20"/>
        <v/>
      </c>
      <c r="T28" s="103" t="str">
        <f t="shared" si="22"/>
        <v/>
      </c>
      <c r="U28" s="103" t="str">
        <f t="shared" si="21"/>
        <v/>
      </c>
      <c r="V28" s="288"/>
      <c r="W28" s="288"/>
      <c r="X28" s="106"/>
      <c r="Y28" s="106"/>
      <c r="Z28" s="112"/>
      <c r="AA28" s="2"/>
      <c r="AB28" s="2"/>
      <c r="AC28" s="2"/>
      <c r="AD28" s="2"/>
      <c r="AE28" s="2"/>
      <c r="AF28" s="2"/>
      <c r="AG28" s="2"/>
    </row>
    <row r="29" spans="1:33" s="235" customFormat="1">
      <c r="A29" s="95"/>
      <c r="B29" s="316"/>
      <c r="C29" s="319"/>
      <c r="D29" s="250"/>
      <c r="E29" s="246"/>
      <c r="F29" s="239" t="str">
        <f t="shared" si="12"/>
        <v/>
      </c>
      <c r="G29" s="246"/>
      <c r="H29" s="239" t="str">
        <f t="shared" si="13"/>
        <v/>
      </c>
      <c r="I29" s="246"/>
      <c r="J29" s="233" t="str">
        <f t="shared" si="14"/>
        <v/>
      </c>
      <c r="K29" s="239"/>
      <c r="L29" s="239"/>
      <c r="M29" s="239"/>
      <c r="N29" s="240" t="str">
        <f t="shared" si="15"/>
        <v/>
      </c>
      <c r="O29" s="241" t="e">
        <f t="shared" si="16"/>
        <v>#DIV/0!</v>
      </c>
      <c r="P29" s="243">
        <f t="shared" si="17"/>
        <v>0</v>
      </c>
      <c r="Q29" s="242">
        <f t="shared" si="18"/>
        <v>0</v>
      </c>
      <c r="R29" s="242">
        <f t="shared" si="19"/>
        <v>0</v>
      </c>
      <c r="S29" s="243" t="str">
        <f t="shared" si="20"/>
        <v/>
      </c>
      <c r="T29" s="242" t="str">
        <f t="shared" si="22"/>
        <v/>
      </c>
      <c r="U29" s="242" t="str">
        <f t="shared" si="21"/>
        <v/>
      </c>
      <c r="V29" s="299"/>
      <c r="W29" s="299"/>
      <c r="X29" s="244"/>
      <c r="Y29" s="244"/>
      <c r="Z29" s="245"/>
      <c r="AA29" s="245"/>
      <c r="AB29" s="245"/>
      <c r="AC29" s="245"/>
      <c r="AD29" s="245"/>
      <c r="AE29" s="245"/>
      <c r="AF29" s="245"/>
      <c r="AG29" s="245"/>
    </row>
    <row r="30" spans="1:33" s="235" customFormat="1" ht="15.25" customHeight="1">
      <c r="A30" s="236"/>
      <c r="B30" s="320"/>
      <c r="C30" s="319"/>
      <c r="D30" s="249"/>
      <c r="E30" s="239"/>
      <c r="F30" s="246" t="str">
        <f t="shared" si="12"/>
        <v/>
      </c>
      <c r="G30" s="239"/>
      <c r="H30" s="246" t="str">
        <f t="shared" si="13"/>
        <v/>
      </c>
      <c r="I30" s="239"/>
      <c r="J30" s="249" t="str">
        <f t="shared" si="14"/>
        <v/>
      </c>
      <c r="K30" s="239"/>
      <c r="L30" s="246"/>
      <c r="M30" s="239"/>
      <c r="N30" s="321" t="str">
        <f t="shared" si="15"/>
        <v/>
      </c>
      <c r="O30" s="241" t="e">
        <f t="shared" si="16"/>
        <v>#DIV/0!</v>
      </c>
      <c r="P30" s="301">
        <f t="shared" si="17"/>
        <v>0</v>
      </c>
      <c r="Q30" s="242">
        <f t="shared" si="18"/>
        <v>0</v>
      </c>
      <c r="R30" s="280">
        <f t="shared" si="19"/>
        <v>0</v>
      </c>
      <c r="S30" s="243" t="str">
        <f t="shared" si="20"/>
        <v/>
      </c>
      <c r="T30" s="242" t="str">
        <f t="shared" si="22"/>
        <v/>
      </c>
      <c r="U30" s="242" t="str">
        <f t="shared" si="21"/>
        <v/>
      </c>
      <c r="V30" s="299"/>
      <c r="W30" s="299"/>
      <c r="X30" s="244"/>
      <c r="Y30" s="244"/>
      <c r="Z30" s="245"/>
      <c r="AA30" s="245"/>
      <c r="AB30" s="245"/>
      <c r="AC30" s="245"/>
      <c r="AD30" s="245"/>
      <c r="AE30" s="245"/>
      <c r="AF30" s="245"/>
      <c r="AG30" s="245"/>
    </row>
    <row r="31" spans="1:33" s="235" customFormat="1">
      <c r="A31" s="236"/>
      <c r="B31" s="320"/>
      <c r="C31" s="319"/>
      <c r="D31" s="250"/>
      <c r="E31" s="246"/>
      <c r="F31" s="239" t="str">
        <f t="shared" si="12"/>
        <v/>
      </c>
      <c r="G31" s="246"/>
      <c r="H31" s="239" t="str">
        <f t="shared" si="13"/>
        <v/>
      </c>
      <c r="I31" s="246"/>
      <c r="J31" s="233" t="str">
        <f t="shared" si="14"/>
        <v/>
      </c>
      <c r="K31" s="239"/>
      <c r="L31" s="239"/>
      <c r="M31" s="239"/>
      <c r="N31" s="240" t="str">
        <f t="shared" si="15"/>
        <v/>
      </c>
      <c r="O31" s="241" t="e">
        <f t="shared" si="16"/>
        <v>#DIV/0!</v>
      </c>
      <c r="P31" s="243">
        <f t="shared" si="17"/>
        <v>0</v>
      </c>
      <c r="Q31" s="242">
        <f t="shared" si="18"/>
        <v>0</v>
      </c>
      <c r="R31" s="242">
        <f t="shared" si="19"/>
        <v>0</v>
      </c>
      <c r="S31" s="243" t="str">
        <f t="shared" si="20"/>
        <v/>
      </c>
      <c r="T31" s="242" t="str">
        <f t="shared" si="22"/>
        <v/>
      </c>
      <c r="U31" s="242" t="str">
        <f t="shared" si="21"/>
        <v/>
      </c>
      <c r="V31" s="299"/>
      <c r="W31" s="299"/>
      <c r="X31" s="244"/>
      <c r="Y31" s="244"/>
      <c r="Z31" s="247"/>
      <c r="AA31" s="245"/>
      <c r="AB31" s="245"/>
      <c r="AC31" s="245"/>
      <c r="AD31" s="245"/>
      <c r="AE31" s="245"/>
      <c r="AF31" s="245"/>
      <c r="AG31" s="245"/>
    </row>
    <row r="32" spans="1:33" s="235" customFormat="1">
      <c r="A32" s="236"/>
      <c r="B32" s="320"/>
      <c r="C32" s="319"/>
      <c r="D32" s="249"/>
      <c r="E32" s="239"/>
      <c r="F32" s="246" t="str">
        <f t="shared" si="12"/>
        <v/>
      </c>
      <c r="G32" s="239"/>
      <c r="H32" s="246" t="str">
        <f t="shared" si="13"/>
        <v/>
      </c>
      <c r="I32" s="239"/>
      <c r="J32" s="233" t="str">
        <f t="shared" si="14"/>
        <v/>
      </c>
      <c r="K32" s="239"/>
      <c r="L32" s="239"/>
      <c r="M32" s="239"/>
      <c r="N32" s="240" t="str">
        <f t="shared" si="15"/>
        <v/>
      </c>
      <c r="O32" s="241" t="e">
        <f t="shared" si="16"/>
        <v>#DIV/0!</v>
      </c>
      <c r="P32" s="243">
        <f t="shared" si="17"/>
        <v>0</v>
      </c>
      <c r="Q32" s="242">
        <f t="shared" si="18"/>
        <v>0</v>
      </c>
      <c r="R32" s="242">
        <f t="shared" si="19"/>
        <v>0</v>
      </c>
      <c r="S32" s="243" t="str">
        <f t="shared" si="20"/>
        <v/>
      </c>
      <c r="T32" s="242" t="str">
        <f t="shared" si="22"/>
        <v/>
      </c>
      <c r="U32" s="242" t="str">
        <f t="shared" si="21"/>
        <v/>
      </c>
      <c r="V32" s="299"/>
      <c r="W32" s="299"/>
      <c r="X32" s="244"/>
      <c r="Y32" s="244"/>
      <c r="Z32" s="247"/>
      <c r="AA32" s="245"/>
      <c r="AB32" s="245"/>
      <c r="AC32" s="245"/>
      <c r="AD32" s="245"/>
      <c r="AE32" s="245"/>
      <c r="AF32" s="245"/>
      <c r="AG32" s="245"/>
    </row>
    <row r="33" spans="1:33" s="235" customFormat="1">
      <c r="A33" s="236"/>
      <c r="B33" s="320"/>
      <c r="C33" s="319"/>
      <c r="D33" s="250"/>
      <c r="E33" s="239"/>
      <c r="F33" s="239" t="str">
        <f t="shared" si="12"/>
        <v/>
      </c>
      <c r="G33" s="239"/>
      <c r="H33" s="239" t="str">
        <f t="shared" si="13"/>
        <v/>
      </c>
      <c r="I33" s="239"/>
      <c r="J33" s="233" t="str">
        <f t="shared" si="14"/>
        <v/>
      </c>
      <c r="K33" s="239"/>
      <c r="L33" s="239"/>
      <c r="M33" s="239"/>
      <c r="N33" s="240" t="str">
        <f t="shared" si="15"/>
        <v/>
      </c>
      <c r="O33" s="241" t="e">
        <f t="shared" si="16"/>
        <v>#DIV/0!</v>
      </c>
      <c r="P33" s="243">
        <f t="shared" si="17"/>
        <v>0</v>
      </c>
      <c r="Q33" s="242">
        <f t="shared" si="18"/>
        <v>0</v>
      </c>
      <c r="R33" s="242">
        <f t="shared" si="19"/>
        <v>0</v>
      </c>
      <c r="S33" s="243" t="str">
        <f t="shared" si="20"/>
        <v/>
      </c>
      <c r="T33" s="242" t="str">
        <f t="shared" si="22"/>
        <v/>
      </c>
      <c r="U33" s="242" t="str">
        <f t="shared" si="21"/>
        <v/>
      </c>
      <c r="V33" s="299"/>
      <c r="W33" s="299"/>
      <c r="X33" s="244"/>
      <c r="Y33" s="244"/>
      <c r="Z33" s="247"/>
      <c r="AA33" s="245"/>
      <c r="AB33" s="245"/>
      <c r="AC33" s="245"/>
      <c r="AD33" s="245"/>
      <c r="AE33" s="245"/>
      <c r="AF33" s="245"/>
      <c r="AG33" s="245"/>
    </row>
    <row r="34" spans="1:33" s="235" customFormat="1">
      <c r="A34" s="236"/>
      <c r="B34" s="237"/>
      <c r="C34" s="322"/>
      <c r="D34" s="233"/>
      <c r="E34" s="246"/>
      <c r="F34" s="239" t="str">
        <f t="shared" si="12"/>
        <v/>
      </c>
      <c r="G34" s="246"/>
      <c r="H34" s="239" t="str">
        <f t="shared" si="13"/>
        <v/>
      </c>
      <c r="I34" s="246"/>
      <c r="J34" s="233" t="str">
        <f t="shared" si="14"/>
        <v/>
      </c>
      <c r="K34" s="246"/>
      <c r="L34" s="239"/>
      <c r="M34" s="246"/>
      <c r="N34" s="240" t="str">
        <f t="shared" si="15"/>
        <v/>
      </c>
      <c r="O34" s="279" t="e">
        <f t="shared" si="16"/>
        <v>#DIV/0!</v>
      </c>
      <c r="P34" s="243">
        <f t="shared" si="17"/>
        <v>0</v>
      </c>
      <c r="Q34" s="280">
        <f t="shared" si="18"/>
        <v>0</v>
      </c>
      <c r="R34" s="242">
        <f t="shared" si="19"/>
        <v>0</v>
      </c>
      <c r="S34" s="243" t="str">
        <f t="shared" si="20"/>
        <v/>
      </c>
      <c r="T34" s="242" t="str">
        <f t="shared" si="22"/>
        <v/>
      </c>
      <c r="U34" s="242" t="str">
        <f t="shared" si="21"/>
        <v/>
      </c>
      <c r="V34" s="299"/>
      <c r="W34" s="299"/>
      <c r="X34" s="244"/>
      <c r="Y34" s="244"/>
      <c r="Z34" s="245"/>
      <c r="AA34" s="245"/>
      <c r="AB34" s="245"/>
      <c r="AC34" s="245"/>
      <c r="AD34" s="245"/>
      <c r="AE34" s="245"/>
      <c r="AF34" s="245"/>
      <c r="AG34" s="245"/>
    </row>
    <row r="35" spans="1:33" s="235" customFormat="1">
      <c r="A35" s="236"/>
      <c r="B35" s="237"/>
      <c r="C35" s="238"/>
      <c r="D35" s="233"/>
      <c r="E35" s="239"/>
      <c r="F35" s="239" t="str">
        <f t="shared" si="12"/>
        <v/>
      </c>
      <c r="G35" s="239"/>
      <c r="H35" s="239" t="str">
        <f t="shared" si="13"/>
        <v/>
      </c>
      <c r="I35" s="239"/>
      <c r="J35" s="233" t="str">
        <f t="shared" si="14"/>
        <v/>
      </c>
      <c r="K35" s="239"/>
      <c r="L35" s="239"/>
      <c r="M35" s="239"/>
      <c r="N35" s="240" t="str">
        <f t="shared" si="15"/>
        <v/>
      </c>
      <c r="O35" s="241" t="e">
        <f t="shared" si="16"/>
        <v>#DIV/0!</v>
      </c>
      <c r="P35" s="243">
        <f t="shared" si="17"/>
        <v>0</v>
      </c>
      <c r="Q35" s="242">
        <f t="shared" si="18"/>
        <v>0</v>
      </c>
      <c r="R35" s="242">
        <f t="shared" si="19"/>
        <v>0</v>
      </c>
      <c r="S35" s="243" t="str">
        <f t="shared" si="20"/>
        <v/>
      </c>
      <c r="T35" s="242" t="str">
        <f t="shared" si="22"/>
        <v/>
      </c>
      <c r="U35" s="242" t="str">
        <f t="shared" si="21"/>
        <v/>
      </c>
      <c r="V35" s="299"/>
      <c r="W35" s="299"/>
      <c r="X35" s="244"/>
      <c r="Y35" s="244"/>
      <c r="Z35" s="245"/>
      <c r="AA35" s="245"/>
      <c r="AB35" s="245"/>
      <c r="AC35" s="245"/>
      <c r="AD35" s="245"/>
      <c r="AE35" s="245"/>
      <c r="AF35" s="245"/>
      <c r="AG35" s="245"/>
    </row>
    <row r="36" spans="1:33" s="235" customFormat="1">
      <c r="A36" s="236"/>
      <c r="B36" s="237"/>
      <c r="C36" s="238"/>
      <c r="D36" s="233"/>
      <c r="E36" s="239"/>
      <c r="F36" s="239" t="str">
        <f t="shared" si="12"/>
        <v/>
      </c>
      <c r="G36" s="239"/>
      <c r="H36" s="239" t="str">
        <f t="shared" si="13"/>
        <v/>
      </c>
      <c r="I36" s="239"/>
      <c r="J36" s="233" t="str">
        <f t="shared" si="14"/>
        <v/>
      </c>
      <c r="K36" s="239"/>
      <c r="L36" s="239"/>
      <c r="M36" s="239"/>
      <c r="N36" s="240" t="str">
        <f t="shared" si="15"/>
        <v/>
      </c>
      <c r="O36" s="241" t="e">
        <f t="shared" si="16"/>
        <v>#DIV/0!</v>
      </c>
      <c r="P36" s="243">
        <f t="shared" si="17"/>
        <v>0</v>
      </c>
      <c r="Q36" s="242">
        <f t="shared" si="18"/>
        <v>0</v>
      </c>
      <c r="R36" s="242">
        <f t="shared" si="19"/>
        <v>0</v>
      </c>
      <c r="S36" s="243" t="str">
        <f t="shared" si="20"/>
        <v/>
      </c>
      <c r="T36" s="242" t="str">
        <f t="shared" si="22"/>
        <v/>
      </c>
      <c r="U36" s="242" t="str">
        <f t="shared" si="21"/>
        <v/>
      </c>
      <c r="V36" s="299"/>
      <c r="W36" s="299"/>
      <c r="X36" s="244"/>
      <c r="Y36" s="244"/>
      <c r="Z36" s="247"/>
      <c r="AA36" s="245"/>
      <c r="AB36" s="245"/>
      <c r="AC36" s="245"/>
      <c r="AD36" s="245"/>
      <c r="AE36" s="245"/>
      <c r="AF36" s="245"/>
      <c r="AG36" s="245"/>
    </row>
    <row r="37" spans="1:33" s="235" customFormat="1">
      <c r="A37" s="236"/>
      <c r="B37" s="237"/>
      <c r="C37" s="238"/>
      <c r="D37" s="233"/>
      <c r="E37" s="239"/>
      <c r="F37" s="239" t="str">
        <f t="shared" si="12"/>
        <v/>
      </c>
      <c r="G37" s="239"/>
      <c r="H37" s="239" t="str">
        <f t="shared" si="13"/>
        <v/>
      </c>
      <c r="I37" s="239"/>
      <c r="J37" s="233" t="str">
        <f t="shared" si="14"/>
        <v/>
      </c>
      <c r="K37" s="239"/>
      <c r="L37" s="239"/>
      <c r="M37" s="239"/>
      <c r="N37" s="240" t="str">
        <f t="shared" si="15"/>
        <v/>
      </c>
      <c r="O37" s="241" t="e">
        <f t="shared" si="16"/>
        <v>#DIV/0!</v>
      </c>
      <c r="P37" s="243">
        <f t="shared" si="17"/>
        <v>0</v>
      </c>
      <c r="Q37" s="242">
        <f t="shared" si="18"/>
        <v>0</v>
      </c>
      <c r="R37" s="242">
        <f t="shared" si="19"/>
        <v>0</v>
      </c>
      <c r="S37" s="243" t="str">
        <f t="shared" si="20"/>
        <v/>
      </c>
      <c r="T37" s="242" t="str">
        <f t="shared" si="22"/>
        <v/>
      </c>
      <c r="U37" s="242" t="str">
        <f t="shared" si="21"/>
        <v/>
      </c>
      <c r="V37" s="299"/>
      <c r="W37" s="299"/>
      <c r="X37" s="244"/>
      <c r="Y37" s="244"/>
      <c r="Z37" s="247"/>
      <c r="AA37" s="245"/>
      <c r="AB37" s="245"/>
      <c r="AC37" s="245"/>
      <c r="AD37" s="245"/>
      <c r="AE37" s="245"/>
      <c r="AF37" s="245"/>
      <c r="AG37" s="245"/>
    </row>
    <row r="38" spans="1:33" s="235" customFormat="1">
      <c r="A38" s="323"/>
      <c r="B38" s="324"/>
      <c r="C38" s="238"/>
      <c r="D38" s="325"/>
      <c r="E38" s="326"/>
      <c r="F38" s="239" t="str">
        <f t="shared" si="12"/>
        <v/>
      </c>
      <c r="G38" s="326"/>
      <c r="H38" s="239" t="str">
        <f t="shared" si="13"/>
        <v/>
      </c>
      <c r="I38" s="326"/>
      <c r="J38" s="233" t="str">
        <f t="shared" si="14"/>
        <v/>
      </c>
      <c r="K38" s="239"/>
      <c r="L38" s="239"/>
      <c r="M38" s="239"/>
      <c r="N38" s="281" t="str">
        <f t="shared" si="15"/>
        <v/>
      </c>
      <c r="O38" s="327" t="e">
        <f t="shared" si="16"/>
        <v>#DIV/0!</v>
      </c>
      <c r="P38" s="243">
        <f t="shared" ref="P38:P39" si="23">$I$8*V38*W38/SUMPRODUCT($W$25:$W$44,$V$25:$V$44)</f>
        <v>0</v>
      </c>
      <c r="Q38" s="242">
        <f t="shared" ref="Q38:Q39" si="24">$I$9*V38*W38/SUMPRODUCT($W$25:$W$44,$V$25:$V$44)</f>
        <v>0</v>
      </c>
      <c r="R38" s="242">
        <f t="shared" si="19"/>
        <v>0</v>
      </c>
      <c r="S38" s="243" t="str">
        <f t="shared" si="20"/>
        <v/>
      </c>
      <c r="T38" s="242" t="str">
        <f t="shared" si="22"/>
        <v/>
      </c>
      <c r="U38" s="242" t="str">
        <f t="shared" si="21"/>
        <v/>
      </c>
      <c r="V38" s="299"/>
      <c r="W38" s="299"/>
      <c r="X38" s="328"/>
      <c r="Y38" s="328"/>
      <c r="Z38" s="286"/>
    </row>
    <row r="39" spans="1:33" s="235" customFormat="1">
      <c r="A39" s="323"/>
      <c r="B39" s="324"/>
      <c r="C39" s="238"/>
      <c r="D39" s="325"/>
      <c r="E39" s="326"/>
      <c r="F39" s="239" t="str">
        <f t="shared" si="12"/>
        <v/>
      </c>
      <c r="G39" s="326"/>
      <c r="H39" s="239" t="str">
        <f t="shared" si="13"/>
        <v/>
      </c>
      <c r="I39" s="326"/>
      <c r="J39" s="233" t="str">
        <f t="shared" si="14"/>
        <v/>
      </c>
      <c r="K39" s="239"/>
      <c r="L39" s="239"/>
      <c r="M39" s="239"/>
      <c r="N39" s="281" t="str">
        <f t="shared" si="15"/>
        <v/>
      </c>
      <c r="O39" s="327" t="e">
        <f t="shared" si="16"/>
        <v>#DIV/0!</v>
      </c>
      <c r="P39" s="243">
        <f t="shared" si="23"/>
        <v>0</v>
      </c>
      <c r="Q39" s="242">
        <f t="shared" si="24"/>
        <v>0</v>
      </c>
      <c r="R39" s="242">
        <f t="shared" si="19"/>
        <v>0</v>
      </c>
      <c r="S39" s="243" t="str">
        <f t="shared" si="20"/>
        <v/>
      </c>
      <c r="T39" s="242" t="str">
        <f t="shared" si="22"/>
        <v/>
      </c>
      <c r="U39" s="242" t="str">
        <f t="shared" si="21"/>
        <v/>
      </c>
      <c r="V39" s="299"/>
      <c r="W39" s="299"/>
      <c r="X39" s="328"/>
      <c r="Y39" s="328"/>
      <c r="Z39" s="286"/>
    </row>
    <row r="40" spans="1:33" s="235" customFormat="1">
      <c r="A40" s="323"/>
      <c r="B40" s="324"/>
      <c r="C40" s="238"/>
      <c r="D40" s="325"/>
      <c r="E40" s="326"/>
      <c r="F40" s="239" t="str">
        <f t="shared" si="12"/>
        <v/>
      </c>
      <c r="G40" s="326"/>
      <c r="H40" s="239" t="str">
        <f t="shared" si="13"/>
        <v/>
      </c>
      <c r="I40" s="326"/>
      <c r="J40" s="233" t="str">
        <f t="shared" si="14"/>
        <v/>
      </c>
      <c r="K40" s="239"/>
      <c r="L40" s="239"/>
      <c r="M40" s="239"/>
      <c r="N40" s="281" t="str">
        <f t="shared" si="15"/>
        <v/>
      </c>
      <c r="O40" s="327" t="e">
        <f t="shared" si="16"/>
        <v>#DIV/0!</v>
      </c>
      <c r="P40" s="243">
        <f t="shared" ref="P40:P42" si="25">$I$8*V40*W40/SUMPRODUCT($W$25:$W$47,$V$25:$V$47)</f>
        <v>0</v>
      </c>
      <c r="Q40" s="242">
        <f t="shared" ref="Q40:Q42" si="26">$I$9*V40*W40/SUMPRODUCT($W$25:$W$47,$V$25:$V$47)</f>
        <v>0</v>
      </c>
      <c r="R40" s="242">
        <f t="shared" ref="R40:R46" si="27">IF($I$12="", "", Q40/$I$12)</f>
        <v>0</v>
      </c>
      <c r="S40" s="243" t="str">
        <f t="shared" si="20"/>
        <v/>
      </c>
      <c r="T40" s="242" t="str">
        <f t="shared" si="22"/>
        <v/>
      </c>
      <c r="U40" s="242" t="str">
        <f t="shared" si="21"/>
        <v/>
      </c>
      <c r="V40" s="299"/>
      <c r="W40" s="299"/>
      <c r="X40" s="328"/>
      <c r="Y40" s="328"/>
      <c r="Z40" s="286"/>
    </row>
    <row r="41" spans="1:33" s="235" customFormat="1">
      <c r="A41" s="323"/>
      <c r="B41" s="324"/>
      <c r="C41" s="238"/>
      <c r="D41" s="325"/>
      <c r="E41" s="326"/>
      <c r="F41" s="239" t="str">
        <f t="shared" si="12"/>
        <v/>
      </c>
      <c r="G41" s="326"/>
      <c r="H41" s="239" t="str">
        <f t="shared" si="13"/>
        <v/>
      </c>
      <c r="I41" s="326"/>
      <c r="J41" s="233" t="str">
        <f t="shared" si="14"/>
        <v/>
      </c>
      <c r="K41" s="239"/>
      <c r="L41" s="239"/>
      <c r="M41" s="239"/>
      <c r="N41" s="281" t="str">
        <f t="shared" si="15"/>
        <v/>
      </c>
      <c r="O41" s="327" t="e">
        <f t="shared" si="16"/>
        <v>#DIV/0!</v>
      </c>
      <c r="P41" s="243">
        <f t="shared" si="25"/>
        <v>0</v>
      </c>
      <c r="Q41" s="242">
        <f t="shared" si="26"/>
        <v>0</v>
      </c>
      <c r="R41" s="242">
        <f t="shared" si="27"/>
        <v>0</v>
      </c>
      <c r="S41" s="243" t="str">
        <f t="shared" si="20"/>
        <v/>
      </c>
      <c r="T41" s="242" t="str">
        <f t="shared" si="22"/>
        <v/>
      </c>
      <c r="U41" s="242" t="str">
        <f t="shared" si="21"/>
        <v/>
      </c>
      <c r="V41" s="299"/>
      <c r="W41" s="299"/>
      <c r="X41" s="328"/>
      <c r="Y41" s="328"/>
      <c r="Z41" s="286"/>
    </row>
    <row r="42" spans="1:33" s="235" customFormat="1">
      <c r="A42" s="323"/>
      <c r="B42" s="324"/>
      <c r="C42" s="238"/>
      <c r="D42" s="325"/>
      <c r="E42" s="326"/>
      <c r="F42" s="239" t="str">
        <f t="shared" si="12"/>
        <v/>
      </c>
      <c r="G42" s="326"/>
      <c r="H42" s="239" t="str">
        <f t="shared" si="13"/>
        <v/>
      </c>
      <c r="I42" s="326"/>
      <c r="J42" s="233" t="str">
        <f t="shared" si="14"/>
        <v/>
      </c>
      <c r="K42" s="239"/>
      <c r="L42" s="239"/>
      <c r="M42" s="239"/>
      <c r="N42" s="281" t="str">
        <f t="shared" si="15"/>
        <v/>
      </c>
      <c r="O42" s="327" t="e">
        <f t="shared" si="16"/>
        <v>#DIV/0!</v>
      </c>
      <c r="P42" s="243">
        <f t="shared" si="25"/>
        <v>0</v>
      </c>
      <c r="Q42" s="242">
        <f t="shared" si="26"/>
        <v>0</v>
      </c>
      <c r="R42" s="242">
        <f t="shared" si="27"/>
        <v>0</v>
      </c>
      <c r="S42" s="243" t="str">
        <f t="shared" si="20"/>
        <v/>
      </c>
      <c r="T42" s="242" t="str">
        <f t="shared" si="22"/>
        <v/>
      </c>
      <c r="U42" s="242" t="str">
        <f t="shared" si="21"/>
        <v/>
      </c>
      <c r="V42" s="299"/>
      <c r="W42" s="299"/>
      <c r="X42" s="328"/>
      <c r="Y42" s="328"/>
      <c r="Z42" s="286"/>
    </row>
    <row r="43" spans="1:33" s="235" customFormat="1" ht="15" customHeight="1">
      <c r="A43" s="323"/>
      <c r="B43" s="324"/>
      <c r="C43" s="329"/>
      <c r="D43" s="325"/>
      <c r="E43" s="326"/>
      <c r="F43" s="239" t="str">
        <f t="shared" si="12"/>
        <v/>
      </c>
      <c r="G43" s="326"/>
      <c r="H43" s="239" t="str">
        <f t="shared" si="13"/>
        <v/>
      </c>
      <c r="I43" s="326"/>
      <c r="J43" s="233" t="str">
        <f t="shared" si="14"/>
        <v/>
      </c>
      <c r="K43" s="239"/>
      <c r="L43" s="239"/>
      <c r="M43" s="239"/>
      <c r="N43" s="281" t="str">
        <f t="shared" si="15"/>
        <v/>
      </c>
      <c r="O43" s="327" t="e">
        <f t="shared" si="16"/>
        <v>#DIV/0!</v>
      </c>
      <c r="P43" s="243">
        <f t="shared" ref="P43:P46" si="28">$I$8*V43*W43/SUMPRODUCT($W$25:$W$44, $V$25:$V$44)</f>
        <v>0</v>
      </c>
      <c r="Q43" s="242">
        <f t="shared" ref="Q43:Q46" si="29">$I$9*V43*W43/SUMPRODUCT($W$25:$W$44, $V$25:$V$44)</f>
        <v>0</v>
      </c>
      <c r="R43" s="242">
        <f t="shared" si="27"/>
        <v>0</v>
      </c>
      <c r="S43" s="243" t="str">
        <f t="shared" si="20"/>
        <v/>
      </c>
      <c r="T43" s="242" t="str">
        <f t="shared" si="22"/>
        <v/>
      </c>
      <c r="U43" s="242" t="str">
        <f t="shared" si="21"/>
        <v/>
      </c>
      <c r="V43" s="299"/>
      <c r="W43" s="299"/>
      <c r="X43" s="328"/>
      <c r="Y43" s="328"/>
      <c r="Z43" s="286"/>
    </row>
    <row r="44" spans="1:33" s="235" customFormat="1">
      <c r="A44" s="323"/>
      <c r="B44" s="324"/>
      <c r="C44" s="238"/>
      <c r="D44" s="325"/>
      <c r="E44" s="326"/>
      <c r="F44" s="239" t="str">
        <f t="shared" si="12"/>
        <v/>
      </c>
      <c r="G44" s="326"/>
      <c r="H44" s="239" t="str">
        <f t="shared" si="13"/>
        <v/>
      </c>
      <c r="I44" s="326"/>
      <c r="J44" s="233" t="str">
        <f t="shared" si="14"/>
        <v/>
      </c>
      <c r="K44" s="239"/>
      <c r="L44" s="239"/>
      <c r="M44" s="239"/>
      <c r="N44" s="281" t="str">
        <f t="shared" si="15"/>
        <v/>
      </c>
      <c r="O44" s="327" t="e">
        <f t="shared" si="16"/>
        <v>#DIV/0!</v>
      </c>
      <c r="P44" s="243">
        <f t="shared" si="28"/>
        <v>0</v>
      </c>
      <c r="Q44" s="242">
        <f t="shared" si="29"/>
        <v>0</v>
      </c>
      <c r="R44" s="242">
        <f t="shared" si="27"/>
        <v>0</v>
      </c>
      <c r="S44" s="243" t="str">
        <f t="shared" si="20"/>
        <v/>
      </c>
      <c r="T44" s="242" t="str">
        <f t="shared" si="22"/>
        <v/>
      </c>
      <c r="U44" s="242" t="str">
        <f t="shared" si="21"/>
        <v/>
      </c>
      <c r="V44" s="299"/>
      <c r="W44" s="299"/>
      <c r="X44" s="328"/>
      <c r="Y44" s="328"/>
      <c r="Z44" s="286"/>
    </row>
    <row r="45" spans="1:33" s="235" customFormat="1">
      <c r="A45" s="323"/>
      <c r="B45" s="237"/>
      <c r="C45" s="238"/>
      <c r="D45" s="325"/>
      <c r="E45" s="326"/>
      <c r="F45" s="239" t="str">
        <f t="shared" si="12"/>
        <v/>
      </c>
      <c r="G45" s="326"/>
      <c r="H45" s="239" t="str">
        <f t="shared" si="13"/>
        <v/>
      </c>
      <c r="I45" s="326"/>
      <c r="J45" s="233" t="str">
        <f t="shared" si="14"/>
        <v/>
      </c>
      <c r="K45" s="239"/>
      <c r="L45" s="239"/>
      <c r="M45" s="239"/>
      <c r="N45" s="281" t="str">
        <f t="shared" si="15"/>
        <v/>
      </c>
      <c r="O45" s="327" t="e">
        <f t="shared" si="16"/>
        <v>#DIV/0!</v>
      </c>
      <c r="P45" s="243">
        <f t="shared" si="28"/>
        <v>0</v>
      </c>
      <c r="Q45" s="242">
        <f t="shared" si="29"/>
        <v>0</v>
      </c>
      <c r="R45" s="242">
        <f t="shared" si="27"/>
        <v>0</v>
      </c>
      <c r="S45" s="243" t="str">
        <f t="shared" si="20"/>
        <v/>
      </c>
      <c r="T45" s="242" t="str">
        <f t="shared" si="22"/>
        <v/>
      </c>
      <c r="U45" s="242" t="str">
        <f t="shared" si="21"/>
        <v/>
      </c>
      <c r="V45" s="299"/>
      <c r="W45" s="299"/>
      <c r="X45" s="328"/>
      <c r="Y45" s="328"/>
      <c r="Z45" s="286"/>
    </row>
    <row r="46" spans="1:33" customFormat="1">
      <c r="A46" s="330"/>
      <c r="B46" s="96"/>
      <c r="C46" s="97"/>
      <c r="D46" s="331"/>
      <c r="E46" s="332"/>
      <c r="F46" s="99" t="str">
        <f t="shared" si="12"/>
        <v/>
      </c>
      <c r="G46" s="332"/>
      <c r="H46" s="99" t="str">
        <f t="shared" si="13"/>
        <v/>
      </c>
      <c r="I46" s="99"/>
      <c r="J46" s="98" t="str">
        <f t="shared" si="14"/>
        <v/>
      </c>
      <c r="K46" s="99"/>
      <c r="L46" s="99"/>
      <c r="M46" s="99"/>
      <c r="N46" s="282" t="str">
        <f t="shared" si="15"/>
        <v/>
      </c>
      <c r="O46" s="333" t="e">
        <f t="shared" si="16"/>
        <v>#DIV/0!</v>
      </c>
      <c r="P46" s="102">
        <f t="shared" si="28"/>
        <v>0</v>
      </c>
      <c r="Q46" s="103">
        <f t="shared" si="29"/>
        <v>0</v>
      </c>
      <c r="R46" s="103">
        <f t="shared" si="27"/>
        <v>0</v>
      </c>
      <c r="S46" s="102" t="str">
        <f t="shared" si="20"/>
        <v/>
      </c>
      <c r="T46" s="103" t="str">
        <f t="shared" si="22"/>
        <v/>
      </c>
      <c r="U46" s="103" t="str">
        <f t="shared" si="21"/>
        <v/>
      </c>
      <c r="V46" s="288"/>
      <c r="W46" s="288"/>
      <c r="X46" s="334"/>
      <c r="Y46" s="335"/>
    </row>
    <row r="47" spans="1:33" customFormat="1" ht="15.25" customHeight="1">
      <c r="A47" s="95"/>
      <c r="B47" s="96"/>
      <c r="C47" s="336"/>
      <c r="D47" s="98"/>
      <c r="E47" s="99"/>
      <c r="F47" s="99" t="str">
        <f t="shared" si="12"/>
        <v/>
      </c>
      <c r="G47" s="99"/>
      <c r="H47" s="99" t="str">
        <f t="shared" si="13"/>
        <v/>
      </c>
      <c r="I47" s="99"/>
      <c r="J47" s="98" t="str">
        <f t="shared" si="14"/>
        <v/>
      </c>
      <c r="K47" s="99"/>
      <c r="L47" s="99"/>
      <c r="M47" s="99"/>
      <c r="N47" s="100" t="str">
        <f t="shared" si="15"/>
        <v/>
      </c>
      <c r="O47" s="101" t="e">
        <f t="shared" si="16"/>
        <v>#DIV/0!</v>
      </c>
      <c r="P47" s="102">
        <f>$I$8*V47*W47/SUMPRODUCT($W$25:$W$55,$V$25:$V$55)</f>
        <v>0</v>
      </c>
      <c r="Q47" s="103">
        <f>$I$9*V47*W47/SUMPRODUCT($W$25:$W$55,$V$25:$V$55)</f>
        <v>0</v>
      </c>
      <c r="R47" s="103">
        <f>IF($I$12="","",Q47/$I$12)</f>
        <v>0</v>
      </c>
      <c r="S47" s="102" t="str">
        <f t="shared" si="20"/>
        <v/>
      </c>
      <c r="T47" s="103" t="str">
        <f t="shared" si="22"/>
        <v/>
      </c>
      <c r="U47" s="103" t="str">
        <f t="shared" si="21"/>
        <v/>
      </c>
      <c r="V47" s="288"/>
      <c r="W47" s="288"/>
      <c r="X47" s="106"/>
      <c r="Y47" s="106"/>
      <c r="Z47" s="2"/>
      <c r="AA47" s="2"/>
      <c r="AB47" s="2"/>
      <c r="AC47" s="2"/>
      <c r="AD47" s="2"/>
      <c r="AE47" s="2"/>
      <c r="AF47" s="2"/>
      <c r="AG47" s="2"/>
    </row>
    <row r="48" spans="1:33" ht="15" customHeight="1">
      <c r="B48" s="687" t="s">
        <v>62</v>
      </c>
      <c r="C48" s="687"/>
      <c r="D48" s="337">
        <f>SUM(D25:D47)</f>
        <v>0</v>
      </c>
      <c r="E48" s="337">
        <f>SUM(E25:E47)</f>
        <v>0</v>
      </c>
      <c r="F48" s="337" t="str">
        <f t="shared" si="12"/>
        <v/>
      </c>
      <c r="G48" s="337">
        <f>SUM(G25:G47)</f>
        <v>0</v>
      </c>
      <c r="H48" s="337" t="str">
        <f t="shared" si="13"/>
        <v/>
      </c>
      <c r="I48" s="337">
        <f>SUM(I25:I47)</f>
        <v>0</v>
      </c>
      <c r="J48" s="338" t="str">
        <f t="shared" si="14"/>
        <v/>
      </c>
      <c r="K48" s="337">
        <f>SUM(K25:K47)</f>
        <v>0</v>
      </c>
      <c r="L48" s="337">
        <f>SUM(L25:L47)</f>
        <v>0</v>
      </c>
      <c r="M48" s="337">
        <f>SUM(M25:M47)</f>
        <v>0</v>
      </c>
      <c r="N48" s="339" t="str">
        <f t="shared" si="15"/>
        <v/>
      </c>
      <c r="O48" s="340" t="e">
        <f t="shared" si="16"/>
        <v>#DIV/0!</v>
      </c>
      <c r="P48" s="341">
        <f t="shared" ref="P48:U48" si="30">SUM(P25:P47)</f>
        <v>0</v>
      </c>
      <c r="Q48" s="341">
        <f t="shared" si="30"/>
        <v>0</v>
      </c>
      <c r="R48" s="341">
        <f t="shared" si="30"/>
        <v>0</v>
      </c>
      <c r="S48" s="341" t="e">
        <f t="shared" ca="1" si="30"/>
        <v>#REF!</v>
      </c>
      <c r="T48" s="341" t="e">
        <f t="shared" ca="1" si="30"/>
        <v>#REF!</v>
      </c>
      <c r="U48" s="341" t="e">
        <f t="shared" ca="1" si="30"/>
        <v>#REF!</v>
      </c>
      <c r="V48" s="342"/>
      <c r="W48" s="342"/>
    </row>
    <row r="49" spans="2:17">
      <c r="B49" s="121"/>
      <c r="C49" s="122"/>
      <c r="D49" s="123">
        <f>SUMIF(D25:D47,"",P25:P47)+D48</f>
        <v>0</v>
      </c>
      <c r="E49" s="343"/>
      <c r="F49" s="122"/>
      <c r="G49" s="122"/>
      <c r="H49" s="125"/>
      <c r="I49" s="227"/>
      <c r="J49" s="125"/>
      <c r="L49" s="127"/>
      <c r="M49" s="343"/>
      <c r="N49" s="127"/>
      <c r="O49" s="127"/>
      <c r="P49" s="127"/>
      <c r="Q49" s="344"/>
    </row>
    <row r="50" spans="2:17">
      <c r="D50" s="130"/>
    </row>
    <row r="52" spans="2:17">
      <c r="D52" s="130"/>
    </row>
    <row r="53" spans="2:17">
      <c r="D53" s="130"/>
    </row>
  </sheetData>
  <mergeCells count="28">
    <mergeCell ref="P22:W22"/>
    <mergeCell ref="B48:C48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49" priority="274" operator="lessThan">
      <formula>0</formula>
    </cfRule>
    <cfRule type="cellIs" dxfId="48" priority="275" operator="greaterThan">
      <formula>0</formula>
    </cfRule>
  </conditionalFormatting>
  <conditionalFormatting sqref="J25">
    <cfRule type="cellIs" dxfId="47" priority="10" operator="lessThan">
      <formula>$I$12</formula>
    </cfRule>
    <cfRule type="cellIs" dxfId="46" priority="11" operator="greaterThan">
      <formula>$I$12</formula>
    </cfRule>
  </conditionalFormatting>
  <conditionalFormatting sqref="J25:J28">
    <cfRule type="cellIs" dxfId="45" priority="12" operator="lessThan">
      <formula>$I$12</formula>
    </cfRule>
  </conditionalFormatting>
  <conditionalFormatting sqref="J26:J28">
    <cfRule type="cellIs" dxfId="44" priority="23" operator="greaterThan">
      <formula>$I$12</formula>
    </cfRule>
  </conditionalFormatting>
  <conditionalFormatting sqref="J29:J33">
    <cfRule type="cellIs" dxfId="43" priority="105" operator="greaterThan">
      <formula>$I$12</formula>
    </cfRule>
  </conditionalFormatting>
  <conditionalFormatting sqref="J29:J34">
    <cfRule type="cellIs" dxfId="42" priority="90" operator="lessThan">
      <formula>$I$12</formula>
    </cfRule>
  </conditionalFormatting>
  <conditionalFormatting sqref="J30">
    <cfRule type="cellIs" dxfId="41" priority="279" operator="lessThan">
      <formula>$I$12</formula>
    </cfRule>
  </conditionalFormatting>
  <conditionalFormatting sqref="J34:J47">
    <cfRule type="cellIs" dxfId="40" priority="89" operator="greaterThan">
      <formula>$I$12</formula>
    </cfRule>
    <cfRule type="cellIs" dxfId="39" priority="88" operator="lessThan">
      <formula>$I$12</formula>
    </cfRule>
  </conditionalFormatting>
  <conditionalFormatting sqref="K10:K12 K15">
    <cfRule type="cellIs" dxfId="38" priority="273" operator="greaterThan">
      <formula>1</formula>
    </cfRule>
    <cfRule type="cellIs" dxfId="37" priority="272" operator="lessThan">
      <formula>1</formula>
    </cfRule>
  </conditionalFormatting>
  <conditionalFormatting sqref="M8:M15">
    <cfRule type="cellIs" dxfId="36" priority="277" operator="lessThan">
      <formula>1</formula>
    </cfRule>
    <cfRule type="cellIs" dxfId="35" priority="271" operator="greaterThan">
      <formula>1</formula>
    </cfRule>
  </conditionalFormatting>
  <conditionalFormatting sqref="N25:N28">
    <cfRule type="cellIs" dxfId="34" priority="8" operator="greaterThanOrEqual">
      <formula>0.25</formula>
    </cfRule>
    <cfRule type="cellIs" dxfId="33" priority="7" operator="between">
      <formula>0.2</formula>
      <formula>0.25</formula>
    </cfRule>
  </conditionalFormatting>
  <conditionalFormatting sqref="N25:N47">
    <cfRule type="cellIs" dxfId="32" priority="9" operator="lessThan">
      <formula>0.2</formula>
    </cfRule>
  </conditionalFormatting>
  <conditionalFormatting sqref="N29:N33">
    <cfRule type="cellIs" dxfId="31" priority="102" operator="greaterThanOrEqual">
      <formula>0.25</formula>
    </cfRule>
  </conditionalFormatting>
  <conditionalFormatting sqref="N29:N34">
    <cfRule type="cellIs" dxfId="30" priority="91" operator="between">
      <formula>0.2</formula>
      <formula>0.25</formula>
    </cfRule>
  </conditionalFormatting>
  <conditionalFormatting sqref="N30">
    <cfRule type="cellIs" dxfId="29" priority="282" operator="between">
      <formula>0.2</formula>
      <formula>0.25</formula>
    </cfRule>
  </conditionalFormatting>
  <conditionalFormatting sqref="N34:N47">
    <cfRule type="cellIs" dxfId="28" priority="85" operator="between">
      <formula>0.2</formula>
      <formula>0.25</formula>
    </cfRule>
    <cfRule type="cellIs" dxfId="27" priority="86" operator="greaterThanOrEqual">
      <formula>0.25</formula>
    </cfRule>
  </conditionalFormatting>
  <conditionalFormatting sqref="O25:O28">
    <cfRule type="cellIs" dxfId="26" priority="6" operator="between">
      <formula>0.01</formula>
      <formula>0.99</formula>
    </cfRule>
    <cfRule type="cellIs" dxfId="25" priority="5" operator="between">
      <formula>0.85</formula>
      <formula>1</formula>
    </cfRule>
    <cfRule type="cellIs" dxfId="24" priority="1" operator="between">
      <formula>0.9001</formula>
      <formula>0.9999</formula>
    </cfRule>
    <cfRule type="cellIs" dxfId="23" priority="2" operator="lessThan">
      <formula>0.9</formula>
    </cfRule>
  </conditionalFormatting>
  <conditionalFormatting sqref="O25:O47">
    <cfRule type="cellIs" dxfId="22" priority="4" operator="greaterThan">
      <formula>100</formula>
    </cfRule>
    <cfRule type="cellIs" dxfId="21" priority="3" operator="greaterThan">
      <formula>1</formula>
    </cfRule>
  </conditionalFormatting>
  <conditionalFormatting sqref="O29:O33">
    <cfRule type="cellIs" dxfId="20" priority="99" operator="between">
      <formula>0.85</formula>
      <formula>1</formula>
    </cfRule>
    <cfRule type="cellIs" dxfId="19" priority="100" operator="between">
      <formula>0.01</formula>
      <formula>0.99</formula>
    </cfRule>
  </conditionalFormatting>
  <conditionalFormatting sqref="O29:O34">
    <cfRule type="cellIs" dxfId="18" priority="94" operator="between">
      <formula>0.9001</formula>
      <formula>0.9999</formula>
    </cfRule>
    <cfRule type="cellIs" dxfId="17" priority="93" operator="lessThan">
      <formula>0.9</formula>
    </cfRule>
  </conditionalFormatting>
  <conditionalFormatting sqref="O30">
    <cfRule type="cellIs" dxfId="16" priority="284" operator="between">
      <formula>0.85</formula>
      <formula>1</formula>
    </cfRule>
    <cfRule type="cellIs" dxfId="15" priority="287" operator="lessThan">
      <formula>0.9</formula>
    </cfRule>
    <cfRule type="cellIs" dxfId="14" priority="288" operator="between">
      <formula>0.9001</formula>
      <formula>0.9999</formula>
    </cfRule>
  </conditionalFormatting>
  <conditionalFormatting sqref="O34">
    <cfRule type="cellIs" dxfId="13" priority="92" operator="between">
      <formula>0.85</formula>
      <formula>1</formula>
    </cfRule>
  </conditionalFormatting>
  <conditionalFormatting sqref="O34:O37">
    <cfRule type="cellIs" dxfId="12" priority="84" operator="between">
      <formula>0.01</formula>
      <formula>0.99</formula>
    </cfRule>
    <cfRule type="cellIs" dxfId="11" priority="80" operator="lessThan">
      <formula>0.9</formula>
    </cfRule>
    <cfRule type="cellIs" dxfId="10" priority="79" operator="between">
      <formula>0.9001</formula>
      <formula>0.9999</formula>
    </cfRule>
  </conditionalFormatting>
  <conditionalFormatting sqref="O35:O37">
    <cfRule type="cellIs" dxfId="9" priority="83" operator="between">
      <formula>0.85</formula>
      <formula>1</formula>
    </cfRule>
  </conditionalFormatting>
  <conditionalFormatting sqref="O38:O45">
    <cfRule type="cellIs" dxfId="8" priority="132" operator="between">
      <formula>0.85</formula>
      <formula>1</formula>
    </cfRule>
    <cfRule type="cellIs" dxfId="7" priority="133" operator="between">
      <formula>0.01</formula>
      <formula>0.99</formula>
    </cfRule>
  </conditionalFormatting>
  <conditionalFormatting sqref="O38:O46">
    <cfRule type="cellIs" dxfId="6" priority="128" operator="between">
      <formula>0.9001</formula>
      <formula>0.9999</formula>
    </cfRule>
    <cfRule type="cellIs" dxfId="5" priority="129" operator="lessThan">
      <formula>0.9</formula>
    </cfRule>
  </conditionalFormatting>
  <conditionalFormatting sqref="O46:O47">
    <cfRule type="cellIs" dxfId="4" priority="121" operator="between">
      <formula>0.85</formula>
      <formula>1</formula>
    </cfRule>
    <cfRule type="cellIs" dxfId="3" priority="122" operator="between">
      <formula>0.01</formula>
      <formula>0.99</formula>
    </cfRule>
  </conditionalFormatting>
  <conditionalFormatting sqref="O47">
    <cfRule type="cellIs" dxfId="2" priority="118" operator="lessThan">
      <formula>0.9</formula>
    </cfRule>
    <cfRule type="cellIs" dxfId="1" priority="117" operator="between">
      <formula>0.9001</formula>
      <formula>0.9999</formula>
    </cfRule>
  </conditionalFormatting>
  <conditionalFormatting sqref="P10:Q10">
    <cfRule type="cellIs" dxfId="0" priority="276" operator="lessThan">
      <formula>0</formula>
    </cfRule>
  </conditionalFormatting>
  <dataValidations count="3">
    <dataValidation type="date" allowBlank="1" showErrorMessage="1" sqref="B35:B45" xr:uid="{0032000E-0010-4C8B-9466-00C400BB00E3}">
      <formula1>40544</formula1>
      <formula2>73051</formula2>
    </dataValidation>
    <dataValidation type="decimal" allowBlank="1" showErrorMessage="1" sqref="I14 O10:O11 I8:J13" xr:uid="{00540008-0035-4CE8-9785-003D000A00FF}">
      <formula1>0</formula1>
      <formula2>1000000000000000</formula2>
    </dataValidation>
    <dataValidation type="decimal" allowBlank="1" showErrorMessage="1" sqref="I41" xr:uid="{008100C7-00E9-4D00-B52F-001D00850034}">
      <formula1>0</formula1>
      <formula2>10000000000000000</formula2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5"/>
  <sheetViews>
    <sheetView tabSelected="1" zoomScale="93" workbookViewId="0">
      <selection activeCell="P9" sqref="P9"/>
    </sheetView>
  </sheetViews>
  <sheetFormatPr baseColWidth="10" defaultColWidth="11.5" defaultRowHeight="15"/>
  <cols>
    <col min="1" max="1" width="1.5" style="3" customWidth="1"/>
    <col min="2" max="2" width="11.33203125" style="3" customWidth="1"/>
    <col min="3" max="3" width="17.33203125" style="3" customWidth="1"/>
    <col min="4" max="4" width="10.6640625" style="3" customWidth="1"/>
    <col min="5" max="5" width="11.6640625" style="3" customWidth="1"/>
    <col min="6" max="6" width="11.83203125" style="3" customWidth="1"/>
    <col min="7" max="7" width="13.5" style="3" customWidth="1"/>
    <col min="8" max="8" width="13.6640625" style="3" customWidth="1"/>
    <col min="9" max="9" width="11.5" style="3" customWidth="1"/>
    <col min="10" max="10" width="17.1640625" style="3" customWidth="1"/>
    <col min="11" max="11" width="12.33203125" style="3" customWidth="1"/>
    <col min="12" max="12" width="11.1640625" style="3" customWidth="1"/>
    <col min="13" max="13" width="13.33203125" style="3" customWidth="1"/>
    <col min="14" max="14" width="13.83203125" style="3" customWidth="1"/>
  </cols>
  <sheetData>
    <row r="1" spans="1:15" ht="20" customHeight="1">
      <c r="A1" s="688" t="str">
        <f>График!B1</f>
        <v>Август, 2025</v>
      </c>
      <c r="B1" s="689"/>
      <c r="C1" s="689"/>
      <c r="D1" s="690"/>
      <c r="E1" s="345"/>
      <c r="F1" s="346"/>
      <c r="G1" s="346"/>
      <c r="H1" s="346"/>
      <c r="I1" s="346"/>
      <c r="J1" s="346"/>
      <c r="K1" s="346"/>
      <c r="L1" s="346"/>
      <c r="M1" s="346"/>
      <c r="N1" s="347"/>
    </row>
    <row r="2" spans="1:15" ht="19" customHeight="1">
      <c r="A2" s="691" t="str">
        <f>График!B3</f>
        <v>ул. Набережная Ленина, 18</v>
      </c>
      <c r="B2" s="692"/>
      <c r="C2" s="692"/>
      <c r="D2" s="348" t="str">
        <f>График!B4</f>
        <v>GL-0005</v>
      </c>
      <c r="E2" s="349"/>
      <c r="F2" s="350"/>
      <c r="G2" s="350"/>
      <c r="H2" s="350"/>
      <c r="I2" s="350"/>
      <c r="J2" s="350"/>
      <c r="K2" s="350"/>
      <c r="L2" s="350"/>
      <c r="M2" s="350"/>
      <c r="N2" s="351"/>
    </row>
    <row r="3" spans="1:15" ht="75">
      <c r="A3" s="693" t="s">
        <v>26</v>
      </c>
      <c r="B3" s="694"/>
      <c r="C3" s="694"/>
      <c r="D3" s="352" t="s">
        <v>74</v>
      </c>
      <c r="E3" s="352" t="s">
        <v>75</v>
      </c>
      <c r="F3" s="353" t="s">
        <v>76</v>
      </c>
      <c r="G3" s="354" t="s">
        <v>77</v>
      </c>
      <c r="H3" s="355" t="s">
        <v>78</v>
      </c>
      <c r="I3" s="356" t="s">
        <v>79</v>
      </c>
      <c r="J3" s="357" t="s">
        <v>80</v>
      </c>
      <c r="K3" s="358" t="s">
        <v>81</v>
      </c>
      <c r="L3" s="359" t="s">
        <v>82</v>
      </c>
      <c r="M3" s="360" t="s">
        <v>83</v>
      </c>
      <c r="N3" s="361" t="s">
        <v>84</v>
      </c>
    </row>
    <row r="4" spans="1:15" ht="16" customHeight="1">
      <c r="A4" s="695" t="str">
        <f>График!B29</f>
        <v>Рогалевич Ирина</v>
      </c>
      <c r="B4" s="696"/>
      <c r="C4" s="696"/>
      <c r="D4" s="362">
        <f>19140*2</f>
        <v>38280</v>
      </c>
      <c r="E4" s="363"/>
      <c r="F4" s="364">
        <f>H8+H9</f>
        <v>42814.54</v>
      </c>
      <c r="G4" s="365">
        <f>D11</f>
        <v>26500</v>
      </c>
      <c r="H4" s="366">
        <f>D18</f>
        <v>97276.781999999992</v>
      </c>
      <c r="I4" s="367">
        <f>L18</f>
        <v>28611.55243393602</v>
      </c>
      <c r="J4" s="368">
        <f>L11</f>
        <v>0</v>
      </c>
      <c r="K4" s="369">
        <f>H4+J4+G4+F4+I4</f>
        <v>195202.874433936</v>
      </c>
      <c r="L4" s="370">
        <f>C8+C9</f>
        <v>7994</v>
      </c>
      <c r="M4" s="371">
        <f>K4-L4-D4-E4</f>
        <v>148928.874433936</v>
      </c>
      <c r="N4" s="372"/>
    </row>
    <row r="5" spans="1:15">
      <c r="A5" s="373"/>
      <c r="B5" s="374"/>
      <c r="C5" s="375"/>
      <c r="D5" s="375"/>
      <c r="E5" s="375"/>
      <c r="F5" s="375"/>
      <c r="G5" s="375"/>
      <c r="H5" s="375"/>
      <c r="I5" s="375"/>
      <c r="J5" s="375"/>
      <c r="K5" s="376"/>
      <c r="L5" s="375"/>
      <c r="M5" s="377"/>
      <c r="N5" s="378"/>
    </row>
    <row r="6" spans="1:15">
      <c r="A6" s="373"/>
      <c r="B6" s="374" t="s">
        <v>82</v>
      </c>
      <c r="C6" s="375"/>
      <c r="D6" s="375"/>
      <c r="E6" s="375"/>
      <c r="F6" s="375"/>
      <c r="G6" s="374" t="s">
        <v>85</v>
      </c>
      <c r="H6" s="375"/>
      <c r="I6" s="375"/>
      <c r="J6" s="375"/>
      <c r="K6" s="375"/>
      <c r="L6" s="375"/>
      <c r="M6" s="377"/>
      <c r="N6" s="378"/>
    </row>
    <row r="7" spans="1:15">
      <c r="A7" s="379"/>
      <c r="B7" s="380" t="s">
        <v>27</v>
      </c>
      <c r="C7" s="380" t="s">
        <v>86</v>
      </c>
      <c r="D7" s="697" t="s">
        <v>87</v>
      </c>
      <c r="E7" s="697"/>
      <c r="F7" s="381"/>
      <c r="G7" s="380" t="s">
        <v>27</v>
      </c>
      <c r="H7" s="697" t="s">
        <v>86</v>
      </c>
      <c r="I7" s="697"/>
      <c r="J7" s="697" t="s">
        <v>87</v>
      </c>
      <c r="K7" s="697"/>
      <c r="L7" s="381"/>
      <c r="M7" s="382"/>
      <c r="N7" s="383"/>
    </row>
    <row r="8" spans="1:15" ht="20" customHeight="1">
      <c r="A8" s="373"/>
      <c r="B8" s="384">
        <v>45900</v>
      </c>
      <c r="C8" s="385">
        <f>2860*2</f>
        <v>5720</v>
      </c>
      <c r="D8" s="698" t="s">
        <v>88</v>
      </c>
      <c r="E8" s="698"/>
      <c r="F8" s="375"/>
      <c r="G8" s="384">
        <v>45900</v>
      </c>
      <c r="H8" s="699">
        <f>'Ялта, Ленина, 18'!J8*0.01</f>
        <v>38814.54</v>
      </c>
      <c r="I8" s="699"/>
      <c r="J8" s="698" t="s">
        <v>89</v>
      </c>
      <c r="K8" s="698"/>
      <c r="L8" s="375"/>
      <c r="M8" s="377"/>
      <c r="N8" s="378"/>
    </row>
    <row r="9" spans="1:15" ht="27" customHeight="1">
      <c r="A9" s="373"/>
      <c r="B9" s="384">
        <v>45900</v>
      </c>
      <c r="C9" s="385">
        <v>2274</v>
      </c>
      <c r="D9" s="698" t="s">
        <v>137</v>
      </c>
      <c r="E9" s="698"/>
      <c r="F9" s="375"/>
      <c r="G9" s="384">
        <v>45900</v>
      </c>
      <c r="H9" s="699">
        <v>4000</v>
      </c>
      <c r="I9" s="699"/>
      <c r="J9" s="698" t="s">
        <v>138</v>
      </c>
      <c r="K9" s="698"/>
      <c r="L9" s="375"/>
      <c r="M9" s="377"/>
      <c r="N9" s="378"/>
    </row>
    <row r="10" spans="1:15">
      <c r="A10" s="373"/>
      <c r="B10" s="374"/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7"/>
      <c r="N10" s="378"/>
    </row>
    <row r="11" spans="1:15">
      <c r="A11" s="387" t="s">
        <v>90</v>
      </c>
      <c r="B11" s="388"/>
      <c r="C11" s="388"/>
      <c r="D11" s="389">
        <f>G15+G16</f>
        <v>26500</v>
      </c>
      <c r="E11" s="390"/>
      <c r="F11" s="391"/>
      <c r="G11" s="388"/>
      <c r="H11" s="388"/>
      <c r="I11" s="392" t="s">
        <v>80</v>
      </c>
      <c r="J11" s="388"/>
      <c r="K11" s="388"/>
      <c r="L11" s="393">
        <f>L15+L16</f>
        <v>0</v>
      </c>
      <c r="M11" s="391"/>
      <c r="N11" s="394"/>
    </row>
    <row r="12" spans="1:15">
      <c r="A12" s="373"/>
      <c r="B12" s="374"/>
      <c r="C12" s="375"/>
      <c r="D12" s="395"/>
      <c r="E12" s="395"/>
      <c r="F12" s="375"/>
      <c r="G12" s="375"/>
      <c r="H12" s="375"/>
      <c r="I12" s="375"/>
      <c r="J12" s="375"/>
      <c r="K12" s="377"/>
      <c r="L12" s="377"/>
      <c r="M12" s="377"/>
      <c r="N12" s="378"/>
    </row>
    <row r="13" spans="1:15">
      <c r="A13" s="396"/>
      <c r="B13" s="397" t="s">
        <v>90</v>
      </c>
      <c r="C13" s="395"/>
      <c r="D13" s="395"/>
      <c r="E13" s="395"/>
      <c r="F13" s="395"/>
      <c r="G13" s="395"/>
      <c r="H13" s="395"/>
      <c r="I13" s="395"/>
      <c r="J13" s="700" t="s">
        <v>80</v>
      </c>
      <c r="K13" s="700"/>
      <c r="L13" s="398"/>
      <c r="M13" s="398"/>
      <c r="N13" s="399"/>
    </row>
    <row r="14" spans="1:15" ht="24">
      <c r="A14" s="396"/>
      <c r="B14" s="400" t="s">
        <v>91</v>
      </c>
      <c r="C14" s="400" t="s">
        <v>92</v>
      </c>
      <c r="D14" s="400" t="s">
        <v>93</v>
      </c>
      <c r="E14" s="400" t="s">
        <v>94</v>
      </c>
      <c r="F14" s="400" t="s">
        <v>95</v>
      </c>
      <c r="G14" s="400" t="s">
        <v>96</v>
      </c>
      <c r="H14" s="395"/>
      <c r="I14" s="395"/>
      <c r="J14" s="400" t="s">
        <v>92</v>
      </c>
      <c r="K14" s="400" t="s">
        <v>63</v>
      </c>
      <c r="L14" s="701" t="s">
        <v>97</v>
      </c>
      <c r="M14" s="701"/>
      <c r="N14" s="399"/>
      <c r="O14" s="401"/>
    </row>
    <row r="15" spans="1:15" ht="19" customHeight="1">
      <c r="A15" s="373"/>
      <c r="B15" s="402">
        <f>График!AI29</f>
        <v>26</v>
      </c>
      <c r="C15" s="403" t="str">
        <f>A2</f>
        <v>ул. Набережная Ленина, 18</v>
      </c>
      <c r="D15" s="403" t="s">
        <v>98</v>
      </c>
      <c r="E15" s="404">
        <f>График!AJ29</f>
        <v>265</v>
      </c>
      <c r="F15" s="405">
        <v>100</v>
      </c>
      <c r="G15" s="406">
        <f t="shared" ref="G15:G16" si="0">E15*F15</f>
        <v>26500</v>
      </c>
      <c r="H15" s="407"/>
      <c r="I15" s="407"/>
      <c r="J15" s="403" t="str">
        <f>График!B3</f>
        <v>ул. Набережная Ленина, 18</v>
      </c>
      <c r="K15" s="408">
        <f>'Ялта, Ленина, 18'!K8</f>
        <v>0.8258131638071895</v>
      </c>
      <c r="L15" s="702"/>
      <c r="M15" s="702"/>
      <c r="N15" s="378"/>
    </row>
    <row r="16" spans="1:15" ht="19" customHeight="1">
      <c r="A16" s="396"/>
      <c r="B16" s="400"/>
      <c r="C16" s="409"/>
      <c r="D16" s="403" t="s">
        <v>98</v>
      </c>
      <c r="E16" s="410"/>
      <c r="F16" s="405"/>
      <c r="G16" s="406">
        <f t="shared" si="0"/>
        <v>0</v>
      </c>
      <c r="H16" s="395"/>
      <c r="I16" s="395"/>
      <c r="J16" s="386"/>
      <c r="K16" s="411"/>
      <c r="L16" s="703"/>
      <c r="M16" s="703"/>
      <c r="N16" s="399"/>
    </row>
    <row r="17" spans="1:14">
      <c r="A17" s="396"/>
      <c r="B17" s="395"/>
      <c r="C17" s="413"/>
      <c r="D17" s="375"/>
      <c r="E17" s="414"/>
      <c r="F17" s="414"/>
      <c r="G17" s="415"/>
      <c r="H17" s="395"/>
      <c r="I17" s="395"/>
      <c r="J17" s="395"/>
      <c r="K17" s="395"/>
      <c r="L17" s="398"/>
      <c r="M17" s="398"/>
      <c r="N17" s="399"/>
    </row>
    <row r="18" spans="1:14">
      <c r="A18" s="387" t="s">
        <v>99</v>
      </c>
      <c r="B18" s="388"/>
      <c r="C18" s="388"/>
      <c r="D18" s="416">
        <f>G23+G24</f>
        <v>97276.781999999992</v>
      </c>
      <c r="E18" s="417"/>
      <c r="F18" s="391"/>
      <c r="G18" s="391"/>
      <c r="H18" s="391"/>
      <c r="I18" s="388" t="s">
        <v>79</v>
      </c>
      <c r="J18" s="391"/>
      <c r="K18" s="391"/>
      <c r="L18" s="732">
        <f>N23</f>
        <v>28611.55243393602</v>
      </c>
      <c r="M18" s="391"/>
      <c r="N18" s="394"/>
    </row>
    <row r="19" spans="1:14">
      <c r="A19" s="419"/>
      <c r="B19" s="374"/>
      <c r="C19" s="377"/>
      <c r="D19" s="377"/>
      <c r="E19" s="377"/>
      <c r="F19" s="377"/>
      <c r="G19" s="377"/>
      <c r="H19" s="377"/>
      <c r="I19" s="377"/>
      <c r="J19" s="377"/>
      <c r="K19" s="420"/>
      <c r="L19" s="122"/>
      <c r="M19" s="122"/>
      <c r="N19" s="421"/>
    </row>
    <row r="20" spans="1:14">
      <c r="A20" s="419"/>
      <c r="B20" s="375"/>
      <c r="C20" s="374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8"/>
    </row>
    <row r="21" spans="1:14">
      <c r="A21" s="419"/>
      <c r="B21" s="374" t="s">
        <v>100</v>
      </c>
      <c r="C21" s="377"/>
      <c r="D21" s="377"/>
      <c r="E21" s="377"/>
      <c r="F21" s="377"/>
      <c r="G21" s="377"/>
      <c r="H21" s="377"/>
      <c r="I21" s="422" t="s">
        <v>101</v>
      </c>
      <c r="J21" s="423"/>
      <c r="K21" s="424"/>
      <c r="L21" s="424"/>
      <c r="M21" s="424"/>
      <c r="N21" s="425"/>
    </row>
    <row r="22" spans="1:14" ht="36">
      <c r="A22" s="426"/>
      <c r="B22" s="400" t="s">
        <v>26</v>
      </c>
      <c r="C22" s="701" t="s">
        <v>92</v>
      </c>
      <c r="D22" s="701"/>
      <c r="E22" s="400" t="s">
        <v>102</v>
      </c>
      <c r="F22" s="400" t="s">
        <v>103</v>
      </c>
      <c r="G22" s="400" t="s">
        <v>104</v>
      </c>
      <c r="H22" s="395"/>
      <c r="I22" s="400" t="s">
        <v>26</v>
      </c>
      <c r="J22" s="400" t="s">
        <v>92</v>
      </c>
      <c r="K22" s="400" t="s">
        <v>105</v>
      </c>
      <c r="L22" s="400" t="s">
        <v>106</v>
      </c>
      <c r="M22" s="400" t="s">
        <v>102</v>
      </c>
      <c r="N22" s="427" t="s">
        <v>104</v>
      </c>
    </row>
    <row r="23" spans="1:14">
      <c r="A23" s="419"/>
      <c r="B23" s="403" t="str">
        <f>A4</f>
        <v>Рогалевич Ирина</v>
      </c>
      <c r="C23" s="704" t="str">
        <f>A2</f>
        <v>ул. Набережная Ленина, 18</v>
      </c>
      <c r="D23" s="704"/>
      <c r="E23" s="408">
        <v>0.06</v>
      </c>
      <c r="F23" s="385">
        <f>'Рогалевич И. Е. '!J8</f>
        <v>1621279.7</v>
      </c>
      <c r="G23" s="428">
        <f t="shared" ref="G23:G24" si="1">F23*E23</f>
        <v>97276.781999999992</v>
      </c>
      <c r="H23" s="375"/>
      <c r="I23" s="429" t="str">
        <f>B23</f>
        <v>Рогалевич Ирина</v>
      </c>
      <c r="J23" s="430" t="str">
        <f>C23</f>
        <v>ул. Набережная Ленина, 18</v>
      </c>
      <c r="K23" s="430">
        <f>E15</f>
        <v>265</v>
      </c>
      <c r="L23" s="431">
        <f>График!AJ31</f>
        <v>719</v>
      </c>
      <c r="M23" s="408">
        <v>0.02</v>
      </c>
      <c r="N23" s="432">
        <f>'Ялта, Ленина, 18'!J8*M23*K23/L23</f>
        <v>28611.55243393602</v>
      </c>
    </row>
    <row r="24" spans="1:14">
      <c r="A24" s="426"/>
      <c r="B24" s="403" t="str">
        <f>B23</f>
        <v>Рогалевич Ирина</v>
      </c>
      <c r="C24" s="705">
        <f>C16</f>
        <v>0</v>
      </c>
      <c r="D24" s="705"/>
      <c r="E24" s="408"/>
      <c r="F24" s="433"/>
      <c r="G24" s="406">
        <f t="shared" si="1"/>
        <v>0</v>
      </c>
      <c r="H24" s="395"/>
      <c r="I24" s="434"/>
      <c r="J24" s="435"/>
      <c r="K24" s="436"/>
      <c r="L24" s="437"/>
      <c r="M24" s="438"/>
      <c r="N24" s="439" t="e">
        <f>1477363.14*M24*K24/L24</f>
        <v>#DIV/0!</v>
      </c>
    </row>
    <row r="25" spans="1:14">
      <c r="A25" s="440"/>
      <c r="B25" s="441"/>
      <c r="C25" s="441"/>
      <c r="D25" s="441"/>
      <c r="E25" s="441"/>
      <c r="F25" s="441"/>
      <c r="G25" s="441"/>
      <c r="H25" s="441"/>
      <c r="I25" s="441"/>
      <c r="J25" s="441"/>
      <c r="K25" s="441"/>
      <c r="L25" s="441"/>
      <c r="M25" s="441"/>
      <c r="N25" s="442"/>
    </row>
  </sheetData>
  <mergeCells count="20">
    <mergeCell ref="L15:M15"/>
    <mergeCell ref="L16:M16"/>
    <mergeCell ref="C22:D22"/>
    <mergeCell ref="C23:D23"/>
    <mergeCell ref="C24:D24"/>
    <mergeCell ref="D9:E9"/>
    <mergeCell ref="H9:I9"/>
    <mergeCell ref="J9:K9"/>
    <mergeCell ref="J13:K13"/>
    <mergeCell ref="L14:M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7"/>
  <sheetViews>
    <sheetView zoomScale="91" workbookViewId="0">
      <selection activeCell="P14" sqref="P14"/>
    </sheetView>
  </sheetViews>
  <sheetFormatPr baseColWidth="10" defaultColWidth="11.5" defaultRowHeight="15"/>
  <cols>
    <col min="1" max="1" width="2.33203125" style="3" customWidth="1"/>
    <col min="2" max="2" width="12.6640625" style="3" customWidth="1"/>
    <col min="3" max="3" width="18" style="3" customWidth="1"/>
    <col min="4" max="4" width="12.6640625" style="3" customWidth="1"/>
    <col min="5" max="5" width="12.5" style="3" customWidth="1"/>
    <col min="6" max="6" width="12.1640625" style="3" customWidth="1"/>
    <col min="7" max="7" width="11.5" style="3"/>
    <col min="8" max="8" width="12.6640625" style="3" customWidth="1"/>
    <col min="9" max="9" width="14.5" style="3" customWidth="1"/>
    <col min="10" max="10" width="17.83203125" style="3" customWidth="1"/>
    <col min="11" max="11" width="14.5" style="3" customWidth="1"/>
    <col min="12" max="12" width="12" style="3" customWidth="1"/>
    <col min="13" max="13" width="15.6640625" style="3" customWidth="1"/>
    <col min="14" max="14" width="14" style="3" customWidth="1"/>
  </cols>
  <sheetData>
    <row r="1" spans="1:14" ht="20" customHeight="1">
      <c r="A1" s="688" t="str">
        <f>График!B1</f>
        <v>Август, 2025</v>
      </c>
      <c r="B1" s="689"/>
      <c r="C1" s="689"/>
      <c r="D1" s="690"/>
      <c r="E1" s="345"/>
      <c r="F1" s="346"/>
      <c r="G1" s="346"/>
      <c r="H1" s="346"/>
      <c r="I1" s="346"/>
      <c r="J1" s="346"/>
      <c r="K1" s="346"/>
      <c r="L1" s="346"/>
      <c r="M1" s="346"/>
      <c r="N1" s="347"/>
    </row>
    <row r="2" spans="1:14" ht="20" customHeight="1">
      <c r="A2" s="706" t="str">
        <f>График!B3</f>
        <v>ул. Набережная Ленина, 18</v>
      </c>
      <c r="B2" s="707"/>
      <c r="C2" s="707"/>
      <c r="D2" s="443" t="str">
        <f>График!B4</f>
        <v>GL-0005</v>
      </c>
      <c r="E2" s="349"/>
      <c r="F2" s="350"/>
      <c r="G2" s="350"/>
      <c r="H2" s="350"/>
      <c r="I2" s="350"/>
      <c r="J2" s="350"/>
      <c r="K2" s="350"/>
      <c r="L2" s="350"/>
      <c r="M2" s="350"/>
      <c r="N2" s="351"/>
    </row>
    <row r="3" spans="1:14" ht="60">
      <c r="A3" s="708" t="s">
        <v>26</v>
      </c>
      <c r="B3" s="708"/>
      <c r="C3" s="708"/>
      <c r="D3" s="444" t="s">
        <v>74</v>
      </c>
      <c r="E3" s="445" t="s">
        <v>75</v>
      </c>
      <c r="F3" s="360" t="s">
        <v>76</v>
      </c>
      <c r="G3" s="354" t="s">
        <v>77</v>
      </c>
      <c r="H3" s="355" t="s">
        <v>78</v>
      </c>
      <c r="I3" s="356" t="s">
        <v>79</v>
      </c>
      <c r="J3" s="356" t="s">
        <v>80</v>
      </c>
      <c r="K3" s="354" t="s">
        <v>81</v>
      </c>
      <c r="L3" s="357" t="s">
        <v>82</v>
      </c>
      <c r="M3" s="360" t="s">
        <v>83</v>
      </c>
      <c r="N3" s="361" t="s">
        <v>84</v>
      </c>
    </row>
    <row r="4" spans="1:14" ht="18" customHeight="1">
      <c r="A4" s="709" t="str">
        <f>График!B27</f>
        <v>Яковенко Алина</v>
      </c>
      <c r="B4" s="710"/>
      <c r="C4" s="710"/>
      <c r="D4" s="446">
        <f>17400+23326.85</f>
        <v>40726.85</v>
      </c>
      <c r="E4" s="447"/>
      <c r="F4" s="448">
        <f>H8+H9</f>
        <v>9811.85</v>
      </c>
      <c r="G4" s="449">
        <f>D13</f>
        <v>23100</v>
      </c>
      <c r="H4" s="450">
        <f>D20</f>
        <v>78328.319999999992</v>
      </c>
      <c r="I4" s="451">
        <f>L20</f>
        <v>24940.636272600834</v>
      </c>
      <c r="J4" s="452">
        <f>L13</f>
        <v>0</v>
      </c>
      <c r="K4" s="453">
        <f>F4+G4+H4+I4+J4</f>
        <v>136180.80627260081</v>
      </c>
      <c r="L4" s="454">
        <f>C8+C9+C11+C10</f>
        <v>15454</v>
      </c>
      <c r="M4" s="455">
        <f>K4-L4-D4-E4</f>
        <v>79999.956272600801</v>
      </c>
      <c r="N4" s="372"/>
    </row>
    <row r="5" spans="1:14">
      <c r="A5" s="373"/>
      <c r="B5" s="374"/>
      <c r="C5" s="375"/>
      <c r="D5" s="375"/>
      <c r="E5" s="375"/>
      <c r="F5" s="375"/>
      <c r="G5" s="375"/>
      <c r="H5" s="375"/>
      <c r="I5" s="375"/>
      <c r="J5" s="375"/>
      <c r="K5" s="376"/>
      <c r="L5" s="375"/>
      <c r="M5" s="377"/>
      <c r="N5" s="378"/>
    </row>
    <row r="6" spans="1:14">
      <c r="A6" s="373"/>
      <c r="B6" s="374" t="s">
        <v>82</v>
      </c>
      <c r="C6" s="375"/>
      <c r="D6" s="375"/>
      <c r="E6" s="375"/>
      <c r="F6" s="375"/>
      <c r="G6" s="374" t="s">
        <v>85</v>
      </c>
      <c r="H6" s="375"/>
      <c r="I6" s="375"/>
      <c r="J6" s="375"/>
      <c r="K6" s="375"/>
      <c r="L6" s="375"/>
      <c r="M6" s="377"/>
      <c r="N6" s="378"/>
    </row>
    <row r="7" spans="1:14" ht="20" customHeight="1">
      <c r="A7" s="379"/>
      <c r="B7" s="380" t="s">
        <v>27</v>
      </c>
      <c r="C7" s="380" t="s">
        <v>86</v>
      </c>
      <c r="D7" s="697" t="s">
        <v>87</v>
      </c>
      <c r="E7" s="697"/>
      <c r="F7" s="381"/>
      <c r="G7" s="380" t="s">
        <v>27</v>
      </c>
      <c r="H7" s="697" t="s">
        <v>86</v>
      </c>
      <c r="I7" s="697"/>
      <c r="J7" s="697" t="s">
        <v>87</v>
      </c>
      <c r="K7" s="697"/>
      <c r="L7" s="381"/>
      <c r="M7" s="382"/>
      <c r="N7" s="383"/>
    </row>
    <row r="8" spans="1:14" ht="18" customHeight="1">
      <c r="A8" s="373"/>
      <c r="B8" s="384">
        <v>45898</v>
      </c>
      <c r="C8" s="385">
        <f>2600+2600+885</f>
        <v>6085</v>
      </c>
      <c r="D8" s="698" t="s">
        <v>88</v>
      </c>
      <c r="E8" s="698"/>
      <c r="F8" s="375"/>
      <c r="G8" s="384">
        <v>45898</v>
      </c>
      <c r="H8" s="711">
        <v>6811.85</v>
      </c>
      <c r="I8" s="711"/>
      <c r="J8" s="698" t="s">
        <v>107</v>
      </c>
      <c r="K8" s="698"/>
      <c r="L8" s="375"/>
      <c r="M8" s="377"/>
      <c r="N8" s="378"/>
    </row>
    <row r="9" spans="1:14" ht="18" customHeight="1">
      <c r="A9" s="373"/>
      <c r="B9" s="384">
        <v>45898</v>
      </c>
      <c r="C9" s="385">
        <v>2085</v>
      </c>
      <c r="D9" s="698" t="s">
        <v>108</v>
      </c>
      <c r="E9" s="698"/>
      <c r="F9" s="375"/>
      <c r="G9" s="384">
        <v>45902</v>
      </c>
      <c r="H9" s="711">
        <v>3000</v>
      </c>
      <c r="I9" s="711"/>
      <c r="J9" s="698" t="s">
        <v>109</v>
      </c>
      <c r="K9" s="698"/>
      <c r="L9" s="375"/>
      <c r="M9" s="377"/>
      <c r="N9" s="378"/>
    </row>
    <row r="10" spans="1:14" ht="18" customHeight="1">
      <c r="A10" s="373"/>
      <c r="B10" s="384">
        <v>45898</v>
      </c>
      <c r="C10" s="385">
        <v>5100</v>
      </c>
      <c r="D10" s="712" t="s">
        <v>110</v>
      </c>
      <c r="E10" s="713"/>
      <c r="F10" s="375"/>
      <c r="G10" s="456"/>
      <c r="H10" s="457"/>
      <c r="I10" s="457"/>
      <c r="J10" s="458"/>
      <c r="K10" s="458"/>
      <c r="L10" s="375"/>
      <c r="M10" s="377"/>
      <c r="N10" s="378"/>
    </row>
    <row r="11" spans="1:14" ht="25" customHeight="1">
      <c r="A11" s="373"/>
      <c r="B11" s="384">
        <v>45898</v>
      </c>
      <c r="C11" s="385">
        <v>2184</v>
      </c>
      <c r="D11" s="698" t="s">
        <v>111</v>
      </c>
      <c r="E11" s="698"/>
      <c r="F11" s="375"/>
      <c r="G11" s="456"/>
      <c r="H11" s="459"/>
      <c r="I11" s="459"/>
      <c r="J11" s="458"/>
      <c r="K11" s="458"/>
      <c r="L11" s="375"/>
      <c r="M11" s="377"/>
      <c r="N11" s="378"/>
    </row>
    <row r="12" spans="1:14" ht="34" customHeight="1">
      <c r="A12" s="373"/>
      <c r="B12" s="374"/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7"/>
      <c r="N12" s="378"/>
    </row>
    <row r="13" spans="1:14">
      <c r="A13" s="387" t="s">
        <v>90</v>
      </c>
      <c r="B13" s="388"/>
      <c r="C13" s="388"/>
      <c r="D13" s="389">
        <f>G17</f>
        <v>23100</v>
      </c>
      <c r="E13" s="390"/>
      <c r="F13" s="391"/>
      <c r="G13" s="388"/>
      <c r="H13" s="388"/>
      <c r="I13" s="393" t="s">
        <v>80</v>
      </c>
      <c r="J13" s="388"/>
      <c r="K13" s="388"/>
      <c r="L13" s="392">
        <f>L17+L18</f>
        <v>0</v>
      </c>
      <c r="M13" s="391"/>
      <c r="N13" s="394"/>
    </row>
    <row r="14" spans="1:14">
      <c r="A14" s="373"/>
      <c r="B14" s="374"/>
      <c r="C14" s="375"/>
      <c r="D14" s="395"/>
      <c r="E14" s="395"/>
      <c r="F14" s="375"/>
      <c r="G14" s="375"/>
      <c r="H14" s="375"/>
      <c r="I14" s="375"/>
      <c r="J14" s="375"/>
      <c r="K14" s="377"/>
      <c r="L14" s="377"/>
      <c r="M14" s="377"/>
      <c r="N14" s="378"/>
    </row>
    <row r="15" spans="1:14">
      <c r="A15" s="396"/>
      <c r="B15" s="397" t="s">
        <v>90</v>
      </c>
      <c r="C15" s="395"/>
      <c r="D15" s="395"/>
      <c r="E15" s="395"/>
      <c r="F15" s="395"/>
      <c r="G15" s="395"/>
      <c r="H15" s="395"/>
      <c r="I15" s="395"/>
      <c r="J15" s="700" t="s">
        <v>80</v>
      </c>
      <c r="K15" s="700"/>
      <c r="L15" s="398"/>
      <c r="M15" s="398"/>
      <c r="N15" s="399"/>
    </row>
    <row r="16" spans="1:14" ht="24">
      <c r="A16" s="396"/>
      <c r="B16" s="400" t="s">
        <v>91</v>
      </c>
      <c r="C16" s="400" t="s">
        <v>92</v>
      </c>
      <c r="D16" s="400" t="s">
        <v>93</v>
      </c>
      <c r="E16" s="400" t="s">
        <v>94</v>
      </c>
      <c r="F16" s="400" t="s">
        <v>95</v>
      </c>
      <c r="G16" s="400" t="s">
        <v>96</v>
      </c>
      <c r="H16" s="395"/>
      <c r="I16" s="395"/>
      <c r="J16" s="400" t="s">
        <v>92</v>
      </c>
      <c r="K16" s="400" t="s">
        <v>63</v>
      </c>
      <c r="L16" s="400" t="s">
        <v>97</v>
      </c>
      <c r="M16" s="398"/>
      <c r="N16" s="399"/>
    </row>
    <row r="17" spans="1:14" ht="17" customHeight="1">
      <c r="A17" s="373"/>
      <c r="B17" s="402">
        <f>График!AI27</f>
        <v>21</v>
      </c>
      <c r="C17" s="403" t="str">
        <f>A2</f>
        <v>ул. Набережная Ленина, 18</v>
      </c>
      <c r="D17" s="403" t="s">
        <v>98</v>
      </c>
      <c r="E17" s="404">
        <f>График!AJ27</f>
        <v>231</v>
      </c>
      <c r="F17" s="405">
        <v>100</v>
      </c>
      <c r="G17" s="406">
        <f>E17*F17</f>
        <v>23100</v>
      </c>
      <c r="H17" s="407"/>
      <c r="I17" s="407"/>
      <c r="J17" s="403" t="str">
        <f>График!B3</f>
        <v>ул. Набережная Ленина, 18</v>
      </c>
      <c r="K17" s="408">
        <f>'Ялта, Ленина, 18'!K8</f>
        <v>0.8258131638071895</v>
      </c>
      <c r="L17" s="405">
        <v>0</v>
      </c>
      <c r="M17" s="377"/>
      <c r="N17" s="378"/>
    </row>
    <row r="18" spans="1:14" ht="17" customHeight="1">
      <c r="A18" s="396"/>
      <c r="B18" s="400"/>
      <c r="C18" s="409"/>
      <c r="D18" s="403"/>
      <c r="E18" s="410"/>
      <c r="F18" s="405"/>
      <c r="G18" s="406"/>
      <c r="H18" s="395"/>
      <c r="I18" s="395"/>
      <c r="J18" s="386"/>
      <c r="K18" s="411"/>
      <c r="L18" s="412"/>
      <c r="M18" s="398"/>
      <c r="N18" s="399"/>
    </row>
    <row r="19" spans="1:14">
      <c r="A19" s="396"/>
      <c r="B19" s="395"/>
      <c r="C19" s="413"/>
      <c r="D19" s="375"/>
      <c r="E19" s="414"/>
      <c r="F19" s="414"/>
      <c r="G19" s="415"/>
      <c r="H19" s="395"/>
      <c r="I19" s="395"/>
      <c r="J19" s="395"/>
      <c r="K19" s="395"/>
      <c r="L19" s="398"/>
      <c r="M19" s="398"/>
      <c r="N19" s="399"/>
    </row>
    <row r="20" spans="1:14">
      <c r="A20" s="387" t="s">
        <v>99</v>
      </c>
      <c r="B20" s="388"/>
      <c r="C20" s="388"/>
      <c r="D20" s="416">
        <f>G25</f>
        <v>78328.319999999992</v>
      </c>
      <c r="E20" s="417"/>
      <c r="F20" s="391"/>
      <c r="G20" s="391"/>
      <c r="H20" s="391"/>
      <c r="I20" s="388" t="s">
        <v>79</v>
      </c>
      <c r="J20" s="391"/>
      <c r="K20" s="391"/>
      <c r="L20" s="460">
        <f>N25</f>
        <v>24940.636272600834</v>
      </c>
      <c r="M20" s="391"/>
      <c r="N20" s="394"/>
    </row>
    <row r="21" spans="1:14">
      <c r="A21" s="419"/>
      <c r="B21" s="374"/>
      <c r="C21" s="377"/>
      <c r="D21" s="377"/>
      <c r="E21" s="377"/>
      <c r="F21" s="377"/>
      <c r="G21" s="377"/>
      <c r="H21" s="377"/>
      <c r="I21" s="377"/>
      <c r="J21" s="377"/>
      <c r="K21" s="420"/>
      <c r="L21" s="122"/>
      <c r="M21" s="122"/>
      <c r="N21" s="421"/>
    </row>
    <row r="22" spans="1:14">
      <c r="A22" s="419"/>
      <c r="B22" s="375"/>
      <c r="C22" s="374"/>
      <c r="D22" s="377"/>
      <c r="E22" s="377"/>
      <c r="F22" s="377"/>
      <c r="G22" s="377"/>
      <c r="H22" s="377"/>
      <c r="I22" s="377"/>
      <c r="J22" s="377"/>
      <c r="K22" s="377"/>
      <c r="L22" s="377"/>
      <c r="M22" s="377"/>
      <c r="N22" s="378"/>
    </row>
    <row r="23" spans="1:14">
      <c r="A23" s="419"/>
      <c r="B23" s="374" t="s">
        <v>100</v>
      </c>
      <c r="C23" s="377"/>
      <c r="D23" s="377"/>
      <c r="E23" s="377"/>
      <c r="F23" s="377"/>
      <c r="G23" s="377"/>
      <c r="H23" s="377"/>
      <c r="I23" s="422" t="s">
        <v>101</v>
      </c>
      <c r="J23" s="423"/>
      <c r="K23" s="424"/>
      <c r="L23" s="424"/>
      <c r="M23" s="424"/>
      <c r="N23" s="425"/>
    </row>
    <row r="24" spans="1:14" ht="36">
      <c r="A24" s="426"/>
      <c r="B24" s="400" t="s">
        <v>26</v>
      </c>
      <c r="C24" s="701" t="s">
        <v>92</v>
      </c>
      <c r="D24" s="701"/>
      <c r="E24" s="400" t="s">
        <v>102</v>
      </c>
      <c r="F24" s="400" t="s">
        <v>103</v>
      </c>
      <c r="G24" s="400" t="s">
        <v>104</v>
      </c>
      <c r="H24" s="395"/>
      <c r="I24" s="400" t="s">
        <v>26</v>
      </c>
      <c r="J24" s="400" t="s">
        <v>92</v>
      </c>
      <c r="K24" s="400" t="s">
        <v>105</v>
      </c>
      <c r="L24" s="400" t="s">
        <v>106</v>
      </c>
      <c r="M24" s="400" t="s">
        <v>102</v>
      </c>
      <c r="N24" s="427" t="s">
        <v>104</v>
      </c>
    </row>
    <row r="25" spans="1:14">
      <c r="A25" s="419"/>
      <c r="B25" s="403" t="str">
        <f>A4</f>
        <v>Яковенко Алина</v>
      </c>
      <c r="C25" s="704" t="str">
        <f>A2</f>
        <v>ул. Набережная Ленина, 18</v>
      </c>
      <c r="D25" s="704"/>
      <c r="E25" s="408">
        <v>0.06</v>
      </c>
      <c r="F25" s="385">
        <f>'Яковенко А. К. '!J8</f>
        <v>1305472</v>
      </c>
      <c r="G25" s="428">
        <f>F25*E25</f>
        <v>78328.319999999992</v>
      </c>
      <c r="H25" s="375"/>
      <c r="I25" s="429" t="str">
        <f>B25</f>
        <v>Яковенко Алина</v>
      </c>
      <c r="J25" s="430" t="str">
        <f>C25</f>
        <v>ул. Набережная Ленина, 18</v>
      </c>
      <c r="K25" s="430">
        <f>E17</f>
        <v>231</v>
      </c>
      <c r="L25" s="431">
        <f>График!AJ31</f>
        <v>719</v>
      </c>
      <c r="M25" s="408">
        <v>0.02</v>
      </c>
      <c r="N25" s="432">
        <f>'Ялта, Ленина, 18'!J8*M25*K25/L25</f>
        <v>24940.636272600834</v>
      </c>
    </row>
    <row r="26" spans="1:14">
      <c r="A26" s="426"/>
      <c r="B26" s="403" t="str">
        <f>B25</f>
        <v>Яковенко Алина</v>
      </c>
      <c r="C26" s="705"/>
      <c r="D26" s="705"/>
      <c r="E26" s="408"/>
      <c r="F26" s="433"/>
      <c r="G26" s="406"/>
      <c r="H26" s="395"/>
      <c r="I26" s="434"/>
      <c r="J26" s="435"/>
      <c r="K26" s="436"/>
      <c r="L26" s="437"/>
      <c r="M26" s="438"/>
      <c r="N26" s="439"/>
    </row>
    <row r="27" spans="1:14">
      <c r="A27" s="440"/>
      <c r="B27" s="441"/>
      <c r="C27" s="441"/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2"/>
    </row>
  </sheetData>
  <mergeCells count="19">
    <mergeCell ref="J15:K15"/>
    <mergeCell ref="C24:D24"/>
    <mergeCell ref="C25:D25"/>
    <mergeCell ref="C26:D26"/>
    <mergeCell ref="D9:E9"/>
    <mergeCell ref="H9:I9"/>
    <mergeCell ref="J9:K9"/>
    <mergeCell ref="D10:E10"/>
    <mergeCell ref="D11:E11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6"/>
  <sheetViews>
    <sheetView zoomScale="91" workbookViewId="0">
      <selection activeCell="Q27" sqref="Q27"/>
    </sheetView>
  </sheetViews>
  <sheetFormatPr baseColWidth="10" defaultColWidth="11.5" defaultRowHeight="15"/>
  <cols>
    <col min="1" max="1" width="2.33203125" style="3" customWidth="1"/>
    <col min="2" max="2" width="17.1640625" style="3" customWidth="1"/>
    <col min="3" max="3" width="17.5" style="3" customWidth="1"/>
    <col min="4" max="4" width="11.5" style="3"/>
    <col min="5" max="5" width="12" style="3" customWidth="1"/>
    <col min="6" max="6" width="12.1640625" style="3" customWidth="1"/>
    <col min="7" max="8" width="13.83203125" style="3" customWidth="1"/>
    <col min="9" max="9" width="17.33203125" style="3" customWidth="1"/>
    <col min="10" max="10" width="17.6640625" style="3" customWidth="1"/>
    <col min="11" max="11" width="11.83203125" style="3" customWidth="1"/>
    <col min="12" max="12" width="11.5" style="3"/>
    <col min="13" max="14" width="13.33203125" style="3" customWidth="1"/>
  </cols>
  <sheetData>
    <row r="1" spans="1:19" ht="20" customHeight="1">
      <c r="A1" s="688" t="str">
        <f>График!B1</f>
        <v>Август, 2025</v>
      </c>
      <c r="B1" s="689"/>
      <c r="C1" s="689"/>
      <c r="D1" s="690"/>
      <c r="E1" s="345"/>
      <c r="F1" s="346"/>
      <c r="G1" s="346"/>
      <c r="H1" s="346"/>
      <c r="I1" s="346"/>
      <c r="J1" s="346"/>
      <c r="K1" s="346"/>
      <c r="L1" s="346"/>
      <c r="M1" s="346"/>
      <c r="N1" s="347"/>
    </row>
    <row r="2" spans="1:19" ht="17" customHeight="1">
      <c r="A2" s="691" t="str">
        <f>График!B3</f>
        <v>ул. Набережная Ленина, 18</v>
      </c>
      <c r="B2" s="692"/>
      <c r="C2" s="692"/>
      <c r="D2" s="348" t="str">
        <f>График!B4</f>
        <v>GL-0005</v>
      </c>
      <c r="E2" s="349"/>
      <c r="F2" s="350"/>
      <c r="G2" s="350"/>
      <c r="H2" s="350"/>
      <c r="I2" s="350"/>
      <c r="J2" s="350"/>
      <c r="K2" s="350"/>
      <c r="L2" s="350"/>
      <c r="M2" s="350"/>
      <c r="N2" s="351"/>
    </row>
    <row r="3" spans="1:19" ht="75">
      <c r="A3" s="693" t="s">
        <v>26</v>
      </c>
      <c r="B3" s="694"/>
      <c r="C3" s="694"/>
      <c r="D3" s="352" t="s">
        <v>74</v>
      </c>
      <c r="E3" s="352" t="s">
        <v>75</v>
      </c>
      <c r="F3" s="353" t="s">
        <v>76</v>
      </c>
      <c r="G3" s="354" t="s">
        <v>77</v>
      </c>
      <c r="H3" s="355" t="s">
        <v>78</v>
      </c>
      <c r="I3" s="356" t="s">
        <v>79</v>
      </c>
      <c r="J3" s="357" t="s">
        <v>80</v>
      </c>
      <c r="K3" s="358" t="s">
        <v>81</v>
      </c>
      <c r="L3" s="359" t="s">
        <v>82</v>
      </c>
      <c r="M3" s="461" t="s">
        <v>83</v>
      </c>
      <c r="N3" s="361" t="s">
        <v>84</v>
      </c>
    </row>
    <row r="4" spans="1:19" ht="19" customHeight="1">
      <c r="A4" s="695" t="str">
        <f>График!B28</f>
        <v>Уразгильдеева Екатерина</v>
      </c>
      <c r="B4" s="696"/>
      <c r="C4" s="696"/>
      <c r="D4" s="462">
        <f>17400*2</f>
        <v>34800</v>
      </c>
      <c r="E4" s="463"/>
      <c r="F4" s="464">
        <f>H8+H9</f>
        <v>0</v>
      </c>
      <c r="G4" s="449">
        <f>D12</f>
        <v>22300</v>
      </c>
      <c r="H4" s="450">
        <f>D19</f>
        <v>57282.137999999999</v>
      </c>
      <c r="I4" s="451">
        <f>L19</f>
        <v>24076.891293463144</v>
      </c>
      <c r="J4" s="465">
        <f>L12</f>
        <v>0</v>
      </c>
      <c r="K4" s="369">
        <f>H4+J4+G4+F4+I4</f>
        <v>103659.02929346316</v>
      </c>
      <c r="L4" s="370">
        <f>C8+C9+C10</f>
        <v>7744</v>
      </c>
      <c r="M4" s="371">
        <f>K4-L4-D4-E4</f>
        <v>61115.029293463158</v>
      </c>
      <c r="N4" s="372"/>
      <c r="S4" t="s">
        <v>112</v>
      </c>
    </row>
    <row r="5" spans="1:19">
      <c r="A5" s="373"/>
      <c r="B5" s="374"/>
      <c r="C5" s="375"/>
      <c r="D5" s="375"/>
      <c r="E5" s="375"/>
      <c r="F5" s="375"/>
      <c r="G5" s="375"/>
      <c r="H5" s="375"/>
      <c r="I5" s="375"/>
      <c r="J5" s="375"/>
      <c r="K5" s="376"/>
      <c r="L5" s="375"/>
      <c r="M5" s="377"/>
      <c r="N5" s="378"/>
    </row>
    <row r="6" spans="1:19">
      <c r="A6" s="373"/>
      <c r="B6" s="374" t="s">
        <v>82</v>
      </c>
      <c r="C6" s="375"/>
      <c r="D6" s="375"/>
      <c r="E6" s="375"/>
      <c r="F6" s="375"/>
      <c r="G6" s="374" t="s">
        <v>85</v>
      </c>
      <c r="H6" s="375"/>
      <c r="I6" s="375"/>
      <c r="J6" s="375"/>
      <c r="K6" s="375"/>
      <c r="L6" s="375"/>
      <c r="M6" s="377"/>
      <c r="N6" s="378"/>
    </row>
    <row r="7" spans="1:19">
      <c r="A7" s="379"/>
      <c r="B7" s="380" t="s">
        <v>27</v>
      </c>
      <c r="C7" s="380" t="s">
        <v>86</v>
      </c>
      <c r="D7" s="697" t="s">
        <v>87</v>
      </c>
      <c r="E7" s="697"/>
      <c r="F7" s="381"/>
      <c r="G7" s="380" t="s">
        <v>27</v>
      </c>
      <c r="H7" s="697" t="s">
        <v>86</v>
      </c>
      <c r="I7" s="697"/>
      <c r="J7" s="697" t="s">
        <v>87</v>
      </c>
      <c r="K7" s="697"/>
      <c r="L7" s="381"/>
      <c r="M7" s="382"/>
      <c r="N7" s="383"/>
    </row>
    <row r="8" spans="1:19" ht="20" customHeight="1">
      <c r="A8" s="373"/>
      <c r="B8" s="384">
        <v>45900</v>
      </c>
      <c r="C8" s="385">
        <f>2600*2</f>
        <v>5200</v>
      </c>
      <c r="D8" s="698" t="s">
        <v>113</v>
      </c>
      <c r="E8" s="698"/>
      <c r="F8" s="375"/>
      <c r="G8" s="384"/>
      <c r="H8" s="711"/>
      <c r="I8" s="711"/>
      <c r="J8" s="698"/>
      <c r="K8" s="698"/>
      <c r="L8" s="375"/>
      <c r="M8" s="377"/>
      <c r="N8" s="378"/>
    </row>
    <row r="9" spans="1:19" ht="25" customHeight="1">
      <c r="A9" s="373"/>
      <c r="B9" s="384">
        <v>45900</v>
      </c>
      <c r="C9" s="385">
        <v>2544</v>
      </c>
      <c r="D9" s="698" t="s">
        <v>137</v>
      </c>
      <c r="E9" s="698"/>
      <c r="F9" s="375"/>
      <c r="G9" s="384"/>
      <c r="H9" s="711"/>
      <c r="I9" s="711"/>
      <c r="J9" s="698"/>
      <c r="K9" s="698"/>
      <c r="L9" s="375"/>
      <c r="M9" s="377"/>
      <c r="N9" s="378"/>
    </row>
    <row r="10" spans="1:19" ht="20" customHeight="1">
      <c r="A10" s="373"/>
      <c r="B10" s="384"/>
      <c r="C10" s="385"/>
      <c r="D10" s="698"/>
      <c r="E10" s="698"/>
      <c r="F10" s="375"/>
      <c r="G10" s="456"/>
      <c r="H10" s="459"/>
      <c r="I10" s="459"/>
      <c r="J10" s="458"/>
      <c r="K10" s="458"/>
      <c r="L10" s="375"/>
      <c r="M10" s="377"/>
      <c r="N10" s="378"/>
    </row>
    <row r="11" spans="1:19" ht="34" customHeight="1">
      <c r="A11" s="373"/>
      <c r="B11" s="374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7"/>
      <c r="N11" s="378"/>
    </row>
    <row r="12" spans="1:19">
      <c r="A12" s="387" t="s">
        <v>90</v>
      </c>
      <c r="B12" s="388"/>
      <c r="C12" s="388"/>
      <c r="D12" s="389">
        <f>G16</f>
        <v>22300</v>
      </c>
      <c r="E12" s="390"/>
      <c r="F12" s="391"/>
      <c r="G12" s="388"/>
      <c r="H12" s="388"/>
      <c r="I12" s="392" t="s">
        <v>80</v>
      </c>
      <c r="J12" s="388"/>
      <c r="K12" s="388"/>
      <c r="L12" s="393">
        <f>L16+L17</f>
        <v>0</v>
      </c>
      <c r="M12" s="391"/>
      <c r="N12" s="394"/>
    </row>
    <row r="13" spans="1:19">
      <c r="A13" s="373"/>
      <c r="B13" s="374"/>
      <c r="C13" s="375"/>
      <c r="D13" s="395"/>
      <c r="E13" s="395"/>
      <c r="F13" s="375"/>
      <c r="G13" s="375"/>
      <c r="H13" s="375"/>
      <c r="I13" s="375"/>
      <c r="J13" s="375"/>
      <c r="K13" s="377"/>
      <c r="L13" s="377"/>
      <c r="M13" s="377"/>
      <c r="N13" s="378"/>
    </row>
    <row r="14" spans="1:19">
      <c r="A14" s="396"/>
      <c r="B14" s="397" t="s">
        <v>90</v>
      </c>
      <c r="C14" s="395"/>
      <c r="D14" s="395"/>
      <c r="E14" s="395"/>
      <c r="F14" s="395"/>
      <c r="G14" s="395"/>
      <c r="H14" s="395"/>
      <c r="I14" s="395"/>
      <c r="J14" s="700" t="s">
        <v>80</v>
      </c>
      <c r="K14" s="700"/>
      <c r="L14" s="398"/>
      <c r="M14" s="398"/>
      <c r="N14" s="399"/>
    </row>
    <row r="15" spans="1:19" ht="24">
      <c r="A15" s="396"/>
      <c r="B15" s="400" t="s">
        <v>91</v>
      </c>
      <c r="C15" s="400" t="s">
        <v>92</v>
      </c>
      <c r="D15" s="400" t="s">
        <v>93</v>
      </c>
      <c r="E15" s="400" t="s">
        <v>94</v>
      </c>
      <c r="F15" s="400" t="s">
        <v>95</v>
      </c>
      <c r="G15" s="400" t="s">
        <v>96</v>
      </c>
      <c r="H15" s="395"/>
      <c r="I15" s="395"/>
      <c r="J15" s="400" t="s">
        <v>92</v>
      </c>
      <c r="K15" s="400" t="s">
        <v>63</v>
      </c>
      <c r="L15" s="400" t="s">
        <v>97</v>
      </c>
      <c r="M15" s="398"/>
      <c r="N15" s="399"/>
    </row>
    <row r="16" spans="1:19">
      <c r="A16" s="373"/>
      <c r="B16" s="402">
        <f>График!AI28</f>
        <v>18</v>
      </c>
      <c r="C16" s="403" t="str">
        <f>A2</f>
        <v>ул. Набережная Ленина, 18</v>
      </c>
      <c r="D16" s="403" t="s">
        <v>98</v>
      </c>
      <c r="E16" s="404">
        <f>График!AJ28</f>
        <v>223</v>
      </c>
      <c r="F16" s="405">
        <v>100</v>
      </c>
      <c r="G16" s="406">
        <f>E16*F16</f>
        <v>22300</v>
      </c>
      <c r="H16" s="407"/>
      <c r="I16" s="407"/>
      <c r="J16" s="403" t="str">
        <f>График!B3</f>
        <v>ул. Набережная Ленина, 18</v>
      </c>
      <c r="K16" s="408">
        <f>'Ялта, Ленина, 18'!K8</f>
        <v>0.8258131638071895</v>
      </c>
      <c r="L16" s="405">
        <v>0</v>
      </c>
      <c r="M16" s="377"/>
      <c r="N16" s="378"/>
    </row>
    <row r="17" spans="1:14">
      <c r="A17" s="396"/>
      <c r="B17" s="400"/>
      <c r="C17" s="409"/>
      <c r="D17" s="403"/>
      <c r="E17" s="410"/>
      <c r="F17" s="405"/>
      <c r="G17" s="406"/>
      <c r="H17" s="395"/>
      <c r="I17" s="395"/>
      <c r="J17" s="386"/>
      <c r="K17" s="411"/>
      <c r="L17" s="412"/>
      <c r="M17" s="398"/>
      <c r="N17" s="399"/>
    </row>
    <row r="18" spans="1:14">
      <c r="A18" s="396"/>
      <c r="B18" s="395"/>
      <c r="C18" s="413"/>
      <c r="D18" s="375"/>
      <c r="E18" s="414"/>
      <c r="F18" s="414"/>
      <c r="G18" s="415"/>
      <c r="H18" s="395"/>
      <c r="I18" s="395"/>
      <c r="J18" s="395"/>
      <c r="K18" s="395"/>
      <c r="L18" s="398"/>
      <c r="M18" s="398"/>
      <c r="N18" s="399"/>
    </row>
    <row r="19" spans="1:14">
      <c r="A19" s="387" t="s">
        <v>99</v>
      </c>
      <c r="B19" s="388"/>
      <c r="C19" s="388"/>
      <c r="D19" s="416">
        <f>G24</f>
        <v>57282.137999999999</v>
      </c>
      <c r="E19" s="417"/>
      <c r="F19" s="391"/>
      <c r="G19" s="391"/>
      <c r="H19" s="391"/>
      <c r="I19" s="388" t="s">
        <v>79</v>
      </c>
      <c r="J19" s="391"/>
      <c r="K19" s="391"/>
      <c r="L19" s="418">
        <f>N24</f>
        <v>24076.891293463144</v>
      </c>
      <c r="M19" s="391"/>
      <c r="N19" s="394"/>
    </row>
    <row r="20" spans="1:14">
      <c r="A20" s="419"/>
      <c r="B20" s="374"/>
      <c r="C20" s="377"/>
      <c r="D20" s="377"/>
      <c r="E20" s="377"/>
      <c r="F20" s="377"/>
      <c r="G20" s="377"/>
      <c r="H20" s="377"/>
      <c r="I20" s="377"/>
      <c r="J20" s="377"/>
      <c r="K20" s="420"/>
      <c r="L20" s="122"/>
      <c r="M20" s="122"/>
      <c r="N20" s="421"/>
    </row>
    <row r="21" spans="1:14">
      <c r="A21" s="419"/>
      <c r="B21" s="375"/>
      <c r="C21" s="374"/>
      <c r="D21" s="377"/>
      <c r="E21" s="377"/>
      <c r="F21" s="377"/>
      <c r="G21" s="377"/>
      <c r="H21" s="377"/>
      <c r="I21" s="377"/>
      <c r="J21" s="377"/>
      <c r="K21" s="377"/>
      <c r="L21" s="377"/>
      <c r="M21" s="377"/>
      <c r="N21" s="378"/>
    </row>
    <row r="22" spans="1:14">
      <c r="A22" s="419"/>
      <c r="B22" s="374" t="s">
        <v>100</v>
      </c>
      <c r="C22" s="377"/>
      <c r="D22" s="377"/>
      <c r="E22" s="377"/>
      <c r="F22" s="377"/>
      <c r="G22" s="377"/>
      <c r="H22" s="377"/>
      <c r="I22" s="422" t="s">
        <v>101</v>
      </c>
      <c r="J22" s="423"/>
      <c r="K22" s="424"/>
      <c r="L22" s="424"/>
      <c r="M22" s="424"/>
      <c r="N22" s="425"/>
    </row>
    <row r="23" spans="1:14" ht="36">
      <c r="A23" s="426"/>
      <c r="B23" s="400" t="s">
        <v>26</v>
      </c>
      <c r="C23" s="701" t="s">
        <v>92</v>
      </c>
      <c r="D23" s="701"/>
      <c r="E23" s="400" t="s">
        <v>102</v>
      </c>
      <c r="F23" s="400" t="s">
        <v>103</v>
      </c>
      <c r="G23" s="400" t="s">
        <v>104</v>
      </c>
      <c r="H23" s="395"/>
      <c r="I23" s="400" t="s">
        <v>26</v>
      </c>
      <c r="J23" s="400" t="s">
        <v>92</v>
      </c>
      <c r="K23" s="400" t="s">
        <v>105</v>
      </c>
      <c r="L23" s="400" t="s">
        <v>106</v>
      </c>
      <c r="M23" s="400" t="s">
        <v>102</v>
      </c>
      <c r="N23" s="427" t="s">
        <v>104</v>
      </c>
    </row>
    <row r="24" spans="1:14">
      <c r="A24" s="419"/>
      <c r="B24" s="403" t="str">
        <f>A4</f>
        <v>Уразгильдеева Екатерина</v>
      </c>
      <c r="C24" s="704" t="str">
        <f>A2</f>
        <v>ул. Набережная Ленина, 18</v>
      </c>
      <c r="D24" s="704"/>
      <c r="E24" s="408">
        <v>0.06</v>
      </c>
      <c r="F24" s="385">
        <f>'Уразгильдеева Е. Р. '!J8</f>
        <v>954702.3</v>
      </c>
      <c r="G24" s="428">
        <f>F24*E24</f>
        <v>57282.137999999999</v>
      </c>
      <c r="H24" s="375"/>
      <c r="I24" s="429" t="str">
        <f>B24</f>
        <v>Уразгильдеева Екатерина</v>
      </c>
      <c r="J24" s="430" t="str">
        <f>C24</f>
        <v>ул. Набережная Ленина, 18</v>
      </c>
      <c r="K24" s="430">
        <f>E16</f>
        <v>223</v>
      </c>
      <c r="L24" s="431">
        <f>График!AJ31</f>
        <v>719</v>
      </c>
      <c r="M24" s="408">
        <v>0.02</v>
      </c>
      <c r="N24" s="432">
        <f>'Ялта, Ленина, 18'!J8*M24*K24/L24</f>
        <v>24076.891293463144</v>
      </c>
    </row>
    <row r="25" spans="1:14">
      <c r="A25" s="426"/>
      <c r="B25" s="403" t="str">
        <f>B24</f>
        <v>Уразгильдеева Екатерина</v>
      </c>
      <c r="C25" s="705"/>
      <c r="D25" s="705"/>
      <c r="E25" s="408"/>
      <c r="F25" s="433"/>
      <c r="G25" s="406"/>
      <c r="H25" s="395"/>
      <c r="I25" s="434"/>
      <c r="J25" s="435"/>
      <c r="K25" s="436"/>
      <c r="L25" s="437"/>
      <c r="M25" s="438"/>
      <c r="N25" s="439" t="e">
        <f>1477363.14*M25*K25/L25</f>
        <v>#DIV/0!</v>
      </c>
    </row>
    <row r="26" spans="1:14">
      <c r="A26" s="440"/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441"/>
      <c r="M26" s="441"/>
      <c r="N26" s="442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fitToWidth="0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33"/>
  <sheetViews>
    <sheetView zoomScale="75" workbookViewId="0">
      <selection activeCell="AJ30" sqref="AJ30"/>
    </sheetView>
  </sheetViews>
  <sheetFormatPr baseColWidth="10" defaultColWidth="11.5" defaultRowHeight="15"/>
  <cols>
    <col min="1" max="1" width="4.83203125" style="3" customWidth="1"/>
    <col min="2" max="2" width="26.6640625" style="3" customWidth="1"/>
    <col min="3" max="3" width="17" style="3" customWidth="1"/>
    <col min="4" max="34" width="6.33203125" style="3" customWidth="1"/>
    <col min="35" max="35" width="4.83203125" style="3" customWidth="1"/>
    <col min="36" max="36" width="11.1640625" style="3" customWidth="1"/>
    <col min="37" max="40" width="6.33203125" style="3" customWidth="1"/>
    <col min="41" max="16384" width="11.5" style="3"/>
  </cols>
  <sheetData>
    <row r="1" spans="1:40">
      <c r="A1" s="466"/>
      <c r="B1" s="467" t="s">
        <v>114</v>
      </c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 t="s">
        <v>72</v>
      </c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8"/>
      <c r="AJ1" s="468"/>
      <c r="AK1" s="468"/>
      <c r="AL1" s="468"/>
      <c r="AM1" s="468"/>
      <c r="AN1" s="468"/>
    </row>
    <row r="2" spans="1:40" ht="16">
      <c r="A2" s="466"/>
      <c r="B2" s="469" t="s">
        <v>115</v>
      </c>
      <c r="C2" s="470"/>
      <c r="D2" s="470"/>
      <c r="E2" s="471"/>
      <c r="F2" s="471"/>
      <c r="G2" s="471"/>
      <c r="H2" s="471"/>
      <c r="I2" s="471"/>
      <c r="J2" s="471"/>
      <c r="K2" s="471"/>
      <c r="L2" s="471"/>
      <c r="M2" s="471"/>
      <c r="N2" s="471"/>
      <c r="O2" s="471"/>
      <c r="P2" s="471"/>
      <c r="Q2" s="471"/>
      <c r="R2" s="471"/>
      <c r="S2" s="471"/>
      <c r="T2" s="471"/>
      <c r="U2" s="471"/>
      <c r="V2" s="471"/>
      <c r="W2" s="471"/>
      <c r="X2" s="471"/>
      <c r="Y2" s="471"/>
      <c r="Z2" s="471"/>
      <c r="AA2" s="471"/>
      <c r="AB2" s="471"/>
      <c r="AC2" s="471"/>
      <c r="AD2" s="471"/>
      <c r="AE2" s="471"/>
      <c r="AF2" s="471"/>
      <c r="AG2" s="471"/>
      <c r="AH2" s="471"/>
      <c r="AI2" s="471"/>
      <c r="AJ2" s="471"/>
      <c r="AK2" s="471"/>
      <c r="AL2" s="471"/>
      <c r="AM2" s="471"/>
      <c r="AN2" s="471"/>
    </row>
    <row r="3" spans="1:40" ht="16">
      <c r="A3" s="466"/>
      <c r="B3" s="472" t="s">
        <v>116</v>
      </c>
      <c r="C3" s="473"/>
      <c r="D3" s="473"/>
      <c r="E3" s="474"/>
      <c r="F3" s="474"/>
      <c r="G3" s="474"/>
      <c r="H3" s="474"/>
      <c r="I3" s="474"/>
      <c r="J3" s="474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  <c r="AB3" s="471"/>
      <c r="AC3" s="471"/>
      <c r="AD3" s="471"/>
      <c r="AE3" s="471"/>
      <c r="AF3" s="471"/>
      <c r="AG3" s="471"/>
      <c r="AH3" s="471"/>
      <c r="AI3" s="471"/>
      <c r="AJ3" s="471"/>
      <c r="AK3" s="471"/>
      <c r="AL3" s="471"/>
      <c r="AM3" s="471"/>
      <c r="AN3" s="471"/>
    </row>
    <row r="4" spans="1:40" ht="19">
      <c r="A4" s="466"/>
      <c r="B4" s="475" t="s">
        <v>117</v>
      </c>
      <c r="C4" s="470"/>
      <c r="D4" s="470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471"/>
      <c r="AC4" s="471"/>
      <c r="AD4" s="471"/>
      <c r="AE4" s="471"/>
      <c r="AF4" s="471"/>
      <c r="AG4" s="471"/>
      <c r="AH4" s="471"/>
      <c r="AI4" s="471"/>
      <c r="AJ4" s="471"/>
      <c r="AK4" s="471"/>
      <c r="AL4" s="471"/>
      <c r="AM4" s="471"/>
      <c r="AN4" s="471"/>
    </row>
    <row r="5" spans="1:40" ht="16">
      <c r="A5" s="466"/>
      <c r="B5" s="476" t="s">
        <v>118</v>
      </c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  <c r="P5" s="471"/>
      <c r="Q5" s="471"/>
      <c r="R5" s="471"/>
      <c r="S5" s="471"/>
      <c r="T5" s="471"/>
      <c r="U5" s="471"/>
      <c r="V5" s="471"/>
      <c r="W5" s="471"/>
      <c r="X5" s="471"/>
      <c r="Y5" s="471"/>
      <c r="Z5" s="471"/>
      <c r="AA5" s="471"/>
      <c r="AB5" s="471"/>
      <c r="AC5" s="471"/>
      <c r="AD5" s="471"/>
      <c r="AE5" s="471"/>
      <c r="AF5" s="471"/>
      <c r="AG5" s="471"/>
      <c r="AH5" s="471"/>
      <c r="AI5" s="471"/>
      <c r="AJ5" s="714"/>
      <c r="AK5" s="715"/>
      <c r="AL5" s="716"/>
      <c r="AM5" s="717"/>
      <c r="AN5" s="718"/>
    </row>
    <row r="6" spans="1:40">
      <c r="A6" s="466"/>
      <c r="B6" s="477" t="s">
        <v>119</v>
      </c>
      <c r="C6" s="719" t="s">
        <v>120</v>
      </c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  <c r="Y6" s="720"/>
      <c r="Z6" s="720"/>
      <c r="AA6" s="720"/>
      <c r="AB6" s="720"/>
      <c r="AC6" s="720"/>
      <c r="AD6" s="720"/>
      <c r="AE6" s="720"/>
      <c r="AF6" s="720"/>
      <c r="AG6" s="720"/>
      <c r="AH6" s="720"/>
      <c r="AI6" s="720"/>
      <c r="AJ6" s="721"/>
      <c r="AK6" s="478">
        <v>31</v>
      </c>
      <c r="AL6" s="479"/>
      <c r="AM6" s="479"/>
      <c r="AN6" s="479"/>
    </row>
    <row r="7" spans="1:40">
      <c r="A7" s="480"/>
      <c r="B7" s="481" t="e">
        <f>BT31*100/BH31</f>
        <v>#DIV/0!</v>
      </c>
      <c r="C7" s="719"/>
      <c r="D7" s="720"/>
      <c r="E7" s="720"/>
      <c r="F7" s="720"/>
      <c r="G7" s="720"/>
      <c r="H7" s="720"/>
      <c r="I7" s="720"/>
      <c r="J7" s="720"/>
      <c r="K7" s="720"/>
      <c r="L7" s="720"/>
      <c r="M7" s="720"/>
      <c r="N7" s="720"/>
      <c r="O7" s="720"/>
      <c r="P7" s="720"/>
      <c r="Q7" s="720"/>
      <c r="R7" s="720"/>
      <c r="S7" s="720"/>
      <c r="T7" s="720"/>
      <c r="U7" s="720"/>
      <c r="V7" s="720"/>
      <c r="W7" s="720"/>
      <c r="X7" s="720"/>
      <c r="Y7" s="720"/>
      <c r="Z7" s="720"/>
      <c r="AA7" s="720"/>
      <c r="AB7" s="720"/>
      <c r="AC7" s="720"/>
      <c r="AD7" s="720"/>
      <c r="AE7" s="720"/>
      <c r="AF7" s="720"/>
      <c r="AG7" s="720"/>
      <c r="AH7" s="720"/>
      <c r="AI7" s="720"/>
      <c r="AJ7" s="721"/>
      <c r="AK7" s="482"/>
      <c r="AL7" s="482"/>
      <c r="AM7" s="483"/>
      <c r="AN7" s="483"/>
    </row>
    <row r="8" spans="1:40" ht="30">
      <c r="A8" s="484"/>
      <c r="B8" s="485"/>
      <c r="C8" s="486"/>
      <c r="D8" s="487" t="s">
        <v>48</v>
      </c>
      <c r="E8" s="487" t="s">
        <v>50</v>
      </c>
      <c r="F8" s="487" t="s">
        <v>52</v>
      </c>
      <c r="G8" s="487" t="s">
        <v>53</v>
      </c>
      <c r="H8" s="487" t="s">
        <v>55</v>
      </c>
      <c r="I8" s="487" t="s">
        <v>56</v>
      </c>
      <c r="J8" s="487" t="s">
        <v>57</v>
      </c>
      <c r="K8" s="487" t="s">
        <v>48</v>
      </c>
      <c r="L8" s="487" t="s">
        <v>50</v>
      </c>
      <c r="M8" s="487" t="s">
        <v>52</v>
      </c>
      <c r="N8" s="487" t="s">
        <v>53</v>
      </c>
      <c r="O8" s="487" t="s">
        <v>55</v>
      </c>
      <c r="P8" s="487" t="s">
        <v>56</v>
      </c>
      <c r="Q8" s="487" t="s">
        <v>57</v>
      </c>
      <c r="R8" s="487" t="s">
        <v>48</v>
      </c>
      <c r="S8" s="487" t="s">
        <v>50</v>
      </c>
      <c r="T8" s="487" t="s">
        <v>52</v>
      </c>
      <c r="U8" s="487" t="s">
        <v>53</v>
      </c>
      <c r="V8" s="487" t="s">
        <v>55</v>
      </c>
      <c r="W8" s="487" t="s">
        <v>56</v>
      </c>
      <c r="X8" s="487" t="s">
        <v>57</v>
      </c>
      <c r="Y8" s="487" t="s">
        <v>48</v>
      </c>
      <c r="Z8" s="487" t="s">
        <v>50</v>
      </c>
      <c r="AA8" s="487" t="s">
        <v>52</v>
      </c>
      <c r="AB8" s="487" t="s">
        <v>53</v>
      </c>
      <c r="AC8" s="487" t="s">
        <v>55</v>
      </c>
      <c r="AD8" s="487" t="s">
        <v>56</v>
      </c>
      <c r="AE8" s="487" t="s">
        <v>57</v>
      </c>
      <c r="AF8" s="487" t="s">
        <v>48</v>
      </c>
      <c r="AG8" s="487" t="s">
        <v>50</v>
      </c>
      <c r="AH8" s="487" t="s">
        <v>52</v>
      </c>
      <c r="AI8" s="488"/>
      <c r="AJ8" s="489" t="s">
        <v>121</v>
      </c>
      <c r="AK8" s="489" t="s">
        <v>122</v>
      </c>
      <c r="AL8" s="722" t="s">
        <v>123</v>
      </c>
      <c r="AM8" s="722" t="s">
        <v>124</v>
      </c>
      <c r="AN8" s="726" t="s">
        <v>125</v>
      </c>
    </row>
    <row r="9" spans="1:40">
      <c r="A9" s="466"/>
      <c r="B9" s="471"/>
      <c r="C9" s="490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91"/>
      <c r="P9" s="491"/>
      <c r="Q9" s="491"/>
      <c r="R9" s="491"/>
      <c r="S9" s="491"/>
      <c r="T9" s="491"/>
      <c r="U9" s="491"/>
      <c r="V9" s="491"/>
      <c r="W9" s="491"/>
      <c r="X9" s="491"/>
      <c r="Y9" s="491"/>
      <c r="Z9" s="491"/>
      <c r="AA9" s="491"/>
      <c r="AB9" s="491"/>
      <c r="AC9" s="491"/>
      <c r="AD9" s="491"/>
      <c r="AE9" s="491"/>
      <c r="AF9" s="491"/>
      <c r="AG9" s="491"/>
      <c r="AH9" s="491"/>
      <c r="AI9" s="492"/>
      <c r="AJ9" s="493"/>
      <c r="AK9" s="493"/>
      <c r="AL9" s="723"/>
      <c r="AM9" s="723"/>
      <c r="AN9" s="727"/>
    </row>
    <row r="10" spans="1:40">
      <c r="A10" s="494" t="s">
        <v>126</v>
      </c>
      <c r="B10" s="495" t="s">
        <v>127</v>
      </c>
      <c r="C10" s="496" t="s">
        <v>93</v>
      </c>
      <c r="D10" s="497">
        <v>1</v>
      </c>
      <c r="E10" s="497">
        <v>2</v>
      </c>
      <c r="F10" s="497">
        <v>3</v>
      </c>
      <c r="G10" s="497">
        <v>4</v>
      </c>
      <c r="H10" s="497">
        <v>5</v>
      </c>
      <c r="I10" s="497">
        <v>6</v>
      </c>
      <c r="J10" s="497">
        <v>7</v>
      </c>
      <c r="K10" s="497">
        <v>8</v>
      </c>
      <c r="L10" s="497">
        <v>9</v>
      </c>
      <c r="M10" s="497">
        <v>10</v>
      </c>
      <c r="N10" s="497">
        <v>11</v>
      </c>
      <c r="O10" s="497">
        <v>12</v>
      </c>
      <c r="P10" s="497">
        <v>13</v>
      </c>
      <c r="Q10" s="497">
        <v>14</v>
      </c>
      <c r="R10" s="497">
        <v>15</v>
      </c>
      <c r="S10" s="497">
        <v>16</v>
      </c>
      <c r="T10" s="497">
        <v>17</v>
      </c>
      <c r="U10" s="497">
        <v>18</v>
      </c>
      <c r="V10" s="497">
        <v>19</v>
      </c>
      <c r="W10" s="497">
        <v>20</v>
      </c>
      <c r="X10" s="497">
        <v>21</v>
      </c>
      <c r="Y10" s="497">
        <v>22</v>
      </c>
      <c r="Z10" s="497">
        <v>23</v>
      </c>
      <c r="AA10" s="497">
        <v>24</v>
      </c>
      <c r="AB10" s="497">
        <v>25</v>
      </c>
      <c r="AC10" s="497">
        <v>26</v>
      </c>
      <c r="AD10" s="497">
        <v>27</v>
      </c>
      <c r="AE10" s="497">
        <v>28</v>
      </c>
      <c r="AF10" s="497">
        <v>29</v>
      </c>
      <c r="AG10" s="497">
        <v>30</v>
      </c>
      <c r="AH10" s="497">
        <v>31</v>
      </c>
      <c r="AI10" s="498" t="s">
        <v>128</v>
      </c>
      <c r="AJ10" s="499"/>
      <c r="AK10" s="500"/>
      <c r="AL10" s="724"/>
      <c r="AM10" s="725"/>
      <c r="AN10" s="728"/>
    </row>
    <row r="11" spans="1:40">
      <c r="A11" s="501">
        <v>20</v>
      </c>
      <c r="B11" s="502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/>
      <c r="U11" s="503"/>
      <c r="V11" s="503"/>
      <c r="W11" s="503"/>
      <c r="X11" s="503"/>
      <c r="Y11" s="503"/>
      <c r="Z11" s="504"/>
      <c r="AA11" s="504"/>
      <c r="AB11" s="504"/>
      <c r="AC11" s="504"/>
      <c r="AD11" s="504"/>
      <c r="AE11" s="504"/>
      <c r="AF11" s="503"/>
      <c r="AG11" s="503"/>
      <c r="AH11" s="505"/>
      <c r="AI11" s="506">
        <v>0</v>
      </c>
      <c r="AJ11" s="507">
        <v>0</v>
      </c>
      <c r="AK11" s="508">
        <v>0</v>
      </c>
      <c r="AL11" s="508">
        <v>0</v>
      </c>
      <c r="AM11" s="508">
        <v>0</v>
      </c>
      <c r="AN11" s="509">
        <v>0</v>
      </c>
    </row>
    <row r="12" spans="1:40">
      <c r="A12" s="510">
        <v>19</v>
      </c>
      <c r="B12" s="511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512"/>
      <c r="O12" s="512"/>
      <c r="P12" s="512"/>
      <c r="Q12" s="512"/>
      <c r="R12" s="512"/>
      <c r="S12" s="512"/>
      <c r="T12" s="512"/>
      <c r="U12" s="512"/>
      <c r="V12" s="512"/>
      <c r="W12" s="512"/>
      <c r="X12" s="512"/>
      <c r="Y12" s="512"/>
      <c r="Z12" s="513"/>
      <c r="AA12" s="513"/>
      <c r="AB12" s="513"/>
      <c r="AC12" s="513"/>
      <c r="AD12" s="513"/>
      <c r="AE12" s="513"/>
      <c r="AF12" s="512"/>
      <c r="AG12" s="512"/>
      <c r="AH12" s="514"/>
      <c r="AI12" s="515">
        <v>0</v>
      </c>
      <c r="AJ12" s="516">
        <v>0</v>
      </c>
      <c r="AK12" s="517">
        <v>0</v>
      </c>
      <c r="AL12" s="517">
        <v>0</v>
      </c>
      <c r="AM12" s="517">
        <v>0</v>
      </c>
      <c r="AN12" s="518">
        <v>0</v>
      </c>
    </row>
    <row r="13" spans="1:40">
      <c r="A13" s="510">
        <v>18</v>
      </c>
      <c r="B13" s="511"/>
      <c r="C13" s="512"/>
      <c r="D13" s="512"/>
      <c r="E13" s="512"/>
      <c r="F13" s="512"/>
      <c r="G13" s="512"/>
      <c r="H13" s="512"/>
      <c r="I13" s="512"/>
      <c r="J13" s="512"/>
      <c r="K13" s="512"/>
      <c r="L13" s="512"/>
      <c r="M13" s="512"/>
      <c r="N13" s="512"/>
      <c r="O13" s="512"/>
      <c r="P13" s="512"/>
      <c r="Q13" s="512"/>
      <c r="R13" s="512"/>
      <c r="S13" s="512"/>
      <c r="T13" s="512"/>
      <c r="U13" s="512"/>
      <c r="V13" s="512"/>
      <c r="W13" s="512"/>
      <c r="X13" s="512"/>
      <c r="Y13" s="512"/>
      <c r="Z13" s="513"/>
      <c r="AA13" s="513"/>
      <c r="AB13" s="513"/>
      <c r="AC13" s="513"/>
      <c r="AD13" s="513"/>
      <c r="AE13" s="513"/>
      <c r="AF13" s="512"/>
      <c r="AG13" s="512"/>
      <c r="AH13" s="514"/>
      <c r="AI13" s="515">
        <v>0</v>
      </c>
      <c r="AJ13" s="507">
        <v>0</v>
      </c>
      <c r="AK13" s="508">
        <v>0</v>
      </c>
      <c r="AL13" s="508">
        <v>0</v>
      </c>
      <c r="AM13" s="508">
        <v>0</v>
      </c>
      <c r="AN13" s="509">
        <v>0</v>
      </c>
    </row>
    <row r="14" spans="1:40">
      <c r="A14" s="510">
        <v>17</v>
      </c>
      <c r="B14" s="511"/>
      <c r="C14" s="512"/>
      <c r="D14" s="512"/>
      <c r="E14" s="512"/>
      <c r="F14" s="512"/>
      <c r="G14" s="512"/>
      <c r="H14" s="512"/>
      <c r="I14" s="512"/>
      <c r="J14" s="512"/>
      <c r="K14" s="512"/>
      <c r="L14" s="512"/>
      <c r="M14" s="512"/>
      <c r="N14" s="512"/>
      <c r="O14" s="512"/>
      <c r="P14" s="512"/>
      <c r="Q14" s="512"/>
      <c r="R14" s="512"/>
      <c r="S14" s="512"/>
      <c r="T14" s="512"/>
      <c r="U14" s="512"/>
      <c r="V14" s="512"/>
      <c r="W14" s="512"/>
      <c r="X14" s="512"/>
      <c r="Y14" s="512"/>
      <c r="Z14" s="512"/>
      <c r="AA14" s="512"/>
      <c r="AB14" s="512"/>
      <c r="AC14" s="512"/>
      <c r="AD14" s="512"/>
      <c r="AE14" s="512"/>
      <c r="AF14" s="512"/>
      <c r="AG14" s="512"/>
      <c r="AH14" s="514"/>
      <c r="AI14" s="515">
        <v>0</v>
      </c>
      <c r="AJ14" s="516">
        <v>0</v>
      </c>
      <c r="AK14" s="517">
        <v>0</v>
      </c>
      <c r="AL14" s="517">
        <v>0</v>
      </c>
      <c r="AM14" s="517">
        <v>0</v>
      </c>
      <c r="AN14" s="518">
        <v>0</v>
      </c>
    </row>
    <row r="15" spans="1:40">
      <c r="A15" s="510">
        <v>16</v>
      </c>
      <c r="B15" s="511"/>
      <c r="C15" s="512"/>
      <c r="D15" s="512"/>
      <c r="E15" s="512"/>
      <c r="F15" s="512"/>
      <c r="G15" s="512"/>
      <c r="H15" s="512"/>
      <c r="I15" s="512"/>
      <c r="J15" s="512"/>
      <c r="K15" s="512"/>
      <c r="L15" s="512"/>
      <c r="M15" s="512"/>
      <c r="N15" s="512"/>
      <c r="O15" s="512"/>
      <c r="P15" s="512"/>
      <c r="Q15" s="512"/>
      <c r="R15" s="512"/>
      <c r="S15" s="512"/>
      <c r="T15" s="519"/>
      <c r="U15" s="512"/>
      <c r="V15" s="512"/>
      <c r="W15" s="512"/>
      <c r="X15" s="512"/>
      <c r="Y15" s="512"/>
      <c r="Z15" s="512"/>
      <c r="AA15" s="512"/>
      <c r="AB15" s="512"/>
      <c r="AC15" s="512"/>
      <c r="AD15" s="512"/>
      <c r="AE15" s="512"/>
      <c r="AF15" s="512"/>
      <c r="AG15" s="512"/>
      <c r="AH15" s="514"/>
      <c r="AI15" s="515">
        <v>0</v>
      </c>
      <c r="AJ15" s="507">
        <v>0</v>
      </c>
      <c r="AK15" s="508">
        <v>0</v>
      </c>
      <c r="AL15" s="508">
        <v>0</v>
      </c>
      <c r="AM15" s="508">
        <v>0</v>
      </c>
      <c r="AN15" s="509">
        <v>0</v>
      </c>
    </row>
    <row r="16" spans="1:40">
      <c r="A16" s="510">
        <v>15</v>
      </c>
      <c r="B16" s="511"/>
      <c r="C16" s="512"/>
      <c r="D16" s="512"/>
      <c r="E16" s="512"/>
      <c r="F16" s="512"/>
      <c r="G16" s="512"/>
      <c r="H16" s="512"/>
      <c r="I16" s="512"/>
      <c r="J16" s="512"/>
      <c r="K16" s="512"/>
      <c r="L16" s="512"/>
      <c r="M16" s="512"/>
      <c r="N16" s="512"/>
      <c r="O16" s="512"/>
      <c r="P16" s="512"/>
      <c r="Q16" s="512"/>
      <c r="R16" s="512"/>
      <c r="S16" s="512"/>
      <c r="T16" s="512"/>
      <c r="U16" s="512"/>
      <c r="V16" s="512"/>
      <c r="W16" s="512"/>
      <c r="X16" s="512"/>
      <c r="Y16" s="512"/>
      <c r="Z16" s="512"/>
      <c r="AA16" s="512"/>
      <c r="AB16" s="512"/>
      <c r="AC16" s="512"/>
      <c r="AD16" s="512"/>
      <c r="AE16" s="512"/>
      <c r="AF16" s="512"/>
      <c r="AG16" s="512"/>
      <c r="AH16" s="514"/>
      <c r="AI16" s="515">
        <v>0</v>
      </c>
      <c r="AJ16" s="516">
        <v>0</v>
      </c>
      <c r="AK16" s="517">
        <v>0</v>
      </c>
      <c r="AL16" s="517">
        <v>0</v>
      </c>
      <c r="AM16" s="517">
        <v>0</v>
      </c>
      <c r="AN16" s="518">
        <v>0</v>
      </c>
    </row>
    <row r="17" spans="1:40">
      <c r="A17" s="510">
        <v>14</v>
      </c>
      <c r="B17" s="511"/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2"/>
      <c r="N17" s="512"/>
      <c r="O17" s="512"/>
      <c r="P17" s="512"/>
      <c r="Q17" s="512"/>
      <c r="R17" s="512"/>
      <c r="S17" s="512"/>
      <c r="T17" s="512"/>
      <c r="U17" s="512"/>
      <c r="V17" s="512"/>
      <c r="W17" s="512"/>
      <c r="X17" s="512"/>
      <c r="Y17" s="512"/>
      <c r="Z17" s="512"/>
      <c r="AA17" s="512"/>
      <c r="AB17" s="512"/>
      <c r="AC17" s="512"/>
      <c r="AD17" s="512"/>
      <c r="AE17" s="512"/>
      <c r="AF17" s="512"/>
      <c r="AG17" s="512"/>
      <c r="AH17" s="514"/>
      <c r="AI17" s="515">
        <v>0</v>
      </c>
      <c r="AJ17" s="516">
        <v>0</v>
      </c>
      <c r="AK17" s="517">
        <v>0</v>
      </c>
      <c r="AL17" s="517">
        <v>0</v>
      </c>
      <c r="AM17" s="517">
        <v>0</v>
      </c>
      <c r="AN17" s="518">
        <v>0</v>
      </c>
    </row>
    <row r="18" spans="1:40">
      <c r="A18" s="510">
        <v>13</v>
      </c>
      <c r="B18" s="511"/>
      <c r="C18" s="512"/>
      <c r="D18" s="512"/>
      <c r="E18" s="512"/>
      <c r="F18" s="512"/>
      <c r="G18" s="512"/>
      <c r="H18" s="512"/>
      <c r="I18" s="512"/>
      <c r="J18" s="512"/>
      <c r="K18" s="512"/>
      <c r="L18" s="512"/>
      <c r="M18" s="512"/>
      <c r="N18" s="512"/>
      <c r="O18" s="512"/>
      <c r="P18" s="512"/>
      <c r="Q18" s="512"/>
      <c r="R18" s="512"/>
      <c r="S18" s="512"/>
      <c r="T18" s="512"/>
      <c r="U18" s="512"/>
      <c r="V18" s="512"/>
      <c r="W18" s="512"/>
      <c r="X18" s="512"/>
      <c r="Y18" s="512"/>
      <c r="Z18" s="512"/>
      <c r="AA18" s="512"/>
      <c r="AB18" s="512"/>
      <c r="AC18" s="512"/>
      <c r="AD18" s="512"/>
      <c r="AE18" s="512"/>
      <c r="AF18" s="512"/>
      <c r="AG18" s="512"/>
      <c r="AH18" s="514"/>
      <c r="AI18" s="515">
        <v>0</v>
      </c>
      <c r="AJ18" s="516">
        <v>0</v>
      </c>
      <c r="AK18" s="517">
        <v>0</v>
      </c>
      <c r="AL18" s="517">
        <v>0</v>
      </c>
      <c r="AM18" s="517">
        <v>0</v>
      </c>
      <c r="AN18" s="518">
        <v>0</v>
      </c>
    </row>
    <row r="19" spans="1:40">
      <c r="A19" s="510">
        <v>12</v>
      </c>
      <c r="B19" s="511"/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  <c r="O19" s="512"/>
      <c r="P19" s="512"/>
      <c r="Q19" s="512"/>
      <c r="R19" s="512"/>
      <c r="S19" s="512"/>
      <c r="T19" s="512"/>
      <c r="U19" s="512"/>
      <c r="V19" s="512"/>
      <c r="W19" s="512"/>
      <c r="X19" s="512"/>
      <c r="Y19" s="512"/>
      <c r="Z19" s="512"/>
      <c r="AA19" s="512"/>
      <c r="AB19" s="512"/>
      <c r="AC19" s="512"/>
      <c r="AD19" s="512"/>
      <c r="AE19" s="512"/>
      <c r="AF19" s="512"/>
      <c r="AG19" s="512"/>
      <c r="AH19" s="514"/>
      <c r="AI19" s="515">
        <v>0</v>
      </c>
      <c r="AJ19" s="516">
        <v>0</v>
      </c>
      <c r="AK19" s="517">
        <v>0</v>
      </c>
      <c r="AL19" s="517">
        <v>0</v>
      </c>
      <c r="AM19" s="517">
        <v>0</v>
      </c>
      <c r="AN19" s="518">
        <v>0</v>
      </c>
    </row>
    <row r="20" spans="1:40">
      <c r="A20" s="510">
        <v>11</v>
      </c>
      <c r="B20" s="511"/>
      <c r="C20" s="512"/>
      <c r="D20" s="512"/>
      <c r="E20" s="512"/>
      <c r="F20" s="512"/>
      <c r="G20" s="512"/>
      <c r="H20" s="512"/>
      <c r="I20" s="512"/>
      <c r="J20" s="512"/>
      <c r="K20" s="512"/>
      <c r="L20" s="512"/>
      <c r="M20" s="512"/>
      <c r="N20" s="512"/>
      <c r="O20" s="512"/>
      <c r="P20" s="512"/>
      <c r="Q20" s="512"/>
      <c r="R20" s="512"/>
      <c r="S20" s="512"/>
      <c r="T20" s="512"/>
      <c r="U20" s="512"/>
      <c r="V20" s="512"/>
      <c r="W20" s="512"/>
      <c r="X20" s="512"/>
      <c r="Y20" s="512"/>
      <c r="Z20" s="512"/>
      <c r="AA20" s="512"/>
      <c r="AB20" s="512"/>
      <c r="AC20" s="512"/>
      <c r="AD20" s="512"/>
      <c r="AE20" s="512"/>
      <c r="AF20" s="512"/>
      <c r="AG20" s="512"/>
      <c r="AH20" s="514"/>
      <c r="AI20" s="515">
        <v>0</v>
      </c>
      <c r="AJ20" s="516">
        <v>0</v>
      </c>
      <c r="AK20" s="517">
        <v>0</v>
      </c>
      <c r="AL20" s="517">
        <v>0</v>
      </c>
      <c r="AM20" s="517">
        <v>0</v>
      </c>
      <c r="AN20" s="518">
        <v>0</v>
      </c>
    </row>
    <row r="21" spans="1:40">
      <c r="A21" s="510">
        <v>10</v>
      </c>
      <c r="B21" s="511"/>
      <c r="C21" s="520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2"/>
      <c r="X21" s="512"/>
      <c r="Y21" s="512"/>
      <c r="Z21" s="512"/>
      <c r="AA21" s="512"/>
      <c r="AB21" s="512"/>
      <c r="AC21" s="512"/>
      <c r="AD21" s="512"/>
      <c r="AE21" s="512"/>
      <c r="AF21" s="512"/>
      <c r="AG21" s="512"/>
      <c r="AH21" s="514"/>
      <c r="AI21" s="515">
        <v>0</v>
      </c>
      <c r="AJ21" s="516">
        <v>0</v>
      </c>
      <c r="AK21" s="517">
        <v>0</v>
      </c>
      <c r="AL21" s="517">
        <v>0</v>
      </c>
      <c r="AM21" s="517">
        <v>0</v>
      </c>
      <c r="AN21" s="518">
        <v>0</v>
      </c>
    </row>
    <row r="22" spans="1:40">
      <c r="A22" s="510">
        <v>9</v>
      </c>
      <c r="B22" s="511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2"/>
      <c r="O22" s="512"/>
      <c r="P22" s="512"/>
      <c r="Q22" s="512"/>
      <c r="R22" s="512"/>
      <c r="S22" s="512"/>
      <c r="T22" s="512"/>
      <c r="U22" s="512"/>
      <c r="V22" s="512"/>
      <c r="W22" s="512"/>
      <c r="X22" s="512"/>
      <c r="Y22" s="512"/>
      <c r="Z22" s="512"/>
      <c r="AA22" s="512"/>
      <c r="AB22" s="512"/>
      <c r="AC22" s="512"/>
      <c r="AD22" s="512"/>
      <c r="AE22" s="512"/>
      <c r="AF22" s="512"/>
      <c r="AG22" s="512"/>
      <c r="AH22" s="514"/>
      <c r="AI22" s="515">
        <f t="shared" ref="AI22:AI24" si="0">COUNTIF(D22:AH22, "&gt;0")</f>
        <v>0</v>
      </c>
      <c r="AJ22" s="516">
        <v>0</v>
      </c>
      <c r="AK22" s="517">
        <v>0</v>
      </c>
      <c r="AL22" s="517">
        <v>0</v>
      </c>
      <c r="AM22" s="517">
        <v>0</v>
      </c>
      <c r="AN22" s="518">
        <v>0</v>
      </c>
    </row>
    <row r="23" spans="1:40">
      <c r="A23" s="510">
        <v>8</v>
      </c>
      <c r="B23" s="521"/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522"/>
      <c r="N23" s="523"/>
      <c r="O23" s="524"/>
      <c r="P23" s="524"/>
      <c r="Q23" s="524"/>
      <c r="R23" s="524"/>
      <c r="S23" s="524"/>
      <c r="T23" s="524"/>
      <c r="U23" s="524"/>
      <c r="V23" s="524"/>
      <c r="W23" s="525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6"/>
      <c r="AI23" s="515">
        <f t="shared" si="0"/>
        <v>0</v>
      </c>
      <c r="AJ23" s="516">
        <v>0</v>
      </c>
      <c r="AK23" s="517">
        <v>0</v>
      </c>
      <c r="AL23" s="517">
        <v>0</v>
      </c>
      <c r="AM23" s="517">
        <v>0</v>
      </c>
      <c r="AN23" s="518">
        <v>0</v>
      </c>
    </row>
    <row r="24" spans="1:40" ht="16">
      <c r="A24" s="510">
        <v>7</v>
      </c>
      <c r="B24" s="527"/>
      <c r="C24" s="528"/>
      <c r="D24" s="529"/>
      <c r="E24" s="529"/>
      <c r="F24" s="529"/>
      <c r="G24" s="529"/>
      <c r="H24" s="524"/>
      <c r="I24" s="524"/>
      <c r="J24" s="522"/>
      <c r="K24" s="522"/>
      <c r="L24" s="524"/>
      <c r="M24" s="524"/>
      <c r="N24" s="522"/>
      <c r="O24" s="522"/>
      <c r="P24" s="524"/>
      <c r="Q24" s="524"/>
      <c r="R24" s="522"/>
      <c r="S24" s="522"/>
      <c r="T24" s="524"/>
      <c r="U24" s="524"/>
      <c r="V24" s="524"/>
      <c r="W24" s="522"/>
      <c r="X24" s="522"/>
      <c r="Y24" s="524"/>
      <c r="Z24" s="524"/>
      <c r="AA24" s="524"/>
      <c r="AB24" s="522"/>
      <c r="AC24" s="522"/>
      <c r="AD24" s="524"/>
      <c r="AE24" s="524"/>
      <c r="AF24" s="524"/>
      <c r="AG24" s="524"/>
      <c r="AH24" s="522"/>
      <c r="AI24" s="515">
        <f t="shared" si="0"/>
        <v>0</v>
      </c>
      <c r="AJ24" s="516">
        <v>0</v>
      </c>
      <c r="AK24" s="517">
        <v>0</v>
      </c>
      <c r="AL24" s="517">
        <v>0</v>
      </c>
      <c r="AM24" s="517">
        <v>0</v>
      </c>
      <c r="AN24" s="518">
        <v>0</v>
      </c>
    </row>
    <row r="25" spans="1:40" ht="16">
      <c r="A25" s="530">
        <v>6</v>
      </c>
      <c r="B25" s="527"/>
      <c r="C25" s="528"/>
      <c r="D25" s="531"/>
      <c r="E25" s="531"/>
      <c r="F25" s="531"/>
      <c r="G25" s="529"/>
      <c r="H25" s="532"/>
      <c r="I25" s="532"/>
      <c r="J25" s="533"/>
      <c r="K25" s="533"/>
      <c r="L25" s="533"/>
      <c r="M25" s="533"/>
      <c r="N25" s="533"/>
      <c r="O25" s="533"/>
      <c r="P25" s="533"/>
      <c r="Q25" s="533"/>
      <c r="R25" s="533"/>
      <c r="S25" s="522"/>
      <c r="T25" s="532"/>
      <c r="U25" s="532"/>
      <c r="V25" s="532"/>
      <c r="W25" s="533"/>
      <c r="X25" s="533"/>
      <c r="Y25" s="532"/>
      <c r="Z25" s="532"/>
      <c r="AA25" s="532"/>
      <c r="AB25" s="534"/>
      <c r="AC25" s="533"/>
      <c r="AD25" s="532"/>
      <c r="AE25" s="532"/>
      <c r="AF25" s="532"/>
      <c r="AG25" s="532"/>
      <c r="AH25" s="533"/>
      <c r="AI25" s="535">
        <f>COUNTIF(D25:AH25,"&gt;0")</f>
        <v>0</v>
      </c>
      <c r="AJ25" s="536">
        <f t="shared" ref="AJ25:AJ30" si="1">SUMIF(D25:AH25,"&gt;0")</f>
        <v>0</v>
      </c>
      <c r="AK25" s="537">
        <f>COUNTIF(D25:AH25,"В")</f>
        <v>0</v>
      </c>
      <c r="AL25" s="537">
        <f>COUNTIF(E25:AI25,"о")</f>
        <v>0</v>
      </c>
      <c r="AM25" s="537">
        <f>COUNTIF(F25:AJ25,"б")</f>
        <v>0</v>
      </c>
      <c r="AN25" s="538">
        <v>0</v>
      </c>
    </row>
    <row r="26" spans="1:40" ht="16">
      <c r="A26" s="539">
        <v>5</v>
      </c>
      <c r="B26" s="527"/>
      <c r="C26" s="524"/>
      <c r="D26" s="529"/>
      <c r="E26" s="529"/>
      <c r="F26" s="529"/>
      <c r="G26" s="529"/>
      <c r="H26" s="529"/>
      <c r="I26" s="522"/>
      <c r="J26" s="524"/>
      <c r="K26" s="524"/>
      <c r="L26" s="524"/>
      <c r="M26" s="524"/>
      <c r="N26" s="524"/>
      <c r="O26" s="522"/>
      <c r="P26" s="522"/>
      <c r="Q26" s="524"/>
      <c r="R26" s="522"/>
      <c r="S26" s="529"/>
      <c r="T26" s="522"/>
      <c r="U26" s="524"/>
      <c r="V26" s="524"/>
      <c r="W26" s="524"/>
      <c r="X26" s="524"/>
      <c r="Y26" s="524"/>
      <c r="Z26" s="524"/>
      <c r="AA26" s="524"/>
      <c r="AB26" s="524"/>
      <c r="AC26" s="524"/>
      <c r="AD26" s="524"/>
      <c r="AE26" s="524"/>
      <c r="AF26" s="524"/>
      <c r="AG26" s="524"/>
      <c r="AH26" s="522"/>
      <c r="AI26" s="540">
        <f>COUNTIF(D26:AH26, "&gt;0")</f>
        <v>0</v>
      </c>
      <c r="AJ26" s="541">
        <f t="shared" si="1"/>
        <v>0</v>
      </c>
      <c r="AK26" s="542">
        <f>COUNTIF(D26:AH26, "В")</f>
        <v>0</v>
      </c>
      <c r="AL26" s="542">
        <v>0</v>
      </c>
      <c r="AM26" s="542">
        <v>0</v>
      </c>
      <c r="AN26" s="543">
        <v>0</v>
      </c>
    </row>
    <row r="27" spans="1:40" ht="16">
      <c r="A27" s="544">
        <v>4</v>
      </c>
      <c r="B27" s="521" t="s">
        <v>129</v>
      </c>
      <c r="C27" s="545" t="s">
        <v>98</v>
      </c>
      <c r="D27" s="546">
        <v>11</v>
      </c>
      <c r="E27" s="522" t="s">
        <v>72</v>
      </c>
      <c r="F27" s="546">
        <v>9</v>
      </c>
      <c r="G27" s="546">
        <v>13</v>
      </c>
      <c r="H27" s="546">
        <v>10</v>
      </c>
      <c r="I27" s="547" t="s">
        <v>72</v>
      </c>
      <c r="J27" s="547">
        <v>10</v>
      </c>
      <c r="K27" s="546">
        <v>13</v>
      </c>
      <c r="L27" s="546">
        <v>11</v>
      </c>
      <c r="M27" s="529" t="s">
        <v>72</v>
      </c>
      <c r="N27" s="548">
        <v>9</v>
      </c>
      <c r="O27" s="548">
        <v>13</v>
      </c>
      <c r="P27" s="549">
        <v>2</v>
      </c>
      <c r="Q27" s="546">
        <v>13</v>
      </c>
      <c r="R27" s="546">
        <v>13</v>
      </c>
      <c r="S27" s="547">
        <v>10</v>
      </c>
      <c r="T27" s="522" t="s">
        <v>72</v>
      </c>
      <c r="U27" s="546">
        <v>13</v>
      </c>
      <c r="V27" s="546">
        <v>13</v>
      </c>
      <c r="W27" s="529" t="s">
        <v>72</v>
      </c>
      <c r="X27" s="546">
        <v>11</v>
      </c>
      <c r="Y27" s="546">
        <v>13</v>
      </c>
      <c r="Z27" s="529" t="s">
        <v>72</v>
      </c>
      <c r="AA27" s="529" t="s">
        <v>72</v>
      </c>
      <c r="AB27" s="546">
        <v>10</v>
      </c>
      <c r="AC27" s="546">
        <v>13</v>
      </c>
      <c r="AD27" s="546">
        <v>10</v>
      </c>
      <c r="AE27" s="529" t="s">
        <v>72</v>
      </c>
      <c r="AF27" s="529">
        <v>11</v>
      </c>
      <c r="AG27" s="529" t="s">
        <v>130</v>
      </c>
      <c r="AH27" s="529" t="s">
        <v>130</v>
      </c>
      <c r="AI27" s="550">
        <f t="shared" ref="AI27:AI29" si="2">COUNTIF(D27:AH27,"&gt;0")</f>
        <v>21</v>
      </c>
      <c r="AJ27" s="536">
        <f>SUMIF(D27:AH27,"&gt;0")</f>
        <v>231</v>
      </c>
      <c r="AK27" s="537">
        <f t="shared" ref="AK27:AK29" si="3">COUNTIF(D27:AH27,"В")</f>
        <v>8</v>
      </c>
      <c r="AL27" s="537">
        <f t="shared" ref="AL27:AL29" si="4">COUNTIF(E27:AI27,"о")</f>
        <v>0</v>
      </c>
      <c r="AM27" s="537">
        <f t="shared" ref="AM27:AM29" si="5">COUNTIF(F27:AJ27,"б")</f>
        <v>0</v>
      </c>
      <c r="AN27" s="551">
        <v>0</v>
      </c>
    </row>
    <row r="28" spans="1:40" ht="16">
      <c r="A28" s="530">
        <v>3</v>
      </c>
      <c r="B28" s="527" t="s">
        <v>131</v>
      </c>
      <c r="C28" s="545" t="s">
        <v>98</v>
      </c>
      <c r="D28" s="546">
        <v>13</v>
      </c>
      <c r="E28" s="546">
        <v>13</v>
      </c>
      <c r="F28" s="529" t="s">
        <v>72</v>
      </c>
      <c r="G28" s="529" t="s">
        <v>72</v>
      </c>
      <c r="H28" s="546">
        <v>13</v>
      </c>
      <c r="I28" s="546">
        <v>13</v>
      </c>
      <c r="J28" s="529" t="s">
        <v>72</v>
      </c>
      <c r="K28" s="524" t="s">
        <v>72</v>
      </c>
      <c r="L28" s="546">
        <v>12</v>
      </c>
      <c r="M28" s="546">
        <v>13</v>
      </c>
      <c r="N28" s="529" t="s">
        <v>72</v>
      </c>
      <c r="O28" s="524" t="s">
        <v>72</v>
      </c>
      <c r="P28" s="548">
        <v>10</v>
      </c>
      <c r="Q28" s="546">
        <v>10</v>
      </c>
      <c r="R28" s="529" t="s">
        <v>72</v>
      </c>
      <c r="S28" s="546">
        <v>12</v>
      </c>
      <c r="T28" s="547">
        <v>13</v>
      </c>
      <c r="U28" s="522" t="s">
        <v>72</v>
      </c>
      <c r="V28" s="529" t="s">
        <v>72</v>
      </c>
      <c r="W28" s="546">
        <v>13</v>
      </c>
      <c r="X28" s="546">
        <v>13</v>
      </c>
      <c r="Y28" s="522" t="s">
        <v>72</v>
      </c>
      <c r="Z28" s="547">
        <v>13</v>
      </c>
      <c r="AA28" s="546">
        <v>13</v>
      </c>
      <c r="AB28" s="529" t="s">
        <v>72</v>
      </c>
      <c r="AC28" s="529" t="s">
        <v>72</v>
      </c>
      <c r="AD28" s="546">
        <v>13</v>
      </c>
      <c r="AE28" s="524">
        <v>13</v>
      </c>
      <c r="AF28" s="529" t="s">
        <v>72</v>
      </c>
      <c r="AG28" s="529">
        <v>13</v>
      </c>
      <c r="AH28" s="529">
        <v>10</v>
      </c>
      <c r="AI28" s="550">
        <f t="shared" si="2"/>
        <v>18</v>
      </c>
      <c r="AJ28" s="536">
        <f>SUMIF(D28:AH28,"&gt;0")</f>
        <v>223</v>
      </c>
      <c r="AK28" s="537">
        <f t="shared" si="3"/>
        <v>13</v>
      </c>
      <c r="AL28" s="537">
        <f t="shared" si="4"/>
        <v>0</v>
      </c>
      <c r="AM28" s="537">
        <f t="shared" si="5"/>
        <v>0</v>
      </c>
      <c r="AN28" s="538">
        <v>0</v>
      </c>
    </row>
    <row r="29" spans="1:40" ht="16">
      <c r="A29" s="530">
        <v>2</v>
      </c>
      <c r="B29" s="552" t="s">
        <v>132</v>
      </c>
      <c r="C29" s="545" t="s">
        <v>133</v>
      </c>
      <c r="D29" s="529" t="s">
        <v>72</v>
      </c>
      <c r="E29" s="546">
        <v>9</v>
      </c>
      <c r="F29" s="546">
        <v>13</v>
      </c>
      <c r="G29" s="546">
        <v>9</v>
      </c>
      <c r="H29" s="529" t="s">
        <v>72</v>
      </c>
      <c r="I29" s="546">
        <v>9</v>
      </c>
      <c r="J29" s="546">
        <v>13</v>
      </c>
      <c r="K29" s="546">
        <v>9</v>
      </c>
      <c r="L29" s="546">
        <v>8</v>
      </c>
      <c r="M29" s="546">
        <v>9</v>
      </c>
      <c r="N29" s="546">
        <v>13</v>
      </c>
      <c r="O29" s="546">
        <v>9</v>
      </c>
      <c r="P29" s="546">
        <v>11</v>
      </c>
      <c r="Q29" s="529" t="s">
        <v>72</v>
      </c>
      <c r="R29" s="553">
        <v>9</v>
      </c>
      <c r="S29" s="546">
        <v>9</v>
      </c>
      <c r="T29" s="546">
        <v>9</v>
      </c>
      <c r="U29" s="546">
        <v>9</v>
      </c>
      <c r="V29" s="546">
        <v>10</v>
      </c>
      <c r="W29" s="546">
        <v>9</v>
      </c>
      <c r="X29" s="529" t="s">
        <v>72</v>
      </c>
      <c r="Y29" s="546">
        <v>11</v>
      </c>
      <c r="Z29" s="546">
        <v>10</v>
      </c>
      <c r="AA29" s="546">
        <v>9</v>
      </c>
      <c r="AB29" s="546">
        <v>13</v>
      </c>
      <c r="AC29" s="546">
        <v>10</v>
      </c>
      <c r="AD29" s="529" t="s">
        <v>72</v>
      </c>
      <c r="AE29" s="529">
        <v>10</v>
      </c>
      <c r="AF29" s="529">
        <v>13</v>
      </c>
      <c r="AG29" s="529">
        <v>9</v>
      </c>
      <c r="AH29" s="529">
        <v>13</v>
      </c>
      <c r="AI29" s="550">
        <f t="shared" si="2"/>
        <v>26</v>
      </c>
      <c r="AJ29" s="536">
        <f>SUMIF(D29:AH29,"&gt;0")</f>
        <v>265</v>
      </c>
      <c r="AK29" s="537">
        <f t="shared" si="3"/>
        <v>5</v>
      </c>
      <c r="AL29" s="537">
        <f t="shared" si="4"/>
        <v>0</v>
      </c>
      <c r="AM29" s="537">
        <f t="shared" si="5"/>
        <v>0</v>
      </c>
      <c r="AN29" s="538">
        <v>0</v>
      </c>
    </row>
    <row r="30" spans="1:40" ht="16">
      <c r="A30" s="554">
        <v>1</v>
      </c>
      <c r="B30" s="555"/>
      <c r="C30" s="556"/>
      <c r="D30" s="557"/>
      <c r="E30" s="529"/>
      <c r="F30" s="529"/>
      <c r="G30" s="529"/>
      <c r="H30" s="529"/>
      <c r="I30" s="529"/>
      <c r="J30" s="529"/>
      <c r="K30" s="529"/>
      <c r="L30" s="558"/>
      <c r="M30" s="529"/>
      <c r="N30" s="529"/>
      <c r="O30" s="529"/>
      <c r="P30" s="529"/>
      <c r="Q30" s="529"/>
      <c r="R30" s="529"/>
      <c r="S30" s="529"/>
      <c r="T30" s="529"/>
      <c r="U30" s="559"/>
      <c r="V30" s="559"/>
      <c r="W30" s="529"/>
      <c r="X30" s="529"/>
      <c r="Y30" s="529"/>
      <c r="Z30" s="529"/>
      <c r="AA30" s="529"/>
      <c r="AB30" s="529"/>
      <c r="AC30" s="529"/>
      <c r="AD30" s="529"/>
      <c r="AE30" s="529"/>
      <c r="AF30" s="529"/>
      <c r="AG30" s="529"/>
      <c r="AH30" s="529"/>
      <c r="AI30" s="560">
        <f>COUNTIF(D30:AH30, "&gt;0")</f>
        <v>0</v>
      </c>
      <c r="AJ30" s="541">
        <f t="shared" si="1"/>
        <v>0</v>
      </c>
      <c r="AK30" s="561">
        <f>COUNTIF(D30:AH30, "В")</f>
        <v>0</v>
      </c>
      <c r="AL30" s="561">
        <f>COUNTIF(E30:AI30, "о")</f>
        <v>0</v>
      </c>
      <c r="AM30" s="561">
        <f>COUNTIF(F30:AJ30, "б")</f>
        <v>0</v>
      </c>
      <c r="AN30" s="562">
        <v>0</v>
      </c>
    </row>
    <row r="31" spans="1:40">
      <c r="A31" s="563"/>
      <c r="B31" s="564" t="s">
        <v>134</v>
      </c>
      <c r="C31" s="565"/>
      <c r="D31" s="566">
        <f t="shared" ref="D31:J31" si="6">COUNTIF(D11:D30, "&gt;0")</f>
        <v>2</v>
      </c>
      <c r="E31" s="564">
        <f t="shared" si="6"/>
        <v>2</v>
      </c>
      <c r="F31" s="564">
        <f t="shared" si="6"/>
        <v>2</v>
      </c>
      <c r="G31" s="564">
        <f t="shared" si="6"/>
        <v>2</v>
      </c>
      <c r="H31" s="564">
        <f t="shared" si="6"/>
        <v>2</v>
      </c>
      <c r="I31" s="564">
        <f t="shared" si="6"/>
        <v>2</v>
      </c>
      <c r="J31" s="564">
        <f t="shared" si="6"/>
        <v>2</v>
      </c>
      <c r="K31" s="564">
        <f>COUNTIF(K11:K29, "&gt;0")</f>
        <v>2</v>
      </c>
      <c r="L31" s="564">
        <f t="shared" ref="L31:AH31" si="7">COUNTIF(L11:L30, "&gt;0")</f>
        <v>3</v>
      </c>
      <c r="M31" s="564">
        <f t="shared" si="7"/>
        <v>2</v>
      </c>
      <c r="N31" s="564">
        <f t="shared" si="7"/>
        <v>2</v>
      </c>
      <c r="O31" s="564">
        <f t="shared" si="7"/>
        <v>2</v>
      </c>
      <c r="P31" s="564">
        <f t="shared" si="7"/>
        <v>3</v>
      </c>
      <c r="Q31" s="564">
        <f t="shared" si="7"/>
        <v>2</v>
      </c>
      <c r="R31" s="564">
        <f t="shared" si="7"/>
        <v>2</v>
      </c>
      <c r="S31" s="564">
        <f t="shared" si="7"/>
        <v>3</v>
      </c>
      <c r="T31" s="564">
        <f t="shared" si="7"/>
        <v>2</v>
      </c>
      <c r="U31" s="564">
        <f t="shared" si="7"/>
        <v>2</v>
      </c>
      <c r="V31" s="564">
        <f t="shared" si="7"/>
        <v>2</v>
      </c>
      <c r="W31" s="564">
        <f t="shared" si="7"/>
        <v>2</v>
      </c>
      <c r="X31" s="564">
        <f t="shared" si="7"/>
        <v>2</v>
      </c>
      <c r="Y31" s="564">
        <f t="shared" si="7"/>
        <v>2</v>
      </c>
      <c r="Z31" s="564">
        <f t="shared" si="7"/>
        <v>2</v>
      </c>
      <c r="AA31" s="564">
        <f t="shared" si="7"/>
        <v>2</v>
      </c>
      <c r="AB31" s="564">
        <f t="shared" si="7"/>
        <v>2</v>
      </c>
      <c r="AC31" s="564">
        <f t="shared" si="7"/>
        <v>2</v>
      </c>
      <c r="AD31" s="564">
        <f t="shared" si="7"/>
        <v>2</v>
      </c>
      <c r="AE31" s="564">
        <f t="shared" si="7"/>
        <v>2</v>
      </c>
      <c r="AF31" s="564">
        <f t="shared" si="7"/>
        <v>2</v>
      </c>
      <c r="AG31" s="564">
        <f t="shared" si="7"/>
        <v>2</v>
      </c>
      <c r="AH31" s="567">
        <f t="shared" si="7"/>
        <v>2</v>
      </c>
      <c r="AI31" s="568">
        <f t="shared" ref="AI31:AN31" si="8">SUM(AI11:AI30)</f>
        <v>65</v>
      </c>
      <c r="AJ31" s="568">
        <f>SUM(AJ11:AJ30)</f>
        <v>719</v>
      </c>
      <c r="AK31" s="568">
        <f t="shared" si="8"/>
        <v>26</v>
      </c>
      <c r="AL31" s="568">
        <f t="shared" si="8"/>
        <v>0</v>
      </c>
      <c r="AM31" s="568">
        <f t="shared" si="8"/>
        <v>0</v>
      </c>
      <c r="AN31" s="568">
        <f t="shared" si="8"/>
        <v>0</v>
      </c>
    </row>
    <row r="33" spans="2:16">
      <c r="B33" s="3" t="s">
        <v>135</v>
      </c>
      <c r="P33" s="3" t="s">
        <v>136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Ялта, Ленина, 18</vt:lpstr>
      <vt:lpstr>Конкурс</vt:lpstr>
      <vt:lpstr>Св. по пок.</vt:lpstr>
      <vt:lpstr>План на день</vt:lpstr>
      <vt:lpstr>Рогалевич И. Е. </vt:lpstr>
      <vt:lpstr>Уразгильдеева Е. Р. </vt:lpstr>
      <vt:lpstr>Яковенко А. К. </vt:lpstr>
      <vt:lpstr>ПК 3</vt:lpstr>
      <vt:lpstr>Доп сотрудник</vt:lpstr>
      <vt:lpstr>Вед-ть Рогалевич</vt:lpstr>
      <vt:lpstr>Вед-ть Яковенко</vt:lpstr>
      <vt:lpstr>Вед-ть Уразгильдеева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lenadacenko@icloud.com</cp:lastModifiedBy>
  <cp:revision>700</cp:revision>
  <dcterms:created xsi:type="dcterms:W3CDTF">2025-04-30T22:17:27Z</dcterms:created>
  <dcterms:modified xsi:type="dcterms:W3CDTF">2025-09-10T08:12:01Z</dcterms:modified>
</cp:coreProperties>
</file>