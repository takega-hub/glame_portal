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0"/>
  </bookViews>
  <sheets>
    <sheet name="Ялта, Ленина, 18" sheetId="1" state="visible" r:id="rId2"/>
    <sheet name="Конкурс" sheetId="2" state="visible" r:id="rId3"/>
    <sheet name="Св. по пок." sheetId="3" state="visible" r:id="rId4"/>
    <sheet name="План на день" sheetId="4" state="visible" r:id="rId5"/>
    <sheet name="Рогалевич И. Е. " sheetId="5" state="visible" r:id="rId6"/>
    <sheet name="Уразгильдеева Е. Р. " sheetId="6" state="visible" r:id="rId7"/>
    <sheet name="Арапова А. В." sheetId="7" state="visible" r:id="rId8"/>
    <sheet name="Доп сотрудник" sheetId="8" state="visible" r:id="rId9"/>
    <sheet name="Вед-ть Рогалевич" sheetId="9" state="visible" r:id="rId10"/>
    <sheet name="Вед-ть Арапова" sheetId="10" state="visible" r:id="rId11"/>
    <sheet name="Вед-ть Уразгильдеева" sheetId="11" state="visible" r:id="rId12"/>
    <sheet name="График" sheetId="12" state="visible" r:id="rId13"/>
  </sheets>
  <externalReferences>
    <externalReference r:id="rId1"/>
  </externalReferences>
  <definedNames>
    <definedName name="маг">NA()</definedName>
  </definedNames>
  <calcPr/>
</workbook>
</file>

<file path=xl/sharedStrings.xml><?xml version="1.0" encoding="utf-8"?>
<sst xmlns="http://schemas.openxmlformats.org/spreadsheetml/2006/main" count="142" uniqueCount="142">
  <si>
    <t xml:space="preserve">(отчетная дата)</t>
  </si>
  <si>
    <t xml:space="preserve">Осталось до выполнения плана!!!</t>
  </si>
  <si>
    <t xml:space="preserve">Целевые показатели</t>
  </si>
  <si>
    <t>Показатель</t>
  </si>
  <si>
    <t>План</t>
  </si>
  <si>
    <t>Факт</t>
  </si>
  <si>
    <t xml:space="preserve">% выполнения</t>
  </si>
  <si>
    <t xml:space="preserve">Прогноз выполнения</t>
  </si>
  <si>
    <t xml:space="preserve">% выполнения по прогнозу</t>
  </si>
  <si>
    <t>Отклонение</t>
  </si>
  <si>
    <t xml:space="preserve">Факт аналогичного месяца прошлого года</t>
  </si>
  <si>
    <t xml:space="preserve">Отклонение LFL</t>
  </si>
  <si>
    <t>Выручка</t>
  </si>
  <si>
    <t xml:space="preserve">Кол-во изделий</t>
  </si>
  <si>
    <t xml:space="preserve">Средний чек</t>
  </si>
  <si>
    <t xml:space="preserve">Средняя стоимость изделия</t>
  </si>
  <si>
    <t xml:space="preserve">Длина чека</t>
  </si>
  <si>
    <t xml:space="preserve">Кол-во чеков</t>
  </si>
  <si>
    <t xml:space="preserve">Кол-во смен</t>
  </si>
  <si>
    <t xml:space="preserve">Средние продажи в смену</t>
  </si>
  <si>
    <t>Отставание/Перевыполнение</t>
  </si>
  <si>
    <t>Трафик</t>
  </si>
  <si>
    <t xml:space="preserve">Конверсия план/факт</t>
  </si>
  <si>
    <t xml:space="preserve">Факт продаж за месяц</t>
  </si>
  <si>
    <t xml:space="preserve">% выполнения дневного плана</t>
  </si>
  <si>
    <t xml:space="preserve">Раcпределение плана по дням</t>
  </si>
  <si>
    <t>Сотрудник</t>
  </si>
  <si>
    <t>Дата</t>
  </si>
  <si>
    <t xml:space="preserve">День недели</t>
  </si>
  <si>
    <t xml:space="preserve">Выручка (руб)</t>
  </si>
  <si>
    <t xml:space="preserve">Кол-во единиц (шт.)</t>
  </si>
  <si>
    <t xml:space="preserve">Средняя стоимость изделия (руб.)</t>
  </si>
  <si>
    <t xml:space="preserve">Количество чеков  (шт.)</t>
  </si>
  <si>
    <t xml:space="preserve">Средняя сумма чека (руб.)</t>
  </si>
  <si>
    <t xml:space="preserve">Длина чека (шт.)</t>
  </si>
  <si>
    <t>UNOde50</t>
  </si>
  <si>
    <t>IS</t>
  </si>
  <si>
    <t>Agafi</t>
  </si>
  <si>
    <t>Kalliope</t>
  </si>
  <si>
    <t>Raganella</t>
  </si>
  <si>
    <t xml:space="preserve">Конверсия (%)</t>
  </si>
  <si>
    <t xml:space="preserve">выручка, план</t>
  </si>
  <si>
    <t xml:space="preserve">кол-во ед, план</t>
  </si>
  <si>
    <t xml:space="preserve">Кол-во чеков, план</t>
  </si>
  <si>
    <t xml:space="preserve">выручка, скорректир.план</t>
  </si>
  <si>
    <t xml:space="preserve">кол-во ед, скорр. план</t>
  </si>
  <si>
    <t xml:space="preserve">кол-во чеков, скорр. план</t>
  </si>
  <si>
    <t xml:space="preserve">Коэфф. Дня Недели</t>
  </si>
  <si>
    <t xml:space="preserve">Специфика месяца</t>
  </si>
  <si>
    <t>Уразгильдеева</t>
  </si>
  <si>
    <t>пн</t>
  </si>
  <si>
    <t>Уразгильдеева,Арапова</t>
  </si>
  <si>
    <t>вт</t>
  </si>
  <si>
    <t>ср</t>
  </si>
  <si>
    <t>чт</t>
  </si>
  <si>
    <t>пт</t>
  </si>
  <si>
    <t>сб</t>
  </si>
  <si>
    <t>вс</t>
  </si>
  <si>
    <t>Рогалевич,Арапова</t>
  </si>
  <si>
    <t>Рогалевич,Уразгильдеева</t>
  </si>
  <si>
    <t>Рогалевич</t>
  </si>
  <si>
    <t>Арапова</t>
  </si>
  <si>
    <t>Рогалевич,Уразгильдеева,Арапова</t>
  </si>
  <si>
    <t>Рогалевич,Арапова.Уразгильдеева</t>
  </si>
  <si>
    <t>итого</t>
  </si>
  <si>
    <t xml:space="preserve">Личный ежедневный КВП, %</t>
  </si>
  <si>
    <t>Сотруник</t>
  </si>
  <si>
    <t>Итого:</t>
  </si>
  <si>
    <t xml:space="preserve">Рогалевич Ирина</t>
  </si>
  <si>
    <t xml:space="preserve">Арапова Анна</t>
  </si>
  <si>
    <t xml:space="preserve">Уразгильдеева Екатерина</t>
  </si>
  <si>
    <t xml:space="preserve">Личный КВП, баллы</t>
  </si>
  <si>
    <t>1-20.08</t>
  </si>
  <si>
    <t xml:space="preserve">Факт </t>
  </si>
  <si>
    <t>Прогноз</t>
  </si>
  <si>
    <t xml:space="preserve">Кол-во смен план/отработано</t>
  </si>
  <si>
    <t xml:space="preserve">Отклонение от плана</t>
  </si>
  <si>
    <t>Конверсия</t>
  </si>
  <si>
    <t xml:space="preserve">                          ЕЖЕДНЕВНЫЙ ОТЧЕТ О ПРОДАЖАХ</t>
  </si>
  <si>
    <t>в</t>
  </si>
  <si>
    <t xml:space="preserve">Арапова Анна -Мария</t>
  </si>
  <si>
    <t xml:space="preserve">Доп сотрудник</t>
  </si>
  <si>
    <t xml:space="preserve">Выплачено на карту</t>
  </si>
  <si>
    <t xml:space="preserve">Выплачено наличными по платежной ведомости</t>
  </si>
  <si>
    <t xml:space="preserve">Дополнительные начисления, доплаты</t>
  </si>
  <si>
    <t>Оклад</t>
  </si>
  <si>
    <t xml:space="preserve">Бонусная часть от личных продаж</t>
  </si>
  <si>
    <t xml:space="preserve">Бонусная часть от общих продаж</t>
  </si>
  <si>
    <t xml:space="preserve">Базовый бонус за выполнение плана</t>
  </si>
  <si>
    <t>Вычеты</t>
  </si>
  <si>
    <t xml:space="preserve">Итого к выдаче с учетом авансов и вычетов</t>
  </si>
  <si>
    <t>Подпись</t>
  </si>
  <si>
    <t xml:space="preserve">Доп начисления</t>
  </si>
  <si>
    <t>Сумма</t>
  </si>
  <si>
    <t>Описание</t>
  </si>
  <si>
    <t xml:space="preserve">НДФЛ декабрь 2025</t>
  </si>
  <si>
    <t xml:space="preserve">Административный %</t>
  </si>
  <si>
    <t xml:space="preserve">Вычет согласно инвентаризационной ведомости от 09.01</t>
  </si>
  <si>
    <t xml:space="preserve">Премия "Сотрудник года"</t>
  </si>
  <si>
    <t>Оклад:</t>
  </si>
  <si>
    <t>Дней</t>
  </si>
  <si>
    <t>Магазин</t>
  </si>
  <si>
    <t>Должность</t>
  </si>
  <si>
    <t xml:space="preserve">Зачислено часов</t>
  </si>
  <si>
    <t xml:space="preserve">Ставка за час, руб</t>
  </si>
  <si>
    <t xml:space="preserve">Начислено за день, руб</t>
  </si>
  <si>
    <t>КВП</t>
  </si>
  <si>
    <t xml:space="preserve">Начисленный ББ</t>
  </si>
  <si>
    <t>ПК</t>
  </si>
  <si>
    <t>БонуснаяЧасть</t>
  </si>
  <si>
    <t xml:space="preserve">Бонус от личных продаж по категории товара</t>
  </si>
  <si>
    <t xml:space="preserve">Бонус от общих продаж</t>
  </si>
  <si>
    <t xml:space="preserve">Процент от продажи</t>
  </si>
  <si>
    <t xml:space="preserve">Продано на сумму, руб</t>
  </si>
  <si>
    <t xml:space="preserve">Начисленный бонус от продаж, руб</t>
  </si>
  <si>
    <t xml:space="preserve">Кол-во отработанных личных часов</t>
  </si>
  <si>
    <t xml:space="preserve">Кол-во отработанных общих часов</t>
  </si>
  <si>
    <t>пб</t>
  </si>
  <si>
    <t xml:space="preserve">Декабрь, 2025</t>
  </si>
  <si>
    <t xml:space="preserve">г. Ялта</t>
  </si>
  <si>
    <t>Симферополь</t>
  </si>
  <si>
    <t xml:space="preserve">ул. Набережная Ленина, 18</t>
  </si>
  <si>
    <t>GL-0005</t>
  </si>
  <si>
    <t>10.00-22.00</t>
  </si>
  <si>
    <t>ФОТ</t>
  </si>
  <si>
    <t xml:space="preserve">Кол-во дней в месяц</t>
  </si>
  <si>
    <t>Часы</t>
  </si>
  <si>
    <t>Выходные</t>
  </si>
  <si>
    <t>Отпуск</t>
  </si>
  <si>
    <t xml:space="preserve">Больничный (официальный)</t>
  </si>
  <si>
    <t xml:space="preserve">Дни стажировки</t>
  </si>
  <si>
    <t>№</t>
  </si>
  <si>
    <t>ФИО</t>
  </si>
  <si>
    <t>Дни</t>
  </si>
  <si>
    <t xml:space="preserve">Арапова Анна-Мария</t>
  </si>
  <si>
    <t>УМ</t>
  </si>
  <si>
    <t>с</t>
  </si>
  <si>
    <t>c</t>
  </si>
  <si>
    <t xml:space="preserve">Итого магазин</t>
  </si>
  <si>
    <t xml:space="preserve">Выделять рабочие дни цветом, выходные не выделять.</t>
  </si>
  <si>
    <t xml:space="preserve">    </t>
  </si>
  <si>
    <t xml:space="preserve">Указывать темной или светлой заливкой вечернюю или утреннюю смену.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</si>
</sst>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0" formatCode="dddd&quot;, &quot;mmmm\ dd&quot;, &quot;yyyy"/>
    <numFmt numFmtId="161" formatCode="0.0%"/>
    <numFmt numFmtId="162" formatCode="#,##0\ &quot;₽&quot;"/>
    <numFmt numFmtId="163" formatCode="#,##0.0"/>
    <numFmt numFmtId="164" formatCode="_-* #,##0.00_р_._-;\-* #,##0.00_р_._-;_-* \-??_р_._-;_-@_-"/>
    <numFmt numFmtId="165" formatCode="#,##0.00\ &quot;₽&quot;"/>
    <numFmt numFmtId="166" formatCode="#,##0\ &quot;₽&quot;;\-#,##0\ &quot;₽&quot;"/>
    <numFmt numFmtId="167" formatCode="#,##0\ _₽"/>
    <numFmt numFmtId="168" formatCode="#,##0.00\ _₽"/>
    <numFmt numFmtId="169" formatCode="0.0"/>
    <numFmt numFmtId="170" formatCode="mmmm\ yyyy;@"/>
  </numFmts>
  <fonts count="56">
    <font>
      <sz val="11.000000"/>
      <color indexed="63"/>
      <name val="Calibri"/>
    </font>
    <font>
      <sz val="9.000000"/>
      <color indexed="63"/>
      <name val="Times New Roman"/>
    </font>
    <font>
      <sz val="11.000000"/>
      <color indexed="63"/>
      <name val="Times New Roman"/>
    </font>
    <font>
      <sz val="11.000000"/>
      <color indexed="63"/>
      <name val="Clinica Pro Regular"/>
    </font>
    <font>
      <sz val="11.000000"/>
      <color rgb="FFCC66FF"/>
      <name val="Times New Roman"/>
    </font>
    <font>
      <b/>
      <sz val="8.000000"/>
      <color rgb="FFCC66FF"/>
      <name val="Times New Roman"/>
    </font>
    <font>
      <sz val="8.000000"/>
      <name val="Times New Roman"/>
    </font>
    <font>
      <sz val="28.000000"/>
      <color rgb="FFCC66FF"/>
      <name val="Times New Roman"/>
    </font>
    <font>
      <sz val="8.000000"/>
      <color rgb="FFCC66FF"/>
      <name val="Times New Roman"/>
    </font>
    <font>
      <b/>
      <sz val="11.000000"/>
      <color rgb="FFCC66FF"/>
      <name val="Times New Roman"/>
    </font>
    <font>
      <b/>
      <sz val="11.000000"/>
      <color rgb="FFCC66FF"/>
      <name val="Clinica Pro Regular"/>
    </font>
    <font>
      <sz val="11.000000"/>
      <color rgb="FFCC66FF"/>
      <name val="Clinica Pro Regular"/>
    </font>
    <font>
      <b/>
      <sz val="12.000000"/>
      <color rgb="FFCC66FF"/>
      <name val="Clinica Pro Regular"/>
    </font>
    <font>
      <b/>
      <sz val="8.000000"/>
      <name val="Times New Roman"/>
    </font>
    <font>
      <sz val="11.000000"/>
      <color rgb="FFFFC000"/>
      <name val="Times New Roman"/>
    </font>
    <font>
      <b/>
      <sz val="12.000000"/>
      <name val="Clinica Pro Regular"/>
    </font>
    <font>
      <sz val="8.000000"/>
      <name val="Clinica Pro Regular"/>
    </font>
    <font>
      <b/>
      <sz val="8.000000"/>
      <name val="Clinica Pro Regular"/>
    </font>
    <font>
      <b/>
      <sz val="8.000000"/>
      <color indexed="17"/>
      <name val="Clinica Pro Regular"/>
    </font>
    <font>
      <b/>
      <sz val="9.000000"/>
      <name val="Clinica Pro Regular"/>
    </font>
    <font>
      <sz val="9.000000"/>
      <name val="Clinica Pro Regular"/>
    </font>
    <font>
      <b/>
      <sz val="10.000000"/>
      <name val="Clinica Pro Regular"/>
    </font>
    <font>
      <b/>
      <sz val="9.000000"/>
      <color theme="1"/>
      <name val="Clinica Pro Regular"/>
    </font>
    <font>
      <b/>
      <sz val="8.000000"/>
      <color theme="1"/>
      <name val="Clinica Pro Regular"/>
    </font>
    <font>
      <b/>
      <sz val="9.000000"/>
      <color indexed="17"/>
      <name val="Clinica Pro Regular"/>
    </font>
    <font>
      <b/>
      <sz val="8.000000"/>
      <color indexed="63"/>
      <name val="Clinica Pro Regular"/>
    </font>
    <font>
      <b/>
      <sz val="8.000000"/>
      <color rgb="FF3B3838"/>
      <name val="Clinica Pro Regular"/>
    </font>
    <font>
      <sz val="9.000000"/>
      <color indexed="63"/>
      <name val="Clinica Pro Regular"/>
    </font>
    <font>
      <b/>
      <sz val="8.000000"/>
      <color rgb="FF1F4E79"/>
      <name val="Clinica Pro Regular"/>
    </font>
    <font>
      <sz val="11.000000"/>
      <name val="Calibri"/>
    </font>
    <font>
      <sz val="8.000000"/>
      <color theme="1"/>
      <name val="Clinica Pro Regular"/>
    </font>
    <font>
      <sz val="8.000000"/>
      <color indexed="63"/>
      <name val="Clinica Pro Regular"/>
    </font>
    <font>
      <sz val="12.000000"/>
      <color theme="1"/>
      <name val="Clinica Pro Regular"/>
    </font>
    <font>
      <b/>
      <sz val="12.000000"/>
      <color theme="1"/>
      <name val="Clinica Pro Regular"/>
    </font>
    <font>
      <sz val="10.000000"/>
      <color theme="1"/>
      <name val="Clinica Pro Regular"/>
    </font>
    <font>
      <sz val="9.000000"/>
      <color theme="1"/>
      <name val="Clinica Pro Regular"/>
    </font>
    <font>
      <sz val="10.000000"/>
      <name val="Clinica Pro Regular"/>
    </font>
    <font>
      <sz val="10.000000"/>
      <color indexed="63"/>
      <name val="Clinica Pro Regular"/>
    </font>
    <font>
      <b/>
      <sz val="8.000000"/>
      <color rgb="FFCC66FF"/>
      <name val="Clinica Pro Regular"/>
    </font>
    <font>
      <sz val="28.000000"/>
      <color rgb="FFCC66FF"/>
      <name val="Clinica Pro Regular"/>
    </font>
    <font>
      <sz val="8.000000"/>
      <color rgb="FFCC66FF"/>
      <name val="Clinica Pro Regular"/>
    </font>
    <font>
      <sz val="11.000000"/>
      <color rgb="FFFFC000"/>
      <name val="Clinica Pro Regular"/>
    </font>
    <font>
      <sz val="8.000000"/>
      <color rgb="FF413003"/>
      <name val="Clinica Pro Regular"/>
    </font>
    <font>
      <b/>
      <sz val="8.000000"/>
      <color rgb="FF413003"/>
      <name val="Clinica Pro Regular"/>
    </font>
    <font>
      <b/>
      <sz val="11.000000"/>
      <color indexed="56"/>
      <name val="Arial"/>
    </font>
    <font>
      <b/>
      <sz val="11.000000"/>
      <color indexed="56"/>
      <name val="Clinica Pro Regular"/>
    </font>
    <font>
      <sz val="12.000000"/>
      <name val="Clinica Pro Regular"/>
    </font>
    <font>
      <b/>
      <sz val="14.000000"/>
      <color indexed="56"/>
      <name val="Clinica Pro Regular"/>
    </font>
    <font>
      <b/>
      <sz val="12.000000"/>
      <color indexed="18"/>
      <name val="Clinica Pro Regular"/>
    </font>
    <font>
      <sz val="10.000000"/>
      <color indexed="56"/>
      <name val="Clinica Pro Regular"/>
    </font>
    <font>
      <b/>
      <sz val="10.000000"/>
      <color indexed="18"/>
      <name val="Clinica Pro Regular"/>
    </font>
    <font>
      <b/>
      <sz val="10.000000"/>
      <color indexed="16"/>
      <name val="Clinica Pro Regular"/>
    </font>
    <font>
      <sz val="11.000000"/>
      <name val="Clinica Pro Regular"/>
    </font>
    <font>
      <sz val="10.000000"/>
      <color theme="0"/>
      <name val="Clinica Pro Regular"/>
    </font>
    <font>
      <b/>
      <sz val="11.000000"/>
      <name val="Clinica Pro Regular"/>
    </font>
    <font>
      <sz val="12.000000"/>
      <color indexed="2"/>
      <name val="Clinica Pro Regular"/>
    </font>
  </fonts>
  <fills count="37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  <b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theme="0"/>
        <bgColor rgb="FF66FFFF"/>
      </patternFill>
    </fill>
    <fill>
      <patternFill patternType="solid">
        <fgColor indexed="5"/>
        <bgColor indexed="5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theme="2"/>
        <bgColor theme="2"/>
      </patternFill>
    </fill>
    <fill>
      <patternFill patternType="solid">
        <fgColor theme="2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099978637043366805"/>
        <bgColor indexed="65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70C0"/>
        <bgColor rgb="FF0070C0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4" tint="0.79998168889431442"/>
        <bgColor theme="2"/>
      </patternFill>
    </fill>
  </fills>
  <borders count="126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thin">
        <color rgb="FFCCC085"/>
      </bottom>
      <diagonal style="none"/>
    </border>
    <border>
      <left style="thin">
        <color rgb="FFCCC085"/>
      </left>
      <right style="none"/>
      <top style="none"/>
      <bottom style="thin">
        <color rgb="FFCCC085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rgb="FFCCC085"/>
      </bottom>
      <diagonal style="none"/>
    </border>
    <border>
      <left style="none"/>
      <right style="none"/>
      <top style="thin">
        <color rgb="FFCCC085"/>
      </top>
      <bottom style="thin">
        <color rgb="FFCCC085"/>
      </bottom>
      <diagonal style="none"/>
    </border>
    <border>
      <left style="thin">
        <color rgb="FFCCC085"/>
      </left>
      <right style="none"/>
      <top style="thin">
        <color rgb="FFCCC085"/>
      </top>
      <bottom style="thin">
        <color rgb="FFCCC085"/>
      </bottom>
      <diagonal style="none"/>
    </border>
    <border>
      <left style="none"/>
      <right style="medium">
        <color auto="1"/>
      </right>
      <top style="thin">
        <color rgb="FFCCC085"/>
      </top>
      <bottom style="thin">
        <color rgb="FFCCC085"/>
      </bottom>
      <diagonal style="none"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 style="none"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 style="none"/>
    </border>
    <border>
      <left style="medium">
        <color auto="1"/>
      </left>
      <right style="none"/>
      <top style="thin">
        <color rgb="FFCCC085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rgb="FFCCC085"/>
      </top>
      <bottom style="medium">
        <color auto="1"/>
      </bottom>
      <diagonal style="none"/>
    </border>
    <border>
      <left style="thin">
        <color rgb="FFCCC085"/>
      </left>
      <right style="none"/>
      <top style="none"/>
      <bottom style="thin">
        <color auto="1"/>
      </bottom>
      <diagonal style="none"/>
    </border>
    <border>
      <left style="thin">
        <color rgb="FFCCC085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rgb="FFCCC085"/>
      </right>
      <top style="thin">
        <color auto="1"/>
      </top>
      <bottom style="thin">
        <color auto="1"/>
      </bottom>
      <diagonal style="none"/>
    </border>
    <border>
      <left style="thin">
        <color rgb="FFCCC085"/>
      </left>
      <right style="thin">
        <color rgb="FFCCC085"/>
      </right>
      <top style="thin">
        <color auto="1"/>
      </top>
      <bottom style="thin">
        <color auto="1"/>
      </bottom>
      <diagonal style="none"/>
    </border>
    <border>
      <left style="thin">
        <color rgb="FFCCC085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rgb="FFCCC085"/>
      </bottom>
      <diagonal style="none"/>
    </border>
    <border>
      <left style="none"/>
      <right style="medium">
        <color auto="1"/>
      </right>
      <top style="none"/>
      <bottom style="thin">
        <color rgb="FFCCC085"/>
      </bottom>
      <diagonal style="none"/>
    </border>
    <border>
      <left style="medium">
        <color indexed="16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 style="none"/>
    </border>
    <border>
      <left style="none"/>
      <right style="none"/>
      <top style="medium">
        <color indexed="16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 style="none"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 style="none"/>
    </border>
    <border>
      <left style="medium">
        <color indexed="16"/>
      </left>
      <right style="medium">
        <color indexed="16"/>
      </right>
      <top style="thin">
        <color indexed="16"/>
      </top>
      <bottom style="none"/>
      <diagonal style="none"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 style="none"/>
    </border>
    <border>
      <left style="none"/>
      <right style="medium">
        <color indexed="16"/>
      </right>
      <top style="medium">
        <color indexed="16"/>
      </top>
      <bottom style="medium">
        <color indexed="16"/>
      </bottom>
      <diagonal style="none"/>
    </border>
    <border>
      <left style="none"/>
      <right style="none"/>
      <top style="medium">
        <color indexed="16"/>
      </top>
      <bottom style="medium">
        <color indexed="16"/>
      </bottom>
      <diagonal style="none"/>
    </border>
    <border>
      <left style="medium">
        <color indexed="16"/>
      </left>
      <right style="medium">
        <color indexed="16"/>
      </right>
      <top style="medium">
        <color indexed="16"/>
      </top>
      <bottom style="none"/>
      <diagonal style="none"/>
    </border>
    <border>
      <left style="medium">
        <color indexed="16"/>
      </left>
      <right style="none"/>
      <top style="none"/>
      <bottom style="medium">
        <color indexed="16"/>
      </bottom>
      <diagonal style="none"/>
    </border>
    <border>
      <left style="medium">
        <color indexed="16"/>
      </left>
      <right style="medium">
        <color indexed="16"/>
      </right>
      <top style="none"/>
      <bottom style="medium">
        <color indexed="16"/>
      </bottom>
      <diagonal style="none"/>
    </border>
    <border>
      <left style="medium">
        <color indexed="16"/>
      </left>
      <right style="none"/>
      <top style="medium">
        <color indexed="16"/>
      </top>
      <bottom style="medium">
        <color indexed="16"/>
      </bottom>
      <diagonal style="none"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 style="none"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 style="none"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 style="none"/>
    </border>
    <border>
      <left style="medium">
        <color indexed="16"/>
      </left>
      <right style="thin">
        <color indexed="16"/>
      </right>
      <top style="none"/>
      <bottom style="none"/>
      <diagonal style="none"/>
    </border>
    <border>
      <left style="thin">
        <color indexed="16"/>
      </left>
      <right style="thin">
        <color indexed="16"/>
      </right>
      <top style="none"/>
      <bottom style="none"/>
      <diagonal style="none"/>
    </border>
    <border>
      <left style="thin">
        <color indexed="16"/>
      </left>
      <right style="thin">
        <color indexed="16"/>
      </right>
      <top style="medium">
        <color indexed="16"/>
      </top>
      <bottom style="none"/>
      <diagonal style="none"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 style="none"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 style="none"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indexed="16"/>
      </right>
      <top style="none"/>
      <bottom style="medium">
        <color indexed="16"/>
      </bottom>
      <diagonal style="none"/>
    </border>
    <border>
      <left style="thin">
        <color indexed="16"/>
      </left>
      <right style="thin">
        <color indexed="16"/>
      </right>
      <top style="none"/>
      <bottom style="medium">
        <color indexed="16"/>
      </bottom>
      <diagonal style="none"/>
    </border>
    <border>
      <left style="none"/>
      <right style="thin">
        <color indexed="16"/>
      </right>
      <top style="none"/>
      <bottom style="thin">
        <color indexed="16"/>
      </bottom>
      <diagonal style="none"/>
    </border>
    <border>
      <left style="thin">
        <color indexed="16"/>
      </left>
      <right style="thin">
        <color indexed="16"/>
      </right>
      <top style="none"/>
      <bottom style="thin">
        <color indexed="16"/>
      </bottom>
      <diagonal style="none"/>
    </border>
    <border>
      <left style="thin">
        <color indexed="16"/>
      </left>
      <right style="none"/>
      <top style="none"/>
      <bottom style="thin">
        <color indexed="16"/>
      </bottom>
      <diagonal style="none"/>
    </border>
    <border>
      <left style="none"/>
      <right style="thin">
        <color indexed="16"/>
      </right>
      <top style="thin">
        <color indexed="16"/>
      </top>
      <bottom style="thin">
        <color indexed="16"/>
      </bottom>
      <diagonal style="none"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 style="none"/>
    </border>
    <border>
      <left style="thin">
        <color indexed="16"/>
      </left>
      <right style="none"/>
      <top style="thin">
        <color indexed="16"/>
      </top>
      <bottom style="thin">
        <color indexed="16"/>
      </bottom>
      <diagonal style="none"/>
    </border>
    <border>
      <left style="thin">
        <color indexed="16"/>
      </left>
      <right style="thin">
        <color indexed="16"/>
      </right>
      <top style="thin">
        <color indexed="16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indexed="16"/>
      </top>
      <bottom style="none"/>
      <diagonal style="none"/>
    </border>
    <border>
      <left style="none"/>
      <right style="none"/>
      <top style="thin">
        <color indexed="16"/>
      </top>
      <bottom style="thin">
        <color indexed="16"/>
      </bottom>
      <diagonal style="none"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 style="none"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 style="none"/>
    </border>
    <border>
      <left style="thin">
        <color indexed="16"/>
      </left>
      <right style="none"/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695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/>
    <xf fontId="3" fillId="0" borderId="0" numFmtId="0" xfId="0" applyFont="1"/>
    <xf fontId="4" fillId="2" borderId="0" numFmtId="0" xfId="0" applyFont="1" applyFill="1" applyAlignment="1">
      <alignment horizontal="center" vertical="center"/>
    </xf>
    <xf fontId="5" fillId="2" borderId="0" numFmtId="160" xfId="0" applyNumberFormat="1" applyFont="1" applyFill="1" applyAlignment="1">
      <alignment horizontal="center" vertical="center"/>
    </xf>
    <xf fontId="4" fillId="2" borderId="0" numFmtId="0" xfId="0" applyFont="1" applyFill="1"/>
    <xf fontId="2" fillId="2" borderId="0" numFmtId="0" xfId="0" applyFont="1" applyFill="1"/>
    <xf fontId="6" fillId="2" borderId="0" numFmtId="0" xfId="0" applyFont="1" applyFill="1"/>
    <xf fontId="7" fillId="2" borderId="0" numFmtId="0" xfId="0" applyFont="1" applyFill="1" applyAlignment="1">
      <alignment horizontal="center"/>
    </xf>
    <xf fontId="0" fillId="2" borderId="0" numFmtId="0" xfId="0" applyFill="1"/>
    <xf fontId="8" fillId="2" borderId="0" numFmtId="0" xfId="0" applyFont="1" applyFill="1" applyAlignment="1">
      <alignment horizontal="center" vertical="top"/>
    </xf>
    <xf fontId="9" fillId="2" borderId="0" numFmtId="0" xfId="0" applyFont="1" applyFill="1" applyAlignment="1">
      <alignment horizontal="left" vertical="top"/>
    </xf>
    <xf fontId="9" fillId="2" borderId="0" numFmtId="0" xfId="0" applyFont="1" applyFill="1"/>
    <xf fontId="10" fillId="2" borderId="0" numFmtId="0" xfId="0" applyFont="1" applyFill="1"/>
    <xf fontId="11" fillId="2" borderId="0" numFmtId="0" xfId="0" applyFont="1" applyFill="1"/>
    <xf fontId="3" fillId="2" borderId="0" numFmtId="0" xfId="0" applyFont="1" applyFill="1"/>
    <xf fontId="12" fillId="3" borderId="1" numFmtId="0" xfId="0" applyFont="1" applyFill="1" applyBorder="1" applyAlignment="1">
      <alignment horizontal="center" vertical="center" wrapText="1"/>
    </xf>
    <xf fontId="12" fillId="3" borderId="2" numFmtId="0" xfId="0" applyFont="1" applyFill="1" applyBorder="1" applyAlignment="1">
      <alignment horizontal="center" vertical="center" wrapText="1"/>
    </xf>
    <xf fontId="12" fillId="3" borderId="3" numFmtId="0" xfId="0" applyFont="1" applyFill="1" applyBorder="1" applyAlignment="1">
      <alignment horizontal="center" vertical="center" wrapText="1"/>
    </xf>
    <xf fontId="13" fillId="2" borderId="0" numFmtId="160" xfId="0" applyNumberFormat="1" applyFont="1" applyFill="1" applyAlignment="1">
      <alignment horizontal="center" vertical="center"/>
    </xf>
    <xf fontId="11" fillId="2" borderId="1" numFmtId="3" xfId="0" applyNumberFormat="1" applyFont="1" applyFill="1" applyBorder="1" applyAlignment="1">
      <alignment horizontal="center"/>
    </xf>
    <xf fontId="11" fillId="2" borderId="4" numFmtId="3" xfId="0" applyNumberFormat="1" applyFont="1" applyFill="1" applyBorder="1" applyAlignment="1">
      <alignment horizontal="center"/>
    </xf>
    <xf fontId="11" fillId="2" borderId="5" numFmtId="9" xfId="0" applyNumberFormat="1" applyFont="1" applyFill="1" applyBorder="1"/>
    <xf fontId="12" fillId="3" borderId="6" numFmtId="0" xfId="0" applyFont="1" applyFill="1" applyBorder="1" applyAlignment="1">
      <alignment horizontal="center" vertical="center" wrapText="1"/>
    </xf>
    <xf fontId="12" fillId="3" borderId="7" numFmtId="0" xfId="0" applyFont="1" applyFill="1" applyBorder="1" applyAlignment="1">
      <alignment horizontal="center" vertical="center" wrapText="1"/>
    </xf>
    <xf fontId="12" fillId="3" borderId="8" numFmtId="0" xfId="0" applyFont="1" applyFill="1" applyBorder="1" applyAlignment="1">
      <alignment horizontal="center" vertical="center" wrapText="1"/>
    </xf>
    <xf fontId="2" fillId="2" borderId="0" numFmtId="1" xfId="0" applyNumberFormat="1" applyFont="1" applyFill="1"/>
    <xf fontId="6" fillId="2" borderId="0" numFmtId="0" xfId="0" applyFont="1" applyFill="1" applyAlignment="1">
      <alignment horizontal="center" vertical="top"/>
    </xf>
    <xf fontId="14" fillId="2" borderId="0" numFmtId="0" xfId="0" applyFont="1" applyFill="1"/>
    <xf fontId="15" fillId="2" borderId="9" numFmtId="0" xfId="0" applyFont="1" applyFill="1" applyBorder="1" applyAlignment="1">
      <alignment horizontal="center" vertical="center"/>
    </xf>
    <xf fontId="15" fillId="2" borderId="10" numFmtId="0" xfId="0" applyFont="1" applyFill="1" applyBorder="1" applyAlignment="1">
      <alignment horizontal="center" vertical="center"/>
    </xf>
    <xf fontId="15" fillId="2" borderId="4" numFmtId="0" xfId="0" applyFont="1" applyFill="1" applyBorder="1" applyAlignment="1">
      <alignment horizontal="center" vertical="center"/>
    </xf>
    <xf fontId="6" fillId="2" borderId="0" numFmtId="161" xfId="0" applyNumberFormat="1" applyFont="1" applyFill="1" applyAlignment="1">
      <alignment vertical="center"/>
    </xf>
    <xf fontId="16" fillId="2" borderId="0" numFmtId="161" xfId="0" applyNumberFormat="1" applyFont="1" applyFill="1" applyAlignment="1">
      <alignment vertical="center"/>
    </xf>
    <xf fontId="17" fillId="2" borderId="11" numFmtId="0" xfId="0" applyFont="1" applyFill="1" applyBorder="1" applyAlignment="1">
      <alignment horizontal="left" vertical="center" wrapText="1"/>
    </xf>
    <xf fontId="17" fillId="2" borderId="2" numFmtId="0" xfId="0" applyFont="1" applyFill="1" applyBorder="1" applyAlignment="1">
      <alignment horizontal="left" vertical="center" wrapText="1"/>
    </xf>
    <xf fontId="17" fillId="2" borderId="3" numFmtId="0" xfId="0" applyFont="1" applyFill="1" applyBorder="1" applyAlignment="1">
      <alignment horizontal="left" vertical="center" wrapText="1"/>
    </xf>
    <xf fontId="17" fillId="2" borderId="12" numFmtId="3" xfId="0" applyNumberFormat="1" applyFont="1" applyFill="1" applyBorder="1" applyAlignment="1">
      <alignment horizontal="center" vertical="center"/>
    </xf>
    <xf fontId="17" fillId="2" borderId="13" numFmtId="3" xfId="0" applyNumberFormat="1" applyFont="1" applyFill="1" applyBorder="1" applyAlignment="1">
      <alignment horizontal="center" vertical="center"/>
    </xf>
    <xf fontId="17" fillId="2" borderId="13" numFmtId="3" xfId="0" applyNumberFormat="1" applyFont="1" applyFill="1" applyBorder="1" applyAlignment="1">
      <alignment horizontal="center" vertical="center" wrapText="1"/>
    </xf>
    <xf fontId="18" fillId="2" borderId="13" numFmtId="0" xfId="0" applyFont="1" applyFill="1" applyBorder="1" applyAlignment="1">
      <alignment horizontal="center" vertical="center" wrapText="1"/>
    </xf>
    <xf fontId="17" fillId="2" borderId="13" numFmtId="0" xfId="0" applyFont="1" applyFill="1" applyBorder="1" applyAlignment="1">
      <alignment horizontal="center" vertical="center" wrapText="1"/>
    </xf>
    <xf fontId="17" fillId="2" borderId="14" numFmtId="0" xfId="0" applyFont="1" applyFill="1" applyBorder="1" applyAlignment="1">
      <alignment horizontal="center" vertical="center" wrapText="1"/>
    </xf>
    <xf fontId="17" fillId="2" borderId="4" numFmtId="0" xfId="0" applyFont="1" applyFill="1" applyBorder="1" applyAlignment="1">
      <alignment horizontal="center" vertical="center" wrapText="1"/>
    </xf>
    <xf fontId="14" fillId="2" borderId="0" numFmtId="3" xfId="0" applyNumberFormat="1" applyFont="1" applyFill="1"/>
    <xf fontId="19" fillId="0" borderId="15" numFmtId="0" xfId="0" applyFont="1" applyBorder="1" applyAlignment="1">
      <alignment horizontal="left" vertical="center"/>
    </xf>
    <xf fontId="19" fillId="0" borderId="16" numFmtId="0" xfId="0" applyFont="1" applyBorder="1" applyAlignment="1">
      <alignment horizontal="left" vertical="center"/>
    </xf>
    <xf fontId="19" fillId="0" borderId="17" numFmtId="0" xfId="0" applyFont="1" applyBorder="1" applyAlignment="1">
      <alignment horizontal="left" vertical="center"/>
    </xf>
    <xf fontId="20" fillId="3" borderId="18" numFmtId="3" xfId="0" applyNumberFormat="1" applyFont="1" applyFill="1" applyBorder="1" applyAlignment="1">
      <alignment horizontal="center" vertical="center"/>
    </xf>
    <xf fontId="20" fillId="4" borderId="19" numFmtId="3" xfId="0" applyNumberFormat="1" applyFont="1" applyFill="1" applyBorder="1" applyAlignment="1">
      <alignment horizontal="center" vertical="center"/>
    </xf>
    <xf fontId="21" fillId="4" borderId="19" numFmtId="10" xfId="0" applyNumberFormat="1" applyFont="1" applyFill="1" applyBorder="1" applyAlignment="1">
      <alignment horizontal="center" vertical="center"/>
    </xf>
    <xf fontId="22" fillId="0" borderId="19" numFmtId="3" xfId="0" applyNumberFormat="1" applyFont="1" applyBorder="1" applyAlignment="1">
      <alignment horizontal="center" vertical="center"/>
    </xf>
    <xf fontId="23" fillId="0" borderId="20" numFmtId="161" xfId="0" applyNumberFormat="1" applyFont="1" applyBorder="1" applyAlignment="1">
      <alignment horizontal="center" vertical="center"/>
    </xf>
    <xf fontId="16" fillId="0" borderId="19" numFmtId="162" xfId="0" applyNumberFormat="1" applyFont="1" applyBorder="1" applyAlignment="1">
      <alignment horizontal="center" vertical="center"/>
    </xf>
    <xf fontId="16" fillId="3" borderId="21" numFmtId="3" xfId="0" applyNumberFormat="1" applyFont="1" applyFill="1" applyBorder="1" applyAlignment="1">
      <alignment horizontal="center" vertical="center"/>
    </xf>
    <xf fontId="16" fillId="0" borderId="19" numFmtId="3" xfId="0" applyNumberFormat="1" applyFont="1" applyBorder="1" applyAlignment="1">
      <alignment horizontal="center" vertical="center"/>
    </xf>
    <xf fontId="16" fillId="0" borderId="22" numFmtId="161" xfId="0" applyNumberFormat="1" applyFont="1" applyBorder="1" applyAlignment="1">
      <alignment horizontal="center" vertical="center"/>
    </xf>
    <xf fontId="16" fillId="5" borderId="0" numFmtId="161" xfId="1" applyNumberFormat="1" applyFont="1" applyFill="1" applyAlignment="1" applyProtection="1">
      <alignment vertical="center"/>
    </xf>
    <xf fontId="16" fillId="0" borderId="15" numFmtId="0" xfId="0" applyFont="1" applyBorder="1" applyAlignment="1">
      <alignment horizontal="left" vertical="center"/>
    </xf>
    <xf fontId="16" fillId="0" borderId="16" numFmtId="0" xfId="0" applyFont="1" applyBorder="1" applyAlignment="1">
      <alignment horizontal="left" vertical="center"/>
    </xf>
    <xf fontId="16" fillId="0" borderId="17" numFmtId="0" xfId="0" applyFont="1" applyBorder="1" applyAlignment="1">
      <alignment horizontal="left" vertical="center"/>
    </xf>
    <xf fontId="20" fillId="4" borderId="23" numFmtId="3" xfId="0" applyNumberFormat="1" applyFont="1" applyFill="1" applyBorder="1" applyAlignment="1">
      <alignment horizontal="center" vertical="center"/>
    </xf>
    <xf fontId="16" fillId="4" borderId="24" numFmtId="3" xfId="0" applyNumberFormat="1" applyFont="1" applyFill="1" applyBorder="1" applyAlignment="1">
      <alignment horizontal="center" vertical="center"/>
    </xf>
    <xf fontId="16" fillId="4" borderId="24" numFmtId="10" xfId="0" applyNumberFormat="1" applyFont="1" applyFill="1" applyBorder="1" applyAlignment="1">
      <alignment horizontal="center" vertical="center"/>
    </xf>
    <xf fontId="22" fillId="0" borderId="24" numFmtId="3" xfId="0" applyNumberFormat="1" applyFont="1" applyBorder="1" applyAlignment="1">
      <alignment horizontal="center" vertical="center"/>
    </xf>
    <xf fontId="23" fillId="0" borderId="25" numFmtId="161" xfId="0" applyNumberFormat="1" applyFont="1" applyBorder="1" applyAlignment="1">
      <alignment horizontal="center" vertical="center"/>
    </xf>
    <xf fontId="16" fillId="0" borderId="24" numFmtId="3" xfId="0" applyNumberFormat="1" applyFont="1" applyBorder="1" applyAlignment="1">
      <alignment horizontal="center" vertical="center"/>
    </xf>
    <xf fontId="16" fillId="4" borderId="16" numFmtId="3" xfId="0" applyNumberFormat="1" applyFont="1" applyFill="1" applyBorder="1" applyAlignment="1">
      <alignment horizontal="center" vertical="center"/>
    </xf>
    <xf fontId="16" fillId="0" borderId="26" numFmtId="161" xfId="0" applyNumberFormat="1" applyFont="1" applyBorder="1" applyAlignment="1">
      <alignment horizontal="center" vertical="center"/>
    </xf>
    <xf fontId="20" fillId="4" borderId="24" numFmtId="3" xfId="0" applyNumberFormat="1" applyFont="1" applyFill="1" applyBorder="1" applyAlignment="1">
      <alignment horizontal="center" vertical="center"/>
    </xf>
    <xf fontId="19" fillId="4" borderId="24" numFmtId="10" xfId="0" applyNumberFormat="1" applyFont="1" applyFill="1" applyBorder="1" applyAlignment="1">
      <alignment horizontal="center" vertical="center"/>
    </xf>
    <xf fontId="22" fillId="0" borderId="25" numFmtId="161" xfId="0" applyNumberFormat="1" applyFont="1" applyBorder="1" applyAlignment="1">
      <alignment horizontal="center" vertical="center"/>
    </xf>
    <xf fontId="19" fillId="0" borderId="24" numFmtId="3" xfId="0" applyNumberFormat="1" applyFont="1" applyBorder="1" applyAlignment="1">
      <alignment horizontal="center" vertical="center"/>
    </xf>
    <xf fontId="19" fillId="4" borderId="23" numFmtId="3" xfId="0" applyNumberFormat="1" applyFont="1" applyFill="1" applyBorder="1" applyAlignment="1">
      <alignment horizontal="center" vertical="center"/>
    </xf>
    <xf fontId="19" fillId="0" borderId="26" numFmtId="161" xfId="0" applyNumberFormat="1" applyFont="1" applyBorder="1" applyAlignment="1">
      <alignment horizontal="center" vertical="center"/>
    </xf>
    <xf fontId="16" fillId="6" borderId="27" numFmtId="161" xfId="1" applyNumberFormat="1" applyFont="1" applyFill="1" applyBorder="1" applyAlignment="1" applyProtection="1">
      <alignment horizontal="center" vertical="center" wrapText="1"/>
    </xf>
    <xf fontId="16" fillId="6" borderId="28" numFmtId="161" xfId="1" applyNumberFormat="1" applyFont="1" applyFill="1" applyBorder="1" applyAlignment="1" applyProtection="1">
      <alignment horizontal="center" vertical="center" wrapText="1"/>
    </xf>
    <xf fontId="16" fillId="6" borderId="24" numFmtId="161" xfId="1" applyNumberFormat="1" applyFont="1" applyFill="1" applyBorder="1" applyAlignment="1" applyProtection="1">
      <alignment horizontal="center" vertical="center" wrapText="1"/>
    </xf>
    <xf fontId="20" fillId="3" borderId="23" numFmtId="3" xfId="0" applyNumberFormat="1" applyFont="1" applyFill="1" applyBorder="1" applyAlignment="1">
      <alignment horizontal="center" vertical="center"/>
    </xf>
    <xf fontId="16" fillId="3" borderId="23" numFmtId="3" xfId="0" applyNumberFormat="1" applyFont="1" applyFill="1" applyBorder="1" applyAlignment="1">
      <alignment horizontal="center" vertical="center"/>
    </xf>
    <xf fontId="16" fillId="6" borderId="20" numFmtId="161" xfId="1" applyNumberFormat="1" applyFont="1" applyFill="1" applyBorder="1" applyAlignment="1" applyProtection="1">
      <alignment horizontal="center" vertical="center" wrapText="1"/>
    </xf>
    <xf fontId="16" fillId="6" borderId="29" numFmtId="161" xfId="1" applyNumberFormat="1" applyFont="1" applyFill="1" applyBorder="1" applyAlignment="1" applyProtection="1">
      <alignment horizontal="center" vertical="center" wrapText="1"/>
    </xf>
    <xf fontId="20" fillId="3" borderId="23" numFmtId="4" xfId="0" applyNumberFormat="1" applyFont="1" applyFill="1" applyBorder="1" applyAlignment="1">
      <alignment horizontal="center" vertical="center"/>
    </xf>
    <xf fontId="16" fillId="4" borderId="24" numFmtId="4" xfId="0" applyNumberFormat="1" applyFont="1" applyFill="1" applyBorder="1" applyAlignment="1">
      <alignment horizontal="center" vertical="center"/>
    </xf>
    <xf fontId="22" fillId="0" borderId="24" numFmtId="4" xfId="0" applyNumberFormat="1" applyFont="1" applyBorder="1" applyAlignment="1">
      <alignment horizontal="center" vertical="center"/>
    </xf>
    <xf fontId="16" fillId="0" borderId="24" numFmtId="4" xfId="0" applyNumberFormat="1" applyFont="1" applyBorder="1" applyAlignment="1">
      <alignment horizontal="center" vertical="center"/>
    </xf>
    <xf fontId="16" fillId="3" borderId="16" numFmtId="4" xfId="0" applyNumberFormat="1" applyFont="1" applyFill="1" applyBorder="1" applyAlignment="1">
      <alignment horizontal="center" vertical="center"/>
    </xf>
    <xf fontId="16" fillId="7" borderId="19" numFmtId="162" xfId="1" applyNumberFormat="1" applyFont="1" applyFill="1" applyBorder="1" applyAlignment="1" applyProtection="1">
      <alignment horizontal="right" vertical="center"/>
    </xf>
    <xf fontId="2" fillId="8" borderId="24" numFmtId="162" xfId="0" applyNumberFormat="1" applyFont="1" applyFill="1" applyBorder="1"/>
    <xf fontId="16" fillId="3" borderId="16" numFmtId="3" xfId="0" applyNumberFormat="1" applyFont="1" applyFill="1" applyBorder="1" applyAlignment="1">
      <alignment horizontal="center" vertical="center"/>
    </xf>
    <xf fontId="16" fillId="6" borderId="24" numFmtId="10" xfId="1" applyNumberFormat="1" applyFont="1" applyFill="1" applyBorder="1" applyAlignment="1" applyProtection="1">
      <alignment vertical="center"/>
    </xf>
    <xf fontId="0" fillId="2" borderId="0" numFmtId="10" xfId="0" applyNumberFormat="1" applyFill="1"/>
    <xf fontId="16" fillId="9" borderId="24" numFmtId="3" xfId="0" applyNumberFormat="1" applyFont="1" applyFill="1" applyBorder="1" applyAlignment="1">
      <alignment horizontal="center" vertical="center"/>
    </xf>
    <xf fontId="16" fillId="5" borderId="0" numFmtId="10" xfId="1" applyNumberFormat="1" applyFont="1" applyFill="1" applyAlignment="1" applyProtection="1">
      <alignment horizontal="center" vertical="center"/>
    </xf>
    <xf fontId="20" fillId="0" borderId="28" numFmtId="3" xfId="0" applyNumberFormat="1" applyFont="1" applyBorder="1" applyAlignment="1">
      <alignment horizontal="center" vertical="center"/>
    </xf>
    <xf fontId="16" fillId="4" borderId="30" numFmtId="3" xfId="0" applyNumberFormat="1" applyFont="1" applyFill="1" applyBorder="1" applyAlignment="1">
      <alignment horizontal="center" vertical="center"/>
    </xf>
    <xf fontId="16" fillId="4" borderId="30" numFmtId="10" xfId="0" applyNumberFormat="1" applyFont="1" applyFill="1" applyBorder="1" applyAlignment="1">
      <alignment horizontal="center" vertical="center"/>
    </xf>
    <xf fontId="22" fillId="0" borderId="30" numFmtId="3" xfId="0" applyNumberFormat="1" applyFont="1" applyBorder="1" applyAlignment="1">
      <alignment horizontal="center" vertical="center"/>
    </xf>
    <xf fontId="23" fillId="0" borderId="27" numFmtId="161" xfId="0" applyNumberFormat="1" applyFont="1" applyBorder="1" applyAlignment="1">
      <alignment horizontal="center" vertical="center"/>
    </xf>
    <xf fontId="16" fillId="3" borderId="31" numFmtId="3" xfId="0" applyNumberFormat="1" applyFont="1" applyFill="1" applyBorder="1" applyAlignment="1">
      <alignment horizontal="center" vertical="center"/>
    </xf>
    <xf fontId="24" fillId="0" borderId="30" numFmtId="3" xfId="0" applyNumberFormat="1" applyFont="1" applyBorder="1" applyAlignment="1">
      <alignment horizontal="center" vertical="center"/>
    </xf>
    <xf fontId="18" fillId="0" borderId="27" numFmtId="161" xfId="0" applyNumberFormat="1" applyFont="1" applyBorder="1" applyAlignment="1">
      <alignment horizontal="center" vertical="center"/>
    </xf>
    <xf fontId="2" fillId="2" borderId="0" numFmtId="0" xfId="0" applyFont="1" applyFill="1" applyAlignment="1">
      <alignment wrapText="1"/>
    </xf>
    <xf fontId="20" fillId="3" borderId="28" numFmtId="3" xfId="0" applyNumberFormat="1" applyFont="1" applyFill="1" applyBorder="1" applyAlignment="1">
      <alignment horizontal="center" vertical="center"/>
    </xf>
    <xf fontId="20" fillId="4" borderId="28" numFmtId="3" xfId="0" applyNumberFormat="1" applyFont="1" applyFill="1" applyBorder="1" applyAlignment="1">
      <alignment horizontal="center" vertical="center"/>
    </xf>
    <xf fontId="16" fillId="4" borderId="30" numFmtId="161" xfId="0" applyNumberFormat="1" applyFont="1" applyFill="1" applyBorder="1" applyAlignment="1">
      <alignment horizontal="center" vertical="center"/>
    </xf>
    <xf fontId="24" fillId="0" borderId="30" numFmtId="163" xfId="0" applyNumberFormat="1" applyFont="1" applyBorder="1" applyAlignment="1">
      <alignment horizontal="center" vertical="center"/>
    </xf>
    <xf fontId="16" fillId="4" borderId="31" numFmtId="3" xfId="0" applyNumberFormat="1" applyFont="1" applyFill="1" applyBorder="1" applyAlignment="1">
      <alignment horizontal="center" vertical="center"/>
    </xf>
    <xf fontId="19" fillId="0" borderId="32" numFmtId="0" xfId="0" applyFont="1" applyBorder="1" applyAlignment="1">
      <alignment horizontal="left" vertical="center"/>
    </xf>
    <xf fontId="19" fillId="3" borderId="33" numFmtId="10" xfId="0" applyNumberFormat="1" applyFont="1" applyFill="1" applyBorder="1" applyAlignment="1">
      <alignment horizontal="center" vertical="center"/>
    </xf>
    <xf fontId="19" fillId="0" borderId="34" numFmtId="10" xfId="1" applyNumberFormat="1" applyFont="1" applyBorder="1" applyAlignment="1" applyProtection="1">
      <alignment horizontal="center" vertical="center"/>
    </xf>
    <xf fontId="19" fillId="6" borderId="34" numFmtId="10" xfId="1" applyNumberFormat="1" applyFont="1" applyFill="1" applyBorder="1" applyAlignment="1" applyProtection="1">
      <alignment horizontal="center" vertical="center"/>
    </xf>
    <xf fontId="24" fillId="0" borderId="34" numFmtId="10" xfId="0" applyNumberFormat="1" applyFont="1" applyBorder="1" applyAlignment="1">
      <alignment horizontal="center" vertical="center"/>
    </xf>
    <xf fontId="24" fillId="0" borderId="35" numFmtId="161" xfId="0" applyNumberFormat="1" applyFont="1" applyBorder="1" applyAlignment="1">
      <alignment horizontal="center" vertical="center"/>
    </xf>
    <xf fontId="20" fillId="0" borderId="34" numFmtId="161" xfId="0" applyNumberFormat="1" applyFont="1" applyBorder="1" applyAlignment="1">
      <alignment horizontal="center" vertical="center"/>
    </xf>
    <xf fontId="20" fillId="3" borderId="36" numFmtId="161" xfId="0" applyNumberFormat="1" applyFont="1" applyFill="1" applyBorder="1" applyAlignment="1">
      <alignment horizontal="center" vertical="center"/>
    </xf>
    <xf fontId="20" fillId="0" borderId="34" numFmtId="3" xfId="0" applyNumberFormat="1" applyFont="1" applyBorder="1" applyAlignment="1">
      <alignment horizontal="center" vertical="center"/>
    </xf>
    <xf fontId="20" fillId="0" borderId="37" numFmtId="161" xfId="0" applyNumberFormat="1" applyFont="1" applyBorder="1" applyAlignment="1">
      <alignment horizontal="center" vertical="center"/>
    </xf>
    <xf fontId="2" fillId="2" borderId="0" numFmtId="4" xfId="0" applyNumberFormat="1" applyFont="1" applyFill="1"/>
    <xf fontId="15" fillId="10" borderId="24" numFmtId="0" xfId="0" applyFont="1" applyFill="1" applyBorder="1" applyAlignment="1">
      <alignment horizontal="center" vertical="center"/>
    </xf>
    <xf fontId="17" fillId="10" borderId="24" numFmtId="0" xfId="0" applyFont="1" applyFill="1" applyBorder="1" applyAlignment="1">
      <alignment horizontal="center" vertical="center" wrapText="1"/>
    </xf>
    <xf fontId="25" fillId="10" borderId="24" numFmtId="0" xfId="0" applyFont="1" applyFill="1" applyBorder="1" applyAlignment="1">
      <alignment horizontal="center" vertical="center"/>
    </xf>
    <xf fontId="17" fillId="11" borderId="24" numFmtId="0" xfId="0" applyFont="1" applyFill="1" applyBorder="1" applyAlignment="1">
      <alignment horizontal="center" vertical="center" wrapText="1"/>
    </xf>
    <xf fontId="26" fillId="10" borderId="24" numFmtId="0" xfId="0" applyFont="1" applyFill="1" applyBorder="1" applyAlignment="1">
      <alignment horizontal="center" vertical="center" wrapText="1"/>
    </xf>
    <xf fontId="2" fillId="0" borderId="0" numFmtId="3" xfId="0" applyNumberFormat="1" applyFont="1"/>
    <xf fontId="16" fillId="10" borderId="24" numFmtId="0" xfId="0" applyFont="1" applyFill="1" applyBorder="1" applyAlignment="1">
      <alignment horizontal="center" vertical="top" wrapText="1"/>
    </xf>
    <xf fontId="17" fillId="10" borderId="24" numFmtId="0" xfId="0" applyFont="1" applyFill="1" applyBorder="1" applyAlignment="1">
      <alignment horizontal="center" vertical="top" wrapText="1"/>
    </xf>
    <xf fontId="27" fillId="0" borderId="24" numFmtId="0" xfId="0" applyFont="1" applyBorder="1" applyAlignment="1">
      <alignment horizontal="center" vertical="center"/>
    </xf>
    <xf fontId="16" fillId="0" borderId="24" numFmtId="16" xfId="0" applyNumberFormat="1" applyFont="1" applyBorder="1" applyAlignment="1">
      <alignment horizontal="center" vertical="top"/>
    </xf>
    <xf fontId="16" fillId="0" borderId="24" numFmtId="0" xfId="0" applyFont="1" applyBorder="1" applyAlignment="1">
      <alignment horizontal="center" vertical="top"/>
    </xf>
    <xf fontId="16" fillId="12" borderId="24" numFmtId="4" xfId="0" applyNumberFormat="1" applyFont="1" applyFill="1" applyBorder="1" applyAlignment="1">
      <alignment horizontal="center" vertical="top"/>
    </xf>
    <xf fontId="16" fillId="0" borderId="24" numFmtId="3" xfId="0" applyNumberFormat="1" applyFont="1" applyBorder="1" applyAlignment="1">
      <alignment horizontal="center" vertical="top"/>
    </xf>
    <xf fontId="16" fillId="0" borderId="24" numFmtId="4" xfId="0" applyNumberFormat="1" applyFont="1" applyBorder="1" applyAlignment="1">
      <alignment horizontal="center" vertical="top"/>
    </xf>
    <xf fontId="16" fillId="0" borderId="24" numFmtId="10" xfId="0" applyNumberFormat="1" applyFont="1" applyBorder="1" applyAlignment="1">
      <alignment horizontal="center" vertical="top"/>
    </xf>
    <xf fontId="3" fillId="0" borderId="24" numFmtId="9" xfId="0" applyNumberFormat="1" applyFont="1" applyBorder="1" applyAlignment="1">
      <alignment horizontal="center" vertical="center"/>
    </xf>
    <xf fontId="28" fillId="0" borderId="24" numFmtId="3" xfId="0" applyNumberFormat="1" applyFont="1" applyBorder="1" applyAlignment="1">
      <alignment horizontal="center"/>
    </xf>
    <xf fontId="16" fillId="0" borderId="24" numFmtId="3" xfId="0" applyNumberFormat="1" applyFont="1" applyBorder="1" applyAlignment="1">
      <alignment horizontal="center"/>
    </xf>
    <xf fontId="16" fillId="12" borderId="24" numFmtId="2" xfId="0" applyNumberFormat="1" applyFont="1" applyFill="1" applyBorder="1" applyAlignment="1">
      <alignment horizontal="right"/>
    </xf>
    <xf fontId="0" fillId="0" borderId="0" numFmtId="2" xfId="0" applyNumberFormat="1"/>
    <xf fontId="2" fillId="0" borderId="0" numFmtId="161" xfId="0" applyNumberFormat="1" applyFont="1"/>
    <xf fontId="2" fillId="0" borderId="0" numFmtId="2" xfId="0" applyNumberFormat="1" applyFont="1"/>
    <xf fontId="16" fillId="0" borderId="0" numFmtId="3" xfId="0" applyNumberFormat="1" applyFont="1" applyAlignment="1">
      <alignment horizontal="center" vertical="top"/>
    </xf>
    <xf fontId="2" fillId="0" borderId="0" numFmtId="161" xfId="0" applyNumberFormat="1" applyFont="1" applyAlignment="1">
      <alignment vertical="center"/>
    </xf>
    <xf fontId="29" fillId="13" borderId="0" numFmtId="0" xfId="0" applyFont="1" applyFill="1"/>
    <xf fontId="27" fillId="13" borderId="24" numFmtId="0" xfId="0" applyFont="1" applyFill="1" applyBorder="1" applyAlignment="1">
      <alignment horizontal="center" vertical="center"/>
    </xf>
    <xf fontId="16" fillId="13" borderId="24" numFmtId="16" xfId="0" applyNumberFormat="1" applyFont="1" applyFill="1" applyBorder="1" applyAlignment="1">
      <alignment horizontal="center" vertical="top"/>
    </xf>
    <xf fontId="16" fillId="13" borderId="24" numFmtId="0" xfId="0" applyFont="1" applyFill="1" applyBorder="1" applyAlignment="1">
      <alignment horizontal="center" vertical="top"/>
    </xf>
    <xf fontId="16" fillId="14" borderId="24" numFmtId="4" xfId="0" applyNumberFormat="1" applyFont="1" applyFill="1" applyBorder="1" applyAlignment="1">
      <alignment horizontal="center" vertical="top"/>
    </xf>
    <xf fontId="16" fillId="13" borderId="24" numFmtId="3" xfId="0" applyNumberFormat="1" applyFont="1" applyFill="1" applyBorder="1" applyAlignment="1">
      <alignment horizontal="center" vertical="top"/>
    </xf>
    <xf fontId="16" fillId="13" borderId="24" numFmtId="4" xfId="0" applyNumberFormat="1" applyFont="1" applyFill="1" applyBorder="1" applyAlignment="1">
      <alignment horizontal="center" vertical="top"/>
    </xf>
    <xf fontId="16" fillId="13" borderId="24" numFmtId="10" xfId="0" applyNumberFormat="1" applyFont="1" applyFill="1" applyBorder="1" applyAlignment="1">
      <alignment horizontal="center" vertical="top"/>
    </xf>
    <xf fontId="3" fillId="13" borderId="24" numFmtId="9" xfId="0" applyNumberFormat="1" applyFont="1" applyFill="1" applyBorder="1" applyAlignment="1">
      <alignment horizontal="center" vertical="center"/>
    </xf>
    <xf fontId="28" fillId="13" borderId="24" numFmtId="3" xfId="0" applyNumberFormat="1" applyFont="1" applyFill="1" applyBorder="1" applyAlignment="1">
      <alignment horizontal="center"/>
    </xf>
    <xf fontId="16" fillId="13" borderId="24" numFmtId="3" xfId="0" applyNumberFormat="1" applyFont="1" applyFill="1" applyBorder="1" applyAlignment="1">
      <alignment horizontal="center"/>
    </xf>
    <xf fontId="16" fillId="13" borderId="24" numFmtId="2" xfId="0" applyNumberFormat="1" applyFont="1" applyFill="1" applyBorder="1" applyAlignment="1">
      <alignment horizontal="right"/>
    </xf>
    <xf fontId="2" fillId="13" borderId="0" numFmtId="2" xfId="0" applyNumberFormat="1" applyFont="1" applyFill="1"/>
    <xf fontId="2" fillId="13" borderId="0" numFmtId="161" xfId="0" applyNumberFormat="1" applyFont="1" applyFill="1"/>
    <xf fontId="2" fillId="13" borderId="0" numFmtId="0" xfId="0" applyFont="1" applyFill="1"/>
    <xf fontId="0" fillId="13" borderId="0" numFmtId="0" xfId="0" applyFill="1"/>
    <xf fontId="30" fillId="0" borderId="24" numFmtId="3" xfId="0" applyNumberFormat="1" applyFont="1" applyBorder="1" applyAlignment="1">
      <alignment horizontal="center" vertical="top"/>
    </xf>
    <xf fontId="30" fillId="13" borderId="24" numFmtId="3" xfId="0" applyNumberFormat="1" applyFont="1" applyFill="1" applyBorder="1" applyAlignment="1">
      <alignment horizontal="center" vertical="top"/>
    </xf>
    <xf fontId="16" fillId="14" borderId="24" numFmtId="2" xfId="0" applyNumberFormat="1" applyFont="1" applyFill="1" applyBorder="1" applyAlignment="1">
      <alignment horizontal="right"/>
    </xf>
    <xf fontId="2" fillId="13" borderId="0" numFmtId="164" xfId="0" applyNumberFormat="1" applyFont="1" applyFill="1"/>
    <xf fontId="17" fillId="13" borderId="24" numFmtId="0" xfId="0" applyFont="1" applyFill="1" applyBorder="1" applyAlignment="1">
      <alignment horizontal="center" vertical="top"/>
    </xf>
    <xf fontId="16" fillId="13" borderId="24" numFmtId="161" xfId="0" applyNumberFormat="1" applyFont="1" applyFill="1" applyBorder="1" applyAlignment="1">
      <alignment horizontal="center" vertical="top"/>
    </xf>
    <xf fontId="16" fillId="13" borderId="24" numFmtId="3" xfId="0" applyNumberFormat="1" applyFont="1" applyFill="1" applyBorder="1" applyAlignment="1">
      <alignment horizontal="right"/>
    </xf>
    <xf fontId="27" fillId="0" borderId="0" numFmtId="0" xfId="0" applyFont="1" applyAlignment="1">
      <alignment horizontal="center" vertical="center"/>
    </xf>
    <xf fontId="16" fillId="0" borderId="0" numFmtId="0" xfId="0" applyFont="1" applyAlignment="1">
      <alignment horizontal="center" vertical="top"/>
    </xf>
    <xf fontId="16" fillId="0" borderId="0" numFmtId="0" xfId="0" applyFont="1"/>
    <xf fontId="31" fillId="0" borderId="0" numFmtId="3" xfId="0" applyNumberFormat="1" applyFont="1"/>
    <xf fontId="16" fillId="0" borderId="0" numFmtId="161" xfId="0" applyNumberFormat="1" applyFont="1"/>
    <xf fontId="16" fillId="0" borderId="0" numFmtId="0" xfId="0" applyFont="1" applyAlignment="1">
      <alignment vertical="top"/>
    </xf>
    <xf fontId="16" fillId="0" borderId="0" numFmtId="1" xfId="0" applyNumberFormat="1" applyFont="1" applyAlignment="1">
      <alignment vertical="top"/>
    </xf>
    <xf fontId="16" fillId="0" borderId="0" numFmtId="3" xfId="0" applyNumberFormat="1" applyFont="1"/>
    <xf fontId="31" fillId="0" borderId="0" numFmtId="9" xfId="0" applyNumberFormat="1" applyFont="1"/>
    <xf fontId="3" fillId="0" borderId="0" numFmtId="4" xfId="0" applyNumberFormat="1" applyFont="1"/>
    <xf fontId="3" fillId="12" borderId="0" numFmtId="3" xfId="0" applyNumberFormat="1" applyFont="1" applyFill="1"/>
    <xf fontId="3" fillId="0" borderId="0" numFmtId="3" xfId="0" applyNumberFormat="1" applyFont="1"/>
    <xf fontId="3" fillId="0" borderId="0" numFmtId="1" xfId="0" applyNumberFormat="1" applyFont="1"/>
    <xf fontId="3" fillId="0" borderId="0" numFmtId="10" xfId="0" applyNumberFormat="1" applyFont="1"/>
    <xf fontId="3" fillId="4" borderId="0" numFmtId="3" xfId="0" applyNumberFormat="1" applyFont="1" applyFill="1"/>
    <xf fontId="2" fillId="0" borderId="0" numFmtId="4" xfId="0" applyNumberFormat="1" applyFont="1"/>
    <xf fontId="2" fillId="0" borderId="0" numFmtId="14" xfId="0" applyNumberFormat="1" applyFont="1"/>
    <xf fontId="0" fillId="0" borderId="0" numFmtId="0" xfId="0" applyAlignment="1">
      <alignment wrapText="1"/>
    </xf>
    <xf fontId="2" fillId="0" borderId="0" numFmtId="0" xfId="0" applyFont="1" applyAlignment="1">
      <alignment wrapText="1"/>
    </xf>
    <xf fontId="32" fillId="0" borderId="0" numFmtId="0" xfId="0" applyFont="1"/>
    <xf fontId="32" fillId="0" borderId="0" numFmtId="0" xfId="0" applyFont="1" applyAlignment="1">
      <alignment horizontal="left"/>
    </xf>
    <xf fontId="33" fillId="13" borderId="38" numFmtId="0" xfId="0" applyFont="1" applyFill="1" applyBorder="1" applyAlignment="1">
      <alignment horizontal="center" vertical="center"/>
    </xf>
    <xf fontId="33" fillId="13" borderId="2" numFmtId="0" xfId="0" applyFont="1" applyFill="1" applyBorder="1" applyAlignment="1">
      <alignment horizontal="center" vertical="center"/>
    </xf>
    <xf fontId="33" fillId="13" borderId="3" numFmtId="0" xfId="0" applyFont="1" applyFill="1" applyBorder="1" applyAlignment="1">
      <alignment horizontal="center" vertical="center"/>
    </xf>
    <xf fontId="33" fillId="13" borderId="6" numFmtId="0" xfId="0" applyFont="1" applyFill="1" applyBorder="1" applyAlignment="1">
      <alignment horizontal="center" vertical="center"/>
    </xf>
    <xf fontId="33" fillId="13" borderId="7" numFmtId="0" xfId="0" applyFont="1" applyFill="1" applyBorder="1" applyAlignment="1">
      <alignment horizontal="center" vertical="center"/>
    </xf>
    <xf fontId="33" fillId="13" borderId="8" numFmtId="0" xfId="0" applyFont="1" applyFill="1" applyBorder="1" applyAlignment="1">
      <alignment horizontal="center" vertical="center"/>
    </xf>
    <xf fontId="33" fillId="0" borderId="0" numFmtId="0" xfId="0" applyFont="1" applyAlignment="1">
      <alignment horizontal="center" vertical="center"/>
    </xf>
    <xf fontId="33" fillId="0" borderId="11" numFmtId="0" xfId="0" applyFont="1" applyBorder="1" applyAlignment="1">
      <alignment horizontal="center" vertical="center"/>
    </xf>
    <xf fontId="33" fillId="0" borderId="39" numFmtId="16" xfId="0" applyNumberFormat="1" applyFont="1" applyBorder="1" applyAlignment="1">
      <alignment horizontal="center" vertical="center"/>
    </xf>
    <xf fontId="33" fillId="0" borderId="40" numFmtId="16" xfId="0" applyNumberFormat="1" applyFont="1" applyBorder="1" applyAlignment="1">
      <alignment horizontal="center" vertical="center"/>
    </xf>
    <xf fontId="34" fillId="0" borderId="41" numFmtId="0" xfId="0" applyFont="1" applyBorder="1" applyAlignment="1">
      <alignment horizontal="left" vertical="center" wrapText="1"/>
    </xf>
    <xf fontId="34" fillId="0" borderId="42" numFmtId="10" xfId="0" applyNumberFormat="1" applyFont="1" applyBorder="1" applyAlignment="1">
      <alignment horizontal="center" vertical="center" wrapText="1"/>
    </xf>
    <xf fontId="34" fillId="15" borderId="42" numFmtId="10" xfId="0" applyNumberFormat="1" applyFont="1" applyFill="1" applyBorder="1" applyAlignment="1">
      <alignment horizontal="center" vertical="center" wrapText="1"/>
    </xf>
    <xf fontId="34" fillId="15" borderId="43" numFmtId="10" xfId="0" applyNumberFormat="1" applyFont="1" applyFill="1" applyBorder="1" applyAlignment="1">
      <alignment horizontal="center" vertical="center" wrapText="1"/>
    </xf>
    <xf fontId="34" fillId="0" borderId="41" numFmtId="10" xfId="0" applyNumberFormat="1" applyFont="1" applyBorder="1" applyAlignment="1">
      <alignment horizontal="center" vertical="center" wrapText="1"/>
    </xf>
    <xf fontId="34" fillId="0" borderId="44" numFmtId="0" xfId="0" applyFont="1" applyBorder="1" applyAlignment="1">
      <alignment horizontal="left" vertical="center" wrapText="1"/>
    </xf>
    <xf fontId="34" fillId="0" borderId="45" numFmtId="10" xfId="0" applyNumberFormat="1" applyFont="1" applyBorder="1" applyAlignment="1">
      <alignment horizontal="center" vertical="center" wrapText="1"/>
    </xf>
    <xf fontId="34" fillId="0" borderId="46" numFmtId="10" xfId="0" applyNumberFormat="1" applyFont="1" applyBorder="1" applyAlignment="1">
      <alignment horizontal="center" vertical="center" wrapText="1"/>
    </xf>
    <xf fontId="34" fillId="0" borderId="47" numFmtId="10" xfId="0" applyNumberFormat="1" applyFont="1" applyBorder="1" applyAlignment="1">
      <alignment horizontal="center" vertical="center" wrapText="1"/>
    </xf>
    <xf fontId="34" fillId="0" borderId="32" numFmtId="0" xfId="0" applyFont="1" applyBorder="1" applyAlignment="1">
      <alignment horizontal="left" vertical="center" wrapText="1"/>
    </xf>
    <xf fontId="34" fillId="15" borderId="34" numFmtId="10" xfId="0" applyNumberFormat="1" applyFont="1" applyFill="1" applyBorder="1" applyAlignment="1">
      <alignment horizontal="center" vertical="center" wrapText="1"/>
    </xf>
    <xf fontId="34" fillId="0" borderId="34" numFmtId="10" xfId="0" applyNumberFormat="1" applyFont="1" applyBorder="1" applyAlignment="1">
      <alignment horizontal="center" vertical="center" wrapText="1"/>
    </xf>
    <xf fontId="34" fillId="0" borderId="37" numFmtId="10" xfId="0" applyNumberFormat="1" applyFont="1" applyBorder="1" applyAlignment="1">
      <alignment horizontal="center" vertical="center" wrapText="1"/>
    </xf>
    <xf fontId="34" fillId="0" borderId="32" numFmtId="10" xfId="0" applyNumberFormat="1" applyFont="1" applyBorder="1" applyAlignment="1">
      <alignment horizontal="center" vertical="center" wrapText="1"/>
    </xf>
    <xf fontId="34" fillId="0" borderId="42" numFmtId="1" xfId="0" applyNumberFormat="1" applyFont="1" applyBorder="1" applyAlignment="1">
      <alignment horizontal="center" vertical="center" wrapText="1"/>
    </xf>
    <xf fontId="34" fillId="15" borderId="42" numFmtId="1" xfId="0" applyNumberFormat="1" applyFont="1" applyFill="1" applyBorder="1" applyAlignment="1">
      <alignment horizontal="center" vertical="center" wrapText="1"/>
    </xf>
    <xf fontId="34" fillId="15" borderId="43" numFmtId="1" xfId="0" applyNumberFormat="1" applyFont="1" applyFill="1" applyBorder="1" applyAlignment="1">
      <alignment horizontal="center" vertical="center" wrapText="1"/>
    </xf>
    <xf fontId="34" fillId="0" borderId="41" numFmtId="1" xfId="0" applyNumberFormat="1" applyFont="1" applyBorder="1" applyAlignment="1">
      <alignment horizontal="center" vertical="center" wrapText="1"/>
    </xf>
    <xf fontId="34" fillId="0" borderId="45" numFmtId="1" xfId="0" applyNumberFormat="1" applyFont="1" applyBorder="1" applyAlignment="1">
      <alignment horizontal="center" vertical="center" wrapText="1"/>
    </xf>
    <xf fontId="34" fillId="0" borderId="46" numFmtId="1" xfId="0" applyNumberFormat="1" applyFont="1" applyBorder="1" applyAlignment="1">
      <alignment horizontal="center" vertical="center" wrapText="1"/>
    </xf>
    <xf fontId="34" fillId="0" borderId="47" numFmtId="1" xfId="0" applyNumberFormat="1" applyFont="1" applyBorder="1" applyAlignment="1">
      <alignment horizontal="center" vertical="center" wrapText="1"/>
    </xf>
    <xf fontId="34" fillId="15" borderId="34" numFmtId="1" xfId="0" applyNumberFormat="1" applyFont="1" applyFill="1" applyBorder="1" applyAlignment="1">
      <alignment horizontal="center" vertical="center" wrapText="1"/>
    </xf>
    <xf fontId="34" fillId="0" borderId="34" numFmtId="1" xfId="0" applyNumberFormat="1" applyFont="1" applyBorder="1" applyAlignment="1">
      <alignment horizontal="center" vertical="center" wrapText="1"/>
    </xf>
    <xf fontId="34" fillId="0" borderId="37" numFmtId="1" xfId="0" applyNumberFormat="1" applyFont="1" applyBorder="1" applyAlignment="1">
      <alignment horizontal="center" vertical="center" wrapText="1"/>
    </xf>
    <xf fontId="34" fillId="0" borderId="32" numFmtId="1" xfId="0" applyNumberFormat="1" applyFont="1" applyBorder="1" applyAlignment="1">
      <alignment horizontal="center" vertical="center" wrapText="1"/>
    </xf>
    <xf fontId="15" fillId="5" borderId="9" numFmtId="0" xfId="0" applyFont="1" applyFill="1" applyBorder="1" applyAlignment="1">
      <alignment horizontal="center" vertical="center"/>
    </xf>
    <xf fontId="15" fillId="5" borderId="10" numFmtId="0" xfId="0" applyFont="1" applyFill="1" applyBorder="1" applyAlignment="1">
      <alignment horizontal="center" vertical="center"/>
    </xf>
    <xf fontId="15" fillId="5" borderId="4" numFmtId="0" xfId="0" applyFont="1" applyFill="1" applyBorder="1" applyAlignment="1">
      <alignment horizontal="center" vertical="center"/>
    </xf>
    <xf fontId="17" fillId="5" borderId="38" numFmtId="0" xfId="0" applyFont="1" applyFill="1" applyBorder="1" applyAlignment="1">
      <alignment horizontal="center" vertical="center" wrapText="1"/>
    </xf>
    <xf fontId="17" fillId="5" borderId="2" numFmtId="0" xfId="0" applyFont="1" applyFill="1" applyBorder="1" applyAlignment="1">
      <alignment horizontal="center" vertical="center" wrapText="1"/>
    </xf>
    <xf fontId="17" fillId="5" borderId="38" numFmtId="3" xfId="0" applyNumberFormat="1" applyFont="1" applyFill="1" applyBorder="1" applyAlignment="1">
      <alignment horizontal="center" vertical="center"/>
    </xf>
    <xf fontId="17" fillId="5" borderId="2" numFmtId="3" xfId="0" applyNumberFormat="1" applyFont="1" applyFill="1" applyBorder="1" applyAlignment="1">
      <alignment horizontal="center" vertical="center"/>
    </xf>
    <xf fontId="17" fillId="5" borderId="38" numFmtId="3" xfId="0" applyNumberFormat="1" applyFont="1" applyFill="1" applyBorder="1" applyAlignment="1">
      <alignment horizontal="center" vertical="center" wrapText="1"/>
    </xf>
    <xf fontId="17" fillId="5" borderId="2" numFmtId="3" xfId="0" applyNumberFormat="1" applyFont="1" applyFill="1" applyBorder="1" applyAlignment="1">
      <alignment horizontal="center" vertical="center" wrapText="1"/>
    </xf>
    <xf fontId="17" fillId="5" borderId="18" numFmtId="3" xfId="0" applyNumberFormat="1" applyFont="1" applyFill="1" applyBorder="1" applyAlignment="1">
      <alignment horizontal="center" vertical="center" wrapText="1"/>
    </xf>
    <xf fontId="17" fillId="5" borderId="48" numFmtId="3" xfId="0" applyNumberFormat="1" applyFont="1" applyFill="1" applyBorder="1" applyAlignment="1">
      <alignment horizontal="center" vertical="center" wrapText="1"/>
    </xf>
    <xf fontId="17" fillId="5" borderId="43" numFmtId="3" xfId="0" applyNumberFormat="1" applyFont="1" applyFill="1" applyBorder="1" applyAlignment="1">
      <alignment horizontal="center" vertical="center" wrapText="1"/>
    </xf>
    <xf fontId="17" fillId="5" borderId="49" numFmtId="0" xfId="0" applyFont="1" applyFill="1" applyBorder="1" applyAlignment="1">
      <alignment horizontal="center" vertical="center" wrapText="1"/>
    </xf>
    <xf fontId="17" fillId="5" borderId="21" numFmtId="0" xfId="0" applyFont="1" applyFill="1" applyBorder="1" applyAlignment="1">
      <alignment horizontal="center" vertical="center" wrapText="1"/>
    </xf>
    <xf fontId="17" fillId="5" borderId="50" numFmtId="3" xfId="0" applyNumberFormat="1" applyFont="1" applyFill="1" applyBorder="1" applyAlignment="1">
      <alignment horizontal="center" vertical="center"/>
    </xf>
    <xf fontId="17" fillId="5" borderId="33" numFmtId="3" xfId="0" applyNumberFormat="1" applyFont="1" applyFill="1" applyBorder="1" applyAlignment="1">
      <alignment horizontal="center" vertical="center"/>
    </xf>
    <xf fontId="17" fillId="5" borderId="35" numFmtId="3" xfId="0" applyNumberFormat="1" applyFont="1" applyFill="1" applyBorder="1" applyAlignment="1">
      <alignment horizontal="center" vertical="center"/>
    </xf>
    <xf fontId="17" fillId="5" borderId="51" numFmtId="3" xfId="0" applyNumberFormat="1" applyFont="1" applyFill="1" applyBorder="1" applyAlignment="1">
      <alignment horizontal="center" vertical="center" wrapText="1"/>
    </xf>
    <xf fontId="17" fillId="5" borderId="28" numFmtId="3" xfId="0" applyNumberFormat="1" applyFont="1" applyFill="1" applyBorder="1" applyAlignment="1">
      <alignment horizontal="center" vertical="center" wrapText="1"/>
    </xf>
    <xf fontId="17" fillId="5" borderId="27" numFmtId="3" xfId="0" applyNumberFormat="1" applyFont="1" applyFill="1" applyBorder="1" applyAlignment="1">
      <alignment horizontal="center" vertical="center"/>
    </xf>
    <xf fontId="17" fillId="5" borderId="50" numFmtId="3" xfId="0" applyNumberFormat="1" applyFont="1" applyFill="1" applyBorder="1" applyAlignment="1">
      <alignment horizontal="center" vertical="center" wrapText="1"/>
    </xf>
    <xf fontId="17" fillId="5" borderId="33" numFmtId="3" xfId="0" applyNumberFormat="1" applyFont="1" applyFill="1" applyBorder="1" applyAlignment="1">
      <alignment horizontal="center" vertical="center" wrapText="1"/>
    </xf>
    <xf fontId="17" fillId="5" borderId="52" numFmtId="0" xfId="0" applyFont="1" applyFill="1" applyBorder="1" applyAlignment="1">
      <alignment horizontal="center" vertical="center" wrapText="1"/>
    </xf>
    <xf fontId="20" fillId="0" borderId="15" numFmtId="0" xfId="0" applyFont="1" applyBorder="1" applyAlignment="1">
      <alignment horizontal="left" vertical="center"/>
    </xf>
    <xf fontId="20" fillId="0" borderId="53" numFmtId="0" xfId="0" applyFont="1" applyBorder="1" applyAlignment="1">
      <alignment horizontal="left" vertical="center"/>
    </xf>
    <xf fontId="35" fillId="0" borderId="18" numFmtId="10" xfId="0" applyNumberFormat="1" applyFont="1" applyBorder="1" applyAlignment="1">
      <alignment horizontal="center" vertical="center"/>
    </xf>
    <xf fontId="35" fillId="0" borderId="48" numFmtId="162" xfId="0" applyNumberFormat="1" applyFont="1" applyBorder="1" applyAlignment="1">
      <alignment horizontal="center" vertical="center"/>
    </xf>
    <xf fontId="35" fillId="0" borderId="43" numFmtId="10" xfId="0" applyNumberFormat="1" applyFont="1" applyBorder="1" applyAlignment="1">
      <alignment horizontal="center" vertical="center"/>
    </xf>
    <xf fontId="35" fillId="0" borderId="54" numFmtId="10" xfId="1" applyNumberFormat="1" applyFont="1" applyBorder="1" applyAlignment="1" applyProtection="1">
      <alignment horizontal="center" vertical="center"/>
    </xf>
    <xf fontId="35" fillId="0" borderId="42" numFmtId="162" xfId="1" applyNumberFormat="1" applyFont="1" applyBorder="1" applyAlignment="1" applyProtection="1">
      <alignment horizontal="center" vertical="center"/>
    </xf>
    <xf fontId="35" fillId="0" borderId="55" numFmtId="10" xfId="0" applyNumberFormat="1" applyFont="1" applyBorder="1" applyAlignment="1">
      <alignment horizontal="center" vertical="center"/>
    </xf>
    <xf fontId="35" fillId="0" borderId="18" numFmtId="10" xfId="1" applyNumberFormat="1" applyFont="1" applyBorder="1" applyAlignment="1" applyProtection="1">
      <alignment horizontal="center" vertical="center"/>
    </xf>
    <xf fontId="20" fillId="0" borderId="43" numFmtId="10" xfId="0" applyNumberFormat="1" applyFont="1" applyBorder="1" applyAlignment="1">
      <alignment horizontal="center" vertical="center"/>
    </xf>
    <xf fontId="16" fillId="0" borderId="53" numFmtId="0" xfId="0" applyFont="1" applyBorder="1" applyAlignment="1">
      <alignment horizontal="left" vertical="center"/>
    </xf>
    <xf fontId="35" fillId="0" borderId="56" numFmtId="10" xfId="0" applyNumberFormat="1" applyFont="1" applyBorder="1" applyAlignment="1">
      <alignment horizontal="center" vertical="center"/>
    </xf>
    <xf fontId="35" fillId="0" borderId="16" numFmtId="1" xfId="0" applyNumberFormat="1" applyFont="1" applyBorder="1" applyAlignment="1">
      <alignment horizontal="center" vertical="center"/>
    </xf>
    <xf fontId="35" fillId="0" borderId="26" numFmtId="10" xfId="0" applyNumberFormat="1" applyFont="1" applyBorder="1" applyAlignment="1">
      <alignment horizontal="center" vertical="center"/>
    </xf>
    <xf fontId="35" fillId="0" borderId="23" numFmtId="10" xfId="1" applyNumberFormat="1" applyFont="1" applyBorder="1" applyAlignment="1" applyProtection="1">
      <alignment horizontal="center" vertical="center"/>
    </xf>
    <xf fontId="35" fillId="0" borderId="24" numFmtId="1" xfId="1" applyNumberFormat="1" applyFont="1" applyBorder="1" applyAlignment="1" applyProtection="1">
      <alignment horizontal="center" vertical="center"/>
    </xf>
    <xf fontId="35" fillId="0" borderId="25" numFmtId="10" xfId="0" applyNumberFormat="1" applyFont="1" applyBorder="1" applyAlignment="1">
      <alignment horizontal="center" vertical="center"/>
    </xf>
    <xf fontId="35" fillId="0" borderId="56" numFmtId="10" xfId="1" applyNumberFormat="1" applyFont="1" applyBorder="1" applyAlignment="1" applyProtection="1">
      <alignment horizontal="center" vertical="center"/>
    </xf>
    <xf fontId="35" fillId="0" borderId="24" numFmtId="3" xfId="1" applyNumberFormat="1" applyFont="1" applyBorder="1" applyAlignment="1" applyProtection="1">
      <alignment horizontal="center" vertical="center"/>
    </xf>
    <xf fontId="20" fillId="0" borderId="26" numFmtId="10" xfId="0" applyNumberFormat="1" applyFont="1" applyBorder="1" applyAlignment="1">
      <alignment horizontal="center" vertical="center"/>
    </xf>
    <xf fontId="35" fillId="0" borderId="16" numFmtId="162" xfId="0" applyNumberFormat="1" applyFont="1" applyBorder="1" applyAlignment="1">
      <alignment horizontal="center" vertical="center"/>
    </xf>
    <xf fontId="35" fillId="0" borderId="24" numFmtId="162" xfId="1" applyNumberFormat="1" applyFont="1" applyBorder="1" applyAlignment="1" applyProtection="1">
      <alignment horizontal="center" vertical="center"/>
    </xf>
    <xf fontId="35" fillId="0" borderId="16" numFmtId="2" xfId="0" applyNumberFormat="1" applyFont="1" applyBorder="1" applyAlignment="1">
      <alignment horizontal="center" vertical="center"/>
    </xf>
    <xf fontId="35" fillId="0" borderId="24" numFmtId="2" xfId="1" applyNumberFormat="1" applyFont="1" applyBorder="1" applyAlignment="1" applyProtection="1">
      <alignment horizontal="center" vertical="center"/>
    </xf>
    <xf fontId="35" fillId="0" borderId="24" numFmtId="4" xfId="1" applyNumberFormat="1" applyFont="1" applyBorder="1" applyAlignment="1" applyProtection="1">
      <alignment horizontal="center" vertical="center"/>
    </xf>
    <xf fontId="35" fillId="0" borderId="24" numFmtId="1" xfId="0" applyNumberFormat="1" applyFont="1" applyBorder="1" applyAlignment="1">
      <alignment horizontal="center" vertical="center"/>
    </xf>
    <xf fontId="35" fillId="0" borderId="24" numFmtId="162" xfId="0" applyNumberFormat="1" applyFont="1" applyBorder="1" applyAlignment="1">
      <alignment horizontal="center" vertical="center"/>
    </xf>
    <xf fontId="16" fillId="0" borderId="53" numFmtId="0" xfId="0" applyFont="1" applyBorder="1" applyAlignment="1">
      <alignment horizontal="center" vertical="center"/>
    </xf>
    <xf fontId="16" fillId="0" borderId="16" numFmtId="0" xfId="0" applyFont="1" applyBorder="1" applyAlignment="1">
      <alignment horizontal="center" vertical="center"/>
    </xf>
    <xf fontId="16" fillId="0" borderId="17" numFmtId="0" xfId="0" applyFont="1" applyBorder="1" applyAlignment="1">
      <alignment horizontal="center" vertical="center"/>
    </xf>
    <xf fontId="35" fillId="0" borderId="24" numFmtId="165" xfId="1" applyNumberFormat="1" applyFont="1" applyBorder="1" applyAlignment="1" applyProtection="1">
      <alignment horizontal="center" vertical="center"/>
    </xf>
    <xf fontId="35" fillId="0" borderId="53" numFmtId="10" xfId="0" applyNumberFormat="1" applyFont="1" applyBorder="1" applyAlignment="1">
      <alignment horizontal="center" vertical="center"/>
    </xf>
    <xf fontId="35" fillId="0" borderId="17" numFmtId="10" xfId="0" applyNumberFormat="1" applyFont="1" applyBorder="1" applyAlignment="1">
      <alignment horizontal="center" vertical="center"/>
    </xf>
    <xf fontId="35" fillId="0" borderId="6" numFmtId="10" xfId="0" applyNumberFormat="1" applyFont="1" applyBorder="1" applyAlignment="1">
      <alignment horizontal="center" vertical="center"/>
    </xf>
    <xf fontId="35" fillId="0" borderId="57" numFmtId="162" xfId="0" applyNumberFormat="1" applyFont="1" applyBorder="1" applyAlignment="1">
      <alignment horizontal="center" vertical="center"/>
    </xf>
    <xf fontId="35" fillId="0" borderId="8" numFmtId="10" xfId="0" applyNumberFormat="1" applyFont="1" applyBorder="1" applyAlignment="1">
      <alignment horizontal="center" vertical="center"/>
    </xf>
    <xf fontId="35" fillId="0" borderId="58" numFmtId="10" xfId="1" applyNumberFormat="1" applyFont="1" applyBorder="1" applyAlignment="1" applyProtection="1">
      <alignment horizontal="center" vertical="center"/>
    </xf>
    <xf fontId="35" fillId="0" borderId="57" numFmtId="162" xfId="1" applyNumberFormat="1" applyFont="1" applyBorder="1" applyAlignment="1" applyProtection="1">
      <alignment horizontal="center" vertical="center"/>
    </xf>
    <xf fontId="35" fillId="0" borderId="59" numFmtId="10" xfId="0" applyNumberFormat="1" applyFont="1" applyBorder="1" applyAlignment="1">
      <alignment horizontal="center" vertical="center"/>
    </xf>
    <xf fontId="35" fillId="0" borderId="60" numFmtId="10" xfId="1" applyNumberFormat="1" applyFont="1" applyBorder="1" applyAlignment="1" applyProtection="1">
      <alignment horizontal="center" vertical="center"/>
    </xf>
    <xf fontId="20" fillId="0" borderId="61" numFmtId="10" xfId="0" applyNumberFormat="1" applyFont="1" applyBorder="1" applyAlignment="1">
      <alignment horizontal="center" vertical="center"/>
    </xf>
    <xf fontId="16" fillId="0" borderId="32" numFmtId="0" xfId="0" applyFont="1" applyBorder="1" applyAlignment="1">
      <alignment horizontal="left" vertical="center"/>
    </xf>
    <xf fontId="35" fillId="0" borderId="9" numFmtId="166" xfId="0" applyNumberFormat="1" applyFont="1" applyBorder="1" applyAlignment="1">
      <alignment horizontal="center" vertical="center"/>
    </xf>
    <xf fontId="35" fillId="0" borderId="10" numFmtId="166" xfId="0" applyNumberFormat="1" applyFont="1" applyBorder="1" applyAlignment="1">
      <alignment horizontal="center" vertical="center"/>
    </xf>
    <xf fontId="35" fillId="0" borderId="4" numFmtId="166" xfId="0" applyNumberFormat="1" applyFont="1" applyBorder="1" applyAlignment="1">
      <alignment horizontal="center" vertical="center"/>
    </xf>
    <xf fontId="35" fillId="0" borderId="62" numFmtId="162" xfId="1" applyNumberFormat="1" applyFont="1" applyBorder="1" applyAlignment="1" applyProtection="1">
      <alignment horizontal="center" vertical="center"/>
    </xf>
    <xf fontId="35" fillId="0" borderId="13" numFmtId="162" xfId="1" applyNumberFormat="1" applyFont="1" applyBorder="1" applyAlignment="1" applyProtection="1">
      <alignment horizontal="center" vertical="center"/>
    </xf>
    <xf fontId="35" fillId="0" borderId="14" numFmtId="162" xfId="1" applyNumberFormat="1" applyFont="1" applyBorder="1" applyAlignment="1" applyProtection="1">
      <alignment horizontal="center" vertical="center"/>
    </xf>
    <xf fontId="35" fillId="0" borderId="58" numFmtId="162" xfId="1" applyNumberFormat="1" applyFont="1" applyBorder="1" applyAlignment="1" applyProtection="1">
      <alignment horizontal="center" vertical="center"/>
    </xf>
    <xf fontId="35" fillId="0" borderId="61" numFmtId="162" xfId="1" applyNumberFormat="1" applyFont="1" applyBorder="1" applyAlignment="1" applyProtection="1">
      <alignment horizontal="center" vertical="center"/>
    </xf>
    <xf fontId="27" fillId="0" borderId="0" numFmtId="0" xfId="0" applyFont="1"/>
    <xf fontId="19" fillId="0" borderId="41" numFmtId="0" xfId="0" applyFont="1" applyBorder="1" applyAlignment="1">
      <alignment horizontal="left" vertical="center"/>
    </xf>
    <xf fontId="19" fillId="0" borderId="48" numFmtId="0" xfId="0" applyFont="1" applyBorder="1" applyAlignment="1">
      <alignment horizontal="left" vertical="center"/>
    </xf>
    <xf fontId="3" fillId="0" borderId="41" numFmtId="3" xfId="0" applyNumberFormat="1" applyFont="1" applyBorder="1" applyAlignment="1">
      <alignment horizontal="center" vertical="center" wrapText="1"/>
    </xf>
    <xf fontId="20" fillId="0" borderId="16" numFmtId="0" xfId="0" applyFont="1" applyBorder="1" applyAlignment="1">
      <alignment horizontal="left" vertical="center"/>
    </xf>
    <xf fontId="36" fillId="6" borderId="15" numFmtId="3" xfId="0" applyNumberFormat="1" applyFont="1" applyFill="1" applyBorder="1" applyAlignment="1">
      <alignment horizontal="center" vertical="center" wrapText="1"/>
    </xf>
    <xf fontId="36" fillId="4" borderId="15" numFmtId="3" xfId="0" applyNumberFormat="1" applyFont="1" applyFill="1" applyBorder="1" applyAlignment="1">
      <alignment horizontal="center" vertical="center"/>
    </xf>
    <xf fontId="36" fillId="3" borderId="15" numFmtId="3" xfId="0" applyNumberFormat="1" applyFont="1" applyFill="1" applyBorder="1" applyAlignment="1">
      <alignment horizontal="center" vertical="center"/>
    </xf>
    <xf fontId="36" fillId="3" borderId="15" numFmtId="4" xfId="0" applyNumberFormat="1" applyFont="1" applyFill="1" applyBorder="1" applyAlignment="1">
      <alignment horizontal="center" vertical="center"/>
    </xf>
    <xf fontId="36" fillId="6" borderId="15" numFmtId="10" xfId="0" applyNumberFormat="1" applyFont="1" applyFill="1" applyBorder="1" applyAlignment="1">
      <alignment horizontal="center" vertical="center"/>
    </xf>
    <xf fontId="27" fillId="0" borderId="56" numFmtId="0" xfId="0" applyFont="1" applyBorder="1" applyAlignment="1">
      <alignment horizontal="left"/>
    </xf>
    <xf fontId="27" fillId="0" borderId="24" numFmtId="0" xfId="0" applyFont="1" applyBorder="1" applyAlignment="1">
      <alignment horizontal="left"/>
    </xf>
    <xf fontId="27" fillId="0" borderId="25" numFmtId="0" xfId="0" applyFont="1" applyBorder="1" applyAlignment="1">
      <alignment horizontal="left"/>
    </xf>
    <xf fontId="37" fillId="0" borderId="15" numFmtId="167" xfId="0" applyNumberFormat="1" applyFont="1" applyBorder="1" applyAlignment="1">
      <alignment horizontal="center"/>
    </xf>
    <xf fontId="27" fillId="0" borderId="60" numFmtId="0" xfId="0" applyFont="1" applyBorder="1" applyAlignment="1">
      <alignment horizontal="left"/>
    </xf>
    <xf fontId="27" fillId="0" borderId="57" numFmtId="0" xfId="0" applyFont="1" applyBorder="1" applyAlignment="1">
      <alignment horizontal="left"/>
    </xf>
    <xf fontId="27" fillId="0" borderId="59" numFmtId="0" xfId="0" applyFont="1" applyBorder="1" applyAlignment="1">
      <alignment horizontal="left"/>
    </xf>
    <xf fontId="37" fillId="0" borderId="63" numFmtId="167" xfId="0" applyNumberFormat="1" applyFont="1" applyBorder="1" applyAlignment="1">
      <alignment horizontal="center"/>
    </xf>
    <xf fontId="38" fillId="2" borderId="0" numFmtId="160" xfId="0" applyNumberFormat="1" applyFont="1" applyFill="1" applyAlignment="1">
      <alignment horizontal="center" vertical="center"/>
    </xf>
    <xf fontId="16" fillId="2" borderId="0" numFmtId="0" xfId="0" applyFont="1" applyFill="1"/>
    <xf fontId="39" fillId="2" borderId="0" numFmtId="0" xfId="0" applyFont="1" applyFill="1" applyAlignment="1">
      <alignment horizontal="center"/>
    </xf>
    <xf fontId="40" fillId="2" borderId="0" numFmtId="0" xfId="0" applyFont="1" applyFill="1" applyAlignment="1">
      <alignment horizontal="center" vertical="top"/>
    </xf>
    <xf fontId="10" fillId="2" borderId="0" numFmtId="0" xfId="0" applyFont="1" applyFill="1" applyAlignment="1">
      <alignment horizontal="left" vertical="top"/>
    </xf>
    <xf fontId="12" fillId="3" borderId="24" numFmtId="0" xfId="0" applyFont="1" applyFill="1" applyBorder="1" applyAlignment="1">
      <alignment horizontal="center" vertical="center" wrapText="1"/>
    </xf>
    <xf fontId="12" fillId="3" borderId="31" numFmtId="0" xfId="0" applyFont="1" applyFill="1" applyBorder="1" applyAlignment="1">
      <alignment horizontal="center" vertical="center" wrapText="1"/>
    </xf>
    <xf fontId="12" fillId="3" borderId="28" numFmtId="0" xfId="0" applyFont="1" applyFill="1" applyBorder="1" applyAlignment="1">
      <alignment horizontal="center" vertical="center" wrapText="1"/>
    </xf>
    <xf fontId="17" fillId="2" borderId="0" numFmtId="160" xfId="0" applyNumberFormat="1" applyFont="1" applyFill="1" applyAlignment="1">
      <alignment horizontal="center" vertical="center"/>
    </xf>
    <xf fontId="11" fillId="2" borderId="64" numFmtId="3" xfId="0" applyNumberFormat="1" applyFont="1" applyFill="1" applyBorder="1" applyAlignment="1">
      <alignment horizontal="center"/>
    </xf>
    <xf fontId="11" fillId="2" borderId="5" numFmtId="3" xfId="0" applyNumberFormat="1" applyFont="1" applyFill="1" applyBorder="1" applyAlignment="1">
      <alignment horizontal="center"/>
    </xf>
    <xf fontId="11" fillId="2" borderId="64" numFmtId="9" xfId="0" applyNumberFormat="1" applyFont="1" applyFill="1" applyBorder="1"/>
    <xf fontId="12" fillId="3" borderId="20" numFmtId="0" xfId="0" applyFont="1" applyFill="1" applyBorder="1" applyAlignment="1">
      <alignment horizontal="center" vertical="center" wrapText="1"/>
    </xf>
    <xf fontId="12" fillId="3" borderId="21" numFmtId="0" xfId="0" applyFont="1" applyFill="1" applyBorder="1" applyAlignment="1">
      <alignment horizontal="center" vertical="center" wrapText="1"/>
    </xf>
    <xf fontId="12" fillId="3" borderId="29" numFmtId="0" xfId="0" applyFont="1" applyFill="1" applyBorder="1" applyAlignment="1">
      <alignment horizontal="center" vertical="center" wrapText="1"/>
    </xf>
    <xf fontId="16" fillId="2" borderId="0" numFmtId="0" xfId="0" applyFont="1" applyFill="1" applyAlignment="1">
      <alignment horizontal="center" vertical="top"/>
    </xf>
    <xf fontId="41" fillId="2" borderId="0" numFmtId="0" xfId="0" applyFont="1" applyFill="1"/>
    <xf fontId="15" fillId="2" borderId="9" numFmtId="0" xfId="0" applyFont="1" applyFill="1" applyBorder="1" applyAlignment="1">
      <alignment vertical="center"/>
    </xf>
    <xf fontId="15" fillId="2" borderId="10" numFmtId="0" xfId="0" applyFont="1" applyFill="1" applyBorder="1" applyAlignment="1">
      <alignment vertical="center"/>
    </xf>
    <xf fontId="15" fillId="2" borderId="4" numFmtId="0" xfId="0" applyFont="1" applyFill="1" applyBorder="1" applyAlignment="1">
      <alignment vertical="center"/>
    </xf>
    <xf fontId="17" fillId="2" borderId="1" numFmtId="0" xfId="0" applyFont="1" applyFill="1" applyBorder="1" applyAlignment="1">
      <alignment horizontal="left" vertical="center" wrapText="1"/>
    </xf>
    <xf fontId="17" fillId="2" borderId="10" numFmtId="0" xfId="0" applyFont="1" applyFill="1" applyBorder="1" applyAlignment="1">
      <alignment horizontal="left" vertical="center" wrapText="1"/>
    </xf>
    <xf fontId="17" fillId="2" borderId="4" numFmtId="0" xfId="0" applyFont="1" applyFill="1" applyBorder="1" applyAlignment="1">
      <alignment horizontal="left" vertical="center" wrapText="1"/>
    </xf>
    <xf fontId="19" fillId="0" borderId="47" numFmtId="0" xfId="0" applyFont="1" applyBorder="1" applyAlignment="1">
      <alignment horizontal="left" vertical="center"/>
    </xf>
    <xf fontId="19" fillId="0" borderId="21" numFmtId="0" xfId="0" applyFont="1" applyBorder="1" applyAlignment="1">
      <alignment horizontal="left" vertical="center"/>
    </xf>
    <xf fontId="19" fillId="0" borderId="65" numFmtId="0" xfId="0" applyFont="1" applyBorder="1" applyAlignment="1">
      <alignment horizontal="left" vertical="center"/>
    </xf>
    <xf fontId="19" fillId="0" borderId="18" numFmtId="3" xfId="0" applyNumberFormat="1" applyFont="1" applyBorder="1" applyAlignment="1">
      <alignment horizontal="center" vertical="center"/>
    </xf>
    <xf fontId="19" fillId="4" borderId="19" numFmtId="3" xfId="0" applyNumberFormat="1" applyFont="1" applyFill="1" applyBorder="1" applyAlignment="1">
      <alignment horizontal="center" vertical="center"/>
    </xf>
    <xf fontId="24" fillId="0" borderId="19" numFmtId="3" xfId="0" applyNumberFormat="1" applyFont="1" applyBorder="1" applyAlignment="1">
      <alignment horizontal="center" vertical="center"/>
    </xf>
    <xf fontId="23" fillId="0" borderId="20" numFmtId="10" xfId="0" applyNumberFormat="1" applyFont="1" applyBorder="1" applyAlignment="1">
      <alignment horizontal="center" vertical="center"/>
    </xf>
    <xf fontId="24" fillId="0" borderId="24" numFmtId="3" xfId="0" applyNumberFormat="1" applyFont="1" applyBorder="1" applyAlignment="1">
      <alignment horizontal="center" vertical="center"/>
    </xf>
    <xf fontId="23" fillId="0" borderId="25" numFmtId="10" xfId="0" applyNumberFormat="1" applyFont="1" applyBorder="1" applyAlignment="1">
      <alignment horizontal="center" vertical="center"/>
    </xf>
    <xf fontId="19" fillId="4" borderId="24" numFmtId="3" xfId="0" applyNumberFormat="1" applyFont="1" applyFill="1" applyBorder="1" applyAlignment="1">
      <alignment horizontal="center" vertical="center"/>
    </xf>
    <xf fontId="19" fillId="0" borderId="24" numFmtId="10" xfId="0" applyNumberFormat="1" applyFont="1" applyBorder="1" applyAlignment="1">
      <alignment horizontal="center" vertical="center"/>
    </xf>
    <xf fontId="22" fillId="0" borderId="25" numFmtId="10" xfId="0" applyNumberFormat="1" applyFont="1" applyBorder="1" applyAlignment="1">
      <alignment horizontal="center" vertical="center"/>
    </xf>
    <xf fontId="16" fillId="0" borderId="24" numFmtId="10" xfId="0" applyNumberFormat="1" applyFont="1" applyBorder="1" applyAlignment="1">
      <alignment horizontal="center" vertical="center"/>
    </xf>
    <xf fontId="24" fillId="0" borderId="24" numFmtId="4" xfId="0" applyNumberFormat="1" applyFont="1" applyBorder="1" applyAlignment="1">
      <alignment horizontal="center" vertical="center"/>
    </xf>
    <xf fontId="3" fillId="2" borderId="0" numFmtId="3" xfId="0" applyNumberFormat="1" applyFont="1" applyFill="1"/>
    <xf fontId="23" fillId="0" borderId="27" numFmtId="10" xfId="0" applyNumberFormat="1" applyFont="1" applyBorder="1" applyAlignment="1">
      <alignment horizontal="center" vertical="center"/>
    </xf>
    <xf fontId="18" fillId="0" borderId="27" numFmtId="10" xfId="0" applyNumberFormat="1" applyFont="1" applyBorder="1" applyAlignment="1">
      <alignment horizontal="center" vertical="center"/>
    </xf>
    <xf fontId="19" fillId="3" borderId="33" numFmtId="161" xfId="0" applyNumberFormat="1" applyFont="1" applyFill="1" applyBorder="1" applyAlignment="1">
      <alignment horizontal="center" vertical="center"/>
    </xf>
    <xf fontId="19" fillId="4" borderId="34" numFmtId="161" xfId="0" applyNumberFormat="1" applyFont="1" applyFill="1" applyBorder="1" applyAlignment="1">
      <alignment horizontal="center" vertical="center"/>
    </xf>
    <xf fontId="19" fillId="4" borderId="34" numFmtId="10" xfId="0" applyNumberFormat="1" applyFont="1" applyFill="1" applyBorder="1" applyAlignment="1">
      <alignment horizontal="center" vertical="center"/>
    </xf>
    <xf fontId="24" fillId="0" borderId="34" numFmtId="161" xfId="0" applyNumberFormat="1" applyFont="1" applyBorder="1" applyAlignment="1">
      <alignment horizontal="center" vertical="center"/>
    </xf>
    <xf fontId="15" fillId="16" borderId="24" numFmtId="0" xfId="0" applyFont="1" applyFill="1" applyBorder="1" applyAlignment="1">
      <alignment horizontal="center" vertical="center"/>
    </xf>
    <xf fontId="17" fillId="16" borderId="24" numFmtId="0" xfId="0" applyFont="1" applyFill="1" applyBorder="1" applyAlignment="1">
      <alignment horizontal="center" vertical="center" wrapText="1"/>
    </xf>
    <xf fontId="26" fillId="16" borderId="24" numFmtId="0" xfId="0" applyFont="1" applyFill="1" applyBorder="1" applyAlignment="1">
      <alignment horizontal="center" vertical="center" wrapText="1"/>
    </xf>
    <xf fontId="16" fillId="16" borderId="24" numFmtId="0" xfId="0" applyFont="1" applyFill="1" applyBorder="1" applyAlignment="1">
      <alignment horizontal="center" vertical="top" wrapText="1"/>
    </xf>
    <xf fontId="16" fillId="16" borderId="30" numFmtId="0" xfId="0" applyFont="1" applyFill="1" applyBorder="1" applyAlignment="1">
      <alignment horizontal="center" vertical="top" wrapText="1"/>
    </xf>
    <xf fontId="17" fillId="16" borderId="24" numFmtId="0" xfId="0" applyFont="1" applyFill="1" applyBorder="1" applyAlignment="1">
      <alignment horizontal="center" vertical="top" wrapText="1"/>
    </xf>
    <xf fontId="16" fillId="0" borderId="24" numFmtId="2" xfId="0" applyNumberFormat="1" applyFont="1" applyBorder="1" applyAlignment="1">
      <alignment horizontal="right"/>
    </xf>
    <xf fontId="29" fillId="0" borderId="0" numFmtId="0" xfId="0" applyFont="1"/>
    <xf fontId="31" fillId="0" borderId="0" numFmtId="0" xfId="0" applyFont="1" applyAlignment="1">
      <alignment horizontal="center"/>
    </xf>
    <xf fontId="3" fillId="0" borderId="0" numFmtId="9" xfId="0" applyNumberFormat="1" applyFont="1" applyAlignment="1">
      <alignment horizontal="center" vertical="center"/>
    </xf>
    <xf fontId="16" fillId="0" borderId="0" numFmtId="3" xfId="0" applyNumberFormat="1" applyFont="1" applyAlignment="1">
      <alignment horizontal="center"/>
    </xf>
    <xf fontId="28" fillId="0" borderId="0" numFmtId="3" xfId="0" applyNumberFormat="1" applyFont="1" applyAlignment="1">
      <alignment horizontal="center"/>
    </xf>
    <xf fontId="16" fillId="13" borderId="0" numFmtId="0" xfId="0" applyFont="1" applyFill="1" applyAlignment="1">
      <alignment horizontal="center" vertical="top"/>
    </xf>
    <xf fontId="16" fillId="13" borderId="0" numFmtId="3" xfId="0" applyNumberFormat="1" applyFont="1" applyFill="1" applyAlignment="1">
      <alignment horizontal="center" vertical="top"/>
    </xf>
    <xf fontId="3" fillId="13" borderId="0" numFmtId="9" xfId="0" applyNumberFormat="1" applyFont="1" applyFill="1" applyAlignment="1">
      <alignment horizontal="center" vertical="center"/>
    </xf>
    <xf fontId="16" fillId="13" borderId="0" numFmtId="3" xfId="0" applyNumberFormat="1" applyFont="1" applyFill="1" applyAlignment="1">
      <alignment horizontal="center"/>
    </xf>
    <xf fontId="28" fillId="13" borderId="0" numFmtId="3" xfId="0" applyNumberFormat="1" applyFont="1" applyFill="1" applyAlignment="1">
      <alignment horizontal="center"/>
    </xf>
    <xf fontId="16" fillId="13" borderId="0" numFmtId="10" xfId="0" applyNumberFormat="1" applyFont="1" applyFill="1" applyAlignment="1">
      <alignment horizontal="center" vertical="top"/>
    </xf>
    <xf fontId="2" fillId="0" borderId="0" numFmtId="164" xfId="0" applyNumberFormat="1" applyFont="1"/>
    <xf fontId="16" fillId="0" borderId="0" numFmtId="4" xfId="0" applyNumberFormat="1" applyFont="1" applyAlignment="1">
      <alignment horizontal="center" vertical="top"/>
    </xf>
    <xf fontId="16" fillId="0" borderId="0" numFmtId="10" xfId="0" applyNumberFormat="1" applyFont="1" applyAlignment="1">
      <alignment horizontal="center" vertical="top"/>
    </xf>
    <xf fontId="16" fillId="0" borderId="0" numFmtId="2" xfId="0" applyNumberFormat="1" applyFont="1" applyAlignment="1">
      <alignment horizontal="right"/>
    </xf>
    <xf fontId="16" fillId="0" borderId="0" numFmtId="161" xfId="0" applyNumberFormat="1" applyFont="1" applyAlignment="1">
      <alignment vertical="top"/>
    </xf>
    <xf fontId="27" fillId="0" borderId="0" numFmtId="0" xfId="0" applyFont="1" applyAlignment="1">
      <alignment horizontal="center"/>
    </xf>
    <xf fontId="3" fillId="2" borderId="0" numFmtId="10" xfId="0" applyNumberFormat="1" applyFont="1" applyFill="1"/>
    <xf fontId="23" fillId="0" borderId="19" numFmtId="10" xfId="0" applyNumberFormat="1" applyFont="1" applyBorder="1" applyAlignment="1">
      <alignment horizontal="center" vertical="center"/>
    </xf>
    <xf fontId="16" fillId="4" borderId="0" numFmtId="3" xfId="0" applyNumberFormat="1" applyFont="1" applyFill="1" applyAlignment="1">
      <alignment horizontal="center" vertical="center"/>
    </xf>
    <xf fontId="24" fillId="0" borderId="0" numFmtId="3" xfId="0" applyNumberFormat="1" applyFont="1" applyAlignment="1">
      <alignment horizontal="center" vertical="center"/>
    </xf>
    <xf fontId="23" fillId="0" borderId="24" numFmtId="10" xfId="0" applyNumberFormat="1" applyFont="1" applyBorder="1" applyAlignment="1">
      <alignment horizontal="center" vertical="center"/>
    </xf>
    <xf fontId="22" fillId="0" borderId="0" numFmtId="10" xfId="0" applyNumberFormat="1" applyFont="1" applyAlignment="1">
      <alignment horizontal="center" vertical="center"/>
    </xf>
    <xf fontId="23" fillId="0" borderId="0" numFmtId="10" xfId="0" applyNumberFormat="1" applyFont="1" applyAlignment="1">
      <alignment horizontal="center" vertical="center"/>
    </xf>
    <xf fontId="3" fillId="2" borderId="0" numFmtId="162" xfId="0" applyNumberFormat="1" applyFont="1" applyFill="1"/>
    <xf fontId="3" fillId="0" borderId="0" numFmtId="162" xfId="0" applyNumberFormat="1" applyFont="1"/>
    <xf fontId="18" fillId="0" borderId="0" numFmtId="10" xfId="0" applyNumberFormat="1" applyFont="1" applyAlignment="1">
      <alignment horizontal="center" vertical="center"/>
    </xf>
    <xf fontId="18" fillId="0" borderId="24" numFmtId="10" xfId="0" applyNumberFormat="1" applyFont="1" applyBorder="1" applyAlignment="1">
      <alignment horizontal="center" vertical="center"/>
    </xf>
    <xf fontId="0" fillId="12" borderId="0" numFmtId="0" xfId="0" applyFill="1"/>
    <xf fontId="30" fillId="0" borderId="0" numFmtId="3" xfId="0" applyNumberFormat="1" applyFont="1" applyAlignment="1">
      <alignment horizontal="center" vertical="top"/>
    </xf>
    <xf fontId="16" fillId="0" borderId="45" numFmtId="10" xfId="0" applyNumberFormat="1" applyFont="1" applyBorder="1" applyAlignment="1">
      <alignment horizontal="center" vertical="top"/>
    </xf>
    <xf fontId="28" fillId="0" borderId="45" numFmtId="3" xfId="0" applyNumberFormat="1" applyFont="1" applyBorder="1" applyAlignment="1">
      <alignment horizontal="center"/>
    </xf>
    <xf fontId="16" fillId="13" borderId="0" numFmtId="4" xfId="0" applyNumberFormat="1" applyFont="1" applyFill="1" applyAlignment="1">
      <alignment horizontal="center" vertical="top"/>
    </xf>
    <xf fontId="0" fillId="14" borderId="0" numFmtId="0" xfId="0" applyFill="1"/>
    <xf fontId="16" fillId="13" borderId="19" numFmtId="0" xfId="0" applyFont="1" applyFill="1" applyBorder="1" applyAlignment="1">
      <alignment horizontal="center" vertical="top"/>
    </xf>
    <xf fontId="16" fillId="13" borderId="19" numFmtId="4" xfId="0" applyNumberFormat="1" applyFont="1" applyFill="1" applyBorder="1" applyAlignment="1">
      <alignment horizontal="center" vertical="top"/>
    </xf>
    <xf fontId="16" fillId="13" borderId="19" numFmtId="3" xfId="0" applyNumberFormat="1" applyFont="1" applyFill="1" applyBorder="1" applyAlignment="1">
      <alignment horizontal="center" vertical="top"/>
    </xf>
    <xf fontId="3" fillId="13" borderId="0" numFmtId="0" xfId="0" applyFont="1" applyFill="1"/>
    <xf fontId="27" fillId="12" borderId="24" numFmtId="0" xfId="0" applyFont="1" applyFill="1" applyBorder="1" applyAlignment="1">
      <alignment horizontal="center" vertical="center"/>
    </xf>
    <xf fontId="16" fillId="12" borderId="24" numFmtId="16" xfId="0" applyNumberFormat="1" applyFont="1" applyFill="1" applyBorder="1" applyAlignment="1">
      <alignment horizontal="center" vertical="top"/>
    </xf>
    <xf fontId="16" fillId="12" borderId="24" numFmtId="0" xfId="0" applyFont="1" applyFill="1" applyBorder="1" applyAlignment="1">
      <alignment horizontal="center" vertical="top"/>
    </xf>
    <xf fontId="16" fillId="12" borderId="24" numFmtId="3" xfId="0" applyNumberFormat="1" applyFont="1" applyFill="1" applyBorder="1" applyAlignment="1">
      <alignment horizontal="center" vertical="top"/>
    </xf>
    <xf fontId="3" fillId="0" borderId="28" numFmtId="0" xfId="0" applyFont="1" applyBorder="1"/>
    <xf fontId="17" fillId="13" borderId="25" numFmtId="0" xfId="0" applyFont="1" applyFill="1" applyBorder="1" applyAlignment="1">
      <alignment horizontal="center" vertical="top"/>
    </xf>
    <xf fontId="17" fillId="13" borderId="23" numFmtId="0" xfId="0" applyFont="1" applyFill="1" applyBorder="1" applyAlignment="1">
      <alignment horizontal="center" vertical="top"/>
    </xf>
    <xf fontId="16" fillId="0" borderId="25" numFmtId="3" xfId="0" applyNumberFormat="1" applyFont="1" applyBorder="1" applyAlignment="1">
      <alignment horizontal="center" vertical="top"/>
    </xf>
    <xf fontId="16" fillId="0" borderId="23" numFmtId="3" xfId="0" applyNumberFormat="1" applyFont="1" applyBorder="1" applyAlignment="1">
      <alignment horizontal="center" vertical="top"/>
    </xf>
    <xf fontId="3" fillId="0" borderId="23" numFmtId="9" xfId="0" applyNumberFormat="1" applyFont="1" applyBorder="1" applyAlignment="1">
      <alignment horizontal="center" vertical="center"/>
    </xf>
    <xf fontId="16" fillId="13" borderId="25" numFmtId="3" xfId="0" applyNumberFormat="1" applyFont="1" applyFill="1" applyBorder="1" applyAlignment="1">
      <alignment horizontal="center" vertical="top"/>
    </xf>
    <xf fontId="16" fillId="13" borderId="23" numFmtId="3" xfId="0" applyNumberFormat="1" applyFont="1" applyFill="1" applyBorder="1" applyAlignment="1">
      <alignment horizontal="center" vertical="top"/>
    </xf>
    <xf fontId="3" fillId="13" borderId="23" numFmtId="9" xfId="0" applyNumberFormat="1" applyFont="1" applyFill="1" applyBorder="1" applyAlignment="1">
      <alignment horizontal="center" vertical="center"/>
    </xf>
    <xf fontId="28" fillId="13" borderId="66" numFmtId="3" xfId="0" applyNumberFormat="1" applyFont="1" applyFill="1" applyBorder="1" applyAlignment="1">
      <alignment horizontal="center"/>
    </xf>
    <xf fontId="16" fillId="13" borderId="29" numFmtId="3" xfId="0" applyNumberFormat="1" applyFont="1" applyFill="1" applyBorder="1" applyAlignment="1">
      <alignment horizontal="center" vertical="top"/>
    </xf>
    <xf fontId="28" fillId="13" borderId="23" numFmtId="3" xfId="0" applyNumberFormat="1" applyFont="1" applyFill="1" applyBorder="1" applyAlignment="1">
      <alignment horizontal="center"/>
    </xf>
    <xf fontId="16" fillId="0" borderId="25" numFmtId="10" xfId="0" applyNumberFormat="1" applyFont="1" applyBorder="1" applyAlignment="1">
      <alignment horizontal="center" vertical="top"/>
    </xf>
    <xf fontId="28" fillId="0" borderId="23" numFmtId="3" xfId="0" applyNumberFormat="1" applyFont="1" applyBorder="1" applyAlignment="1">
      <alignment horizontal="center"/>
    </xf>
    <xf fontId="16" fillId="0" borderId="45" numFmtId="3" xfId="0" applyNumberFormat="1" applyFont="1" applyBorder="1" applyAlignment="1">
      <alignment horizontal="center" vertical="top"/>
    </xf>
    <xf fontId="16" fillId="0" borderId="45" numFmtId="3" xfId="0" applyNumberFormat="1" applyFont="1" applyBorder="1" applyAlignment="1">
      <alignment horizontal="center"/>
    </xf>
    <xf fontId="16" fillId="0" borderId="45" numFmtId="2" xfId="0" applyNumberFormat="1" applyFont="1" applyBorder="1" applyAlignment="1">
      <alignment horizontal="right"/>
    </xf>
    <xf fontId="21" fillId="15" borderId="67" numFmtId="17" xfId="0" applyNumberFormat="1" applyFont="1" applyFill="1" applyBorder="1" applyAlignment="1">
      <alignment horizontal="left" vertical="center" wrapText="1"/>
    </xf>
    <xf fontId="21" fillId="15" borderId="48" numFmtId="17" xfId="0" applyNumberFormat="1" applyFont="1" applyFill="1" applyBorder="1" applyAlignment="1">
      <alignment horizontal="left" vertical="center" wrapText="1"/>
    </xf>
    <xf fontId="21" fillId="15" borderId="54" numFmtId="17" xfId="0" applyNumberFormat="1" applyFont="1" applyFill="1" applyBorder="1" applyAlignment="1">
      <alignment horizontal="left" vertical="center" wrapText="1"/>
    </xf>
    <xf fontId="17" fillId="0" borderId="2" numFmtId="0" xfId="0" applyFont="1" applyBorder="1" applyAlignment="1">
      <alignment horizontal="center" vertical="center"/>
    </xf>
    <xf fontId="16" fillId="0" borderId="2" numFmtId="0" xfId="0" applyFont="1" applyBorder="1" applyAlignment="1">
      <alignment horizontal="center" vertical="center"/>
    </xf>
    <xf fontId="16" fillId="0" borderId="3" numFmtId="0" xfId="0" applyFont="1" applyBorder="1" applyAlignment="1">
      <alignment horizontal="center" vertical="center"/>
    </xf>
    <xf fontId="21" fillId="4" borderId="56" numFmtId="0" xfId="0" applyFont="1" applyFill="1" applyBorder="1" applyAlignment="1">
      <alignment horizontal="left" vertical="center" wrapText="1"/>
    </xf>
    <xf fontId="21" fillId="4" borderId="24" numFmtId="0" xfId="0" applyFont="1" applyFill="1" applyBorder="1" applyAlignment="1">
      <alignment horizontal="left" vertical="center" wrapText="1"/>
    </xf>
    <xf fontId="21" fillId="13" borderId="24" numFmtId="0" xfId="0" applyFont="1" applyFill="1" applyBorder="1" applyAlignment="1">
      <alignment horizontal="center" vertical="center"/>
    </xf>
    <xf fontId="17" fillId="0" borderId="0" numFmtId="9" xfId="0" applyNumberFormat="1" applyFont="1" applyAlignment="1">
      <alignment horizontal="center" vertical="center"/>
    </xf>
    <xf fontId="16" fillId="0" borderId="0" numFmtId="0" xfId="0" applyFont="1" applyAlignment="1">
      <alignment horizontal="center" vertical="center"/>
    </xf>
    <xf fontId="16" fillId="0" borderId="68" numFmtId="0" xfId="0" applyFont="1" applyBorder="1" applyAlignment="1">
      <alignment horizontal="center" vertical="center"/>
    </xf>
    <xf fontId="36" fillId="17" borderId="69" numFmtId="0" xfId="0" applyFont="1" applyFill="1" applyBorder="1" applyAlignment="1">
      <alignment horizontal="center" vertical="center" wrapText="1"/>
    </xf>
    <xf fontId="36" fillId="17" borderId="70" numFmtId="0" xfId="0" applyFont="1" applyFill="1" applyBorder="1" applyAlignment="1">
      <alignment horizontal="center" vertical="center" wrapText="1"/>
    </xf>
    <xf fontId="36" fillId="17" borderId="71" numFmtId="0" xfId="0" applyFont="1" applyFill="1" applyBorder="1" applyAlignment="1">
      <alignment horizontal="center" vertical="center" wrapText="1"/>
    </xf>
    <xf fontId="36" fillId="17" borderId="18" numFmtId="0" xfId="0" applyFont="1" applyFill="1" applyBorder="1" applyAlignment="1">
      <alignment horizontal="center" vertical="center" wrapText="1"/>
    </xf>
    <xf fontId="36" fillId="17" borderId="42" numFmtId="0" xfId="0" applyFont="1" applyFill="1" applyBorder="1" applyAlignment="1">
      <alignment horizontal="center" vertical="center" wrapText="1"/>
    </xf>
    <xf fontId="36" fillId="17" borderId="55" numFmtId="0" xfId="0" applyFont="1" applyFill="1" applyBorder="1" applyAlignment="1">
      <alignment horizontal="center" vertical="center" wrapText="1"/>
    </xf>
    <xf fontId="36" fillId="17" borderId="43" numFmtId="0" xfId="0" applyFont="1" applyFill="1" applyBorder="1" applyAlignment="1">
      <alignment horizontal="center" vertical="center" wrapText="1"/>
    </xf>
    <xf fontId="36" fillId="17" borderId="72" numFmtId="0" xfId="0" applyFont="1" applyFill="1" applyBorder="1" applyAlignment="1">
      <alignment horizontal="center" vertical="center" wrapText="1"/>
    </xf>
    <xf fontId="36" fillId="17" borderId="73" numFmtId="0" xfId="0" applyFont="1" applyFill="1" applyBorder="1" applyAlignment="1">
      <alignment horizontal="center" vertical="center" wrapText="1"/>
    </xf>
    <xf fontId="36" fillId="17" borderId="41" numFmtId="0" xfId="0" applyFont="1" applyFill="1" applyBorder="1" applyAlignment="1">
      <alignment horizontal="center" vertical="center" wrapText="1"/>
    </xf>
    <xf fontId="36" fillId="17" borderId="74" numFmtId="0" xfId="0" applyFont="1" applyFill="1" applyBorder="1" applyAlignment="1">
      <alignment horizontal="center" vertical="center" wrapText="1"/>
    </xf>
    <xf fontId="21" fillId="18" borderId="75" numFmtId="3" xfId="0" applyNumberFormat="1" applyFont="1" applyFill="1" applyBorder="1" applyAlignment="1">
      <alignment horizontal="left" vertical="top" wrapText="1"/>
    </xf>
    <xf fontId="21" fillId="18" borderId="76" numFmtId="0" xfId="0" applyFont="1" applyFill="1" applyBorder="1" applyAlignment="1">
      <alignment horizontal="left" vertical="top" wrapText="1"/>
    </xf>
    <xf fontId="21" fillId="18" borderId="76" numFmtId="168" xfId="0" applyNumberFormat="1" applyFont="1" applyFill="1" applyBorder="1" applyAlignment="1">
      <alignment horizontal="right" indent="1" vertical="top" wrapText="1"/>
    </xf>
    <xf fontId="21" fillId="18" borderId="73" numFmtId="168" xfId="0" applyNumberFormat="1" applyFont="1" applyFill="1" applyBorder="1" applyAlignment="1">
      <alignment horizontal="right" vertical="top" wrapText="1"/>
    </xf>
    <xf fontId="21" fillId="18" borderId="77" numFmtId="168" xfId="0" applyNumberFormat="1" applyFont="1" applyFill="1" applyBorder="1" applyAlignment="1">
      <alignment horizontal="right" indent="1" vertical="top" wrapText="1"/>
    </xf>
    <xf fontId="21" fillId="18" borderId="78" numFmtId="168" xfId="0" applyNumberFormat="1" applyFont="1" applyFill="1" applyBorder="1" applyAlignment="1">
      <alignment horizontal="right" indent="1" vertical="top" wrapText="1"/>
    </xf>
    <xf fontId="21" fillId="18" borderId="34" numFmtId="168" xfId="0" applyNumberFormat="1" applyFont="1" applyFill="1" applyBorder="1" applyAlignment="1">
      <alignment horizontal="right" indent="1" vertical="top" wrapText="1"/>
    </xf>
    <xf fontId="21" fillId="18" borderId="35" numFmtId="168" xfId="0" applyNumberFormat="1" applyFont="1" applyFill="1" applyBorder="1" applyAlignment="1">
      <alignment horizontal="right" indent="1" vertical="top" wrapText="1"/>
    </xf>
    <xf fontId="21" fillId="0" borderId="37" numFmtId="168" xfId="0" applyNumberFormat="1" applyFont="1" applyBorder="1" applyAlignment="1">
      <alignment horizontal="right" indent="1" vertical="top" wrapText="1"/>
    </xf>
    <xf fontId="21" fillId="0" borderId="72" numFmtId="168" xfId="0" applyNumberFormat="1" applyFont="1" applyBorder="1" applyAlignment="1">
      <alignment horizontal="right" indent="1" vertical="top" wrapText="1"/>
    </xf>
    <xf fontId="21" fillId="18" borderId="73" numFmtId="168" xfId="0" applyNumberFormat="1" applyFont="1" applyFill="1" applyBorder="1" applyAlignment="1">
      <alignment horizontal="right" indent="1" vertical="top" wrapText="1"/>
    </xf>
    <xf fontId="21" fillId="18" borderId="79" numFmtId="168" xfId="0" applyNumberFormat="1" applyFont="1" applyFill="1" applyBorder="1" applyAlignment="1">
      <alignment horizontal="right" indent="1" vertical="top" wrapText="1"/>
    </xf>
    <xf fontId="21" fillId="18" borderId="74" numFmtId="168" xfId="0" applyNumberFormat="1" applyFont="1" applyFill="1" applyBorder="1" applyAlignment="1">
      <alignment horizontal="right" vertical="top" wrapText="1"/>
    </xf>
    <xf fontId="42" fillId="4" borderId="80" numFmtId="0" xfId="0" applyFont="1" applyFill="1" applyBorder="1" applyAlignment="1">
      <alignment horizontal="left" vertical="top"/>
    </xf>
    <xf fontId="43" fillId="4" borderId="0" numFmtId="0" xfId="0" applyFont="1" applyFill="1" applyAlignment="1">
      <alignment horizontal="left" vertical="top"/>
    </xf>
    <xf fontId="42" fillId="4" borderId="0" numFmtId="0" xfId="0" applyFont="1" applyFill="1" applyAlignment="1">
      <alignment horizontal="left" vertical="top"/>
    </xf>
    <xf fontId="42" fillId="4" borderId="0" numFmtId="2" xfId="0" applyNumberFormat="1" applyFont="1" applyFill="1" applyAlignment="1">
      <alignment horizontal="right" vertical="top"/>
    </xf>
    <xf fontId="16" fillId="4" borderId="0" numFmtId="0" xfId="0" applyFont="1" applyFill="1" applyAlignment="1">
      <alignment horizontal="left"/>
    </xf>
    <xf fontId="16" fillId="4" borderId="68" numFmtId="0" xfId="0" applyFont="1" applyFill="1" applyBorder="1" applyAlignment="1">
      <alignment horizontal="left"/>
    </xf>
    <xf fontId="42" fillId="4" borderId="80" numFmtId="0" xfId="0" applyFont="1" applyFill="1" applyBorder="1" applyAlignment="1">
      <alignment horizontal="center" vertical="center"/>
    </xf>
    <xf fontId="42" fillId="4" borderId="24" numFmtId="0" xfId="0" applyFont="1" applyFill="1" applyBorder="1" applyAlignment="1">
      <alignment horizontal="center" vertical="center"/>
    </xf>
    <xf fontId="42" fillId="4" borderId="0" numFmtId="0" xfId="0" applyFont="1" applyFill="1" applyAlignment="1">
      <alignment horizontal="center" vertical="center"/>
    </xf>
    <xf fontId="16" fillId="4" borderId="0" numFmtId="0" xfId="0" applyFont="1" applyFill="1" applyAlignment="1">
      <alignment horizontal="center" vertical="center"/>
    </xf>
    <xf fontId="16" fillId="4" borderId="68" numFmtId="0" xfId="0" applyFont="1" applyFill="1" applyBorder="1" applyAlignment="1">
      <alignment horizontal="center" vertical="center"/>
    </xf>
    <xf fontId="42" fillId="4" borderId="24" numFmtId="14" xfId="0" applyNumberFormat="1" applyFont="1" applyFill="1" applyBorder="1" applyAlignment="1">
      <alignment horizontal="center" vertical="top"/>
    </xf>
    <xf fontId="42" fillId="4" borderId="24" numFmtId="4" xfId="0" applyNumberFormat="1" applyFont="1" applyFill="1" applyBorder="1" applyAlignment="1">
      <alignment horizontal="right" vertical="top"/>
    </xf>
    <xf fontId="42" fillId="4" borderId="24" numFmtId="0" xfId="0" applyFont="1" applyFill="1" applyBorder="1" applyAlignment="1">
      <alignment horizontal="left" vertical="top" wrapText="1"/>
    </xf>
    <xf fontId="42" fillId="4" borderId="24" numFmtId="4" xfId="0" applyNumberFormat="1" applyFont="1" applyFill="1" applyBorder="1" applyAlignment="1">
      <alignment horizontal="center" vertical="top"/>
    </xf>
    <xf fontId="42" fillId="19" borderId="80" numFmtId="0" xfId="0" applyFont="1" applyFill="1" applyBorder="1" applyAlignment="1">
      <alignment horizontal="left" vertical="top"/>
    </xf>
    <xf fontId="42" fillId="19" borderId="0" numFmtId="0" xfId="0" applyFont="1" applyFill="1" applyAlignment="1">
      <alignment horizontal="left" vertical="top"/>
    </xf>
    <xf fontId="43" fillId="19" borderId="0" numFmtId="4" xfId="0" applyNumberFormat="1" applyFont="1" applyFill="1" applyAlignment="1">
      <alignment horizontal="right" vertical="top"/>
    </xf>
    <xf fontId="42" fillId="19" borderId="0" numFmtId="0" xfId="0" applyFont="1" applyFill="1" applyAlignment="1">
      <alignment horizontal="right" vertical="top"/>
    </xf>
    <xf fontId="16" fillId="19" borderId="0" numFmtId="0" xfId="0" applyFont="1" applyFill="1" applyAlignment="1">
      <alignment horizontal="left"/>
    </xf>
    <xf fontId="43" fillId="19" borderId="0" numFmtId="2" xfId="0" applyNumberFormat="1" applyFont="1" applyFill="1" applyAlignment="1">
      <alignment horizontal="left" vertical="top"/>
    </xf>
    <xf fontId="16" fillId="19" borderId="68" numFmtId="0" xfId="0" applyFont="1" applyFill="1" applyBorder="1" applyAlignment="1">
      <alignment horizontal="left"/>
    </xf>
    <xf fontId="42" fillId="4" borderId="0" numFmtId="0" xfId="0" applyFont="1" applyFill="1" applyAlignment="1">
      <alignment horizontal="center" vertical="center" wrapText="1"/>
    </xf>
    <xf fontId="42" fillId="4" borderId="80" numFmtId="0" xfId="0" applyFont="1" applyFill="1" applyBorder="1" applyAlignment="1">
      <alignment horizontal="center" vertical="center" wrapText="1"/>
    </xf>
    <xf fontId="43" fillId="4" borderId="0" numFmtId="0" xfId="0" applyFont="1" applyFill="1" applyAlignment="1">
      <alignment horizontal="left" vertical="top" wrapText="1"/>
    </xf>
    <xf fontId="17" fillId="4" borderId="0" numFmtId="0" xfId="0" applyFont="1" applyFill="1" applyAlignment="1">
      <alignment horizontal="left" vertical="top" wrapText="1"/>
    </xf>
    <xf fontId="16" fillId="4" borderId="0" numFmtId="0" xfId="0" applyFont="1" applyFill="1" applyAlignment="1">
      <alignment horizontal="center" vertical="center" wrapText="1"/>
    </xf>
    <xf fontId="16" fillId="4" borderId="68" numFmtId="0" xfId="0" applyFont="1" applyFill="1" applyBorder="1" applyAlignment="1">
      <alignment horizontal="center" vertical="center" wrapText="1"/>
    </xf>
    <xf fontId="42" fillId="4" borderId="24" numFmtId="0" xfId="0" applyFont="1" applyFill="1" applyBorder="1" applyAlignment="1">
      <alignment horizontal="center" vertical="center" wrapText="1"/>
    </xf>
    <xf fontId="0" fillId="0" borderId="0" numFmtId="4" xfId="0" applyNumberFormat="1"/>
    <xf fontId="42" fillId="4" borderId="24" numFmtId="1" xfId="0" applyNumberFormat="1" applyFont="1" applyFill="1" applyBorder="1" applyAlignment="1">
      <alignment horizontal="center" vertical="top"/>
    </xf>
    <xf fontId="42" fillId="4" borderId="24" numFmtId="0" xfId="0" applyFont="1" applyFill="1" applyBorder="1" applyAlignment="1">
      <alignment horizontal="left" vertical="top"/>
    </xf>
    <xf fontId="42" fillId="4" borderId="24" numFmtId="169" xfId="0" applyNumberFormat="1" applyFont="1" applyFill="1" applyBorder="1" applyAlignment="1">
      <alignment horizontal="center" vertical="top"/>
    </xf>
    <xf fontId="42" fillId="4" borderId="24" numFmtId="2" xfId="0" applyNumberFormat="1" applyFont="1" applyFill="1" applyBorder="1" applyAlignment="1">
      <alignment horizontal="center" vertical="top"/>
    </xf>
    <xf fontId="43" fillId="4" borderId="24" numFmtId="2" xfId="0" applyNumberFormat="1" applyFont="1" applyFill="1" applyBorder="1" applyAlignment="1">
      <alignment horizontal="right" indent="1" vertical="center" wrapText="1"/>
    </xf>
    <xf fontId="42" fillId="4" borderId="0" numFmtId="4" xfId="0" applyNumberFormat="1" applyFont="1" applyFill="1" applyAlignment="1">
      <alignment horizontal="left" vertical="top"/>
    </xf>
    <xf fontId="42" fillId="4" borderId="24" numFmtId="10" xfId="0" applyNumberFormat="1" applyFont="1" applyFill="1" applyBorder="1" applyAlignment="1">
      <alignment horizontal="center" vertical="top"/>
    </xf>
    <xf fontId="42" fillId="4" borderId="24" numFmtId="0" xfId="0" applyFont="1" applyFill="1" applyBorder="1" applyAlignment="1">
      <alignment horizontal="left" vertical="center"/>
    </xf>
    <xf fontId="42" fillId="4" borderId="24" numFmtId="169" xfId="0" applyNumberFormat="1" applyFont="1" applyFill="1" applyBorder="1" applyAlignment="1">
      <alignment horizontal="center" vertical="center" wrapText="1"/>
    </xf>
    <xf fontId="42" fillId="4" borderId="24" numFmtId="10" xfId="0" applyNumberFormat="1" applyFont="1" applyFill="1" applyBorder="1" applyAlignment="1">
      <alignment horizontal="center" vertical="center" wrapText="1"/>
    </xf>
    <xf fontId="42" fillId="4" borderId="24" numFmtId="2" xfId="0" applyNumberFormat="1" applyFont="1" applyFill="1" applyBorder="1" applyAlignment="1">
      <alignment horizontal="center" vertical="center" wrapText="1"/>
    </xf>
    <xf fontId="42" fillId="4" borderId="0" numFmtId="0" xfId="0" applyFont="1" applyFill="1" applyAlignment="1">
      <alignment horizontal="left" vertical="center"/>
    </xf>
    <xf fontId="42" fillId="4" borderId="0" numFmtId="169" xfId="0" applyNumberFormat="1" applyFont="1" applyFill="1" applyAlignment="1">
      <alignment horizontal="center" vertical="center" wrapText="1"/>
    </xf>
    <xf fontId="43" fillId="4" borderId="0" numFmtId="2" xfId="0" applyNumberFormat="1" applyFont="1" applyFill="1" applyAlignment="1">
      <alignment horizontal="right" vertical="center" wrapText="1"/>
    </xf>
    <xf fontId="17" fillId="19" borderId="0" numFmtId="4" xfId="0" applyNumberFormat="1" applyFont="1" applyFill="1" applyAlignment="1">
      <alignment horizontal="right"/>
    </xf>
    <xf fontId="16" fillId="19" borderId="0" numFmtId="0" xfId="0" applyFont="1" applyFill="1" applyAlignment="1">
      <alignment horizontal="right"/>
    </xf>
    <xf fontId="17" fillId="19" borderId="0" numFmtId="2" xfId="0" applyNumberFormat="1" applyFont="1" applyFill="1" applyAlignment="1">
      <alignment horizontal="left"/>
    </xf>
    <xf fontId="16" fillId="4" borderId="80" numFmtId="0" xfId="0" applyFont="1" applyFill="1" applyBorder="1" applyAlignment="1">
      <alignment horizontal="left"/>
    </xf>
    <xf fontId="16" fillId="0" borderId="0" numFmtId="0" xfId="0" applyFont="1" applyAlignment="1">
      <alignment horizontal="left"/>
    </xf>
    <xf fontId="16" fillId="0" borderId="68" numFmtId="0" xfId="0" applyFont="1" applyBorder="1"/>
    <xf fontId="43" fillId="4" borderId="21" numFmtId="0" xfId="0" applyFont="1" applyFill="1" applyBorder="1" applyAlignment="1">
      <alignment horizontal="left" vertical="top"/>
    </xf>
    <xf fontId="17" fillId="4" borderId="21" numFmtId="0" xfId="0" applyFont="1" applyFill="1" applyBorder="1" applyAlignment="1">
      <alignment horizontal="left"/>
    </xf>
    <xf fontId="16" fillId="4" borderId="21" numFmtId="0" xfId="0" applyFont="1" applyFill="1" applyBorder="1" applyAlignment="1">
      <alignment horizontal="left"/>
    </xf>
    <xf fontId="16" fillId="4" borderId="65" numFmtId="0" xfId="0" applyFont="1" applyFill="1" applyBorder="1" applyAlignment="1">
      <alignment horizontal="left"/>
    </xf>
    <xf fontId="16" fillId="4" borderId="80" numFmtId="0" xfId="0" applyFont="1" applyFill="1" applyBorder="1" applyAlignment="1">
      <alignment horizontal="center" vertical="center" wrapText="1"/>
    </xf>
    <xf fontId="42" fillId="4" borderId="26" numFmtId="0" xfId="0" applyFont="1" applyFill="1" applyBorder="1" applyAlignment="1">
      <alignment horizontal="center" vertical="center" wrapText="1"/>
    </xf>
    <xf fontId="43" fillId="4" borderId="24" numFmtId="2" xfId="0" applyNumberFormat="1" applyFont="1" applyFill="1" applyBorder="1" applyAlignment="1">
      <alignment horizontal="right" indent="1" vertical="top"/>
    </xf>
    <xf fontId="42" fillId="4" borderId="24" numFmtId="3" xfId="0" applyNumberFormat="1" applyFont="1" applyFill="1" applyBorder="1" applyAlignment="1">
      <alignment horizontal="left" vertical="top"/>
    </xf>
    <xf fontId="42" fillId="4" borderId="24" numFmtId="169" xfId="0" applyNumberFormat="1" applyFont="1" applyFill="1" applyBorder="1" applyAlignment="1">
      <alignment vertical="top"/>
    </xf>
    <xf fontId="16" fillId="4" borderId="24" numFmtId="3" xfId="0" applyNumberFormat="1" applyFont="1" applyFill="1" applyBorder="1" applyAlignment="1">
      <alignment vertical="top"/>
    </xf>
    <xf fontId="43" fillId="4" borderId="26" numFmtId="2" xfId="0" applyNumberFormat="1" applyFont="1" applyFill="1" applyBorder="1" applyAlignment="1">
      <alignment horizontal="right" indent="1" vertical="top"/>
    </xf>
    <xf fontId="42" fillId="4" borderId="24" numFmtId="4" xfId="0" applyNumberFormat="1" applyFont="1" applyFill="1" applyBorder="1" applyAlignment="1">
      <alignment horizontal="right" vertical="center" wrapText="1"/>
    </xf>
    <xf fontId="42" fillId="4" borderId="24" numFmtId="3" xfId="0" applyNumberFormat="1" applyFont="1" applyFill="1" applyBorder="1" applyAlignment="1">
      <alignment horizontal="left" vertical="top" wrapText="1"/>
    </xf>
    <xf fontId="42" fillId="4" borderId="24" numFmtId="0" xfId="0" applyFont="1" applyFill="1" applyBorder="1" applyAlignment="1">
      <alignment vertical="center"/>
    </xf>
    <xf fontId="42" fillId="4" borderId="24" numFmtId="169" xfId="0" applyNumberFormat="1" applyFont="1" applyFill="1" applyBorder="1" applyAlignment="1">
      <alignment vertical="center" wrapText="1"/>
    </xf>
    <xf fontId="16" fillId="4" borderId="24" numFmtId="0" xfId="0" applyFont="1" applyFill="1" applyBorder="1" applyAlignment="1">
      <alignment vertical="top" wrapText="1"/>
    </xf>
    <xf fontId="42" fillId="4" borderId="24" numFmtId="10" xfId="0" applyNumberFormat="1" applyFont="1" applyFill="1" applyBorder="1" applyAlignment="1">
      <alignment horizontal="center" vertical="top" wrapText="1"/>
    </xf>
    <xf fontId="43" fillId="4" borderId="26" numFmtId="2" xfId="0" applyNumberFormat="1" applyFont="1" applyFill="1" applyBorder="1" applyAlignment="1">
      <alignment horizontal="right" indent="1" vertical="top" wrapText="1"/>
    </xf>
    <xf fontId="3" fillId="0" borderId="6" numFmtId="0" xfId="0" applyFont="1" applyBorder="1"/>
    <xf fontId="3" fillId="0" borderId="7" numFmtId="0" xfId="0" applyFont="1" applyBorder="1"/>
    <xf fontId="3" fillId="0" borderId="8" numFmtId="0" xfId="0" applyFont="1" applyBorder="1"/>
    <xf fontId="21" fillId="4" borderId="81" numFmtId="0" xfId="0" applyFont="1" applyFill="1" applyBorder="1" applyAlignment="1">
      <alignment horizontal="left" vertical="center" wrapText="1"/>
    </xf>
    <xf fontId="21" fillId="4" borderId="30" numFmtId="0" xfId="0" applyFont="1" applyFill="1" applyBorder="1" applyAlignment="1">
      <alignment horizontal="left" vertical="center" wrapText="1"/>
    </xf>
    <xf fontId="21" fillId="13" borderId="30" numFmtId="0" xfId="0" applyFont="1" applyFill="1" applyBorder="1" applyAlignment="1">
      <alignment horizontal="center" vertical="center"/>
    </xf>
    <xf fontId="36" fillId="17" borderId="24" numFmtId="0" xfId="0" applyFont="1" applyFill="1" applyBorder="1" applyAlignment="1">
      <alignment horizontal="center" vertical="center" wrapText="1"/>
    </xf>
    <xf fontId="36" fillId="17" borderId="25" numFmtId="0" xfId="0" applyFont="1" applyFill="1" applyBorder="1" applyAlignment="1">
      <alignment horizontal="center" vertical="center" wrapText="1"/>
    </xf>
    <xf fontId="36" fillId="17" borderId="3" numFmtId="0" xfId="0" applyFont="1" applyFill="1" applyBorder="1" applyAlignment="1">
      <alignment horizontal="center" vertical="center" wrapText="1"/>
    </xf>
    <xf fontId="21" fillId="18" borderId="24" numFmtId="3" xfId="0" applyNumberFormat="1" applyFont="1" applyFill="1" applyBorder="1" applyAlignment="1">
      <alignment horizontal="left" vertical="top" wrapText="1"/>
    </xf>
    <xf fontId="21" fillId="18" borderId="24" numFmtId="0" xfId="0" applyFont="1" applyFill="1" applyBorder="1" applyAlignment="1">
      <alignment horizontal="left" vertical="top" wrapText="1"/>
    </xf>
    <xf fontId="36" fillId="18" borderId="24" numFmtId="168" xfId="0" applyNumberFormat="1" applyFont="1" applyFill="1" applyBorder="1" applyAlignment="1">
      <alignment horizontal="right" indent="1" vertical="top" wrapText="1"/>
    </xf>
    <xf fontId="36" fillId="18" borderId="25" numFmtId="168" xfId="0" applyNumberFormat="1" applyFont="1" applyFill="1" applyBorder="1" applyAlignment="1">
      <alignment horizontal="right" vertical="top" wrapText="1"/>
    </xf>
    <xf fontId="36" fillId="18" borderId="6" numFmtId="168" xfId="0" applyNumberFormat="1" applyFont="1" applyFill="1" applyBorder="1" applyAlignment="1">
      <alignment horizontal="right" indent="1" vertical="top" wrapText="1"/>
    </xf>
    <xf fontId="36" fillId="18" borderId="78" numFmtId="168" xfId="0" applyNumberFormat="1" applyFont="1" applyFill="1" applyBorder="1" applyAlignment="1">
      <alignment horizontal="right" indent="1" vertical="top" wrapText="1"/>
    </xf>
    <xf fontId="36" fillId="18" borderId="34" numFmtId="168" xfId="0" applyNumberFormat="1" applyFont="1" applyFill="1" applyBorder="1" applyAlignment="1">
      <alignment horizontal="right" indent="1" vertical="top" wrapText="1"/>
    </xf>
    <xf fontId="36" fillId="18" borderId="35" numFmtId="168" xfId="0" applyNumberFormat="1" applyFont="1" applyFill="1" applyBorder="1" applyAlignment="1">
      <alignment horizontal="right" indent="1" vertical="top" wrapText="1"/>
    </xf>
    <xf fontId="36" fillId="0" borderId="35" numFmtId="168" xfId="0" applyNumberFormat="1" applyFont="1" applyBorder="1" applyAlignment="1">
      <alignment horizontal="right" indent="1" vertical="top" wrapText="1"/>
    </xf>
    <xf fontId="21" fillId="0" borderId="78" numFmtId="168" xfId="0" applyNumberFormat="1" applyFont="1" applyBorder="1" applyAlignment="1">
      <alignment horizontal="right" indent="1" vertical="top" wrapText="1"/>
    </xf>
    <xf fontId="21" fillId="18" borderId="37" numFmtId="168" xfId="0" applyNumberFormat="1" applyFont="1" applyFill="1" applyBorder="1" applyAlignment="1">
      <alignment horizontal="right" indent="1" vertical="top" wrapText="1"/>
    </xf>
    <xf fontId="21" fillId="18" borderId="82" numFmtId="168" xfId="0" applyNumberFormat="1" applyFont="1" applyFill="1" applyBorder="1" applyAlignment="1">
      <alignment horizontal="right" indent="1" vertical="top" wrapText="1"/>
    </xf>
    <xf fontId="42" fillId="4" borderId="0" numFmtId="14" xfId="0" applyNumberFormat="1" applyFont="1" applyFill="1" applyAlignment="1">
      <alignment horizontal="center" vertical="top"/>
    </xf>
    <xf fontId="42" fillId="4" borderId="0" numFmtId="4" xfId="0" applyNumberFormat="1" applyFont="1" applyFill="1" applyAlignment="1">
      <alignment horizontal="center" vertical="top"/>
    </xf>
    <xf fontId="42" fillId="4" borderId="0" numFmtId="0" xfId="0" applyFont="1" applyFill="1" applyAlignment="1">
      <alignment horizontal="left" vertical="top" wrapText="1"/>
    </xf>
    <xf fontId="42" fillId="19" borderId="0" numFmtId="2" xfId="0" applyNumberFormat="1" applyFont="1" applyFill="1" applyAlignment="1">
      <alignment horizontal="left" vertical="top"/>
    </xf>
    <xf fontId="17" fillId="0" borderId="20" numFmtId="9" xfId="0" applyNumberFormat="1" applyFont="1" applyBorder="1" applyAlignment="1">
      <alignment horizontal="center" vertical="center"/>
    </xf>
    <xf fontId="16" fillId="0" borderId="21" numFmtId="0" xfId="0" applyFont="1" applyBorder="1" applyAlignment="1">
      <alignment horizontal="center" vertical="center"/>
    </xf>
    <xf fontId="16" fillId="0" borderId="65" numFmtId="0" xfId="0" applyFont="1" applyBorder="1" applyAlignment="1">
      <alignment horizontal="center" vertical="center"/>
    </xf>
    <xf fontId="36" fillId="17" borderId="49" numFmtId="0" xfId="0" applyFont="1" applyFill="1" applyBorder="1" applyAlignment="1">
      <alignment horizontal="center" vertical="center" wrapText="1"/>
    </xf>
    <xf fontId="36" fillId="17" borderId="83" numFmtId="0" xfId="0" applyFont="1" applyFill="1" applyBorder="1" applyAlignment="1">
      <alignment horizontal="center" vertical="center" wrapText="1"/>
    </xf>
    <xf fontId="36" fillId="17" borderId="84" numFmtId="0" xfId="0" applyFont="1" applyFill="1" applyBorder="1" applyAlignment="1">
      <alignment horizontal="center" vertical="center" wrapText="1"/>
    </xf>
    <xf fontId="36" fillId="17" borderId="65" numFmtId="0" xfId="0" applyFont="1" applyFill="1" applyBorder="1" applyAlignment="1">
      <alignment horizontal="center" vertical="center" wrapText="1"/>
    </xf>
    <xf fontId="21" fillId="18" borderId="85" numFmtId="3" xfId="0" applyNumberFormat="1" applyFont="1" applyFill="1" applyBorder="1" applyAlignment="1">
      <alignment horizontal="left" vertical="top" wrapText="1"/>
    </xf>
    <xf fontId="21" fillId="18" borderId="86" numFmtId="0" xfId="0" applyFont="1" applyFill="1" applyBorder="1" applyAlignment="1">
      <alignment horizontal="left" vertical="top" wrapText="1"/>
    </xf>
    <xf fontId="36" fillId="18" borderId="86" numFmtId="168" xfId="0" applyNumberFormat="1" applyFont="1" applyFill="1" applyBorder="1" applyAlignment="1">
      <alignment horizontal="right" indent="1" vertical="top" wrapText="1"/>
    </xf>
    <xf fontId="36" fillId="18" borderId="87" numFmtId="168" xfId="0" applyNumberFormat="1" applyFont="1" applyFill="1" applyBorder="1" applyAlignment="1">
      <alignment horizontal="right" vertical="top" wrapText="1"/>
    </xf>
    <xf fontId="36" fillId="0" borderId="37" numFmtId="168" xfId="0" applyNumberFormat="1" applyFont="1" applyBorder="1" applyAlignment="1">
      <alignment horizontal="right" indent="1" vertical="top" wrapText="1"/>
    </xf>
    <xf fontId="21" fillId="0" borderId="88" numFmtId="168" xfId="0" applyNumberFormat="1" applyFont="1" applyBorder="1" applyAlignment="1">
      <alignment horizontal="right" indent="1" vertical="top" wrapText="1"/>
    </xf>
    <xf fontId="21" fillId="18" borderId="70" numFmtId="168" xfId="0" applyNumberFormat="1" applyFont="1" applyFill="1" applyBorder="1" applyAlignment="1">
      <alignment horizontal="right" indent="1" vertical="top" wrapText="1"/>
    </xf>
    <xf fontId="21" fillId="18" borderId="63" numFmtId="168" xfId="0" applyNumberFormat="1" applyFont="1" applyFill="1" applyBorder="1" applyAlignment="1">
      <alignment horizontal="right" indent="1" vertical="top" wrapText="1"/>
    </xf>
    <xf fontId="21" fillId="18" borderId="89" numFmtId="168" xfId="0" applyNumberFormat="1" applyFont="1" applyFill="1" applyBorder="1" applyAlignment="1">
      <alignment horizontal="right" vertical="top" wrapText="1"/>
    </xf>
    <xf fontId="21" fillId="20" borderId="90" numFmtId="0" xfId="0" applyFont="1" applyFill="1" applyBorder="1"/>
    <xf fontId="44" fillId="21" borderId="91" numFmtId="170" xfId="0" applyNumberFormat="1" applyFont="1" applyFill="1" applyBorder="1" applyAlignment="1" applyProtection="1">
      <alignment horizontal="left"/>
      <protection locked="0"/>
    </xf>
    <xf fontId="36" fillId="20" borderId="92" numFmtId="0" xfId="0" applyFont="1" applyFill="1" applyBorder="1"/>
    <xf fontId="45" fillId="21" borderId="93" numFmtId="0" xfId="0" applyFont="1" applyFill="1" applyBorder="1" applyProtection="1">
      <protection locked="0"/>
    </xf>
    <xf fontId="46" fillId="22" borderId="0" numFmtId="0" xfId="0" applyFont="1" applyFill="1" applyAlignment="1">
      <alignment vertical="center"/>
    </xf>
    <xf fontId="46" fillId="20" borderId="0" numFmtId="0" xfId="0" applyFont="1" applyFill="1" applyAlignment="1">
      <alignment vertical="center"/>
    </xf>
    <xf fontId="36" fillId="20" borderId="0" numFmtId="0" xfId="0" applyFont="1" applyFill="1"/>
    <xf fontId="45" fillId="23" borderId="94" numFmtId="0" xfId="0" applyFont="1" applyFill="1" applyBorder="1"/>
    <xf fontId="46" fillId="24" borderId="0" numFmtId="0" xfId="0" applyFont="1" applyFill="1" applyAlignment="1">
      <alignment vertical="center"/>
    </xf>
    <xf fontId="36" fillId="24" borderId="0" numFmtId="0" xfId="0" applyFont="1" applyFill="1"/>
    <xf fontId="47" fillId="23" borderId="94" numFmtId="0" xfId="0" applyFont="1" applyFill="1" applyBorder="1"/>
    <xf fontId="45" fillId="23" borderId="95" numFmtId="0" xfId="0" applyFont="1" applyFill="1" applyBorder="1"/>
    <xf fontId="48" fillId="20" borderId="96" numFmtId="0" xfId="0" applyFont="1" applyFill="1" applyBorder="1" applyAlignment="1">
      <alignment horizontal="center"/>
    </xf>
    <xf fontId="48" fillId="20" borderId="97" numFmtId="0" xfId="0" applyFont="1" applyFill="1" applyBorder="1" applyAlignment="1">
      <alignment horizontal="center"/>
    </xf>
    <xf fontId="49" fillId="20" borderId="96" numFmtId="3" xfId="0" applyNumberFormat="1" applyFont="1" applyFill="1" applyBorder="1" applyAlignment="1">
      <alignment horizontal="center"/>
    </xf>
    <xf fontId="49" fillId="20" borderId="98" numFmtId="3" xfId="0" applyNumberFormat="1" applyFont="1" applyFill="1" applyBorder="1" applyAlignment="1">
      <alignment horizontal="center"/>
    </xf>
    <xf fontId="49" fillId="20" borderId="97" numFmtId="3" xfId="0" applyNumberFormat="1" applyFont="1" applyFill="1" applyBorder="1" applyAlignment="1">
      <alignment horizontal="center"/>
    </xf>
    <xf fontId="50" fillId="20" borderId="96" numFmtId="0" xfId="0" applyFont="1" applyFill="1" applyBorder="1" applyAlignment="1">
      <alignment horizontal="center" wrapText="1"/>
    </xf>
    <xf fontId="36" fillId="20" borderId="96" numFmtId="0" xfId="0" applyFont="1" applyFill="1" applyBorder="1" applyAlignment="1">
      <alignment horizontal="left" wrapText="1"/>
    </xf>
    <xf fontId="36" fillId="20" borderId="98" numFmtId="0" xfId="0" applyFont="1" applyFill="1" applyBorder="1" applyAlignment="1">
      <alignment horizontal="left" wrapText="1"/>
    </xf>
    <xf fontId="36" fillId="20" borderId="97" numFmtId="0" xfId="0" applyFont="1" applyFill="1" applyBorder="1" applyAlignment="1">
      <alignment horizontal="left" wrapText="1"/>
    </xf>
    <xf fontId="21" fillId="20" borderId="99" numFmtId="0" xfId="0" applyFont="1" applyFill="1" applyBorder="1" applyAlignment="1">
      <alignment horizontal="center"/>
    </xf>
    <xf fontId="36" fillId="25" borderId="0" numFmtId="0" xfId="0" applyFont="1" applyFill="1"/>
    <xf fontId="21" fillId="20" borderId="100" numFmtId="0" xfId="0" applyFont="1" applyFill="1" applyBorder="1"/>
    <xf fontId="50" fillId="20" borderId="101" numFmtId="2" xfId="0" applyNumberFormat="1" applyFont="1" applyFill="1" applyBorder="1" applyAlignment="1">
      <alignment horizontal="center"/>
    </xf>
    <xf fontId="51" fillId="20" borderId="96" numFmtId="3" xfId="0" applyNumberFormat="1" applyFont="1" applyFill="1" applyBorder="1" applyAlignment="1">
      <alignment horizontal="center"/>
    </xf>
    <xf fontId="36" fillId="25" borderId="0" numFmtId="10" xfId="0" applyNumberFormat="1" applyFont="1" applyFill="1"/>
    <xf fontId="21" fillId="20" borderId="102" numFmtId="0" xfId="0" applyFont="1" applyFill="1" applyBorder="1"/>
    <xf fontId="36" fillId="20" borderId="98" numFmtId="0" xfId="0" applyFont="1" applyFill="1" applyBorder="1"/>
    <xf fontId="36" fillId="20" borderId="103" numFmtId="0" xfId="0" applyFont="1" applyFill="1" applyBorder="1"/>
    <xf fontId="21" fillId="26" borderId="104" numFmtId="0" xfId="0" applyFont="1" applyFill="1" applyBorder="1" applyAlignment="1" applyProtection="1">
      <alignment wrapText="1"/>
      <protection locked="0"/>
    </xf>
    <xf fontId="36" fillId="27" borderId="105" numFmtId="0" xfId="0" applyFont="1" applyFill="1" applyBorder="1"/>
    <xf fontId="21" fillId="28" borderId="105" numFmtId="0" xfId="0" applyFont="1" applyFill="1" applyBorder="1" applyAlignment="1">
      <alignment horizontal="center" vertical="center" wrapText="1"/>
    </xf>
    <xf fontId="51" fillId="25" borderId="105" numFmtId="0" xfId="0" applyFont="1" applyFill="1" applyBorder="1" applyAlignment="1">
      <alignment horizontal="center" vertical="center" wrapText="1"/>
    </xf>
    <xf fontId="36" fillId="20" borderId="106" numFmtId="0" xfId="0" applyFont="1" applyFill="1" applyBorder="1"/>
    <xf fontId="36" fillId="20" borderId="107" numFmtId="0" xfId="0" applyFont="1" applyFill="1" applyBorder="1"/>
    <xf fontId="36" fillId="27" borderId="107" numFmtId="0" xfId="0" applyFont="1" applyFill="1" applyBorder="1"/>
    <xf fontId="21" fillId="28" borderId="108" numFmtId="0" xfId="0" applyFont="1" applyFill="1" applyBorder="1" applyAlignment="1">
      <alignment horizontal="center" vertical="center" wrapText="1"/>
    </xf>
    <xf fontId="21" fillId="28" borderId="107" numFmtId="0" xfId="0" applyFont="1" applyFill="1" applyBorder="1" applyAlignment="1">
      <alignment horizontal="center" vertical="center" wrapText="1"/>
    </xf>
    <xf fontId="51" fillId="25" borderId="107" numFmtId="0" xfId="0" applyFont="1" applyFill="1" applyBorder="1" applyAlignment="1">
      <alignment horizontal="center" vertical="center" wrapText="1"/>
    </xf>
    <xf fontId="21" fillId="20" borderId="9" numFmtId="0" xfId="0" applyFont="1" applyFill="1" applyBorder="1" applyAlignment="1">
      <alignment vertical="center" wrapText="1"/>
    </xf>
    <xf fontId="21" fillId="20" borderId="109" numFmtId="0" xfId="0" applyFont="1" applyFill="1" applyBorder="1" applyAlignment="1">
      <alignment horizontal="center" vertical="center"/>
    </xf>
    <xf fontId="51" fillId="20" borderId="110" numFmtId="0" xfId="0" applyFont="1" applyFill="1" applyBorder="1" applyAlignment="1">
      <alignment horizontal="center" vertical="center"/>
    </xf>
    <xf fontId="51" fillId="20" borderId="104" numFmtId="0" xfId="0" applyFont="1" applyFill="1" applyBorder="1" applyAlignment="1">
      <alignment horizontal="center" vertical="center"/>
    </xf>
    <xf fontId="51" fillId="27" borderId="104" numFmtId="0" xfId="0" applyFont="1" applyFill="1" applyBorder="1" applyAlignment="1">
      <alignment horizontal="center" vertical="center"/>
    </xf>
    <xf fontId="21" fillId="28" borderId="104" numFmtId="0" xfId="0" applyFont="1" applyFill="1" applyBorder="1" applyAlignment="1">
      <alignment horizontal="center" vertical="center" wrapText="1"/>
    </xf>
    <xf fontId="21" fillId="28" borderId="111" numFmtId="0" xfId="0" applyFont="1" applyFill="1" applyBorder="1" applyAlignment="1">
      <alignment horizontal="center" vertical="center" wrapText="1"/>
    </xf>
    <xf fontId="21" fillId="28" borderId="112" numFmtId="0" xfId="0" applyFont="1" applyFill="1" applyBorder="1" applyAlignment="1">
      <alignment horizontal="center" vertical="center" wrapText="1"/>
    </xf>
    <xf fontId="21" fillId="28" borderId="113" numFmtId="0" xfId="0" applyFont="1" applyFill="1" applyBorder="1" applyAlignment="1">
      <alignment horizontal="center" vertical="center" wrapText="1"/>
    </xf>
    <xf fontId="51" fillId="25" borderId="113" numFmtId="0" xfId="0" applyFont="1" applyFill="1" applyBorder="1" applyAlignment="1">
      <alignment horizontal="center" vertical="center" wrapText="1"/>
    </xf>
    <xf fontId="21" fillId="20" borderId="91" numFmtId="0" xfId="0" applyFont="1" applyFill="1" applyBorder="1"/>
    <xf fontId="52" fillId="0" borderId="114" numFmtId="0" xfId="0" applyFont="1" applyBorder="1"/>
    <xf fontId="36" fillId="0" borderId="115" numFmtId="0" xfId="0" applyFont="1" applyBorder="1"/>
    <xf fontId="3" fillId="0" borderId="115" numFmtId="0" xfId="0" applyFont="1" applyBorder="1"/>
    <xf fontId="36" fillId="0" borderId="116" numFmtId="0" xfId="0" applyFont="1" applyBorder="1"/>
    <xf fontId="36" fillId="27" borderId="19" numFmtId="3" xfId="0" applyNumberFormat="1" applyFont="1" applyFill="1" applyBorder="1" applyAlignment="1">
      <alignment horizontal="center"/>
    </xf>
    <xf fontId="36" fillId="28" borderId="114" numFmtId="3" xfId="0" applyNumberFormat="1" applyFont="1" applyFill="1" applyBorder="1" applyAlignment="1">
      <alignment horizontal="center"/>
    </xf>
    <xf fontId="36" fillId="28" borderId="115" numFmtId="3" xfId="0" applyNumberFormat="1" applyFont="1" applyFill="1" applyBorder="1" applyAlignment="1">
      <alignment horizontal="center"/>
    </xf>
    <xf fontId="36" fillId="0" borderId="115" numFmtId="3" xfId="0" applyNumberFormat="1" applyFont="1" applyBorder="1" applyAlignment="1">
      <alignment horizontal="center"/>
    </xf>
    <xf fontId="21" fillId="20" borderId="93" numFmtId="0" xfId="0" applyFont="1" applyFill="1" applyBorder="1"/>
    <xf fontId="52" fillId="0" borderId="117" numFmtId="0" xfId="0" applyFont="1" applyBorder="1"/>
    <xf fontId="36" fillId="0" borderId="118" numFmtId="0" xfId="0" applyFont="1" applyBorder="1"/>
    <xf fontId="3" fillId="0" borderId="118" numFmtId="0" xfId="0" applyFont="1" applyBorder="1"/>
    <xf fontId="36" fillId="0" borderId="119" numFmtId="0" xfId="0" applyFont="1" applyBorder="1"/>
    <xf fontId="36" fillId="27" borderId="24" numFmtId="3" xfId="0" applyNumberFormat="1" applyFont="1" applyFill="1" applyBorder="1" applyAlignment="1">
      <alignment horizontal="center"/>
    </xf>
    <xf fontId="36" fillId="28" borderId="117" numFmtId="3" xfId="0" applyNumberFormat="1" applyFont="1" applyFill="1" applyBorder="1" applyAlignment="1">
      <alignment horizontal="center"/>
    </xf>
    <xf fontId="36" fillId="28" borderId="118" numFmtId="3" xfId="0" applyNumberFormat="1" applyFont="1" applyFill="1" applyBorder="1" applyAlignment="1">
      <alignment horizontal="center"/>
    </xf>
    <xf fontId="36" fillId="0" borderId="118" numFmtId="3" xfId="0" applyNumberFormat="1" applyFont="1" applyBorder="1" applyAlignment="1">
      <alignment horizontal="center"/>
    </xf>
    <xf fontId="36" fillId="12" borderId="118" numFmtId="0" xfId="0" applyFont="1" applyFill="1" applyBorder="1"/>
    <xf fontId="53" fillId="0" borderId="118" numFmtId="0" xfId="0" applyFont="1" applyBorder="1"/>
    <xf fontId="52" fillId="0" borderId="117" numFmtId="0" xfId="0" applyFont="1" applyBorder="1" applyProtection="1">
      <protection locked="0"/>
    </xf>
    <xf fontId="52" fillId="0" borderId="118" numFmtId="0" xfId="0" applyFont="1" applyBorder="1" applyProtection="1">
      <protection locked="0"/>
    </xf>
    <xf fontId="3" fillId="0" borderId="118" numFmtId="0" xfId="0" applyFont="1" applyBorder="1" applyProtection="1">
      <protection locked="0"/>
    </xf>
    <xf fontId="52" fillId="0" borderId="24" numFmtId="0" xfId="0" applyFont="1" applyBorder="1"/>
    <xf fontId="52" fillId="0" borderId="0" numFmtId="0" xfId="0" applyFont="1" applyProtection="1">
      <protection locked="0"/>
    </xf>
    <xf fontId="52" fillId="0" borderId="119" numFmtId="0" xfId="0" applyFont="1" applyBorder="1" applyProtection="1">
      <protection locked="0"/>
    </xf>
    <xf fontId="46" fillId="0" borderId="117" numFmtId="0" xfId="0" applyFont="1" applyBorder="1" applyProtection="1">
      <protection locked="0"/>
    </xf>
    <xf fontId="46" fillId="0" borderId="118" numFmtId="0" xfId="0" applyFont="1" applyBorder="1" applyProtection="1">
      <protection locked="0"/>
    </xf>
    <xf fontId="46" fillId="0" borderId="24" numFmtId="0" xfId="0" applyFont="1" applyBorder="1"/>
    <xf fontId="21" fillId="29" borderId="93" numFmtId="0" xfId="0" applyFont="1" applyFill="1" applyBorder="1" applyProtection="1">
      <protection locked="0"/>
    </xf>
    <xf fontId="46" fillId="30" borderId="24" numFmtId="0" xfId="0" applyFont="1" applyFill="1" applyBorder="1"/>
    <xf fontId="52" fillId="12" borderId="24" numFmtId="0" xfId="0" applyFont="1" applyFill="1" applyBorder="1"/>
    <xf fontId="52" fillId="12" borderId="118" numFmtId="0" xfId="0" applyFont="1" applyFill="1" applyBorder="1" applyProtection="1">
      <protection locked="0"/>
    </xf>
    <xf fontId="52" fillId="12" borderId="120" numFmtId="0" xfId="0" applyFont="1" applyFill="1" applyBorder="1" applyProtection="1">
      <protection locked="0"/>
    </xf>
    <xf fontId="36" fillId="31" borderId="24" numFmtId="3" xfId="0" applyNumberFormat="1" applyFont="1" applyFill="1" applyBorder="1" applyAlignment="1" applyProtection="1">
      <alignment horizontal="center"/>
      <protection hidden="1"/>
    </xf>
    <xf fontId="36" fillId="32" borderId="117" numFmtId="3" xfId="0" applyNumberFormat="1" applyFont="1" applyFill="1" applyBorder="1" applyAlignment="1" applyProtection="1">
      <alignment horizontal="center"/>
      <protection hidden="1"/>
    </xf>
    <xf fontId="36" fillId="32" borderId="118" numFmtId="3" xfId="0" applyNumberFormat="1" applyFont="1" applyFill="1" applyBorder="1" applyAlignment="1" applyProtection="1">
      <alignment horizontal="center"/>
      <protection hidden="1"/>
    </xf>
    <xf fontId="36" fillId="0" borderId="118" numFmtId="3" xfId="0" applyNumberFormat="1" applyFont="1" applyBorder="1" applyAlignment="1" applyProtection="1">
      <alignment horizontal="center"/>
      <protection hidden="1"/>
    </xf>
    <xf fontId="54" fillId="20" borderId="93" numFmtId="0" xfId="0" applyFont="1" applyFill="1" applyBorder="1"/>
    <xf fontId="46" fillId="12" borderId="24" numFmtId="0" xfId="0" applyFont="1" applyFill="1" applyBorder="1"/>
    <xf fontId="52" fillId="27" borderId="24" numFmtId="3" xfId="0" applyNumberFormat="1" applyFont="1" applyFill="1" applyBorder="1" applyAlignment="1">
      <alignment horizontal="center"/>
    </xf>
    <xf fontId="52" fillId="28" borderId="117" numFmtId="3" xfId="0" applyNumberFormat="1" applyFont="1" applyFill="1" applyBorder="1" applyAlignment="1">
      <alignment horizontal="center"/>
    </xf>
    <xf fontId="52" fillId="28" borderId="118" numFmtId="3" xfId="0" applyNumberFormat="1" applyFont="1" applyFill="1" applyBorder="1" applyAlignment="1">
      <alignment horizontal="center"/>
    </xf>
    <xf fontId="52" fillId="0" borderId="118" numFmtId="3" xfId="0" applyNumberFormat="1" applyFont="1" applyBorder="1" applyAlignment="1">
      <alignment horizontal="center"/>
    </xf>
    <xf fontId="21" fillId="29" borderId="121" numFmtId="0" xfId="0" applyFont="1" applyFill="1" applyBorder="1" applyProtection="1">
      <protection locked="0"/>
    </xf>
    <xf fontId="46" fillId="0" borderId="24" numFmtId="0" xfId="0" applyFont="1" applyBorder="1" applyProtection="1">
      <protection locked="0"/>
    </xf>
    <xf fontId="52" fillId="33" borderId="118" numFmtId="0" xfId="0" applyFont="1" applyFill="1" applyBorder="1" applyProtection="1">
      <protection locked="0"/>
    </xf>
    <xf fontId="46" fillId="24" borderId="24" numFmtId="0" xfId="0" applyFont="1" applyFill="1" applyBorder="1"/>
    <xf fontId="52" fillId="34" borderId="118" numFmtId="0" xfId="0" applyFont="1" applyFill="1" applyBorder="1" applyProtection="1">
      <protection locked="0"/>
    </xf>
    <xf fontId="52" fillId="24" borderId="118" numFmtId="0" xfId="0" applyFont="1" applyFill="1" applyBorder="1" applyProtection="1">
      <protection locked="0"/>
    </xf>
    <xf fontId="46" fillId="34" borderId="24" numFmtId="0" xfId="0" applyFont="1" applyFill="1" applyBorder="1"/>
    <xf fontId="46" fillId="35" borderId="24" numFmtId="0" xfId="0" applyFont="1" applyFill="1" applyBorder="1"/>
    <xf fontId="36" fillId="31" borderId="23" numFmtId="3" xfId="0" applyNumberFormat="1" applyFont="1" applyFill="1" applyBorder="1" applyAlignment="1" applyProtection="1">
      <alignment horizontal="center"/>
      <protection hidden="1"/>
    </xf>
    <xf fontId="36" fillId="0" borderId="120" numFmtId="3" xfId="0" applyNumberFormat="1" applyFont="1" applyBorder="1" applyAlignment="1" applyProtection="1">
      <alignment horizontal="center"/>
      <protection hidden="1"/>
    </xf>
    <xf fontId="46" fillId="36" borderId="24" numFmtId="0" xfId="0" applyFont="1" applyFill="1" applyBorder="1"/>
    <xf fontId="52" fillId="24" borderId="24" numFmtId="0" xfId="0" applyFont="1" applyFill="1" applyBorder="1"/>
    <xf fontId="52" fillId="34" borderId="24" numFmtId="0" xfId="0" applyFont="1" applyFill="1" applyBorder="1"/>
    <xf fontId="46" fillId="0" borderId="122" numFmtId="0" xfId="0" applyFont="1" applyBorder="1" applyProtection="1">
      <protection locked="0"/>
    </xf>
    <xf fontId="46" fillId="22" borderId="24" numFmtId="0" xfId="0" applyFont="1" applyFill="1" applyBorder="1"/>
    <xf fontId="54" fillId="20" borderId="123" numFmtId="0" xfId="0" applyFont="1" applyFill="1" applyBorder="1"/>
    <xf fontId="46" fillId="0" borderId="31" numFmtId="0" xfId="0" applyFont="1" applyBorder="1" applyProtection="1">
      <protection locked="0"/>
    </xf>
    <xf fontId="46" fillId="0" borderId="30" numFmtId="0" xfId="0" applyFont="1" applyBorder="1" applyProtection="1">
      <protection locked="0"/>
    </xf>
    <xf fontId="32" fillId="12" borderId="24" numFmtId="0" xfId="0" applyFont="1" applyFill="1" applyBorder="1"/>
    <xf fontId="46" fillId="0" borderId="0" numFmtId="0" xfId="0" applyFont="1"/>
    <xf fontId="55" fillId="0" borderId="23" numFmtId="0" xfId="0" applyFont="1" applyBorder="1"/>
    <xf fontId="46" fillId="0" borderId="23" numFmtId="0" xfId="0" applyFont="1" applyBorder="1"/>
    <xf fontId="52" fillId="27" borderId="28" numFmtId="3" xfId="0" applyNumberFormat="1" applyFont="1" applyFill="1" applyBorder="1" applyAlignment="1">
      <alignment horizontal="center"/>
    </xf>
    <xf fontId="52" fillId="28" borderId="120" numFmtId="3" xfId="0" applyNumberFormat="1" applyFont="1" applyFill="1" applyBorder="1" applyAlignment="1">
      <alignment horizontal="center"/>
    </xf>
    <xf fontId="52" fillId="0" borderId="120" numFmtId="3" xfId="0" applyNumberFormat="1" applyFont="1" applyBorder="1" applyAlignment="1">
      <alignment horizontal="center"/>
    </xf>
    <xf fontId="21" fillId="20" borderId="124" numFmtId="3" xfId="0" applyNumberFormat="1" applyFont="1" applyFill="1" applyBorder="1" applyAlignment="1">
      <alignment horizontal="center"/>
    </xf>
    <xf fontId="21" fillId="27" borderId="104" numFmtId="3" xfId="0" applyNumberFormat="1" applyFont="1" applyFill="1" applyBorder="1" applyAlignment="1">
      <alignment horizontal="center"/>
    </xf>
    <xf fontId="21" fillId="27" borderId="125" numFmtId="3" xfId="0" applyNumberFormat="1" applyFont="1" applyFill="1" applyBorder="1" applyAlignment="1">
      <alignment horizontal="center"/>
    </xf>
    <xf fontId="21" fillId="27" borderId="124" numFmtId="3" xfId="0" applyNumberFormat="1" applyFont="1" applyFill="1" applyBorder="1" applyAlignment="1">
      <alignment horizontal="center"/>
    </xf>
    <xf fontId="21" fillId="27" borderId="111" numFmtId="3" xfId="0" applyNumberFormat="1" applyFont="1" applyFill="1" applyBorder="1" applyAlignment="1">
      <alignment horizontal="center"/>
    </xf>
    <xf fontId="21" fillId="27" borderId="12" numFmtId="3" xfId="0" applyNumberFormat="1" applyFont="1" applyFill="1" applyBorder="1" applyAlignment="1">
      <alignment horizontal="center"/>
    </xf>
    <xf fontId="21" fillId="27" borderId="13" numFmtId="3" xfId="0" applyNumberFormat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2.xml"/><Relationship  Id="rId11" Type="http://schemas.openxmlformats.org/officeDocument/2006/relationships/worksheet" Target="worksheets/sheet10.xml"/><Relationship  Id="rId10" Type="http://schemas.openxmlformats.org/officeDocument/2006/relationships/worksheet" Target="worksheets/sheet9.xml"/><Relationship  Id="rId15" Type="http://schemas.openxmlformats.org/officeDocument/2006/relationships/sharedStrings" Target="sharedStrings.xml"/><Relationship  Id="rId9" Type="http://schemas.openxmlformats.org/officeDocument/2006/relationships/worksheet" Target="worksheets/sheet8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14" Type="http://schemas.openxmlformats.org/officeDocument/2006/relationships/theme" Target="theme/theme1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16" Type="http://schemas.openxmlformats.org/officeDocument/2006/relationships/styles" Target="styles.xml"/><Relationship  Id="rId4" Type="http://schemas.openxmlformats.org/officeDocument/2006/relationships/worksheet" Target="worksheets/sheet3.xml"/><Relationship  Id="rId12" Type="http://schemas.openxmlformats.org/officeDocument/2006/relationships/worksheet" Target="worksheets/sheet11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Яковенко А. К"/>
    </sheetNames>
    <sheetDataSet>
      <sheetData sheetId="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topLeftCell="A29" zoomScale="90" workbookViewId="0">
      <pane xSplit="3" topLeftCell="D1" activePane="topRight" state="frozen"/>
      <selection activeCell="D63" activeCellId="0" sqref="D63"/>
    </sheetView>
  </sheetViews>
  <sheetFormatPr baseColWidth="10" defaultColWidth="9.1640625" defaultRowHeight="14.25"/>
  <cols>
    <col customWidth="1" min="1" max="1" style="1" width="24.1640625"/>
    <col customWidth="1" min="2" max="2" style="2" width="10.33203125"/>
    <col customWidth="1" min="3" max="3" style="2" width="10.83203125"/>
    <col customWidth="1" min="4" max="4" style="2" width="17.1640625"/>
    <col customWidth="1" min="5" max="5" style="2" width="10.1640625"/>
    <col customWidth="1" min="6" max="6" style="2" width="11.33203125"/>
    <col customWidth="1" min="7" max="7" style="2" width="9.83203125"/>
    <col customWidth="1" min="8" max="8" style="2" width="9.5"/>
    <col customWidth="1" min="9" max="9" style="2" width="11"/>
    <col customWidth="1" min="10" max="10" style="2" width="8.83203125"/>
    <col customWidth="1" min="11" max="11" style="2" width="12.6640625"/>
    <col customWidth="1" min="12" max="12" style="2" width="11.5"/>
    <col customWidth="1" min="13" max="15" style="2" width="12.83203125"/>
    <col customWidth="1" min="16" max="16" style="2" width="11.6640625"/>
    <col customWidth="1" min="17" max="17" style="2" width="12.83203125"/>
    <col customWidth="1" min="18" max="18" style="2" width="10.33203125"/>
    <col customWidth="1" min="19" max="20" style="2" width="11.33203125"/>
    <col customWidth="1" min="21" max="21" style="3" width="11"/>
    <col customWidth="1" min="22" max="22" style="2" width="11.33203125"/>
    <col bestFit="1" customWidth="1" min="23" max="23" style="2" width="9.1640625"/>
    <col customWidth="1" min="24" max="25" style="2" width="10.5"/>
    <col bestFit="1" customWidth="1" min="26" max="257" style="2" width="9.1640625"/>
  </cols>
  <sheetData>
    <row r="1" ht="15.75" customHeight="1">
      <c r="A1" s="4"/>
      <c r="B1" s="5">
        <f ca="1">TODAY()-1</f>
        <v>46060</v>
      </c>
      <c r="C1" s="5"/>
      <c r="D1" s="6"/>
      <c r="E1" s="6"/>
      <c r="F1" s="7"/>
      <c r="G1" s="7"/>
      <c r="H1" s="7"/>
      <c r="I1" s="7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10"/>
      <c r="X1" s="7"/>
      <c r="Y1" s="7"/>
    </row>
    <row r="2" ht="21.75" customHeight="1">
      <c r="A2" s="4"/>
      <c r="B2" s="11" t="s">
        <v>0</v>
      </c>
      <c r="C2" s="11"/>
      <c r="D2" s="6"/>
      <c r="E2" s="6"/>
      <c r="F2" s="7"/>
      <c r="G2" s="7"/>
      <c r="H2" s="7"/>
      <c r="I2" s="7"/>
      <c r="J2" s="12"/>
      <c r="K2" s="12"/>
      <c r="L2" s="12"/>
      <c r="M2" s="12"/>
      <c r="N2" s="12"/>
      <c r="O2" s="12"/>
      <c r="P2" s="12"/>
      <c r="Q2" s="12"/>
      <c r="R2" s="12"/>
      <c r="S2" s="9"/>
      <c r="T2" s="9"/>
      <c r="U2" s="9"/>
      <c r="V2" s="9"/>
      <c r="W2" s="10"/>
      <c r="X2" s="7"/>
      <c r="Y2" s="7"/>
    </row>
    <row r="3" ht="14" customHeight="1">
      <c r="A3" s="4"/>
      <c r="B3" s="13"/>
      <c r="C3" s="14" t="s">
        <v>1</v>
      </c>
      <c r="D3" s="15"/>
      <c r="E3" s="15"/>
      <c r="F3" s="16"/>
      <c r="G3" s="16"/>
      <c r="H3" s="16"/>
      <c r="I3" s="17" t="str">
        <f>График!B3</f>
        <v xml:space="preserve">ул. Набережная Ленина, 18</v>
      </c>
      <c r="J3" s="18"/>
      <c r="K3" s="18"/>
      <c r="L3" s="18"/>
      <c r="M3" s="19"/>
      <c r="N3" s="8"/>
      <c r="O3" s="8"/>
      <c r="P3" s="8"/>
      <c r="Q3" s="8"/>
      <c r="R3" s="20"/>
      <c r="S3" s="9"/>
      <c r="T3" s="9"/>
      <c r="U3" s="9"/>
      <c r="V3" s="9"/>
      <c r="W3" s="10"/>
      <c r="X3" s="7"/>
      <c r="Y3" s="7"/>
    </row>
    <row r="4" ht="15" customHeight="1">
      <c r="A4" s="4"/>
      <c r="B4" s="6"/>
      <c r="C4" s="21">
        <f>I8-D56</f>
        <v>1352577.8</v>
      </c>
      <c r="D4" s="22"/>
      <c r="E4" s="23">
        <f>IF(I8&lt;&gt;0, C4/I8, 0)</f>
        <v>0.51905953740544264</v>
      </c>
      <c r="F4" s="16"/>
      <c r="G4" s="16"/>
      <c r="H4" s="16"/>
      <c r="I4" s="24"/>
      <c r="J4" s="25"/>
      <c r="K4" s="25"/>
      <c r="L4" s="25"/>
      <c r="M4" s="26"/>
      <c r="N4" s="8"/>
      <c r="O4" s="8"/>
      <c r="P4" s="8"/>
      <c r="Q4" s="7"/>
      <c r="R4" s="7"/>
      <c r="S4" s="9"/>
      <c r="T4" s="9"/>
      <c r="U4" s="9"/>
      <c r="V4" s="9"/>
      <c r="W4" s="10"/>
      <c r="X4" s="7"/>
      <c r="Y4" s="7"/>
    </row>
    <row r="5">
      <c r="A5" s="4"/>
      <c r="B5" s="7"/>
      <c r="C5" s="7"/>
      <c r="D5" s="27" t="e">
        <f>C4/(I14-J14)</f>
        <v>#DIV/0!</v>
      </c>
      <c r="E5" s="7"/>
      <c r="F5" s="7"/>
      <c r="G5" s="7"/>
      <c r="H5" s="7"/>
      <c r="I5" s="7"/>
      <c r="J5" s="28"/>
      <c r="K5" s="28"/>
      <c r="L5" s="28"/>
      <c r="M5" s="28"/>
      <c r="N5" s="28"/>
      <c r="O5" s="28"/>
      <c r="P5" s="28"/>
      <c r="Q5" s="7"/>
      <c r="R5" s="7"/>
      <c r="S5" s="7"/>
      <c r="T5" s="7"/>
      <c r="U5" s="16"/>
      <c r="V5" s="7"/>
      <c r="W5" s="10"/>
      <c r="X5" s="7"/>
      <c r="Y5" s="7"/>
    </row>
    <row r="6" ht="15.75" customHeight="1">
      <c r="A6" s="4"/>
      <c r="B6" s="29"/>
      <c r="C6" s="7"/>
      <c r="D6" s="7"/>
      <c r="E6" s="7"/>
      <c r="F6" s="30" t="s">
        <v>2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  <c r="R6" s="7"/>
      <c r="S6" s="7"/>
      <c r="T6" s="33"/>
      <c r="U6" s="34"/>
      <c r="V6" s="7"/>
      <c r="W6" s="10"/>
      <c r="X6" s="7"/>
      <c r="Y6" s="7"/>
    </row>
    <row r="7" ht="50.75" customHeight="1">
      <c r="A7" s="4"/>
      <c r="B7" s="29"/>
      <c r="C7" s="29"/>
      <c r="D7" s="29"/>
      <c r="E7" s="7"/>
      <c r="F7" s="35" t="s">
        <v>3</v>
      </c>
      <c r="G7" s="36"/>
      <c r="H7" s="37"/>
      <c r="I7" s="38" t="s">
        <v>4</v>
      </c>
      <c r="J7" s="39" t="s">
        <v>5</v>
      </c>
      <c r="K7" s="40" t="s">
        <v>6</v>
      </c>
      <c r="L7" s="41" t="s">
        <v>7</v>
      </c>
      <c r="M7" s="41" t="s">
        <v>8</v>
      </c>
      <c r="N7" s="42" t="s">
        <v>9</v>
      </c>
      <c r="O7" s="42" t="s">
        <v>10</v>
      </c>
      <c r="P7" s="43" t="s">
        <v>11</v>
      </c>
      <c r="Q7" s="44"/>
      <c r="R7" s="7"/>
      <c r="S7" s="7"/>
      <c r="T7" s="33"/>
      <c r="U7" s="34"/>
      <c r="V7" s="7"/>
      <c r="W7" s="10"/>
      <c r="X7" s="7"/>
      <c r="Y7" s="7"/>
    </row>
    <row r="8" ht="15.75" customHeight="1">
      <c r="A8" s="4"/>
      <c r="B8" s="29"/>
      <c r="C8" s="29"/>
      <c r="D8" s="45"/>
      <c r="E8" s="7"/>
      <c r="F8" s="46" t="s">
        <v>12</v>
      </c>
      <c r="G8" s="47"/>
      <c r="H8" s="48"/>
      <c r="I8" s="49">
        <f>I11*I12*I13</f>
        <v>2605824</v>
      </c>
      <c r="J8" s="50">
        <f>D56</f>
        <v>1253246.2</v>
      </c>
      <c r="K8" s="51">
        <f>IF(AND(I8&lt;&gt;"",I8&lt;&gt;0,J8&lt;&gt;""),J8/I8,"")</f>
        <v>0.48094046259455742</v>
      </c>
      <c r="L8" s="52">
        <f>IF(SUMIF($D$25:$D$55,"&gt;=0",$R$25:$R$55)&lt;&gt;0,I8*D56/SUMIF($D$25:$D$55,"&gt;=0",$R$25:$R$55),0)</f>
        <v>1493405.2631285125</v>
      </c>
      <c r="M8" s="53">
        <f t="shared" ref="M8:M9" si="0">IF(AND(I8&lt;&gt;"", I8&lt;&gt;0, L8&lt;&gt;"", L8&lt;&gt;0), L8/I8, "")</f>
        <v>0.5731028891930201</v>
      </c>
      <c r="N8" s="54">
        <f t="shared" ref="N8:N9" si="1">IF(AND(J8&lt;&gt;0, J8&lt;&gt;"", I8&lt;&gt;0, I8&lt;&gt;""), L8-I8, "")</f>
        <v>-1112418.7368714875</v>
      </c>
      <c r="O8" s="55"/>
      <c r="P8" s="56" t="str">
        <f t="shared" ref="P8:P9" si="2">IF(AND(O8&lt;&gt;"", O8&lt;&gt;0, L8&lt;&gt;"", L8&lt;&gt;0), -O8+L8, "")</f>
        <v/>
      </c>
      <c r="Q8" s="57" t="str">
        <f t="shared" ref="Q8:Q9" si="3">IF(AND(P8&lt;&gt;"", P8&lt;&gt;0, O8&lt;&gt;0, O8&lt;&gt;""), P8/O8, "")</f>
        <v/>
      </c>
      <c r="R8" s="7"/>
      <c r="S8" s="7"/>
      <c r="T8" s="33"/>
      <c r="U8" s="58"/>
      <c r="V8" s="7"/>
      <c r="W8" s="10"/>
      <c r="X8" s="7"/>
      <c r="Y8" s="7"/>
    </row>
    <row r="9" ht="15.75" customHeight="1">
      <c r="A9" s="4"/>
      <c r="B9" s="29"/>
      <c r="C9" s="29"/>
      <c r="D9" s="29"/>
      <c r="E9" s="7"/>
      <c r="F9" s="59" t="s">
        <v>13</v>
      </c>
      <c r="G9" s="60"/>
      <c r="H9" s="61"/>
      <c r="I9" s="62">
        <f>I8/I11</f>
        <v>334.07999999999998</v>
      </c>
      <c r="J9" s="63">
        <f>E56</f>
        <v>143</v>
      </c>
      <c r="K9" s="64">
        <f>IF(AND(I9&lt;&gt;"", I9&lt;&gt;0, J9&lt;&gt;""), J9/I9, "")</f>
        <v>0.42804118773946365</v>
      </c>
      <c r="L9" s="65">
        <f>IF(SUMIF($E$25:$E$55, "&gt;=0", $S$25:$S$55)&lt;&gt;0, I9*E56/SUMIF($E$25:$E$55, "&gt;=0", $S$25:$S$55), 0)</f>
        <v>170.4030322432873</v>
      </c>
      <c r="M9" s="66">
        <f t="shared" si="0"/>
        <v>0.51006654766309656</v>
      </c>
      <c r="N9" s="67">
        <f t="shared" si="1"/>
        <v>-163.67696775671268</v>
      </c>
      <c r="O9" s="68" t="e">
        <f>O8/O11</f>
        <v>#DIV/0!</v>
      </c>
      <c r="P9" s="67" t="e">
        <f t="shared" si="2"/>
        <v>#DIV/0!</v>
      </c>
      <c r="Q9" s="69" t="e">
        <f t="shared" si="3"/>
        <v>#DIV/0!</v>
      </c>
      <c r="R9" s="7"/>
      <c r="S9" s="7"/>
      <c r="T9" s="33"/>
      <c r="U9" s="58"/>
      <c r="V9" s="7"/>
      <c r="W9" s="10"/>
      <c r="X9" s="7"/>
      <c r="Y9" s="7"/>
    </row>
    <row r="10" ht="15.75" customHeight="1">
      <c r="A10" s="4"/>
      <c r="B10" s="29"/>
      <c r="C10" s="29"/>
      <c r="D10" s="29"/>
      <c r="E10" s="7"/>
      <c r="F10" s="46" t="s">
        <v>14</v>
      </c>
      <c r="G10" s="47"/>
      <c r="H10" s="48"/>
      <c r="I10" s="62">
        <f>I11*I12</f>
        <v>13572</v>
      </c>
      <c r="J10" s="70">
        <f>H56</f>
        <v>15863.875949367088</v>
      </c>
      <c r="K10" s="71">
        <f t="shared" ref="K10:K19" si="4">IF(AND(I10&lt;&gt;"", I10&lt;&gt;0, J10&lt;&gt;""), J10/I10, "")</f>
        <v>1.1688679597234812</v>
      </c>
      <c r="L10" s="65">
        <f>J10</f>
        <v>15863.875949367088</v>
      </c>
      <c r="M10" s="72">
        <f t="shared" ref="M10:M20" si="5">IF(AND(I10&lt;&gt;"", I10&lt;&gt;0, L10&lt;&gt;"", L10&lt;&gt;0), L10/I10, "")</f>
        <v>1.1688679597234812</v>
      </c>
      <c r="N10" s="73">
        <f t="shared" ref="N10:N20" si="6">IF(AND(J10&lt;&gt;0, J10&lt;&gt;"", I10&lt;&gt;0, I10&lt;&gt;""), L10-I10, "")</f>
        <v>2291.8759493670877</v>
      </c>
      <c r="O10" s="74">
        <f>O11*O12</f>
        <v>0</v>
      </c>
      <c r="P10" s="73" t="str">
        <f t="shared" ref="P10:P20" si="7">IF(AND(O10&lt;&gt;"", O10&lt;&gt;0, L10&lt;&gt;"", L10&lt;&gt;0), -O10+L10, "")</f>
        <v/>
      </c>
      <c r="Q10" s="75" t="str">
        <f t="shared" ref="Q10:Q20" si="8">IF(AND(P10&lt;&gt;"", P10&lt;&gt;0, O10&lt;&gt;0, O10&lt;&gt;""), P10/O10, "")</f>
        <v/>
      </c>
      <c r="R10" s="7"/>
      <c r="S10" s="7"/>
      <c r="T10" s="33"/>
      <c r="U10" s="76" t="str">
        <f>L23</f>
        <v>IS</v>
      </c>
      <c r="V10" s="77"/>
      <c r="W10" s="10"/>
      <c r="X10" s="78" t="str">
        <f>M23</f>
        <v>Agafi</v>
      </c>
      <c r="Y10" s="78"/>
    </row>
    <row r="11" ht="15.75" customHeight="1">
      <c r="A11" s="4"/>
      <c r="B11" s="29"/>
      <c r="C11" s="29"/>
      <c r="D11" s="29"/>
      <c r="E11" s="7"/>
      <c r="F11" s="59" t="s">
        <v>15</v>
      </c>
      <c r="G11" s="60"/>
      <c r="H11" s="61"/>
      <c r="I11" s="79">
        <v>7800</v>
      </c>
      <c r="J11" s="63">
        <f>F56</f>
        <v>8763.9594405594398</v>
      </c>
      <c r="K11" s="64">
        <f t="shared" si="4"/>
        <v>1.1235845436614667</v>
      </c>
      <c r="L11" s="65">
        <f>IF(L9&gt;0, L8/L9, "")</f>
        <v>8763.9594405594416</v>
      </c>
      <c r="M11" s="66">
        <f t="shared" si="5"/>
        <v>1.1235845436614669</v>
      </c>
      <c r="N11" s="67">
        <f t="shared" si="6"/>
        <v>963.95944055944165</v>
      </c>
      <c r="O11" s="80"/>
      <c r="P11" s="67" t="str">
        <f t="shared" si="7"/>
        <v/>
      </c>
      <c r="Q11" s="69" t="str">
        <f t="shared" si="8"/>
        <v/>
      </c>
      <c r="R11" s="7"/>
      <c r="S11" s="7"/>
      <c r="T11" s="33"/>
      <c r="U11" s="81"/>
      <c r="V11" s="82"/>
      <c r="W11" s="10"/>
      <c r="X11" s="78"/>
      <c r="Y11" s="78"/>
    </row>
    <row r="12" ht="15.75" customHeight="1">
      <c r="A12" s="4"/>
      <c r="B12" s="29"/>
      <c r="C12" s="7"/>
      <c r="D12" s="7"/>
      <c r="E12" s="7"/>
      <c r="F12" s="59" t="s">
        <v>16</v>
      </c>
      <c r="G12" s="60"/>
      <c r="H12" s="61"/>
      <c r="I12" s="83">
        <v>1.74</v>
      </c>
      <c r="J12" s="84">
        <f>J56</f>
        <v>1.8101265822784811</v>
      </c>
      <c r="K12" s="64">
        <f t="shared" si="4"/>
        <v>1.04030263349338</v>
      </c>
      <c r="L12" s="85">
        <f>J12</f>
        <v>1.8101265822784811</v>
      </c>
      <c r="M12" s="66">
        <f t="shared" si="5"/>
        <v>1.04030263349338</v>
      </c>
      <c r="N12" s="86">
        <f t="shared" si="6"/>
        <v>0.07012658227848112</v>
      </c>
      <c r="O12" s="87"/>
      <c r="P12" s="67" t="str">
        <f t="shared" si="7"/>
        <v/>
      </c>
      <c r="Q12" s="69" t="str">
        <f t="shared" si="8"/>
        <v/>
      </c>
      <c r="R12" s="7"/>
      <c r="S12" s="7"/>
      <c r="T12" s="33"/>
      <c r="U12" s="88">
        <v>510000</v>
      </c>
      <c r="V12" s="89">
        <f>L56</f>
        <v>26123</v>
      </c>
      <c r="W12" s="10"/>
      <c r="X12" s="88">
        <v>480000</v>
      </c>
      <c r="Y12" s="89">
        <f>M56</f>
        <v>50973</v>
      </c>
    </row>
    <row r="13" ht="15.75" customHeight="1">
      <c r="A13" s="4"/>
      <c r="B13" s="29"/>
      <c r="C13" s="7"/>
      <c r="D13" s="7"/>
      <c r="E13" s="7"/>
      <c r="F13" s="59" t="s">
        <v>17</v>
      </c>
      <c r="G13" s="60"/>
      <c r="H13" s="61"/>
      <c r="I13" s="62">
        <f>I17*I20</f>
        <v>192</v>
      </c>
      <c r="J13" s="63">
        <f>G56</f>
        <v>79</v>
      </c>
      <c r="K13" s="64">
        <f t="shared" si="4"/>
        <v>0.41145833333333331</v>
      </c>
      <c r="L13" s="65">
        <f>IF(SUMIF($G$25:$G$55, "&gt;=0", $T$25:$T$55)&lt;&gt;0, I13*G56/SUMIF($G$25:$G$55, "&gt;=0", $T$25:$T$55), "")</f>
        <v>94.138738092445408</v>
      </c>
      <c r="M13" s="66">
        <f t="shared" si="5"/>
        <v>0.49030592756481983</v>
      </c>
      <c r="N13" s="86">
        <f t="shared" si="6"/>
        <v>-97.861261907554592</v>
      </c>
      <c r="O13" s="90"/>
      <c r="P13" s="67" t="str">
        <f t="shared" si="7"/>
        <v/>
      </c>
      <c r="Q13" s="69" t="str">
        <f t="shared" si="8"/>
        <v/>
      </c>
      <c r="R13" s="7"/>
      <c r="S13" s="7"/>
      <c r="T13" s="33"/>
      <c r="U13" s="91">
        <f>V12/U12</f>
        <v>0.051221568627450982</v>
      </c>
      <c r="V13" s="91">
        <f>U13/J14*I14</f>
        <v>0.051221568627450982</v>
      </c>
      <c r="W13" s="92"/>
      <c r="X13" s="91">
        <f>Y12/X12</f>
        <v>0.10619375</v>
      </c>
      <c r="Y13" s="91">
        <f>X13/J14*I14</f>
        <v>0.10619375</v>
      </c>
    </row>
    <row r="14" ht="15.75" customHeight="1">
      <c r="A14" s="4"/>
      <c r="B14" s="29"/>
      <c r="C14" s="7"/>
      <c r="D14" s="7"/>
      <c r="E14" s="7"/>
      <c r="F14" s="59" t="s">
        <v>18</v>
      </c>
      <c r="G14" s="60"/>
      <c r="H14" s="61"/>
      <c r="I14" s="79">
        <v>31</v>
      </c>
      <c r="J14" s="93">
        <v>31</v>
      </c>
      <c r="K14" s="64">
        <f t="shared" si="4"/>
        <v>1</v>
      </c>
      <c r="L14" s="65">
        <f>I14</f>
        <v>31</v>
      </c>
      <c r="M14" s="66">
        <f t="shared" si="5"/>
        <v>1</v>
      </c>
      <c r="N14" s="67">
        <f t="shared" si="6"/>
        <v>0</v>
      </c>
      <c r="O14" s="90"/>
      <c r="P14" s="67" t="str">
        <f t="shared" si="7"/>
        <v/>
      </c>
      <c r="Q14" s="69" t="str">
        <f t="shared" si="8"/>
        <v/>
      </c>
      <c r="R14" s="7"/>
      <c r="S14" s="7"/>
      <c r="T14" s="33"/>
      <c r="U14" s="94"/>
      <c r="V14" s="7"/>
      <c r="W14" s="10"/>
      <c r="X14" s="7"/>
      <c r="Y14" s="7"/>
    </row>
    <row r="15" ht="15.75" customHeight="1">
      <c r="A15" s="4"/>
      <c r="B15" s="29"/>
      <c r="C15" s="7"/>
      <c r="D15" s="7"/>
      <c r="E15" s="7"/>
      <c r="F15" s="59" t="s">
        <v>19</v>
      </c>
      <c r="G15" s="60"/>
      <c r="H15" s="61"/>
      <c r="I15" s="95">
        <f>I8/I14</f>
        <v>84058.838709677424</v>
      </c>
      <c r="J15" s="96">
        <f>J8/J14</f>
        <v>40427.29677419355</v>
      </c>
      <c r="K15" s="97">
        <f t="shared" si="4"/>
        <v>0.48094046259455742</v>
      </c>
      <c r="L15" s="98">
        <f t="shared" ref="L15:L16" si="9">J15</f>
        <v>40427.29677419355</v>
      </c>
      <c r="M15" s="99">
        <f t="shared" si="5"/>
        <v>0.48094046259455742</v>
      </c>
      <c r="N15" s="67">
        <f t="shared" si="6"/>
        <v>-43631.541935483874</v>
      </c>
      <c r="O15" s="100"/>
      <c r="P15" s="67" t="str">
        <f t="shared" si="7"/>
        <v/>
      </c>
      <c r="Q15" s="69" t="str">
        <f t="shared" si="8"/>
        <v/>
      </c>
      <c r="R15" s="7"/>
      <c r="S15" s="7"/>
      <c r="T15" s="33"/>
      <c r="U15" s="58"/>
      <c r="V15" s="7"/>
      <c r="W15" s="10"/>
      <c r="X15" s="7"/>
      <c r="Y15" s="7"/>
    </row>
    <row r="16" ht="15.75" customHeight="1">
      <c r="A16" s="4"/>
      <c r="B16" s="29"/>
      <c r="C16" s="7"/>
      <c r="D16" s="7"/>
      <c r="E16" s="7"/>
      <c r="F16" s="59" t="s">
        <v>20</v>
      </c>
      <c r="G16" s="60"/>
      <c r="H16" s="61"/>
      <c r="I16" s="95"/>
      <c r="J16" s="96">
        <f>J8-I15*J14</f>
        <v>-1352577.8</v>
      </c>
      <c r="K16" s="97" t="str">
        <f t="shared" si="4"/>
        <v/>
      </c>
      <c r="L16" s="101">
        <f t="shared" si="9"/>
        <v>-1352577.8</v>
      </c>
      <c r="M16" s="102" t="str">
        <f t="shared" si="5"/>
        <v/>
      </c>
      <c r="N16" s="67" t="str">
        <f t="shared" si="6"/>
        <v/>
      </c>
      <c r="O16" s="100"/>
      <c r="P16" s="67" t="str">
        <f t="shared" si="7"/>
        <v/>
      </c>
      <c r="Q16" s="69" t="str">
        <f t="shared" si="8"/>
        <v/>
      </c>
      <c r="R16" s="7"/>
      <c r="S16" s="7"/>
      <c r="T16" s="33"/>
      <c r="U16" s="78" t="str">
        <f>K23</f>
        <v>UNOde50</v>
      </c>
      <c r="V16" s="78"/>
      <c r="W16" s="10"/>
      <c r="X16" s="7"/>
      <c r="Y16" s="7"/>
    </row>
    <row r="17" ht="15.75" customHeight="1">
      <c r="A17" s="4"/>
      <c r="B17" s="29"/>
      <c r="C17" s="7"/>
      <c r="D17" s="103"/>
      <c r="E17" s="7"/>
      <c r="F17" s="59" t="s">
        <v>21</v>
      </c>
      <c r="G17" s="60"/>
      <c r="H17" s="61"/>
      <c r="I17" s="104">
        <v>1600</v>
      </c>
      <c r="J17" s="96">
        <f>I56</f>
        <v>912</v>
      </c>
      <c r="K17" s="97">
        <f t="shared" si="4"/>
        <v>0.56999999999999995</v>
      </c>
      <c r="L17" s="101">
        <f>J17/J14*I14</f>
        <v>912</v>
      </c>
      <c r="M17" s="102">
        <f t="shared" si="5"/>
        <v>0.56999999999999995</v>
      </c>
      <c r="N17" s="67">
        <f t="shared" si="6"/>
        <v>-688</v>
      </c>
      <c r="O17" s="100"/>
      <c r="P17" s="67" t="str">
        <f t="shared" si="7"/>
        <v/>
      </c>
      <c r="Q17" s="69" t="str">
        <f t="shared" si="8"/>
        <v/>
      </c>
      <c r="R17" s="7"/>
      <c r="S17" s="7"/>
      <c r="T17" s="33"/>
      <c r="U17" s="78"/>
      <c r="V17" s="78"/>
      <c r="W17" s="10"/>
      <c r="X17" s="7"/>
      <c r="Y17" s="7"/>
    </row>
    <row r="18" ht="15.75" customHeight="1">
      <c r="A18" s="4"/>
      <c r="B18" s="29"/>
      <c r="C18" s="7"/>
      <c r="D18" s="7"/>
      <c r="E18" s="7"/>
      <c r="F18" s="59"/>
      <c r="G18" s="60"/>
      <c r="H18" s="61"/>
      <c r="I18" s="105"/>
      <c r="J18" s="96"/>
      <c r="K18" s="106" t="str">
        <f t="shared" si="4"/>
        <v/>
      </c>
      <c r="L18" s="107">
        <f t="shared" ref="L18:L19" si="10">J18</f>
        <v>0</v>
      </c>
      <c r="M18" s="102" t="str">
        <f t="shared" si="5"/>
        <v/>
      </c>
      <c r="N18" s="67" t="str">
        <f t="shared" si="6"/>
        <v/>
      </c>
      <c r="O18" s="108">
        <v>0</v>
      </c>
      <c r="P18" s="67" t="str">
        <f t="shared" si="7"/>
        <v/>
      </c>
      <c r="Q18" s="69" t="str">
        <f t="shared" si="8"/>
        <v/>
      </c>
      <c r="R18" s="7"/>
      <c r="S18" s="7"/>
      <c r="T18" s="33"/>
      <c r="U18" s="88">
        <v>1020000</v>
      </c>
      <c r="V18" s="89">
        <f>K56</f>
        <v>326792</v>
      </c>
      <c r="W18" s="10"/>
      <c r="X18" s="7"/>
      <c r="Y18" s="7"/>
    </row>
    <row r="19" ht="15.75" customHeight="1">
      <c r="A19" s="4"/>
      <c r="B19" s="29"/>
      <c r="C19" s="7"/>
      <c r="D19" s="7"/>
      <c r="E19" s="7"/>
      <c r="F19" s="59"/>
      <c r="G19" s="60"/>
      <c r="H19" s="61"/>
      <c r="I19" s="105"/>
      <c r="J19" s="96"/>
      <c r="K19" s="106" t="str">
        <f t="shared" si="4"/>
        <v/>
      </c>
      <c r="L19" s="107">
        <f t="shared" si="10"/>
        <v>0</v>
      </c>
      <c r="M19" s="102" t="str">
        <f t="shared" si="5"/>
        <v/>
      </c>
      <c r="N19" s="67" t="str">
        <f t="shared" si="6"/>
        <v/>
      </c>
      <c r="O19" s="100">
        <v>0</v>
      </c>
      <c r="P19" s="67" t="str">
        <f t="shared" si="7"/>
        <v/>
      </c>
      <c r="Q19" s="69" t="str">
        <f t="shared" si="8"/>
        <v/>
      </c>
      <c r="R19" s="7"/>
      <c r="S19" s="7"/>
      <c r="T19" s="33"/>
      <c r="U19" s="91">
        <f>V18/U18</f>
        <v>0.3203843137254902</v>
      </c>
      <c r="V19" s="91">
        <f>U19/J14*I14</f>
        <v>0.3203843137254902</v>
      </c>
      <c r="W19" s="92"/>
      <c r="X19" s="7"/>
      <c r="Y19" s="7"/>
    </row>
    <row r="20" ht="15.75" customHeight="1">
      <c r="A20" s="4"/>
      <c r="B20" s="29"/>
      <c r="C20" s="7"/>
      <c r="D20" s="7"/>
      <c r="E20" s="7"/>
      <c r="F20" s="109" t="s">
        <v>22</v>
      </c>
      <c r="G20" s="109"/>
      <c r="H20" s="109"/>
      <c r="I20" s="110">
        <v>0.12</v>
      </c>
      <c r="J20" s="111">
        <f>P56</f>
        <v>0.086622807017543865</v>
      </c>
      <c r="K20" s="112">
        <f>J20/I20</f>
        <v>0.72185672514619892</v>
      </c>
      <c r="L20" s="113">
        <f>IF(AND(K8&lt;&gt;0, I14&lt;&gt;0, I56&lt;&gt;0), (I56*P56+(I56/K8-I56)*I20)/(I56/K8), 0)</f>
        <v>0.10394755736690973</v>
      </c>
      <c r="M20" s="114">
        <f t="shared" si="5"/>
        <v>0.86622964472424779</v>
      </c>
      <c r="N20" s="115">
        <f t="shared" si="6"/>
        <v>-0.016052442633090261</v>
      </c>
      <c r="O20" s="116"/>
      <c r="P20" s="117" t="str">
        <f t="shared" si="7"/>
        <v/>
      </c>
      <c r="Q20" s="118" t="str">
        <f t="shared" si="8"/>
        <v/>
      </c>
      <c r="R20" s="7"/>
      <c r="S20" s="7"/>
      <c r="T20" s="33"/>
      <c r="U20" s="34"/>
      <c r="V20" s="7"/>
      <c r="W20" s="10"/>
      <c r="X20" s="7"/>
      <c r="Y20" s="7"/>
    </row>
    <row r="21" ht="15.75" customHeight="1">
      <c r="A21" s="4"/>
      <c r="B21" s="29"/>
      <c r="C21" s="7"/>
      <c r="D21" s="1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33"/>
      <c r="U21" s="34"/>
      <c r="V21" s="7"/>
      <c r="W21" s="10"/>
      <c r="X21" s="7"/>
      <c r="Y21" s="7"/>
    </row>
    <row r="22" ht="21" customHeight="1">
      <c r="A22" s="120" t="s">
        <v>23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1" t="s">
        <v>24</v>
      </c>
      <c r="R22" s="120" t="s">
        <v>25</v>
      </c>
      <c r="S22" s="120"/>
      <c r="T22" s="120"/>
      <c r="U22" s="120"/>
      <c r="V22" s="120"/>
      <c r="W22" s="120"/>
      <c r="X22" s="120"/>
      <c r="Y22" s="120"/>
    </row>
    <row r="23" ht="42">
      <c r="A23" s="122" t="s">
        <v>26</v>
      </c>
      <c r="B23" s="121" t="s">
        <v>27</v>
      </c>
      <c r="C23" s="121" t="s">
        <v>28</v>
      </c>
      <c r="D23" s="121" t="s">
        <v>29</v>
      </c>
      <c r="E23" s="121" t="s">
        <v>30</v>
      </c>
      <c r="F23" s="121" t="s">
        <v>31</v>
      </c>
      <c r="G23" s="121" t="s">
        <v>32</v>
      </c>
      <c r="H23" s="121" t="s">
        <v>33</v>
      </c>
      <c r="I23" s="121" t="s">
        <v>21</v>
      </c>
      <c r="J23" s="121" t="s">
        <v>34</v>
      </c>
      <c r="K23" s="123" t="s">
        <v>35</v>
      </c>
      <c r="L23" s="123" t="s">
        <v>36</v>
      </c>
      <c r="M23" s="123" t="s">
        <v>37</v>
      </c>
      <c r="N23" s="123" t="s">
        <v>38</v>
      </c>
      <c r="O23" s="123" t="s">
        <v>39</v>
      </c>
      <c r="P23" s="121" t="s">
        <v>40</v>
      </c>
      <c r="Q23" s="121"/>
      <c r="R23" s="121" t="s">
        <v>41</v>
      </c>
      <c r="S23" s="121" t="s">
        <v>42</v>
      </c>
      <c r="T23" s="121" t="s">
        <v>43</v>
      </c>
      <c r="U23" s="121" t="s">
        <v>44</v>
      </c>
      <c r="V23" s="121" t="s">
        <v>45</v>
      </c>
      <c r="W23" s="121" t="s">
        <v>46</v>
      </c>
      <c r="X23" s="124" t="s">
        <v>47</v>
      </c>
      <c r="Y23" s="124" t="s">
        <v>48</v>
      </c>
      <c r="Z23" s="125"/>
    </row>
    <row r="24">
      <c r="A24" s="122"/>
      <c r="B24" s="126">
        <v>1</v>
      </c>
      <c r="C24" s="126">
        <v>2</v>
      </c>
      <c r="D24" s="126">
        <v>3</v>
      </c>
      <c r="E24" s="126">
        <v>4</v>
      </c>
      <c r="F24" s="126">
        <v>5</v>
      </c>
      <c r="G24" s="126">
        <v>6</v>
      </c>
      <c r="H24" s="126">
        <v>7</v>
      </c>
      <c r="I24" s="126">
        <v>8</v>
      </c>
      <c r="J24" s="126">
        <v>9</v>
      </c>
      <c r="K24" s="126">
        <v>10</v>
      </c>
      <c r="L24" s="126">
        <v>11</v>
      </c>
      <c r="M24" s="126">
        <v>12</v>
      </c>
      <c r="N24" s="126">
        <v>13</v>
      </c>
      <c r="O24" s="126">
        <v>14</v>
      </c>
      <c r="P24" s="126">
        <v>15</v>
      </c>
      <c r="Q24" s="121"/>
      <c r="R24" s="127">
        <v>1</v>
      </c>
      <c r="S24" s="127">
        <v>2</v>
      </c>
      <c r="T24" s="127">
        <v>3</v>
      </c>
      <c r="U24" s="127">
        <v>4</v>
      </c>
      <c r="V24" s="127">
        <v>5</v>
      </c>
      <c r="W24" s="127">
        <v>6</v>
      </c>
      <c r="X24" s="127">
        <v>10</v>
      </c>
      <c r="Y24" s="127">
        <v>11</v>
      </c>
    </row>
    <row r="25">
      <c r="A25" s="128" t="s">
        <v>49</v>
      </c>
      <c r="B25" s="129">
        <v>45992</v>
      </c>
      <c r="C25" s="130" t="s">
        <v>50</v>
      </c>
      <c r="D25" s="131">
        <v>3293</v>
      </c>
      <c r="E25" s="132">
        <v>1</v>
      </c>
      <c r="F25" s="132">
        <f t="shared" ref="F25:F55" si="11">IF(AND(E25&lt;&gt;"",E25&lt;&gt;0),D25/E25,"")</f>
        <v>3293</v>
      </c>
      <c r="G25" s="132">
        <v>1</v>
      </c>
      <c r="H25" s="132">
        <f t="shared" ref="H25:H56" si="12">IF(AND(G25&lt;&gt;"",G25&lt;&gt;0),D25/G25,"")</f>
        <v>3293</v>
      </c>
      <c r="I25" s="132">
        <v>27</v>
      </c>
      <c r="J25" s="133">
        <f t="shared" ref="J25:J55" si="13">IF(AND(G25&lt;&gt;"",G25&lt;&gt;0),E25/G25,"")</f>
        <v>1</v>
      </c>
      <c r="K25" s="132"/>
      <c r="L25" s="132"/>
      <c r="M25" s="132"/>
      <c r="N25" s="132"/>
      <c r="O25" s="132"/>
      <c r="P25" s="134">
        <f t="shared" ref="P25:P55" si="14">IF(AND(I25&lt;&gt;"",I25&lt;&gt;0),G25/I25,"")</f>
        <v>0.037037037037037035</v>
      </c>
      <c r="Q25" s="135">
        <f t="shared" ref="Q25:Q56" si="15">D25/R25</f>
        <v>0.040231814981449732</v>
      </c>
      <c r="R25" s="136">
        <f t="shared" ref="R25:R55" si="16">$I$8*X25*Y25/SUMPRODUCT($Y$25:$Y$55,$X$25:$X$55)</f>
        <v>81850.644857020525</v>
      </c>
      <c r="S25" s="137">
        <f t="shared" ref="S25:S55" si="17">$I$9*X25*Y25/SUMPRODUCT($Y$25:$Y$55,$X$25:$X$55)</f>
        <v>10.493672417566735</v>
      </c>
      <c r="T25" s="137">
        <f t="shared" ref="T25:T55" si="18">IF($I$12="","",S25/$I$12)</f>
        <v>6.0308462169923764</v>
      </c>
      <c r="U25" s="136">
        <f>IF(D25&lt;&gt;"",D25,R25)</f>
        <v>3293</v>
      </c>
      <c r="V25" s="137">
        <f>IF(E25&lt;&gt;"",E25,S25)</f>
        <v>1</v>
      </c>
      <c r="W25" s="137">
        <f>IF(G25&lt;&gt;"",G25,T25)</f>
        <v>1</v>
      </c>
      <c r="X25" s="138">
        <v>0.9414554019711151</v>
      </c>
      <c r="Y25" s="138">
        <v>0.9414554019711151</v>
      </c>
      <c r="Z25" s="139"/>
      <c r="AA25" s="140"/>
    </row>
    <row r="26">
      <c r="A26" s="128" t="s">
        <v>51</v>
      </c>
      <c r="B26" s="129">
        <v>45993</v>
      </c>
      <c r="C26" s="130" t="s">
        <v>52</v>
      </c>
      <c r="D26" s="131">
        <v>3555</v>
      </c>
      <c r="E26" s="132">
        <v>1</v>
      </c>
      <c r="F26" s="132">
        <f t="shared" si="11"/>
        <v>3555</v>
      </c>
      <c r="G26" s="132">
        <v>1</v>
      </c>
      <c r="H26" s="132">
        <f t="shared" si="12"/>
        <v>3555</v>
      </c>
      <c r="I26" s="132">
        <v>35</v>
      </c>
      <c r="J26" s="133">
        <f t="shared" si="13"/>
        <v>1</v>
      </c>
      <c r="K26" s="132"/>
      <c r="L26" s="132"/>
      <c r="M26" s="132"/>
      <c r="N26" s="132"/>
      <c r="O26" s="132"/>
      <c r="P26" s="134">
        <f t="shared" si="14"/>
        <v>0.028571428571428571</v>
      </c>
      <c r="Q26" s="135">
        <f t="shared" si="15"/>
        <v>0.052895014437281278</v>
      </c>
      <c r="R26" s="136">
        <f t="shared" si="16"/>
        <v>67208.60250856416</v>
      </c>
      <c r="S26" s="137">
        <f t="shared" si="17"/>
        <v>8.6164875010979696</v>
      </c>
      <c r="T26" s="137">
        <f t="shared" si="18"/>
        <v>4.9520043109758447</v>
      </c>
      <c r="U26" s="136">
        <f t="shared" ref="U26:U55" si="19">IF(Y26&lt;&gt;"",IF(D26&lt;&gt;"",D26,($I$8-SUM($U$25:U25))*X26*Y26/SUMPRODUCT($Y26:$Y$55,$X26:$X$55)),"")</f>
        <v>3555</v>
      </c>
      <c r="V26" s="137">
        <f t="shared" ref="V26:V55" si="20">IF(Y26&lt;&gt;"",IF(E26&lt;&gt;"",E26,($I$9-SUM($V$25:V25))*X26*Y26/SUMPRODUCT($Y26:$Y$55,$X26:$X$55)),"")</f>
        <v>1</v>
      </c>
      <c r="W26" s="137">
        <f t="shared" ref="W26:W55" si="21">IF(Y26&lt;&gt;"",IF(E26&lt;&gt;"",E26,($I$9-SUM($V$25:V25))*X26*Y26/SUMPRODUCT($Y26:$Y$55,$X26:$X$55)),"")</f>
        <v>1</v>
      </c>
      <c r="X26" s="138">
        <v>0.85310233682514103</v>
      </c>
      <c r="Y26" s="138">
        <v>0.85310233682514103</v>
      </c>
      <c r="Z26" s="141"/>
      <c r="AA26" s="140"/>
    </row>
    <row r="27">
      <c r="A27" s="128" t="s">
        <v>49</v>
      </c>
      <c r="B27" s="129">
        <v>45994</v>
      </c>
      <c r="C27" s="130" t="s">
        <v>53</v>
      </c>
      <c r="D27" s="131">
        <v>47669</v>
      </c>
      <c r="E27" s="142">
        <v>3</v>
      </c>
      <c r="F27" s="132">
        <f t="shared" si="11"/>
        <v>15889.666666666666</v>
      </c>
      <c r="G27" s="142">
        <v>2</v>
      </c>
      <c r="H27" s="132">
        <f t="shared" si="12"/>
        <v>23834.5</v>
      </c>
      <c r="I27" s="142">
        <v>30</v>
      </c>
      <c r="J27" s="133">
        <f t="shared" si="13"/>
        <v>1.5</v>
      </c>
      <c r="K27" s="132">
        <v>42669</v>
      </c>
      <c r="L27" s="132"/>
      <c r="M27" s="132"/>
      <c r="N27" s="132"/>
      <c r="O27" s="132"/>
      <c r="P27" s="134">
        <f t="shared" si="14"/>
        <v>0.066666666666666666</v>
      </c>
      <c r="Q27" s="135">
        <f t="shared" si="15"/>
        <v>0.70926932298474299</v>
      </c>
      <c r="R27" s="136">
        <f t="shared" si="16"/>
        <v>67208.60250856416</v>
      </c>
      <c r="S27" s="137">
        <f t="shared" si="17"/>
        <v>8.6164875010979696</v>
      </c>
      <c r="T27" s="137">
        <f t="shared" si="18"/>
        <v>4.9520043109758447</v>
      </c>
      <c r="U27" s="136">
        <f t="shared" si="19"/>
        <v>47669</v>
      </c>
      <c r="V27" s="137">
        <f t="shared" si="20"/>
        <v>3</v>
      </c>
      <c r="W27" s="137">
        <f t="shared" si="21"/>
        <v>3</v>
      </c>
      <c r="X27" s="138">
        <v>0.85310233682514103</v>
      </c>
      <c r="Y27" s="138">
        <v>0.85310233682514103</v>
      </c>
      <c r="Z27" s="141"/>
      <c r="AA27" s="140"/>
    </row>
    <row r="28">
      <c r="A28" s="128" t="s">
        <v>49</v>
      </c>
      <c r="B28" s="129">
        <v>45995</v>
      </c>
      <c r="C28" s="130" t="s">
        <v>54</v>
      </c>
      <c r="D28" s="131">
        <v>49966</v>
      </c>
      <c r="E28" s="132">
        <v>6</v>
      </c>
      <c r="F28" s="132">
        <f t="shared" si="11"/>
        <v>8327.6666666666661</v>
      </c>
      <c r="G28" s="132">
        <v>3</v>
      </c>
      <c r="H28" s="132">
        <f t="shared" si="12"/>
        <v>16655.333333333332</v>
      </c>
      <c r="I28" s="132">
        <v>45</v>
      </c>
      <c r="J28" s="133">
        <f t="shared" si="13"/>
        <v>2</v>
      </c>
      <c r="K28" s="132"/>
      <c r="L28" s="132"/>
      <c r="M28" s="132"/>
      <c r="N28" s="132"/>
      <c r="O28" s="132"/>
      <c r="P28" s="134">
        <f t="shared" si="14"/>
        <v>0.066666666666666666</v>
      </c>
      <c r="Q28" s="135">
        <f t="shared" si="15"/>
        <v>0.74344649546362762</v>
      </c>
      <c r="R28" s="136">
        <f t="shared" si="16"/>
        <v>67208.60250856416</v>
      </c>
      <c r="S28" s="137">
        <f t="shared" si="17"/>
        <v>8.6164875010979696</v>
      </c>
      <c r="T28" s="137">
        <f t="shared" si="18"/>
        <v>4.9520043109758447</v>
      </c>
      <c r="U28" s="136">
        <f t="shared" si="19"/>
        <v>49966</v>
      </c>
      <c r="V28" s="137">
        <f t="shared" si="20"/>
        <v>6</v>
      </c>
      <c r="W28" s="137">
        <f t="shared" si="21"/>
        <v>6</v>
      </c>
      <c r="X28" s="138">
        <v>0.85310233682514103</v>
      </c>
      <c r="Y28" s="138">
        <v>0.85310233682514103</v>
      </c>
      <c r="Z28" s="141"/>
      <c r="AA28" s="143"/>
    </row>
    <row r="29" s="144" customFormat="1">
      <c r="A29" s="145" t="s">
        <v>51</v>
      </c>
      <c r="B29" s="146">
        <v>45996</v>
      </c>
      <c r="C29" s="147" t="s">
        <v>55</v>
      </c>
      <c r="D29" s="148">
        <f>40368+26123</f>
        <v>66491</v>
      </c>
      <c r="E29" s="149">
        <v>5</v>
      </c>
      <c r="F29" s="149">
        <f t="shared" si="11"/>
        <v>13298.200000000001</v>
      </c>
      <c r="G29" s="149">
        <v>4</v>
      </c>
      <c r="H29" s="149">
        <f t="shared" si="12"/>
        <v>16622.75</v>
      </c>
      <c r="I29" s="149">
        <v>40</v>
      </c>
      <c r="J29" s="150">
        <f t="shared" si="13"/>
        <v>1.25</v>
      </c>
      <c r="K29" s="149">
        <v>28984</v>
      </c>
      <c r="L29" s="149">
        <v>26123</v>
      </c>
      <c r="M29" s="149"/>
      <c r="N29" s="149"/>
      <c r="O29" s="149"/>
      <c r="P29" s="151">
        <f t="shared" si="14"/>
        <v>0.10000000000000001</v>
      </c>
      <c r="Q29" s="152">
        <f t="shared" si="15"/>
        <v>0.99655761323150771</v>
      </c>
      <c r="R29" s="153">
        <f t="shared" si="16"/>
        <v>66720.678380441663</v>
      </c>
      <c r="S29" s="154">
        <f t="shared" si="17"/>
        <v>8.5539331256976485</v>
      </c>
      <c r="T29" s="154">
        <f t="shared" si="18"/>
        <v>4.9160535205158897</v>
      </c>
      <c r="U29" s="153">
        <f t="shared" si="19"/>
        <v>66491</v>
      </c>
      <c r="V29" s="154">
        <f t="shared" si="20"/>
        <v>5</v>
      </c>
      <c r="W29" s="154">
        <f t="shared" si="21"/>
        <v>5</v>
      </c>
      <c r="X29" s="155">
        <v>0.84999999999999998</v>
      </c>
      <c r="Y29" s="155">
        <v>0.84999999999999998</v>
      </c>
      <c r="Z29" s="156"/>
      <c r="AA29" s="157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58"/>
      <c r="DZ29" s="158"/>
      <c r="EA29" s="158"/>
      <c r="EB29" s="158"/>
      <c r="EC29" s="158"/>
      <c r="ED29" s="158"/>
      <c r="EE29" s="158"/>
      <c r="EF29" s="158"/>
      <c r="EG29" s="158"/>
      <c r="EH29" s="158"/>
      <c r="EI29" s="158"/>
      <c r="EJ29" s="158"/>
      <c r="EK29" s="158"/>
      <c r="EL29" s="158"/>
      <c r="EM29" s="158"/>
      <c r="EN29" s="158"/>
      <c r="EO29" s="158"/>
      <c r="EP29" s="158"/>
      <c r="EQ29" s="158"/>
      <c r="ER29" s="158"/>
      <c r="ES29" s="158"/>
      <c r="ET29" s="158"/>
      <c r="EU29" s="158"/>
      <c r="EV29" s="158"/>
      <c r="EW29" s="158"/>
      <c r="EX29" s="158"/>
      <c r="EY29" s="158"/>
      <c r="EZ29" s="158"/>
      <c r="FA29" s="158"/>
      <c r="FB29" s="158"/>
      <c r="FC29" s="158"/>
      <c r="FD29" s="158"/>
      <c r="FE29" s="158"/>
      <c r="FF29" s="158"/>
      <c r="FG29" s="158"/>
      <c r="FH29" s="158"/>
      <c r="FI29" s="158"/>
      <c r="FJ29" s="158"/>
      <c r="FK29" s="158"/>
      <c r="FL29" s="158"/>
      <c r="FM29" s="158"/>
      <c r="FN29" s="158"/>
      <c r="FO29" s="158"/>
      <c r="FP29" s="158"/>
      <c r="FQ29" s="158"/>
      <c r="FR29" s="158"/>
      <c r="FS29" s="158"/>
      <c r="FT29" s="158"/>
      <c r="FU29" s="158"/>
      <c r="FV29" s="158"/>
      <c r="FW29" s="158"/>
      <c r="FX29" s="158"/>
      <c r="FY29" s="158"/>
      <c r="FZ29" s="158"/>
      <c r="GA29" s="158"/>
      <c r="GB29" s="158"/>
      <c r="GC29" s="158"/>
      <c r="GD29" s="158"/>
      <c r="GE29" s="158"/>
      <c r="GF29" s="158"/>
      <c r="GG29" s="158"/>
      <c r="GH29" s="158"/>
      <c r="GI29" s="158"/>
      <c r="GJ29" s="158"/>
      <c r="GK29" s="158"/>
      <c r="GL29" s="158"/>
      <c r="GM29" s="158"/>
      <c r="GN29" s="158"/>
      <c r="GO29" s="158"/>
      <c r="GP29" s="158"/>
      <c r="GQ29" s="158"/>
      <c r="GR29" s="158"/>
      <c r="GS29" s="158"/>
      <c r="GT29" s="158"/>
      <c r="GU29" s="158"/>
      <c r="GV29" s="158"/>
      <c r="GW29" s="158"/>
      <c r="GX29" s="158"/>
      <c r="GY29" s="158"/>
      <c r="GZ29" s="158"/>
      <c r="HA29" s="158"/>
      <c r="HB29" s="158"/>
      <c r="HC29" s="158"/>
      <c r="HD29" s="158"/>
      <c r="HE29" s="158"/>
      <c r="HF29" s="158"/>
      <c r="HG29" s="158"/>
      <c r="HH29" s="158"/>
      <c r="HI29" s="158"/>
      <c r="HJ29" s="158"/>
      <c r="HK29" s="158"/>
      <c r="HL29" s="158"/>
      <c r="HM29" s="158"/>
      <c r="HN29" s="158"/>
      <c r="HO29" s="158"/>
      <c r="HP29" s="158"/>
      <c r="HQ29" s="158"/>
      <c r="HR29" s="158"/>
      <c r="HS29" s="158"/>
      <c r="HT29" s="158"/>
      <c r="HU29" s="158"/>
      <c r="HV29" s="158"/>
      <c r="HW29" s="158"/>
      <c r="HX29" s="158"/>
      <c r="HY29" s="158"/>
      <c r="HZ29" s="158"/>
      <c r="IA29" s="158"/>
      <c r="IB29" s="158"/>
      <c r="IC29" s="158"/>
      <c r="ID29" s="158"/>
      <c r="IE29" s="158"/>
      <c r="IF29" s="158"/>
      <c r="IG29" s="158"/>
      <c r="IH29" s="158"/>
      <c r="II29" s="158"/>
      <c r="IJ29" s="158"/>
      <c r="IK29" s="158"/>
      <c r="IL29" s="158"/>
      <c r="IM29" s="158"/>
      <c r="IN29" s="158"/>
      <c r="IO29" s="158"/>
      <c r="IP29" s="158"/>
      <c r="IQ29" s="158"/>
      <c r="IR29" s="158"/>
      <c r="IS29" s="158"/>
      <c r="IT29" s="158"/>
      <c r="IU29" s="158"/>
      <c r="IV29" s="158"/>
      <c r="IW29" s="158"/>
    </row>
    <row r="30" s="159" customFormat="1">
      <c r="A30" s="145" t="s">
        <v>51</v>
      </c>
      <c r="B30" s="146">
        <v>45997</v>
      </c>
      <c r="C30" s="147" t="s">
        <v>56</v>
      </c>
      <c r="D30" s="148">
        <v>5893</v>
      </c>
      <c r="E30" s="149">
        <v>1</v>
      </c>
      <c r="F30" s="149">
        <f t="shared" si="11"/>
        <v>5893</v>
      </c>
      <c r="G30" s="149">
        <v>1</v>
      </c>
      <c r="H30" s="149">
        <f t="shared" si="12"/>
        <v>5893</v>
      </c>
      <c r="I30" s="149">
        <v>62</v>
      </c>
      <c r="J30" s="150">
        <f t="shared" si="13"/>
        <v>1</v>
      </c>
      <c r="K30" s="149"/>
      <c r="L30" s="149"/>
      <c r="M30" s="149"/>
      <c r="N30" s="149"/>
      <c r="O30" s="149"/>
      <c r="P30" s="151">
        <f t="shared" si="14"/>
        <v>0.016129032258064516</v>
      </c>
      <c r="Q30" s="152">
        <f t="shared" si="15"/>
        <v>0.063813687200879682</v>
      </c>
      <c r="R30" s="153">
        <f t="shared" si="16"/>
        <v>92346.95969611303</v>
      </c>
      <c r="S30" s="154">
        <f t="shared" si="17"/>
        <v>11.839353807193978</v>
      </c>
      <c r="T30" s="154">
        <f t="shared" si="18"/>
        <v>6.8042263259735511</v>
      </c>
      <c r="U30" s="153">
        <f t="shared" si="19"/>
        <v>5893</v>
      </c>
      <c r="V30" s="154">
        <f t="shared" si="20"/>
        <v>1</v>
      </c>
      <c r="W30" s="154">
        <f t="shared" si="21"/>
        <v>1</v>
      </c>
      <c r="X30" s="155">
        <v>1</v>
      </c>
      <c r="Y30" s="155">
        <v>1</v>
      </c>
      <c r="Z30" s="156"/>
      <c r="AA30" s="157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58"/>
      <c r="DZ30" s="158"/>
      <c r="EA30" s="158"/>
      <c r="EB30" s="158"/>
      <c r="EC30" s="158"/>
      <c r="ED30" s="158"/>
      <c r="EE30" s="158"/>
      <c r="EF30" s="158"/>
      <c r="EG30" s="158"/>
      <c r="EH30" s="158"/>
      <c r="EI30" s="158"/>
      <c r="EJ30" s="158"/>
      <c r="EK30" s="158"/>
      <c r="EL30" s="158"/>
      <c r="EM30" s="158"/>
      <c r="EN30" s="158"/>
      <c r="EO30" s="158"/>
      <c r="EP30" s="158"/>
      <c r="EQ30" s="158"/>
      <c r="ER30" s="158"/>
      <c r="ES30" s="158"/>
      <c r="ET30" s="158"/>
      <c r="EU30" s="158"/>
      <c r="EV30" s="158"/>
      <c r="EW30" s="158"/>
      <c r="EX30" s="158"/>
      <c r="EY30" s="158"/>
      <c r="EZ30" s="158"/>
      <c r="FA30" s="158"/>
      <c r="FB30" s="158"/>
      <c r="FC30" s="158"/>
      <c r="FD30" s="158"/>
      <c r="FE30" s="158"/>
      <c r="FF30" s="158"/>
      <c r="FG30" s="158"/>
      <c r="FH30" s="158"/>
      <c r="FI30" s="158"/>
      <c r="FJ30" s="158"/>
      <c r="FK30" s="158"/>
      <c r="FL30" s="158"/>
      <c r="FM30" s="158"/>
      <c r="FN30" s="158"/>
      <c r="FO30" s="158"/>
      <c r="FP30" s="158"/>
      <c r="FQ30" s="158"/>
      <c r="FR30" s="158"/>
      <c r="FS30" s="158"/>
      <c r="FT30" s="158"/>
      <c r="FU30" s="158"/>
      <c r="FV30" s="158"/>
      <c r="FW30" s="158"/>
      <c r="FX30" s="158"/>
      <c r="FY30" s="158"/>
      <c r="FZ30" s="158"/>
      <c r="GA30" s="158"/>
      <c r="GB30" s="158"/>
      <c r="GC30" s="158"/>
      <c r="GD30" s="158"/>
      <c r="GE30" s="158"/>
      <c r="GF30" s="158"/>
      <c r="GG30" s="158"/>
      <c r="GH30" s="158"/>
      <c r="GI30" s="158"/>
      <c r="GJ30" s="158"/>
      <c r="GK30" s="158"/>
      <c r="GL30" s="158"/>
      <c r="GM30" s="158"/>
      <c r="GN30" s="158"/>
      <c r="GO30" s="158"/>
      <c r="GP30" s="158"/>
      <c r="GQ30" s="158"/>
      <c r="GR30" s="158"/>
      <c r="GS30" s="158"/>
      <c r="GT30" s="158"/>
      <c r="GU30" s="158"/>
      <c r="GV30" s="158"/>
      <c r="GW30" s="158"/>
      <c r="GX30" s="158"/>
      <c r="GY30" s="158"/>
      <c r="GZ30" s="158"/>
      <c r="HA30" s="158"/>
      <c r="HB30" s="158"/>
      <c r="HC30" s="158"/>
      <c r="HD30" s="158"/>
      <c r="HE30" s="158"/>
      <c r="HF30" s="158"/>
      <c r="HG30" s="158"/>
      <c r="HH30" s="158"/>
      <c r="HI30" s="158"/>
      <c r="HJ30" s="158"/>
      <c r="HK30" s="158"/>
      <c r="HL30" s="158"/>
      <c r="HM30" s="158"/>
      <c r="HN30" s="158"/>
      <c r="HO30" s="158"/>
      <c r="HP30" s="158"/>
      <c r="HQ30" s="158"/>
      <c r="HR30" s="158"/>
      <c r="HS30" s="158"/>
      <c r="HT30" s="158"/>
      <c r="HU30" s="158"/>
      <c r="HV30" s="158"/>
      <c r="HW30" s="158"/>
      <c r="HX30" s="158"/>
      <c r="HY30" s="158"/>
      <c r="HZ30" s="158"/>
      <c r="IA30" s="158"/>
      <c r="IB30" s="158"/>
      <c r="IC30" s="158"/>
      <c r="ID30" s="158"/>
      <c r="IE30" s="158"/>
      <c r="IF30" s="158"/>
      <c r="IG30" s="158"/>
      <c r="IH30" s="158"/>
      <c r="II30" s="158"/>
      <c r="IJ30" s="158"/>
      <c r="IK30" s="158"/>
      <c r="IL30" s="158"/>
      <c r="IM30" s="158"/>
      <c r="IN30" s="158"/>
      <c r="IO30" s="158"/>
      <c r="IP30" s="158"/>
      <c r="IQ30" s="158"/>
      <c r="IR30" s="158"/>
      <c r="IS30" s="158"/>
      <c r="IT30" s="158"/>
      <c r="IU30" s="158"/>
      <c r="IV30" s="158"/>
      <c r="IW30" s="158"/>
    </row>
    <row r="31" s="159" customFormat="1">
      <c r="A31" s="145" t="s">
        <v>51</v>
      </c>
      <c r="B31" s="146">
        <v>45998</v>
      </c>
      <c r="C31" s="147" t="s">
        <v>57</v>
      </c>
      <c r="D31" s="148">
        <v>18884</v>
      </c>
      <c r="E31" s="149">
        <v>2</v>
      </c>
      <c r="F31" s="149">
        <f t="shared" si="11"/>
        <v>9442</v>
      </c>
      <c r="G31" s="149">
        <v>1</v>
      </c>
      <c r="H31" s="149">
        <f t="shared" si="12"/>
        <v>18884</v>
      </c>
      <c r="I31" s="149">
        <v>31</v>
      </c>
      <c r="J31" s="150">
        <f t="shared" si="13"/>
        <v>2</v>
      </c>
      <c r="K31" s="149"/>
      <c r="L31" s="149"/>
      <c r="M31" s="149"/>
      <c r="N31" s="149"/>
      <c r="O31" s="149"/>
      <c r="P31" s="151">
        <f t="shared" si="14"/>
        <v>0.032258064516129031</v>
      </c>
      <c r="Q31" s="152">
        <f t="shared" si="15"/>
        <v>0.20448967743108976</v>
      </c>
      <c r="R31" s="153">
        <f t="shared" si="16"/>
        <v>92346.95969611303</v>
      </c>
      <c r="S31" s="154">
        <f t="shared" si="17"/>
        <v>11.839353807193978</v>
      </c>
      <c r="T31" s="154">
        <f t="shared" si="18"/>
        <v>6.8042263259735511</v>
      </c>
      <c r="U31" s="153">
        <f t="shared" si="19"/>
        <v>18884</v>
      </c>
      <c r="V31" s="154">
        <f t="shared" si="20"/>
        <v>2</v>
      </c>
      <c r="W31" s="154">
        <f t="shared" si="21"/>
        <v>2</v>
      </c>
      <c r="X31" s="155">
        <v>1</v>
      </c>
      <c r="Y31" s="155">
        <v>1</v>
      </c>
      <c r="Z31" s="156"/>
      <c r="AA31" s="157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58"/>
      <c r="DZ31" s="158"/>
      <c r="EA31" s="158"/>
      <c r="EB31" s="158"/>
      <c r="EC31" s="158"/>
      <c r="ED31" s="158"/>
      <c r="EE31" s="158"/>
      <c r="EF31" s="158"/>
      <c r="EG31" s="158"/>
      <c r="EH31" s="158"/>
      <c r="EI31" s="158"/>
      <c r="EJ31" s="158"/>
      <c r="EK31" s="158"/>
      <c r="EL31" s="158"/>
      <c r="EM31" s="158"/>
      <c r="EN31" s="158"/>
      <c r="EO31" s="158"/>
      <c r="EP31" s="158"/>
      <c r="EQ31" s="158"/>
      <c r="ER31" s="158"/>
      <c r="ES31" s="158"/>
      <c r="ET31" s="158"/>
      <c r="EU31" s="158"/>
      <c r="EV31" s="158"/>
      <c r="EW31" s="158"/>
      <c r="EX31" s="158"/>
      <c r="EY31" s="158"/>
      <c r="EZ31" s="158"/>
      <c r="FA31" s="158"/>
      <c r="FB31" s="158"/>
      <c r="FC31" s="158"/>
      <c r="FD31" s="158"/>
      <c r="FE31" s="158"/>
      <c r="FF31" s="158"/>
      <c r="FG31" s="158"/>
      <c r="FH31" s="158"/>
      <c r="FI31" s="158"/>
      <c r="FJ31" s="158"/>
      <c r="FK31" s="158"/>
      <c r="FL31" s="158"/>
      <c r="FM31" s="158"/>
      <c r="FN31" s="158"/>
      <c r="FO31" s="158"/>
      <c r="FP31" s="158"/>
      <c r="FQ31" s="158"/>
      <c r="FR31" s="158"/>
      <c r="FS31" s="158"/>
      <c r="FT31" s="158"/>
      <c r="FU31" s="158"/>
      <c r="FV31" s="158"/>
      <c r="FW31" s="158"/>
      <c r="FX31" s="158"/>
      <c r="FY31" s="158"/>
      <c r="FZ31" s="158"/>
      <c r="GA31" s="158"/>
      <c r="GB31" s="158"/>
      <c r="GC31" s="158"/>
      <c r="GD31" s="158"/>
      <c r="GE31" s="158"/>
      <c r="GF31" s="158"/>
      <c r="GG31" s="158"/>
      <c r="GH31" s="158"/>
      <c r="GI31" s="158"/>
      <c r="GJ31" s="158"/>
      <c r="GK31" s="158"/>
      <c r="GL31" s="158"/>
      <c r="GM31" s="158"/>
      <c r="GN31" s="158"/>
      <c r="GO31" s="158"/>
      <c r="GP31" s="158"/>
      <c r="GQ31" s="158"/>
      <c r="GR31" s="158"/>
      <c r="GS31" s="158"/>
      <c r="GT31" s="158"/>
      <c r="GU31" s="158"/>
      <c r="GV31" s="158"/>
      <c r="GW31" s="158"/>
      <c r="GX31" s="158"/>
      <c r="GY31" s="158"/>
      <c r="GZ31" s="158"/>
      <c r="HA31" s="158"/>
      <c r="HB31" s="158"/>
      <c r="HC31" s="158"/>
      <c r="HD31" s="158"/>
      <c r="HE31" s="158"/>
      <c r="HF31" s="158"/>
      <c r="HG31" s="158"/>
      <c r="HH31" s="158"/>
      <c r="HI31" s="158"/>
      <c r="HJ31" s="158"/>
      <c r="HK31" s="158"/>
      <c r="HL31" s="158"/>
      <c r="HM31" s="158"/>
      <c r="HN31" s="158"/>
      <c r="HO31" s="158"/>
      <c r="HP31" s="158"/>
      <c r="HQ31" s="158"/>
      <c r="HR31" s="158"/>
      <c r="HS31" s="158"/>
      <c r="HT31" s="158"/>
      <c r="HU31" s="158"/>
      <c r="HV31" s="158"/>
      <c r="HW31" s="158"/>
      <c r="HX31" s="158"/>
      <c r="HY31" s="158"/>
      <c r="HZ31" s="158"/>
      <c r="IA31" s="158"/>
      <c r="IB31" s="158"/>
      <c r="IC31" s="158"/>
      <c r="ID31" s="158"/>
      <c r="IE31" s="158"/>
      <c r="IF31" s="158"/>
      <c r="IG31" s="158"/>
      <c r="IH31" s="158"/>
      <c r="II31" s="158"/>
      <c r="IJ31" s="158"/>
      <c r="IK31" s="158"/>
      <c r="IL31" s="158"/>
      <c r="IM31" s="158"/>
      <c r="IN31" s="158"/>
      <c r="IO31" s="158"/>
      <c r="IP31" s="158"/>
      <c r="IQ31" s="158"/>
      <c r="IR31" s="158"/>
      <c r="IS31" s="158"/>
      <c r="IT31" s="158"/>
      <c r="IU31" s="158"/>
      <c r="IV31" s="158"/>
      <c r="IW31" s="158"/>
    </row>
    <row r="32">
      <c r="A32" s="128" t="s">
        <v>49</v>
      </c>
      <c r="B32" s="129">
        <v>45999</v>
      </c>
      <c r="C32" s="130" t="s">
        <v>50</v>
      </c>
      <c r="D32" s="133">
        <v>12484</v>
      </c>
      <c r="E32" s="132">
        <v>2</v>
      </c>
      <c r="F32" s="132">
        <f t="shared" si="11"/>
        <v>6242</v>
      </c>
      <c r="G32" s="132">
        <v>1</v>
      </c>
      <c r="H32" s="132">
        <f t="shared" si="12"/>
        <v>12484</v>
      </c>
      <c r="I32" s="160">
        <v>39</v>
      </c>
      <c r="J32" s="133">
        <f t="shared" si="13"/>
        <v>2</v>
      </c>
      <c r="K32" s="132">
        <v>8490</v>
      </c>
      <c r="L32" s="132"/>
      <c r="M32" s="132"/>
      <c r="N32" s="132"/>
      <c r="O32" s="132"/>
      <c r="P32" s="134">
        <f t="shared" si="14"/>
        <v>0.02564102564102564</v>
      </c>
      <c r="Q32" s="135">
        <f t="shared" si="15"/>
        <v>0.18575003100844431</v>
      </c>
      <c r="R32" s="136">
        <f t="shared" si="16"/>
        <v>67208.60250856416</v>
      </c>
      <c r="S32" s="137">
        <f t="shared" si="17"/>
        <v>8.6164875010979696</v>
      </c>
      <c r="T32" s="137">
        <f t="shared" si="18"/>
        <v>4.9520043109758447</v>
      </c>
      <c r="U32" s="136">
        <f t="shared" si="19"/>
        <v>12484</v>
      </c>
      <c r="V32" s="137">
        <f t="shared" si="20"/>
        <v>2</v>
      </c>
      <c r="W32" s="137">
        <f t="shared" si="21"/>
        <v>2</v>
      </c>
      <c r="X32" s="138">
        <v>0.85310233682514103</v>
      </c>
      <c r="Y32" s="138">
        <v>0.85310233682514103</v>
      </c>
      <c r="Z32" s="141"/>
      <c r="AA32" s="140"/>
    </row>
    <row r="33">
      <c r="A33" s="128" t="s">
        <v>58</v>
      </c>
      <c r="B33" s="129">
        <v>46000</v>
      </c>
      <c r="C33" s="130" t="s">
        <v>52</v>
      </c>
      <c r="D33" s="131"/>
      <c r="E33" s="132"/>
      <c r="F33" s="132" t="str">
        <f t="shared" si="11"/>
        <v/>
      </c>
      <c r="G33" s="132"/>
      <c r="H33" s="132" t="str">
        <f t="shared" si="12"/>
        <v/>
      </c>
      <c r="I33" s="160">
        <v>13</v>
      </c>
      <c r="J33" s="133" t="str">
        <f t="shared" si="13"/>
        <v/>
      </c>
      <c r="K33" s="132"/>
      <c r="L33" s="132"/>
      <c r="M33" s="132"/>
      <c r="N33" s="132"/>
      <c r="O33" s="132"/>
      <c r="P33" s="134">
        <f t="shared" si="14"/>
        <v>0</v>
      </c>
      <c r="Q33" s="135">
        <f t="shared" si="15"/>
        <v>0</v>
      </c>
      <c r="R33" s="136">
        <f t="shared" si="16"/>
        <v>67208.60250856416</v>
      </c>
      <c r="S33" s="137">
        <f t="shared" si="17"/>
        <v>8.6164875010979696</v>
      </c>
      <c r="T33" s="137">
        <f t="shared" si="18"/>
        <v>4.9520043109758447</v>
      </c>
      <c r="U33" s="136">
        <f t="shared" si="19"/>
        <v>80419.54787550449</v>
      </c>
      <c r="V33" s="137">
        <f t="shared" si="20"/>
        <v>10.50127943065427</v>
      </c>
      <c r="W33" s="137">
        <f t="shared" si="21"/>
        <v>10.50127943065427</v>
      </c>
      <c r="X33" s="138">
        <v>0.85310233682514103</v>
      </c>
      <c r="Y33" s="138">
        <v>0.85310233682514103</v>
      </c>
      <c r="Z33" s="141"/>
      <c r="AA33" s="140"/>
    </row>
    <row r="34">
      <c r="A34" s="128" t="s">
        <v>58</v>
      </c>
      <c r="B34" s="129">
        <v>46001</v>
      </c>
      <c r="C34" s="130" t="s">
        <v>53</v>
      </c>
      <c r="D34" s="131">
        <v>89424</v>
      </c>
      <c r="E34" s="132">
        <v>9</v>
      </c>
      <c r="F34" s="132">
        <f t="shared" si="11"/>
        <v>9936</v>
      </c>
      <c r="G34" s="132">
        <v>2</v>
      </c>
      <c r="H34" s="132">
        <f t="shared" si="12"/>
        <v>44712</v>
      </c>
      <c r="I34" s="132">
        <v>22</v>
      </c>
      <c r="J34" s="133">
        <f t="shared" si="13"/>
        <v>4.5</v>
      </c>
      <c r="K34" s="132">
        <v>52470</v>
      </c>
      <c r="L34" s="132"/>
      <c r="M34" s="132"/>
      <c r="N34" s="132"/>
      <c r="O34" s="132"/>
      <c r="P34" s="134">
        <f t="shared" si="14"/>
        <v>0.090909090909090912</v>
      </c>
      <c r="Q34" s="135">
        <f t="shared" si="15"/>
        <v>2.4829437638969591</v>
      </c>
      <c r="R34" s="136">
        <f t="shared" si="16"/>
        <v>36015.314281484083</v>
      </c>
      <c r="S34" s="137">
        <f t="shared" si="17"/>
        <v>4.6173479848056509</v>
      </c>
      <c r="T34" s="137">
        <f t="shared" si="18"/>
        <v>2.6536482671296846</v>
      </c>
      <c r="U34" s="136">
        <f t="shared" si="19"/>
        <v>89424</v>
      </c>
      <c r="V34" s="137">
        <f t="shared" si="20"/>
        <v>9</v>
      </c>
      <c r="W34" s="137">
        <f t="shared" si="21"/>
        <v>9</v>
      </c>
      <c r="X34" s="138">
        <v>0.65000000000000002</v>
      </c>
      <c r="Y34" s="138">
        <v>0.59999999999999998</v>
      </c>
      <c r="Z34" s="141"/>
      <c r="AA34" s="140"/>
    </row>
    <row r="35">
      <c r="A35" s="128" t="s">
        <v>59</v>
      </c>
      <c r="B35" s="129">
        <v>46002</v>
      </c>
      <c r="C35" s="130" t="s">
        <v>54</v>
      </c>
      <c r="D35" s="131">
        <v>7984</v>
      </c>
      <c r="E35" s="132">
        <v>2</v>
      </c>
      <c r="F35" s="132">
        <f t="shared" si="11"/>
        <v>3992</v>
      </c>
      <c r="G35" s="132">
        <v>1</v>
      </c>
      <c r="H35" s="132">
        <f t="shared" si="12"/>
        <v>7984</v>
      </c>
      <c r="I35" s="132">
        <v>30</v>
      </c>
      <c r="J35" s="133">
        <f t="shared" si="13"/>
        <v>2</v>
      </c>
      <c r="K35" s="132"/>
      <c r="L35" s="132"/>
      <c r="M35" s="132"/>
      <c r="N35" s="132"/>
      <c r="O35" s="132"/>
      <c r="P35" s="134">
        <f t="shared" si="14"/>
        <v>0.033333333333333333</v>
      </c>
      <c r="Q35" s="135">
        <f t="shared" si="15"/>
        <v>0.16467915237992564</v>
      </c>
      <c r="R35" s="136">
        <f t="shared" si="16"/>
        <v>48482.153840459338</v>
      </c>
      <c r="S35" s="137">
        <f t="shared" si="17"/>
        <v>6.2156607487768385</v>
      </c>
      <c r="T35" s="137">
        <f t="shared" si="18"/>
        <v>3.5722188211361141</v>
      </c>
      <c r="U35" s="136">
        <f t="shared" si="19"/>
        <v>7984</v>
      </c>
      <c r="V35" s="137">
        <f t="shared" si="20"/>
        <v>2</v>
      </c>
      <c r="W35" s="137">
        <f t="shared" si="21"/>
        <v>2</v>
      </c>
      <c r="X35" s="138">
        <v>0.75</v>
      </c>
      <c r="Y35" s="138">
        <v>0.69999999999999996</v>
      </c>
      <c r="Z35" s="141"/>
      <c r="AA35" s="140"/>
    </row>
    <row r="36" s="159" customFormat="1">
      <c r="A36" s="145" t="s">
        <v>59</v>
      </c>
      <c r="B36" s="146">
        <v>46003</v>
      </c>
      <c r="C36" s="147" t="s">
        <v>55</v>
      </c>
      <c r="D36" s="148">
        <v>58874</v>
      </c>
      <c r="E36" s="161">
        <v>7</v>
      </c>
      <c r="F36" s="149">
        <f t="shared" si="11"/>
        <v>8410.5714285714294</v>
      </c>
      <c r="G36" s="149">
        <v>5</v>
      </c>
      <c r="H36" s="149">
        <f t="shared" si="12"/>
        <v>11774.799999999999</v>
      </c>
      <c r="I36" s="149">
        <v>39</v>
      </c>
      <c r="J36" s="150">
        <f t="shared" si="13"/>
        <v>1.3999999999999999</v>
      </c>
      <c r="K36" s="149"/>
      <c r="L36" s="149"/>
      <c r="M36" s="149"/>
      <c r="N36" s="149">
        <v>22384</v>
      </c>
      <c r="O36" s="149">
        <v>23381</v>
      </c>
      <c r="P36" s="151">
        <f t="shared" si="14"/>
        <v>0.12820512820512819</v>
      </c>
      <c r="Q36" s="152">
        <f t="shared" si="15"/>
        <v>0.88239510492234718</v>
      </c>
      <c r="R36" s="153">
        <f t="shared" si="16"/>
        <v>66720.678380441663</v>
      </c>
      <c r="S36" s="154">
        <f t="shared" si="17"/>
        <v>8.5539331256976485</v>
      </c>
      <c r="T36" s="154">
        <f t="shared" si="18"/>
        <v>4.9160535205158897</v>
      </c>
      <c r="U36" s="153">
        <f t="shared" si="19"/>
        <v>58874</v>
      </c>
      <c r="V36" s="154">
        <f t="shared" si="20"/>
        <v>7</v>
      </c>
      <c r="W36" s="154">
        <f t="shared" si="21"/>
        <v>7</v>
      </c>
      <c r="X36" s="162">
        <v>0.84999999999999998</v>
      </c>
      <c r="Y36" s="162">
        <v>0.84999999999999998</v>
      </c>
      <c r="Z36" s="156"/>
      <c r="AA36" s="157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58"/>
      <c r="EC36" s="158"/>
      <c r="ED36" s="158"/>
      <c r="EE36" s="158"/>
      <c r="EF36" s="158"/>
      <c r="EG36" s="158"/>
      <c r="EH36" s="158"/>
      <c r="EI36" s="158"/>
      <c r="EJ36" s="158"/>
      <c r="EK36" s="158"/>
      <c r="EL36" s="158"/>
      <c r="EM36" s="158"/>
      <c r="EN36" s="158"/>
      <c r="EO36" s="158"/>
      <c r="EP36" s="158"/>
      <c r="EQ36" s="158"/>
      <c r="ER36" s="158"/>
      <c r="ES36" s="158"/>
      <c r="ET36" s="158"/>
      <c r="EU36" s="158"/>
      <c r="EV36" s="158"/>
      <c r="EW36" s="158"/>
      <c r="EX36" s="158"/>
      <c r="EY36" s="158"/>
      <c r="EZ36" s="158"/>
      <c r="FA36" s="158"/>
      <c r="FB36" s="158"/>
      <c r="FC36" s="158"/>
      <c r="FD36" s="158"/>
      <c r="FE36" s="158"/>
      <c r="FF36" s="158"/>
      <c r="FG36" s="158"/>
      <c r="FH36" s="158"/>
      <c r="FI36" s="158"/>
      <c r="FJ36" s="158"/>
      <c r="FK36" s="158"/>
      <c r="FL36" s="158"/>
      <c r="FM36" s="158"/>
      <c r="FN36" s="158"/>
      <c r="FO36" s="158"/>
      <c r="FP36" s="158"/>
      <c r="FQ36" s="158"/>
      <c r="FR36" s="158"/>
      <c r="FS36" s="158"/>
      <c r="FT36" s="158"/>
      <c r="FU36" s="158"/>
      <c r="FV36" s="158"/>
      <c r="FW36" s="158"/>
      <c r="FX36" s="158"/>
      <c r="FY36" s="158"/>
      <c r="FZ36" s="158"/>
      <c r="GA36" s="158"/>
      <c r="GB36" s="158"/>
      <c r="GC36" s="158"/>
      <c r="GD36" s="158"/>
      <c r="GE36" s="158"/>
      <c r="GF36" s="158"/>
      <c r="GG36" s="158"/>
      <c r="GH36" s="158"/>
      <c r="GI36" s="158"/>
      <c r="GJ36" s="158"/>
      <c r="GK36" s="158"/>
      <c r="GL36" s="158"/>
      <c r="GM36" s="158"/>
      <c r="GN36" s="158"/>
      <c r="GO36" s="158"/>
      <c r="GP36" s="158"/>
      <c r="GQ36" s="158"/>
      <c r="GR36" s="158"/>
      <c r="GS36" s="158"/>
      <c r="GT36" s="158"/>
      <c r="GU36" s="158"/>
      <c r="GV36" s="158"/>
      <c r="GW36" s="158"/>
      <c r="GX36" s="158"/>
      <c r="GY36" s="158"/>
      <c r="GZ36" s="158"/>
      <c r="HA36" s="158"/>
      <c r="HB36" s="158"/>
      <c r="HC36" s="158"/>
      <c r="HD36" s="158"/>
      <c r="HE36" s="158"/>
      <c r="HF36" s="158"/>
      <c r="HG36" s="158"/>
      <c r="HH36" s="158"/>
      <c r="HI36" s="158"/>
      <c r="HJ36" s="158"/>
      <c r="HK36" s="158"/>
      <c r="HL36" s="158"/>
      <c r="HM36" s="158"/>
      <c r="HN36" s="158"/>
      <c r="HO36" s="158"/>
      <c r="HP36" s="158"/>
      <c r="HQ36" s="158"/>
      <c r="HR36" s="158"/>
      <c r="HS36" s="158"/>
      <c r="HT36" s="158"/>
      <c r="HU36" s="158"/>
      <c r="HV36" s="158"/>
      <c r="HW36" s="158"/>
      <c r="HX36" s="158"/>
      <c r="HY36" s="158"/>
      <c r="HZ36" s="158"/>
      <c r="IA36" s="158"/>
      <c r="IB36" s="158"/>
      <c r="IC36" s="158"/>
      <c r="ID36" s="158"/>
      <c r="IE36" s="158"/>
      <c r="IF36" s="158"/>
      <c r="IG36" s="158"/>
      <c r="IH36" s="158"/>
      <c r="II36" s="158"/>
      <c r="IJ36" s="158"/>
      <c r="IK36" s="158"/>
      <c r="IL36" s="158"/>
      <c r="IM36" s="158"/>
      <c r="IN36" s="158"/>
      <c r="IO36" s="158"/>
      <c r="IP36" s="158"/>
      <c r="IQ36" s="158"/>
      <c r="IR36" s="158"/>
      <c r="IS36" s="158"/>
      <c r="IT36" s="158"/>
      <c r="IU36" s="158"/>
      <c r="IV36" s="158"/>
      <c r="IW36" s="158"/>
    </row>
    <row r="37" s="159" customFormat="1" ht="15.25" customHeight="1">
      <c r="A37" s="145" t="s">
        <v>58</v>
      </c>
      <c r="B37" s="146">
        <v>46004</v>
      </c>
      <c r="C37" s="147" t="s">
        <v>56</v>
      </c>
      <c r="D37" s="148">
        <v>12384</v>
      </c>
      <c r="E37" s="149">
        <v>2</v>
      </c>
      <c r="F37" s="149">
        <f t="shared" si="11"/>
        <v>6192</v>
      </c>
      <c r="G37" s="149">
        <v>1</v>
      </c>
      <c r="H37" s="149">
        <f t="shared" si="12"/>
        <v>12384</v>
      </c>
      <c r="I37" s="149">
        <v>40</v>
      </c>
      <c r="J37" s="150">
        <f t="shared" si="13"/>
        <v>2</v>
      </c>
      <c r="K37" s="149"/>
      <c r="L37" s="149"/>
      <c r="M37" s="149"/>
      <c r="N37" s="149"/>
      <c r="O37" s="149"/>
      <c r="P37" s="151">
        <f t="shared" si="14"/>
        <v>0.025000000000000001</v>
      </c>
      <c r="Q37" s="152">
        <f t="shared" si="15"/>
        <v>0.14859052969003445</v>
      </c>
      <c r="R37" s="153">
        <f t="shared" si="16"/>
        <v>83343.131125742002</v>
      </c>
      <c r="S37" s="154">
        <f t="shared" si="17"/>
        <v>10.685016810992563</v>
      </c>
      <c r="T37" s="154">
        <f t="shared" si="18"/>
        <v>6.1408142591911279</v>
      </c>
      <c r="U37" s="153">
        <f t="shared" si="19"/>
        <v>12384</v>
      </c>
      <c r="V37" s="154">
        <f t="shared" si="20"/>
        <v>2</v>
      </c>
      <c r="W37" s="154">
        <f t="shared" si="21"/>
        <v>2</v>
      </c>
      <c r="X37" s="162">
        <v>0.94999999999999996</v>
      </c>
      <c r="Y37" s="162">
        <v>0.94999999999999996</v>
      </c>
      <c r="Z37" s="156"/>
      <c r="AA37" s="157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58"/>
      <c r="EC37" s="158"/>
      <c r="ED37" s="158"/>
      <c r="EE37" s="158"/>
      <c r="EF37" s="158"/>
      <c r="EG37" s="158"/>
      <c r="EH37" s="158"/>
      <c r="EI37" s="158"/>
      <c r="EJ37" s="158"/>
      <c r="EK37" s="158"/>
      <c r="EL37" s="158"/>
      <c r="EM37" s="158"/>
      <c r="EN37" s="158"/>
      <c r="EO37" s="158"/>
      <c r="EP37" s="158"/>
      <c r="EQ37" s="158"/>
      <c r="ER37" s="158"/>
      <c r="ES37" s="158"/>
      <c r="ET37" s="158"/>
      <c r="EU37" s="158"/>
      <c r="EV37" s="158"/>
      <c r="EW37" s="158"/>
      <c r="EX37" s="158"/>
      <c r="EY37" s="158"/>
      <c r="EZ37" s="158"/>
      <c r="FA37" s="158"/>
      <c r="FB37" s="158"/>
      <c r="FC37" s="158"/>
      <c r="FD37" s="158"/>
      <c r="FE37" s="158"/>
      <c r="FF37" s="158"/>
      <c r="FG37" s="158"/>
      <c r="FH37" s="158"/>
      <c r="FI37" s="158"/>
      <c r="FJ37" s="158"/>
      <c r="FK37" s="158"/>
      <c r="FL37" s="158"/>
      <c r="FM37" s="158"/>
      <c r="FN37" s="158"/>
      <c r="FO37" s="158"/>
      <c r="FP37" s="158"/>
      <c r="FQ37" s="158"/>
      <c r="FR37" s="158"/>
      <c r="FS37" s="158"/>
      <c r="FT37" s="158"/>
      <c r="FU37" s="158"/>
      <c r="FV37" s="158"/>
      <c r="FW37" s="158"/>
      <c r="FX37" s="158"/>
      <c r="FY37" s="158"/>
      <c r="FZ37" s="158"/>
      <c r="GA37" s="158"/>
      <c r="GB37" s="158"/>
      <c r="GC37" s="158"/>
      <c r="GD37" s="158"/>
      <c r="GE37" s="158"/>
      <c r="GF37" s="158"/>
      <c r="GG37" s="158"/>
      <c r="GH37" s="158"/>
      <c r="GI37" s="158"/>
      <c r="GJ37" s="158"/>
      <c r="GK37" s="158"/>
      <c r="GL37" s="158"/>
      <c r="GM37" s="158"/>
      <c r="GN37" s="158"/>
      <c r="GO37" s="158"/>
      <c r="GP37" s="158"/>
      <c r="GQ37" s="158"/>
      <c r="GR37" s="158"/>
      <c r="GS37" s="158"/>
      <c r="GT37" s="158"/>
      <c r="GU37" s="158"/>
      <c r="GV37" s="158"/>
      <c r="GW37" s="158"/>
      <c r="GX37" s="158"/>
      <c r="GY37" s="158"/>
      <c r="GZ37" s="158"/>
      <c r="HA37" s="158"/>
      <c r="HB37" s="158"/>
      <c r="HC37" s="158"/>
      <c r="HD37" s="158"/>
      <c r="HE37" s="158"/>
      <c r="HF37" s="158"/>
      <c r="HG37" s="158"/>
      <c r="HH37" s="158"/>
      <c r="HI37" s="158"/>
      <c r="HJ37" s="158"/>
      <c r="HK37" s="158"/>
      <c r="HL37" s="158"/>
      <c r="HM37" s="158"/>
      <c r="HN37" s="158"/>
      <c r="HO37" s="158"/>
      <c r="HP37" s="158"/>
      <c r="HQ37" s="158"/>
      <c r="HR37" s="158"/>
      <c r="HS37" s="158"/>
      <c r="HT37" s="158"/>
      <c r="HU37" s="158"/>
      <c r="HV37" s="158"/>
      <c r="HW37" s="158"/>
      <c r="HX37" s="158"/>
      <c r="HY37" s="158"/>
      <c r="HZ37" s="158"/>
      <c r="IA37" s="158"/>
      <c r="IB37" s="158"/>
      <c r="IC37" s="158"/>
      <c r="ID37" s="158"/>
      <c r="IE37" s="158"/>
      <c r="IF37" s="158"/>
      <c r="IG37" s="158"/>
      <c r="IH37" s="158"/>
      <c r="II37" s="158"/>
      <c r="IJ37" s="158"/>
      <c r="IK37" s="158"/>
      <c r="IL37" s="158"/>
      <c r="IM37" s="158"/>
      <c r="IN37" s="158"/>
      <c r="IO37" s="158"/>
      <c r="IP37" s="158"/>
      <c r="IQ37" s="158"/>
      <c r="IR37" s="158"/>
      <c r="IS37" s="158"/>
      <c r="IT37" s="158"/>
      <c r="IU37" s="158"/>
      <c r="IV37" s="158"/>
      <c r="IW37" s="158"/>
    </row>
    <row r="38" s="159" customFormat="1">
      <c r="A38" s="145" t="s">
        <v>58</v>
      </c>
      <c r="B38" s="146">
        <v>46005</v>
      </c>
      <c r="C38" s="147" t="s">
        <v>57</v>
      </c>
      <c r="D38" s="148">
        <v>58143</v>
      </c>
      <c r="E38" s="149">
        <v>7</v>
      </c>
      <c r="F38" s="149">
        <f t="shared" si="11"/>
        <v>8306.1428571428569</v>
      </c>
      <c r="G38" s="149">
        <v>3</v>
      </c>
      <c r="H38" s="149">
        <f t="shared" si="12"/>
        <v>19381</v>
      </c>
      <c r="I38" s="149">
        <v>49</v>
      </c>
      <c r="J38" s="150">
        <f t="shared" si="13"/>
        <v>2.3333333333333335</v>
      </c>
      <c r="K38" s="149"/>
      <c r="L38" s="149"/>
      <c r="M38" s="149"/>
      <c r="N38" s="149"/>
      <c r="O38" s="149">
        <v>34170</v>
      </c>
      <c r="P38" s="151">
        <f t="shared" si="14"/>
        <v>0.061224489795918366</v>
      </c>
      <c r="Q38" s="152">
        <f t="shared" si="15"/>
        <v>0.69763397672542571</v>
      </c>
      <c r="R38" s="153">
        <f t="shared" si="16"/>
        <v>83343.131125742002</v>
      </c>
      <c r="S38" s="154">
        <f t="shared" si="17"/>
        <v>10.685016810992563</v>
      </c>
      <c r="T38" s="154">
        <f t="shared" si="18"/>
        <v>6.1408142591911279</v>
      </c>
      <c r="U38" s="153">
        <f t="shared" si="19"/>
        <v>58143</v>
      </c>
      <c r="V38" s="154">
        <f t="shared" si="20"/>
        <v>7</v>
      </c>
      <c r="W38" s="154">
        <f t="shared" si="21"/>
        <v>7</v>
      </c>
      <c r="X38" s="162">
        <v>0.94999999999999996</v>
      </c>
      <c r="Y38" s="162">
        <v>0.94999999999999996</v>
      </c>
      <c r="Z38" s="156"/>
      <c r="AA38" s="157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58"/>
      <c r="EC38" s="158"/>
      <c r="ED38" s="158"/>
      <c r="EE38" s="158"/>
      <c r="EF38" s="158"/>
      <c r="EG38" s="158"/>
      <c r="EH38" s="158"/>
      <c r="EI38" s="158"/>
      <c r="EJ38" s="158"/>
      <c r="EK38" s="158"/>
      <c r="EL38" s="158"/>
      <c r="EM38" s="158"/>
      <c r="EN38" s="158"/>
      <c r="EO38" s="158"/>
      <c r="EP38" s="158"/>
      <c r="EQ38" s="158"/>
      <c r="ER38" s="158"/>
      <c r="ES38" s="158"/>
      <c r="ET38" s="158"/>
      <c r="EU38" s="158"/>
      <c r="EV38" s="158"/>
      <c r="EW38" s="158"/>
      <c r="EX38" s="158"/>
      <c r="EY38" s="158"/>
      <c r="EZ38" s="158"/>
      <c r="FA38" s="158"/>
      <c r="FB38" s="158"/>
      <c r="FC38" s="158"/>
      <c r="FD38" s="158"/>
      <c r="FE38" s="158"/>
      <c r="FF38" s="158"/>
      <c r="FG38" s="158"/>
      <c r="FH38" s="158"/>
      <c r="FI38" s="158"/>
      <c r="FJ38" s="158"/>
      <c r="FK38" s="158"/>
      <c r="FL38" s="158"/>
      <c r="FM38" s="158"/>
      <c r="FN38" s="158"/>
      <c r="FO38" s="158"/>
      <c r="FP38" s="158"/>
      <c r="FQ38" s="158"/>
      <c r="FR38" s="158"/>
      <c r="FS38" s="158"/>
      <c r="FT38" s="158"/>
      <c r="FU38" s="158"/>
      <c r="FV38" s="158"/>
      <c r="FW38" s="158"/>
      <c r="FX38" s="158"/>
      <c r="FY38" s="158"/>
      <c r="FZ38" s="158"/>
      <c r="GA38" s="158"/>
      <c r="GB38" s="158"/>
      <c r="GC38" s="158"/>
      <c r="GD38" s="158"/>
      <c r="GE38" s="158"/>
      <c r="GF38" s="158"/>
      <c r="GG38" s="158"/>
      <c r="GH38" s="158"/>
      <c r="GI38" s="158"/>
      <c r="GJ38" s="158"/>
      <c r="GK38" s="158"/>
      <c r="GL38" s="158"/>
      <c r="GM38" s="158"/>
      <c r="GN38" s="158"/>
      <c r="GO38" s="158"/>
      <c r="GP38" s="158"/>
      <c r="GQ38" s="158"/>
      <c r="GR38" s="158"/>
      <c r="GS38" s="158"/>
      <c r="GT38" s="158"/>
      <c r="GU38" s="158"/>
      <c r="GV38" s="158"/>
      <c r="GW38" s="158"/>
      <c r="GX38" s="158"/>
      <c r="GY38" s="158"/>
      <c r="GZ38" s="158"/>
      <c r="HA38" s="158"/>
      <c r="HB38" s="158"/>
      <c r="HC38" s="158"/>
      <c r="HD38" s="158"/>
      <c r="HE38" s="158"/>
      <c r="HF38" s="158"/>
      <c r="HG38" s="158"/>
      <c r="HH38" s="158"/>
      <c r="HI38" s="158"/>
      <c r="HJ38" s="158"/>
      <c r="HK38" s="158"/>
      <c r="HL38" s="158"/>
      <c r="HM38" s="158"/>
      <c r="HN38" s="158"/>
      <c r="HO38" s="158"/>
      <c r="HP38" s="158"/>
      <c r="HQ38" s="158"/>
      <c r="HR38" s="158"/>
      <c r="HS38" s="158"/>
      <c r="HT38" s="158"/>
      <c r="HU38" s="158"/>
      <c r="HV38" s="158"/>
      <c r="HW38" s="158"/>
      <c r="HX38" s="158"/>
      <c r="HY38" s="158"/>
      <c r="HZ38" s="158"/>
      <c r="IA38" s="158"/>
      <c r="IB38" s="158"/>
      <c r="IC38" s="158"/>
      <c r="ID38" s="158"/>
      <c r="IE38" s="158"/>
      <c r="IF38" s="158"/>
      <c r="IG38" s="158"/>
      <c r="IH38" s="158"/>
      <c r="II38" s="158"/>
      <c r="IJ38" s="158"/>
      <c r="IK38" s="158"/>
      <c r="IL38" s="158"/>
      <c r="IM38" s="158"/>
      <c r="IN38" s="158"/>
      <c r="IO38" s="158"/>
      <c r="IP38" s="158"/>
      <c r="IQ38" s="158"/>
      <c r="IR38" s="158"/>
      <c r="IS38" s="158"/>
      <c r="IT38" s="158"/>
      <c r="IU38" s="158"/>
      <c r="IV38" s="158"/>
      <c r="IW38" s="158"/>
    </row>
    <row r="39">
      <c r="A39" s="128" t="s">
        <v>51</v>
      </c>
      <c r="B39" s="129">
        <v>46006</v>
      </c>
      <c r="C39" s="130" t="s">
        <v>50</v>
      </c>
      <c r="D39" s="131">
        <v>16868</v>
      </c>
      <c r="E39" s="132">
        <v>3</v>
      </c>
      <c r="F39" s="132">
        <f t="shared" si="11"/>
        <v>5622.666666666667</v>
      </c>
      <c r="G39" s="132">
        <v>3</v>
      </c>
      <c r="H39" s="132">
        <f t="shared" si="12"/>
        <v>5622.666666666667</v>
      </c>
      <c r="I39" s="132">
        <v>35</v>
      </c>
      <c r="J39" s="133">
        <f t="shared" si="13"/>
        <v>1</v>
      </c>
      <c r="K39" s="132"/>
      <c r="L39" s="132"/>
      <c r="M39" s="132"/>
      <c r="N39" s="132"/>
      <c r="O39" s="132"/>
      <c r="P39" s="134">
        <f t="shared" si="14"/>
        <v>0.085714285714285715</v>
      </c>
      <c r="Q39" s="135">
        <f t="shared" si="15"/>
        <v>0.43232890921811296</v>
      </c>
      <c r="R39" s="136">
        <f t="shared" si="16"/>
        <v>39016.590471607757</v>
      </c>
      <c r="S39" s="137">
        <f t="shared" si="17"/>
        <v>5.0021269835394557</v>
      </c>
      <c r="T39" s="137">
        <f t="shared" si="18"/>
        <v>2.8747856227238251</v>
      </c>
      <c r="U39" s="136">
        <f t="shared" si="19"/>
        <v>16868</v>
      </c>
      <c r="V39" s="137">
        <f t="shared" si="20"/>
        <v>3</v>
      </c>
      <c r="W39" s="137">
        <f t="shared" si="21"/>
        <v>3</v>
      </c>
      <c r="X39" s="138">
        <v>0.65000000000000002</v>
      </c>
      <c r="Y39" s="138">
        <v>0.65000000000000002</v>
      </c>
      <c r="Z39" s="141"/>
      <c r="AA39" s="140"/>
    </row>
    <row r="40">
      <c r="A40" s="128" t="s">
        <v>59</v>
      </c>
      <c r="B40" s="129">
        <v>46007</v>
      </c>
      <c r="C40" s="130" t="s">
        <v>52</v>
      </c>
      <c r="D40" s="131">
        <v>4493</v>
      </c>
      <c r="E40" s="132">
        <v>1</v>
      </c>
      <c r="F40" s="132">
        <f t="shared" si="11"/>
        <v>4493</v>
      </c>
      <c r="G40" s="132">
        <v>1</v>
      </c>
      <c r="H40" s="132">
        <f t="shared" si="12"/>
        <v>4493</v>
      </c>
      <c r="I40" s="132">
        <v>30</v>
      </c>
      <c r="J40" s="133">
        <f t="shared" si="13"/>
        <v>1</v>
      </c>
      <c r="K40" s="132"/>
      <c r="L40" s="132"/>
      <c r="M40" s="132"/>
      <c r="N40" s="132"/>
      <c r="O40" s="132"/>
      <c r="P40" s="134">
        <f t="shared" si="14"/>
        <v>0.033333333333333333</v>
      </c>
      <c r="Q40" s="135">
        <f t="shared" si="15"/>
        <v>0.086495057139295936</v>
      </c>
      <c r="R40" s="136">
        <f t="shared" si="16"/>
        <v>51945.164829063579</v>
      </c>
      <c r="S40" s="137">
        <f t="shared" si="17"/>
        <v>6.6596365165466134</v>
      </c>
      <c r="T40" s="137">
        <f t="shared" si="18"/>
        <v>3.8273773083601226</v>
      </c>
      <c r="U40" s="136">
        <f t="shared" si="19"/>
        <v>4493</v>
      </c>
      <c r="V40" s="137">
        <f t="shared" si="20"/>
        <v>1</v>
      </c>
      <c r="W40" s="137">
        <f t="shared" si="21"/>
        <v>1</v>
      </c>
      <c r="X40" s="138">
        <v>0.75</v>
      </c>
      <c r="Y40" s="138">
        <v>0.75</v>
      </c>
      <c r="Z40" s="141"/>
      <c r="AA40" s="140"/>
    </row>
    <row r="41">
      <c r="A41" s="128" t="s">
        <v>60</v>
      </c>
      <c r="B41" s="129">
        <v>46008</v>
      </c>
      <c r="C41" s="130" t="s">
        <v>53</v>
      </c>
      <c r="D41" s="131">
        <v>42550</v>
      </c>
      <c r="E41" s="132">
        <v>6</v>
      </c>
      <c r="F41" s="132">
        <f t="shared" si="11"/>
        <v>7091.666666666667</v>
      </c>
      <c r="G41" s="132">
        <v>2</v>
      </c>
      <c r="H41" s="132">
        <f t="shared" si="12"/>
        <v>21275</v>
      </c>
      <c r="I41" s="132">
        <v>33</v>
      </c>
      <c r="J41" s="133">
        <f t="shared" si="13"/>
        <v>3</v>
      </c>
      <c r="K41" s="132"/>
      <c r="L41" s="132"/>
      <c r="M41" s="132"/>
      <c r="N41" s="132"/>
      <c r="O41" s="132">
        <v>14193</v>
      </c>
      <c r="P41" s="134">
        <f t="shared" si="14"/>
        <v>0.060606060606060608</v>
      </c>
      <c r="Q41" s="135">
        <f t="shared" si="15"/>
        <v>0.63773332395362758</v>
      </c>
      <c r="R41" s="136">
        <f t="shared" si="16"/>
        <v>66720.678380441663</v>
      </c>
      <c r="S41" s="137">
        <f t="shared" si="17"/>
        <v>8.5539331256976485</v>
      </c>
      <c r="T41" s="137">
        <f t="shared" si="18"/>
        <v>4.9160535205158897</v>
      </c>
      <c r="U41" s="136">
        <f t="shared" si="19"/>
        <v>42550</v>
      </c>
      <c r="V41" s="137">
        <f t="shared" si="20"/>
        <v>6</v>
      </c>
      <c r="W41" s="137">
        <f t="shared" si="21"/>
        <v>6</v>
      </c>
      <c r="X41" s="138">
        <v>0.84999999999999998</v>
      </c>
      <c r="Y41" s="138">
        <v>0.84999999999999998</v>
      </c>
      <c r="Z41" s="141"/>
      <c r="AA41" s="140"/>
    </row>
    <row r="42" s="159" customFormat="1">
      <c r="A42" s="145" t="s">
        <v>58</v>
      </c>
      <c r="B42" s="146">
        <v>46009</v>
      </c>
      <c r="C42" s="147" t="s">
        <v>54</v>
      </c>
      <c r="D42" s="148"/>
      <c r="E42" s="149"/>
      <c r="F42" s="149" t="str">
        <f t="shared" si="11"/>
        <v/>
      </c>
      <c r="G42" s="149"/>
      <c r="H42" s="149" t="str">
        <f t="shared" si="12"/>
        <v/>
      </c>
      <c r="I42" s="149">
        <v>51</v>
      </c>
      <c r="J42" s="150" t="str">
        <f t="shared" si="13"/>
        <v/>
      </c>
      <c r="K42" s="149"/>
      <c r="L42" s="149"/>
      <c r="M42" s="149"/>
      <c r="N42" s="149"/>
      <c r="O42" s="149"/>
      <c r="P42" s="151">
        <f t="shared" si="14"/>
        <v>0</v>
      </c>
      <c r="Q42" s="152">
        <f t="shared" si="15"/>
        <v>0</v>
      </c>
      <c r="R42" s="153">
        <f t="shared" si="16"/>
        <v>74801.037353851556</v>
      </c>
      <c r="S42" s="154">
        <f t="shared" si="17"/>
        <v>9.5898765838271203</v>
      </c>
      <c r="T42" s="154">
        <f t="shared" si="18"/>
        <v>5.5114233240385753</v>
      </c>
      <c r="U42" s="153">
        <f t="shared" si="19"/>
        <v>103756.26145517331</v>
      </c>
      <c r="V42" s="154">
        <f t="shared" si="20"/>
        <v>13.597899093626426</v>
      </c>
      <c r="W42" s="154">
        <f t="shared" si="21"/>
        <v>13.597899093626426</v>
      </c>
      <c r="X42" s="162">
        <v>0.90000000000000002</v>
      </c>
      <c r="Y42" s="162">
        <v>0.90000000000000002</v>
      </c>
      <c r="Z42" s="156"/>
      <c r="AA42" s="157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  <c r="DA42" s="158"/>
      <c r="DB42" s="158"/>
      <c r="DC42" s="158"/>
      <c r="DD42" s="158"/>
      <c r="DE42" s="158"/>
      <c r="DF42" s="158"/>
      <c r="DG42" s="158"/>
      <c r="DH42" s="158"/>
      <c r="DI42" s="158"/>
      <c r="DJ42" s="158"/>
      <c r="DK42" s="158"/>
      <c r="DL42" s="158"/>
      <c r="DM42" s="158"/>
      <c r="DN42" s="158"/>
      <c r="DO42" s="158"/>
      <c r="DP42" s="158"/>
      <c r="DQ42" s="158"/>
      <c r="DR42" s="158"/>
      <c r="DS42" s="158"/>
      <c r="DT42" s="158"/>
      <c r="DU42" s="158"/>
      <c r="DV42" s="158"/>
      <c r="DW42" s="158"/>
      <c r="DX42" s="158"/>
      <c r="DY42" s="158"/>
      <c r="DZ42" s="158"/>
      <c r="EA42" s="158"/>
      <c r="EB42" s="158"/>
      <c r="EC42" s="158"/>
      <c r="ED42" s="158"/>
      <c r="EE42" s="158"/>
      <c r="EF42" s="158"/>
      <c r="EG42" s="158"/>
      <c r="EH42" s="158"/>
      <c r="EI42" s="158"/>
      <c r="EJ42" s="158"/>
      <c r="EK42" s="158"/>
      <c r="EL42" s="158"/>
      <c r="EM42" s="158"/>
      <c r="EN42" s="158"/>
      <c r="EO42" s="158"/>
      <c r="EP42" s="158"/>
      <c r="EQ42" s="158"/>
      <c r="ER42" s="158"/>
      <c r="ES42" s="158"/>
      <c r="ET42" s="158"/>
      <c r="EU42" s="158"/>
      <c r="EV42" s="158"/>
      <c r="EW42" s="158"/>
      <c r="EX42" s="158"/>
      <c r="EY42" s="158"/>
      <c r="EZ42" s="158"/>
      <c r="FA42" s="158"/>
      <c r="FB42" s="158"/>
      <c r="FC42" s="158"/>
      <c r="FD42" s="158"/>
      <c r="FE42" s="158"/>
      <c r="FF42" s="158"/>
      <c r="FG42" s="158"/>
      <c r="FH42" s="158"/>
      <c r="FI42" s="158"/>
      <c r="FJ42" s="158"/>
      <c r="FK42" s="158"/>
      <c r="FL42" s="158"/>
      <c r="FM42" s="158"/>
      <c r="FN42" s="158"/>
      <c r="FO42" s="158"/>
      <c r="FP42" s="158"/>
      <c r="FQ42" s="158"/>
      <c r="FR42" s="158"/>
      <c r="FS42" s="158"/>
      <c r="FT42" s="158"/>
      <c r="FU42" s="158"/>
      <c r="FV42" s="158"/>
      <c r="FW42" s="158"/>
      <c r="FX42" s="158"/>
      <c r="FY42" s="158"/>
      <c r="FZ42" s="158"/>
      <c r="GA42" s="158"/>
      <c r="GB42" s="158"/>
      <c r="GC42" s="158"/>
      <c r="GD42" s="158"/>
      <c r="GE42" s="158"/>
      <c r="GF42" s="158"/>
      <c r="GG42" s="158"/>
      <c r="GH42" s="158"/>
      <c r="GI42" s="158"/>
      <c r="GJ42" s="158"/>
      <c r="GK42" s="158"/>
      <c r="GL42" s="158"/>
      <c r="GM42" s="158"/>
      <c r="GN42" s="158"/>
      <c r="GO42" s="158"/>
      <c r="GP42" s="158"/>
      <c r="GQ42" s="158"/>
      <c r="GR42" s="158"/>
      <c r="GS42" s="158"/>
      <c r="GT42" s="158"/>
      <c r="GU42" s="158"/>
      <c r="GV42" s="158"/>
      <c r="GW42" s="158"/>
      <c r="GX42" s="158"/>
      <c r="GY42" s="158"/>
      <c r="GZ42" s="158"/>
      <c r="HA42" s="158"/>
      <c r="HB42" s="158"/>
      <c r="HC42" s="158"/>
      <c r="HD42" s="158"/>
      <c r="HE42" s="158"/>
      <c r="HF42" s="158"/>
      <c r="HG42" s="158"/>
      <c r="HH42" s="158"/>
      <c r="HI42" s="158"/>
      <c r="HJ42" s="158"/>
      <c r="HK42" s="158"/>
      <c r="HL42" s="158"/>
      <c r="HM42" s="158"/>
      <c r="HN42" s="158"/>
      <c r="HO42" s="158"/>
      <c r="HP42" s="158"/>
      <c r="HQ42" s="158"/>
      <c r="HR42" s="158"/>
      <c r="HS42" s="158"/>
      <c r="HT42" s="158"/>
      <c r="HU42" s="158"/>
      <c r="HV42" s="158"/>
      <c r="HW42" s="158"/>
      <c r="HX42" s="158"/>
      <c r="HY42" s="158"/>
      <c r="HZ42" s="158"/>
      <c r="IA42" s="158"/>
      <c r="IB42" s="158"/>
      <c r="IC42" s="158"/>
      <c r="ID42" s="158"/>
      <c r="IE42" s="158"/>
      <c r="IF42" s="158"/>
      <c r="IG42" s="158"/>
      <c r="IH42" s="158"/>
      <c r="II42" s="158"/>
      <c r="IJ42" s="158"/>
      <c r="IK42" s="158"/>
      <c r="IL42" s="158"/>
      <c r="IM42" s="158"/>
      <c r="IN42" s="158"/>
      <c r="IO42" s="158"/>
      <c r="IP42" s="158"/>
      <c r="IQ42" s="158"/>
      <c r="IR42" s="158"/>
      <c r="IS42" s="158"/>
      <c r="IT42" s="158"/>
      <c r="IU42" s="158"/>
      <c r="IV42" s="158"/>
      <c r="IW42" s="158"/>
    </row>
    <row r="43" s="159" customFormat="1">
      <c r="A43" s="145" t="s">
        <v>51</v>
      </c>
      <c r="B43" s="146">
        <v>46010</v>
      </c>
      <c r="C43" s="147" t="s">
        <v>55</v>
      </c>
      <c r="D43" s="148">
        <v>35548</v>
      </c>
      <c r="E43" s="149">
        <v>5</v>
      </c>
      <c r="F43" s="149">
        <f t="shared" si="11"/>
        <v>7109.6000000000004</v>
      </c>
      <c r="G43" s="149">
        <v>1</v>
      </c>
      <c r="H43" s="149">
        <f t="shared" si="12"/>
        <v>35548</v>
      </c>
      <c r="I43" s="149">
        <v>45</v>
      </c>
      <c r="J43" s="150">
        <f t="shared" si="13"/>
        <v>5</v>
      </c>
      <c r="K43" s="149">
        <v>9390</v>
      </c>
      <c r="L43" s="149"/>
      <c r="M43" s="149"/>
      <c r="N43" s="149"/>
      <c r="O43" s="149"/>
      <c r="P43" s="151">
        <f t="shared" si="14"/>
        <v>0.022222222222222223</v>
      </c>
      <c r="Q43" s="152">
        <f t="shared" si="15"/>
        <v>0.47523405099100019</v>
      </c>
      <c r="R43" s="153">
        <f t="shared" si="16"/>
        <v>74801.037353851556</v>
      </c>
      <c r="S43" s="154">
        <f t="shared" si="17"/>
        <v>9.5898765838271203</v>
      </c>
      <c r="T43" s="154">
        <f t="shared" si="18"/>
        <v>5.5114233240385753</v>
      </c>
      <c r="U43" s="153">
        <f t="shared" si="19"/>
        <v>35548</v>
      </c>
      <c r="V43" s="154">
        <f t="shared" si="20"/>
        <v>5</v>
      </c>
      <c r="W43" s="154">
        <f t="shared" si="21"/>
        <v>5</v>
      </c>
      <c r="X43" s="162">
        <v>0.90000000000000002</v>
      </c>
      <c r="Y43" s="162">
        <v>0.90000000000000002</v>
      </c>
      <c r="Z43" s="156"/>
      <c r="AA43" s="157"/>
      <c r="AB43" s="163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  <c r="DA43" s="158"/>
      <c r="DB43" s="158"/>
      <c r="DC43" s="158"/>
      <c r="DD43" s="158"/>
      <c r="DE43" s="158"/>
      <c r="DF43" s="158"/>
      <c r="DG43" s="158"/>
      <c r="DH43" s="158"/>
      <c r="DI43" s="158"/>
      <c r="DJ43" s="158"/>
      <c r="DK43" s="158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8"/>
      <c r="DX43" s="158"/>
      <c r="DY43" s="158"/>
      <c r="DZ43" s="158"/>
      <c r="EA43" s="158"/>
      <c r="EB43" s="158"/>
      <c r="EC43" s="158"/>
      <c r="ED43" s="158"/>
      <c r="EE43" s="158"/>
      <c r="EF43" s="158"/>
      <c r="EG43" s="158"/>
      <c r="EH43" s="158"/>
      <c r="EI43" s="158"/>
      <c r="EJ43" s="158"/>
      <c r="EK43" s="158"/>
      <c r="EL43" s="158"/>
      <c r="EM43" s="158"/>
      <c r="EN43" s="158"/>
      <c r="EO43" s="158"/>
      <c r="EP43" s="158"/>
      <c r="EQ43" s="158"/>
      <c r="ER43" s="158"/>
      <c r="ES43" s="158"/>
      <c r="ET43" s="158"/>
      <c r="EU43" s="158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8"/>
      <c r="FH43" s="158"/>
      <c r="FI43" s="158"/>
      <c r="FJ43" s="158"/>
      <c r="FK43" s="158"/>
      <c r="FL43" s="158"/>
      <c r="FM43" s="158"/>
      <c r="FN43" s="158"/>
      <c r="FO43" s="158"/>
      <c r="FP43" s="158"/>
      <c r="FQ43" s="158"/>
      <c r="FR43" s="158"/>
      <c r="FS43" s="158"/>
      <c r="FT43" s="158"/>
      <c r="FU43" s="158"/>
      <c r="FV43" s="158"/>
      <c r="FW43" s="158"/>
      <c r="FX43" s="158"/>
      <c r="FY43" s="158"/>
      <c r="FZ43" s="158"/>
      <c r="GA43" s="158"/>
      <c r="GB43" s="158"/>
      <c r="GC43" s="158"/>
      <c r="GD43" s="158"/>
      <c r="GE43" s="158"/>
      <c r="GF43" s="158"/>
      <c r="GG43" s="158"/>
      <c r="GH43" s="158"/>
      <c r="GI43" s="158"/>
      <c r="GJ43" s="158"/>
      <c r="GK43" s="158"/>
      <c r="GL43" s="158"/>
      <c r="GM43" s="158"/>
      <c r="GN43" s="158"/>
      <c r="GO43" s="158"/>
      <c r="GP43" s="158"/>
      <c r="GQ43" s="158"/>
      <c r="GR43" s="158"/>
      <c r="GS43" s="158"/>
      <c r="GT43" s="158"/>
      <c r="GU43" s="158"/>
      <c r="GV43" s="158"/>
      <c r="GW43" s="158"/>
      <c r="GX43" s="158"/>
      <c r="GY43" s="158"/>
      <c r="GZ43" s="158"/>
      <c r="HA43" s="158"/>
      <c r="HB43" s="158"/>
      <c r="HC43" s="158"/>
      <c r="HD43" s="158"/>
      <c r="HE43" s="158"/>
      <c r="HF43" s="158"/>
      <c r="HG43" s="158"/>
      <c r="HH43" s="158"/>
      <c r="HI43" s="158"/>
      <c r="HJ43" s="158"/>
      <c r="HK43" s="158"/>
      <c r="HL43" s="158"/>
      <c r="HM43" s="158"/>
      <c r="HN43" s="158"/>
      <c r="HO43" s="158"/>
      <c r="HP43" s="158"/>
      <c r="HQ43" s="158"/>
      <c r="HR43" s="158"/>
      <c r="HS43" s="158"/>
      <c r="HT43" s="158"/>
      <c r="HU43" s="158"/>
      <c r="HV43" s="158"/>
      <c r="HW43" s="158"/>
      <c r="HX43" s="158"/>
      <c r="HY43" s="158"/>
      <c r="HZ43" s="158"/>
      <c r="IA43" s="158"/>
      <c r="IB43" s="158"/>
      <c r="IC43" s="158"/>
      <c r="ID43" s="158"/>
      <c r="IE43" s="158"/>
      <c r="IF43" s="158"/>
      <c r="IG43" s="158"/>
      <c r="IH43" s="158"/>
      <c r="II43" s="158"/>
      <c r="IJ43" s="158"/>
      <c r="IK43" s="158"/>
      <c r="IL43" s="158"/>
      <c r="IM43" s="158"/>
      <c r="IN43" s="158"/>
      <c r="IO43" s="158"/>
      <c r="IP43" s="158"/>
      <c r="IQ43" s="158"/>
      <c r="IR43" s="158"/>
      <c r="IS43" s="158"/>
      <c r="IT43" s="158"/>
      <c r="IU43" s="158"/>
      <c r="IV43" s="158"/>
      <c r="IW43" s="158"/>
    </row>
    <row r="44" s="159" customFormat="1">
      <c r="A44" s="145" t="s">
        <v>51</v>
      </c>
      <c r="B44" s="146">
        <v>46011</v>
      </c>
      <c r="C44" s="147" t="s">
        <v>56</v>
      </c>
      <c r="D44" s="148">
        <v>67609.699999999997</v>
      </c>
      <c r="E44" s="149">
        <v>7</v>
      </c>
      <c r="F44" s="149">
        <f t="shared" si="11"/>
        <v>9658.528571428571</v>
      </c>
      <c r="G44" s="149">
        <v>5</v>
      </c>
      <c r="H44" s="149">
        <f t="shared" si="12"/>
        <v>13521.939999999999</v>
      </c>
      <c r="I44" s="149">
        <v>41</v>
      </c>
      <c r="J44" s="150">
        <f t="shared" si="13"/>
        <v>1.3999999999999999</v>
      </c>
      <c r="K44" s="149">
        <v>14484</v>
      </c>
      <c r="L44" s="149"/>
      <c r="M44" s="149"/>
      <c r="N44" s="149">
        <v>7293</v>
      </c>
      <c r="O44" s="149">
        <v>30936</v>
      </c>
      <c r="P44" s="151">
        <f t="shared" si="14"/>
        <v>0.12195121951219512</v>
      </c>
      <c r="Q44" s="152">
        <f t="shared" si="15"/>
        <v>0.73212697226290768</v>
      </c>
      <c r="R44" s="153">
        <f t="shared" si="16"/>
        <v>92346.95969611303</v>
      </c>
      <c r="S44" s="154">
        <f t="shared" si="17"/>
        <v>11.839353807193978</v>
      </c>
      <c r="T44" s="154">
        <f t="shared" si="18"/>
        <v>6.8042263259735511</v>
      </c>
      <c r="U44" s="153">
        <f t="shared" si="19"/>
        <v>67609.699999999997</v>
      </c>
      <c r="V44" s="154">
        <f t="shared" si="20"/>
        <v>7</v>
      </c>
      <c r="W44" s="154">
        <f t="shared" si="21"/>
        <v>7</v>
      </c>
      <c r="X44" s="162">
        <v>1</v>
      </c>
      <c r="Y44" s="162">
        <v>1</v>
      </c>
      <c r="Z44" s="156"/>
      <c r="AA44" s="157"/>
      <c r="AB44" s="163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  <c r="EO44" s="158"/>
      <c r="EP44" s="158"/>
      <c r="EQ44" s="158"/>
      <c r="ER44" s="158"/>
      <c r="ES44" s="158"/>
      <c r="ET44" s="158"/>
      <c r="EU44" s="158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158"/>
      <c r="GG44" s="158"/>
      <c r="GH44" s="158"/>
      <c r="GI44" s="158"/>
      <c r="GJ44" s="158"/>
      <c r="GK44" s="158"/>
      <c r="GL44" s="158"/>
      <c r="GM44" s="158"/>
      <c r="GN44" s="158"/>
      <c r="GO44" s="158"/>
      <c r="GP44" s="158"/>
      <c r="GQ44" s="158"/>
      <c r="GR44" s="158"/>
      <c r="GS44" s="158"/>
      <c r="GT44" s="158"/>
      <c r="GU44" s="158"/>
      <c r="GV44" s="158"/>
      <c r="GW44" s="158"/>
      <c r="GX44" s="158"/>
      <c r="GY44" s="158"/>
      <c r="GZ44" s="158"/>
      <c r="HA44" s="158"/>
      <c r="HB44" s="158"/>
      <c r="HC44" s="158"/>
      <c r="HD44" s="158"/>
      <c r="HE44" s="158"/>
      <c r="HF44" s="158"/>
      <c r="HG44" s="158"/>
      <c r="HH44" s="158"/>
      <c r="HI44" s="158"/>
      <c r="HJ44" s="158"/>
      <c r="HK44" s="158"/>
      <c r="HL44" s="158"/>
      <c r="HM44" s="158"/>
      <c r="HN44" s="158"/>
      <c r="HO44" s="158"/>
      <c r="HP44" s="158"/>
      <c r="HQ44" s="158"/>
      <c r="HR44" s="158"/>
      <c r="HS44" s="158"/>
      <c r="HT44" s="158"/>
      <c r="HU44" s="158"/>
      <c r="HV44" s="158"/>
      <c r="HW44" s="158"/>
      <c r="HX44" s="158"/>
      <c r="HY44" s="158"/>
      <c r="HZ44" s="158"/>
      <c r="IA44" s="158"/>
      <c r="IB44" s="158"/>
      <c r="IC44" s="158"/>
      <c r="ID44" s="158"/>
      <c r="IE44" s="158"/>
      <c r="IF44" s="158"/>
      <c r="IG44" s="158"/>
      <c r="IH44" s="158"/>
      <c r="II44" s="158"/>
      <c r="IJ44" s="158"/>
      <c r="IK44" s="158"/>
      <c r="IL44" s="158"/>
      <c r="IM44" s="158"/>
      <c r="IN44" s="158"/>
      <c r="IO44" s="158"/>
      <c r="IP44" s="158"/>
      <c r="IQ44" s="158"/>
      <c r="IR44" s="158"/>
      <c r="IS44" s="158"/>
      <c r="IT44" s="158"/>
      <c r="IU44" s="158"/>
      <c r="IV44" s="158"/>
      <c r="IW44" s="158"/>
    </row>
    <row r="45" s="159" customFormat="1">
      <c r="A45" s="145" t="s">
        <v>51</v>
      </c>
      <c r="B45" s="146">
        <v>46012</v>
      </c>
      <c r="C45" s="147" t="s">
        <v>57</v>
      </c>
      <c r="D45" s="148">
        <v>66915</v>
      </c>
      <c r="E45" s="149">
        <v>7</v>
      </c>
      <c r="F45" s="149">
        <f t="shared" si="11"/>
        <v>9559.2857142857138</v>
      </c>
      <c r="G45" s="149">
        <v>4</v>
      </c>
      <c r="H45" s="149">
        <f t="shared" si="12"/>
        <v>16728.75</v>
      </c>
      <c r="I45" s="149">
        <v>61</v>
      </c>
      <c r="J45" s="150">
        <f t="shared" si="13"/>
        <v>1.75</v>
      </c>
      <c r="K45" s="149"/>
      <c r="L45" s="149"/>
      <c r="M45" s="149"/>
      <c r="N45" s="149"/>
      <c r="O45" s="149"/>
      <c r="P45" s="151">
        <f t="shared" si="14"/>
        <v>0.065573770491803282</v>
      </c>
      <c r="Q45" s="152">
        <f t="shared" si="15"/>
        <v>0.72460425573508636</v>
      </c>
      <c r="R45" s="153">
        <f t="shared" si="16"/>
        <v>92346.95969611303</v>
      </c>
      <c r="S45" s="154">
        <f t="shared" si="17"/>
        <v>11.839353807193978</v>
      </c>
      <c r="T45" s="154">
        <f t="shared" si="18"/>
        <v>6.8042263259735511</v>
      </c>
      <c r="U45" s="153">
        <f t="shared" si="19"/>
        <v>66915</v>
      </c>
      <c r="V45" s="154">
        <f t="shared" si="20"/>
        <v>7</v>
      </c>
      <c r="W45" s="154">
        <f t="shared" si="21"/>
        <v>7</v>
      </c>
      <c r="X45" s="162">
        <v>1</v>
      </c>
      <c r="Y45" s="162">
        <v>1</v>
      </c>
      <c r="Z45" s="156"/>
      <c r="AA45" s="157"/>
      <c r="AB45" s="163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  <c r="DJ45" s="158"/>
      <c r="DK45" s="158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8"/>
      <c r="DX45" s="158"/>
      <c r="DY45" s="158"/>
      <c r="DZ45" s="158"/>
      <c r="EA45" s="158"/>
      <c r="EB45" s="158"/>
      <c r="EC45" s="158"/>
      <c r="ED45" s="158"/>
      <c r="EE45" s="158"/>
      <c r="EF45" s="158"/>
      <c r="EG45" s="158"/>
      <c r="EH45" s="158"/>
      <c r="EI45" s="158"/>
      <c r="EJ45" s="158"/>
      <c r="EK45" s="158"/>
      <c r="EL45" s="158"/>
      <c r="EM45" s="158"/>
      <c r="EN45" s="158"/>
      <c r="EO45" s="158"/>
      <c r="EP45" s="158"/>
      <c r="EQ45" s="158"/>
      <c r="ER45" s="158"/>
      <c r="ES45" s="158"/>
      <c r="ET45" s="158"/>
      <c r="EU45" s="158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8"/>
      <c r="FH45" s="158"/>
      <c r="FI45" s="158"/>
      <c r="FJ45" s="158"/>
      <c r="FK45" s="158"/>
      <c r="FL45" s="158"/>
      <c r="FM45" s="158"/>
      <c r="FN45" s="158"/>
      <c r="FO45" s="158"/>
      <c r="FP45" s="158"/>
      <c r="FQ45" s="158"/>
      <c r="FR45" s="158"/>
      <c r="FS45" s="158"/>
      <c r="FT45" s="158"/>
      <c r="FU45" s="158"/>
      <c r="FV45" s="158"/>
      <c r="FW45" s="158"/>
      <c r="FX45" s="158"/>
      <c r="FY45" s="158"/>
      <c r="FZ45" s="158"/>
      <c r="GA45" s="158"/>
      <c r="GB45" s="158"/>
      <c r="GC45" s="158"/>
      <c r="GD45" s="158"/>
      <c r="GE45" s="158"/>
      <c r="GF45" s="158"/>
      <c r="GG45" s="158"/>
      <c r="GH45" s="158"/>
      <c r="GI45" s="158"/>
      <c r="GJ45" s="158"/>
      <c r="GK45" s="158"/>
      <c r="GL45" s="158"/>
      <c r="GM45" s="158"/>
      <c r="GN45" s="158"/>
      <c r="GO45" s="158"/>
      <c r="GP45" s="158"/>
      <c r="GQ45" s="158"/>
      <c r="GR45" s="158"/>
      <c r="GS45" s="158"/>
      <c r="GT45" s="158"/>
      <c r="GU45" s="158"/>
      <c r="GV45" s="158"/>
      <c r="GW45" s="158"/>
      <c r="GX45" s="158"/>
      <c r="GY45" s="158"/>
      <c r="GZ45" s="158"/>
      <c r="HA45" s="158"/>
      <c r="HB45" s="158"/>
      <c r="HC45" s="158"/>
      <c r="HD45" s="158"/>
      <c r="HE45" s="158"/>
      <c r="HF45" s="158"/>
      <c r="HG45" s="158"/>
      <c r="HH45" s="158"/>
      <c r="HI45" s="158"/>
      <c r="HJ45" s="158"/>
      <c r="HK45" s="158"/>
      <c r="HL45" s="158"/>
      <c r="HM45" s="158"/>
      <c r="HN45" s="158"/>
      <c r="HO45" s="158"/>
      <c r="HP45" s="158"/>
      <c r="HQ45" s="158"/>
      <c r="HR45" s="158"/>
      <c r="HS45" s="158"/>
      <c r="HT45" s="158"/>
      <c r="HU45" s="158"/>
      <c r="HV45" s="158"/>
      <c r="HW45" s="158"/>
      <c r="HX45" s="158"/>
      <c r="HY45" s="158"/>
      <c r="HZ45" s="158"/>
      <c r="IA45" s="158"/>
      <c r="IB45" s="158"/>
      <c r="IC45" s="158"/>
      <c r="ID45" s="158"/>
      <c r="IE45" s="158"/>
      <c r="IF45" s="158"/>
      <c r="IG45" s="158"/>
      <c r="IH45" s="158"/>
      <c r="II45" s="158"/>
      <c r="IJ45" s="158"/>
      <c r="IK45" s="158"/>
      <c r="IL45" s="158"/>
      <c r="IM45" s="158"/>
      <c r="IN45" s="158"/>
      <c r="IO45" s="158"/>
      <c r="IP45" s="158"/>
      <c r="IQ45" s="158"/>
      <c r="IR45" s="158"/>
      <c r="IS45" s="158"/>
      <c r="IT45" s="158"/>
      <c r="IU45" s="158"/>
      <c r="IV45" s="158"/>
      <c r="IW45" s="158"/>
    </row>
    <row r="46" s="159" customFormat="1">
      <c r="A46" s="145" t="s">
        <v>49</v>
      </c>
      <c r="B46" s="146">
        <v>46013</v>
      </c>
      <c r="C46" s="147" t="s">
        <v>50</v>
      </c>
      <c r="D46" s="148">
        <v>16375</v>
      </c>
      <c r="E46" s="149">
        <v>3</v>
      </c>
      <c r="F46" s="149">
        <f t="shared" si="11"/>
        <v>5458.333333333333</v>
      </c>
      <c r="G46" s="149">
        <v>1</v>
      </c>
      <c r="H46" s="149">
        <f t="shared" si="12"/>
        <v>16375</v>
      </c>
      <c r="I46" s="149">
        <v>30</v>
      </c>
      <c r="J46" s="150">
        <f t="shared" si="13"/>
        <v>3</v>
      </c>
      <c r="K46" s="149"/>
      <c r="L46" s="149"/>
      <c r="M46" s="149"/>
      <c r="N46" s="149"/>
      <c r="O46" s="149"/>
      <c r="P46" s="151">
        <f t="shared" si="14"/>
        <v>0.033333333333333333</v>
      </c>
      <c r="Q46" s="152">
        <f t="shared" si="15"/>
        <v>0.17732040181815795</v>
      </c>
      <c r="R46" s="153">
        <f t="shared" si="16"/>
        <v>92346.95969611303</v>
      </c>
      <c r="S46" s="154">
        <f t="shared" si="17"/>
        <v>11.839353807193978</v>
      </c>
      <c r="T46" s="154">
        <f t="shared" si="18"/>
        <v>6.8042263259735511</v>
      </c>
      <c r="U46" s="153">
        <f t="shared" si="19"/>
        <v>16375</v>
      </c>
      <c r="V46" s="154">
        <f t="shared" si="20"/>
        <v>3</v>
      </c>
      <c r="W46" s="154">
        <f t="shared" si="21"/>
        <v>3</v>
      </c>
      <c r="X46" s="162">
        <v>1</v>
      </c>
      <c r="Y46" s="162">
        <v>1</v>
      </c>
      <c r="Z46" s="156"/>
      <c r="AA46" s="157"/>
      <c r="AB46" s="163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  <c r="GG46" s="158"/>
      <c r="GH46" s="158"/>
      <c r="GI46" s="158"/>
      <c r="GJ46" s="158"/>
      <c r="GK46" s="158"/>
      <c r="GL46" s="158"/>
      <c r="GM46" s="158"/>
      <c r="GN46" s="158"/>
      <c r="GO46" s="158"/>
      <c r="GP46" s="158"/>
      <c r="GQ46" s="158"/>
      <c r="GR46" s="158"/>
      <c r="GS46" s="158"/>
      <c r="GT46" s="158"/>
      <c r="GU46" s="158"/>
      <c r="GV46" s="158"/>
      <c r="GW46" s="158"/>
      <c r="GX46" s="158"/>
      <c r="GY46" s="158"/>
      <c r="GZ46" s="158"/>
      <c r="HA46" s="158"/>
      <c r="HB46" s="158"/>
      <c r="HC46" s="158"/>
      <c r="HD46" s="158"/>
      <c r="HE46" s="158"/>
      <c r="HF46" s="158"/>
      <c r="HG46" s="158"/>
      <c r="HH46" s="158"/>
      <c r="HI46" s="158"/>
      <c r="HJ46" s="158"/>
      <c r="HK46" s="158"/>
      <c r="HL46" s="158"/>
      <c r="HM46" s="158"/>
      <c r="HN46" s="158"/>
      <c r="HO46" s="158"/>
      <c r="HP46" s="158"/>
      <c r="HQ46" s="158"/>
      <c r="HR46" s="158"/>
      <c r="HS46" s="158"/>
      <c r="HT46" s="158"/>
      <c r="HU46" s="158"/>
      <c r="HV46" s="158"/>
      <c r="HW46" s="158"/>
      <c r="HX46" s="158"/>
      <c r="HY46" s="158"/>
      <c r="HZ46" s="158"/>
      <c r="IA46" s="158"/>
      <c r="IB46" s="158"/>
      <c r="IC46" s="158"/>
      <c r="ID46" s="158"/>
      <c r="IE46" s="158"/>
      <c r="IF46" s="158"/>
      <c r="IG46" s="158"/>
      <c r="IH46" s="158"/>
      <c r="II46" s="158"/>
      <c r="IJ46" s="158"/>
      <c r="IK46" s="158"/>
      <c r="IL46" s="158"/>
      <c r="IM46" s="158"/>
      <c r="IN46" s="158"/>
      <c r="IO46" s="158"/>
      <c r="IP46" s="158"/>
      <c r="IQ46" s="158"/>
      <c r="IR46" s="158"/>
      <c r="IS46" s="158"/>
      <c r="IT46" s="158"/>
      <c r="IU46" s="158"/>
      <c r="IV46" s="158"/>
      <c r="IW46" s="158"/>
    </row>
    <row r="47" s="159" customFormat="1">
      <c r="A47" s="145" t="s">
        <v>51</v>
      </c>
      <c r="B47" s="146">
        <v>46014</v>
      </c>
      <c r="C47" s="147" t="s">
        <v>52</v>
      </c>
      <c r="D47" s="148"/>
      <c r="E47" s="149"/>
      <c r="F47" s="149" t="str">
        <f t="shared" si="11"/>
        <v/>
      </c>
      <c r="G47" s="149"/>
      <c r="H47" s="149" t="str">
        <f t="shared" si="12"/>
        <v/>
      </c>
      <c r="I47" s="149">
        <v>25</v>
      </c>
      <c r="J47" s="150" t="str">
        <f t="shared" si="13"/>
        <v/>
      </c>
      <c r="K47" s="149"/>
      <c r="L47" s="149"/>
      <c r="M47" s="149"/>
      <c r="N47" s="149"/>
      <c r="O47" s="149"/>
      <c r="P47" s="151">
        <f t="shared" si="14"/>
        <v>0</v>
      </c>
      <c r="Q47" s="152">
        <f t="shared" si="15"/>
        <v>0</v>
      </c>
      <c r="R47" s="153">
        <f t="shared" si="16"/>
        <v>92346.95969611303</v>
      </c>
      <c r="S47" s="154">
        <f t="shared" si="17"/>
        <v>11.839353807193978</v>
      </c>
      <c r="T47" s="154">
        <f t="shared" si="18"/>
        <v>6.8042263259735511</v>
      </c>
      <c r="U47" s="153">
        <f t="shared" si="19"/>
        <v>155021.91880976094</v>
      </c>
      <c r="V47" s="154">
        <f t="shared" si="20"/>
        <v>20.534001917474939</v>
      </c>
      <c r="W47" s="154">
        <f t="shared" si="21"/>
        <v>20.534001917474939</v>
      </c>
      <c r="X47" s="162">
        <v>1</v>
      </c>
      <c r="Y47" s="162">
        <v>1</v>
      </c>
      <c r="Z47" s="156"/>
      <c r="AA47" s="157"/>
      <c r="AB47" s="163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58"/>
      <c r="EC47" s="158"/>
      <c r="ED47" s="158"/>
      <c r="EE47" s="158"/>
      <c r="EF47" s="158"/>
      <c r="EG47" s="158"/>
      <c r="EH47" s="158"/>
      <c r="EI47" s="158"/>
      <c r="EJ47" s="158"/>
      <c r="EK47" s="158"/>
      <c r="EL47" s="158"/>
      <c r="EM47" s="158"/>
      <c r="EN47" s="158"/>
      <c r="EO47" s="158"/>
      <c r="EP47" s="158"/>
      <c r="EQ47" s="158"/>
      <c r="ER47" s="158"/>
      <c r="ES47" s="158"/>
      <c r="ET47" s="158"/>
      <c r="EU47" s="158"/>
      <c r="EV47" s="158"/>
      <c r="EW47" s="158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  <c r="FK47" s="158"/>
      <c r="FL47" s="158"/>
      <c r="FM47" s="158"/>
      <c r="FN47" s="158"/>
      <c r="FO47" s="158"/>
      <c r="FP47" s="158"/>
      <c r="FQ47" s="158"/>
      <c r="FR47" s="158"/>
      <c r="FS47" s="158"/>
      <c r="FT47" s="158"/>
      <c r="FU47" s="158"/>
      <c r="FV47" s="158"/>
      <c r="FW47" s="158"/>
      <c r="FX47" s="158"/>
      <c r="FY47" s="158"/>
      <c r="FZ47" s="158"/>
      <c r="GA47" s="158"/>
      <c r="GB47" s="158"/>
      <c r="GC47" s="158"/>
      <c r="GD47" s="158"/>
      <c r="GE47" s="158"/>
      <c r="GF47" s="158"/>
      <c r="GG47" s="158"/>
      <c r="GH47" s="158"/>
      <c r="GI47" s="158"/>
      <c r="GJ47" s="158"/>
      <c r="GK47" s="158"/>
      <c r="GL47" s="158"/>
      <c r="GM47" s="158"/>
      <c r="GN47" s="158"/>
      <c r="GO47" s="158"/>
      <c r="GP47" s="158"/>
      <c r="GQ47" s="158"/>
      <c r="GR47" s="158"/>
      <c r="GS47" s="158"/>
      <c r="GT47" s="158"/>
      <c r="GU47" s="158"/>
      <c r="GV47" s="158"/>
      <c r="GW47" s="158"/>
      <c r="GX47" s="158"/>
      <c r="GY47" s="158"/>
      <c r="GZ47" s="158"/>
      <c r="HA47" s="158"/>
      <c r="HB47" s="158"/>
      <c r="HC47" s="158"/>
      <c r="HD47" s="158"/>
      <c r="HE47" s="158"/>
      <c r="HF47" s="158"/>
      <c r="HG47" s="158"/>
      <c r="HH47" s="158"/>
      <c r="HI47" s="158"/>
      <c r="HJ47" s="158"/>
      <c r="HK47" s="158"/>
      <c r="HL47" s="158"/>
      <c r="HM47" s="158"/>
      <c r="HN47" s="158"/>
      <c r="HO47" s="158"/>
      <c r="HP47" s="158"/>
      <c r="HQ47" s="158"/>
      <c r="HR47" s="158"/>
      <c r="HS47" s="158"/>
      <c r="HT47" s="158"/>
      <c r="HU47" s="158"/>
      <c r="HV47" s="158"/>
      <c r="HW47" s="158"/>
      <c r="HX47" s="158"/>
      <c r="HY47" s="158"/>
      <c r="HZ47" s="158"/>
      <c r="IA47" s="158"/>
      <c r="IB47" s="158"/>
      <c r="IC47" s="158"/>
      <c r="ID47" s="158"/>
      <c r="IE47" s="158"/>
      <c r="IF47" s="158"/>
      <c r="IG47" s="158"/>
      <c r="IH47" s="158"/>
      <c r="II47" s="158"/>
      <c r="IJ47" s="158"/>
      <c r="IK47" s="158"/>
      <c r="IL47" s="158"/>
      <c r="IM47" s="158"/>
      <c r="IN47" s="158"/>
      <c r="IO47" s="158"/>
      <c r="IP47" s="158"/>
      <c r="IQ47" s="158"/>
      <c r="IR47" s="158"/>
      <c r="IS47" s="158"/>
      <c r="IT47" s="158"/>
      <c r="IU47" s="158"/>
      <c r="IV47" s="158"/>
      <c r="IW47" s="158"/>
    </row>
    <row r="48" s="159" customFormat="1">
      <c r="A48" s="145" t="s">
        <v>61</v>
      </c>
      <c r="B48" s="146">
        <v>46015</v>
      </c>
      <c r="C48" s="147" t="s">
        <v>53</v>
      </c>
      <c r="D48" s="148"/>
      <c r="E48" s="149"/>
      <c r="F48" s="149" t="str">
        <f t="shared" si="11"/>
        <v/>
      </c>
      <c r="G48" s="149"/>
      <c r="H48" s="149" t="str">
        <f t="shared" si="12"/>
        <v/>
      </c>
      <c r="I48" s="149">
        <v>19</v>
      </c>
      <c r="J48" s="150" t="str">
        <f t="shared" si="13"/>
        <v/>
      </c>
      <c r="K48" s="149"/>
      <c r="L48" s="149"/>
      <c r="M48" s="149"/>
      <c r="N48" s="149"/>
      <c r="O48" s="149"/>
      <c r="P48" s="151">
        <f t="shared" si="14"/>
        <v>0</v>
      </c>
      <c r="Q48" s="152">
        <f t="shared" si="15"/>
        <v>0</v>
      </c>
      <c r="R48" s="153">
        <f t="shared" si="16"/>
        <v>92346.95969611303</v>
      </c>
      <c r="S48" s="154">
        <f t="shared" si="17"/>
        <v>11.839353807193978</v>
      </c>
      <c r="T48" s="154">
        <f t="shared" si="18"/>
        <v>6.8042263259735511</v>
      </c>
      <c r="U48" s="153">
        <f t="shared" si="19"/>
        <v>155021.91880976094</v>
      </c>
      <c r="V48" s="154">
        <f t="shared" si="20"/>
        <v>20.534001917474935</v>
      </c>
      <c r="W48" s="154">
        <f t="shared" si="21"/>
        <v>20.534001917474935</v>
      </c>
      <c r="X48" s="162">
        <v>1</v>
      </c>
      <c r="Y48" s="162">
        <v>1</v>
      </c>
      <c r="Z48" s="156"/>
      <c r="AA48" s="157"/>
      <c r="AB48" s="163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8"/>
      <c r="CG48" s="158"/>
      <c r="CH48" s="158"/>
      <c r="CI48" s="158"/>
      <c r="CJ48" s="158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58"/>
      <c r="EC48" s="158"/>
      <c r="ED48" s="158"/>
      <c r="EE48" s="158"/>
      <c r="EF48" s="158"/>
      <c r="EG48" s="158"/>
      <c r="EH48" s="158"/>
      <c r="EI48" s="158"/>
      <c r="EJ48" s="158"/>
      <c r="EK48" s="158"/>
      <c r="EL48" s="158"/>
      <c r="EM48" s="158"/>
      <c r="EN48" s="158"/>
      <c r="EO48" s="158"/>
      <c r="EP48" s="158"/>
      <c r="EQ48" s="158"/>
      <c r="ER48" s="158"/>
      <c r="ES48" s="158"/>
      <c r="ET48" s="158"/>
      <c r="EU48" s="158"/>
      <c r="EV48" s="158"/>
      <c r="EW48" s="158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  <c r="FK48" s="158"/>
      <c r="FL48" s="158"/>
      <c r="FM48" s="158"/>
      <c r="FN48" s="158"/>
      <c r="FO48" s="158"/>
      <c r="FP48" s="158"/>
      <c r="FQ48" s="158"/>
      <c r="FR48" s="158"/>
      <c r="FS48" s="158"/>
      <c r="FT48" s="158"/>
      <c r="FU48" s="158"/>
      <c r="FV48" s="158"/>
      <c r="FW48" s="158"/>
      <c r="FX48" s="158"/>
      <c r="FY48" s="158"/>
      <c r="FZ48" s="158"/>
      <c r="GA48" s="158"/>
      <c r="GB48" s="158"/>
      <c r="GC48" s="158"/>
      <c r="GD48" s="158"/>
      <c r="GE48" s="158"/>
      <c r="GF48" s="158"/>
      <c r="GG48" s="158"/>
      <c r="GH48" s="158"/>
      <c r="GI48" s="158"/>
      <c r="GJ48" s="158"/>
      <c r="GK48" s="158"/>
      <c r="GL48" s="158"/>
      <c r="GM48" s="158"/>
      <c r="GN48" s="158"/>
      <c r="GO48" s="158"/>
      <c r="GP48" s="158"/>
      <c r="GQ48" s="158"/>
      <c r="GR48" s="158"/>
      <c r="GS48" s="158"/>
      <c r="GT48" s="158"/>
      <c r="GU48" s="158"/>
      <c r="GV48" s="158"/>
      <c r="GW48" s="158"/>
      <c r="GX48" s="158"/>
      <c r="GY48" s="158"/>
      <c r="GZ48" s="158"/>
      <c r="HA48" s="158"/>
      <c r="HB48" s="158"/>
      <c r="HC48" s="158"/>
      <c r="HD48" s="158"/>
      <c r="HE48" s="158"/>
      <c r="HF48" s="158"/>
      <c r="HG48" s="158"/>
      <c r="HH48" s="158"/>
      <c r="HI48" s="158"/>
      <c r="HJ48" s="158"/>
      <c r="HK48" s="158"/>
      <c r="HL48" s="158"/>
      <c r="HM48" s="158"/>
      <c r="HN48" s="158"/>
      <c r="HO48" s="158"/>
      <c r="HP48" s="158"/>
      <c r="HQ48" s="158"/>
      <c r="HR48" s="158"/>
      <c r="HS48" s="158"/>
      <c r="HT48" s="158"/>
      <c r="HU48" s="158"/>
      <c r="HV48" s="158"/>
      <c r="HW48" s="158"/>
      <c r="HX48" s="158"/>
      <c r="HY48" s="158"/>
      <c r="HZ48" s="158"/>
      <c r="IA48" s="158"/>
      <c r="IB48" s="158"/>
      <c r="IC48" s="158"/>
      <c r="ID48" s="158"/>
      <c r="IE48" s="158"/>
      <c r="IF48" s="158"/>
      <c r="IG48" s="158"/>
      <c r="IH48" s="158"/>
      <c r="II48" s="158"/>
      <c r="IJ48" s="158"/>
      <c r="IK48" s="158"/>
      <c r="IL48" s="158"/>
      <c r="IM48" s="158"/>
      <c r="IN48" s="158"/>
      <c r="IO48" s="158"/>
      <c r="IP48" s="158"/>
      <c r="IQ48" s="158"/>
      <c r="IR48" s="158"/>
      <c r="IS48" s="158"/>
      <c r="IT48" s="158"/>
      <c r="IU48" s="158"/>
      <c r="IV48" s="158"/>
      <c r="IW48" s="158"/>
    </row>
    <row r="49" s="159" customFormat="1">
      <c r="A49" s="145" t="s">
        <v>49</v>
      </c>
      <c r="B49" s="146">
        <v>46016</v>
      </c>
      <c r="C49" s="147" t="s">
        <v>54</v>
      </c>
      <c r="D49" s="148"/>
      <c r="E49" s="149"/>
      <c r="F49" s="149" t="str">
        <f t="shared" si="11"/>
        <v/>
      </c>
      <c r="G49" s="149"/>
      <c r="H49" s="149" t="str">
        <f t="shared" si="12"/>
        <v/>
      </c>
      <c r="I49" s="149">
        <v>23</v>
      </c>
      <c r="J49" s="150" t="str">
        <f t="shared" si="13"/>
        <v/>
      </c>
      <c r="K49" s="149"/>
      <c r="L49" s="149"/>
      <c r="M49" s="149"/>
      <c r="N49" s="149"/>
      <c r="O49" s="149"/>
      <c r="P49" s="151">
        <f t="shared" si="14"/>
        <v>0</v>
      </c>
      <c r="Q49" s="152">
        <f t="shared" si="15"/>
        <v>0</v>
      </c>
      <c r="R49" s="153">
        <f t="shared" si="16"/>
        <v>92346.95969611303</v>
      </c>
      <c r="S49" s="154">
        <f t="shared" si="17"/>
        <v>11.839353807193978</v>
      </c>
      <c r="T49" s="154">
        <f t="shared" si="18"/>
        <v>6.8042263259735511</v>
      </c>
      <c r="U49" s="153">
        <f t="shared" si="19"/>
        <v>155021.91880976091</v>
      </c>
      <c r="V49" s="154">
        <f t="shared" si="20"/>
        <v>20.534001917474939</v>
      </c>
      <c r="W49" s="154">
        <f t="shared" si="21"/>
        <v>20.534001917474939</v>
      </c>
      <c r="X49" s="162">
        <v>1</v>
      </c>
      <c r="Y49" s="162">
        <v>1</v>
      </c>
      <c r="Z49" s="156"/>
      <c r="AA49" s="157"/>
      <c r="AB49" s="163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  <c r="EE49" s="158"/>
      <c r="EF49" s="158"/>
      <c r="EG49" s="158"/>
      <c r="EH49" s="158"/>
      <c r="EI49" s="158"/>
      <c r="EJ49" s="158"/>
      <c r="EK49" s="158"/>
      <c r="EL49" s="158"/>
      <c r="EM49" s="158"/>
      <c r="EN49" s="158"/>
      <c r="EO49" s="158"/>
      <c r="EP49" s="158"/>
      <c r="EQ49" s="158"/>
      <c r="ER49" s="158"/>
      <c r="ES49" s="158"/>
      <c r="ET49" s="158"/>
      <c r="EU49" s="158"/>
      <c r="EV49" s="158"/>
      <c r="EW49" s="158"/>
      <c r="EX49" s="158"/>
      <c r="EY49" s="158"/>
      <c r="EZ49" s="158"/>
      <c r="FA49" s="158"/>
      <c r="FB49" s="158"/>
      <c r="FC49" s="158"/>
      <c r="FD49" s="158"/>
      <c r="FE49" s="158"/>
      <c r="FF49" s="158"/>
      <c r="FG49" s="158"/>
      <c r="FH49" s="158"/>
      <c r="FI49" s="158"/>
      <c r="FJ49" s="158"/>
      <c r="FK49" s="158"/>
      <c r="FL49" s="158"/>
      <c r="FM49" s="158"/>
      <c r="FN49" s="158"/>
      <c r="FO49" s="158"/>
      <c r="FP49" s="158"/>
      <c r="FQ49" s="158"/>
      <c r="FR49" s="158"/>
      <c r="FS49" s="158"/>
      <c r="FT49" s="158"/>
      <c r="FU49" s="158"/>
      <c r="FV49" s="158"/>
      <c r="FW49" s="158"/>
      <c r="FX49" s="158"/>
      <c r="FY49" s="158"/>
      <c r="FZ49" s="158"/>
      <c r="GA49" s="158"/>
      <c r="GB49" s="158"/>
      <c r="GC49" s="158"/>
      <c r="GD49" s="158"/>
      <c r="GE49" s="158"/>
      <c r="GF49" s="158"/>
      <c r="GG49" s="158"/>
      <c r="GH49" s="158"/>
      <c r="GI49" s="158"/>
      <c r="GJ49" s="158"/>
      <c r="GK49" s="158"/>
      <c r="GL49" s="158"/>
      <c r="GM49" s="158"/>
      <c r="GN49" s="158"/>
      <c r="GO49" s="158"/>
      <c r="GP49" s="158"/>
      <c r="GQ49" s="158"/>
      <c r="GR49" s="158"/>
      <c r="GS49" s="158"/>
      <c r="GT49" s="158"/>
      <c r="GU49" s="158"/>
      <c r="GV49" s="158"/>
      <c r="GW49" s="158"/>
      <c r="GX49" s="158"/>
      <c r="GY49" s="158"/>
      <c r="GZ49" s="158"/>
      <c r="HA49" s="158"/>
      <c r="HB49" s="158"/>
      <c r="HC49" s="158"/>
      <c r="HD49" s="158"/>
      <c r="HE49" s="158"/>
      <c r="HF49" s="158"/>
      <c r="HG49" s="158"/>
      <c r="HH49" s="158"/>
      <c r="HI49" s="158"/>
      <c r="HJ49" s="158"/>
      <c r="HK49" s="158"/>
      <c r="HL49" s="158"/>
      <c r="HM49" s="158"/>
      <c r="HN49" s="158"/>
      <c r="HO49" s="158"/>
      <c r="HP49" s="158"/>
      <c r="HQ49" s="158"/>
      <c r="HR49" s="158"/>
      <c r="HS49" s="158"/>
      <c r="HT49" s="158"/>
      <c r="HU49" s="158"/>
      <c r="HV49" s="158"/>
      <c r="HW49" s="158"/>
      <c r="HX49" s="158"/>
      <c r="HY49" s="158"/>
      <c r="HZ49" s="158"/>
      <c r="IA49" s="158"/>
      <c r="IB49" s="158"/>
      <c r="IC49" s="158"/>
      <c r="ID49" s="158"/>
      <c r="IE49" s="158"/>
      <c r="IF49" s="158"/>
      <c r="IG49" s="158"/>
      <c r="IH49" s="158"/>
      <c r="II49" s="158"/>
      <c r="IJ49" s="158"/>
      <c r="IK49" s="158"/>
      <c r="IL49" s="158"/>
      <c r="IM49" s="158"/>
      <c r="IN49" s="158"/>
      <c r="IO49" s="158"/>
      <c r="IP49" s="158"/>
      <c r="IQ49" s="158"/>
      <c r="IR49" s="158"/>
      <c r="IS49" s="158"/>
      <c r="IT49" s="158"/>
      <c r="IU49" s="158"/>
      <c r="IV49" s="158"/>
      <c r="IW49" s="158"/>
    </row>
    <row r="50" s="159" customFormat="1">
      <c r="A50" s="145" t="s">
        <v>51</v>
      </c>
      <c r="B50" s="146">
        <v>46017</v>
      </c>
      <c r="C50" s="147" t="s">
        <v>55</v>
      </c>
      <c r="D50" s="148">
        <v>30584</v>
      </c>
      <c r="E50" s="149">
        <v>3</v>
      </c>
      <c r="F50" s="149">
        <f t="shared" si="11"/>
        <v>10194.666666666666</v>
      </c>
      <c r="G50" s="149">
        <v>2</v>
      </c>
      <c r="H50" s="149">
        <f t="shared" si="12"/>
        <v>15292</v>
      </c>
      <c r="I50" s="149">
        <v>21</v>
      </c>
      <c r="J50" s="150">
        <f t="shared" si="13"/>
        <v>1.5</v>
      </c>
      <c r="K50" s="149"/>
      <c r="L50" s="149"/>
      <c r="M50" s="149">
        <v>15100</v>
      </c>
      <c r="N50" s="149"/>
      <c r="O50" s="149"/>
      <c r="P50" s="151">
        <f t="shared" si="14"/>
        <v>0.095238095238095233</v>
      </c>
      <c r="Q50" s="152">
        <f t="shared" si="15"/>
        <v>0.22999012592054893</v>
      </c>
      <c r="R50" s="153">
        <f t="shared" si="16"/>
        <v>132979.62196240274</v>
      </c>
      <c r="S50" s="154">
        <f t="shared" si="17"/>
        <v>17.048669482359326</v>
      </c>
      <c r="T50" s="154">
        <f t="shared" si="18"/>
        <v>9.7980859094019124</v>
      </c>
      <c r="U50" s="153">
        <f t="shared" si="19"/>
        <v>30584</v>
      </c>
      <c r="V50" s="154">
        <f t="shared" si="20"/>
        <v>3</v>
      </c>
      <c r="W50" s="154">
        <f t="shared" si="21"/>
        <v>3</v>
      </c>
      <c r="X50" s="162">
        <v>1.2</v>
      </c>
      <c r="Y50" s="162">
        <v>1.2</v>
      </c>
      <c r="Z50" s="156"/>
      <c r="AA50" s="157"/>
      <c r="AB50" s="163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8"/>
      <c r="CG50" s="158"/>
      <c r="CH50" s="158"/>
      <c r="CI50" s="158"/>
      <c r="CJ50" s="158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58"/>
      <c r="DZ50" s="158"/>
      <c r="EA50" s="158"/>
      <c r="EB50" s="158"/>
      <c r="EC50" s="158"/>
      <c r="ED50" s="158"/>
      <c r="EE50" s="158"/>
      <c r="EF50" s="158"/>
      <c r="EG50" s="158"/>
      <c r="EH50" s="158"/>
      <c r="EI50" s="158"/>
      <c r="EJ50" s="158"/>
      <c r="EK50" s="158"/>
      <c r="EL50" s="158"/>
      <c r="EM50" s="158"/>
      <c r="EN50" s="158"/>
      <c r="EO50" s="158"/>
      <c r="EP50" s="158"/>
      <c r="EQ50" s="158"/>
      <c r="ER50" s="158"/>
      <c r="ES50" s="158"/>
      <c r="ET50" s="158"/>
      <c r="EU50" s="158"/>
      <c r="EV50" s="158"/>
      <c r="EW50" s="158"/>
      <c r="EX50" s="158"/>
      <c r="EY50" s="158"/>
      <c r="EZ50" s="158"/>
      <c r="FA50" s="158"/>
      <c r="FB50" s="158"/>
      <c r="FC50" s="158"/>
      <c r="FD50" s="158"/>
      <c r="FE50" s="158"/>
      <c r="FF50" s="158"/>
      <c r="FG50" s="158"/>
      <c r="FH50" s="158"/>
      <c r="FI50" s="158"/>
      <c r="FJ50" s="158"/>
      <c r="FK50" s="158"/>
      <c r="FL50" s="158"/>
      <c r="FM50" s="158"/>
      <c r="FN50" s="158"/>
      <c r="FO50" s="158"/>
      <c r="FP50" s="158"/>
      <c r="FQ50" s="158"/>
      <c r="FR50" s="158"/>
      <c r="FS50" s="158"/>
      <c r="FT50" s="158"/>
      <c r="FU50" s="158"/>
      <c r="FV50" s="158"/>
      <c r="FW50" s="158"/>
      <c r="FX50" s="158"/>
      <c r="FY50" s="158"/>
      <c r="FZ50" s="158"/>
      <c r="GA50" s="158"/>
      <c r="GB50" s="158"/>
      <c r="GC50" s="158"/>
      <c r="GD50" s="158"/>
      <c r="GE50" s="158"/>
      <c r="GF50" s="158"/>
      <c r="GG50" s="158"/>
      <c r="GH50" s="158"/>
      <c r="GI50" s="158"/>
      <c r="GJ50" s="158"/>
      <c r="GK50" s="158"/>
      <c r="GL50" s="158"/>
      <c r="GM50" s="158"/>
      <c r="GN50" s="158"/>
      <c r="GO50" s="158"/>
      <c r="GP50" s="158"/>
      <c r="GQ50" s="158"/>
      <c r="GR50" s="158"/>
      <c r="GS50" s="158"/>
      <c r="GT50" s="158"/>
      <c r="GU50" s="158"/>
      <c r="GV50" s="158"/>
      <c r="GW50" s="158"/>
      <c r="GX50" s="158"/>
      <c r="GY50" s="158"/>
      <c r="GZ50" s="158"/>
      <c r="HA50" s="158"/>
      <c r="HB50" s="158"/>
      <c r="HC50" s="158"/>
      <c r="HD50" s="158"/>
      <c r="HE50" s="158"/>
      <c r="HF50" s="158"/>
      <c r="HG50" s="158"/>
      <c r="HH50" s="158"/>
      <c r="HI50" s="158"/>
      <c r="HJ50" s="158"/>
      <c r="HK50" s="158"/>
      <c r="HL50" s="158"/>
      <c r="HM50" s="158"/>
      <c r="HN50" s="158"/>
      <c r="HO50" s="158"/>
      <c r="HP50" s="158"/>
      <c r="HQ50" s="158"/>
      <c r="HR50" s="158"/>
      <c r="HS50" s="158"/>
      <c r="HT50" s="158"/>
      <c r="HU50" s="158"/>
      <c r="HV50" s="158"/>
      <c r="HW50" s="158"/>
      <c r="HX50" s="158"/>
      <c r="HY50" s="158"/>
      <c r="HZ50" s="158"/>
      <c r="IA50" s="158"/>
      <c r="IB50" s="158"/>
      <c r="IC50" s="158"/>
      <c r="ID50" s="158"/>
      <c r="IE50" s="158"/>
      <c r="IF50" s="158"/>
      <c r="IG50" s="158"/>
      <c r="IH50" s="158"/>
      <c r="II50" s="158"/>
      <c r="IJ50" s="158"/>
      <c r="IK50" s="158"/>
      <c r="IL50" s="158"/>
      <c r="IM50" s="158"/>
      <c r="IN50" s="158"/>
      <c r="IO50" s="158"/>
      <c r="IP50" s="158"/>
      <c r="IQ50" s="158"/>
      <c r="IR50" s="158"/>
      <c r="IS50" s="158"/>
      <c r="IT50" s="158"/>
      <c r="IU50" s="158"/>
      <c r="IV50" s="158"/>
      <c r="IW50" s="158"/>
    </row>
    <row r="51" s="159" customFormat="1">
      <c r="A51" s="145" t="s">
        <v>51</v>
      </c>
      <c r="B51" s="146">
        <v>46018</v>
      </c>
      <c r="C51" s="147" t="s">
        <v>56</v>
      </c>
      <c r="D51" s="148">
        <v>126047</v>
      </c>
      <c r="E51" s="149">
        <v>14</v>
      </c>
      <c r="F51" s="149">
        <f t="shared" si="11"/>
        <v>9003.3571428571431</v>
      </c>
      <c r="G51" s="149">
        <v>6</v>
      </c>
      <c r="H51" s="149">
        <f t="shared" si="12"/>
        <v>21007.833333333332</v>
      </c>
      <c r="I51" s="149">
        <v>36</v>
      </c>
      <c r="J51" s="150">
        <f t="shared" si="13"/>
        <v>2.3333333333333335</v>
      </c>
      <c r="K51" s="149">
        <v>36980</v>
      </c>
      <c r="L51" s="149"/>
      <c r="M51" s="149">
        <v>8390</v>
      </c>
      <c r="N51" s="149"/>
      <c r="O51" s="149"/>
      <c r="P51" s="151">
        <f t="shared" si="14"/>
        <v>0.16666666666666666</v>
      </c>
      <c r="Q51" s="152">
        <f t="shared" si="15"/>
        <v>0.947867035113374</v>
      </c>
      <c r="R51" s="153">
        <f t="shared" si="16"/>
        <v>132979.62196240274</v>
      </c>
      <c r="S51" s="154">
        <f t="shared" si="17"/>
        <v>17.048669482359326</v>
      </c>
      <c r="T51" s="154">
        <f t="shared" si="18"/>
        <v>9.7980859094019124</v>
      </c>
      <c r="U51" s="153">
        <f t="shared" si="19"/>
        <v>126047</v>
      </c>
      <c r="V51" s="154">
        <f t="shared" si="20"/>
        <v>14</v>
      </c>
      <c r="W51" s="154">
        <f t="shared" si="21"/>
        <v>14</v>
      </c>
      <c r="X51" s="162">
        <v>1.2</v>
      </c>
      <c r="Y51" s="162">
        <v>1.2</v>
      </c>
      <c r="Z51" s="156"/>
      <c r="AA51" s="157"/>
      <c r="AB51" s="163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8"/>
      <c r="CD51" s="158"/>
      <c r="CE51" s="158"/>
      <c r="CF51" s="158"/>
      <c r="CG51" s="158"/>
      <c r="CH51" s="158"/>
      <c r="CI51" s="158"/>
      <c r="CJ51" s="158"/>
      <c r="CK51" s="158"/>
      <c r="CL51" s="158"/>
      <c r="CM51" s="158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58"/>
      <c r="DZ51" s="158"/>
      <c r="EA51" s="158"/>
      <c r="EB51" s="158"/>
      <c r="EC51" s="158"/>
      <c r="ED51" s="158"/>
      <c r="EE51" s="158"/>
      <c r="EF51" s="158"/>
      <c r="EG51" s="158"/>
      <c r="EH51" s="158"/>
      <c r="EI51" s="158"/>
      <c r="EJ51" s="158"/>
      <c r="EK51" s="158"/>
      <c r="EL51" s="158"/>
      <c r="EM51" s="158"/>
      <c r="EN51" s="158"/>
      <c r="EO51" s="158"/>
      <c r="EP51" s="158"/>
      <c r="EQ51" s="158"/>
      <c r="ER51" s="158"/>
      <c r="ES51" s="158"/>
      <c r="ET51" s="158"/>
      <c r="EU51" s="158"/>
      <c r="EV51" s="158"/>
      <c r="EW51" s="158"/>
      <c r="EX51" s="158"/>
      <c r="EY51" s="158"/>
      <c r="EZ51" s="158"/>
      <c r="FA51" s="158"/>
      <c r="FB51" s="158"/>
      <c r="FC51" s="158"/>
      <c r="FD51" s="158"/>
      <c r="FE51" s="158"/>
      <c r="FF51" s="158"/>
      <c r="FG51" s="158"/>
      <c r="FH51" s="158"/>
      <c r="FI51" s="158"/>
      <c r="FJ51" s="158"/>
      <c r="FK51" s="158"/>
      <c r="FL51" s="158"/>
      <c r="FM51" s="158"/>
      <c r="FN51" s="158"/>
      <c r="FO51" s="158"/>
      <c r="FP51" s="158"/>
      <c r="FQ51" s="158"/>
      <c r="FR51" s="158"/>
      <c r="FS51" s="158"/>
      <c r="FT51" s="158"/>
      <c r="FU51" s="158"/>
      <c r="FV51" s="158"/>
      <c r="FW51" s="158"/>
      <c r="FX51" s="158"/>
      <c r="FY51" s="158"/>
      <c r="FZ51" s="158"/>
      <c r="GA51" s="158"/>
      <c r="GB51" s="158"/>
      <c r="GC51" s="158"/>
      <c r="GD51" s="158"/>
      <c r="GE51" s="158"/>
      <c r="GF51" s="158"/>
      <c r="GG51" s="158"/>
      <c r="GH51" s="158"/>
      <c r="GI51" s="158"/>
      <c r="GJ51" s="158"/>
      <c r="GK51" s="158"/>
      <c r="GL51" s="158"/>
      <c r="GM51" s="158"/>
      <c r="GN51" s="158"/>
      <c r="GO51" s="158"/>
      <c r="GP51" s="158"/>
      <c r="GQ51" s="158"/>
      <c r="GR51" s="158"/>
      <c r="GS51" s="158"/>
      <c r="GT51" s="158"/>
      <c r="GU51" s="158"/>
      <c r="GV51" s="158"/>
      <c r="GW51" s="158"/>
      <c r="GX51" s="158"/>
      <c r="GY51" s="158"/>
      <c r="GZ51" s="158"/>
      <c r="HA51" s="158"/>
      <c r="HB51" s="158"/>
      <c r="HC51" s="158"/>
      <c r="HD51" s="158"/>
      <c r="HE51" s="158"/>
      <c r="HF51" s="158"/>
      <c r="HG51" s="158"/>
      <c r="HH51" s="158"/>
      <c r="HI51" s="158"/>
      <c r="HJ51" s="158"/>
      <c r="HK51" s="158"/>
      <c r="HL51" s="158"/>
      <c r="HM51" s="158"/>
      <c r="HN51" s="158"/>
      <c r="HO51" s="158"/>
      <c r="HP51" s="158"/>
      <c r="HQ51" s="158"/>
      <c r="HR51" s="158"/>
      <c r="HS51" s="158"/>
      <c r="HT51" s="158"/>
      <c r="HU51" s="158"/>
      <c r="HV51" s="158"/>
      <c r="HW51" s="158"/>
      <c r="HX51" s="158"/>
      <c r="HY51" s="158"/>
      <c r="HZ51" s="158"/>
      <c r="IA51" s="158"/>
      <c r="IB51" s="158"/>
      <c r="IC51" s="158"/>
      <c r="ID51" s="158"/>
      <c r="IE51" s="158"/>
      <c r="IF51" s="158"/>
      <c r="IG51" s="158"/>
      <c r="IH51" s="158"/>
      <c r="II51" s="158"/>
      <c r="IJ51" s="158"/>
      <c r="IK51" s="158"/>
      <c r="IL51" s="158"/>
      <c r="IM51" s="158"/>
      <c r="IN51" s="158"/>
      <c r="IO51" s="158"/>
      <c r="IP51" s="158"/>
      <c r="IQ51" s="158"/>
      <c r="IR51" s="158"/>
      <c r="IS51" s="158"/>
      <c r="IT51" s="158"/>
      <c r="IU51" s="158"/>
      <c r="IV51" s="158"/>
      <c r="IW51" s="158"/>
    </row>
    <row r="52" s="159" customFormat="1">
      <c r="A52" s="145" t="s">
        <v>51</v>
      </c>
      <c r="B52" s="146">
        <v>46019</v>
      </c>
      <c r="C52" s="147" t="s">
        <v>57</v>
      </c>
      <c r="D52" s="148">
        <v>43254</v>
      </c>
      <c r="E52" s="149">
        <v>3</v>
      </c>
      <c r="F52" s="149">
        <f t="shared" si="11"/>
        <v>14418</v>
      </c>
      <c r="G52" s="149">
        <v>2</v>
      </c>
      <c r="H52" s="149">
        <f t="shared" si="12"/>
        <v>21627</v>
      </c>
      <c r="I52" s="149">
        <v>38</v>
      </c>
      <c r="J52" s="150">
        <f t="shared" si="13"/>
        <v>1.5</v>
      </c>
      <c r="K52" s="149">
        <v>28272</v>
      </c>
      <c r="L52" s="149"/>
      <c r="M52" s="149">
        <v>13690</v>
      </c>
      <c r="N52" s="149"/>
      <c r="O52" s="149"/>
      <c r="P52" s="151">
        <f t="shared" si="14"/>
        <v>0.052631578947368418</v>
      </c>
      <c r="Q52" s="152">
        <f t="shared" si="15"/>
        <v>0.32526788211376612</v>
      </c>
      <c r="R52" s="153">
        <f t="shared" si="16"/>
        <v>132979.62196240274</v>
      </c>
      <c r="S52" s="154">
        <f t="shared" si="17"/>
        <v>17.048669482359326</v>
      </c>
      <c r="T52" s="154">
        <f t="shared" si="18"/>
        <v>9.7980859094019124</v>
      </c>
      <c r="U52" s="153">
        <f t="shared" si="19"/>
        <v>43254</v>
      </c>
      <c r="V52" s="154">
        <f t="shared" si="20"/>
        <v>3</v>
      </c>
      <c r="W52" s="154">
        <f t="shared" si="21"/>
        <v>3</v>
      </c>
      <c r="X52" s="162">
        <v>1.2</v>
      </c>
      <c r="Y52" s="162">
        <v>1.2</v>
      </c>
      <c r="Z52" s="156"/>
      <c r="AA52" s="157"/>
      <c r="AB52" s="163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8"/>
      <c r="CD52" s="158"/>
      <c r="CE52" s="158"/>
      <c r="CF52" s="158"/>
      <c r="CG52" s="158"/>
      <c r="CH52" s="158"/>
      <c r="CI52" s="158"/>
      <c r="CJ52" s="158"/>
      <c r="CK52" s="158"/>
      <c r="CL52" s="158"/>
      <c r="CM52" s="158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58"/>
      <c r="DZ52" s="158"/>
      <c r="EA52" s="158"/>
      <c r="EB52" s="158"/>
      <c r="EC52" s="158"/>
      <c r="ED52" s="158"/>
      <c r="EE52" s="158"/>
      <c r="EF52" s="158"/>
      <c r="EG52" s="158"/>
      <c r="EH52" s="158"/>
      <c r="EI52" s="158"/>
      <c r="EJ52" s="158"/>
      <c r="EK52" s="158"/>
      <c r="EL52" s="158"/>
      <c r="EM52" s="158"/>
      <c r="EN52" s="158"/>
      <c r="EO52" s="158"/>
      <c r="EP52" s="158"/>
      <c r="EQ52" s="158"/>
      <c r="ER52" s="158"/>
      <c r="ES52" s="158"/>
      <c r="ET52" s="158"/>
      <c r="EU52" s="158"/>
      <c r="EV52" s="158"/>
      <c r="EW52" s="158"/>
      <c r="EX52" s="158"/>
      <c r="EY52" s="158"/>
      <c r="EZ52" s="158"/>
      <c r="FA52" s="158"/>
      <c r="FB52" s="158"/>
      <c r="FC52" s="158"/>
      <c r="FD52" s="158"/>
      <c r="FE52" s="158"/>
      <c r="FF52" s="158"/>
      <c r="FG52" s="158"/>
      <c r="FH52" s="158"/>
      <c r="FI52" s="158"/>
      <c r="FJ52" s="158"/>
      <c r="FK52" s="158"/>
      <c r="FL52" s="158"/>
      <c r="FM52" s="158"/>
      <c r="FN52" s="158"/>
      <c r="FO52" s="158"/>
      <c r="FP52" s="158"/>
      <c r="FQ52" s="158"/>
      <c r="FR52" s="158"/>
      <c r="FS52" s="158"/>
      <c r="FT52" s="158"/>
      <c r="FU52" s="158"/>
      <c r="FV52" s="158"/>
      <c r="FW52" s="158"/>
      <c r="FX52" s="158"/>
      <c r="FY52" s="158"/>
      <c r="FZ52" s="158"/>
      <c r="GA52" s="158"/>
      <c r="GB52" s="158"/>
      <c r="GC52" s="158"/>
      <c r="GD52" s="158"/>
      <c r="GE52" s="158"/>
      <c r="GF52" s="158"/>
      <c r="GG52" s="158"/>
      <c r="GH52" s="158"/>
      <c r="GI52" s="158"/>
      <c r="GJ52" s="158"/>
      <c r="GK52" s="158"/>
      <c r="GL52" s="158"/>
      <c r="GM52" s="158"/>
      <c r="GN52" s="158"/>
      <c r="GO52" s="158"/>
      <c r="GP52" s="158"/>
      <c r="GQ52" s="158"/>
      <c r="GR52" s="158"/>
      <c r="GS52" s="158"/>
      <c r="GT52" s="158"/>
      <c r="GU52" s="158"/>
      <c r="GV52" s="158"/>
      <c r="GW52" s="158"/>
      <c r="GX52" s="158"/>
      <c r="GY52" s="158"/>
      <c r="GZ52" s="158"/>
      <c r="HA52" s="158"/>
      <c r="HB52" s="158"/>
      <c r="HC52" s="158"/>
      <c r="HD52" s="158"/>
      <c r="HE52" s="158"/>
      <c r="HF52" s="158"/>
      <c r="HG52" s="158"/>
      <c r="HH52" s="158"/>
      <c r="HI52" s="158"/>
      <c r="HJ52" s="158"/>
      <c r="HK52" s="158"/>
      <c r="HL52" s="158"/>
      <c r="HM52" s="158"/>
      <c r="HN52" s="158"/>
      <c r="HO52" s="158"/>
      <c r="HP52" s="158"/>
      <c r="HQ52" s="158"/>
      <c r="HR52" s="158"/>
      <c r="HS52" s="158"/>
      <c r="HT52" s="158"/>
      <c r="HU52" s="158"/>
      <c r="HV52" s="158"/>
      <c r="HW52" s="158"/>
      <c r="HX52" s="158"/>
      <c r="HY52" s="158"/>
      <c r="HZ52" s="158"/>
      <c r="IA52" s="158"/>
      <c r="IB52" s="158"/>
      <c r="IC52" s="158"/>
      <c r="ID52" s="158"/>
      <c r="IE52" s="158"/>
      <c r="IF52" s="158"/>
      <c r="IG52" s="158"/>
      <c r="IH52" s="158"/>
      <c r="II52" s="158"/>
      <c r="IJ52" s="158"/>
      <c r="IK52" s="158"/>
      <c r="IL52" s="158"/>
      <c r="IM52" s="158"/>
      <c r="IN52" s="158"/>
      <c r="IO52" s="158"/>
      <c r="IP52" s="158"/>
      <c r="IQ52" s="158"/>
      <c r="IR52" s="158"/>
      <c r="IS52" s="158"/>
      <c r="IT52" s="158"/>
      <c r="IU52" s="158"/>
      <c r="IV52" s="158"/>
      <c r="IW52" s="158"/>
    </row>
    <row r="53" s="159" customFormat="1">
      <c r="A53" s="145" t="s">
        <v>58</v>
      </c>
      <c r="B53" s="146">
        <v>46020</v>
      </c>
      <c r="C53" s="147" t="s">
        <v>50</v>
      </c>
      <c r="D53" s="148">
        <v>40391</v>
      </c>
      <c r="E53" s="149">
        <v>5</v>
      </c>
      <c r="F53" s="149">
        <f t="shared" si="11"/>
        <v>8078.1999999999998</v>
      </c>
      <c r="G53" s="149">
        <v>3</v>
      </c>
      <c r="H53" s="149">
        <f t="shared" si="12"/>
        <v>13463.666666666666</v>
      </c>
      <c r="I53" s="149">
        <v>10</v>
      </c>
      <c r="J53" s="150">
        <f t="shared" si="13"/>
        <v>1.6666666666666667</v>
      </c>
      <c r="K53" s="149"/>
      <c r="L53" s="149"/>
      <c r="M53" s="149">
        <v>13793</v>
      </c>
      <c r="N53" s="149">
        <v>15985</v>
      </c>
      <c r="O53" s="149">
        <v>6690</v>
      </c>
      <c r="P53" s="151">
        <f t="shared" si="14"/>
        <v>0.29999999999999999</v>
      </c>
      <c r="Q53" s="152">
        <f t="shared" si="15"/>
        <v>0.30373826759275735</v>
      </c>
      <c r="R53" s="153">
        <f t="shared" si="16"/>
        <v>132979.62196240274</v>
      </c>
      <c r="S53" s="154">
        <f t="shared" si="17"/>
        <v>17.048669482359326</v>
      </c>
      <c r="T53" s="154">
        <f t="shared" si="18"/>
        <v>9.7980859094019124</v>
      </c>
      <c r="U53" s="153">
        <f t="shared" si="19"/>
        <v>40391</v>
      </c>
      <c r="V53" s="154">
        <f t="shared" si="20"/>
        <v>5</v>
      </c>
      <c r="W53" s="154">
        <f t="shared" si="21"/>
        <v>5</v>
      </c>
      <c r="X53" s="162">
        <v>1.2</v>
      </c>
      <c r="Y53" s="162">
        <v>1.2</v>
      </c>
      <c r="Z53" s="156"/>
      <c r="AA53" s="157"/>
      <c r="AB53" s="163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8"/>
      <c r="CD53" s="158"/>
      <c r="CE53" s="158"/>
      <c r="CF53" s="158"/>
      <c r="CG53" s="158"/>
      <c r="CH53" s="158"/>
      <c r="CI53" s="158"/>
      <c r="CJ53" s="158"/>
      <c r="CK53" s="158"/>
      <c r="CL53" s="158"/>
      <c r="CM53" s="158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58"/>
      <c r="DZ53" s="158"/>
      <c r="EA53" s="158"/>
      <c r="EB53" s="158"/>
      <c r="EC53" s="158"/>
      <c r="ED53" s="158"/>
      <c r="EE53" s="158"/>
      <c r="EF53" s="158"/>
      <c r="EG53" s="158"/>
      <c r="EH53" s="158"/>
      <c r="EI53" s="158"/>
      <c r="EJ53" s="158"/>
      <c r="EK53" s="158"/>
      <c r="EL53" s="158"/>
      <c r="EM53" s="158"/>
      <c r="EN53" s="158"/>
      <c r="EO53" s="158"/>
      <c r="EP53" s="158"/>
      <c r="EQ53" s="158"/>
      <c r="ER53" s="158"/>
      <c r="ES53" s="158"/>
      <c r="ET53" s="158"/>
      <c r="EU53" s="158"/>
      <c r="EV53" s="158"/>
      <c r="EW53" s="158"/>
      <c r="EX53" s="158"/>
      <c r="EY53" s="158"/>
      <c r="EZ53" s="158"/>
      <c r="FA53" s="158"/>
      <c r="FB53" s="158"/>
      <c r="FC53" s="158"/>
      <c r="FD53" s="158"/>
      <c r="FE53" s="158"/>
      <c r="FF53" s="158"/>
      <c r="FG53" s="158"/>
      <c r="FH53" s="158"/>
      <c r="FI53" s="158"/>
      <c r="FJ53" s="158"/>
      <c r="FK53" s="158"/>
      <c r="FL53" s="158"/>
      <c r="FM53" s="158"/>
      <c r="FN53" s="158"/>
      <c r="FO53" s="158"/>
      <c r="FP53" s="158"/>
      <c r="FQ53" s="158"/>
      <c r="FR53" s="158"/>
      <c r="FS53" s="158"/>
      <c r="FT53" s="158"/>
      <c r="FU53" s="158"/>
      <c r="FV53" s="158"/>
      <c r="FW53" s="158"/>
      <c r="FX53" s="158"/>
      <c r="FY53" s="158"/>
      <c r="FZ53" s="158"/>
      <c r="GA53" s="158"/>
      <c r="GB53" s="158"/>
      <c r="GC53" s="158"/>
      <c r="GD53" s="158"/>
      <c r="GE53" s="158"/>
      <c r="GF53" s="158"/>
      <c r="GG53" s="158"/>
      <c r="GH53" s="158"/>
      <c r="GI53" s="158"/>
      <c r="GJ53" s="158"/>
      <c r="GK53" s="158"/>
      <c r="GL53" s="158"/>
      <c r="GM53" s="158"/>
      <c r="GN53" s="158"/>
      <c r="GO53" s="158"/>
      <c r="GP53" s="158"/>
      <c r="GQ53" s="158"/>
      <c r="GR53" s="158"/>
      <c r="GS53" s="158"/>
      <c r="GT53" s="158"/>
      <c r="GU53" s="158"/>
      <c r="GV53" s="158"/>
      <c r="GW53" s="158"/>
      <c r="GX53" s="158"/>
      <c r="GY53" s="158"/>
      <c r="GZ53" s="158"/>
      <c r="HA53" s="158"/>
      <c r="HB53" s="158"/>
      <c r="HC53" s="158"/>
      <c r="HD53" s="158"/>
      <c r="HE53" s="158"/>
      <c r="HF53" s="158"/>
      <c r="HG53" s="158"/>
      <c r="HH53" s="158"/>
      <c r="HI53" s="158"/>
      <c r="HJ53" s="158"/>
      <c r="HK53" s="158"/>
      <c r="HL53" s="158"/>
      <c r="HM53" s="158"/>
      <c r="HN53" s="158"/>
      <c r="HO53" s="158"/>
      <c r="HP53" s="158"/>
      <c r="HQ53" s="158"/>
      <c r="HR53" s="158"/>
      <c r="HS53" s="158"/>
      <c r="HT53" s="158"/>
      <c r="HU53" s="158"/>
      <c r="HV53" s="158"/>
      <c r="HW53" s="158"/>
      <c r="HX53" s="158"/>
      <c r="HY53" s="158"/>
      <c r="HZ53" s="158"/>
      <c r="IA53" s="158"/>
      <c r="IB53" s="158"/>
      <c r="IC53" s="158"/>
      <c r="ID53" s="158"/>
      <c r="IE53" s="158"/>
      <c r="IF53" s="158"/>
      <c r="IG53" s="158"/>
      <c r="IH53" s="158"/>
      <c r="II53" s="158"/>
      <c r="IJ53" s="158"/>
      <c r="IK53" s="158"/>
      <c r="IL53" s="158"/>
      <c r="IM53" s="158"/>
      <c r="IN53" s="158"/>
      <c r="IO53" s="158"/>
      <c r="IP53" s="158"/>
      <c r="IQ53" s="158"/>
      <c r="IR53" s="158"/>
      <c r="IS53" s="158"/>
      <c r="IT53" s="158"/>
      <c r="IU53" s="158"/>
      <c r="IV53" s="158"/>
      <c r="IW53" s="158"/>
    </row>
    <row r="54" s="159" customFormat="1" ht="15" customHeight="1">
      <c r="A54" s="145" t="s">
        <v>62</v>
      </c>
      <c r="B54" s="146">
        <v>46021</v>
      </c>
      <c r="C54" s="147" t="s">
        <v>52</v>
      </c>
      <c r="D54" s="148">
        <v>188697.5</v>
      </c>
      <c r="E54" s="149">
        <v>22</v>
      </c>
      <c r="F54" s="149">
        <f t="shared" si="11"/>
        <v>8577.1590909090901</v>
      </c>
      <c r="G54" s="149">
        <v>14</v>
      </c>
      <c r="H54" s="149">
        <f t="shared" si="12"/>
        <v>13478.392857142857</v>
      </c>
      <c r="I54" s="149">
        <v>80</v>
      </c>
      <c r="J54" s="150">
        <f t="shared" si="13"/>
        <v>1.5714285714285714</v>
      </c>
      <c r="K54" s="149">
        <v>50083</v>
      </c>
      <c r="L54" s="149"/>
      <c r="M54" s="149"/>
      <c r="N54" s="149">
        <v>7993</v>
      </c>
      <c r="O54" s="149"/>
      <c r="P54" s="151">
        <f t="shared" si="14"/>
        <v>0.17499999999999999</v>
      </c>
      <c r="Q54" s="152">
        <f t="shared" si="15"/>
        <v>1.4189956116234888</v>
      </c>
      <c r="R54" s="153">
        <f t="shared" si="16"/>
        <v>132979.62196240274</v>
      </c>
      <c r="S54" s="154">
        <f t="shared" si="17"/>
        <v>17.048669482359326</v>
      </c>
      <c r="T54" s="154">
        <f t="shared" si="18"/>
        <v>9.7980859094019124</v>
      </c>
      <c r="U54" s="153">
        <f t="shared" si="19"/>
        <v>188697.5</v>
      </c>
      <c r="V54" s="154">
        <f t="shared" si="20"/>
        <v>22</v>
      </c>
      <c r="W54" s="154">
        <f t="shared" si="21"/>
        <v>22</v>
      </c>
      <c r="X54" s="162">
        <v>1.2</v>
      </c>
      <c r="Y54" s="162">
        <v>1.2</v>
      </c>
      <c r="Z54" s="156"/>
      <c r="AA54" s="157"/>
      <c r="AB54" s="163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8"/>
      <c r="CG54" s="158"/>
      <c r="CH54" s="158"/>
      <c r="CI54" s="158"/>
      <c r="CJ54" s="158"/>
      <c r="CK54" s="158"/>
      <c r="CL54" s="158"/>
      <c r="CM54" s="158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58"/>
      <c r="DZ54" s="158"/>
      <c r="EA54" s="158"/>
      <c r="EB54" s="158"/>
      <c r="EC54" s="158"/>
      <c r="ED54" s="158"/>
      <c r="EE54" s="158"/>
      <c r="EF54" s="158"/>
      <c r="EG54" s="158"/>
      <c r="EH54" s="158"/>
      <c r="EI54" s="158"/>
      <c r="EJ54" s="158"/>
      <c r="EK54" s="158"/>
      <c r="EL54" s="158"/>
      <c r="EM54" s="158"/>
      <c r="EN54" s="158"/>
      <c r="EO54" s="158"/>
      <c r="EP54" s="158"/>
      <c r="EQ54" s="158"/>
      <c r="ER54" s="158"/>
      <c r="ES54" s="158"/>
      <c r="ET54" s="158"/>
      <c r="EU54" s="158"/>
      <c r="EV54" s="158"/>
      <c r="EW54" s="158"/>
      <c r="EX54" s="158"/>
      <c r="EY54" s="158"/>
      <c r="EZ54" s="158"/>
      <c r="FA54" s="158"/>
      <c r="FB54" s="158"/>
      <c r="FC54" s="158"/>
      <c r="FD54" s="158"/>
      <c r="FE54" s="158"/>
      <c r="FF54" s="158"/>
      <c r="FG54" s="158"/>
      <c r="FH54" s="158"/>
      <c r="FI54" s="158"/>
      <c r="FJ54" s="158"/>
      <c r="FK54" s="158"/>
      <c r="FL54" s="158"/>
      <c r="FM54" s="158"/>
      <c r="FN54" s="158"/>
      <c r="FO54" s="158"/>
      <c r="FP54" s="158"/>
      <c r="FQ54" s="158"/>
      <c r="FR54" s="158"/>
      <c r="FS54" s="158"/>
      <c r="FT54" s="158"/>
      <c r="FU54" s="158"/>
      <c r="FV54" s="158"/>
      <c r="FW54" s="158"/>
      <c r="FX54" s="158"/>
      <c r="FY54" s="158"/>
      <c r="FZ54" s="158"/>
      <c r="GA54" s="158"/>
      <c r="GB54" s="158"/>
      <c r="GC54" s="158"/>
      <c r="GD54" s="158"/>
      <c r="GE54" s="158"/>
      <c r="GF54" s="158"/>
      <c r="GG54" s="158"/>
      <c r="GH54" s="158"/>
      <c r="GI54" s="158"/>
      <c r="GJ54" s="158"/>
      <c r="GK54" s="158"/>
      <c r="GL54" s="158"/>
      <c r="GM54" s="158"/>
      <c r="GN54" s="158"/>
      <c r="GO54" s="158"/>
      <c r="GP54" s="158"/>
      <c r="GQ54" s="158"/>
      <c r="GR54" s="158"/>
      <c r="GS54" s="158"/>
      <c r="GT54" s="158"/>
      <c r="GU54" s="158"/>
      <c r="GV54" s="158"/>
      <c r="GW54" s="158"/>
      <c r="GX54" s="158"/>
      <c r="GY54" s="158"/>
      <c r="GZ54" s="158"/>
      <c r="HA54" s="158"/>
      <c r="HB54" s="158"/>
      <c r="HC54" s="158"/>
      <c r="HD54" s="158"/>
      <c r="HE54" s="158"/>
      <c r="HF54" s="158"/>
      <c r="HG54" s="158"/>
      <c r="HH54" s="158"/>
      <c r="HI54" s="158"/>
      <c r="HJ54" s="158"/>
      <c r="HK54" s="158"/>
      <c r="HL54" s="158"/>
      <c r="HM54" s="158"/>
      <c r="HN54" s="158"/>
      <c r="HO54" s="158"/>
      <c r="HP54" s="158"/>
      <c r="HQ54" s="158"/>
      <c r="HR54" s="158"/>
      <c r="HS54" s="158"/>
      <c r="HT54" s="158"/>
      <c r="HU54" s="158"/>
      <c r="HV54" s="158"/>
      <c r="HW54" s="158"/>
      <c r="HX54" s="158"/>
      <c r="HY54" s="158"/>
      <c r="HZ54" s="158"/>
      <c r="IA54" s="158"/>
      <c r="IB54" s="158"/>
      <c r="IC54" s="158"/>
      <c r="ID54" s="158"/>
      <c r="IE54" s="158"/>
      <c r="IF54" s="158"/>
      <c r="IG54" s="158"/>
      <c r="IH54" s="158"/>
      <c r="II54" s="158"/>
      <c r="IJ54" s="158"/>
      <c r="IK54" s="158"/>
      <c r="IL54" s="158"/>
      <c r="IM54" s="158"/>
      <c r="IN54" s="158"/>
      <c r="IO54" s="158"/>
      <c r="IP54" s="158"/>
      <c r="IQ54" s="158"/>
      <c r="IR54" s="158"/>
      <c r="IS54" s="158"/>
      <c r="IT54" s="158"/>
      <c r="IU54" s="158"/>
      <c r="IV54" s="158"/>
      <c r="IW54" s="158"/>
    </row>
    <row r="55" s="159" customFormat="1" ht="15" customHeight="1">
      <c r="A55" s="145" t="s">
        <v>63</v>
      </c>
      <c r="B55" s="146">
        <v>46022</v>
      </c>
      <c r="C55" s="147" t="s">
        <v>53</v>
      </c>
      <c r="D55" s="148">
        <f>115985+22885</f>
        <v>138870</v>
      </c>
      <c r="E55" s="149">
        <v>16</v>
      </c>
      <c r="F55" s="149">
        <f t="shared" si="11"/>
        <v>8679.375</v>
      </c>
      <c r="G55" s="149">
        <v>9</v>
      </c>
      <c r="H55" s="149">
        <f t="shared" si="12"/>
        <v>15430</v>
      </c>
      <c r="I55" s="149">
        <v>60</v>
      </c>
      <c r="J55" s="150">
        <f t="shared" si="13"/>
        <v>1.7777777777777777</v>
      </c>
      <c r="K55" s="149">
        <v>54970</v>
      </c>
      <c r="L55" s="149"/>
      <c r="M55" s="149"/>
      <c r="N55" s="149"/>
      <c r="O55" s="149"/>
      <c r="P55" s="151">
        <f t="shared" si="14"/>
        <v>0.14999999999999999</v>
      </c>
      <c r="Q55" s="152">
        <f t="shared" si="15"/>
        <v>1.5037852946862653</v>
      </c>
      <c r="R55" s="153">
        <f t="shared" si="16"/>
        <v>92346.95969611303</v>
      </c>
      <c r="S55" s="154">
        <f t="shared" si="17"/>
        <v>11.839353807193978</v>
      </c>
      <c r="T55" s="154">
        <f t="shared" si="18"/>
        <v>6.8042263259735511</v>
      </c>
      <c r="U55" s="153">
        <f t="shared" si="19"/>
        <v>138870</v>
      </c>
      <c r="V55" s="154">
        <f t="shared" si="20"/>
        <v>16</v>
      </c>
      <c r="W55" s="154">
        <f t="shared" si="21"/>
        <v>16</v>
      </c>
      <c r="X55" s="162">
        <v>1</v>
      </c>
      <c r="Y55" s="162">
        <v>1</v>
      </c>
      <c r="Z55" s="156"/>
      <c r="AA55" s="157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8"/>
      <c r="CG55" s="158"/>
      <c r="CH55" s="158"/>
      <c r="CI55" s="158"/>
      <c r="CJ55" s="158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58"/>
      <c r="EC55" s="158"/>
      <c r="ED55" s="158"/>
      <c r="EE55" s="158"/>
      <c r="EF55" s="158"/>
      <c r="EG55" s="158"/>
      <c r="EH55" s="158"/>
      <c r="EI55" s="158"/>
      <c r="EJ55" s="158"/>
      <c r="EK55" s="158"/>
      <c r="EL55" s="158"/>
      <c r="EM55" s="158"/>
      <c r="EN55" s="158"/>
      <c r="EO55" s="158"/>
      <c r="EP55" s="158"/>
      <c r="EQ55" s="158"/>
      <c r="ER55" s="158"/>
      <c r="ES55" s="158"/>
      <c r="ET55" s="158"/>
      <c r="EU55" s="158"/>
      <c r="EV55" s="158"/>
      <c r="EW55" s="158"/>
      <c r="EX55" s="158"/>
      <c r="EY55" s="158"/>
      <c r="EZ55" s="158"/>
      <c r="FA55" s="158"/>
      <c r="FB55" s="158"/>
      <c r="FC55" s="158"/>
      <c r="FD55" s="158"/>
      <c r="FE55" s="158"/>
      <c r="FF55" s="158"/>
      <c r="FG55" s="158"/>
      <c r="FH55" s="158"/>
      <c r="FI55" s="158"/>
      <c r="FJ55" s="158"/>
      <c r="FK55" s="158"/>
      <c r="FL55" s="158"/>
      <c r="FM55" s="158"/>
      <c r="FN55" s="158"/>
      <c r="FO55" s="158"/>
      <c r="FP55" s="158"/>
      <c r="FQ55" s="158"/>
      <c r="FR55" s="158"/>
      <c r="FS55" s="158"/>
      <c r="FT55" s="158"/>
      <c r="FU55" s="158"/>
      <c r="FV55" s="158"/>
      <c r="FW55" s="158"/>
      <c r="FX55" s="158"/>
      <c r="FY55" s="158"/>
      <c r="FZ55" s="158"/>
      <c r="GA55" s="158"/>
      <c r="GB55" s="158"/>
      <c r="GC55" s="158"/>
      <c r="GD55" s="158"/>
      <c r="GE55" s="158"/>
      <c r="GF55" s="158"/>
      <c r="GG55" s="158"/>
      <c r="GH55" s="158"/>
      <c r="GI55" s="158"/>
      <c r="GJ55" s="158"/>
      <c r="GK55" s="158"/>
      <c r="GL55" s="158"/>
      <c r="GM55" s="158"/>
      <c r="GN55" s="158"/>
      <c r="GO55" s="158"/>
      <c r="GP55" s="158"/>
      <c r="GQ55" s="158"/>
      <c r="GR55" s="158"/>
      <c r="GS55" s="158"/>
      <c r="GT55" s="158"/>
      <c r="GU55" s="158"/>
      <c r="GV55" s="158"/>
      <c r="GW55" s="158"/>
      <c r="GX55" s="158"/>
      <c r="GY55" s="158"/>
      <c r="GZ55" s="158"/>
      <c r="HA55" s="158"/>
      <c r="HB55" s="158"/>
      <c r="HC55" s="158"/>
      <c r="HD55" s="158"/>
      <c r="HE55" s="158"/>
      <c r="HF55" s="158"/>
      <c r="HG55" s="158"/>
      <c r="HH55" s="158"/>
      <c r="HI55" s="158"/>
      <c r="HJ55" s="158"/>
      <c r="HK55" s="158"/>
      <c r="HL55" s="158"/>
      <c r="HM55" s="158"/>
      <c r="HN55" s="158"/>
      <c r="HO55" s="158"/>
      <c r="HP55" s="158"/>
      <c r="HQ55" s="158"/>
      <c r="HR55" s="158"/>
      <c r="HS55" s="158"/>
      <c r="HT55" s="158"/>
      <c r="HU55" s="158"/>
      <c r="HV55" s="158"/>
      <c r="HW55" s="158"/>
      <c r="HX55" s="158"/>
      <c r="HY55" s="158"/>
      <c r="HZ55" s="158"/>
      <c r="IA55" s="158"/>
      <c r="IB55" s="158"/>
      <c r="IC55" s="158"/>
      <c r="ID55" s="158"/>
      <c r="IE55" s="158"/>
      <c r="IF55" s="158"/>
      <c r="IG55" s="158"/>
      <c r="IH55" s="158"/>
      <c r="II55" s="158"/>
      <c r="IJ55" s="158"/>
      <c r="IK55" s="158"/>
      <c r="IL55" s="158"/>
      <c r="IM55" s="158"/>
      <c r="IN55" s="158"/>
      <c r="IO55" s="158"/>
      <c r="IP55" s="158"/>
      <c r="IQ55" s="158"/>
      <c r="IR55" s="158"/>
      <c r="IS55" s="158"/>
      <c r="IT55" s="158"/>
      <c r="IU55" s="158"/>
      <c r="IV55" s="158"/>
      <c r="IW55" s="158"/>
    </row>
    <row r="56" ht="15" customHeight="1">
      <c r="A56" s="145"/>
      <c r="B56" s="164" t="s">
        <v>64</v>
      </c>
      <c r="C56" s="164"/>
      <c r="D56" s="150">
        <f>SUM(D25:D55)</f>
        <v>1253246.2</v>
      </c>
      <c r="E56" s="149">
        <f>SUM(E25:E55)</f>
        <v>143</v>
      </c>
      <c r="F56" s="149">
        <f>IF(AND(E56&lt;&gt;"", E56&lt;&gt;0), D56/E56, "")</f>
        <v>8763.9594405594398</v>
      </c>
      <c r="G56" s="149">
        <f>SUM(G25:G55)</f>
        <v>79</v>
      </c>
      <c r="H56" s="149">
        <f t="shared" si="12"/>
        <v>15863.875949367088</v>
      </c>
      <c r="I56" s="149">
        <f>SUM(I25:I55)*0.8</f>
        <v>912</v>
      </c>
      <c r="J56" s="150">
        <f>E56/G56</f>
        <v>1.8101265822784811</v>
      </c>
      <c r="K56" s="149">
        <f>SUM(K25:K55)</f>
        <v>326792</v>
      </c>
      <c r="L56" s="149">
        <f>SUM(L25:L55)</f>
        <v>26123</v>
      </c>
      <c r="M56" s="149">
        <f t="shared" ref="M56:O56" si="22">SUM(M25:M55)</f>
        <v>50973</v>
      </c>
      <c r="N56" s="149">
        <f t="shared" si="22"/>
        <v>53655</v>
      </c>
      <c r="O56" s="149">
        <f t="shared" si="22"/>
        <v>109370</v>
      </c>
      <c r="P56" s="165">
        <f>IF(AND(I56&lt;&gt;"", I56&lt;&gt;0), G56/I56, "")</f>
        <v>0.086622807017543865</v>
      </c>
      <c r="Q56" s="152">
        <f t="shared" si="15"/>
        <v>0.48094046259455731</v>
      </c>
      <c r="R56" s="154">
        <f t="shared" ref="R56:W56" si="23">SUM(R25:R55)</f>
        <v>2605824.0000000005</v>
      </c>
      <c r="S56" s="154">
        <f t="shared" si="23"/>
        <v>334.07999999999993</v>
      </c>
      <c r="T56" s="154">
        <f t="shared" si="23"/>
        <v>191.99999999999997</v>
      </c>
      <c r="U56" s="154">
        <f t="shared" si="23"/>
        <v>1902487.7657599605</v>
      </c>
      <c r="V56" s="154">
        <f t="shared" si="23"/>
        <v>228.7011842767055</v>
      </c>
      <c r="W56" s="154">
        <f t="shared" si="23"/>
        <v>228.7011842767055</v>
      </c>
      <c r="X56" s="166"/>
      <c r="Y56" s="166"/>
    </row>
    <row r="57">
      <c r="A57" s="167"/>
      <c r="B57" s="168"/>
      <c r="C57" s="169"/>
      <c r="D57" s="170">
        <f>SUMIF(D25:D55,"",R25:R55)+D56</f>
        <v>1672296.7189507547</v>
      </c>
      <c r="E57" s="171"/>
      <c r="F57" s="169"/>
      <c r="G57" s="169"/>
      <c r="H57" s="172"/>
      <c r="I57" s="173">
        <f>I56/J14</f>
        <v>29.419354838709676</v>
      </c>
      <c r="J57" s="172"/>
      <c r="K57" s="3"/>
      <c r="L57" s="174"/>
      <c r="M57" s="171"/>
      <c r="N57" s="171"/>
      <c r="O57" s="171"/>
      <c r="P57" s="174"/>
      <c r="Q57" s="174"/>
      <c r="R57" s="174"/>
      <c r="S57" s="175"/>
      <c r="T57" s="3"/>
      <c r="V57" s="3"/>
      <c r="W57" s="3"/>
      <c r="X57" s="3"/>
      <c r="Y57" s="3"/>
    </row>
    <row r="58">
      <c r="A58" s="167"/>
      <c r="B58" s="3"/>
      <c r="C58" s="176"/>
      <c r="D58" s="176">
        <f>'Рогалевич И. Е. '!J8+'Уразгильдеева Е. Р. '!J8+'Арапова А. В.'!J8+'Доп сотрудник'!D57</f>
        <v>1253246.2</v>
      </c>
      <c r="E58" s="177">
        <f>'Рогалевич И. Е. '!E57+'Уразгильдеева Е. Р. '!E57+'Арапова А. В.'!E57+'Доп сотрудник'!E57</f>
        <v>143</v>
      </c>
      <c r="F58" s="3"/>
      <c r="G58" s="178">
        <f>'Рогалевич И. Е. '!G57+'Уразгильдеева Е. Р. '!G57+'Арапова А. В.'!G57+'Доп сотрудник'!G57</f>
        <v>79</v>
      </c>
      <c r="H58" s="3"/>
      <c r="I58" s="179">
        <f>'Рогалевич И. Е. '!I57+'Уразгильдеева Е. Р. '!I57</f>
        <v>482</v>
      </c>
      <c r="J58" s="180"/>
      <c r="K58" s="181">
        <f>'Рогалевич И. Е. '!K57+'Уразгильдеева Е. Р. '!K57+'Арапова А. В.'!K57</f>
        <v>326792</v>
      </c>
      <c r="L58" s="178">
        <f>'Рогалевич И. Е. '!L57+'Уразгильдеева Е. Р. '!L57+'Арапова А. В.'!L57</f>
        <v>26123</v>
      </c>
      <c r="M58" s="178">
        <f>'Рогалевич И. Е. '!M57+'Уразгильдеева Е. Р. '!M57+'Арапова А. В.'!M57</f>
        <v>50973</v>
      </c>
      <c r="N58" s="178"/>
      <c r="O58" s="178"/>
      <c r="P58" s="3"/>
      <c r="Q58" s="3"/>
      <c r="R58" s="3"/>
      <c r="S58" s="3"/>
      <c r="T58" s="3"/>
      <c r="V58" s="3"/>
      <c r="W58" s="3"/>
      <c r="X58" s="3"/>
      <c r="Y58" s="3"/>
    </row>
    <row r="59">
      <c r="D59" s="182"/>
      <c r="F59" s="183"/>
    </row>
    <row r="60">
      <c r="D60" s="125"/>
      <c r="G60" s="184"/>
      <c r="M60" s="182"/>
      <c r="N60" s="182"/>
      <c r="O60" s="182"/>
    </row>
    <row r="61">
      <c r="D61" s="125"/>
    </row>
    <row r="62">
      <c r="M62" s="182"/>
      <c r="N62" s="182"/>
      <c r="O62" s="182"/>
    </row>
    <row r="64">
      <c r="F64" s="2"/>
    </row>
    <row r="65">
      <c r="F65" s="2"/>
    </row>
    <row r="68">
      <c r="D68" s="185"/>
    </row>
  </sheetData>
  <mergeCells count="32">
    <mergeCell ref="B1:C1"/>
    <mergeCell ref="S1:V4"/>
    <mergeCell ref="B2:C2"/>
    <mergeCell ref="J2:R2"/>
    <mergeCell ref="I3:M4"/>
    <mergeCell ref="C4:D4"/>
    <mergeCell ref="J5:P5"/>
    <mergeCell ref="F6:Q6"/>
    <mergeCell ref="F7:H7"/>
    <mergeCell ref="P7:Q7"/>
    <mergeCell ref="F8:H8"/>
    <mergeCell ref="F9:H9"/>
    <mergeCell ref="F10:H10"/>
    <mergeCell ref="U10:V11"/>
    <mergeCell ref="X10:Y11"/>
    <mergeCell ref="F11:H11"/>
    <mergeCell ref="F12:H12"/>
    <mergeCell ref="F13:H13"/>
    <mergeCell ref="F14:H14"/>
    <mergeCell ref="F15:H15"/>
    <mergeCell ref="F16:H16"/>
    <mergeCell ref="U16:V17"/>
    <mergeCell ref="F17:H17"/>
    <mergeCell ref="F18:H18"/>
    <mergeCell ref="F19:H19"/>
    <mergeCell ref="F20:H20"/>
    <mergeCell ref="A22:P22"/>
    <mergeCell ref="Q22:Q24"/>
    <mergeCell ref="R22:Y22"/>
    <mergeCell ref="A23:A24"/>
    <mergeCell ref="B56:C56"/>
    <mergeCell ref="F64:F65"/>
  </mergeCells>
  <printOptions headings="0" gridLines="0"/>
  <pageMargins left="0.69999999999999996" right="0.69999999999999996" top="0.75" bottom="0.75" header="0.51200000000000001" footer="0.51200000000000001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6" operator="lessThan" id="{0072004D-009D-47B4-8D9A-000600860077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cellIs" priority="74" operator="lessThan" id="{0006009B-0019-4037-AE14-00A000150012}">
            <xm:f>0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P10:Q10</xm:sqref>
        </x14:conditionalFormatting>
        <x14:conditionalFormatting xmlns:xm="http://schemas.microsoft.com/office/excel/2006/main">
          <x14:cfRule type="cellIs" priority="69" operator="greaterThan" id="{00150079-0000-494B-900E-006D005400B3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68" operator="lessThan" id="{00FE0032-006F-4087-B570-007300EC00A0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65" operator="greaterThan" id="{00E8001B-000C-46D6-90C3-00BF003900F5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64" operator="lessThan" id="{0088005F-00D3-45D5-B32E-003700BC0021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62" operator="equal" id="{006C0088-0054-4ECC-8021-00DB00CC0027}">
            <xm:f>$D$56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D58</xm:sqref>
        </x14:conditionalFormatting>
        <x14:conditionalFormatting xmlns:xm="http://schemas.microsoft.com/office/excel/2006/main">
          <x14:cfRule type="cellIs" priority="61" operator="notEqual" id="{006000C6-0000-446B-8CF8-00CE00FC0040}">
            <xm:f>$D$56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D58</xm:sqref>
        </x14:conditionalFormatting>
        <x14:conditionalFormatting xmlns:xm="http://schemas.microsoft.com/office/excel/2006/main">
          <x14:cfRule type="cellIs" priority="55" operator="greaterThan" id="{00B300F8-0025-4F92-A9FE-000A00850039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54" operator="lessThan" id="{002A003F-006B-4002-BF52-000C002F00E1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42" operator="greaterThan" id="{00AF0070-0025-446F-BF38-009D001A0037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J25:J55</xm:sqref>
        </x14:conditionalFormatting>
        <x14:conditionalFormatting xmlns:xm="http://schemas.microsoft.com/office/excel/2006/main">
          <x14:cfRule type="cellIs" priority="41" operator="lessThan" id="{007800ED-003E-4D3F-A742-0077003E0021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J25:J55</xm:sqref>
        </x14:conditionalFormatting>
        <x14:conditionalFormatting xmlns:xm="http://schemas.microsoft.com/office/excel/2006/main">
          <x14:cfRule type="cellIs" priority="37" operator="between" id="{00FE0009-0080-471C-ABFB-008800F700C3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Q25:Q55</xm:sqref>
        </x14:conditionalFormatting>
        <x14:conditionalFormatting xmlns:xm="http://schemas.microsoft.com/office/excel/2006/main">
          <x14:cfRule type="cellIs" priority="36" operator="between" id="{00B700DC-00F4-4B80-B523-00B5001500AF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Q25:Q55</xm:sqref>
        </x14:conditionalFormatting>
        <x14:conditionalFormatting xmlns:xm="http://schemas.microsoft.com/office/excel/2006/main">
          <x14:cfRule type="cellIs" priority="35" operator="greaterThan" id="{00C0002D-002C-489E-8EC5-00BB0079000F}">
            <xm:f>100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Q25:Q55</xm:sqref>
        </x14:conditionalFormatting>
        <x14:conditionalFormatting xmlns:xm="http://schemas.microsoft.com/office/excel/2006/main">
          <x14:cfRule type="cellIs" priority="34" operator="greaterThan" id="{00A60022-0039-46E3-97C5-004C00A5006A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Q25:Q55</xm:sqref>
        </x14:conditionalFormatting>
        <x14:conditionalFormatting xmlns:xm="http://schemas.microsoft.com/office/excel/2006/main">
          <x14:cfRule type="cellIs" priority="33" operator="lessThan" id="{00D9004B-0005-462A-95AB-00FC00AA0030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Q25:Q55</xm:sqref>
        </x14:conditionalFormatting>
        <x14:conditionalFormatting xmlns:xm="http://schemas.microsoft.com/office/excel/2006/main">
          <x14:cfRule type="cellIs" priority="32" operator="between" id="{00030051-0067-47F4-8707-008B0000001A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Q25:Q55</xm:sqref>
        </x14:conditionalFormatting>
        <x14:conditionalFormatting xmlns:xm="http://schemas.microsoft.com/office/excel/2006/main">
          <x14:cfRule type="cellIs" priority="25" operator="notEqual" id="{00A3003F-00AF-4D39-9696-0081000D00E0}">
            <xm:f>$L$56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L58</xm:sqref>
        </x14:conditionalFormatting>
        <x14:conditionalFormatting xmlns:xm="http://schemas.microsoft.com/office/excel/2006/main">
          <x14:cfRule type="cellIs" priority="24" operator="equal" id="{00F500DD-006F-4DC5-B807-004D008B0054}">
            <xm:f>$L$56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L58</xm:sqref>
        </x14:conditionalFormatting>
        <x14:conditionalFormatting xmlns:xm="http://schemas.microsoft.com/office/excel/2006/main">
          <x14:cfRule type="cellIs" priority="21" operator="equal" id="{00F8001C-008D-4ADE-A8B2-004200D90019}">
            <xm:f>$K$56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K58</xm:sqref>
        </x14:conditionalFormatting>
        <x14:conditionalFormatting xmlns:xm="http://schemas.microsoft.com/office/excel/2006/main">
          <x14:cfRule type="cellIs" priority="20" operator="notEqual" id="{00F00085-00E4-4D0F-B7F6-009200A8008D}">
            <xm:f>$G$56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G58</xm:sqref>
        </x14:conditionalFormatting>
        <x14:conditionalFormatting xmlns:xm="http://schemas.microsoft.com/office/excel/2006/main">
          <x14:cfRule type="cellIs" priority="19" operator="greaterThan" id="{000A00CD-00AE-4DB6-BCB2-006F000700F1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V13</xm:sqref>
        </x14:conditionalFormatting>
        <x14:conditionalFormatting xmlns:xm="http://schemas.microsoft.com/office/excel/2006/main">
          <x14:cfRule type="cellIs" priority="18" operator="lessThan" id="{00A200F4-001E-4789-A033-0041001A0039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V13</xm:sqref>
        </x14:conditionalFormatting>
        <x14:conditionalFormatting xmlns:xm="http://schemas.microsoft.com/office/excel/2006/main">
          <x14:cfRule type="cellIs" priority="17" operator="between" id="{005100CF-0002-42C4-8A3B-00E5003600F8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V13</xm:sqref>
        </x14:conditionalFormatting>
        <x14:conditionalFormatting xmlns:xm="http://schemas.microsoft.com/office/excel/2006/main">
          <x14:cfRule type="cellIs" priority="16" operator="greaterThan" id="{003600A9-0059-4945-B956-00D3006100AA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V19</xm:sqref>
        </x14:conditionalFormatting>
        <x14:conditionalFormatting xmlns:xm="http://schemas.microsoft.com/office/excel/2006/main">
          <x14:cfRule type="cellIs" priority="15" operator="lessThan" id="{00000020-002E-4EC6-9D04-006000180060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V19</xm:sqref>
        </x14:conditionalFormatting>
        <x14:conditionalFormatting xmlns:xm="http://schemas.microsoft.com/office/excel/2006/main">
          <x14:cfRule type="cellIs" priority="14" operator="between" id="{00770074-00F2-467F-8F72-00FE00610048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V19</xm:sqref>
        </x14:conditionalFormatting>
        <x14:conditionalFormatting xmlns:xm="http://schemas.microsoft.com/office/excel/2006/main">
          <x14:cfRule type="cellIs" priority="13" operator="greaterThan" id="{0006003E-001D-495C-B3C5-004E005A0029}">
            <xm:f>"100;"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cellIs" priority="12" operator="greaterThan" id="{00CB00FA-0069-4E6B-B712-00BF0012007E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cellIs" priority="11" operator="lessThan" id="{00D10048-0001-4B89-B04D-00E1005B0081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cellIs" priority="10" operator="greaterThan" id="{00620059-0018-4339-AE85-00A300460062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cellIs" priority="9" operator="lessThan" id="{004200D4-008D-4DC4-99F1-004F00A70072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cellIs" priority="8" operator="between" id="{007E00D5-0001-4EFC-A1D9-00060093009F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cellIs" priority="7" operator="greaterThan" id="{001900B6-000E-47B7-862E-00C600B6005C}">
            <xm:f>$I$20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P25:P55</xm:sqref>
        </x14:conditionalFormatting>
        <x14:conditionalFormatting xmlns:xm="http://schemas.microsoft.com/office/excel/2006/main">
          <x14:cfRule type="cellIs" priority="6" operator="lessThan" id="{00E400EF-0054-4272-B3AE-00FB005A0054}">
            <xm:f>$I$20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P25:P55</xm:sqref>
        </x14:conditionalFormatting>
        <x14:conditionalFormatting xmlns:xm="http://schemas.microsoft.com/office/excel/2006/main">
          <x14:cfRule type="cellIs" priority="5" operator="lessThan" id="{006B0001-0086-4FCC-8755-00B2003E00FB}">
            <xm:f>$K$17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4" operator="greaterThan" id="{00650094-004B-4809-8215-007600080019}">
            <xm:f>$K$17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3" operator="equal" id="{00BC00D3-0000-4B68-BCAF-004A005A0002}">
            <xm:f>$M$56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M58:O58</xm:sqref>
        </x14:conditionalFormatting>
        <x14:conditionalFormatting xmlns:xm="http://schemas.microsoft.com/office/excel/2006/main">
          <x14:cfRule type="cellIs" priority="2" operator="greaterThan" id="{001D00B0-0039-4E22-8F0D-004A00CE005A}">
            <xm:f>$I$15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D25:D55</xm:sqref>
        </x14:conditionalFormatting>
        <x14:conditionalFormatting xmlns:xm="http://schemas.microsoft.com/office/excel/2006/main">
          <x14:cfRule type="cellIs" priority="1" operator="lessThan" id="{000200AF-00DD-4CE8-A5F4-00DC00620078}">
            <xm:f>$I$15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D25:D55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7" zoomScale="108" workbookViewId="0">
      <selection activeCell="H17" activeCellId="0" sqref="H17"/>
    </sheetView>
  </sheetViews>
  <sheetFormatPr baseColWidth="10" defaultColWidth="10" defaultRowHeight="14.25"/>
  <cols>
    <col bestFit="1" customWidth="1" min="1" max="1" width="21.1640625"/>
    <col customWidth="1" min="2" max="12" width="11.5"/>
    <col customWidth="1" min="13" max="25" width="4.1640625"/>
  </cols>
  <sheetData>
    <row r="1" s="186" customFormat="1" ht="16">
      <c r="A1" s="187"/>
    </row>
    <row r="2" s="186" customFormat="1" ht="16">
      <c r="A2" s="188" t="s">
        <v>65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="186" customFormat="1" ht="16">
      <c r="A3" s="191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3"/>
    </row>
    <row r="4" s="194" customFormat="1" ht="30" customHeight="1">
      <c r="A4" s="195" t="s">
        <v>66</v>
      </c>
      <c r="B4" s="196">
        <v>45282</v>
      </c>
      <c r="C4" s="196">
        <v>45283</v>
      </c>
      <c r="D4" s="196">
        <v>45284</v>
      </c>
      <c r="E4" s="196">
        <v>45285</v>
      </c>
      <c r="F4" s="196">
        <v>45286</v>
      </c>
      <c r="G4" s="196">
        <v>45287</v>
      </c>
      <c r="H4" s="196">
        <v>45288</v>
      </c>
      <c r="I4" s="196">
        <v>45289</v>
      </c>
      <c r="J4" s="196">
        <v>45290</v>
      </c>
      <c r="K4" s="197">
        <v>45291</v>
      </c>
      <c r="L4" s="195" t="s">
        <v>67</v>
      </c>
    </row>
    <row r="5" s="186" customFormat="1" ht="30" customHeight="1">
      <c r="A5" s="198" t="s">
        <v>68</v>
      </c>
      <c r="B5" s="199"/>
      <c r="C5" s="199"/>
      <c r="D5" s="199"/>
      <c r="E5" s="200">
        <v>0.56999999999999995</v>
      </c>
      <c r="F5" s="200">
        <v>0.72999999999999998</v>
      </c>
      <c r="G5" s="200">
        <v>0.88</v>
      </c>
      <c r="H5" s="200">
        <v>0.97999999999999998</v>
      </c>
      <c r="I5" s="200">
        <v>0.68999999999999995</v>
      </c>
      <c r="J5" s="200">
        <v>1.8200000000000001</v>
      </c>
      <c r="K5" s="201">
        <v>2.8900000000000001</v>
      </c>
      <c r="L5" s="202"/>
    </row>
    <row r="6" s="186" customFormat="1" ht="30" customHeight="1">
      <c r="A6" s="203" t="s">
        <v>69</v>
      </c>
      <c r="B6" s="204"/>
      <c r="C6" s="204">
        <v>0</v>
      </c>
      <c r="D6" s="204">
        <v>0</v>
      </c>
      <c r="E6" s="204">
        <v>0</v>
      </c>
      <c r="F6" s="204">
        <v>0</v>
      </c>
      <c r="G6" s="204">
        <v>0.82999999999999996</v>
      </c>
      <c r="H6" s="204">
        <v>0</v>
      </c>
      <c r="I6" s="204">
        <v>0.28000000000000003</v>
      </c>
      <c r="J6" s="204">
        <v>0.46000000000000002</v>
      </c>
      <c r="K6" s="205">
        <v>0.89000000000000001</v>
      </c>
      <c r="L6" s="206"/>
    </row>
    <row r="7" s="186" customFormat="1" ht="30" customHeight="1">
      <c r="A7" s="207" t="s">
        <v>70</v>
      </c>
      <c r="B7" s="208">
        <v>0.39000000000000001</v>
      </c>
      <c r="C7" s="209">
        <v>0</v>
      </c>
      <c r="D7" s="209"/>
      <c r="E7" s="209">
        <v>0</v>
      </c>
      <c r="F7" s="208">
        <v>0.48999999999999999</v>
      </c>
      <c r="G7" s="208">
        <v>1.1899999999999999</v>
      </c>
      <c r="H7" s="208">
        <v>0.68999999999999995</v>
      </c>
      <c r="I7" s="209"/>
      <c r="J7" s="209">
        <v>1.6299999999999999</v>
      </c>
      <c r="K7" s="210">
        <v>0.81000000000000005</v>
      </c>
      <c r="L7" s="211"/>
    </row>
    <row r="9">
      <c r="A9" s="188" t="s">
        <v>71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90"/>
    </row>
    <row r="10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3"/>
    </row>
    <row r="11" ht="31" customHeight="1">
      <c r="A11" s="195" t="s">
        <v>66</v>
      </c>
      <c r="B11" s="196">
        <v>45282</v>
      </c>
      <c r="C11" s="196">
        <v>45283</v>
      </c>
      <c r="D11" s="196">
        <v>45284</v>
      </c>
      <c r="E11" s="196">
        <v>45285</v>
      </c>
      <c r="F11" s="196">
        <v>45286</v>
      </c>
      <c r="G11" s="196">
        <v>45287</v>
      </c>
      <c r="H11" s="196">
        <v>45288</v>
      </c>
      <c r="I11" s="196">
        <v>45289</v>
      </c>
      <c r="J11" s="196">
        <v>45290</v>
      </c>
      <c r="K11" s="197">
        <v>45291</v>
      </c>
      <c r="L11" s="195" t="s">
        <v>67</v>
      </c>
    </row>
    <row r="12" ht="30" customHeight="1">
      <c r="A12" s="198" t="s">
        <v>68</v>
      </c>
      <c r="B12" s="212"/>
      <c r="C12" s="212"/>
      <c r="D12" s="212"/>
      <c r="E12" s="213">
        <v>1</v>
      </c>
      <c r="F12" s="213">
        <v>1</v>
      </c>
      <c r="G12" s="213">
        <v>1</v>
      </c>
      <c r="H12" s="213">
        <v>1</v>
      </c>
      <c r="I12" s="213">
        <v>1</v>
      </c>
      <c r="J12" s="213">
        <v>2</v>
      </c>
      <c r="K12" s="214">
        <v>3</v>
      </c>
      <c r="L12" s="215">
        <f t="shared" ref="L12:L14" si="24">SUM(B12:K12)</f>
        <v>10</v>
      </c>
    </row>
    <row r="13" ht="30" customHeight="1">
      <c r="A13" s="203" t="s">
        <v>69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7"/>
      <c r="L13" s="218">
        <f t="shared" si="24"/>
        <v>0</v>
      </c>
    </row>
    <row r="14" ht="30" customHeight="1">
      <c r="A14" s="207" t="s">
        <v>70</v>
      </c>
      <c r="B14" s="219">
        <v>1</v>
      </c>
      <c r="C14" s="220"/>
      <c r="D14" s="220"/>
      <c r="E14" s="220"/>
      <c r="F14" s="219">
        <v>1</v>
      </c>
      <c r="G14" s="219">
        <v>2</v>
      </c>
      <c r="H14" s="219">
        <v>1</v>
      </c>
      <c r="I14" s="220"/>
      <c r="J14" s="219">
        <v>1</v>
      </c>
      <c r="K14" s="221"/>
      <c r="L14" s="222">
        <f t="shared" si="24"/>
        <v>6</v>
      </c>
    </row>
  </sheetData>
  <mergeCells count="2">
    <mergeCell ref="A2:L3"/>
    <mergeCell ref="A9:L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6" activeCellId="0" sqref="D16:F16"/>
    </sheetView>
  </sheetViews>
  <sheetFormatPr baseColWidth="10" defaultColWidth="10" defaultRowHeight="14.25"/>
  <cols>
    <col min="1" max="1" style="3" width="10.83203125"/>
    <col customWidth="1" min="2" max="2" style="3" width="10"/>
    <col customWidth="1" min="3" max="3" style="3" width="1.6640625"/>
    <col customWidth="1" min="4" max="11" style="3" width="11.6640625"/>
    <col customWidth="1" min="12" max="12" style="3" width="13.1640625"/>
    <col customWidth="1" min="13" max="14" width="11.6640625"/>
    <col customWidth="1" min="15" max="15" width="15.33203125"/>
  </cols>
  <sheetData>
    <row r="1" ht="22" customHeight="1">
      <c r="A1" s="223" t="s">
        <v>72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</row>
    <row r="2" ht="18" customHeight="1">
      <c r="A2" s="226" t="s">
        <v>3</v>
      </c>
      <c r="B2" s="227"/>
      <c r="C2" s="227"/>
      <c r="D2" s="228" t="str">
        <f>'Ялта, Ленина, 18'!I3</f>
        <v xml:space="preserve">ул. Набережная Ленина, 18</v>
      </c>
      <c r="E2" s="229"/>
      <c r="F2" s="229"/>
      <c r="G2" s="230" t="str">
        <f>График!B29</f>
        <v xml:space="preserve">Рогалевич Ирина</v>
      </c>
      <c r="H2" s="231"/>
      <c r="I2" s="231"/>
      <c r="J2" s="232" t="str">
        <f>График!B28</f>
        <v xml:space="preserve">Уразгильдеева Екатерина</v>
      </c>
      <c r="K2" s="233"/>
      <c r="L2" s="234"/>
      <c r="M2" s="232" t="str">
        <f>График!B27</f>
        <v xml:space="preserve">Арапова Анна-Мария</v>
      </c>
      <c r="N2" s="233"/>
      <c r="O2" s="234"/>
    </row>
    <row r="3" ht="18" customHeight="1">
      <c r="A3" s="235"/>
      <c r="B3" s="236"/>
      <c r="C3" s="236"/>
      <c r="D3" s="237" t="s">
        <v>73</v>
      </c>
      <c r="E3" s="238"/>
      <c r="F3" s="239" t="s">
        <v>74</v>
      </c>
      <c r="G3" s="240" t="s">
        <v>5</v>
      </c>
      <c r="H3" s="241"/>
      <c r="I3" s="242" t="s">
        <v>74</v>
      </c>
      <c r="J3" s="243" t="s">
        <v>5</v>
      </c>
      <c r="K3" s="244"/>
      <c r="L3" s="245" t="s">
        <v>74</v>
      </c>
      <c r="M3" s="243" t="s">
        <v>5</v>
      </c>
      <c r="N3" s="244"/>
      <c r="O3" s="245" t="s">
        <v>74</v>
      </c>
    </row>
    <row r="4">
      <c r="A4" s="246" t="s">
        <v>12</v>
      </c>
      <c r="B4" s="246"/>
      <c r="C4" s="247"/>
      <c r="D4" s="248">
        <f>'Ялта, Ленина, 18'!K8</f>
        <v>0.48094046259455742</v>
      </c>
      <c r="E4" s="249">
        <f>'Ялта, Ленина, 18'!J8</f>
        <v>1253246.2</v>
      </c>
      <c r="F4" s="250">
        <f>'Ялта, Ленина, 18'!M8</f>
        <v>0.5731028891930201</v>
      </c>
      <c r="G4" s="251">
        <f>'Рогалевич И. Е. '!K8</f>
        <v>0.74053666490358305</v>
      </c>
      <c r="H4" s="252">
        <f>'Рогалевич И. Е. '!J8</f>
        <v>352381.5</v>
      </c>
      <c r="I4" s="253">
        <f>'Рогалевич И. Е. '!M8</f>
        <v>1.2188957527916118</v>
      </c>
      <c r="J4" s="254">
        <f>'Уразгильдеева Е. Р. '!K8</f>
        <v>0.55855871858027029</v>
      </c>
      <c r="K4" s="252">
        <f>'Уразгильдеева Е. Р. '!J8</f>
        <v>620172</v>
      </c>
      <c r="L4" s="255">
        <f>'Уразгильдеева Е. Р. '!M8</f>
        <v>0.64369128357433913</v>
      </c>
      <c r="M4" s="254" t="e">
        <f>'[1]Яковенко А. К'!K8</f>
        <v>#REF!</v>
      </c>
      <c r="N4" s="252" t="e">
        <f>'[1]Яковенко А. К'!J8</f>
        <v>#REF!</v>
      </c>
      <c r="O4" s="255" t="e">
        <f>'[1]Яковенко А. К'!M8</f>
        <v>#REF!</v>
      </c>
    </row>
    <row r="5">
      <c r="A5" s="59" t="s">
        <v>13</v>
      </c>
      <c r="B5" s="59"/>
      <c r="C5" s="256"/>
      <c r="D5" s="257">
        <f>'Ялта, Ленина, 18'!K9</f>
        <v>0.42804118773946365</v>
      </c>
      <c r="E5" s="258">
        <f>'Ялта, Ленина, 18'!J9</f>
        <v>143</v>
      </c>
      <c r="F5" s="259">
        <f>'Ялта, Ленина, 18'!M9</f>
        <v>0.51006654766309656</v>
      </c>
      <c r="G5" s="260">
        <f>'Рогалевич И. Е. '!K9</f>
        <v>0.63928229337712095</v>
      </c>
      <c r="H5" s="261">
        <f>'Рогалевич И. Е. '!J9</f>
        <v>39</v>
      </c>
      <c r="I5" s="262">
        <f>'Рогалевич И. Е. '!M9</f>
        <v>1.1408067861611926</v>
      </c>
      <c r="J5" s="263">
        <f>'Уразгильдеева Е. Р. '!K9</f>
        <v>0.49175561029009307</v>
      </c>
      <c r="K5" s="264">
        <f>'Уразгильдеева Е. Р. '!J9</f>
        <v>70</v>
      </c>
      <c r="L5" s="265">
        <f>'Уразгильдеева Е. Р. '!M9</f>
        <v>0.566706398920927</v>
      </c>
      <c r="M5" s="263" t="e">
        <f>'[1]Яковенко А. К'!K9</f>
        <v>#REF!</v>
      </c>
      <c r="N5" s="264" t="e">
        <f>'[1]Яковенко А. К'!J9</f>
        <v>#REF!</v>
      </c>
      <c r="O5" s="265" t="e">
        <f>'[1]Яковенко А. К'!M9</f>
        <v>#REF!</v>
      </c>
    </row>
    <row r="6">
      <c r="A6" s="246" t="s">
        <v>14</v>
      </c>
      <c r="B6" s="246"/>
      <c r="C6" s="247"/>
      <c r="D6" s="257">
        <f>'Ялта, Ленина, 18'!K10</f>
        <v>1.1688679597234812</v>
      </c>
      <c r="E6" s="266">
        <f>'Ялта, Ленина, 18'!J10</f>
        <v>15863.875949367088</v>
      </c>
      <c r="F6" s="259">
        <f>'Ялта, Ленина, 18'!M10</f>
        <v>1.1688679597234812</v>
      </c>
      <c r="G6" s="260">
        <f>'Рогалевич И. Е. '!K10</f>
        <v>1.3665189166550329</v>
      </c>
      <c r="H6" s="267">
        <f>'Рогалевич И. Е. '!J10</f>
        <v>18546.394736842107</v>
      </c>
      <c r="I6" s="262">
        <f>'Рогалевич И. Е. '!M10</f>
        <v>1.3665189166550329</v>
      </c>
      <c r="J6" s="263">
        <f>'Уразгильдеева Е. Р. '!K10</f>
        <v>1.1145112246878437</v>
      </c>
      <c r="K6" s="267">
        <f>'Уразгильдеева Е. Р. '!J10</f>
        <v>15126.146341463415</v>
      </c>
      <c r="L6" s="265">
        <f>'Уразгильдеева Е. Р. '!M10</f>
        <v>1.1145112246878437</v>
      </c>
      <c r="M6" s="263" t="e">
        <f>'[1]Яковенко А. К'!K10</f>
        <v>#REF!</v>
      </c>
      <c r="N6" s="264" t="e">
        <f>'[1]Яковенко А. К'!J10</f>
        <v>#REF!</v>
      </c>
      <c r="O6" s="265" t="e">
        <f>'[1]Яковенко А. К'!M10</f>
        <v>#REF!</v>
      </c>
    </row>
    <row r="7">
      <c r="A7" s="59" t="s">
        <v>15</v>
      </c>
      <c r="B7" s="59"/>
      <c r="C7" s="256"/>
      <c r="D7" s="257">
        <f>'Ялта, Ленина, 18'!K11</f>
        <v>1.1235845436614667</v>
      </c>
      <c r="E7" s="266">
        <f>'Ялта, Ленина, 18'!J11</f>
        <v>8763.9594405594398</v>
      </c>
      <c r="F7" s="259">
        <f>'Ялта, Ленина, 18'!M11</f>
        <v>1.1235845436614669</v>
      </c>
      <c r="G7" s="260">
        <f>'Рогалевич И. Е. '!K11</f>
        <v>1.1583875739644969</v>
      </c>
      <c r="H7" s="267">
        <f>'Рогалевич И. Е. '!J11</f>
        <v>9035.4230769230762</v>
      </c>
      <c r="I7" s="262">
        <f>'Рогалевич И. Е. '!M11</f>
        <v>1.0684506505200482</v>
      </c>
      <c r="J7" s="263">
        <f>'Уразгильдеева Е. Р. '!K11</f>
        <v>1.1358461538461539</v>
      </c>
      <c r="K7" s="267">
        <f>'Уразгильдеева Е. Р. '!J11</f>
        <v>8859.6000000000004</v>
      </c>
      <c r="L7" s="265">
        <f>'Уразгильдеева Е. Р. '!M11</f>
        <v>1.1358461538461542</v>
      </c>
      <c r="M7" s="263" t="e">
        <f>'[1]Яковенко А. К'!K11</f>
        <v>#REF!</v>
      </c>
      <c r="N7" s="264" t="e">
        <f>'[1]Яковенко А. К'!J11</f>
        <v>#REF!</v>
      </c>
      <c r="O7" s="265" t="e">
        <f>'[1]Яковенко А. К'!M11</f>
        <v>#REF!</v>
      </c>
    </row>
    <row r="8">
      <c r="A8" s="59" t="s">
        <v>16</v>
      </c>
      <c r="B8" s="59"/>
      <c r="C8" s="256"/>
      <c r="D8" s="257">
        <f>'Ялта, Ленина, 18'!K12</f>
        <v>1.04030263349338</v>
      </c>
      <c r="E8" s="268">
        <f>'Ялта, Ленина, 18'!J12</f>
        <v>1.8101265822784811</v>
      </c>
      <c r="F8" s="259">
        <f>'Ялта, Ленина, 18'!M12</f>
        <v>1.04030263349338</v>
      </c>
      <c r="G8" s="260">
        <f>'Рогалевич И. Е. '!K12</f>
        <v>1.1796733212341199</v>
      </c>
      <c r="H8" s="269">
        <f>'Рогалевич И. Е. '!J12</f>
        <v>2.0526315789473686</v>
      </c>
      <c r="I8" s="262">
        <f>'Рогалевич И. Е. '!M12</f>
        <v>1.1796733212341199</v>
      </c>
      <c r="J8" s="263">
        <f>'Уразгильдеева Е. Р. '!K12</f>
        <v>0.98121670871881128</v>
      </c>
      <c r="K8" s="270">
        <f>'Уразгильдеева Е. Р. '!J12</f>
        <v>1.7073170731707317</v>
      </c>
      <c r="L8" s="265">
        <f>'Уразгильдеева Е. Р. '!M12</f>
        <v>0.98121670871881128</v>
      </c>
      <c r="M8" s="263" t="e">
        <f>'[1]Яковенко А. К'!K12</f>
        <v>#REF!</v>
      </c>
      <c r="N8" s="270" t="e">
        <f>'[1]Яковенко А. К'!J12</f>
        <v>#REF!</v>
      </c>
      <c r="O8" s="265" t="e">
        <f>'[1]Яковенко А. К'!M12</f>
        <v>#REF!</v>
      </c>
    </row>
    <row r="9">
      <c r="A9" s="59" t="s">
        <v>17</v>
      </c>
      <c r="B9" s="59"/>
      <c r="C9" s="256"/>
      <c r="D9" s="257">
        <f>'Ялта, Ленина, 18'!K13</f>
        <v>0.41145833333333331</v>
      </c>
      <c r="E9" s="258">
        <f>'Ялта, Ленина, 18'!J13</f>
        <v>79</v>
      </c>
      <c r="F9" s="259">
        <f>'Ялта, Ленина, 18'!M13</f>
        <v>0.49030592756481983</v>
      </c>
      <c r="G9" s="260">
        <f>'Рогалевич И. Е. '!K13</f>
        <v>0.54191468253968256</v>
      </c>
      <c r="H9" s="261">
        <f>'Рогалевич И. Е. '!J13</f>
        <v>19</v>
      </c>
      <c r="I9" s="262">
        <f>'Рогалевич И. Е. '!M13</f>
        <v>0.96705313719202612</v>
      </c>
      <c r="J9" s="263">
        <f>'Уразгильдеева Е. Р. '!K13</f>
        <v>0.5011692176870749</v>
      </c>
      <c r="K9" s="264">
        <f>'Уразгильдеева Е. Р. '!J13</f>
        <v>41</v>
      </c>
      <c r="L9" s="265">
        <f>'Уразгильдеева Е. Р. '!M13</f>
        <v>0.57755477855741366</v>
      </c>
      <c r="M9" s="263" t="e">
        <f>'[1]Яковенко А. К'!K13</f>
        <v>#REF!</v>
      </c>
      <c r="N9" s="264" t="e">
        <f>'[1]Яковенко А. К'!J13</f>
        <v>#REF!</v>
      </c>
      <c r="O9" s="265" t="e">
        <f>'[1]Яковенко А. К'!M13</f>
        <v>#REF!</v>
      </c>
    </row>
    <row r="10">
      <c r="A10" s="59" t="s">
        <v>75</v>
      </c>
      <c r="B10" s="59"/>
      <c r="C10" s="256"/>
      <c r="D10" s="257">
        <f>'Ялта, Ленина, 18'!K14</f>
        <v>1</v>
      </c>
      <c r="E10" s="271">
        <f>'Ялта, Ленина, 18'!J14</f>
        <v>31</v>
      </c>
      <c r="F10" s="259"/>
      <c r="G10" s="260">
        <f>'Рогалевич И. Е. '!K14</f>
        <v>1</v>
      </c>
      <c r="H10" s="261">
        <f>'Рогалевич И. Е. '!J14</f>
        <v>12</v>
      </c>
      <c r="I10" s="262"/>
      <c r="J10" s="263">
        <f>'Уразгильдеева Е. Р. '!K14</f>
        <v>1</v>
      </c>
      <c r="K10" s="261">
        <f>'Уразгильдеева Е. Р. '!J14</f>
        <v>23</v>
      </c>
      <c r="L10" s="265"/>
      <c r="M10" s="263" t="e">
        <f>'[1]Яковенко А. К'!K14</f>
        <v>#REF!</v>
      </c>
      <c r="N10" s="264" t="e">
        <f>'[1]Яковенко А. К'!J14</f>
        <v>#REF!</v>
      </c>
      <c r="O10" s="265"/>
    </row>
    <row r="11">
      <c r="A11" s="59" t="s">
        <v>19</v>
      </c>
      <c r="B11" s="59"/>
      <c r="C11" s="256"/>
      <c r="D11" s="257">
        <f>'Ялта, Ленина, 18'!K15</f>
        <v>0.48094046259455742</v>
      </c>
      <c r="E11" s="272">
        <f>'Ялта, Ленина, 18'!J15</f>
        <v>40427.29677419355</v>
      </c>
      <c r="F11" s="259">
        <f>'Ялта, Ленина, 18'!M15</f>
        <v>0.48094046259455742</v>
      </c>
      <c r="G11" s="260">
        <f>'Рогалевич И. Е. '!K15</f>
        <v>0.34934012235669021</v>
      </c>
      <c r="H11" s="267">
        <f>'Рогалевич И. Е. '!J15</f>
        <v>29365.125</v>
      </c>
      <c r="I11" s="262">
        <f>'Рогалевич И. Е. '!M15</f>
        <v>0.34934012235669021</v>
      </c>
      <c r="J11" s="263">
        <f>'Уразгильдеева Е. Р. '!K15</f>
        <v>0.32077530946065425</v>
      </c>
      <c r="K11" s="267">
        <f>'Уразгильдеева Е. Р. '!J15</f>
        <v>26964</v>
      </c>
      <c r="L11" s="265">
        <f>'Уразгильдеева Е. Р. '!M15</f>
        <v>0.32077530946065425</v>
      </c>
      <c r="M11" s="263" t="e">
        <f>'[1]Яковенко А. К'!K15</f>
        <v>#REF!</v>
      </c>
      <c r="N11" s="264" t="e">
        <f>'[1]Яковенко А. К'!J15</f>
        <v>#REF!</v>
      </c>
      <c r="O11" s="265" t="e">
        <f>'[1]Яковенко А. К'!M15</f>
        <v>#REF!</v>
      </c>
    </row>
    <row r="12">
      <c r="A12" s="273" t="s">
        <v>21</v>
      </c>
      <c r="B12" s="274"/>
      <c r="C12" s="275"/>
      <c r="D12" s="257">
        <f>'Ялта, Ленина, 18'!K17</f>
        <v>0.56999999999999995</v>
      </c>
      <c r="E12" s="271">
        <f>'Ялта, Ленина, 18'!J17</f>
        <v>912</v>
      </c>
      <c r="F12" s="259">
        <f>'Ялта, Ленина, 18'!M17</f>
        <v>0.56999999999999995</v>
      </c>
      <c r="G12" s="260">
        <f>'Рогалевич И. Е. '!K17</f>
        <v>0.54077380952380949</v>
      </c>
      <c r="H12" s="261">
        <f>'Рогалевич И. Е. '!J17</f>
        <v>158</v>
      </c>
      <c r="I12" s="262">
        <f>'Рогалевич И. Е. '!M17</f>
        <v>0.54077380952380949</v>
      </c>
      <c r="J12" s="263">
        <f>'Уразгильдеева Е. Р. '!K17</f>
        <v>0.47525510204081634</v>
      </c>
      <c r="K12" s="261">
        <f>'Уразгильдеева Е. Р. '!J17</f>
        <v>324</v>
      </c>
      <c r="L12" s="265">
        <f>'Уразгильдеева Е. Р. '!M17</f>
        <v>0.47525510204081634</v>
      </c>
      <c r="M12" s="263" t="e">
        <f>'[1]Яковенко А. К'!K17</f>
        <v>#REF!</v>
      </c>
      <c r="N12" s="261" t="e">
        <f>'[1]Яковенко А. К'!J17</f>
        <v>#REF!</v>
      </c>
      <c r="O12" s="265" t="e">
        <f>'[1]Яковенко А. К'!M17</f>
        <v>#REF!</v>
      </c>
    </row>
    <row r="13">
      <c r="A13" s="273" t="s">
        <v>35</v>
      </c>
      <c r="B13" s="274"/>
      <c r="C13" s="275"/>
      <c r="D13" s="257">
        <f>'Ялта, Ленина, 18'!U19</f>
        <v>0.3203843137254902</v>
      </c>
      <c r="E13" s="272">
        <f>'Ялта, Ленина, 18'!V18</f>
        <v>326792</v>
      </c>
      <c r="F13" s="259">
        <f>'Ялта, Ленина, 18'!V19</f>
        <v>0.3203843137254902</v>
      </c>
      <c r="G13" s="260">
        <f>'Рогалевич И. Е. '!S19</f>
        <v>0.41586834733893563</v>
      </c>
      <c r="H13" s="267">
        <f>'Рогалевич И. Е. '!T18</f>
        <v>77460</v>
      </c>
      <c r="I13" s="262">
        <f>'Рогалевич И. Е. '!T19</f>
        <v>0.41586834733893563</v>
      </c>
      <c r="J13" s="263">
        <f>'Уразгильдеева Е. Р. '!S19</f>
        <v>0.46331792717086839</v>
      </c>
      <c r="K13" s="267">
        <f>'Уразгильдеева Е. Р. '!T18</f>
        <v>201362</v>
      </c>
      <c r="L13" s="265">
        <f>'Уразгильдеева Е. Р. '!T19</f>
        <v>0.46331792717086839</v>
      </c>
      <c r="M13" s="263" t="e">
        <f>'[1]Яковенко А. К'!S19</f>
        <v>#REF!</v>
      </c>
      <c r="N13" s="276" t="e">
        <f>'[1]Яковенко А. К'!T18</f>
        <v>#REF!</v>
      </c>
      <c r="O13" s="265" t="e">
        <f>'[1]Яковенко А. К'!T19</f>
        <v>#REF!</v>
      </c>
    </row>
    <row r="14">
      <c r="A14" s="273" t="s">
        <v>36</v>
      </c>
      <c r="B14" s="274"/>
      <c r="C14" s="275"/>
      <c r="D14" s="277">
        <f>'Ялта, Ленина, 18'!U13</f>
        <v>0.051221568627450982</v>
      </c>
      <c r="E14" s="272">
        <f>'Ялта, Ленина, 18'!V12</f>
        <v>26123</v>
      </c>
      <c r="F14" s="278">
        <f>'Ялта, Ленина, 18'!V13</f>
        <v>0.051221568627450982</v>
      </c>
      <c r="G14" s="260">
        <f>'Рогалевич И. Е. '!S13</f>
        <v>0.2781367880485528</v>
      </c>
      <c r="H14" s="267">
        <f>'Рогалевич И. Е. '!T12</f>
        <v>25903</v>
      </c>
      <c r="I14" s="262">
        <f>'Рогалевич И. Е. '!T13</f>
        <v>0.2781367880485528</v>
      </c>
      <c r="J14" s="263">
        <f>'Уразгильдеева Е. Р. '!S13</f>
        <v>0.0010124049619847941</v>
      </c>
      <c r="K14" s="267">
        <f>'Уразгильдеева Е. Р. '!T12</f>
        <v>220</v>
      </c>
      <c r="L14" s="265">
        <f>'Уразгильдеева Е. Р. '!T13</f>
        <v>0.0010124049619847941</v>
      </c>
      <c r="M14" s="263" t="e">
        <f>'[1]Яковенко А. К'!S13</f>
        <v>#REF!</v>
      </c>
      <c r="N14" s="267" t="e">
        <f>'[1]Яковенко А. К'!T12</f>
        <v>#REF!</v>
      </c>
      <c r="O14" s="265" t="e">
        <f>'[1]Яковенко А. К'!T13</f>
        <v>#REF!</v>
      </c>
    </row>
    <row r="15">
      <c r="A15" s="273" t="str">
        <f>'Ялта, Ленина, 18'!M23</f>
        <v>Agafi</v>
      </c>
      <c r="B15" s="274"/>
      <c r="C15" s="275"/>
      <c r="D15" s="279">
        <f>'Ялта, Ленина, 18'!X13</f>
        <v>0.10619375</v>
      </c>
      <c r="E15" s="280">
        <f>'Ялта, Ленина, 18'!Y12</f>
        <v>50973</v>
      </c>
      <c r="F15" s="281">
        <f>'Ялта, Ленина, 18'!Y13</f>
        <v>0.10619375</v>
      </c>
      <c r="G15" s="282">
        <f>'Рогалевич И. Е. '!V13</f>
        <v>0</v>
      </c>
      <c r="H15" s="283">
        <f>'Рогалевич И. Е. '!W12</f>
        <v>0</v>
      </c>
      <c r="I15" s="284">
        <f>'Рогалевич И. Е. '!W13</f>
        <v>0</v>
      </c>
      <c r="J15" s="285">
        <f>'Уразгильдеева Е. Р. '!V13</f>
        <v>0.18178996598639455</v>
      </c>
      <c r="K15" s="283">
        <f>'Уразгильдеева Е. Р. '!W12</f>
        <v>37180</v>
      </c>
      <c r="L15" s="286">
        <f>'Уразгильдеева Е. Р. '!W13</f>
        <v>0.18178996598639452</v>
      </c>
      <c r="M15" s="285" t="e">
        <f>'[1]Яковенко А. К'!V13</f>
        <v>#REF!</v>
      </c>
      <c r="N15" s="283" t="e">
        <f>'[1]Яковенко А. К'!W12</f>
        <v>#REF!</v>
      </c>
      <c r="O15" s="286" t="e">
        <f>'[1]Яковенко А. К'!W13</f>
        <v>#REF!</v>
      </c>
    </row>
    <row r="16">
      <c r="A16" s="287" t="s">
        <v>76</v>
      </c>
      <c r="B16" s="287"/>
      <c r="C16" s="287"/>
      <c r="D16" s="288">
        <f>'Ялта, Ленина, 18'!J16</f>
        <v>-1352577.8</v>
      </c>
      <c r="E16" s="289"/>
      <c r="F16" s="290"/>
      <c r="G16" s="291">
        <f>'Рогалевич И. Е. '!N8</f>
        <v>104160.69503105589</v>
      </c>
      <c r="H16" s="292"/>
      <c r="I16" s="293"/>
      <c r="J16" s="294">
        <f>'Уразгильдеева Е. Р. '!N8</f>
        <v>-395612.28199032939</v>
      </c>
      <c r="K16" s="283"/>
      <c r="L16" s="295"/>
      <c r="M16" s="294" t="e">
        <f>'[1]Яковенко А. К'!N8</f>
        <v>#REF!</v>
      </c>
      <c r="N16" s="283"/>
      <c r="O16" s="295"/>
    </row>
  </sheetData>
  <mergeCells count="27">
    <mergeCell ref="A1:O1"/>
    <mergeCell ref="A2:C3"/>
    <mergeCell ref="D2:F2"/>
    <mergeCell ref="G2:I2"/>
    <mergeCell ref="J2:L2"/>
    <mergeCell ref="M2:O2"/>
    <mergeCell ref="D3:E3"/>
    <mergeCell ref="G3:H3"/>
    <mergeCell ref="J3:K3"/>
    <mergeCell ref="M3:N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F16"/>
    <mergeCell ref="G16:I16"/>
    <mergeCell ref="J16:L16"/>
    <mergeCell ref="M16:O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1" operator="greaterThan" id="{00730053-00AC-4571-9611-0018002500E5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G16:O16</xm:sqref>
        </x14:conditionalFormatting>
        <x14:conditionalFormatting xmlns:xm="http://schemas.microsoft.com/office/excel/2006/main">
          <x14:cfRule type="cellIs" priority="179" operator="greaterThan" id="{00F8002A-00FF-439E-9F3C-002C009D0006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L11 L13:L15</xm:sqref>
        </x14:conditionalFormatting>
        <x14:conditionalFormatting xmlns:xm="http://schemas.microsoft.com/office/excel/2006/main">
          <x14:cfRule type="cellIs" priority="178" operator="lessThan" id="{0026000C-0075-4EAE-B200-00C5007400CD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L4:L5 L9 L11</xm:sqref>
        </x14:conditionalFormatting>
        <x14:conditionalFormatting xmlns:xm="http://schemas.microsoft.com/office/excel/2006/main">
          <x14:cfRule type="cellIs" priority="177" operator="greaterThan" id="{00AB00C2-0019-4CC6-B3E8-006A00E800D8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F11 I11 F13:F15 I13:I15</xm:sqref>
        </x14:conditionalFormatting>
        <x14:conditionalFormatting xmlns:xm="http://schemas.microsoft.com/office/excel/2006/main">
          <x14:cfRule type="cellIs" priority="176" operator="lessThan" id="{008C0023-00ED-4586-B440-009A00DA003F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F4:F5 I4:I5 F9 I9 F11 F13:F15</xm:sqref>
        </x14:conditionalFormatting>
        <x14:conditionalFormatting xmlns:xm="http://schemas.microsoft.com/office/excel/2006/main">
          <x14:cfRule type="cellIs" priority="166" operator="lessThan" id="{001C0021-0025-4F4F-A5FF-00FA004F008B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I11 I13:I15</xm:sqref>
        </x14:conditionalFormatting>
        <x14:conditionalFormatting xmlns:xm="http://schemas.microsoft.com/office/excel/2006/main">
          <x14:cfRule type="cellIs" priority="149" operator="greaterThan" id="{0034006D-0018-4A5C-B958-000C00E60099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O11 O13:O15</xm:sqref>
        </x14:conditionalFormatting>
        <x14:conditionalFormatting xmlns:xm="http://schemas.microsoft.com/office/excel/2006/main">
          <x14:cfRule type="cellIs" priority="148" operator="lessThan" id="{00300072-00B7-4BF1-8120-00F400D70001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O4:O5 O9 O11 O13:O15</xm:sqref>
        </x14:conditionalFormatting>
        <x14:conditionalFormatting xmlns:xm="http://schemas.microsoft.com/office/excel/2006/main">
          <x14:cfRule type="cellIs" priority="144" operator="lessThan" id="{008500A4-0003-47FA-A694-00E0000C0091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L13:L15</xm:sqref>
        </x14:conditionalFormatting>
        <x14:conditionalFormatting xmlns:xm="http://schemas.microsoft.com/office/excel/2006/main">
          <x14:cfRule type="cellIs" priority="143" operator="between" id="{005D00BE-00CF-4AC4-B7C2-00AE009F0052}">
            <xm:f>0.9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F4:F5 I4:I5 L4:L5 O4:O5 F9 I9 L9 O9 F11 I11 L11 O11 F13:F15 I13:I15 L13:L15 O13:O15</xm:sqref>
        </x14:conditionalFormatting>
        <x14:conditionalFormatting xmlns:xm="http://schemas.microsoft.com/office/excel/2006/main">
          <x14:cfRule type="cellIs" priority="117" operator="lessThan" id="{00E30046-0012-40E2-A121-00A500CA00B6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D16:O16</xm:sqref>
        </x14:conditionalFormatting>
        <x14:conditionalFormatting xmlns:xm="http://schemas.microsoft.com/office/excel/2006/main">
          <x14:cfRule type="cellIs" priority="14" operator="greaterThan" id="{0083000B-001D-49F1-82CE-00AA003A00EA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F4:F9 I4:I9 L4:L9 O4:O9</xm:sqref>
        </x14:conditionalFormatting>
        <x14:conditionalFormatting xmlns:xm="http://schemas.microsoft.com/office/excel/2006/main">
          <x14:cfRule type="cellIs" priority="13" operator="lessThan" id="{004000A8-003F-4DEE-B5AA-009B00EB0029}">
            <xm:f>0.95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F6:F8 I6:I8 L6:L8 O6:O8</xm:sqref>
        </x14:conditionalFormatting>
        <x14:conditionalFormatting xmlns:xm="http://schemas.microsoft.com/office/excel/2006/main">
          <x14:cfRule type="cellIs" priority="12" operator="between" id="{00DC0000-00A0-4426-AB7F-00E2005600DE}">
            <xm:f>0.9501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F6:F8 I6:I8 L6:L8 O6:O8</xm:sqref>
        </x14:conditionalFormatting>
        <x14:conditionalFormatting xmlns:xm="http://schemas.microsoft.com/office/excel/2006/main">
          <x14:cfRule type="cellIs" priority="11" operator="lessThan" id="{00A10030-0034-49B7-BBFC-00EE00A5006A}">
            <xm:f>$D$10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 D13:D15</xm:sqref>
        </x14:conditionalFormatting>
        <x14:conditionalFormatting xmlns:xm="http://schemas.microsoft.com/office/excel/2006/main">
          <x14:cfRule type="cellIs" priority="10" operator="greaterThan" id="{002100E3-0087-44F7-B187-007C00DA006E}">
            <xm:f>$D$10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D4 D13:D15</xm:sqref>
        </x14:conditionalFormatting>
        <x14:conditionalFormatting xmlns:xm="http://schemas.microsoft.com/office/excel/2006/main">
          <x14:cfRule type="cellIs" priority="9" operator="lessThan" id="{009C00A1-00ED-46BD-B7A8-0044007E0072}">
            <xm:f>$G$10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G4 G13:G15</xm:sqref>
        </x14:conditionalFormatting>
        <x14:conditionalFormatting xmlns:xm="http://schemas.microsoft.com/office/excel/2006/main">
          <x14:cfRule type="cellIs" priority="8" operator="greaterThan" id="{008D0045-003E-4C23-8FB1-003E00830043}">
            <xm:f>$G$10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G4 G13:G15</xm:sqref>
        </x14:conditionalFormatting>
        <x14:conditionalFormatting xmlns:xm="http://schemas.microsoft.com/office/excel/2006/main">
          <x14:cfRule type="cellIs" priority="7" operator="lessThan" id="{00D6003C-0009-4E67-9E35-00D9003300E3}">
            <xm:f>$J$10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J4 J13:J15</xm:sqref>
        </x14:conditionalFormatting>
        <x14:conditionalFormatting xmlns:xm="http://schemas.microsoft.com/office/excel/2006/main">
          <x14:cfRule type="cellIs" priority="6" operator="greaterThan" id="{00B300FC-0019-4040-8705-003600B900E4}">
            <xm:f>$J$10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J4 J13:J15</xm:sqref>
        </x14:conditionalFormatting>
        <x14:conditionalFormatting xmlns:xm="http://schemas.microsoft.com/office/excel/2006/main">
          <x14:cfRule type="cellIs" priority="5" operator="lessThan" id="{007100F0-00B4-482E-AB6F-001300410097}">
            <xm:f>$M$10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M4 M13:M15</xm:sqref>
        </x14:conditionalFormatting>
        <x14:conditionalFormatting xmlns:xm="http://schemas.microsoft.com/office/excel/2006/main">
          <x14:cfRule type="cellIs" priority="4" operator="greaterThan" id="{005100E7-0020-496D-8374-00DB002F0037}">
            <xm:f>$M$10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M4 M13:M15</xm:sqref>
        </x14:conditionalFormatting>
        <x14:conditionalFormatting xmlns:xm="http://schemas.microsoft.com/office/excel/2006/main">
          <x14:cfRule type="cellIs" priority="3" operator="lessThan" id="{00AE0091-0028-41CA-B881-00EC00C10054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D6:D8 G6:G8 J6:J8 M6:M8</xm:sqref>
        </x14:conditionalFormatting>
        <x14:conditionalFormatting xmlns:xm="http://schemas.microsoft.com/office/excel/2006/main">
          <x14:cfRule type="cellIs" priority="2" operator="between" id="{007700D5-0086-43E0-A7A3-008A00C700E1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D6:D8 G6:G8 J6:J8 M6:M8</xm:sqref>
        </x14:conditionalFormatting>
        <x14:conditionalFormatting xmlns:xm="http://schemas.microsoft.com/office/excel/2006/main">
          <x14:cfRule type="cellIs" priority="1" operator="greaterThan" id="{00D40067-00BC-4D9D-AD94-00CC00E800C7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D6:D8 G6:G8 J6:J8 M6:M8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600AA-0016-4462-87B7-002F004200EB}" type="decimal" allowBlank="1" errorStyle="stop" imeMode="noControl" operator="between" showDropDown="0" showErrorMessage="1" showInputMessage="0">
          <x14:formula1>
            <xm:f>0</xm:f>
          </x14:formula1>
          <x14:formula2>
            <xm:f>1000000000000000</xm:f>
          </x14:formula2>
          <xm:sqref>D4:F15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zoomScale="138" workbookViewId="0">
      <selection activeCell="D8" activeCellId="0" sqref="D8"/>
    </sheetView>
  </sheetViews>
  <sheetFormatPr baseColWidth="10" defaultColWidth="11.5" defaultRowHeight="14.25"/>
  <cols>
    <col min="1" max="3" style="296" width="11.5"/>
    <col min="4" max="4" style="3" width="11.5"/>
  </cols>
  <sheetData>
    <row r="1">
      <c r="A1" s="297" t="s">
        <v>12</v>
      </c>
      <c r="B1" s="298"/>
      <c r="C1" s="298"/>
      <c r="D1" s="299">
        <v>152000</v>
      </c>
    </row>
    <row r="2">
      <c r="A2" s="246" t="s">
        <v>13</v>
      </c>
      <c r="B2" s="300"/>
      <c r="C2" s="300"/>
      <c r="D2" s="301">
        <f>D1/D4</f>
        <v>19.487179487179485</v>
      </c>
    </row>
    <row r="3">
      <c r="A3" s="246" t="s">
        <v>14</v>
      </c>
      <c r="B3" s="300"/>
      <c r="C3" s="300"/>
      <c r="D3" s="302">
        <f>D4*D5</f>
        <v>13572</v>
      </c>
    </row>
    <row r="4">
      <c r="A4" s="246" t="s">
        <v>15</v>
      </c>
      <c r="B4" s="300"/>
      <c r="C4" s="300"/>
      <c r="D4" s="303">
        <f>'Ялта, Ленина, 18'!I11</f>
        <v>7800</v>
      </c>
    </row>
    <row r="5">
      <c r="A5" s="246" t="s">
        <v>16</v>
      </c>
      <c r="B5" s="300"/>
      <c r="C5" s="300"/>
      <c r="D5" s="304">
        <f>'Ялта, Ленина, 18'!I12</f>
        <v>1.74</v>
      </c>
    </row>
    <row r="6">
      <c r="A6" s="246" t="s">
        <v>17</v>
      </c>
      <c r="B6" s="300"/>
      <c r="C6" s="300"/>
      <c r="D6" s="302">
        <f>IF(D5&lt;&gt;0,D2/D5,"")</f>
        <v>11.19952844090775</v>
      </c>
    </row>
    <row r="7">
      <c r="A7" s="246" t="s">
        <v>77</v>
      </c>
      <c r="B7" s="246"/>
      <c r="C7" s="247"/>
      <c r="D7" s="305">
        <f>'Ялта, Ленина, 18'!I20</f>
        <v>0.12</v>
      </c>
    </row>
    <row r="8">
      <c r="A8" s="306" t="s">
        <v>36</v>
      </c>
      <c r="B8" s="307"/>
      <c r="C8" s="308"/>
      <c r="D8" s="309" t="e">
        <f>('Ялта, Ленина, 18'!U12-'Ялта, Ленина, 18'!V12)/('Ялта, Ленина, 18'!I14-'Ялта, Ленина, 18'!J14)</f>
        <v>#DIV/0!</v>
      </c>
    </row>
    <row r="9">
      <c r="A9" s="306" t="s">
        <v>35</v>
      </c>
      <c r="B9" s="307"/>
      <c r="C9" s="308"/>
      <c r="D9" s="309" t="e">
        <f>('Ялта, Ленина, 18'!U18-'Ялта, Ленина, 18'!V18)/('Ялта, Ленина, 18'!I14-'Ялта, Ленина, 18'!J14)</f>
        <v>#DIV/0!</v>
      </c>
    </row>
    <row r="10">
      <c r="A10" s="310" t="str">
        <f>'Ялта, Ленина, 18'!M23</f>
        <v>Agafi</v>
      </c>
      <c r="B10" s="311"/>
      <c r="C10" s="312"/>
      <c r="D10" s="313" t="e">
        <f>('Ялта, Ленина, 18'!X12-'Ялта, Ленина, 18'!Y12)/('Ялта, Ленина, 18'!I14-'Ялта, Ленина, 18'!J14)</f>
        <v>#DIV/0!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</mergeCells>
  <printOptions headings="0" gridLines="0"/>
  <pageMargins left="0.78800000000000003" right="0.78800000000000003" top="0.78800000000000003" bottom="0.78800000000000003" header="0.51200000000000001" footer="0.51200000000000001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00050-0003-47BE-9202-0072009600D7}" type="decimal" allowBlank="1" errorStyle="stop" imeMode="noControl" operator="between" showDropDown="0" showErrorMessage="1" showInputMessage="0">
          <x14:formula1>
            <xm:f>0</xm:f>
          </x14:formula1>
          <x14:formula2>
            <xm:f>1000000000000000</xm:f>
          </x14:formula2>
          <xm:sqref>D7 D2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topLeftCell="A16" zoomScale="83" workbookViewId="0">
      <pane xSplit="3" topLeftCell="D1" activePane="topRight" state="frozen"/>
      <selection activeCell="A16" activeCellId="0" sqref="A16"/>
    </sheetView>
  </sheetViews>
  <sheetFormatPr baseColWidth="10" defaultColWidth="9.1640625" defaultRowHeight="14.25"/>
  <cols>
    <col customWidth="1" min="1" max="1" style="3" width="3.33203125"/>
    <col customWidth="1" min="2" max="2" style="3" width="10.33203125"/>
    <col customWidth="1" min="3" max="3" style="3" width="10.83203125"/>
    <col customWidth="1" min="4" max="4" style="3" width="10.33203125"/>
    <col customWidth="1" min="5" max="5" style="3" width="10.1640625"/>
    <col customWidth="1" min="6" max="6" style="3" width="11.33203125"/>
    <col customWidth="1" min="7" max="7" style="3" width="9.83203125"/>
    <col customWidth="1" min="8" max="8" style="3" width="9.5"/>
    <col customWidth="1" min="9" max="9" style="3" width="11"/>
    <col customWidth="1" min="10" max="10" style="3" width="8.83203125"/>
    <col customWidth="1" min="11" max="11" style="3" width="12.6640625"/>
    <col customWidth="1" min="12" max="12" style="3" width="10.1640625"/>
    <col customWidth="1" min="13" max="13" style="3" width="10.83203125"/>
    <col customWidth="1" min="14" max="14" style="3" width="11.6640625"/>
    <col customWidth="1" min="15" max="15" style="3" width="12.83203125"/>
    <col customWidth="1" min="16" max="16" style="3" width="10.33203125"/>
    <col customWidth="1" min="17" max="18" style="3" width="11.33203125"/>
    <col customWidth="1" min="19" max="19" style="3" width="11"/>
    <col customWidth="1" min="20" max="20" style="3" width="9.5"/>
    <col bestFit="1" customWidth="1" min="21" max="21" style="3" width="9.1640625"/>
    <col customWidth="1" min="22" max="23" style="3" width="10.5"/>
    <col bestFit="1" customWidth="1" min="24" max="30" style="3" width="9.1640625"/>
    <col bestFit="1" customWidth="1" min="31" max="255" style="2" width="9.1640625"/>
  </cols>
  <sheetData>
    <row r="1" ht="15.75" customHeight="1">
      <c r="B1" s="314">
        <f ca="1">TODAY()-1</f>
        <v>46060</v>
      </c>
      <c r="C1" s="314"/>
      <c r="D1" s="15"/>
      <c r="E1" s="15"/>
      <c r="F1" s="16"/>
      <c r="G1" s="16"/>
      <c r="H1" s="16"/>
      <c r="I1" s="16"/>
      <c r="J1" s="315"/>
      <c r="K1" s="315"/>
      <c r="L1" s="315"/>
      <c r="M1" s="315"/>
      <c r="N1" s="315"/>
      <c r="O1" s="315"/>
      <c r="P1" s="315"/>
      <c r="Q1" s="316"/>
      <c r="R1" s="316"/>
      <c r="S1" s="316"/>
      <c r="T1" s="316"/>
      <c r="U1" s="16"/>
      <c r="V1" s="16"/>
      <c r="W1" s="16"/>
    </row>
    <row r="2" ht="21.75" customHeight="1">
      <c r="B2" s="317" t="s">
        <v>0</v>
      </c>
      <c r="C2" s="317"/>
      <c r="D2" s="15"/>
      <c r="E2" s="15"/>
      <c r="F2" s="16"/>
      <c r="G2" s="16"/>
      <c r="H2" s="16"/>
      <c r="I2" s="16"/>
      <c r="J2" s="318" t="s">
        <v>78</v>
      </c>
      <c r="K2" s="318"/>
      <c r="L2" s="318"/>
      <c r="M2" s="318"/>
      <c r="N2" s="318"/>
      <c r="O2" s="318"/>
      <c r="P2" s="318"/>
      <c r="Q2" s="316"/>
      <c r="R2" s="316"/>
      <c r="S2" s="316"/>
      <c r="T2" s="316"/>
      <c r="U2" s="16"/>
      <c r="V2" s="16"/>
      <c r="W2" s="16"/>
    </row>
    <row r="3" ht="14" customHeight="1">
      <c r="B3" s="14" t="s">
        <v>1</v>
      </c>
      <c r="C3" s="15"/>
      <c r="D3" s="15"/>
      <c r="E3" s="15"/>
      <c r="F3" s="16"/>
      <c r="G3" s="16"/>
      <c r="H3" s="16"/>
      <c r="I3" s="16"/>
      <c r="J3" s="319" t="str">
        <f>График!B29</f>
        <v xml:space="preserve">Рогалевич Ирина</v>
      </c>
      <c r="K3" s="320"/>
      <c r="L3" s="320"/>
      <c r="M3" s="320"/>
      <c r="N3" s="321"/>
      <c r="O3" s="315"/>
      <c r="P3" s="322"/>
      <c r="Q3" s="316"/>
      <c r="R3" s="316"/>
      <c r="S3" s="316"/>
      <c r="T3" s="316"/>
      <c r="U3" s="16"/>
      <c r="V3" s="16"/>
      <c r="W3" s="16"/>
    </row>
    <row r="4" ht="15" customHeight="1">
      <c r="B4" s="15"/>
      <c r="C4" s="323">
        <f>I8-D57</f>
        <v>123464.62173913041</v>
      </c>
      <c r="D4" s="324"/>
      <c r="E4" s="325">
        <f>IF(I8&lt;&gt;0,C4/I8,0)</f>
        <v>0.25946333509641695</v>
      </c>
      <c r="F4" s="16"/>
      <c r="G4" s="16"/>
      <c r="H4" s="16"/>
      <c r="I4" s="16"/>
      <c r="J4" s="326"/>
      <c r="K4" s="327"/>
      <c r="L4" s="327"/>
      <c r="M4" s="327"/>
      <c r="N4" s="328"/>
      <c r="O4" s="16"/>
      <c r="P4" s="16"/>
      <c r="Q4" s="316"/>
      <c r="R4" s="316"/>
      <c r="S4" s="316"/>
      <c r="T4" s="316"/>
      <c r="U4" s="16"/>
      <c r="V4" s="16"/>
      <c r="W4" s="16"/>
    </row>
    <row r="5">
      <c r="B5" s="16"/>
      <c r="C5" s="16"/>
      <c r="D5" s="16"/>
      <c r="E5" s="16"/>
      <c r="F5" s="16"/>
      <c r="G5" s="16"/>
      <c r="H5" s="16"/>
      <c r="I5" s="16"/>
      <c r="J5" s="329"/>
      <c r="K5" s="329"/>
      <c r="L5" s="329"/>
      <c r="M5" s="329"/>
      <c r="N5" s="329"/>
      <c r="O5" s="16"/>
      <c r="P5" s="16"/>
      <c r="Q5" s="16"/>
      <c r="R5" s="16"/>
      <c r="S5" s="16"/>
      <c r="T5" s="16"/>
      <c r="U5" s="16"/>
      <c r="V5" s="16"/>
      <c r="W5" s="16"/>
    </row>
    <row r="6" ht="15.75" customHeight="1">
      <c r="B6" s="330"/>
      <c r="C6" s="16"/>
      <c r="D6" s="16"/>
      <c r="E6" s="16"/>
      <c r="F6" s="331" t="s">
        <v>2</v>
      </c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3"/>
      <c r="R6" s="34"/>
      <c r="S6" s="34"/>
      <c r="T6" s="16"/>
      <c r="U6" s="16"/>
      <c r="V6" s="16"/>
      <c r="W6" s="16"/>
    </row>
    <row r="7" ht="50.75" customHeight="1">
      <c r="B7" s="330"/>
      <c r="C7" s="16"/>
      <c r="D7" s="16"/>
      <c r="E7" s="16"/>
      <c r="F7" s="334" t="s">
        <v>3</v>
      </c>
      <c r="G7" s="335"/>
      <c r="H7" s="336"/>
      <c r="I7" s="38" t="s">
        <v>4</v>
      </c>
      <c r="J7" s="39" t="s">
        <v>5</v>
      </c>
      <c r="K7" s="40" t="s">
        <v>6</v>
      </c>
      <c r="L7" s="41" t="s">
        <v>7</v>
      </c>
      <c r="M7" s="41" t="s">
        <v>8</v>
      </c>
      <c r="N7" s="42" t="s">
        <v>9</v>
      </c>
      <c r="O7" s="42" t="s">
        <v>10</v>
      </c>
      <c r="P7" s="43" t="s">
        <v>11</v>
      </c>
      <c r="Q7" s="44"/>
      <c r="R7" s="34"/>
      <c r="S7" s="34"/>
      <c r="T7" s="16"/>
      <c r="U7" s="16"/>
      <c r="V7" s="16"/>
      <c r="W7" s="16"/>
    </row>
    <row r="8" ht="15.75" customHeight="1">
      <c r="B8" s="330"/>
      <c r="C8" s="16"/>
      <c r="D8" s="16"/>
      <c r="E8" s="16"/>
      <c r="F8" s="337" t="s">
        <v>12</v>
      </c>
      <c r="G8" s="338"/>
      <c r="H8" s="339"/>
      <c r="I8" s="340">
        <f>'Ялта, Ленина, 18'!I8/График!AJ31*График!AJ29</f>
        <v>475846.12173913041</v>
      </c>
      <c r="J8" s="341">
        <f>D57</f>
        <v>352381.5</v>
      </c>
      <c r="K8" s="51">
        <f t="shared" ref="K8:K9" si="25">IF(AND(I8&lt;&gt;"",I8&lt;&gt;0,J8&lt;&gt;""),J8/I8,"")</f>
        <v>0.74053666490358305</v>
      </c>
      <c r="L8" s="342">
        <f>IF(SUMIF($D$25:$D$56,"&gt;=0",$P$25:$P$56)&lt;&gt;0,I8*D57/SUMIF($D$25:$D$56,"&gt;=0",$P$25:$P$56),0)</f>
        <v>580006.8167701863</v>
      </c>
      <c r="M8" s="343">
        <f t="shared" ref="M8:M9" si="26">IF(AND(I8&lt;&gt;"",I8&lt;&gt;0,L8&lt;&gt;"",L8&lt;&gt;0),L8/I8,"")</f>
        <v>1.2188957527916118</v>
      </c>
      <c r="N8" s="56">
        <f t="shared" ref="N8:N9" si="27">IF(AND(J8&lt;&gt;0,J8&lt;&gt;"",I8&lt;&gt;0,I8&lt;&gt;""),L8-I8,"")</f>
        <v>104160.69503105589</v>
      </c>
      <c r="O8" s="55"/>
      <c r="P8" s="56" t="str">
        <f t="shared" ref="P8:P9" si="28">IF(AND(O8&lt;&gt;"",O8&lt;&gt;0,L8&lt;&gt;"",L8&lt;&gt;0),-O8+L8,"")</f>
        <v/>
      </c>
      <c r="Q8" s="57" t="str">
        <f t="shared" ref="Q8:Q9" si="29">IF(AND(P8&lt;&gt;"",P8&lt;&gt;0,O8&lt;&gt;0,O8&lt;&gt;""),P8/O8,"")</f>
        <v/>
      </c>
      <c r="R8" s="34"/>
      <c r="S8" s="58"/>
      <c r="T8" s="16"/>
      <c r="U8" s="16"/>
      <c r="V8" s="16"/>
      <c r="W8" s="16"/>
    </row>
    <row r="9" ht="15.75" customHeight="1">
      <c r="B9" s="330"/>
      <c r="C9" s="16"/>
      <c r="D9" s="16"/>
      <c r="E9" s="16"/>
      <c r="F9" s="59" t="s">
        <v>13</v>
      </c>
      <c r="G9" s="60"/>
      <c r="H9" s="61"/>
      <c r="I9" s="62">
        <f>I8/I11</f>
        <v>61.005913043478259</v>
      </c>
      <c r="J9" s="63">
        <f>E57</f>
        <v>39</v>
      </c>
      <c r="K9" s="64">
        <f t="shared" si="25"/>
        <v>0.63928229337712095</v>
      </c>
      <c r="L9" s="344">
        <f>IF(SUMIF($E$25:$E$54,"&gt;=0",$Q$25:$Q$54)&lt;&gt;0,I9*E57/SUMIF($E$25:$E$54,"&gt;=0",$Q$25:$Q$54),0)</f>
        <v>69.595959595959613</v>
      </c>
      <c r="M9" s="345">
        <f t="shared" si="26"/>
        <v>1.1408067861611926</v>
      </c>
      <c r="N9" s="67">
        <f t="shared" si="27"/>
        <v>8.5900465524813541</v>
      </c>
      <c r="O9" s="68" t="e">
        <f>O8/O11</f>
        <v>#DIV/0!</v>
      </c>
      <c r="P9" s="67" t="e">
        <f t="shared" si="28"/>
        <v>#DIV/0!</v>
      </c>
      <c r="Q9" s="69" t="e">
        <f t="shared" si="29"/>
        <v>#DIV/0!</v>
      </c>
      <c r="R9" s="34"/>
      <c r="S9" s="58"/>
      <c r="T9" s="16"/>
      <c r="U9" s="16"/>
      <c r="V9" s="16"/>
      <c r="W9" s="16"/>
    </row>
    <row r="10" ht="15.75" customHeight="1">
      <c r="B10" s="330"/>
      <c r="C10" s="16"/>
      <c r="D10" s="16"/>
      <c r="E10" s="16"/>
      <c r="F10" s="46" t="s">
        <v>14</v>
      </c>
      <c r="G10" s="47"/>
      <c r="H10" s="48"/>
      <c r="I10" s="74">
        <f>I11*I12</f>
        <v>13572</v>
      </c>
      <c r="J10" s="346">
        <f>H57</f>
        <v>18546.394736842107</v>
      </c>
      <c r="K10" s="347">
        <f t="shared" ref="K10:K19" si="30">IF(AND(I10&lt;&gt;"",I10&lt;&gt;0,J10&lt;&gt;""),J10/I10,"")</f>
        <v>1.3665189166550329</v>
      </c>
      <c r="L10" s="344">
        <f>J10</f>
        <v>18546.394736842107</v>
      </c>
      <c r="M10" s="348">
        <f t="shared" ref="M10:M20" si="31">IF(AND(I10&lt;&gt;"",I10&lt;&gt;0,L10&lt;&gt;"",L10&lt;&gt;0),L10/I10,"")</f>
        <v>1.3665189166550329</v>
      </c>
      <c r="N10" s="73">
        <f t="shared" ref="N10:N20" si="32">IF(AND(J10&lt;&gt;0,J10&lt;&gt;"",I10&lt;&gt;0,I10&lt;&gt;""),L10-I10,"")</f>
        <v>4974.3947368421068</v>
      </c>
      <c r="O10" s="74">
        <f>O11*O12</f>
        <v>0</v>
      </c>
      <c r="P10" s="73" t="str">
        <f t="shared" ref="P10:P20" si="33">IF(AND(O10&lt;&gt;"",O10&lt;&gt;0,L10&lt;&gt;"",L10&lt;&gt;0),-O10+L10,"")</f>
        <v/>
      </c>
      <c r="Q10" s="75" t="str">
        <f t="shared" ref="Q10:Q20" si="34">IF(AND(P10&lt;&gt;"",P10&lt;&gt;0,O10&lt;&gt;0,O10&lt;&gt;""),P10/O10,"")</f>
        <v/>
      </c>
      <c r="R10" s="34"/>
      <c r="S10" s="78" t="s">
        <v>36</v>
      </c>
      <c r="T10" s="78"/>
      <c r="U10" s="16"/>
      <c r="V10" s="78" t="str">
        <f>M23</f>
        <v>Agafi</v>
      </c>
      <c r="W10" s="78"/>
    </row>
    <row r="11" ht="15.75" customHeight="1">
      <c r="B11" s="330"/>
      <c r="C11" s="16"/>
      <c r="D11" s="16"/>
      <c r="E11" s="16"/>
      <c r="F11" s="59" t="s">
        <v>15</v>
      </c>
      <c r="G11" s="60"/>
      <c r="H11" s="61"/>
      <c r="I11" s="79">
        <f>'Ялта, Ленина, 18'!I11</f>
        <v>7800</v>
      </c>
      <c r="J11" s="63">
        <f>F57</f>
        <v>9035.4230769230762</v>
      </c>
      <c r="K11" s="349">
        <f t="shared" si="30"/>
        <v>1.1583875739644969</v>
      </c>
      <c r="L11" s="344">
        <f>IF(L9&gt;0,L8/L9,"")</f>
        <v>8333.9150740563764</v>
      </c>
      <c r="M11" s="345">
        <f t="shared" si="31"/>
        <v>1.0684506505200482</v>
      </c>
      <c r="N11" s="67">
        <f t="shared" si="32"/>
        <v>533.9150740563764</v>
      </c>
      <c r="O11" s="80"/>
      <c r="P11" s="67" t="str">
        <f t="shared" si="33"/>
        <v/>
      </c>
      <c r="Q11" s="69" t="str">
        <f t="shared" si="34"/>
        <v/>
      </c>
      <c r="R11" s="34"/>
      <c r="S11" s="78"/>
      <c r="T11" s="78"/>
      <c r="U11" s="16"/>
      <c r="V11" s="78"/>
      <c r="W11" s="78"/>
    </row>
    <row r="12" ht="15.75" customHeight="1">
      <c r="B12" s="330"/>
      <c r="C12" s="16"/>
      <c r="D12" s="16"/>
      <c r="E12" s="16"/>
      <c r="F12" s="59" t="s">
        <v>16</v>
      </c>
      <c r="G12" s="60"/>
      <c r="H12" s="61"/>
      <c r="I12" s="83">
        <f>'Ялта, Ленина, 18'!I12</f>
        <v>1.74</v>
      </c>
      <c r="J12" s="84">
        <f>J57</f>
        <v>2.0526315789473686</v>
      </c>
      <c r="K12" s="349">
        <f t="shared" si="30"/>
        <v>1.1796733212341199</v>
      </c>
      <c r="L12" s="350">
        <f>J12</f>
        <v>2.0526315789473686</v>
      </c>
      <c r="M12" s="345">
        <f t="shared" si="31"/>
        <v>1.1796733212341199</v>
      </c>
      <c r="N12" s="86">
        <f t="shared" si="32"/>
        <v>0.31263157894736859</v>
      </c>
      <c r="O12" s="87"/>
      <c r="P12" s="67" t="str">
        <f t="shared" si="33"/>
        <v/>
      </c>
      <c r="Q12" s="69" t="str">
        <f t="shared" si="34"/>
        <v/>
      </c>
      <c r="R12" s="34"/>
      <c r="S12" s="88">
        <f>'Ялта, Ленина, 18'!U12*График!AJ29/График!AJ31</f>
        <v>93130.434782608689</v>
      </c>
      <c r="T12" s="89">
        <f>L57</f>
        <v>25903</v>
      </c>
      <c r="U12" s="16"/>
      <c r="V12" s="88">
        <f>'Ялта, Ленина, 18'!X12/График!AJ31*График!AJ29</f>
        <v>87652.173913043473</v>
      </c>
      <c r="W12" s="89">
        <f>M57</f>
        <v>0</v>
      </c>
    </row>
    <row r="13" ht="15.75" customHeight="1">
      <c r="B13" s="330"/>
      <c r="C13" s="16"/>
      <c r="D13" s="16"/>
      <c r="E13" s="16"/>
      <c r="F13" s="59" t="s">
        <v>17</v>
      </c>
      <c r="G13" s="60"/>
      <c r="H13" s="61"/>
      <c r="I13" s="62">
        <f>IF(I12&lt;&gt;0,I9/I12,"")</f>
        <v>35.060869565217388</v>
      </c>
      <c r="J13" s="63">
        <f>G57</f>
        <v>19</v>
      </c>
      <c r="K13" s="64">
        <f t="shared" si="30"/>
        <v>0.54191468253968256</v>
      </c>
      <c r="L13" s="344">
        <f>IF(SUMIF($G$25:$G$54,"&gt;=0",$R$25:$R$54)&lt;&gt;0,I13*G57/SUMIF($G$25:$G$54,"&gt;=0",$R$25:$R$54),"")</f>
        <v>33.905723905723903</v>
      </c>
      <c r="M13" s="345">
        <f t="shared" si="31"/>
        <v>0.96705313719202612</v>
      </c>
      <c r="N13" s="86">
        <f t="shared" si="32"/>
        <v>-1.1551456594934848</v>
      </c>
      <c r="O13" s="90"/>
      <c r="P13" s="67" t="str">
        <f t="shared" si="33"/>
        <v/>
      </c>
      <c r="Q13" s="69" t="str">
        <f t="shared" si="34"/>
        <v/>
      </c>
      <c r="R13" s="34"/>
      <c r="S13" s="91">
        <f>T12/S12</f>
        <v>0.2781367880485528</v>
      </c>
      <c r="T13" s="91">
        <f>S13/J14*I14</f>
        <v>0.2781367880485528</v>
      </c>
      <c r="U13" s="16"/>
      <c r="V13" s="91">
        <f>W12/V12</f>
        <v>0</v>
      </c>
      <c r="W13" s="91">
        <f>V13/J14*I14</f>
        <v>0</v>
      </c>
    </row>
    <row r="14" ht="15.75" customHeight="1">
      <c r="B14" s="330"/>
      <c r="C14" s="16"/>
      <c r="D14" s="351"/>
      <c r="E14" s="16"/>
      <c r="F14" s="59" t="s">
        <v>75</v>
      </c>
      <c r="G14" s="60"/>
      <c r="H14" s="61"/>
      <c r="I14" s="79">
        <f>График!AI29</f>
        <v>12</v>
      </c>
      <c r="J14" s="93">
        <v>12</v>
      </c>
      <c r="K14" s="64">
        <f t="shared" si="30"/>
        <v>1</v>
      </c>
      <c r="L14" s="65">
        <f>I14</f>
        <v>12</v>
      </c>
      <c r="M14" s="345">
        <f t="shared" si="31"/>
        <v>1</v>
      </c>
      <c r="N14" s="67">
        <f t="shared" si="32"/>
        <v>0</v>
      </c>
      <c r="O14" s="90"/>
      <c r="P14" s="67" t="str">
        <f t="shared" si="33"/>
        <v/>
      </c>
      <c r="Q14" s="69" t="str">
        <f t="shared" si="34"/>
        <v/>
      </c>
      <c r="R14" s="34"/>
      <c r="S14" s="94"/>
      <c r="T14" s="7"/>
      <c r="U14" s="16"/>
      <c r="V14" s="16"/>
      <c r="W14" s="16"/>
    </row>
    <row r="15" ht="15.75" customHeight="1">
      <c r="B15" s="330"/>
      <c r="C15" s="16"/>
      <c r="D15" s="16"/>
      <c r="E15" s="16"/>
      <c r="F15" s="59" t="s">
        <v>19</v>
      </c>
      <c r="G15" s="60"/>
      <c r="H15" s="61"/>
      <c r="I15" s="104">
        <f>'Ялта, Ленина, 18'!I15</f>
        <v>84058.838709677424</v>
      </c>
      <c r="J15" s="96">
        <f>J8/J14</f>
        <v>29365.125</v>
      </c>
      <c r="K15" s="97">
        <f t="shared" si="30"/>
        <v>0.34934012235669021</v>
      </c>
      <c r="L15" s="101">
        <f t="shared" ref="L15:L16" si="35">J15</f>
        <v>29365.125</v>
      </c>
      <c r="M15" s="352">
        <f t="shared" si="31"/>
        <v>0.34934012235669021</v>
      </c>
      <c r="N15" s="67">
        <f t="shared" si="32"/>
        <v>-54693.713709677424</v>
      </c>
      <c r="O15" s="100"/>
      <c r="P15" s="67" t="str">
        <f t="shared" si="33"/>
        <v/>
      </c>
      <c r="Q15" s="69" t="str">
        <f t="shared" si="34"/>
        <v/>
      </c>
      <c r="R15" s="34"/>
      <c r="S15" s="58"/>
      <c r="T15" s="7"/>
      <c r="U15" s="16"/>
      <c r="V15" s="16"/>
      <c r="W15" s="16"/>
    </row>
    <row r="16" ht="15.75" customHeight="1">
      <c r="B16" s="330"/>
      <c r="C16" s="16"/>
      <c r="D16" s="16"/>
      <c r="E16" s="16"/>
      <c r="F16" s="59" t="s">
        <v>20</v>
      </c>
      <c r="G16" s="60"/>
      <c r="H16" s="61"/>
      <c r="I16" s="104"/>
      <c r="J16" s="96">
        <f>J8-I15*J14</f>
        <v>-656324.56451612909</v>
      </c>
      <c r="K16" s="97" t="str">
        <f t="shared" si="30"/>
        <v/>
      </c>
      <c r="L16" s="101">
        <f t="shared" si="35"/>
        <v>-656324.56451612909</v>
      </c>
      <c r="M16" s="353" t="str">
        <f t="shared" si="31"/>
        <v/>
      </c>
      <c r="N16" s="67" t="str">
        <f t="shared" si="32"/>
        <v/>
      </c>
      <c r="O16" s="100"/>
      <c r="P16" s="67" t="str">
        <f t="shared" si="33"/>
        <v/>
      </c>
      <c r="Q16" s="69" t="str">
        <f t="shared" si="34"/>
        <v/>
      </c>
      <c r="R16" s="34"/>
      <c r="S16" s="78" t="s">
        <v>35</v>
      </c>
      <c r="T16" s="78"/>
      <c r="U16" s="16"/>
      <c r="V16" s="16"/>
      <c r="W16" s="16"/>
    </row>
    <row r="17" ht="15.75" customHeight="1">
      <c r="B17" s="330"/>
      <c r="C17" s="16"/>
      <c r="D17" s="16"/>
      <c r="E17" s="16"/>
      <c r="F17" s="59" t="s">
        <v>21</v>
      </c>
      <c r="G17" s="60"/>
      <c r="H17" s="61"/>
      <c r="I17" s="104">
        <f>'Ялта, Ленина, 18'!I17/График!AJ31*График!AJ29</f>
        <v>292.17391304347825</v>
      </c>
      <c r="J17" s="96">
        <f>I57</f>
        <v>158</v>
      </c>
      <c r="K17" s="97">
        <f t="shared" si="30"/>
        <v>0.54077380952380949</v>
      </c>
      <c r="L17" s="101">
        <f>J17/J14*I14</f>
        <v>158</v>
      </c>
      <c r="M17" s="353">
        <f t="shared" si="31"/>
        <v>0.54077380952380949</v>
      </c>
      <c r="N17" s="67">
        <f t="shared" si="32"/>
        <v>-134.17391304347825</v>
      </c>
      <c r="O17" s="100"/>
      <c r="P17" s="67" t="str">
        <f t="shared" si="33"/>
        <v/>
      </c>
      <c r="Q17" s="69" t="str">
        <f t="shared" si="34"/>
        <v/>
      </c>
      <c r="R17" s="34"/>
      <c r="S17" s="78"/>
      <c r="T17" s="78"/>
      <c r="U17" s="16"/>
      <c r="V17" s="16"/>
      <c r="W17" s="16"/>
    </row>
    <row r="18" ht="15.75" customHeight="1">
      <c r="B18" s="330"/>
      <c r="C18" s="16"/>
      <c r="D18" s="16"/>
      <c r="E18" s="16"/>
      <c r="F18" s="59"/>
      <c r="G18" s="60"/>
      <c r="H18" s="61"/>
      <c r="I18" s="105"/>
      <c r="J18" s="96"/>
      <c r="K18" s="97" t="str">
        <f t="shared" si="30"/>
        <v/>
      </c>
      <c r="L18" s="101">
        <f t="shared" ref="L18:L19" si="36">J18</f>
        <v>0</v>
      </c>
      <c r="M18" s="353" t="str">
        <f t="shared" si="31"/>
        <v/>
      </c>
      <c r="N18" s="67" t="str">
        <f t="shared" si="32"/>
        <v/>
      </c>
      <c r="O18" s="108">
        <v>0</v>
      </c>
      <c r="P18" s="67" t="str">
        <f t="shared" si="33"/>
        <v/>
      </c>
      <c r="Q18" s="69" t="str">
        <f t="shared" si="34"/>
        <v/>
      </c>
      <c r="R18" s="34"/>
      <c r="S18" s="88">
        <f>'Ялта, Ленина, 18'!U18*График!AJ29/График!AJ31</f>
        <v>186260.86956521738</v>
      </c>
      <c r="T18" s="89">
        <f>K57</f>
        <v>77460</v>
      </c>
      <c r="U18" s="16"/>
      <c r="V18" s="16"/>
      <c r="W18" s="16"/>
    </row>
    <row r="19" ht="15.75" customHeight="1">
      <c r="B19" s="330"/>
      <c r="C19" s="16"/>
      <c r="D19" s="16"/>
      <c r="E19" s="16"/>
      <c r="F19" s="59"/>
      <c r="G19" s="60"/>
      <c r="H19" s="61"/>
      <c r="I19" s="105"/>
      <c r="J19" s="96"/>
      <c r="K19" s="97" t="str">
        <f t="shared" si="30"/>
        <v/>
      </c>
      <c r="L19" s="101">
        <f t="shared" si="36"/>
        <v>0</v>
      </c>
      <c r="M19" s="353" t="str">
        <f t="shared" si="31"/>
        <v/>
      </c>
      <c r="N19" s="67" t="str">
        <f t="shared" si="32"/>
        <v/>
      </c>
      <c r="O19" s="100">
        <v>0</v>
      </c>
      <c r="P19" s="67" t="str">
        <f t="shared" si="33"/>
        <v/>
      </c>
      <c r="Q19" s="69" t="str">
        <f t="shared" si="34"/>
        <v/>
      </c>
      <c r="R19" s="34"/>
      <c r="S19" s="91">
        <f>T18/S18</f>
        <v>0.41586834733893563</v>
      </c>
      <c r="T19" s="91">
        <f>S19/J14*I14</f>
        <v>0.41586834733893563</v>
      </c>
      <c r="U19" s="16"/>
      <c r="V19" s="16"/>
      <c r="W19" s="16"/>
    </row>
    <row r="20" ht="15.75" customHeight="1">
      <c r="B20" s="330"/>
      <c r="C20" s="16"/>
      <c r="D20" s="16"/>
      <c r="E20" s="16"/>
      <c r="F20" s="109" t="s">
        <v>22</v>
      </c>
      <c r="G20" s="109"/>
      <c r="H20" s="109"/>
      <c r="I20" s="354">
        <f>'Ялта, Ленина, 18'!I20</f>
        <v>0.12</v>
      </c>
      <c r="J20" s="355">
        <f>N57</f>
        <v>0.12025316455696203</v>
      </c>
      <c r="K20" s="356">
        <f>J20/I20</f>
        <v>1.0021097046413503</v>
      </c>
      <c r="L20" s="357">
        <f>IF(AND(K8&lt;&gt;0,I14&lt;&gt;0,I57&lt;&gt;0),(I57*N57+(I57/K8-I57)*I20)/(I57/K8),0)</f>
        <v>0.12018747763668446</v>
      </c>
      <c r="M20" s="114">
        <f t="shared" si="31"/>
        <v>1.0015623136390372</v>
      </c>
      <c r="N20" s="115">
        <f t="shared" si="32"/>
        <v>0.00018747763668446049</v>
      </c>
      <c r="O20" s="116"/>
      <c r="P20" s="117" t="str">
        <f t="shared" si="33"/>
        <v/>
      </c>
      <c r="Q20" s="118" t="str">
        <f t="shared" si="34"/>
        <v/>
      </c>
      <c r="R20" s="34"/>
      <c r="S20" s="34"/>
      <c r="T20" s="16"/>
      <c r="U20" s="16"/>
      <c r="V20" s="16"/>
      <c r="W20" s="16"/>
    </row>
    <row r="21" ht="15.75" customHeight="1">
      <c r="B21" s="3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4"/>
      <c r="S21" s="34"/>
      <c r="T21" s="16"/>
      <c r="U21" s="16"/>
      <c r="V21" s="16"/>
      <c r="W21" s="16"/>
    </row>
    <row r="22" ht="16.5" customHeight="1">
      <c r="B22" s="358" t="s">
        <v>23</v>
      </c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9" t="s">
        <v>24</v>
      </c>
      <c r="P22" s="358" t="s">
        <v>25</v>
      </c>
      <c r="Q22" s="358"/>
      <c r="R22" s="358"/>
      <c r="S22" s="358"/>
      <c r="T22" s="358"/>
      <c r="U22" s="358"/>
      <c r="V22" s="358"/>
      <c r="W22" s="358"/>
    </row>
    <row r="23" ht="42">
      <c r="B23" s="359" t="s">
        <v>27</v>
      </c>
      <c r="C23" s="359" t="s">
        <v>28</v>
      </c>
      <c r="D23" s="359" t="s">
        <v>29</v>
      </c>
      <c r="E23" s="359" t="s">
        <v>30</v>
      </c>
      <c r="F23" s="359" t="s">
        <v>31</v>
      </c>
      <c r="G23" s="359" t="s">
        <v>32</v>
      </c>
      <c r="H23" s="359" t="s">
        <v>33</v>
      </c>
      <c r="I23" s="359" t="s">
        <v>21</v>
      </c>
      <c r="J23" s="359" t="s">
        <v>34</v>
      </c>
      <c r="K23" s="123" t="s">
        <v>35</v>
      </c>
      <c r="L23" s="123" t="s">
        <v>36</v>
      </c>
      <c r="M23" s="123" t="s">
        <v>37</v>
      </c>
      <c r="N23" s="359" t="s">
        <v>40</v>
      </c>
      <c r="O23" s="359"/>
      <c r="P23" s="359" t="s">
        <v>41</v>
      </c>
      <c r="Q23" s="359" t="s">
        <v>42</v>
      </c>
      <c r="R23" s="359" t="s">
        <v>43</v>
      </c>
      <c r="S23" s="359" t="s">
        <v>44</v>
      </c>
      <c r="T23" s="359" t="s">
        <v>45</v>
      </c>
      <c r="U23" s="359" t="s">
        <v>46</v>
      </c>
      <c r="V23" s="360" t="s">
        <v>47</v>
      </c>
      <c r="W23" s="360" t="s">
        <v>48</v>
      </c>
      <c r="X23" s="178"/>
    </row>
    <row r="24">
      <c r="B24" s="361">
        <v>1</v>
      </c>
      <c r="C24" s="362">
        <v>2</v>
      </c>
      <c r="D24" s="361">
        <v>3</v>
      </c>
      <c r="E24" s="361">
        <v>4</v>
      </c>
      <c r="F24" s="361">
        <v>5</v>
      </c>
      <c r="G24" s="361">
        <v>6</v>
      </c>
      <c r="H24" s="361">
        <v>7</v>
      </c>
      <c r="I24" s="361">
        <v>8</v>
      </c>
      <c r="J24" s="361">
        <v>9</v>
      </c>
      <c r="K24" s="361">
        <v>10</v>
      </c>
      <c r="L24" s="361">
        <v>11</v>
      </c>
      <c r="M24" s="361">
        <v>12</v>
      </c>
      <c r="N24" s="361">
        <v>13</v>
      </c>
      <c r="O24" s="359"/>
      <c r="P24" s="363">
        <v>1</v>
      </c>
      <c r="Q24" s="363">
        <v>2</v>
      </c>
      <c r="R24" s="363">
        <v>3</v>
      </c>
      <c r="S24" s="363">
        <v>4</v>
      </c>
      <c r="T24" s="363">
        <v>5</v>
      </c>
      <c r="U24" s="363">
        <v>6</v>
      </c>
      <c r="V24" s="363">
        <v>10</v>
      </c>
      <c r="W24" s="363">
        <v>11</v>
      </c>
    </row>
    <row r="25">
      <c r="A25" s="128">
        <v>1</v>
      </c>
      <c r="B25" s="129">
        <v>46000</v>
      </c>
      <c r="C25" s="130" t="s">
        <v>52</v>
      </c>
      <c r="D25" s="133"/>
      <c r="E25" s="132"/>
      <c r="F25" s="132" t="str">
        <f t="shared" ref="F25:F57" si="37">IF(AND(E25&lt;&gt;"",E25&lt;&gt;0),D25/E25,"")</f>
        <v/>
      </c>
      <c r="G25" s="132"/>
      <c r="H25" s="132" t="str">
        <f t="shared" ref="H25:H57" si="38">IF(AND(G25&lt;&gt;"",G25&lt;&gt;0),D25/G25,"")</f>
        <v/>
      </c>
      <c r="I25" s="132"/>
      <c r="J25" s="133" t="str">
        <f t="shared" ref="J25:J57" si="39">IF(AND(G25&lt;&gt;"",G25&lt;&gt;0),E25/G25,"")</f>
        <v/>
      </c>
      <c r="K25" s="132"/>
      <c r="L25" s="132"/>
      <c r="M25" s="132"/>
      <c r="N25" s="134" t="str">
        <f t="shared" ref="N25:N57" si="40">IF(AND(I25&lt;&gt;"",I25&lt;&gt;0),G25/I25,"")</f>
        <v/>
      </c>
      <c r="O25" s="135">
        <f t="shared" ref="O25:O57" si="41">D25/P25</f>
        <v>0</v>
      </c>
      <c r="P25" s="136">
        <f t="shared" ref="P25:P56" si="42">$I$8*V25*W25/SUMPRODUCT($W$25:$W$56,$V$25:$V$56)</f>
        <v>22445.571780147657</v>
      </c>
      <c r="Q25" s="137">
        <f>$I$9*V25*W25/SUMPRODUCT($W$25:$W$56,$V$25:$V$56)</f>
        <v>2.8776374077112381</v>
      </c>
      <c r="R25" s="137">
        <f t="shared" ref="R25:R56" si="43">IF($I$12="","",Q25/$I$12)</f>
        <v>1.6538146021328954</v>
      </c>
      <c r="S25" s="136">
        <f>IF(D25&lt;&gt;"",D25,P25)</f>
        <v>22445.571780147657</v>
      </c>
      <c r="T25" s="137">
        <f>IF(E25&lt;&gt;"",E25,Q25)</f>
        <v>2.8776374077112381</v>
      </c>
      <c r="U25" s="137">
        <f>IF(G25&lt;&gt;"",G25,R25)</f>
        <v>1.6538146021328954</v>
      </c>
      <c r="V25" s="364">
        <v>1</v>
      </c>
      <c r="W25" s="364">
        <v>1</v>
      </c>
      <c r="X25" s="139"/>
      <c r="Y25" s="140"/>
    </row>
    <row r="26">
      <c r="A26" s="128">
        <v>2</v>
      </c>
      <c r="B26" s="129">
        <v>46001</v>
      </c>
      <c r="C26" s="130" t="s">
        <v>53</v>
      </c>
      <c r="D26" s="133">
        <v>69549</v>
      </c>
      <c r="E26" s="132">
        <v>6</v>
      </c>
      <c r="F26" s="132">
        <f t="shared" si="37"/>
        <v>11591.5</v>
      </c>
      <c r="G26" s="132">
        <v>1</v>
      </c>
      <c r="H26" s="132">
        <f t="shared" si="38"/>
        <v>69549</v>
      </c>
      <c r="I26" s="132">
        <v>4</v>
      </c>
      <c r="J26" s="133">
        <f t="shared" si="39"/>
        <v>6</v>
      </c>
      <c r="K26" s="132">
        <v>39980</v>
      </c>
      <c r="L26" s="132"/>
      <c r="M26" s="132"/>
      <c r="N26" s="134">
        <f t="shared" si="40"/>
        <v>0.25</v>
      </c>
      <c r="O26" s="135">
        <f t="shared" si="41"/>
        <v>3.0985621877324472</v>
      </c>
      <c r="P26" s="136">
        <f t="shared" si="42"/>
        <v>22445.571780147657</v>
      </c>
      <c r="Q26" s="137">
        <f t="shared" ref="Q26:Q56" si="44">$I$9*V26*W26/SUMPRODUCT($W$25:$W$58,$V$25:$V$58)</f>
        <v>2.8776374077112381</v>
      </c>
      <c r="R26" s="137">
        <f t="shared" si="43"/>
        <v>1.6538146021328954</v>
      </c>
      <c r="S26" s="136">
        <f>IF(W26&lt;&gt;"",IF(D26&lt;&gt;"",D26,($I$8-SUM($S$25:S25))*V26*W26/SUMPRODUCT($W26:$W$56,$V26:$V$56)),"")</f>
        <v>69549</v>
      </c>
      <c r="T26" s="137">
        <f t="shared" ref="T26:T34" si="45">IF(W26&lt;&gt;"",IF(E26&lt;&gt;"",E26,($I$9-SUM($T$25:T25))*V26*W26/SUMPRODUCT($W26:$W$58,$V26:$V$58)),"")</f>
        <v>6</v>
      </c>
      <c r="U26" s="137">
        <f t="shared" ref="U26:U53" si="46">IF(W26&lt;&gt;"",IF($I$12&lt;&gt;"",IF(G26&lt;&gt;"",G26,($I$9/$I$12-SUM($U$25:U25))*V26*W26/SUMPRODUCT($W26:$W$58,$V26:$V$58)),""),"")</f>
        <v>1</v>
      </c>
      <c r="V26" s="364">
        <v>1</v>
      </c>
      <c r="W26" s="364">
        <v>1</v>
      </c>
      <c r="X26" s="141"/>
      <c r="Y26" s="140"/>
    </row>
    <row r="27">
      <c r="A27" s="128">
        <v>3</v>
      </c>
      <c r="B27" s="129">
        <v>46002</v>
      </c>
      <c r="C27" s="130" t="s">
        <v>54</v>
      </c>
      <c r="D27" s="133">
        <v>7984</v>
      </c>
      <c r="E27" s="132">
        <v>2</v>
      </c>
      <c r="F27" s="132">
        <v>3992</v>
      </c>
      <c r="G27" s="132">
        <v>1</v>
      </c>
      <c r="H27" s="132">
        <f t="shared" si="38"/>
        <v>7984</v>
      </c>
      <c r="I27" s="132">
        <v>6</v>
      </c>
      <c r="J27" s="133">
        <f t="shared" si="39"/>
        <v>2</v>
      </c>
      <c r="K27" s="132"/>
      <c r="L27" s="132"/>
      <c r="M27" s="132"/>
      <c r="N27" s="134">
        <f t="shared" si="40"/>
        <v>0.16666666666666666</v>
      </c>
      <c r="O27" s="135">
        <f t="shared" si="41"/>
        <v>0.3557049059922624</v>
      </c>
      <c r="P27" s="136">
        <f t="shared" si="42"/>
        <v>22445.571780147657</v>
      </c>
      <c r="Q27" s="137">
        <f t="shared" si="44"/>
        <v>2.8776374077112381</v>
      </c>
      <c r="R27" s="137">
        <f t="shared" si="43"/>
        <v>1.6538146021328954</v>
      </c>
      <c r="S27" s="136">
        <f t="shared" ref="S27:S53" si="47">IF(W27&lt;&gt;"",IF(D27&lt;&gt;"",D27,($I$8-SUM($S$25:S26))*V27*W27/SUMPRODUCT($W27:$W$58,$V27:$V$58)),"")</f>
        <v>7984</v>
      </c>
      <c r="T27" s="137">
        <f t="shared" si="45"/>
        <v>2</v>
      </c>
      <c r="U27" s="137">
        <f t="shared" si="46"/>
        <v>1</v>
      </c>
      <c r="V27" s="364">
        <v>1</v>
      </c>
      <c r="W27" s="364">
        <v>1</v>
      </c>
      <c r="X27" s="141"/>
      <c r="Y27" s="143"/>
      <c r="Z27" s="2"/>
      <c r="AA27" s="2"/>
      <c r="AB27" s="2"/>
      <c r="AC27" s="2"/>
      <c r="AD27" s="2"/>
    </row>
    <row r="28" s="365" customFormat="1">
      <c r="A28" s="128">
        <v>4</v>
      </c>
      <c r="B28" s="129">
        <v>46003</v>
      </c>
      <c r="C28" s="130" t="s">
        <v>55</v>
      </c>
      <c r="D28" s="133">
        <v>4494</v>
      </c>
      <c r="E28" s="132">
        <v>1</v>
      </c>
      <c r="F28" s="132">
        <f t="shared" si="37"/>
        <v>4494</v>
      </c>
      <c r="G28" s="132">
        <v>1</v>
      </c>
      <c r="H28" s="132">
        <f t="shared" si="38"/>
        <v>4494</v>
      </c>
      <c r="I28" s="132">
        <v>13</v>
      </c>
      <c r="J28" s="133">
        <f t="shared" si="39"/>
        <v>1</v>
      </c>
      <c r="K28" s="132"/>
      <c r="L28" s="132"/>
      <c r="M28" s="132"/>
      <c r="N28" s="134">
        <f t="shared" si="40"/>
        <v>0.076923076923076927</v>
      </c>
      <c r="O28" s="135">
        <f t="shared" si="41"/>
        <v>0.2002176662737008</v>
      </c>
      <c r="P28" s="136">
        <f t="shared" si="42"/>
        <v>22445.571780147657</v>
      </c>
      <c r="Q28" s="137">
        <f t="shared" si="44"/>
        <v>2.8776374077112381</v>
      </c>
      <c r="R28" s="137">
        <f t="shared" si="43"/>
        <v>1.6538146021328954</v>
      </c>
      <c r="S28" s="136">
        <f t="shared" si="47"/>
        <v>4494</v>
      </c>
      <c r="T28" s="137">
        <f t="shared" si="45"/>
        <v>1</v>
      </c>
      <c r="U28" s="137">
        <f t="shared" si="46"/>
        <v>1</v>
      </c>
      <c r="V28" s="364">
        <v>1</v>
      </c>
      <c r="W28" s="364">
        <v>1</v>
      </c>
      <c r="X28" s="141"/>
      <c r="Y28" s="140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>
      <c r="A29" s="128">
        <v>5</v>
      </c>
      <c r="B29" s="129">
        <v>46004</v>
      </c>
      <c r="C29" s="130" t="s">
        <v>56</v>
      </c>
      <c r="D29" s="133">
        <v>12384</v>
      </c>
      <c r="E29" s="132">
        <v>2</v>
      </c>
      <c r="F29" s="132">
        <f t="shared" si="37"/>
        <v>6192</v>
      </c>
      <c r="G29" s="132">
        <v>1</v>
      </c>
      <c r="H29" s="132">
        <f t="shared" si="38"/>
        <v>12384</v>
      </c>
      <c r="I29" s="132">
        <v>10</v>
      </c>
      <c r="J29" s="133">
        <f t="shared" si="39"/>
        <v>2</v>
      </c>
      <c r="K29" s="132"/>
      <c r="L29" s="132"/>
      <c r="M29" s="132"/>
      <c r="N29" s="134">
        <f t="shared" si="40"/>
        <v>0.10000000000000001</v>
      </c>
      <c r="O29" s="135">
        <f t="shared" si="41"/>
        <v>0.55173466380362945</v>
      </c>
      <c r="P29" s="136">
        <f t="shared" si="42"/>
        <v>22445.571780147657</v>
      </c>
      <c r="Q29" s="137">
        <f t="shared" si="44"/>
        <v>2.8776374077112381</v>
      </c>
      <c r="R29" s="137">
        <f t="shared" si="43"/>
        <v>1.6538146021328954</v>
      </c>
      <c r="S29" s="136">
        <f t="shared" si="47"/>
        <v>12384</v>
      </c>
      <c r="T29" s="137">
        <f t="shared" si="45"/>
        <v>2</v>
      </c>
      <c r="U29" s="137">
        <f t="shared" si="46"/>
        <v>1</v>
      </c>
      <c r="V29" s="364">
        <v>1</v>
      </c>
      <c r="W29" s="364">
        <v>1</v>
      </c>
      <c r="X29" s="141"/>
      <c r="Y29" s="140"/>
      <c r="Z29" s="2"/>
      <c r="AA29" s="2"/>
      <c r="AB29" s="2"/>
      <c r="AC29" s="2"/>
      <c r="AD29" s="2"/>
    </row>
    <row r="30">
      <c r="A30" s="128">
        <v>6</v>
      </c>
      <c r="B30" s="129">
        <v>46005</v>
      </c>
      <c r="C30" s="130" t="s">
        <v>57</v>
      </c>
      <c r="D30" s="133">
        <v>37966</v>
      </c>
      <c r="E30" s="132">
        <v>4</v>
      </c>
      <c r="F30" s="132">
        <f t="shared" si="37"/>
        <v>9491.5</v>
      </c>
      <c r="G30" s="132">
        <v>1</v>
      </c>
      <c r="H30" s="132">
        <f t="shared" si="38"/>
        <v>37966</v>
      </c>
      <c r="I30" s="132">
        <v>18</v>
      </c>
      <c r="J30" s="133">
        <f t="shared" si="39"/>
        <v>4</v>
      </c>
      <c r="K30" s="132"/>
      <c r="L30" s="132"/>
      <c r="M30" s="132"/>
      <c r="N30" s="134">
        <f t="shared" si="40"/>
        <v>0.055555555555555552</v>
      </c>
      <c r="O30" s="135">
        <f t="shared" si="41"/>
        <v>1.6914694966059913</v>
      </c>
      <c r="P30" s="136">
        <f t="shared" si="42"/>
        <v>22445.571780147657</v>
      </c>
      <c r="Q30" s="137">
        <f t="shared" si="44"/>
        <v>2.8776374077112381</v>
      </c>
      <c r="R30" s="137">
        <f t="shared" si="43"/>
        <v>1.6538146021328954</v>
      </c>
      <c r="S30" s="136">
        <f t="shared" si="47"/>
        <v>37966</v>
      </c>
      <c r="T30" s="137">
        <f t="shared" si="45"/>
        <v>4</v>
      </c>
      <c r="U30" s="137">
        <f t="shared" si="46"/>
        <v>1</v>
      </c>
      <c r="V30" s="364">
        <v>1</v>
      </c>
      <c r="W30" s="364">
        <v>1</v>
      </c>
      <c r="X30" s="141"/>
      <c r="Y30" s="140"/>
      <c r="Z30" s="2"/>
      <c r="AA30" s="2"/>
      <c r="AB30" s="2"/>
      <c r="AC30" s="2"/>
      <c r="AD30" s="2"/>
    </row>
    <row r="31">
      <c r="A31" s="128">
        <v>7</v>
      </c>
      <c r="B31" s="129">
        <v>46007</v>
      </c>
      <c r="C31" s="130" t="s">
        <v>52</v>
      </c>
      <c r="D31" s="133">
        <v>4493</v>
      </c>
      <c r="E31" s="132">
        <v>1</v>
      </c>
      <c r="F31" s="132">
        <f t="shared" si="37"/>
        <v>4493</v>
      </c>
      <c r="G31" s="132">
        <v>1</v>
      </c>
      <c r="H31" s="132">
        <f t="shared" si="38"/>
        <v>4493</v>
      </c>
      <c r="I31" s="132">
        <v>6</v>
      </c>
      <c r="J31" s="133">
        <f t="shared" si="39"/>
        <v>1</v>
      </c>
      <c r="K31" s="132"/>
      <c r="L31" s="132"/>
      <c r="M31" s="132"/>
      <c r="N31" s="134">
        <f t="shared" si="40"/>
        <v>0.16666666666666666</v>
      </c>
      <c r="O31" s="135">
        <f t="shared" si="41"/>
        <v>0.2001731140560164</v>
      </c>
      <c r="P31" s="136">
        <f t="shared" si="42"/>
        <v>22445.571780147657</v>
      </c>
      <c r="Q31" s="137">
        <f t="shared" si="44"/>
        <v>2.8776374077112381</v>
      </c>
      <c r="R31" s="137">
        <f t="shared" si="43"/>
        <v>1.6538146021328954</v>
      </c>
      <c r="S31" s="136">
        <f t="shared" si="47"/>
        <v>4493</v>
      </c>
      <c r="T31" s="137">
        <f t="shared" si="45"/>
        <v>1</v>
      </c>
      <c r="U31" s="137">
        <f t="shared" si="46"/>
        <v>1</v>
      </c>
      <c r="V31" s="364">
        <v>1</v>
      </c>
      <c r="W31" s="364">
        <v>1</v>
      </c>
      <c r="X31" s="141"/>
      <c r="Y31" s="140"/>
    </row>
    <row r="32">
      <c r="A32" s="128">
        <v>8</v>
      </c>
      <c r="B32" s="129">
        <v>46008</v>
      </c>
      <c r="C32" s="130" t="s">
        <v>53</v>
      </c>
      <c r="D32" s="133">
        <v>42550</v>
      </c>
      <c r="E32" s="132">
        <v>6</v>
      </c>
      <c r="F32" s="132">
        <f t="shared" si="37"/>
        <v>7091.666666666667</v>
      </c>
      <c r="G32" s="132">
        <v>2</v>
      </c>
      <c r="H32" s="132">
        <f t="shared" si="38"/>
        <v>21275</v>
      </c>
      <c r="I32" s="132">
        <v>22</v>
      </c>
      <c r="J32" s="133">
        <f t="shared" si="39"/>
        <v>3</v>
      </c>
      <c r="K32" s="366"/>
      <c r="L32" s="132"/>
      <c r="M32" s="132"/>
      <c r="N32" s="134">
        <f t="shared" si="40"/>
        <v>0.090909090909090912</v>
      </c>
      <c r="O32" s="135">
        <f t="shared" si="41"/>
        <v>1.8956968624712882</v>
      </c>
      <c r="P32" s="136">
        <f t="shared" si="42"/>
        <v>22445.571780147657</v>
      </c>
      <c r="Q32" s="137">
        <f t="shared" si="44"/>
        <v>2.8776374077112381</v>
      </c>
      <c r="R32" s="137">
        <f t="shared" si="43"/>
        <v>1.6538146021328954</v>
      </c>
      <c r="S32" s="136">
        <f t="shared" si="47"/>
        <v>42550</v>
      </c>
      <c r="T32" s="137">
        <f t="shared" si="45"/>
        <v>6</v>
      </c>
      <c r="U32" s="137">
        <f t="shared" si="46"/>
        <v>2</v>
      </c>
      <c r="V32" s="364">
        <v>1</v>
      </c>
      <c r="W32" s="364">
        <v>1</v>
      </c>
      <c r="X32" s="141"/>
      <c r="Y32" s="140"/>
    </row>
    <row r="33">
      <c r="A33" s="128">
        <v>9</v>
      </c>
      <c r="B33" s="129">
        <v>46009</v>
      </c>
      <c r="C33" s="130" t="s">
        <v>54</v>
      </c>
      <c r="D33" s="133">
        <v>0</v>
      </c>
      <c r="E33" s="132">
        <v>0</v>
      </c>
      <c r="F33" s="132" t="str">
        <f t="shared" si="37"/>
        <v/>
      </c>
      <c r="G33" s="132">
        <v>0</v>
      </c>
      <c r="H33" s="132" t="str">
        <f t="shared" si="38"/>
        <v/>
      </c>
      <c r="I33" s="132">
        <v>26</v>
      </c>
      <c r="J33" s="133" t="str">
        <f t="shared" si="39"/>
        <v/>
      </c>
      <c r="K33" s="132"/>
      <c r="L33" s="132"/>
      <c r="M33" s="132"/>
      <c r="N33" s="134">
        <f t="shared" si="40"/>
        <v>0</v>
      </c>
      <c r="O33" s="135">
        <f t="shared" si="41"/>
        <v>0</v>
      </c>
      <c r="P33" s="136">
        <f t="shared" si="42"/>
        <v>22445.571780147657</v>
      </c>
      <c r="Q33" s="137">
        <f t="shared" si="44"/>
        <v>2.8776374077112381</v>
      </c>
      <c r="R33" s="137">
        <f t="shared" si="43"/>
        <v>1.6538146021328954</v>
      </c>
      <c r="S33" s="136">
        <f t="shared" si="47"/>
        <v>0</v>
      </c>
      <c r="T33" s="137">
        <f t="shared" si="45"/>
        <v>0</v>
      </c>
      <c r="U33" s="137">
        <f t="shared" si="46"/>
        <v>0</v>
      </c>
      <c r="V33" s="364">
        <v>1</v>
      </c>
      <c r="W33" s="364">
        <v>1</v>
      </c>
      <c r="X33" s="141"/>
      <c r="Y33" s="140"/>
      <c r="Z33" s="2"/>
      <c r="AA33" s="2"/>
      <c r="AB33" s="2"/>
      <c r="AC33" s="2"/>
      <c r="AD33" s="2"/>
    </row>
    <row r="34">
      <c r="A34" s="128">
        <v>10</v>
      </c>
      <c r="B34" s="129">
        <v>46010</v>
      </c>
      <c r="C34" s="130" t="s">
        <v>55</v>
      </c>
      <c r="D34" s="133"/>
      <c r="E34" s="160"/>
      <c r="F34" s="132" t="str">
        <f t="shared" si="37"/>
        <v/>
      </c>
      <c r="G34" s="132"/>
      <c r="H34" s="132" t="str">
        <f t="shared" si="38"/>
        <v/>
      </c>
      <c r="I34" s="132"/>
      <c r="J34" s="133" t="str">
        <f t="shared" si="39"/>
        <v/>
      </c>
      <c r="K34" s="132"/>
      <c r="L34" s="132"/>
      <c r="M34" s="132"/>
      <c r="N34" s="134" t="str">
        <f t="shared" si="40"/>
        <v/>
      </c>
      <c r="O34" s="135" t="e">
        <f t="shared" si="41"/>
        <v>#DIV/0!</v>
      </c>
      <c r="P34" s="136">
        <f t="shared" si="42"/>
        <v>0</v>
      </c>
      <c r="Q34" s="137">
        <f t="shared" si="44"/>
        <v>0</v>
      </c>
      <c r="R34" s="137">
        <f t="shared" si="43"/>
        <v>0</v>
      </c>
      <c r="S34" s="136" t="str">
        <f t="shared" si="47"/>
        <v/>
      </c>
      <c r="T34" s="137" t="str">
        <f t="shared" si="45"/>
        <v/>
      </c>
      <c r="U34" s="137" t="str">
        <f t="shared" si="46"/>
        <v/>
      </c>
      <c r="V34" s="364"/>
      <c r="W34" s="364"/>
      <c r="X34" s="141"/>
      <c r="Y34" s="140"/>
      <c r="Z34" s="2"/>
      <c r="AA34" s="2"/>
      <c r="AB34" s="2"/>
      <c r="AC34" s="2"/>
      <c r="AD34" s="2"/>
    </row>
    <row r="35">
      <c r="A35" s="128">
        <v>11</v>
      </c>
      <c r="B35" s="129">
        <v>46011</v>
      </c>
      <c r="C35" s="130" t="s">
        <v>56</v>
      </c>
      <c r="D35" s="133"/>
      <c r="E35" s="130"/>
      <c r="F35" s="132" t="str">
        <f t="shared" si="37"/>
        <v/>
      </c>
      <c r="G35" s="132"/>
      <c r="H35" s="132" t="str">
        <f t="shared" si="38"/>
        <v/>
      </c>
      <c r="I35" s="132"/>
      <c r="J35" s="133" t="str">
        <f t="shared" si="39"/>
        <v/>
      </c>
      <c r="K35" s="132"/>
      <c r="L35" s="132"/>
      <c r="M35" s="132"/>
      <c r="N35" s="134" t="str">
        <f t="shared" si="40"/>
        <v/>
      </c>
      <c r="O35" s="135" t="e">
        <f t="shared" si="41"/>
        <v>#DIV/0!</v>
      </c>
      <c r="P35" s="136">
        <f t="shared" si="42"/>
        <v>0</v>
      </c>
      <c r="Q35" s="137">
        <f t="shared" si="44"/>
        <v>0</v>
      </c>
      <c r="R35" s="137">
        <f t="shared" si="43"/>
        <v>0</v>
      </c>
      <c r="S35" s="136" t="str">
        <f t="shared" si="47"/>
        <v/>
      </c>
      <c r="T35" s="137" t="str">
        <f t="shared" ref="T35:T36" si="48">IF(W35&lt;&gt;"",IF(E34&lt;&gt;"",E34,($I$9-SUM($T$25:T34))*V35*W35/SUMPRODUCT($W35:$W$58,$V35:$V$58)),"")</f>
        <v/>
      </c>
      <c r="U35" s="137" t="str">
        <f t="shared" si="46"/>
        <v/>
      </c>
      <c r="V35" s="364"/>
      <c r="W35" s="364"/>
      <c r="X35" s="141"/>
      <c r="Y35" s="140"/>
      <c r="Z35" s="2"/>
      <c r="AA35" s="2"/>
      <c r="AB35" s="2"/>
      <c r="AC35" s="2"/>
      <c r="AD35" s="2"/>
    </row>
    <row r="36" ht="15.25" customHeight="1">
      <c r="A36" s="128">
        <v>12</v>
      </c>
      <c r="B36" s="129">
        <v>46012</v>
      </c>
      <c r="C36" s="130" t="s">
        <v>57</v>
      </c>
      <c r="D36" s="133"/>
      <c r="E36" s="168"/>
      <c r="F36" s="132" t="str">
        <f t="shared" si="37"/>
        <v/>
      </c>
      <c r="G36" s="142"/>
      <c r="H36" s="132" t="str">
        <f t="shared" si="38"/>
        <v/>
      </c>
      <c r="I36" s="142"/>
      <c r="J36" s="133" t="str">
        <f t="shared" si="39"/>
        <v/>
      </c>
      <c r="K36" s="142"/>
      <c r="L36" s="132"/>
      <c r="M36" s="142"/>
      <c r="N36" s="134" t="str">
        <f t="shared" si="40"/>
        <v/>
      </c>
      <c r="O36" s="367" t="e">
        <f t="shared" si="41"/>
        <v>#DIV/0!</v>
      </c>
      <c r="P36" s="136">
        <f t="shared" si="42"/>
        <v>0</v>
      </c>
      <c r="Q36" s="368">
        <f t="shared" si="44"/>
        <v>0</v>
      </c>
      <c r="R36" s="137">
        <f t="shared" si="43"/>
        <v>0</v>
      </c>
      <c r="S36" s="369" t="str">
        <f t="shared" si="47"/>
        <v/>
      </c>
      <c r="T36" s="137" t="str">
        <f t="shared" si="48"/>
        <v/>
      </c>
      <c r="U36" s="368" t="str">
        <f t="shared" si="46"/>
        <v/>
      </c>
      <c r="V36" s="364"/>
      <c r="W36" s="364"/>
      <c r="X36" s="141"/>
      <c r="Y36" s="140"/>
      <c r="Z36" s="2"/>
      <c r="AA36" s="2"/>
      <c r="AB36" s="2"/>
      <c r="AC36" s="2"/>
      <c r="AD36" s="2"/>
    </row>
    <row r="37">
      <c r="A37" s="128">
        <v>13</v>
      </c>
      <c r="B37" s="129">
        <v>46013</v>
      </c>
      <c r="C37" s="130" t="s">
        <v>50</v>
      </c>
      <c r="D37" s="133"/>
      <c r="E37" s="132"/>
      <c r="F37" s="132" t="str">
        <f t="shared" si="37"/>
        <v/>
      </c>
      <c r="G37" s="132"/>
      <c r="H37" s="132" t="str">
        <f t="shared" si="38"/>
        <v/>
      </c>
      <c r="I37" s="132"/>
      <c r="J37" s="133" t="str">
        <f t="shared" si="39"/>
        <v/>
      </c>
      <c r="K37" s="132"/>
      <c r="L37" s="132"/>
      <c r="M37" s="132"/>
      <c r="N37" s="134" t="str">
        <f t="shared" si="40"/>
        <v/>
      </c>
      <c r="O37" s="135" t="e">
        <f t="shared" si="41"/>
        <v>#DIV/0!</v>
      </c>
      <c r="P37" s="136">
        <f t="shared" si="42"/>
        <v>0</v>
      </c>
      <c r="Q37" s="137">
        <f t="shared" si="44"/>
        <v>0</v>
      </c>
      <c r="R37" s="137">
        <f t="shared" si="43"/>
        <v>0</v>
      </c>
      <c r="S37" s="136" t="str">
        <f t="shared" si="47"/>
        <v/>
      </c>
      <c r="T37" s="137" t="str">
        <f t="shared" ref="T37:T53" si="49">IF(W37&lt;&gt;"",IF(E37&lt;&gt;"",E37,($I$9-SUM($T$25:T36))*V37*W37/SUMPRODUCT($W37:$W$58,$V37:$V$58)),"")</f>
        <v/>
      </c>
      <c r="U37" s="137" t="str">
        <f t="shared" si="46"/>
        <v/>
      </c>
      <c r="V37" s="364"/>
      <c r="W37" s="364"/>
      <c r="X37" s="141"/>
      <c r="Y37" s="140"/>
      <c r="Z37" s="2"/>
      <c r="AA37" s="2"/>
      <c r="AB37" s="2"/>
      <c r="AC37" s="2"/>
      <c r="AD37" s="2"/>
    </row>
    <row r="38" s="159" customFormat="1">
      <c r="A38" s="145">
        <v>14</v>
      </c>
      <c r="B38" s="146">
        <v>46014</v>
      </c>
      <c r="C38" s="147" t="s">
        <v>52</v>
      </c>
      <c r="D38" s="150"/>
      <c r="E38" s="161"/>
      <c r="F38" s="149" t="str">
        <f t="shared" si="37"/>
        <v/>
      </c>
      <c r="G38" s="149"/>
      <c r="H38" s="149" t="str">
        <f t="shared" si="38"/>
        <v/>
      </c>
      <c r="I38" s="149"/>
      <c r="J38" s="150" t="str">
        <f t="shared" si="39"/>
        <v/>
      </c>
      <c r="K38" s="149"/>
      <c r="L38" s="149"/>
      <c r="M38" s="149"/>
      <c r="N38" s="151" t="str">
        <f t="shared" si="40"/>
        <v/>
      </c>
      <c r="O38" s="152">
        <f t="shared" si="41"/>
        <v>0</v>
      </c>
      <c r="P38" s="153">
        <f t="shared" si="42"/>
        <v>22445.571780147657</v>
      </c>
      <c r="Q38" s="154">
        <f t="shared" si="44"/>
        <v>2.8776374077112381</v>
      </c>
      <c r="R38" s="154">
        <f t="shared" si="43"/>
        <v>1.6538146021328954</v>
      </c>
      <c r="S38" s="153">
        <f t="shared" si="47"/>
        <v>22457.422127785474</v>
      </c>
      <c r="T38" s="154">
        <f t="shared" si="49"/>
        <v>2.9613340685054945</v>
      </c>
      <c r="U38" s="154">
        <f t="shared" si="46"/>
        <v>2.0825454887774177</v>
      </c>
      <c r="V38" s="155">
        <v>1</v>
      </c>
      <c r="W38" s="155">
        <v>1</v>
      </c>
      <c r="X38" s="156"/>
      <c r="Y38" s="157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58"/>
      <c r="EC38" s="158"/>
      <c r="ED38" s="158"/>
      <c r="EE38" s="158"/>
      <c r="EF38" s="158"/>
      <c r="EG38" s="158"/>
      <c r="EH38" s="158"/>
      <c r="EI38" s="158"/>
      <c r="EJ38" s="158"/>
      <c r="EK38" s="158"/>
      <c r="EL38" s="158"/>
      <c r="EM38" s="158"/>
      <c r="EN38" s="158"/>
      <c r="EO38" s="158"/>
      <c r="EP38" s="158"/>
      <c r="EQ38" s="158"/>
      <c r="ER38" s="158"/>
      <c r="ES38" s="158"/>
      <c r="ET38" s="158"/>
      <c r="EU38" s="158"/>
      <c r="EV38" s="158"/>
      <c r="EW38" s="158"/>
      <c r="EX38" s="158"/>
      <c r="EY38" s="158"/>
      <c r="EZ38" s="158"/>
      <c r="FA38" s="158"/>
      <c r="FB38" s="158"/>
      <c r="FC38" s="158"/>
      <c r="FD38" s="158"/>
      <c r="FE38" s="158"/>
      <c r="FF38" s="158"/>
      <c r="FG38" s="158"/>
      <c r="FH38" s="158"/>
      <c r="FI38" s="158"/>
      <c r="FJ38" s="158"/>
      <c r="FK38" s="158"/>
      <c r="FL38" s="158"/>
      <c r="FM38" s="158"/>
      <c r="FN38" s="158"/>
      <c r="FO38" s="158"/>
      <c r="FP38" s="158"/>
      <c r="FQ38" s="158"/>
      <c r="FR38" s="158"/>
      <c r="FS38" s="158"/>
      <c r="FT38" s="158"/>
      <c r="FU38" s="158"/>
      <c r="FV38" s="158"/>
      <c r="FW38" s="158"/>
      <c r="FX38" s="158"/>
      <c r="FY38" s="158"/>
      <c r="FZ38" s="158"/>
      <c r="GA38" s="158"/>
      <c r="GB38" s="158"/>
      <c r="GC38" s="158"/>
      <c r="GD38" s="158"/>
      <c r="GE38" s="158"/>
      <c r="GF38" s="158"/>
      <c r="GG38" s="158"/>
      <c r="GH38" s="158"/>
      <c r="GI38" s="158"/>
      <c r="GJ38" s="158"/>
      <c r="GK38" s="158"/>
      <c r="GL38" s="158"/>
      <c r="GM38" s="158"/>
      <c r="GN38" s="158"/>
      <c r="GO38" s="158"/>
      <c r="GP38" s="158"/>
      <c r="GQ38" s="158"/>
      <c r="GR38" s="158"/>
      <c r="GS38" s="158"/>
      <c r="GT38" s="158"/>
      <c r="GU38" s="158"/>
      <c r="GV38" s="158"/>
      <c r="GW38" s="158"/>
      <c r="GX38" s="158"/>
      <c r="GY38" s="158"/>
      <c r="GZ38" s="158"/>
      <c r="HA38" s="158"/>
      <c r="HB38" s="158"/>
      <c r="HC38" s="158"/>
      <c r="HD38" s="158"/>
      <c r="HE38" s="158"/>
      <c r="HF38" s="158"/>
      <c r="HG38" s="158"/>
      <c r="HH38" s="158"/>
      <c r="HI38" s="158"/>
      <c r="HJ38" s="158"/>
      <c r="HK38" s="158"/>
      <c r="HL38" s="158"/>
      <c r="HM38" s="158"/>
      <c r="HN38" s="158"/>
      <c r="HO38" s="158"/>
      <c r="HP38" s="158"/>
      <c r="HQ38" s="158"/>
      <c r="HR38" s="158"/>
      <c r="HS38" s="158"/>
      <c r="HT38" s="158"/>
      <c r="HU38" s="158"/>
      <c r="HV38" s="158"/>
      <c r="HW38" s="158"/>
      <c r="HX38" s="158"/>
      <c r="HY38" s="158"/>
      <c r="HZ38" s="158"/>
      <c r="IA38" s="158"/>
      <c r="IB38" s="158"/>
      <c r="IC38" s="158"/>
      <c r="ID38" s="158"/>
      <c r="IE38" s="158"/>
      <c r="IF38" s="158"/>
      <c r="IG38" s="158"/>
      <c r="IH38" s="158"/>
      <c r="II38" s="158"/>
      <c r="IJ38" s="158"/>
      <c r="IK38" s="158"/>
      <c r="IL38" s="158"/>
      <c r="IM38" s="158"/>
      <c r="IN38" s="158"/>
      <c r="IO38" s="158"/>
      <c r="IP38" s="158"/>
      <c r="IQ38" s="158"/>
      <c r="IR38" s="158"/>
      <c r="IS38" s="158"/>
      <c r="IT38" s="158"/>
      <c r="IU38" s="158"/>
    </row>
    <row r="39" s="159" customFormat="1">
      <c r="A39" s="145">
        <v>15</v>
      </c>
      <c r="B39" s="146">
        <v>46015</v>
      </c>
      <c r="C39" s="147" t="s">
        <v>53</v>
      </c>
      <c r="D39" s="150"/>
      <c r="E39" s="161"/>
      <c r="F39" s="149" t="str">
        <f t="shared" si="37"/>
        <v/>
      </c>
      <c r="G39" s="149"/>
      <c r="H39" s="149" t="str">
        <f t="shared" si="38"/>
        <v/>
      </c>
      <c r="I39" s="149"/>
      <c r="J39" s="150" t="str">
        <f t="shared" si="39"/>
        <v/>
      </c>
      <c r="K39" s="149"/>
      <c r="L39" s="149"/>
      <c r="M39" s="149"/>
      <c r="N39" s="151" t="str">
        <f t="shared" si="40"/>
        <v/>
      </c>
      <c r="O39" s="152">
        <f t="shared" si="41"/>
        <v>0</v>
      </c>
      <c r="P39" s="153">
        <f t="shared" si="42"/>
        <v>22445.571780147657</v>
      </c>
      <c r="Q39" s="154">
        <f t="shared" si="44"/>
        <v>2.8776374077112381</v>
      </c>
      <c r="R39" s="154">
        <f t="shared" si="43"/>
        <v>1.6538146021328954</v>
      </c>
      <c r="S39" s="153">
        <f t="shared" si="47"/>
        <v>22457.42212778547</v>
      </c>
      <c r="T39" s="154">
        <f t="shared" si="49"/>
        <v>2.9613340685054941</v>
      </c>
      <c r="U39" s="154">
        <f t="shared" si="46"/>
        <v>2.0825454887774173</v>
      </c>
      <c r="V39" s="155">
        <v>1</v>
      </c>
      <c r="W39" s="155">
        <v>1</v>
      </c>
      <c r="X39" s="156"/>
      <c r="Y39" s="157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58"/>
      <c r="EC39" s="158"/>
      <c r="ED39" s="158"/>
      <c r="EE39" s="158"/>
      <c r="EF39" s="158"/>
      <c r="EG39" s="158"/>
      <c r="EH39" s="158"/>
      <c r="EI39" s="158"/>
      <c r="EJ39" s="158"/>
      <c r="EK39" s="158"/>
      <c r="EL39" s="158"/>
      <c r="EM39" s="158"/>
      <c r="EN39" s="158"/>
      <c r="EO39" s="158"/>
      <c r="EP39" s="158"/>
      <c r="EQ39" s="158"/>
      <c r="ER39" s="158"/>
      <c r="ES39" s="158"/>
      <c r="ET39" s="158"/>
      <c r="EU39" s="158"/>
      <c r="EV39" s="158"/>
      <c r="EW39" s="158"/>
      <c r="EX39" s="158"/>
      <c r="EY39" s="158"/>
      <c r="EZ39" s="158"/>
      <c r="FA39" s="158"/>
      <c r="FB39" s="158"/>
      <c r="FC39" s="158"/>
      <c r="FD39" s="158"/>
      <c r="FE39" s="158"/>
      <c r="FF39" s="158"/>
      <c r="FG39" s="158"/>
      <c r="FH39" s="158"/>
      <c r="FI39" s="158"/>
      <c r="FJ39" s="158"/>
      <c r="FK39" s="158"/>
      <c r="FL39" s="158"/>
      <c r="FM39" s="158"/>
      <c r="FN39" s="158"/>
      <c r="FO39" s="158"/>
      <c r="FP39" s="158"/>
      <c r="FQ39" s="158"/>
      <c r="FR39" s="158"/>
      <c r="FS39" s="158"/>
      <c r="FT39" s="158"/>
      <c r="FU39" s="158"/>
      <c r="FV39" s="158"/>
      <c r="FW39" s="158"/>
      <c r="FX39" s="158"/>
      <c r="FY39" s="158"/>
      <c r="FZ39" s="158"/>
      <c r="GA39" s="158"/>
      <c r="GB39" s="158"/>
      <c r="GC39" s="158"/>
      <c r="GD39" s="158"/>
      <c r="GE39" s="158"/>
      <c r="GF39" s="158"/>
      <c r="GG39" s="158"/>
      <c r="GH39" s="158"/>
      <c r="GI39" s="158"/>
      <c r="GJ39" s="158"/>
      <c r="GK39" s="158"/>
      <c r="GL39" s="158"/>
      <c r="GM39" s="158"/>
      <c r="GN39" s="158"/>
      <c r="GO39" s="158"/>
      <c r="GP39" s="158"/>
      <c r="GQ39" s="158"/>
      <c r="GR39" s="158"/>
      <c r="GS39" s="158"/>
      <c r="GT39" s="158"/>
      <c r="GU39" s="158"/>
      <c r="GV39" s="158"/>
      <c r="GW39" s="158"/>
      <c r="GX39" s="158"/>
      <c r="GY39" s="158"/>
      <c r="GZ39" s="158"/>
      <c r="HA39" s="158"/>
      <c r="HB39" s="158"/>
      <c r="HC39" s="158"/>
      <c r="HD39" s="158"/>
      <c r="HE39" s="158"/>
      <c r="HF39" s="158"/>
      <c r="HG39" s="158"/>
      <c r="HH39" s="158"/>
      <c r="HI39" s="158"/>
      <c r="HJ39" s="158"/>
      <c r="HK39" s="158"/>
      <c r="HL39" s="158"/>
      <c r="HM39" s="158"/>
      <c r="HN39" s="158"/>
      <c r="HO39" s="158"/>
      <c r="HP39" s="158"/>
      <c r="HQ39" s="158"/>
      <c r="HR39" s="158"/>
      <c r="HS39" s="158"/>
      <c r="HT39" s="158"/>
      <c r="HU39" s="158"/>
      <c r="HV39" s="158"/>
      <c r="HW39" s="158"/>
      <c r="HX39" s="158"/>
      <c r="HY39" s="158"/>
      <c r="HZ39" s="158"/>
      <c r="IA39" s="158"/>
      <c r="IB39" s="158"/>
      <c r="IC39" s="158"/>
      <c r="ID39" s="158"/>
      <c r="IE39" s="158"/>
      <c r="IF39" s="158"/>
      <c r="IG39" s="158"/>
      <c r="IH39" s="158"/>
      <c r="II39" s="158"/>
      <c r="IJ39" s="158"/>
      <c r="IK39" s="158"/>
      <c r="IL39" s="158"/>
      <c r="IM39" s="158"/>
      <c r="IN39" s="158"/>
      <c r="IO39" s="158"/>
      <c r="IP39" s="158"/>
      <c r="IQ39" s="158"/>
      <c r="IR39" s="158"/>
      <c r="IS39" s="158"/>
      <c r="IT39" s="158"/>
      <c r="IU39" s="158"/>
    </row>
    <row r="40" s="159" customFormat="1">
      <c r="A40" s="145">
        <v>16</v>
      </c>
      <c r="B40" s="146">
        <v>46016</v>
      </c>
      <c r="C40" s="147" t="s">
        <v>54</v>
      </c>
      <c r="D40" s="150"/>
      <c r="E40" s="147"/>
      <c r="F40" s="149" t="str">
        <f t="shared" si="37"/>
        <v/>
      </c>
      <c r="G40" s="149"/>
      <c r="H40" s="149" t="str">
        <f t="shared" si="38"/>
        <v/>
      </c>
      <c r="I40" s="149"/>
      <c r="J40" s="150" t="str">
        <f t="shared" si="39"/>
        <v/>
      </c>
      <c r="K40" s="149"/>
      <c r="L40" s="149"/>
      <c r="M40" s="149"/>
      <c r="N40" s="151" t="str">
        <f t="shared" si="40"/>
        <v/>
      </c>
      <c r="O40" s="152">
        <f t="shared" si="41"/>
        <v>0</v>
      </c>
      <c r="P40" s="153">
        <f t="shared" si="42"/>
        <v>22445.571780147657</v>
      </c>
      <c r="Q40" s="154">
        <f t="shared" si="44"/>
        <v>2.8776374077112381</v>
      </c>
      <c r="R40" s="154">
        <f t="shared" si="43"/>
        <v>1.6538146021328954</v>
      </c>
      <c r="S40" s="153">
        <f t="shared" si="47"/>
        <v>22457.42212778547</v>
      </c>
      <c r="T40" s="154">
        <f t="shared" ref="T40:T41" si="50">IF(W40&lt;&gt;"",IF(E39&lt;&gt;"",E39,($I$9-SUM($T$25:T39))*V40*W40/SUMPRODUCT($W40:$W$58,$V40:$V$58)),"")</f>
        <v>2.9613340685054936</v>
      </c>
      <c r="U40" s="154">
        <f t="shared" si="46"/>
        <v>2.0825454887774177</v>
      </c>
      <c r="V40" s="155">
        <v>1</v>
      </c>
      <c r="W40" s="155">
        <v>1</v>
      </c>
      <c r="X40" s="156"/>
      <c r="Y40" s="157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58"/>
      <c r="EC40" s="158"/>
      <c r="ED40" s="158"/>
      <c r="EE40" s="158"/>
      <c r="EF40" s="158"/>
      <c r="EG40" s="158"/>
      <c r="EH40" s="158"/>
      <c r="EI40" s="158"/>
      <c r="EJ40" s="158"/>
      <c r="EK40" s="158"/>
      <c r="EL40" s="158"/>
      <c r="EM40" s="158"/>
      <c r="EN40" s="158"/>
      <c r="EO40" s="158"/>
      <c r="EP40" s="158"/>
      <c r="EQ40" s="158"/>
      <c r="ER40" s="158"/>
      <c r="ES40" s="158"/>
      <c r="ET40" s="158"/>
      <c r="EU40" s="158"/>
      <c r="EV40" s="158"/>
      <c r="EW40" s="158"/>
      <c r="EX40" s="158"/>
      <c r="EY40" s="158"/>
      <c r="EZ40" s="158"/>
      <c r="FA40" s="158"/>
      <c r="FB40" s="158"/>
      <c r="FC40" s="158"/>
      <c r="FD40" s="158"/>
      <c r="FE40" s="158"/>
      <c r="FF40" s="158"/>
      <c r="FG40" s="158"/>
      <c r="FH40" s="158"/>
      <c r="FI40" s="158"/>
      <c r="FJ40" s="158"/>
      <c r="FK40" s="158"/>
      <c r="FL40" s="158"/>
      <c r="FM40" s="158"/>
      <c r="FN40" s="158"/>
      <c r="FO40" s="158"/>
      <c r="FP40" s="158"/>
      <c r="FQ40" s="158"/>
      <c r="FR40" s="158"/>
      <c r="FS40" s="158"/>
      <c r="FT40" s="158"/>
      <c r="FU40" s="158"/>
      <c r="FV40" s="158"/>
      <c r="FW40" s="158"/>
      <c r="FX40" s="158"/>
      <c r="FY40" s="158"/>
      <c r="FZ40" s="158"/>
      <c r="GA40" s="158"/>
      <c r="GB40" s="158"/>
      <c r="GC40" s="158"/>
      <c r="GD40" s="158"/>
      <c r="GE40" s="158"/>
      <c r="GF40" s="158"/>
      <c r="GG40" s="158"/>
      <c r="GH40" s="158"/>
      <c r="GI40" s="158"/>
      <c r="GJ40" s="158"/>
      <c r="GK40" s="158"/>
      <c r="GL40" s="158"/>
      <c r="GM40" s="158"/>
      <c r="GN40" s="158"/>
      <c r="GO40" s="158"/>
      <c r="GP40" s="158"/>
      <c r="GQ40" s="158"/>
      <c r="GR40" s="158"/>
      <c r="GS40" s="158"/>
      <c r="GT40" s="158"/>
      <c r="GU40" s="158"/>
      <c r="GV40" s="158"/>
      <c r="GW40" s="158"/>
      <c r="GX40" s="158"/>
      <c r="GY40" s="158"/>
      <c r="GZ40" s="158"/>
      <c r="HA40" s="158"/>
      <c r="HB40" s="158"/>
      <c r="HC40" s="158"/>
      <c r="HD40" s="158"/>
      <c r="HE40" s="158"/>
      <c r="HF40" s="158"/>
      <c r="HG40" s="158"/>
      <c r="HH40" s="158"/>
      <c r="HI40" s="158"/>
      <c r="HJ40" s="158"/>
      <c r="HK40" s="158"/>
      <c r="HL40" s="158"/>
      <c r="HM40" s="158"/>
      <c r="HN40" s="158"/>
      <c r="HO40" s="158"/>
      <c r="HP40" s="158"/>
      <c r="HQ40" s="158"/>
      <c r="HR40" s="158"/>
      <c r="HS40" s="158"/>
      <c r="HT40" s="158"/>
      <c r="HU40" s="158"/>
      <c r="HV40" s="158"/>
      <c r="HW40" s="158"/>
      <c r="HX40" s="158"/>
      <c r="HY40" s="158"/>
      <c r="HZ40" s="158"/>
      <c r="IA40" s="158"/>
      <c r="IB40" s="158"/>
      <c r="IC40" s="158"/>
      <c r="ID40" s="158"/>
      <c r="IE40" s="158"/>
      <c r="IF40" s="158"/>
      <c r="IG40" s="158"/>
      <c r="IH40" s="158"/>
      <c r="II40" s="158"/>
      <c r="IJ40" s="158"/>
      <c r="IK40" s="158"/>
      <c r="IL40" s="158"/>
      <c r="IM40" s="158"/>
      <c r="IN40" s="158"/>
      <c r="IO40" s="158"/>
      <c r="IP40" s="158"/>
      <c r="IQ40" s="158"/>
      <c r="IR40" s="158"/>
      <c r="IS40" s="158"/>
      <c r="IT40" s="158"/>
      <c r="IU40" s="158"/>
    </row>
    <row r="41" s="159" customFormat="1" ht="15.25" customHeight="1">
      <c r="A41" s="145">
        <v>17</v>
      </c>
      <c r="B41" s="146">
        <v>46017</v>
      </c>
      <c r="C41" s="147" t="s">
        <v>55</v>
      </c>
      <c r="D41" s="150"/>
      <c r="E41" s="370"/>
      <c r="F41" s="149" t="str">
        <f t="shared" si="37"/>
        <v/>
      </c>
      <c r="G41" s="371"/>
      <c r="H41" s="149" t="str">
        <f t="shared" si="38"/>
        <v/>
      </c>
      <c r="I41" s="371"/>
      <c r="J41" s="150" t="str">
        <f t="shared" si="39"/>
        <v/>
      </c>
      <c r="K41" s="371"/>
      <c r="L41" s="149"/>
      <c r="M41" s="371"/>
      <c r="N41" s="151" t="str">
        <f t="shared" si="40"/>
        <v/>
      </c>
      <c r="O41" s="372">
        <f t="shared" si="41"/>
        <v>0</v>
      </c>
      <c r="P41" s="153">
        <f t="shared" si="42"/>
        <v>32321.623363412626</v>
      </c>
      <c r="Q41" s="373">
        <f t="shared" si="44"/>
        <v>4.1437978671041833</v>
      </c>
      <c r="R41" s="154">
        <f t="shared" si="43"/>
        <v>2.3814930270713699</v>
      </c>
      <c r="S41" s="374">
        <f t="shared" si="47"/>
        <v>32338.687864011074</v>
      </c>
      <c r="T41" s="154">
        <f t="shared" si="50"/>
        <v>4.2643210586479112</v>
      </c>
      <c r="U41" s="373">
        <f t="shared" si="46"/>
        <v>2.9988655038394807</v>
      </c>
      <c r="V41" s="155">
        <v>1.2</v>
      </c>
      <c r="W41" s="155">
        <v>1.2</v>
      </c>
      <c r="X41" s="156"/>
      <c r="Y41" s="157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8"/>
      <c r="CM41" s="158"/>
      <c r="CN41" s="158"/>
      <c r="CO41" s="158"/>
      <c r="CP41" s="158"/>
      <c r="CQ41" s="158"/>
      <c r="CR41" s="158"/>
      <c r="CS41" s="158"/>
      <c r="CT41" s="158"/>
      <c r="CU41" s="158"/>
      <c r="CV41" s="158"/>
      <c r="CW41" s="158"/>
      <c r="CX41" s="158"/>
      <c r="CY41" s="158"/>
      <c r="CZ41" s="158"/>
      <c r="DA41" s="158"/>
      <c r="DB41" s="158"/>
      <c r="DC41" s="158"/>
      <c r="DD41" s="158"/>
      <c r="DE41" s="158"/>
      <c r="DF41" s="158"/>
      <c r="DG41" s="158"/>
      <c r="DH41" s="158"/>
      <c r="DI41" s="158"/>
      <c r="DJ41" s="158"/>
      <c r="DK41" s="158"/>
      <c r="DL41" s="158"/>
      <c r="DM41" s="158"/>
      <c r="DN41" s="158"/>
      <c r="DO41" s="158"/>
      <c r="DP41" s="158"/>
      <c r="DQ41" s="158"/>
      <c r="DR41" s="158"/>
      <c r="DS41" s="158"/>
      <c r="DT41" s="158"/>
      <c r="DU41" s="158"/>
      <c r="DV41" s="158"/>
      <c r="DW41" s="158"/>
      <c r="DX41" s="158"/>
      <c r="DY41" s="158"/>
      <c r="DZ41" s="158"/>
      <c r="EA41" s="158"/>
      <c r="EB41" s="158"/>
      <c r="EC41" s="158"/>
      <c r="ED41" s="158"/>
      <c r="EE41" s="158"/>
      <c r="EF41" s="158"/>
      <c r="EG41" s="158"/>
      <c r="EH41" s="158"/>
      <c r="EI41" s="158"/>
      <c r="EJ41" s="158"/>
      <c r="EK41" s="158"/>
      <c r="EL41" s="158"/>
      <c r="EM41" s="158"/>
      <c r="EN41" s="158"/>
      <c r="EO41" s="158"/>
      <c r="EP41" s="158"/>
      <c r="EQ41" s="158"/>
      <c r="ER41" s="158"/>
      <c r="ES41" s="158"/>
      <c r="ET41" s="158"/>
      <c r="EU41" s="158"/>
      <c r="EV41" s="158"/>
      <c r="EW41" s="158"/>
      <c r="EX41" s="158"/>
      <c r="EY41" s="158"/>
      <c r="EZ41" s="158"/>
      <c r="FA41" s="158"/>
      <c r="FB41" s="158"/>
      <c r="FC41" s="158"/>
      <c r="FD41" s="158"/>
      <c r="FE41" s="158"/>
      <c r="FF41" s="158"/>
      <c r="FG41" s="158"/>
      <c r="FH41" s="158"/>
      <c r="FI41" s="158"/>
      <c r="FJ41" s="158"/>
      <c r="FK41" s="158"/>
      <c r="FL41" s="158"/>
      <c r="FM41" s="158"/>
      <c r="FN41" s="158"/>
      <c r="FO41" s="158"/>
      <c r="FP41" s="158"/>
      <c r="FQ41" s="158"/>
      <c r="FR41" s="158"/>
      <c r="FS41" s="158"/>
      <c r="FT41" s="158"/>
      <c r="FU41" s="158"/>
      <c r="FV41" s="158"/>
      <c r="FW41" s="158"/>
      <c r="FX41" s="158"/>
      <c r="FY41" s="158"/>
      <c r="FZ41" s="158"/>
      <c r="GA41" s="158"/>
      <c r="GB41" s="158"/>
      <c r="GC41" s="158"/>
      <c r="GD41" s="158"/>
      <c r="GE41" s="158"/>
      <c r="GF41" s="158"/>
      <c r="GG41" s="158"/>
      <c r="GH41" s="158"/>
      <c r="GI41" s="158"/>
      <c r="GJ41" s="158"/>
      <c r="GK41" s="158"/>
      <c r="GL41" s="158"/>
      <c r="GM41" s="158"/>
      <c r="GN41" s="158"/>
      <c r="GO41" s="158"/>
      <c r="GP41" s="158"/>
      <c r="GQ41" s="158"/>
      <c r="GR41" s="158"/>
      <c r="GS41" s="158"/>
      <c r="GT41" s="158"/>
      <c r="GU41" s="158"/>
      <c r="GV41" s="158"/>
      <c r="GW41" s="158"/>
      <c r="GX41" s="158"/>
      <c r="GY41" s="158"/>
      <c r="GZ41" s="158"/>
      <c r="HA41" s="158"/>
      <c r="HB41" s="158"/>
      <c r="HC41" s="158"/>
      <c r="HD41" s="158"/>
      <c r="HE41" s="158"/>
      <c r="HF41" s="158"/>
      <c r="HG41" s="158"/>
      <c r="HH41" s="158"/>
      <c r="HI41" s="158"/>
      <c r="HJ41" s="158"/>
      <c r="HK41" s="158"/>
      <c r="HL41" s="158"/>
      <c r="HM41" s="158"/>
      <c r="HN41" s="158"/>
      <c r="HO41" s="158"/>
      <c r="HP41" s="158"/>
      <c r="HQ41" s="158"/>
      <c r="HR41" s="158"/>
      <c r="HS41" s="158"/>
      <c r="HT41" s="158"/>
      <c r="HU41" s="158"/>
      <c r="HV41" s="158"/>
      <c r="HW41" s="158"/>
      <c r="HX41" s="158"/>
      <c r="HY41" s="158"/>
      <c r="HZ41" s="158"/>
      <c r="IA41" s="158"/>
      <c r="IB41" s="158"/>
      <c r="IC41" s="158"/>
      <c r="ID41" s="158"/>
      <c r="IE41" s="158"/>
      <c r="IF41" s="158"/>
      <c r="IG41" s="158"/>
      <c r="IH41" s="158"/>
      <c r="II41" s="158"/>
      <c r="IJ41" s="158"/>
      <c r="IK41" s="158"/>
      <c r="IL41" s="158"/>
      <c r="IM41" s="158"/>
      <c r="IN41" s="158"/>
      <c r="IO41" s="158"/>
      <c r="IP41" s="158"/>
      <c r="IQ41" s="158"/>
      <c r="IR41" s="158"/>
      <c r="IS41" s="158"/>
      <c r="IT41" s="158"/>
      <c r="IU41" s="158"/>
    </row>
    <row r="42" s="159" customFormat="1">
      <c r="A42" s="145">
        <v>18</v>
      </c>
      <c r="B42" s="146">
        <v>46018</v>
      </c>
      <c r="C42" s="147" t="s">
        <v>56</v>
      </c>
      <c r="D42" s="150"/>
      <c r="E42" s="149"/>
      <c r="F42" s="149" t="str">
        <f t="shared" si="37"/>
        <v/>
      </c>
      <c r="G42" s="149"/>
      <c r="H42" s="149" t="str">
        <f t="shared" si="38"/>
        <v/>
      </c>
      <c r="I42" s="149"/>
      <c r="J42" s="150" t="str">
        <f t="shared" si="39"/>
        <v/>
      </c>
      <c r="K42" s="149"/>
      <c r="L42" s="149"/>
      <c r="M42" s="149"/>
      <c r="N42" s="151" t="str">
        <f t="shared" si="40"/>
        <v/>
      </c>
      <c r="O42" s="152">
        <f t="shared" si="41"/>
        <v>0</v>
      </c>
      <c r="P42" s="153">
        <f t="shared" si="42"/>
        <v>32321.623363412626</v>
      </c>
      <c r="Q42" s="154">
        <f t="shared" si="44"/>
        <v>4.1437978671041833</v>
      </c>
      <c r="R42" s="154">
        <f t="shared" si="43"/>
        <v>2.3814930270713699</v>
      </c>
      <c r="S42" s="153">
        <f t="shared" si="47"/>
        <v>32338.687864011074</v>
      </c>
      <c r="T42" s="154">
        <f t="shared" si="49"/>
        <v>4.2643210586479121</v>
      </c>
      <c r="U42" s="154">
        <f t="shared" si="46"/>
        <v>2.9988655038394811</v>
      </c>
      <c r="V42" s="155">
        <v>1.2</v>
      </c>
      <c r="W42" s="155">
        <v>1.2</v>
      </c>
      <c r="X42" s="156"/>
      <c r="Y42" s="157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  <c r="DA42" s="158"/>
      <c r="DB42" s="158"/>
      <c r="DC42" s="158"/>
      <c r="DD42" s="158"/>
      <c r="DE42" s="158"/>
      <c r="DF42" s="158"/>
      <c r="DG42" s="158"/>
      <c r="DH42" s="158"/>
      <c r="DI42" s="158"/>
      <c r="DJ42" s="158"/>
      <c r="DK42" s="158"/>
      <c r="DL42" s="158"/>
      <c r="DM42" s="158"/>
      <c r="DN42" s="158"/>
      <c r="DO42" s="158"/>
      <c r="DP42" s="158"/>
      <c r="DQ42" s="158"/>
      <c r="DR42" s="158"/>
      <c r="DS42" s="158"/>
      <c r="DT42" s="158"/>
      <c r="DU42" s="158"/>
      <c r="DV42" s="158"/>
      <c r="DW42" s="158"/>
      <c r="DX42" s="158"/>
      <c r="DY42" s="158"/>
      <c r="DZ42" s="158"/>
      <c r="EA42" s="158"/>
      <c r="EB42" s="158"/>
      <c r="EC42" s="158"/>
      <c r="ED42" s="158"/>
      <c r="EE42" s="158"/>
      <c r="EF42" s="158"/>
      <c r="EG42" s="158"/>
      <c r="EH42" s="158"/>
      <c r="EI42" s="158"/>
      <c r="EJ42" s="158"/>
      <c r="EK42" s="158"/>
      <c r="EL42" s="158"/>
      <c r="EM42" s="158"/>
      <c r="EN42" s="158"/>
      <c r="EO42" s="158"/>
      <c r="EP42" s="158"/>
      <c r="EQ42" s="158"/>
      <c r="ER42" s="158"/>
      <c r="ES42" s="158"/>
      <c r="ET42" s="158"/>
      <c r="EU42" s="158"/>
      <c r="EV42" s="158"/>
      <c r="EW42" s="158"/>
      <c r="EX42" s="158"/>
      <c r="EY42" s="158"/>
      <c r="EZ42" s="158"/>
      <c r="FA42" s="158"/>
      <c r="FB42" s="158"/>
      <c r="FC42" s="158"/>
      <c r="FD42" s="158"/>
      <c r="FE42" s="158"/>
      <c r="FF42" s="158"/>
      <c r="FG42" s="158"/>
      <c r="FH42" s="158"/>
      <c r="FI42" s="158"/>
      <c r="FJ42" s="158"/>
      <c r="FK42" s="158"/>
      <c r="FL42" s="158"/>
      <c r="FM42" s="158"/>
      <c r="FN42" s="158"/>
      <c r="FO42" s="158"/>
      <c r="FP42" s="158"/>
      <c r="FQ42" s="158"/>
      <c r="FR42" s="158"/>
      <c r="FS42" s="158"/>
      <c r="FT42" s="158"/>
      <c r="FU42" s="158"/>
      <c r="FV42" s="158"/>
      <c r="FW42" s="158"/>
      <c r="FX42" s="158"/>
      <c r="FY42" s="158"/>
      <c r="FZ42" s="158"/>
      <c r="GA42" s="158"/>
      <c r="GB42" s="158"/>
      <c r="GC42" s="158"/>
      <c r="GD42" s="158"/>
      <c r="GE42" s="158"/>
      <c r="GF42" s="158"/>
      <c r="GG42" s="158"/>
      <c r="GH42" s="158"/>
      <c r="GI42" s="158"/>
      <c r="GJ42" s="158"/>
      <c r="GK42" s="158"/>
      <c r="GL42" s="158"/>
      <c r="GM42" s="158"/>
      <c r="GN42" s="158"/>
      <c r="GO42" s="158"/>
      <c r="GP42" s="158"/>
      <c r="GQ42" s="158"/>
      <c r="GR42" s="158"/>
      <c r="GS42" s="158"/>
      <c r="GT42" s="158"/>
      <c r="GU42" s="158"/>
      <c r="GV42" s="158"/>
      <c r="GW42" s="158"/>
      <c r="GX42" s="158"/>
      <c r="GY42" s="158"/>
      <c r="GZ42" s="158"/>
      <c r="HA42" s="158"/>
      <c r="HB42" s="158"/>
      <c r="HC42" s="158"/>
      <c r="HD42" s="158"/>
      <c r="HE42" s="158"/>
      <c r="HF42" s="158"/>
      <c r="HG42" s="158"/>
      <c r="HH42" s="158"/>
      <c r="HI42" s="158"/>
      <c r="HJ42" s="158"/>
      <c r="HK42" s="158"/>
      <c r="HL42" s="158"/>
      <c r="HM42" s="158"/>
      <c r="HN42" s="158"/>
      <c r="HO42" s="158"/>
      <c r="HP42" s="158"/>
      <c r="HQ42" s="158"/>
      <c r="HR42" s="158"/>
      <c r="HS42" s="158"/>
      <c r="HT42" s="158"/>
      <c r="HU42" s="158"/>
      <c r="HV42" s="158"/>
      <c r="HW42" s="158"/>
      <c r="HX42" s="158"/>
      <c r="HY42" s="158"/>
      <c r="HZ42" s="158"/>
      <c r="IA42" s="158"/>
      <c r="IB42" s="158"/>
      <c r="IC42" s="158"/>
      <c r="ID42" s="158"/>
      <c r="IE42" s="158"/>
      <c r="IF42" s="158"/>
      <c r="IG42" s="158"/>
      <c r="IH42" s="158"/>
      <c r="II42" s="158"/>
      <c r="IJ42" s="158"/>
      <c r="IK42" s="158"/>
      <c r="IL42" s="158"/>
      <c r="IM42" s="158"/>
      <c r="IN42" s="158"/>
      <c r="IO42" s="158"/>
      <c r="IP42" s="158"/>
      <c r="IQ42" s="158"/>
      <c r="IR42" s="158"/>
      <c r="IS42" s="158"/>
      <c r="IT42" s="158"/>
      <c r="IU42" s="158"/>
    </row>
    <row r="43" s="159" customFormat="1">
      <c r="A43" s="145">
        <v>19</v>
      </c>
      <c r="B43" s="146">
        <v>46019</v>
      </c>
      <c r="C43" s="147" t="s">
        <v>57</v>
      </c>
      <c r="D43" s="150"/>
      <c r="E43" s="149"/>
      <c r="F43" s="149" t="str">
        <f t="shared" si="37"/>
        <v/>
      </c>
      <c r="G43" s="149"/>
      <c r="H43" s="149" t="str">
        <f t="shared" si="38"/>
        <v/>
      </c>
      <c r="I43" s="149"/>
      <c r="J43" s="150" t="str">
        <f t="shared" si="39"/>
        <v/>
      </c>
      <c r="K43" s="149"/>
      <c r="L43" s="149"/>
      <c r="M43" s="149"/>
      <c r="N43" s="151" t="str">
        <f t="shared" si="40"/>
        <v/>
      </c>
      <c r="O43" s="152">
        <f t="shared" si="41"/>
        <v>0</v>
      </c>
      <c r="P43" s="153">
        <f t="shared" si="42"/>
        <v>32321.623363412626</v>
      </c>
      <c r="Q43" s="154">
        <f t="shared" si="44"/>
        <v>4.1437978671041833</v>
      </c>
      <c r="R43" s="154">
        <f t="shared" si="43"/>
        <v>2.3814930270713699</v>
      </c>
      <c r="S43" s="153">
        <f t="shared" si="47"/>
        <v>32338.687864011066</v>
      </c>
      <c r="T43" s="154">
        <f t="shared" si="49"/>
        <v>4.2643210586479121</v>
      </c>
      <c r="U43" s="154">
        <f t="shared" si="46"/>
        <v>2.9988655038394803</v>
      </c>
      <c r="V43" s="155">
        <v>1.2</v>
      </c>
      <c r="W43" s="155">
        <v>1.2</v>
      </c>
      <c r="X43" s="156"/>
      <c r="Y43" s="157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  <c r="DA43" s="158"/>
      <c r="DB43" s="158"/>
      <c r="DC43" s="158"/>
      <c r="DD43" s="158"/>
      <c r="DE43" s="158"/>
      <c r="DF43" s="158"/>
      <c r="DG43" s="158"/>
      <c r="DH43" s="158"/>
      <c r="DI43" s="158"/>
      <c r="DJ43" s="158"/>
      <c r="DK43" s="158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8"/>
      <c r="DX43" s="158"/>
      <c r="DY43" s="158"/>
      <c r="DZ43" s="158"/>
      <c r="EA43" s="158"/>
      <c r="EB43" s="158"/>
      <c r="EC43" s="158"/>
      <c r="ED43" s="158"/>
      <c r="EE43" s="158"/>
      <c r="EF43" s="158"/>
      <c r="EG43" s="158"/>
      <c r="EH43" s="158"/>
      <c r="EI43" s="158"/>
      <c r="EJ43" s="158"/>
      <c r="EK43" s="158"/>
      <c r="EL43" s="158"/>
      <c r="EM43" s="158"/>
      <c r="EN43" s="158"/>
      <c r="EO43" s="158"/>
      <c r="EP43" s="158"/>
      <c r="EQ43" s="158"/>
      <c r="ER43" s="158"/>
      <c r="ES43" s="158"/>
      <c r="ET43" s="158"/>
      <c r="EU43" s="158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8"/>
      <c r="FH43" s="158"/>
      <c r="FI43" s="158"/>
      <c r="FJ43" s="158"/>
      <c r="FK43" s="158"/>
      <c r="FL43" s="158"/>
      <c r="FM43" s="158"/>
      <c r="FN43" s="158"/>
      <c r="FO43" s="158"/>
      <c r="FP43" s="158"/>
      <c r="FQ43" s="158"/>
      <c r="FR43" s="158"/>
      <c r="FS43" s="158"/>
      <c r="FT43" s="158"/>
      <c r="FU43" s="158"/>
      <c r="FV43" s="158"/>
      <c r="FW43" s="158"/>
      <c r="FX43" s="158"/>
      <c r="FY43" s="158"/>
      <c r="FZ43" s="158"/>
      <c r="GA43" s="158"/>
      <c r="GB43" s="158"/>
      <c r="GC43" s="158"/>
      <c r="GD43" s="158"/>
      <c r="GE43" s="158"/>
      <c r="GF43" s="158"/>
      <c r="GG43" s="158"/>
      <c r="GH43" s="158"/>
      <c r="GI43" s="158"/>
      <c r="GJ43" s="158"/>
      <c r="GK43" s="158"/>
      <c r="GL43" s="158"/>
      <c r="GM43" s="158"/>
      <c r="GN43" s="158"/>
      <c r="GO43" s="158"/>
      <c r="GP43" s="158"/>
      <c r="GQ43" s="158"/>
      <c r="GR43" s="158"/>
      <c r="GS43" s="158"/>
      <c r="GT43" s="158"/>
      <c r="GU43" s="158"/>
      <c r="GV43" s="158"/>
      <c r="GW43" s="158"/>
      <c r="GX43" s="158"/>
      <c r="GY43" s="158"/>
      <c r="GZ43" s="158"/>
      <c r="HA43" s="158"/>
      <c r="HB43" s="158"/>
      <c r="HC43" s="158"/>
      <c r="HD43" s="158"/>
      <c r="HE43" s="158"/>
      <c r="HF43" s="158"/>
      <c r="HG43" s="158"/>
      <c r="HH43" s="158"/>
      <c r="HI43" s="158"/>
      <c r="HJ43" s="158"/>
      <c r="HK43" s="158"/>
      <c r="HL43" s="158"/>
      <c r="HM43" s="158"/>
      <c r="HN43" s="158"/>
      <c r="HO43" s="158"/>
      <c r="HP43" s="158"/>
      <c r="HQ43" s="158"/>
      <c r="HR43" s="158"/>
      <c r="HS43" s="158"/>
      <c r="HT43" s="158"/>
      <c r="HU43" s="158"/>
      <c r="HV43" s="158"/>
      <c r="HW43" s="158"/>
      <c r="HX43" s="158"/>
      <c r="HY43" s="158"/>
      <c r="HZ43" s="158"/>
      <c r="IA43" s="158"/>
      <c r="IB43" s="158"/>
      <c r="IC43" s="158"/>
      <c r="ID43" s="158"/>
      <c r="IE43" s="158"/>
      <c r="IF43" s="158"/>
      <c r="IG43" s="158"/>
      <c r="IH43" s="158"/>
      <c r="II43" s="158"/>
      <c r="IJ43" s="158"/>
      <c r="IK43" s="158"/>
      <c r="IL43" s="158"/>
      <c r="IM43" s="158"/>
      <c r="IN43" s="158"/>
      <c r="IO43" s="158"/>
      <c r="IP43" s="158"/>
      <c r="IQ43" s="158"/>
      <c r="IR43" s="158"/>
      <c r="IS43" s="158"/>
      <c r="IT43" s="158"/>
      <c r="IU43" s="158"/>
    </row>
    <row r="44" s="159" customFormat="1">
      <c r="A44" s="145">
        <v>20</v>
      </c>
      <c r="B44" s="146">
        <v>46020</v>
      </c>
      <c r="C44" s="147" t="s">
        <v>50</v>
      </c>
      <c r="D44" s="150">
        <v>22675</v>
      </c>
      <c r="E44" s="371">
        <v>3</v>
      </c>
      <c r="F44" s="149">
        <f t="shared" si="37"/>
        <v>7558.333333333333</v>
      </c>
      <c r="G44" s="371">
        <v>1</v>
      </c>
      <c r="H44" s="149">
        <f t="shared" si="38"/>
        <v>22675</v>
      </c>
      <c r="I44" s="371">
        <v>5</v>
      </c>
      <c r="J44" s="150">
        <f t="shared" si="39"/>
        <v>3</v>
      </c>
      <c r="K44" s="149"/>
      <c r="L44" s="149"/>
      <c r="M44" s="371"/>
      <c r="N44" s="151">
        <f t="shared" si="40"/>
        <v>0.20000000000000001</v>
      </c>
      <c r="O44" s="152">
        <f t="shared" si="41"/>
        <v>0.70154273332903216</v>
      </c>
      <c r="P44" s="153">
        <f t="shared" si="42"/>
        <v>32321.623363412626</v>
      </c>
      <c r="Q44" s="154">
        <f t="shared" si="44"/>
        <v>4.1437978671041833</v>
      </c>
      <c r="R44" s="154">
        <f t="shared" si="43"/>
        <v>2.3814930270713699</v>
      </c>
      <c r="S44" s="153">
        <f t="shared" si="47"/>
        <v>22675</v>
      </c>
      <c r="T44" s="154">
        <f t="shared" si="49"/>
        <v>3</v>
      </c>
      <c r="U44" s="154">
        <f t="shared" si="46"/>
        <v>1</v>
      </c>
      <c r="V44" s="155">
        <v>1.2</v>
      </c>
      <c r="W44" s="155">
        <v>1.2</v>
      </c>
      <c r="X44" s="156"/>
      <c r="Y44" s="157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  <c r="EO44" s="158"/>
      <c r="EP44" s="158"/>
      <c r="EQ44" s="158"/>
      <c r="ER44" s="158"/>
      <c r="ES44" s="158"/>
      <c r="ET44" s="158"/>
      <c r="EU44" s="158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158"/>
      <c r="GG44" s="158"/>
      <c r="GH44" s="158"/>
      <c r="GI44" s="158"/>
      <c r="GJ44" s="158"/>
      <c r="GK44" s="158"/>
      <c r="GL44" s="158"/>
      <c r="GM44" s="158"/>
      <c r="GN44" s="158"/>
      <c r="GO44" s="158"/>
      <c r="GP44" s="158"/>
      <c r="GQ44" s="158"/>
      <c r="GR44" s="158"/>
      <c r="GS44" s="158"/>
      <c r="GT44" s="158"/>
      <c r="GU44" s="158"/>
      <c r="GV44" s="158"/>
      <c r="GW44" s="158"/>
      <c r="GX44" s="158"/>
      <c r="GY44" s="158"/>
      <c r="GZ44" s="158"/>
      <c r="HA44" s="158"/>
      <c r="HB44" s="158"/>
      <c r="HC44" s="158"/>
      <c r="HD44" s="158"/>
      <c r="HE44" s="158"/>
      <c r="HF44" s="158"/>
      <c r="HG44" s="158"/>
      <c r="HH44" s="158"/>
      <c r="HI44" s="158"/>
      <c r="HJ44" s="158"/>
      <c r="HK44" s="158"/>
      <c r="HL44" s="158"/>
      <c r="HM44" s="158"/>
      <c r="HN44" s="158"/>
      <c r="HO44" s="158"/>
      <c r="HP44" s="158"/>
      <c r="HQ44" s="158"/>
      <c r="HR44" s="158"/>
      <c r="HS44" s="158"/>
      <c r="HT44" s="158"/>
      <c r="HU44" s="158"/>
      <c r="HV44" s="158"/>
      <c r="HW44" s="158"/>
      <c r="HX44" s="158"/>
      <c r="HY44" s="158"/>
      <c r="HZ44" s="158"/>
      <c r="IA44" s="158"/>
      <c r="IB44" s="158"/>
      <c r="IC44" s="158"/>
      <c r="ID44" s="158"/>
      <c r="IE44" s="158"/>
      <c r="IF44" s="158"/>
      <c r="IG44" s="158"/>
      <c r="IH44" s="158"/>
      <c r="II44" s="158"/>
      <c r="IJ44" s="158"/>
      <c r="IK44" s="158"/>
      <c r="IL44" s="158"/>
      <c r="IM44" s="158"/>
      <c r="IN44" s="158"/>
      <c r="IO44" s="158"/>
      <c r="IP44" s="158"/>
      <c r="IQ44" s="158"/>
      <c r="IR44" s="158"/>
      <c r="IS44" s="158"/>
      <c r="IT44" s="158"/>
      <c r="IU44" s="158"/>
    </row>
    <row r="45" s="159" customFormat="1">
      <c r="A45" s="145">
        <v>21</v>
      </c>
      <c r="B45" s="146">
        <v>46021</v>
      </c>
      <c r="C45" s="147" t="s">
        <v>52</v>
      </c>
      <c r="D45" s="150">
        <v>59531.5</v>
      </c>
      <c r="E45" s="149">
        <v>8</v>
      </c>
      <c r="F45" s="149">
        <f t="shared" si="37"/>
        <v>7441.4375</v>
      </c>
      <c r="G45" s="149">
        <v>5</v>
      </c>
      <c r="H45" s="149">
        <f t="shared" si="38"/>
        <v>11906.299999999999</v>
      </c>
      <c r="I45" s="149">
        <v>28</v>
      </c>
      <c r="J45" s="150">
        <f t="shared" si="39"/>
        <v>1.6000000000000001</v>
      </c>
      <c r="K45" s="149"/>
      <c r="L45" s="149"/>
      <c r="M45" s="149"/>
      <c r="N45" s="375">
        <f t="shared" si="40"/>
        <v>0.17857142857142858</v>
      </c>
      <c r="O45" s="152">
        <f t="shared" si="41"/>
        <v>1.8418474632492736</v>
      </c>
      <c r="P45" s="153">
        <f t="shared" si="42"/>
        <v>32321.623363412626</v>
      </c>
      <c r="Q45" s="154">
        <f t="shared" si="44"/>
        <v>4.1437978671041833</v>
      </c>
      <c r="R45" s="154">
        <f t="shared" si="43"/>
        <v>2.3814930270713699</v>
      </c>
      <c r="S45" s="153">
        <f t="shared" si="47"/>
        <v>59531.5</v>
      </c>
      <c r="T45" s="154">
        <f t="shared" si="49"/>
        <v>8</v>
      </c>
      <c r="U45" s="154">
        <f t="shared" si="46"/>
        <v>5</v>
      </c>
      <c r="V45" s="155">
        <v>1.2</v>
      </c>
      <c r="W45" s="155">
        <v>1.2</v>
      </c>
      <c r="X45" s="156"/>
      <c r="Y45" s="157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  <c r="DJ45" s="158"/>
      <c r="DK45" s="158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8"/>
      <c r="DX45" s="158"/>
      <c r="DY45" s="158"/>
      <c r="DZ45" s="158"/>
      <c r="EA45" s="158"/>
      <c r="EB45" s="158"/>
      <c r="EC45" s="158"/>
      <c r="ED45" s="158"/>
      <c r="EE45" s="158"/>
      <c r="EF45" s="158"/>
      <c r="EG45" s="158"/>
      <c r="EH45" s="158"/>
      <c r="EI45" s="158"/>
      <c r="EJ45" s="158"/>
      <c r="EK45" s="158"/>
      <c r="EL45" s="158"/>
      <c r="EM45" s="158"/>
      <c r="EN45" s="158"/>
      <c r="EO45" s="158"/>
      <c r="EP45" s="158"/>
      <c r="EQ45" s="158"/>
      <c r="ER45" s="158"/>
      <c r="ES45" s="158"/>
      <c r="ET45" s="158"/>
      <c r="EU45" s="158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8"/>
      <c r="FH45" s="158"/>
      <c r="FI45" s="158"/>
      <c r="FJ45" s="158"/>
      <c r="FK45" s="158"/>
      <c r="FL45" s="158"/>
      <c r="FM45" s="158"/>
      <c r="FN45" s="158"/>
      <c r="FO45" s="158"/>
      <c r="FP45" s="158"/>
      <c r="FQ45" s="158"/>
      <c r="FR45" s="158"/>
      <c r="FS45" s="158"/>
      <c r="FT45" s="158"/>
      <c r="FU45" s="158"/>
      <c r="FV45" s="158"/>
      <c r="FW45" s="158"/>
      <c r="FX45" s="158"/>
      <c r="FY45" s="158"/>
      <c r="FZ45" s="158"/>
      <c r="GA45" s="158"/>
      <c r="GB45" s="158"/>
      <c r="GC45" s="158"/>
      <c r="GD45" s="158"/>
      <c r="GE45" s="158"/>
      <c r="GF45" s="158"/>
      <c r="GG45" s="158"/>
      <c r="GH45" s="158"/>
      <c r="GI45" s="158"/>
      <c r="GJ45" s="158"/>
      <c r="GK45" s="158"/>
      <c r="GL45" s="158"/>
      <c r="GM45" s="158"/>
      <c r="GN45" s="158"/>
      <c r="GO45" s="158"/>
      <c r="GP45" s="158"/>
      <c r="GQ45" s="158"/>
      <c r="GR45" s="158"/>
      <c r="GS45" s="158"/>
      <c r="GT45" s="158"/>
      <c r="GU45" s="158"/>
      <c r="GV45" s="158"/>
      <c r="GW45" s="158"/>
      <c r="GX45" s="158"/>
      <c r="GY45" s="158"/>
      <c r="GZ45" s="158"/>
      <c r="HA45" s="158"/>
      <c r="HB45" s="158"/>
      <c r="HC45" s="158"/>
      <c r="HD45" s="158"/>
      <c r="HE45" s="158"/>
      <c r="HF45" s="158"/>
      <c r="HG45" s="158"/>
      <c r="HH45" s="158"/>
      <c r="HI45" s="158"/>
      <c r="HJ45" s="158"/>
      <c r="HK45" s="158"/>
      <c r="HL45" s="158"/>
      <c r="HM45" s="158"/>
      <c r="HN45" s="158"/>
      <c r="HO45" s="158"/>
      <c r="HP45" s="158"/>
      <c r="HQ45" s="158"/>
      <c r="HR45" s="158"/>
      <c r="HS45" s="158"/>
      <c r="HT45" s="158"/>
      <c r="HU45" s="158"/>
      <c r="HV45" s="158"/>
      <c r="HW45" s="158"/>
      <c r="HX45" s="158"/>
      <c r="HY45" s="158"/>
      <c r="HZ45" s="158"/>
      <c r="IA45" s="158"/>
      <c r="IB45" s="158"/>
      <c r="IC45" s="158"/>
      <c r="ID45" s="158"/>
      <c r="IE45" s="158"/>
      <c r="IF45" s="158"/>
      <c r="IG45" s="158"/>
      <c r="IH45" s="158"/>
      <c r="II45" s="158"/>
      <c r="IJ45" s="158"/>
      <c r="IK45" s="158"/>
      <c r="IL45" s="158"/>
      <c r="IM45" s="158"/>
      <c r="IN45" s="158"/>
      <c r="IO45" s="158"/>
      <c r="IP45" s="158"/>
      <c r="IQ45" s="158"/>
      <c r="IR45" s="158"/>
      <c r="IS45" s="158"/>
      <c r="IT45" s="158"/>
      <c r="IU45" s="158"/>
    </row>
    <row r="46" s="159" customFormat="1">
      <c r="A46" s="145">
        <v>22</v>
      </c>
      <c r="B46" s="146">
        <v>46022</v>
      </c>
      <c r="C46" s="147" t="s">
        <v>53</v>
      </c>
      <c r="D46" s="150">
        <f>27372+25490+11990</f>
        <v>64852</v>
      </c>
      <c r="E46" s="149">
        <v>5</v>
      </c>
      <c r="F46" s="149">
        <f t="shared" si="37"/>
        <v>12970.4</v>
      </c>
      <c r="G46" s="149">
        <v>4</v>
      </c>
      <c r="H46" s="149">
        <f t="shared" si="38"/>
        <v>16213</v>
      </c>
      <c r="I46" s="149">
        <v>20</v>
      </c>
      <c r="J46" s="150">
        <f t="shared" si="39"/>
        <v>1.25</v>
      </c>
      <c r="K46" s="149">
        <f>11990+25490</f>
        <v>37480</v>
      </c>
      <c r="L46" s="149"/>
      <c r="M46" s="149"/>
      <c r="N46" s="151">
        <f t="shared" si="40"/>
        <v>0.20000000000000001</v>
      </c>
      <c r="O46" s="152">
        <f t="shared" si="41"/>
        <v>2.8893004212688127</v>
      </c>
      <c r="P46" s="153">
        <f t="shared" si="42"/>
        <v>22445.571780147657</v>
      </c>
      <c r="Q46" s="154">
        <f t="shared" si="44"/>
        <v>2.8776374077112381</v>
      </c>
      <c r="R46" s="154">
        <f t="shared" si="43"/>
        <v>1.6538146021328954</v>
      </c>
      <c r="S46" s="153">
        <f t="shared" si="47"/>
        <v>64852</v>
      </c>
      <c r="T46" s="154">
        <f t="shared" si="49"/>
        <v>5</v>
      </c>
      <c r="U46" s="154">
        <f t="shared" si="46"/>
        <v>4</v>
      </c>
      <c r="V46" s="155">
        <v>1</v>
      </c>
      <c r="W46" s="155">
        <v>1</v>
      </c>
      <c r="X46" s="156"/>
      <c r="Y46" s="157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  <c r="GG46" s="158"/>
      <c r="GH46" s="158"/>
      <c r="GI46" s="158"/>
      <c r="GJ46" s="158"/>
      <c r="GK46" s="158"/>
      <c r="GL46" s="158"/>
      <c r="GM46" s="158"/>
      <c r="GN46" s="158"/>
      <c r="GO46" s="158"/>
      <c r="GP46" s="158"/>
      <c r="GQ46" s="158"/>
      <c r="GR46" s="158"/>
      <c r="GS46" s="158"/>
      <c r="GT46" s="158"/>
      <c r="GU46" s="158"/>
      <c r="GV46" s="158"/>
      <c r="GW46" s="158"/>
      <c r="GX46" s="158"/>
      <c r="GY46" s="158"/>
      <c r="GZ46" s="158"/>
      <c r="HA46" s="158"/>
      <c r="HB46" s="158"/>
      <c r="HC46" s="158"/>
      <c r="HD46" s="158"/>
      <c r="HE46" s="158"/>
      <c r="HF46" s="158"/>
      <c r="HG46" s="158"/>
      <c r="HH46" s="158"/>
      <c r="HI46" s="158"/>
      <c r="HJ46" s="158"/>
      <c r="HK46" s="158"/>
      <c r="HL46" s="158"/>
      <c r="HM46" s="158"/>
      <c r="HN46" s="158"/>
      <c r="HO46" s="158"/>
      <c r="HP46" s="158"/>
      <c r="HQ46" s="158"/>
      <c r="HR46" s="158"/>
      <c r="HS46" s="158"/>
      <c r="HT46" s="158"/>
      <c r="HU46" s="158"/>
      <c r="HV46" s="158"/>
      <c r="HW46" s="158"/>
      <c r="HX46" s="158"/>
      <c r="HY46" s="158"/>
      <c r="HZ46" s="158"/>
      <c r="IA46" s="158"/>
      <c r="IB46" s="158"/>
      <c r="IC46" s="158"/>
      <c r="ID46" s="158"/>
      <c r="IE46" s="158"/>
      <c r="IF46" s="158"/>
      <c r="IG46" s="158"/>
      <c r="IH46" s="158"/>
      <c r="II46" s="158"/>
      <c r="IJ46" s="158"/>
      <c r="IK46" s="158"/>
      <c r="IL46" s="158"/>
      <c r="IM46" s="158"/>
      <c r="IN46" s="158"/>
      <c r="IO46" s="158"/>
      <c r="IP46" s="158"/>
      <c r="IQ46" s="158"/>
      <c r="IR46" s="158"/>
      <c r="IS46" s="158"/>
      <c r="IT46" s="158"/>
      <c r="IU46" s="158"/>
    </row>
    <row r="47">
      <c r="A47" s="128">
        <v>23</v>
      </c>
      <c r="B47" s="129"/>
      <c r="C47" s="130"/>
      <c r="D47" s="133"/>
      <c r="E47" s="132"/>
      <c r="F47" s="132" t="str">
        <f t="shared" si="37"/>
        <v/>
      </c>
      <c r="G47" s="132"/>
      <c r="H47" s="132" t="str">
        <f t="shared" si="38"/>
        <v/>
      </c>
      <c r="I47" s="132"/>
      <c r="J47" s="133" t="str">
        <f t="shared" si="39"/>
        <v/>
      </c>
      <c r="K47" s="132"/>
      <c r="L47" s="132"/>
      <c r="M47" s="132"/>
      <c r="N47" s="134" t="str">
        <f t="shared" si="40"/>
        <v/>
      </c>
      <c r="O47" s="135" t="e">
        <f t="shared" si="41"/>
        <v>#DIV/0!</v>
      </c>
      <c r="P47" s="136">
        <f t="shared" si="42"/>
        <v>0</v>
      </c>
      <c r="Q47" s="137">
        <f t="shared" si="44"/>
        <v>0</v>
      </c>
      <c r="R47" s="137">
        <f t="shared" si="43"/>
        <v>0</v>
      </c>
      <c r="S47" s="136" t="str">
        <f t="shared" si="47"/>
        <v/>
      </c>
      <c r="T47" s="137" t="str">
        <f t="shared" si="49"/>
        <v/>
      </c>
      <c r="U47" s="137" t="str">
        <f t="shared" si="46"/>
        <v/>
      </c>
      <c r="V47" s="364"/>
      <c r="W47" s="364"/>
      <c r="X47" s="141"/>
      <c r="Y47" s="140"/>
      <c r="Z47" s="376"/>
      <c r="AA47" s="2"/>
      <c r="AB47" s="2"/>
      <c r="AC47" s="2"/>
      <c r="AD47" s="2"/>
    </row>
    <row r="48">
      <c r="A48" s="128">
        <v>24</v>
      </c>
      <c r="B48" s="129"/>
      <c r="C48" s="130"/>
      <c r="D48" s="133"/>
      <c r="E48" s="132"/>
      <c r="F48" s="132" t="str">
        <f t="shared" si="37"/>
        <v/>
      </c>
      <c r="G48" s="132"/>
      <c r="H48" s="132" t="str">
        <f t="shared" si="38"/>
        <v/>
      </c>
      <c r="I48" s="132"/>
      <c r="J48" s="133" t="str">
        <f t="shared" si="39"/>
        <v/>
      </c>
      <c r="K48" s="132"/>
      <c r="L48" s="132"/>
      <c r="M48" s="132"/>
      <c r="N48" s="134" t="str">
        <f t="shared" si="40"/>
        <v/>
      </c>
      <c r="O48" s="135" t="e">
        <f t="shared" si="41"/>
        <v>#DIV/0!</v>
      </c>
      <c r="P48" s="136">
        <f t="shared" si="42"/>
        <v>0</v>
      </c>
      <c r="Q48" s="137">
        <f t="shared" si="44"/>
        <v>0</v>
      </c>
      <c r="R48" s="137">
        <f t="shared" si="43"/>
        <v>0</v>
      </c>
      <c r="S48" s="136" t="str">
        <f t="shared" si="47"/>
        <v/>
      </c>
      <c r="T48" s="137" t="str">
        <f t="shared" si="49"/>
        <v/>
      </c>
      <c r="U48" s="137" t="str">
        <f t="shared" si="46"/>
        <v/>
      </c>
      <c r="V48" s="364"/>
      <c r="W48" s="364"/>
      <c r="X48" s="141"/>
      <c r="Y48" s="140"/>
      <c r="Z48" s="376"/>
      <c r="AA48" s="2"/>
      <c r="AB48" s="2"/>
      <c r="AC48" s="2"/>
      <c r="AD48" s="2"/>
    </row>
    <row r="49">
      <c r="A49" s="128">
        <v>25</v>
      </c>
      <c r="B49" s="129"/>
      <c r="C49" s="130"/>
      <c r="D49" s="133"/>
      <c r="E49" s="132"/>
      <c r="F49" s="132" t="str">
        <f t="shared" si="37"/>
        <v/>
      </c>
      <c r="G49" s="132"/>
      <c r="H49" s="132" t="str">
        <f t="shared" si="38"/>
        <v/>
      </c>
      <c r="I49" s="132"/>
      <c r="J49" s="133" t="str">
        <f t="shared" si="39"/>
        <v/>
      </c>
      <c r="K49" s="132"/>
      <c r="L49" s="132"/>
      <c r="M49" s="132"/>
      <c r="N49" s="134" t="str">
        <f t="shared" si="40"/>
        <v/>
      </c>
      <c r="O49" s="135" t="e">
        <f t="shared" si="41"/>
        <v>#DIV/0!</v>
      </c>
      <c r="P49" s="136">
        <f t="shared" si="42"/>
        <v>0</v>
      </c>
      <c r="Q49" s="137">
        <f t="shared" si="44"/>
        <v>0</v>
      </c>
      <c r="R49" s="137">
        <f t="shared" si="43"/>
        <v>0</v>
      </c>
      <c r="S49" s="136" t="str">
        <f t="shared" si="47"/>
        <v/>
      </c>
      <c r="T49" s="137" t="str">
        <f t="shared" si="49"/>
        <v/>
      </c>
      <c r="U49" s="137" t="str">
        <f t="shared" si="46"/>
        <v/>
      </c>
      <c r="V49" s="364"/>
      <c r="W49" s="364"/>
      <c r="X49" s="141"/>
      <c r="Y49" s="140"/>
      <c r="Z49" s="376"/>
      <c r="AA49" s="2"/>
      <c r="AB49" s="2"/>
      <c r="AC49" s="2"/>
      <c r="AD49" s="2"/>
    </row>
    <row r="50">
      <c r="A50" s="128">
        <v>26</v>
      </c>
      <c r="B50" s="129"/>
      <c r="C50" s="130"/>
      <c r="D50" s="133"/>
      <c r="E50" s="132"/>
      <c r="F50" s="132" t="str">
        <f t="shared" si="37"/>
        <v/>
      </c>
      <c r="G50" s="132"/>
      <c r="H50" s="132" t="str">
        <f t="shared" si="38"/>
        <v/>
      </c>
      <c r="I50" s="132"/>
      <c r="J50" s="133" t="str">
        <f t="shared" si="39"/>
        <v/>
      </c>
      <c r="K50" s="132"/>
      <c r="L50" s="132"/>
      <c r="M50" s="132"/>
      <c r="N50" s="134" t="str">
        <f t="shared" si="40"/>
        <v/>
      </c>
      <c r="O50" s="135" t="e">
        <f t="shared" si="41"/>
        <v>#DIV/0!</v>
      </c>
      <c r="P50" s="136">
        <f t="shared" si="42"/>
        <v>0</v>
      </c>
      <c r="Q50" s="137">
        <f t="shared" si="44"/>
        <v>0</v>
      </c>
      <c r="R50" s="137">
        <f t="shared" si="43"/>
        <v>0</v>
      </c>
      <c r="S50" s="136" t="str">
        <f t="shared" si="47"/>
        <v/>
      </c>
      <c r="T50" s="137" t="str">
        <f t="shared" si="49"/>
        <v/>
      </c>
      <c r="U50" s="137" t="str">
        <f t="shared" si="46"/>
        <v/>
      </c>
      <c r="V50" s="364"/>
      <c r="W50" s="364"/>
      <c r="X50" s="141"/>
      <c r="Y50" s="140"/>
      <c r="Z50" s="376"/>
      <c r="AA50" s="2"/>
      <c r="AB50" s="2"/>
      <c r="AC50" s="2"/>
      <c r="AD50" s="2"/>
    </row>
    <row r="51">
      <c r="A51" s="128">
        <v>27</v>
      </c>
      <c r="B51" s="129"/>
      <c r="C51" s="168"/>
      <c r="D51" s="133"/>
      <c r="E51" s="142"/>
      <c r="F51" s="132" t="str">
        <f t="shared" si="37"/>
        <v/>
      </c>
      <c r="G51" s="142"/>
      <c r="H51" s="132" t="str">
        <f t="shared" si="38"/>
        <v/>
      </c>
      <c r="I51" s="142"/>
      <c r="J51" s="133" t="str">
        <f t="shared" si="39"/>
        <v/>
      </c>
      <c r="K51" s="142"/>
      <c r="L51" s="132"/>
      <c r="M51" s="142"/>
      <c r="N51" s="134" t="str">
        <f t="shared" si="40"/>
        <v/>
      </c>
      <c r="O51" s="367" t="e">
        <f t="shared" si="41"/>
        <v>#DIV/0!</v>
      </c>
      <c r="P51" s="136">
        <f t="shared" si="42"/>
        <v>0</v>
      </c>
      <c r="Q51" s="368">
        <f t="shared" si="44"/>
        <v>0</v>
      </c>
      <c r="R51" s="137">
        <f t="shared" si="43"/>
        <v>0</v>
      </c>
      <c r="S51" s="369" t="str">
        <f t="shared" si="47"/>
        <v/>
      </c>
      <c r="T51" s="137" t="str">
        <f t="shared" si="49"/>
        <v/>
      </c>
      <c r="U51" s="368" t="str">
        <f t="shared" si="46"/>
        <v/>
      </c>
      <c r="V51" s="364"/>
      <c r="W51" s="364"/>
      <c r="X51" s="141"/>
      <c r="Y51" s="140"/>
      <c r="Z51" s="376"/>
      <c r="AA51" s="2"/>
      <c r="AB51" s="2"/>
      <c r="AC51" s="2"/>
      <c r="AD51" s="2"/>
    </row>
    <row r="52">
      <c r="A52" s="128">
        <v>28</v>
      </c>
      <c r="B52" s="129"/>
      <c r="C52" s="130"/>
      <c r="D52" s="377"/>
      <c r="E52" s="132"/>
      <c r="F52" s="142" t="str">
        <f t="shared" si="37"/>
        <v/>
      </c>
      <c r="G52" s="132"/>
      <c r="H52" s="142" t="str">
        <f t="shared" si="38"/>
        <v/>
      </c>
      <c r="I52" s="132"/>
      <c r="J52" s="377" t="str">
        <f t="shared" si="39"/>
        <v/>
      </c>
      <c r="K52" s="132"/>
      <c r="L52" s="142"/>
      <c r="M52" s="132"/>
      <c r="N52" s="378" t="str">
        <f t="shared" si="40"/>
        <v/>
      </c>
      <c r="O52" s="135" t="e">
        <f t="shared" si="41"/>
        <v>#DIV/0!</v>
      </c>
      <c r="P52" s="369">
        <f t="shared" si="42"/>
        <v>0</v>
      </c>
      <c r="Q52" s="137">
        <f t="shared" si="44"/>
        <v>0</v>
      </c>
      <c r="R52" s="368">
        <f t="shared" si="43"/>
        <v>0</v>
      </c>
      <c r="S52" s="136" t="str">
        <f t="shared" si="47"/>
        <v/>
      </c>
      <c r="T52" s="368" t="str">
        <f t="shared" si="49"/>
        <v/>
      </c>
      <c r="U52" s="137" t="str">
        <f t="shared" si="46"/>
        <v/>
      </c>
      <c r="V52" s="379"/>
      <c r="W52" s="364"/>
      <c r="X52" s="141"/>
      <c r="Y52" s="140"/>
      <c r="Z52" s="376"/>
      <c r="AA52" s="2"/>
      <c r="AB52" s="2"/>
      <c r="AC52" s="2"/>
      <c r="AD52" s="2"/>
    </row>
    <row r="53">
      <c r="A53" s="128">
        <v>29</v>
      </c>
      <c r="B53" s="129"/>
      <c r="C53" s="168"/>
      <c r="D53" s="133"/>
      <c r="E53" s="142"/>
      <c r="F53" s="132" t="str">
        <f t="shared" si="37"/>
        <v/>
      </c>
      <c r="G53" s="142"/>
      <c r="H53" s="132" t="str">
        <f t="shared" si="38"/>
        <v/>
      </c>
      <c r="I53" s="142"/>
      <c r="J53" s="133" t="str">
        <f t="shared" si="39"/>
        <v/>
      </c>
      <c r="K53" s="142"/>
      <c r="L53" s="132"/>
      <c r="M53" s="142"/>
      <c r="N53" s="134" t="str">
        <f t="shared" si="40"/>
        <v/>
      </c>
      <c r="O53" s="367" t="e">
        <f t="shared" si="41"/>
        <v>#DIV/0!</v>
      </c>
      <c r="P53" s="136">
        <f t="shared" si="42"/>
        <v>0</v>
      </c>
      <c r="Q53" s="368">
        <f t="shared" si="44"/>
        <v>0</v>
      </c>
      <c r="R53" s="137">
        <f t="shared" si="43"/>
        <v>0</v>
      </c>
      <c r="S53" s="369" t="str">
        <f t="shared" si="47"/>
        <v/>
      </c>
      <c r="T53" s="137" t="str">
        <f t="shared" si="49"/>
        <v/>
      </c>
      <c r="U53" s="368" t="str">
        <f t="shared" si="46"/>
        <v/>
      </c>
      <c r="V53" s="364"/>
      <c r="W53" s="364"/>
      <c r="X53" s="141"/>
      <c r="Y53" s="140"/>
      <c r="Z53" s="376"/>
      <c r="AA53" s="2"/>
      <c r="AB53" s="2"/>
      <c r="AC53" s="2"/>
      <c r="AD53" s="2"/>
    </row>
    <row r="54">
      <c r="A54" s="128"/>
      <c r="B54" s="129"/>
      <c r="C54" s="130"/>
      <c r="D54" s="133"/>
      <c r="E54" s="132"/>
      <c r="F54" s="132" t="str">
        <f t="shared" si="37"/>
        <v/>
      </c>
      <c r="G54" s="132"/>
      <c r="H54" s="132" t="str">
        <f t="shared" si="38"/>
        <v/>
      </c>
      <c r="I54" s="132"/>
      <c r="J54" s="133" t="str">
        <f t="shared" si="39"/>
        <v/>
      </c>
      <c r="K54" s="132"/>
      <c r="L54" s="132"/>
      <c r="M54" s="132"/>
      <c r="N54" s="134" t="str">
        <f t="shared" si="40"/>
        <v/>
      </c>
      <c r="O54" s="135" t="e">
        <f t="shared" si="41"/>
        <v>#DIV/0!</v>
      </c>
      <c r="P54" s="136">
        <f t="shared" si="42"/>
        <v>0</v>
      </c>
      <c r="Q54" s="137">
        <f t="shared" si="44"/>
        <v>0</v>
      </c>
      <c r="R54" s="137">
        <f t="shared" si="43"/>
        <v>0</v>
      </c>
      <c r="S54" s="136" t="str">
        <f>IF(W54&lt;&gt;"",IF(D54&lt;&gt;"",D54,($I$8-SUM($S$25:S50))*V54*W54/SUMPRODUCT($W54:$W$58,$V54:$V$58)),"")</f>
        <v/>
      </c>
      <c r="T54" s="137" t="str">
        <f>IF(W54&lt;&gt;"",IF(E54&lt;&gt;"",E54,($I$9-SUM($T$25:T50))*V54*W54/SUMPRODUCT($W54:$W$58,$V54:$V$58)),"")</f>
        <v/>
      </c>
      <c r="U54" s="137" t="str">
        <f>IF(W54&lt;&gt;"",IF($I$12&lt;&gt;"",IF(G54&lt;&gt;"",G54,($I$9/$I$12-SUM($U$25:U50))*V54*W54/SUMPRODUCT($W54:$W$58,$V54:$V$58)),""),"")</f>
        <v/>
      </c>
      <c r="V54" s="364"/>
      <c r="W54" s="364"/>
      <c r="X54" s="141"/>
      <c r="Y54" s="140"/>
      <c r="Z54" s="376"/>
      <c r="AA54" s="2"/>
      <c r="AB54" s="2"/>
      <c r="AC54" s="2"/>
      <c r="AD54" s="2"/>
    </row>
    <row r="55">
      <c r="A55" s="128"/>
      <c r="B55" s="129"/>
      <c r="C55" s="130"/>
      <c r="D55" s="133"/>
      <c r="E55" s="132"/>
      <c r="F55" s="132" t="str">
        <f t="shared" si="37"/>
        <v/>
      </c>
      <c r="G55" s="132"/>
      <c r="H55" s="132" t="str">
        <f t="shared" si="38"/>
        <v/>
      </c>
      <c r="I55" s="132"/>
      <c r="J55" s="133" t="str">
        <f t="shared" si="39"/>
        <v/>
      </c>
      <c r="K55" s="132"/>
      <c r="L55" s="132"/>
      <c r="M55" s="132"/>
      <c r="N55" s="134" t="str">
        <f t="shared" si="40"/>
        <v/>
      </c>
      <c r="O55" s="135" t="e">
        <f t="shared" si="41"/>
        <v>#DIV/0!</v>
      </c>
      <c r="P55" s="136">
        <f t="shared" si="42"/>
        <v>0</v>
      </c>
      <c r="Q55" s="137">
        <f t="shared" si="44"/>
        <v>0</v>
      </c>
      <c r="R55" s="137">
        <f t="shared" si="43"/>
        <v>0</v>
      </c>
      <c r="S55" s="136" t="str">
        <f t="shared" ref="S55:S56" si="51">IF(W55&lt;&gt;"",IF(D55&lt;&gt;"",D55,($I$8-SUM($S$25:S54))*V55*W55/SUMPRODUCT($W55:$W$58,$V55:$V$58)),"")</f>
        <v/>
      </c>
      <c r="T55" s="137" t="str">
        <f t="shared" ref="T55:T56" si="52">IF(W55&lt;&gt;"",IF(E55&lt;&gt;"",E55,($I$9-SUM($T$25:T54))*V55*W55/SUMPRODUCT($W55:$W$58,$V55:$V$58)),"")</f>
        <v/>
      </c>
      <c r="U55" s="137" t="str">
        <f t="shared" ref="U55:U56" si="53">IF(W55&lt;&gt;"",IF($I$12&lt;&gt;"",IF(G55&lt;&gt;"",G55,($I$9/$I$12-SUM($U$25:U54))*V55*W55/SUMPRODUCT($W55:$W$58,$V55:$V$58)),""),"")</f>
        <v/>
      </c>
      <c r="V55" s="364"/>
      <c r="W55" s="364"/>
      <c r="X55" s="141"/>
      <c r="Y55" s="140"/>
      <c r="Z55" s="376"/>
      <c r="AA55" s="2"/>
      <c r="AB55" s="2"/>
      <c r="AC55" s="2"/>
      <c r="AD55" s="2"/>
    </row>
    <row r="56">
      <c r="A56" s="128"/>
      <c r="B56" s="129">
        <v>45996</v>
      </c>
      <c r="C56" s="130" t="s">
        <v>55</v>
      </c>
      <c r="D56" s="133">
        <v>25903</v>
      </c>
      <c r="E56" s="132">
        <v>1</v>
      </c>
      <c r="F56" s="132">
        <f t="shared" si="37"/>
        <v>25903</v>
      </c>
      <c r="G56" s="132">
        <v>1</v>
      </c>
      <c r="H56" s="132">
        <f t="shared" si="38"/>
        <v>25903</v>
      </c>
      <c r="I56" s="132"/>
      <c r="J56" s="133">
        <f t="shared" si="39"/>
        <v>1</v>
      </c>
      <c r="K56" s="132"/>
      <c r="L56" s="132">
        <v>25903</v>
      </c>
      <c r="M56" s="132"/>
      <c r="N56" s="134" t="str">
        <f t="shared" si="40"/>
        <v/>
      </c>
      <c r="O56" s="135">
        <f t="shared" si="41"/>
        <v>1.1540360946790547</v>
      </c>
      <c r="P56" s="136">
        <f t="shared" si="42"/>
        <v>22445.571780147657</v>
      </c>
      <c r="Q56" s="137">
        <f t="shared" si="44"/>
        <v>2.8776374077112381</v>
      </c>
      <c r="R56" s="137">
        <f t="shared" si="43"/>
        <v>1.6538146021328954</v>
      </c>
      <c r="S56" s="136">
        <f t="shared" si="51"/>
        <v>25903</v>
      </c>
      <c r="T56" s="137">
        <f t="shared" si="52"/>
        <v>1</v>
      </c>
      <c r="U56" s="137">
        <f t="shared" si="53"/>
        <v>1</v>
      </c>
      <c r="V56" s="364">
        <v>1</v>
      </c>
      <c r="W56" s="364">
        <v>1</v>
      </c>
      <c r="X56" s="141"/>
      <c r="Y56" s="140"/>
      <c r="Z56" s="376"/>
      <c r="AA56" s="2"/>
      <c r="AB56" s="2"/>
      <c r="AC56" s="2"/>
      <c r="AD56" s="2"/>
    </row>
    <row r="57" ht="15" customHeight="1">
      <c r="B57" s="164"/>
      <c r="C57" s="164"/>
      <c r="D57" s="149">
        <f>SUM(D25:D56)</f>
        <v>352381.5</v>
      </c>
      <c r="E57" s="149">
        <f>SUM(E25:E56)</f>
        <v>39</v>
      </c>
      <c r="F57" s="149">
        <f t="shared" si="37"/>
        <v>9035.4230769230762</v>
      </c>
      <c r="G57" s="149">
        <f>SUM(G25:G56)</f>
        <v>19</v>
      </c>
      <c r="H57" s="149">
        <f t="shared" si="38"/>
        <v>18546.394736842107</v>
      </c>
      <c r="I57" s="149">
        <f>SUM(I25:I56)</f>
        <v>158</v>
      </c>
      <c r="J57" s="150">
        <f t="shared" si="39"/>
        <v>2.0526315789473686</v>
      </c>
      <c r="K57" s="149">
        <f>SUM(K25:K56)</f>
        <v>77460</v>
      </c>
      <c r="L57" s="149">
        <f>SUM(L25:L56)</f>
        <v>25903</v>
      </c>
      <c r="M57" s="149">
        <f>SUM(M25:M56)</f>
        <v>0</v>
      </c>
      <c r="N57" s="165">
        <f t="shared" si="40"/>
        <v>0.12025316455696203</v>
      </c>
      <c r="O57" s="152">
        <f t="shared" si="41"/>
        <v>0.74053666490358305</v>
      </c>
      <c r="P57" s="154">
        <f>SUM(P25:P56)</f>
        <v>475846.12173913041</v>
      </c>
      <c r="Q57" s="154">
        <f>SUM(Q25:Q55)</f>
        <v>58.128275635767011</v>
      </c>
      <c r="R57" s="154">
        <f>SUM(R25:R55)</f>
        <v>33.407054963084505</v>
      </c>
      <c r="S57" s="154">
        <f>SUM(S25:S56)</f>
        <v>539215.40175553737</v>
      </c>
      <c r="T57" s="154">
        <f>SUM(T25:T55)</f>
        <v>62.55460278917144</v>
      </c>
      <c r="U57" s="154">
        <f>SUM(U25:U55)</f>
        <v>34.89804757998359</v>
      </c>
      <c r="V57" s="166"/>
      <c r="W57" s="166"/>
    </row>
    <row r="58">
      <c r="B58" s="168"/>
      <c r="C58" s="169"/>
      <c r="D58" s="170">
        <f>SUMIF(D25:D54,"",P25:P54)+D57</f>
        <v>539128.6572108285</v>
      </c>
      <c r="E58" s="171"/>
      <c r="F58" s="169"/>
      <c r="G58" s="169"/>
      <c r="H58" s="172"/>
      <c r="I58" s="380"/>
      <c r="J58" s="172"/>
      <c r="L58" s="174"/>
      <c r="M58" s="171"/>
      <c r="N58" s="174"/>
      <c r="O58" s="174"/>
      <c r="P58" s="174"/>
      <c r="Q58" s="175"/>
    </row>
    <row r="59">
      <c r="D59" s="176"/>
    </row>
    <row r="60">
      <c r="D60" s="176"/>
    </row>
    <row r="61">
      <c r="D61" s="178"/>
    </row>
    <row r="62">
      <c r="D62" s="178"/>
    </row>
  </sheetData>
  <mergeCells count="29">
    <mergeCell ref="B1:C1"/>
    <mergeCell ref="Q1:T4"/>
    <mergeCell ref="B2:C2"/>
    <mergeCell ref="J2:P2"/>
    <mergeCell ref="J3:N4"/>
    <mergeCell ref="C4:D4"/>
    <mergeCell ref="J5:N5"/>
    <mergeCell ref="F7:H7"/>
    <mergeCell ref="P7:Q7"/>
    <mergeCell ref="F8:H8"/>
    <mergeCell ref="F9:H9"/>
    <mergeCell ref="F10:H10"/>
    <mergeCell ref="S10:T11"/>
    <mergeCell ref="V10:W11"/>
    <mergeCell ref="F11:H11"/>
    <mergeCell ref="F12:H12"/>
    <mergeCell ref="F13:H13"/>
    <mergeCell ref="F14:H14"/>
    <mergeCell ref="F15:H15"/>
    <mergeCell ref="F16:H16"/>
    <mergeCell ref="S16:T17"/>
    <mergeCell ref="F17:H17"/>
    <mergeCell ref="F18:H18"/>
    <mergeCell ref="F19:H19"/>
    <mergeCell ref="F20:H20"/>
    <mergeCell ref="B22:N22"/>
    <mergeCell ref="O22:O24"/>
    <mergeCell ref="P22:W22"/>
    <mergeCell ref="B57:C57"/>
  </mergeCells>
  <printOptions headings="0" gridLines="0"/>
  <pageMargins left="0.69999999999999996" right="0.69999999999999996" top="0.75" bottom="0.75" header="0.51200000000000001" footer="0.51200000000000001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76" operator="between" id="{00280023-0097-4D61-B817-00C200DA00CB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5" operator="lessThan" id="{009700F1-0085-40AB-85DA-001E00EF007F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0" operator="between" id="{000E00E0-009A-4936-98CE-00F0002000C7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68" operator="between" id="{0020008E-0000-4F55-BF13-00B000520030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64" operator="lessThan" id="{00670064-00EF-4AE7-B979-00CC005000DB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3" operator="lessThan" id="{00CE0020-0074-4007-80BA-0083008200DE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J51:J53</xm:sqref>
        </x14:conditionalFormatting>
        <x14:conditionalFormatting xmlns:xm="http://schemas.microsoft.com/office/excel/2006/main">
          <x14:cfRule type="cellIs" priority="1860" operator="between" id="{00DA00D9-00D8-4CAA-8B7B-00F800100094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59" operator="lessThan" id="{006400A0-0057-4E89-9ADC-00C90089002A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58" operator="between" id="{003900F6-0005-4C5B-B5BF-00A0006C00A8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56" operator="between" id="{0083005D-00E3-4AEE-B56E-00C2007A0087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N51:N53</xm:sqref>
        </x14:conditionalFormatting>
        <x14:conditionalFormatting xmlns:xm="http://schemas.microsoft.com/office/excel/2006/main">
          <x14:cfRule type="cellIs" priority="1854" operator="between" id="{00570078-0027-472D-8DC2-004E005500F3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O39:O41</xm:sqref>
        </x14:conditionalFormatting>
        <x14:conditionalFormatting xmlns:xm="http://schemas.microsoft.com/office/excel/2006/main">
          <x14:cfRule type="cellIs" priority="1852" operator="lessThan" id="{0041009E-0077-4A99-AFF6-00D7004100B0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O39:O41</xm:sqref>
        </x14:conditionalFormatting>
        <x14:conditionalFormatting xmlns:xm="http://schemas.microsoft.com/office/excel/2006/main">
          <x14:cfRule type="cellIs" priority="1846" operator="between" id="{00CB0077-00C7-4443-9D09-00D0003E00E3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O39:O41</xm:sqref>
        </x14:conditionalFormatting>
        <x14:conditionalFormatting xmlns:xm="http://schemas.microsoft.com/office/excel/2006/main">
          <x14:cfRule type="cellIs" priority="1842" operator="between" id="{001000B2-00B7-491C-B502-005A00390041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N39:N41</xm:sqref>
        </x14:conditionalFormatting>
        <x14:conditionalFormatting xmlns:xm="http://schemas.microsoft.com/office/excel/2006/main">
          <x14:cfRule type="cellIs" priority="1836" operator="lessThan" id="{00D70092-0026-4227-AF86-00AE0000000D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J39:J41</xm:sqref>
        </x14:conditionalFormatting>
        <x14:conditionalFormatting xmlns:xm="http://schemas.microsoft.com/office/excel/2006/main">
          <x14:cfRule type="cellIs" priority="1833" operator="lessThan" id="{00C30042-00AF-42E0-B91F-001100690068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1829" operator="lessThan" id="{001A00FC-0078-4DD9-97DA-0001001200ED}">
            <xm:f>0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P10:Q10</xm:sqref>
        </x14:conditionalFormatting>
        <x14:conditionalFormatting xmlns:xm="http://schemas.microsoft.com/office/excel/2006/main">
          <x14:cfRule type="cellIs" priority="1818" operator="greaterThan" id="{001A00DE-00FC-4E0D-8035-004A005600B1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1817" operator="lessThan" id="{001A00FC-00E7-47B2-B71C-0055008C00FD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1816" operator="greaterThan" id="{00A900F3-005D-4CBC-B94F-001B000D0050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1815" operator="lessThan" id="{001D0064-00D6-4E6C-937B-00DA00F40070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1814" operator="greaterThan" id="{00A70054-00C9-4AAA-9372-00EB00AE002C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1466" operator="greaterThan" id="{00E00022-00C8-4290-B83B-00CC00A90055}">
            <xm:f>$K$14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1465" operator="lessThan" id="{000B003A-0003-499B-BBE2-0010003E00D5}">
            <xm:f>$K$14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60" operator="greaterThanOrEqual" id="{00180081-00B9-43EB-B433-0055001500F7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N39:N56</xm:sqref>
        </x14:conditionalFormatting>
        <x14:conditionalFormatting xmlns:xm="http://schemas.microsoft.com/office/excel/2006/main">
          <x14:cfRule type="cellIs" priority="59" operator="between" id="{008B00B9-00A6-4436-8629-0052006C0067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N41:N56</xm:sqref>
        </x14:conditionalFormatting>
        <x14:conditionalFormatting xmlns:xm="http://schemas.microsoft.com/office/excel/2006/main">
          <x14:cfRule type="cellIs" priority="58" operator="between" id="{002200C1-00B6-474D-89BD-009300850050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O39:O56</xm:sqref>
        </x14:conditionalFormatting>
        <x14:conditionalFormatting xmlns:xm="http://schemas.microsoft.com/office/excel/2006/main">
          <x14:cfRule type="cellIs" priority="57" operator="between" id="{00CC009B-00ED-48D5-BBFC-00B300D100F4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54" operator="lessThan" id="{00100006-00B1-42A9-AED7-003000F00002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53" operator="between" id="{004E00DF-00DA-41FE-BAB5-00210058001D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1" operator="greaterThan" id="{001C00CE-00F0-4A28-BA1E-002F0072005F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J25:J56</xm:sqref>
        </x14:conditionalFormatting>
        <x14:conditionalFormatting xmlns:xm="http://schemas.microsoft.com/office/excel/2006/main">
          <x14:cfRule type="cellIs" priority="39" operator="lessThan" id="{00710063-0047-486F-A2F2-00AC008100C1}">
            <xm:f>0.2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N25:N56</xm:sqref>
        </x14:conditionalFormatting>
        <x14:conditionalFormatting xmlns:xm="http://schemas.microsoft.com/office/excel/2006/main">
          <x14:cfRule type="cellIs" priority="38" operator="greaterThanOrEqual" id="{006100F0-0065-4244-9AD9-005F00930037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N25:N43</xm:sqref>
        </x14:conditionalFormatting>
        <x14:conditionalFormatting xmlns:xm="http://schemas.microsoft.com/office/excel/2006/main">
          <x14:cfRule type="cellIs" priority="36" operator="between" id="{004B000A-0094-4EEC-AED5-00B5001100BD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35" operator="between" id="{00EB004B-00C6-4429-B295-00F800390006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34" operator="greaterThan" id="{00750028-00E4-4E3E-B642-008100F70048}">
            <xm:f>100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33" operator="greaterThan" id="{00AB001D-0045-4FED-A525-005500880077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24" operator="greaterThan" id="{006C008E-0071-4366-B704-006700D20057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T13</xm:sqref>
        </x14:conditionalFormatting>
        <x14:conditionalFormatting xmlns:xm="http://schemas.microsoft.com/office/excel/2006/main">
          <x14:cfRule type="cellIs" priority="23" operator="lessThan" id="{009500BF-00E7-4B4D-90BC-009B008600AB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T13</xm:sqref>
        </x14:conditionalFormatting>
        <x14:conditionalFormatting xmlns:xm="http://schemas.microsoft.com/office/excel/2006/main">
          <x14:cfRule type="cellIs" priority="22" operator="between" id="{009D0092-0074-4025-918E-004C004100DE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T13</xm:sqref>
        </x14:conditionalFormatting>
        <x14:conditionalFormatting xmlns:xm="http://schemas.microsoft.com/office/excel/2006/main">
          <x14:cfRule type="cellIs" priority="21" operator="greaterThan" id="{00840095-0075-4F2D-B462-005800E800FC}">
            <xm:f>"100;"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20" operator="greaterThan" id="{0018001A-0056-4F6D-89AC-00C700FC0047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19" operator="lessThan" id="{007B00BE-00AC-489C-A76D-00ED00B500DC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18" operator="greaterThan" id="{007B00B0-002A-4E7F-8876-0098000A00ED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17" operator="lessThan" id="{00C500C4-00FA-467E-B157-006500080012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16" operator="between" id="{00BE007C-008D-47E2-A2D3-0073008C00F6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15" operator="greaterThan" id="{0003005A-00A6-4016-8E48-00E800690042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T19</xm:sqref>
        </x14:conditionalFormatting>
        <x14:conditionalFormatting xmlns:xm="http://schemas.microsoft.com/office/excel/2006/main">
          <x14:cfRule type="cellIs" priority="14" operator="lessThan" id="{002F00AB-00C6-441C-879F-001600F200B1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T19</xm:sqref>
        </x14:conditionalFormatting>
        <x14:conditionalFormatting xmlns:xm="http://schemas.microsoft.com/office/excel/2006/main">
          <x14:cfRule type="cellIs" priority="13" operator="between" id="{00020012-0033-4F0B-8D88-006F001100CF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T19</xm:sqref>
        </x14:conditionalFormatting>
        <x14:conditionalFormatting xmlns:xm="http://schemas.microsoft.com/office/excel/2006/main">
          <x14:cfRule type="cellIs" priority="12" operator="lessThan" id="{00550060-00E2-4312-8A43-0066008500BF}">
            <xm:f>$K$17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11" operator="greaterThan" id="{009F0065-008E-49EE-BD61-00340048004C}">
            <xm:f>$K$17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10" operator="between" id="{001100CB-007B-4742-B871-00CF007C0080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9" operator="lessThan" id="{002D0099-0071-406E-A9EE-005E003A008C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8" operator="between" id="{002E005E-002F-4DE2-8127-00CF00FF00F6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O40:O41</xm:sqref>
        </x14:conditionalFormatting>
        <x14:conditionalFormatting xmlns:xm="http://schemas.microsoft.com/office/excel/2006/main">
          <x14:cfRule type="cellIs" priority="5" operator="between" id="{00A00005-00F5-4020-9E23-009000920077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O43:O45</xm:sqref>
        </x14:conditionalFormatting>
        <x14:conditionalFormatting xmlns:xm="http://schemas.microsoft.com/office/excel/2006/main">
          <x14:cfRule type="cellIs" priority="4" operator="lessThan" id="{00DB00C5-0008-4A4F-9A0E-003C00D40071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O43:O45</xm:sqref>
        </x14:conditionalFormatting>
        <x14:conditionalFormatting xmlns:xm="http://schemas.microsoft.com/office/excel/2006/main">
          <x14:cfRule type="cellIs" priority="3" operator="between" id="{008B00DE-000C-4795-99E8-007300240042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O43:O45</xm:sqref>
        </x14:conditionalFormatting>
        <x14:conditionalFormatting xmlns:xm="http://schemas.microsoft.com/office/excel/2006/main">
          <x14:cfRule type="cellIs" priority="2" operator="between" id="{0053001C-00F2-48DC-AE54-009400AD000C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N25:N45</xm:sqref>
        </x14:conditionalFormatting>
        <x14:conditionalFormatting xmlns:xm="http://schemas.microsoft.com/office/excel/2006/main">
          <x14:cfRule type="cellIs" priority="1" operator="lessThan" id="{00130044-00BD-42A1-8AF9-00B800AC0084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J25:J56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topLeftCell="A26" zoomScale="113" workbookViewId="0">
      <pane xSplit="2" topLeftCell="C1" activePane="topRight" state="frozen"/>
      <selection activeCell="A26" activeCellId="0" sqref="A26"/>
    </sheetView>
  </sheetViews>
  <sheetFormatPr baseColWidth="10" defaultColWidth="9.1640625" defaultRowHeight="14.25"/>
  <cols>
    <col customWidth="1" min="1" max="1" style="381" width="4.1640625"/>
    <col customWidth="1" min="2" max="2" style="3" width="10.33203125"/>
    <col customWidth="1" min="3" max="3" style="3" width="10.83203125"/>
    <col customWidth="1" min="4" max="4" style="3" width="10.33203125"/>
    <col customWidth="1" min="5" max="5" style="3" width="10.1640625"/>
    <col customWidth="1" min="6" max="6" style="3" width="11.33203125"/>
    <col customWidth="1" min="7" max="7" style="3" width="9.83203125"/>
    <col customWidth="1" min="8" max="8" style="3" width="9.5"/>
    <col customWidth="1" min="9" max="9" style="3" width="11"/>
    <col customWidth="1" min="10" max="10" style="3" width="8.83203125"/>
    <col customWidth="1" min="11" max="11" style="3" width="12.6640625"/>
    <col customWidth="1" min="12" max="12" style="3" width="10.1640625"/>
    <col customWidth="1" min="13" max="13" style="3" width="10.83203125"/>
    <col customWidth="1" min="14" max="14" style="3" width="11.6640625"/>
    <col customWidth="1" min="15" max="15" style="3" width="12.83203125"/>
    <col customWidth="1" min="16" max="16" style="3" width="10.33203125"/>
    <col customWidth="1" min="17" max="18" style="3" width="11.33203125"/>
    <col customWidth="1" min="19" max="19" style="3" width="11"/>
    <col customWidth="1" min="20" max="20" style="3" width="9.5"/>
    <col bestFit="1" customWidth="1" min="21" max="21" style="3" width="9.1640625"/>
    <col customWidth="1" min="22" max="23" style="3" width="10.5"/>
    <col bestFit="1" customWidth="1" min="24" max="33" style="3" width="9.1640625"/>
    <col bestFit="1" customWidth="1" min="34" max="255" style="2" width="9.1640625"/>
  </cols>
  <sheetData>
    <row r="1" ht="15.75" customHeight="1">
      <c r="B1" s="314">
        <f ca="1">TODAY()-1</f>
        <v>46060</v>
      </c>
      <c r="C1" s="314"/>
      <c r="D1" s="15"/>
      <c r="E1" s="15"/>
      <c r="F1" s="16"/>
      <c r="G1" s="16"/>
      <c r="H1" s="16"/>
      <c r="I1" s="16"/>
      <c r="J1" s="315"/>
      <c r="K1" s="315"/>
      <c r="L1" s="315"/>
      <c r="M1" s="315"/>
      <c r="N1" s="315"/>
      <c r="O1" s="315"/>
      <c r="P1" s="315"/>
      <c r="Q1" s="316"/>
      <c r="R1" s="316"/>
      <c r="S1" s="316"/>
      <c r="T1" s="316"/>
      <c r="U1" s="16"/>
      <c r="V1" s="16"/>
      <c r="W1" s="16"/>
    </row>
    <row r="2" ht="21.75" customHeight="1">
      <c r="B2" s="317" t="s">
        <v>0</v>
      </c>
      <c r="C2" s="317"/>
      <c r="D2" s="15"/>
      <c r="E2" s="15"/>
      <c r="F2" s="16"/>
      <c r="G2" s="16"/>
      <c r="H2" s="16"/>
      <c r="I2" s="16"/>
      <c r="J2" s="318" t="s">
        <v>78</v>
      </c>
      <c r="K2" s="318"/>
      <c r="L2" s="318"/>
      <c r="M2" s="318"/>
      <c r="N2" s="318"/>
      <c r="O2" s="318"/>
      <c r="P2" s="318"/>
      <c r="Q2" s="316"/>
      <c r="R2" s="316"/>
      <c r="S2" s="316"/>
      <c r="T2" s="316"/>
      <c r="U2" s="16"/>
      <c r="V2" s="16"/>
      <c r="W2" s="16"/>
    </row>
    <row r="3" ht="14" customHeight="1">
      <c r="B3" s="14" t="s">
        <v>1</v>
      </c>
      <c r="C3" s="15"/>
      <c r="D3" s="15"/>
      <c r="E3" s="15"/>
      <c r="F3" s="16"/>
      <c r="G3" s="16"/>
      <c r="H3" s="16"/>
      <c r="I3" s="16"/>
      <c r="J3" s="319" t="str">
        <f>График!B28</f>
        <v xml:space="preserve">Уразгильдеева Екатерина</v>
      </c>
      <c r="K3" s="320"/>
      <c r="L3" s="320"/>
      <c r="M3" s="320"/>
      <c r="N3" s="321"/>
      <c r="O3" s="315"/>
      <c r="P3" s="322"/>
      <c r="Q3" s="316"/>
      <c r="R3" s="316"/>
      <c r="S3" s="316"/>
      <c r="T3" s="316"/>
      <c r="U3" s="16"/>
      <c r="V3" s="16"/>
      <c r="W3" s="16"/>
    </row>
    <row r="4" ht="15" customHeight="1">
      <c r="B4" s="15"/>
      <c r="C4" s="323">
        <f>I8-D50</f>
        <v>1110307.6173913043</v>
      </c>
      <c r="D4" s="324"/>
      <c r="E4" s="325">
        <f>IF(I8&lt;&gt;0, C4/I8, 0)</f>
        <v>1</v>
      </c>
      <c r="F4" s="16"/>
      <c r="G4" s="16"/>
      <c r="H4" s="16"/>
      <c r="I4" s="16"/>
      <c r="J4" s="326"/>
      <c r="K4" s="327"/>
      <c r="L4" s="327"/>
      <c r="M4" s="327"/>
      <c r="N4" s="328"/>
      <c r="O4" s="16"/>
      <c r="P4" s="16"/>
      <c r="Q4" s="316"/>
      <c r="R4" s="316"/>
      <c r="S4" s="316"/>
      <c r="T4" s="316"/>
      <c r="U4" s="16"/>
      <c r="V4" s="16"/>
      <c r="W4" s="16"/>
    </row>
    <row r="5">
      <c r="B5" s="16"/>
      <c r="C5" s="16"/>
      <c r="D5" s="16"/>
      <c r="E5" s="16"/>
      <c r="F5" s="16"/>
      <c r="G5" s="16"/>
      <c r="H5" s="16"/>
      <c r="I5" s="16"/>
      <c r="J5" s="329"/>
      <c r="K5" s="329"/>
      <c r="L5" s="329"/>
      <c r="M5" s="329"/>
      <c r="N5" s="329"/>
      <c r="O5" s="16"/>
      <c r="P5" s="16"/>
      <c r="Q5" s="16"/>
      <c r="R5" s="16"/>
      <c r="S5" s="16"/>
      <c r="T5" s="16"/>
      <c r="U5" s="16"/>
      <c r="V5" s="16"/>
      <c r="W5" s="16"/>
    </row>
    <row r="6" ht="15.75" customHeight="1">
      <c r="B6" s="330"/>
      <c r="C6" s="16"/>
      <c r="D6" s="16"/>
      <c r="E6" s="16"/>
      <c r="F6" s="331" t="s">
        <v>2</v>
      </c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3"/>
      <c r="R6" s="34"/>
      <c r="S6" s="34"/>
      <c r="T6" s="16"/>
      <c r="U6" s="16"/>
      <c r="V6" s="16"/>
      <c r="W6" s="16"/>
    </row>
    <row r="7" ht="50.75" customHeight="1">
      <c r="B7" s="330"/>
      <c r="C7" s="16"/>
      <c r="D7" s="16"/>
      <c r="E7" s="16"/>
      <c r="F7" s="35" t="s">
        <v>3</v>
      </c>
      <c r="G7" s="36"/>
      <c r="H7" s="37"/>
      <c r="I7" s="38" t="s">
        <v>4</v>
      </c>
      <c r="J7" s="39" t="s">
        <v>5</v>
      </c>
      <c r="K7" s="40" t="s">
        <v>6</v>
      </c>
      <c r="L7" s="41" t="s">
        <v>7</v>
      </c>
      <c r="M7" s="41" t="s">
        <v>8</v>
      </c>
      <c r="N7" s="42" t="s">
        <v>9</v>
      </c>
      <c r="O7" s="42" t="s">
        <v>10</v>
      </c>
      <c r="P7" s="43" t="s">
        <v>11</v>
      </c>
      <c r="Q7" s="44"/>
      <c r="R7" s="34"/>
      <c r="S7" s="34"/>
      <c r="T7" s="16"/>
      <c r="U7" s="16"/>
      <c r="V7" s="16"/>
      <c r="W7" s="16"/>
    </row>
    <row r="8" ht="15.75" customHeight="1">
      <c r="B8" s="330"/>
      <c r="C8" s="16"/>
      <c r="D8" s="16"/>
      <c r="E8" s="382"/>
      <c r="F8" s="46" t="s">
        <v>12</v>
      </c>
      <c r="G8" s="47"/>
      <c r="H8" s="48"/>
      <c r="I8" s="340">
        <f>'Ялта, Ленина, 18'!I8/График!AJ31*График!AJ28</f>
        <v>1110307.6173913043</v>
      </c>
      <c r="J8" s="341">
        <f>D57</f>
        <v>620172</v>
      </c>
      <c r="K8" s="51">
        <f>IF(AND(I8&lt;&gt;"",I8&lt;&gt;0,J8&lt;&gt;""),J8/I8,"")</f>
        <v>0.55855871858027029</v>
      </c>
      <c r="L8" s="342">
        <f>IF(SUMIF($D$25:$D$56,"&gt;=0",$P$25:$P$56)&lt;&gt;0,I8*D57/SUMIF($D$25:$D$56,"&gt;=0",$P$25:$P$56),0)</f>
        <v>714695.33540097496</v>
      </c>
      <c r="M8" s="383">
        <f t="shared" ref="M8:M9" si="54">IF(AND(I8&lt;&gt;"",I8&lt;&gt;0,L8&lt;&gt;"",L8&lt;&gt;0),L8/I8,"")</f>
        <v>0.64369128357433913</v>
      </c>
      <c r="N8" s="56">
        <f t="shared" ref="N8:N9" si="55">IF(AND(J8&lt;&gt;0,J8&lt;&gt;"",I8&lt;&gt;0,I8&lt;&gt;""),L8-I8,"")</f>
        <v>-395612.28199032939</v>
      </c>
      <c r="O8" s="55"/>
      <c r="P8" s="56" t="str">
        <f t="shared" ref="P8:P9" si="56">IF(AND(O8&lt;&gt;"", O8&lt;&gt;0, L8&lt;&gt;"", L8&lt;&gt;0), -O8+L8, "")</f>
        <v/>
      </c>
      <c r="Q8" s="57" t="str">
        <f t="shared" ref="Q8:Q9" si="57">IF(AND(P8&lt;&gt;"", P8&lt;&gt;0, O8&lt;&gt;0, O8&lt;&gt;""), P8/O8, "")</f>
        <v/>
      </c>
      <c r="R8" s="34"/>
      <c r="S8" s="58"/>
      <c r="T8" s="16"/>
      <c r="U8" s="16"/>
      <c r="V8" s="16"/>
      <c r="W8" s="16"/>
    </row>
    <row r="9" ht="15.75" customHeight="1">
      <c r="B9" s="330"/>
      <c r="C9" s="16"/>
      <c r="D9" s="16"/>
      <c r="E9" s="16"/>
      <c r="F9" s="59" t="s">
        <v>13</v>
      </c>
      <c r="G9" s="60"/>
      <c r="H9" s="61"/>
      <c r="I9" s="62">
        <f>I8/I11</f>
        <v>142.3471304347826</v>
      </c>
      <c r="J9" s="384">
        <f>E57</f>
        <v>70</v>
      </c>
      <c r="K9" s="64">
        <f>IF(AND(I9&lt;&gt;"", I9&lt;&gt;0, J9&lt;&gt;""), J9/I9, "")</f>
        <v>0.49175561029009307</v>
      </c>
      <c r="L9" s="385">
        <f>IF(SUMIF($E$25:$E$54,"&gt;=0",$Q$25:$Q$54)&lt;&gt;0,I9*E57/SUMIF($E$25:$E$54,"&gt;=0",$Q$25:$Q$54),0)</f>
        <v>80.669029685423141</v>
      </c>
      <c r="M9" s="386">
        <f t="shared" si="54"/>
        <v>0.566706398920927</v>
      </c>
      <c r="N9" s="67">
        <f t="shared" si="55"/>
        <v>-61.678100749359459</v>
      </c>
      <c r="O9" s="68" t="e">
        <f>O8/O11</f>
        <v>#DIV/0!</v>
      </c>
      <c r="P9" s="67" t="e">
        <f t="shared" si="56"/>
        <v>#DIV/0!</v>
      </c>
      <c r="Q9" s="69" t="e">
        <f t="shared" si="57"/>
        <v>#DIV/0!</v>
      </c>
      <c r="R9" s="34"/>
      <c r="S9" s="58"/>
      <c r="T9" s="16"/>
      <c r="U9" s="16"/>
      <c r="V9" s="16"/>
      <c r="W9" s="16"/>
    </row>
    <row r="10" ht="15.75" customHeight="1">
      <c r="B10" s="330"/>
      <c r="C10" s="16"/>
      <c r="D10" s="16"/>
      <c r="E10" s="16"/>
      <c r="F10" s="46" t="s">
        <v>14</v>
      </c>
      <c r="G10" s="47"/>
      <c r="H10" s="48"/>
      <c r="I10" s="74">
        <f>I11*I12</f>
        <v>13572</v>
      </c>
      <c r="J10" s="346">
        <f>H57</f>
        <v>15126.146341463415</v>
      </c>
      <c r="K10" s="71">
        <f t="shared" ref="K10:K19" si="58">IF(AND(I10&lt;&gt;"", I10&lt;&gt;0, J10&lt;&gt;""), J10/I10, "")</f>
        <v>1.1145112246878437</v>
      </c>
      <c r="L10" s="344">
        <f>J10</f>
        <v>15126.146341463415</v>
      </c>
      <c r="M10" s="387">
        <f t="shared" ref="M10:M20" si="59">IF(AND(I10&lt;&gt;"",I10&lt;&gt;0,L10&lt;&gt;"",L10&lt;&gt;0),L10/I10,"")</f>
        <v>1.1145112246878437</v>
      </c>
      <c r="N10" s="73">
        <f t="shared" ref="N10:N20" si="60">IF(AND(J10&lt;&gt;0,J10&lt;&gt;"",I10&lt;&gt;0,I10&lt;&gt;""),L10-I10,"")</f>
        <v>1554.1463414634145</v>
      </c>
      <c r="O10" s="74">
        <f>O11*O12</f>
        <v>0</v>
      </c>
      <c r="P10" s="73" t="str">
        <f t="shared" ref="P10:P20" si="61">IF(AND(O10&lt;&gt;"", O10&lt;&gt;0, L10&lt;&gt;"", L10&lt;&gt;0), -O10+L10, "")</f>
        <v/>
      </c>
      <c r="Q10" s="75" t="str">
        <f t="shared" ref="Q10:Q20" si="62">IF(AND(P10&lt;&gt;"", P10&lt;&gt;0, O10&lt;&gt;0, O10&lt;&gt;""), P10/O10, "")</f>
        <v/>
      </c>
      <c r="R10" s="34"/>
      <c r="S10" s="78" t="s">
        <v>36</v>
      </c>
      <c r="T10" s="78"/>
      <c r="U10" s="16"/>
      <c r="V10" s="78" t="str">
        <f>M23</f>
        <v>Agafi</v>
      </c>
      <c r="W10" s="78"/>
    </row>
    <row r="11" ht="15.75" customHeight="1">
      <c r="B11" s="330"/>
      <c r="C11" s="16"/>
      <c r="D11" s="16"/>
      <c r="E11" s="16"/>
      <c r="F11" s="59" t="s">
        <v>15</v>
      </c>
      <c r="G11" s="60"/>
      <c r="H11" s="61"/>
      <c r="I11" s="79">
        <f>'Ялта, Ленина, 18'!I11</f>
        <v>7800</v>
      </c>
      <c r="J11" s="384">
        <f>F57</f>
        <v>8859.6000000000004</v>
      </c>
      <c r="K11" s="64">
        <f t="shared" si="58"/>
        <v>1.1358461538461539</v>
      </c>
      <c r="L11" s="385">
        <f>IF(L9&gt;0,L8/L9,"")</f>
        <v>8859.6000000000022</v>
      </c>
      <c r="M11" s="386">
        <f t="shared" si="59"/>
        <v>1.1358461538461542</v>
      </c>
      <c r="N11" s="67">
        <f t="shared" si="60"/>
        <v>1059.6000000000022</v>
      </c>
      <c r="O11" s="80"/>
      <c r="P11" s="67" t="str">
        <f t="shared" si="61"/>
        <v/>
      </c>
      <c r="Q11" s="69" t="str">
        <f t="shared" si="62"/>
        <v/>
      </c>
      <c r="R11" s="34"/>
      <c r="S11" s="78"/>
      <c r="T11" s="78"/>
      <c r="U11" s="16"/>
      <c r="V11" s="78"/>
      <c r="W11" s="78"/>
    </row>
    <row r="12" ht="15.75" customHeight="1">
      <c r="B12" s="330"/>
      <c r="C12" s="16"/>
      <c r="D12" s="16"/>
      <c r="E12" s="16"/>
      <c r="F12" s="59" t="s">
        <v>16</v>
      </c>
      <c r="G12" s="60"/>
      <c r="H12" s="61"/>
      <c r="I12" s="83">
        <f>'Ялта, Ленина, 18'!I12</f>
        <v>1.74</v>
      </c>
      <c r="J12" s="84">
        <f>J57</f>
        <v>1.7073170731707317</v>
      </c>
      <c r="K12" s="64">
        <f t="shared" si="58"/>
        <v>0.98121670871881128</v>
      </c>
      <c r="L12" s="350">
        <f>J12</f>
        <v>1.7073170731707317</v>
      </c>
      <c r="M12" s="388">
        <f t="shared" si="59"/>
        <v>0.98121670871881128</v>
      </c>
      <c r="N12" s="86">
        <f t="shared" si="60"/>
        <v>-0.032682926829268322</v>
      </c>
      <c r="O12" s="87"/>
      <c r="P12" s="67" t="str">
        <f t="shared" si="61"/>
        <v/>
      </c>
      <c r="Q12" s="69" t="str">
        <f t="shared" si="62"/>
        <v/>
      </c>
      <c r="R12" s="34"/>
      <c r="S12" s="88">
        <f>'Ялта, Ленина, 18'!U12*График!AJ28/График!AJ31</f>
        <v>217304.34782608695</v>
      </c>
      <c r="T12" s="89">
        <f>L57</f>
        <v>220</v>
      </c>
      <c r="U12" s="389">
        <f>S12-T12</f>
        <v>217084.34782608695</v>
      </c>
      <c r="V12" s="88">
        <f>'Ялта, Ленина, 18'!X12/График!AJ31*График!AJ28</f>
        <v>204521.73913043478</v>
      </c>
      <c r="W12" s="89">
        <f>M57</f>
        <v>37180</v>
      </c>
      <c r="X12" s="390">
        <f>V12-W12</f>
        <v>167341.73913043478</v>
      </c>
    </row>
    <row r="13" ht="15.75" customHeight="1">
      <c r="B13" s="330"/>
      <c r="C13" s="16"/>
      <c r="D13" s="16"/>
      <c r="E13" s="16"/>
      <c r="F13" s="59" t="s">
        <v>17</v>
      </c>
      <c r="G13" s="60"/>
      <c r="H13" s="61"/>
      <c r="I13" s="62">
        <f>IF(I12&lt;&gt;0, I9/I12, "")</f>
        <v>81.80869565217391</v>
      </c>
      <c r="J13" s="384">
        <f>G57</f>
        <v>41</v>
      </c>
      <c r="K13" s="64">
        <f t="shared" si="58"/>
        <v>0.5011692176870749</v>
      </c>
      <c r="L13" s="385">
        <f>IF(SUMIF($G$25:$G$54,"&gt;=0",$R$25:$R$54)&lt;&gt;0,I13*G57/SUMIF($G$25:$G$54,"&gt;=0",$R$25:$R$54),"")</f>
        <v>47.249003101462151</v>
      </c>
      <c r="M13" s="386">
        <f t="shared" si="59"/>
        <v>0.57755477855741366</v>
      </c>
      <c r="N13" s="86">
        <f t="shared" si="60"/>
        <v>-34.559692550711759</v>
      </c>
      <c r="O13" s="90"/>
      <c r="P13" s="67" t="str">
        <f t="shared" si="61"/>
        <v/>
      </c>
      <c r="Q13" s="69" t="str">
        <f t="shared" si="62"/>
        <v/>
      </c>
      <c r="R13" s="34"/>
      <c r="S13" s="91">
        <f>T12/S12</f>
        <v>0.0010124049619847941</v>
      </c>
      <c r="T13" s="91">
        <f>S13/J14*I14</f>
        <v>0.0010124049619847941</v>
      </c>
      <c r="U13" s="16"/>
      <c r="V13" s="91">
        <f>W12/V12</f>
        <v>0.18178996598639455</v>
      </c>
      <c r="W13" s="91">
        <f>V13/J14*I14</f>
        <v>0.18178996598639452</v>
      </c>
    </row>
    <row r="14" ht="15.75" customHeight="1">
      <c r="B14" s="330"/>
      <c r="C14" s="16"/>
      <c r="D14" s="16"/>
      <c r="E14" s="16"/>
      <c r="F14" s="59" t="s">
        <v>75</v>
      </c>
      <c r="G14" s="60"/>
      <c r="H14" s="61"/>
      <c r="I14" s="79">
        <f>График!AI28</f>
        <v>23</v>
      </c>
      <c r="J14" s="93">
        <v>23</v>
      </c>
      <c r="K14" s="64">
        <f t="shared" si="58"/>
        <v>1</v>
      </c>
      <c r="L14" s="65">
        <f>I14</f>
        <v>23</v>
      </c>
      <c r="M14" s="388">
        <f t="shared" si="59"/>
        <v>1</v>
      </c>
      <c r="N14" s="67">
        <f t="shared" si="60"/>
        <v>0</v>
      </c>
      <c r="O14" s="90"/>
      <c r="P14" s="67" t="str">
        <f t="shared" si="61"/>
        <v/>
      </c>
      <c r="Q14" s="69" t="str">
        <f t="shared" si="62"/>
        <v/>
      </c>
      <c r="R14" s="34"/>
      <c r="S14" s="94"/>
      <c r="T14" s="7"/>
      <c r="U14" s="16"/>
      <c r="V14" s="16"/>
      <c r="W14" s="16"/>
    </row>
    <row r="15" ht="15.75" customHeight="1">
      <c r="B15" s="330"/>
      <c r="C15" s="16"/>
      <c r="D15" s="16"/>
      <c r="E15" s="16"/>
      <c r="F15" s="59" t="s">
        <v>19</v>
      </c>
      <c r="G15" s="60"/>
      <c r="H15" s="61"/>
      <c r="I15" s="104">
        <f>'Ялта, Ленина, 18'!I15</f>
        <v>84058.838709677424</v>
      </c>
      <c r="J15" s="384">
        <f>J8/J14</f>
        <v>26964</v>
      </c>
      <c r="K15" s="97">
        <f t="shared" si="58"/>
        <v>0.32077530946065425</v>
      </c>
      <c r="L15" s="385">
        <f t="shared" ref="L15:L16" si="63">J15</f>
        <v>26964</v>
      </c>
      <c r="M15" s="386">
        <f t="shared" si="59"/>
        <v>0.32077530946065425</v>
      </c>
      <c r="N15" s="67">
        <f t="shared" si="60"/>
        <v>-57094.838709677424</v>
      </c>
      <c r="O15" s="100"/>
      <c r="P15" s="67" t="str">
        <f t="shared" si="61"/>
        <v/>
      </c>
      <c r="Q15" s="69" t="str">
        <f t="shared" si="62"/>
        <v/>
      </c>
      <c r="R15" s="34"/>
      <c r="S15" s="58"/>
      <c r="T15" s="7"/>
      <c r="U15" s="16"/>
      <c r="V15" s="16"/>
      <c r="W15" s="16"/>
    </row>
    <row r="16" ht="15.75" customHeight="1">
      <c r="B16" s="330"/>
      <c r="C16" s="16"/>
      <c r="D16" s="16"/>
      <c r="E16" s="16"/>
      <c r="F16" s="59" t="s">
        <v>20</v>
      </c>
      <c r="G16" s="60"/>
      <c r="H16" s="61"/>
      <c r="I16" s="104"/>
      <c r="J16" s="63">
        <f>J8-I15*J14</f>
        <v>-1313181.2903225808</v>
      </c>
      <c r="K16" s="97" t="str">
        <f t="shared" si="58"/>
        <v/>
      </c>
      <c r="L16" s="344">
        <f t="shared" si="63"/>
        <v>-1313181.2903225808</v>
      </c>
      <c r="M16" s="391" t="str">
        <f t="shared" si="59"/>
        <v/>
      </c>
      <c r="N16" s="67" t="str">
        <f t="shared" si="60"/>
        <v/>
      </c>
      <c r="O16" s="100"/>
      <c r="P16" s="67" t="str">
        <f t="shared" si="61"/>
        <v/>
      </c>
      <c r="Q16" s="69" t="str">
        <f t="shared" si="62"/>
        <v/>
      </c>
      <c r="R16" s="34"/>
      <c r="S16" s="78" t="s">
        <v>35</v>
      </c>
      <c r="T16" s="78"/>
      <c r="U16" s="16"/>
      <c r="V16" s="16"/>
      <c r="W16" s="16"/>
    </row>
    <row r="17" ht="15.75" customHeight="1">
      <c r="B17" s="330"/>
      <c r="C17" s="16"/>
      <c r="D17" s="351"/>
      <c r="E17" s="16"/>
      <c r="F17" s="59" t="s">
        <v>21</v>
      </c>
      <c r="G17" s="60"/>
      <c r="H17" s="61"/>
      <c r="I17" s="104">
        <f>'Ялта, Ленина, 18'!I17/График!AJ31*График!AJ28</f>
        <v>681.73913043478262</v>
      </c>
      <c r="J17" s="384">
        <f>I57</f>
        <v>324</v>
      </c>
      <c r="K17" s="97">
        <f t="shared" si="58"/>
        <v>0.47525510204081634</v>
      </c>
      <c r="L17" s="385">
        <f>J17/J14*I14</f>
        <v>324</v>
      </c>
      <c r="M17" s="392">
        <f t="shared" si="59"/>
        <v>0.47525510204081634</v>
      </c>
      <c r="N17" s="67">
        <f t="shared" si="60"/>
        <v>-357.73913043478262</v>
      </c>
      <c r="O17" s="100"/>
      <c r="P17" s="67" t="str">
        <f t="shared" si="61"/>
        <v/>
      </c>
      <c r="Q17" s="69" t="str">
        <f t="shared" si="62"/>
        <v/>
      </c>
      <c r="R17" s="34"/>
      <c r="S17" s="78"/>
      <c r="T17" s="78"/>
      <c r="U17" s="16"/>
      <c r="V17" s="16"/>
      <c r="W17" s="16"/>
    </row>
    <row r="18" ht="15.75" customHeight="1">
      <c r="B18" s="330"/>
      <c r="C18" s="16"/>
      <c r="D18" s="16"/>
      <c r="E18" s="16"/>
      <c r="F18" s="59"/>
      <c r="G18" s="60"/>
      <c r="H18" s="61"/>
      <c r="I18" s="105"/>
      <c r="J18" s="63"/>
      <c r="K18" s="97" t="str">
        <f t="shared" si="58"/>
        <v/>
      </c>
      <c r="L18" s="344">
        <f t="shared" ref="L18:L19" si="64">J18</f>
        <v>0</v>
      </c>
      <c r="M18" s="391" t="str">
        <f t="shared" si="59"/>
        <v/>
      </c>
      <c r="N18" s="67" t="str">
        <f t="shared" si="60"/>
        <v/>
      </c>
      <c r="O18" s="108">
        <v>0</v>
      </c>
      <c r="P18" s="67" t="str">
        <f t="shared" si="61"/>
        <v/>
      </c>
      <c r="Q18" s="69" t="str">
        <f t="shared" si="62"/>
        <v/>
      </c>
      <c r="R18" s="34"/>
      <c r="S18" s="88">
        <f>'Ялта, Ленина, 18'!U18*График!AJ28/График!AJ31</f>
        <v>434608.69565217389</v>
      </c>
      <c r="T18" s="89">
        <f>K57</f>
        <v>201362</v>
      </c>
      <c r="U18" s="16"/>
      <c r="V18" s="16"/>
      <c r="W18" s="16"/>
    </row>
    <row r="19" ht="15.75" customHeight="1">
      <c r="B19" s="330"/>
      <c r="C19" s="16"/>
      <c r="D19" s="16"/>
      <c r="E19" s="16"/>
      <c r="F19" s="59"/>
      <c r="G19" s="60"/>
      <c r="H19" s="61"/>
      <c r="I19" s="105"/>
      <c r="J19" s="384"/>
      <c r="K19" s="97" t="str">
        <f t="shared" si="58"/>
        <v/>
      </c>
      <c r="L19" s="385">
        <f t="shared" si="64"/>
        <v>0</v>
      </c>
      <c r="M19" s="392" t="str">
        <f t="shared" si="59"/>
        <v/>
      </c>
      <c r="N19" s="67" t="str">
        <f t="shared" si="60"/>
        <v/>
      </c>
      <c r="O19" s="100">
        <v>0</v>
      </c>
      <c r="P19" s="67" t="str">
        <f t="shared" si="61"/>
        <v/>
      </c>
      <c r="Q19" s="69" t="str">
        <f t="shared" si="62"/>
        <v/>
      </c>
      <c r="R19" s="34"/>
      <c r="S19" s="91">
        <f>T18/S18</f>
        <v>0.46331792717086839</v>
      </c>
      <c r="T19" s="91">
        <f>S19/J14*I14</f>
        <v>0.46331792717086839</v>
      </c>
      <c r="U19" s="16"/>
      <c r="V19" s="16"/>
      <c r="W19" s="16"/>
    </row>
    <row r="20" ht="15.75" customHeight="1">
      <c r="B20" s="330"/>
      <c r="C20" s="16"/>
      <c r="D20" s="16"/>
      <c r="E20" s="16"/>
      <c r="F20" s="109" t="s">
        <v>22</v>
      </c>
      <c r="G20" s="109"/>
      <c r="H20" s="109"/>
      <c r="I20" s="354">
        <f>'Ялта, Ленина, 18'!I20</f>
        <v>0.12</v>
      </c>
      <c r="J20" s="355">
        <f>N57</f>
        <v>0.12654320987654322</v>
      </c>
      <c r="K20" s="356">
        <f>J20/I20</f>
        <v>1.0545267489711936</v>
      </c>
      <c r="L20" s="357">
        <f>IF(AND(K8&lt;&gt;0,I14&lt;&gt;0,I57&lt;&gt;0),(I57*N57+(I57/K8-I57)*I20)/(I57/K8),0)</f>
        <v>0.12365476692404376</v>
      </c>
      <c r="M20" s="357">
        <f t="shared" si="59"/>
        <v>1.0304563910336981</v>
      </c>
      <c r="N20" s="115">
        <f t="shared" si="60"/>
        <v>0.0036547669240437619</v>
      </c>
      <c r="O20" s="116"/>
      <c r="P20" s="117" t="str">
        <f t="shared" si="61"/>
        <v/>
      </c>
      <c r="Q20" s="118" t="str">
        <f t="shared" si="62"/>
        <v/>
      </c>
      <c r="R20" s="34"/>
      <c r="S20" s="34"/>
      <c r="T20" s="16"/>
      <c r="U20" s="16"/>
      <c r="V20" s="16"/>
      <c r="W20" s="16"/>
    </row>
    <row r="21" ht="15.75" customHeight="1">
      <c r="B21" s="3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4"/>
      <c r="S21" s="34"/>
      <c r="T21" s="16"/>
      <c r="U21" s="16"/>
      <c r="V21" s="16"/>
      <c r="W21" s="16"/>
    </row>
    <row r="22" ht="16.5" customHeight="1">
      <c r="B22" s="358" t="s">
        <v>23</v>
      </c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9" t="s">
        <v>24</v>
      </c>
      <c r="P22" s="358" t="s">
        <v>25</v>
      </c>
      <c r="Q22" s="358"/>
      <c r="R22" s="358"/>
      <c r="S22" s="358"/>
      <c r="T22" s="358"/>
      <c r="U22" s="358"/>
      <c r="V22" s="358"/>
      <c r="W22" s="358"/>
    </row>
    <row r="23" ht="42">
      <c r="B23" s="359" t="s">
        <v>27</v>
      </c>
      <c r="C23" s="359" t="s">
        <v>28</v>
      </c>
      <c r="D23" s="359" t="s">
        <v>29</v>
      </c>
      <c r="E23" s="359" t="s">
        <v>30</v>
      </c>
      <c r="F23" s="359" t="s">
        <v>31</v>
      </c>
      <c r="G23" s="359" t="s">
        <v>32</v>
      </c>
      <c r="H23" s="359" t="s">
        <v>33</v>
      </c>
      <c r="I23" s="359" t="s">
        <v>21</v>
      </c>
      <c r="J23" s="359" t="s">
        <v>34</v>
      </c>
      <c r="K23" s="123" t="s">
        <v>35</v>
      </c>
      <c r="L23" s="123" t="s">
        <v>36</v>
      </c>
      <c r="M23" s="123" t="s">
        <v>37</v>
      </c>
      <c r="N23" s="359" t="s">
        <v>40</v>
      </c>
      <c r="O23" s="359"/>
      <c r="P23" s="359" t="s">
        <v>41</v>
      </c>
      <c r="Q23" s="359" t="s">
        <v>42</v>
      </c>
      <c r="R23" s="359" t="s">
        <v>43</v>
      </c>
      <c r="S23" s="359" t="s">
        <v>44</v>
      </c>
      <c r="T23" s="359" t="s">
        <v>45</v>
      </c>
      <c r="U23" s="359" t="s">
        <v>46</v>
      </c>
      <c r="V23" s="360" t="s">
        <v>47</v>
      </c>
      <c r="W23" s="360" t="s">
        <v>48</v>
      </c>
      <c r="X23" s="178"/>
    </row>
    <row r="24">
      <c r="B24" s="361">
        <v>1</v>
      </c>
      <c r="C24" s="361">
        <v>2</v>
      </c>
      <c r="D24" s="361">
        <v>3</v>
      </c>
      <c r="E24" s="361" t="s">
        <v>79</v>
      </c>
      <c r="F24" s="361">
        <v>5</v>
      </c>
      <c r="G24" s="361">
        <v>6</v>
      </c>
      <c r="H24" s="361">
        <v>7</v>
      </c>
      <c r="I24" s="361">
        <v>8</v>
      </c>
      <c r="J24" s="361">
        <v>9</v>
      </c>
      <c r="K24" s="361">
        <v>10</v>
      </c>
      <c r="L24" s="361">
        <v>11</v>
      </c>
      <c r="M24" s="361">
        <v>12</v>
      </c>
      <c r="N24" s="361">
        <v>13</v>
      </c>
      <c r="O24" s="359"/>
      <c r="P24" s="363">
        <v>1</v>
      </c>
      <c r="Q24" s="363">
        <v>2</v>
      </c>
      <c r="R24" s="363">
        <v>3</v>
      </c>
      <c r="S24" s="363">
        <v>4</v>
      </c>
      <c r="T24" s="363">
        <v>5</v>
      </c>
      <c r="U24" s="363">
        <v>6</v>
      </c>
      <c r="V24" s="363">
        <v>10</v>
      </c>
      <c r="W24" s="363">
        <v>11</v>
      </c>
    </row>
    <row r="25">
      <c r="A25" s="128">
        <v>1</v>
      </c>
      <c r="B25" s="129">
        <v>45992</v>
      </c>
      <c r="C25" s="130" t="s">
        <v>50</v>
      </c>
      <c r="D25" s="133">
        <v>3293</v>
      </c>
      <c r="E25" s="132">
        <v>1</v>
      </c>
      <c r="F25" s="132">
        <v>3293</v>
      </c>
      <c r="G25" s="132">
        <v>1</v>
      </c>
      <c r="H25" s="132">
        <f t="shared" ref="H25:H57" si="65">IF(AND(G25&lt;&gt;"",G25&lt;&gt;0),D25/G25,"")</f>
        <v>3293</v>
      </c>
      <c r="I25" s="132">
        <v>25</v>
      </c>
      <c r="J25" s="133">
        <f t="shared" ref="J25:J57" si="66">IF(AND(G25&lt;&gt;"",G25&lt;&gt;0),E25/G25,"")</f>
        <v>1</v>
      </c>
      <c r="K25" s="132"/>
      <c r="L25" s="132"/>
      <c r="M25" s="132"/>
      <c r="N25" s="134">
        <f t="shared" ref="N25:N57" si="67">IF(AND(I25&lt;&gt;"",I25&lt;&gt;0),G25/I25,"")</f>
        <v>0.040000000000000001</v>
      </c>
      <c r="O25" s="135">
        <f t="shared" ref="O25:O57" si="68">D25/P25</f>
        <v>0.07714162152758984</v>
      </c>
      <c r="P25" s="369">
        <f t="shared" ref="P25:P56" si="69">$I$8*V25*W25/SUMPRODUCT($W$25:$W$56,$V$25:$V$56)</f>
        <v>42687.720776290043</v>
      </c>
      <c r="Q25" s="137">
        <f>$I$9*V25*W25/SUMPRODUCT($W$25:$W$56,$V$25:$V$56)</f>
        <v>5.472784714908979</v>
      </c>
      <c r="R25" s="368">
        <f t="shared" ref="R25:R56" si="70">IF($I$12="","",Q25/$I$12)</f>
        <v>3.1452785717867697</v>
      </c>
      <c r="S25" s="136">
        <f>IF(D25&lt;&gt;"",D25,P25)</f>
        <v>3293</v>
      </c>
      <c r="T25" s="137">
        <f>IF(E25&lt;&gt;"",E25,Q25)</f>
        <v>1</v>
      </c>
      <c r="U25" s="137">
        <f>IF(G25&lt;&gt;"",G25,R25)</f>
        <v>1</v>
      </c>
      <c r="V25" s="379">
        <v>1</v>
      </c>
      <c r="W25" s="364">
        <v>1</v>
      </c>
      <c r="X25" s="139"/>
      <c r="Y25" s="140"/>
    </row>
    <row r="26">
      <c r="A26" s="128">
        <v>2</v>
      </c>
      <c r="B26" s="129">
        <v>45993</v>
      </c>
      <c r="C26" s="130" t="s">
        <v>52</v>
      </c>
      <c r="D26" s="133">
        <v>3555</v>
      </c>
      <c r="E26" s="132">
        <v>1</v>
      </c>
      <c r="F26" s="132">
        <f t="shared" ref="F26:F57" si="71">IF(AND(E26&lt;&gt;"",E26&lt;&gt;0),D26/E26,"")</f>
        <v>3555</v>
      </c>
      <c r="G26" s="132">
        <v>1</v>
      </c>
      <c r="H26" s="132">
        <f t="shared" si="65"/>
        <v>3555</v>
      </c>
      <c r="I26" s="132">
        <v>10</v>
      </c>
      <c r="J26" s="133">
        <f t="shared" si="66"/>
        <v>1</v>
      </c>
      <c r="K26" s="132"/>
      <c r="L26" s="132"/>
      <c r="M26" s="132"/>
      <c r="N26" s="134">
        <f t="shared" si="67"/>
        <v>0.10000000000000001</v>
      </c>
      <c r="O26" s="135">
        <f t="shared" si="68"/>
        <v>0.083279217895712687</v>
      </c>
      <c r="P26" s="136">
        <f t="shared" si="69"/>
        <v>42687.720776290043</v>
      </c>
      <c r="Q26" s="368">
        <f t="shared" ref="Q26:Q56" si="72">$I$9*V26*W26/SUMPRODUCT($W$25:$W$58,$V$25:$V$58)</f>
        <v>5.472784714908979</v>
      </c>
      <c r="R26" s="137">
        <f t="shared" si="70"/>
        <v>3.1452785717867697</v>
      </c>
      <c r="S26" s="136">
        <f>IF(W26&lt;&gt;"",IF(D26&lt;&gt;"",D26,($I$8-SUM($S$25:S25))*V26*W26/SUMPRODUCT($W26:$W$56,$V26:$V$56)),"")</f>
        <v>3555</v>
      </c>
      <c r="T26" s="137">
        <f t="shared" ref="T26:T27" si="73">IF(W26&lt;&gt;"",IF(E26&lt;&gt;"",E26,($I$9-SUM($T$25:T25))*V26*W26/SUMPRODUCT($W26:$W$55,$V26:$V$55)),"")</f>
        <v>1</v>
      </c>
      <c r="U26" s="137">
        <f t="shared" ref="U26:U27" si="74">IF(W26&lt;&gt;"",IF($I$12&lt;&gt;"",IF(G26&lt;&gt;"",G26,($I$9/$I$12-SUM($U$25:U25))*V26*W26/SUMPRODUCT($W26:$W$55,$V26:$V$55)),""),"")</f>
        <v>1</v>
      </c>
      <c r="V26" s="364">
        <v>1</v>
      </c>
      <c r="W26" s="364">
        <v>1</v>
      </c>
      <c r="X26" s="141"/>
      <c r="Y26" s="140"/>
    </row>
    <row r="27">
      <c r="A27" s="128">
        <v>3</v>
      </c>
      <c r="B27" s="129">
        <v>45994</v>
      </c>
      <c r="C27" s="130" t="s">
        <v>53</v>
      </c>
      <c r="D27" s="133">
        <v>47669</v>
      </c>
      <c r="E27" s="132">
        <v>3</v>
      </c>
      <c r="F27" s="132">
        <f t="shared" si="71"/>
        <v>15889.666666666666</v>
      </c>
      <c r="G27" s="132">
        <v>2</v>
      </c>
      <c r="H27" s="132">
        <f t="shared" si="65"/>
        <v>23834.5</v>
      </c>
      <c r="I27" s="132">
        <v>28</v>
      </c>
      <c r="J27" s="133">
        <f t="shared" si="66"/>
        <v>1.5</v>
      </c>
      <c r="K27" s="132">
        <v>42669</v>
      </c>
      <c r="L27" s="132"/>
      <c r="M27" s="132"/>
      <c r="N27" s="134">
        <f t="shared" si="67"/>
        <v>0.071428571428571425</v>
      </c>
      <c r="O27" s="135">
        <f t="shared" si="68"/>
        <v>1.116691149893313</v>
      </c>
      <c r="P27" s="369">
        <f t="shared" si="69"/>
        <v>42687.720776290043</v>
      </c>
      <c r="Q27" s="137">
        <f t="shared" si="72"/>
        <v>5.472784714908979</v>
      </c>
      <c r="R27" s="368">
        <f t="shared" si="70"/>
        <v>3.1452785717867697</v>
      </c>
      <c r="S27" s="136">
        <f t="shared" ref="S27:S53" si="75">IF(W27&lt;&gt;"",IF(D27&lt;&gt;"",D27,($I$8-SUM($S$25:S26))*V27*W27/SUMPRODUCT($W27:$W$58,$V27:$V$58)),"")</f>
        <v>47669</v>
      </c>
      <c r="T27" s="137">
        <f t="shared" si="73"/>
        <v>3</v>
      </c>
      <c r="U27" s="137">
        <f t="shared" si="74"/>
        <v>2</v>
      </c>
      <c r="V27" s="379">
        <v>1</v>
      </c>
      <c r="W27" s="364">
        <v>1</v>
      </c>
      <c r="X27" s="141"/>
      <c r="Y27" s="140"/>
      <c r="Z27" s="376"/>
      <c r="AA27" s="2"/>
      <c r="AB27" s="2"/>
      <c r="AC27" s="2"/>
      <c r="AD27" s="2"/>
      <c r="AE27" s="2"/>
      <c r="AF27" s="2"/>
      <c r="AG27" s="2"/>
    </row>
    <row r="28">
      <c r="A28" s="128">
        <v>4</v>
      </c>
      <c r="B28" s="129">
        <v>45995</v>
      </c>
      <c r="C28" s="168" t="s">
        <v>54</v>
      </c>
      <c r="D28" s="133">
        <v>49966</v>
      </c>
      <c r="E28" s="142">
        <v>6</v>
      </c>
      <c r="F28" s="132">
        <f t="shared" si="71"/>
        <v>8327.6666666666661</v>
      </c>
      <c r="G28" s="142">
        <v>3</v>
      </c>
      <c r="H28" s="132">
        <f t="shared" si="65"/>
        <v>16655.333333333332</v>
      </c>
      <c r="I28" s="142">
        <v>20</v>
      </c>
      <c r="J28" s="133">
        <f t="shared" si="66"/>
        <v>2</v>
      </c>
      <c r="K28" s="142"/>
      <c r="L28" s="132"/>
      <c r="M28" s="142"/>
      <c r="N28" s="134">
        <f t="shared" si="67"/>
        <v>0.14999999999999999</v>
      </c>
      <c r="O28" s="367">
        <f t="shared" si="68"/>
        <v>1.1705005348459017</v>
      </c>
      <c r="P28" s="136">
        <f t="shared" si="69"/>
        <v>42687.720776290043</v>
      </c>
      <c r="Q28" s="368">
        <f t="shared" si="72"/>
        <v>5.472784714908979</v>
      </c>
      <c r="R28" s="137">
        <f t="shared" si="70"/>
        <v>3.1452785717867697</v>
      </c>
      <c r="S28" s="136">
        <f t="shared" si="75"/>
        <v>49966</v>
      </c>
      <c r="T28" s="137">
        <f t="shared" ref="T28:T34" si="76">IF(W28&lt;&gt;"",IF(E28&lt;&gt;"",E28,($I$9-SUM($T$25:T27))*V28*W28/SUMPRODUCT($W28:$W$58,$V28:$V$58)),"")</f>
        <v>6</v>
      </c>
      <c r="U28" s="368">
        <f t="shared" ref="U28:U53" si="77">IF(W28&lt;&gt;"",IF($I$12&lt;&gt;"",IF(G28&lt;&gt;"",G28,($I$9/$I$12-SUM($U$25:U27))*V28*W28/SUMPRODUCT($W28:$W$58,$V28:$V$58)),""),"")</f>
        <v>3</v>
      </c>
      <c r="V28" s="364">
        <v>1</v>
      </c>
      <c r="W28" s="364">
        <v>1</v>
      </c>
      <c r="X28" s="141"/>
      <c r="Y28" s="140"/>
      <c r="Z28" s="2"/>
      <c r="AA28" s="2"/>
      <c r="AB28" s="2"/>
      <c r="AC28" s="2"/>
      <c r="AD28" s="2"/>
      <c r="AE28" s="2"/>
      <c r="AF28" s="2"/>
      <c r="AG28" s="2"/>
    </row>
    <row r="29">
      <c r="A29" s="128">
        <v>5</v>
      </c>
      <c r="B29" s="129">
        <v>45996</v>
      </c>
      <c r="C29" s="130" t="s">
        <v>55</v>
      </c>
      <c r="D29" s="377">
        <f>28984+220</f>
        <v>29204</v>
      </c>
      <c r="E29" s="132">
        <v>2</v>
      </c>
      <c r="F29" s="132">
        <f t="shared" si="71"/>
        <v>14602</v>
      </c>
      <c r="G29" s="132">
        <v>2</v>
      </c>
      <c r="H29" s="142">
        <f t="shared" si="65"/>
        <v>14602</v>
      </c>
      <c r="I29" s="132">
        <v>13</v>
      </c>
      <c r="J29" s="377">
        <f t="shared" si="66"/>
        <v>1</v>
      </c>
      <c r="K29" s="132">
        <v>28984</v>
      </c>
      <c r="L29" s="142">
        <v>220</v>
      </c>
      <c r="M29" s="132"/>
      <c r="N29" s="378">
        <f t="shared" si="67"/>
        <v>0.15384615384615385</v>
      </c>
      <c r="O29" s="135">
        <f t="shared" si="68"/>
        <v>0.6841311615826704</v>
      </c>
      <c r="P29" s="369">
        <f t="shared" si="69"/>
        <v>42687.720776290043</v>
      </c>
      <c r="Q29" s="137">
        <f t="shared" si="72"/>
        <v>5.472784714908979</v>
      </c>
      <c r="R29" s="368">
        <f t="shared" si="70"/>
        <v>3.1452785717867697</v>
      </c>
      <c r="S29" s="136">
        <f t="shared" si="75"/>
        <v>29204</v>
      </c>
      <c r="T29" s="368">
        <f t="shared" si="76"/>
        <v>2</v>
      </c>
      <c r="U29" s="137">
        <f t="shared" si="77"/>
        <v>2</v>
      </c>
      <c r="V29" s="379">
        <v>1</v>
      </c>
      <c r="W29" s="364">
        <v>1</v>
      </c>
      <c r="X29" s="141"/>
      <c r="Y29" s="140"/>
      <c r="Z29" s="2"/>
      <c r="AA29" s="2"/>
      <c r="AB29" s="2"/>
      <c r="AC29" s="2"/>
      <c r="AD29" s="2"/>
      <c r="AE29" s="2"/>
      <c r="AF29" s="2"/>
      <c r="AG29" s="2"/>
    </row>
    <row r="30">
      <c r="A30" s="128">
        <v>6</v>
      </c>
      <c r="B30" s="129">
        <v>45997</v>
      </c>
      <c r="C30" s="168" t="s">
        <v>56</v>
      </c>
      <c r="D30" s="133">
        <v>0</v>
      </c>
      <c r="E30" s="132">
        <v>0</v>
      </c>
      <c r="F30" s="142" t="str">
        <f t="shared" si="71"/>
        <v/>
      </c>
      <c r="G30" s="132">
        <v>0</v>
      </c>
      <c r="H30" s="132" t="str">
        <f t="shared" si="65"/>
        <v/>
      </c>
      <c r="I30" s="142">
        <v>10</v>
      </c>
      <c r="J30" s="133" t="str">
        <f t="shared" si="66"/>
        <v/>
      </c>
      <c r="K30" s="142"/>
      <c r="L30" s="132"/>
      <c r="M30" s="142"/>
      <c r="N30" s="134">
        <f t="shared" si="67"/>
        <v>0</v>
      </c>
      <c r="O30" s="367">
        <f t="shared" si="68"/>
        <v>0</v>
      </c>
      <c r="P30" s="136">
        <f t="shared" si="69"/>
        <v>42687.720776290043</v>
      </c>
      <c r="Q30" s="368">
        <f t="shared" si="72"/>
        <v>5.472784714908979</v>
      </c>
      <c r="R30" s="137">
        <f t="shared" si="70"/>
        <v>3.1452785717867697</v>
      </c>
      <c r="S30" s="136">
        <f t="shared" si="75"/>
        <v>0</v>
      </c>
      <c r="T30" s="137">
        <f t="shared" si="76"/>
        <v>0</v>
      </c>
      <c r="U30" s="368">
        <f t="shared" si="77"/>
        <v>0</v>
      </c>
      <c r="V30" s="364">
        <v>1</v>
      </c>
      <c r="W30" s="364">
        <v>1</v>
      </c>
      <c r="X30" s="141"/>
      <c r="Y30" s="140"/>
      <c r="Z30" s="2"/>
      <c r="AA30" s="2"/>
      <c r="AB30" s="2"/>
      <c r="AC30" s="2"/>
      <c r="AD30" s="2"/>
      <c r="AE30" s="2"/>
      <c r="AF30" s="2"/>
      <c r="AG30" s="2"/>
    </row>
    <row r="31">
      <c r="A31" s="128">
        <v>7</v>
      </c>
      <c r="B31" s="129">
        <v>45998</v>
      </c>
      <c r="C31" s="130" t="s">
        <v>57</v>
      </c>
      <c r="D31" s="377">
        <v>18884</v>
      </c>
      <c r="E31" s="132">
        <v>2</v>
      </c>
      <c r="F31" s="132">
        <f t="shared" si="71"/>
        <v>9442</v>
      </c>
      <c r="G31" s="142">
        <v>1</v>
      </c>
      <c r="H31" s="132">
        <f t="shared" si="65"/>
        <v>18884</v>
      </c>
      <c r="I31" s="132">
        <v>12</v>
      </c>
      <c r="J31" s="377">
        <f t="shared" si="66"/>
        <v>2</v>
      </c>
      <c r="K31" s="132"/>
      <c r="L31" s="142"/>
      <c r="M31" s="132"/>
      <c r="N31" s="378">
        <f t="shared" si="67"/>
        <v>0.083333333333333329</v>
      </c>
      <c r="O31" s="135">
        <f t="shared" si="68"/>
        <v>0.44237545731157196</v>
      </c>
      <c r="P31" s="369">
        <f t="shared" si="69"/>
        <v>42687.720776290043</v>
      </c>
      <c r="Q31" s="137">
        <f t="shared" si="72"/>
        <v>5.472784714908979</v>
      </c>
      <c r="R31" s="368">
        <f t="shared" si="70"/>
        <v>3.1452785717867697</v>
      </c>
      <c r="S31" s="136">
        <f t="shared" si="75"/>
        <v>18884</v>
      </c>
      <c r="T31" s="368">
        <f t="shared" si="76"/>
        <v>2</v>
      </c>
      <c r="U31" s="137">
        <f t="shared" si="77"/>
        <v>1</v>
      </c>
      <c r="V31" s="379">
        <v>1</v>
      </c>
      <c r="W31" s="364">
        <v>1</v>
      </c>
      <c r="X31" s="141"/>
      <c r="Y31" s="140"/>
      <c r="AE31" s="2"/>
      <c r="AF31" s="2"/>
      <c r="AG31" s="2"/>
    </row>
    <row r="32">
      <c r="A32" s="128">
        <v>8</v>
      </c>
      <c r="B32" s="129">
        <v>45999</v>
      </c>
      <c r="C32" s="168" t="s">
        <v>50</v>
      </c>
      <c r="D32" s="133">
        <v>12484</v>
      </c>
      <c r="E32" s="142">
        <v>2</v>
      </c>
      <c r="F32" s="132">
        <f t="shared" si="71"/>
        <v>6242</v>
      </c>
      <c r="G32" s="132">
        <v>1</v>
      </c>
      <c r="H32" s="142">
        <f t="shared" si="65"/>
        <v>12484</v>
      </c>
      <c r="I32" s="132">
        <v>20</v>
      </c>
      <c r="J32" s="133">
        <f t="shared" si="66"/>
        <v>2</v>
      </c>
      <c r="K32" s="132">
        <v>8490</v>
      </c>
      <c r="L32" s="132"/>
      <c r="M32" s="142"/>
      <c r="N32" s="134">
        <f t="shared" si="67"/>
        <v>0.050000000000000003</v>
      </c>
      <c r="O32" s="367">
        <f t="shared" si="68"/>
        <v>0.29244943915895277</v>
      </c>
      <c r="P32" s="136">
        <f t="shared" si="69"/>
        <v>42687.720776290043</v>
      </c>
      <c r="Q32" s="368">
        <f t="shared" si="72"/>
        <v>5.472784714908979</v>
      </c>
      <c r="R32" s="137">
        <f t="shared" si="70"/>
        <v>3.1452785717867697</v>
      </c>
      <c r="S32" s="136">
        <f t="shared" si="75"/>
        <v>12484</v>
      </c>
      <c r="T32" s="137">
        <f t="shared" si="76"/>
        <v>2</v>
      </c>
      <c r="U32" s="368">
        <f t="shared" si="77"/>
        <v>1</v>
      </c>
      <c r="V32" s="364">
        <v>1</v>
      </c>
      <c r="W32" s="364">
        <v>1</v>
      </c>
      <c r="X32" s="141"/>
      <c r="Y32" s="140"/>
      <c r="AE32" s="2"/>
      <c r="AF32" s="2"/>
      <c r="AG32" s="2"/>
    </row>
    <row r="33">
      <c r="A33" s="128">
        <v>9</v>
      </c>
      <c r="B33" s="129">
        <v>46002</v>
      </c>
      <c r="C33" s="130" t="s">
        <v>54</v>
      </c>
      <c r="D33" s="377">
        <v>0</v>
      </c>
      <c r="E33" s="132">
        <v>0</v>
      </c>
      <c r="F33" s="142" t="str">
        <f t="shared" si="71"/>
        <v/>
      </c>
      <c r="G33" s="132">
        <v>0</v>
      </c>
      <c r="H33" s="132" t="str">
        <f t="shared" si="65"/>
        <v/>
      </c>
      <c r="I33" s="142">
        <v>6</v>
      </c>
      <c r="J33" s="133" t="str">
        <f t="shared" si="66"/>
        <v/>
      </c>
      <c r="K33" s="132"/>
      <c r="L33" s="142"/>
      <c r="M33" s="132"/>
      <c r="N33" s="378">
        <f t="shared" si="67"/>
        <v>0</v>
      </c>
      <c r="O33" s="135">
        <f t="shared" si="68"/>
        <v>0</v>
      </c>
      <c r="P33" s="369">
        <f t="shared" si="69"/>
        <v>42687.720776290043</v>
      </c>
      <c r="Q33" s="137">
        <f t="shared" si="72"/>
        <v>5.472784714908979</v>
      </c>
      <c r="R33" s="368">
        <f t="shared" si="70"/>
        <v>3.1452785717867697</v>
      </c>
      <c r="S33" s="136">
        <f t="shared" si="75"/>
        <v>0</v>
      </c>
      <c r="T33" s="368">
        <f t="shared" si="76"/>
        <v>0</v>
      </c>
      <c r="U33" s="137">
        <f t="shared" si="77"/>
        <v>0</v>
      </c>
      <c r="V33" s="379">
        <v>1</v>
      </c>
      <c r="W33" s="364">
        <v>1</v>
      </c>
      <c r="X33" s="141"/>
      <c r="Y33" s="140"/>
      <c r="Z33" s="2"/>
      <c r="AA33" s="2"/>
      <c r="AB33" s="2"/>
      <c r="AC33" s="2"/>
      <c r="AD33" s="2"/>
      <c r="AE33" s="2"/>
      <c r="AF33" s="2"/>
      <c r="AG33" s="2"/>
    </row>
    <row r="34" s="393" customFormat="1">
      <c r="A34" s="128">
        <v>10</v>
      </c>
      <c r="B34" s="129">
        <v>46003</v>
      </c>
      <c r="C34" s="168" t="s">
        <v>55</v>
      </c>
      <c r="D34" s="133">
        <v>54380</v>
      </c>
      <c r="E34" s="394">
        <v>6</v>
      </c>
      <c r="F34" s="132">
        <f t="shared" si="71"/>
        <v>9063.3333333333339</v>
      </c>
      <c r="G34" s="142">
        <v>4</v>
      </c>
      <c r="H34" s="132">
        <f t="shared" si="65"/>
        <v>13595</v>
      </c>
      <c r="I34" s="132">
        <v>13</v>
      </c>
      <c r="J34" s="377">
        <f t="shared" si="66"/>
        <v>1.5</v>
      </c>
      <c r="K34" s="132"/>
      <c r="L34" s="132"/>
      <c r="M34" s="142"/>
      <c r="N34" s="134">
        <f t="shared" si="67"/>
        <v>0.30769230769230771</v>
      </c>
      <c r="O34" s="367">
        <f t="shared" si="68"/>
        <v>1.2739026354905361</v>
      </c>
      <c r="P34" s="136">
        <f t="shared" si="69"/>
        <v>42687.720776290043</v>
      </c>
      <c r="Q34" s="368">
        <f t="shared" si="72"/>
        <v>5.472784714908979</v>
      </c>
      <c r="R34" s="137">
        <f t="shared" si="70"/>
        <v>3.1452785717867697</v>
      </c>
      <c r="S34" s="136">
        <f t="shared" si="75"/>
        <v>54380</v>
      </c>
      <c r="T34" s="137">
        <f t="shared" si="76"/>
        <v>6</v>
      </c>
      <c r="U34" s="368">
        <f t="shared" si="77"/>
        <v>4</v>
      </c>
      <c r="V34" s="364">
        <v>1</v>
      </c>
      <c r="W34" s="364">
        <v>1</v>
      </c>
      <c r="X34" s="141"/>
      <c r="Y34" s="140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>
      <c r="A35" s="128">
        <v>11</v>
      </c>
      <c r="B35" s="129">
        <v>46006</v>
      </c>
      <c r="C35" s="130" t="s">
        <v>50</v>
      </c>
      <c r="D35" s="133">
        <v>16868</v>
      </c>
      <c r="E35" s="130">
        <v>3</v>
      </c>
      <c r="F35" s="132">
        <f t="shared" si="71"/>
        <v>5622.666666666667</v>
      </c>
      <c r="G35" s="132">
        <v>3</v>
      </c>
      <c r="H35" s="132">
        <f t="shared" si="65"/>
        <v>5622.666666666667</v>
      </c>
      <c r="I35" s="132">
        <v>5</v>
      </c>
      <c r="J35" s="133">
        <f t="shared" si="66"/>
        <v>1</v>
      </c>
      <c r="K35" s="132"/>
      <c r="L35" s="132"/>
      <c r="M35" s="132"/>
      <c r="N35" s="378">
        <f t="shared" si="67"/>
        <v>0.59999999999999998</v>
      </c>
      <c r="O35" s="135">
        <f t="shared" si="68"/>
        <v>0.39514876159349693</v>
      </c>
      <c r="P35" s="369">
        <f t="shared" si="69"/>
        <v>42687.720776290043</v>
      </c>
      <c r="Q35" s="137">
        <f t="shared" si="72"/>
        <v>5.472784714908979</v>
      </c>
      <c r="R35" s="137">
        <f t="shared" si="70"/>
        <v>3.1452785717867697</v>
      </c>
      <c r="S35" s="136">
        <f t="shared" si="75"/>
        <v>16868</v>
      </c>
      <c r="T35" s="137">
        <f t="shared" ref="T35:T36" si="78">IF(W35&lt;&gt;"",IF(E34&lt;&gt;"",E34,($I$9-SUM($T$25:T34))*V35*W35/SUMPRODUCT($W35:$W$58,$V35:$V$58)),"")</f>
        <v>6</v>
      </c>
      <c r="U35" s="137">
        <f t="shared" si="77"/>
        <v>3</v>
      </c>
      <c r="V35" s="364">
        <v>1</v>
      </c>
      <c r="W35" s="364">
        <v>1</v>
      </c>
      <c r="X35" s="141"/>
      <c r="Y35" s="140"/>
      <c r="Z35" s="2"/>
      <c r="AA35" s="2"/>
      <c r="AB35" s="2"/>
      <c r="AC35" s="2"/>
      <c r="AD35" s="2"/>
      <c r="AE35" s="2"/>
      <c r="AF35" s="2"/>
      <c r="AG35" s="2"/>
    </row>
    <row r="36">
      <c r="A36" s="128">
        <v>11</v>
      </c>
      <c r="B36" s="129">
        <v>46007</v>
      </c>
      <c r="C36" s="168" t="s">
        <v>52</v>
      </c>
      <c r="D36" s="133">
        <v>0</v>
      </c>
      <c r="E36" s="130">
        <v>0</v>
      </c>
      <c r="F36" s="132" t="str">
        <f t="shared" si="71"/>
        <v/>
      </c>
      <c r="G36" s="132">
        <v>0</v>
      </c>
      <c r="H36" s="132" t="str">
        <f t="shared" si="65"/>
        <v/>
      </c>
      <c r="I36" s="142">
        <v>6</v>
      </c>
      <c r="J36" s="133" t="str">
        <f t="shared" si="66"/>
        <v/>
      </c>
      <c r="K36" s="132"/>
      <c r="L36" s="142"/>
      <c r="M36" s="132"/>
      <c r="N36" s="395">
        <f t="shared" si="67"/>
        <v>0</v>
      </c>
      <c r="O36" s="367">
        <f t="shared" si="68"/>
        <v>0</v>
      </c>
      <c r="P36" s="396">
        <f t="shared" si="69"/>
        <v>42687.720776290043</v>
      </c>
      <c r="Q36" s="137">
        <f t="shared" si="72"/>
        <v>5.472784714908979</v>
      </c>
      <c r="R36" s="137">
        <f t="shared" si="70"/>
        <v>3.1452785717867697</v>
      </c>
      <c r="S36" s="136">
        <f t="shared" si="75"/>
        <v>0</v>
      </c>
      <c r="T36" s="137">
        <f t="shared" si="78"/>
        <v>3</v>
      </c>
      <c r="U36" s="137">
        <f t="shared" si="77"/>
        <v>0</v>
      </c>
      <c r="V36" s="364">
        <v>1</v>
      </c>
      <c r="W36" s="364">
        <v>1</v>
      </c>
      <c r="X36" s="141"/>
      <c r="Y36" s="140"/>
      <c r="Z36" s="2"/>
      <c r="AA36" s="2"/>
      <c r="AB36" s="2"/>
      <c r="AC36" s="2"/>
      <c r="AD36" s="2"/>
      <c r="AE36" s="2"/>
      <c r="AF36" s="2"/>
      <c r="AG36" s="2"/>
    </row>
    <row r="37" s="159" customFormat="1">
      <c r="A37" s="145">
        <v>13</v>
      </c>
      <c r="B37" s="146">
        <v>46010</v>
      </c>
      <c r="C37" s="147" t="s">
        <v>55</v>
      </c>
      <c r="D37" s="150">
        <v>35548</v>
      </c>
      <c r="E37" s="149">
        <v>5</v>
      </c>
      <c r="F37" s="149">
        <f t="shared" si="71"/>
        <v>7109.6000000000004</v>
      </c>
      <c r="G37" s="149">
        <v>1</v>
      </c>
      <c r="H37" s="149">
        <f t="shared" si="65"/>
        <v>35548</v>
      </c>
      <c r="I37" s="149">
        <v>13</v>
      </c>
      <c r="J37" s="397">
        <f t="shared" si="66"/>
        <v>5</v>
      </c>
      <c r="K37" s="149">
        <v>9390</v>
      </c>
      <c r="L37" s="149"/>
      <c r="M37" s="371"/>
      <c r="N37" s="151">
        <f t="shared" si="67"/>
        <v>0.076923076923076927</v>
      </c>
      <c r="O37" s="152">
        <f t="shared" si="68"/>
        <v>1.0280806507116718</v>
      </c>
      <c r="P37" s="374">
        <f t="shared" si="69"/>
        <v>34577.053828794938</v>
      </c>
      <c r="Q37" s="154">
        <f t="shared" si="72"/>
        <v>4.4329556190762736</v>
      </c>
      <c r="R37" s="154">
        <f t="shared" si="70"/>
        <v>2.5476756431472838</v>
      </c>
      <c r="S37" s="153">
        <f t="shared" si="75"/>
        <v>35548</v>
      </c>
      <c r="T37" s="154">
        <f t="shared" ref="T37:T53" si="79">IF(W37&lt;&gt;"",IF(E37&lt;&gt;"",E37,($I$9-SUM($T$25:T36))*V37*W37/SUMPRODUCT($W37:$W$58,$V37:$V$58)),"")</f>
        <v>5</v>
      </c>
      <c r="U37" s="154">
        <f t="shared" si="77"/>
        <v>1</v>
      </c>
      <c r="V37" s="162">
        <v>0.90000000000000002</v>
      </c>
      <c r="W37" s="162">
        <v>0.90000000000000002</v>
      </c>
      <c r="X37" s="156"/>
      <c r="Y37" s="157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58"/>
      <c r="EC37" s="158"/>
      <c r="ED37" s="158"/>
      <c r="EE37" s="158"/>
      <c r="EF37" s="158"/>
      <c r="EG37" s="158"/>
      <c r="EH37" s="158"/>
      <c r="EI37" s="158"/>
      <c r="EJ37" s="158"/>
      <c r="EK37" s="158"/>
      <c r="EL37" s="158"/>
      <c r="EM37" s="158"/>
      <c r="EN37" s="158"/>
      <c r="EO37" s="158"/>
      <c r="EP37" s="158"/>
      <c r="EQ37" s="158"/>
      <c r="ER37" s="158"/>
      <c r="ES37" s="158"/>
      <c r="ET37" s="158"/>
      <c r="EU37" s="158"/>
      <c r="EV37" s="158"/>
      <c r="EW37" s="158"/>
      <c r="EX37" s="158"/>
      <c r="EY37" s="158"/>
      <c r="EZ37" s="158"/>
      <c r="FA37" s="158"/>
      <c r="FB37" s="158"/>
      <c r="FC37" s="158"/>
      <c r="FD37" s="158"/>
      <c r="FE37" s="158"/>
      <c r="FF37" s="158"/>
      <c r="FG37" s="158"/>
      <c r="FH37" s="158"/>
      <c r="FI37" s="158"/>
      <c r="FJ37" s="158"/>
      <c r="FK37" s="158"/>
      <c r="FL37" s="158"/>
      <c r="FM37" s="158"/>
      <c r="FN37" s="158"/>
      <c r="FO37" s="158"/>
      <c r="FP37" s="158"/>
      <c r="FQ37" s="158"/>
      <c r="FR37" s="158"/>
      <c r="FS37" s="158"/>
      <c r="FT37" s="158"/>
      <c r="FU37" s="158"/>
      <c r="FV37" s="158"/>
      <c r="FW37" s="158"/>
      <c r="FX37" s="158"/>
      <c r="FY37" s="158"/>
      <c r="FZ37" s="158"/>
      <c r="GA37" s="158"/>
      <c r="GB37" s="158"/>
      <c r="GC37" s="158"/>
      <c r="GD37" s="158"/>
      <c r="GE37" s="158"/>
      <c r="GF37" s="158"/>
      <c r="GG37" s="158"/>
      <c r="GH37" s="158"/>
      <c r="GI37" s="158"/>
      <c r="GJ37" s="158"/>
      <c r="GK37" s="158"/>
      <c r="GL37" s="158"/>
      <c r="GM37" s="158"/>
      <c r="GN37" s="158"/>
      <c r="GO37" s="158"/>
      <c r="GP37" s="158"/>
      <c r="GQ37" s="158"/>
      <c r="GR37" s="158"/>
      <c r="GS37" s="158"/>
      <c r="GT37" s="158"/>
      <c r="GU37" s="158"/>
      <c r="GV37" s="158"/>
      <c r="GW37" s="158"/>
      <c r="GX37" s="158"/>
      <c r="GY37" s="158"/>
      <c r="GZ37" s="158"/>
      <c r="HA37" s="158"/>
      <c r="HB37" s="158"/>
      <c r="HC37" s="158"/>
      <c r="HD37" s="158"/>
      <c r="HE37" s="158"/>
      <c r="HF37" s="158"/>
      <c r="HG37" s="158"/>
      <c r="HH37" s="158"/>
      <c r="HI37" s="158"/>
      <c r="HJ37" s="158"/>
      <c r="HK37" s="158"/>
      <c r="HL37" s="158"/>
      <c r="HM37" s="158"/>
      <c r="HN37" s="158"/>
      <c r="HO37" s="158"/>
      <c r="HP37" s="158"/>
      <c r="HQ37" s="158"/>
      <c r="HR37" s="158"/>
      <c r="HS37" s="158"/>
      <c r="HT37" s="158"/>
      <c r="HU37" s="158"/>
      <c r="HV37" s="158"/>
      <c r="HW37" s="158"/>
      <c r="HX37" s="158"/>
      <c r="HY37" s="158"/>
      <c r="HZ37" s="158"/>
      <c r="IA37" s="158"/>
      <c r="IB37" s="158"/>
      <c r="IC37" s="158"/>
      <c r="ID37" s="158"/>
      <c r="IE37" s="158"/>
      <c r="IF37" s="158"/>
      <c r="IG37" s="158"/>
      <c r="IH37" s="158"/>
      <c r="II37" s="158"/>
      <c r="IJ37" s="158"/>
      <c r="IK37" s="158"/>
      <c r="IL37" s="158"/>
      <c r="IM37" s="158"/>
      <c r="IN37" s="158"/>
      <c r="IO37" s="158"/>
      <c r="IP37" s="158"/>
      <c r="IQ37" s="158"/>
      <c r="IR37" s="158"/>
      <c r="IS37" s="158"/>
      <c r="IT37" s="158"/>
      <c r="IU37" s="158"/>
    </row>
    <row r="38" s="159" customFormat="1">
      <c r="A38" s="145">
        <v>14</v>
      </c>
      <c r="B38" s="146">
        <v>46011</v>
      </c>
      <c r="C38" s="370" t="s">
        <v>56</v>
      </c>
      <c r="D38" s="150">
        <v>21777</v>
      </c>
      <c r="E38" s="149">
        <v>3</v>
      </c>
      <c r="F38" s="149">
        <f t="shared" si="71"/>
        <v>7259</v>
      </c>
      <c r="G38" s="149">
        <v>2</v>
      </c>
      <c r="H38" s="149">
        <f t="shared" si="65"/>
        <v>10888.5</v>
      </c>
      <c r="I38" s="149">
        <v>18</v>
      </c>
      <c r="J38" s="150">
        <f t="shared" si="66"/>
        <v>1.5</v>
      </c>
      <c r="K38" s="371">
        <v>14484</v>
      </c>
      <c r="L38" s="149"/>
      <c r="M38" s="149"/>
      <c r="N38" s="375">
        <f t="shared" si="67"/>
        <v>0.1111111111111111</v>
      </c>
      <c r="O38" s="152">
        <f t="shared" si="68"/>
        <v>0.51014670270462315</v>
      </c>
      <c r="P38" s="153">
        <f t="shared" si="69"/>
        <v>42687.720776290043</v>
      </c>
      <c r="Q38" s="373">
        <f t="shared" si="72"/>
        <v>5.472784714908979</v>
      </c>
      <c r="R38" s="154">
        <f t="shared" si="70"/>
        <v>3.1452785717867697</v>
      </c>
      <c r="S38" s="153">
        <f t="shared" si="75"/>
        <v>21777</v>
      </c>
      <c r="T38" s="154">
        <f t="shared" si="79"/>
        <v>3</v>
      </c>
      <c r="U38" s="373">
        <f t="shared" si="77"/>
        <v>2</v>
      </c>
      <c r="V38" s="162">
        <v>1</v>
      </c>
      <c r="W38" s="162">
        <v>1</v>
      </c>
      <c r="X38" s="156"/>
      <c r="Y38" s="157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58"/>
      <c r="EC38" s="158"/>
      <c r="ED38" s="158"/>
      <c r="EE38" s="158"/>
      <c r="EF38" s="158"/>
      <c r="EG38" s="158"/>
      <c r="EH38" s="158"/>
      <c r="EI38" s="158"/>
      <c r="EJ38" s="158"/>
      <c r="EK38" s="158"/>
      <c r="EL38" s="158"/>
      <c r="EM38" s="158"/>
      <c r="EN38" s="158"/>
      <c r="EO38" s="158"/>
      <c r="EP38" s="158"/>
      <c r="EQ38" s="158"/>
      <c r="ER38" s="158"/>
      <c r="ES38" s="158"/>
      <c r="ET38" s="158"/>
      <c r="EU38" s="158"/>
      <c r="EV38" s="158"/>
      <c r="EW38" s="158"/>
      <c r="EX38" s="158"/>
      <c r="EY38" s="158"/>
      <c r="EZ38" s="158"/>
      <c r="FA38" s="158"/>
      <c r="FB38" s="158"/>
      <c r="FC38" s="158"/>
      <c r="FD38" s="158"/>
      <c r="FE38" s="158"/>
      <c r="FF38" s="158"/>
      <c r="FG38" s="158"/>
      <c r="FH38" s="158"/>
      <c r="FI38" s="158"/>
      <c r="FJ38" s="158"/>
      <c r="FK38" s="158"/>
      <c r="FL38" s="158"/>
      <c r="FM38" s="158"/>
      <c r="FN38" s="158"/>
      <c r="FO38" s="158"/>
      <c r="FP38" s="158"/>
      <c r="FQ38" s="158"/>
      <c r="FR38" s="158"/>
      <c r="FS38" s="158"/>
      <c r="FT38" s="158"/>
      <c r="FU38" s="158"/>
      <c r="FV38" s="158"/>
      <c r="FW38" s="158"/>
      <c r="FX38" s="158"/>
      <c r="FY38" s="158"/>
      <c r="FZ38" s="158"/>
      <c r="GA38" s="158"/>
      <c r="GB38" s="158"/>
      <c r="GC38" s="158"/>
      <c r="GD38" s="158"/>
      <c r="GE38" s="158"/>
      <c r="GF38" s="158"/>
      <c r="GG38" s="158"/>
      <c r="GH38" s="158"/>
      <c r="GI38" s="158"/>
      <c r="GJ38" s="158"/>
      <c r="GK38" s="158"/>
      <c r="GL38" s="158"/>
      <c r="GM38" s="158"/>
      <c r="GN38" s="158"/>
      <c r="GO38" s="158"/>
      <c r="GP38" s="158"/>
      <c r="GQ38" s="158"/>
      <c r="GR38" s="158"/>
      <c r="GS38" s="158"/>
      <c r="GT38" s="158"/>
      <c r="GU38" s="158"/>
      <c r="GV38" s="158"/>
      <c r="GW38" s="158"/>
      <c r="GX38" s="158"/>
      <c r="GY38" s="158"/>
      <c r="GZ38" s="158"/>
      <c r="HA38" s="158"/>
      <c r="HB38" s="158"/>
      <c r="HC38" s="158"/>
      <c r="HD38" s="158"/>
      <c r="HE38" s="158"/>
      <c r="HF38" s="158"/>
      <c r="HG38" s="158"/>
      <c r="HH38" s="158"/>
      <c r="HI38" s="158"/>
      <c r="HJ38" s="158"/>
      <c r="HK38" s="158"/>
      <c r="HL38" s="158"/>
      <c r="HM38" s="158"/>
      <c r="HN38" s="158"/>
      <c r="HO38" s="158"/>
      <c r="HP38" s="158"/>
      <c r="HQ38" s="158"/>
      <c r="HR38" s="158"/>
      <c r="HS38" s="158"/>
      <c r="HT38" s="158"/>
      <c r="HU38" s="158"/>
      <c r="HV38" s="158"/>
      <c r="HW38" s="158"/>
      <c r="HX38" s="158"/>
      <c r="HY38" s="158"/>
      <c r="HZ38" s="158"/>
      <c r="IA38" s="158"/>
      <c r="IB38" s="158"/>
      <c r="IC38" s="158"/>
      <c r="ID38" s="158"/>
      <c r="IE38" s="158"/>
      <c r="IF38" s="158"/>
      <c r="IG38" s="158"/>
      <c r="IH38" s="158"/>
      <c r="II38" s="158"/>
      <c r="IJ38" s="158"/>
      <c r="IK38" s="158"/>
      <c r="IL38" s="158"/>
      <c r="IM38" s="158"/>
      <c r="IN38" s="158"/>
      <c r="IO38" s="158"/>
      <c r="IP38" s="158"/>
      <c r="IQ38" s="158"/>
      <c r="IR38" s="158"/>
      <c r="IS38" s="158"/>
      <c r="IT38" s="158"/>
      <c r="IU38" s="158"/>
    </row>
    <row r="39" s="398" customFormat="1">
      <c r="A39" s="145">
        <v>15</v>
      </c>
      <c r="B39" s="146">
        <v>46012</v>
      </c>
      <c r="C39" s="147" t="s">
        <v>57</v>
      </c>
      <c r="D39" s="150">
        <v>28148</v>
      </c>
      <c r="E39" s="371">
        <v>3</v>
      </c>
      <c r="F39" s="149">
        <f t="shared" si="71"/>
        <v>9382.6666666666661</v>
      </c>
      <c r="G39" s="371">
        <v>2</v>
      </c>
      <c r="H39" s="149">
        <f t="shared" si="65"/>
        <v>14074</v>
      </c>
      <c r="I39" s="371">
        <v>15</v>
      </c>
      <c r="J39" s="150">
        <f t="shared" si="66"/>
        <v>1.5</v>
      </c>
      <c r="K39" s="149"/>
      <c r="L39" s="371"/>
      <c r="M39" s="149"/>
      <c r="N39" s="151">
        <f t="shared" si="67"/>
        <v>0.13333333333333333</v>
      </c>
      <c r="O39" s="372">
        <f t="shared" si="68"/>
        <v>0.6593933685874882</v>
      </c>
      <c r="P39" s="153">
        <f t="shared" si="69"/>
        <v>42687.720776290043</v>
      </c>
      <c r="Q39" s="154">
        <f t="shared" si="72"/>
        <v>5.472784714908979</v>
      </c>
      <c r="R39" s="373">
        <f t="shared" si="70"/>
        <v>3.1452785717867697</v>
      </c>
      <c r="S39" s="153">
        <f t="shared" si="75"/>
        <v>28148</v>
      </c>
      <c r="T39" s="373">
        <f t="shared" si="79"/>
        <v>3</v>
      </c>
      <c r="U39" s="154">
        <f t="shared" si="77"/>
        <v>2</v>
      </c>
      <c r="V39" s="162">
        <v>1</v>
      </c>
      <c r="W39" s="162">
        <v>1</v>
      </c>
      <c r="X39" s="156"/>
      <c r="Y39" s="157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58"/>
      <c r="EC39" s="158"/>
      <c r="ED39" s="158"/>
      <c r="EE39" s="158"/>
      <c r="EF39" s="158"/>
      <c r="EG39" s="158"/>
      <c r="EH39" s="158"/>
      <c r="EI39" s="158"/>
      <c r="EJ39" s="158"/>
      <c r="EK39" s="158"/>
      <c r="EL39" s="158"/>
      <c r="EM39" s="158"/>
      <c r="EN39" s="158"/>
      <c r="EO39" s="158"/>
      <c r="EP39" s="158"/>
      <c r="EQ39" s="158"/>
      <c r="ER39" s="158"/>
      <c r="ES39" s="158"/>
      <c r="ET39" s="158"/>
      <c r="EU39" s="158"/>
      <c r="EV39" s="158"/>
      <c r="EW39" s="158"/>
      <c r="EX39" s="158"/>
      <c r="EY39" s="158"/>
      <c r="EZ39" s="158"/>
      <c r="FA39" s="158"/>
      <c r="FB39" s="158"/>
      <c r="FC39" s="158"/>
      <c r="FD39" s="158"/>
      <c r="FE39" s="158"/>
      <c r="FF39" s="158"/>
      <c r="FG39" s="158"/>
      <c r="FH39" s="158"/>
      <c r="FI39" s="158"/>
      <c r="FJ39" s="158"/>
      <c r="FK39" s="158"/>
      <c r="FL39" s="158"/>
      <c r="FM39" s="158"/>
      <c r="FN39" s="158"/>
      <c r="FO39" s="158"/>
      <c r="FP39" s="158"/>
      <c r="FQ39" s="158"/>
      <c r="FR39" s="158"/>
      <c r="FS39" s="158"/>
      <c r="FT39" s="158"/>
      <c r="FU39" s="158"/>
      <c r="FV39" s="158"/>
      <c r="FW39" s="158"/>
      <c r="FX39" s="158"/>
      <c r="FY39" s="158"/>
      <c r="FZ39" s="158"/>
      <c r="GA39" s="158"/>
      <c r="GB39" s="158"/>
      <c r="GC39" s="158"/>
      <c r="GD39" s="158"/>
      <c r="GE39" s="158"/>
      <c r="GF39" s="158"/>
      <c r="GG39" s="158"/>
      <c r="GH39" s="158"/>
      <c r="GI39" s="158"/>
      <c r="GJ39" s="158"/>
      <c r="GK39" s="158"/>
      <c r="GL39" s="158"/>
      <c r="GM39" s="158"/>
      <c r="GN39" s="158"/>
      <c r="GO39" s="158"/>
      <c r="GP39" s="158"/>
      <c r="GQ39" s="158"/>
      <c r="GR39" s="158"/>
      <c r="GS39" s="158"/>
      <c r="GT39" s="158"/>
      <c r="GU39" s="158"/>
      <c r="GV39" s="158"/>
      <c r="GW39" s="158"/>
      <c r="GX39" s="158"/>
      <c r="GY39" s="158"/>
      <c r="GZ39" s="158"/>
      <c r="HA39" s="158"/>
      <c r="HB39" s="158"/>
      <c r="HC39" s="158"/>
      <c r="HD39" s="158"/>
      <c r="HE39" s="158"/>
      <c r="HF39" s="158"/>
      <c r="HG39" s="158"/>
      <c r="HH39" s="158"/>
      <c r="HI39" s="158"/>
      <c r="HJ39" s="158"/>
      <c r="HK39" s="158"/>
      <c r="HL39" s="158"/>
      <c r="HM39" s="158"/>
      <c r="HN39" s="158"/>
      <c r="HO39" s="158"/>
      <c r="HP39" s="158"/>
      <c r="HQ39" s="158"/>
      <c r="HR39" s="158"/>
      <c r="HS39" s="158"/>
      <c r="HT39" s="158"/>
      <c r="HU39" s="158"/>
      <c r="HV39" s="158"/>
      <c r="HW39" s="158"/>
      <c r="HX39" s="158"/>
      <c r="HY39" s="158"/>
      <c r="HZ39" s="158"/>
      <c r="IA39" s="158"/>
      <c r="IB39" s="158"/>
      <c r="IC39" s="158"/>
      <c r="ID39" s="158"/>
      <c r="IE39" s="158"/>
      <c r="IF39" s="158"/>
      <c r="IG39" s="158"/>
      <c r="IH39" s="158"/>
      <c r="II39" s="158"/>
      <c r="IJ39" s="158"/>
      <c r="IK39" s="158"/>
      <c r="IL39" s="158"/>
      <c r="IM39" s="158"/>
      <c r="IN39" s="158"/>
      <c r="IO39" s="158"/>
      <c r="IP39" s="158"/>
      <c r="IQ39" s="158"/>
      <c r="IR39" s="158"/>
      <c r="IS39" s="158"/>
      <c r="IT39" s="158"/>
      <c r="IU39" s="158"/>
    </row>
    <row r="40" s="398" customFormat="1">
      <c r="A40" s="145">
        <v>16</v>
      </c>
      <c r="B40" s="146">
        <v>46013</v>
      </c>
      <c r="C40" s="370" t="s">
        <v>50</v>
      </c>
      <c r="D40" s="150">
        <v>16375</v>
      </c>
      <c r="E40" s="149">
        <v>3</v>
      </c>
      <c r="F40" s="371">
        <f t="shared" si="71"/>
        <v>5458.333333333333</v>
      </c>
      <c r="G40" s="149">
        <v>1</v>
      </c>
      <c r="H40" s="371">
        <f t="shared" si="65"/>
        <v>16375</v>
      </c>
      <c r="I40" s="149">
        <v>20</v>
      </c>
      <c r="J40" s="397">
        <f t="shared" si="66"/>
        <v>3</v>
      </c>
      <c r="K40" s="149"/>
      <c r="L40" s="149"/>
      <c r="M40" s="371"/>
      <c r="N40" s="151">
        <f t="shared" si="67"/>
        <v>0.050000000000000003</v>
      </c>
      <c r="O40" s="152">
        <f t="shared" si="68"/>
        <v>0.383599773007678</v>
      </c>
      <c r="P40" s="374">
        <f t="shared" si="69"/>
        <v>42687.720776290043</v>
      </c>
      <c r="Q40" s="154">
        <f t="shared" si="72"/>
        <v>5.472784714908979</v>
      </c>
      <c r="R40" s="154">
        <f t="shared" si="70"/>
        <v>3.1452785717867697</v>
      </c>
      <c r="S40" s="153">
        <f t="shared" si="75"/>
        <v>16375</v>
      </c>
      <c r="T40" s="154">
        <f t="shared" si="79"/>
        <v>3</v>
      </c>
      <c r="U40" s="154">
        <f t="shared" si="77"/>
        <v>1</v>
      </c>
      <c r="V40" s="162">
        <v>1</v>
      </c>
      <c r="W40" s="162">
        <v>1</v>
      </c>
      <c r="X40" s="156"/>
      <c r="Y40" s="157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58"/>
      <c r="EC40" s="158"/>
      <c r="ED40" s="158"/>
      <c r="EE40" s="158"/>
      <c r="EF40" s="158"/>
      <c r="EG40" s="158"/>
      <c r="EH40" s="158"/>
      <c r="EI40" s="158"/>
      <c r="EJ40" s="158"/>
      <c r="EK40" s="158"/>
      <c r="EL40" s="158"/>
      <c r="EM40" s="158"/>
      <c r="EN40" s="158"/>
      <c r="EO40" s="158"/>
      <c r="EP40" s="158"/>
      <c r="EQ40" s="158"/>
      <c r="ER40" s="158"/>
      <c r="ES40" s="158"/>
      <c r="ET40" s="158"/>
      <c r="EU40" s="158"/>
      <c r="EV40" s="158"/>
      <c r="EW40" s="158"/>
      <c r="EX40" s="158"/>
      <c r="EY40" s="158"/>
      <c r="EZ40" s="158"/>
      <c r="FA40" s="158"/>
      <c r="FB40" s="158"/>
      <c r="FC40" s="158"/>
      <c r="FD40" s="158"/>
      <c r="FE40" s="158"/>
      <c r="FF40" s="158"/>
      <c r="FG40" s="158"/>
      <c r="FH40" s="158"/>
      <c r="FI40" s="158"/>
      <c r="FJ40" s="158"/>
      <c r="FK40" s="158"/>
      <c r="FL40" s="158"/>
      <c r="FM40" s="158"/>
      <c r="FN40" s="158"/>
      <c r="FO40" s="158"/>
      <c r="FP40" s="158"/>
      <c r="FQ40" s="158"/>
      <c r="FR40" s="158"/>
      <c r="FS40" s="158"/>
      <c r="FT40" s="158"/>
      <c r="FU40" s="158"/>
      <c r="FV40" s="158"/>
      <c r="FW40" s="158"/>
      <c r="FX40" s="158"/>
      <c r="FY40" s="158"/>
      <c r="FZ40" s="158"/>
      <c r="GA40" s="158"/>
      <c r="GB40" s="158"/>
      <c r="GC40" s="158"/>
      <c r="GD40" s="158"/>
      <c r="GE40" s="158"/>
      <c r="GF40" s="158"/>
      <c r="GG40" s="158"/>
      <c r="GH40" s="158"/>
      <c r="GI40" s="158"/>
      <c r="GJ40" s="158"/>
      <c r="GK40" s="158"/>
      <c r="GL40" s="158"/>
      <c r="GM40" s="158"/>
      <c r="GN40" s="158"/>
      <c r="GO40" s="158"/>
      <c r="GP40" s="158"/>
      <c r="GQ40" s="158"/>
      <c r="GR40" s="158"/>
      <c r="GS40" s="158"/>
      <c r="GT40" s="158"/>
      <c r="GU40" s="158"/>
      <c r="GV40" s="158"/>
      <c r="GW40" s="158"/>
      <c r="GX40" s="158"/>
      <c r="GY40" s="158"/>
      <c r="GZ40" s="158"/>
      <c r="HA40" s="158"/>
      <c r="HB40" s="158"/>
      <c r="HC40" s="158"/>
      <c r="HD40" s="158"/>
      <c r="HE40" s="158"/>
      <c r="HF40" s="158"/>
      <c r="HG40" s="158"/>
      <c r="HH40" s="158"/>
      <c r="HI40" s="158"/>
      <c r="HJ40" s="158"/>
      <c r="HK40" s="158"/>
      <c r="HL40" s="158"/>
      <c r="HM40" s="158"/>
      <c r="HN40" s="158"/>
      <c r="HO40" s="158"/>
      <c r="HP40" s="158"/>
      <c r="HQ40" s="158"/>
      <c r="HR40" s="158"/>
      <c r="HS40" s="158"/>
      <c r="HT40" s="158"/>
      <c r="HU40" s="158"/>
      <c r="HV40" s="158"/>
      <c r="HW40" s="158"/>
      <c r="HX40" s="158"/>
      <c r="HY40" s="158"/>
      <c r="HZ40" s="158"/>
      <c r="IA40" s="158"/>
      <c r="IB40" s="158"/>
      <c r="IC40" s="158"/>
      <c r="ID40" s="158"/>
      <c r="IE40" s="158"/>
      <c r="IF40" s="158"/>
      <c r="IG40" s="158"/>
      <c r="IH40" s="158"/>
      <c r="II40" s="158"/>
      <c r="IJ40" s="158"/>
      <c r="IK40" s="158"/>
      <c r="IL40" s="158"/>
      <c r="IM40" s="158"/>
      <c r="IN40" s="158"/>
      <c r="IO40" s="158"/>
      <c r="IP40" s="158"/>
      <c r="IQ40" s="158"/>
      <c r="IR40" s="158"/>
      <c r="IS40" s="158"/>
      <c r="IT40" s="158"/>
      <c r="IU40" s="158"/>
    </row>
    <row r="41" s="398" customFormat="1">
      <c r="A41" s="145">
        <v>17</v>
      </c>
      <c r="B41" s="146">
        <v>46014</v>
      </c>
      <c r="C41" s="147" t="s">
        <v>52</v>
      </c>
      <c r="D41" s="397"/>
      <c r="E41" s="149"/>
      <c r="F41" s="149" t="str">
        <f t="shared" si="71"/>
        <v/>
      </c>
      <c r="G41" s="371"/>
      <c r="H41" s="149" t="str">
        <f t="shared" si="65"/>
        <v/>
      </c>
      <c r="I41" s="371">
        <v>10</v>
      </c>
      <c r="J41" s="150" t="str">
        <f t="shared" si="66"/>
        <v/>
      </c>
      <c r="K41" s="371"/>
      <c r="L41" s="149"/>
      <c r="M41" s="149"/>
      <c r="N41" s="375">
        <f t="shared" si="67"/>
        <v>0</v>
      </c>
      <c r="O41" s="152">
        <f t="shared" si="68"/>
        <v>0</v>
      </c>
      <c r="P41" s="153">
        <f t="shared" si="69"/>
        <v>42687.720776290043</v>
      </c>
      <c r="Q41" s="154">
        <f t="shared" si="72"/>
        <v>5.472784714908979</v>
      </c>
      <c r="R41" s="154">
        <f t="shared" si="70"/>
        <v>3.1452785717867697</v>
      </c>
      <c r="S41" s="153">
        <f t="shared" si="75"/>
        <v>75701.62915601024</v>
      </c>
      <c r="T41" s="154">
        <f t="shared" si="79"/>
        <v>9.4457971014492745</v>
      </c>
      <c r="U41" s="154">
        <f t="shared" si="77"/>
        <v>5.6675191815856776</v>
      </c>
      <c r="V41" s="162">
        <v>1</v>
      </c>
      <c r="W41" s="162">
        <v>1</v>
      </c>
      <c r="X41" s="156"/>
      <c r="Y41" s="157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8"/>
      <c r="CM41" s="158"/>
      <c r="CN41" s="158"/>
      <c r="CO41" s="158"/>
      <c r="CP41" s="158"/>
      <c r="CQ41" s="158"/>
      <c r="CR41" s="158"/>
      <c r="CS41" s="158"/>
      <c r="CT41" s="158"/>
      <c r="CU41" s="158"/>
      <c r="CV41" s="158"/>
      <c r="CW41" s="158"/>
      <c r="CX41" s="158"/>
      <c r="CY41" s="158"/>
      <c r="CZ41" s="158"/>
      <c r="DA41" s="158"/>
      <c r="DB41" s="158"/>
      <c r="DC41" s="158"/>
      <c r="DD41" s="158"/>
      <c r="DE41" s="158"/>
      <c r="DF41" s="158"/>
      <c r="DG41" s="158"/>
      <c r="DH41" s="158"/>
      <c r="DI41" s="158"/>
      <c r="DJ41" s="158"/>
      <c r="DK41" s="158"/>
      <c r="DL41" s="158"/>
      <c r="DM41" s="158"/>
      <c r="DN41" s="158"/>
      <c r="DO41" s="158"/>
      <c r="DP41" s="158"/>
      <c r="DQ41" s="158"/>
      <c r="DR41" s="158"/>
      <c r="DS41" s="158"/>
      <c r="DT41" s="158"/>
      <c r="DU41" s="158"/>
      <c r="DV41" s="158"/>
      <c r="DW41" s="158"/>
      <c r="DX41" s="158"/>
      <c r="DY41" s="158"/>
      <c r="DZ41" s="158"/>
      <c r="EA41" s="158"/>
      <c r="EB41" s="158"/>
      <c r="EC41" s="158"/>
      <c r="ED41" s="158"/>
      <c r="EE41" s="158"/>
      <c r="EF41" s="158"/>
      <c r="EG41" s="158"/>
      <c r="EH41" s="158"/>
      <c r="EI41" s="158"/>
      <c r="EJ41" s="158"/>
      <c r="EK41" s="158"/>
      <c r="EL41" s="158"/>
      <c r="EM41" s="158"/>
      <c r="EN41" s="158"/>
      <c r="EO41" s="158"/>
      <c r="EP41" s="158"/>
      <c r="EQ41" s="158"/>
      <c r="ER41" s="158"/>
      <c r="ES41" s="158"/>
      <c r="ET41" s="158"/>
      <c r="EU41" s="158"/>
      <c r="EV41" s="158"/>
      <c r="EW41" s="158"/>
      <c r="EX41" s="158"/>
      <c r="EY41" s="158"/>
      <c r="EZ41" s="158"/>
      <c r="FA41" s="158"/>
      <c r="FB41" s="158"/>
      <c r="FC41" s="158"/>
      <c r="FD41" s="158"/>
      <c r="FE41" s="158"/>
      <c r="FF41" s="158"/>
      <c r="FG41" s="158"/>
      <c r="FH41" s="158"/>
      <c r="FI41" s="158"/>
      <c r="FJ41" s="158"/>
      <c r="FK41" s="158"/>
      <c r="FL41" s="158"/>
      <c r="FM41" s="158"/>
      <c r="FN41" s="158"/>
      <c r="FO41" s="158"/>
      <c r="FP41" s="158"/>
      <c r="FQ41" s="158"/>
      <c r="FR41" s="158"/>
      <c r="FS41" s="158"/>
      <c r="FT41" s="158"/>
      <c r="FU41" s="158"/>
      <c r="FV41" s="158"/>
      <c r="FW41" s="158"/>
      <c r="FX41" s="158"/>
      <c r="FY41" s="158"/>
      <c r="FZ41" s="158"/>
      <c r="GA41" s="158"/>
      <c r="GB41" s="158"/>
      <c r="GC41" s="158"/>
      <c r="GD41" s="158"/>
      <c r="GE41" s="158"/>
      <c r="GF41" s="158"/>
      <c r="GG41" s="158"/>
      <c r="GH41" s="158"/>
      <c r="GI41" s="158"/>
      <c r="GJ41" s="158"/>
      <c r="GK41" s="158"/>
      <c r="GL41" s="158"/>
      <c r="GM41" s="158"/>
      <c r="GN41" s="158"/>
      <c r="GO41" s="158"/>
      <c r="GP41" s="158"/>
      <c r="GQ41" s="158"/>
      <c r="GR41" s="158"/>
      <c r="GS41" s="158"/>
      <c r="GT41" s="158"/>
      <c r="GU41" s="158"/>
      <c r="GV41" s="158"/>
      <c r="GW41" s="158"/>
      <c r="GX41" s="158"/>
      <c r="GY41" s="158"/>
      <c r="GZ41" s="158"/>
      <c r="HA41" s="158"/>
      <c r="HB41" s="158"/>
      <c r="HC41" s="158"/>
      <c r="HD41" s="158"/>
      <c r="HE41" s="158"/>
      <c r="HF41" s="158"/>
      <c r="HG41" s="158"/>
      <c r="HH41" s="158"/>
      <c r="HI41" s="158"/>
      <c r="HJ41" s="158"/>
      <c r="HK41" s="158"/>
      <c r="HL41" s="158"/>
      <c r="HM41" s="158"/>
      <c r="HN41" s="158"/>
      <c r="HO41" s="158"/>
      <c r="HP41" s="158"/>
      <c r="HQ41" s="158"/>
      <c r="HR41" s="158"/>
      <c r="HS41" s="158"/>
      <c r="HT41" s="158"/>
      <c r="HU41" s="158"/>
      <c r="HV41" s="158"/>
      <c r="HW41" s="158"/>
      <c r="HX41" s="158"/>
      <c r="HY41" s="158"/>
      <c r="HZ41" s="158"/>
      <c r="IA41" s="158"/>
      <c r="IB41" s="158"/>
      <c r="IC41" s="158"/>
      <c r="ID41" s="158"/>
      <c r="IE41" s="158"/>
      <c r="IF41" s="158"/>
      <c r="IG41" s="158"/>
      <c r="IH41" s="158"/>
      <c r="II41" s="158"/>
      <c r="IJ41" s="158"/>
      <c r="IK41" s="158"/>
      <c r="IL41" s="158"/>
      <c r="IM41" s="158"/>
      <c r="IN41" s="158"/>
      <c r="IO41" s="158"/>
      <c r="IP41" s="158"/>
      <c r="IQ41" s="158"/>
      <c r="IR41" s="158"/>
      <c r="IS41" s="158"/>
      <c r="IT41" s="158"/>
      <c r="IU41" s="158"/>
    </row>
    <row r="42">
      <c r="A42" s="128">
        <v>18</v>
      </c>
      <c r="B42" s="129">
        <v>46015</v>
      </c>
      <c r="C42" s="130" t="s">
        <v>53</v>
      </c>
      <c r="D42" s="133"/>
      <c r="E42" s="132"/>
      <c r="F42" s="132" t="str">
        <f t="shared" si="71"/>
        <v/>
      </c>
      <c r="G42" s="132"/>
      <c r="H42" s="132" t="str">
        <f t="shared" si="65"/>
        <v/>
      </c>
      <c r="I42" s="132"/>
      <c r="J42" s="133" t="str">
        <f t="shared" si="66"/>
        <v/>
      </c>
      <c r="K42" s="132"/>
      <c r="L42" s="132"/>
      <c r="M42" s="132"/>
      <c r="N42" s="134" t="str">
        <f t="shared" si="67"/>
        <v/>
      </c>
      <c r="O42" s="367" t="e">
        <f t="shared" si="68"/>
        <v>#DIV/0!</v>
      </c>
      <c r="P42" s="136">
        <f t="shared" si="69"/>
        <v>0</v>
      </c>
      <c r="Q42" s="137">
        <f t="shared" si="72"/>
        <v>0</v>
      </c>
      <c r="R42" s="137">
        <f t="shared" si="70"/>
        <v>0</v>
      </c>
      <c r="S42" s="136" t="str">
        <f t="shared" si="75"/>
        <v/>
      </c>
      <c r="T42" s="137" t="str">
        <f t="shared" si="79"/>
        <v/>
      </c>
      <c r="U42" s="137" t="str">
        <f t="shared" si="77"/>
        <v/>
      </c>
      <c r="V42" s="364"/>
      <c r="W42" s="364"/>
      <c r="X42" s="141"/>
      <c r="Y42" s="140"/>
      <c r="Z42" s="376"/>
      <c r="AA42" s="2"/>
      <c r="AB42" s="2"/>
      <c r="AC42" s="2"/>
      <c r="AD42" s="2"/>
      <c r="AE42" s="2"/>
      <c r="AF42" s="2"/>
      <c r="AG42" s="2"/>
    </row>
    <row r="43" s="398" customFormat="1">
      <c r="A43" s="145">
        <v>18</v>
      </c>
      <c r="B43" s="146">
        <v>46016</v>
      </c>
      <c r="C43" s="399" t="s">
        <v>54</v>
      </c>
      <c r="D43" s="400"/>
      <c r="E43" s="371"/>
      <c r="F43" s="401" t="str">
        <f t="shared" si="71"/>
        <v/>
      </c>
      <c r="G43" s="401"/>
      <c r="H43" s="371" t="str">
        <f t="shared" si="65"/>
        <v/>
      </c>
      <c r="I43" s="401">
        <v>4</v>
      </c>
      <c r="J43" s="397" t="str">
        <f t="shared" si="66"/>
        <v/>
      </c>
      <c r="K43" s="401"/>
      <c r="L43" s="371"/>
      <c r="M43" s="401"/>
      <c r="N43" s="151">
        <f t="shared" si="67"/>
        <v>0</v>
      </c>
      <c r="O43" s="372">
        <f t="shared" si="68"/>
        <v>0</v>
      </c>
      <c r="P43" s="153">
        <f t="shared" si="69"/>
        <v>42687.720776290043</v>
      </c>
      <c r="Q43" s="154">
        <f t="shared" si="72"/>
        <v>5.472784714908979</v>
      </c>
      <c r="R43" s="154">
        <f t="shared" si="70"/>
        <v>3.1452785717867697</v>
      </c>
      <c r="S43" s="153">
        <f t="shared" si="75"/>
        <v>75701.62915601024</v>
      </c>
      <c r="T43" s="154">
        <f t="shared" si="79"/>
        <v>9.4457971014492745</v>
      </c>
      <c r="U43" s="154">
        <f t="shared" si="77"/>
        <v>5.6675191815856785</v>
      </c>
      <c r="V43" s="162">
        <v>1</v>
      </c>
      <c r="W43" s="162">
        <v>1</v>
      </c>
      <c r="X43" s="156"/>
      <c r="Y43" s="157"/>
      <c r="Z43" s="163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  <c r="DA43" s="158"/>
      <c r="DB43" s="158"/>
      <c r="DC43" s="158"/>
      <c r="DD43" s="158"/>
      <c r="DE43" s="158"/>
      <c r="DF43" s="158"/>
      <c r="DG43" s="158"/>
      <c r="DH43" s="158"/>
      <c r="DI43" s="158"/>
      <c r="DJ43" s="158"/>
      <c r="DK43" s="158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8"/>
      <c r="DX43" s="158"/>
      <c r="DY43" s="158"/>
      <c r="DZ43" s="158"/>
      <c r="EA43" s="158"/>
      <c r="EB43" s="158"/>
      <c r="EC43" s="158"/>
      <c r="ED43" s="158"/>
      <c r="EE43" s="158"/>
      <c r="EF43" s="158"/>
      <c r="EG43" s="158"/>
      <c r="EH43" s="158"/>
      <c r="EI43" s="158"/>
      <c r="EJ43" s="158"/>
      <c r="EK43" s="158"/>
      <c r="EL43" s="158"/>
      <c r="EM43" s="158"/>
      <c r="EN43" s="158"/>
      <c r="EO43" s="158"/>
      <c r="EP43" s="158"/>
      <c r="EQ43" s="158"/>
      <c r="ER43" s="158"/>
      <c r="ES43" s="158"/>
      <c r="ET43" s="158"/>
      <c r="EU43" s="158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8"/>
      <c r="FH43" s="158"/>
      <c r="FI43" s="158"/>
      <c r="FJ43" s="158"/>
      <c r="FK43" s="158"/>
      <c r="FL43" s="158"/>
      <c r="FM43" s="158"/>
      <c r="FN43" s="158"/>
      <c r="FO43" s="158"/>
      <c r="FP43" s="158"/>
      <c r="FQ43" s="158"/>
      <c r="FR43" s="158"/>
      <c r="FS43" s="158"/>
      <c r="FT43" s="158"/>
      <c r="FU43" s="158"/>
      <c r="FV43" s="158"/>
      <c r="FW43" s="158"/>
      <c r="FX43" s="158"/>
      <c r="FY43" s="158"/>
      <c r="FZ43" s="158"/>
      <c r="GA43" s="158"/>
      <c r="GB43" s="158"/>
      <c r="GC43" s="158"/>
      <c r="GD43" s="158"/>
      <c r="GE43" s="158"/>
      <c r="GF43" s="158"/>
      <c r="GG43" s="158"/>
      <c r="GH43" s="158"/>
      <c r="GI43" s="158"/>
      <c r="GJ43" s="158"/>
      <c r="GK43" s="158"/>
      <c r="GL43" s="158"/>
      <c r="GM43" s="158"/>
      <c r="GN43" s="158"/>
      <c r="GO43" s="158"/>
      <c r="GP43" s="158"/>
      <c r="GQ43" s="158"/>
      <c r="GR43" s="158"/>
      <c r="GS43" s="158"/>
      <c r="GT43" s="158"/>
      <c r="GU43" s="158"/>
      <c r="GV43" s="158"/>
      <c r="GW43" s="158"/>
      <c r="GX43" s="158"/>
      <c r="GY43" s="158"/>
      <c r="GZ43" s="158"/>
      <c r="HA43" s="158"/>
      <c r="HB43" s="158"/>
      <c r="HC43" s="158"/>
      <c r="HD43" s="158"/>
      <c r="HE43" s="158"/>
      <c r="HF43" s="158"/>
      <c r="HG43" s="158"/>
      <c r="HH43" s="158"/>
      <c r="HI43" s="158"/>
      <c r="HJ43" s="158"/>
      <c r="HK43" s="158"/>
      <c r="HL43" s="158"/>
      <c r="HM43" s="158"/>
      <c r="HN43" s="158"/>
      <c r="HO43" s="158"/>
      <c r="HP43" s="158"/>
      <c r="HQ43" s="158"/>
      <c r="HR43" s="158"/>
      <c r="HS43" s="158"/>
      <c r="HT43" s="158"/>
      <c r="HU43" s="158"/>
      <c r="HV43" s="158"/>
      <c r="HW43" s="158"/>
      <c r="HX43" s="158"/>
      <c r="HY43" s="158"/>
      <c r="HZ43" s="158"/>
      <c r="IA43" s="158"/>
      <c r="IB43" s="158"/>
      <c r="IC43" s="158"/>
      <c r="ID43" s="158"/>
      <c r="IE43" s="158"/>
      <c r="IF43" s="158"/>
      <c r="IG43" s="158"/>
      <c r="IH43" s="158"/>
      <c r="II43" s="158"/>
      <c r="IJ43" s="158"/>
      <c r="IK43" s="158"/>
      <c r="IL43" s="158"/>
      <c r="IM43" s="158"/>
      <c r="IN43" s="158"/>
      <c r="IO43" s="158"/>
      <c r="IP43" s="158"/>
      <c r="IQ43" s="158"/>
      <c r="IR43" s="158"/>
      <c r="IS43" s="158"/>
      <c r="IT43" s="158"/>
      <c r="IU43" s="158"/>
    </row>
    <row r="44" s="398" customFormat="1" ht="15" customHeight="1">
      <c r="A44" s="145">
        <v>19</v>
      </c>
      <c r="B44" s="146">
        <v>46017</v>
      </c>
      <c r="C44" s="147" t="s">
        <v>55</v>
      </c>
      <c r="D44" s="150">
        <v>30584</v>
      </c>
      <c r="E44" s="149">
        <v>3</v>
      </c>
      <c r="F44" s="149">
        <f t="shared" si="71"/>
        <v>10194.666666666666</v>
      </c>
      <c r="G44" s="149">
        <v>2</v>
      </c>
      <c r="H44" s="149">
        <f t="shared" si="65"/>
        <v>15292</v>
      </c>
      <c r="I44" s="149">
        <v>5</v>
      </c>
      <c r="J44" s="150">
        <f t="shared" si="66"/>
        <v>1.5</v>
      </c>
      <c r="K44" s="149"/>
      <c r="L44" s="149"/>
      <c r="M44" s="149">
        <v>15100</v>
      </c>
      <c r="N44" s="151">
        <f t="shared" si="67"/>
        <v>0.40000000000000002</v>
      </c>
      <c r="O44" s="152">
        <f t="shared" si="68"/>
        <v>0.49754094392140902</v>
      </c>
      <c r="P44" s="374">
        <f t="shared" si="69"/>
        <v>61470.317917857654</v>
      </c>
      <c r="Q44" s="154">
        <f t="shared" si="72"/>
        <v>7.8808099894689292</v>
      </c>
      <c r="R44" s="154">
        <f t="shared" si="70"/>
        <v>4.5292011433729478</v>
      </c>
      <c r="S44" s="153">
        <f t="shared" si="75"/>
        <v>30584</v>
      </c>
      <c r="T44" s="154">
        <f t="shared" si="79"/>
        <v>3</v>
      </c>
      <c r="U44" s="154">
        <f t="shared" si="77"/>
        <v>2</v>
      </c>
      <c r="V44" s="162">
        <v>1.2</v>
      </c>
      <c r="W44" s="162">
        <v>1.2</v>
      </c>
      <c r="X44" s="156"/>
      <c r="Y44" s="157"/>
      <c r="Z44" s="163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  <c r="EO44" s="158"/>
      <c r="EP44" s="158"/>
      <c r="EQ44" s="158"/>
      <c r="ER44" s="158"/>
      <c r="ES44" s="158"/>
      <c r="ET44" s="158"/>
      <c r="EU44" s="158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158"/>
      <c r="GG44" s="158"/>
      <c r="GH44" s="158"/>
      <c r="GI44" s="158"/>
      <c r="GJ44" s="158"/>
      <c r="GK44" s="158"/>
      <c r="GL44" s="158"/>
      <c r="GM44" s="158"/>
      <c r="GN44" s="158"/>
      <c r="GO44" s="158"/>
      <c r="GP44" s="158"/>
      <c r="GQ44" s="158"/>
      <c r="GR44" s="158"/>
      <c r="GS44" s="158"/>
      <c r="GT44" s="158"/>
      <c r="GU44" s="158"/>
      <c r="GV44" s="158"/>
      <c r="GW44" s="158"/>
      <c r="GX44" s="158"/>
      <c r="GY44" s="158"/>
      <c r="GZ44" s="158"/>
      <c r="HA44" s="158"/>
      <c r="HB44" s="158"/>
      <c r="HC44" s="158"/>
      <c r="HD44" s="158"/>
      <c r="HE44" s="158"/>
      <c r="HF44" s="158"/>
      <c r="HG44" s="158"/>
      <c r="HH44" s="158"/>
      <c r="HI44" s="158"/>
      <c r="HJ44" s="158"/>
      <c r="HK44" s="158"/>
      <c r="HL44" s="158"/>
      <c r="HM44" s="158"/>
      <c r="HN44" s="158"/>
      <c r="HO44" s="158"/>
      <c r="HP44" s="158"/>
      <c r="HQ44" s="158"/>
      <c r="HR44" s="158"/>
      <c r="HS44" s="158"/>
      <c r="HT44" s="158"/>
      <c r="HU44" s="158"/>
      <c r="HV44" s="158"/>
      <c r="HW44" s="158"/>
      <c r="HX44" s="158"/>
      <c r="HY44" s="158"/>
      <c r="HZ44" s="158"/>
      <c r="IA44" s="158"/>
      <c r="IB44" s="158"/>
      <c r="IC44" s="158"/>
      <c r="ID44" s="158"/>
      <c r="IE44" s="158"/>
      <c r="IF44" s="158"/>
      <c r="IG44" s="158"/>
      <c r="IH44" s="158"/>
      <c r="II44" s="158"/>
      <c r="IJ44" s="158"/>
      <c r="IK44" s="158"/>
      <c r="IL44" s="158"/>
      <c r="IM44" s="158"/>
      <c r="IN44" s="158"/>
      <c r="IO44" s="158"/>
      <c r="IP44" s="158"/>
      <c r="IQ44" s="158"/>
      <c r="IR44" s="158"/>
      <c r="IS44" s="158"/>
      <c r="IT44" s="158"/>
      <c r="IU44" s="158"/>
    </row>
    <row r="45" s="398" customFormat="1" ht="15" customHeight="1">
      <c r="A45" s="145">
        <v>20</v>
      </c>
      <c r="B45" s="146">
        <v>46018</v>
      </c>
      <c r="C45" s="147" t="s">
        <v>56</v>
      </c>
      <c r="D45" s="150">
        <f>18990+8390+46546</f>
        <v>73926</v>
      </c>
      <c r="E45" s="149">
        <v>9</v>
      </c>
      <c r="F45" s="149">
        <f t="shared" si="71"/>
        <v>8214</v>
      </c>
      <c r="G45" s="149">
        <v>4</v>
      </c>
      <c r="H45" s="149">
        <f t="shared" si="65"/>
        <v>18481.5</v>
      </c>
      <c r="I45" s="149">
        <v>12</v>
      </c>
      <c r="J45" s="150">
        <f t="shared" si="66"/>
        <v>2.25</v>
      </c>
      <c r="K45" s="149">
        <v>18990</v>
      </c>
      <c r="L45" s="149"/>
      <c r="M45" s="149">
        <v>8390</v>
      </c>
      <c r="N45" s="151">
        <f t="shared" si="67"/>
        <v>0.33333333333333331</v>
      </c>
      <c r="O45" s="152">
        <f t="shared" si="68"/>
        <v>1.2026292120172013</v>
      </c>
      <c r="P45" s="153">
        <f t="shared" si="69"/>
        <v>61470.317917857654</v>
      </c>
      <c r="Q45" s="154">
        <f t="shared" si="72"/>
        <v>7.8808099894689292</v>
      </c>
      <c r="R45" s="154">
        <f t="shared" si="70"/>
        <v>4.5292011433729478</v>
      </c>
      <c r="S45" s="153">
        <f t="shared" si="75"/>
        <v>73926</v>
      </c>
      <c r="T45" s="154">
        <f t="shared" si="79"/>
        <v>9</v>
      </c>
      <c r="U45" s="154">
        <f t="shared" si="77"/>
        <v>4</v>
      </c>
      <c r="V45" s="162">
        <v>1.2</v>
      </c>
      <c r="W45" s="162">
        <v>1.2</v>
      </c>
      <c r="X45" s="156"/>
      <c r="Y45" s="157"/>
      <c r="Z45" s="163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  <c r="DJ45" s="158"/>
      <c r="DK45" s="158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8"/>
      <c r="DX45" s="158"/>
      <c r="DY45" s="158"/>
      <c r="DZ45" s="158"/>
      <c r="EA45" s="158"/>
      <c r="EB45" s="158"/>
      <c r="EC45" s="158"/>
      <c r="ED45" s="158"/>
      <c r="EE45" s="158"/>
      <c r="EF45" s="158"/>
      <c r="EG45" s="158"/>
      <c r="EH45" s="158"/>
      <c r="EI45" s="158"/>
      <c r="EJ45" s="158"/>
      <c r="EK45" s="158"/>
      <c r="EL45" s="158"/>
      <c r="EM45" s="158"/>
      <c r="EN45" s="158"/>
      <c r="EO45" s="158"/>
      <c r="EP45" s="158"/>
      <c r="EQ45" s="158"/>
      <c r="ER45" s="158"/>
      <c r="ES45" s="158"/>
      <c r="ET45" s="158"/>
      <c r="EU45" s="158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8"/>
      <c r="FH45" s="158"/>
      <c r="FI45" s="158"/>
      <c r="FJ45" s="158"/>
      <c r="FK45" s="158"/>
      <c r="FL45" s="158"/>
      <c r="FM45" s="158"/>
      <c r="FN45" s="158"/>
      <c r="FO45" s="158"/>
      <c r="FP45" s="158"/>
      <c r="FQ45" s="158"/>
      <c r="FR45" s="158"/>
      <c r="FS45" s="158"/>
      <c r="FT45" s="158"/>
      <c r="FU45" s="158"/>
      <c r="FV45" s="158"/>
      <c r="FW45" s="158"/>
      <c r="FX45" s="158"/>
      <c r="FY45" s="158"/>
      <c r="FZ45" s="158"/>
      <c r="GA45" s="158"/>
      <c r="GB45" s="158"/>
      <c r="GC45" s="158"/>
      <c r="GD45" s="158"/>
      <c r="GE45" s="158"/>
      <c r="GF45" s="158"/>
      <c r="GG45" s="158"/>
      <c r="GH45" s="158"/>
      <c r="GI45" s="158"/>
      <c r="GJ45" s="158"/>
      <c r="GK45" s="158"/>
      <c r="GL45" s="158"/>
      <c r="GM45" s="158"/>
      <c r="GN45" s="158"/>
      <c r="GO45" s="158"/>
      <c r="GP45" s="158"/>
      <c r="GQ45" s="158"/>
      <c r="GR45" s="158"/>
      <c r="GS45" s="158"/>
      <c r="GT45" s="158"/>
      <c r="GU45" s="158"/>
      <c r="GV45" s="158"/>
      <c r="GW45" s="158"/>
      <c r="GX45" s="158"/>
      <c r="GY45" s="158"/>
      <c r="GZ45" s="158"/>
      <c r="HA45" s="158"/>
      <c r="HB45" s="158"/>
      <c r="HC45" s="158"/>
      <c r="HD45" s="158"/>
      <c r="HE45" s="158"/>
      <c r="HF45" s="158"/>
      <c r="HG45" s="158"/>
      <c r="HH45" s="158"/>
      <c r="HI45" s="158"/>
      <c r="HJ45" s="158"/>
      <c r="HK45" s="158"/>
      <c r="HL45" s="158"/>
      <c r="HM45" s="158"/>
      <c r="HN45" s="158"/>
      <c r="HO45" s="158"/>
      <c r="HP45" s="158"/>
      <c r="HQ45" s="158"/>
      <c r="HR45" s="158"/>
      <c r="HS45" s="158"/>
      <c r="HT45" s="158"/>
      <c r="HU45" s="158"/>
      <c r="HV45" s="158"/>
      <c r="HW45" s="158"/>
      <c r="HX45" s="158"/>
      <c r="HY45" s="158"/>
      <c r="HZ45" s="158"/>
      <c r="IA45" s="158"/>
      <c r="IB45" s="158"/>
      <c r="IC45" s="158"/>
      <c r="ID45" s="158"/>
      <c r="IE45" s="158"/>
      <c r="IF45" s="158"/>
      <c r="IG45" s="158"/>
      <c r="IH45" s="158"/>
      <c r="II45" s="158"/>
      <c r="IJ45" s="158"/>
      <c r="IK45" s="158"/>
      <c r="IL45" s="158"/>
      <c r="IM45" s="158"/>
      <c r="IN45" s="158"/>
      <c r="IO45" s="158"/>
      <c r="IP45" s="158"/>
      <c r="IQ45" s="158"/>
      <c r="IR45" s="158"/>
      <c r="IS45" s="158"/>
      <c r="IT45" s="158"/>
      <c r="IU45" s="158"/>
    </row>
    <row r="46" s="398" customFormat="1" ht="15" customHeight="1">
      <c r="A46" s="145">
        <v>21</v>
      </c>
      <c r="B46" s="146">
        <v>46019</v>
      </c>
      <c r="C46" s="147" t="s">
        <v>57</v>
      </c>
      <c r="D46" s="150">
        <v>43254</v>
      </c>
      <c r="E46" s="149">
        <v>3</v>
      </c>
      <c r="F46" s="149">
        <f t="shared" si="71"/>
        <v>14418</v>
      </c>
      <c r="G46" s="149">
        <v>2</v>
      </c>
      <c r="H46" s="149">
        <f t="shared" si="65"/>
        <v>21627</v>
      </c>
      <c r="I46" s="149">
        <v>11</v>
      </c>
      <c r="J46" s="150">
        <f t="shared" si="66"/>
        <v>1.5</v>
      </c>
      <c r="K46" s="149">
        <v>28272</v>
      </c>
      <c r="L46" s="149"/>
      <c r="M46" s="149">
        <v>13690</v>
      </c>
      <c r="N46" s="151">
        <f t="shared" si="67"/>
        <v>0.18181818181818182</v>
      </c>
      <c r="O46" s="152">
        <f t="shared" si="68"/>
        <v>0.70365668285301552</v>
      </c>
      <c r="P46" s="374">
        <f t="shared" si="69"/>
        <v>61470.317917857654</v>
      </c>
      <c r="Q46" s="154">
        <f t="shared" si="72"/>
        <v>7.8808099894689292</v>
      </c>
      <c r="R46" s="154">
        <f t="shared" si="70"/>
        <v>4.5292011433729478</v>
      </c>
      <c r="S46" s="153">
        <f t="shared" si="75"/>
        <v>43254</v>
      </c>
      <c r="T46" s="154">
        <f t="shared" si="79"/>
        <v>3</v>
      </c>
      <c r="U46" s="154">
        <f t="shared" si="77"/>
        <v>2</v>
      </c>
      <c r="V46" s="162">
        <v>1.2</v>
      </c>
      <c r="W46" s="162">
        <v>1.2</v>
      </c>
      <c r="X46" s="156"/>
      <c r="Y46" s="157"/>
      <c r="Z46" s="163"/>
      <c r="AA46" s="402"/>
      <c r="AB46" s="402"/>
      <c r="AC46" s="402"/>
      <c r="AD46" s="402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  <c r="GG46" s="158"/>
      <c r="GH46" s="158"/>
      <c r="GI46" s="158"/>
      <c r="GJ46" s="158"/>
      <c r="GK46" s="158"/>
      <c r="GL46" s="158"/>
      <c r="GM46" s="158"/>
      <c r="GN46" s="158"/>
      <c r="GO46" s="158"/>
      <c r="GP46" s="158"/>
      <c r="GQ46" s="158"/>
      <c r="GR46" s="158"/>
      <c r="GS46" s="158"/>
      <c r="GT46" s="158"/>
      <c r="GU46" s="158"/>
      <c r="GV46" s="158"/>
      <c r="GW46" s="158"/>
      <c r="GX46" s="158"/>
      <c r="GY46" s="158"/>
      <c r="GZ46" s="158"/>
      <c r="HA46" s="158"/>
      <c r="HB46" s="158"/>
      <c r="HC46" s="158"/>
      <c r="HD46" s="158"/>
      <c r="HE46" s="158"/>
      <c r="HF46" s="158"/>
      <c r="HG46" s="158"/>
      <c r="HH46" s="158"/>
      <c r="HI46" s="158"/>
      <c r="HJ46" s="158"/>
      <c r="HK46" s="158"/>
      <c r="HL46" s="158"/>
      <c r="HM46" s="158"/>
      <c r="HN46" s="158"/>
      <c r="HO46" s="158"/>
      <c r="HP46" s="158"/>
      <c r="HQ46" s="158"/>
      <c r="HR46" s="158"/>
      <c r="HS46" s="158"/>
      <c r="HT46" s="158"/>
      <c r="HU46" s="158"/>
      <c r="HV46" s="158"/>
      <c r="HW46" s="158"/>
      <c r="HX46" s="158"/>
      <c r="HY46" s="158"/>
      <c r="HZ46" s="158"/>
      <c r="IA46" s="158"/>
      <c r="IB46" s="158"/>
      <c r="IC46" s="158"/>
      <c r="ID46" s="158"/>
      <c r="IE46" s="158"/>
      <c r="IF46" s="158"/>
      <c r="IG46" s="158"/>
      <c r="IH46" s="158"/>
      <c r="II46" s="158"/>
      <c r="IJ46" s="158"/>
      <c r="IK46" s="158"/>
      <c r="IL46" s="158"/>
      <c r="IM46" s="158"/>
      <c r="IN46" s="158"/>
      <c r="IO46" s="158"/>
      <c r="IP46" s="158"/>
      <c r="IQ46" s="158"/>
      <c r="IR46" s="158"/>
      <c r="IS46" s="158"/>
      <c r="IT46" s="158"/>
      <c r="IU46" s="158"/>
    </row>
    <row r="47" s="398" customFormat="1" ht="15" customHeight="1">
      <c r="A47" s="403">
        <v>22</v>
      </c>
      <c r="B47" s="404">
        <v>46020</v>
      </c>
      <c r="C47" s="405" t="s">
        <v>50</v>
      </c>
      <c r="D47" s="131"/>
      <c r="E47" s="406"/>
      <c r="F47" s="406" t="str">
        <f t="shared" si="71"/>
        <v/>
      </c>
      <c r="G47" s="406"/>
      <c r="H47" s="406" t="str">
        <f t="shared" si="65"/>
        <v/>
      </c>
      <c r="I47" s="406"/>
      <c r="J47" s="150" t="str">
        <f t="shared" si="66"/>
        <v/>
      </c>
      <c r="K47" s="406"/>
      <c r="L47" s="406"/>
      <c r="M47" s="406"/>
      <c r="N47" s="151" t="str">
        <f t="shared" si="67"/>
        <v/>
      </c>
      <c r="O47" s="152">
        <f t="shared" si="68"/>
        <v>0</v>
      </c>
      <c r="P47" s="153">
        <f t="shared" si="69"/>
        <v>61470.317917857654</v>
      </c>
      <c r="Q47" s="154">
        <f t="shared" si="72"/>
        <v>7.8808099894689292</v>
      </c>
      <c r="R47" s="154">
        <f t="shared" si="70"/>
        <v>4.5292011433729478</v>
      </c>
      <c r="S47" s="153">
        <f t="shared" si="75"/>
        <v>175542.44254488888</v>
      </c>
      <c r="T47" s="154">
        <f t="shared" si="79"/>
        <v>23.179374271627072</v>
      </c>
      <c r="U47" s="154">
        <f t="shared" si="77"/>
        <v>14.278883117567956</v>
      </c>
      <c r="V47" s="162">
        <v>1.2</v>
      </c>
      <c r="W47" s="162">
        <v>1.2</v>
      </c>
      <c r="X47" s="156"/>
      <c r="Y47" s="157"/>
      <c r="Z47" s="163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58"/>
      <c r="EC47" s="158"/>
      <c r="ED47" s="158"/>
      <c r="EE47" s="158"/>
      <c r="EF47" s="158"/>
      <c r="EG47" s="158"/>
      <c r="EH47" s="158"/>
      <c r="EI47" s="158"/>
      <c r="EJ47" s="158"/>
      <c r="EK47" s="158"/>
      <c r="EL47" s="158"/>
      <c r="EM47" s="158"/>
      <c r="EN47" s="158"/>
      <c r="EO47" s="158"/>
      <c r="EP47" s="158"/>
      <c r="EQ47" s="158"/>
      <c r="ER47" s="158"/>
      <c r="ES47" s="158"/>
      <c r="ET47" s="158"/>
      <c r="EU47" s="158"/>
      <c r="EV47" s="158"/>
      <c r="EW47" s="158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  <c r="FK47" s="158"/>
      <c r="FL47" s="158"/>
      <c r="FM47" s="158"/>
      <c r="FN47" s="158"/>
      <c r="FO47" s="158"/>
      <c r="FP47" s="158"/>
      <c r="FQ47" s="158"/>
      <c r="FR47" s="158"/>
      <c r="FS47" s="158"/>
      <c r="FT47" s="158"/>
      <c r="FU47" s="158"/>
      <c r="FV47" s="158"/>
      <c r="FW47" s="158"/>
      <c r="FX47" s="158"/>
      <c r="FY47" s="158"/>
      <c r="FZ47" s="158"/>
      <c r="GA47" s="158"/>
      <c r="GB47" s="158"/>
      <c r="GC47" s="158"/>
      <c r="GD47" s="158"/>
      <c r="GE47" s="158"/>
      <c r="GF47" s="158"/>
      <c r="GG47" s="158"/>
      <c r="GH47" s="158"/>
      <c r="GI47" s="158"/>
      <c r="GJ47" s="158"/>
      <c r="GK47" s="158"/>
      <c r="GL47" s="158"/>
      <c r="GM47" s="158"/>
      <c r="GN47" s="158"/>
      <c r="GO47" s="158"/>
      <c r="GP47" s="158"/>
      <c r="GQ47" s="158"/>
      <c r="GR47" s="158"/>
      <c r="GS47" s="158"/>
      <c r="GT47" s="158"/>
      <c r="GU47" s="158"/>
      <c r="GV47" s="158"/>
      <c r="GW47" s="158"/>
      <c r="GX47" s="158"/>
      <c r="GY47" s="158"/>
      <c r="GZ47" s="158"/>
      <c r="HA47" s="158"/>
      <c r="HB47" s="158"/>
      <c r="HC47" s="158"/>
      <c r="HD47" s="158"/>
      <c r="HE47" s="158"/>
      <c r="HF47" s="158"/>
      <c r="HG47" s="158"/>
      <c r="HH47" s="158"/>
      <c r="HI47" s="158"/>
      <c r="HJ47" s="158"/>
      <c r="HK47" s="158"/>
      <c r="HL47" s="158"/>
      <c r="HM47" s="158"/>
      <c r="HN47" s="158"/>
      <c r="HO47" s="158"/>
      <c r="HP47" s="158"/>
      <c r="HQ47" s="158"/>
      <c r="HR47" s="158"/>
      <c r="HS47" s="158"/>
      <c r="HT47" s="158"/>
      <c r="HU47" s="158"/>
      <c r="HV47" s="158"/>
      <c r="HW47" s="158"/>
      <c r="HX47" s="158"/>
      <c r="HY47" s="158"/>
      <c r="HZ47" s="158"/>
      <c r="IA47" s="158"/>
      <c r="IB47" s="158"/>
      <c r="IC47" s="158"/>
      <c r="ID47" s="158"/>
      <c r="IE47" s="158"/>
      <c r="IF47" s="158"/>
      <c r="IG47" s="158"/>
      <c r="IH47" s="158"/>
      <c r="II47" s="158"/>
      <c r="IJ47" s="158"/>
      <c r="IK47" s="158"/>
      <c r="IL47" s="158"/>
      <c r="IM47" s="158"/>
      <c r="IN47" s="158"/>
      <c r="IO47" s="158"/>
      <c r="IP47" s="158"/>
      <c r="IQ47" s="158"/>
      <c r="IR47" s="158"/>
      <c r="IS47" s="158"/>
      <c r="IT47" s="158"/>
      <c r="IU47" s="158"/>
    </row>
    <row r="48" s="398" customFormat="1" ht="15" customHeight="1">
      <c r="A48" s="145">
        <v>23</v>
      </c>
      <c r="B48" s="146">
        <v>46021</v>
      </c>
      <c r="C48" s="147" t="s">
        <v>52</v>
      </c>
      <c r="D48" s="150">
        <f>49522+50083</f>
        <v>99605</v>
      </c>
      <c r="E48" s="149">
        <v>9</v>
      </c>
      <c r="F48" s="149">
        <f t="shared" si="71"/>
        <v>11067.222222222223</v>
      </c>
      <c r="G48" s="149">
        <v>6</v>
      </c>
      <c r="H48" s="149">
        <f t="shared" si="65"/>
        <v>16600.833333333332</v>
      </c>
      <c r="I48" s="149">
        <v>28</v>
      </c>
      <c r="J48" s="150">
        <f t="shared" si="66"/>
        <v>1.5</v>
      </c>
      <c r="K48" s="149">
        <v>50083</v>
      </c>
      <c r="L48" s="149"/>
      <c r="M48" s="149"/>
      <c r="N48" s="151">
        <f t="shared" si="67"/>
        <v>0.21428571428571427</v>
      </c>
      <c r="O48" s="152">
        <f t="shared" si="68"/>
        <v>1.6203755466679293</v>
      </c>
      <c r="P48" s="374">
        <f t="shared" si="69"/>
        <v>61470.317917857654</v>
      </c>
      <c r="Q48" s="154">
        <f t="shared" si="72"/>
        <v>7.8808099894689292</v>
      </c>
      <c r="R48" s="154">
        <f t="shared" si="70"/>
        <v>4.5292011433729478</v>
      </c>
      <c r="S48" s="153">
        <f t="shared" si="75"/>
        <v>99605</v>
      </c>
      <c r="T48" s="154">
        <f t="shared" si="79"/>
        <v>9</v>
      </c>
      <c r="U48" s="154">
        <f t="shared" si="77"/>
        <v>6</v>
      </c>
      <c r="V48" s="162">
        <v>1.2</v>
      </c>
      <c r="W48" s="162">
        <v>1.2</v>
      </c>
      <c r="X48" s="156"/>
      <c r="Y48" s="157"/>
      <c r="Z48" s="163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8"/>
      <c r="CG48" s="158"/>
      <c r="CH48" s="158"/>
      <c r="CI48" s="158"/>
      <c r="CJ48" s="158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58"/>
      <c r="EC48" s="158"/>
      <c r="ED48" s="158"/>
      <c r="EE48" s="158"/>
      <c r="EF48" s="158"/>
      <c r="EG48" s="158"/>
      <c r="EH48" s="158"/>
      <c r="EI48" s="158"/>
      <c r="EJ48" s="158"/>
      <c r="EK48" s="158"/>
      <c r="EL48" s="158"/>
      <c r="EM48" s="158"/>
      <c r="EN48" s="158"/>
      <c r="EO48" s="158"/>
      <c r="EP48" s="158"/>
      <c r="EQ48" s="158"/>
      <c r="ER48" s="158"/>
      <c r="ES48" s="158"/>
      <c r="ET48" s="158"/>
      <c r="EU48" s="158"/>
      <c r="EV48" s="158"/>
      <c r="EW48" s="158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  <c r="FK48" s="158"/>
      <c r="FL48" s="158"/>
      <c r="FM48" s="158"/>
      <c r="FN48" s="158"/>
      <c r="FO48" s="158"/>
      <c r="FP48" s="158"/>
      <c r="FQ48" s="158"/>
      <c r="FR48" s="158"/>
      <c r="FS48" s="158"/>
      <c r="FT48" s="158"/>
      <c r="FU48" s="158"/>
      <c r="FV48" s="158"/>
      <c r="FW48" s="158"/>
      <c r="FX48" s="158"/>
      <c r="FY48" s="158"/>
      <c r="FZ48" s="158"/>
      <c r="GA48" s="158"/>
      <c r="GB48" s="158"/>
      <c r="GC48" s="158"/>
      <c r="GD48" s="158"/>
      <c r="GE48" s="158"/>
      <c r="GF48" s="158"/>
      <c r="GG48" s="158"/>
      <c r="GH48" s="158"/>
      <c r="GI48" s="158"/>
      <c r="GJ48" s="158"/>
      <c r="GK48" s="158"/>
      <c r="GL48" s="158"/>
      <c r="GM48" s="158"/>
      <c r="GN48" s="158"/>
      <c r="GO48" s="158"/>
      <c r="GP48" s="158"/>
      <c r="GQ48" s="158"/>
      <c r="GR48" s="158"/>
      <c r="GS48" s="158"/>
      <c r="GT48" s="158"/>
      <c r="GU48" s="158"/>
      <c r="GV48" s="158"/>
      <c r="GW48" s="158"/>
      <c r="GX48" s="158"/>
      <c r="GY48" s="158"/>
      <c r="GZ48" s="158"/>
      <c r="HA48" s="158"/>
      <c r="HB48" s="158"/>
      <c r="HC48" s="158"/>
      <c r="HD48" s="158"/>
      <c r="HE48" s="158"/>
      <c r="HF48" s="158"/>
      <c r="HG48" s="158"/>
      <c r="HH48" s="158"/>
      <c r="HI48" s="158"/>
      <c r="HJ48" s="158"/>
      <c r="HK48" s="158"/>
      <c r="HL48" s="158"/>
      <c r="HM48" s="158"/>
      <c r="HN48" s="158"/>
      <c r="HO48" s="158"/>
      <c r="HP48" s="158"/>
      <c r="HQ48" s="158"/>
      <c r="HR48" s="158"/>
      <c r="HS48" s="158"/>
      <c r="HT48" s="158"/>
      <c r="HU48" s="158"/>
      <c r="HV48" s="158"/>
      <c r="HW48" s="158"/>
      <c r="HX48" s="158"/>
      <c r="HY48" s="158"/>
      <c r="HZ48" s="158"/>
      <c r="IA48" s="158"/>
      <c r="IB48" s="158"/>
      <c r="IC48" s="158"/>
      <c r="ID48" s="158"/>
      <c r="IE48" s="158"/>
      <c r="IF48" s="158"/>
      <c r="IG48" s="158"/>
      <c r="IH48" s="158"/>
      <c r="II48" s="158"/>
      <c r="IJ48" s="158"/>
      <c r="IK48" s="158"/>
      <c r="IL48" s="158"/>
      <c r="IM48" s="158"/>
      <c r="IN48" s="158"/>
      <c r="IO48" s="158"/>
      <c r="IP48" s="158"/>
      <c r="IQ48" s="158"/>
      <c r="IR48" s="158"/>
      <c r="IS48" s="158"/>
      <c r="IT48" s="158"/>
      <c r="IU48" s="158"/>
    </row>
    <row r="49" s="398" customFormat="1" ht="15" customHeight="1">
      <c r="A49" s="145">
        <v>24</v>
      </c>
      <c r="B49" s="146">
        <v>46022</v>
      </c>
      <c r="C49" s="147" t="s">
        <v>53</v>
      </c>
      <c r="D49" s="150">
        <v>34652</v>
      </c>
      <c r="E49" s="149">
        <v>6</v>
      </c>
      <c r="F49" s="149">
        <f t="shared" si="71"/>
        <v>5775.333333333333</v>
      </c>
      <c r="G49" s="149">
        <v>3</v>
      </c>
      <c r="H49" s="149">
        <f t="shared" si="65"/>
        <v>11550.666666666666</v>
      </c>
      <c r="I49" s="149">
        <v>20</v>
      </c>
      <c r="J49" s="150">
        <f t="shared" si="66"/>
        <v>2</v>
      </c>
      <c r="K49" s="149"/>
      <c r="L49" s="149"/>
      <c r="M49" s="149"/>
      <c r="N49" s="151">
        <f t="shared" si="67"/>
        <v>0.14999999999999999</v>
      </c>
      <c r="O49" s="152">
        <f t="shared" si="68"/>
        <v>0.81175568453508751</v>
      </c>
      <c r="P49" s="153">
        <f t="shared" si="69"/>
        <v>42687.720776290043</v>
      </c>
      <c r="Q49" s="154">
        <f t="shared" si="72"/>
        <v>5.472784714908979</v>
      </c>
      <c r="R49" s="154">
        <f t="shared" si="70"/>
        <v>3.1452785717867697</v>
      </c>
      <c r="S49" s="153">
        <f t="shared" si="75"/>
        <v>34652</v>
      </c>
      <c r="T49" s="154">
        <f t="shared" si="79"/>
        <v>6</v>
      </c>
      <c r="U49" s="154">
        <f t="shared" si="77"/>
        <v>3</v>
      </c>
      <c r="V49" s="162">
        <v>1</v>
      </c>
      <c r="W49" s="162">
        <v>1</v>
      </c>
      <c r="X49" s="156"/>
      <c r="Y49" s="157"/>
      <c r="Z49" s="163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  <c r="EE49" s="158"/>
      <c r="EF49" s="158"/>
      <c r="EG49" s="158"/>
      <c r="EH49" s="158"/>
      <c r="EI49" s="158"/>
      <c r="EJ49" s="158"/>
      <c r="EK49" s="158"/>
      <c r="EL49" s="158"/>
      <c r="EM49" s="158"/>
      <c r="EN49" s="158"/>
      <c r="EO49" s="158"/>
      <c r="EP49" s="158"/>
      <c r="EQ49" s="158"/>
      <c r="ER49" s="158"/>
      <c r="ES49" s="158"/>
      <c r="ET49" s="158"/>
      <c r="EU49" s="158"/>
      <c r="EV49" s="158"/>
      <c r="EW49" s="158"/>
      <c r="EX49" s="158"/>
      <c r="EY49" s="158"/>
      <c r="EZ49" s="158"/>
      <c r="FA49" s="158"/>
      <c r="FB49" s="158"/>
      <c r="FC49" s="158"/>
      <c r="FD49" s="158"/>
      <c r="FE49" s="158"/>
      <c r="FF49" s="158"/>
      <c r="FG49" s="158"/>
      <c r="FH49" s="158"/>
      <c r="FI49" s="158"/>
      <c r="FJ49" s="158"/>
      <c r="FK49" s="158"/>
      <c r="FL49" s="158"/>
      <c r="FM49" s="158"/>
      <c r="FN49" s="158"/>
      <c r="FO49" s="158"/>
      <c r="FP49" s="158"/>
      <c r="FQ49" s="158"/>
      <c r="FR49" s="158"/>
      <c r="FS49" s="158"/>
      <c r="FT49" s="158"/>
      <c r="FU49" s="158"/>
      <c r="FV49" s="158"/>
      <c r="FW49" s="158"/>
      <c r="FX49" s="158"/>
      <c r="FY49" s="158"/>
      <c r="FZ49" s="158"/>
      <c r="GA49" s="158"/>
      <c r="GB49" s="158"/>
      <c r="GC49" s="158"/>
      <c r="GD49" s="158"/>
      <c r="GE49" s="158"/>
      <c r="GF49" s="158"/>
      <c r="GG49" s="158"/>
      <c r="GH49" s="158"/>
      <c r="GI49" s="158"/>
      <c r="GJ49" s="158"/>
      <c r="GK49" s="158"/>
      <c r="GL49" s="158"/>
      <c r="GM49" s="158"/>
      <c r="GN49" s="158"/>
      <c r="GO49" s="158"/>
      <c r="GP49" s="158"/>
      <c r="GQ49" s="158"/>
      <c r="GR49" s="158"/>
      <c r="GS49" s="158"/>
      <c r="GT49" s="158"/>
      <c r="GU49" s="158"/>
      <c r="GV49" s="158"/>
      <c r="GW49" s="158"/>
      <c r="GX49" s="158"/>
      <c r="GY49" s="158"/>
      <c r="GZ49" s="158"/>
      <c r="HA49" s="158"/>
      <c r="HB49" s="158"/>
      <c r="HC49" s="158"/>
      <c r="HD49" s="158"/>
      <c r="HE49" s="158"/>
      <c r="HF49" s="158"/>
      <c r="HG49" s="158"/>
      <c r="HH49" s="158"/>
      <c r="HI49" s="158"/>
      <c r="HJ49" s="158"/>
      <c r="HK49" s="158"/>
      <c r="HL49" s="158"/>
      <c r="HM49" s="158"/>
      <c r="HN49" s="158"/>
      <c r="HO49" s="158"/>
      <c r="HP49" s="158"/>
      <c r="HQ49" s="158"/>
      <c r="HR49" s="158"/>
      <c r="HS49" s="158"/>
      <c r="HT49" s="158"/>
      <c r="HU49" s="158"/>
      <c r="HV49" s="158"/>
      <c r="HW49" s="158"/>
      <c r="HX49" s="158"/>
      <c r="HY49" s="158"/>
      <c r="HZ49" s="158"/>
      <c r="IA49" s="158"/>
      <c r="IB49" s="158"/>
      <c r="IC49" s="158"/>
      <c r="ID49" s="158"/>
      <c r="IE49" s="158"/>
      <c r="IF49" s="158"/>
      <c r="IG49" s="158"/>
      <c r="IH49" s="158"/>
      <c r="II49" s="158"/>
      <c r="IJ49" s="158"/>
      <c r="IK49" s="158"/>
      <c r="IL49" s="158"/>
      <c r="IM49" s="158"/>
      <c r="IN49" s="158"/>
      <c r="IO49" s="158"/>
      <c r="IP49" s="158"/>
      <c r="IQ49" s="158"/>
      <c r="IR49" s="158"/>
      <c r="IS49" s="158"/>
      <c r="IT49" s="158"/>
      <c r="IU49" s="158"/>
    </row>
    <row r="50" ht="15" customHeight="1">
      <c r="A50" s="128"/>
      <c r="B50" s="129"/>
      <c r="C50" s="130"/>
      <c r="D50" s="133"/>
      <c r="E50" s="132"/>
      <c r="F50" s="132" t="str">
        <f t="shared" si="71"/>
        <v/>
      </c>
      <c r="G50" s="132"/>
      <c r="H50" s="132" t="str">
        <f t="shared" si="65"/>
        <v/>
      </c>
      <c r="I50" s="132"/>
      <c r="J50" s="133" t="str">
        <f t="shared" si="66"/>
        <v/>
      </c>
      <c r="K50" s="132"/>
      <c r="L50" s="132"/>
      <c r="M50" s="132"/>
      <c r="N50" s="134" t="str">
        <f t="shared" si="67"/>
        <v/>
      </c>
      <c r="O50" s="135" t="e">
        <f t="shared" si="68"/>
        <v>#DIV/0!</v>
      </c>
      <c r="P50" s="136">
        <f t="shared" si="69"/>
        <v>0</v>
      </c>
      <c r="Q50" s="137">
        <f t="shared" si="72"/>
        <v>0</v>
      </c>
      <c r="R50" s="137">
        <f t="shared" si="70"/>
        <v>0</v>
      </c>
      <c r="S50" s="136" t="str">
        <f t="shared" si="75"/>
        <v/>
      </c>
      <c r="T50" s="137" t="str">
        <f t="shared" si="79"/>
        <v/>
      </c>
      <c r="U50" s="137" t="str">
        <f t="shared" si="77"/>
        <v/>
      </c>
      <c r="V50" s="364"/>
      <c r="W50" s="364"/>
      <c r="X50" s="141"/>
      <c r="Y50" s="140"/>
      <c r="Z50" s="376"/>
      <c r="AA50" s="2"/>
      <c r="AB50" s="2"/>
      <c r="AC50" s="2"/>
      <c r="AD50" s="2"/>
      <c r="AE50" s="2"/>
      <c r="AF50" s="2"/>
      <c r="AG50" s="2"/>
    </row>
    <row r="51">
      <c r="A51" s="128"/>
      <c r="B51" s="129"/>
      <c r="C51" s="130"/>
      <c r="D51" s="133"/>
      <c r="E51" s="132"/>
      <c r="F51" s="132" t="str">
        <f t="shared" si="71"/>
        <v/>
      </c>
      <c r="G51" s="132"/>
      <c r="H51" s="132" t="str">
        <f t="shared" si="65"/>
        <v/>
      </c>
      <c r="I51" s="132"/>
      <c r="J51" s="133" t="str">
        <f t="shared" si="66"/>
        <v/>
      </c>
      <c r="K51" s="132"/>
      <c r="L51" s="132"/>
      <c r="M51" s="132"/>
      <c r="N51" s="134" t="str">
        <f t="shared" si="67"/>
        <v/>
      </c>
      <c r="O51" s="135" t="e">
        <f t="shared" si="68"/>
        <v>#DIV/0!</v>
      </c>
      <c r="P51" s="136">
        <f t="shared" si="69"/>
        <v>0</v>
      </c>
      <c r="Q51" s="137">
        <f t="shared" si="72"/>
        <v>0</v>
      </c>
      <c r="R51" s="137">
        <f t="shared" si="70"/>
        <v>0</v>
      </c>
      <c r="S51" s="136" t="str">
        <f t="shared" si="75"/>
        <v/>
      </c>
      <c r="T51" s="137" t="str">
        <f t="shared" si="79"/>
        <v/>
      </c>
      <c r="U51" s="137" t="str">
        <f t="shared" si="77"/>
        <v/>
      </c>
      <c r="V51" s="364"/>
      <c r="W51" s="364"/>
      <c r="X51" s="141"/>
      <c r="Y51" s="140"/>
      <c r="Z51" s="376"/>
      <c r="AA51" s="2"/>
      <c r="AB51" s="2"/>
      <c r="AC51" s="2"/>
      <c r="AD51" s="2"/>
      <c r="AE51" s="2"/>
      <c r="AF51" s="2"/>
      <c r="AG51" s="2"/>
    </row>
    <row r="52">
      <c r="A52" s="128"/>
      <c r="B52" s="129"/>
      <c r="C52" s="130"/>
      <c r="D52" s="133"/>
      <c r="E52" s="132"/>
      <c r="F52" s="132" t="str">
        <f t="shared" si="71"/>
        <v/>
      </c>
      <c r="G52" s="132"/>
      <c r="H52" s="132" t="str">
        <f t="shared" si="65"/>
        <v/>
      </c>
      <c r="I52" s="132"/>
      <c r="J52" s="133" t="str">
        <f t="shared" si="66"/>
        <v/>
      </c>
      <c r="K52" s="132"/>
      <c r="L52" s="132"/>
      <c r="M52" s="132"/>
      <c r="N52" s="134" t="str">
        <f t="shared" si="67"/>
        <v/>
      </c>
      <c r="O52" s="135" t="e">
        <f t="shared" si="68"/>
        <v>#DIV/0!</v>
      </c>
      <c r="P52" s="136">
        <f t="shared" si="69"/>
        <v>0</v>
      </c>
      <c r="Q52" s="137">
        <f t="shared" si="72"/>
        <v>0</v>
      </c>
      <c r="R52" s="137">
        <f t="shared" si="70"/>
        <v>0</v>
      </c>
      <c r="S52" s="136" t="str">
        <f t="shared" si="75"/>
        <v/>
      </c>
      <c r="T52" s="137" t="str">
        <f t="shared" si="79"/>
        <v/>
      </c>
      <c r="U52" s="137" t="str">
        <f t="shared" si="77"/>
        <v/>
      </c>
      <c r="V52" s="364"/>
      <c r="W52" s="364"/>
      <c r="X52" s="141"/>
      <c r="Y52" s="140"/>
      <c r="Z52" s="376"/>
      <c r="AA52" s="2"/>
      <c r="AB52" s="2"/>
      <c r="AC52" s="2"/>
      <c r="AD52" s="2"/>
      <c r="AE52" s="2"/>
      <c r="AF52" s="2"/>
      <c r="AG52" s="2"/>
    </row>
    <row r="53">
      <c r="A53" s="128"/>
      <c r="B53" s="129"/>
      <c r="C53" s="130"/>
      <c r="D53" s="133"/>
      <c r="E53" s="132"/>
      <c r="F53" s="132" t="str">
        <f t="shared" si="71"/>
        <v/>
      </c>
      <c r="G53" s="132"/>
      <c r="H53" s="132" t="str">
        <f t="shared" si="65"/>
        <v/>
      </c>
      <c r="I53" s="132"/>
      <c r="J53" s="133" t="str">
        <f t="shared" si="66"/>
        <v/>
      </c>
      <c r="K53" s="132"/>
      <c r="L53" s="132"/>
      <c r="M53" s="132"/>
      <c r="N53" s="134" t="str">
        <f t="shared" si="67"/>
        <v/>
      </c>
      <c r="O53" s="135" t="e">
        <f t="shared" si="68"/>
        <v>#DIV/0!</v>
      </c>
      <c r="P53" s="136">
        <f t="shared" si="69"/>
        <v>0</v>
      </c>
      <c r="Q53" s="137">
        <f t="shared" si="72"/>
        <v>0</v>
      </c>
      <c r="R53" s="137">
        <f t="shared" si="70"/>
        <v>0</v>
      </c>
      <c r="S53" s="136" t="str">
        <f t="shared" si="75"/>
        <v/>
      </c>
      <c r="T53" s="137" t="str">
        <f t="shared" si="79"/>
        <v/>
      </c>
      <c r="U53" s="137" t="str">
        <f t="shared" si="77"/>
        <v/>
      </c>
      <c r="V53" s="364"/>
      <c r="W53" s="364"/>
      <c r="X53" s="141"/>
      <c r="Y53" s="140"/>
      <c r="Z53" s="376"/>
      <c r="AA53" s="2"/>
      <c r="AB53" s="2"/>
      <c r="AC53" s="2"/>
      <c r="AD53" s="2"/>
      <c r="AE53" s="2"/>
      <c r="AF53" s="2"/>
      <c r="AG53" s="2"/>
    </row>
    <row r="54">
      <c r="A54" s="128"/>
      <c r="B54" s="129"/>
      <c r="C54" s="130"/>
      <c r="D54" s="133"/>
      <c r="E54" s="132"/>
      <c r="F54" s="132" t="str">
        <f t="shared" si="71"/>
        <v/>
      </c>
      <c r="G54" s="132"/>
      <c r="H54" s="132" t="str">
        <f t="shared" si="65"/>
        <v/>
      </c>
      <c r="I54" s="132"/>
      <c r="J54" s="133" t="str">
        <f t="shared" si="66"/>
        <v/>
      </c>
      <c r="K54" s="132"/>
      <c r="L54" s="132"/>
      <c r="M54" s="132"/>
      <c r="N54" s="134" t="str">
        <f t="shared" si="67"/>
        <v/>
      </c>
      <c r="O54" s="135" t="e">
        <f t="shared" si="68"/>
        <v>#DIV/0!</v>
      </c>
      <c r="P54" s="136">
        <f t="shared" si="69"/>
        <v>0</v>
      </c>
      <c r="Q54" s="137">
        <f t="shared" si="72"/>
        <v>0</v>
      </c>
      <c r="R54" s="137">
        <f t="shared" si="70"/>
        <v>0</v>
      </c>
      <c r="S54" s="136" t="str">
        <f>IF(W54&lt;&gt;"",IF(D54&lt;&gt;"",D54,($I$8-SUM($S$25:S50))*V54*W54/SUMPRODUCT($W54:$W$58,$V54:$V$58)),"")</f>
        <v/>
      </c>
      <c r="T54" s="137" t="str">
        <f>IF(W54&lt;&gt;"",IF(E54&lt;&gt;"",E54,($I$9-SUM($T$25:T50))*V54*W54/SUMPRODUCT($W54:$W$58,$V54:$V$58)),"")</f>
        <v/>
      </c>
      <c r="U54" s="137" t="str">
        <f>IF(W54&lt;&gt;"",IF($I$12&lt;&gt;"",IF(G54&lt;&gt;"",G54,($I$9/$I$12-SUM($U$25:U50))*V54*W54/SUMPRODUCT($W54:$W$58,$V54:$V$58)),""),"")</f>
        <v/>
      </c>
      <c r="V54" s="364"/>
      <c r="W54" s="364"/>
      <c r="X54" s="141"/>
      <c r="Y54" s="140"/>
      <c r="Z54" s="376"/>
      <c r="AA54" s="2"/>
      <c r="AB54" s="2"/>
      <c r="AC54" s="2"/>
      <c r="AD54" s="2"/>
      <c r="AE54" s="2"/>
      <c r="AF54" s="2"/>
      <c r="AG54" s="2"/>
    </row>
    <row r="55">
      <c r="A55" s="128"/>
      <c r="B55" s="129"/>
      <c r="C55" s="130"/>
      <c r="D55" s="133"/>
      <c r="E55" s="132"/>
      <c r="F55" s="132" t="str">
        <f t="shared" si="71"/>
        <v/>
      </c>
      <c r="G55" s="132"/>
      <c r="H55" s="132" t="str">
        <f t="shared" si="65"/>
        <v/>
      </c>
      <c r="I55" s="132"/>
      <c r="J55" s="133" t="str">
        <f t="shared" si="66"/>
        <v/>
      </c>
      <c r="K55" s="132"/>
      <c r="L55" s="132"/>
      <c r="M55" s="132"/>
      <c r="N55" s="134" t="str">
        <f t="shared" si="67"/>
        <v/>
      </c>
      <c r="O55" s="135" t="e">
        <f t="shared" si="68"/>
        <v>#DIV/0!</v>
      </c>
      <c r="P55" s="136">
        <f t="shared" si="69"/>
        <v>0</v>
      </c>
      <c r="Q55" s="137">
        <f t="shared" si="72"/>
        <v>0</v>
      </c>
      <c r="R55" s="137">
        <f t="shared" si="70"/>
        <v>0</v>
      </c>
      <c r="S55" s="136" t="str">
        <f t="shared" ref="S55:S56" si="80">IF(W55&lt;&gt;"",IF(D55&lt;&gt;"",D55,($I$8-SUM($S$25:S54))*V55*W55/SUMPRODUCT($W55:$W$58,$V55:$V$58)),"")</f>
        <v/>
      </c>
      <c r="T55" s="137" t="str">
        <f t="shared" ref="T55:T56" si="81">IF(W55&lt;&gt;"",IF(E55&lt;&gt;"",E55,($I$9-SUM($T$25:T54))*V55*W55/SUMPRODUCT($W55:$W$58,$V55:$V$58)),"")</f>
        <v/>
      </c>
      <c r="U55" s="137" t="str">
        <f t="shared" ref="U55:U56" si="82">IF(W55&lt;&gt;"",IF($I$12&lt;&gt;"",IF(G55&lt;&gt;"",G55,($I$9/$I$12-SUM($U$25:U54))*V55*W55/SUMPRODUCT($W55:$W$58,$V55:$V$58)),""),"")</f>
        <v/>
      </c>
      <c r="V55" s="364"/>
      <c r="W55" s="364"/>
      <c r="X55" s="141"/>
      <c r="Y55" s="140"/>
      <c r="Z55" s="376"/>
      <c r="AA55" s="2"/>
      <c r="AB55" s="2"/>
      <c r="AC55" s="2"/>
      <c r="AD55" s="2"/>
      <c r="AE55" s="2"/>
      <c r="AF55" s="2"/>
      <c r="AG55" s="2"/>
    </row>
    <row r="56">
      <c r="A56" s="128"/>
      <c r="B56" s="129"/>
      <c r="C56" s="130"/>
      <c r="D56" s="133"/>
      <c r="E56" s="132"/>
      <c r="F56" s="132" t="str">
        <f t="shared" si="71"/>
        <v/>
      </c>
      <c r="G56" s="132"/>
      <c r="H56" s="132" t="str">
        <f t="shared" si="65"/>
        <v/>
      </c>
      <c r="I56" s="132"/>
      <c r="J56" s="133" t="str">
        <f t="shared" si="66"/>
        <v/>
      </c>
      <c r="K56" s="132"/>
      <c r="L56" s="132"/>
      <c r="M56" s="132"/>
      <c r="N56" s="134" t="str">
        <f t="shared" si="67"/>
        <v/>
      </c>
      <c r="O56" s="135" t="e">
        <f t="shared" si="68"/>
        <v>#DIV/0!</v>
      </c>
      <c r="P56" s="136">
        <f t="shared" si="69"/>
        <v>0</v>
      </c>
      <c r="Q56" s="137">
        <f t="shared" si="72"/>
        <v>0</v>
      </c>
      <c r="R56" s="137">
        <f t="shared" si="70"/>
        <v>0</v>
      </c>
      <c r="S56" s="136" t="str">
        <f t="shared" si="80"/>
        <v/>
      </c>
      <c r="T56" s="137" t="str">
        <f t="shared" si="81"/>
        <v/>
      </c>
      <c r="U56" s="137" t="str">
        <f t="shared" si="82"/>
        <v/>
      </c>
      <c r="V56" s="364"/>
      <c r="W56" s="364"/>
      <c r="X56" s="141"/>
      <c r="Y56" s="140"/>
      <c r="Z56" s="376"/>
      <c r="AA56" s="2"/>
      <c r="AB56" s="2"/>
      <c r="AC56" s="2"/>
      <c r="AD56" s="2"/>
      <c r="AE56" s="2"/>
      <c r="AF56" s="2"/>
      <c r="AG56" s="2"/>
    </row>
    <row r="57">
      <c r="A57" s="407"/>
      <c r="B57" s="408"/>
      <c r="C57" s="409"/>
      <c r="D57" s="149">
        <f>SUM(D25:D56)</f>
        <v>620172</v>
      </c>
      <c r="E57" s="149">
        <f>SUM(E25:E56)</f>
        <v>70</v>
      </c>
      <c r="F57" s="149">
        <f t="shared" si="71"/>
        <v>8859.6000000000004</v>
      </c>
      <c r="G57" s="149">
        <f>SUM(G25:G56)</f>
        <v>41</v>
      </c>
      <c r="H57" s="149">
        <f t="shared" si="65"/>
        <v>15126.146341463415</v>
      </c>
      <c r="I57" s="149">
        <f>SUM(I25:I56)</f>
        <v>324</v>
      </c>
      <c r="J57" s="150">
        <f t="shared" si="66"/>
        <v>1.7073170731707317</v>
      </c>
      <c r="K57" s="149">
        <f>SUM(K25:K56)</f>
        <v>201362</v>
      </c>
      <c r="L57" s="149">
        <f>SUM(L25:L56)</f>
        <v>220</v>
      </c>
      <c r="M57" s="149">
        <f>SUM(M25:M56)</f>
        <v>37180</v>
      </c>
      <c r="N57" s="165">
        <f t="shared" si="67"/>
        <v>0.12654320987654322</v>
      </c>
      <c r="O57" s="152">
        <f t="shared" si="68"/>
        <v>0.55855871858027051</v>
      </c>
      <c r="P57" s="154">
        <f>SUM(P25:P56)</f>
        <v>1110307.6173913039</v>
      </c>
      <c r="Q57" s="154">
        <f>SUM(Q25:Q55)</f>
        <v>142.34713043478257</v>
      </c>
      <c r="R57" s="154">
        <f>SUM(R25:R55)</f>
        <v>81.808695652173853</v>
      </c>
      <c r="S57" s="154">
        <f>SUM(S25:S56)</f>
        <v>947117.70085690939</v>
      </c>
      <c r="T57" s="154">
        <f>SUM(T25:T55)</f>
        <v>118.07096847452561</v>
      </c>
      <c r="U57" s="154">
        <f>SUM(U25:U55)</f>
        <v>66.613921480739322</v>
      </c>
      <c r="V57" s="166"/>
      <c r="W57" s="166"/>
      <c r="AE57" s="2"/>
      <c r="AF57" s="2"/>
      <c r="AG57" s="2"/>
    </row>
  </sheetData>
  <mergeCells count="29">
    <mergeCell ref="B1:C1"/>
    <mergeCell ref="Q1:T4"/>
    <mergeCell ref="B2:C2"/>
    <mergeCell ref="J2:P2"/>
    <mergeCell ref="J3:N4"/>
    <mergeCell ref="C4:D4"/>
    <mergeCell ref="J5:N5"/>
    <mergeCell ref="F7:H7"/>
    <mergeCell ref="P7:Q7"/>
    <mergeCell ref="F8:H8"/>
    <mergeCell ref="F9:H9"/>
    <mergeCell ref="F10:H10"/>
    <mergeCell ref="S10:T11"/>
    <mergeCell ref="V10:W11"/>
    <mergeCell ref="F11:H11"/>
    <mergeCell ref="F12:H12"/>
    <mergeCell ref="F13:H13"/>
    <mergeCell ref="F14:H14"/>
    <mergeCell ref="F15:H15"/>
    <mergeCell ref="F16:H16"/>
    <mergeCell ref="S16:T17"/>
    <mergeCell ref="F17:H17"/>
    <mergeCell ref="F18:H18"/>
    <mergeCell ref="F19:H19"/>
    <mergeCell ref="F20:H20"/>
    <mergeCell ref="B22:N22"/>
    <mergeCell ref="O22:O24"/>
    <mergeCell ref="P22:W22"/>
    <mergeCell ref="B57:C57"/>
  </mergeCells>
  <printOptions headings="0" gridLines="0"/>
  <pageMargins left="0.69999999999999996" right="0.69999999999999996" top="0.75" bottom="0.75" header="0.51200000000000001" footer="0.51200000000000001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79" operator="between" id="{00CB00BD-008C-4A89-A12B-00C700810092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8" operator="lessThan" id="{004800D1-005A-453C-8E34-007C003000B0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5" operator="between" id="{00DC0036-0052-4E58-907F-003600650007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4" operator="between" id="{003E00B3-00C5-49AC-87C2-008100EE00FE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3" operator="between" id="{00B7009B-00DC-4F06-8F2A-001F007A0046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72" operator="greaterThanOrEqual" id="{00780091-00CD-4071-BB8D-00FC0017000C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69" operator="lessThan" id="{00190067-0091-4A1A-B732-005B00C80033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8" operator="between" id="{00F40069-006C-42AE-B2A0-00B900E8007F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1866" operator="greaterThan" id="{007200A3-005F-4E65-83E0-00C4008900E6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5" operator="lessThan" id="{00A0005F-004C-496D-980D-00BB00A00076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1860" operator="between" id="{00CA0048-0093-414B-BDBF-002B00BA0014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58" operator="between" id="{0053001E-005F-426D-BB88-00F60001007B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54" operator="lessThan" id="{00B700C0-00E3-4941-BF10-003F00E200E8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53" operator="lessThan" id="{00DC0091-00FD-48C7-9ED3-009E007B0083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J51:J53</xm:sqref>
        </x14:conditionalFormatting>
        <x14:conditionalFormatting xmlns:xm="http://schemas.microsoft.com/office/excel/2006/main">
          <x14:cfRule type="cellIs" priority="1850" operator="between" id="{00CB00CC-0053-4E4F-9D00-000B00BC00B7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9" operator="lessThan" id="{000A0014-0012-4B22-A5B4-00F400C20054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8" operator="between" id="{00B900EC-0018-4536-A8E1-0058005300F4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6" operator="between" id="{003E0037-003B-4687-A931-00AA008A0093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N51:N53</xm:sqref>
        </x14:conditionalFormatting>
        <x14:conditionalFormatting xmlns:xm="http://schemas.microsoft.com/office/excel/2006/main">
          <x14:cfRule type="cellIs" priority="1844" operator="between" id="{00E90012-000D-4095-A4E1-0040004200F7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O39:O40</xm:sqref>
        </x14:conditionalFormatting>
        <x14:conditionalFormatting xmlns:xm="http://schemas.microsoft.com/office/excel/2006/main">
          <x14:cfRule type="cellIs" priority="1842" operator="lessThan" id="{000D00FC-00BE-4119-B764-00AA000600CF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O39:O40</xm:sqref>
        </x14:conditionalFormatting>
        <x14:conditionalFormatting xmlns:xm="http://schemas.microsoft.com/office/excel/2006/main">
          <x14:cfRule type="cellIs" priority="1836" operator="between" id="{00000001-002F-4D6D-924E-004300540011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O39:O40</xm:sqref>
        </x14:conditionalFormatting>
        <x14:conditionalFormatting xmlns:xm="http://schemas.microsoft.com/office/excel/2006/main">
          <x14:cfRule type="cellIs" priority="1832" operator="between" id="{00DE0080-0092-4AE6-BB6F-005B00AB00BA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N39:N40</xm:sqref>
        </x14:conditionalFormatting>
        <x14:conditionalFormatting xmlns:xm="http://schemas.microsoft.com/office/excel/2006/main">
          <x14:cfRule type="cellIs" priority="1826" operator="lessThan" id="{009D0052-0037-43CD-9BE0-002500C000D4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J39:J40</xm:sqref>
        </x14:conditionalFormatting>
        <x14:conditionalFormatting xmlns:xm="http://schemas.microsoft.com/office/excel/2006/main">
          <x14:cfRule type="cellIs" priority="244" operator="between" id="{00CC0064-008A-4BBA-B1FA-008E00FC003D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3" operator="lessThan" id="{0090004C-0015-4AD6-8FD8-001400A700DF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2" operator="between" id="{000F0085-0052-483A-AD5F-00D200A800C1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1" operator="between" id="{001F007D-00CB-4FE1-BE38-007800AA0012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N44:N49</xm:sqref>
        </x14:conditionalFormatting>
        <x14:conditionalFormatting xmlns:xm="http://schemas.microsoft.com/office/excel/2006/main">
          <x14:cfRule type="cellIs" priority="240" operator="lessThan" id="{0075004E-00D9-4396-A50B-0075000B00C7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J44:J49</xm:sqref>
        </x14:conditionalFormatting>
        <x14:conditionalFormatting xmlns:xm="http://schemas.microsoft.com/office/excel/2006/main">
          <x14:cfRule type="cellIs" priority="234" operator="lessThan" id="{003800E7-000D-4777-B2F3-00C100620080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233" operator="lessThan" id="{001E00FF-0065-450B-A335-00E000B900B5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32" operator="lessThan" id="{000A0010-007B-4342-94DE-00FE00770010}">
            <xm:f>0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P10:Q10</xm:sqref>
        </x14:conditionalFormatting>
        <x14:conditionalFormatting xmlns:xm="http://schemas.microsoft.com/office/excel/2006/main">
          <x14:cfRule type="cellIs" priority="231" operator="greaterThan" id="{00E00091-00DA-495F-B6B5-008C00860086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30" operator="greaterThan" id="{001500EC-001E-4C60-8F16-00370052003C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229" operator="greaterThan" id="{00410001-0004-4F31-A571-000500CC00D8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228" operator="lessThan" id="{000100C8-0043-407A-B7BC-003300FF007C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227" operator="greaterThan" id="{006A0009-00AF-4C2E-8E55-001D005400C9}">
            <xm:f>$K$14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226" operator="lessThan" id="{00360077-000A-435E-AC6C-001E00400001}">
            <xm:f>$K$14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50" operator="greaterThanOrEqual" id="{00FD0049-001B-4E81-B0F6-001A007C00D6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N39:N56</xm:sqref>
        </x14:conditionalFormatting>
        <x14:conditionalFormatting xmlns:xm="http://schemas.microsoft.com/office/excel/2006/main">
          <x14:cfRule type="cellIs" priority="49" operator="between" id="{00890096-0084-41BF-82E0-00BB007C001B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N41:N56</xm:sqref>
        </x14:conditionalFormatting>
        <x14:conditionalFormatting xmlns:xm="http://schemas.microsoft.com/office/excel/2006/main">
          <x14:cfRule type="cellIs" priority="48" operator="between" id="{00640071-00BB-4863-99DA-00B200B400D8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O39:O56</xm:sqref>
        </x14:conditionalFormatting>
        <x14:conditionalFormatting xmlns:xm="http://schemas.microsoft.com/office/excel/2006/main">
          <x14:cfRule type="cellIs" priority="47" operator="between" id="{006F0090-003D-4999-882C-00C6008F00FB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4" operator="lessThan" id="{00E00037-00C0-47C5-9CDF-007700AA00B9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3" operator="between" id="{004F0084-000C-4677-844C-007600F3003C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31" operator="greaterThan" id="{00EC0088-00C8-49F1-95EC-0056003600C0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J28:J56</xm:sqref>
        </x14:conditionalFormatting>
        <x14:conditionalFormatting xmlns:xm="http://schemas.microsoft.com/office/excel/2006/main">
          <x14:cfRule type="cellIs" priority="30" operator="lessThan" id="{00440060-00D6-448B-B94B-0046004E0057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J28:J56</xm:sqref>
        </x14:conditionalFormatting>
        <x14:conditionalFormatting xmlns:xm="http://schemas.microsoft.com/office/excel/2006/main">
          <x14:cfRule type="cellIs" priority="28" operator="greaterThanOrEqual" id="{00D30026-00B6-4B97-98A2-007F00D70080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N28:N38</xm:sqref>
        </x14:conditionalFormatting>
        <x14:conditionalFormatting xmlns:xm="http://schemas.microsoft.com/office/excel/2006/main">
          <x14:cfRule type="cellIs" priority="27" operator="between" id="{00690070-0053-48A8-923C-00CF009C00A9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N28:N38</xm:sqref>
        </x14:conditionalFormatting>
        <x14:conditionalFormatting xmlns:xm="http://schemas.microsoft.com/office/excel/2006/main">
          <x14:cfRule type="cellIs" priority="26" operator="between" id="{00E60068-0014-498E-A872-008C00C6008A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25" operator="between" id="{00040032-0037-4284-91EF-00D700AE0062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22" operator="greaterThan" id="{0011007A-006F-4967-86AD-004900B1000F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J25:J49</xm:sqref>
        </x14:conditionalFormatting>
        <x14:conditionalFormatting xmlns:xm="http://schemas.microsoft.com/office/excel/2006/main">
          <x14:cfRule type="cellIs" priority="21" operator="lessThan" id="{0026001D-00A1-4A9C-82D2-00310049000B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J25:J44</xm:sqref>
        </x14:conditionalFormatting>
        <x14:conditionalFormatting xmlns:xm="http://schemas.microsoft.com/office/excel/2006/main">
          <x14:cfRule type="cellIs" priority="20" operator="lessThan" id="{002000DC-000A-4DBE-8B91-00A200A90068}">
            <xm:f>0.2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N25:N56</xm:sqref>
        </x14:conditionalFormatting>
        <x14:conditionalFormatting xmlns:xm="http://schemas.microsoft.com/office/excel/2006/main">
          <x14:cfRule type="cellIs" priority="19" operator="greaterThanOrEqual" id="{00FA0040-0040-4EEB-8002-000E00B300B8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N25:N49</xm:sqref>
        </x14:conditionalFormatting>
        <x14:conditionalFormatting xmlns:xm="http://schemas.microsoft.com/office/excel/2006/main">
          <x14:cfRule type="cellIs" priority="18" operator="between" id="{00040069-001A-48F9-BAE5-00A0008900F1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N25:N44</xm:sqref>
        </x14:conditionalFormatting>
        <x14:conditionalFormatting xmlns:xm="http://schemas.microsoft.com/office/excel/2006/main">
          <x14:cfRule type="cellIs" priority="17" operator="between" id="{00A40026-00D5-403C-825F-00B8009B0063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O25:O49</xm:sqref>
        </x14:conditionalFormatting>
        <x14:conditionalFormatting xmlns:xm="http://schemas.microsoft.com/office/excel/2006/main">
          <x14:cfRule type="cellIs" priority="16" operator="between" id="{008A005D-0077-44D2-A93F-009B00C8007F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O25:O44</xm:sqref>
        </x14:conditionalFormatting>
        <x14:conditionalFormatting xmlns:xm="http://schemas.microsoft.com/office/excel/2006/main">
          <x14:cfRule type="cellIs" priority="15" operator="greaterThan" id="{009C0010-0006-41AB-A4B3-00C6006B002B}">
            <xm:f>100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14" operator="greaterThan" id="{002E008D-005E-4ACB-BEF5-00F500B00090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13" operator="lessThan" id="{009A00DA-0055-481B-BDFF-002E004600F9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O25:O44</xm:sqref>
        </x14:conditionalFormatting>
        <x14:conditionalFormatting xmlns:xm="http://schemas.microsoft.com/office/excel/2006/main">
          <x14:cfRule type="cellIs" priority="12" operator="between" id="{0018007A-0035-47ED-B3B0-00D70075001D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O25:O44</xm:sqref>
        </x14:conditionalFormatting>
        <x14:conditionalFormatting xmlns:xm="http://schemas.microsoft.com/office/excel/2006/main">
          <x14:cfRule type="cellIs" priority="8" operator="greaterThan" id="{00D700E8-003E-4E47-81FF-002E004100A0}">
            <xm:f>"100;"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7" operator="greaterThan" id="{003500E8-00EE-4E3C-9323-006000DD00EE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6" operator="lessThan" id="{008900EA-0046-4F6B-80AE-006B00160034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5" operator="greaterThan" id="{009700C0-00F3-47F6-B7BB-007900C100BB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4" operator="lessThan" id="{001B0053-00CB-462C-9E78-00E300EE0034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3" operator="between" id="{00D6001A-00BC-46A2-B257-00D400B400A9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2" operator="lessThan" id="{008700C7-000F-4FCC-B610-0025008600D3}">
            <xm:f>$K$17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1" operator="greaterThan" id="{0068005E-00F0-4834-9797-0030004000D1}">
            <xm:f>$K$17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zoomScale="75" workbookViewId="0">
      <pane xSplit="2" topLeftCell="C1" activePane="topRight" state="frozen"/>
      <selection activeCell="A1" activeCellId="0" sqref="A1"/>
    </sheetView>
  </sheetViews>
  <sheetFormatPr baseColWidth="10" defaultColWidth="9.1640625" defaultRowHeight="14.25"/>
  <cols>
    <col customWidth="1" min="1" max="1" style="381" width="4.1640625"/>
    <col customWidth="1" min="2" max="2" style="3" width="10.33203125"/>
    <col customWidth="1" min="3" max="3" style="3" width="10.83203125"/>
    <col customWidth="1" min="4" max="4" style="3" width="10.33203125"/>
    <col customWidth="1" min="5" max="5" style="3" width="10.1640625"/>
    <col customWidth="1" min="6" max="6" style="3" width="11.33203125"/>
    <col customWidth="1" min="7" max="7" style="3" width="9.83203125"/>
    <col customWidth="1" min="8" max="8" style="3" width="9.5"/>
    <col customWidth="1" min="9" max="9" style="3" width="11"/>
    <col customWidth="1" min="10" max="10" style="3" width="8.83203125"/>
    <col customWidth="1" min="11" max="11" style="3" width="12.6640625"/>
    <col customWidth="1" min="12" max="12" style="3" width="10.1640625"/>
    <col customWidth="1" min="13" max="13" style="3" width="10.83203125"/>
    <col customWidth="1" min="14" max="14" style="3" width="11.6640625"/>
    <col customWidth="1" min="15" max="15" style="3" width="12.83203125"/>
    <col customWidth="1" min="16" max="16" style="3" width="10.33203125"/>
    <col customWidth="1" min="17" max="18" style="3" width="11.33203125"/>
    <col customWidth="1" min="19" max="19" style="3" width="11"/>
    <col customWidth="1" min="20" max="20" style="3" width="9.5"/>
    <col bestFit="1" customWidth="1" min="21" max="21" style="3" width="9.1640625"/>
    <col customWidth="1" min="22" max="23" style="3" width="10.5"/>
    <col bestFit="1" customWidth="1" min="24" max="33" style="3" width="9.1640625"/>
    <col bestFit="1" customWidth="1" min="34" max="255" style="2" width="9.1640625"/>
  </cols>
  <sheetData>
    <row r="1" ht="15.75" customHeight="1">
      <c r="B1" s="314">
        <f ca="1">TODAY()-1</f>
        <v>46060</v>
      </c>
      <c r="C1" s="314"/>
      <c r="D1" s="15"/>
      <c r="E1" s="15"/>
      <c r="F1" s="16"/>
      <c r="G1" s="16"/>
      <c r="H1" s="16"/>
      <c r="I1" s="16"/>
      <c r="J1" s="315"/>
      <c r="K1" s="315"/>
      <c r="L1" s="315"/>
      <c r="M1" s="315"/>
      <c r="N1" s="315"/>
      <c r="O1" s="315"/>
      <c r="P1" s="315"/>
      <c r="Q1" s="316"/>
      <c r="R1" s="316"/>
      <c r="S1" s="316"/>
      <c r="T1" s="316"/>
      <c r="U1" s="16"/>
      <c r="V1" s="16"/>
      <c r="W1" s="16"/>
    </row>
    <row r="2" ht="21.75" customHeight="1">
      <c r="B2" s="317" t="s">
        <v>0</v>
      </c>
      <c r="C2" s="317"/>
      <c r="D2" s="15"/>
      <c r="E2" s="15"/>
      <c r="F2" s="16"/>
      <c r="G2" s="16"/>
      <c r="H2" s="16"/>
      <c r="I2" s="16"/>
      <c r="J2" s="318" t="s">
        <v>78</v>
      </c>
      <c r="K2" s="318"/>
      <c r="L2" s="318"/>
      <c r="M2" s="318"/>
      <c r="N2" s="318"/>
      <c r="O2" s="318"/>
      <c r="P2" s="318"/>
      <c r="Q2" s="316"/>
      <c r="R2" s="316"/>
      <c r="S2" s="316"/>
      <c r="T2" s="316"/>
      <c r="U2" s="16"/>
      <c r="V2" s="16"/>
      <c r="W2" s="16"/>
    </row>
    <row r="3" ht="14" customHeight="1">
      <c r="B3" s="14" t="s">
        <v>1</v>
      </c>
      <c r="C3" s="15"/>
      <c r="D3" s="15"/>
      <c r="E3" s="15"/>
      <c r="F3" s="16"/>
      <c r="G3" s="16"/>
      <c r="H3" s="16"/>
      <c r="I3" s="16"/>
      <c r="J3" s="319" t="s">
        <v>80</v>
      </c>
      <c r="K3" s="320"/>
      <c r="L3" s="320"/>
      <c r="M3" s="320"/>
      <c r="N3" s="321"/>
      <c r="O3" s="315"/>
      <c r="P3" s="322"/>
      <c r="Q3" s="316"/>
      <c r="R3" s="316"/>
      <c r="S3" s="316"/>
      <c r="T3" s="316"/>
      <c r="U3" s="16"/>
      <c r="V3" s="16"/>
      <c r="W3" s="16"/>
    </row>
    <row r="4" ht="15" customHeight="1">
      <c r="B4" s="15"/>
      <c r="C4" s="323">
        <f>I8-D50</f>
        <v>1019670.2608695652</v>
      </c>
      <c r="D4" s="324"/>
      <c r="E4" s="325">
        <f>IF(I8&lt;&gt;0,C4/I8,0)</f>
        <v>1</v>
      </c>
      <c r="F4" s="16"/>
      <c r="G4" s="16"/>
      <c r="H4" s="16"/>
      <c r="I4" s="16"/>
      <c r="J4" s="326"/>
      <c r="K4" s="327"/>
      <c r="L4" s="327"/>
      <c r="M4" s="327"/>
      <c r="N4" s="328"/>
      <c r="O4" s="16"/>
      <c r="P4" s="16"/>
      <c r="Q4" s="316"/>
      <c r="R4" s="316"/>
      <c r="S4" s="316"/>
      <c r="T4" s="316"/>
      <c r="U4" s="16"/>
      <c r="V4" s="16"/>
      <c r="W4" s="16"/>
    </row>
    <row r="5">
      <c r="B5" s="16"/>
      <c r="C5" s="16"/>
      <c r="D5" s="16"/>
      <c r="E5" s="16"/>
      <c r="F5" s="16"/>
      <c r="G5" s="16"/>
      <c r="H5" s="16"/>
      <c r="I5" s="16"/>
      <c r="J5" s="329"/>
      <c r="K5" s="329"/>
      <c r="L5" s="329"/>
      <c r="M5" s="329"/>
      <c r="N5" s="329"/>
      <c r="O5" s="16"/>
      <c r="P5" s="16"/>
      <c r="Q5" s="16"/>
      <c r="R5" s="16"/>
      <c r="S5" s="16"/>
      <c r="T5" s="16"/>
      <c r="U5" s="16"/>
      <c r="V5" s="16"/>
      <c r="W5" s="16"/>
    </row>
    <row r="6" ht="15.75" customHeight="1">
      <c r="B6" s="330"/>
      <c r="C6" s="16"/>
      <c r="D6" s="16"/>
      <c r="E6" s="16"/>
      <c r="F6" s="331" t="s">
        <v>2</v>
      </c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3"/>
      <c r="R6" s="34"/>
      <c r="S6" s="34"/>
      <c r="T6" s="16"/>
      <c r="U6" s="16"/>
      <c r="V6" s="16"/>
      <c r="W6" s="16"/>
    </row>
    <row r="7" ht="50.75" customHeight="1">
      <c r="B7" s="330"/>
      <c r="C7" s="16"/>
      <c r="D7" s="16"/>
      <c r="E7" s="16"/>
      <c r="F7" s="35" t="s">
        <v>3</v>
      </c>
      <c r="G7" s="36"/>
      <c r="H7" s="37"/>
      <c r="I7" s="38" t="s">
        <v>4</v>
      </c>
      <c r="J7" s="39" t="s">
        <v>5</v>
      </c>
      <c r="K7" s="40" t="s">
        <v>6</v>
      </c>
      <c r="L7" s="41" t="s">
        <v>7</v>
      </c>
      <c r="M7" s="41" t="s">
        <v>8</v>
      </c>
      <c r="N7" s="42" t="s">
        <v>9</v>
      </c>
      <c r="O7" s="42" t="s">
        <v>10</v>
      </c>
      <c r="P7" s="43" t="s">
        <v>11</v>
      </c>
      <c r="Q7" s="44"/>
      <c r="R7" s="34"/>
      <c r="S7" s="34"/>
      <c r="T7" s="16"/>
      <c r="U7" s="16"/>
      <c r="V7" s="16"/>
      <c r="W7" s="16"/>
    </row>
    <row r="8" ht="15.75" customHeight="1">
      <c r="B8" s="330"/>
      <c r="C8" s="16"/>
      <c r="D8" s="16"/>
      <c r="E8" s="382"/>
      <c r="F8" s="46" t="s">
        <v>12</v>
      </c>
      <c r="G8" s="47"/>
      <c r="H8" s="48"/>
      <c r="I8" s="340">
        <f>'Ялта, Ленина, 18'!I8/График!AJ31*График!AJ27</f>
        <v>1019670.2608695652</v>
      </c>
      <c r="J8" s="341">
        <f>D57</f>
        <v>280692.70000000001</v>
      </c>
      <c r="K8" s="51">
        <f t="shared" ref="K8:K9" si="83">IF(AND(I8&lt;&gt;"",I8&lt;&gt;0,J8&lt;&gt;""),J8/I8,"")</f>
        <v>0.2752779116659026</v>
      </c>
      <c r="L8" s="342">
        <f>IF(SUMIF($D$25:$D$56,"&gt;=0",$P$25:$P$56)&lt;&gt;0,I8*D57/SUMIF($D$25:$D$56,"&gt;=0",$P$25:$P$56),0)</f>
        <v>484890.31734234234</v>
      </c>
      <c r="M8" s="383">
        <f t="shared" ref="M8:M9" si="84">IF(AND(I8&lt;&gt;"",I8&lt;&gt;0,L8&lt;&gt;"",L8&lt;&gt;0),L8/I8,"")</f>
        <v>0.47553639244988127</v>
      </c>
      <c r="N8" s="56">
        <f t="shared" ref="N8:N9" si="85">IF(AND(J8&lt;&gt;0,J8&lt;&gt;"",I8&lt;&gt;0,I8&lt;&gt;""),L8-I8,"")</f>
        <v>-534779.94352722284</v>
      </c>
      <c r="O8" s="55"/>
      <c r="P8" s="56" t="str">
        <f t="shared" ref="P8:P9" si="86">IF(AND(O8&lt;&gt;"",O8&lt;&gt;0,L8&lt;&gt;"",L8&lt;&gt;0),-O8+L8,"")</f>
        <v/>
      </c>
      <c r="Q8" s="57" t="str">
        <f t="shared" ref="Q8:Q9" si="87">IF(AND(P8&lt;&gt;"",P8&lt;&gt;0,O8&lt;&gt;0,O8&lt;&gt;""),P8/O8,"")</f>
        <v/>
      </c>
      <c r="R8" s="34"/>
      <c r="S8" s="58"/>
      <c r="T8" s="16"/>
      <c r="U8" s="16"/>
      <c r="V8" s="16"/>
      <c r="W8" s="16"/>
    </row>
    <row r="9" ht="15.75" customHeight="1">
      <c r="B9" s="330"/>
      <c r="C9" s="16"/>
      <c r="D9" s="16"/>
      <c r="E9" s="16"/>
      <c r="F9" s="59" t="s">
        <v>13</v>
      </c>
      <c r="G9" s="60"/>
      <c r="H9" s="61"/>
      <c r="I9" s="62">
        <f>I8/I11</f>
        <v>130.72695652173914</v>
      </c>
      <c r="J9" s="384">
        <f>E57</f>
        <v>34</v>
      </c>
      <c r="K9" s="64">
        <f t="shared" si="83"/>
        <v>0.26008407833120473</v>
      </c>
      <c r="L9" s="385">
        <f>IF(SUMIF($E$25:$E$54,"&gt;=0",$Q$25:$Q$54)&lt;&gt;0,I9*E57/SUMIF($E$25:$E$54,"&gt;=0",$Q$25:$Q$54),0)</f>
        <v>58.734234234234258</v>
      </c>
      <c r="M9" s="386">
        <f t="shared" si="84"/>
        <v>0.44928938756764442</v>
      </c>
      <c r="N9" s="67">
        <f t="shared" si="85"/>
        <v>-71.992722287504876</v>
      </c>
      <c r="O9" s="68" t="e">
        <f>O8/O11</f>
        <v>#DIV/0!</v>
      </c>
      <c r="P9" s="67" t="e">
        <f t="shared" si="86"/>
        <v>#DIV/0!</v>
      </c>
      <c r="Q9" s="69" t="e">
        <f t="shared" si="87"/>
        <v>#DIV/0!</v>
      </c>
      <c r="R9" s="34"/>
      <c r="S9" s="58"/>
      <c r="T9" s="16"/>
      <c r="U9" s="16"/>
      <c r="V9" s="16"/>
      <c r="W9" s="16"/>
    </row>
    <row r="10" ht="15.75" customHeight="1">
      <c r="B10" s="330"/>
      <c r="C10" s="16"/>
      <c r="D10" s="16"/>
      <c r="E10" s="16"/>
      <c r="F10" s="46" t="s">
        <v>14</v>
      </c>
      <c r="G10" s="47"/>
      <c r="H10" s="48"/>
      <c r="I10" s="74">
        <f>I11*I12</f>
        <v>13572</v>
      </c>
      <c r="J10" s="346">
        <f>H57</f>
        <v>14773.300000000001</v>
      </c>
      <c r="K10" s="71">
        <f t="shared" ref="K10:K19" si="88">IF(AND(I10&lt;&gt;"",I10&lt;&gt;0,J10&lt;&gt;""),J10/I10,"")</f>
        <v>1.0885131152372534</v>
      </c>
      <c r="L10" s="344">
        <f>J10</f>
        <v>14773.300000000001</v>
      </c>
      <c r="M10" s="387">
        <f t="shared" ref="M10:M20" si="89">IF(AND(I10&lt;&gt;"",I10&lt;&gt;0,L10&lt;&gt;"",L10&lt;&gt;0),L10/I10,"")</f>
        <v>1.0885131152372534</v>
      </c>
      <c r="N10" s="73">
        <f t="shared" ref="N10:N20" si="90">IF(AND(J10&lt;&gt;0,J10&lt;&gt;"",I10&lt;&gt;0,I10&lt;&gt;""),L10-I10,"")</f>
        <v>1201.3000000000011</v>
      </c>
      <c r="O10" s="74">
        <f>O11*O12</f>
        <v>0</v>
      </c>
      <c r="P10" s="73" t="str">
        <f t="shared" ref="P10:P20" si="91">IF(AND(O10&lt;&gt;"",O10&lt;&gt;0,L10&lt;&gt;"",L10&lt;&gt;0),-O10+L10,"")</f>
        <v/>
      </c>
      <c r="Q10" s="75" t="str">
        <f t="shared" ref="Q10:Q20" si="92">IF(AND(P10&lt;&gt;"",P10&lt;&gt;0,O10&lt;&gt;0,O10&lt;&gt;""),P10/O10,"")</f>
        <v/>
      </c>
      <c r="R10" s="34"/>
      <c r="S10" s="78" t="s">
        <v>36</v>
      </c>
      <c r="T10" s="78"/>
      <c r="U10" s="16"/>
      <c r="V10" s="78" t="str">
        <f>M23</f>
        <v>Agafi</v>
      </c>
      <c r="W10" s="78"/>
    </row>
    <row r="11" ht="15.75" customHeight="1">
      <c r="B11" s="330"/>
      <c r="C11" s="16"/>
      <c r="D11" s="16"/>
      <c r="E11" s="16"/>
      <c r="F11" s="59" t="s">
        <v>15</v>
      </c>
      <c r="G11" s="60"/>
      <c r="H11" s="61"/>
      <c r="I11" s="79">
        <f>'Ялта, Ленина, 18'!I11</f>
        <v>7800</v>
      </c>
      <c r="J11" s="384">
        <f>F57</f>
        <v>8255.6676470588245</v>
      </c>
      <c r="K11" s="64">
        <f t="shared" si="88"/>
        <v>1.0584189291101056</v>
      </c>
      <c r="L11" s="385">
        <f>IF(L9&gt;0,L8/L9,"")</f>
        <v>8255.6676470588209</v>
      </c>
      <c r="M11" s="386">
        <f t="shared" si="89"/>
        <v>1.0584189291101052</v>
      </c>
      <c r="N11" s="67">
        <f t="shared" si="90"/>
        <v>455.66764705882088</v>
      </c>
      <c r="O11" s="80"/>
      <c r="P11" s="67" t="str">
        <f t="shared" si="91"/>
        <v/>
      </c>
      <c r="Q11" s="69" t="str">
        <f t="shared" si="92"/>
        <v/>
      </c>
      <c r="R11" s="34"/>
      <c r="S11" s="78"/>
      <c r="T11" s="78"/>
      <c r="U11" s="16"/>
      <c r="V11" s="78"/>
      <c r="W11" s="78"/>
    </row>
    <row r="12" ht="15.75" customHeight="1">
      <c r="B12" s="330"/>
      <c r="C12" s="16"/>
      <c r="D12" s="16"/>
      <c r="E12" s="16"/>
      <c r="F12" s="59" t="s">
        <v>16</v>
      </c>
      <c r="G12" s="60"/>
      <c r="H12" s="61"/>
      <c r="I12" s="83">
        <f>'Ялта, Ленина, 18'!I12</f>
        <v>1.74</v>
      </c>
      <c r="J12" s="84">
        <f>J57</f>
        <v>1.7894736842105263</v>
      </c>
      <c r="K12" s="64">
        <f t="shared" si="88"/>
        <v>1.0284331518451302</v>
      </c>
      <c r="L12" s="350">
        <f>J12</f>
        <v>1.7894736842105263</v>
      </c>
      <c r="M12" s="388">
        <f t="shared" si="89"/>
        <v>1.0284331518451302</v>
      </c>
      <c r="N12" s="86">
        <f t="shared" si="90"/>
        <v>0.049473684210526336</v>
      </c>
      <c r="O12" s="87"/>
      <c r="P12" s="67" t="str">
        <f t="shared" si="91"/>
        <v/>
      </c>
      <c r="Q12" s="69" t="str">
        <f t="shared" si="92"/>
        <v/>
      </c>
      <c r="R12" s="34"/>
      <c r="S12" s="88">
        <f>'Ялта, Ленина, 18'!U12*График!AJ28/График!AJ31</f>
        <v>217304.34782608695</v>
      </c>
      <c r="T12" s="89">
        <f>L57</f>
        <v>0</v>
      </c>
      <c r="U12" s="389">
        <f>S12-T12</f>
        <v>217304.34782608695</v>
      </c>
      <c r="V12" s="88">
        <f>'Ялта, Ленина, 18'!X12/График!AJ31*График!AJ28</f>
        <v>204521.73913043478</v>
      </c>
      <c r="W12" s="89">
        <f>M57</f>
        <v>13793</v>
      </c>
      <c r="X12" s="390">
        <f>V12-W12</f>
        <v>190728.73913043478</v>
      </c>
    </row>
    <row r="13" ht="15.75" customHeight="1">
      <c r="B13" s="330"/>
      <c r="C13" s="16"/>
      <c r="D13" s="16"/>
      <c r="E13" s="16"/>
      <c r="F13" s="59" t="s">
        <v>17</v>
      </c>
      <c r="G13" s="60"/>
      <c r="H13" s="61"/>
      <c r="I13" s="62">
        <f>IF(I12&lt;&gt;0,I9/I12,"")</f>
        <v>75.130434782608702</v>
      </c>
      <c r="J13" s="384">
        <f>G57</f>
        <v>19</v>
      </c>
      <c r="K13" s="64">
        <f t="shared" si="88"/>
        <v>0.25289351851851849</v>
      </c>
      <c r="L13" s="385">
        <f>IF(SUMIF($G$25:$G$54,"&gt;=0",$R$25:$R$54)&lt;&gt;0,I13*G57/SUMIF($G$25:$G$54,"&gt;=0",$R$25:$R$54),"")</f>
        <v>32.822072072072075</v>
      </c>
      <c r="M13" s="386">
        <f t="shared" si="89"/>
        <v>0.43686785744077411</v>
      </c>
      <c r="N13" s="86">
        <f t="shared" si="90"/>
        <v>-42.308362710536628</v>
      </c>
      <c r="O13" s="90"/>
      <c r="P13" s="67" t="str">
        <f t="shared" si="91"/>
        <v/>
      </c>
      <c r="Q13" s="69" t="str">
        <f t="shared" si="92"/>
        <v/>
      </c>
      <c r="R13" s="34"/>
      <c r="S13" s="91">
        <f>T12/S12</f>
        <v>0</v>
      </c>
      <c r="T13" s="91">
        <f>S13/J14*I14</f>
        <v>0</v>
      </c>
      <c r="U13" s="16"/>
      <c r="V13" s="91">
        <f>W12/V12</f>
        <v>0.067440263605442183</v>
      </c>
      <c r="W13" s="91">
        <f>V13/J14*I14</f>
        <v>0.067440263605442183</v>
      </c>
    </row>
    <row r="14" ht="15.75" customHeight="1">
      <c r="B14" s="330"/>
      <c r="C14" s="16"/>
      <c r="D14" s="16"/>
      <c r="E14" s="16"/>
      <c r="F14" s="59" t="s">
        <v>75</v>
      </c>
      <c r="G14" s="60"/>
      <c r="H14" s="61"/>
      <c r="I14" s="79">
        <f>График!AI27</f>
        <v>21</v>
      </c>
      <c r="J14" s="93">
        <v>21</v>
      </c>
      <c r="K14" s="64">
        <f t="shared" si="88"/>
        <v>1</v>
      </c>
      <c r="L14" s="65">
        <f>I14</f>
        <v>21</v>
      </c>
      <c r="M14" s="388">
        <f t="shared" si="89"/>
        <v>1</v>
      </c>
      <c r="N14" s="67">
        <f t="shared" si="90"/>
        <v>0</v>
      </c>
      <c r="O14" s="90"/>
      <c r="P14" s="67" t="str">
        <f t="shared" si="91"/>
        <v/>
      </c>
      <c r="Q14" s="69" t="str">
        <f t="shared" si="92"/>
        <v/>
      </c>
      <c r="R14" s="34"/>
      <c r="S14" s="94"/>
      <c r="T14" s="7"/>
      <c r="U14" s="16"/>
      <c r="V14" s="16"/>
      <c r="W14" s="16"/>
    </row>
    <row r="15" ht="15.75" customHeight="1">
      <c r="B15" s="330"/>
      <c r="C15" s="16"/>
      <c r="D15" s="16"/>
      <c r="E15" s="16"/>
      <c r="F15" s="59" t="s">
        <v>19</v>
      </c>
      <c r="G15" s="60"/>
      <c r="H15" s="61"/>
      <c r="I15" s="104">
        <f>'Ялта, Ленина, 18'!I15</f>
        <v>84058.838709677424</v>
      </c>
      <c r="J15" s="384">
        <f>J8/J14</f>
        <v>13366.319047619048</v>
      </c>
      <c r="K15" s="97">
        <f t="shared" si="88"/>
        <v>0.15901146450266421</v>
      </c>
      <c r="L15" s="385">
        <f t="shared" ref="L15:L16" si="93">J15</f>
        <v>13366.319047619048</v>
      </c>
      <c r="M15" s="386">
        <f t="shared" si="89"/>
        <v>0.15901146450266421</v>
      </c>
      <c r="N15" s="67">
        <f t="shared" si="90"/>
        <v>-70692.519662058374</v>
      </c>
      <c r="O15" s="100"/>
      <c r="P15" s="67" t="str">
        <f t="shared" si="91"/>
        <v/>
      </c>
      <c r="Q15" s="69" t="str">
        <f t="shared" si="92"/>
        <v/>
      </c>
      <c r="R15" s="34"/>
      <c r="S15" s="58"/>
      <c r="T15" s="7"/>
      <c r="U15" s="16"/>
      <c r="V15" s="16"/>
      <c r="W15" s="16"/>
    </row>
    <row r="16" ht="15.75" customHeight="1">
      <c r="B16" s="330"/>
      <c r="C16" s="16"/>
      <c r="D16" s="16"/>
      <c r="E16" s="16"/>
      <c r="F16" s="59" t="s">
        <v>20</v>
      </c>
      <c r="G16" s="60"/>
      <c r="H16" s="61"/>
      <c r="I16" s="104"/>
      <c r="J16" s="63">
        <f>J8-I15*J14</f>
        <v>-1484542.912903226</v>
      </c>
      <c r="K16" s="97" t="str">
        <f t="shared" si="88"/>
        <v/>
      </c>
      <c r="L16" s="344">
        <f t="shared" si="93"/>
        <v>-1484542.912903226</v>
      </c>
      <c r="M16" s="391" t="str">
        <f t="shared" si="89"/>
        <v/>
      </c>
      <c r="N16" s="67" t="str">
        <f t="shared" si="90"/>
        <v/>
      </c>
      <c r="O16" s="100"/>
      <c r="P16" s="67" t="str">
        <f t="shared" si="91"/>
        <v/>
      </c>
      <c r="Q16" s="69" t="str">
        <f t="shared" si="92"/>
        <v/>
      </c>
      <c r="R16" s="34"/>
      <c r="S16" s="78" t="s">
        <v>35</v>
      </c>
      <c r="T16" s="78"/>
      <c r="U16" s="16"/>
      <c r="V16" s="16"/>
      <c r="W16" s="16"/>
    </row>
    <row r="17" ht="15.75" customHeight="1">
      <c r="B17" s="330"/>
      <c r="C17" s="16"/>
      <c r="D17" s="351"/>
      <c r="E17" s="16"/>
      <c r="F17" s="59" t="s">
        <v>21</v>
      </c>
      <c r="G17" s="60"/>
      <c r="H17" s="61"/>
      <c r="I17" s="104">
        <f>'Ялта, Ленина, 18'!I17/График!AJ31*График!AJ28</f>
        <v>681.73913043478262</v>
      </c>
      <c r="J17" s="384">
        <f>I57</f>
        <v>257</v>
      </c>
      <c r="K17" s="97">
        <f t="shared" si="88"/>
        <v>0.37697704081632655</v>
      </c>
      <c r="L17" s="385">
        <f>J17/J14*I14</f>
        <v>257</v>
      </c>
      <c r="M17" s="392">
        <f t="shared" si="89"/>
        <v>0.37697704081632655</v>
      </c>
      <c r="N17" s="67">
        <f t="shared" si="90"/>
        <v>-424.73913043478262</v>
      </c>
      <c r="O17" s="100"/>
      <c r="P17" s="67" t="str">
        <f t="shared" si="91"/>
        <v/>
      </c>
      <c r="Q17" s="69" t="str">
        <f t="shared" si="92"/>
        <v/>
      </c>
      <c r="R17" s="34"/>
      <c r="S17" s="78"/>
      <c r="T17" s="78"/>
      <c r="U17" s="16"/>
      <c r="V17" s="16"/>
      <c r="W17" s="16"/>
    </row>
    <row r="18" ht="15.75" customHeight="1">
      <c r="B18" s="330"/>
      <c r="C18" s="16"/>
      <c r="D18" s="16"/>
      <c r="E18" s="16"/>
      <c r="F18" s="59"/>
      <c r="G18" s="60"/>
      <c r="H18" s="61"/>
      <c r="I18" s="105"/>
      <c r="J18" s="63"/>
      <c r="K18" s="97" t="str">
        <f t="shared" si="88"/>
        <v/>
      </c>
      <c r="L18" s="344">
        <f t="shared" ref="L18:L19" si="94">J18</f>
        <v>0</v>
      </c>
      <c r="M18" s="391" t="str">
        <f t="shared" si="89"/>
        <v/>
      </c>
      <c r="N18" s="67" t="str">
        <f t="shared" si="90"/>
        <v/>
      </c>
      <c r="O18" s="108">
        <v>0</v>
      </c>
      <c r="P18" s="67" t="str">
        <f t="shared" si="91"/>
        <v/>
      </c>
      <c r="Q18" s="69" t="str">
        <f t="shared" si="92"/>
        <v/>
      </c>
      <c r="R18" s="34"/>
      <c r="S18" s="88">
        <f>'Ялта, Ленина, 18'!U18*График!AJ28/График!AJ31</f>
        <v>434608.69565217389</v>
      </c>
      <c r="T18" s="89">
        <f>K57</f>
        <v>47970</v>
      </c>
      <c r="U18" s="16"/>
      <c r="V18" s="16"/>
      <c r="W18" s="16"/>
    </row>
    <row r="19" ht="15.75" customHeight="1">
      <c r="B19" s="330"/>
      <c r="C19" s="16"/>
      <c r="D19" s="16"/>
      <c r="E19" s="16"/>
      <c r="F19" s="59"/>
      <c r="G19" s="60"/>
      <c r="H19" s="61"/>
      <c r="I19" s="105"/>
      <c r="J19" s="384"/>
      <c r="K19" s="97" t="str">
        <f t="shared" si="88"/>
        <v/>
      </c>
      <c r="L19" s="385">
        <f t="shared" si="94"/>
        <v>0</v>
      </c>
      <c r="M19" s="392" t="str">
        <f t="shared" si="89"/>
        <v/>
      </c>
      <c r="N19" s="67" t="str">
        <f t="shared" si="90"/>
        <v/>
      </c>
      <c r="O19" s="100">
        <v>0</v>
      </c>
      <c r="P19" s="67" t="str">
        <f t="shared" si="91"/>
        <v/>
      </c>
      <c r="Q19" s="69" t="str">
        <f t="shared" si="92"/>
        <v/>
      </c>
      <c r="R19" s="34"/>
      <c r="S19" s="91">
        <f>T18/S18</f>
        <v>0.11037515006002402</v>
      </c>
      <c r="T19" s="91">
        <f>S19/J14*I14</f>
        <v>0.11037515006002402</v>
      </c>
      <c r="U19" s="16"/>
      <c r="V19" s="16"/>
      <c r="W19" s="16"/>
    </row>
    <row r="20" ht="15.75" customHeight="1">
      <c r="B20" s="330"/>
      <c r="C20" s="16"/>
      <c r="D20" s="16"/>
      <c r="E20" s="16"/>
      <c r="F20" s="109" t="s">
        <v>22</v>
      </c>
      <c r="G20" s="109"/>
      <c r="H20" s="109"/>
      <c r="I20" s="354">
        <f>'Ялта, Ленина, 18'!I20</f>
        <v>0.12</v>
      </c>
      <c r="J20" s="355">
        <f>N57</f>
        <v>0.073929961089494164</v>
      </c>
      <c r="K20" s="356">
        <f>J20/I20</f>
        <v>0.61608300907911806</v>
      </c>
      <c r="L20" s="357">
        <f>IF(AND(K8&lt;&gt;0,I14&lt;&gt;0,I57&lt;&gt;0),(I57*N57+(I57/K8-I57)*I20)/(I57/K8),0)</f>
        <v>0.10731793589834908</v>
      </c>
      <c r="M20" s="357">
        <f t="shared" si="89"/>
        <v>0.89431613248624231</v>
      </c>
      <c r="N20" s="115">
        <f t="shared" si="90"/>
        <v>-0.012682064101650917</v>
      </c>
      <c r="O20" s="116"/>
      <c r="P20" s="117" t="str">
        <f t="shared" si="91"/>
        <v/>
      </c>
      <c r="Q20" s="118" t="str">
        <f t="shared" si="92"/>
        <v/>
      </c>
      <c r="R20" s="34"/>
      <c r="S20" s="34"/>
      <c r="T20" s="16"/>
      <c r="U20" s="16"/>
      <c r="V20" s="16"/>
      <c r="W20" s="16"/>
    </row>
    <row r="21" ht="15.75" customHeight="1">
      <c r="B21" s="3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4"/>
      <c r="S21" s="34"/>
      <c r="T21" s="16"/>
      <c r="U21" s="16"/>
      <c r="V21" s="16"/>
      <c r="W21" s="16"/>
    </row>
    <row r="22" ht="16.5" customHeight="1">
      <c r="B22" s="358" t="s">
        <v>23</v>
      </c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9" t="s">
        <v>24</v>
      </c>
      <c r="P22" s="358" t="s">
        <v>25</v>
      </c>
      <c r="Q22" s="358"/>
      <c r="R22" s="358"/>
      <c r="S22" s="358"/>
      <c r="T22" s="358"/>
      <c r="U22" s="358"/>
      <c r="V22" s="358"/>
      <c r="W22" s="358"/>
    </row>
    <row r="23" ht="42">
      <c r="B23" s="359" t="s">
        <v>27</v>
      </c>
      <c r="C23" s="359" t="s">
        <v>28</v>
      </c>
      <c r="D23" s="359" t="s">
        <v>29</v>
      </c>
      <c r="E23" s="359" t="s">
        <v>30</v>
      </c>
      <c r="F23" s="359" t="s">
        <v>31</v>
      </c>
      <c r="G23" s="359" t="s">
        <v>32</v>
      </c>
      <c r="H23" s="359" t="s">
        <v>33</v>
      </c>
      <c r="I23" s="359" t="s">
        <v>21</v>
      </c>
      <c r="J23" s="359" t="s">
        <v>34</v>
      </c>
      <c r="K23" s="123" t="s">
        <v>35</v>
      </c>
      <c r="L23" s="123" t="s">
        <v>36</v>
      </c>
      <c r="M23" s="123" t="s">
        <v>37</v>
      </c>
      <c r="N23" s="359" t="s">
        <v>40</v>
      </c>
      <c r="O23" s="359"/>
      <c r="P23" s="359" t="s">
        <v>41</v>
      </c>
      <c r="Q23" s="359" t="s">
        <v>42</v>
      </c>
      <c r="R23" s="359" t="s">
        <v>43</v>
      </c>
      <c r="S23" s="359" t="s">
        <v>44</v>
      </c>
      <c r="T23" s="359" t="s">
        <v>45</v>
      </c>
      <c r="U23" s="359" t="s">
        <v>46</v>
      </c>
      <c r="V23" s="360" t="s">
        <v>47</v>
      </c>
      <c r="W23" s="360" t="s">
        <v>48</v>
      </c>
      <c r="X23" s="178"/>
    </row>
    <row r="24">
      <c r="B24" s="361">
        <v>1</v>
      </c>
      <c r="C24" s="361">
        <v>2</v>
      </c>
      <c r="D24" s="361">
        <v>3</v>
      </c>
      <c r="E24" s="361" t="s">
        <v>79</v>
      </c>
      <c r="F24" s="361">
        <v>5</v>
      </c>
      <c r="G24" s="361">
        <v>6</v>
      </c>
      <c r="H24" s="361">
        <v>7</v>
      </c>
      <c r="I24" s="361">
        <v>8</v>
      </c>
      <c r="J24" s="361">
        <v>9</v>
      </c>
      <c r="K24" s="361">
        <v>10</v>
      </c>
      <c r="L24" s="361">
        <v>11</v>
      </c>
      <c r="M24" s="361">
        <v>12</v>
      </c>
      <c r="N24" s="361">
        <v>13</v>
      </c>
      <c r="O24" s="359"/>
      <c r="P24" s="363">
        <v>1</v>
      </c>
      <c r="Q24" s="363">
        <v>2</v>
      </c>
      <c r="R24" s="363">
        <v>3</v>
      </c>
      <c r="S24" s="363">
        <v>4</v>
      </c>
      <c r="T24" s="363">
        <v>5</v>
      </c>
      <c r="U24" s="363">
        <v>6</v>
      </c>
      <c r="V24" s="363">
        <v>10</v>
      </c>
      <c r="W24" s="363">
        <v>11</v>
      </c>
    </row>
    <row r="25">
      <c r="A25" s="128">
        <v>1</v>
      </c>
      <c r="B25" s="129">
        <v>45993</v>
      </c>
      <c r="C25" s="130" t="s">
        <v>52</v>
      </c>
      <c r="D25" s="133"/>
      <c r="E25" s="132"/>
      <c r="F25" s="132" t="str">
        <f t="shared" ref="F25:F57" si="95">IF(AND(E25&lt;&gt;"",E25&lt;&gt;0),D25/E25,"")</f>
        <v/>
      </c>
      <c r="G25" s="132"/>
      <c r="H25" s="132" t="str">
        <f t="shared" ref="H25:H57" si="96">IF(AND(G25&lt;&gt;"",G25&lt;&gt;0),D25/G25,"")</f>
        <v/>
      </c>
      <c r="I25" s="132">
        <v>10</v>
      </c>
      <c r="J25" s="133" t="str">
        <f t="shared" ref="J25:J57" si="97">IF(AND(G25&lt;&gt;"",G25&lt;&gt;0),E25/G25,"")</f>
        <v/>
      </c>
      <c r="K25" s="132"/>
      <c r="L25" s="132"/>
      <c r="M25" s="132"/>
      <c r="N25" s="134">
        <f t="shared" ref="N25:N57" si="98">IF(AND(I25&lt;&gt;"",I25&lt;&gt;0),G25/I25,"")</f>
        <v>0</v>
      </c>
      <c r="O25" s="135">
        <f t="shared" ref="O25:O57" si="99">D25/P25</f>
        <v>0</v>
      </c>
      <c r="P25" s="369">
        <f t="shared" ref="P25:P56" si="100">$I$8*V25*W25/SUMPRODUCT($W$25:$W$56,$V$25:$V$56)</f>
        <v>44314.222549742066</v>
      </c>
      <c r="Q25" s="137">
        <f>$I$9*V25*W25/SUMPRODUCT($W$25:$W$56,$V$25:$V$56)</f>
        <v>5.6813105833002657</v>
      </c>
      <c r="R25" s="368">
        <f t="shared" ref="R25:R56" si="101">IF($I$12="","",Q25/$I$12)</f>
        <v>3.2651210248852101</v>
      </c>
      <c r="S25" s="136">
        <f>IF(D25&lt;&gt;"",D25,P25)</f>
        <v>44314.222549742066</v>
      </c>
      <c r="T25" s="137">
        <f>IF(E25&lt;&gt;"",E25,Q25)</f>
        <v>5.6813105833002657</v>
      </c>
      <c r="U25" s="137">
        <f>IF(G25&lt;&gt;"",G25,R25)</f>
        <v>3.2651210248852101</v>
      </c>
      <c r="V25" s="379">
        <v>1</v>
      </c>
      <c r="W25" s="364">
        <v>1</v>
      </c>
      <c r="X25" s="139"/>
      <c r="Y25" s="140"/>
    </row>
    <row r="26">
      <c r="A26" s="128">
        <v>2</v>
      </c>
      <c r="B26" s="129">
        <v>45996</v>
      </c>
      <c r="C26" s="130" t="s">
        <v>55</v>
      </c>
      <c r="D26" s="133">
        <v>11384</v>
      </c>
      <c r="E26" s="132">
        <v>2</v>
      </c>
      <c r="F26" s="132">
        <f t="shared" si="95"/>
        <v>5692</v>
      </c>
      <c r="G26" s="132">
        <v>1</v>
      </c>
      <c r="H26" s="132">
        <f t="shared" si="96"/>
        <v>11384</v>
      </c>
      <c r="I26" s="132">
        <v>13</v>
      </c>
      <c r="J26" s="133">
        <f t="shared" si="97"/>
        <v>2</v>
      </c>
      <c r="K26" s="132"/>
      <c r="L26" s="132"/>
      <c r="M26" s="132"/>
      <c r="N26" s="134">
        <f t="shared" si="98"/>
        <v>0.076923076923076927</v>
      </c>
      <c r="O26" s="135">
        <f t="shared" si="99"/>
        <v>0.25689269369944662</v>
      </c>
      <c r="P26" s="136">
        <f t="shared" si="100"/>
        <v>44314.222549742066</v>
      </c>
      <c r="Q26" s="368">
        <f t="shared" ref="Q26:Q56" si="102">$I$9*V26*W26/SUMPRODUCT($W$25:$W$58,$V$25:$V$58)</f>
        <v>5.6813105833002657</v>
      </c>
      <c r="R26" s="137">
        <f t="shared" si="101"/>
        <v>3.2651210248852101</v>
      </c>
      <c r="S26" s="369">
        <f>IF(W26&lt;&gt;"",IF(D26&lt;&gt;"",D26,($I$8-SUM($S$25:S25))*V26*W26/SUMPRODUCT($W26:$W$56,$V26:$V$56)),"")</f>
        <v>11384</v>
      </c>
      <c r="T26" s="137">
        <f t="shared" ref="T26:T27" si="103">IF(W26&lt;&gt;"",IF(E26&lt;&gt;"",E26,($I$9-SUM($T$25:T25))*V26*W26/SUMPRODUCT($W26:$W$55,$V26:$V$55)),"")</f>
        <v>2</v>
      </c>
      <c r="U26" s="137">
        <f t="shared" ref="U26:U27" si="104">IF(W26&lt;&gt;"",IF($I$12&lt;&gt;"",IF(G26&lt;&gt;"",G26,($I$9/$I$12-SUM($U$25:U25))*V26*W26/SUMPRODUCT($W26:$W$55,$V26:$V$55)),""),"")</f>
        <v>1</v>
      </c>
      <c r="V26" s="364">
        <v>1</v>
      </c>
      <c r="W26" s="364">
        <v>1</v>
      </c>
      <c r="X26" s="141"/>
      <c r="Y26" s="140"/>
    </row>
    <row r="27">
      <c r="A27" s="128">
        <v>3</v>
      </c>
      <c r="B27" s="129">
        <v>45997</v>
      </c>
      <c r="C27" s="130" t="s">
        <v>56</v>
      </c>
      <c r="D27" s="133">
        <v>5893</v>
      </c>
      <c r="E27" s="132">
        <v>1</v>
      </c>
      <c r="F27" s="132">
        <f t="shared" si="95"/>
        <v>5893</v>
      </c>
      <c r="G27" s="410">
        <v>1</v>
      </c>
      <c r="H27" s="132">
        <f t="shared" si="96"/>
        <v>5893</v>
      </c>
      <c r="I27" s="411">
        <v>10</v>
      </c>
      <c r="J27" s="133">
        <f t="shared" si="97"/>
        <v>1</v>
      </c>
      <c r="K27" s="132"/>
      <c r="L27" s="132"/>
      <c r="M27" s="132"/>
      <c r="N27" s="134">
        <f t="shared" si="98"/>
        <v>0.10000000000000001</v>
      </c>
      <c r="O27" s="135">
        <f t="shared" si="99"/>
        <v>0.13298213668050238</v>
      </c>
      <c r="P27" s="369">
        <f t="shared" si="100"/>
        <v>44314.222549742066</v>
      </c>
      <c r="Q27" s="137">
        <f t="shared" si="102"/>
        <v>5.6813105833002657</v>
      </c>
      <c r="R27" s="368">
        <f t="shared" si="101"/>
        <v>3.2651210248852101</v>
      </c>
      <c r="S27" s="136">
        <f t="shared" ref="S27:S53" si="105">IF(W27&lt;&gt;"",IF(D27&lt;&gt;"",D27,($I$8-SUM($S$25:S26))*V27*W27/SUMPRODUCT($W27:$W$58,$V27:$V$58)),"")</f>
        <v>5893</v>
      </c>
      <c r="T27" s="137">
        <f t="shared" si="103"/>
        <v>1</v>
      </c>
      <c r="U27" s="137">
        <f t="shared" si="104"/>
        <v>1</v>
      </c>
      <c r="V27" s="379">
        <v>1</v>
      </c>
      <c r="W27" s="364">
        <v>1</v>
      </c>
      <c r="X27" s="141"/>
      <c r="Y27" s="140"/>
      <c r="Z27" s="376"/>
      <c r="AA27" s="2"/>
      <c r="AB27" s="2"/>
      <c r="AC27" s="2"/>
      <c r="AD27" s="2"/>
      <c r="AE27" s="2"/>
      <c r="AF27" s="2"/>
      <c r="AG27" s="2"/>
    </row>
    <row r="28">
      <c r="A28" s="128">
        <v>4</v>
      </c>
      <c r="B28" s="129">
        <v>45998</v>
      </c>
      <c r="C28" s="168" t="s">
        <v>57</v>
      </c>
      <c r="D28" s="133"/>
      <c r="E28" s="142"/>
      <c r="F28" s="132" t="str">
        <f t="shared" si="95"/>
        <v/>
      </c>
      <c r="G28" s="142"/>
      <c r="H28" s="132" t="str">
        <f t="shared" si="96"/>
        <v/>
      </c>
      <c r="I28" s="142">
        <v>13</v>
      </c>
      <c r="J28" s="133" t="str">
        <f t="shared" si="97"/>
        <v/>
      </c>
      <c r="K28" s="142"/>
      <c r="L28" s="132"/>
      <c r="M28" s="142"/>
      <c r="N28" s="134">
        <f t="shared" si="98"/>
        <v>0</v>
      </c>
      <c r="O28" s="367">
        <f t="shared" si="99"/>
        <v>0</v>
      </c>
      <c r="P28" s="136">
        <f t="shared" si="100"/>
        <v>44314.222549742066</v>
      </c>
      <c r="Q28" s="368">
        <f t="shared" si="102"/>
        <v>5.6813105833002657</v>
      </c>
      <c r="R28" s="137">
        <f t="shared" si="101"/>
        <v>3.2651210248852101</v>
      </c>
      <c r="S28" s="369">
        <f t="shared" si="105"/>
        <v>47880.011910036133</v>
      </c>
      <c r="T28" s="137">
        <f t="shared" ref="T28:T53" si="106">IF(W28&lt;&gt;"",IF(E28&lt;&gt;"",E28,($I$9-SUM($T$25:T27))*V28*W28/SUMPRODUCT($W28:$W$58,$V28:$V$58)),"")</f>
        <v>6.0992326805816521</v>
      </c>
      <c r="U28" s="368">
        <f t="shared" ref="U28:U53" si="107">IF(W28&lt;&gt;"",IF($I$12&lt;&gt;"",IF(G28&lt;&gt;"",G28,($I$9/$I$12-SUM($U$25:U27))*V28*W28/SUMPRODUCT($W28:$W$58,$V28:$V$58)),""),"")</f>
        <v>3.4915199279222136</v>
      </c>
      <c r="V28" s="364">
        <v>1</v>
      </c>
      <c r="W28" s="364">
        <v>1</v>
      </c>
      <c r="X28" s="141"/>
      <c r="Y28" s="140"/>
      <c r="Z28" s="2"/>
      <c r="AA28" s="2"/>
      <c r="AB28" s="2"/>
      <c r="AC28" s="2"/>
      <c r="AD28" s="2"/>
      <c r="AE28" s="2"/>
      <c r="AF28" s="2"/>
      <c r="AG28" s="2"/>
    </row>
    <row r="29">
      <c r="A29" s="128">
        <v>5</v>
      </c>
      <c r="B29" s="129">
        <v>46000</v>
      </c>
      <c r="C29" s="130" t="s">
        <v>52</v>
      </c>
      <c r="D29" s="377"/>
      <c r="E29" s="132"/>
      <c r="F29" s="132" t="str">
        <f t="shared" si="95"/>
        <v/>
      </c>
      <c r="G29" s="410"/>
      <c r="H29" s="132" t="str">
        <f t="shared" si="96"/>
        <v/>
      </c>
      <c r="I29" s="411">
        <v>1</v>
      </c>
      <c r="J29" s="377" t="str">
        <f t="shared" si="97"/>
        <v/>
      </c>
      <c r="K29" s="132"/>
      <c r="L29" s="142"/>
      <c r="M29" s="132"/>
      <c r="N29" s="378">
        <f t="shared" si="98"/>
        <v>0</v>
      </c>
      <c r="O29" s="135">
        <f t="shared" si="99"/>
        <v>0</v>
      </c>
      <c r="P29" s="369">
        <f t="shared" si="100"/>
        <v>44314.222549742066</v>
      </c>
      <c r="Q29" s="137">
        <f t="shared" si="102"/>
        <v>5.6813105833002657</v>
      </c>
      <c r="R29" s="368">
        <f t="shared" si="101"/>
        <v>3.2651210248852101</v>
      </c>
      <c r="S29" s="136">
        <f t="shared" si="105"/>
        <v>47880.011910036133</v>
      </c>
      <c r="T29" s="368">
        <f t="shared" si="106"/>
        <v>6.0992326805816521</v>
      </c>
      <c r="U29" s="137">
        <f t="shared" si="107"/>
        <v>3.4915199279222136</v>
      </c>
      <c r="V29" s="379">
        <v>1</v>
      </c>
      <c r="W29" s="364">
        <v>1</v>
      </c>
      <c r="X29" s="141"/>
      <c r="Y29" s="140"/>
      <c r="Z29" s="2"/>
      <c r="AA29" s="2"/>
      <c r="AB29" s="2"/>
      <c r="AC29" s="2"/>
      <c r="AD29" s="2"/>
      <c r="AE29" s="2"/>
      <c r="AF29" s="2"/>
      <c r="AG29" s="2"/>
    </row>
    <row r="30">
      <c r="A30" s="128">
        <v>6</v>
      </c>
      <c r="B30" s="129">
        <v>46001</v>
      </c>
      <c r="C30" s="168" t="s">
        <v>53</v>
      </c>
      <c r="D30" s="133">
        <v>19875</v>
      </c>
      <c r="E30" s="132">
        <v>3</v>
      </c>
      <c r="F30" s="132">
        <f t="shared" si="95"/>
        <v>6625</v>
      </c>
      <c r="G30" s="410">
        <v>1</v>
      </c>
      <c r="H30" s="132">
        <f t="shared" si="96"/>
        <v>19875</v>
      </c>
      <c r="I30" s="142">
        <v>4</v>
      </c>
      <c r="J30" s="133">
        <f t="shared" si="97"/>
        <v>3</v>
      </c>
      <c r="K30" s="142">
        <v>12490</v>
      </c>
      <c r="L30" s="132"/>
      <c r="M30" s="142"/>
      <c r="N30" s="134">
        <f t="shared" si="98"/>
        <v>0.25</v>
      </c>
      <c r="O30" s="367">
        <f t="shared" si="99"/>
        <v>0.44850160640166042</v>
      </c>
      <c r="P30" s="136">
        <f t="shared" si="100"/>
        <v>44314.222549742066</v>
      </c>
      <c r="Q30" s="368">
        <f t="shared" si="102"/>
        <v>5.6813105833002657</v>
      </c>
      <c r="R30" s="137">
        <f t="shared" si="101"/>
        <v>3.2651210248852101</v>
      </c>
      <c r="S30" s="369">
        <f t="shared" si="105"/>
        <v>19875</v>
      </c>
      <c r="T30" s="137">
        <f t="shared" si="106"/>
        <v>3</v>
      </c>
      <c r="U30" s="368">
        <f t="shared" si="107"/>
        <v>1</v>
      </c>
      <c r="V30" s="364">
        <v>1</v>
      </c>
      <c r="W30" s="364">
        <v>1</v>
      </c>
      <c r="X30" s="141"/>
      <c r="Y30" s="140"/>
      <c r="Z30" s="2"/>
      <c r="AA30" s="2"/>
      <c r="AB30" s="2"/>
      <c r="AC30" s="2"/>
      <c r="AD30" s="2"/>
      <c r="AE30" s="2"/>
      <c r="AF30" s="2"/>
      <c r="AG30" s="2"/>
    </row>
    <row r="31">
      <c r="A31" s="128">
        <v>7</v>
      </c>
      <c r="B31" s="129">
        <v>46004</v>
      </c>
      <c r="C31" s="130" t="s">
        <v>56</v>
      </c>
      <c r="D31" s="377"/>
      <c r="E31" s="132"/>
      <c r="F31" s="132" t="str">
        <f t="shared" si="95"/>
        <v/>
      </c>
      <c r="G31" s="142"/>
      <c r="H31" s="132" t="str">
        <f t="shared" si="96"/>
        <v/>
      </c>
      <c r="I31" s="411">
        <v>10</v>
      </c>
      <c r="J31" s="377" t="str">
        <f t="shared" si="97"/>
        <v/>
      </c>
      <c r="K31" s="132"/>
      <c r="L31" s="142"/>
      <c r="M31" s="132"/>
      <c r="N31" s="378">
        <f t="shared" si="98"/>
        <v>0</v>
      </c>
      <c r="O31" s="135">
        <f t="shared" si="99"/>
        <v>0</v>
      </c>
      <c r="P31" s="369">
        <f t="shared" si="100"/>
        <v>44314.222549742066</v>
      </c>
      <c r="Q31" s="137">
        <f t="shared" si="102"/>
        <v>5.6813105833002657</v>
      </c>
      <c r="R31" s="368">
        <f t="shared" si="101"/>
        <v>3.2651210248852101</v>
      </c>
      <c r="S31" s="136">
        <f t="shared" si="105"/>
        <v>49526.397089932456</v>
      </c>
      <c r="T31" s="368">
        <f t="shared" si="106"/>
        <v>6.2814333084818097</v>
      </c>
      <c r="U31" s="137">
        <f t="shared" si="107"/>
        <v>3.63799376260312</v>
      </c>
      <c r="V31" s="379">
        <v>1</v>
      </c>
      <c r="W31" s="364">
        <v>1</v>
      </c>
      <c r="X31" s="141"/>
      <c r="Y31" s="140"/>
      <c r="AE31" s="2"/>
      <c r="AF31" s="2"/>
      <c r="AG31" s="2"/>
    </row>
    <row r="32">
      <c r="A32" s="128">
        <v>8</v>
      </c>
      <c r="B32" s="129">
        <v>46005</v>
      </c>
      <c r="C32" s="168" t="s">
        <v>57</v>
      </c>
      <c r="D32" s="133">
        <f>6493+13684</f>
        <v>20177</v>
      </c>
      <c r="E32" s="142">
        <v>3</v>
      </c>
      <c r="F32" s="132">
        <f t="shared" si="95"/>
        <v>6725.666666666667</v>
      </c>
      <c r="G32" s="410">
        <v>2</v>
      </c>
      <c r="H32" s="132">
        <f t="shared" si="96"/>
        <v>10088.5</v>
      </c>
      <c r="I32" s="411">
        <v>18</v>
      </c>
      <c r="J32" s="133">
        <f t="shared" si="97"/>
        <v>1.5</v>
      </c>
      <c r="K32" s="132"/>
      <c r="L32" s="132"/>
      <c r="M32" s="142"/>
      <c r="N32" s="134">
        <f t="shared" si="98"/>
        <v>0.1111111111111111</v>
      </c>
      <c r="O32" s="367">
        <f t="shared" si="99"/>
        <v>0.45531657420710953</v>
      </c>
      <c r="P32" s="136">
        <f t="shared" si="100"/>
        <v>44314.222549742066</v>
      </c>
      <c r="Q32" s="368">
        <f t="shared" si="102"/>
        <v>5.6813105833002657</v>
      </c>
      <c r="R32" s="137">
        <f t="shared" si="101"/>
        <v>3.2651210248852101</v>
      </c>
      <c r="S32" s="369">
        <f t="shared" si="105"/>
        <v>20177</v>
      </c>
      <c r="T32" s="137">
        <f t="shared" si="106"/>
        <v>3</v>
      </c>
      <c r="U32" s="137">
        <f t="shared" si="107"/>
        <v>2</v>
      </c>
      <c r="V32" s="364">
        <v>1</v>
      </c>
      <c r="W32" s="364">
        <v>1</v>
      </c>
      <c r="X32" s="141"/>
      <c r="Y32" s="140"/>
      <c r="AE32" s="2"/>
      <c r="AF32" s="2"/>
      <c r="AG32" s="2"/>
    </row>
    <row r="33">
      <c r="A33" s="128">
        <v>9</v>
      </c>
      <c r="B33" s="129">
        <v>46006</v>
      </c>
      <c r="C33" s="130" t="s">
        <v>50</v>
      </c>
      <c r="D33" s="377">
        <v>0</v>
      </c>
      <c r="E33" s="132">
        <v>0</v>
      </c>
      <c r="F33" s="132" t="str">
        <f t="shared" si="95"/>
        <v/>
      </c>
      <c r="G33" s="410">
        <v>0</v>
      </c>
      <c r="H33" s="132" t="str">
        <f t="shared" si="96"/>
        <v/>
      </c>
      <c r="I33" s="142">
        <v>5</v>
      </c>
      <c r="J33" s="133" t="str">
        <f t="shared" si="97"/>
        <v/>
      </c>
      <c r="K33" s="132"/>
      <c r="L33" s="142"/>
      <c r="M33" s="410"/>
      <c r="N33" s="134">
        <f t="shared" si="98"/>
        <v>0</v>
      </c>
      <c r="O33" s="412">
        <f t="shared" si="99"/>
        <v>0</v>
      </c>
      <c r="P33" s="369">
        <f t="shared" si="100"/>
        <v>44314.222549742066</v>
      </c>
      <c r="Q33" s="137">
        <f t="shared" si="102"/>
        <v>5.6813105833002657</v>
      </c>
      <c r="R33" s="137">
        <f t="shared" si="101"/>
        <v>3.2651210248852101</v>
      </c>
      <c r="S33" s="136">
        <f t="shared" si="105"/>
        <v>0</v>
      </c>
      <c r="T33" s="137">
        <f t="shared" si="106"/>
        <v>0</v>
      </c>
      <c r="U33" s="137">
        <f t="shared" si="107"/>
        <v>0</v>
      </c>
      <c r="V33" s="364">
        <v>1</v>
      </c>
      <c r="W33" s="364">
        <v>1</v>
      </c>
      <c r="X33" s="141"/>
      <c r="Y33" s="140"/>
      <c r="Z33" s="2"/>
      <c r="AA33" s="2"/>
      <c r="AB33" s="2"/>
      <c r="AC33" s="2"/>
      <c r="AD33" s="2"/>
      <c r="AE33" s="2"/>
      <c r="AF33" s="2"/>
      <c r="AG33" s="2"/>
    </row>
    <row r="34" s="393" customFormat="1">
      <c r="A34" s="128">
        <v>10</v>
      </c>
      <c r="B34" s="129">
        <v>46009</v>
      </c>
      <c r="C34" s="130" t="s">
        <v>54</v>
      </c>
      <c r="D34" s="133">
        <v>0</v>
      </c>
      <c r="E34" s="394">
        <v>0</v>
      </c>
      <c r="F34" s="132" t="str">
        <f t="shared" si="95"/>
        <v/>
      </c>
      <c r="G34" s="142">
        <v>0</v>
      </c>
      <c r="H34" s="132" t="str">
        <f t="shared" si="96"/>
        <v/>
      </c>
      <c r="I34" s="411">
        <v>26</v>
      </c>
      <c r="J34" s="377" t="str">
        <f t="shared" si="97"/>
        <v/>
      </c>
      <c r="K34" s="132"/>
      <c r="L34" s="132"/>
      <c r="M34" s="142"/>
      <c r="N34" s="134">
        <f t="shared" si="98"/>
        <v>0</v>
      </c>
      <c r="O34" s="367">
        <f t="shared" si="99"/>
        <v>0</v>
      </c>
      <c r="P34" s="136">
        <f t="shared" si="100"/>
        <v>44314.222549742066</v>
      </c>
      <c r="Q34" s="368">
        <f t="shared" si="102"/>
        <v>5.6813105833002657</v>
      </c>
      <c r="R34" s="137">
        <f t="shared" si="101"/>
        <v>3.2651210248852101</v>
      </c>
      <c r="S34" s="136">
        <f t="shared" si="105"/>
        <v>0</v>
      </c>
      <c r="T34" s="137">
        <f t="shared" si="106"/>
        <v>0</v>
      </c>
      <c r="U34" s="137">
        <f t="shared" si="107"/>
        <v>0</v>
      </c>
      <c r="V34" s="364">
        <v>1</v>
      </c>
      <c r="W34" s="364">
        <v>1</v>
      </c>
      <c r="X34" s="141"/>
      <c r="Y34" s="140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="159" customFormat="1">
      <c r="A35" s="128">
        <v>11</v>
      </c>
      <c r="B35" s="146">
        <v>46010</v>
      </c>
      <c r="C35" s="147" t="s">
        <v>55</v>
      </c>
      <c r="D35" s="150"/>
      <c r="E35" s="147"/>
      <c r="F35" s="149" t="str">
        <f t="shared" si="95"/>
        <v/>
      </c>
      <c r="G35" s="413"/>
      <c r="H35" s="149" t="str">
        <f t="shared" si="96"/>
        <v/>
      </c>
      <c r="I35" s="414">
        <v>12</v>
      </c>
      <c r="J35" s="150" t="str">
        <f t="shared" si="97"/>
        <v/>
      </c>
      <c r="K35" s="149"/>
      <c r="L35" s="149"/>
      <c r="M35" s="413"/>
      <c r="N35" s="134">
        <f t="shared" si="98"/>
        <v>0</v>
      </c>
      <c r="O35" s="415">
        <f t="shared" si="99"/>
        <v>0</v>
      </c>
      <c r="P35" s="374">
        <f t="shared" si="100"/>
        <v>35894.520265291074</v>
      </c>
      <c r="Q35" s="154">
        <f t="shared" si="102"/>
        <v>4.601861572473215</v>
      </c>
      <c r="R35" s="154">
        <f t="shared" si="101"/>
        <v>2.6447480301570203</v>
      </c>
      <c r="S35" s="153">
        <f t="shared" si="105"/>
        <v>48110.676410603613</v>
      </c>
      <c r="T35" s="154">
        <f t="shared" si="106"/>
        <v>6.0744239268042239</v>
      </c>
      <c r="U35" s="154">
        <f t="shared" si="107"/>
        <v>3.5017576412616083</v>
      </c>
      <c r="V35" s="155">
        <v>0.90000000000000002</v>
      </c>
      <c r="W35" s="155">
        <v>0.90000000000000002</v>
      </c>
      <c r="X35" s="156"/>
      <c r="Y35" s="157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58"/>
      <c r="DZ35" s="158"/>
      <c r="EA35" s="158"/>
      <c r="EB35" s="158"/>
      <c r="EC35" s="158"/>
      <c r="ED35" s="158"/>
      <c r="EE35" s="158"/>
      <c r="EF35" s="158"/>
      <c r="EG35" s="158"/>
      <c r="EH35" s="158"/>
      <c r="EI35" s="158"/>
      <c r="EJ35" s="158"/>
      <c r="EK35" s="158"/>
      <c r="EL35" s="158"/>
      <c r="EM35" s="158"/>
      <c r="EN35" s="158"/>
      <c r="EO35" s="158"/>
      <c r="EP35" s="158"/>
      <c r="EQ35" s="158"/>
      <c r="ER35" s="158"/>
      <c r="ES35" s="158"/>
      <c r="ET35" s="158"/>
      <c r="EU35" s="158"/>
      <c r="EV35" s="158"/>
      <c r="EW35" s="158"/>
      <c r="EX35" s="158"/>
      <c r="EY35" s="158"/>
      <c r="EZ35" s="158"/>
      <c r="FA35" s="158"/>
      <c r="FB35" s="158"/>
      <c r="FC35" s="158"/>
      <c r="FD35" s="158"/>
      <c r="FE35" s="158"/>
      <c r="FF35" s="158"/>
      <c r="FG35" s="158"/>
      <c r="FH35" s="158"/>
      <c r="FI35" s="158"/>
      <c r="FJ35" s="158"/>
      <c r="FK35" s="158"/>
      <c r="FL35" s="158"/>
      <c r="FM35" s="158"/>
      <c r="FN35" s="158"/>
      <c r="FO35" s="158"/>
      <c r="FP35" s="158"/>
      <c r="FQ35" s="158"/>
      <c r="FR35" s="158"/>
      <c r="FS35" s="158"/>
      <c r="FT35" s="158"/>
      <c r="FU35" s="158"/>
      <c r="FV35" s="158"/>
      <c r="FW35" s="158"/>
      <c r="FX35" s="158"/>
      <c r="FY35" s="158"/>
      <c r="FZ35" s="158"/>
      <c r="GA35" s="158"/>
      <c r="GB35" s="158"/>
      <c r="GC35" s="158"/>
      <c r="GD35" s="158"/>
      <c r="GE35" s="158"/>
      <c r="GF35" s="158"/>
      <c r="GG35" s="158"/>
      <c r="GH35" s="158"/>
      <c r="GI35" s="158"/>
      <c r="GJ35" s="158"/>
      <c r="GK35" s="158"/>
      <c r="GL35" s="158"/>
      <c r="GM35" s="158"/>
      <c r="GN35" s="158"/>
      <c r="GO35" s="158"/>
      <c r="GP35" s="158"/>
      <c r="GQ35" s="158"/>
      <c r="GR35" s="158"/>
      <c r="GS35" s="158"/>
      <c r="GT35" s="158"/>
      <c r="GU35" s="158"/>
      <c r="GV35" s="158"/>
      <c r="GW35" s="158"/>
      <c r="GX35" s="158"/>
      <c r="GY35" s="158"/>
      <c r="GZ35" s="158"/>
      <c r="HA35" s="158"/>
      <c r="HB35" s="158"/>
      <c r="HC35" s="158"/>
      <c r="HD35" s="158"/>
      <c r="HE35" s="158"/>
      <c r="HF35" s="158"/>
      <c r="HG35" s="158"/>
      <c r="HH35" s="158"/>
      <c r="HI35" s="158"/>
      <c r="HJ35" s="158"/>
      <c r="HK35" s="158"/>
      <c r="HL35" s="158"/>
      <c r="HM35" s="158"/>
      <c r="HN35" s="158"/>
      <c r="HO35" s="158"/>
      <c r="HP35" s="158"/>
      <c r="HQ35" s="158"/>
      <c r="HR35" s="158"/>
      <c r="HS35" s="158"/>
      <c r="HT35" s="158"/>
      <c r="HU35" s="158"/>
      <c r="HV35" s="158"/>
      <c r="HW35" s="158"/>
      <c r="HX35" s="158"/>
      <c r="HY35" s="158"/>
      <c r="HZ35" s="158"/>
      <c r="IA35" s="158"/>
      <c r="IB35" s="158"/>
      <c r="IC35" s="158"/>
      <c r="ID35" s="158"/>
      <c r="IE35" s="158"/>
      <c r="IF35" s="158"/>
      <c r="IG35" s="158"/>
      <c r="IH35" s="158"/>
      <c r="II35" s="158"/>
      <c r="IJ35" s="158"/>
      <c r="IK35" s="158"/>
      <c r="IL35" s="158"/>
      <c r="IM35" s="158"/>
      <c r="IN35" s="158"/>
      <c r="IO35" s="158"/>
      <c r="IP35" s="158"/>
      <c r="IQ35" s="158"/>
      <c r="IR35" s="158"/>
      <c r="IS35" s="158"/>
      <c r="IT35" s="158"/>
      <c r="IU35" s="158"/>
    </row>
    <row r="36" s="159" customFormat="1">
      <c r="A36" s="128">
        <v>12</v>
      </c>
      <c r="B36" s="146">
        <v>46011</v>
      </c>
      <c r="C36" s="147" t="s">
        <v>56</v>
      </c>
      <c r="D36" s="150">
        <v>45832.699999999997</v>
      </c>
      <c r="E36" s="147">
        <v>4</v>
      </c>
      <c r="F36" s="149">
        <f t="shared" si="95"/>
        <v>11458.174999999999</v>
      </c>
      <c r="G36" s="413">
        <v>3</v>
      </c>
      <c r="H36" s="149">
        <f t="shared" si="96"/>
        <v>15277.566666666666</v>
      </c>
      <c r="I36" s="371">
        <v>18</v>
      </c>
      <c r="J36" s="150">
        <f t="shared" si="97"/>
        <v>1.3333333333333333</v>
      </c>
      <c r="K36" s="149"/>
      <c r="L36" s="371"/>
      <c r="M36" s="413"/>
      <c r="N36" s="134">
        <f t="shared" si="98"/>
        <v>0.16666666666666666</v>
      </c>
      <c r="O36" s="415">
        <f t="shared" si="99"/>
        <v>1.0342661421748618</v>
      </c>
      <c r="P36" s="416">
        <f t="shared" si="100"/>
        <v>44314.222549742066</v>
      </c>
      <c r="Q36" s="373">
        <f t="shared" si="102"/>
        <v>5.6813105833002657</v>
      </c>
      <c r="R36" s="154">
        <f t="shared" si="101"/>
        <v>3.2651210248852101</v>
      </c>
      <c r="S36" s="153">
        <f t="shared" si="105"/>
        <v>45832.699999999997</v>
      </c>
      <c r="T36" s="154">
        <f t="shared" si="106"/>
        <v>4</v>
      </c>
      <c r="U36" s="154">
        <f t="shared" si="107"/>
        <v>3</v>
      </c>
      <c r="V36" s="155">
        <v>1</v>
      </c>
      <c r="W36" s="155">
        <v>1</v>
      </c>
      <c r="X36" s="156"/>
      <c r="Y36" s="157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58"/>
      <c r="EC36" s="158"/>
      <c r="ED36" s="158"/>
      <c r="EE36" s="158"/>
      <c r="EF36" s="158"/>
      <c r="EG36" s="158"/>
      <c r="EH36" s="158"/>
      <c r="EI36" s="158"/>
      <c r="EJ36" s="158"/>
      <c r="EK36" s="158"/>
      <c r="EL36" s="158"/>
      <c r="EM36" s="158"/>
      <c r="EN36" s="158"/>
      <c r="EO36" s="158"/>
      <c r="EP36" s="158"/>
      <c r="EQ36" s="158"/>
      <c r="ER36" s="158"/>
      <c r="ES36" s="158"/>
      <c r="ET36" s="158"/>
      <c r="EU36" s="158"/>
      <c r="EV36" s="158"/>
      <c r="EW36" s="158"/>
      <c r="EX36" s="158"/>
      <c r="EY36" s="158"/>
      <c r="EZ36" s="158"/>
      <c r="FA36" s="158"/>
      <c r="FB36" s="158"/>
      <c r="FC36" s="158"/>
      <c r="FD36" s="158"/>
      <c r="FE36" s="158"/>
      <c r="FF36" s="158"/>
      <c r="FG36" s="158"/>
      <c r="FH36" s="158"/>
      <c r="FI36" s="158"/>
      <c r="FJ36" s="158"/>
      <c r="FK36" s="158"/>
      <c r="FL36" s="158"/>
      <c r="FM36" s="158"/>
      <c r="FN36" s="158"/>
      <c r="FO36" s="158"/>
      <c r="FP36" s="158"/>
      <c r="FQ36" s="158"/>
      <c r="FR36" s="158"/>
      <c r="FS36" s="158"/>
      <c r="FT36" s="158"/>
      <c r="FU36" s="158"/>
      <c r="FV36" s="158"/>
      <c r="FW36" s="158"/>
      <c r="FX36" s="158"/>
      <c r="FY36" s="158"/>
      <c r="FZ36" s="158"/>
      <c r="GA36" s="158"/>
      <c r="GB36" s="158"/>
      <c r="GC36" s="158"/>
      <c r="GD36" s="158"/>
      <c r="GE36" s="158"/>
      <c r="GF36" s="158"/>
      <c r="GG36" s="158"/>
      <c r="GH36" s="158"/>
      <c r="GI36" s="158"/>
      <c r="GJ36" s="158"/>
      <c r="GK36" s="158"/>
      <c r="GL36" s="158"/>
      <c r="GM36" s="158"/>
      <c r="GN36" s="158"/>
      <c r="GO36" s="158"/>
      <c r="GP36" s="158"/>
      <c r="GQ36" s="158"/>
      <c r="GR36" s="158"/>
      <c r="GS36" s="158"/>
      <c r="GT36" s="158"/>
      <c r="GU36" s="158"/>
      <c r="GV36" s="158"/>
      <c r="GW36" s="158"/>
      <c r="GX36" s="158"/>
      <c r="GY36" s="158"/>
      <c r="GZ36" s="158"/>
      <c r="HA36" s="158"/>
      <c r="HB36" s="158"/>
      <c r="HC36" s="158"/>
      <c r="HD36" s="158"/>
      <c r="HE36" s="158"/>
      <c r="HF36" s="158"/>
      <c r="HG36" s="158"/>
      <c r="HH36" s="158"/>
      <c r="HI36" s="158"/>
      <c r="HJ36" s="158"/>
      <c r="HK36" s="158"/>
      <c r="HL36" s="158"/>
      <c r="HM36" s="158"/>
      <c r="HN36" s="158"/>
      <c r="HO36" s="158"/>
      <c r="HP36" s="158"/>
      <c r="HQ36" s="158"/>
      <c r="HR36" s="158"/>
      <c r="HS36" s="158"/>
      <c r="HT36" s="158"/>
      <c r="HU36" s="158"/>
      <c r="HV36" s="158"/>
      <c r="HW36" s="158"/>
      <c r="HX36" s="158"/>
      <c r="HY36" s="158"/>
      <c r="HZ36" s="158"/>
      <c r="IA36" s="158"/>
      <c r="IB36" s="158"/>
      <c r="IC36" s="158"/>
      <c r="ID36" s="158"/>
      <c r="IE36" s="158"/>
      <c r="IF36" s="158"/>
      <c r="IG36" s="158"/>
      <c r="IH36" s="158"/>
      <c r="II36" s="158"/>
      <c r="IJ36" s="158"/>
      <c r="IK36" s="158"/>
      <c r="IL36" s="158"/>
      <c r="IM36" s="158"/>
      <c r="IN36" s="158"/>
      <c r="IO36" s="158"/>
      <c r="IP36" s="158"/>
      <c r="IQ36" s="158"/>
      <c r="IR36" s="158"/>
      <c r="IS36" s="158"/>
      <c r="IT36" s="158"/>
      <c r="IU36" s="158"/>
    </row>
    <row r="37" s="159" customFormat="1">
      <c r="A37" s="128">
        <v>13</v>
      </c>
      <c r="B37" s="146">
        <v>46012</v>
      </c>
      <c r="C37" s="147" t="s">
        <v>57</v>
      </c>
      <c r="D37" s="150">
        <v>38767</v>
      </c>
      <c r="E37" s="149">
        <v>4</v>
      </c>
      <c r="F37" s="149">
        <v>9692</v>
      </c>
      <c r="G37" s="413">
        <v>2</v>
      </c>
      <c r="H37" s="149">
        <f t="shared" si="96"/>
        <v>19383.5</v>
      </c>
      <c r="I37" s="414">
        <v>15</v>
      </c>
      <c r="J37" s="397">
        <f t="shared" si="97"/>
        <v>2</v>
      </c>
      <c r="K37" s="149"/>
      <c r="L37" s="149"/>
      <c r="M37" s="371"/>
      <c r="N37" s="134">
        <f t="shared" si="98"/>
        <v>0.13333333333333333</v>
      </c>
      <c r="O37" s="415">
        <f t="shared" si="99"/>
        <v>0.87482071825776953</v>
      </c>
      <c r="P37" s="374">
        <f t="shared" si="100"/>
        <v>44314.222549742066</v>
      </c>
      <c r="Q37" s="154">
        <f t="shared" si="102"/>
        <v>5.6813105833002657</v>
      </c>
      <c r="R37" s="154">
        <f t="shared" si="101"/>
        <v>3.2651210248852101</v>
      </c>
      <c r="S37" s="153">
        <f t="shared" si="105"/>
        <v>38767</v>
      </c>
      <c r="T37" s="154">
        <f t="shared" si="106"/>
        <v>4</v>
      </c>
      <c r="U37" s="154">
        <f t="shared" si="107"/>
        <v>2</v>
      </c>
      <c r="V37" s="155">
        <v>1</v>
      </c>
      <c r="W37" s="155">
        <v>1</v>
      </c>
      <c r="X37" s="156"/>
      <c r="Y37" s="157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58"/>
      <c r="EC37" s="158"/>
      <c r="ED37" s="158"/>
      <c r="EE37" s="158"/>
      <c r="EF37" s="158"/>
      <c r="EG37" s="158"/>
      <c r="EH37" s="158"/>
      <c r="EI37" s="158"/>
      <c r="EJ37" s="158"/>
      <c r="EK37" s="158"/>
      <c r="EL37" s="158"/>
      <c r="EM37" s="158"/>
      <c r="EN37" s="158"/>
      <c r="EO37" s="158"/>
      <c r="EP37" s="158"/>
      <c r="EQ37" s="158"/>
      <c r="ER37" s="158"/>
      <c r="ES37" s="158"/>
      <c r="ET37" s="158"/>
      <c r="EU37" s="158"/>
      <c r="EV37" s="158"/>
      <c r="EW37" s="158"/>
      <c r="EX37" s="158"/>
      <c r="EY37" s="158"/>
      <c r="EZ37" s="158"/>
      <c r="FA37" s="158"/>
      <c r="FB37" s="158"/>
      <c r="FC37" s="158"/>
      <c r="FD37" s="158"/>
      <c r="FE37" s="158"/>
      <c r="FF37" s="158"/>
      <c r="FG37" s="158"/>
      <c r="FH37" s="158"/>
      <c r="FI37" s="158"/>
      <c r="FJ37" s="158"/>
      <c r="FK37" s="158"/>
      <c r="FL37" s="158"/>
      <c r="FM37" s="158"/>
      <c r="FN37" s="158"/>
      <c r="FO37" s="158"/>
      <c r="FP37" s="158"/>
      <c r="FQ37" s="158"/>
      <c r="FR37" s="158"/>
      <c r="FS37" s="158"/>
      <c r="FT37" s="158"/>
      <c r="FU37" s="158"/>
      <c r="FV37" s="158"/>
      <c r="FW37" s="158"/>
      <c r="FX37" s="158"/>
      <c r="FY37" s="158"/>
      <c r="FZ37" s="158"/>
      <c r="GA37" s="158"/>
      <c r="GB37" s="158"/>
      <c r="GC37" s="158"/>
      <c r="GD37" s="158"/>
      <c r="GE37" s="158"/>
      <c r="GF37" s="158"/>
      <c r="GG37" s="158"/>
      <c r="GH37" s="158"/>
      <c r="GI37" s="158"/>
      <c r="GJ37" s="158"/>
      <c r="GK37" s="158"/>
      <c r="GL37" s="158"/>
      <c r="GM37" s="158"/>
      <c r="GN37" s="158"/>
      <c r="GO37" s="158"/>
      <c r="GP37" s="158"/>
      <c r="GQ37" s="158"/>
      <c r="GR37" s="158"/>
      <c r="GS37" s="158"/>
      <c r="GT37" s="158"/>
      <c r="GU37" s="158"/>
      <c r="GV37" s="158"/>
      <c r="GW37" s="158"/>
      <c r="GX37" s="158"/>
      <c r="GY37" s="158"/>
      <c r="GZ37" s="158"/>
      <c r="HA37" s="158"/>
      <c r="HB37" s="158"/>
      <c r="HC37" s="158"/>
      <c r="HD37" s="158"/>
      <c r="HE37" s="158"/>
      <c r="HF37" s="158"/>
      <c r="HG37" s="158"/>
      <c r="HH37" s="158"/>
      <c r="HI37" s="158"/>
      <c r="HJ37" s="158"/>
      <c r="HK37" s="158"/>
      <c r="HL37" s="158"/>
      <c r="HM37" s="158"/>
      <c r="HN37" s="158"/>
      <c r="HO37" s="158"/>
      <c r="HP37" s="158"/>
      <c r="HQ37" s="158"/>
      <c r="HR37" s="158"/>
      <c r="HS37" s="158"/>
      <c r="HT37" s="158"/>
      <c r="HU37" s="158"/>
      <c r="HV37" s="158"/>
      <c r="HW37" s="158"/>
      <c r="HX37" s="158"/>
      <c r="HY37" s="158"/>
      <c r="HZ37" s="158"/>
      <c r="IA37" s="158"/>
      <c r="IB37" s="158"/>
      <c r="IC37" s="158"/>
      <c r="ID37" s="158"/>
      <c r="IE37" s="158"/>
      <c r="IF37" s="158"/>
      <c r="IG37" s="158"/>
      <c r="IH37" s="158"/>
      <c r="II37" s="158"/>
      <c r="IJ37" s="158"/>
      <c r="IK37" s="158"/>
      <c r="IL37" s="158"/>
      <c r="IM37" s="158"/>
      <c r="IN37" s="158"/>
      <c r="IO37" s="158"/>
      <c r="IP37" s="158"/>
      <c r="IQ37" s="158"/>
      <c r="IR37" s="158"/>
      <c r="IS37" s="158"/>
      <c r="IT37" s="158"/>
      <c r="IU37" s="158"/>
    </row>
    <row r="38">
      <c r="A38" s="128">
        <v>14</v>
      </c>
      <c r="B38" s="129">
        <v>46013</v>
      </c>
      <c r="C38" s="130" t="s">
        <v>50</v>
      </c>
      <c r="D38" s="133"/>
      <c r="E38" s="132"/>
      <c r="F38" s="132" t="str">
        <f t="shared" si="95"/>
        <v/>
      </c>
      <c r="G38" s="410"/>
      <c r="H38" s="132" t="str">
        <f t="shared" si="96"/>
        <v/>
      </c>
      <c r="I38" s="411"/>
      <c r="J38" s="133" t="str">
        <f t="shared" si="97"/>
        <v/>
      </c>
      <c r="K38" s="132"/>
      <c r="L38" s="132"/>
      <c r="M38" s="410"/>
      <c r="N38" s="134" t="str">
        <f t="shared" si="98"/>
        <v/>
      </c>
      <c r="O38" s="412" t="e">
        <f t="shared" si="99"/>
        <v>#DIV/0!</v>
      </c>
      <c r="P38" s="136">
        <f t="shared" si="100"/>
        <v>0</v>
      </c>
      <c r="Q38" s="137">
        <f t="shared" si="102"/>
        <v>0</v>
      </c>
      <c r="R38" s="137">
        <f t="shared" si="101"/>
        <v>0</v>
      </c>
      <c r="S38" s="136" t="str">
        <f t="shared" si="105"/>
        <v/>
      </c>
      <c r="T38" s="137" t="str">
        <f t="shared" si="106"/>
        <v/>
      </c>
      <c r="U38" s="137" t="str">
        <f t="shared" si="107"/>
        <v/>
      </c>
      <c r="V38" s="364"/>
      <c r="W38" s="364"/>
      <c r="X38" s="141"/>
      <c r="Y38" s="140"/>
      <c r="Z38" s="2"/>
      <c r="AA38" s="2"/>
      <c r="AB38" s="2"/>
      <c r="AC38" s="2"/>
      <c r="AD38" s="2"/>
      <c r="AE38" s="2"/>
      <c r="AF38" s="2"/>
      <c r="AG38" s="2"/>
    </row>
    <row r="39" s="159" customFormat="1">
      <c r="A39" s="128">
        <v>15</v>
      </c>
      <c r="B39" s="146">
        <v>46014</v>
      </c>
      <c r="C39" s="147" t="s">
        <v>52</v>
      </c>
      <c r="D39" s="150"/>
      <c r="E39" s="149"/>
      <c r="F39" s="149" t="str">
        <f t="shared" si="95"/>
        <v/>
      </c>
      <c r="G39" s="413"/>
      <c r="H39" s="149" t="str">
        <f t="shared" si="96"/>
        <v/>
      </c>
      <c r="I39" s="414">
        <v>10</v>
      </c>
      <c r="J39" s="150" t="str">
        <f t="shared" si="97"/>
        <v/>
      </c>
      <c r="K39" s="371"/>
      <c r="L39" s="149"/>
      <c r="M39" s="413"/>
      <c r="N39" s="134">
        <f t="shared" si="98"/>
        <v>0</v>
      </c>
      <c r="O39" s="415">
        <f t="shared" si="99"/>
        <v>0</v>
      </c>
      <c r="P39" s="153">
        <f t="shared" si="100"/>
        <v>44314.222549742066</v>
      </c>
      <c r="Q39" s="154">
        <f t="shared" si="102"/>
        <v>5.6813105833002657</v>
      </c>
      <c r="R39" s="154">
        <f t="shared" si="101"/>
        <v>3.2651210248852101</v>
      </c>
      <c r="S39" s="153">
        <f t="shared" si="105"/>
        <v>62748.062843060281</v>
      </c>
      <c r="T39" s="154">
        <f t="shared" si="106"/>
        <v>8.1854238570577973</v>
      </c>
      <c r="U39" s="154">
        <f t="shared" si="107"/>
        <v>4.6806394605896413</v>
      </c>
      <c r="V39" s="162">
        <v>1</v>
      </c>
      <c r="W39" s="162">
        <v>1</v>
      </c>
      <c r="X39" s="156"/>
      <c r="Y39" s="157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58"/>
      <c r="EC39" s="158"/>
      <c r="ED39" s="158"/>
      <c r="EE39" s="158"/>
      <c r="EF39" s="158"/>
      <c r="EG39" s="158"/>
      <c r="EH39" s="158"/>
      <c r="EI39" s="158"/>
      <c r="EJ39" s="158"/>
      <c r="EK39" s="158"/>
      <c r="EL39" s="158"/>
      <c r="EM39" s="158"/>
      <c r="EN39" s="158"/>
      <c r="EO39" s="158"/>
      <c r="EP39" s="158"/>
      <c r="EQ39" s="158"/>
      <c r="ER39" s="158"/>
      <c r="ES39" s="158"/>
      <c r="ET39" s="158"/>
      <c r="EU39" s="158"/>
      <c r="EV39" s="158"/>
      <c r="EW39" s="158"/>
      <c r="EX39" s="158"/>
      <c r="EY39" s="158"/>
      <c r="EZ39" s="158"/>
      <c r="FA39" s="158"/>
      <c r="FB39" s="158"/>
      <c r="FC39" s="158"/>
      <c r="FD39" s="158"/>
      <c r="FE39" s="158"/>
      <c r="FF39" s="158"/>
      <c r="FG39" s="158"/>
      <c r="FH39" s="158"/>
      <c r="FI39" s="158"/>
      <c r="FJ39" s="158"/>
      <c r="FK39" s="158"/>
      <c r="FL39" s="158"/>
      <c r="FM39" s="158"/>
      <c r="FN39" s="158"/>
      <c r="FO39" s="158"/>
      <c r="FP39" s="158"/>
      <c r="FQ39" s="158"/>
      <c r="FR39" s="158"/>
      <c r="FS39" s="158"/>
      <c r="FT39" s="158"/>
      <c r="FU39" s="158"/>
      <c r="FV39" s="158"/>
      <c r="FW39" s="158"/>
      <c r="FX39" s="158"/>
      <c r="FY39" s="158"/>
      <c r="FZ39" s="158"/>
      <c r="GA39" s="158"/>
      <c r="GB39" s="158"/>
      <c r="GC39" s="158"/>
      <c r="GD39" s="158"/>
      <c r="GE39" s="158"/>
      <c r="GF39" s="158"/>
      <c r="GG39" s="158"/>
      <c r="GH39" s="158"/>
      <c r="GI39" s="158"/>
      <c r="GJ39" s="158"/>
      <c r="GK39" s="158"/>
      <c r="GL39" s="158"/>
      <c r="GM39" s="158"/>
      <c r="GN39" s="158"/>
      <c r="GO39" s="158"/>
      <c r="GP39" s="158"/>
      <c r="GQ39" s="158"/>
      <c r="GR39" s="158"/>
      <c r="GS39" s="158"/>
      <c r="GT39" s="158"/>
      <c r="GU39" s="158"/>
      <c r="GV39" s="158"/>
      <c r="GW39" s="158"/>
      <c r="GX39" s="158"/>
      <c r="GY39" s="158"/>
      <c r="GZ39" s="158"/>
      <c r="HA39" s="158"/>
      <c r="HB39" s="158"/>
      <c r="HC39" s="158"/>
      <c r="HD39" s="158"/>
      <c r="HE39" s="158"/>
      <c r="HF39" s="158"/>
      <c r="HG39" s="158"/>
      <c r="HH39" s="158"/>
      <c r="HI39" s="158"/>
      <c r="HJ39" s="158"/>
      <c r="HK39" s="158"/>
      <c r="HL39" s="158"/>
      <c r="HM39" s="158"/>
      <c r="HN39" s="158"/>
      <c r="HO39" s="158"/>
      <c r="HP39" s="158"/>
      <c r="HQ39" s="158"/>
      <c r="HR39" s="158"/>
      <c r="HS39" s="158"/>
      <c r="HT39" s="158"/>
      <c r="HU39" s="158"/>
      <c r="HV39" s="158"/>
      <c r="HW39" s="158"/>
      <c r="HX39" s="158"/>
      <c r="HY39" s="158"/>
      <c r="HZ39" s="158"/>
      <c r="IA39" s="158"/>
      <c r="IB39" s="158"/>
      <c r="IC39" s="158"/>
      <c r="ID39" s="158"/>
      <c r="IE39" s="158"/>
      <c r="IF39" s="158"/>
      <c r="IG39" s="158"/>
      <c r="IH39" s="158"/>
      <c r="II39" s="158"/>
      <c r="IJ39" s="158"/>
      <c r="IK39" s="158"/>
      <c r="IL39" s="158"/>
      <c r="IM39" s="158"/>
      <c r="IN39" s="158"/>
      <c r="IO39" s="158"/>
      <c r="IP39" s="158"/>
      <c r="IQ39" s="158"/>
      <c r="IR39" s="158"/>
      <c r="IS39" s="158"/>
      <c r="IT39" s="158"/>
      <c r="IU39" s="158"/>
    </row>
    <row r="40" s="398" customFormat="1">
      <c r="A40" s="128">
        <v>16</v>
      </c>
      <c r="B40" s="146">
        <v>46015</v>
      </c>
      <c r="C40" s="147" t="s">
        <v>53</v>
      </c>
      <c r="D40" s="150"/>
      <c r="E40" s="371"/>
      <c r="F40" s="149" t="str">
        <f t="shared" si="95"/>
        <v/>
      </c>
      <c r="G40" s="371"/>
      <c r="H40" s="149" t="str">
        <f t="shared" si="96"/>
        <v/>
      </c>
      <c r="I40" s="371">
        <v>15</v>
      </c>
      <c r="J40" s="150" t="str">
        <f t="shared" si="97"/>
        <v/>
      </c>
      <c r="K40" s="149"/>
      <c r="L40" s="371"/>
      <c r="M40" s="413"/>
      <c r="N40" s="134">
        <f t="shared" si="98"/>
        <v>0</v>
      </c>
      <c r="O40" s="415">
        <f t="shared" si="99"/>
        <v>0</v>
      </c>
      <c r="P40" s="153">
        <f t="shared" si="100"/>
        <v>44314.222549742066</v>
      </c>
      <c r="Q40" s="154">
        <f t="shared" si="102"/>
        <v>5.6813105833002657</v>
      </c>
      <c r="R40" s="154">
        <f t="shared" si="101"/>
        <v>3.2651210248852101</v>
      </c>
      <c r="S40" s="153">
        <f t="shared" si="105"/>
        <v>62748.062843060274</v>
      </c>
      <c r="T40" s="154">
        <f t="shared" si="106"/>
        <v>8.1854238570577973</v>
      </c>
      <c r="U40" s="154">
        <f t="shared" si="107"/>
        <v>4.6806394605896404</v>
      </c>
      <c r="V40" s="162">
        <v>1</v>
      </c>
      <c r="W40" s="162">
        <v>1</v>
      </c>
      <c r="X40" s="156"/>
      <c r="Y40" s="157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58"/>
      <c r="EC40" s="158"/>
      <c r="ED40" s="158"/>
      <c r="EE40" s="158"/>
      <c r="EF40" s="158"/>
      <c r="EG40" s="158"/>
      <c r="EH40" s="158"/>
      <c r="EI40" s="158"/>
      <c r="EJ40" s="158"/>
      <c r="EK40" s="158"/>
      <c r="EL40" s="158"/>
      <c r="EM40" s="158"/>
      <c r="EN40" s="158"/>
      <c r="EO40" s="158"/>
      <c r="EP40" s="158"/>
      <c r="EQ40" s="158"/>
      <c r="ER40" s="158"/>
      <c r="ES40" s="158"/>
      <c r="ET40" s="158"/>
      <c r="EU40" s="158"/>
      <c r="EV40" s="158"/>
      <c r="EW40" s="158"/>
      <c r="EX40" s="158"/>
      <c r="EY40" s="158"/>
      <c r="EZ40" s="158"/>
      <c r="FA40" s="158"/>
      <c r="FB40" s="158"/>
      <c r="FC40" s="158"/>
      <c r="FD40" s="158"/>
      <c r="FE40" s="158"/>
      <c r="FF40" s="158"/>
      <c r="FG40" s="158"/>
      <c r="FH40" s="158"/>
      <c r="FI40" s="158"/>
      <c r="FJ40" s="158"/>
      <c r="FK40" s="158"/>
      <c r="FL40" s="158"/>
      <c r="FM40" s="158"/>
      <c r="FN40" s="158"/>
      <c r="FO40" s="158"/>
      <c r="FP40" s="158"/>
      <c r="FQ40" s="158"/>
      <c r="FR40" s="158"/>
      <c r="FS40" s="158"/>
      <c r="FT40" s="158"/>
      <c r="FU40" s="158"/>
      <c r="FV40" s="158"/>
      <c r="FW40" s="158"/>
      <c r="FX40" s="158"/>
      <c r="FY40" s="158"/>
      <c r="FZ40" s="158"/>
      <c r="GA40" s="158"/>
      <c r="GB40" s="158"/>
      <c r="GC40" s="158"/>
      <c r="GD40" s="158"/>
      <c r="GE40" s="158"/>
      <c r="GF40" s="158"/>
      <c r="GG40" s="158"/>
      <c r="GH40" s="158"/>
      <c r="GI40" s="158"/>
      <c r="GJ40" s="158"/>
      <c r="GK40" s="158"/>
      <c r="GL40" s="158"/>
      <c r="GM40" s="158"/>
      <c r="GN40" s="158"/>
      <c r="GO40" s="158"/>
      <c r="GP40" s="158"/>
      <c r="GQ40" s="158"/>
      <c r="GR40" s="158"/>
      <c r="GS40" s="158"/>
      <c r="GT40" s="158"/>
      <c r="GU40" s="158"/>
      <c r="GV40" s="158"/>
      <c r="GW40" s="158"/>
      <c r="GX40" s="158"/>
      <c r="GY40" s="158"/>
      <c r="GZ40" s="158"/>
      <c r="HA40" s="158"/>
      <c r="HB40" s="158"/>
      <c r="HC40" s="158"/>
      <c r="HD40" s="158"/>
      <c r="HE40" s="158"/>
      <c r="HF40" s="158"/>
      <c r="HG40" s="158"/>
      <c r="HH40" s="158"/>
      <c r="HI40" s="158"/>
      <c r="HJ40" s="158"/>
      <c r="HK40" s="158"/>
      <c r="HL40" s="158"/>
      <c r="HM40" s="158"/>
      <c r="HN40" s="158"/>
      <c r="HO40" s="158"/>
      <c r="HP40" s="158"/>
      <c r="HQ40" s="158"/>
      <c r="HR40" s="158"/>
      <c r="HS40" s="158"/>
      <c r="HT40" s="158"/>
      <c r="HU40" s="158"/>
      <c r="HV40" s="158"/>
      <c r="HW40" s="158"/>
      <c r="HX40" s="158"/>
      <c r="HY40" s="158"/>
      <c r="HZ40" s="158"/>
      <c r="IA40" s="158"/>
      <c r="IB40" s="158"/>
      <c r="IC40" s="158"/>
      <c r="ID40" s="158"/>
      <c r="IE40" s="158"/>
      <c r="IF40" s="158"/>
      <c r="IG40" s="158"/>
      <c r="IH40" s="158"/>
      <c r="II40" s="158"/>
      <c r="IJ40" s="158"/>
      <c r="IK40" s="158"/>
      <c r="IL40" s="158"/>
      <c r="IM40" s="158"/>
      <c r="IN40" s="158"/>
      <c r="IO40" s="158"/>
      <c r="IP40" s="158"/>
      <c r="IQ40" s="158"/>
      <c r="IR40" s="158"/>
      <c r="IS40" s="158"/>
      <c r="IT40" s="158"/>
      <c r="IU40" s="158"/>
    </row>
    <row r="41">
      <c r="A41" s="128">
        <v>17</v>
      </c>
      <c r="B41" s="129">
        <v>46016</v>
      </c>
      <c r="C41" s="130" t="s">
        <v>54</v>
      </c>
      <c r="D41" s="133"/>
      <c r="E41" s="132"/>
      <c r="F41" s="132" t="str">
        <f t="shared" si="95"/>
        <v/>
      </c>
      <c r="G41" s="410"/>
      <c r="H41" s="132" t="str">
        <f t="shared" si="96"/>
        <v/>
      </c>
      <c r="I41" s="132"/>
      <c r="J41" s="133" t="str">
        <f t="shared" si="97"/>
        <v/>
      </c>
      <c r="K41" s="132"/>
      <c r="L41" s="132"/>
      <c r="M41" s="132"/>
      <c r="N41" s="134" t="str">
        <f t="shared" si="98"/>
        <v/>
      </c>
      <c r="O41" s="412" t="e">
        <f t="shared" si="99"/>
        <v>#DIV/0!</v>
      </c>
      <c r="P41" s="136">
        <f t="shared" si="100"/>
        <v>0</v>
      </c>
      <c r="Q41" s="137">
        <f t="shared" si="102"/>
        <v>0</v>
      </c>
      <c r="R41" s="137">
        <f t="shared" si="101"/>
        <v>0</v>
      </c>
      <c r="S41" s="136" t="str">
        <f t="shared" si="105"/>
        <v/>
      </c>
      <c r="T41" s="137" t="str">
        <f t="shared" si="106"/>
        <v/>
      </c>
      <c r="U41" s="137" t="str">
        <f t="shared" si="107"/>
        <v/>
      </c>
      <c r="V41" s="364"/>
      <c r="W41" s="364"/>
      <c r="X41" s="141"/>
      <c r="Y41" s="140"/>
      <c r="Z41" s="2"/>
      <c r="AA41" s="2"/>
      <c r="AB41" s="2"/>
      <c r="AC41" s="2"/>
      <c r="AD41" s="2"/>
      <c r="AE41" s="2"/>
      <c r="AF41" s="2"/>
      <c r="AG41" s="2"/>
    </row>
    <row r="42" s="398" customFormat="1">
      <c r="A42" s="128">
        <v>18</v>
      </c>
      <c r="B42" s="146">
        <v>46017</v>
      </c>
      <c r="C42" s="147" t="s">
        <v>55</v>
      </c>
      <c r="D42" s="150"/>
      <c r="E42" s="149"/>
      <c r="F42" s="149" t="str">
        <f t="shared" si="95"/>
        <v/>
      </c>
      <c r="G42" s="413"/>
      <c r="H42" s="149" t="str">
        <f t="shared" si="96"/>
        <v/>
      </c>
      <c r="I42" s="417">
        <v>5</v>
      </c>
      <c r="J42" s="397" t="str">
        <f t="shared" si="97"/>
        <v/>
      </c>
      <c r="K42" s="401"/>
      <c r="L42" s="401"/>
      <c r="M42" s="371"/>
      <c r="N42" s="134">
        <f t="shared" si="98"/>
        <v>0</v>
      </c>
      <c r="O42" s="415">
        <f t="shared" si="99"/>
        <v>0</v>
      </c>
      <c r="P42" s="153">
        <f t="shared" si="100"/>
        <v>63812.480471628573</v>
      </c>
      <c r="Q42" s="154">
        <f t="shared" si="102"/>
        <v>8.1810872399523813</v>
      </c>
      <c r="R42" s="154">
        <f t="shared" si="101"/>
        <v>4.7017742758347021</v>
      </c>
      <c r="S42" s="153">
        <f t="shared" si="105"/>
        <v>90357.21049400678</v>
      </c>
      <c r="T42" s="154">
        <f t="shared" si="106"/>
        <v>11.787010354163227</v>
      </c>
      <c r="U42" s="154">
        <f t="shared" si="107"/>
        <v>6.7401208232490823</v>
      </c>
      <c r="V42" s="162">
        <v>1.2</v>
      </c>
      <c r="W42" s="162">
        <v>1.2</v>
      </c>
      <c r="X42" s="156"/>
      <c r="Y42" s="157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  <c r="DA42" s="158"/>
      <c r="DB42" s="158"/>
      <c r="DC42" s="158"/>
      <c r="DD42" s="158"/>
      <c r="DE42" s="158"/>
      <c r="DF42" s="158"/>
      <c r="DG42" s="158"/>
      <c r="DH42" s="158"/>
      <c r="DI42" s="158"/>
      <c r="DJ42" s="158"/>
      <c r="DK42" s="158"/>
      <c r="DL42" s="158"/>
      <c r="DM42" s="158"/>
      <c r="DN42" s="158"/>
      <c r="DO42" s="158"/>
      <c r="DP42" s="158"/>
      <c r="DQ42" s="158"/>
      <c r="DR42" s="158"/>
      <c r="DS42" s="158"/>
      <c r="DT42" s="158"/>
      <c r="DU42" s="158"/>
      <c r="DV42" s="158"/>
      <c r="DW42" s="158"/>
      <c r="DX42" s="158"/>
      <c r="DY42" s="158"/>
      <c r="DZ42" s="158"/>
      <c r="EA42" s="158"/>
      <c r="EB42" s="158"/>
      <c r="EC42" s="158"/>
      <c r="ED42" s="158"/>
      <c r="EE42" s="158"/>
      <c r="EF42" s="158"/>
      <c r="EG42" s="158"/>
      <c r="EH42" s="158"/>
      <c r="EI42" s="158"/>
      <c r="EJ42" s="158"/>
      <c r="EK42" s="158"/>
      <c r="EL42" s="158"/>
      <c r="EM42" s="158"/>
      <c r="EN42" s="158"/>
      <c r="EO42" s="158"/>
      <c r="EP42" s="158"/>
      <c r="EQ42" s="158"/>
      <c r="ER42" s="158"/>
      <c r="ES42" s="158"/>
      <c r="ET42" s="158"/>
      <c r="EU42" s="158"/>
      <c r="EV42" s="158"/>
      <c r="EW42" s="158"/>
      <c r="EX42" s="158"/>
      <c r="EY42" s="158"/>
      <c r="EZ42" s="158"/>
      <c r="FA42" s="158"/>
      <c r="FB42" s="158"/>
      <c r="FC42" s="158"/>
      <c r="FD42" s="158"/>
      <c r="FE42" s="158"/>
      <c r="FF42" s="158"/>
      <c r="FG42" s="158"/>
      <c r="FH42" s="158"/>
      <c r="FI42" s="158"/>
      <c r="FJ42" s="158"/>
      <c r="FK42" s="158"/>
      <c r="FL42" s="158"/>
      <c r="FM42" s="158"/>
      <c r="FN42" s="158"/>
      <c r="FO42" s="158"/>
      <c r="FP42" s="158"/>
      <c r="FQ42" s="158"/>
      <c r="FR42" s="158"/>
      <c r="FS42" s="158"/>
      <c r="FT42" s="158"/>
      <c r="FU42" s="158"/>
      <c r="FV42" s="158"/>
      <c r="FW42" s="158"/>
      <c r="FX42" s="158"/>
      <c r="FY42" s="158"/>
      <c r="FZ42" s="158"/>
      <c r="GA42" s="158"/>
      <c r="GB42" s="158"/>
      <c r="GC42" s="158"/>
      <c r="GD42" s="158"/>
      <c r="GE42" s="158"/>
      <c r="GF42" s="158"/>
      <c r="GG42" s="158"/>
      <c r="GH42" s="158"/>
      <c r="GI42" s="158"/>
      <c r="GJ42" s="158"/>
      <c r="GK42" s="158"/>
      <c r="GL42" s="158"/>
      <c r="GM42" s="158"/>
      <c r="GN42" s="158"/>
      <c r="GO42" s="158"/>
      <c r="GP42" s="158"/>
      <c r="GQ42" s="158"/>
      <c r="GR42" s="158"/>
      <c r="GS42" s="158"/>
      <c r="GT42" s="158"/>
      <c r="GU42" s="158"/>
      <c r="GV42" s="158"/>
      <c r="GW42" s="158"/>
      <c r="GX42" s="158"/>
      <c r="GY42" s="158"/>
      <c r="GZ42" s="158"/>
      <c r="HA42" s="158"/>
      <c r="HB42" s="158"/>
      <c r="HC42" s="158"/>
      <c r="HD42" s="158"/>
      <c r="HE42" s="158"/>
      <c r="HF42" s="158"/>
      <c r="HG42" s="158"/>
      <c r="HH42" s="158"/>
      <c r="HI42" s="158"/>
      <c r="HJ42" s="158"/>
      <c r="HK42" s="158"/>
      <c r="HL42" s="158"/>
      <c r="HM42" s="158"/>
      <c r="HN42" s="158"/>
      <c r="HO42" s="158"/>
      <c r="HP42" s="158"/>
      <c r="HQ42" s="158"/>
      <c r="HR42" s="158"/>
      <c r="HS42" s="158"/>
      <c r="HT42" s="158"/>
      <c r="HU42" s="158"/>
      <c r="HV42" s="158"/>
      <c r="HW42" s="158"/>
      <c r="HX42" s="158"/>
      <c r="HY42" s="158"/>
      <c r="HZ42" s="158"/>
      <c r="IA42" s="158"/>
      <c r="IB42" s="158"/>
      <c r="IC42" s="158"/>
      <c r="ID42" s="158"/>
      <c r="IE42" s="158"/>
      <c r="IF42" s="158"/>
      <c r="IG42" s="158"/>
      <c r="IH42" s="158"/>
      <c r="II42" s="158"/>
      <c r="IJ42" s="158"/>
      <c r="IK42" s="158"/>
      <c r="IL42" s="158"/>
      <c r="IM42" s="158"/>
      <c r="IN42" s="158"/>
      <c r="IO42" s="158"/>
      <c r="IP42" s="158"/>
      <c r="IQ42" s="158"/>
      <c r="IR42" s="158"/>
      <c r="IS42" s="158"/>
      <c r="IT42" s="158"/>
      <c r="IU42" s="158"/>
    </row>
    <row r="43" s="398" customFormat="1">
      <c r="A43" s="128">
        <v>19</v>
      </c>
      <c r="B43" s="146">
        <v>46018</v>
      </c>
      <c r="C43" s="147" t="s">
        <v>56</v>
      </c>
      <c r="D43" s="397">
        <f>17990+34131</f>
        <v>52121</v>
      </c>
      <c r="E43" s="149">
        <v>5</v>
      </c>
      <c r="F43" s="149">
        <f t="shared" si="95"/>
        <v>10424.200000000001</v>
      </c>
      <c r="G43" s="371">
        <v>2</v>
      </c>
      <c r="H43" s="149">
        <f t="shared" si="96"/>
        <v>26060.5</v>
      </c>
      <c r="I43" s="371">
        <v>12</v>
      </c>
      <c r="J43" s="150">
        <f t="shared" si="97"/>
        <v>2.5</v>
      </c>
      <c r="K43" s="371">
        <v>17990</v>
      </c>
      <c r="L43" s="149"/>
      <c r="M43" s="413"/>
      <c r="N43" s="134">
        <f t="shared" si="98"/>
        <v>0.16666666666666666</v>
      </c>
      <c r="O43" s="415">
        <f t="shared" si="99"/>
        <v>0.81678379550177993</v>
      </c>
      <c r="P43" s="418">
        <f t="shared" si="100"/>
        <v>63812.480471628573</v>
      </c>
      <c r="Q43" s="373">
        <f t="shared" si="102"/>
        <v>8.1810872399523813</v>
      </c>
      <c r="R43" s="154">
        <f t="shared" si="101"/>
        <v>4.7017742758347021</v>
      </c>
      <c r="S43" s="153">
        <f t="shared" si="105"/>
        <v>52121</v>
      </c>
      <c r="T43" s="154">
        <f t="shared" si="106"/>
        <v>5</v>
      </c>
      <c r="U43" s="154">
        <f t="shared" si="107"/>
        <v>2</v>
      </c>
      <c r="V43" s="162">
        <v>1.2</v>
      </c>
      <c r="W43" s="162">
        <v>1.2</v>
      </c>
      <c r="X43" s="156"/>
      <c r="Y43" s="157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  <c r="DA43" s="158"/>
      <c r="DB43" s="158"/>
      <c r="DC43" s="158"/>
      <c r="DD43" s="158"/>
      <c r="DE43" s="158"/>
      <c r="DF43" s="158"/>
      <c r="DG43" s="158"/>
      <c r="DH43" s="158"/>
      <c r="DI43" s="158"/>
      <c r="DJ43" s="158"/>
      <c r="DK43" s="158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8"/>
      <c r="DX43" s="158"/>
      <c r="DY43" s="158"/>
      <c r="DZ43" s="158"/>
      <c r="EA43" s="158"/>
      <c r="EB43" s="158"/>
      <c r="EC43" s="158"/>
      <c r="ED43" s="158"/>
      <c r="EE43" s="158"/>
      <c r="EF43" s="158"/>
      <c r="EG43" s="158"/>
      <c r="EH43" s="158"/>
      <c r="EI43" s="158"/>
      <c r="EJ43" s="158"/>
      <c r="EK43" s="158"/>
      <c r="EL43" s="158"/>
      <c r="EM43" s="158"/>
      <c r="EN43" s="158"/>
      <c r="EO43" s="158"/>
      <c r="EP43" s="158"/>
      <c r="EQ43" s="158"/>
      <c r="ER43" s="158"/>
      <c r="ES43" s="158"/>
      <c r="ET43" s="158"/>
      <c r="EU43" s="158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8"/>
      <c r="FH43" s="158"/>
      <c r="FI43" s="158"/>
      <c r="FJ43" s="158"/>
      <c r="FK43" s="158"/>
      <c r="FL43" s="158"/>
      <c r="FM43" s="158"/>
      <c r="FN43" s="158"/>
      <c r="FO43" s="158"/>
      <c r="FP43" s="158"/>
      <c r="FQ43" s="158"/>
      <c r="FR43" s="158"/>
      <c r="FS43" s="158"/>
      <c r="FT43" s="158"/>
      <c r="FU43" s="158"/>
      <c r="FV43" s="158"/>
      <c r="FW43" s="158"/>
      <c r="FX43" s="158"/>
      <c r="FY43" s="158"/>
      <c r="FZ43" s="158"/>
      <c r="GA43" s="158"/>
      <c r="GB43" s="158"/>
      <c r="GC43" s="158"/>
      <c r="GD43" s="158"/>
      <c r="GE43" s="158"/>
      <c r="GF43" s="158"/>
      <c r="GG43" s="158"/>
      <c r="GH43" s="158"/>
      <c r="GI43" s="158"/>
      <c r="GJ43" s="158"/>
      <c r="GK43" s="158"/>
      <c r="GL43" s="158"/>
      <c r="GM43" s="158"/>
      <c r="GN43" s="158"/>
      <c r="GO43" s="158"/>
      <c r="GP43" s="158"/>
      <c r="GQ43" s="158"/>
      <c r="GR43" s="158"/>
      <c r="GS43" s="158"/>
      <c r="GT43" s="158"/>
      <c r="GU43" s="158"/>
      <c r="GV43" s="158"/>
      <c r="GW43" s="158"/>
      <c r="GX43" s="158"/>
      <c r="GY43" s="158"/>
      <c r="GZ43" s="158"/>
      <c r="HA43" s="158"/>
      <c r="HB43" s="158"/>
      <c r="HC43" s="158"/>
      <c r="HD43" s="158"/>
      <c r="HE43" s="158"/>
      <c r="HF43" s="158"/>
      <c r="HG43" s="158"/>
      <c r="HH43" s="158"/>
      <c r="HI43" s="158"/>
      <c r="HJ43" s="158"/>
      <c r="HK43" s="158"/>
      <c r="HL43" s="158"/>
      <c r="HM43" s="158"/>
      <c r="HN43" s="158"/>
      <c r="HO43" s="158"/>
      <c r="HP43" s="158"/>
      <c r="HQ43" s="158"/>
      <c r="HR43" s="158"/>
      <c r="HS43" s="158"/>
      <c r="HT43" s="158"/>
      <c r="HU43" s="158"/>
      <c r="HV43" s="158"/>
      <c r="HW43" s="158"/>
      <c r="HX43" s="158"/>
      <c r="HY43" s="158"/>
      <c r="HZ43" s="158"/>
      <c r="IA43" s="158"/>
      <c r="IB43" s="158"/>
      <c r="IC43" s="158"/>
      <c r="ID43" s="158"/>
      <c r="IE43" s="158"/>
      <c r="IF43" s="158"/>
      <c r="IG43" s="158"/>
      <c r="IH43" s="158"/>
      <c r="II43" s="158"/>
      <c r="IJ43" s="158"/>
      <c r="IK43" s="158"/>
      <c r="IL43" s="158"/>
      <c r="IM43" s="158"/>
      <c r="IN43" s="158"/>
      <c r="IO43" s="158"/>
      <c r="IP43" s="158"/>
      <c r="IQ43" s="158"/>
      <c r="IR43" s="158"/>
      <c r="IS43" s="158"/>
      <c r="IT43" s="158"/>
      <c r="IU43" s="158"/>
    </row>
    <row r="44" s="398" customFormat="1">
      <c r="A44" s="128">
        <v>20</v>
      </c>
      <c r="B44" s="146">
        <v>46019</v>
      </c>
      <c r="C44" s="147" t="s">
        <v>57</v>
      </c>
      <c r="D44" s="150"/>
      <c r="E44" s="371"/>
      <c r="F44" s="149" t="str">
        <f t="shared" si="95"/>
        <v/>
      </c>
      <c r="G44" s="413"/>
      <c r="H44" s="149" t="str">
        <f t="shared" si="96"/>
        <v/>
      </c>
      <c r="I44" s="414">
        <v>11</v>
      </c>
      <c r="J44" s="397" t="str">
        <f t="shared" si="97"/>
        <v/>
      </c>
      <c r="K44" s="149"/>
      <c r="L44" s="371"/>
      <c r="M44" s="413"/>
      <c r="N44" s="134">
        <f t="shared" si="98"/>
        <v>0</v>
      </c>
      <c r="O44" s="415">
        <f t="shared" si="99"/>
        <v>0</v>
      </c>
      <c r="P44" s="418">
        <f t="shared" si="100"/>
        <v>63812.480471628573</v>
      </c>
      <c r="Q44" s="154">
        <f t="shared" si="102"/>
        <v>8.1810872399523813</v>
      </c>
      <c r="R44" s="154">
        <f t="shared" si="101"/>
        <v>4.7017742758347021</v>
      </c>
      <c r="S44" s="153">
        <f t="shared" si="105"/>
        <v>100706.86145479055</v>
      </c>
      <c r="T44" s="154">
        <f t="shared" si="106"/>
        <v>13.624095863560791</v>
      </c>
      <c r="U44" s="154">
        <f t="shared" si="107"/>
        <v>8.0231610460834215</v>
      </c>
      <c r="V44" s="162">
        <v>1.2</v>
      </c>
      <c r="W44" s="162">
        <v>1.2</v>
      </c>
      <c r="X44" s="156"/>
      <c r="Y44" s="157"/>
      <c r="Z44" s="163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  <c r="EO44" s="158"/>
      <c r="EP44" s="158"/>
      <c r="EQ44" s="158"/>
      <c r="ER44" s="158"/>
      <c r="ES44" s="158"/>
      <c r="ET44" s="158"/>
      <c r="EU44" s="158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158"/>
      <c r="GG44" s="158"/>
      <c r="GH44" s="158"/>
      <c r="GI44" s="158"/>
      <c r="GJ44" s="158"/>
      <c r="GK44" s="158"/>
      <c r="GL44" s="158"/>
      <c r="GM44" s="158"/>
      <c r="GN44" s="158"/>
      <c r="GO44" s="158"/>
      <c r="GP44" s="158"/>
      <c r="GQ44" s="158"/>
      <c r="GR44" s="158"/>
      <c r="GS44" s="158"/>
      <c r="GT44" s="158"/>
      <c r="GU44" s="158"/>
      <c r="GV44" s="158"/>
      <c r="GW44" s="158"/>
      <c r="GX44" s="158"/>
      <c r="GY44" s="158"/>
      <c r="GZ44" s="158"/>
      <c r="HA44" s="158"/>
      <c r="HB44" s="158"/>
      <c r="HC44" s="158"/>
      <c r="HD44" s="158"/>
      <c r="HE44" s="158"/>
      <c r="HF44" s="158"/>
      <c r="HG44" s="158"/>
      <c r="HH44" s="158"/>
      <c r="HI44" s="158"/>
      <c r="HJ44" s="158"/>
      <c r="HK44" s="158"/>
      <c r="HL44" s="158"/>
      <c r="HM44" s="158"/>
      <c r="HN44" s="158"/>
      <c r="HO44" s="158"/>
      <c r="HP44" s="158"/>
      <c r="HQ44" s="158"/>
      <c r="HR44" s="158"/>
      <c r="HS44" s="158"/>
      <c r="HT44" s="158"/>
      <c r="HU44" s="158"/>
      <c r="HV44" s="158"/>
      <c r="HW44" s="158"/>
      <c r="HX44" s="158"/>
      <c r="HY44" s="158"/>
      <c r="HZ44" s="158"/>
      <c r="IA44" s="158"/>
      <c r="IB44" s="158"/>
      <c r="IC44" s="158"/>
      <c r="ID44" s="158"/>
      <c r="IE44" s="158"/>
      <c r="IF44" s="158"/>
      <c r="IG44" s="158"/>
      <c r="IH44" s="158"/>
      <c r="II44" s="158"/>
      <c r="IJ44" s="158"/>
      <c r="IK44" s="158"/>
      <c r="IL44" s="158"/>
      <c r="IM44" s="158"/>
      <c r="IN44" s="158"/>
      <c r="IO44" s="158"/>
      <c r="IP44" s="158"/>
      <c r="IQ44" s="158"/>
      <c r="IR44" s="158"/>
      <c r="IS44" s="158"/>
      <c r="IT44" s="158"/>
      <c r="IU44" s="158"/>
    </row>
    <row r="45" s="398" customFormat="1" ht="15" customHeight="1">
      <c r="A45" s="128">
        <v>21</v>
      </c>
      <c r="B45" s="146">
        <v>46020</v>
      </c>
      <c r="C45" s="147" t="s">
        <v>50</v>
      </c>
      <c r="D45" s="150">
        <f>13793+3923</f>
        <v>17716</v>
      </c>
      <c r="E45" s="149">
        <v>2</v>
      </c>
      <c r="F45" s="149">
        <f t="shared" si="95"/>
        <v>8858</v>
      </c>
      <c r="G45" s="413">
        <v>2</v>
      </c>
      <c r="H45" s="149">
        <f t="shared" si="96"/>
        <v>8858</v>
      </c>
      <c r="I45" s="414">
        <v>5</v>
      </c>
      <c r="J45" s="150">
        <f t="shared" si="97"/>
        <v>1</v>
      </c>
      <c r="K45" s="149"/>
      <c r="L45" s="149"/>
      <c r="M45" s="413">
        <v>13793</v>
      </c>
      <c r="N45" s="134">
        <f t="shared" si="98"/>
        <v>0.40000000000000002</v>
      </c>
      <c r="O45" s="415">
        <f t="shared" si="99"/>
        <v>0.27762594196407464</v>
      </c>
      <c r="P45" s="374">
        <f t="shared" si="100"/>
        <v>63812.480471628573</v>
      </c>
      <c r="Q45" s="154">
        <f t="shared" si="102"/>
        <v>8.1810872399523813</v>
      </c>
      <c r="R45" s="154">
        <f t="shared" si="101"/>
        <v>4.7017742758347021</v>
      </c>
      <c r="S45" s="153">
        <f t="shared" si="105"/>
        <v>17716</v>
      </c>
      <c r="T45" s="154">
        <f t="shared" si="106"/>
        <v>2</v>
      </c>
      <c r="U45" s="154">
        <f t="shared" si="107"/>
        <v>2</v>
      </c>
      <c r="V45" s="162">
        <v>1.2</v>
      </c>
      <c r="W45" s="162">
        <v>1.2</v>
      </c>
      <c r="X45" s="156"/>
      <c r="Y45" s="157"/>
      <c r="Z45" s="163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  <c r="DJ45" s="158"/>
      <c r="DK45" s="158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8"/>
      <c r="DX45" s="158"/>
      <c r="DY45" s="158"/>
      <c r="DZ45" s="158"/>
      <c r="EA45" s="158"/>
      <c r="EB45" s="158"/>
      <c r="EC45" s="158"/>
      <c r="ED45" s="158"/>
      <c r="EE45" s="158"/>
      <c r="EF45" s="158"/>
      <c r="EG45" s="158"/>
      <c r="EH45" s="158"/>
      <c r="EI45" s="158"/>
      <c r="EJ45" s="158"/>
      <c r="EK45" s="158"/>
      <c r="EL45" s="158"/>
      <c r="EM45" s="158"/>
      <c r="EN45" s="158"/>
      <c r="EO45" s="158"/>
      <c r="EP45" s="158"/>
      <c r="EQ45" s="158"/>
      <c r="ER45" s="158"/>
      <c r="ES45" s="158"/>
      <c r="ET45" s="158"/>
      <c r="EU45" s="158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8"/>
      <c r="FH45" s="158"/>
      <c r="FI45" s="158"/>
      <c r="FJ45" s="158"/>
      <c r="FK45" s="158"/>
      <c r="FL45" s="158"/>
      <c r="FM45" s="158"/>
      <c r="FN45" s="158"/>
      <c r="FO45" s="158"/>
      <c r="FP45" s="158"/>
      <c r="FQ45" s="158"/>
      <c r="FR45" s="158"/>
      <c r="FS45" s="158"/>
      <c r="FT45" s="158"/>
      <c r="FU45" s="158"/>
      <c r="FV45" s="158"/>
      <c r="FW45" s="158"/>
      <c r="FX45" s="158"/>
      <c r="FY45" s="158"/>
      <c r="FZ45" s="158"/>
      <c r="GA45" s="158"/>
      <c r="GB45" s="158"/>
      <c r="GC45" s="158"/>
      <c r="GD45" s="158"/>
      <c r="GE45" s="158"/>
      <c r="GF45" s="158"/>
      <c r="GG45" s="158"/>
      <c r="GH45" s="158"/>
      <c r="GI45" s="158"/>
      <c r="GJ45" s="158"/>
      <c r="GK45" s="158"/>
      <c r="GL45" s="158"/>
      <c r="GM45" s="158"/>
      <c r="GN45" s="158"/>
      <c r="GO45" s="158"/>
      <c r="GP45" s="158"/>
      <c r="GQ45" s="158"/>
      <c r="GR45" s="158"/>
      <c r="GS45" s="158"/>
      <c r="GT45" s="158"/>
      <c r="GU45" s="158"/>
      <c r="GV45" s="158"/>
      <c r="GW45" s="158"/>
      <c r="GX45" s="158"/>
      <c r="GY45" s="158"/>
      <c r="GZ45" s="158"/>
      <c r="HA45" s="158"/>
      <c r="HB45" s="158"/>
      <c r="HC45" s="158"/>
      <c r="HD45" s="158"/>
      <c r="HE45" s="158"/>
      <c r="HF45" s="158"/>
      <c r="HG45" s="158"/>
      <c r="HH45" s="158"/>
      <c r="HI45" s="158"/>
      <c r="HJ45" s="158"/>
      <c r="HK45" s="158"/>
      <c r="HL45" s="158"/>
      <c r="HM45" s="158"/>
      <c r="HN45" s="158"/>
      <c r="HO45" s="158"/>
      <c r="HP45" s="158"/>
      <c r="HQ45" s="158"/>
      <c r="HR45" s="158"/>
      <c r="HS45" s="158"/>
      <c r="HT45" s="158"/>
      <c r="HU45" s="158"/>
      <c r="HV45" s="158"/>
      <c r="HW45" s="158"/>
      <c r="HX45" s="158"/>
      <c r="HY45" s="158"/>
      <c r="HZ45" s="158"/>
      <c r="IA45" s="158"/>
      <c r="IB45" s="158"/>
      <c r="IC45" s="158"/>
      <c r="ID45" s="158"/>
      <c r="IE45" s="158"/>
      <c r="IF45" s="158"/>
      <c r="IG45" s="158"/>
      <c r="IH45" s="158"/>
      <c r="II45" s="158"/>
      <c r="IJ45" s="158"/>
      <c r="IK45" s="158"/>
      <c r="IL45" s="158"/>
      <c r="IM45" s="158"/>
      <c r="IN45" s="158"/>
      <c r="IO45" s="158"/>
      <c r="IP45" s="158"/>
      <c r="IQ45" s="158"/>
      <c r="IR45" s="158"/>
      <c r="IS45" s="158"/>
      <c r="IT45" s="158"/>
      <c r="IU45" s="158"/>
    </row>
    <row r="46" s="398" customFormat="1" ht="15" customHeight="1">
      <c r="A46" s="128">
        <v>22</v>
      </c>
      <c r="B46" s="146">
        <v>46021</v>
      </c>
      <c r="C46" s="147" t="s">
        <v>52</v>
      </c>
      <c r="D46" s="150">
        <f>7993+21568</f>
        <v>29561</v>
      </c>
      <c r="E46" s="149">
        <v>5</v>
      </c>
      <c r="F46" s="149">
        <f t="shared" si="95"/>
        <v>5912.1999999999998</v>
      </c>
      <c r="G46" s="413">
        <v>3</v>
      </c>
      <c r="H46" s="149">
        <f t="shared" si="96"/>
        <v>9853.6666666666661</v>
      </c>
      <c r="I46" s="414">
        <v>24</v>
      </c>
      <c r="J46" s="150">
        <f t="shared" si="97"/>
        <v>1.6666666666666667</v>
      </c>
      <c r="K46" s="149"/>
      <c r="L46" s="149"/>
      <c r="M46" s="413"/>
      <c r="N46" s="134">
        <f t="shared" si="98"/>
        <v>0.125</v>
      </c>
      <c r="O46" s="415">
        <f t="shared" si="99"/>
        <v>0.46324793804470593</v>
      </c>
      <c r="P46" s="418">
        <f t="shared" si="100"/>
        <v>63812.480471628573</v>
      </c>
      <c r="Q46" s="154">
        <f t="shared" si="102"/>
        <v>8.1810872399523813</v>
      </c>
      <c r="R46" s="154">
        <f t="shared" si="101"/>
        <v>4.7017742758347021</v>
      </c>
      <c r="S46" s="153">
        <f t="shared" si="105"/>
        <v>29561</v>
      </c>
      <c r="T46" s="154">
        <f t="shared" si="106"/>
        <v>5</v>
      </c>
      <c r="U46" s="154">
        <f t="shared" si="107"/>
        <v>3</v>
      </c>
      <c r="V46" s="162">
        <v>1.2</v>
      </c>
      <c r="W46" s="162">
        <v>1.2</v>
      </c>
      <c r="X46" s="156"/>
      <c r="Y46" s="157"/>
      <c r="Z46" s="163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  <c r="GG46" s="158"/>
      <c r="GH46" s="158"/>
      <c r="GI46" s="158"/>
      <c r="GJ46" s="158"/>
      <c r="GK46" s="158"/>
      <c r="GL46" s="158"/>
      <c r="GM46" s="158"/>
      <c r="GN46" s="158"/>
      <c r="GO46" s="158"/>
      <c r="GP46" s="158"/>
      <c r="GQ46" s="158"/>
      <c r="GR46" s="158"/>
      <c r="GS46" s="158"/>
      <c r="GT46" s="158"/>
      <c r="GU46" s="158"/>
      <c r="GV46" s="158"/>
      <c r="GW46" s="158"/>
      <c r="GX46" s="158"/>
      <c r="GY46" s="158"/>
      <c r="GZ46" s="158"/>
      <c r="HA46" s="158"/>
      <c r="HB46" s="158"/>
      <c r="HC46" s="158"/>
      <c r="HD46" s="158"/>
      <c r="HE46" s="158"/>
      <c r="HF46" s="158"/>
      <c r="HG46" s="158"/>
      <c r="HH46" s="158"/>
      <c r="HI46" s="158"/>
      <c r="HJ46" s="158"/>
      <c r="HK46" s="158"/>
      <c r="HL46" s="158"/>
      <c r="HM46" s="158"/>
      <c r="HN46" s="158"/>
      <c r="HO46" s="158"/>
      <c r="HP46" s="158"/>
      <c r="HQ46" s="158"/>
      <c r="HR46" s="158"/>
      <c r="HS46" s="158"/>
      <c r="HT46" s="158"/>
      <c r="HU46" s="158"/>
      <c r="HV46" s="158"/>
      <c r="HW46" s="158"/>
      <c r="HX46" s="158"/>
      <c r="HY46" s="158"/>
      <c r="HZ46" s="158"/>
      <c r="IA46" s="158"/>
      <c r="IB46" s="158"/>
      <c r="IC46" s="158"/>
      <c r="ID46" s="158"/>
      <c r="IE46" s="158"/>
      <c r="IF46" s="158"/>
      <c r="IG46" s="158"/>
      <c r="IH46" s="158"/>
      <c r="II46" s="158"/>
      <c r="IJ46" s="158"/>
      <c r="IK46" s="158"/>
      <c r="IL46" s="158"/>
      <c r="IM46" s="158"/>
      <c r="IN46" s="158"/>
      <c r="IO46" s="158"/>
      <c r="IP46" s="158"/>
      <c r="IQ46" s="158"/>
      <c r="IR46" s="158"/>
      <c r="IS46" s="158"/>
      <c r="IT46" s="158"/>
      <c r="IU46" s="158"/>
    </row>
    <row r="47" s="398" customFormat="1" ht="15" customHeight="1">
      <c r="A47" s="128">
        <v>23</v>
      </c>
      <c r="B47" s="146">
        <v>46022</v>
      </c>
      <c r="C47" s="147" t="s">
        <v>53</v>
      </c>
      <c r="D47" s="150">
        <f>17490+21876</f>
        <v>39366</v>
      </c>
      <c r="E47" s="149">
        <v>5</v>
      </c>
      <c r="F47" s="149">
        <f t="shared" si="95"/>
        <v>7873.1999999999998</v>
      </c>
      <c r="G47" s="413">
        <v>2</v>
      </c>
      <c r="H47" s="149">
        <f t="shared" si="96"/>
        <v>19683</v>
      </c>
      <c r="I47" s="414">
        <v>20</v>
      </c>
      <c r="J47" s="150">
        <f t="shared" si="97"/>
        <v>2.5</v>
      </c>
      <c r="K47" s="149">
        <v>17490</v>
      </c>
      <c r="L47" s="149"/>
      <c r="M47" s="413"/>
      <c r="N47" s="134">
        <f t="shared" si="98"/>
        <v>0.10000000000000001</v>
      </c>
      <c r="O47" s="415">
        <f t="shared" si="99"/>
        <v>0.8883378232758623</v>
      </c>
      <c r="P47" s="374">
        <f t="shared" si="100"/>
        <v>44314.222549742066</v>
      </c>
      <c r="Q47" s="154">
        <f t="shared" si="102"/>
        <v>5.6813105833002657</v>
      </c>
      <c r="R47" s="154">
        <f t="shared" si="101"/>
        <v>3.2651210248852101</v>
      </c>
      <c r="S47" s="153">
        <f t="shared" si="105"/>
        <v>39366</v>
      </c>
      <c r="T47" s="154">
        <f t="shared" si="106"/>
        <v>5</v>
      </c>
      <c r="U47" s="154">
        <f t="shared" si="107"/>
        <v>2</v>
      </c>
      <c r="V47" s="162">
        <v>1</v>
      </c>
      <c r="W47" s="162">
        <v>1</v>
      </c>
      <c r="X47" s="156"/>
      <c r="Y47" s="157"/>
      <c r="Z47" s="163"/>
      <c r="AA47" s="402"/>
      <c r="AB47" s="402"/>
      <c r="AC47" s="402"/>
      <c r="AD47" s="402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58"/>
      <c r="EC47" s="158"/>
      <c r="ED47" s="158"/>
      <c r="EE47" s="158"/>
      <c r="EF47" s="158"/>
      <c r="EG47" s="158"/>
      <c r="EH47" s="158"/>
      <c r="EI47" s="158"/>
      <c r="EJ47" s="158"/>
      <c r="EK47" s="158"/>
      <c r="EL47" s="158"/>
      <c r="EM47" s="158"/>
      <c r="EN47" s="158"/>
      <c r="EO47" s="158"/>
      <c r="EP47" s="158"/>
      <c r="EQ47" s="158"/>
      <c r="ER47" s="158"/>
      <c r="ES47" s="158"/>
      <c r="ET47" s="158"/>
      <c r="EU47" s="158"/>
      <c r="EV47" s="158"/>
      <c r="EW47" s="158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  <c r="FK47" s="158"/>
      <c r="FL47" s="158"/>
      <c r="FM47" s="158"/>
      <c r="FN47" s="158"/>
      <c r="FO47" s="158"/>
      <c r="FP47" s="158"/>
      <c r="FQ47" s="158"/>
      <c r="FR47" s="158"/>
      <c r="FS47" s="158"/>
      <c r="FT47" s="158"/>
      <c r="FU47" s="158"/>
      <c r="FV47" s="158"/>
      <c r="FW47" s="158"/>
      <c r="FX47" s="158"/>
      <c r="FY47" s="158"/>
      <c r="FZ47" s="158"/>
      <c r="GA47" s="158"/>
      <c r="GB47" s="158"/>
      <c r="GC47" s="158"/>
      <c r="GD47" s="158"/>
      <c r="GE47" s="158"/>
      <c r="GF47" s="158"/>
      <c r="GG47" s="158"/>
      <c r="GH47" s="158"/>
      <c r="GI47" s="158"/>
      <c r="GJ47" s="158"/>
      <c r="GK47" s="158"/>
      <c r="GL47" s="158"/>
      <c r="GM47" s="158"/>
      <c r="GN47" s="158"/>
      <c r="GO47" s="158"/>
      <c r="GP47" s="158"/>
      <c r="GQ47" s="158"/>
      <c r="GR47" s="158"/>
      <c r="GS47" s="158"/>
      <c r="GT47" s="158"/>
      <c r="GU47" s="158"/>
      <c r="GV47" s="158"/>
      <c r="GW47" s="158"/>
      <c r="GX47" s="158"/>
      <c r="GY47" s="158"/>
      <c r="GZ47" s="158"/>
      <c r="HA47" s="158"/>
      <c r="HB47" s="158"/>
      <c r="HC47" s="158"/>
      <c r="HD47" s="158"/>
      <c r="HE47" s="158"/>
      <c r="HF47" s="158"/>
      <c r="HG47" s="158"/>
      <c r="HH47" s="158"/>
      <c r="HI47" s="158"/>
      <c r="HJ47" s="158"/>
      <c r="HK47" s="158"/>
      <c r="HL47" s="158"/>
      <c r="HM47" s="158"/>
      <c r="HN47" s="158"/>
      <c r="HO47" s="158"/>
      <c r="HP47" s="158"/>
      <c r="HQ47" s="158"/>
      <c r="HR47" s="158"/>
      <c r="HS47" s="158"/>
      <c r="HT47" s="158"/>
      <c r="HU47" s="158"/>
      <c r="HV47" s="158"/>
      <c r="HW47" s="158"/>
      <c r="HX47" s="158"/>
      <c r="HY47" s="158"/>
      <c r="HZ47" s="158"/>
      <c r="IA47" s="158"/>
      <c r="IB47" s="158"/>
      <c r="IC47" s="158"/>
      <c r="ID47" s="158"/>
      <c r="IE47" s="158"/>
      <c r="IF47" s="158"/>
      <c r="IG47" s="158"/>
      <c r="IH47" s="158"/>
      <c r="II47" s="158"/>
      <c r="IJ47" s="158"/>
      <c r="IK47" s="158"/>
      <c r="IL47" s="158"/>
      <c r="IM47" s="158"/>
      <c r="IN47" s="158"/>
      <c r="IO47" s="158"/>
      <c r="IP47" s="158"/>
      <c r="IQ47" s="158"/>
      <c r="IR47" s="158"/>
      <c r="IS47" s="158"/>
      <c r="IT47" s="158"/>
      <c r="IU47" s="158"/>
    </row>
    <row r="48" s="393" customFormat="1" ht="15" customHeight="1">
      <c r="A48" s="128"/>
      <c r="B48" s="129"/>
      <c r="C48" s="130"/>
      <c r="D48" s="133"/>
      <c r="E48" s="132"/>
      <c r="F48" s="132" t="str">
        <f t="shared" si="95"/>
        <v/>
      </c>
      <c r="G48" s="132"/>
      <c r="H48" s="132" t="str">
        <f t="shared" si="96"/>
        <v/>
      </c>
      <c r="I48" s="132"/>
      <c r="J48" s="133" t="str">
        <f t="shared" si="97"/>
        <v/>
      </c>
      <c r="K48" s="132"/>
      <c r="L48" s="132"/>
      <c r="M48" s="132"/>
      <c r="N48" s="419" t="str">
        <f t="shared" si="98"/>
        <v/>
      </c>
      <c r="O48" s="135" t="e">
        <f t="shared" si="99"/>
        <v>#DIV/0!</v>
      </c>
      <c r="P48" s="420">
        <f t="shared" si="100"/>
        <v>0</v>
      </c>
      <c r="Q48" s="137">
        <f t="shared" si="102"/>
        <v>0</v>
      </c>
      <c r="R48" s="137">
        <f t="shared" si="101"/>
        <v>0</v>
      </c>
      <c r="S48" s="136" t="str">
        <f t="shared" si="105"/>
        <v/>
      </c>
      <c r="T48" s="137" t="str">
        <f t="shared" si="106"/>
        <v/>
      </c>
      <c r="U48" s="137" t="str">
        <f t="shared" si="107"/>
        <v/>
      </c>
      <c r="V48" s="364"/>
      <c r="W48" s="364"/>
      <c r="X48" s="141"/>
      <c r="Y48" s="140"/>
      <c r="Z48" s="376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="393" customFormat="1" ht="15" customHeight="1">
      <c r="A49" s="128"/>
      <c r="B49" s="129"/>
      <c r="C49" s="130"/>
      <c r="D49" s="133"/>
      <c r="E49" s="132"/>
      <c r="F49" s="132" t="str">
        <f t="shared" si="95"/>
        <v/>
      </c>
      <c r="G49" s="132"/>
      <c r="H49" s="132" t="str">
        <f t="shared" si="96"/>
        <v/>
      </c>
      <c r="I49" s="132"/>
      <c r="J49" s="133" t="str">
        <f t="shared" si="97"/>
        <v/>
      </c>
      <c r="K49" s="132"/>
      <c r="L49" s="132"/>
      <c r="M49" s="132"/>
      <c r="N49" s="419" t="str">
        <f t="shared" si="98"/>
        <v/>
      </c>
      <c r="O49" s="135" t="e">
        <f t="shared" si="99"/>
        <v>#DIV/0!</v>
      </c>
      <c r="P49" s="420">
        <f t="shared" si="100"/>
        <v>0</v>
      </c>
      <c r="Q49" s="137">
        <f t="shared" si="102"/>
        <v>0</v>
      </c>
      <c r="R49" s="137">
        <f t="shared" si="101"/>
        <v>0</v>
      </c>
      <c r="S49" s="136" t="str">
        <f t="shared" si="105"/>
        <v/>
      </c>
      <c r="T49" s="137" t="str">
        <f t="shared" si="106"/>
        <v/>
      </c>
      <c r="U49" s="137" t="str">
        <f t="shared" si="107"/>
        <v/>
      </c>
      <c r="V49" s="379"/>
      <c r="W49" s="364"/>
      <c r="X49" s="141"/>
      <c r="Y49" s="140"/>
      <c r="Z49" s="376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ht="15" customHeight="1">
      <c r="A50" s="128"/>
      <c r="B50" s="129"/>
      <c r="C50" s="130"/>
      <c r="D50" s="133"/>
      <c r="E50" s="132"/>
      <c r="F50" s="132" t="str">
        <f t="shared" si="95"/>
        <v/>
      </c>
      <c r="G50" s="132"/>
      <c r="H50" s="132" t="str">
        <f t="shared" si="96"/>
        <v/>
      </c>
      <c r="I50" s="132"/>
      <c r="J50" s="133" t="str">
        <f t="shared" si="97"/>
        <v/>
      </c>
      <c r="K50" s="132"/>
      <c r="L50" s="132"/>
      <c r="M50" s="132"/>
      <c r="N50" s="134" t="str">
        <f t="shared" si="98"/>
        <v/>
      </c>
      <c r="O50" s="135" t="e">
        <f t="shared" si="99"/>
        <v>#DIV/0!</v>
      </c>
      <c r="P50" s="136">
        <f t="shared" si="100"/>
        <v>0</v>
      </c>
      <c r="Q50" s="137">
        <f t="shared" si="102"/>
        <v>0</v>
      </c>
      <c r="R50" s="137">
        <f t="shared" si="101"/>
        <v>0</v>
      </c>
      <c r="S50" s="136" t="str">
        <f t="shared" si="105"/>
        <v/>
      </c>
      <c r="T50" s="137" t="str">
        <f t="shared" si="106"/>
        <v/>
      </c>
      <c r="U50" s="137" t="str">
        <f t="shared" si="107"/>
        <v/>
      </c>
      <c r="V50" s="364"/>
      <c r="W50" s="364"/>
      <c r="X50" s="141"/>
      <c r="Y50" s="140"/>
      <c r="Z50" s="376"/>
      <c r="AA50" s="2"/>
      <c r="AB50" s="2"/>
      <c r="AC50" s="2"/>
      <c r="AD50" s="2"/>
      <c r="AE50" s="2"/>
      <c r="AF50" s="2"/>
      <c r="AG50" s="2"/>
    </row>
    <row r="51">
      <c r="A51" s="128"/>
      <c r="B51" s="129"/>
      <c r="C51" s="130"/>
      <c r="D51" s="133"/>
      <c r="E51" s="132"/>
      <c r="F51" s="132" t="str">
        <f t="shared" si="95"/>
        <v/>
      </c>
      <c r="G51" s="132"/>
      <c r="H51" s="132" t="str">
        <f t="shared" si="96"/>
        <v/>
      </c>
      <c r="I51" s="132"/>
      <c r="J51" s="133" t="str">
        <f t="shared" si="97"/>
        <v/>
      </c>
      <c r="K51" s="132"/>
      <c r="L51" s="132"/>
      <c r="M51" s="132"/>
      <c r="N51" s="134" t="str">
        <f t="shared" si="98"/>
        <v/>
      </c>
      <c r="O51" s="135" t="e">
        <f t="shared" si="99"/>
        <v>#DIV/0!</v>
      </c>
      <c r="P51" s="136">
        <f t="shared" si="100"/>
        <v>0</v>
      </c>
      <c r="Q51" s="137">
        <f t="shared" si="102"/>
        <v>0</v>
      </c>
      <c r="R51" s="137">
        <f t="shared" si="101"/>
        <v>0</v>
      </c>
      <c r="S51" s="136" t="str">
        <f t="shared" si="105"/>
        <v/>
      </c>
      <c r="T51" s="137" t="str">
        <f t="shared" si="106"/>
        <v/>
      </c>
      <c r="U51" s="137" t="str">
        <f t="shared" si="107"/>
        <v/>
      </c>
      <c r="V51" s="364"/>
      <c r="W51" s="364"/>
      <c r="X51" s="141"/>
      <c r="Y51" s="140"/>
      <c r="Z51" s="376"/>
      <c r="AA51" s="2"/>
      <c r="AB51" s="2"/>
      <c r="AC51" s="2"/>
      <c r="AD51" s="2"/>
      <c r="AE51" s="2"/>
      <c r="AF51" s="2"/>
      <c r="AG51" s="2"/>
    </row>
    <row r="52">
      <c r="A52" s="128"/>
      <c r="B52" s="129"/>
      <c r="C52" s="130"/>
      <c r="D52" s="133"/>
      <c r="E52" s="132"/>
      <c r="F52" s="132" t="str">
        <f t="shared" si="95"/>
        <v/>
      </c>
      <c r="G52" s="132"/>
      <c r="H52" s="132" t="str">
        <f t="shared" si="96"/>
        <v/>
      </c>
      <c r="I52" s="132"/>
      <c r="J52" s="133" t="str">
        <f t="shared" si="97"/>
        <v/>
      </c>
      <c r="K52" s="132"/>
      <c r="L52" s="132"/>
      <c r="M52" s="132"/>
      <c r="N52" s="134" t="str">
        <f t="shared" si="98"/>
        <v/>
      </c>
      <c r="O52" s="135" t="e">
        <f t="shared" si="99"/>
        <v>#DIV/0!</v>
      </c>
      <c r="P52" s="136">
        <f t="shared" si="100"/>
        <v>0</v>
      </c>
      <c r="Q52" s="137">
        <f t="shared" si="102"/>
        <v>0</v>
      </c>
      <c r="R52" s="137">
        <f t="shared" si="101"/>
        <v>0</v>
      </c>
      <c r="S52" s="136" t="str">
        <f t="shared" si="105"/>
        <v/>
      </c>
      <c r="T52" s="137" t="str">
        <f t="shared" si="106"/>
        <v/>
      </c>
      <c r="U52" s="137" t="str">
        <f t="shared" si="107"/>
        <v/>
      </c>
      <c r="V52" s="364"/>
      <c r="W52" s="364"/>
      <c r="X52" s="141"/>
      <c r="Y52" s="140"/>
      <c r="Z52" s="376"/>
      <c r="AA52" s="2"/>
      <c r="AB52" s="2"/>
      <c r="AC52" s="2"/>
      <c r="AD52" s="2"/>
      <c r="AE52" s="2"/>
      <c r="AF52" s="2"/>
      <c r="AG52" s="2"/>
    </row>
    <row r="53">
      <c r="A53" s="128"/>
      <c r="B53" s="129"/>
      <c r="C53" s="130"/>
      <c r="D53" s="133"/>
      <c r="E53" s="132"/>
      <c r="F53" s="132" t="str">
        <f t="shared" si="95"/>
        <v/>
      </c>
      <c r="G53" s="132"/>
      <c r="H53" s="132" t="str">
        <f t="shared" si="96"/>
        <v/>
      </c>
      <c r="I53" s="132"/>
      <c r="J53" s="133" t="str">
        <f t="shared" si="97"/>
        <v/>
      </c>
      <c r="K53" s="132"/>
      <c r="L53" s="132"/>
      <c r="M53" s="132"/>
      <c r="N53" s="134" t="str">
        <f t="shared" si="98"/>
        <v/>
      </c>
      <c r="O53" s="135" t="e">
        <f t="shared" si="99"/>
        <v>#DIV/0!</v>
      </c>
      <c r="P53" s="136">
        <f t="shared" si="100"/>
        <v>0</v>
      </c>
      <c r="Q53" s="137">
        <f t="shared" si="102"/>
        <v>0</v>
      </c>
      <c r="R53" s="137">
        <f t="shared" si="101"/>
        <v>0</v>
      </c>
      <c r="S53" s="136" t="str">
        <f t="shared" si="105"/>
        <v/>
      </c>
      <c r="T53" s="137" t="str">
        <f t="shared" si="106"/>
        <v/>
      </c>
      <c r="U53" s="137" t="str">
        <f t="shared" si="107"/>
        <v/>
      </c>
      <c r="V53" s="364"/>
      <c r="W53" s="364"/>
      <c r="X53" s="141"/>
      <c r="Y53" s="140"/>
      <c r="Z53" s="376"/>
      <c r="AA53" s="2"/>
      <c r="AB53" s="2"/>
      <c r="AC53" s="2"/>
      <c r="AD53" s="2"/>
      <c r="AE53" s="2"/>
      <c r="AF53" s="2"/>
      <c r="AG53" s="2"/>
    </row>
    <row r="54">
      <c r="A54" s="128"/>
      <c r="B54" s="129"/>
      <c r="C54" s="130"/>
      <c r="D54" s="133"/>
      <c r="E54" s="132"/>
      <c r="F54" s="132" t="str">
        <f t="shared" si="95"/>
        <v/>
      </c>
      <c r="G54" s="132"/>
      <c r="H54" s="132" t="str">
        <f t="shared" si="96"/>
        <v/>
      </c>
      <c r="I54" s="132"/>
      <c r="J54" s="133" t="str">
        <f t="shared" si="97"/>
        <v/>
      </c>
      <c r="K54" s="132"/>
      <c r="L54" s="132"/>
      <c r="M54" s="132"/>
      <c r="N54" s="134" t="str">
        <f t="shared" si="98"/>
        <v/>
      </c>
      <c r="O54" s="135" t="e">
        <f t="shared" si="99"/>
        <v>#DIV/0!</v>
      </c>
      <c r="P54" s="136">
        <f t="shared" si="100"/>
        <v>0</v>
      </c>
      <c r="Q54" s="137">
        <f t="shared" si="102"/>
        <v>0</v>
      </c>
      <c r="R54" s="137">
        <f t="shared" si="101"/>
        <v>0</v>
      </c>
      <c r="S54" s="136" t="str">
        <f>IF(W54&lt;&gt;"",IF(D54&lt;&gt;"",D54,($I$8-SUM($S$25:S50))*V54*W54/SUMPRODUCT($W54:$W$58,$V54:$V$58)),"")</f>
        <v/>
      </c>
      <c r="T54" s="137" t="str">
        <f>IF(W54&lt;&gt;"",IF(E54&lt;&gt;"",E54,($I$9-SUM($T$25:T50))*V54*W54/SUMPRODUCT($W54:$W$58,$V54:$V$58)),"")</f>
        <v/>
      </c>
      <c r="U54" s="137" t="str">
        <f>IF(W54&lt;&gt;"",IF($I$12&lt;&gt;"",IF(G54&lt;&gt;"",G54,($I$9/$I$12-SUM($U$25:U50))*V54*W54/SUMPRODUCT($W54:$W$58,$V54:$V$58)),""),"")</f>
        <v/>
      </c>
      <c r="V54" s="364"/>
      <c r="W54" s="364"/>
      <c r="X54" s="141"/>
      <c r="Y54" s="140"/>
      <c r="Z54" s="376"/>
      <c r="AA54" s="2"/>
      <c r="AB54" s="2"/>
      <c r="AC54" s="2"/>
      <c r="AD54" s="2"/>
      <c r="AE54" s="2"/>
      <c r="AF54" s="2"/>
      <c r="AG54" s="2"/>
    </row>
    <row r="55">
      <c r="A55" s="128"/>
      <c r="B55" s="129"/>
      <c r="C55" s="130"/>
      <c r="D55" s="133"/>
      <c r="E55" s="132"/>
      <c r="F55" s="132" t="str">
        <f t="shared" si="95"/>
        <v/>
      </c>
      <c r="G55" s="132"/>
      <c r="H55" s="132" t="str">
        <f t="shared" si="96"/>
        <v/>
      </c>
      <c r="I55" s="132"/>
      <c r="J55" s="133" t="str">
        <f t="shared" si="97"/>
        <v/>
      </c>
      <c r="K55" s="132"/>
      <c r="L55" s="132"/>
      <c r="M55" s="132"/>
      <c r="N55" s="134" t="str">
        <f t="shared" si="98"/>
        <v/>
      </c>
      <c r="O55" s="135" t="e">
        <f t="shared" si="99"/>
        <v>#DIV/0!</v>
      </c>
      <c r="P55" s="136">
        <f t="shared" si="100"/>
        <v>0</v>
      </c>
      <c r="Q55" s="137">
        <f t="shared" si="102"/>
        <v>0</v>
      </c>
      <c r="R55" s="137">
        <f t="shared" si="101"/>
        <v>0</v>
      </c>
      <c r="S55" s="136" t="str">
        <f t="shared" ref="S55:S56" si="108">IF(W55&lt;&gt;"",IF(D55&lt;&gt;"",D55,($I$8-SUM($S$25:S54))*V55*W55/SUMPRODUCT($W55:$W$58,$V55:$V$58)),"")</f>
        <v/>
      </c>
      <c r="T55" s="137" t="str">
        <f t="shared" ref="T55:T56" si="109">IF(W55&lt;&gt;"",IF(E55&lt;&gt;"",E55,($I$9-SUM($T$25:T54))*V55*W55/SUMPRODUCT($W55:$W$58,$V55:$V$58)),"")</f>
        <v/>
      </c>
      <c r="U55" s="137" t="str">
        <f t="shared" ref="U55:U56" si="110">IF(W55&lt;&gt;"",IF($I$12&lt;&gt;"",IF(G55&lt;&gt;"",G55,($I$9/$I$12-SUM($U$25:U54))*V55*W55/SUMPRODUCT($W55:$W$58,$V55:$V$58)),""),"")</f>
        <v/>
      </c>
      <c r="V55" s="364"/>
      <c r="W55" s="364"/>
      <c r="X55" s="141"/>
      <c r="Y55" s="140"/>
      <c r="Z55" s="376"/>
      <c r="AA55" s="2"/>
      <c r="AB55" s="2"/>
      <c r="AC55" s="2"/>
      <c r="AD55" s="2"/>
      <c r="AE55" s="2"/>
      <c r="AF55" s="2"/>
      <c r="AG55" s="2"/>
    </row>
    <row r="56">
      <c r="A56" s="128"/>
      <c r="B56" s="129"/>
      <c r="C56" s="130"/>
      <c r="D56" s="133"/>
      <c r="E56" s="132"/>
      <c r="F56" s="132" t="str">
        <f t="shared" si="95"/>
        <v/>
      </c>
      <c r="G56" s="132"/>
      <c r="H56" s="132" t="str">
        <f t="shared" si="96"/>
        <v/>
      </c>
      <c r="I56" s="132"/>
      <c r="J56" s="133" t="str">
        <f t="shared" si="97"/>
        <v/>
      </c>
      <c r="K56" s="132"/>
      <c r="L56" s="132"/>
      <c r="M56" s="132"/>
      <c r="N56" s="134" t="str">
        <f t="shared" si="98"/>
        <v/>
      </c>
      <c r="O56" s="135" t="e">
        <f t="shared" si="99"/>
        <v>#DIV/0!</v>
      </c>
      <c r="P56" s="136">
        <f t="shared" si="100"/>
        <v>0</v>
      </c>
      <c r="Q56" s="137">
        <f t="shared" si="102"/>
        <v>0</v>
      </c>
      <c r="R56" s="137">
        <f t="shared" si="101"/>
        <v>0</v>
      </c>
      <c r="S56" s="136" t="str">
        <f t="shared" si="108"/>
        <v/>
      </c>
      <c r="T56" s="137" t="str">
        <f t="shared" si="109"/>
        <v/>
      </c>
      <c r="U56" s="137" t="str">
        <f t="shared" si="110"/>
        <v/>
      </c>
      <c r="V56" s="364"/>
      <c r="W56" s="364"/>
      <c r="X56" s="141"/>
      <c r="Y56" s="140"/>
      <c r="Z56" s="376"/>
      <c r="AA56" s="2"/>
      <c r="AB56" s="2"/>
      <c r="AC56" s="2"/>
      <c r="AD56" s="2"/>
      <c r="AE56" s="2"/>
      <c r="AF56" s="2"/>
      <c r="AG56" s="2"/>
    </row>
    <row r="57">
      <c r="A57" s="407"/>
      <c r="B57" s="408"/>
      <c r="C57" s="409"/>
      <c r="D57" s="149">
        <f>SUM(D25:D56)</f>
        <v>280692.70000000001</v>
      </c>
      <c r="E57" s="149">
        <f>SUM(E25:E56)</f>
        <v>34</v>
      </c>
      <c r="F57" s="149">
        <f t="shared" si="95"/>
        <v>8255.6676470588245</v>
      </c>
      <c r="G57" s="149">
        <f>SUM(G25:G56)</f>
        <v>19</v>
      </c>
      <c r="H57" s="149">
        <f t="shared" si="96"/>
        <v>14773.300000000001</v>
      </c>
      <c r="I57" s="149">
        <f>SUM(I25:I56)</f>
        <v>257</v>
      </c>
      <c r="J57" s="150">
        <f t="shared" si="97"/>
        <v>1.7894736842105263</v>
      </c>
      <c r="K57" s="149">
        <f>SUM(K25:K56)</f>
        <v>47970</v>
      </c>
      <c r="L57" s="149">
        <f>SUM(L25:L56)</f>
        <v>0</v>
      </c>
      <c r="M57" s="149">
        <f>SUM(M25:M56)</f>
        <v>13793</v>
      </c>
      <c r="N57" s="165">
        <f t="shared" si="98"/>
        <v>0.073929961089494164</v>
      </c>
      <c r="O57" s="152">
        <f t="shared" si="99"/>
        <v>0.27527791166590254</v>
      </c>
      <c r="P57" s="154">
        <f>SUM(P25:P56)</f>
        <v>1019670.2608695653</v>
      </c>
      <c r="Q57" s="154">
        <f>SUM(Q25:Q55)</f>
        <v>130.72695652173906</v>
      </c>
      <c r="R57" s="154">
        <f>SUM(R25:R55)</f>
        <v>75.130434782608688</v>
      </c>
      <c r="S57" s="154">
        <f>SUM(S25:S56)</f>
        <v>834964.2175052684</v>
      </c>
      <c r="T57" s="154">
        <f>SUM(T25:T55)</f>
        <v>106.01758711158922</v>
      </c>
      <c r="U57" s="154">
        <f>SUM(U25:U55)</f>
        <v>60.512473075106151</v>
      </c>
      <c r="V57" s="166"/>
      <c r="W57" s="166"/>
      <c r="AE57" s="2"/>
      <c r="AF57" s="2"/>
      <c r="AG57" s="2"/>
    </row>
  </sheetData>
  <mergeCells count="29">
    <mergeCell ref="B1:C1"/>
    <mergeCell ref="Q1:T4"/>
    <mergeCell ref="B2:C2"/>
    <mergeCell ref="J2:P2"/>
    <mergeCell ref="J3:N4"/>
    <mergeCell ref="C4:D4"/>
    <mergeCell ref="J5:N5"/>
    <mergeCell ref="F7:H7"/>
    <mergeCell ref="P7:Q7"/>
    <mergeCell ref="F8:H8"/>
    <mergeCell ref="F9:H9"/>
    <mergeCell ref="F10:H10"/>
    <mergeCell ref="S10:T11"/>
    <mergeCell ref="V10:W11"/>
    <mergeCell ref="F11:H11"/>
    <mergeCell ref="F12:H12"/>
    <mergeCell ref="F13:H13"/>
    <mergeCell ref="F14:H14"/>
    <mergeCell ref="F15:H15"/>
    <mergeCell ref="F16:H16"/>
    <mergeCell ref="S16:T17"/>
    <mergeCell ref="F17:H17"/>
    <mergeCell ref="F18:H18"/>
    <mergeCell ref="F19:H19"/>
    <mergeCell ref="F20:H20"/>
    <mergeCell ref="B22:N22"/>
    <mergeCell ref="O22:O24"/>
    <mergeCell ref="P22:W22"/>
    <mergeCell ref="B57:C57"/>
  </mergeCells>
  <printOptions headings="0" gridLines="0"/>
  <pageMargins left="0.69999999999999996" right="0.69999999999999996" top="0.75" bottom="0.75" header="0.51200000000000001" footer="0.51200000000000001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79" operator="between" id="{00B60026-0038-420D-AEE8-00E4004100DF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O36:O49</xm:sqref>
        </x14:conditionalFormatting>
        <x14:conditionalFormatting xmlns:xm="http://schemas.microsoft.com/office/excel/2006/main">
          <x14:cfRule type="cellIs" priority="1878" operator="lessThan" id="{008A0064-00B5-44B7-B2A2-009B00FB00EC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O36:O49</xm:sqref>
        </x14:conditionalFormatting>
        <x14:conditionalFormatting xmlns:xm="http://schemas.microsoft.com/office/excel/2006/main">
          <x14:cfRule type="cellIs" priority="1875" operator="between" id="{006A008F-0090-4099-848F-00C90089003B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O36:O49</xm:sqref>
        </x14:conditionalFormatting>
        <x14:conditionalFormatting xmlns:xm="http://schemas.microsoft.com/office/excel/2006/main">
          <x14:cfRule type="cellIs" priority="1874" operator="between" id="{008E006D-0090-4BAF-A4DD-003100BF00D1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O36:O49</xm:sqref>
        </x14:conditionalFormatting>
        <x14:conditionalFormatting xmlns:xm="http://schemas.microsoft.com/office/excel/2006/main">
          <x14:cfRule type="cellIs" priority="1873" operator="between" id="{00760094-00C0-458A-8906-009A005200D1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72" operator="greaterThanOrEqual" id="{002000FD-0068-4DE5-BBB9-0004002F00BB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69" operator="lessThan" id="{002800F4-00B7-4457-89DE-002800C600F1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8" operator="between" id="{008700B4-009A-4DB6-A0DB-002D00260076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O28:O49</xm:sqref>
        </x14:conditionalFormatting>
        <x14:conditionalFormatting xmlns:xm="http://schemas.microsoft.com/office/excel/2006/main">
          <x14:cfRule type="cellIs" priority="1866" operator="greaterThan" id="{00CA00EC-00FA-4D0E-8C9C-0066004E00EC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5" operator="lessThan" id="{004A002F-003A-4F58-B89F-003D00F0002A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O28:O49</xm:sqref>
        </x14:conditionalFormatting>
        <x14:conditionalFormatting xmlns:xm="http://schemas.microsoft.com/office/excel/2006/main">
          <x14:cfRule type="cellIs" priority="1860" operator="between" id="{00840080-00C9-410E-853F-00D400570001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O36:O49</xm:sqref>
        </x14:conditionalFormatting>
        <x14:conditionalFormatting xmlns:xm="http://schemas.microsoft.com/office/excel/2006/main">
          <x14:cfRule type="cellIs" priority="1858" operator="between" id="{0034002C-005E-4A47-BE8D-00AA00AD00EF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54" operator="lessThan" id="{00B70084-0097-4D8D-A6CC-00AA009200AC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53" operator="lessThan" id="{00FD002A-00F5-44FC-A941-00C600C10087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J51:J53</xm:sqref>
        </x14:conditionalFormatting>
        <x14:conditionalFormatting xmlns:xm="http://schemas.microsoft.com/office/excel/2006/main">
          <x14:cfRule type="cellIs" priority="1850" operator="between" id="{00B600E0-00D5-48C7-854F-005500FE004D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9" operator="lessThan" id="{009400FD-0088-49E8-BE40-005B008A0082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8" operator="between" id="{00C6005E-00D3-433F-BE94-004E00A8001A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6" operator="between" id="{0067008D-00D0-411A-A4EE-00A600240094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N51:N53</xm:sqref>
        </x14:conditionalFormatting>
        <x14:conditionalFormatting xmlns:xm="http://schemas.microsoft.com/office/excel/2006/main">
          <x14:cfRule type="cellIs" priority="1844" operator="between" id="{0039004D-00A2-43B7-BAFE-00C200E200CF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O39:O42</xm:sqref>
        </x14:conditionalFormatting>
        <x14:conditionalFormatting xmlns:xm="http://schemas.microsoft.com/office/excel/2006/main">
          <x14:cfRule type="cellIs" priority="1842" operator="lessThan" id="{004B00A8-0000-4F30-AE31-000300A8002C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O39:O42</xm:sqref>
        </x14:conditionalFormatting>
        <x14:conditionalFormatting xmlns:xm="http://schemas.microsoft.com/office/excel/2006/main">
          <x14:cfRule type="cellIs" priority="1836" operator="between" id="{005E00AE-0051-4CCA-88F1-00F200F700A8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O39:O42</xm:sqref>
        </x14:conditionalFormatting>
        <x14:conditionalFormatting xmlns:xm="http://schemas.microsoft.com/office/excel/2006/main">
          <x14:cfRule type="cellIs" priority="1832" operator="between" id="{00F400F6-007C-4E25-A4C2-00EF00540075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N39:N42</xm:sqref>
        </x14:conditionalFormatting>
        <x14:conditionalFormatting xmlns:xm="http://schemas.microsoft.com/office/excel/2006/main">
          <x14:cfRule type="cellIs" priority="1826" operator="lessThan" id="{00880050-00D7-465B-A5F5-008A00B9005F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J39:J42</xm:sqref>
        </x14:conditionalFormatting>
        <x14:conditionalFormatting xmlns:xm="http://schemas.microsoft.com/office/excel/2006/main">
          <x14:cfRule type="cellIs" priority="244" operator="between" id="{00FC00FB-0045-4053-8EDD-009C00530080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3" operator="lessThan" id="{00B40064-0091-493F-93D6-00E300EE003C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2" operator="between" id="{002F00FF-003A-47D0-8042-0044005300E6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1" operator="between" id="{00E100D7-0095-4C61-9DFA-0045008900F3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N44:N49</xm:sqref>
        </x14:conditionalFormatting>
        <x14:conditionalFormatting xmlns:xm="http://schemas.microsoft.com/office/excel/2006/main">
          <x14:cfRule type="cellIs" priority="240" operator="lessThan" id="{00F40038-008D-44B8-8BF3-0091007300E8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J44:J49</xm:sqref>
        </x14:conditionalFormatting>
        <x14:conditionalFormatting xmlns:xm="http://schemas.microsoft.com/office/excel/2006/main">
          <x14:cfRule type="cellIs" priority="234" operator="lessThan" id="{0093006E-005F-43AD-850F-00FA001B007B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233" operator="lessThan" id="{00E000B1-009D-4BED-9B0C-009E00B200B2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32" operator="lessThan" id="{00750068-0006-428C-A986-002F00F70026}">
            <xm:f>0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P10:Q10</xm:sqref>
        </x14:conditionalFormatting>
        <x14:conditionalFormatting xmlns:xm="http://schemas.microsoft.com/office/excel/2006/main">
          <x14:cfRule type="cellIs" priority="231" operator="greaterThan" id="{00020027-00E9-4787-9E56-00B100FA007A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30" operator="greaterThan" id="{00330044-002A-4A80-9FEB-00BC00210004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229" operator="greaterThan" id="{00A600AA-0067-467F-95EA-00B500E200DD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228" operator="lessThan" id="{005A005F-0096-42E0-8429-002D00DA005E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227" operator="greaterThan" id="{00FE0019-00B4-44F9-9276-008D00100090}">
            <xm:f>$K$14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226" operator="lessThan" id="{00DC0089-00F4-4DFF-A515-00AF00D500D5}">
            <xm:f>$K$14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50" operator="greaterThanOrEqual" id="{000300FC-0051-4FA5-B00E-00A6003E00D6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N39:N56</xm:sqref>
        </x14:conditionalFormatting>
        <x14:conditionalFormatting xmlns:xm="http://schemas.microsoft.com/office/excel/2006/main">
          <x14:cfRule type="cellIs" priority="49" operator="between" id="{004F0066-004D-4CBF-8538-00EE0029002B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N41:N56</xm:sqref>
        </x14:conditionalFormatting>
        <x14:conditionalFormatting xmlns:xm="http://schemas.microsoft.com/office/excel/2006/main">
          <x14:cfRule type="cellIs" priority="48" operator="between" id="{007C0055-007F-46A7-B0E2-006600F3005E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O39:O56</xm:sqref>
        </x14:conditionalFormatting>
        <x14:conditionalFormatting xmlns:xm="http://schemas.microsoft.com/office/excel/2006/main">
          <x14:cfRule type="cellIs" priority="47" operator="between" id="{00CF0030-005B-4EF9-9D39-00D200050054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4" operator="lessThan" id="{00530043-0021-4228-B500-002500D7009A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3" operator="between" id="{00DC005A-00C4-487E-91C6-005E0031004B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31" operator="greaterThan" id="{009400DB-0089-4240-83BF-003400C000B7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J28:J56</xm:sqref>
        </x14:conditionalFormatting>
        <x14:conditionalFormatting xmlns:xm="http://schemas.microsoft.com/office/excel/2006/main">
          <x14:cfRule type="cellIs" priority="30" operator="lessThan" id="{00A30057-0019-4E09-B78A-00E800AD008E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J28:J56</xm:sqref>
        </x14:conditionalFormatting>
        <x14:conditionalFormatting xmlns:xm="http://schemas.microsoft.com/office/excel/2006/main">
          <x14:cfRule type="cellIs" priority="28" operator="greaterThanOrEqual" id="{00E9006B-0025-469E-B181-00E2007C00F0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N28:N47</xm:sqref>
        </x14:conditionalFormatting>
        <x14:conditionalFormatting xmlns:xm="http://schemas.microsoft.com/office/excel/2006/main">
          <x14:cfRule type="cellIs" priority="27" operator="between" id="{004500B1-004D-4A8E-8157-00F300C90056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N28:N47</xm:sqref>
        </x14:conditionalFormatting>
        <x14:conditionalFormatting xmlns:xm="http://schemas.microsoft.com/office/excel/2006/main">
          <x14:cfRule type="cellIs" priority="26" operator="between" id="{00FD00E2-007F-4C6F-953A-00A400E5000E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O28:O49</xm:sqref>
        </x14:conditionalFormatting>
        <x14:conditionalFormatting xmlns:xm="http://schemas.microsoft.com/office/excel/2006/main">
          <x14:cfRule type="cellIs" priority="25" operator="between" id="{00D400D8-00DC-4EE4-AE97-008500CB002C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O28:O49</xm:sqref>
        </x14:conditionalFormatting>
        <x14:conditionalFormatting xmlns:xm="http://schemas.microsoft.com/office/excel/2006/main">
          <x14:cfRule type="cellIs" priority="22" operator="greaterThan" id="{003700DF-0057-40E0-B3E9-00EC00BB0058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J25:J49</xm:sqref>
        </x14:conditionalFormatting>
        <x14:conditionalFormatting xmlns:xm="http://schemas.microsoft.com/office/excel/2006/main">
          <x14:cfRule type="cellIs" priority="21" operator="lessThan" id="{002E00F4-00BD-4020-8FD5-000C00D30020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J25:J45</xm:sqref>
        </x14:conditionalFormatting>
        <x14:conditionalFormatting xmlns:xm="http://schemas.microsoft.com/office/excel/2006/main">
          <x14:cfRule type="cellIs" priority="20" operator="lessThan" id="{0043000F-005F-4B17-9E1B-007C009800A3}">
            <xm:f>0.2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N25:N56</xm:sqref>
        </x14:conditionalFormatting>
        <x14:conditionalFormatting xmlns:xm="http://schemas.microsoft.com/office/excel/2006/main">
          <x14:cfRule type="cellIs" priority="19" operator="greaterThanOrEqual" id="{00C900E2-0051-4770-BF61-00790094002A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N25:N49</xm:sqref>
        </x14:conditionalFormatting>
        <x14:conditionalFormatting xmlns:xm="http://schemas.microsoft.com/office/excel/2006/main">
          <x14:cfRule type="cellIs" priority="18" operator="between" id="{00450024-009F-4A25-B597-00BF00CE000C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N25:N47</xm:sqref>
        </x14:conditionalFormatting>
        <x14:conditionalFormatting xmlns:xm="http://schemas.microsoft.com/office/excel/2006/main">
          <x14:cfRule type="cellIs" priority="17" operator="between" id="{009000C1-00E8-41ED-B63F-00F400300072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O25:O49</xm:sqref>
        </x14:conditionalFormatting>
        <x14:conditionalFormatting xmlns:xm="http://schemas.microsoft.com/office/excel/2006/main">
          <x14:cfRule type="cellIs" priority="16" operator="between" id="{00C600DA-00B2-479C-8F83-00A2003D0080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O25:O49</xm:sqref>
        </x14:conditionalFormatting>
        <x14:conditionalFormatting xmlns:xm="http://schemas.microsoft.com/office/excel/2006/main">
          <x14:cfRule type="cellIs" priority="15" operator="greaterThan" id="{00B10080-00B6-4EA5-8328-00D400530046}">
            <xm:f>100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14" operator="greaterThan" id="{005000EF-00C2-4CDE-9DEE-009E003F0084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13" operator="lessThan" id="{004B0070-00A4-47CB-85BE-00E300E300F2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O25:O49</xm:sqref>
        </x14:conditionalFormatting>
        <x14:conditionalFormatting xmlns:xm="http://schemas.microsoft.com/office/excel/2006/main">
          <x14:cfRule type="cellIs" priority="12" operator="between" id="{000B0044-00BC-40C5-B53A-00E2001300E1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O25:O49</xm:sqref>
        </x14:conditionalFormatting>
        <x14:conditionalFormatting xmlns:xm="http://schemas.microsoft.com/office/excel/2006/main">
          <x14:cfRule type="cellIs" priority="8" operator="greaterThan" id="{00540066-0042-41CF-AC1F-00C200190010}">
            <xm:f>"100;"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7" operator="greaterThan" id="{00BA00B1-00EC-4FC7-BC3A-00FD00050082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6" operator="lessThan" id="{001900E5-000A-4738-9857-009A009400CF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5" operator="greaterThan" id="{009400EE-00DC-4F84-98E5-009700C7001D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4" operator="lessThan" id="{00750018-00AF-4EF3-A82A-004900B000F5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3" operator="between" id="{00D20036-0086-4C02-AF9C-00D5001600B4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2" operator="lessThan" id="{00F8006C-0052-4ADA-A28C-006C00D0001A}">
            <xm:f>$K$17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1" operator="greaterThan" id="{00D40031-00C8-47DF-A431-00DA00030019}">
            <xm:f>$K$17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zoomScale="100" workbookViewId="0">
      <pane xSplit="3" topLeftCell="D1" activePane="topRight" state="frozen"/>
      <selection activeCell="A1" activeCellId="0" sqref="A1"/>
    </sheetView>
  </sheetViews>
  <sheetFormatPr baseColWidth="10" defaultColWidth="9.1640625" defaultRowHeight="14.25"/>
  <cols>
    <col customWidth="1" min="1" max="1" style="381" width="4.1640625"/>
    <col customWidth="1" min="2" max="2" style="3" width="12.5"/>
    <col customWidth="1" min="3" max="3" style="3" width="10.83203125"/>
    <col customWidth="1" min="4" max="4" style="3" width="10.33203125"/>
    <col customWidth="1" min="5" max="5" style="3" width="10.1640625"/>
    <col customWidth="1" min="6" max="6" style="3" width="11.33203125"/>
    <col customWidth="1" min="7" max="7" style="3" width="9.83203125"/>
    <col customWidth="1" min="8" max="8" style="3" width="9.5"/>
    <col customWidth="1" min="9" max="9" style="3" width="11"/>
    <col customWidth="1" min="10" max="10" style="3" width="8.83203125"/>
    <col customWidth="1" min="11" max="11" style="3" width="12.6640625"/>
    <col customWidth="1" min="12" max="12" style="3" width="10.1640625"/>
    <col customWidth="1" min="13" max="13" style="3" width="10.83203125"/>
    <col customWidth="1" min="14" max="14" style="3" width="11.6640625"/>
    <col customWidth="1" min="15" max="15" style="3" width="12.83203125"/>
    <col customWidth="1" min="16" max="16" style="3" width="10.33203125"/>
    <col customWidth="1" min="17" max="18" style="3" width="11.33203125"/>
    <col customWidth="1" min="19" max="19" style="3" width="11"/>
    <col customWidth="1" min="20" max="20" style="3" width="9.5"/>
    <col bestFit="1" customWidth="1" min="21" max="21" style="3" width="9.1640625"/>
    <col customWidth="1" min="22" max="23" style="3" width="10.5"/>
    <col bestFit="1" customWidth="1" min="24" max="33" style="3" width="9.1640625"/>
    <col bestFit="1" customWidth="1" min="34" max="255" style="2" width="9.1640625"/>
  </cols>
  <sheetData>
    <row r="1" ht="15.75" customHeight="1">
      <c r="B1" s="314">
        <f ca="1">TODAY()-1</f>
        <v>46060</v>
      </c>
      <c r="C1" s="314"/>
      <c r="D1" s="15"/>
      <c r="E1" s="15"/>
      <c r="F1" s="16"/>
      <c r="G1" s="16"/>
      <c r="H1" s="16"/>
      <c r="I1" s="16"/>
      <c r="J1" s="315"/>
      <c r="K1" s="315"/>
      <c r="L1" s="315"/>
      <c r="M1" s="315"/>
      <c r="N1" s="315"/>
      <c r="O1" s="315"/>
      <c r="P1" s="315"/>
      <c r="Q1" s="316"/>
      <c r="R1" s="316"/>
      <c r="S1" s="316"/>
      <c r="T1" s="316"/>
      <c r="U1" s="16"/>
      <c r="V1" s="16"/>
      <c r="W1" s="16"/>
    </row>
    <row r="2" ht="21.75" customHeight="1">
      <c r="B2" s="317" t="s">
        <v>0</v>
      </c>
      <c r="C2" s="317"/>
      <c r="D2" s="15"/>
      <c r="E2" s="15"/>
      <c r="F2" s="16"/>
      <c r="G2" s="16"/>
      <c r="H2" s="16"/>
      <c r="I2" s="16"/>
      <c r="J2" s="318" t="s">
        <v>78</v>
      </c>
      <c r="K2" s="318"/>
      <c r="L2" s="318"/>
      <c r="M2" s="318"/>
      <c r="N2" s="318"/>
      <c r="O2" s="318"/>
      <c r="P2" s="318"/>
      <c r="Q2" s="316"/>
      <c r="R2" s="316"/>
      <c r="S2" s="316"/>
      <c r="T2" s="316"/>
      <c r="U2" s="16"/>
      <c r="V2" s="16"/>
      <c r="W2" s="16"/>
    </row>
    <row r="3" ht="14" customHeight="1">
      <c r="B3" s="14" t="s">
        <v>1</v>
      </c>
      <c r="C3" s="15"/>
      <c r="D3" s="15"/>
      <c r="E3" s="15"/>
      <c r="F3" s="16"/>
      <c r="G3" s="16"/>
      <c r="H3" s="16"/>
      <c r="I3" s="16"/>
      <c r="J3" s="319" t="s">
        <v>81</v>
      </c>
      <c r="K3" s="320"/>
      <c r="L3" s="320"/>
      <c r="M3" s="320"/>
      <c r="N3" s="321"/>
      <c r="O3" s="315"/>
      <c r="P3" s="322"/>
      <c r="Q3" s="316"/>
      <c r="R3" s="316"/>
      <c r="S3" s="316"/>
      <c r="T3" s="316"/>
      <c r="U3" s="16"/>
      <c r="V3" s="16"/>
      <c r="W3" s="16"/>
    </row>
    <row r="4" ht="15" customHeight="1">
      <c r="B4" s="15"/>
      <c r="C4" s="323">
        <f>I8-D50</f>
        <v>1110307.6173913043</v>
      </c>
      <c r="D4" s="324"/>
      <c r="E4" s="325">
        <f>IF(I8&lt;&gt;0,C4/I8,0)</f>
        <v>1</v>
      </c>
      <c r="F4" s="16"/>
      <c r="G4" s="16"/>
      <c r="H4" s="16"/>
      <c r="I4" s="16"/>
      <c r="J4" s="326"/>
      <c r="K4" s="327"/>
      <c r="L4" s="327"/>
      <c r="M4" s="327"/>
      <c r="N4" s="328"/>
      <c r="O4" s="16"/>
      <c r="P4" s="16"/>
      <c r="Q4" s="316"/>
      <c r="R4" s="316"/>
      <c r="S4" s="316"/>
      <c r="T4" s="316"/>
      <c r="U4" s="16"/>
      <c r="V4" s="16"/>
      <c r="W4" s="16"/>
    </row>
    <row r="5">
      <c r="B5" s="16"/>
      <c r="C5" s="16"/>
      <c r="D5" s="16"/>
      <c r="E5" s="16"/>
      <c r="F5" s="16"/>
      <c r="G5" s="16"/>
      <c r="H5" s="16"/>
      <c r="I5" s="16"/>
      <c r="J5" s="329"/>
      <c r="K5" s="329"/>
      <c r="L5" s="329"/>
      <c r="M5" s="329"/>
      <c r="N5" s="329"/>
      <c r="O5" s="16"/>
      <c r="P5" s="16"/>
      <c r="Q5" s="16"/>
      <c r="R5" s="16"/>
      <c r="S5" s="16"/>
      <c r="T5" s="16"/>
      <c r="U5" s="16"/>
      <c r="V5" s="16"/>
      <c r="W5" s="16"/>
    </row>
    <row r="6" ht="15.75" customHeight="1">
      <c r="B6" s="330"/>
      <c r="C6" s="16"/>
      <c r="D6" s="16"/>
      <c r="E6" s="16"/>
      <c r="F6" s="331" t="s">
        <v>2</v>
      </c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3"/>
      <c r="R6" s="34"/>
      <c r="S6" s="34"/>
      <c r="T6" s="16"/>
      <c r="U6" s="16"/>
      <c r="V6" s="16"/>
      <c r="W6" s="16"/>
    </row>
    <row r="7" ht="50.75" customHeight="1">
      <c r="B7" s="330"/>
      <c r="C7" s="16"/>
      <c r="D7" s="16"/>
      <c r="E7" s="16"/>
      <c r="F7" s="35" t="s">
        <v>3</v>
      </c>
      <c r="G7" s="36"/>
      <c r="H7" s="37"/>
      <c r="I7" s="38" t="s">
        <v>4</v>
      </c>
      <c r="J7" s="39" t="s">
        <v>5</v>
      </c>
      <c r="K7" s="40" t="s">
        <v>6</v>
      </c>
      <c r="L7" s="41" t="s">
        <v>7</v>
      </c>
      <c r="M7" s="41" t="s">
        <v>8</v>
      </c>
      <c r="N7" s="42" t="s">
        <v>9</v>
      </c>
      <c r="O7" s="42" t="s">
        <v>10</v>
      </c>
      <c r="P7" s="43" t="s">
        <v>11</v>
      </c>
      <c r="Q7" s="44"/>
      <c r="R7" s="34"/>
      <c r="S7" s="34"/>
      <c r="T7" s="16"/>
      <c r="U7" s="16"/>
      <c r="V7" s="16"/>
      <c r="W7" s="16"/>
    </row>
    <row r="8" ht="15.75" customHeight="1">
      <c r="B8" s="330"/>
      <c r="C8" s="16"/>
      <c r="D8" s="16"/>
      <c r="E8" s="382"/>
      <c r="F8" s="46" t="s">
        <v>12</v>
      </c>
      <c r="G8" s="47"/>
      <c r="H8" s="48"/>
      <c r="I8" s="340">
        <f>'Ялта, Ленина, 18'!I8/График!AJ31*График!AJ28</f>
        <v>1110307.6173913043</v>
      </c>
      <c r="J8" s="341">
        <f>D57</f>
        <v>0</v>
      </c>
      <c r="K8" s="51">
        <f t="shared" ref="K8:K9" si="111">IF(AND(I8&lt;&gt;"",I8&lt;&gt;0,J8&lt;&gt;""),J8/I8,"")</f>
        <v>0</v>
      </c>
      <c r="L8" s="342">
        <f>IF(SUMIF($D$25:$D$56,"&gt;=0",$P$25:$P$56)&lt;&gt;0,I8*D57/SUMIF($D$25:$D$56,"&gt;=0",$P$25:$P$56),0)</f>
        <v>0</v>
      </c>
      <c r="M8" s="383" t="str">
        <f t="shared" ref="M8:M9" si="112">IF(AND(I8&lt;&gt;"",I8&lt;&gt;0,L8&lt;&gt;"",L8&lt;&gt;0),L8/I8,"")</f>
        <v/>
      </c>
      <c r="N8" s="56" t="str">
        <f t="shared" ref="N8:N9" si="113">IF(AND(J8&lt;&gt;0,J8&lt;&gt;"",I8&lt;&gt;0,I8&lt;&gt;""),L8-I8,"")</f>
        <v/>
      </c>
      <c r="O8" s="55"/>
      <c r="P8" s="56" t="str">
        <f t="shared" ref="P8:P9" si="114">IF(AND(O8&lt;&gt;"",O8&lt;&gt;0,L8&lt;&gt;"",L8&lt;&gt;0),-O8+L8,"")</f>
        <v/>
      </c>
      <c r="Q8" s="57" t="str">
        <f t="shared" ref="Q8:Q9" si="115">IF(AND(P8&lt;&gt;"",P8&lt;&gt;0,O8&lt;&gt;0,O8&lt;&gt;""),P8/O8,"")</f>
        <v/>
      </c>
      <c r="R8" s="34"/>
      <c r="S8" s="58"/>
      <c r="T8" s="16"/>
      <c r="U8" s="16"/>
      <c r="V8" s="16"/>
      <c r="W8" s="16"/>
    </row>
    <row r="9" ht="15.75" customHeight="1">
      <c r="B9" s="330"/>
      <c r="C9" s="16"/>
      <c r="D9" s="16"/>
      <c r="E9" s="16"/>
      <c r="F9" s="59" t="s">
        <v>13</v>
      </c>
      <c r="G9" s="60"/>
      <c r="H9" s="61"/>
      <c r="I9" s="62">
        <f>I8/I11</f>
        <v>142.3471304347826</v>
      </c>
      <c r="J9" s="384">
        <f>E57</f>
        <v>0</v>
      </c>
      <c r="K9" s="64">
        <f t="shared" si="111"/>
        <v>0</v>
      </c>
      <c r="L9" s="385">
        <f>IF(SUMIF($E$25:$E$54,"&gt;=0",$Q$25:$Q$54)&lt;&gt;0,I9*E57/SUMIF($E$25:$E$54,"&gt;=0",$Q$25:$Q$54),0)</f>
        <v>0</v>
      </c>
      <c r="M9" s="386" t="str">
        <f t="shared" si="112"/>
        <v/>
      </c>
      <c r="N9" s="67" t="str">
        <f t="shared" si="113"/>
        <v/>
      </c>
      <c r="O9" s="68" t="e">
        <f>O8/O11</f>
        <v>#DIV/0!</v>
      </c>
      <c r="P9" s="67" t="e">
        <f t="shared" si="114"/>
        <v>#DIV/0!</v>
      </c>
      <c r="Q9" s="69" t="e">
        <f t="shared" si="115"/>
        <v>#DIV/0!</v>
      </c>
      <c r="R9" s="34"/>
      <c r="S9" s="58"/>
      <c r="T9" s="16"/>
      <c r="U9" s="16"/>
      <c r="V9" s="16"/>
      <c r="W9" s="16"/>
    </row>
    <row r="10" ht="15.75" customHeight="1">
      <c r="B10" s="330"/>
      <c r="C10" s="16"/>
      <c r="D10" s="16"/>
      <c r="E10" s="16"/>
      <c r="F10" s="46" t="s">
        <v>14</v>
      </c>
      <c r="G10" s="47"/>
      <c r="H10" s="48"/>
      <c r="I10" s="74">
        <f>I11*I12</f>
        <v>13572</v>
      </c>
      <c r="J10" s="346" t="str">
        <f>H57</f>
        <v/>
      </c>
      <c r="K10" s="71" t="str">
        <f t="shared" ref="K10:K19" si="116">IF(AND(I10&lt;&gt;"",I10&lt;&gt;0,J10&lt;&gt;""),J10/I10,"")</f>
        <v/>
      </c>
      <c r="L10" s="344" t="str">
        <f>J10</f>
        <v/>
      </c>
      <c r="M10" s="387" t="str">
        <f t="shared" ref="M10:M20" si="117">IF(AND(I10&lt;&gt;"",I10&lt;&gt;0,L10&lt;&gt;"",L10&lt;&gt;0),L10/I10,"")</f>
        <v/>
      </c>
      <c r="N10" s="73" t="str">
        <f t="shared" ref="N10:N20" si="118">IF(AND(J10&lt;&gt;0,J10&lt;&gt;"",I10&lt;&gt;0,I10&lt;&gt;""),L10-I10,"")</f>
        <v/>
      </c>
      <c r="O10" s="74">
        <f>O11*O12</f>
        <v>0</v>
      </c>
      <c r="P10" s="73" t="str">
        <f t="shared" ref="P10:P20" si="119">IF(AND(O10&lt;&gt;"",O10&lt;&gt;0,L10&lt;&gt;"",L10&lt;&gt;0),-O10+L10,"")</f>
        <v/>
      </c>
      <c r="Q10" s="75" t="str">
        <f t="shared" ref="Q10:Q20" si="120">IF(AND(P10&lt;&gt;"",P10&lt;&gt;0,O10&lt;&gt;0,O10&lt;&gt;""),P10/O10,"")</f>
        <v/>
      </c>
      <c r="R10" s="34"/>
      <c r="S10" s="78" t="s">
        <v>36</v>
      </c>
      <c r="T10" s="78"/>
      <c r="U10" s="16"/>
      <c r="V10" s="78" t="str">
        <f>M23</f>
        <v>Agafi</v>
      </c>
      <c r="W10" s="78"/>
    </row>
    <row r="11" ht="15.75" customHeight="1">
      <c r="B11" s="330"/>
      <c r="C11" s="16"/>
      <c r="D11" s="16"/>
      <c r="E11" s="16"/>
      <c r="F11" s="59" t="s">
        <v>15</v>
      </c>
      <c r="G11" s="60"/>
      <c r="H11" s="61"/>
      <c r="I11" s="79">
        <f>'Ялта, Ленина, 18'!I11</f>
        <v>7800</v>
      </c>
      <c r="J11" s="384" t="str">
        <f>F57</f>
        <v/>
      </c>
      <c r="K11" s="64" t="str">
        <f t="shared" si="116"/>
        <v/>
      </c>
      <c r="L11" s="385" t="str">
        <f>IF(L9&gt;0,L8/L9,"")</f>
        <v/>
      </c>
      <c r="M11" s="386" t="str">
        <f t="shared" si="117"/>
        <v/>
      </c>
      <c r="N11" s="67" t="str">
        <f t="shared" si="118"/>
        <v/>
      </c>
      <c r="O11" s="80"/>
      <c r="P11" s="67" t="str">
        <f t="shared" si="119"/>
        <v/>
      </c>
      <c r="Q11" s="69" t="str">
        <f t="shared" si="120"/>
        <v/>
      </c>
      <c r="R11" s="34"/>
      <c r="S11" s="78"/>
      <c r="T11" s="78"/>
      <c r="U11" s="16"/>
      <c r="V11" s="78"/>
      <c r="W11" s="78"/>
    </row>
    <row r="12" ht="15.75" customHeight="1">
      <c r="B12" s="330"/>
      <c r="C12" s="16"/>
      <c r="D12" s="16"/>
      <c r="E12" s="16"/>
      <c r="F12" s="59" t="s">
        <v>16</v>
      </c>
      <c r="G12" s="60"/>
      <c r="H12" s="61"/>
      <c r="I12" s="83">
        <f>'Ялта, Ленина, 18'!I12</f>
        <v>1.74</v>
      </c>
      <c r="J12" s="84" t="str">
        <f>J57</f>
        <v/>
      </c>
      <c r="K12" s="64" t="str">
        <f t="shared" si="116"/>
        <v/>
      </c>
      <c r="L12" s="350" t="str">
        <f>J12</f>
        <v/>
      </c>
      <c r="M12" s="388" t="str">
        <f t="shared" si="117"/>
        <v/>
      </c>
      <c r="N12" s="86" t="str">
        <f t="shared" si="118"/>
        <v/>
      </c>
      <c r="O12" s="87"/>
      <c r="P12" s="67" t="str">
        <f t="shared" si="119"/>
        <v/>
      </c>
      <c r="Q12" s="69" t="str">
        <f t="shared" si="120"/>
        <v/>
      </c>
      <c r="R12" s="34"/>
      <c r="S12" s="88">
        <f>'Ялта, Ленина, 18'!U12*График!AJ28/График!AJ31</f>
        <v>217304.34782608695</v>
      </c>
      <c r="T12" s="89">
        <f>L57</f>
        <v>0</v>
      </c>
      <c r="U12" s="389">
        <f>S12-T12</f>
        <v>217304.34782608695</v>
      </c>
      <c r="V12" s="88">
        <f>'Ялта, Ленина, 18'!X12/График!AJ31*График!AJ28</f>
        <v>204521.73913043478</v>
      </c>
      <c r="W12" s="89">
        <f>M57</f>
        <v>0</v>
      </c>
      <c r="X12" s="390">
        <f>V12-W12</f>
        <v>204521.73913043478</v>
      </c>
    </row>
    <row r="13" ht="15.75" customHeight="1">
      <c r="B13" s="330"/>
      <c r="C13" s="16"/>
      <c r="D13" s="16"/>
      <c r="E13" s="16"/>
      <c r="F13" s="59" t="s">
        <v>17</v>
      </c>
      <c r="G13" s="60"/>
      <c r="H13" s="61"/>
      <c r="I13" s="62">
        <f>IF(I12&lt;&gt;0,I9/I12,"")</f>
        <v>81.80869565217391</v>
      </c>
      <c r="J13" s="384">
        <f>G57</f>
        <v>0</v>
      </c>
      <c r="K13" s="64">
        <f t="shared" si="116"/>
        <v>0</v>
      </c>
      <c r="L13" s="385" t="str">
        <f>IF(SUMIF($G$25:$G$54,"&gt;=0",$R$25:$R$54)&lt;&gt;0,I13*G57/SUMIF($G$25:$G$54,"&gt;=0",$R$25:$R$54),"")</f>
        <v/>
      </c>
      <c r="M13" s="386" t="str">
        <f t="shared" si="117"/>
        <v/>
      </c>
      <c r="N13" s="86" t="str">
        <f t="shared" si="118"/>
        <v/>
      </c>
      <c r="O13" s="90"/>
      <c r="P13" s="67" t="str">
        <f t="shared" si="119"/>
        <v/>
      </c>
      <c r="Q13" s="69" t="str">
        <f t="shared" si="120"/>
        <v/>
      </c>
      <c r="R13" s="34"/>
      <c r="S13" s="91">
        <f>T12/S12</f>
        <v>0</v>
      </c>
      <c r="T13" s="91" t="e">
        <f>S13/J14*I14</f>
        <v>#DIV/0!</v>
      </c>
      <c r="U13" s="16"/>
      <c r="V13" s="91">
        <f>W12/V12</f>
        <v>0</v>
      </c>
      <c r="W13" s="91" t="e">
        <f>V13/J14*I14</f>
        <v>#DIV/0!</v>
      </c>
    </row>
    <row r="14" ht="15.75" customHeight="1">
      <c r="B14" s="330"/>
      <c r="C14" s="16"/>
      <c r="D14" s="16"/>
      <c r="E14" s="16"/>
      <c r="F14" s="59" t="s">
        <v>75</v>
      </c>
      <c r="G14" s="60"/>
      <c r="H14" s="61"/>
      <c r="I14" s="79">
        <f>График!AI28</f>
        <v>23</v>
      </c>
      <c r="J14" s="93"/>
      <c r="K14" s="64" t="str">
        <f t="shared" si="116"/>
        <v/>
      </c>
      <c r="L14" s="65">
        <f>I14</f>
        <v>23</v>
      </c>
      <c r="M14" s="388">
        <f t="shared" si="117"/>
        <v>1</v>
      </c>
      <c r="N14" s="67" t="str">
        <f t="shared" si="118"/>
        <v/>
      </c>
      <c r="O14" s="90"/>
      <c r="P14" s="67" t="str">
        <f t="shared" si="119"/>
        <v/>
      </c>
      <c r="Q14" s="69" t="str">
        <f t="shared" si="120"/>
        <v/>
      </c>
      <c r="R14" s="34"/>
      <c r="S14" s="94"/>
      <c r="T14" s="7"/>
      <c r="U14" s="16"/>
      <c r="V14" s="16"/>
      <c r="W14" s="16"/>
    </row>
    <row r="15" ht="15.75" customHeight="1">
      <c r="B15" s="330"/>
      <c r="C15" s="16"/>
      <c r="D15" s="16"/>
      <c r="E15" s="16"/>
      <c r="F15" s="59" t="s">
        <v>19</v>
      </c>
      <c r="G15" s="60"/>
      <c r="H15" s="61"/>
      <c r="I15" s="104">
        <f>'Ялта, Ленина, 18'!I15</f>
        <v>84058.838709677424</v>
      </c>
      <c r="J15" s="384" t="e">
        <f>J8/J14</f>
        <v>#DIV/0!</v>
      </c>
      <c r="K15" s="97" t="e">
        <f t="shared" si="116"/>
        <v>#DIV/0!</v>
      </c>
      <c r="L15" s="385" t="e">
        <f t="shared" ref="L15:L16" si="121">J15</f>
        <v>#DIV/0!</v>
      </c>
      <c r="M15" s="386" t="e">
        <f t="shared" si="117"/>
        <v>#DIV/0!</v>
      </c>
      <c r="N15" s="67" t="e">
        <f t="shared" si="118"/>
        <v>#DIV/0!</v>
      </c>
      <c r="O15" s="100"/>
      <c r="P15" s="67" t="e">
        <f t="shared" si="119"/>
        <v>#DIV/0!</v>
      </c>
      <c r="Q15" s="69" t="e">
        <f t="shared" si="120"/>
        <v>#DIV/0!</v>
      </c>
      <c r="R15" s="34"/>
      <c r="S15" s="58"/>
      <c r="T15" s="7"/>
      <c r="U15" s="16"/>
      <c r="V15" s="16"/>
      <c r="W15" s="16"/>
    </row>
    <row r="16" ht="15.75" customHeight="1">
      <c r="B16" s="330"/>
      <c r="C16" s="16"/>
      <c r="D16" s="16"/>
      <c r="E16" s="16"/>
      <c r="F16" s="59" t="s">
        <v>20</v>
      </c>
      <c r="G16" s="60"/>
      <c r="H16" s="61"/>
      <c r="I16" s="104"/>
      <c r="J16" s="63">
        <f>J8-I15*J14</f>
        <v>0</v>
      </c>
      <c r="K16" s="97" t="str">
        <f t="shared" si="116"/>
        <v/>
      </c>
      <c r="L16" s="344">
        <f t="shared" si="121"/>
        <v>0</v>
      </c>
      <c r="M16" s="391" t="str">
        <f t="shared" si="117"/>
        <v/>
      </c>
      <c r="N16" s="67" t="str">
        <f t="shared" si="118"/>
        <v/>
      </c>
      <c r="O16" s="100"/>
      <c r="P16" s="67" t="str">
        <f t="shared" si="119"/>
        <v/>
      </c>
      <c r="Q16" s="69" t="str">
        <f t="shared" si="120"/>
        <v/>
      </c>
      <c r="R16" s="34"/>
      <c r="S16" s="78" t="s">
        <v>35</v>
      </c>
      <c r="T16" s="78"/>
      <c r="U16" s="16"/>
      <c r="V16" s="16"/>
      <c r="W16" s="16"/>
    </row>
    <row r="17" ht="15.75" customHeight="1">
      <c r="B17" s="330"/>
      <c r="C17" s="16"/>
      <c r="D17" s="351"/>
      <c r="E17" s="16"/>
      <c r="F17" s="59" t="s">
        <v>21</v>
      </c>
      <c r="G17" s="60"/>
      <c r="H17" s="61"/>
      <c r="I17" s="104">
        <f>'Ялта, Ленина, 18'!I17/График!AJ31*График!AJ28</f>
        <v>681.73913043478262</v>
      </c>
      <c r="J17" s="384">
        <f>I57</f>
        <v>0</v>
      </c>
      <c r="K17" s="97">
        <f t="shared" si="116"/>
        <v>0</v>
      </c>
      <c r="L17" s="385" t="e">
        <f>J17/J14*I14</f>
        <v>#DIV/0!</v>
      </c>
      <c r="M17" s="392" t="e">
        <f t="shared" si="117"/>
        <v>#DIV/0!</v>
      </c>
      <c r="N17" s="67" t="str">
        <f t="shared" si="118"/>
        <v/>
      </c>
      <c r="O17" s="100"/>
      <c r="P17" s="67" t="e">
        <f t="shared" si="119"/>
        <v>#DIV/0!</v>
      </c>
      <c r="Q17" s="69" t="e">
        <f t="shared" si="120"/>
        <v>#DIV/0!</v>
      </c>
      <c r="R17" s="34"/>
      <c r="S17" s="78"/>
      <c r="T17" s="78"/>
      <c r="U17" s="16"/>
      <c r="V17" s="16"/>
      <c r="W17" s="16"/>
    </row>
    <row r="18" ht="15.75" customHeight="1">
      <c r="B18" s="330"/>
      <c r="C18" s="16"/>
      <c r="D18" s="16"/>
      <c r="E18" s="16"/>
      <c r="F18" s="59"/>
      <c r="G18" s="60"/>
      <c r="H18" s="61"/>
      <c r="I18" s="105"/>
      <c r="J18" s="63"/>
      <c r="K18" s="97" t="str">
        <f t="shared" si="116"/>
        <v/>
      </c>
      <c r="L18" s="344">
        <f t="shared" ref="L18:L19" si="122">J18</f>
        <v>0</v>
      </c>
      <c r="M18" s="391" t="str">
        <f t="shared" si="117"/>
        <v/>
      </c>
      <c r="N18" s="67" t="str">
        <f t="shared" si="118"/>
        <v/>
      </c>
      <c r="O18" s="108">
        <v>0</v>
      </c>
      <c r="P18" s="67" t="str">
        <f t="shared" si="119"/>
        <v/>
      </c>
      <c r="Q18" s="69" t="str">
        <f t="shared" si="120"/>
        <v/>
      </c>
      <c r="R18" s="34"/>
      <c r="S18" s="88">
        <f>'Ялта, Ленина, 18'!U18*График!AJ28/График!AJ31</f>
        <v>434608.69565217389</v>
      </c>
      <c r="T18" s="89">
        <f>K57</f>
        <v>0</v>
      </c>
      <c r="U18" s="16"/>
      <c r="V18" s="16"/>
      <c r="W18" s="16"/>
    </row>
    <row r="19" ht="15.75" customHeight="1">
      <c r="B19" s="330"/>
      <c r="C19" s="16"/>
      <c r="D19" s="16"/>
      <c r="E19" s="16"/>
      <c r="F19" s="59"/>
      <c r="G19" s="60"/>
      <c r="H19" s="61"/>
      <c r="I19" s="105"/>
      <c r="J19" s="384"/>
      <c r="K19" s="97" t="str">
        <f t="shared" si="116"/>
        <v/>
      </c>
      <c r="L19" s="385">
        <f t="shared" si="122"/>
        <v>0</v>
      </c>
      <c r="M19" s="392" t="str">
        <f t="shared" si="117"/>
        <v/>
      </c>
      <c r="N19" s="67" t="str">
        <f t="shared" si="118"/>
        <v/>
      </c>
      <c r="O19" s="100">
        <v>0</v>
      </c>
      <c r="P19" s="67" t="str">
        <f t="shared" si="119"/>
        <v/>
      </c>
      <c r="Q19" s="69" t="str">
        <f t="shared" si="120"/>
        <v/>
      </c>
      <c r="R19" s="34"/>
      <c r="S19" s="91">
        <f>T18/S18</f>
        <v>0</v>
      </c>
      <c r="T19" s="91" t="e">
        <f>S19/J14*I14</f>
        <v>#DIV/0!</v>
      </c>
      <c r="U19" s="16"/>
      <c r="V19" s="16"/>
      <c r="W19" s="16"/>
    </row>
    <row r="20" ht="15.75" customHeight="1">
      <c r="B20" s="330"/>
      <c r="C20" s="16"/>
      <c r="D20" s="16"/>
      <c r="E20" s="16"/>
      <c r="F20" s="109" t="s">
        <v>22</v>
      </c>
      <c r="G20" s="109"/>
      <c r="H20" s="109"/>
      <c r="I20" s="354">
        <f>'Ялта, Ленина, 18'!I20</f>
        <v>0.12</v>
      </c>
      <c r="J20" s="355" t="str">
        <f>N57</f>
        <v/>
      </c>
      <c r="K20" s="356" t="e">
        <f>J20/I20</f>
        <v>#VALUE!</v>
      </c>
      <c r="L20" s="357">
        <f>IF(AND(K8&lt;&gt;0,I14&lt;&gt;0,I57&lt;&gt;0),(I57*N57+(I57/K8-I57)*I20)/(I57/K8),0)</f>
        <v>0</v>
      </c>
      <c r="M20" s="357" t="str">
        <f t="shared" si="117"/>
        <v/>
      </c>
      <c r="N20" s="115" t="str">
        <f t="shared" si="118"/>
        <v/>
      </c>
      <c r="O20" s="116"/>
      <c r="P20" s="117" t="str">
        <f t="shared" si="119"/>
        <v/>
      </c>
      <c r="Q20" s="118" t="str">
        <f t="shared" si="120"/>
        <v/>
      </c>
      <c r="R20" s="34"/>
      <c r="S20" s="34"/>
      <c r="T20" s="16"/>
      <c r="U20" s="16"/>
      <c r="V20" s="16"/>
      <c r="W20" s="16"/>
    </row>
    <row r="21" ht="15.75" customHeight="1">
      <c r="B21" s="3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4"/>
      <c r="S21" s="34"/>
      <c r="T21" s="16"/>
      <c r="U21" s="16"/>
      <c r="V21" s="16"/>
      <c r="W21" s="16"/>
    </row>
    <row r="22" ht="16.5" customHeight="1">
      <c r="B22" s="358" t="s">
        <v>23</v>
      </c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9" t="s">
        <v>24</v>
      </c>
      <c r="P22" s="358" t="s">
        <v>25</v>
      </c>
      <c r="Q22" s="358"/>
      <c r="R22" s="358"/>
      <c r="S22" s="358"/>
      <c r="T22" s="358"/>
      <c r="U22" s="358"/>
      <c r="V22" s="358"/>
      <c r="W22" s="358"/>
    </row>
    <row r="23" ht="42">
      <c r="B23" s="359" t="s">
        <v>27</v>
      </c>
      <c r="C23" s="359" t="s">
        <v>28</v>
      </c>
      <c r="D23" s="359" t="s">
        <v>29</v>
      </c>
      <c r="E23" s="359" t="s">
        <v>30</v>
      </c>
      <c r="F23" s="359" t="s">
        <v>31</v>
      </c>
      <c r="G23" s="359" t="s">
        <v>32</v>
      </c>
      <c r="H23" s="359" t="s">
        <v>33</v>
      </c>
      <c r="I23" s="359" t="s">
        <v>21</v>
      </c>
      <c r="J23" s="359" t="s">
        <v>34</v>
      </c>
      <c r="K23" s="123" t="s">
        <v>35</v>
      </c>
      <c r="L23" s="123" t="s">
        <v>36</v>
      </c>
      <c r="M23" s="123" t="s">
        <v>37</v>
      </c>
      <c r="N23" s="359" t="s">
        <v>40</v>
      </c>
      <c r="O23" s="359"/>
      <c r="P23" s="359" t="s">
        <v>41</v>
      </c>
      <c r="Q23" s="359" t="s">
        <v>42</v>
      </c>
      <c r="R23" s="359" t="s">
        <v>43</v>
      </c>
      <c r="S23" s="359" t="s">
        <v>44</v>
      </c>
      <c r="T23" s="359" t="s">
        <v>45</v>
      </c>
      <c r="U23" s="359" t="s">
        <v>46</v>
      </c>
      <c r="V23" s="360" t="s">
        <v>47</v>
      </c>
      <c r="W23" s="360" t="s">
        <v>48</v>
      </c>
      <c r="X23" s="178"/>
    </row>
    <row r="24">
      <c r="B24" s="361">
        <v>1</v>
      </c>
      <c r="C24" s="361">
        <v>2</v>
      </c>
      <c r="D24" s="361">
        <v>3</v>
      </c>
      <c r="E24" s="361" t="s">
        <v>79</v>
      </c>
      <c r="F24" s="361">
        <v>5</v>
      </c>
      <c r="G24" s="361">
        <v>6</v>
      </c>
      <c r="H24" s="361">
        <v>7</v>
      </c>
      <c r="I24" s="361">
        <v>8</v>
      </c>
      <c r="J24" s="361">
        <v>9</v>
      </c>
      <c r="K24" s="361">
        <v>10</v>
      </c>
      <c r="L24" s="361">
        <v>11</v>
      </c>
      <c r="M24" s="361">
        <v>12</v>
      </c>
      <c r="N24" s="361">
        <v>13</v>
      </c>
      <c r="O24" s="359"/>
      <c r="P24" s="363">
        <v>1</v>
      </c>
      <c r="Q24" s="363">
        <v>2</v>
      </c>
      <c r="R24" s="363">
        <v>3</v>
      </c>
      <c r="S24" s="363">
        <v>4</v>
      </c>
      <c r="T24" s="363">
        <v>5</v>
      </c>
      <c r="U24" s="363">
        <v>6</v>
      </c>
      <c r="V24" s="363">
        <v>10</v>
      </c>
      <c r="W24" s="363">
        <v>11</v>
      </c>
    </row>
    <row r="25">
      <c r="A25" s="128">
        <v>1</v>
      </c>
      <c r="B25" s="129"/>
      <c r="C25" s="130"/>
      <c r="D25" s="133"/>
      <c r="E25" s="132"/>
      <c r="F25" s="132" t="str">
        <f t="shared" ref="F25:F57" si="123">IF(AND(E25&lt;&gt;"",E25&lt;&gt;0),D25/E25,"")</f>
        <v/>
      </c>
      <c r="G25" s="132"/>
      <c r="H25" s="132" t="str">
        <f t="shared" ref="H25:H57" si="124">IF(AND(G25&lt;&gt;"",G25&lt;&gt;0),D25/G25,"")</f>
        <v/>
      </c>
      <c r="I25" s="132"/>
      <c r="J25" s="133" t="str">
        <f t="shared" ref="J25:J57" si="125">IF(AND(G25&lt;&gt;"",G25&lt;&gt;0),E25/G25,"")</f>
        <v/>
      </c>
      <c r="K25" s="132"/>
      <c r="L25" s="132"/>
      <c r="M25" s="132"/>
      <c r="N25" s="134" t="str">
        <f t="shared" ref="N25:N57" si="126">IF(AND(I25&lt;&gt;"",I25&lt;&gt;0),G25/I25,"")</f>
        <v/>
      </c>
      <c r="O25" s="135">
        <f t="shared" ref="O25:O57" si="127">D25/P25</f>
        <v>0</v>
      </c>
      <c r="P25" s="369">
        <f t="shared" ref="P25:P56" si="128">$I$8*V25*W25/SUMPRODUCT($W$25:$W$56,$V$25:$V$56)</f>
        <v>44412.304695652172</v>
      </c>
      <c r="Q25" s="137">
        <f>$I$9*V25*W25/SUMPRODUCT($W$25:$W$56,$V$25:$V$56)</f>
        <v>5.6938852173913039</v>
      </c>
      <c r="R25" s="368">
        <f t="shared" ref="R25:R56" si="129">IF($I$12="","",Q25/$I$12)</f>
        <v>3.2723478260869565</v>
      </c>
      <c r="S25" s="136">
        <f>IF(D25&lt;&gt;"",D25,P25)</f>
        <v>44412.304695652172</v>
      </c>
      <c r="T25" s="137">
        <f>IF(E25&lt;&gt;"",E25,Q25)</f>
        <v>5.6938852173913039</v>
      </c>
      <c r="U25" s="137">
        <f>IF(G25&lt;&gt;"",G25,R25)</f>
        <v>3.2723478260869565</v>
      </c>
      <c r="V25" s="379">
        <v>1</v>
      </c>
      <c r="W25" s="364">
        <v>1</v>
      </c>
      <c r="X25" s="139"/>
      <c r="Y25" s="140"/>
    </row>
    <row r="26">
      <c r="A26" s="128">
        <v>2</v>
      </c>
      <c r="B26" s="129"/>
      <c r="C26" s="130"/>
      <c r="D26" s="133"/>
      <c r="E26" s="132"/>
      <c r="F26" s="132" t="str">
        <f t="shared" si="123"/>
        <v/>
      </c>
      <c r="G26" s="132"/>
      <c r="H26" s="132" t="str">
        <f t="shared" si="124"/>
        <v/>
      </c>
      <c r="I26" s="132"/>
      <c r="J26" s="133" t="str">
        <f t="shared" si="125"/>
        <v/>
      </c>
      <c r="K26" s="132"/>
      <c r="L26" s="132"/>
      <c r="M26" s="132"/>
      <c r="N26" s="134" t="str">
        <f t="shared" si="126"/>
        <v/>
      </c>
      <c r="O26" s="135">
        <f t="shared" si="127"/>
        <v>0</v>
      </c>
      <c r="P26" s="136">
        <f t="shared" si="128"/>
        <v>44412.304695652172</v>
      </c>
      <c r="Q26" s="368">
        <f t="shared" ref="Q26:Q56" si="130">$I$9*V26*W26/SUMPRODUCT($W$25:$W$58,$V$25:$V$58)</f>
        <v>5.6938852173913039</v>
      </c>
      <c r="R26" s="137">
        <f t="shared" si="129"/>
        <v>3.2723478260869565</v>
      </c>
      <c r="S26" s="369">
        <f>IF(W26&lt;&gt;"",IF(D26&lt;&gt;"",D26,($I$8-SUM($S$25:S25))*V26*W26/SUMPRODUCT($W26:$W$56,$V26:$V$56)),"")</f>
        <v>44412.304695652179</v>
      </c>
      <c r="T26" s="137">
        <f t="shared" ref="T26:T27" si="131">IF(W26&lt;&gt;"",IF(E26&lt;&gt;"",E26,($I$9-SUM($T$25:T25))*V26*W26/SUMPRODUCT($W26:$W$55,$V26:$V$55)),"")</f>
        <v>5.6938852173913039</v>
      </c>
      <c r="U26" s="137">
        <f t="shared" ref="U26:U27" si="132">IF(W26&lt;&gt;"",IF($I$12&lt;&gt;"",IF(G26&lt;&gt;"",G26,($I$9/$I$12-SUM($U$25:U25))*V26*W26/SUMPRODUCT($W26:$W$55,$V26:$V$55)),""),"")</f>
        <v>3.2723478260869565</v>
      </c>
      <c r="V26" s="364">
        <v>1</v>
      </c>
      <c r="W26" s="364">
        <v>1</v>
      </c>
      <c r="X26" s="141"/>
      <c r="Y26" s="140"/>
    </row>
    <row r="27">
      <c r="A27" s="128">
        <v>3</v>
      </c>
      <c r="B27" s="129"/>
      <c r="C27" s="130"/>
      <c r="D27" s="133"/>
      <c r="E27" s="132"/>
      <c r="F27" s="132" t="str">
        <f t="shared" si="123"/>
        <v/>
      </c>
      <c r="G27" s="132"/>
      <c r="H27" s="132" t="str">
        <f t="shared" si="124"/>
        <v/>
      </c>
      <c r="I27" s="132"/>
      <c r="J27" s="133" t="str">
        <f t="shared" si="125"/>
        <v/>
      </c>
      <c r="K27" s="132"/>
      <c r="L27" s="132"/>
      <c r="M27" s="132"/>
      <c r="N27" s="134" t="str">
        <f t="shared" si="126"/>
        <v/>
      </c>
      <c r="O27" s="135">
        <f t="shared" si="127"/>
        <v>0</v>
      </c>
      <c r="P27" s="369">
        <f t="shared" si="128"/>
        <v>44412.304695652172</v>
      </c>
      <c r="Q27" s="137">
        <f t="shared" si="130"/>
        <v>5.6938852173913039</v>
      </c>
      <c r="R27" s="368">
        <f t="shared" si="129"/>
        <v>3.2723478260869565</v>
      </c>
      <c r="S27" s="136">
        <f t="shared" ref="S27:S53" si="133">IF(W27&lt;&gt;"",IF(D27&lt;&gt;"",D27,($I$8-SUM($S$25:S26))*V27*W27/SUMPRODUCT($W27:$W$58,$V27:$V$58)),"")</f>
        <v>44412.304695652172</v>
      </c>
      <c r="T27" s="137">
        <f t="shared" si="131"/>
        <v>5.6938852173913048</v>
      </c>
      <c r="U27" s="137">
        <f t="shared" si="132"/>
        <v>3.2723478260869565</v>
      </c>
      <c r="V27" s="379">
        <v>1</v>
      </c>
      <c r="W27" s="364">
        <v>1</v>
      </c>
      <c r="X27" s="141"/>
      <c r="Y27" s="140"/>
      <c r="Z27" s="376"/>
      <c r="AA27" s="2"/>
      <c r="AB27" s="2"/>
      <c r="AC27" s="2"/>
      <c r="AD27" s="2"/>
      <c r="AE27" s="2"/>
      <c r="AF27" s="2"/>
      <c r="AG27" s="2"/>
    </row>
    <row r="28">
      <c r="A28" s="128">
        <v>4</v>
      </c>
      <c r="B28" s="129"/>
      <c r="C28" s="168"/>
      <c r="D28" s="133"/>
      <c r="E28" s="142"/>
      <c r="F28" s="132" t="str">
        <f t="shared" si="123"/>
        <v/>
      </c>
      <c r="G28" s="142"/>
      <c r="H28" s="132" t="str">
        <f t="shared" si="124"/>
        <v/>
      </c>
      <c r="I28" s="142"/>
      <c r="J28" s="133" t="str">
        <f t="shared" si="125"/>
        <v/>
      </c>
      <c r="K28" s="142"/>
      <c r="L28" s="132"/>
      <c r="M28" s="142"/>
      <c r="N28" s="134" t="str">
        <f t="shared" si="126"/>
        <v/>
      </c>
      <c r="O28" s="367">
        <f t="shared" si="127"/>
        <v>0</v>
      </c>
      <c r="P28" s="136">
        <f t="shared" si="128"/>
        <v>44412.304695652172</v>
      </c>
      <c r="Q28" s="368">
        <f t="shared" si="130"/>
        <v>5.6938852173913039</v>
      </c>
      <c r="R28" s="137">
        <f t="shared" si="129"/>
        <v>3.2723478260869565</v>
      </c>
      <c r="S28" s="369">
        <f t="shared" si="133"/>
        <v>44412.304695652172</v>
      </c>
      <c r="T28" s="137">
        <f t="shared" ref="T28:T34" si="134">IF(W28&lt;&gt;"",IF(E28&lt;&gt;"",E28,($I$9-SUM($T$25:T27))*V28*W28/SUMPRODUCT($W28:$W$58,$V28:$V$58)),"")</f>
        <v>5.6938852173913039</v>
      </c>
      <c r="U28" s="368">
        <f t="shared" ref="U28:U53" si="135">IF(W28&lt;&gt;"",IF($I$12&lt;&gt;"",IF(G28&lt;&gt;"",G28,($I$9/$I$12-SUM($U$25:U27))*V28*W28/SUMPRODUCT($W28:$W$58,$V28:$V$58)),""),"")</f>
        <v>3.2723478260869565</v>
      </c>
      <c r="V28" s="364">
        <v>1</v>
      </c>
      <c r="W28" s="364">
        <v>1</v>
      </c>
      <c r="X28" s="141"/>
      <c r="Y28" s="140"/>
      <c r="Z28" s="2"/>
      <c r="AA28" s="2"/>
      <c r="AB28" s="2"/>
      <c r="AC28" s="2"/>
      <c r="AD28" s="2"/>
      <c r="AE28" s="2"/>
      <c r="AF28" s="2"/>
      <c r="AG28" s="2"/>
    </row>
    <row r="29">
      <c r="A29" s="128">
        <v>5</v>
      </c>
      <c r="B29" s="129"/>
      <c r="C29" s="130"/>
      <c r="D29" s="377"/>
      <c r="E29" s="132"/>
      <c r="F29" s="132" t="str">
        <f t="shared" si="123"/>
        <v/>
      </c>
      <c r="G29" s="132"/>
      <c r="H29" s="142" t="str">
        <f t="shared" si="124"/>
        <v/>
      </c>
      <c r="I29" s="132"/>
      <c r="J29" s="377" t="str">
        <f t="shared" si="125"/>
        <v/>
      </c>
      <c r="K29" s="132"/>
      <c r="L29" s="142"/>
      <c r="M29" s="132"/>
      <c r="N29" s="378" t="str">
        <f t="shared" si="126"/>
        <v/>
      </c>
      <c r="O29" s="135">
        <f t="shared" si="127"/>
        <v>0</v>
      </c>
      <c r="P29" s="369">
        <f t="shared" si="128"/>
        <v>44412.304695652172</v>
      </c>
      <c r="Q29" s="137">
        <f t="shared" si="130"/>
        <v>5.6938852173913039</v>
      </c>
      <c r="R29" s="368">
        <f t="shared" si="129"/>
        <v>3.2723478260869565</v>
      </c>
      <c r="S29" s="136">
        <f t="shared" si="133"/>
        <v>44412.304695652179</v>
      </c>
      <c r="T29" s="368">
        <f t="shared" si="134"/>
        <v>5.6938852173913039</v>
      </c>
      <c r="U29" s="137">
        <f t="shared" si="135"/>
        <v>3.2723478260869561</v>
      </c>
      <c r="V29" s="379">
        <v>1</v>
      </c>
      <c r="W29" s="364">
        <v>1</v>
      </c>
      <c r="X29" s="141"/>
      <c r="Y29" s="140"/>
      <c r="Z29" s="2"/>
      <c r="AA29" s="2"/>
      <c r="AB29" s="2"/>
      <c r="AC29" s="2"/>
      <c r="AD29" s="2"/>
      <c r="AE29" s="2"/>
      <c r="AF29" s="2"/>
      <c r="AG29" s="2"/>
    </row>
    <row r="30">
      <c r="A30" s="128">
        <v>6</v>
      </c>
      <c r="B30" s="129"/>
      <c r="C30" s="168"/>
      <c r="D30" s="133"/>
      <c r="E30" s="132"/>
      <c r="F30" s="142" t="str">
        <f t="shared" si="123"/>
        <v/>
      </c>
      <c r="G30" s="132"/>
      <c r="H30" s="132" t="str">
        <f t="shared" si="124"/>
        <v/>
      </c>
      <c r="I30" s="142"/>
      <c r="J30" s="133" t="str">
        <f t="shared" si="125"/>
        <v/>
      </c>
      <c r="K30" s="142"/>
      <c r="L30" s="132"/>
      <c r="M30" s="142"/>
      <c r="N30" s="134" t="str">
        <f t="shared" si="126"/>
        <v/>
      </c>
      <c r="O30" s="367">
        <f t="shared" si="127"/>
        <v>0</v>
      </c>
      <c r="P30" s="136">
        <f t="shared" si="128"/>
        <v>44412.304695652172</v>
      </c>
      <c r="Q30" s="368">
        <f t="shared" si="130"/>
        <v>5.6938852173913039</v>
      </c>
      <c r="R30" s="137">
        <f t="shared" si="129"/>
        <v>3.2723478260869565</v>
      </c>
      <c r="S30" s="369">
        <f t="shared" si="133"/>
        <v>44412.304695652172</v>
      </c>
      <c r="T30" s="137">
        <f t="shared" si="134"/>
        <v>5.693885217391303</v>
      </c>
      <c r="U30" s="368">
        <f t="shared" si="135"/>
        <v>3.2723478260869561</v>
      </c>
      <c r="V30" s="364">
        <v>1</v>
      </c>
      <c r="W30" s="364">
        <v>1</v>
      </c>
      <c r="X30" s="141"/>
      <c r="Y30" s="140"/>
      <c r="Z30" s="2"/>
      <c r="AA30" s="2"/>
      <c r="AB30" s="2"/>
      <c r="AC30" s="2"/>
      <c r="AD30" s="2"/>
      <c r="AE30" s="2"/>
      <c r="AF30" s="2"/>
      <c r="AG30" s="2"/>
    </row>
    <row r="31">
      <c r="A31" s="128">
        <v>7</v>
      </c>
      <c r="B31" s="129"/>
      <c r="C31" s="130"/>
      <c r="D31" s="377"/>
      <c r="E31" s="132"/>
      <c r="F31" s="132" t="str">
        <f t="shared" si="123"/>
        <v/>
      </c>
      <c r="G31" s="142"/>
      <c r="H31" s="132" t="str">
        <f t="shared" si="124"/>
        <v/>
      </c>
      <c r="I31" s="132"/>
      <c r="J31" s="377" t="str">
        <f t="shared" si="125"/>
        <v/>
      </c>
      <c r="K31" s="132"/>
      <c r="L31" s="142"/>
      <c r="M31" s="132"/>
      <c r="N31" s="378" t="str">
        <f t="shared" si="126"/>
        <v/>
      </c>
      <c r="O31" s="135">
        <f t="shared" si="127"/>
        <v>0</v>
      </c>
      <c r="P31" s="369">
        <f t="shared" si="128"/>
        <v>44412.304695652172</v>
      </c>
      <c r="Q31" s="137">
        <f t="shared" si="130"/>
        <v>5.6938852173913039</v>
      </c>
      <c r="R31" s="368">
        <f t="shared" si="129"/>
        <v>3.2723478260869565</v>
      </c>
      <c r="S31" s="136">
        <f t="shared" si="133"/>
        <v>44412.304695652172</v>
      </c>
      <c r="T31" s="368">
        <f t="shared" si="134"/>
        <v>5.6938852173913039</v>
      </c>
      <c r="U31" s="137">
        <f t="shared" si="135"/>
        <v>3.2723478260869561</v>
      </c>
      <c r="V31" s="379">
        <v>1</v>
      </c>
      <c r="W31" s="364">
        <v>1</v>
      </c>
      <c r="X31" s="141"/>
      <c r="Y31" s="140"/>
      <c r="AE31" s="2"/>
      <c r="AF31" s="2"/>
      <c r="AG31" s="2"/>
    </row>
    <row r="32">
      <c r="A32" s="128">
        <v>8</v>
      </c>
      <c r="B32" s="129"/>
      <c r="C32" s="168"/>
      <c r="D32" s="133"/>
      <c r="E32" s="142"/>
      <c r="F32" s="132" t="str">
        <f t="shared" si="123"/>
        <v/>
      </c>
      <c r="G32" s="132"/>
      <c r="H32" s="142" t="str">
        <f t="shared" si="124"/>
        <v/>
      </c>
      <c r="I32" s="132"/>
      <c r="J32" s="133" t="str">
        <f t="shared" si="125"/>
        <v/>
      </c>
      <c r="K32" s="132"/>
      <c r="L32" s="132"/>
      <c r="M32" s="142"/>
      <c r="N32" s="134" t="str">
        <f t="shared" si="126"/>
        <v/>
      </c>
      <c r="O32" s="367">
        <f t="shared" si="127"/>
        <v>0</v>
      </c>
      <c r="P32" s="136">
        <f t="shared" si="128"/>
        <v>44412.304695652172</v>
      </c>
      <c r="Q32" s="368">
        <f t="shared" si="130"/>
        <v>5.6938852173913039</v>
      </c>
      <c r="R32" s="137">
        <f t="shared" si="129"/>
        <v>3.2723478260869565</v>
      </c>
      <c r="S32" s="369">
        <f t="shared" si="133"/>
        <v>44412.304695652179</v>
      </c>
      <c r="T32" s="137">
        <f t="shared" si="134"/>
        <v>5.6938852173913039</v>
      </c>
      <c r="U32" s="368">
        <f t="shared" si="135"/>
        <v>3.2723478260869561</v>
      </c>
      <c r="V32" s="364">
        <v>1</v>
      </c>
      <c r="W32" s="364">
        <v>1</v>
      </c>
      <c r="X32" s="141"/>
      <c r="Y32" s="140"/>
      <c r="AE32" s="2"/>
      <c r="AF32" s="2"/>
      <c r="AG32" s="2"/>
    </row>
    <row r="33">
      <c r="A33" s="128">
        <v>9</v>
      </c>
      <c r="B33" s="129"/>
      <c r="C33" s="130"/>
      <c r="D33" s="377"/>
      <c r="E33" s="132"/>
      <c r="F33" s="142" t="str">
        <f t="shared" si="123"/>
        <v/>
      </c>
      <c r="G33" s="132"/>
      <c r="H33" s="132" t="str">
        <f t="shared" si="124"/>
        <v/>
      </c>
      <c r="I33" s="142"/>
      <c r="J33" s="133" t="str">
        <f t="shared" si="125"/>
        <v/>
      </c>
      <c r="K33" s="132"/>
      <c r="L33" s="142"/>
      <c r="M33" s="132"/>
      <c r="N33" s="378" t="str">
        <f t="shared" si="126"/>
        <v/>
      </c>
      <c r="O33" s="135">
        <f t="shared" si="127"/>
        <v>0</v>
      </c>
      <c r="P33" s="369">
        <f t="shared" si="128"/>
        <v>44412.304695652172</v>
      </c>
      <c r="Q33" s="137">
        <f t="shared" si="130"/>
        <v>5.6938852173913039</v>
      </c>
      <c r="R33" s="368">
        <f t="shared" si="129"/>
        <v>3.2723478260869565</v>
      </c>
      <c r="S33" s="136">
        <f t="shared" si="133"/>
        <v>44412.304695652172</v>
      </c>
      <c r="T33" s="368">
        <f t="shared" si="134"/>
        <v>5.6938852173913039</v>
      </c>
      <c r="U33" s="137">
        <f t="shared" si="135"/>
        <v>3.2723478260869561</v>
      </c>
      <c r="V33" s="379">
        <v>1</v>
      </c>
      <c r="W33" s="364">
        <v>1</v>
      </c>
      <c r="X33" s="141"/>
      <c r="Y33" s="140"/>
      <c r="Z33" s="2"/>
      <c r="AA33" s="2"/>
      <c r="AB33" s="2"/>
      <c r="AC33" s="2"/>
      <c r="AD33" s="2"/>
      <c r="AE33" s="2"/>
      <c r="AF33" s="2"/>
      <c r="AG33" s="2"/>
    </row>
    <row r="34" s="393" customFormat="1">
      <c r="A34" s="128">
        <v>10</v>
      </c>
      <c r="B34" s="129"/>
      <c r="C34" s="168"/>
      <c r="D34" s="133"/>
      <c r="E34" s="394"/>
      <c r="F34" s="132" t="str">
        <f t="shared" si="123"/>
        <v/>
      </c>
      <c r="G34" s="142"/>
      <c r="H34" s="132" t="str">
        <f t="shared" si="124"/>
        <v/>
      </c>
      <c r="I34" s="132"/>
      <c r="J34" s="377" t="str">
        <f t="shared" si="125"/>
        <v/>
      </c>
      <c r="K34" s="132"/>
      <c r="L34" s="132"/>
      <c r="M34" s="142"/>
      <c r="N34" s="134" t="str">
        <f t="shared" si="126"/>
        <v/>
      </c>
      <c r="O34" s="367">
        <f t="shared" si="127"/>
        <v>0</v>
      </c>
      <c r="P34" s="136">
        <f t="shared" si="128"/>
        <v>44412.304695652172</v>
      </c>
      <c r="Q34" s="368">
        <f t="shared" si="130"/>
        <v>5.6938852173913039</v>
      </c>
      <c r="R34" s="137">
        <f t="shared" si="129"/>
        <v>3.2723478260869565</v>
      </c>
      <c r="S34" s="369">
        <f t="shared" si="133"/>
        <v>44412.304695652172</v>
      </c>
      <c r="T34" s="137">
        <f t="shared" si="134"/>
        <v>5.693885217391303</v>
      </c>
      <c r="U34" s="368">
        <f t="shared" si="135"/>
        <v>3.2723478260869561</v>
      </c>
      <c r="V34" s="364">
        <v>1</v>
      </c>
      <c r="W34" s="364">
        <v>1</v>
      </c>
      <c r="X34" s="141"/>
      <c r="Y34" s="140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>
      <c r="A35" s="128">
        <v>11</v>
      </c>
      <c r="B35" s="129"/>
      <c r="C35" s="130"/>
      <c r="D35" s="133"/>
      <c r="E35" s="130"/>
      <c r="F35" s="132" t="str">
        <f t="shared" si="123"/>
        <v/>
      </c>
      <c r="G35" s="132"/>
      <c r="H35" s="132" t="str">
        <f t="shared" si="124"/>
        <v/>
      </c>
      <c r="I35" s="132"/>
      <c r="J35" s="133" t="str">
        <f t="shared" si="125"/>
        <v/>
      </c>
      <c r="K35" s="142"/>
      <c r="L35" s="132"/>
      <c r="M35" s="132"/>
      <c r="N35" s="378" t="str">
        <f t="shared" si="126"/>
        <v/>
      </c>
      <c r="O35" s="135">
        <f t="shared" si="127"/>
        <v>0</v>
      </c>
      <c r="P35" s="369">
        <f t="shared" si="128"/>
        <v>44412.304695652172</v>
      </c>
      <c r="Q35" s="137">
        <f t="shared" si="130"/>
        <v>5.6938852173913039</v>
      </c>
      <c r="R35" s="368">
        <f t="shared" si="129"/>
        <v>3.2723478260869565</v>
      </c>
      <c r="S35" s="136">
        <f t="shared" si="133"/>
        <v>44412.304695652179</v>
      </c>
      <c r="T35" s="368">
        <f t="shared" ref="T35:T36" si="136">IF(W35&lt;&gt;"",IF(E34&lt;&gt;"",E34,($I$9-SUM($T$25:T34))*V35*W35/SUMPRODUCT($W35:$W$58,$V35:$V$58)),"")</f>
        <v>5.693885217391303</v>
      </c>
      <c r="U35" s="137">
        <f t="shared" si="135"/>
        <v>3.2723478260869565</v>
      </c>
      <c r="V35" s="379">
        <v>1</v>
      </c>
      <c r="W35" s="364">
        <v>1</v>
      </c>
      <c r="X35" s="141"/>
      <c r="Y35" s="140"/>
      <c r="Z35" s="2"/>
      <c r="AA35" s="2"/>
      <c r="AB35" s="2"/>
      <c r="AC35" s="2"/>
      <c r="AD35" s="2"/>
      <c r="AE35" s="2"/>
      <c r="AF35" s="2"/>
      <c r="AG35" s="2"/>
    </row>
    <row r="36">
      <c r="A36" s="128">
        <v>11</v>
      </c>
      <c r="B36" s="129"/>
      <c r="C36" s="168"/>
      <c r="D36" s="133"/>
      <c r="E36" s="130"/>
      <c r="F36" s="132" t="str">
        <f t="shared" si="123"/>
        <v/>
      </c>
      <c r="G36" s="132"/>
      <c r="H36" s="132" t="str">
        <f t="shared" si="124"/>
        <v/>
      </c>
      <c r="I36" s="142"/>
      <c r="J36" s="133" t="str">
        <f t="shared" si="125"/>
        <v/>
      </c>
      <c r="K36" s="421"/>
      <c r="L36" s="142"/>
      <c r="M36" s="132"/>
      <c r="N36" s="395" t="str">
        <f t="shared" si="126"/>
        <v/>
      </c>
      <c r="O36" s="367">
        <f t="shared" si="127"/>
        <v>0</v>
      </c>
      <c r="P36" s="396">
        <f t="shared" si="128"/>
        <v>44412.304695652172</v>
      </c>
      <c r="Q36" s="368">
        <f t="shared" si="130"/>
        <v>5.6938852173913039</v>
      </c>
      <c r="R36" s="422">
        <f t="shared" si="129"/>
        <v>3.2723478260869565</v>
      </c>
      <c r="S36" s="369">
        <f t="shared" si="133"/>
        <v>44412.304695652179</v>
      </c>
      <c r="T36" s="422">
        <f t="shared" si="136"/>
        <v>5.6938852173913039</v>
      </c>
      <c r="U36" s="368">
        <f t="shared" si="135"/>
        <v>3.2723478260869565</v>
      </c>
      <c r="V36" s="423">
        <v>1</v>
      </c>
      <c r="W36" s="364">
        <v>1</v>
      </c>
      <c r="X36" s="141"/>
      <c r="Y36" s="140"/>
      <c r="Z36" s="2"/>
      <c r="AA36" s="2"/>
      <c r="AB36" s="2"/>
      <c r="AC36" s="2"/>
      <c r="AD36" s="2"/>
      <c r="AE36" s="2"/>
      <c r="AF36" s="2"/>
      <c r="AG36" s="2"/>
    </row>
    <row r="37">
      <c r="A37" s="128">
        <v>13</v>
      </c>
      <c r="B37" s="129"/>
      <c r="C37" s="130"/>
      <c r="D37" s="133"/>
      <c r="E37" s="132"/>
      <c r="F37" s="132" t="str">
        <f t="shared" si="123"/>
        <v/>
      </c>
      <c r="G37" s="132"/>
      <c r="H37" s="132" t="str">
        <f t="shared" si="124"/>
        <v/>
      </c>
      <c r="I37" s="132"/>
      <c r="J37" s="377" t="str">
        <f t="shared" si="125"/>
        <v/>
      </c>
      <c r="K37" s="132"/>
      <c r="L37" s="132"/>
      <c r="M37" s="142"/>
      <c r="N37" s="134" t="str">
        <f t="shared" si="126"/>
        <v/>
      </c>
      <c r="O37" s="135">
        <f t="shared" si="127"/>
        <v>0</v>
      </c>
      <c r="P37" s="369">
        <f t="shared" si="128"/>
        <v>44412.304695652172</v>
      </c>
      <c r="Q37" s="137">
        <f t="shared" si="130"/>
        <v>5.6938852173913039</v>
      </c>
      <c r="R37" s="368">
        <f t="shared" si="129"/>
        <v>3.2723478260869565</v>
      </c>
      <c r="S37" s="136">
        <f t="shared" si="133"/>
        <v>44412.304695652179</v>
      </c>
      <c r="T37" s="368">
        <f t="shared" ref="T37:T53" si="137">IF(W37&lt;&gt;"",IF(E37&lt;&gt;"",E37,($I$9-SUM($T$25:T36))*V37*W37/SUMPRODUCT($W37:$W$58,$V37:$V$58)),"")</f>
        <v>5.693885217391303</v>
      </c>
      <c r="U37" s="137">
        <f t="shared" si="135"/>
        <v>3.2723478260869565</v>
      </c>
      <c r="V37" s="379">
        <v>1</v>
      </c>
      <c r="W37" s="364">
        <v>1</v>
      </c>
      <c r="X37" s="141"/>
      <c r="Y37" s="140"/>
      <c r="Z37" s="2"/>
      <c r="AA37" s="2"/>
      <c r="AB37" s="2"/>
      <c r="AC37" s="2"/>
      <c r="AD37" s="2"/>
      <c r="AE37" s="2"/>
      <c r="AF37" s="2"/>
      <c r="AG37" s="2"/>
    </row>
    <row r="38">
      <c r="A38" s="128">
        <v>14</v>
      </c>
      <c r="B38" s="129"/>
      <c r="C38" s="168"/>
      <c r="D38" s="133"/>
      <c r="E38" s="132"/>
      <c r="F38" s="132" t="str">
        <f t="shared" si="123"/>
        <v/>
      </c>
      <c r="G38" s="132"/>
      <c r="H38" s="132" t="str">
        <f t="shared" si="124"/>
        <v/>
      </c>
      <c r="I38" s="132"/>
      <c r="J38" s="133" t="str">
        <f t="shared" si="125"/>
        <v/>
      </c>
      <c r="K38" s="142"/>
      <c r="L38" s="132"/>
      <c r="M38" s="132"/>
      <c r="N38" s="378" t="str">
        <f t="shared" si="126"/>
        <v/>
      </c>
      <c r="O38" s="135">
        <f t="shared" si="127"/>
        <v>0</v>
      </c>
      <c r="P38" s="136">
        <f t="shared" si="128"/>
        <v>44412.304695652172</v>
      </c>
      <c r="Q38" s="368">
        <f t="shared" si="130"/>
        <v>5.6938852173913039</v>
      </c>
      <c r="R38" s="137">
        <f t="shared" si="129"/>
        <v>3.2723478260869565</v>
      </c>
      <c r="S38" s="369">
        <f t="shared" si="133"/>
        <v>44412.304695652179</v>
      </c>
      <c r="T38" s="137">
        <f t="shared" si="137"/>
        <v>5.6938852173913039</v>
      </c>
      <c r="U38" s="368">
        <f t="shared" si="135"/>
        <v>3.2723478260869565</v>
      </c>
      <c r="V38" s="364">
        <v>1</v>
      </c>
      <c r="W38" s="364">
        <v>1</v>
      </c>
      <c r="X38" s="141"/>
      <c r="Y38" s="140"/>
      <c r="Z38" s="2"/>
      <c r="AA38" s="2"/>
      <c r="AB38" s="2"/>
      <c r="AC38" s="2"/>
      <c r="AD38" s="2"/>
      <c r="AE38" s="2"/>
      <c r="AF38" s="2"/>
      <c r="AG38" s="2"/>
    </row>
    <row r="39" s="393" customFormat="1">
      <c r="A39" s="128">
        <v>15</v>
      </c>
      <c r="B39" s="129"/>
      <c r="C39" s="130"/>
      <c r="D39" s="133"/>
      <c r="E39" s="142"/>
      <c r="F39" s="132" t="str">
        <f t="shared" si="123"/>
        <v/>
      </c>
      <c r="G39" s="142"/>
      <c r="H39" s="132" t="str">
        <f t="shared" si="124"/>
        <v/>
      </c>
      <c r="I39" s="142"/>
      <c r="J39" s="133" t="str">
        <f t="shared" si="125"/>
        <v/>
      </c>
      <c r="K39" s="132"/>
      <c r="L39" s="142"/>
      <c r="M39" s="132"/>
      <c r="N39" s="134" t="str">
        <f t="shared" si="126"/>
        <v/>
      </c>
      <c r="O39" s="367">
        <f t="shared" si="127"/>
        <v>0</v>
      </c>
      <c r="P39" s="136">
        <f t="shared" si="128"/>
        <v>44412.304695652172</v>
      </c>
      <c r="Q39" s="137">
        <f t="shared" si="130"/>
        <v>5.6938852173913039</v>
      </c>
      <c r="R39" s="368">
        <f t="shared" si="129"/>
        <v>3.2723478260869565</v>
      </c>
      <c r="S39" s="136">
        <f t="shared" si="133"/>
        <v>44412.304695652172</v>
      </c>
      <c r="T39" s="368">
        <f t="shared" si="137"/>
        <v>5.6938852173913039</v>
      </c>
      <c r="U39" s="137">
        <f t="shared" si="135"/>
        <v>3.2723478260869565</v>
      </c>
      <c r="V39" s="379">
        <v>1</v>
      </c>
      <c r="W39" s="364">
        <v>1</v>
      </c>
      <c r="X39" s="141"/>
      <c r="Y39" s="140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="393" customFormat="1">
      <c r="A40" s="128">
        <v>16</v>
      </c>
      <c r="B40" s="129"/>
      <c r="C40" s="168"/>
      <c r="D40" s="133"/>
      <c r="E40" s="132"/>
      <c r="F40" s="142" t="str">
        <f t="shared" si="123"/>
        <v/>
      </c>
      <c r="G40" s="132"/>
      <c r="H40" s="142" t="str">
        <f t="shared" si="124"/>
        <v/>
      </c>
      <c r="I40" s="132"/>
      <c r="J40" s="377" t="str">
        <f t="shared" si="125"/>
        <v/>
      </c>
      <c r="K40" s="132"/>
      <c r="L40" s="132"/>
      <c r="M40" s="142"/>
      <c r="N40" s="134" t="str">
        <f t="shared" si="126"/>
        <v/>
      </c>
      <c r="O40" s="135">
        <f t="shared" si="127"/>
        <v>0</v>
      </c>
      <c r="P40" s="369">
        <f t="shared" si="128"/>
        <v>44412.304695652172</v>
      </c>
      <c r="Q40" s="137">
        <f t="shared" si="130"/>
        <v>5.6938852173913039</v>
      </c>
      <c r="R40" s="137">
        <f t="shared" si="129"/>
        <v>3.2723478260869565</v>
      </c>
      <c r="S40" s="369">
        <f t="shared" si="133"/>
        <v>44412.304695652172</v>
      </c>
      <c r="T40" s="137">
        <f t="shared" si="137"/>
        <v>5.6938852173913048</v>
      </c>
      <c r="U40" s="368">
        <f t="shared" si="135"/>
        <v>3.2723478260869561</v>
      </c>
      <c r="V40" s="364">
        <v>1</v>
      </c>
      <c r="W40" s="364">
        <v>1</v>
      </c>
      <c r="X40" s="141"/>
      <c r="Y40" s="140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="393" customFormat="1">
      <c r="A41" s="128">
        <v>17</v>
      </c>
      <c r="B41" s="129"/>
      <c r="C41" s="130"/>
      <c r="D41" s="377"/>
      <c r="E41" s="132"/>
      <c r="F41" s="132" t="str">
        <f t="shared" si="123"/>
        <v/>
      </c>
      <c r="G41" s="142"/>
      <c r="H41" s="132" t="str">
        <f t="shared" si="124"/>
        <v/>
      </c>
      <c r="I41" s="142"/>
      <c r="J41" s="133" t="str">
        <f t="shared" si="125"/>
        <v/>
      </c>
      <c r="K41" s="142"/>
      <c r="L41" s="132"/>
      <c r="M41" s="132"/>
      <c r="N41" s="378" t="str">
        <f t="shared" si="126"/>
        <v/>
      </c>
      <c r="O41" s="135">
        <f t="shared" si="127"/>
        <v>0</v>
      </c>
      <c r="P41" s="136">
        <f t="shared" si="128"/>
        <v>44412.304695652172</v>
      </c>
      <c r="Q41" s="368">
        <f t="shared" si="130"/>
        <v>5.6938852173913039</v>
      </c>
      <c r="R41" s="137">
        <f t="shared" si="129"/>
        <v>3.2723478260869565</v>
      </c>
      <c r="S41" s="136">
        <f t="shared" si="133"/>
        <v>44412.304695652165</v>
      </c>
      <c r="T41" s="368">
        <f t="shared" si="137"/>
        <v>5.6938852173913057</v>
      </c>
      <c r="U41" s="137">
        <f t="shared" si="135"/>
        <v>3.2723478260869561</v>
      </c>
      <c r="V41" s="379">
        <v>1</v>
      </c>
      <c r="W41" s="364">
        <v>1</v>
      </c>
      <c r="X41" s="141"/>
      <c r="Y41" s="140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s="393" customFormat="1">
      <c r="A42" s="128">
        <v>18</v>
      </c>
      <c r="B42" s="129"/>
      <c r="C42" s="130"/>
      <c r="D42" s="133"/>
      <c r="E42" s="142"/>
      <c r="F42" s="132" t="str">
        <f t="shared" si="123"/>
        <v/>
      </c>
      <c r="G42" s="132"/>
      <c r="H42" s="142" t="str">
        <f t="shared" si="124"/>
        <v/>
      </c>
      <c r="I42" s="132"/>
      <c r="J42" s="377" t="str">
        <f t="shared" si="125"/>
        <v/>
      </c>
      <c r="K42" s="132"/>
      <c r="L42" s="142"/>
      <c r="M42" s="132"/>
      <c r="N42" s="134" t="str">
        <f t="shared" si="126"/>
        <v/>
      </c>
      <c r="O42" s="367">
        <f t="shared" si="127"/>
        <v>0</v>
      </c>
      <c r="P42" s="136">
        <f t="shared" si="128"/>
        <v>44412.304695652172</v>
      </c>
      <c r="Q42" s="137">
        <f t="shared" si="130"/>
        <v>5.6938852173913039</v>
      </c>
      <c r="R42" s="368">
        <f t="shared" si="129"/>
        <v>3.2723478260869565</v>
      </c>
      <c r="S42" s="136">
        <f t="shared" si="133"/>
        <v>44412.304695652158</v>
      </c>
      <c r="T42" s="137">
        <f t="shared" si="137"/>
        <v>5.6938852173913048</v>
      </c>
      <c r="U42" s="368">
        <f t="shared" si="135"/>
        <v>3.2723478260869561</v>
      </c>
      <c r="V42" s="364">
        <v>1</v>
      </c>
      <c r="W42" s="364">
        <v>1</v>
      </c>
      <c r="X42" s="141"/>
      <c r="Y42" s="140"/>
      <c r="Z42" s="376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="393" customFormat="1" ht="15" customHeight="1">
      <c r="A43" s="128">
        <v>19</v>
      </c>
      <c r="B43" s="129"/>
      <c r="C43" s="130"/>
      <c r="D43" s="133"/>
      <c r="E43" s="132"/>
      <c r="F43" s="132" t="str">
        <f t="shared" si="123"/>
        <v/>
      </c>
      <c r="G43" s="132"/>
      <c r="H43" s="132" t="str">
        <f t="shared" si="124"/>
        <v/>
      </c>
      <c r="I43" s="132"/>
      <c r="J43" s="133" t="str">
        <f t="shared" si="125"/>
        <v/>
      </c>
      <c r="K43" s="132"/>
      <c r="L43" s="132"/>
      <c r="M43" s="132"/>
      <c r="N43" s="134" t="str">
        <f t="shared" si="126"/>
        <v/>
      </c>
      <c r="O43" s="135">
        <f t="shared" si="127"/>
        <v>0</v>
      </c>
      <c r="P43" s="369">
        <f t="shared" si="128"/>
        <v>44412.304695652172</v>
      </c>
      <c r="Q43" s="137">
        <f t="shared" si="130"/>
        <v>5.6938852173913039</v>
      </c>
      <c r="R43" s="137">
        <f t="shared" si="129"/>
        <v>3.2723478260869565</v>
      </c>
      <c r="S43" s="136">
        <f t="shared" si="133"/>
        <v>44412.304695652165</v>
      </c>
      <c r="T43" s="137">
        <f t="shared" si="137"/>
        <v>5.6938852173913039</v>
      </c>
      <c r="U43" s="137">
        <f t="shared" si="135"/>
        <v>3.2723478260869561</v>
      </c>
      <c r="V43" s="379">
        <v>1</v>
      </c>
      <c r="W43" s="364">
        <v>1</v>
      </c>
      <c r="X43" s="141"/>
      <c r="Y43" s="140"/>
      <c r="Z43" s="376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="393" customFormat="1" ht="15" customHeight="1">
      <c r="A44" s="128">
        <v>20</v>
      </c>
      <c r="B44" s="129"/>
      <c r="C44" s="130"/>
      <c r="D44" s="133"/>
      <c r="E44" s="132"/>
      <c r="F44" s="132" t="str">
        <f t="shared" si="123"/>
        <v/>
      </c>
      <c r="G44" s="132"/>
      <c r="H44" s="132" t="str">
        <f t="shared" si="124"/>
        <v/>
      </c>
      <c r="I44" s="132"/>
      <c r="J44" s="133" t="str">
        <f t="shared" si="125"/>
        <v/>
      </c>
      <c r="K44" s="132"/>
      <c r="L44" s="132"/>
      <c r="M44" s="132"/>
      <c r="N44" s="134" t="str">
        <f t="shared" si="126"/>
        <v/>
      </c>
      <c r="O44" s="135">
        <f t="shared" si="127"/>
        <v>0</v>
      </c>
      <c r="P44" s="136">
        <f t="shared" si="128"/>
        <v>44412.304695652172</v>
      </c>
      <c r="Q44" s="137">
        <f t="shared" si="130"/>
        <v>5.6938852173913039</v>
      </c>
      <c r="R44" s="137">
        <f t="shared" si="129"/>
        <v>3.2723478260869565</v>
      </c>
      <c r="S44" s="136">
        <f t="shared" si="133"/>
        <v>44412.304695652158</v>
      </c>
      <c r="T44" s="137">
        <f t="shared" si="137"/>
        <v>5.6938852173913048</v>
      </c>
      <c r="U44" s="137">
        <f t="shared" si="135"/>
        <v>3.2723478260869556</v>
      </c>
      <c r="V44" s="364">
        <v>1</v>
      </c>
      <c r="W44" s="364">
        <v>1</v>
      </c>
      <c r="X44" s="141"/>
      <c r="Y44" s="140"/>
      <c r="Z44" s="376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="393" customFormat="1" ht="15" customHeight="1">
      <c r="A45" s="128">
        <v>21</v>
      </c>
      <c r="B45" s="129"/>
      <c r="C45" s="130"/>
      <c r="D45" s="133"/>
      <c r="E45" s="132"/>
      <c r="F45" s="132" t="str">
        <f t="shared" si="123"/>
        <v/>
      </c>
      <c r="G45" s="132"/>
      <c r="H45" s="132" t="str">
        <f t="shared" si="124"/>
        <v/>
      </c>
      <c r="I45" s="132"/>
      <c r="J45" s="133" t="str">
        <f t="shared" si="125"/>
        <v/>
      </c>
      <c r="K45" s="132"/>
      <c r="L45" s="132"/>
      <c r="M45" s="132"/>
      <c r="N45" s="134" t="str">
        <f t="shared" si="126"/>
        <v/>
      </c>
      <c r="O45" s="135">
        <f t="shared" si="127"/>
        <v>0</v>
      </c>
      <c r="P45" s="369">
        <f t="shared" si="128"/>
        <v>44412.304695652172</v>
      </c>
      <c r="Q45" s="137">
        <f t="shared" si="130"/>
        <v>5.6938852173913039</v>
      </c>
      <c r="R45" s="137">
        <f t="shared" si="129"/>
        <v>3.2723478260869565</v>
      </c>
      <c r="S45" s="136">
        <f t="shared" si="133"/>
        <v>44412.304695652143</v>
      </c>
      <c r="T45" s="137">
        <f t="shared" si="137"/>
        <v>5.6938852173913066</v>
      </c>
      <c r="U45" s="137">
        <f t="shared" si="135"/>
        <v>3.272347826086957</v>
      </c>
      <c r="V45" s="379">
        <v>1</v>
      </c>
      <c r="W45" s="364">
        <v>1</v>
      </c>
      <c r="X45" s="141"/>
      <c r="Y45" s="140"/>
      <c r="Z45" s="376"/>
      <c r="AA45" s="3"/>
      <c r="AB45" s="3"/>
      <c r="AC45" s="3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s="393" customFormat="1" ht="15" customHeight="1">
      <c r="A46" s="128">
        <v>22</v>
      </c>
      <c r="B46" s="129"/>
      <c r="C46" s="130"/>
      <c r="D46" s="133"/>
      <c r="E46" s="132"/>
      <c r="F46" s="132" t="str">
        <f t="shared" si="123"/>
        <v/>
      </c>
      <c r="G46" s="132"/>
      <c r="H46" s="132" t="str">
        <f t="shared" si="124"/>
        <v/>
      </c>
      <c r="I46" s="132"/>
      <c r="J46" s="133" t="str">
        <f t="shared" si="125"/>
        <v/>
      </c>
      <c r="K46" s="132"/>
      <c r="L46" s="132"/>
      <c r="M46" s="132"/>
      <c r="N46" s="134" t="str">
        <f t="shared" si="126"/>
        <v/>
      </c>
      <c r="O46" s="135">
        <f t="shared" si="127"/>
        <v>0</v>
      </c>
      <c r="P46" s="136">
        <f t="shared" si="128"/>
        <v>44412.304695652172</v>
      </c>
      <c r="Q46" s="137">
        <f t="shared" si="130"/>
        <v>5.6938852173913039</v>
      </c>
      <c r="R46" s="137">
        <f t="shared" si="129"/>
        <v>3.2723478260869565</v>
      </c>
      <c r="S46" s="136">
        <f t="shared" si="133"/>
        <v>44412.304695652158</v>
      </c>
      <c r="T46" s="137">
        <f t="shared" si="137"/>
        <v>5.6938852173913048</v>
      </c>
      <c r="U46" s="137">
        <f t="shared" si="135"/>
        <v>3.272347826086957</v>
      </c>
      <c r="V46" s="364">
        <v>1</v>
      </c>
      <c r="W46" s="364">
        <v>1</v>
      </c>
      <c r="X46" s="141"/>
      <c r="Y46" s="140"/>
      <c r="Z46" s="376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="393" customFormat="1" ht="15" customHeight="1">
      <c r="A47" s="128">
        <v>23</v>
      </c>
      <c r="B47" s="129"/>
      <c r="C47" s="130"/>
      <c r="D47" s="133"/>
      <c r="E47" s="132"/>
      <c r="F47" s="132" t="str">
        <f t="shared" si="123"/>
        <v/>
      </c>
      <c r="G47" s="132"/>
      <c r="H47" s="132" t="str">
        <f t="shared" si="124"/>
        <v/>
      </c>
      <c r="I47" s="132"/>
      <c r="J47" s="133" t="str">
        <f t="shared" si="125"/>
        <v/>
      </c>
      <c r="K47" s="132"/>
      <c r="L47" s="132"/>
      <c r="M47" s="132"/>
      <c r="N47" s="134" t="str">
        <f t="shared" si="126"/>
        <v/>
      </c>
      <c r="O47" s="135">
        <f t="shared" si="127"/>
        <v>0</v>
      </c>
      <c r="P47" s="369">
        <f t="shared" si="128"/>
        <v>44412.304695652172</v>
      </c>
      <c r="Q47" s="137">
        <f t="shared" si="130"/>
        <v>5.6938852173913039</v>
      </c>
      <c r="R47" s="137">
        <f t="shared" si="129"/>
        <v>3.2723478260869565</v>
      </c>
      <c r="S47" s="136">
        <f t="shared" si="133"/>
        <v>44412.304695652179</v>
      </c>
      <c r="T47" s="137">
        <f t="shared" si="137"/>
        <v>5.6938852173913022</v>
      </c>
      <c r="U47" s="137">
        <f t="shared" si="135"/>
        <v>3.272347826086957</v>
      </c>
      <c r="V47" s="379">
        <v>1</v>
      </c>
      <c r="W47" s="364">
        <v>1</v>
      </c>
      <c r="X47" s="141"/>
      <c r="Y47" s="140"/>
      <c r="Z47" s="376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s="393" customFormat="1" ht="15" customHeight="1">
      <c r="A48" s="128">
        <v>24</v>
      </c>
      <c r="B48" s="129"/>
      <c r="C48" s="130"/>
      <c r="D48" s="133"/>
      <c r="E48" s="132"/>
      <c r="F48" s="132" t="str">
        <f t="shared" si="123"/>
        <v/>
      </c>
      <c r="G48" s="132"/>
      <c r="H48" s="132" t="str">
        <f t="shared" si="124"/>
        <v/>
      </c>
      <c r="I48" s="132"/>
      <c r="J48" s="133" t="str">
        <f t="shared" si="125"/>
        <v/>
      </c>
      <c r="K48" s="132"/>
      <c r="L48" s="132"/>
      <c r="M48" s="132"/>
      <c r="N48" s="134" t="str">
        <f t="shared" si="126"/>
        <v/>
      </c>
      <c r="O48" s="135">
        <f t="shared" si="127"/>
        <v>0</v>
      </c>
      <c r="P48" s="136">
        <f t="shared" si="128"/>
        <v>44412.304695652172</v>
      </c>
      <c r="Q48" s="137">
        <f t="shared" si="130"/>
        <v>5.6938852173913039</v>
      </c>
      <c r="R48" s="137">
        <f t="shared" si="129"/>
        <v>3.2723478260869565</v>
      </c>
      <c r="S48" s="136">
        <f t="shared" si="133"/>
        <v>44412.304695652158</v>
      </c>
      <c r="T48" s="137">
        <f t="shared" si="137"/>
        <v>5.6938852173912977</v>
      </c>
      <c r="U48" s="137">
        <f t="shared" si="135"/>
        <v>3.272347826086957</v>
      </c>
      <c r="V48" s="364">
        <v>1</v>
      </c>
      <c r="W48" s="364">
        <v>1</v>
      </c>
      <c r="X48" s="141"/>
      <c r="Y48" s="140"/>
      <c r="Z48" s="376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="393" customFormat="1" ht="15" customHeight="1">
      <c r="A49" s="128">
        <v>25</v>
      </c>
      <c r="B49" s="129"/>
      <c r="C49" s="130"/>
      <c r="D49" s="133"/>
      <c r="E49" s="132"/>
      <c r="F49" s="132" t="str">
        <f t="shared" si="123"/>
        <v/>
      </c>
      <c r="G49" s="132"/>
      <c r="H49" s="132" t="str">
        <f t="shared" si="124"/>
        <v/>
      </c>
      <c r="I49" s="132"/>
      <c r="J49" s="133" t="str">
        <f t="shared" si="125"/>
        <v/>
      </c>
      <c r="K49" s="132"/>
      <c r="L49" s="132"/>
      <c r="M49" s="132"/>
      <c r="N49" s="134" t="str">
        <f t="shared" si="126"/>
        <v/>
      </c>
      <c r="O49" s="367">
        <f t="shared" si="127"/>
        <v>0</v>
      </c>
      <c r="P49" s="136">
        <f t="shared" si="128"/>
        <v>44412.304695652172</v>
      </c>
      <c r="Q49" s="137">
        <f t="shared" si="130"/>
        <v>5.6938852173913039</v>
      </c>
      <c r="R49" s="137">
        <f t="shared" si="129"/>
        <v>3.2723478260869565</v>
      </c>
      <c r="S49" s="136">
        <f t="shared" si="133"/>
        <v>44412.304695652099</v>
      </c>
      <c r="T49" s="137">
        <f t="shared" si="137"/>
        <v>5.6938852173912835</v>
      </c>
      <c r="U49" s="137">
        <f t="shared" si="135"/>
        <v>3.272347826086957</v>
      </c>
      <c r="V49" s="379">
        <v>1</v>
      </c>
      <c r="W49" s="364">
        <v>1</v>
      </c>
      <c r="X49" s="141"/>
      <c r="Y49" s="140"/>
      <c r="Z49" s="376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ht="15" customHeight="1">
      <c r="A50" s="128">
        <v>26</v>
      </c>
      <c r="B50" s="129"/>
      <c r="C50" s="130"/>
      <c r="D50" s="133"/>
      <c r="E50" s="132"/>
      <c r="F50" s="132" t="str">
        <f t="shared" si="123"/>
        <v/>
      </c>
      <c r="G50" s="132"/>
      <c r="H50" s="132" t="str">
        <f t="shared" si="124"/>
        <v/>
      </c>
      <c r="I50" s="132"/>
      <c r="J50" s="133" t="str">
        <f t="shared" si="125"/>
        <v/>
      </c>
      <c r="K50" s="132"/>
      <c r="L50" s="132"/>
      <c r="M50" s="132"/>
      <c r="N50" s="134" t="str">
        <f t="shared" si="126"/>
        <v/>
      </c>
      <c r="O50" s="135" t="e">
        <f t="shared" si="127"/>
        <v>#DIV/0!</v>
      </c>
      <c r="P50" s="136">
        <f t="shared" si="128"/>
        <v>0</v>
      </c>
      <c r="Q50" s="137">
        <f t="shared" si="130"/>
        <v>0</v>
      </c>
      <c r="R50" s="137">
        <f t="shared" si="129"/>
        <v>0</v>
      </c>
      <c r="S50" s="136" t="str">
        <f t="shared" si="133"/>
        <v/>
      </c>
      <c r="T50" s="137" t="str">
        <f t="shared" si="137"/>
        <v/>
      </c>
      <c r="U50" s="137" t="str">
        <f t="shared" si="135"/>
        <v/>
      </c>
      <c r="V50" s="364"/>
      <c r="W50" s="364"/>
      <c r="X50" s="141"/>
      <c r="Y50" s="140"/>
      <c r="Z50" s="376"/>
      <c r="AA50" s="2"/>
      <c r="AB50" s="2"/>
      <c r="AC50" s="2"/>
      <c r="AD50" s="2"/>
      <c r="AE50" s="2"/>
      <c r="AF50" s="2"/>
      <c r="AG50" s="2"/>
    </row>
    <row r="51">
      <c r="A51" s="128">
        <v>27</v>
      </c>
      <c r="B51" s="129"/>
      <c r="C51" s="130"/>
      <c r="D51" s="133"/>
      <c r="E51" s="132"/>
      <c r="F51" s="132" t="str">
        <f t="shared" si="123"/>
        <v/>
      </c>
      <c r="G51" s="132"/>
      <c r="H51" s="132" t="str">
        <f t="shared" si="124"/>
        <v/>
      </c>
      <c r="I51" s="132"/>
      <c r="J51" s="133" t="str">
        <f t="shared" si="125"/>
        <v/>
      </c>
      <c r="K51" s="132"/>
      <c r="L51" s="132"/>
      <c r="M51" s="132"/>
      <c r="N51" s="134" t="str">
        <f t="shared" si="126"/>
        <v/>
      </c>
      <c r="O51" s="135" t="e">
        <f t="shared" si="127"/>
        <v>#DIV/0!</v>
      </c>
      <c r="P51" s="136">
        <f t="shared" si="128"/>
        <v>0</v>
      </c>
      <c r="Q51" s="137">
        <f t="shared" si="130"/>
        <v>0</v>
      </c>
      <c r="R51" s="137">
        <f t="shared" si="129"/>
        <v>0</v>
      </c>
      <c r="S51" s="136" t="str">
        <f t="shared" si="133"/>
        <v/>
      </c>
      <c r="T51" s="137" t="str">
        <f t="shared" si="137"/>
        <v/>
      </c>
      <c r="U51" s="137" t="str">
        <f t="shared" si="135"/>
        <v/>
      </c>
      <c r="V51" s="364"/>
      <c r="W51" s="364"/>
      <c r="X51" s="141"/>
      <c r="Y51" s="140"/>
      <c r="Z51" s="376"/>
      <c r="AA51" s="2"/>
      <c r="AB51" s="2"/>
      <c r="AC51" s="2"/>
      <c r="AD51" s="2"/>
      <c r="AE51" s="2"/>
      <c r="AF51" s="2"/>
      <c r="AG51" s="2"/>
    </row>
    <row r="52">
      <c r="A52" s="128">
        <v>28</v>
      </c>
      <c r="B52" s="129"/>
      <c r="C52" s="130"/>
      <c r="D52" s="133"/>
      <c r="E52" s="132"/>
      <c r="F52" s="132" t="str">
        <f t="shared" si="123"/>
        <v/>
      </c>
      <c r="G52" s="132"/>
      <c r="H52" s="132" t="str">
        <f t="shared" si="124"/>
        <v/>
      </c>
      <c r="I52" s="132"/>
      <c r="J52" s="133" t="str">
        <f t="shared" si="125"/>
        <v/>
      </c>
      <c r="K52" s="132"/>
      <c r="L52" s="132"/>
      <c r="M52" s="132"/>
      <c r="N52" s="134" t="str">
        <f t="shared" si="126"/>
        <v/>
      </c>
      <c r="O52" s="135" t="e">
        <f t="shared" si="127"/>
        <v>#DIV/0!</v>
      </c>
      <c r="P52" s="136">
        <f t="shared" si="128"/>
        <v>0</v>
      </c>
      <c r="Q52" s="137">
        <f t="shared" si="130"/>
        <v>0</v>
      </c>
      <c r="R52" s="137">
        <f t="shared" si="129"/>
        <v>0</v>
      </c>
      <c r="S52" s="136" t="str">
        <f t="shared" si="133"/>
        <v/>
      </c>
      <c r="T52" s="137" t="str">
        <f t="shared" si="137"/>
        <v/>
      </c>
      <c r="U52" s="137" t="str">
        <f t="shared" si="135"/>
        <v/>
      </c>
      <c r="V52" s="364"/>
      <c r="W52" s="364"/>
      <c r="X52" s="141"/>
      <c r="Y52" s="140"/>
      <c r="Z52" s="376"/>
      <c r="AA52" s="2"/>
      <c r="AB52" s="2"/>
      <c r="AC52" s="2"/>
      <c r="AD52" s="2"/>
      <c r="AE52" s="2"/>
      <c r="AF52" s="2"/>
      <c r="AG52" s="2"/>
    </row>
    <row r="53">
      <c r="A53" s="128">
        <v>29</v>
      </c>
      <c r="B53" s="129"/>
      <c r="C53" s="130"/>
      <c r="D53" s="133"/>
      <c r="E53" s="132"/>
      <c r="F53" s="132" t="str">
        <f t="shared" si="123"/>
        <v/>
      </c>
      <c r="G53" s="132"/>
      <c r="H53" s="132" t="str">
        <f t="shared" si="124"/>
        <v/>
      </c>
      <c r="I53" s="132"/>
      <c r="J53" s="133" t="str">
        <f t="shared" si="125"/>
        <v/>
      </c>
      <c r="K53" s="132"/>
      <c r="L53" s="132"/>
      <c r="M53" s="132"/>
      <c r="N53" s="134" t="str">
        <f t="shared" si="126"/>
        <v/>
      </c>
      <c r="O53" s="135" t="e">
        <f t="shared" si="127"/>
        <v>#DIV/0!</v>
      </c>
      <c r="P53" s="136">
        <f t="shared" si="128"/>
        <v>0</v>
      </c>
      <c r="Q53" s="137">
        <f t="shared" si="130"/>
        <v>0</v>
      </c>
      <c r="R53" s="137">
        <f t="shared" si="129"/>
        <v>0</v>
      </c>
      <c r="S53" s="136" t="str">
        <f t="shared" si="133"/>
        <v/>
      </c>
      <c r="T53" s="137" t="str">
        <f t="shared" si="137"/>
        <v/>
      </c>
      <c r="U53" s="137" t="str">
        <f t="shared" si="135"/>
        <v/>
      </c>
      <c r="V53" s="364"/>
      <c r="W53" s="364"/>
      <c r="X53" s="141"/>
      <c r="Y53" s="140"/>
      <c r="Z53" s="376"/>
      <c r="AA53" s="2"/>
      <c r="AB53" s="2"/>
      <c r="AC53" s="2"/>
      <c r="AD53" s="2"/>
      <c r="AE53" s="2"/>
      <c r="AF53" s="2"/>
      <c r="AG53" s="2"/>
    </row>
    <row r="54">
      <c r="A54" s="128"/>
      <c r="B54" s="129"/>
      <c r="C54" s="130"/>
      <c r="D54" s="133"/>
      <c r="E54" s="132"/>
      <c r="F54" s="132" t="str">
        <f t="shared" si="123"/>
        <v/>
      </c>
      <c r="G54" s="132"/>
      <c r="H54" s="132" t="str">
        <f t="shared" si="124"/>
        <v/>
      </c>
      <c r="I54" s="132"/>
      <c r="J54" s="133" t="str">
        <f t="shared" si="125"/>
        <v/>
      </c>
      <c r="K54" s="132"/>
      <c r="L54" s="132"/>
      <c r="M54" s="132"/>
      <c r="N54" s="134" t="str">
        <f t="shared" si="126"/>
        <v/>
      </c>
      <c r="O54" s="135" t="e">
        <f t="shared" si="127"/>
        <v>#DIV/0!</v>
      </c>
      <c r="P54" s="136">
        <f t="shared" si="128"/>
        <v>0</v>
      </c>
      <c r="Q54" s="137">
        <f t="shared" si="130"/>
        <v>0</v>
      </c>
      <c r="R54" s="137">
        <f t="shared" si="129"/>
        <v>0</v>
      </c>
      <c r="S54" s="136" t="str">
        <f>IF(W54&lt;&gt;"",IF(D54&lt;&gt;"",D54,($I$8-SUM($S$25:S50))*V54*W54/SUMPRODUCT($W54:$W$58,$V54:$V$58)),"")</f>
        <v/>
      </c>
      <c r="T54" s="137" t="str">
        <f>IF(W54&lt;&gt;"",IF(E54&lt;&gt;"",E54,($I$9-SUM($T$25:T50))*V54*W54/SUMPRODUCT($W54:$W$58,$V54:$V$58)),"")</f>
        <v/>
      </c>
      <c r="U54" s="137" t="str">
        <f>IF(W54&lt;&gt;"",IF($I$12&lt;&gt;"",IF(G54&lt;&gt;"",G54,($I$9/$I$12-SUM($U$25:U50))*V54*W54/SUMPRODUCT($W54:$W$58,$V54:$V$58)),""),"")</f>
        <v/>
      </c>
      <c r="V54" s="364"/>
      <c r="W54" s="364"/>
      <c r="X54" s="141"/>
      <c r="Y54" s="140"/>
      <c r="Z54" s="376"/>
      <c r="AA54" s="2"/>
      <c r="AB54" s="2"/>
      <c r="AC54" s="2"/>
      <c r="AD54" s="2"/>
      <c r="AE54" s="2"/>
      <c r="AF54" s="2"/>
      <c r="AG54" s="2"/>
    </row>
    <row r="55">
      <c r="A55" s="128"/>
      <c r="B55" s="129"/>
      <c r="C55" s="130"/>
      <c r="D55" s="133"/>
      <c r="E55" s="132"/>
      <c r="F55" s="132" t="str">
        <f t="shared" si="123"/>
        <v/>
      </c>
      <c r="G55" s="132"/>
      <c r="H55" s="132" t="str">
        <f t="shared" si="124"/>
        <v/>
      </c>
      <c r="I55" s="132"/>
      <c r="J55" s="133" t="str">
        <f t="shared" si="125"/>
        <v/>
      </c>
      <c r="K55" s="132"/>
      <c r="L55" s="132"/>
      <c r="M55" s="132"/>
      <c r="N55" s="134" t="str">
        <f t="shared" si="126"/>
        <v/>
      </c>
      <c r="O55" s="135" t="e">
        <f t="shared" si="127"/>
        <v>#DIV/0!</v>
      </c>
      <c r="P55" s="136">
        <f t="shared" si="128"/>
        <v>0</v>
      </c>
      <c r="Q55" s="137">
        <f t="shared" si="130"/>
        <v>0</v>
      </c>
      <c r="R55" s="137">
        <f t="shared" si="129"/>
        <v>0</v>
      </c>
      <c r="S55" s="136" t="str">
        <f t="shared" ref="S55:S56" si="138">IF(W55&lt;&gt;"",IF(D55&lt;&gt;"",D55,($I$8-SUM($S$25:S54))*V55*W55/SUMPRODUCT($W55:$W$58,$V55:$V$58)),"")</f>
        <v/>
      </c>
      <c r="T55" s="137" t="str">
        <f t="shared" ref="T55:T56" si="139">IF(W55&lt;&gt;"",IF(E55&lt;&gt;"",E55,($I$9-SUM($T$25:T54))*V55*W55/SUMPRODUCT($W55:$W$58,$V55:$V$58)),"")</f>
        <v/>
      </c>
      <c r="U55" s="137" t="str">
        <f t="shared" ref="U55:U56" si="140">IF(W55&lt;&gt;"",IF($I$12&lt;&gt;"",IF(G55&lt;&gt;"",G55,($I$9/$I$12-SUM($U$25:U54))*V55*W55/SUMPRODUCT($W55:$W$58,$V55:$V$58)),""),"")</f>
        <v/>
      </c>
      <c r="V55" s="364"/>
      <c r="W55" s="364"/>
      <c r="X55" s="141"/>
      <c r="Y55" s="140"/>
      <c r="Z55" s="376"/>
      <c r="AA55" s="2"/>
      <c r="AB55" s="2"/>
      <c r="AC55" s="2"/>
      <c r="AD55" s="2"/>
      <c r="AE55" s="2"/>
      <c r="AF55" s="2"/>
      <c r="AG55" s="2"/>
    </row>
    <row r="56">
      <c r="A56" s="128"/>
      <c r="B56" s="129"/>
      <c r="C56" s="130"/>
      <c r="D56" s="133"/>
      <c r="E56" s="132"/>
      <c r="F56" s="132" t="str">
        <f t="shared" si="123"/>
        <v/>
      </c>
      <c r="G56" s="132"/>
      <c r="H56" s="132" t="str">
        <f t="shared" si="124"/>
        <v/>
      </c>
      <c r="I56" s="132"/>
      <c r="J56" s="133" t="str">
        <f t="shared" si="125"/>
        <v/>
      </c>
      <c r="K56" s="132"/>
      <c r="L56" s="132"/>
      <c r="M56" s="132"/>
      <c r="N56" s="134" t="str">
        <f t="shared" si="126"/>
        <v/>
      </c>
      <c r="O56" s="135" t="e">
        <f t="shared" si="127"/>
        <v>#DIV/0!</v>
      </c>
      <c r="P56" s="136">
        <f t="shared" si="128"/>
        <v>0</v>
      </c>
      <c r="Q56" s="137">
        <f t="shared" si="130"/>
        <v>0</v>
      </c>
      <c r="R56" s="137">
        <f t="shared" si="129"/>
        <v>0</v>
      </c>
      <c r="S56" s="136" t="str">
        <f t="shared" si="138"/>
        <v/>
      </c>
      <c r="T56" s="137" t="str">
        <f t="shared" si="139"/>
        <v/>
      </c>
      <c r="U56" s="137" t="str">
        <f t="shared" si="140"/>
        <v/>
      </c>
      <c r="V56" s="364"/>
      <c r="W56" s="364"/>
      <c r="X56" s="141"/>
      <c r="Y56" s="140"/>
      <c r="Z56" s="376"/>
      <c r="AA56" s="2"/>
      <c r="AB56" s="2"/>
      <c r="AC56" s="2"/>
      <c r="AD56" s="2"/>
      <c r="AE56" s="2"/>
      <c r="AF56" s="2"/>
      <c r="AG56" s="2"/>
    </row>
    <row r="57">
      <c r="A57" s="407"/>
      <c r="B57" s="408"/>
      <c r="C57" s="409"/>
      <c r="D57" s="149">
        <f>SUM(D25:D56)</f>
        <v>0</v>
      </c>
      <c r="E57" s="149">
        <f>SUM(E25:E56)</f>
        <v>0</v>
      </c>
      <c r="F57" s="149" t="str">
        <f t="shared" si="123"/>
        <v/>
      </c>
      <c r="G57" s="149">
        <f>SUM(G25:G56)</f>
        <v>0</v>
      </c>
      <c r="H57" s="149" t="str">
        <f t="shared" si="124"/>
        <v/>
      </c>
      <c r="I57" s="149">
        <f>SUM(I25:I56)</f>
        <v>0</v>
      </c>
      <c r="J57" s="150" t="str">
        <f t="shared" si="125"/>
        <v/>
      </c>
      <c r="K57" s="149">
        <f>SUM(K25:K56)</f>
        <v>0</v>
      </c>
      <c r="L57" s="149">
        <f>SUM(L25:L56)</f>
        <v>0</v>
      </c>
      <c r="M57" s="149">
        <f>SUM(M25:M56)</f>
        <v>0</v>
      </c>
      <c r="N57" s="165" t="str">
        <f t="shared" si="126"/>
        <v/>
      </c>
      <c r="O57" s="152">
        <f t="shared" si="127"/>
        <v>0</v>
      </c>
      <c r="P57" s="154">
        <f>SUM(P25:P56)</f>
        <v>1110307.6173913046</v>
      </c>
      <c r="Q57" s="154">
        <f>SUM(Q25:Q55)</f>
        <v>142.34713043478254</v>
      </c>
      <c r="R57" s="154">
        <f>SUM(R25:R55)</f>
        <v>81.80869565217391</v>
      </c>
      <c r="S57" s="154">
        <f>SUM(S25:S56)</f>
        <v>1110307.6173913043</v>
      </c>
      <c r="T57" s="154">
        <f>SUM(T25:T55)</f>
        <v>142.3471304347826</v>
      </c>
      <c r="U57" s="154">
        <f>SUM(U25:U55)</f>
        <v>81.80869565217391</v>
      </c>
      <c r="V57" s="166"/>
      <c r="W57" s="166"/>
      <c r="AE57" s="2"/>
      <c r="AF57" s="2"/>
      <c r="AG57" s="2"/>
    </row>
  </sheetData>
  <mergeCells count="29">
    <mergeCell ref="B1:C1"/>
    <mergeCell ref="Q1:T4"/>
    <mergeCell ref="B2:C2"/>
    <mergeCell ref="J2:P2"/>
    <mergeCell ref="J3:N4"/>
    <mergeCell ref="C4:D4"/>
    <mergeCell ref="J5:N5"/>
    <mergeCell ref="F7:H7"/>
    <mergeCell ref="P7:Q7"/>
    <mergeCell ref="F8:H8"/>
    <mergeCell ref="F9:H9"/>
    <mergeCell ref="F10:H10"/>
    <mergeCell ref="S10:T11"/>
    <mergeCell ref="V10:W11"/>
    <mergeCell ref="F11:H11"/>
    <mergeCell ref="F12:H12"/>
    <mergeCell ref="F13:H13"/>
    <mergeCell ref="F14:H14"/>
    <mergeCell ref="F15:H15"/>
    <mergeCell ref="F16:H16"/>
    <mergeCell ref="S16:T17"/>
    <mergeCell ref="F17:H17"/>
    <mergeCell ref="F18:H18"/>
    <mergeCell ref="F19:H19"/>
    <mergeCell ref="F20:H20"/>
    <mergeCell ref="B22:N22"/>
    <mergeCell ref="O22:O24"/>
    <mergeCell ref="P22:W22"/>
    <mergeCell ref="B57:C57"/>
  </mergeCells>
  <printOptions headings="0" gridLines="0"/>
  <pageMargins left="0.69999999999999996" right="0.69999999999999996" top="0.75" bottom="0.75" header="0.51200000000000001" footer="0.51200000000000001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79" operator="between" id="{00DE00E1-00B1-482A-BF71-0099007A0079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8" operator="lessThan" id="{0057009C-0090-453D-B997-005A00B600C7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5" operator="between" id="{00740033-0016-485A-8BA0-00AA00080060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4" operator="between" id="{004F00CD-0043-4ED6-9A55-0011000D0019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73" operator="between" id="{00DF00C6-009C-4A18-B269-00BB006600BD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72" operator="greaterThanOrEqual" id="{001100E7-0045-46B1-9A69-00A900200052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69" operator="lessThan" id="{00C0001C-007F-45A7-80E9-004C0091004E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8" operator="between" id="{002E00B2-0087-4971-B979-00B9002E008D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1866" operator="greaterThan" id="{005B00E5-00DC-4709-975C-0016006D00ED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65" operator="lessThan" id="{002200BF-00D2-43D4-B3D6-00EB008E00FC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1860" operator="between" id="{001800CA-00E7-488B-887F-00CA000B0063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ellIs" priority="1858" operator="between" id="{00F800B4-002D-4A0B-9C84-007B00840015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ellIs" priority="1854" operator="lessThan" id="{00A300FE-00E3-42A6-8923-00FE00CA009A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ellIs" priority="1853" operator="lessThan" id="{001E0067-000F-45BB-AFA3-005000E90071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J51:J53</xm:sqref>
        </x14:conditionalFormatting>
        <x14:conditionalFormatting xmlns:xm="http://schemas.microsoft.com/office/excel/2006/main">
          <x14:cfRule type="cellIs" priority="1850" operator="between" id="{002E00BE-00F3-4719-B32E-00280032001B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9" operator="lessThan" id="{0000007A-0068-4866-AF84-00B400390077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8" operator="between" id="{00CD007C-00A1-425B-8149-00A300780033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O51:O53</xm:sqref>
        </x14:conditionalFormatting>
        <x14:conditionalFormatting xmlns:xm="http://schemas.microsoft.com/office/excel/2006/main">
          <x14:cfRule type="cellIs" priority="1846" operator="between" id="{00F70065-007A-4FDC-AB8D-001200CD008B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N51:N53</xm:sqref>
        </x14:conditionalFormatting>
        <x14:conditionalFormatting xmlns:xm="http://schemas.microsoft.com/office/excel/2006/main">
          <x14:cfRule type="cellIs" priority="1844" operator="between" id="{00F700F3-005B-4180-9DFA-009D008D00AC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O39:O40</xm:sqref>
        </x14:conditionalFormatting>
        <x14:conditionalFormatting xmlns:xm="http://schemas.microsoft.com/office/excel/2006/main">
          <x14:cfRule type="cellIs" priority="1842" operator="lessThan" id="{004200FA-00F4-4A0F-BC4A-007900A70094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O39:O40</xm:sqref>
        </x14:conditionalFormatting>
        <x14:conditionalFormatting xmlns:xm="http://schemas.microsoft.com/office/excel/2006/main">
          <x14:cfRule type="cellIs" priority="1836" operator="between" id="{00CA0095-0098-433F-9BC9-001C009D006C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O39:O40</xm:sqref>
        </x14:conditionalFormatting>
        <x14:conditionalFormatting xmlns:xm="http://schemas.microsoft.com/office/excel/2006/main">
          <x14:cfRule type="cellIs" priority="1832" operator="between" id="{00CD0039-0075-4F21-8A58-001000A70065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N39:N40</xm:sqref>
        </x14:conditionalFormatting>
        <x14:conditionalFormatting xmlns:xm="http://schemas.microsoft.com/office/excel/2006/main">
          <x14:cfRule type="cellIs" priority="1826" operator="lessThan" id="{00C7007B-0085-4032-816B-009200D70003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J39:J40</xm:sqref>
        </x14:conditionalFormatting>
        <x14:conditionalFormatting xmlns:xm="http://schemas.microsoft.com/office/excel/2006/main">
          <x14:cfRule type="cellIs" priority="244" operator="between" id="{0055007E-00BC-4CE8-9188-00C100F4002C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3" operator="lessThan" id="{00980062-00B2-4033-8038-001D009A0059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2" operator="between" id="{00EB0048-0014-42E8-9CD3-00DA00730059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O44:O49</xm:sqref>
        </x14:conditionalFormatting>
        <x14:conditionalFormatting xmlns:xm="http://schemas.microsoft.com/office/excel/2006/main">
          <x14:cfRule type="cellIs" priority="241" operator="between" id="{008D00E4-00EA-4A60-99AA-006F00DB00EB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N44:N49</xm:sqref>
        </x14:conditionalFormatting>
        <x14:conditionalFormatting xmlns:xm="http://schemas.microsoft.com/office/excel/2006/main">
          <x14:cfRule type="cellIs" priority="240" operator="lessThan" id="{00BB001C-0047-4C62-8B12-00C900A600DE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J44:J49</xm:sqref>
        </x14:conditionalFormatting>
        <x14:conditionalFormatting xmlns:xm="http://schemas.microsoft.com/office/excel/2006/main">
          <x14:cfRule type="cellIs" priority="234" operator="lessThan" id="{004400AD-00B6-46EB-8C76-0054003900E2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233" operator="lessThan" id="{008700FD-0008-429C-B632-00BF00880029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32" operator="lessThan" id="{003500D0-0089-4656-B078-00A4006C00E3}">
            <xm:f>0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P10:Q10</xm:sqref>
        </x14:conditionalFormatting>
        <x14:conditionalFormatting xmlns:xm="http://schemas.microsoft.com/office/excel/2006/main">
          <x14:cfRule type="cellIs" priority="231" operator="greaterThan" id="{00C3004C-0018-4AE1-9F3B-00FC0099002F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30" operator="greaterThan" id="{00800080-0085-4A57-A062-00D800A00051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K10:K12 K15</xm:sqref>
        </x14:conditionalFormatting>
        <x14:conditionalFormatting xmlns:xm="http://schemas.microsoft.com/office/excel/2006/main">
          <x14:cfRule type="cellIs" priority="229" operator="greaterThan" id="{002B0030-0090-4A48-A496-00920040000D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228" operator="lessThan" id="{008D0088-003F-4C5E-98FA-006E00D500FC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M8:M15</xm:sqref>
        </x14:conditionalFormatting>
        <x14:conditionalFormatting xmlns:xm="http://schemas.microsoft.com/office/excel/2006/main">
          <x14:cfRule type="cellIs" priority="227" operator="greaterThan" id="{00ED007C-006A-439C-B0F7-001E008400D8}">
            <xm:f>$K$14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226" operator="lessThan" id="{00E700E2-00A9-41DA-98CD-00290054000B}">
            <xm:f>$K$14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50" operator="greaterThanOrEqual" id="{0001005C-00C1-4705-BF31-0091007500E9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N39:N56</xm:sqref>
        </x14:conditionalFormatting>
        <x14:conditionalFormatting xmlns:xm="http://schemas.microsoft.com/office/excel/2006/main">
          <x14:cfRule type="cellIs" priority="49" operator="between" id="{00E20081-00DC-450A-9BDE-005400CB0096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N41:N56</xm:sqref>
        </x14:conditionalFormatting>
        <x14:conditionalFormatting xmlns:xm="http://schemas.microsoft.com/office/excel/2006/main">
          <x14:cfRule type="cellIs" priority="48" operator="between" id="{001500E9-0018-440A-81ED-009C009F0060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O39:O56</xm:sqref>
        </x14:conditionalFormatting>
        <x14:conditionalFormatting xmlns:xm="http://schemas.microsoft.com/office/excel/2006/main">
          <x14:cfRule type="cellIs" priority="47" operator="between" id="{00A5002E-0059-49BC-809C-00770012006D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4" operator="lessThan" id="{001700D5-0033-4781-B22B-00D700BF00CE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43" operator="between" id="{006600EB-008D-4B06-8F28-000C002900FE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O41:O56</xm:sqref>
        </x14:conditionalFormatting>
        <x14:conditionalFormatting xmlns:xm="http://schemas.microsoft.com/office/excel/2006/main">
          <x14:cfRule type="cellIs" priority="31" operator="greaterThan" id="{000C004C-004C-489F-B8F1-00630087002D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J28:J56</xm:sqref>
        </x14:conditionalFormatting>
        <x14:conditionalFormatting xmlns:xm="http://schemas.microsoft.com/office/excel/2006/main">
          <x14:cfRule type="cellIs" priority="30" operator="lessThan" id="{00EB00C0-0082-4C1C-A386-005300C3005F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J28:J56</xm:sqref>
        </x14:conditionalFormatting>
        <x14:conditionalFormatting xmlns:xm="http://schemas.microsoft.com/office/excel/2006/main">
          <x14:cfRule type="cellIs" priority="28" operator="greaterThanOrEqual" id="{00C900DA-0093-40CB-893B-00BE00970041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N28:N38</xm:sqref>
        </x14:conditionalFormatting>
        <x14:conditionalFormatting xmlns:xm="http://schemas.microsoft.com/office/excel/2006/main">
          <x14:cfRule type="cellIs" priority="27" operator="between" id="{00A00029-00BD-4773-9DE9-00D200E600BD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N28:N38</xm:sqref>
        </x14:conditionalFormatting>
        <x14:conditionalFormatting xmlns:xm="http://schemas.microsoft.com/office/excel/2006/main">
          <x14:cfRule type="cellIs" priority="26" operator="between" id="{003800F0-0023-49D9-8574-00D7008C0044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25" operator="between" id="{000700EE-0013-40C5-8D73-0053004300E6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O28:O38</xm:sqref>
        </x14:conditionalFormatting>
        <x14:conditionalFormatting xmlns:xm="http://schemas.microsoft.com/office/excel/2006/main">
          <x14:cfRule type="cellIs" priority="22" operator="greaterThan" id="{00FD003F-00A3-4440-989F-00C900AC00AB}">
            <xm:f>$I$12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J25:J49</xm:sqref>
        </x14:conditionalFormatting>
        <x14:conditionalFormatting xmlns:xm="http://schemas.microsoft.com/office/excel/2006/main">
          <x14:cfRule type="cellIs" priority="21" operator="lessThan" id="{0012009D-00E9-4FCE-9CD3-00C000110089}">
            <xm:f>$I$12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J25:J43</xm:sqref>
        </x14:conditionalFormatting>
        <x14:conditionalFormatting xmlns:xm="http://schemas.microsoft.com/office/excel/2006/main">
          <x14:cfRule type="cellIs" priority="20" operator="lessThan" id="{007F0087-00E6-4A98-8899-00F600750076}">
            <xm:f>0.2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N25:N56</xm:sqref>
        </x14:conditionalFormatting>
        <x14:conditionalFormatting xmlns:xm="http://schemas.microsoft.com/office/excel/2006/main">
          <x14:cfRule type="cellIs" priority="19" operator="greaterThanOrEqual" id="{009800F6-0070-4DED-8ADA-008200DA0029}">
            <xm:f>0.25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N25:N49</xm:sqref>
        </x14:conditionalFormatting>
        <x14:conditionalFormatting xmlns:xm="http://schemas.microsoft.com/office/excel/2006/main">
          <x14:cfRule type="cellIs" priority="18" operator="between" id="{00EC0059-004E-4063-B337-000E00BF001C}">
            <xm:f>0.2</xm:f>
            <xm:f>0.25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N25:N43</xm:sqref>
        </x14:conditionalFormatting>
        <x14:conditionalFormatting xmlns:xm="http://schemas.microsoft.com/office/excel/2006/main">
          <x14:cfRule type="cellIs" priority="17" operator="between" id="{00790040-0087-4203-837A-00E90019005F}">
            <xm:f>0.01</xm:f>
            <xm:f>0.99</xm:f>
            <x14:dxf>
              <font>
                <sz val="11.000000"/>
                <color indexed="20"/>
                <name val="Calibri"/>
              </font>
              <fill>
                <patternFill patternType="solid">
                  <fgColor indexed="45"/>
                  <bgColor indexed="45"/>
                </patternFill>
              </fill>
            </x14:dxf>
          </x14:cfRule>
          <xm:sqref>O25:O49</xm:sqref>
        </x14:conditionalFormatting>
        <x14:conditionalFormatting xmlns:xm="http://schemas.microsoft.com/office/excel/2006/main">
          <x14:cfRule type="cellIs" priority="16" operator="between" id="{00460013-004F-411C-BE81-00C8003600FC}">
            <xm:f>0.85</xm:f>
            <xm:f>1</xm:f>
            <x14:dxf>
              <font>
                <sz val="8.000000"/>
                <color indexed="60"/>
                <name val="Calibri"/>
              </font>
              <fill>
                <patternFill patternType="solid">
                  <fgColor indexed="43"/>
                  <bgColor indexed="43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15" operator="greaterThan" id="{002200AF-002B-4A05-8362-003500950029}">
            <xm:f>100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14" operator="greaterThan" id="{006B003A-00D8-4C0B-9934-007E00BD00EA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O25:O56</xm:sqref>
        </x14:conditionalFormatting>
        <x14:conditionalFormatting xmlns:xm="http://schemas.microsoft.com/office/excel/2006/main">
          <x14:cfRule type="cellIs" priority="13" operator="lessThan" id="{00A6006D-00D9-44AA-A5D5-0099002300F1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12" operator="between" id="{00AD0072-004E-4284-8B83-003B00350010}">
            <xm:f>0.9001</xm:f>
            <xm:f>0.9999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O25:O43</xm:sqref>
        </x14:conditionalFormatting>
        <x14:conditionalFormatting xmlns:xm="http://schemas.microsoft.com/office/excel/2006/main">
          <x14:cfRule type="cellIs" priority="8" operator="greaterThan" id="{00BD000B-0073-4AD2-AE2C-00C400A700E4}">
            <xm:f>"100;"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7" operator="greaterThan" id="{005300A7-0044-4F62-ABFF-000A008A0030}">
            <xm:f>1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6" operator="lessThan" id="{002900B9-00B5-4519-B74A-004800400068}"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cellIs" priority="5" operator="greaterThan" id="{0026001D-00C8-4A42-A08A-005600F400EB}">
            <xm:f>0.95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4" operator="lessThan" id="{008400FF-001B-4954-93A0-001000E10070}">
            <xm:f>0.9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3" operator="between" id="{00B6005B-0067-4D4E-A909-00C0000A00A5}">
            <xm:f>0.9</xm:f>
            <xm:f>0.95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T13 W13 T19</xm:sqref>
        </x14:conditionalFormatting>
        <x14:conditionalFormatting xmlns:xm="http://schemas.microsoft.com/office/excel/2006/main">
          <x14:cfRule type="cellIs" priority="2" operator="lessThan" id="{004300EA-0082-4E58-96B8-00C900A300A7}">
            <xm:f>$K$17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1" operator="greaterThan" id="{007900DF-00D0-4909-BEED-00B300400076}">
            <xm:f>$K$17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9" activeCellId="0" sqref="C9"/>
    </sheetView>
  </sheetViews>
  <sheetFormatPr baseColWidth="10" defaultColWidth="11.5" defaultRowHeight="14.25"/>
  <cols>
    <col customWidth="1" min="1" max="1" style="3" width="2.5"/>
    <col customWidth="1" min="2" max="2" style="3" width="11.83203125"/>
    <col customWidth="1" min="3" max="3" style="3" width="14.6640625"/>
    <col customWidth="1" min="4" max="4" style="3" width="14.1640625"/>
    <col customWidth="1" min="5" max="5" style="3" width="11.6640625"/>
    <col customWidth="1" min="6" max="6" style="3" width="11.83203125"/>
    <col customWidth="1" min="7" max="7" style="3" width="14"/>
    <col customWidth="1" min="8" max="8" style="3" width="15.33203125"/>
    <col customWidth="1" min="9" max="9" style="3" width="12"/>
    <col customWidth="1" min="10" max="10" style="3" width="17.5"/>
    <col customWidth="1" min="11" max="11" style="3" width="16.83203125"/>
    <col customWidth="1" min="12" max="12" style="3" width="11.1640625"/>
    <col customWidth="1" min="13" max="13" style="3" width="13.33203125"/>
    <col customWidth="1" min="14" max="14" style="3" width="13.83203125"/>
  </cols>
  <sheetData>
    <row r="1" ht="21" customHeight="1">
      <c r="A1" s="424" t="str">
        <f>График!B1</f>
        <v xml:space="preserve">Декабрь, 2025</v>
      </c>
      <c r="B1" s="425"/>
      <c r="C1" s="425"/>
      <c r="D1" s="426"/>
      <c r="E1" s="427"/>
      <c r="F1" s="428"/>
      <c r="G1" s="428"/>
      <c r="H1" s="428"/>
      <c r="I1" s="428"/>
      <c r="J1" s="428"/>
      <c r="K1" s="428"/>
      <c r="L1" s="428"/>
      <c r="M1" s="428"/>
      <c r="N1" s="429"/>
    </row>
    <row r="2" ht="18" customHeight="1">
      <c r="A2" s="430" t="str">
        <f>График!B3</f>
        <v xml:space="preserve">ул. Набережная Ленина, 18</v>
      </c>
      <c r="B2" s="431"/>
      <c r="C2" s="431"/>
      <c r="D2" s="432" t="str">
        <f>График!B4</f>
        <v>GL-0005</v>
      </c>
      <c r="E2" s="433"/>
      <c r="F2" s="434"/>
      <c r="G2" s="434"/>
      <c r="H2" s="434"/>
      <c r="I2" s="434"/>
      <c r="J2" s="434"/>
      <c r="K2" s="434"/>
      <c r="L2" s="434"/>
      <c r="M2" s="434"/>
      <c r="N2" s="435"/>
    </row>
    <row r="3" ht="63.75">
      <c r="A3" s="436" t="s">
        <v>26</v>
      </c>
      <c r="B3" s="437"/>
      <c r="C3" s="437"/>
      <c r="D3" s="437" t="s">
        <v>82</v>
      </c>
      <c r="E3" s="437" t="s">
        <v>83</v>
      </c>
      <c r="F3" s="438" t="s">
        <v>84</v>
      </c>
      <c r="G3" s="439" t="s">
        <v>85</v>
      </c>
      <c r="H3" s="440" t="s">
        <v>86</v>
      </c>
      <c r="I3" s="441" t="s">
        <v>87</v>
      </c>
      <c r="J3" s="442" t="s">
        <v>88</v>
      </c>
      <c r="K3" s="443" t="s">
        <v>67</v>
      </c>
      <c r="L3" s="444" t="s">
        <v>89</v>
      </c>
      <c r="M3" s="445" t="s">
        <v>90</v>
      </c>
      <c r="N3" s="446" t="s">
        <v>91</v>
      </c>
    </row>
    <row r="4" ht="16" customHeight="1">
      <c r="A4" s="447" t="str">
        <f>График!B29</f>
        <v xml:space="preserve">Рогалевич Ирина</v>
      </c>
      <c r="B4" s="448"/>
      <c r="C4" s="448"/>
      <c r="D4" s="449">
        <f>19140*2</f>
        <v>38280</v>
      </c>
      <c r="E4" s="450"/>
      <c r="F4" s="451">
        <f>H8+H9</f>
        <v>22532.462</v>
      </c>
      <c r="G4" s="452">
        <f>D11</f>
        <v>10500</v>
      </c>
      <c r="H4" s="453">
        <f>D18</f>
        <v>14095.26</v>
      </c>
      <c r="I4" s="454">
        <f>L18</f>
        <v>4577.0730782608698</v>
      </c>
      <c r="J4" s="455">
        <f>L11</f>
        <v>0</v>
      </c>
      <c r="K4" s="456">
        <f>H4+J4+G4+F4+I4</f>
        <v>51704.795078260868</v>
      </c>
      <c r="L4" s="457">
        <f>C8+C9</f>
        <v>7230.6700000000001</v>
      </c>
      <c r="M4" s="458">
        <f>K4-L4-D4-E4</f>
        <v>6194.1250782608695</v>
      </c>
      <c r="N4" s="459"/>
    </row>
    <row r="5">
      <c r="A5" s="460"/>
      <c r="B5" s="461"/>
      <c r="C5" s="462"/>
      <c r="D5" s="462"/>
      <c r="E5" s="462"/>
      <c r="F5" s="462"/>
      <c r="G5" s="462"/>
      <c r="H5" s="462"/>
      <c r="I5" s="462"/>
      <c r="J5" s="462"/>
      <c r="K5" s="463"/>
      <c r="L5" s="462"/>
      <c r="M5" s="464"/>
      <c r="N5" s="465"/>
    </row>
    <row r="6">
      <c r="A6" s="460"/>
      <c r="B6" s="461" t="s">
        <v>89</v>
      </c>
      <c r="C6" s="462"/>
      <c r="D6" s="462"/>
      <c r="E6" s="462"/>
      <c r="F6" s="462"/>
      <c r="G6" s="461" t="s">
        <v>92</v>
      </c>
      <c r="H6" s="462"/>
      <c r="I6" s="462"/>
      <c r="J6" s="462"/>
      <c r="K6" s="462"/>
      <c r="L6" s="462"/>
      <c r="M6" s="464"/>
      <c r="N6" s="465"/>
    </row>
    <row r="7">
      <c r="A7" s="466"/>
      <c r="B7" s="467" t="s">
        <v>27</v>
      </c>
      <c r="C7" s="467" t="s">
        <v>93</v>
      </c>
      <c r="D7" s="467" t="s">
        <v>94</v>
      </c>
      <c r="E7" s="467"/>
      <c r="F7" s="468"/>
      <c r="G7" s="467" t="s">
        <v>27</v>
      </c>
      <c r="H7" s="467" t="s">
        <v>93</v>
      </c>
      <c r="I7" s="467"/>
      <c r="J7" s="467" t="s">
        <v>94</v>
      </c>
      <c r="K7" s="467"/>
      <c r="L7" s="468"/>
      <c r="M7" s="469"/>
      <c r="N7" s="470"/>
    </row>
    <row r="8" ht="20" customHeight="1">
      <c r="A8" s="460"/>
      <c r="B8" s="471">
        <v>46022</v>
      </c>
      <c r="C8" s="472">
        <f>44000-D4</f>
        <v>5720</v>
      </c>
      <c r="D8" s="473" t="s">
        <v>95</v>
      </c>
      <c r="E8" s="473"/>
      <c r="F8" s="462"/>
      <c r="G8" s="471">
        <v>46022</v>
      </c>
      <c r="H8" s="474">
        <f>'Ялта, Ленина, 18'!J8*0.01</f>
        <v>12532.462</v>
      </c>
      <c r="I8" s="474"/>
      <c r="J8" s="473" t="s">
        <v>96</v>
      </c>
      <c r="K8" s="473"/>
      <c r="L8" s="462"/>
      <c r="M8" s="464"/>
      <c r="N8" s="465"/>
    </row>
    <row r="9" ht="23" customHeight="1">
      <c r="A9" s="460"/>
      <c r="B9" s="471">
        <v>46031</v>
      </c>
      <c r="C9" s="472">
        <v>1510.6700000000001</v>
      </c>
      <c r="D9" s="473" t="s">
        <v>97</v>
      </c>
      <c r="E9" s="473"/>
      <c r="F9" s="462"/>
      <c r="G9" s="471">
        <v>46387</v>
      </c>
      <c r="H9" s="474">
        <v>10000</v>
      </c>
      <c r="I9" s="474"/>
      <c r="J9" s="473" t="s">
        <v>98</v>
      </c>
      <c r="K9" s="473"/>
      <c r="L9" s="462"/>
      <c r="M9" s="464"/>
      <c r="N9" s="465"/>
    </row>
    <row r="10">
      <c r="A10" s="460"/>
      <c r="B10" s="461"/>
      <c r="C10" s="462"/>
      <c r="D10" s="462"/>
      <c r="E10" s="462"/>
      <c r="F10" s="462"/>
      <c r="G10" s="462"/>
      <c r="H10" s="462"/>
      <c r="I10" s="462"/>
      <c r="J10" s="462"/>
      <c r="K10" s="462"/>
      <c r="L10" s="462"/>
      <c r="M10" s="464"/>
      <c r="N10" s="465"/>
    </row>
    <row r="11" ht="16" customHeight="1">
      <c r="A11" s="475" t="s">
        <v>99</v>
      </c>
      <c r="B11" s="476"/>
      <c r="C11" s="476"/>
      <c r="D11" s="477">
        <f>G15+G16</f>
        <v>10500</v>
      </c>
      <c r="E11" s="478"/>
      <c r="F11" s="479"/>
      <c r="G11" s="476"/>
      <c r="H11" s="476"/>
      <c r="I11" s="480" t="s">
        <v>88</v>
      </c>
      <c r="J11" s="476"/>
      <c r="K11" s="476"/>
      <c r="L11" s="480">
        <f>L15+L16</f>
        <v>0</v>
      </c>
      <c r="M11" s="479"/>
      <c r="N11" s="481"/>
    </row>
    <row r="12">
      <c r="A12" s="460"/>
      <c r="B12" s="461"/>
      <c r="C12" s="462"/>
      <c r="D12" s="482"/>
      <c r="E12" s="482"/>
      <c r="F12" s="462"/>
      <c r="G12" s="462"/>
      <c r="H12" s="462"/>
      <c r="I12" s="462"/>
      <c r="J12" s="462"/>
      <c r="K12" s="464"/>
      <c r="L12" s="464"/>
      <c r="M12" s="464"/>
      <c r="N12" s="465"/>
    </row>
    <row r="13">
      <c r="A13" s="483"/>
      <c r="B13" s="484" t="s">
        <v>99</v>
      </c>
      <c r="C13" s="482"/>
      <c r="D13" s="482"/>
      <c r="E13" s="482"/>
      <c r="F13" s="482"/>
      <c r="G13" s="482"/>
      <c r="H13" s="482"/>
      <c r="I13" s="482"/>
      <c r="J13" s="485" t="s">
        <v>88</v>
      </c>
      <c r="K13" s="485"/>
      <c r="L13" s="486"/>
      <c r="M13" s="486"/>
      <c r="N13" s="487"/>
    </row>
    <row r="14" ht="21">
      <c r="A14" s="483"/>
      <c r="B14" s="488" t="s">
        <v>100</v>
      </c>
      <c r="C14" s="488" t="s">
        <v>101</v>
      </c>
      <c r="D14" s="488" t="s">
        <v>102</v>
      </c>
      <c r="E14" s="488" t="s">
        <v>103</v>
      </c>
      <c r="F14" s="488" t="s">
        <v>104</v>
      </c>
      <c r="G14" s="488" t="s">
        <v>105</v>
      </c>
      <c r="H14" s="482"/>
      <c r="I14" s="482"/>
      <c r="J14" s="488" t="s">
        <v>101</v>
      </c>
      <c r="K14" s="488" t="s">
        <v>106</v>
      </c>
      <c r="L14" s="488" t="s">
        <v>107</v>
      </c>
      <c r="M14" s="488"/>
      <c r="N14" s="487"/>
      <c r="O14" s="489"/>
    </row>
    <row r="15" ht="19" customHeight="1">
      <c r="A15" s="460"/>
      <c r="B15" s="490">
        <f>График!AI29</f>
        <v>12</v>
      </c>
      <c r="C15" s="491" t="str">
        <f>A2</f>
        <v xml:space="preserve">ул. Набережная Ленина, 18</v>
      </c>
      <c r="D15" s="491" t="s">
        <v>108</v>
      </c>
      <c r="E15" s="492">
        <f>График!AJ29</f>
        <v>105</v>
      </c>
      <c r="F15" s="493">
        <v>100</v>
      </c>
      <c r="G15" s="494">
        <f t="shared" ref="G15:G16" si="141">E15*F15</f>
        <v>10500</v>
      </c>
      <c r="H15" s="495"/>
      <c r="I15" s="495"/>
      <c r="J15" s="491" t="str">
        <f>График!B3</f>
        <v xml:space="preserve">ул. Набережная Ленина, 18</v>
      </c>
      <c r="K15" s="496">
        <f>'Ялта, Ленина, 18'!K8</f>
        <v>0.48094046259455742</v>
      </c>
      <c r="L15" s="493"/>
      <c r="M15" s="493"/>
      <c r="N15" s="465"/>
    </row>
    <row r="16" ht="19" customHeight="1">
      <c r="A16" s="483"/>
      <c r="B16" s="488"/>
      <c r="C16" s="497"/>
      <c r="D16" s="491" t="s">
        <v>108</v>
      </c>
      <c r="E16" s="498"/>
      <c r="F16" s="493"/>
      <c r="G16" s="494">
        <f t="shared" si="141"/>
        <v>0</v>
      </c>
      <c r="H16" s="482"/>
      <c r="I16" s="482"/>
      <c r="J16" s="473"/>
      <c r="K16" s="499"/>
      <c r="L16" s="500"/>
      <c r="M16" s="500"/>
      <c r="N16" s="487"/>
    </row>
    <row r="17">
      <c r="A17" s="483"/>
      <c r="B17" s="482"/>
      <c r="C17" s="501"/>
      <c r="D17" s="462"/>
      <c r="E17" s="502"/>
      <c r="F17" s="502"/>
      <c r="G17" s="503"/>
      <c r="H17" s="482"/>
      <c r="I17" s="482"/>
      <c r="J17" s="482"/>
      <c r="K17" s="482"/>
      <c r="L17" s="486"/>
      <c r="M17" s="486"/>
      <c r="N17" s="487"/>
    </row>
    <row r="18" ht="17" customHeight="1">
      <c r="A18" s="475" t="s">
        <v>109</v>
      </c>
      <c r="B18" s="476"/>
      <c r="C18" s="476"/>
      <c r="D18" s="504">
        <f>G23+G24</f>
        <v>14095.26</v>
      </c>
      <c r="E18" s="505"/>
      <c r="F18" s="479"/>
      <c r="G18" s="479"/>
      <c r="H18" s="479"/>
      <c r="I18" s="476" t="s">
        <v>87</v>
      </c>
      <c r="J18" s="479"/>
      <c r="K18" s="479"/>
      <c r="L18" s="506">
        <f>N23+N24</f>
        <v>4577.0730782608698</v>
      </c>
      <c r="M18" s="479"/>
      <c r="N18" s="481"/>
    </row>
    <row r="19">
      <c r="A19" s="507"/>
      <c r="B19" s="461"/>
      <c r="C19" s="464"/>
      <c r="D19" s="464"/>
      <c r="E19" s="464"/>
      <c r="F19" s="464"/>
      <c r="G19" s="464"/>
      <c r="H19" s="464"/>
      <c r="I19" s="464"/>
      <c r="J19" s="464"/>
      <c r="K19" s="508"/>
      <c r="L19" s="169"/>
      <c r="M19" s="169"/>
      <c r="N19" s="509"/>
    </row>
    <row r="20">
      <c r="A20" s="507"/>
      <c r="B20" s="462"/>
      <c r="C20" s="461"/>
      <c r="D20" s="464"/>
      <c r="E20" s="464"/>
      <c r="F20" s="464"/>
      <c r="G20" s="464"/>
      <c r="H20" s="464"/>
      <c r="I20" s="464"/>
      <c r="J20" s="464"/>
      <c r="K20" s="464"/>
      <c r="L20" s="464"/>
      <c r="M20" s="464"/>
      <c r="N20" s="465"/>
    </row>
    <row r="21">
      <c r="A21" s="507"/>
      <c r="B21" s="461" t="s">
        <v>110</v>
      </c>
      <c r="C21" s="464"/>
      <c r="D21" s="464"/>
      <c r="E21" s="464"/>
      <c r="F21" s="464"/>
      <c r="G21" s="464"/>
      <c r="H21" s="464"/>
      <c r="I21" s="510" t="s">
        <v>111</v>
      </c>
      <c r="J21" s="511"/>
      <c r="K21" s="512"/>
      <c r="L21" s="512"/>
      <c r="M21" s="512"/>
      <c r="N21" s="513"/>
    </row>
    <row r="22" ht="31.5">
      <c r="A22" s="514"/>
      <c r="B22" s="488" t="s">
        <v>26</v>
      </c>
      <c r="C22" s="488" t="s">
        <v>101</v>
      </c>
      <c r="D22" s="488"/>
      <c r="E22" s="488" t="s">
        <v>112</v>
      </c>
      <c r="F22" s="488" t="s">
        <v>113</v>
      </c>
      <c r="G22" s="488" t="s">
        <v>114</v>
      </c>
      <c r="H22" s="482"/>
      <c r="I22" s="488" t="s">
        <v>26</v>
      </c>
      <c r="J22" s="488" t="s">
        <v>101</v>
      </c>
      <c r="K22" s="488" t="s">
        <v>115</v>
      </c>
      <c r="L22" s="488" t="s">
        <v>116</v>
      </c>
      <c r="M22" s="488" t="s">
        <v>112</v>
      </c>
      <c r="N22" s="515" t="s">
        <v>114</v>
      </c>
    </row>
    <row r="23">
      <c r="A23" s="507"/>
      <c r="B23" s="491" t="str">
        <f>A4</f>
        <v xml:space="preserve">Рогалевич Ирина</v>
      </c>
      <c r="C23" s="491" t="str">
        <f>A2</f>
        <v xml:space="preserve">ул. Набережная Ленина, 18</v>
      </c>
      <c r="D23" s="491"/>
      <c r="E23" s="496">
        <v>0.040000000000000001</v>
      </c>
      <c r="F23" s="472">
        <f>'Рогалевич И. Е. '!J8</f>
        <v>352381.5</v>
      </c>
      <c r="G23" s="516">
        <f t="shared" ref="G23:G24" si="142">F23*E23</f>
        <v>14095.26</v>
      </c>
      <c r="H23" s="462"/>
      <c r="I23" s="517" t="str">
        <f>B23</f>
        <v xml:space="preserve">Рогалевич Ирина</v>
      </c>
      <c r="J23" s="518" t="str">
        <f>C23</f>
        <v xml:space="preserve">ул. Набережная Ленина, 18</v>
      </c>
      <c r="K23" s="518">
        <f>E15</f>
        <v>105</v>
      </c>
      <c r="L23" s="519">
        <f>График!AJ31</f>
        <v>575</v>
      </c>
      <c r="M23" s="496">
        <v>0.02</v>
      </c>
      <c r="N23" s="520">
        <f>'Ялта, Ленина, 18'!J8*M23*K23/L23</f>
        <v>4577.0730782608698</v>
      </c>
    </row>
    <row r="24">
      <c r="A24" s="514"/>
      <c r="B24" s="491" t="str">
        <f>B23</f>
        <v xml:space="preserve">Рогалевич Ирина</v>
      </c>
      <c r="C24" s="497">
        <f>C16</f>
        <v>0</v>
      </c>
      <c r="D24" s="497"/>
      <c r="E24" s="496"/>
      <c r="F24" s="521"/>
      <c r="G24" s="494">
        <f t="shared" si="142"/>
        <v>0</v>
      </c>
      <c r="H24" s="482"/>
      <c r="I24" s="522"/>
      <c r="J24" s="523"/>
      <c r="K24" s="524"/>
      <c r="L24" s="525"/>
      <c r="M24" s="526"/>
      <c r="N24" s="527"/>
    </row>
    <row r="25">
      <c r="A25" s="528"/>
      <c r="B25" s="529"/>
      <c r="C25" s="529"/>
      <c r="D25" s="529"/>
      <c r="E25" s="529"/>
      <c r="F25" s="529"/>
      <c r="G25" s="529"/>
      <c r="H25" s="529"/>
      <c r="I25" s="529"/>
      <c r="J25" s="529"/>
      <c r="K25" s="529"/>
      <c r="L25" s="529"/>
      <c r="M25" s="529"/>
      <c r="N25" s="530"/>
    </row>
  </sheetData>
  <mergeCells count="20">
    <mergeCell ref="A1:D1"/>
    <mergeCell ref="A2:C2"/>
    <mergeCell ref="A3:C3"/>
    <mergeCell ref="A4:C4"/>
    <mergeCell ref="D7:E7"/>
    <mergeCell ref="H7:I7"/>
    <mergeCell ref="J7:K7"/>
    <mergeCell ref="D8:E8"/>
    <mergeCell ref="H8:I8"/>
    <mergeCell ref="J8:K8"/>
    <mergeCell ref="D9:E9"/>
    <mergeCell ref="H9:I9"/>
    <mergeCell ref="J9:K9"/>
    <mergeCell ref="J13:K13"/>
    <mergeCell ref="L14:M14"/>
    <mergeCell ref="L15:M15"/>
    <mergeCell ref="L16:M16"/>
    <mergeCell ref="C22:D22"/>
    <mergeCell ref="C23:D23"/>
    <mergeCell ref="C24:D24"/>
  </mergeCells>
  <printOptions headings="0" gridLines="0"/>
  <pageMargins left="0.69999999999999996" right="0.69999999999999996" top="0.75" bottom="0.75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3" workbookViewId="0">
      <selection activeCell="R15" activeCellId="0" sqref="R15"/>
    </sheetView>
  </sheetViews>
  <sheetFormatPr baseColWidth="10" defaultColWidth="11.5" defaultRowHeight="14.25"/>
  <cols>
    <col customWidth="1" min="1" max="1" style="3" width="2.33203125"/>
    <col customWidth="1" min="2" max="2" style="3" width="12.6640625"/>
    <col customWidth="1" min="3" max="3" style="3" width="18"/>
    <col customWidth="1" min="4" max="4" style="3" width="12.6640625"/>
    <col customWidth="1" min="5" max="5" style="3" width="12.5"/>
    <col customWidth="1" min="6" max="6" style="3" width="12.1640625"/>
    <col min="7" max="7" style="3" width="11.5"/>
    <col customWidth="1" min="8" max="8" style="3" width="12.6640625"/>
    <col customWidth="1" min="9" max="9" style="3" width="15"/>
    <col customWidth="1" min="10" max="10" style="3" width="18.33203125"/>
    <col customWidth="1" min="11" max="11" style="3" width="13.6640625"/>
    <col customWidth="1" min="12" max="12" style="3" width="12"/>
    <col customWidth="1" min="13" max="13" style="3" width="15.6640625"/>
    <col customWidth="1" min="14" max="14" style="3" width="14"/>
  </cols>
  <sheetData>
    <row r="1" ht="20" customHeight="1">
      <c r="A1" s="424" t="str">
        <f>График!B1</f>
        <v xml:space="preserve">Декабрь, 2025</v>
      </c>
      <c r="B1" s="425"/>
      <c r="C1" s="425"/>
      <c r="D1" s="426"/>
      <c r="E1" s="427"/>
      <c r="F1" s="428"/>
      <c r="G1" s="428"/>
      <c r="H1" s="428"/>
      <c r="I1" s="428"/>
      <c r="J1" s="428"/>
      <c r="K1" s="428"/>
      <c r="L1" s="428"/>
      <c r="M1" s="428"/>
      <c r="N1" s="429"/>
    </row>
    <row r="2" ht="20" customHeight="1">
      <c r="A2" s="531" t="str">
        <f>График!B3</f>
        <v xml:space="preserve">ул. Набережная Ленина, 18</v>
      </c>
      <c r="B2" s="532"/>
      <c r="C2" s="532"/>
      <c r="D2" s="533" t="str">
        <f>График!B4</f>
        <v>GL-0005</v>
      </c>
      <c r="E2" s="433"/>
      <c r="F2" s="434"/>
      <c r="G2" s="434"/>
      <c r="H2" s="434"/>
      <c r="I2" s="434"/>
      <c r="J2" s="434"/>
      <c r="K2" s="434"/>
      <c r="L2" s="434"/>
      <c r="M2" s="434"/>
      <c r="N2" s="435"/>
    </row>
    <row r="3" ht="63.75">
      <c r="A3" s="534" t="s">
        <v>26</v>
      </c>
      <c r="B3" s="534"/>
      <c r="C3" s="534"/>
      <c r="D3" s="534" t="s">
        <v>82</v>
      </c>
      <c r="E3" s="535" t="s">
        <v>83</v>
      </c>
      <c r="F3" s="445" t="s">
        <v>84</v>
      </c>
      <c r="G3" s="439" t="s">
        <v>85</v>
      </c>
      <c r="H3" s="440" t="s">
        <v>86</v>
      </c>
      <c r="I3" s="441" t="s">
        <v>87</v>
      </c>
      <c r="J3" s="441" t="s">
        <v>88</v>
      </c>
      <c r="K3" s="439" t="s">
        <v>67</v>
      </c>
      <c r="L3" s="442" t="s">
        <v>89</v>
      </c>
      <c r="M3" s="536" t="s">
        <v>90</v>
      </c>
      <c r="N3" s="446" t="s">
        <v>91</v>
      </c>
    </row>
    <row r="4" ht="18" customHeight="1">
      <c r="A4" s="537" t="str">
        <f>График!B27</f>
        <v xml:space="preserve">Арапова Анна-Мария</v>
      </c>
      <c r="B4" s="538"/>
      <c r="C4" s="538"/>
      <c r="D4" s="539">
        <f>17400*2</f>
        <v>34800</v>
      </c>
      <c r="E4" s="540"/>
      <c r="F4" s="541">
        <f>H8+H9</f>
        <v>0</v>
      </c>
      <c r="G4" s="542">
        <f>D12</f>
        <v>22500</v>
      </c>
      <c r="H4" s="543">
        <f>D19</f>
        <v>11227.708000000001</v>
      </c>
      <c r="I4" s="544">
        <f>L19</f>
        <v>9808.0137391304343</v>
      </c>
      <c r="J4" s="545">
        <f>L12</f>
        <v>0</v>
      </c>
      <c r="K4" s="546">
        <f>H4+J4+G4+F4+I4</f>
        <v>43535.721739130429</v>
      </c>
      <c r="L4" s="547">
        <f>C8+C9+C10</f>
        <v>6710.6700000000001</v>
      </c>
      <c r="M4" s="548">
        <f>K4-L4-D4-E4</f>
        <v>2025.0517391304311</v>
      </c>
      <c r="N4" s="459"/>
    </row>
    <row r="5">
      <c r="A5" s="460"/>
      <c r="B5" s="461"/>
      <c r="C5" s="462"/>
      <c r="D5" s="462"/>
      <c r="E5" s="462"/>
      <c r="F5" s="462"/>
      <c r="G5" s="462"/>
      <c r="H5" s="462"/>
      <c r="I5" s="462"/>
      <c r="J5" s="462"/>
      <c r="K5" s="463"/>
      <c r="L5" s="462"/>
      <c r="M5" s="464"/>
      <c r="N5" s="465"/>
    </row>
    <row r="6">
      <c r="A6" s="460"/>
      <c r="B6" s="461" t="s">
        <v>89</v>
      </c>
      <c r="C6" s="462"/>
      <c r="D6" s="462"/>
      <c r="E6" s="462"/>
      <c r="F6" s="462"/>
      <c r="G6" s="461" t="s">
        <v>92</v>
      </c>
      <c r="H6" s="462"/>
      <c r="I6" s="462"/>
      <c r="J6" s="462"/>
      <c r="K6" s="462"/>
      <c r="L6" s="462"/>
      <c r="M6" s="464"/>
      <c r="N6" s="465"/>
    </row>
    <row r="7" ht="20" customHeight="1">
      <c r="A7" s="466"/>
      <c r="B7" s="467" t="s">
        <v>27</v>
      </c>
      <c r="C7" s="467" t="s">
        <v>93</v>
      </c>
      <c r="D7" s="467" t="s">
        <v>94</v>
      </c>
      <c r="E7" s="467"/>
      <c r="F7" s="468"/>
      <c r="G7" s="467" t="s">
        <v>27</v>
      </c>
      <c r="H7" s="467" t="s">
        <v>93</v>
      </c>
      <c r="I7" s="467"/>
      <c r="J7" s="467" t="s">
        <v>94</v>
      </c>
      <c r="K7" s="467"/>
      <c r="L7" s="468"/>
      <c r="M7" s="469"/>
      <c r="N7" s="470"/>
    </row>
    <row r="8" ht="18" customHeight="1">
      <c r="A8" s="460"/>
      <c r="B8" s="471">
        <v>46022</v>
      </c>
      <c r="C8" s="472">
        <f>40000-D4</f>
        <v>5200</v>
      </c>
      <c r="D8" s="473" t="s">
        <v>95</v>
      </c>
      <c r="E8" s="473"/>
      <c r="F8" s="462"/>
      <c r="G8" s="471"/>
      <c r="H8" s="472"/>
      <c r="I8" s="472"/>
      <c r="J8" s="473"/>
      <c r="K8" s="473"/>
      <c r="L8" s="462"/>
      <c r="M8" s="464"/>
      <c r="N8" s="465"/>
    </row>
    <row r="9" ht="29" customHeight="1">
      <c r="A9" s="460"/>
      <c r="B9" s="471">
        <v>46031</v>
      </c>
      <c r="C9" s="472">
        <v>1510.6700000000001</v>
      </c>
      <c r="D9" s="473" t="s">
        <v>97</v>
      </c>
      <c r="E9" s="473"/>
      <c r="F9" s="462"/>
      <c r="G9" s="471"/>
      <c r="H9" s="472"/>
      <c r="I9" s="472"/>
      <c r="J9" s="473"/>
      <c r="K9" s="473"/>
      <c r="L9" s="462"/>
      <c r="M9" s="464"/>
      <c r="N9" s="465"/>
    </row>
    <row r="10" ht="18" customHeight="1">
      <c r="A10" s="460"/>
      <c r="B10" s="471"/>
      <c r="C10" s="472"/>
      <c r="D10" s="473"/>
      <c r="E10" s="473"/>
      <c r="F10" s="462"/>
      <c r="G10" s="549"/>
      <c r="H10" s="550"/>
      <c r="I10" s="550"/>
      <c r="J10" s="551"/>
      <c r="K10" s="551"/>
      <c r="L10" s="462"/>
      <c r="M10" s="464"/>
      <c r="N10" s="465"/>
    </row>
    <row r="11" ht="34" customHeight="1">
      <c r="A11" s="460"/>
      <c r="B11" s="461"/>
      <c r="C11" s="462"/>
      <c r="D11" s="462"/>
      <c r="E11" s="462"/>
      <c r="F11" s="462"/>
      <c r="G11" s="462"/>
      <c r="H11" s="462"/>
      <c r="I11" s="462"/>
      <c r="J11" s="462"/>
      <c r="K11" s="462"/>
      <c r="L11" s="462"/>
      <c r="M11" s="464"/>
      <c r="N11" s="465"/>
    </row>
    <row r="12" ht="16" customHeight="1">
      <c r="A12" s="475" t="s">
        <v>99</v>
      </c>
      <c r="B12" s="476"/>
      <c r="C12" s="476"/>
      <c r="D12" s="477">
        <f>G16</f>
        <v>22500</v>
      </c>
      <c r="E12" s="478"/>
      <c r="F12" s="479"/>
      <c r="G12" s="476"/>
      <c r="H12" s="476"/>
      <c r="I12" s="552" t="s">
        <v>88</v>
      </c>
      <c r="J12" s="476"/>
      <c r="K12" s="476"/>
      <c r="L12" s="480">
        <f>L16+L17</f>
        <v>0</v>
      </c>
      <c r="M12" s="479"/>
      <c r="N12" s="481"/>
    </row>
    <row r="13">
      <c r="A13" s="460"/>
      <c r="B13" s="461"/>
      <c r="C13" s="462"/>
      <c r="D13" s="482"/>
      <c r="E13" s="482"/>
      <c r="F13" s="462"/>
      <c r="G13" s="462"/>
      <c r="H13" s="462"/>
      <c r="I13" s="462"/>
      <c r="J13" s="462"/>
      <c r="K13" s="464"/>
      <c r="L13" s="464"/>
      <c r="M13" s="464"/>
      <c r="N13" s="465"/>
    </row>
    <row r="14">
      <c r="A14" s="483"/>
      <c r="B14" s="484" t="s">
        <v>99</v>
      </c>
      <c r="C14" s="482"/>
      <c r="D14" s="482"/>
      <c r="E14" s="482"/>
      <c r="F14" s="482"/>
      <c r="G14" s="482"/>
      <c r="H14" s="482"/>
      <c r="I14" s="482"/>
      <c r="J14" s="485" t="s">
        <v>88</v>
      </c>
      <c r="K14" s="485"/>
      <c r="L14" s="486"/>
      <c r="M14" s="486"/>
      <c r="N14" s="487"/>
    </row>
    <row r="15" ht="21">
      <c r="A15" s="483"/>
      <c r="B15" s="488" t="s">
        <v>100</v>
      </c>
      <c r="C15" s="488" t="s">
        <v>101</v>
      </c>
      <c r="D15" s="488" t="s">
        <v>102</v>
      </c>
      <c r="E15" s="488" t="s">
        <v>103</v>
      </c>
      <c r="F15" s="488" t="s">
        <v>104</v>
      </c>
      <c r="G15" s="488" t="s">
        <v>105</v>
      </c>
      <c r="H15" s="482"/>
      <c r="I15" s="482"/>
      <c r="J15" s="488" t="s">
        <v>101</v>
      </c>
      <c r="K15" s="488" t="s">
        <v>106</v>
      </c>
      <c r="L15" s="488" t="s">
        <v>107</v>
      </c>
      <c r="M15" s="486"/>
      <c r="N15" s="487"/>
    </row>
    <row r="16" ht="17" customHeight="1">
      <c r="A16" s="460"/>
      <c r="B16" s="490">
        <f>График!AI27</f>
        <v>21</v>
      </c>
      <c r="C16" s="491" t="str">
        <f>A2</f>
        <v xml:space="preserve">ул. Набережная Ленина, 18</v>
      </c>
      <c r="D16" s="491" t="s">
        <v>108</v>
      </c>
      <c r="E16" s="492">
        <f>График!AJ27</f>
        <v>225</v>
      </c>
      <c r="F16" s="493">
        <v>100</v>
      </c>
      <c r="G16" s="494">
        <f>E16*F16</f>
        <v>22500</v>
      </c>
      <c r="H16" s="495"/>
      <c r="I16" s="495"/>
      <c r="J16" s="491" t="str">
        <f>График!B3</f>
        <v xml:space="preserve">ул. Набережная Ленина, 18</v>
      </c>
      <c r="K16" s="496">
        <f>'Ялта, Ленина, 18'!K8</f>
        <v>0.48094046259455742</v>
      </c>
      <c r="L16" s="493">
        <v>0</v>
      </c>
      <c r="M16" s="464"/>
      <c r="N16" s="465"/>
    </row>
    <row r="17" ht="17" customHeight="1">
      <c r="A17" s="483"/>
      <c r="B17" s="488"/>
      <c r="C17" s="497"/>
      <c r="D17" s="491"/>
      <c r="E17" s="498"/>
      <c r="F17" s="493"/>
      <c r="G17" s="494"/>
      <c r="H17" s="482"/>
      <c r="I17" s="482"/>
      <c r="J17" s="473"/>
      <c r="K17" s="499"/>
      <c r="L17" s="500"/>
      <c r="M17" s="486"/>
      <c r="N17" s="487"/>
    </row>
    <row r="18">
      <c r="A18" s="483"/>
      <c r="B18" s="482"/>
      <c r="C18" s="501"/>
      <c r="D18" s="462"/>
      <c r="E18" s="502"/>
      <c r="F18" s="502"/>
      <c r="G18" s="503"/>
      <c r="H18" s="482"/>
      <c r="I18" s="482"/>
      <c r="J18" s="482"/>
      <c r="K18" s="482"/>
      <c r="L18" s="486"/>
      <c r="M18" s="486"/>
      <c r="N18" s="487"/>
    </row>
    <row r="19" ht="16" customHeight="1">
      <c r="A19" s="475" t="s">
        <v>109</v>
      </c>
      <c r="B19" s="476"/>
      <c r="C19" s="476"/>
      <c r="D19" s="504">
        <f>G24</f>
        <v>11227.708000000001</v>
      </c>
      <c r="E19" s="505"/>
      <c r="F19" s="479"/>
      <c r="G19" s="479"/>
      <c r="H19" s="479"/>
      <c r="I19" s="476" t="s">
        <v>87</v>
      </c>
      <c r="J19" s="479"/>
      <c r="K19" s="479"/>
      <c r="L19" s="506">
        <f>N24</f>
        <v>9808.0137391304343</v>
      </c>
      <c r="M19" s="479"/>
      <c r="N19" s="481"/>
    </row>
    <row r="20">
      <c r="A20" s="507"/>
      <c r="B20" s="461"/>
      <c r="C20" s="464"/>
      <c r="D20" s="464"/>
      <c r="E20" s="464"/>
      <c r="F20" s="464"/>
      <c r="G20" s="464"/>
      <c r="H20" s="464"/>
      <c r="I20" s="464"/>
      <c r="J20" s="464"/>
      <c r="K20" s="508"/>
      <c r="L20" s="169"/>
      <c r="M20" s="169"/>
      <c r="N20" s="509"/>
    </row>
    <row r="21">
      <c r="A21" s="507"/>
      <c r="B21" s="462"/>
      <c r="C21" s="461"/>
      <c r="D21" s="464"/>
      <c r="E21" s="464"/>
      <c r="F21" s="464"/>
      <c r="G21" s="464"/>
      <c r="H21" s="464"/>
      <c r="I21" s="464"/>
      <c r="J21" s="464"/>
      <c r="K21" s="464"/>
      <c r="L21" s="464"/>
      <c r="M21" s="464"/>
      <c r="N21" s="465"/>
    </row>
    <row r="22">
      <c r="A22" s="507"/>
      <c r="B22" s="461" t="s">
        <v>110</v>
      </c>
      <c r="C22" s="464"/>
      <c r="D22" s="464"/>
      <c r="E22" s="464"/>
      <c r="F22" s="464"/>
      <c r="G22" s="464"/>
      <c r="H22" s="464"/>
      <c r="I22" s="510" t="s">
        <v>111</v>
      </c>
      <c r="J22" s="511"/>
      <c r="K22" s="512"/>
      <c r="L22" s="512"/>
      <c r="M22" s="512"/>
      <c r="N22" s="513"/>
    </row>
    <row r="23" ht="31.5">
      <c r="A23" s="514"/>
      <c r="B23" s="488" t="s">
        <v>26</v>
      </c>
      <c r="C23" s="488" t="s">
        <v>101</v>
      </c>
      <c r="D23" s="488"/>
      <c r="E23" s="488" t="s">
        <v>112</v>
      </c>
      <c r="F23" s="488" t="s">
        <v>113</v>
      </c>
      <c r="G23" s="488" t="s">
        <v>114</v>
      </c>
      <c r="H23" s="482"/>
      <c r="I23" s="488" t="s">
        <v>26</v>
      </c>
      <c r="J23" s="488" t="s">
        <v>101</v>
      </c>
      <c r="K23" s="488" t="s">
        <v>115</v>
      </c>
      <c r="L23" s="488" t="s">
        <v>116</v>
      </c>
      <c r="M23" s="488" t="s">
        <v>112</v>
      </c>
      <c r="N23" s="515" t="s">
        <v>114</v>
      </c>
    </row>
    <row r="24">
      <c r="A24" s="507"/>
      <c r="B24" s="491" t="str">
        <f>A4</f>
        <v xml:space="preserve">Арапова Анна-Мария</v>
      </c>
      <c r="C24" s="491" t="str">
        <f>A2</f>
        <v xml:space="preserve">ул. Набережная Ленина, 18</v>
      </c>
      <c r="D24" s="491"/>
      <c r="E24" s="496">
        <v>0.040000000000000001</v>
      </c>
      <c r="F24" s="472">
        <f>'Арапова А. В.'!D57</f>
        <v>280692.70000000001</v>
      </c>
      <c r="G24" s="516">
        <f>F24*E24</f>
        <v>11227.708000000001</v>
      </c>
      <c r="H24" s="462"/>
      <c r="I24" s="517" t="str">
        <f>B24</f>
        <v xml:space="preserve">Арапова Анна-Мария</v>
      </c>
      <c r="J24" s="518" t="str">
        <f>C24</f>
        <v xml:space="preserve">ул. Набережная Ленина, 18</v>
      </c>
      <c r="K24" s="518">
        <f>E16</f>
        <v>225</v>
      </c>
      <c r="L24" s="519">
        <f>График!AJ31</f>
        <v>575</v>
      </c>
      <c r="M24" s="496">
        <v>0.02</v>
      </c>
      <c r="N24" s="520">
        <f>'Ялта, Ленина, 18'!D56*M24*K24/L24</f>
        <v>9808.0137391304343</v>
      </c>
    </row>
    <row r="25">
      <c r="A25" s="514"/>
      <c r="B25" s="491" t="str">
        <f>B24</f>
        <v xml:space="preserve">Арапова Анна-Мария</v>
      </c>
      <c r="C25" s="497"/>
      <c r="D25" s="497"/>
      <c r="E25" s="496"/>
      <c r="F25" s="521"/>
      <c r="G25" s="494"/>
      <c r="H25" s="482"/>
      <c r="I25" s="522"/>
      <c r="J25" s="523"/>
      <c r="K25" s="524"/>
      <c r="L25" s="525"/>
      <c r="M25" s="526"/>
      <c r="N25" s="527"/>
    </row>
    <row r="26">
      <c r="A26" s="528"/>
      <c r="B26" s="529"/>
      <c r="C26" s="529"/>
      <c r="D26" s="529"/>
      <c r="E26" s="529"/>
      <c r="F26" s="529"/>
      <c r="G26" s="529"/>
      <c r="H26" s="529"/>
      <c r="I26" s="529"/>
      <c r="J26" s="529"/>
      <c r="K26" s="529"/>
      <c r="L26" s="529"/>
      <c r="M26" s="529"/>
      <c r="N26" s="530"/>
    </row>
  </sheetData>
  <mergeCells count="18">
    <mergeCell ref="A1:D1"/>
    <mergeCell ref="A2:C2"/>
    <mergeCell ref="A3:C3"/>
    <mergeCell ref="A4:C4"/>
    <mergeCell ref="D7:E7"/>
    <mergeCell ref="H7:I7"/>
    <mergeCell ref="J7:K7"/>
    <mergeCell ref="D8:E8"/>
    <mergeCell ref="H8:I8"/>
    <mergeCell ref="J8:K8"/>
    <mergeCell ref="D9:E9"/>
    <mergeCell ref="H9:I9"/>
    <mergeCell ref="J9:K9"/>
    <mergeCell ref="D10:E10"/>
    <mergeCell ref="J14:K14"/>
    <mergeCell ref="C23:D23"/>
    <mergeCell ref="C24:D24"/>
    <mergeCell ref="C25:D25"/>
  </mergeCells>
  <printOptions headings="0" gridLines="0"/>
  <pageMargins left="0.69999999999999996" right="0.69999999999999996" top="0.75" bottom="0.75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1" workbookViewId="0">
      <selection activeCell="B9" activeCellId="0" sqref="B9:E9"/>
    </sheetView>
  </sheetViews>
  <sheetFormatPr baseColWidth="10" defaultColWidth="11.5" defaultRowHeight="14.25"/>
  <cols>
    <col customWidth="1" min="1" max="1" style="3" width="2.33203125"/>
    <col customWidth="1" min="2" max="2" style="3" width="17.1640625"/>
    <col customWidth="1" min="3" max="3" style="3" width="19.33203125"/>
    <col min="4" max="4" style="3" width="11.5"/>
    <col customWidth="1" min="5" max="5" style="3" width="12"/>
    <col customWidth="1" min="6" max="6" style="3" width="12.1640625"/>
    <col min="7" max="7" style="3" width="11.5"/>
    <col customWidth="1" min="8" max="8" style="3" width="11.6640625"/>
    <col customWidth="1" min="9" max="9" style="3" width="17.33203125"/>
    <col customWidth="1" min="10" max="10" style="3" width="14"/>
    <col customWidth="1" min="11" max="11" style="3" width="13.6640625"/>
    <col min="12" max="12" style="3" width="11.5"/>
    <col customWidth="1" min="13" max="14" style="3" width="13.33203125"/>
  </cols>
  <sheetData>
    <row r="1" ht="20" customHeight="1">
      <c r="A1" s="424" t="str">
        <f>График!B1</f>
        <v xml:space="preserve">Декабрь, 2025</v>
      </c>
      <c r="B1" s="425"/>
      <c r="C1" s="425"/>
      <c r="D1" s="426"/>
      <c r="E1" s="427"/>
      <c r="F1" s="428"/>
      <c r="G1" s="428"/>
      <c r="H1" s="428"/>
      <c r="I1" s="428"/>
      <c r="J1" s="428"/>
      <c r="K1" s="428"/>
      <c r="L1" s="428"/>
      <c r="M1" s="428"/>
      <c r="N1" s="429"/>
    </row>
    <row r="2" ht="18" customHeight="1">
      <c r="A2" s="430" t="str">
        <f>График!B3</f>
        <v xml:space="preserve">ул. Набережная Ленина, 18</v>
      </c>
      <c r="B2" s="431"/>
      <c r="C2" s="431"/>
      <c r="D2" s="432" t="str">
        <f>График!B4</f>
        <v>GL-0005</v>
      </c>
      <c r="E2" s="553"/>
      <c r="F2" s="434"/>
      <c r="G2" s="434"/>
      <c r="H2" s="434"/>
      <c r="I2" s="434"/>
      <c r="J2" s="434"/>
      <c r="K2" s="554"/>
      <c r="L2" s="554"/>
      <c r="M2" s="434"/>
      <c r="N2" s="555"/>
    </row>
    <row r="3" ht="63.75">
      <c r="A3" s="556" t="s">
        <v>26</v>
      </c>
      <c r="B3" s="557"/>
      <c r="C3" s="557"/>
      <c r="D3" s="557" t="s">
        <v>82</v>
      </c>
      <c r="E3" s="558" t="s">
        <v>83</v>
      </c>
      <c r="F3" s="445" t="s">
        <v>84</v>
      </c>
      <c r="G3" s="439" t="s">
        <v>85</v>
      </c>
      <c r="H3" s="440" t="s">
        <v>86</v>
      </c>
      <c r="I3" s="441" t="s">
        <v>87</v>
      </c>
      <c r="J3" s="442" t="s">
        <v>88</v>
      </c>
      <c r="K3" s="556" t="s">
        <v>67</v>
      </c>
      <c r="L3" s="557" t="s">
        <v>89</v>
      </c>
      <c r="M3" s="445" t="s">
        <v>90</v>
      </c>
      <c r="N3" s="559" t="s">
        <v>91</v>
      </c>
    </row>
    <row r="4" ht="20" customHeight="1">
      <c r="A4" s="560" t="str">
        <f>График!B28</f>
        <v xml:space="preserve">Уразгильдеева Екатерина</v>
      </c>
      <c r="B4" s="561"/>
      <c r="C4" s="561"/>
      <c r="D4" s="562">
        <f>17400*2</f>
        <v>34800</v>
      </c>
      <c r="E4" s="563">
        <v>7000</v>
      </c>
      <c r="F4" s="541">
        <f>H8+H9</f>
        <v>0</v>
      </c>
      <c r="G4" s="542">
        <f>D12</f>
        <v>24500</v>
      </c>
      <c r="H4" s="543">
        <f>D19</f>
        <v>24806.880000000001</v>
      </c>
      <c r="I4" s="544">
        <f>L19</f>
        <v>10679.837182608695</v>
      </c>
      <c r="J4" s="564">
        <f>L12</f>
        <v>0</v>
      </c>
      <c r="K4" s="565">
        <f>H4+J4+G4+F4+I4</f>
        <v>59986.7171826087</v>
      </c>
      <c r="L4" s="566">
        <f>C8+C9+C10</f>
        <v>6710.6700000000001</v>
      </c>
      <c r="M4" s="567">
        <f>K4-L4-D4-E4</f>
        <v>11476.047182608701</v>
      </c>
      <c r="N4" s="568"/>
      <c r="S4" t="s">
        <v>117</v>
      </c>
    </row>
    <row r="5">
      <c r="A5" s="460"/>
      <c r="B5" s="461"/>
      <c r="C5" s="462"/>
      <c r="D5" s="462"/>
      <c r="E5" s="462"/>
      <c r="F5" s="462"/>
      <c r="G5" s="462"/>
      <c r="H5" s="462"/>
      <c r="I5" s="462"/>
      <c r="J5" s="462"/>
      <c r="K5" s="463"/>
      <c r="L5" s="462"/>
      <c r="M5" s="464"/>
      <c r="N5" s="465"/>
    </row>
    <row r="6">
      <c r="A6" s="460"/>
      <c r="B6" s="461" t="s">
        <v>89</v>
      </c>
      <c r="C6" s="462"/>
      <c r="D6" s="462"/>
      <c r="E6" s="462"/>
      <c r="F6" s="462"/>
      <c r="G6" s="461" t="s">
        <v>92</v>
      </c>
      <c r="H6" s="462"/>
      <c r="I6" s="462"/>
      <c r="J6" s="462"/>
      <c r="K6" s="462"/>
      <c r="L6" s="462"/>
      <c r="M6" s="464"/>
      <c r="N6" s="465"/>
    </row>
    <row r="7">
      <c r="A7" s="466"/>
      <c r="B7" s="467" t="s">
        <v>27</v>
      </c>
      <c r="C7" s="467" t="s">
        <v>93</v>
      </c>
      <c r="D7" s="467" t="s">
        <v>94</v>
      </c>
      <c r="E7" s="467"/>
      <c r="F7" s="468"/>
      <c r="G7" s="467" t="s">
        <v>27</v>
      </c>
      <c r="H7" s="467" t="s">
        <v>93</v>
      </c>
      <c r="I7" s="467"/>
      <c r="J7" s="467" t="s">
        <v>94</v>
      </c>
      <c r="K7" s="467"/>
      <c r="L7" s="468"/>
      <c r="M7" s="469"/>
      <c r="N7" s="470"/>
    </row>
    <row r="8" ht="20" customHeight="1">
      <c r="A8" s="460"/>
      <c r="B8" s="471">
        <v>46022</v>
      </c>
      <c r="C8" s="472">
        <f>40000-D4</f>
        <v>5200</v>
      </c>
      <c r="D8" s="473" t="s">
        <v>95</v>
      </c>
      <c r="E8" s="473"/>
      <c r="F8" s="462"/>
      <c r="G8" s="471"/>
      <c r="H8" s="472"/>
      <c r="I8" s="472"/>
      <c r="J8" s="473"/>
      <c r="K8" s="473"/>
      <c r="L8" s="462"/>
      <c r="M8" s="464"/>
      <c r="N8" s="465"/>
    </row>
    <row r="9" ht="23" customHeight="1">
      <c r="A9" s="460"/>
      <c r="B9" s="471">
        <v>46031</v>
      </c>
      <c r="C9" s="472">
        <v>1510.6700000000001</v>
      </c>
      <c r="D9" s="473" t="s">
        <v>97</v>
      </c>
      <c r="E9" s="473"/>
      <c r="F9" s="462"/>
      <c r="G9" s="471"/>
      <c r="H9" s="472"/>
      <c r="I9" s="472"/>
      <c r="J9" s="473"/>
      <c r="K9" s="473"/>
      <c r="L9" s="462"/>
      <c r="M9" s="464"/>
      <c r="N9" s="465"/>
    </row>
    <row r="10" ht="20" customHeight="1">
      <c r="A10" s="460"/>
      <c r="B10" s="471"/>
      <c r="C10" s="472"/>
      <c r="D10" s="473"/>
      <c r="E10" s="473"/>
      <c r="F10" s="462"/>
      <c r="G10" s="549"/>
      <c r="H10" s="550"/>
      <c r="I10" s="550"/>
      <c r="J10" s="551"/>
      <c r="K10" s="551"/>
      <c r="L10" s="462"/>
      <c r="M10" s="464"/>
      <c r="N10" s="465"/>
    </row>
    <row r="11" ht="34" customHeight="1">
      <c r="A11" s="460"/>
      <c r="B11" s="461"/>
      <c r="C11" s="462"/>
      <c r="D11" s="462"/>
      <c r="E11" s="462"/>
      <c r="F11" s="462"/>
      <c r="G11" s="462"/>
      <c r="H11" s="462"/>
      <c r="I11" s="462"/>
      <c r="J11" s="462"/>
      <c r="K11" s="462"/>
      <c r="L11" s="462"/>
      <c r="M11" s="464"/>
      <c r="N11" s="465"/>
    </row>
    <row r="12">
      <c r="A12" s="475" t="s">
        <v>99</v>
      </c>
      <c r="B12" s="476"/>
      <c r="C12" s="476"/>
      <c r="D12" s="477">
        <f>G16</f>
        <v>24500</v>
      </c>
      <c r="E12" s="478"/>
      <c r="F12" s="479"/>
      <c r="G12" s="476"/>
      <c r="H12" s="476"/>
      <c r="I12" s="480" t="s">
        <v>88</v>
      </c>
      <c r="J12" s="476"/>
      <c r="K12" s="476"/>
      <c r="L12" s="480">
        <f>L16+L17</f>
        <v>0</v>
      </c>
      <c r="M12" s="479"/>
      <c r="N12" s="481"/>
    </row>
    <row r="13">
      <c r="A13" s="460"/>
      <c r="B13" s="461"/>
      <c r="C13" s="462"/>
      <c r="D13" s="482"/>
      <c r="E13" s="482"/>
      <c r="F13" s="462"/>
      <c r="G13" s="462"/>
      <c r="H13" s="462"/>
      <c r="I13" s="462"/>
      <c r="J13" s="462"/>
      <c r="K13" s="464"/>
      <c r="L13" s="464"/>
      <c r="M13" s="464"/>
      <c r="N13" s="465"/>
    </row>
    <row r="14">
      <c r="A14" s="483"/>
      <c r="B14" s="484" t="s">
        <v>99</v>
      </c>
      <c r="C14" s="482"/>
      <c r="D14" s="482"/>
      <c r="E14" s="482"/>
      <c r="F14" s="482"/>
      <c r="G14" s="482"/>
      <c r="H14" s="482"/>
      <c r="I14" s="482"/>
      <c r="J14" s="485" t="s">
        <v>88</v>
      </c>
      <c r="K14" s="485"/>
      <c r="L14" s="486"/>
      <c r="M14" s="486"/>
      <c r="N14" s="487"/>
    </row>
    <row r="15" ht="21">
      <c r="A15" s="483"/>
      <c r="B15" s="488" t="s">
        <v>100</v>
      </c>
      <c r="C15" s="488" t="s">
        <v>101</v>
      </c>
      <c r="D15" s="488" t="s">
        <v>102</v>
      </c>
      <c r="E15" s="488" t="s">
        <v>103</v>
      </c>
      <c r="F15" s="488" t="s">
        <v>104</v>
      </c>
      <c r="G15" s="488" t="s">
        <v>105</v>
      </c>
      <c r="H15" s="482"/>
      <c r="I15" s="482"/>
      <c r="J15" s="488" t="s">
        <v>101</v>
      </c>
      <c r="K15" s="488" t="s">
        <v>106</v>
      </c>
      <c r="L15" s="488" t="s">
        <v>107</v>
      </c>
      <c r="M15" s="486"/>
      <c r="N15" s="487"/>
    </row>
    <row r="16" ht="17" customHeight="1">
      <c r="A16" s="460"/>
      <c r="B16" s="490">
        <f>График!AI28</f>
        <v>23</v>
      </c>
      <c r="C16" s="491" t="str">
        <f>A2</f>
        <v xml:space="preserve">ул. Набережная Ленина, 18</v>
      </c>
      <c r="D16" s="491" t="s">
        <v>108</v>
      </c>
      <c r="E16" s="492">
        <f>График!AJ28</f>
        <v>245</v>
      </c>
      <c r="F16" s="493">
        <v>100</v>
      </c>
      <c r="G16" s="494">
        <f>E16*F16</f>
        <v>24500</v>
      </c>
      <c r="H16" s="495"/>
      <c r="I16" s="495"/>
      <c r="J16" s="491" t="str">
        <f>График!B3</f>
        <v xml:space="preserve">ул. Набережная Ленина, 18</v>
      </c>
      <c r="K16" s="496">
        <f>'Ялта, Ленина, 18'!K8</f>
        <v>0.48094046259455742</v>
      </c>
      <c r="L16" s="493">
        <v>0</v>
      </c>
      <c r="M16" s="464"/>
      <c r="N16" s="465"/>
    </row>
    <row r="17" ht="17" customHeight="1">
      <c r="A17" s="483"/>
      <c r="B17" s="488"/>
      <c r="C17" s="497"/>
      <c r="D17" s="491"/>
      <c r="E17" s="498"/>
      <c r="F17" s="493"/>
      <c r="G17" s="494"/>
      <c r="H17" s="482"/>
      <c r="I17" s="482"/>
      <c r="J17" s="473"/>
      <c r="K17" s="499"/>
      <c r="L17" s="500"/>
      <c r="M17" s="486"/>
      <c r="N17" s="487"/>
    </row>
    <row r="18">
      <c r="A18" s="483"/>
      <c r="B18" s="482"/>
      <c r="C18" s="501"/>
      <c r="D18" s="462"/>
      <c r="E18" s="502"/>
      <c r="F18" s="502"/>
      <c r="G18" s="503"/>
      <c r="H18" s="482"/>
      <c r="I18" s="482"/>
      <c r="J18" s="482"/>
      <c r="K18" s="482"/>
      <c r="L18" s="486"/>
      <c r="M18" s="486"/>
      <c r="N18" s="487"/>
    </row>
    <row r="19">
      <c r="A19" s="475" t="s">
        <v>109</v>
      </c>
      <c r="B19" s="476"/>
      <c r="C19" s="476"/>
      <c r="D19" s="504">
        <f>G24</f>
        <v>24806.880000000001</v>
      </c>
      <c r="E19" s="505"/>
      <c r="F19" s="479"/>
      <c r="G19" s="479"/>
      <c r="H19" s="479"/>
      <c r="I19" s="476" t="s">
        <v>87</v>
      </c>
      <c r="J19" s="479"/>
      <c r="K19" s="479"/>
      <c r="L19" s="506">
        <f>N24</f>
        <v>10679.837182608695</v>
      </c>
      <c r="M19" s="479"/>
      <c r="N19" s="481"/>
    </row>
    <row r="20">
      <c r="A20" s="507"/>
      <c r="B20" s="461"/>
      <c r="C20" s="464"/>
      <c r="D20" s="464"/>
      <c r="E20" s="464"/>
      <c r="F20" s="464"/>
      <c r="G20" s="464"/>
      <c r="H20" s="464"/>
      <c r="I20" s="464"/>
      <c r="J20" s="464"/>
      <c r="K20" s="508"/>
      <c r="L20" s="169"/>
      <c r="M20" s="169"/>
      <c r="N20" s="509"/>
    </row>
    <row r="21">
      <c r="A21" s="507"/>
      <c r="B21" s="462"/>
      <c r="C21" s="461"/>
      <c r="D21" s="464"/>
      <c r="E21" s="464"/>
      <c r="F21" s="464"/>
      <c r="G21" s="464"/>
      <c r="H21" s="464"/>
      <c r="I21" s="464"/>
      <c r="J21" s="464"/>
      <c r="K21" s="464"/>
      <c r="L21" s="464"/>
      <c r="M21" s="464"/>
      <c r="N21" s="465"/>
    </row>
    <row r="22">
      <c r="A22" s="507"/>
      <c r="B22" s="461" t="s">
        <v>110</v>
      </c>
      <c r="C22" s="464"/>
      <c r="D22" s="464"/>
      <c r="E22" s="464"/>
      <c r="F22" s="464"/>
      <c r="G22" s="464"/>
      <c r="H22" s="464"/>
      <c r="I22" s="510" t="s">
        <v>111</v>
      </c>
      <c r="J22" s="511"/>
      <c r="K22" s="512"/>
      <c r="L22" s="512"/>
      <c r="M22" s="512"/>
      <c r="N22" s="513"/>
    </row>
    <row r="23" ht="31.5">
      <c r="A23" s="514"/>
      <c r="B23" s="488" t="s">
        <v>26</v>
      </c>
      <c r="C23" s="488" t="s">
        <v>101</v>
      </c>
      <c r="D23" s="488"/>
      <c r="E23" s="488" t="s">
        <v>112</v>
      </c>
      <c r="F23" s="488" t="s">
        <v>113</v>
      </c>
      <c r="G23" s="488" t="s">
        <v>114</v>
      </c>
      <c r="H23" s="482"/>
      <c r="I23" s="488" t="s">
        <v>26</v>
      </c>
      <c r="J23" s="488" t="s">
        <v>101</v>
      </c>
      <c r="K23" s="488" t="s">
        <v>115</v>
      </c>
      <c r="L23" s="488" t="s">
        <v>116</v>
      </c>
      <c r="M23" s="488" t="s">
        <v>112</v>
      </c>
      <c r="N23" s="515" t="s">
        <v>114</v>
      </c>
    </row>
    <row r="24" ht="17" customHeight="1">
      <c r="A24" s="507"/>
      <c r="B24" s="491" t="str">
        <f>A4</f>
        <v xml:space="preserve">Уразгильдеева Екатерина</v>
      </c>
      <c r="C24" s="491" t="str">
        <f>A2</f>
        <v xml:space="preserve">ул. Набережная Ленина, 18</v>
      </c>
      <c r="D24" s="491"/>
      <c r="E24" s="496">
        <v>0.040000000000000001</v>
      </c>
      <c r="F24" s="472">
        <f>'Уразгильдеева Е. Р. '!J8</f>
        <v>620172</v>
      </c>
      <c r="G24" s="516">
        <f>F24*E24</f>
        <v>24806.880000000001</v>
      </c>
      <c r="H24" s="462"/>
      <c r="I24" s="517" t="str">
        <f>B24</f>
        <v xml:space="preserve">Уразгильдеева Екатерина</v>
      </c>
      <c r="J24" s="518" t="str">
        <f>C24</f>
        <v xml:space="preserve">ул. Набережная Ленина, 18</v>
      </c>
      <c r="K24" s="518">
        <f>E16</f>
        <v>245</v>
      </c>
      <c r="L24" s="519">
        <f>График!AJ31</f>
        <v>575</v>
      </c>
      <c r="M24" s="496">
        <v>0.02</v>
      </c>
      <c r="N24" s="520">
        <f>'Ялта, Ленина, 18'!J8*M24*K24/L24</f>
        <v>10679.837182608695</v>
      </c>
    </row>
    <row r="25" ht="17" customHeight="1">
      <c r="A25" s="514"/>
      <c r="B25" s="491" t="str">
        <f>B24</f>
        <v xml:space="preserve">Уразгильдеева Екатерина</v>
      </c>
      <c r="C25" s="497"/>
      <c r="D25" s="497"/>
      <c r="E25" s="496"/>
      <c r="F25" s="521"/>
      <c r="G25" s="494"/>
      <c r="H25" s="482"/>
      <c r="I25" s="522"/>
      <c r="J25" s="523"/>
      <c r="K25" s="524"/>
      <c r="L25" s="525"/>
      <c r="M25" s="526"/>
      <c r="N25" s="527" t="e">
        <f>1477363.14*M25*K25/L25</f>
        <v>#DIV/0!</v>
      </c>
    </row>
    <row r="26">
      <c r="A26" s="528"/>
      <c r="B26" s="529"/>
      <c r="C26" s="529"/>
      <c r="D26" s="529"/>
      <c r="E26" s="529"/>
      <c r="F26" s="529"/>
      <c r="G26" s="529"/>
      <c r="H26" s="529"/>
      <c r="I26" s="529"/>
      <c r="J26" s="529"/>
      <c r="K26" s="529"/>
      <c r="L26" s="529"/>
      <c r="M26" s="529"/>
      <c r="N26" s="530"/>
    </row>
  </sheetData>
  <mergeCells count="18">
    <mergeCell ref="A1:D1"/>
    <mergeCell ref="A2:C2"/>
    <mergeCell ref="A3:C3"/>
    <mergeCell ref="A4:C4"/>
    <mergeCell ref="D7:E7"/>
    <mergeCell ref="H7:I7"/>
    <mergeCell ref="J7:K7"/>
    <mergeCell ref="D8:E8"/>
    <mergeCell ref="H8:I8"/>
    <mergeCell ref="J8:K8"/>
    <mergeCell ref="D9:E9"/>
    <mergeCell ref="H9:I9"/>
    <mergeCell ref="J9:K9"/>
    <mergeCell ref="D10:E10"/>
    <mergeCell ref="J14:K14"/>
    <mergeCell ref="C23:D23"/>
    <mergeCell ref="C24:D24"/>
    <mergeCell ref="C25:D25"/>
  </mergeCells>
  <printOptions headings="0" gridLines="0"/>
  <pageMargins left="0.69999999999999996" right="0.69999999999999996" top="0.75" bottom="0.75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83" workbookViewId="0">
      <selection activeCell="B2" activeCellId="0" sqref="B2"/>
    </sheetView>
  </sheetViews>
  <sheetFormatPr baseColWidth="10" defaultColWidth="11.5" defaultRowHeight="14.25"/>
  <cols>
    <col customWidth="1" min="1" max="1" style="3" width="4.83203125"/>
    <col customWidth="1" min="2" max="2" style="3" width="26.6640625"/>
    <col customWidth="1" min="3" max="3" style="3" width="17"/>
    <col customWidth="1" min="4" max="34" style="3" width="6.33203125"/>
    <col customWidth="1" min="35" max="35" style="3" width="4.83203125"/>
    <col customWidth="1" min="36" max="36" style="3" width="11.1640625"/>
    <col customWidth="1" min="37" max="40" style="3" width="6.33203125"/>
    <col min="41" max="16384" style="3" width="11.5"/>
  </cols>
  <sheetData>
    <row r="1">
      <c r="A1" s="569"/>
      <c r="B1" s="570" t="s">
        <v>118</v>
      </c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 t="s">
        <v>79</v>
      </c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</row>
    <row r="2" ht="15">
      <c r="A2" s="569"/>
      <c r="B2" s="572" t="s">
        <v>119</v>
      </c>
      <c r="C2" s="573" t="s">
        <v>120</v>
      </c>
      <c r="D2" s="574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75"/>
      <c r="S2" s="575"/>
      <c r="T2" s="575"/>
      <c r="U2" s="575"/>
      <c r="V2" s="575"/>
      <c r="W2" s="575"/>
      <c r="X2" s="575"/>
      <c r="Y2" s="575"/>
      <c r="Z2" s="575"/>
      <c r="AA2" s="575"/>
      <c r="AB2" s="575"/>
      <c r="AC2" s="575"/>
      <c r="AD2" s="575"/>
      <c r="AE2" s="575"/>
      <c r="AF2" s="575"/>
      <c r="AG2" s="575"/>
      <c r="AH2" s="575"/>
      <c r="AI2" s="575"/>
      <c r="AJ2" s="575"/>
      <c r="AK2" s="575"/>
      <c r="AL2" s="575"/>
      <c r="AM2" s="575"/>
      <c r="AN2" s="575"/>
    </row>
    <row r="3" ht="15">
      <c r="A3" s="569"/>
      <c r="B3" s="576" t="s">
        <v>121</v>
      </c>
      <c r="C3" s="577"/>
      <c r="D3" s="577"/>
      <c r="E3" s="578"/>
      <c r="F3" s="578"/>
      <c r="G3" s="578"/>
      <c r="H3" s="578"/>
      <c r="I3" s="578"/>
      <c r="J3" s="578"/>
      <c r="K3" s="575"/>
      <c r="L3" s="575"/>
      <c r="M3" s="575"/>
      <c r="N3" s="575"/>
      <c r="O3" s="575"/>
      <c r="P3" s="575"/>
      <c r="Q3" s="575"/>
      <c r="R3" s="575"/>
      <c r="S3" s="575"/>
      <c r="T3" s="575"/>
      <c r="U3" s="575"/>
      <c r="V3" s="575"/>
      <c r="W3" s="575"/>
      <c r="X3" s="575"/>
      <c r="Y3" s="575"/>
      <c r="Z3" s="575"/>
      <c r="AA3" s="575"/>
      <c r="AB3" s="575"/>
      <c r="AC3" s="575"/>
      <c r="AD3" s="575"/>
      <c r="AE3" s="575"/>
      <c r="AF3" s="575"/>
      <c r="AG3" s="575"/>
      <c r="AH3" s="575"/>
      <c r="AI3" s="575"/>
      <c r="AJ3" s="575"/>
      <c r="AK3" s="575"/>
      <c r="AL3" s="575"/>
      <c r="AM3" s="575"/>
      <c r="AN3" s="575"/>
    </row>
    <row r="4" ht="16.5">
      <c r="A4" s="569"/>
      <c r="B4" s="579" t="s">
        <v>122</v>
      </c>
      <c r="C4" s="574"/>
      <c r="D4" s="574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575"/>
      <c r="T4" s="575"/>
      <c r="U4" s="575"/>
      <c r="V4" s="575"/>
      <c r="W4" s="575"/>
      <c r="X4" s="575"/>
      <c r="Y4" s="575"/>
      <c r="Z4" s="575"/>
      <c r="AA4" s="575"/>
      <c r="AB4" s="575"/>
      <c r="AC4" s="575"/>
      <c r="AD4" s="575"/>
      <c r="AE4" s="575"/>
      <c r="AF4" s="575"/>
      <c r="AG4" s="575"/>
      <c r="AH4" s="575"/>
      <c r="AI4" s="575"/>
      <c r="AJ4" s="575"/>
      <c r="AK4" s="575"/>
      <c r="AL4" s="575"/>
      <c r="AM4" s="575"/>
      <c r="AN4" s="575"/>
    </row>
    <row r="5" ht="15">
      <c r="A5" s="569"/>
      <c r="B5" s="580" t="s">
        <v>123</v>
      </c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575"/>
      <c r="N5" s="575"/>
      <c r="O5" s="575"/>
      <c r="P5" s="575"/>
      <c r="Q5" s="575"/>
      <c r="R5" s="575"/>
      <c r="S5" s="575"/>
      <c r="T5" s="575"/>
      <c r="U5" s="575"/>
      <c r="V5" s="575"/>
      <c r="W5" s="575"/>
      <c r="X5" s="575"/>
      <c r="Y5" s="575"/>
      <c r="Z5" s="575"/>
      <c r="AA5" s="575"/>
      <c r="AB5" s="575"/>
      <c r="AC5" s="575"/>
      <c r="AD5" s="575"/>
      <c r="AE5" s="575"/>
      <c r="AF5" s="575"/>
      <c r="AG5" s="575"/>
      <c r="AH5" s="575"/>
      <c r="AI5" s="575"/>
      <c r="AJ5" s="581"/>
      <c r="AK5" s="582"/>
      <c r="AL5" s="583"/>
      <c r="AM5" s="584"/>
      <c r="AN5" s="585"/>
    </row>
    <row r="6">
      <c r="A6" s="569"/>
      <c r="B6" s="586" t="s">
        <v>124</v>
      </c>
      <c r="C6" s="587" t="s">
        <v>125</v>
      </c>
      <c r="D6" s="588"/>
      <c r="E6" s="588"/>
      <c r="F6" s="588"/>
      <c r="G6" s="588"/>
      <c r="H6" s="588"/>
      <c r="I6" s="588"/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9"/>
      <c r="AK6" s="590">
        <v>30</v>
      </c>
      <c r="AL6" s="591"/>
      <c r="AM6" s="591"/>
      <c r="AN6" s="591"/>
    </row>
    <row r="7">
      <c r="A7" s="592"/>
      <c r="B7" s="593" t="e">
        <f>BT31*100/BH31</f>
        <v>#DIV/0!</v>
      </c>
      <c r="C7" s="587"/>
      <c r="D7" s="588"/>
      <c r="E7" s="588"/>
      <c r="F7" s="588"/>
      <c r="G7" s="588"/>
      <c r="H7" s="588"/>
      <c r="I7" s="588"/>
      <c r="J7" s="588"/>
      <c r="K7" s="588"/>
      <c r="L7" s="588"/>
      <c r="M7" s="588"/>
      <c r="N7" s="588"/>
      <c r="O7" s="588"/>
      <c r="P7" s="588"/>
      <c r="Q7" s="588"/>
      <c r="R7" s="588"/>
      <c r="S7" s="588"/>
      <c r="T7" s="588"/>
      <c r="U7" s="588"/>
      <c r="V7" s="588"/>
      <c r="W7" s="588"/>
      <c r="X7" s="588"/>
      <c r="Y7" s="588"/>
      <c r="Z7" s="588"/>
      <c r="AA7" s="588"/>
      <c r="AB7" s="588"/>
      <c r="AC7" s="588"/>
      <c r="AD7" s="588"/>
      <c r="AE7" s="588"/>
      <c r="AF7" s="588"/>
      <c r="AG7" s="588"/>
      <c r="AH7" s="588"/>
      <c r="AI7" s="588"/>
      <c r="AJ7" s="589"/>
      <c r="AK7" s="594"/>
      <c r="AL7" s="594"/>
      <c r="AM7" s="595"/>
      <c r="AN7" s="595"/>
    </row>
    <row r="8" ht="25.5">
      <c r="A8" s="596"/>
      <c r="B8" s="597"/>
      <c r="C8" s="598"/>
      <c r="D8" s="599" t="s">
        <v>50</v>
      </c>
      <c r="E8" s="599" t="s">
        <v>52</v>
      </c>
      <c r="F8" s="599" t="s">
        <v>53</v>
      </c>
      <c r="G8" s="599" t="s">
        <v>54</v>
      </c>
      <c r="H8" s="599" t="s">
        <v>55</v>
      </c>
      <c r="I8" s="599" t="s">
        <v>56</v>
      </c>
      <c r="J8" s="599" t="s">
        <v>57</v>
      </c>
      <c r="K8" s="599" t="s">
        <v>50</v>
      </c>
      <c r="L8" s="599" t="s">
        <v>52</v>
      </c>
      <c r="M8" s="599" t="s">
        <v>53</v>
      </c>
      <c r="N8" s="599" t="s">
        <v>54</v>
      </c>
      <c r="O8" s="599" t="s">
        <v>55</v>
      </c>
      <c r="P8" s="599" t="s">
        <v>56</v>
      </c>
      <c r="Q8" s="599" t="s">
        <v>57</v>
      </c>
      <c r="R8" s="599" t="s">
        <v>50</v>
      </c>
      <c r="S8" s="599" t="s">
        <v>52</v>
      </c>
      <c r="T8" s="599" t="s">
        <v>53</v>
      </c>
      <c r="U8" s="599" t="s">
        <v>54</v>
      </c>
      <c r="V8" s="599" t="s">
        <v>55</v>
      </c>
      <c r="W8" s="599" t="s">
        <v>56</v>
      </c>
      <c r="X8" s="599" t="s">
        <v>57</v>
      </c>
      <c r="Y8" s="599" t="s">
        <v>50</v>
      </c>
      <c r="Z8" s="599" t="s">
        <v>52</v>
      </c>
      <c r="AA8" s="599" t="s">
        <v>53</v>
      </c>
      <c r="AB8" s="599" t="s">
        <v>54</v>
      </c>
      <c r="AC8" s="599" t="s">
        <v>55</v>
      </c>
      <c r="AD8" s="599" t="s">
        <v>56</v>
      </c>
      <c r="AE8" s="599" t="s">
        <v>57</v>
      </c>
      <c r="AF8" s="599" t="s">
        <v>50</v>
      </c>
      <c r="AG8" s="599" t="s">
        <v>52</v>
      </c>
      <c r="AH8" s="599" t="s">
        <v>53</v>
      </c>
      <c r="AI8" s="600"/>
      <c r="AJ8" s="601" t="s">
        <v>126</v>
      </c>
      <c r="AK8" s="601" t="s">
        <v>127</v>
      </c>
      <c r="AL8" s="601" t="s">
        <v>128</v>
      </c>
      <c r="AM8" s="601" t="s">
        <v>129</v>
      </c>
      <c r="AN8" s="602" t="s">
        <v>130</v>
      </c>
    </row>
    <row r="9">
      <c r="A9" s="569"/>
      <c r="B9" s="575"/>
      <c r="C9" s="603"/>
      <c r="D9" s="604"/>
      <c r="E9" s="604"/>
      <c r="F9" s="604"/>
      <c r="G9" s="604"/>
      <c r="H9" s="604"/>
      <c r="I9" s="604"/>
      <c r="J9" s="604"/>
      <c r="K9" s="604"/>
      <c r="L9" s="604"/>
      <c r="M9" s="604"/>
      <c r="N9" s="604"/>
      <c r="O9" s="604"/>
      <c r="P9" s="604"/>
      <c r="Q9" s="604"/>
      <c r="R9" s="604"/>
      <c r="S9" s="604"/>
      <c r="T9" s="604"/>
      <c r="U9" s="604"/>
      <c r="V9" s="604"/>
      <c r="W9" s="604"/>
      <c r="X9" s="604"/>
      <c r="Y9" s="604"/>
      <c r="Z9" s="604"/>
      <c r="AA9" s="604"/>
      <c r="AB9" s="604"/>
      <c r="AC9" s="604"/>
      <c r="AD9" s="604"/>
      <c r="AE9" s="604"/>
      <c r="AF9" s="604"/>
      <c r="AG9" s="604"/>
      <c r="AH9" s="604"/>
      <c r="AI9" s="605"/>
      <c r="AJ9" s="606"/>
      <c r="AK9" s="606"/>
      <c r="AL9" s="607"/>
      <c r="AM9" s="607"/>
      <c r="AN9" s="608"/>
    </row>
    <row r="10">
      <c r="A10" s="609" t="s">
        <v>131</v>
      </c>
      <c r="B10" s="610" t="s">
        <v>132</v>
      </c>
      <c r="C10" s="611" t="s">
        <v>102</v>
      </c>
      <c r="D10" s="612">
        <v>1</v>
      </c>
      <c r="E10" s="612">
        <v>2</v>
      </c>
      <c r="F10" s="612">
        <v>3</v>
      </c>
      <c r="G10" s="612">
        <v>4</v>
      </c>
      <c r="H10" s="612">
        <v>5</v>
      </c>
      <c r="I10" s="612">
        <v>6</v>
      </c>
      <c r="J10" s="612">
        <v>7</v>
      </c>
      <c r="K10" s="612">
        <v>8</v>
      </c>
      <c r="L10" s="612">
        <v>9</v>
      </c>
      <c r="M10" s="612">
        <v>10</v>
      </c>
      <c r="N10" s="612">
        <v>11</v>
      </c>
      <c r="O10" s="612">
        <v>12</v>
      </c>
      <c r="P10" s="612">
        <v>13</v>
      </c>
      <c r="Q10" s="612">
        <v>14</v>
      </c>
      <c r="R10" s="612">
        <v>15</v>
      </c>
      <c r="S10" s="612">
        <v>16</v>
      </c>
      <c r="T10" s="612">
        <v>17</v>
      </c>
      <c r="U10" s="612">
        <v>18</v>
      </c>
      <c r="V10" s="612">
        <v>19</v>
      </c>
      <c r="W10" s="612">
        <v>20</v>
      </c>
      <c r="X10" s="612">
        <v>21</v>
      </c>
      <c r="Y10" s="612">
        <v>22</v>
      </c>
      <c r="Z10" s="612">
        <v>23</v>
      </c>
      <c r="AA10" s="612">
        <v>24</v>
      </c>
      <c r="AB10" s="612">
        <v>25</v>
      </c>
      <c r="AC10" s="612">
        <v>26</v>
      </c>
      <c r="AD10" s="612">
        <v>27</v>
      </c>
      <c r="AE10" s="612">
        <v>28</v>
      </c>
      <c r="AF10" s="612">
        <v>29</v>
      </c>
      <c r="AG10" s="612">
        <v>30</v>
      </c>
      <c r="AH10" s="612">
        <v>31</v>
      </c>
      <c r="AI10" s="613" t="s">
        <v>133</v>
      </c>
      <c r="AJ10" s="614"/>
      <c r="AK10" s="615"/>
      <c r="AL10" s="616"/>
      <c r="AM10" s="617"/>
      <c r="AN10" s="618"/>
    </row>
    <row r="11">
      <c r="A11" s="619">
        <v>20</v>
      </c>
      <c r="B11" s="620"/>
      <c r="C11" s="621"/>
      <c r="D11" s="621"/>
      <c r="E11" s="621"/>
      <c r="F11" s="621"/>
      <c r="G11" s="621"/>
      <c r="H11" s="621"/>
      <c r="I11" s="621"/>
      <c r="J11" s="621"/>
      <c r="K11" s="621"/>
      <c r="L11" s="621"/>
      <c r="M11" s="621"/>
      <c r="N11" s="621"/>
      <c r="O11" s="621"/>
      <c r="P11" s="621"/>
      <c r="Q11" s="621"/>
      <c r="R11" s="621"/>
      <c r="S11" s="621"/>
      <c r="T11" s="621"/>
      <c r="U11" s="621"/>
      <c r="V11" s="621"/>
      <c r="W11" s="621"/>
      <c r="X11" s="621"/>
      <c r="Y11" s="621"/>
      <c r="Z11" s="622"/>
      <c r="AA11" s="622"/>
      <c r="AB11" s="622"/>
      <c r="AC11" s="622"/>
      <c r="AD11" s="622"/>
      <c r="AE11" s="622"/>
      <c r="AF11" s="621"/>
      <c r="AG11" s="621"/>
      <c r="AH11" s="623"/>
      <c r="AI11" s="624">
        <v>0</v>
      </c>
      <c r="AJ11" s="625">
        <v>0</v>
      </c>
      <c r="AK11" s="626">
        <v>0</v>
      </c>
      <c r="AL11" s="626">
        <v>0</v>
      </c>
      <c r="AM11" s="626">
        <v>0</v>
      </c>
      <c r="AN11" s="627">
        <v>0</v>
      </c>
    </row>
    <row r="12">
      <c r="A12" s="628">
        <v>19</v>
      </c>
      <c r="B12" s="629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630"/>
      <c r="O12" s="630"/>
      <c r="P12" s="630"/>
      <c r="Q12" s="630"/>
      <c r="R12" s="630"/>
      <c r="S12" s="630"/>
      <c r="T12" s="630"/>
      <c r="U12" s="630"/>
      <c r="V12" s="630"/>
      <c r="W12" s="630"/>
      <c r="X12" s="630"/>
      <c r="Y12" s="630"/>
      <c r="Z12" s="631"/>
      <c r="AA12" s="631"/>
      <c r="AB12" s="631"/>
      <c r="AC12" s="631"/>
      <c r="AD12" s="631"/>
      <c r="AE12" s="631"/>
      <c r="AF12" s="630"/>
      <c r="AG12" s="630"/>
      <c r="AH12" s="632"/>
      <c r="AI12" s="633">
        <v>0</v>
      </c>
      <c r="AJ12" s="634">
        <v>0</v>
      </c>
      <c r="AK12" s="635">
        <v>0</v>
      </c>
      <c r="AL12" s="635">
        <v>0</v>
      </c>
      <c r="AM12" s="635">
        <v>0</v>
      </c>
      <c r="AN12" s="636">
        <v>0</v>
      </c>
    </row>
    <row r="13">
      <c r="A13" s="628">
        <v>18</v>
      </c>
      <c r="B13" s="629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0"/>
      <c r="N13" s="630"/>
      <c r="O13" s="630"/>
      <c r="P13" s="630"/>
      <c r="Q13" s="630"/>
      <c r="R13" s="630"/>
      <c r="S13" s="630"/>
      <c r="T13" s="630"/>
      <c r="U13" s="630"/>
      <c r="V13" s="630"/>
      <c r="W13" s="630"/>
      <c r="X13" s="630"/>
      <c r="Y13" s="630"/>
      <c r="Z13" s="631"/>
      <c r="AA13" s="631"/>
      <c r="AB13" s="631"/>
      <c r="AC13" s="631"/>
      <c r="AD13" s="631"/>
      <c r="AE13" s="631"/>
      <c r="AF13" s="630"/>
      <c r="AG13" s="630"/>
      <c r="AH13" s="632"/>
      <c r="AI13" s="633">
        <v>0</v>
      </c>
      <c r="AJ13" s="625">
        <v>0</v>
      </c>
      <c r="AK13" s="626">
        <v>0</v>
      </c>
      <c r="AL13" s="626">
        <v>0</v>
      </c>
      <c r="AM13" s="626">
        <v>0</v>
      </c>
      <c r="AN13" s="627">
        <v>0</v>
      </c>
    </row>
    <row r="14">
      <c r="A14" s="628">
        <v>17</v>
      </c>
      <c r="B14" s="629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0"/>
      <c r="S14" s="630"/>
      <c r="T14" s="630"/>
      <c r="U14" s="630"/>
      <c r="V14" s="630"/>
      <c r="W14" s="630"/>
      <c r="X14" s="630"/>
      <c r="Y14" s="630"/>
      <c r="Z14" s="630"/>
      <c r="AA14" s="630"/>
      <c r="AB14" s="630"/>
      <c r="AC14" s="630"/>
      <c r="AD14" s="630"/>
      <c r="AE14" s="630"/>
      <c r="AF14" s="630"/>
      <c r="AG14" s="630"/>
      <c r="AH14" s="632"/>
      <c r="AI14" s="633">
        <v>0</v>
      </c>
      <c r="AJ14" s="634">
        <v>0</v>
      </c>
      <c r="AK14" s="635">
        <v>0</v>
      </c>
      <c r="AL14" s="635">
        <v>0</v>
      </c>
      <c r="AM14" s="635">
        <v>0</v>
      </c>
      <c r="AN14" s="636">
        <v>0</v>
      </c>
    </row>
    <row r="15">
      <c r="A15" s="628">
        <v>16</v>
      </c>
      <c r="B15" s="629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0"/>
      <c r="S15" s="630"/>
      <c r="T15" s="637"/>
      <c r="U15" s="630"/>
      <c r="V15" s="630"/>
      <c r="W15" s="630"/>
      <c r="X15" s="630"/>
      <c r="Y15" s="630"/>
      <c r="Z15" s="630"/>
      <c r="AA15" s="630"/>
      <c r="AB15" s="630"/>
      <c r="AC15" s="630"/>
      <c r="AD15" s="630"/>
      <c r="AE15" s="630"/>
      <c r="AF15" s="630"/>
      <c r="AG15" s="630"/>
      <c r="AH15" s="632"/>
      <c r="AI15" s="633">
        <v>0</v>
      </c>
      <c r="AJ15" s="625">
        <v>0</v>
      </c>
      <c r="AK15" s="626">
        <v>0</v>
      </c>
      <c r="AL15" s="626">
        <v>0</v>
      </c>
      <c r="AM15" s="626">
        <v>0</v>
      </c>
      <c r="AN15" s="627">
        <v>0</v>
      </c>
    </row>
    <row r="16">
      <c r="A16" s="628">
        <v>15</v>
      </c>
      <c r="B16" s="629"/>
      <c r="C16" s="630"/>
      <c r="D16" s="630"/>
      <c r="E16" s="630"/>
      <c r="F16" s="630"/>
      <c r="G16" s="630"/>
      <c r="H16" s="630"/>
      <c r="I16" s="630"/>
      <c r="J16" s="630"/>
      <c r="K16" s="630"/>
      <c r="L16" s="63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630"/>
      <c r="AD16" s="630"/>
      <c r="AE16" s="630"/>
      <c r="AF16" s="630"/>
      <c r="AG16" s="630"/>
      <c r="AH16" s="632"/>
      <c r="AI16" s="633">
        <v>0</v>
      </c>
      <c r="AJ16" s="634">
        <v>0</v>
      </c>
      <c r="AK16" s="635">
        <v>0</v>
      </c>
      <c r="AL16" s="635">
        <v>0</v>
      </c>
      <c r="AM16" s="635">
        <v>0</v>
      </c>
      <c r="AN16" s="636">
        <v>0</v>
      </c>
    </row>
    <row r="17">
      <c r="A17" s="628">
        <v>14</v>
      </c>
      <c r="B17" s="629"/>
      <c r="C17" s="630"/>
      <c r="D17" s="630"/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0"/>
      <c r="P17" s="630"/>
      <c r="Q17" s="630"/>
      <c r="R17" s="630"/>
      <c r="S17" s="630"/>
      <c r="T17" s="630"/>
      <c r="U17" s="630"/>
      <c r="V17" s="630"/>
      <c r="W17" s="630"/>
      <c r="X17" s="630"/>
      <c r="Y17" s="630"/>
      <c r="Z17" s="630"/>
      <c r="AA17" s="630"/>
      <c r="AB17" s="630"/>
      <c r="AC17" s="630"/>
      <c r="AD17" s="630"/>
      <c r="AE17" s="630"/>
      <c r="AF17" s="630"/>
      <c r="AG17" s="630"/>
      <c r="AH17" s="632"/>
      <c r="AI17" s="633">
        <v>0</v>
      </c>
      <c r="AJ17" s="634">
        <v>0</v>
      </c>
      <c r="AK17" s="635">
        <v>0</v>
      </c>
      <c r="AL17" s="635">
        <v>0</v>
      </c>
      <c r="AM17" s="635">
        <v>0</v>
      </c>
      <c r="AN17" s="636">
        <v>0</v>
      </c>
    </row>
    <row r="18">
      <c r="A18" s="628">
        <v>13</v>
      </c>
      <c r="B18" s="629"/>
      <c r="C18" s="630"/>
      <c r="D18" s="630"/>
      <c r="E18" s="630"/>
      <c r="F18" s="630"/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0"/>
      <c r="S18" s="630"/>
      <c r="T18" s="630"/>
      <c r="U18" s="630"/>
      <c r="V18" s="630"/>
      <c r="W18" s="630"/>
      <c r="X18" s="630"/>
      <c r="Y18" s="630"/>
      <c r="Z18" s="630"/>
      <c r="AA18" s="630"/>
      <c r="AB18" s="630"/>
      <c r="AC18" s="630"/>
      <c r="AD18" s="630"/>
      <c r="AE18" s="630"/>
      <c r="AF18" s="630"/>
      <c r="AG18" s="630"/>
      <c r="AH18" s="632"/>
      <c r="AI18" s="633">
        <v>0</v>
      </c>
      <c r="AJ18" s="634">
        <v>0</v>
      </c>
      <c r="AK18" s="635">
        <v>0</v>
      </c>
      <c r="AL18" s="635">
        <v>0</v>
      </c>
      <c r="AM18" s="635">
        <v>0</v>
      </c>
      <c r="AN18" s="636">
        <v>0</v>
      </c>
    </row>
    <row r="19">
      <c r="A19" s="628">
        <v>12</v>
      </c>
      <c r="B19" s="629"/>
      <c r="C19" s="630"/>
      <c r="D19" s="630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0"/>
      <c r="Q19" s="630"/>
      <c r="R19" s="630"/>
      <c r="S19" s="630"/>
      <c r="T19" s="630"/>
      <c r="U19" s="630"/>
      <c r="V19" s="630"/>
      <c r="W19" s="630"/>
      <c r="X19" s="630"/>
      <c r="Y19" s="630"/>
      <c r="Z19" s="630"/>
      <c r="AA19" s="630"/>
      <c r="AB19" s="630"/>
      <c r="AC19" s="630"/>
      <c r="AD19" s="630"/>
      <c r="AE19" s="630"/>
      <c r="AF19" s="630"/>
      <c r="AG19" s="630"/>
      <c r="AH19" s="632"/>
      <c r="AI19" s="633">
        <v>0</v>
      </c>
      <c r="AJ19" s="634">
        <v>0</v>
      </c>
      <c r="AK19" s="635">
        <v>0</v>
      </c>
      <c r="AL19" s="635">
        <v>0</v>
      </c>
      <c r="AM19" s="635">
        <v>0</v>
      </c>
      <c r="AN19" s="636">
        <v>0</v>
      </c>
    </row>
    <row r="20">
      <c r="A20" s="628">
        <v>11</v>
      </c>
      <c r="B20" s="629"/>
      <c r="C20" s="630"/>
      <c r="D20" s="630"/>
      <c r="E20" s="630"/>
      <c r="F20" s="630"/>
      <c r="G20" s="630"/>
      <c r="H20" s="630"/>
      <c r="I20" s="630"/>
      <c r="J20" s="630"/>
      <c r="K20" s="630"/>
      <c r="L20" s="63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630"/>
      <c r="AD20" s="630"/>
      <c r="AE20" s="630"/>
      <c r="AF20" s="630"/>
      <c r="AG20" s="630"/>
      <c r="AH20" s="632"/>
      <c r="AI20" s="633">
        <v>0</v>
      </c>
      <c r="AJ20" s="634">
        <v>0</v>
      </c>
      <c r="AK20" s="635">
        <v>0</v>
      </c>
      <c r="AL20" s="635">
        <v>0</v>
      </c>
      <c r="AM20" s="635">
        <v>0</v>
      </c>
      <c r="AN20" s="636">
        <v>0</v>
      </c>
    </row>
    <row r="21">
      <c r="A21" s="628">
        <v>10</v>
      </c>
      <c r="B21" s="629"/>
      <c r="C21" s="638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30"/>
      <c r="AB21" s="630"/>
      <c r="AC21" s="630"/>
      <c r="AD21" s="630"/>
      <c r="AE21" s="630"/>
      <c r="AF21" s="630"/>
      <c r="AG21" s="630"/>
      <c r="AH21" s="632"/>
      <c r="AI21" s="633">
        <v>0</v>
      </c>
      <c r="AJ21" s="634">
        <v>0</v>
      </c>
      <c r="AK21" s="635">
        <v>0</v>
      </c>
      <c r="AL21" s="635">
        <v>0</v>
      </c>
      <c r="AM21" s="635">
        <v>0</v>
      </c>
      <c r="AN21" s="636">
        <v>0</v>
      </c>
    </row>
    <row r="22">
      <c r="A22" s="628">
        <v>9</v>
      </c>
      <c r="B22" s="629"/>
      <c r="C22" s="630"/>
      <c r="D22" s="630"/>
      <c r="E22" s="630"/>
      <c r="F22" s="630"/>
      <c r="G22" s="630"/>
      <c r="H22" s="630"/>
      <c r="I22" s="630"/>
      <c r="J22" s="630"/>
      <c r="K22" s="630"/>
      <c r="L22" s="63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0"/>
      <c r="AC22" s="630"/>
      <c r="AD22" s="630"/>
      <c r="AE22" s="630"/>
      <c r="AF22" s="630"/>
      <c r="AG22" s="630"/>
      <c r="AH22" s="632"/>
      <c r="AI22" s="633">
        <f t="shared" ref="AI22:AI24" si="143">COUNTIF(D22:AH22, "&gt;0")</f>
        <v>0</v>
      </c>
      <c r="AJ22" s="634">
        <v>0</v>
      </c>
      <c r="AK22" s="635">
        <v>0</v>
      </c>
      <c r="AL22" s="635">
        <v>0</v>
      </c>
      <c r="AM22" s="635">
        <v>0</v>
      </c>
      <c r="AN22" s="636">
        <v>0</v>
      </c>
    </row>
    <row r="23">
      <c r="A23" s="628">
        <v>8</v>
      </c>
      <c r="B23" s="639"/>
      <c r="C23" s="640"/>
      <c r="D23" s="640"/>
      <c r="E23" s="640"/>
      <c r="F23" s="640"/>
      <c r="G23" s="640"/>
      <c r="H23" s="640"/>
      <c r="I23" s="640"/>
      <c r="J23" s="640"/>
      <c r="K23" s="640"/>
      <c r="L23" s="640"/>
      <c r="M23" s="640"/>
      <c r="N23" s="641"/>
      <c r="O23" s="642"/>
      <c r="P23" s="642"/>
      <c r="Q23" s="642"/>
      <c r="R23" s="642"/>
      <c r="S23" s="642"/>
      <c r="T23" s="642"/>
      <c r="U23" s="642"/>
      <c r="V23" s="642"/>
      <c r="W23" s="643"/>
      <c r="X23" s="642"/>
      <c r="Y23" s="642"/>
      <c r="Z23" s="642"/>
      <c r="AA23" s="642"/>
      <c r="AB23" s="642"/>
      <c r="AC23" s="642"/>
      <c r="AD23" s="642"/>
      <c r="AE23" s="642"/>
      <c r="AF23" s="642"/>
      <c r="AG23" s="642"/>
      <c r="AH23" s="644"/>
      <c r="AI23" s="633">
        <f t="shared" si="143"/>
        <v>0</v>
      </c>
      <c r="AJ23" s="634">
        <v>0</v>
      </c>
      <c r="AK23" s="635">
        <v>0</v>
      </c>
      <c r="AL23" s="635">
        <v>0</v>
      </c>
      <c r="AM23" s="635">
        <v>0</v>
      </c>
      <c r="AN23" s="636">
        <v>0</v>
      </c>
    </row>
    <row r="24" ht="15">
      <c r="A24" s="628">
        <v>7</v>
      </c>
      <c r="B24" s="645"/>
      <c r="C24" s="646"/>
      <c r="D24" s="647"/>
      <c r="E24" s="647"/>
      <c r="F24" s="647"/>
      <c r="G24" s="647"/>
      <c r="H24" s="642"/>
      <c r="I24" s="642"/>
      <c r="J24" s="640"/>
      <c r="K24" s="640"/>
      <c r="L24" s="642"/>
      <c r="M24" s="642"/>
      <c r="N24" s="640"/>
      <c r="O24" s="640"/>
      <c r="P24" s="642"/>
      <c r="Q24" s="642"/>
      <c r="R24" s="640"/>
      <c r="S24" s="640"/>
      <c r="T24" s="642"/>
      <c r="U24" s="642"/>
      <c r="V24" s="642"/>
      <c r="W24" s="640"/>
      <c r="X24" s="640"/>
      <c r="Y24" s="642"/>
      <c r="Z24" s="642"/>
      <c r="AA24" s="642"/>
      <c r="AB24" s="640"/>
      <c r="AC24" s="640"/>
      <c r="AD24" s="642"/>
      <c r="AE24" s="642"/>
      <c r="AF24" s="642"/>
      <c r="AG24" s="642"/>
      <c r="AH24" s="640"/>
      <c r="AI24" s="633">
        <f t="shared" si="143"/>
        <v>0</v>
      </c>
      <c r="AJ24" s="634">
        <v>0</v>
      </c>
      <c r="AK24" s="635">
        <v>0</v>
      </c>
      <c r="AL24" s="635">
        <v>0</v>
      </c>
      <c r="AM24" s="635">
        <v>0</v>
      </c>
      <c r="AN24" s="636">
        <v>0</v>
      </c>
    </row>
    <row r="25" ht="15">
      <c r="A25" s="648">
        <v>6</v>
      </c>
      <c r="B25" s="645"/>
      <c r="C25" s="646"/>
      <c r="D25" s="649"/>
      <c r="E25" s="649"/>
      <c r="F25" s="649"/>
      <c r="G25" s="647"/>
      <c r="H25" s="650"/>
      <c r="I25" s="650"/>
      <c r="J25" s="651"/>
      <c r="K25" s="651"/>
      <c r="L25" s="651"/>
      <c r="M25" s="651"/>
      <c r="N25" s="651"/>
      <c r="O25" s="651"/>
      <c r="P25" s="651"/>
      <c r="Q25" s="651"/>
      <c r="R25" s="651"/>
      <c r="S25" s="640"/>
      <c r="T25" s="650"/>
      <c r="U25" s="650"/>
      <c r="V25" s="650"/>
      <c r="W25" s="651"/>
      <c r="X25" s="651"/>
      <c r="Y25" s="650"/>
      <c r="Z25" s="650"/>
      <c r="AA25" s="650"/>
      <c r="AB25" s="652"/>
      <c r="AC25" s="651"/>
      <c r="AD25" s="650"/>
      <c r="AE25" s="650"/>
      <c r="AF25" s="650"/>
      <c r="AG25" s="650"/>
      <c r="AH25" s="651"/>
      <c r="AI25" s="653">
        <f>COUNTIF(D25:AH25,"&gt;0")</f>
        <v>0</v>
      </c>
      <c r="AJ25" s="654">
        <f t="shared" ref="AJ25:AJ30" si="144">SUMIF(D25:AH25,"&gt;0")</f>
        <v>0</v>
      </c>
      <c r="AK25" s="655">
        <f>COUNTIF(D25:AH25,"В")</f>
        <v>0</v>
      </c>
      <c r="AL25" s="655">
        <f>COUNTIF(E25:AI25,"о")</f>
        <v>0</v>
      </c>
      <c r="AM25" s="655">
        <f>COUNTIF(F25:AJ25,"б")</f>
        <v>0</v>
      </c>
      <c r="AN25" s="656">
        <v>0</v>
      </c>
    </row>
    <row r="26" ht="15">
      <c r="A26" s="657">
        <v>5</v>
      </c>
      <c r="B26" s="645"/>
      <c r="C26" s="642"/>
      <c r="D26" s="647"/>
      <c r="E26" s="647"/>
      <c r="F26" s="647"/>
      <c r="G26" s="647"/>
      <c r="H26" s="647"/>
      <c r="I26" s="640"/>
      <c r="J26" s="642"/>
      <c r="K26" s="650"/>
      <c r="L26" s="650"/>
      <c r="M26" s="650"/>
      <c r="N26" s="650"/>
      <c r="O26" s="651"/>
      <c r="P26" s="651"/>
      <c r="Q26" s="650"/>
      <c r="R26" s="651"/>
      <c r="S26" s="658"/>
      <c r="T26" s="651"/>
      <c r="U26" s="650"/>
      <c r="V26" s="650"/>
      <c r="W26" s="650"/>
      <c r="X26" s="650"/>
      <c r="Y26" s="650"/>
      <c r="Z26" s="650"/>
      <c r="AA26" s="650"/>
      <c r="AB26" s="650"/>
      <c r="AC26" s="642"/>
      <c r="AD26" s="642"/>
      <c r="AE26" s="642"/>
      <c r="AF26" s="642"/>
      <c r="AG26" s="642"/>
      <c r="AH26" s="640"/>
      <c r="AI26" s="659">
        <f>COUNTIF(D26:AH26, "&gt;0")</f>
        <v>0</v>
      </c>
      <c r="AJ26" s="660">
        <f t="shared" si="144"/>
        <v>0</v>
      </c>
      <c r="AK26" s="661">
        <f>COUNTIF(D26:AH26, "В")</f>
        <v>0</v>
      </c>
      <c r="AL26" s="661">
        <v>0</v>
      </c>
      <c r="AM26" s="661">
        <v>0</v>
      </c>
      <c r="AN26" s="662">
        <v>0</v>
      </c>
    </row>
    <row r="27" ht="15">
      <c r="A27" s="663">
        <v>4</v>
      </c>
      <c r="B27" s="639" t="s">
        <v>134</v>
      </c>
      <c r="C27" s="664" t="s">
        <v>108</v>
      </c>
      <c r="D27" s="658" t="s">
        <v>79</v>
      </c>
      <c r="E27" s="665">
        <v>9</v>
      </c>
      <c r="F27" s="658" t="s">
        <v>79</v>
      </c>
      <c r="G27" s="658" t="s">
        <v>79</v>
      </c>
      <c r="H27" s="666">
        <v>12</v>
      </c>
      <c r="I27" s="667">
        <v>10</v>
      </c>
      <c r="J27" s="668">
        <v>11</v>
      </c>
      <c r="K27" s="658" t="s">
        <v>79</v>
      </c>
      <c r="L27" s="666">
        <v>11</v>
      </c>
      <c r="M27" s="666">
        <v>11</v>
      </c>
      <c r="N27" s="650" t="s">
        <v>79</v>
      </c>
      <c r="O27" s="650" t="s">
        <v>79</v>
      </c>
      <c r="P27" s="666">
        <v>12</v>
      </c>
      <c r="Q27" s="666">
        <v>11</v>
      </c>
      <c r="R27" s="669">
        <v>9</v>
      </c>
      <c r="S27" s="651" t="s">
        <v>79</v>
      </c>
      <c r="T27" s="651" t="s">
        <v>79</v>
      </c>
      <c r="U27" s="666">
        <v>11</v>
      </c>
      <c r="V27" s="670">
        <v>11</v>
      </c>
      <c r="W27" s="666">
        <v>12</v>
      </c>
      <c r="X27" s="669">
        <v>9</v>
      </c>
      <c r="Y27" s="658" t="s">
        <v>79</v>
      </c>
      <c r="Z27" s="666">
        <v>11</v>
      </c>
      <c r="AA27" s="666">
        <v>11</v>
      </c>
      <c r="AB27" s="658" t="s">
        <v>79</v>
      </c>
      <c r="AC27" s="666">
        <v>11</v>
      </c>
      <c r="AD27" s="666">
        <v>12</v>
      </c>
      <c r="AE27" s="669">
        <v>10</v>
      </c>
      <c r="AF27" s="666">
        <v>12</v>
      </c>
      <c r="AG27" s="666">
        <v>10</v>
      </c>
      <c r="AH27" s="666">
        <v>9</v>
      </c>
      <c r="AI27" s="671">
        <f t="shared" ref="AI27:AI29" si="145">COUNTIF(D27:AH27,"&gt;0")</f>
        <v>21</v>
      </c>
      <c r="AJ27" s="654">
        <f t="shared" si="144"/>
        <v>225</v>
      </c>
      <c r="AK27" s="655">
        <f t="shared" ref="AK27:AK29" si="146">COUNTIF(D27:AH27,"В")</f>
        <v>10</v>
      </c>
      <c r="AL27" s="655">
        <f t="shared" ref="AL27:AL29" si="147">COUNTIF(E27:AI27,"о")</f>
        <v>0</v>
      </c>
      <c r="AM27" s="655">
        <f t="shared" ref="AM27:AM29" si="148">COUNTIF(F27:AJ27,"б")</f>
        <v>0</v>
      </c>
      <c r="AN27" s="672">
        <v>0</v>
      </c>
    </row>
    <row r="28" ht="15">
      <c r="A28" s="648">
        <v>3</v>
      </c>
      <c r="B28" s="645" t="s">
        <v>70</v>
      </c>
      <c r="C28" s="664" t="s">
        <v>108</v>
      </c>
      <c r="D28" s="673">
        <v>11</v>
      </c>
      <c r="E28" s="669">
        <v>9</v>
      </c>
      <c r="F28" s="666">
        <v>11</v>
      </c>
      <c r="G28" s="666">
        <v>11</v>
      </c>
      <c r="H28" s="669">
        <v>10</v>
      </c>
      <c r="I28" s="666">
        <v>12</v>
      </c>
      <c r="J28" s="669">
        <v>9</v>
      </c>
      <c r="K28" s="674">
        <v>11</v>
      </c>
      <c r="L28" s="658" t="s">
        <v>79</v>
      </c>
      <c r="M28" s="658" t="s">
        <v>79</v>
      </c>
      <c r="N28" s="666">
        <v>11</v>
      </c>
      <c r="O28" s="674">
        <v>12</v>
      </c>
      <c r="P28" s="650" t="s">
        <v>79</v>
      </c>
      <c r="Q28" s="658" t="s">
        <v>79</v>
      </c>
      <c r="R28" s="666">
        <v>11</v>
      </c>
      <c r="S28" s="666">
        <v>11</v>
      </c>
      <c r="T28" s="658" t="s">
        <v>79</v>
      </c>
      <c r="U28" s="658" t="s">
        <v>79</v>
      </c>
      <c r="V28" s="669">
        <v>11</v>
      </c>
      <c r="W28" s="669">
        <v>10</v>
      </c>
      <c r="X28" s="666">
        <v>11</v>
      </c>
      <c r="Y28" s="674">
        <v>11</v>
      </c>
      <c r="Z28" s="669">
        <v>9</v>
      </c>
      <c r="AA28" s="658" t="s">
        <v>79</v>
      </c>
      <c r="AB28" s="666">
        <v>11</v>
      </c>
      <c r="AC28" s="674">
        <v>11</v>
      </c>
      <c r="AD28" s="675">
        <v>9</v>
      </c>
      <c r="AE28" s="666">
        <v>12</v>
      </c>
      <c r="AF28" s="658" t="s">
        <v>79</v>
      </c>
      <c r="AG28" s="666">
        <v>12</v>
      </c>
      <c r="AH28" s="666">
        <v>9</v>
      </c>
      <c r="AI28" s="671">
        <f t="shared" si="145"/>
        <v>23</v>
      </c>
      <c r="AJ28" s="654">
        <f t="shared" si="144"/>
        <v>245</v>
      </c>
      <c r="AK28" s="655">
        <f t="shared" si="146"/>
        <v>8</v>
      </c>
      <c r="AL28" s="655">
        <f t="shared" si="147"/>
        <v>0</v>
      </c>
      <c r="AM28" s="655">
        <f t="shared" si="148"/>
        <v>0</v>
      </c>
      <c r="AN28" s="656">
        <v>0</v>
      </c>
    </row>
    <row r="29" ht="15">
      <c r="A29" s="648">
        <v>2</v>
      </c>
      <c r="B29" s="676" t="s">
        <v>68</v>
      </c>
      <c r="C29" s="664" t="s">
        <v>135</v>
      </c>
      <c r="D29" s="677" t="s">
        <v>136</v>
      </c>
      <c r="E29" s="677" t="s">
        <v>136</v>
      </c>
      <c r="F29" s="677" t="s">
        <v>136</v>
      </c>
      <c r="G29" s="677" t="s">
        <v>136</v>
      </c>
      <c r="H29" s="677" t="s">
        <v>136</v>
      </c>
      <c r="I29" s="677" t="s">
        <v>136</v>
      </c>
      <c r="J29" s="677" t="s">
        <v>136</v>
      </c>
      <c r="K29" s="658" t="s">
        <v>79</v>
      </c>
      <c r="L29" s="666">
        <v>2</v>
      </c>
      <c r="M29" s="666">
        <v>9</v>
      </c>
      <c r="N29" s="666">
        <v>9</v>
      </c>
      <c r="O29" s="666">
        <v>9</v>
      </c>
      <c r="P29" s="666">
        <v>10</v>
      </c>
      <c r="Q29" s="666">
        <v>10</v>
      </c>
      <c r="R29" s="658" t="s">
        <v>79</v>
      </c>
      <c r="S29" s="666">
        <v>9</v>
      </c>
      <c r="T29" s="666">
        <v>11</v>
      </c>
      <c r="U29" s="666">
        <v>9</v>
      </c>
      <c r="V29" s="677" t="s">
        <v>137</v>
      </c>
      <c r="W29" s="677" t="s">
        <v>137</v>
      </c>
      <c r="X29" s="677" t="s">
        <v>137</v>
      </c>
      <c r="Y29" s="677" t="s">
        <v>137</v>
      </c>
      <c r="Z29" s="658" t="s">
        <v>79</v>
      </c>
      <c r="AA29" s="677" t="s">
        <v>136</v>
      </c>
      <c r="AB29" s="677" t="s">
        <v>136</v>
      </c>
      <c r="AC29" s="677" t="s">
        <v>136</v>
      </c>
      <c r="AD29" s="677" t="s">
        <v>136</v>
      </c>
      <c r="AE29" s="677" t="s">
        <v>136</v>
      </c>
      <c r="AF29" s="666">
        <v>9</v>
      </c>
      <c r="AG29" s="666">
        <v>10</v>
      </c>
      <c r="AH29" s="666">
        <v>8</v>
      </c>
      <c r="AI29" s="671">
        <f t="shared" si="145"/>
        <v>12</v>
      </c>
      <c r="AJ29" s="654">
        <f t="shared" si="144"/>
        <v>105</v>
      </c>
      <c r="AK29" s="655">
        <f t="shared" si="146"/>
        <v>3</v>
      </c>
      <c r="AL29" s="655">
        <f t="shared" si="147"/>
        <v>0</v>
      </c>
      <c r="AM29" s="655">
        <f t="shared" si="148"/>
        <v>0</v>
      </c>
      <c r="AN29" s="656">
        <v>0</v>
      </c>
    </row>
    <row r="30" ht="15">
      <c r="A30" s="678">
        <v>1</v>
      </c>
      <c r="B30" s="679"/>
      <c r="C30" s="680"/>
      <c r="D30" s="681"/>
      <c r="E30" s="681"/>
      <c r="F30" s="681"/>
      <c r="G30" s="681"/>
      <c r="H30" s="681"/>
      <c r="I30" s="681"/>
      <c r="J30" s="681"/>
      <c r="K30" s="647"/>
      <c r="L30" s="682"/>
      <c r="M30" s="647"/>
      <c r="N30" s="647"/>
      <c r="O30" s="647"/>
      <c r="P30" s="647"/>
      <c r="Q30" s="647"/>
      <c r="R30" s="647"/>
      <c r="S30" s="647"/>
      <c r="T30" s="647"/>
      <c r="U30" s="683"/>
      <c r="V30" s="684"/>
      <c r="W30" s="647"/>
      <c r="X30" s="647"/>
      <c r="Y30" s="647"/>
      <c r="Z30" s="647"/>
      <c r="AA30" s="647"/>
      <c r="AB30" s="647"/>
      <c r="AC30" s="647"/>
      <c r="AD30" s="647"/>
      <c r="AE30" s="647"/>
      <c r="AF30" s="647"/>
      <c r="AG30" s="647"/>
      <c r="AH30" s="647"/>
      <c r="AI30" s="685">
        <f>COUNTIF(D30:AH30, "&gt;0")</f>
        <v>0</v>
      </c>
      <c r="AJ30" s="660">
        <f t="shared" si="144"/>
        <v>0</v>
      </c>
      <c r="AK30" s="686">
        <f>COUNTIF(D30:AH30, "В")</f>
        <v>0</v>
      </c>
      <c r="AL30" s="686">
        <f>COUNTIF(E30:AI30, "о")</f>
        <v>0</v>
      </c>
      <c r="AM30" s="686">
        <f>COUNTIF(F30:AJ30, "б")</f>
        <v>0</v>
      </c>
      <c r="AN30" s="687">
        <v>0</v>
      </c>
    </row>
    <row r="31">
      <c r="A31" s="688"/>
      <c r="B31" s="689" t="s">
        <v>138</v>
      </c>
      <c r="C31" s="690"/>
      <c r="D31" s="691">
        <f t="shared" ref="D31:J31" si="149">COUNTIF(D11:D30, "&gt;0")</f>
        <v>1</v>
      </c>
      <c r="E31" s="689">
        <f t="shared" si="149"/>
        <v>2</v>
      </c>
      <c r="F31" s="689">
        <f t="shared" si="149"/>
        <v>1</v>
      </c>
      <c r="G31" s="689">
        <f t="shared" si="149"/>
        <v>1</v>
      </c>
      <c r="H31" s="689">
        <f t="shared" si="149"/>
        <v>2</v>
      </c>
      <c r="I31" s="689">
        <f t="shared" si="149"/>
        <v>2</v>
      </c>
      <c r="J31" s="689">
        <f t="shared" si="149"/>
        <v>2</v>
      </c>
      <c r="K31" s="689">
        <f>COUNTIF(K11:K29, "&gt;0")</f>
        <v>1</v>
      </c>
      <c r="L31" s="689">
        <f t="shared" ref="L31:AH31" si="150">COUNTIF(L11:L30, "&gt;0")</f>
        <v>2</v>
      </c>
      <c r="M31" s="689">
        <f t="shared" si="150"/>
        <v>2</v>
      </c>
      <c r="N31" s="689">
        <f t="shared" si="150"/>
        <v>2</v>
      </c>
      <c r="O31" s="689">
        <f t="shared" si="150"/>
        <v>2</v>
      </c>
      <c r="P31" s="689">
        <f t="shared" si="150"/>
        <v>2</v>
      </c>
      <c r="Q31" s="689">
        <f t="shared" si="150"/>
        <v>2</v>
      </c>
      <c r="R31" s="689">
        <f t="shared" si="150"/>
        <v>2</v>
      </c>
      <c r="S31" s="689">
        <f t="shared" si="150"/>
        <v>2</v>
      </c>
      <c r="T31" s="689">
        <f t="shared" si="150"/>
        <v>1</v>
      </c>
      <c r="U31" s="689">
        <f t="shared" si="150"/>
        <v>2</v>
      </c>
      <c r="V31" s="689">
        <f t="shared" si="150"/>
        <v>2</v>
      </c>
      <c r="W31" s="689">
        <f t="shared" si="150"/>
        <v>2</v>
      </c>
      <c r="X31" s="689">
        <f t="shared" si="150"/>
        <v>2</v>
      </c>
      <c r="Y31" s="689">
        <f t="shared" si="150"/>
        <v>1</v>
      </c>
      <c r="Z31" s="689">
        <f t="shared" si="150"/>
        <v>2</v>
      </c>
      <c r="AA31" s="689">
        <f t="shared" si="150"/>
        <v>1</v>
      </c>
      <c r="AB31" s="689">
        <f t="shared" si="150"/>
        <v>1</v>
      </c>
      <c r="AC31" s="689">
        <f t="shared" si="150"/>
        <v>2</v>
      </c>
      <c r="AD31" s="689">
        <f t="shared" si="150"/>
        <v>2</v>
      </c>
      <c r="AE31" s="689">
        <f t="shared" si="150"/>
        <v>2</v>
      </c>
      <c r="AF31" s="689">
        <f t="shared" si="150"/>
        <v>2</v>
      </c>
      <c r="AG31" s="689">
        <f t="shared" si="150"/>
        <v>3</v>
      </c>
      <c r="AH31" s="692">
        <f t="shared" si="150"/>
        <v>3</v>
      </c>
      <c r="AI31" s="693"/>
      <c r="AJ31" s="694">
        <f>SUM(AJ11:AJ30)</f>
        <v>575</v>
      </c>
      <c r="AK31" s="694">
        <f>SUM(AK11:AK30)</f>
        <v>21</v>
      </c>
      <c r="AL31" s="694">
        <f>SUM(AL11:AL30)</f>
        <v>0</v>
      </c>
      <c r="AM31" s="694">
        <f>SUM(AM11:AM30)</f>
        <v>0</v>
      </c>
      <c r="AN31" s="694">
        <f>SUM(AN11:AN30)</f>
        <v>0</v>
      </c>
    </row>
    <row r="33">
      <c r="B33" s="3" t="s">
        <v>139</v>
      </c>
      <c r="P33" s="3" t="s">
        <v>140</v>
      </c>
    </row>
    <row r="34">
      <c r="B34" s="3" t="s">
        <v>141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rintOptions headings="0" gridLines="0"/>
  <pageMargins left="0.69999999999999996" right="0.69999999999999996" top="0.75" bottom="0.75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Glame Jewelry</cp:lastModifiedBy>
  <cp:revision>956</cp:revision>
  <dcterms:created xsi:type="dcterms:W3CDTF">2025-04-30T22:17:27Z</dcterms:created>
  <dcterms:modified xsi:type="dcterms:W3CDTF">2026-02-08T09:51:10Z</dcterms:modified>
</cp:coreProperties>
</file>