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Ялта/Ежемесячные отчеты/"/>
    </mc:Choice>
  </mc:AlternateContent>
  <xr:revisionPtr revIDLastSave="0" documentId="13_ncr:1_{EF9EBABA-1639-ED4C-BE43-D245EAE0F757}" xr6:coauthVersionLast="47" xr6:coauthVersionMax="47" xr10:uidLastSave="{00000000-0000-0000-0000-000000000000}"/>
  <bookViews>
    <workbookView xWindow="0" yWindow="660" windowWidth="25600" windowHeight="15980" activeTab="7" xr2:uid="{00000000-000D-0000-FFFF-FFFF00000000}"/>
  </bookViews>
  <sheets>
    <sheet name="Ялта, Ленина, 18" sheetId="1" r:id="rId1"/>
    <sheet name="Св. по пок." sheetId="2" r:id="rId2"/>
    <sheet name="План на день" sheetId="3" r:id="rId3"/>
    <sheet name="Кекош А. И." sheetId="4" r:id="rId4"/>
    <sheet name="Рогалевич И. Е." sheetId="5" r:id="rId5"/>
    <sheet name="ПК 2" sheetId="6" r:id="rId6"/>
    <sheet name="Вед-ть Кекош" sheetId="8" r:id="rId7"/>
    <sheet name="Вед-ть Рогалевич" sheetId="9" r:id="rId8"/>
    <sheet name="Доп сотрудник" sheetId="7" r:id="rId9"/>
    <sheet name="График" sheetId="10" r:id="rId10"/>
  </sheet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9" l="1"/>
  <c r="C8" i="9" s="1"/>
  <c r="L4" i="9" s="1"/>
  <c r="F4" i="9"/>
  <c r="L12" i="9"/>
  <c r="N25" i="9"/>
  <c r="D19" i="9"/>
  <c r="H4" i="9" s="1"/>
  <c r="K25" i="9"/>
  <c r="N24" i="8"/>
  <c r="L19" i="8"/>
  <c r="I4" i="8"/>
  <c r="K4" i="8"/>
  <c r="F4" i="8"/>
  <c r="H9" i="8"/>
  <c r="AJ28" i="10"/>
  <c r="AJ26" i="10"/>
  <c r="AJ29" i="10"/>
  <c r="E16" i="9"/>
  <c r="K24" i="9" s="1"/>
  <c r="G17" i="9"/>
  <c r="G25" i="9"/>
  <c r="J4" i="9"/>
  <c r="L12" i="8"/>
  <c r="J4" i="8"/>
  <c r="L4" i="8"/>
  <c r="AJ30" i="10"/>
  <c r="E16" i="8"/>
  <c r="K24" i="8"/>
  <c r="U48" i="5"/>
  <c r="T48" i="5"/>
  <c r="S48" i="5"/>
  <c r="N48" i="5"/>
  <c r="J48" i="5"/>
  <c r="H48" i="5"/>
  <c r="F48" i="5"/>
  <c r="U47" i="5"/>
  <c r="T47" i="5"/>
  <c r="S47" i="5"/>
  <c r="N47" i="5"/>
  <c r="J47" i="5"/>
  <c r="H47" i="5"/>
  <c r="F47" i="5"/>
  <c r="U46" i="5"/>
  <c r="T46" i="5"/>
  <c r="S46" i="5"/>
  <c r="N46" i="5"/>
  <c r="J46" i="5"/>
  <c r="H46" i="5"/>
  <c r="F46" i="5"/>
  <c r="U45" i="5"/>
  <c r="T45" i="5"/>
  <c r="S45" i="5"/>
  <c r="N45" i="5"/>
  <c r="J45" i="5"/>
  <c r="H45" i="5"/>
  <c r="F45" i="5"/>
  <c r="D50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9" i="5"/>
  <c r="S40" i="5"/>
  <c r="S41" i="5"/>
  <c r="S42" i="5"/>
  <c r="S43" i="5"/>
  <c r="S44" i="5"/>
  <c r="S49" i="5"/>
  <c r="T25" i="5"/>
  <c r="T26" i="5"/>
  <c r="T28" i="5"/>
  <c r="T29" i="5"/>
  <c r="T30" i="5"/>
  <c r="T31" i="5"/>
  <c r="T32" i="5"/>
  <c r="T33" i="5"/>
  <c r="T34" i="5"/>
  <c r="T35" i="5"/>
  <c r="T36" i="5"/>
  <c r="T37" i="5"/>
  <c r="T39" i="5"/>
  <c r="T40" i="5"/>
  <c r="T41" i="5"/>
  <c r="T42" i="5"/>
  <c r="T43" i="5"/>
  <c r="T44" i="5"/>
  <c r="T49" i="5"/>
  <c r="U25" i="5"/>
  <c r="U26" i="5"/>
  <c r="U28" i="5"/>
  <c r="U29" i="5"/>
  <c r="U30" i="5"/>
  <c r="U31" i="5"/>
  <c r="U32" i="5"/>
  <c r="U33" i="5"/>
  <c r="U34" i="5"/>
  <c r="U35" i="5"/>
  <c r="U36" i="5"/>
  <c r="U37" i="5"/>
  <c r="U39" i="5"/>
  <c r="U40" i="5"/>
  <c r="U41" i="5"/>
  <c r="U42" i="5"/>
  <c r="U43" i="5"/>
  <c r="U44" i="5"/>
  <c r="U49" i="5"/>
  <c r="I12" i="5"/>
  <c r="I11" i="5"/>
  <c r="D33" i="5"/>
  <c r="N49" i="5"/>
  <c r="J49" i="5"/>
  <c r="H49" i="5"/>
  <c r="F49" i="5"/>
  <c r="N44" i="5"/>
  <c r="J44" i="5"/>
  <c r="H44" i="5"/>
  <c r="F44" i="5"/>
  <c r="N43" i="5"/>
  <c r="J43" i="5"/>
  <c r="H43" i="5"/>
  <c r="F43" i="5"/>
  <c r="AJ27" i="10"/>
  <c r="N42" i="5"/>
  <c r="J42" i="5"/>
  <c r="H42" i="5"/>
  <c r="F42" i="5"/>
  <c r="N41" i="5"/>
  <c r="J41" i="5"/>
  <c r="H41" i="5"/>
  <c r="F41" i="5"/>
  <c r="D56" i="1"/>
  <c r="J8" i="1"/>
  <c r="AI29" i="10"/>
  <c r="B16" i="9"/>
  <c r="A4" i="9"/>
  <c r="D50" i="4"/>
  <c r="J8" i="4"/>
  <c r="F24" i="8"/>
  <c r="N40" i="5"/>
  <c r="J40" i="5"/>
  <c r="H40" i="5"/>
  <c r="F40" i="5"/>
  <c r="N39" i="5"/>
  <c r="J39" i="5"/>
  <c r="H39" i="5"/>
  <c r="F39" i="5"/>
  <c r="U38" i="4"/>
  <c r="T38" i="4"/>
  <c r="S38" i="4"/>
  <c r="N38" i="4"/>
  <c r="J38" i="4"/>
  <c r="H38" i="4"/>
  <c r="F38" i="4"/>
  <c r="D2" i="3"/>
  <c r="U37" i="4"/>
  <c r="T37" i="4"/>
  <c r="S37" i="4"/>
  <c r="N37" i="4"/>
  <c r="J37" i="4"/>
  <c r="H37" i="4"/>
  <c r="F37" i="4"/>
  <c r="N37" i="5"/>
  <c r="J37" i="5"/>
  <c r="H37" i="5"/>
  <c r="F37" i="5"/>
  <c r="N36" i="5"/>
  <c r="J36" i="5"/>
  <c r="H36" i="5"/>
  <c r="F36" i="5"/>
  <c r="U36" i="4"/>
  <c r="T36" i="4"/>
  <c r="S36" i="4"/>
  <c r="N36" i="4"/>
  <c r="J36" i="4"/>
  <c r="H36" i="4"/>
  <c r="F36" i="4"/>
  <c r="N35" i="5"/>
  <c r="J35" i="5"/>
  <c r="H35" i="5"/>
  <c r="F35" i="5"/>
  <c r="N34" i="5"/>
  <c r="J34" i="5"/>
  <c r="H34" i="5"/>
  <c r="F34" i="5"/>
  <c r="U35" i="4"/>
  <c r="T35" i="4"/>
  <c r="S35" i="4"/>
  <c r="N35" i="4"/>
  <c r="J35" i="4"/>
  <c r="H35" i="4"/>
  <c r="F35" i="4"/>
  <c r="N33" i="5"/>
  <c r="J33" i="5"/>
  <c r="H33" i="5"/>
  <c r="F33" i="5"/>
  <c r="D34" i="4"/>
  <c r="U33" i="4"/>
  <c r="T33" i="4"/>
  <c r="S33" i="4"/>
  <c r="N33" i="4"/>
  <c r="J33" i="4"/>
  <c r="H33" i="4"/>
  <c r="F33" i="4"/>
  <c r="I14" i="5"/>
  <c r="N31" i="5"/>
  <c r="J31" i="5"/>
  <c r="H31" i="5"/>
  <c r="F31" i="5"/>
  <c r="U32" i="4"/>
  <c r="T32" i="4"/>
  <c r="S32" i="4"/>
  <c r="N32" i="4"/>
  <c r="J32" i="4"/>
  <c r="H32" i="4"/>
  <c r="F32" i="4"/>
  <c r="N30" i="5"/>
  <c r="J30" i="5"/>
  <c r="H30" i="5"/>
  <c r="F30" i="5"/>
  <c r="J3" i="5"/>
  <c r="N28" i="5"/>
  <c r="J28" i="5"/>
  <c r="H28" i="5"/>
  <c r="F28" i="5"/>
  <c r="N27" i="5"/>
  <c r="J27" i="5"/>
  <c r="H27" i="5"/>
  <c r="F27" i="5"/>
  <c r="N26" i="5"/>
  <c r="J26" i="5"/>
  <c r="H26" i="5"/>
  <c r="F26" i="5"/>
  <c r="N25" i="5"/>
  <c r="J25" i="5"/>
  <c r="H25" i="5"/>
  <c r="F25" i="5"/>
  <c r="H28" i="4"/>
  <c r="F28" i="4"/>
  <c r="H27" i="4"/>
  <c r="F27" i="4"/>
  <c r="H26" i="4"/>
  <c r="F26" i="4"/>
  <c r="H25" i="4"/>
  <c r="F25" i="4"/>
  <c r="U26" i="1"/>
  <c r="U27" i="1"/>
  <c r="U28" i="1"/>
  <c r="U29" i="1"/>
  <c r="U30" i="1"/>
  <c r="U31" i="1"/>
  <c r="U32" i="1"/>
  <c r="I9" i="1"/>
  <c r="Q25" i="1"/>
  <c r="R25" i="1"/>
  <c r="U25" i="1"/>
  <c r="U33" i="1"/>
  <c r="U34" i="1"/>
  <c r="I3" i="1"/>
  <c r="AN31" i="10"/>
  <c r="AI25" i="10"/>
  <c r="AJ25" i="10"/>
  <c r="AM25" i="10"/>
  <c r="AI27" i="10"/>
  <c r="AM27" i="10"/>
  <c r="AI28" i="10"/>
  <c r="AM28" i="10" s="1"/>
  <c r="AM31" i="10" s="1"/>
  <c r="AM29" i="10"/>
  <c r="AI30" i="10"/>
  <c r="AM30" i="10"/>
  <c r="AL25" i="10"/>
  <c r="AL27" i="10"/>
  <c r="AL28" i="10"/>
  <c r="AL31" i="10" s="1"/>
  <c r="AL29" i="10"/>
  <c r="AL30" i="10"/>
  <c r="AK25" i="10"/>
  <c r="AK26" i="10"/>
  <c r="AK27" i="10"/>
  <c r="AK28" i="10"/>
  <c r="AK29" i="10"/>
  <c r="AK30" i="10"/>
  <c r="AI22" i="10"/>
  <c r="AI23" i="10"/>
  <c r="AI24" i="10"/>
  <c r="AI26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B7" i="10"/>
  <c r="C25" i="9"/>
  <c r="J17" i="9" s="1"/>
  <c r="B24" i="9"/>
  <c r="I24" i="9" s="1"/>
  <c r="I25" i="9" s="1"/>
  <c r="B25" i="9"/>
  <c r="A2" i="9"/>
  <c r="C16" i="9" s="1"/>
  <c r="C24" i="9"/>
  <c r="J24" i="9"/>
  <c r="J8" i="5"/>
  <c r="F24" i="9"/>
  <c r="G24" i="9"/>
  <c r="I10" i="1"/>
  <c r="I13" i="1"/>
  <c r="K8" i="1"/>
  <c r="J16" i="9"/>
  <c r="D2" i="9"/>
  <c r="A1" i="9"/>
  <c r="N25" i="8"/>
  <c r="A4" i="8"/>
  <c r="B24" i="8"/>
  <c r="B25" i="8"/>
  <c r="A2" i="8"/>
  <c r="C24" i="8"/>
  <c r="J24" i="8"/>
  <c r="I24" i="8"/>
  <c r="G24" i="8"/>
  <c r="D19" i="8"/>
  <c r="J16" i="8"/>
  <c r="G16" i="8"/>
  <c r="C16" i="8"/>
  <c r="B16" i="8"/>
  <c r="D12" i="8"/>
  <c r="H4" i="8"/>
  <c r="G4" i="8"/>
  <c r="M4" i="8"/>
  <c r="D2" i="8"/>
  <c r="A1" i="8"/>
  <c r="D48" i="7"/>
  <c r="I12" i="7"/>
  <c r="I11" i="7"/>
  <c r="I48" i="7"/>
  <c r="N48" i="7"/>
  <c r="M48" i="7"/>
  <c r="L48" i="7"/>
  <c r="K48" i="7"/>
  <c r="G48" i="7"/>
  <c r="E48" i="7"/>
  <c r="J48" i="7"/>
  <c r="H48" i="7"/>
  <c r="F48" i="7"/>
  <c r="U47" i="7"/>
  <c r="T47" i="7"/>
  <c r="S47" i="7"/>
  <c r="N47" i="7"/>
  <c r="J47" i="7"/>
  <c r="H47" i="7"/>
  <c r="F47" i="7"/>
  <c r="U46" i="7"/>
  <c r="T46" i="7"/>
  <c r="S46" i="7"/>
  <c r="N46" i="7"/>
  <c r="J46" i="7"/>
  <c r="H46" i="7"/>
  <c r="F46" i="7"/>
  <c r="U45" i="7"/>
  <c r="T45" i="7"/>
  <c r="S45" i="7"/>
  <c r="N45" i="7"/>
  <c r="J45" i="7"/>
  <c r="H45" i="7"/>
  <c r="F45" i="7"/>
  <c r="U44" i="7"/>
  <c r="T44" i="7"/>
  <c r="S44" i="7"/>
  <c r="N44" i="7"/>
  <c r="J44" i="7"/>
  <c r="H44" i="7"/>
  <c r="F44" i="7"/>
  <c r="U43" i="7"/>
  <c r="T43" i="7"/>
  <c r="S43" i="7"/>
  <c r="N43" i="7"/>
  <c r="J43" i="7"/>
  <c r="H43" i="7"/>
  <c r="F43" i="7"/>
  <c r="U42" i="7"/>
  <c r="T42" i="7"/>
  <c r="S42" i="7"/>
  <c r="N42" i="7"/>
  <c r="J42" i="7"/>
  <c r="H42" i="7"/>
  <c r="F42" i="7"/>
  <c r="U41" i="7"/>
  <c r="T41" i="7"/>
  <c r="S41" i="7"/>
  <c r="N41" i="7"/>
  <c r="J41" i="7"/>
  <c r="H41" i="7"/>
  <c r="F41" i="7"/>
  <c r="U40" i="7"/>
  <c r="T40" i="7"/>
  <c r="S40" i="7"/>
  <c r="N40" i="7"/>
  <c r="J40" i="7"/>
  <c r="H40" i="7"/>
  <c r="F40" i="7"/>
  <c r="U39" i="7"/>
  <c r="T39" i="7"/>
  <c r="S39" i="7"/>
  <c r="N39" i="7"/>
  <c r="J39" i="7"/>
  <c r="H39" i="7"/>
  <c r="F39" i="7"/>
  <c r="U38" i="7"/>
  <c r="T38" i="7"/>
  <c r="S38" i="7"/>
  <c r="N38" i="7"/>
  <c r="J38" i="7"/>
  <c r="H38" i="7"/>
  <c r="F38" i="7"/>
  <c r="U37" i="7"/>
  <c r="T37" i="7"/>
  <c r="S37" i="7"/>
  <c r="N37" i="7"/>
  <c r="J37" i="7"/>
  <c r="H37" i="7"/>
  <c r="F37" i="7"/>
  <c r="U36" i="7"/>
  <c r="T36" i="7"/>
  <c r="S36" i="7"/>
  <c r="N36" i="7"/>
  <c r="J36" i="7"/>
  <c r="H36" i="7"/>
  <c r="F36" i="7"/>
  <c r="U35" i="7"/>
  <c r="T35" i="7"/>
  <c r="S35" i="7"/>
  <c r="N35" i="7"/>
  <c r="J35" i="7"/>
  <c r="H35" i="7"/>
  <c r="F35" i="7"/>
  <c r="N34" i="7"/>
  <c r="J34" i="7"/>
  <c r="H34" i="7"/>
  <c r="F34" i="7"/>
  <c r="N33" i="7"/>
  <c r="J33" i="7"/>
  <c r="H33" i="7"/>
  <c r="F33" i="7"/>
  <c r="N32" i="7"/>
  <c r="J32" i="7"/>
  <c r="H32" i="7"/>
  <c r="F32" i="7"/>
  <c r="N31" i="7"/>
  <c r="J31" i="7"/>
  <c r="H31" i="7"/>
  <c r="F31" i="7"/>
  <c r="N30" i="7"/>
  <c r="J30" i="7"/>
  <c r="H30" i="7"/>
  <c r="F30" i="7"/>
  <c r="N29" i="7"/>
  <c r="J29" i="7"/>
  <c r="H29" i="7"/>
  <c r="F29" i="7"/>
  <c r="N28" i="7"/>
  <c r="J28" i="7"/>
  <c r="H28" i="7"/>
  <c r="F28" i="7"/>
  <c r="N27" i="7"/>
  <c r="J27" i="7"/>
  <c r="H27" i="7"/>
  <c r="F27" i="7"/>
  <c r="N26" i="7"/>
  <c r="J26" i="7"/>
  <c r="H26" i="7"/>
  <c r="F26" i="7"/>
  <c r="N25" i="7"/>
  <c r="J25" i="7"/>
  <c r="H25" i="7"/>
  <c r="F25" i="7"/>
  <c r="J8" i="7"/>
  <c r="J20" i="7"/>
  <c r="I20" i="7"/>
  <c r="N20" i="7"/>
  <c r="K20" i="7"/>
  <c r="S19" i="7"/>
  <c r="L19" i="7"/>
  <c r="P19" i="7"/>
  <c r="Q19" i="7"/>
  <c r="N19" i="7"/>
  <c r="M19" i="7"/>
  <c r="K19" i="7"/>
  <c r="L18" i="7"/>
  <c r="P18" i="7"/>
  <c r="Q18" i="7"/>
  <c r="N18" i="7"/>
  <c r="M18" i="7"/>
  <c r="K18" i="7"/>
  <c r="J17" i="7"/>
  <c r="L17" i="7"/>
  <c r="P17" i="7"/>
  <c r="Q17" i="7"/>
  <c r="I15" i="1"/>
  <c r="I15" i="7"/>
  <c r="J16" i="7"/>
  <c r="L16" i="7"/>
  <c r="P16" i="7"/>
  <c r="Q16" i="7"/>
  <c r="N16" i="7"/>
  <c r="M16" i="7"/>
  <c r="K16" i="7"/>
  <c r="J15" i="7"/>
  <c r="L15" i="7"/>
  <c r="P15" i="7"/>
  <c r="Q15" i="7"/>
  <c r="N15" i="7"/>
  <c r="M15" i="7"/>
  <c r="K15" i="7"/>
  <c r="N14" i="7"/>
  <c r="K14" i="7"/>
  <c r="J13" i="7"/>
  <c r="J12" i="7"/>
  <c r="L12" i="7"/>
  <c r="P12" i="7"/>
  <c r="Q12" i="7"/>
  <c r="N12" i="7"/>
  <c r="M12" i="7"/>
  <c r="K12" i="7"/>
  <c r="J11" i="7"/>
  <c r="K11" i="7"/>
  <c r="O10" i="7"/>
  <c r="J10" i="7"/>
  <c r="L10" i="7"/>
  <c r="P10" i="7"/>
  <c r="Q10" i="7"/>
  <c r="I10" i="7"/>
  <c r="N10" i="7"/>
  <c r="M10" i="7"/>
  <c r="K10" i="7"/>
  <c r="O9" i="7"/>
  <c r="J9" i="7"/>
  <c r="J3" i="7"/>
  <c r="B1" i="7"/>
  <c r="D48" i="6"/>
  <c r="I12" i="6"/>
  <c r="I11" i="6"/>
  <c r="U26" i="6"/>
  <c r="U30" i="6"/>
  <c r="U31" i="6"/>
  <c r="U32" i="6"/>
  <c r="U33" i="6"/>
  <c r="U34" i="6"/>
  <c r="U35" i="6"/>
  <c r="U36" i="6"/>
  <c r="U37" i="6"/>
  <c r="U38" i="6"/>
  <c r="U39" i="6"/>
  <c r="U40" i="6"/>
  <c r="U41" i="6"/>
  <c r="U42" i="6"/>
  <c r="U43" i="6"/>
  <c r="U44" i="6"/>
  <c r="U45" i="6"/>
  <c r="U46" i="6"/>
  <c r="U47" i="6"/>
  <c r="T30" i="6"/>
  <c r="T31" i="6"/>
  <c r="T32" i="6"/>
  <c r="T33" i="6"/>
  <c r="T34" i="6"/>
  <c r="T35" i="6"/>
  <c r="T36" i="6"/>
  <c r="T37" i="6"/>
  <c r="T38" i="6"/>
  <c r="T39" i="6"/>
  <c r="T40" i="6"/>
  <c r="T41" i="6"/>
  <c r="T42" i="6"/>
  <c r="T43" i="6"/>
  <c r="T44" i="6"/>
  <c r="T45" i="6"/>
  <c r="T46" i="6"/>
  <c r="T47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I48" i="6"/>
  <c r="N48" i="6"/>
  <c r="M48" i="6"/>
  <c r="L48" i="6"/>
  <c r="K48" i="6"/>
  <c r="G48" i="6"/>
  <c r="J48" i="6"/>
  <c r="H48" i="6"/>
  <c r="E48" i="6"/>
  <c r="F48" i="6"/>
  <c r="N47" i="6"/>
  <c r="J47" i="6"/>
  <c r="H47" i="6"/>
  <c r="F47" i="6"/>
  <c r="N46" i="6"/>
  <c r="J46" i="6"/>
  <c r="H46" i="6"/>
  <c r="F46" i="6"/>
  <c r="N45" i="6"/>
  <c r="J45" i="6"/>
  <c r="H45" i="6"/>
  <c r="F45" i="6"/>
  <c r="N44" i="6"/>
  <c r="J44" i="6"/>
  <c r="H44" i="6"/>
  <c r="F44" i="6"/>
  <c r="N43" i="6"/>
  <c r="J43" i="6"/>
  <c r="H43" i="6"/>
  <c r="F43" i="6"/>
  <c r="N42" i="6"/>
  <c r="J42" i="6"/>
  <c r="H42" i="6"/>
  <c r="F42" i="6"/>
  <c r="N41" i="6"/>
  <c r="J41" i="6"/>
  <c r="H41" i="6"/>
  <c r="F41" i="6"/>
  <c r="N40" i="6"/>
  <c r="J40" i="6"/>
  <c r="H40" i="6"/>
  <c r="F40" i="6"/>
  <c r="N39" i="6"/>
  <c r="J39" i="6"/>
  <c r="H39" i="6"/>
  <c r="F39" i="6"/>
  <c r="N38" i="6"/>
  <c r="J38" i="6"/>
  <c r="H38" i="6"/>
  <c r="F38" i="6"/>
  <c r="N37" i="6"/>
  <c r="J37" i="6"/>
  <c r="H37" i="6"/>
  <c r="F37" i="6"/>
  <c r="N36" i="6"/>
  <c r="J36" i="6"/>
  <c r="H36" i="6"/>
  <c r="F36" i="6"/>
  <c r="N35" i="6"/>
  <c r="J35" i="6"/>
  <c r="H35" i="6"/>
  <c r="F35" i="6"/>
  <c r="N34" i="6"/>
  <c r="J34" i="6"/>
  <c r="H34" i="6"/>
  <c r="F34" i="6"/>
  <c r="N33" i="6"/>
  <c r="J33" i="6"/>
  <c r="H33" i="6"/>
  <c r="F33" i="6"/>
  <c r="N32" i="6"/>
  <c r="J32" i="6"/>
  <c r="H32" i="6"/>
  <c r="F32" i="6"/>
  <c r="N31" i="6"/>
  <c r="J31" i="6"/>
  <c r="H31" i="6"/>
  <c r="F31" i="6"/>
  <c r="N30" i="6"/>
  <c r="J30" i="6"/>
  <c r="H30" i="6"/>
  <c r="F30" i="6"/>
  <c r="N29" i="6"/>
  <c r="J29" i="6"/>
  <c r="H29" i="6"/>
  <c r="F29" i="6"/>
  <c r="N28" i="6"/>
  <c r="J28" i="6"/>
  <c r="H28" i="6"/>
  <c r="F28" i="6"/>
  <c r="N27" i="6"/>
  <c r="J27" i="6"/>
  <c r="H27" i="6"/>
  <c r="F27" i="6"/>
  <c r="N26" i="6"/>
  <c r="J26" i="6"/>
  <c r="H26" i="6"/>
  <c r="F26" i="6"/>
  <c r="N25" i="6"/>
  <c r="J25" i="6"/>
  <c r="H25" i="6"/>
  <c r="F25" i="6"/>
  <c r="J8" i="6"/>
  <c r="I14" i="6"/>
  <c r="J20" i="6"/>
  <c r="I20" i="6"/>
  <c r="N20" i="6"/>
  <c r="K20" i="6"/>
  <c r="S19" i="6"/>
  <c r="J19" i="6"/>
  <c r="L19" i="6"/>
  <c r="P19" i="6"/>
  <c r="Q19" i="6"/>
  <c r="N19" i="6"/>
  <c r="M19" i="6"/>
  <c r="K19" i="6"/>
  <c r="L18" i="6"/>
  <c r="P18" i="6"/>
  <c r="Q18" i="6"/>
  <c r="N18" i="6"/>
  <c r="M18" i="6"/>
  <c r="K18" i="6"/>
  <c r="J17" i="6"/>
  <c r="L17" i="6"/>
  <c r="P17" i="6"/>
  <c r="Q17" i="6"/>
  <c r="I15" i="6"/>
  <c r="J16" i="6"/>
  <c r="L16" i="6"/>
  <c r="P16" i="6"/>
  <c r="Q16" i="6"/>
  <c r="N16" i="6"/>
  <c r="M16" i="6"/>
  <c r="K16" i="6"/>
  <c r="J15" i="6"/>
  <c r="L15" i="6"/>
  <c r="P15" i="6"/>
  <c r="Q15" i="6"/>
  <c r="N15" i="6"/>
  <c r="M15" i="6"/>
  <c r="K15" i="6"/>
  <c r="L14" i="6"/>
  <c r="M14" i="6" s="1"/>
  <c r="N14" i="6"/>
  <c r="K14" i="6"/>
  <c r="J13" i="6"/>
  <c r="J12" i="6"/>
  <c r="L12" i="6"/>
  <c r="P12" i="6"/>
  <c r="Q12" i="6"/>
  <c r="N12" i="6"/>
  <c r="M12" i="6"/>
  <c r="K12" i="6"/>
  <c r="L9" i="6"/>
  <c r="L11" i="6" s="1"/>
  <c r="J11" i="6"/>
  <c r="N11" i="6"/>
  <c r="K11" i="6"/>
  <c r="O10" i="6"/>
  <c r="J10" i="6"/>
  <c r="L10" i="6"/>
  <c r="P10" i="6"/>
  <c r="Q10" i="6"/>
  <c r="I10" i="6"/>
  <c r="N10" i="6"/>
  <c r="M10" i="6"/>
  <c r="K10" i="6"/>
  <c r="O9" i="6"/>
  <c r="P9" i="6"/>
  <c r="Q9" i="6" s="1"/>
  <c r="J9" i="6"/>
  <c r="L8" i="6"/>
  <c r="P8" i="6" s="1"/>
  <c r="Q8" i="6" s="1"/>
  <c r="J3" i="6"/>
  <c r="B1" i="6"/>
  <c r="D51" i="5"/>
  <c r="I50" i="5"/>
  <c r="G50" i="5"/>
  <c r="N50" i="5"/>
  <c r="M50" i="5"/>
  <c r="L50" i="5"/>
  <c r="K50" i="5"/>
  <c r="E50" i="5"/>
  <c r="J50" i="5"/>
  <c r="H50" i="5"/>
  <c r="F50" i="5"/>
  <c r="N32" i="5"/>
  <c r="J32" i="5"/>
  <c r="H32" i="5"/>
  <c r="F32" i="5"/>
  <c r="N29" i="5"/>
  <c r="J29" i="5"/>
  <c r="H29" i="5"/>
  <c r="F29" i="5"/>
  <c r="I20" i="5"/>
  <c r="J20" i="5"/>
  <c r="N20" i="5"/>
  <c r="K20" i="5"/>
  <c r="S19" i="5"/>
  <c r="J19" i="5"/>
  <c r="L19" i="5"/>
  <c r="P19" i="5"/>
  <c r="Q19" i="5"/>
  <c r="N19" i="5"/>
  <c r="M19" i="5"/>
  <c r="K19" i="5"/>
  <c r="L18" i="5"/>
  <c r="P18" i="5"/>
  <c r="Q18" i="5"/>
  <c r="N18" i="5"/>
  <c r="M18" i="5"/>
  <c r="K18" i="5"/>
  <c r="J17" i="5"/>
  <c r="L17" i="5"/>
  <c r="P17" i="5"/>
  <c r="Q17" i="5"/>
  <c r="I15" i="5"/>
  <c r="J16" i="5"/>
  <c r="L16" i="5"/>
  <c r="P16" i="5"/>
  <c r="Q16" i="5"/>
  <c r="N16" i="5"/>
  <c r="M16" i="5"/>
  <c r="K16" i="5"/>
  <c r="J15" i="5"/>
  <c r="L15" i="5"/>
  <c r="P15" i="5"/>
  <c r="Q15" i="5"/>
  <c r="N15" i="5"/>
  <c r="M15" i="5"/>
  <c r="K15" i="5"/>
  <c r="K14" i="5"/>
  <c r="J13" i="5"/>
  <c r="J12" i="5"/>
  <c r="L12" i="5"/>
  <c r="P12" i="5"/>
  <c r="Q12" i="5"/>
  <c r="N12" i="5"/>
  <c r="M12" i="5"/>
  <c r="K12" i="5"/>
  <c r="J11" i="5"/>
  <c r="K11" i="5"/>
  <c r="O10" i="5"/>
  <c r="J10" i="5"/>
  <c r="L10" i="5"/>
  <c r="P10" i="5"/>
  <c r="Q10" i="5"/>
  <c r="I10" i="5"/>
  <c r="N10" i="5"/>
  <c r="M10" i="5"/>
  <c r="K10" i="5"/>
  <c r="O9" i="5"/>
  <c r="J9" i="5"/>
  <c r="B1" i="5"/>
  <c r="I12" i="4"/>
  <c r="U25" i="4"/>
  <c r="I11" i="4"/>
  <c r="U26" i="4"/>
  <c r="U27" i="4"/>
  <c r="U28" i="4"/>
  <c r="U34" i="4"/>
  <c r="U49" i="4"/>
  <c r="T25" i="4"/>
  <c r="T26" i="4"/>
  <c r="T27" i="4"/>
  <c r="T28" i="4"/>
  <c r="T34" i="4"/>
  <c r="T49" i="4"/>
  <c r="S34" i="4"/>
  <c r="S49" i="4"/>
  <c r="I50" i="4"/>
  <c r="G50" i="4"/>
  <c r="N50" i="4"/>
  <c r="M50" i="4"/>
  <c r="L50" i="4"/>
  <c r="K50" i="4"/>
  <c r="E50" i="4"/>
  <c r="J50" i="4"/>
  <c r="H50" i="4"/>
  <c r="F50" i="4"/>
  <c r="N49" i="4"/>
  <c r="J49" i="4"/>
  <c r="H49" i="4"/>
  <c r="F49" i="4"/>
  <c r="N48" i="4"/>
  <c r="J48" i="4"/>
  <c r="H48" i="4"/>
  <c r="F48" i="4"/>
  <c r="N47" i="4"/>
  <c r="J47" i="4"/>
  <c r="H47" i="4"/>
  <c r="F47" i="4"/>
  <c r="N46" i="4"/>
  <c r="J46" i="4"/>
  <c r="H46" i="4"/>
  <c r="F46" i="4"/>
  <c r="N45" i="4"/>
  <c r="J45" i="4"/>
  <c r="H45" i="4"/>
  <c r="F45" i="4"/>
  <c r="N44" i="4"/>
  <c r="J44" i="4"/>
  <c r="H44" i="4"/>
  <c r="F44" i="4"/>
  <c r="N43" i="4"/>
  <c r="J43" i="4"/>
  <c r="H43" i="4"/>
  <c r="F43" i="4"/>
  <c r="N42" i="4"/>
  <c r="J42" i="4"/>
  <c r="H42" i="4"/>
  <c r="F42" i="4"/>
  <c r="N41" i="4"/>
  <c r="J41" i="4"/>
  <c r="H41" i="4"/>
  <c r="F41" i="4"/>
  <c r="N40" i="4"/>
  <c r="J40" i="4"/>
  <c r="H40" i="4"/>
  <c r="F40" i="4"/>
  <c r="N39" i="4"/>
  <c r="J39" i="4"/>
  <c r="H39" i="4"/>
  <c r="F39" i="4"/>
  <c r="N34" i="4"/>
  <c r="J34" i="4"/>
  <c r="H34" i="4"/>
  <c r="F34" i="4"/>
  <c r="H30" i="4"/>
  <c r="F30" i="4"/>
  <c r="N28" i="4"/>
  <c r="J28" i="4"/>
  <c r="N27" i="4"/>
  <c r="J27" i="4"/>
  <c r="N26" i="4"/>
  <c r="J26" i="4"/>
  <c r="N25" i="4"/>
  <c r="J25" i="4"/>
  <c r="I14" i="4"/>
  <c r="I20" i="4"/>
  <c r="J20" i="4"/>
  <c r="N20" i="4"/>
  <c r="K20" i="4"/>
  <c r="S19" i="4"/>
  <c r="J19" i="4"/>
  <c r="L19" i="4"/>
  <c r="P19" i="4"/>
  <c r="Q19" i="4"/>
  <c r="N19" i="4"/>
  <c r="M19" i="4"/>
  <c r="K19" i="4"/>
  <c r="L18" i="4"/>
  <c r="P18" i="4"/>
  <c r="Q18" i="4"/>
  <c r="N18" i="4"/>
  <c r="M18" i="4"/>
  <c r="K18" i="4"/>
  <c r="J17" i="4"/>
  <c r="L17" i="4"/>
  <c r="P17" i="4"/>
  <c r="Q17" i="4"/>
  <c r="I15" i="4"/>
  <c r="J16" i="4"/>
  <c r="L16" i="4"/>
  <c r="P16" i="4"/>
  <c r="Q16" i="4"/>
  <c r="N16" i="4"/>
  <c r="M16" i="4"/>
  <c r="K16" i="4"/>
  <c r="J15" i="4"/>
  <c r="L15" i="4"/>
  <c r="P15" i="4"/>
  <c r="Q15" i="4"/>
  <c r="N15" i="4"/>
  <c r="M15" i="4"/>
  <c r="K15" i="4"/>
  <c r="L14" i="4"/>
  <c r="P14" i="4"/>
  <c r="Q14" i="4"/>
  <c r="N14" i="4"/>
  <c r="M14" i="4"/>
  <c r="K14" i="4"/>
  <c r="J13" i="4"/>
  <c r="L13" i="4"/>
  <c r="P13" i="4"/>
  <c r="Q13" i="4"/>
  <c r="J12" i="4"/>
  <c r="L12" i="4"/>
  <c r="P12" i="4"/>
  <c r="Q12" i="4"/>
  <c r="N12" i="4"/>
  <c r="M12" i="4"/>
  <c r="K12" i="4"/>
  <c r="J11" i="4"/>
  <c r="L11" i="4"/>
  <c r="P11" i="4"/>
  <c r="Q11" i="4"/>
  <c r="N11" i="4"/>
  <c r="M11" i="4"/>
  <c r="K11" i="4"/>
  <c r="O10" i="4"/>
  <c r="J10" i="4"/>
  <c r="L10" i="4"/>
  <c r="P10" i="4"/>
  <c r="Q10" i="4"/>
  <c r="I10" i="4"/>
  <c r="N10" i="4"/>
  <c r="M10" i="4"/>
  <c r="K10" i="4"/>
  <c r="O9" i="4"/>
  <c r="J9" i="4"/>
  <c r="L9" i="4"/>
  <c r="P9" i="4"/>
  <c r="Q9" i="4"/>
  <c r="J3" i="4"/>
  <c r="B1" i="4"/>
  <c r="D7" i="3"/>
  <c r="D5" i="3"/>
  <c r="D4" i="3"/>
  <c r="D6" i="3"/>
  <c r="D3" i="3"/>
  <c r="J12" i="2"/>
  <c r="G12" i="2"/>
  <c r="J16" i="1"/>
  <c r="D12" i="2"/>
  <c r="L11" i="2"/>
  <c r="K11" i="2"/>
  <c r="J11" i="2"/>
  <c r="I11" i="2"/>
  <c r="H11" i="2"/>
  <c r="G11" i="2"/>
  <c r="J15" i="1"/>
  <c r="L15" i="1"/>
  <c r="M15" i="1"/>
  <c r="F11" i="2"/>
  <c r="E11" i="2"/>
  <c r="K15" i="1"/>
  <c r="D11" i="2"/>
  <c r="L10" i="2"/>
  <c r="K10" i="2"/>
  <c r="J10" i="2"/>
  <c r="H10" i="2"/>
  <c r="G10" i="2"/>
  <c r="P26" i="1"/>
  <c r="P27" i="1"/>
  <c r="I56" i="1"/>
  <c r="P28" i="1"/>
  <c r="P29" i="1"/>
  <c r="P30" i="1"/>
  <c r="P31" i="1"/>
  <c r="P25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L14" i="1"/>
  <c r="M14" i="1"/>
  <c r="F10" i="2"/>
  <c r="E10" i="2"/>
  <c r="K14" i="1"/>
  <c r="D10" i="2"/>
  <c r="K9" i="2"/>
  <c r="H9" i="2"/>
  <c r="Q26" i="1"/>
  <c r="R26" i="1"/>
  <c r="Q27" i="1"/>
  <c r="R27" i="1"/>
  <c r="G56" i="1"/>
  <c r="Q28" i="1"/>
  <c r="R28" i="1"/>
  <c r="Q29" i="1"/>
  <c r="R29" i="1"/>
  <c r="Q30" i="1"/>
  <c r="R30" i="1"/>
  <c r="Q31" i="1"/>
  <c r="R31" i="1"/>
  <c r="Q32" i="1"/>
  <c r="R32" i="1"/>
  <c r="Q33" i="1"/>
  <c r="R33" i="1"/>
  <c r="Q34" i="1"/>
  <c r="R34" i="1"/>
  <c r="Q35" i="1"/>
  <c r="R35" i="1"/>
  <c r="Q36" i="1"/>
  <c r="R36" i="1"/>
  <c r="Q37" i="1"/>
  <c r="R37" i="1"/>
  <c r="Q38" i="1"/>
  <c r="R38" i="1"/>
  <c r="Q39" i="1"/>
  <c r="R39" i="1"/>
  <c r="Q40" i="1"/>
  <c r="R40" i="1"/>
  <c r="Q41" i="1"/>
  <c r="R41" i="1"/>
  <c r="Q42" i="1"/>
  <c r="R42" i="1"/>
  <c r="Q43" i="1"/>
  <c r="R43" i="1"/>
  <c r="Q44" i="1"/>
  <c r="R44" i="1"/>
  <c r="Q45" i="1"/>
  <c r="R45" i="1"/>
  <c r="Q46" i="1"/>
  <c r="R46" i="1"/>
  <c r="Q47" i="1"/>
  <c r="R47" i="1"/>
  <c r="Q48" i="1"/>
  <c r="R48" i="1"/>
  <c r="Q49" i="1"/>
  <c r="R49" i="1"/>
  <c r="Q50" i="1"/>
  <c r="R50" i="1"/>
  <c r="Q51" i="1"/>
  <c r="R51" i="1"/>
  <c r="Q52" i="1"/>
  <c r="R52" i="1"/>
  <c r="Q53" i="1"/>
  <c r="R53" i="1"/>
  <c r="Q54" i="1"/>
  <c r="R54" i="1"/>
  <c r="Q55" i="1"/>
  <c r="R55" i="1"/>
  <c r="L13" i="1"/>
  <c r="M13" i="1"/>
  <c r="F9" i="2"/>
  <c r="J13" i="1"/>
  <c r="E9" i="2"/>
  <c r="K13" i="1"/>
  <c r="D9" i="2"/>
  <c r="L8" i="2"/>
  <c r="K8" i="2"/>
  <c r="J8" i="2"/>
  <c r="I8" i="2"/>
  <c r="H8" i="2"/>
  <c r="G8" i="2"/>
  <c r="E56" i="1"/>
  <c r="J56" i="1"/>
  <c r="J12" i="1"/>
  <c r="L12" i="1"/>
  <c r="M12" i="1"/>
  <c r="F8" i="2"/>
  <c r="E8" i="2"/>
  <c r="K12" i="1"/>
  <c r="D8" i="2"/>
  <c r="L7" i="2"/>
  <c r="K7" i="2"/>
  <c r="J7" i="2"/>
  <c r="H7" i="2"/>
  <c r="G7" i="2"/>
  <c r="L9" i="1"/>
  <c r="L8" i="1"/>
  <c r="L11" i="1"/>
  <c r="M11" i="1"/>
  <c r="F7" i="2"/>
  <c r="F56" i="1"/>
  <c r="J11" i="1"/>
  <c r="E7" i="2"/>
  <c r="K11" i="1"/>
  <c r="D7" i="2"/>
  <c r="L6" i="2"/>
  <c r="K6" i="2"/>
  <c r="J6" i="2"/>
  <c r="I6" i="2"/>
  <c r="H6" i="2"/>
  <c r="G6" i="2"/>
  <c r="H56" i="1"/>
  <c r="J10" i="1"/>
  <c r="L10" i="1"/>
  <c r="M10" i="1"/>
  <c r="F6" i="2"/>
  <c r="E6" i="2"/>
  <c r="K10" i="1"/>
  <c r="D6" i="2"/>
  <c r="K5" i="2"/>
  <c r="H5" i="2"/>
  <c r="M9" i="1"/>
  <c r="F5" i="2"/>
  <c r="J9" i="1"/>
  <c r="E5" i="2"/>
  <c r="K9" i="1"/>
  <c r="D5" i="2"/>
  <c r="K4" i="2"/>
  <c r="H4" i="2"/>
  <c r="M8" i="1"/>
  <c r="F4" i="2"/>
  <c r="E4" i="2"/>
  <c r="D4" i="2"/>
  <c r="J2" i="2"/>
  <c r="G2" i="2"/>
  <c r="D2" i="2"/>
  <c r="I57" i="1"/>
  <c r="I58" i="1"/>
  <c r="D58" i="1"/>
  <c r="D57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R56" i="1"/>
  <c r="Q56" i="1"/>
  <c r="P56" i="1"/>
  <c r="O56" i="1"/>
  <c r="N56" i="1"/>
  <c r="M56" i="1"/>
  <c r="L56" i="1"/>
  <c r="K56" i="1"/>
  <c r="O55" i="1"/>
  <c r="N55" i="1"/>
  <c r="J55" i="1"/>
  <c r="H55" i="1"/>
  <c r="F55" i="1"/>
  <c r="O54" i="1"/>
  <c r="N54" i="1"/>
  <c r="J54" i="1"/>
  <c r="H54" i="1"/>
  <c r="F54" i="1"/>
  <c r="O53" i="1"/>
  <c r="N53" i="1"/>
  <c r="J53" i="1"/>
  <c r="H53" i="1"/>
  <c r="F53" i="1"/>
  <c r="O52" i="1"/>
  <c r="N52" i="1"/>
  <c r="J52" i="1"/>
  <c r="H52" i="1"/>
  <c r="F52" i="1"/>
  <c r="O51" i="1"/>
  <c r="N51" i="1"/>
  <c r="J51" i="1"/>
  <c r="H51" i="1"/>
  <c r="F51" i="1"/>
  <c r="O50" i="1"/>
  <c r="N50" i="1"/>
  <c r="J50" i="1"/>
  <c r="H50" i="1"/>
  <c r="F50" i="1"/>
  <c r="O49" i="1"/>
  <c r="N49" i="1"/>
  <c r="J49" i="1"/>
  <c r="H49" i="1"/>
  <c r="F49" i="1"/>
  <c r="O48" i="1"/>
  <c r="N48" i="1"/>
  <c r="J48" i="1"/>
  <c r="H48" i="1"/>
  <c r="F48" i="1"/>
  <c r="O47" i="1"/>
  <c r="N47" i="1"/>
  <c r="J47" i="1"/>
  <c r="H47" i="1"/>
  <c r="F47" i="1"/>
  <c r="O46" i="1"/>
  <c r="N46" i="1"/>
  <c r="J46" i="1"/>
  <c r="H46" i="1"/>
  <c r="F46" i="1"/>
  <c r="O45" i="1"/>
  <c r="N45" i="1"/>
  <c r="J45" i="1"/>
  <c r="H45" i="1"/>
  <c r="F45" i="1"/>
  <c r="O44" i="1"/>
  <c r="N44" i="1"/>
  <c r="J44" i="1"/>
  <c r="H44" i="1"/>
  <c r="F44" i="1"/>
  <c r="O43" i="1"/>
  <c r="N43" i="1"/>
  <c r="J43" i="1"/>
  <c r="H43" i="1"/>
  <c r="F43" i="1"/>
  <c r="O42" i="1"/>
  <c r="N42" i="1"/>
  <c r="J42" i="1"/>
  <c r="H42" i="1"/>
  <c r="F42" i="1"/>
  <c r="O41" i="1"/>
  <c r="N41" i="1"/>
  <c r="J41" i="1"/>
  <c r="H41" i="1"/>
  <c r="F41" i="1"/>
  <c r="O40" i="1"/>
  <c r="N40" i="1"/>
  <c r="J40" i="1"/>
  <c r="H40" i="1"/>
  <c r="F40" i="1"/>
  <c r="O39" i="1"/>
  <c r="N39" i="1"/>
  <c r="J39" i="1"/>
  <c r="H39" i="1"/>
  <c r="F39" i="1"/>
  <c r="O38" i="1"/>
  <c r="N38" i="1"/>
  <c r="J38" i="1"/>
  <c r="H38" i="1"/>
  <c r="F38" i="1"/>
  <c r="O37" i="1"/>
  <c r="N37" i="1"/>
  <c r="J37" i="1"/>
  <c r="H37" i="1"/>
  <c r="F37" i="1"/>
  <c r="O36" i="1"/>
  <c r="N36" i="1"/>
  <c r="J36" i="1"/>
  <c r="H36" i="1"/>
  <c r="F36" i="1"/>
  <c r="O35" i="1"/>
  <c r="N35" i="1"/>
  <c r="J35" i="1"/>
  <c r="H35" i="1"/>
  <c r="F35" i="1"/>
  <c r="O34" i="1"/>
  <c r="N34" i="1"/>
  <c r="J34" i="1"/>
  <c r="H34" i="1"/>
  <c r="F34" i="1"/>
  <c r="O33" i="1"/>
  <c r="N33" i="1"/>
  <c r="J33" i="1"/>
  <c r="H33" i="1"/>
  <c r="F33" i="1"/>
  <c r="O32" i="1"/>
  <c r="N32" i="1"/>
  <c r="J32" i="1"/>
  <c r="H32" i="1"/>
  <c r="F32" i="1"/>
  <c r="O31" i="1"/>
  <c r="N31" i="1"/>
  <c r="J31" i="1"/>
  <c r="H31" i="1"/>
  <c r="F31" i="1"/>
  <c r="O30" i="1"/>
  <c r="N30" i="1"/>
  <c r="J30" i="1"/>
  <c r="H30" i="1"/>
  <c r="F30" i="1"/>
  <c r="O29" i="1"/>
  <c r="N29" i="1"/>
  <c r="J29" i="1"/>
  <c r="H29" i="1"/>
  <c r="F29" i="1"/>
  <c r="O28" i="1"/>
  <c r="N28" i="1"/>
  <c r="J28" i="1"/>
  <c r="H28" i="1"/>
  <c r="F28" i="1"/>
  <c r="O27" i="1"/>
  <c r="N27" i="1"/>
  <c r="J27" i="1"/>
  <c r="H27" i="1"/>
  <c r="F27" i="1"/>
  <c r="O26" i="1"/>
  <c r="N26" i="1"/>
  <c r="J26" i="1"/>
  <c r="H26" i="1"/>
  <c r="F26" i="1"/>
  <c r="O25" i="1"/>
  <c r="N25" i="1"/>
  <c r="J25" i="1"/>
  <c r="H25" i="1"/>
  <c r="F25" i="1"/>
  <c r="L20" i="1"/>
  <c r="P20" i="1"/>
  <c r="Q20" i="1"/>
  <c r="J20" i="1"/>
  <c r="N20" i="1"/>
  <c r="M20" i="1"/>
  <c r="K20" i="1"/>
  <c r="S19" i="1"/>
  <c r="J19" i="1"/>
  <c r="L19" i="1"/>
  <c r="P19" i="1"/>
  <c r="Q19" i="1"/>
  <c r="N19" i="1"/>
  <c r="M19" i="1"/>
  <c r="K19" i="1"/>
  <c r="L18" i="1"/>
  <c r="P18" i="1"/>
  <c r="Q18" i="1"/>
  <c r="N18" i="1"/>
  <c r="M18" i="1"/>
  <c r="K18" i="1"/>
  <c r="J17" i="1"/>
  <c r="L17" i="1"/>
  <c r="P17" i="1"/>
  <c r="Q17" i="1"/>
  <c r="N17" i="1"/>
  <c r="M17" i="1"/>
  <c r="K17" i="1"/>
  <c r="L16" i="1"/>
  <c r="P16" i="1"/>
  <c r="Q16" i="1"/>
  <c r="N16" i="1"/>
  <c r="M16" i="1"/>
  <c r="K16" i="1"/>
  <c r="P15" i="1"/>
  <c r="Q15" i="1"/>
  <c r="N15" i="1"/>
  <c r="P14" i="1"/>
  <c r="Q14" i="1"/>
  <c r="N14" i="1"/>
  <c r="P13" i="1"/>
  <c r="Q13" i="1"/>
  <c r="N13" i="1"/>
  <c r="P12" i="1"/>
  <c r="Q12" i="1"/>
  <c r="N12" i="1"/>
  <c r="P11" i="1"/>
  <c r="Q11" i="1"/>
  <c r="N11" i="1"/>
  <c r="O10" i="1"/>
  <c r="P10" i="1"/>
  <c r="Q10" i="1"/>
  <c r="N10" i="1"/>
  <c r="O9" i="1"/>
  <c r="P9" i="1"/>
  <c r="Q9" i="1"/>
  <c r="N9" i="1"/>
  <c r="P8" i="1"/>
  <c r="Q8" i="1"/>
  <c r="N8" i="1"/>
  <c r="C4" i="1"/>
  <c r="E4" i="1"/>
  <c r="B1" i="1"/>
  <c r="S25" i="7"/>
  <c r="S29" i="7"/>
  <c r="T25" i="7"/>
  <c r="T26" i="7"/>
  <c r="T27" i="7"/>
  <c r="T28" i="7"/>
  <c r="T29" i="7"/>
  <c r="U25" i="7"/>
  <c r="U26" i="7"/>
  <c r="U27" i="7"/>
  <c r="U28" i="7"/>
  <c r="U29" i="7"/>
  <c r="S28" i="4"/>
  <c r="AJ31" i="10" l="1"/>
  <c r="AK31" i="10"/>
  <c r="AI31" i="10"/>
  <c r="S50" i="5"/>
  <c r="L24" i="9"/>
  <c r="N24" i="9" s="1"/>
  <c r="L19" i="9" s="1"/>
  <c r="I4" i="9" s="1"/>
  <c r="I8" i="7"/>
  <c r="I8" i="6"/>
  <c r="I17" i="6"/>
  <c r="I17" i="5"/>
  <c r="I8" i="4"/>
  <c r="I17" i="4"/>
  <c r="I8" i="5"/>
  <c r="I17" i="7"/>
  <c r="M11" i="6"/>
  <c r="P11" i="6"/>
  <c r="Q11" i="6" s="1"/>
  <c r="P14" i="6"/>
  <c r="Q14" i="6" s="1"/>
  <c r="G16" i="9"/>
  <c r="D12" i="9" s="1"/>
  <c r="G4" i="9" s="1"/>
  <c r="J25" i="9"/>
  <c r="K4" i="9" l="1"/>
  <c r="M4" i="9" s="1"/>
  <c r="P33" i="4"/>
  <c r="O33" i="4" s="1"/>
  <c r="P40" i="4"/>
  <c r="O40" i="4" s="1"/>
  <c r="P48" i="4"/>
  <c r="O48" i="4" s="1"/>
  <c r="P38" i="4"/>
  <c r="O38" i="4" s="1"/>
  <c r="P32" i="4"/>
  <c r="O32" i="4" s="1"/>
  <c r="P30" i="4"/>
  <c r="P41" i="4"/>
  <c r="O41" i="4" s="1"/>
  <c r="P49" i="4"/>
  <c r="O49" i="4" s="1"/>
  <c r="K8" i="4"/>
  <c r="P36" i="4"/>
  <c r="O36" i="4" s="1"/>
  <c r="P26" i="4"/>
  <c r="O26" i="4" s="1"/>
  <c r="P42" i="4"/>
  <c r="O42" i="4" s="1"/>
  <c r="C4" i="4"/>
  <c r="E4" i="4" s="1"/>
  <c r="P27" i="4"/>
  <c r="O27" i="4" s="1"/>
  <c r="P43" i="4"/>
  <c r="O43" i="4" s="1"/>
  <c r="P28" i="4"/>
  <c r="P44" i="4"/>
  <c r="O44" i="4" s="1"/>
  <c r="P37" i="4"/>
  <c r="O37" i="4" s="1"/>
  <c r="P25" i="4"/>
  <c r="P45" i="4"/>
  <c r="O45" i="4" s="1"/>
  <c r="I9" i="4"/>
  <c r="P34" i="4"/>
  <c r="O34" i="4" s="1"/>
  <c r="P46" i="4"/>
  <c r="O46" i="4" s="1"/>
  <c r="P35" i="4"/>
  <c r="O35" i="4" s="1"/>
  <c r="P39" i="4"/>
  <c r="O39" i="4" s="1"/>
  <c r="P47" i="4"/>
  <c r="O47" i="4" s="1"/>
  <c r="N17" i="5"/>
  <c r="M17" i="5"/>
  <c r="K17" i="5"/>
  <c r="N17" i="6"/>
  <c r="M17" i="6"/>
  <c r="K17" i="6"/>
  <c r="P31" i="6"/>
  <c r="O31" i="6" s="1"/>
  <c r="P39" i="6"/>
  <c r="O39" i="6" s="1"/>
  <c r="P47" i="6"/>
  <c r="O47" i="6" s="1"/>
  <c r="P32" i="6"/>
  <c r="O32" i="6" s="1"/>
  <c r="P40" i="6"/>
  <c r="O40" i="6" s="1"/>
  <c r="P25" i="6"/>
  <c r="P33" i="6"/>
  <c r="O33" i="6" s="1"/>
  <c r="P41" i="6"/>
  <c r="O41" i="6" s="1"/>
  <c r="P26" i="6"/>
  <c r="O26" i="6" s="1"/>
  <c r="P34" i="6"/>
  <c r="O34" i="6" s="1"/>
  <c r="P42" i="6"/>
  <c r="O42" i="6" s="1"/>
  <c r="P27" i="6"/>
  <c r="O27" i="6" s="1"/>
  <c r="P35" i="6"/>
  <c r="O35" i="6" s="1"/>
  <c r="P43" i="6"/>
  <c r="O43" i="6" s="1"/>
  <c r="P28" i="6"/>
  <c r="O28" i="6" s="1"/>
  <c r="P36" i="6"/>
  <c r="O36" i="6" s="1"/>
  <c r="P44" i="6"/>
  <c r="O44" i="6" s="1"/>
  <c r="I9" i="6"/>
  <c r="N8" i="6"/>
  <c r="P29" i="6"/>
  <c r="O29" i="6" s="1"/>
  <c r="P37" i="6"/>
  <c r="O37" i="6" s="1"/>
  <c r="P45" i="6"/>
  <c r="O45" i="6" s="1"/>
  <c r="K8" i="6"/>
  <c r="L20" i="6" s="1"/>
  <c r="M8" i="6"/>
  <c r="P30" i="6"/>
  <c r="O30" i="6" s="1"/>
  <c r="P38" i="6"/>
  <c r="O38" i="6" s="1"/>
  <c r="P46" i="6"/>
  <c r="O46" i="6" s="1"/>
  <c r="C4" i="6"/>
  <c r="E4" i="6" s="1"/>
  <c r="P31" i="7"/>
  <c r="O31" i="7" s="1"/>
  <c r="P39" i="7"/>
  <c r="O39" i="7" s="1"/>
  <c r="P47" i="7"/>
  <c r="O47" i="7" s="1"/>
  <c r="P32" i="7"/>
  <c r="O32" i="7" s="1"/>
  <c r="P40" i="7"/>
  <c r="O40" i="7" s="1"/>
  <c r="P25" i="7"/>
  <c r="P33" i="7"/>
  <c r="O33" i="7" s="1"/>
  <c r="P41" i="7"/>
  <c r="O41" i="7" s="1"/>
  <c r="P26" i="7"/>
  <c r="P34" i="7"/>
  <c r="O34" i="7" s="1"/>
  <c r="P42" i="7"/>
  <c r="O42" i="7" s="1"/>
  <c r="N8" i="7"/>
  <c r="P27" i="7"/>
  <c r="O27" i="7" s="1"/>
  <c r="P35" i="7"/>
  <c r="O35" i="7" s="1"/>
  <c r="P43" i="7"/>
  <c r="O43" i="7" s="1"/>
  <c r="P28" i="7"/>
  <c r="O28" i="7" s="1"/>
  <c r="P36" i="7"/>
  <c r="O36" i="7" s="1"/>
  <c r="P44" i="7"/>
  <c r="O44" i="7" s="1"/>
  <c r="I9" i="7"/>
  <c r="K8" i="7"/>
  <c r="L20" i="7" s="1"/>
  <c r="C4" i="7"/>
  <c r="S26" i="7"/>
  <c r="P29" i="7"/>
  <c r="O29" i="7" s="1"/>
  <c r="P37" i="7"/>
  <c r="O37" i="7" s="1"/>
  <c r="P45" i="7"/>
  <c r="O45" i="7" s="1"/>
  <c r="E4" i="7"/>
  <c r="P30" i="7"/>
  <c r="O30" i="7" s="1"/>
  <c r="P38" i="7"/>
  <c r="O38" i="7" s="1"/>
  <c r="P46" i="7"/>
  <c r="O46" i="7" s="1"/>
  <c r="N17" i="7"/>
  <c r="M17" i="7"/>
  <c r="K17" i="7"/>
  <c r="I9" i="5"/>
  <c r="P31" i="5"/>
  <c r="O31" i="5" s="1"/>
  <c r="P40" i="5"/>
  <c r="O40" i="5" s="1"/>
  <c r="P46" i="5"/>
  <c r="O46" i="5" s="1"/>
  <c r="P32" i="5"/>
  <c r="O32" i="5" s="1"/>
  <c r="P41" i="5"/>
  <c r="O41" i="5" s="1"/>
  <c r="K8" i="5"/>
  <c r="P25" i="5"/>
  <c r="P33" i="5"/>
  <c r="O33" i="5" s="1"/>
  <c r="P42" i="5"/>
  <c r="O42" i="5" s="1"/>
  <c r="P48" i="5"/>
  <c r="O48" i="5" s="1"/>
  <c r="P26" i="5"/>
  <c r="O26" i="5" s="1"/>
  <c r="P34" i="5"/>
  <c r="O34" i="5" s="1"/>
  <c r="P43" i="5"/>
  <c r="O43" i="5" s="1"/>
  <c r="P45" i="5"/>
  <c r="O45" i="5" s="1"/>
  <c r="P27" i="5"/>
  <c r="O27" i="5" s="1"/>
  <c r="P35" i="5"/>
  <c r="O35" i="5" s="1"/>
  <c r="P44" i="5"/>
  <c r="O44" i="5" s="1"/>
  <c r="P28" i="5"/>
  <c r="O28" i="5" s="1"/>
  <c r="P36" i="5"/>
  <c r="O36" i="5" s="1"/>
  <c r="P49" i="5"/>
  <c r="O49" i="5" s="1"/>
  <c r="P47" i="5"/>
  <c r="O47" i="5" s="1"/>
  <c r="P29" i="5"/>
  <c r="O29" i="5" s="1"/>
  <c r="P37" i="5"/>
  <c r="O37" i="5" s="1"/>
  <c r="P30" i="5"/>
  <c r="O30" i="5" s="1"/>
  <c r="P39" i="5"/>
  <c r="O39" i="5" s="1"/>
  <c r="C4" i="5"/>
  <c r="E4" i="5" s="1"/>
  <c r="K17" i="4"/>
  <c r="N17" i="4"/>
  <c r="M17" i="4"/>
  <c r="Q25" i="5" l="1"/>
  <c r="Q33" i="5"/>
  <c r="R33" i="5" s="1"/>
  <c r="Q42" i="5"/>
  <c r="R42" i="5" s="1"/>
  <c r="Q48" i="5"/>
  <c r="R48" i="5" s="1"/>
  <c r="Q26" i="5"/>
  <c r="R26" i="5" s="1"/>
  <c r="Q34" i="5"/>
  <c r="R34" i="5" s="1"/>
  <c r="Q43" i="5"/>
  <c r="R43" i="5" s="1"/>
  <c r="T27" i="5"/>
  <c r="T50" i="5" s="1"/>
  <c r="Q45" i="5"/>
  <c r="R45" i="5" s="1"/>
  <c r="Q27" i="5"/>
  <c r="R27" i="5" s="1"/>
  <c r="Q35" i="5"/>
  <c r="R35" i="5" s="1"/>
  <c r="Q44" i="5"/>
  <c r="R44" i="5" s="1"/>
  <c r="Q28" i="5"/>
  <c r="R28" i="5" s="1"/>
  <c r="Q36" i="5"/>
  <c r="R36" i="5" s="1"/>
  <c r="Q49" i="5"/>
  <c r="R49" i="5" s="1"/>
  <c r="K9" i="5"/>
  <c r="G5" i="2" s="1"/>
  <c r="Q47" i="5"/>
  <c r="R47" i="5" s="1"/>
  <c r="Q29" i="5"/>
  <c r="R29" i="5" s="1"/>
  <c r="Q37" i="5"/>
  <c r="R37" i="5" s="1"/>
  <c r="Q30" i="5"/>
  <c r="R30" i="5" s="1"/>
  <c r="Q39" i="5"/>
  <c r="R39" i="5" s="1"/>
  <c r="I13" i="5"/>
  <c r="Q31" i="5"/>
  <c r="R31" i="5" s="1"/>
  <c r="Q40" i="5"/>
  <c r="R40" i="5" s="1"/>
  <c r="U27" i="5"/>
  <c r="U50" i="5" s="1"/>
  <c r="Q46" i="5"/>
  <c r="R46" i="5" s="1"/>
  <c r="Q32" i="5"/>
  <c r="R32" i="5" s="1"/>
  <c r="Q41" i="5"/>
  <c r="R41" i="5" s="1"/>
  <c r="S27" i="7"/>
  <c r="Q36" i="4"/>
  <c r="R36" i="4" s="1"/>
  <c r="Q25" i="4"/>
  <c r="Q34" i="4"/>
  <c r="R34" i="4" s="1"/>
  <c r="Q42" i="4"/>
  <c r="R42" i="4" s="1"/>
  <c r="Q46" i="4"/>
  <c r="R46" i="4" s="1"/>
  <c r="U39" i="4"/>
  <c r="I13" i="4"/>
  <c r="N9" i="4"/>
  <c r="Q37" i="4"/>
  <c r="R37" i="4" s="1"/>
  <c r="T39" i="4"/>
  <c r="T40" i="4" s="1"/>
  <c r="Q26" i="4"/>
  <c r="R26" i="4" s="1"/>
  <c r="Q39" i="4"/>
  <c r="R39" i="4" s="1"/>
  <c r="Q43" i="4"/>
  <c r="R43" i="4" s="1"/>
  <c r="Q47" i="4"/>
  <c r="R47" i="4" s="1"/>
  <c r="M9" i="4"/>
  <c r="L5" i="2" s="1"/>
  <c r="K9" i="4"/>
  <c r="J5" i="2" s="1"/>
  <c r="Q35" i="4"/>
  <c r="R35" i="4" s="1"/>
  <c r="Q27" i="4"/>
  <c r="R27" i="4" s="1"/>
  <c r="Q40" i="4"/>
  <c r="R40" i="4" s="1"/>
  <c r="Q44" i="4"/>
  <c r="R44" i="4" s="1"/>
  <c r="Q48" i="4"/>
  <c r="R48" i="4" s="1"/>
  <c r="Q33" i="4"/>
  <c r="R33" i="4" s="1"/>
  <c r="Q38" i="4"/>
  <c r="R38" i="4" s="1"/>
  <c r="Q32" i="4"/>
  <c r="R32" i="4" s="1"/>
  <c r="Q28" i="4"/>
  <c r="R28" i="4" s="1"/>
  <c r="Q41" i="4"/>
  <c r="R41" i="4" s="1"/>
  <c r="Q45" i="4"/>
  <c r="R45" i="4" s="1"/>
  <c r="Q49" i="4"/>
  <c r="R49" i="4" s="1"/>
  <c r="P20" i="6"/>
  <c r="Q20" i="6" s="1"/>
  <c r="M20" i="6"/>
  <c r="D51" i="4"/>
  <c r="P50" i="4"/>
  <c r="O50" i="4" s="1"/>
  <c r="O25" i="4"/>
  <c r="D49" i="7"/>
  <c r="O26" i="7"/>
  <c r="L8" i="7"/>
  <c r="L14" i="7"/>
  <c r="P48" i="7"/>
  <c r="O48" i="7" s="1"/>
  <c r="O25" i="7"/>
  <c r="S25" i="6"/>
  <c r="O25" i="6"/>
  <c r="D49" i="6"/>
  <c r="P48" i="6"/>
  <c r="O48" i="6" s="1"/>
  <c r="O28" i="4"/>
  <c r="L8" i="4"/>
  <c r="P50" i="5"/>
  <c r="O50" i="5" s="1"/>
  <c r="O25" i="5"/>
  <c r="L8" i="5"/>
  <c r="L14" i="5"/>
  <c r="M20" i="7"/>
  <c r="P20" i="7"/>
  <c r="Q20" i="7" s="1"/>
  <c r="G4" i="2"/>
  <c r="L20" i="5"/>
  <c r="Q26" i="7"/>
  <c r="R26" i="7" s="1"/>
  <c r="Q30" i="7"/>
  <c r="R30" i="7" s="1"/>
  <c r="Q34" i="7"/>
  <c r="R34" i="7" s="1"/>
  <c r="Q38" i="7"/>
  <c r="R38" i="7" s="1"/>
  <c r="Q42" i="7"/>
  <c r="R42" i="7" s="1"/>
  <c r="Q46" i="7"/>
  <c r="R46" i="7" s="1"/>
  <c r="K9" i="7"/>
  <c r="I13" i="7"/>
  <c r="Q27" i="7"/>
  <c r="R27" i="7" s="1"/>
  <c r="Q31" i="7"/>
  <c r="R31" i="7" s="1"/>
  <c r="Q35" i="7"/>
  <c r="R35" i="7" s="1"/>
  <c r="Q39" i="7"/>
  <c r="R39" i="7" s="1"/>
  <c r="Q43" i="7"/>
  <c r="R43" i="7" s="1"/>
  <c r="Q47" i="7"/>
  <c r="R47" i="7" s="1"/>
  <c r="Q28" i="7"/>
  <c r="R28" i="7" s="1"/>
  <c r="Q32" i="7"/>
  <c r="R32" i="7" s="1"/>
  <c r="Q36" i="7"/>
  <c r="R36" i="7" s="1"/>
  <c r="Q40" i="7"/>
  <c r="R40" i="7" s="1"/>
  <c r="Q44" i="7"/>
  <c r="R44" i="7" s="1"/>
  <c r="T30" i="7"/>
  <c r="T31" i="7" s="1"/>
  <c r="Q25" i="7"/>
  <c r="Q29" i="7"/>
  <c r="R29" i="7" s="1"/>
  <c r="Q33" i="7"/>
  <c r="R33" i="7" s="1"/>
  <c r="Q37" i="7"/>
  <c r="R37" i="7" s="1"/>
  <c r="Q41" i="7"/>
  <c r="R41" i="7" s="1"/>
  <c r="Q45" i="7"/>
  <c r="R45" i="7" s="1"/>
  <c r="N9" i="7"/>
  <c r="U30" i="7"/>
  <c r="Q26" i="6"/>
  <c r="R26" i="6" s="1"/>
  <c r="Q30" i="6"/>
  <c r="R30" i="6" s="1"/>
  <c r="Q34" i="6"/>
  <c r="R34" i="6" s="1"/>
  <c r="Q38" i="6"/>
  <c r="R38" i="6" s="1"/>
  <c r="Q42" i="6"/>
  <c r="R42" i="6" s="1"/>
  <c r="Q46" i="6"/>
  <c r="R46" i="6" s="1"/>
  <c r="M9" i="6"/>
  <c r="K9" i="6"/>
  <c r="Q27" i="6"/>
  <c r="R27" i="6" s="1"/>
  <c r="Q31" i="6"/>
  <c r="R31" i="6" s="1"/>
  <c r="Q35" i="6"/>
  <c r="R35" i="6" s="1"/>
  <c r="Q39" i="6"/>
  <c r="R39" i="6" s="1"/>
  <c r="Q43" i="6"/>
  <c r="R43" i="6" s="1"/>
  <c r="Q47" i="6"/>
  <c r="R47" i="6" s="1"/>
  <c r="I13" i="6"/>
  <c r="Q28" i="6"/>
  <c r="R28" i="6" s="1"/>
  <c r="Q32" i="6"/>
  <c r="R32" i="6" s="1"/>
  <c r="Q36" i="6"/>
  <c r="R36" i="6" s="1"/>
  <c r="Q40" i="6"/>
  <c r="R40" i="6" s="1"/>
  <c r="Q44" i="6"/>
  <c r="R44" i="6" s="1"/>
  <c r="Q25" i="6"/>
  <c r="Q29" i="6"/>
  <c r="R29" i="6" s="1"/>
  <c r="Q33" i="6"/>
  <c r="R33" i="6" s="1"/>
  <c r="Q37" i="6"/>
  <c r="R37" i="6" s="1"/>
  <c r="Q41" i="6"/>
  <c r="R41" i="6" s="1"/>
  <c r="Q45" i="6"/>
  <c r="R45" i="6" s="1"/>
  <c r="N9" i="6"/>
  <c r="L20" i="4"/>
  <c r="J4" i="2"/>
  <c r="S28" i="7"/>
  <c r="T32" i="7" l="1"/>
  <c r="T33" i="7" s="1"/>
  <c r="N13" i="4"/>
  <c r="M13" i="4"/>
  <c r="L9" i="2" s="1"/>
  <c r="K13" i="4"/>
  <c r="J9" i="2" s="1"/>
  <c r="P8" i="5"/>
  <c r="Q8" i="5" s="1"/>
  <c r="M8" i="5"/>
  <c r="I4" i="2" s="1"/>
  <c r="N8" i="5"/>
  <c r="S26" i="6"/>
  <c r="P14" i="5"/>
  <c r="Q14" i="5" s="1"/>
  <c r="N14" i="5"/>
  <c r="M14" i="5"/>
  <c r="I10" i="2" s="1"/>
  <c r="T25" i="6"/>
  <c r="Q48" i="6"/>
  <c r="R25" i="6"/>
  <c r="N13" i="6"/>
  <c r="K13" i="6"/>
  <c r="L9" i="7"/>
  <c r="Q48" i="7"/>
  <c r="R25" i="7"/>
  <c r="K13" i="7"/>
  <c r="N13" i="7"/>
  <c r="U31" i="7"/>
  <c r="P8" i="4"/>
  <c r="Q8" i="4" s="1"/>
  <c r="M8" i="4"/>
  <c r="L4" i="2" s="1"/>
  <c r="N8" i="4"/>
  <c r="P14" i="7"/>
  <c r="Q14" i="7" s="1"/>
  <c r="M14" i="7"/>
  <c r="U40" i="4"/>
  <c r="Q50" i="5"/>
  <c r="L9" i="5"/>
  <c r="R25" i="5"/>
  <c r="M20" i="4"/>
  <c r="P20" i="4"/>
  <c r="Q20" i="4" s="1"/>
  <c r="L13" i="6"/>
  <c r="P13" i="6" s="1"/>
  <c r="Q13" i="6" s="1"/>
  <c r="P8" i="7"/>
  <c r="Q8" i="7" s="1"/>
  <c r="M8" i="7"/>
  <c r="T41" i="4"/>
  <c r="K13" i="5"/>
  <c r="G9" i="2" s="1"/>
  <c r="M20" i="5"/>
  <c r="P20" i="5"/>
  <c r="Q20" i="5" s="1"/>
  <c r="S30" i="7"/>
  <c r="R25" i="4"/>
  <c r="R50" i="4" s="1"/>
  <c r="Q50" i="4"/>
  <c r="S27" i="6" l="1"/>
  <c r="S28" i="6" s="1"/>
  <c r="M13" i="6"/>
  <c r="T34" i="7"/>
  <c r="T48" i="7" s="1"/>
  <c r="S31" i="7"/>
  <c r="U41" i="4"/>
  <c r="L11" i="7"/>
  <c r="P9" i="7"/>
  <c r="Q9" i="7" s="1"/>
  <c r="M9" i="7"/>
  <c r="T42" i="4"/>
  <c r="T43" i="4" s="1"/>
  <c r="U32" i="7"/>
  <c r="U33" i="7" s="1"/>
  <c r="L11" i="5"/>
  <c r="P9" i="5"/>
  <c r="Q9" i="5" s="1"/>
  <c r="N9" i="5"/>
  <c r="M9" i="5"/>
  <c r="I5" i="2" s="1"/>
  <c r="R50" i="5"/>
  <c r="L13" i="5"/>
  <c r="U25" i="6"/>
  <c r="R48" i="6"/>
  <c r="L13" i="7"/>
  <c r="R48" i="7"/>
  <c r="T26" i="6"/>
  <c r="S29" i="6" l="1"/>
  <c r="S48" i="6"/>
  <c r="U42" i="4"/>
  <c r="U43" i="4" s="1"/>
  <c r="U34" i="7"/>
  <c r="U48" i="7" s="1"/>
  <c r="T27" i="6"/>
  <c r="U27" i="6"/>
  <c r="N11" i="5"/>
  <c r="M11" i="5"/>
  <c r="I7" i="2" s="1"/>
  <c r="P11" i="5"/>
  <c r="Q11" i="5" s="1"/>
  <c r="P13" i="5"/>
  <c r="Q13" i="5" s="1"/>
  <c r="N13" i="5"/>
  <c r="M13" i="5"/>
  <c r="I9" i="2" s="1"/>
  <c r="T44" i="4"/>
  <c r="P13" i="7"/>
  <c r="Q13" i="7" s="1"/>
  <c r="M13" i="7"/>
  <c r="P11" i="7"/>
  <c r="Q11" i="7" s="1"/>
  <c r="N11" i="7"/>
  <c r="M11" i="7"/>
  <c r="S32" i="7"/>
  <c r="U44" i="4" l="1"/>
  <c r="U45" i="4" s="1"/>
  <c r="T45" i="4"/>
  <c r="T46" i="4" s="1"/>
  <c r="T47" i="4" s="1"/>
  <c r="S33" i="7"/>
  <c r="S34" i="7" s="1"/>
  <c r="S48" i="7" s="1"/>
  <c r="U28" i="6"/>
  <c r="T28" i="6"/>
  <c r="T29" i="6" s="1"/>
  <c r="T48" i="4" l="1"/>
  <c r="T50" i="4" s="1"/>
  <c r="U46" i="4"/>
  <c r="U47" i="4"/>
  <c r="U48" i="4"/>
  <c r="U50" i="4" s="1"/>
  <c r="U29" i="6"/>
  <c r="U48" i="6" s="1"/>
  <c r="T48" i="6"/>
  <c r="S39" i="4" l="1"/>
  <c r="S26" i="4"/>
  <c r="S40" i="4"/>
  <c r="S45" i="4"/>
  <c r="S50" i="4"/>
  <c r="S48" i="4"/>
  <c r="S27" i="4"/>
  <c r="S41" i="4"/>
  <c r="S43" i="4"/>
  <c r="S47" i="4"/>
  <c r="S44" i="4"/>
  <c r="S42" i="4"/>
  <c r="S25" i="4"/>
  <c r="S46" i="4"/>
</calcChain>
</file>

<file path=xl/sharedStrings.xml><?xml version="1.0" encoding="utf-8"?>
<sst xmlns="http://schemas.openxmlformats.org/spreadsheetml/2006/main" count="567" uniqueCount="131">
  <si>
    <t>(отчетная дата)</t>
  </si>
  <si>
    <t xml:space="preserve">                          ЕЖЕДНЕВНЫЙ ОТЧЕТ О ПРОДАЖАХ</t>
  </si>
  <si>
    <t>Осталось до выполнения плана!!!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</si>
  <si>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</si>
  <si>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</si>
  <si>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</si>
  <si>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</si>
  <si>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</si>
  <si>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</si>
  <si>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</si>
  <si>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</si>
  <si>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</si>
  <si>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</si>
  <si>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</si>
  <si>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</si>
  <si>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</si>
  <si>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</si>
  <si>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</si>
  <si>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</si>
  <si>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</si>
  <si>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</si>
  <si>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</si>
  <si>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Подарочные сертификаты</t>
  </si>
  <si>
    <t>Трафик</t>
  </si>
  <si>
    <t>Конверсия план/факт</t>
  </si>
  <si>
    <t>Факт продаж за месяц</t>
  </si>
  <si>
    <t>% выполнения дневного плана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</si>
  <si>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</si>
  <si>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</si>
  <si>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</si>
  <si>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</si>
  <si>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</si>
  <si>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</si>
  <si>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</si>
  <si>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</si>
  <si>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</si>
  <si>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</si>
  <si>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Запасной</t>
  </si>
  <si>
    <t>Конверсия (%)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</si>
  <si>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</si>
  <si>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</si>
  <si>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</si>
  <si>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</si>
  <si>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</si>
  <si>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</si>
  <si>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</si>
  <si>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</si>
  <si>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ср</t>
  </si>
  <si>
    <t>чт</t>
  </si>
  <si>
    <t>пт</t>
  </si>
  <si>
    <t>сб</t>
  </si>
  <si>
    <t>вс</t>
  </si>
  <si>
    <t>пн</t>
  </si>
  <si>
    <t>вт</t>
  </si>
  <si>
    <t>итого</t>
  </si>
  <si>
    <t>Сводная по показателям</t>
  </si>
  <si>
    <t xml:space="preserve">Факт </t>
  </si>
  <si>
    <t>Прогноз</t>
  </si>
  <si>
    <t>Кол-во смен план/отработано</t>
  </si>
  <si>
    <t>Конверсия</t>
  </si>
  <si>
    <t>в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</si>
  <si>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</si>
  <si>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</si>
  <si>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</si>
  <si>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</si>
  <si>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</si>
  <si>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</si>
  <si>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</si>
  <si>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Итого: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</si>
  <si>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</si>
  <si>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</si>
  <si>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</si>
  <si>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</si>
  <si>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</si>
  <si>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</si>
  <si>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Оклад: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</si>
  <si>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</si>
  <si>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</si>
  <si>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</si>
  <si>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</si>
  <si>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</si>
  <si>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</si>
  <si>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КВП</t>
  </si>
  <si>
    <t>Начисленный ББ</t>
  </si>
  <si>
    <t>ПК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</si>
  <si>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</si>
  <si>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</si>
  <si>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</si>
  <si>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</si>
  <si>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</si>
  <si>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</si>
  <si>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</si>
  <si>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</si>
  <si>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10.00-21.00</t>
  </si>
  <si>
    <t>ФОТ</t>
  </si>
  <si>
    <t>Кол-во дней в месяц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</si>
  <si>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</si>
  <si>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</si>
  <si>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</si>
  <si>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</si>
  <si>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</si>
  <si>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</si>
  <si>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</si>
  <si>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</si>
  <si>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ДМ</t>
  </si>
  <si>
    <t>Итого магазин</t>
  </si>
  <si>
    <t xml:space="preserve">    </t>
  </si>
  <si>
    <t>Кекош</t>
  </si>
  <si>
    <t>г. Ялта</t>
  </si>
  <si>
    <t>ул. Набережная Ленина, 18</t>
  </si>
  <si>
    <t>GL-0005</t>
  </si>
  <si>
    <t>Кекош Анна</t>
  </si>
  <si>
    <t>Рогалевич</t>
  </si>
  <si>
    <t>Кекош, Рогалевич</t>
  </si>
  <si>
    <t xml:space="preserve">Стекольщикова </t>
  </si>
  <si>
    <t>Рогалевич Ирина</t>
  </si>
  <si>
    <t>Стекольщикова Алла</t>
  </si>
  <si>
    <t>у</t>
  </si>
  <si>
    <t>Орешникова</t>
  </si>
  <si>
    <t>Орешникова Елена</t>
  </si>
  <si>
    <t>НДФЛ январь 2025</t>
  </si>
  <si>
    <t>Оплата 4 часа 31.12.2024</t>
  </si>
  <si>
    <t>Форма зима 2024</t>
  </si>
  <si>
    <t>Кекош, Орешникова</t>
  </si>
  <si>
    <t>Рогалевич, Орешникова</t>
  </si>
  <si>
    <t>Рогалевич, Стекольщикова</t>
  </si>
  <si>
    <t>Административный %</t>
  </si>
  <si>
    <t>Январь, 2025</t>
  </si>
  <si>
    <t>Евпаторийское шоссе, 8</t>
  </si>
  <si>
    <t>Вычет согласно инвентаризационной ведомости от 31.01.2025</t>
  </si>
  <si>
    <t>Вычет согласно инвентаризационной ведомости за январь ТРК Меганом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</si>
</sst>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dddd&quot;, &quot;mmmm\ dd&quot;, &quot;yyyy"/>
    <numFmt numFmtId="165" formatCode="0.0%"/>
    <numFmt numFmtId="166" formatCode="_-* #,##0.00_р_._-;\-* #,##0.00_р_._-;_-* \-??_р_._-;_-@_-"/>
    <numFmt numFmtId="167" formatCode="#,##0.00\ &quot;₽&quot;"/>
    <numFmt numFmtId="168" formatCode="#,##0\ &quot;₽&quot;"/>
    <numFmt numFmtId="169" formatCode="#,##0.00\ _₽"/>
    <numFmt numFmtId="170" formatCode="0.0"/>
    <numFmt numFmtId="171" formatCode="mmmm\ yyyy;@"/>
  </numFmts>
  <fonts count="63">
    <font>
      <sz val="11"/>
      <color indexed="63"/>
      <name val="Calibri"/>
    </font>
    <font>
      <sz val="9"/>
      <color indexed="63"/>
      <name val="Times New Roman"/>
      <family val="1"/>
    </font>
    <font>
      <sz val="11"/>
      <color indexed="63"/>
      <name val="Times New Roman"/>
      <family val="1"/>
    </font>
    <font>
      <sz val="11"/>
      <color indexed="63"/>
      <name val="Clinica Pro Regular"/>
    </font>
    <font>
      <sz val="11"/>
      <color rgb="FFCC66FF"/>
      <name val="Times New Roman"/>
      <family val="1"/>
    </font>
    <font>
      <b/>
      <sz val="8"/>
      <color rgb="FFCC66FF"/>
      <name val="Times New Roman"/>
      <family val="1"/>
    </font>
    <font>
      <sz val="8"/>
      <name val="Times New Roman"/>
      <family val="1"/>
    </font>
    <font>
      <sz val="28"/>
      <color rgb="FFCC66FF"/>
      <name val="Times New Roman"/>
      <family val="1"/>
    </font>
    <font>
      <sz val="8"/>
      <color rgb="FFCC66FF"/>
      <name val="Times New Roman"/>
      <family val="1"/>
    </font>
    <font>
      <b/>
      <sz val="11"/>
      <color rgb="FFCC66FF"/>
      <name val="Times New Roman"/>
      <family val="1"/>
    </font>
    <font>
      <b/>
      <sz val="11"/>
      <color rgb="FFCC66FF"/>
      <name val="Clinica Pro Regular"/>
    </font>
    <font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Times New Roman"/>
      <family val="1"/>
    </font>
    <font>
      <sz val="11"/>
      <color rgb="FFFFC000"/>
      <name val="Times New Roman"/>
      <family val="1"/>
    </font>
    <font>
      <b/>
      <sz val="12"/>
      <name val="Clinica Pro Regular"/>
    </font>
    <font>
      <sz val="8"/>
      <name val="Clinica Pro Regular"/>
    </font>
    <font>
      <b/>
      <sz val="8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sz val="9"/>
      <name val="Clinica Pro Regular"/>
    </font>
    <font>
      <sz val="10"/>
      <name val="Clinica Pro Regular"/>
    </font>
    <font>
      <b/>
      <sz val="9"/>
      <color theme="1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indexed="63"/>
      <name val="Clinica Pro Regular"/>
    </font>
    <font>
      <sz val="9"/>
      <color theme="1"/>
      <name val="Clinica Pro Regular"/>
    </font>
    <font>
      <sz val="10"/>
      <color theme="1"/>
      <name val="Clinica Pro Regular"/>
    </font>
    <font>
      <sz val="8"/>
      <color theme="1"/>
      <name val="Clinica Pro Regular"/>
    </font>
    <font>
      <b/>
      <sz val="8"/>
      <color rgb="FFCC66FF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sz val="11"/>
      <color rgb="FFFFC000"/>
      <name val="Clinica Pro Regular"/>
    </font>
    <font>
      <b/>
      <sz val="10"/>
      <name val="Clinica Pro Regular"/>
    </font>
    <font>
      <sz val="10"/>
      <color indexed="63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sz val="12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8"/>
      <name val="Clinica Pro Regular"/>
    </font>
    <font>
      <b/>
      <sz val="10"/>
      <color indexed="16"/>
      <name val="Clinica Pro Regular"/>
    </font>
    <font>
      <sz val="11"/>
      <name val="Clinica Pro Regular"/>
    </font>
    <font>
      <b/>
      <sz val="11"/>
      <name val="Clinica Pro Regular"/>
    </font>
    <font>
      <sz val="11"/>
      <color indexed="63"/>
      <name val="Calibri"/>
      <family val="2"/>
    </font>
    <font>
      <sz val="8"/>
      <name val="Calibri"/>
      <family val="2"/>
    </font>
    <font>
      <sz val="11"/>
      <color rgb="FF9C0006"/>
      <name val="Calibri"/>
      <family val="2"/>
    </font>
    <font>
      <sz val="8"/>
      <color rgb="FF006100"/>
      <name val="Clinica Pro Regular"/>
    </font>
    <font>
      <sz val="9"/>
      <color rgb="FF333333"/>
      <name val="Clinica Pro Regular"/>
    </font>
    <font>
      <sz val="11"/>
      <color rgb="FF333333"/>
      <name val="Times New Roman"/>
      <family val="1"/>
    </font>
    <font>
      <sz val="11"/>
      <color rgb="FF333333"/>
      <name val="Calibri"/>
      <family val="2"/>
    </font>
    <font>
      <sz val="12"/>
      <color theme="1"/>
      <name val="Clinica Pro Regular"/>
    </font>
    <font>
      <sz val="8"/>
      <color rgb="FF9C0006"/>
      <name val="Clinica Pro Regular"/>
    </font>
    <font>
      <sz val="10"/>
      <name val="Clinica Pro Regular"/>
      <charset val="204"/>
    </font>
    <font>
      <b/>
      <sz val="8"/>
      <name val="Clinica Pro Regular"/>
      <charset val="204"/>
    </font>
  </fonts>
  <fills count="44">
    <fill>
      <patternFill patternType="none"/>
    </fill>
    <fill>
      <patternFill patternType="gray125"/>
    </fill>
    <fill>
      <patternFill patternType="solid">
        <fgColor rgb="FF66FFFF"/>
        <bgColor rgb="FF66FFFF"/>
      </patternFill>
    </fill>
    <fill>
      <patternFill patternType="solid">
        <fgColor rgb="FFCCFF00"/>
        <bgColor rgb="FFCCFF00"/>
      </patternFill>
    </fill>
    <fill>
      <patternFill patternType="solid">
        <fgColor indexed="65"/>
      </patternFill>
    </fill>
    <fill>
      <patternFill patternType="solid">
        <fgColor rgb="FF66FFFF"/>
        <bgColor rgb="FF4ACCD3"/>
      </patternFill>
    </fill>
    <fill>
      <patternFill patternType="solid">
        <fgColor indexed="5"/>
        <bgColor indexed="5"/>
      </patternFill>
    </fill>
    <fill>
      <patternFill patternType="solid">
        <fgColor indexed="6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2"/>
      </patternFill>
    </fill>
    <fill>
      <patternFill patternType="solid">
        <fgColor theme="2" tint="-9.9978637043366805E-2"/>
        <bgColor indexed="65"/>
      </patternFill>
    </fill>
    <fill>
      <patternFill patternType="solid">
        <fgColor theme="2" tint="-9.9978637043366805E-2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rgb="FFCCFF00"/>
        <bgColor indexed="5"/>
      </patternFill>
    </fill>
    <fill>
      <patternFill patternType="solid">
        <fgColor theme="2"/>
        <bgColor rgb="FF4ACCD3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rgb="FF92D050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FFC000"/>
        <bgColor rgb="FFFFC000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8" tint="0.59999389629810485"/>
        <bgColor rgb="FF3B3838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4" tint="0.39997558519241921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9" tint="0.59999389629810485"/>
        <bgColor theme="7" tint="0.59999389629810485"/>
      </patternFill>
    </fill>
    <fill>
      <patternFill patternType="solid">
        <fgColor theme="9" tint="0.59999389629810485"/>
        <bgColor theme="4" tint="0.39997558519241921"/>
      </patternFill>
    </fill>
    <fill>
      <patternFill patternType="solid">
        <fgColor theme="9" tint="0.59999389629810485"/>
        <bgColor theme="5" tint="0.39997558519241921"/>
      </patternFill>
    </fill>
    <fill>
      <patternFill patternType="solid">
        <fgColor theme="9" tint="0.59999389629810485"/>
        <bgColor theme="0"/>
      </patternFill>
    </fill>
    <fill>
      <patternFill patternType="solid">
        <fgColor theme="9" tint="0.79998168889431442"/>
        <bgColor theme="4" tint="0.39997558519241921"/>
      </patternFill>
    </fill>
  </fills>
  <borders count="1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medium">
        <color auto="1"/>
      </left>
      <right/>
      <top style="medium">
        <color auto="1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/>
      <top/>
      <bottom style="thin">
        <color rgb="FFB3AC86"/>
      </bottom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 style="thin">
        <color indexed="16"/>
      </bottom>
      <diagonal/>
    </border>
    <border>
      <left style="medium">
        <color indexed="16"/>
      </left>
      <right style="medium">
        <color indexed="16"/>
      </right>
      <top style="thin">
        <color indexed="16"/>
      </top>
      <bottom/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/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medium">
        <color auto="1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/>
      <top style="thin">
        <color indexed="16"/>
      </top>
      <bottom/>
      <diagonal/>
    </border>
    <border>
      <left style="medium">
        <color auto="1"/>
      </left>
      <right style="thin">
        <color indexed="16"/>
      </right>
      <top style="thin">
        <color indexed="16"/>
      </top>
      <bottom/>
      <diagonal/>
    </border>
    <border>
      <left/>
      <right/>
      <top style="thin">
        <color indexed="16"/>
      </top>
      <bottom/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16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52" fillId="0" borderId="0" applyFont="0" applyFill="0" applyBorder="0" applyProtection="0"/>
  </cellStyleXfs>
  <cellXfs count="7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4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9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3" fillId="2" borderId="0" xfId="0" applyFont="1" applyFill="1"/>
    <xf numFmtId="164" fontId="13" fillId="2" borderId="0" xfId="0" applyNumberFormat="1" applyFont="1" applyFill="1" applyAlignment="1">
      <alignment horizontal="center" vertical="center"/>
    </xf>
    <xf numFmtId="9" fontId="11" fillId="2" borderId="5" xfId="0" applyNumberFormat="1" applyFont="1" applyFill="1" applyBorder="1"/>
    <xf numFmtId="0" fontId="14" fillId="2" borderId="0" xfId="0" applyFont="1" applyFill="1"/>
    <xf numFmtId="0" fontId="15" fillId="2" borderId="9" xfId="0" applyFont="1" applyFill="1" applyBorder="1" applyAlignment="1">
      <alignment vertical="center"/>
    </xf>
    <xf numFmtId="0" fontId="15" fillId="2" borderId="10" xfId="0" applyFont="1" applyFill="1" applyBorder="1" applyAlignment="1">
      <alignment vertical="center"/>
    </xf>
    <xf numFmtId="0" fontId="15" fillId="2" borderId="4" xfId="0" applyFont="1" applyFill="1" applyBorder="1" applyAlignment="1">
      <alignment vertical="center"/>
    </xf>
    <xf numFmtId="165" fontId="6" fillId="2" borderId="0" xfId="0" applyNumberFormat="1" applyFont="1" applyFill="1" applyAlignment="1">
      <alignment vertical="center"/>
    </xf>
    <xf numFmtId="165" fontId="16" fillId="2" borderId="0" xfId="0" applyNumberFormat="1" applyFont="1" applyFill="1" applyAlignment="1">
      <alignment vertical="center"/>
    </xf>
    <xf numFmtId="3" fontId="17" fillId="2" borderId="12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/>
    </xf>
    <xf numFmtId="3" fontId="17" fillId="2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3" fontId="14" fillId="2" borderId="0" xfId="0" applyNumberFormat="1" applyFont="1" applyFill="1"/>
    <xf numFmtId="3" fontId="20" fillId="3" borderId="18" xfId="0" applyNumberFormat="1" applyFont="1" applyFill="1" applyBorder="1" applyAlignment="1">
      <alignment horizontal="center" vertical="center"/>
    </xf>
    <xf numFmtId="3" fontId="20" fillId="4" borderId="19" xfId="0" applyNumberFormat="1" applyFont="1" applyFill="1" applyBorder="1" applyAlignment="1">
      <alignment horizontal="center" vertical="center"/>
    </xf>
    <xf numFmtId="165" fontId="21" fillId="4" borderId="19" xfId="0" applyNumberFormat="1" applyFont="1" applyFill="1" applyBorder="1" applyAlignment="1">
      <alignment horizontal="center" vertical="center"/>
    </xf>
    <xf numFmtId="3" fontId="22" fillId="0" borderId="19" xfId="0" applyNumberFormat="1" applyFont="1" applyBorder="1" applyAlignment="1">
      <alignment horizontal="center" vertical="center"/>
    </xf>
    <xf numFmtId="165" fontId="23" fillId="0" borderId="20" xfId="0" applyNumberFormat="1" applyFont="1" applyBorder="1" applyAlignment="1">
      <alignment horizontal="center" vertical="center"/>
    </xf>
    <xf numFmtId="3" fontId="16" fillId="0" borderId="19" xfId="0" applyNumberFormat="1" applyFont="1" applyBorder="1" applyAlignment="1">
      <alignment horizontal="center" vertical="center"/>
    </xf>
    <xf numFmtId="3" fontId="16" fillId="3" borderId="21" xfId="0" applyNumberFormat="1" applyFont="1" applyFill="1" applyBorder="1" applyAlignment="1">
      <alignment horizontal="center" vertical="center"/>
    </xf>
    <xf numFmtId="165" fontId="16" fillId="0" borderId="22" xfId="0" applyNumberFormat="1" applyFont="1" applyBorder="1" applyAlignment="1">
      <alignment horizontal="center" vertical="center"/>
    </xf>
    <xf numFmtId="165" fontId="16" fillId="5" borderId="0" xfId="1" applyNumberFormat="1" applyFont="1" applyFill="1" applyAlignment="1" applyProtection="1">
      <alignment vertical="center"/>
    </xf>
    <xf numFmtId="3" fontId="20" fillId="4" borderId="23" xfId="0" applyNumberFormat="1" applyFont="1" applyFill="1" applyBorder="1" applyAlignment="1">
      <alignment horizontal="center" vertical="center"/>
    </xf>
    <xf numFmtId="3" fontId="16" fillId="4" borderId="24" xfId="0" applyNumberFormat="1" applyFont="1" applyFill="1" applyBorder="1" applyAlignment="1">
      <alignment horizontal="center" vertical="center"/>
    </xf>
    <xf numFmtId="165" fontId="16" fillId="4" borderId="24" xfId="0" applyNumberFormat="1" applyFont="1" applyFill="1" applyBorder="1" applyAlignment="1">
      <alignment horizontal="center" vertical="center"/>
    </xf>
    <xf numFmtId="3" fontId="22" fillId="0" borderId="24" xfId="0" applyNumberFormat="1" applyFont="1" applyBorder="1" applyAlignment="1">
      <alignment horizontal="center" vertical="center"/>
    </xf>
    <xf numFmtId="165" fontId="23" fillId="0" borderId="25" xfId="0" applyNumberFormat="1" applyFont="1" applyBorder="1" applyAlignment="1">
      <alignment horizontal="center" vertical="center"/>
    </xf>
    <xf numFmtId="3" fontId="16" fillId="0" borderId="24" xfId="0" applyNumberFormat="1" applyFont="1" applyBorder="1" applyAlignment="1">
      <alignment horizontal="center" vertical="center"/>
    </xf>
    <xf numFmtId="3" fontId="16" fillId="4" borderId="16" xfId="0" applyNumberFormat="1" applyFont="1" applyFill="1" applyBorder="1" applyAlignment="1">
      <alignment horizontal="center" vertical="center"/>
    </xf>
    <xf numFmtId="165" fontId="16" fillId="0" borderId="26" xfId="0" applyNumberFormat="1" applyFont="1" applyBorder="1" applyAlignment="1">
      <alignment horizontal="center" vertical="center"/>
    </xf>
    <xf numFmtId="3" fontId="20" fillId="4" borderId="24" xfId="0" applyNumberFormat="1" applyFont="1" applyFill="1" applyBorder="1" applyAlignment="1">
      <alignment horizontal="center" vertical="center"/>
    </xf>
    <xf numFmtId="165" fontId="19" fillId="4" borderId="24" xfId="0" applyNumberFormat="1" applyFont="1" applyFill="1" applyBorder="1" applyAlignment="1">
      <alignment horizontal="center" vertical="center"/>
    </xf>
    <xf numFmtId="165" fontId="22" fillId="0" borderId="25" xfId="0" applyNumberFormat="1" applyFont="1" applyBorder="1" applyAlignment="1">
      <alignment horizontal="center" vertical="center"/>
    </xf>
    <xf numFmtId="3" fontId="19" fillId="0" borderId="24" xfId="0" applyNumberFormat="1" applyFont="1" applyBorder="1" applyAlignment="1">
      <alignment horizontal="center" vertical="center"/>
    </xf>
    <xf numFmtId="3" fontId="19" fillId="4" borderId="23" xfId="0" applyNumberFormat="1" applyFont="1" applyFill="1" applyBorder="1" applyAlignment="1">
      <alignment horizontal="center" vertical="center"/>
    </xf>
    <xf numFmtId="165" fontId="19" fillId="0" borderId="26" xfId="0" applyNumberFormat="1" applyFont="1" applyBorder="1" applyAlignment="1">
      <alignment horizontal="center" vertical="center"/>
    </xf>
    <xf numFmtId="3" fontId="20" fillId="3" borderId="23" xfId="0" applyNumberFormat="1" applyFont="1" applyFill="1" applyBorder="1" applyAlignment="1">
      <alignment horizontal="center" vertical="center"/>
    </xf>
    <xf numFmtId="3" fontId="16" fillId="3" borderId="23" xfId="0" applyNumberFormat="1" applyFont="1" applyFill="1" applyBorder="1" applyAlignment="1">
      <alignment horizontal="center" vertical="center"/>
    </xf>
    <xf numFmtId="0" fontId="3" fillId="5" borderId="0" xfId="0" applyFont="1" applyFill="1"/>
    <xf numFmtId="4" fontId="20" fillId="3" borderId="23" xfId="0" applyNumberFormat="1" applyFont="1" applyFill="1" applyBorder="1" applyAlignment="1">
      <alignment horizontal="center" vertical="center"/>
    </xf>
    <xf numFmtId="4" fontId="16" fillId="4" borderId="24" xfId="0" applyNumberFormat="1" applyFont="1" applyFill="1" applyBorder="1" applyAlignment="1">
      <alignment horizontal="center" vertical="center"/>
    </xf>
    <xf numFmtId="4" fontId="22" fillId="0" borderId="24" xfId="0" applyNumberFormat="1" applyFont="1" applyBorder="1" applyAlignment="1">
      <alignment horizontal="center" vertical="center"/>
    </xf>
    <xf numFmtId="4" fontId="16" fillId="0" borderId="24" xfId="0" applyNumberFormat="1" applyFont="1" applyBorder="1" applyAlignment="1">
      <alignment horizontal="center" vertical="center"/>
    </xf>
    <xf numFmtId="4" fontId="16" fillId="3" borderId="16" xfId="0" applyNumberFormat="1" applyFont="1" applyFill="1" applyBorder="1" applyAlignment="1">
      <alignment horizontal="center" vertical="center"/>
    </xf>
    <xf numFmtId="3" fontId="16" fillId="3" borderId="16" xfId="0" applyNumberFormat="1" applyFont="1" applyFill="1" applyBorder="1" applyAlignment="1">
      <alignment horizontal="center" vertical="center"/>
    </xf>
    <xf numFmtId="3" fontId="16" fillId="6" borderId="24" xfId="0" applyNumberFormat="1" applyFont="1" applyFill="1" applyBorder="1" applyAlignment="1">
      <alignment horizontal="center" vertical="center"/>
    </xf>
    <xf numFmtId="10" fontId="16" fillId="5" borderId="0" xfId="1" applyNumberFormat="1" applyFont="1" applyFill="1" applyAlignment="1" applyProtection="1">
      <alignment horizontal="center" vertical="center"/>
    </xf>
    <xf numFmtId="3" fontId="20" fillId="0" borderId="27" xfId="0" applyNumberFormat="1" applyFont="1" applyBorder="1" applyAlignment="1">
      <alignment horizontal="center" vertical="center"/>
    </xf>
    <xf numFmtId="3" fontId="16" fillId="4" borderId="28" xfId="0" applyNumberFormat="1" applyFont="1" applyFill="1" applyBorder="1" applyAlignment="1">
      <alignment horizontal="center" vertical="center"/>
    </xf>
    <xf numFmtId="165" fontId="16" fillId="4" borderId="28" xfId="0" applyNumberFormat="1" applyFont="1" applyFill="1" applyBorder="1" applyAlignment="1">
      <alignment horizontal="center" vertical="center"/>
    </xf>
    <xf numFmtId="3" fontId="22" fillId="0" borderId="28" xfId="0" applyNumberFormat="1" applyFont="1" applyBorder="1" applyAlignment="1">
      <alignment horizontal="center" vertical="center"/>
    </xf>
    <xf numFmtId="165" fontId="23" fillId="0" borderId="29" xfId="0" applyNumberFormat="1" applyFont="1" applyBorder="1" applyAlignment="1">
      <alignment horizontal="center" vertical="center"/>
    </xf>
    <xf numFmtId="3" fontId="16" fillId="3" borderId="30" xfId="0" applyNumberFormat="1" applyFont="1" applyFill="1" applyBorder="1" applyAlignment="1">
      <alignment horizontal="center" vertical="center"/>
    </xf>
    <xf numFmtId="3" fontId="24" fillId="0" borderId="28" xfId="0" applyNumberFormat="1" applyFont="1" applyBorder="1" applyAlignment="1">
      <alignment horizontal="center" vertical="center"/>
    </xf>
    <xf numFmtId="165" fontId="18" fillId="0" borderId="29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wrapText="1"/>
    </xf>
    <xf numFmtId="3" fontId="20" fillId="3" borderId="27" xfId="0" applyNumberFormat="1" applyFont="1" applyFill="1" applyBorder="1" applyAlignment="1">
      <alignment horizontal="center" vertical="center"/>
    </xf>
    <xf numFmtId="3" fontId="20" fillId="4" borderId="27" xfId="0" applyNumberFormat="1" applyFont="1" applyFill="1" applyBorder="1" applyAlignment="1">
      <alignment horizontal="center" vertical="center"/>
    </xf>
    <xf numFmtId="3" fontId="16" fillId="4" borderId="30" xfId="0" applyNumberFormat="1" applyFont="1" applyFill="1" applyBorder="1" applyAlignment="1">
      <alignment horizontal="center" vertical="center"/>
    </xf>
    <xf numFmtId="3" fontId="16" fillId="8" borderId="24" xfId="1" applyNumberFormat="1" applyFont="1" applyFill="1" applyBorder="1" applyAlignment="1" applyProtection="1">
      <alignment horizontal="center" vertical="center"/>
    </xf>
    <xf numFmtId="10" fontId="16" fillId="7" borderId="24" xfId="1" applyNumberFormat="1" applyFont="1" applyFill="1" applyBorder="1" applyAlignment="1" applyProtection="1">
      <alignment horizontal="center" vertical="center"/>
    </xf>
    <xf numFmtId="165" fontId="19" fillId="3" borderId="32" xfId="0" applyNumberFormat="1" applyFont="1" applyFill="1" applyBorder="1" applyAlignment="1">
      <alignment horizontal="center" vertical="center"/>
    </xf>
    <xf numFmtId="165" fontId="19" fillId="7" borderId="33" xfId="1" applyNumberFormat="1" applyFont="1" applyFill="1" applyBorder="1" applyAlignment="1" applyProtection="1">
      <alignment horizontal="center" vertical="center"/>
    </xf>
    <xf numFmtId="10" fontId="19" fillId="7" borderId="33" xfId="1" applyNumberFormat="1" applyFont="1" applyFill="1" applyBorder="1" applyAlignment="1" applyProtection="1">
      <alignment horizontal="center" vertical="center"/>
    </xf>
    <xf numFmtId="165" fontId="24" fillId="0" borderId="33" xfId="0" applyNumberFormat="1" applyFont="1" applyBorder="1" applyAlignment="1">
      <alignment horizontal="center" vertical="center"/>
    </xf>
    <xf numFmtId="165" fontId="24" fillId="0" borderId="34" xfId="0" applyNumberFormat="1" applyFont="1" applyBorder="1" applyAlignment="1">
      <alignment horizontal="center" vertical="center"/>
    </xf>
    <xf numFmtId="165" fontId="20" fillId="0" borderId="33" xfId="0" applyNumberFormat="1" applyFont="1" applyBorder="1" applyAlignment="1">
      <alignment horizontal="center" vertical="center"/>
    </xf>
    <xf numFmtId="165" fontId="20" fillId="3" borderId="35" xfId="0" applyNumberFormat="1" applyFont="1" applyFill="1" applyBorder="1" applyAlignment="1">
      <alignment horizontal="center" vertical="center"/>
    </xf>
    <xf numFmtId="3" fontId="20" fillId="0" borderId="33" xfId="0" applyNumberFormat="1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4" fontId="2" fillId="2" borderId="0" xfId="0" applyNumberFormat="1" applyFont="1" applyFill="1"/>
    <xf numFmtId="0" fontId="17" fillId="9" borderId="24" xfId="0" applyFont="1" applyFill="1" applyBorder="1" applyAlignment="1">
      <alignment horizontal="center" vertical="center" wrapText="1"/>
    </xf>
    <xf numFmtId="0" fontId="17" fillId="10" borderId="24" xfId="0" applyFont="1" applyFill="1" applyBorder="1" applyAlignment="1">
      <alignment horizontal="center" vertical="center" wrapText="1"/>
    </xf>
    <xf numFmtId="0" fontId="26" fillId="9" borderId="24" xfId="0" applyFont="1" applyFill="1" applyBorder="1" applyAlignment="1">
      <alignment horizontal="center" vertical="center" wrapText="1"/>
    </xf>
    <xf numFmtId="3" fontId="2" fillId="0" borderId="0" xfId="0" applyNumberFormat="1" applyFont="1"/>
    <xf numFmtId="0" fontId="16" fillId="9" borderId="24" xfId="0" applyFont="1" applyFill="1" applyBorder="1" applyAlignment="1">
      <alignment horizontal="center" vertical="top" wrapText="1"/>
    </xf>
    <xf numFmtId="0" fontId="17" fillId="9" borderId="24" xfId="0" applyFont="1" applyFill="1" applyBorder="1" applyAlignment="1">
      <alignment horizontal="center" vertical="top" wrapText="1"/>
    </xf>
    <xf numFmtId="0" fontId="0" fillId="11" borderId="0" xfId="0" applyFill="1"/>
    <xf numFmtId="0" fontId="27" fillId="11" borderId="24" xfId="0" applyFont="1" applyFill="1" applyBorder="1" applyAlignment="1">
      <alignment horizontal="center" vertical="center"/>
    </xf>
    <xf numFmtId="16" fontId="16" fillId="11" borderId="24" xfId="0" applyNumberFormat="1" applyFont="1" applyFill="1" applyBorder="1" applyAlignment="1">
      <alignment horizontal="center" vertical="top"/>
    </xf>
    <xf numFmtId="0" fontId="16" fillId="11" borderId="0" xfId="0" applyFont="1" applyFill="1" applyAlignment="1">
      <alignment horizontal="center" vertical="top"/>
    </xf>
    <xf numFmtId="4" fontId="16" fillId="11" borderId="24" xfId="0" applyNumberFormat="1" applyFont="1" applyFill="1" applyBorder="1" applyAlignment="1">
      <alignment horizontal="center" vertical="top"/>
    </xf>
    <xf numFmtId="3" fontId="16" fillId="11" borderId="24" xfId="0" applyNumberFormat="1" applyFont="1" applyFill="1" applyBorder="1" applyAlignment="1">
      <alignment horizontal="center" vertical="top"/>
    </xf>
    <xf numFmtId="10" fontId="16" fillId="11" borderId="24" xfId="0" applyNumberFormat="1" applyFont="1" applyFill="1" applyBorder="1" applyAlignment="1">
      <alignment horizontal="center" vertical="top"/>
    </xf>
    <xf numFmtId="9" fontId="3" fillId="11" borderId="24" xfId="0" applyNumberFormat="1" applyFont="1" applyFill="1" applyBorder="1" applyAlignment="1">
      <alignment horizontal="center" vertical="center"/>
    </xf>
    <xf numFmtId="3" fontId="28" fillId="11" borderId="24" xfId="0" applyNumberFormat="1" applyFont="1" applyFill="1" applyBorder="1" applyAlignment="1">
      <alignment horizontal="center"/>
    </xf>
    <xf numFmtId="3" fontId="16" fillId="11" borderId="24" xfId="0" applyNumberFormat="1" applyFont="1" applyFill="1" applyBorder="1" applyAlignment="1">
      <alignment horizontal="center"/>
    </xf>
    <xf numFmtId="166" fontId="16" fillId="11" borderId="24" xfId="0" applyNumberFormat="1" applyFont="1" applyFill="1" applyBorder="1" applyAlignment="1">
      <alignment horizontal="right"/>
    </xf>
    <xf numFmtId="165" fontId="2" fillId="11" borderId="0" xfId="0" applyNumberFormat="1" applyFont="1" applyFill="1"/>
    <xf numFmtId="0" fontId="16" fillId="11" borderId="25" xfId="0" applyFont="1" applyFill="1" applyBorder="1" applyAlignment="1">
      <alignment horizontal="center" vertical="top"/>
    </xf>
    <xf numFmtId="0" fontId="2" fillId="11" borderId="0" xfId="0" applyFont="1" applyFill="1"/>
    <xf numFmtId="166" fontId="2" fillId="11" borderId="0" xfId="0" applyNumberFormat="1" applyFont="1" applyFill="1"/>
    <xf numFmtId="0" fontId="27" fillId="12" borderId="24" xfId="0" applyFont="1" applyFill="1" applyBorder="1" applyAlignment="1">
      <alignment horizontal="center" vertical="center"/>
    </xf>
    <xf numFmtId="16" fontId="16" fillId="12" borderId="24" xfId="0" applyNumberFormat="1" applyFont="1" applyFill="1" applyBorder="1" applyAlignment="1">
      <alignment horizontal="center" vertical="top"/>
    </xf>
    <xf numFmtId="0" fontId="27" fillId="0" borderId="24" xfId="0" applyFont="1" applyBorder="1" applyAlignment="1">
      <alignment horizontal="center" vertical="center"/>
    </xf>
    <xf numFmtId="4" fontId="16" fillId="12" borderId="24" xfId="0" applyNumberFormat="1" applyFont="1" applyFill="1" applyBorder="1" applyAlignment="1">
      <alignment horizontal="center" vertical="top"/>
    </xf>
    <xf numFmtId="3" fontId="16" fillId="12" borderId="24" xfId="0" applyNumberFormat="1" applyFont="1" applyFill="1" applyBorder="1" applyAlignment="1">
      <alignment horizontal="center" vertical="top"/>
    </xf>
    <xf numFmtId="165" fontId="16" fillId="12" borderId="24" xfId="0" applyNumberFormat="1" applyFont="1" applyFill="1" applyBorder="1" applyAlignment="1">
      <alignment horizontal="center" vertical="top"/>
    </xf>
    <xf numFmtId="9" fontId="3" fillId="12" borderId="24" xfId="0" applyNumberFormat="1" applyFont="1" applyFill="1" applyBorder="1" applyAlignment="1">
      <alignment horizontal="center" vertical="center"/>
    </xf>
    <xf numFmtId="3" fontId="16" fillId="12" borderId="24" xfId="0" applyNumberFormat="1" applyFont="1" applyFill="1" applyBorder="1" applyAlignment="1">
      <alignment horizontal="center"/>
    </xf>
    <xf numFmtId="3" fontId="16" fillId="12" borderId="24" xfId="0" applyNumberFormat="1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6" fillId="0" borderId="0" xfId="0" applyFont="1"/>
    <xf numFmtId="3" fontId="30" fillId="0" borderId="0" xfId="0" applyNumberFormat="1" applyFont="1"/>
    <xf numFmtId="165" fontId="16" fillId="0" borderId="0" xfId="0" applyNumberFormat="1" applyFont="1"/>
    <xf numFmtId="0" fontId="16" fillId="0" borderId="0" xfId="0" applyFont="1" applyAlignment="1">
      <alignment vertical="top"/>
    </xf>
    <xf numFmtId="1" fontId="16" fillId="0" borderId="0" xfId="0" applyNumberFormat="1" applyFont="1" applyAlignment="1">
      <alignment vertical="top"/>
    </xf>
    <xf numFmtId="3" fontId="16" fillId="0" borderId="0" xfId="0" applyNumberFormat="1" applyFont="1"/>
    <xf numFmtId="9" fontId="30" fillId="0" borderId="0" xfId="0" applyNumberFormat="1" applyFont="1"/>
    <xf numFmtId="4" fontId="3" fillId="0" borderId="0" xfId="0" applyNumberFormat="1" applyFont="1"/>
    <xf numFmtId="1" fontId="3" fillId="0" borderId="0" xfId="0" applyNumberFormat="1" applyFont="1"/>
    <xf numFmtId="10" fontId="3" fillId="0" borderId="0" xfId="0" applyNumberFormat="1" applyFont="1"/>
    <xf numFmtId="4" fontId="2" fillId="0" borderId="0" xfId="0" applyNumberFormat="1" applyFont="1"/>
    <xf numFmtId="14" fontId="2" fillId="0" borderId="0" xfId="0" applyNumberFormat="1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3" fontId="17" fillId="5" borderId="34" xfId="0" applyNumberFormat="1" applyFont="1" applyFill="1" applyBorder="1" applyAlignment="1">
      <alignment horizontal="center" vertical="center"/>
    </xf>
    <xf numFmtId="3" fontId="17" fillId="5" borderId="42" xfId="0" applyNumberFormat="1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7" fillId="5" borderId="43" xfId="0" applyFont="1" applyFill="1" applyBorder="1" applyAlignment="1">
      <alignment horizontal="center" vertical="center" wrapText="1"/>
    </xf>
    <xf numFmtId="10" fontId="31" fillId="0" borderId="18" xfId="0" applyNumberFormat="1" applyFont="1" applyBorder="1" applyAlignment="1">
      <alignment horizontal="center" vertical="center"/>
    </xf>
    <xf numFmtId="167" fontId="31" fillId="0" borderId="38" xfId="0" applyNumberFormat="1" applyFont="1" applyBorder="1" applyAlignment="1">
      <alignment horizontal="center" vertical="center"/>
    </xf>
    <xf numFmtId="10" fontId="31" fillId="0" borderId="39" xfId="0" applyNumberFormat="1" applyFont="1" applyBorder="1" applyAlignment="1">
      <alignment horizontal="center" vertical="center"/>
    </xf>
    <xf numFmtId="10" fontId="32" fillId="0" borderId="18" xfId="1" applyNumberFormat="1" applyFont="1" applyBorder="1" applyAlignment="1" applyProtection="1">
      <alignment horizontal="center" vertical="center"/>
    </xf>
    <xf numFmtId="167" fontId="32" fillId="0" borderId="44" xfId="1" applyNumberFormat="1" applyFont="1" applyBorder="1" applyAlignment="1" applyProtection="1">
      <alignment horizontal="center" vertical="center"/>
    </xf>
    <xf numFmtId="10" fontId="31" fillId="0" borderId="45" xfId="0" applyNumberFormat="1" applyFont="1" applyBorder="1" applyAlignment="1">
      <alignment horizontal="center" vertical="center"/>
    </xf>
    <xf numFmtId="10" fontId="33" fillId="0" borderId="18" xfId="1" applyNumberFormat="1" applyFont="1" applyBorder="1" applyAlignment="1" applyProtection="1">
      <alignment horizontal="center" vertical="center"/>
    </xf>
    <xf numFmtId="10" fontId="16" fillId="0" borderId="39" xfId="0" applyNumberFormat="1" applyFont="1" applyBorder="1" applyAlignment="1">
      <alignment horizontal="center" vertical="center"/>
    </xf>
    <xf numFmtId="10" fontId="31" fillId="0" borderId="46" xfId="0" applyNumberFormat="1" applyFont="1" applyBorder="1" applyAlignment="1">
      <alignment horizontal="center" vertical="center"/>
    </xf>
    <xf numFmtId="1" fontId="31" fillId="0" borderId="16" xfId="0" applyNumberFormat="1" applyFont="1" applyBorder="1" applyAlignment="1">
      <alignment horizontal="center" vertical="center"/>
    </xf>
    <xf numFmtId="10" fontId="33" fillId="0" borderId="26" xfId="0" applyNumberFormat="1" applyFont="1" applyBorder="1" applyAlignment="1">
      <alignment horizontal="center" vertical="center"/>
    </xf>
    <xf numFmtId="1" fontId="33" fillId="0" borderId="16" xfId="1" applyNumberFormat="1" applyFont="1" applyBorder="1" applyAlignment="1" applyProtection="1">
      <alignment horizontal="center" vertical="center"/>
    </xf>
    <xf numFmtId="3" fontId="32" fillId="0" borderId="24" xfId="1" applyNumberFormat="1" applyFont="1" applyBorder="1" applyAlignment="1" applyProtection="1">
      <alignment horizontal="center" vertical="center"/>
    </xf>
    <xf numFmtId="167" fontId="31" fillId="0" borderId="16" xfId="0" applyNumberFormat="1" applyFont="1" applyBorder="1" applyAlignment="1">
      <alignment horizontal="center" vertical="center"/>
    </xf>
    <xf numFmtId="10" fontId="33" fillId="0" borderId="46" xfId="1" applyNumberFormat="1" applyFont="1" applyBorder="1" applyAlignment="1" applyProtection="1">
      <alignment horizontal="center" vertical="center"/>
    </xf>
    <xf numFmtId="167" fontId="32" fillId="0" borderId="24" xfId="1" applyNumberFormat="1" applyFont="1" applyBorder="1" applyAlignment="1" applyProtection="1">
      <alignment horizontal="center" vertical="center"/>
    </xf>
    <xf numFmtId="2" fontId="31" fillId="0" borderId="16" xfId="0" applyNumberFormat="1" applyFont="1" applyBorder="1" applyAlignment="1">
      <alignment horizontal="center" vertical="center"/>
    </xf>
    <xf numFmtId="4" fontId="32" fillId="0" borderId="24" xfId="1" applyNumberFormat="1" applyFont="1" applyBorder="1" applyAlignment="1" applyProtection="1">
      <alignment horizontal="center" vertical="center"/>
    </xf>
    <xf numFmtId="1" fontId="33" fillId="0" borderId="24" xfId="1" applyNumberFormat="1" applyFont="1" applyBorder="1" applyAlignment="1" applyProtection="1">
      <alignment horizontal="center" vertical="center"/>
    </xf>
    <xf numFmtId="167" fontId="33" fillId="0" borderId="24" xfId="1" applyNumberFormat="1" applyFont="1" applyBorder="1" applyAlignment="1" applyProtection="1">
      <alignment horizontal="center" vertical="center"/>
    </xf>
    <xf numFmtId="3" fontId="19" fillId="3" borderId="18" xfId="0" applyNumberFormat="1" applyFont="1" applyFill="1" applyBorder="1" applyAlignment="1">
      <alignment horizontal="center" vertical="center"/>
    </xf>
    <xf numFmtId="3" fontId="20" fillId="7" borderId="23" xfId="0" applyNumberFormat="1" applyFont="1" applyFill="1" applyBorder="1" applyAlignment="1">
      <alignment horizontal="center" vertical="center" wrapText="1"/>
    </xf>
    <xf numFmtId="10" fontId="20" fillId="7" borderId="23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16" fillId="2" borderId="0" xfId="0" applyFont="1" applyFill="1"/>
    <xf numFmtId="164" fontId="17" fillId="2" borderId="0" xfId="0" applyNumberFormat="1" applyFont="1" applyFill="1" applyAlignment="1">
      <alignment horizontal="center" vertical="center"/>
    </xf>
    <xf numFmtId="9" fontId="11" fillId="2" borderId="49" xfId="0" applyNumberFormat="1" applyFont="1" applyFill="1" applyBorder="1"/>
    <xf numFmtId="0" fontId="37" fillId="2" borderId="0" xfId="0" applyFont="1" applyFill="1"/>
    <xf numFmtId="3" fontId="19" fillId="0" borderId="18" xfId="0" applyNumberFormat="1" applyFont="1" applyBorder="1" applyAlignment="1">
      <alignment horizontal="center" vertical="center"/>
    </xf>
    <xf numFmtId="3" fontId="19" fillId="4" borderId="19" xfId="0" applyNumberFormat="1" applyFont="1" applyFill="1" applyBorder="1" applyAlignment="1">
      <alignment horizontal="center" vertical="center"/>
    </xf>
    <xf numFmtId="165" fontId="38" fillId="4" borderId="19" xfId="0" applyNumberFormat="1" applyFont="1" applyFill="1" applyBorder="1" applyAlignment="1">
      <alignment horizontal="center" vertical="center"/>
    </xf>
    <xf numFmtId="3" fontId="24" fillId="0" borderId="19" xfId="0" applyNumberFormat="1" applyFont="1" applyBorder="1" applyAlignment="1">
      <alignment horizontal="center" vertical="center"/>
    </xf>
    <xf numFmtId="3" fontId="24" fillId="0" borderId="24" xfId="0" applyNumberFormat="1" applyFont="1" applyBorder="1" applyAlignment="1">
      <alignment horizontal="center" vertical="center"/>
    </xf>
    <xf numFmtId="3" fontId="19" fillId="4" borderId="24" xfId="0" applyNumberFormat="1" applyFont="1" applyFill="1" applyBorder="1" applyAlignment="1">
      <alignment horizontal="center" vertical="center"/>
    </xf>
    <xf numFmtId="4" fontId="24" fillId="0" borderId="24" xfId="0" applyNumberFormat="1" applyFont="1" applyBorder="1" applyAlignment="1">
      <alignment horizontal="center" vertical="center"/>
    </xf>
    <xf numFmtId="3" fontId="3" fillId="2" borderId="0" xfId="0" applyNumberFormat="1" applyFont="1" applyFill="1"/>
    <xf numFmtId="165" fontId="19" fillId="4" borderId="33" xfId="0" applyNumberFormat="1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0" fontId="17" fillId="14" borderId="24" xfId="0" applyFont="1" applyFill="1" applyBorder="1" applyAlignment="1">
      <alignment horizontal="center" vertical="center" wrapText="1"/>
    </xf>
    <xf numFmtId="0" fontId="26" fillId="13" borderId="24" xfId="0" applyFont="1" applyFill="1" applyBorder="1" applyAlignment="1">
      <alignment horizontal="center" vertical="center" wrapText="1"/>
    </xf>
    <xf numFmtId="3" fontId="3" fillId="0" borderId="0" xfId="0" applyNumberFormat="1" applyFont="1"/>
    <xf numFmtId="0" fontId="16" fillId="13" borderId="24" xfId="0" applyFont="1" applyFill="1" applyBorder="1" applyAlignment="1">
      <alignment horizontal="center" vertical="top" wrapText="1"/>
    </xf>
    <xf numFmtId="0" fontId="17" fillId="13" borderId="24" xfId="0" applyFont="1" applyFill="1" applyBorder="1" applyAlignment="1">
      <alignment horizontal="center" vertical="top" wrapText="1"/>
    </xf>
    <xf numFmtId="3" fontId="16" fillId="11" borderId="0" xfId="0" applyNumberFormat="1" applyFont="1" applyFill="1" applyAlignment="1">
      <alignment horizontal="center" vertical="top"/>
    </xf>
    <xf numFmtId="9" fontId="3" fillId="11" borderId="0" xfId="0" applyNumberFormat="1" applyFont="1" applyFill="1" applyAlignment="1">
      <alignment horizontal="center" vertical="center"/>
    </xf>
    <xf numFmtId="0" fontId="16" fillId="11" borderId="24" xfId="0" applyFont="1" applyFill="1" applyBorder="1" applyAlignment="1">
      <alignment horizontal="center" vertical="top"/>
    </xf>
    <xf numFmtId="4" fontId="16" fillId="11" borderId="0" xfId="0" applyNumberFormat="1" applyFont="1" applyFill="1" applyAlignment="1">
      <alignment horizontal="center" vertical="top"/>
    </xf>
    <xf numFmtId="10" fontId="16" fillId="11" borderId="0" xfId="0" applyNumberFormat="1" applyFont="1" applyFill="1" applyAlignment="1">
      <alignment horizontal="center" vertical="top"/>
    </xf>
    <xf numFmtId="16" fontId="16" fillId="11" borderId="24" xfId="0" applyNumberFormat="1" applyFont="1" applyFill="1" applyBorder="1" applyAlignment="1">
      <alignment horizontal="center" vertical="top" wrapText="1"/>
    </xf>
    <xf numFmtId="4" fontId="16" fillId="11" borderId="23" xfId="0" applyNumberFormat="1" applyFont="1" applyFill="1" applyBorder="1" applyAlignment="1">
      <alignment horizontal="center" vertical="top"/>
    </xf>
    <xf numFmtId="0" fontId="16" fillId="11" borderId="52" xfId="0" applyFont="1" applyFill="1" applyBorder="1" applyAlignment="1">
      <alignment horizontal="center" vertical="top"/>
    </xf>
    <xf numFmtId="3" fontId="16" fillId="11" borderId="0" xfId="0" applyNumberFormat="1" applyFont="1" applyFill="1" applyAlignment="1">
      <alignment horizontal="center" vertical="top" wrapText="1"/>
    </xf>
    <xf numFmtId="3" fontId="16" fillId="11" borderId="28" xfId="0" applyNumberFormat="1" applyFont="1" applyFill="1" applyBorder="1" applyAlignment="1">
      <alignment horizontal="center" vertical="top"/>
    </xf>
    <xf numFmtId="4" fontId="16" fillId="11" borderId="28" xfId="0" applyNumberFormat="1" applyFont="1" applyFill="1" applyBorder="1" applyAlignment="1">
      <alignment horizontal="center" vertical="top"/>
    </xf>
    <xf numFmtId="165" fontId="16" fillId="11" borderId="28" xfId="0" applyNumberFormat="1" applyFont="1" applyFill="1" applyBorder="1" applyAlignment="1">
      <alignment horizontal="center" vertical="top"/>
    </xf>
    <xf numFmtId="9" fontId="3" fillId="11" borderId="28" xfId="0" applyNumberFormat="1" applyFont="1" applyFill="1" applyBorder="1" applyAlignment="1">
      <alignment horizontal="center" vertical="center"/>
    </xf>
    <xf numFmtId="3" fontId="28" fillId="11" borderId="28" xfId="0" applyNumberFormat="1" applyFont="1" applyFill="1" applyBorder="1" applyAlignment="1">
      <alignment horizontal="center"/>
    </xf>
    <xf numFmtId="3" fontId="16" fillId="11" borderId="28" xfId="0" applyNumberFormat="1" applyFont="1" applyFill="1" applyBorder="1" applyAlignment="1">
      <alignment horizontal="center"/>
    </xf>
    <xf numFmtId="166" fontId="16" fillId="11" borderId="28" xfId="0" applyNumberFormat="1" applyFont="1" applyFill="1" applyBorder="1" applyAlignment="1">
      <alignment horizontal="right"/>
    </xf>
    <xf numFmtId="4" fontId="16" fillId="11" borderId="53" xfId="0" applyNumberFormat="1" applyFont="1" applyFill="1" applyBorder="1" applyAlignment="1">
      <alignment horizontal="center" vertical="top"/>
    </xf>
    <xf numFmtId="3" fontId="16" fillId="11" borderId="53" xfId="0" applyNumberFormat="1" applyFont="1" applyFill="1" applyBorder="1" applyAlignment="1">
      <alignment horizontal="center" vertical="top"/>
    </xf>
    <xf numFmtId="10" fontId="16" fillId="11" borderId="53" xfId="0" applyNumberFormat="1" applyFont="1" applyFill="1" applyBorder="1" applyAlignment="1">
      <alignment horizontal="center" vertical="top"/>
    </xf>
    <xf numFmtId="9" fontId="3" fillId="11" borderId="53" xfId="0" applyNumberFormat="1" applyFont="1" applyFill="1" applyBorder="1" applyAlignment="1">
      <alignment horizontal="center" vertical="center"/>
    </xf>
    <xf numFmtId="3" fontId="28" fillId="11" borderId="53" xfId="0" applyNumberFormat="1" applyFont="1" applyFill="1" applyBorder="1" applyAlignment="1">
      <alignment horizontal="center"/>
    </xf>
    <xf numFmtId="3" fontId="16" fillId="11" borderId="53" xfId="0" applyNumberFormat="1" applyFont="1" applyFill="1" applyBorder="1" applyAlignment="1">
      <alignment horizontal="center"/>
    </xf>
    <xf numFmtId="166" fontId="16" fillId="11" borderId="53" xfId="0" applyNumberFormat="1" applyFont="1" applyFill="1" applyBorder="1" applyAlignment="1">
      <alignment horizontal="right"/>
    </xf>
    <xf numFmtId="166" fontId="16" fillId="11" borderId="23" xfId="0" applyNumberFormat="1" applyFont="1" applyFill="1" applyBorder="1" applyAlignment="1">
      <alignment horizontal="right"/>
    </xf>
    <xf numFmtId="0" fontId="27" fillId="11" borderId="0" xfId="0" applyFont="1" applyFill="1" applyAlignment="1">
      <alignment horizontal="center" vertical="center"/>
    </xf>
    <xf numFmtId="0" fontId="16" fillId="11" borderId="29" xfId="0" applyFont="1" applyFill="1" applyBorder="1" applyAlignment="1">
      <alignment horizontal="center" vertical="top"/>
    </xf>
    <xf numFmtId="4" fontId="16" fillId="11" borderId="19" xfId="0" applyNumberFormat="1" applyFont="1" applyFill="1" applyBorder="1" applyAlignment="1">
      <alignment horizontal="center" vertical="top"/>
    </xf>
    <xf numFmtId="3" fontId="16" fillId="11" borderId="19" xfId="0" applyNumberFormat="1" applyFont="1" applyFill="1" applyBorder="1" applyAlignment="1">
      <alignment horizontal="center" vertical="top"/>
    </xf>
    <xf numFmtId="165" fontId="16" fillId="11" borderId="19" xfId="0" applyNumberFormat="1" applyFont="1" applyFill="1" applyBorder="1" applyAlignment="1">
      <alignment horizontal="center" vertical="top"/>
    </xf>
    <xf numFmtId="9" fontId="3" fillId="11" borderId="19" xfId="0" applyNumberFormat="1" applyFont="1" applyFill="1" applyBorder="1" applyAlignment="1">
      <alignment horizontal="center" vertical="center"/>
    </xf>
    <xf numFmtId="3" fontId="28" fillId="11" borderId="19" xfId="0" applyNumberFormat="1" applyFont="1" applyFill="1" applyBorder="1" applyAlignment="1">
      <alignment horizontal="center"/>
    </xf>
    <xf numFmtId="3" fontId="16" fillId="11" borderId="19" xfId="0" applyNumberFormat="1" applyFont="1" applyFill="1" applyBorder="1" applyAlignment="1">
      <alignment horizontal="center"/>
    </xf>
    <xf numFmtId="166" fontId="16" fillId="11" borderId="19" xfId="0" applyNumberFormat="1" applyFont="1" applyFill="1" applyBorder="1" applyAlignment="1">
      <alignment horizontal="right"/>
    </xf>
    <xf numFmtId="165" fontId="3" fillId="11" borderId="0" xfId="0" applyNumberFormat="1" applyFont="1" applyFill="1"/>
    <xf numFmtId="166" fontId="3" fillId="11" borderId="0" xfId="0" applyNumberFormat="1" applyFont="1" applyFill="1"/>
    <xf numFmtId="165" fontId="16" fillId="0" borderId="0" xfId="0" applyNumberFormat="1" applyFont="1" applyAlignment="1">
      <alignment vertical="top"/>
    </xf>
    <xf numFmtId="165" fontId="19" fillId="0" borderId="24" xfId="0" applyNumberFormat="1" applyFont="1" applyBorder="1" applyAlignment="1">
      <alignment horizontal="center" vertical="center"/>
    </xf>
    <xf numFmtId="165" fontId="16" fillId="0" borderId="24" xfId="0" applyNumberFormat="1" applyFont="1" applyBorder="1" applyAlignment="1">
      <alignment horizontal="center" vertical="center"/>
    </xf>
    <xf numFmtId="0" fontId="16" fillId="13" borderId="28" xfId="0" applyFont="1" applyFill="1" applyBorder="1" applyAlignment="1">
      <alignment horizontal="center" vertical="top" wrapText="1"/>
    </xf>
    <xf numFmtId="0" fontId="0" fillId="15" borderId="0" xfId="0" applyFill="1"/>
    <xf numFmtId="0" fontId="27" fillId="15" borderId="24" xfId="0" applyFont="1" applyFill="1" applyBorder="1" applyAlignment="1">
      <alignment horizontal="center" vertical="center"/>
    </xf>
    <xf numFmtId="4" fontId="16" fillId="15" borderId="0" xfId="0" applyNumberFormat="1" applyFont="1" applyFill="1" applyAlignment="1">
      <alignment horizontal="center" vertical="top" wrapText="1"/>
    </xf>
    <xf numFmtId="3" fontId="16" fillId="15" borderId="24" xfId="0" applyNumberFormat="1" applyFont="1" applyFill="1" applyBorder="1" applyAlignment="1">
      <alignment horizontal="center" vertical="top"/>
    </xf>
    <xf numFmtId="10" fontId="16" fillId="15" borderId="24" xfId="0" applyNumberFormat="1" applyFont="1" applyFill="1" applyBorder="1" applyAlignment="1">
      <alignment horizontal="center" vertical="top"/>
    </xf>
    <xf numFmtId="9" fontId="3" fillId="15" borderId="24" xfId="0" applyNumberFormat="1" applyFont="1" applyFill="1" applyBorder="1" applyAlignment="1">
      <alignment horizontal="center" vertical="center"/>
    </xf>
    <xf numFmtId="3" fontId="28" fillId="15" borderId="24" xfId="0" applyNumberFormat="1" applyFont="1" applyFill="1" applyBorder="1" applyAlignment="1">
      <alignment horizontal="center"/>
    </xf>
    <xf numFmtId="3" fontId="16" fillId="15" borderId="24" xfId="0" applyNumberFormat="1" applyFont="1" applyFill="1" applyBorder="1" applyAlignment="1">
      <alignment horizontal="center"/>
    </xf>
    <xf numFmtId="166" fontId="16" fillId="15" borderId="24" xfId="0" applyNumberFormat="1" applyFont="1" applyFill="1" applyBorder="1" applyAlignment="1">
      <alignment horizontal="right"/>
    </xf>
    <xf numFmtId="0" fontId="2" fillId="15" borderId="0" xfId="0" applyFont="1" applyFill="1"/>
    <xf numFmtId="165" fontId="2" fillId="15" borderId="0" xfId="0" applyNumberFormat="1" applyFont="1" applyFill="1"/>
    <xf numFmtId="0" fontId="29" fillId="15" borderId="0" xfId="0" applyFont="1" applyFill="1"/>
    <xf numFmtId="16" fontId="16" fillId="15" borderId="24" xfId="0" applyNumberFormat="1" applyFont="1" applyFill="1" applyBorder="1" applyAlignment="1">
      <alignment horizontal="center" vertical="top"/>
    </xf>
    <xf numFmtId="0" fontId="16" fillId="15" borderId="24" xfId="0" applyFont="1" applyFill="1" applyBorder="1" applyAlignment="1">
      <alignment horizontal="center" vertical="top"/>
    </xf>
    <xf numFmtId="4" fontId="16" fillId="15" borderId="0" xfId="0" applyNumberFormat="1" applyFont="1" applyFill="1" applyAlignment="1">
      <alignment horizontal="center" vertical="top"/>
    </xf>
    <xf numFmtId="3" fontId="16" fillId="15" borderId="0" xfId="0" applyNumberFormat="1" applyFont="1" applyFill="1" applyAlignment="1">
      <alignment horizontal="center" vertical="top"/>
    </xf>
    <xf numFmtId="4" fontId="16" fillId="15" borderId="24" xfId="0" applyNumberFormat="1" applyFont="1" applyFill="1" applyBorder="1" applyAlignment="1">
      <alignment horizontal="center" vertical="top"/>
    </xf>
    <xf numFmtId="0" fontId="0" fillId="12" borderId="0" xfId="0" applyFill="1"/>
    <xf numFmtId="3" fontId="16" fillId="12" borderId="0" xfId="0" applyNumberFormat="1" applyFont="1" applyFill="1" applyAlignment="1">
      <alignment horizontal="center" vertical="top"/>
    </xf>
    <xf numFmtId="10" fontId="16" fillId="12" borderId="24" xfId="0" applyNumberFormat="1" applyFont="1" applyFill="1" applyBorder="1" applyAlignment="1">
      <alignment horizontal="center" vertical="top"/>
    </xf>
    <xf numFmtId="3" fontId="28" fillId="12" borderId="24" xfId="0" applyNumberFormat="1" applyFont="1" applyFill="1" applyBorder="1" applyAlignment="1">
      <alignment horizontal="center"/>
    </xf>
    <xf numFmtId="166" fontId="16" fillId="12" borderId="24" xfId="0" applyNumberFormat="1" applyFont="1" applyFill="1" applyBorder="1" applyAlignment="1">
      <alignment horizontal="right"/>
    </xf>
    <xf numFmtId="165" fontId="2" fillId="12" borderId="0" xfId="0" applyNumberFormat="1" applyFont="1" applyFill="1"/>
    <xf numFmtId="0" fontId="2" fillId="12" borderId="0" xfId="0" applyFont="1" applyFill="1"/>
    <xf numFmtId="0" fontId="16" fillId="12" borderId="52" xfId="0" applyFont="1" applyFill="1" applyBorder="1" applyAlignment="1">
      <alignment horizontal="center" vertical="top"/>
    </xf>
    <xf numFmtId="0" fontId="16" fillId="12" borderId="25" xfId="0" applyFont="1" applyFill="1" applyBorder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9" fontId="3" fillId="15" borderId="0" xfId="0" applyNumberFormat="1" applyFont="1" applyFill="1" applyAlignment="1">
      <alignment horizontal="center" vertical="center"/>
    </xf>
    <xf numFmtId="3" fontId="16" fillId="15" borderId="0" xfId="0" applyNumberFormat="1" applyFont="1" applyFill="1" applyAlignment="1">
      <alignment horizontal="center"/>
    </xf>
    <xf numFmtId="3" fontId="28" fillId="15" borderId="0" xfId="0" applyNumberFormat="1" applyFont="1" applyFill="1" applyAlignment="1">
      <alignment horizontal="center"/>
    </xf>
    <xf numFmtId="166" fontId="2" fillId="15" borderId="0" xfId="0" applyNumberFormat="1" applyFont="1" applyFill="1"/>
    <xf numFmtId="165" fontId="16" fillId="15" borderId="24" xfId="0" applyNumberFormat="1" applyFont="1" applyFill="1" applyBorder="1" applyAlignment="1">
      <alignment horizontal="center" vertical="top"/>
    </xf>
    <xf numFmtId="0" fontId="39" fillId="12" borderId="0" xfId="0" applyFont="1" applyFill="1"/>
    <xf numFmtId="165" fontId="3" fillId="12" borderId="0" xfId="0" applyNumberFormat="1" applyFont="1" applyFill="1"/>
    <xf numFmtId="166" fontId="3" fillId="12" borderId="0" xfId="0" applyNumberFormat="1" applyFont="1" applyFill="1"/>
    <xf numFmtId="0" fontId="39" fillId="15" borderId="0" xfId="0" applyFont="1" applyFill="1"/>
    <xf numFmtId="0" fontId="16" fillId="15" borderId="52" xfId="0" applyFont="1" applyFill="1" applyBorder="1" applyAlignment="1">
      <alignment horizontal="center" vertical="top"/>
    </xf>
    <xf numFmtId="165" fontId="3" fillId="15" borderId="0" xfId="0" applyNumberFormat="1" applyFont="1" applyFill="1"/>
    <xf numFmtId="166" fontId="3" fillId="15" borderId="0" xfId="0" applyNumberFormat="1" applyFont="1" applyFill="1"/>
    <xf numFmtId="16" fontId="16" fillId="15" borderId="24" xfId="0" applyNumberFormat="1" applyFont="1" applyFill="1" applyBorder="1" applyAlignment="1">
      <alignment horizontal="center" vertical="top" wrapText="1"/>
    </xf>
    <xf numFmtId="4" fontId="16" fillId="15" borderId="24" xfId="0" applyNumberFormat="1" applyFont="1" applyFill="1" applyBorder="1" applyAlignment="1">
      <alignment horizontal="center" vertical="top" wrapText="1"/>
    </xf>
    <xf numFmtId="3" fontId="16" fillId="15" borderId="51" xfId="0" applyNumberFormat="1" applyFont="1" applyFill="1" applyBorder="1" applyAlignment="1">
      <alignment horizontal="center" vertical="top" wrapText="1"/>
    </xf>
    <xf numFmtId="3" fontId="16" fillId="15" borderId="24" xfId="0" applyNumberFormat="1" applyFont="1" applyFill="1" applyBorder="1" applyAlignment="1">
      <alignment horizontal="center" vertical="top" wrapText="1"/>
    </xf>
    <xf numFmtId="3" fontId="16" fillId="15" borderId="52" xfId="0" applyNumberFormat="1" applyFont="1" applyFill="1" applyBorder="1" applyAlignment="1">
      <alignment horizontal="center" vertical="top" wrapText="1"/>
    </xf>
    <xf numFmtId="0" fontId="16" fillId="15" borderId="51" xfId="0" applyFont="1" applyFill="1" applyBorder="1" applyAlignment="1">
      <alignment horizontal="center" vertical="top"/>
    </xf>
    <xf numFmtId="0" fontId="27" fillId="15" borderId="0" xfId="0" applyFont="1" applyFill="1"/>
    <xf numFmtId="0" fontId="16" fillId="15" borderId="25" xfId="0" applyFont="1" applyFill="1" applyBorder="1" applyAlignment="1">
      <alignment horizontal="center" vertical="top"/>
    </xf>
    <xf numFmtId="0" fontId="11" fillId="5" borderId="0" xfId="0" applyFont="1" applyFill="1"/>
    <xf numFmtId="0" fontId="16" fillId="5" borderId="0" xfId="0" applyFont="1" applyFill="1"/>
    <xf numFmtId="0" fontId="10" fillId="5" borderId="0" xfId="0" applyFont="1" applyFill="1"/>
    <xf numFmtId="164" fontId="17" fillId="5" borderId="0" xfId="0" applyNumberFormat="1" applyFont="1" applyFill="1" applyAlignment="1">
      <alignment horizontal="center" vertical="center"/>
    </xf>
    <xf numFmtId="9" fontId="11" fillId="5" borderId="54" xfId="1" applyFont="1" applyFill="1" applyBorder="1" applyProtection="1"/>
    <xf numFmtId="0" fontId="37" fillId="5" borderId="0" xfId="0" applyFont="1" applyFill="1"/>
    <xf numFmtId="0" fontId="26" fillId="14" borderId="24" xfId="0" applyFont="1" applyFill="1" applyBorder="1" applyAlignment="1">
      <alignment horizontal="center" vertical="center" wrapText="1"/>
    </xf>
    <xf numFmtId="0" fontId="3" fillId="0" borderId="55" xfId="0" applyFont="1" applyBorder="1"/>
    <xf numFmtId="0" fontId="16" fillId="14" borderId="23" xfId="0" applyFont="1" applyFill="1" applyBorder="1" applyAlignment="1">
      <alignment horizontal="center" vertical="top" wrapText="1"/>
    </xf>
    <xf numFmtId="0" fontId="16" fillId="14" borderId="24" xfId="0" applyFont="1" applyFill="1" applyBorder="1" applyAlignment="1">
      <alignment horizontal="center" vertical="top" wrapText="1"/>
    </xf>
    <xf numFmtId="0" fontId="17" fillId="14" borderId="24" xfId="0" applyFont="1" applyFill="1" applyBorder="1" applyAlignment="1">
      <alignment horizontal="center" vertical="top" wrapText="1"/>
    </xf>
    <xf numFmtId="10" fontId="16" fillId="15" borderId="0" xfId="0" applyNumberFormat="1" applyFont="1" applyFill="1" applyAlignment="1">
      <alignment horizontal="center" vertical="top"/>
    </xf>
    <xf numFmtId="166" fontId="16" fillId="15" borderId="0" xfId="0" applyNumberFormat="1" applyFont="1" applyFill="1" applyAlignment="1">
      <alignment horizontal="right"/>
    </xf>
    <xf numFmtId="16" fontId="16" fillId="12" borderId="25" xfId="0" applyNumberFormat="1" applyFont="1" applyFill="1" applyBorder="1" applyAlignment="1">
      <alignment horizontal="center" vertical="top"/>
    </xf>
    <xf numFmtId="0" fontId="16" fillId="12" borderId="53" xfId="0" applyFont="1" applyFill="1" applyBorder="1" applyAlignment="1">
      <alignment horizontal="center" vertical="top"/>
    </xf>
    <xf numFmtId="4" fontId="16" fillId="12" borderId="23" xfId="0" applyNumberFormat="1" applyFont="1" applyFill="1" applyBorder="1" applyAlignment="1">
      <alignment horizontal="center" vertical="top"/>
    </xf>
    <xf numFmtId="166" fontId="2" fillId="12" borderId="0" xfId="0" applyNumberFormat="1" applyFont="1" applyFill="1"/>
    <xf numFmtId="16" fontId="16" fillId="15" borderId="25" xfId="0" applyNumberFormat="1" applyFont="1" applyFill="1" applyBorder="1" applyAlignment="1">
      <alignment horizontal="center" vertical="top"/>
    </xf>
    <xf numFmtId="0" fontId="16" fillId="15" borderId="53" xfId="0" applyFont="1" applyFill="1" applyBorder="1" applyAlignment="1">
      <alignment horizontal="center" vertical="top"/>
    </xf>
    <xf numFmtId="4" fontId="16" fillId="15" borderId="23" xfId="0" applyNumberFormat="1" applyFont="1" applyFill="1" applyBorder="1" applyAlignment="1">
      <alignment horizontal="center" vertical="top"/>
    </xf>
    <xf numFmtId="0" fontId="16" fillId="15" borderId="19" xfId="0" applyFont="1" applyFill="1" applyBorder="1" applyAlignment="1">
      <alignment horizontal="center" vertical="top"/>
    </xf>
    <xf numFmtId="16" fontId="16" fillId="15" borderId="24" xfId="0" applyNumberFormat="1" applyFont="1" applyFill="1" applyBorder="1" applyAlignment="1" applyProtection="1">
      <alignment horizontal="center" vertical="top"/>
      <protection locked="0"/>
    </xf>
    <xf numFmtId="4" fontId="16" fillId="15" borderId="24" xfId="0" applyNumberFormat="1" applyFont="1" applyFill="1" applyBorder="1" applyAlignment="1" applyProtection="1">
      <alignment horizontal="center" vertical="top"/>
      <protection locked="0"/>
    </xf>
    <xf numFmtId="3" fontId="16" fillId="15" borderId="24" xfId="0" applyNumberFormat="1" applyFont="1" applyFill="1" applyBorder="1" applyAlignment="1" applyProtection="1">
      <alignment horizontal="center" vertical="top"/>
      <protection locked="0"/>
    </xf>
    <xf numFmtId="9" fontId="3" fillId="15" borderId="24" xfId="1" applyFont="1" applyFill="1" applyBorder="1" applyAlignment="1" applyProtection="1">
      <alignment horizontal="center" vertical="center"/>
    </xf>
    <xf numFmtId="165" fontId="3" fillId="15" borderId="0" xfId="1" applyNumberFormat="1" applyFont="1" applyFill="1" applyProtection="1"/>
    <xf numFmtId="0" fontId="17" fillId="15" borderId="24" xfId="0" applyFont="1" applyFill="1" applyBorder="1" applyAlignment="1">
      <alignment horizontal="center" vertical="top"/>
    </xf>
    <xf numFmtId="0" fontId="3" fillId="12" borderId="0" xfId="0" applyFont="1" applyFill="1"/>
    <xf numFmtId="4" fontId="16" fillId="12" borderId="24" xfId="0" applyNumberFormat="1" applyFont="1" applyFill="1" applyBorder="1" applyAlignment="1" applyProtection="1">
      <alignment horizontal="center" vertical="top"/>
      <protection locked="0"/>
    </xf>
    <xf numFmtId="3" fontId="16" fillId="12" borderId="24" xfId="0" applyNumberFormat="1" applyFont="1" applyFill="1" applyBorder="1" applyAlignment="1" applyProtection="1">
      <alignment horizontal="center" vertical="top"/>
      <protection locked="0"/>
    </xf>
    <xf numFmtId="9" fontId="3" fillId="12" borderId="24" xfId="1" applyFont="1" applyFill="1" applyBorder="1" applyAlignment="1" applyProtection="1">
      <alignment horizontal="center" vertical="center"/>
    </xf>
    <xf numFmtId="165" fontId="3" fillId="12" borderId="0" xfId="1" applyNumberFormat="1" applyFont="1" applyFill="1" applyProtection="1"/>
    <xf numFmtId="165" fontId="3" fillId="12" borderId="0" xfId="1" applyNumberFormat="1" applyFont="1" applyFill="1" applyAlignment="1" applyProtection="1">
      <alignment vertical="center"/>
    </xf>
    <xf numFmtId="3" fontId="16" fillId="17" borderId="24" xfId="0" applyNumberFormat="1" applyFont="1" applyFill="1" applyBorder="1" applyAlignment="1">
      <alignment horizontal="center" vertical="top"/>
    </xf>
    <xf numFmtId="4" fontId="16" fillId="17" borderId="24" xfId="0" applyNumberFormat="1" applyFont="1" applyFill="1" applyBorder="1" applyAlignment="1">
      <alignment horizontal="center" vertical="top"/>
    </xf>
    <xf numFmtId="165" fontId="16" fillId="17" borderId="24" xfId="0" applyNumberFormat="1" applyFont="1" applyFill="1" applyBorder="1" applyAlignment="1">
      <alignment horizontal="center" vertical="top"/>
    </xf>
    <xf numFmtId="9" fontId="3" fillId="17" borderId="24" xfId="1" applyFont="1" applyFill="1" applyBorder="1" applyAlignment="1" applyProtection="1">
      <alignment horizontal="center" vertical="center"/>
    </xf>
    <xf numFmtId="3" fontId="16" fillId="17" borderId="24" xfId="0" applyNumberFormat="1" applyFont="1" applyFill="1" applyBorder="1" applyAlignment="1">
      <alignment horizontal="center"/>
    </xf>
    <xf numFmtId="3" fontId="16" fillId="17" borderId="24" xfId="0" applyNumberFormat="1" applyFont="1" applyFill="1" applyBorder="1" applyAlignment="1">
      <alignment horizontal="right"/>
    </xf>
    <xf numFmtId="165" fontId="16" fillId="0" borderId="0" xfId="1" applyNumberFormat="1" applyFont="1" applyProtection="1"/>
    <xf numFmtId="9" fontId="30" fillId="0" borderId="0" xfId="1" applyFont="1" applyProtection="1"/>
    <xf numFmtId="0" fontId="17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38" fillId="12" borderId="24" xfId="0" applyFont="1" applyFill="1" applyBorder="1" applyAlignment="1">
      <alignment horizontal="center" vertical="center"/>
    </xf>
    <xf numFmtId="9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58" xfId="0" applyFont="1" applyBorder="1" applyAlignment="1">
      <alignment horizontal="center" vertical="center"/>
    </xf>
    <xf numFmtId="0" fontId="21" fillId="18" borderId="60" xfId="0" applyFont="1" applyFill="1" applyBorder="1" applyAlignment="1">
      <alignment horizontal="center" vertical="center" wrapText="1"/>
    </xf>
    <xf numFmtId="0" fontId="21" fillId="18" borderId="61" xfId="0" applyFont="1" applyFill="1" applyBorder="1" applyAlignment="1">
      <alignment horizontal="center" vertical="center" wrapText="1"/>
    </xf>
    <xf numFmtId="0" fontId="21" fillId="18" borderId="18" xfId="0" applyFont="1" applyFill="1" applyBorder="1" applyAlignment="1">
      <alignment horizontal="center" vertical="center" wrapText="1"/>
    </xf>
    <xf numFmtId="0" fontId="21" fillId="18" borderId="44" xfId="0" applyFont="1" applyFill="1" applyBorder="1" applyAlignment="1">
      <alignment horizontal="center" vertical="center" wrapText="1"/>
    </xf>
    <xf numFmtId="0" fontId="21" fillId="18" borderId="45" xfId="0" applyFont="1" applyFill="1" applyBorder="1" applyAlignment="1">
      <alignment horizontal="center" vertical="center" wrapText="1"/>
    </xf>
    <xf numFmtId="0" fontId="21" fillId="18" borderId="39" xfId="0" applyFont="1" applyFill="1" applyBorder="1" applyAlignment="1">
      <alignment horizontal="center" vertical="center" wrapText="1"/>
    </xf>
    <xf numFmtId="0" fontId="21" fillId="18" borderId="62" xfId="0" applyFont="1" applyFill="1" applyBorder="1" applyAlignment="1">
      <alignment horizontal="center" vertical="center" wrapText="1"/>
    </xf>
    <xf numFmtId="0" fontId="21" fillId="18" borderId="63" xfId="0" applyFont="1" applyFill="1" applyBorder="1" applyAlignment="1">
      <alignment horizontal="center" vertical="center" wrapText="1"/>
    </xf>
    <xf numFmtId="0" fontId="21" fillId="18" borderId="11" xfId="0" applyFont="1" applyFill="1" applyBorder="1" applyAlignment="1">
      <alignment horizontal="center" vertical="center" wrapText="1"/>
    </xf>
    <xf numFmtId="0" fontId="21" fillId="18" borderId="64" xfId="0" applyFont="1" applyFill="1" applyBorder="1" applyAlignment="1">
      <alignment horizontal="center" vertical="center" wrapText="1"/>
    </xf>
    <xf numFmtId="169" fontId="38" fillId="19" borderId="66" xfId="0" applyNumberFormat="1" applyFont="1" applyFill="1" applyBorder="1" applyAlignment="1">
      <alignment horizontal="right" vertical="top" wrapText="1" indent="1"/>
    </xf>
    <xf numFmtId="169" fontId="38" fillId="19" borderId="63" xfId="0" applyNumberFormat="1" applyFont="1" applyFill="1" applyBorder="1" applyAlignment="1">
      <alignment horizontal="right" vertical="top" wrapText="1"/>
    </xf>
    <xf numFmtId="169" fontId="38" fillId="19" borderId="67" xfId="0" applyNumberFormat="1" applyFont="1" applyFill="1" applyBorder="1" applyAlignment="1">
      <alignment horizontal="right" vertical="top" wrapText="1" indent="1"/>
    </xf>
    <xf numFmtId="169" fontId="38" fillId="19" borderId="48" xfId="0" applyNumberFormat="1" applyFont="1" applyFill="1" applyBorder="1" applyAlignment="1">
      <alignment horizontal="right" vertical="top" wrapText="1" indent="1"/>
    </xf>
    <xf numFmtId="169" fontId="38" fillId="19" borderId="33" xfId="0" applyNumberFormat="1" applyFont="1" applyFill="1" applyBorder="1" applyAlignment="1">
      <alignment horizontal="right" vertical="top" wrapText="1" indent="1"/>
    </xf>
    <xf numFmtId="169" fontId="38" fillId="19" borderId="34" xfId="0" applyNumberFormat="1" applyFont="1" applyFill="1" applyBorder="1" applyAlignment="1">
      <alignment horizontal="right" vertical="top" wrapText="1" indent="1"/>
    </xf>
    <xf numFmtId="169" fontId="38" fillId="0" borderId="36" xfId="0" applyNumberFormat="1" applyFont="1" applyBorder="1" applyAlignment="1">
      <alignment horizontal="right" vertical="top" wrapText="1" indent="1"/>
    </xf>
    <xf numFmtId="169" fontId="38" fillId="0" borderId="62" xfId="0" applyNumberFormat="1" applyFont="1" applyBorder="1" applyAlignment="1">
      <alignment horizontal="right" vertical="top" wrapText="1" indent="1"/>
    </xf>
    <xf numFmtId="169" fontId="38" fillId="19" borderId="63" xfId="0" applyNumberFormat="1" applyFont="1" applyFill="1" applyBorder="1" applyAlignment="1">
      <alignment horizontal="right" vertical="top" wrapText="1" indent="1"/>
    </xf>
    <xf numFmtId="169" fontId="38" fillId="19" borderId="68" xfId="0" applyNumberFormat="1" applyFont="1" applyFill="1" applyBorder="1" applyAlignment="1">
      <alignment horizontal="right" vertical="top" wrapText="1" indent="1"/>
    </xf>
    <xf numFmtId="169" fontId="38" fillId="19" borderId="64" xfId="0" applyNumberFormat="1" applyFont="1" applyFill="1" applyBorder="1" applyAlignment="1">
      <alignment horizontal="right" vertical="top" wrapText="1"/>
    </xf>
    <xf numFmtId="0" fontId="40" fillId="4" borderId="69" xfId="0" applyFont="1" applyFill="1" applyBorder="1" applyAlignment="1">
      <alignment horizontal="left" vertical="top"/>
    </xf>
    <xf numFmtId="0" fontId="41" fillId="4" borderId="0" xfId="0" applyFont="1" applyFill="1" applyAlignment="1">
      <alignment horizontal="left" vertical="top"/>
    </xf>
    <xf numFmtId="0" fontId="40" fillId="4" borderId="0" xfId="0" applyFont="1" applyFill="1" applyAlignment="1">
      <alignment horizontal="left" vertical="top"/>
    </xf>
    <xf numFmtId="2" fontId="40" fillId="4" borderId="0" xfId="0" applyNumberFormat="1" applyFont="1" applyFill="1" applyAlignment="1">
      <alignment horizontal="right" vertical="top"/>
    </xf>
    <xf numFmtId="0" fontId="16" fillId="4" borderId="0" xfId="0" applyFont="1" applyFill="1" applyAlignment="1">
      <alignment horizontal="left"/>
    </xf>
    <xf numFmtId="0" fontId="16" fillId="4" borderId="58" xfId="0" applyFont="1" applyFill="1" applyBorder="1" applyAlignment="1">
      <alignment horizontal="left"/>
    </xf>
    <xf numFmtId="0" fontId="40" fillId="4" borderId="69" xfId="0" applyFont="1" applyFill="1" applyBorder="1" applyAlignment="1">
      <alignment horizontal="center" vertical="center"/>
    </xf>
    <xf numFmtId="0" fontId="40" fillId="4" borderId="70" xfId="0" applyFont="1" applyFill="1" applyBorder="1" applyAlignment="1">
      <alignment horizontal="center" vertical="center"/>
    </xf>
    <xf numFmtId="0" fontId="40" fillId="4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16" fillId="4" borderId="58" xfId="0" applyFont="1" applyFill="1" applyBorder="1" applyAlignment="1">
      <alignment horizontal="center" vertical="center"/>
    </xf>
    <xf numFmtId="14" fontId="40" fillId="4" borderId="70" xfId="0" applyNumberFormat="1" applyFont="1" applyFill="1" applyBorder="1" applyAlignment="1">
      <alignment horizontal="center" vertical="top"/>
    </xf>
    <xf numFmtId="4" fontId="40" fillId="4" borderId="70" xfId="0" applyNumberFormat="1" applyFont="1" applyFill="1" applyBorder="1" applyAlignment="1">
      <alignment horizontal="right" vertical="top"/>
    </xf>
    <xf numFmtId="0" fontId="40" fillId="20" borderId="69" xfId="0" applyFont="1" applyFill="1" applyBorder="1" applyAlignment="1">
      <alignment horizontal="left" vertical="top"/>
    </xf>
    <xf numFmtId="0" fontId="40" fillId="20" borderId="0" xfId="0" applyFont="1" applyFill="1" applyAlignment="1">
      <alignment horizontal="left" vertical="top"/>
    </xf>
    <xf numFmtId="4" fontId="41" fillId="20" borderId="0" xfId="0" applyNumberFormat="1" applyFont="1" applyFill="1" applyAlignment="1">
      <alignment horizontal="right" vertical="top"/>
    </xf>
    <xf numFmtId="0" fontId="40" fillId="20" borderId="0" xfId="0" applyFont="1" applyFill="1" applyAlignment="1">
      <alignment horizontal="right" vertical="top"/>
    </xf>
    <xf numFmtId="0" fontId="16" fillId="20" borderId="0" xfId="0" applyFont="1" applyFill="1" applyAlignment="1">
      <alignment horizontal="left"/>
    </xf>
    <xf numFmtId="2" fontId="41" fillId="20" borderId="0" xfId="0" applyNumberFormat="1" applyFont="1" applyFill="1" applyAlignment="1">
      <alignment horizontal="left" vertical="top"/>
    </xf>
    <xf numFmtId="2" fontId="40" fillId="20" borderId="0" xfId="0" applyNumberFormat="1" applyFont="1" applyFill="1" applyAlignment="1">
      <alignment horizontal="left" vertical="top"/>
    </xf>
    <xf numFmtId="0" fontId="16" fillId="20" borderId="58" xfId="0" applyFont="1" applyFill="1" applyBorder="1" applyAlignment="1">
      <alignment horizontal="left"/>
    </xf>
    <xf numFmtId="0" fontId="40" fillId="4" borderId="0" xfId="0" applyFont="1" applyFill="1" applyAlignment="1">
      <alignment horizontal="center" vertical="center" wrapText="1"/>
    </xf>
    <xf numFmtId="0" fontId="40" fillId="4" borderId="69" xfId="0" applyFont="1" applyFill="1" applyBorder="1" applyAlignment="1">
      <alignment horizontal="center" vertical="center" wrapText="1"/>
    </xf>
    <xf numFmtId="0" fontId="41" fillId="4" borderId="0" xfId="0" applyFont="1" applyFill="1" applyAlignment="1">
      <alignment horizontal="left" vertical="top" wrapText="1"/>
    </xf>
    <xf numFmtId="0" fontId="16" fillId="21" borderId="73" xfId="0" applyFont="1" applyFill="1" applyBorder="1" applyAlignment="1">
      <alignment horizontal="center" vertical="center" wrapText="1"/>
    </xf>
    <xf numFmtId="0" fontId="16" fillId="4" borderId="0" xfId="0" applyFont="1" applyFill="1" applyAlignment="1">
      <alignment horizontal="center" vertical="center" wrapText="1"/>
    </xf>
    <xf numFmtId="0" fontId="16" fillId="4" borderId="58" xfId="0" applyFont="1" applyFill="1" applyBorder="1" applyAlignment="1">
      <alignment horizontal="center" vertical="center" wrapText="1"/>
    </xf>
    <xf numFmtId="0" fontId="40" fillId="4" borderId="70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center" vertical="center" wrapText="1"/>
    </xf>
    <xf numFmtId="0" fontId="40" fillId="21" borderId="70" xfId="0" applyFont="1" applyFill="1" applyBorder="1" applyAlignment="1">
      <alignment horizontal="center" vertical="center" wrapText="1"/>
    </xf>
    <xf numFmtId="1" fontId="40" fillId="4" borderId="70" xfId="0" applyNumberFormat="1" applyFont="1" applyFill="1" applyBorder="1" applyAlignment="1">
      <alignment horizontal="center" vertical="top"/>
    </xf>
    <xf numFmtId="0" fontId="40" fillId="4" borderId="70" xfId="0" applyFont="1" applyFill="1" applyBorder="1" applyAlignment="1">
      <alignment horizontal="left" vertical="top"/>
    </xf>
    <xf numFmtId="0" fontId="40" fillId="4" borderId="74" xfId="0" applyFont="1" applyFill="1" applyBorder="1" applyAlignment="1">
      <alignment horizontal="left" vertical="top"/>
    </xf>
    <xf numFmtId="170" fontId="40" fillId="4" borderId="74" xfId="0" applyNumberFormat="1" applyFont="1" applyFill="1" applyBorder="1" applyAlignment="1">
      <alignment horizontal="center" vertical="top"/>
    </xf>
    <xf numFmtId="2" fontId="40" fillId="4" borderId="74" xfId="0" applyNumberFormat="1" applyFont="1" applyFill="1" applyBorder="1" applyAlignment="1">
      <alignment horizontal="center" vertical="top"/>
    </xf>
    <xf numFmtId="2" fontId="41" fillId="4" borderId="70" xfId="0" applyNumberFormat="1" applyFont="1" applyFill="1" applyBorder="1" applyAlignment="1">
      <alignment horizontal="right" vertical="center" wrapText="1" indent="1"/>
    </xf>
    <xf numFmtId="4" fontId="40" fillId="4" borderId="0" xfId="0" applyNumberFormat="1" applyFont="1" applyFill="1" applyAlignment="1">
      <alignment horizontal="left" vertical="top"/>
    </xf>
    <xf numFmtId="0" fontId="40" fillId="21" borderId="70" xfId="0" applyFont="1" applyFill="1" applyBorder="1" applyAlignment="1">
      <alignment horizontal="left" vertical="top"/>
    </xf>
    <xf numFmtId="10" fontId="40" fillId="21" borderId="70" xfId="0" applyNumberFormat="1" applyFont="1" applyFill="1" applyBorder="1" applyAlignment="1">
      <alignment horizontal="center" vertical="top"/>
    </xf>
    <xf numFmtId="2" fontId="40" fillId="21" borderId="70" xfId="0" applyNumberFormat="1" applyFont="1" applyFill="1" applyBorder="1" applyAlignment="1">
      <alignment horizontal="center" vertical="top"/>
    </xf>
    <xf numFmtId="0" fontId="40" fillId="4" borderId="70" xfId="0" applyFont="1" applyFill="1" applyBorder="1" applyAlignment="1">
      <alignment horizontal="left" vertical="center"/>
    </xf>
    <xf numFmtId="170" fontId="40" fillId="4" borderId="74" xfId="0" applyNumberFormat="1" applyFont="1" applyFill="1" applyBorder="1" applyAlignment="1">
      <alignment horizontal="center" vertical="center" wrapText="1"/>
    </xf>
    <xf numFmtId="0" fontId="40" fillId="21" borderId="70" xfId="0" applyFont="1" applyFill="1" applyBorder="1" applyAlignment="1">
      <alignment horizontal="left" vertical="top" wrapText="1"/>
    </xf>
    <xf numFmtId="10" fontId="40" fillId="21" borderId="70" xfId="0" applyNumberFormat="1" applyFont="1" applyFill="1" applyBorder="1" applyAlignment="1">
      <alignment horizontal="center" vertical="center" wrapText="1"/>
    </xf>
    <xf numFmtId="2" fontId="40" fillId="21" borderId="70" xfId="0" applyNumberFormat="1" applyFont="1" applyFill="1" applyBorder="1" applyAlignment="1">
      <alignment horizontal="center" vertical="center" wrapText="1"/>
    </xf>
    <xf numFmtId="0" fontId="40" fillId="4" borderId="0" xfId="0" applyFont="1" applyFill="1" applyAlignment="1">
      <alignment horizontal="left" vertical="center"/>
    </xf>
    <xf numFmtId="170" fontId="40" fillId="4" borderId="0" xfId="0" applyNumberFormat="1" applyFont="1" applyFill="1" applyAlignment="1">
      <alignment horizontal="center" vertical="center" wrapText="1"/>
    </xf>
    <xf numFmtId="2" fontId="41" fillId="4" borderId="0" xfId="0" applyNumberFormat="1" applyFont="1" applyFill="1" applyAlignment="1">
      <alignment horizontal="right" vertical="center" wrapText="1"/>
    </xf>
    <xf numFmtId="4" fontId="17" fillId="20" borderId="0" xfId="0" applyNumberFormat="1" applyFont="1" applyFill="1" applyAlignment="1">
      <alignment horizontal="right"/>
    </xf>
    <xf numFmtId="0" fontId="16" fillId="20" borderId="0" xfId="0" applyFont="1" applyFill="1" applyAlignment="1">
      <alignment horizontal="right"/>
    </xf>
    <xf numFmtId="2" fontId="16" fillId="20" borderId="0" xfId="0" applyNumberFormat="1" applyFont="1" applyFill="1" applyAlignment="1">
      <alignment horizontal="left"/>
    </xf>
    <xf numFmtId="0" fontId="16" fillId="4" borderId="69" xfId="0" applyFont="1" applyFill="1" applyBorder="1" applyAlignment="1">
      <alignment horizontal="left"/>
    </xf>
    <xf numFmtId="0" fontId="16" fillId="0" borderId="0" xfId="0" applyFont="1" applyAlignment="1">
      <alignment horizontal="left"/>
    </xf>
    <xf numFmtId="0" fontId="16" fillId="0" borderId="58" xfId="0" applyFont="1" applyBorder="1"/>
    <xf numFmtId="0" fontId="41" fillId="21" borderId="21" xfId="0" applyFont="1" applyFill="1" applyBorder="1" applyAlignment="1">
      <alignment horizontal="left" vertical="top"/>
    </xf>
    <xf numFmtId="0" fontId="17" fillId="21" borderId="21" xfId="0" applyFont="1" applyFill="1" applyBorder="1" applyAlignment="1">
      <alignment horizontal="left"/>
    </xf>
    <xf numFmtId="0" fontId="16" fillId="21" borderId="21" xfId="0" applyFont="1" applyFill="1" applyBorder="1" applyAlignment="1">
      <alignment horizontal="left"/>
    </xf>
    <xf numFmtId="0" fontId="16" fillId="21" borderId="75" xfId="0" applyFont="1" applyFill="1" applyBorder="1" applyAlignment="1">
      <alignment horizontal="left"/>
    </xf>
    <xf numFmtId="0" fontId="16" fillId="4" borderId="69" xfId="0" applyFont="1" applyFill="1" applyBorder="1" applyAlignment="1">
      <alignment horizontal="center" vertical="center" wrapText="1"/>
    </xf>
    <xf numFmtId="0" fontId="40" fillId="21" borderId="24" xfId="0" applyFont="1" applyFill="1" applyBorder="1" applyAlignment="1">
      <alignment horizontal="center" vertical="center" wrapText="1"/>
    </xf>
    <xf numFmtId="0" fontId="40" fillId="21" borderId="26" xfId="0" applyFont="1" applyFill="1" applyBorder="1" applyAlignment="1">
      <alignment horizontal="center" vertical="center" wrapText="1"/>
    </xf>
    <xf numFmtId="10" fontId="40" fillId="4" borderId="70" xfId="0" applyNumberFormat="1" applyFont="1" applyFill="1" applyBorder="1" applyAlignment="1">
      <alignment horizontal="center" vertical="top"/>
    </xf>
    <xf numFmtId="4" fontId="40" fillId="4" borderId="0" xfId="0" applyNumberFormat="1" applyFont="1" applyFill="1" applyAlignment="1">
      <alignment horizontal="right" vertical="top"/>
    </xf>
    <xf numFmtId="2" fontId="41" fillId="4" borderId="70" xfId="0" applyNumberFormat="1" applyFont="1" applyFill="1" applyBorder="1" applyAlignment="1">
      <alignment horizontal="right" vertical="top" indent="1"/>
    </xf>
    <xf numFmtId="3" fontId="40" fillId="21" borderId="24" xfId="0" applyNumberFormat="1" applyFont="1" applyFill="1" applyBorder="1" applyAlignment="1">
      <alignment horizontal="left" vertical="top"/>
    </xf>
    <xf numFmtId="170" fontId="40" fillId="21" borderId="24" xfId="0" applyNumberFormat="1" applyFont="1" applyFill="1" applyBorder="1" applyAlignment="1">
      <alignment vertical="top"/>
    </xf>
    <xf numFmtId="0" fontId="16" fillId="21" borderId="24" xfId="0" applyFont="1" applyFill="1" applyBorder="1" applyAlignment="1">
      <alignment vertical="top"/>
    </xf>
    <xf numFmtId="10" fontId="40" fillId="21" borderId="24" xfId="0" applyNumberFormat="1" applyFont="1" applyFill="1" applyBorder="1" applyAlignment="1">
      <alignment horizontal="center" vertical="top"/>
    </xf>
    <xf numFmtId="2" fontId="41" fillId="21" borderId="26" xfId="0" applyNumberFormat="1" applyFont="1" applyFill="1" applyBorder="1" applyAlignment="1">
      <alignment horizontal="right" vertical="top" indent="1"/>
    </xf>
    <xf numFmtId="4" fontId="40" fillId="4" borderId="70" xfId="0" applyNumberFormat="1" applyFont="1" applyFill="1" applyBorder="1" applyAlignment="1">
      <alignment horizontal="right" vertical="center" wrapText="1"/>
    </xf>
    <xf numFmtId="3" fontId="40" fillId="21" borderId="24" xfId="0" applyNumberFormat="1" applyFont="1" applyFill="1" applyBorder="1" applyAlignment="1">
      <alignment horizontal="left" vertical="top" wrapText="1"/>
    </xf>
    <xf numFmtId="0" fontId="40" fillId="21" borderId="24" xfId="0" applyFont="1" applyFill="1" applyBorder="1" applyAlignment="1">
      <alignment vertical="center"/>
    </xf>
    <xf numFmtId="170" fontId="40" fillId="21" borderId="24" xfId="0" applyNumberFormat="1" applyFont="1" applyFill="1" applyBorder="1" applyAlignment="1">
      <alignment vertical="center" wrapText="1"/>
    </xf>
    <xf numFmtId="0" fontId="16" fillId="21" borderId="24" xfId="0" applyFont="1" applyFill="1" applyBorder="1" applyAlignment="1">
      <alignment vertical="top" wrapText="1"/>
    </xf>
    <xf numFmtId="10" fontId="40" fillId="21" borderId="24" xfId="0" applyNumberFormat="1" applyFont="1" applyFill="1" applyBorder="1" applyAlignment="1">
      <alignment horizontal="center" vertical="top" wrapText="1"/>
    </xf>
    <xf numFmtId="2" fontId="41" fillId="21" borderId="26" xfId="0" applyNumberFormat="1" applyFont="1" applyFill="1" applyBorder="1" applyAlignment="1">
      <alignment horizontal="right" vertical="top" wrapText="1" inden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1" fillId="18" borderId="77" xfId="0" applyFont="1" applyFill="1" applyBorder="1" applyAlignment="1">
      <alignment horizontal="center" vertical="center" wrapText="1"/>
    </xf>
    <xf numFmtId="0" fontId="16" fillId="21" borderId="0" xfId="0" applyFont="1" applyFill="1" applyAlignment="1">
      <alignment horizontal="center" vertical="center" wrapText="1"/>
    </xf>
    <xf numFmtId="0" fontId="40" fillId="21" borderId="0" xfId="0" applyFont="1" applyFill="1" applyAlignment="1">
      <alignment horizontal="center" vertical="center" wrapText="1"/>
    </xf>
    <xf numFmtId="4" fontId="0" fillId="0" borderId="0" xfId="0" applyNumberFormat="1"/>
    <xf numFmtId="0" fontId="38" fillId="22" borderId="78" xfId="0" applyFont="1" applyFill="1" applyBorder="1"/>
    <xf numFmtId="171" fontId="42" fillId="23" borderId="79" xfId="0" applyNumberFormat="1" applyFont="1" applyFill="1" applyBorder="1" applyAlignment="1" applyProtection="1">
      <alignment horizontal="left"/>
      <protection locked="0"/>
    </xf>
    <xf numFmtId="0" fontId="21" fillId="22" borderId="80" xfId="0" applyFont="1" applyFill="1" applyBorder="1"/>
    <xf numFmtId="0" fontId="43" fillId="23" borderId="81" xfId="0" applyFont="1" applyFill="1" applyBorder="1" applyProtection="1">
      <protection locked="0"/>
    </xf>
    <xf numFmtId="0" fontId="44" fillId="22" borderId="0" xfId="0" applyFont="1" applyFill="1" applyAlignment="1">
      <alignment vertical="center"/>
    </xf>
    <xf numFmtId="0" fontId="21" fillId="22" borderId="0" xfId="0" applyFont="1" applyFill="1"/>
    <xf numFmtId="0" fontId="43" fillId="24" borderId="82" xfId="0" applyFont="1" applyFill="1" applyBorder="1"/>
    <xf numFmtId="0" fontId="44" fillId="25" borderId="0" xfId="0" applyFont="1" applyFill="1" applyAlignment="1">
      <alignment vertical="center"/>
    </xf>
    <xf numFmtId="0" fontId="21" fillId="25" borderId="0" xfId="0" applyFont="1" applyFill="1"/>
    <xf numFmtId="0" fontId="45" fillId="24" borderId="82" xfId="0" applyFont="1" applyFill="1" applyBorder="1"/>
    <xf numFmtId="0" fontId="43" fillId="24" borderId="83" xfId="0" applyFont="1" applyFill="1" applyBorder="1"/>
    <xf numFmtId="0" fontId="48" fillId="22" borderId="84" xfId="0" applyFont="1" applyFill="1" applyBorder="1" applyAlignment="1">
      <alignment horizontal="center" wrapText="1"/>
    </xf>
    <xf numFmtId="0" fontId="38" fillId="22" borderId="87" xfId="0" applyFont="1" applyFill="1" applyBorder="1" applyAlignment="1">
      <alignment horizontal="center"/>
    </xf>
    <xf numFmtId="0" fontId="21" fillId="26" borderId="0" xfId="0" applyFont="1" applyFill="1"/>
    <xf numFmtId="0" fontId="38" fillId="22" borderId="88" xfId="0" applyFont="1" applyFill="1" applyBorder="1"/>
    <xf numFmtId="2" fontId="48" fillId="22" borderId="89" xfId="0" applyNumberFormat="1" applyFont="1" applyFill="1" applyBorder="1" applyAlignment="1">
      <alignment horizontal="center"/>
    </xf>
    <xf numFmtId="3" fontId="49" fillId="22" borderId="84" xfId="0" applyNumberFormat="1" applyFont="1" applyFill="1" applyBorder="1" applyAlignment="1">
      <alignment horizontal="center"/>
    </xf>
    <xf numFmtId="10" fontId="21" fillId="26" borderId="0" xfId="0" applyNumberFormat="1" applyFont="1" applyFill="1"/>
    <xf numFmtId="0" fontId="38" fillId="22" borderId="90" xfId="0" applyFont="1" applyFill="1" applyBorder="1"/>
    <xf numFmtId="0" fontId="21" fillId="22" borderId="86" xfId="0" applyFont="1" applyFill="1" applyBorder="1"/>
    <xf numFmtId="0" fontId="21" fillId="22" borderId="91" xfId="0" applyFont="1" applyFill="1" applyBorder="1"/>
    <xf numFmtId="0" fontId="38" fillId="27" borderId="92" xfId="0" applyFont="1" applyFill="1" applyBorder="1" applyAlignment="1" applyProtection="1">
      <alignment wrapText="1"/>
      <protection locked="0"/>
    </xf>
    <xf numFmtId="0" fontId="21" fillId="28" borderId="93" xfId="0" applyFont="1" applyFill="1" applyBorder="1"/>
    <xf numFmtId="0" fontId="38" fillId="29" borderId="93" xfId="0" applyFont="1" applyFill="1" applyBorder="1" applyAlignment="1">
      <alignment horizontal="center" vertical="center" wrapText="1"/>
    </xf>
    <xf numFmtId="0" fontId="21" fillId="22" borderId="94" xfId="0" applyFont="1" applyFill="1" applyBorder="1"/>
    <xf numFmtId="0" fontId="21" fillId="22" borderId="95" xfId="0" applyFont="1" applyFill="1" applyBorder="1"/>
    <xf numFmtId="0" fontId="21" fillId="28" borderId="95" xfId="0" applyFont="1" applyFill="1" applyBorder="1"/>
    <xf numFmtId="0" fontId="38" fillId="29" borderId="96" xfId="0" applyFont="1" applyFill="1" applyBorder="1" applyAlignment="1">
      <alignment horizontal="center" vertical="center" wrapText="1"/>
    </xf>
    <xf numFmtId="0" fontId="38" fillId="22" borderId="97" xfId="0" applyFont="1" applyFill="1" applyBorder="1" applyAlignment="1">
      <alignment vertical="center" wrapText="1"/>
    </xf>
    <xf numFmtId="0" fontId="38" fillId="22" borderId="98" xfId="0" applyFont="1" applyFill="1" applyBorder="1" applyAlignment="1">
      <alignment horizontal="center" vertical="center"/>
    </xf>
    <xf numFmtId="0" fontId="49" fillId="22" borderId="99" xfId="0" applyFont="1" applyFill="1" applyBorder="1" applyAlignment="1">
      <alignment horizontal="center" vertical="center"/>
    </xf>
    <xf numFmtId="0" fontId="49" fillId="22" borderId="92" xfId="0" applyFont="1" applyFill="1" applyBorder="1" applyAlignment="1">
      <alignment horizontal="center" vertical="center"/>
    </xf>
    <xf numFmtId="0" fontId="49" fillId="28" borderId="100" xfId="0" applyFont="1" applyFill="1" applyBorder="1" applyAlignment="1">
      <alignment horizontal="center" vertical="center"/>
    </xf>
    <xf numFmtId="0" fontId="38" fillId="29" borderId="92" xfId="0" applyFont="1" applyFill="1" applyBorder="1" applyAlignment="1">
      <alignment horizontal="center" vertical="center" wrapText="1"/>
    </xf>
    <xf numFmtId="0" fontId="38" fillId="29" borderId="101" xfId="0" applyFont="1" applyFill="1" applyBorder="1" applyAlignment="1">
      <alignment horizontal="center" vertical="center" wrapText="1"/>
    </xf>
    <xf numFmtId="0" fontId="38" fillId="22" borderId="104" xfId="0" applyFont="1" applyFill="1" applyBorder="1"/>
    <xf numFmtId="0" fontId="50" fillId="0" borderId="104" xfId="0" applyFont="1" applyBorder="1"/>
    <xf numFmtId="0" fontId="21" fillId="0" borderId="104" xfId="0" applyFont="1" applyBorder="1"/>
    <xf numFmtId="0" fontId="3" fillId="0" borderId="104" xfId="0" applyFont="1" applyBorder="1"/>
    <xf numFmtId="0" fontId="21" fillId="0" borderId="105" xfId="0" applyFont="1" applyBorder="1"/>
    <xf numFmtId="3" fontId="21" fillId="28" borderId="24" xfId="0" applyNumberFormat="1" applyFont="1" applyFill="1" applyBorder="1" applyAlignment="1">
      <alignment horizontal="center"/>
    </xf>
    <xf numFmtId="3" fontId="21" fillId="29" borderId="106" xfId="0" applyNumberFormat="1" applyFont="1" applyFill="1" applyBorder="1" applyAlignment="1">
      <alignment horizontal="center"/>
    </xf>
    <xf numFmtId="3" fontId="21" fillId="29" borderId="104" xfId="0" applyNumberFormat="1" applyFont="1" applyFill="1" applyBorder="1" applyAlignment="1">
      <alignment horizontal="center"/>
    </xf>
    <xf numFmtId="3" fontId="21" fillId="0" borderId="104" xfId="0" applyNumberFormat="1" applyFont="1" applyBorder="1" applyAlignment="1">
      <alignment horizontal="center"/>
    </xf>
    <xf numFmtId="0" fontId="38" fillId="22" borderId="107" xfId="0" applyFont="1" applyFill="1" applyBorder="1"/>
    <xf numFmtId="0" fontId="50" fillId="0" borderId="107" xfId="0" applyFont="1" applyBorder="1"/>
    <xf numFmtId="0" fontId="21" fillId="0" borderId="107" xfId="0" applyFont="1" applyBorder="1"/>
    <xf numFmtId="0" fontId="3" fillId="0" borderId="107" xfId="0" applyFont="1" applyBorder="1"/>
    <xf numFmtId="0" fontId="21" fillId="0" borderId="108" xfId="0" applyFont="1" applyBorder="1"/>
    <xf numFmtId="3" fontId="21" fillId="29" borderId="109" xfId="0" applyNumberFormat="1" applyFont="1" applyFill="1" applyBorder="1" applyAlignment="1">
      <alignment horizontal="center"/>
    </xf>
    <xf numFmtId="3" fontId="21" fillId="29" borderId="107" xfId="0" applyNumberFormat="1" applyFont="1" applyFill="1" applyBorder="1" applyAlignment="1">
      <alignment horizontal="center"/>
    </xf>
    <xf numFmtId="3" fontId="21" fillId="0" borderId="107" xfId="0" applyNumberFormat="1" applyFont="1" applyBorder="1" applyAlignment="1">
      <alignment horizontal="center"/>
    </xf>
    <xf numFmtId="0" fontId="50" fillId="0" borderId="107" xfId="0" applyFont="1" applyBorder="1" applyProtection="1">
      <protection locked="0"/>
    </xf>
    <xf numFmtId="0" fontId="3" fillId="0" borderId="107" xfId="0" applyFont="1" applyBorder="1" applyProtection="1">
      <protection locked="0"/>
    </xf>
    <xf numFmtId="0" fontId="50" fillId="0" borderId="24" xfId="0" applyFont="1" applyBorder="1"/>
    <xf numFmtId="0" fontId="50" fillId="0" borderId="0" xfId="0" applyFont="1" applyProtection="1">
      <protection locked="0"/>
    </xf>
    <xf numFmtId="0" fontId="50" fillId="0" borderId="108" xfId="0" applyFont="1" applyBorder="1" applyProtection="1">
      <protection locked="0"/>
    </xf>
    <xf numFmtId="0" fontId="38" fillId="30" borderId="110" xfId="0" applyFont="1" applyFill="1" applyBorder="1" applyProtection="1">
      <protection locked="0"/>
    </xf>
    <xf numFmtId="0" fontId="50" fillId="11" borderId="24" xfId="0" applyFont="1" applyFill="1" applyBorder="1"/>
    <xf numFmtId="0" fontId="50" fillId="11" borderId="107" xfId="0" applyFont="1" applyFill="1" applyBorder="1" applyProtection="1">
      <protection locked="0"/>
    </xf>
    <xf numFmtId="0" fontId="50" fillId="11" borderId="111" xfId="0" applyFont="1" applyFill="1" applyBorder="1" applyProtection="1">
      <protection locked="0"/>
    </xf>
    <xf numFmtId="3" fontId="21" fillId="31" borderId="24" xfId="0" applyNumberFormat="1" applyFont="1" applyFill="1" applyBorder="1" applyAlignment="1" applyProtection="1">
      <alignment horizontal="center"/>
      <protection hidden="1"/>
    </xf>
    <xf numFmtId="3" fontId="21" fillId="32" borderId="109" xfId="0" applyNumberFormat="1" applyFont="1" applyFill="1" applyBorder="1" applyAlignment="1" applyProtection="1">
      <alignment horizontal="center"/>
      <protection hidden="1"/>
    </xf>
    <xf numFmtId="3" fontId="21" fillId="32" borderId="107" xfId="0" applyNumberFormat="1" applyFont="1" applyFill="1" applyBorder="1" applyAlignment="1" applyProtection="1">
      <alignment horizontal="center"/>
      <protection hidden="1"/>
    </xf>
    <xf numFmtId="3" fontId="21" fillId="0" borderId="107" xfId="0" applyNumberFormat="1" applyFont="1" applyBorder="1" applyAlignment="1" applyProtection="1">
      <alignment horizontal="center"/>
      <protection hidden="1"/>
    </xf>
    <xf numFmtId="0" fontId="21" fillId="0" borderId="107" xfId="0" applyFont="1" applyBorder="1" applyAlignment="1" applyProtection="1">
      <alignment horizontal="center"/>
      <protection locked="0"/>
    </xf>
    <xf numFmtId="0" fontId="51" fillId="22" borderId="107" xfId="0" applyFont="1" applyFill="1" applyBorder="1"/>
    <xf numFmtId="0" fontId="44" fillId="0" borderId="107" xfId="0" applyFont="1" applyBorder="1" applyProtection="1">
      <protection locked="0"/>
    </xf>
    <xf numFmtId="0" fontId="21" fillId="11" borderId="107" xfId="0" applyFont="1" applyFill="1" applyBorder="1" applyProtection="1">
      <protection locked="0"/>
    </xf>
    <xf numFmtId="0" fontId="44" fillId="11" borderId="28" xfId="0" applyFont="1" applyFill="1" applyBorder="1" applyProtection="1">
      <protection locked="0"/>
    </xf>
    <xf numFmtId="0" fontId="50" fillId="11" borderId="28" xfId="0" applyFont="1" applyFill="1" applyBorder="1"/>
    <xf numFmtId="0" fontId="21" fillId="11" borderId="112" xfId="0" applyFont="1" applyFill="1" applyBorder="1" applyProtection="1">
      <protection locked="0"/>
    </xf>
    <xf numFmtId="0" fontId="50" fillId="11" borderId="109" xfId="0" applyFont="1" applyFill="1" applyBorder="1" applyProtection="1">
      <protection locked="0"/>
    </xf>
    <xf numFmtId="0" fontId="21" fillId="11" borderId="111" xfId="0" applyFont="1" applyFill="1" applyBorder="1" applyProtection="1">
      <protection locked="0"/>
    </xf>
    <xf numFmtId="3" fontId="50" fillId="28" borderId="24" xfId="0" applyNumberFormat="1" applyFont="1" applyFill="1" applyBorder="1" applyAlignment="1">
      <alignment horizontal="center"/>
    </xf>
    <xf numFmtId="3" fontId="50" fillId="29" borderId="109" xfId="0" applyNumberFormat="1" applyFont="1" applyFill="1" applyBorder="1" applyAlignment="1">
      <alignment horizontal="center"/>
    </xf>
    <xf numFmtId="3" fontId="50" fillId="29" borderId="107" xfId="0" applyNumberFormat="1" applyFont="1" applyFill="1" applyBorder="1" applyAlignment="1">
      <alignment horizontal="center"/>
    </xf>
    <xf numFmtId="3" fontId="50" fillId="0" borderId="107" xfId="0" applyNumberFormat="1" applyFont="1" applyBorder="1" applyAlignment="1">
      <alignment horizontal="center"/>
    </xf>
    <xf numFmtId="0" fontId="38" fillId="30" borderId="113" xfId="0" applyFont="1" applyFill="1" applyBorder="1" applyProtection="1">
      <protection locked="0"/>
    </xf>
    <xf numFmtId="0" fontId="44" fillId="11" borderId="24" xfId="0" applyFont="1" applyFill="1" applyBorder="1"/>
    <xf numFmtId="0" fontId="44" fillId="11" borderId="114" xfId="0" applyFont="1" applyFill="1" applyBorder="1" applyProtection="1">
      <protection locked="0"/>
    </xf>
    <xf numFmtId="3" fontId="21" fillId="31" borderId="23" xfId="0" applyNumberFormat="1" applyFont="1" applyFill="1" applyBorder="1" applyAlignment="1" applyProtection="1">
      <alignment horizontal="center"/>
      <protection hidden="1"/>
    </xf>
    <xf numFmtId="3" fontId="21" fillId="0" borderId="111" xfId="0" applyNumberFormat="1" applyFont="1" applyBorder="1" applyAlignment="1" applyProtection="1">
      <alignment horizontal="center"/>
      <protection hidden="1"/>
    </xf>
    <xf numFmtId="0" fontId="44" fillId="0" borderId="108" xfId="0" applyFont="1" applyBorder="1" applyProtection="1">
      <protection locked="0"/>
    </xf>
    <xf numFmtId="0" fontId="44" fillId="0" borderId="24" xfId="0" applyFont="1" applyBorder="1" applyProtection="1">
      <protection locked="0"/>
    </xf>
    <xf numFmtId="0" fontId="44" fillId="11" borderId="23" xfId="0" applyFont="1" applyFill="1" applyBorder="1"/>
    <xf numFmtId="0" fontId="44" fillId="11" borderId="105" xfId="0" applyFont="1" applyFill="1" applyBorder="1" applyProtection="1">
      <protection locked="0"/>
    </xf>
    <xf numFmtId="0" fontId="51" fillId="22" borderId="111" xfId="0" applyFont="1" applyFill="1" applyBorder="1"/>
    <xf numFmtId="0" fontId="44" fillId="0" borderId="42" xfId="0" applyFont="1" applyBorder="1" applyProtection="1">
      <protection locked="0"/>
    </xf>
    <xf numFmtId="0" fontId="44" fillId="0" borderId="28" xfId="0" applyFont="1" applyBorder="1" applyProtection="1">
      <protection locked="0"/>
    </xf>
    <xf numFmtId="3" fontId="50" fillId="28" borderId="27" xfId="0" applyNumberFormat="1" applyFont="1" applyFill="1" applyBorder="1" applyAlignment="1">
      <alignment horizontal="center"/>
    </xf>
    <xf numFmtId="3" fontId="50" fillId="29" borderId="111" xfId="0" applyNumberFormat="1" applyFont="1" applyFill="1" applyBorder="1" applyAlignment="1">
      <alignment horizontal="center"/>
    </xf>
    <xf numFmtId="3" fontId="50" fillId="0" borderId="111" xfId="0" applyNumberFormat="1" applyFont="1" applyBorder="1" applyAlignment="1">
      <alignment horizontal="center"/>
    </xf>
    <xf numFmtId="3" fontId="38" fillId="22" borderId="115" xfId="0" applyNumberFormat="1" applyFont="1" applyFill="1" applyBorder="1" applyAlignment="1">
      <alignment horizontal="center"/>
    </xf>
    <xf numFmtId="3" fontId="38" fillId="28" borderId="92" xfId="0" applyNumberFormat="1" applyFont="1" applyFill="1" applyBorder="1" applyAlignment="1">
      <alignment horizontal="center"/>
    </xf>
    <xf numFmtId="3" fontId="38" fillId="28" borderId="101" xfId="0" applyNumberFormat="1" applyFont="1" applyFill="1" applyBorder="1" applyAlignment="1">
      <alignment horizontal="center"/>
    </xf>
    <xf numFmtId="3" fontId="38" fillId="28" borderId="12" xfId="0" applyNumberFormat="1" applyFont="1" applyFill="1" applyBorder="1" applyAlignment="1">
      <alignment horizontal="center"/>
    </xf>
    <xf numFmtId="3" fontId="38" fillId="28" borderId="13" xfId="0" applyNumberFormat="1" applyFont="1" applyFill="1" applyBorder="1" applyAlignment="1">
      <alignment horizontal="center"/>
    </xf>
    <xf numFmtId="16" fontId="16" fillId="0" borderId="24" xfId="0" applyNumberFormat="1" applyFont="1" applyBorder="1" applyAlignment="1">
      <alignment horizontal="center" vertical="top"/>
    </xf>
    <xf numFmtId="4" fontId="16" fillId="0" borderId="24" xfId="0" applyNumberFormat="1" applyFont="1" applyBorder="1" applyAlignment="1">
      <alignment horizontal="center" vertical="top"/>
    </xf>
    <xf numFmtId="3" fontId="16" fillId="0" borderId="0" xfId="0" applyNumberFormat="1" applyFont="1" applyAlignment="1">
      <alignment horizontal="center" vertical="top"/>
    </xf>
    <xf numFmtId="3" fontId="16" fillId="0" borderId="24" xfId="0" applyNumberFormat="1" applyFont="1" applyBorder="1" applyAlignment="1">
      <alignment horizontal="center" vertical="top"/>
    </xf>
    <xf numFmtId="10" fontId="16" fillId="0" borderId="24" xfId="0" applyNumberFormat="1" applyFont="1" applyBorder="1" applyAlignment="1">
      <alignment horizontal="center" vertical="top"/>
    </xf>
    <xf numFmtId="9" fontId="3" fillId="0" borderId="24" xfId="0" applyNumberFormat="1" applyFont="1" applyBorder="1" applyAlignment="1">
      <alignment horizontal="center" vertical="center"/>
    </xf>
    <xf numFmtId="3" fontId="28" fillId="0" borderId="24" xfId="0" applyNumberFormat="1" applyFont="1" applyBorder="1" applyAlignment="1">
      <alignment horizontal="center"/>
    </xf>
    <xf numFmtId="3" fontId="16" fillId="0" borderId="24" xfId="0" applyNumberFormat="1" applyFont="1" applyBorder="1" applyAlignment="1">
      <alignment horizontal="center"/>
    </xf>
    <xf numFmtId="166" fontId="16" fillId="0" borderId="24" xfId="0" applyNumberFormat="1" applyFont="1" applyBorder="1" applyAlignment="1">
      <alignment horizontal="right"/>
    </xf>
    <xf numFmtId="165" fontId="2" fillId="0" borderId="0" xfId="0" applyNumberFormat="1" applyFont="1"/>
    <xf numFmtId="0" fontId="16" fillId="0" borderId="25" xfId="0" applyFont="1" applyBorder="1" applyAlignment="1">
      <alignment horizontal="center" vertical="top"/>
    </xf>
    <xf numFmtId="165" fontId="2" fillId="0" borderId="0" xfId="0" applyNumberFormat="1" applyFont="1" applyAlignment="1">
      <alignment vertical="center"/>
    </xf>
    <xf numFmtId="0" fontId="29" fillId="0" borderId="0" xfId="0" applyFont="1"/>
    <xf numFmtId="0" fontId="16" fillId="0" borderId="24" xfId="0" applyFont="1" applyBorder="1" applyAlignment="1">
      <alignment horizontal="center" vertical="top"/>
    </xf>
    <xf numFmtId="166" fontId="2" fillId="0" borderId="0" xfId="0" applyNumberFormat="1" applyFont="1"/>
    <xf numFmtId="0" fontId="16" fillId="0" borderId="29" xfId="0" applyFont="1" applyBorder="1" applyAlignment="1">
      <alignment horizontal="center" vertical="top"/>
    </xf>
    <xf numFmtId="4" fontId="16" fillId="0" borderId="0" xfId="0" applyNumberFormat="1" applyFont="1" applyAlignment="1">
      <alignment horizontal="center" vertical="top"/>
    </xf>
    <xf numFmtId="165" fontId="16" fillId="0" borderId="24" xfId="0" applyNumberFormat="1" applyFont="1" applyBorder="1" applyAlignment="1">
      <alignment horizontal="center" vertical="top"/>
    </xf>
    <xf numFmtId="165" fontId="3" fillId="0" borderId="0" xfId="0" applyNumberFormat="1" applyFont="1"/>
    <xf numFmtId="166" fontId="3" fillId="0" borderId="0" xfId="0" applyNumberFormat="1" applyFont="1"/>
    <xf numFmtId="4" fontId="16" fillId="0" borderId="23" xfId="0" applyNumberFormat="1" applyFont="1" applyBorder="1" applyAlignment="1">
      <alignment horizontal="center" vertical="top"/>
    </xf>
    <xf numFmtId="0" fontId="56" fillId="0" borderId="24" xfId="0" applyFont="1" applyBorder="1" applyAlignment="1">
      <alignment horizontal="center" vertical="center"/>
    </xf>
    <xf numFmtId="16" fontId="16" fillId="0" borderId="23" xfId="0" applyNumberFormat="1" applyFont="1" applyBorder="1" applyAlignment="1">
      <alignment horizontal="center" vertical="top"/>
    </xf>
    <xf numFmtId="0" fontId="16" fillId="0" borderId="16" xfId="0" applyFont="1" applyBorder="1" applyAlignment="1">
      <alignment horizontal="center" vertical="top"/>
    </xf>
    <xf numFmtId="3" fontId="16" fillId="0" borderId="23" xfId="0" applyNumberFormat="1" applyFont="1" applyBorder="1" applyAlignment="1">
      <alignment horizontal="center" vertical="top"/>
    </xf>
    <xf numFmtId="4" fontId="55" fillId="34" borderId="24" xfId="0" applyNumberFormat="1" applyFont="1" applyFill="1" applyBorder="1" applyAlignment="1">
      <alignment horizontal="center" vertical="top"/>
    </xf>
    <xf numFmtId="10" fontId="55" fillId="34" borderId="24" xfId="0" applyNumberFormat="1" applyFont="1" applyFill="1" applyBorder="1" applyAlignment="1">
      <alignment horizontal="center" vertical="top"/>
    </xf>
    <xf numFmtId="9" fontId="54" fillId="33" borderId="24" xfId="0" applyNumberFormat="1" applyFont="1" applyFill="1" applyBorder="1" applyAlignment="1">
      <alignment horizontal="center" vertical="center"/>
    </xf>
    <xf numFmtId="3" fontId="28" fillId="0" borderId="23" xfId="0" applyNumberFormat="1" applyFont="1" applyBorder="1" applyAlignment="1">
      <alignment horizontal="center"/>
    </xf>
    <xf numFmtId="3" fontId="16" fillId="0" borderId="23" xfId="0" applyNumberFormat="1" applyFont="1" applyBorder="1" applyAlignment="1">
      <alignment horizontal="center"/>
    </xf>
    <xf numFmtId="166" fontId="16" fillId="0" borderId="23" xfId="0" applyNumberFormat="1" applyFont="1" applyBorder="1" applyAlignment="1">
      <alignment horizontal="right"/>
    </xf>
    <xf numFmtId="165" fontId="57" fillId="0" borderId="0" xfId="0" applyNumberFormat="1" applyFont="1"/>
    <xf numFmtId="0" fontId="58" fillId="0" borderId="0" xfId="0" applyFont="1"/>
    <xf numFmtId="0" fontId="57" fillId="0" borderId="0" xfId="0" applyFont="1"/>
    <xf numFmtId="0" fontId="44" fillId="15" borderId="24" xfId="0" applyFont="1" applyFill="1" applyBorder="1"/>
    <xf numFmtId="0" fontId="44" fillId="36" borderId="23" xfId="0" applyFont="1" applyFill="1" applyBorder="1"/>
    <xf numFmtId="0" fontId="59" fillId="37" borderId="24" xfId="0" applyFont="1" applyFill="1" applyBorder="1"/>
    <xf numFmtId="0" fontId="44" fillId="38" borderId="24" xfId="0" applyFont="1" applyFill="1" applyBorder="1"/>
    <xf numFmtId="0" fontId="44" fillId="38" borderId="0" xfId="0" applyFont="1" applyFill="1"/>
    <xf numFmtId="0" fontId="44" fillId="38" borderId="23" xfId="0" applyFont="1" applyFill="1" applyBorder="1"/>
    <xf numFmtId="0" fontId="44" fillId="15" borderId="25" xfId="0" applyFont="1" applyFill="1" applyBorder="1"/>
    <xf numFmtId="0" fontId="21" fillId="11" borderId="114" xfId="0" applyFont="1" applyFill="1" applyBorder="1" applyProtection="1">
      <protection locked="0"/>
    </xf>
    <xf numFmtId="0" fontId="44" fillId="15" borderId="116" xfId="0" applyFont="1" applyFill="1" applyBorder="1"/>
    <xf numFmtId="4" fontId="16" fillId="11" borderId="117" xfId="0" applyNumberFormat="1" applyFont="1" applyFill="1" applyBorder="1" applyAlignment="1">
      <alignment horizontal="center" vertical="top"/>
    </xf>
    <xf numFmtId="0" fontId="44" fillId="35" borderId="116" xfId="0" applyFont="1" applyFill="1" applyBorder="1"/>
    <xf numFmtId="0" fontId="56" fillId="0" borderId="116" xfId="0" applyFont="1" applyBorder="1" applyAlignment="1">
      <alignment horizontal="center" vertical="center"/>
    </xf>
    <xf numFmtId="4" fontId="16" fillId="0" borderId="116" xfId="0" applyNumberFormat="1" applyFont="1" applyBorder="1" applyAlignment="1">
      <alignment horizontal="center" vertical="top"/>
    </xf>
    <xf numFmtId="4" fontId="60" fillId="33" borderId="116" xfId="0" applyNumberFormat="1" applyFont="1" applyFill="1" applyBorder="1" applyAlignment="1">
      <alignment horizontal="center" vertical="top"/>
    </xf>
    <xf numFmtId="10" fontId="55" fillId="34" borderId="116" xfId="0" applyNumberFormat="1" applyFont="1" applyFill="1" applyBorder="1" applyAlignment="1">
      <alignment horizontal="center" vertical="top"/>
    </xf>
    <xf numFmtId="9" fontId="54" fillId="33" borderId="116" xfId="0" applyNumberFormat="1" applyFont="1" applyFill="1" applyBorder="1" applyAlignment="1">
      <alignment horizontal="center" vertical="center"/>
    </xf>
    <xf numFmtId="166" fontId="57" fillId="0" borderId="0" xfId="0" applyNumberFormat="1" applyFont="1"/>
    <xf numFmtId="0" fontId="44" fillId="0" borderId="116" xfId="0" applyFont="1" applyBorder="1"/>
    <xf numFmtId="3" fontId="38" fillId="28" borderId="118" xfId="0" applyNumberFormat="1" applyFont="1" applyFill="1" applyBorder="1" applyAlignment="1">
      <alignment horizontal="center"/>
    </xf>
    <xf numFmtId="3" fontId="38" fillId="28" borderId="115" xfId="0" applyNumberFormat="1" applyFont="1" applyFill="1" applyBorder="1" applyAlignment="1">
      <alignment horizontal="center"/>
    </xf>
    <xf numFmtId="0" fontId="16" fillId="11" borderId="116" xfId="0" applyFont="1" applyFill="1" applyBorder="1" applyAlignment="1">
      <alignment horizontal="center" vertical="top"/>
    </xf>
    <xf numFmtId="14" fontId="40" fillId="4" borderId="0" xfId="0" applyNumberFormat="1" applyFont="1" applyFill="1" applyAlignment="1">
      <alignment horizontal="center" vertical="top"/>
    </xf>
    <xf numFmtId="0" fontId="40" fillId="4" borderId="0" xfId="0" applyFont="1" applyFill="1" applyAlignment="1">
      <alignment horizontal="left" vertical="top" wrapText="1"/>
    </xf>
    <xf numFmtId="4" fontId="40" fillId="4" borderId="0" xfId="0" applyNumberFormat="1" applyFont="1" applyFill="1" applyAlignment="1">
      <alignment horizontal="center" vertical="top"/>
    </xf>
    <xf numFmtId="3" fontId="16" fillId="21" borderId="24" xfId="0" applyNumberFormat="1" applyFont="1" applyFill="1" applyBorder="1" applyAlignment="1">
      <alignment vertical="top"/>
    </xf>
    <xf numFmtId="169" fontId="61" fillId="19" borderId="66" xfId="0" applyNumberFormat="1" applyFont="1" applyFill="1" applyBorder="1" applyAlignment="1">
      <alignment horizontal="right" vertical="top" wrapText="1" indent="1"/>
    </xf>
    <xf numFmtId="169" fontId="61" fillId="19" borderId="63" xfId="0" applyNumberFormat="1" applyFont="1" applyFill="1" applyBorder="1" applyAlignment="1">
      <alignment horizontal="right" vertical="top" wrapText="1"/>
    </xf>
    <xf numFmtId="169" fontId="61" fillId="19" borderId="67" xfId="0" applyNumberFormat="1" applyFont="1" applyFill="1" applyBorder="1" applyAlignment="1">
      <alignment horizontal="right" vertical="top" wrapText="1" indent="1"/>
    </xf>
    <xf numFmtId="169" fontId="61" fillId="19" borderId="48" xfId="0" applyNumberFormat="1" applyFont="1" applyFill="1" applyBorder="1" applyAlignment="1">
      <alignment horizontal="right" vertical="top" wrapText="1" indent="1"/>
    </xf>
    <xf numFmtId="169" fontId="61" fillId="19" borderId="33" xfId="0" applyNumberFormat="1" applyFont="1" applyFill="1" applyBorder="1" applyAlignment="1">
      <alignment horizontal="right" vertical="top" wrapText="1" indent="1"/>
    </xf>
    <xf numFmtId="169" fontId="61" fillId="19" borderId="34" xfId="0" applyNumberFormat="1" applyFont="1" applyFill="1" applyBorder="1" applyAlignment="1">
      <alignment horizontal="right" vertical="top" wrapText="1" indent="1"/>
    </xf>
    <xf numFmtId="169" fontId="61" fillId="0" borderId="36" xfId="0" applyNumberFormat="1" applyFont="1" applyBorder="1" applyAlignment="1">
      <alignment horizontal="right" vertical="top" wrapText="1" indent="1"/>
    </xf>
    <xf numFmtId="0" fontId="16" fillId="15" borderId="24" xfId="0" applyFont="1" applyFill="1" applyBorder="1" applyAlignment="1">
      <alignment horizontal="center" vertical="top" wrapText="1"/>
    </xf>
    <xf numFmtId="2" fontId="62" fillId="20" borderId="0" xfId="0" applyNumberFormat="1" applyFont="1" applyFill="1" applyAlignment="1">
      <alignment horizontal="left"/>
    </xf>
    <xf numFmtId="0" fontId="44" fillId="39" borderId="116" xfId="0" applyFont="1" applyFill="1" applyBorder="1"/>
    <xf numFmtId="0" fontId="44" fillId="40" borderId="116" xfId="0" applyFont="1" applyFill="1" applyBorder="1"/>
    <xf numFmtId="0" fontId="44" fillId="39" borderId="24" xfId="0" applyFont="1" applyFill="1" applyBorder="1"/>
    <xf numFmtId="0" fontId="44" fillId="41" borderId="24" xfId="0" applyFont="1" applyFill="1" applyBorder="1"/>
    <xf numFmtId="0" fontId="44" fillId="42" borderId="24" xfId="0" applyFont="1" applyFill="1" applyBorder="1"/>
    <xf numFmtId="0" fontId="44" fillId="40" borderId="24" xfId="0" applyFont="1" applyFill="1" applyBorder="1"/>
    <xf numFmtId="0" fontId="44" fillId="42" borderId="116" xfId="0" applyFont="1" applyFill="1" applyBorder="1"/>
    <xf numFmtId="0" fontId="44" fillId="43" borderId="116" xfId="0" applyFont="1" applyFill="1" applyBorder="1"/>
    <xf numFmtId="10" fontId="16" fillId="4" borderId="70" xfId="0" applyNumberFormat="1" applyFont="1" applyFill="1" applyBorder="1" applyAlignment="1">
      <alignment horizontal="center" vertical="top"/>
    </xf>
    <xf numFmtId="164" fontId="5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9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/>
    </xf>
    <xf numFmtId="3" fontId="11" fillId="2" borderId="4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 vertical="top"/>
    </xf>
    <xf numFmtId="0" fontId="17" fillId="2" borderId="11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horizontal="left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vertical="center"/>
    </xf>
    <xf numFmtId="0" fontId="19" fillId="0" borderId="16" xfId="0" applyFont="1" applyBorder="1" applyAlignment="1">
      <alignment horizontal="left" vertical="center"/>
    </xf>
    <xf numFmtId="0" fontId="19" fillId="0" borderId="17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16" fillId="0" borderId="16" xfId="0" applyFont="1" applyBorder="1" applyAlignment="1">
      <alignment horizontal="left" vertical="center"/>
    </xf>
    <xf numFmtId="0" fontId="16" fillId="0" borderId="17" xfId="0" applyFont="1" applyBorder="1" applyAlignment="1">
      <alignment horizontal="left" vertical="center"/>
    </xf>
    <xf numFmtId="0" fontId="17" fillId="9" borderId="24" xfId="0" applyFont="1" applyFill="1" applyBorder="1" applyAlignment="1">
      <alignment horizontal="center" vertical="center" wrapText="1"/>
    </xf>
    <xf numFmtId="0" fontId="15" fillId="9" borderId="24" xfId="0" applyFont="1" applyFill="1" applyBorder="1" applyAlignment="1">
      <alignment horizontal="center" vertical="center"/>
    </xf>
    <xf numFmtId="0" fontId="25" fillId="9" borderId="24" xfId="0" applyFont="1" applyFill="1" applyBorder="1" applyAlignment="1">
      <alignment horizontal="center" vertical="center"/>
    </xf>
    <xf numFmtId="165" fontId="16" fillId="7" borderId="24" xfId="1" applyNumberFormat="1" applyFont="1" applyFill="1" applyBorder="1" applyAlignment="1" applyProtection="1">
      <alignment horizontal="center" vertical="center" wrapText="1"/>
    </xf>
    <xf numFmtId="0" fontId="17" fillId="12" borderId="24" xfId="0" applyFont="1" applyFill="1" applyBorder="1" applyAlignment="1">
      <alignment horizontal="center" vertical="top"/>
    </xf>
    <xf numFmtId="0" fontId="2" fillId="0" borderId="0" xfId="0" applyFont="1"/>
    <xf numFmtId="0" fontId="19" fillId="0" borderId="31" xfId="0" applyFont="1" applyBorder="1" applyAlignment="1">
      <alignment horizontal="left" vertical="center"/>
    </xf>
    <xf numFmtId="0" fontId="15" fillId="5" borderId="9" xfId="0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17" fillId="5" borderId="37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 wrapText="1"/>
    </xf>
    <xf numFmtId="3" fontId="17" fillId="5" borderId="37" xfId="0" applyNumberFormat="1" applyFont="1" applyFill="1" applyBorder="1" applyAlignment="1">
      <alignment horizontal="center" vertical="center"/>
    </xf>
    <xf numFmtId="3" fontId="17" fillId="5" borderId="2" xfId="0" applyNumberFormat="1" applyFont="1" applyFill="1" applyBorder="1" applyAlignment="1">
      <alignment horizontal="center" vertical="center"/>
    </xf>
    <xf numFmtId="3" fontId="17" fillId="5" borderId="37" xfId="0" applyNumberFormat="1" applyFont="1" applyFill="1" applyBorder="1" applyAlignment="1">
      <alignment horizontal="center" vertical="center" wrapText="1"/>
    </xf>
    <xf numFmtId="3" fontId="17" fillId="5" borderId="2" xfId="0" applyNumberFormat="1" applyFont="1" applyFill="1" applyBorder="1" applyAlignment="1">
      <alignment horizontal="center" vertical="center" wrapText="1"/>
    </xf>
    <xf numFmtId="3" fontId="17" fillId="5" borderId="18" xfId="0" applyNumberFormat="1" applyFont="1" applyFill="1" applyBorder="1" applyAlignment="1">
      <alignment horizontal="center" vertical="center" wrapText="1"/>
    </xf>
    <xf numFmtId="3" fontId="17" fillId="5" borderId="38" xfId="0" applyNumberFormat="1" applyFont="1" applyFill="1" applyBorder="1" applyAlignment="1">
      <alignment horizontal="center" vertical="center" wrapText="1"/>
    </xf>
    <xf numFmtId="3" fontId="17" fillId="5" borderId="39" xfId="0" applyNumberFormat="1" applyFont="1" applyFill="1" applyBorder="1" applyAlignment="1">
      <alignment horizontal="center" vertical="center" wrapText="1"/>
    </xf>
    <xf numFmtId="3" fontId="17" fillId="5" borderId="41" xfId="0" applyNumberFormat="1" applyFont="1" applyFill="1" applyBorder="1" applyAlignment="1">
      <alignment horizontal="center" vertical="center"/>
    </xf>
    <xf numFmtId="3" fontId="17" fillId="5" borderId="32" xfId="0" applyNumberFormat="1" applyFont="1" applyFill="1" applyBorder="1" applyAlignment="1">
      <alignment horizontal="center" vertical="center"/>
    </xf>
    <xf numFmtId="3" fontId="17" fillId="5" borderId="41" xfId="0" applyNumberFormat="1" applyFont="1" applyFill="1" applyBorder="1" applyAlignment="1">
      <alignment horizontal="center" vertical="center" wrapText="1"/>
    </xf>
    <xf numFmtId="3" fontId="17" fillId="5" borderId="32" xfId="0" applyNumberFormat="1" applyFont="1" applyFill="1" applyBorder="1" applyAlignment="1">
      <alignment horizontal="center" vertical="center" wrapText="1"/>
    </xf>
    <xf numFmtId="168" fontId="33" fillId="0" borderId="41" xfId="1" applyNumberFormat="1" applyFont="1" applyBorder="1" applyAlignment="1" applyProtection="1">
      <alignment horizontal="center" vertical="center"/>
    </xf>
    <xf numFmtId="168" fontId="33" fillId="0" borderId="35" xfId="1" applyNumberFormat="1" applyFont="1" applyBorder="1" applyAlignment="1" applyProtection="1">
      <alignment horizontal="center" vertical="center"/>
    </xf>
    <xf numFmtId="168" fontId="33" fillId="0" borderId="48" xfId="1" applyNumberFormat="1" applyFont="1" applyBorder="1" applyAlignment="1" applyProtection="1">
      <alignment horizontal="center" vertical="center"/>
    </xf>
    <xf numFmtId="168" fontId="33" fillId="0" borderId="33" xfId="1" applyNumberFormat="1" applyFont="1" applyBorder="1" applyAlignment="1" applyProtection="1">
      <alignment horizontal="center" vertical="center"/>
    </xf>
    <xf numFmtId="168" fontId="33" fillId="0" borderId="36" xfId="1" applyNumberFormat="1" applyFont="1" applyBorder="1" applyAlignment="1" applyProtection="1">
      <alignment horizontal="center" vertical="center"/>
    </xf>
    <xf numFmtId="0" fontId="16" fillId="0" borderId="31" xfId="0" applyFont="1" applyBorder="1" applyAlignment="1">
      <alignment horizontal="left" vertical="center"/>
    </xf>
    <xf numFmtId="168" fontId="31" fillId="0" borderId="41" xfId="0" applyNumberFormat="1" applyFont="1" applyBorder="1" applyAlignment="1">
      <alignment horizontal="center" vertical="center"/>
    </xf>
    <xf numFmtId="168" fontId="31" fillId="0" borderId="35" xfId="0" applyNumberFormat="1" applyFont="1" applyBorder="1" applyAlignment="1">
      <alignment horizontal="center" vertical="center"/>
    </xf>
    <xf numFmtId="168" fontId="31" fillId="0" borderId="47" xfId="0" applyNumberFormat="1" applyFont="1" applyBorder="1" applyAlignment="1">
      <alignment horizontal="center" vertical="center"/>
    </xf>
    <xf numFmtId="164" fontId="34" fillId="2" borderId="0" xfId="0" applyNumberFormat="1" applyFont="1" applyFill="1" applyAlignment="1">
      <alignment horizontal="center" vertical="center"/>
    </xf>
    <xf numFmtId="0" fontId="35" fillId="2" borderId="0" xfId="0" applyFont="1" applyFill="1" applyAlignment="1">
      <alignment horizontal="center"/>
    </xf>
    <xf numFmtId="0" fontId="36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left" vertical="top"/>
    </xf>
    <xf numFmtId="0" fontId="12" fillId="3" borderId="24" xfId="0" applyFont="1" applyFill="1" applyBorder="1" applyAlignment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>
      <alignment horizontal="center" vertical="center" wrapText="1"/>
    </xf>
    <xf numFmtId="0" fontId="12" fillId="3" borderId="21" xfId="0" applyFont="1" applyFill="1" applyBorder="1" applyAlignment="1">
      <alignment horizontal="center" vertical="center" wrapText="1"/>
    </xf>
    <xf numFmtId="0" fontId="12" fillId="3" borderId="50" xfId="0" applyFont="1" applyFill="1" applyBorder="1" applyAlignment="1">
      <alignment horizontal="center" vertical="center" wrapText="1"/>
    </xf>
    <xf numFmtId="3" fontId="11" fillId="2" borderId="49" xfId="0" applyNumberFormat="1" applyFont="1" applyFill="1" applyBorder="1" applyAlignment="1">
      <alignment horizontal="center"/>
    </xf>
    <xf numFmtId="3" fontId="11" fillId="2" borderId="5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top"/>
    </xf>
    <xf numFmtId="0" fontId="15" fillId="13" borderId="24" xfId="0" applyFont="1" applyFill="1" applyBorder="1" applyAlignment="1">
      <alignment horizontal="center" vertical="center"/>
    </xf>
    <xf numFmtId="0" fontId="17" fillId="13" borderId="24" xfId="0" applyFont="1" applyFill="1" applyBorder="1" applyAlignment="1">
      <alignment horizontal="center" vertical="center" wrapText="1"/>
    </xf>
    <xf numFmtId="17" fontId="38" fillId="4" borderId="56" xfId="0" applyNumberFormat="1" applyFont="1" applyFill="1" applyBorder="1" applyAlignment="1">
      <alignment horizontal="left" vertical="center" wrapText="1"/>
    </xf>
    <xf numFmtId="17" fontId="38" fillId="4" borderId="38" xfId="0" applyNumberFormat="1" applyFont="1" applyFill="1" applyBorder="1" applyAlignment="1">
      <alignment horizontal="left" vertical="center" wrapText="1"/>
    </xf>
    <xf numFmtId="17" fontId="38" fillId="4" borderId="57" xfId="0" applyNumberFormat="1" applyFont="1" applyFill="1" applyBorder="1" applyAlignment="1">
      <alignment horizontal="left" vertical="center" wrapText="1"/>
    </xf>
    <xf numFmtId="0" fontId="38" fillId="4" borderId="46" xfId="0" applyFont="1" applyFill="1" applyBorder="1" applyAlignment="1">
      <alignment horizontal="left" vertical="center" wrapText="1"/>
    </xf>
    <xf numFmtId="0" fontId="38" fillId="4" borderId="24" xfId="0" applyFont="1" applyFill="1" applyBorder="1" applyAlignment="1">
      <alignment horizontal="left" vertical="center" wrapText="1"/>
    </xf>
    <xf numFmtId="0" fontId="21" fillId="18" borderId="59" xfId="0" applyFont="1" applyFill="1" applyBorder="1" applyAlignment="1">
      <alignment horizontal="center" vertical="center" wrapText="1"/>
    </xf>
    <xf numFmtId="0" fontId="21" fillId="18" borderId="60" xfId="0" applyFont="1" applyFill="1" applyBorder="1" applyAlignment="1">
      <alignment horizontal="center" vertical="center" wrapText="1"/>
    </xf>
    <xf numFmtId="3" fontId="38" fillId="19" borderId="65" xfId="0" applyNumberFormat="1" applyFont="1" applyFill="1" applyBorder="1" applyAlignment="1">
      <alignment horizontal="left" vertical="top" wrapText="1"/>
    </xf>
    <xf numFmtId="0" fontId="38" fillId="19" borderId="66" xfId="0" applyFont="1" applyFill="1" applyBorder="1" applyAlignment="1">
      <alignment horizontal="left" vertical="top" wrapText="1"/>
    </xf>
    <xf numFmtId="0" fontId="40" fillId="4" borderId="70" xfId="0" applyFont="1" applyFill="1" applyBorder="1" applyAlignment="1">
      <alignment horizontal="center" vertical="center"/>
    </xf>
    <xf numFmtId="0" fontId="40" fillId="4" borderId="71" xfId="0" applyFont="1" applyFill="1" applyBorder="1" applyAlignment="1">
      <alignment horizontal="center" vertical="center"/>
    </xf>
    <xf numFmtId="0" fontId="40" fillId="4" borderId="72" xfId="0" applyFont="1" applyFill="1" applyBorder="1" applyAlignment="1">
      <alignment horizontal="center" vertical="center"/>
    </xf>
    <xf numFmtId="0" fontId="40" fillId="4" borderId="70" xfId="0" applyFont="1" applyFill="1" applyBorder="1" applyAlignment="1">
      <alignment horizontal="left" vertical="top" wrapText="1"/>
    </xf>
    <xf numFmtId="4" fontId="40" fillId="4" borderId="71" xfId="0" applyNumberFormat="1" applyFont="1" applyFill="1" applyBorder="1" applyAlignment="1">
      <alignment horizontal="right" vertical="top"/>
    </xf>
    <xf numFmtId="4" fontId="40" fillId="4" borderId="72" xfId="0" applyNumberFormat="1" applyFont="1" applyFill="1" applyBorder="1" applyAlignment="1">
      <alignment horizontal="right" vertical="top"/>
    </xf>
    <xf numFmtId="0" fontId="40" fillId="4" borderId="74" xfId="0" applyFont="1" applyFill="1" applyBorder="1" applyAlignment="1">
      <alignment horizontal="left" vertical="top"/>
    </xf>
    <xf numFmtId="0" fontId="40" fillId="4" borderId="76" xfId="0" applyFont="1" applyFill="1" applyBorder="1" applyAlignment="1">
      <alignment horizontal="left" vertical="top"/>
    </xf>
    <xf numFmtId="0" fontId="40" fillId="4" borderId="74" xfId="0" applyFont="1" applyFill="1" applyBorder="1" applyAlignment="1">
      <alignment horizontal="left" vertical="center"/>
    </xf>
    <xf numFmtId="0" fontId="40" fillId="4" borderId="76" xfId="0" applyFont="1" applyFill="1" applyBorder="1" applyAlignment="1">
      <alignment horizontal="left" vertical="center"/>
    </xf>
    <xf numFmtId="0" fontId="17" fillId="21" borderId="73" xfId="0" applyFont="1" applyFill="1" applyBorder="1" applyAlignment="1">
      <alignment horizontal="left" vertical="top" wrapText="1"/>
    </xf>
    <xf numFmtId="0" fontId="40" fillId="4" borderId="74" xfId="0" applyFont="1" applyFill="1" applyBorder="1" applyAlignment="1">
      <alignment horizontal="center" vertical="center" wrapText="1"/>
    </xf>
    <xf numFmtId="0" fontId="40" fillId="4" borderId="76" xfId="0" applyFont="1" applyFill="1" applyBorder="1" applyAlignment="1">
      <alignment horizontal="center" vertical="center" wrapText="1"/>
    </xf>
    <xf numFmtId="0" fontId="40" fillId="4" borderId="74" xfId="0" applyFont="1" applyFill="1" applyBorder="1" applyAlignment="1">
      <alignment horizontal="center" vertical="center"/>
    </xf>
    <xf numFmtId="0" fontId="40" fillId="4" borderId="76" xfId="0" applyFont="1" applyFill="1" applyBorder="1" applyAlignment="1">
      <alignment horizontal="center" vertical="center"/>
    </xf>
    <xf numFmtId="4" fontId="40" fillId="4" borderId="74" xfId="0" applyNumberFormat="1" applyFont="1" applyFill="1" applyBorder="1" applyAlignment="1">
      <alignment horizontal="center" vertical="top"/>
    </xf>
    <xf numFmtId="4" fontId="40" fillId="4" borderId="76" xfId="0" applyNumberFormat="1" applyFont="1" applyFill="1" applyBorder="1" applyAlignment="1">
      <alignment horizontal="center" vertical="top"/>
    </xf>
    <xf numFmtId="0" fontId="40" fillId="21" borderId="74" xfId="0" applyFont="1" applyFill="1" applyBorder="1" applyAlignment="1">
      <alignment horizontal="center" vertical="center" wrapText="1"/>
    </xf>
    <xf numFmtId="0" fontId="40" fillId="21" borderId="76" xfId="0" applyFont="1" applyFill="1" applyBorder="1" applyAlignment="1">
      <alignment horizontal="center" vertical="center" wrapText="1"/>
    </xf>
    <xf numFmtId="2" fontId="40" fillId="21" borderId="74" xfId="0" applyNumberFormat="1" applyFont="1" applyFill="1" applyBorder="1" applyAlignment="1">
      <alignment horizontal="center" vertical="top"/>
    </xf>
    <xf numFmtId="2" fontId="40" fillId="21" borderId="76" xfId="0" applyNumberFormat="1" applyFont="1" applyFill="1" applyBorder="1" applyAlignment="1">
      <alignment horizontal="center" vertical="top"/>
    </xf>
    <xf numFmtId="2" fontId="40" fillId="21" borderId="74" xfId="0" applyNumberFormat="1" applyFont="1" applyFill="1" applyBorder="1" applyAlignment="1">
      <alignment horizontal="center" vertical="center" wrapText="1"/>
    </xf>
    <xf numFmtId="2" fontId="40" fillId="21" borderId="76" xfId="0" applyNumberFormat="1" applyFont="1" applyFill="1" applyBorder="1" applyAlignment="1">
      <alignment horizontal="center" vertical="center" wrapText="1"/>
    </xf>
    <xf numFmtId="164" fontId="34" fillId="5" borderId="0" xfId="0" applyNumberFormat="1" applyFont="1" applyFill="1" applyAlignment="1">
      <alignment horizontal="center" vertical="center"/>
    </xf>
    <xf numFmtId="0" fontId="35" fillId="5" borderId="0" xfId="0" applyFont="1" applyFill="1" applyAlignment="1">
      <alignment horizontal="center"/>
    </xf>
    <xf numFmtId="0" fontId="36" fillId="5" borderId="0" xfId="0" applyFont="1" applyFill="1" applyAlignment="1">
      <alignment horizontal="center" vertical="top"/>
    </xf>
    <xf numFmtId="0" fontId="10" fillId="5" borderId="0" xfId="0" applyFont="1" applyFill="1" applyAlignment="1">
      <alignment horizontal="left" vertical="top"/>
    </xf>
    <xf numFmtId="0" fontId="12" fillId="16" borderId="24" xfId="0" applyFont="1" applyFill="1" applyBorder="1" applyAlignment="1" applyProtection="1">
      <alignment horizontal="center" vertical="center" wrapText="1"/>
      <protection locked="0"/>
    </xf>
    <xf numFmtId="3" fontId="11" fillId="5" borderId="54" xfId="0" applyNumberFormat="1" applyFont="1" applyFill="1" applyBorder="1" applyAlignment="1" applyProtection="1">
      <alignment horizontal="center"/>
      <protection locked="0"/>
    </xf>
    <xf numFmtId="0" fontId="16" fillId="5" borderId="0" xfId="0" applyFont="1" applyFill="1" applyAlignment="1">
      <alignment horizontal="center" vertical="top"/>
    </xf>
    <xf numFmtId="0" fontId="15" fillId="14" borderId="24" xfId="0" applyFont="1" applyFill="1" applyBorder="1" applyAlignment="1">
      <alignment horizontal="center" vertical="center"/>
    </xf>
    <xf numFmtId="0" fontId="17" fillId="17" borderId="24" xfId="0" applyFont="1" applyFill="1" applyBorder="1" applyAlignment="1">
      <alignment horizontal="center" vertical="top"/>
    </xf>
    <xf numFmtId="0" fontId="17" fillId="14" borderId="24" xfId="0" applyFont="1" applyFill="1" applyBorder="1" applyAlignment="1">
      <alignment horizontal="center" vertical="center" wrapText="1"/>
    </xf>
    <xf numFmtId="0" fontId="46" fillId="22" borderId="84" xfId="0" applyFont="1" applyFill="1" applyBorder="1" applyAlignment="1">
      <alignment horizontal="center"/>
    </xf>
    <xf numFmtId="0" fontId="46" fillId="22" borderId="85" xfId="0" applyFont="1" applyFill="1" applyBorder="1" applyAlignment="1">
      <alignment horizontal="center"/>
    </xf>
    <xf numFmtId="3" fontId="47" fillId="22" borderId="84" xfId="0" applyNumberFormat="1" applyFont="1" applyFill="1" applyBorder="1" applyAlignment="1">
      <alignment horizontal="center"/>
    </xf>
    <xf numFmtId="3" fontId="47" fillId="22" borderId="86" xfId="0" applyNumberFormat="1" applyFont="1" applyFill="1" applyBorder="1" applyAlignment="1">
      <alignment horizontal="center"/>
    </xf>
    <xf numFmtId="3" fontId="47" fillId="22" borderId="85" xfId="0" applyNumberFormat="1" applyFont="1" applyFill="1" applyBorder="1" applyAlignment="1">
      <alignment horizontal="center"/>
    </xf>
    <xf numFmtId="0" fontId="21" fillId="22" borderId="84" xfId="0" applyFont="1" applyFill="1" applyBorder="1" applyAlignment="1">
      <alignment horizontal="left" wrapText="1"/>
    </xf>
    <xf numFmtId="0" fontId="21" fillId="22" borderId="86" xfId="0" applyFont="1" applyFill="1" applyBorder="1" applyAlignment="1">
      <alignment horizontal="left" wrapText="1"/>
    </xf>
    <xf numFmtId="0" fontId="21" fillId="22" borderId="85" xfId="0" applyFont="1" applyFill="1" applyBorder="1" applyAlignment="1">
      <alignment horizontal="left" wrapText="1"/>
    </xf>
    <xf numFmtId="0" fontId="38" fillId="29" borderId="93" xfId="0" applyFont="1" applyFill="1" applyBorder="1" applyAlignment="1">
      <alignment horizontal="center" vertical="center" wrapText="1"/>
    </xf>
    <xf numFmtId="0" fontId="38" fillId="29" borderId="95" xfId="0" applyFont="1" applyFill="1" applyBorder="1" applyAlignment="1">
      <alignment horizontal="center" vertical="center" wrapText="1"/>
    </xf>
    <xf numFmtId="0" fontId="38" fillId="29" borderId="102" xfId="0" applyFont="1" applyFill="1" applyBorder="1" applyAlignment="1">
      <alignment horizontal="center" vertical="center" wrapText="1"/>
    </xf>
    <xf numFmtId="0" fontId="38" fillId="29" borderId="103" xfId="0" applyFont="1" applyFill="1" applyBorder="1" applyAlignment="1">
      <alignment horizontal="center" vertical="center" wrapText="1"/>
    </xf>
    <xf numFmtId="0" fontId="49" fillId="26" borderId="93" xfId="0" applyFont="1" applyFill="1" applyBorder="1" applyAlignment="1">
      <alignment horizontal="center" vertical="center" wrapText="1"/>
    </xf>
    <xf numFmtId="0" fontId="49" fillId="26" borderId="95" xfId="0" applyFont="1" applyFill="1" applyBorder="1" applyAlignment="1">
      <alignment horizontal="center" vertical="center" wrapText="1"/>
    </xf>
    <xf numFmtId="0" fontId="49" fillId="26" borderId="103" xfId="0" applyFont="1" applyFill="1" applyBorder="1" applyAlignment="1">
      <alignment horizontal="center" vertical="center" wrapText="1"/>
    </xf>
    <xf numFmtId="4" fontId="40" fillId="0" borderId="70" xfId="0" applyNumberFormat="1" applyFont="1" applyFill="1" applyBorder="1" applyAlignment="1">
      <alignment horizontal="right" vertical="top"/>
    </xf>
  </cellXfs>
  <cellStyles count="2">
    <cellStyle name="Обычный" xfId="0" builtinId="0"/>
    <cellStyle name="Процентный" xfId="1" builtinId="5"/>
  </cellStyles>
  <dxfs count="229"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8"/>
  <sheetViews>
    <sheetView showZeros="0" topLeftCell="A14" workbookViewId="0">
      <pane xSplit="3" topLeftCell="D1" activePane="topRight" state="frozen"/>
      <selection activeCell="A26" sqref="A26"/>
      <selection pane="topRight" activeCell="D58" sqref="D58"/>
    </sheetView>
  </sheetViews>
  <sheetFormatPr baseColWidth="10" defaultColWidth="9.1640625" defaultRowHeight="15"/>
  <cols>
    <col min="1" max="1" width="18" style="1" customWidth="1"/>
    <col min="2" max="2" width="10.33203125" style="2" customWidth="1"/>
    <col min="3" max="3" width="10.83203125" style="2" customWidth="1"/>
    <col min="4" max="4" width="17.1640625" style="2" customWidth="1"/>
    <col min="5" max="5" width="10.1640625" style="2" customWidth="1"/>
    <col min="6" max="6" width="11.33203125" style="2" customWidth="1"/>
    <col min="7" max="7" width="9.83203125" style="2" customWidth="1"/>
    <col min="8" max="8" width="9.5" style="2" customWidth="1"/>
    <col min="9" max="9" width="11" style="2" customWidth="1"/>
    <col min="10" max="10" width="8.83203125" style="2" customWidth="1"/>
    <col min="11" max="11" width="12.6640625" style="2" customWidth="1"/>
    <col min="12" max="12" width="10.1640625" style="2" customWidth="1"/>
    <col min="13" max="13" width="10.83203125" style="2" customWidth="1"/>
    <col min="14" max="14" width="11.6640625" style="2" customWidth="1"/>
    <col min="15" max="15" width="12.83203125" style="2" customWidth="1"/>
    <col min="16" max="16" width="10.33203125" style="2" customWidth="1"/>
    <col min="17" max="18" width="11.33203125" style="2" customWidth="1"/>
    <col min="19" max="19" width="11" style="3" customWidth="1"/>
    <col min="20" max="20" width="9.5" style="2" customWidth="1"/>
    <col min="21" max="21" width="9.1640625" style="2" bestFit="1" customWidth="1"/>
    <col min="22" max="23" width="10.5" style="2" customWidth="1"/>
    <col min="24" max="255" width="9.1640625" style="2" bestFit="1" customWidth="1"/>
  </cols>
  <sheetData>
    <row r="1" spans="1:23" ht="15.75" customHeight="1">
      <c r="A1" s="4"/>
      <c r="B1" s="591">
        <f ca="1">TODAY()-1</f>
        <v>45696</v>
      </c>
      <c r="C1" s="591"/>
      <c r="D1" s="5"/>
      <c r="E1" s="5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592"/>
      <c r="R1" s="592"/>
      <c r="S1" s="592"/>
      <c r="T1" s="592"/>
      <c r="U1" s="8"/>
      <c r="V1" s="6"/>
      <c r="W1" s="6"/>
    </row>
    <row r="2" spans="1:23" ht="21.75" customHeight="1">
      <c r="A2" s="4"/>
      <c r="B2" s="593" t="s">
        <v>0</v>
      </c>
      <c r="C2" s="593"/>
      <c r="D2" s="5"/>
      <c r="E2" s="5"/>
      <c r="F2" s="6"/>
      <c r="G2" s="6"/>
      <c r="H2" s="6"/>
      <c r="I2" s="6"/>
      <c r="J2" s="594"/>
      <c r="K2" s="594"/>
      <c r="L2" s="594"/>
      <c r="M2" s="594"/>
      <c r="N2" s="594"/>
      <c r="O2" s="594"/>
      <c r="P2" s="594"/>
      <c r="Q2" s="592"/>
      <c r="R2" s="592"/>
      <c r="S2" s="592"/>
      <c r="T2" s="592"/>
      <c r="U2" s="8"/>
      <c r="V2" s="6"/>
      <c r="W2" s="6"/>
    </row>
    <row r="3" spans="1:23" ht="14" customHeight="1">
      <c r="A3" s="4"/>
      <c r="B3" s="9"/>
      <c r="C3" s="10" t="s">
        <v>2</v>
      </c>
      <c r="D3" s="11"/>
      <c r="E3" s="11"/>
      <c r="F3" s="12"/>
      <c r="G3" s="12"/>
      <c r="H3" s="12"/>
      <c r="I3" s="595" t="str">
        <f>График!B3</f>
        <v>ул. Набережная Ленина, 18</v>
      </c>
      <c r="J3" s="596"/>
      <c r="K3" s="596"/>
      <c r="L3" s="596"/>
      <c r="M3" s="597"/>
      <c r="N3" s="7"/>
      <c r="O3" s="7"/>
      <c r="P3" s="13"/>
      <c r="Q3" s="592"/>
      <c r="R3" s="592"/>
      <c r="S3" s="592"/>
      <c r="T3" s="592"/>
      <c r="U3" s="8"/>
      <c r="V3" s="6"/>
      <c r="W3" s="6"/>
    </row>
    <row r="4" spans="1:23" ht="15" customHeight="1">
      <c r="A4" s="4"/>
      <c r="B4" s="5"/>
      <c r="C4" s="601">
        <f>I8-D56</f>
        <v>229032.3600000001</v>
      </c>
      <c r="D4" s="602"/>
      <c r="E4" s="14">
        <f>IF(I8&lt;&gt;0, C4/I8, 0)</f>
        <v>0.12724020000000005</v>
      </c>
      <c r="F4" s="12"/>
      <c r="G4" s="12"/>
      <c r="H4" s="12"/>
      <c r="I4" s="598"/>
      <c r="J4" s="599"/>
      <c r="K4" s="599"/>
      <c r="L4" s="599"/>
      <c r="M4" s="600"/>
      <c r="N4" s="7"/>
      <c r="O4" s="6"/>
      <c r="P4" s="6"/>
      <c r="Q4" s="592"/>
      <c r="R4" s="592"/>
      <c r="S4" s="592"/>
      <c r="T4" s="592"/>
      <c r="U4" s="8"/>
      <c r="V4" s="6"/>
      <c r="W4" s="6"/>
    </row>
    <row r="5" spans="1:23">
      <c r="A5" s="4"/>
      <c r="B5" s="6"/>
      <c r="C5" s="6"/>
      <c r="D5" s="6"/>
      <c r="E5" s="6"/>
      <c r="F5" s="6"/>
      <c r="G5" s="6"/>
      <c r="H5" s="6"/>
      <c r="I5" s="6"/>
      <c r="J5" s="603"/>
      <c r="K5" s="603"/>
      <c r="L5" s="603"/>
      <c r="M5" s="603"/>
      <c r="N5" s="603"/>
      <c r="O5" s="6"/>
      <c r="P5" s="6"/>
      <c r="Q5" s="6"/>
      <c r="R5" s="6"/>
      <c r="S5" s="12"/>
      <c r="T5" s="6"/>
      <c r="U5" s="8"/>
      <c r="V5" s="6"/>
      <c r="W5" s="6"/>
    </row>
    <row r="6" spans="1:23" ht="15.75" customHeight="1">
      <c r="A6" s="4"/>
      <c r="B6" s="15"/>
      <c r="C6" s="6"/>
      <c r="D6" s="6"/>
      <c r="E6" s="6"/>
      <c r="F6" s="16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19"/>
      <c r="S6" s="20"/>
      <c r="T6" s="6"/>
      <c r="U6" s="8"/>
      <c r="V6" s="6"/>
      <c r="W6" s="6"/>
    </row>
    <row r="7" spans="1:23" ht="50.75" customHeight="1">
      <c r="A7" s="4"/>
      <c r="B7" s="15"/>
      <c r="C7" s="15"/>
      <c r="D7" s="15"/>
      <c r="E7" s="6"/>
      <c r="F7" s="604" t="s">
        <v>4</v>
      </c>
      <c r="G7" s="605"/>
      <c r="H7" s="606"/>
      <c r="I7" s="21" t="s">
        <v>5</v>
      </c>
      <c r="J7" s="22" t="s">
        <v>6</v>
      </c>
      <c r="K7" s="23" t="s">
        <v>7</v>
      </c>
      <c r="L7" s="24" t="s">
        <v>8</v>
      </c>
      <c r="M7" s="24" t="s">
        <v>9</v>
      </c>
      <c r="N7" s="25" t="s">
        <v>10</v>
      </c>
      <c r="O7" s="25" t="s">
        <v>11</v>
      </c>
      <c r="P7" s="607" t="s">
        <v>12</v>
      </c>
      <c r="Q7" s="608"/>
      <c r="R7" s="19"/>
      <c r="S7" s="20"/>
      <c r="T7" s="6"/>
      <c r="U7" s="8"/>
      <c r="V7" s="6"/>
      <c r="W7" s="6"/>
    </row>
    <row r="8" spans="1:23" ht="15.75" customHeight="1">
      <c r="A8" s="4"/>
      <c r="B8" s="15"/>
      <c r="C8" s="15"/>
      <c r="D8" s="26"/>
      <c r="E8" s="6"/>
      <c r="F8" s="609" t="s">
        <v>13</v>
      </c>
      <c r="G8" s="610"/>
      <c r="H8" s="611"/>
      <c r="I8" s="27">
        <v>1800000</v>
      </c>
      <c r="J8" s="28">
        <f>D56</f>
        <v>1570967.64</v>
      </c>
      <c r="K8" s="29">
        <f t="shared" ref="K8:K19" si="0">IF(AND(I8&lt;&gt;"", I8&lt;&gt;0, J8&lt;&gt;""), J8/I8, "")</f>
        <v>0.87275979999999997</v>
      </c>
      <c r="L8" s="30">
        <f>IF(SUMIF($D$25:$D$55,"&gt;=0",$P$25:$P$55)&lt;&gt;0,I8*D56/SUMIF($D$25:$D$55,"&gt;=0",$P$25:$P$55),0)</f>
        <v>1570967.6400000015</v>
      </c>
      <c r="M8" s="31">
        <f t="shared" ref="M8:M20" si="1">IF(AND(I8&lt;&gt;"", I8&lt;&gt;0, L8&lt;&gt;"", L8&lt;&gt;0), L8/I8, "")</f>
        <v>0.87275980000000086</v>
      </c>
      <c r="N8" s="32">
        <f t="shared" ref="N8:N20" si="2">IF(AND(J8&lt;&gt;0, J8&lt;&gt;"", I8&lt;&gt;0, I8&lt;&gt;""), L8-I8, "")</f>
        <v>-229032.35999999847</v>
      </c>
      <c r="O8" s="33"/>
      <c r="P8" s="32" t="str">
        <f t="shared" ref="P8:P20" si="3">IF(AND(O8&lt;&gt;"", O8&lt;&gt;0, L8&lt;&gt;"", L8&lt;&gt;0), -O8+L8, "")</f>
        <v/>
      </c>
      <c r="Q8" s="34" t="str">
        <f t="shared" ref="Q8:Q20" si="4">IF(AND(P8&lt;&gt;"", P8&lt;&gt;0, O8&lt;&gt;0, O8&lt;&gt;""), P8/O8, "")</f>
        <v/>
      </c>
      <c r="R8" s="19"/>
      <c r="S8" s="35"/>
      <c r="T8" s="6"/>
      <c r="U8" s="8"/>
      <c r="V8" s="6"/>
      <c r="W8" s="6"/>
    </row>
    <row r="9" spans="1:23" ht="15.75" customHeight="1">
      <c r="A9" s="4"/>
      <c r="B9" s="15"/>
      <c r="C9" s="15"/>
      <c r="D9" s="15"/>
      <c r="E9" s="6"/>
      <c r="F9" s="612" t="s">
        <v>14</v>
      </c>
      <c r="G9" s="613"/>
      <c r="H9" s="614"/>
      <c r="I9" s="36">
        <f>I8/I11</f>
        <v>487.80487804878049</v>
      </c>
      <c r="J9" s="37">
        <f>E56</f>
        <v>409</v>
      </c>
      <c r="K9" s="38">
        <f t="shared" si="0"/>
        <v>0.83845000000000003</v>
      </c>
      <c r="L9" s="39">
        <f>IF(SUMIF($E$25:$E$55, "&gt;=0", $Q$25:$Q$55)&lt;&gt;0, I9*E56/SUMIF($E$25:$E$55, "&gt;=0", $Q$25:$Q$55), 0)</f>
        <v>409.00000000000045</v>
      </c>
      <c r="M9" s="40">
        <f t="shared" si="1"/>
        <v>0.83845000000000092</v>
      </c>
      <c r="N9" s="41">
        <f t="shared" si="2"/>
        <v>-78.80487804878004</v>
      </c>
      <c r="O9" s="42" t="e">
        <f>O8/O11</f>
        <v>#DIV/0!</v>
      </c>
      <c r="P9" s="41" t="e">
        <f t="shared" si="3"/>
        <v>#DIV/0!</v>
      </c>
      <c r="Q9" s="43" t="e">
        <f t="shared" si="4"/>
        <v>#DIV/0!</v>
      </c>
      <c r="R9" s="19"/>
      <c r="S9" s="35"/>
      <c r="T9" s="6"/>
      <c r="U9" s="8"/>
      <c r="V9" s="6"/>
      <c r="W9" s="6"/>
    </row>
    <row r="10" spans="1:23" ht="15.75" customHeight="1">
      <c r="A10" s="4"/>
      <c r="B10" s="15"/>
      <c r="C10" s="15"/>
      <c r="D10" s="15"/>
      <c r="E10" s="6"/>
      <c r="F10" s="609" t="s">
        <v>15</v>
      </c>
      <c r="G10" s="610"/>
      <c r="H10" s="611"/>
      <c r="I10" s="36">
        <f>I11*I12</f>
        <v>5904</v>
      </c>
      <c r="J10" s="44">
        <f>H56</f>
        <v>7777.067524752475</v>
      </c>
      <c r="K10" s="45">
        <f t="shared" si="0"/>
        <v>1.3172539845447959</v>
      </c>
      <c r="L10" s="39">
        <f>J10</f>
        <v>7777.067524752475</v>
      </c>
      <c r="M10" s="46">
        <f t="shared" si="1"/>
        <v>1.3172539845447959</v>
      </c>
      <c r="N10" s="47">
        <f t="shared" si="2"/>
        <v>1873.067524752475</v>
      </c>
      <c r="O10" s="48">
        <f>O11*O12</f>
        <v>0</v>
      </c>
      <c r="P10" s="47" t="str">
        <f t="shared" si="3"/>
        <v/>
      </c>
      <c r="Q10" s="49" t="str">
        <f t="shared" si="4"/>
        <v/>
      </c>
      <c r="R10" s="19"/>
      <c r="S10" s="35"/>
      <c r="T10" s="6"/>
      <c r="U10" s="8"/>
      <c r="V10" s="6"/>
      <c r="W10" s="6"/>
    </row>
    <row r="11" spans="1:23" ht="15.75" customHeight="1">
      <c r="A11" s="4"/>
      <c r="B11" s="15"/>
      <c r="C11" s="15"/>
      <c r="D11" s="15"/>
      <c r="E11" s="6"/>
      <c r="F11" s="612" t="s">
        <v>16</v>
      </c>
      <c r="G11" s="613"/>
      <c r="H11" s="614"/>
      <c r="I11" s="50">
        <v>3690</v>
      </c>
      <c r="J11" s="37">
        <f>F56</f>
        <v>3840.9966748166257</v>
      </c>
      <c r="K11" s="38">
        <f t="shared" si="0"/>
        <v>1.0409205080803863</v>
      </c>
      <c r="L11" s="39">
        <f>IF(L9&gt;0, L8/L9, "")</f>
        <v>3840.9966748166253</v>
      </c>
      <c r="M11" s="40">
        <f t="shared" si="1"/>
        <v>1.0409205080803863</v>
      </c>
      <c r="N11" s="41">
        <f t="shared" si="2"/>
        <v>150.99667481662527</v>
      </c>
      <c r="O11" s="51"/>
      <c r="P11" s="41" t="str">
        <f t="shared" si="3"/>
        <v/>
      </c>
      <c r="Q11" s="43" t="str">
        <f t="shared" si="4"/>
        <v/>
      </c>
      <c r="R11" s="19"/>
      <c r="S11" s="52"/>
      <c r="T11" s="6"/>
      <c r="U11" s="8"/>
      <c r="V11" s="6"/>
      <c r="W11" s="6"/>
    </row>
    <row r="12" spans="1:23" ht="15.75" customHeight="1">
      <c r="A12" s="4"/>
      <c r="B12" s="15"/>
      <c r="C12" s="6"/>
      <c r="D12" s="6"/>
      <c r="E12" s="6"/>
      <c r="F12" s="612" t="s">
        <v>17</v>
      </c>
      <c r="G12" s="613"/>
      <c r="H12" s="614"/>
      <c r="I12" s="53">
        <v>1.6</v>
      </c>
      <c r="J12" s="54">
        <f>J56</f>
        <v>2.0247524752475248</v>
      </c>
      <c r="K12" s="38">
        <f t="shared" si="0"/>
        <v>1.2654702970297029</v>
      </c>
      <c r="L12" s="55">
        <f>J12</f>
        <v>2.0247524752475248</v>
      </c>
      <c r="M12" s="40">
        <f t="shared" si="1"/>
        <v>1.2654702970297029</v>
      </c>
      <c r="N12" s="56">
        <f t="shared" si="2"/>
        <v>0.42475247524752469</v>
      </c>
      <c r="O12" s="57"/>
      <c r="P12" s="41" t="str">
        <f t="shared" si="3"/>
        <v/>
      </c>
      <c r="Q12" s="43" t="str">
        <f t="shared" si="4"/>
        <v/>
      </c>
      <c r="R12" s="19"/>
      <c r="S12" s="52"/>
      <c r="T12" s="6"/>
      <c r="U12" s="8"/>
      <c r="V12" s="6"/>
      <c r="W12" s="6"/>
    </row>
    <row r="13" spans="1:23" ht="15.75" customHeight="1">
      <c r="A13" s="4"/>
      <c r="B13" s="15"/>
      <c r="C13" s="6"/>
      <c r="D13" s="6"/>
      <c r="E13" s="6"/>
      <c r="F13" s="612" t="s">
        <v>18</v>
      </c>
      <c r="G13" s="613"/>
      <c r="H13" s="614"/>
      <c r="I13" s="36">
        <f>I17*I20</f>
        <v>0</v>
      </c>
      <c r="J13" s="37">
        <f>G56</f>
        <v>202</v>
      </c>
      <c r="K13" s="38" t="str">
        <f t="shared" si="0"/>
        <v/>
      </c>
      <c r="L13" s="39">
        <f>IF(SUMIF($G$25:$G$55, "&gt;=0", $R$25:$R$55)&lt;&gt;0, I13*G56/SUMIF($G$25:$G$55, "&gt;=0", $R$25:$R$55), "")</f>
        <v>0</v>
      </c>
      <c r="M13" s="40" t="str">
        <f t="shared" si="1"/>
        <v/>
      </c>
      <c r="N13" s="56" t="str">
        <f t="shared" si="2"/>
        <v/>
      </c>
      <c r="O13" s="58"/>
      <c r="P13" s="41" t="str">
        <f t="shared" si="3"/>
        <v/>
      </c>
      <c r="Q13" s="43" t="str">
        <f t="shared" si="4"/>
        <v/>
      </c>
      <c r="R13" s="19"/>
      <c r="S13" s="52"/>
      <c r="T13" s="6"/>
      <c r="U13" s="8"/>
      <c r="V13" s="6"/>
      <c r="W13" s="6"/>
    </row>
    <row r="14" spans="1:23" ht="15.75" customHeight="1">
      <c r="A14" s="4"/>
      <c r="B14" s="15"/>
      <c r="C14" s="6"/>
      <c r="D14" s="6"/>
      <c r="E14" s="6"/>
      <c r="F14" s="612" t="s">
        <v>19</v>
      </c>
      <c r="G14" s="613"/>
      <c r="H14" s="614"/>
      <c r="I14" s="50">
        <v>30</v>
      </c>
      <c r="J14" s="59">
        <v>30</v>
      </c>
      <c r="K14" s="38">
        <f t="shared" si="0"/>
        <v>1</v>
      </c>
      <c r="L14" s="39">
        <f>IF(SUMIF($D$25:$D$55,"&gt;=0",$P$25:$P$55),I56*I8/SUMIF($D$25:$D$55,"&gt;=0",$P$25:$P$55),"")</f>
        <v>0</v>
      </c>
      <c r="M14" s="40" t="str">
        <f t="shared" si="1"/>
        <v/>
      </c>
      <c r="N14" s="41">
        <f t="shared" si="2"/>
        <v>-30</v>
      </c>
      <c r="O14" s="58"/>
      <c r="P14" s="41" t="str">
        <f t="shared" si="3"/>
        <v/>
      </c>
      <c r="Q14" s="43" t="str">
        <f t="shared" si="4"/>
        <v/>
      </c>
      <c r="R14" s="19"/>
      <c r="S14" s="60"/>
      <c r="T14" s="6"/>
      <c r="U14" s="8"/>
      <c r="V14" s="6"/>
      <c r="W14" s="6"/>
    </row>
    <row r="15" spans="1:23" ht="15.75" customHeight="1">
      <c r="A15" s="4"/>
      <c r="B15" s="15"/>
      <c r="C15" s="6"/>
      <c r="D15" s="6"/>
      <c r="E15" s="6"/>
      <c r="F15" s="612" t="s">
        <v>20</v>
      </c>
      <c r="G15" s="613"/>
      <c r="H15" s="614"/>
      <c r="I15" s="61">
        <f>I8/I14</f>
        <v>60000</v>
      </c>
      <c r="J15" s="62">
        <f>J8/J14</f>
        <v>52365.587999999996</v>
      </c>
      <c r="K15" s="63">
        <f t="shared" si="0"/>
        <v>0.87275979999999997</v>
      </c>
      <c r="L15" s="64">
        <f t="shared" ref="L15:L19" si="5">J15</f>
        <v>52365.587999999996</v>
      </c>
      <c r="M15" s="65">
        <f t="shared" si="1"/>
        <v>0.87275979999999997</v>
      </c>
      <c r="N15" s="41">
        <f t="shared" si="2"/>
        <v>-7634.4120000000039</v>
      </c>
      <c r="O15" s="66"/>
      <c r="P15" s="41" t="str">
        <f t="shared" si="3"/>
        <v/>
      </c>
      <c r="Q15" s="43" t="str">
        <f t="shared" si="4"/>
        <v/>
      </c>
      <c r="R15" s="19"/>
      <c r="S15" s="35"/>
      <c r="T15" s="6"/>
      <c r="U15" s="8"/>
      <c r="V15" s="6"/>
      <c r="W15" s="6"/>
    </row>
    <row r="16" spans="1:23" ht="15.75" customHeight="1">
      <c r="A16" s="4"/>
      <c r="B16" s="15"/>
      <c r="C16" s="6"/>
      <c r="D16" s="6"/>
      <c r="E16" s="6"/>
      <c r="F16" s="612" t="s">
        <v>21</v>
      </c>
      <c r="G16" s="613"/>
      <c r="H16" s="614"/>
      <c r="I16" s="61"/>
      <c r="J16" s="62">
        <f>J8-I15*J14</f>
        <v>-229032.3600000001</v>
      </c>
      <c r="K16" s="63" t="str">
        <f t="shared" si="0"/>
        <v/>
      </c>
      <c r="L16" s="67">
        <f t="shared" si="5"/>
        <v>-229032.3600000001</v>
      </c>
      <c r="M16" s="68" t="str">
        <f t="shared" si="1"/>
        <v/>
      </c>
      <c r="N16" s="41" t="str">
        <f t="shared" si="2"/>
        <v/>
      </c>
      <c r="O16" s="66"/>
      <c r="P16" s="41" t="str">
        <f t="shared" si="3"/>
        <v/>
      </c>
      <c r="Q16" s="43" t="str">
        <f t="shared" si="4"/>
        <v/>
      </c>
      <c r="R16" s="19"/>
      <c r="S16" s="618" t="s">
        <v>22</v>
      </c>
      <c r="T16" s="6"/>
      <c r="U16" s="8"/>
      <c r="V16" s="6"/>
      <c r="W16" s="6"/>
    </row>
    <row r="17" spans="1:255" ht="15.75" customHeight="1">
      <c r="A17" s="4"/>
      <c r="B17" s="15"/>
      <c r="C17" s="6"/>
      <c r="D17" s="69"/>
      <c r="E17" s="6"/>
      <c r="F17" s="612" t="s">
        <v>23</v>
      </c>
      <c r="G17" s="613"/>
      <c r="H17" s="614"/>
      <c r="I17" s="70"/>
      <c r="J17" s="62">
        <f>I56</f>
        <v>0</v>
      </c>
      <c r="K17" s="63" t="str">
        <f t="shared" si="0"/>
        <v/>
      </c>
      <c r="L17" s="67">
        <f t="shared" si="5"/>
        <v>0</v>
      </c>
      <c r="M17" s="68" t="str">
        <f t="shared" si="1"/>
        <v/>
      </c>
      <c r="N17" s="41" t="str">
        <f t="shared" si="2"/>
        <v/>
      </c>
      <c r="O17" s="66"/>
      <c r="P17" s="41" t="str">
        <f t="shared" si="3"/>
        <v/>
      </c>
      <c r="Q17" s="43" t="str">
        <f t="shared" si="4"/>
        <v/>
      </c>
      <c r="R17" s="19"/>
      <c r="S17" s="618"/>
      <c r="T17" s="6"/>
      <c r="U17" s="8"/>
      <c r="V17" s="6"/>
      <c r="W17" s="6"/>
    </row>
    <row r="18" spans="1:255" ht="15.75" customHeight="1">
      <c r="A18" s="4"/>
      <c r="B18" s="15"/>
      <c r="C18" s="6"/>
      <c r="D18" s="6"/>
      <c r="E18" s="6"/>
      <c r="F18" s="612"/>
      <c r="G18" s="613"/>
      <c r="H18" s="614"/>
      <c r="I18" s="71"/>
      <c r="J18" s="62"/>
      <c r="K18" s="63" t="str">
        <f t="shared" si="0"/>
        <v/>
      </c>
      <c r="L18" s="67">
        <f t="shared" si="5"/>
        <v>0</v>
      </c>
      <c r="M18" s="68" t="str">
        <f t="shared" si="1"/>
        <v/>
      </c>
      <c r="N18" s="41" t="str">
        <f t="shared" si="2"/>
        <v/>
      </c>
      <c r="O18" s="72">
        <v>0</v>
      </c>
      <c r="P18" s="41" t="str">
        <f t="shared" si="3"/>
        <v/>
      </c>
      <c r="Q18" s="43" t="str">
        <f t="shared" si="4"/>
        <v/>
      </c>
      <c r="R18" s="19"/>
      <c r="S18" s="73"/>
      <c r="T18" s="6"/>
      <c r="U18" s="8"/>
      <c r="V18" s="6"/>
      <c r="W18" s="6"/>
    </row>
    <row r="19" spans="1:255" ht="15.75" customHeight="1">
      <c r="A19" s="4"/>
      <c r="B19" s="15"/>
      <c r="C19" s="6"/>
      <c r="D19" s="6"/>
      <c r="E19" s="6"/>
      <c r="F19" s="612"/>
      <c r="G19" s="613"/>
      <c r="H19" s="614"/>
      <c r="I19" s="71"/>
      <c r="J19" s="62">
        <f>M56</f>
        <v>0</v>
      </c>
      <c r="K19" s="63" t="str">
        <f t="shared" si="0"/>
        <v/>
      </c>
      <c r="L19" s="67">
        <f t="shared" si="5"/>
        <v>0</v>
      </c>
      <c r="M19" s="68" t="str">
        <f t="shared" si="1"/>
        <v/>
      </c>
      <c r="N19" s="41" t="str">
        <f t="shared" si="2"/>
        <v/>
      </c>
      <c r="O19" s="66">
        <v>0</v>
      </c>
      <c r="P19" s="41" t="str">
        <f t="shared" si="3"/>
        <v/>
      </c>
      <c r="Q19" s="43" t="str">
        <f t="shared" si="4"/>
        <v/>
      </c>
      <c r="R19" s="19"/>
      <c r="S19" s="74" t="e">
        <f>S18/I16</f>
        <v>#DIV/0!</v>
      </c>
      <c r="T19" s="6"/>
      <c r="U19" s="8"/>
      <c r="V19" s="6"/>
      <c r="W19" s="6"/>
    </row>
    <row r="20" spans="1:255" ht="15.75" customHeight="1">
      <c r="A20" s="4"/>
      <c r="B20" s="15"/>
      <c r="C20" s="6"/>
      <c r="D20" s="6"/>
      <c r="E20" s="6"/>
      <c r="F20" s="621" t="s">
        <v>24</v>
      </c>
      <c r="G20" s="621"/>
      <c r="H20" s="621"/>
      <c r="I20" s="75">
        <v>0.25700000000000001</v>
      </c>
      <c r="J20" s="76" t="str">
        <f>N56</f>
        <v/>
      </c>
      <c r="K20" s="77" t="e">
        <f>J20/I20</f>
        <v>#VALUE!</v>
      </c>
      <c r="L20" s="78">
        <f>IF(AND(K8&lt;&gt;0, I14&lt;&gt;0, I56&lt;&gt;0), (I56*N56+(I56/K8-I56)*I20)/(I56/K8), 0)</f>
        <v>0</v>
      </c>
      <c r="M20" s="79" t="str">
        <f t="shared" si="1"/>
        <v/>
      </c>
      <c r="N20" s="80" t="str">
        <f t="shared" si="2"/>
        <v/>
      </c>
      <c r="O20" s="81"/>
      <c r="P20" s="82" t="str">
        <f t="shared" si="3"/>
        <v/>
      </c>
      <c r="Q20" s="83" t="str">
        <f t="shared" si="4"/>
        <v/>
      </c>
      <c r="R20" s="19"/>
      <c r="S20" s="20"/>
      <c r="T20" s="6"/>
      <c r="U20" s="8"/>
      <c r="V20" s="6"/>
      <c r="W20" s="6"/>
    </row>
    <row r="21" spans="1:255" ht="15.75" customHeight="1">
      <c r="A21" s="4"/>
      <c r="B21" s="15"/>
      <c r="C21" s="6"/>
      <c r="D21" s="84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9"/>
      <c r="S21" s="20"/>
      <c r="T21" s="6"/>
      <c r="U21" s="8"/>
      <c r="V21" s="6"/>
      <c r="W21" s="6"/>
    </row>
    <row r="22" spans="1:255" ht="21" customHeight="1">
      <c r="A22" s="616" t="s">
        <v>25</v>
      </c>
      <c r="B22" s="616"/>
      <c r="C22" s="616"/>
      <c r="D22" s="616"/>
      <c r="E22" s="616"/>
      <c r="F22" s="616"/>
      <c r="G22" s="616"/>
      <c r="H22" s="616"/>
      <c r="I22" s="616"/>
      <c r="J22" s="616"/>
      <c r="K22" s="616"/>
      <c r="L22" s="616"/>
      <c r="M22" s="616"/>
      <c r="N22" s="616"/>
      <c r="O22" s="615" t="s">
        <v>26</v>
      </c>
      <c r="P22" s="616" t="s">
        <v>27</v>
      </c>
      <c r="Q22" s="616"/>
      <c r="R22" s="616"/>
      <c r="S22" s="616"/>
      <c r="T22" s="616"/>
      <c r="U22" s="616"/>
      <c r="V22" s="616"/>
      <c r="W22" s="616"/>
    </row>
    <row r="23" spans="1:255" ht="36">
      <c r="A23" s="617" t="s">
        <v>28</v>
      </c>
      <c r="B23" s="85" t="s">
        <v>29</v>
      </c>
      <c r="C23" s="85" t="s">
        <v>30</v>
      </c>
      <c r="D23" s="85" t="s">
        <v>31</v>
      </c>
      <c r="E23" s="85" t="s">
        <v>32</v>
      </c>
      <c r="F23" s="85" t="s">
        <v>33</v>
      </c>
      <c r="G23" s="85" t="s">
        <v>34</v>
      </c>
      <c r="H23" s="85" t="s">
        <v>35</v>
      </c>
      <c r="I23" s="85" t="s">
        <v>23</v>
      </c>
      <c r="J23" s="85" t="s">
        <v>36</v>
      </c>
      <c r="K23" s="86" t="s">
        <v>37</v>
      </c>
      <c r="L23" s="86" t="s">
        <v>37</v>
      </c>
      <c r="M23" s="86" t="s">
        <v>37</v>
      </c>
      <c r="N23" s="85" t="s">
        <v>38</v>
      </c>
      <c r="O23" s="615"/>
      <c r="P23" s="85" t="s">
        <v>39</v>
      </c>
      <c r="Q23" s="85" t="s">
        <v>40</v>
      </c>
      <c r="R23" s="85" t="s">
        <v>41</v>
      </c>
      <c r="S23" s="85" t="s">
        <v>42</v>
      </c>
      <c r="T23" s="85" t="s">
        <v>43</v>
      </c>
      <c r="U23" s="85" t="s">
        <v>44</v>
      </c>
      <c r="V23" s="87" t="s">
        <v>45</v>
      </c>
      <c r="W23" s="87" t="s">
        <v>46</v>
      </c>
      <c r="X23" s="88"/>
    </row>
    <row r="24" spans="1:255">
      <c r="A24" s="617"/>
      <c r="B24" s="89">
        <v>1</v>
      </c>
      <c r="C24" s="89">
        <v>2</v>
      </c>
      <c r="D24" s="89">
        <v>3</v>
      </c>
      <c r="E24" s="89">
        <v>4</v>
      </c>
      <c r="F24" s="89">
        <v>5</v>
      </c>
      <c r="G24" s="89">
        <v>6</v>
      </c>
      <c r="H24" s="89">
        <v>7</v>
      </c>
      <c r="I24" s="89">
        <v>8</v>
      </c>
      <c r="J24" s="89">
        <v>9</v>
      </c>
      <c r="K24" s="89">
        <v>10</v>
      </c>
      <c r="L24" s="89">
        <v>11</v>
      </c>
      <c r="M24" s="89">
        <v>12</v>
      </c>
      <c r="N24" s="89">
        <v>13</v>
      </c>
      <c r="O24" s="615"/>
      <c r="P24" s="90">
        <v>1</v>
      </c>
      <c r="Q24" s="90">
        <v>2</v>
      </c>
      <c r="R24" s="90">
        <v>3</v>
      </c>
      <c r="S24" s="90">
        <v>4</v>
      </c>
      <c r="T24" s="90">
        <v>5</v>
      </c>
      <c r="U24" s="90">
        <v>6</v>
      </c>
      <c r="V24" s="90">
        <v>10</v>
      </c>
      <c r="W24" s="90">
        <v>11</v>
      </c>
    </row>
    <row r="25" spans="1:255" s="91" customFormat="1">
      <c r="A25" s="92"/>
      <c r="B25" s="93">
        <v>45658</v>
      </c>
      <c r="C25" s="94" t="s">
        <v>47</v>
      </c>
      <c r="D25" s="95"/>
      <c r="E25" s="96"/>
      <c r="F25" s="96" t="str">
        <f t="shared" ref="F25:F55" si="6">IF(AND(E25&lt;&gt;"",E25&lt;&gt;0),D25/E25,"")</f>
        <v/>
      </c>
      <c r="G25" s="96"/>
      <c r="H25" s="96" t="str">
        <f t="shared" ref="H25:H55" si="7">IF(AND(G25&lt;&gt;"",G25&lt;&gt;0),D25/G25,"")</f>
        <v/>
      </c>
      <c r="I25" s="96"/>
      <c r="J25" s="95" t="str">
        <f t="shared" ref="J25:J55" si="8">IF(AND(G25&lt;&gt;"",G25&lt;&gt;0),E25/G25,"")</f>
        <v/>
      </c>
      <c r="K25" s="96"/>
      <c r="L25" s="96"/>
      <c r="M25" s="96"/>
      <c r="N25" s="97" t="str">
        <f t="shared" ref="N25:N55" si="9">IF(AND(I25&lt;&gt;"",I25&lt;&gt;0),G25/I25,"")</f>
        <v/>
      </c>
      <c r="O25" s="98" t="e">
        <f t="shared" ref="O25:O56" si="10">D25/P25</f>
        <v>#DIV/0!</v>
      </c>
      <c r="P25" s="99">
        <f t="shared" ref="P25:P55" si="11">$I$8*V25*W25/SUMPRODUCT($W$25:$W$55,$V$25:$V$55)</f>
        <v>0</v>
      </c>
      <c r="Q25" s="100">
        <f t="shared" ref="Q25:Q55" si="12">$I$9*V25*W25/SUMPRODUCT($W$25:$W$55,$V$25:$V$55)</f>
        <v>0</v>
      </c>
      <c r="R25" s="100">
        <f t="shared" ref="R25:R55" si="13">IF($I$12="","",Q25/$I$12)</f>
        <v>0</v>
      </c>
      <c r="S25" s="99">
        <f>IF(D25&lt;&gt;"",D25,P25)</f>
        <v>0</v>
      </c>
      <c r="T25" s="100">
        <f>IF(E25&lt;&gt;"",E25,Q25)</f>
        <v>0</v>
      </c>
      <c r="U25" s="100">
        <f>IF(G25&lt;&gt;"",G25,R25)</f>
        <v>0</v>
      </c>
      <c r="V25" s="101"/>
      <c r="W25" s="101"/>
      <c r="Y25" s="102"/>
    </row>
    <row r="26" spans="1:255" s="91" customFormat="1">
      <c r="A26" s="92" t="s">
        <v>123</v>
      </c>
      <c r="B26" s="93">
        <v>45659</v>
      </c>
      <c r="C26" s="103" t="s">
        <v>48</v>
      </c>
      <c r="D26" s="95">
        <v>140171.70000000001</v>
      </c>
      <c r="E26" s="96">
        <v>36</v>
      </c>
      <c r="F26" s="96">
        <f t="shared" si="6"/>
        <v>3893.6583333333338</v>
      </c>
      <c r="G26" s="96">
        <v>19</v>
      </c>
      <c r="H26" s="96">
        <f t="shared" si="7"/>
        <v>7377.4578947368427</v>
      </c>
      <c r="I26" s="96"/>
      <c r="J26" s="95">
        <f t="shared" si="8"/>
        <v>1.8947368421052631</v>
      </c>
      <c r="K26" s="96"/>
      <c r="L26" s="96"/>
      <c r="M26" s="96"/>
      <c r="N26" s="97" t="str">
        <f t="shared" si="9"/>
        <v/>
      </c>
      <c r="O26" s="98">
        <f t="shared" si="10"/>
        <v>1.427133936342593</v>
      </c>
      <c r="P26" s="99">
        <f t="shared" si="11"/>
        <v>98219.02235695337</v>
      </c>
      <c r="Q26" s="100">
        <f t="shared" si="12"/>
        <v>26.617621234946711</v>
      </c>
      <c r="R26" s="100">
        <f t="shared" si="13"/>
        <v>16.636013271841694</v>
      </c>
      <c r="S26" s="99">
        <f t="shared" ref="S26:S55" si="14">IF(W26&lt;&gt;"",IF(D26&lt;&gt;"",D26,($I$8-SUM($S$25:S25))*V26*W26/SUMPRODUCT($W26:$W$55,$V26:$V$55)),"")</f>
        <v>140171.70000000001</v>
      </c>
      <c r="T26" s="100">
        <f t="shared" ref="T26:T35" si="15">IF(W26&lt;&gt;"",IF(E26&lt;&gt;"",E26,($I$9-SUM($T$25:T25))*V26*W26/SUMPRODUCT($W26:$W$55,$V26:$V$55)),"")</f>
        <v>36</v>
      </c>
      <c r="U26" s="100">
        <f t="shared" ref="U26:U55" si="16">IF(W26&lt;&gt;"",IF($I$12&lt;&gt;"",IF(G26&lt;&gt;"",G26,($I$9/$I$12-SUM($U$25:U25))*V26*W26/SUMPRODUCT($W26:$W$55,$V26:$V$55)),""),"")</f>
        <v>19</v>
      </c>
      <c r="V26" s="101">
        <v>1.2</v>
      </c>
      <c r="W26" s="101">
        <v>1.2</v>
      </c>
      <c r="X26" s="102"/>
      <c r="Y26" s="102"/>
    </row>
    <row r="27" spans="1:255">
      <c r="A27" s="92" t="s">
        <v>123</v>
      </c>
      <c r="B27" s="514">
        <v>45660</v>
      </c>
      <c r="C27" s="116" t="s">
        <v>49</v>
      </c>
      <c r="D27" s="515">
        <v>91852</v>
      </c>
      <c r="E27" s="516">
        <v>25</v>
      </c>
      <c r="F27" s="517">
        <f t="shared" si="6"/>
        <v>3674.08</v>
      </c>
      <c r="G27" s="516">
        <v>13</v>
      </c>
      <c r="H27" s="517">
        <f t="shared" si="7"/>
        <v>7065.5384615384619</v>
      </c>
      <c r="I27" s="516"/>
      <c r="J27" s="515">
        <f t="shared" si="8"/>
        <v>1.9230769230769231</v>
      </c>
      <c r="K27" s="517"/>
      <c r="L27" s="517"/>
      <c r="M27" s="517"/>
      <c r="N27" s="518" t="str">
        <f t="shared" si="9"/>
        <v/>
      </c>
      <c r="O27" s="519">
        <f t="shared" si="10"/>
        <v>0.93517526234567927</v>
      </c>
      <c r="P27" s="520">
        <f t="shared" si="11"/>
        <v>98219.02235695337</v>
      </c>
      <c r="Q27" s="521">
        <f t="shared" si="12"/>
        <v>26.617621234946711</v>
      </c>
      <c r="R27" s="521">
        <f t="shared" si="13"/>
        <v>16.636013271841694</v>
      </c>
      <c r="S27" s="520">
        <f t="shared" si="14"/>
        <v>91852</v>
      </c>
      <c r="T27" s="521">
        <f t="shared" si="15"/>
        <v>25</v>
      </c>
      <c r="U27" s="521">
        <f t="shared" si="16"/>
        <v>13</v>
      </c>
      <c r="V27" s="522">
        <v>1.2</v>
      </c>
      <c r="W27" s="522">
        <v>1.2</v>
      </c>
      <c r="X27" s="523"/>
      <c r="Y27" s="523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</row>
    <row r="28" spans="1:255">
      <c r="A28" s="92" t="s">
        <v>123</v>
      </c>
      <c r="B28" s="514">
        <v>45661</v>
      </c>
      <c r="C28" s="524" t="s">
        <v>50</v>
      </c>
      <c r="D28" s="515">
        <v>141443</v>
      </c>
      <c r="E28" s="517">
        <v>34</v>
      </c>
      <c r="F28" s="517">
        <f t="shared" si="6"/>
        <v>4160.088235294118</v>
      </c>
      <c r="G28" s="517">
        <v>18</v>
      </c>
      <c r="H28" s="517">
        <f t="shared" si="7"/>
        <v>7857.9444444444443</v>
      </c>
      <c r="I28" s="517"/>
      <c r="J28" s="515">
        <f t="shared" si="8"/>
        <v>1.8888888888888888</v>
      </c>
      <c r="K28" s="517"/>
      <c r="L28" s="517"/>
      <c r="M28" s="517"/>
      <c r="N28" s="518" t="str">
        <f t="shared" si="9"/>
        <v/>
      </c>
      <c r="O28" s="519">
        <f t="shared" si="10"/>
        <v>1.4400774575617288</v>
      </c>
      <c r="P28" s="520">
        <f t="shared" si="11"/>
        <v>98219.02235695337</v>
      </c>
      <c r="Q28" s="521">
        <f t="shared" si="12"/>
        <v>26.617621234946711</v>
      </c>
      <c r="R28" s="521">
        <f t="shared" si="13"/>
        <v>16.636013271841694</v>
      </c>
      <c r="S28" s="520">
        <f t="shared" si="14"/>
        <v>141443</v>
      </c>
      <c r="T28" s="521">
        <f t="shared" si="15"/>
        <v>34</v>
      </c>
      <c r="U28" s="521">
        <f t="shared" si="16"/>
        <v>18</v>
      </c>
      <c r="V28" s="522">
        <v>1.2</v>
      </c>
      <c r="W28" s="522">
        <v>1.2</v>
      </c>
      <c r="X28" s="523"/>
      <c r="Y28" s="525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</row>
    <row r="29" spans="1:255" s="526" customFormat="1">
      <c r="A29" s="92" t="s">
        <v>123</v>
      </c>
      <c r="B29" s="514">
        <v>45662</v>
      </c>
      <c r="C29" s="116" t="s">
        <v>51</v>
      </c>
      <c r="D29" s="515">
        <v>165681</v>
      </c>
      <c r="E29" s="517">
        <v>39</v>
      </c>
      <c r="F29" s="517">
        <f t="shared" si="6"/>
        <v>4248.2307692307695</v>
      </c>
      <c r="G29" s="517">
        <v>11</v>
      </c>
      <c r="H29" s="517">
        <f t="shared" si="7"/>
        <v>15061.90909090909</v>
      </c>
      <c r="I29" s="517"/>
      <c r="J29" s="515">
        <f t="shared" si="8"/>
        <v>3.5454545454545454</v>
      </c>
      <c r="K29" s="517"/>
      <c r="L29" s="517"/>
      <c r="M29" s="517"/>
      <c r="N29" s="518" t="str">
        <f t="shared" si="9"/>
        <v/>
      </c>
      <c r="O29" s="519">
        <f t="shared" si="10"/>
        <v>1.6868524652777781</v>
      </c>
      <c r="P29" s="520">
        <f t="shared" si="11"/>
        <v>98219.02235695337</v>
      </c>
      <c r="Q29" s="521">
        <f t="shared" si="12"/>
        <v>26.617621234946711</v>
      </c>
      <c r="R29" s="521">
        <f t="shared" si="13"/>
        <v>16.636013271841694</v>
      </c>
      <c r="S29" s="520">
        <f t="shared" si="14"/>
        <v>165681</v>
      </c>
      <c r="T29" s="521">
        <f t="shared" si="15"/>
        <v>39</v>
      </c>
      <c r="U29" s="521">
        <f t="shared" si="16"/>
        <v>11</v>
      </c>
      <c r="V29" s="522">
        <v>1.2</v>
      </c>
      <c r="W29" s="522">
        <v>1.2</v>
      </c>
      <c r="X29" s="523"/>
      <c r="Y29" s="523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  <c r="IU29" s="2"/>
    </row>
    <row r="30" spans="1:255">
      <c r="A30" s="108" t="s">
        <v>124</v>
      </c>
      <c r="B30" s="514">
        <v>45663</v>
      </c>
      <c r="C30" s="524" t="s">
        <v>52</v>
      </c>
      <c r="D30" s="515">
        <v>37861</v>
      </c>
      <c r="E30" s="517">
        <v>12</v>
      </c>
      <c r="F30" s="517">
        <f t="shared" si="6"/>
        <v>3155.0833333333335</v>
      </c>
      <c r="G30" s="517">
        <v>9</v>
      </c>
      <c r="H30" s="517">
        <f t="shared" si="7"/>
        <v>4206.7777777777774</v>
      </c>
      <c r="I30" s="517"/>
      <c r="J30" s="515">
        <f t="shared" si="8"/>
        <v>1.3333333333333333</v>
      </c>
      <c r="K30" s="517"/>
      <c r="L30" s="517"/>
      <c r="M30" s="517"/>
      <c r="N30" s="518" t="str">
        <f t="shared" si="9"/>
        <v/>
      </c>
      <c r="O30" s="519">
        <f t="shared" si="10"/>
        <v>0.38547522762345687</v>
      </c>
      <c r="P30" s="520">
        <f t="shared" si="11"/>
        <v>98219.02235695337</v>
      </c>
      <c r="Q30" s="521">
        <f t="shared" si="12"/>
        <v>26.617621234946711</v>
      </c>
      <c r="R30" s="521">
        <f t="shared" si="13"/>
        <v>16.636013271841694</v>
      </c>
      <c r="S30" s="520">
        <f t="shared" si="14"/>
        <v>37861</v>
      </c>
      <c r="T30" s="521">
        <f t="shared" si="15"/>
        <v>12</v>
      </c>
      <c r="U30" s="521">
        <f t="shared" si="16"/>
        <v>9</v>
      </c>
      <c r="V30" s="522">
        <v>1.2</v>
      </c>
      <c r="W30" s="522">
        <v>1.2</v>
      </c>
      <c r="X30" s="523"/>
      <c r="Y30" s="523"/>
    </row>
    <row r="31" spans="1:255">
      <c r="A31" s="108" t="s">
        <v>112</v>
      </c>
      <c r="B31" s="514">
        <v>45664</v>
      </c>
      <c r="C31" s="116" t="s">
        <v>53</v>
      </c>
      <c r="D31" s="515">
        <v>65247</v>
      </c>
      <c r="E31" s="517">
        <v>16</v>
      </c>
      <c r="F31" s="517">
        <f t="shared" si="6"/>
        <v>4077.9375</v>
      </c>
      <c r="G31" s="517">
        <v>10</v>
      </c>
      <c r="H31" s="517">
        <f t="shared" si="7"/>
        <v>6524.7</v>
      </c>
      <c r="I31" s="517"/>
      <c r="J31" s="515">
        <f t="shared" si="8"/>
        <v>1.6</v>
      </c>
      <c r="K31" s="517"/>
      <c r="L31" s="517"/>
      <c r="M31" s="517"/>
      <c r="N31" s="518" t="str">
        <f t="shared" si="9"/>
        <v/>
      </c>
      <c r="O31" s="519">
        <f t="shared" si="10"/>
        <v>0.66430105324074085</v>
      </c>
      <c r="P31" s="520">
        <f t="shared" si="11"/>
        <v>98219.02235695337</v>
      </c>
      <c r="Q31" s="521">
        <f t="shared" si="12"/>
        <v>26.617621234946711</v>
      </c>
      <c r="R31" s="521">
        <f t="shared" si="13"/>
        <v>16.636013271841694</v>
      </c>
      <c r="S31" s="520">
        <f t="shared" si="14"/>
        <v>65247</v>
      </c>
      <c r="T31" s="521">
        <f t="shared" si="15"/>
        <v>16</v>
      </c>
      <c r="U31" s="521">
        <f t="shared" si="16"/>
        <v>10</v>
      </c>
      <c r="V31" s="522">
        <v>1.2</v>
      </c>
      <c r="W31" s="522">
        <v>1.2</v>
      </c>
      <c r="X31" s="523"/>
      <c r="Y31" s="523"/>
    </row>
    <row r="32" spans="1:255">
      <c r="A32" s="108" t="s">
        <v>113</v>
      </c>
      <c r="B32" s="514">
        <v>45665</v>
      </c>
      <c r="C32" s="524" t="s">
        <v>47</v>
      </c>
      <c r="D32" s="515">
        <v>101885</v>
      </c>
      <c r="E32" s="517">
        <v>29</v>
      </c>
      <c r="F32" s="517">
        <f t="shared" si="6"/>
        <v>3513.2758620689656</v>
      </c>
      <c r="G32" s="517">
        <v>14</v>
      </c>
      <c r="H32" s="517">
        <f t="shared" si="7"/>
        <v>7277.5</v>
      </c>
      <c r="I32" s="517"/>
      <c r="J32" s="515">
        <f t="shared" si="8"/>
        <v>2.0714285714285716</v>
      </c>
      <c r="K32" s="517"/>
      <c r="L32" s="517"/>
      <c r="M32" s="517"/>
      <c r="N32" s="518" t="str">
        <f t="shared" si="9"/>
        <v/>
      </c>
      <c r="O32" s="519">
        <f t="shared" si="10"/>
        <v>1.0373245177469137</v>
      </c>
      <c r="P32" s="520">
        <f t="shared" si="11"/>
        <v>98219.02235695337</v>
      </c>
      <c r="Q32" s="521">
        <f t="shared" si="12"/>
        <v>26.617621234946711</v>
      </c>
      <c r="R32" s="521">
        <f t="shared" si="13"/>
        <v>16.636013271841694</v>
      </c>
      <c r="S32" s="520">
        <f t="shared" si="14"/>
        <v>101885</v>
      </c>
      <c r="T32" s="521">
        <f t="shared" si="15"/>
        <v>29</v>
      </c>
      <c r="U32" s="521">
        <f t="shared" si="16"/>
        <v>14</v>
      </c>
      <c r="V32" s="522">
        <v>1.2</v>
      </c>
      <c r="W32" s="522">
        <v>1.2</v>
      </c>
      <c r="X32" s="523"/>
      <c r="Y32" s="523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</row>
    <row r="33" spans="1:255">
      <c r="A33" s="108" t="s">
        <v>112</v>
      </c>
      <c r="B33" s="514">
        <v>45666</v>
      </c>
      <c r="C33" s="116" t="s">
        <v>48</v>
      </c>
      <c r="D33" s="515">
        <v>93262</v>
      </c>
      <c r="E33" s="517">
        <v>27</v>
      </c>
      <c r="F33" s="517">
        <f t="shared" si="6"/>
        <v>3454.1481481481483</v>
      </c>
      <c r="G33" s="517">
        <v>5</v>
      </c>
      <c r="H33" s="517">
        <f t="shared" si="7"/>
        <v>18652.400000000001</v>
      </c>
      <c r="I33" s="517"/>
      <c r="J33" s="515">
        <f t="shared" si="8"/>
        <v>5.4</v>
      </c>
      <c r="K33" s="517"/>
      <c r="L33" s="517"/>
      <c r="M33" s="517"/>
      <c r="N33" s="518" t="str">
        <f t="shared" si="9"/>
        <v/>
      </c>
      <c r="O33" s="519">
        <f t="shared" si="10"/>
        <v>1.3673245444444446</v>
      </c>
      <c r="P33" s="520">
        <f t="shared" si="11"/>
        <v>68207.654414550954</v>
      </c>
      <c r="Q33" s="521">
        <f t="shared" si="12"/>
        <v>18.484459190935219</v>
      </c>
      <c r="R33" s="521">
        <f t="shared" si="13"/>
        <v>11.552786994334511</v>
      </c>
      <c r="S33" s="520">
        <f t="shared" si="14"/>
        <v>93262</v>
      </c>
      <c r="T33" s="521">
        <f t="shared" si="15"/>
        <v>27</v>
      </c>
      <c r="U33" s="521">
        <f t="shared" si="16"/>
        <v>5</v>
      </c>
      <c r="V33" s="522">
        <v>1</v>
      </c>
      <c r="W33" s="522">
        <v>1</v>
      </c>
      <c r="X33" s="523"/>
      <c r="Y33" s="52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</row>
    <row r="34" spans="1:255">
      <c r="A34" s="108" t="s">
        <v>113</v>
      </c>
      <c r="B34" s="514">
        <v>45667</v>
      </c>
      <c r="C34" s="524" t="s">
        <v>49</v>
      </c>
      <c r="D34" s="515">
        <v>78019</v>
      </c>
      <c r="E34" s="517">
        <v>22</v>
      </c>
      <c r="F34" s="517">
        <f t="shared" si="6"/>
        <v>3546.318181818182</v>
      </c>
      <c r="G34" s="517">
        <v>15</v>
      </c>
      <c r="H34" s="517">
        <f t="shared" si="7"/>
        <v>5201.2666666666664</v>
      </c>
      <c r="I34" s="517"/>
      <c r="J34" s="515">
        <f t="shared" si="8"/>
        <v>1.4666666666666666</v>
      </c>
      <c r="K34" s="517"/>
      <c r="L34" s="517"/>
      <c r="M34" s="517"/>
      <c r="N34" s="518" t="str">
        <f t="shared" si="9"/>
        <v/>
      </c>
      <c r="O34" s="519">
        <f t="shared" si="10"/>
        <v>1.143845227777778</v>
      </c>
      <c r="P34" s="520">
        <f t="shared" si="11"/>
        <v>68207.654414550954</v>
      </c>
      <c r="Q34" s="521">
        <f t="shared" si="12"/>
        <v>18.484459190935219</v>
      </c>
      <c r="R34" s="521">
        <f t="shared" si="13"/>
        <v>11.552786994334511</v>
      </c>
      <c r="S34" s="520">
        <f t="shared" si="14"/>
        <v>78019</v>
      </c>
      <c r="T34" s="521">
        <f t="shared" si="15"/>
        <v>22</v>
      </c>
      <c r="U34" s="521">
        <f t="shared" si="16"/>
        <v>15</v>
      </c>
      <c r="V34" s="522">
        <v>1</v>
      </c>
      <c r="W34" s="522">
        <v>1</v>
      </c>
      <c r="X34" s="523"/>
      <c r="Y34" s="523"/>
    </row>
    <row r="35" spans="1:255">
      <c r="A35" s="108" t="s">
        <v>113</v>
      </c>
      <c r="B35" s="514">
        <v>45668</v>
      </c>
      <c r="C35" s="116" t="s">
        <v>50</v>
      </c>
      <c r="D35" s="515">
        <v>29453</v>
      </c>
      <c r="E35" s="517">
        <v>7</v>
      </c>
      <c r="F35" s="517">
        <f t="shared" si="6"/>
        <v>4207.5714285714284</v>
      </c>
      <c r="G35" s="517">
        <v>3</v>
      </c>
      <c r="H35" s="517">
        <f t="shared" si="7"/>
        <v>9817.6666666666661</v>
      </c>
      <c r="I35" s="517"/>
      <c r="J35" s="515">
        <f t="shared" si="8"/>
        <v>2.3333333333333335</v>
      </c>
      <c r="K35" s="517"/>
      <c r="L35" s="517"/>
      <c r="M35" s="517"/>
      <c r="N35" s="518" t="str">
        <f t="shared" si="9"/>
        <v/>
      </c>
      <c r="O35" s="519">
        <f t="shared" si="10"/>
        <v>0.43181370555555565</v>
      </c>
      <c r="P35" s="520">
        <f t="shared" si="11"/>
        <v>68207.654414550954</v>
      </c>
      <c r="Q35" s="521">
        <f t="shared" si="12"/>
        <v>18.484459190935219</v>
      </c>
      <c r="R35" s="521">
        <f t="shared" si="13"/>
        <v>11.552786994334511</v>
      </c>
      <c r="S35" s="520">
        <f t="shared" si="14"/>
        <v>29453</v>
      </c>
      <c r="T35" s="521">
        <f t="shared" si="15"/>
        <v>7</v>
      </c>
      <c r="U35" s="521">
        <f t="shared" si="16"/>
        <v>3</v>
      </c>
      <c r="V35" s="522">
        <v>1</v>
      </c>
      <c r="W35" s="522">
        <v>1</v>
      </c>
      <c r="X35" s="523"/>
      <c r="Y35" s="523"/>
    </row>
    <row r="36" spans="1:255">
      <c r="A36" s="108" t="s">
        <v>107</v>
      </c>
      <c r="B36" s="514">
        <v>45669</v>
      </c>
      <c r="C36" s="524" t="s">
        <v>51</v>
      </c>
      <c r="D36" s="515">
        <v>7884</v>
      </c>
      <c r="E36" s="527">
        <v>2</v>
      </c>
      <c r="F36" s="517">
        <f t="shared" si="6"/>
        <v>3942</v>
      </c>
      <c r="G36" s="517">
        <v>2</v>
      </c>
      <c r="H36" s="517">
        <f t="shared" si="7"/>
        <v>3942</v>
      </c>
      <c r="I36" s="517"/>
      <c r="J36" s="515">
        <f t="shared" si="8"/>
        <v>1</v>
      </c>
      <c r="K36" s="517"/>
      <c r="L36" s="517"/>
      <c r="M36" s="517"/>
      <c r="N36" s="518" t="str">
        <f t="shared" si="9"/>
        <v/>
      </c>
      <c r="O36" s="519">
        <f t="shared" si="10"/>
        <v>0.14270148148148148</v>
      </c>
      <c r="P36" s="520">
        <f t="shared" si="11"/>
        <v>55248.200075786277</v>
      </c>
      <c r="Q36" s="521">
        <f t="shared" si="12"/>
        <v>14.972411944657528</v>
      </c>
      <c r="R36" s="521">
        <f t="shared" si="13"/>
        <v>9.3577574654109554</v>
      </c>
      <c r="S36" s="520">
        <f t="shared" si="14"/>
        <v>7884</v>
      </c>
      <c r="T36" s="521">
        <f>IF(W36&lt;&gt;"",IF(E35&lt;&gt;"",E35,($I$9-SUM($T$25:T35))*V36*W36/SUMPRODUCT($W36:$W$55,$V36:$V$55)),"")</f>
        <v>7</v>
      </c>
      <c r="U36" s="521">
        <f t="shared" si="16"/>
        <v>2</v>
      </c>
      <c r="V36" s="522">
        <v>0.9</v>
      </c>
      <c r="W36" s="522">
        <v>0.9</v>
      </c>
      <c r="X36" s="523"/>
      <c r="Y36" s="523"/>
    </row>
    <row r="37" spans="1:255" ht="15.25" customHeight="1">
      <c r="A37" s="108" t="s">
        <v>112</v>
      </c>
      <c r="B37" s="514">
        <v>45670</v>
      </c>
      <c r="C37" s="116" t="s">
        <v>52</v>
      </c>
      <c r="D37" s="515">
        <v>18667</v>
      </c>
      <c r="E37" s="517">
        <v>4</v>
      </c>
      <c r="F37" s="517">
        <f t="shared" si="6"/>
        <v>4666.75</v>
      </c>
      <c r="G37" s="517">
        <v>3</v>
      </c>
      <c r="H37" s="517">
        <f t="shared" si="7"/>
        <v>6222.333333333333</v>
      </c>
      <c r="I37" s="517"/>
      <c r="J37" s="515">
        <f t="shared" si="8"/>
        <v>1.3333333333333333</v>
      </c>
      <c r="K37" s="517"/>
      <c r="L37" s="517"/>
      <c r="M37" s="517"/>
      <c r="N37" s="518" t="str">
        <f t="shared" si="9"/>
        <v/>
      </c>
      <c r="O37" s="519">
        <f t="shared" si="10"/>
        <v>0.42762337673611123</v>
      </c>
      <c r="P37" s="520">
        <f t="shared" si="11"/>
        <v>43652.898825312608</v>
      </c>
      <c r="Q37" s="521">
        <f t="shared" si="12"/>
        <v>11.830053882198541</v>
      </c>
      <c r="R37" s="521">
        <f t="shared" si="13"/>
        <v>7.3937836763740883</v>
      </c>
      <c r="S37" s="520">
        <f t="shared" si="14"/>
        <v>18667</v>
      </c>
      <c r="T37" s="521">
        <f t="shared" ref="T37:T54" si="17">IF(W37&lt;&gt;"",IF(E37&lt;&gt;"",E37,($I$9-SUM($T$25:T36))*V37*W37/SUMPRODUCT($W37:$W$55,$V37:$V$55)),"")</f>
        <v>4</v>
      </c>
      <c r="U37" s="521">
        <f t="shared" si="16"/>
        <v>3</v>
      </c>
      <c r="V37" s="522">
        <v>0.8</v>
      </c>
      <c r="W37" s="522">
        <v>0.8</v>
      </c>
      <c r="X37" s="523"/>
      <c r="Y37" s="523"/>
    </row>
    <row r="38" spans="1:255">
      <c r="A38" s="108" t="s">
        <v>113</v>
      </c>
      <c r="B38" s="514">
        <v>45671</v>
      </c>
      <c r="C38" s="524" t="s">
        <v>53</v>
      </c>
      <c r="D38" s="515">
        <v>4382</v>
      </c>
      <c r="E38" s="517">
        <v>1</v>
      </c>
      <c r="F38" s="517">
        <f t="shared" si="6"/>
        <v>4382</v>
      </c>
      <c r="G38" s="517">
        <v>1</v>
      </c>
      <c r="H38" s="517">
        <f t="shared" si="7"/>
        <v>4382</v>
      </c>
      <c r="I38" s="517"/>
      <c r="J38" s="515">
        <f t="shared" si="8"/>
        <v>1</v>
      </c>
      <c r="K38" s="517"/>
      <c r="L38" s="517"/>
      <c r="M38" s="517"/>
      <c r="N38" s="518" t="str">
        <f t="shared" si="9"/>
        <v/>
      </c>
      <c r="O38" s="519">
        <f t="shared" si="10"/>
        <v>0.10038279513888891</v>
      </c>
      <c r="P38" s="520">
        <f t="shared" si="11"/>
        <v>43652.898825312608</v>
      </c>
      <c r="Q38" s="521">
        <f t="shared" si="12"/>
        <v>11.830053882198541</v>
      </c>
      <c r="R38" s="521">
        <f t="shared" si="13"/>
        <v>7.3937836763740883</v>
      </c>
      <c r="S38" s="520">
        <f t="shared" si="14"/>
        <v>4382</v>
      </c>
      <c r="T38" s="521">
        <f t="shared" si="17"/>
        <v>1</v>
      </c>
      <c r="U38" s="521">
        <f t="shared" si="16"/>
        <v>1</v>
      </c>
      <c r="V38" s="522">
        <v>0.8</v>
      </c>
      <c r="W38" s="522">
        <v>0.8</v>
      </c>
      <c r="X38" s="523"/>
      <c r="Y38" s="523"/>
    </row>
    <row r="39" spans="1:255">
      <c r="A39" s="108" t="s">
        <v>113</v>
      </c>
      <c r="B39" s="514">
        <v>45672</v>
      </c>
      <c r="C39" s="116" t="s">
        <v>47</v>
      </c>
      <c r="D39" s="515">
        <v>45624</v>
      </c>
      <c r="E39" s="517">
        <v>9</v>
      </c>
      <c r="F39" s="517">
        <f t="shared" si="6"/>
        <v>5069.333333333333</v>
      </c>
      <c r="G39" s="517">
        <v>5</v>
      </c>
      <c r="H39" s="517">
        <f t="shared" si="7"/>
        <v>9124.7999999999993</v>
      </c>
      <c r="I39" s="517"/>
      <c r="J39" s="515">
        <f t="shared" si="8"/>
        <v>1.8</v>
      </c>
      <c r="K39" s="517"/>
      <c r="L39" s="517"/>
      <c r="M39" s="517"/>
      <c r="N39" s="518" t="str">
        <f t="shared" si="9"/>
        <v/>
      </c>
      <c r="O39" s="519">
        <f t="shared" si="10"/>
        <v>1.0451539583333336</v>
      </c>
      <c r="P39" s="520">
        <f t="shared" si="11"/>
        <v>43652.898825312608</v>
      </c>
      <c r="Q39" s="521">
        <f t="shared" si="12"/>
        <v>11.830053882198541</v>
      </c>
      <c r="R39" s="521">
        <f t="shared" si="13"/>
        <v>7.3937836763740883</v>
      </c>
      <c r="S39" s="520">
        <f t="shared" si="14"/>
        <v>45624</v>
      </c>
      <c r="T39" s="521">
        <f t="shared" si="17"/>
        <v>9</v>
      </c>
      <c r="U39" s="521">
        <f t="shared" si="16"/>
        <v>5</v>
      </c>
      <c r="V39" s="522">
        <v>0.8</v>
      </c>
      <c r="W39" s="522">
        <v>0.8</v>
      </c>
      <c r="X39" s="523"/>
      <c r="Y39" s="523"/>
    </row>
    <row r="40" spans="1:255">
      <c r="A40" s="108" t="s">
        <v>113</v>
      </c>
      <c r="B40" s="514">
        <v>45673</v>
      </c>
      <c r="C40" s="524" t="s">
        <v>48</v>
      </c>
      <c r="D40" s="515">
        <v>28397</v>
      </c>
      <c r="E40" s="517">
        <v>8</v>
      </c>
      <c r="F40" s="517">
        <f t="shared" si="6"/>
        <v>3549.625</v>
      </c>
      <c r="G40" s="517">
        <v>7</v>
      </c>
      <c r="H40" s="517">
        <f t="shared" si="7"/>
        <v>4056.7142857142858</v>
      </c>
      <c r="I40" s="517"/>
      <c r="J40" s="515">
        <f t="shared" si="8"/>
        <v>1.1428571428571428</v>
      </c>
      <c r="K40" s="517"/>
      <c r="L40" s="517"/>
      <c r="M40" s="517"/>
      <c r="N40" s="518" t="str">
        <f t="shared" si="9"/>
        <v/>
      </c>
      <c r="O40" s="519">
        <f t="shared" si="10"/>
        <v>0.65051808159722235</v>
      </c>
      <c r="P40" s="520">
        <f t="shared" si="11"/>
        <v>43652.898825312608</v>
      </c>
      <c r="Q40" s="521">
        <f t="shared" si="12"/>
        <v>11.830053882198541</v>
      </c>
      <c r="R40" s="521">
        <f t="shared" si="13"/>
        <v>7.3937836763740883</v>
      </c>
      <c r="S40" s="520">
        <f t="shared" si="14"/>
        <v>28397</v>
      </c>
      <c r="T40" s="521">
        <f t="shared" si="17"/>
        <v>8</v>
      </c>
      <c r="U40" s="521">
        <f t="shared" si="16"/>
        <v>7</v>
      </c>
      <c r="V40" s="522">
        <v>0.8</v>
      </c>
      <c r="W40" s="522">
        <v>0.8</v>
      </c>
      <c r="X40" s="523"/>
      <c r="Y40" s="523"/>
    </row>
    <row r="41" spans="1:255">
      <c r="A41" s="108" t="s">
        <v>113</v>
      </c>
      <c r="B41" s="514">
        <v>45674</v>
      </c>
      <c r="C41" s="116" t="s">
        <v>49</v>
      </c>
      <c r="D41" s="515">
        <v>27760</v>
      </c>
      <c r="E41" s="517">
        <v>6</v>
      </c>
      <c r="F41" s="517">
        <f t="shared" si="6"/>
        <v>4626.666666666667</v>
      </c>
      <c r="G41" s="517">
        <v>3</v>
      </c>
      <c r="H41" s="517">
        <f t="shared" si="7"/>
        <v>9253.3333333333339</v>
      </c>
      <c r="I41" s="517"/>
      <c r="J41" s="515">
        <f t="shared" si="8"/>
        <v>2</v>
      </c>
      <c r="K41" s="517"/>
      <c r="L41" s="517"/>
      <c r="M41" s="517"/>
      <c r="N41" s="518" t="str">
        <f t="shared" si="9"/>
        <v/>
      </c>
      <c r="O41" s="519">
        <f t="shared" si="10"/>
        <v>0.50245980795610434</v>
      </c>
      <c r="P41" s="520">
        <f t="shared" si="11"/>
        <v>55248.200075786277</v>
      </c>
      <c r="Q41" s="521">
        <f t="shared" si="12"/>
        <v>14.972411944657528</v>
      </c>
      <c r="R41" s="521">
        <f t="shared" si="13"/>
        <v>9.3577574654109554</v>
      </c>
      <c r="S41" s="520">
        <f t="shared" si="14"/>
        <v>27760</v>
      </c>
      <c r="T41" s="521">
        <f t="shared" si="17"/>
        <v>6</v>
      </c>
      <c r="U41" s="521">
        <f t="shared" si="16"/>
        <v>3</v>
      </c>
      <c r="V41" s="522">
        <v>0.9</v>
      </c>
      <c r="W41" s="522">
        <v>0.9</v>
      </c>
      <c r="X41" s="523"/>
      <c r="Y41" s="523"/>
    </row>
    <row r="42" spans="1:255">
      <c r="A42" s="108" t="s">
        <v>112</v>
      </c>
      <c r="B42" s="514">
        <v>45675</v>
      </c>
      <c r="C42" s="524" t="s">
        <v>50</v>
      </c>
      <c r="D42" s="515">
        <v>39780</v>
      </c>
      <c r="E42" s="517">
        <v>12</v>
      </c>
      <c r="F42" s="517">
        <f t="shared" si="6"/>
        <v>3315</v>
      </c>
      <c r="G42" s="517">
        <v>7</v>
      </c>
      <c r="H42" s="517">
        <f t="shared" si="7"/>
        <v>5682.8571428571431</v>
      </c>
      <c r="I42" s="517"/>
      <c r="J42" s="515">
        <f t="shared" si="8"/>
        <v>1.7142857142857142</v>
      </c>
      <c r="K42" s="517"/>
      <c r="L42" s="517"/>
      <c r="M42" s="517"/>
      <c r="N42" s="518" t="str">
        <f t="shared" si="9"/>
        <v/>
      </c>
      <c r="O42" s="519">
        <f t="shared" si="10"/>
        <v>0.72002345679012358</v>
      </c>
      <c r="P42" s="520">
        <f t="shared" si="11"/>
        <v>55248.200075786277</v>
      </c>
      <c r="Q42" s="521">
        <f t="shared" si="12"/>
        <v>14.972411944657528</v>
      </c>
      <c r="R42" s="521">
        <f t="shared" si="13"/>
        <v>9.3577574654109554</v>
      </c>
      <c r="S42" s="520">
        <f t="shared" si="14"/>
        <v>39780</v>
      </c>
      <c r="T42" s="521">
        <f t="shared" si="17"/>
        <v>12</v>
      </c>
      <c r="U42" s="521">
        <f t="shared" si="16"/>
        <v>7</v>
      </c>
      <c r="V42" s="522">
        <v>0.9</v>
      </c>
      <c r="W42" s="522">
        <v>0.9</v>
      </c>
      <c r="X42" s="523"/>
      <c r="Y42" s="523"/>
    </row>
    <row r="43" spans="1:255">
      <c r="A43" s="108" t="s">
        <v>112</v>
      </c>
      <c r="B43" s="514">
        <v>45676</v>
      </c>
      <c r="C43" s="116" t="s">
        <v>51</v>
      </c>
      <c r="D43" s="515">
        <v>7293</v>
      </c>
      <c r="E43" s="517">
        <v>1</v>
      </c>
      <c r="F43" s="517">
        <f t="shared" si="6"/>
        <v>7293</v>
      </c>
      <c r="G43" s="517">
        <v>2</v>
      </c>
      <c r="H43" s="517">
        <f t="shared" si="7"/>
        <v>3646.5</v>
      </c>
      <c r="I43" s="517"/>
      <c r="J43" s="515">
        <f t="shared" si="8"/>
        <v>0.5</v>
      </c>
      <c r="K43" s="517"/>
      <c r="L43" s="517"/>
      <c r="M43" s="517"/>
      <c r="N43" s="518" t="str">
        <f t="shared" si="9"/>
        <v/>
      </c>
      <c r="O43" s="519">
        <f t="shared" si="10"/>
        <v>0.16706794270833336</v>
      </c>
      <c r="P43" s="520">
        <f t="shared" si="11"/>
        <v>43652.898825312608</v>
      </c>
      <c r="Q43" s="521">
        <f t="shared" si="12"/>
        <v>11.830053882198541</v>
      </c>
      <c r="R43" s="521">
        <f t="shared" si="13"/>
        <v>7.3937836763740883</v>
      </c>
      <c r="S43" s="520">
        <f t="shared" si="14"/>
        <v>7293</v>
      </c>
      <c r="T43" s="521">
        <f t="shared" si="17"/>
        <v>1</v>
      </c>
      <c r="U43" s="521">
        <f t="shared" si="16"/>
        <v>2</v>
      </c>
      <c r="V43" s="522">
        <v>0.8</v>
      </c>
      <c r="W43" s="522">
        <v>0.8</v>
      </c>
      <c r="X43" s="523"/>
      <c r="Y43" s="523"/>
      <c r="Z43" s="528"/>
    </row>
    <row r="44" spans="1:255">
      <c r="A44" s="108" t="s">
        <v>107</v>
      </c>
      <c r="B44" s="514">
        <v>45677</v>
      </c>
      <c r="C44" s="524" t="s">
        <v>52</v>
      </c>
      <c r="D44" s="515">
        <v>26748</v>
      </c>
      <c r="E44" s="517">
        <v>6</v>
      </c>
      <c r="F44" s="517">
        <f t="shared" si="6"/>
        <v>4458</v>
      </c>
      <c r="G44" s="517">
        <v>2</v>
      </c>
      <c r="H44" s="517">
        <f t="shared" si="7"/>
        <v>13374</v>
      </c>
      <c r="I44" s="517"/>
      <c r="J44" s="515">
        <f t="shared" si="8"/>
        <v>3</v>
      </c>
      <c r="K44" s="517"/>
      <c r="L44" s="517"/>
      <c r="M44" s="517"/>
      <c r="N44" s="518" t="str">
        <f t="shared" si="9"/>
        <v/>
      </c>
      <c r="O44" s="519">
        <f t="shared" si="10"/>
        <v>0.61274281250000018</v>
      </c>
      <c r="P44" s="520">
        <f t="shared" si="11"/>
        <v>43652.898825312608</v>
      </c>
      <c r="Q44" s="521">
        <f t="shared" si="12"/>
        <v>11.830053882198541</v>
      </c>
      <c r="R44" s="521">
        <f t="shared" si="13"/>
        <v>7.3937836763740883</v>
      </c>
      <c r="S44" s="520">
        <f t="shared" si="14"/>
        <v>26748</v>
      </c>
      <c r="T44" s="521">
        <f t="shared" si="17"/>
        <v>6</v>
      </c>
      <c r="U44" s="521">
        <f t="shared" si="16"/>
        <v>2</v>
      </c>
      <c r="V44" s="522">
        <v>0.8</v>
      </c>
      <c r="W44" s="522">
        <v>0.8</v>
      </c>
      <c r="X44" s="523"/>
      <c r="Y44" s="523"/>
      <c r="Z44" s="528"/>
    </row>
    <row r="45" spans="1:255">
      <c r="A45" s="108" t="s">
        <v>113</v>
      </c>
      <c r="B45" s="514">
        <v>45678</v>
      </c>
      <c r="C45" s="116" t="s">
        <v>53</v>
      </c>
      <c r="D45" s="515">
        <v>11075</v>
      </c>
      <c r="E45" s="517">
        <v>3</v>
      </c>
      <c r="F45" s="517">
        <f t="shared" si="6"/>
        <v>3691.6666666666665</v>
      </c>
      <c r="G45" s="517">
        <v>2</v>
      </c>
      <c r="H45" s="517">
        <f t="shared" si="7"/>
        <v>5537.5</v>
      </c>
      <c r="I45" s="517"/>
      <c r="J45" s="515">
        <f t="shared" si="8"/>
        <v>1.5</v>
      </c>
      <c r="K45" s="517"/>
      <c r="L45" s="517"/>
      <c r="M45" s="517"/>
      <c r="N45" s="518" t="str">
        <f t="shared" si="9"/>
        <v/>
      </c>
      <c r="O45" s="519">
        <f t="shared" si="10"/>
        <v>0.25370594618055564</v>
      </c>
      <c r="P45" s="520">
        <f t="shared" si="11"/>
        <v>43652.898825312608</v>
      </c>
      <c r="Q45" s="521">
        <f t="shared" si="12"/>
        <v>11.830053882198541</v>
      </c>
      <c r="R45" s="521">
        <f t="shared" si="13"/>
        <v>7.3937836763740883</v>
      </c>
      <c r="S45" s="520">
        <f t="shared" si="14"/>
        <v>11075</v>
      </c>
      <c r="T45" s="521">
        <f t="shared" si="17"/>
        <v>3</v>
      </c>
      <c r="U45" s="521">
        <f t="shared" si="16"/>
        <v>2</v>
      </c>
      <c r="V45" s="522">
        <v>0.8</v>
      </c>
      <c r="W45" s="522">
        <v>0.8</v>
      </c>
      <c r="X45" s="523"/>
      <c r="Y45" s="523"/>
      <c r="Z45" s="528"/>
    </row>
    <row r="46" spans="1:255">
      <c r="A46" s="108" t="s">
        <v>112</v>
      </c>
      <c r="B46" s="514">
        <v>45679</v>
      </c>
      <c r="C46" s="524" t="s">
        <v>47</v>
      </c>
      <c r="D46" s="515">
        <v>27780</v>
      </c>
      <c r="E46" s="517">
        <v>8</v>
      </c>
      <c r="F46" s="517">
        <f t="shared" si="6"/>
        <v>3472.5</v>
      </c>
      <c r="G46" s="517">
        <v>4</v>
      </c>
      <c r="H46" s="517">
        <f t="shared" si="7"/>
        <v>6945</v>
      </c>
      <c r="I46" s="517"/>
      <c r="J46" s="515">
        <f t="shared" si="8"/>
        <v>2</v>
      </c>
      <c r="K46" s="517"/>
      <c r="L46" s="517"/>
      <c r="M46" s="517"/>
      <c r="N46" s="518" t="str">
        <f t="shared" si="9"/>
        <v/>
      </c>
      <c r="O46" s="519">
        <f t="shared" si="10"/>
        <v>0.63638385416666676</v>
      </c>
      <c r="P46" s="520">
        <f t="shared" si="11"/>
        <v>43652.898825312608</v>
      </c>
      <c r="Q46" s="521">
        <f t="shared" si="12"/>
        <v>11.830053882198541</v>
      </c>
      <c r="R46" s="521">
        <f t="shared" si="13"/>
        <v>7.3937836763740883</v>
      </c>
      <c r="S46" s="520">
        <f t="shared" si="14"/>
        <v>27780</v>
      </c>
      <c r="T46" s="521">
        <f t="shared" si="17"/>
        <v>8</v>
      </c>
      <c r="U46" s="521">
        <f t="shared" si="16"/>
        <v>4</v>
      </c>
      <c r="V46" s="522">
        <v>0.8</v>
      </c>
      <c r="W46" s="522">
        <v>0.8</v>
      </c>
      <c r="X46" s="523"/>
      <c r="Y46" s="523"/>
      <c r="Z46" s="528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</row>
    <row r="47" spans="1:255">
      <c r="A47" s="108" t="s">
        <v>112</v>
      </c>
      <c r="B47" s="514">
        <v>45680</v>
      </c>
      <c r="C47" s="116" t="s">
        <v>48</v>
      </c>
      <c r="D47" s="515">
        <v>72178</v>
      </c>
      <c r="E47" s="517">
        <v>19</v>
      </c>
      <c r="F47" s="517">
        <f t="shared" si="6"/>
        <v>3798.8421052631579</v>
      </c>
      <c r="G47" s="517">
        <v>8</v>
      </c>
      <c r="H47" s="517">
        <f t="shared" si="7"/>
        <v>9022.25</v>
      </c>
      <c r="I47" s="517"/>
      <c r="J47" s="515">
        <f t="shared" si="8"/>
        <v>2.375</v>
      </c>
      <c r="K47" s="517"/>
      <c r="L47" s="517"/>
      <c r="M47" s="517"/>
      <c r="N47" s="518" t="str">
        <f t="shared" si="9"/>
        <v/>
      </c>
      <c r="O47" s="519">
        <f t="shared" si="10"/>
        <v>1.6534526215277783</v>
      </c>
      <c r="P47" s="520">
        <f t="shared" si="11"/>
        <v>43652.898825312608</v>
      </c>
      <c r="Q47" s="521">
        <f t="shared" si="12"/>
        <v>11.830053882198541</v>
      </c>
      <c r="R47" s="521">
        <f t="shared" si="13"/>
        <v>7.3937836763740883</v>
      </c>
      <c r="S47" s="520">
        <f t="shared" si="14"/>
        <v>72178</v>
      </c>
      <c r="T47" s="521">
        <f t="shared" si="17"/>
        <v>19</v>
      </c>
      <c r="U47" s="521">
        <f t="shared" si="16"/>
        <v>8</v>
      </c>
      <c r="V47" s="522">
        <v>0.8</v>
      </c>
      <c r="W47" s="522">
        <v>0.8</v>
      </c>
      <c r="X47" s="523"/>
      <c r="Y47" s="523"/>
      <c r="Z47" s="528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</row>
    <row r="48" spans="1:255">
      <c r="A48" s="108" t="s">
        <v>112</v>
      </c>
      <c r="B48" s="514">
        <v>45681</v>
      </c>
      <c r="C48" s="524" t="s">
        <v>49</v>
      </c>
      <c r="D48" s="515">
        <v>48873</v>
      </c>
      <c r="E48" s="517">
        <v>15</v>
      </c>
      <c r="F48" s="517">
        <f t="shared" si="6"/>
        <v>3258.2</v>
      </c>
      <c r="G48" s="517">
        <v>7</v>
      </c>
      <c r="H48" s="517">
        <f t="shared" si="7"/>
        <v>6981.8571428571431</v>
      </c>
      <c r="I48" s="517"/>
      <c r="J48" s="515">
        <f t="shared" si="8"/>
        <v>2.1428571428571428</v>
      </c>
      <c r="K48" s="517"/>
      <c r="L48" s="517"/>
      <c r="M48" s="517"/>
      <c r="N48" s="518" t="str">
        <f t="shared" si="9"/>
        <v/>
      </c>
      <c r="O48" s="519">
        <f t="shared" si="10"/>
        <v>1.1195820052083336</v>
      </c>
      <c r="P48" s="520">
        <f t="shared" si="11"/>
        <v>43652.898825312608</v>
      </c>
      <c r="Q48" s="521">
        <f t="shared" si="12"/>
        <v>11.830053882198541</v>
      </c>
      <c r="R48" s="521">
        <f t="shared" si="13"/>
        <v>7.3937836763740883</v>
      </c>
      <c r="S48" s="520">
        <f t="shared" si="14"/>
        <v>48873</v>
      </c>
      <c r="T48" s="521">
        <f t="shared" si="17"/>
        <v>15</v>
      </c>
      <c r="U48" s="521">
        <f t="shared" si="16"/>
        <v>7</v>
      </c>
      <c r="V48" s="522">
        <v>0.8</v>
      </c>
      <c r="W48" s="522">
        <v>0.8</v>
      </c>
      <c r="X48" s="523"/>
      <c r="Y48" s="523"/>
      <c r="Z48" s="52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</row>
    <row r="49" spans="1:255">
      <c r="A49" s="108" t="s">
        <v>112</v>
      </c>
      <c r="B49" s="514">
        <v>45682</v>
      </c>
      <c r="C49" s="116" t="s">
        <v>50</v>
      </c>
      <c r="D49" s="515">
        <v>21044</v>
      </c>
      <c r="E49" s="517">
        <v>7</v>
      </c>
      <c r="F49" s="517">
        <f t="shared" si="6"/>
        <v>3006.2857142857142</v>
      </c>
      <c r="G49" s="517">
        <v>3</v>
      </c>
      <c r="H49" s="517">
        <f t="shared" si="7"/>
        <v>7014.666666666667</v>
      </c>
      <c r="I49" s="517"/>
      <c r="J49" s="515">
        <f t="shared" si="8"/>
        <v>2.3333333333333335</v>
      </c>
      <c r="K49" s="517"/>
      <c r="L49" s="517"/>
      <c r="M49" s="517"/>
      <c r="N49" s="518" t="str">
        <f t="shared" si="9"/>
        <v/>
      </c>
      <c r="O49" s="519">
        <f t="shared" si="10"/>
        <v>0.48207565972222233</v>
      </c>
      <c r="P49" s="520">
        <f t="shared" si="11"/>
        <v>43652.898825312608</v>
      </c>
      <c r="Q49" s="521">
        <f t="shared" si="12"/>
        <v>11.830053882198541</v>
      </c>
      <c r="R49" s="521">
        <f t="shared" si="13"/>
        <v>7.3937836763740883</v>
      </c>
      <c r="S49" s="520">
        <f t="shared" si="14"/>
        <v>21044</v>
      </c>
      <c r="T49" s="521">
        <f t="shared" si="17"/>
        <v>7</v>
      </c>
      <c r="U49" s="521">
        <f t="shared" si="16"/>
        <v>3</v>
      </c>
      <c r="V49" s="522">
        <v>0.8</v>
      </c>
      <c r="W49" s="522">
        <v>0.8</v>
      </c>
      <c r="X49" s="523"/>
      <c r="Y49" s="523"/>
      <c r="Z49" s="528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</row>
    <row r="50" spans="1:255">
      <c r="A50" s="108" t="s">
        <v>112</v>
      </c>
      <c r="B50" s="514">
        <v>45683</v>
      </c>
      <c r="C50" s="524" t="s">
        <v>51</v>
      </c>
      <c r="D50" s="515">
        <v>89532</v>
      </c>
      <c r="E50" s="517">
        <v>23</v>
      </c>
      <c r="F50" s="516">
        <f t="shared" si="6"/>
        <v>3892.695652173913</v>
      </c>
      <c r="G50" s="517">
        <v>9</v>
      </c>
      <c r="H50" s="517">
        <f t="shared" si="7"/>
        <v>9948</v>
      </c>
      <c r="I50" s="517"/>
      <c r="J50" s="515">
        <f t="shared" si="8"/>
        <v>2.5555555555555554</v>
      </c>
      <c r="K50" s="517"/>
      <c r="L50" s="517"/>
      <c r="M50" s="517"/>
      <c r="N50" s="518" t="str">
        <f t="shared" si="9"/>
        <v/>
      </c>
      <c r="O50" s="519">
        <f t="shared" si="10"/>
        <v>2.0509978125000004</v>
      </c>
      <c r="P50" s="520">
        <f t="shared" si="11"/>
        <v>43652.898825312608</v>
      </c>
      <c r="Q50" s="521">
        <f t="shared" si="12"/>
        <v>11.830053882198541</v>
      </c>
      <c r="R50" s="521">
        <f t="shared" si="13"/>
        <v>7.3937836763740883</v>
      </c>
      <c r="S50" s="520">
        <f t="shared" si="14"/>
        <v>89532</v>
      </c>
      <c r="T50" s="521">
        <f t="shared" si="17"/>
        <v>23</v>
      </c>
      <c r="U50" s="521">
        <f t="shared" si="16"/>
        <v>9</v>
      </c>
      <c r="V50" s="522">
        <v>0.8</v>
      </c>
      <c r="W50" s="522">
        <v>0.8</v>
      </c>
      <c r="X50" s="523"/>
      <c r="Y50" s="523"/>
      <c r="Z50" s="528"/>
    </row>
    <row r="51" spans="1:255">
      <c r="A51" s="108" t="s">
        <v>112</v>
      </c>
      <c r="B51" s="514">
        <v>45684</v>
      </c>
      <c r="C51" s="116" t="s">
        <v>52</v>
      </c>
      <c r="D51" s="515">
        <v>57952.94</v>
      </c>
      <c r="E51" s="517">
        <v>14</v>
      </c>
      <c r="F51" s="517">
        <f t="shared" si="6"/>
        <v>4139.4957142857147</v>
      </c>
      <c r="G51" s="517">
        <v>6</v>
      </c>
      <c r="H51" s="517">
        <f t="shared" si="7"/>
        <v>9658.8233333333337</v>
      </c>
      <c r="I51" s="517"/>
      <c r="J51" s="515">
        <f t="shared" si="8"/>
        <v>2.3333333333333335</v>
      </c>
      <c r="K51" s="517"/>
      <c r="L51" s="517"/>
      <c r="M51" s="517"/>
      <c r="N51" s="518" t="str">
        <f t="shared" si="9"/>
        <v/>
      </c>
      <c r="O51" s="519">
        <f t="shared" si="10"/>
        <v>1.327585144618056</v>
      </c>
      <c r="P51" s="520">
        <f t="shared" si="11"/>
        <v>43652.898825312608</v>
      </c>
      <c r="Q51" s="521">
        <f t="shared" si="12"/>
        <v>11.830053882198541</v>
      </c>
      <c r="R51" s="521">
        <f t="shared" si="13"/>
        <v>7.3937836763740883</v>
      </c>
      <c r="S51" s="520">
        <f t="shared" si="14"/>
        <v>57952.94</v>
      </c>
      <c r="T51" s="521">
        <f t="shared" si="17"/>
        <v>14</v>
      </c>
      <c r="U51" s="521">
        <f t="shared" si="16"/>
        <v>6</v>
      </c>
      <c r="V51" s="522">
        <v>0.8</v>
      </c>
      <c r="W51" s="522">
        <v>0.8</v>
      </c>
      <c r="X51" s="523"/>
      <c r="Y51" s="523"/>
      <c r="Z51" s="528"/>
    </row>
    <row r="52" spans="1:255">
      <c r="A52" s="108" t="s">
        <v>112</v>
      </c>
      <c r="B52" s="514">
        <v>45685</v>
      </c>
      <c r="C52" s="524" t="s">
        <v>53</v>
      </c>
      <c r="D52" s="515">
        <v>7975</v>
      </c>
      <c r="E52" s="517">
        <v>3</v>
      </c>
      <c r="F52" s="517">
        <f t="shared" si="6"/>
        <v>2658.3333333333335</v>
      </c>
      <c r="G52" s="517">
        <v>2</v>
      </c>
      <c r="H52" s="517">
        <f t="shared" si="7"/>
        <v>3987.5</v>
      </c>
      <c r="I52" s="517"/>
      <c r="J52" s="515">
        <f t="shared" si="8"/>
        <v>1.5</v>
      </c>
      <c r="K52" s="517"/>
      <c r="L52" s="517"/>
      <c r="M52" s="517"/>
      <c r="N52" s="518" t="str">
        <f t="shared" si="9"/>
        <v/>
      </c>
      <c r="O52" s="519">
        <f t="shared" si="10"/>
        <v>0.18269118923611116</v>
      </c>
      <c r="P52" s="520">
        <f t="shared" si="11"/>
        <v>43652.898825312608</v>
      </c>
      <c r="Q52" s="521">
        <f t="shared" si="12"/>
        <v>11.830053882198541</v>
      </c>
      <c r="R52" s="521">
        <f t="shared" si="13"/>
        <v>7.3937836763740883</v>
      </c>
      <c r="S52" s="520">
        <f t="shared" si="14"/>
        <v>7975</v>
      </c>
      <c r="T52" s="521">
        <f t="shared" si="17"/>
        <v>3</v>
      </c>
      <c r="U52" s="521">
        <f t="shared" si="16"/>
        <v>2</v>
      </c>
      <c r="V52" s="522">
        <v>0.8</v>
      </c>
      <c r="W52" s="522">
        <v>0.8</v>
      </c>
      <c r="X52" s="523"/>
      <c r="Y52" s="523"/>
      <c r="Z52" s="528"/>
    </row>
    <row r="53" spans="1:255">
      <c r="A53" s="108" t="s">
        <v>112</v>
      </c>
      <c r="B53" s="514">
        <v>45686</v>
      </c>
      <c r="C53" s="116" t="s">
        <v>47</v>
      </c>
      <c r="D53" s="515">
        <v>21244</v>
      </c>
      <c r="E53" s="517">
        <v>5</v>
      </c>
      <c r="F53" s="517">
        <f t="shared" si="6"/>
        <v>4248.8</v>
      </c>
      <c r="G53" s="517">
        <v>2</v>
      </c>
      <c r="H53" s="517">
        <f t="shared" si="7"/>
        <v>10622</v>
      </c>
      <c r="I53" s="517"/>
      <c r="J53" s="515">
        <f t="shared" si="8"/>
        <v>2.5</v>
      </c>
      <c r="K53" s="517"/>
      <c r="L53" s="517"/>
      <c r="M53" s="517"/>
      <c r="N53" s="518" t="str">
        <f t="shared" si="9"/>
        <v/>
      </c>
      <c r="O53" s="519">
        <f t="shared" si="10"/>
        <v>0.48665725694444456</v>
      </c>
      <c r="P53" s="520">
        <f t="shared" si="11"/>
        <v>43652.898825312608</v>
      </c>
      <c r="Q53" s="521">
        <f t="shared" si="12"/>
        <v>11.830053882198541</v>
      </c>
      <c r="R53" s="521">
        <f t="shared" si="13"/>
        <v>7.3937836763740883</v>
      </c>
      <c r="S53" s="520">
        <f t="shared" si="14"/>
        <v>21244</v>
      </c>
      <c r="T53" s="521">
        <f t="shared" si="17"/>
        <v>5</v>
      </c>
      <c r="U53" s="521">
        <f t="shared" si="16"/>
        <v>2</v>
      </c>
      <c r="V53" s="522">
        <v>0.8</v>
      </c>
      <c r="W53" s="522">
        <v>0.8</v>
      </c>
      <c r="X53" s="523"/>
      <c r="Y53" s="523"/>
      <c r="Z53" s="528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</row>
    <row r="54" spans="1:255" ht="15" customHeight="1">
      <c r="A54" s="108" t="s">
        <v>112</v>
      </c>
      <c r="B54" s="514">
        <v>45687</v>
      </c>
      <c r="C54" s="524" t="s">
        <v>48</v>
      </c>
      <c r="D54" s="515">
        <v>31031</v>
      </c>
      <c r="E54" s="517">
        <v>8</v>
      </c>
      <c r="F54" s="517">
        <f t="shared" si="6"/>
        <v>3878.875</v>
      </c>
      <c r="G54" s="517">
        <v>3</v>
      </c>
      <c r="H54" s="517">
        <f t="shared" si="7"/>
        <v>10343.666666666666</v>
      </c>
      <c r="I54" s="517"/>
      <c r="J54" s="515">
        <f t="shared" si="8"/>
        <v>2.6666666666666665</v>
      </c>
      <c r="K54" s="517"/>
      <c r="L54" s="517"/>
      <c r="M54" s="517"/>
      <c r="N54" s="518" t="str">
        <f t="shared" si="9"/>
        <v/>
      </c>
      <c r="O54" s="519">
        <f t="shared" si="10"/>
        <v>0.71085771701388911</v>
      </c>
      <c r="P54" s="520">
        <f t="shared" si="11"/>
        <v>43652.898825312608</v>
      </c>
      <c r="Q54" s="521">
        <f t="shared" si="12"/>
        <v>11.830053882198541</v>
      </c>
      <c r="R54" s="521">
        <f t="shared" si="13"/>
        <v>7.3937836763740883</v>
      </c>
      <c r="S54" s="520">
        <f t="shared" si="14"/>
        <v>31031</v>
      </c>
      <c r="T54" s="521">
        <f t="shared" si="17"/>
        <v>8</v>
      </c>
      <c r="U54" s="521">
        <f t="shared" si="16"/>
        <v>3</v>
      </c>
      <c r="V54" s="522">
        <v>0.8</v>
      </c>
      <c r="W54" s="522">
        <v>0.8</v>
      </c>
      <c r="X54" s="523"/>
      <c r="Y54" s="523"/>
      <c r="Z54" s="528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</row>
    <row r="55" spans="1:255" ht="15" customHeight="1">
      <c r="A55" s="108" t="s">
        <v>125</v>
      </c>
      <c r="B55" s="514">
        <v>45688</v>
      </c>
      <c r="C55" s="529" t="s">
        <v>49</v>
      </c>
      <c r="D55" s="515">
        <v>30873</v>
      </c>
      <c r="E55" s="517">
        <v>8</v>
      </c>
      <c r="F55" s="517">
        <f t="shared" si="6"/>
        <v>3859.125</v>
      </c>
      <c r="G55" s="517">
        <v>7</v>
      </c>
      <c r="H55" s="517">
        <f t="shared" si="7"/>
        <v>4410.4285714285716</v>
      </c>
      <c r="I55" s="517"/>
      <c r="J55" s="515">
        <f t="shared" si="8"/>
        <v>1.1428571428571428</v>
      </c>
      <c r="K55" s="517"/>
      <c r="L55" s="517"/>
      <c r="M55" s="517"/>
      <c r="N55" s="518" t="str">
        <f t="shared" si="9"/>
        <v/>
      </c>
      <c r="O55" s="519">
        <f t="shared" si="10"/>
        <v>0.7072382552083335</v>
      </c>
      <c r="P55" s="520">
        <f t="shared" si="11"/>
        <v>43652.898825312608</v>
      </c>
      <c r="Q55" s="521">
        <f t="shared" si="12"/>
        <v>11.830053882198541</v>
      </c>
      <c r="R55" s="521">
        <f t="shared" si="13"/>
        <v>7.3937836763740883</v>
      </c>
      <c r="S55" s="520">
        <f t="shared" si="14"/>
        <v>30873</v>
      </c>
      <c r="T55" s="521">
        <f>IF(W55&lt;&gt;"",IF(E55&lt;&gt;"",E55,($I$9-SUM($T$25:T54))*V55*W55/SUMPRODUCT($W55:$W$55,$V55:$V$55)),0)</f>
        <v>8</v>
      </c>
      <c r="U55" s="521">
        <f t="shared" si="16"/>
        <v>7</v>
      </c>
      <c r="V55" s="522">
        <v>0.8</v>
      </c>
      <c r="W55" s="522">
        <v>0.8</v>
      </c>
      <c r="X55" s="523"/>
      <c r="Y55" s="523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</row>
    <row r="56" spans="1:255" ht="15" customHeight="1">
      <c r="A56" s="108"/>
      <c r="B56" s="619" t="s">
        <v>54</v>
      </c>
      <c r="C56" s="619"/>
      <c r="D56" s="109">
        <f>SUM(D25:D55)</f>
        <v>1570967.64</v>
      </c>
      <c r="E56" s="110">
        <f>SUM(E25:E55)</f>
        <v>409</v>
      </c>
      <c r="F56" s="110">
        <f>IF(AND(E56&lt;&gt;"", E56&lt;&gt;0), D56/E56, "")</f>
        <v>3840.9966748166257</v>
      </c>
      <c r="G56" s="110">
        <f>SUM(G25:G55)</f>
        <v>202</v>
      </c>
      <c r="H56" s="110">
        <f>IF(AND(G56&lt;&gt;"", G56&lt;&gt;0), D56/G56, "")</f>
        <v>7777.067524752475</v>
      </c>
      <c r="I56" s="110">
        <f>SUM(I25:I55)</f>
        <v>0</v>
      </c>
      <c r="J56" s="109">
        <f>E56/G56</f>
        <v>2.0247524752475248</v>
      </c>
      <c r="K56" s="110">
        <f>SUM(K25:K55)</f>
        <v>0</v>
      </c>
      <c r="L56" s="110">
        <f>SUM(L25:L55)</f>
        <v>0</v>
      </c>
      <c r="M56" s="110">
        <f>SUM(M25:M55)</f>
        <v>0</v>
      </c>
      <c r="N56" s="111" t="str">
        <f>IF(AND(I56&lt;&gt;"", I56&lt;&gt;0), G56/I56, "")</f>
        <v/>
      </c>
      <c r="O56" s="112">
        <f t="shared" si="10"/>
        <v>0.87275980000000075</v>
      </c>
      <c r="P56" s="113">
        <f t="shared" ref="P56:U56" si="18">SUM(P25:P55)</f>
        <v>1799999.9999999984</v>
      </c>
      <c r="Q56" s="113">
        <f t="shared" si="18"/>
        <v>487.80487804877998</v>
      </c>
      <c r="R56" s="113">
        <f t="shared" si="18"/>
        <v>304.87804878048763</v>
      </c>
      <c r="S56" s="113">
        <f t="shared" si="18"/>
        <v>1570967.64</v>
      </c>
      <c r="T56" s="113">
        <f t="shared" si="18"/>
        <v>414</v>
      </c>
      <c r="U56" s="113">
        <f t="shared" si="18"/>
        <v>202</v>
      </c>
      <c r="V56" s="114"/>
      <c r="W56" s="114"/>
    </row>
    <row r="57" spans="1:255">
      <c r="A57" s="115"/>
      <c r="B57" s="116"/>
      <c r="C57" s="117"/>
      <c r="D57" s="118">
        <f>SUMIF(D25:D55,"",P25:P55)+D56</f>
        <v>1570967.64</v>
      </c>
      <c r="E57" s="119"/>
      <c r="F57" s="117"/>
      <c r="G57" s="117"/>
      <c r="H57" s="120"/>
      <c r="I57" s="121">
        <f>I56/J14</f>
        <v>0</v>
      </c>
      <c r="J57" s="120"/>
      <c r="K57" s="3"/>
      <c r="L57" s="122"/>
      <c r="M57" s="119"/>
      <c r="N57" s="122"/>
      <c r="O57" s="122"/>
      <c r="P57" s="122"/>
      <c r="Q57" s="123"/>
      <c r="R57" s="3"/>
      <c r="T57" s="3"/>
      <c r="U57" s="3"/>
      <c r="V57" s="3"/>
      <c r="W57" s="3"/>
    </row>
    <row r="58" spans="1:255">
      <c r="A58" s="115"/>
      <c r="B58" s="3"/>
      <c r="C58" s="124"/>
      <c r="D58" s="124">
        <f>'Доп сотрудник'!D48+'Кекош А. И.'!J8+'ПК 2'!J8+'Рогалевич И. Е.'!J8</f>
        <v>1570967.64</v>
      </c>
      <c r="E58" s="124"/>
      <c r="F58" s="3"/>
      <c r="G58" s="3"/>
      <c r="H58" s="3"/>
      <c r="I58" s="125">
        <f>I57*(I14-J14)</f>
        <v>0</v>
      </c>
      <c r="J58" s="126"/>
      <c r="K58" s="3"/>
      <c r="L58" s="3"/>
      <c r="M58" s="3"/>
      <c r="N58" s="3"/>
      <c r="O58" s="3"/>
      <c r="P58" s="3"/>
      <c r="Q58" s="3"/>
      <c r="R58" s="3"/>
      <c r="T58" s="3"/>
      <c r="U58" s="3"/>
      <c r="V58" s="3"/>
      <c r="W58" s="3"/>
    </row>
    <row r="59" spans="1:255">
      <c r="D59" s="127"/>
      <c r="F59" s="128"/>
    </row>
    <row r="60" spans="1:255">
      <c r="D60" s="88"/>
      <c r="G60" s="129"/>
    </row>
    <row r="61" spans="1:255">
      <c r="D61" s="88"/>
    </row>
    <row r="64" spans="1:255">
      <c r="F64" s="620"/>
    </row>
    <row r="65" spans="4:6">
      <c r="F65" s="620"/>
    </row>
    <row r="68" spans="4:6">
      <c r="D68" s="130"/>
    </row>
  </sheetData>
  <mergeCells count="29">
    <mergeCell ref="B56:C56"/>
    <mergeCell ref="F64:F65"/>
    <mergeCell ref="F19:H19"/>
    <mergeCell ref="F20:H20"/>
    <mergeCell ref="A22:N22"/>
    <mergeCell ref="O22:O24"/>
    <mergeCell ref="P22:W22"/>
    <mergeCell ref="A23:A24"/>
    <mergeCell ref="F15:H15"/>
    <mergeCell ref="F16:H16"/>
    <mergeCell ref="S16:S17"/>
    <mergeCell ref="F17:H17"/>
    <mergeCell ref="F18:H18"/>
    <mergeCell ref="F10:H10"/>
    <mergeCell ref="F11:H11"/>
    <mergeCell ref="F12:H12"/>
    <mergeCell ref="F13:H13"/>
    <mergeCell ref="F14:H14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I3:M4"/>
    <mergeCell ref="C4:D4"/>
  </mergeCells>
  <conditionalFormatting sqref="D58">
    <cfRule type="cellIs" dxfId="228" priority="30" operator="notEqual">
      <formula>$D$56</formula>
    </cfRule>
    <cfRule type="cellIs" dxfId="227" priority="31" operator="equal">
      <formula>$D$56</formula>
    </cfRule>
  </conditionalFormatting>
  <conditionalFormatting sqref="J16">
    <cfRule type="cellIs" dxfId="226" priority="33" operator="lessThan">
      <formula>0</formula>
    </cfRule>
    <cfRule type="cellIs" dxfId="225" priority="34" operator="greaterThan">
      <formula>0</formula>
    </cfRule>
  </conditionalFormatting>
  <conditionalFormatting sqref="J25:J55">
    <cfRule type="cellIs" dxfId="224" priority="10" operator="lessThan">
      <formula>$I$12</formula>
    </cfRule>
    <cfRule type="cellIs" dxfId="223" priority="11" operator="greaterThan">
      <formula>$I$12</formula>
    </cfRule>
  </conditionalFormatting>
  <conditionalFormatting sqref="J27">
    <cfRule type="cellIs" dxfId="222" priority="45" operator="lessThan">
      <formula>$I$12</formula>
    </cfRule>
  </conditionalFormatting>
  <conditionalFormatting sqref="K10:K12 K15">
    <cfRule type="cellIs" dxfId="221" priority="37" operator="lessThan">
      <formula>1</formula>
    </cfRule>
    <cfRule type="cellIs" dxfId="220" priority="38" operator="greaterThan">
      <formula>1</formula>
    </cfRule>
  </conditionalFormatting>
  <conditionalFormatting sqref="M8:M15">
    <cfRule type="cellIs" dxfId="219" priority="23" operator="lessThan">
      <formula>1</formula>
    </cfRule>
    <cfRule type="cellIs" dxfId="218" priority="24" operator="greaterThan">
      <formula>1</formula>
    </cfRule>
  </conditionalFormatting>
  <conditionalFormatting sqref="N25:N55">
    <cfRule type="cellIs" dxfId="217" priority="7" operator="between">
      <formula>0.2</formula>
      <formula>0.25</formula>
    </cfRule>
    <cfRule type="cellIs" dxfId="216" priority="8" operator="greaterThanOrEqual">
      <formula>0.25</formula>
    </cfRule>
    <cfRule type="cellIs" dxfId="215" priority="9" operator="lessThan">
      <formula>0.2</formula>
    </cfRule>
  </conditionalFormatting>
  <conditionalFormatting sqref="O25:O55">
    <cfRule type="cellIs" dxfId="214" priority="1" operator="between">
      <formula>0.9001</formula>
      <formula>0.9999</formula>
    </cfRule>
    <cfRule type="cellIs" dxfId="213" priority="2" operator="lessThan">
      <formula>0.9</formula>
    </cfRule>
    <cfRule type="cellIs" dxfId="212" priority="3" operator="greaterThan">
      <formula>1</formula>
    </cfRule>
    <cfRule type="cellIs" dxfId="211" priority="4" operator="greaterThan">
      <formula>100</formula>
    </cfRule>
    <cfRule type="cellIs" dxfId="210" priority="5" operator="between">
      <formula>0.85</formula>
      <formula>1</formula>
    </cfRule>
    <cfRule type="cellIs" dxfId="209" priority="6" operator="between">
      <formula>0.01</formula>
      <formula>0.99</formula>
    </cfRule>
  </conditionalFormatting>
  <conditionalFormatting sqref="P10:Q10">
    <cfRule type="cellIs" dxfId="208" priority="43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zoomScale="134" workbookViewId="0">
      <selection activeCell="G2" sqref="G2:I2"/>
    </sheetView>
  </sheetViews>
  <sheetFormatPr baseColWidth="10" defaultRowHeight="15"/>
  <cols>
    <col min="1" max="1" width="10.83203125" style="3"/>
    <col min="2" max="2" width="9.5" style="3" customWidth="1"/>
    <col min="3" max="3" width="10.83203125" style="3" hidden="1" customWidth="1"/>
    <col min="4" max="4" width="10.1640625" style="3" customWidth="1"/>
    <col min="5" max="5" width="12.33203125" style="3" customWidth="1"/>
    <col min="6" max="6" width="8.5" style="3" customWidth="1"/>
    <col min="7" max="7" width="10.6640625" style="3" customWidth="1"/>
    <col min="8" max="8" width="14.83203125" style="3" customWidth="1"/>
    <col min="9" max="9" width="13.33203125" style="3" customWidth="1"/>
    <col min="10" max="11" width="12.83203125" style="3" customWidth="1"/>
    <col min="12" max="12" width="14.83203125" style="3" customWidth="1"/>
  </cols>
  <sheetData>
    <row r="1" spans="1:12" ht="33" customHeight="1">
      <c r="A1" s="622" t="s">
        <v>55</v>
      </c>
      <c r="B1" s="623"/>
      <c r="C1" s="623"/>
      <c r="D1" s="623"/>
      <c r="E1" s="623"/>
      <c r="F1" s="623"/>
      <c r="G1" s="623"/>
      <c r="H1" s="623"/>
      <c r="I1" s="623"/>
      <c r="J1" s="623"/>
      <c r="K1" s="623"/>
      <c r="L1" s="624"/>
    </row>
    <row r="2" spans="1:12">
      <c r="A2" s="625" t="s">
        <v>4</v>
      </c>
      <c r="B2" s="626"/>
      <c r="C2" s="626"/>
      <c r="D2" s="629" t="str">
        <f>'Ялта, Ленина, 18'!I3</f>
        <v>ул. Набережная Ленина, 18</v>
      </c>
      <c r="E2" s="630"/>
      <c r="F2" s="630"/>
      <c r="G2" s="631" t="str">
        <f>График!B26</f>
        <v>Орешникова Елена</v>
      </c>
      <c r="H2" s="632"/>
      <c r="I2" s="632"/>
      <c r="J2" s="633" t="str">
        <f>График!B30</f>
        <v>Кекош Анна</v>
      </c>
      <c r="K2" s="634"/>
      <c r="L2" s="635"/>
    </row>
    <row r="3" spans="1:12">
      <c r="A3" s="627"/>
      <c r="B3" s="628"/>
      <c r="C3" s="628"/>
      <c r="D3" s="636" t="s">
        <v>56</v>
      </c>
      <c r="E3" s="637"/>
      <c r="F3" s="131" t="s">
        <v>57</v>
      </c>
      <c r="G3" s="638" t="s">
        <v>6</v>
      </c>
      <c r="H3" s="639"/>
      <c r="I3" s="131" t="s">
        <v>57</v>
      </c>
      <c r="J3" s="132" t="s">
        <v>6</v>
      </c>
      <c r="K3" s="133"/>
      <c r="L3" s="134" t="s">
        <v>57</v>
      </c>
    </row>
    <row r="4" spans="1:12">
      <c r="A4" s="609" t="s">
        <v>13</v>
      </c>
      <c r="B4" s="609"/>
      <c r="C4" s="609"/>
      <c r="D4" s="135">
        <f>'Ялта, Ленина, 18'!K8</f>
        <v>0.87275979999999997</v>
      </c>
      <c r="E4" s="136">
        <f>'Ялта, Ленина, 18'!J8</f>
        <v>1570967.64</v>
      </c>
      <c r="F4" s="137">
        <f>'Ялта, Ленина, 18'!M8</f>
        <v>0.87275980000000086</v>
      </c>
      <c r="G4" s="138">
        <f>'Рогалевич И. Е.'!K8</f>
        <v>0.90672295559895821</v>
      </c>
      <c r="H4" s="139">
        <f>'Рогалевич И. Е.'!J8</f>
        <v>833967.94</v>
      </c>
      <c r="I4" s="140">
        <f>'Рогалевич И. Е.'!M8</f>
        <v>0.8889605852515986</v>
      </c>
      <c r="J4" s="141">
        <f>'Кекош А. И.'!K8</f>
        <v>0.97359796396396381</v>
      </c>
      <c r="K4" s="139">
        <f>'Кекош А. И.'!J8</f>
        <v>517697.6</v>
      </c>
      <c r="L4" s="142">
        <f>'Кекош А. И.'!M8</f>
        <v>1.361051703716728</v>
      </c>
    </row>
    <row r="5" spans="1:12">
      <c r="A5" s="612" t="s">
        <v>14</v>
      </c>
      <c r="B5" s="612"/>
      <c r="C5" s="612"/>
      <c r="D5" s="143">
        <f>'Ялта, Ленина, 18'!K9</f>
        <v>0.83845000000000003</v>
      </c>
      <c r="E5" s="144">
        <f>'Ялта, Ленина, 18'!J9</f>
        <v>409</v>
      </c>
      <c r="F5" s="145">
        <f>'Ялта, Ленина, 18'!M9</f>
        <v>0.83845000000000092</v>
      </c>
      <c r="G5" s="138">
        <f>'Рогалевич И. Е.'!K9</f>
        <v>0.82244238281250004</v>
      </c>
      <c r="H5" s="146">
        <f>'Рогалевич И. Е.'!J9</f>
        <v>205</v>
      </c>
      <c r="I5" s="140">
        <f>'Рогалевич И. Е.'!M9</f>
        <v>0.86965916010547861</v>
      </c>
      <c r="J5" s="141">
        <f>'Кекош А. И.'!K9</f>
        <v>0.80498513513513514</v>
      </c>
      <c r="K5" s="147">
        <f>'Кекош А. И.'!J9</f>
        <v>116</v>
      </c>
      <c r="L5" s="142">
        <f>'Кекош А. И.'!M9</f>
        <v>0.80498513513513514</v>
      </c>
    </row>
    <row r="6" spans="1:12">
      <c r="A6" s="609" t="s">
        <v>15</v>
      </c>
      <c r="B6" s="609"/>
      <c r="C6" s="609"/>
      <c r="D6" s="143">
        <f>'Ялта, Ленина, 18'!K10</f>
        <v>1.3172539845447959</v>
      </c>
      <c r="E6" s="148">
        <f>'Ялта, Ленина, 18'!J10</f>
        <v>7777.067524752475</v>
      </c>
      <c r="F6" s="145">
        <f>'Ялта, Ленина, 18'!M10</f>
        <v>1.3172539845447959</v>
      </c>
      <c r="G6" s="138">
        <f>'Рогалевич И. Е.'!K10</f>
        <v>1.3985617067804339</v>
      </c>
      <c r="H6" s="146">
        <f>'Рогалевич И. Е.'!J10</f>
        <v>8257.1083168316818</v>
      </c>
      <c r="I6" s="140">
        <f>'Рогалевич И. Е.'!M10</f>
        <v>1.3985617067804339</v>
      </c>
      <c r="J6" s="149">
        <f>'Кекош А. И.'!K10</f>
        <v>1.4614317976513098</v>
      </c>
      <c r="K6" s="150">
        <f>'Кекош А. И.'!J10</f>
        <v>8628.2933333333331</v>
      </c>
      <c r="L6" s="142">
        <f>'Кекош А. И.'!M10</f>
        <v>1.4614317976513098</v>
      </c>
    </row>
    <row r="7" spans="1:12">
      <c r="A7" s="612" t="s">
        <v>16</v>
      </c>
      <c r="B7" s="612"/>
      <c r="C7" s="612"/>
      <c r="D7" s="143">
        <f>'Ялта, Ленина, 18'!K11</f>
        <v>1.0409205080803863</v>
      </c>
      <c r="E7" s="148">
        <f>'Ялта, Ленина, 18'!J11</f>
        <v>3840.9966748166257</v>
      </c>
      <c r="F7" s="145">
        <f>'Ялта, Ленина, 18'!M11</f>
        <v>1.0409205080803863</v>
      </c>
      <c r="G7" s="138">
        <f>'Рогалевич И. Е.'!K11</f>
        <v>1.1024759600766738</v>
      </c>
      <c r="H7" s="146">
        <f>'Рогалевич И. Е.'!J11</f>
        <v>4068.1362926829265</v>
      </c>
      <c r="I7" s="140">
        <f>'Рогалевич И. Е.'!M11</f>
        <v>1.0221942411826941</v>
      </c>
      <c r="J7" s="149">
        <f>'Кекош А. И.'!K11</f>
        <v>1.2094607980562564</v>
      </c>
      <c r="K7" s="150">
        <f>'Кекош А. И.'!J11</f>
        <v>4462.9103448275864</v>
      </c>
      <c r="L7" s="142">
        <f>'Кекош А. И.'!M11</f>
        <v>1.2094607980562564</v>
      </c>
    </row>
    <row r="8" spans="1:12">
      <c r="A8" s="612" t="s">
        <v>17</v>
      </c>
      <c r="B8" s="612"/>
      <c r="C8" s="612"/>
      <c r="D8" s="143">
        <f>'Ялта, Ленина, 18'!K12</f>
        <v>1.2654702970297029</v>
      </c>
      <c r="E8" s="151">
        <f>'Ялта, Ленина, 18'!J12</f>
        <v>2.0247524752475248</v>
      </c>
      <c r="F8" s="145">
        <f>'Ялта, Ленина, 18'!M12</f>
        <v>1.2654702970297029</v>
      </c>
      <c r="G8" s="138">
        <f>'Рогалевич И. Е.'!K12</f>
        <v>1.2685643564356435</v>
      </c>
      <c r="H8" s="146">
        <f>'Рогалевич И. Е.'!J12</f>
        <v>2.0297029702970297</v>
      </c>
      <c r="I8" s="140">
        <f>'Рогалевич И. Е.'!M12</f>
        <v>1.2685643564356435</v>
      </c>
      <c r="J8" s="149">
        <f>'Кекош А. И.'!K12</f>
        <v>1.2083333333333333</v>
      </c>
      <c r="K8" s="152">
        <f>'Кекош А. И.'!J12</f>
        <v>1.9333333333333333</v>
      </c>
      <c r="L8" s="142">
        <f>'Кекош А. И.'!M12</f>
        <v>1.2083333333333333</v>
      </c>
    </row>
    <row r="9" spans="1:12">
      <c r="A9" s="612" t="s">
        <v>18</v>
      </c>
      <c r="B9" s="612"/>
      <c r="C9" s="612"/>
      <c r="D9" s="143" t="str">
        <f>'Ялта, Ленина, 18'!K13</f>
        <v/>
      </c>
      <c r="E9" s="144">
        <f>'Ялта, Ленина, 18'!J13</f>
        <v>202</v>
      </c>
      <c r="F9" s="145" t="str">
        <f>'Ялта, Ленина, 18'!M13</f>
        <v/>
      </c>
      <c r="G9" s="138">
        <f>'Рогалевич И. Е.'!K13</f>
        <v>0.64832531250000003</v>
      </c>
      <c r="H9" s="146">
        <f>'Рогалевич И. Е.'!J13</f>
        <v>101</v>
      </c>
      <c r="I9" s="140">
        <f>'Рогалевич И. Е.'!M13</f>
        <v>0.68612809653598572</v>
      </c>
      <c r="J9" s="149">
        <f>'Кекош А. И.'!K13</f>
        <v>0.66619459459459462</v>
      </c>
      <c r="K9" s="147">
        <f>'Кекош А. И.'!J13</f>
        <v>60</v>
      </c>
      <c r="L9" s="142">
        <f>'Кекош А. И.'!M13</f>
        <v>0.66619459459459462</v>
      </c>
    </row>
    <row r="10" spans="1:12">
      <c r="A10" s="612" t="s">
        <v>58</v>
      </c>
      <c r="B10" s="612"/>
      <c r="C10" s="612"/>
      <c r="D10" s="143">
        <f>'Ялта, Ленина, 18'!K14</f>
        <v>1</v>
      </c>
      <c r="E10" s="144">
        <f>'Ялта, Ленина, 18'!J14</f>
        <v>30</v>
      </c>
      <c r="F10" s="145" t="str">
        <f>'Ялта, Ленина, 18'!M14</f>
        <v/>
      </c>
      <c r="G10" s="138">
        <f>'Рогалевич И. Е.'!K14</f>
        <v>1</v>
      </c>
      <c r="H10" s="146">
        <f>'Рогалевич И. Е.'!J14</f>
        <v>24</v>
      </c>
      <c r="I10" s="140" t="str">
        <f>'Рогалевич И. Е.'!M14</f>
        <v/>
      </c>
      <c r="J10" s="149">
        <f>'Кекош А. И.'!K14</f>
        <v>1</v>
      </c>
      <c r="K10" s="153">
        <f>'Кекош А. И.'!J14</f>
        <v>15</v>
      </c>
      <c r="L10" s="142">
        <f>'Кекош А. И.'!M14</f>
        <v>1</v>
      </c>
    </row>
    <row r="11" spans="1:12">
      <c r="A11" s="612" t="s">
        <v>20</v>
      </c>
      <c r="B11" s="612"/>
      <c r="C11" s="612"/>
      <c r="D11" s="143">
        <f>'Ялта, Ленина, 18'!K15</f>
        <v>0.87275979999999997</v>
      </c>
      <c r="E11" s="148">
        <f>'Ялта, Ленина, 18'!J15</f>
        <v>52365.587999999996</v>
      </c>
      <c r="F11" s="145">
        <f>'Ялта, Ленина, 18'!M15</f>
        <v>0.87275979999999997</v>
      </c>
      <c r="G11" s="138">
        <f>'Рогалевич И. Е.'!K15</f>
        <v>0.57914440277777768</v>
      </c>
      <c r="H11" s="146">
        <f>'Рогалевич И. Е.'!J15</f>
        <v>34748.664166666662</v>
      </c>
      <c r="I11" s="140">
        <f>'Рогалевич И. Е.'!M15</f>
        <v>0.57914440277777768</v>
      </c>
      <c r="J11" s="149">
        <f>'Кекош А. И.'!K15</f>
        <v>0.57521955555555548</v>
      </c>
      <c r="K11" s="154">
        <f>'Кекош А. И.'!J15</f>
        <v>34513.173333333332</v>
      </c>
      <c r="L11" s="142">
        <f>'Кекош А. И.'!M15</f>
        <v>0.57521955555555548</v>
      </c>
    </row>
    <row r="12" spans="1:12">
      <c r="A12" s="645" t="s">
        <v>21</v>
      </c>
      <c r="B12" s="645"/>
      <c r="C12" s="645"/>
      <c r="D12" s="646">
        <f>'Ялта, Ленина, 18'!J16</f>
        <v>-229032.3600000001</v>
      </c>
      <c r="E12" s="647"/>
      <c r="F12" s="648"/>
      <c r="G12" s="640">
        <f>'Рогалевич И. Е.'!J16</f>
        <v>-606032.06000000006</v>
      </c>
      <c r="H12" s="641"/>
      <c r="I12" s="641"/>
      <c r="J12" s="642">
        <f>'Кекош А. И.'!J16</f>
        <v>-382302.4</v>
      </c>
      <c r="K12" s="643"/>
      <c r="L12" s="644"/>
    </row>
  </sheetData>
  <mergeCells count="19">
    <mergeCell ref="G12:I12"/>
    <mergeCell ref="J12:L12"/>
    <mergeCell ref="A9:C9"/>
    <mergeCell ref="A10:C10"/>
    <mergeCell ref="A11:C11"/>
    <mergeCell ref="A12:C12"/>
    <mergeCell ref="D12:F12"/>
    <mergeCell ref="A4:C4"/>
    <mergeCell ref="A5:C5"/>
    <mergeCell ref="A6:C6"/>
    <mergeCell ref="A7:C7"/>
    <mergeCell ref="A8:C8"/>
    <mergeCell ref="A1:L1"/>
    <mergeCell ref="A2:C3"/>
    <mergeCell ref="D2:F2"/>
    <mergeCell ref="G2:I2"/>
    <mergeCell ref="J2:L2"/>
    <mergeCell ref="D3:E3"/>
    <mergeCell ref="G3:H3"/>
  </mergeCells>
  <conditionalFormatting sqref="D4">
    <cfRule type="cellIs" dxfId="207" priority="7" operator="lessThan">
      <formula>$D$10</formula>
    </cfRule>
    <cfRule type="cellIs" dxfId="206" priority="10" operator="greaterThanOrEqual">
      <formula>$D$10</formula>
    </cfRule>
  </conditionalFormatting>
  <conditionalFormatting sqref="D6:D8 D11">
    <cfRule type="cellIs" dxfId="205" priority="3" operator="lessThan">
      <formula>1</formula>
    </cfRule>
    <cfRule type="cellIs" dxfId="204" priority="4" operator="greaterThanOrEqual">
      <formula>1</formula>
    </cfRule>
  </conditionalFormatting>
  <conditionalFormatting sqref="D12:L12">
    <cfRule type="cellIs" dxfId="203" priority="15" operator="lessThan">
      <formula>0</formula>
    </cfRule>
    <cfRule type="cellIs" dxfId="202" priority="16" operator="greaterThan">
      <formula>0</formula>
    </cfRule>
  </conditionalFormatting>
  <conditionalFormatting sqref="F4:F11 I4:I11">
    <cfRule type="cellIs" dxfId="201" priority="11" operator="lessThan">
      <formula>1</formula>
    </cfRule>
    <cfRule type="cellIs" dxfId="200" priority="12" operator="greaterThan">
      <formula>1</formula>
    </cfRule>
  </conditionalFormatting>
  <conditionalFormatting sqref="G4:G11">
    <cfRule type="cellIs" dxfId="199" priority="6" operator="lessThan">
      <formula>$G$10</formula>
    </cfRule>
    <cfRule type="cellIs" dxfId="198" priority="9" operator="greaterThanOrEqual">
      <formula>$G$10</formula>
    </cfRule>
  </conditionalFormatting>
  <conditionalFormatting sqref="J4:J5">
    <cfRule type="cellIs" dxfId="197" priority="5" operator="lessThan">
      <formula>$J$10</formula>
    </cfRule>
    <cfRule type="cellIs" dxfId="196" priority="8" operator="greaterThanOrEqual">
      <formula>$J$10</formula>
    </cfRule>
  </conditionalFormatting>
  <conditionalFormatting sqref="J6:J11">
    <cfRule type="cellIs" dxfId="195" priority="1" operator="lessThan">
      <formula>1</formula>
    </cfRule>
    <cfRule type="cellIs" dxfId="194" priority="2" operator="greaterThanOrEqual">
      <formula>1</formula>
    </cfRule>
  </conditionalFormatting>
  <conditionalFormatting sqref="L4:L11">
    <cfRule type="cellIs" dxfId="193" priority="13" operator="lessThan">
      <formula>1</formula>
    </cfRule>
    <cfRule type="cellIs" dxfId="192" priority="14" operator="greaterThan">
      <formula>1</formula>
    </cfRule>
  </conditionalFormatting>
  <dataValidations count="1">
    <dataValidation type="decimal" allowBlank="1" showErrorMessage="1" sqref="F4:F11 D4:E12" xr:uid="{000600AB-00C1-48CC-A0B4-000600000099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7"/>
  <sheetViews>
    <sheetView showZeros="0" zoomScale="138" workbookViewId="0">
      <selection activeCell="E13" sqref="E13"/>
    </sheetView>
  </sheetViews>
  <sheetFormatPr baseColWidth="10" defaultColWidth="11.5" defaultRowHeight="15"/>
  <cols>
    <col min="1" max="4" width="11.5" style="3"/>
  </cols>
  <sheetData>
    <row r="1" spans="1:4">
      <c r="A1" s="609" t="s">
        <v>13</v>
      </c>
      <c r="B1" s="610"/>
      <c r="C1" s="611"/>
      <c r="D1" s="155">
        <v>75468</v>
      </c>
    </row>
    <row r="2" spans="1:4">
      <c r="A2" s="612" t="s">
        <v>14</v>
      </c>
      <c r="B2" s="613"/>
      <c r="C2" s="614"/>
      <c r="D2" s="156">
        <f>D1/D4</f>
        <v>20.452032520325204</v>
      </c>
    </row>
    <row r="3" spans="1:4">
      <c r="A3" s="609" t="s">
        <v>15</v>
      </c>
      <c r="B3" s="610"/>
      <c r="C3" s="611"/>
      <c r="D3" s="48">
        <f>D4*D5</f>
        <v>5904</v>
      </c>
    </row>
    <row r="4" spans="1:4">
      <c r="A4" s="612" t="s">
        <v>16</v>
      </c>
      <c r="B4" s="613"/>
      <c r="C4" s="614"/>
      <c r="D4" s="50">
        <f>'Ялта, Ленина, 18'!I11</f>
        <v>3690</v>
      </c>
    </row>
    <row r="5" spans="1:4">
      <c r="A5" s="612" t="s">
        <v>17</v>
      </c>
      <c r="B5" s="613"/>
      <c r="C5" s="614"/>
      <c r="D5" s="53">
        <f>'Ялта, Ленина, 18'!I12</f>
        <v>1.6</v>
      </c>
    </row>
    <row r="6" spans="1:4">
      <c r="A6" s="612" t="s">
        <v>18</v>
      </c>
      <c r="B6" s="613"/>
      <c r="C6" s="614"/>
      <c r="D6" s="36">
        <f>IF(D5&lt;&gt;0,D2/D5,"")</f>
        <v>12.782520325203253</v>
      </c>
    </row>
    <row r="7" spans="1:4">
      <c r="A7" s="612" t="s">
        <v>59</v>
      </c>
      <c r="B7" s="612"/>
      <c r="C7" s="612"/>
      <c r="D7" s="157">
        <f>'Ялта, Ленина, 18'!I20</f>
        <v>0.25700000000000001</v>
      </c>
    </row>
  </sheetData>
  <mergeCells count="7">
    <mergeCell ref="A6:C6"/>
    <mergeCell ref="A7:C7"/>
    <mergeCell ref="A1:C1"/>
    <mergeCell ref="A2:C2"/>
    <mergeCell ref="A3:C3"/>
    <mergeCell ref="A4:C4"/>
    <mergeCell ref="A5:C5"/>
  </mergeCells>
  <dataValidations count="1">
    <dataValidation type="decimal" allowBlank="1" showErrorMessage="1" sqref="D7 D2" xr:uid="{003D00BB-00C1-4878-9914-00EA00D1006D}">
      <formula1>0</formula1>
      <formula2>1000000000000000</formula2>
    </dataValidation>
  </dataValidations>
  <pageMargins left="0.78750002384185791" right="0.78750002384185791" top="0.78750002384185791" bottom="0.78750002384185791" header="0.51180553436279297" footer="0.51180553436279297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U55"/>
  <sheetViews>
    <sheetView showZeros="0" topLeftCell="A32" zoomScale="133" workbookViewId="0">
      <pane xSplit="2" topLeftCell="C1" activePane="topRight" state="frozen"/>
      <selection pane="topRight" activeCell="D29" sqref="D29"/>
    </sheetView>
  </sheetViews>
  <sheetFormatPr baseColWidth="10" defaultColWidth="9.1640625" defaultRowHeight="15"/>
  <cols>
    <col min="1" max="1" width="4.1640625" style="158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3" width="9.1640625" style="3" bestFit="1" customWidth="1"/>
    <col min="34" max="255" width="9.1640625" style="2" bestFit="1" customWidth="1"/>
  </cols>
  <sheetData>
    <row r="1" spans="2:23" ht="15.75" customHeight="1">
      <c r="B1" s="649">
        <f ca="1">TODAY()-1</f>
        <v>45696</v>
      </c>
      <c r="C1" s="649"/>
      <c r="D1" s="11"/>
      <c r="E1" s="11"/>
      <c r="F1" s="12"/>
      <c r="G1" s="12"/>
      <c r="H1" s="12"/>
      <c r="I1" s="12"/>
      <c r="J1" s="159"/>
      <c r="K1" s="159"/>
      <c r="L1" s="159"/>
      <c r="M1" s="159"/>
      <c r="N1" s="159"/>
      <c r="O1" s="159"/>
      <c r="P1" s="159"/>
      <c r="Q1" s="650"/>
      <c r="R1" s="650"/>
      <c r="S1" s="650"/>
      <c r="T1" s="650"/>
      <c r="U1" s="12"/>
      <c r="V1" s="12"/>
      <c r="W1" s="12"/>
    </row>
    <row r="2" spans="2:23" ht="21.75" customHeight="1">
      <c r="B2" s="651" t="s">
        <v>0</v>
      </c>
      <c r="C2" s="651"/>
      <c r="D2" s="11"/>
      <c r="E2" s="11"/>
      <c r="F2" s="12"/>
      <c r="G2" s="12"/>
      <c r="H2" s="12"/>
      <c r="I2" s="12"/>
      <c r="J2" s="652" t="s">
        <v>1</v>
      </c>
      <c r="K2" s="652"/>
      <c r="L2" s="652"/>
      <c r="M2" s="652"/>
      <c r="N2" s="652"/>
      <c r="O2" s="652"/>
      <c r="P2" s="652"/>
      <c r="Q2" s="650"/>
      <c r="R2" s="650"/>
      <c r="S2" s="650"/>
      <c r="T2" s="650"/>
      <c r="U2" s="12"/>
      <c r="V2" s="12"/>
      <c r="W2" s="12"/>
    </row>
    <row r="3" spans="2:23" ht="14" customHeight="1">
      <c r="B3" s="10" t="s">
        <v>2</v>
      </c>
      <c r="C3" s="11"/>
      <c r="D3" s="11"/>
      <c r="E3" s="11"/>
      <c r="F3" s="12"/>
      <c r="G3" s="12"/>
      <c r="H3" s="12"/>
      <c r="I3" s="12"/>
      <c r="J3" s="653" t="str">
        <f>График!B30</f>
        <v>Кекош Анна</v>
      </c>
      <c r="K3" s="654"/>
      <c r="L3" s="654"/>
      <c r="M3" s="654"/>
      <c r="N3" s="655"/>
      <c r="O3" s="159"/>
      <c r="P3" s="160"/>
      <c r="Q3" s="650"/>
      <c r="R3" s="650"/>
      <c r="S3" s="650"/>
      <c r="T3" s="650"/>
      <c r="U3" s="12"/>
      <c r="V3" s="12"/>
      <c r="W3" s="12"/>
    </row>
    <row r="4" spans="2:23" ht="15" customHeight="1">
      <c r="B4" s="11"/>
      <c r="C4" s="659">
        <f>I8-D50</f>
        <v>14038.92694610788</v>
      </c>
      <c r="D4" s="660"/>
      <c r="E4" s="161">
        <f>IF(I8&lt;&gt;0, C4/I8, 0)</f>
        <v>2.6402036036036212E-2</v>
      </c>
      <c r="F4" s="12"/>
      <c r="G4" s="12"/>
      <c r="H4" s="12"/>
      <c r="I4" s="12"/>
      <c r="J4" s="656"/>
      <c r="K4" s="657"/>
      <c r="L4" s="657"/>
      <c r="M4" s="657"/>
      <c r="N4" s="658"/>
      <c r="O4" s="12"/>
      <c r="P4" s="12"/>
      <c r="Q4" s="650"/>
      <c r="R4" s="650"/>
      <c r="S4" s="650"/>
      <c r="T4" s="650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1"/>
      <c r="K5" s="661"/>
      <c r="L5" s="661"/>
      <c r="M5" s="661"/>
      <c r="N5" s="661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162"/>
      <c r="C6" s="12"/>
      <c r="D6" s="12"/>
      <c r="E6" s="12"/>
      <c r="F6" s="16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20"/>
      <c r="S6" s="20"/>
      <c r="T6" s="12"/>
      <c r="U6" s="12"/>
      <c r="V6" s="12"/>
      <c r="W6" s="12"/>
    </row>
    <row r="7" spans="2:23" ht="50.75" customHeight="1">
      <c r="B7" s="162"/>
      <c r="C7" s="12"/>
      <c r="D7" s="12"/>
      <c r="E7" s="12"/>
      <c r="F7" s="604" t="s">
        <v>4</v>
      </c>
      <c r="G7" s="605"/>
      <c r="H7" s="606"/>
      <c r="I7" s="21" t="s">
        <v>5</v>
      </c>
      <c r="J7" s="22" t="s">
        <v>6</v>
      </c>
      <c r="K7" s="23" t="s">
        <v>7</v>
      </c>
      <c r="L7" s="24" t="s">
        <v>8</v>
      </c>
      <c r="M7" s="24" t="s">
        <v>9</v>
      </c>
      <c r="N7" s="25" t="s">
        <v>10</v>
      </c>
      <c r="O7" s="25" t="s">
        <v>11</v>
      </c>
      <c r="P7" s="607" t="s">
        <v>12</v>
      </c>
      <c r="Q7" s="608"/>
      <c r="R7" s="20"/>
      <c r="S7" s="20"/>
      <c r="T7" s="12"/>
      <c r="U7" s="12"/>
      <c r="V7" s="12"/>
      <c r="W7" s="12"/>
    </row>
    <row r="8" spans="2:23" ht="15.75" customHeight="1">
      <c r="B8" s="162"/>
      <c r="C8" s="12"/>
      <c r="D8" s="12"/>
      <c r="E8" s="12"/>
      <c r="F8" s="609" t="s">
        <v>13</v>
      </c>
      <c r="G8" s="610"/>
      <c r="H8" s="611"/>
      <c r="I8" s="163">
        <f>'Ялта, Ленина, 18'!I8/График!AJ31*График!AJ30</f>
        <v>531736.52694610786</v>
      </c>
      <c r="J8" s="164">
        <f>D50</f>
        <v>517697.6</v>
      </c>
      <c r="K8" s="165">
        <f>J8/I8</f>
        <v>0.97359796396396381</v>
      </c>
      <c r="L8" s="166">
        <f>IF(SUMIF($D$25:$D$49,"&gt;=0",$P$25:$P$49)&lt;&gt;0,I8*D50/SUMIF($D$25:$D$49,"&gt;=0",$P$25:$P$49),0)</f>
        <v>723720.90592841594</v>
      </c>
      <c r="M8" s="40">
        <f t="shared" ref="M8:M20" si="0">IF(AND(I8&lt;&gt;"",I8&lt;&gt;0,L8&lt;&gt;"",L8&lt;&gt;0),L8/I8,"")</f>
        <v>1.361051703716728</v>
      </c>
      <c r="N8" s="32">
        <f t="shared" ref="N8:N20" si="1">IF(AND(J8&lt;&gt;0, J8&lt;&gt;"", I8&lt;&gt;0, I8&lt;&gt;""), L8-I8, "")</f>
        <v>191984.37898230809</v>
      </c>
      <c r="O8" s="33"/>
      <c r="P8" s="32" t="str">
        <f t="shared" ref="P8:P20" si="2">IF(AND(O8&lt;&gt;"", O8&lt;&gt;0, L8&lt;&gt;"", L8&lt;&gt;0), -O8+L8, "")</f>
        <v/>
      </c>
      <c r="Q8" s="34" t="str">
        <f t="shared" ref="Q8:Q20" si="3">IF(AND(P8&lt;&gt;"", P8&lt;&gt;0, O8&lt;&gt;0, O8&lt;&gt;""), P8/O8, "")</f>
        <v/>
      </c>
      <c r="R8" s="20"/>
      <c r="S8" s="35"/>
      <c r="T8" s="12"/>
      <c r="U8" s="12"/>
      <c r="V8" s="12"/>
      <c r="W8" s="12"/>
    </row>
    <row r="9" spans="2:23" ht="15.75" customHeight="1">
      <c r="B9" s="162"/>
      <c r="C9" s="12"/>
      <c r="D9" s="12"/>
      <c r="E9" s="12"/>
      <c r="F9" s="612" t="s">
        <v>14</v>
      </c>
      <c r="G9" s="613"/>
      <c r="H9" s="614"/>
      <c r="I9" s="36">
        <f>I8/I11</f>
        <v>144.10203982279344</v>
      </c>
      <c r="J9" s="37">
        <f>E50</f>
        <v>116</v>
      </c>
      <c r="K9" s="38">
        <f t="shared" ref="K9:K19" si="4">IF(AND(I9&lt;&gt;"", I9&lt;&gt;0, J9&lt;&gt;""), J9/I9, "")</f>
        <v>0.80498513513513514</v>
      </c>
      <c r="L9" s="167">
        <f>J9</f>
        <v>116</v>
      </c>
      <c r="M9" s="40">
        <f t="shared" si="0"/>
        <v>0.80498513513513514</v>
      </c>
      <c r="N9" s="41">
        <f t="shared" si="1"/>
        <v>-28.102039822793444</v>
      </c>
      <c r="O9" s="42" t="e">
        <f>O8/O11</f>
        <v>#DIV/0!</v>
      </c>
      <c r="P9" s="41" t="e">
        <f t="shared" si="2"/>
        <v>#DIV/0!</v>
      </c>
      <c r="Q9" s="43" t="e">
        <f t="shared" si="3"/>
        <v>#DIV/0!</v>
      </c>
      <c r="R9" s="20"/>
      <c r="S9" s="35"/>
      <c r="T9" s="12"/>
      <c r="U9" s="12"/>
      <c r="V9" s="12"/>
      <c r="W9" s="12"/>
    </row>
    <row r="10" spans="2:23" ht="15.75" customHeight="1">
      <c r="B10" s="162"/>
      <c r="C10" s="12"/>
      <c r="D10" s="12"/>
      <c r="E10" s="12"/>
      <c r="F10" s="609" t="s">
        <v>15</v>
      </c>
      <c r="G10" s="610"/>
      <c r="H10" s="611"/>
      <c r="I10" s="48">
        <f>I11*I12</f>
        <v>5904</v>
      </c>
      <c r="J10" s="168">
        <f>H50</f>
        <v>8628.2933333333331</v>
      </c>
      <c r="K10" s="45">
        <f t="shared" si="4"/>
        <v>1.4614317976513098</v>
      </c>
      <c r="L10" s="167">
        <f t="shared" ref="L10:L19" si="5">J10</f>
        <v>8628.2933333333331</v>
      </c>
      <c r="M10" s="46">
        <f t="shared" si="0"/>
        <v>1.4614317976513098</v>
      </c>
      <c r="N10" s="47">
        <f t="shared" si="1"/>
        <v>2724.2933333333331</v>
      </c>
      <c r="O10" s="48">
        <f>O11*O12</f>
        <v>0</v>
      </c>
      <c r="P10" s="47" t="str">
        <f t="shared" si="2"/>
        <v/>
      </c>
      <c r="Q10" s="49" t="str">
        <f t="shared" si="3"/>
        <v/>
      </c>
      <c r="R10" s="20"/>
      <c r="S10" s="35"/>
      <c r="T10" s="12"/>
      <c r="U10" s="12"/>
      <c r="V10" s="12"/>
      <c r="W10" s="12"/>
    </row>
    <row r="11" spans="2:23" ht="15.75" customHeight="1">
      <c r="B11" s="162"/>
      <c r="C11" s="12"/>
      <c r="D11" s="12"/>
      <c r="E11" s="12"/>
      <c r="F11" s="612" t="s">
        <v>16</v>
      </c>
      <c r="G11" s="613"/>
      <c r="H11" s="614"/>
      <c r="I11" s="50">
        <f>'Ялта, Ленина, 18'!I11</f>
        <v>3690</v>
      </c>
      <c r="J11" s="37">
        <f>F50</f>
        <v>4462.9103448275864</v>
      </c>
      <c r="K11" s="38">
        <f t="shared" si="4"/>
        <v>1.2094607980562564</v>
      </c>
      <c r="L11" s="167">
        <f t="shared" si="5"/>
        <v>4462.9103448275864</v>
      </c>
      <c r="M11" s="40">
        <f t="shared" si="0"/>
        <v>1.2094607980562564</v>
      </c>
      <c r="N11" s="41">
        <f t="shared" si="1"/>
        <v>772.91034482758641</v>
      </c>
      <c r="O11" s="51"/>
      <c r="P11" s="41" t="str">
        <f t="shared" si="2"/>
        <v/>
      </c>
      <c r="Q11" s="43" t="str">
        <f t="shared" si="3"/>
        <v/>
      </c>
      <c r="R11" s="20"/>
      <c r="S11" s="52"/>
      <c r="T11" s="12"/>
      <c r="U11" s="12"/>
      <c r="V11" s="12"/>
      <c r="W11" s="12"/>
    </row>
    <row r="12" spans="2:23" ht="15.75" customHeight="1">
      <c r="B12" s="162"/>
      <c r="C12" s="12"/>
      <c r="D12" s="12"/>
      <c r="E12" s="12"/>
      <c r="F12" s="612" t="s">
        <v>17</v>
      </c>
      <c r="G12" s="613"/>
      <c r="H12" s="614"/>
      <c r="I12" s="53">
        <f>'Ялта, Ленина, 18'!I12</f>
        <v>1.6</v>
      </c>
      <c r="J12" s="54">
        <f>J50</f>
        <v>1.9333333333333333</v>
      </c>
      <c r="K12" s="38">
        <f t="shared" si="4"/>
        <v>1.2083333333333333</v>
      </c>
      <c r="L12" s="169">
        <f t="shared" si="5"/>
        <v>1.9333333333333333</v>
      </c>
      <c r="M12" s="40">
        <f t="shared" si="0"/>
        <v>1.2083333333333333</v>
      </c>
      <c r="N12" s="56">
        <f t="shared" si="1"/>
        <v>0.33333333333333326</v>
      </c>
      <c r="O12" s="57"/>
      <c r="P12" s="41" t="str">
        <f t="shared" si="2"/>
        <v/>
      </c>
      <c r="Q12" s="43" t="str">
        <f t="shared" si="3"/>
        <v/>
      </c>
      <c r="R12" s="20"/>
      <c r="S12" s="52"/>
      <c r="T12" s="12"/>
      <c r="U12" s="12"/>
      <c r="V12" s="12"/>
      <c r="W12" s="12"/>
    </row>
    <row r="13" spans="2:23" ht="15.75" customHeight="1">
      <c r="B13" s="162"/>
      <c r="C13" s="12"/>
      <c r="D13" s="12"/>
      <c r="E13" s="12"/>
      <c r="F13" s="612" t="s">
        <v>18</v>
      </c>
      <c r="G13" s="613"/>
      <c r="H13" s="614"/>
      <c r="I13" s="36">
        <f>IF(I12&lt;&gt;0, I9/I12, "")</f>
        <v>90.063774889245892</v>
      </c>
      <c r="J13" s="37">
        <f>G50</f>
        <v>60</v>
      </c>
      <c r="K13" s="38">
        <f t="shared" si="4"/>
        <v>0.66619459459459462</v>
      </c>
      <c r="L13" s="167">
        <f t="shared" si="5"/>
        <v>60</v>
      </c>
      <c r="M13" s="40">
        <f t="shared" si="0"/>
        <v>0.66619459459459462</v>
      </c>
      <c r="N13" s="56">
        <f t="shared" si="1"/>
        <v>-30.063774889245892</v>
      </c>
      <c r="O13" s="58"/>
      <c r="P13" s="41" t="str">
        <f t="shared" si="2"/>
        <v/>
      </c>
      <c r="Q13" s="43" t="str">
        <f t="shared" si="3"/>
        <v/>
      </c>
      <c r="R13" s="20"/>
      <c r="S13" s="52"/>
      <c r="T13" s="12"/>
      <c r="U13" s="12"/>
      <c r="V13" s="12"/>
      <c r="W13" s="12"/>
    </row>
    <row r="14" spans="2:23" ht="15.75" customHeight="1">
      <c r="B14" s="162"/>
      <c r="C14" s="12"/>
      <c r="D14" s="12"/>
      <c r="E14" s="12"/>
      <c r="F14" s="612" t="s">
        <v>58</v>
      </c>
      <c r="G14" s="613"/>
      <c r="H14" s="614"/>
      <c r="I14" s="50">
        <f>График!AI30</f>
        <v>15</v>
      </c>
      <c r="J14" s="59">
        <v>15</v>
      </c>
      <c r="K14" s="38">
        <f t="shared" si="4"/>
        <v>1</v>
      </c>
      <c r="L14" s="167">
        <f t="shared" si="5"/>
        <v>15</v>
      </c>
      <c r="M14" s="40">
        <f t="shared" si="0"/>
        <v>1</v>
      </c>
      <c r="N14" s="41">
        <f t="shared" si="1"/>
        <v>0</v>
      </c>
      <c r="O14" s="58"/>
      <c r="P14" s="41" t="str">
        <f t="shared" si="2"/>
        <v/>
      </c>
      <c r="Q14" s="43" t="str">
        <f t="shared" si="3"/>
        <v/>
      </c>
      <c r="R14" s="20"/>
      <c r="S14" s="60"/>
      <c r="T14" s="12"/>
      <c r="U14" s="12"/>
      <c r="V14" s="12"/>
      <c r="W14" s="12"/>
    </row>
    <row r="15" spans="2:23" ht="15.75" customHeight="1">
      <c r="B15" s="162"/>
      <c r="C15" s="12"/>
      <c r="D15" s="12"/>
      <c r="E15" s="12"/>
      <c r="F15" s="612" t="s">
        <v>20</v>
      </c>
      <c r="G15" s="613"/>
      <c r="H15" s="614"/>
      <c r="I15" s="70">
        <f>'Ялта, Ленина, 18'!I15</f>
        <v>60000</v>
      </c>
      <c r="J15" s="62">
        <f>J8/J14</f>
        <v>34513.173333333332</v>
      </c>
      <c r="K15" s="63">
        <f t="shared" si="4"/>
        <v>0.57521955555555548</v>
      </c>
      <c r="L15" s="167">
        <f t="shared" si="5"/>
        <v>34513.173333333332</v>
      </c>
      <c r="M15" s="65">
        <f t="shared" si="0"/>
        <v>0.57521955555555548</v>
      </c>
      <c r="N15" s="41">
        <f t="shared" si="1"/>
        <v>-25486.826666666668</v>
      </c>
      <c r="O15" s="66"/>
      <c r="P15" s="41" t="str">
        <f t="shared" si="2"/>
        <v/>
      </c>
      <c r="Q15" s="43" t="str">
        <f t="shared" si="3"/>
        <v/>
      </c>
      <c r="R15" s="20"/>
      <c r="S15" s="35"/>
      <c r="T15" s="12"/>
      <c r="U15" s="12"/>
      <c r="V15" s="12"/>
      <c r="W15" s="12"/>
    </row>
    <row r="16" spans="2:23" ht="15.75" customHeight="1">
      <c r="B16" s="162"/>
      <c r="C16" s="12"/>
      <c r="D16" s="12"/>
      <c r="E16" s="12"/>
      <c r="F16" s="612" t="s">
        <v>21</v>
      </c>
      <c r="G16" s="613"/>
      <c r="H16" s="614"/>
      <c r="I16" s="70"/>
      <c r="J16" s="62">
        <f>J8-I15*J14</f>
        <v>-382302.4</v>
      </c>
      <c r="K16" s="63" t="str">
        <f t="shared" si="4"/>
        <v/>
      </c>
      <c r="L16" s="67">
        <f t="shared" si="5"/>
        <v>-382302.4</v>
      </c>
      <c r="M16" s="68" t="str">
        <f t="shared" si="0"/>
        <v/>
      </c>
      <c r="N16" s="41" t="str">
        <f t="shared" si="1"/>
        <v/>
      </c>
      <c r="O16" s="66"/>
      <c r="P16" s="41" t="str">
        <f t="shared" si="2"/>
        <v/>
      </c>
      <c r="Q16" s="43" t="str">
        <f t="shared" si="3"/>
        <v/>
      </c>
      <c r="R16" s="20"/>
      <c r="S16" s="618" t="s">
        <v>22</v>
      </c>
      <c r="T16" s="12"/>
      <c r="U16" s="12"/>
      <c r="V16" s="12"/>
      <c r="W16" s="12"/>
    </row>
    <row r="17" spans="1:255" ht="15.75" customHeight="1">
      <c r="B17" s="162"/>
      <c r="C17" s="12"/>
      <c r="D17" s="170"/>
      <c r="E17" s="12"/>
      <c r="F17" s="612" t="s">
        <v>23</v>
      </c>
      <c r="G17" s="613"/>
      <c r="H17" s="614"/>
      <c r="I17" s="70">
        <f>'Ялта, Ленина, 18'!I17/График!AJ31*График!AJ30</f>
        <v>0</v>
      </c>
      <c r="J17" s="62">
        <f>I50</f>
        <v>0</v>
      </c>
      <c r="K17" s="63" t="str">
        <f t="shared" si="4"/>
        <v/>
      </c>
      <c r="L17" s="67">
        <f t="shared" si="5"/>
        <v>0</v>
      </c>
      <c r="M17" s="68" t="str">
        <f t="shared" si="0"/>
        <v/>
      </c>
      <c r="N17" s="41" t="str">
        <f t="shared" si="1"/>
        <v/>
      </c>
      <c r="O17" s="66"/>
      <c r="P17" s="41" t="str">
        <f t="shared" si="2"/>
        <v/>
      </c>
      <c r="Q17" s="43" t="str">
        <f t="shared" si="3"/>
        <v/>
      </c>
      <c r="R17" s="20"/>
      <c r="S17" s="618"/>
      <c r="T17" s="12"/>
      <c r="U17" s="12"/>
      <c r="V17" s="12"/>
      <c r="W17" s="12"/>
    </row>
    <row r="18" spans="1:255" ht="15.75" customHeight="1">
      <c r="B18" s="162"/>
      <c r="C18" s="12"/>
      <c r="D18" s="12"/>
      <c r="E18" s="12"/>
      <c r="F18" s="612"/>
      <c r="G18" s="613"/>
      <c r="H18" s="614"/>
      <c r="I18" s="71"/>
      <c r="J18" s="62"/>
      <c r="K18" s="63" t="str">
        <f t="shared" si="4"/>
        <v/>
      </c>
      <c r="L18" s="67">
        <f t="shared" si="5"/>
        <v>0</v>
      </c>
      <c r="M18" s="68" t="str">
        <f t="shared" si="0"/>
        <v/>
      </c>
      <c r="N18" s="41" t="str">
        <f t="shared" si="1"/>
        <v/>
      </c>
      <c r="O18" s="72">
        <v>0</v>
      </c>
      <c r="P18" s="41" t="str">
        <f t="shared" si="2"/>
        <v/>
      </c>
      <c r="Q18" s="43" t="str">
        <f t="shared" si="3"/>
        <v/>
      </c>
      <c r="R18" s="20"/>
      <c r="S18" s="73">
        <v>3000</v>
      </c>
      <c r="T18" s="12"/>
      <c r="U18" s="12"/>
      <c r="V18" s="12"/>
      <c r="W18" s="12"/>
    </row>
    <row r="19" spans="1:255" ht="15.75" customHeight="1">
      <c r="B19" s="162"/>
      <c r="C19" s="12"/>
      <c r="D19" s="12"/>
      <c r="E19" s="12"/>
      <c r="F19" s="612"/>
      <c r="G19" s="613"/>
      <c r="H19" s="614"/>
      <c r="I19" s="71"/>
      <c r="J19" s="62">
        <f>M50</f>
        <v>0</v>
      </c>
      <c r="K19" s="63" t="str">
        <f t="shared" si="4"/>
        <v/>
      </c>
      <c r="L19" s="67">
        <f t="shared" si="5"/>
        <v>0</v>
      </c>
      <c r="M19" s="68" t="str">
        <f t="shared" si="0"/>
        <v/>
      </c>
      <c r="N19" s="41" t="str">
        <f t="shared" si="1"/>
        <v/>
      </c>
      <c r="O19" s="66">
        <v>0</v>
      </c>
      <c r="P19" s="41" t="str">
        <f t="shared" si="2"/>
        <v/>
      </c>
      <c r="Q19" s="43" t="str">
        <f t="shared" si="3"/>
        <v/>
      </c>
      <c r="R19" s="20"/>
      <c r="S19" s="74" t="e">
        <f>S18/I16</f>
        <v>#DIV/0!</v>
      </c>
      <c r="T19" s="12"/>
      <c r="U19" s="12"/>
      <c r="V19" s="12"/>
      <c r="W19" s="12"/>
    </row>
    <row r="20" spans="1:255" ht="15.75" customHeight="1">
      <c r="B20" s="162"/>
      <c r="C20" s="12"/>
      <c r="D20" s="12"/>
      <c r="E20" s="12"/>
      <c r="F20" s="621" t="s">
        <v>24</v>
      </c>
      <c r="G20" s="621"/>
      <c r="H20" s="621"/>
      <c r="I20" s="75">
        <f>'Ялта, Ленина, 18'!I20</f>
        <v>0.25700000000000001</v>
      </c>
      <c r="J20" s="171" t="str">
        <f>N50</f>
        <v/>
      </c>
      <c r="K20" s="171" t="e">
        <f>J20/I20</f>
        <v>#VALUE!</v>
      </c>
      <c r="L20" s="78">
        <f>IF(AND(K8&lt;&gt;0,I14&lt;&gt;0,I50&lt;&gt;0),(I50*N50+(I50/K8-I50)*I20)/(I50/K8),0)</f>
        <v>0</v>
      </c>
      <c r="M20" s="79" t="str">
        <f t="shared" si="0"/>
        <v/>
      </c>
      <c r="N20" s="80" t="str">
        <f t="shared" si="1"/>
        <v/>
      </c>
      <c r="O20" s="81"/>
      <c r="P20" s="82" t="str">
        <f t="shared" si="2"/>
        <v/>
      </c>
      <c r="Q20" s="83" t="str">
        <f t="shared" si="3"/>
        <v/>
      </c>
      <c r="R20" s="20"/>
      <c r="S20" s="20"/>
      <c r="T20" s="12"/>
      <c r="U20" s="12"/>
      <c r="V20" s="12"/>
      <c r="W20" s="12"/>
    </row>
    <row r="21" spans="1:255" ht="15.75" customHeight="1">
      <c r="B21" s="16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0"/>
      <c r="S21" s="20"/>
      <c r="T21" s="12"/>
      <c r="U21" s="12"/>
      <c r="V21" s="12"/>
      <c r="W21" s="12"/>
    </row>
    <row r="22" spans="1:255" ht="16.5" customHeight="1">
      <c r="B22" s="662" t="s">
        <v>25</v>
      </c>
      <c r="C22" s="662"/>
      <c r="D22" s="662"/>
      <c r="E22" s="662"/>
      <c r="F22" s="662"/>
      <c r="G22" s="662"/>
      <c r="H22" s="662"/>
      <c r="I22" s="662"/>
      <c r="J22" s="662"/>
      <c r="K22" s="662"/>
      <c r="L22" s="662"/>
      <c r="M22" s="662"/>
      <c r="N22" s="662"/>
      <c r="O22" s="663" t="s">
        <v>26</v>
      </c>
      <c r="P22" s="662" t="s">
        <v>27</v>
      </c>
      <c r="Q22" s="662"/>
      <c r="R22" s="662"/>
      <c r="S22" s="662"/>
      <c r="T22" s="662"/>
      <c r="U22" s="662"/>
      <c r="V22" s="662"/>
      <c r="W22" s="662"/>
    </row>
    <row r="23" spans="1:255" ht="36">
      <c r="B23" s="172" t="s">
        <v>29</v>
      </c>
      <c r="C23" s="172" t="s">
        <v>30</v>
      </c>
      <c r="D23" s="172" t="s">
        <v>31</v>
      </c>
      <c r="E23" s="172" t="s">
        <v>32</v>
      </c>
      <c r="F23" s="172" t="s">
        <v>33</v>
      </c>
      <c r="G23" s="172" t="s">
        <v>34</v>
      </c>
      <c r="H23" s="172" t="s">
        <v>35</v>
      </c>
      <c r="I23" s="172" t="s">
        <v>23</v>
      </c>
      <c r="J23" s="172" t="s">
        <v>36</v>
      </c>
      <c r="K23" s="173" t="s">
        <v>37</v>
      </c>
      <c r="L23" s="173" t="s">
        <v>37</v>
      </c>
      <c r="M23" s="173" t="s">
        <v>37</v>
      </c>
      <c r="N23" s="172" t="s">
        <v>38</v>
      </c>
      <c r="O23" s="663"/>
      <c r="P23" s="172" t="s">
        <v>39</v>
      </c>
      <c r="Q23" s="172" t="s">
        <v>40</v>
      </c>
      <c r="R23" s="172" t="s">
        <v>41</v>
      </c>
      <c r="S23" s="172" t="s">
        <v>42</v>
      </c>
      <c r="T23" s="172" t="s">
        <v>43</v>
      </c>
      <c r="U23" s="172" t="s">
        <v>44</v>
      </c>
      <c r="V23" s="174" t="s">
        <v>45</v>
      </c>
      <c r="W23" s="174" t="s">
        <v>46</v>
      </c>
      <c r="X23" s="175"/>
    </row>
    <row r="24" spans="1:255">
      <c r="B24" s="176">
        <v>1</v>
      </c>
      <c r="C24" s="176">
        <v>2</v>
      </c>
      <c r="D24" s="176">
        <v>3</v>
      </c>
      <c r="E24" s="176" t="s">
        <v>60</v>
      </c>
      <c r="F24" s="176">
        <v>5</v>
      </c>
      <c r="G24" s="176">
        <v>6</v>
      </c>
      <c r="H24" s="176">
        <v>7</v>
      </c>
      <c r="I24" s="176">
        <v>8</v>
      </c>
      <c r="J24" s="176">
        <v>9</v>
      </c>
      <c r="K24" s="176">
        <v>10</v>
      </c>
      <c r="L24" s="176">
        <v>11</v>
      </c>
      <c r="M24" s="176">
        <v>12</v>
      </c>
      <c r="N24" s="176">
        <v>13</v>
      </c>
      <c r="O24" s="663"/>
      <c r="P24" s="177">
        <v>1</v>
      </c>
      <c r="Q24" s="177">
        <v>2</v>
      </c>
      <c r="R24" s="177">
        <v>3</v>
      </c>
      <c r="S24" s="177">
        <v>4</v>
      </c>
      <c r="T24" s="177">
        <v>5</v>
      </c>
      <c r="U24" s="177">
        <v>6</v>
      </c>
      <c r="V24" s="177">
        <v>10</v>
      </c>
      <c r="W24" s="177">
        <v>11</v>
      </c>
    </row>
    <row r="25" spans="1:255" s="91" customFormat="1">
      <c r="A25" s="92">
        <v>1</v>
      </c>
      <c r="B25" s="93">
        <v>45659</v>
      </c>
      <c r="C25" s="180" t="s">
        <v>48</v>
      </c>
      <c r="D25" s="95"/>
      <c r="E25" s="96">
        <v>18</v>
      </c>
      <c r="F25" s="96">
        <f t="shared" ref="F25:F28" si="6">IF(AND(E25&lt;&gt;"",E25&lt;&gt;0),D25/E25,"")</f>
        <v>0</v>
      </c>
      <c r="G25" s="96">
        <v>8</v>
      </c>
      <c r="H25" s="96">
        <f t="shared" ref="H25:H28" si="7">IF(AND(G25&lt;&gt;"",G25&lt;&gt;0),D25/G25,"")</f>
        <v>0</v>
      </c>
      <c r="I25" s="178"/>
      <c r="J25" s="95">
        <f t="shared" ref="J25:J50" si="8">IF(AND(G25&lt;&gt;"",G25&lt;&gt;0),E25/G25,"")</f>
        <v>2.25</v>
      </c>
      <c r="K25" s="178"/>
      <c r="L25" s="96"/>
      <c r="M25" s="178"/>
      <c r="N25" s="97" t="str">
        <f t="shared" ref="N25:N50" si="9">IF(AND(I25&lt;&gt;"",I25&lt;&gt;0),G25/I25,"")</f>
        <v/>
      </c>
      <c r="O25" s="179">
        <f t="shared" ref="O25:O50" si="10">D25/P25</f>
        <v>0</v>
      </c>
      <c r="P25" s="99">
        <f t="shared" ref="P25:P49" si="11">$I$8*V25*W25/SUMPRODUCT($W$25:$W$60,$V$25:$V$60)</f>
        <v>23507.361933957018</v>
      </c>
      <c r="Q25" s="100">
        <f t="shared" ref="Q25:Q48" si="12">$I$9*V25*W25/SUMPRODUCT($W$25:$W$60,$V$25:$V$60)</f>
        <v>6.3705587896902482</v>
      </c>
      <c r="R25" s="100">
        <f t="shared" ref="R25:R49" si="13">IF($I$12="","",Q25/$I$12)</f>
        <v>3.9815992435564049</v>
      </c>
      <c r="S25" s="99">
        <f ca="1">IF(W25&lt;&gt;"",IF(D25&lt;&gt;"",D25,($I$8-SUM($S24:S$25))*V25*W25/SUMPRODUCT($W25:$W$60,$V25:$V$60)),"")</f>
        <v>70085.850000000006</v>
      </c>
      <c r="T25" s="100">
        <f>IF(W25&lt;&gt;"",IF(E25&lt;&gt;"",E25,($I$9-SUM($T24:T$25))*V25*W25/SUMPRODUCT($W25:$W$60,$V25:$V$60)),"")</f>
        <v>18</v>
      </c>
      <c r="U25" s="100">
        <f>IF(W25&lt;&gt;"",IF($I$12&lt;&gt;"",IF(G25&lt;&gt;"",G25,($I$9/$I$12-SUM($U24:U$25))*V25*W25/SUMPRODUCT($W25:$W$60,$V25:$V$60)),""),"")</f>
        <v>8</v>
      </c>
      <c r="V25" s="101">
        <v>1</v>
      </c>
      <c r="W25" s="101">
        <v>1</v>
      </c>
      <c r="X25" s="102"/>
      <c r="Y25" s="102"/>
      <c r="Z25" s="105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</row>
    <row r="26" spans="1:255" s="91" customFormat="1">
      <c r="A26" s="92">
        <v>2</v>
      </c>
      <c r="B26" s="514">
        <v>45660</v>
      </c>
      <c r="C26" s="527" t="s">
        <v>49</v>
      </c>
      <c r="D26" s="515"/>
      <c r="E26" s="516">
        <v>12</v>
      </c>
      <c r="F26" s="517">
        <f t="shared" si="6"/>
        <v>0</v>
      </c>
      <c r="G26" s="516">
        <v>6</v>
      </c>
      <c r="H26" s="517">
        <f t="shared" si="7"/>
        <v>0</v>
      </c>
      <c r="I26" s="96"/>
      <c r="J26" s="181">
        <f t="shared" si="8"/>
        <v>2</v>
      </c>
      <c r="K26" s="96"/>
      <c r="L26" s="178"/>
      <c r="M26" s="96"/>
      <c r="N26" s="182" t="str">
        <f t="shared" si="9"/>
        <v/>
      </c>
      <c r="O26" s="98">
        <f t="shared" si="10"/>
        <v>0</v>
      </c>
      <c r="P26" s="99">
        <f t="shared" si="11"/>
        <v>23507.361933957018</v>
      </c>
      <c r="Q26" s="100">
        <f t="shared" si="12"/>
        <v>6.3705587896902482</v>
      </c>
      <c r="R26" s="100">
        <f t="shared" si="13"/>
        <v>3.9815992435564049</v>
      </c>
      <c r="S26" s="99">
        <f t="shared" ref="S26:S28" ca="1" si="14">IF(W26&lt;&gt;"",IF(D26&lt;&gt;"",D26,($I$8-SUM($S$25:S25))*V26*W26/SUMPRODUCT($W26:$W$60,$V26:$V$60)),"")</f>
        <v>45926</v>
      </c>
      <c r="T26" s="100">
        <f t="shared" ref="T26:T28" si="15">IF(W26&lt;&gt;"",IF(E26&lt;&gt;"",E26,($I$9-SUM($T$25:T25))*V26*W26/SUMPRODUCT($W26:$W$60,$V26:$V$60)),"")</f>
        <v>12</v>
      </c>
      <c r="U26" s="100">
        <f t="shared" ref="U26:U28" si="16">IF(W26&lt;&gt;"",IF($I$12&lt;&gt;"",IF(G26&lt;&gt;"",G26,($I$9/$I$12-SUM($U$25:U25))*V26*W26/SUMPRODUCT($W26:$W$60,$V26:$V$60)),""),"")</f>
        <v>6</v>
      </c>
      <c r="V26" s="101">
        <v>1</v>
      </c>
      <c r="W26" s="101">
        <v>1</v>
      </c>
      <c r="X26" s="102"/>
      <c r="Y26" s="102"/>
      <c r="Z26" s="105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4"/>
      <c r="DO26" s="104"/>
      <c r="DP26" s="104"/>
      <c r="DQ26" s="104"/>
      <c r="DR26" s="104"/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/>
      <c r="EG26" s="104"/>
      <c r="EH26" s="104"/>
      <c r="EI26" s="104"/>
      <c r="EJ26" s="104"/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4"/>
      <c r="FQ26" s="104"/>
      <c r="FR26" s="104"/>
      <c r="FS26" s="104"/>
      <c r="FT26" s="104"/>
      <c r="FU26" s="104"/>
      <c r="FV26" s="104"/>
      <c r="FW26" s="104"/>
      <c r="FX26" s="104"/>
      <c r="FY26" s="104"/>
      <c r="FZ26" s="104"/>
      <c r="GA26" s="104"/>
      <c r="GB26" s="104"/>
      <c r="GC26" s="104"/>
      <c r="GD26" s="104"/>
      <c r="GE26" s="104"/>
      <c r="GF26" s="104"/>
      <c r="GG26" s="104"/>
      <c r="GH26" s="104"/>
      <c r="GI26" s="104"/>
      <c r="GJ26" s="104"/>
      <c r="GK26" s="104"/>
      <c r="GL26" s="104"/>
      <c r="GM26" s="104"/>
      <c r="GN26" s="104"/>
      <c r="GO26" s="104"/>
      <c r="GP26" s="104"/>
      <c r="GQ26" s="104"/>
      <c r="GR26" s="104"/>
      <c r="GS26" s="104"/>
      <c r="GT26" s="104"/>
      <c r="GU26" s="104"/>
      <c r="GV26" s="104"/>
      <c r="GW26" s="104"/>
      <c r="GX26" s="104"/>
      <c r="GY26" s="104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/>
      <c r="HR26" s="104"/>
      <c r="HS26" s="104"/>
      <c r="HT26" s="104"/>
      <c r="HU26" s="104"/>
      <c r="HV26" s="104"/>
      <c r="HW26" s="104"/>
      <c r="HX26" s="104"/>
      <c r="HY26" s="104"/>
      <c r="HZ26" s="104"/>
      <c r="IA26" s="104"/>
      <c r="IB26" s="104"/>
      <c r="IC26" s="104"/>
      <c r="ID26" s="104"/>
      <c r="IE26" s="104"/>
      <c r="IF26" s="104"/>
      <c r="IG26" s="104"/>
      <c r="IH26" s="104"/>
      <c r="II26" s="104"/>
      <c r="IJ26" s="104"/>
      <c r="IK26" s="104"/>
      <c r="IL26" s="104"/>
      <c r="IM26" s="104"/>
      <c r="IN26" s="104"/>
      <c r="IO26" s="104"/>
      <c r="IP26" s="104"/>
      <c r="IQ26" s="104"/>
      <c r="IR26" s="104"/>
      <c r="IS26" s="104"/>
      <c r="IT26" s="104"/>
      <c r="IU26" s="104"/>
    </row>
    <row r="27" spans="1:255" s="91" customFormat="1">
      <c r="A27" s="92">
        <v>3</v>
      </c>
      <c r="B27" s="514">
        <v>45661</v>
      </c>
      <c r="C27" s="527" t="s">
        <v>50</v>
      </c>
      <c r="D27" s="515"/>
      <c r="E27" s="517">
        <v>17</v>
      </c>
      <c r="F27" s="517">
        <f t="shared" si="6"/>
        <v>0</v>
      </c>
      <c r="G27" s="517">
        <v>9</v>
      </c>
      <c r="H27" s="517">
        <f t="shared" si="7"/>
        <v>0</v>
      </c>
      <c r="I27" s="178"/>
      <c r="J27" s="95">
        <f t="shared" si="8"/>
        <v>1.8888888888888888</v>
      </c>
      <c r="K27" s="96"/>
      <c r="L27" s="96"/>
      <c r="M27" s="96"/>
      <c r="N27" s="97" t="str">
        <f t="shared" si="9"/>
        <v/>
      </c>
      <c r="O27" s="98">
        <f t="shared" si="10"/>
        <v>0</v>
      </c>
      <c r="P27" s="99">
        <f t="shared" si="11"/>
        <v>23507.361933957018</v>
      </c>
      <c r="Q27" s="100">
        <f t="shared" si="12"/>
        <v>6.3705587896902482</v>
      </c>
      <c r="R27" s="100">
        <f t="shared" si="13"/>
        <v>3.9815992435564049</v>
      </c>
      <c r="S27" s="99">
        <f t="shared" ca="1" si="14"/>
        <v>70721.5</v>
      </c>
      <c r="T27" s="100">
        <f t="shared" si="15"/>
        <v>17</v>
      </c>
      <c r="U27" s="100">
        <f t="shared" si="16"/>
        <v>9</v>
      </c>
      <c r="V27" s="101">
        <v>1</v>
      </c>
      <c r="W27" s="101">
        <v>1</v>
      </c>
      <c r="X27" s="102"/>
      <c r="Y27" s="102"/>
      <c r="Z27" s="105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4"/>
      <c r="GJ27" s="104"/>
      <c r="GK27" s="104"/>
      <c r="GL27" s="104"/>
      <c r="GM27" s="10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/>
      <c r="HR27" s="104"/>
      <c r="HS27" s="104"/>
      <c r="HT27" s="104"/>
      <c r="HU27" s="104"/>
      <c r="HV27" s="104"/>
      <c r="HW27" s="104"/>
      <c r="HX27" s="104"/>
      <c r="HY27" s="104"/>
      <c r="HZ27" s="104"/>
      <c r="IA27" s="104"/>
      <c r="IB27" s="104"/>
      <c r="IC27" s="104"/>
      <c r="ID27" s="104"/>
      <c r="IE27" s="104"/>
      <c r="IF27" s="104"/>
      <c r="IG27" s="104"/>
      <c r="IH27" s="104"/>
      <c r="II27" s="104"/>
      <c r="IJ27" s="104"/>
      <c r="IK27" s="104"/>
      <c r="IL27" s="104"/>
      <c r="IM27" s="104"/>
      <c r="IN27" s="104"/>
      <c r="IO27" s="104"/>
      <c r="IP27" s="104"/>
      <c r="IQ27" s="104"/>
      <c r="IR27" s="104"/>
      <c r="IS27" s="104"/>
      <c r="IT27" s="104"/>
      <c r="IU27" s="104"/>
    </row>
    <row r="28" spans="1:255" s="91" customFormat="1">
      <c r="A28" s="92">
        <v>4</v>
      </c>
      <c r="B28" s="514">
        <v>45662</v>
      </c>
      <c r="C28" s="527" t="s">
        <v>51</v>
      </c>
      <c r="D28" s="515">
        <v>327758.59999999998</v>
      </c>
      <c r="E28" s="517">
        <v>19</v>
      </c>
      <c r="F28" s="517">
        <f t="shared" si="6"/>
        <v>17250.452631578944</v>
      </c>
      <c r="G28" s="517">
        <v>5</v>
      </c>
      <c r="H28" s="517">
        <f t="shared" si="7"/>
        <v>65551.72</v>
      </c>
      <c r="I28" s="96"/>
      <c r="J28" s="95">
        <f t="shared" si="8"/>
        <v>3.8</v>
      </c>
      <c r="K28" s="96"/>
      <c r="L28" s="96"/>
      <c r="M28" s="96"/>
      <c r="N28" s="97" t="str">
        <f t="shared" si="9"/>
        <v/>
      </c>
      <c r="O28" s="98">
        <f t="shared" si="10"/>
        <v>13.942806552297297</v>
      </c>
      <c r="P28" s="99">
        <f t="shared" si="11"/>
        <v>23507.361933957018</v>
      </c>
      <c r="Q28" s="100">
        <f t="shared" si="12"/>
        <v>6.3705587896902482</v>
      </c>
      <c r="R28" s="100">
        <f t="shared" si="13"/>
        <v>3.9815992435564049</v>
      </c>
      <c r="S28" s="99">
        <f t="shared" si="14"/>
        <v>327758.59999999998</v>
      </c>
      <c r="T28" s="100">
        <f t="shared" si="15"/>
        <v>19</v>
      </c>
      <c r="U28" s="100">
        <f t="shared" si="16"/>
        <v>5</v>
      </c>
      <c r="V28" s="101">
        <v>1</v>
      </c>
      <c r="W28" s="101">
        <v>1</v>
      </c>
      <c r="X28" s="102"/>
      <c r="Y28" s="102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  <c r="BY28" s="104"/>
      <c r="BZ28" s="104"/>
      <c r="CA28" s="104"/>
      <c r="CB28" s="104"/>
      <c r="CC28" s="104"/>
      <c r="CD28" s="104"/>
      <c r="CE28" s="104"/>
      <c r="CF28" s="104"/>
      <c r="CG28" s="104"/>
      <c r="CH28" s="104"/>
      <c r="CI28" s="104"/>
      <c r="CJ28" s="104"/>
      <c r="CK28" s="104"/>
      <c r="CL28" s="104"/>
      <c r="CM28" s="104"/>
      <c r="CN28" s="104"/>
      <c r="CO28" s="104"/>
      <c r="CP28" s="104"/>
      <c r="CQ28" s="104"/>
      <c r="CR28" s="104"/>
      <c r="CS28" s="104"/>
      <c r="CT28" s="104"/>
      <c r="CU28" s="104"/>
      <c r="CV28" s="104"/>
      <c r="CW28" s="104"/>
      <c r="CX28" s="104"/>
      <c r="CY28" s="104"/>
      <c r="CZ28" s="104"/>
      <c r="DA28" s="104"/>
      <c r="DB28" s="104"/>
      <c r="DC28" s="104"/>
      <c r="DD28" s="104"/>
      <c r="DE28" s="104"/>
      <c r="DF28" s="104"/>
      <c r="DG28" s="104"/>
      <c r="DH28" s="104"/>
      <c r="DI28" s="104"/>
      <c r="DJ28" s="104"/>
      <c r="DK28" s="104"/>
      <c r="DL28" s="104"/>
      <c r="DM28" s="104"/>
      <c r="DN28" s="104"/>
      <c r="DO28" s="104"/>
      <c r="DP28" s="104"/>
      <c r="DQ28" s="104"/>
      <c r="DR28" s="104"/>
      <c r="DS28" s="104"/>
      <c r="DT28" s="104"/>
      <c r="DU28" s="104"/>
      <c r="DV28" s="104"/>
      <c r="DW28" s="104"/>
      <c r="DX28" s="104"/>
      <c r="DY28" s="104"/>
      <c r="DZ28" s="104"/>
      <c r="EA28" s="104"/>
      <c r="EB28" s="104"/>
      <c r="EC28" s="104"/>
      <c r="ED28" s="104"/>
      <c r="EE28" s="104"/>
      <c r="EF28" s="104"/>
      <c r="EG28" s="104"/>
      <c r="EH28" s="104"/>
      <c r="EI28" s="104"/>
      <c r="EJ28" s="104"/>
      <c r="EK28" s="104"/>
      <c r="EL28" s="104"/>
      <c r="EM28" s="104"/>
      <c r="EN28" s="104"/>
      <c r="EO28" s="104"/>
      <c r="EP28" s="104"/>
      <c r="EQ28" s="104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4"/>
      <c r="FQ28" s="104"/>
      <c r="FR28" s="104"/>
      <c r="FS28" s="104"/>
      <c r="FT28" s="104"/>
      <c r="FU28" s="104"/>
      <c r="FV28" s="104"/>
      <c r="FW28" s="104"/>
      <c r="FX28" s="104"/>
      <c r="FY28" s="104"/>
      <c r="FZ28" s="104"/>
      <c r="GA28" s="104"/>
      <c r="GB28" s="104"/>
      <c r="GC28" s="104"/>
      <c r="GD28" s="104"/>
      <c r="GE28" s="104"/>
      <c r="GF28" s="104"/>
      <c r="GG28" s="104"/>
      <c r="GH28" s="104"/>
      <c r="GI28" s="104"/>
      <c r="GJ28" s="104"/>
      <c r="GK28" s="104"/>
      <c r="GL28" s="104"/>
      <c r="GM28" s="10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104"/>
      <c r="HR28" s="104"/>
      <c r="HS28" s="104"/>
      <c r="HT28" s="104"/>
      <c r="HU28" s="104"/>
      <c r="HV28" s="104"/>
      <c r="HW28" s="104"/>
      <c r="HX28" s="104"/>
      <c r="HY28" s="104"/>
      <c r="HZ28" s="104"/>
      <c r="IA28" s="104"/>
      <c r="IB28" s="104"/>
      <c r="IC28" s="104"/>
      <c r="ID28" s="104"/>
      <c r="IE28" s="104"/>
      <c r="IF28" s="104"/>
      <c r="IG28" s="104"/>
      <c r="IH28" s="104"/>
      <c r="II28" s="104"/>
      <c r="IJ28" s="104"/>
      <c r="IK28" s="104"/>
      <c r="IL28" s="104"/>
      <c r="IM28" s="104"/>
      <c r="IN28" s="104"/>
      <c r="IO28" s="104"/>
      <c r="IP28" s="104"/>
      <c r="IQ28" s="104"/>
      <c r="IR28" s="104"/>
      <c r="IS28" s="104"/>
      <c r="IT28" s="104"/>
      <c r="IU28" s="104"/>
    </row>
    <row r="29" spans="1:255" s="91" customFormat="1" ht="15" customHeight="1">
      <c r="A29" s="535">
        <v>5</v>
      </c>
      <c r="B29" s="536">
        <v>45665</v>
      </c>
      <c r="C29" s="537" t="s">
        <v>47</v>
      </c>
      <c r="D29" s="515">
        <v>29826</v>
      </c>
      <c r="E29" s="538">
        <v>9</v>
      </c>
      <c r="F29" s="538">
        <v>3513</v>
      </c>
      <c r="G29" s="538">
        <v>6</v>
      </c>
      <c r="H29" s="538">
        <v>7278</v>
      </c>
      <c r="I29" s="538"/>
      <c r="J29" s="539">
        <v>2.0699999999999998</v>
      </c>
      <c r="K29" s="538"/>
      <c r="L29" s="538"/>
      <c r="M29" s="538"/>
      <c r="N29" s="540"/>
      <c r="O29" s="541">
        <v>0.8</v>
      </c>
      <c r="P29" s="542">
        <v>127742</v>
      </c>
      <c r="Q29" s="543">
        <v>35</v>
      </c>
      <c r="R29" s="543">
        <v>22</v>
      </c>
      <c r="S29" s="542">
        <v>101885</v>
      </c>
      <c r="T29" s="543">
        <v>29</v>
      </c>
      <c r="U29" s="543">
        <v>14</v>
      </c>
      <c r="V29" s="544">
        <v>1.2</v>
      </c>
      <c r="W29" s="544">
        <v>1.2</v>
      </c>
      <c r="X29" s="545"/>
      <c r="Y29" s="545"/>
      <c r="Z29" s="546"/>
      <c r="AA29" s="546"/>
      <c r="AB29" s="546"/>
      <c r="AC29" s="546"/>
      <c r="AD29" s="546"/>
      <c r="AE29" s="546"/>
      <c r="AF29" s="546"/>
      <c r="AG29" s="546"/>
      <c r="AH29" s="546"/>
      <c r="AI29" s="546"/>
      <c r="AJ29" s="546"/>
      <c r="AK29" s="546"/>
      <c r="AL29" s="546"/>
      <c r="AM29" s="546"/>
      <c r="AN29" s="546"/>
      <c r="AO29" s="546"/>
      <c r="AP29" s="546"/>
      <c r="AQ29" s="546"/>
      <c r="AR29" s="546"/>
      <c r="AS29" s="546"/>
      <c r="AT29" s="546"/>
      <c r="AU29" s="546"/>
      <c r="AV29" s="546"/>
      <c r="AW29" s="546"/>
      <c r="AX29" s="546"/>
      <c r="AY29" s="546"/>
      <c r="AZ29" s="546"/>
      <c r="BA29" s="546"/>
      <c r="BB29" s="546"/>
      <c r="BC29" s="546"/>
      <c r="BD29" s="546"/>
      <c r="BE29" s="546"/>
      <c r="BF29" s="546"/>
      <c r="BG29" s="546"/>
      <c r="BH29" s="546"/>
      <c r="BI29" s="546"/>
      <c r="BJ29" s="546"/>
      <c r="BK29" s="546"/>
      <c r="BL29" s="546"/>
      <c r="BM29" s="546"/>
      <c r="BN29" s="546"/>
      <c r="BO29" s="546"/>
      <c r="BP29" s="546"/>
      <c r="BQ29" s="546"/>
      <c r="BR29" s="546"/>
      <c r="BS29" s="546"/>
      <c r="BT29" s="546"/>
      <c r="BU29" s="546"/>
      <c r="BV29" s="546"/>
      <c r="BW29" s="546"/>
      <c r="BX29" s="546"/>
      <c r="BY29" s="546"/>
      <c r="BZ29" s="546"/>
      <c r="CA29" s="546"/>
      <c r="CB29" s="546"/>
      <c r="CC29" s="546"/>
      <c r="CD29" s="546"/>
      <c r="CE29" s="546"/>
      <c r="CF29" s="546"/>
      <c r="CG29" s="546"/>
      <c r="CH29" s="546"/>
      <c r="CI29" s="546"/>
      <c r="CJ29" s="546"/>
      <c r="CK29" s="546"/>
      <c r="CL29" s="546"/>
      <c r="CM29" s="546"/>
      <c r="CN29" s="546"/>
      <c r="CO29" s="546"/>
      <c r="CP29" s="546"/>
      <c r="CQ29" s="546"/>
      <c r="CR29" s="546"/>
      <c r="CS29" s="546"/>
      <c r="CT29" s="546"/>
      <c r="CU29" s="546"/>
      <c r="CV29" s="546"/>
      <c r="CW29" s="546"/>
      <c r="CX29" s="546"/>
      <c r="CY29" s="546"/>
      <c r="CZ29" s="546"/>
      <c r="DA29" s="546"/>
      <c r="DB29" s="546"/>
      <c r="DC29" s="546"/>
      <c r="DD29" s="546"/>
      <c r="DE29" s="546"/>
      <c r="DF29" s="546"/>
      <c r="DG29" s="546"/>
      <c r="DH29" s="546"/>
      <c r="DI29" s="546"/>
      <c r="DJ29" s="546"/>
      <c r="DK29" s="546"/>
      <c r="DL29" s="546"/>
      <c r="DM29" s="546"/>
      <c r="DN29" s="546"/>
      <c r="DO29" s="546"/>
      <c r="DP29" s="546"/>
      <c r="DQ29" s="546"/>
      <c r="DR29" s="546"/>
      <c r="DS29" s="546"/>
      <c r="DT29" s="546"/>
      <c r="DU29" s="546"/>
      <c r="DV29" s="546"/>
      <c r="DW29" s="546"/>
      <c r="DX29" s="546"/>
      <c r="DY29" s="546"/>
      <c r="DZ29" s="546"/>
      <c r="EA29" s="546"/>
      <c r="EB29" s="546"/>
      <c r="EC29" s="546"/>
      <c r="ED29" s="546"/>
      <c r="EE29" s="546"/>
      <c r="EF29" s="546"/>
      <c r="EG29" s="546"/>
      <c r="EH29" s="546"/>
      <c r="EI29" s="546"/>
      <c r="EJ29" s="546"/>
      <c r="EK29" s="546"/>
      <c r="EL29" s="546"/>
      <c r="EM29" s="546"/>
      <c r="EN29" s="546"/>
      <c r="EO29" s="546"/>
      <c r="EP29" s="546"/>
      <c r="EQ29" s="546"/>
      <c r="ER29" s="546"/>
      <c r="ES29" s="546"/>
      <c r="ET29" s="546"/>
      <c r="EU29" s="546"/>
      <c r="EV29" s="546"/>
      <c r="EW29" s="546"/>
      <c r="EX29" s="546"/>
      <c r="EY29" s="546"/>
      <c r="EZ29" s="546"/>
      <c r="FA29" s="546"/>
      <c r="FB29" s="546"/>
      <c r="FC29" s="546"/>
      <c r="FD29" s="546"/>
      <c r="FE29" s="546"/>
      <c r="FF29" s="546"/>
      <c r="FG29" s="546"/>
      <c r="FH29" s="546"/>
      <c r="FI29" s="546"/>
      <c r="FJ29" s="546"/>
      <c r="FK29" s="546"/>
      <c r="FL29" s="546"/>
      <c r="FM29" s="546"/>
      <c r="FN29" s="546"/>
      <c r="FO29" s="546"/>
      <c r="FP29" s="546"/>
      <c r="FQ29" s="546"/>
      <c r="FR29" s="546"/>
      <c r="FS29" s="546"/>
      <c r="FT29" s="546"/>
      <c r="FU29" s="546"/>
      <c r="FV29" s="546"/>
      <c r="FW29" s="546"/>
      <c r="FX29" s="546"/>
      <c r="FY29" s="546"/>
      <c r="FZ29" s="546"/>
      <c r="GA29" s="546"/>
      <c r="GB29" s="546"/>
      <c r="GC29" s="546"/>
      <c r="GD29" s="546"/>
      <c r="GE29" s="546"/>
      <c r="GF29" s="546"/>
      <c r="GG29" s="546"/>
      <c r="GH29" s="546"/>
      <c r="GI29" s="546"/>
      <c r="GJ29" s="546"/>
      <c r="GK29" s="546"/>
      <c r="GL29" s="546"/>
      <c r="GM29" s="546"/>
      <c r="GN29" s="546"/>
      <c r="GO29" s="546"/>
      <c r="GP29" s="546"/>
      <c r="GQ29" s="546"/>
      <c r="GR29" s="546"/>
      <c r="GS29" s="546"/>
      <c r="GT29" s="546"/>
      <c r="GU29" s="546"/>
      <c r="GV29" s="546"/>
      <c r="GW29" s="546"/>
      <c r="GX29" s="546"/>
      <c r="GY29" s="546"/>
      <c r="GZ29" s="546"/>
      <c r="HA29" s="546"/>
      <c r="HB29" s="546"/>
      <c r="HC29" s="546"/>
      <c r="HD29" s="546"/>
      <c r="HE29" s="546"/>
      <c r="HF29" s="546"/>
      <c r="HG29" s="546"/>
      <c r="HH29" s="546"/>
      <c r="HI29" s="546"/>
      <c r="HJ29" s="546"/>
      <c r="HK29" s="546"/>
      <c r="HL29" s="546"/>
      <c r="HM29" s="546"/>
      <c r="HN29" s="546"/>
      <c r="HO29" s="546"/>
      <c r="HP29" s="546"/>
      <c r="HQ29" s="546"/>
      <c r="HR29" s="546"/>
      <c r="HS29" s="546"/>
      <c r="HT29" s="546"/>
      <c r="HU29" s="546"/>
      <c r="HV29" s="546"/>
      <c r="HW29" s="546"/>
      <c r="HX29" s="546"/>
      <c r="HY29" s="546"/>
      <c r="HZ29" s="546"/>
      <c r="IA29" s="546"/>
      <c r="IB29" s="546"/>
      <c r="IC29" s="546"/>
      <c r="ID29" s="546"/>
      <c r="IE29" s="546"/>
      <c r="IF29" s="546"/>
      <c r="IG29" s="546"/>
      <c r="IH29" s="546"/>
      <c r="II29" s="546"/>
      <c r="IJ29" s="546"/>
      <c r="IK29" s="546"/>
      <c r="IL29" s="546"/>
      <c r="IM29" s="546"/>
      <c r="IN29" s="546"/>
      <c r="IO29" s="546"/>
      <c r="IP29" s="546"/>
      <c r="IQ29" s="546"/>
      <c r="IR29" s="546"/>
      <c r="IS29" s="546"/>
      <c r="IT29" s="546"/>
      <c r="IU29" s="546"/>
    </row>
    <row r="30" spans="1:255" s="91" customFormat="1" ht="15" customHeight="1">
      <c r="A30" s="92">
        <v>6</v>
      </c>
      <c r="B30" s="183">
        <v>45667</v>
      </c>
      <c r="C30" s="180" t="s">
        <v>50</v>
      </c>
      <c r="D30" s="95">
        <v>38280</v>
      </c>
      <c r="E30" s="96">
        <v>12</v>
      </c>
      <c r="F30" s="96">
        <f t="shared" ref="F30:F50" si="17">IF(AND(E30&lt;&gt;"",E30&lt;&gt;0),D30/E30,"")</f>
        <v>3190</v>
      </c>
      <c r="G30" s="96">
        <v>8</v>
      </c>
      <c r="H30" s="96">
        <f t="shared" ref="H30:H50" si="18">IF(AND(G30&lt;&gt;"",G30&lt;&gt;0),D30/G30,"")</f>
        <v>4785</v>
      </c>
      <c r="I30" s="96"/>
      <c r="J30" s="184"/>
      <c r="K30" s="96"/>
      <c r="L30" s="96"/>
      <c r="M30" s="96"/>
      <c r="N30" s="97"/>
      <c r="O30" s="98"/>
      <c r="P30" s="99">
        <f t="shared" si="11"/>
        <v>23507.361933957018</v>
      </c>
      <c r="Q30" s="100"/>
      <c r="R30" s="100"/>
      <c r="S30" s="99"/>
      <c r="T30" s="100"/>
      <c r="U30" s="100"/>
      <c r="V30" s="101">
        <v>1</v>
      </c>
      <c r="W30" s="101">
        <v>1</v>
      </c>
      <c r="X30" s="102"/>
      <c r="Y30" s="102"/>
      <c r="Z30" s="105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  <c r="BY30" s="104"/>
      <c r="BZ30" s="104"/>
      <c r="CA30" s="104"/>
      <c r="CB30" s="104"/>
      <c r="CC30" s="104"/>
      <c r="CD30" s="104"/>
      <c r="CE30" s="104"/>
      <c r="CF30" s="104"/>
      <c r="CG30" s="104"/>
      <c r="CH30" s="104"/>
      <c r="CI30" s="104"/>
      <c r="CJ30" s="104"/>
      <c r="CK30" s="104"/>
      <c r="CL30" s="104"/>
      <c r="CM30" s="104"/>
      <c r="CN30" s="104"/>
      <c r="CO30" s="104"/>
      <c r="CP30" s="104"/>
      <c r="CQ30" s="104"/>
      <c r="CR30" s="104"/>
      <c r="CS30" s="104"/>
      <c r="CT30" s="104"/>
      <c r="CU30" s="104"/>
      <c r="CV30" s="104"/>
      <c r="CW30" s="104"/>
      <c r="CX30" s="104"/>
      <c r="CY30" s="104"/>
      <c r="CZ30" s="104"/>
      <c r="DA30" s="104"/>
      <c r="DB30" s="104"/>
      <c r="DC30" s="104"/>
      <c r="DD30" s="104"/>
      <c r="DE30" s="104"/>
      <c r="DF30" s="104"/>
      <c r="DG30" s="104"/>
      <c r="DH30" s="104"/>
      <c r="DI30" s="104"/>
      <c r="DJ30" s="104"/>
      <c r="DK30" s="104"/>
      <c r="DL30" s="104"/>
      <c r="DM30" s="104"/>
      <c r="DN30" s="104"/>
      <c r="DO30" s="104"/>
      <c r="DP30" s="104"/>
      <c r="DQ30" s="104"/>
      <c r="DR30" s="104"/>
      <c r="DS30" s="104"/>
      <c r="DT30" s="104"/>
      <c r="DU30" s="104"/>
      <c r="DV30" s="104"/>
      <c r="DW30" s="104"/>
      <c r="DX30" s="104"/>
      <c r="DY30" s="104"/>
      <c r="DZ30" s="104"/>
      <c r="EA30" s="104"/>
      <c r="EB30" s="104"/>
      <c r="EC30" s="104"/>
      <c r="ED30" s="104"/>
      <c r="EE30" s="104"/>
      <c r="EF30" s="104"/>
      <c r="EG30" s="104"/>
      <c r="EH30" s="104"/>
      <c r="EI30" s="104"/>
      <c r="EJ30" s="104"/>
      <c r="EK30" s="104"/>
      <c r="EL30" s="104"/>
      <c r="EM30" s="104"/>
      <c r="EN30" s="104"/>
      <c r="EO30" s="104"/>
      <c r="EP30" s="104"/>
      <c r="EQ30" s="104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4"/>
      <c r="FQ30" s="104"/>
      <c r="FR30" s="104"/>
      <c r="FS30" s="104"/>
      <c r="FT30" s="104"/>
      <c r="FU30" s="104"/>
      <c r="FV30" s="104"/>
      <c r="FW30" s="104"/>
      <c r="FX30" s="104"/>
      <c r="FY30" s="104"/>
      <c r="FZ30" s="104"/>
      <c r="GA30" s="104"/>
      <c r="GB30" s="104"/>
      <c r="GC30" s="104"/>
      <c r="GD30" s="104"/>
      <c r="GE30" s="104"/>
      <c r="GF30" s="104"/>
      <c r="GG30" s="104"/>
      <c r="GH30" s="104"/>
      <c r="GI30" s="104"/>
      <c r="GJ30" s="104"/>
      <c r="GK30" s="104"/>
      <c r="GL30" s="104"/>
      <c r="GM30" s="104"/>
      <c r="GN30" s="104"/>
      <c r="GO30" s="104"/>
      <c r="GP30" s="104"/>
      <c r="GQ30" s="104"/>
      <c r="GR30" s="104"/>
      <c r="GS30" s="104"/>
      <c r="GT30" s="104"/>
      <c r="GU30" s="104"/>
      <c r="GV30" s="104"/>
      <c r="GW30" s="104"/>
      <c r="GX30" s="104"/>
      <c r="GY30" s="104"/>
      <c r="GZ30" s="104"/>
      <c r="HA30" s="104"/>
      <c r="HB30" s="104"/>
      <c r="HC30" s="104"/>
      <c r="HD30" s="104"/>
      <c r="HE30" s="104"/>
      <c r="HF30" s="104"/>
      <c r="HG30" s="104"/>
      <c r="HH30" s="104"/>
      <c r="HI30" s="104"/>
      <c r="HJ30" s="104"/>
      <c r="HK30" s="104"/>
      <c r="HL30" s="104"/>
      <c r="HM30" s="104"/>
      <c r="HN30" s="104"/>
      <c r="HO30" s="104"/>
      <c r="HP30" s="104"/>
      <c r="HQ30" s="104"/>
      <c r="HR30" s="104"/>
      <c r="HS30" s="104"/>
      <c r="HT30" s="104"/>
      <c r="HU30" s="104"/>
      <c r="HV30" s="104"/>
      <c r="HW30" s="104"/>
      <c r="HX30" s="104"/>
      <c r="HY30" s="104"/>
      <c r="HZ30" s="104"/>
      <c r="IA30" s="104"/>
      <c r="IB30" s="104"/>
      <c r="IC30" s="104"/>
      <c r="ID30" s="104"/>
      <c r="IE30" s="104"/>
      <c r="IF30" s="104"/>
      <c r="IG30" s="104"/>
      <c r="IH30" s="104"/>
      <c r="II30" s="104"/>
      <c r="IJ30" s="104"/>
      <c r="IK30" s="104"/>
      <c r="IL30" s="104"/>
      <c r="IM30" s="104"/>
      <c r="IN30" s="104"/>
      <c r="IO30" s="104"/>
      <c r="IP30" s="104"/>
      <c r="IQ30" s="104"/>
      <c r="IR30" s="104"/>
      <c r="IS30" s="104"/>
      <c r="IT30" s="104"/>
      <c r="IU30" s="104"/>
    </row>
    <row r="31" spans="1:255" s="91" customFormat="1">
      <c r="A31" s="535">
        <v>7</v>
      </c>
      <c r="B31" s="536">
        <v>45668</v>
      </c>
      <c r="C31" s="116" t="s">
        <v>50</v>
      </c>
      <c r="D31" s="515">
        <v>24761</v>
      </c>
      <c r="E31" s="538">
        <v>6</v>
      </c>
      <c r="F31" s="538">
        <v>4208</v>
      </c>
      <c r="G31" s="538">
        <v>2</v>
      </c>
      <c r="H31" s="538">
        <v>9818</v>
      </c>
      <c r="I31" s="538"/>
      <c r="J31" s="539">
        <v>2.33</v>
      </c>
      <c r="K31" s="538"/>
      <c r="L31" s="538"/>
      <c r="M31" s="538"/>
      <c r="N31" s="540"/>
      <c r="O31" s="541">
        <v>0.35</v>
      </c>
      <c r="P31" s="542">
        <v>83841</v>
      </c>
      <c r="Q31" s="543">
        <v>23</v>
      </c>
      <c r="R31" s="543">
        <v>14</v>
      </c>
      <c r="S31" s="542">
        <v>29453</v>
      </c>
      <c r="T31" s="543">
        <v>7</v>
      </c>
      <c r="U31" s="543">
        <v>3</v>
      </c>
      <c r="V31" s="544">
        <v>1</v>
      </c>
      <c r="W31" s="544">
        <v>1</v>
      </c>
      <c r="X31" s="545"/>
      <c r="Y31" s="545"/>
      <c r="Z31" s="547"/>
      <c r="AA31" s="547"/>
      <c r="AB31" s="547"/>
      <c r="AC31" s="547"/>
      <c r="AD31" s="547"/>
      <c r="AE31" s="547"/>
      <c r="AF31" s="547"/>
      <c r="AG31" s="547"/>
      <c r="AH31" s="547"/>
      <c r="AI31" s="547"/>
      <c r="AJ31" s="547"/>
      <c r="AK31" s="547"/>
      <c r="AL31" s="547"/>
      <c r="AM31" s="547"/>
      <c r="AN31" s="547"/>
      <c r="AO31" s="547"/>
      <c r="AP31" s="547"/>
      <c r="AQ31" s="547"/>
      <c r="AR31" s="547"/>
      <c r="AS31" s="547"/>
      <c r="AT31" s="547"/>
      <c r="AU31" s="547"/>
      <c r="AV31" s="547"/>
      <c r="AW31" s="547"/>
      <c r="AX31" s="547"/>
      <c r="AY31" s="547"/>
      <c r="AZ31" s="547"/>
      <c r="BA31" s="547"/>
      <c r="BB31" s="547"/>
      <c r="BC31" s="547"/>
      <c r="BD31" s="547"/>
      <c r="BE31" s="547"/>
      <c r="BF31" s="547"/>
      <c r="BG31" s="547"/>
      <c r="BH31" s="547"/>
      <c r="BI31" s="547"/>
      <c r="BJ31" s="547"/>
      <c r="BK31" s="547"/>
      <c r="BL31" s="547"/>
      <c r="BM31" s="547"/>
      <c r="BN31" s="547"/>
      <c r="BO31" s="547"/>
      <c r="BP31" s="547"/>
      <c r="BQ31" s="547"/>
      <c r="BR31" s="547"/>
      <c r="BS31" s="547"/>
      <c r="BT31" s="547"/>
      <c r="BU31" s="547"/>
      <c r="BV31" s="547"/>
      <c r="BW31" s="547"/>
      <c r="BX31" s="547"/>
      <c r="BY31" s="547"/>
      <c r="BZ31" s="547"/>
      <c r="CA31" s="547"/>
      <c r="CB31" s="547"/>
      <c r="CC31" s="547"/>
      <c r="CD31" s="547"/>
      <c r="CE31" s="547"/>
      <c r="CF31" s="547"/>
      <c r="CG31" s="547"/>
      <c r="CH31" s="547"/>
      <c r="CI31" s="547"/>
      <c r="CJ31" s="547"/>
      <c r="CK31" s="547"/>
      <c r="CL31" s="547"/>
      <c r="CM31" s="547"/>
      <c r="CN31" s="547"/>
      <c r="CO31" s="547"/>
      <c r="CP31" s="547"/>
      <c r="CQ31" s="547"/>
      <c r="CR31" s="547"/>
      <c r="CS31" s="547"/>
      <c r="CT31" s="547"/>
      <c r="CU31" s="547"/>
      <c r="CV31" s="547"/>
      <c r="CW31" s="547"/>
      <c r="CX31" s="547"/>
      <c r="CY31" s="547"/>
      <c r="CZ31" s="547"/>
      <c r="DA31" s="547"/>
      <c r="DB31" s="547"/>
      <c r="DC31" s="547"/>
      <c r="DD31" s="547"/>
      <c r="DE31" s="547"/>
      <c r="DF31" s="547"/>
      <c r="DG31" s="547"/>
      <c r="DH31" s="547"/>
      <c r="DI31" s="547"/>
      <c r="DJ31" s="547"/>
      <c r="DK31" s="547"/>
      <c r="DL31" s="547"/>
      <c r="DM31" s="547"/>
      <c r="DN31" s="547"/>
      <c r="DO31" s="547"/>
      <c r="DP31" s="547"/>
      <c r="DQ31" s="547"/>
      <c r="DR31" s="547"/>
      <c r="DS31" s="547"/>
      <c r="DT31" s="547"/>
      <c r="DU31" s="547"/>
      <c r="DV31" s="547"/>
      <c r="DW31" s="547"/>
      <c r="DX31" s="547"/>
      <c r="DY31" s="547"/>
      <c r="DZ31" s="547"/>
      <c r="EA31" s="547"/>
      <c r="EB31" s="547"/>
      <c r="EC31" s="547"/>
      <c r="ED31" s="547"/>
      <c r="EE31" s="547"/>
      <c r="EF31" s="547"/>
      <c r="EG31" s="547"/>
      <c r="EH31" s="547"/>
      <c r="EI31" s="547"/>
      <c r="EJ31" s="547"/>
      <c r="EK31" s="547"/>
      <c r="EL31" s="547"/>
      <c r="EM31" s="547"/>
      <c r="EN31" s="547"/>
      <c r="EO31" s="547"/>
      <c r="EP31" s="547"/>
      <c r="EQ31" s="547"/>
      <c r="ER31" s="547"/>
      <c r="ES31" s="547"/>
      <c r="ET31" s="547"/>
      <c r="EU31" s="547"/>
      <c r="EV31" s="547"/>
      <c r="EW31" s="547"/>
      <c r="EX31" s="547"/>
      <c r="EY31" s="547"/>
      <c r="EZ31" s="547"/>
      <c r="FA31" s="547"/>
      <c r="FB31" s="547"/>
      <c r="FC31" s="547"/>
      <c r="FD31" s="547"/>
      <c r="FE31" s="547"/>
      <c r="FF31" s="547"/>
      <c r="FG31" s="547"/>
      <c r="FH31" s="547"/>
      <c r="FI31" s="547"/>
      <c r="FJ31" s="547"/>
      <c r="FK31" s="547"/>
      <c r="FL31" s="547"/>
      <c r="FM31" s="547"/>
      <c r="FN31" s="547"/>
      <c r="FO31" s="547"/>
      <c r="FP31" s="547"/>
      <c r="FQ31" s="547"/>
      <c r="FR31" s="547"/>
      <c r="FS31" s="547"/>
      <c r="FT31" s="547"/>
      <c r="FU31" s="547"/>
      <c r="FV31" s="547"/>
      <c r="FW31" s="547"/>
      <c r="FX31" s="547"/>
      <c r="FY31" s="547"/>
      <c r="FZ31" s="547"/>
      <c r="GA31" s="547"/>
      <c r="GB31" s="547"/>
      <c r="GC31" s="547"/>
      <c r="GD31" s="547"/>
      <c r="GE31" s="547"/>
      <c r="GF31" s="547"/>
      <c r="GG31" s="547"/>
      <c r="GH31" s="547"/>
      <c r="GI31" s="547"/>
      <c r="GJ31" s="547"/>
      <c r="GK31" s="547"/>
      <c r="GL31" s="547"/>
      <c r="GM31" s="547"/>
      <c r="GN31" s="547"/>
      <c r="GO31" s="547"/>
      <c r="GP31" s="547"/>
      <c r="GQ31" s="547"/>
      <c r="GR31" s="547"/>
      <c r="GS31" s="547"/>
      <c r="GT31" s="547"/>
      <c r="GU31" s="547"/>
      <c r="GV31" s="547"/>
      <c r="GW31" s="547"/>
      <c r="GX31" s="547"/>
      <c r="GY31" s="547"/>
      <c r="GZ31" s="547"/>
      <c r="HA31" s="547"/>
      <c r="HB31" s="547"/>
      <c r="HC31" s="547"/>
      <c r="HD31" s="547"/>
      <c r="HE31" s="547"/>
      <c r="HF31" s="547"/>
      <c r="HG31" s="547"/>
      <c r="HH31" s="547"/>
      <c r="HI31" s="547"/>
      <c r="HJ31" s="547"/>
      <c r="HK31" s="547"/>
      <c r="HL31" s="547"/>
      <c r="HM31" s="547"/>
      <c r="HN31" s="547"/>
      <c r="HO31" s="547"/>
      <c r="HP31" s="547"/>
      <c r="HQ31" s="547"/>
      <c r="HR31" s="547"/>
      <c r="HS31" s="547"/>
      <c r="HT31" s="547"/>
      <c r="HU31" s="547"/>
      <c r="HV31" s="547"/>
      <c r="HW31" s="547"/>
      <c r="HX31" s="547"/>
      <c r="HY31" s="547"/>
      <c r="HZ31" s="547"/>
      <c r="IA31" s="547"/>
      <c r="IB31" s="547"/>
      <c r="IC31" s="547"/>
      <c r="ID31" s="547"/>
      <c r="IE31" s="547"/>
      <c r="IF31" s="547"/>
      <c r="IG31" s="547"/>
      <c r="IH31" s="547"/>
      <c r="II31" s="547"/>
      <c r="IJ31" s="547"/>
      <c r="IK31" s="547"/>
      <c r="IL31" s="547"/>
      <c r="IM31" s="547"/>
      <c r="IN31" s="547"/>
      <c r="IO31" s="547"/>
      <c r="IP31" s="547"/>
      <c r="IQ31" s="547"/>
      <c r="IR31" s="547"/>
      <c r="IS31" s="547"/>
      <c r="IT31" s="547"/>
      <c r="IU31" s="547"/>
    </row>
    <row r="32" spans="1:255">
      <c r="A32" s="108">
        <v>8</v>
      </c>
      <c r="B32" s="514">
        <v>45669</v>
      </c>
      <c r="C32" s="524" t="s">
        <v>51</v>
      </c>
      <c r="D32" s="515">
        <v>7884</v>
      </c>
      <c r="E32" s="527">
        <v>2</v>
      </c>
      <c r="F32" s="517">
        <f t="shared" ref="F32:F33" si="19">IF(AND(E32&lt;&gt;"",E32&lt;&gt;0),D32/E32,"")</f>
        <v>3942</v>
      </c>
      <c r="G32" s="517">
        <v>2</v>
      </c>
      <c r="H32" s="517">
        <f t="shared" ref="H32:H33" si="20">IF(AND(G32&lt;&gt;"",G32&lt;&gt;0),D32/G32,"")</f>
        <v>3942</v>
      </c>
      <c r="I32" s="517"/>
      <c r="J32" s="515">
        <f t="shared" ref="J32:J33" si="21">IF(AND(G32&lt;&gt;"",G32&lt;&gt;0),E32/G32,"")</f>
        <v>1</v>
      </c>
      <c r="K32" s="517"/>
      <c r="L32" s="517"/>
      <c r="M32" s="517"/>
      <c r="N32" s="518" t="str">
        <f t="shared" ref="N32:N33" si="22">IF(AND(I32&lt;&gt;"",I32&lt;&gt;0),G32/I32,"")</f>
        <v/>
      </c>
      <c r="O32" s="519">
        <f t="shared" ref="O32:O33" si="23">D32/P32</f>
        <v>0.4140546846846847</v>
      </c>
      <c r="P32" s="520">
        <f t="shared" ref="P32:P33" si="24">$I$8*V32*W32/SUMPRODUCT($W$25:$W$55,$V$25:$V$55)</f>
        <v>19040.963166505186</v>
      </c>
      <c r="Q32" s="521">
        <f t="shared" ref="Q32:Q33" si="25">$I$9*V32*W32/SUMPRODUCT($W$25:$W$55,$V$25:$V$55)</f>
        <v>5.160152619649101</v>
      </c>
      <c r="R32" s="521">
        <f t="shared" ref="R32:R33" si="26">IF($I$12="","",Q32/$I$12)</f>
        <v>3.225095387280688</v>
      </c>
      <c r="S32" s="520">
        <f t="shared" ref="S32:S33" si="27">IF(W32&lt;&gt;"",IF(D32&lt;&gt;"",D32,($I$8-SUM($S$25:S31))*V32*W32/SUMPRODUCT($W32:$W$55,$V32:$V$55)),"")</f>
        <v>7884</v>
      </c>
      <c r="T32" s="521">
        <f>IF(W32&lt;&gt;"",IF(E31&lt;&gt;"",E31,($I$9-SUM($T$25:T31))*V32*W32/SUMPRODUCT($W32:$W$55,$V32:$V$55)),"")</f>
        <v>6</v>
      </c>
      <c r="U32" s="521">
        <f t="shared" ref="U32:U33" si="28">IF(W32&lt;&gt;"",IF($I$12&lt;&gt;"",IF(G32&lt;&gt;"",G32,($I$9/$I$12-SUM($U$25:U31))*V32*W32/SUMPRODUCT($W32:$W$55,$V32:$V$55)),""),"")</f>
        <v>2</v>
      </c>
      <c r="V32" s="522">
        <v>0.9</v>
      </c>
      <c r="W32" s="522">
        <v>0.9</v>
      </c>
      <c r="X32" s="523"/>
      <c r="Y32" s="523"/>
      <c r="Z32" s="2"/>
      <c r="AA32" s="2"/>
      <c r="AB32" s="2"/>
      <c r="AC32" s="2"/>
      <c r="AD32" s="2"/>
      <c r="AE32" s="2"/>
      <c r="AF32" s="2"/>
      <c r="AG32" s="2"/>
    </row>
    <row r="33" spans="1:33">
      <c r="A33" s="108">
        <v>9</v>
      </c>
      <c r="B33" s="514">
        <v>45671</v>
      </c>
      <c r="C33" s="524" t="s">
        <v>53</v>
      </c>
      <c r="D33" s="515">
        <v>4382</v>
      </c>
      <c r="E33" s="517">
        <v>1</v>
      </c>
      <c r="F33" s="517">
        <f t="shared" si="19"/>
        <v>4382</v>
      </c>
      <c r="G33" s="517">
        <v>1</v>
      </c>
      <c r="H33" s="517">
        <f t="shared" si="20"/>
        <v>4382</v>
      </c>
      <c r="I33" s="517"/>
      <c r="J33" s="515">
        <f t="shared" si="21"/>
        <v>1</v>
      </c>
      <c r="K33" s="517"/>
      <c r="L33" s="517"/>
      <c r="M33" s="517"/>
      <c r="N33" s="518" t="str">
        <f t="shared" si="22"/>
        <v/>
      </c>
      <c r="O33" s="519">
        <f t="shared" si="23"/>
        <v>0.29126513724662162</v>
      </c>
      <c r="P33" s="520">
        <f t="shared" si="24"/>
        <v>15044.711637732493</v>
      </c>
      <c r="Q33" s="521">
        <f t="shared" si="25"/>
        <v>4.0771576254017594</v>
      </c>
      <c r="R33" s="521">
        <f t="shared" si="26"/>
        <v>2.5482235158760993</v>
      </c>
      <c r="S33" s="520">
        <f t="shared" si="27"/>
        <v>4382</v>
      </c>
      <c r="T33" s="521">
        <f t="shared" ref="T33" si="29">IF(W33&lt;&gt;"",IF(E33&lt;&gt;"",E33,($I$9-SUM($T$25:T32))*V33*W33/SUMPRODUCT($W33:$W$55,$V33:$V$55)),"")</f>
        <v>1</v>
      </c>
      <c r="U33" s="521">
        <f t="shared" si="28"/>
        <v>1</v>
      </c>
      <c r="V33" s="522">
        <v>0.8</v>
      </c>
      <c r="W33" s="522">
        <v>0.8</v>
      </c>
      <c r="X33" s="523"/>
      <c r="Y33" s="523"/>
      <c r="Z33" s="2"/>
      <c r="AA33" s="2"/>
      <c r="AB33" s="2"/>
      <c r="AC33" s="2"/>
      <c r="AD33" s="2"/>
      <c r="AE33" s="2"/>
      <c r="AF33" s="2"/>
      <c r="AG33" s="2"/>
    </row>
    <row r="34" spans="1:33" s="91" customFormat="1">
      <c r="A34" s="92">
        <v>10</v>
      </c>
      <c r="B34" s="93">
        <v>45672</v>
      </c>
      <c r="C34" s="180" t="s">
        <v>47</v>
      </c>
      <c r="D34" s="95">
        <f>5992+5092</f>
        <v>11084</v>
      </c>
      <c r="E34" s="96">
        <v>2</v>
      </c>
      <c r="F34" s="96">
        <f t="shared" si="17"/>
        <v>5542</v>
      </c>
      <c r="G34" s="96">
        <v>2</v>
      </c>
      <c r="H34" s="96">
        <f t="shared" si="18"/>
        <v>5542</v>
      </c>
      <c r="I34" s="96"/>
      <c r="J34" s="181">
        <f t="shared" si="8"/>
        <v>1</v>
      </c>
      <c r="K34" s="96"/>
      <c r="L34" s="96"/>
      <c r="M34" s="96"/>
      <c r="N34" s="97" t="str">
        <f t="shared" si="9"/>
        <v/>
      </c>
      <c r="O34" s="98">
        <f t="shared" si="10"/>
        <v>0.47151186216216218</v>
      </c>
      <c r="P34" s="99">
        <f t="shared" si="11"/>
        <v>23507.361933957018</v>
      </c>
      <c r="Q34" s="100">
        <f t="shared" si="12"/>
        <v>6.3705587896902482</v>
      </c>
      <c r="R34" s="100">
        <f t="shared" si="13"/>
        <v>3.9815992435564049</v>
      </c>
      <c r="S34" s="99">
        <f t="shared" ref="S34:S48" si="30">IF(W34&lt;&gt;"",IF(D34&lt;&gt;"",D34,($I$8-SUM($S$25:S33))*V34*W34/SUMPRODUCT($W34:$W$60,$V34:$V$60)),"")</f>
        <v>11084</v>
      </c>
      <c r="T34" s="100">
        <f t="shared" ref="T34:T48" si="31">IF(W34&lt;&gt;"",IF(E34&lt;&gt;"",E34,($I$9-SUM($T$25:T33))*V34*W34/SUMPRODUCT($W34:$W$60,$V34:$V$60)),"")</f>
        <v>2</v>
      </c>
      <c r="U34" s="100">
        <f t="shared" ref="U34:U48" si="32">IF(W34&lt;&gt;"",IF($I$12&lt;&gt;"",IF(G34&lt;&gt;"",G34,($I$9/$I$12-SUM($U$25:U33))*V34*W34/SUMPRODUCT($W34:$W$60,$V34:$V$60)),""),"")</f>
        <v>2</v>
      </c>
      <c r="V34" s="101">
        <v>1</v>
      </c>
      <c r="W34" s="101">
        <v>1</v>
      </c>
      <c r="X34" s="102"/>
      <c r="Y34" s="102"/>
      <c r="Z34" s="104"/>
      <c r="AA34" s="104"/>
      <c r="AB34" s="104"/>
      <c r="AC34" s="104"/>
      <c r="AD34" s="104"/>
      <c r="AE34" s="104"/>
      <c r="AF34" s="104"/>
      <c r="AG34" s="104"/>
    </row>
    <row r="35" spans="1:33">
      <c r="A35" s="108">
        <v>11</v>
      </c>
      <c r="B35" s="514">
        <v>45673</v>
      </c>
      <c r="C35" s="524" t="s">
        <v>48</v>
      </c>
      <c r="D35" s="515">
        <v>16522</v>
      </c>
      <c r="E35" s="517">
        <v>5</v>
      </c>
      <c r="F35" s="517">
        <f t="shared" si="17"/>
        <v>3304.4</v>
      </c>
      <c r="G35" s="517">
        <v>5</v>
      </c>
      <c r="H35" s="517">
        <f t="shared" si="18"/>
        <v>3304.4</v>
      </c>
      <c r="I35" s="517"/>
      <c r="J35" s="515">
        <f t="shared" si="8"/>
        <v>1</v>
      </c>
      <c r="K35" s="517"/>
      <c r="L35" s="517"/>
      <c r="M35" s="517"/>
      <c r="N35" s="518" t="str">
        <f t="shared" si="9"/>
        <v/>
      </c>
      <c r="O35" s="519">
        <f t="shared" si="10"/>
        <v>1.098193198902027</v>
      </c>
      <c r="P35" s="520">
        <f t="shared" ref="P35:P38" si="33">$I$8*V35*W35/SUMPRODUCT($W$25:$W$55,$V$25:$V$55)</f>
        <v>15044.711637732493</v>
      </c>
      <c r="Q35" s="521">
        <f t="shared" ref="Q35:Q38" si="34">$I$9*V35*W35/SUMPRODUCT($W$25:$W$55,$V$25:$V$55)</f>
        <v>4.0771576254017594</v>
      </c>
      <c r="R35" s="521">
        <f t="shared" si="13"/>
        <v>2.5482235158760993</v>
      </c>
      <c r="S35" s="520">
        <f t="shared" ref="S35:S38" si="35">IF(W35&lt;&gt;"",IF(D35&lt;&gt;"",D35,($I$8-SUM($S$25:S34))*V35*W35/SUMPRODUCT($W35:$W$55,$V35:$V$55)),"")</f>
        <v>16522</v>
      </c>
      <c r="T35" s="521">
        <f t="shared" ref="T35" si="36">IF(W35&lt;&gt;"",IF(E35&lt;&gt;"",E35,($I$9-SUM($T$25:T34))*V35*W35/SUMPRODUCT($W35:$W$55,$V35:$V$55)),"")</f>
        <v>5</v>
      </c>
      <c r="U35" s="521">
        <f t="shared" ref="U35:U38" si="37">IF(W35&lt;&gt;"",IF($I$12&lt;&gt;"",IF(G35&lt;&gt;"",G35,($I$9/$I$12-SUM($U$25:U34))*V35*W35/SUMPRODUCT($W35:$W$55,$V35:$V$55)),""),"")</f>
        <v>5</v>
      </c>
      <c r="V35" s="522">
        <v>0.8</v>
      </c>
      <c r="W35" s="522">
        <v>0.8</v>
      </c>
      <c r="X35" s="523"/>
      <c r="Y35" s="523"/>
      <c r="Z35" s="2"/>
      <c r="AA35" s="2"/>
      <c r="AB35" s="2"/>
      <c r="AC35" s="2"/>
      <c r="AD35" s="2"/>
      <c r="AE35" s="2"/>
      <c r="AF35" s="2"/>
      <c r="AG35" s="2"/>
    </row>
    <row r="36" spans="1:33">
      <c r="A36" s="108">
        <v>12</v>
      </c>
      <c r="B36" s="514">
        <v>45674</v>
      </c>
      <c r="C36" s="527" t="s">
        <v>49</v>
      </c>
      <c r="D36" s="515">
        <v>19377</v>
      </c>
      <c r="E36" s="517">
        <v>4</v>
      </c>
      <c r="F36" s="517">
        <f t="shared" si="17"/>
        <v>4844.25</v>
      </c>
      <c r="G36" s="517">
        <v>2</v>
      </c>
      <c r="H36" s="517">
        <f t="shared" si="18"/>
        <v>9688.5</v>
      </c>
      <c r="I36" s="517"/>
      <c r="J36" s="515">
        <f t="shared" si="8"/>
        <v>2</v>
      </c>
      <c r="K36" s="517"/>
      <c r="L36" s="517"/>
      <c r="M36" s="517"/>
      <c r="N36" s="518" t="str">
        <f t="shared" si="9"/>
        <v/>
      </c>
      <c r="O36" s="519">
        <f t="shared" si="10"/>
        <v>1.0176481006006006</v>
      </c>
      <c r="P36" s="520">
        <f t="shared" si="33"/>
        <v>19040.963166505186</v>
      </c>
      <c r="Q36" s="521">
        <f t="shared" si="34"/>
        <v>5.160152619649101</v>
      </c>
      <c r="R36" s="521">
        <f t="shared" si="13"/>
        <v>3.225095387280688</v>
      </c>
      <c r="S36" s="520">
        <f t="shared" si="35"/>
        <v>19377</v>
      </c>
      <c r="T36" s="521">
        <f t="shared" ref="T36" si="38">IF(W36&lt;&gt;"",IF(E36&lt;&gt;"",E36,($I$9-SUM($T$25:T35))*V36*W36/SUMPRODUCT($W36:$W$55,$V36:$V$55)),"")</f>
        <v>4</v>
      </c>
      <c r="U36" s="521">
        <f t="shared" si="37"/>
        <v>2</v>
      </c>
      <c r="V36" s="522">
        <v>0.9</v>
      </c>
      <c r="W36" s="522">
        <v>0.9</v>
      </c>
      <c r="X36" s="523"/>
      <c r="Y36" s="523"/>
      <c r="Z36" s="2"/>
      <c r="AA36" s="2"/>
      <c r="AB36" s="2"/>
      <c r="AC36" s="2"/>
      <c r="AD36" s="2"/>
      <c r="AE36" s="2"/>
      <c r="AF36" s="2"/>
      <c r="AG36" s="2"/>
    </row>
    <row r="37" spans="1:33">
      <c r="A37" s="108">
        <v>13</v>
      </c>
      <c r="B37" s="514">
        <v>45677</v>
      </c>
      <c r="C37" s="524" t="s">
        <v>52</v>
      </c>
      <c r="D37" s="515">
        <v>26748</v>
      </c>
      <c r="E37" s="517">
        <v>6</v>
      </c>
      <c r="F37" s="517">
        <f t="shared" si="17"/>
        <v>4458</v>
      </c>
      <c r="G37" s="517">
        <v>2</v>
      </c>
      <c r="H37" s="517">
        <f t="shared" si="18"/>
        <v>13374</v>
      </c>
      <c r="I37" s="517"/>
      <c r="J37" s="515">
        <f t="shared" si="8"/>
        <v>3</v>
      </c>
      <c r="K37" s="517"/>
      <c r="L37" s="517"/>
      <c r="M37" s="517"/>
      <c r="N37" s="518" t="str">
        <f t="shared" si="9"/>
        <v/>
      </c>
      <c r="O37" s="519">
        <f t="shared" si="10"/>
        <v>1.7779004771959459</v>
      </c>
      <c r="P37" s="520">
        <f t="shared" si="33"/>
        <v>15044.711637732493</v>
      </c>
      <c r="Q37" s="521">
        <f t="shared" si="34"/>
        <v>4.0771576254017594</v>
      </c>
      <c r="R37" s="521">
        <f t="shared" si="13"/>
        <v>2.5482235158760993</v>
      </c>
      <c r="S37" s="520">
        <f t="shared" si="35"/>
        <v>26748</v>
      </c>
      <c r="T37" s="521">
        <f t="shared" ref="T37" si="39">IF(W37&lt;&gt;"",IF(E37&lt;&gt;"",E37,($I$9-SUM($T$25:T36))*V37*W37/SUMPRODUCT($W37:$W$55,$V37:$V$55)),"")</f>
        <v>6</v>
      </c>
      <c r="U37" s="521">
        <f t="shared" si="37"/>
        <v>2</v>
      </c>
      <c r="V37" s="522">
        <v>0.8</v>
      </c>
      <c r="W37" s="522">
        <v>0.8</v>
      </c>
      <c r="X37" s="523"/>
      <c r="Y37" s="523"/>
      <c r="Z37" s="528"/>
      <c r="AA37" s="2"/>
      <c r="AB37" s="2"/>
      <c r="AC37" s="2"/>
      <c r="AD37" s="2"/>
      <c r="AE37" s="2"/>
      <c r="AF37" s="2"/>
      <c r="AG37" s="2"/>
    </row>
    <row r="38" spans="1:33">
      <c r="A38" s="108">
        <v>14</v>
      </c>
      <c r="B38" s="514">
        <v>45678</v>
      </c>
      <c r="C38" s="116" t="s">
        <v>53</v>
      </c>
      <c r="D38" s="515">
        <v>11075</v>
      </c>
      <c r="E38" s="517">
        <v>3</v>
      </c>
      <c r="F38" s="517">
        <f t="shared" si="17"/>
        <v>3691.6666666666665</v>
      </c>
      <c r="G38" s="517">
        <v>2</v>
      </c>
      <c r="H38" s="517">
        <f t="shared" si="18"/>
        <v>5537.5</v>
      </c>
      <c r="I38" s="517"/>
      <c r="J38" s="515">
        <f t="shared" si="8"/>
        <v>1.5</v>
      </c>
      <c r="K38" s="517"/>
      <c r="L38" s="517"/>
      <c r="M38" s="517"/>
      <c r="N38" s="518" t="str">
        <f t="shared" si="9"/>
        <v/>
      </c>
      <c r="O38" s="519">
        <f t="shared" si="10"/>
        <v>0.73613906777871618</v>
      </c>
      <c r="P38" s="520">
        <f t="shared" si="33"/>
        <v>15044.711637732493</v>
      </c>
      <c r="Q38" s="521">
        <f t="shared" si="34"/>
        <v>4.0771576254017594</v>
      </c>
      <c r="R38" s="521">
        <f t="shared" si="13"/>
        <v>2.5482235158760993</v>
      </c>
      <c r="S38" s="520">
        <f t="shared" si="35"/>
        <v>11075</v>
      </c>
      <c r="T38" s="521">
        <f t="shared" ref="T38" si="40">IF(W38&lt;&gt;"",IF(E38&lt;&gt;"",E38,($I$9-SUM($T$25:T37))*V38*W38/SUMPRODUCT($W38:$W$55,$V38:$V$55)),"")</f>
        <v>3</v>
      </c>
      <c r="U38" s="521">
        <f t="shared" si="37"/>
        <v>2</v>
      </c>
      <c r="V38" s="522">
        <v>0.8</v>
      </c>
      <c r="W38" s="522">
        <v>0.8</v>
      </c>
      <c r="X38" s="523"/>
      <c r="Y38" s="523"/>
      <c r="Z38" s="528"/>
      <c r="AA38" s="2"/>
      <c r="AB38" s="2"/>
      <c r="AC38" s="2"/>
      <c r="AD38" s="2"/>
      <c r="AE38" s="2"/>
      <c r="AF38" s="2"/>
      <c r="AG38" s="2"/>
    </row>
    <row r="39" spans="1:33" s="91" customFormat="1">
      <c r="A39" s="92">
        <v>15</v>
      </c>
      <c r="B39" s="93"/>
      <c r="C39" s="568"/>
      <c r="D39" s="95"/>
      <c r="E39" s="178"/>
      <c r="F39" s="96" t="str">
        <f t="shared" si="17"/>
        <v/>
      </c>
      <c r="G39" s="178"/>
      <c r="H39" s="96" t="str">
        <f t="shared" si="18"/>
        <v/>
      </c>
      <c r="I39" s="178"/>
      <c r="J39" s="95" t="str">
        <f t="shared" si="8"/>
        <v/>
      </c>
      <c r="K39" s="96"/>
      <c r="L39" s="96"/>
      <c r="M39" s="96"/>
      <c r="N39" s="97" t="str">
        <f t="shared" si="9"/>
        <v/>
      </c>
      <c r="O39" s="98">
        <f t="shared" si="10"/>
        <v>0</v>
      </c>
      <c r="P39" s="99">
        <f t="shared" si="11"/>
        <v>23507.361933957018</v>
      </c>
      <c r="Q39" s="100">
        <f t="shared" si="12"/>
        <v>6.3705587896902482</v>
      </c>
      <c r="R39" s="100">
        <f t="shared" si="13"/>
        <v>3.9815992435564049</v>
      </c>
      <c r="S39" s="99">
        <f t="shared" ca="1" si="30"/>
        <v>5801.6150000000025</v>
      </c>
      <c r="T39" s="100">
        <f t="shared" si="31"/>
        <v>1.5102039822793443</v>
      </c>
      <c r="U39" s="100">
        <f t="shared" si="32"/>
        <v>2.9063774889245892</v>
      </c>
      <c r="V39" s="101">
        <v>1</v>
      </c>
      <c r="W39" s="101">
        <v>1</v>
      </c>
      <c r="X39" s="102"/>
      <c r="Y39" s="102"/>
      <c r="Z39" s="105"/>
      <c r="AA39" s="104"/>
      <c r="AB39" s="104"/>
      <c r="AC39" s="104"/>
      <c r="AD39" s="104"/>
      <c r="AE39" s="104"/>
      <c r="AF39" s="104"/>
      <c r="AG39" s="104"/>
    </row>
    <row r="40" spans="1:33" s="91" customFormat="1">
      <c r="A40" s="92">
        <v>16</v>
      </c>
      <c r="B40" s="93"/>
      <c r="C40" s="103"/>
      <c r="D40" s="95"/>
      <c r="E40" s="96"/>
      <c r="F40" s="186" t="str">
        <f t="shared" si="17"/>
        <v/>
      </c>
      <c r="G40" s="96"/>
      <c r="H40" s="178" t="str">
        <f t="shared" si="18"/>
        <v/>
      </c>
      <c r="I40" s="96"/>
      <c r="J40" s="181" t="str">
        <f t="shared" si="8"/>
        <v/>
      </c>
      <c r="K40" s="96"/>
      <c r="L40" s="96"/>
      <c r="M40" s="96"/>
      <c r="N40" s="97" t="str">
        <f t="shared" si="9"/>
        <v/>
      </c>
      <c r="O40" s="98">
        <f t="shared" si="10"/>
        <v>0</v>
      </c>
      <c r="P40" s="99">
        <f t="shared" si="11"/>
        <v>23507.361933957018</v>
      </c>
      <c r="Q40" s="100">
        <f t="shared" si="12"/>
        <v>6.3705587896902482</v>
      </c>
      <c r="R40" s="100">
        <f t="shared" si="13"/>
        <v>3.9815992435564049</v>
      </c>
      <c r="S40" s="99">
        <f t="shared" ca="1" si="30"/>
        <v>5801.6150000000034</v>
      </c>
      <c r="T40" s="100">
        <f t="shared" si="31"/>
        <v>1.5102039822793454</v>
      </c>
      <c r="U40" s="100">
        <f t="shared" si="32"/>
        <v>2.9063774889245888</v>
      </c>
      <c r="V40" s="101">
        <v>1</v>
      </c>
      <c r="W40" s="101">
        <v>1</v>
      </c>
      <c r="X40" s="102"/>
      <c r="Y40" s="102"/>
      <c r="Z40" s="105"/>
      <c r="AA40" s="104"/>
      <c r="AB40" s="104"/>
      <c r="AC40" s="104"/>
      <c r="AD40" s="104"/>
      <c r="AE40" s="104"/>
      <c r="AF40" s="104"/>
      <c r="AG40" s="104"/>
    </row>
    <row r="41" spans="1:33" s="91" customFormat="1">
      <c r="A41" s="92">
        <v>17</v>
      </c>
      <c r="B41" s="93"/>
      <c r="C41" s="180"/>
      <c r="D41" s="181"/>
      <c r="E41" s="96"/>
      <c r="F41" s="96" t="str">
        <f t="shared" si="17"/>
        <v/>
      </c>
      <c r="G41" s="178"/>
      <c r="H41" s="96" t="str">
        <f t="shared" si="18"/>
        <v/>
      </c>
      <c r="I41" s="178"/>
      <c r="J41" s="95" t="str">
        <f t="shared" si="8"/>
        <v/>
      </c>
      <c r="K41" s="96"/>
      <c r="L41" s="96"/>
      <c r="M41" s="96"/>
      <c r="N41" s="97" t="str">
        <f t="shared" si="9"/>
        <v/>
      </c>
      <c r="O41" s="98">
        <f t="shared" si="10"/>
        <v>0</v>
      </c>
      <c r="P41" s="99">
        <f t="shared" si="11"/>
        <v>23507.361933957018</v>
      </c>
      <c r="Q41" s="100">
        <f t="shared" si="12"/>
        <v>6.3705587896902482</v>
      </c>
      <c r="R41" s="100">
        <f t="shared" si="13"/>
        <v>3.9815992435564049</v>
      </c>
      <c r="S41" s="99">
        <f t="shared" ca="1" si="30"/>
        <v>5801.6150000000052</v>
      </c>
      <c r="T41" s="100">
        <f t="shared" si="31"/>
        <v>1.5102039822793465</v>
      </c>
      <c r="U41" s="100">
        <f t="shared" si="32"/>
        <v>2.9063774889245888</v>
      </c>
      <c r="V41" s="101">
        <v>1</v>
      </c>
      <c r="W41" s="101">
        <v>1</v>
      </c>
      <c r="X41" s="102"/>
      <c r="Y41" s="102"/>
      <c r="Z41" s="105"/>
      <c r="AA41" s="104"/>
      <c r="AB41" s="104"/>
      <c r="AC41" s="104"/>
      <c r="AD41" s="104"/>
      <c r="AE41" s="104"/>
      <c r="AF41" s="104"/>
      <c r="AG41" s="104"/>
    </row>
    <row r="42" spans="1:33" s="91" customFormat="1">
      <c r="A42" s="92">
        <v>18</v>
      </c>
      <c r="B42" s="93"/>
      <c r="C42" s="180"/>
      <c r="D42" s="184"/>
      <c r="E42" s="178"/>
      <c r="F42" s="96" t="str">
        <f t="shared" si="17"/>
        <v/>
      </c>
      <c r="G42" s="96"/>
      <c r="H42" s="178" t="str">
        <f t="shared" si="18"/>
        <v/>
      </c>
      <c r="I42" s="96"/>
      <c r="J42" s="95" t="str">
        <f t="shared" si="8"/>
        <v/>
      </c>
      <c r="K42" s="96"/>
      <c r="L42" s="96"/>
      <c r="M42" s="96"/>
      <c r="N42" s="97" t="str">
        <f t="shared" si="9"/>
        <v/>
      </c>
      <c r="O42" s="98">
        <f t="shared" si="10"/>
        <v>0</v>
      </c>
      <c r="P42" s="99">
        <f t="shared" si="11"/>
        <v>23507.361933957018</v>
      </c>
      <c r="Q42" s="100">
        <f t="shared" si="12"/>
        <v>6.3705587896902482</v>
      </c>
      <c r="R42" s="100">
        <f t="shared" si="13"/>
        <v>3.9815992435564049</v>
      </c>
      <c r="S42" s="99">
        <f t="shared" ca="1" si="30"/>
        <v>5801.6150000000071</v>
      </c>
      <c r="T42" s="100">
        <f t="shared" si="31"/>
        <v>1.510203982279348</v>
      </c>
      <c r="U42" s="100">
        <f t="shared" si="32"/>
        <v>2.9063774889245884</v>
      </c>
      <c r="V42" s="101">
        <v>1</v>
      </c>
      <c r="W42" s="101">
        <v>1</v>
      </c>
      <c r="X42" s="102"/>
      <c r="Y42" s="102"/>
      <c r="Z42" s="104"/>
      <c r="AA42" s="104"/>
      <c r="AB42" s="104"/>
      <c r="AC42" s="104"/>
      <c r="AD42" s="104"/>
      <c r="AE42" s="104"/>
      <c r="AF42" s="104"/>
      <c r="AG42" s="104"/>
    </row>
    <row r="43" spans="1:33" s="91" customFormat="1" ht="15" customHeight="1">
      <c r="A43" s="92">
        <v>19</v>
      </c>
      <c r="B43" s="93"/>
      <c r="C43" s="180"/>
      <c r="D43" s="181"/>
      <c r="E43" s="187"/>
      <c r="F43" s="178" t="str">
        <f t="shared" si="17"/>
        <v/>
      </c>
      <c r="G43" s="187"/>
      <c r="H43" s="187" t="str">
        <f t="shared" si="18"/>
        <v/>
      </c>
      <c r="I43" s="187"/>
      <c r="J43" s="188" t="str">
        <f t="shared" si="8"/>
        <v/>
      </c>
      <c r="K43" s="187"/>
      <c r="L43" s="187"/>
      <c r="M43" s="187"/>
      <c r="N43" s="189" t="str">
        <f t="shared" si="9"/>
        <v/>
      </c>
      <c r="O43" s="190">
        <f t="shared" si="10"/>
        <v>0</v>
      </c>
      <c r="P43" s="191">
        <f t="shared" si="11"/>
        <v>23507.361933957018</v>
      </c>
      <c r="Q43" s="192">
        <f t="shared" si="12"/>
        <v>6.3705587896902482</v>
      </c>
      <c r="R43" s="192">
        <f t="shared" si="13"/>
        <v>3.9815992435564049</v>
      </c>
      <c r="S43" s="191">
        <f t="shared" ca="1" si="30"/>
        <v>5801.6150000000098</v>
      </c>
      <c r="T43" s="192">
        <f t="shared" si="31"/>
        <v>1.51020398227935</v>
      </c>
      <c r="U43" s="192">
        <f t="shared" si="32"/>
        <v>2.9063774889245884</v>
      </c>
      <c r="V43" s="193">
        <v>1</v>
      </c>
      <c r="W43" s="101">
        <v>1</v>
      </c>
      <c r="X43" s="102"/>
      <c r="Y43" s="102"/>
      <c r="Z43" s="105"/>
      <c r="AA43" s="104"/>
      <c r="AB43" s="104"/>
      <c r="AC43" s="104"/>
      <c r="AD43" s="104"/>
      <c r="AE43" s="104"/>
      <c r="AF43" s="104"/>
      <c r="AG43" s="104"/>
    </row>
    <row r="44" spans="1:33" s="91" customFormat="1" ht="15" customHeight="1">
      <c r="A44" s="92">
        <v>20</v>
      </c>
      <c r="B44" s="93"/>
      <c r="C44" s="180"/>
      <c r="D44" s="557"/>
      <c r="E44" s="195"/>
      <c r="F44" s="195" t="str">
        <f t="shared" si="17"/>
        <v/>
      </c>
      <c r="G44" s="195"/>
      <c r="H44" s="195" t="str">
        <f t="shared" si="18"/>
        <v/>
      </c>
      <c r="I44" s="195"/>
      <c r="J44" s="194" t="str">
        <f t="shared" si="8"/>
        <v/>
      </c>
      <c r="K44" s="195"/>
      <c r="L44" s="195"/>
      <c r="M44" s="195"/>
      <c r="N44" s="196" t="str">
        <f t="shared" si="9"/>
        <v/>
      </c>
      <c r="O44" s="197">
        <f t="shared" si="10"/>
        <v>0</v>
      </c>
      <c r="P44" s="198">
        <f t="shared" si="11"/>
        <v>23507.361933957018</v>
      </c>
      <c r="Q44" s="199">
        <f t="shared" si="12"/>
        <v>6.3705587896902482</v>
      </c>
      <c r="R44" s="199">
        <f t="shared" si="13"/>
        <v>3.9815992435564049</v>
      </c>
      <c r="S44" s="198">
        <f t="shared" ca="1" si="30"/>
        <v>5801.6150000000143</v>
      </c>
      <c r="T44" s="199">
        <f t="shared" si="31"/>
        <v>1.5102039822793529</v>
      </c>
      <c r="U44" s="199">
        <f t="shared" si="32"/>
        <v>2.9063774889245879</v>
      </c>
      <c r="V44" s="200">
        <v>1</v>
      </c>
      <c r="W44" s="201">
        <v>1</v>
      </c>
      <c r="X44" s="102"/>
      <c r="Y44" s="102"/>
      <c r="Z44" s="105"/>
      <c r="AA44" s="104"/>
      <c r="AB44" s="104"/>
      <c r="AC44" s="104"/>
      <c r="AD44" s="104"/>
      <c r="AE44" s="104"/>
      <c r="AF44" s="104"/>
      <c r="AG44" s="104"/>
    </row>
    <row r="45" spans="1:33" s="91" customFormat="1" ht="15" customHeight="1">
      <c r="A45" s="202">
        <v>21</v>
      </c>
      <c r="B45" s="93"/>
      <c r="C45" s="103"/>
      <c r="D45" s="194"/>
      <c r="E45" s="195"/>
      <c r="F45" s="195" t="str">
        <f t="shared" si="17"/>
        <v/>
      </c>
      <c r="G45" s="195"/>
      <c r="H45" s="195" t="str">
        <f t="shared" si="18"/>
        <v/>
      </c>
      <c r="I45" s="195"/>
      <c r="J45" s="194" t="str">
        <f t="shared" si="8"/>
        <v/>
      </c>
      <c r="K45" s="195"/>
      <c r="L45" s="195"/>
      <c r="M45" s="195"/>
      <c r="N45" s="196" t="str">
        <f t="shared" si="9"/>
        <v/>
      </c>
      <c r="O45" s="197">
        <f t="shared" si="10"/>
        <v>0</v>
      </c>
      <c r="P45" s="198">
        <f t="shared" si="11"/>
        <v>23507.361933957018</v>
      </c>
      <c r="Q45" s="199">
        <f t="shared" si="12"/>
        <v>6.3705587896902482</v>
      </c>
      <c r="R45" s="199">
        <f t="shared" si="13"/>
        <v>3.9815992435564049</v>
      </c>
      <c r="S45" s="198">
        <f t="shared" ca="1" si="30"/>
        <v>5801.6150000000198</v>
      </c>
      <c r="T45" s="199">
        <f t="shared" si="31"/>
        <v>1.51020398227935</v>
      </c>
      <c r="U45" s="199">
        <f t="shared" si="32"/>
        <v>2.906377488924587</v>
      </c>
      <c r="V45" s="200">
        <v>1</v>
      </c>
      <c r="W45" s="201">
        <v>1</v>
      </c>
      <c r="X45" s="102"/>
      <c r="Y45" s="102"/>
      <c r="Z45" s="105"/>
      <c r="AA45" s="104"/>
      <c r="AB45" s="104"/>
      <c r="AC45" s="104"/>
      <c r="AD45" s="104"/>
      <c r="AE45" s="104"/>
      <c r="AF45" s="104"/>
      <c r="AG45" s="104"/>
    </row>
    <row r="46" spans="1:33" s="91" customFormat="1" ht="15" customHeight="1">
      <c r="A46" s="202">
        <v>22</v>
      </c>
      <c r="B46" s="93"/>
      <c r="C46" s="185"/>
      <c r="D46" s="194"/>
      <c r="E46" s="195"/>
      <c r="F46" s="195" t="str">
        <f t="shared" si="17"/>
        <v/>
      </c>
      <c r="G46" s="195"/>
      <c r="H46" s="195" t="str">
        <f t="shared" si="18"/>
        <v/>
      </c>
      <c r="I46" s="195"/>
      <c r="J46" s="194" t="str">
        <f t="shared" si="8"/>
        <v/>
      </c>
      <c r="K46" s="195"/>
      <c r="L46" s="195"/>
      <c r="M46" s="195"/>
      <c r="N46" s="196" t="str">
        <f t="shared" si="9"/>
        <v/>
      </c>
      <c r="O46" s="197">
        <f t="shared" si="10"/>
        <v>0</v>
      </c>
      <c r="P46" s="198">
        <f t="shared" si="11"/>
        <v>23507.361933957018</v>
      </c>
      <c r="Q46" s="199">
        <f t="shared" si="12"/>
        <v>6.3705587896902482</v>
      </c>
      <c r="R46" s="199">
        <f t="shared" si="13"/>
        <v>3.9815992435564049</v>
      </c>
      <c r="S46" s="198">
        <f t="shared" ca="1" si="30"/>
        <v>5801.6150000000298</v>
      </c>
      <c r="T46" s="199">
        <f t="shared" si="31"/>
        <v>1.5102039822793454</v>
      </c>
      <c r="U46" s="199">
        <f t="shared" si="32"/>
        <v>2.9063774889245857</v>
      </c>
      <c r="V46" s="200">
        <v>1</v>
      </c>
      <c r="W46" s="201">
        <v>1</v>
      </c>
      <c r="X46" s="102"/>
      <c r="Y46" s="102"/>
      <c r="Z46" s="105"/>
      <c r="AA46" s="104"/>
      <c r="AB46" s="104"/>
      <c r="AC46" s="104"/>
      <c r="AD46" s="104"/>
      <c r="AE46" s="104"/>
      <c r="AF46" s="104"/>
      <c r="AG46" s="104"/>
    </row>
    <row r="47" spans="1:33" s="91" customFormat="1" ht="15" customHeight="1">
      <c r="A47" s="202">
        <v>23</v>
      </c>
      <c r="B47" s="93"/>
      <c r="C47" s="103"/>
      <c r="D47" s="194"/>
      <c r="E47" s="195"/>
      <c r="F47" s="195" t="str">
        <f t="shared" si="17"/>
        <v/>
      </c>
      <c r="G47" s="195"/>
      <c r="H47" s="195" t="str">
        <f t="shared" si="18"/>
        <v/>
      </c>
      <c r="I47" s="195"/>
      <c r="J47" s="194" t="str">
        <f t="shared" si="8"/>
        <v/>
      </c>
      <c r="K47" s="195"/>
      <c r="L47" s="195"/>
      <c r="M47" s="195"/>
      <c r="N47" s="196" t="str">
        <f t="shared" si="9"/>
        <v/>
      </c>
      <c r="O47" s="197">
        <f t="shared" si="10"/>
        <v>0</v>
      </c>
      <c r="P47" s="198">
        <f t="shared" si="11"/>
        <v>23507.361933957018</v>
      </c>
      <c r="Q47" s="199">
        <f t="shared" si="12"/>
        <v>6.3705587896902482</v>
      </c>
      <c r="R47" s="199">
        <f t="shared" si="13"/>
        <v>3.9815992435564049</v>
      </c>
      <c r="S47" s="198">
        <f t="shared" ca="1" si="30"/>
        <v>5801.6150000000489</v>
      </c>
      <c r="T47" s="199">
        <f t="shared" si="31"/>
        <v>1.51020398227935</v>
      </c>
      <c r="U47" s="199">
        <f t="shared" si="32"/>
        <v>2.9063774889245835</v>
      </c>
      <c r="V47" s="200">
        <v>1</v>
      </c>
      <c r="W47" s="201">
        <v>1</v>
      </c>
      <c r="X47" s="102"/>
      <c r="Y47" s="102"/>
      <c r="Z47" s="105"/>
      <c r="AA47" s="104"/>
      <c r="AB47" s="104"/>
      <c r="AC47" s="104"/>
      <c r="AD47" s="104"/>
      <c r="AE47" s="104"/>
      <c r="AF47" s="104"/>
      <c r="AG47" s="104"/>
    </row>
    <row r="48" spans="1:33" s="91" customFormat="1" ht="15" customHeight="1">
      <c r="A48" s="202">
        <v>24</v>
      </c>
      <c r="B48" s="93"/>
      <c r="C48" s="203"/>
      <c r="D48" s="194"/>
      <c r="E48" s="195"/>
      <c r="F48" s="195" t="str">
        <f t="shared" si="17"/>
        <v/>
      </c>
      <c r="G48" s="195"/>
      <c r="H48" s="195" t="str">
        <f t="shared" si="18"/>
        <v/>
      </c>
      <c r="I48" s="195"/>
      <c r="J48" s="194" t="str">
        <f t="shared" si="8"/>
        <v/>
      </c>
      <c r="K48" s="195"/>
      <c r="L48" s="195"/>
      <c r="M48" s="195"/>
      <c r="N48" s="196" t="str">
        <f t="shared" si="9"/>
        <v/>
      </c>
      <c r="O48" s="197">
        <f t="shared" si="10"/>
        <v>0</v>
      </c>
      <c r="P48" s="198">
        <f t="shared" si="11"/>
        <v>23507.361933957018</v>
      </c>
      <c r="Q48" s="199">
        <f t="shared" si="12"/>
        <v>6.3705587896902482</v>
      </c>
      <c r="R48" s="199">
        <f t="shared" si="13"/>
        <v>3.9815992435564049</v>
      </c>
      <c r="S48" s="198">
        <f t="shared" ca="1" si="30"/>
        <v>5801.6149999999907</v>
      </c>
      <c r="T48" s="199">
        <f t="shared" si="31"/>
        <v>1.5102039822793643</v>
      </c>
      <c r="U48" s="199">
        <f t="shared" si="32"/>
        <v>2.9063774889245764</v>
      </c>
      <c r="V48" s="200">
        <v>1</v>
      </c>
      <c r="W48" s="201">
        <v>1</v>
      </c>
      <c r="X48" s="102"/>
      <c r="Y48" s="102"/>
      <c r="Z48" s="105"/>
      <c r="AA48" s="104"/>
      <c r="AB48" s="104"/>
      <c r="AC48" s="104"/>
      <c r="AD48" s="104"/>
      <c r="AE48" s="104"/>
      <c r="AF48" s="104"/>
      <c r="AG48" s="104"/>
    </row>
    <row r="49" spans="2:26" s="91" customFormat="1" ht="15" customHeight="1">
      <c r="B49" s="93"/>
      <c r="C49" s="103"/>
      <c r="D49" s="204"/>
      <c r="E49" s="205"/>
      <c r="F49" s="205" t="str">
        <f t="shared" si="17"/>
        <v/>
      </c>
      <c r="G49" s="205"/>
      <c r="H49" s="205" t="str">
        <f t="shared" si="18"/>
        <v/>
      </c>
      <c r="I49" s="205"/>
      <c r="J49" s="204" t="str">
        <f t="shared" si="8"/>
        <v/>
      </c>
      <c r="K49" s="205"/>
      <c r="L49" s="205"/>
      <c r="M49" s="205"/>
      <c r="N49" s="206" t="str">
        <f t="shared" si="9"/>
        <v/>
      </c>
      <c r="O49" s="207" t="e">
        <f t="shared" si="10"/>
        <v>#DIV/0!</v>
      </c>
      <c r="P49" s="208">
        <f t="shared" si="11"/>
        <v>0</v>
      </c>
      <c r="Q49" s="209">
        <f>$I$9*V49*W49/SUMPRODUCT($W$25:$W$49,$V$25:$V$49)</f>
        <v>0</v>
      </c>
      <c r="R49" s="209">
        <f t="shared" si="13"/>
        <v>0</v>
      </c>
      <c r="S49" s="208" t="str">
        <f>IF(W49&lt;&gt;"",IF(D49&lt;&gt;"",D49,($I$8-SUM($S$25:S44))*V49*W49/SUMPRODUCT($W49:$W$60,$V49:$V$60)),"")</f>
        <v/>
      </c>
      <c r="T49" s="209" t="str">
        <f>IF(W49&lt;&gt;"",IF(E49&lt;&gt;"",E49,($I$9-SUM($T$25:T44))*V49*W49/SUMPRODUCT($W49:$W$49,$V49:$V$49)),"")</f>
        <v/>
      </c>
      <c r="U49" s="209" t="str">
        <f>IF(W49&lt;&gt;"",IF($I$12&lt;&gt;"",IF(G49&lt;&gt;"",G49,($I$9/$I$12-SUM($U$25:U44))*V49*W49/SUMPRODUCT($W49:$W$49,$V49:$V$49)),""),"")</f>
        <v/>
      </c>
      <c r="V49" s="210"/>
      <c r="W49" s="101"/>
      <c r="X49" s="211"/>
      <c r="Y49" s="211"/>
      <c r="Z49" s="212"/>
    </row>
    <row r="50" spans="2:26" ht="15" customHeight="1">
      <c r="B50" s="619" t="s">
        <v>54</v>
      </c>
      <c r="C50" s="619"/>
      <c r="D50" s="110">
        <f>SUM(D25:D49)</f>
        <v>517697.6</v>
      </c>
      <c r="E50" s="110">
        <f>SUM(E25:E49)</f>
        <v>116</v>
      </c>
      <c r="F50" s="110">
        <f t="shared" si="17"/>
        <v>4462.9103448275864</v>
      </c>
      <c r="G50" s="110">
        <f>SUM(G25:G49)</f>
        <v>60</v>
      </c>
      <c r="H50" s="110">
        <f t="shared" si="18"/>
        <v>8628.2933333333331</v>
      </c>
      <c r="I50" s="110">
        <f>SUM(I25:I49)</f>
        <v>0</v>
      </c>
      <c r="J50" s="109">
        <f t="shared" si="8"/>
        <v>1.9333333333333333</v>
      </c>
      <c r="K50" s="110">
        <f>SUM(K25:K49)</f>
        <v>0</v>
      </c>
      <c r="L50" s="110">
        <f>SUM(L25:L49)</f>
        <v>0</v>
      </c>
      <c r="M50" s="110">
        <f>SUM(M25:M49)</f>
        <v>0</v>
      </c>
      <c r="N50" s="111" t="str">
        <f t="shared" si="9"/>
        <v/>
      </c>
      <c r="O50" s="112">
        <f t="shared" si="10"/>
        <v>0.75470351007942649</v>
      </c>
      <c r="P50" s="113">
        <f t="shared" ref="P50:U50" si="41">SUM(P25:P49)</f>
        <v>685961.56382725248</v>
      </c>
      <c r="Q50" s="113">
        <f t="shared" si="41"/>
        <v>180.18731758625896</v>
      </c>
      <c r="R50" s="113">
        <f t="shared" si="41"/>
        <v>112.36707349141183</v>
      </c>
      <c r="S50" s="113">
        <f t="shared" ca="1" si="41"/>
        <v>556000</v>
      </c>
      <c r="T50" s="113">
        <f t="shared" si="41"/>
        <v>144.10203982279344</v>
      </c>
      <c r="U50" s="113">
        <f t="shared" si="41"/>
        <v>90.063774889245892</v>
      </c>
      <c r="V50" s="114"/>
      <c r="W50" s="114"/>
    </row>
    <row r="51" spans="2:26">
      <c r="B51" s="116"/>
      <c r="C51" s="117"/>
      <c r="D51" s="118">
        <f>SUMIF(D25:D49,"",P25:P49)+D50</f>
        <v>823293.30514144129</v>
      </c>
      <c r="E51" s="119"/>
      <c r="F51" s="117"/>
      <c r="G51" s="117"/>
      <c r="H51" s="120"/>
      <c r="I51" s="213"/>
      <c r="J51" s="120"/>
      <c r="L51" s="122"/>
      <c r="M51" s="119"/>
      <c r="N51" s="122"/>
      <c r="O51" s="122"/>
      <c r="P51" s="122"/>
      <c r="Q51" s="123"/>
    </row>
    <row r="52" spans="2:26">
      <c r="D52" s="175"/>
    </row>
    <row r="54" spans="2:26">
      <c r="D54" s="175"/>
    </row>
    <row r="55" spans="2:26">
      <c r="D55" s="175"/>
    </row>
  </sheetData>
  <mergeCells count="27">
    <mergeCell ref="B50:C50"/>
    <mergeCell ref="F19:H19"/>
    <mergeCell ref="F20:H20"/>
    <mergeCell ref="B22:N22"/>
    <mergeCell ref="O22:O24"/>
    <mergeCell ref="P22:W22"/>
    <mergeCell ref="F15:H15"/>
    <mergeCell ref="F16:H16"/>
    <mergeCell ref="S16:S17"/>
    <mergeCell ref="F17:H17"/>
    <mergeCell ref="F18:H18"/>
    <mergeCell ref="F10:H10"/>
    <mergeCell ref="F11:H11"/>
    <mergeCell ref="F12:H12"/>
    <mergeCell ref="F13:H13"/>
    <mergeCell ref="F14:H14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91" priority="145" operator="lessThan">
      <formula>0</formula>
    </cfRule>
    <cfRule type="cellIs" dxfId="190" priority="143" operator="greaterThan">
      <formula>0</formula>
    </cfRule>
  </conditionalFormatting>
  <conditionalFormatting sqref="J25">
    <cfRule type="cellIs" dxfId="189" priority="87" operator="lessThan">
      <formula>$I$12</formula>
    </cfRule>
  </conditionalFormatting>
  <conditionalFormatting sqref="J25:J26">
    <cfRule type="cellIs" dxfId="188" priority="160" operator="greaterThan">
      <formula>$I$12</formula>
    </cfRule>
    <cfRule type="cellIs" dxfId="187" priority="166" operator="lessThan">
      <formula>$I$12</formula>
    </cfRule>
    <cfRule type="cellIs" dxfId="186" priority="88" operator="greaterThan">
      <formula>$I$12</formula>
    </cfRule>
  </conditionalFormatting>
  <conditionalFormatting sqref="J25:J27">
    <cfRule type="cellIs" dxfId="185" priority="171" operator="lessThan">
      <formula>$I$12</formula>
    </cfRule>
    <cfRule type="cellIs" dxfId="184" priority="169" operator="greaterThan">
      <formula>$I$12</formula>
    </cfRule>
  </conditionalFormatting>
  <conditionalFormatting sqref="J28">
    <cfRule type="cellIs" dxfId="183" priority="77" operator="greaterThan">
      <formula>$I$12</formula>
    </cfRule>
    <cfRule type="cellIs" dxfId="182" priority="76" operator="lessThan">
      <formula>$I$12</formula>
    </cfRule>
  </conditionalFormatting>
  <conditionalFormatting sqref="J30">
    <cfRule type="cellIs" dxfId="181" priority="168" operator="lessThan">
      <formula>$I$12</formula>
    </cfRule>
    <cfRule type="cellIs" dxfId="180" priority="162" operator="greaterThan">
      <formula>$I$12</formula>
    </cfRule>
  </conditionalFormatting>
  <conditionalFormatting sqref="J32:J33">
    <cfRule type="cellIs" dxfId="179" priority="54" operator="lessThan">
      <formula>$I$12</formula>
    </cfRule>
  </conditionalFormatting>
  <conditionalFormatting sqref="J32:J34">
    <cfRule type="cellIs" dxfId="178" priority="55" operator="greaterThan">
      <formula>$I$12</formula>
    </cfRule>
  </conditionalFormatting>
  <conditionalFormatting sqref="J35:J38">
    <cfRule type="cellIs" dxfId="177" priority="11" operator="greaterThan">
      <formula>$I$12</formula>
    </cfRule>
    <cfRule type="cellIs" dxfId="176" priority="10" operator="lessThan">
      <formula>$I$12</formula>
    </cfRule>
  </conditionalFormatting>
  <conditionalFormatting sqref="J39:J41 J25:J27 J34 J30">
    <cfRule type="cellIs" dxfId="175" priority="147" operator="lessThan">
      <formula>$I$12</formula>
    </cfRule>
  </conditionalFormatting>
  <conditionalFormatting sqref="J39:J49">
    <cfRule type="cellIs" dxfId="174" priority="137" operator="greaterThan">
      <formula>$I$12</formula>
    </cfRule>
  </conditionalFormatting>
  <conditionalFormatting sqref="J42:J43">
    <cfRule type="cellIs" dxfId="173" priority="128" operator="lessThan">
      <formula>$I$12</formula>
    </cfRule>
  </conditionalFormatting>
  <conditionalFormatting sqref="J44:J48">
    <cfRule type="cellIs" dxfId="172" priority="152" operator="lessThan">
      <formula>$I$12</formula>
    </cfRule>
  </conditionalFormatting>
  <conditionalFormatting sqref="J49">
    <cfRule type="cellIs" dxfId="171" priority="136" operator="lessThan">
      <formula>$I$12</formula>
    </cfRule>
  </conditionalFormatting>
  <conditionalFormatting sqref="K10:K12 K15">
    <cfRule type="cellIs" dxfId="170" priority="142" operator="greaterThan">
      <formula>1</formula>
    </cfRule>
    <cfRule type="cellIs" dxfId="169" priority="146" operator="lessThan">
      <formula>1</formula>
    </cfRule>
  </conditionalFormatting>
  <conditionalFormatting sqref="K13">
    <cfRule type="cellIs" dxfId="168" priority="139" operator="greaterThan">
      <formula>$K$14</formula>
    </cfRule>
    <cfRule type="cellIs" dxfId="167" priority="138" operator="lessThan">
      <formula>$K$14</formula>
    </cfRule>
  </conditionalFormatting>
  <conditionalFormatting sqref="M8:M15">
    <cfRule type="cellIs" dxfId="166" priority="141" operator="greaterThan">
      <formula>1</formula>
    </cfRule>
    <cfRule type="cellIs" dxfId="165" priority="140" operator="lessThan">
      <formula>1</formula>
    </cfRule>
  </conditionalFormatting>
  <conditionalFormatting sqref="N25:N26">
    <cfRule type="cellIs" dxfId="164" priority="175" operator="between">
      <formula>0.2</formula>
      <formula>0.25</formula>
    </cfRule>
  </conditionalFormatting>
  <conditionalFormatting sqref="N25:N28 N30">
    <cfRule type="cellIs" dxfId="163" priority="74" operator="greaterThanOrEqual">
      <formula>0.25</formula>
    </cfRule>
    <cfRule type="cellIs" dxfId="162" priority="73" operator="between">
      <formula>0.2</formula>
      <formula>0.25</formula>
    </cfRule>
    <cfRule type="cellIs" dxfId="161" priority="75" operator="lessThan">
      <formula>0.2</formula>
    </cfRule>
  </conditionalFormatting>
  <conditionalFormatting sqref="N32:N39">
    <cfRule type="cellIs" dxfId="160" priority="8" operator="greaterThanOrEqual">
      <formula>0.25</formula>
    </cfRule>
  </conditionalFormatting>
  <conditionalFormatting sqref="N32:N43">
    <cfRule type="cellIs" dxfId="159" priority="7" operator="between">
      <formula>0.2</formula>
      <formula>0.25</formula>
    </cfRule>
  </conditionalFormatting>
  <conditionalFormatting sqref="N32:N49">
    <cfRule type="cellIs" dxfId="158" priority="9" operator="lessThan">
      <formula>0.2</formula>
    </cfRule>
  </conditionalFormatting>
  <conditionalFormatting sqref="N40:N49">
    <cfRule type="cellIs" dxfId="157" priority="131" operator="greaterThanOrEqual">
      <formula>0.25</formula>
    </cfRule>
  </conditionalFormatting>
  <conditionalFormatting sqref="N44:N48">
    <cfRule type="cellIs" dxfId="156" priority="153" operator="between">
      <formula>0.2</formula>
      <formula>0.25</formula>
    </cfRule>
  </conditionalFormatting>
  <conditionalFormatting sqref="N49">
    <cfRule type="cellIs" dxfId="155" priority="130" operator="between">
      <formula>0.2</formula>
      <formula>0.25</formula>
    </cfRule>
  </conditionalFormatting>
  <conditionalFormatting sqref="O25:O26">
    <cfRule type="cellIs" dxfId="154" priority="181" operator="between">
      <formula>0.9001</formula>
      <formula>0.9999</formula>
    </cfRule>
    <cfRule type="cellIs" dxfId="153" priority="177" operator="between">
      <formula>0.85</formula>
      <formula>1</formula>
    </cfRule>
    <cfRule type="cellIs" dxfId="152" priority="180" operator="lessThan">
      <formula>0.9</formula>
    </cfRule>
  </conditionalFormatting>
  <conditionalFormatting sqref="O25:O28 O30">
    <cfRule type="cellIs" dxfId="151" priority="72" operator="between">
      <formula>0.01</formula>
      <formula>0.99</formula>
    </cfRule>
    <cfRule type="cellIs" dxfId="150" priority="71" operator="between">
      <formula>0.85</formula>
      <formula>1</formula>
    </cfRule>
    <cfRule type="cellIs" dxfId="149" priority="70" operator="greaterThan">
      <formula>100</formula>
    </cfRule>
    <cfRule type="cellIs" dxfId="148" priority="69" operator="greaterThan">
      <formula>1</formula>
    </cfRule>
    <cfRule type="cellIs" dxfId="147" priority="68" operator="lessThan">
      <formula>0.9</formula>
    </cfRule>
    <cfRule type="cellIs" dxfId="146" priority="67" operator="between">
      <formula>0.9001</formula>
      <formula>0.9999</formula>
    </cfRule>
  </conditionalFormatting>
  <conditionalFormatting sqref="O32:O39">
    <cfRule type="cellIs" dxfId="145" priority="6" operator="between">
      <formula>0.01</formula>
      <formula>0.99</formula>
    </cfRule>
  </conditionalFormatting>
  <conditionalFormatting sqref="O32:O43">
    <cfRule type="cellIs" dxfId="144" priority="1" operator="between">
      <formula>0.9001</formula>
      <formula>0.9999</formula>
    </cfRule>
    <cfRule type="cellIs" dxfId="143" priority="5" operator="between">
      <formula>0.85</formula>
      <formula>1</formula>
    </cfRule>
    <cfRule type="cellIs" dxfId="142" priority="2" operator="lessThan">
      <formula>0.9</formula>
    </cfRule>
  </conditionalFormatting>
  <conditionalFormatting sqref="O32:O49">
    <cfRule type="cellIs" dxfId="141" priority="4" operator="greaterThan">
      <formula>100</formula>
    </cfRule>
    <cfRule type="cellIs" dxfId="140" priority="3" operator="greaterThan">
      <formula>1</formula>
    </cfRule>
  </conditionalFormatting>
  <conditionalFormatting sqref="O40:O49">
    <cfRule type="cellIs" dxfId="139" priority="135" operator="between">
      <formula>0.01</formula>
      <formula>0.99</formula>
    </cfRule>
  </conditionalFormatting>
  <conditionalFormatting sqref="O44:O48">
    <cfRule type="cellIs" dxfId="138" priority="155" operator="lessThan">
      <formula>0.9</formula>
    </cfRule>
    <cfRule type="cellIs" dxfId="137" priority="156" operator="between">
      <formula>0.9001</formula>
      <formula>0.9999</formula>
    </cfRule>
    <cfRule type="cellIs" dxfId="136" priority="154" operator="between">
      <formula>0.85</formula>
      <formula>1</formula>
    </cfRule>
  </conditionalFormatting>
  <conditionalFormatting sqref="O49">
    <cfRule type="cellIs" dxfId="135" priority="134" operator="between">
      <formula>0.85</formula>
      <formula>1</formula>
    </cfRule>
    <cfRule type="cellIs" dxfId="134" priority="132" operator="between">
      <formula>0.9001</formula>
      <formula>0.9999</formula>
    </cfRule>
    <cfRule type="cellIs" dxfId="133" priority="133" operator="lessThan">
      <formula>0.9</formula>
    </cfRule>
  </conditionalFormatting>
  <conditionalFormatting sqref="P10:Q10">
    <cfRule type="cellIs" dxfId="132" priority="144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U55"/>
  <sheetViews>
    <sheetView showZeros="0" topLeftCell="A18" workbookViewId="0">
      <pane xSplit="3" topLeftCell="D1" activePane="topRight" state="frozen"/>
      <selection pane="topRight" activeCell="E41" sqref="E41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49">
        <f ca="1">TODAY()-1</f>
        <v>45696</v>
      </c>
      <c r="C1" s="649"/>
      <c r="D1" s="11"/>
      <c r="E1" s="11"/>
      <c r="F1" s="12"/>
      <c r="G1" s="12"/>
      <c r="H1" s="12"/>
      <c r="I1" s="12"/>
      <c r="J1" s="159"/>
      <c r="K1" s="159"/>
      <c r="L1" s="159"/>
      <c r="M1" s="159"/>
      <c r="N1" s="159"/>
      <c r="O1" s="159"/>
      <c r="P1" s="159"/>
      <c r="Q1" s="650"/>
      <c r="R1" s="650"/>
      <c r="S1" s="650"/>
      <c r="T1" s="650"/>
      <c r="U1" s="12"/>
      <c r="V1" s="12"/>
      <c r="W1" s="12"/>
    </row>
    <row r="2" spans="2:23" ht="21.75" customHeight="1">
      <c r="B2" s="651" t="s">
        <v>0</v>
      </c>
      <c r="C2" s="651"/>
      <c r="D2" s="11"/>
      <c r="E2" s="11"/>
      <c r="F2" s="12"/>
      <c r="G2" s="12"/>
      <c r="H2" s="12"/>
      <c r="I2" s="12"/>
      <c r="J2" s="652" t="s">
        <v>1</v>
      </c>
      <c r="K2" s="652"/>
      <c r="L2" s="652"/>
      <c r="M2" s="652"/>
      <c r="N2" s="652"/>
      <c r="O2" s="652"/>
      <c r="P2" s="652"/>
      <c r="Q2" s="650"/>
      <c r="R2" s="650"/>
      <c r="S2" s="650"/>
      <c r="T2" s="650"/>
      <c r="U2" s="12"/>
      <c r="V2" s="12"/>
      <c r="W2" s="12"/>
    </row>
    <row r="3" spans="2:23" ht="14" customHeight="1">
      <c r="B3" s="10" t="s">
        <v>2</v>
      </c>
      <c r="C3" s="11"/>
      <c r="D3" s="11"/>
      <c r="E3" s="11"/>
      <c r="F3" s="12"/>
      <c r="G3" s="12"/>
      <c r="H3" s="12"/>
      <c r="I3" s="12"/>
      <c r="J3" s="653" t="str">
        <f>График!B29</f>
        <v>Рогалевич Ирина</v>
      </c>
      <c r="K3" s="654"/>
      <c r="L3" s="654"/>
      <c r="M3" s="654"/>
      <c r="N3" s="655"/>
      <c r="O3" s="159"/>
      <c r="P3" s="160"/>
      <c r="Q3" s="650"/>
      <c r="R3" s="650"/>
      <c r="S3" s="650"/>
      <c r="T3" s="650"/>
      <c r="U3" s="12"/>
      <c r="V3" s="12"/>
      <c r="W3" s="12"/>
    </row>
    <row r="4" spans="2:23" ht="15" customHeight="1">
      <c r="B4" s="11"/>
      <c r="C4" s="659">
        <f>I8-D50</f>
        <v>85792.539041916258</v>
      </c>
      <c r="D4" s="660"/>
      <c r="E4" s="161">
        <f>IF(I8&lt;&gt;0,C4/I8,0)</f>
        <v>9.3277044401041759E-2</v>
      </c>
      <c r="F4" s="12"/>
      <c r="G4" s="12"/>
      <c r="H4" s="12"/>
      <c r="I4" s="12"/>
      <c r="J4" s="656"/>
      <c r="K4" s="657"/>
      <c r="L4" s="657"/>
      <c r="M4" s="657"/>
      <c r="N4" s="658"/>
      <c r="O4" s="12"/>
      <c r="P4" s="12"/>
      <c r="Q4" s="650"/>
      <c r="R4" s="650"/>
      <c r="S4" s="650"/>
      <c r="T4" s="650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1"/>
      <c r="K5" s="661"/>
      <c r="L5" s="661"/>
      <c r="M5" s="661"/>
      <c r="N5" s="661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162"/>
      <c r="C6" s="12"/>
      <c r="D6" s="12"/>
      <c r="E6" s="12"/>
      <c r="F6" s="16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20"/>
      <c r="S6" s="20"/>
      <c r="T6" s="12"/>
      <c r="U6" s="12"/>
      <c r="V6" s="12"/>
      <c r="W6" s="12"/>
    </row>
    <row r="7" spans="2:23" ht="50.75" customHeight="1">
      <c r="B7" s="162"/>
      <c r="C7" s="12"/>
      <c r="D7" s="12"/>
      <c r="E7" s="12"/>
      <c r="F7" s="604" t="s">
        <v>4</v>
      </c>
      <c r="G7" s="605"/>
      <c r="H7" s="606"/>
      <c r="I7" s="21" t="s">
        <v>5</v>
      </c>
      <c r="J7" s="22" t="s">
        <v>6</v>
      </c>
      <c r="K7" s="23" t="s">
        <v>7</v>
      </c>
      <c r="L7" s="24" t="s">
        <v>8</v>
      </c>
      <c r="M7" s="24" t="s">
        <v>9</v>
      </c>
      <c r="N7" s="25" t="s">
        <v>10</v>
      </c>
      <c r="O7" s="25" t="s">
        <v>11</v>
      </c>
      <c r="P7" s="607" t="s">
        <v>12</v>
      </c>
      <c r="Q7" s="608"/>
      <c r="R7" s="20"/>
      <c r="S7" s="20"/>
      <c r="T7" s="12"/>
      <c r="U7" s="12"/>
      <c r="V7" s="12"/>
      <c r="W7" s="12"/>
    </row>
    <row r="8" spans="2:23" ht="15.75" customHeight="1">
      <c r="B8" s="162"/>
      <c r="C8" s="12"/>
      <c r="D8" s="12"/>
      <c r="E8" s="12"/>
      <c r="F8" s="609" t="s">
        <v>13</v>
      </c>
      <c r="G8" s="610"/>
      <c r="H8" s="611"/>
      <c r="I8" s="163">
        <f>'Ялта, Ленина, 18'!I8/График!AJ31*График!AJ29</f>
        <v>919760.4790419162</v>
      </c>
      <c r="J8" s="164">
        <f>D50</f>
        <v>833967.94</v>
      </c>
      <c r="K8" s="165">
        <f t="shared" ref="K8:K9" si="0">IF(AND(I8&lt;&gt;"",I8&lt;&gt;0,J8&lt;&gt;""),J8/I8,"")</f>
        <v>0.90672295559895821</v>
      </c>
      <c r="L8" s="166">
        <f>IF(SUMIF($D$25:$D$49,"&gt;=0",$P$25:$P$49)&lt;&gt;0,I8*D50/SUMIF($D$25:$D$49,"&gt;=0",$P$25:$P$49),0)</f>
        <v>817630.81374039256</v>
      </c>
      <c r="M8" s="31">
        <f t="shared" ref="M8:M9" si="1">IF(AND(I8&lt;&gt;"",I8&lt;&gt;0,L8&lt;&gt;"",L8&lt;&gt;0),L8/I8,"")</f>
        <v>0.8889605852515986</v>
      </c>
      <c r="N8" s="32">
        <f t="shared" ref="N8:N9" si="2">IF(AND(J8&lt;&gt;0,J8&lt;&gt;"",I8&lt;&gt;0,I8&lt;&gt;""),L8-I8,"")</f>
        <v>-102129.66530152364</v>
      </c>
      <c r="O8" s="33"/>
      <c r="P8" s="32" t="str">
        <f t="shared" ref="P8:P9" si="3">IF(AND(O8&lt;&gt;"",O8&lt;&gt;0,L8&lt;&gt;"",L8&lt;&gt;0),-O8+L8,"")</f>
        <v/>
      </c>
      <c r="Q8" s="34" t="str">
        <f t="shared" ref="Q8:Q9" si="4">IF(AND(P8&lt;&gt;"",P8&lt;&gt;0,O8&lt;&gt;0,O8&lt;&gt;""),P8/O8,"")</f>
        <v/>
      </c>
      <c r="R8" s="20"/>
      <c r="S8" s="35"/>
      <c r="T8" s="12"/>
      <c r="U8" s="12"/>
      <c r="V8" s="12"/>
      <c r="W8" s="12"/>
    </row>
    <row r="9" spans="2:23" ht="15.75" customHeight="1">
      <c r="B9" s="162"/>
      <c r="C9" s="12"/>
      <c r="D9" s="12"/>
      <c r="E9" s="12"/>
      <c r="F9" s="612" t="s">
        <v>14</v>
      </c>
      <c r="G9" s="613"/>
      <c r="H9" s="614"/>
      <c r="I9" s="36">
        <f>I8/I11</f>
        <v>249.25758239618324</v>
      </c>
      <c r="J9" s="37">
        <f>E50</f>
        <v>205</v>
      </c>
      <c r="K9" s="38">
        <f t="shared" si="0"/>
        <v>0.82244238281250004</v>
      </c>
      <c r="L9" s="167">
        <f>IF(SUMIF($E$25:$E$48,"&gt;=0",$Q$25:$Q$48)&lt;&gt;0,I9*E50/SUMIF($E$25:$E$48,"&gt;=0",$Q$25:$Q$48),0)</f>
        <v>216.76913975658684</v>
      </c>
      <c r="M9" s="40">
        <f t="shared" si="1"/>
        <v>0.86965916010547861</v>
      </c>
      <c r="N9" s="41">
        <f t="shared" si="2"/>
        <v>-32.4884426395964</v>
      </c>
      <c r="O9" s="42" t="e">
        <f>O8/O11</f>
        <v>#DIV/0!</v>
      </c>
      <c r="P9" s="41" t="e">
        <f t="shared" si="3"/>
        <v>#DIV/0!</v>
      </c>
      <c r="Q9" s="43" t="e">
        <f t="shared" si="4"/>
        <v>#DIV/0!</v>
      </c>
      <c r="R9" s="20"/>
      <c r="S9" s="35"/>
      <c r="T9" s="12"/>
      <c r="U9" s="12"/>
      <c r="V9" s="12"/>
      <c r="W9" s="12"/>
    </row>
    <row r="10" spans="2:23" ht="15.75" customHeight="1">
      <c r="B10" s="162"/>
      <c r="C10" s="12"/>
      <c r="D10" s="12"/>
      <c r="E10" s="12"/>
      <c r="F10" s="609" t="s">
        <v>15</v>
      </c>
      <c r="G10" s="610"/>
      <c r="H10" s="611"/>
      <c r="I10" s="48">
        <f>I11*I12</f>
        <v>5904</v>
      </c>
      <c r="J10" s="168">
        <f>H50</f>
        <v>8257.1083168316818</v>
      </c>
      <c r="K10" s="214">
        <f t="shared" ref="K10:K19" si="5">IF(AND(I10&lt;&gt;"",I10&lt;&gt;0,J10&lt;&gt;""),J10/I10,"")</f>
        <v>1.3985617067804339</v>
      </c>
      <c r="L10" s="167">
        <f>J10</f>
        <v>8257.1083168316818</v>
      </c>
      <c r="M10" s="46">
        <f t="shared" ref="M10:M20" si="6">IF(AND(I10&lt;&gt;"",I10&lt;&gt;0,L10&lt;&gt;"",L10&lt;&gt;0),L10/I10,"")</f>
        <v>1.3985617067804339</v>
      </c>
      <c r="N10" s="47">
        <f t="shared" ref="N10:N20" si="7">IF(AND(J10&lt;&gt;0,J10&lt;&gt;"",I10&lt;&gt;0,I10&lt;&gt;""),L10-I10,"")</f>
        <v>2353.1083168316818</v>
      </c>
      <c r="O10" s="48">
        <f>O11*O12</f>
        <v>0</v>
      </c>
      <c r="P10" s="47" t="str">
        <f t="shared" ref="P10:P20" si="8">IF(AND(O10&lt;&gt;"",O10&lt;&gt;0,L10&lt;&gt;"",L10&lt;&gt;0),-O10+L10,"")</f>
        <v/>
      </c>
      <c r="Q10" s="49" t="str">
        <f t="shared" ref="Q10:Q20" si="9">IF(AND(P10&lt;&gt;"",P10&lt;&gt;0,O10&lt;&gt;0,O10&lt;&gt;""),P10/O10,"")</f>
        <v/>
      </c>
      <c r="R10" s="20"/>
      <c r="S10" s="35"/>
      <c r="T10" s="12"/>
      <c r="U10" s="12"/>
      <c r="V10" s="12"/>
      <c r="W10" s="12"/>
    </row>
    <row r="11" spans="2:23" ht="15.75" customHeight="1">
      <c r="B11" s="162"/>
      <c r="C11" s="12"/>
      <c r="D11" s="12"/>
      <c r="E11" s="12"/>
      <c r="F11" s="612" t="s">
        <v>16</v>
      </c>
      <c r="G11" s="613"/>
      <c r="H11" s="614"/>
      <c r="I11" s="50">
        <f>'Ялта, Ленина, 18'!I11</f>
        <v>3690</v>
      </c>
      <c r="J11" s="37">
        <f>F50</f>
        <v>4068.1362926829265</v>
      </c>
      <c r="K11" s="215">
        <f t="shared" si="5"/>
        <v>1.1024759600766738</v>
      </c>
      <c r="L11" s="167">
        <f>IF(L9&gt;0,L8/L9,"")</f>
        <v>3771.8967499641412</v>
      </c>
      <c r="M11" s="40">
        <f t="shared" si="6"/>
        <v>1.0221942411826941</v>
      </c>
      <c r="N11" s="41">
        <f t="shared" si="7"/>
        <v>81.896749964141236</v>
      </c>
      <c r="O11" s="51"/>
      <c r="P11" s="41" t="str">
        <f t="shared" si="8"/>
        <v/>
      </c>
      <c r="Q11" s="43" t="str">
        <f t="shared" si="9"/>
        <v/>
      </c>
      <c r="R11" s="20"/>
      <c r="S11" s="52"/>
      <c r="T11" s="12"/>
      <c r="U11" s="12"/>
      <c r="V11" s="12"/>
      <c r="W11" s="12"/>
    </row>
    <row r="12" spans="2:23" ht="15.75" customHeight="1">
      <c r="B12" s="162"/>
      <c r="C12" s="12"/>
      <c r="D12" s="12"/>
      <c r="E12" s="12"/>
      <c r="F12" s="612" t="s">
        <v>17</v>
      </c>
      <c r="G12" s="613"/>
      <c r="H12" s="614"/>
      <c r="I12" s="53">
        <f>'Ялта, Ленина, 18'!I12</f>
        <v>1.6</v>
      </c>
      <c r="J12" s="54">
        <f>J50</f>
        <v>2.0297029702970297</v>
      </c>
      <c r="K12" s="215">
        <f t="shared" si="5"/>
        <v>1.2685643564356435</v>
      </c>
      <c r="L12" s="169">
        <f>J12</f>
        <v>2.0297029702970297</v>
      </c>
      <c r="M12" s="40">
        <f t="shared" si="6"/>
        <v>1.2685643564356435</v>
      </c>
      <c r="N12" s="56">
        <f t="shared" si="7"/>
        <v>0.42970297029702964</v>
      </c>
      <c r="O12" s="57"/>
      <c r="P12" s="41" t="str">
        <f t="shared" si="8"/>
        <v/>
      </c>
      <c r="Q12" s="43" t="str">
        <f t="shared" si="9"/>
        <v/>
      </c>
      <c r="R12" s="20"/>
      <c r="S12" s="52"/>
      <c r="T12" s="12"/>
      <c r="U12" s="12"/>
      <c r="V12" s="12"/>
      <c r="W12" s="12"/>
    </row>
    <row r="13" spans="2:23" ht="15.75" customHeight="1">
      <c r="B13" s="162"/>
      <c r="C13" s="12"/>
      <c r="D13" s="12"/>
      <c r="E13" s="12"/>
      <c r="F13" s="612" t="s">
        <v>18</v>
      </c>
      <c r="G13" s="613"/>
      <c r="H13" s="614"/>
      <c r="I13" s="36">
        <f>IF(I12&lt;&gt;0,I9/I12,"")</f>
        <v>155.78598899761451</v>
      </c>
      <c r="J13" s="37">
        <f>G50</f>
        <v>101</v>
      </c>
      <c r="K13" s="38">
        <f t="shared" si="5"/>
        <v>0.64832531250000003</v>
      </c>
      <c r="L13" s="167">
        <f>IF(SUMIF($G$25:$G$48,"&gt;=0",$R$25:$R$48)&lt;&gt;0,I13*G50/SUMIF($G$25:$G$48,"&gt;=0",$R$25:$R$48),"")</f>
        <v>106.88914409790927</v>
      </c>
      <c r="M13" s="40">
        <f t="shared" si="6"/>
        <v>0.68612809653598572</v>
      </c>
      <c r="N13" s="56">
        <f t="shared" si="7"/>
        <v>-48.896844899705243</v>
      </c>
      <c r="O13" s="58"/>
      <c r="P13" s="41" t="str">
        <f t="shared" si="8"/>
        <v/>
      </c>
      <c r="Q13" s="43" t="str">
        <f t="shared" si="9"/>
        <v/>
      </c>
      <c r="R13" s="20"/>
      <c r="S13" s="52"/>
      <c r="T13" s="12"/>
      <c r="U13" s="12"/>
      <c r="V13" s="12"/>
      <c r="W13" s="12"/>
    </row>
    <row r="14" spans="2:23" ht="15.75" customHeight="1">
      <c r="B14" s="162"/>
      <c r="C14" s="12"/>
      <c r="D14" s="170"/>
      <c r="E14" s="12"/>
      <c r="F14" s="612" t="s">
        <v>58</v>
      </c>
      <c r="G14" s="613"/>
      <c r="H14" s="614"/>
      <c r="I14" s="50">
        <f>График!AI29</f>
        <v>24</v>
      </c>
      <c r="J14" s="59">
        <v>24</v>
      </c>
      <c r="K14" s="38">
        <f t="shared" si="5"/>
        <v>1</v>
      </c>
      <c r="L14" s="167">
        <f>IF(SUMIF($D$25:$D$48,"&gt;=0",$P$25:$P$48),I50*I8/SUMIF($D$25:$D$48,"&gt;=0",$P$25:$P$48),"")</f>
        <v>0</v>
      </c>
      <c r="M14" s="40" t="str">
        <f t="shared" si="6"/>
        <v/>
      </c>
      <c r="N14" s="41">
        <f t="shared" si="7"/>
        <v>-24</v>
      </c>
      <c r="O14" s="58"/>
      <c r="P14" s="41" t="str">
        <f t="shared" si="8"/>
        <v/>
      </c>
      <c r="Q14" s="43" t="str">
        <f t="shared" si="9"/>
        <v/>
      </c>
      <c r="R14" s="20"/>
      <c r="S14" s="60"/>
      <c r="T14" s="12"/>
      <c r="U14" s="12"/>
      <c r="V14" s="12"/>
      <c r="W14" s="12"/>
    </row>
    <row r="15" spans="2:23" ht="15.75" customHeight="1">
      <c r="B15" s="162"/>
      <c r="C15" s="12"/>
      <c r="D15" s="12"/>
      <c r="E15" s="12"/>
      <c r="F15" s="612" t="s">
        <v>20</v>
      </c>
      <c r="G15" s="613"/>
      <c r="H15" s="614"/>
      <c r="I15" s="70">
        <f>'Ялта, Ленина, 18'!I15</f>
        <v>60000</v>
      </c>
      <c r="J15" s="62">
        <f>J8/J14</f>
        <v>34748.664166666662</v>
      </c>
      <c r="K15" s="63">
        <f t="shared" si="5"/>
        <v>0.57914440277777768</v>
      </c>
      <c r="L15" s="67">
        <f t="shared" ref="L15:L19" si="10">J15</f>
        <v>34748.664166666662</v>
      </c>
      <c r="M15" s="65">
        <f t="shared" si="6"/>
        <v>0.57914440277777768</v>
      </c>
      <c r="N15" s="41">
        <f t="shared" si="7"/>
        <v>-25251.335833333338</v>
      </c>
      <c r="O15" s="66"/>
      <c r="P15" s="41" t="str">
        <f t="shared" si="8"/>
        <v/>
      </c>
      <c r="Q15" s="43" t="str">
        <f t="shared" si="9"/>
        <v/>
      </c>
      <c r="R15" s="20"/>
      <c r="S15" s="35"/>
      <c r="T15" s="12"/>
      <c r="U15" s="12"/>
      <c r="V15" s="12"/>
      <c r="W15" s="12"/>
    </row>
    <row r="16" spans="2:23" ht="15.75" customHeight="1">
      <c r="B16" s="162"/>
      <c r="C16" s="12"/>
      <c r="D16" s="12"/>
      <c r="E16" s="12"/>
      <c r="F16" s="612" t="s">
        <v>21</v>
      </c>
      <c r="G16" s="613"/>
      <c r="H16" s="614"/>
      <c r="I16" s="70"/>
      <c r="J16" s="62">
        <f>J8-I15*J14</f>
        <v>-606032.06000000006</v>
      </c>
      <c r="K16" s="63" t="str">
        <f t="shared" si="5"/>
        <v/>
      </c>
      <c r="L16" s="67">
        <f t="shared" si="10"/>
        <v>-606032.06000000006</v>
      </c>
      <c r="M16" s="68" t="str">
        <f t="shared" si="6"/>
        <v/>
      </c>
      <c r="N16" s="41" t="str">
        <f t="shared" si="7"/>
        <v/>
      </c>
      <c r="O16" s="66"/>
      <c r="P16" s="41" t="str">
        <f t="shared" si="8"/>
        <v/>
      </c>
      <c r="Q16" s="43" t="str">
        <f t="shared" si="9"/>
        <v/>
      </c>
      <c r="R16" s="20"/>
      <c r="S16" s="618" t="s">
        <v>22</v>
      </c>
      <c r="T16" s="12"/>
      <c r="U16" s="12"/>
      <c r="V16" s="12"/>
      <c r="W16" s="12"/>
    </row>
    <row r="17" spans="1:255" ht="15.75" customHeight="1">
      <c r="B17" s="162"/>
      <c r="C17" s="12"/>
      <c r="D17" s="12"/>
      <c r="E17" s="12"/>
      <c r="F17" s="612" t="s">
        <v>23</v>
      </c>
      <c r="G17" s="613"/>
      <c r="H17" s="614"/>
      <c r="I17" s="70">
        <f>'Ялта, Ленина, 18'!I17/График!AJ31*График!AJ26</f>
        <v>0</v>
      </c>
      <c r="J17" s="62">
        <f>I50</f>
        <v>0</v>
      </c>
      <c r="K17" s="63" t="str">
        <f t="shared" si="5"/>
        <v/>
      </c>
      <c r="L17" s="67">
        <f t="shared" si="10"/>
        <v>0</v>
      </c>
      <c r="M17" s="68" t="str">
        <f t="shared" si="6"/>
        <v/>
      </c>
      <c r="N17" s="41" t="str">
        <f t="shared" si="7"/>
        <v/>
      </c>
      <c r="O17" s="66"/>
      <c r="P17" s="41" t="str">
        <f t="shared" si="8"/>
        <v/>
      </c>
      <c r="Q17" s="43" t="str">
        <f t="shared" si="9"/>
        <v/>
      </c>
      <c r="R17" s="20"/>
      <c r="S17" s="618"/>
      <c r="T17" s="12"/>
      <c r="U17" s="12"/>
      <c r="V17" s="12"/>
      <c r="W17" s="12"/>
    </row>
    <row r="18" spans="1:255" ht="15.75" customHeight="1">
      <c r="B18" s="162"/>
      <c r="C18" s="12"/>
      <c r="D18" s="12"/>
      <c r="E18" s="12"/>
      <c r="F18" s="612"/>
      <c r="G18" s="613"/>
      <c r="H18" s="614"/>
      <c r="I18" s="71"/>
      <c r="J18" s="62"/>
      <c r="K18" s="63" t="str">
        <f t="shared" si="5"/>
        <v/>
      </c>
      <c r="L18" s="67">
        <f t="shared" si="10"/>
        <v>0</v>
      </c>
      <c r="M18" s="68" t="str">
        <f t="shared" si="6"/>
        <v/>
      </c>
      <c r="N18" s="41" t="str">
        <f t="shared" si="7"/>
        <v/>
      </c>
      <c r="O18" s="72">
        <v>0</v>
      </c>
      <c r="P18" s="41" t="str">
        <f t="shared" si="8"/>
        <v/>
      </c>
      <c r="Q18" s="43" t="str">
        <f t="shared" si="9"/>
        <v/>
      </c>
      <c r="R18" s="20"/>
      <c r="S18" s="73"/>
      <c r="T18" s="12"/>
      <c r="U18" s="12"/>
      <c r="V18" s="12"/>
      <c r="W18" s="12"/>
    </row>
    <row r="19" spans="1:255" ht="15.75" customHeight="1">
      <c r="B19" s="162"/>
      <c r="C19" s="12"/>
      <c r="D19" s="12"/>
      <c r="E19" s="12"/>
      <c r="F19" s="612"/>
      <c r="G19" s="613"/>
      <c r="H19" s="614"/>
      <c r="I19" s="71"/>
      <c r="J19" s="62">
        <f>M50</f>
        <v>0</v>
      </c>
      <c r="K19" s="63" t="str">
        <f t="shared" si="5"/>
        <v/>
      </c>
      <c r="L19" s="67">
        <f t="shared" si="10"/>
        <v>0</v>
      </c>
      <c r="M19" s="68" t="str">
        <f t="shared" si="6"/>
        <v/>
      </c>
      <c r="N19" s="41" t="str">
        <f t="shared" si="7"/>
        <v/>
      </c>
      <c r="O19" s="66">
        <v>0</v>
      </c>
      <c r="P19" s="41" t="str">
        <f t="shared" si="8"/>
        <v/>
      </c>
      <c r="Q19" s="43" t="str">
        <f t="shared" si="9"/>
        <v/>
      </c>
      <c r="R19" s="20"/>
      <c r="S19" s="74" t="e">
        <f>S18/I16</f>
        <v>#DIV/0!</v>
      </c>
      <c r="T19" s="12"/>
      <c r="U19" s="12"/>
      <c r="V19" s="12"/>
      <c r="W19" s="12"/>
    </row>
    <row r="20" spans="1:255" ht="15.75" customHeight="1">
      <c r="B20" s="162"/>
      <c r="C20" s="12"/>
      <c r="D20" s="12"/>
      <c r="E20" s="12"/>
      <c r="F20" s="621" t="s">
        <v>24</v>
      </c>
      <c r="G20" s="621"/>
      <c r="H20" s="621"/>
      <c r="I20" s="75">
        <f>'Ялта, Ленина, 18'!I20</f>
        <v>0.25700000000000001</v>
      </c>
      <c r="J20" s="171" t="str">
        <f>N50</f>
        <v/>
      </c>
      <c r="K20" s="171" t="e">
        <f>J20/I20</f>
        <v>#VALUE!</v>
      </c>
      <c r="L20" s="78">
        <f>IF(AND(K8&lt;&gt;0,I14&lt;&gt;0,I50&lt;&gt;0),(I50*N50+(I50/K8-I50)*I20)/(I50/K8),0)</f>
        <v>0</v>
      </c>
      <c r="M20" s="79" t="str">
        <f t="shared" si="6"/>
        <v/>
      </c>
      <c r="N20" s="80" t="str">
        <f t="shared" si="7"/>
        <v/>
      </c>
      <c r="O20" s="81"/>
      <c r="P20" s="82" t="str">
        <f t="shared" si="8"/>
        <v/>
      </c>
      <c r="Q20" s="83" t="str">
        <f t="shared" si="9"/>
        <v/>
      </c>
      <c r="R20" s="20"/>
      <c r="S20" s="20"/>
      <c r="T20" s="12"/>
      <c r="U20" s="12"/>
      <c r="V20" s="12"/>
      <c r="W20" s="12"/>
    </row>
    <row r="21" spans="1:255" ht="15.75" customHeight="1">
      <c r="B21" s="16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0"/>
      <c r="S21" s="20"/>
      <c r="T21" s="12"/>
      <c r="U21" s="12"/>
      <c r="V21" s="12"/>
      <c r="W21" s="12"/>
    </row>
    <row r="22" spans="1:255" ht="16.5" customHeight="1">
      <c r="B22" s="662" t="s">
        <v>25</v>
      </c>
      <c r="C22" s="662"/>
      <c r="D22" s="662"/>
      <c r="E22" s="662"/>
      <c r="F22" s="662"/>
      <c r="G22" s="662"/>
      <c r="H22" s="662"/>
      <c r="I22" s="662"/>
      <c r="J22" s="662"/>
      <c r="K22" s="662"/>
      <c r="L22" s="662"/>
      <c r="M22" s="662"/>
      <c r="N22" s="662"/>
      <c r="O22" s="663" t="s">
        <v>26</v>
      </c>
      <c r="P22" s="662" t="s">
        <v>27</v>
      </c>
      <c r="Q22" s="662"/>
      <c r="R22" s="662"/>
      <c r="S22" s="662"/>
      <c r="T22" s="662"/>
      <c r="U22" s="662"/>
      <c r="V22" s="662"/>
      <c r="W22" s="662"/>
    </row>
    <row r="23" spans="1:255" ht="36">
      <c r="B23" s="172" t="s">
        <v>29</v>
      </c>
      <c r="C23" s="172" t="s">
        <v>30</v>
      </c>
      <c r="D23" s="172" t="s">
        <v>31</v>
      </c>
      <c r="E23" s="172" t="s">
        <v>32</v>
      </c>
      <c r="F23" s="172" t="s">
        <v>33</v>
      </c>
      <c r="G23" s="172" t="s">
        <v>34</v>
      </c>
      <c r="H23" s="172" t="s">
        <v>35</v>
      </c>
      <c r="I23" s="172" t="s">
        <v>23</v>
      </c>
      <c r="J23" s="172" t="s">
        <v>36</v>
      </c>
      <c r="K23" s="173" t="s">
        <v>37</v>
      </c>
      <c r="L23" s="173" t="s">
        <v>37</v>
      </c>
      <c r="M23" s="173" t="s">
        <v>37</v>
      </c>
      <c r="N23" s="172" t="s">
        <v>38</v>
      </c>
      <c r="O23" s="663"/>
      <c r="P23" s="172" t="s">
        <v>39</v>
      </c>
      <c r="Q23" s="172" t="s">
        <v>40</v>
      </c>
      <c r="R23" s="172" t="s">
        <v>41</v>
      </c>
      <c r="S23" s="172" t="s">
        <v>42</v>
      </c>
      <c r="T23" s="172" t="s">
        <v>43</v>
      </c>
      <c r="U23" s="172" t="s">
        <v>44</v>
      </c>
      <c r="V23" s="174" t="s">
        <v>45</v>
      </c>
      <c r="W23" s="174" t="s">
        <v>46</v>
      </c>
      <c r="X23" s="175"/>
    </row>
    <row r="24" spans="1:255">
      <c r="B24" s="176">
        <v>1</v>
      </c>
      <c r="C24" s="216">
        <v>2</v>
      </c>
      <c r="D24" s="176">
        <v>3</v>
      </c>
      <c r="E24" s="176">
        <v>4</v>
      </c>
      <c r="F24" s="176">
        <v>5</v>
      </c>
      <c r="G24" s="176">
        <v>6</v>
      </c>
      <c r="H24" s="176">
        <v>7</v>
      </c>
      <c r="I24" s="176">
        <v>8</v>
      </c>
      <c r="J24" s="176">
        <v>9</v>
      </c>
      <c r="K24" s="176">
        <v>10</v>
      </c>
      <c r="L24" s="176">
        <v>11</v>
      </c>
      <c r="M24" s="176">
        <v>12</v>
      </c>
      <c r="N24" s="176">
        <v>13</v>
      </c>
      <c r="O24" s="663"/>
      <c r="P24" s="177">
        <v>1</v>
      </c>
      <c r="Q24" s="177">
        <v>2</v>
      </c>
      <c r="R24" s="177">
        <v>3</v>
      </c>
      <c r="S24" s="177">
        <v>4</v>
      </c>
      <c r="T24" s="177">
        <v>5</v>
      </c>
      <c r="U24" s="177">
        <v>6</v>
      </c>
      <c r="V24" s="177">
        <v>10</v>
      </c>
      <c r="W24" s="177">
        <v>11</v>
      </c>
    </row>
    <row r="25" spans="1:255">
      <c r="A25" s="108">
        <v>1</v>
      </c>
      <c r="B25" s="514">
        <v>45663</v>
      </c>
      <c r="C25" s="524" t="s">
        <v>52</v>
      </c>
      <c r="D25" s="515">
        <v>37861</v>
      </c>
      <c r="E25" s="517">
        <v>12</v>
      </c>
      <c r="F25" s="517">
        <f t="shared" ref="F25:F28" si="11">IF(AND(E25&lt;&gt;"",E25&lt;&gt;0),D25/E25,"")</f>
        <v>3155.0833333333335</v>
      </c>
      <c r="G25" s="517">
        <v>9</v>
      </c>
      <c r="H25" s="517">
        <f t="shared" ref="H25:H28" si="12">IF(AND(G25&lt;&gt;"",G25&lt;&gt;0),D25/G25,"")</f>
        <v>4206.7777777777774</v>
      </c>
      <c r="I25" s="517"/>
      <c r="J25" s="515">
        <f t="shared" ref="J25:J28" si="13">IF(AND(G25&lt;&gt;"",G25&lt;&gt;0),E25/G25,"")</f>
        <v>1.3333333333333333</v>
      </c>
      <c r="K25" s="517"/>
      <c r="L25" s="517"/>
      <c r="M25" s="517"/>
      <c r="N25" s="518" t="str">
        <f t="shared" ref="N25:N28" si="14">IF(AND(I25&lt;&gt;"",I25&lt;&gt;0),G25/I25,"")</f>
        <v/>
      </c>
      <c r="O25" s="519">
        <f t="shared" ref="O25:O28" si="15">D25/P25</f>
        <v>0.55857231074580471</v>
      </c>
      <c r="P25" s="520">
        <f t="shared" ref="P25:P37" si="16">$I$8*V25*W25/SUMPRODUCT($W$25:$W$57,$V$25:$V$57)</f>
        <v>67781.73438179931</v>
      </c>
      <c r="Q25" s="521">
        <f t="shared" ref="Q25:Q37" si="17">$I$9*V25*W25/SUMPRODUCT($W$25:$W$57,$V$25:$V$57)</f>
        <v>18.369033707804689</v>
      </c>
      <c r="R25" s="521">
        <f t="shared" ref="R25:R28" si="18">IF($I$12="","",Q25/$I$12)</f>
        <v>11.480646067377931</v>
      </c>
      <c r="S25" s="520">
        <f>IF(W25&lt;&gt;"",IF(D25&lt;&gt;"",D25,($I$8-SUM($S24:S$25))*V25*W25/SUMPRODUCT($W25:$W$57,$V25:$V$57)),"")</f>
        <v>37861</v>
      </c>
      <c r="T25" s="521">
        <f>IF(W25&lt;&gt;"",IF(E25&lt;&gt;"",E25,($I$9-SUM($T24:T$25))*V25*W25/SUMPRODUCT($W25:$W$57,$V25:$V$57)),"")</f>
        <v>12</v>
      </c>
      <c r="U25" s="521">
        <f>IF(W25&lt;&gt;"",IF($I$12&lt;&gt;"",IF(G25&lt;&gt;"",G25,($I$9/$I$12-SUM($U24:U$25))*V25*W25/SUMPRODUCT($W25:$W$57,$V25:$V$57)),""),"")</f>
        <v>9</v>
      </c>
      <c r="V25" s="522">
        <v>1.2</v>
      </c>
      <c r="W25" s="522">
        <v>1.2</v>
      </c>
      <c r="X25" s="523"/>
      <c r="Y25" s="523"/>
      <c r="Z25" s="2"/>
      <c r="AA25" s="2"/>
      <c r="AB25" s="2"/>
      <c r="AC25" s="2"/>
      <c r="AD25" s="2"/>
    </row>
    <row r="26" spans="1:255">
      <c r="A26" s="108">
        <v>2</v>
      </c>
      <c r="B26" s="514">
        <v>45664</v>
      </c>
      <c r="C26" s="116" t="s">
        <v>53</v>
      </c>
      <c r="D26" s="515">
        <v>65247</v>
      </c>
      <c r="E26" s="517">
        <v>16</v>
      </c>
      <c r="F26" s="517">
        <f t="shared" si="11"/>
        <v>4077.9375</v>
      </c>
      <c r="G26" s="517">
        <v>10</v>
      </c>
      <c r="H26" s="517">
        <f t="shared" si="12"/>
        <v>6524.7</v>
      </c>
      <c r="I26" s="517"/>
      <c r="J26" s="515">
        <f t="shared" si="13"/>
        <v>1.6</v>
      </c>
      <c r="K26" s="517"/>
      <c r="L26" s="517"/>
      <c r="M26" s="517"/>
      <c r="N26" s="518" t="str">
        <f t="shared" si="14"/>
        <v/>
      </c>
      <c r="O26" s="519">
        <f t="shared" si="15"/>
        <v>0.96260446261935817</v>
      </c>
      <c r="P26" s="520">
        <f t="shared" si="16"/>
        <v>67781.73438179931</v>
      </c>
      <c r="Q26" s="521">
        <f t="shared" si="17"/>
        <v>18.369033707804689</v>
      </c>
      <c r="R26" s="521">
        <f t="shared" si="18"/>
        <v>11.480646067377931</v>
      </c>
      <c r="S26" s="520">
        <f>IF(W26&lt;&gt;"",IF(D26&lt;&gt;"",D26,($I$8-SUM($S$25:S25))*V26*W26/SUMPRODUCT($W26:$W$57,$V26:$V$57)),"")</f>
        <v>65247</v>
      </c>
      <c r="T26" s="521">
        <f>IF(W26&lt;&gt;"",IF(E26&lt;&gt;"",E26,($I$9-SUM($T$25:T25))*V26*W26/SUMPRODUCT($W26:$W$57,$V26:$V$57)),"")</f>
        <v>16</v>
      </c>
      <c r="U26" s="521">
        <f>IF(W26&lt;&gt;"",IF($I$12&lt;&gt;"",IF(G26&lt;&gt;"",G26,($I$9/$I$12-SUM($U$25:U25))*V26*W26/SUMPRODUCT($W26:$W$57,$V26:$V$57)),""),"")</f>
        <v>10</v>
      </c>
      <c r="V26" s="522">
        <v>1.2</v>
      </c>
      <c r="W26" s="522">
        <v>1.2</v>
      </c>
      <c r="X26" s="523"/>
      <c r="Y26" s="523"/>
      <c r="Z26" s="2"/>
      <c r="AA26" s="2"/>
      <c r="AB26" s="2"/>
      <c r="AC26" s="2"/>
      <c r="AD26" s="2"/>
    </row>
    <row r="27" spans="1:255">
      <c r="A27" s="108">
        <v>3</v>
      </c>
      <c r="B27" s="514">
        <v>45665</v>
      </c>
      <c r="C27" s="524" t="s">
        <v>47</v>
      </c>
      <c r="D27" s="515">
        <v>64146</v>
      </c>
      <c r="E27" s="517"/>
      <c r="F27" s="517" t="str">
        <f t="shared" si="11"/>
        <v/>
      </c>
      <c r="G27" s="517"/>
      <c r="H27" s="517" t="str">
        <f t="shared" si="12"/>
        <v/>
      </c>
      <c r="I27" s="517"/>
      <c r="J27" s="515" t="str">
        <f t="shared" si="13"/>
        <v/>
      </c>
      <c r="K27" s="517"/>
      <c r="L27" s="517"/>
      <c r="M27" s="517"/>
      <c r="N27" s="518" t="str">
        <f t="shared" si="14"/>
        <v/>
      </c>
      <c r="O27" s="519">
        <f t="shared" si="15"/>
        <v>0.9463611485460075</v>
      </c>
      <c r="P27" s="520">
        <f t="shared" si="16"/>
        <v>67781.73438179931</v>
      </c>
      <c r="Q27" s="521">
        <f t="shared" si="17"/>
        <v>18.369033707804689</v>
      </c>
      <c r="R27" s="521">
        <f t="shared" si="18"/>
        <v>11.480646067377931</v>
      </c>
      <c r="S27" s="520">
        <f>IF(W27&lt;&gt;"",IF(D27&lt;&gt;"",D27,($I$8-SUM($S$25:S26))*V27*W27/SUMPRODUCT($W27:$W$57,$V27:$V$57)),"")</f>
        <v>64146</v>
      </c>
      <c r="T27" s="521">
        <f>IF(W27&lt;&gt;"",IF(E27&lt;&gt;"",E27,($I$9-SUM($T$25:T26))*V27*W27/SUMPRODUCT($W27:$W$57,$V27:$V$57)),"")</f>
        <v>19.124304840966609</v>
      </c>
      <c r="U27" s="521">
        <f>IF(W27&lt;&gt;"",IF($I$12&lt;&gt;"",IF(G27&lt;&gt;"",G27,($I$9/$I$12-SUM($U$25:U26))*V27*W27/SUMPRODUCT($W27:$W$57,$V27:$V$57)),""),"")</f>
        <v>11.823038664859833</v>
      </c>
      <c r="V27" s="522">
        <v>1.2</v>
      </c>
      <c r="W27" s="522">
        <v>1.2</v>
      </c>
      <c r="X27" s="523"/>
      <c r="Y27" s="523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</row>
    <row r="28" spans="1:255">
      <c r="A28" s="108">
        <v>4</v>
      </c>
      <c r="B28" s="514">
        <v>45666</v>
      </c>
      <c r="C28" s="116" t="s">
        <v>48</v>
      </c>
      <c r="D28" s="515">
        <v>93262</v>
      </c>
      <c r="E28" s="517">
        <v>27</v>
      </c>
      <c r="F28" s="517">
        <f t="shared" si="11"/>
        <v>3454.1481481481483</v>
      </c>
      <c r="G28" s="517">
        <v>5</v>
      </c>
      <c r="H28" s="517">
        <f t="shared" si="12"/>
        <v>18652.400000000001</v>
      </c>
      <c r="I28" s="517"/>
      <c r="J28" s="515">
        <f t="shared" si="13"/>
        <v>5.4</v>
      </c>
      <c r="K28" s="517"/>
      <c r="L28" s="517"/>
      <c r="M28" s="517"/>
      <c r="N28" s="518" t="str">
        <f t="shared" si="14"/>
        <v/>
      </c>
      <c r="O28" s="519">
        <f t="shared" si="15"/>
        <v>1.9813196169270841</v>
      </c>
      <c r="P28" s="520">
        <f t="shared" si="16"/>
        <v>47070.648876249528</v>
      </c>
      <c r="Q28" s="521">
        <f t="shared" si="17"/>
        <v>12.756273408197703</v>
      </c>
      <c r="R28" s="521">
        <f t="shared" si="18"/>
        <v>7.9726708801235642</v>
      </c>
      <c r="S28" s="520">
        <f>IF(W28&lt;&gt;"",IF(D28&lt;&gt;"",D28,($I$8-SUM($S$25:S27))*V28*W28/SUMPRODUCT($W28:$W$57,$V28:$V$57)),"")</f>
        <v>93262</v>
      </c>
      <c r="T28" s="521">
        <f>IF(W28&lt;&gt;"",IF(E28&lt;&gt;"",E28,($I$9-SUM($T$25:T27))*V28*W28/SUMPRODUCT($W28:$W$57,$V28:$V$57)),"")</f>
        <v>27</v>
      </c>
      <c r="U28" s="521">
        <f>IF(W28&lt;&gt;"",IF($I$12&lt;&gt;"",IF(G28&lt;&gt;"",G28,($I$9/$I$12-SUM($U$25:U27))*V28*W28/SUMPRODUCT($W28:$W$57,$V28:$V$57)),""),"")</f>
        <v>5</v>
      </c>
      <c r="V28" s="522">
        <v>1</v>
      </c>
      <c r="W28" s="522">
        <v>1</v>
      </c>
      <c r="X28" s="523"/>
      <c r="Y28" s="523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</row>
    <row r="29" spans="1:255">
      <c r="A29" s="108">
        <v>5</v>
      </c>
      <c r="B29" s="514">
        <v>45667</v>
      </c>
      <c r="C29" s="527" t="s">
        <v>49</v>
      </c>
      <c r="D29" s="534">
        <v>39739</v>
      </c>
      <c r="E29" s="516">
        <v>10</v>
      </c>
      <c r="F29" s="517">
        <f t="shared" ref="F29:F50" si="19">IF(AND(E29&lt;&gt;"",E29&lt;&gt;0),D29/E29,"")</f>
        <v>3973.9</v>
      </c>
      <c r="G29" s="516">
        <v>7</v>
      </c>
      <c r="H29" s="517">
        <f t="shared" ref="H29:H50" si="20">IF(AND(G29&lt;&gt;"",G29&lt;&gt;0),D29/G29,"")</f>
        <v>5677</v>
      </c>
      <c r="I29" s="516"/>
      <c r="J29" s="515">
        <f t="shared" ref="J29:J50" si="21">IF(AND(G29&lt;&gt;"",G29&lt;&gt;0),E29/G29,"")</f>
        <v>1.4285714285714286</v>
      </c>
      <c r="K29" s="517"/>
      <c r="L29" s="517"/>
      <c r="M29" s="517"/>
      <c r="N29" s="518" t="str">
        <f t="shared" ref="N29:N50" si="22">IF(AND(I29&lt;&gt;"",I29&lt;&gt;0),G29/I29,"")</f>
        <v/>
      </c>
      <c r="O29" s="519">
        <f t="shared" ref="O29:O50" si="23">D29/P29</f>
        <v>0.84424160169270868</v>
      </c>
      <c r="P29" s="520">
        <f t="shared" si="16"/>
        <v>47070.648876249528</v>
      </c>
      <c r="Q29" s="521">
        <f t="shared" si="17"/>
        <v>12.756273408197703</v>
      </c>
      <c r="R29" s="521">
        <f t="shared" ref="R29:R37" si="24">IF($I$12="","",Q29/$I$12)</f>
        <v>7.9726708801235642</v>
      </c>
      <c r="S29" s="520">
        <f>IF(W29&lt;&gt;"",IF(D29&lt;&gt;"",D29,($I$8-SUM($S$25:S28))*V29*W29/SUMPRODUCT($W29:$W$57,$V29:$V$57)),"")</f>
        <v>39739</v>
      </c>
      <c r="T29" s="521">
        <f>IF(W29&lt;&gt;"",IF(E29&lt;&gt;"",E29,($I$9-SUM($T$25:T28))*V29*W29/SUMPRODUCT($W29:$W$57,$V29:$V$57)),"")</f>
        <v>10</v>
      </c>
      <c r="U29" s="521">
        <f>IF(W29&lt;&gt;"",IF($I$12&lt;&gt;"",IF(G29&lt;&gt;"",G29,($I$9/$I$12-SUM($U$25:U28))*V29*W29/SUMPRODUCT($W29:$W$57,$V29:$V$57)),""),"")</f>
        <v>7</v>
      </c>
      <c r="V29" s="522">
        <v>1</v>
      </c>
      <c r="W29" s="522">
        <v>1</v>
      </c>
      <c r="X29" s="523"/>
      <c r="Y29" s="523"/>
      <c r="Z29" s="2"/>
      <c r="AA29" s="2"/>
      <c r="AB29" s="2"/>
      <c r="AC29" s="2"/>
      <c r="AD29" s="2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</row>
    <row r="30" spans="1:255">
      <c r="A30" s="108">
        <v>6</v>
      </c>
      <c r="B30" s="514">
        <v>45668</v>
      </c>
      <c r="C30" s="116" t="s">
        <v>50</v>
      </c>
      <c r="D30" s="515">
        <v>4692</v>
      </c>
      <c r="E30" s="517">
        <v>1</v>
      </c>
      <c r="F30" s="517">
        <f t="shared" si="19"/>
        <v>4692</v>
      </c>
      <c r="G30" s="517">
        <v>1</v>
      </c>
      <c r="H30" s="517">
        <f t="shared" si="20"/>
        <v>4692</v>
      </c>
      <c r="I30" s="517"/>
      <c r="J30" s="515">
        <f t="shared" si="21"/>
        <v>1</v>
      </c>
      <c r="K30" s="517"/>
      <c r="L30" s="517"/>
      <c r="M30" s="517"/>
      <c r="N30" s="518" t="str">
        <f t="shared" si="22"/>
        <v/>
      </c>
      <c r="O30" s="519">
        <f t="shared" si="23"/>
        <v>9.9679951562500035E-2</v>
      </c>
      <c r="P30" s="520">
        <f t="shared" si="16"/>
        <v>47070.648876249528</v>
      </c>
      <c r="Q30" s="521">
        <f t="shared" si="17"/>
        <v>12.756273408197703</v>
      </c>
      <c r="R30" s="521">
        <f t="shared" si="24"/>
        <v>7.9726708801235642</v>
      </c>
      <c r="S30" s="520">
        <f>IF(W30&lt;&gt;"",IF(D30&lt;&gt;"",D30,($I$8-SUM($S$25:S29))*V30*W30/SUMPRODUCT($W30:$W$57,$V30:$V$57)),"")</f>
        <v>4692</v>
      </c>
      <c r="T30" s="521">
        <f>IF(W30&lt;&gt;"",IF(E30&lt;&gt;"",E30,($I$9-SUM($T$25:T29))*V30*W30/SUMPRODUCT($W30:$W$57,$V30:$V$57)),"")</f>
        <v>1</v>
      </c>
      <c r="U30" s="521">
        <f>IF(W30&lt;&gt;"",IF($I$12&lt;&gt;"",IF(G30&lt;&gt;"",G30,($I$9/$I$12-SUM($U$25:U29))*V30*W30/SUMPRODUCT($W30:$W$57,$V30:$V$57)),""),"")</f>
        <v>1</v>
      </c>
      <c r="V30" s="522">
        <v>1</v>
      </c>
      <c r="W30" s="522">
        <v>1</v>
      </c>
      <c r="X30" s="523"/>
      <c r="Y30" s="523"/>
      <c r="Z30" s="2"/>
      <c r="AA30" s="2"/>
      <c r="AB30" s="2"/>
      <c r="AC30" s="2"/>
      <c r="AD30" s="2"/>
    </row>
    <row r="31" spans="1:255" ht="15.25" customHeight="1">
      <c r="A31" s="108">
        <v>7</v>
      </c>
      <c r="B31" s="514">
        <v>45670</v>
      </c>
      <c r="C31" s="527" t="s">
        <v>52</v>
      </c>
      <c r="D31" s="515">
        <v>18667</v>
      </c>
      <c r="E31" s="517">
        <v>4</v>
      </c>
      <c r="F31" s="517">
        <f t="shared" si="19"/>
        <v>4666.75</v>
      </c>
      <c r="G31" s="517">
        <v>3</v>
      </c>
      <c r="H31" s="517">
        <f t="shared" si="20"/>
        <v>6222.333333333333</v>
      </c>
      <c r="I31" s="517"/>
      <c r="J31" s="515">
        <f t="shared" si="21"/>
        <v>1.3333333333333333</v>
      </c>
      <c r="K31" s="517"/>
      <c r="L31" s="517"/>
      <c r="M31" s="517"/>
      <c r="N31" s="518" t="str">
        <f t="shared" si="22"/>
        <v/>
      </c>
      <c r="O31" s="519">
        <f t="shared" si="23"/>
        <v>0.619647024129232</v>
      </c>
      <c r="P31" s="520">
        <f t="shared" si="16"/>
        <v>30125.215280799701</v>
      </c>
      <c r="Q31" s="521">
        <f t="shared" si="17"/>
        <v>8.164014981246531</v>
      </c>
      <c r="R31" s="521">
        <f t="shared" si="24"/>
        <v>5.1025093632790819</v>
      </c>
      <c r="S31" s="520">
        <f>IF(W31&lt;&gt;"",IF(D31&lt;&gt;"",D31,($I$8-SUM($S$25:S30))*V31*W31/SUMPRODUCT($W31:$W$57,$V31:$V$57)),"")</f>
        <v>18667</v>
      </c>
      <c r="T31" s="521">
        <f>IF(W31&lt;&gt;"",IF(E31&lt;&gt;"",E31,($I$9-SUM($T$25:T30))*V31*W31/SUMPRODUCT($W31:$W$57,$V31:$V$57)),"")</f>
        <v>4</v>
      </c>
      <c r="U31" s="521">
        <f>IF(W31&lt;&gt;"",IF($I$12&lt;&gt;"",IF(G31&lt;&gt;"",G31,($I$9/$I$12-SUM($U$25:U30))*V31*W31/SUMPRODUCT($W31:$W$57,$V31:$V$57)),""),"")</f>
        <v>3</v>
      </c>
      <c r="V31" s="522">
        <v>0.8</v>
      </c>
      <c r="W31" s="522">
        <v>0.8</v>
      </c>
      <c r="X31" s="523"/>
      <c r="Y31" s="523"/>
      <c r="Z31" s="2"/>
      <c r="AA31" s="2"/>
      <c r="AB31" s="2"/>
      <c r="AC31" s="2"/>
      <c r="AD31" s="2"/>
    </row>
    <row r="32" spans="1:255">
      <c r="A32" s="108">
        <v>8</v>
      </c>
      <c r="B32" s="514">
        <v>45671</v>
      </c>
      <c r="C32" s="527" t="s">
        <v>53</v>
      </c>
      <c r="D32" s="530">
        <v>0</v>
      </c>
      <c r="E32" s="517">
        <v>0</v>
      </c>
      <c r="F32" s="516" t="str">
        <f t="shared" si="19"/>
        <v/>
      </c>
      <c r="G32" s="517">
        <v>0</v>
      </c>
      <c r="H32" s="516" t="str">
        <f t="shared" si="20"/>
        <v/>
      </c>
      <c r="I32" s="517"/>
      <c r="J32" s="530" t="str">
        <f t="shared" si="21"/>
        <v/>
      </c>
      <c r="K32" s="517"/>
      <c r="L32" s="517"/>
      <c r="M32" s="517"/>
      <c r="N32" s="518" t="str">
        <f t="shared" si="22"/>
        <v/>
      </c>
      <c r="O32" s="519">
        <f t="shared" si="23"/>
        <v>0</v>
      </c>
      <c r="P32" s="520">
        <f t="shared" si="16"/>
        <v>47070.648876249528</v>
      </c>
      <c r="Q32" s="521">
        <f t="shared" si="17"/>
        <v>12.756273408197703</v>
      </c>
      <c r="R32" s="521">
        <f t="shared" si="24"/>
        <v>7.9726708801235642</v>
      </c>
      <c r="S32" s="520">
        <f>IF(W32&lt;&gt;"",IF(D32&lt;&gt;"",D32,($I$8-SUM($S$25:S31))*V32*W32/SUMPRODUCT($W32:$W$57,$V32:$V$57)),"")</f>
        <v>0</v>
      </c>
      <c r="T32" s="521">
        <f>IF(W32&lt;&gt;"",IF(E32&lt;&gt;"",E32,($I$9-SUM($T$25:T31))*V32*W32/SUMPRODUCT($W32:$W$57,$V32:$V$57)),"")</f>
        <v>0</v>
      </c>
      <c r="U32" s="521">
        <f>IF(W32&lt;&gt;"",IF($I$12&lt;&gt;"",IF(G32&lt;&gt;"",G32,($I$9/$I$12-SUM($U$25:U31))*V32*W32/SUMPRODUCT($W32:$W$57,$V32:$V$57)),""),"")</f>
        <v>0</v>
      </c>
      <c r="V32" s="522">
        <v>1</v>
      </c>
      <c r="W32" s="522">
        <v>1</v>
      </c>
      <c r="X32" s="523"/>
      <c r="Y32" s="523"/>
      <c r="Z32" s="2"/>
      <c r="AA32" s="2"/>
      <c r="AB32" s="2"/>
      <c r="AC32" s="2"/>
      <c r="AD32" s="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</row>
    <row r="33" spans="1:255">
      <c r="A33" s="108">
        <v>9</v>
      </c>
      <c r="B33" s="514">
        <v>45672</v>
      </c>
      <c r="C33" s="116" t="s">
        <v>47</v>
      </c>
      <c r="D33" s="515">
        <f>45624-11084</f>
        <v>34540</v>
      </c>
      <c r="E33" s="517">
        <v>7</v>
      </c>
      <c r="F33" s="517">
        <f t="shared" si="19"/>
        <v>4934.2857142857147</v>
      </c>
      <c r="G33" s="517">
        <v>3</v>
      </c>
      <c r="H33" s="517">
        <f t="shared" si="20"/>
        <v>11513.333333333334</v>
      </c>
      <c r="I33" s="517"/>
      <c r="J33" s="515">
        <f t="shared" si="21"/>
        <v>2.3333333333333335</v>
      </c>
      <c r="K33" s="517"/>
      <c r="L33" s="517"/>
      <c r="M33" s="517"/>
      <c r="N33" s="518" t="str">
        <f t="shared" si="22"/>
        <v/>
      </c>
      <c r="O33" s="519">
        <f t="shared" si="23"/>
        <v>1.1465478230794275</v>
      </c>
      <c r="P33" s="520">
        <f t="shared" si="16"/>
        <v>30125.215280799701</v>
      </c>
      <c r="Q33" s="521">
        <f t="shared" si="17"/>
        <v>8.164014981246531</v>
      </c>
      <c r="R33" s="521">
        <f t="shared" si="24"/>
        <v>5.1025093632790819</v>
      </c>
      <c r="S33" s="520">
        <f>IF(W33&lt;&gt;"",IF(D33&lt;&gt;"",D33,($I$8-SUM($S$25:S32))*V33*W33/SUMPRODUCT($W33:$W$57,$V33:$V$57)),"")</f>
        <v>34540</v>
      </c>
      <c r="T33" s="521">
        <f>IF(W33&lt;&gt;"",IF(E33&lt;&gt;"",E33,($I$9-SUM($T$25:T32))*V33*W33/SUMPRODUCT($W33:$W$57,$V33:$V$57)),"")</f>
        <v>7</v>
      </c>
      <c r="U33" s="521">
        <f>IF(W33&lt;&gt;"",IF($I$12&lt;&gt;"",IF(G33&lt;&gt;"",G33,($I$9/$I$12-SUM($U$25:U32))*V33*W33/SUMPRODUCT($W33:$W$57,$V33:$V$57)),""),"")</f>
        <v>3</v>
      </c>
      <c r="V33" s="522">
        <v>0.8</v>
      </c>
      <c r="W33" s="522">
        <v>0.8</v>
      </c>
      <c r="X33" s="523"/>
      <c r="Y33" s="523"/>
      <c r="Z33" s="2"/>
      <c r="AA33" s="2"/>
      <c r="AB33" s="2"/>
      <c r="AC33" s="2"/>
      <c r="AD33" s="2"/>
    </row>
    <row r="34" spans="1:255">
      <c r="A34" s="108">
        <v>10</v>
      </c>
      <c r="B34" s="514">
        <v>45673</v>
      </c>
      <c r="C34" s="524" t="s">
        <v>48</v>
      </c>
      <c r="D34" s="515">
        <v>11875</v>
      </c>
      <c r="E34" s="517">
        <v>3</v>
      </c>
      <c r="F34" s="517">
        <f t="shared" si="19"/>
        <v>3958.3333333333335</v>
      </c>
      <c r="G34" s="517">
        <v>2</v>
      </c>
      <c r="H34" s="517">
        <f t="shared" si="20"/>
        <v>5937.5</v>
      </c>
      <c r="I34" s="517"/>
      <c r="J34" s="515">
        <f t="shared" si="21"/>
        <v>1.5</v>
      </c>
      <c r="K34" s="517"/>
      <c r="L34" s="517"/>
      <c r="M34" s="517"/>
      <c r="N34" s="518" t="str">
        <f t="shared" si="22"/>
        <v/>
      </c>
      <c r="O34" s="519">
        <f t="shared" si="23"/>
        <v>0.39418805440266941</v>
      </c>
      <c r="P34" s="520">
        <f t="shared" si="16"/>
        <v>30125.215280799701</v>
      </c>
      <c r="Q34" s="521">
        <f t="shared" si="17"/>
        <v>8.164014981246531</v>
      </c>
      <c r="R34" s="521">
        <f t="shared" si="24"/>
        <v>5.1025093632790819</v>
      </c>
      <c r="S34" s="520">
        <f>IF(W34&lt;&gt;"",IF(D34&lt;&gt;"",D34,($I$8-SUM($S$25:S33))*V34*W34/SUMPRODUCT($W34:$W$57,$V34:$V$57)),"")</f>
        <v>11875</v>
      </c>
      <c r="T34" s="521">
        <f>IF(W34&lt;&gt;"",IF(E34&lt;&gt;"",E34,($I$9-SUM($T$25:T33))*V34*W34/SUMPRODUCT($W34:$W$57,$V34:$V$57)),"")</f>
        <v>3</v>
      </c>
      <c r="U34" s="521">
        <f>IF(W34&lt;&gt;"",IF($I$12&lt;&gt;"",IF(G34&lt;&gt;"",G34,($I$9/$I$12-SUM($U$25:U33))*V34*W34/SUMPRODUCT($W34:$W$57,$V34:$V$57)),""),"")</f>
        <v>2</v>
      </c>
      <c r="V34" s="522">
        <v>0.8</v>
      </c>
      <c r="W34" s="522">
        <v>0.8</v>
      </c>
      <c r="X34" s="523"/>
      <c r="Y34" s="523"/>
      <c r="Z34" s="2"/>
      <c r="AA34" s="2"/>
      <c r="AB34" s="2"/>
      <c r="AC34" s="2"/>
      <c r="AD34" s="2"/>
    </row>
    <row r="35" spans="1:255">
      <c r="A35" s="108">
        <v>11</v>
      </c>
      <c r="B35" s="514">
        <v>45674</v>
      </c>
      <c r="C35" s="116" t="s">
        <v>49</v>
      </c>
      <c r="D35" s="515">
        <v>8383</v>
      </c>
      <c r="E35" s="517">
        <v>2</v>
      </c>
      <c r="F35" s="517">
        <f t="shared" si="19"/>
        <v>4191.5</v>
      </c>
      <c r="G35" s="517">
        <v>1</v>
      </c>
      <c r="H35" s="517">
        <f t="shared" si="20"/>
        <v>8383</v>
      </c>
      <c r="I35" s="517"/>
      <c r="J35" s="515">
        <f t="shared" si="21"/>
        <v>2</v>
      </c>
      <c r="K35" s="517"/>
      <c r="L35" s="517"/>
      <c r="M35" s="517"/>
      <c r="N35" s="518" t="str">
        <f t="shared" si="22"/>
        <v/>
      </c>
      <c r="O35" s="519">
        <f t="shared" si="23"/>
        <v>0.2198691321051956</v>
      </c>
      <c r="P35" s="520">
        <f t="shared" si="16"/>
        <v>38127.225589762114</v>
      </c>
      <c r="Q35" s="521">
        <f t="shared" si="17"/>
        <v>10.33258146064014</v>
      </c>
      <c r="R35" s="521">
        <f t="shared" si="24"/>
        <v>6.4578634129000871</v>
      </c>
      <c r="S35" s="520">
        <f>IF(W35&lt;&gt;"",IF(D35&lt;&gt;"",D35,($I$8-SUM($S$25:S34))*V35*W35/SUMPRODUCT($W35:$W$57,$V35:$V$57)),"")</f>
        <v>8383</v>
      </c>
      <c r="T35" s="521">
        <f>IF(W35&lt;&gt;"",IF(E35&lt;&gt;"",E35,($I$9-SUM($T$25:T34))*V35*W35/SUMPRODUCT($W35:$W$57,$V35:$V$57)),"")</f>
        <v>2</v>
      </c>
      <c r="U35" s="521">
        <f>IF(W35&lt;&gt;"",IF($I$12&lt;&gt;"",IF(G35&lt;&gt;"",G35,($I$9/$I$12-SUM($U$25:U34))*V35*W35/SUMPRODUCT($W35:$W$57,$V35:$V$57)),""),"")</f>
        <v>1</v>
      </c>
      <c r="V35" s="522">
        <v>0.9</v>
      </c>
      <c r="W35" s="522">
        <v>0.9</v>
      </c>
      <c r="X35" s="523"/>
      <c r="Y35" s="523"/>
      <c r="Z35" s="2"/>
      <c r="AA35" s="2"/>
      <c r="AB35" s="2"/>
      <c r="AC35" s="2"/>
      <c r="AD35" s="2"/>
    </row>
    <row r="36" spans="1:255">
      <c r="A36" s="108">
        <v>12</v>
      </c>
      <c r="B36" s="514">
        <v>45675</v>
      </c>
      <c r="C36" s="524" t="s">
        <v>50</v>
      </c>
      <c r="D36" s="515">
        <v>39780</v>
      </c>
      <c r="E36" s="517">
        <v>12</v>
      </c>
      <c r="F36" s="517">
        <f t="shared" si="19"/>
        <v>3315</v>
      </c>
      <c r="G36" s="517">
        <v>7</v>
      </c>
      <c r="H36" s="517">
        <f t="shared" si="20"/>
        <v>5682.8571428571431</v>
      </c>
      <c r="I36" s="517"/>
      <c r="J36" s="515">
        <f t="shared" si="21"/>
        <v>1.7142857142857142</v>
      </c>
      <c r="K36" s="517"/>
      <c r="L36" s="517"/>
      <c r="M36" s="517"/>
      <c r="N36" s="518" t="str">
        <f t="shared" si="22"/>
        <v/>
      </c>
      <c r="O36" s="519">
        <f t="shared" si="23"/>
        <v>1.0433489293981486</v>
      </c>
      <c r="P36" s="520">
        <f t="shared" si="16"/>
        <v>38127.225589762114</v>
      </c>
      <c r="Q36" s="521">
        <f t="shared" si="17"/>
        <v>10.33258146064014</v>
      </c>
      <c r="R36" s="521">
        <f t="shared" si="24"/>
        <v>6.4578634129000871</v>
      </c>
      <c r="S36" s="520">
        <f>IF(W36&lt;&gt;"",IF(D36&lt;&gt;"",D36,($I$8-SUM($S$25:S35))*V36*W36/SUMPRODUCT($W36:$W$57,$V36:$V$57)),"")</f>
        <v>39780</v>
      </c>
      <c r="T36" s="521">
        <f>IF(W36&lt;&gt;"",IF(E36&lt;&gt;"",E36,($I$9-SUM($T$25:T35))*V36*W36/SUMPRODUCT($W36:$W$57,$V36:$V$57)),"")</f>
        <v>12</v>
      </c>
      <c r="U36" s="521">
        <f>IF(W36&lt;&gt;"",IF($I$12&lt;&gt;"",IF(G36&lt;&gt;"",G36,($I$9/$I$12-SUM($U$25:U35))*V36*W36/SUMPRODUCT($W36:$W$57,$V36:$V$57)),""),"")</f>
        <v>7</v>
      </c>
      <c r="V36" s="522">
        <v>0.9</v>
      </c>
      <c r="W36" s="522">
        <v>0.9</v>
      </c>
      <c r="X36" s="523"/>
      <c r="Y36" s="523"/>
      <c r="Z36" s="2"/>
      <c r="AA36" s="2"/>
      <c r="AB36" s="2"/>
      <c r="AC36" s="2"/>
      <c r="AD36" s="2"/>
    </row>
    <row r="37" spans="1:255">
      <c r="A37" s="108">
        <v>13</v>
      </c>
      <c r="B37" s="514">
        <v>45676</v>
      </c>
      <c r="C37" s="116" t="s">
        <v>51</v>
      </c>
      <c r="D37" s="515">
        <v>7293</v>
      </c>
      <c r="E37" s="517">
        <v>1</v>
      </c>
      <c r="F37" s="517">
        <f t="shared" si="19"/>
        <v>7293</v>
      </c>
      <c r="G37" s="517">
        <v>2</v>
      </c>
      <c r="H37" s="517">
        <f t="shared" si="20"/>
        <v>3646.5</v>
      </c>
      <c r="I37" s="517"/>
      <c r="J37" s="515">
        <f t="shared" si="21"/>
        <v>0.5</v>
      </c>
      <c r="K37" s="517"/>
      <c r="L37" s="517"/>
      <c r="M37" s="517"/>
      <c r="N37" s="518" t="str">
        <f t="shared" si="22"/>
        <v/>
      </c>
      <c r="O37" s="519">
        <f t="shared" si="23"/>
        <v>0.24208955627441414</v>
      </c>
      <c r="P37" s="520">
        <f t="shared" si="16"/>
        <v>30125.215280799701</v>
      </c>
      <c r="Q37" s="521">
        <f t="shared" si="17"/>
        <v>8.164014981246531</v>
      </c>
      <c r="R37" s="521">
        <f t="shared" si="24"/>
        <v>5.1025093632790819</v>
      </c>
      <c r="S37" s="520">
        <f>IF(W37&lt;&gt;"",IF(D37&lt;&gt;"",D37,($I$8-SUM($S$25:S36))*V37*W37/SUMPRODUCT($W37:$W$57,$V37:$V$57)),"")</f>
        <v>7293</v>
      </c>
      <c r="T37" s="521">
        <f>IF(W37&lt;&gt;"",IF(E37&lt;&gt;"",E37,($I$9-SUM($T$25:T36))*V37*W37/SUMPRODUCT($W37:$W$57,$V37:$V$57)),"")</f>
        <v>1</v>
      </c>
      <c r="U37" s="521">
        <f>IF(W37&lt;&gt;"",IF($I$12&lt;&gt;"",IF(G37&lt;&gt;"",G37,($I$9/$I$12-SUM($U$25:U36))*V37*W37/SUMPRODUCT($W37:$W$57,$V37:$V$57)),""),"")</f>
        <v>2</v>
      </c>
      <c r="V37" s="522">
        <v>0.8</v>
      </c>
      <c r="W37" s="522">
        <v>0.8</v>
      </c>
      <c r="X37" s="523"/>
      <c r="Y37" s="523"/>
      <c r="Z37" s="528"/>
      <c r="AA37" s="2"/>
      <c r="AB37" s="2"/>
      <c r="AC37" s="2"/>
      <c r="AD37" s="2"/>
    </row>
    <row r="38" spans="1:255">
      <c r="A38" s="559">
        <v>14</v>
      </c>
      <c r="B38" s="536">
        <v>45678</v>
      </c>
      <c r="C38" s="116" t="s">
        <v>53</v>
      </c>
      <c r="D38" s="560">
        <v>0</v>
      </c>
      <c r="E38" s="538">
        <v>0</v>
      </c>
      <c r="F38" s="538">
        <v>3692</v>
      </c>
      <c r="G38" s="538">
        <v>0</v>
      </c>
      <c r="H38" s="538">
        <v>5538</v>
      </c>
      <c r="I38" s="538"/>
      <c r="J38" s="561">
        <v>1.5</v>
      </c>
      <c r="K38" s="538"/>
      <c r="L38" s="538"/>
      <c r="M38" s="538"/>
      <c r="N38" s="562"/>
      <c r="O38" s="563">
        <v>0.23</v>
      </c>
      <c r="P38" s="542">
        <v>48503</v>
      </c>
      <c r="Q38" s="543">
        <v>13</v>
      </c>
      <c r="R38" s="543">
        <v>8</v>
      </c>
      <c r="S38" s="542">
        <v>11075</v>
      </c>
      <c r="T38" s="543">
        <v>3</v>
      </c>
      <c r="U38" s="543">
        <v>2</v>
      </c>
      <c r="V38" s="544">
        <v>0.8</v>
      </c>
      <c r="W38" s="544">
        <v>0.8</v>
      </c>
      <c r="X38" s="545"/>
      <c r="Y38" s="545"/>
      <c r="Z38" s="564"/>
      <c r="AA38" s="547"/>
      <c r="AB38" s="547"/>
      <c r="AC38" s="547"/>
      <c r="AD38" s="547"/>
      <c r="AE38" s="547"/>
      <c r="AF38" s="547"/>
      <c r="AG38" s="547"/>
      <c r="AH38" s="547"/>
      <c r="AI38" s="547"/>
      <c r="AJ38" s="547"/>
      <c r="AK38" s="547"/>
      <c r="AL38" s="547"/>
      <c r="AM38" s="547"/>
      <c r="AN38" s="547"/>
      <c r="AO38" s="547"/>
      <c r="AP38" s="547"/>
      <c r="AQ38" s="547"/>
      <c r="AR38" s="547"/>
      <c r="AS38" s="547"/>
      <c r="AT38" s="547"/>
      <c r="AU38" s="547"/>
      <c r="AV38" s="547"/>
      <c r="AW38" s="547"/>
      <c r="AX38" s="547"/>
      <c r="AY38" s="547"/>
      <c r="AZ38" s="547"/>
      <c r="BA38" s="547"/>
      <c r="BB38" s="547"/>
      <c r="BC38" s="547"/>
      <c r="BD38" s="547"/>
      <c r="BE38" s="547"/>
      <c r="BF38" s="547"/>
      <c r="BG38" s="547"/>
      <c r="BH38" s="547"/>
      <c r="BI38" s="547"/>
      <c r="BJ38" s="547"/>
      <c r="BK38" s="547"/>
      <c r="BL38" s="547"/>
      <c r="BM38" s="547"/>
      <c r="BN38" s="547"/>
      <c r="BO38" s="547"/>
      <c r="BP38" s="547"/>
      <c r="BQ38" s="547"/>
      <c r="BR38" s="547"/>
      <c r="BS38" s="547"/>
      <c r="BT38" s="547"/>
      <c r="BU38" s="547"/>
      <c r="BV38" s="547"/>
      <c r="BW38" s="547"/>
      <c r="BX38" s="547"/>
      <c r="BY38" s="547"/>
      <c r="BZ38" s="547"/>
      <c r="CA38" s="547"/>
      <c r="CB38" s="547"/>
      <c r="CC38" s="547"/>
      <c r="CD38" s="547"/>
      <c r="CE38" s="547"/>
      <c r="CF38" s="547"/>
      <c r="CG38" s="547"/>
      <c r="CH38" s="547"/>
      <c r="CI38" s="547"/>
      <c r="CJ38" s="547"/>
      <c r="CK38" s="547"/>
      <c r="CL38" s="547"/>
      <c r="CM38" s="547"/>
      <c r="CN38" s="547"/>
      <c r="CO38" s="547"/>
      <c r="CP38" s="547"/>
      <c r="CQ38" s="547"/>
      <c r="CR38" s="547"/>
      <c r="CS38" s="547"/>
      <c r="CT38" s="547"/>
      <c r="CU38" s="547"/>
      <c r="CV38" s="547"/>
      <c r="CW38" s="547"/>
      <c r="CX38" s="547"/>
      <c r="CY38" s="547"/>
      <c r="CZ38" s="547"/>
      <c r="DA38" s="547"/>
      <c r="DB38" s="547"/>
      <c r="DC38" s="547"/>
      <c r="DD38" s="547"/>
      <c r="DE38" s="547"/>
      <c r="DF38" s="547"/>
      <c r="DG38" s="547"/>
      <c r="DH38" s="547"/>
      <c r="DI38" s="547"/>
      <c r="DJ38" s="547"/>
      <c r="DK38" s="547"/>
      <c r="DL38" s="547"/>
      <c r="DM38" s="547"/>
      <c r="DN38" s="547"/>
      <c r="DO38" s="547"/>
      <c r="DP38" s="547"/>
      <c r="DQ38" s="547"/>
      <c r="DR38" s="547"/>
      <c r="DS38" s="547"/>
      <c r="DT38" s="547"/>
      <c r="DU38" s="547"/>
      <c r="DV38" s="547"/>
      <c r="DW38" s="547"/>
      <c r="DX38" s="547"/>
      <c r="DY38" s="547"/>
      <c r="DZ38" s="547"/>
      <c r="EA38" s="547"/>
      <c r="EB38" s="547"/>
      <c r="EC38" s="547"/>
      <c r="ED38" s="547"/>
      <c r="EE38" s="547"/>
      <c r="EF38" s="547"/>
      <c r="EG38" s="547"/>
      <c r="EH38" s="547"/>
      <c r="EI38" s="547"/>
      <c r="EJ38" s="547"/>
      <c r="EK38" s="547"/>
      <c r="EL38" s="547"/>
      <c r="EM38" s="547"/>
      <c r="EN38" s="547"/>
      <c r="EO38" s="547"/>
      <c r="EP38" s="547"/>
      <c r="EQ38" s="547"/>
      <c r="ER38" s="547"/>
      <c r="ES38" s="547"/>
      <c r="ET38" s="547"/>
      <c r="EU38" s="547"/>
      <c r="EV38" s="547"/>
      <c r="EW38" s="547"/>
      <c r="EX38" s="547"/>
      <c r="EY38" s="547"/>
      <c r="EZ38" s="547"/>
      <c r="FA38" s="547"/>
      <c r="FB38" s="547"/>
      <c r="FC38" s="547"/>
      <c r="FD38" s="547"/>
      <c r="FE38" s="547"/>
      <c r="FF38" s="547"/>
      <c r="FG38" s="547"/>
      <c r="FH38" s="547"/>
      <c r="FI38" s="547"/>
      <c r="FJ38" s="547"/>
      <c r="FK38" s="547"/>
      <c r="FL38" s="547"/>
      <c r="FM38" s="547"/>
      <c r="FN38" s="547"/>
      <c r="FO38" s="547"/>
      <c r="FP38" s="547"/>
      <c r="FQ38" s="547"/>
      <c r="FR38" s="547"/>
      <c r="FS38" s="547"/>
      <c r="FT38" s="547"/>
      <c r="FU38" s="547"/>
      <c r="FV38" s="547"/>
      <c r="FW38" s="547"/>
      <c r="FX38" s="547"/>
      <c r="FY38" s="547"/>
      <c r="FZ38" s="547"/>
      <c r="GA38" s="547"/>
      <c r="GB38" s="547"/>
      <c r="GC38" s="547"/>
      <c r="GD38" s="547"/>
      <c r="GE38" s="547"/>
      <c r="GF38" s="547"/>
      <c r="GG38" s="547"/>
      <c r="GH38" s="547"/>
      <c r="GI38" s="547"/>
      <c r="GJ38" s="547"/>
      <c r="GK38" s="547"/>
      <c r="GL38" s="547"/>
      <c r="GM38" s="547"/>
      <c r="GN38" s="547"/>
      <c r="GO38" s="547"/>
      <c r="GP38" s="547"/>
      <c r="GQ38" s="547"/>
      <c r="GR38" s="547"/>
      <c r="GS38" s="547"/>
      <c r="GT38" s="547"/>
      <c r="GU38" s="547"/>
      <c r="GV38" s="547"/>
      <c r="GW38" s="547"/>
      <c r="GX38" s="547"/>
      <c r="GY38" s="547"/>
      <c r="GZ38" s="547"/>
      <c r="HA38" s="547"/>
      <c r="HB38" s="547"/>
      <c r="HC38" s="547"/>
      <c r="HD38" s="547"/>
      <c r="HE38" s="547"/>
      <c r="HF38" s="547"/>
      <c r="HG38" s="547"/>
      <c r="HH38" s="547"/>
      <c r="HI38" s="547"/>
      <c r="HJ38" s="547"/>
      <c r="HK38" s="547"/>
      <c r="HL38" s="547"/>
      <c r="HM38" s="547"/>
      <c r="HN38" s="547"/>
      <c r="HO38" s="547"/>
      <c r="HP38" s="547"/>
      <c r="HQ38" s="547"/>
      <c r="HR38" s="547"/>
      <c r="HS38" s="547"/>
      <c r="HT38" s="547"/>
      <c r="HU38" s="547"/>
      <c r="HV38" s="547"/>
      <c r="HW38" s="547"/>
      <c r="HX38" s="547"/>
      <c r="HY38" s="547"/>
      <c r="HZ38" s="547"/>
      <c r="IA38" s="547"/>
      <c r="IB38" s="547"/>
      <c r="IC38" s="547"/>
      <c r="ID38" s="547"/>
      <c r="IE38" s="547"/>
      <c r="IF38" s="547"/>
      <c r="IG38" s="547"/>
      <c r="IH38" s="547"/>
      <c r="II38" s="547"/>
      <c r="IJ38" s="547"/>
      <c r="IK38" s="547"/>
      <c r="IL38" s="547"/>
      <c r="IM38" s="547"/>
      <c r="IN38" s="547"/>
      <c r="IO38" s="547"/>
      <c r="IP38" s="547"/>
      <c r="IQ38" s="547"/>
      <c r="IR38" s="547"/>
      <c r="IS38" s="547"/>
      <c r="IT38" s="547"/>
      <c r="IU38" s="547"/>
    </row>
    <row r="39" spans="1:255">
      <c r="A39" s="108">
        <v>15</v>
      </c>
      <c r="B39" s="514">
        <v>45679</v>
      </c>
      <c r="C39" s="524" t="s">
        <v>47</v>
      </c>
      <c r="D39" s="515">
        <v>27780</v>
      </c>
      <c r="E39" s="517">
        <v>8</v>
      </c>
      <c r="F39" s="517">
        <f t="shared" ref="F39:F48" si="25">IF(AND(E39&lt;&gt;"",E39&lt;&gt;0),D39/E39,"")</f>
        <v>3472.5</v>
      </c>
      <c r="G39" s="517">
        <v>4</v>
      </c>
      <c r="H39" s="517">
        <f t="shared" ref="H39:H48" si="26">IF(AND(G39&lt;&gt;"",G39&lt;&gt;0),D39/G39,"")</f>
        <v>6945</v>
      </c>
      <c r="I39" s="517"/>
      <c r="J39" s="515">
        <f t="shared" ref="J39:J48" si="27">IF(AND(G39&lt;&gt;"",G39&lt;&gt;0),E39/G39,"")</f>
        <v>2</v>
      </c>
      <c r="K39" s="517"/>
      <c r="L39" s="517"/>
      <c r="M39" s="517"/>
      <c r="N39" s="518" t="str">
        <f t="shared" ref="N39:N48" si="28">IF(AND(I39&lt;&gt;"",I39&lt;&gt;0),G39/I39,"")</f>
        <v/>
      </c>
      <c r="O39" s="519">
        <f t="shared" ref="O39:O48" si="29">D39/P39</f>
        <v>0.92215108642578159</v>
      </c>
      <c r="P39" s="520">
        <f t="shared" ref="P39:P44" si="30">$I$8*V39*W39/SUMPRODUCT($W$25:$W$57,$V$25:$V$57)</f>
        <v>30125.215280799701</v>
      </c>
      <c r="Q39" s="521">
        <f t="shared" ref="Q39:Q44" si="31">$I$9*V39*W39/SUMPRODUCT($W$25:$W$57,$V$25:$V$57)</f>
        <v>8.164014981246531</v>
      </c>
      <c r="R39" s="521">
        <f t="shared" ref="R39:R48" si="32">IF($I$12="","",Q39/$I$12)</f>
        <v>5.1025093632790819</v>
      </c>
      <c r="S39" s="520">
        <f>IF(W39&lt;&gt;"",IF(D39&lt;&gt;"",D39,($I$8-SUM($S$25:S38))*V39*W39/SUMPRODUCT($W39:$W$57,$V39:$V$57)),"")</f>
        <v>27780</v>
      </c>
      <c r="T39" s="521">
        <f>IF(W39&lt;&gt;"",IF(E39&lt;&gt;"",E39,($I$9-SUM($T$25:T38))*V39*W39/SUMPRODUCT($W39:$W$57,$V39:$V$57)),"")</f>
        <v>8</v>
      </c>
      <c r="U39" s="521">
        <f>IF(W39&lt;&gt;"",IF($I$12&lt;&gt;"",IF(G39&lt;&gt;"",G39,($I$9/$I$12-SUM($U$25:U38))*V39*W39/SUMPRODUCT($W39:$W$57,$V39:$V$57)),""),"")</f>
        <v>4</v>
      </c>
      <c r="V39" s="522">
        <v>0.8</v>
      </c>
      <c r="W39" s="522">
        <v>0.8</v>
      </c>
      <c r="X39" s="523"/>
      <c r="Y39" s="523"/>
      <c r="Z39" s="528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</row>
    <row r="40" spans="1:255">
      <c r="A40" s="108">
        <v>16</v>
      </c>
      <c r="B40" s="514">
        <v>45680</v>
      </c>
      <c r="C40" s="116" t="s">
        <v>48</v>
      </c>
      <c r="D40" s="515">
        <v>72178</v>
      </c>
      <c r="E40" s="517">
        <v>19</v>
      </c>
      <c r="F40" s="517">
        <f t="shared" si="25"/>
        <v>3798.8421052631579</v>
      </c>
      <c r="G40" s="517">
        <v>8</v>
      </c>
      <c r="H40" s="517">
        <f t="shared" si="26"/>
        <v>9022.25</v>
      </c>
      <c r="I40" s="517"/>
      <c r="J40" s="515">
        <f t="shared" si="27"/>
        <v>2.375</v>
      </c>
      <c r="K40" s="517"/>
      <c r="L40" s="517"/>
      <c r="M40" s="517"/>
      <c r="N40" s="518" t="str">
        <f t="shared" si="28"/>
        <v/>
      </c>
      <c r="O40" s="519">
        <f t="shared" si="29"/>
        <v>2.3959330855305998</v>
      </c>
      <c r="P40" s="520">
        <f t="shared" si="30"/>
        <v>30125.215280799701</v>
      </c>
      <c r="Q40" s="521">
        <f t="shared" si="31"/>
        <v>8.164014981246531</v>
      </c>
      <c r="R40" s="521">
        <f t="shared" si="32"/>
        <v>5.1025093632790819</v>
      </c>
      <c r="S40" s="520">
        <f>IF(W40&lt;&gt;"",IF(D40&lt;&gt;"",D40,($I$8-SUM($S$25:S39))*V40*W40/SUMPRODUCT($W40:$W$57,$V40:$V$57)),"")</f>
        <v>72178</v>
      </c>
      <c r="T40" s="521">
        <f>IF(W40&lt;&gt;"",IF(E40&lt;&gt;"",E40,($I$9-SUM($T$25:T39))*V40*W40/SUMPRODUCT($W40:$W$57,$V40:$V$57)),"")</f>
        <v>19</v>
      </c>
      <c r="U40" s="521">
        <f>IF(W40&lt;&gt;"",IF($I$12&lt;&gt;"",IF(G40&lt;&gt;"",G40,($I$9/$I$12-SUM($U$25:U39))*V40*W40/SUMPRODUCT($W40:$W$57,$V40:$V$57)),""),"")</f>
        <v>8</v>
      </c>
      <c r="V40" s="522">
        <v>0.8</v>
      </c>
      <c r="W40" s="522">
        <v>0.8</v>
      </c>
      <c r="X40" s="523"/>
      <c r="Y40" s="523"/>
      <c r="Z40" s="528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/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</row>
    <row r="41" spans="1:255">
      <c r="A41" s="108">
        <v>17</v>
      </c>
      <c r="B41" s="514">
        <v>45681</v>
      </c>
      <c r="C41" s="524" t="s">
        <v>49</v>
      </c>
      <c r="D41" s="515">
        <v>48873</v>
      </c>
      <c r="E41" s="517">
        <v>15</v>
      </c>
      <c r="F41" s="517">
        <f t="shared" si="25"/>
        <v>3258.2</v>
      </c>
      <c r="G41" s="517">
        <v>7</v>
      </c>
      <c r="H41" s="517">
        <f t="shared" si="26"/>
        <v>6981.8571428571431</v>
      </c>
      <c r="I41" s="517"/>
      <c r="J41" s="515">
        <f t="shared" si="27"/>
        <v>2.1428571428571428</v>
      </c>
      <c r="K41" s="517"/>
      <c r="L41" s="517"/>
      <c r="M41" s="517"/>
      <c r="N41" s="518" t="str">
        <f t="shared" si="28"/>
        <v/>
      </c>
      <c r="O41" s="519">
        <f t="shared" si="29"/>
        <v>1.6223286553955083</v>
      </c>
      <c r="P41" s="520">
        <f t="shared" si="30"/>
        <v>30125.215280799701</v>
      </c>
      <c r="Q41" s="521">
        <f t="shared" si="31"/>
        <v>8.164014981246531</v>
      </c>
      <c r="R41" s="521">
        <f t="shared" si="32"/>
        <v>5.1025093632790819</v>
      </c>
      <c r="S41" s="520">
        <f>IF(W41&lt;&gt;"",IF(D41&lt;&gt;"",D41,($I$8-SUM($S$25:S40))*V41*W41/SUMPRODUCT($W41:$W$57,$V41:$V$57)),"")</f>
        <v>48873</v>
      </c>
      <c r="T41" s="521">
        <f>IF(W41&lt;&gt;"",IF(E41&lt;&gt;"",E41,($I$9-SUM($T$25:T40))*V41*W41/SUMPRODUCT($W41:$W$57,$V41:$V$57)),"")</f>
        <v>15</v>
      </c>
      <c r="U41" s="521">
        <f>IF(W41&lt;&gt;"",IF($I$12&lt;&gt;"",IF(G41&lt;&gt;"",G41,($I$9/$I$12-SUM($U$25:U40))*V41*W41/SUMPRODUCT($W41:$W$57,$V41:$V$57)),""),"")</f>
        <v>7</v>
      </c>
      <c r="V41" s="522">
        <v>0.8</v>
      </c>
      <c r="W41" s="522">
        <v>0.8</v>
      </c>
      <c r="X41" s="523"/>
      <c r="Y41" s="523"/>
      <c r="Z41" s="528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</row>
    <row r="42" spans="1:255">
      <c r="A42" s="108">
        <v>18</v>
      </c>
      <c r="B42" s="514">
        <v>45682</v>
      </c>
      <c r="C42" s="116" t="s">
        <v>50</v>
      </c>
      <c r="D42" s="515">
        <v>21044</v>
      </c>
      <c r="E42" s="517">
        <v>7</v>
      </c>
      <c r="F42" s="517">
        <f t="shared" si="25"/>
        <v>3006.2857142857142</v>
      </c>
      <c r="G42" s="517">
        <v>3</v>
      </c>
      <c r="H42" s="517">
        <f t="shared" si="26"/>
        <v>7014.666666666667</v>
      </c>
      <c r="I42" s="517"/>
      <c r="J42" s="515">
        <f t="shared" si="27"/>
        <v>2.3333333333333335</v>
      </c>
      <c r="K42" s="517"/>
      <c r="L42" s="517"/>
      <c r="M42" s="517"/>
      <c r="N42" s="518" t="str">
        <f t="shared" si="28"/>
        <v/>
      </c>
      <c r="O42" s="519">
        <f t="shared" si="29"/>
        <v>0.69855102457682317</v>
      </c>
      <c r="P42" s="520">
        <f t="shared" si="30"/>
        <v>30125.215280799701</v>
      </c>
      <c r="Q42" s="521">
        <f t="shared" si="31"/>
        <v>8.164014981246531</v>
      </c>
      <c r="R42" s="521">
        <f t="shared" si="32"/>
        <v>5.1025093632790819</v>
      </c>
      <c r="S42" s="520">
        <f>IF(W42&lt;&gt;"",IF(D42&lt;&gt;"",D42,($I$8-SUM($S$25:S41))*V42*W42/SUMPRODUCT($W42:$W$57,$V42:$V$57)),"")</f>
        <v>21044</v>
      </c>
      <c r="T42" s="521">
        <f>IF(W42&lt;&gt;"",IF(E42&lt;&gt;"",E42,($I$9-SUM($T$25:T41))*V42*W42/SUMPRODUCT($W42:$W$57,$V42:$V$57)),"")</f>
        <v>7</v>
      </c>
      <c r="U42" s="521">
        <f>IF(W42&lt;&gt;"",IF($I$12&lt;&gt;"",IF(G42&lt;&gt;"",G42,($I$9/$I$12-SUM($U$25:U41))*V42*W42/SUMPRODUCT($W42:$W$57,$V42:$V$57)),""),"")</f>
        <v>3</v>
      </c>
      <c r="V42" s="522">
        <v>0.8</v>
      </c>
      <c r="W42" s="522">
        <v>0.8</v>
      </c>
      <c r="X42" s="523"/>
      <c r="Y42" s="523"/>
      <c r="Z42" s="528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/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</row>
    <row r="43" spans="1:255">
      <c r="A43" s="108">
        <v>19</v>
      </c>
      <c r="B43" s="514">
        <v>45683</v>
      </c>
      <c r="C43" s="524" t="s">
        <v>51</v>
      </c>
      <c r="D43" s="515">
        <v>89532</v>
      </c>
      <c r="E43" s="517">
        <v>23</v>
      </c>
      <c r="F43" s="516">
        <f t="shared" si="25"/>
        <v>3892.695652173913</v>
      </c>
      <c r="G43" s="517">
        <v>9</v>
      </c>
      <c r="H43" s="517">
        <f t="shared" si="26"/>
        <v>9948</v>
      </c>
      <c r="I43" s="517"/>
      <c r="J43" s="515">
        <f t="shared" si="27"/>
        <v>2.5555555555555554</v>
      </c>
      <c r="K43" s="517"/>
      <c r="L43" s="517"/>
      <c r="M43" s="517"/>
      <c r="N43" s="518" t="str">
        <f t="shared" si="28"/>
        <v/>
      </c>
      <c r="O43" s="519">
        <f t="shared" si="29"/>
        <v>2.9719953588867196</v>
      </c>
      <c r="P43" s="520">
        <f t="shared" si="30"/>
        <v>30125.215280799701</v>
      </c>
      <c r="Q43" s="521">
        <f t="shared" si="31"/>
        <v>8.164014981246531</v>
      </c>
      <c r="R43" s="521">
        <f t="shared" si="32"/>
        <v>5.1025093632790819</v>
      </c>
      <c r="S43" s="520">
        <f>IF(W43&lt;&gt;"",IF(D43&lt;&gt;"",D43,($I$8-SUM($S$25:S42))*V43*W43/SUMPRODUCT($W43:$W$57,$V43:$V$57)),"")</f>
        <v>89532</v>
      </c>
      <c r="T43" s="521">
        <f>IF(W43&lt;&gt;"",IF(E43&lt;&gt;"",E43,($I$9-SUM($T$25:T42))*V43*W43/SUMPRODUCT($W43:$W$57,$V43:$V$57)),"")</f>
        <v>23</v>
      </c>
      <c r="U43" s="521">
        <f>IF(W43&lt;&gt;"",IF($I$12&lt;&gt;"",IF(G43&lt;&gt;"",G43,($I$9/$I$12-SUM($U$25:U42))*V43*W43/SUMPRODUCT($W43:$W$57,$V43:$V$57)),""),"")</f>
        <v>9</v>
      </c>
      <c r="V43" s="522">
        <v>0.8</v>
      </c>
      <c r="W43" s="522">
        <v>0.8</v>
      </c>
      <c r="X43" s="523"/>
      <c r="Y43" s="523"/>
      <c r="Z43" s="528"/>
      <c r="AA43" s="2"/>
      <c r="AB43" s="2"/>
      <c r="AC43" s="2"/>
      <c r="AD43" s="2"/>
    </row>
    <row r="44" spans="1:255">
      <c r="A44" s="108">
        <v>20</v>
      </c>
      <c r="B44" s="514">
        <v>45684</v>
      </c>
      <c r="C44" s="116" t="s">
        <v>52</v>
      </c>
      <c r="D44" s="515">
        <v>57952.94</v>
      </c>
      <c r="E44" s="517">
        <v>14</v>
      </c>
      <c r="F44" s="517">
        <f t="shared" si="25"/>
        <v>4139.4957142857147</v>
      </c>
      <c r="G44" s="517">
        <v>6</v>
      </c>
      <c r="H44" s="517">
        <f t="shared" si="26"/>
        <v>9658.8233333333337</v>
      </c>
      <c r="I44" s="517"/>
      <c r="J44" s="515">
        <f t="shared" si="27"/>
        <v>2.3333333333333335</v>
      </c>
      <c r="K44" s="517"/>
      <c r="L44" s="517"/>
      <c r="M44" s="517"/>
      <c r="N44" s="518" t="str">
        <f t="shared" si="28"/>
        <v/>
      </c>
      <c r="O44" s="519">
        <f t="shared" si="29"/>
        <v>1.9237352981486009</v>
      </c>
      <c r="P44" s="520">
        <f t="shared" si="30"/>
        <v>30125.215280799701</v>
      </c>
      <c r="Q44" s="521">
        <f t="shared" si="31"/>
        <v>8.164014981246531</v>
      </c>
      <c r="R44" s="521">
        <f t="shared" si="32"/>
        <v>5.1025093632790819</v>
      </c>
      <c r="S44" s="520">
        <f>IF(W44&lt;&gt;"",IF(D44&lt;&gt;"",D44,($I$8-SUM($S$25:S43))*V44*W44/SUMPRODUCT($W44:$W$57,$V44:$V$57)),"")</f>
        <v>57952.94</v>
      </c>
      <c r="T44" s="521">
        <f>IF(W44&lt;&gt;"",IF(E44&lt;&gt;"",E44,($I$9-SUM($T$25:T43))*V44*W44/SUMPRODUCT($W44:$W$57,$V44:$V$57)),"")</f>
        <v>14</v>
      </c>
      <c r="U44" s="521">
        <f>IF(W44&lt;&gt;"",IF($I$12&lt;&gt;"",IF(G44&lt;&gt;"",G44,($I$9/$I$12-SUM($U$25:U43))*V44*W44/SUMPRODUCT($W44:$W$57,$V44:$V$57)),""),"")</f>
        <v>6</v>
      </c>
      <c r="V44" s="522">
        <v>0.8</v>
      </c>
      <c r="W44" s="522">
        <v>0.8</v>
      </c>
      <c r="X44" s="523"/>
      <c r="Y44" s="523"/>
      <c r="Z44" s="528"/>
      <c r="AA44" s="2"/>
      <c r="AB44" s="2"/>
      <c r="AC44" s="2"/>
      <c r="AD44" s="2"/>
    </row>
    <row r="45" spans="1:255">
      <c r="A45" s="108">
        <v>21</v>
      </c>
      <c r="B45" s="514">
        <v>45685</v>
      </c>
      <c r="C45" s="524" t="s">
        <v>53</v>
      </c>
      <c r="D45" s="515">
        <v>7975</v>
      </c>
      <c r="E45" s="517">
        <v>3</v>
      </c>
      <c r="F45" s="517">
        <f t="shared" si="25"/>
        <v>2658.3333333333335</v>
      </c>
      <c r="G45" s="517">
        <v>2</v>
      </c>
      <c r="H45" s="517">
        <f t="shared" si="26"/>
        <v>3987.5</v>
      </c>
      <c r="I45" s="517"/>
      <c r="J45" s="515">
        <f t="shared" si="27"/>
        <v>1.5</v>
      </c>
      <c r="K45" s="517"/>
      <c r="L45" s="517"/>
      <c r="M45" s="517"/>
      <c r="N45" s="518" t="str">
        <f t="shared" si="28"/>
        <v/>
      </c>
      <c r="O45" s="519">
        <f t="shared" si="29"/>
        <v>0.2647283986409506</v>
      </c>
      <c r="P45" s="520">
        <f t="shared" ref="P45:P48" si="33">$I$8*V45*W45/SUMPRODUCT($W$25:$W$55,$V$25:$V$55)</f>
        <v>30125.215280799701</v>
      </c>
      <c r="Q45" s="521">
        <f t="shared" ref="Q45:Q48" si="34">$I$9*V45*W45/SUMPRODUCT($W$25:$W$55,$V$25:$V$55)</f>
        <v>8.164014981246531</v>
      </c>
      <c r="R45" s="521">
        <f t="shared" si="32"/>
        <v>5.1025093632790819</v>
      </c>
      <c r="S45" s="520">
        <f t="shared" ref="S45:S48" si="35">IF(W45&lt;&gt;"",IF(D45&lt;&gt;"",D45,($I$8-SUM($S$25:S44))*V45*W45/SUMPRODUCT($W45:$W$55,$V45:$V$55)),"")</f>
        <v>7975</v>
      </c>
      <c r="T45" s="521">
        <f t="shared" ref="T45:T46" si="36">IF(W45&lt;&gt;"",IF(E45&lt;&gt;"",E45,($I$9-SUM($T$25:T44))*V45*W45/SUMPRODUCT($W45:$W$55,$V45:$V$55)),"")</f>
        <v>3</v>
      </c>
      <c r="U45" s="521">
        <f t="shared" ref="U45:U48" si="37">IF(W45&lt;&gt;"",IF($I$12&lt;&gt;"",IF(G45&lt;&gt;"",G45,($I$9/$I$12-SUM($U$25:U44))*V45*W45/SUMPRODUCT($W45:$W$55,$V45:$V$55)),""),"")</f>
        <v>2</v>
      </c>
      <c r="V45" s="522">
        <v>0.8</v>
      </c>
      <c r="W45" s="522">
        <v>0.8</v>
      </c>
      <c r="X45" s="523"/>
      <c r="Y45" s="523"/>
      <c r="Z45" s="528"/>
      <c r="AA45" s="2"/>
      <c r="AB45" s="2"/>
      <c r="AC45" s="2"/>
      <c r="AD45" s="2"/>
    </row>
    <row r="46" spans="1:255">
      <c r="A46" s="108">
        <v>22</v>
      </c>
      <c r="B46" s="514">
        <v>45686</v>
      </c>
      <c r="C46" s="116" t="s">
        <v>47</v>
      </c>
      <c r="D46" s="515">
        <v>21244</v>
      </c>
      <c r="E46" s="517">
        <v>5</v>
      </c>
      <c r="F46" s="517">
        <f t="shared" si="25"/>
        <v>4248.8</v>
      </c>
      <c r="G46" s="517">
        <v>2</v>
      </c>
      <c r="H46" s="517">
        <f t="shared" si="26"/>
        <v>10622</v>
      </c>
      <c r="I46" s="517"/>
      <c r="J46" s="515">
        <f t="shared" si="27"/>
        <v>2.5</v>
      </c>
      <c r="K46" s="517"/>
      <c r="L46" s="517"/>
      <c r="M46" s="517"/>
      <c r="N46" s="518" t="str">
        <f t="shared" si="28"/>
        <v/>
      </c>
      <c r="O46" s="519">
        <f t="shared" si="29"/>
        <v>0.70518998128255228</v>
      </c>
      <c r="P46" s="520">
        <f t="shared" si="33"/>
        <v>30125.215280799701</v>
      </c>
      <c r="Q46" s="521">
        <f t="shared" si="34"/>
        <v>8.164014981246531</v>
      </c>
      <c r="R46" s="521">
        <f t="shared" si="32"/>
        <v>5.1025093632790819</v>
      </c>
      <c r="S46" s="520">
        <f t="shared" si="35"/>
        <v>21244</v>
      </c>
      <c r="T46" s="521">
        <f t="shared" si="36"/>
        <v>5</v>
      </c>
      <c r="U46" s="521">
        <f t="shared" si="37"/>
        <v>2</v>
      </c>
      <c r="V46" s="522">
        <v>0.8</v>
      </c>
      <c r="W46" s="522">
        <v>0.8</v>
      </c>
      <c r="X46" s="523"/>
      <c r="Y46" s="523"/>
      <c r="Z46" s="528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/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</row>
    <row r="47" spans="1:255" ht="15" customHeight="1">
      <c r="A47" s="108">
        <v>23</v>
      </c>
      <c r="B47" s="514">
        <v>45687</v>
      </c>
      <c r="C47" s="524" t="s">
        <v>48</v>
      </c>
      <c r="D47" s="515">
        <v>31031</v>
      </c>
      <c r="E47" s="517">
        <v>8</v>
      </c>
      <c r="F47" s="517">
        <f t="shared" si="25"/>
        <v>3878.875</v>
      </c>
      <c r="G47" s="517">
        <v>3</v>
      </c>
      <c r="H47" s="517">
        <f t="shared" si="26"/>
        <v>10343.666666666666</v>
      </c>
      <c r="I47" s="517"/>
      <c r="J47" s="515">
        <f t="shared" si="27"/>
        <v>2.6666666666666665</v>
      </c>
      <c r="K47" s="517"/>
      <c r="L47" s="517"/>
      <c r="M47" s="517"/>
      <c r="N47" s="518" t="str">
        <f t="shared" si="28"/>
        <v/>
      </c>
      <c r="O47" s="519">
        <f t="shared" si="29"/>
        <v>1.0300673276774093</v>
      </c>
      <c r="P47" s="520">
        <f t="shared" si="33"/>
        <v>30125.215280799701</v>
      </c>
      <c r="Q47" s="521">
        <f t="shared" si="34"/>
        <v>8.164014981246531</v>
      </c>
      <c r="R47" s="521">
        <f t="shared" si="32"/>
        <v>5.1025093632790819</v>
      </c>
      <c r="S47" s="520">
        <f t="shared" si="35"/>
        <v>31031</v>
      </c>
      <c r="T47" s="521">
        <f t="shared" ref="T47" si="38">IF(W47&lt;&gt;"",IF(E47&lt;&gt;"",E47,($I$9-SUM($T$25:T46))*V47*W47/SUMPRODUCT($W47:$W$55,$V47:$V$55)),"")</f>
        <v>8</v>
      </c>
      <c r="U47" s="521">
        <f t="shared" si="37"/>
        <v>3</v>
      </c>
      <c r="V47" s="522">
        <v>0.8</v>
      </c>
      <c r="W47" s="522">
        <v>0.8</v>
      </c>
      <c r="X47" s="523"/>
      <c r="Y47" s="523"/>
      <c r="Z47" s="528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</row>
    <row r="48" spans="1:255" ht="15" customHeight="1">
      <c r="A48" s="108">
        <v>24</v>
      </c>
      <c r="B48" s="514">
        <v>45688</v>
      </c>
      <c r="C48" s="529" t="s">
        <v>49</v>
      </c>
      <c r="D48" s="515">
        <v>30873</v>
      </c>
      <c r="E48" s="517">
        <v>8</v>
      </c>
      <c r="F48" s="517">
        <f t="shared" si="25"/>
        <v>3859.125</v>
      </c>
      <c r="G48" s="517">
        <v>7</v>
      </c>
      <c r="H48" s="517">
        <f t="shared" si="26"/>
        <v>4410.4285714285716</v>
      </c>
      <c r="I48" s="517"/>
      <c r="J48" s="515">
        <f t="shared" si="27"/>
        <v>1.1428571428571428</v>
      </c>
      <c r="K48" s="517"/>
      <c r="L48" s="517"/>
      <c r="M48" s="517"/>
      <c r="N48" s="518" t="str">
        <f t="shared" si="28"/>
        <v/>
      </c>
      <c r="O48" s="519">
        <f t="shared" si="29"/>
        <v>1.0248225518798832</v>
      </c>
      <c r="P48" s="520">
        <f t="shared" si="33"/>
        <v>30125.215280799701</v>
      </c>
      <c r="Q48" s="521">
        <f t="shared" si="34"/>
        <v>8.164014981246531</v>
      </c>
      <c r="R48" s="521">
        <f t="shared" si="32"/>
        <v>5.1025093632790819</v>
      </c>
      <c r="S48" s="520">
        <f t="shared" si="35"/>
        <v>30873</v>
      </c>
      <c r="T48" s="521">
        <f>IF(W48&lt;&gt;"",IF(E48&lt;&gt;"",E48,($I$9-SUM($T$25:T47))*V48*W48/SUMPRODUCT($W48:$W$55,$V48:$V$55)),0)</f>
        <v>8</v>
      </c>
      <c r="U48" s="521">
        <f t="shared" si="37"/>
        <v>7</v>
      </c>
      <c r="V48" s="522">
        <v>0.8</v>
      </c>
      <c r="W48" s="522">
        <v>0.8</v>
      </c>
      <c r="X48" s="523"/>
      <c r="Y48" s="523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</row>
    <row r="49" spans="1:255">
      <c r="A49" s="108">
        <v>25</v>
      </c>
      <c r="B49" s="514"/>
      <c r="C49" s="527"/>
      <c r="D49" s="534"/>
      <c r="E49" s="517"/>
      <c r="F49" s="517" t="str">
        <f t="shared" ref="F49" si="39">IF(AND(E49&lt;&gt;"",E49&lt;&gt;0),D49/E49,"")</f>
        <v/>
      </c>
      <c r="G49" s="517"/>
      <c r="H49" s="517" t="str">
        <f t="shared" ref="H49" si="40">IF(AND(G49&lt;&gt;"",G49&lt;&gt;0),D49/G49,"")</f>
        <v/>
      </c>
      <c r="I49" s="517"/>
      <c r="J49" s="515" t="str">
        <f t="shared" ref="J49" si="41">IF(AND(G49&lt;&gt;"",G49&lt;&gt;0),E49/G49,"")</f>
        <v/>
      </c>
      <c r="K49" s="517"/>
      <c r="L49" s="517"/>
      <c r="M49" s="517"/>
      <c r="N49" s="531" t="str">
        <f t="shared" ref="N49" si="42">IF(AND(I49&lt;&gt;"",I49&lt;&gt;0),G49/I49,"")</f>
        <v/>
      </c>
      <c r="O49" s="519" t="e">
        <f t="shared" ref="O49" si="43">D49/P49</f>
        <v>#DIV/0!</v>
      </c>
      <c r="P49" s="520">
        <f>$I$8*V49*W49/SUMPRODUCT($W$25:$W$48,$V$25:$V$48)</f>
        <v>0</v>
      </c>
      <c r="Q49" s="521">
        <f>$I$9*V49*W49/SUMPRODUCT($W$25:$W$48,$V$25:$V$48)</f>
        <v>0</v>
      </c>
      <c r="R49" s="521">
        <f t="shared" ref="R49" si="44">IF($I$12="","",Q49/$I$12)</f>
        <v>0</v>
      </c>
      <c r="S49" s="520" t="str">
        <f>IF(W49&lt;&gt;"",IF(D49&lt;&gt;"",D49,($I$8-SUM($S$25:S48))*V49*W49/SUMPRODUCT($W$48:$W49,$V$48:$V49)),"")</f>
        <v/>
      </c>
      <c r="T49" s="521" t="str">
        <f>IF(W49&lt;&gt;"",IF(E49&lt;&gt;"",E49,($I$9-SUM($T$25:T48))*V49*W49/SUMPRODUCT($W$48:$W49,$V$48:$V49)),"")</f>
        <v/>
      </c>
      <c r="U49" s="521" t="str">
        <f>IF(W49&lt;&gt;"",IF($I$12&lt;&gt;"",IF(G49&lt;&gt;"",G49,($I$9/$I$12-SUM($U$25:U48))*V49*W49/SUMPRODUCT($W$48:$W49,$V$48:$V49)),""),"")</f>
        <v/>
      </c>
      <c r="V49" s="522"/>
      <c r="W49" s="522"/>
      <c r="X49" s="532"/>
      <c r="Y49" s="532"/>
      <c r="Z49" s="533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</row>
    <row r="50" spans="1:255" ht="15" customHeight="1">
      <c r="B50" s="619" t="s">
        <v>54</v>
      </c>
      <c r="C50" s="619"/>
      <c r="D50" s="110">
        <f>SUM(D25:D48)</f>
        <v>833967.94</v>
      </c>
      <c r="E50" s="110">
        <f>SUM(E25:E48)</f>
        <v>205</v>
      </c>
      <c r="F50" s="110">
        <f t="shared" si="19"/>
        <v>4068.1362926829265</v>
      </c>
      <c r="G50" s="110">
        <f>SUM(G25:G48)</f>
        <v>101</v>
      </c>
      <c r="H50" s="110">
        <f t="shared" si="20"/>
        <v>8257.1083168316818</v>
      </c>
      <c r="I50" s="110">
        <f>SUM(I25:I48)</f>
        <v>0</v>
      </c>
      <c r="J50" s="109">
        <f t="shared" si="21"/>
        <v>2.0297029702970297</v>
      </c>
      <c r="K50" s="110">
        <f>SUM(K25:K48)</f>
        <v>0</v>
      </c>
      <c r="L50" s="110">
        <f>SUM(L25:L48)</f>
        <v>0</v>
      </c>
      <c r="M50" s="110">
        <f>SUM(M25:M48)</f>
        <v>0</v>
      </c>
      <c r="N50" s="111" t="str">
        <f t="shared" si="22"/>
        <v/>
      </c>
      <c r="O50" s="112">
        <f t="shared" si="23"/>
        <v>0.8889605852515986</v>
      </c>
      <c r="P50" s="113">
        <f>SUM(P25:P49)</f>
        <v>938138.26376111561</v>
      </c>
      <c r="Q50" s="113">
        <f t="shared" ref="Q50:U50" si="45">SUM(Q25:Q49)</f>
        <v>254.09356741493667</v>
      </c>
      <c r="R50" s="113">
        <f t="shared" si="45"/>
        <v>158.68347963433527</v>
      </c>
      <c r="S50" s="113">
        <f t="shared" si="45"/>
        <v>845042.94</v>
      </c>
      <c r="T50" s="113">
        <f t="shared" si="45"/>
        <v>227.1243048409666</v>
      </c>
      <c r="U50" s="113">
        <f t="shared" si="45"/>
        <v>114.82303866485984</v>
      </c>
      <c r="V50" s="114"/>
      <c r="W50" s="114"/>
    </row>
    <row r="51" spans="1:255">
      <c r="B51" s="116"/>
      <c r="C51" s="117"/>
      <c r="D51" s="118">
        <f>SUMIF(D25:D48,"",P25:P48)+D50</f>
        <v>833967.94</v>
      </c>
      <c r="E51" s="119"/>
      <c r="F51" s="117"/>
      <c r="G51" s="117"/>
      <c r="H51" s="120"/>
      <c r="I51" s="213"/>
      <c r="J51" s="120"/>
      <c r="L51" s="122"/>
      <c r="M51" s="119"/>
      <c r="N51" s="122"/>
      <c r="O51" s="122"/>
      <c r="P51" s="122"/>
      <c r="Q51" s="123"/>
    </row>
    <row r="52" spans="1:255">
      <c r="D52" s="124"/>
    </row>
    <row r="53" spans="1:255">
      <c r="D53" s="124"/>
    </row>
    <row r="54" spans="1:255">
      <c r="D54" s="175"/>
    </row>
    <row r="55" spans="1:255">
      <c r="D55" s="175"/>
    </row>
  </sheetData>
  <mergeCells count="27">
    <mergeCell ref="B50:C50"/>
    <mergeCell ref="F19:H19"/>
    <mergeCell ref="F20:H20"/>
    <mergeCell ref="B22:N22"/>
    <mergeCell ref="O22:O24"/>
    <mergeCell ref="P22:W22"/>
    <mergeCell ref="F15:H15"/>
    <mergeCell ref="F16:H16"/>
    <mergeCell ref="S16:S17"/>
    <mergeCell ref="F17:H17"/>
    <mergeCell ref="F18:H18"/>
    <mergeCell ref="F10:H10"/>
    <mergeCell ref="F11:H11"/>
    <mergeCell ref="F12:H12"/>
    <mergeCell ref="F13:H13"/>
    <mergeCell ref="F14:H14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131" priority="1047" operator="greaterThan">
      <formula>0</formula>
    </cfRule>
    <cfRule type="cellIs" dxfId="130" priority="1046" operator="lessThan">
      <formula>0</formula>
    </cfRule>
  </conditionalFormatting>
  <conditionalFormatting sqref="J25:J31">
    <cfRule type="cellIs" dxfId="129" priority="131" operator="lessThan">
      <formula>$I$12</formula>
    </cfRule>
  </conditionalFormatting>
  <conditionalFormatting sqref="J25:J32">
    <cfRule type="cellIs" dxfId="128" priority="132" operator="greaterThan">
      <formula>$I$12</formula>
    </cfRule>
  </conditionalFormatting>
  <conditionalFormatting sqref="J29 J32">
    <cfRule type="cellIs" dxfId="127" priority="1211" operator="lessThan">
      <formula>$I$12</formula>
    </cfRule>
  </conditionalFormatting>
  <conditionalFormatting sqref="J29">
    <cfRule type="cellIs" dxfId="126" priority="1204" operator="greaterThan">
      <formula>$I$12</formula>
    </cfRule>
    <cfRule type="cellIs" dxfId="125" priority="1184" operator="lessThan">
      <formula>$I$12</formula>
    </cfRule>
  </conditionalFormatting>
  <conditionalFormatting sqref="J33:J37">
    <cfRule type="cellIs" dxfId="124" priority="77" operator="greaterThan">
      <formula>$I$12</formula>
    </cfRule>
    <cfRule type="cellIs" dxfId="123" priority="76" operator="lessThan">
      <formula>$I$12</formula>
    </cfRule>
  </conditionalFormatting>
  <conditionalFormatting sqref="J39:J49">
    <cfRule type="cellIs" dxfId="122" priority="10" operator="lessThan">
      <formula>$I$12</formula>
    </cfRule>
    <cfRule type="cellIs" dxfId="121" priority="11" operator="greaterThan">
      <formula>$I$12</formula>
    </cfRule>
  </conditionalFormatting>
  <conditionalFormatting sqref="K10:K12 K15">
    <cfRule type="cellIs" dxfId="120" priority="1045" operator="greaterThan">
      <formula>1</formula>
    </cfRule>
    <cfRule type="cellIs" dxfId="119" priority="1044" operator="lessThan">
      <formula>1</formula>
    </cfRule>
  </conditionalFormatting>
  <conditionalFormatting sqref="K13">
    <cfRule type="cellIs" dxfId="118" priority="695" operator="greaterThan">
      <formula>$K$14</formula>
    </cfRule>
    <cfRule type="cellIs" dxfId="117" priority="694" operator="lessThan">
      <formula>$K$14</formula>
    </cfRule>
  </conditionalFormatting>
  <conditionalFormatting sqref="M8:M15">
    <cfRule type="cellIs" dxfId="116" priority="1062" operator="lessThan">
      <formula>1</formula>
    </cfRule>
    <cfRule type="cellIs" dxfId="115" priority="1043" operator="greaterThan">
      <formula>1</formula>
    </cfRule>
  </conditionalFormatting>
  <conditionalFormatting sqref="N25:N37">
    <cfRule type="cellIs" dxfId="114" priority="74" operator="greaterThanOrEqual">
      <formula>0.25</formula>
    </cfRule>
    <cfRule type="cellIs" dxfId="113" priority="73" operator="between">
      <formula>0.2</formula>
      <formula>0.25</formula>
    </cfRule>
    <cfRule type="cellIs" dxfId="112" priority="75" operator="lessThan">
      <formula>0.2</formula>
    </cfRule>
  </conditionalFormatting>
  <conditionalFormatting sqref="N39:N49">
    <cfRule type="cellIs" dxfId="111" priority="9" operator="lessThan">
      <formula>0.2</formula>
    </cfRule>
    <cfRule type="cellIs" dxfId="110" priority="8" operator="greaterThanOrEqual">
      <formula>0.25</formula>
    </cfRule>
    <cfRule type="cellIs" dxfId="109" priority="7" operator="between">
      <formula>0.2</formula>
      <formula>0.25</formula>
    </cfRule>
  </conditionalFormatting>
  <conditionalFormatting sqref="O25:O37">
    <cfRule type="cellIs" dxfId="108" priority="72" operator="between">
      <formula>0.01</formula>
      <formula>0.99</formula>
    </cfRule>
    <cfRule type="cellIs" dxfId="107" priority="71" operator="between">
      <formula>0.85</formula>
      <formula>1</formula>
    </cfRule>
    <cfRule type="cellIs" dxfId="106" priority="70" operator="greaterThan">
      <formula>100</formula>
    </cfRule>
    <cfRule type="cellIs" dxfId="105" priority="69" operator="greaterThan">
      <formula>1</formula>
    </cfRule>
    <cfRule type="cellIs" dxfId="104" priority="68" operator="lessThan">
      <formula>0.9</formula>
    </cfRule>
    <cfRule type="cellIs" dxfId="103" priority="67" operator="between">
      <formula>0.9001</formula>
      <formula>0.9999</formula>
    </cfRule>
  </conditionalFormatting>
  <conditionalFormatting sqref="O39:O48">
    <cfRule type="cellIs" dxfId="102" priority="5" operator="between">
      <formula>0.85</formula>
      <formula>1</formula>
    </cfRule>
  </conditionalFormatting>
  <conditionalFormatting sqref="O39:O49">
    <cfRule type="cellIs" dxfId="101" priority="6" operator="between">
      <formula>0.01</formula>
      <formula>0.99</formula>
    </cfRule>
    <cfRule type="cellIs" dxfId="100" priority="4" operator="greaterThan">
      <formula>100</formula>
    </cfRule>
    <cfRule type="cellIs" dxfId="99" priority="3" operator="greaterThan">
      <formula>1</formula>
    </cfRule>
    <cfRule type="cellIs" dxfId="98" priority="2" operator="lessThan">
      <formula>0.9</formula>
    </cfRule>
    <cfRule type="cellIs" dxfId="97" priority="1" operator="between">
      <formula>0.9001</formula>
      <formula>0.9999</formula>
    </cfRule>
  </conditionalFormatting>
  <conditionalFormatting sqref="O49">
    <cfRule type="cellIs" dxfId="96" priority="782" operator="between">
      <formula>0.85</formula>
      <formula>1</formula>
    </cfRule>
  </conditionalFormatting>
  <conditionalFormatting sqref="P10:Q10">
    <cfRule type="cellIs" dxfId="95" priority="1058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U53"/>
  <sheetViews>
    <sheetView showZeros="0" workbookViewId="0">
      <pane xSplit="3" topLeftCell="D1" activePane="topRight" state="frozen"/>
      <selection pane="topRight" activeCell="C25" sqref="C25:C31"/>
    </sheetView>
  </sheetViews>
  <sheetFormatPr baseColWidth="10" defaultColWidth="9.1640625" defaultRowHeight="15"/>
  <cols>
    <col min="1" max="1" width="3.3320312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 bestFit="1" customWidth="1"/>
    <col min="22" max="23" width="10.5" style="3" customWidth="1"/>
    <col min="24" max="30" width="9.1640625" style="3" bestFit="1" customWidth="1"/>
    <col min="31" max="255" width="9.1640625" style="2" bestFit="1" customWidth="1"/>
  </cols>
  <sheetData>
    <row r="1" spans="2:23" ht="15.75" customHeight="1">
      <c r="B1" s="649">
        <f ca="1">TODAY()-1</f>
        <v>45696</v>
      </c>
      <c r="C1" s="649"/>
      <c r="D1" s="11"/>
      <c r="E1" s="11"/>
      <c r="F1" s="12"/>
      <c r="G1" s="12"/>
      <c r="H1" s="12"/>
      <c r="I1" s="12"/>
      <c r="J1" s="159"/>
      <c r="K1" s="159"/>
      <c r="L1" s="159"/>
      <c r="M1" s="159"/>
      <c r="N1" s="159"/>
      <c r="O1" s="159"/>
      <c r="P1" s="159"/>
      <c r="Q1" s="650"/>
      <c r="R1" s="650"/>
      <c r="S1" s="650"/>
      <c r="T1" s="650"/>
      <c r="U1" s="12"/>
      <c r="V1" s="12"/>
      <c r="W1" s="12"/>
    </row>
    <row r="2" spans="2:23" ht="21.75" customHeight="1">
      <c r="B2" s="651" t="s">
        <v>0</v>
      </c>
      <c r="C2" s="651"/>
      <c r="D2" s="11"/>
      <c r="E2" s="11"/>
      <c r="F2" s="12"/>
      <c r="G2" s="12"/>
      <c r="H2" s="12"/>
      <c r="I2" s="12"/>
      <c r="J2" s="652" t="s">
        <v>1</v>
      </c>
      <c r="K2" s="652"/>
      <c r="L2" s="652"/>
      <c r="M2" s="652"/>
      <c r="N2" s="652"/>
      <c r="O2" s="652"/>
      <c r="P2" s="652"/>
      <c r="Q2" s="650"/>
      <c r="R2" s="650"/>
      <c r="S2" s="650"/>
      <c r="T2" s="650"/>
      <c r="U2" s="12"/>
      <c r="V2" s="12"/>
      <c r="W2" s="12"/>
    </row>
    <row r="3" spans="2:23" ht="14" customHeight="1">
      <c r="B3" s="10" t="s">
        <v>2</v>
      </c>
      <c r="C3" s="11"/>
      <c r="D3" s="11"/>
      <c r="E3" s="11"/>
      <c r="F3" s="12"/>
      <c r="G3" s="12"/>
      <c r="H3" s="12"/>
      <c r="I3" s="12"/>
      <c r="J3" s="653" t="str">
        <f>График!B29</f>
        <v>Рогалевич Ирина</v>
      </c>
      <c r="K3" s="654"/>
      <c r="L3" s="654"/>
      <c r="M3" s="654"/>
      <c r="N3" s="655"/>
      <c r="O3" s="159"/>
      <c r="P3" s="160"/>
      <c r="Q3" s="650"/>
      <c r="R3" s="650"/>
      <c r="S3" s="650"/>
      <c r="T3" s="650"/>
      <c r="U3" s="12"/>
      <c r="V3" s="12"/>
      <c r="W3" s="12"/>
    </row>
    <row r="4" spans="2:23" ht="15" customHeight="1">
      <c r="B4" s="11"/>
      <c r="C4" s="659">
        <f>I8-D48</f>
        <v>919760.4790419162</v>
      </c>
      <c r="D4" s="660"/>
      <c r="E4" s="161">
        <f>IF(I8&lt;&gt;0,C4/I8,0)</f>
        <v>1</v>
      </c>
      <c r="F4" s="12"/>
      <c r="G4" s="12"/>
      <c r="H4" s="12"/>
      <c r="I4" s="12"/>
      <c r="J4" s="656"/>
      <c r="K4" s="657"/>
      <c r="L4" s="657"/>
      <c r="M4" s="657"/>
      <c r="N4" s="658"/>
      <c r="O4" s="12"/>
      <c r="P4" s="12"/>
      <c r="Q4" s="650"/>
      <c r="R4" s="650"/>
      <c r="S4" s="650"/>
      <c r="T4" s="650"/>
      <c r="U4" s="12"/>
      <c r="V4" s="12"/>
      <c r="W4" s="12"/>
    </row>
    <row r="5" spans="2:23">
      <c r="B5" s="12"/>
      <c r="C5" s="12"/>
      <c r="D5" s="12"/>
      <c r="E5" s="12"/>
      <c r="F5" s="12"/>
      <c r="G5" s="12"/>
      <c r="H5" s="12"/>
      <c r="I5" s="12"/>
      <c r="J5" s="661"/>
      <c r="K5" s="661"/>
      <c r="L5" s="661"/>
      <c r="M5" s="661"/>
      <c r="N5" s="661"/>
      <c r="O5" s="12"/>
      <c r="P5" s="12"/>
      <c r="Q5" s="12"/>
      <c r="R5" s="12"/>
      <c r="S5" s="12"/>
      <c r="T5" s="12"/>
      <c r="U5" s="12"/>
      <c r="V5" s="12"/>
      <c r="W5" s="12"/>
    </row>
    <row r="6" spans="2:23" ht="15.75" customHeight="1">
      <c r="B6" s="162"/>
      <c r="C6" s="12"/>
      <c r="D6" s="12"/>
      <c r="E6" s="12"/>
      <c r="F6" s="16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20"/>
      <c r="S6" s="20"/>
      <c r="T6" s="12"/>
      <c r="U6" s="12"/>
      <c r="V6" s="12"/>
      <c r="W6" s="12"/>
    </row>
    <row r="7" spans="2:23" ht="50.75" customHeight="1">
      <c r="B7" s="162"/>
      <c r="C7" s="12"/>
      <c r="D7" s="12"/>
      <c r="E7" s="12"/>
      <c r="F7" s="604" t="s">
        <v>4</v>
      </c>
      <c r="G7" s="605"/>
      <c r="H7" s="606"/>
      <c r="I7" s="21" t="s">
        <v>5</v>
      </c>
      <c r="J7" s="22" t="s">
        <v>6</v>
      </c>
      <c r="K7" s="23" t="s">
        <v>7</v>
      </c>
      <c r="L7" s="24" t="s">
        <v>8</v>
      </c>
      <c r="M7" s="24" t="s">
        <v>9</v>
      </c>
      <c r="N7" s="25" t="s">
        <v>10</v>
      </c>
      <c r="O7" s="25" t="s">
        <v>11</v>
      </c>
      <c r="P7" s="607" t="s">
        <v>12</v>
      </c>
      <c r="Q7" s="608"/>
      <c r="R7" s="20"/>
      <c r="S7" s="20"/>
      <c r="T7" s="12"/>
      <c r="U7" s="12"/>
      <c r="V7" s="12"/>
      <c r="W7" s="12"/>
    </row>
    <row r="8" spans="2:23" ht="15.75" customHeight="1">
      <c r="B8" s="162"/>
      <c r="C8" s="12"/>
      <c r="D8" s="12"/>
      <c r="E8" s="12"/>
      <c r="F8" s="609" t="s">
        <v>13</v>
      </c>
      <c r="G8" s="610"/>
      <c r="H8" s="611"/>
      <c r="I8" s="163">
        <f>'Ялта, Ленина, 18'!I8/График!AJ31*График!AJ29</f>
        <v>919760.4790419162</v>
      </c>
      <c r="J8" s="164">
        <f>D48</f>
        <v>0</v>
      </c>
      <c r="K8" s="165">
        <f t="shared" ref="K8:K9" si="0">IF(AND(I8&lt;&gt;"",I8&lt;&gt;0,J8&lt;&gt;""),J8/I8,"")</f>
        <v>0</v>
      </c>
      <c r="L8" s="166">
        <f>IF(SUMIF($D$25:$D$47,"&gt;=0",$P$25:$P$47)&lt;&gt;0,I8*D48/SUMIF($D$25:$D$47,"&gt;=0",$P$25:$P$47),0)</f>
        <v>0</v>
      </c>
      <c r="M8" s="31" t="str">
        <f t="shared" ref="M8:M9" si="1">IF(AND(I8&lt;&gt;"",I8&lt;&gt;0,L8&lt;&gt;"",L8&lt;&gt;0),L8/I8,"")</f>
        <v/>
      </c>
      <c r="N8" s="32" t="str">
        <f t="shared" ref="N8:N9" si="2">IF(AND(J8&lt;&gt;0,J8&lt;&gt;"",I8&lt;&gt;0,I8&lt;&gt;""),L8-I8,"")</f>
        <v/>
      </c>
      <c r="O8" s="33"/>
      <c r="P8" s="32" t="str">
        <f t="shared" ref="P8:P9" si="3">IF(AND(O8&lt;&gt;"",O8&lt;&gt;0,L8&lt;&gt;"",L8&lt;&gt;0),-O8+L8,"")</f>
        <v/>
      </c>
      <c r="Q8" s="34" t="str">
        <f t="shared" ref="Q8:Q9" si="4">IF(AND(P8&lt;&gt;"",P8&lt;&gt;0,O8&lt;&gt;0,O8&lt;&gt;""),P8/O8,"")</f>
        <v/>
      </c>
      <c r="R8" s="20"/>
      <c r="S8" s="35"/>
      <c r="T8" s="12"/>
      <c r="U8" s="12"/>
      <c r="V8" s="12"/>
      <c r="W8" s="12"/>
    </row>
    <row r="9" spans="2:23" ht="15.75" customHeight="1">
      <c r="B9" s="162"/>
      <c r="C9" s="12"/>
      <c r="D9" s="12"/>
      <c r="E9" s="12"/>
      <c r="F9" s="612" t="s">
        <v>14</v>
      </c>
      <c r="G9" s="613"/>
      <c r="H9" s="614"/>
      <c r="I9" s="36">
        <f>I8/I11</f>
        <v>249.25758239618324</v>
      </c>
      <c r="J9" s="37">
        <f>E48</f>
        <v>0</v>
      </c>
      <c r="K9" s="38">
        <f t="shared" si="0"/>
        <v>0</v>
      </c>
      <c r="L9" s="167">
        <f>IF(SUMIF($E$25:$E$47,"&gt;=0",$Q$25:$Q$47)&lt;&gt;0,I9*E48/SUMIF($E$25:$E$47,"&gt;=0",$Q$25:$Q$47),0)</f>
        <v>0</v>
      </c>
      <c r="M9" s="40" t="str">
        <f t="shared" si="1"/>
        <v/>
      </c>
      <c r="N9" s="41" t="str">
        <f t="shared" si="2"/>
        <v/>
      </c>
      <c r="O9" s="42" t="e">
        <f>O8/O11</f>
        <v>#DIV/0!</v>
      </c>
      <c r="P9" s="41" t="e">
        <f t="shared" si="3"/>
        <v>#DIV/0!</v>
      </c>
      <c r="Q9" s="43" t="e">
        <f t="shared" si="4"/>
        <v>#DIV/0!</v>
      </c>
      <c r="R9" s="20"/>
      <c r="S9" s="35"/>
      <c r="T9" s="12"/>
      <c r="U9" s="12"/>
      <c r="V9" s="12"/>
      <c r="W9" s="12"/>
    </row>
    <row r="10" spans="2:23" ht="15.75" customHeight="1">
      <c r="B10" s="162"/>
      <c r="C10" s="12"/>
      <c r="D10" s="12"/>
      <c r="E10" s="12"/>
      <c r="F10" s="609" t="s">
        <v>15</v>
      </c>
      <c r="G10" s="610"/>
      <c r="H10" s="611"/>
      <c r="I10" s="48">
        <f>I11*I12</f>
        <v>5904</v>
      </c>
      <c r="J10" s="168" t="str">
        <f>H48</f>
        <v/>
      </c>
      <c r="K10" s="214" t="str">
        <f t="shared" ref="K10:K19" si="5">IF(AND(I10&lt;&gt;"",I10&lt;&gt;0,J10&lt;&gt;""),J10/I10,"")</f>
        <v/>
      </c>
      <c r="L10" s="167" t="str">
        <f>J10</f>
        <v/>
      </c>
      <c r="M10" s="46" t="str">
        <f t="shared" ref="M10:M20" si="6">IF(AND(I10&lt;&gt;"",I10&lt;&gt;0,L10&lt;&gt;"",L10&lt;&gt;0),L10/I10,"")</f>
        <v/>
      </c>
      <c r="N10" s="47" t="str">
        <f t="shared" ref="N10:N20" si="7">IF(AND(J10&lt;&gt;0,J10&lt;&gt;"",I10&lt;&gt;0,I10&lt;&gt;""),L10-I10,"")</f>
        <v/>
      </c>
      <c r="O10" s="48">
        <f>O11*O12</f>
        <v>0</v>
      </c>
      <c r="P10" s="47" t="str">
        <f t="shared" ref="P10:P20" si="8">IF(AND(O10&lt;&gt;"",O10&lt;&gt;0,L10&lt;&gt;"",L10&lt;&gt;0),-O10+L10,"")</f>
        <v/>
      </c>
      <c r="Q10" s="49" t="str">
        <f t="shared" ref="Q10:Q20" si="9">IF(AND(P10&lt;&gt;"",P10&lt;&gt;0,O10&lt;&gt;0,O10&lt;&gt;""),P10/O10,"")</f>
        <v/>
      </c>
      <c r="R10" s="20"/>
      <c r="S10" s="35"/>
      <c r="T10" s="12"/>
      <c r="U10" s="12"/>
      <c r="V10" s="12"/>
      <c r="W10" s="12"/>
    </row>
    <row r="11" spans="2:23" ht="15.75" customHeight="1">
      <c r="B11" s="162"/>
      <c r="C11" s="12"/>
      <c r="D11" s="12"/>
      <c r="E11" s="12"/>
      <c r="F11" s="612" t="s">
        <v>16</v>
      </c>
      <c r="G11" s="613"/>
      <c r="H11" s="614"/>
      <c r="I11" s="50">
        <f>'Ялта, Ленина, 18'!I11</f>
        <v>3690</v>
      </c>
      <c r="J11" s="37" t="str">
        <f>F48</f>
        <v/>
      </c>
      <c r="K11" s="215" t="str">
        <f t="shared" si="5"/>
        <v/>
      </c>
      <c r="L11" s="167" t="str">
        <f>IF(L9&gt;0,L8/L9,"")</f>
        <v/>
      </c>
      <c r="M11" s="40" t="str">
        <f t="shared" si="6"/>
        <v/>
      </c>
      <c r="N11" s="41" t="str">
        <f t="shared" si="7"/>
        <v/>
      </c>
      <c r="O11" s="51"/>
      <c r="P11" s="41" t="str">
        <f t="shared" si="8"/>
        <v/>
      </c>
      <c r="Q11" s="43" t="str">
        <f t="shared" si="9"/>
        <v/>
      </c>
      <c r="R11" s="20"/>
      <c r="S11" s="52"/>
      <c r="T11" s="12"/>
      <c r="U11" s="12"/>
      <c r="V11" s="12"/>
      <c r="W11" s="12"/>
    </row>
    <row r="12" spans="2:23" ht="15.75" customHeight="1">
      <c r="B12" s="162"/>
      <c r="C12" s="12"/>
      <c r="D12" s="12"/>
      <c r="E12" s="12"/>
      <c r="F12" s="612" t="s">
        <v>17</v>
      </c>
      <c r="G12" s="613"/>
      <c r="H12" s="614"/>
      <c r="I12" s="53">
        <f>'Ялта, Ленина, 18'!I12</f>
        <v>1.6</v>
      </c>
      <c r="J12" s="54" t="str">
        <f>J48</f>
        <v/>
      </c>
      <c r="K12" s="215" t="str">
        <f t="shared" si="5"/>
        <v/>
      </c>
      <c r="L12" s="169" t="str">
        <f>J12</f>
        <v/>
      </c>
      <c r="M12" s="40" t="str">
        <f t="shared" si="6"/>
        <v/>
      </c>
      <c r="N12" s="56" t="str">
        <f t="shared" si="7"/>
        <v/>
      </c>
      <c r="O12" s="57"/>
      <c r="P12" s="41" t="str">
        <f t="shared" si="8"/>
        <v/>
      </c>
      <c r="Q12" s="43" t="str">
        <f t="shared" si="9"/>
        <v/>
      </c>
      <c r="R12" s="20"/>
      <c r="S12" s="52"/>
      <c r="T12" s="12"/>
      <c r="U12" s="12"/>
      <c r="V12" s="12"/>
      <c r="W12" s="12"/>
    </row>
    <row r="13" spans="2:23" ht="15.75" customHeight="1">
      <c r="B13" s="162"/>
      <c r="C13" s="12"/>
      <c r="D13" s="12"/>
      <c r="E13" s="12"/>
      <c r="F13" s="612" t="s">
        <v>18</v>
      </c>
      <c r="G13" s="613"/>
      <c r="H13" s="614"/>
      <c r="I13" s="36">
        <f>IF(I12&lt;&gt;0,I9/I12,"")</f>
        <v>155.78598899761451</v>
      </c>
      <c r="J13" s="37">
        <f>G48</f>
        <v>0</v>
      </c>
      <c r="K13" s="38">
        <f t="shared" si="5"/>
        <v>0</v>
      </c>
      <c r="L13" s="167">
        <f>IF(SUMIF($G$25:$G$47,"&gt;=0",$R$25:$R$47)&lt;&gt;0,I13*G48/SUMIF($G$25:$G$47,"&gt;=0",$R$25:$R$47),"")</f>
        <v>0</v>
      </c>
      <c r="M13" s="40" t="str">
        <f t="shared" si="6"/>
        <v/>
      </c>
      <c r="N13" s="56" t="str">
        <f t="shared" si="7"/>
        <v/>
      </c>
      <c r="O13" s="58"/>
      <c r="P13" s="41" t="str">
        <f t="shared" si="8"/>
        <v/>
      </c>
      <c r="Q13" s="43" t="str">
        <f t="shared" si="9"/>
        <v/>
      </c>
      <c r="R13" s="20"/>
      <c r="S13" s="52"/>
      <c r="T13" s="12"/>
      <c r="U13" s="12"/>
      <c r="V13" s="12"/>
      <c r="W13" s="12"/>
    </row>
    <row r="14" spans="2:23" ht="15.75" customHeight="1">
      <c r="B14" s="162"/>
      <c r="C14" s="12"/>
      <c r="D14" s="170"/>
      <c r="E14" s="12"/>
      <c r="F14" s="612" t="s">
        <v>58</v>
      </c>
      <c r="G14" s="613"/>
      <c r="H14" s="614"/>
      <c r="I14" s="50">
        <f>График!AI29</f>
        <v>24</v>
      </c>
      <c r="J14" s="59"/>
      <c r="K14" s="38" t="str">
        <f t="shared" si="5"/>
        <v/>
      </c>
      <c r="L14" s="167" t="str">
        <f>IF(SUMIF($D$25:$D$47,"&gt;=0",$P$25:$P$47),I48*I8/SUMIF($D$25:$D$47,"&gt;=0",$P$25:$P$47),"")</f>
        <v/>
      </c>
      <c r="M14" s="40" t="str">
        <f t="shared" si="6"/>
        <v/>
      </c>
      <c r="N14" s="41" t="str">
        <f t="shared" si="7"/>
        <v/>
      </c>
      <c r="O14" s="58"/>
      <c r="P14" s="41" t="str">
        <f t="shared" si="8"/>
        <v/>
      </c>
      <c r="Q14" s="43" t="str">
        <f t="shared" si="9"/>
        <v/>
      </c>
      <c r="R14" s="20"/>
      <c r="S14" s="60"/>
      <c r="T14" s="12"/>
      <c r="U14" s="12"/>
      <c r="V14" s="12"/>
      <c r="W14" s="12"/>
    </row>
    <row r="15" spans="2:23" ht="15.75" customHeight="1">
      <c r="B15" s="162"/>
      <c r="C15" s="12"/>
      <c r="D15" s="12"/>
      <c r="E15" s="12"/>
      <c r="F15" s="612" t="s">
        <v>20</v>
      </c>
      <c r="G15" s="613"/>
      <c r="H15" s="614"/>
      <c r="I15" s="70">
        <f>'Ялта, Ленина, 18'!I15</f>
        <v>60000</v>
      </c>
      <c r="J15" s="62" t="e">
        <f>J8/J14</f>
        <v>#DIV/0!</v>
      </c>
      <c r="K15" s="63" t="e">
        <f t="shared" si="5"/>
        <v>#DIV/0!</v>
      </c>
      <c r="L15" s="67" t="e">
        <f t="shared" ref="L15:L19" si="10">J15</f>
        <v>#DIV/0!</v>
      </c>
      <c r="M15" s="65" t="e">
        <f t="shared" si="6"/>
        <v>#DIV/0!</v>
      </c>
      <c r="N15" s="41" t="e">
        <f t="shared" si="7"/>
        <v>#DIV/0!</v>
      </c>
      <c r="O15" s="66"/>
      <c r="P15" s="41" t="e">
        <f t="shared" si="8"/>
        <v>#DIV/0!</v>
      </c>
      <c r="Q15" s="43" t="e">
        <f t="shared" si="9"/>
        <v>#DIV/0!</v>
      </c>
      <c r="R15" s="20"/>
      <c r="S15" s="35"/>
      <c r="T15" s="12"/>
      <c r="U15" s="12"/>
      <c r="V15" s="12"/>
      <c r="W15" s="12"/>
    </row>
    <row r="16" spans="2:23" ht="15.75" customHeight="1">
      <c r="B16" s="162"/>
      <c r="C16" s="12"/>
      <c r="D16" s="12"/>
      <c r="E16" s="12"/>
      <c r="F16" s="612" t="s">
        <v>21</v>
      </c>
      <c r="G16" s="613"/>
      <c r="H16" s="614"/>
      <c r="I16" s="70"/>
      <c r="J16" s="62">
        <f>J8-I15*J14</f>
        <v>0</v>
      </c>
      <c r="K16" s="63" t="str">
        <f t="shared" si="5"/>
        <v/>
      </c>
      <c r="L16" s="67">
        <f t="shared" si="10"/>
        <v>0</v>
      </c>
      <c r="M16" s="68" t="str">
        <f t="shared" si="6"/>
        <v/>
      </c>
      <c r="N16" s="41" t="str">
        <f t="shared" si="7"/>
        <v/>
      </c>
      <c r="O16" s="66"/>
      <c r="P16" s="41" t="str">
        <f t="shared" si="8"/>
        <v/>
      </c>
      <c r="Q16" s="43" t="str">
        <f t="shared" si="9"/>
        <v/>
      </c>
      <c r="R16" s="20"/>
      <c r="S16" s="618" t="s">
        <v>22</v>
      </c>
      <c r="T16" s="12"/>
      <c r="U16" s="12"/>
      <c r="V16" s="12"/>
      <c r="W16" s="12"/>
    </row>
    <row r="17" spans="1:255" ht="15.75" customHeight="1">
      <c r="B17" s="162"/>
      <c r="C17" s="12"/>
      <c r="D17" s="12"/>
      <c r="E17" s="12"/>
      <c r="F17" s="612" t="s">
        <v>23</v>
      </c>
      <c r="G17" s="613"/>
      <c r="H17" s="614"/>
      <c r="I17" s="70">
        <f>'Ялта, Ленина, 18'!I17/График!AJ31*График!AJ29</f>
        <v>0</v>
      </c>
      <c r="J17" s="62">
        <f>I48</f>
        <v>0</v>
      </c>
      <c r="K17" s="63" t="str">
        <f t="shared" si="5"/>
        <v/>
      </c>
      <c r="L17" s="67">
        <f t="shared" si="10"/>
        <v>0</v>
      </c>
      <c r="M17" s="68" t="str">
        <f t="shared" si="6"/>
        <v/>
      </c>
      <c r="N17" s="41" t="str">
        <f t="shared" si="7"/>
        <v/>
      </c>
      <c r="O17" s="66"/>
      <c r="P17" s="41" t="str">
        <f t="shared" si="8"/>
        <v/>
      </c>
      <c r="Q17" s="43" t="str">
        <f t="shared" si="9"/>
        <v/>
      </c>
      <c r="R17" s="20"/>
      <c r="S17" s="618"/>
      <c r="T17" s="12"/>
      <c r="U17" s="12"/>
      <c r="V17" s="12"/>
      <c r="W17" s="12"/>
    </row>
    <row r="18" spans="1:255" ht="15.75" customHeight="1">
      <c r="B18" s="162"/>
      <c r="C18" s="12"/>
      <c r="D18" s="12"/>
      <c r="E18" s="12"/>
      <c r="F18" s="612"/>
      <c r="G18" s="613"/>
      <c r="H18" s="614"/>
      <c r="I18" s="71"/>
      <c r="J18" s="62"/>
      <c r="K18" s="63" t="str">
        <f t="shared" si="5"/>
        <v/>
      </c>
      <c r="L18" s="67">
        <f t="shared" si="10"/>
        <v>0</v>
      </c>
      <c r="M18" s="68" t="str">
        <f t="shared" si="6"/>
        <v/>
      </c>
      <c r="N18" s="41" t="str">
        <f t="shared" si="7"/>
        <v/>
      </c>
      <c r="O18" s="72">
        <v>0</v>
      </c>
      <c r="P18" s="41" t="str">
        <f t="shared" si="8"/>
        <v/>
      </c>
      <c r="Q18" s="43" t="str">
        <f t="shared" si="9"/>
        <v/>
      </c>
      <c r="R18" s="20"/>
      <c r="S18" s="73"/>
      <c r="T18" s="12"/>
      <c r="U18" s="12"/>
      <c r="V18" s="12"/>
      <c r="W18" s="12"/>
    </row>
    <row r="19" spans="1:255" ht="15.75" customHeight="1">
      <c r="B19" s="162"/>
      <c r="C19" s="12"/>
      <c r="D19" s="12"/>
      <c r="E19" s="12"/>
      <c r="F19" s="612"/>
      <c r="G19" s="613"/>
      <c r="H19" s="614"/>
      <c r="I19" s="71"/>
      <c r="J19" s="62">
        <f>M48</f>
        <v>0</v>
      </c>
      <c r="K19" s="63" t="str">
        <f t="shared" si="5"/>
        <v/>
      </c>
      <c r="L19" s="67">
        <f t="shared" si="10"/>
        <v>0</v>
      </c>
      <c r="M19" s="68" t="str">
        <f t="shared" si="6"/>
        <v/>
      </c>
      <c r="N19" s="41" t="str">
        <f t="shared" si="7"/>
        <v/>
      </c>
      <c r="O19" s="66">
        <v>0</v>
      </c>
      <c r="P19" s="41" t="str">
        <f t="shared" si="8"/>
        <v/>
      </c>
      <c r="Q19" s="43" t="str">
        <f t="shared" si="9"/>
        <v/>
      </c>
      <c r="R19" s="20"/>
      <c r="S19" s="74" t="e">
        <f>S18/I16</f>
        <v>#DIV/0!</v>
      </c>
      <c r="T19" s="12"/>
      <c r="U19" s="12"/>
      <c r="V19" s="12"/>
      <c r="W19" s="12"/>
    </row>
    <row r="20" spans="1:255" ht="15.75" customHeight="1">
      <c r="B20" s="162"/>
      <c r="C20" s="12"/>
      <c r="D20" s="12"/>
      <c r="E20" s="12"/>
      <c r="F20" s="621" t="s">
        <v>24</v>
      </c>
      <c r="G20" s="621"/>
      <c r="H20" s="621"/>
      <c r="I20" s="75">
        <f>'Ялта, Ленина, 18'!I20</f>
        <v>0.25700000000000001</v>
      </c>
      <c r="J20" s="171" t="str">
        <f>N48</f>
        <v/>
      </c>
      <c r="K20" s="171" t="e">
        <f>J20/I20</f>
        <v>#VALUE!</v>
      </c>
      <c r="L20" s="78">
        <f>IF(AND(K8&lt;&gt;0,I14&lt;&gt;0,I48&lt;&gt;0),(I48*N48+(I48/K8-I48)*I20)/(I48/K8),0)</f>
        <v>0</v>
      </c>
      <c r="M20" s="79" t="str">
        <f t="shared" si="6"/>
        <v/>
      </c>
      <c r="N20" s="80" t="str">
        <f t="shared" si="7"/>
        <v/>
      </c>
      <c r="O20" s="81"/>
      <c r="P20" s="82" t="str">
        <f t="shared" si="8"/>
        <v/>
      </c>
      <c r="Q20" s="83" t="str">
        <f t="shared" si="9"/>
        <v/>
      </c>
      <c r="R20" s="20"/>
      <c r="S20" s="20"/>
      <c r="T20" s="12"/>
      <c r="U20" s="12"/>
      <c r="V20" s="12"/>
      <c r="W20" s="12"/>
    </row>
    <row r="21" spans="1:255" ht="15.75" customHeight="1">
      <c r="B21" s="16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20"/>
      <c r="S21" s="20"/>
      <c r="T21" s="12"/>
      <c r="U21" s="12"/>
      <c r="V21" s="12"/>
      <c r="W21" s="12"/>
    </row>
    <row r="22" spans="1:255" ht="16.5" customHeight="1">
      <c r="B22" s="662" t="s">
        <v>25</v>
      </c>
      <c r="C22" s="662"/>
      <c r="D22" s="662"/>
      <c r="E22" s="662"/>
      <c r="F22" s="662"/>
      <c r="G22" s="662"/>
      <c r="H22" s="662"/>
      <c r="I22" s="662"/>
      <c r="J22" s="662"/>
      <c r="K22" s="662"/>
      <c r="L22" s="662"/>
      <c r="M22" s="662"/>
      <c r="N22" s="662"/>
      <c r="O22" s="663" t="s">
        <v>26</v>
      </c>
      <c r="P22" s="662" t="s">
        <v>27</v>
      </c>
      <c r="Q22" s="662"/>
      <c r="R22" s="662"/>
      <c r="S22" s="662"/>
      <c r="T22" s="662"/>
      <c r="U22" s="662"/>
      <c r="V22" s="662"/>
      <c r="W22" s="662"/>
    </row>
    <row r="23" spans="1:255" ht="36">
      <c r="B23" s="172" t="s">
        <v>29</v>
      </c>
      <c r="C23" s="172" t="s">
        <v>30</v>
      </c>
      <c r="D23" s="172" t="s">
        <v>31</v>
      </c>
      <c r="E23" s="172" t="s">
        <v>32</v>
      </c>
      <c r="F23" s="172" t="s">
        <v>33</v>
      </c>
      <c r="G23" s="172" t="s">
        <v>34</v>
      </c>
      <c r="H23" s="172" t="s">
        <v>35</v>
      </c>
      <c r="I23" s="172" t="s">
        <v>23</v>
      </c>
      <c r="J23" s="172" t="s">
        <v>36</v>
      </c>
      <c r="K23" s="173" t="s">
        <v>37</v>
      </c>
      <c r="L23" s="173" t="s">
        <v>37</v>
      </c>
      <c r="M23" s="173" t="s">
        <v>37</v>
      </c>
      <c r="N23" s="172" t="s">
        <v>38</v>
      </c>
      <c r="O23" s="663"/>
      <c r="P23" s="172" t="s">
        <v>39</v>
      </c>
      <c r="Q23" s="172" t="s">
        <v>40</v>
      </c>
      <c r="R23" s="172" t="s">
        <v>41</v>
      </c>
      <c r="S23" s="172" t="s">
        <v>42</v>
      </c>
      <c r="T23" s="172" t="s">
        <v>43</v>
      </c>
      <c r="U23" s="172" t="s">
        <v>44</v>
      </c>
      <c r="V23" s="174" t="s">
        <v>45</v>
      </c>
      <c r="W23" s="174" t="s">
        <v>46</v>
      </c>
      <c r="X23" s="175"/>
    </row>
    <row r="24" spans="1:255">
      <c r="B24" s="176">
        <v>1</v>
      </c>
      <c r="C24" s="216">
        <v>2</v>
      </c>
      <c r="D24" s="176">
        <v>3</v>
      </c>
      <c r="E24" s="176">
        <v>4</v>
      </c>
      <c r="F24" s="176">
        <v>5</v>
      </c>
      <c r="G24" s="176">
        <v>6</v>
      </c>
      <c r="H24" s="176">
        <v>7</v>
      </c>
      <c r="I24" s="176">
        <v>8</v>
      </c>
      <c r="J24" s="176">
        <v>9</v>
      </c>
      <c r="K24" s="176">
        <v>10</v>
      </c>
      <c r="L24" s="176">
        <v>11</v>
      </c>
      <c r="M24" s="176">
        <v>12</v>
      </c>
      <c r="N24" s="176">
        <v>13</v>
      </c>
      <c r="O24" s="663"/>
      <c r="P24" s="177">
        <v>1</v>
      </c>
      <c r="Q24" s="177">
        <v>2</v>
      </c>
      <c r="R24" s="177">
        <v>3</v>
      </c>
      <c r="S24" s="177">
        <v>4</v>
      </c>
      <c r="T24" s="177">
        <v>5</v>
      </c>
      <c r="U24" s="177">
        <v>6</v>
      </c>
      <c r="V24" s="177">
        <v>10</v>
      </c>
      <c r="W24" s="177">
        <v>11</v>
      </c>
    </row>
    <row r="25" spans="1:255" s="217" customFormat="1">
      <c r="A25" s="218">
        <v>1</v>
      </c>
      <c r="B25" s="256"/>
      <c r="C25" s="580"/>
      <c r="D25" s="257"/>
      <c r="E25" s="258"/>
      <c r="F25" s="259" t="str">
        <f t="shared" ref="F25:F48" si="11">IF(AND(E25&lt;&gt;"",E25&lt;&gt;0),D25/E25,"")</f>
        <v/>
      </c>
      <c r="G25" s="258"/>
      <c r="H25" s="259" t="str">
        <f t="shared" ref="H25:H48" si="12">IF(AND(G25&lt;&gt;"",G25&lt;&gt;0),D25/G25,"")</f>
        <v/>
      </c>
      <c r="I25" s="260"/>
      <c r="J25" s="219" t="str">
        <f t="shared" ref="J25:J48" si="13">IF(AND(G25&lt;&gt;"",G25&lt;&gt;0),E25/G25,"")</f>
        <v/>
      </c>
      <c r="K25" s="220"/>
      <c r="L25" s="220"/>
      <c r="M25" s="220"/>
      <c r="N25" s="221" t="str">
        <f t="shared" ref="N25:N48" si="14">IF(AND(I25&lt;&gt;"",I25&lt;&gt;0),G25/I25,"")</f>
        <v/>
      </c>
      <c r="O25" s="222">
        <f t="shared" ref="O25:O48" si="15">D25/P25</f>
        <v>0</v>
      </c>
      <c r="P25" s="223">
        <f t="shared" ref="P25:P44" si="16">$I$8*V25*W25/SUMPRODUCT($W$25:$W$55,$V$25:$V$55)</f>
        <v>181055.21240982602</v>
      </c>
      <c r="Q25" s="224">
        <f t="shared" ref="Q25:Q44" si="17">$I$9*V25*W25/SUMPRODUCT($W$25:$W$55,$V$25:$V$55)</f>
        <v>49.066453227595126</v>
      </c>
      <c r="R25" s="224">
        <f t="shared" ref="R25:R47" si="18">IF($I$12="","",Q25/$I$12)</f>
        <v>30.666533267246951</v>
      </c>
      <c r="S25" s="223">
        <f>IF(D25&lt;&gt;"",D25,P25)</f>
        <v>181055.21240982602</v>
      </c>
      <c r="T25" s="224">
        <f>IF(E25&lt;&gt;"",E25,Q25)</f>
        <v>49.066453227595126</v>
      </c>
      <c r="U25" s="224">
        <f>IF(G25&lt;&gt;"",G25,R25)</f>
        <v>30.666533267246951</v>
      </c>
      <c r="V25" s="225">
        <v>1</v>
      </c>
      <c r="W25" s="225">
        <v>1</v>
      </c>
      <c r="X25" s="226"/>
      <c r="Y25" s="227"/>
      <c r="Z25" s="226"/>
      <c r="AA25" s="226"/>
      <c r="AB25" s="226"/>
      <c r="AC25" s="226"/>
      <c r="AD25" s="226"/>
    </row>
    <row r="26" spans="1:255" s="228" customFormat="1">
      <c r="A26" s="218">
        <v>2</v>
      </c>
      <c r="B26" s="229"/>
      <c r="C26" s="230"/>
      <c r="D26" s="231"/>
      <c r="E26" s="220"/>
      <c r="F26" s="232" t="str">
        <f t="shared" si="11"/>
        <v/>
      </c>
      <c r="G26" s="220">
        <v>0</v>
      </c>
      <c r="H26" s="232" t="str">
        <f t="shared" si="12"/>
        <v/>
      </c>
      <c r="I26" s="220"/>
      <c r="J26" s="233" t="str">
        <f t="shared" si="13"/>
        <v/>
      </c>
      <c r="K26" s="220"/>
      <c r="L26" s="220"/>
      <c r="M26" s="220"/>
      <c r="N26" s="221" t="str">
        <f t="shared" si="14"/>
        <v/>
      </c>
      <c r="O26" s="222">
        <f t="shared" si="15"/>
        <v>0</v>
      </c>
      <c r="P26" s="223">
        <f t="shared" si="16"/>
        <v>115875.33594228867</v>
      </c>
      <c r="Q26" s="224">
        <f t="shared" si="17"/>
        <v>31.402530065660883</v>
      </c>
      <c r="R26" s="224">
        <f t="shared" si="18"/>
        <v>19.62658129103805</v>
      </c>
      <c r="S26" s="223">
        <f t="shared" ref="S26:S44" si="19">IF(W26&lt;&gt;"",IF(D26&lt;&gt;"",D26,($I$8-SUM($S$25:S25))*V26*W26/SUMPRODUCT($W26:$W$55,$V26:$V$55)),"")</f>
        <v>115875.33594228866</v>
      </c>
      <c r="T26" s="224">
        <f t="shared" ref="T26:T29" si="20">IF(W26&lt;&gt;"",IF(E26&lt;&gt;"",E26,($I$9-SUM($T$25:T25))*V26*W26/SUMPRODUCT($W26:$W$55,$V26:$V$55)),"")</f>
        <v>31.402530065660883</v>
      </c>
      <c r="U26" s="224">
        <f t="shared" ref="U26:U44" si="21">IF(W26&lt;&gt;"",IF($I$12&lt;&gt;"",IF(G26&lt;&gt;"",G26,($I$9/$I$12-SUM($U$25:U25))*V26*W26/SUMPRODUCT($W26:$W$55,$V26:$V$55)),""),"")</f>
        <v>0</v>
      </c>
      <c r="V26" s="225">
        <v>0.8</v>
      </c>
      <c r="W26" s="225">
        <v>0.8</v>
      </c>
      <c r="X26" s="227"/>
      <c r="Y26" s="227"/>
      <c r="Z26" s="226"/>
      <c r="AA26" s="226"/>
      <c r="AB26" s="226"/>
      <c r="AC26" s="226"/>
      <c r="AD26" s="226"/>
      <c r="AE26" s="226"/>
      <c r="AF26" s="226"/>
      <c r="AG26" s="226"/>
      <c r="AH26" s="226"/>
      <c r="AI26" s="226"/>
      <c r="AJ26" s="226"/>
      <c r="AK26" s="226"/>
      <c r="AL26" s="226"/>
      <c r="AM26" s="226"/>
      <c r="AN26" s="226"/>
      <c r="AO26" s="226"/>
      <c r="AP26" s="226"/>
      <c r="AQ26" s="226"/>
      <c r="AR26" s="226"/>
      <c r="AS26" s="226"/>
      <c r="AT26" s="226"/>
      <c r="AU26" s="226"/>
      <c r="AV26" s="226"/>
      <c r="AW26" s="226"/>
      <c r="AX26" s="226"/>
      <c r="AY26" s="226"/>
      <c r="AZ26" s="226"/>
      <c r="BA26" s="226"/>
      <c r="BB26" s="226"/>
      <c r="BC26" s="226"/>
      <c r="BD26" s="226"/>
      <c r="BE26" s="226"/>
      <c r="BF26" s="226"/>
      <c r="BG26" s="226"/>
      <c r="BH26" s="226"/>
      <c r="BI26" s="226"/>
      <c r="BJ26" s="226"/>
      <c r="BK26" s="226"/>
      <c r="BL26" s="226"/>
      <c r="BM26" s="226"/>
      <c r="BN26" s="226"/>
      <c r="BO26" s="226"/>
      <c r="BP26" s="226"/>
      <c r="BQ26" s="226"/>
      <c r="BR26" s="226"/>
      <c r="BS26" s="226"/>
      <c r="BT26" s="226"/>
      <c r="BU26" s="226"/>
      <c r="BV26" s="226"/>
      <c r="BW26" s="226"/>
      <c r="BX26" s="226"/>
      <c r="BY26" s="226"/>
      <c r="BZ26" s="226"/>
      <c r="CA26" s="226"/>
      <c r="CB26" s="226"/>
      <c r="CC26" s="226"/>
      <c r="CD26" s="226"/>
      <c r="CE26" s="226"/>
      <c r="CF26" s="226"/>
      <c r="CG26" s="226"/>
      <c r="CH26" s="226"/>
      <c r="CI26" s="226"/>
      <c r="CJ26" s="226"/>
      <c r="CK26" s="226"/>
      <c r="CL26" s="226"/>
      <c r="CM26" s="226"/>
      <c r="CN26" s="226"/>
      <c r="CO26" s="226"/>
      <c r="CP26" s="226"/>
      <c r="CQ26" s="226"/>
      <c r="CR26" s="226"/>
      <c r="CS26" s="226"/>
      <c r="CT26" s="226"/>
      <c r="CU26" s="226"/>
      <c r="CV26" s="226"/>
      <c r="CW26" s="226"/>
      <c r="CX26" s="226"/>
      <c r="CY26" s="226"/>
      <c r="CZ26" s="226"/>
      <c r="DA26" s="226"/>
      <c r="DB26" s="226"/>
      <c r="DC26" s="226"/>
      <c r="DD26" s="226"/>
      <c r="DE26" s="226"/>
      <c r="DF26" s="226"/>
      <c r="DG26" s="226"/>
      <c r="DH26" s="226"/>
      <c r="DI26" s="226"/>
      <c r="DJ26" s="226"/>
      <c r="DK26" s="226"/>
      <c r="DL26" s="226"/>
      <c r="DM26" s="226"/>
      <c r="DN26" s="226"/>
      <c r="DO26" s="226"/>
      <c r="DP26" s="226"/>
      <c r="DQ26" s="226"/>
      <c r="DR26" s="226"/>
      <c r="DS26" s="226"/>
      <c r="DT26" s="226"/>
      <c r="DU26" s="226"/>
      <c r="DV26" s="226"/>
      <c r="DW26" s="226"/>
      <c r="DX26" s="226"/>
      <c r="DY26" s="226"/>
      <c r="DZ26" s="226"/>
      <c r="EA26" s="226"/>
      <c r="EB26" s="226"/>
      <c r="EC26" s="226"/>
      <c r="ED26" s="226"/>
      <c r="EE26" s="226"/>
      <c r="EF26" s="226"/>
      <c r="EG26" s="226"/>
      <c r="EH26" s="226"/>
      <c r="EI26" s="226"/>
      <c r="EJ26" s="226"/>
      <c r="EK26" s="226"/>
      <c r="EL26" s="226"/>
      <c r="EM26" s="226"/>
      <c r="EN26" s="226"/>
      <c r="EO26" s="226"/>
      <c r="EP26" s="226"/>
      <c r="EQ26" s="226"/>
      <c r="ER26" s="226"/>
      <c r="ES26" s="226"/>
      <c r="ET26" s="226"/>
      <c r="EU26" s="226"/>
      <c r="EV26" s="226"/>
      <c r="EW26" s="226"/>
      <c r="EX26" s="226"/>
      <c r="EY26" s="226"/>
      <c r="EZ26" s="226"/>
      <c r="FA26" s="226"/>
      <c r="FB26" s="226"/>
      <c r="FC26" s="226"/>
      <c r="FD26" s="226"/>
      <c r="FE26" s="226"/>
      <c r="FF26" s="226"/>
      <c r="FG26" s="226"/>
      <c r="FH26" s="226"/>
      <c r="FI26" s="226"/>
      <c r="FJ26" s="226"/>
      <c r="FK26" s="226"/>
      <c r="FL26" s="226"/>
      <c r="FM26" s="226"/>
      <c r="FN26" s="226"/>
      <c r="FO26" s="226"/>
      <c r="FP26" s="226"/>
      <c r="FQ26" s="226"/>
      <c r="FR26" s="226"/>
      <c r="FS26" s="226"/>
      <c r="FT26" s="226"/>
      <c r="FU26" s="226"/>
      <c r="FV26" s="226"/>
      <c r="FW26" s="226"/>
      <c r="FX26" s="226"/>
      <c r="FY26" s="226"/>
      <c r="FZ26" s="226"/>
      <c r="GA26" s="226"/>
      <c r="GB26" s="226"/>
      <c r="GC26" s="226"/>
      <c r="GD26" s="226"/>
      <c r="GE26" s="226"/>
      <c r="GF26" s="226"/>
      <c r="GG26" s="226"/>
      <c r="GH26" s="226"/>
      <c r="GI26" s="226"/>
      <c r="GJ26" s="226"/>
      <c r="GK26" s="226"/>
      <c r="GL26" s="226"/>
      <c r="GM26" s="226"/>
      <c r="GN26" s="226"/>
      <c r="GO26" s="226"/>
      <c r="GP26" s="226"/>
      <c r="GQ26" s="226"/>
      <c r="GR26" s="226"/>
      <c r="GS26" s="226"/>
      <c r="GT26" s="226"/>
      <c r="GU26" s="226"/>
      <c r="GV26" s="226"/>
      <c r="GW26" s="226"/>
      <c r="GX26" s="226"/>
      <c r="GY26" s="226"/>
      <c r="GZ26" s="226"/>
      <c r="HA26" s="226"/>
      <c r="HB26" s="226"/>
      <c r="HC26" s="226"/>
      <c r="HD26" s="226"/>
      <c r="HE26" s="226"/>
      <c r="HF26" s="226"/>
      <c r="HG26" s="226"/>
      <c r="HH26" s="226"/>
      <c r="HI26" s="226"/>
      <c r="HJ26" s="226"/>
      <c r="HK26" s="226"/>
      <c r="HL26" s="226"/>
      <c r="HM26" s="226"/>
      <c r="HN26" s="226"/>
      <c r="HO26" s="226"/>
      <c r="HP26" s="226"/>
      <c r="HQ26" s="226"/>
      <c r="HR26" s="226"/>
      <c r="HS26" s="226"/>
      <c r="HT26" s="226"/>
      <c r="HU26" s="226"/>
      <c r="HV26" s="226"/>
      <c r="HW26" s="226"/>
      <c r="HX26" s="226"/>
      <c r="HY26" s="226"/>
      <c r="HZ26" s="226"/>
      <c r="IA26" s="226"/>
      <c r="IB26" s="226"/>
      <c r="IC26" s="226"/>
      <c r="ID26" s="226"/>
      <c r="IE26" s="226"/>
      <c r="IF26" s="226"/>
      <c r="IG26" s="226"/>
      <c r="IH26" s="226"/>
      <c r="II26" s="226"/>
      <c r="IJ26" s="226"/>
      <c r="IK26" s="226"/>
      <c r="IL26" s="226"/>
      <c r="IM26" s="226"/>
      <c r="IN26" s="226"/>
      <c r="IO26" s="226"/>
      <c r="IP26" s="226"/>
      <c r="IQ26" s="226"/>
      <c r="IR26" s="226"/>
      <c r="IS26" s="226"/>
      <c r="IT26" s="226"/>
      <c r="IU26" s="226"/>
    </row>
    <row r="27" spans="1:255" s="217" customFormat="1">
      <c r="A27" s="218">
        <v>3</v>
      </c>
      <c r="B27" s="229"/>
      <c r="C27" s="230"/>
      <c r="D27" s="233"/>
      <c r="E27" s="243"/>
      <c r="F27" s="220" t="str">
        <f t="shared" si="11"/>
        <v/>
      </c>
      <c r="G27" s="232"/>
      <c r="H27" s="220" t="str">
        <f t="shared" si="12"/>
        <v/>
      </c>
      <c r="I27" s="232"/>
      <c r="J27" s="233" t="str">
        <f t="shared" si="13"/>
        <v/>
      </c>
      <c r="K27" s="220"/>
      <c r="L27" s="220"/>
      <c r="M27" s="220"/>
      <c r="N27" s="221" t="str">
        <f t="shared" si="14"/>
        <v/>
      </c>
      <c r="O27" s="222">
        <f t="shared" si="15"/>
        <v>0</v>
      </c>
      <c r="P27" s="223">
        <f t="shared" si="16"/>
        <v>260719.50587014944</v>
      </c>
      <c r="Q27" s="224">
        <f t="shared" si="17"/>
        <v>70.65569264773697</v>
      </c>
      <c r="R27" s="224">
        <f t="shared" si="18"/>
        <v>44.159807904835603</v>
      </c>
      <c r="S27" s="223">
        <f t="shared" si="19"/>
        <v>260719.50587014944</v>
      </c>
      <c r="T27" s="224">
        <f t="shared" si="20"/>
        <v>70.65569264773697</v>
      </c>
      <c r="U27" s="224">
        <f t="shared" si="21"/>
        <v>52.375586119688741</v>
      </c>
      <c r="V27" s="225">
        <v>1.2</v>
      </c>
      <c r="W27" s="225">
        <v>1.2</v>
      </c>
      <c r="X27" s="227"/>
      <c r="Y27" s="227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6"/>
      <c r="AX27" s="226"/>
      <c r="AY27" s="226"/>
      <c r="AZ27" s="226"/>
      <c r="BA27" s="226"/>
      <c r="BB27" s="226"/>
      <c r="BC27" s="226"/>
      <c r="BD27" s="226"/>
      <c r="BE27" s="226"/>
      <c r="BF27" s="226"/>
      <c r="BG27" s="226"/>
      <c r="BH27" s="226"/>
      <c r="BI27" s="226"/>
      <c r="BJ27" s="226"/>
      <c r="BK27" s="226"/>
      <c r="BL27" s="226"/>
      <c r="BM27" s="226"/>
      <c r="BN27" s="226"/>
      <c r="BO27" s="226"/>
      <c r="BP27" s="226"/>
      <c r="BQ27" s="226"/>
      <c r="BR27" s="226"/>
      <c r="BS27" s="226"/>
      <c r="BT27" s="226"/>
      <c r="BU27" s="226"/>
      <c r="BV27" s="226"/>
      <c r="BW27" s="226"/>
      <c r="BX27" s="226"/>
      <c r="BY27" s="226"/>
      <c r="BZ27" s="226"/>
      <c r="CA27" s="226"/>
      <c r="CB27" s="226"/>
      <c r="CC27" s="226"/>
      <c r="CD27" s="226"/>
      <c r="CE27" s="226"/>
      <c r="CF27" s="226"/>
      <c r="CG27" s="226"/>
      <c r="CH27" s="226"/>
      <c r="CI27" s="226"/>
      <c r="CJ27" s="226"/>
      <c r="CK27" s="226"/>
      <c r="CL27" s="226"/>
      <c r="CM27" s="226"/>
      <c r="CN27" s="226"/>
      <c r="CO27" s="226"/>
      <c r="CP27" s="226"/>
      <c r="CQ27" s="226"/>
      <c r="CR27" s="226"/>
      <c r="CS27" s="226"/>
      <c r="CT27" s="226"/>
      <c r="CU27" s="226"/>
      <c r="CV27" s="226"/>
      <c r="CW27" s="226"/>
      <c r="CX27" s="226"/>
      <c r="CY27" s="226"/>
      <c r="CZ27" s="226"/>
      <c r="DA27" s="226"/>
      <c r="DB27" s="226"/>
      <c r="DC27" s="226"/>
      <c r="DD27" s="226"/>
      <c r="DE27" s="226"/>
      <c r="DF27" s="226"/>
      <c r="DG27" s="226"/>
      <c r="DH27" s="226"/>
      <c r="DI27" s="226"/>
      <c r="DJ27" s="226"/>
      <c r="DK27" s="226"/>
      <c r="DL27" s="226"/>
      <c r="DM27" s="226"/>
      <c r="DN27" s="226"/>
      <c r="DO27" s="226"/>
      <c r="DP27" s="226"/>
      <c r="DQ27" s="226"/>
      <c r="DR27" s="226"/>
      <c r="DS27" s="226"/>
      <c r="DT27" s="226"/>
      <c r="DU27" s="226"/>
      <c r="DV27" s="226"/>
      <c r="DW27" s="226"/>
      <c r="DX27" s="226"/>
      <c r="DY27" s="226"/>
      <c r="DZ27" s="226"/>
      <c r="EA27" s="226"/>
      <c r="EB27" s="226"/>
      <c r="EC27" s="226"/>
      <c r="ED27" s="226"/>
      <c r="EE27" s="226"/>
      <c r="EF27" s="226"/>
      <c r="EG27" s="226"/>
      <c r="EH27" s="226"/>
      <c r="EI27" s="226"/>
      <c r="EJ27" s="226"/>
      <c r="EK27" s="226"/>
      <c r="EL27" s="226"/>
      <c r="EM27" s="226"/>
      <c r="EN27" s="226"/>
      <c r="EO27" s="226"/>
      <c r="EP27" s="226"/>
      <c r="EQ27" s="226"/>
      <c r="ER27" s="226"/>
      <c r="ES27" s="226"/>
      <c r="ET27" s="226"/>
      <c r="EU27" s="226"/>
      <c r="EV27" s="226"/>
      <c r="EW27" s="226"/>
      <c r="EX27" s="226"/>
      <c r="EY27" s="226"/>
      <c r="EZ27" s="226"/>
      <c r="FA27" s="226"/>
      <c r="FB27" s="226"/>
      <c r="FC27" s="226"/>
      <c r="FD27" s="226"/>
      <c r="FE27" s="226"/>
      <c r="FF27" s="226"/>
      <c r="FG27" s="226"/>
      <c r="FH27" s="226"/>
      <c r="FI27" s="226"/>
      <c r="FJ27" s="226"/>
      <c r="FK27" s="226"/>
      <c r="FL27" s="226"/>
      <c r="FM27" s="226"/>
      <c r="FN27" s="226"/>
      <c r="FO27" s="226"/>
      <c r="FP27" s="226"/>
      <c r="FQ27" s="226"/>
      <c r="FR27" s="226"/>
      <c r="FS27" s="226"/>
      <c r="FT27" s="226"/>
      <c r="FU27" s="226"/>
      <c r="FV27" s="226"/>
      <c r="FW27" s="226"/>
      <c r="FX27" s="226"/>
      <c r="FY27" s="226"/>
      <c r="FZ27" s="226"/>
      <c r="GA27" s="226"/>
      <c r="GB27" s="226"/>
      <c r="GC27" s="226"/>
      <c r="GD27" s="226"/>
      <c r="GE27" s="226"/>
      <c r="GF27" s="226"/>
      <c r="GG27" s="226"/>
      <c r="GH27" s="226"/>
      <c r="GI27" s="226"/>
      <c r="GJ27" s="226"/>
      <c r="GK27" s="226"/>
      <c r="GL27" s="226"/>
      <c r="GM27" s="226"/>
      <c r="GN27" s="226"/>
      <c r="GO27" s="226"/>
      <c r="GP27" s="226"/>
      <c r="GQ27" s="226"/>
      <c r="GR27" s="226"/>
      <c r="GS27" s="226"/>
      <c r="GT27" s="226"/>
      <c r="GU27" s="226"/>
      <c r="GV27" s="226"/>
      <c r="GW27" s="226"/>
      <c r="GX27" s="226"/>
      <c r="GY27" s="226"/>
      <c r="GZ27" s="226"/>
      <c r="HA27" s="226"/>
      <c r="HB27" s="226"/>
      <c r="HC27" s="226"/>
      <c r="HD27" s="226"/>
      <c r="HE27" s="226"/>
      <c r="HF27" s="226"/>
      <c r="HG27" s="226"/>
      <c r="HH27" s="226"/>
      <c r="HI27" s="226"/>
      <c r="HJ27" s="226"/>
      <c r="HK27" s="226"/>
      <c r="HL27" s="226"/>
      <c r="HM27" s="226"/>
      <c r="HN27" s="226"/>
      <c r="HO27" s="226"/>
      <c r="HP27" s="226"/>
      <c r="HQ27" s="226"/>
      <c r="HR27" s="226"/>
      <c r="HS27" s="226"/>
      <c r="HT27" s="226"/>
      <c r="HU27" s="226"/>
      <c r="HV27" s="226"/>
      <c r="HW27" s="226"/>
      <c r="HX27" s="226"/>
      <c r="HY27" s="226"/>
      <c r="HZ27" s="226"/>
      <c r="IA27" s="226"/>
      <c r="IB27" s="226"/>
      <c r="IC27" s="226"/>
      <c r="ID27" s="226"/>
      <c r="IE27" s="226"/>
      <c r="IF27" s="226"/>
      <c r="IG27" s="226"/>
      <c r="IH27" s="226"/>
      <c r="II27" s="226"/>
      <c r="IJ27" s="226"/>
      <c r="IK27" s="226"/>
      <c r="IL27" s="226"/>
      <c r="IM27" s="226"/>
      <c r="IN27" s="226"/>
      <c r="IO27" s="226"/>
      <c r="IP27" s="226"/>
      <c r="IQ27" s="226"/>
      <c r="IR27" s="226"/>
      <c r="IS27" s="226"/>
      <c r="IT27" s="226"/>
      <c r="IU27" s="226"/>
    </row>
    <row r="28" spans="1:255" s="217" customFormat="1">
      <c r="A28" s="218">
        <v>4</v>
      </c>
      <c r="B28" s="229"/>
      <c r="C28" s="230"/>
      <c r="D28" s="231"/>
      <c r="E28" s="220"/>
      <c r="F28" s="232" t="str">
        <f t="shared" si="11"/>
        <v/>
      </c>
      <c r="G28" s="220"/>
      <c r="H28" s="232" t="str">
        <f t="shared" si="12"/>
        <v/>
      </c>
      <c r="I28" s="220"/>
      <c r="J28" s="233" t="str">
        <f t="shared" si="13"/>
        <v/>
      </c>
      <c r="K28" s="220"/>
      <c r="L28" s="220"/>
      <c r="M28" s="220"/>
      <c r="N28" s="221" t="str">
        <f t="shared" si="14"/>
        <v/>
      </c>
      <c r="O28" s="222">
        <f t="shared" si="15"/>
        <v>0</v>
      </c>
      <c r="P28" s="223">
        <f t="shared" si="16"/>
        <v>181055.21240982602</v>
      </c>
      <c r="Q28" s="224">
        <f t="shared" si="17"/>
        <v>49.066453227595126</v>
      </c>
      <c r="R28" s="224">
        <f t="shared" si="18"/>
        <v>30.666533267246951</v>
      </c>
      <c r="S28" s="223">
        <f t="shared" si="19"/>
        <v>181055.21240982605</v>
      </c>
      <c r="T28" s="224">
        <f t="shared" si="20"/>
        <v>49.066453227595133</v>
      </c>
      <c r="U28" s="224">
        <f t="shared" si="21"/>
        <v>36.371934805339407</v>
      </c>
      <c r="V28" s="225">
        <v>1</v>
      </c>
      <c r="W28" s="225">
        <v>1</v>
      </c>
      <c r="X28" s="227"/>
      <c r="Y28" s="227"/>
      <c r="Z28" s="226"/>
      <c r="AA28" s="226"/>
      <c r="AB28" s="226"/>
      <c r="AC28" s="226"/>
      <c r="AD28" s="226"/>
    </row>
    <row r="29" spans="1:255" s="217" customFormat="1">
      <c r="A29" s="218">
        <v>5</v>
      </c>
      <c r="B29" s="229"/>
      <c r="C29" s="230"/>
      <c r="D29" s="233"/>
      <c r="E29" s="232"/>
      <c r="F29" s="220" t="str">
        <f t="shared" si="11"/>
        <v/>
      </c>
      <c r="G29" s="232"/>
      <c r="H29" s="220" t="str">
        <f t="shared" si="12"/>
        <v/>
      </c>
      <c r="I29" s="232"/>
      <c r="J29" s="233" t="str">
        <f t="shared" si="13"/>
        <v/>
      </c>
      <c r="K29" s="220"/>
      <c r="L29" s="220"/>
      <c r="M29" s="220"/>
      <c r="N29" s="221" t="str">
        <f t="shared" si="14"/>
        <v/>
      </c>
      <c r="O29" s="222">
        <f t="shared" si="15"/>
        <v>0</v>
      </c>
      <c r="P29" s="223">
        <f t="shared" si="16"/>
        <v>181055.21240982602</v>
      </c>
      <c r="Q29" s="224">
        <f t="shared" si="17"/>
        <v>49.066453227595126</v>
      </c>
      <c r="R29" s="224">
        <f t="shared" si="18"/>
        <v>30.666533267246951</v>
      </c>
      <c r="S29" s="223">
        <f t="shared" si="19"/>
        <v>181055.21240982611</v>
      </c>
      <c r="T29" s="224">
        <f t="shared" si="20"/>
        <v>49.066453227595133</v>
      </c>
      <c r="U29" s="224">
        <f t="shared" si="21"/>
        <v>36.371934805339407</v>
      </c>
      <c r="V29" s="225">
        <v>1</v>
      </c>
      <c r="W29" s="225">
        <v>1</v>
      </c>
      <c r="X29" s="227"/>
      <c r="Y29" s="227"/>
      <c r="Z29" s="226"/>
      <c r="AA29" s="226"/>
      <c r="AB29" s="226"/>
      <c r="AC29" s="226"/>
      <c r="AD29" s="226"/>
    </row>
    <row r="30" spans="1:255" s="217" customFormat="1">
      <c r="A30" s="218">
        <v>6</v>
      </c>
      <c r="B30" s="229"/>
      <c r="C30" s="230"/>
      <c r="D30" s="231"/>
      <c r="E30" s="220"/>
      <c r="F30" s="232" t="str">
        <f t="shared" si="11"/>
        <v/>
      </c>
      <c r="G30" s="220"/>
      <c r="H30" s="232" t="str">
        <f t="shared" si="12"/>
        <v/>
      </c>
      <c r="I30" s="220"/>
      <c r="J30" s="231" t="str">
        <f t="shared" si="13"/>
        <v/>
      </c>
      <c r="K30" s="220"/>
      <c r="L30" s="220"/>
      <c r="M30" s="220"/>
      <c r="N30" s="221" t="str">
        <f t="shared" si="14"/>
        <v/>
      </c>
      <c r="O30" s="222" t="e">
        <f t="shared" si="15"/>
        <v>#DIV/0!</v>
      </c>
      <c r="P30" s="223">
        <f t="shared" si="16"/>
        <v>0</v>
      </c>
      <c r="Q30" s="224">
        <f t="shared" si="17"/>
        <v>0</v>
      </c>
      <c r="R30" s="224">
        <f t="shared" si="18"/>
        <v>0</v>
      </c>
      <c r="S30" s="223" t="str">
        <f t="shared" si="19"/>
        <v/>
      </c>
      <c r="T30" s="224" t="str">
        <f>IF(W30&lt;&gt;"",IF(E29&lt;&gt;"",E29,($I$9-SUM($T$25:T29))*V30*W30/SUMPRODUCT($W30:$W$55,$V30:$V$55)),"")</f>
        <v/>
      </c>
      <c r="U30" s="224" t="str">
        <f t="shared" si="21"/>
        <v/>
      </c>
      <c r="V30" s="225"/>
      <c r="W30" s="225"/>
      <c r="X30" s="227"/>
      <c r="Y30" s="227"/>
      <c r="Z30" s="226"/>
      <c r="AA30" s="226"/>
      <c r="AB30" s="226"/>
      <c r="AC30" s="226"/>
      <c r="AD30" s="226"/>
    </row>
    <row r="31" spans="1:255" s="217" customFormat="1">
      <c r="A31" s="218">
        <v>7</v>
      </c>
      <c r="B31" s="229"/>
      <c r="C31" s="230"/>
      <c r="D31" s="233"/>
      <c r="E31" s="232"/>
      <c r="F31" s="220" t="str">
        <f t="shared" si="11"/>
        <v/>
      </c>
      <c r="G31" s="232"/>
      <c r="H31" s="220" t="str">
        <f t="shared" si="12"/>
        <v/>
      </c>
      <c r="I31" s="232"/>
      <c r="J31" s="233" t="str">
        <f t="shared" si="13"/>
        <v/>
      </c>
      <c r="K31" s="220"/>
      <c r="L31" s="220"/>
      <c r="M31" s="220"/>
      <c r="N31" s="221" t="str">
        <f t="shared" si="14"/>
        <v/>
      </c>
      <c r="O31" s="222" t="e">
        <f t="shared" si="15"/>
        <v>#DIV/0!</v>
      </c>
      <c r="P31" s="223">
        <f t="shared" si="16"/>
        <v>0</v>
      </c>
      <c r="Q31" s="224">
        <f t="shared" si="17"/>
        <v>0</v>
      </c>
      <c r="R31" s="224">
        <f t="shared" si="18"/>
        <v>0</v>
      </c>
      <c r="S31" s="223" t="str">
        <f t="shared" si="19"/>
        <v/>
      </c>
      <c r="T31" s="224" t="str">
        <f t="shared" ref="T31:T43" si="22">IF(W31&lt;&gt;"",IF(E31&lt;&gt;"",E31,($I$9-SUM($T$25:T30))*V31*W31/SUMPRODUCT($W31:$W$55,$V31:$V$55)),"")</f>
        <v/>
      </c>
      <c r="U31" s="224" t="str">
        <f t="shared" si="21"/>
        <v/>
      </c>
      <c r="V31" s="225"/>
      <c r="W31" s="225"/>
      <c r="X31" s="227"/>
      <c r="Y31" s="227"/>
      <c r="Z31" s="226"/>
      <c r="AA31" s="226"/>
      <c r="AB31" s="226"/>
      <c r="AC31" s="226"/>
      <c r="AD31" s="226"/>
    </row>
    <row r="32" spans="1:255" s="217" customFormat="1">
      <c r="A32" s="218">
        <v>8</v>
      </c>
      <c r="B32" s="229"/>
      <c r="C32" s="230"/>
      <c r="D32" s="231"/>
      <c r="E32" s="220"/>
      <c r="F32" s="232" t="str">
        <f t="shared" si="11"/>
        <v/>
      </c>
      <c r="G32" s="220"/>
      <c r="H32" s="232" t="str">
        <f t="shared" si="12"/>
        <v/>
      </c>
      <c r="I32" s="220"/>
      <c r="J32" s="231" t="str">
        <f t="shared" si="13"/>
        <v/>
      </c>
      <c r="K32" s="220"/>
      <c r="L32" s="220"/>
      <c r="M32" s="220"/>
      <c r="N32" s="221" t="str">
        <f t="shared" si="14"/>
        <v/>
      </c>
      <c r="O32" s="222" t="e">
        <f t="shared" si="15"/>
        <v>#DIV/0!</v>
      </c>
      <c r="P32" s="223">
        <f t="shared" si="16"/>
        <v>0</v>
      </c>
      <c r="Q32" s="224">
        <f t="shared" si="17"/>
        <v>0</v>
      </c>
      <c r="R32" s="224">
        <f t="shared" si="18"/>
        <v>0</v>
      </c>
      <c r="S32" s="223" t="str">
        <f t="shared" si="19"/>
        <v/>
      </c>
      <c r="T32" s="224" t="str">
        <f t="shared" si="22"/>
        <v/>
      </c>
      <c r="U32" s="224" t="str">
        <f t="shared" si="21"/>
        <v/>
      </c>
      <c r="V32" s="225"/>
      <c r="W32" s="225"/>
      <c r="X32" s="227"/>
      <c r="Y32" s="227"/>
      <c r="Z32" s="226"/>
      <c r="AA32" s="226"/>
      <c r="AB32" s="226"/>
      <c r="AC32" s="226"/>
      <c r="AD32" s="226"/>
    </row>
    <row r="33" spans="1:30" s="217" customFormat="1">
      <c r="A33" s="218">
        <v>9</v>
      </c>
      <c r="B33" s="229"/>
      <c r="C33" s="230"/>
      <c r="D33" s="233"/>
      <c r="E33" s="220"/>
      <c r="F33" s="220" t="str">
        <f t="shared" si="11"/>
        <v/>
      </c>
      <c r="G33" s="220"/>
      <c r="H33" s="220" t="str">
        <f t="shared" si="12"/>
        <v/>
      </c>
      <c r="I33" s="220"/>
      <c r="J33" s="233" t="str">
        <f t="shared" si="13"/>
        <v/>
      </c>
      <c r="K33" s="220"/>
      <c r="L33" s="220"/>
      <c r="M33" s="220"/>
      <c r="N33" s="221" t="str">
        <f t="shared" si="14"/>
        <v/>
      </c>
      <c r="O33" s="222" t="e">
        <f t="shared" si="15"/>
        <v>#DIV/0!</v>
      </c>
      <c r="P33" s="223">
        <f t="shared" si="16"/>
        <v>0</v>
      </c>
      <c r="Q33" s="224">
        <f t="shared" si="17"/>
        <v>0</v>
      </c>
      <c r="R33" s="224">
        <f t="shared" si="18"/>
        <v>0</v>
      </c>
      <c r="S33" s="223" t="str">
        <f t="shared" si="19"/>
        <v/>
      </c>
      <c r="T33" s="224" t="str">
        <f t="shared" si="22"/>
        <v/>
      </c>
      <c r="U33" s="224" t="str">
        <f t="shared" si="21"/>
        <v/>
      </c>
      <c r="V33" s="225"/>
      <c r="W33" s="225"/>
      <c r="X33" s="227"/>
      <c r="Y33" s="227"/>
      <c r="Z33" s="226"/>
      <c r="AA33" s="226"/>
      <c r="AB33" s="226"/>
      <c r="AC33" s="226"/>
      <c r="AD33" s="226"/>
    </row>
    <row r="34" spans="1:30" s="217" customFormat="1">
      <c r="A34" s="218">
        <v>10</v>
      </c>
      <c r="B34" s="229"/>
      <c r="C34" s="243"/>
      <c r="D34" s="233"/>
      <c r="E34" s="232"/>
      <c r="F34" s="220" t="str">
        <f t="shared" si="11"/>
        <v/>
      </c>
      <c r="G34" s="232"/>
      <c r="H34" s="220" t="str">
        <f t="shared" si="12"/>
        <v/>
      </c>
      <c r="I34" s="232"/>
      <c r="J34" s="233" t="str">
        <f t="shared" si="13"/>
        <v/>
      </c>
      <c r="K34" s="220"/>
      <c r="L34" s="220"/>
      <c r="M34" s="220"/>
      <c r="N34" s="221" t="str">
        <f t="shared" si="14"/>
        <v/>
      </c>
      <c r="O34" s="222" t="e">
        <f t="shared" si="15"/>
        <v>#DIV/0!</v>
      </c>
      <c r="P34" s="223">
        <f t="shared" si="16"/>
        <v>0</v>
      </c>
      <c r="Q34" s="224">
        <f t="shared" si="17"/>
        <v>0</v>
      </c>
      <c r="R34" s="224">
        <f t="shared" si="18"/>
        <v>0</v>
      </c>
      <c r="S34" s="223" t="str">
        <f t="shared" si="19"/>
        <v/>
      </c>
      <c r="T34" s="224" t="str">
        <f t="shared" si="22"/>
        <v/>
      </c>
      <c r="U34" s="224" t="str">
        <f t="shared" si="21"/>
        <v/>
      </c>
      <c r="V34" s="225"/>
      <c r="W34" s="225"/>
      <c r="X34" s="227"/>
      <c r="Y34" s="227"/>
      <c r="Z34" s="247"/>
      <c r="AA34" s="226"/>
      <c r="AB34" s="226"/>
      <c r="AC34" s="226"/>
      <c r="AD34" s="226"/>
    </row>
    <row r="35" spans="1:30" s="217" customFormat="1">
      <c r="A35" s="218">
        <v>11</v>
      </c>
      <c r="B35" s="229"/>
      <c r="C35" s="230"/>
      <c r="D35" s="231"/>
      <c r="E35" s="220"/>
      <c r="F35" s="232" t="str">
        <f t="shared" si="11"/>
        <v/>
      </c>
      <c r="G35" s="220"/>
      <c r="H35" s="232" t="str">
        <f t="shared" si="12"/>
        <v/>
      </c>
      <c r="I35" s="220"/>
      <c r="J35" s="231" t="str">
        <f t="shared" si="13"/>
        <v/>
      </c>
      <c r="K35" s="220"/>
      <c r="L35" s="220"/>
      <c r="M35" s="220"/>
      <c r="N35" s="221" t="str">
        <f t="shared" si="14"/>
        <v/>
      </c>
      <c r="O35" s="222" t="e">
        <f t="shared" si="15"/>
        <v>#DIV/0!</v>
      </c>
      <c r="P35" s="223">
        <f t="shared" si="16"/>
        <v>0</v>
      </c>
      <c r="Q35" s="224">
        <f t="shared" si="17"/>
        <v>0</v>
      </c>
      <c r="R35" s="224">
        <f t="shared" si="18"/>
        <v>0</v>
      </c>
      <c r="S35" s="223" t="str">
        <f t="shared" si="19"/>
        <v/>
      </c>
      <c r="T35" s="224" t="str">
        <f t="shared" si="22"/>
        <v/>
      </c>
      <c r="U35" s="224" t="str">
        <f t="shared" si="21"/>
        <v/>
      </c>
      <c r="V35" s="225"/>
      <c r="W35" s="225"/>
      <c r="X35" s="227"/>
      <c r="Y35" s="227"/>
      <c r="Z35" s="247"/>
      <c r="AA35" s="226"/>
      <c r="AB35" s="226"/>
      <c r="AC35" s="226"/>
      <c r="AD35" s="226"/>
    </row>
    <row r="36" spans="1:30" s="217" customFormat="1">
      <c r="A36" s="218">
        <v>12</v>
      </c>
      <c r="B36" s="229"/>
      <c r="C36" s="243"/>
      <c r="D36" s="233"/>
      <c r="E36" s="232"/>
      <c r="F36" s="220" t="str">
        <f t="shared" si="11"/>
        <v/>
      </c>
      <c r="G36" s="220"/>
      <c r="H36" s="220" t="str">
        <f t="shared" si="12"/>
        <v/>
      </c>
      <c r="I36" s="232"/>
      <c r="J36" s="233" t="str">
        <f t="shared" si="13"/>
        <v/>
      </c>
      <c r="K36" s="220"/>
      <c r="L36" s="220"/>
      <c r="M36" s="220"/>
      <c r="N36" s="221" t="str">
        <f t="shared" si="14"/>
        <v/>
      </c>
      <c r="O36" s="222" t="e">
        <f t="shared" si="15"/>
        <v>#DIV/0!</v>
      </c>
      <c r="P36" s="223">
        <f t="shared" si="16"/>
        <v>0</v>
      </c>
      <c r="Q36" s="224">
        <f t="shared" si="17"/>
        <v>0</v>
      </c>
      <c r="R36" s="224">
        <f t="shared" si="18"/>
        <v>0</v>
      </c>
      <c r="S36" s="223" t="str">
        <f t="shared" si="19"/>
        <v/>
      </c>
      <c r="T36" s="224" t="str">
        <f t="shared" si="22"/>
        <v/>
      </c>
      <c r="U36" s="224" t="str">
        <f t="shared" si="21"/>
        <v/>
      </c>
      <c r="V36" s="225"/>
      <c r="W36" s="225"/>
      <c r="X36" s="227"/>
      <c r="Y36" s="227"/>
      <c r="Z36" s="247"/>
      <c r="AA36" s="226"/>
      <c r="AB36" s="226"/>
      <c r="AC36" s="226"/>
      <c r="AD36" s="226"/>
    </row>
    <row r="37" spans="1:30" s="217" customFormat="1">
      <c r="A37" s="218">
        <v>13</v>
      </c>
      <c r="B37" s="229"/>
      <c r="C37" s="230"/>
      <c r="D37" s="231"/>
      <c r="E37" s="220"/>
      <c r="F37" s="220" t="str">
        <f t="shared" si="11"/>
        <v/>
      </c>
      <c r="G37" s="220"/>
      <c r="H37" s="232" t="str">
        <f t="shared" si="12"/>
        <v/>
      </c>
      <c r="I37" s="220"/>
      <c r="J37" s="231" t="str">
        <f t="shared" si="13"/>
        <v/>
      </c>
      <c r="K37" s="220"/>
      <c r="L37" s="220"/>
      <c r="M37" s="220"/>
      <c r="N37" s="221" t="str">
        <f t="shared" si="14"/>
        <v/>
      </c>
      <c r="O37" s="222" t="e">
        <f t="shared" si="15"/>
        <v>#DIV/0!</v>
      </c>
      <c r="P37" s="223">
        <f t="shared" si="16"/>
        <v>0</v>
      </c>
      <c r="Q37" s="224">
        <f t="shared" si="17"/>
        <v>0</v>
      </c>
      <c r="R37" s="224">
        <f t="shared" si="18"/>
        <v>0</v>
      </c>
      <c r="S37" s="223" t="str">
        <f t="shared" si="19"/>
        <v/>
      </c>
      <c r="T37" s="224" t="str">
        <f t="shared" si="22"/>
        <v/>
      </c>
      <c r="U37" s="224" t="str">
        <f t="shared" si="21"/>
        <v/>
      </c>
      <c r="V37" s="225"/>
      <c r="W37" s="225"/>
      <c r="X37" s="227"/>
      <c r="Y37" s="227"/>
      <c r="Z37" s="247"/>
      <c r="AA37" s="226"/>
      <c r="AB37" s="226"/>
      <c r="AC37" s="226"/>
      <c r="AD37" s="226"/>
    </row>
    <row r="38" spans="1:30" s="217" customFormat="1">
      <c r="A38" s="218">
        <v>14</v>
      </c>
      <c r="B38" s="229"/>
      <c r="C38" s="243"/>
      <c r="D38" s="233"/>
      <c r="E38" s="232"/>
      <c r="F38" s="220" t="str">
        <f t="shared" si="11"/>
        <v/>
      </c>
      <c r="G38" s="232"/>
      <c r="H38" s="220" t="str">
        <f t="shared" si="12"/>
        <v/>
      </c>
      <c r="I38" s="232"/>
      <c r="J38" s="233" t="str">
        <f t="shared" si="13"/>
        <v/>
      </c>
      <c r="K38" s="232"/>
      <c r="L38" s="220"/>
      <c r="M38" s="232"/>
      <c r="N38" s="221" t="str">
        <f t="shared" si="14"/>
        <v/>
      </c>
      <c r="O38" s="244" t="e">
        <f t="shared" si="15"/>
        <v>#DIV/0!</v>
      </c>
      <c r="P38" s="223">
        <f t="shared" si="16"/>
        <v>0</v>
      </c>
      <c r="Q38" s="245">
        <f t="shared" si="17"/>
        <v>0</v>
      </c>
      <c r="R38" s="224">
        <f t="shared" si="18"/>
        <v>0</v>
      </c>
      <c r="S38" s="246" t="str">
        <f t="shared" si="19"/>
        <v/>
      </c>
      <c r="T38" s="224" t="str">
        <f t="shared" si="22"/>
        <v/>
      </c>
      <c r="U38" s="245" t="str">
        <f t="shared" si="21"/>
        <v/>
      </c>
      <c r="V38" s="225"/>
      <c r="W38" s="225"/>
      <c r="X38" s="227"/>
      <c r="Y38" s="227"/>
      <c r="Z38" s="247"/>
      <c r="AA38" s="226"/>
      <c r="AB38" s="226"/>
      <c r="AC38" s="226"/>
      <c r="AD38" s="226"/>
    </row>
    <row r="39" spans="1:30" s="217" customFormat="1">
      <c r="A39" s="218">
        <v>15</v>
      </c>
      <c r="B39" s="229"/>
      <c r="C39" s="230"/>
      <c r="D39" s="231"/>
      <c r="E39" s="220"/>
      <c r="F39" s="232" t="str">
        <f t="shared" si="11"/>
        <v/>
      </c>
      <c r="G39" s="220"/>
      <c r="H39" s="232" t="str">
        <f t="shared" si="12"/>
        <v/>
      </c>
      <c r="I39" s="220"/>
      <c r="J39" s="231" t="str">
        <f t="shared" si="13"/>
        <v/>
      </c>
      <c r="K39" s="220"/>
      <c r="L39" s="220"/>
      <c r="M39" s="220"/>
      <c r="N39" s="221" t="str">
        <f t="shared" si="14"/>
        <v/>
      </c>
      <c r="O39" s="222" t="e">
        <f t="shared" si="15"/>
        <v>#DIV/0!</v>
      </c>
      <c r="P39" s="223">
        <f t="shared" si="16"/>
        <v>0</v>
      </c>
      <c r="Q39" s="224">
        <f t="shared" si="17"/>
        <v>0</v>
      </c>
      <c r="R39" s="224">
        <f t="shared" si="18"/>
        <v>0</v>
      </c>
      <c r="S39" s="223" t="str">
        <f t="shared" si="19"/>
        <v/>
      </c>
      <c r="T39" s="224" t="str">
        <f t="shared" si="22"/>
        <v/>
      </c>
      <c r="U39" s="224" t="str">
        <f t="shared" si="21"/>
        <v/>
      </c>
      <c r="V39" s="225"/>
      <c r="W39" s="225"/>
      <c r="X39" s="227"/>
      <c r="Y39" s="227"/>
      <c r="Z39" s="247"/>
      <c r="AA39" s="226"/>
      <c r="AB39" s="226"/>
      <c r="AC39" s="226"/>
      <c r="AD39" s="226"/>
    </row>
    <row r="40" spans="1:30" s="217" customFormat="1" ht="15" customHeight="1">
      <c r="A40" s="218">
        <v>16</v>
      </c>
      <c r="B40" s="229"/>
      <c r="C40" s="243"/>
      <c r="D40" s="233"/>
      <c r="E40" s="232"/>
      <c r="F40" s="220" t="str">
        <f t="shared" si="11"/>
        <v/>
      </c>
      <c r="G40" s="232"/>
      <c r="H40" s="220" t="str">
        <f t="shared" si="12"/>
        <v/>
      </c>
      <c r="I40" s="232"/>
      <c r="J40" s="233" t="str">
        <f t="shared" si="13"/>
        <v/>
      </c>
      <c r="K40" s="220"/>
      <c r="L40" s="220"/>
      <c r="M40" s="220"/>
      <c r="N40" s="221" t="str">
        <f t="shared" si="14"/>
        <v/>
      </c>
      <c r="O40" s="222" t="e">
        <f t="shared" si="15"/>
        <v>#DIV/0!</v>
      </c>
      <c r="P40" s="223">
        <f t="shared" si="16"/>
        <v>0</v>
      </c>
      <c r="Q40" s="224">
        <f t="shared" si="17"/>
        <v>0</v>
      </c>
      <c r="R40" s="224">
        <f t="shared" si="18"/>
        <v>0</v>
      </c>
      <c r="S40" s="223" t="str">
        <f t="shared" si="19"/>
        <v/>
      </c>
      <c r="T40" s="224" t="str">
        <f t="shared" si="22"/>
        <v/>
      </c>
      <c r="U40" s="224" t="str">
        <f t="shared" si="21"/>
        <v/>
      </c>
      <c r="V40" s="225"/>
      <c r="W40" s="225"/>
      <c r="X40" s="227"/>
      <c r="Y40" s="227"/>
      <c r="Z40" s="247"/>
      <c r="AA40" s="226"/>
      <c r="AB40" s="226"/>
      <c r="AC40" s="226"/>
      <c r="AD40" s="226"/>
    </row>
    <row r="41" spans="1:30" s="217" customFormat="1">
      <c r="A41" s="218">
        <v>17</v>
      </c>
      <c r="B41" s="229"/>
      <c r="C41" s="230"/>
      <c r="D41" s="231"/>
      <c r="E41" s="220"/>
      <c r="F41" s="232" t="str">
        <f t="shared" si="11"/>
        <v/>
      </c>
      <c r="G41" s="220"/>
      <c r="H41" s="232" t="str">
        <f t="shared" si="12"/>
        <v/>
      </c>
      <c r="I41" s="220"/>
      <c r="J41" s="231" t="str">
        <f t="shared" si="13"/>
        <v/>
      </c>
      <c r="K41" s="220"/>
      <c r="L41" s="220"/>
      <c r="M41" s="220"/>
      <c r="N41" s="248" t="str">
        <f t="shared" si="14"/>
        <v/>
      </c>
      <c r="O41" s="222" t="e">
        <f t="shared" si="15"/>
        <v>#DIV/0!</v>
      </c>
      <c r="P41" s="223">
        <f t="shared" si="16"/>
        <v>0</v>
      </c>
      <c r="Q41" s="224">
        <f t="shared" si="17"/>
        <v>0</v>
      </c>
      <c r="R41" s="224">
        <f t="shared" si="18"/>
        <v>0</v>
      </c>
      <c r="S41" s="223" t="str">
        <f t="shared" si="19"/>
        <v/>
      </c>
      <c r="T41" s="224" t="str">
        <f t="shared" si="22"/>
        <v/>
      </c>
      <c r="U41" s="224" t="str">
        <f t="shared" si="21"/>
        <v/>
      </c>
      <c r="V41" s="225"/>
      <c r="W41" s="225"/>
      <c r="X41" s="227"/>
      <c r="Y41" s="227"/>
      <c r="Z41" s="247"/>
      <c r="AA41" s="226"/>
      <c r="AB41" s="226"/>
      <c r="AC41" s="226"/>
      <c r="AD41" s="226"/>
    </row>
    <row r="42" spans="1:30" s="217" customFormat="1">
      <c r="A42" s="218">
        <v>18</v>
      </c>
      <c r="B42" s="229"/>
      <c r="C42" s="243"/>
      <c r="D42" s="233"/>
      <c r="E42" s="232"/>
      <c r="F42" s="220" t="str">
        <f t="shared" si="11"/>
        <v/>
      </c>
      <c r="G42" s="232"/>
      <c r="H42" s="220" t="str">
        <f t="shared" si="12"/>
        <v/>
      </c>
      <c r="I42" s="232"/>
      <c r="J42" s="233" t="str">
        <f t="shared" si="13"/>
        <v/>
      </c>
      <c r="K42" s="220"/>
      <c r="L42" s="220"/>
      <c r="M42" s="220"/>
      <c r="N42" s="248" t="str">
        <f t="shared" si="14"/>
        <v/>
      </c>
      <c r="O42" s="222" t="e">
        <f t="shared" si="15"/>
        <v>#DIV/0!</v>
      </c>
      <c r="P42" s="223">
        <f t="shared" si="16"/>
        <v>0</v>
      </c>
      <c r="Q42" s="224">
        <f t="shared" si="17"/>
        <v>0</v>
      </c>
      <c r="R42" s="224">
        <f t="shared" si="18"/>
        <v>0</v>
      </c>
      <c r="S42" s="223" t="str">
        <f t="shared" si="19"/>
        <v/>
      </c>
      <c r="T42" s="224" t="str">
        <f t="shared" si="22"/>
        <v/>
      </c>
      <c r="U42" s="224" t="str">
        <f t="shared" si="21"/>
        <v/>
      </c>
      <c r="V42" s="225"/>
      <c r="W42" s="225"/>
      <c r="X42" s="227"/>
      <c r="Y42" s="227"/>
      <c r="Z42" s="247"/>
      <c r="AA42" s="226"/>
      <c r="AB42" s="226"/>
      <c r="AC42" s="226"/>
      <c r="AD42" s="226"/>
    </row>
    <row r="43" spans="1:30" s="217" customFormat="1" ht="15" customHeight="1">
      <c r="A43" s="218"/>
      <c r="B43" s="229"/>
      <c r="C43" s="230"/>
      <c r="D43" s="233"/>
      <c r="E43" s="220"/>
      <c r="F43" s="220" t="str">
        <f t="shared" si="11"/>
        <v/>
      </c>
      <c r="G43" s="220"/>
      <c r="H43" s="220" t="str">
        <f t="shared" si="12"/>
        <v/>
      </c>
      <c r="I43" s="220"/>
      <c r="J43" s="233" t="str">
        <f t="shared" si="13"/>
        <v/>
      </c>
      <c r="K43" s="220"/>
      <c r="L43" s="220"/>
      <c r="M43" s="220"/>
      <c r="N43" s="248" t="str">
        <f t="shared" si="14"/>
        <v/>
      </c>
      <c r="O43" s="222" t="e">
        <f t="shared" si="15"/>
        <v>#DIV/0!</v>
      </c>
      <c r="P43" s="223">
        <f t="shared" si="16"/>
        <v>0</v>
      </c>
      <c r="Q43" s="224">
        <f t="shared" si="17"/>
        <v>0</v>
      </c>
      <c r="R43" s="224">
        <f t="shared" si="18"/>
        <v>0</v>
      </c>
      <c r="S43" s="223" t="str">
        <f t="shared" si="19"/>
        <v/>
      </c>
      <c r="T43" s="224" t="str">
        <f t="shared" si="22"/>
        <v/>
      </c>
      <c r="U43" s="224" t="str">
        <f t="shared" si="21"/>
        <v/>
      </c>
      <c r="V43" s="225"/>
      <c r="W43" s="225"/>
      <c r="X43" s="227"/>
      <c r="Y43" s="227"/>
      <c r="Z43" s="247"/>
      <c r="AA43" s="226"/>
      <c r="AB43" s="226"/>
      <c r="AC43" s="226"/>
      <c r="AD43" s="226"/>
    </row>
    <row r="44" spans="1:30" s="217" customFormat="1" ht="15" customHeight="1">
      <c r="A44" s="218"/>
      <c r="B44" s="229"/>
      <c r="C44" s="230"/>
      <c r="D44" s="233"/>
      <c r="E44" s="220"/>
      <c r="F44" s="220" t="str">
        <f t="shared" si="11"/>
        <v/>
      </c>
      <c r="G44" s="220"/>
      <c r="H44" s="220" t="str">
        <f t="shared" si="12"/>
        <v/>
      </c>
      <c r="I44" s="220"/>
      <c r="J44" s="233" t="str">
        <f t="shared" si="13"/>
        <v/>
      </c>
      <c r="K44" s="220"/>
      <c r="L44" s="220"/>
      <c r="M44" s="220"/>
      <c r="N44" s="248" t="str">
        <f t="shared" si="14"/>
        <v/>
      </c>
      <c r="O44" s="222" t="e">
        <f t="shared" si="15"/>
        <v>#DIV/0!</v>
      </c>
      <c r="P44" s="223">
        <f t="shared" si="16"/>
        <v>0</v>
      </c>
      <c r="Q44" s="224">
        <f t="shared" si="17"/>
        <v>0</v>
      </c>
      <c r="R44" s="224">
        <f t="shared" si="18"/>
        <v>0</v>
      </c>
      <c r="S44" s="223" t="str">
        <f t="shared" si="19"/>
        <v/>
      </c>
      <c r="T44" s="224">
        <f>IF(W44&lt;&gt;"",IF(E44&lt;&gt;"",E44,($I$9-SUM($T$25:T43))*V44*W44/SUMPRODUCT($W44:$W$55,$V44:$V$55)),0)</f>
        <v>0</v>
      </c>
      <c r="U44" s="224" t="str">
        <f t="shared" si="21"/>
        <v/>
      </c>
      <c r="V44" s="225"/>
      <c r="W44" s="225"/>
      <c r="X44" s="227"/>
      <c r="Y44" s="227"/>
      <c r="Z44" s="226"/>
      <c r="AA44" s="226"/>
      <c r="AB44" s="226"/>
      <c r="AC44" s="226"/>
      <c r="AD44" s="226"/>
    </row>
    <row r="45" spans="1:30" s="234" customFormat="1">
      <c r="A45" s="249"/>
      <c r="B45" s="107"/>
      <c r="C45" s="242"/>
      <c r="D45" s="109"/>
      <c r="E45" s="110"/>
      <c r="F45" s="110" t="str">
        <f t="shared" si="11"/>
        <v/>
      </c>
      <c r="G45" s="110"/>
      <c r="H45" s="110" t="str">
        <f t="shared" si="12"/>
        <v/>
      </c>
      <c r="I45" s="110"/>
      <c r="J45" s="109" t="str">
        <f t="shared" si="13"/>
        <v/>
      </c>
      <c r="K45" s="110"/>
      <c r="L45" s="110"/>
      <c r="M45" s="110"/>
      <c r="N45" s="111" t="str">
        <f t="shared" si="14"/>
        <v/>
      </c>
      <c r="O45" s="112" t="e">
        <f t="shared" si="15"/>
        <v>#DIV/0!</v>
      </c>
      <c r="P45" s="237">
        <f t="shared" ref="P45:P46" si="23">$I$8*V45*W45/SUMPRODUCT($W$25:$W$44,$V$25:$V$44)</f>
        <v>0</v>
      </c>
      <c r="Q45" s="113">
        <f t="shared" ref="Q45:Q46" si="24">$I$9*V45*W45/SUMPRODUCT($W$25:$W$44,$V$25:$V$44)</f>
        <v>0</v>
      </c>
      <c r="R45" s="113">
        <f t="shared" si="18"/>
        <v>0</v>
      </c>
      <c r="S45" s="237" t="str">
        <f t="shared" ref="S45:S46" si="25">IF(W45&lt;&gt;"",IF(D45&lt;&gt;"",D45,($I$8-SUM($S$25:S44))*V45*W45/SUMPRODUCT($W$44:$W45,$V$44:$V45)),"")</f>
        <v/>
      </c>
      <c r="T45" s="113" t="str">
        <f t="shared" ref="T45:T46" si="26">IF(W45&lt;&gt;"",IF(E45&lt;&gt;"",E45,($I$9-SUM($T$25:T44))*V45*W45/SUMPRODUCT($W$44:$W45,$V$44:$V45)),"")</f>
        <v/>
      </c>
      <c r="U45" s="113" t="str">
        <f t="shared" ref="U45:U46" si="27">IF(W45&lt;&gt;"",IF($I$12&lt;&gt;"",IF(G45&lt;&gt;"",G45,($I$9/$I$12-SUM($U$25:U44))*V45*W45/SUMPRODUCT($W$44:$W45,$V$44:$V45)),""),"")</f>
        <v/>
      </c>
      <c r="V45" s="238"/>
      <c r="W45" s="238"/>
      <c r="X45" s="250"/>
      <c r="Y45" s="250"/>
      <c r="Z45" s="251"/>
    </row>
    <row r="46" spans="1:30" s="217" customFormat="1">
      <c r="A46" s="252"/>
      <c r="B46" s="229"/>
      <c r="C46" s="253"/>
      <c r="D46" s="233"/>
      <c r="E46" s="220"/>
      <c r="F46" s="220" t="str">
        <f t="shared" si="11"/>
        <v/>
      </c>
      <c r="G46" s="220"/>
      <c r="H46" s="220" t="str">
        <f t="shared" si="12"/>
        <v/>
      </c>
      <c r="I46" s="220"/>
      <c r="J46" s="233" t="str">
        <f t="shared" si="13"/>
        <v/>
      </c>
      <c r="K46" s="220"/>
      <c r="L46" s="220"/>
      <c r="M46" s="220"/>
      <c r="N46" s="248" t="str">
        <f t="shared" si="14"/>
        <v/>
      </c>
      <c r="O46" s="222" t="e">
        <f t="shared" si="15"/>
        <v>#DIV/0!</v>
      </c>
      <c r="P46" s="223">
        <f t="shared" si="23"/>
        <v>0</v>
      </c>
      <c r="Q46" s="224">
        <f t="shared" si="24"/>
        <v>0</v>
      </c>
      <c r="R46" s="224">
        <f t="shared" si="18"/>
        <v>0</v>
      </c>
      <c r="S46" s="223" t="str">
        <f t="shared" si="25"/>
        <v/>
      </c>
      <c r="T46" s="224" t="str">
        <f t="shared" si="26"/>
        <v/>
      </c>
      <c r="U46" s="224" t="str">
        <f t="shared" si="27"/>
        <v/>
      </c>
      <c r="V46" s="225"/>
      <c r="W46" s="225"/>
      <c r="X46" s="254"/>
      <c r="Y46" s="254"/>
      <c r="Z46" s="255"/>
    </row>
    <row r="47" spans="1:30" s="217" customFormat="1">
      <c r="A47" s="262"/>
      <c r="B47" s="229"/>
      <c r="C47" s="263"/>
      <c r="D47" s="233"/>
      <c r="E47" s="220"/>
      <c r="F47" s="220" t="str">
        <f t="shared" si="11"/>
        <v/>
      </c>
      <c r="G47" s="220"/>
      <c r="H47" s="220" t="str">
        <f t="shared" si="12"/>
        <v/>
      </c>
      <c r="I47" s="220"/>
      <c r="J47" s="233" t="str">
        <f t="shared" si="13"/>
        <v/>
      </c>
      <c r="K47" s="220"/>
      <c r="L47" s="220"/>
      <c r="M47" s="220"/>
      <c r="N47" s="248" t="str">
        <f t="shared" si="14"/>
        <v/>
      </c>
      <c r="O47" s="222" t="e">
        <f t="shared" si="15"/>
        <v>#DIV/0!</v>
      </c>
      <c r="P47" s="223">
        <f>$I$8*V47*W47/SUMPRODUCT($W$25:$W$47,$V$25:$V$47)</f>
        <v>0</v>
      </c>
      <c r="Q47" s="224">
        <f>$I$9*V47*W47/SUMPRODUCT($W$25:$W$47,$V$25:$V$47)</f>
        <v>0</v>
      </c>
      <c r="R47" s="224">
        <f t="shared" si="18"/>
        <v>0</v>
      </c>
      <c r="S47" s="223" t="str">
        <f>IF(W47&lt;&gt;"",IF(D47&lt;&gt;"",D47,($I$8-SUM($S$25:S46))*V47*W47/SUMPRODUCT($W47:$W$47,$V47:$V$47)),"")</f>
        <v/>
      </c>
      <c r="T47" s="224" t="str">
        <f>IF(W47&lt;&gt;"",IF(E47&lt;&gt;"",E47,($I$9-SUM($T$25:T46))*V47*W47/SUMPRODUCT($W47:$W$47,$V47:$V$47)),"")</f>
        <v/>
      </c>
      <c r="U47" s="224" t="str">
        <f>IF(W47&lt;&gt;"",IF($I$12&lt;&gt;"",IF(G47&lt;&gt;"",G47,($I$9/$I$12-SUM($U$25:U46))*V47*W47/SUMPRODUCT($W47:$W$47,$V47:$V$47)),""),"")</f>
        <v/>
      </c>
      <c r="V47" s="225"/>
      <c r="W47" s="225"/>
      <c r="X47" s="254"/>
      <c r="Y47" s="254"/>
      <c r="Z47" s="255"/>
    </row>
    <row r="48" spans="1:30" ht="15" customHeight="1">
      <c r="B48" s="619" t="s">
        <v>54</v>
      </c>
      <c r="C48" s="619"/>
      <c r="D48" s="110">
        <f>SUM(D25:D47)</f>
        <v>0</v>
      </c>
      <c r="E48" s="110">
        <f>SUM(E25:E47)</f>
        <v>0</v>
      </c>
      <c r="F48" s="110" t="str">
        <f t="shared" si="11"/>
        <v/>
      </c>
      <c r="G48" s="110">
        <f>SUM(G25:G47)</f>
        <v>0</v>
      </c>
      <c r="H48" s="110" t="str">
        <f t="shared" si="12"/>
        <v/>
      </c>
      <c r="I48" s="110">
        <f>SUM(I25:I47)</f>
        <v>0</v>
      </c>
      <c r="J48" s="109" t="str">
        <f t="shared" si="13"/>
        <v/>
      </c>
      <c r="K48" s="110">
        <f>SUM(K25:K47)</f>
        <v>0</v>
      </c>
      <c r="L48" s="110">
        <f>SUM(L25:L47)</f>
        <v>0</v>
      </c>
      <c r="M48" s="110">
        <f>SUM(M25:M47)</f>
        <v>0</v>
      </c>
      <c r="N48" s="111" t="str">
        <f t="shared" si="14"/>
        <v/>
      </c>
      <c r="O48" s="112">
        <f t="shared" si="15"/>
        <v>0</v>
      </c>
      <c r="P48" s="113">
        <f t="shared" ref="P48:U48" si="28">SUM(P25:P47)</f>
        <v>919760.47904191609</v>
      </c>
      <c r="Q48" s="113">
        <f t="shared" si="28"/>
        <v>249.25758239618324</v>
      </c>
      <c r="R48" s="113">
        <f t="shared" si="28"/>
        <v>155.78598899761451</v>
      </c>
      <c r="S48" s="113">
        <f t="shared" si="28"/>
        <v>919760.4790419162</v>
      </c>
      <c r="T48" s="113">
        <f t="shared" si="28"/>
        <v>249.25758239618324</v>
      </c>
      <c r="U48" s="113">
        <f t="shared" si="28"/>
        <v>155.78598899761451</v>
      </c>
      <c r="V48" s="114"/>
      <c r="W48" s="114"/>
    </row>
    <row r="49" spans="2:17">
      <c r="B49" s="116"/>
      <c r="C49" s="117"/>
      <c r="D49" s="118">
        <f>SUMIF(D25:D47,"",P25:P47)+D48</f>
        <v>919760.47904191609</v>
      </c>
      <c r="E49" s="119"/>
      <c r="F49" s="117"/>
      <c r="G49" s="117"/>
      <c r="H49" s="120"/>
      <c r="I49" s="213"/>
      <c r="J49" s="120"/>
      <c r="L49" s="122"/>
      <c r="M49" s="119"/>
      <c r="N49" s="122"/>
      <c r="O49" s="122"/>
      <c r="P49" s="122"/>
      <c r="Q49" s="123"/>
    </row>
    <row r="50" spans="2:17">
      <c r="D50" s="124"/>
    </row>
    <row r="51" spans="2:17">
      <c r="D51" s="124"/>
    </row>
    <row r="52" spans="2:17">
      <c r="D52" s="175"/>
    </row>
    <row r="53" spans="2:17">
      <c r="D53" s="175"/>
    </row>
  </sheetData>
  <mergeCells count="27">
    <mergeCell ref="B48:C48"/>
    <mergeCell ref="F19:H19"/>
    <mergeCell ref="F20:H20"/>
    <mergeCell ref="B22:N22"/>
    <mergeCell ref="O22:O24"/>
    <mergeCell ref="P22:W22"/>
    <mergeCell ref="F15:H15"/>
    <mergeCell ref="F16:H16"/>
    <mergeCell ref="S16:S17"/>
    <mergeCell ref="F17:H17"/>
    <mergeCell ref="F18:H18"/>
    <mergeCell ref="F10:H10"/>
    <mergeCell ref="F11:H11"/>
    <mergeCell ref="F12:H12"/>
    <mergeCell ref="F13:H13"/>
    <mergeCell ref="F14:H14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94" priority="860" operator="greaterThan">
      <formula>0</formula>
    </cfRule>
    <cfRule type="cellIs" dxfId="93" priority="859" operator="lessThan">
      <formula>0</formula>
    </cfRule>
  </conditionalFormatting>
  <conditionalFormatting sqref="J25:J31">
    <cfRule type="cellIs" dxfId="92" priority="11" operator="greaterThan">
      <formula>$I$12</formula>
    </cfRule>
  </conditionalFormatting>
  <conditionalFormatting sqref="J26:J30">
    <cfRule type="cellIs" dxfId="91" priority="10" operator="lessThan">
      <formula>$I$12</formula>
    </cfRule>
  </conditionalFormatting>
  <conditionalFormatting sqref="J28:J42 J25">
    <cfRule type="cellIs" dxfId="90" priority="1024" operator="lessThan">
      <formula>$I$12</formula>
    </cfRule>
  </conditionalFormatting>
  <conditionalFormatting sqref="J28:J42">
    <cfRule type="cellIs" dxfId="89" priority="1017" operator="greaterThan">
      <formula>$I$12</formula>
    </cfRule>
  </conditionalFormatting>
  <conditionalFormatting sqref="J29:J30">
    <cfRule type="cellIs" dxfId="88" priority="997" operator="lessThan">
      <formula>$I$12</formula>
    </cfRule>
  </conditionalFormatting>
  <conditionalFormatting sqref="J43:J47 J37">
    <cfRule type="cellIs" dxfId="87" priority="176" operator="greaterThan">
      <formula>$I$12</formula>
    </cfRule>
  </conditionalFormatting>
  <conditionalFormatting sqref="J43:J47">
    <cfRule type="cellIs" dxfId="86" priority="175" operator="lessThan">
      <formula>$I$12</formula>
    </cfRule>
  </conditionalFormatting>
  <conditionalFormatting sqref="K10:K12 K15">
    <cfRule type="cellIs" dxfId="85" priority="858" operator="greaterThan">
      <formula>1</formula>
    </cfRule>
    <cfRule type="cellIs" dxfId="84" priority="857" operator="lessThan">
      <formula>1</formula>
    </cfRule>
  </conditionalFormatting>
  <conditionalFormatting sqref="K13">
    <cfRule type="cellIs" dxfId="83" priority="508" operator="greaterThan">
      <formula>$K$14</formula>
    </cfRule>
    <cfRule type="cellIs" dxfId="82" priority="507" operator="lessThan">
      <formula>$K$14</formula>
    </cfRule>
  </conditionalFormatting>
  <conditionalFormatting sqref="M8:M15">
    <cfRule type="cellIs" dxfId="81" priority="875" operator="lessThan">
      <formula>1</formula>
    </cfRule>
    <cfRule type="cellIs" dxfId="80" priority="856" operator="greaterThan">
      <formula>1</formula>
    </cfRule>
  </conditionalFormatting>
  <conditionalFormatting sqref="N25:N37">
    <cfRule type="cellIs" dxfId="79" priority="8" operator="greaterThanOrEqual">
      <formula>0.25</formula>
    </cfRule>
    <cfRule type="cellIs" dxfId="78" priority="7" operator="between">
      <formula>0.2</formula>
      <formula>0.25</formula>
    </cfRule>
  </conditionalFormatting>
  <conditionalFormatting sqref="N25:N47">
    <cfRule type="cellIs" dxfId="77" priority="9" operator="lessThan">
      <formula>0.2</formula>
    </cfRule>
  </conditionalFormatting>
  <conditionalFormatting sqref="N38">
    <cfRule type="cellIs" dxfId="76" priority="1010" operator="between">
      <formula>0.2</formula>
      <formula>0.25</formula>
    </cfRule>
  </conditionalFormatting>
  <conditionalFormatting sqref="N38:N47">
    <cfRule type="cellIs" dxfId="75" priority="173" operator="greaterThanOrEqual">
      <formula>0.25</formula>
    </cfRule>
  </conditionalFormatting>
  <conditionalFormatting sqref="N39:N47">
    <cfRule type="cellIs" dxfId="74" priority="172" operator="between">
      <formula>0.2</formula>
      <formula>0.25</formula>
    </cfRule>
  </conditionalFormatting>
  <conditionalFormatting sqref="O25:O37">
    <cfRule type="cellIs" dxfId="73" priority="6" operator="between">
      <formula>0.01</formula>
      <formula>0.99</formula>
    </cfRule>
    <cfRule type="cellIs" dxfId="72" priority="5" operator="between">
      <formula>0.85</formula>
      <formula>1</formula>
    </cfRule>
    <cfRule type="cellIs" dxfId="71" priority="2" operator="lessThan">
      <formula>0.9</formula>
    </cfRule>
    <cfRule type="cellIs" dxfId="70" priority="1" operator="between">
      <formula>0.9001</formula>
      <formula>0.9999</formula>
    </cfRule>
  </conditionalFormatting>
  <conditionalFormatting sqref="O25:O47">
    <cfRule type="cellIs" dxfId="69" priority="4" operator="greaterThan">
      <formula>100</formula>
    </cfRule>
    <cfRule type="cellIs" dxfId="68" priority="3" operator="greaterThan">
      <formula>1</formula>
    </cfRule>
  </conditionalFormatting>
  <conditionalFormatting sqref="O38">
    <cfRule type="cellIs" dxfId="67" priority="1012" operator="between">
      <formula>0.85</formula>
      <formula>1</formula>
    </cfRule>
    <cfRule type="cellIs" dxfId="66" priority="1015" operator="lessThan">
      <formula>0.9</formula>
    </cfRule>
    <cfRule type="cellIs" dxfId="65" priority="1016" operator="between">
      <formula>0.9001</formula>
      <formula>0.9999</formula>
    </cfRule>
  </conditionalFormatting>
  <conditionalFormatting sqref="O38:O47">
    <cfRule type="cellIs" dxfId="64" priority="171" operator="between">
      <formula>0.01</formula>
      <formula>0.99</formula>
    </cfRule>
  </conditionalFormatting>
  <conditionalFormatting sqref="O39:O44">
    <cfRule type="cellIs" dxfId="63" priority="170" operator="between">
      <formula>0.85</formula>
      <formula>1</formula>
    </cfRule>
  </conditionalFormatting>
  <conditionalFormatting sqref="O39:O47">
    <cfRule type="cellIs" dxfId="62" priority="167" operator="lessThan">
      <formula>0.9</formula>
    </cfRule>
    <cfRule type="cellIs" dxfId="61" priority="166" operator="between">
      <formula>0.9001</formula>
      <formula>0.9999</formula>
    </cfRule>
  </conditionalFormatting>
  <conditionalFormatting sqref="O45:O47">
    <cfRule type="cellIs" dxfId="60" priority="595" operator="between">
      <formula>0.85</formula>
      <formula>1</formula>
    </cfRule>
  </conditionalFormatting>
  <conditionalFormatting sqref="P10:Q10">
    <cfRule type="cellIs" dxfId="59" priority="871" operator="lessThan">
      <formula>0</formula>
    </cfRule>
  </conditionalFormatting>
  <pageMargins left="0.70000004768371604" right="0.70000004768371604" top="0.75" bottom="0.75" header="0.51180553436279297" footer="0.51180553436279297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zoomScale="93" workbookViewId="0">
      <selection activeCell="K19" sqref="K19"/>
    </sheetView>
  </sheetViews>
  <sheetFormatPr baseColWidth="10" defaultColWidth="11.5" defaultRowHeight="15"/>
  <cols>
    <col min="1" max="1" width="11.5" style="3"/>
    <col min="2" max="2" width="14.1640625" style="3" customWidth="1"/>
    <col min="3" max="3" width="19.33203125" style="3" customWidth="1"/>
    <col min="4" max="4" width="11.5" style="3"/>
    <col min="5" max="5" width="12" style="3" customWidth="1"/>
    <col min="6" max="6" width="12.1640625" style="3" customWidth="1"/>
    <col min="7" max="7" width="11.5" style="3"/>
    <col min="8" max="9" width="12.83203125" style="3" customWidth="1"/>
    <col min="10" max="10" width="19.1640625" style="3" customWidth="1"/>
    <col min="11" max="11" width="11.5" style="3" customWidth="1"/>
    <col min="12" max="12" width="11.5" style="3"/>
    <col min="13" max="13" width="16.83203125" style="3" customWidth="1"/>
    <col min="14" max="14" width="17.5" style="3" customWidth="1"/>
  </cols>
  <sheetData>
    <row r="1" spans="1:14">
      <c r="A1" s="664" t="str">
        <f>График!B1</f>
        <v>Январь, 2025</v>
      </c>
      <c r="B1" s="665"/>
      <c r="C1" s="665"/>
      <c r="D1" s="666"/>
      <c r="E1" s="305"/>
      <c r="F1" s="306"/>
      <c r="G1" s="306"/>
      <c r="H1" s="306"/>
      <c r="I1" s="306"/>
      <c r="J1" s="306"/>
      <c r="K1" s="306"/>
      <c r="L1" s="306"/>
      <c r="M1" s="306"/>
      <c r="N1" s="307"/>
    </row>
    <row r="2" spans="1:14" ht="15" customHeight="1">
      <c r="A2" s="667" t="str">
        <f>График!B3</f>
        <v>ул. Набережная Ленина, 18</v>
      </c>
      <c r="B2" s="668"/>
      <c r="C2" s="668"/>
      <c r="D2" s="308" t="str">
        <f>График!B4</f>
        <v>GL-0005</v>
      </c>
      <c r="E2" s="309"/>
      <c r="F2" s="310"/>
      <c r="G2" s="310"/>
      <c r="H2" s="310"/>
      <c r="I2" s="310"/>
      <c r="J2" s="310"/>
      <c r="K2" s="310"/>
      <c r="L2" s="310"/>
      <c r="M2" s="310"/>
      <c r="N2" s="311"/>
    </row>
    <row r="3" spans="1:14" ht="75">
      <c r="A3" s="669" t="s">
        <v>28</v>
      </c>
      <c r="B3" s="670"/>
      <c r="C3" s="670"/>
      <c r="D3" s="312" t="s">
        <v>61</v>
      </c>
      <c r="E3" s="312" t="s">
        <v>62</v>
      </c>
      <c r="F3" s="313" t="s">
        <v>63</v>
      </c>
      <c r="G3" s="314" t="s">
        <v>64</v>
      </c>
      <c r="H3" s="315" t="s">
        <v>65</v>
      </c>
      <c r="I3" s="316" t="s">
        <v>66</v>
      </c>
      <c r="J3" s="317" t="s">
        <v>67</v>
      </c>
      <c r="K3" s="318" t="s">
        <v>68</v>
      </c>
      <c r="L3" s="319" t="s">
        <v>69</v>
      </c>
      <c r="M3" s="320" t="s">
        <v>70</v>
      </c>
      <c r="N3" s="321" t="s">
        <v>71</v>
      </c>
    </row>
    <row r="4" spans="1:14" ht="15" customHeight="1">
      <c r="A4" s="671" t="str">
        <f>График!B30</f>
        <v>Кекош Анна</v>
      </c>
      <c r="B4" s="672"/>
      <c r="C4" s="672"/>
      <c r="D4" s="573">
        <v>16376.53</v>
      </c>
      <c r="E4" s="574"/>
      <c r="F4" s="575">
        <f>H8+H9</f>
        <v>2576.17</v>
      </c>
      <c r="G4" s="576">
        <f>D12</f>
        <v>14800</v>
      </c>
      <c r="H4" s="577">
        <f>D19</f>
        <v>20707.903999999999</v>
      </c>
      <c r="I4" s="578">
        <f>L19</f>
        <v>9831.3017142857152</v>
      </c>
      <c r="J4" s="579">
        <f>L12</f>
        <v>0</v>
      </c>
      <c r="K4" s="329">
        <f>H4+J4+G4+F4+I4</f>
        <v>47915.375714285707</v>
      </c>
      <c r="L4" s="330">
        <f>C8+C9+C10</f>
        <v>4246</v>
      </c>
      <c r="M4" s="331">
        <f>K4-L4-D4-E4</f>
        <v>27292.845714285708</v>
      </c>
      <c r="N4" s="332"/>
    </row>
    <row r="5" spans="1:14">
      <c r="A5" s="333"/>
      <c r="B5" s="334"/>
      <c r="C5" s="335"/>
      <c r="D5" s="335"/>
      <c r="E5" s="335"/>
      <c r="F5" s="335"/>
      <c r="G5" s="335"/>
      <c r="H5" s="335"/>
      <c r="I5" s="335"/>
      <c r="J5" s="335"/>
      <c r="K5" s="336"/>
      <c r="L5" s="335"/>
      <c r="M5" s="337"/>
      <c r="N5" s="338"/>
    </row>
    <row r="6" spans="1:14">
      <c r="A6" s="333"/>
      <c r="B6" s="334" t="s">
        <v>69</v>
      </c>
      <c r="C6" s="335"/>
      <c r="D6" s="335"/>
      <c r="E6" s="335"/>
      <c r="F6" s="335"/>
      <c r="G6" s="334" t="s">
        <v>72</v>
      </c>
      <c r="H6" s="335"/>
      <c r="I6" s="335"/>
      <c r="J6" s="335"/>
      <c r="K6" s="335"/>
      <c r="L6" s="335"/>
      <c r="M6" s="337"/>
      <c r="N6" s="338"/>
    </row>
    <row r="7" spans="1:14">
      <c r="A7" s="339"/>
      <c r="B7" s="340" t="s">
        <v>29</v>
      </c>
      <c r="C7" s="340" t="s">
        <v>73</v>
      </c>
      <c r="D7" s="673" t="s">
        <v>74</v>
      </c>
      <c r="E7" s="673"/>
      <c r="F7" s="341"/>
      <c r="G7" s="340" t="s">
        <v>29</v>
      </c>
      <c r="H7" s="674" t="s">
        <v>73</v>
      </c>
      <c r="I7" s="675"/>
      <c r="J7" s="673" t="s">
        <v>74</v>
      </c>
      <c r="K7" s="673"/>
      <c r="L7" s="341"/>
      <c r="M7" s="342"/>
      <c r="N7" s="343"/>
    </row>
    <row r="8" spans="1:14" ht="23" customHeight="1">
      <c r="A8" s="333"/>
      <c r="B8" s="344">
        <v>45679</v>
      </c>
      <c r="C8" s="345">
        <v>2447</v>
      </c>
      <c r="D8" s="676" t="s">
        <v>120</v>
      </c>
      <c r="E8" s="676"/>
      <c r="F8" s="335"/>
      <c r="G8" s="344">
        <v>45679</v>
      </c>
      <c r="H8" s="677">
        <v>400</v>
      </c>
      <c r="I8" s="678"/>
      <c r="J8" s="676" t="s">
        <v>121</v>
      </c>
      <c r="K8" s="676"/>
      <c r="L8" s="335"/>
      <c r="M8" s="337"/>
      <c r="N8" s="338"/>
    </row>
    <row r="9" spans="1:14" ht="26" customHeight="1">
      <c r="A9" s="333"/>
      <c r="B9" s="344">
        <v>45679</v>
      </c>
      <c r="C9" s="345">
        <v>1799</v>
      </c>
      <c r="D9" s="676" t="s">
        <v>122</v>
      </c>
      <c r="E9" s="676"/>
      <c r="F9" s="335"/>
      <c r="G9" s="344">
        <v>45679</v>
      </c>
      <c r="H9" s="677">
        <f>217617*0.01</f>
        <v>2176.17</v>
      </c>
      <c r="I9" s="678"/>
      <c r="J9" s="676" t="s">
        <v>126</v>
      </c>
      <c r="K9" s="676"/>
      <c r="L9" s="335"/>
      <c r="M9" s="337"/>
      <c r="N9" s="338"/>
    </row>
    <row r="10" spans="1:14" ht="26" customHeight="1">
      <c r="A10" s="333"/>
      <c r="B10" s="344"/>
      <c r="C10" s="345"/>
      <c r="D10" s="676"/>
      <c r="E10" s="676"/>
      <c r="F10" s="335"/>
      <c r="G10" s="569"/>
      <c r="H10" s="571"/>
      <c r="I10" s="571"/>
      <c r="J10" s="570"/>
      <c r="K10" s="570"/>
      <c r="L10" s="335"/>
      <c r="M10" s="337"/>
      <c r="N10" s="338"/>
    </row>
    <row r="11" spans="1:14" ht="34" customHeight="1">
      <c r="A11" s="333"/>
      <c r="B11" s="334"/>
      <c r="C11" s="335"/>
      <c r="D11" s="335"/>
      <c r="E11" s="335"/>
      <c r="F11" s="335"/>
      <c r="G11" s="335"/>
      <c r="H11" s="335"/>
      <c r="I11" s="335"/>
      <c r="J11" s="335"/>
      <c r="K11" s="335"/>
      <c r="L11" s="335"/>
      <c r="M11" s="337"/>
      <c r="N11" s="338"/>
    </row>
    <row r="12" spans="1:14">
      <c r="A12" s="346" t="s">
        <v>75</v>
      </c>
      <c r="B12" s="347"/>
      <c r="C12" s="347"/>
      <c r="D12" s="348">
        <f>G16</f>
        <v>14800</v>
      </c>
      <c r="E12" s="349"/>
      <c r="F12" s="350"/>
      <c r="G12" s="347"/>
      <c r="H12" s="347"/>
      <c r="I12" s="351" t="s">
        <v>67</v>
      </c>
      <c r="J12" s="347"/>
      <c r="K12" s="347"/>
      <c r="L12" s="352">
        <f>L16+L17</f>
        <v>0</v>
      </c>
      <c r="M12" s="350"/>
      <c r="N12" s="353"/>
    </row>
    <row r="13" spans="1:14">
      <c r="A13" s="333"/>
      <c r="B13" s="334"/>
      <c r="C13" s="335"/>
      <c r="D13" s="354"/>
      <c r="E13" s="354"/>
      <c r="F13" s="335"/>
      <c r="G13" s="335"/>
      <c r="H13" s="335"/>
      <c r="I13" s="335"/>
      <c r="J13" s="335"/>
      <c r="K13" s="337"/>
      <c r="L13" s="337"/>
      <c r="M13" s="337"/>
      <c r="N13" s="338"/>
    </row>
    <row r="14" spans="1:14">
      <c r="A14" s="355"/>
      <c r="B14" s="356" t="s">
        <v>75</v>
      </c>
      <c r="C14" s="354"/>
      <c r="D14" s="354"/>
      <c r="E14" s="354"/>
      <c r="F14" s="354"/>
      <c r="G14" s="354"/>
      <c r="H14" s="354"/>
      <c r="I14" s="354"/>
      <c r="J14" s="683" t="s">
        <v>67</v>
      </c>
      <c r="K14" s="683"/>
      <c r="L14" s="357"/>
      <c r="M14" s="358"/>
      <c r="N14" s="359"/>
    </row>
    <row r="15" spans="1:14" ht="24">
      <c r="A15" s="355"/>
      <c r="B15" s="360" t="s">
        <v>76</v>
      </c>
      <c r="C15" s="360" t="s">
        <v>77</v>
      </c>
      <c r="D15" s="361" t="s">
        <v>78</v>
      </c>
      <c r="E15" s="361" t="s">
        <v>79</v>
      </c>
      <c r="F15" s="361" t="s">
        <v>80</v>
      </c>
      <c r="G15" s="360" t="s">
        <v>81</v>
      </c>
      <c r="H15" s="354"/>
      <c r="I15" s="354"/>
      <c r="J15" s="362" t="s">
        <v>77</v>
      </c>
      <c r="K15" s="362" t="s">
        <v>82</v>
      </c>
      <c r="L15" s="362" t="s">
        <v>83</v>
      </c>
      <c r="M15" s="358"/>
      <c r="N15" s="359"/>
    </row>
    <row r="16" spans="1:14">
      <c r="A16" s="333"/>
      <c r="B16" s="363">
        <f>График!AI30</f>
        <v>15</v>
      </c>
      <c r="C16" s="364" t="str">
        <f>A2</f>
        <v>ул. Набережная Ленина, 18</v>
      </c>
      <c r="D16" s="365" t="s">
        <v>84</v>
      </c>
      <c r="E16" s="366">
        <f>График!AJ30</f>
        <v>148</v>
      </c>
      <c r="F16" s="367">
        <v>100</v>
      </c>
      <c r="G16" s="368">
        <f>E16*F16</f>
        <v>14800</v>
      </c>
      <c r="H16" s="369"/>
      <c r="I16" s="369"/>
      <c r="J16" s="370" t="str">
        <f>График!B3</f>
        <v>ул. Набережная Ленина, 18</v>
      </c>
      <c r="K16" s="371">
        <v>0.52839999999999998</v>
      </c>
      <c r="L16" s="372">
        <v>0</v>
      </c>
      <c r="M16" s="337"/>
      <c r="N16" s="338"/>
    </row>
    <row r="17" spans="1:14">
      <c r="A17" s="355"/>
      <c r="B17" s="360"/>
      <c r="C17" s="373"/>
      <c r="D17" s="365"/>
      <c r="E17" s="374"/>
      <c r="F17" s="367"/>
      <c r="G17" s="368"/>
      <c r="H17" s="354"/>
      <c r="I17" s="354"/>
      <c r="J17" s="375"/>
      <c r="K17" s="376"/>
      <c r="L17" s="377"/>
      <c r="M17" s="358"/>
      <c r="N17" s="359"/>
    </row>
    <row r="18" spans="1:14">
      <c r="A18" s="355"/>
      <c r="B18" s="354"/>
      <c r="C18" s="378"/>
      <c r="D18" s="335"/>
      <c r="E18" s="379"/>
      <c r="F18" s="379"/>
      <c r="G18" s="380"/>
      <c r="H18" s="354"/>
      <c r="I18" s="354"/>
      <c r="J18" s="354"/>
      <c r="K18" s="354"/>
      <c r="L18" s="358"/>
      <c r="M18" s="358"/>
      <c r="N18" s="359"/>
    </row>
    <row r="19" spans="1:14">
      <c r="A19" s="346" t="s">
        <v>85</v>
      </c>
      <c r="B19" s="347"/>
      <c r="C19" s="347"/>
      <c r="D19" s="381">
        <f>G24</f>
        <v>20707.903999999999</v>
      </c>
      <c r="E19" s="382"/>
      <c r="F19" s="350"/>
      <c r="G19" s="350"/>
      <c r="H19" s="350"/>
      <c r="I19" s="347" t="s">
        <v>66</v>
      </c>
      <c r="J19" s="350"/>
      <c r="K19" s="350"/>
      <c r="L19" s="383">
        <f>N24</f>
        <v>9831.3017142857152</v>
      </c>
      <c r="M19" s="350"/>
      <c r="N19" s="353"/>
    </row>
    <row r="20" spans="1:14">
      <c r="A20" s="384"/>
      <c r="B20" s="334"/>
      <c r="C20" s="337"/>
      <c r="D20" s="337"/>
      <c r="E20" s="337"/>
      <c r="F20" s="337"/>
      <c r="G20" s="337"/>
      <c r="H20" s="337"/>
      <c r="I20" s="337"/>
      <c r="J20" s="337"/>
      <c r="K20" s="385"/>
      <c r="L20" s="117"/>
      <c r="M20" s="117"/>
      <c r="N20" s="386"/>
    </row>
    <row r="21" spans="1:14">
      <c r="A21" s="384"/>
      <c r="B21" s="335"/>
      <c r="C21" s="334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8"/>
    </row>
    <row r="22" spans="1:14">
      <c r="A22" s="384"/>
      <c r="B22" s="334" t="s">
        <v>86</v>
      </c>
      <c r="C22" s="337"/>
      <c r="D22" s="337"/>
      <c r="E22" s="337"/>
      <c r="F22" s="337"/>
      <c r="G22" s="337"/>
      <c r="H22" s="337"/>
      <c r="I22" s="387" t="s">
        <v>87</v>
      </c>
      <c r="J22" s="388"/>
      <c r="K22" s="389"/>
      <c r="L22" s="389"/>
      <c r="M22" s="389"/>
      <c r="N22" s="390"/>
    </row>
    <row r="23" spans="1:14" ht="36">
      <c r="A23" s="391"/>
      <c r="B23" s="360" t="s">
        <v>28</v>
      </c>
      <c r="C23" s="684" t="s">
        <v>77</v>
      </c>
      <c r="D23" s="685"/>
      <c r="E23" s="360" t="s">
        <v>88</v>
      </c>
      <c r="F23" s="360" t="s">
        <v>89</v>
      </c>
      <c r="G23" s="360" t="s">
        <v>90</v>
      </c>
      <c r="H23" s="354"/>
      <c r="I23" s="392" t="s">
        <v>28</v>
      </c>
      <c r="J23" s="392" t="s">
        <v>77</v>
      </c>
      <c r="K23" s="392" t="s">
        <v>91</v>
      </c>
      <c r="L23" s="392" t="s">
        <v>92</v>
      </c>
      <c r="M23" s="392" t="s">
        <v>88</v>
      </c>
      <c r="N23" s="393" t="s">
        <v>90</v>
      </c>
    </row>
    <row r="24" spans="1:14">
      <c r="A24" s="384"/>
      <c r="B24" s="364" t="str">
        <f>A4</f>
        <v>Кекош Анна</v>
      </c>
      <c r="C24" s="679" t="str">
        <f>A2</f>
        <v>ул. Набережная Ленина, 18</v>
      </c>
      <c r="D24" s="680"/>
      <c r="E24" s="394">
        <v>0.04</v>
      </c>
      <c r="F24" s="395">
        <f>'Кекош А. И.'!J8</f>
        <v>517697.6</v>
      </c>
      <c r="G24" s="396">
        <f>F24*E24</f>
        <v>20707.903999999999</v>
      </c>
      <c r="H24" s="335"/>
      <c r="I24" s="397" t="str">
        <f>B24</f>
        <v>Кекош Анна</v>
      </c>
      <c r="J24" s="398" t="str">
        <f>C24</f>
        <v>ул. Набережная Ленина, 18</v>
      </c>
      <c r="K24" s="398">
        <f>E16</f>
        <v>148</v>
      </c>
      <c r="L24" s="399">
        <v>350</v>
      </c>
      <c r="M24" s="400">
        <v>0.02</v>
      </c>
      <c r="N24" s="401">
        <f>1162485*M24*K24/L24</f>
        <v>9831.3017142857152</v>
      </c>
    </row>
    <row r="25" spans="1:14">
      <c r="A25" s="391"/>
      <c r="B25" s="364" t="str">
        <f>B24</f>
        <v>Кекош Анна</v>
      </c>
      <c r="C25" s="681"/>
      <c r="D25" s="682"/>
      <c r="E25" s="394"/>
      <c r="F25" s="402"/>
      <c r="G25" s="368"/>
      <c r="H25" s="354"/>
      <c r="I25" s="403"/>
      <c r="J25" s="404"/>
      <c r="K25" s="405"/>
      <c r="L25" s="406"/>
      <c r="M25" s="407"/>
      <c r="N25" s="408" t="e">
        <f>1477363.14*M25*K25/L25</f>
        <v>#DIV/0!</v>
      </c>
    </row>
    <row r="26" spans="1:14">
      <c r="A26" s="409"/>
      <c r="B26" s="410"/>
      <c r="C26" s="410"/>
      <c r="D26" s="410"/>
      <c r="E26" s="410"/>
      <c r="F26" s="410"/>
      <c r="G26" s="410"/>
      <c r="H26" s="410"/>
      <c r="I26" s="410"/>
      <c r="J26" s="410"/>
      <c r="K26" s="410"/>
      <c r="L26" s="410"/>
      <c r="M26" s="410"/>
      <c r="N26" s="411"/>
    </row>
  </sheetData>
  <mergeCells count="18">
    <mergeCell ref="C24:D24"/>
    <mergeCell ref="C25:D25"/>
    <mergeCell ref="D9:E9"/>
    <mergeCell ref="H9:I9"/>
    <mergeCell ref="J9:K9"/>
    <mergeCell ref="J14:K14"/>
    <mergeCell ref="C23:D23"/>
    <mergeCell ref="D10:E10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"/>
  <sheetViews>
    <sheetView tabSelected="1" zoomScale="84" workbookViewId="0">
      <selection activeCell="P15" sqref="P15"/>
    </sheetView>
  </sheetViews>
  <sheetFormatPr baseColWidth="10" defaultColWidth="11.5" defaultRowHeight="15"/>
  <cols>
    <col min="1" max="1" width="6.33203125" style="3" customWidth="1"/>
    <col min="2" max="2" width="13" style="3" customWidth="1"/>
    <col min="3" max="3" width="19.5" style="3" customWidth="1"/>
    <col min="4" max="4" width="12.33203125" style="3" bestFit="1" customWidth="1"/>
    <col min="5" max="5" width="11.6640625" style="3" customWidth="1"/>
    <col min="6" max="6" width="12.6640625" style="3" customWidth="1"/>
    <col min="7" max="7" width="14.83203125" style="3" customWidth="1"/>
    <col min="8" max="8" width="10.6640625" style="3" bestFit="1" customWidth="1"/>
    <col min="9" max="9" width="14.6640625" style="3" customWidth="1"/>
    <col min="10" max="10" width="19.6640625" style="3" customWidth="1"/>
    <col min="11" max="11" width="13.83203125" style="3" customWidth="1"/>
    <col min="12" max="12" width="13.6640625" style="3" customWidth="1"/>
    <col min="13" max="13" width="15.5" style="3" customWidth="1"/>
    <col min="14" max="14" width="16" style="3" customWidth="1"/>
  </cols>
  <sheetData>
    <row r="1" spans="1:15" ht="15" customHeight="1">
      <c r="A1" s="664" t="str">
        <f>График!B1</f>
        <v>Январь, 2025</v>
      </c>
      <c r="B1" s="665"/>
      <c r="C1" s="665"/>
      <c r="D1" s="666"/>
      <c r="E1" s="305"/>
      <c r="F1" s="306"/>
      <c r="G1" s="306"/>
      <c r="H1" s="306"/>
      <c r="I1" s="306"/>
      <c r="J1" s="306"/>
      <c r="K1" s="306"/>
      <c r="L1" s="306"/>
      <c r="M1" s="306"/>
      <c r="N1" s="307"/>
    </row>
    <row r="2" spans="1:15" ht="15" customHeight="1">
      <c r="A2" s="667" t="str">
        <f>График!B3</f>
        <v>ул. Набережная Ленина, 18</v>
      </c>
      <c r="B2" s="668"/>
      <c r="C2" s="668"/>
      <c r="D2" s="308" t="str">
        <f>График!B4</f>
        <v>GL-0005</v>
      </c>
      <c r="E2" s="309"/>
      <c r="F2" s="310"/>
      <c r="G2" s="310"/>
      <c r="H2" s="310"/>
      <c r="I2" s="310"/>
      <c r="J2" s="310"/>
      <c r="K2" s="310"/>
      <c r="L2" s="310"/>
      <c r="M2" s="310"/>
      <c r="N2" s="311"/>
    </row>
    <row r="3" spans="1:15" ht="75">
      <c r="A3" s="669" t="s">
        <v>28</v>
      </c>
      <c r="B3" s="670"/>
      <c r="C3" s="670"/>
      <c r="D3" s="312" t="s">
        <v>61</v>
      </c>
      <c r="E3" s="312" t="s">
        <v>62</v>
      </c>
      <c r="F3" s="313" t="s">
        <v>63</v>
      </c>
      <c r="G3" s="314" t="s">
        <v>64</v>
      </c>
      <c r="H3" s="315" t="s">
        <v>65</v>
      </c>
      <c r="I3" s="316" t="s">
        <v>66</v>
      </c>
      <c r="J3" s="317" t="s">
        <v>67</v>
      </c>
      <c r="K3" s="318" t="s">
        <v>68</v>
      </c>
      <c r="L3" s="319" t="s">
        <v>69</v>
      </c>
      <c r="M3" s="412" t="s">
        <v>70</v>
      </c>
      <c r="N3" s="321" t="s">
        <v>71</v>
      </c>
    </row>
    <row r="4" spans="1:15" ht="16" customHeight="1">
      <c r="A4" s="671" t="str">
        <f>График!B29</f>
        <v>Рогалевич Ирина</v>
      </c>
      <c r="B4" s="672"/>
      <c r="C4" s="672"/>
      <c r="D4" s="322">
        <f>5220+7830</f>
        <v>13050</v>
      </c>
      <c r="E4" s="323"/>
      <c r="F4" s="324">
        <f>H8+H9</f>
        <v>0</v>
      </c>
      <c r="G4" s="325">
        <f>D12</f>
        <v>41200</v>
      </c>
      <c r="H4" s="326">
        <f>D19</f>
        <v>40315.817599999995</v>
      </c>
      <c r="I4" s="327">
        <f>L19</f>
        <v>17889.28369263608</v>
      </c>
      <c r="J4" s="328">
        <f>L12</f>
        <v>11550</v>
      </c>
      <c r="K4" s="329">
        <f>H4+J4+G4+F4+I4</f>
        <v>110955.10129263607</v>
      </c>
      <c r="L4" s="330">
        <f>C8+C9</f>
        <v>2250</v>
      </c>
      <c r="M4" s="331">
        <f>K4-L4-D4-E4</f>
        <v>95655.101292636071</v>
      </c>
      <c r="N4" s="332"/>
    </row>
    <row r="5" spans="1:15">
      <c r="A5" s="333"/>
      <c r="B5" s="334"/>
      <c r="C5" s="335"/>
      <c r="D5" s="335"/>
      <c r="E5" s="335"/>
      <c r="F5" s="335"/>
      <c r="G5" s="335"/>
      <c r="H5" s="335"/>
      <c r="I5" s="335"/>
      <c r="J5" s="335"/>
      <c r="K5" s="336"/>
      <c r="L5" s="335"/>
      <c r="M5" s="337"/>
      <c r="N5" s="338"/>
    </row>
    <row r="6" spans="1:15">
      <c r="A6" s="333"/>
      <c r="B6" s="334" t="s">
        <v>69</v>
      </c>
      <c r="C6" s="335"/>
      <c r="D6" s="335"/>
      <c r="E6" s="335"/>
      <c r="F6" s="335"/>
      <c r="G6" s="334" t="s">
        <v>72</v>
      </c>
      <c r="H6" s="335"/>
      <c r="I6" s="335"/>
      <c r="J6" s="335"/>
      <c r="K6" s="335"/>
      <c r="L6" s="335"/>
      <c r="M6" s="337"/>
      <c r="N6" s="338"/>
    </row>
    <row r="7" spans="1:15">
      <c r="A7" s="339"/>
      <c r="B7" s="340" t="s">
        <v>29</v>
      </c>
      <c r="C7" s="340" t="s">
        <v>73</v>
      </c>
      <c r="D7" s="673" t="s">
        <v>74</v>
      </c>
      <c r="E7" s="673"/>
      <c r="F7" s="341"/>
      <c r="G7" s="340" t="s">
        <v>29</v>
      </c>
      <c r="H7" s="686" t="s">
        <v>73</v>
      </c>
      <c r="I7" s="687"/>
      <c r="J7" s="673" t="s">
        <v>74</v>
      </c>
      <c r="K7" s="673"/>
      <c r="L7" s="341"/>
      <c r="M7" s="342"/>
      <c r="N7" s="343"/>
    </row>
    <row r="8" spans="1:15" ht="26" customHeight="1">
      <c r="A8" s="333"/>
      <c r="B8" s="344">
        <v>45688</v>
      </c>
      <c r="C8" s="345">
        <f>15000-D4</f>
        <v>1950</v>
      </c>
      <c r="D8" s="676" t="s">
        <v>120</v>
      </c>
      <c r="E8" s="676"/>
      <c r="F8" s="335"/>
      <c r="G8" s="344"/>
      <c r="H8" s="688"/>
      <c r="I8" s="689"/>
      <c r="J8" s="676"/>
      <c r="K8" s="676"/>
      <c r="L8" s="335"/>
      <c r="M8" s="337"/>
      <c r="N8" s="338"/>
    </row>
    <row r="9" spans="1:15" ht="38" customHeight="1">
      <c r="A9" s="333"/>
      <c r="B9" s="344">
        <v>45688</v>
      </c>
      <c r="C9" s="721">
        <v>300</v>
      </c>
      <c r="D9" s="676" t="s">
        <v>129</v>
      </c>
      <c r="E9" s="676"/>
      <c r="F9" s="335"/>
      <c r="G9" s="344"/>
      <c r="H9" s="688"/>
      <c r="I9" s="689"/>
      <c r="J9" s="676"/>
      <c r="K9" s="676"/>
      <c r="L9" s="335"/>
      <c r="M9" s="337"/>
      <c r="N9" s="338"/>
    </row>
    <row r="10" spans="1:15" ht="38" customHeight="1">
      <c r="A10" s="333"/>
      <c r="B10" s="344">
        <v>45688</v>
      </c>
      <c r="C10" s="721">
        <v>2997</v>
      </c>
      <c r="D10" s="676" t="s">
        <v>130</v>
      </c>
      <c r="E10" s="676"/>
      <c r="F10" s="335"/>
      <c r="G10" s="344"/>
      <c r="H10" s="688"/>
      <c r="I10" s="689"/>
      <c r="J10" s="676"/>
      <c r="K10" s="676"/>
      <c r="L10" s="335"/>
      <c r="M10" s="337"/>
      <c r="N10" s="338"/>
    </row>
    <row r="11" spans="1:15">
      <c r="A11" s="333"/>
      <c r="B11" s="334"/>
      <c r="C11" s="335"/>
      <c r="D11" s="335"/>
      <c r="E11" s="335"/>
      <c r="F11" s="335"/>
      <c r="G11" s="335"/>
      <c r="H11" s="335"/>
      <c r="I11" s="335"/>
      <c r="J11" s="335"/>
      <c r="K11" s="335"/>
      <c r="L11" s="335"/>
      <c r="M11" s="337"/>
      <c r="N11" s="338"/>
    </row>
    <row r="12" spans="1:15">
      <c r="A12" s="346" t="s">
        <v>75</v>
      </c>
      <c r="B12" s="347"/>
      <c r="C12" s="347"/>
      <c r="D12" s="348">
        <f>G16+G17</f>
        <v>41200</v>
      </c>
      <c r="E12" s="349"/>
      <c r="F12" s="350"/>
      <c r="G12" s="347"/>
      <c r="H12" s="347"/>
      <c r="I12" s="351" t="s">
        <v>67</v>
      </c>
      <c r="J12" s="347"/>
      <c r="K12" s="347"/>
      <c r="L12" s="352">
        <f>L16+L17</f>
        <v>11550</v>
      </c>
      <c r="M12" s="350"/>
      <c r="N12" s="353"/>
    </row>
    <row r="13" spans="1:15">
      <c r="A13" s="333"/>
      <c r="B13" s="334"/>
      <c r="C13" s="335"/>
      <c r="D13" s="354"/>
      <c r="E13" s="354"/>
      <c r="F13" s="335"/>
      <c r="G13" s="335"/>
      <c r="H13" s="335"/>
      <c r="I13" s="335"/>
      <c r="J13" s="335"/>
      <c r="K13" s="337"/>
      <c r="L13" s="337"/>
      <c r="M13" s="337"/>
      <c r="N13" s="338"/>
    </row>
    <row r="14" spans="1:15">
      <c r="A14" s="355"/>
      <c r="B14" s="356" t="s">
        <v>75</v>
      </c>
      <c r="C14" s="354"/>
      <c r="D14" s="354"/>
      <c r="E14" s="354"/>
      <c r="F14" s="354"/>
      <c r="G14" s="354"/>
      <c r="H14" s="354"/>
      <c r="I14" s="354"/>
      <c r="J14" s="683" t="s">
        <v>67</v>
      </c>
      <c r="K14" s="683"/>
      <c r="L14" s="413"/>
      <c r="M14" s="357"/>
      <c r="N14" s="359"/>
    </row>
    <row r="15" spans="1:15" ht="24">
      <c r="A15" s="355"/>
      <c r="B15" s="360" t="s">
        <v>76</v>
      </c>
      <c r="C15" s="360" t="s">
        <v>77</v>
      </c>
      <c r="D15" s="361" t="s">
        <v>78</v>
      </c>
      <c r="E15" s="361" t="s">
        <v>79</v>
      </c>
      <c r="F15" s="361" t="s">
        <v>80</v>
      </c>
      <c r="G15" s="360" t="s">
        <v>81</v>
      </c>
      <c r="H15" s="354"/>
      <c r="I15" s="354"/>
      <c r="J15" s="362" t="s">
        <v>77</v>
      </c>
      <c r="K15" s="414" t="s">
        <v>82</v>
      </c>
      <c r="L15" s="690" t="s">
        <v>83</v>
      </c>
      <c r="M15" s="691"/>
      <c r="N15" s="359"/>
      <c r="O15" s="415"/>
    </row>
    <row r="16" spans="1:15">
      <c r="A16" s="333"/>
      <c r="B16" s="363">
        <f>График!AI29</f>
        <v>24</v>
      </c>
      <c r="C16" s="364" t="str">
        <f>A2</f>
        <v>ул. Набережная Ленина, 18</v>
      </c>
      <c r="D16" s="365" t="s">
        <v>84</v>
      </c>
      <c r="E16" s="366">
        <f>График!AJ29</f>
        <v>256</v>
      </c>
      <c r="F16" s="367">
        <v>150</v>
      </c>
      <c r="G16" s="368">
        <f t="shared" ref="G16:G17" si="0">E16*F16</f>
        <v>38400</v>
      </c>
      <c r="H16" s="369"/>
      <c r="I16" s="369"/>
      <c r="J16" s="370" t="str">
        <f>График!B3</f>
        <v>ул. Набережная Ленина, 18</v>
      </c>
      <c r="K16" s="371">
        <v>1</v>
      </c>
      <c r="L16" s="692">
        <v>11550</v>
      </c>
      <c r="M16" s="693"/>
      <c r="N16" s="338"/>
    </row>
    <row r="17" spans="1:14">
      <c r="A17" s="355"/>
      <c r="B17" s="360">
        <v>3</v>
      </c>
      <c r="C17" s="373" t="s">
        <v>128</v>
      </c>
      <c r="D17" s="365" t="s">
        <v>84</v>
      </c>
      <c r="E17" s="374">
        <v>28</v>
      </c>
      <c r="F17" s="367">
        <v>100</v>
      </c>
      <c r="G17" s="368">
        <f t="shared" si="0"/>
        <v>2800</v>
      </c>
      <c r="H17" s="354"/>
      <c r="I17" s="354"/>
      <c r="J17" s="375" t="str">
        <f>C25</f>
        <v>Евпаторийское шоссе, 8</v>
      </c>
      <c r="K17" s="376">
        <v>0.72799999999999998</v>
      </c>
      <c r="L17" s="694">
        <v>0</v>
      </c>
      <c r="M17" s="695"/>
      <c r="N17" s="359"/>
    </row>
    <row r="18" spans="1:14">
      <c r="A18" s="355"/>
      <c r="B18" s="354"/>
      <c r="C18" s="378"/>
      <c r="D18" s="335"/>
      <c r="E18" s="379"/>
      <c r="F18" s="379"/>
      <c r="G18" s="380"/>
      <c r="H18" s="354"/>
      <c r="I18" s="354"/>
      <c r="J18" s="354"/>
      <c r="K18" s="354"/>
      <c r="L18" s="358"/>
      <c r="M18" s="358"/>
      <c r="N18" s="359"/>
    </row>
    <row r="19" spans="1:14">
      <c r="A19" s="346" t="s">
        <v>85</v>
      </c>
      <c r="B19" s="347"/>
      <c r="C19" s="347"/>
      <c r="D19" s="381">
        <f>G24+G25</f>
        <v>40315.817599999995</v>
      </c>
      <c r="E19" s="382"/>
      <c r="F19" s="350"/>
      <c r="G19" s="350"/>
      <c r="H19" s="350"/>
      <c r="I19" s="347" t="s">
        <v>66</v>
      </c>
      <c r="J19" s="350"/>
      <c r="K19" s="350"/>
      <c r="L19" s="581">
        <f>N24+N25</f>
        <v>17889.28369263608</v>
      </c>
      <c r="M19" s="350"/>
      <c r="N19" s="353"/>
    </row>
    <row r="20" spans="1:14">
      <c r="A20" s="384"/>
      <c r="B20" s="334"/>
      <c r="C20" s="337"/>
      <c r="D20" s="337"/>
      <c r="E20" s="337"/>
      <c r="F20" s="337"/>
      <c r="G20" s="337"/>
      <c r="H20" s="337"/>
      <c r="I20" s="337"/>
      <c r="J20" s="337"/>
      <c r="K20" s="385"/>
      <c r="L20" s="117"/>
      <c r="M20" s="117"/>
      <c r="N20" s="386"/>
    </row>
    <row r="21" spans="1:14">
      <c r="A21" s="384"/>
      <c r="B21" s="335"/>
      <c r="C21" s="334"/>
      <c r="D21" s="337"/>
      <c r="E21" s="337"/>
      <c r="F21" s="337"/>
      <c r="G21" s="337"/>
      <c r="H21" s="337"/>
      <c r="I21" s="337"/>
      <c r="J21" s="337"/>
      <c r="K21" s="337"/>
      <c r="L21" s="337"/>
      <c r="M21" s="337"/>
      <c r="N21" s="338"/>
    </row>
    <row r="22" spans="1:14">
      <c r="A22" s="384"/>
      <c r="B22" s="334" t="s">
        <v>86</v>
      </c>
      <c r="C22" s="337"/>
      <c r="D22" s="337"/>
      <c r="E22" s="337"/>
      <c r="F22" s="337"/>
      <c r="G22" s="337"/>
      <c r="H22" s="337"/>
      <c r="I22" s="387" t="s">
        <v>87</v>
      </c>
      <c r="J22" s="388"/>
      <c r="K22" s="389"/>
      <c r="L22" s="389"/>
      <c r="M22" s="389"/>
      <c r="N22" s="390"/>
    </row>
    <row r="23" spans="1:14" ht="36">
      <c r="A23" s="391"/>
      <c r="B23" s="360" t="s">
        <v>28</v>
      </c>
      <c r="C23" s="684" t="s">
        <v>77</v>
      </c>
      <c r="D23" s="685"/>
      <c r="E23" s="360" t="s">
        <v>88</v>
      </c>
      <c r="F23" s="360" t="s">
        <v>89</v>
      </c>
      <c r="G23" s="360" t="s">
        <v>90</v>
      </c>
      <c r="H23" s="354"/>
      <c r="I23" s="392" t="s">
        <v>28</v>
      </c>
      <c r="J23" s="392" t="s">
        <v>77</v>
      </c>
      <c r="K23" s="392" t="s">
        <v>91</v>
      </c>
      <c r="L23" s="392" t="s">
        <v>92</v>
      </c>
      <c r="M23" s="392" t="s">
        <v>88</v>
      </c>
      <c r="N23" s="393" t="s">
        <v>90</v>
      </c>
    </row>
    <row r="24" spans="1:14">
      <c r="A24" s="384"/>
      <c r="B24" s="364" t="str">
        <f>A4</f>
        <v>Рогалевич Ирина</v>
      </c>
      <c r="C24" s="679" t="str">
        <f>A2</f>
        <v>ул. Набережная Ленина, 18</v>
      </c>
      <c r="D24" s="680"/>
      <c r="E24" s="394">
        <v>0.04</v>
      </c>
      <c r="F24" s="345">
        <f>'Рогалевич И. Е.'!J8</f>
        <v>833967.94</v>
      </c>
      <c r="G24" s="396">
        <f t="shared" ref="G24:G25" si="1">F24*E24</f>
        <v>33358.717599999996</v>
      </c>
      <c r="H24" s="335"/>
      <c r="I24" s="397" t="str">
        <f>B24</f>
        <v>Рогалевич Ирина</v>
      </c>
      <c r="J24" s="398" t="str">
        <f>C24</f>
        <v>ул. Набережная Ленина, 18</v>
      </c>
      <c r="K24" s="398">
        <f>E16</f>
        <v>256</v>
      </c>
      <c r="L24" s="572">
        <f>График!AJ31</f>
        <v>501</v>
      </c>
      <c r="M24" s="400">
        <v>0.02</v>
      </c>
      <c r="N24" s="401">
        <f>'Ялта, Ленина, 18'!J8*M24*K24/L24</f>
        <v>16054.599434730537</v>
      </c>
    </row>
    <row r="25" spans="1:14">
      <c r="A25" s="391"/>
      <c r="B25" s="364" t="str">
        <f>B24</f>
        <v>Рогалевич Ирина</v>
      </c>
      <c r="C25" s="681" t="str">
        <f>C17</f>
        <v>Евпаторийское шоссе, 8</v>
      </c>
      <c r="D25" s="682"/>
      <c r="E25" s="590">
        <v>0.05</v>
      </c>
      <c r="F25" s="402">
        <v>139142</v>
      </c>
      <c r="G25" s="368">
        <f t="shared" si="1"/>
        <v>6957.1</v>
      </c>
      <c r="H25" s="354"/>
      <c r="I25" s="403" t="str">
        <f>I24</f>
        <v>Рогалевич Ирина</v>
      </c>
      <c r="J25" s="404" t="str">
        <f>C25</f>
        <v>Евпаторийское шоссе, 8</v>
      </c>
      <c r="K25" s="405">
        <f>E17</f>
        <v>28</v>
      </c>
      <c r="L25" s="406">
        <v>974</v>
      </c>
      <c r="M25" s="407">
        <v>0.04</v>
      </c>
      <c r="N25" s="408">
        <f>(3166487-1570966.94)*M25*K25/L25</f>
        <v>1834.6842579055442</v>
      </c>
    </row>
    <row r="26" spans="1:14">
      <c r="A26" s="409"/>
      <c r="B26" s="410"/>
      <c r="C26" s="410"/>
      <c r="D26" s="410"/>
      <c r="E26" s="410"/>
      <c r="F26" s="410"/>
      <c r="G26" s="410"/>
      <c r="H26" s="410"/>
      <c r="I26" s="410"/>
      <c r="J26" s="410"/>
      <c r="K26" s="410"/>
      <c r="L26" s="410"/>
      <c r="M26" s="410"/>
      <c r="N26" s="411"/>
    </row>
  </sheetData>
  <mergeCells count="23">
    <mergeCell ref="L15:M15"/>
    <mergeCell ref="L16:M16"/>
    <mergeCell ref="L17:M17"/>
    <mergeCell ref="J14:K14"/>
    <mergeCell ref="C23:D23"/>
    <mergeCell ref="C24:D24"/>
    <mergeCell ref="C25:D25"/>
    <mergeCell ref="J7:K7"/>
    <mergeCell ref="D8:E8"/>
    <mergeCell ref="J8:K8"/>
    <mergeCell ref="D9:E9"/>
    <mergeCell ref="J9:K9"/>
    <mergeCell ref="H7:I7"/>
    <mergeCell ref="H8:I8"/>
    <mergeCell ref="H9:I9"/>
    <mergeCell ref="D10:E10"/>
    <mergeCell ref="H10:I10"/>
    <mergeCell ref="J10:K10"/>
    <mergeCell ref="A1:D1"/>
    <mergeCell ref="A2:C2"/>
    <mergeCell ref="A3:C3"/>
    <mergeCell ref="A4:C4"/>
    <mergeCell ref="D7:E7"/>
  </mergeCells>
  <pageMargins left="0.70000004768371604" right="0.70000004768371604" top="0.75" bottom="0.75" header="0.30000001192092901" footer="0.30000001192092901"/>
  <pageSetup paperSize="9" fitToWidth="0" fitToHeight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U53"/>
  <sheetViews>
    <sheetView topLeftCell="A10" zoomScale="118" workbookViewId="0">
      <selection activeCell="D30" sqref="D30"/>
    </sheetView>
  </sheetViews>
  <sheetFormatPr baseColWidth="10" defaultColWidth="9.1640625" defaultRowHeight="15"/>
  <cols>
    <col min="1" max="1" width="12.5" style="3" customWidth="1"/>
    <col min="2" max="2" width="10.33203125" style="3" customWidth="1"/>
    <col min="3" max="3" width="10.83203125" style="3" customWidth="1"/>
    <col min="4" max="4" width="10.33203125" style="3" customWidth="1"/>
    <col min="5" max="5" width="10.1640625" style="3" customWidth="1"/>
    <col min="6" max="6" width="11.33203125" style="3" customWidth="1"/>
    <col min="7" max="7" width="9.83203125" style="3" customWidth="1"/>
    <col min="8" max="8" width="9.5" style="3" customWidth="1"/>
    <col min="9" max="9" width="11" style="3" customWidth="1"/>
    <col min="10" max="10" width="8.83203125" style="3" customWidth="1"/>
    <col min="11" max="11" width="12.6640625" style="3" customWidth="1"/>
    <col min="12" max="12" width="10.1640625" style="3" customWidth="1"/>
    <col min="13" max="13" width="10.83203125" style="3" customWidth="1"/>
    <col min="14" max="14" width="11.6640625" style="3" customWidth="1"/>
    <col min="15" max="15" width="12.83203125" style="3" customWidth="1"/>
    <col min="16" max="16" width="10.33203125" style="3" customWidth="1"/>
    <col min="17" max="18" width="11.33203125" style="3" customWidth="1"/>
    <col min="19" max="19" width="11" style="3" customWidth="1"/>
    <col min="20" max="20" width="9.5" style="3" customWidth="1"/>
    <col min="21" max="21" width="9.1640625" style="3"/>
    <col min="22" max="23" width="10.5" style="3" customWidth="1"/>
    <col min="24" max="33" width="9.1640625" style="3"/>
    <col min="34" max="255" width="9.1640625" style="2"/>
  </cols>
  <sheetData>
    <row r="1" spans="2:23" ht="15.75" customHeight="1">
      <c r="B1" s="696">
        <f ca="1">TODAY()-1</f>
        <v>45696</v>
      </c>
      <c r="C1" s="696"/>
      <c r="D1" s="264"/>
      <c r="E1" s="264"/>
      <c r="F1" s="52"/>
      <c r="G1" s="52"/>
      <c r="H1" s="52"/>
      <c r="I1" s="52"/>
      <c r="J1" s="265"/>
      <c r="K1" s="265"/>
      <c r="L1" s="265"/>
      <c r="M1" s="265"/>
      <c r="N1" s="265"/>
      <c r="O1" s="265"/>
      <c r="P1" s="265"/>
      <c r="Q1" s="697"/>
      <c r="R1" s="697"/>
      <c r="S1" s="697"/>
      <c r="T1" s="697"/>
      <c r="U1" s="52"/>
      <c r="V1" s="52"/>
      <c r="W1" s="52"/>
    </row>
    <row r="2" spans="2:23" ht="21.75" customHeight="1">
      <c r="B2" s="698" t="s">
        <v>0</v>
      </c>
      <c r="C2" s="698"/>
      <c r="D2" s="264"/>
      <c r="E2" s="264"/>
      <c r="F2" s="52"/>
      <c r="G2" s="52"/>
      <c r="H2" s="52"/>
      <c r="I2" s="52"/>
      <c r="J2" s="699" t="s">
        <v>1</v>
      </c>
      <c r="K2" s="699"/>
      <c r="L2" s="699"/>
      <c r="M2" s="699"/>
      <c r="N2" s="699"/>
      <c r="O2" s="699"/>
      <c r="P2" s="699"/>
      <c r="Q2" s="697"/>
      <c r="R2" s="697"/>
      <c r="S2" s="697"/>
      <c r="T2" s="697"/>
      <c r="U2" s="52"/>
      <c r="V2" s="52"/>
      <c r="W2" s="52"/>
    </row>
    <row r="3" spans="2:23" ht="14" customHeight="1">
      <c r="B3" s="266" t="s">
        <v>2</v>
      </c>
      <c r="C3" s="264"/>
      <c r="D3" s="264"/>
      <c r="E3" s="264"/>
      <c r="F3" s="52"/>
      <c r="G3" s="52"/>
      <c r="H3" s="52"/>
      <c r="I3" s="52"/>
      <c r="J3" s="700">
        <f>График!B27</f>
        <v>0</v>
      </c>
      <c r="K3" s="700"/>
      <c r="L3" s="700"/>
      <c r="M3" s="700"/>
      <c r="N3" s="700"/>
      <c r="O3" s="265"/>
      <c r="P3" s="267"/>
      <c r="Q3" s="697"/>
      <c r="R3" s="697"/>
      <c r="S3" s="697"/>
      <c r="T3" s="697"/>
      <c r="U3" s="52"/>
      <c r="V3" s="52"/>
      <c r="W3" s="52"/>
    </row>
    <row r="4" spans="2:23" ht="15" customHeight="1">
      <c r="B4" s="264"/>
      <c r="C4" s="701">
        <f>I8-D48</f>
        <v>-219302.1</v>
      </c>
      <c r="D4" s="701"/>
      <c r="E4" s="268">
        <f>IF(I8&lt;&gt;0,C4/I8,0)</f>
        <v>0</v>
      </c>
      <c r="F4" s="52"/>
      <c r="G4" s="52"/>
      <c r="H4" s="52"/>
      <c r="I4" s="52"/>
      <c r="J4" s="700"/>
      <c r="K4" s="700"/>
      <c r="L4" s="700"/>
      <c r="M4" s="700"/>
      <c r="N4" s="700"/>
      <c r="O4" s="52"/>
      <c r="P4" s="52"/>
      <c r="Q4" s="697"/>
      <c r="R4" s="697"/>
      <c r="S4" s="697"/>
      <c r="T4" s="697"/>
      <c r="U4" s="52"/>
      <c r="V4" s="52"/>
      <c r="W4" s="52"/>
    </row>
    <row r="5" spans="2:23">
      <c r="B5" s="52"/>
      <c r="C5" s="52"/>
      <c r="D5" s="52"/>
      <c r="E5" s="52"/>
      <c r="F5" s="52"/>
      <c r="G5" s="52"/>
      <c r="H5" s="52"/>
      <c r="I5" s="52"/>
      <c r="J5" s="702"/>
      <c r="K5" s="702"/>
      <c r="L5" s="702"/>
      <c r="M5" s="702"/>
      <c r="N5" s="702"/>
      <c r="O5" s="52"/>
      <c r="P5" s="52"/>
      <c r="Q5" s="52"/>
      <c r="R5" s="52"/>
      <c r="S5" s="52"/>
      <c r="T5" s="52"/>
      <c r="U5" s="52"/>
      <c r="V5" s="52"/>
      <c r="W5" s="52"/>
    </row>
    <row r="6" spans="2:23" ht="15.75" customHeight="1">
      <c r="B6" s="269"/>
      <c r="C6" s="52"/>
      <c r="D6" s="52"/>
      <c r="E6" s="52"/>
      <c r="F6" s="16" t="s">
        <v>3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8"/>
      <c r="R6" s="35"/>
      <c r="S6" s="35"/>
      <c r="T6" s="52"/>
      <c r="U6" s="52"/>
      <c r="V6" s="52"/>
      <c r="W6" s="52"/>
    </row>
    <row r="7" spans="2:23" ht="50.75" customHeight="1">
      <c r="B7" s="269"/>
      <c r="C7" s="52"/>
      <c r="D7" s="52"/>
      <c r="E7" s="52"/>
      <c r="F7" s="604" t="s">
        <v>4</v>
      </c>
      <c r="G7" s="605"/>
      <c r="H7" s="606"/>
      <c r="I7" s="21" t="s">
        <v>5</v>
      </c>
      <c r="J7" s="22" t="s">
        <v>6</v>
      </c>
      <c r="K7" s="23" t="s">
        <v>7</v>
      </c>
      <c r="L7" s="24" t="s">
        <v>8</v>
      </c>
      <c r="M7" s="24" t="s">
        <v>9</v>
      </c>
      <c r="N7" s="25" t="s">
        <v>10</v>
      </c>
      <c r="O7" s="25" t="s">
        <v>11</v>
      </c>
      <c r="P7" s="607" t="s">
        <v>12</v>
      </c>
      <c r="Q7" s="608"/>
      <c r="R7" s="35"/>
      <c r="S7" s="35"/>
      <c r="T7" s="52"/>
      <c r="U7" s="52"/>
      <c r="V7" s="52"/>
      <c r="W7" s="52"/>
    </row>
    <row r="8" spans="2:23" ht="15.75" customHeight="1">
      <c r="B8" s="269"/>
      <c r="C8" s="52"/>
      <c r="D8" s="52"/>
      <c r="E8" s="52"/>
      <c r="F8" s="609" t="s">
        <v>13</v>
      </c>
      <c r="G8" s="610"/>
      <c r="H8" s="611"/>
      <c r="I8" s="163">
        <f>'Ялта, Ленина, 18'!I8/График!AJ31*График!AJ27</f>
        <v>0</v>
      </c>
      <c r="J8" s="164">
        <f>D48</f>
        <v>219302.1</v>
      </c>
      <c r="K8" s="165" t="str">
        <f t="shared" ref="K8:K19" si="0">IF(AND(I8&lt;&gt;"", I8&lt;&gt;0, J8&lt;&gt;""), J8/I8, "")</f>
        <v/>
      </c>
      <c r="L8" s="166">
        <f>IF(SUMIF($D$25:$D$47,"&gt;=0",$P$25:$P$47)&lt;&gt;0,I8*D48/SUMIF($D$25:$D$47,"&gt;=0",$P$25:$P$47),0)</f>
        <v>0</v>
      </c>
      <c r="M8" s="31" t="str">
        <f t="shared" ref="M8:M20" si="1">IF(AND(I8&lt;&gt;"", I8&lt;&gt;0, L8&lt;&gt;"", L8&lt;&gt;0), L8/I8, "")</f>
        <v/>
      </c>
      <c r="N8" s="32" t="str">
        <f t="shared" ref="N8:N20" si="2">IF(AND(J8&lt;&gt;0, J8&lt;&gt;"", I8&lt;&gt;0, I8&lt;&gt;""), L8-I8, "")</f>
        <v/>
      </c>
      <c r="O8" s="33"/>
      <c r="P8" s="32" t="str">
        <f t="shared" ref="P8:P20" si="3">IF(AND(O8&lt;&gt;"", O8&lt;&gt;0, L8&lt;&gt;"", L8&lt;&gt;0), -O8+L8, "")</f>
        <v/>
      </c>
      <c r="Q8" s="34" t="str">
        <f t="shared" ref="Q8:Q20" si="4">IF(AND(P8&lt;&gt;"", P8&lt;&gt;0, O8&lt;&gt;0, O8&lt;&gt;""), P8/O8, "")</f>
        <v/>
      </c>
      <c r="R8" s="35"/>
      <c r="S8" s="35"/>
      <c r="T8" s="52"/>
      <c r="U8" s="52"/>
      <c r="V8" s="52"/>
      <c r="W8" s="52"/>
    </row>
    <row r="9" spans="2:23" ht="15.75" customHeight="1">
      <c r="B9" s="269"/>
      <c r="C9" s="52"/>
      <c r="D9" s="52"/>
      <c r="E9" s="52"/>
      <c r="F9" s="612" t="s">
        <v>14</v>
      </c>
      <c r="G9" s="613"/>
      <c r="H9" s="614"/>
      <c r="I9" s="36">
        <f>I8/I11</f>
        <v>0</v>
      </c>
      <c r="J9" s="37">
        <f>E48</f>
        <v>70</v>
      </c>
      <c r="K9" s="38" t="str">
        <f t="shared" si="0"/>
        <v/>
      </c>
      <c r="L9" s="167">
        <f>IF(SUMIF($E$25:$E$47,"&gt;=0",$Q$25:$Q$47)&lt;&gt;0,I9*E48/SUMIF($E$25:$E$47,"&gt;=0",$Q$25:$Q$47),0)</f>
        <v>0</v>
      </c>
      <c r="M9" s="40" t="str">
        <f t="shared" si="1"/>
        <v/>
      </c>
      <c r="N9" s="41" t="str">
        <f t="shared" si="2"/>
        <v/>
      </c>
      <c r="O9" s="42" t="e">
        <f>O8/O11</f>
        <v>#DIV/0!</v>
      </c>
      <c r="P9" s="41" t="e">
        <f t="shared" si="3"/>
        <v>#DIV/0!</v>
      </c>
      <c r="Q9" s="43" t="e">
        <f t="shared" si="4"/>
        <v>#DIV/0!</v>
      </c>
      <c r="R9" s="35"/>
      <c r="S9" s="35"/>
      <c r="T9" s="52"/>
      <c r="U9" s="52"/>
      <c r="V9" s="52"/>
      <c r="W9" s="52"/>
    </row>
    <row r="10" spans="2:23" ht="15.75" customHeight="1">
      <c r="B10" s="269"/>
      <c r="C10" s="52"/>
      <c r="D10" s="52"/>
      <c r="E10" s="52"/>
      <c r="F10" s="609" t="s">
        <v>15</v>
      </c>
      <c r="G10" s="610"/>
      <c r="H10" s="611"/>
      <c r="I10" s="48">
        <f>I11*I12</f>
        <v>5904</v>
      </c>
      <c r="J10" s="168">
        <f>H48</f>
        <v>6645.5181818181818</v>
      </c>
      <c r="K10" s="214">
        <f t="shared" si="0"/>
        <v>1.1255958980044345</v>
      </c>
      <c r="L10" s="167">
        <f>J10</f>
        <v>6645.5181818181818</v>
      </c>
      <c r="M10" s="46">
        <f t="shared" si="1"/>
        <v>1.1255958980044345</v>
      </c>
      <c r="N10" s="47">
        <f t="shared" si="2"/>
        <v>741.5181818181818</v>
      </c>
      <c r="O10" s="48">
        <f>O11*O12</f>
        <v>0</v>
      </c>
      <c r="P10" s="47" t="str">
        <f t="shared" si="3"/>
        <v/>
      </c>
      <c r="Q10" s="49" t="str">
        <f t="shared" si="4"/>
        <v/>
      </c>
      <c r="R10" s="35"/>
      <c r="S10" s="35"/>
      <c r="T10" s="52"/>
      <c r="U10" s="52"/>
      <c r="V10" s="52"/>
      <c r="W10" s="52"/>
    </row>
    <row r="11" spans="2:23" ht="15.75" customHeight="1">
      <c r="B11" s="269"/>
      <c r="C11" s="52"/>
      <c r="D11" s="52"/>
      <c r="E11" s="52"/>
      <c r="F11" s="612" t="s">
        <v>16</v>
      </c>
      <c r="G11" s="613"/>
      <c r="H11" s="614"/>
      <c r="I11" s="50">
        <f>'Ялта, Ленина, 18'!I11</f>
        <v>3690</v>
      </c>
      <c r="J11" s="37">
        <f>F48</f>
        <v>3132.8871428571429</v>
      </c>
      <c r="K11" s="215">
        <f t="shared" si="0"/>
        <v>0.849020905923345</v>
      </c>
      <c r="L11" s="167" t="str">
        <f>IF(L9&gt;0, L8/L9, "")</f>
        <v/>
      </c>
      <c r="M11" s="40" t="str">
        <f t="shared" si="1"/>
        <v/>
      </c>
      <c r="N11" s="41" t="e">
        <f t="shared" si="2"/>
        <v>#VALUE!</v>
      </c>
      <c r="O11" s="51"/>
      <c r="P11" s="41" t="str">
        <f t="shared" si="3"/>
        <v/>
      </c>
      <c r="Q11" s="43" t="str">
        <f t="shared" si="4"/>
        <v/>
      </c>
      <c r="R11" s="35"/>
      <c r="S11" s="52"/>
      <c r="T11" s="52"/>
      <c r="U11" s="52"/>
      <c r="V11" s="52"/>
      <c r="W11" s="52"/>
    </row>
    <row r="12" spans="2:23" ht="15.75" customHeight="1">
      <c r="B12" s="269"/>
      <c r="C12" s="52"/>
      <c r="D12" s="52"/>
      <c r="E12" s="52"/>
      <c r="F12" s="612" t="s">
        <v>17</v>
      </c>
      <c r="G12" s="613"/>
      <c r="H12" s="614"/>
      <c r="I12" s="53">
        <f>'Ялта, Ленина, 18'!I12</f>
        <v>1.6</v>
      </c>
      <c r="J12" s="54">
        <f>J48</f>
        <v>2.1212121212121211</v>
      </c>
      <c r="K12" s="215">
        <f t="shared" si="0"/>
        <v>1.3257575757575757</v>
      </c>
      <c r="L12" s="169">
        <f>J12</f>
        <v>2.1212121212121211</v>
      </c>
      <c r="M12" s="40">
        <f t="shared" si="1"/>
        <v>1.3257575757575757</v>
      </c>
      <c r="N12" s="56">
        <f t="shared" si="2"/>
        <v>0.52121212121212102</v>
      </c>
      <c r="O12" s="57"/>
      <c r="P12" s="41" t="str">
        <f t="shared" si="3"/>
        <v/>
      </c>
      <c r="Q12" s="43" t="str">
        <f t="shared" si="4"/>
        <v/>
      </c>
      <c r="R12" s="35"/>
      <c r="S12" s="52"/>
      <c r="T12" s="52"/>
      <c r="U12" s="52"/>
      <c r="V12" s="52"/>
      <c r="W12" s="52"/>
    </row>
    <row r="13" spans="2:23" ht="15.75" customHeight="1">
      <c r="B13" s="269"/>
      <c r="C13" s="52"/>
      <c r="D13" s="52"/>
      <c r="E13" s="52"/>
      <c r="F13" s="612" t="s">
        <v>18</v>
      </c>
      <c r="G13" s="613"/>
      <c r="H13" s="614"/>
      <c r="I13" s="36">
        <f>IF(I12&lt;&gt;0, I9/I12, "")</f>
        <v>0</v>
      </c>
      <c r="J13" s="37">
        <f>G48</f>
        <v>33</v>
      </c>
      <c r="K13" s="215" t="str">
        <f t="shared" si="0"/>
        <v/>
      </c>
      <c r="L13" s="167" t="str">
        <f>IF(SUMIF($G$25:$G$47,"&gt;=0",$R$25:$R$47)&lt;&gt;0,I13*G48/SUMIF($G$25:$G$47,"&gt;=0",$R$25:$R$47),"")</f>
        <v/>
      </c>
      <c r="M13" s="40" t="str">
        <f t="shared" si="1"/>
        <v/>
      </c>
      <c r="N13" s="56" t="str">
        <f t="shared" si="2"/>
        <v/>
      </c>
      <c r="O13" s="58"/>
      <c r="P13" s="41" t="str">
        <f t="shared" si="3"/>
        <v/>
      </c>
      <c r="Q13" s="43" t="str">
        <f t="shared" si="4"/>
        <v/>
      </c>
      <c r="R13" s="35"/>
      <c r="S13" s="52"/>
      <c r="T13" s="52"/>
      <c r="U13" s="52"/>
      <c r="V13" s="52"/>
      <c r="W13" s="52"/>
    </row>
    <row r="14" spans="2:23" ht="15.75" customHeight="1">
      <c r="B14" s="269"/>
      <c r="C14" s="52"/>
      <c r="D14" s="52"/>
      <c r="E14" s="52"/>
      <c r="F14" s="612" t="s">
        <v>58</v>
      </c>
      <c r="G14" s="613"/>
      <c r="H14" s="614"/>
      <c r="I14" s="50"/>
      <c r="J14" s="59">
        <v>5</v>
      </c>
      <c r="K14" s="38" t="str">
        <f t="shared" si="0"/>
        <v/>
      </c>
      <c r="L14" s="167" t="str">
        <f>IF(SUMIF($D$25:$D$47,"&gt;=0",$P$25:$P$47),I48*I8/SUMIF($D$25:$D$47,"&gt;=0",$P$25:$P$47),"")</f>
        <v/>
      </c>
      <c r="M14" s="40" t="str">
        <f t="shared" si="1"/>
        <v/>
      </c>
      <c r="N14" s="41" t="str">
        <f t="shared" si="2"/>
        <v/>
      </c>
      <c r="O14" s="58"/>
      <c r="P14" s="41" t="str">
        <f t="shared" si="3"/>
        <v/>
      </c>
      <c r="Q14" s="43" t="str">
        <f t="shared" si="4"/>
        <v/>
      </c>
      <c r="R14" s="35"/>
      <c r="S14" s="60"/>
      <c r="T14" s="52"/>
      <c r="U14" s="52"/>
      <c r="V14" s="52"/>
      <c r="W14" s="52"/>
    </row>
    <row r="15" spans="2:23" ht="15.75" customHeight="1">
      <c r="B15" s="269"/>
      <c r="C15" s="52"/>
      <c r="D15" s="52"/>
      <c r="E15" s="52"/>
      <c r="F15" s="612" t="s">
        <v>20</v>
      </c>
      <c r="G15" s="613"/>
      <c r="H15" s="614"/>
      <c r="I15" s="70">
        <f>'Ялта, Ленина, 18'!I15</f>
        <v>60000</v>
      </c>
      <c r="J15" s="62">
        <f>J8/J14</f>
        <v>43860.42</v>
      </c>
      <c r="K15" s="63">
        <f t="shared" si="0"/>
        <v>0.73100699999999996</v>
      </c>
      <c r="L15" s="67">
        <f t="shared" ref="L15:L19" si="5">J15</f>
        <v>43860.42</v>
      </c>
      <c r="M15" s="65">
        <f t="shared" si="1"/>
        <v>0.73100699999999996</v>
      </c>
      <c r="N15" s="41">
        <f t="shared" si="2"/>
        <v>-16139.580000000002</v>
      </c>
      <c r="O15" s="66"/>
      <c r="P15" s="41" t="str">
        <f t="shared" si="3"/>
        <v/>
      </c>
      <c r="Q15" s="43" t="str">
        <f t="shared" si="4"/>
        <v/>
      </c>
      <c r="R15" s="35"/>
      <c r="S15" s="35"/>
      <c r="T15" s="52"/>
      <c r="U15" s="52"/>
      <c r="V15" s="52"/>
      <c r="W15" s="52"/>
    </row>
    <row r="16" spans="2:23" ht="15.75" customHeight="1">
      <c r="B16" s="269"/>
      <c r="C16" s="52"/>
      <c r="D16" s="52"/>
      <c r="E16" s="52"/>
      <c r="F16" s="612" t="s">
        <v>21</v>
      </c>
      <c r="G16" s="613"/>
      <c r="H16" s="614"/>
      <c r="I16" s="70"/>
      <c r="J16" s="62">
        <f>J8-I15*J14</f>
        <v>-80697.899999999994</v>
      </c>
      <c r="K16" s="63" t="str">
        <f t="shared" si="0"/>
        <v/>
      </c>
      <c r="L16" s="67">
        <f t="shared" si="5"/>
        <v>-80697.899999999994</v>
      </c>
      <c r="M16" s="68" t="str">
        <f t="shared" si="1"/>
        <v/>
      </c>
      <c r="N16" s="41" t="str">
        <f t="shared" si="2"/>
        <v/>
      </c>
      <c r="O16" s="66"/>
      <c r="P16" s="41" t="str">
        <f t="shared" si="3"/>
        <v/>
      </c>
      <c r="Q16" s="43" t="str">
        <f t="shared" si="4"/>
        <v/>
      </c>
      <c r="R16" s="35"/>
      <c r="S16" s="618" t="s">
        <v>22</v>
      </c>
      <c r="T16" s="52"/>
      <c r="U16" s="52"/>
      <c r="V16" s="52"/>
      <c r="W16" s="52"/>
    </row>
    <row r="17" spans="1:33" ht="15.75" customHeight="1">
      <c r="B17" s="269"/>
      <c r="C17" s="52"/>
      <c r="D17" s="52"/>
      <c r="E17" s="52"/>
      <c r="F17" s="612" t="s">
        <v>23</v>
      </c>
      <c r="G17" s="613"/>
      <c r="H17" s="614"/>
      <c r="I17" s="70">
        <f>'Ялта, Ленина, 18'!I17/График!AJ31*График!AJ27</f>
        <v>0</v>
      </c>
      <c r="J17" s="62">
        <f>I48</f>
        <v>0</v>
      </c>
      <c r="K17" s="63" t="str">
        <f t="shared" si="0"/>
        <v/>
      </c>
      <c r="L17" s="67">
        <f t="shared" si="5"/>
        <v>0</v>
      </c>
      <c r="M17" s="68" t="str">
        <f t="shared" si="1"/>
        <v/>
      </c>
      <c r="N17" s="41" t="str">
        <f t="shared" si="2"/>
        <v/>
      </c>
      <c r="O17" s="66"/>
      <c r="P17" s="41" t="str">
        <f t="shared" si="3"/>
        <v/>
      </c>
      <c r="Q17" s="43" t="str">
        <f t="shared" si="4"/>
        <v/>
      </c>
      <c r="R17" s="35"/>
      <c r="S17" s="618"/>
      <c r="T17" s="52"/>
      <c r="U17" s="52"/>
      <c r="V17" s="52"/>
      <c r="W17" s="52"/>
    </row>
    <row r="18" spans="1:33" ht="15.75" customHeight="1">
      <c r="B18" s="269"/>
      <c r="C18" s="52"/>
      <c r="D18" s="52"/>
      <c r="E18" s="52"/>
      <c r="F18" s="612"/>
      <c r="G18" s="613"/>
      <c r="H18" s="614"/>
      <c r="I18" s="71"/>
      <c r="J18" s="62"/>
      <c r="K18" s="63" t="str">
        <f t="shared" si="0"/>
        <v/>
      </c>
      <c r="L18" s="67">
        <f t="shared" si="5"/>
        <v>0</v>
      </c>
      <c r="M18" s="68" t="str">
        <f t="shared" si="1"/>
        <v/>
      </c>
      <c r="N18" s="41" t="str">
        <f t="shared" si="2"/>
        <v/>
      </c>
      <c r="O18" s="72">
        <v>0</v>
      </c>
      <c r="P18" s="41" t="str">
        <f t="shared" si="3"/>
        <v/>
      </c>
      <c r="Q18" s="43" t="str">
        <f t="shared" si="4"/>
        <v/>
      </c>
      <c r="R18" s="35"/>
      <c r="S18" s="73">
        <v>5000</v>
      </c>
      <c r="T18" s="52"/>
      <c r="U18" s="52"/>
      <c r="V18" s="52"/>
      <c r="W18" s="52"/>
    </row>
    <row r="19" spans="1:33" ht="15.75" customHeight="1">
      <c r="B19" s="269"/>
      <c r="C19" s="52"/>
      <c r="D19" s="52"/>
      <c r="E19" s="52"/>
      <c r="F19" s="612"/>
      <c r="G19" s="613"/>
      <c r="H19" s="614"/>
      <c r="I19" s="71"/>
      <c r="J19" s="62"/>
      <c r="K19" s="63" t="str">
        <f t="shared" si="0"/>
        <v/>
      </c>
      <c r="L19" s="67">
        <f t="shared" si="5"/>
        <v>0</v>
      </c>
      <c r="M19" s="68" t="str">
        <f t="shared" si="1"/>
        <v/>
      </c>
      <c r="N19" s="41" t="str">
        <f t="shared" si="2"/>
        <v/>
      </c>
      <c r="O19" s="66">
        <v>0</v>
      </c>
      <c r="P19" s="41" t="str">
        <f t="shared" si="3"/>
        <v/>
      </c>
      <c r="Q19" s="43" t="str">
        <f t="shared" si="4"/>
        <v/>
      </c>
      <c r="R19" s="35"/>
      <c r="S19" s="74" t="e">
        <f>S18/I16</f>
        <v>#DIV/0!</v>
      </c>
      <c r="T19" s="52"/>
      <c r="U19" s="52"/>
      <c r="V19" s="52"/>
      <c r="W19" s="52"/>
    </row>
    <row r="20" spans="1:33" ht="15.75" customHeight="1">
      <c r="B20" s="269"/>
      <c r="C20" s="52"/>
      <c r="D20" s="52"/>
      <c r="E20" s="52"/>
      <c r="F20" s="621" t="s">
        <v>24</v>
      </c>
      <c r="G20" s="621"/>
      <c r="H20" s="621"/>
      <c r="I20" s="75">
        <f>'Ялта, Ленина, 18'!I20</f>
        <v>0.25700000000000001</v>
      </c>
      <c r="J20" s="171" t="str">
        <f>N48</f>
        <v/>
      </c>
      <c r="K20" s="171" t="e">
        <f>J20/I20</f>
        <v>#VALUE!</v>
      </c>
      <c r="L20" s="78">
        <f>IF(AND(K8&lt;&gt;0,I14&lt;&gt;0,I48&lt;&gt;0),(I48*N48+(I48/K8-I48)*I20)/(I48/K8),0)</f>
        <v>0</v>
      </c>
      <c r="M20" s="79" t="str">
        <f t="shared" si="1"/>
        <v/>
      </c>
      <c r="N20" s="80" t="str">
        <f t="shared" si="2"/>
        <v/>
      </c>
      <c r="O20" s="81"/>
      <c r="P20" s="82" t="str">
        <f t="shared" si="3"/>
        <v/>
      </c>
      <c r="Q20" s="83" t="str">
        <f t="shared" si="4"/>
        <v/>
      </c>
      <c r="R20" s="35"/>
      <c r="S20" s="35"/>
      <c r="T20" s="52"/>
      <c r="U20" s="52"/>
      <c r="V20" s="52"/>
      <c r="W20" s="52"/>
    </row>
    <row r="21" spans="1:33" ht="15.75" customHeight="1">
      <c r="B21" s="269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35"/>
      <c r="S21" s="35"/>
      <c r="T21" s="52"/>
      <c r="U21" s="52"/>
      <c r="V21" s="52"/>
      <c r="W21" s="52"/>
    </row>
    <row r="22" spans="1:33" ht="16.5" customHeight="1">
      <c r="B22" s="703" t="s">
        <v>25</v>
      </c>
      <c r="C22" s="703"/>
      <c r="D22" s="703"/>
      <c r="E22" s="703"/>
      <c r="F22" s="703"/>
      <c r="G22" s="703"/>
      <c r="H22" s="703"/>
      <c r="I22" s="703"/>
      <c r="J22" s="703"/>
      <c r="K22" s="703"/>
      <c r="L22" s="703"/>
      <c r="M22" s="703"/>
      <c r="N22" s="703"/>
      <c r="O22" s="705" t="s">
        <v>26</v>
      </c>
      <c r="P22" s="703" t="s">
        <v>27</v>
      </c>
      <c r="Q22" s="703"/>
      <c r="R22" s="703"/>
      <c r="S22" s="703"/>
      <c r="T22" s="703"/>
      <c r="U22" s="703"/>
      <c r="V22" s="703"/>
      <c r="W22" s="703"/>
    </row>
    <row r="23" spans="1:33" ht="36">
      <c r="B23" s="173" t="s">
        <v>29</v>
      </c>
      <c r="C23" s="173" t="s">
        <v>30</v>
      </c>
      <c r="D23" s="173" t="s">
        <v>31</v>
      </c>
      <c r="E23" s="173" t="s">
        <v>32</v>
      </c>
      <c r="F23" s="173" t="s">
        <v>33</v>
      </c>
      <c r="G23" s="173" t="s">
        <v>34</v>
      </c>
      <c r="H23" s="173" t="s">
        <v>35</v>
      </c>
      <c r="I23" s="173" t="s">
        <v>23</v>
      </c>
      <c r="J23" s="173" t="s">
        <v>36</v>
      </c>
      <c r="K23" s="173" t="s">
        <v>37</v>
      </c>
      <c r="L23" s="173" t="s">
        <v>37</v>
      </c>
      <c r="M23" s="173" t="s">
        <v>37</v>
      </c>
      <c r="N23" s="173" t="s">
        <v>38</v>
      </c>
      <c r="O23" s="705"/>
      <c r="P23" s="173" t="s">
        <v>39</v>
      </c>
      <c r="Q23" s="173" t="s">
        <v>40</v>
      </c>
      <c r="R23" s="173" t="s">
        <v>41</v>
      </c>
      <c r="S23" s="173" t="s">
        <v>42</v>
      </c>
      <c r="T23" s="173" t="s">
        <v>43</v>
      </c>
      <c r="U23" s="173" t="s">
        <v>44</v>
      </c>
      <c r="V23" s="270" t="s">
        <v>45</v>
      </c>
      <c r="W23" s="270" t="s">
        <v>46</v>
      </c>
      <c r="X23" s="175"/>
    </row>
    <row r="24" spans="1:33">
      <c r="A24" s="271"/>
      <c r="B24" s="272">
        <v>1</v>
      </c>
      <c r="C24" s="273">
        <v>2</v>
      </c>
      <c r="D24" s="273">
        <v>3</v>
      </c>
      <c r="E24" s="273" t="s">
        <v>60</v>
      </c>
      <c r="F24" s="273">
        <v>5</v>
      </c>
      <c r="G24" s="273">
        <v>6</v>
      </c>
      <c r="H24" s="273">
        <v>7</v>
      </c>
      <c r="I24" s="273">
        <v>8</v>
      </c>
      <c r="J24" s="273">
        <v>9</v>
      </c>
      <c r="K24" s="273">
        <v>10</v>
      </c>
      <c r="L24" s="273">
        <v>11</v>
      </c>
      <c r="M24" s="273">
        <v>12</v>
      </c>
      <c r="N24" s="273">
        <v>13</v>
      </c>
      <c r="O24" s="705"/>
      <c r="P24" s="274">
        <v>1</v>
      </c>
      <c r="Q24" s="274">
        <v>2</v>
      </c>
      <c r="R24" s="274">
        <v>3</v>
      </c>
      <c r="S24" s="274">
        <v>4</v>
      </c>
      <c r="T24" s="274">
        <v>5</v>
      </c>
      <c r="U24" s="274">
        <v>6</v>
      </c>
      <c r="V24" s="274">
        <v>10</v>
      </c>
      <c r="W24" s="274">
        <v>11</v>
      </c>
    </row>
    <row r="25" spans="1:33" s="217" customFormat="1">
      <c r="A25" s="218" t="s">
        <v>114</v>
      </c>
      <c r="B25" s="229">
        <v>45665</v>
      </c>
      <c r="C25" s="243" t="s">
        <v>47</v>
      </c>
      <c r="D25" s="233">
        <v>7913</v>
      </c>
      <c r="E25" s="232">
        <v>2</v>
      </c>
      <c r="F25" s="220">
        <f t="shared" ref="F25:F48" si="6">IF(AND(E25&lt;&gt;"",E25&lt;&gt;0),D25/E25,"")</f>
        <v>3956.5</v>
      </c>
      <c r="G25" s="232">
        <v>1</v>
      </c>
      <c r="H25" s="220">
        <f t="shared" ref="H25:H48" si="7">IF(AND(G25&lt;&gt;"",G25&lt;&gt;0),D25/G25,"")</f>
        <v>7913</v>
      </c>
      <c r="I25" s="232"/>
      <c r="J25" s="233">
        <f t="shared" ref="J25:J48" si="8">IF(AND(G25&lt;&gt;"",G25&lt;&gt;0),E25/G25,"")</f>
        <v>2</v>
      </c>
      <c r="K25" s="220"/>
      <c r="L25" s="220"/>
      <c r="M25" s="220"/>
      <c r="N25" s="221" t="str">
        <f t="shared" ref="N25:N48" si="9">IF(AND(I25&lt;&gt;"",I25&lt;&gt;0),G25/I25,"")</f>
        <v/>
      </c>
      <c r="O25" s="222" t="e">
        <f t="shared" ref="O25:O48" si="10">D25/P25</f>
        <v>#DIV/0!</v>
      </c>
      <c r="P25" s="223">
        <f t="shared" ref="P25:P37" si="11">$I$8*V25*W25/SUMPRODUCT($W$25:$W$55,$V$25:$V$55)</f>
        <v>0</v>
      </c>
      <c r="Q25" s="224">
        <f t="shared" ref="Q25:Q37" si="12">$I$9*V25*W25/SUMPRODUCT($W$25:$W$55,$V$25:$V$55)</f>
        <v>0</v>
      </c>
      <c r="R25" s="224">
        <f t="shared" ref="R25:R39" si="13">IF($I$12="","",Q25/$I$12)</f>
        <v>0</v>
      </c>
      <c r="S25" s="223">
        <f>IF(W25&lt;&gt;"",IF(D25&lt;&gt;"",D25,($I$8-SUM($S24:S$25))*V25*W25/SUMPRODUCT($W25:$W$55,$V25:$V$55)),"")</f>
        <v>7913</v>
      </c>
      <c r="T25" s="224">
        <f>IF(W25&lt;&gt;"",IF(E25&lt;&gt;"",E25,($I$9-SUM($T24:T$25))*V25*W25/SUMPRODUCT($W25:$W$55,$V25:$V$55)),"")</f>
        <v>2</v>
      </c>
      <c r="U25" s="224">
        <f>IF(W25&lt;&gt;"",IF($I$12&lt;&gt;"",IF(G25&lt;&gt;"",G25,($I$9/$I$12-SUM($U24:U$25))*V25*W25/SUMPRODUCT($W25:$W$55,$V25:$V$55)),""),"")</f>
        <v>1</v>
      </c>
      <c r="V25" s="225">
        <v>1</v>
      </c>
      <c r="W25" s="225">
        <v>1</v>
      </c>
      <c r="X25" s="227"/>
      <c r="Y25" s="227"/>
      <c r="Z25" s="247"/>
      <c r="AA25" s="226"/>
      <c r="AB25" s="226"/>
      <c r="AC25" s="226"/>
      <c r="AD25" s="226"/>
      <c r="AE25" s="226"/>
      <c r="AF25" s="226"/>
      <c r="AG25" s="226"/>
    </row>
    <row r="26" spans="1:33" s="217" customFormat="1">
      <c r="A26" s="218" t="s">
        <v>118</v>
      </c>
      <c r="B26" s="229">
        <v>45659</v>
      </c>
      <c r="C26" s="261"/>
      <c r="D26" s="231"/>
      <c r="E26" s="220">
        <v>18</v>
      </c>
      <c r="F26" s="232">
        <f t="shared" si="6"/>
        <v>0</v>
      </c>
      <c r="G26" s="220">
        <v>10</v>
      </c>
      <c r="H26" s="232">
        <f t="shared" si="7"/>
        <v>0</v>
      </c>
      <c r="I26" s="220"/>
      <c r="J26" s="231">
        <f t="shared" si="8"/>
        <v>1.8</v>
      </c>
      <c r="K26" s="220"/>
      <c r="L26" s="232"/>
      <c r="M26" s="220"/>
      <c r="N26" s="275" t="str">
        <f t="shared" si="9"/>
        <v/>
      </c>
      <c r="O26" s="222" t="e">
        <f t="shared" si="10"/>
        <v>#DIV/0!</v>
      </c>
      <c r="P26" s="246">
        <f t="shared" si="11"/>
        <v>0</v>
      </c>
      <c r="Q26" s="224">
        <f t="shared" si="12"/>
        <v>0</v>
      </c>
      <c r="R26" s="245">
        <f t="shared" si="13"/>
        <v>0</v>
      </c>
      <c r="S26" s="223">
        <f t="shared" ref="S26:S47" si="14">IF(W26&lt;&gt;"",IF(D26&lt;&gt;"",D26,($I$8-SUM($S$25:S25))*V26*W26/SUMPRODUCT($W26:$W$55,$V26:$V$55)),"")</f>
        <v>-879.22222222222217</v>
      </c>
      <c r="T26" s="245">
        <f t="shared" ref="T26:T47" si="15">IF(W26&lt;&gt;"",IF(E26&lt;&gt;"",E26,($I$9-SUM($T$25:T25))*V26*W26/SUMPRODUCT($W26:$W$55,$V26:$V$55)),"")</f>
        <v>18</v>
      </c>
      <c r="U26" s="224">
        <f t="shared" ref="U26:U47" si="16">IF(W26&lt;&gt;"",IF($I$12&lt;&gt;"",IF(G26&lt;&gt;"",G26,($I$9/$I$12-SUM($U$25:U25))*V26*W26/SUMPRODUCT($W26:$W$55,$V26:$V$55)),""),"")</f>
        <v>10</v>
      </c>
      <c r="V26" s="276">
        <v>1</v>
      </c>
      <c r="W26" s="225">
        <v>1</v>
      </c>
      <c r="X26" s="227"/>
      <c r="Y26" s="227"/>
      <c r="Z26" s="247"/>
      <c r="AA26" s="226"/>
      <c r="AB26" s="226"/>
      <c r="AC26" s="226"/>
      <c r="AD26" s="226"/>
      <c r="AE26" s="226"/>
      <c r="AF26" s="226"/>
      <c r="AG26" s="226"/>
    </row>
    <row r="27" spans="1:33" s="234" customFormat="1">
      <c r="A27" s="218" t="s">
        <v>118</v>
      </c>
      <c r="B27" s="277">
        <v>45660</v>
      </c>
      <c r="C27" s="278"/>
      <c r="D27" s="279"/>
      <c r="E27" s="235">
        <v>13</v>
      </c>
      <c r="F27" s="110">
        <f t="shared" si="6"/>
        <v>0</v>
      </c>
      <c r="G27" s="235">
        <v>7</v>
      </c>
      <c r="H27" s="110">
        <f t="shared" si="7"/>
        <v>0</v>
      </c>
      <c r="I27" s="235"/>
      <c r="J27" s="109">
        <f t="shared" si="8"/>
        <v>1.8571428571428572</v>
      </c>
      <c r="K27" s="110"/>
      <c r="L27" s="110"/>
      <c r="M27" s="110"/>
      <c r="N27" s="236" t="str">
        <f t="shared" si="9"/>
        <v/>
      </c>
      <c r="O27" s="112" t="e">
        <f t="shared" si="10"/>
        <v>#DIV/0!</v>
      </c>
      <c r="P27" s="237">
        <f t="shared" si="11"/>
        <v>0</v>
      </c>
      <c r="Q27" s="113">
        <f t="shared" si="12"/>
        <v>0</v>
      </c>
      <c r="R27" s="113">
        <f t="shared" si="13"/>
        <v>0</v>
      </c>
      <c r="S27" s="237">
        <f t="shared" si="14"/>
        <v>-879.22222222222217</v>
      </c>
      <c r="T27" s="113">
        <f t="shared" si="15"/>
        <v>13</v>
      </c>
      <c r="U27" s="113">
        <f t="shared" si="16"/>
        <v>7</v>
      </c>
      <c r="V27" s="238">
        <v>1</v>
      </c>
      <c r="W27" s="238">
        <v>1</v>
      </c>
      <c r="X27" s="239"/>
      <c r="Y27" s="239"/>
      <c r="Z27" s="280"/>
      <c r="AA27" s="240"/>
      <c r="AB27" s="240"/>
      <c r="AC27" s="240"/>
      <c r="AD27" s="240"/>
      <c r="AE27" s="240"/>
      <c r="AF27" s="240"/>
      <c r="AG27" s="240"/>
    </row>
    <row r="28" spans="1:33" s="217" customFormat="1">
      <c r="A28" s="218" t="s">
        <v>118</v>
      </c>
      <c r="B28" s="281">
        <v>45661</v>
      </c>
      <c r="C28" s="282"/>
      <c r="D28" s="231"/>
      <c r="E28" s="230">
        <v>17</v>
      </c>
      <c r="F28" s="232">
        <f t="shared" si="6"/>
        <v>0</v>
      </c>
      <c r="G28" s="220">
        <v>9</v>
      </c>
      <c r="H28" s="232">
        <f t="shared" si="7"/>
        <v>0</v>
      </c>
      <c r="I28" s="220"/>
      <c r="J28" s="233">
        <f t="shared" si="8"/>
        <v>1.8888888888888888</v>
      </c>
      <c r="K28" s="220"/>
      <c r="L28" s="220"/>
      <c r="M28" s="220"/>
      <c r="N28" s="221" t="str">
        <f t="shared" si="9"/>
        <v/>
      </c>
      <c r="O28" s="222" t="e">
        <f t="shared" si="10"/>
        <v>#DIV/0!</v>
      </c>
      <c r="P28" s="223">
        <f t="shared" si="11"/>
        <v>0</v>
      </c>
      <c r="Q28" s="224">
        <f t="shared" si="12"/>
        <v>0</v>
      </c>
      <c r="R28" s="224">
        <f t="shared" si="13"/>
        <v>0</v>
      </c>
      <c r="S28" s="223">
        <f t="shared" si="14"/>
        <v>-879.22222222222206</v>
      </c>
      <c r="T28" s="224">
        <f t="shared" si="15"/>
        <v>17</v>
      </c>
      <c r="U28" s="224">
        <f t="shared" si="16"/>
        <v>9</v>
      </c>
      <c r="V28" s="225">
        <v>1</v>
      </c>
      <c r="W28" s="225">
        <v>1</v>
      </c>
      <c r="X28" s="227"/>
      <c r="Y28" s="227"/>
      <c r="Z28" s="226"/>
      <c r="AA28" s="226"/>
      <c r="AB28" s="226"/>
      <c r="AC28" s="226"/>
      <c r="AD28" s="226"/>
      <c r="AE28" s="226"/>
      <c r="AF28" s="226"/>
      <c r="AG28" s="226"/>
    </row>
    <row r="29" spans="1:33" s="217" customFormat="1">
      <c r="A29" s="218" t="s">
        <v>118</v>
      </c>
      <c r="B29" s="281">
        <v>45662</v>
      </c>
      <c r="C29" s="282"/>
      <c r="D29" s="283">
        <v>211389.1</v>
      </c>
      <c r="E29" s="232">
        <v>20</v>
      </c>
      <c r="F29" s="220">
        <f t="shared" si="6"/>
        <v>10569.455</v>
      </c>
      <c r="G29" s="232">
        <v>6</v>
      </c>
      <c r="H29" s="220">
        <f t="shared" si="7"/>
        <v>35231.51666666667</v>
      </c>
      <c r="I29" s="232"/>
      <c r="J29" s="233">
        <f t="shared" si="8"/>
        <v>3.3333333333333335</v>
      </c>
      <c r="K29" s="220"/>
      <c r="L29" s="220"/>
      <c r="M29" s="220"/>
      <c r="N29" s="221" t="str">
        <f t="shared" si="9"/>
        <v/>
      </c>
      <c r="O29" s="222" t="e">
        <f t="shared" si="10"/>
        <v>#DIV/0!</v>
      </c>
      <c r="P29" s="223">
        <f t="shared" si="11"/>
        <v>0</v>
      </c>
      <c r="Q29" s="224">
        <f t="shared" si="12"/>
        <v>0</v>
      </c>
      <c r="R29" s="224">
        <f t="shared" si="13"/>
        <v>0</v>
      </c>
      <c r="S29" s="223">
        <f t="shared" si="14"/>
        <v>211389.1</v>
      </c>
      <c r="T29" s="224">
        <f t="shared" si="15"/>
        <v>20</v>
      </c>
      <c r="U29" s="224">
        <f t="shared" si="16"/>
        <v>6</v>
      </c>
      <c r="V29" s="225">
        <v>1</v>
      </c>
      <c r="W29" s="225">
        <v>1</v>
      </c>
      <c r="X29" s="227"/>
      <c r="Y29" s="227"/>
      <c r="Z29" s="226"/>
      <c r="AA29" s="226"/>
      <c r="AB29" s="226"/>
      <c r="AC29" s="226"/>
      <c r="AD29" s="226"/>
      <c r="AE29" s="226"/>
      <c r="AF29" s="226"/>
      <c r="AG29" s="226"/>
    </row>
    <row r="30" spans="1:33" s="217" customFormat="1" ht="15.25" customHeight="1">
      <c r="A30" s="218"/>
      <c r="B30" s="281"/>
      <c r="C30" s="282"/>
      <c r="D30" s="231"/>
      <c r="E30" s="220"/>
      <c r="F30" s="232" t="str">
        <f t="shared" si="6"/>
        <v/>
      </c>
      <c r="G30" s="220"/>
      <c r="H30" s="232" t="str">
        <f t="shared" si="7"/>
        <v/>
      </c>
      <c r="I30" s="220"/>
      <c r="J30" s="231" t="str">
        <f t="shared" si="8"/>
        <v/>
      </c>
      <c r="K30" s="220"/>
      <c r="L30" s="232"/>
      <c r="M30" s="220"/>
      <c r="N30" s="275" t="str">
        <f t="shared" si="9"/>
        <v/>
      </c>
      <c r="O30" s="222" t="e">
        <f t="shared" si="10"/>
        <v>#DIV/0!</v>
      </c>
      <c r="P30" s="246">
        <f t="shared" si="11"/>
        <v>0</v>
      </c>
      <c r="Q30" s="224">
        <f t="shared" si="12"/>
        <v>0</v>
      </c>
      <c r="R30" s="245">
        <f t="shared" si="13"/>
        <v>0</v>
      </c>
      <c r="S30" s="223">
        <f t="shared" si="14"/>
        <v>-43332.886666666673</v>
      </c>
      <c r="T30" s="224">
        <f t="shared" si="15"/>
        <v>-14</v>
      </c>
      <c r="U30" s="224">
        <f t="shared" si="16"/>
        <v>-6.6</v>
      </c>
      <c r="V30" s="225">
        <v>1</v>
      </c>
      <c r="W30" s="225">
        <v>1</v>
      </c>
      <c r="X30" s="227"/>
      <c r="Y30" s="227"/>
      <c r="Z30" s="226"/>
      <c r="AA30" s="226"/>
      <c r="AB30" s="226"/>
      <c r="AC30" s="226"/>
      <c r="AD30" s="226"/>
      <c r="AE30" s="226"/>
      <c r="AF30" s="226"/>
      <c r="AG30" s="226"/>
    </row>
    <row r="31" spans="1:33" s="217" customFormat="1">
      <c r="A31" s="218"/>
      <c r="B31" s="281"/>
      <c r="C31" s="282"/>
      <c r="D31" s="283"/>
      <c r="E31" s="232"/>
      <c r="F31" s="220" t="str">
        <f t="shared" si="6"/>
        <v/>
      </c>
      <c r="G31" s="232"/>
      <c r="H31" s="220" t="str">
        <f t="shared" si="7"/>
        <v/>
      </c>
      <c r="I31" s="232"/>
      <c r="J31" s="233" t="str">
        <f t="shared" si="8"/>
        <v/>
      </c>
      <c r="K31" s="220"/>
      <c r="L31" s="220"/>
      <c r="M31" s="220"/>
      <c r="N31" s="221" t="str">
        <f t="shared" si="9"/>
        <v/>
      </c>
      <c r="O31" s="222" t="e">
        <f t="shared" si="10"/>
        <v>#DIV/0!</v>
      </c>
      <c r="P31" s="223">
        <f t="shared" si="11"/>
        <v>0</v>
      </c>
      <c r="Q31" s="224">
        <f t="shared" si="12"/>
        <v>0</v>
      </c>
      <c r="R31" s="224">
        <f t="shared" si="13"/>
        <v>0</v>
      </c>
      <c r="S31" s="223">
        <f t="shared" si="14"/>
        <v>-43332.886666666673</v>
      </c>
      <c r="T31" s="224">
        <f t="shared" si="15"/>
        <v>-14</v>
      </c>
      <c r="U31" s="224">
        <f t="shared" si="16"/>
        <v>-6.6</v>
      </c>
      <c r="V31" s="225">
        <v>1</v>
      </c>
      <c r="W31" s="225">
        <v>1</v>
      </c>
      <c r="X31" s="227"/>
      <c r="Y31" s="227"/>
      <c r="Z31" s="247"/>
      <c r="AA31" s="226"/>
      <c r="AB31" s="226"/>
      <c r="AC31" s="226"/>
      <c r="AD31" s="226"/>
      <c r="AE31" s="226"/>
      <c r="AF31" s="226"/>
      <c r="AG31" s="226"/>
    </row>
    <row r="32" spans="1:33" s="217" customFormat="1">
      <c r="A32" s="218"/>
      <c r="B32" s="281"/>
      <c r="C32" s="282"/>
      <c r="D32" s="231"/>
      <c r="E32" s="220"/>
      <c r="F32" s="232" t="str">
        <f t="shared" si="6"/>
        <v/>
      </c>
      <c r="G32" s="220"/>
      <c r="H32" s="232" t="str">
        <f t="shared" si="7"/>
        <v/>
      </c>
      <c r="I32" s="220"/>
      <c r="J32" s="233" t="str">
        <f t="shared" si="8"/>
        <v/>
      </c>
      <c r="K32" s="220"/>
      <c r="L32" s="220"/>
      <c r="M32" s="220"/>
      <c r="N32" s="221" t="str">
        <f t="shared" si="9"/>
        <v/>
      </c>
      <c r="O32" s="222" t="e">
        <f t="shared" si="10"/>
        <v>#DIV/0!</v>
      </c>
      <c r="P32" s="223">
        <f t="shared" si="11"/>
        <v>0</v>
      </c>
      <c r="Q32" s="224">
        <f t="shared" si="12"/>
        <v>0</v>
      </c>
      <c r="R32" s="224">
        <f t="shared" si="13"/>
        <v>0</v>
      </c>
      <c r="S32" s="223">
        <f t="shared" si="14"/>
        <v>-43332.886666666673</v>
      </c>
      <c r="T32" s="224">
        <f t="shared" si="15"/>
        <v>-14</v>
      </c>
      <c r="U32" s="224">
        <f t="shared" si="16"/>
        <v>-6.5999999999999988</v>
      </c>
      <c r="V32" s="225">
        <v>1</v>
      </c>
      <c r="W32" s="225">
        <v>1</v>
      </c>
      <c r="X32" s="227"/>
      <c r="Y32" s="227"/>
      <c r="Z32" s="247"/>
      <c r="AA32" s="226"/>
      <c r="AB32" s="226"/>
      <c r="AC32" s="226"/>
      <c r="AD32" s="226"/>
      <c r="AE32" s="226"/>
      <c r="AF32" s="226"/>
      <c r="AG32" s="226"/>
    </row>
    <row r="33" spans="1:33" s="217" customFormat="1">
      <c r="A33" s="218"/>
      <c r="B33" s="281"/>
      <c r="C33" s="282"/>
      <c r="D33" s="283"/>
      <c r="E33" s="220"/>
      <c r="F33" s="220" t="str">
        <f t="shared" si="6"/>
        <v/>
      </c>
      <c r="G33" s="220"/>
      <c r="H33" s="220" t="str">
        <f t="shared" si="7"/>
        <v/>
      </c>
      <c r="I33" s="220"/>
      <c r="J33" s="233" t="str">
        <f t="shared" si="8"/>
        <v/>
      </c>
      <c r="K33" s="220"/>
      <c r="L33" s="220"/>
      <c r="M33" s="220"/>
      <c r="N33" s="221" t="str">
        <f t="shared" si="9"/>
        <v/>
      </c>
      <c r="O33" s="222" t="e">
        <f t="shared" si="10"/>
        <v>#DIV/0!</v>
      </c>
      <c r="P33" s="223">
        <f t="shared" si="11"/>
        <v>0</v>
      </c>
      <c r="Q33" s="224">
        <f t="shared" si="12"/>
        <v>0</v>
      </c>
      <c r="R33" s="224">
        <f t="shared" si="13"/>
        <v>0</v>
      </c>
      <c r="S33" s="223">
        <f t="shared" si="14"/>
        <v>-43332.886666666673</v>
      </c>
      <c r="T33" s="224">
        <f t="shared" si="15"/>
        <v>-14</v>
      </c>
      <c r="U33" s="224">
        <f t="shared" si="16"/>
        <v>-6.6</v>
      </c>
      <c r="V33" s="225">
        <v>1</v>
      </c>
      <c r="W33" s="225">
        <v>1</v>
      </c>
      <c r="X33" s="227"/>
      <c r="Y33" s="227"/>
      <c r="Z33" s="247"/>
      <c r="AA33" s="226"/>
      <c r="AB33" s="226"/>
      <c r="AC33" s="226"/>
      <c r="AD33" s="226"/>
      <c r="AE33" s="226"/>
      <c r="AF33" s="226"/>
      <c r="AG33" s="226"/>
    </row>
    <row r="34" spans="1:33" s="217" customFormat="1">
      <c r="A34" s="218"/>
      <c r="B34" s="229"/>
      <c r="C34" s="284"/>
      <c r="D34" s="233"/>
      <c r="E34" s="232"/>
      <c r="F34" s="220" t="str">
        <f t="shared" si="6"/>
        <v/>
      </c>
      <c r="G34" s="232"/>
      <c r="H34" s="220" t="str">
        <f t="shared" si="7"/>
        <v/>
      </c>
      <c r="I34" s="232"/>
      <c r="J34" s="233" t="str">
        <f t="shared" si="8"/>
        <v/>
      </c>
      <c r="K34" s="232"/>
      <c r="L34" s="220"/>
      <c r="M34" s="232"/>
      <c r="N34" s="221" t="str">
        <f t="shared" si="9"/>
        <v/>
      </c>
      <c r="O34" s="244" t="e">
        <f t="shared" si="10"/>
        <v>#DIV/0!</v>
      </c>
      <c r="P34" s="223">
        <f t="shared" si="11"/>
        <v>0</v>
      </c>
      <c r="Q34" s="245">
        <f t="shared" si="12"/>
        <v>0</v>
      </c>
      <c r="R34" s="224">
        <f t="shared" si="13"/>
        <v>0</v>
      </c>
      <c r="S34" s="223">
        <f t="shared" si="14"/>
        <v>-43332.886666666673</v>
      </c>
      <c r="T34" s="224">
        <f t="shared" si="15"/>
        <v>-14</v>
      </c>
      <c r="U34" s="224">
        <f t="shared" si="16"/>
        <v>-6.6</v>
      </c>
      <c r="V34" s="225">
        <v>1</v>
      </c>
      <c r="W34" s="225">
        <v>1</v>
      </c>
      <c r="X34" s="227"/>
      <c r="Y34" s="227"/>
      <c r="Z34" s="226"/>
      <c r="AA34" s="226"/>
      <c r="AB34" s="226"/>
      <c r="AC34" s="226"/>
      <c r="AD34" s="226"/>
      <c r="AE34" s="226"/>
      <c r="AF34" s="226"/>
      <c r="AG34" s="226"/>
    </row>
    <row r="35" spans="1:33" s="217" customFormat="1">
      <c r="A35" s="218"/>
      <c r="B35" s="229"/>
      <c r="C35" s="230"/>
      <c r="D35" s="233"/>
      <c r="E35" s="220"/>
      <c r="F35" s="220" t="str">
        <f t="shared" si="6"/>
        <v/>
      </c>
      <c r="G35" s="220"/>
      <c r="H35" s="220" t="str">
        <f t="shared" si="7"/>
        <v/>
      </c>
      <c r="I35" s="220"/>
      <c r="J35" s="233" t="str">
        <f t="shared" si="8"/>
        <v/>
      </c>
      <c r="K35" s="220"/>
      <c r="L35" s="220"/>
      <c r="M35" s="220"/>
      <c r="N35" s="221" t="str">
        <f t="shared" si="9"/>
        <v/>
      </c>
      <c r="O35" s="222" t="e">
        <f t="shared" si="10"/>
        <v>#DIV/0!</v>
      </c>
      <c r="P35" s="223">
        <f t="shared" si="11"/>
        <v>0</v>
      </c>
      <c r="Q35" s="224">
        <f t="shared" si="12"/>
        <v>0</v>
      </c>
      <c r="R35" s="224">
        <f t="shared" si="13"/>
        <v>0</v>
      </c>
      <c r="S35" s="223" t="str">
        <f t="shared" si="14"/>
        <v/>
      </c>
      <c r="T35" s="224" t="str">
        <f t="shared" si="15"/>
        <v/>
      </c>
      <c r="U35" s="224" t="str">
        <f t="shared" si="16"/>
        <v/>
      </c>
      <c r="V35" s="225"/>
      <c r="W35" s="225"/>
      <c r="X35" s="227"/>
      <c r="Y35" s="227"/>
      <c r="Z35" s="226"/>
      <c r="AA35" s="226"/>
      <c r="AB35" s="226"/>
      <c r="AC35" s="226"/>
      <c r="AD35" s="226"/>
      <c r="AE35" s="226"/>
      <c r="AF35" s="226"/>
      <c r="AG35" s="226"/>
    </row>
    <row r="36" spans="1:33" s="217" customFormat="1">
      <c r="A36" s="218"/>
      <c r="B36" s="229"/>
      <c r="C36" s="230"/>
      <c r="D36" s="233"/>
      <c r="E36" s="220"/>
      <c r="F36" s="220" t="str">
        <f t="shared" si="6"/>
        <v/>
      </c>
      <c r="G36" s="220"/>
      <c r="H36" s="220" t="str">
        <f t="shared" si="7"/>
        <v/>
      </c>
      <c r="I36" s="220"/>
      <c r="J36" s="233" t="str">
        <f t="shared" si="8"/>
        <v/>
      </c>
      <c r="K36" s="220"/>
      <c r="L36" s="220"/>
      <c r="M36" s="220"/>
      <c r="N36" s="221" t="str">
        <f t="shared" si="9"/>
        <v/>
      </c>
      <c r="O36" s="222" t="e">
        <f t="shared" si="10"/>
        <v>#DIV/0!</v>
      </c>
      <c r="P36" s="223">
        <f t="shared" si="11"/>
        <v>0</v>
      </c>
      <c r="Q36" s="224">
        <f t="shared" si="12"/>
        <v>0</v>
      </c>
      <c r="R36" s="224">
        <f t="shared" si="13"/>
        <v>0</v>
      </c>
      <c r="S36" s="223" t="str">
        <f t="shared" si="14"/>
        <v/>
      </c>
      <c r="T36" s="224" t="str">
        <f t="shared" si="15"/>
        <v/>
      </c>
      <c r="U36" s="224" t="str">
        <f t="shared" si="16"/>
        <v/>
      </c>
      <c r="V36" s="225"/>
      <c r="W36" s="225"/>
      <c r="X36" s="227"/>
      <c r="Y36" s="227"/>
      <c r="Z36" s="247"/>
      <c r="AA36" s="226"/>
      <c r="AB36" s="226"/>
      <c r="AC36" s="226"/>
      <c r="AD36" s="226"/>
      <c r="AE36" s="226"/>
      <c r="AF36" s="226"/>
      <c r="AG36" s="226"/>
    </row>
    <row r="37" spans="1:33" s="217" customFormat="1">
      <c r="A37" s="218"/>
      <c r="B37" s="229"/>
      <c r="C37" s="230"/>
      <c r="D37" s="233"/>
      <c r="E37" s="220"/>
      <c r="F37" s="220" t="str">
        <f t="shared" si="6"/>
        <v/>
      </c>
      <c r="G37" s="220"/>
      <c r="H37" s="220" t="str">
        <f t="shared" si="7"/>
        <v/>
      </c>
      <c r="I37" s="220"/>
      <c r="J37" s="233" t="str">
        <f t="shared" si="8"/>
        <v/>
      </c>
      <c r="K37" s="220"/>
      <c r="L37" s="220"/>
      <c r="M37" s="220"/>
      <c r="N37" s="221" t="str">
        <f t="shared" si="9"/>
        <v/>
      </c>
      <c r="O37" s="222" t="e">
        <f t="shared" si="10"/>
        <v>#DIV/0!</v>
      </c>
      <c r="P37" s="223">
        <f t="shared" si="11"/>
        <v>0</v>
      </c>
      <c r="Q37" s="224">
        <f t="shared" si="12"/>
        <v>0</v>
      </c>
      <c r="R37" s="224">
        <f t="shared" si="13"/>
        <v>0</v>
      </c>
      <c r="S37" s="223" t="str">
        <f t="shared" si="14"/>
        <v/>
      </c>
      <c r="T37" s="224" t="str">
        <f t="shared" si="15"/>
        <v/>
      </c>
      <c r="U37" s="224" t="str">
        <f t="shared" si="16"/>
        <v/>
      </c>
      <c r="V37" s="225"/>
      <c r="W37" s="225"/>
      <c r="X37" s="227"/>
      <c r="Y37" s="227"/>
      <c r="Z37" s="247"/>
      <c r="AA37" s="226"/>
      <c r="AB37" s="226"/>
      <c r="AC37" s="226"/>
      <c r="AD37" s="226"/>
      <c r="AE37" s="226"/>
      <c r="AF37" s="226"/>
      <c r="AG37" s="226"/>
    </row>
    <row r="38" spans="1:33" s="217" customFormat="1">
      <c r="B38" s="285"/>
      <c r="C38" s="230"/>
      <c r="D38" s="286"/>
      <c r="E38" s="287"/>
      <c r="F38" s="220" t="str">
        <f t="shared" si="6"/>
        <v/>
      </c>
      <c r="G38" s="287"/>
      <c r="H38" s="220" t="str">
        <f t="shared" si="7"/>
        <v/>
      </c>
      <c r="I38" s="287"/>
      <c r="J38" s="233" t="str">
        <f t="shared" si="8"/>
        <v/>
      </c>
      <c r="K38" s="220"/>
      <c r="L38" s="220"/>
      <c r="M38" s="220"/>
      <c r="N38" s="248" t="str">
        <f t="shared" si="9"/>
        <v/>
      </c>
      <c r="O38" s="288" t="e">
        <f t="shared" si="10"/>
        <v>#DIV/0!</v>
      </c>
      <c r="P38" s="223">
        <f t="shared" ref="P38:P39" si="17">$I$8*V38*W38/SUMPRODUCT($W$25:$W$44,$V$25:$V$44)</f>
        <v>0</v>
      </c>
      <c r="Q38" s="224">
        <f t="shared" ref="Q38:Q39" si="18">$I$9*V38*W38/SUMPRODUCT($W$25:$W$44,$V$25:$V$44)</f>
        <v>0</v>
      </c>
      <c r="R38" s="224">
        <f t="shared" si="13"/>
        <v>0</v>
      </c>
      <c r="S38" s="223" t="str">
        <f t="shared" si="14"/>
        <v/>
      </c>
      <c r="T38" s="224" t="str">
        <f t="shared" si="15"/>
        <v/>
      </c>
      <c r="U38" s="224" t="str">
        <f t="shared" si="16"/>
        <v/>
      </c>
      <c r="V38" s="225"/>
      <c r="W38" s="225"/>
      <c r="X38" s="289"/>
      <c r="Y38" s="289"/>
      <c r="Z38" s="255"/>
    </row>
    <row r="39" spans="1:33" s="217" customFormat="1">
      <c r="B39" s="285"/>
      <c r="C39" s="230"/>
      <c r="D39" s="286"/>
      <c r="E39" s="287"/>
      <c r="F39" s="220" t="str">
        <f t="shared" si="6"/>
        <v/>
      </c>
      <c r="G39" s="287"/>
      <c r="H39" s="220" t="str">
        <f t="shared" si="7"/>
        <v/>
      </c>
      <c r="I39" s="287"/>
      <c r="J39" s="233" t="str">
        <f t="shared" si="8"/>
        <v/>
      </c>
      <c r="K39" s="220"/>
      <c r="L39" s="220"/>
      <c r="M39" s="220"/>
      <c r="N39" s="248" t="str">
        <f t="shared" si="9"/>
        <v/>
      </c>
      <c r="O39" s="288" t="e">
        <f t="shared" si="10"/>
        <v>#DIV/0!</v>
      </c>
      <c r="P39" s="223">
        <f t="shared" si="17"/>
        <v>0</v>
      </c>
      <c r="Q39" s="224">
        <f t="shared" si="18"/>
        <v>0</v>
      </c>
      <c r="R39" s="224">
        <f t="shared" si="13"/>
        <v>0</v>
      </c>
      <c r="S39" s="223" t="str">
        <f t="shared" si="14"/>
        <v/>
      </c>
      <c r="T39" s="224" t="str">
        <f t="shared" si="15"/>
        <v/>
      </c>
      <c r="U39" s="224" t="str">
        <f t="shared" si="16"/>
        <v/>
      </c>
      <c r="V39" s="225"/>
      <c r="W39" s="225"/>
      <c r="X39" s="289"/>
      <c r="Y39" s="289"/>
      <c r="Z39" s="255"/>
    </row>
    <row r="40" spans="1:33" s="217" customFormat="1">
      <c r="B40" s="285"/>
      <c r="C40" s="230"/>
      <c r="D40" s="286"/>
      <c r="E40" s="287"/>
      <c r="F40" s="220" t="str">
        <f t="shared" si="6"/>
        <v/>
      </c>
      <c r="G40" s="287"/>
      <c r="H40" s="220" t="str">
        <f t="shared" si="7"/>
        <v/>
      </c>
      <c r="I40" s="287"/>
      <c r="J40" s="233" t="str">
        <f t="shared" si="8"/>
        <v/>
      </c>
      <c r="K40" s="220"/>
      <c r="L40" s="220"/>
      <c r="M40" s="220"/>
      <c r="N40" s="248" t="str">
        <f t="shared" si="9"/>
        <v/>
      </c>
      <c r="O40" s="288" t="e">
        <f t="shared" si="10"/>
        <v>#DIV/0!</v>
      </c>
      <c r="P40" s="223">
        <f t="shared" ref="P40:P42" si="19">$I$8*V40*W40/SUMPRODUCT($W$25:$W$47,$V$25:$V$47)</f>
        <v>0</v>
      </c>
      <c r="Q40" s="224">
        <f t="shared" ref="Q40:Q42" si="20">$I$9*V40*W40/SUMPRODUCT($W$25:$W$47,$V$25:$V$47)</f>
        <v>0</v>
      </c>
      <c r="R40" s="224">
        <f t="shared" ref="R40:R46" si="21">IF($I$12="", "", Q40/$I$12)</f>
        <v>0</v>
      </c>
      <c r="S40" s="223" t="str">
        <f t="shared" si="14"/>
        <v/>
      </c>
      <c r="T40" s="224" t="str">
        <f t="shared" si="15"/>
        <v/>
      </c>
      <c r="U40" s="224" t="str">
        <f t="shared" si="16"/>
        <v/>
      </c>
      <c r="V40" s="225"/>
      <c r="W40" s="225"/>
      <c r="X40" s="289"/>
      <c r="Y40" s="289"/>
      <c r="Z40" s="255"/>
    </row>
    <row r="41" spans="1:33" s="217" customFormat="1">
      <c r="B41" s="285"/>
      <c r="C41" s="230"/>
      <c r="D41" s="286"/>
      <c r="E41" s="287"/>
      <c r="F41" s="220" t="str">
        <f t="shared" si="6"/>
        <v/>
      </c>
      <c r="G41" s="287"/>
      <c r="H41" s="220" t="str">
        <f t="shared" si="7"/>
        <v/>
      </c>
      <c r="I41" s="287"/>
      <c r="J41" s="233" t="str">
        <f t="shared" si="8"/>
        <v/>
      </c>
      <c r="K41" s="220"/>
      <c r="L41" s="220"/>
      <c r="M41" s="220"/>
      <c r="N41" s="248" t="str">
        <f t="shared" si="9"/>
        <v/>
      </c>
      <c r="O41" s="288" t="e">
        <f t="shared" si="10"/>
        <v>#DIV/0!</v>
      </c>
      <c r="P41" s="223">
        <f t="shared" si="19"/>
        <v>0</v>
      </c>
      <c r="Q41" s="224">
        <f t="shared" si="20"/>
        <v>0</v>
      </c>
      <c r="R41" s="224">
        <f t="shared" si="21"/>
        <v>0</v>
      </c>
      <c r="S41" s="223" t="str">
        <f t="shared" si="14"/>
        <v/>
      </c>
      <c r="T41" s="224" t="str">
        <f t="shared" si="15"/>
        <v/>
      </c>
      <c r="U41" s="224" t="str">
        <f t="shared" si="16"/>
        <v/>
      </c>
      <c r="V41" s="225"/>
      <c r="W41" s="225"/>
      <c r="X41" s="289"/>
      <c r="Y41" s="289"/>
      <c r="Z41" s="255"/>
    </row>
    <row r="42" spans="1:33" s="217" customFormat="1">
      <c r="B42" s="285"/>
      <c r="C42" s="230"/>
      <c r="D42" s="286"/>
      <c r="E42" s="287"/>
      <c r="F42" s="220" t="str">
        <f t="shared" si="6"/>
        <v/>
      </c>
      <c r="G42" s="287"/>
      <c r="H42" s="220" t="str">
        <f t="shared" si="7"/>
        <v/>
      </c>
      <c r="I42" s="287"/>
      <c r="J42" s="233" t="str">
        <f t="shared" si="8"/>
        <v/>
      </c>
      <c r="K42" s="220"/>
      <c r="L42" s="220"/>
      <c r="M42" s="220"/>
      <c r="N42" s="248" t="str">
        <f t="shared" si="9"/>
        <v/>
      </c>
      <c r="O42" s="288" t="e">
        <f t="shared" si="10"/>
        <v>#DIV/0!</v>
      </c>
      <c r="P42" s="223">
        <f t="shared" si="19"/>
        <v>0</v>
      </c>
      <c r="Q42" s="224">
        <f t="shared" si="20"/>
        <v>0</v>
      </c>
      <c r="R42" s="224">
        <f t="shared" si="21"/>
        <v>0</v>
      </c>
      <c r="S42" s="223" t="str">
        <f t="shared" si="14"/>
        <v/>
      </c>
      <c r="T42" s="224" t="str">
        <f t="shared" si="15"/>
        <v/>
      </c>
      <c r="U42" s="224" t="str">
        <f t="shared" si="16"/>
        <v/>
      </c>
      <c r="V42" s="225"/>
      <c r="W42" s="225"/>
      <c r="X42" s="289"/>
      <c r="Y42" s="289"/>
      <c r="Z42" s="255"/>
    </row>
    <row r="43" spans="1:33" s="217" customFormat="1" ht="15" customHeight="1">
      <c r="B43" s="285"/>
      <c r="C43" s="290"/>
      <c r="D43" s="286"/>
      <c r="E43" s="287"/>
      <c r="F43" s="220" t="str">
        <f t="shared" si="6"/>
        <v/>
      </c>
      <c r="G43" s="287"/>
      <c r="H43" s="220" t="str">
        <f t="shared" si="7"/>
        <v/>
      </c>
      <c r="I43" s="287"/>
      <c r="J43" s="233" t="str">
        <f t="shared" si="8"/>
        <v/>
      </c>
      <c r="K43" s="220"/>
      <c r="L43" s="220"/>
      <c r="M43" s="220"/>
      <c r="N43" s="248" t="str">
        <f t="shared" si="9"/>
        <v/>
      </c>
      <c r="O43" s="288" t="e">
        <f t="shared" si="10"/>
        <v>#DIV/0!</v>
      </c>
      <c r="P43" s="223">
        <f t="shared" ref="P43:P46" si="22">$I$8*V43*W43/SUMPRODUCT($W$25:$W$44, $V$25:$V$44)</f>
        <v>0</v>
      </c>
      <c r="Q43" s="224">
        <f t="shared" ref="Q43:Q46" si="23">$I$9*V43*W43/SUMPRODUCT($W$25:$W$44, $V$25:$V$44)</f>
        <v>0</v>
      </c>
      <c r="R43" s="224">
        <f t="shared" si="21"/>
        <v>0</v>
      </c>
      <c r="S43" s="223" t="str">
        <f t="shared" si="14"/>
        <v/>
      </c>
      <c r="T43" s="224" t="str">
        <f t="shared" si="15"/>
        <v/>
      </c>
      <c r="U43" s="224" t="str">
        <f t="shared" si="16"/>
        <v/>
      </c>
      <c r="V43" s="225"/>
      <c r="W43" s="225"/>
      <c r="X43" s="289"/>
      <c r="Y43" s="289"/>
      <c r="Z43" s="255"/>
    </row>
    <row r="44" spans="1:33" s="217" customFormat="1">
      <c r="B44" s="285"/>
      <c r="C44" s="230"/>
      <c r="D44" s="286"/>
      <c r="E44" s="287"/>
      <c r="F44" s="220" t="str">
        <f t="shared" si="6"/>
        <v/>
      </c>
      <c r="G44" s="287"/>
      <c r="H44" s="220" t="str">
        <f t="shared" si="7"/>
        <v/>
      </c>
      <c r="I44" s="287"/>
      <c r="J44" s="233" t="str">
        <f t="shared" si="8"/>
        <v/>
      </c>
      <c r="K44" s="220"/>
      <c r="L44" s="220"/>
      <c r="M44" s="220"/>
      <c r="N44" s="248" t="str">
        <f t="shared" si="9"/>
        <v/>
      </c>
      <c r="O44" s="288" t="e">
        <f t="shared" si="10"/>
        <v>#DIV/0!</v>
      </c>
      <c r="P44" s="223">
        <f t="shared" si="22"/>
        <v>0</v>
      </c>
      <c r="Q44" s="224">
        <f t="shared" si="23"/>
        <v>0</v>
      </c>
      <c r="R44" s="224">
        <f t="shared" si="21"/>
        <v>0</v>
      </c>
      <c r="S44" s="223" t="str">
        <f t="shared" si="14"/>
        <v/>
      </c>
      <c r="T44" s="224" t="str">
        <f t="shared" si="15"/>
        <v/>
      </c>
      <c r="U44" s="224" t="str">
        <f t="shared" si="16"/>
        <v/>
      </c>
      <c r="V44" s="225"/>
      <c r="W44" s="225"/>
      <c r="X44" s="289"/>
      <c r="Y44" s="289"/>
      <c r="Z44" s="255"/>
    </row>
    <row r="45" spans="1:33" s="217" customFormat="1">
      <c r="B45" s="229"/>
      <c r="C45" s="230"/>
      <c r="D45" s="286"/>
      <c r="E45" s="287"/>
      <c r="F45" s="220" t="str">
        <f t="shared" si="6"/>
        <v/>
      </c>
      <c r="G45" s="287"/>
      <c r="H45" s="220" t="str">
        <f t="shared" si="7"/>
        <v/>
      </c>
      <c r="I45" s="287"/>
      <c r="J45" s="233" t="str">
        <f t="shared" si="8"/>
        <v/>
      </c>
      <c r="K45" s="220"/>
      <c r="L45" s="220"/>
      <c r="M45" s="220"/>
      <c r="N45" s="248" t="str">
        <f t="shared" si="9"/>
        <v/>
      </c>
      <c r="O45" s="288" t="e">
        <f t="shared" si="10"/>
        <v>#DIV/0!</v>
      </c>
      <c r="P45" s="223">
        <f t="shared" si="22"/>
        <v>0</v>
      </c>
      <c r="Q45" s="224">
        <f t="shared" si="23"/>
        <v>0</v>
      </c>
      <c r="R45" s="224">
        <f t="shared" si="21"/>
        <v>0</v>
      </c>
      <c r="S45" s="223" t="str">
        <f t="shared" si="14"/>
        <v/>
      </c>
      <c r="T45" s="224" t="str">
        <f t="shared" si="15"/>
        <v/>
      </c>
      <c r="U45" s="224" t="str">
        <f t="shared" si="16"/>
        <v/>
      </c>
      <c r="V45" s="225"/>
      <c r="W45" s="225"/>
      <c r="X45" s="289"/>
      <c r="Y45" s="289"/>
      <c r="Z45" s="255"/>
    </row>
    <row r="46" spans="1:33" s="234" customFormat="1">
      <c r="A46" s="291"/>
      <c r="B46" s="107"/>
      <c r="C46" s="241"/>
      <c r="D46" s="292"/>
      <c r="E46" s="293"/>
      <c r="F46" s="110" t="str">
        <f t="shared" si="6"/>
        <v/>
      </c>
      <c r="G46" s="293"/>
      <c r="H46" s="110" t="str">
        <f t="shared" si="7"/>
        <v/>
      </c>
      <c r="I46" s="110"/>
      <c r="J46" s="109" t="str">
        <f t="shared" si="8"/>
        <v/>
      </c>
      <c r="K46" s="110"/>
      <c r="L46" s="110"/>
      <c r="M46" s="110"/>
      <c r="N46" s="111" t="str">
        <f t="shared" si="9"/>
        <v/>
      </c>
      <c r="O46" s="294" t="e">
        <f t="shared" si="10"/>
        <v>#DIV/0!</v>
      </c>
      <c r="P46" s="237">
        <f t="shared" si="22"/>
        <v>0</v>
      </c>
      <c r="Q46" s="113">
        <f t="shared" si="23"/>
        <v>0</v>
      </c>
      <c r="R46" s="113">
        <f t="shared" si="21"/>
        <v>0</v>
      </c>
      <c r="S46" s="237" t="str">
        <f t="shared" si="14"/>
        <v/>
      </c>
      <c r="T46" s="113" t="str">
        <f t="shared" si="15"/>
        <v/>
      </c>
      <c r="U46" s="113" t="str">
        <f t="shared" si="16"/>
        <v/>
      </c>
      <c r="V46" s="238"/>
      <c r="W46" s="238"/>
      <c r="X46" s="295"/>
      <c r="Y46" s="296"/>
    </row>
    <row r="47" spans="1:33" s="234" customFormat="1" ht="15.25" customHeight="1">
      <c r="A47" s="106"/>
      <c r="B47" s="107"/>
      <c r="C47" s="241"/>
      <c r="D47" s="109"/>
      <c r="E47" s="110"/>
      <c r="F47" s="110" t="str">
        <f t="shared" si="6"/>
        <v/>
      </c>
      <c r="G47" s="110"/>
      <c r="H47" s="110" t="str">
        <f t="shared" si="7"/>
        <v/>
      </c>
      <c r="I47" s="110"/>
      <c r="J47" s="109" t="str">
        <f t="shared" si="8"/>
        <v/>
      </c>
      <c r="K47" s="110"/>
      <c r="L47" s="110"/>
      <c r="M47" s="110"/>
      <c r="N47" s="236" t="str">
        <f t="shared" si="9"/>
        <v/>
      </c>
      <c r="O47" s="112" t="e">
        <f t="shared" si="10"/>
        <v>#DIV/0!</v>
      </c>
      <c r="P47" s="237">
        <f>$I$8*V47*W47/SUMPRODUCT($W$25:$W$55,$V$25:$V$55)</f>
        <v>0</v>
      </c>
      <c r="Q47" s="113">
        <f>$I$9*V47*W47/SUMPRODUCT($W$25:$W$55,$V$25:$V$55)</f>
        <v>0</v>
      </c>
      <c r="R47" s="113">
        <f>IF($I$12="","",Q47/$I$12)</f>
        <v>0</v>
      </c>
      <c r="S47" s="237" t="str">
        <f t="shared" si="14"/>
        <v/>
      </c>
      <c r="T47" s="113" t="str">
        <f t="shared" si="15"/>
        <v/>
      </c>
      <c r="U47" s="113" t="str">
        <f t="shared" si="16"/>
        <v/>
      </c>
      <c r="V47" s="238"/>
      <c r="W47" s="238"/>
      <c r="X47" s="239"/>
      <c r="Y47" s="239"/>
      <c r="Z47" s="240"/>
      <c r="AA47" s="240"/>
      <c r="AB47" s="240"/>
      <c r="AC47" s="240"/>
      <c r="AD47" s="240"/>
      <c r="AE47" s="240"/>
      <c r="AF47" s="240"/>
      <c r="AG47" s="240"/>
    </row>
    <row r="48" spans="1:33" ht="15" customHeight="1">
      <c r="B48" s="704" t="s">
        <v>54</v>
      </c>
      <c r="C48" s="704"/>
      <c r="D48" s="297">
        <f>SUM(D25:D47)</f>
        <v>219302.1</v>
      </c>
      <c r="E48" s="297">
        <f>SUM(E25:E47)</f>
        <v>70</v>
      </c>
      <c r="F48" s="297">
        <f t="shared" si="6"/>
        <v>3132.8871428571429</v>
      </c>
      <c r="G48" s="297">
        <f>SUM(G25:G47)</f>
        <v>33</v>
      </c>
      <c r="H48" s="297">
        <f t="shared" si="7"/>
        <v>6645.5181818181818</v>
      </c>
      <c r="I48" s="297">
        <f>SUM(I25:I47)</f>
        <v>0</v>
      </c>
      <c r="J48" s="298">
        <f t="shared" si="8"/>
        <v>2.1212121212121211</v>
      </c>
      <c r="K48" s="297">
        <f>SUM(K25:K47)</f>
        <v>0</v>
      </c>
      <c r="L48" s="297">
        <f>SUM(L25:L47)</f>
        <v>0</v>
      </c>
      <c r="M48" s="297">
        <f>SUM(M25:M47)</f>
        <v>0</v>
      </c>
      <c r="N48" s="299" t="str">
        <f t="shared" si="9"/>
        <v/>
      </c>
      <c r="O48" s="300" t="e">
        <f t="shared" si="10"/>
        <v>#DIV/0!</v>
      </c>
      <c r="P48" s="301">
        <f t="shared" ref="P48:U48" si="24">SUM(P25:P47)</f>
        <v>0</v>
      </c>
      <c r="Q48" s="301">
        <f t="shared" si="24"/>
        <v>0</v>
      </c>
      <c r="R48" s="301">
        <f t="shared" si="24"/>
        <v>0</v>
      </c>
      <c r="S48" s="301">
        <f t="shared" si="24"/>
        <v>0</v>
      </c>
      <c r="T48" s="301">
        <f t="shared" si="24"/>
        <v>0</v>
      </c>
      <c r="U48" s="301">
        <f t="shared" si="24"/>
        <v>0</v>
      </c>
      <c r="V48" s="302"/>
      <c r="W48" s="302"/>
    </row>
    <row r="49" spans="2:17">
      <c r="B49" s="116"/>
      <c r="C49" s="117"/>
      <c r="D49" s="118">
        <f>SUMIF(D25:D47,"",P25:P47)+D48</f>
        <v>219302.1</v>
      </c>
      <c r="E49" s="303"/>
      <c r="F49" s="117"/>
      <c r="G49" s="117"/>
      <c r="H49" s="120"/>
      <c r="I49" s="213"/>
      <c r="J49" s="120"/>
      <c r="L49" s="122"/>
      <c r="M49" s="303"/>
      <c r="N49" s="122"/>
      <c r="O49" s="122"/>
      <c r="P49" s="122"/>
      <c r="Q49" s="304"/>
    </row>
    <row r="50" spans="2:17">
      <c r="D50" s="175"/>
    </row>
    <row r="52" spans="2:17">
      <c r="D52" s="175"/>
    </row>
    <row r="53" spans="2:17">
      <c r="D53" s="175"/>
    </row>
  </sheetData>
  <mergeCells count="27">
    <mergeCell ref="B48:C48"/>
    <mergeCell ref="F19:H19"/>
    <mergeCell ref="F20:H20"/>
    <mergeCell ref="B22:N22"/>
    <mergeCell ref="O22:O24"/>
    <mergeCell ref="P22:W22"/>
    <mergeCell ref="F15:H15"/>
    <mergeCell ref="F16:H16"/>
    <mergeCell ref="S16:S17"/>
    <mergeCell ref="F17:H17"/>
    <mergeCell ref="F18:H18"/>
    <mergeCell ref="F10:H10"/>
    <mergeCell ref="F11:H11"/>
    <mergeCell ref="F12:H12"/>
    <mergeCell ref="F13:H13"/>
    <mergeCell ref="F14:H14"/>
    <mergeCell ref="J5:N5"/>
    <mergeCell ref="F7:H7"/>
    <mergeCell ref="P7:Q7"/>
    <mergeCell ref="F8:H8"/>
    <mergeCell ref="F9:H9"/>
    <mergeCell ref="B1:C1"/>
    <mergeCell ref="Q1:T4"/>
    <mergeCell ref="B2:C2"/>
    <mergeCell ref="J2:P2"/>
    <mergeCell ref="J3:N4"/>
    <mergeCell ref="C4:D4"/>
  </mergeCells>
  <conditionalFormatting sqref="J16">
    <cfRule type="cellIs" dxfId="58" priority="218" operator="lessThan">
      <formula>0</formula>
    </cfRule>
    <cfRule type="cellIs" dxfId="57" priority="219" operator="greaterThan">
      <formula>0</formula>
    </cfRule>
  </conditionalFormatting>
  <conditionalFormatting sqref="J25:J26">
    <cfRule type="cellIs" dxfId="56" priority="234" operator="lessThan">
      <formula>$I$12</formula>
    </cfRule>
  </conditionalFormatting>
  <conditionalFormatting sqref="J25:J27">
    <cfRule type="cellIs" dxfId="55" priority="11" operator="greaterThan">
      <formula>$I$12</formula>
    </cfRule>
  </conditionalFormatting>
  <conditionalFormatting sqref="J27">
    <cfRule type="cellIs" dxfId="54" priority="10" operator="lessThan">
      <formula>$I$12</formula>
    </cfRule>
  </conditionalFormatting>
  <conditionalFormatting sqref="J28:J33">
    <cfRule type="cellIs" dxfId="53" priority="49" operator="greaterThan">
      <formula>$I$12</formula>
    </cfRule>
  </conditionalFormatting>
  <conditionalFormatting sqref="J28:J34">
    <cfRule type="cellIs" dxfId="52" priority="34" operator="lessThan">
      <formula>$I$12</formula>
    </cfRule>
  </conditionalFormatting>
  <conditionalFormatting sqref="J30">
    <cfRule type="cellIs" dxfId="51" priority="223" operator="lessThan">
      <formula>$I$12</formula>
    </cfRule>
  </conditionalFormatting>
  <conditionalFormatting sqref="J34:J47">
    <cfRule type="cellIs" dxfId="50" priority="33" operator="greaterThan">
      <formula>$I$12</formula>
    </cfRule>
    <cfRule type="cellIs" dxfId="49" priority="32" operator="lessThan">
      <formula>$I$12</formula>
    </cfRule>
  </conditionalFormatting>
  <conditionalFormatting sqref="K10:K12 K15">
    <cfRule type="cellIs" dxfId="48" priority="216" operator="lessThan">
      <formula>1</formula>
    </cfRule>
    <cfRule type="cellIs" dxfId="47" priority="217" operator="greaterThan">
      <formula>1</formula>
    </cfRule>
  </conditionalFormatting>
  <conditionalFormatting sqref="M8:M15">
    <cfRule type="cellIs" dxfId="46" priority="215" operator="greaterThan">
      <formula>1</formula>
    </cfRule>
    <cfRule type="cellIs" dxfId="45" priority="221" operator="lessThan">
      <formula>1</formula>
    </cfRule>
  </conditionalFormatting>
  <conditionalFormatting sqref="N25">
    <cfRule type="cellIs" dxfId="44" priority="18" operator="between">
      <formula>0.2</formula>
      <formula>0.25</formula>
    </cfRule>
  </conditionalFormatting>
  <conditionalFormatting sqref="N25:N26">
    <cfRule type="cellIs" dxfId="43" priority="19" operator="greaterThanOrEqual">
      <formula>0.25</formula>
    </cfRule>
  </conditionalFormatting>
  <conditionalFormatting sqref="N25:N47">
    <cfRule type="cellIs" dxfId="42" priority="9" operator="lessThan">
      <formula>0.2</formula>
    </cfRule>
  </conditionalFormatting>
  <conditionalFormatting sqref="N26">
    <cfRule type="cellIs" dxfId="41" priority="237" operator="between">
      <formula>0.2</formula>
      <formula>0.25</formula>
    </cfRule>
  </conditionalFormatting>
  <conditionalFormatting sqref="N27">
    <cfRule type="cellIs" dxfId="40" priority="8" operator="greaterThanOrEqual">
      <formula>0.25</formula>
    </cfRule>
    <cfRule type="cellIs" dxfId="39" priority="7" operator="between">
      <formula>0.2</formula>
      <formula>0.25</formula>
    </cfRule>
  </conditionalFormatting>
  <conditionalFormatting sqref="N28:N33">
    <cfRule type="cellIs" dxfId="38" priority="46" operator="greaterThanOrEqual">
      <formula>0.25</formula>
    </cfRule>
  </conditionalFormatting>
  <conditionalFormatting sqref="N28:N34">
    <cfRule type="cellIs" dxfId="37" priority="35" operator="between">
      <formula>0.2</formula>
      <formula>0.25</formula>
    </cfRule>
  </conditionalFormatting>
  <conditionalFormatting sqref="N30">
    <cfRule type="cellIs" dxfId="36" priority="226" operator="between">
      <formula>0.2</formula>
      <formula>0.25</formula>
    </cfRule>
  </conditionalFormatting>
  <conditionalFormatting sqref="N34:N47">
    <cfRule type="cellIs" dxfId="35" priority="29" operator="between">
      <formula>0.2</formula>
      <formula>0.25</formula>
    </cfRule>
    <cfRule type="cellIs" dxfId="34" priority="30" operator="greaterThanOrEqual">
      <formula>0.25</formula>
    </cfRule>
  </conditionalFormatting>
  <conditionalFormatting sqref="O25">
    <cfRule type="cellIs" dxfId="33" priority="16" operator="between">
      <formula>0.85</formula>
      <formula>1</formula>
    </cfRule>
    <cfRule type="cellIs" dxfId="32" priority="13" operator="lessThan">
      <formula>0.9</formula>
    </cfRule>
    <cfRule type="cellIs" dxfId="31" priority="12" operator="between">
      <formula>0.9001</formula>
      <formula>0.9999</formula>
    </cfRule>
  </conditionalFormatting>
  <conditionalFormatting sqref="O25:O26">
    <cfRule type="cellIs" dxfId="30" priority="17" operator="between">
      <formula>0.01</formula>
      <formula>0.99</formula>
    </cfRule>
  </conditionalFormatting>
  <conditionalFormatting sqref="O25:O47">
    <cfRule type="cellIs" dxfId="29" priority="4" operator="greaterThan">
      <formula>100</formula>
    </cfRule>
    <cfRule type="cellIs" dxfId="28" priority="3" operator="greaterThan">
      <formula>1</formula>
    </cfRule>
  </conditionalFormatting>
  <conditionalFormatting sqref="O26">
    <cfRule type="cellIs" dxfId="27" priority="239" operator="between">
      <formula>0.85</formula>
      <formula>1</formula>
    </cfRule>
    <cfRule type="cellIs" dxfId="26" priority="242" operator="lessThan">
      <formula>0.9</formula>
    </cfRule>
    <cfRule type="cellIs" dxfId="25" priority="243" operator="between">
      <formula>0.9001</formula>
      <formula>0.9999</formula>
    </cfRule>
  </conditionalFormatting>
  <conditionalFormatting sqref="O27">
    <cfRule type="cellIs" dxfId="24" priority="1" operator="between">
      <formula>0.9001</formula>
      <formula>0.9999</formula>
    </cfRule>
    <cfRule type="cellIs" dxfId="23" priority="5" operator="between">
      <formula>0.85</formula>
      <formula>1</formula>
    </cfRule>
    <cfRule type="cellIs" dxfId="22" priority="2" operator="lessThan">
      <formula>0.9</formula>
    </cfRule>
    <cfRule type="cellIs" dxfId="21" priority="6" operator="between">
      <formula>0.01</formula>
      <formula>0.99</formula>
    </cfRule>
  </conditionalFormatting>
  <conditionalFormatting sqref="O28:O33">
    <cfRule type="cellIs" dxfId="20" priority="44" operator="between">
      <formula>0.01</formula>
      <formula>0.99</formula>
    </cfRule>
    <cfRule type="cellIs" dxfId="19" priority="43" operator="between">
      <formula>0.85</formula>
      <formula>1</formula>
    </cfRule>
  </conditionalFormatting>
  <conditionalFormatting sqref="O28:O34">
    <cfRule type="cellIs" dxfId="18" priority="37" operator="lessThan">
      <formula>0.9</formula>
    </cfRule>
    <cfRule type="cellIs" dxfId="17" priority="38" operator="between">
      <formula>0.9001</formula>
      <formula>0.9999</formula>
    </cfRule>
  </conditionalFormatting>
  <conditionalFormatting sqref="O30">
    <cfRule type="cellIs" dxfId="16" priority="228" operator="between">
      <formula>0.85</formula>
      <formula>1</formula>
    </cfRule>
    <cfRule type="cellIs" dxfId="15" priority="231" operator="lessThan">
      <formula>0.9</formula>
    </cfRule>
    <cfRule type="cellIs" dxfId="14" priority="232" operator="between">
      <formula>0.9001</formula>
      <formula>0.9999</formula>
    </cfRule>
  </conditionalFormatting>
  <conditionalFormatting sqref="O34">
    <cfRule type="cellIs" dxfId="13" priority="36" operator="between">
      <formula>0.85</formula>
      <formula>1</formula>
    </cfRule>
  </conditionalFormatting>
  <conditionalFormatting sqref="O34:O37">
    <cfRule type="cellIs" dxfId="12" priority="28" operator="between">
      <formula>0.01</formula>
      <formula>0.99</formula>
    </cfRule>
    <cfRule type="cellIs" dxfId="11" priority="24" operator="lessThan">
      <formula>0.9</formula>
    </cfRule>
    <cfRule type="cellIs" dxfId="10" priority="23" operator="between">
      <formula>0.9001</formula>
      <formula>0.9999</formula>
    </cfRule>
  </conditionalFormatting>
  <conditionalFormatting sqref="O35:O37">
    <cfRule type="cellIs" dxfId="9" priority="27" operator="between">
      <formula>0.85</formula>
      <formula>1</formula>
    </cfRule>
  </conditionalFormatting>
  <conditionalFormatting sqref="O38:O45">
    <cfRule type="cellIs" dxfId="8" priority="76" operator="between">
      <formula>0.85</formula>
      <formula>1</formula>
    </cfRule>
    <cfRule type="cellIs" dxfId="7" priority="77" operator="between">
      <formula>0.01</formula>
      <formula>0.99</formula>
    </cfRule>
  </conditionalFormatting>
  <conditionalFormatting sqref="O38:O46">
    <cfRule type="cellIs" dxfId="6" priority="72" operator="between">
      <formula>0.9001</formula>
      <formula>0.9999</formula>
    </cfRule>
    <cfRule type="cellIs" dxfId="5" priority="73" operator="lessThan">
      <formula>0.9</formula>
    </cfRule>
  </conditionalFormatting>
  <conditionalFormatting sqref="O46:O47">
    <cfRule type="cellIs" dxfId="4" priority="65" operator="between">
      <formula>0.85</formula>
      <formula>1</formula>
    </cfRule>
    <cfRule type="cellIs" dxfId="3" priority="66" operator="between">
      <formula>0.01</formula>
      <formula>0.99</formula>
    </cfRule>
  </conditionalFormatting>
  <conditionalFormatting sqref="O47">
    <cfRule type="cellIs" dxfId="2" priority="62" operator="lessThan">
      <formula>0.9</formula>
    </cfRule>
    <cfRule type="cellIs" dxfId="1" priority="61" operator="between">
      <formula>0.9001</formula>
      <formula>0.9999</formula>
    </cfRule>
  </conditionalFormatting>
  <conditionalFormatting sqref="P10:Q10">
    <cfRule type="cellIs" dxfId="0" priority="220" operator="lessThan">
      <formula>0</formula>
    </cfRule>
  </conditionalFormatting>
  <dataValidations count="3">
    <dataValidation type="date" allowBlank="1" showErrorMessage="1" sqref="B35:B45" xr:uid="{00870054-0085-40BB-AB02-002900A800A1}">
      <formula1>40544</formula1>
      <formula2>73051</formula2>
    </dataValidation>
    <dataValidation type="decimal" allowBlank="1" showErrorMessage="1" sqref="I14 O10:O11 I8:J13" xr:uid="{006C006A-0009-4B12-BBF5-00D800D50027}">
      <formula1>0</formula1>
      <formula2>1000000000000000</formula2>
    </dataValidation>
    <dataValidation type="decimal" allowBlank="1" showErrorMessage="1" sqref="I41" xr:uid="{003900F2-0012-40F2-A152-000900550021}">
      <formula1>0</formula1>
      <formula2>10000000000000000</formula2>
    </dataValidation>
  </dataValidations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O33"/>
  <sheetViews>
    <sheetView zoomScale="75" workbookViewId="0">
      <selection activeCell="S38" sqref="S38"/>
    </sheetView>
  </sheetViews>
  <sheetFormatPr baseColWidth="10" defaultColWidth="11.5" defaultRowHeight="15"/>
  <cols>
    <col min="1" max="1" width="4.83203125" style="3" customWidth="1"/>
    <col min="2" max="2" width="25.5" style="3" customWidth="1"/>
    <col min="3" max="3" width="17" style="3" customWidth="1"/>
    <col min="4" max="34" width="6.33203125" style="3" customWidth="1"/>
    <col min="35" max="35" width="4.83203125" style="3" customWidth="1"/>
    <col min="36" max="36" width="11.1640625" style="3" customWidth="1"/>
    <col min="37" max="40" width="6.33203125" style="3" customWidth="1"/>
    <col min="41" max="16384" width="11.5" style="3"/>
  </cols>
  <sheetData>
    <row r="1" spans="1:40">
      <c r="A1" s="416"/>
      <c r="B1" s="417" t="s">
        <v>127</v>
      </c>
      <c r="C1" s="418"/>
      <c r="D1" s="418"/>
      <c r="E1" s="418"/>
      <c r="F1" s="418"/>
      <c r="G1" s="418"/>
      <c r="H1" s="418"/>
      <c r="I1" s="418"/>
      <c r="J1" s="418"/>
      <c r="K1" s="418"/>
      <c r="L1" s="418"/>
      <c r="M1" s="418"/>
      <c r="N1" s="418"/>
      <c r="O1" s="418"/>
      <c r="P1" s="418"/>
      <c r="Q1" s="418"/>
      <c r="R1" s="418"/>
      <c r="S1" s="418"/>
      <c r="T1" s="418" t="s">
        <v>60</v>
      </c>
      <c r="U1" s="418"/>
      <c r="V1" s="418"/>
      <c r="W1" s="418"/>
      <c r="X1" s="418"/>
      <c r="Y1" s="418"/>
      <c r="Z1" s="418"/>
      <c r="AA1" s="418"/>
      <c r="AB1" s="418"/>
      <c r="AC1" s="418"/>
      <c r="AD1" s="418"/>
      <c r="AE1" s="418"/>
      <c r="AF1" s="418"/>
      <c r="AG1" s="418"/>
      <c r="AH1" s="418"/>
      <c r="AI1" s="418"/>
      <c r="AJ1" s="418"/>
      <c r="AK1" s="418"/>
      <c r="AL1" s="418"/>
      <c r="AM1" s="418"/>
      <c r="AN1" s="418"/>
    </row>
    <row r="2" spans="1:40" ht="16">
      <c r="A2" s="416"/>
      <c r="B2" s="419" t="s">
        <v>108</v>
      </c>
      <c r="C2" s="420"/>
      <c r="D2" s="420"/>
      <c r="E2" s="421"/>
      <c r="F2" s="421"/>
      <c r="G2" s="421"/>
      <c r="H2" s="421"/>
      <c r="I2" s="421"/>
      <c r="J2" s="421"/>
      <c r="K2" s="421"/>
      <c r="L2" s="421"/>
      <c r="M2" s="421"/>
      <c r="N2" s="421"/>
      <c r="O2" s="421"/>
      <c r="P2" s="421"/>
      <c r="Q2" s="421"/>
      <c r="R2" s="421"/>
      <c r="S2" s="421"/>
      <c r="T2" s="421"/>
      <c r="U2" s="421"/>
      <c r="V2" s="421"/>
      <c r="W2" s="421"/>
      <c r="X2" s="421"/>
      <c r="Y2" s="421"/>
      <c r="Z2" s="421"/>
      <c r="AA2" s="421"/>
      <c r="AB2" s="421"/>
      <c r="AC2" s="421"/>
      <c r="AD2" s="421"/>
      <c r="AE2" s="421"/>
      <c r="AF2" s="421"/>
      <c r="AG2" s="421"/>
      <c r="AH2" s="421"/>
      <c r="AI2" s="421"/>
      <c r="AJ2" s="421"/>
      <c r="AK2" s="421"/>
      <c r="AL2" s="421"/>
      <c r="AM2" s="421"/>
      <c r="AN2" s="421"/>
    </row>
    <row r="3" spans="1:40" ht="16">
      <c r="A3" s="416"/>
      <c r="B3" s="422" t="s">
        <v>109</v>
      </c>
      <c r="C3" s="423"/>
      <c r="D3" s="423"/>
      <c r="E3" s="424"/>
      <c r="F3" s="424"/>
      <c r="G3" s="424"/>
      <c r="H3" s="424"/>
      <c r="I3" s="424"/>
      <c r="J3" s="424"/>
      <c r="K3" s="421"/>
      <c r="L3" s="421"/>
      <c r="M3" s="421"/>
      <c r="N3" s="421"/>
      <c r="O3" s="421"/>
      <c r="P3" s="421"/>
      <c r="Q3" s="421"/>
      <c r="R3" s="421"/>
      <c r="S3" s="421"/>
      <c r="T3" s="421"/>
      <c r="U3" s="421"/>
      <c r="V3" s="421"/>
      <c r="W3" s="421"/>
      <c r="X3" s="421"/>
      <c r="Y3" s="421"/>
      <c r="Z3" s="421"/>
      <c r="AA3" s="421"/>
      <c r="AB3" s="421"/>
      <c r="AC3" s="421"/>
      <c r="AD3" s="421"/>
      <c r="AE3" s="421"/>
      <c r="AF3" s="421"/>
      <c r="AG3" s="421"/>
      <c r="AH3" s="421"/>
      <c r="AI3" s="421"/>
      <c r="AJ3" s="421"/>
      <c r="AK3" s="421"/>
      <c r="AL3" s="421"/>
      <c r="AM3" s="421"/>
      <c r="AN3" s="421"/>
    </row>
    <row r="4" spans="1:40" ht="19">
      <c r="A4" s="416"/>
      <c r="B4" s="425" t="s">
        <v>110</v>
      </c>
      <c r="C4" s="420"/>
      <c r="D4" s="420"/>
      <c r="E4" s="421"/>
      <c r="F4" s="421"/>
      <c r="G4" s="421"/>
      <c r="H4" s="421"/>
      <c r="I4" s="421"/>
      <c r="J4" s="421"/>
      <c r="K4" s="421"/>
      <c r="L4" s="421"/>
      <c r="M4" s="421"/>
      <c r="N4" s="421"/>
      <c r="O4" s="421"/>
      <c r="P4" s="421"/>
      <c r="Q4" s="421"/>
      <c r="R4" s="421"/>
      <c r="S4" s="421"/>
      <c r="T4" s="421"/>
      <c r="U4" s="421"/>
      <c r="V4" s="421"/>
      <c r="W4" s="421"/>
      <c r="X4" s="421"/>
      <c r="Y4" s="421"/>
      <c r="Z4" s="421"/>
      <c r="AA4" s="421"/>
      <c r="AB4" s="421"/>
      <c r="AC4" s="421"/>
      <c r="AD4" s="421"/>
      <c r="AE4" s="421"/>
      <c r="AF4" s="421"/>
      <c r="AG4" s="421"/>
      <c r="AH4" s="421"/>
      <c r="AI4" s="421"/>
      <c r="AJ4" s="421"/>
      <c r="AK4" s="421"/>
      <c r="AL4" s="421"/>
      <c r="AM4" s="421"/>
      <c r="AN4" s="421"/>
    </row>
    <row r="5" spans="1:40" ht="16">
      <c r="A5" s="416"/>
      <c r="B5" s="426" t="s">
        <v>93</v>
      </c>
      <c r="C5" s="421"/>
      <c r="D5" s="421"/>
      <c r="E5" s="421"/>
      <c r="F5" s="421"/>
      <c r="G5" s="421"/>
      <c r="H5" s="421"/>
      <c r="I5" s="421"/>
      <c r="J5" s="421"/>
      <c r="K5" s="421"/>
      <c r="L5" s="421"/>
      <c r="M5" s="421"/>
      <c r="N5" s="421"/>
      <c r="O5" s="421"/>
      <c r="P5" s="421"/>
      <c r="Q5" s="421"/>
      <c r="R5" s="421"/>
      <c r="S5" s="421"/>
      <c r="T5" s="421"/>
      <c r="U5" s="421"/>
      <c r="V5" s="421"/>
      <c r="W5" s="421"/>
      <c r="X5" s="421"/>
      <c r="Y5" s="421"/>
      <c r="Z5" s="421"/>
      <c r="AA5" s="421"/>
      <c r="AB5" s="421"/>
      <c r="AC5" s="421"/>
      <c r="AD5" s="421"/>
      <c r="AE5" s="421"/>
      <c r="AF5" s="421"/>
      <c r="AG5" s="421"/>
      <c r="AH5" s="421"/>
      <c r="AI5" s="421"/>
      <c r="AJ5" s="706"/>
      <c r="AK5" s="707"/>
      <c r="AL5" s="708"/>
      <c r="AM5" s="709"/>
      <c r="AN5" s="710"/>
    </row>
    <row r="6" spans="1:40">
      <c r="A6" s="416"/>
      <c r="B6" s="427" t="s">
        <v>94</v>
      </c>
      <c r="C6" s="711" t="s">
        <v>95</v>
      </c>
      <c r="D6" s="712"/>
      <c r="E6" s="712"/>
      <c r="F6" s="712"/>
      <c r="G6" s="712"/>
      <c r="H6" s="712"/>
      <c r="I6" s="712"/>
      <c r="J6" s="712"/>
      <c r="K6" s="712"/>
      <c r="L6" s="712"/>
      <c r="M6" s="712"/>
      <c r="N6" s="712"/>
      <c r="O6" s="712"/>
      <c r="P6" s="712"/>
      <c r="Q6" s="712"/>
      <c r="R6" s="712"/>
      <c r="S6" s="712"/>
      <c r="T6" s="712"/>
      <c r="U6" s="712"/>
      <c r="V6" s="712"/>
      <c r="W6" s="712"/>
      <c r="X6" s="712"/>
      <c r="Y6" s="712"/>
      <c r="Z6" s="712"/>
      <c r="AA6" s="712"/>
      <c r="AB6" s="712"/>
      <c r="AC6" s="712"/>
      <c r="AD6" s="712"/>
      <c r="AE6" s="712"/>
      <c r="AF6" s="712"/>
      <c r="AG6" s="712"/>
      <c r="AH6" s="712"/>
      <c r="AI6" s="712"/>
      <c r="AJ6" s="713"/>
      <c r="AK6" s="428">
        <v>30</v>
      </c>
      <c r="AL6" s="429"/>
      <c r="AM6" s="429"/>
      <c r="AN6" s="429"/>
    </row>
    <row r="7" spans="1:40">
      <c r="A7" s="430"/>
      <c r="B7" s="431" t="e">
        <f>BT31*100/BH31</f>
        <v>#DIV/0!</v>
      </c>
      <c r="C7" s="711"/>
      <c r="D7" s="712"/>
      <c r="E7" s="712"/>
      <c r="F7" s="712"/>
      <c r="G7" s="712"/>
      <c r="H7" s="712"/>
      <c r="I7" s="712"/>
      <c r="J7" s="712"/>
      <c r="K7" s="712"/>
      <c r="L7" s="712"/>
      <c r="M7" s="712"/>
      <c r="N7" s="712"/>
      <c r="O7" s="712"/>
      <c r="P7" s="712"/>
      <c r="Q7" s="712"/>
      <c r="R7" s="712"/>
      <c r="S7" s="712"/>
      <c r="T7" s="712"/>
      <c r="U7" s="712"/>
      <c r="V7" s="712"/>
      <c r="W7" s="712"/>
      <c r="X7" s="712"/>
      <c r="Y7" s="712"/>
      <c r="Z7" s="712"/>
      <c r="AA7" s="712"/>
      <c r="AB7" s="712"/>
      <c r="AC7" s="712"/>
      <c r="AD7" s="712"/>
      <c r="AE7" s="712"/>
      <c r="AF7" s="712"/>
      <c r="AG7" s="712"/>
      <c r="AH7" s="712"/>
      <c r="AI7" s="712"/>
      <c r="AJ7" s="713"/>
      <c r="AK7" s="432"/>
      <c r="AL7" s="432"/>
      <c r="AM7" s="433"/>
      <c r="AN7" s="433"/>
    </row>
    <row r="8" spans="1:40" ht="30">
      <c r="A8" s="434"/>
      <c r="B8" s="435"/>
      <c r="C8" s="436"/>
      <c r="D8" s="437" t="s">
        <v>47</v>
      </c>
      <c r="E8" s="437" t="s">
        <v>48</v>
      </c>
      <c r="F8" s="437" t="s">
        <v>49</v>
      </c>
      <c r="G8" s="437" t="s">
        <v>50</v>
      </c>
      <c r="H8" s="437" t="s">
        <v>51</v>
      </c>
      <c r="I8" s="437" t="s">
        <v>52</v>
      </c>
      <c r="J8" s="437" t="s">
        <v>53</v>
      </c>
      <c r="K8" s="437" t="s">
        <v>47</v>
      </c>
      <c r="L8" s="437" t="s">
        <v>48</v>
      </c>
      <c r="M8" s="437" t="s">
        <v>49</v>
      </c>
      <c r="N8" s="437" t="s">
        <v>50</v>
      </c>
      <c r="O8" s="437" t="s">
        <v>51</v>
      </c>
      <c r="P8" s="437" t="s">
        <v>52</v>
      </c>
      <c r="Q8" s="437" t="s">
        <v>53</v>
      </c>
      <c r="R8" s="437" t="s">
        <v>47</v>
      </c>
      <c r="S8" s="437" t="s">
        <v>48</v>
      </c>
      <c r="T8" s="437" t="s">
        <v>49</v>
      </c>
      <c r="U8" s="437" t="s">
        <v>50</v>
      </c>
      <c r="V8" s="437" t="s">
        <v>51</v>
      </c>
      <c r="W8" s="437" t="s">
        <v>52</v>
      </c>
      <c r="X8" s="437" t="s">
        <v>53</v>
      </c>
      <c r="Y8" s="437" t="s">
        <v>47</v>
      </c>
      <c r="Z8" s="437" t="s">
        <v>48</v>
      </c>
      <c r="AA8" s="437" t="s">
        <v>49</v>
      </c>
      <c r="AB8" s="437" t="s">
        <v>50</v>
      </c>
      <c r="AC8" s="437" t="s">
        <v>51</v>
      </c>
      <c r="AD8" s="437" t="s">
        <v>52</v>
      </c>
      <c r="AE8" s="437" t="s">
        <v>53</v>
      </c>
      <c r="AF8" s="437" t="s">
        <v>47</v>
      </c>
      <c r="AG8" s="437" t="s">
        <v>48</v>
      </c>
      <c r="AH8" s="437" t="s">
        <v>49</v>
      </c>
      <c r="AI8" s="438"/>
      <c r="AJ8" s="439" t="s">
        <v>96</v>
      </c>
      <c r="AK8" s="439" t="s">
        <v>97</v>
      </c>
      <c r="AL8" s="714" t="s">
        <v>98</v>
      </c>
      <c r="AM8" s="714" t="s">
        <v>99</v>
      </c>
      <c r="AN8" s="718" t="s">
        <v>100</v>
      </c>
    </row>
    <row r="9" spans="1:40">
      <c r="A9" s="416"/>
      <c r="B9" s="421"/>
      <c r="C9" s="440"/>
      <c r="D9" s="441"/>
      <c r="E9" s="441"/>
      <c r="F9" s="441"/>
      <c r="G9" s="441"/>
      <c r="H9" s="441"/>
      <c r="I9" s="441"/>
      <c r="J9" s="441"/>
      <c r="K9" s="441"/>
      <c r="L9" s="441"/>
      <c r="M9" s="441"/>
      <c r="N9" s="441"/>
      <c r="O9" s="441"/>
      <c r="P9" s="441"/>
      <c r="Q9" s="441"/>
      <c r="R9" s="441"/>
      <c r="S9" s="441"/>
      <c r="T9" s="441"/>
      <c r="U9" s="441"/>
      <c r="V9" s="441"/>
      <c r="W9" s="441"/>
      <c r="X9" s="441"/>
      <c r="Y9" s="441"/>
      <c r="Z9" s="441"/>
      <c r="AA9" s="441"/>
      <c r="AB9" s="441"/>
      <c r="AC9" s="441"/>
      <c r="AD9" s="441"/>
      <c r="AE9" s="441"/>
      <c r="AF9" s="441"/>
      <c r="AG9" s="441"/>
      <c r="AH9" s="441"/>
      <c r="AI9" s="442"/>
      <c r="AJ9" s="443"/>
      <c r="AK9" s="443"/>
      <c r="AL9" s="715"/>
      <c r="AM9" s="715"/>
      <c r="AN9" s="719"/>
    </row>
    <row r="10" spans="1:40">
      <c r="A10" s="444" t="s">
        <v>101</v>
      </c>
      <c r="B10" s="445" t="s">
        <v>102</v>
      </c>
      <c r="C10" s="446" t="s">
        <v>78</v>
      </c>
      <c r="D10" s="447">
        <v>1</v>
      </c>
      <c r="E10" s="447">
        <v>2</v>
      </c>
      <c r="F10" s="447">
        <v>3</v>
      </c>
      <c r="G10" s="447">
        <v>4</v>
      </c>
      <c r="H10" s="447">
        <v>5</v>
      </c>
      <c r="I10" s="447">
        <v>6</v>
      </c>
      <c r="J10" s="447">
        <v>7</v>
      </c>
      <c r="K10" s="447">
        <v>8</v>
      </c>
      <c r="L10" s="447">
        <v>9</v>
      </c>
      <c r="M10" s="447">
        <v>10</v>
      </c>
      <c r="N10" s="447">
        <v>11</v>
      </c>
      <c r="O10" s="447">
        <v>12</v>
      </c>
      <c r="P10" s="447">
        <v>13</v>
      </c>
      <c r="Q10" s="447">
        <v>14</v>
      </c>
      <c r="R10" s="447">
        <v>15</v>
      </c>
      <c r="S10" s="447">
        <v>16</v>
      </c>
      <c r="T10" s="447">
        <v>17</v>
      </c>
      <c r="U10" s="447">
        <v>18</v>
      </c>
      <c r="V10" s="447">
        <v>19</v>
      </c>
      <c r="W10" s="447">
        <v>20</v>
      </c>
      <c r="X10" s="447">
        <v>21</v>
      </c>
      <c r="Y10" s="447">
        <v>22</v>
      </c>
      <c r="Z10" s="447">
        <v>23</v>
      </c>
      <c r="AA10" s="447">
        <v>24</v>
      </c>
      <c r="AB10" s="447">
        <v>25</v>
      </c>
      <c r="AC10" s="447">
        <v>26</v>
      </c>
      <c r="AD10" s="447">
        <v>27</v>
      </c>
      <c r="AE10" s="447">
        <v>28</v>
      </c>
      <c r="AF10" s="447">
        <v>29</v>
      </c>
      <c r="AG10" s="447">
        <v>30</v>
      </c>
      <c r="AH10" s="447">
        <v>31</v>
      </c>
      <c r="AI10" s="448" t="s">
        <v>103</v>
      </c>
      <c r="AJ10" s="449"/>
      <c r="AK10" s="450"/>
      <c r="AL10" s="716"/>
      <c r="AM10" s="717"/>
      <c r="AN10" s="720"/>
    </row>
    <row r="11" spans="1:40">
      <c r="A11" s="451">
        <v>20</v>
      </c>
      <c r="B11" s="452"/>
      <c r="C11" s="453"/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3"/>
      <c r="Q11" s="453"/>
      <c r="R11" s="453"/>
      <c r="S11" s="453"/>
      <c r="T11" s="453"/>
      <c r="U11" s="453"/>
      <c r="V11" s="453"/>
      <c r="W11" s="453"/>
      <c r="X11" s="453"/>
      <c r="Y11" s="453"/>
      <c r="Z11" s="454"/>
      <c r="AA11" s="454"/>
      <c r="AB11" s="454"/>
      <c r="AC11" s="454"/>
      <c r="AD11" s="454"/>
      <c r="AE11" s="454"/>
      <c r="AF11" s="453"/>
      <c r="AG11" s="453"/>
      <c r="AH11" s="455"/>
      <c r="AI11" s="456">
        <v>0</v>
      </c>
      <c r="AJ11" s="457">
        <v>0</v>
      </c>
      <c r="AK11" s="458">
        <v>0</v>
      </c>
      <c r="AL11" s="458">
        <v>0</v>
      </c>
      <c r="AM11" s="458">
        <v>0</v>
      </c>
      <c r="AN11" s="459">
        <v>0</v>
      </c>
    </row>
    <row r="12" spans="1:40">
      <c r="A12" s="460">
        <v>19</v>
      </c>
      <c r="B12" s="461"/>
      <c r="C12" s="462"/>
      <c r="D12" s="462"/>
      <c r="E12" s="462"/>
      <c r="F12" s="462"/>
      <c r="G12" s="462"/>
      <c r="H12" s="462"/>
      <c r="I12" s="462"/>
      <c r="J12" s="462"/>
      <c r="K12" s="462"/>
      <c r="L12" s="462"/>
      <c r="M12" s="462"/>
      <c r="N12" s="462"/>
      <c r="O12" s="462"/>
      <c r="P12" s="462"/>
      <c r="Q12" s="462"/>
      <c r="R12" s="462"/>
      <c r="S12" s="462"/>
      <c r="T12" s="462"/>
      <c r="U12" s="462"/>
      <c r="V12" s="462"/>
      <c r="W12" s="462"/>
      <c r="X12" s="462"/>
      <c r="Y12" s="462"/>
      <c r="Z12" s="463"/>
      <c r="AA12" s="463"/>
      <c r="AB12" s="463"/>
      <c r="AC12" s="463"/>
      <c r="AD12" s="463"/>
      <c r="AE12" s="463"/>
      <c r="AF12" s="462"/>
      <c r="AG12" s="462"/>
      <c r="AH12" s="464"/>
      <c r="AI12" s="456">
        <v>0</v>
      </c>
      <c r="AJ12" s="465">
        <v>0</v>
      </c>
      <c r="AK12" s="466">
        <v>0</v>
      </c>
      <c r="AL12" s="466">
        <v>0</v>
      </c>
      <c r="AM12" s="466">
        <v>0</v>
      </c>
      <c r="AN12" s="467">
        <v>0</v>
      </c>
    </row>
    <row r="13" spans="1:40">
      <c r="A13" s="460">
        <v>18</v>
      </c>
      <c r="B13" s="461"/>
      <c r="C13" s="462"/>
      <c r="D13" s="462"/>
      <c r="E13" s="462"/>
      <c r="F13" s="462"/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3"/>
      <c r="AA13" s="463"/>
      <c r="AB13" s="463"/>
      <c r="AC13" s="463"/>
      <c r="AD13" s="463"/>
      <c r="AE13" s="463"/>
      <c r="AF13" s="462"/>
      <c r="AG13" s="462"/>
      <c r="AH13" s="464"/>
      <c r="AI13" s="456">
        <v>0</v>
      </c>
      <c r="AJ13" s="457">
        <v>0</v>
      </c>
      <c r="AK13" s="458">
        <v>0</v>
      </c>
      <c r="AL13" s="458">
        <v>0</v>
      </c>
      <c r="AM13" s="458">
        <v>0</v>
      </c>
      <c r="AN13" s="459">
        <v>0</v>
      </c>
    </row>
    <row r="14" spans="1:40">
      <c r="A14" s="460">
        <v>17</v>
      </c>
      <c r="B14" s="461"/>
      <c r="C14" s="462"/>
      <c r="D14" s="462"/>
      <c r="E14" s="462"/>
      <c r="F14" s="462"/>
      <c r="G14" s="462"/>
      <c r="H14" s="462"/>
      <c r="I14" s="462"/>
      <c r="J14" s="462"/>
      <c r="K14" s="462"/>
      <c r="L14" s="462"/>
      <c r="M14" s="462"/>
      <c r="N14" s="462"/>
      <c r="O14" s="462"/>
      <c r="P14" s="462"/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2"/>
      <c r="AC14" s="462"/>
      <c r="AD14" s="462"/>
      <c r="AE14" s="462"/>
      <c r="AF14" s="462"/>
      <c r="AG14" s="462"/>
      <c r="AH14" s="464"/>
      <c r="AI14" s="456">
        <v>0</v>
      </c>
      <c r="AJ14" s="465">
        <v>0</v>
      </c>
      <c r="AK14" s="466">
        <v>0</v>
      </c>
      <c r="AL14" s="466">
        <v>0</v>
      </c>
      <c r="AM14" s="466">
        <v>0</v>
      </c>
      <c r="AN14" s="467">
        <v>0</v>
      </c>
    </row>
    <row r="15" spans="1:40">
      <c r="A15" s="460">
        <v>16</v>
      </c>
      <c r="B15" s="461"/>
      <c r="C15" s="462"/>
      <c r="D15" s="462"/>
      <c r="E15" s="462"/>
      <c r="F15" s="462"/>
      <c r="G15" s="462"/>
      <c r="H15" s="462"/>
      <c r="I15" s="462"/>
      <c r="J15" s="462"/>
      <c r="K15" s="462"/>
      <c r="L15" s="462"/>
      <c r="M15" s="462"/>
      <c r="N15" s="462"/>
      <c r="O15" s="462"/>
      <c r="P15" s="462"/>
      <c r="Q15" s="462"/>
      <c r="R15" s="462"/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4"/>
      <c r="AI15" s="456">
        <v>0</v>
      </c>
      <c r="AJ15" s="457">
        <v>0</v>
      </c>
      <c r="AK15" s="458">
        <v>0</v>
      </c>
      <c r="AL15" s="458">
        <v>0</v>
      </c>
      <c r="AM15" s="458">
        <v>0</v>
      </c>
      <c r="AN15" s="459">
        <v>0</v>
      </c>
    </row>
    <row r="16" spans="1:40">
      <c r="A16" s="460">
        <v>15</v>
      </c>
      <c r="B16" s="461"/>
      <c r="C16" s="462"/>
      <c r="D16" s="462"/>
      <c r="E16" s="462"/>
      <c r="F16" s="462"/>
      <c r="G16" s="462"/>
      <c r="H16" s="462"/>
      <c r="I16" s="462"/>
      <c r="J16" s="462"/>
      <c r="K16" s="462"/>
      <c r="L16" s="462"/>
      <c r="M16" s="462"/>
      <c r="N16" s="462"/>
      <c r="O16" s="462"/>
      <c r="P16" s="462"/>
      <c r="Q16" s="462"/>
      <c r="R16" s="462"/>
      <c r="S16" s="462"/>
      <c r="T16" s="462"/>
      <c r="U16" s="462"/>
      <c r="V16" s="462"/>
      <c r="W16" s="462"/>
      <c r="X16" s="462"/>
      <c r="Y16" s="462"/>
      <c r="Z16" s="462"/>
      <c r="AA16" s="462"/>
      <c r="AB16" s="462"/>
      <c r="AC16" s="462"/>
      <c r="AD16" s="462"/>
      <c r="AE16" s="462"/>
      <c r="AF16" s="462"/>
      <c r="AG16" s="462"/>
      <c r="AH16" s="464"/>
      <c r="AI16" s="456">
        <v>0</v>
      </c>
      <c r="AJ16" s="465">
        <v>0</v>
      </c>
      <c r="AK16" s="466">
        <v>0</v>
      </c>
      <c r="AL16" s="466">
        <v>0</v>
      </c>
      <c r="AM16" s="466">
        <v>0</v>
      </c>
      <c r="AN16" s="467">
        <v>0</v>
      </c>
    </row>
    <row r="17" spans="1:41">
      <c r="A17" s="460">
        <v>14</v>
      </c>
      <c r="B17" s="461"/>
      <c r="C17" s="462"/>
      <c r="D17" s="462"/>
      <c r="E17" s="462"/>
      <c r="F17" s="462"/>
      <c r="G17" s="462"/>
      <c r="H17" s="462"/>
      <c r="I17" s="462"/>
      <c r="J17" s="462"/>
      <c r="K17" s="462"/>
      <c r="L17" s="462"/>
      <c r="M17" s="462"/>
      <c r="N17" s="462"/>
      <c r="O17" s="462"/>
      <c r="P17" s="462"/>
      <c r="Q17" s="462"/>
      <c r="R17" s="462"/>
      <c r="S17" s="462"/>
      <c r="T17" s="462"/>
      <c r="U17" s="462"/>
      <c r="V17" s="462"/>
      <c r="W17" s="462"/>
      <c r="X17" s="462"/>
      <c r="Y17" s="462"/>
      <c r="Z17" s="462"/>
      <c r="AA17" s="462"/>
      <c r="AB17" s="462"/>
      <c r="AC17" s="462"/>
      <c r="AD17" s="462"/>
      <c r="AE17" s="462"/>
      <c r="AF17" s="462"/>
      <c r="AG17" s="462"/>
      <c r="AH17" s="464"/>
      <c r="AI17" s="456">
        <v>0</v>
      </c>
      <c r="AJ17" s="465">
        <v>0</v>
      </c>
      <c r="AK17" s="466">
        <v>0</v>
      </c>
      <c r="AL17" s="466">
        <v>0</v>
      </c>
      <c r="AM17" s="466">
        <v>0</v>
      </c>
      <c r="AN17" s="467">
        <v>0</v>
      </c>
    </row>
    <row r="18" spans="1:41">
      <c r="A18" s="460">
        <v>13</v>
      </c>
      <c r="B18" s="461"/>
      <c r="C18" s="462"/>
      <c r="D18" s="462"/>
      <c r="E18" s="462"/>
      <c r="F18" s="462"/>
      <c r="G18" s="462"/>
      <c r="H18" s="462"/>
      <c r="I18" s="462"/>
      <c r="J18" s="462"/>
      <c r="K18" s="462"/>
      <c r="L18" s="462"/>
      <c r="M18" s="462"/>
      <c r="N18" s="462"/>
      <c r="O18" s="462"/>
      <c r="P18" s="462"/>
      <c r="Q18" s="462"/>
      <c r="R18" s="462"/>
      <c r="S18" s="462"/>
      <c r="T18" s="462"/>
      <c r="U18" s="462"/>
      <c r="V18" s="462"/>
      <c r="W18" s="462"/>
      <c r="X18" s="462"/>
      <c r="Y18" s="462"/>
      <c r="Z18" s="462"/>
      <c r="AA18" s="462"/>
      <c r="AB18" s="462"/>
      <c r="AC18" s="462"/>
      <c r="AD18" s="462"/>
      <c r="AE18" s="462"/>
      <c r="AF18" s="462"/>
      <c r="AG18" s="462"/>
      <c r="AH18" s="464"/>
      <c r="AI18" s="456">
        <v>0</v>
      </c>
      <c r="AJ18" s="465">
        <v>0</v>
      </c>
      <c r="AK18" s="466">
        <v>0</v>
      </c>
      <c r="AL18" s="466">
        <v>0</v>
      </c>
      <c r="AM18" s="466">
        <v>0</v>
      </c>
      <c r="AN18" s="467">
        <v>0</v>
      </c>
    </row>
    <row r="19" spans="1:41">
      <c r="A19" s="460">
        <v>12</v>
      </c>
      <c r="B19" s="461"/>
      <c r="C19" s="462"/>
      <c r="D19" s="462"/>
      <c r="E19" s="462"/>
      <c r="F19" s="462"/>
      <c r="G19" s="462"/>
      <c r="H19" s="462"/>
      <c r="I19" s="462"/>
      <c r="J19" s="462"/>
      <c r="K19" s="462"/>
      <c r="L19" s="462"/>
      <c r="M19" s="462"/>
      <c r="N19" s="462"/>
      <c r="O19" s="462"/>
      <c r="P19" s="462"/>
      <c r="Q19" s="462"/>
      <c r="R19" s="462"/>
      <c r="S19" s="462"/>
      <c r="T19" s="462"/>
      <c r="U19" s="462"/>
      <c r="V19" s="462"/>
      <c r="W19" s="462"/>
      <c r="X19" s="462"/>
      <c r="Y19" s="462"/>
      <c r="Z19" s="462"/>
      <c r="AA19" s="462"/>
      <c r="AB19" s="462"/>
      <c r="AC19" s="462"/>
      <c r="AD19" s="462"/>
      <c r="AE19" s="462"/>
      <c r="AF19" s="462"/>
      <c r="AG19" s="462"/>
      <c r="AH19" s="464"/>
      <c r="AI19" s="456">
        <v>0</v>
      </c>
      <c r="AJ19" s="465">
        <v>0</v>
      </c>
      <c r="AK19" s="466">
        <v>0</v>
      </c>
      <c r="AL19" s="466">
        <v>0</v>
      </c>
      <c r="AM19" s="466">
        <v>0</v>
      </c>
      <c r="AN19" s="467">
        <v>0</v>
      </c>
    </row>
    <row r="20" spans="1:41">
      <c r="A20" s="460">
        <v>11</v>
      </c>
      <c r="B20" s="461"/>
      <c r="C20" s="462"/>
      <c r="D20" s="462"/>
      <c r="E20" s="462"/>
      <c r="F20" s="462"/>
      <c r="G20" s="462"/>
      <c r="H20" s="462"/>
      <c r="I20" s="462"/>
      <c r="J20" s="462"/>
      <c r="K20" s="462"/>
      <c r="L20" s="462"/>
      <c r="M20" s="462"/>
      <c r="N20" s="462"/>
      <c r="O20" s="462"/>
      <c r="P20" s="462"/>
      <c r="Q20" s="462"/>
      <c r="R20" s="462"/>
      <c r="S20" s="462"/>
      <c r="T20" s="462"/>
      <c r="U20" s="462"/>
      <c r="V20" s="462"/>
      <c r="W20" s="462"/>
      <c r="X20" s="462"/>
      <c r="Y20" s="462"/>
      <c r="Z20" s="462"/>
      <c r="AA20" s="462"/>
      <c r="AB20" s="462"/>
      <c r="AC20" s="462"/>
      <c r="AD20" s="462"/>
      <c r="AE20" s="462"/>
      <c r="AF20" s="462"/>
      <c r="AG20" s="462"/>
      <c r="AH20" s="464"/>
      <c r="AI20" s="456">
        <v>0</v>
      </c>
      <c r="AJ20" s="465">
        <v>0</v>
      </c>
      <c r="AK20" s="466">
        <v>0</v>
      </c>
      <c r="AL20" s="466">
        <v>0</v>
      </c>
      <c r="AM20" s="466">
        <v>0</v>
      </c>
      <c r="AN20" s="467">
        <v>0</v>
      </c>
    </row>
    <row r="21" spans="1:41">
      <c r="A21" s="460">
        <v>10</v>
      </c>
      <c r="B21" s="461"/>
      <c r="C21" s="462"/>
      <c r="D21" s="462"/>
      <c r="E21" s="462"/>
      <c r="F21" s="462"/>
      <c r="G21" s="462"/>
      <c r="H21" s="462"/>
      <c r="I21" s="462"/>
      <c r="J21" s="462"/>
      <c r="K21" s="462"/>
      <c r="L21" s="462"/>
      <c r="M21" s="462"/>
      <c r="N21" s="462"/>
      <c r="O21" s="462"/>
      <c r="P21" s="462"/>
      <c r="Q21" s="462"/>
      <c r="R21" s="462"/>
      <c r="S21" s="462"/>
      <c r="T21" s="462"/>
      <c r="U21" s="462"/>
      <c r="V21" s="462"/>
      <c r="W21" s="462"/>
      <c r="X21" s="462"/>
      <c r="Y21" s="462"/>
      <c r="Z21" s="462"/>
      <c r="AA21" s="462"/>
      <c r="AB21" s="462"/>
      <c r="AC21" s="462"/>
      <c r="AD21" s="462"/>
      <c r="AE21" s="462"/>
      <c r="AF21" s="462"/>
      <c r="AG21" s="462"/>
      <c r="AH21" s="464"/>
      <c r="AI21" s="456">
        <v>0</v>
      </c>
      <c r="AJ21" s="465">
        <v>0</v>
      </c>
      <c r="AK21" s="466">
        <v>0</v>
      </c>
      <c r="AL21" s="466">
        <v>0</v>
      </c>
      <c r="AM21" s="466">
        <v>0</v>
      </c>
      <c r="AN21" s="467">
        <v>0</v>
      </c>
    </row>
    <row r="22" spans="1:41">
      <c r="A22" s="460">
        <v>9</v>
      </c>
      <c r="B22" s="461"/>
      <c r="C22" s="462"/>
      <c r="D22" s="462"/>
      <c r="E22" s="462"/>
      <c r="F22" s="462"/>
      <c r="G22" s="462"/>
      <c r="H22" s="462"/>
      <c r="I22" s="462"/>
      <c r="J22" s="462"/>
      <c r="K22" s="462"/>
      <c r="L22" s="462"/>
      <c r="M22" s="462"/>
      <c r="N22" s="462"/>
      <c r="O22" s="462"/>
      <c r="P22" s="462"/>
      <c r="Q22" s="462"/>
      <c r="R22" s="462"/>
      <c r="S22" s="462"/>
      <c r="T22" s="462"/>
      <c r="U22" s="462"/>
      <c r="V22" s="462"/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4"/>
      <c r="AI22" s="456">
        <f t="shared" ref="AI22:AI30" si="0">COUNTIF(D22:AH22, "&gt;0")</f>
        <v>0</v>
      </c>
      <c r="AJ22" s="465">
        <v>0</v>
      </c>
      <c r="AK22" s="466">
        <v>0</v>
      </c>
      <c r="AL22" s="466">
        <v>0</v>
      </c>
      <c r="AM22" s="466">
        <v>0</v>
      </c>
      <c r="AN22" s="467">
        <v>0</v>
      </c>
    </row>
    <row r="23" spans="1:41">
      <c r="A23" s="460">
        <v>8</v>
      </c>
      <c r="B23" s="468"/>
      <c r="C23" s="468"/>
      <c r="D23" s="468"/>
      <c r="E23" s="468"/>
      <c r="F23" s="468"/>
      <c r="G23" s="468"/>
      <c r="H23" s="468"/>
      <c r="I23" s="468"/>
      <c r="J23" s="468"/>
      <c r="K23" s="468"/>
      <c r="L23" s="468"/>
      <c r="M23" s="468"/>
      <c r="N23" s="469"/>
      <c r="O23" s="470"/>
      <c r="P23" s="470"/>
      <c r="Q23" s="470"/>
      <c r="R23" s="470"/>
      <c r="S23" s="470"/>
      <c r="T23" s="470"/>
      <c r="U23" s="470"/>
      <c r="V23" s="470"/>
      <c r="W23" s="471"/>
      <c r="X23" s="470"/>
      <c r="Y23" s="470"/>
      <c r="Z23" s="470"/>
      <c r="AA23" s="470"/>
      <c r="AB23" s="470"/>
      <c r="AC23" s="470"/>
      <c r="AD23" s="470"/>
      <c r="AE23" s="470"/>
      <c r="AF23" s="470"/>
      <c r="AG23" s="470"/>
      <c r="AH23" s="472"/>
      <c r="AI23" s="456">
        <f t="shared" si="0"/>
        <v>0</v>
      </c>
      <c r="AJ23" s="465">
        <v>0</v>
      </c>
      <c r="AK23" s="466">
        <v>0</v>
      </c>
      <c r="AL23" s="466">
        <v>0</v>
      </c>
      <c r="AM23" s="466">
        <v>0</v>
      </c>
      <c r="AN23" s="467">
        <v>0</v>
      </c>
    </row>
    <row r="24" spans="1:41">
      <c r="A24" s="460">
        <v>7</v>
      </c>
      <c r="B24" s="468"/>
      <c r="C24" s="468"/>
      <c r="D24" s="470"/>
      <c r="E24" s="468"/>
      <c r="F24" s="468"/>
      <c r="G24" s="468"/>
      <c r="H24" s="470"/>
      <c r="I24" s="470"/>
      <c r="J24" s="468"/>
      <c r="K24" s="468"/>
      <c r="L24" s="470"/>
      <c r="M24" s="470"/>
      <c r="N24" s="468"/>
      <c r="O24" s="468"/>
      <c r="P24" s="470"/>
      <c r="Q24" s="470"/>
      <c r="R24" s="468"/>
      <c r="S24" s="468"/>
      <c r="T24" s="470"/>
      <c r="U24" s="470"/>
      <c r="V24" s="470"/>
      <c r="W24" s="468"/>
      <c r="X24" s="468"/>
      <c r="Y24" s="470"/>
      <c r="Z24" s="470"/>
      <c r="AA24" s="470"/>
      <c r="AB24" s="468"/>
      <c r="AC24" s="468"/>
      <c r="AD24" s="470"/>
      <c r="AE24" s="470"/>
      <c r="AF24" s="470"/>
      <c r="AG24" s="470"/>
      <c r="AH24" s="468"/>
      <c r="AI24" s="456">
        <f t="shared" si="0"/>
        <v>0</v>
      </c>
      <c r="AJ24" s="465">
        <v>0</v>
      </c>
      <c r="AK24" s="466">
        <v>0</v>
      </c>
      <c r="AL24" s="466">
        <v>0</v>
      </c>
      <c r="AM24" s="466">
        <v>0</v>
      </c>
      <c r="AN24" s="467">
        <v>0</v>
      </c>
    </row>
    <row r="25" spans="1:41">
      <c r="A25" s="473">
        <v>6</v>
      </c>
      <c r="B25" s="468"/>
      <c r="C25" s="468"/>
      <c r="D25" s="474"/>
      <c r="E25" s="475"/>
      <c r="F25" s="475"/>
      <c r="G25" s="475"/>
      <c r="H25" s="474"/>
      <c r="I25" s="474"/>
      <c r="J25" s="475"/>
      <c r="K25" s="475"/>
      <c r="L25" s="474"/>
      <c r="M25" s="474"/>
      <c r="N25" s="475"/>
      <c r="O25" s="475"/>
      <c r="P25" s="474"/>
      <c r="Q25" s="474"/>
      <c r="R25" s="475"/>
      <c r="S25" s="475"/>
      <c r="T25" s="474"/>
      <c r="U25" s="474"/>
      <c r="V25" s="474"/>
      <c r="W25" s="475"/>
      <c r="X25" s="475"/>
      <c r="Y25" s="474"/>
      <c r="Z25" s="474"/>
      <c r="AA25" s="474"/>
      <c r="AB25" s="476"/>
      <c r="AC25" s="475"/>
      <c r="AD25" s="474"/>
      <c r="AE25" s="474"/>
      <c r="AF25" s="474"/>
      <c r="AG25" s="474"/>
      <c r="AH25" s="475"/>
      <c r="AI25" s="477">
        <f>COUNTIF(D25:AH25,"&gt;0")</f>
        <v>0</v>
      </c>
      <c r="AJ25" s="478">
        <f>SUMIF(D25:AH25,"&gt;0")</f>
        <v>0</v>
      </c>
      <c r="AK25" s="479">
        <f>COUNTIF(D25:AH25,"В")</f>
        <v>0</v>
      </c>
      <c r="AL25" s="479">
        <f t="shared" ref="AL25:AL29" si="1">COUNTIF(E25:AI25,"о")</f>
        <v>0</v>
      </c>
      <c r="AM25" s="479">
        <f t="shared" ref="AM25:AM29" si="2">COUNTIF(F25:AJ25,"б")</f>
        <v>0</v>
      </c>
      <c r="AN25" s="480">
        <v>0</v>
      </c>
      <c r="AO25" s="481"/>
    </row>
    <row r="26" spans="1:41" ht="16">
      <c r="A26" s="482">
        <v>5</v>
      </c>
      <c r="B26" s="483" t="s">
        <v>119</v>
      </c>
      <c r="C26" s="470"/>
      <c r="D26" s="474" t="s">
        <v>60</v>
      </c>
      <c r="E26" s="582">
        <v>7</v>
      </c>
      <c r="F26" s="582">
        <v>9</v>
      </c>
      <c r="G26" s="582">
        <v>9</v>
      </c>
      <c r="H26" s="582">
        <v>9</v>
      </c>
      <c r="I26" s="583">
        <v>11</v>
      </c>
      <c r="J26" s="474"/>
      <c r="K26" s="474"/>
      <c r="L26" s="474"/>
      <c r="M26" s="474"/>
      <c r="N26" s="474"/>
      <c r="O26" s="474"/>
      <c r="P26" s="474"/>
      <c r="Q26" s="474"/>
      <c r="R26" s="474"/>
      <c r="S26" s="489"/>
      <c r="T26" s="485"/>
      <c r="U26" s="485"/>
      <c r="V26" s="485"/>
      <c r="W26" s="486"/>
      <c r="X26" s="486"/>
      <c r="Y26" s="486"/>
      <c r="Z26" s="489"/>
      <c r="AA26" s="487"/>
      <c r="AB26" s="485"/>
      <c r="AC26" s="555"/>
      <c r="AD26" s="485"/>
      <c r="AE26" s="488"/>
      <c r="AF26" s="489"/>
      <c r="AG26" s="484"/>
      <c r="AH26" s="475"/>
      <c r="AI26" s="490">
        <f t="shared" si="0"/>
        <v>5</v>
      </c>
      <c r="AJ26" s="491">
        <f t="shared" ref="AJ26:AJ30" si="3">SUMIF(D26:AH26, "&gt;0")</f>
        <v>45</v>
      </c>
      <c r="AK26" s="492">
        <f t="shared" ref="AK26:AK30" si="4">COUNTIF(D26:AH26, "В")</f>
        <v>1</v>
      </c>
      <c r="AL26" s="492">
        <v>0</v>
      </c>
      <c r="AM26" s="492">
        <v>0</v>
      </c>
      <c r="AN26" s="493">
        <v>0</v>
      </c>
    </row>
    <row r="27" spans="1:41" ht="16">
      <c r="A27" s="494">
        <v>4</v>
      </c>
      <c r="B27" s="483"/>
      <c r="C27" s="483"/>
      <c r="D27" s="551"/>
      <c r="E27" s="551"/>
      <c r="F27" s="551"/>
      <c r="G27" s="548"/>
      <c r="H27" s="548"/>
      <c r="I27" s="548"/>
      <c r="J27" s="551"/>
      <c r="K27" s="554"/>
      <c r="L27" s="554"/>
      <c r="M27" s="548"/>
      <c r="N27" s="548"/>
      <c r="O27" s="548"/>
      <c r="P27" s="548"/>
      <c r="Q27" s="548"/>
      <c r="R27" s="548"/>
      <c r="S27" s="548"/>
      <c r="T27" s="548"/>
      <c r="U27" s="548"/>
      <c r="V27" s="548"/>
      <c r="W27" s="548"/>
      <c r="X27" s="548"/>
      <c r="Y27" s="548"/>
      <c r="Z27" s="548"/>
      <c r="AA27" s="548"/>
      <c r="AB27" s="548"/>
      <c r="AC27" s="548"/>
      <c r="AD27" s="548"/>
      <c r="AE27" s="548"/>
      <c r="AF27" s="548"/>
      <c r="AG27" s="548"/>
      <c r="AH27" s="548"/>
      <c r="AI27" s="497">
        <f t="shared" ref="AI27:AI29" si="5">COUNTIF(D27:AH27,"&gt;0")</f>
        <v>0</v>
      </c>
      <c r="AJ27" s="478">
        <f t="shared" ref="AJ27:AJ29" si="6">SUMIF(D27:AH27,"&gt;0")</f>
        <v>0</v>
      </c>
      <c r="AK27" s="479">
        <f t="shared" ref="AK27:AK29" si="7">COUNTIF(D27:AH27,"В")</f>
        <v>0</v>
      </c>
      <c r="AL27" s="479">
        <f t="shared" si="1"/>
        <v>0</v>
      </c>
      <c r="AM27" s="479">
        <f t="shared" si="2"/>
        <v>0</v>
      </c>
      <c r="AN27" s="498">
        <v>0</v>
      </c>
      <c r="AO27" s="481"/>
    </row>
    <row r="28" spans="1:41" ht="16">
      <c r="A28" s="473">
        <v>3</v>
      </c>
      <c r="B28" s="499" t="s">
        <v>116</v>
      </c>
      <c r="C28" s="500" t="s">
        <v>104</v>
      </c>
      <c r="D28" s="501" t="s">
        <v>60</v>
      </c>
      <c r="E28" s="495"/>
      <c r="F28" s="495"/>
      <c r="G28" s="495"/>
      <c r="H28" s="495"/>
      <c r="I28" s="495"/>
      <c r="J28" s="495"/>
      <c r="K28" s="582">
        <v>10</v>
      </c>
      <c r="L28" s="582">
        <v>11</v>
      </c>
      <c r="M28" s="582">
        <v>11</v>
      </c>
      <c r="N28" s="582">
        <v>9</v>
      </c>
      <c r="O28" s="495"/>
      <c r="P28" s="495"/>
      <c r="Q28" s="496"/>
      <c r="R28" s="495"/>
      <c r="S28" s="495"/>
      <c r="T28" s="501"/>
      <c r="U28" s="495"/>
      <c r="V28" s="495"/>
      <c r="W28" s="496"/>
      <c r="X28" s="495"/>
      <c r="Y28" s="495"/>
      <c r="Z28" s="495"/>
      <c r="AA28" s="495"/>
      <c r="AB28" s="495"/>
      <c r="AC28" s="496"/>
      <c r="AD28" s="495"/>
      <c r="AE28" s="495"/>
      <c r="AF28" s="502"/>
      <c r="AG28" s="495"/>
      <c r="AH28" s="582">
        <v>11</v>
      </c>
      <c r="AI28" s="497">
        <f t="shared" si="5"/>
        <v>5</v>
      </c>
      <c r="AJ28" s="478">
        <f t="shared" si="6"/>
        <v>52</v>
      </c>
      <c r="AK28" s="479">
        <f t="shared" si="7"/>
        <v>1</v>
      </c>
      <c r="AL28" s="479">
        <f t="shared" si="1"/>
        <v>0</v>
      </c>
      <c r="AM28" s="479">
        <f t="shared" si="2"/>
        <v>0</v>
      </c>
      <c r="AN28" s="480">
        <v>0</v>
      </c>
      <c r="AO28" s="481"/>
    </row>
    <row r="29" spans="1:41" ht="16">
      <c r="A29" s="473">
        <v>2</v>
      </c>
      <c r="B29" s="499" t="s">
        <v>115</v>
      </c>
      <c r="C29" s="500" t="s">
        <v>84</v>
      </c>
      <c r="D29" s="556" t="s">
        <v>60</v>
      </c>
      <c r="E29" s="556" t="s">
        <v>60</v>
      </c>
      <c r="F29" s="558"/>
      <c r="G29" s="558"/>
      <c r="H29" s="558"/>
      <c r="I29" s="583">
        <v>10</v>
      </c>
      <c r="J29" s="582">
        <v>11</v>
      </c>
      <c r="K29" s="582">
        <v>11</v>
      </c>
      <c r="L29" s="582">
        <v>11</v>
      </c>
      <c r="M29" s="582">
        <v>11</v>
      </c>
      <c r="N29" s="583">
        <v>11</v>
      </c>
      <c r="O29" s="549" t="s">
        <v>60</v>
      </c>
      <c r="P29" s="582">
        <v>11</v>
      </c>
      <c r="Q29" s="582">
        <v>11</v>
      </c>
      <c r="R29" s="582">
        <v>10</v>
      </c>
      <c r="S29" s="589">
        <v>9</v>
      </c>
      <c r="T29" s="582">
        <v>9</v>
      </c>
      <c r="U29" s="582">
        <v>11</v>
      </c>
      <c r="V29" s="582">
        <v>11</v>
      </c>
      <c r="W29" s="556" t="s">
        <v>60</v>
      </c>
      <c r="X29" s="582">
        <v>9</v>
      </c>
      <c r="Y29" s="582">
        <v>11</v>
      </c>
      <c r="Z29" s="582">
        <v>11</v>
      </c>
      <c r="AA29" s="588">
        <v>11</v>
      </c>
      <c r="AB29" s="583">
        <v>11</v>
      </c>
      <c r="AC29" s="583">
        <v>11</v>
      </c>
      <c r="AD29" s="583">
        <v>11</v>
      </c>
      <c r="AE29" s="583">
        <v>11</v>
      </c>
      <c r="AF29" s="588">
        <v>11</v>
      </c>
      <c r="AG29" s="588">
        <v>11</v>
      </c>
      <c r="AH29" s="588">
        <v>11</v>
      </c>
      <c r="AI29" s="497">
        <f t="shared" si="5"/>
        <v>24</v>
      </c>
      <c r="AJ29" s="478">
        <f t="shared" si="6"/>
        <v>256</v>
      </c>
      <c r="AK29" s="479">
        <f t="shared" si="7"/>
        <v>4</v>
      </c>
      <c r="AL29" s="479">
        <f t="shared" si="1"/>
        <v>0</v>
      </c>
      <c r="AM29" s="479">
        <f t="shared" si="2"/>
        <v>0</v>
      </c>
      <c r="AN29" s="480">
        <v>0</v>
      </c>
      <c r="AO29" s="481"/>
    </row>
    <row r="30" spans="1:41" ht="16">
      <c r="A30" s="503">
        <v>1</v>
      </c>
      <c r="B30" s="504" t="s">
        <v>111</v>
      </c>
      <c r="C30" s="505" t="s">
        <v>84</v>
      </c>
      <c r="D30" s="550" t="s">
        <v>60</v>
      </c>
      <c r="E30" s="584">
        <v>11</v>
      </c>
      <c r="F30" s="585">
        <v>11</v>
      </c>
      <c r="G30" s="584">
        <v>11</v>
      </c>
      <c r="H30" s="584">
        <v>11</v>
      </c>
      <c r="I30" s="551" t="s">
        <v>60</v>
      </c>
      <c r="J30" s="551" t="s">
        <v>60</v>
      </c>
      <c r="K30" s="586">
        <v>11</v>
      </c>
      <c r="L30" s="552" t="s">
        <v>60</v>
      </c>
      <c r="M30" s="587">
        <v>11</v>
      </c>
      <c r="N30" s="587">
        <v>11</v>
      </c>
      <c r="O30" s="587">
        <v>11</v>
      </c>
      <c r="P30" s="551" t="s">
        <v>60</v>
      </c>
      <c r="Q30" s="586">
        <v>9</v>
      </c>
      <c r="R30" s="584">
        <v>11</v>
      </c>
      <c r="S30" s="587">
        <v>9</v>
      </c>
      <c r="T30" s="589">
        <v>9</v>
      </c>
      <c r="U30" s="553" t="s">
        <v>60</v>
      </c>
      <c r="V30" s="553" t="s">
        <v>60</v>
      </c>
      <c r="W30" s="586">
        <v>11</v>
      </c>
      <c r="X30" s="589">
        <v>9</v>
      </c>
      <c r="Y30" s="587">
        <v>2</v>
      </c>
      <c r="Z30" s="565" t="s">
        <v>117</v>
      </c>
      <c r="AA30" s="565" t="s">
        <v>117</v>
      </c>
      <c r="AB30" s="565" t="s">
        <v>117</v>
      </c>
      <c r="AC30" s="565" t="s">
        <v>117</v>
      </c>
      <c r="AD30" s="565" t="s">
        <v>117</v>
      </c>
      <c r="AE30" s="565" t="s">
        <v>117</v>
      </c>
      <c r="AF30" s="565" t="s">
        <v>117</v>
      </c>
      <c r="AG30" s="565" t="s">
        <v>117</v>
      </c>
      <c r="AH30" s="565" t="s">
        <v>117</v>
      </c>
      <c r="AI30" s="506">
        <f t="shared" si="0"/>
        <v>15</v>
      </c>
      <c r="AJ30" s="491">
        <f t="shared" si="3"/>
        <v>148</v>
      </c>
      <c r="AK30" s="507">
        <f t="shared" si="4"/>
        <v>7</v>
      </c>
      <c r="AL30" s="507">
        <f>COUNTIF(E30:AI30, "о")</f>
        <v>0</v>
      </c>
      <c r="AM30" s="507">
        <f>COUNTIF(F30:AJ30, "б")</f>
        <v>0</v>
      </c>
      <c r="AN30" s="508">
        <v>0</v>
      </c>
    </row>
    <row r="31" spans="1:41">
      <c r="A31" s="509"/>
      <c r="B31" s="510" t="s">
        <v>105</v>
      </c>
      <c r="C31" s="566"/>
      <c r="D31" s="567">
        <f>COUNTIF(D11:D30, "&gt;0")</f>
        <v>0</v>
      </c>
      <c r="E31" s="510">
        <f t="shared" ref="E31:AH31" si="8">COUNTIF(E11:E30, "&gt;0")</f>
        <v>2</v>
      </c>
      <c r="F31" s="510">
        <f t="shared" si="8"/>
        <v>2</v>
      </c>
      <c r="G31" s="510">
        <f t="shared" si="8"/>
        <v>2</v>
      </c>
      <c r="H31" s="510">
        <f t="shared" si="8"/>
        <v>2</v>
      </c>
      <c r="I31" s="510">
        <f t="shared" si="8"/>
        <v>2</v>
      </c>
      <c r="J31" s="510">
        <f t="shared" si="8"/>
        <v>1</v>
      </c>
      <c r="K31" s="510">
        <f>COUNTIF(K11:K29, "&gt;0")</f>
        <v>2</v>
      </c>
      <c r="L31" s="510">
        <f t="shared" si="8"/>
        <v>2</v>
      </c>
      <c r="M31" s="510">
        <f t="shared" si="8"/>
        <v>3</v>
      </c>
      <c r="N31" s="510">
        <f t="shared" si="8"/>
        <v>3</v>
      </c>
      <c r="O31" s="510">
        <f t="shared" si="8"/>
        <v>1</v>
      </c>
      <c r="P31" s="510">
        <f t="shared" si="8"/>
        <v>1</v>
      </c>
      <c r="Q31" s="510">
        <f t="shared" si="8"/>
        <v>2</v>
      </c>
      <c r="R31" s="510">
        <f t="shared" si="8"/>
        <v>2</v>
      </c>
      <c r="S31" s="510">
        <f t="shared" si="8"/>
        <v>2</v>
      </c>
      <c r="T31" s="510">
        <f t="shared" si="8"/>
        <v>2</v>
      </c>
      <c r="U31" s="510">
        <f t="shared" si="8"/>
        <v>1</v>
      </c>
      <c r="V31" s="510">
        <f t="shared" si="8"/>
        <v>1</v>
      </c>
      <c r="W31" s="510">
        <f t="shared" si="8"/>
        <v>1</v>
      </c>
      <c r="X31" s="510">
        <f t="shared" si="8"/>
        <v>2</v>
      </c>
      <c r="Y31" s="510">
        <f t="shared" si="8"/>
        <v>2</v>
      </c>
      <c r="Z31" s="510">
        <f t="shared" si="8"/>
        <v>1</v>
      </c>
      <c r="AA31" s="510">
        <f t="shared" si="8"/>
        <v>1</v>
      </c>
      <c r="AB31" s="510">
        <f t="shared" si="8"/>
        <v>1</v>
      </c>
      <c r="AC31" s="510">
        <f t="shared" si="8"/>
        <v>1</v>
      </c>
      <c r="AD31" s="510">
        <f t="shared" si="8"/>
        <v>1</v>
      </c>
      <c r="AE31" s="510">
        <f t="shared" si="8"/>
        <v>1</v>
      </c>
      <c r="AF31" s="510">
        <f t="shared" si="8"/>
        <v>1</v>
      </c>
      <c r="AG31" s="510">
        <f t="shared" si="8"/>
        <v>1</v>
      </c>
      <c r="AH31" s="511">
        <f t="shared" si="8"/>
        <v>2</v>
      </c>
      <c r="AI31" s="512">
        <f>SUM(AI11:AI30)</f>
        <v>49</v>
      </c>
      <c r="AJ31" s="513">
        <f>SUM(AJ11:AJ30)</f>
        <v>501</v>
      </c>
      <c r="AK31" s="513">
        <f>SUM(AK11:AK30)</f>
        <v>13</v>
      </c>
      <c r="AL31" s="513">
        <f t="shared" ref="AL31:AN31" si="9">SUM(AL11:AL30)</f>
        <v>0</v>
      </c>
      <c r="AM31" s="513">
        <f t="shared" si="9"/>
        <v>0</v>
      </c>
      <c r="AN31" s="513">
        <f t="shared" si="9"/>
        <v>0</v>
      </c>
    </row>
    <row r="33" spans="16:16">
      <c r="P33" s="3" t="s">
        <v>106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honeticPr fontId="53" type="noConversion"/>
  <pageMargins left="0.70000004768371604" right="0.70000004768371604" top="0.75" bottom="0.75" header="0.30000001192092901" footer="0.30000001192092901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Ялта, Ленина, 18</vt:lpstr>
      <vt:lpstr>Св. по пок.</vt:lpstr>
      <vt:lpstr>План на день</vt:lpstr>
      <vt:lpstr>Кекош А. И.</vt:lpstr>
      <vt:lpstr>Рогалевич И. Е.</vt:lpstr>
      <vt:lpstr>ПК 2</vt:lpstr>
      <vt:lpstr>Вед-ть Кекош</vt:lpstr>
      <vt:lpstr>Вед-ть Рогалевич</vt:lpstr>
      <vt:lpstr>Доп сотрудник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lenadacenko@icloud.com</cp:lastModifiedBy>
  <cp:revision>514</cp:revision>
  <dcterms:modified xsi:type="dcterms:W3CDTF">2025-02-09T20:18:05Z</dcterms:modified>
</cp:coreProperties>
</file>