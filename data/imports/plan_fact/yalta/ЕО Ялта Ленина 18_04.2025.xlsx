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unk2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mc:Ignorable="unk1 xr xr6 xr10 xr2">
  <s:fileVersion appName="xl" lastEdited="7" lowestEdited="7" rupBuild="10420"/>
  <s:workbookPr/>
  <s:bookViews>
    <s:workbookView xr2:uid="{00000000-000D-0000-FFFF-FFFF00000000}" xWindow="0" yWindow="640" windowWidth="25600" windowHeight="16000" firstSheet="2" activeTab="9"/>
  </s:bookViews>
  <s:sheets>
    <s:sheet name="Ялта, Ленина, 18" sheetId="1" state="visible" r:id="rId1"/>
    <s:sheet name="Св. по пок." sheetId="2" state="visible" r:id="rId2"/>
    <s:sheet name="План на день" sheetId="3" state="visible" r:id="rId3"/>
    <s:sheet name="Рогалевич И. Е." sheetId="4" state="visible" r:id="rId4"/>
    <s:sheet name="Уразгильдеева Е. Р." sheetId="5" state="visible" r:id="rId5"/>
    <s:sheet name="Афанасьева А. М." sheetId="6" state="visible" r:id="rId6"/>
    <s:sheet name="ПК 3" sheetId="7" state="visible" r:id="rId7"/>
    <s:sheet name="Доп сотрудник" sheetId="8" state="visible" r:id="rId8"/>
    <s:sheet name="Вед-ть Рогалевич" sheetId="9" state="visible" r:id="rId9"/>
    <s:sheet name="Вед-ть Уразгильдеева" sheetId="10" state="visible" r:id="rId10"/>
    <s:sheet name="Вед-ть Афанасьева" sheetId="12" state="visible" r:id="rId11"/>
    <s:sheet name="График" sheetId="11" state="visible" r:id="rId12"/>
  </s:sheets>
  <s:definedNames>
    <s:definedName name="маг">NA()</s:definedName>
  </s:definedNames>
  <s:calcPr calcId="191029"/>
  <s:extLs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  <unk2:feature name="microsoft.com:ARRAYTEXT_WF"/>
      </unk2:calcFeatures>
    </s:ext>
  </s:extLst>
</s:workbook>
</file>

<file path=xl/sharedStrings.xml><?xml version="1.0" encoding="utf-8"?>
<s:sst xmlns:s="http://schemas.openxmlformats.org/spreadsheetml/2006/main" count="748" uniqueCount="132">
  <s:si>
    <s:t>(отчетная дата)</s:t>
  </s:si>
  <s:si>
    <s:t>Осталось до выполнения плана!!!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</s:si>
  <s:si>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</s:si>
  <s:si>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</s:si>
  <s:si>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</s:si>
  <s:si>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</s:si>
  <s:si>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</s:si>
  <s:si>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</s:si>
  <s:si>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</s:si>
  <s:si>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</s:si>
  <s:si>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</s:si>
  <s:si>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</s:si>
  <s:si>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</s:si>
  <s:si>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</s:si>
  <s:si>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</s:si>
  <s:si>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IS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</s:si>
  <s:si>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</s:si>
  <s:si>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</s:si>
  <s:si>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</s:si>
  <s:si>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</s:si>
  <s:si>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</s:si>
  <s:si>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</s:si>
  <s:si>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UNOde50</s:t>
  </s:si>
  <s:si>
    <s:t>Трафик</s:t>
  </s:si>
  <s:si>
    <s:t>Конверсия план/факт</s:t>
  </s:si>
  <s:si>
    <s:t>Факт продаж за месяц</s:t>
  </s:si>
  <s:si>
    <s:t>% выполнения дневного плана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</s:si>
  <s:si>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</s:si>
  <s:si>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</s:si>
  <s:si>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</s:si>
  <s:si>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</s:si>
  <s:si>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</s:si>
  <s:si>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</s:si>
  <s:si>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</s:si>
  <s:si>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</s:si>
  <s:si>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</s:si>
  <s:si>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</s:si>
  <s:si>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Запасной</s:t>
  </s:si>
  <s:si>
    <s:t>Конверсия (%)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</s:si>
  <s:si>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</s:si>
  <s:si>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</s:si>
  <s:si>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</s:si>
  <s:si>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</s:si>
  <s:si>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</s:si>
  <s:si>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</s:si>
  <s:si>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</s:si>
  <s:si>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</s:si>
  <s:si>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Рогалевич</s:t>
  </s:si>
  <s:si>
    <s:t>вт</s:t>
  </s:si>
  <s:si>
    <s:t>ср</s:t>
  </s:si>
  <s:si>
    <s:t>Орешникова</s:t>
  </s:si>
  <s:si>
    <s:t>чт</s:t>
  </s:si>
  <s:si>
    <s:t>пт</s:t>
  </s:si>
  <s:si>
    <s:t>сб</s:t>
  </s:si>
  <s:si>
    <s:t>вс</s:t>
  </s:si>
  <s:si>
    <s:t>пн</s:t>
  </s:si>
  <s:si>
    <s:t>Рогалевич, Уразгильдеева</s:t>
  </s:si>
  <s:si>
    <s:t>Рогалевич, Афанасьева</s:t>
  </s:si>
  <s:si>
    <s:t>итого</s:t>
  </s:si>
  <s:si>
    <s:t xml:space="preserve">Факт </s:t>
  </s:si>
  <s:si>
    <s:t>Прогноз</s:t>
  </s:si>
  <s:si>
    <s:t>Кол-во смен план/отработано</s:t>
  </s:si>
  <s:si>
    <s:t>Отклонение от плана</s:t>
  </s:si>
  <s:si>
    <s:t>01-13.04</s:t>
  </s:si>
  <s:si>
    <s:t>ул. Набережная Ленина, 18</s:t>
  </s:si>
  <s:si>
    <s:t>Рогалевич Ирина</s:t>
  </s:si>
  <s:si>
    <s:t>14-20.04</s:t>
  </s:si>
  <s:si>
    <s:t>Уразгильдеева Екатерина</s:t>
  </s:si>
  <s:si>
    <s:t>Афанасьева Алевтина</s:t>
  </s:si>
  <s:si>
    <s:t>Конверсия</s:t>
  </s:si>
  <s:si>
    <s:t xml:space="preserve">                          ЕЖЕДНЕВНЫЙ ОТЧЕТ О ПРОДАЖАХ</s:t>
  </s:si>
  <s:si>
    <s:t>в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</s:si>
  <s:si>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</s:si>
  <s:si>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</s:si>
  <s:si>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</s:si>
  <s:si>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</s:si>
  <s:si>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личных продаж</s:t>
  </s:si>
  <s:si>
    <s:t>Бонусная часть от общих продаж</s:t>
  </s:si>
  <s:si>
    <s:t>Базовый бонус за выполнение плана</s:t>
  </s:si>
  <s:si>
    <s:t>Итого:</s:t>
  </s:si>
  <s:si>
    <s:t>Вычеты</s:t>
  </s:si>
  <s:si>
    <s:t>Итого к выдаче с учетом авансов и вычетов</s:t>
  </s:si>
  <s:si>
    <s:t>Подпись</s:t>
  </s:si>
  <s:si>
    <s:t>Доп начисления</s:t>
  </s:si>
  <s:si>
    <s:t>Сумма</s:t>
  </s:si>
  <s:si>
    <s:t>Описание</s:t>
  </s:si>
  <s:si>
    <s:t>НДФЛ март 2025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</s:si>
  <s:si>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</s:si>
  <s:si>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</s:si>
  <s:si>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</s:si>
  <s:si>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</s:si>
  <s:si>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</s:si>
  <s:si>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</s:si>
  <s:si>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</s:si>
  <s:si>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</s:si>
  <s:si>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Начисленный ББ</s:t>
  </s:si>
  <s:si>
    <s:t>ПК</s:t>
  </s:si>
  <s:si>
    <s:t>БонуснаяЧасть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</s:si>
  <s:si>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</s:si>
  <s:si>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</s:si>
  <s:si>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</s:si>
  <s:si>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</s:si>
  <s:si>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</s:si>
  <s:si>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</s:si>
  <s:si>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</s:si>
  <s:si>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НДФЛ апрель 2025</s:t>
  </s:si>
  <s:si>
    <s:t>Апрель, 2025</s:t>
  </s:si>
  <s:si>
    <s:t>г. Ялта</s:t>
  </s:si>
  <s:si>
    <s:t>GL-0005</s:t>
  </s:si>
  <s:si>
    <s:t>10.00-21.00</s:t>
  </s:si>
  <s:si>
    <s:t>ФОТ</s:t>
  </s:si>
  <s:si>
    <s:t>Кол-во дней в месяц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</s:si>
  <s:si>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</s:si>
  <s:si>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</s:si>
  <s:si>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</s:si>
  <s:si>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</s:si>
  <s:si>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</s:si>
  <s:si>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</s:si>
  <s:si>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</s:si>
  <s:si>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</s:si>
  <s:si>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Орешникова Елена</s:t>
  </s:si>
  <s:si>
    <s:t>Ляйсан</s:t>
  </s:si>
  <s:si>
    <s:t>с11</s:t>
  </s:si>
  <s:si>
    <s:t>с8</s:t>
  </s:si>
  <s:si>
    <s:t>с6</s:t>
  </s:si>
  <s:si>
    <s:t>c11</s:t>
  </s:si>
  <s:si>
    <s:t>e</s:t>
  </s:si>
  <s:si>
    <s:t>Итого магазин</s:t>
  </s:si>
  <s:si>
    <s:t xml:space="preserve">    </s:t>
  </s:si>
  <s:si>
    <s:t>Воронина</s:t>
  </s:si>
  <s:si>
    <s:t>ул. Севастопольская 62</s:t>
  </s:si>
  <s:si>
    <s:t>Вычет за стажировку 61 час</s:t>
  </s:si>
</s:sst>
</file>

<file path=xl/styles.xml><?xml version="1.0" encoding="utf-8"?>
<s:styleSheet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mc:Ignorable="x14ac x16r2 xr">
  <s:numFmts count="11">
    <s:numFmt numFmtId="5" formatCode="#,##0\ &quot;₽&quot;;\-#,##0\ &quot;₽&quot;"/>
    <s:numFmt numFmtId="164" formatCode="dddd&quot;, &quot;mmmm\ dd&quot;, &quot;yyyy"/>
    <s:numFmt numFmtId="165" formatCode="0.0%"/>
    <s:numFmt numFmtId="166" formatCode="#,##0\ &quot;₽&quot;"/>
    <s:numFmt numFmtId="167" formatCode="#,##0.0"/>
    <s:numFmt numFmtId="168" formatCode="_-* #,##0.00_р_._-;\-* #,##0.00_р_._-;_-* \-??_р_._-;_-@_-"/>
    <s:numFmt numFmtId="169" formatCode="#,##0.00\ &quot;₽&quot;"/>
    <s:numFmt numFmtId="170" formatCode="#,##0\ _₽"/>
    <s:numFmt numFmtId="171" formatCode="#,##0.00\ _₽"/>
    <s:numFmt numFmtId="172" formatCode="0.0"/>
    <s:numFmt numFmtId="173" formatCode="mmmm\ yyyy;@"/>
  </s:numFmts>
  <s:fonts count="60">
    <s:font>
      <s:name val="Calibri"/>
      <s:color indexed="63"/>
      <s:sz val="11"/>
    </s:font>
    <s:font>
      <s:name val="Times New Roman"/>
      <s:family val="1"/>
      <s:color indexed="63"/>
      <s:sz val="9"/>
    </s:font>
    <s:font>
      <s:name val="Times New Roman"/>
      <s:family val="1"/>
      <s:color indexed="63"/>
      <s:sz val="11"/>
    </s:font>
    <s:font>
      <s:name val="Clinica Pro Regular"/>
      <s:color indexed="63"/>
      <s:sz val="11"/>
    </s:font>
    <s:font>
      <s:name val="Times New Roman"/>
      <s:family val="1"/>
      <s:color rgb="FFCC66FF"/>
      <s:sz val="11"/>
    </s:font>
    <s:font>
      <s:name val="Times New Roman"/>
      <s:family val="1"/>
      <s:b val="1"/>
      <s:color rgb="FFCC66FF"/>
      <s:sz val="8"/>
    </s:font>
    <s:font>
      <s:name val="Times New Roman"/>
      <s:family val="1"/>
      <s:sz val="8"/>
    </s:font>
    <s:font>
      <s:name val="Times New Roman"/>
      <s:family val="1"/>
      <s:color rgb="FFCC66FF"/>
      <s:sz val="28"/>
    </s:font>
    <s:font>
      <s:name val="Times New Roman"/>
      <s:family val="1"/>
      <s:color rgb="FFCC66FF"/>
      <s:sz val="8"/>
    </s:font>
    <s:font>
      <s:name val="Times New Roman"/>
      <s:family val="1"/>
      <s:b val="1"/>
      <s:color rgb="FFCC66FF"/>
      <s:sz val="11"/>
    </s:font>
    <s:font>
      <s:name val="Clinica Pro Regular"/>
      <s:b val="1"/>
      <s:color rgb="FFCC66FF"/>
      <s:sz val="11"/>
    </s:font>
    <s:font>
      <s:name val="Clinica Pro Regular"/>
      <s:color rgb="FFCC66FF"/>
      <s:sz val="11"/>
    </s:font>
    <s:font>
      <s:name val="Clinica Pro Regular"/>
      <s:b val="1"/>
      <s:color rgb="FFCC66FF"/>
      <s:sz val="12"/>
    </s:font>
    <s:font>
      <s:name val="Times New Roman"/>
      <s:family val="1"/>
      <s:b val="1"/>
      <s:sz val="8"/>
    </s:font>
    <s:font>
      <s:name val="Times New Roman"/>
      <s:family val="1"/>
      <s:color rgb="FFFFC000"/>
      <s:sz val="11"/>
    </s:font>
    <s:font>
      <s:name val="Clinica Pro Regular"/>
      <s:b val="1"/>
      <s:sz val="12"/>
    </s:font>
    <s:font>
      <s:name val="Clinica Pro Regular"/>
      <s:sz val="8"/>
    </s:font>
    <s:font>
      <s:name val="Clinica Pro Regular"/>
      <s:b val="1"/>
      <s:sz val="8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sz val="9"/>
    </s:font>
    <s:font>
      <s:name val="Clinica Pro Regular"/>
      <s:sz val="10"/>
    </s:font>
    <s:font>
      <s:name val="Clinica Pro Regular"/>
      <s:b val="1"/>
      <s:color theme="1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8"/>
    </s:font>
    <s:font>
      <s:name val="Clinica Pro Regular"/>
      <s:b val="1"/>
      <s:color rgb="FF3B3838"/>
      <s:sz val="8"/>
    </s:font>
    <s:font>
      <s:name val="Clinica Pro Regular"/>
      <s:color indexed="63"/>
      <s:sz val="9"/>
    </s:font>
    <s:font>
      <s:name val="Clinica Pro Regular"/>
      <s:b val="1"/>
      <s:color rgb="FF1F4E79"/>
      <s:sz val="8"/>
    </s:font>
    <s:font>
      <s:name val="Calibri"/>
      <s:family val="2"/>
      <s:sz val="11"/>
    </s:font>
    <s:font>
      <s:name val="Clinica Pro Regular"/>
      <s:color indexed="63"/>
      <s:sz val="8"/>
    </s:font>
    <s:font>
      <s:name val="Clinica Pro Regular"/>
      <s:color theme="1"/>
      <s:sz val="9"/>
    </s:font>
    <s:font>
      <s:name val="Clinica Pro Regular"/>
      <s:color theme="1"/>
      <s:sz val="10"/>
    </s:font>
    <s:font>
      <s:name val="Clinica Pro Regular"/>
      <s:color theme="1"/>
      <s:sz val="8"/>
    </s:font>
    <s:font>
      <s:name val="Clinica Pro Regular"/>
      <s:b val="1"/>
      <s:sz val="10"/>
    </s:font>
    <s:font>
      <s:name val="Clinica Pro Regular"/>
      <s:b val="1"/>
      <s:color indexed="63"/>
      <s:sz val="10"/>
    </s:font>
    <s:font>
      <s:name val="Clinica Pro Regular"/>
      <s:b val="1"/>
      <s:color rgb="FFCC66FF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color rgb="FFFFC000"/>
      <s:sz val="11"/>
    </s:font>
    <s:font>
      <s:name val="Clinica Pro Regular"/>
      <s:color rgb="FF9C0006"/>
      <s:sz val="8"/>
    </s:font>
    <s:font>
      <s:name val="Clinica Pro Regular"/>
      <s:color rgb="FF9C5700"/>
      <s:sz val="8"/>
    </s:font>
    <s:font>
      <s:name val="Calibri"/>
      <s:family val="2"/>
      <s:color rgb="FF9C0006"/>
      <s:sz val="11"/>
    </s:font>
    <s:font>
      <s:name val="Clinica Pro Regular"/>
      <s:color rgb="FF006100"/>
      <s:sz val="11"/>
    </s:font>
    <s:font>
      <s:name val="Clinica Pro Regular"/>
      <s:color indexed="63"/>
      <s:sz val="10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Arial"/>
      <s:family val="2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sz val="12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8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b val="1"/>
      <s:sz val="11"/>
    </s:font>
    <s:font>
      <s:name val="Clinica Pro Regular"/>
      <s:color indexed="2"/>
      <s:sz val="12"/>
    </s:font>
    <s:font>
      <s:name val="Clinica Pro Regular"/>
      <s:color theme="1"/>
      <s:sz val="12"/>
    </s:font>
    <s:font>
      <s:name val="Calibri"/>
      <s:family val="2"/>
      <s:color indexed="63"/>
      <s:sz val="11"/>
    </s:font>
  </s:fonts>
  <s:fills count="40">
    <s:fill>
      <s:patternFill patternType="none"/>
    </s:fill>
    <s:fill>
      <s:patternFill patternType="gray125"/>
    </s:fill>
    <s:fill>
      <s:patternFill patternType="solid">
        <s:fgColor rgb="FF66FFFF"/>
        <s:bgColor rgb="FF66FFFF"/>
      </s:patternFill>
    </s:fill>
    <s:fill>
      <s:patternFill patternType="solid">
        <s:fgColor rgb="FFCCFF00"/>
        <s:bgColor rgb="FFCCFF00"/>
      </s:patternFill>
    </s:fill>
    <s:fill>
      <s:patternFill patternType="solid">
        <s:fgColor indexed="65"/>
      </s:patternFill>
    </s:fill>
    <s:fill>
      <s:patternFill patternType="solid">
        <s:fgColor rgb="FF66FFFF"/>
        <s:bgColor rgb="FF4ACCD3"/>
      </s:patternFill>
    </s:fill>
    <s:fill>
      <s:patternFill patternType="solid">
        <s:fgColor indexed="65"/>
        <s:bgColor indexed="26"/>
      </s:patternFill>
    </s:fill>
    <s:fill>
      <s:patternFill patternType="solid">
        <s:fgColor rgb="FF00CCCC"/>
        <s:bgColor rgb="FF4ACCD3"/>
      </s:patternFill>
    </s:fill>
    <s:fill>
      <s:patternFill patternType="solid">
        <s:fgColor theme="0"/>
        <s:bgColor rgb="FF66FFFF"/>
      </s:patternFill>
    </s:fill>
    <s:fill>
      <s:patternFill patternType="solid">
        <s:fgColor indexed="5"/>
        <s:bgColor indexed="5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2"/>
        <s:bgColor theme="2"/>
      </s:patternFill>
    </s:fill>
    <s:fill>
      <s:patternFill patternType="solid">
        <s:fgColor theme="2" tint="-0.1"/>
        <s:bgColor indexed="65"/>
      </s:patternFill>
    </s:fill>
    <s:fill>
      <s:patternFill patternType="solid">
        <s:fgColor theme="2" tint="-0.1"/>
        <s:bgColor rgb="FF5B9BD5"/>
      </s:patternFill>
    </s:fill>
    <s:fill>
      <s:patternFill patternType="solid">
        <s:fgColor rgb="FFFFC7CE"/>
        <s:bgColor rgb="FFFFC7CE"/>
      </s:patternFill>
    </s:fill>
    <s:fill>
      <s:patternFill patternType="solid">
        <s:fgColor rgb="FFFFEB9C"/>
        <s:bgColor rgb="FFFFEB9C"/>
      </s:patternFill>
    </s:fill>
    <s:fill>
      <s:patternFill patternType="solid">
        <s:fgColor rgb="FFC6EFCE"/>
        <s:bgColor rgb="FFC6EFCE"/>
      </s:patternFill>
    </s:fill>
    <s:fill>
      <s:patternFill patternType="solid">
        <s:fgColor theme="0"/>
        <s:bgColor theme="0"/>
      </s:patternFill>
    </s:fill>
    <s:fill>
      <s:patternFill patternType="solid">
        <s:fgColor rgb="FFCCFF00"/>
        <s:bgColor indexed="5"/>
      </s:patternFill>
    </s:fill>
    <s:fill>
      <s:patternFill patternType="solid">
        <s:fgColor theme="2"/>
        <s:bgColor rgb="FF4ACCD3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rgb="FFFCFAEB"/>
        <s:bgColor rgb="FFFCFAEB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rgb="FF92D050"/>
        <s:bgColor rgb="FFED7D31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8" tint="0.6"/>
        <s:bgColor theme="8" tint="0.6"/>
      </s:patternFill>
    </s:fill>
    <s:fill>
      <s:patternFill patternType="solid">
        <s:fgColor rgb="FFFFC000"/>
        <s:bgColor rgb="FFFFC000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theme="0"/>
        <s:bgColor theme="7" tint="0.6"/>
      </s:patternFill>
    </s:fill>
    <s:fill>
      <s:patternFill patternType="solid">
        <s:fgColor theme="9" tint="0.4"/>
        <s:bgColor theme="7" tint="0.6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7" tint="0.8"/>
        <s:bgColor theme="0"/>
      </s:patternFill>
    </s:fill>
    <s:fill>
      <s:patternFill patternType="solid">
        <s:fgColor indexed="5"/>
        <s:bgColor theme="0"/>
      </s:patternFill>
    </s:fill>
  </s:fills>
  <s:borders count="123">
    <s:border>
      <s:left/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/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/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dotted">
        <s:color auto="1"/>
      </s:left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/>
      <s:top/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 style="thin">
        <s:color auto="1"/>
      </s:right>
      <s:top/>
      <s:bottom/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/>
      <s:diagonal/>
    </s:border>
    <s:border>
      <s:left style="medium">
        <s:color auto="1"/>
      </s:left>
      <s:right/>
      <s:top/>
      <s:bottom style="thin">
        <s:color rgb="FFCCC085"/>
      </s:bottom>
      <s:diagonal/>
    </s:border>
    <s:border>
      <s:left style="thin">
        <s:color rgb="FFCCC085"/>
      </s:left>
      <s:right/>
      <s:top/>
      <s:bottom style="thin">
        <s:color rgb="FFCCC085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rgb="FFCCC085"/>
      </s:bottom>
      <s:diagonal/>
    </s:border>
    <s:border>
      <s:left/>
      <s:right/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/>
      <s:top style="thin">
        <s:color rgb="FFCCC085"/>
      </s:top>
      <s:bottom style="thin">
        <s:color rgb="FFCCC085"/>
      </s:bottom>
      <s:diagonal/>
    </s:border>
    <s:border>
      <s:left/>
      <s:right style="medium">
        <s:color auto="1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/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/>
      <s:top/>
      <s:bottom/>
      <s:diagonal/>
    </s:border>
    <s:border>
      <s:left style="thin">
        <s:color rgb="FFB3AC86"/>
      </s:left>
      <s:right style="thin">
        <s:color rgb="FFB3AC86"/>
      </s:right>
      <s:top style="thin">
        <s:color rgb="FFB3AC86"/>
      </s:top>
      <s:bottom style="thin">
        <s:color rgb="FFB3AC86"/>
      </s:bottom>
      <s:diagonal/>
    </s:border>
    <s:border>
      <s:left style="thin">
        <s:color rgb="FFB3AC86"/>
      </s:left>
      <s:right/>
      <s:top style="thin">
        <s:color rgb="FFB3AC86"/>
      </s:top>
      <s:bottom style="thin">
        <s:color rgb="FFB3AC86"/>
      </s:bottom>
      <s:diagonal/>
    </s:border>
    <s:border>
      <s:left/>
      <s:right style="thin">
        <s:color rgb="FFB3AC86"/>
      </s:right>
      <s:top style="thin">
        <s:color rgb="FFB3AC86"/>
      </s:top>
      <s:bottom style="thin">
        <s:color rgb="FFB3AC86"/>
      </s:bottom>
      <s:diagonal/>
    </s:border>
    <s:border>
      <s:left/>
      <s:right/>
      <s:top/>
      <s:bottom style="thin">
        <s:color rgb="FFB3AC86"/>
      </s:bottom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/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/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/>
      <s:diagonal/>
    </s:border>
    <s:border>
      <s:left/>
      <s:right/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medium">
        <s:color auto="1"/>
      </s:bottom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/>
      <s:top style="medium">
        <s:color auto="1"/>
      </s:top>
      <s:bottom style="medium">
        <s:color auto="1"/>
      </s:bottom>
      <s:diagonal/>
    </s:border>
  </s:borders>
  <s:cellStyleXfs count="2">
    <s:xf numFmtId="0" fontId="0" fillId="0" borderId="0"/>
    <s:xf numFmtId="9" fontId="59" fillId="0" borderId="0" applyFont="0" applyFill="0" applyBorder="0" applyProtection="0"/>
  </s:cellStyleXfs>
  <s:cellXfs count="760">
    <s:xf numFmtId="0" fontId="0" fillId="0" borderId="0" xfId="0"/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2" borderId="0" xfId="0" applyFont="1" applyFill="1" applyAlignment="1">
      <s:alignment horizontal="center" vertical="center" mc:Ignorable="vyd"/>
    </s:xf>
    <s:xf numFmtId="0" fontId="4" fillId="2" borderId="0" xfId="0" applyFont="1" applyFill="1"/>
    <s:xf numFmtId="0" fontId="2" fillId="2" borderId="0" xfId="0" applyFont="1" applyFill="1"/>
    <s:xf numFmtId="0" fontId="6" fillId="2" borderId="0" xfId="0" applyFont="1" applyFill="1"/>
    <s:xf numFmtId="0" fontId="0" fillId="2" borderId="0" xfId="0" applyFill="1"/>
    <s:xf numFmtId="0" fontId="9" fillId="2" borderId="0" xfId="0" applyFont="1" applyFill="1"/>
    <s:xf numFmtId="0" fontId="10" fillId="2" borderId="0" xfId="0" applyFont="1" applyFill="1"/>
    <s:xf numFmtId="0" fontId="11" fillId="2" borderId="0" xfId="0" applyFont="1" applyFill="1"/>
    <s:xf numFmtId="0" fontId="3" fillId="2" borderId="0" xfId="0" applyFont="1" applyFill="1"/>
    <s:xf numFmtId="164" fontId="13" fillId="2" borderId="0" xfId="0" applyNumberFormat="1" applyFont="1" applyFill="1" applyAlignment="1">
      <s:alignment horizontal="center" vertical="center" mc:Ignorable="vyd"/>
    </s:xf>
    <s:xf numFmtId="9" fontId="11" fillId="2" borderId="5" xfId="0" applyNumberFormat="1" applyFont="1" applyFill="1" applyBorder="1"/>
    <s:xf numFmtId="1" fontId="2" fillId="2" borderId="0" xfId="0" applyNumberFormat="1" applyFont="1" applyFill="1"/>
    <s:xf numFmtId="0" fontId="14" fillId="2" borderId="0" xfId="0" applyFont="1" applyFill="1"/>
    <s:xf numFmtId="0" fontId="15" fillId="2" borderId="9" xfId="0" applyFont="1" applyFill="1" applyBorder="1" applyAlignment="1">
      <s:alignment vertical="center" mc:Ignorable="vyd"/>
    </s:xf>
    <s:xf numFmtId="0" fontId="15" fillId="2" borderId="10" xfId="0" applyFont="1" applyFill="1" applyBorder="1" applyAlignment="1">
      <s:alignment vertical="center" mc:Ignorable="vyd"/>
    </s:xf>
    <s:xf numFmtId="0" fontId="15" fillId="2" borderId="4" xfId="0" applyFont="1" applyFill="1" applyBorder="1" applyAlignment="1">
      <s:alignment vertical="center" mc:Ignorable="vyd"/>
    </s:xf>
    <s:xf numFmtId="165" fontId="6" fillId="2" borderId="0" xfId="0" applyNumberFormat="1" applyFont="1" applyFill="1" applyAlignment="1">
      <s:alignment vertical="center" mc:Ignorable="vyd"/>
    </s:xf>
    <s:xf numFmtId="165" fontId="16" fillId="2" borderId="0" xfId="0" applyNumberFormat="1" applyFont="1" applyFill="1" applyAlignment="1">
      <s:alignment vertical="center" mc:Ignorable="vyd"/>
    </s:xf>
    <s:xf numFmtId="3" fontId="17" fillId="2" borderId="12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wrapText="1" mc:Ignorable="vyd"/>
    </s:xf>
    <s:xf numFmtId="0" fontId="18" fillId="2" borderId="13" xfId="0" applyFont="1" applyFill="1" applyBorder="1" applyAlignment="1">
      <s:alignment horizontal="center" vertical="center" wrapText="1" mc:Ignorable="vyd"/>
    </s:xf>
    <s:xf numFmtId="0" fontId="17" fillId="2" borderId="13" xfId="0" applyFont="1" applyFill="1" applyBorder="1" applyAlignment="1">
      <s:alignment horizontal="center" vertical="center" wrapText="1" mc:Ignorable="vyd"/>
    </s:xf>
    <s:xf numFmtId="3" fontId="14" fillId="2" borderId="0" xfId="0" applyNumberFormat="1" applyFont="1" applyFill="1"/>
    <s:xf numFmtId="3" fontId="20" fillId="3" borderId="18" xfId="0" applyNumberFormat="1" applyFont="1" applyFill="1" applyBorder="1" applyAlignment="1">
      <s:alignment horizontal="center" vertical="center" mc:Ignorable="vyd"/>
    </s:xf>
    <s:xf numFmtId="3" fontId="20" fillId="4" borderId="19" xfId="0" applyNumberFormat="1" applyFont="1" applyFill="1" applyBorder="1" applyAlignment="1">
      <s:alignment horizontal="center" vertical="center" mc:Ignorable="vyd"/>
    </s:xf>
    <s:xf numFmtId="10" fontId="21" fillId="4" borderId="19" xfId="0" applyNumberFormat="1" applyFont="1" applyFill="1" applyBorder="1" applyAlignment="1">
      <s:alignment horizontal="center" vertical="center" mc:Ignorable="vyd"/>
    </s:xf>
    <s:xf numFmtId="3" fontId="22" fillId="0" borderId="19" xfId="0" applyNumberFormat="1" applyFont="1" applyBorder="1" applyAlignment="1">
      <s:alignment horizontal="center" vertical="center" mc:Ignorable="vyd"/>
    </s:xf>
    <s:xf numFmtId="165" fontId="23" fillId="0" borderId="20" xfId="0" applyNumberFormat="1" applyFont="1" applyBorder="1" applyAlignment="1">
      <s:alignment horizontal="center" vertical="center" mc:Ignorable="vyd"/>
    </s:xf>
    <s:xf numFmtId="166" fontId="16" fillId="0" borderId="19" xfId="0" applyNumberFormat="1" applyFont="1" applyBorder="1" applyAlignment="1">
      <s:alignment horizontal="center" vertical="center" mc:Ignorable="vyd"/>
    </s:xf>
    <s:xf numFmtId="3" fontId="16" fillId="3" borderId="21" xfId="0" applyNumberFormat="1" applyFont="1" applyFill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center" mc:Ignorable="vyd"/>
    </s:xf>
    <s:xf numFmtId="165" fontId="16" fillId="0" borderId="22" xfId="0" applyNumberFormat="1" applyFont="1" applyBorder="1" applyAlignment="1">
      <s:alignment horizontal="center" vertical="center" mc:Ignorable="vyd"/>
    </s:xf>
    <s:xf numFmtId="165" fontId="16" fillId="5" borderId="0" xfId="1" applyNumberFormat="1" applyFont="1" applyFill="1" applyAlignment="1" applyProtection="1">
      <s:alignment vertical="center" mc:Ignorable="vyd"/>
    </s:xf>
    <s:xf numFmtId="3" fontId="20" fillId="4" borderId="23" xfId="0" applyNumberFormat="1" applyFont="1" applyFill="1" applyBorder="1" applyAlignment="1">
      <s:alignment horizontal="center" vertical="center" mc:Ignorable="vyd"/>
    </s:xf>
    <s:xf numFmtId="3" fontId="16" fillId="4" borderId="24" xfId="0" applyNumberFormat="1" applyFont="1" applyFill="1" applyBorder="1" applyAlignment="1">
      <s:alignment horizontal="center" vertical="center" mc:Ignorable="vyd"/>
    </s:xf>
    <s:xf numFmtId="10" fontId="16" fillId="4" borderId="24" xfId="0" applyNumberFormat="1" applyFont="1" applyFill="1" applyBorder="1" applyAlignment="1">
      <s:alignment horizontal="center" vertical="center" mc:Ignorable="vyd"/>
    </s:xf>
    <s:xf numFmtId="3" fontId="22" fillId="0" borderId="24" xfId="0" applyNumberFormat="1" applyFont="1" applyBorder="1" applyAlignment="1">
      <s:alignment horizontal="center" vertical="center" mc:Ignorable="vyd"/>
    </s:xf>
    <s:xf numFmtId="165" fontId="23" fillId="0" borderId="25" xfId="0" applyNumberFormat="1" applyFont="1" applyBorder="1" applyAlignment="1">
      <s:alignment horizontal="center" vertical="center" mc:Ignorable="vyd"/>
    </s:xf>
    <s:xf numFmtId="3" fontId="16" fillId="0" borderId="24" xfId="0" applyNumberFormat="1" applyFont="1" applyBorder="1" applyAlignment="1">
      <s:alignment horizontal="center" vertical="center" mc:Ignorable="vyd"/>
    </s:xf>
    <s:xf numFmtId="3" fontId="16" fillId="4" borderId="16" xfId="0" applyNumberFormat="1" applyFont="1" applyFill="1" applyBorder="1" applyAlignment="1">
      <s:alignment horizontal="center" vertical="center" mc:Ignorable="vyd"/>
    </s:xf>
    <s:xf numFmtId="165" fontId="16" fillId="0" borderId="26" xfId="0" applyNumberFormat="1" applyFont="1" applyBorder="1" applyAlignment="1">
      <s:alignment horizontal="center" vertical="center" mc:Ignorable="vyd"/>
    </s:xf>
    <s:xf numFmtId="3" fontId="20" fillId="4" borderId="24" xfId="0" applyNumberFormat="1" applyFont="1" applyFill="1" applyBorder="1" applyAlignment="1">
      <s:alignment horizontal="center" vertical="center" mc:Ignorable="vyd"/>
    </s:xf>
    <s:xf numFmtId="10" fontId="19" fillId="4" borderId="24" xfId="0" applyNumberFormat="1" applyFont="1" applyFill="1" applyBorder="1" applyAlignment="1">
      <s:alignment horizontal="center" vertical="center" mc:Ignorable="vyd"/>
    </s:xf>
    <s:xf numFmtId="165" fontId="22" fillId="0" borderId="25" xfId="0" applyNumberFormat="1" applyFont="1" applyBorder="1" applyAlignment="1">
      <s:alignment horizontal="center" vertical="center" mc:Ignorable="vyd"/>
    </s:xf>
    <s:xf numFmtId="3" fontId="19" fillId="0" borderId="24" xfId="0" applyNumberFormat="1" applyFont="1" applyBorder="1" applyAlignment="1">
      <s:alignment horizontal="center" vertical="center" mc:Ignorable="vyd"/>
    </s:xf>
    <s:xf numFmtId="3" fontId="19" fillId="4" borderId="23" xfId="0" applyNumberFormat="1" applyFont="1" applyFill="1" applyBorder="1" applyAlignment="1">
      <s:alignment horizontal="center" vertical="center" mc:Ignorable="vyd"/>
    </s:xf>
    <s:xf numFmtId="165" fontId="19" fillId="0" borderId="26" xfId="0" applyNumberFormat="1" applyFont="1" applyBorder="1" applyAlignment="1">
      <s:alignment horizontal="center" vertical="center" mc:Ignorable="vyd"/>
    </s:xf>
    <s:xf numFmtId="3" fontId="20" fillId="3" borderId="23" xfId="0" applyNumberFormat="1" applyFont="1" applyFill="1" applyBorder="1" applyAlignment="1">
      <s:alignment horizontal="center" vertical="center" mc:Ignorable="vyd"/>
    </s:xf>
    <s:xf numFmtId="3" fontId="16" fillId="3" borderId="23" xfId="0" applyNumberFormat="1" applyFont="1" applyFill="1" applyBorder="1" applyAlignment="1">
      <s:alignment horizontal="center" vertical="center" mc:Ignorable="vyd"/>
    </s:xf>
    <s:xf numFmtId="4" fontId="20" fillId="3" borderId="23" xfId="0" applyNumberFormat="1" applyFont="1" applyFill="1" applyBorder="1" applyAlignment="1">
      <s:alignment horizontal="center" vertical="center" mc:Ignorable="vyd"/>
    </s:xf>
    <s:xf numFmtId="4" fontId="16" fillId="4" borderId="24" xfId="0" applyNumberFormat="1" applyFont="1" applyFill="1" applyBorder="1" applyAlignment="1">
      <s:alignment horizontal="center" vertical="center" mc:Ignorable="vyd"/>
    </s:xf>
    <s:xf numFmtId="4" fontId="22" fillId="0" borderId="24" xfId="0" applyNumberFormat="1" applyFont="1" applyBorder="1" applyAlignment="1">
      <s:alignment horizontal="center" vertical="center" mc:Ignorable="vyd"/>
    </s:xf>
    <s:xf numFmtId="4" fontId="16" fillId="0" borderId="24" xfId="0" applyNumberFormat="1" applyFont="1" applyBorder="1" applyAlignment="1">
      <s:alignment horizontal="center" vertical="center" mc:Ignorable="vyd"/>
    </s:xf>
    <s:xf numFmtId="4" fontId="16" fillId="3" borderId="16" xfId="0" applyNumberFormat="1" applyFont="1" applyFill="1" applyBorder="1" applyAlignment="1">
      <s:alignment horizontal="center" vertical="center" mc:Ignorable="vyd"/>
    </s:xf>
    <s:xf numFmtId="166" fontId="16" fillId="7" borderId="19" xfId="1" applyNumberFormat="1" applyFont="1" applyFill="1" applyBorder="1" applyAlignment="1" applyProtection="1">
      <s:alignment horizontal="right" vertical="center" mc:Ignorable="vyd"/>
    </s:xf>
    <s:xf numFmtId="166" fontId="2" fillId="8" borderId="24" xfId="0" applyNumberFormat="1" applyFont="1" applyFill="1" applyBorder="1"/>
    <s:xf numFmtId="3" fontId="16" fillId="3" borderId="16" xfId="0" applyNumberFormat="1" applyFont="1" applyFill="1" applyBorder="1" applyAlignment="1">
      <s:alignment horizontal="center" vertical="center" mc:Ignorable="vyd"/>
    </s:xf>
    <s:xf numFmtId="10" fontId="16" fillId="6" borderId="24" xfId="1" applyNumberFormat="1" applyFont="1" applyFill="1" applyBorder="1" applyAlignment="1" applyProtection="1">
      <s:alignment vertical="center" mc:Ignorable="vyd"/>
    </s:xf>
    <s:xf numFmtId="10" fontId="0" fillId="2" borderId="0" xfId="0" applyNumberFormat="1" applyFill="1"/>
    <s:xf numFmtId="3" fontId="16" fillId="9" borderId="24" xfId="0" applyNumberFormat="1" applyFont="1" applyFill="1" applyBorder="1" applyAlignment="1">
      <s:alignment horizontal="center" vertical="center" mc:Ignorable="vyd"/>
    </s:xf>
    <s:xf numFmtId="10" fontId="16" fillId="5" borderId="0" xfId="1" applyNumberFormat="1" applyFont="1" applyFill="1" applyAlignment="1" applyProtection="1">
      <s:alignment horizontal="center" vertical="center" mc:Ignorable="vyd"/>
    </s:xf>
    <s:xf numFmtId="3" fontId="20" fillId="0" borderId="28" xfId="0" applyNumberFormat="1" applyFont="1" applyBorder="1" applyAlignment="1">
      <s:alignment horizontal="center" vertical="center" mc:Ignorable="vyd"/>
    </s:xf>
    <s:xf numFmtId="3" fontId="16" fillId="4" borderId="30" xfId="0" applyNumberFormat="1" applyFont="1" applyFill="1" applyBorder="1" applyAlignment="1">
      <s:alignment horizontal="center" vertical="center" mc:Ignorable="vyd"/>
    </s:xf>
    <s:xf numFmtId="10" fontId="16" fillId="4" borderId="30" xfId="0" applyNumberFormat="1" applyFont="1" applyFill="1" applyBorder="1" applyAlignment="1">
      <s:alignment horizontal="center" vertical="center" mc:Ignorable="vyd"/>
    </s:xf>
    <s:xf numFmtId="3" fontId="22" fillId="0" borderId="30" xfId="0" applyNumberFormat="1" applyFont="1" applyBorder="1" applyAlignment="1">
      <s:alignment horizontal="center" vertical="center" mc:Ignorable="vyd"/>
    </s:xf>
    <s:xf numFmtId="165" fontId="23" fillId="0" borderId="27" xfId="0" applyNumberFormat="1" applyFont="1" applyBorder="1" applyAlignment="1">
      <s:alignment horizontal="center" vertical="center" mc:Ignorable="vyd"/>
    </s:xf>
    <s:xf numFmtId="3" fontId="16" fillId="3" borderId="31" xfId="0" applyNumberFormat="1" applyFont="1" applyFill="1" applyBorder="1" applyAlignment="1">
      <s:alignment horizontal="center" vertical="center" mc:Ignorable="vyd"/>
    </s:xf>
    <s:xf numFmtId="3" fontId="24" fillId="0" borderId="30" xfId="0" applyNumberFormat="1" applyFont="1" applyBorder="1" applyAlignment="1">
      <s:alignment horizontal="center" vertical="center" mc:Ignorable="vyd"/>
    </s:xf>
    <s:xf numFmtId="165" fontId="18" fillId="0" borderId="27" xfId="0" applyNumberFormat="1" applyFont="1" applyBorder="1" applyAlignment="1">
      <s:alignment horizontal="center" vertical="center" mc:Ignorable="vyd"/>
    </s:xf>
    <s:xf numFmtId="0" fontId="2" fillId="2" borderId="0" xfId="0" applyFont="1" applyFill="1" applyAlignment="1">
      <s:alignment wrapText="1" mc:Ignorable="vyd"/>
    </s:xf>
    <s:xf numFmtId="3" fontId="20" fillId="3" borderId="28" xfId="0" applyNumberFormat="1" applyFont="1" applyFill="1" applyBorder="1" applyAlignment="1">
      <s:alignment horizontal="center" vertical="center" mc:Ignorable="vyd"/>
    </s:xf>
    <s:xf numFmtId="3" fontId="20" fillId="4" borderId="28" xfId="0" applyNumberFormat="1" applyFont="1" applyFill="1" applyBorder="1" applyAlignment="1">
      <s:alignment horizontal="center" vertical="center" mc:Ignorable="vyd"/>
    </s:xf>
    <s:xf numFmtId="165" fontId="16" fillId="4" borderId="30" xfId="0" applyNumberFormat="1" applyFont="1" applyFill="1" applyBorder="1" applyAlignment="1">
      <s:alignment horizontal="center" vertical="center" mc:Ignorable="vyd"/>
    </s:xf>
    <s:xf numFmtId="167" fontId="24" fillId="0" borderId="30" xfId="0" applyNumberFormat="1" applyFont="1" applyBorder="1" applyAlignment="1">
      <s:alignment horizontal="center" vertical="center" mc:Ignorable="vyd"/>
    </s:xf>
    <s:xf numFmtId="3" fontId="16" fillId="4" borderId="31" xfId="0" applyNumberFormat="1" applyFont="1" applyFill="1" applyBorder="1" applyAlignment="1">
      <s:alignment horizontal="center" vertical="center" mc:Ignorable="vyd"/>
    </s:xf>
    <s:xf numFmtId="10" fontId="19" fillId="3" borderId="33" xfId="0" applyNumberFormat="1" applyFont="1" applyFill="1" applyBorder="1" applyAlignment="1">
      <s:alignment horizontal="center" vertical="center" mc:Ignorable="vyd"/>
    </s:xf>
    <s:xf numFmtId="10" fontId="19" fillId="6" borderId="34" xfId="1" applyNumberFormat="1" applyFont="1" applyFill="1" applyBorder="1" applyAlignment="1" applyProtection="1">
      <s:alignment horizontal="center" vertical="center" mc:Ignorable="vyd"/>
    </s:xf>
    <s:xf numFmtId="10" fontId="24" fillId="0" borderId="34" xfId="0" applyNumberFormat="1" applyFont="1" applyBorder="1" applyAlignment="1">
      <s:alignment horizontal="center" vertical="center" mc:Ignorable="vyd"/>
    </s:xf>
    <s:xf numFmtId="165" fontId="24" fillId="0" borderId="35" xfId="0" applyNumberFormat="1" applyFont="1" applyBorder="1" applyAlignment="1">
      <s:alignment horizontal="center" vertical="center" mc:Ignorable="vyd"/>
    </s:xf>
    <s:xf numFmtId="165" fontId="20" fillId="0" borderId="34" xfId="0" applyNumberFormat="1" applyFont="1" applyBorder="1" applyAlignment="1">
      <s:alignment horizontal="center" vertical="center" mc:Ignorable="vyd"/>
    </s:xf>
    <s:xf numFmtId="165" fontId="20" fillId="3" borderId="36" xfId="0" applyNumberFormat="1" applyFont="1" applyFill="1" applyBorder="1" applyAlignment="1">
      <s:alignment horizontal="center" vertical="center" mc:Ignorable="vyd"/>
    </s:xf>
    <s:xf numFmtId="3" fontId="20" fillId="0" borderId="34" xfId="0" applyNumberFormat="1" applyFont="1" applyBorder="1" applyAlignment="1">
      <s:alignment horizontal="center" vertical="center" mc:Ignorable="vyd"/>
    </s:xf>
    <s:xf numFmtId="165" fontId="20" fillId="0" borderId="37" xfId="0" applyNumberFormat="1" applyFont="1" applyBorder="1" applyAlignment="1">
      <s:alignment horizontal="center" vertical="center" mc:Ignorable="vyd"/>
    </s:xf>
    <s:xf numFmtId="4" fontId="2" fillId="2" borderId="0" xfId="0" applyNumberFormat="1" applyFont="1" applyFill="1"/>
    <s:xf numFmtId="0" fontId="17" fillId="10" borderId="24" xfId="0" applyFont="1" applyFill="1" applyBorder="1" applyAlignment="1">
      <s:alignment horizontal="center" vertical="center" wrapText="1" mc:Ignorable="vyd"/>
    </s:xf>
    <s:xf numFmtId="0" fontId="17" fillId="11" borderId="24" xfId="0" applyFont="1" applyFill="1" applyBorder="1" applyAlignment="1">
      <s:alignment horizontal="center" vertical="center" wrapText="1" mc:Ignorable="vyd"/>
    </s:xf>
    <s:xf numFmtId="0" fontId="26" fillId="10" borderId="24" xfId="0" applyFont="1" applyFill="1" applyBorder="1" applyAlignment="1">
      <s:alignment horizontal="center" vertical="center" wrapText="1" mc:Ignorable="vyd"/>
    </s:xf>
    <s:xf numFmtId="3" fontId="2" fillId="0" borderId="0" xfId="0" applyNumberFormat="1" applyFont="1"/>
    <s:xf numFmtId="0" fontId="16" fillId="10" borderId="24" xfId="0" applyFont="1" applyFill="1" applyBorder="1" applyAlignment="1">
      <s:alignment horizontal="center" vertical="top" wrapText="1" mc:Ignorable="vyd"/>
    </s:xf>
    <s:xf numFmtId="0" fontId="17" fillId="10" borderId="24" xfId="0" applyFont="1" applyFill="1" applyBorder="1" applyAlignment="1">
      <s:alignment horizontal="center" vertical="top" wrapText="1" mc:Ignorable="vyd"/>
    </s:xf>
    <s:xf numFmtId="0" fontId="27" fillId="0" borderId="24" xfId="0" applyFont="1" applyBorder="1" applyAlignment="1">
      <s:alignment horizontal="center" vertical="center" mc:Ignorable="vyd"/>
    </s:xf>
    <s:xf numFmtId="16" fontId="16" fillId="0" borderId="24" xfId="0" applyNumberFormat="1" applyFont="1" applyBorder="1" applyAlignment="1">
      <s:alignment horizontal="center" vertical="top" mc:Ignorable="vyd"/>
    </s:xf>
    <s:xf numFmtId="0" fontId="16" fillId="0" borderId="24" xfId="0" applyFont="1" applyBorder="1" applyAlignment="1">
      <s:alignment horizontal="center" vertical="top" mc:Ignorable="vyd"/>
    </s:xf>
    <s:xf numFmtId="4" fontId="16" fillId="0" borderId="24" xfId="0" applyNumberFormat="1" applyFont="1" applyBorder="1" applyAlignment="1">
      <s:alignment horizontal="center" vertical="top" mc:Ignorable="vyd"/>
    </s:xf>
    <s:xf numFmtId="3" fontId="16" fillId="0" borderId="24" xfId="0" applyNumberFormat="1" applyFont="1" applyBorder="1" applyAlignment="1">
      <s:alignment horizontal="center" vertical="top" mc:Ignorable="vyd"/>
    </s:xf>
    <s:xf numFmtId="10" fontId="16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3" fontId="28" fillId="0" borderId="24" xfId="0" applyNumberFormat="1" applyFont="1" applyBorder="1" applyAlignment="1">
      <s:alignment horizontal="center" mc:Ignorable="vyd"/>
    </s:xf>
    <s:xf numFmtId="3" fontId="16" fillId="0" borderId="24" xfId="0" applyNumberFormat="1" applyFont="1" applyBorder="1" applyAlignment="1">
      <s:alignment horizontal="center" mc:Ignorable="vyd"/>
    </s:xf>
    <s:xf numFmtId="2" fontId="16" fillId="0" borderId="24" xfId="0" applyNumberFormat="1" applyFont="1" applyBorder="1" applyAlignment="1">
      <s:alignment horizontal="right" mc:Ignorable="vyd"/>
    </s:xf>
    <s:xf numFmtId="2" fontId="0" fillId="0" borderId="0" xfId="0" applyNumberFormat="1"/>
    <s:xf numFmtId="165" fontId="2" fillId="0" borderId="0" xfId="0" applyNumberFormat="1" applyFont="1"/>
    <s:xf numFmtId="2" fontId="2" fillId="0" borderId="0" xfId="0" applyNumberFormat="1" applyFont="1"/>
    <s:xf numFmtId="3" fontId="16" fillId="0" borderId="0" xfId="0" applyNumberFormat="1" applyFont="1" applyAlignment="1">
      <s:alignment horizontal="center" vertical="top" mc:Ignorable="vyd"/>
    </s:xf>
    <s:xf numFmtId="0" fontId="0" fillId="12" borderId="0" xfId="0" applyFill="1"/>
    <s:xf numFmtId="0" fontId="27" fillId="12" borderId="24" xfId="0" applyFont="1" applyFill="1" applyBorder="1" applyAlignment="1">
      <s:alignment horizontal="center" vertical="center" mc:Ignorable="vyd"/>
    </s:xf>
    <s:xf numFmtId="16" fontId="16" fillId="12" borderId="24" xfId="0" applyNumberFormat="1" applyFont="1" applyFill="1" applyBorder="1" applyAlignment="1">
      <s:alignment horizontal="center" vertical="top" mc:Ignorable="vyd"/>
    </s:xf>
    <s:xf numFmtId="0" fontId="16" fillId="12" borderId="24" xfId="0" applyFont="1" applyFill="1" applyBorder="1" applyAlignment="1">
      <s:alignment horizontal="center" vertical="top" mc:Ignorable="vyd"/>
    </s:xf>
    <s:xf numFmtId="4" fontId="16" fillId="12" borderId="24" xfId="0" applyNumberFormat="1" applyFont="1" applyFill="1" applyBorder="1" applyAlignment="1">
      <s:alignment horizontal="center" vertical="top" mc:Ignorable="vyd"/>
    </s:xf>
    <s:xf numFmtId="3" fontId="16" fillId="12" borderId="24" xfId="0" applyNumberFormat="1" applyFont="1" applyFill="1" applyBorder="1" applyAlignment="1">
      <s:alignment horizontal="center" vertical="top" mc:Ignorable="vyd"/>
    </s:xf>
    <s:xf numFmtId="10" fontId="16" fillId="12" borderId="24" xfId="0" applyNumberFormat="1" applyFont="1" applyFill="1" applyBorder="1" applyAlignment="1">
      <s:alignment horizontal="center" vertical="top" mc:Ignorable="vyd"/>
    </s:xf>
    <s:xf numFmtId="9" fontId="3" fillId="12" borderId="24" xfId="0" applyNumberFormat="1" applyFont="1" applyFill="1" applyBorder="1" applyAlignment="1">
      <s:alignment horizontal="center" vertical="center" mc:Ignorable="vyd"/>
    </s:xf>
    <s:xf numFmtId="3" fontId="28" fillId="12" borderId="24" xfId="0" applyNumberFormat="1" applyFont="1" applyFill="1" applyBorder="1" applyAlignment="1">
      <s:alignment horizontal="center" mc:Ignorable="vyd"/>
    </s:xf>
    <s:xf numFmtId="3" fontId="16" fillId="12" borderId="24" xfId="0" applyNumberFormat="1" applyFont="1" applyFill="1" applyBorder="1" applyAlignment="1">
      <s:alignment horizontal="center" mc:Ignorable="vyd"/>
    </s:xf>
    <s:xf numFmtId="2" fontId="16" fillId="12" borderId="24" xfId="0" applyNumberFormat="1" applyFont="1" applyFill="1" applyBorder="1" applyAlignment="1">
      <s:alignment horizontal="right" mc:Ignorable="vyd"/>
    </s:xf>
    <s:xf numFmtId="2" fontId="2" fillId="12" borderId="0" xfId="0" applyNumberFormat="1" applyFont="1" applyFill="1"/>
    <s:xf numFmtId="165" fontId="2" fillId="12" borderId="0" xfId="0" applyNumberFormat="1" applyFont="1" applyFill="1" applyAlignment="1">
      <s:alignment vertical="center" mc:Ignorable="vyd"/>
    </s:xf>
    <s:xf numFmtId="0" fontId="2" fillId="12" borderId="0" xfId="0" applyFont="1" applyFill="1"/>
    <s:xf numFmtId="0" fontId="29" fillId="12" borderId="0" xfId="0" applyFont="1" applyFill="1"/>
    <s:xf numFmtId="165" fontId="2" fillId="12" borderId="0" xfId="0" applyNumberFormat="1" applyFont="1" applyFill="1"/>
    <s:xf numFmtId="168" fontId="2" fillId="12" borderId="0" xfId="0" applyNumberFormat="1" applyFont="1" applyFill="1"/>
    <s:xf numFmtId="168" fontId="2" fillId="0" borderId="0" xfId="0" applyNumberFormat="1" applyFont="1"/>
    <s:xf numFmtId="3" fontId="16" fillId="12" borderId="0" xfId="0" applyNumberFormat="1" applyFont="1" applyFill="1" applyAlignment="1">
      <s:alignment horizontal="center" vertical="top" mc:Ignorable="vyd"/>
    </s:xf>
    <s:xf numFmtId="4" fontId="16" fillId="13" borderId="24" xfId="0" applyNumberFormat="1" applyFont="1" applyFill="1" applyBorder="1" applyAlignment="1">
      <s:alignment horizontal="center" vertical="top" mc:Ignorable="vyd"/>
    </s:xf>
    <s:xf numFmtId="3" fontId="16" fillId="13" borderId="24" xfId="0" applyNumberFormat="1" applyFont="1" applyFill="1" applyBorder="1" applyAlignment="1">
      <s:alignment horizontal="center" vertical="top" mc:Ignorable="vyd"/>
    </s:xf>
    <s:xf numFmtId="165" fontId="16" fillId="13" borderId="24" xfId="0" applyNumberFormat="1" applyFont="1" applyFill="1" applyBorder="1" applyAlignment="1">
      <s:alignment horizontal="center" vertical="top" mc:Ignorable="vyd"/>
    </s:xf>
    <s:xf numFmtId="9" fontId="3" fillId="13" borderId="24" xfId="0" applyNumberFormat="1" applyFont="1" applyFill="1" applyBorder="1" applyAlignment="1">
      <s:alignment horizontal="center" vertical="center" mc:Ignorable="vyd"/>
    </s:xf>
    <s:xf numFmtId="3" fontId="16" fillId="13" borderId="24" xfId="0" applyNumberFormat="1" applyFont="1" applyFill="1" applyBorder="1" applyAlignment="1">
      <s:alignment horizontal="center" mc:Ignorable="vyd"/>
    </s:xf>
    <s:xf numFmtId="3" fontId="16" fillId="13" borderId="24" xfId="0" applyNumberFormat="1" applyFont="1" applyFill="1" applyBorder="1" applyAlignment="1">
      <s:alignment horizontal="right" mc:Ignorable="vyd"/>
    </s:xf>
    <s:xf numFmtId="0" fontId="27" fillId="0" borderId="0" xfId="0" applyFont="1" applyAlignment="1">
      <s:alignment horizontal="center" vertical="center" mc:Ignorable="vyd"/>
    </s:xf>
    <s:xf numFmtId="0" fontId="16" fillId="0" borderId="0" xfId="0" applyFont="1" applyAlignment="1">
      <s:alignment horizontal="center" vertical="top" mc:Ignorable="vyd"/>
    </s:xf>
    <s:xf numFmtId="0" fontId="16" fillId="0" borderId="0" xfId="0" applyFont="1"/>
    <s:xf numFmtId="3" fontId="30" fillId="0" borderId="0" xfId="0" applyNumberFormat="1" applyFont="1"/>
    <s:xf numFmtId="165" fontId="16" fillId="0" borderId="0" xfId="0" applyNumberFormat="1" applyFont="1"/>
    <s:xf numFmtId="0" fontId="16" fillId="0" borderId="0" xfId="0" applyFont="1" applyAlignment="1">
      <s:alignment vertical="top" mc:Ignorable="vyd"/>
    </s:xf>
    <s:xf numFmtId="1" fontId="16" fillId="0" borderId="0" xfId="0" applyNumberFormat="1" applyFont="1" applyAlignment="1">
      <s:alignment vertical="top" mc:Ignorable="vyd"/>
    </s:xf>
    <s:xf numFmtId="3" fontId="16" fillId="0" borderId="0" xfId="0" applyNumberFormat="1" applyFont="1"/>
    <s:xf numFmtId="9" fontId="30" fillId="0" borderId="0" xfId="0" applyNumberFormat="1" applyFont="1"/>
    <s:xf numFmtId="4" fontId="3" fillId="0" borderId="0" xfId="0" applyNumberFormat="1" applyFont="1"/>
    <s:xf numFmtId="1" fontId="3" fillId="0" borderId="0" xfId="0" applyNumberFormat="1" applyFont="1"/>
    <s:xf numFmtId="10" fontId="3" fillId="0" borderId="0" xfId="0" applyNumberFormat="1" applyFont="1"/>
    <s:xf numFmtId="4" fontId="2" fillId="0" borderId="0" xfId="0" applyNumberFormat="1" applyFont="1"/>
    <s:xf numFmtId="14" fontId="2" fillId="0" borderId="0" xfId="0" applyNumberFormat="1" applyFont="1"/>
    <s:xf numFmtId="0" fontId="0" fillId="0" borderId="0" xfId="0" applyAlignment="1">
      <s:alignment wrapText="1" mc:Ignorable="vyd"/>
    </s:xf>
    <s:xf numFmtId="0" fontId="2" fillId="0" borderId="0" xfId="0" applyFont="1" applyAlignment="1">
      <s:alignment wrapText="1" mc:Ignorable="vyd"/>
    </s:xf>
    <s:xf numFmtId="3" fontId="17" fillId="5" borderId="35" xfId="0" applyNumberFormat="1" applyFont="1" applyFill="1" applyBorder="1" applyAlignment="1">
      <s:alignment horizontal="center" vertical="center" mc:Ignorable="vyd"/>
    </s:xf>
    <s:xf numFmtId="3" fontId="17" fillId="5" borderId="43" xfId="0" applyNumberFormat="1" applyFont="1" applyFill="1" applyBorder="1" applyAlignment="1">
      <s:alignment horizontal="center" vertical="center" wrapText="1" mc:Ignorable="vyd"/>
    </s:xf>
    <s:xf numFmtId="3" fontId="17" fillId="5" borderId="27" xfId="0" applyNumberFormat="1" applyFont="1" applyFill="1" applyBorder="1" applyAlignment="1">
      <s:alignment horizontal="center" vertical="center" mc:Ignorable="vyd"/>
    </s:xf>
    <s:xf numFmtId="0" fontId="17" fillId="5" borderId="44" xfId="0" applyFont="1" applyFill="1" applyBorder="1" applyAlignment="1">
      <s:alignment horizontal="center" vertical="center" wrapText="1" mc:Ignorable="vyd"/>
    </s:xf>
    <s:xf numFmtId="10" fontId="31" fillId="0" borderId="18" xfId="0" applyNumberFormat="1" applyFont="1" applyBorder="1" applyAlignment="1">
      <s:alignment horizontal="center" vertical="center" mc:Ignorable="vyd"/>
    </s:xf>
    <s:xf numFmtId="166" fontId="31" fillId="0" borderId="39" xfId="0" applyNumberFormat="1" applyFont="1" applyBorder="1" applyAlignment="1">
      <s:alignment horizontal="center" vertical="center" mc:Ignorable="vyd"/>
    </s:xf>
    <s:xf numFmtId="10" fontId="31" fillId="0" borderId="40" xfId="0" applyNumberFormat="1" applyFont="1" applyBorder="1" applyAlignment="1">
      <s:alignment horizontal="center" vertical="center" mc:Ignorable="vyd"/>
    </s:xf>
    <s:xf numFmtId="10" fontId="31" fillId="0" borderId="46" xfId="1" applyNumberFormat="1" applyFont="1" applyBorder="1" applyAlignment="1" applyProtection="1">
      <s:alignment horizontal="center" vertical="center" mc:Ignorable="vyd"/>
    </s:xf>
    <s:xf numFmtId="166" fontId="31" fillId="0" borderId="47" xfId="1" applyNumberFormat="1" applyFont="1" applyBorder="1" applyAlignment="1" applyProtection="1">
      <s:alignment horizontal="center" vertical="center" mc:Ignorable="vyd"/>
    </s:xf>
    <s:xf numFmtId="10" fontId="31" fillId="0" borderId="48" xfId="0" applyNumberFormat="1" applyFont="1" applyBorder="1" applyAlignment="1">
      <s:alignment horizontal="center" vertical="center" mc:Ignorable="vyd"/>
    </s:xf>
    <s:xf numFmtId="10" fontId="31" fillId="0" borderId="18" xfId="1" applyNumberFormat="1" applyFont="1" applyBorder="1" applyAlignment="1" applyProtection="1">
      <s:alignment horizontal="center" vertical="center" mc:Ignorable="vyd"/>
    </s:xf>
    <s:xf numFmtId="10" fontId="20" fillId="0" borderId="40" xfId="0" applyNumberFormat="1" applyFont="1" applyBorder="1" applyAlignment="1">
      <s:alignment horizontal="center" vertical="center" mc:Ignorable="vyd"/>
    </s:xf>
    <s:xf numFmtId="10" fontId="31" fillId="0" borderId="49" xfId="0" applyNumberFormat="1" applyFont="1" applyBorder="1" applyAlignment="1">
      <s:alignment horizontal="center" vertical="center" mc:Ignorable="vyd"/>
    </s:xf>
    <s:xf numFmtId="1" fontId="31" fillId="0" borderId="16" xfId="0" applyNumberFormat="1" applyFont="1" applyBorder="1" applyAlignment="1">
      <s:alignment horizontal="center" vertical="center" mc:Ignorable="vyd"/>
    </s:xf>
    <s:xf numFmtId="10" fontId="31" fillId="0" borderId="26" xfId="0" applyNumberFormat="1" applyFont="1" applyBorder="1" applyAlignment="1">
      <s:alignment horizontal="center" vertical="center" mc:Ignorable="vyd"/>
    </s:xf>
    <s:xf numFmtId="10" fontId="31" fillId="0" borderId="23" xfId="1" applyNumberFormat="1" applyFont="1" applyBorder="1" applyAlignment="1" applyProtection="1">
      <s:alignment horizontal="center" vertical="center" mc:Ignorable="vyd"/>
    </s:xf>
    <s:xf numFmtId="1" fontId="31" fillId="0" borderId="24" xfId="1" applyNumberFormat="1" applyFont="1" applyBorder="1" applyAlignment="1" applyProtection="1">
      <s:alignment horizontal="center" vertical="center" mc:Ignorable="vyd"/>
    </s:xf>
    <s:xf numFmtId="10" fontId="31" fillId="0" borderId="25" xfId="0" applyNumberFormat="1" applyFont="1" applyBorder="1" applyAlignment="1">
      <s:alignment horizontal="center" vertical="center" mc:Ignorable="vyd"/>
    </s:xf>
    <s:xf numFmtId="10" fontId="31" fillId="0" borderId="49" xfId="1" applyNumberFormat="1" applyFont="1" applyBorder="1" applyAlignment="1" applyProtection="1">
      <s:alignment horizontal="center" vertical="center" mc:Ignorable="vyd"/>
    </s:xf>
    <s:xf numFmtId="3" fontId="31" fillId="0" borderId="24" xfId="1" applyNumberFormat="1" applyFont="1" applyBorder="1" applyAlignment="1" applyProtection="1">
      <s:alignment horizontal="center" vertical="center" mc:Ignorable="vyd"/>
    </s:xf>
    <s:xf numFmtId="10" fontId="20" fillId="0" borderId="26" xfId="0" applyNumberFormat="1" applyFont="1" applyBorder="1" applyAlignment="1">
      <s:alignment horizontal="center" vertical="center" mc:Ignorable="vyd"/>
    </s:xf>
    <s:xf numFmtId="166" fontId="31" fillId="0" borderId="16" xfId="0" applyNumberFormat="1" applyFont="1" applyBorder="1" applyAlignment="1">
      <s:alignment horizontal="center" vertical="center" mc:Ignorable="vyd"/>
    </s:xf>
    <s:xf numFmtId="166" fontId="31" fillId="0" borderId="24" xfId="1" applyNumberFormat="1" applyFont="1" applyBorder="1" applyAlignment="1" applyProtection="1">
      <s:alignment horizontal="center" vertical="center" mc:Ignorable="vyd"/>
    </s:xf>
    <s:xf numFmtId="2" fontId="31" fillId="0" borderId="16" xfId="0" applyNumberFormat="1" applyFont="1" applyBorder="1" applyAlignment="1">
      <s:alignment horizontal="center" vertical="center" mc:Ignorable="vyd"/>
    </s:xf>
    <s:xf numFmtId="2" fontId="31" fillId="0" borderId="24" xfId="1" applyNumberFormat="1" applyFont="1" applyBorder="1" applyAlignment="1" applyProtection="1">
      <s:alignment horizontal="center" vertical="center" mc:Ignorable="vyd"/>
    </s:xf>
    <s:xf numFmtId="4" fontId="31" fillId="0" borderId="24" xfId="1" applyNumberFormat="1" applyFont="1" applyBorder="1" applyAlignment="1" applyProtection="1">
      <s:alignment horizontal="center" vertical="center" mc:Ignorable="vyd"/>
    </s:xf>
    <s:xf numFmtId="1" fontId="31" fillId="0" borderId="24" xfId="0" applyNumberFormat="1" applyFont="1" applyBorder="1" applyAlignment="1">
      <s:alignment horizontal="center" vertical="center" mc:Ignorable="vyd"/>
    </s:xf>
    <s:xf numFmtId="166" fontId="31" fillId="0" borderId="24" xfId="0" applyNumberFormat="1" applyFont="1" applyBorder="1" applyAlignment="1">
      <s:alignment horizontal="center" vertical="center" mc:Ignorable="vyd"/>
    </s:xf>
    <s:xf numFmtId="169" fontId="31" fillId="0" borderId="24" xfId="1" applyNumberFormat="1" applyFont="1" applyBorder="1" applyAlignment="1" applyProtection="1">
      <s:alignment horizontal="center" vertical="center" mc:Ignorable="vyd"/>
    </s:xf>
    <s:xf numFmtId="10" fontId="31" fillId="0" borderId="42" xfId="0" applyNumberFormat="1" applyFont="1" applyBorder="1" applyAlignment="1">
      <s:alignment horizontal="center" vertical="center" mc:Ignorable="vyd"/>
    </s:xf>
    <s:xf numFmtId="166" fontId="31" fillId="0" borderId="34" xfId="0" applyNumberFormat="1" applyFont="1" applyBorder="1" applyAlignment="1">
      <s:alignment horizontal="center" vertical="center" mc:Ignorable="vyd"/>
    </s:xf>
    <s:xf numFmtId="10" fontId="31" fillId="0" borderId="50" xfId="0" applyNumberFormat="1" applyFont="1" applyBorder="1" applyAlignment="1">
      <s:alignment horizontal="center" vertical="center" mc:Ignorable="vyd"/>
    </s:xf>
    <s:xf numFmtId="10" fontId="31" fillId="0" borderId="51" xfId="1" applyNumberFormat="1" applyFont="1" applyBorder="1" applyAlignment="1" applyProtection="1">
      <s:alignment horizontal="center" vertical="center" mc:Ignorable="vyd"/>
    </s:xf>
    <s:xf numFmtId="166" fontId="31" fillId="0" borderId="52" xfId="1" applyNumberFormat="1" applyFont="1" applyBorder="1" applyAlignment="1" applyProtection="1">
      <s:alignment horizontal="center" vertical="center" mc:Ignorable="vyd"/>
    </s:xf>
    <s:xf numFmtId="10" fontId="31" fillId="0" borderId="53" xfId="0" applyNumberFormat="1" applyFont="1" applyBorder="1" applyAlignment="1">
      <s:alignment horizontal="center" vertical="center" mc:Ignorable="vyd"/>
    </s:xf>
    <s:xf numFmtId="10" fontId="31" fillId="0" borderId="54" xfId="1" applyNumberFormat="1" applyFont="1" applyBorder="1" applyAlignment="1" applyProtection="1">
      <s:alignment horizontal="center" vertical="center" mc:Ignorable="vyd"/>
    </s:xf>
    <s:xf numFmtId="166" fontId="31" fillId="0" borderId="34" xfId="1" applyNumberFormat="1" applyFont="1" applyBorder="1" applyAlignment="1" applyProtection="1">
      <s:alignment horizontal="center" vertical="center" mc:Ignorable="vyd"/>
    </s:xf>
    <s:xf numFmtId="10" fontId="20" fillId="0" borderId="37" xfId="0" applyNumberFormat="1" applyFont="1" applyBorder="1" applyAlignment="1">
      <s:alignment horizontal="center" vertical="center" mc:Ignorable="vyd"/>
    </s:xf>
    <s:xf numFmtId="0" fontId="15" fillId="0" borderId="0" xfId="0" applyFont="1" applyAlignment="1">
      <s:alignment vertical="center" mc:Ignorable="vyd"/>
    </s:xf>
    <s:xf numFmtId="3" fontId="17" fillId="0" borderId="0" xfId="0" applyNumberFormat="1" applyFont="1" applyAlignment="1">
      <s:alignment horizontal="center" vertical="center" wrapText="1" mc:Ignorable="vyd"/>
    </s:xf>
    <s:xf numFmtId="3" fontId="17" fillId="5" borderId="44" xfId="0" applyNumberFormat="1" applyFont="1" applyFill="1" applyBorder="1" applyAlignment="1">
      <s:alignment horizontal="center" vertical="center" mc:Ignorable="vyd"/>
    </s:xf>
    <s:xf numFmtId="0" fontId="17" fillId="0" borderId="0" xfId="0" applyFont="1" applyAlignment="1">
      <s:alignment horizontal="center" vertical="center" wrapText="1" mc:Ignorable="vyd"/>
    </s:xf>
    <s:xf numFmtId="169" fontId="31" fillId="0" borderId="39" xfId="0" applyNumberFormat="1" applyFont="1" applyBorder="1" applyAlignment="1">
      <s:alignment horizontal="center" vertical="center" mc:Ignorable="vyd"/>
    </s:xf>
    <s:xf numFmtId="10" fontId="32" fillId="0" borderId="18" xfId="1" applyNumberFormat="1" applyFont="1" applyBorder="1" applyAlignment="1" applyProtection="1">
      <s:alignment horizontal="center" vertical="center" mc:Ignorable="vyd"/>
    </s:xf>
    <s:xf numFmtId="169" fontId="32" fillId="0" borderId="47" xfId="1" applyNumberFormat="1" applyFont="1" applyBorder="1" applyAlignment="1" applyProtection="1">
      <s:alignment horizontal="center" vertical="center" mc:Ignorable="vyd"/>
    </s:xf>
    <s:xf numFmtId="10" fontId="33" fillId="0" borderId="0" xfId="1" applyNumberFormat="1" applyFont="1" applyAlignment="1" applyProtection="1">
      <s:alignment horizontal="center" vertical="center" mc:Ignorable="vyd"/>
    </s:xf>
    <s:xf numFmtId="169" fontId="32" fillId="0" borderId="0" xfId="1" applyNumberFormat="1" applyFont="1" applyAlignment="1" applyProtection="1">
      <s:alignment horizontal="center" vertical="center" mc:Ignorable="vyd"/>
    </s:xf>
    <s:xf numFmtId="10" fontId="16" fillId="0" borderId="0" xfId="0" applyNumberFormat="1" applyFont="1" applyAlignment="1">
      <s:alignment horizontal="center" vertical="center" mc:Ignorable="vyd"/>
    </s:xf>
    <s:xf numFmtId="10" fontId="33" fillId="0" borderId="26" xfId="0" applyNumberFormat="1" applyFont="1" applyBorder="1" applyAlignment="1">
      <s:alignment horizontal="center" vertical="center" mc:Ignorable="vyd"/>
    </s:xf>
    <s:xf numFmtId="10" fontId="32" fillId="0" borderId="49" xfId="1" applyNumberFormat="1" applyFont="1" applyBorder="1" applyAlignment="1" applyProtection="1">
      <s:alignment horizontal="center" vertical="center" mc:Ignorable="vyd"/>
    </s:xf>
    <s:xf numFmtId="1" fontId="33" fillId="0" borderId="24" xfId="1" applyNumberFormat="1" applyFont="1" applyBorder="1" applyAlignment="1" applyProtection="1">
      <s:alignment horizontal="center" vertical="center" mc:Ignorable="vyd"/>
    </s:xf>
    <s:xf numFmtId="3" fontId="32" fillId="0" borderId="0" xfId="1" applyNumberFormat="1" applyFont="1" applyAlignment="1" applyProtection="1">
      <s:alignment horizontal="center" vertical="center" mc:Ignorable="vyd"/>
    </s:xf>
    <s:xf numFmtId="169" fontId="31" fillId="0" borderId="16" xfId="0" applyNumberFormat="1" applyFont="1" applyBorder="1" applyAlignment="1">
      <s:alignment horizontal="center" vertical="center" mc:Ignorable="vyd"/>
    </s:xf>
    <s:xf numFmtId="166" fontId="33" fillId="0" borderId="24" xfId="1" applyNumberFormat="1" applyFont="1" applyBorder="1" applyAlignment="1" applyProtection="1">
      <s:alignment horizontal="center" vertical="center" mc:Ignorable="vyd"/>
    </s:xf>
    <s:xf numFmtId="2" fontId="33" fillId="0" borderId="24" xfId="1" applyNumberFormat="1" applyFont="1" applyBorder="1" applyAlignment="1" applyProtection="1">
      <s:alignment horizontal="center" vertical="center" mc:Ignorable="vyd"/>
    </s:xf>
    <s:xf numFmtId="4" fontId="32" fillId="0" borderId="0" xfId="1" applyNumberFormat="1" applyFont="1" applyAlignment="1" applyProtection="1">
      <s:alignment horizontal="center" vertical="center" mc:Ignorable="vyd"/>
    </s:xf>
    <s:xf numFmtId="1" fontId="33" fillId="0" borderId="0" xfId="1" applyNumberFormat="1" applyFont="1" applyAlignment="1" applyProtection="1">
      <s:alignment horizontal="center" vertical="center" mc:Ignorable="vyd"/>
    </s:xf>
    <s:xf numFmtId="169" fontId="31" fillId="0" borderId="24" xfId="0" applyNumberFormat="1" applyFont="1" applyBorder="1" applyAlignment="1">
      <s:alignment horizontal="center" vertical="center" mc:Ignorable="vyd"/>
    </s:xf>
    <s:xf numFmtId="169" fontId="33" fillId="0" borderId="0" xfId="1" applyNumberFormat="1" applyFont="1" applyAlignment="1" applyProtection="1">
      <s:alignment horizontal="center" vertical="center" mc:Ignorable="vyd"/>
    </s:xf>
    <s:xf numFmtId="169" fontId="31" fillId="0" borderId="34" xfId="0" applyNumberFormat="1" applyFont="1" applyBorder="1" applyAlignment="1">
      <s:alignment horizontal="center" vertical="center" mc:Ignorable="vyd"/>
    </s:xf>
    <s:xf numFmtId="10" fontId="33" fillId="0" borderId="50" xfId="0" applyNumberFormat="1" applyFont="1" applyBorder="1" applyAlignment="1">
      <s:alignment horizontal="center" vertical="center" mc:Ignorable="vyd"/>
    </s:xf>
    <s:xf numFmtId="10" fontId="32" fillId="0" borderId="57" xfId="1" applyNumberFormat="1" applyFont="1" applyBorder="1" applyAlignment="1" applyProtection="1">
      <s:alignment horizontal="center" vertical="center" mc:Ignorable="vyd"/>
    </s:xf>
    <s:xf numFmtId="166" fontId="33" fillId="0" borderId="52" xfId="1" applyNumberFormat="1" applyFont="1" applyBorder="1" applyAlignment="1" applyProtection="1">
      <s:alignment horizontal="center" vertical="center" mc:Ignorable="vyd"/>
    </s:xf>
    <s:xf numFmtId="10" fontId="31" fillId="0" borderId="56" xfId="0" applyNumberFormat="1" applyFont="1" applyBorder="1" applyAlignment="1">
      <s:alignment horizontal="center" vertical="center" mc:Ignorable="vyd"/>
    </s:xf>
    <s:xf numFmtId="3" fontId="17" fillId="5" borderId="30" xfId="0" applyNumberFormat="1" applyFont="1" applyFill="1" applyBorder="1" applyAlignment="1">
      <s:alignment horizontal="center" vertical="center" wrapText="1" mc:Ignorable="vyd"/>
    </s:xf>
    <s:xf numFmtId="169" fontId="31" fillId="0" borderId="34" xfId="1" applyNumberFormat="1" applyFont="1" applyBorder="1" applyAlignment="1" applyProtection="1">
      <s:alignment horizontal="center" vertical="center" mc:Ignorable="vyd"/>
    </s:xf>
    <s:xf numFmtId="0" fontId="27" fillId="0" borderId="0" xfId="0" applyFont="1"/>
    <s:xf numFmtId="3" fontId="34" fillId="3" borderId="58" xfId="0" applyNumberFormat="1" applyFont="1" applyFill="1" applyBorder="1" applyAlignment="1">
      <s:alignment horizontal="center" vertical="center" mc:Ignorable="vyd"/>
    </s:xf>
    <s:xf numFmtId="3" fontId="21" fillId="6" borderId="15" xfId="0" applyNumberFormat="1" applyFont="1" applyFill="1" applyBorder="1" applyAlignment="1">
      <s:alignment horizontal="center" vertical="center" wrapText="1" mc:Ignorable="vyd"/>
    </s:xf>
    <s:xf numFmtId="3" fontId="21" fillId="4" borderId="15" xfId="0" applyNumberFormat="1" applyFont="1" applyFill="1" applyBorder="1" applyAlignment="1">
      <s:alignment horizontal="center" vertical="center" mc:Ignorable="vyd"/>
    </s:xf>
    <s:xf numFmtId="3" fontId="21" fillId="3" borderId="15" xfId="0" applyNumberFormat="1" applyFont="1" applyFill="1" applyBorder="1" applyAlignment="1">
      <s:alignment horizontal="center" vertical="center" mc:Ignorable="vyd"/>
    </s:xf>
    <s:xf numFmtId="4" fontId="21" fillId="3" borderId="15" xfId="0" applyNumberFormat="1" applyFont="1" applyFill="1" applyBorder="1" applyAlignment="1">
      <s:alignment horizontal="center" vertical="center" mc:Ignorable="vyd"/>
    </s:xf>
    <s:xf numFmtId="10" fontId="21" fillId="6" borderId="15" xfId="0" applyNumberFormat="1" applyFont="1" applyFill="1" applyBorder="1" applyAlignment="1">
      <s:alignment horizontal="center" vertical="center" mc:Ignorable="vyd"/>
    </s:xf>
    <s:xf numFmtId="170" fontId="35" fillId="0" borderId="15" xfId="0" applyNumberFormat="1" applyFont="1" applyBorder="1" applyAlignment="1">
      <s:alignment horizontal="center" mc:Ignorable="vyd"/>
    </s:xf>
    <s:xf numFmtId="170" fontId="35" fillId="0" borderId="60" xfId="0" applyNumberFormat="1" applyFont="1" applyBorder="1" applyAlignment="1">
      <s:alignment horizontal="center" mc:Ignorable="vyd"/>
    </s:xf>
    <s:xf numFmtId="0" fontId="16" fillId="2" borderId="0" xfId="0" applyFont="1" applyFill="1"/>
    <s:xf numFmtId="164" fontId="17" fillId="2" borderId="0" xfId="0" applyNumberFormat="1" applyFont="1" applyFill="1" applyAlignment="1">
      <s:alignment horizontal="center" vertical="center" mc:Ignorable="vyd"/>
    </s:xf>
    <s:xf numFmtId="9" fontId="11" fillId="2" borderId="61" xfId="0" applyNumberFormat="1" applyFont="1" applyFill="1" applyBorder="1"/>
    <s:xf numFmtId="0" fontId="39" fillId="2" borderId="0" xfId="0" applyFont="1" applyFill="1"/>
    <s:xf numFmtId="3" fontId="19" fillId="0" borderId="18" xfId="0" applyNumberFormat="1" applyFont="1" applyBorder="1" applyAlignment="1">
      <s:alignment horizontal="center" vertical="center" mc:Ignorable="vyd"/>
    </s:xf>
    <s:xf numFmtId="3" fontId="19" fillId="4" borderId="19" xfId="0" applyNumberFormat="1" applyFont="1" applyFill="1" applyBorder="1" applyAlignment="1">
      <s:alignment horizontal="center" vertical="center" mc:Ignorable="vyd"/>
    </s:xf>
    <s:xf numFmtId="10" fontId="34" fillId="4" borderId="19" xfId="0" applyNumberFormat="1" applyFont="1" applyFill="1" applyBorder="1" applyAlignment="1">
      <s:alignment horizontal="center" vertical="center" mc:Ignorable="vyd"/>
    </s:xf>
    <s:xf numFmtId="3" fontId="24" fillId="0" borderId="19" xfId="0" applyNumberFormat="1" applyFont="1" applyBorder="1" applyAlignment="1">
      <s:alignment horizontal="center" vertical="center" mc:Ignorable="vyd"/>
    </s:xf>
    <s:xf numFmtId="10" fontId="23" fillId="0" borderId="20" xfId="0" applyNumberFormat="1" applyFont="1" applyBorder="1" applyAlignment="1">
      <s:alignment horizontal="center" vertical="center" mc:Ignorable="vyd"/>
    </s:xf>
    <s:xf numFmtId="3" fontId="24" fillId="0" borderId="24" xfId="0" applyNumberFormat="1" applyFont="1" applyBorder="1" applyAlignment="1">
      <s:alignment horizontal="center" vertical="center" mc:Ignorable="vyd"/>
    </s:xf>
    <s:xf numFmtId="10" fontId="23" fillId="0" borderId="25" xfId="0" applyNumberFormat="1" applyFont="1" applyBorder="1" applyAlignment="1">
      <s:alignment horizontal="center" vertical="center" mc:Ignorable="vyd"/>
    </s:xf>
    <s:xf numFmtId="3" fontId="19" fillId="4" borderId="24" xfId="0" applyNumberFormat="1" applyFont="1" applyFill="1" applyBorder="1" applyAlignment="1">
      <s:alignment horizontal="center" vertical="center" mc:Ignorable="vyd"/>
    </s:xf>
    <s:xf numFmtId="10" fontId="19" fillId="0" borderId="24" xfId="0" applyNumberFormat="1" applyFont="1" applyBorder="1" applyAlignment="1">
      <s:alignment horizontal="center" vertical="center" mc:Ignorable="vyd"/>
    </s:xf>
    <s:xf numFmtId="10" fontId="22" fillId="0" borderId="25" xfId="0" applyNumberFormat="1" applyFont="1" applyBorder="1" applyAlignment="1">
      <s:alignment horizontal="center" vertical="center" mc:Ignorable="vyd"/>
    </s:xf>
    <s:xf numFmtId="10" fontId="16" fillId="0" borderId="24" xfId="0" applyNumberFormat="1" applyFont="1" applyBorder="1" applyAlignment="1">
      <s:alignment horizontal="center" vertical="center" mc:Ignorable="vyd"/>
    </s:xf>
    <s:xf numFmtId="4" fontId="24" fillId="0" borderId="24" xfId="0" applyNumberFormat="1" applyFont="1" applyBorder="1" applyAlignment="1">
      <s:alignment horizontal="center" vertical="center" mc:Ignorable="vyd"/>
    </s:xf>
    <s:xf numFmtId="3" fontId="3" fillId="2" borderId="0" xfId="0" applyNumberFormat="1" applyFont="1" applyFill="1"/>
    <s:xf numFmtId="10" fontId="23" fillId="0" borderId="27" xfId="0" applyNumberFormat="1" applyFont="1" applyBorder="1" applyAlignment="1">
      <s:alignment horizontal="center" vertical="center" mc:Ignorable="vyd"/>
    </s:xf>
    <s:xf numFmtId="10" fontId="18" fillId="0" borderId="27" xfId="0" applyNumberFormat="1" applyFont="1" applyBorder="1" applyAlignment="1">
      <s:alignment horizontal="center" vertical="center" mc:Ignorable="vyd"/>
    </s:xf>
    <s:xf numFmtId="165" fontId="19" fillId="3" borderId="33" xfId="0" applyNumberFormat="1" applyFont="1" applyFill="1" applyBorder="1" applyAlignment="1">
      <s:alignment horizontal="center" vertical="center" mc:Ignorable="vyd"/>
    </s:xf>
    <s:xf numFmtId="165" fontId="19" fillId="4" borderId="34" xfId="0" applyNumberFormat="1" applyFont="1" applyFill="1" applyBorder="1" applyAlignment="1">
      <s:alignment horizontal="center" vertical="center" mc:Ignorable="vyd"/>
    </s:xf>
    <s:xf numFmtId="10" fontId="19" fillId="4" borderId="34" xfId="0" applyNumberFormat="1" applyFont="1" applyFill="1" applyBorder="1" applyAlignment="1">
      <s:alignment horizontal="center" vertical="center" mc:Ignorable="vyd"/>
    </s:xf>
    <s:xf numFmtId="165" fontId="24" fillId="0" borderId="34" xfId="0" applyNumberFormat="1" applyFont="1" applyBorder="1" applyAlignment="1">
      <s:alignment horizontal="center" vertical="center" mc:Ignorable="vyd"/>
    </s:xf>
    <s:xf numFmtId="0" fontId="17" fillId="14" borderId="24" xfId="0" applyFont="1" applyFill="1" applyBorder="1" applyAlignment="1">
      <s:alignment horizontal="center" vertical="center" wrapText="1" mc:Ignorable="vyd"/>
    </s:xf>
    <s:xf numFmtId="0" fontId="17" fillId="15" borderId="24" xfId="0" applyFont="1" applyFill="1" applyBorder="1" applyAlignment="1">
      <s:alignment horizontal="center" vertical="center" wrapText="1" mc:Ignorable="vyd"/>
    </s:xf>
    <s:xf numFmtId="0" fontId="26" fillId="14" borderId="24" xfId="0" applyFont="1" applyFill="1" applyBorder="1" applyAlignment="1">
      <s:alignment horizontal="center" vertical="center" wrapText="1" mc:Ignorable="vyd"/>
    </s:xf>
    <s:xf numFmtId="3" fontId="3" fillId="0" borderId="0" xfId="0" applyNumberFormat="1" applyFont="1"/>
    <s:xf numFmtId="0" fontId="16" fillId="14" borderId="24" xfId="0" applyFont="1" applyFill="1" applyBorder="1" applyAlignment="1">
      <s:alignment horizontal="center" vertical="top" wrapText="1" mc:Ignorable="vyd"/>
    </s:xf>
    <s:xf numFmtId="0" fontId="16" fillId="14" borderId="30" xfId="0" applyFont="1" applyFill="1" applyBorder="1" applyAlignment="1">
      <s:alignment horizontal="center" vertical="top" wrapText="1" mc:Ignorable="vyd"/>
    </s:xf>
    <s:xf numFmtId="0" fontId="17" fillId="14" borderId="24" xfId="0" applyFont="1" applyFill="1" applyBorder="1" applyAlignment="1">
      <s:alignment horizontal="center" vertical="top" wrapText="1" mc:Ignorable="vyd"/>
    </s:xf>
    <s:xf numFmtId="16" fontId="16" fillId="0" borderId="23" xfId="0" applyNumberFormat="1" applyFont="1" applyBorder="1" applyAlignment="1">
      <s:alignment horizontal="center" vertical="top" mc:Ignorable="vyd"/>
    </s:xf>
    <s:xf numFmtId="0" fontId="16" fillId="0" borderId="23" xfId="0" applyFont="1" applyBorder="1" applyAlignment="1">
      <s:alignment horizontal="center" vertical="top" mc:Ignorable="vyd"/>
    </s:xf>
    <s:xf numFmtId="4" fontId="16" fillId="0" borderId="23" xfId="0" applyNumberFormat="1" applyFont="1" applyBorder="1" applyAlignment="1">
      <s:alignment horizontal="center" vertical="top" mc:Ignorable="vyd"/>
    </s:xf>
    <s:xf numFmtId="3" fontId="16" fillId="0" borderId="23" xfId="0" applyNumberFormat="1" applyFont="1" applyBorder="1" applyAlignment="1">
      <s:alignment horizontal="center" vertical="top" mc:Ignorable="vyd"/>
    </s:xf>
    <s:xf numFmtId="4" fontId="40" fillId="16" borderId="24" xfId="0" applyNumberFormat="1" applyFont="1" applyFill="1" applyBorder="1" applyAlignment="1">
      <s:alignment horizontal="center" vertical="top" mc:Ignorable="vyd"/>
    </s:xf>
    <s:xf numFmtId="10" fontId="41" fillId="17" borderId="24" xfId="0" applyNumberFormat="1" applyFont="1" applyFill="1" applyBorder="1" applyAlignment="1">
      <s:alignment horizontal="center" vertical="top" mc:Ignorable="vyd"/>
    </s:xf>
    <s:xf numFmtId="9" fontId="42" fillId="16" borderId="24" xfId="0" applyNumberFormat="1" applyFont="1" applyFill="1" applyBorder="1" applyAlignment="1">
      <s:alignment horizontal="center" vertical="center" mc:Ignorable="vyd"/>
    </s:xf>
    <s:xf numFmtId="3" fontId="28" fillId="0" borderId="23" xfId="0" applyNumberFormat="1" applyFont="1" applyBorder="1" applyAlignment="1">
      <s:alignment horizontal="center" mc:Ignorable="vyd"/>
    </s:xf>
    <s:xf numFmtId="3" fontId="16" fillId="0" borderId="23" xfId="0" applyNumberFormat="1" applyFont="1" applyBorder="1" applyAlignment="1">
      <s:alignment horizontal="center" mc:Ignorable="vyd"/>
    </s:xf>
    <s:xf numFmtId="2" fontId="16" fillId="0" borderId="23" xfId="0" applyNumberFormat="1" applyFont="1" applyBorder="1" applyAlignment="1">
      <s:alignment horizontal="right" mc:Ignorable="vyd"/>
    </s:xf>
    <s:xf numFmtId="9" fontId="43" fillId="18" borderId="24" xfId="0" applyNumberFormat="1" applyFont="1" applyFill="1" applyBorder="1" applyAlignment="1">
      <s:alignment horizontal="center" vertical="center" mc:Ignorable="vyd"/>
    </s:xf>
    <s:xf numFmtId="165" fontId="16" fillId="0" borderId="0" xfId="0" applyNumberFormat="1" applyFont="1" applyAlignment="1">
      <s:alignment vertical="top" mc:Ignorable="vyd"/>
    </s:xf>
    <s:xf numFmtId="0" fontId="27" fillId="0" borderId="0" xfId="0" applyFont="1" applyAlignment="1">
      <s:alignment horizontal="center" mc:Ignorable="vyd"/>
    </s:xf>
    <s:xf numFmtId="0" fontId="0" fillId="19" borderId="0" xfId="0" applyFill="1"/>
    <s:xf numFmtId="0" fontId="27" fillId="19" borderId="24" xfId="0" applyFont="1" applyFill="1" applyBorder="1" applyAlignment="1">
      <s:alignment horizontal="center" vertical="center" mc:Ignorable="vyd"/>
    </s:xf>
    <s:xf numFmtId="3" fontId="16" fillId="19" borderId="24" xfId="0" applyNumberFormat="1" applyFont="1" applyFill="1" applyBorder="1" applyAlignment="1">
      <s:alignment horizontal="center" vertical="top" mc:Ignorable="vyd"/>
    </s:xf>
    <s:xf numFmtId="4" fontId="16" fillId="19" borderId="24" xfId="0" applyNumberFormat="1" applyFont="1" applyFill="1" applyBorder="1" applyAlignment="1">
      <s:alignment horizontal="center" vertical="top" mc:Ignorable="vyd"/>
    </s:xf>
    <s:xf numFmtId="10" fontId="16" fillId="19" borderId="24" xfId="0" applyNumberFormat="1" applyFont="1" applyFill="1" applyBorder="1" applyAlignment="1">
      <s:alignment horizontal="center" vertical="top" mc:Ignorable="vyd"/>
    </s:xf>
    <s:xf numFmtId="9" fontId="3" fillId="19" borderId="24" xfId="0" applyNumberFormat="1" applyFont="1" applyFill="1" applyBorder="1" applyAlignment="1">
      <s:alignment horizontal="center" vertical="center" mc:Ignorable="vyd"/>
    </s:xf>
    <s:xf numFmtId="3" fontId="28" fillId="19" borderId="24" xfId="0" applyNumberFormat="1" applyFont="1" applyFill="1" applyBorder="1" applyAlignment="1">
      <s:alignment horizontal="center" mc:Ignorable="vyd"/>
    </s:xf>
    <s:xf numFmtId="3" fontId="16" fillId="19" borderId="24" xfId="0" applyNumberFormat="1" applyFont="1" applyFill="1" applyBorder="1" applyAlignment="1">
      <s:alignment horizontal="center" mc:Ignorable="vyd"/>
    </s:xf>
    <s:xf numFmtId="168" fontId="16" fillId="19" borderId="24" xfId="0" applyNumberFormat="1" applyFont="1" applyFill="1" applyBorder="1" applyAlignment="1">
      <s:alignment horizontal="right" mc:Ignorable="vyd"/>
    </s:xf>
    <s:xf numFmtId="165" fontId="2" fillId="19" borderId="0" xfId="0" applyNumberFormat="1" applyFont="1" applyFill="1"/>
    <s:xf numFmtId="0" fontId="2" fillId="19" borderId="0" xfId="0" applyFont="1" applyFill="1"/>
    <s:xf numFmtId="0" fontId="16" fillId="0" borderId="25" xfId="0" applyFont="1" applyBorder="1" applyAlignment="1">
      <s:alignment horizontal="center" vertical="top" mc:Ignorable="vyd"/>
    </s:xf>
    <s:xf numFmtId="16" fontId="16" fillId="19" borderId="24" xfId="0" applyNumberFormat="1" applyFont="1" applyFill="1" applyBorder="1" applyAlignment="1">
      <s:alignment horizontal="center" vertical="top" mc:Ignorable="vyd"/>
    </s:xf>
    <s:xf numFmtId="0" fontId="16" fillId="19" borderId="24" xfId="0" applyFont="1" applyFill="1" applyBorder="1" applyAlignment="1">
      <s:alignment horizontal="center" vertical="top" mc:Ignorable="vyd"/>
    </s:xf>
    <s:xf numFmtId="3" fontId="16" fillId="19" borderId="0" xfId="0" applyNumberFormat="1" applyFont="1" applyFill="1" applyAlignment="1">
      <s:alignment horizontal="center" vertical="top" mc:Ignorable="vyd"/>
    </s:xf>
    <s:xf numFmtId="168" fontId="2" fillId="19" borderId="0" xfId="0" applyNumberFormat="1" applyFont="1" applyFill="1"/>
    <s:xf numFmtId="0" fontId="16" fillId="19" borderId="25" xfId="0" applyFont="1" applyFill="1" applyBorder="1" applyAlignment="1">
      <s:alignment horizontal="center" vertical="top" mc:Ignorable="vyd"/>
    </s:xf>
    <s:xf numFmtId="4" fontId="16" fillId="19" borderId="0" xfId="0" applyNumberFormat="1" applyFont="1" applyFill="1" applyAlignment="1">
      <s:alignment horizontal="center" vertical="top" mc:Ignorable="vyd"/>
    </s:xf>
    <s:xf numFmtId="4" fontId="16" fillId="19" borderId="23" xfId="0" applyNumberFormat="1" applyFont="1" applyFill="1" applyBorder="1" applyAlignment="1">
      <s:alignment horizontal="center" vertical="top" mc:Ignorable="vyd"/>
    </s:xf>
    <s:xf numFmtId="3" fontId="16" fillId="19" borderId="30" xfId="0" applyNumberFormat="1" applyFont="1" applyFill="1" applyBorder="1" applyAlignment="1">
      <s:alignment horizontal="center" vertical="top" mc:Ignorable="vyd"/>
    </s:xf>
    <s:xf numFmtId="4" fontId="16" fillId="19" borderId="30" xfId="0" applyNumberFormat="1" applyFont="1" applyFill="1" applyBorder="1" applyAlignment="1">
      <s:alignment horizontal="center" vertical="top" mc:Ignorable="vyd"/>
    </s:xf>
    <s:xf numFmtId="165" fontId="16" fillId="19" borderId="30" xfId="0" applyNumberFormat="1" applyFont="1" applyFill="1" applyBorder="1" applyAlignment="1">
      <s:alignment horizontal="center" vertical="top" mc:Ignorable="vyd"/>
    </s:xf>
    <s:xf numFmtId="9" fontId="3" fillId="19" borderId="30" xfId="0" applyNumberFormat="1" applyFont="1" applyFill="1" applyBorder="1" applyAlignment="1">
      <s:alignment horizontal="center" vertical="center" mc:Ignorable="vyd"/>
    </s:xf>
    <s:xf numFmtId="3" fontId="28" fillId="19" borderId="30" xfId="0" applyNumberFormat="1" applyFont="1" applyFill="1" applyBorder="1" applyAlignment="1">
      <s:alignment horizontal="center" mc:Ignorable="vyd"/>
    </s:xf>
    <s:xf numFmtId="3" fontId="16" fillId="19" borderId="30" xfId="0" applyNumberFormat="1" applyFont="1" applyFill="1" applyBorder="1" applyAlignment="1">
      <s:alignment horizontal="center" mc:Ignorable="vyd"/>
    </s:xf>
    <s:xf numFmtId="4" fontId="16" fillId="19" borderId="64" xfId="0" applyNumberFormat="1" applyFont="1" applyFill="1" applyBorder="1" applyAlignment="1">
      <s:alignment horizontal="center" vertical="top" mc:Ignorable="vyd"/>
    </s:xf>
    <s:xf numFmtId="3" fontId="16" fillId="19" borderId="65" xfId="0" applyNumberFormat="1" applyFont="1" applyFill="1" applyBorder="1" applyAlignment="1">
      <s:alignment horizontal="center" vertical="top" mc:Ignorable="vyd"/>
    </s:xf>
    <s:xf numFmtId="4" fontId="16" fillId="19" borderId="65" xfId="0" applyNumberFormat="1" applyFont="1" applyFill="1" applyBorder="1" applyAlignment="1">
      <s:alignment horizontal="center" vertical="top" mc:Ignorable="vyd"/>
    </s:xf>
    <s:xf numFmtId="10" fontId="16" fillId="19" borderId="65" xfId="0" applyNumberFormat="1" applyFont="1" applyFill="1" applyBorder="1" applyAlignment="1">
      <s:alignment horizontal="center" vertical="top" mc:Ignorable="vyd"/>
    </s:xf>
    <s:xf numFmtId="9" fontId="3" fillId="19" borderId="65" xfId="0" applyNumberFormat="1" applyFont="1" applyFill="1" applyBorder="1" applyAlignment="1">
      <s:alignment horizontal="center" vertical="center" mc:Ignorable="vyd"/>
    </s:xf>
    <s:xf numFmtId="3" fontId="28" fillId="19" borderId="65" xfId="0" applyNumberFormat="1" applyFont="1" applyFill="1" applyBorder="1" applyAlignment="1">
      <s:alignment horizontal="center" mc:Ignorable="vyd"/>
    </s:xf>
    <s:xf numFmtId="3" fontId="16" fillId="19" borderId="65" xfId="0" applyNumberFormat="1" applyFont="1" applyFill="1" applyBorder="1" applyAlignment="1">
      <s:alignment horizontal="center" mc:Ignorable="vyd"/>
    </s:xf>
    <s:xf numFmtId="0" fontId="16" fillId="19" borderId="66" xfId="0" applyFont="1" applyFill="1" applyBorder="1" applyAlignment="1">
      <s:alignment horizontal="center" vertical="top" mc:Ignorable="vyd"/>
    </s:xf>
    <s:xf numFmtId="168" fontId="16" fillId="19" borderId="23" xfId="0" applyNumberFormat="1" applyFont="1" applyFill="1" applyBorder="1" applyAlignment="1">
      <s:alignment horizontal="right" mc:Ignorable="vyd"/>
    </s:xf>
    <s:xf numFmtId="0" fontId="16" fillId="19" borderId="27" xfId="0" applyFont="1" applyFill="1" applyBorder="1" applyAlignment="1">
      <s:alignment horizontal="center" vertical="top" mc:Ignorable="vyd"/>
    </s:xf>
    <s:xf numFmtId="168" fontId="16" fillId="19" borderId="65" xfId="0" applyNumberFormat="1" applyFont="1" applyFill="1" applyBorder="1" applyAlignment="1">
      <s:alignment horizontal="right" mc:Ignorable="vyd"/>
    </s:xf>
    <s:xf numFmtId="165" fontId="34" fillId="4" borderId="19" xfId="0" applyNumberFormat="1" applyFont="1" applyFill="1" applyBorder="1" applyAlignment="1">
      <s:alignment horizontal="center" vertical="center" mc:Ignorable="vyd"/>
    </s:xf>
    <s:xf numFmtId="165" fontId="16" fillId="4" borderId="24" xfId="0" applyNumberFormat="1" applyFont="1" applyFill="1" applyBorder="1" applyAlignment="1">
      <s:alignment horizontal="center" vertical="center" mc:Ignorable="vyd"/>
    </s:xf>
    <s:xf numFmtId="165" fontId="19" fillId="0" borderId="24" xfId="0" applyNumberFormat="1" applyFont="1" applyBorder="1" applyAlignment="1">
      <s:alignment horizontal="center" vertical="center" mc:Ignorable="vyd"/>
    </s:xf>
    <s:xf numFmtId="165" fontId="16" fillId="0" borderId="24" xfId="0" applyNumberFormat="1" applyFont="1" applyBorder="1" applyAlignment="1">
      <s:alignment horizontal="center" vertical="center" mc:Ignorable="vyd"/>
    </s:xf>
    <s:xf numFmtId="0" fontId="16" fillId="19" borderId="0" xfId="0" applyFont="1" applyFill="1" applyAlignment="1">
      <s:alignment horizontal="center" vertical="top" mc:Ignorable="vyd"/>
    </s:xf>
    <s:xf numFmtId="9" fontId="3" fillId="19" borderId="0" xfId="0" applyNumberFormat="1" applyFont="1" applyFill="1" applyAlignment="1">
      <s:alignment horizontal="center" vertical="center" mc:Ignorable="vyd"/>
    </s:xf>
    <s:xf numFmtId="3" fontId="16" fillId="19" borderId="0" xfId="0" applyNumberFormat="1" applyFont="1" applyFill="1" applyAlignment="1">
      <s:alignment horizontal="center" mc:Ignorable="vyd"/>
    </s:xf>
    <s:xf numFmtId="3" fontId="28" fillId="19" borderId="0" xfId="0" applyNumberFormat="1" applyFont="1" applyFill="1" applyAlignment="1">
      <s:alignment horizontal="center" mc:Ignorable="vyd"/>
    </s:xf>
    <s:xf numFmtId="165" fontId="16" fillId="19" borderId="24" xfId="0" applyNumberFormat="1" applyFont="1" applyFill="1" applyBorder="1" applyAlignment="1">
      <s:alignment horizontal="center" vertical="top" mc:Ignorable="vyd"/>
    </s:xf>
    <s:xf numFmtId="0" fontId="44" fillId="0" borderId="0" xfId="0" applyFont="1"/>
    <s:xf numFmtId="165" fontId="16" fillId="0" borderId="24" xfId="0" applyNumberFormat="1" applyFont="1" applyBorder="1" applyAlignment="1">
      <s:alignment horizontal="center" vertical="top" mc:Ignorable="vyd"/>
    </s:xf>
    <s:xf numFmtId="168" fontId="16" fillId="0" borderId="24" xfId="0" applyNumberFormat="1" applyFont="1" applyBorder="1" applyAlignment="1">
      <s:alignment horizontal="right" mc:Ignorable="vyd"/>
    </s:xf>
    <s:xf numFmtId="165" fontId="3" fillId="0" borderId="0" xfId="0" applyNumberFormat="1" applyFont="1"/>
    <s:xf numFmtId="168" fontId="3" fillId="0" borderId="0" xfId="0" applyNumberFormat="1" applyFont="1"/>
    <s:xf numFmtId="0" fontId="44" fillId="19" borderId="0" xfId="0" applyFont="1" applyFill="1"/>
    <s:xf numFmtId="165" fontId="3" fillId="19" borderId="0" xfId="0" applyNumberFormat="1" applyFont="1" applyFill="1"/>
    <s:xf numFmtId="168" fontId="3" fillId="19" borderId="0" xfId="0" applyNumberFormat="1" applyFont="1" applyFill="1"/>
    <s:xf numFmtId="0" fontId="27" fillId="19" borderId="0" xfId="0" applyFont="1" applyFill="1"/>
    <s:xf numFmtId="16" fontId="16" fillId="19" borderId="24" xfId="0" applyNumberFormat="1" applyFont="1" applyFill="1" applyBorder="1" applyAlignment="1">
      <s:alignment horizontal="center" vertical="top" wrapText="1" mc:Ignorable="vyd"/>
    </s:xf>
    <s:xf numFmtId="0" fontId="16" fillId="19" borderId="24" xfId="0" applyFont="1" applyFill="1" applyBorder="1" applyAlignment="1">
      <s:alignment horizontal="center" vertical="top" wrapText="1" mc:Ignorable="vyd"/>
    </s:xf>
    <s:xf numFmtId="4" fontId="16" fillId="19" borderId="24" xfId="0" applyNumberFormat="1" applyFont="1" applyFill="1" applyBorder="1" applyAlignment="1">
      <s:alignment horizontal="center" vertical="top" wrapText="1" mc:Ignorable="vyd"/>
    </s:xf>
    <s:xf numFmtId="3" fontId="16" fillId="19" borderId="67" xfId="0" applyNumberFormat="1" applyFont="1" applyFill="1" applyBorder="1" applyAlignment="1">
      <s:alignment horizontal="center" vertical="top" wrapText="1" mc:Ignorable="vyd"/>
    </s:xf>
    <s:xf numFmtId="3" fontId="16" fillId="19" borderId="24" xfId="0" applyNumberFormat="1" applyFont="1" applyFill="1" applyBorder="1" applyAlignment="1">
      <s:alignment horizontal="center" vertical="top" wrapText="1" mc:Ignorable="vyd"/>
    </s:xf>
    <s:xf numFmtId="3" fontId="16" fillId="19" borderId="66" xfId="0" applyNumberFormat="1" applyFont="1" applyFill="1" applyBorder="1" applyAlignment="1">
      <s:alignment horizontal="center" vertical="top" wrapText="1" mc:Ignorable="vyd"/>
    </s:xf>
    <s:xf numFmtId="4" fontId="16" fillId="19" borderId="0" xfId="0" applyNumberFormat="1" applyFont="1" applyFill="1" applyAlignment="1">
      <s:alignment horizontal="center" vertical="top" wrapText="1" mc:Ignorable="vyd"/>
    </s:xf>
    <s:xf numFmtId="0" fontId="29" fillId="19" borderId="0" xfId="0" applyFont="1" applyFill="1"/>
    <s:xf numFmtId="0" fontId="11" fillId="5" borderId="0" xfId="0" applyFont="1" applyFill="1"/>
    <s:xf numFmtId="0" fontId="3" fillId="5" borderId="0" xfId="0" applyFont="1" applyFill="1"/>
    <s:xf numFmtId="0" fontId="16" fillId="5" borderId="0" xfId="0" applyFont="1" applyFill="1"/>
    <s:xf numFmtId="0" fontId="10" fillId="5" borderId="0" xfId="0" applyFont="1" applyFill="1"/>
    <s:xf numFmtId="164" fontId="17" fillId="5" borderId="0" xfId="0" applyNumberFormat="1" applyFont="1" applyFill="1" applyAlignment="1">
      <s:alignment horizontal="center" vertical="center" mc:Ignorable="vyd"/>
    </s:xf>
    <s:xf numFmtId="9" fontId="11" fillId="5" borderId="68" xfId="1" applyFont="1" applyFill="1" applyBorder="1" applyProtection="1"/>
    <s:xf numFmtId="0" fontId="39" fillId="5" borderId="0" xfId="0" applyFont="1" applyFill="1"/>
    <s:xf numFmtId="0" fontId="26" fillId="15" borderId="24" xfId="0" applyFont="1" applyFill="1" applyBorder="1" applyAlignment="1">
      <s:alignment horizontal="center" vertical="center" wrapText="1" mc:Ignorable="vyd"/>
    </s:xf>
    <s:xf numFmtId="0" fontId="3" fillId="0" borderId="69" xfId="0" applyFont="1" applyBorder="1"/>
    <s:xf numFmtId="0" fontId="16" fillId="15" borderId="23" xfId="0" applyFont="1" applyFill="1" applyBorder="1" applyAlignment="1">
      <s:alignment horizontal="center" vertical="top" wrapText="1" mc:Ignorable="vyd"/>
    </s:xf>
    <s:xf numFmtId="0" fontId="16" fillId="15" borderId="24" xfId="0" applyFont="1" applyFill="1" applyBorder="1" applyAlignment="1">
      <s:alignment horizontal="center" vertical="top" wrapText="1" mc:Ignorable="vyd"/>
    </s:xf>
    <s:xf numFmtId="0" fontId="17" fillId="15" borderId="24" xfId="0" applyFont="1" applyFill="1" applyBorder="1" applyAlignment="1">
      <s:alignment horizontal="center" vertical="top" wrapText="1" mc:Ignorable="vyd"/>
    </s:xf>
    <s:xf numFmtId="16" fontId="16" fillId="0" borderId="25" xfId="0" applyNumberFormat="1" applyFont="1" applyBorder="1" applyAlignment="1">
      <s:alignment horizontal="center" vertical="top" mc:Ignorable="vyd"/>
    </s:xf>
    <s:xf numFmtId="0" fontId="16" fillId="0" borderId="65" xfId="0" applyFont="1" applyBorder="1" applyAlignment="1">
      <s:alignment horizontal="center" vertical="top" mc:Ignorable="vyd"/>
    </s:xf>
    <s:xf numFmtId="0" fontId="16" fillId="19" borderId="65" xfId="0" applyFont="1" applyFill="1" applyBorder="1" applyAlignment="1">
      <s:alignment horizontal="center" vertical="top" mc:Ignorable="vyd"/>
    </s:xf>
    <s:xf numFmtId="16" fontId="16" fillId="19" borderId="25" xfId="0" applyNumberFormat="1" applyFont="1" applyFill="1" applyBorder="1" applyAlignment="1">
      <s:alignment horizontal="center" vertical="top" mc:Ignorable="vyd"/>
    </s:xf>
    <s:xf numFmtId="10" fontId="16" fillId="19" borderId="0" xfId="0" applyNumberFormat="1" applyFont="1" applyFill="1" applyAlignment="1">
      <s:alignment horizontal="center" vertical="top" mc:Ignorable="vyd"/>
    </s:xf>
    <s:xf numFmtId="0" fontId="16" fillId="19" borderId="19" xfId="0" applyFont="1" applyFill="1" applyBorder="1" applyAlignment="1">
      <s:alignment horizontal="center" vertical="top" mc:Ignorable="vyd"/>
    </s:xf>
    <s:xf numFmtId="0" fontId="0" fillId="19" borderId="24" xfId="0" applyFill="1" applyBorder="1"/>
    <s:xf numFmtId="16" fontId="16" fillId="19" borderId="24" xfId="0" applyNumberFormat="1" applyFont="1" applyFill="1" applyBorder="1" applyAlignment="1" applyProtection="1">
      <s:alignment horizontal="center" vertical="top" mc:Ignorable="vyd"/>
      <s:protection locked="0"/>
    </s:xf>
    <s:xf numFmtId="4" fontId="16" fillId="19" borderId="24" xfId="0" applyNumberFormat="1" applyFont="1" applyFill="1" applyBorder="1" applyAlignment="1" applyProtection="1">
      <s:alignment horizontal="center" vertical="top" mc:Ignorable="vyd"/>
      <s:protection locked="0"/>
    </s:xf>
    <s:xf numFmtId="3" fontId="16" fillId="19" borderId="24" xfId="0" applyNumberFormat="1" applyFont="1" applyFill="1" applyBorder="1" applyAlignment="1" applyProtection="1">
      <s:alignment horizontal="center" vertical="top" mc:Ignorable="vyd"/>
      <s:protection locked="0"/>
    </s:xf>
    <s:xf numFmtId="9" fontId="3" fillId="19" borderId="24" xfId="1" applyFont="1" applyFill="1" applyBorder="1" applyAlignment="1" applyProtection="1">
      <s:alignment horizontal="center" vertical="center" mc:Ignorable="vyd"/>
    </s:xf>
    <s:xf numFmtId="165" fontId="3" fillId="19" borderId="0" xfId="1" applyNumberFormat="1" applyFont="1" applyFill="1" applyProtection="1"/>
    <s:xf numFmtId="0" fontId="17" fillId="19" borderId="24" xfId="0" applyFont="1" applyFill="1" applyBorder="1" applyAlignment="1">
      <s:alignment horizontal="center" vertical="top" mc:Ignorable="vyd"/>
    </s:xf>
    <s:xf numFmtId="0" fontId="3" fillId="0" borderId="24" xfId="0" applyFont="1" applyBorder="1"/>
    <s:xf numFmtId="4" fontId="16" fillId="0" borderId="24" xfId="0" applyNumberFormat="1" applyFont="1" applyBorder="1" applyAlignment="1" applyProtection="1">
      <s:alignment horizontal="center" vertical="top" mc:Ignorable="vyd"/>
      <s:protection locked="0"/>
    </s:xf>
    <s:xf numFmtId="3" fontId="16" fillId="0" borderId="24" xfId="0" applyNumberFormat="1" applyFont="1" applyBorder="1" applyAlignment="1" applyProtection="1">
      <s:alignment horizontal="center" vertical="top" mc:Ignorable="vyd"/>
      <s:protection locked="0"/>
    </s:xf>
    <s:xf numFmtId="9" fontId="3" fillId="0" borderId="24" xfId="1" applyFont="1" applyBorder="1" applyAlignment="1" applyProtection="1">
      <s:alignment horizontal="center" vertical="center" mc:Ignorable="vyd"/>
    </s:xf>
    <s:xf numFmtId="165" fontId="3" fillId="0" borderId="0" xfId="1" applyNumberFormat="1" applyFont="1" applyProtection="1"/>
    <s:xf numFmtId="165" fontId="3" fillId="0" borderId="0" xfId="1" applyNumberFormat="1" applyFont="1" applyAlignment="1" applyProtection="1">
      <s:alignment vertical="center" mc:Ignorable="vyd"/>
    </s:xf>
    <s:xf numFmtId="0" fontId="16" fillId="0" borderId="66" xfId="0" applyFont="1" applyBorder="1" applyAlignment="1">
      <s:alignment horizontal="center" vertical="top" mc:Ignorable="vyd"/>
    </s:xf>
    <s:xf numFmtId="3" fontId="16" fillId="21" borderId="24" xfId="0" applyNumberFormat="1" applyFont="1" applyFill="1" applyBorder="1" applyAlignment="1">
      <s:alignment horizontal="center" vertical="top" mc:Ignorable="vyd"/>
    </s:xf>
    <s:xf numFmtId="4" fontId="16" fillId="21" borderId="24" xfId="0" applyNumberFormat="1" applyFont="1" applyFill="1" applyBorder="1" applyAlignment="1">
      <s:alignment horizontal="center" vertical="top" mc:Ignorable="vyd"/>
    </s:xf>
    <s:xf numFmtId="165" fontId="16" fillId="21" borderId="24" xfId="0" applyNumberFormat="1" applyFont="1" applyFill="1" applyBorder="1" applyAlignment="1">
      <s:alignment horizontal="center" vertical="top" mc:Ignorable="vyd"/>
    </s:xf>
    <s:xf numFmtId="9" fontId="3" fillId="21" borderId="24" xfId="1" applyFont="1" applyFill="1" applyBorder="1" applyAlignment="1" applyProtection="1">
      <s:alignment horizontal="center" vertical="center" mc:Ignorable="vyd"/>
    </s:xf>
    <s:xf numFmtId="3" fontId="16" fillId="21" borderId="24" xfId="0" applyNumberFormat="1" applyFont="1" applyFill="1" applyBorder="1" applyAlignment="1">
      <s:alignment horizontal="center" mc:Ignorable="vyd"/>
    </s:xf>
    <s:xf numFmtId="3" fontId="16" fillId="21" borderId="24" xfId="0" applyNumberFormat="1" applyFont="1" applyFill="1" applyBorder="1" applyAlignment="1">
      <s:alignment horizontal="right" mc:Ignorable="vyd"/>
    </s:xf>
    <s:xf numFmtId="165" fontId="16" fillId="0" borderId="0" xfId="1" applyNumberFormat="1" applyFont="1" applyProtection="1"/>
    <s:xf numFmtId="9" fontId="30" fillId="0" borderId="0" xfId="1" applyFont="1" applyProtection="1"/>
    <s:xf numFmtId="0" fontId="17" fillId="0" borderId="2" xfId="0" applyFont="1" applyBorder="1" applyAlignment="1">
      <s:alignment horizontal="center" vertical="center" mc:Ignorable="vyd"/>
    </s:xf>
    <s:xf numFmtId="0" fontId="16" fillId="0" borderId="2" xfId="0" applyFont="1" applyBorder="1" applyAlignment="1">
      <s:alignment horizontal="center" vertical="center" mc:Ignorable="vyd"/>
    </s:xf>
    <s:xf numFmtId="0" fontId="16" fillId="0" borderId="3" xfId="0" applyFont="1" applyBorder="1" applyAlignment="1">
      <s:alignment horizontal="center" vertical="center" mc:Ignorable="vyd"/>
    </s:xf>
    <s:xf numFmtId="0" fontId="34" fillId="13" borderId="24" xfId="0" applyFont="1" applyFill="1" applyBorder="1" applyAlignment="1">
      <s:alignment horizontal="center" vertical="center" mc:Ignorable="vyd"/>
    </s:xf>
    <s:xf numFmtId="9" fontId="17" fillId="0" borderId="0" xfId="0" applyNumberFormat="1" applyFont="1" applyAlignment="1">
      <s:alignment horizontal="center" vertical="center" mc:Ignorable="vyd"/>
    </s:xf>
    <s:xf numFmtId="0" fontId="16" fillId="0" borderId="0" xfId="0" applyFont="1" applyAlignment="1">
      <s:alignment horizontal="center" vertical="center" mc:Ignorable="vyd"/>
    </s:xf>
    <s:xf numFmtId="0" fontId="16" fillId="0" borderId="71" xfId="0" applyFont="1" applyBorder="1" applyAlignment="1">
      <s:alignment horizontal="center" vertical="center" mc:Ignorable="vyd"/>
    </s:xf>
    <s:xf numFmtId="0" fontId="21" fillId="22" borderId="73" xfId="0" applyFont="1" applyFill="1" applyBorder="1" applyAlignment="1">
      <s:alignment horizontal="center" vertical="center" wrapText="1" mc:Ignorable="vyd"/>
    </s:xf>
    <s:xf numFmtId="0" fontId="21" fillId="22" borderId="74" xfId="0" applyFont="1" applyFill="1" applyBorder="1" applyAlignment="1">
      <s:alignment horizontal="center" vertical="center" wrapText="1" mc:Ignorable="vyd"/>
    </s:xf>
    <s:xf numFmtId="0" fontId="21" fillId="22" borderId="18" xfId="0" applyFont="1" applyFill="1" applyBorder="1" applyAlignment="1">
      <s:alignment horizontal="center" vertical="center" wrapText="1" mc:Ignorable="vyd"/>
    </s:xf>
    <s:xf numFmtId="0" fontId="21" fillId="22" borderId="47" xfId="0" applyFont="1" applyFill="1" applyBorder="1" applyAlignment="1">
      <s:alignment horizontal="center" vertical="center" wrapText="1" mc:Ignorable="vyd"/>
    </s:xf>
    <s:xf numFmtId="0" fontId="21" fillId="22" borderId="48" xfId="0" applyFont="1" applyFill="1" applyBorder="1" applyAlignment="1">
      <s:alignment horizontal="center" vertical="center" wrapText="1" mc:Ignorable="vyd"/>
    </s:xf>
    <s:xf numFmtId="0" fontId="21" fillId="22" borderId="40" xfId="0" applyFont="1" applyFill="1" applyBorder="1" applyAlignment="1">
      <s:alignment horizontal="center" vertical="center" wrapText="1" mc:Ignorable="vyd"/>
    </s:xf>
    <s:xf numFmtId="0" fontId="21" fillId="22" borderId="75" xfId="0" applyFont="1" applyFill="1" applyBorder="1" applyAlignment="1">
      <s:alignment horizontal="center" vertical="center" wrapText="1" mc:Ignorable="vyd"/>
    </s:xf>
    <s:xf numFmtId="0" fontId="21" fillId="22" borderId="76" xfId="0" applyFont="1" applyFill="1" applyBorder="1" applyAlignment="1">
      <s:alignment horizontal="center" vertical="center" wrapText="1" mc:Ignorable="vyd"/>
    </s:xf>
    <s:xf numFmtId="0" fontId="21" fillId="22" borderId="58" xfId="0" applyFont="1" applyFill="1" applyBorder="1" applyAlignment="1">
      <s:alignment horizontal="center" vertical="center" wrapText="1" mc:Ignorable="vyd"/>
    </s:xf>
    <s:xf numFmtId="0" fontId="21" fillId="22" borderId="77" xfId="0" applyFont="1" applyFill="1" applyBorder="1" applyAlignment="1">
      <s:alignment horizontal="center" vertical="center" wrapText="1" mc:Ignorable="vyd"/>
    </s:xf>
    <s:xf numFmtId="171" fontId="34" fillId="23" borderId="79" xfId="0" applyNumberFormat="1" applyFont="1" applyFill="1" applyBorder="1" applyAlignment="1">
      <s:alignment horizontal="right" vertical="top" wrapText="1" indent="1" mc:Ignorable="vyd"/>
    </s:xf>
    <s:xf numFmtId="171" fontId="34" fillId="23" borderId="76" xfId="0" applyNumberFormat="1" applyFont="1" applyFill="1" applyBorder="1" applyAlignment="1">
      <s:alignment horizontal="right" vertical="top" wrapText="1" mc:Ignorable="vyd"/>
    </s:xf>
    <s:xf numFmtId="171" fontId="34" fillId="23" borderId="80" xfId="0" applyNumberFormat="1" applyFont="1" applyFill="1" applyBorder="1" applyAlignment="1">
      <s:alignment horizontal="right" vertical="top" wrapText="1" indent="1" mc:Ignorable="vyd"/>
    </s:xf>
    <s:xf numFmtId="171" fontId="34" fillId="23" borderId="54" xfId="0" applyNumberFormat="1" applyFont="1" applyFill="1" applyBorder="1" applyAlignment="1">
      <s:alignment horizontal="right" vertical="top" wrapText="1" indent="1" mc:Ignorable="vyd"/>
    </s:xf>
    <s:xf numFmtId="171" fontId="34" fillId="23" borderId="34" xfId="0" applyNumberFormat="1" applyFont="1" applyFill="1" applyBorder="1" applyAlignment="1">
      <s:alignment horizontal="right" vertical="top" wrapText="1" indent="1" mc:Ignorable="vyd"/>
    </s:xf>
    <s:xf numFmtId="171" fontId="34" fillId="23" borderId="35" xfId="0" applyNumberFormat="1" applyFont="1" applyFill="1" applyBorder="1" applyAlignment="1">
      <s:alignment horizontal="right" vertical="top" wrapText="1" indent="1" mc:Ignorable="vyd"/>
    </s:xf>
    <s:xf numFmtId="171" fontId="34" fillId="0" borderId="37" xfId="0" applyNumberFormat="1" applyFont="1" applyBorder="1" applyAlignment="1">
      <s:alignment horizontal="right" vertical="top" wrapText="1" indent="1" mc:Ignorable="vyd"/>
    </s:xf>
    <s:xf numFmtId="171" fontId="34" fillId="0" borderId="75" xfId="0" applyNumberFormat="1" applyFont="1" applyBorder="1" applyAlignment="1">
      <s:alignment horizontal="right" vertical="top" wrapText="1" indent="1" mc:Ignorable="vyd"/>
    </s:xf>
    <s:xf numFmtId="171" fontId="34" fillId="23" borderId="76" xfId="0" applyNumberFormat="1" applyFont="1" applyFill="1" applyBorder="1" applyAlignment="1">
      <s:alignment horizontal="right" vertical="top" wrapText="1" indent="1" mc:Ignorable="vyd"/>
    </s:xf>
    <s:xf numFmtId="171" fontId="34" fillId="23" borderId="81" xfId="0" applyNumberFormat="1" applyFont="1" applyFill="1" applyBorder="1" applyAlignment="1">
      <s:alignment horizontal="right" vertical="top" wrapText="1" indent="1" mc:Ignorable="vyd"/>
    </s:xf>
    <s:xf numFmtId="171" fontId="34" fillId="23" borderId="77" xfId="0" applyNumberFormat="1" applyFont="1" applyFill="1" applyBorder="1" applyAlignment="1">
      <s:alignment horizontal="right" vertical="top" wrapText="1" mc:Ignorable="vyd"/>
    </s:xf>
    <s:xf numFmtId="0" fontId="45" fillId="4" borderId="82" xfId="0" applyFont="1" applyFill="1" applyBorder="1" applyAlignment="1">
      <s:alignment horizontal="left" vertical="top" mc:Ignorable="vyd"/>
    </s:xf>
    <s:xf numFmtId="0" fontId="46" fillId="4" borderId="0" xfId="0" applyFont="1" applyFill="1" applyAlignment="1">
      <s:alignment horizontal="left" vertical="top" mc:Ignorable="vyd"/>
    </s:xf>
    <s:xf numFmtId="0" fontId="45" fillId="4" borderId="0" xfId="0" applyFont="1" applyFill="1" applyAlignment="1">
      <s:alignment horizontal="left" vertical="top" mc:Ignorable="vyd"/>
    </s:xf>
    <s:xf numFmtId="2" fontId="45" fillId="4" borderId="0" xfId="0" applyNumberFormat="1" applyFont="1" applyFill="1" applyAlignment="1">
      <s:alignment horizontal="right" vertical="top" mc:Ignorable="vyd"/>
    </s:xf>
    <s:xf numFmtId="0" fontId="16" fillId="4" borderId="0" xfId="0" applyFont="1" applyFill="1" applyAlignment="1">
      <s:alignment horizontal="left" mc:Ignorable="vyd"/>
    </s:xf>
    <s:xf numFmtId="0" fontId="16" fillId="4" borderId="71" xfId="0" applyFont="1" applyFill="1" applyBorder="1" applyAlignment="1">
      <s:alignment horizontal="left" mc:Ignorable="vyd"/>
    </s:xf>
    <s:xf numFmtId="0" fontId="45" fillId="4" borderId="82" xfId="0" applyFont="1" applyFill="1" applyBorder="1" applyAlignment="1">
      <s:alignment horizontal="center" vertical="center" mc:Ignorable="vyd"/>
    </s:xf>
    <s:xf numFmtId="0" fontId="45" fillId="4" borderId="83" xfId="0" applyFont="1" applyFill="1" applyBorder="1" applyAlignment="1">
      <s:alignment horizontal="center" vertical="center" mc:Ignorable="vyd"/>
    </s:xf>
    <s:xf numFmtId="0" fontId="45" fillId="4" borderId="0" xfId="0" applyFont="1" applyFill="1" applyAlignment="1">
      <s:alignment horizontal="center" vertical="center" mc:Ignorable="vyd"/>
    </s:xf>
    <s:xf numFmtId="0" fontId="16" fillId="4" borderId="0" xfId="0" applyFont="1" applyFill="1" applyAlignment="1">
      <s:alignment horizontal="center" vertical="center" mc:Ignorable="vyd"/>
    </s:xf>
    <s:xf numFmtId="0" fontId="16" fillId="4" borderId="71" xfId="0" applyFont="1" applyFill="1" applyBorder="1" applyAlignment="1">
      <s:alignment horizontal="center" vertical="center" mc:Ignorable="vyd"/>
    </s:xf>
    <s:xf numFmtId="14" fontId="45" fillId="4" borderId="83" xfId="0" applyNumberFormat="1" applyFont="1" applyFill="1" applyBorder="1" applyAlignment="1">
      <s:alignment horizontal="center" vertical="top" mc:Ignorable="vyd"/>
    </s:xf>
    <s:xf numFmtId="4" fontId="45" fillId="4" borderId="83" xfId="0" applyNumberFormat="1" applyFont="1" applyFill="1" applyBorder="1" applyAlignment="1">
      <s:alignment horizontal="right" vertical="top" mc:Ignorable="vyd"/>
    </s:xf>
    <s:xf numFmtId="0" fontId="45" fillId="4" borderId="83" xfId="0" applyFont="1" applyFill="1" applyBorder="1" applyAlignment="1">
      <s:alignment horizontal="left" vertical="top" wrapText="1" mc:Ignorable="vyd"/>
    </s:xf>
    <s:xf numFmtId="0" fontId="45" fillId="24" borderId="82" xfId="0" applyFont="1" applyFill="1" applyBorder="1" applyAlignment="1">
      <s:alignment horizontal="left" vertical="top" mc:Ignorable="vyd"/>
    </s:xf>
    <s:xf numFmtId="0" fontId="45" fillId="24" borderId="0" xfId="0" applyFont="1" applyFill="1" applyAlignment="1">
      <s:alignment horizontal="left" vertical="top" mc:Ignorable="vyd"/>
    </s:xf>
    <s:xf numFmtId="4" fontId="46" fillId="24" borderId="0" xfId="0" applyNumberFormat="1" applyFont="1" applyFill="1" applyAlignment="1">
      <s:alignment horizontal="right" vertical="top" mc:Ignorable="vyd"/>
    </s:xf>
    <s:xf numFmtId="0" fontId="45" fillId="24" borderId="0" xfId="0" applyFont="1" applyFill="1" applyAlignment="1">
      <s:alignment horizontal="right" vertical="top" mc:Ignorable="vyd"/>
    </s:xf>
    <s:xf numFmtId="0" fontId="16" fillId="24" borderId="0" xfId="0" applyFont="1" applyFill="1" applyAlignment="1">
      <s:alignment horizontal="left" mc:Ignorable="vyd"/>
    </s:xf>
    <s:xf numFmtId="2" fontId="46" fillId="24" borderId="0" xfId="0" applyNumberFormat="1" applyFont="1" applyFill="1" applyAlignment="1">
      <s:alignment horizontal="left" vertical="top" mc:Ignorable="vyd"/>
    </s:xf>
    <s:xf numFmtId="2" fontId="45" fillId="24" borderId="0" xfId="0" applyNumberFormat="1" applyFont="1" applyFill="1" applyAlignment="1">
      <s:alignment horizontal="left" vertical="top" mc:Ignorable="vyd"/>
    </s:xf>
    <s:xf numFmtId="0" fontId="16" fillId="24" borderId="71" xfId="0" applyFont="1" applyFill="1" applyBorder="1" applyAlignment="1">
      <s:alignment horizontal="left" mc:Ignorable="vyd"/>
    </s:xf>
    <s:xf numFmtId="0" fontId="45" fillId="4" borderId="0" xfId="0" applyFont="1" applyFill="1" applyAlignment="1">
      <s:alignment horizontal="center" vertical="center" wrapText="1" mc:Ignorable="vyd"/>
    </s:xf>
    <s:xf numFmtId="0" fontId="45" fillId="4" borderId="82" xfId="0" applyFont="1" applyFill="1" applyBorder="1" applyAlignment="1">
      <s:alignment horizontal="center" vertical="center" wrapText="1" mc:Ignorable="vyd"/>
    </s:xf>
    <s:xf numFmtId="0" fontId="46" fillId="4" borderId="0" xfId="0" applyFont="1" applyFill="1" applyAlignment="1">
      <s:alignment horizontal="left" vertical="top" wrapText="1" mc:Ignorable="vyd"/>
    </s:xf>
    <s:xf numFmtId="0" fontId="16" fillId="4" borderId="0" xfId="0" applyFont="1" applyFill="1" applyAlignment="1">
      <s:alignment horizontal="center" vertical="center" wrapText="1" mc:Ignorable="vyd"/>
    </s:xf>
    <s:xf numFmtId="0" fontId="16" fillId="4" borderId="86" xfId="0" applyFont="1" applyFill="1" applyBorder="1" applyAlignment="1">
      <s:alignment horizontal="center" vertical="center" wrapText="1" mc:Ignorable="vyd"/>
    </s:xf>
    <s:xf numFmtId="0" fontId="16" fillId="4" borderId="71" xfId="0" applyFont="1" applyFill="1" applyBorder="1" applyAlignment="1">
      <s:alignment horizontal="center" vertical="center" wrapText="1" mc:Ignorable="vyd"/>
    </s:xf>
    <s:xf numFmtId="0" fontId="45" fillId="4" borderId="83" xfId="0" applyFont="1" applyFill="1" applyBorder="1" applyAlignment="1">
      <s:alignment horizontal="center" vertical="center" wrapText="1" mc:Ignorable="vyd"/>
    </s:xf>
    <s:xf numFmtId="0" fontId="45" fillId="4" borderId="84" xfId="0" applyFont="1" applyFill="1" applyBorder="1" applyAlignment="1">
      <s:alignment horizontal="center" vertical="center" wrapText="1" mc:Ignorable="vyd"/>
    </s:xf>
    <s:xf numFmtId="4" fontId="0" fillId="0" borderId="0" xfId="0" applyNumberFormat="1"/>
    <s:xf numFmtId="1" fontId="45" fillId="4" borderId="83" xfId="0" applyNumberFormat="1" applyFont="1" applyFill="1" applyBorder="1" applyAlignment="1">
      <s:alignment horizontal="center" vertical="top" mc:Ignorable="vyd"/>
    </s:xf>
    <s:xf numFmtId="0" fontId="45" fillId="4" borderId="83" xfId="0" applyFont="1" applyFill="1" applyBorder="1" applyAlignment="1">
      <s:alignment horizontal="left" vertical="top" mc:Ignorable="vyd"/>
    </s:xf>
    <s:xf numFmtId="0" fontId="45" fillId="4" borderId="84" xfId="0" applyFont="1" applyFill="1" applyBorder="1" applyAlignment="1">
      <s:alignment horizontal="left" vertical="top" mc:Ignorable="vyd"/>
    </s:xf>
    <s:xf numFmtId="172" fontId="45" fillId="4" borderId="84" xfId="0" applyNumberFormat="1" applyFont="1" applyFill="1" applyBorder="1" applyAlignment="1">
      <s:alignment horizontal="center" vertical="top" mc:Ignorable="vyd"/>
    </s:xf>
    <s:xf numFmtId="2" fontId="45" fillId="4" borderId="84" xfId="0" applyNumberFormat="1" applyFont="1" applyFill="1" applyBorder="1" applyAlignment="1">
      <s:alignment horizontal="center" vertical="top" mc:Ignorable="vyd"/>
    </s:xf>
    <s:xf numFmtId="2" fontId="46" fillId="4" borderId="83" xfId="0" applyNumberFormat="1" applyFont="1" applyFill="1" applyBorder="1" applyAlignment="1">
      <s:alignment horizontal="right" vertical="center" wrapText="1" indent="1" mc:Ignorable="vyd"/>
    </s:xf>
    <s:xf numFmtId="4" fontId="45" fillId="4" borderId="0" xfId="0" applyNumberFormat="1" applyFont="1" applyFill="1" applyAlignment="1">
      <s:alignment horizontal="left" vertical="top" mc:Ignorable="vyd"/>
    </s:xf>
    <s:xf numFmtId="10" fontId="45" fillId="4" borderId="83" xfId="0" applyNumberFormat="1" applyFont="1" applyFill="1" applyBorder="1" applyAlignment="1">
      <s:alignment horizontal="center" vertical="top" mc:Ignorable="vyd"/>
    </s:xf>
    <s:xf numFmtId="0" fontId="45" fillId="4" borderId="83" xfId="0" applyFont="1" applyFill="1" applyBorder="1" applyAlignment="1">
      <s:alignment horizontal="left" vertical="center" mc:Ignorable="vyd"/>
    </s:xf>
    <s:xf numFmtId="172" fontId="45" fillId="4" borderId="84" xfId="0" applyNumberFormat="1" applyFont="1" applyFill="1" applyBorder="1" applyAlignment="1">
      <s:alignment horizontal="center" vertical="center" wrapText="1" mc:Ignorable="vyd"/>
    </s:xf>
    <s:xf numFmtId="10" fontId="45" fillId="4" borderId="83" xfId="0" applyNumberFormat="1" applyFont="1" applyFill="1" applyBorder="1" applyAlignment="1">
      <s:alignment horizontal="center" vertical="center" wrapText="1" mc:Ignorable="vyd"/>
    </s:xf>
    <s:xf numFmtId="0" fontId="45" fillId="4" borderId="0" xfId="0" applyFont="1" applyFill="1" applyAlignment="1">
      <s:alignment horizontal="left" vertical="center" mc:Ignorable="vyd"/>
    </s:xf>
    <s:xf numFmtId="172" fontId="45" fillId="4" borderId="0" xfId="0" applyNumberFormat="1" applyFont="1" applyFill="1" applyAlignment="1">
      <s:alignment horizontal="center" vertical="center" wrapText="1" mc:Ignorable="vyd"/>
    </s:xf>
    <s:xf numFmtId="2" fontId="46" fillId="4" borderId="0" xfId="0" applyNumberFormat="1" applyFont="1" applyFill="1" applyAlignment="1">
      <s:alignment horizontal="right" vertical="center" wrapText="1" mc:Ignorable="vyd"/>
    </s:xf>
    <s:xf numFmtId="4" fontId="17" fillId="24" borderId="0" xfId="0" applyNumberFormat="1" applyFont="1" applyFill="1" applyAlignment="1">
      <s:alignment horizontal="right" mc:Ignorable="vyd"/>
    </s:xf>
    <s:xf numFmtId="0" fontId="16" fillId="24" borderId="0" xfId="0" applyFont="1" applyFill="1" applyAlignment="1">
      <s:alignment horizontal="right" mc:Ignorable="vyd"/>
    </s:xf>
    <s:xf numFmtId="2" fontId="16" fillId="24" borderId="0" xfId="0" applyNumberFormat="1" applyFont="1" applyFill="1" applyAlignment="1">
      <s:alignment horizontal="left" mc:Ignorable="vyd"/>
    </s:xf>
    <s:xf numFmtId="0" fontId="16" fillId="4" borderId="82" xfId="0" applyFont="1" applyFill="1" applyBorder="1" applyAlignment="1">
      <s:alignment horizontal="left" mc:Ignorable="vyd"/>
    </s:xf>
    <s:xf numFmtId="0" fontId="16" fillId="0" borderId="0" xfId="0" applyFont="1" applyAlignment="1">
      <s:alignment horizontal="left" mc:Ignorable="vyd"/>
    </s:xf>
    <s:xf numFmtId="0" fontId="16" fillId="0" borderId="71" xfId="0" applyFont="1" applyBorder="1"/>
    <s:xf numFmtId="0" fontId="46" fillId="4" borderId="21" xfId="0" applyFont="1" applyFill="1" applyBorder="1" applyAlignment="1">
      <s:alignment horizontal="left" vertical="top" mc:Ignorable="vyd"/>
    </s:xf>
    <s:xf numFmtId="0" fontId="17" fillId="4" borderId="21" xfId="0" applyFont="1" applyFill="1" applyBorder="1" applyAlignment="1">
      <s:alignment horizontal="left" mc:Ignorable="vyd"/>
    </s:xf>
    <s:xf numFmtId="0" fontId="16" fillId="4" borderId="21" xfId="0" applyFont="1" applyFill="1" applyBorder="1" applyAlignment="1">
      <s:alignment horizontal="left" mc:Ignorable="vyd"/>
    </s:xf>
    <s:xf numFmtId="0" fontId="16" fillId="4" borderId="63" xfId="0" applyFont="1" applyFill="1" applyBorder="1" applyAlignment="1">
      <s:alignment horizontal="left" mc:Ignorable="vyd"/>
    </s:xf>
    <s:xf numFmtId="0" fontId="16" fillId="4" borderId="82" xfId="0" applyFont="1" applyFill="1" applyBorder="1" applyAlignment="1">
      <s:alignment horizontal="center" vertical="center" wrapText="1" mc:Ignorable="vyd"/>
    </s:xf>
    <s:xf numFmtId="0" fontId="45" fillId="4" borderId="24" xfId="0" applyFont="1" applyFill="1" applyBorder="1" applyAlignment="1">
      <s:alignment horizontal="center" vertical="center" wrapText="1" mc:Ignorable="vyd"/>
    </s:xf>
    <s:xf numFmtId="0" fontId="45" fillId="4" borderId="26" xfId="0" applyFont="1" applyFill="1" applyBorder="1" applyAlignment="1">
      <s:alignment horizontal="center" vertical="center" wrapText="1" mc:Ignorable="vyd"/>
    </s:xf>
    <s:xf numFmtId="2" fontId="46" fillId="4" borderId="83" xfId="0" applyNumberFormat="1" applyFont="1" applyFill="1" applyBorder="1" applyAlignment="1">
      <s:alignment horizontal="right" vertical="top" indent="1" mc:Ignorable="vyd"/>
    </s:xf>
    <s:xf numFmtId="3" fontId="45" fillId="4" borderId="24" xfId="0" applyNumberFormat="1" applyFont="1" applyFill="1" applyBorder="1" applyAlignment="1">
      <s:alignment horizontal="left" vertical="top" mc:Ignorable="vyd"/>
    </s:xf>
    <s:xf numFmtId="172" fontId="45" fillId="4" borderId="24" xfId="0" applyNumberFormat="1" applyFont="1" applyFill="1" applyBorder="1" applyAlignment="1">
      <s:alignment vertical="top" mc:Ignorable="vyd"/>
    </s:xf>
    <s:xf numFmtId="3" fontId="16" fillId="4" borderId="24" xfId="0" applyNumberFormat="1" applyFont="1" applyFill="1" applyBorder="1" applyAlignment="1">
      <s:alignment vertical="top" mc:Ignorable="vyd"/>
    </s:xf>
    <s:xf numFmtId="10" fontId="45" fillId="4" borderId="24" xfId="0" applyNumberFormat="1" applyFont="1" applyFill="1" applyBorder="1" applyAlignment="1">
      <s:alignment horizontal="center" vertical="top" mc:Ignorable="vyd"/>
    </s:xf>
    <s:xf numFmtId="2" fontId="46" fillId="4" borderId="26" xfId="0" applyNumberFormat="1" applyFont="1" applyFill="1" applyBorder="1" applyAlignment="1">
      <s:alignment horizontal="right" vertical="top" indent="1" mc:Ignorable="vyd"/>
    </s:xf>
    <s:xf numFmtId="4" fontId="45" fillId="4" borderId="83" xfId="0" applyNumberFormat="1" applyFont="1" applyFill="1" applyBorder="1" applyAlignment="1">
      <s:alignment horizontal="right" vertical="center" wrapText="1" mc:Ignorable="vyd"/>
    </s:xf>
    <s:xf numFmtId="3" fontId="45" fillId="4" borderId="24" xfId="0" applyNumberFormat="1" applyFont="1" applyFill="1" applyBorder="1" applyAlignment="1">
      <s:alignment horizontal="left" vertical="top" wrapText="1" mc:Ignorable="vyd"/>
    </s:xf>
    <s:xf numFmtId="0" fontId="45" fillId="4" borderId="24" xfId="0" applyFont="1" applyFill="1" applyBorder="1" applyAlignment="1">
      <s:alignment vertical="center" mc:Ignorable="vyd"/>
    </s:xf>
    <s:xf numFmtId="172" fontId="45" fillId="4" borderId="24" xfId="0" applyNumberFormat="1" applyFont="1" applyFill="1" applyBorder="1" applyAlignment="1">
      <s:alignment vertical="center" wrapText="1" mc:Ignorable="vyd"/>
    </s:xf>
    <s:xf numFmtId="0" fontId="16" fillId="4" borderId="24" xfId="0" applyFont="1" applyFill="1" applyBorder="1" applyAlignment="1">
      <s:alignment vertical="top" wrapText="1" mc:Ignorable="vyd"/>
    </s:xf>
    <s:xf numFmtId="10" fontId="45" fillId="4" borderId="24" xfId="0" applyNumberFormat="1" applyFont="1" applyFill="1" applyBorder="1" applyAlignment="1">
      <s:alignment horizontal="center" vertical="top" wrapText="1" mc:Ignorable="vyd"/>
    </s:xf>
    <s:xf numFmtId="2" fontId="46" fillId="4" borderId="26" xfId="0" applyNumberFormat="1" applyFont="1" applyFill="1" applyBorder="1" applyAlignment="1">
      <s:alignment horizontal="right" vertical="top" wrapText="1" indent="1" mc:Ignorable="vyd"/>
    </s:xf>
    <s:xf numFmtId="0" fontId="3" fillId="0" borderId="6" xfId="0" applyFont="1" applyBorder="1"/>
    <s:xf numFmtId="0" fontId="3" fillId="0" borderId="7" xfId="0" applyFont="1" applyBorder="1"/>
    <s:xf numFmtId="0" fontId="3" fillId="0" borderId="8" xfId="0" applyFont="1" applyBorder="1"/>
    <s:xf numFmtId="0" fontId="21" fillId="22" borderId="11" xfId="0" applyFont="1" applyFill="1" applyBorder="1" applyAlignment="1">
      <s:alignment horizontal="center" vertical="center" wrapText="1" mc:Ignorable="vyd"/>
    </s:xf>
    <s:xf numFmtId="171" fontId="21" fillId="23" borderId="79" xfId="0" applyNumberFormat="1" applyFont="1" applyFill="1" applyBorder="1" applyAlignment="1">
      <s:alignment horizontal="right" vertical="top" wrapText="1" indent="1" mc:Ignorable="vyd"/>
    </s:xf>
    <s:xf numFmtId="171" fontId="21" fillId="23" borderId="76" xfId="0" applyNumberFormat="1" applyFont="1" applyFill="1" applyBorder="1" applyAlignment="1">
      <s:alignment horizontal="right" vertical="top" wrapText="1" mc:Ignorable="vyd"/>
    </s:xf>
    <s:xf numFmtId="171" fontId="21" fillId="23" borderId="80" xfId="0" applyNumberFormat="1" applyFont="1" applyFill="1" applyBorder="1" applyAlignment="1">
      <s:alignment horizontal="right" vertical="top" wrapText="1" indent="1" mc:Ignorable="vyd"/>
    </s:xf>
    <s:xf numFmtId="171" fontId="21" fillId="23" borderId="54" xfId="0" applyNumberFormat="1" applyFont="1" applyFill="1" applyBorder="1" applyAlignment="1">
      <s:alignment horizontal="right" vertical="top" wrapText="1" indent="1" mc:Ignorable="vyd"/>
    </s:xf>
    <s:xf numFmtId="171" fontId="21" fillId="23" borderId="34" xfId="0" applyNumberFormat="1" applyFont="1" applyFill="1" applyBorder="1" applyAlignment="1">
      <s:alignment horizontal="right" vertical="top" wrapText="1" indent="1" mc:Ignorable="vyd"/>
    </s:xf>
    <s:xf numFmtId="171" fontId="21" fillId="23" borderId="35" xfId="0" applyNumberFormat="1" applyFont="1" applyFill="1" applyBorder="1" applyAlignment="1">
      <s:alignment horizontal="right" vertical="top" wrapText="1" indent="1" mc:Ignorable="vyd"/>
    </s:xf>
    <s:xf numFmtId="171" fontId="21" fillId="0" borderId="37" xfId="0" applyNumberFormat="1" applyFont="1" applyBorder="1" applyAlignment="1">
      <s:alignment horizontal="right" vertical="top" wrapText="1" indent="1" mc:Ignorable="vyd"/>
    </s:xf>
    <s:xf numFmtId="14" fontId="45" fillId="4" borderId="0" xfId="0" applyNumberFormat="1" applyFont="1" applyFill="1" applyAlignment="1">
      <s:alignment horizontal="center" vertical="top" mc:Ignorable="vyd"/>
    </s:xf>
    <s:xf numFmtId="4" fontId="45" fillId="4" borderId="0" xfId="0" applyNumberFormat="1" applyFont="1" applyFill="1" applyAlignment="1">
      <s:alignment horizontal="center" vertical="top" mc:Ignorable="vyd"/>
    </s:xf>
    <s:xf numFmtId="0" fontId="45" fillId="4" borderId="0" xfId="0" applyFont="1" applyFill="1" applyAlignment="1">
      <s:alignment horizontal="left" vertical="top" wrapText="1" mc:Ignorable="vyd"/>
    </s:xf>
    <s:xf numFmtId="2" fontId="45" fillId="4" borderId="83" xfId="0" applyNumberFormat="1" applyFont="1" applyFill="1" applyBorder="1" applyAlignment="1">
      <s:alignment horizontal="center" vertical="top" mc:Ignorable="vyd"/>
    </s:xf>
    <s:xf numFmtId="2" fontId="45" fillId="4" borderId="83" xfId="0" applyNumberFormat="1" applyFont="1" applyFill="1" applyBorder="1" applyAlignment="1">
      <s:alignment horizontal="center" vertical="center" wrapText="1" mc:Ignorable="vyd"/>
    </s:xf>
    <s:xf numFmtId="4" fontId="45" fillId="4" borderId="0" xfId="0" applyNumberFormat="1" applyFont="1" applyFill="1" applyAlignment="1">
      <s:alignment horizontal="right" vertical="top" mc:Ignorable="vyd"/>
    </s:xf>
    <s:xf numFmtId="0" fontId="34" fillId="25" borderId="87" xfId="0" applyFont="1" applyFill="1" applyBorder="1"/>
    <s:xf numFmtId="173" fontId="47" fillId="26" borderId="88" xfId="0" applyNumberFormat="1" applyFont="1" applyFill="1" applyBorder="1" applyAlignment="1" applyProtection="1">
      <s:alignment horizontal="left" mc:Ignorable="vyd"/>
      <s:protection locked="0"/>
    </s:xf>
    <s:xf numFmtId="0" fontId="21" fillId="25" borderId="89" xfId="0" applyFont="1" applyFill="1" applyBorder="1"/>
    <s:xf numFmtId="0" fontId="48" fillId="26" borderId="90" xfId="0" applyFont="1" applyFill="1" applyBorder="1" applyProtection="1">
      <s:protection locked="0"/>
    </s:xf>
    <s:xf numFmtId="0" fontId="49" fillId="25" borderId="0" xfId="0" applyFont="1" applyFill="1" applyAlignment="1">
      <s:alignment vertical="center" mc:Ignorable="vyd"/>
    </s:xf>
    <s:xf numFmtId="0" fontId="21" fillId="25" borderId="0" xfId="0" applyFont="1" applyFill="1"/>
    <s:xf numFmtId="0" fontId="48" fillId="27" borderId="91" xfId="0" applyFont="1" applyFill="1" applyBorder="1"/>
    <s:xf numFmtId="0" fontId="49" fillId="28" borderId="0" xfId="0" applyFont="1" applyFill="1" applyAlignment="1">
      <s:alignment vertical="center" mc:Ignorable="vyd"/>
    </s:xf>
    <s:xf numFmtId="0" fontId="21" fillId="28" borderId="0" xfId="0" applyFont="1" applyFill="1"/>
    <s:xf numFmtId="0" fontId="50" fillId="27" borderId="91" xfId="0" applyFont="1" applyFill="1" applyBorder="1"/>
    <s:xf numFmtId="0" fontId="48" fillId="27" borderId="92" xfId="0" applyFont="1" applyFill="1" applyBorder="1"/>
    <s:xf numFmtId="0" fontId="53" fillId="25" borderId="93" xfId="0" applyFont="1" applyFill="1" applyBorder="1" applyAlignment="1">
      <s:alignment horizontal="center" wrapText="1" mc:Ignorable="vyd"/>
    </s:xf>
    <s:xf numFmtId="0" fontId="34" fillId="25" borderId="96" xfId="0" applyFont="1" applyFill="1" applyBorder="1" applyAlignment="1">
      <s:alignment horizontal="center" mc:Ignorable="vyd"/>
    </s:xf>
    <s:xf numFmtId="0" fontId="21" fillId="29" borderId="0" xfId="0" applyFont="1" applyFill="1"/>
    <s:xf numFmtId="0" fontId="34" fillId="25" borderId="97" xfId="0" applyFont="1" applyFill="1" applyBorder="1"/>
    <s:xf numFmtId="2" fontId="53" fillId="25" borderId="98" xfId="0" applyNumberFormat="1" applyFont="1" applyFill="1" applyBorder="1" applyAlignment="1">
      <s:alignment horizontal="center" mc:Ignorable="vyd"/>
    </s:xf>
    <s:xf numFmtId="3" fontId="54" fillId="25" borderId="93" xfId="0" applyNumberFormat="1" applyFont="1" applyFill="1" applyBorder="1" applyAlignment="1">
      <s:alignment horizontal="center" mc:Ignorable="vyd"/>
    </s:xf>
    <s:xf numFmtId="10" fontId="21" fillId="29" borderId="0" xfId="0" applyNumberFormat="1" applyFont="1" applyFill="1"/>
    <s:xf numFmtId="0" fontId="34" fillId="25" borderId="99" xfId="0" applyFont="1" applyFill="1" applyBorder="1"/>
    <s:xf numFmtId="0" fontId="21" fillId="25" borderId="95" xfId="0" applyFont="1" applyFill="1" applyBorder="1"/>
    <s:xf numFmtId="0" fontId="21" fillId="25" borderId="100" xfId="0" applyFont="1" applyFill="1" applyBorder="1"/>
    <s:xf numFmtId="0" fontId="34" fillId="30" borderId="101" xfId="0" applyFont="1" applyFill="1" applyBorder="1" applyAlignment="1" applyProtection="1">
      <s:alignment wrapText="1" mc:Ignorable="vyd"/>
      <s:protection locked="0"/>
    </s:xf>
    <s:xf numFmtId="0" fontId="21" fillId="31" borderId="102" xfId="0" applyFont="1" applyFill="1" applyBorder="1"/>
    <s:xf numFmtId="0" fontId="34" fillId="32" borderId="102" xfId="0" applyFont="1" applyFill="1" applyBorder="1" applyAlignment="1">
      <s:alignment horizontal="center" vertical="center" wrapText="1" mc:Ignorable="vyd"/>
    </s:xf>
    <s:xf numFmtId="0" fontId="21" fillId="25" borderId="103" xfId="0" applyFont="1" applyFill="1" applyBorder="1"/>
    <s:xf numFmtId="0" fontId="21" fillId="25" borderId="104" xfId="0" applyFont="1" applyFill="1" applyBorder="1"/>
    <s:xf numFmtId="0" fontId="21" fillId="31" borderId="104" xfId="0" applyFont="1" applyFill="1" applyBorder="1"/>
    <s:xf numFmtId="0" fontId="34" fillId="32" borderId="105" xfId="0" applyFont="1" applyFill="1" applyBorder="1" applyAlignment="1">
      <s:alignment horizontal="center" vertical="center" wrapText="1" mc:Ignorable="vyd"/>
    </s:xf>
    <s:xf numFmtId="0" fontId="34" fillId="25" borderId="9" xfId="0" applyFont="1" applyFill="1" applyBorder="1" applyAlignment="1">
      <s:alignment vertical="center" wrapText="1" mc:Ignorable="vyd"/>
    </s:xf>
    <s:xf numFmtId="0" fontId="34" fillId="25" borderId="106" xfId="0" applyFont="1" applyFill="1" applyBorder="1" applyAlignment="1">
      <s:alignment horizontal="center" vertical="center" mc:Ignorable="vyd"/>
    </s:xf>
    <s:xf numFmtId="0" fontId="54" fillId="25" borderId="107" xfId="0" applyFont="1" applyFill="1" applyBorder="1" applyAlignment="1">
      <s:alignment horizontal="center" vertical="center" mc:Ignorable="vyd"/>
    </s:xf>
    <s:xf numFmtId="0" fontId="54" fillId="25" borderId="101" xfId="0" applyFont="1" applyFill="1" applyBorder="1" applyAlignment="1">
      <s:alignment horizontal="center" vertical="center" mc:Ignorable="vyd"/>
    </s:xf>
    <s:xf numFmtId="0" fontId="54" fillId="31" borderId="101" xfId="0" applyFont="1" applyFill="1" applyBorder="1" applyAlignment="1">
      <s:alignment horizontal="center" vertical="center" mc:Ignorable="vyd"/>
    </s:xf>
    <s:xf numFmtId="0" fontId="34" fillId="32" borderId="101" xfId="0" applyFont="1" applyFill="1" applyBorder="1" applyAlignment="1">
      <s:alignment horizontal="center" vertical="center" wrapText="1" mc:Ignorable="vyd"/>
    </s:xf>
    <s:xf numFmtId="0" fontId="34" fillId="32" borderId="108" xfId="0" applyFont="1" applyFill="1" applyBorder="1" applyAlignment="1">
      <s:alignment horizontal="center" vertical="center" wrapText="1" mc:Ignorable="vyd"/>
    </s:xf>
    <s:xf numFmtId="0" fontId="34" fillId="25" borderId="88" xfId="0" applyFont="1" applyFill="1" applyBorder="1"/>
    <s:xf numFmtId="0" fontId="55" fillId="0" borderId="111" xfId="0" applyFont="1" applyBorder="1"/>
    <s:xf numFmtId="0" fontId="21" fillId="0" borderId="112" xfId="0" applyFont="1" applyBorder="1"/>
    <s:xf numFmtId="0" fontId="3" fillId="0" borderId="112" xfId="0" applyFont="1" applyBorder="1"/>
    <s:xf numFmtId="0" fontId="21" fillId="0" borderId="113" xfId="0" applyFont="1" applyBorder="1"/>
    <s:xf numFmtId="3" fontId="21" fillId="31" borderId="19" xfId="0" applyNumberFormat="1" applyFont="1" applyFill="1" applyBorder="1" applyAlignment="1">
      <s:alignment horizontal="center" mc:Ignorable="vyd"/>
    </s:xf>
    <s:xf numFmtId="3" fontId="21" fillId="32" borderId="111" xfId="0" applyNumberFormat="1" applyFont="1" applyFill="1" applyBorder="1" applyAlignment="1">
      <s:alignment horizontal="center" mc:Ignorable="vyd"/>
    </s:xf>
    <s:xf numFmtId="3" fontId="21" fillId="32" borderId="112" xfId="0" applyNumberFormat="1" applyFont="1" applyFill="1" applyBorder="1" applyAlignment="1">
      <s:alignment horizontal="center" mc:Ignorable="vyd"/>
    </s:xf>
    <s:xf numFmtId="3" fontId="21" fillId="0" borderId="112" xfId="0" applyNumberFormat="1" applyFont="1" applyBorder="1" applyAlignment="1">
      <s:alignment horizontal="center" mc:Ignorable="vyd"/>
    </s:xf>
    <s:xf numFmtId="0" fontId="34" fillId="25" borderId="90" xfId="0" applyFont="1" applyFill="1" applyBorder="1"/>
    <s:xf numFmtId="0" fontId="55" fillId="0" borderId="114" xfId="0" applyFont="1" applyBorder="1"/>
    <s:xf numFmtId="0" fontId="21" fillId="0" borderId="115" xfId="0" applyFont="1" applyBorder="1"/>
    <s:xf numFmtId="0" fontId="3" fillId="0" borderId="115" xfId="0" applyFont="1" applyBorder="1"/>
    <s:xf numFmtId="0" fontId="21" fillId="0" borderId="116" xfId="0" applyFont="1" applyBorder="1"/>
    <s:xf numFmtId="3" fontId="21" fillId="31" borderId="24" xfId="0" applyNumberFormat="1" applyFont="1" applyFill="1" applyBorder="1" applyAlignment="1">
      <s:alignment horizontal="center" mc:Ignorable="vyd"/>
    </s:xf>
    <s:xf numFmtId="3" fontId="21" fillId="32" borderId="114" xfId="0" applyNumberFormat="1" applyFont="1" applyFill="1" applyBorder="1" applyAlignment="1">
      <s:alignment horizontal="center" mc:Ignorable="vyd"/>
    </s:xf>
    <s:xf numFmtId="3" fontId="21" fillId="32" borderId="115" xfId="0" applyNumberFormat="1" applyFont="1" applyFill="1" applyBorder="1" applyAlignment="1">
      <s:alignment horizontal="center" mc:Ignorable="vyd"/>
    </s:xf>
    <s:xf numFmtId="3" fontId="21" fillId="0" borderId="115" xfId="0" applyNumberFormat="1" applyFont="1" applyBorder="1" applyAlignment="1">
      <s:alignment horizontal="center" mc:Ignorable="vyd"/>
    </s:xf>
    <s:xf numFmtId="0" fontId="55" fillId="0" borderId="114" xfId="0" applyFont="1" applyBorder="1" applyProtection="1">
      <s:protection locked="0"/>
    </s:xf>
    <s:xf numFmtId="0" fontId="55" fillId="0" borderId="115" xfId="0" applyFont="1" applyBorder="1" applyProtection="1">
      <s:protection locked="0"/>
    </s:xf>
    <s:xf numFmtId="0" fontId="3" fillId="0" borderId="115" xfId="0" applyFont="1" applyBorder="1" applyProtection="1">
      <s:protection locked="0"/>
    </s:xf>
    <s:xf numFmtId="0" fontId="55" fillId="0" borderId="24" xfId="0" applyFont="1" applyBorder="1"/>
    <s:xf numFmtId="0" fontId="55" fillId="0" borderId="0" xfId="0" applyFont="1" applyProtection="1">
      <s:protection locked="0"/>
    </s:xf>
    <s:xf numFmtId="0" fontId="55" fillId="0" borderId="116" xfId="0" applyFont="1" applyBorder="1" applyProtection="1">
      <s:protection locked="0"/>
    </s:xf>
    <s:xf numFmtId="0" fontId="49" fillId="0" borderId="114" xfId="0" applyFont="1" applyBorder="1" applyProtection="1">
      <s:protection locked="0"/>
    </s:xf>
    <s:xf numFmtId="0" fontId="49" fillId="0" borderId="115" xfId="0" applyFont="1" applyBorder="1" applyProtection="1">
      <s:protection locked="0"/>
    </s:xf>
    <s:xf numFmtId="0" fontId="49" fillId="0" borderId="24" xfId="0" applyFont="1" applyBorder="1"/>
    <s:xf numFmtId="0" fontId="34" fillId="33" borderId="90" xfId="0" applyFont="1" applyFill="1" applyBorder="1" applyProtection="1">
      <s:protection locked="0"/>
    </s:xf>
    <s:xf numFmtId="0" fontId="49" fillId="34" borderId="24" xfId="0" applyFont="1" applyFill="1" applyBorder="1"/>
    <s:xf numFmtId="0" fontId="49" fillId="35" borderId="24" xfId="0" applyFont="1" applyFill="1" applyBorder="1"/>
    <s:xf numFmtId="0" fontId="55" fillId="19" borderId="24" xfId="0" applyFont="1" applyFill="1" applyBorder="1"/>
    <s:xf numFmtId="0" fontId="55" fillId="19" borderId="115" xfId="0" applyFont="1" applyFill="1" applyBorder="1" applyProtection="1">
      <s:protection locked="0"/>
    </s:xf>
    <s:xf numFmtId="0" fontId="55" fillId="19" borderId="117" xfId="0" applyFont="1" applyFill="1" applyBorder="1" applyProtection="1">
      <s:protection locked="0"/>
    </s:xf>
    <s:xf numFmtId="3" fontId="21" fillId="36" borderId="24" xfId="0" applyNumberFormat="1" applyFont="1" applyFill="1" applyBorder="1" applyAlignment="1" applyProtection="1">
      <s:alignment horizontal="center" mc:Ignorable="vyd"/>
      <s:protection hidden="1"/>
    </s:xf>
    <s:xf numFmtId="3" fontId="21" fillId="37" borderId="114" xfId="0" applyNumberFormat="1" applyFont="1" applyFill="1" applyBorder="1" applyAlignment="1" applyProtection="1">
      <s:alignment horizontal="center" mc:Ignorable="vyd"/>
      <s:protection hidden="1"/>
    </s:xf>
    <s:xf numFmtId="3" fontId="21" fillId="37" borderId="115" xfId="0" applyNumberFormat="1" applyFont="1" applyFill="1" applyBorder="1" applyAlignment="1" applyProtection="1">
      <s:alignment horizontal="center" mc:Ignorable="vyd"/>
      <s:protection hidden="1"/>
    </s:xf>
    <s:xf numFmtId="3" fontId="21" fillId="0" borderId="115" xfId="0" applyNumberFormat="1" applyFont="1" applyBorder="1" applyAlignment="1" applyProtection="1">
      <s:alignment horizontal="center" mc:Ignorable="vyd"/>
      <s:protection hidden="1"/>
    </s:xf>
    <s:xf numFmtId="0" fontId="21" fillId="0" borderId="115" xfId="0" applyFont="1" applyBorder="1" applyAlignment="1" applyProtection="1">
      <s:alignment horizontal="center" mc:Ignorable="vyd"/>
      <s:protection locked="0"/>
    </s:xf>
    <s:xf numFmtId="0" fontId="56" fillId="25" borderId="90" xfId="0" applyFont="1" applyFill="1" applyBorder="1"/>
    <s:xf numFmtId="0" fontId="57" fillId="35" borderId="24" xfId="0" applyFont="1" applyFill="1" applyBorder="1"/>
    <s:xf numFmtId="3" fontId="55" fillId="31" borderId="24" xfId="0" applyNumberFormat="1" applyFont="1" applyFill="1" applyBorder="1" applyAlignment="1">
      <s:alignment horizontal="center" mc:Ignorable="vyd"/>
    </s:xf>
    <s:xf numFmtId="3" fontId="55" fillId="32" borderId="114" xfId="0" applyNumberFormat="1" applyFont="1" applyFill="1" applyBorder="1" applyAlignment="1">
      <s:alignment horizontal="center" mc:Ignorable="vyd"/>
    </s:xf>
    <s:xf numFmtId="3" fontId="55" fillId="32" borderId="115" xfId="0" applyNumberFormat="1" applyFont="1" applyFill="1" applyBorder="1" applyAlignment="1">
      <s:alignment horizontal="center" mc:Ignorable="vyd"/>
    </s:xf>
    <s:xf numFmtId="3" fontId="55" fillId="0" borderId="115" xfId="0" applyNumberFormat="1" applyFont="1" applyBorder="1" applyAlignment="1">
      <s:alignment horizontal="center" mc:Ignorable="vyd"/>
    </s:xf>
    <s:xf numFmtId="0" fontId="34" fillId="33" borderId="118" xfId="0" applyFont="1" applyFill="1" applyBorder="1" applyProtection="1">
      <s:protection locked="0"/>
    </s:xf>
    <s:xf numFmtId="0" fontId="49" fillId="0" borderId="24" xfId="0" applyFont="1" applyBorder="1" applyProtection="1">
      <s:protection locked="0"/>
    </s:xf>
    <s:xf numFmtId="0" fontId="55" fillId="38" borderId="115" xfId="0" applyFont="1" applyFill="1" applyBorder="1" applyProtection="1">
      <s:protection locked="0"/>
    </s:xf>
    <s:xf numFmtId="0" fontId="55" fillId="38" borderId="24" xfId="0" applyFont="1" applyFill="1" applyBorder="1"/>
    <s:xf numFmtId="0" fontId="55" fillId="39" borderId="115" xfId="0" applyFont="1" applyFill="1" applyBorder="1" applyProtection="1">
      <s:protection locked="0"/>
    </s:xf>
    <s:xf numFmtId="0" fontId="49" fillId="19" borderId="24" xfId="0" applyFont="1" applyFill="1" applyBorder="1"/>
    <s:xf numFmtId="3" fontId="21" fillId="36" borderId="23" xfId="0" applyNumberFormat="1" applyFont="1" applyFill="1" applyBorder="1" applyAlignment="1" applyProtection="1">
      <s:alignment horizontal="center" mc:Ignorable="vyd"/>
      <s:protection hidden="1"/>
    </s:xf>
    <s:xf numFmtId="3" fontId="21" fillId="0" borderId="117" xfId="0" applyNumberFormat="1" applyFont="1" applyBorder="1" applyAlignment="1" applyProtection="1">
      <s:alignment horizontal="center" mc:Ignorable="vyd"/>
      <s:protection hidden="1"/>
    </s:xf>
    <s:xf numFmtId="0" fontId="49" fillId="0" borderId="119" xfId="0" applyFont="1" applyBorder="1" applyProtection="1">
      <s:protection locked="0"/>
    </s:xf>
    <s:xf numFmtId="0" fontId="56" fillId="25" borderId="120" xfId="0" applyFont="1" applyFill="1" applyBorder="1"/>
    <s:xf numFmtId="0" fontId="49" fillId="0" borderId="31" xfId="0" applyFont="1" applyBorder="1" applyProtection="1">
      <s:protection locked="0"/>
    </s:xf>
    <s:xf numFmtId="0" fontId="49" fillId="0" borderId="30" xfId="0" applyFont="1" applyBorder="1" applyProtection="1">
      <s:protection locked="0"/>
    </s:xf>
    <s:xf numFmtId="0" fontId="58" fillId="0" borderId="24" xfId="0" applyFont="1" applyBorder="1"/>
    <s:xf numFmtId="0" fontId="49" fillId="0" borderId="0" xfId="0" applyFont="1"/>
    <s:xf numFmtId="0" fontId="49" fillId="0" borderId="23" xfId="0" applyFont="1" applyBorder="1"/>
    <s:xf numFmtId="3" fontId="55" fillId="31" borderId="28" xfId="0" applyNumberFormat="1" applyFont="1" applyFill="1" applyBorder="1" applyAlignment="1">
      <s:alignment horizontal="center" mc:Ignorable="vyd"/>
    </s:xf>
    <s:xf numFmtId="3" fontId="55" fillId="32" borderId="117" xfId="0" applyNumberFormat="1" applyFont="1" applyFill="1" applyBorder="1" applyAlignment="1">
      <s:alignment horizontal="center" mc:Ignorable="vyd"/>
    </s:xf>
    <s:xf numFmtId="3" fontId="55" fillId="0" borderId="117" xfId="0" applyNumberFormat="1" applyFont="1" applyBorder="1" applyAlignment="1">
      <s:alignment horizontal="center" mc:Ignorable="vyd"/>
    </s:xf>
    <s:xf numFmtId="3" fontId="34" fillId="25" borderId="121" xfId="0" applyNumberFormat="1" applyFont="1" applyFill="1" applyBorder="1" applyAlignment="1">
      <s:alignment horizontal="center" mc:Ignorable="vyd"/>
    </s:xf>
    <s:xf numFmtId="3" fontId="34" fillId="31" borderId="101" xfId="0" applyNumberFormat="1" applyFont="1" applyFill="1" applyBorder="1" applyAlignment="1">
      <s:alignment horizontal="center" mc:Ignorable="vyd"/>
    </s:xf>
    <s:xf numFmtId="3" fontId="34" fillId="31" borderId="122" xfId="0" applyNumberFormat="1" applyFont="1" applyFill="1" applyBorder="1" applyAlignment="1">
      <s:alignment horizontal="center" mc:Ignorable="vyd"/>
    </s:xf>
    <s:xf numFmtId="3" fontId="34" fillId="31" borderId="121" xfId="0" applyNumberFormat="1" applyFont="1" applyFill="1" applyBorder="1" applyAlignment="1">
      <s:alignment horizontal="center" mc:Ignorable="vyd"/>
    </s:xf>
    <s:xf numFmtId="3" fontId="34" fillId="31" borderId="108" xfId="0" applyNumberFormat="1" applyFont="1" applyFill="1" applyBorder="1" applyAlignment="1">
      <s:alignment horizontal="center" mc:Ignorable="vyd"/>
    </s:xf>
    <s:xf numFmtId="3" fontId="34" fillId="31" borderId="12" xfId="0" applyNumberFormat="1" applyFont="1" applyFill="1" applyBorder="1" applyAlignment="1">
      <s:alignment horizontal="center" mc:Ignorable="vyd"/>
    </s:xf>
    <s:xf numFmtId="3" fontId="34" fillId="31" borderId="13" xfId="0" applyNumberFormat="1" applyFont="1" applyFill="1" applyBorder="1" applyAlignment="1">
      <s:alignment horizontal="center" mc:Ignorable="vyd"/>
    </s:xf>
    <s:xf numFmtId="164" fontId="5" fillId="2" borderId="0" xfId="0" applyNumberFormat="1" applyFont="1" applyFill="1" applyAlignment="1">
      <s:alignment horizontal="center" vertical="center" mc:Ignorable="vyd"/>
    </s:xf>
    <s:xf numFmtId="0" fontId="7" fillId="2" borderId="0" xfId="0" applyFont="1" applyFill="1" applyAlignment="1">
      <s:alignment horizontal="center" mc:Ignorable="vyd"/>
    </s:xf>
    <s:xf numFmtId="0" fontId="8" fillId="2" borderId="0" xfId="0" applyFont="1" applyFill="1" applyAlignment="1">
      <s:alignment horizontal="center" vertical="top" mc:Ignorable="vyd"/>
    </s:xf>
    <s:xf numFmtId="0" fontId="9" fillId="2" borderId="0" xfId="0" applyFont="1" applyFill="1" applyAlignment="1">
      <s:alignment horizontal="left" vertical="top" mc:Ignorable="vyd"/>
    </s:xf>
    <s:xf numFmtId="0" fontId="12" fillId="3" borderId="1" xfId="0" applyFont="1" applyFill="1" applyBorder="1" applyAlignment="1">
      <s:alignment horizontal="center" vertical="center" wrapText="1" mc:Ignorable="vyd"/>
    </s:xf>
    <s:xf numFmtId="0" fontId="12" fillId="3" borderId="2" xfId="0" applyFont="1" applyFill="1" applyBorder="1" applyAlignment="1">
      <s:alignment horizontal="center" vertical="center" wrapText="1" mc:Ignorable="vyd"/>
    </s:xf>
    <s:xf numFmtId="0" fontId="12" fillId="3" borderId="3" xfId="0" applyFont="1" applyFill="1" applyBorder="1" applyAlignment="1">
      <s:alignment horizontal="center" vertical="center" wrapText="1" mc:Ignorable="vyd"/>
    </s:xf>
    <s:xf numFmtId="0" fontId="12" fillId="3" borderId="6" xfId="0" applyFont="1" applyFill="1" applyBorder="1" applyAlignment="1">
      <s:alignment horizontal="center" vertical="center" wrapText="1" mc:Ignorable="vyd"/>
    </s:xf>
    <s:xf numFmtId="0" fontId="12" fillId="3" borderId="7" xfId="0" applyFont="1" applyFill="1" applyBorder="1" applyAlignment="1">
      <s:alignment horizontal="center" vertical="center" wrapText="1" mc:Ignorable="vyd"/>
    </s:xf>
    <s:xf numFmtId="0" fontId="12" fillId="3" borderId="8" xfId="0" applyFont="1" applyFill="1" applyBorder="1" applyAlignment="1">
      <s:alignment horizontal="center" vertical="center" wrapText="1" mc:Ignorable="vyd"/>
    </s:xf>
    <s:xf numFmtId="3" fontId="11" fillId="2" borderId="1" xfId="0" applyNumberFormat="1" applyFont="1" applyFill="1" applyBorder="1" applyAlignment="1">
      <s:alignment horizontal="center" mc:Ignorable="vyd"/>
    </s:xf>
    <s:xf numFmtId="3" fontId="11" fillId="2" borderId="4" xfId="0" applyNumberFormat="1" applyFont="1" applyFill="1" applyBorder="1" applyAlignment="1">
      <s:alignment horizontal="center" mc:Ignorable="vyd"/>
    </s:xf>
    <s:xf numFmtId="0" fontId="6" fillId="2" borderId="0" xfId="0" applyFont="1" applyFill="1" applyAlignment="1">
      <s:alignment horizontal="center" vertical="top" mc:Ignorable="vyd"/>
    </s:xf>
    <s:xf numFmtId="0" fontId="17" fillId="2" borderId="11" xfId="0" applyFont="1" applyFill="1" applyBorder="1" applyAlignment="1">
      <s:alignment horizontal="left" vertical="center" wrapText="1" mc:Ignorable="vyd"/>
    </s:xf>
    <s:xf numFmtId="0" fontId="17" fillId="2" borderId="2" xfId="0" applyFont="1" applyFill="1" applyBorder="1" applyAlignment="1">
      <s:alignment horizontal="left" vertical="center" wrapText="1" mc:Ignorable="vyd"/>
    </s:xf>
    <s:xf numFmtId="0" fontId="17" fillId="2" borderId="3" xfId="0" applyFont="1" applyFill="1" applyBorder="1" applyAlignment="1">
      <s:alignment horizontal="left" vertical="center" wrapText="1" mc:Ignorable="vyd"/>
    </s:xf>
    <s:xf numFmtId="0" fontId="17" fillId="2" borderId="14" xfId="0" applyFont="1" applyFill="1" applyBorder="1" applyAlignment="1">
      <s:alignment horizontal="center" vertical="center" wrapText="1" mc:Ignorable="vyd"/>
    </s:xf>
    <s:xf numFmtId="0" fontId="17" fillId="2" borderId="4" xfId="0" applyFont="1" applyFill="1" applyBorder="1" applyAlignment="1">
      <s:alignment horizontal="center" vertical="center" wrapText="1" mc:Ignorable="vyd"/>
    </s:xf>
    <s:xf numFmtId="0" fontId="19" fillId="0" borderId="15" xfId="0" applyFont="1" applyBorder="1" applyAlignment="1">
      <s:alignment horizontal="left" vertical="center" mc:Ignorable="vyd"/>
    </s:xf>
    <s:xf numFmtId="0" fontId="19" fillId="0" borderId="16" xfId="0" applyFont="1" applyBorder="1" applyAlignment="1">
      <s:alignment horizontal="left" vertical="center" mc:Ignorable="vyd"/>
    </s:xf>
    <s:xf numFmtId="0" fontId="19" fillId="0" borderId="17" xfId="0" applyFont="1" applyBorder="1" applyAlignment="1">
      <s:alignment horizontal="left" vertical="center" mc:Ignorable="vyd"/>
    </s:xf>
    <s:xf numFmtId="0" fontId="16" fillId="0" borderId="15" xfId="0" applyFont="1" applyBorder="1" applyAlignment="1">
      <s:alignment horizontal="left" vertical="center" mc:Ignorable="vyd"/>
    </s:xf>
    <s:xf numFmtId="0" fontId="16" fillId="0" borderId="16" xfId="0" applyFont="1" applyBorder="1" applyAlignment="1">
      <s:alignment horizontal="left" vertical="center" mc:Ignorable="vyd"/>
    </s:xf>
    <s:xf numFmtId="0" fontId="16" fillId="0" borderId="17" xfId="0" applyFont="1" applyBorder="1" applyAlignment="1">
      <s:alignment horizontal="left" vertical="center" mc:Ignorable="vyd"/>
    </s:xf>
    <s:xf numFmtId="165" fontId="16" fillId="6" borderId="27" xfId="1" applyNumberFormat="1" applyFont="1" applyFill="1" applyBorder="1" applyAlignment="1" applyProtection="1">
      <s:alignment horizontal="center" vertical="center" wrapText="1" mc:Ignorable="vyd"/>
    </s:xf>
    <s:xf numFmtId="165" fontId="16" fillId="6" borderId="28" xfId="1" applyNumberFormat="1" applyFont="1" applyFill="1" applyBorder="1" applyAlignment="1" applyProtection="1">
      <s:alignment horizontal="center" vertical="center" wrapText="1" mc:Ignorable="vyd"/>
    </s:xf>
    <s:xf numFmtId="165" fontId="16" fillId="6" borderId="20" xfId="1" applyNumberFormat="1" applyFont="1" applyFill="1" applyBorder="1" applyAlignment="1" applyProtection="1">
      <s:alignment horizontal="center" vertical="center" wrapText="1" mc:Ignorable="vyd"/>
    </s:xf>
    <s:xf numFmtId="165" fontId="16" fillId="6" borderId="29" xfId="1" applyNumberFormat="1" applyFont="1" applyFill="1" applyBorder="1" applyAlignment="1" applyProtection="1">
      <s:alignment horizontal="center" vertical="center" wrapText="1" mc:Ignorable="vyd"/>
    </s:xf>
    <s:xf numFmtId="165" fontId="16" fillId="6" borderId="24" xfId="1" applyNumberFormat="1" applyFont="1" applyFill="1" applyBorder="1" applyAlignment="1" applyProtection="1">
      <s:alignment horizontal="center" vertical="center" wrapText="1" mc:Ignorable="vyd"/>
    </s:xf>
    <s:xf numFmtId="0" fontId="19" fillId="0" borderId="32" xfId="0" applyFont="1" applyBorder="1" applyAlignment="1">
      <s:alignment horizontal="left" vertical="center" mc:Ignorable="vyd"/>
    </s:xf>
    <s:xf numFmtId="0" fontId="15" fillId="10" borderId="24" xfId="0" applyFont="1" applyFill="1" applyBorder="1" applyAlignment="1">
      <s:alignment horizontal="center" vertical="center" mc:Ignorable="vyd"/>
    </s:xf>
    <s:xf numFmtId="0" fontId="17" fillId="10" borderId="24" xfId="0" applyFont="1" applyFill="1" applyBorder="1" applyAlignment="1">
      <s:alignment horizontal="center" vertical="center" wrapText="1" mc:Ignorable="vyd"/>
    </s:xf>
    <s:xf numFmtId="0" fontId="25" fillId="10" borderId="24" xfId="0" applyFont="1" applyFill="1" applyBorder="1" applyAlignment="1">
      <s:alignment horizontal="center" vertical="center" mc:Ignorable="vyd"/>
    </s:xf>
    <s:xf numFmtId="0" fontId="17" fillId="13" borderId="24" xfId="0" applyFont="1" applyFill="1" applyBorder="1" applyAlignment="1">
      <s:alignment horizontal="center" vertical="top" mc:Ignorable="vyd"/>
    </s:xf>
    <s:xf numFmtId="0" fontId="2" fillId="0" borderId="0" xfId="0" applyFont="1"/>
    <s:xf numFmtId="0" fontId="15" fillId="5" borderId="9" xfId="0" applyFont="1" applyFill="1" applyBorder="1" applyAlignment="1">
      <s:alignment horizontal="center" vertical="center" mc:Ignorable="vyd"/>
    </s:xf>
    <s:xf numFmtId="0" fontId="15" fillId="5" borderId="10" xfId="0" applyFont="1" applyFill="1" applyBorder="1" applyAlignment="1">
      <s:alignment horizontal="center" vertical="center" mc:Ignorable="vyd"/>
    </s:xf>
    <s:xf numFmtId="0" fontId="15" fillId="5" borderId="4" xfId="0" applyFont="1" applyFill="1" applyBorder="1" applyAlignment="1">
      <s:alignment horizontal="center" vertical="center" mc:Ignorable="vyd"/>
    </s:xf>
    <s:xf numFmtId="0" fontId="17" fillId="5" borderId="38" xfId="0" applyFont="1" applyFill="1" applyBorder="1" applyAlignment="1">
      <s:alignment horizontal="center" vertical="center" wrapText="1" mc:Ignorable="vyd"/>
    </s:xf>
    <s:xf numFmtId="0" fontId="17" fillId="5" borderId="2" xfId="0" applyFont="1" applyFill="1" applyBorder="1" applyAlignment="1">
      <s:alignment horizontal="center" vertical="center" wrapText="1" mc:Ignorable="vyd"/>
    </s:xf>
    <s:xf numFmtId="0" fontId="17" fillId="5" borderId="41" xfId="0" applyFont="1" applyFill="1" applyBorder="1" applyAlignment="1">
      <s:alignment horizontal="center" vertical="center" wrapText="1" mc:Ignorable="vyd"/>
    </s:xf>
    <s:xf numFmtId="0" fontId="17" fillId="5" borderId="21" xfId="0" applyFont="1" applyFill="1" applyBorder="1" applyAlignment="1">
      <s:alignment horizontal="center" vertical="center" wrapText="1" mc:Ignorable="vyd"/>
    </s:xf>
    <s:xf numFmtId="3" fontId="17" fillId="5" borderId="38" xfId="0" applyNumberFormat="1" applyFont="1" applyFill="1" applyBorder="1" applyAlignment="1">
      <s:alignment horizontal="center" vertical="center" mc:Ignorable="vyd"/>
    </s:xf>
    <s:xf numFmtId="3" fontId="17" fillId="5" borderId="2" xfId="0" applyNumberFormat="1" applyFont="1" applyFill="1" applyBorder="1" applyAlignment="1">
      <s:alignment horizontal="center" vertical="center" mc:Ignorable="vyd"/>
    </s:xf>
    <s:xf numFmtId="3" fontId="17" fillId="5" borderId="38" xfId="0" applyNumberFormat="1" applyFont="1" applyFill="1" applyBorder="1" applyAlignment="1">
      <s:alignment horizontal="center" vertical="center" wrapText="1" mc:Ignorable="vyd"/>
    </s:xf>
    <s:xf numFmtId="3" fontId="17" fillId="5" borderId="2" xfId="0" applyNumberFormat="1" applyFont="1" applyFill="1" applyBorder="1" applyAlignment="1">
      <s:alignment horizontal="center" vertical="center" wrapText="1" mc:Ignorable="vyd"/>
    </s:xf>
    <s:xf numFmtId="3" fontId="17" fillId="5" borderId="18" xfId="0" applyNumberFormat="1" applyFont="1" applyFill="1" applyBorder="1" applyAlignment="1">
      <s:alignment horizontal="center" vertical="center" wrapText="1" mc:Ignorable="vyd"/>
    </s:xf>
    <s:xf numFmtId="3" fontId="17" fillId="5" borderId="39" xfId="0" applyNumberFormat="1" applyFont="1" applyFill="1" applyBorder="1" applyAlignment="1">
      <s:alignment horizontal="center" vertical="center" wrapText="1" mc:Ignorable="vyd"/>
    </s:xf>
    <s:xf numFmtId="3" fontId="17" fillId="5" borderId="40" xfId="0" applyNumberFormat="1" applyFont="1" applyFill="1" applyBorder="1" applyAlignment="1">
      <s:alignment horizontal="center" vertical="center" wrapText="1" mc:Ignorable="vyd"/>
    </s:xf>
    <s:xf numFmtId="3" fontId="17" fillId="5" borderId="42" xfId="0" applyNumberFormat="1" applyFont="1" applyFill="1" applyBorder="1" applyAlignment="1">
      <s:alignment horizontal="center" vertical="center" mc:Ignorable="vyd"/>
    </s:xf>
    <s:xf numFmtId="3" fontId="17" fillId="5" borderId="33" xfId="0" applyNumberFormat="1" applyFont="1" applyFill="1" applyBorder="1" applyAlignment="1">
      <s:alignment horizontal="center" vertical="center" mc:Ignorable="vyd"/>
    </s:xf>
    <s:xf numFmtId="3" fontId="17" fillId="5" borderId="43" xfId="0" applyNumberFormat="1" applyFont="1" applyFill="1" applyBorder="1" applyAlignment="1">
      <s:alignment horizontal="center" vertical="center" wrapText="1" mc:Ignorable="vyd"/>
    </s:xf>
    <s:xf numFmtId="3" fontId="17" fillId="5" borderId="28" xfId="0" applyNumberFormat="1" applyFont="1" applyFill="1" applyBorder="1" applyAlignment="1">
      <s:alignment horizontal="center" vertical="center" wrapText="1" mc:Ignorable="vyd"/>
    </s:xf>
    <s:xf numFmtId="3" fontId="17" fillId="5" borderId="42" xfId="0" applyNumberFormat="1" applyFont="1" applyFill="1" applyBorder="1" applyAlignment="1">
      <s:alignment horizontal="center" vertical="center" wrapText="1" mc:Ignorable="vyd"/>
    </s:xf>
    <s:xf numFmtId="3" fontId="17" fillId="5" borderId="33" xfId="0" applyNumberFormat="1" applyFont="1" applyFill="1" applyBorder="1" applyAlignment="1">
      <s:alignment horizontal="center" vertical="center" wrapText="1" mc:Ignorable="vyd"/>
    </s:xf>
    <s:xf numFmtId="0" fontId="19" fillId="0" borderId="45" xfId="0" applyFont="1" applyBorder="1" applyAlignment="1">
      <s:alignment horizontal="left" vertical="center" mc:Ignorable="vyd"/>
    </s:xf>
    <s:xf numFmtId="0" fontId="16" fillId="0" borderId="45" xfId="0" applyFont="1" applyBorder="1" applyAlignment="1">
      <s:alignment horizontal="left" vertical="center" mc:Ignorable="vyd"/>
    </s:xf>
    <s:xf numFmtId="0" fontId="16" fillId="0" borderId="45" xfId="0" applyFont="1" applyBorder="1" applyAlignment="1">
      <s:alignment horizontal="center" vertical="center" mc:Ignorable="vyd"/>
    </s:xf>
    <s:xf numFmtId="0" fontId="16" fillId="0" borderId="16" xfId="0" applyFont="1" applyBorder="1" applyAlignment="1">
      <s:alignment horizontal="center" vertical="center" mc:Ignorable="vyd"/>
    </s:xf>
    <s:xf numFmtId="0" fontId="16" fillId="0" borderId="17" xfId="0" applyFont="1" applyBorder="1" applyAlignment="1">
      <s:alignment horizontal="center" vertical="center" mc:Ignorable="vyd"/>
    </s:xf>
    <s:xf numFmtId="0" fontId="16" fillId="0" borderId="32" xfId="0" applyFont="1" applyBorder="1" applyAlignment="1">
      <s:alignment horizontal="left" vertical="center" mc:Ignorable="vyd"/>
    </s:xf>
    <s:xf numFmtId="5" fontId="31" fillId="0" borderId="9" xfId="0" applyNumberFormat="1" applyFont="1" applyBorder="1" applyAlignment="1">
      <s:alignment horizontal="center" vertical="center" mc:Ignorable="vyd"/>
    </s:xf>
    <s:xf numFmtId="5" fontId="31" fillId="0" borderId="10" xfId="0" applyNumberFormat="1" applyFont="1" applyBorder="1" applyAlignment="1">
      <s:alignment horizontal="center" vertical="center" mc:Ignorable="vyd"/>
    </s:xf>
    <s:xf numFmtId="5" fontId="31" fillId="0" borderId="4" xfId="0" applyNumberFormat="1" applyFont="1" applyBorder="1" applyAlignment="1">
      <s:alignment horizontal="center" vertical="center" mc:Ignorable="vyd"/>
    </s:xf>
    <s:xf numFmtId="166" fontId="31" fillId="0" borderId="55" xfId="1" applyNumberFormat="1" applyFont="1" applyBorder="1" applyAlignment="1" applyProtection="1">
      <s:alignment horizontal="center" vertical="center" mc:Ignorable="vyd"/>
    </s:xf>
    <s:xf numFmtId="166" fontId="31" fillId="0" borderId="13" xfId="1" applyNumberFormat="1" applyFont="1" applyBorder="1" applyAlignment="1" applyProtection="1">
      <s:alignment horizontal="center" vertical="center" mc:Ignorable="vyd"/>
    </s:xf>
    <s:xf numFmtId="166" fontId="31" fillId="0" borderId="14" xfId="1" applyNumberFormat="1" applyFont="1" applyBorder="1" applyAlignment="1" applyProtection="1">
      <s:alignment horizontal="center" vertical="center" mc:Ignorable="vyd"/>
    </s:xf>
    <s:xf numFmtId="166" fontId="31" fillId="0" borderId="51" xfId="1" applyNumberFormat="1" applyFont="1" applyBorder="1" applyAlignment="1" applyProtection="1">
      <s:alignment horizontal="center" vertical="center" mc:Ignorable="vyd"/>
    </s:xf>
    <s:xf numFmtId="166" fontId="31" fillId="0" borderId="52" xfId="1" applyNumberFormat="1" applyFont="1" applyBorder="1" applyAlignment="1" applyProtection="1">
      <s:alignment horizontal="center" vertical="center" mc:Ignorable="vyd"/>
    </s:xf>
    <s:xf numFmtId="166" fontId="31" fillId="0" borderId="56" xfId="1" applyNumberFormat="1" applyFont="1" applyBorder="1" applyAlignment="1" applyProtection="1">
      <s:alignment horizontal="center" vertical="center" mc:Ignorable="vyd"/>
    </s:xf>
    <s:xf numFmtId="3" fontId="17" fillId="5" borderId="3" xfId="0" applyNumberFormat="1" applyFont="1" applyFill="1" applyBorder="1" applyAlignment="1">
      <s:alignment horizontal="center" vertical="center" wrapText="1" mc:Ignorable="vyd"/>
    </s:xf>
    <s:xf numFmtId="3" fontId="17" fillId="0" borderId="0" xfId="0" applyNumberFormat="1" applyFont="1" applyAlignment="1">
      <s:alignment horizontal="center" vertical="center" wrapText="1" mc:Ignorable="vyd"/>
    </s:xf>
    <s:xf numFmtId="166" fontId="31" fillId="0" borderId="9" xfId="0" applyNumberFormat="1" applyFont="1" applyBorder="1" applyAlignment="1">
      <s:alignment horizontal="center" vertical="center" mc:Ignorable="vyd"/>
    </s:xf>
    <s:xf numFmtId="166" fontId="31" fillId="0" borderId="10" xfId="0" applyNumberFormat="1" applyFont="1" applyBorder="1" applyAlignment="1">
      <s:alignment horizontal="center" vertical="center" mc:Ignorable="vyd"/>
    </s:xf>
    <s:xf numFmtId="166" fontId="31" fillId="0" borderId="4" xfId="0" applyNumberFormat="1" applyFont="1" applyBorder="1" applyAlignment="1">
      <s:alignment horizontal="center" vertical="center" mc:Ignorable="vyd"/>
    </s:xf>
    <s:xf numFmtId="166" fontId="33" fillId="0" borderId="55" xfId="1" applyNumberFormat="1" applyFont="1" applyBorder="1" applyAlignment="1" applyProtection="1">
      <s:alignment horizontal="center" vertical="center" mc:Ignorable="vyd"/>
    </s:xf>
    <s:xf numFmtId="166" fontId="33" fillId="0" borderId="13" xfId="1" applyNumberFormat="1" applyFont="1" applyBorder="1" applyAlignment="1" applyProtection="1">
      <s:alignment horizontal="center" vertical="center" mc:Ignorable="vyd"/>
    </s:xf>
    <s:xf numFmtId="166" fontId="33" fillId="0" borderId="14" xfId="1" applyNumberFormat="1" applyFont="1" applyBorder="1" applyAlignment="1" applyProtection="1">
      <s:alignment horizontal="center" vertical="center" mc:Ignorable="vyd"/>
    </s:xf>
    <s:xf numFmtId="166" fontId="33" fillId="0" borderId="0" xfId="1" applyNumberFormat="1" applyFont="1" applyAlignment="1" applyProtection="1">
      <s:alignment horizontal="center" vertical="center" mc:Ignorable="vyd"/>
    </s:xf>
    <s:xf numFmtId="166" fontId="31" fillId="0" borderId="6" xfId="0" applyNumberFormat="1" applyFont="1" applyBorder="1" applyAlignment="1">
      <s:alignment horizontal="center" vertical="center" mc:Ignorable="vyd"/>
    </s:xf>
    <s:xf numFmtId="166" fontId="31" fillId="0" borderId="7" xfId="0" applyNumberFormat="1" applyFont="1" applyBorder="1" applyAlignment="1">
      <s:alignment horizontal="center" vertical="center" mc:Ignorable="vyd"/>
    </s:xf>
    <s:xf numFmtId="166" fontId="31" fillId="0" borderId="8" xfId="0" applyNumberFormat="1" applyFont="1" applyBorder="1" applyAlignment="1">
      <s:alignment horizontal="center" vertical="center" mc:Ignorable="vyd"/>
    </s:xf>
    <s:xf numFmtId="0" fontId="19" fillId="0" borderId="58" xfId="0" applyFont="1" applyBorder="1" applyAlignment="1">
      <s:alignment horizontal="left" vertical="center" mc:Ignorable="vyd"/>
    </s:xf>
    <s:xf numFmtId="0" fontId="19" fillId="0" borderId="39" xfId="0" applyFont="1" applyBorder="1" applyAlignment="1">
      <s:alignment horizontal="left" vertical="center" mc:Ignorable="vyd"/>
    </s:xf>
    <s:xf numFmtId="0" fontId="19" fillId="0" borderId="59" xfId="0" applyFont="1" applyBorder="1" applyAlignment="1">
      <s:alignment horizontal="left" vertical="center" mc:Ignorable="vyd"/>
    </s:xf>
    <s:xf numFmtId="0" fontId="20" fillId="0" borderId="15" xfId="0" applyFont="1" applyBorder="1" applyAlignment="1">
      <s:alignment horizontal="left" vertical="center" mc:Ignorable="vyd"/>
    </s:xf>
    <s:xf numFmtId="0" fontId="20" fillId="0" borderId="16" xfId="0" applyFont="1" applyBorder="1" applyAlignment="1">
      <s:alignment horizontal="left" vertical="center" mc:Ignorable="vyd"/>
    </s:xf>
    <s:xf numFmtId="0" fontId="20" fillId="0" borderId="17" xfId="0" applyFont="1" applyBorder="1" applyAlignment="1">
      <s:alignment horizontal="left" vertical="center" mc:Ignorable="vyd"/>
    </s:xf>
    <s:xf numFmtId="0" fontId="27" fillId="0" borderId="49" xfId="0" applyFont="1" applyBorder="1" applyAlignment="1">
      <s:alignment horizontal="left" mc:Ignorable="vyd"/>
    </s:xf>
    <s:xf numFmtId="0" fontId="27" fillId="0" borderId="24" xfId="0" applyFont="1" applyBorder="1" applyAlignment="1">
      <s:alignment horizontal="left" mc:Ignorable="vyd"/>
    </s:xf>
    <s:xf numFmtId="0" fontId="27" fillId="0" borderId="26" xfId="0" applyFont="1" applyBorder="1" applyAlignment="1">
      <s:alignment horizontal="left" mc:Ignorable="vyd"/>
    </s:xf>
    <s:xf numFmtId="0" fontId="27" fillId="0" borderId="54" xfId="0" applyFont="1" applyBorder="1" applyAlignment="1">
      <s:alignment horizontal="left" mc:Ignorable="vyd"/>
    </s:xf>
    <s:xf numFmtId="0" fontId="27" fillId="0" borderId="34" xfId="0" applyFont="1" applyBorder="1" applyAlignment="1">
      <s:alignment horizontal="left" mc:Ignorable="vyd"/>
    </s:xf>
    <s:xf numFmtId="0" fontId="27" fillId="0" borderId="37" xfId="0" applyFont="1" applyBorder="1" applyAlignment="1">
      <s:alignment horizontal="left" mc:Ignorable="vyd"/>
    </s:xf>
    <s:xf numFmtId="164" fontId="36" fillId="2" borderId="0" xfId="0" applyNumberFormat="1" applyFont="1" applyFill="1" applyAlignment="1">
      <s:alignment horizontal="center" vertical="center" mc:Ignorable="vyd"/>
    </s:xf>
    <s:xf numFmtId="0" fontId="37" fillId="2" borderId="0" xfId="0" applyFont="1" applyFill="1" applyAlignment="1">
      <s:alignment horizontal="center" mc:Ignorable="vyd"/>
    </s:xf>
    <s:xf numFmtId="0" fontId="38" fillId="2" borderId="0" xfId="0" applyFont="1" applyFill="1" applyAlignment="1">
      <s:alignment horizontal="center" vertical="top" mc:Ignorable="vyd"/>
    </s:xf>
    <s:xf numFmtId="0" fontId="10" fillId="2" borderId="0" xfId="0" applyFont="1" applyFill="1" applyAlignment="1">
      <s:alignment horizontal="left" vertical="top" mc:Ignorable="vyd"/>
    </s:xf>
    <s:xf numFmtId="0" fontId="12" fillId="3" borderId="24" xfId="0" applyFont="1" applyFill="1" applyBorder="1" applyAlignment="1">
      <s:alignment horizontal="center" vertical="center" wrapText="1" mc:Ignorable="vyd"/>
    </s:xf>
    <s:xf numFmtId="0" fontId="12" fillId="3" borderId="31" xfId="0" applyFont="1" applyFill="1" applyBorder="1" applyAlignment="1">
      <s:alignment horizontal="center" vertical="center" wrapText="1" mc:Ignorable="vyd"/>
    </s:xf>
    <s:xf numFmtId="0" fontId="12" fillId="3" borderId="28" xfId="0" applyFont="1" applyFill="1" applyBorder="1" applyAlignment="1">
      <s:alignment horizontal="center" vertical="center" wrapText="1" mc:Ignorable="vyd"/>
    </s:xf>
    <s:xf numFmtId="0" fontId="12" fillId="3" borderId="20" xfId="0" applyFont="1" applyFill="1" applyBorder="1" applyAlignment="1">
      <s:alignment horizontal="center" vertical="center" wrapText="1" mc:Ignorable="vyd"/>
    </s:xf>
    <s:xf numFmtId="0" fontId="12" fillId="3" borderId="21" xfId="0" applyFont="1" applyFill="1" applyBorder="1" applyAlignment="1">
      <s:alignment horizontal="center" vertical="center" wrapText="1" mc:Ignorable="vyd"/>
    </s:xf>
    <s:xf numFmtId="0" fontId="12" fillId="3" borderId="29" xfId="0" applyFont="1" applyFill="1" applyBorder="1" applyAlignment="1">
      <s:alignment horizontal="center" vertical="center" wrapText="1" mc:Ignorable="vyd"/>
    </s:xf>
    <s:xf numFmtId="3" fontId="11" fillId="2" borderId="61" xfId="0" applyNumberFormat="1" applyFont="1" applyFill="1" applyBorder="1" applyAlignment="1">
      <s:alignment horizontal="center" mc:Ignorable="vyd"/>
    </s:xf>
    <s:xf numFmtId="3" fontId="11" fillId="2" borderId="5" xfId="0" applyNumberFormat="1" applyFont="1" applyFill="1" applyBorder="1" applyAlignment="1">
      <s:alignment horizontal="center" mc:Ignorable="vyd"/>
    </s:xf>
    <s:xf numFmtId="0" fontId="16" fillId="2" borderId="0" xfId="0" applyFont="1" applyFill="1" applyAlignment="1">
      <s:alignment horizontal="center" vertical="top" mc:Ignorable="vyd"/>
    </s:xf>
    <s:xf numFmtId="0" fontId="17" fillId="2" borderId="1" xfId="0" applyFont="1" applyFill="1" applyBorder="1" applyAlignment="1">
      <s:alignment horizontal="left" vertical="center" wrapText="1" mc:Ignorable="vyd"/>
    </s:xf>
    <s:xf numFmtId="0" fontId="17" fillId="2" borderId="10" xfId="0" applyFont="1" applyFill="1" applyBorder="1" applyAlignment="1">
      <s:alignment horizontal="left" vertical="center" wrapText="1" mc:Ignorable="vyd"/>
    </s:xf>
    <s:xf numFmtId="0" fontId="17" fillId="2" borderId="4" xfId="0" applyFont="1" applyFill="1" applyBorder="1" applyAlignment="1">
      <s:alignment horizontal="left" vertical="center" wrapText="1" mc:Ignorable="vyd"/>
    </s:xf>
    <s:xf numFmtId="0" fontId="19" fillId="0" borderId="62" xfId="0" applyFont="1" applyBorder="1" applyAlignment="1">
      <s:alignment horizontal="left" vertical="center" mc:Ignorable="vyd"/>
    </s:xf>
    <s:xf numFmtId="0" fontId="19" fillId="0" borderId="21" xfId="0" applyFont="1" applyBorder="1" applyAlignment="1">
      <s:alignment horizontal="left" vertical="center" mc:Ignorable="vyd"/>
    </s:xf>
    <s:xf numFmtId="0" fontId="19" fillId="0" borderId="63" xfId="0" applyFont="1" applyBorder="1" applyAlignment="1">
      <s:alignment horizontal="left" vertical="center" mc:Ignorable="vyd"/>
    </s:xf>
    <s:xf numFmtId="0" fontId="15" fillId="14" borderId="24" xfId="0" applyFont="1" applyFill="1" applyBorder="1" applyAlignment="1">
      <s:alignment horizontal="center" vertical="center" mc:Ignorable="vyd"/>
    </s:xf>
    <s:xf numFmtId="0" fontId="17" fillId="14" borderId="24" xfId="0" applyFont="1" applyFill="1" applyBorder="1" applyAlignment="1">
      <s:alignment horizontal="center" vertical="center" wrapText="1" mc:Ignorable="vyd"/>
    </s:xf>
    <s:xf numFmtId="164" fontId="36" fillId="5" borderId="0" xfId="0" applyNumberFormat="1" applyFont="1" applyFill="1" applyAlignment="1">
      <s:alignment horizontal="center" vertical="center" mc:Ignorable="vyd"/>
    </s:xf>
    <s:xf numFmtId="0" fontId="37" fillId="5" borderId="0" xfId="0" applyFont="1" applyFill="1" applyAlignment="1">
      <s:alignment horizontal="center" mc:Ignorable="vyd"/>
    </s:xf>
    <s:xf numFmtId="0" fontId="38" fillId="5" borderId="0" xfId="0" applyFont="1" applyFill="1" applyAlignment="1">
      <s:alignment horizontal="center" vertical="top" mc:Ignorable="vyd"/>
    </s:xf>
    <s:xf numFmtId="0" fontId="10" fillId="5" borderId="0" xfId="0" applyFont="1" applyFill="1" applyAlignment="1">
      <s:alignment horizontal="left" vertical="top" mc:Ignorable="vyd"/>
    </s:xf>
    <s:xf numFmtId="0" fontId="12" fillId="20" borderId="24" xfId="0" applyFont="1" applyFill="1" applyBorder="1" applyAlignment="1" applyProtection="1">
      <s:alignment horizontal="center" vertical="center" wrapText="1" mc:Ignorable="vyd"/>
      <s:protection locked="0"/>
    </s:xf>
    <s:xf numFmtId="3" fontId="11" fillId="5" borderId="68" xfId="0" applyNumberFormat="1" applyFont="1" applyFill="1" applyBorder="1" applyAlignment="1" applyProtection="1">
      <s:alignment horizontal="center" mc:Ignorable="vyd"/>
      <s:protection locked="0"/>
    </s:xf>
    <s:xf numFmtId="0" fontId="16" fillId="5" borderId="0" xfId="0" applyFont="1" applyFill="1" applyAlignment="1">
      <s:alignment horizontal="center" vertical="top" mc:Ignorable="vyd"/>
    </s:xf>
    <s:xf numFmtId="0" fontId="15" fillId="15" borderId="24" xfId="0" applyFont="1" applyFill="1" applyBorder="1" applyAlignment="1">
      <s:alignment horizontal="center" vertical="center" mc:Ignorable="vyd"/>
    </s:xf>
    <s:xf numFmtId="0" fontId="17" fillId="15" borderId="24" xfId="0" applyFont="1" applyFill="1" applyBorder="1" applyAlignment="1">
      <s:alignment horizontal="center" vertical="center" wrapText="1" mc:Ignorable="vyd"/>
    </s:xf>
    <s:xf numFmtId="0" fontId="17" fillId="21" borderId="24" xfId="0" applyFont="1" applyFill="1" applyBorder="1" applyAlignment="1">
      <s:alignment horizontal="center" vertical="top" mc:Ignorable="vyd"/>
    </s:xf>
    <s:xf numFmtId="17" fontId="34" fillId="4" borderId="70" xfId="0" applyNumberFormat="1" applyFont="1" applyFill="1" applyBorder="1" applyAlignment="1">
      <s:alignment horizontal="left" vertical="center" wrapText="1" mc:Ignorable="vyd"/>
    </s:xf>
    <s:xf numFmtId="17" fontId="34" fillId="4" borderId="39" xfId="0" applyNumberFormat="1" applyFont="1" applyFill="1" applyBorder="1" applyAlignment="1">
      <s:alignment horizontal="left" vertical="center" wrapText="1" mc:Ignorable="vyd"/>
    </s:xf>
    <s:xf numFmtId="17" fontId="34" fillId="4" borderId="46" xfId="0" applyNumberFormat="1" applyFont="1" applyFill="1" applyBorder="1" applyAlignment="1">
      <s:alignment horizontal="left" vertical="center" wrapText="1" mc:Ignorable="vyd"/>
    </s:xf>
    <s:xf numFmtId="0" fontId="34" fillId="4" borderId="49" xfId="0" applyFont="1" applyFill="1" applyBorder="1" applyAlignment="1">
      <s:alignment horizontal="left" vertical="center" wrapText="1" mc:Ignorable="vyd"/>
    </s:xf>
    <s:xf numFmtId="0" fontId="34" fillId="4" borderId="24" xfId="0" applyFont="1" applyFill="1" applyBorder="1" applyAlignment="1">
      <s:alignment horizontal="left" vertical="center" wrapText="1" mc:Ignorable="vyd"/>
    </s:xf>
    <s:xf numFmtId="0" fontId="21" fillId="22" borderId="72" xfId="0" applyFont="1" applyFill="1" applyBorder="1" applyAlignment="1">
      <s:alignment horizontal="center" vertical="center" wrapText="1" mc:Ignorable="vyd"/>
    </s:xf>
    <s:xf numFmtId="0" fontId="21" fillId="22" borderId="73" xfId="0" applyFont="1" applyFill="1" applyBorder="1" applyAlignment="1">
      <s:alignment horizontal="center" vertical="center" wrapText="1" mc:Ignorable="vyd"/>
    </s:xf>
    <s:xf numFmtId="3" fontId="34" fillId="23" borderId="78" xfId="0" applyNumberFormat="1" applyFont="1" applyFill="1" applyBorder="1" applyAlignment="1">
      <s:alignment horizontal="left" vertical="top" wrapText="1" mc:Ignorable="vyd"/>
    </s:xf>
    <s:xf numFmtId="0" fontId="34" fillId="23" borderId="79" xfId="0" applyFont="1" applyFill="1" applyBorder="1" applyAlignment="1">
      <s:alignment horizontal="left" vertical="top" wrapText="1" mc:Ignorable="vyd"/>
    </s:xf>
    <s:xf numFmtId="0" fontId="45" fillId="4" borderId="83" xfId="0" applyFont="1" applyFill="1" applyBorder="1" applyAlignment="1">
      <s:alignment horizontal="center" vertical="center" mc:Ignorable="vyd"/>
    </s:xf>
    <s:xf numFmtId="0" fontId="45" fillId="4" borderId="84" xfId="0" applyFont="1" applyFill="1" applyBorder="1" applyAlignment="1">
      <s:alignment horizontal="center" vertical="center" mc:Ignorable="vyd"/>
    </s:xf>
    <s:xf numFmtId="0" fontId="45" fillId="4" borderId="85" xfId="0" applyFont="1" applyFill="1" applyBorder="1" applyAlignment="1">
      <s:alignment horizontal="center" vertical="center" mc:Ignorable="vyd"/>
    </s:xf>
    <s:xf numFmtId="0" fontId="45" fillId="4" borderId="83" xfId="0" applyFont="1" applyFill="1" applyBorder="1" applyAlignment="1">
      <s:alignment horizontal="left" vertical="top" wrapText="1" mc:Ignorable="vyd"/>
    </s:xf>
    <s:xf numFmtId="4" fontId="45" fillId="4" borderId="84" xfId="0" applyNumberFormat="1" applyFont="1" applyFill="1" applyBorder="1" applyAlignment="1">
      <s:alignment horizontal="center" vertical="top" mc:Ignorable="vyd"/>
    </s:xf>
    <s:xf numFmtId="4" fontId="45" fillId="4" borderId="85" xfId="0" applyNumberFormat="1" applyFont="1" applyFill="1" applyBorder="1" applyAlignment="1">
      <s:alignment horizontal="center" vertical="top" mc:Ignorable="vyd"/>
    </s:xf>
    <s:xf numFmtId="0" fontId="17" fillId="4" borderId="86" xfId="0" applyFont="1" applyFill="1" applyBorder="1" applyAlignment="1">
      <s:alignment horizontal="left" vertical="top" wrapText="1" mc:Ignorable="vyd"/>
    </s:xf>
    <s:xf numFmtId="0" fontId="45" fillId="4" borderId="84" xfId="0" applyFont="1" applyFill="1" applyBorder="1" applyAlignment="1">
      <s:alignment horizontal="center" vertical="center" wrapText="1" mc:Ignorable="vyd"/>
    </s:xf>
    <s:xf numFmtId="0" fontId="45" fillId="4" borderId="85" xfId="0" applyFont="1" applyFill="1" applyBorder="1" applyAlignment="1">
      <s:alignment horizontal="center" vertical="center" wrapText="1" mc:Ignorable="vyd"/>
    </s:xf>
    <s:xf numFmtId="2" fontId="45" fillId="4" borderId="84" xfId="0" applyNumberFormat="1" applyFont="1" applyFill="1" applyBorder="1" applyAlignment="1">
      <s:alignment horizontal="center" vertical="top" mc:Ignorable="vyd"/>
    </s:xf>
    <s:xf numFmtId="2" fontId="45" fillId="4" borderId="85" xfId="0" applyNumberFormat="1" applyFont="1" applyFill="1" applyBorder="1" applyAlignment="1">
      <s:alignment horizontal="center" vertical="top" mc:Ignorable="vyd"/>
    </s:xf>
    <s:xf numFmtId="2" fontId="45" fillId="4" borderId="84" xfId="0" applyNumberFormat="1" applyFont="1" applyFill="1" applyBorder="1" applyAlignment="1">
      <s:alignment horizontal="center" vertical="center" wrapText="1" mc:Ignorable="vyd"/>
    </s:xf>
    <s:xf numFmtId="2" fontId="45" fillId="4" borderId="85" xfId="0" applyNumberFormat="1" applyFont="1" applyFill="1" applyBorder="1" applyAlignment="1">
      <s:alignment horizontal="center" vertical="center" wrapText="1" mc:Ignorable="vyd"/>
    </s:xf>
    <s:xf numFmtId="0" fontId="45" fillId="4" borderId="84" xfId="0" applyFont="1" applyFill="1" applyBorder="1" applyAlignment="1">
      <s:alignment horizontal="left" vertical="top" mc:Ignorable="vyd"/>
    </s:xf>
    <s:xf numFmtId="0" fontId="45" fillId="4" borderId="85" xfId="0" applyFont="1" applyFill="1" applyBorder="1" applyAlignment="1">
      <s:alignment horizontal="left" vertical="top" mc:Ignorable="vyd"/>
    </s:xf>
    <s:xf numFmtId="0" fontId="45" fillId="4" borderId="84" xfId="0" applyFont="1" applyFill="1" applyBorder="1" applyAlignment="1">
      <s:alignment horizontal="left" vertical="center" mc:Ignorable="vyd"/>
    </s:xf>
    <s:xf numFmtId="0" fontId="45" fillId="4" borderId="85" xfId="0" applyFont="1" applyFill="1" applyBorder="1" applyAlignment="1">
      <s:alignment horizontal="left" vertical="center" mc:Ignorable="vyd"/>
    </s:xf>
    <s:xf numFmtId="4" fontId="45" fillId="4" borderId="84" xfId="0" applyNumberFormat="1" applyFont="1" applyFill="1" applyBorder="1" applyAlignment="1">
      <s:alignment horizontal="right" vertical="top" mc:Ignorable="vyd"/>
    </s:xf>
    <s:xf numFmtId="4" fontId="45" fillId="4" borderId="85" xfId="0" applyNumberFormat="1" applyFont="1" applyFill="1" applyBorder="1" applyAlignment="1">
      <s:alignment horizontal="right" vertical="top" mc:Ignorable="vyd"/>
    </s:xf>
    <s:xf numFmtId="0" fontId="51" fillId="25" borderId="93" xfId="0" applyFont="1" applyFill="1" applyBorder="1" applyAlignment="1">
      <s:alignment horizontal="center" mc:Ignorable="vyd"/>
    </s:xf>
    <s:xf numFmtId="0" fontId="51" fillId="25" borderId="94" xfId="0" applyFont="1" applyFill="1" applyBorder="1" applyAlignment="1">
      <s:alignment horizontal="center" mc:Ignorable="vyd"/>
    </s:xf>
    <s:xf numFmtId="3" fontId="52" fillId="25" borderId="93" xfId="0" applyNumberFormat="1" applyFont="1" applyFill="1" applyBorder="1" applyAlignment="1">
      <s:alignment horizontal="center" mc:Ignorable="vyd"/>
    </s:xf>
    <s:xf numFmtId="3" fontId="52" fillId="25" borderId="95" xfId="0" applyNumberFormat="1" applyFont="1" applyFill="1" applyBorder="1" applyAlignment="1">
      <s:alignment horizontal="center" mc:Ignorable="vyd"/>
    </s:xf>
    <s:xf numFmtId="3" fontId="52" fillId="25" borderId="94" xfId="0" applyNumberFormat="1" applyFont="1" applyFill="1" applyBorder="1" applyAlignment="1">
      <s:alignment horizontal="center" mc:Ignorable="vyd"/>
    </s:xf>
    <s:xf numFmtId="0" fontId="21" fillId="25" borderId="93" xfId="0" applyFont="1" applyFill="1" applyBorder="1" applyAlignment="1">
      <s:alignment horizontal="left" wrapText="1" mc:Ignorable="vyd"/>
    </s:xf>
    <s:xf numFmtId="0" fontId="21" fillId="25" borderId="95" xfId="0" applyFont="1" applyFill="1" applyBorder="1" applyAlignment="1">
      <s:alignment horizontal="left" wrapText="1" mc:Ignorable="vyd"/>
    </s:xf>
    <s:xf numFmtId="0" fontId="21" fillId="25" borderId="94" xfId="0" applyFont="1" applyFill="1" applyBorder="1" applyAlignment="1">
      <s:alignment horizontal="left" wrapText="1" mc:Ignorable="vyd"/>
    </s:xf>
    <s:xf numFmtId="0" fontId="34" fillId="32" borderId="102" xfId="0" applyFont="1" applyFill="1" applyBorder="1" applyAlignment="1">
      <s:alignment horizontal="center" vertical="center" wrapText="1" mc:Ignorable="vyd"/>
    </s:xf>
    <s:xf numFmtId="0" fontId="34" fillId="32" borderId="104" xfId="0" applyFont="1" applyFill="1" applyBorder="1" applyAlignment="1">
      <s:alignment horizontal="center" vertical="center" wrapText="1" mc:Ignorable="vyd"/>
    </s:xf>
    <s:xf numFmtId="0" fontId="34" fillId="32" borderId="109" xfId="0" applyFont="1" applyFill="1" applyBorder="1" applyAlignment="1">
      <s:alignment horizontal="center" vertical="center" wrapText="1" mc:Ignorable="vyd"/>
    </s:xf>
    <s:xf numFmtId="0" fontId="34" fillId="32" borderId="110" xfId="0" applyFont="1" applyFill="1" applyBorder="1" applyAlignment="1">
      <s:alignment horizontal="center" vertical="center" wrapText="1" mc:Ignorable="vyd"/>
    </s:xf>
    <s:xf numFmtId="0" fontId="54" fillId="29" borderId="102" xfId="0" applyFont="1" applyFill="1" applyBorder="1" applyAlignment="1">
      <s:alignment horizontal="center" vertical="center" wrapText="1" mc:Ignorable="vyd"/>
    </s:xf>
    <s:xf numFmtId="0" fontId="54" fillId="29" borderId="104" xfId="0" applyFont="1" applyFill="1" applyBorder="1" applyAlignment="1">
      <s:alignment horizontal="center" vertical="center" wrapText="1" mc:Ignorable="vyd"/>
    </s:xf>
    <s:xf numFmtId="0" fontId="54" fillId="29" borderId="110" xfId="0" applyFont="1" applyFill="1" applyBorder="1" applyAlignment="1">
      <s:alignment horizontal="center" vertical="center" wrapText="1" mc:Ignorable="vyd"/>
    </s:xf>
    <s:xf numFmtId="0" fontId="45" fillId="4" borderId="84" xfId="0" applyFont="1" applyFill="1" applyBorder="1" applyAlignment="1">
      <s:alignment horizontal="left" vertical="top" wrapText="1" mc:Ignorable="vyd"/>
    </s:xf>
    <s:xf numFmtId="0" fontId="45" fillId="4" borderId="85" xfId="0" applyFont="1" applyFill="1" applyBorder="1" applyAlignment="1">
      <s:alignment horizontal="left" vertical="top" wrapText="1" mc:Ignorable="vyd"/>
    </s:xf>
  </s:cellXfs>
  <s:cellStyles count="2">
    <s:cellStyle name="Обычный" xfId="0" builtinId="0"/>
    <s:cellStyle name="Процентный" xfId="1" builtinId="5"/>
  </s:cellStyles>
  <s:dxfs count="255"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5" Type="http://schemas.openxmlformats.org/officeDocument/2006/relationships/sharedStrings" Target="sharedStrings.xml"/><Relationship Id="rId13" Type="http://schemas.openxmlformats.org/officeDocument/2006/relationships/styles" Target="styles.xml"/><Relationship Target="theme/theme1.xml" Type="http://schemas.openxmlformats.org/officeDocument/2006/relationships/theme" Id="rId14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000-000000000000}">
  <s:sheetPr>
    <s:pageSetUpPr fitToPage="1"/>
  </s:sheetPr>
  <s:dimension ref="A1:IU68"/>
  <s:sheetViews>
    <s:sheetView showZeros="0" tabSelected="0" topLeftCell="A30" workbookViewId="0">
      <s:pane xSplit="3" topLeftCell="D1" activePane="topRight" state="frozen"/>
      <s:selection activeCell="D65" sqref="D65"/>
      <s:selection pane="topRight" activeCell="L57" sqref="L57"/>
    </s:sheetView>
  </s:sheetViews>
  <s:sheetFormatPr baseColWidth="10" defaultColWidth="9.164" defaultRowHeight="15"/>
  <s:cols>
    <s:col min="1" max="1" width="20.332" style="1" customWidth="1"/>
    <s:col min="2" max="2" width="10.332" style="2" customWidth="1"/>
    <s:col min="3" max="3" width="10.832" style="2" customWidth="1"/>
    <s:col min="4" max="4" width="17.164" style="2" customWidth="1"/>
    <s:col min="5" max="5" width="10.164" style="2" customWidth="1"/>
    <s:col min="6" max="6" width="11.332" style="2" customWidth="1"/>
    <s:col min="7" max="7" width="9.832" style="2" customWidth="1"/>
    <s:col min="8" max="8" width="9.5" style="2" customWidth="1"/>
    <s:col min="9" max="9" width="11" style="2" customWidth="1"/>
    <s:col min="10" max="10" width="8.832" style="2" customWidth="1"/>
    <s:col min="11" max="11" width="12.664" style="2" customWidth="1"/>
    <s:col min="12" max="12" width="11.5" style="2" customWidth="1"/>
    <s:col min="13" max="13" width="10.832" style="2" customWidth="1"/>
    <s:col min="14" max="14" width="11.664" style="2" customWidth="1"/>
    <s:col min="15" max="15" width="12.832" style="2" customWidth="1"/>
    <s:col min="16" max="16" width="10.332" style="2" customWidth="1"/>
    <s:col min="17" max="18" width="11.332" style="2" customWidth="1"/>
    <s:col min="19" max="19" width="11" style="3" customWidth="1"/>
    <s:col min="20" max="20" width="11.332" style="2" customWidth="1"/>
    <s:col min="21" max="21" width="9.164" style="2" bestFit="1" customWidth="1"/>
    <s:col min="22" max="23" width="10.5" style="2" customWidth="1"/>
    <s:col min="24" max="255" width="9.164" style="2" bestFit="1" customWidth="1"/>
  </s:cols>
  <s:sheetData>
    <s:row r="1" spans="1:23" ht="15.75" customHeight="1">
      <s:c r="A1" s="4"/>
      <s:c r="B1" s="590">
        <s:f ca="1">TODAY()-1</s:f>
        <s:v>46138</s:v>
      </s:c>
      <s:c r="C1" s="590"/>
      <s:c r="D1" s="5"/>
      <s:c r="E1" s="5"/>
      <s:c r="F1" s="6"/>
      <s:c r="G1" s="6"/>
      <s:c r="H1" s="6"/>
      <s:c r="I1" s="6"/>
      <s:c r="J1" s="7"/>
      <s:c r="K1" s="7"/>
      <s:c r="L1" s="7"/>
      <s:c r="M1" s="7"/>
      <s:c r="N1" s="7"/>
      <s:c r="O1" s="7"/>
      <s:c r="P1" s="7"/>
      <s:c r="Q1" s="591"/>
      <s:c r="R1" s="591"/>
      <s:c r="S1" s="591"/>
      <s:c r="T1" s="591"/>
      <s:c r="U1" s="8"/>
      <s:c r="V1" s="6"/>
      <s:c r="W1" s="6"/>
    </s:row>
    <s:row r="2" spans="1:23" ht="21.75" customHeight="1">
      <s:c r="A2" s="4"/>
      <s:c r="B2" s="592" t="s">
        <s:v>0</s:v>
      </s:c>
      <s:c r="C2" s="592"/>
      <s:c r="D2" s="5"/>
      <s:c r="E2" s="5"/>
      <s:c r="F2" s="6"/>
      <s:c r="G2" s="6"/>
      <s:c r="H2" s="6"/>
      <s:c r="I2" s="6"/>
      <s:c r="J2" s="593"/>
      <s:c r="K2" s="593"/>
      <s:c r="L2" s="593"/>
      <s:c r="M2" s="593"/>
      <s:c r="N2" s="593"/>
      <s:c r="O2" s="593"/>
      <s:c r="P2" s="593"/>
      <s:c r="Q2" s="591"/>
      <s:c r="R2" s="591"/>
      <s:c r="S2" s="591"/>
      <s:c r="T2" s="591"/>
      <s:c r="U2" s="8"/>
      <s:c r="V2" s="6"/>
      <s:c r="W2" s="6"/>
    </s:row>
    <s:row r="3" spans="1:23" ht="14" customHeight="1">
      <s:c r="A3" s="4"/>
      <s:c r="B3" s="9"/>
      <s:c r="C3" s="10" t="s">
        <s:v>1</s:v>
      </s:c>
      <s:c r="D3" s="11"/>
      <s:c r="E3" s="11"/>
      <s:c r="F3" s="12"/>
      <s:c r="G3" s="12"/>
      <s:c r="H3" s="12"/>
      <s:c r="I3" s="594" t="str">
        <s:f>График!B3</s:f>
        <s:v>ул. Набережная Ленина, 18</s:v>
      </s:c>
      <s:c r="J3" s="595"/>
      <s:c r="K3" s="595"/>
      <s:c r="L3" s="595"/>
      <s:c r="M3" s="596"/>
      <s:c r="N3" s="7"/>
      <s:c r="O3" s="7"/>
      <s:c r="P3" s="13"/>
      <s:c r="Q3" s="591"/>
      <s:c r="R3" s="591"/>
      <s:c r="S3" s="591"/>
      <s:c r="T3" s="591"/>
      <s:c r="U3" s="8"/>
      <s:c r="V3" s="6"/>
      <s:c r="W3" s="6"/>
    </s:row>
    <s:row r="4" spans="1:23" ht="15" customHeight="1">
      <s:c r="A4" s="4"/>
      <s:c r="B4" s="5"/>
      <s:c r="C4" s="600">
        <s:f>I8-D56</s:f>
        <s:v>519369.56000000006</s:v>
      </s:c>
      <s:c r="D4" s="601"/>
      <s:c r="E4" s="14">
        <s:f>IF(I8&lt;&gt;0, C4/I8, 0)</s:f>
        <s:v>0.20067536899230673</s:v>
      </s:c>
      <s:c r="F4" s="12"/>
      <s:c r="G4" s="12"/>
      <s:c r="H4" s="12"/>
      <s:c r="I4" s="597"/>
      <s:c r="J4" s="598"/>
      <s:c r="K4" s="598"/>
      <s:c r="L4" s="598"/>
      <s:c r="M4" s="599"/>
      <s:c r="N4" s="7"/>
      <s:c r="O4" s="6"/>
      <s:c r="P4" s="6"/>
      <s:c r="Q4" s="591"/>
      <s:c r="R4" s="591"/>
      <s:c r="S4" s="591"/>
      <s:c r="T4" s="591"/>
      <s:c r="U4" s="8"/>
      <s:c r="V4" s="6"/>
      <s:c r="W4" s="6"/>
    </s:row>
    <s:row r="5">
      <s:c r="A5" s="4"/>
      <s:c r="B5" s="6"/>
      <s:c r="C5" s="6"/>
      <s:c r="D5" s="15" t="e">
        <s:f>C4/(I14-J14)</s:f>
        <s:v>#DIV/0!</s:v>
      </s:c>
      <s:c r="E5" s="6"/>
      <s:c r="F5" s="6"/>
      <s:c r="G5" s="6"/>
      <s:c r="H5" s="6"/>
      <s:c r="I5" s="6"/>
      <s:c r="J5" s="602"/>
      <s:c r="K5" s="602"/>
      <s:c r="L5" s="602"/>
      <s:c r="M5" s="602"/>
      <s:c r="N5" s="602"/>
      <s:c r="O5" s="6"/>
      <s:c r="P5" s="6"/>
      <s:c r="Q5" s="6"/>
      <s:c r="R5" s="6"/>
      <s:c r="S5" s="12"/>
      <s:c r="T5" s="6"/>
      <s:c r="U5" s="8"/>
      <s:c r="V5" s="6"/>
      <s:c r="W5" s="6"/>
    </s:row>
    <s:row r="6" spans="1:23" ht="15.75" customHeight="1">
      <s:c r="A6" s="4"/>
      <s:c r="B6" s="16"/>
      <s:c r="C6" s="6"/>
      <s:c r="D6" s="6"/>
      <s:c r="E6" s="6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0"/>
      <s:c r="S6" s="21"/>
      <s:c r="T6" s="6"/>
      <s:c r="U6" s="8"/>
      <s:c r="V6" s="6"/>
      <s:c r="W6" s="6"/>
    </s:row>
    <s:row r="7" spans="1:23" ht="50.75" customHeight="1">
      <s:c r="A7" s="4"/>
      <s:c r="B7" s="16"/>
      <s:c r="C7" s="16"/>
      <s:c r="D7" s="16"/>
      <s:c r="E7" s="6"/>
      <s:c r="F7" s="603" t="s">
        <s:v>3</s:v>
      </s:c>
      <s:c r="G7" s="604"/>
      <s:c r="H7" s="605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6" t="s">
        <s:v>11</s:v>
      </s:c>
      <s:c r="Q7" s="607"/>
      <s:c r="R7" s="20"/>
      <s:c r="S7" s="21"/>
      <s:c r="T7" s="6"/>
      <s:c r="U7" s="8"/>
      <s:c r="V7" s="6"/>
      <s:c r="W7" s="6"/>
    </s:row>
    <s:row r="8" spans="1:23" ht="15.75" customHeight="1">
      <s:c r="A8" s="4"/>
      <s:c r="B8" s="16"/>
      <s:c r="C8" s="16"/>
      <s:c r="D8" s="27"/>
      <s:c r="E8" s="6"/>
      <s:c r="F8" s="608" t="s">
        <s:v>12</s:v>
      </s:c>
      <s:c r="G8" s="609"/>
      <s:c r="H8" s="610"/>
      <s:c r="I8" s="28">
        <s:f>I10*I13</s:f>
        <s:v>2588108.16</s:v>
      </s:c>
      <s:c r="J8" s="29">
        <s:f>D56</s:f>
        <s:v>2068738.6</s:v>
      </s:c>
      <s:c r="K8" s="30">
        <s:f>IF(AND(I8&lt;&gt;"", I8&lt;&gt;0, J8&lt;&gt;""), J8/I8, "")</s:f>
        <s:v>0.79932463100769324</s:v>
      </s:c>
      <s:c r="L8" s="31">
        <s:f>IF(SUMIF($D$25:$D$55,"&gt;=0",$P$25:$P$55)&lt;&gt;0,I8*D56/SUMIF($D$25:$D$55,"&gt;=0",$P$25:$P$55),0)</s:f>
        <s:v>2068738.5999999996</s:v>
      </s:c>
      <s:c r="M8" s="32">
        <s:f>IF(AND(I8&lt;&gt;"", I8&lt;&gt;0, L8&lt;&gt;"", L8&lt;&gt;0), L8/I8, "")</s:f>
        <s:v>0.79932463100769313</s:v>
      </s:c>
      <s:c r="N8" s="33">
        <s:f>IF(AND(J8&lt;&gt;0, J8&lt;&gt;"", I8&lt;&gt;0, I8&lt;&gt;""), L8-I8, "")</s:f>
        <s:v>-519369.56000000052</s:v>
      </s:c>
      <s:c r="O8" s="34"/>
      <s:c r="P8" s="35" t="str">
        <s:f>IF(AND(O8&lt;&gt;"", O8&lt;&gt;0, L8&lt;&gt;"", L8&lt;&gt;0), -O8+L8, "")</s:f>
        <s:v/>
      </s:c>
      <s:c r="Q8" s="36" t="str">
        <s:f>IF(AND(P8&lt;&gt;"", P8&lt;&gt;0, O8&lt;&gt;0, O8&lt;&gt;""), P8/O8, "")</s:f>
        <s:v/>
      </s:c>
      <s:c r="R8" s="20"/>
      <s:c r="S8" s="37"/>
      <s:c r="T8" s="6"/>
      <s:c r="U8" s="8"/>
      <s:c r="V8" s="6"/>
      <s:c r="W8" s="6"/>
    </s:row>
    <s:row r="9" spans="1:23" ht="15.75" customHeight="1">
      <s:c r="A9" s="4"/>
      <s:c r="B9" s="16"/>
      <s:c r="C9" s="16"/>
      <s:c r="D9" s="16"/>
      <s:c r="E9" s="6"/>
      <s:c r="F9" s="611" t="s">
        <s:v>13</s:v>
      </s:c>
      <s:c r="G9" s="612"/>
      <s:c r="H9" s="613"/>
      <s:c r="I9" s="38">
        <s:f>I8/I11</s:f>
        <s:v>521.79600000000005</s:v>
      </s:c>
      <s:c r="J9" s="39">
        <s:f>E56</s:f>
        <s:v>390</s:v>
      </s:c>
      <s:c r="K9" s="40">
        <s:f>IF(AND(I9&lt;&gt;"", I9&lt;&gt;0, J9&lt;&gt;""), J9/I9, "")</s:f>
        <s:v>0.74741853138007952</s:v>
      </s:c>
      <s:c r="L9" s="41">
        <s:f>IF(SUMIF($E$25:$E$55, "&gt;=0", $Q$25:$Q$55)&lt;&gt;0, I9*E56/SUMIF($E$25:$E$55, "&gt;=0", $Q$25:$Q$55), 0)</s:f>
        <s:v>389.99999999999994</s:v>
      </s:c>
      <s:c r="M9" s="42">
        <s:f>IF(AND(I9&lt;&gt;"", I9&lt;&gt;0, L9&lt;&gt;"", L9&lt;&gt;0), L9/I9, "")</s:f>
        <s:v>0.74741853138007941</s:v>
      </s:c>
      <s:c r="N9" s="43">
        <s:f>IF(AND(J9&lt;&gt;0, J9&lt;&gt;"", I9&lt;&gt;0, I9&lt;&gt;""), L9-I9, "")</s:f>
        <s:v>-131.79600000000011</s:v>
      </s:c>
      <s:c r="O9" s="44" t="e">
        <s:f>O8/O11</s:f>
        <s:v>#DIV/0!</s:v>
      </s:c>
      <s:c r="P9" s="43" t="e">
        <s:f>IF(AND(O9&lt;&gt;"", O9&lt;&gt;0, L9&lt;&gt;"", L9&lt;&gt;0), -O9+L9, "")</s:f>
        <s:v>#DIV/0!</s:v>
      </s:c>
      <s:c r="Q9" s="45" t="e">
        <s:f>IF(AND(P9&lt;&gt;"", P9&lt;&gt;0, O9&lt;&gt;0, O9&lt;&gt;""), P9/O9, "")</s:f>
        <s:v>#DIV/0!</s:v>
      </s:c>
      <s:c r="R9" s="20"/>
      <s:c r="S9" s="37"/>
      <s:c r="T9" s="6"/>
      <s:c r="U9" s="8"/>
      <s:c r="V9" s="6"/>
      <s:c r="W9" s="6"/>
    </s:row>
    <s:row r="10" spans="1:23" ht="15.75" customHeight="1">
      <s:c r="A10" s="4"/>
      <s:c r="B10" s="16"/>
      <s:c r="C10" s="16"/>
      <s:c r="D10" s="16"/>
      <s:c r="E10" s="6"/>
      <s:c r="F10" s="608" t="s">
        <s:v>14</s:v>
      </s:c>
      <s:c r="G10" s="609"/>
      <s:c r="H10" s="610"/>
      <s:c r="I10" s="38">
        <s:f>I11*I12</s:f>
        <s:v>8779.2000000000007</s:v>
      </s:c>
      <s:c r="J10" s="46">
        <s:f>H56</s:f>
        <s:v>10608.915897435898</s:v>
      </s:c>
      <s:c r="K10" s="47">
        <s:f>IF(AND(I10&lt;&gt;"", I10&lt;&gt;0, J10&lt;&gt;""), J10/I10, "")</s:f>
        <s:v>1.2084148780567587</s:v>
      </s:c>
      <s:c r="L10" s="41">
        <s:f>J10</s:f>
        <s:v>10608.915897435898</s:v>
      </s:c>
      <s:c r="M10" s="48">
        <s:f>IF(AND(I10&lt;&gt;"", I10&lt;&gt;0, L10&lt;&gt;"", L10&lt;&gt;0), L10/I10, "")</s:f>
        <s:v>1.2084148780567587</s:v>
      </s:c>
      <s:c r="N10" s="49">
        <s:f>IF(AND(J10&lt;&gt;0, J10&lt;&gt;"", I10&lt;&gt;0, I10&lt;&gt;""), L10-I10, "")</s:f>
        <s:v>1829.7158974358972</s:v>
      </s:c>
      <s:c r="O10" s="50">
        <s:f>O11*O12</s:f>
        <s:v>0</s:v>
      </s:c>
      <s:c r="P10" s="49" t="str">
        <s:f>IF(AND(O10&lt;&gt;"", O10&lt;&gt;0, L10&lt;&gt;"", L10&lt;&gt;0), -O10+L10, "")</s:f>
        <s:v/>
      </s:c>
      <s:c r="Q10" s="51" t="str">
        <s:f>IF(AND(P10&lt;&gt;"", P10&lt;&gt;0, O10&lt;&gt;0, O10&lt;&gt;""), P10/O10, "")</s:f>
        <s:v/>
      </s:c>
      <s:c r="R10" s="20"/>
      <s:c r="S10" s="614" t="s">
        <s:v>15</s:v>
      </s:c>
      <s:c r="T10" s="615"/>
      <s:c r="U10" s="8"/>
      <s:c r="V10" s="6"/>
      <s:c r="W10" s="6"/>
    </s:row>
    <s:row r="11" spans="1:23" ht="15.75" customHeight="1">
      <s:c r="A11" s="4"/>
      <s:c r="B11" s="16"/>
      <s:c r="C11" s="16"/>
      <s:c r="D11" s="16"/>
      <s:c r="E11" s="6"/>
      <s:c r="F11" s="611" t="s">
        <s:v>16</s:v>
      </s:c>
      <s:c r="G11" s="612"/>
      <s:c r="H11" s="613"/>
      <s:c r="I11" s="52">
        <s:v>4960</s:v>
      </s:c>
      <s:c r="J11" s="39">
        <s:f>F56</s:f>
        <s:v>5304.457948717949</s:v>
      </s:c>
      <s:c r="K11" s="40">
        <s:f>IF(AND(I11&lt;&gt;"", I11&lt;&gt;0, J11&lt;&gt;""), J11/I11, "")</s:f>
        <s:v>1.0694471670802317</s:v>
      </s:c>
      <s:c r="L11" s="41">
        <s:f>IF(L9&gt;0, L8/L9, "")</s:f>
        <s:v>5304.457948717949</s:v>
      </s:c>
      <s:c r="M11" s="42">
        <s:f>IF(AND(I11&lt;&gt;"", I11&lt;&gt;0, L11&lt;&gt;"", L11&lt;&gt;0), L11/I11, "")</s:f>
        <s:v>1.0694471670802317</s:v>
      </s:c>
      <s:c r="N11" s="43">
        <s:f>IF(AND(J11&lt;&gt;0, J11&lt;&gt;"", I11&lt;&gt;0, I11&lt;&gt;""), L11-I11, "")</s:f>
        <s:v>344.45794871794897</s:v>
      </s:c>
      <s:c r="O11" s="53"/>
      <s:c r="P11" s="43" t="str">
        <s:f>IF(AND(O11&lt;&gt;"", O11&lt;&gt;0, L11&lt;&gt;"", L11&lt;&gt;0), -O11+L11, "")</s:f>
        <s:v/>
      </s:c>
      <s:c r="Q11" s="45" t="str">
        <s:f>IF(AND(P11&lt;&gt;"", P11&lt;&gt;0, O11&lt;&gt;0, O11&lt;&gt;""), P11/O11, "")</s:f>
        <s:v/>
      </s:c>
      <s:c r="R11" s="20"/>
      <s:c r="S11" s="616"/>
      <s:c r="T11" s="617"/>
      <s:c r="U11" s="8"/>
      <s:c r="V11" s="6"/>
      <s:c r="W11" s="6"/>
    </s:row>
    <s:row r="12" spans="1:23" ht="15.75" customHeight="1">
      <s:c r="A12" s="4"/>
      <s:c r="B12" s="16"/>
      <s:c r="C12" s="6"/>
      <s:c r="D12" s="6"/>
      <s:c r="E12" s="6"/>
      <s:c r="F12" s="611" t="s">
        <s:v>17</s:v>
      </s:c>
      <s:c r="G12" s="612"/>
      <s:c r="H12" s="613"/>
      <s:c r="I12" s="54">
        <s:v>1.77</s:v>
      </s:c>
      <s:c r="J12" s="55">
        <s:f>J56</s:f>
        <s:v>2</s:v>
      </s:c>
      <s:c r="K12" s="40">
        <s:f>IF(AND(I12&lt;&gt;"", I12&lt;&gt;0, J12&lt;&gt;""), J12/I12, "")</s:f>
        <s:v>1.1299435028248588</s:v>
      </s:c>
      <s:c r="L12" s="56">
        <s:f>J12</s:f>
        <s:v>2</s:v>
      </s:c>
      <s:c r="M12" s="42">
        <s:f>IF(AND(I12&lt;&gt;"", I12&lt;&gt;0, L12&lt;&gt;"", L12&lt;&gt;0), L12/I12, "")</s:f>
        <s:v>1.1299435028248588</s:v>
      </s:c>
      <s:c r="N12" s="57">
        <s:f>IF(AND(J12&lt;&gt;0, J12&lt;&gt;"", I12&lt;&gt;0, I12&lt;&gt;""), L12-I12, "")</s:f>
        <s:v>0.22999999999999998</s:v>
      </s:c>
      <s:c r="O12" s="58"/>
      <s:c r="P12" s="43" t="str">
        <s:f>IF(AND(O12&lt;&gt;"", O12&lt;&gt;0, L12&lt;&gt;"", L12&lt;&gt;0), -O12+L12, "")</s:f>
        <s:v/>
      </s:c>
      <s:c r="Q12" s="45" t="str">
        <s:f>IF(AND(P12&lt;&gt;"", P12&lt;&gt;0, O12&lt;&gt;0, O12&lt;&gt;""), P12/O12, "")</s:f>
        <s:v/>
      </s:c>
      <s:c r="R12" s="20"/>
      <s:c r="S12" s="59">
        <s:v>600000</s:v>
      </s:c>
      <s:c r="T12" s="60">
        <s:f>L56</s:f>
        <s:v>352078</s:v>
      </s:c>
      <s:c r="U12" s="8"/>
      <s:c r="V12" s="6"/>
      <s:c r="W12" s="6"/>
    </s:row>
    <s:row r="13" spans="1:23" ht="15.75" customHeight="1">
      <s:c r="A13" s="4"/>
      <s:c r="B13" s="16"/>
      <s:c r="C13" s="6"/>
      <s:c r="D13" s="6"/>
      <s:c r="E13" s="6"/>
      <s:c r="F13" s="611" t="s">
        <s:v>18</s:v>
      </s:c>
      <s:c r="G13" s="612"/>
      <s:c r="H13" s="613"/>
      <s:c r="I13" s="38">
        <s:f>I17*I20</s:f>
        <s:v>294.8</s:v>
      </s:c>
      <s:c r="J13" s="39">
        <s:f>G56</s:f>
        <s:v>195</s:v>
      </s:c>
      <s:c r="K13" s="40">
        <s:f>IF(AND(I13&lt;&gt;"", I13&lt;&gt;0, J13&lt;&gt;""), J13/I13, "")</s:f>
        <s:v>0.66146540027137035</s:v>
      </s:c>
      <s:c r="L13" s="41">
        <s:f>IF(SUMIF($G$25:$G$55, "&gt;=0", $R$25:$R$55)&lt;&gt;0, I13*G56/SUMIF($G$25:$G$55, "&gt;=0", $R$25:$R$55), "")</s:f>
        <s:v>195</s:v>
      </s:c>
      <s:c r="M13" s="42">
        <s:f>IF(AND(I13&lt;&gt;"", I13&lt;&gt;0, L13&lt;&gt;"", L13&lt;&gt;0), L13/I13, "")</s:f>
        <s:v>0.66146540027137035</s:v>
      </s:c>
      <s:c r="N13" s="57">
        <s:f>IF(AND(J13&lt;&gt;0, J13&lt;&gt;"", I13&lt;&gt;0, I13&lt;&gt;""), L13-I13, "")</s:f>
        <s:v>-99.800000000000011</s:v>
      </s:c>
      <s:c r="O13" s="61"/>
      <s:c r="P13" s="43" t="str">
        <s:f>IF(AND(O13&lt;&gt;"", O13&lt;&gt;0, L13&lt;&gt;"", L13&lt;&gt;0), -O13+L13, "")</s:f>
        <s:v/>
      </s:c>
      <s:c r="Q13" s="45" t="str">
        <s:f>IF(AND(P13&lt;&gt;"", P13&lt;&gt;0, O13&lt;&gt;0, O13&lt;&gt;""), P13/O13, "")</s:f>
        <s:v/>
      </s:c>
      <s:c r="R13" s="20"/>
      <s:c r="S13" s="62">
        <s:f>T12/S12</s:f>
        <s:v>0.58679666666666663</s:v>
      </s:c>
      <s:c r="T13" s="62">
        <s:f>S13/J14*I14</s:f>
        <s:v>0.58679666666666663</s:v>
      </s:c>
      <s:c r="U13" s="63"/>
      <s:c r="V13" s="6"/>
      <s:c r="W13" s="6"/>
    </s:row>
    <s:row r="14" spans="1:23" ht="15.75" customHeight="1">
      <s:c r="A14" s="4"/>
      <s:c r="B14" s="16"/>
      <s:c r="C14" s="6"/>
      <s:c r="D14" s="6"/>
      <s:c r="E14" s="6"/>
      <s:c r="F14" s="611" t="s">
        <s:v>19</s:v>
      </s:c>
      <s:c r="G14" s="612"/>
      <s:c r="H14" s="613"/>
      <s:c r="I14" s="52">
        <s:v>30</s:v>
      </s:c>
      <s:c r="J14" s="64">
        <s:v>30</s:v>
      </s:c>
      <s:c r="K14" s="40">
        <s:f>IF(AND(I14&lt;&gt;"", I14&lt;&gt;0, J14&lt;&gt;""), J14/I14, "")</s:f>
        <s:v>1</s:v>
      </s:c>
      <s:c r="L14" s="41">
        <s:f>I14</s:f>
        <s:v>30</s:v>
      </s:c>
      <s:c r="M14" s="42">
        <s:f>IF(AND(I14&lt;&gt;"", I14&lt;&gt;0, L14&lt;&gt;"", L14&lt;&gt;0), L14/I14, "")</s:f>
        <s:v>1</s:v>
      </s:c>
      <s:c r="N14" s="43">
        <s:f>IF(AND(J14&lt;&gt;0, J14&lt;&gt;"", I14&lt;&gt;0, I14&lt;&gt;""), L14-I14, "")</s:f>
        <s:v>0</s:v>
      </s:c>
      <s:c r="O14" s="61"/>
      <s:c r="P14" s="43" t="str">
        <s:f>IF(AND(O14&lt;&gt;"", O14&lt;&gt;0, L14&lt;&gt;"", L14&lt;&gt;0), -O14+L14, "")</s:f>
        <s:v/>
      </s:c>
      <s:c r="Q14" s="45" t="str">
        <s:f>IF(AND(P14&lt;&gt;"", P14&lt;&gt;0, O14&lt;&gt;0, O14&lt;&gt;""), P14/O14, "")</s:f>
        <s:v/>
      </s:c>
      <s:c r="R14" s="20"/>
      <s:c r="S14" s="65"/>
      <s:c r="T14" s="6"/>
      <s:c r="U14" s="8"/>
      <s:c r="V14" s="6"/>
      <s:c r="W14" s="6"/>
    </s:row>
    <s:row r="15" spans="1:23" ht="15.75" customHeight="1">
      <s:c r="A15" s="4"/>
      <s:c r="B15" s="16"/>
      <s:c r="C15" s="6"/>
      <s:c r="D15" s="6"/>
      <s:c r="E15" s="6"/>
      <s:c r="F15" s="611" t="s">
        <s:v>20</s:v>
      </s:c>
      <s:c r="G15" s="612"/>
      <s:c r="H15" s="613"/>
      <s:c r="I15" s="66">
        <s:f>I8/I14</s:f>
        <s:v>86270.272000000012</s:v>
      </s:c>
      <s:c r="J15" s="67">
        <s:f>J8/J14</s:f>
        <s:v>68957.953333333338</s:v>
      </s:c>
      <s:c r="K15" s="68">
        <s:f>IF(AND(I15&lt;&gt;"", I15&lt;&gt;0, J15&lt;&gt;""), J15/I15, "")</s:f>
        <s:v>0.79932463100769324</s:v>
      </s:c>
      <s:c r="L15" s="69">
        <s:f>J15</s:f>
        <s:v>68957.953333333338</s:v>
      </s:c>
      <s:c r="M15" s="70">
        <s:f>IF(AND(I15&lt;&gt;"", I15&lt;&gt;0, L15&lt;&gt;"", L15&lt;&gt;0), L15/I15, "")</s:f>
        <s:v>0.79932463100769324</s:v>
      </s:c>
      <s:c r="N15" s="43">
        <s:f>IF(AND(J15&lt;&gt;0, J15&lt;&gt;"", I15&lt;&gt;0, I15&lt;&gt;""), L15-I15, "")</s:f>
        <s:v>-17312.318666666673</s:v>
      </s:c>
      <s:c r="O15" s="71"/>
      <s:c r="P15" s="43" t="str">
        <s:f>IF(AND(O15&lt;&gt;"", O15&lt;&gt;0, L15&lt;&gt;"", L15&lt;&gt;0), -O15+L15, "")</s:f>
        <s:v/>
      </s:c>
      <s:c r="Q15" s="45" t="str">
        <s:f>IF(AND(P15&lt;&gt;"", P15&lt;&gt;0, O15&lt;&gt;0, O15&lt;&gt;""), P15/O15, "")</s:f>
        <s:v/>
      </s:c>
      <s:c r="R15" s="20"/>
      <s:c r="S15" s="37"/>
      <s:c r="T15" s="6"/>
      <s:c r="U15" s="8"/>
      <s:c r="V15" s="6"/>
      <s:c r="W15" s="6"/>
    </s:row>
    <s:row r="16" spans="1:23" ht="15.75" customHeight="1">
      <s:c r="A16" s="4"/>
      <s:c r="B16" s="16"/>
      <s:c r="C16" s="6"/>
      <s:c r="D16" s="6"/>
      <s:c r="E16" s="6"/>
      <s:c r="F16" s="611" t="s">
        <s:v>21</s:v>
      </s:c>
      <s:c r="G16" s="612"/>
      <s:c r="H16" s="613"/>
      <s:c r="I16" s="66"/>
      <s:c r="J16" s="67">
        <s:f>J8-I15*J14</s:f>
        <s:v>-519369.56000000006</s:v>
      </s:c>
      <s:c r="K16" s="68" t="str">
        <s:f>IF(AND(I16&lt;&gt;"", I16&lt;&gt;0, J16&lt;&gt;""), J16/I16, "")</s:f>
        <s:v/>
      </s:c>
      <s:c r="L16" s="72">
        <s:f>J16</s:f>
        <s:v>-519369.56000000006</s:v>
      </s:c>
      <s:c r="M16" s="73" t="str">
        <s:f>IF(AND(I16&lt;&gt;"", I16&lt;&gt;0, L16&lt;&gt;"", L16&lt;&gt;0), L16/I16, "")</s:f>
        <s:v/>
      </s:c>
      <s:c r="N16" s="43" t="str">
        <s:f>IF(AND(J16&lt;&gt;0, J16&lt;&gt;"", I16&lt;&gt;0, I16&lt;&gt;""), L16-I16, "")</s:f>
        <s:v/>
      </s:c>
      <s:c r="O16" s="71"/>
      <s:c r="P16" s="43" t="str">
        <s:f>IF(AND(O16&lt;&gt;"", O16&lt;&gt;0, L16&lt;&gt;"", L16&lt;&gt;0), -O16+L16, "")</s:f>
        <s:v/>
      </s:c>
      <s:c r="Q16" s="45" t="str">
        <s:f>IF(AND(P16&lt;&gt;"", P16&lt;&gt;0, O16&lt;&gt;0, O16&lt;&gt;""), P16/O16, "")</s:f>
        <s:v/>
      </s:c>
      <s:c r="R16" s="20"/>
      <s:c r="S16" s="618" t="s">
        <s:v>22</s:v>
      </s:c>
      <s:c r="T16" s="618"/>
      <s:c r="U16" s="8"/>
      <s:c r="V16" s="6"/>
      <s:c r="W16" s="6"/>
    </s:row>
    <s:row r="17" spans="1:255" ht="15.75" customHeight="1">
      <s:c r="A17" s="4"/>
      <s:c r="B17" s="16"/>
      <s:c r="C17" s="6"/>
      <s:c r="D17" s="74"/>
      <s:c r="E17" s="6"/>
      <s:c r="F17" s="611" t="s">
        <s:v>23</s:v>
      </s:c>
      <s:c r="G17" s="612"/>
      <s:c r="H17" s="613"/>
      <s:c r="I17" s="75">
        <s:v>1340</s:v>
      </s:c>
      <s:c r="J17" s="67">
        <s:f>I56</s:f>
        <s:v>893</s:v>
      </s:c>
      <s:c r="K17" s="68">
        <s:f>IF(AND(I17&lt;&gt;"", I17&lt;&gt;0, J17&lt;&gt;""), J17/I17, "")</s:f>
        <s:v>0.66641791044776122</s:v>
      </s:c>
      <s:c r="L17" s="72">
        <s:f>J17/J14*I14</s:f>
        <s:v>893</s:v>
      </s:c>
      <s:c r="M17" s="73">
        <s:f>IF(AND(I17&lt;&gt;"", I17&lt;&gt;0, L17&lt;&gt;"", L17&lt;&gt;0), L17/I17, "")</s:f>
        <s:v>0.66641791044776122</s:v>
      </s:c>
      <s:c r="N17" s="43">
        <s:f>IF(AND(J17&lt;&gt;0, J17&lt;&gt;"", I17&lt;&gt;0, I17&lt;&gt;""), L17-I17, "")</s:f>
        <s:v>-447</s:v>
      </s:c>
      <s:c r="O17" s="71"/>
      <s:c r="P17" s="43" t="str">
        <s:f>IF(AND(O17&lt;&gt;"", O17&lt;&gt;0, L17&lt;&gt;"", L17&lt;&gt;0), -O17+L17, "")</s:f>
        <s:v/>
      </s:c>
      <s:c r="Q17" s="45" t="str">
        <s:f>IF(AND(P17&lt;&gt;"", P17&lt;&gt;0, O17&lt;&gt;0, O17&lt;&gt;""), P17/O17, "")</s:f>
        <s:v/>
      </s:c>
      <s:c r="R17" s="20"/>
      <s:c r="S17" s="618"/>
      <s:c r="T17" s="618"/>
      <s:c r="U17" s="8"/>
      <s:c r="V17" s="6"/>
      <s:c r="W17" s="6"/>
    </s:row>
    <s:row r="18" spans="1:255" ht="15.75" customHeight="1">
      <s:c r="A18" s="4"/>
      <s:c r="B18" s="16"/>
      <s:c r="C18" s="6"/>
      <s:c r="D18" s="6"/>
      <s:c r="E18" s="6"/>
      <s:c r="F18" s="611"/>
      <s:c r="G18" s="612"/>
      <s:c r="H18" s="613"/>
      <s:c r="I18" s="76"/>
      <s:c r="J18" s="67"/>
      <s:c r="K18" s="77" t="str">
        <s:f>IF(AND(I18&lt;&gt;"", I18&lt;&gt;0, J18&lt;&gt;""), J18/I18, "")</s:f>
        <s:v/>
      </s:c>
      <s:c r="L18" s="78">
        <s:f>J18</s:f>
        <s:v>0</s:v>
      </s:c>
      <s:c r="M18" s="73" t="str">
        <s:f>IF(AND(I18&lt;&gt;"", I18&lt;&gt;0, L18&lt;&gt;"", L18&lt;&gt;0), L18/I18, "")</s:f>
        <s:v/>
      </s:c>
      <s:c r="N18" s="43" t="str">
        <s:f>IF(AND(J18&lt;&gt;0, J18&lt;&gt;"", I18&lt;&gt;0, I18&lt;&gt;""), L18-I18, "")</s:f>
        <s:v/>
      </s:c>
      <s:c r="O18" s="79">
        <s:v>0</s:v>
      </s:c>
      <s:c r="P18" s="43" t="str">
        <s:f>IF(AND(O18&lt;&gt;"", O18&lt;&gt;0, L18&lt;&gt;"", L18&lt;&gt;0), -O18+L18, "")</s:f>
        <s:v/>
      </s:c>
      <s:c r="Q18" s="45" t="str">
        <s:f>IF(AND(P18&lt;&gt;"", P18&lt;&gt;0, O18&lt;&gt;0, O18&lt;&gt;""), P18/O18, "")</s:f>
        <s:v/>
      </s:c>
      <s:c r="R18" s="20"/>
      <s:c r="S18" s="59">
        <s:v>400000</s:v>
      </s:c>
      <s:c r="T18" s="60">
        <s:f>K56</s:f>
        <s:v>359325</s:v>
      </s:c>
      <s:c r="U18" s="8"/>
      <s:c r="V18" s="6"/>
      <s:c r="W18" s="6"/>
    </s:row>
    <s:row r="19" spans="1:255" ht="15.75" customHeight="1">
      <s:c r="A19" s="4"/>
      <s:c r="B19" s="16"/>
      <s:c r="C19" s="6"/>
      <s:c r="D19" s="6"/>
      <s:c r="E19" s="6"/>
      <s:c r="F19" s="611"/>
      <s:c r="G19" s="612"/>
      <s:c r="H19" s="613"/>
      <s:c r="I19" s="76"/>
      <s:c r="J19" s="67">
        <s:f>M56</s:f>
        <s:v>0</s:v>
      </s:c>
      <s:c r="K19" s="77" t="str">
        <s:f>IF(AND(I19&lt;&gt;"", I19&lt;&gt;0, J19&lt;&gt;""), J19/I19, "")</s:f>
        <s:v/>
      </s:c>
      <s:c r="L19" s="78">
        <s:f>J19</s:f>
        <s:v>0</s:v>
      </s:c>
      <s:c r="M19" s="73" t="str">
        <s:f>IF(AND(I19&lt;&gt;"", I19&lt;&gt;0, L19&lt;&gt;"", L19&lt;&gt;0), L19/I19, "")</s:f>
        <s:v/>
      </s:c>
      <s:c r="N19" s="43" t="str">
        <s:f>IF(AND(J19&lt;&gt;0, J19&lt;&gt;"", I19&lt;&gt;0, I19&lt;&gt;""), L19-I19, "")</s:f>
        <s:v/>
      </s:c>
      <s:c r="O19" s="71">
        <s:v>0</s:v>
      </s:c>
      <s:c r="P19" s="43" t="str">
        <s:f>IF(AND(O19&lt;&gt;"", O19&lt;&gt;0, L19&lt;&gt;"", L19&lt;&gt;0), -O19+L19, "")</s:f>
        <s:v/>
      </s:c>
      <s:c r="Q19" s="45" t="str">
        <s:f>IF(AND(P19&lt;&gt;"", P19&lt;&gt;0, O19&lt;&gt;0, O19&lt;&gt;""), P19/O19, "")</s:f>
        <s:v/>
      </s:c>
      <s:c r="R19" s="20"/>
      <s:c r="S19" s="62">
        <s:f>T18/S18</s:f>
        <s:v>0.89831249999999996</s:v>
      </s:c>
      <s:c r="T19" s="62">
        <s:f>S19/J14*I14</s:f>
        <s:v>0.89831249999999996</s:v>
      </s:c>
      <s:c r="U19" s="63"/>
      <s:c r="V19" s="6"/>
      <s:c r="W19" s="6"/>
    </s:row>
    <s:row r="20" spans="1:255" ht="15.75" customHeight="1">
      <s:c r="A20" s="4"/>
      <s:c r="B20" s="16"/>
      <s:c r="C20" s="6"/>
      <s:c r="D20" s="6"/>
      <s:c r="E20" s="6"/>
      <s:c r="F20" s="619" t="s">
        <s:v>24</s:v>
      </s:c>
      <s:c r="G20" s="619"/>
      <s:c r="H20" s="619"/>
      <s:c r="I20" s="80">
        <s:v>0.22</s:v>
      </s:c>
      <s:c r="J20" s="81">
        <s:f>N56</s:f>
        <s:v>0.21836506159014557</s:v>
      </s:c>
      <s:c r="K20" s="81">
        <s:f>J20/I20</s:f>
        <s:v>0.99256846177338898</s:v>
      </s:c>
      <s:c r="L20" s="82">
        <s:f>IF(AND(K8&lt;&gt;0, I14&lt;&gt;0, I56&lt;&gt;0), (I56*N56+(I56/K8-I56)*I20)/(I56/K8), 0)</s:f>
        <s:v>0.21869315345882279</s:v>
      </s:c>
      <s:c r="M20" s="83">
        <s:f>IF(AND(I20&lt;&gt;"", I20&lt;&gt;0, L20&lt;&gt;"", L20&lt;&gt;0), L20/I20, "")</s:f>
        <s:v>0.99405978844919451</s:v>
      </s:c>
      <s:c r="N20" s="84">
        <s:f>IF(AND(J20&lt;&gt;0, J20&lt;&gt;"", I20&lt;&gt;0, I20&lt;&gt;""), L20-I20, "")</s:f>
        <s:v>-1.3068465411772145E-3</s:v>
      </s:c>
      <s:c r="O20" s="85"/>
      <s:c r="P20" s="86" t="str">
        <s:f>IF(AND(O20&lt;&gt;"", O20&lt;&gt;0, L20&lt;&gt;"", L20&lt;&gt;0), -O20+L20, "")</s:f>
        <s:v/>
      </s:c>
      <s:c r="Q20" s="87" t="str">
        <s:f>IF(AND(P20&lt;&gt;"", P20&lt;&gt;0, O20&lt;&gt;0, O20&lt;&gt;""), P20/O20, "")</s:f>
        <s:v/>
      </s:c>
      <s:c r="R20" s="20"/>
      <s:c r="S20" s="21"/>
      <s:c r="T20" s="6"/>
      <s:c r="U20" s="8"/>
      <s:c r="V20" s="6"/>
      <s:c r="W20" s="6"/>
    </s:row>
    <s:row r="21" spans="1:255" ht="15.75" customHeight="1">
      <s:c r="A21" s="4"/>
      <s:c r="B21" s="16"/>
      <s:c r="C21" s="6"/>
      <s:c r="D21" s="88"/>
      <s:c r="E21" s="6"/>
      <s:c r="F21" s="6"/>
      <s:c r="G21" s="6"/>
      <s:c r="H21" s="6"/>
      <s:c r="I21" s="6"/>
      <s:c r="J21" s="6"/>
      <s:c r="K21" s="6"/>
      <s:c r="L21" s="6"/>
      <s:c r="M21" s="6"/>
      <s:c r="N21" s="6"/>
      <s:c r="O21" s="6"/>
      <s:c r="P21" s="6"/>
      <s:c r="Q21" s="6"/>
      <s:c r="R21" s="20"/>
      <s:c r="S21" s="21"/>
      <s:c r="T21" s="6"/>
      <s:c r="U21" s="8"/>
      <s:c r="V21" s="6"/>
      <s:c r="W21" s="6"/>
    </s:row>
    <s:row r="22" spans="1:255" ht="21" customHeight="1">
      <s:c r="A22" s="620" t="s">
        <s:v>25</s:v>
      </s:c>
      <s:c r="B22" s="620"/>
      <s:c r="C22" s="620"/>
      <s:c r="D22" s="620"/>
      <s:c r="E22" s="620"/>
      <s:c r="F22" s="620"/>
      <s:c r="G22" s="620"/>
      <s:c r="H22" s="620"/>
      <s:c r="I22" s="620"/>
      <s:c r="J22" s="620"/>
      <s:c r="K22" s="620"/>
      <s:c r="L22" s="620"/>
      <s:c r="M22" s="620"/>
      <s:c r="N22" s="620"/>
      <s:c r="O22" s="621" t="s">
        <s:v>26</s:v>
      </s:c>
      <s:c r="P22" s="620" t="s">
        <s:v>27</s:v>
      </s:c>
      <s:c r="Q22" s="620"/>
      <s:c r="R22" s="620"/>
      <s:c r="S22" s="620"/>
      <s:c r="T22" s="620"/>
      <s:c r="U22" s="620"/>
      <s:c r="V22" s="620"/>
      <s:c r="W22" s="620"/>
    </s:row>
    <s:row r="23" ht="36">
      <s:c r="A23" s="622" t="s">
        <s:v>28</s:v>
      </s:c>
      <s:c r="B23" s="89" t="s">
        <s:v>29</s:v>
      </s:c>
      <s:c r="C23" s="89" t="s">
        <s:v>30</s:v>
      </s:c>
      <s:c r="D23" s="89" t="s">
        <s:v>31</s:v>
      </s:c>
      <s:c r="E23" s="89" t="s">
        <s:v>32</s:v>
      </s:c>
      <s:c r="F23" s="89" t="s">
        <s:v>33</s:v>
      </s:c>
      <s:c r="G23" s="89" t="s">
        <s:v>34</s:v>
      </s:c>
      <s:c r="H23" s="89" t="s">
        <s:v>35</s:v>
      </s:c>
      <s:c r="I23" s="89" t="s">
        <s:v>23</s:v>
      </s:c>
      <s:c r="J23" s="89" t="s">
        <s:v>36</s:v>
      </s:c>
      <s:c r="K23" s="90" t="s">
        <s:v>22</s:v>
      </s:c>
      <s:c r="L23" s="90" t="s">
        <s:v>15</s:v>
      </s:c>
      <s:c r="M23" s="90" t="s">
        <s:v>37</s:v>
      </s:c>
      <s:c r="N23" s="89" t="s">
        <s:v>38</s:v>
      </s:c>
      <s:c r="O23" s="621"/>
      <s:c r="P23" s="89" t="s">
        <s:v>39</s:v>
      </s:c>
      <s:c r="Q23" s="89" t="s">
        <s:v>40</s:v>
      </s:c>
      <s:c r="R23" s="89" t="s">
        <s:v>41</s:v>
      </s:c>
      <s:c r="S23" s="89" t="s">
        <s:v>42</s:v>
      </s:c>
      <s:c r="T23" s="89" t="s">
        <s:v>43</s:v>
      </s:c>
      <s:c r="U23" s="89" t="s">
        <s:v>44</s:v>
      </s:c>
      <s:c r="V23" s="91" t="s">
        <s:v>45</s:v>
      </s:c>
      <s:c r="W23" s="91" t="s">
        <s:v>46</s:v>
      </s:c>
      <s:c r="X23" s="92"/>
    </s:row>
    <s:row r="24">
      <s:c r="A24" s="622"/>
      <s:c r="B24" s="93">
        <s:v>1</s:v>
      </s:c>
      <s:c r="C24" s="93">
        <s:v>2</s:v>
      </s:c>
      <s:c r="D24" s="93">
        <s:v>3</s:v>
      </s:c>
      <s:c r="E24" s="93">
        <s:v>4</s:v>
      </s:c>
      <s:c r="F24" s="93">
        <s:v>5</s:v>
      </s:c>
      <s:c r="G24" s="93">
        <s:v>6</s:v>
      </s:c>
      <s:c r="H24" s="93">
        <s:v>7</s:v>
      </s:c>
      <s:c r="I24" s="93">
        <s:v>8</s:v>
      </s:c>
      <s:c r="J24" s="93">
        <s:v>9</s:v>
      </s:c>
      <s:c r="K24" s="93">
        <s:v>10</s:v>
      </s:c>
      <s:c r="L24" s="93">
        <s:v>11</s:v>
      </s:c>
      <s:c r="M24" s="93">
        <s:v>12</s:v>
      </s:c>
      <s:c r="N24" s="93">
        <s:v>13</s:v>
      </s:c>
      <s:c r="O24" s="621"/>
      <s:c r="P24" s="94">
        <s:v>1</s:v>
      </s:c>
      <s:c r="Q24" s="94">
        <s:v>2</s:v>
      </s:c>
      <s:c r="R24" s="94">
        <s:v>3</s:v>
      </s:c>
      <s:c r="S24" s="94">
        <s:v>4</s:v>
      </s:c>
      <s:c r="T24" s="94">
        <s:v>5</s:v>
      </s:c>
      <s:c r="U24" s="94">
        <s:v>6</s:v>
      </s:c>
      <s:c r="V24" s="94">
        <s:v>10</s:v>
      </s:c>
      <s:c r="W24" s="94">
        <s:v>11</s:v>
      </s:c>
    </s:row>
    <s:row r="25">
      <s:c r="A25" s="95" t="s">
        <s:v>47</s:v>
      </s:c>
      <s:c r="B25" s="96">
        <s:v>45748</s:v>
      </s:c>
      <s:c r="C25" s="97" t="s">
        <s:v>48</s:v>
      </s:c>
      <s:c r="D25" s="98">
        <s:f>25355+16920</s:f>
        <s:v>42275</s:v>
      </s:c>
      <s:c r="E25" s="99">
        <s:v>8</s:v>
      </s:c>
      <s:c r="F25" s="99">
        <s:f>IF(AND(E25&lt;&gt;"",E25&lt;&gt;0),D25/E25,"")</s:f>
        <s:v>5284.375</s:v>
      </s:c>
      <s:c r="G25" s="99">
        <s:v>6</s:v>
      </s:c>
      <s:c r="H25" s="99">
        <s:f>IF(AND(G25&lt;&gt;"",G25&lt;&gt;0),D25/G25,"")</s:f>
        <s:v>7045.833333333333</s:v>
      </s:c>
      <s:c r="I25" s="99">
        <s:v>40</s:v>
      </s:c>
      <s:c r="J25" s="98">
        <s:f>IF(AND(G25&lt;&gt;"",G25&lt;&gt;0),E25/G25,"")</s:f>
        <s:v>1.3333333333333333</s:v>
      </s:c>
      <s:c r="K25" s="99">
        <s:v>0</s:v>
      </s:c>
      <s:c r="L25" s="99">
        <s:v>16920</s:v>
      </s:c>
      <s:c r="M25" s="99"/>
      <s:c r="N25" s="100">
        <s:f>IF(AND(I25&lt;&gt;"",I25&lt;&gt;0),G25/I25,"")</s:f>
        <s:v>0.15</s:v>
      </s:c>
      <s:c r="O25" s="101">
        <s:f>D25/P25</s:f>
        <s:v>0.55910510336167774</s:v>
      </s:c>
      <s:c r="P25" s="102">
        <s:f>$I$8*V25*W25/SUMPRODUCT($W$25:$W$55,$V$25:$V$55)</s:f>
        <s:v>75611.901493685451</s:v>
      </s:c>
      <s:c r="Q25" s="103">
        <s:f>$I$9*V25*W25/SUMPRODUCT($W$25:$W$55,$V$25:$V$55)</s:f>
        <s:v>15.244334978565618</s:v>
      </s:c>
      <s:c r="R25" s="103">
        <s:f>IF($I$12="","",Q25/$I$12)</s:f>
        <s:v>8.6126186319579769</s:v>
      </s:c>
      <s:c r="S25" s="102">
        <s:f>IF(D25&lt;&gt;"",D25,P25)</s:f>
        <s:v>42275</s:v>
      </s:c>
      <s:c r="T25" s="103">
        <s:f>IF(E25&lt;&gt;"",E25,Q25)</s:f>
        <s:v>8</s:v>
      </s:c>
      <s:c r="U25" s="103">
        <s:f>IF(G25&lt;&gt;"",G25,R25)</s:f>
        <s:v>6</s:v>
      </s:c>
      <s:c r="V25" s="104">
        <s:v>0.90048519598893295</s:v>
      </s:c>
      <s:c r="W25" s="104">
        <s:v>0.90048519598893295</s:v>
      </s:c>
      <s:c r="X25" s="105"/>
      <s:c r="Y25" s="106"/>
    </s:row>
    <s:row r="26">
      <s:c r="A26" s="95" t="s">
        <s:v>47</s:v>
      </s:c>
      <s:c r="B26" s="96">
        <s:v>45749</s:v>
      </s:c>
      <s:c r="C26" s="97" t="s">
        <s:v>49</s:v>
      </s:c>
      <s:c r="D26" s="98">
        <s:f>24542+15120</s:f>
        <s:v>39662</s:v>
      </s:c>
      <s:c r="E26" s="99">
        <s:v>10</s:v>
      </s:c>
      <s:c r="F26" s="99">
        <s:f>IF(AND(E26&lt;&gt;"",E26&lt;&gt;0),D26/E26,"")</s:f>
        <s:v>3966.2</s:v>
      </s:c>
      <s:c r="G26" s="99">
        <s:v>5</s:v>
      </s:c>
      <s:c r="H26" s="99">
        <s:f>IF(AND(G26&lt;&gt;"",G26&lt;&gt;0),D26/G26,"")</s:f>
        <s:v>7932.4</s:v>
      </s:c>
      <s:c r="I26" s="99">
        <s:v>20</s:v>
      </s:c>
      <s:c r="J26" s="98">
        <s:f>IF(AND(G26&lt;&gt;"",G26&lt;&gt;0),E26/G26,"")</s:f>
        <s:v>2</s:v>
      </s:c>
      <s:c r="K26" s="99">
        <s:v>5492</s:v>
      </s:c>
      <s:c r="L26" s="99">
        <s:v>15120</s:v>
      </s:c>
      <s:c r="M26" s="99"/>
      <s:c r="N26" s="100">
        <s:f>IF(AND(I26&lt;&gt;"",I26&lt;&gt;0),G26/I26,"")</s:f>
        <s:v>0.25</s:v>
      </s:c>
      <s:c r="O26" s="101">
        <s:f>D26/P26</s:f>
        <s:v>0.37770336562119572</s:v>
      </s:c>
      <s:c r="P26" s="102">
        <s:f>$I$8*V26*W26/SUMPRODUCT($W$25:$W$55,$V$25:$V$55)</s:f>
        <s:v>105008.33090213341</s:v>
      </s:c>
      <s:c r="Q26" s="103">
        <s:f>$I$9*V26*W26/SUMPRODUCT($W$25:$W$55,$V$25:$V$55)</s:f>
        <s:v>21.171034456075287</s:v>
      </s:c>
      <s:c r="R26" s="103">
        <s:f>IF($I$12="","",Q26/$I$12)</s:f>
        <s:v>11.961036415861743</s:v>
      </s:c>
      <s:c r="S26" s="102">
        <s:f>IF(W26&lt;&gt;"",IF(D26&lt;&gt;"",D26,($I$8-SUM($S$25:S25))*V26*W26/SUMPRODUCT($W26:$W$55,$V26:$V$55)),"")</s:f>
        <s:v>39662</s:v>
      </s:c>
      <s:c r="T26" s="103">
        <s:f>IF(W26&lt;&gt;"",IF(E26&lt;&gt;"",E26,($I$9-SUM($T$25:T25))*V26*W26/SUMPRODUCT($W26:$W$55,$V26:$V$55)),"")</s:f>
        <s:v>10</s:v>
      </s:c>
      <s:c r="U26" s="103">
        <s:f>IF(W26&lt;&gt;"",IF($I$12&lt;&gt;"",IF(G26&lt;&gt;"",G26,($I$9/$I$12-SUM($U$25:U25))*V26*W26/SUMPRODUCT($W26:$W$55,$V26:$V$55)),""),"")</s:f>
        <s:v>5</s:v>
      </s:c>
      <s:c r="V26" s="104">
        <s:v>1.0611905531725472</s:v>
      </s:c>
      <s:c r="W26" s="104">
        <s:v>1.0611905531725472</s:v>
      </s:c>
      <s:c r="X26" s="107"/>
      <s:c r="Y26" s="106"/>
    </s:row>
    <s:row r="27">
      <s:c r="A27" s="95" t="s">
        <s:v>50</s:v>
      </s:c>
      <s:c r="B27" s="96">
        <s:v>45750</s:v>
      </s:c>
      <s:c r="C27" s="97" t="s">
        <s:v>51</s:v>
      </s:c>
      <s:c r="D27" s="98">
        <s:f>29335.6+18900</s:f>
        <s:v>48235.6</s:v>
      </s:c>
      <s:c r="E27" s="108">
        <s:v>11</s:v>
      </s:c>
      <s:c r="F27" s="99">
        <s:f>IF(AND(E27&lt;&gt;"",E27&lt;&gt;0),D27/E27,"")</s:f>
        <s:v>4385.0545454545454</s:v>
      </s:c>
      <s:c r="G27" s="108">
        <s:v>6</s:v>
      </s:c>
      <s:c r="H27" s="99">
        <s:f>IF(AND(G27&lt;&gt;"",G27&lt;&gt;0),D27/G27,"")</s:f>
        <s:v>8039.2666666666664</s:v>
      </s:c>
      <s:c r="I27" s="108">
        <s:v>30</s:v>
      </s:c>
      <s:c r="J27" s="98">
        <s:f>IF(AND(G27&lt;&gt;"",G27&lt;&gt;0),E27/G27,"")</s:f>
        <s:v>1.8333333333333333</s:v>
      </s:c>
      <s:c r="K27" s="99">
        <s:v>0</s:v>
      </s:c>
      <s:c r="L27" s="99">
        <s:v>18900</s:v>
      </s:c>
      <s:c r="M27" s="99"/>
      <s:c r="N27" s="100">
        <s:f>IF(AND(I27&lt;&gt;"",I27&lt;&gt;0),G27/I27,"")</s:f>
        <s:v>0.2</s:v>
      </s:c>
      <s:c r="O27" s="101">
        <s:f>D27/P27</s:f>
        <s:v>0.360305677878548</s:v>
      </s:c>
      <s:c r="P27" s="102">
        <s:f>$I$8*V27*W27/SUMPRODUCT($W$25:$W$55,$V$25:$V$55)</s:f>
        <s:v>133874.10457700107</s:v>
      </s:c>
      <s:c r="Q27" s="103">
        <s:f>$I$9*V27*W27/SUMPRODUCT($W$25:$W$55,$V$25:$V$55)</s:f>
        <s:v>26.990746890524409</s:v>
      </s:c>
      <s:c r="R27" s="103">
        <s:f>IF($I$12="","",Q27/$I$12)</s:f>
        <s:v>15.249009542669159</s:v>
      </s:c>
      <s:c r="S27" s="102">
        <s:f>IF(W27&lt;&gt;"",IF(D27&lt;&gt;"",D27,($I$8-SUM($S$25:S26))*V27*W27/SUMPRODUCT($W27:$W$55,$V27:$V$55)),"")</s:f>
        <s:v>48235.6</s:v>
      </s:c>
      <s:c r="T27" s="103">
        <s:f>IF(W27&lt;&gt;"",IF(E27&lt;&gt;"",E27,($I$9-SUM($T$25:T26))*V27*W27/SUMPRODUCT($W27:$W$55,$V27:$V$55)),"")</s:f>
        <s:v>11</s:v>
      </s:c>
      <s:c r="U27" s="103">
        <s:f>IF(W27&lt;&gt;"",IF($I$12&lt;&gt;"",IF(G27&lt;&gt;"",G27,($I$9/$I$12-SUM($U$25:U26))*V27*W27/SUMPRODUCT($W27:$W$55,$V27:$V$55)),""),"")</s:f>
        <s:v>6</s:v>
      </s:c>
      <s:c r="V27" s="104">
        <s:v>1.1982013014921034</s:v>
      </s:c>
      <s:c r="W27" s="104">
        <s:v>1.1982013014921034</s:v>
      </s:c>
      <s:c r="X27" s="107"/>
      <s:c r="Y27" s="106"/>
    </s:row>
    <s:row r="28" spans="1:255" s="109" customFormat="1">
      <s:c r="A28" s="110" t="s">
        <s:v>47</s:v>
      </s:c>
      <s:c r="B28" s="111">
        <s:v>45751</s:v>
      </s:c>
      <s:c r="C28" s="112" t="s">
        <s:v>52</s:v>
      </s:c>
      <s:c r="D28" s="113">
        <s:v>18259</s:v>
      </s:c>
      <s:c r="E28" s="114">
        <s:v>5</s:v>
      </s:c>
      <s:c r="F28" s="114">
        <s:f>IF(AND(E28&lt;&gt;"",E28&lt;&gt;0),D28/E28,"")</s:f>
        <s:v>3651.8</s:v>
      </s:c>
      <s:c r="G28" s="114">
        <s:v>4</s:v>
      </s:c>
      <s:c r="H28" s="114">
        <s:f>IF(AND(G28&lt;&gt;"",G28&lt;&gt;0),D28/G28,"")</s:f>
        <s:v>4564.75</s:v>
      </s:c>
      <s:c r="I28" s="114">
        <s:v>17</s:v>
      </s:c>
      <s:c r="J28" s="113">
        <s:f>IF(AND(G28&lt;&gt;"",G28&lt;&gt;0),E28/G28,"")</s:f>
        <s:v>1.25</s:v>
      </s:c>
      <s:c r="K28" s="114">
        <s:v>0</s:v>
      </s:c>
      <s:c r="L28" s="114">
        <s:v>0</s:v>
      </s:c>
      <s:c r="M28" s="114"/>
      <s:c r="N28" s="115">
        <s:f>IF(AND(I28&lt;&gt;"",I28&lt;&gt;0),G28/I28,"")</s:f>
        <s:v>0.23529411764705882</s:v>
      </s:c>
      <s:c r="O28" s="116">
        <s:f>D28/P28</s:f>
        <s:v>0.32113629389770254</s:v>
      </s:c>
      <s:c r="P28" s="117">
        <s:f>$I$8*V28*W28/SUMPRODUCT($W$25:$W$55,$V$25:$V$55)</s:f>
        <s:v>56857.478730872986</s:v>
      </s:c>
      <s:c r="Q28" s="118">
        <s:f>$I$9*V28*W28/SUMPRODUCT($W$25:$W$55,$V$25:$V$55)</s:f>
        <s:v>11.463201357030844</s:v>
      </s:c>
      <s:c r="R28" s="118">
        <s:f>IF($I$12="","",Q28/$I$12)</s:f>
        <s:v>6.4763849474750526</s:v>
      </s:c>
      <s:c r="S28" s="117">
        <s:f>IF(W28&lt;&gt;"",IF(D28&lt;&gt;"",D28,($I$8-SUM($S$25:S27))*V28*W28/SUMPRODUCT($W28:$W$55,$V28:$V$55)),"")</s:f>
        <s:v>18259</s:v>
      </s:c>
      <s:c r="T28" s="118">
        <s:f>IF(W28&lt;&gt;"",IF(E28&lt;&gt;"",E28,($I$9-SUM($T$25:T27))*V28*W28/SUMPRODUCT($W28:$W$55,$V28:$V$55)),"")</s:f>
        <s:v>5</s:v>
      </s:c>
      <s:c r="U28" s="118">
        <s:f>IF(W28&lt;&gt;"",IF($I$12&lt;&gt;"",IF(G28&lt;&gt;"",G28,($I$9/$I$12-SUM($U$25:U27))*V28*W28/SUMPRODUCT($W28:$W$55,$V28:$V$55)),""),"")</s:f>
        <s:v>4</s:v>
      </s:c>
      <s:c r="V28" s="119">
        <s:v>0.78086381145976858</s:v>
      </s:c>
      <s:c r="W28" s="119">
        <s:v>0.78086381145976858</s:v>
      </s:c>
      <s:c r="X28" s="120"/>
      <s:c r="Y28" s="121"/>
      <s:c r="Z28" s="122"/>
      <s:c r="AA28" s="122"/>
      <s:c r="AB28" s="122"/>
      <s:c r="AC28" s="122"/>
      <s:c r="AD28" s="122"/>
      <s:c r="AE28" s="122"/>
      <s:c r="AF28" s="122"/>
      <s:c r="AG28" s="122"/>
      <s:c r="AH28" s="122"/>
      <s:c r="AI28" s="122"/>
      <s:c r="AJ28" s="122"/>
      <s:c r="AK28" s="122"/>
      <s:c r="AL28" s="122"/>
      <s:c r="AM28" s="122"/>
      <s:c r="AN28" s="122"/>
      <s:c r="AO28" s="122"/>
      <s:c r="AP28" s="122"/>
      <s:c r="AQ28" s="122"/>
      <s:c r="AR28" s="122"/>
      <s:c r="AS28" s="122"/>
      <s:c r="AT28" s="122"/>
      <s:c r="AU28" s="122"/>
      <s:c r="AV28" s="122"/>
      <s:c r="AW28" s="122"/>
      <s:c r="AX28" s="122"/>
      <s:c r="AY28" s="122"/>
      <s:c r="AZ28" s="122"/>
      <s:c r="BA28" s="122"/>
      <s:c r="BB28" s="122"/>
      <s:c r="BC28" s="122"/>
      <s:c r="BD28" s="122"/>
      <s:c r="BE28" s="122"/>
      <s:c r="BF28" s="122"/>
      <s:c r="BG28" s="122"/>
      <s:c r="BH28" s="122"/>
      <s:c r="BI28" s="122"/>
      <s:c r="BJ28" s="122"/>
      <s:c r="BK28" s="122"/>
      <s:c r="BL28" s="122"/>
      <s:c r="BM28" s="122"/>
      <s:c r="BN28" s="122"/>
      <s:c r="BO28" s="122"/>
      <s:c r="BP28" s="122"/>
      <s:c r="BQ28" s="122"/>
      <s:c r="BR28" s="122"/>
      <s:c r="BS28" s="122"/>
      <s:c r="BT28" s="122"/>
      <s:c r="BU28" s="122"/>
      <s:c r="BV28" s="122"/>
      <s:c r="BW28" s="122"/>
      <s:c r="BX28" s="122"/>
      <s:c r="BY28" s="122"/>
      <s:c r="BZ28" s="122"/>
      <s:c r="CA28" s="122"/>
      <s:c r="CB28" s="122"/>
      <s:c r="CC28" s="122"/>
      <s:c r="CD28" s="122"/>
      <s:c r="CE28" s="122"/>
      <s:c r="CF28" s="122"/>
      <s:c r="CG28" s="122"/>
      <s:c r="CH28" s="122"/>
      <s:c r="CI28" s="122"/>
      <s:c r="CJ28" s="122"/>
      <s:c r="CK28" s="122"/>
      <s:c r="CL28" s="122"/>
      <s:c r="CM28" s="122"/>
      <s:c r="CN28" s="122"/>
      <s:c r="CO28" s="122"/>
      <s:c r="CP28" s="122"/>
      <s:c r="CQ28" s="122"/>
      <s:c r="CR28" s="122"/>
      <s:c r="CS28" s="122"/>
      <s:c r="CT28" s="122"/>
      <s:c r="CU28" s="122"/>
      <s:c r="CV28" s="122"/>
      <s:c r="CW28" s="122"/>
      <s:c r="CX28" s="122"/>
      <s:c r="CY28" s="122"/>
      <s:c r="CZ28" s="122"/>
      <s:c r="DA28" s="122"/>
      <s:c r="DB28" s="122"/>
      <s:c r="DC28" s="122"/>
      <s:c r="DD28" s="122"/>
      <s:c r="DE28" s="122"/>
      <s:c r="DF28" s="122"/>
      <s:c r="DG28" s="122"/>
      <s:c r="DH28" s="122"/>
      <s:c r="DI28" s="122"/>
      <s:c r="DJ28" s="122"/>
      <s:c r="DK28" s="122"/>
      <s:c r="DL28" s="122"/>
      <s:c r="DM28" s="122"/>
      <s:c r="DN28" s="122"/>
      <s:c r="DO28" s="122"/>
      <s:c r="DP28" s="122"/>
      <s:c r="DQ28" s="122"/>
      <s:c r="DR28" s="122"/>
      <s:c r="DS28" s="122"/>
      <s:c r="DT28" s="122"/>
      <s:c r="DU28" s="122"/>
      <s:c r="DV28" s="122"/>
      <s:c r="DW28" s="122"/>
      <s:c r="DX28" s="122"/>
      <s:c r="DY28" s="122"/>
      <s:c r="DZ28" s="122"/>
      <s:c r="EA28" s="122"/>
      <s:c r="EB28" s="122"/>
      <s:c r="EC28" s="122"/>
      <s:c r="ED28" s="122"/>
      <s:c r="EE28" s="122"/>
      <s:c r="EF28" s="122"/>
      <s:c r="EG28" s="122"/>
      <s:c r="EH28" s="122"/>
      <s:c r="EI28" s="122"/>
      <s:c r="EJ28" s="122"/>
      <s:c r="EK28" s="122"/>
      <s:c r="EL28" s="122"/>
      <s:c r="EM28" s="122"/>
      <s:c r="EN28" s="122"/>
      <s:c r="EO28" s="122"/>
      <s:c r="EP28" s="122"/>
      <s:c r="EQ28" s="122"/>
      <s:c r="ER28" s="122"/>
      <s:c r="ES28" s="122"/>
      <s:c r="ET28" s="122"/>
      <s:c r="EU28" s="122"/>
      <s:c r="EV28" s="122"/>
      <s:c r="EW28" s="122"/>
      <s:c r="EX28" s="122"/>
      <s:c r="EY28" s="122"/>
      <s:c r="EZ28" s="122"/>
      <s:c r="FA28" s="122"/>
      <s:c r="FB28" s="122"/>
      <s:c r="FC28" s="122"/>
      <s:c r="FD28" s="122"/>
      <s:c r="FE28" s="122"/>
      <s:c r="FF28" s="122"/>
      <s:c r="FG28" s="122"/>
      <s:c r="FH28" s="122"/>
      <s:c r="FI28" s="122"/>
      <s:c r="FJ28" s="122"/>
      <s:c r="FK28" s="122"/>
      <s:c r="FL28" s="122"/>
      <s:c r="FM28" s="122"/>
      <s:c r="FN28" s="122"/>
      <s:c r="FO28" s="122"/>
      <s:c r="FP28" s="122"/>
      <s:c r="FQ28" s="122"/>
      <s:c r="FR28" s="122"/>
      <s:c r="FS28" s="122"/>
      <s:c r="FT28" s="122"/>
      <s:c r="FU28" s="122"/>
      <s:c r="FV28" s="122"/>
      <s:c r="FW28" s="122"/>
      <s:c r="FX28" s="122"/>
      <s:c r="FY28" s="122"/>
      <s:c r="FZ28" s="122"/>
      <s:c r="GA28" s="122"/>
      <s:c r="GB28" s="122"/>
      <s:c r="GC28" s="122"/>
      <s:c r="GD28" s="122"/>
      <s:c r="GE28" s="122"/>
      <s:c r="GF28" s="122"/>
      <s:c r="GG28" s="122"/>
      <s:c r="GH28" s="122"/>
      <s:c r="GI28" s="122"/>
      <s:c r="GJ28" s="122"/>
      <s:c r="GK28" s="122"/>
      <s:c r="GL28" s="122"/>
      <s:c r="GM28" s="122"/>
      <s:c r="GN28" s="122"/>
      <s:c r="GO28" s="122"/>
      <s:c r="GP28" s="122"/>
      <s:c r="GQ28" s="122"/>
      <s:c r="GR28" s="122"/>
      <s:c r="GS28" s="122"/>
      <s:c r="GT28" s="122"/>
      <s:c r="GU28" s="122"/>
      <s:c r="GV28" s="122"/>
      <s:c r="GW28" s="122"/>
      <s:c r="GX28" s="122"/>
      <s:c r="GY28" s="122"/>
      <s:c r="GZ28" s="122"/>
      <s:c r="HA28" s="122"/>
      <s:c r="HB28" s="122"/>
      <s:c r="HC28" s="122"/>
      <s:c r="HD28" s="122"/>
      <s:c r="HE28" s="122"/>
      <s:c r="HF28" s="122"/>
      <s:c r="HG28" s="122"/>
      <s:c r="HH28" s="122"/>
      <s:c r="HI28" s="122"/>
      <s:c r="HJ28" s="122"/>
      <s:c r="HK28" s="122"/>
      <s:c r="HL28" s="122"/>
      <s:c r="HM28" s="122"/>
      <s:c r="HN28" s="122"/>
      <s:c r="HO28" s="122"/>
      <s:c r="HP28" s="122"/>
      <s:c r="HQ28" s="122"/>
      <s:c r="HR28" s="122"/>
      <s:c r="HS28" s="122"/>
      <s:c r="HT28" s="122"/>
      <s:c r="HU28" s="122"/>
      <s:c r="HV28" s="122"/>
      <s:c r="HW28" s="122"/>
      <s:c r="HX28" s="122"/>
      <s:c r="HY28" s="122"/>
      <s:c r="HZ28" s="122"/>
      <s:c r="IA28" s="122"/>
      <s:c r="IB28" s="122"/>
      <s:c r="IC28" s="122"/>
      <s:c r="ID28" s="122"/>
      <s:c r="IE28" s="122"/>
      <s:c r="IF28" s="122"/>
      <s:c r="IG28" s="122"/>
      <s:c r="IH28" s="122"/>
      <s:c r="II28" s="122"/>
      <s:c r="IJ28" s="122"/>
      <s:c r="IK28" s="122"/>
      <s:c r="IL28" s="122"/>
      <s:c r="IM28" s="122"/>
      <s:c r="IN28" s="122"/>
      <s:c r="IO28" s="122"/>
      <s:c r="IP28" s="122"/>
      <s:c r="IQ28" s="122"/>
      <s:c r="IR28" s="122"/>
      <s:c r="IS28" s="122"/>
      <s:c r="IT28" s="122"/>
      <s:c r="IU28" s="122"/>
    </s:row>
    <s:row r="29" spans="1:255" s="123" customFormat="1">
      <s:c r="A29" s="110" t="s">
        <s:v>47</s:v>
      </s:c>
      <s:c r="B29" s="111">
        <s:v>45752</s:v>
      </s:c>
      <s:c r="C29" s="112" t="s">
        <s:v>53</s:v>
      </s:c>
      <s:c r="D29" s="113">
        <s:v>47559</s:v>
      </s:c>
      <s:c r="E29" s="114">
        <s:v>11</s:v>
      </s:c>
      <s:c r="F29" s="114">
        <s:f>IF(AND(E29&lt;&gt;"",E29&lt;&gt;0),D29/E29,"")</s:f>
        <s:v>4323.545454545455</s:v>
      </s:c>
      <s:c r="G29" s="114">
        <s:v>7</s:v>
      </s:c>
      <s:c r="H29" s="114">
        <s:f>IF(AND(G29&lt;&gt;"",G29&lt;&gt;0),D29/G29,"")</s:f>
        <s:v>6794.1428571428569</s:v>
      </s:c>
      <s:c r="I29" s="114">
        <s:v>26</s:v>
      </s:c>
      <s:c r="J29" s="113">
        <s:f>IF(AND(G29&lt;&gt;"",G29&lt;&gt;0),E29/G29,"")</s:f>
        <s:v>1.5714285714285714</s:v>
      </s:c>
      <s:c r="K29" s="114">
        <s:v>0</s:v>
      </s:c>
      <s:c r="L29" s="114">
        <s:v>0</s:v>
      </s:c>
      <s:c r="M29" s="114"/>
      <s:c r="N29" s="115">
        <s:f>IF(AND(I29&lt;&gt;"",I29&lt;&gt;0),G29/I29,"")</s:f>
        <s:v>0.26923076923076922</s:v>
      </s:c>
      <s:c r="O29" s="116">
        <s:f>D29/P29</s:f>
        <s:v>0.46794641182063595</s:v>
      </s:c>
      <s:c r="P29" s="117">
        <s:f>$I$8*V29*W29/SUMPRODUCT($W$25:$W$55,$V$25:$V$55)</s:f>
        <s:v>101633.43237308417</s:v>
      </s:c>
      <s:c r="Q29" s="118">
        <s:f>$I$9*V29*W29/SUMPRODUCT($W$25:$W$55,$V$25:$V$55)</s:f>
        <s:v>20.490611365541159</s:v>
      </s:c>
      <s:c r="R29" s="118">
        <s:f>IF($I$12="","",Q29/$I$12)</s:f>
        <s:v>11.576616590701219</s:v>
      </s:c>
      <s:c r="S29" s="117">
        <s:f>IF(W29&lt;&gt;"",IF(D29&lt;&gt;"",D29,($I$8-SUM($S$25:S28))*V29*W29/SUMPRODUCT($W29:$W$55,$V29:$V$55)),"")</s:f>
        <s:v>47559</s:v>
      </s:c>
      <s:c r="T29" s="118">
        <s:f>IF(W29&lt;&gt;"",IF(E29&lt;&gt;"",E29,($I$9-SUM($T$25:T28))*V29*W29/SUMPRODUCT($W29:$W$55,$V29:$V$55)),"")</s:f>
        <s:v>11</s:v>
      </s:c>
      <s:c r="U29" s="118">
        <s:f>IF(W29&lt;&gt;"",IF($I$12&lt;&gt;"",IF(G29&lt;&gt;"",G29,($I$9/$I$12-SUM($U$25:U28))*V29*W29/SUMPRODUCT($W29:$W$55,$V29:$V$55)),""),"")</s:f>
        <s:v>7</s:v>
      </s:c>
      <s:c r="V29" s="119">
        <s:v>1.0439983057913622</s:v>
      </s:c>
      <s:c r="W29" s="119">
        <s:v>1.0439983057913622</s:v>
      </s:c>
      <s:c r="X29" s="120"/>
      <s:c r="Y29" s="124"/>
      <s:c r="Z29" s="122"/>
      <s:c r="AA29" s="122"/>
      <s:c r="AB29" s="122"/>
      <s:c r="AC29" s="122"/>
      <s:c r="AD29" s="122"/>
      <s:c r="AE29" s="122"/>
      <s:c r="AF29" s="122"/>
      <s:c r="AG29" s="122"/>
      <s:c r="AH29" s="122"/>
      <s:c r="AI29" s="122"/>
      <s:c r="AJ29" s="122"/>
      <s:c r="AK29" s="122"/>
      <s:c r="AL29" s="122"/>
      <s:c r="AM29" s="122"/>
      <s:c r="AN29" s="122"/>
      <s:c r="AO29" s="122"/>
      <s:c r="AP29" s="122"/>
      <s:c r="AQ29" s="122"/>
      <s:c r="AR29" s="122"/>
      <s:c r="AS29" s="122"/>
      <s:c r="AT29" s="122"/>
      <s:c r="AU29" s="122"/>
      <s:c r="AV29" s="122"/>
      <s:c r="AW29" s="122"/>
      <s:c r="AX29" s="122"/>
      <s:c r="AY29" s="122"/>
      <s:c r="AZ29" s="122"/>
      <s:c r="BA29" s="122"/>
      <s:c r="BB29" s="122"/>
      <s:c r="BC29" s="122"/>
      <s:c r="BD29" s="122"/>
      <s:c r="BE29" s="122"/>
      <s:c r="BF29" s="122"/>
      <s:c r="BG29" s="122"/>
      <s:c r="BH29" s="122"/>
      <s:c r="BI29" s="122"/>
      <s:c r="BJ29" s="122"/>
      <s:c r="BK29" s="122"/>
      <s:c r="BL29" s="122"/>
      <s:c r="BM29" s="122"/>
      <s:c r="BN29" s="122"/>
      <s:c r="BO29" s="122"/>
      <s:c r="BP29" s="122"/>
      <s:c r="BQ29" s="122"/>
      <s:c r="BR29" s="122"/>
      <s:c r="BS29" s="122"/>
      <s:c r="BT29" s="122"/>
      <s:c r="BU29" s="122"/>
      <s:c r="BV29" s="122"/>
      <s:c r="BW29" s="122"/>
      <s:c r="BX29" s="122"/>
      <s:c r="BY29" s="122"/>
      <s:c r="BZ29" s="122"/>
      <s:c r="CA29" s="122"/>
      <s:c r="CB29" s="122"/>
      <s:c r="CC29" s="122"/>
      <s:c r="CD29" s="122"/>
      <s:c r="CE29" s="122"/>
      <s:c r="CF29" s="122"/>
      <s:c r="CG29" s="122"/>
      <s:c r="CH29" s="122"/>
      <s:c r="CI29" s="122"/>
      <s:c r="CJ29" s="122"/>
      <s:c r="CK29" s="122"/>
      <s:c r="CL29" s="122"/>
      <s:c r="CM29" s="122"/>
      <s:c r="CN29" s="122"/>
      <s:c r="CO29" s="122"/>
      <s:c r="CP29" s="122"/>
      <s:c r="CQ29" s="122"/>
      <s:c r="CR29" s="122"/>
      <s:c r="CS29" s="122"/>
      <s:c r="CT29" s="122"/>
      <s:c r="CU29" s="122"/>
      <s:c r="CV29" s="122"/>
      <s:c r="CW29" s="122"/>
      <s:c r="CX29" s="122"/>
      <s:c r="CY29" s="122"/>
      <s:c r="CZ29" s="122"/>
      <s:c r="DA29" s="122"/>
      <s:c r="DB29" s="122"/>
      <s:c r="DC29" s="122"/>
      <s:c r="DD29" s="122"/>
      <s:c r="DE29" s="122"/>
      <s:c r="DF29" s="122"/>
      <s:c r="DG29" s="122"/>
      <s:c r="DH29" s="122"/>
      <s:c r="DI29" s="122"/>
      <s:c r="DJ29" s="122"/>
      <s:c r="DK29" s="122"/>
      <s:c r="DL29" s="122"/>
      <s:c r="DM29" s="122"/>
      <s:c r="DN29" s="122"/>
      <s:c r="DO29" s="122"/>
      <s:c r="DP29" s="122"/>
      <s:c r="DQ29" s="122"/>
      <s:c r="DR29" s="122"/>
      <s:c r="DS29" s="122"/>
      <s:c r="DT29" s="122"/>
      <s:c r="DU29" s="122"/>
      <s:c r="DV29" s="122"/>
      <s:c r="DW29" s="122"/>
      <s:c r="DX29" s="122"/>
      <s:c r="DY29" s="122"/>
      <s:c r="DZ29" s="122"/>
      <s:c r="EA29" s="122"/>
      <s:c r="EB29" s="122"/>
      <s:c r="EC29" s="122"/>
      <s:c r="ED29" s="122"/>
      <s:c r="EE29" s="122"/>
      <s:c r="EF29" s="122"/>
      <s:c r="EG29" s="122"/>
      <s:c r="EH29" s="122"/>
      <s:c r="EI29" s="122"/>
      <s:c r="EJ29" s="122"/>
      <s:c r="EK29" s="122"/>
      <s:c r="EL29" s="122"/>
      <s:c r="EM29" s="122"/>
      <s:c r="EN29" s="122"/>
      <s:c r="EO29" s="122"/>
      <s:c r="EP29" s="122"/>
      <s:c r="EQ29" s="122"/>
      <s:c r="ER29" s="122"/>
      <s:c r="ES29" s="122"/>
      <s:c r="ET29" s="122"/>
      <s:c r="EU29" s="122"/>
      <s:c r="EV29" s="122"/>
      <s:c r="EW29" s="122"/>
      <s:c r="EX29" s="122"/>
      <s:c r="EY29" s="122"/>
      <s:c r="EZ29" s="122"/>
      <s:c r="FA29" s="122"/>
      <s:c r="FB29" s="122"/>
      <s:c r="FC29" s="122"/>
      <s:c r="FD29" s="122"/>
      <s:c r="FE29" s="122"/>
      <s:c r="FF29" s="122"/>
      <s:c r="FG29" s="122"/>
      <s:c r="FH29" s="122"/>
      <s:c r="FI29" s="122"/>
      <s:c r="FJ29" s="122"/>
      <s:c r="FK29" s="122"/>
      <s:c r="FL29" s="122"/>
      <s:c r="FM29" s="122"/>
      <s:c r="FN29" s="122"/>
      <s:c r="FO29" s="122"/>
      <s:c r="FP29" s="122"/>
      <s:c r="FQ29" s="122"/>
      <s:c r="FR29" s="122"/>
      <s:c r="FS29" s="122"/>
      <s:c r="FT29" s="122"/>
      <s:c r="FU29" s="122"/>
      <s:c r="FV29" s="122"/>
      <s:c r="FW29" s="122"/>
      <s:c r="FX29" s="122"/>
      <s:c r="FY29" s="122"/>
      <s:c r="FZ29" s="122"/>
      <s:c r="GA29" s="122"/>
      <s:c r="GB29" s="122"/>
      <s:c r="GC29" s="122"/>
      <s:c r="GD29" s="122"/>
      <s:c r="GE29" s="122"/>
      <s:c r="GF29" s="122"/>
      <s:c r="GG29" s="122"/>
      <s:c r="GH29" s="122"/>
      <s:c r="GI29" s="122"/>
      <s:c r="GJ29" s="122"/>
      <s:c r="GK29" s="122"/>
      <s:c r="GL29" s="122"/>
      <s:c r="GM29" s="122"/>
      <s:c r="GN29" s="122"/>
      <s:c r="GO29" s="122"/>
      <s:c r="GP29" s="122"/>
      <s:c r="GQ29" s="122"/>
      <s:c r="GR29" s="122"/>
      <s:c r="GS29" s="122"/>
      <s:c r="GT29" s="122"/>
      <s:c r="GU29" s="122"/>
      <s:c r="GV29" s="122"/>
      <s:c r="GW29" s="122"/>
      <s:c r="GX29" s="122"/>
      <s:c r="GY29" s="122"/>
      <s:c r="GZ29" s="122"/>
      <s:c r="HA29" s="122"/>
      <s:c r="HB29" s="122"/>
      <s:c r="HC29" s="122"/>
      <s:c r="HD29" s="122"/>
      <s:c r="HE29" s="122"/>
      <s:c r="HF29" s="122"/>
      <s:c r="HG29" s="122"/>
      <s:c r="HH29" s="122"/>
      <s:c r="HI29" s="122"/>
      <s:c r="HJ29" s="122"/>
      <s:c r="HK29" s="122"/>
      <s:c r="HL29" s="122"/>
      <s:c r="HM29" s="122"/>
      <s:c r="HN29" s="122"/>
      <s:c r="HO29" s="122"/>
      <s:c r="HP29" s="122"/>
      <s:c r="HQ29" s="122"/>
      <s:c r="HR29" s="122"/>
      <s:c r="HS29" s="122"/>
      <s:c r="HT29" s="122"/>
      <s:c r="HU29" s="122"/>
      <s:c r="HV29" s="122"/>
      <s:c r="HW29" s="122"/>
      <s:c r="HX29" s="122"/>
      <s:c r="HY29" s="122"/>
      <s:c r="HZ29" s="122"/>
      <s:c r="IA29" s="122"/>
      <s:c r="IB29" s="122"/>
      <s:c r="IC29" s="122"/>
      <s:c r="ID29" s="122"/>
      <s:c r="IE29" s="122"/>
      <s:c r="IF29" s="122"/>
      <s:c r="IG29" s="122"/>
      <s:c r="IH29" s="122"/>
      <s:c r="II29" s="122"/>
      <s:c r="IJ29" s="122"/>
      <s:c r="IK29" s="122"/>
      <s:c r="IL29" s="122"/>
      <s:c r="IM29" s="122"/>
      <s:c r="IN29" s="122"/>
      <s:c r="IO29" s="122"/>
      <s:c r="IP29" s="122"/>
      <s:c r="IQ29" s="122"/>
      <s:c r="IR29" s="122"/>
      <s:c r="IS29" s="122"/>
      <s:c r="IT29" s="122"/>
      <s:c r="IU29" s="122"/>
    </s:row>
    <s:row r="30" spans="1:255" s="109" customFormat="1">
      <s:c r="A30" s="110" t="s">
        <s:v>47</s:v>
      </s:c>
      <s:c r="B30" s="111">
        <s:v>45753</s:v>
      </s:c>
      <s:c r="C30" s="112" t="s">
        <s:v>54</s:v>
      </s:c>
      <s:c r="D30" s="113">
        <s:f>51277+32720</s:f>
        <s:v>83997</s:v>
      </s:c>
      <s:c r="E30" s="114">
        <s:v>17</s:v>
      </s:c>
      <s:c r="F30" s="114">
        <s:f>IF(AND(E30&lt;&gt;"",E30&lt;&gt;0),D30/E30,"")</s:f>
        <s:v>4941</s:v>
      </s:c>
      <s:c r="G30" s="114">
        <s:v>9</s:v>
      </s:c>
      <s:c r="H30" s="114">
        <s:f>IF(AND(G30&lt;&gt;"",G30&lt;&gt;0),D30/G30,"")</s:f>
        <s:v>9333</s:v>
      </s:c>
      <s:c r="I30" s="114">
        <s:v>29</s:v>
      </s:c>
      <s:c r="J30" s="113">
        <s:f>IF(AND(G30&lt;&gt;"",G30&lt;&gt;0),E30/G30,"")</s:f>
        <s:v>1.8888888888888888</s:v>
      </s:c>
      <s:c r="K30" s="114">
        <s:v>0</s:v>
      </s:c>
      <s:c r="L30" s="114">
        <s:v>32720</s:v>
      </s:c>
      <s:c r="M30" s="114"/>
      <s:c r="N30" s="115">
        <s:f>IF(AND(I30&lt;&gt;"",I30&lt;&gt;0),G30/I30,"")</s:f>
        <s:v>0.31034482758620691</s:v>
      </s:c>
      <s:c r="O30" s="116">
        <s:f>D30/P30</s:f>
        <s:v>1.4773254438099197</s:v>
      </s:c>
      <s:c r="P30" s="117">
        <s:f>$I$8*V30*W30/SUMPRODUCT($W$25:$W$55,$V$25:$V$55)</s:f>
        <s:v>56857.478730872986</s:v>
      </s:c>
      <s:c r="Q30" s="118">
        <s:f>$I$9*V30*W30/SUMPRODUCT($W$25:$W$55,$V$25:$V$55)</s:f>
        <s:v>11.463201357030844</s:v>
      </s:c>
      <s:c r="R30" s="118">
        <s:f>IF($I$12="","",Q30/$I$12)</s:f>
        <s:v>6.4763849474750526</s:v>
      </s:c>
      <s:c r="S30" s="117">
        <s:f>IF(W30&lt;&gt;"",IF(D30&lt;&gt;"",D30,($I$8-SUM($S$25:S29))*V30*W30/SUMPRODUCT($W30:$W$55,$V30:$V$55)),"")</s:f>
        <s:v>83997</s:v>
      </s:c>
      <s:c r="T30" s="118">
        <s:f>IF(W30&lt;&gt;"",IF(E30&lt;&gt;"",E30,($I$9-SUM($T$25:T29))*V30*W30/SUMPRODUCT($W30:$W$55,$V30:$V$55)),"")</s:f>
        <s:v>17</s:v>
      </s:c>
      <s:c r="U30" s="118">
        <s:f>IF(W30&lt;&gt;"",IF($I$12&lt;&gt;"",IF(G30&lt;&gt;"",G30,($I$9/$I$12-SUM($U$25:U29))*V30*W30/SUMPRODUCT($W30:$W$55,$V30:$V$55)),""),"")</s:f>
        <s:v>9</s:v>
      </s:c>
      <s:c r="V30" s="119">
        <s:v>0.78086381145976858</s:v>
      </s:c>
      <s:c r="W30" s="119">
        <s:v>0.78086381145976858</s:v>
      </s:c>
      <s:c r="X30" s="120"/>
      <s:c r="Y30" s="124"/>
      <s:c r="Z30" s="122"/>
      <s:c r="AA30" s="122"/>
      <s:c r="AB30" s="122"/>
      <s:c r="AC30" s="122"/>
      <s:c r="AD30" s="122"/>
      <s:c r="AE30" s="122"/>
      <s:c r="AF30" s="122"/>
      <s:c r="AG30" s="122"/>
      <s:c r="AH30" s="122"/>
      <s:c r="AI30" s="122"/>
      <s:c r="AJ30" s="122"/>
      <s:c r="AK30" s="122"/>
      <s:c r="AL30" s="122"/>
      <s:c r="AM30" s="122"/>
      <s:c r="AN30" s="122"/>
      <s:c r="AO30" s="122"/>
      <s:c r="AP30" s="122"/>
      <s:c r="AQ30" s="122"/>
      <s:c r="AR30" s="122"/>
      <s:c r="AS30" s="122"/>
      <s:c r="AT30" s="122"/>
      <s:c r="AU30" s="122"/>
      <s:c r="AV30" s="122"/>
      <s:c r="AW30" s="122"/>
      <s:c r="AX30" s="122"/>
      <s:c r="AY30" s="122"/>
      <s:c r="AZ30" s="122"/>
      <s:c r="BA30" s="122"/>
      <s:c r="BB30" s="122"/>
      <s:c r="BC30" s="122"/>
      <s:c r="BD30" s="122"/>
      <s:c r="BE30" s="122"/>
      <s:c r="BF30" s="122"/>
      <s:c r="BG30" s="122"/>
      <s:c r="BH30" s="122"/>
      <s:c r="BI30" s="122"/>
      <s:c r="BJ30" s="122"/>
      <s:c r="BK30" s="122"/>
      <s:c r="BL30" s="122"/>
      <s:c r="BM30" s="122"/>
      <s:c r="BN30" s="122"/>
      <s:c r="BO30" s="122"/>
      <s:c r="BP30" s="122"/>
      <s:c r="BQ30" s="122"/>
      <s:c r="BR30" s="122"/>
      <s:c r="BS30" s="122"/>
      <s:c r="BT30" s="122"/>
      <s:c r="BU30" s="122"/>
      <s:c r="BV30" s="122"/>
      <s:c r="BW30" s="122"/>
      <s:c r="BX30" s="122"/>
      <s:c r="BY30" s="122"/>
      <s:c r="BZ30" s="122"/>
      <s:c r="CA30" s="122"/>
      <s:c r="CB30" s="122"/>
      <s:c r="CC30" s="122"/>
      <s:c r="CD30" s="122"/>
      <s:c r="CE30" s="122"/>
      <s:c r="CF30" s="122"/>
      <s:c r="CG30" s="122"/>
      <s:c r="CH30" s="122"/>
      <s:c r="CI30" s="122"/>
      <s:c r="CJ30" s="122"/>
      <s:c r="CK30" s="122"/>
      <s:c r="CL30" s="122"/>
      <s:c r="CM30" s="122"/>
      <s:c r="CN30" s="122"/>
      <s:c r="CO30" s="122"/>
      <s:c r="CP30" s="122"/>
      <s:c r="CQ30" s="122"/>
      <s:c r="CR30" s="122"/>
      <s:c r="CS30" s="122"/>
      <s:c r="CT30" s="122"/>
      <s:c r="CU30" s="122"/>
      <s:c r="CV30" s="122"/>
      <s:c r="CW30" s="122"/>
      <s:c r="CX30" s="122"/>
      <s:c r="CY30" s="122"/>
      <s:c r="CZ30" s="122"/>
      <s:c r="DA30" s="122"/>
      <s:c r="DB30" s="122"/>
      <s:c r="DC30" s="122"/>
      <s:c r="DD30" s="122"/>
      <s:c r="DE30" s="122"/>
      <s:c r="DF30" s="122"/>
      <s:c r="DG30" s="122"/>
      <s:c r="DH30" s="122"/>
      <s:c r="DI30" s="122"/>
      <s:c r="DJ30" s="122"/>
      <s:c r="DK30" s="122"/>
      <s:c r="DL30" s="122"/>
      <s:c r="DM30" s="122"/>
      <s:c r="DN30" s="122"/>
      <s:c r="DO30" s="122"/>
      <s:c r="DP30" s="122"/>
      <s:c r="DQ30" s="122"/>
      <s:c r="DR30" s="122"/>
      <s:c r="DS30" s="122"/>
      <s:c r="DT30" s="122"/>
      <s:c r="DU30" s="122"/>
      <s:c r="DV30" s="122"/>
      <s:c r="DW30" s="122"/>
      <s:c r="DX30" s="122"/>
      <s:c r="DY30" s="122"/>
      <s:c r="DZ30" s="122"/>
      <s:c r="EA30" s="122"/>
      <s:c r="EB30" s="122"/>
      <s:c r="EC30" s="122"/>
      <s:c r="ED30" s="122"/>
      <s:c r="EE30" s="122"/>
      <s:c r="EF30" s="122"/>
      <s:c r="EG30" s="122"/>
      <s:c r="EH30" s="122"/>
      <s:c r="EI30" s="122"/>
      <s:c r="EJ30" s="122"/>
      <s:c r="EK30" s="122"/>
      <s:c r="EL30" s="122"/>
      <s:c r="EM30" s="122"/>
      <s:c r="EN30" s="122"/>
      <s:c r="EO30" s="122"/>
      <s:c r="EP30" s="122"/>
      <s:c r="EQ30" s="122"/>
      <s:c r="ER30" s="122"/>
      <s:c r="ES30" s="122"/>
      <s:c r="ET30" s="122"/>
      <s:c r="EU30" s="122"/>
      <s:c r="EV30" s="122"/>
      <s:c r="EW30" s="122"/>
      <s:c r="EX30" s="122"/>
      <s:c r="EY30" s="122"/>
      <s:c r="EZ30" s="122"/>
      <s:c r="FA30" s="122"/>
      <s:c r="FB30" s="122"/>
      <s:c r="FC30" s="122"/>
      <s:c r="FD30" s="122"/>
      <s:c r="FE30" s="122"/>
      <s:c r="FF30" s="122"/>
      <s:c r="FG30" s="122"/>
      <s:c r="FH30" s="122"/>
      <s:c r="FI30" s="122"/>
      <s:c r="FJ30" s="122"/>
      <s:c r="FK30" s="122"/>
      <s:c r="FL30" s="122"/>
      <s:c r="FM30" s="122"/>
      <s:c r="FN30" s="122"/>
      <s:c r="FO30" s="122"/>
      <s:c r="FP30" s="122"/>
      <s:c r="FQ30" s="122"/>
      <s:c r="FR30" s="122"/>
      <s:c r="FS30" s="122"/>
      <s:c r="FT30" s="122"/>
      <s:c r="FU30" s="122"/>
      <s:c r="FV30" s="122"/>
      <s:c r="FW30" s="122"/>
      <s:c r="FX30" s="122"/>
      <s:c r="FY30" s="122"/>
      <s:c r="FZ30" s="122"/>
      <s:c r="GA30" s="122"/>
      <s:c r="GB30" s="122"/>
      <s:c r="GC30" s="122"/>
      <s:c r="GD30" s="122"/>
      <s:c r="GE30" s="122"/>
      <s:c r="GF30" s="122"/>
      <s:c r="GG30" s="122"/>
      <s:c r="GH30" s="122"/>
      <s:c r="GI30" s="122"/>
      <s:c r="GJ30" s="122"/>
      <s:c r="GK30" s="122"/>
      <s:c r="GL30" s="122"/>
      <s:c r="GM30" s="122"/>
      <s:c r="GN30" s="122"/>
      <s:c r="GO30" s="122"/>
      <s:c r="GP30" s="122"/>
      <s:c r="GQ30" s="122"/>
      <s:c r="GR30" s="122"/>
      <s:c r="GS30" s="122"/>
      <s:c r="GT30" s="122"/>
      <s:c r="GU30" s="122"/>
      <s:c r="GV30" s="122"/>
      <s:c r="GW30" s="122"/>
      <s:c r="GX30" s="122"/>
      <s:c r="GY30" s="122"/>
      <s:c r="GZ30" s="122"/>
      <s:c r="HA30" s="122"/>
      <s:c r="HB30" s="122"/>
      <s:c r="HC30" s="122"/>
      <s:c r="HD30" s="122"/>
      <s:c r="HE30" s="122"/>
      <s:c r="HF30" s="122"/>
      <s:c r="HG30" s="122"/>
      <s:c r="HH30" s="122"/>
      <s:c r="HI30" s="122"/>
      <s:c r="HJ30" s="122"/>
      <s:c r="HK30" s="122"/>
      <s:c r="HL30" s="122"/>
      <s:c r="HM30" s="122"/>
      <s:c r="HN30" s="122"/>
      <s:c r="HO30" s="122"/>
      <s:c r="HP30" s="122"/>
      <s:c r="HQ30" s="122"/>
      <s:c r="HR30" s="122"/>
      <s:c r="HS30" s="122"/>
      <s:c r="HT30" s="122"/>
      <s:c r="HU30" s="122"/>
      <s:c r="HV30" s="122"/>
      <s:c r="HW30" s="122"/>
      <s:c r="HX30" s="122"/>
      <s:c r="HY30" s="122"/>
      <s:c r="HZ30" s="122"/>
      <s:c r="IA30" s="122"/>
      <s:c r="IB30" s="122"/>
      <s:c r="IC30" s="122"/>
      <s:c r="ID30" s="122"/>
      <s:c r="IE30" s="122"/>
      <s:c r="IF30" s="122"/>
      <s:c r="IG30" s="122"/>
      <s:c r="IH30" s="122"/>
      <s:c r="II30" s="122"/>
      <s:c r="IJ30" s="122"/>
      <s:c r="IK30" s="122"/>
      <s:c r="IL30" s="122"/>
      <s:c r="IM30" s="122"/>
      <s:c r="IN30" s="122"/>
      <s:c r="IO30" s="122"/>
      <s:c r="IP30" s="122"/>
      <s:c r="IQ30" s="122"/>
      <s:c r="IR30" s="122"/>
      <s:c r="IS30" s="122"/>
      <s:c r="IT30" s="122"/>
      <s:c r="IU30" s="122"/>
    </s:row>
    <s:row r="31">
      <s:c r="A31" s="95" t="s">
        <s:v>47</s:v>
      </s:c>
      <s:c r="B31" s="96">
        <s:v>45754</s:v>
      </s:c>
      <s:c r="C31" s="97" t="s">
        <s:v>55</s:v>
      </s:c>
      <s:c r="D31" s="98">
        <s:v>25437</s:v>
      </s:c>
      <s:c r="E31" s="99">
        <s:v>6</s:v>
      </s:c>
      <s:c r="F31" s="99">
        <s:f>IF(AND(E31&lt;&gt;"",E31&lt;&gt;0),D31/E31,"")</s:f>
        <s:v>4239.5</s:v>
      </s:c>
      <s:c r="G31" s="99">
        <s:v>3</s:v>
      </s:c>
      <s:c r="H31" s="99">
        <s:f>IF(AND(G31&lt;&gt;"",G31&lt;&gt;0),D31/G31,"")</s:f>
        <s:v>8479</s:v>
      </s:c>
      <s:c r="I31" s="99">
        <s:v>5</s:v>
      </s:c>
      <s:c r="J31" s="98">
        <s:f>IF(AND(G31&lt;&gt;"",G31&lt;&gt;0),E31/G31,"")</s:f>
        <s:v>2</s:v>
      </s:c>
      <s:c r="K31" s="99">
        <s:v>0</s:v>
      </s:c>
      <s:c r="L31" s="99">
        <s:v>0</s:v>
      </s:c>
      <s:c r="M31" s="99"/>
      <s:c r="N31" s="100">
        <s:f>IF(AND(I31&lt;&gt;"",I31&lt;&gt;0),G31/I31,"")</s:f>
        <s:v>0.6</s:v>
      </s:c>
      <s:c r="O31" s="101">
        <s:f>D31/P31</s:f>
        <s:v>0.41131782777671849</s:v>
      </s:c>
      <s:c r="P31" s="102">
        <s:f>$I$8*V31*W31/SUMPRODUCT($W$25:$W$55,$V$25:$V$55)</s:f>
        <s:v>61842.687776247636</s:v>
      </s:c>
      <s:c r="Q31" s="103">
        <s:f>$I$9*V31*W31/SUMPRODUCT($W$25:$W$55,$V$25:$V$55)</s:f>
        <s:v>12.468283825856377</s:v>
      </s:c>
      <s:c r="R31" s="103">
        <s:f>IF($I$12="","",Q31/$I$12)</s:f>
        <s:v>7.0442281502013424</s:v>
      </s:c>
      <s:c r="S31" s="102">
        <s:f>IF(W31&lt;&gt;"",IF(D31&lt;&gt;"",D31,($I$8-SUM($S$25:S30))*V31*W31/SUMPRODUCT($W31:$W$55,$V31:$V$55)),"")</s:f>
        <s:v>25437</s:v>
      </s:c>
      <s:c r="T31" s="103">
        <s:f>IF(W31&lt;&gt;"",IF(E31&lt;&gt;"",E31,($I$9-SUM($T$25:T30))*V31*W31/SUMPRODUCT($W31:$W$55,$V31:$V$55)),"")</s:f>
        <s:v>6</s:v>
      </s:c>
      <s:c r="U31" s="103">
        <s:f>IF(W31&lt;&gt;"",IF($I$12&lt;&gt;"",IF(G31&lt;&gt;"",G31,($I$9/$I$12-SUM($U$25:U30))*V31*W31/SUMPRODUCT($W31:$W$55,$V31:$V$55)),""),"")</s:f>
        <s:v>3</s:v>
      </s:c>
      <s:c r="V31" s="104">
        <s:v>0.81437733010747548</s:v>
      </s:c>
      <s:c r="W31" s="104">
        <s:v>0.81437733010747548</s:v>
      </s:c>
      <s:c r="X31" s="107"/>
      <s:c r="Y31" s="106"/>
    </s:row>
    <s:row r="32">
      <s:c r="A32" s="95" t="s">
        <s:v>47</s:v>
      </s:c>
      <s:c r="B32" s="96">
        <s:v>45755</s:v>
      </s:c>
      <s:c r="C32" s="97" t="s">
        <s:v>48</s:v>
      </s:c>
      <s:c r="D32" s="98">
        <s:v>5483</s:v>
      </s:c>
      <s:c r="E32" s="99">
        <s:v>2</s:v>
      </s:c>
      <s:c r="F32" s="99">
        <s:f>IF(AND(E32&lt;&gt;"",E32&lt;&gt;0),D32/E32,"")</s:f>
        <s:v>2741.5</s:v>
      </s:c>
      <s:c r="G32" s="99">
        <s:v>1</s:v>
      </s:c>
      <s:c r="H32" s="99">
        <s:f>IF(AND(G32&lt;&gt;"",G32&lt;&gt;0),D32/G32,"")</s:f>
        <s:v>5483</s:v>
      </s:c>
      <s:c r="I32" s="99">
        <s:v>12</s:v>
      </s:c>
      <s:c r="J32" s="98">
        <s:f>IF(AND(G32&lt;&gt;"",G32&lt;&gt;0),E32/G32,"")</s:f>
        <s:v>2</s:v>
      </s:c>
      <s:c r="K32" s="99">
        <s:v>0</s:v>
      </s:c>
      <s:c r="L32" s="99">
        <s:v>0</s:v>
      </s:c>
      <s:c r="M32" s="99"/>
      <s:c r="N32" s="100">
        <s:f>IF(AND(I32&lt;&gt;"",I32&lt;&gt;0),G32/I32,"")</s:f>
        <s:v>8.3333333333333329E-2</s:v>
      </s:c>
      <s:c r="O32" s="101">
        <s:f>D32/P32</s:f>
        <s:v>8.8660441471075505E-2</s:v>
      </s:c>
      <s:c r="P32" s="102">
        <s:f>$I$8*V32*W32/SUMPRODUCT($W$25:$W$55,$V$25:$V$55)</s:f>
        <s:v>61842.687776247636</s:v>
      </s:c>
      <s:c r="Q32" s="103">
        <s:f>$I$9*V32*W32/SUMPRODUCT($W$25:$W$55,$V$25:$V$55)</s:f>
        <s:v>12.468283825856377</s:v>
      </s:c>
      <s:c r="R32" s="103">
        <s:f>IF($I$12="","",Q32/$I$12)</s:f>
        <s:v>7.0442281502013424</s:v>
      </s:c>
      <s:c r="S32" s="102">
        <s:f>IF(W32&lt;&gt;"",IF(D32&lt;&gt;"",D32,($I$8-SUM($S$25:S31))*V32*W32/SUMPRODUCT($W32:$W$55,$V32:$V$55)),"")</s:f>
        <s:v>5483</s:v>
      </s:c>
      <s:c r="T32" s="103">
        <s:f>IF(W32&lt;&gt;"",IF(E32&lt;&gt;"",E32,($I$9-SUM($T$25:T31))*V32*W32/SUMPRODUCT($W32:$W$55,$V32:$V$55)),"")</s:f>
        <s:v>2</s:v>
      </s:c>
      <s:c r="U32" s="103">
        <s:f>IF(W32&lt;&gt;"",IF($I$12&lt;&gt;"",IF(G32&lt;&gt;"",G32,($I$9/$I$12-SUM($U$25:U31))*V32*W32/SUMPRODUCT($W32:$W$55,$V32:$V$55)),""),"")</s:f>
        <s:v>1</s:v>
      </s:c>
      <s:c r="V32" s="104">
        <s:v>0.81437733010747548</s:v>
      </s:c>
      <s:c r="W32" s="104">
        <s:v>0.81437733010747548</s:v>
      </s:c>
      <s:c r="X32" s="107"/>
      <s:c r="Y32" s="106"/>
    </s:row>
    <s:row r="33">
      <s:c r="A33" s="95" t="s">
        <s:v>47</s:v>
      </s:c>
      <s:c r="B33" s="96">
        <s:v>45756</s:v>
      </s:c>
      <s:c r="C33" s="97" t="s">
        <s:v>49</s:v>
      </s:c>
      <s:c r="D33" s="98">
        <s:v>3792</s:v>
      </s:c>
      <s:c r="E33" s="99">
        <s:v>1</s:v>
      </s:c>
      <s:c r="F33" s="99">
        <s:f>IF(AND(E33&lt;&gt;"",E33&lt;&gt;0),D33/E33,"")</s:f>
        <s:v>3792</s:v>
      </s:c>
      <s:c r="G33" s="99">
        <s:v>1</s:v>
      </s:c>
      <s:c r="H33" s="99">
        <s:f>IF(AND(G33&lt;&gt;"",G33&lt;&gt;0),D33/G33,"")</s:f>
        <s:v>3792</s:v>
      </s:c>
      <s:c r="I33" s="99">
        <s:v>8</s:v>
      </s:c>
      <s:c r="J33" s="98">
        <s:f>IF(AND(G33&lt;&gt;"",G33&lt;&gt;0),E33/G33,"")</s:f>
        <s:v>1</s:v>
      </s:c>
      <s:c r="K33" s="99">
        <s:v>0</s:v>
      </s:c>
      <s:c r="L33" s="99">
        <s:v>0</s:v>
      </s:c>
      <s:c r="M33" s="99"/>
      <s:c r="N33" s="100">
        <s:f>IF(AND(I33&lt;&gt;"",I33&lt;&gt;0),G33/I33,"")</s:f>
        <s:v>0.125</s:v>
      </s:c>
      <s:c r="O33" s="101">
        <s:f>D33/P33</s:f>
        <s:v>6.1316869242808374E-2</s:v>
      </s:c>
      <s:c r="P33" s="102">
        <s:f>$I$8*V33*W33/SUMPRODUCT($W$25:$W$55,$V$25:$V$55)</s:f>
        <s:v>61842.687776247636</s:v>
      </s:c>
      <s:c r="Q33" s="103">
        <s:f>$I$9*V33*W33/SUMPRODUCT($W$25:$W$55,$V$25:$V$55)</s:f>
        <s:v>12.468283825856377</s:v>
      </s:c>
      <s:c r="R33" s="103">
        <s:f>IF($I$12="","",Q33/$I$12)</s:f>
        <s:v>7.0442281502013424</s:v>
      </s:c>
      <s:c r="S33" s="102">
        <s:f>IF(W33&lt;&gt;"",IF(D33&lt;&gt;"",D33,($I$8-SUM($S$25:S32))*V33*W33/SUMPRODUCT($W33:$W$55,$V33:$V$55)),"")</s:f>
        <s:v>3792</s:v>
      </s:c>
      <s:c r="T33" s="103">
        <s:f>IF(W33&lt;&gt;"",IF(E33&lt;&gt;"",E33,($I$9-SUM($T$25:T32))*V33*W33/SUMPRODUCT($W33:$W$55,$V33:$V$55)),"")</s:f>
        <s:v>1</s:v>
      </s:c>
      <s:c r="U33" s="103">
        <s:f>IF(W33&lt;&gt;"",IF($I$12&lt;&gt;"",IF(G33&lt;&gt;"",G33,($I$9/$I$12-SUM($U$25:U32))*V33*W33/SUMPRODUCT($W33:$W$55,$V33:$V$55)),""),"")</s:f>
        <s:v>1</s:v>
      </s:c>
      <s:c r="V33" s="104">
        <s:v>0.81437733010747548</s:v>
      </s:c>
      <s:c r="W33" s="104">
        <s:v>0.81437733010747548</s:v>
      </s:c>
      <s:c r="X33" s="107"/>
      <s:c r="Y33" s="106"/>
    </s:row>
    <s:row r="34">
      <s:c r="A34" s="95" t="s">
        <s:v>47</s:v>
      </s:c>
      <s:c r="B34" s="96">
        <s:v>45757</s:v>
      </s:c>
      <s:c r="C34" s="97" t="s">
        <s:v>51</s:v>
      </s:c>
      <s:c r="D34" s="98">
        <s:f>37704+7803</s:f>
        <s:v>45507</s:v>
      </s:c>
      <s:c r="E34" s="99">
        <s:v>9</s:v>
      </s:c>
      <s:c r="F34" s="99">
        <s:f>IF(AND(E34&lt;&gt;"",E34&lt;&gt;0),D34/E34,"")</s:f>
        <s:v>5056.333333333333</s:v>
      </s:c>
      <s:c r="G34" s="99">
        <s:v>4</s:v>
      </s:c>
      <s:c r="H34" s="99">
        <s:f>IF(AND(G34&lt;&gt;"",G34&lt;&gt;0),D34/G34,"")</s:f>
        <s:v>11376.75</s:v>
      </s:c>
      <s:c r="I34" s="99">
        <s:v>10</s:v>
      </s:c>
      <s:c r="J34" s="98">
        <s:f>IF(AND(G34&lt;&gt;"",G34&lt;&gt;0),E34/G34,"")</s:f>
        <s:v>2.25</s:v>
      </s:c>
      <s:c r="K34" s="99">
        <s:v>0</s:v>
      </s:c>
      <s:c r="L34" s="99">
        <s:v>7803</s:v>
      </s:c>
      <s:c r="M34" s="99"/>
      <s:c r="N34" s="100">
        <s:f>IF(AND(I34&lt;&gt;"",I34&lt;&gt;0),G34/I34,"")</s:f>
        <s:v>0.4</s:v>
      </s:c>
      <s:c r="O34" s="101">
        <s:f>D34/P34</s:f>
        <s:v>0.48802402332233169</s:v>
      </s:c>
      <s:c r="P34" s="102">
        <s:f>$I$8*V34*W34/SUMPRODUCT($W$25:$W$55,$V$25:$V$55)</s:f>
        <s:v>93247.458783280817</s:v>
      </s:c>
      <s:c r="Q34" s="103">
        <s:f>$I$9*V34*W34/SUMPRODUCT($W$25:$W$55,$V$25:$V$55)</s:f>
        <s:v>18.799890883725972</s:v>
      </s:c>
      <s:c r="R34" s="103">
        <s:f>IF($I$12="","",Q34/$I$12)</s:f>
        <s:v>10.621407278941227</s:v>
      </s:c>
      <s:c r="S34" s="102">
        <s:f>IF(W34&lt;&gt;"",IF(D34&lt;&gt;"",D34,($I$8-SUM($S$25:S33))*V34*W34/SUMPRODUCT($W34:$W$55,$V34:$V$55)),"")</s:f>
        <s:v>45507</s:v>
      </s:c>
      <s:c r="T34" s="103">
        <s:f>IF(W34&lt;&gt;"",IF(E34&lt;&gt;"",E34,($I$9-SUM($T$25:T33))*V34*W34/SUMPRODUCT($W34:$W$55,$V34:$V$55)),"")</s:f>
        <s:v>9</s:v>
      </s:c>
      <s:c r="U34" s="103">
        <s:f>IF(W34&lt;&gt;"",IF($I$12&lt;&gt;"",IF(G34&lt;&gt;"",G34,($I$9/$I$12-SUM($U$25:U33))*V34*W34/SUMPRODUCT($W34:$W$55,$V34:$V$55)),""),"")</s:f>
        <s:v>4</s:v>
      </s:c>
      <s:c r="V34" s="104">
        <s:v>1</s:v>
      </s:c>
      <s:c r="W34" s="104">
        <s:v>1</s:v>
      </s:c>
      <s:c r="X34" s="107"/>
      <s:c r="Y34" s="106"/>
    </s:row>
    <s:row r="35" spans="1:255" s="109" customFormat="1">
      <s:c r="A35" s="110" t="s">
        <s:v>47</s:v>
      </s:c>
      <s:c r="B35" s="111">
        <s:v>45758</s:v>
      </s:c>
      <s:c r="C35" s="112" t="s">
        <s:v>52</s:v>
      </s:c>
      <s:c r="D35" s="113">
        <s:v>4192</s:v>
      </s:c>
      <s:c r="E35" s="114">
        <s:v>1</s:v>
      </s:c>
      <s:c r="F35" s="114">
        <s:f>IF(AND(E35&lt;&gt;"",E35&lt;&gt;0),D35/E35,"")</s:f>
        <s:v>4192</s:v>
      </s:c>
      <s:c r="G35" s="114">
        <s:v>1</s:v>
      </s:c>
      <s:c r="H35" s="114">
        <s:f>IF(AND(G35&lt;&gt;"",G35&lt;&gt;0),D35/G35,"")</s:f>
        <s:v>4192</s:v>
      </s:c>
      <s:c r="I35" s="114">
        <s:v>10</s:v>
      </s:c>
      <s:c r="J35" s="113">
        <s:f>IF(AND(G35&lt;&gt;"",G35&lt;&gt;0),E35/G35,"")</s:f>
        <s:v>1</s:v>
      </s:c>
      <s:c r="K35" s="114">
        <s:v>0</s:v>
      </s:c>
      <s:c r="L35" s="114">
        <s:v>0</s:v>
      </s:c>
      <s:c r="M35" s="114"/>
      <s:c r="N35" s="115">
        <s:f>IF(AND(I35&lt;&gt;"",I35&lt;&gt;0),G35/I35,"")</s:f>
        <s:v>0.1</s:v>
      </s:c>
      <s:c r="O35" s="116">
        <s:f>D35/P35</s:f>
        <s:v>7.372820767945501E-2</s:v>
      </s:c>
      <s:c r="P35" s="117">
        <s:f>$I$8*V35*W35/SUMPRODUCT($W$25:$W$55,$V$25:$V$55)</s:f>
        <s:v>56857.478730872986</s:v>
      </s:c>
      <s:c r="Q35" s="118">
        <s:f>$I$9*V35*W35/SUMPRODUCT($W$25:$W$55,$V$25:$V$55)</s:f>
        <s:v>11.463201357030844</s:v>
      </s:c>
      <s:c r="R35" s="118">
        <s:f>IF($I$12="","",Q35/$I$12)</s:f>
        <s:v>6.4763849474750526</s:v>
      </s:c>
      <s:c r="S35" s="117">
        <s:f>IF(W35&lt;&gt;"",IF(D35&lt;&gt;"",D35,($I$8-SUM($S$25:S34))*V35*W35/SUMPRODUCT($W35:$W$55,$V35:$V$55)),"")</s:f>
        <s:v>4192</s:v>
      </s:c>
      <s:c r="T35" s="118">
        <s:f>IF(W35&lt;&gt;"",IF(E35&lt;&gt;"",E35,($I$9-SUM($T$25:T34))*V35*W35/SUMPRODUCT($W35:$W$55,$V35:$V$55)),"")</s:f>
        <s:v>1</s:v>
      </s:c>
      <s:c r="U35" s="118">
        <s:f>IF(W35&lt;&gt;"",IF($I$12&lt;&gt;"",IF(G35&lt;&gt;"",G35,($I$9/$I$12-SUM($U$25:U34))*V35*W35/SUMPRODUCT($W35:$W$55,$V35:$V$55)),""),"")</s:f>
        <s:v>1</s:v>
      </s:c>
      <s:c r="V35" s="119">
        <s:v>0.78086381145976858</s:v>
      </s:c>
      <s:c r="W35" s="119">
        <s:v>0.78086381145976858</s:v>
      </s:c>
      <s:c r="X35" s="120"/>
      <s:c r="Y35" s="124"/>
      <s:c r="Z35" s="122"/>
      <s:c r="AA35" s="122"/>
      <s:c r="AB35" s="122"/>
      <s:c r="AC35" s="122"/>
      <s:c r="AD35" s="122"/>
      <s:c r="AE35" s="122"/>
      <s:c r="AF35" s="122"/>
      <s:c r="AG35" s="122"/>
      <s:c r="AH35" s="122"/>
      <s:c r="AI35" s="122"/>
      <s:c r="AJ35" s="122"/>
      <s:c r="AK35" s="122"/>
      <s:c r="AL35" s="122"/>
      <s:c r="AM35" s="122"/>
      <s:c r="AN35" s="122"/>
      <s:c r="AO35" s="122"/>
      <s:c r="AP35" s="122"/>
      <s:c r="AQ35" s="122"/>
      <s:c r="AR35" s="122"/>
      <s:c r="AS35" s="122"/>
      <s:c r="AT35" s="122"/>
      <s:c r="AU35" s="122"/>
      <s:c r="AV35" s="122"/>
      <s:c r="AW35" s="122"/>
      <s:c r="AX35" s="122"/>
      <s:c r="AY35" s="122"/>
      <s:c r="AZ35" s="122"/>
      <s:c r="BA35" s="122"/>
      <s:c r="BB35" s="122"/>
      <s:c r="BC35" s="122"/>
      <s:c r="BD35" s="122"/>
      <s:c r="BE35" s="122"/>
      <s:c r="BF35" s="122"/>
      <s:c r="BG35" s="122"/>
      <s:c r="BH35" s="122"/>
      <s:c r="BI35" s="122"/>
      <s:c r="BJ35" s="122"/>
      <s:c r="BK35" s="122"/>
      <s:c r="BL35" s="122"/>
      <s:c r="BM35" s="122"/>
      <s:c r="BN35" s="122"/>
      <s:c r="BO35" s="122"/>
      <s:c r="BP35" s="122"/>
      <s:c r="BQ35" s="122"/>
      <s:c r="BR35" s="122"/>
      <s:c r="BS35" s="122"/>
      <s:c r="BT35" s="122"/>
      <s:c r="BU35" s="122"/>
      <s:c r="BV35" s="122"/>
      <s:c r="BW35" s="122"/>
      <s:c r="BX35" s="122"/>
      <s:c r="BY35" s="122"/>
      <s:c r="BZ35" s="122"/>
      <s:c r="CA35" s="122"/>
      <s:c r="CB35" s="122"/>
      <s:c r="CC35" s="122"/>
      <s:c r="CD35" s="122"/>
      <s:c r="CE35" s="122"/>
      <s:c r="CF35" s="122"/>
      <s:c r="CG35" s="122"/>
      <s:c r="CH35" s="122"/>
      <s:c r="CI35" s="122"/>
      <s:c r="CJ35" s="122"/>
      <s:c r="CK35" s="122"/>
      <s:c r="CL35" s="122"/>
      <s:c r="CM35" s="122"/>
      <s:c r="CN35" s="122"/>
      <s:c r="CO35" s="122"/>
      <s:c r="CP35" s="122"/>
      <s:c r="CQ35" s="122"/>
      <s:c r="CR35" s="122"/>
      <s:c r="CS35" s="122"/>
      <s:c r="CT35" s="122"/>
      <s:c r="CU35" s="122"/>
      <s:c r="CV35" s="122"/>
      <s:c r="CW35" s="122"/>
      <s:c r="CX35" s="122"/>
      <s:c r="CY35" s="122"/>
      <s:c r="CZ35" s="122"/>
      <s:c r="DA35" s="122"/>
      <s:c r="DB35" s="122"/>
      <s:c r="DC35" s="122"/>
      <s:c r="DD35" s="122"/>
      <s:c r="DE35" s="122"/>
      <s:c r="DF35" s="122"/>
      <s:c r="DG35" s="122"/>
      <s:c r="DH35" s="122"/>
      <s:c r="DI35" s="122"/>
      <s:c r="DJ35" s="122"/>
      <s:c r="DK35" s="122"/>
      <s:c r="DL35" s="122"/>
      <s:c r="DM35" s="122"/>
      <s:c r="DN35" s="122"/>
      <s:c r="DO35" s="122"/>
      <s:c r="DP35" s="122"/>
      <s:c r="DQ35" s="122"/>
      <s:c r="DR35" s="122"/>
      <s:c r="DS35" s="122"/>
      <s:c r="DT35" s="122"/>
      <s:c r="DU35" s="122"/>
      <s:c r="DV35" s="122"/>
      <s:c r="DW35" s="122"/>
      <s:c r="DX35" s="122"/>
      <s:c r="DY35" s="122"/>
      <s:c r="DZ35" s="122"/>
      <s:c r="EA35" s="122"/>
      <s:c r="EB35" s="122"/>
      <s:c r="EC35" s="122"/>
      <s:c r="ED35" s="122"/>
      <s:c r="EE35" s="122"/>
      <s:c r="EF35" s="122"/>
      <s:c r="EG35" s="122"/>
      <s:c r="EH35" s="122"/>
      <s:c r="EI35" s="122"/>
      <s:c r="EJ35" s="122"/>
      <s:c r="EK35" s="122"/>
      <s:c r="EL35" s="122"/>
      <s:c r="EM35" s="122"/>
      <s:c r="EN35" s="122"/>
      <s:c r="EO35" s="122"/>
      <s:c r="EP35" s="122"/>
      <s:c r="EQ35" s="122"/>
      <s:c r="ER35" s="122"/>
      <s:c r="ES35" s="122"/>
      <s:c r="ET35" s="122"/>
      <s:c r="EU35" s="122"/>
      <s:c r="EV35" s="122"/>
      <s:c r="EW35" s="122"/>
      <s:c r="EX35" s="122"/>
      <s:c r="EY35" s="122"/>
      <s:c r="EZ35" s="122"/>
      <s:c r="FA35" s="122"/>
      <s:c r="FB35" s="122"/>
      <s:c r="FC35" s="122"/>
      <s:c r="FD35" s="122"/>
      <s:c r="FE35" s="122"/>
      <s:c r="FF35" s="122"/>
      <s:c r="FG35" s="122"/>
      <s:c r="FH35" s="122"/>
      <s:c r="FI35" s="122"/>
      <s:c r="FJ35" s="122"/>
      <s:c r="FK35" s="122"/>
      <s:c r="FL35" s="122"/>
      <s:c r="FM35" s="122"/>
      <s:c r="FN35" s="122"/>
      <s:c r="FO35" s="122"/>
      <s:c r="FP35" s="122"/>
      <s:c r="FQ35" s="122"/>
      <s:c r="FR35" s="122"/>
      <s:c r="FS35" s="122"/>
      <s:c r="FT35" s="122"/>
      <s:c r="FU35" s="122"/>
      <s:c r="FV35" s="122"/>
      <s:c r="FW35" s="122"/>
      <s:c r="FX35" s="122"/>
      <s:c r="FY35" s="122"/>
      <s:c r="FZ35" s="122"/>
      <s:c r="GA35" s="122"/>
      <s:c r="GB35" s="122"/>
      <s:c r="GC35" s="122"/>
      <s:c r="GD35" s="122"/>
      <s:c r="GE35" s="122"/>
      <s:c r="GF35" s="122"/>
      <s:c r="GG35" s="122"/>
      <s:c r="GH35" s="122"/>
      <s:c r="GI35" s="122"/>
      <s:c r="GJ35" s="122"/>
      <s:c r="GK35" s="122"/>
      <s:c r="GL35" s="122"/>
      <s:c r="GM35" s="122"/>
      <s:c r="GN35" s="122"/>
      <s:c r="GO35" s="122"/>
      <s:c r="GP35" s="122"/>
      <s:c r="GQ35" s="122"/>
      <s:c r="GR35" s="122"/>
      <s:c r="GS35" s="122"/>
      <s:c r="GT35" s="122"/>
      <s:c r="GU35" s="122"/>
      <s:c r="GV35" s="122"/>
      <s:c r="GW35" s="122"/>
      <s:c r="GX35" s="122"/>
      <s:c r="GY35" s="122"/>
      <s:c r="GZ35" s="122"/>
      <s:c r="HA35" s="122"/>
      <s:c r="HB35" s="122"/>
      <s:c r="HC35" s="122"/>
      <s:c r="HD35" s="122"/>
      <s:c r="HE35" s="122"/>
      <s:c r="HF35" s="122"/>
      <s:c r="HG35" s="122"/>
      <s:c r="HH35" s="122"/>
      <s:c r="HI35" s="122"/>
      <s:c r="HJ35" s="122"/>
      <s:c r="HK35" s="122"/>
      <s:c r="HL35" s="122"/>
      <s:c r="HM35" s="122"/>
      <s:c r="HN35" s="122"/>
      <s:c r="HO35" s="122"/>
      <s:c r="HP35" s="122"/>
      <s:c r="HQ35" s="122"/>
      <s:c r="HR35" s="122"/>
      <s:c r="HS35" s="122"/>
      <s:c r="HT35" s="122"/>
      <s:c r="HU35" s="122"/>
      <s:c r="HV35" s="122"/>
      <s:c r="HW35" s="122"/>
      <s:c r="HX35" s="122"/>
      <s:c r="HY35" s="122"/>
      <s:c r="HZ35" s="122"/>
      <s:c r="IA35" s="122"/>
      <s:c r="IB35" s="122"/>
      <s:c r="IC35" s="122"/>
      <s:c r="ID35" s="122"/>
      <s:c r="IE35" s="122"/>
      <s:c r="IF35" s="122"/>
      <s:c r="IG35" s="122"/>
      <s:c r="IH35" s="122"/>
      <s:c r="II35" s="122"/>
      <s:c r="IJ35" s="122"/>
      <s:c r="IK35" s="122"/>
      <s:c r="IL35" s="122"/>
      <s:c r="IM35" s="122"/>
      <s:c r="IN35" s="122"/>
      <s:c r="IO35" s="122"/>
      <s:c r="IP35" s="122"/>
      <s:c r="IQ35" s="122"/>
      <s:c r="IR35" s="122"/>
      <s:c r="IS35" s="122"/>
      <s:c r="IT35" s="122"/>
      <s:c r="IU35" s="122"/>
    </s:row>
    <s:row r="36" spans="1:255" s="109" customFormat="1">
      <s:c r="A36" s="110" t="s">
        <s:v>47</s:v>
      </s:c>
      <s:c r="B36" s="111">
        <s:v>45759</s:v>
      </s:c>
      <s:c r="C36" s="112" t="s">
        <s:v>53</s:v>
      </s:c>
      <s:c r="D36" s="113">
        <s:f>12474+37008</s:f>
        <s:v>49482</s:v>
      </s:c>
      <s:c r="E36" s="112">
        <s:v>7</s:v>
      </s:c>
      <s:c r="F36" s="114">
        <s:f>IF(AND(E36&lt;&gt;"",E36&lt;&gt;0),D36/E36,"")</s:f>
        <s:v>7068.8571428571431</s:v>
      </s:c>
      <s:c r="G36" s="114">
        <s:v>3</s:v>
      </s:c>
      <s:c r="H36" s="114">
        <s:f>IF(AND(G36&lt;&gt;"",G36&lt;&gt;0),D36/G36,"")</s:f>
        <s:v>16494</s:v>
      </s:c>
      <s:c r="I36" s="114">
        <s:v>7</s:v>
      </s:c>
      <s:c r="J36" s="113">
        <s:f>IF(AND(G36&lt;&gt;"",G36&lt;&gt;0),E36/G36,"")</s:f>
        <s:v>2.3333333333333335</s:v>
      </s:c>
      <s:c r="K36" s="114">
        <s:v>0</s:v>
      </s:c>
      <s:c r="L36" s="114">
        <s:v>37008</s:v>
      </s:c>
      <s:c r="M36" s="114"/>
      <s:c r="N36" s="115">
        <s:f>IF(AND(I36&lt;&gt;"",I36&lt;&gt;0),G36/I36,"")</s:f>
        <s:v>0.42857142857142855</s:v>
      </s:c>
      <s:c r="O36" s="116">
        <s:f>D36/P36</s:f>
        <s:v>0.87028129112471209</s:v>
      </s:c>
      <s:c r="P36" s="117">
        <s:f>$I$8*V36*W36/SUMPRODUCT($W$25:$W$55,$V$25:$V$55)</s:f>
        <s:v>56857.478730872986</s:v>
      </s:c>
      <s:c r="Q36" s="118">
        <s:f>$I$9*V36*W36/SUMPRODUCT($W$25:$W$55,$V$25:$V$55)</s:f>
        <s:v>11.463201357030844</s:v>
      </s:c>
      <s:c r="R36" s="118">
        <s:f>IF($I$12="","",Q36/$I$12)</s:f>
        <s:v>6.4763849474750526</s:v>
      </s:c>
      <s:c r="S36" s="117">
        <s:f>IF(W36&lt;&gt;"",IF(D36&lt;&gt;"",D36,($I$8-SUM($S$25:S35))*V36*W36/SUMPRODUCT($W36:$W$55,$V36:$V$55)),"")</s:f>
        <s:v>49482</s:v>
      </s:c>
      <s:c r="T36" s="118">
        <s:f>IF(W36&lt;&gt;"",IF(E35&lt;&gt;"",E35,($I$9-SUM($T$25:T35))*V36*W36/SUMPRODUCT($W36:$W$55,$V36:$V$55)),"")</s:f>
        <s:v>1</s:v>
      </s:c>
      <s:c r="U36" s="118">
        <s:f>IF(W36&lt;&gt;"",IF($I$12&lt;&gt;"",IF(G36&lt;&gt;"",G36,($I$9/$I$12-SUM($U$25:U35))*V36*W36/SUMPRODUCT($W36:$W$55,$V36:$V$55)),""),"")</s:f>
        <s:v>3</s:v>
      </s:c>
      <s:c r="V36" s="119">
        <s:v>0.78086381145976858</s:v>
      </s:c>
      <s:c r="W36" s="119">
        <s:v>0.78086381145976858</s:v>
      </s:c>
      <s:c r="X36" s="120"/>
      <s:c r="Y36" s="124"/>
      <s:c r="Z36" s="122"/>
      <s:c r="AA36" s="122"/>
      <s:c r="AB36" s="122"/>
      <s:c r="AC36" s="122"/>
      <s:c r="AD36" s="122"/>
      <s:c r="AE36" s="122"/>
      <s:c r="AF36" s="122"/>
      <s:c r="AG36" s="122"/>
      <s:c r="AH36" s="122"/>
      <s:c r="AI36" s="122"/>
      <s:c r="AJ36" s="122"/>
      <s:c r="AK36" s="122"/>
      <s:c r="AL36" s="122"/>
      <s:c r="AM36" s="122"/>
      <s:c r="AN36" s="122"/>
      <s:c r="AO36" s="122"/>
      <s:c r="AP36" s="122"/>
      <s:c r="AQ36" s="122"/>
      <s:c r="AR36" s="122"/>
      <s:c r="AS36" s="122"/>
      <s:c r="AT36" s="122"/>
      <s:c r="AU36" s="122"/>
      <s:c r="AV36" s="122"/>
      <s:c r="AW36" s="122"/>
      <s:c r="AX36" s="122"/>
      <s:c r="AY36" s="122"/>
      <s:c r="AZ36" s="122"/>
      <s:c r="BA36" s="122"/>
      <s:c r="BB36" s="122"/>
      <s:c r="BC36" s="122"/>
      <s:c r="BD36" s="122"/>
      <s:c r="BE36" s="122"/>
      <s:c r="BF36" s="122"/>
      <s:c r="BG36" s="122"/>
      <s:c r="BH36" s="122"/>
      <s:c r="BI36" s="122"/>
      <s:c r="BJ36" s="122"/>
      <s:c r="BK36" s="122"/>
      <s:c r="BL36" s="122"/>
      <s:c r="BM36" s="122"/>
      <s:c r="BN36" s="122"/>
      <s:c r="BO36" s="122"/>
      <s:c r="BP36" s="122"/>
      <s:c r="BQ36" s="122"/>
      <s:c r="BR36" s="122"/>
      <s:c r="BS36" s="122"/>
      <s:c r="BT36" s="122"/>
      <s:c r="BU36" s="122"/>
      <s:c r="BV36" s="122"/>
      <s:c r="BW36" s="122"/>
      <s:c r="BX36" s="122"/>
      <s:c r="BY36" s="122"/>
      <s:c r="BZ36" s="122"/>
      <s:c r="CA36" s="122"/>
      <s:c r="CB36" s="122"/>
      <s:c r="CC36" s="122"/>
      <s:c r="CD36" s="122"/>
      <s:c r="CE36" s="122"/>
      <s:c r="CF36" s="122"/>
      <s:c r="CG36" s="122"/>
      <s:c r="CH36" s="122"/>
      <s:c r="CI36" s="122"/>
      <s:c r="CJ36" s="122"/>
      <s:c r="CK36" s="122"/>
      <s:c r="CL36" s="122"/>
      <s:c r="CM36" s="122"/>
      <s:c r="CN36" s="122"/>
      <s:c r="CO36" s="122"/>
      <s:c r="CP36" s="122"/>
      <s:c r="CQ36" s="122"/>
      <s:c r="CR36" s="122"/>
      <s:c r="CS36" s="122"/>
      <s:c r="CT36" s="122"/>
      <s:c r="CU36" s="122"/>
      <s:c r="CV36" s="122"/>
      <s:c r="CW36" s="122"/>
      <s:c r="CX36" s="122"/>
      <s:c r="CY36" s="122"/>
      <s:c r="CZ36" s="122"/>
      <s:c r="DA36" s="122"/>
      <s:c r="DB36" s="122"/>
      <s:c r="DC36" s="122"/>
      <s:c r="DD36" s="122"/>
      <s:c r="DE36" s="122"/>
      <s:c r="DF36" s="122"/>
      <s:c r="DG36" s="122"/>
      <s:c r="DH36" s="122"/>
      <s:c r="DI36" s="122"/>
      <s:c r="DJ36" s="122"/>
      <s:c r="DK36" s="122"/>
      <s:c r="DL36" s="122"/>
      <s:c r="DM36" s="122"/>
      <s:c r="DN36" s="122"/>
      <s:c r="DO36" s="122"/>
      <s:c r="DP36" s="122"/>
      <s:c r="DQ36" s="122"/>
      <s:c r="DR36" s="122"/>
      <s:c r="DS36" s="122"/>
      <s:c r="DT36" s="122"/>
      <s:c r="DU36" s="122"/>
      <s:c r="DV36" s="122"/>
      <s:c r="DW36" s="122"/>
      <s:c r="DX36" s="122"/>
      <s:c r="DY36" s="122"/>
      <s:c r="DZ36" s="122"/>
      <s:c r="EA36" s="122"/>
      <s:c r="EB36" s="122"/>
      <s:c r="EC36" s="122"/>
      <s:c r="ED36" s="122"/>
      <s:c r="EE36" s="122"/>
      <s:c r="EF36" s="122"/>
      <s:c r="EG36" s="122"/>
      <s:c r="EH36" s="122"/>
      <s:c r="EI36" s="122"/>
      <s:c r="EJ36" s="122"/>
      <s:c r="EK36" s="122"/>
      <s:c r="EL36" s="122"/>
      <s:c r="EM36" s="122"/>
      <s:c r="EN36" s="122"/>
      <s:c r="EO36" s="122"/>
      <s:c r="EP36" s="122"/>
      <s:c r="EQ36" s="122"/>
      <s:c r="ER36" s="122"/>
      <s:c r="ES36" s="122"/>
      <s:c r="ET36" s="122"/>
      <s:c r="EU36" s="122"/>
      <s:c r="EV36" s="122"/>
      <s:c r="EW36" s="122"/>
      <s:c r="EX36" s="122"/>
      <s:c r="EY36" s="122"/>
      <s:c r="EZ36" s="122"/>
      <s:c r="FA36" s="122"/>
      <s:c r="FB36" s="122"/>
      <s:c r="FC36" s="122"/>
      <s:c r="FD36" s="122"/>
      <s:c r="FE36" s="122"/>
      <s:c r="FF36" s="122"/>
      <s:c r="FG36" s="122"/>
      <s:c r="FH36" s="122"/>
      <s:c r="FI36" s="122"/>
      <s:c r="FJ36" s="122"/>
      <s:c r="FK36" s="122"/>
      <s:c r="FL36" s="122"/>
      <s:c r="FM36" s="122"/>
      <s:c r="FN36" s="122"/>
      <s:c r="FO36" s="122"/>
      <s:c r="FP36" s="122"/>
      <s:c r="FQ36" s="122"/>
      <s:c r="FR36" s="122"/>
      <s:c r="FS36" s="122"/>
      <s:c r="FT36" s="122"/>
      <s:c r="FU36" s="122"/>
      <s:c r="FV36" s="122"/>
      <s:c r="FW36" s="122"/>
      <s:c r="FX36" s="122"/>
      <s:c r="FY36" s="122"/>
      <s:c r="FZ36" s="122"/>
      <s:c r="GA36" s="122"/>
      <s:c r="GB36" s="122"/>
      <s:c r="GC36" s="122"/>
      <s:c r="GD36" s="122"/>
      <s:c r="GE36" s="122"/>
      <s:c r="GF36" s="122"/>
      <s:c r="GG36" s="122"/>
      <s:c r="GH36" s="122"/>
      <s:c r="GI36" s="122"/>
      <s:c r="GJ36" s="122"/>
      <s:c r="GK36" s="122"/>
      <s:c r="GL36" s="122"/>
      <s:c r="GM36" s="122"/>
      <s:c r="GN36" s="122"/>
      <s:c r="GO36" s="122"/>
      <s:c r="GP36" s="122"/>
      <s:c r="GQ36" s="122"/>
      <s:c r="GR36" s="122"/>
      <s:c r="GS36" s="122"/>
      <s:c r="GT36" s="122"/>
      <s:c r="GU36" s="122"/>
      <s:c r="GV36" s="122"/>
      <s:c r="GW36" s="122"/>
      <s:c r="GX36" s="122"/>
      <s:c r="GY36" s="122"/>
      <s:c r="GZ36" s="122"/>
      <s:c r="HA36" s="122"/>
      <s:c r="HB36" s="122"/>
      <s:c r="HC36" s="122"/>
      <s:c r="HD36" s="122"/>
      <s:c r="HE36" s="122"/>
      <s:c r="HF36" s="122"/>
      <s:c r="HG36" s="122"/>
      <s:c r="HH36" s="122"/>
      <s:c r="HI36" s="122"/>
      <s:c r="HJ36" s="122"/>
      <s:c r="HK36" s="122"/>
      <s:c r="HL36" s="122"/>
      <s:c r="HM36" s="122"/>
      <s:c r="HN36" s="122"/>
      <s:c r="HO36" s="122"/>
      <s:c r="HP36" s="122"/>
      <s:c r="HQ36" s="122"/>
      <s:c r="HR36" s="122"/>
      <s:c r="HS36" s="122"/>
      <s:c r="HT36" s="122"/>
      <s:c r="HU36" s="122"/>
      <s:c r="HV36" s="122"/>
      <s:c r="HW36" s="122"/>
      <s:c r="HX36" s="122"/>
      <s:c r="HY36" s="122"/>
      <s:c r="HZ36" s="122"/>
      <s:c r="IA36" s="122"/>
      <s:c r="IB36" s="122"/>
      <s:c r="IC36" s="122"/>
      <s:c r="ID36" s="122"/>
      <s:c r="IE36" s="122"/>
      <s:c r="IF36" s="122"/>
      <s:c r="IG36" s="122"/>
      <s:c r="IH36" s="122"/>
      <s:c r="II36" s="122"/>
      <s:c r="IJ36" s="122"/>
      <s:c r="IK36" s="122"/>
      <s:c r="IL36" s="122"/>
      <s:c r="IM36" s="122"/>
      <s:c r="IN36" s="122"/>
      <s:c r="IO36" s="122"/>
      <s:c r="IP36" s="122"/>
      <s:c r="IQ36" s="122"/>
      <s:c r="IR36" s="122"/>
      <s:c r="IS36" s="122"/>
      <s:c r="IT36" s="122"/>
      <s:c r="IU36" s="122"/>
    </s:row>
    <s:row r="37" spans="1:255" s="109" customFormat="1" ht="15.25" customHeight="1">
      <s:c r="A37" s="110" t="s">
        <s:v>47</s:v>
      </s:c>
      <s:c r="B37" s="111">
        <s:v>45760</s:v>
      </s:c>
      <s:c r="C37" s="112" t="s">
        <s:v>54</s:v>
      </s:c>
      <s:c r="D37" s="113">
        <s:v>42990</s:v>
      </s:c>
      <s:c r="E37" s="114">
        <s:v>8</s:v>
      </s:c>
      <s:c r="F37" s="114">
        <s:f>IF(AND(E37&lt;&gt;"",E37&lt;&gt;0),D37/E37,"")</s:f>
        <s:v>5373.75</s:v>
      </s:c>
      <s:c r="G37" s="114">
        <s:v>7</s:v>
      </s:c>
      <s:c r="H37" s="114">
        <s:f>IF(AND(G37&lt;&gt;"",G37&lt;&gt;0),D37/G37,"")</s:f>
        <s:v>6141.4285714285716</s:v>
      </s:c>
      <s:c r="I37" s="114">
        <s:v>30</s:v>
      </s:c>
      <s:c r="J37" s="113">
        <s:f>IF(AND(G37&lt;&gt;"",G37&lt;&gt;0),E37/G37,"")</s:f>
        <s:v>1.1428571428571428</s:v>
      </s:c>
      <s:c r="K37" s="114">
        <s:f>11993+5493</s:f>
        <s:v>17486</s:v>
      </s:c>
      <s:c r="L37" s="114"/>
      <s:c r="M37" s="114"/>
      <s:c r="N37" s="115">
        <s:f>IF(AND(I37&lt;&gt;"",I37&lt;&gt;0),G37/I37,"")</s:f>
        <s:v>0.23333333333333334</s:v>
      </s:c>
      <s:c r="O37" s="116">
        <s:f>D37/P37</s:f>
        <s:v>0.75610106110204467</s:v>
      </s:c>
      <s:c r="P37" s="117">
        <s:f>$I$8*V37*W37/SUMPRODUCT($W$25:$W$55,$V$25:$V$55)</s:f>
        <s:v>56857.478730872986</s:v>
      </s:c>
      <s:c r="Q37" s="118">
        <s:f>$I$9*V37*W37/SUMPRODUCT($W$25:$W$55,$V$25:$V$55)</s:f>
        <s:v>11.463201357030844</s:v>
      </s:c>
      <s:c r="R37" s="118">
        <s:f>IF($I$12="","",Q37/$I$12)</s:f>
        <s:v>6.4763849474750526</s:v>
      </s:c>
      <s:c r="S37" s="117">
        <s:f>IF(W37&lt;&gt;"",IF(D37&lt;&gt;"",D37,($I$8-SUM($S$25:S36))*V37*W37/SUMPRODUCT($W37:$W$55,$V37:$V$55)),"")</s:f>
        <s:v>42990</s:v>
      </s:c>
      <s:c r="T37" s="118">
        <s:f>IF(W37&lt;&gt;"",IF(E37&lt;&gt;"",E37,($I$9-SUM($T$25:T36))*V37*W37/SUMPRODUCT($W37:$W$55,$V37:$V$55)),"")</s:f>
        <s:v>8</s:v>
      </s:c>
      <s:c r="U37" s="118">
        <s:f>IF(W37&lt;&gt;"",IF($I$12&lt;&gt;"",IF(G37&lt;&gt;"",G37,($I$9/$I$12-SUM($U$25:U36))*V37*W37/SUMPRODUCT($W37:$W$55,$V37:$V$55)),""),"")</s:f>
        <s:v>7</s:v>
      </s:c>
      <s:c r="V37" s="119">
        <s:v>0.78086381145976858</s:v>
      </s:c>
      <s:c r="W37" s="119">
        <s:v>0.78086381145976858</s:v>
      </s:c>
      <s:c r="X37" s="120"/>
      <s:c r="Y37" s="124"/>
      <s:c r="Z37" s="122"/>
      <s:c r="AA37" s="122"/>
      <s:c r="AB37" s="122"/>
      <s:c r="AC37" s="122"/>
      <s:c r="AD37" s="122"/>
      <s:c r="AE37" s="122"/>
      <s:c r="AF37" s="122"/>
      <s:c r="AG37" s="122"/>
      <s:c r="AH37" s="122"/>
      <s:c r="AI37" s="122"/>
      <s:c r="AJ37" s="122"/>
      <s:c r="AK37" s="122"/>
      <s:c r="AL37" s="122"/>
      <s:c r="AM37" s="122"/>
      <s:c r="AN37" s="122"/>
      <s:c r="AO37" s="122"/>
      <s:c r="AP37" s="122"/>
      <s:c r="AQ37" s="122"/>
      <s:c r="AR37" s="122"/>
      <s:c r="AS37" s="122"/>
      <s:c r="AT37" s="122"/>
      <s:c r="AU37" s="122"/>
      <s:c r="AV37" s="122"/>
      <s:c r="AW37" s="122"/>
      <s:c r="AX37" s="122"/>
      <s:c r="AY37" s="122"/>
      <s:c r="AZ37" s="122"/>
      <s:c r="BA37" s="122"/>
      <s:c r="BB37" s="122"/>
      <s:c r="BC37" s="122"/>
      <s:c r="BD37" s="122"/>
      <s:c r="BE37" s="122"/>
      <s:c r="BF37" s="122"/>
      <s:c r="BG37" s="122"/>
      <s:c r="BH37" s="122"/>
      <s:c r="BI37" s="122"/>
      <s:c r="BJ37" s="122"/>
      <s:c r="BK37" s="122"/>
      <s:c r="BL37" s="122"/>
      <s:c r="BM37" s="122"/>
      <s:c r="BN37" s="122"/>
      <s:c r="BO37" s="122"/>
      <s:c r="BP37" s="122"/>
      <s:c r="BQ37" s="122"/>
      <s:c r="BR37" s="122"/>
      <s:c r="BS37" s="122"/>
      <s:c r="BT37" s="122"/>
      <s:c r="BU37" s="122"/>
      <s:c r="BV37" s="122"/>
      <s:c r="BW37" s="122"/>
      <s:c r="BX37" s="122"/>
      <s:c r="BY37" s="122"/>
      <s:c r="BZ37" s="122"/>
      <s:c r="CA37" s="122"/>
      <s:c r="CB37" s="122"/>
      <s:c r="CC37" s="122"/>
      <s:c r="CD37" s="122"/>
      <s:c r="CE37" s="122"/>
      <s:c r="CF37" s="122"/>
      <s:c r="CG37" s="122"/>
      <s:c r="CH37" s="122"/>
      <s:c r="CI37" s="122"/>
      <s:c r="CJ37" s="122"/>
      <s:c r="CK37" s="122"/>
      <s:c r="CL37" s="122"/>
      <s:c r="CM37" s="122"/>
      <s:c r="CN37" s="122"/>
      <s:c r="CO37" s="122"/>
      <s:c r="CP37" s="122"/>
      <s:c r="CQ37" s="122"/>
      <s:c r="CR37" s="122"/>
      <s:c r="CS37" s="122"/>
      <s:c r="CT37" s="122"/>
      <s:c r="CU37" s="122"/>
      <s:c r="CV37" s="122"/>
      <s:c r="CW37" s="122"/>
      <s:c r="CX37" s="122"/>
      <s:c r="CY37" s="122"/>
      <s:c r="CZ37" s="122"/>
      <s:c r="DA37" s="122"/>
      <s:c r="DB37" s="122"/>
      <s:c r="DC37" s="122"/>
      <s:c r="DD37" s="122"/>
      <s:c r="DE37" s="122"/>
      <s:c r="DF37" s="122"/>
      <s:c r="DG37" s="122"/>
      <s:c r="DH37" s="122"/>
      <s:c r="DI37" s="122"/>
      <s:c r="DJ37" s="122"/>
      <s:c r="DK37" s="122"/>
      <s:c r="DL37" s="122"/>
      <s:c r="DM37" s="122"/>
      <s:c r="DN37" s="122"/>
      <s:c r="DO37" s="122"/>
      <s:c r="DP37" s="122"/>
      <s:c r="DQ37" s="122"/>
      <s:c r="DR37" s="122"/>
      <s:c r="DS37" s="122"/>
      <s:c r="DT37" s="122"/>
      <s:c r="DU37" s="122"/>
      <s:c r="DV37" s="122"/>
      <s:c r="DW37" s="122"/>
      <s:c r="DX37" s="122"/>
      <s:c r="DY37" s="122"/>
      <s:c r="DZ37" s="122"/>
      <s:c r="EA37" s="122"/>
      <s:c r="EB37" s="122"/>
      <s:c r="EC37" s="122"/>
      <s:c r="ED37" s="122"/>
      <s:c r="EE37" s="122"/>
      <s:c r="EF37" s="122"/>
      <s:c r="EG37" s="122"/>
      <s:c r="EH37" s="122"/>
      <s:c r="EI37" s="122"/>
      <s:c r="EJ37" s="122"/>
      <s:c r="EK37" s="122"/>
      <s:c r="EL37" s="122"/>
      <s:c r="EM37" s="122"/>
      <s:c r="EN37" s="122"/>
      <s:c r="EO37" s="122"/>
      <s:c r="EP37" s="122"/>
      <s:c r="EQ37" s="122"/>
      <s:c r="ER37" s="122"/>
      <s:c r="ES37" s="122"/>
      <s:c r="ET37" s="122"/>
      <s:c r="EU37" s="122"/>
      <s:c r="EV37" s="122"/>
      <s:c r="EW37" s="122"/>
      <s:c r="EX37" s="122"/>
      <s:c r="EY37" s="122"/>
      <s:c r="EZ37" s="122"/>
      <s:c r="FA37" s="122"/>
      <s:c r="FB37" s="122"/>
      <s:c r="FC37" s="122"/>
      <s:c r="FD37" s="122"/>
      <s:c r="FE37" s="122"/>
      <s:c r="FF37" s="122"/>
      <s:c r="FG37" s="122"/>
      <s:c r="FH37" s="122"/>
      <s:c r="FI37" s="122"/>
      <s:c r="FJ37" s="122"/>
      <s:c r="FK37" s="122"/>
      <s:c r="FL37" s="122"/>
      <s:c r="FM37" s="122"/>
      <s:c r="FN37" s="122"/>
      <s:c r="FO37" s="122"/>
      <s:c r="FP37" s="122"/>
      <s:c r="FQ37" s="122"/>
      <s:c r="FR37" s="122"/>
      <s:c r="FS37" s="122"/>
      <s:c r="FT37" s="122"/>
      <s:c r="FU37" s="122"/>
      <s:c r="FV37" s="122"/>
      <s:c r="FW37" s="122"/>
      <s:c r="FX37" s="122"/>
      <s:c r="FY37" s="122"/>
      <s:c r="FZ37" s="122"/>
      <s:c r="GA37" s="122"/>
      <s:c r="GB37" s="122"/>
      <s:c r="GC37" s="122"/>
      <s:c r="GD37" s="122"/>
      <s:c r="GE37" s="122"/>
      <s:c r="GF37" s="122"/>
      <s:c r="GG37" s="122"/>
      <s:c r="GH37" s="122"/>
      <s:c r="GI37" s="122"/>
      <s:c r="GJ37" s="122"/>
      <s:c r="GK37" s="122"/>
      <s:c r="GL37" s="122"/>
      <s:c r="GM37" s="122"/>
      <s:c r="GN37" s="122"/>
      <s:c r="GO37" s="122"/>
      <s:c r="GP37" s="122"/>
      <s:c r="GQ37" s="122"/>
      <s:c r="GR37" s="122"/>
      <s:c r="GS37" s="122"/>
      <s:c r="GT37" s="122"/>
      <s:c r="GU37" s="122"/>
      <s:c r="GV37" s="122"/>
      <s:c r="GW37" s="122"/>
      <s:c r="GX37" s="122"/>
      <s:c r="GY37" s="122"/>
      <s:c r="GZ37" s="122"/>
      <s:c r="HA37" s="122"/>
      <s:c r="HB37" s="122"/>
      <s:c r="HC37" s="122"/>
      <s:c r="HD37" s="122"/>
      <s:c r="HE37" s="122"/>
      <s:c r="HF37" s="122"/>
      <s:c r="HG37" s="122"/>
      <s:c r="HH37" s="122"/>
      <s:c r="HI37" s="122"/>
      <s:c r="HJ37" s="122"/>
      <s:c r="HK37" s="122"/>
      <s:c r="HL37" s="122"/>
      <s:c r="HM37" s="122"/>
      <s:c r="HN37" s="122"/>
      <s:c r="HO37" s="122"/>
      <s:c r="HP37" s="122"/>
      <s:c r="HQ37" s="122"/>
      <s:c r="HR37" s="122"/>
      <s:c r="HS37" s="122"/>
      <s:c r="HT37" s="122"/>
      <s:c r="HU37" s="122"/>
      <s:c r="HV37" s="122"/>
      <s:c r="HW37" s="122"/>
      <s:c r="HX37" s="122"/>
      <s:c r="HY37" s="122"/>
      <s:c r="HZ37" s="122"/>
      <s:c r="IA37" s="122"/>
      <s:c r="IB37" s="122"/>
      <s:c r="IC37" s="122"/>
      <s:c r="ID37" s="122"/>
      <s:c r="IE37" s="122"/>
      <s:c r="IF37" s="122"/>
      <s:c r="IG37" s="122"/>
      <s:c r="IH37" s="122"/>
      <s:c r="II37" s="122"/>
      <s:c r="IJ37" s="122"/>
      <s:c r="IK37" s="122"/>
      <s:c r="IL37" s="122"/>
      <s:c r="IM37" s="122"/>
      <s:c r="IN37" s="122"/>
      <s:c r="IO37" s="122"/>
      <s:c r="IP37" s="122"/>
      <s:c r="IQ37" s="122"/>
      <s:c r="IR37" s="122"/>
      <s:c r="IS37" s="122"/>
      <s:c r="IT37" s="122"/>
      <s:c r="IU37" s="122"/>
    </s:row>
    <s:row r="38">
      <s:c r="A38" s="95" t="s">
        <s:v>47</s:v>
      </s:c>
      <s:c r="B38" s="96">
        <s:v>45761</s:v>
      </s:c>
      <s:c r="C38" s="97" t="s">
        <s:v>55</s:v>
      </s:c>
      <s:c r="D38" s="98">
        <s:f>84715+10903</s:f>
        <s:v>95618</s:v>
      </s:c>
      <s:c r="E38" s="99">
        <s:v>22</s:v>
      </s:c>
      <s:c r="F38" s="99">
        <s:f>IF(AND(E38&lt;&gt;"",E38&lt;&gt;0),D38/E38,"")</s:f>
        <s:v>4346.272727272727</s:v>
      </s:c>
      <s:c r="G38" s="99">
        <s:v>11</s:v>
      </s:c>
      <s:c r="H38" s="99">
        <s:f>IF(AND(G38&lt;&gt;"",G38&lt;&gt;0),D38/G38,"")</s:f>
        <s:v>8692.545454545454</s:v>
      </s:c>
      <s:c r="I38" s="99">
        <s:v>40</s:v>
      </s:c>
      <s:c r="J38" s="98">
        <s:f>IF(AND(G38&lt;&gt;"",G38&lt;&gt;0),E38/G38,"")</s:f>
        <s:v>2</s:v>
      </s:c>
      <s:c r="K38" s="99"/>
      <s:c r="L38" s="99">
        <s:v>10903</s:v>
      </s:c>
      <s:c r="M38" s="99"/>
      <s:c r="N38" s="100">
        <s:f>IF(AND(I38&lt;&gt;"",I38&lt;&gt;0),G38/I38,"")</s:f>
        <s:v>0.27500000000000002</s:v>
      </s:c>
      <s:c r="O38" s="101">
        <s:f>D38/P38</s:f>
        <s:v>1.0767172586106719</s:v>
      </s:c>
      <s:c r="P38" s="102">
        <s:f>$I$8*V38*W38/SUMPRODUCT($W$25:$W$55,$V$25:$V$55)</s:f>
        <s:v>88805.115024699655</s:v>
      </s:c>
      <s:c r="Q38" s="103">
        <s:f>$I$9*V38*W38/SUMPRODUCT($W$25:$W$55,$V$25:$V$55)</s:f>
        <s:v>17.904257061431384</s:v>
      </s:c>
      <s:c r="R38" s="103">
        <s:f>IF($I$12="","",Q38/$I$12)</s:f>
        <s:v>10.115399469735245</s:v>
      </s:c>
      <s:c r="S38" s="102">
        <s:f>IF(W38&lt;&gt;"",IF(D38&lt;&gt;"",D38,($I$8-SUM($S$25:S37))*V38*W38/SUMPRODUCT($W38:$W$55,$V38:$V$55)),"")</s:f>
        <s:v>95618</s:v>
      </s:c>
      <s:c r="T38" s="103">
        <s:f>IF(W38&lt;&gt;"",IF(E38&lt;&gt;"",E38,($I$9-SUM($T$25:T37))*V38*W38/SUMPRODUCT($W38:$W$55,$V38:$V$55)),"")</s:f>
        <s:v>22</s:v>
      </s:c>
      <s:c r="U38" s="103">
        <s:f>IF(W38&lt;&gt;"",IF($I$12&lt;&gt;"",IF(G38&lt;&gt;"",G38,($I$9/$I$12-SUM($U$25:U37))*V38*W38/SUMPRODUCT($W38:$W$55,$V38:$V$55)),""),"")</s:f>
        <s:v>11</s:v>
      </s:c>
      <s:c r="V38" s="104">
        <s:v>0.97588914665651838</s:v>
      </s:c>
      <s:c r="W38" s="104">
        <s:v>0.97588914665651838</s:v>
      </s:c>
      <s:c r="X38" s="107"/>
      <s:c r="Y38" s="106"/>
    </s:row>
    <s:row r="39">
      <s:c r="A39" s="95" t="s">
        <s:v>47</s:v>
      </s:c>
      <s:c r="B39" s="96">
        <s:v>45762</s:v>
      </s:c>
      <s:c r="C39" s="97" t="s">
        <s:v>48</s:v>
      </s:c>
      <s:c r="D39" s="98">
        <s:v>59588</s:v>
      </s:c>
      <s:c r="E39" s="99">
        <s:v>12</s:v>
      </s:c>
      <s:c r="F39" s="99">
        <s:f>IF(AND(E39&lt;&gt;"",E39&lt;&gt;0),D39/E39,"")</s:f>
        <s:v>4965.666666666667</s:v>
      </s:c>
      <s:c r="G39" s="99">
        <s:v>4</s:v>
      </s:c>
      <s:c r="H39" s="99">
        <s:f>IF(AND(G39&lt;&gt;"",G39&lt;&gt;0),D39/G39,"")</s:f>
        <s:v>14897</s:v>
      </s:c>
      <s:c r="I39" s="99">
        <s:v>30</s:v>
      </s:c>
      <s:c r="J39" s="98">
        <s:f>IF(AND(G39&lt;&gt;"",G39&lt;&gt;0),E39/G39,"")</s:f>
        <s:v>3</s:v>
      </s:c>
      <s:c r="K39" s="99">
        <s:v>23982</s:v>
      </s:c>
      <s:c r="L39" s="99"/>
      <s:c r="M39" s="99"/>
      <s:c r="N39" s="100">
        <s:f>IF(AND(I39&lt;&gt;"",I39&lt;&gt;0),G39/I39,"")</s:f>
        <s:v>0.13333333333333333</s:v>
      </s:c>
      <s:c r="O39" s="101">
        <s:f>D39/P39</s:f>
        <s:v>0.67099738549324095</s:v>
      </s:c>
      <s:c r="P39" s="102">
        <s:f>$I$8*V39*W39/SUMPRODUCT($W$25:$W$55,$V$25:$V$55)</s:f>
        <s:v>88805.115024699655</s:v>
      </s:c>
      <s:c r="Q39" s="103">
        <s:f>$I$9*V39*W39/SUMPRODUCT($W$25:$W$55,$V$25:$V$55)</s:f>
        <s:v>17.904257061431384</s:v>
      </s:c>
      <s:c r="R39" s="103">
        <s:f>IF($I$12="","",Q39/$I$12)</s:f>
        <s:v>10.115399469735245</s:v>
      </s:c>
      <s:c r="S39" s="102">
        <s:f>IF(W39&lt;&gt;"",IF(D39&lt;&gt;"",D39,($I$8-SUM($S$25:S38))*V39*W39/SUMPRODUCT($W39:$W$55,$V39:$V$55)),"")</s:f>
        <s:v>59588</s:v>
      </s:c>
      <s:c r="T39" s="103">
        <s:f>IF(W39&lt;&gt;"",IF(E39&lt;&gt;"",E39,($I$9-SUM($T$25:T38))*V39*W39/SUMPRODUCT($W39:$W$55,$V39:$V$55)),"")</s:f>
        <s:v>12</s:v>
      </s:c>
      <s:c r="U39" s="103">
        <s:f>IF(W39&lt;&gt;"",IF($I$12&lt;&gt;"",IF(G39&lt;&gt;"",G39,($I$9/$I$12-SUM($U$25:U38))*V39*W39/SUMPRODUCT($W39:$W$55,$V39:$V$55)),""),"")</s:f>
        <s:v>4</s:v>
      </s:c>
      <s:c r="V39" s="104">
        <s:v>0.97588914665651838</s:v>
      </s:c>
      <s:c r="W39" s="104">
        <s:v>0.97588914665651838</s:v>
      </s:c>
      <s:c r="X39" s="107"/>
      <s:c r="Y39" s="106"/>
    </s:row>
    <s:row r="40">
      <s:c r="A40" s="95" t="s">
        <s:v>56</s:v>
      </s:c>
      <s:c r="B40" s="96">
        <s:v>45763</s:v>
      </s:c>
      <s:c r="C40" s="97" t="s">
        <s:v>49</s:v>
      </s:c>
      <s:c r="D40" s="98">
        <s:v>40943</s:v>
      </s:c>
      <s:c r="E40" s="99">
        <s:v>7</s:v>
      </s:c>
      <s:c r="F40" s="99">
        <s:f>IF(AND(E40&lt;&gt;"",E40&lt;&gt;0),D40/E40,"")</s:f>
        <s:v>5849</s:v>
      </s:c>
      <s:c r="G40" s="99">
        <s:v>6</s:v>
      </s:c>
      <s:c r="H40" s="99">
        <s:f>IF(AND(G40&lt;&gt;"",G40&lt;&gt;0),D40/G40,"")</s:f>
        <s:v>6823.833333333333</s:v>
      </s:c>
      <s:c r="I40" s="99">
        <s:v>30</s:v>
      </s:c>
      <s:c r="J40" s="98">
        <s:f>IF(AND(G40&lt;&gt;"",G40&lt;&gt;0),E40/G40,"")</s:f>
        <s:v>1.1666666666666667</s:v>
      </s:c>
      <s:c r="K40" s="99">
        <s:v>13993</s:v>
      </s:c>
      <s:c r="L40" s="99"/>
      <s:c r="M40" s="99"/>
      <s:c r="N40" s="100">
        <s:f>IF(AND(I40&lt;&gt;"",I40&lt;&gt;0),G40/I40,"")</s:f>
        <s:v>0.2</s:v>
      </s:c>
      <s:c r="O40" s="101">
        <s:f>D40/P40</s:f>
        <s:v>0.46104326297660209</s:v>
      </s:c>
      <s:c r="P40" s="102">
        <s:f>$I$8*V40*W40/SUMPRODUCT($W$25:$W$55,$V$25:$V$55)</s:f>
        <s:v>88805.115024699655</s:v>
      </s:c>
      <s:c r="Q40" s="103">
        <s:f>$I$9*V40*W40/SUMPRODUCT($W$25:$W$55,$V$25:$V$55)</s:f>
        <s:v>17.904257061431384</s:v>
      </s:c>
      <s:c r="R40" s="103">
        <s:f>IF($I$12="","",Q40/$I$12)</s:f>
        <s:v>10.115399469735245</s:v>
      </s:c>
      <s:c r="S40" s="102">
        <s:f>IF(W40&lt;&gt;"",IF(D40&lt;&gt;"",D40,($I$8-SUM($S$25:S39))*V40*W40/SUMPRODUCT($W40:$W$55,$V40:$V$55)),"")</s:f>
        <s:v>40943</s:v>
      </s:c>
      <s:c r="T40" s="103">
        <s:f>IF(W40&lt;&gt;"",IF(E40&lt;&gt;"",E40,($I$9-SUM($T$25:T39))*V40*W40/SUMPRODUCT($W40:$W$55,$V40:$V$55)),"")</s:f>
        <s:v>7</s:v>
      </s:c>
      <s:c r="U40" s="103">
        <s:f>IF(W40&lt;&gt;"",IF($I$12&lt;&gt;"",IF(G40&lt;&gt;"",G40,($I$9/$I$12-SUM($U$25:U39))*V40*W40/SUMPRODUCT($W40:$W$55,$V40:$V$55)),""),"")</s:f>
        <s:v>6</s:v>
      </s:c>
      <s:c r="V40" s="104">
        <s:v>0.97588914665651838</s:v>
      </s:c>
      <s:c r="W40" s="104">
        <s:v>0.97588914665651838</s:v>
      </s:c>
      <s:c r="X40" s="107"/>
      <s:c r="Y40" s="106"/>
    </s:row>
    <s:row r="41">
      <s:c r="A41" s="95" t="s">
        <s:v>57</s:v>
      </s:c>
      <s:c r="B41" s="96">
        <s:v>45764</s:v>
      </s:c>
      <s:c r="C41" s="97" t="s">
        <s:v>51</s:v>
      </s:c>
      <s:c r="D41" s="98">
        <s:f>88340+7903</s:f>
        <s:v>96243</s:v>
      </s:c>
      <s:c r="E41" s="99">
        <s:v>13</s:v>
      </s:c>
      <s:c r="F41" s="99">
        <s:f>IF(AND(E41&lt;&gt;"",E41&lt;&gt;0),D41/E41,"")</s:f>
        <s:v>7403.3076923076924</s:v>
      </s:c>
      <s:c r="G41" s="99">
        <s:v>9</s:v>
      </s:c>
      <s:c r="H41" s="99">
        <s:f>IF(AND(G41&lt;&gt;"",G41&lt;&gt;0),D41/G41,"")</s:f>
        <s:v>10693.666666666666</s:v>
      </s:c>
      <s:c r="I41" s="99">
        <s:v>40</s:v>
      </s:c>
      <s:c r="J41" s="98">
        <s:f>IF(AND(G41&lt;&gt;"",G41&lt;&gt;0),E41/G41,"")</s:f>
        <s:v>1.4444444444444444</s:v>
      </s:c>
      <s:c r="K41" s="99">
        <s:v>47425</s:v>
      </s:c>
      <s:c r="L41" s="99">
        <s:v>7903</s:v>
      </s:c>
      <s:c r="M41" s="99"/>
      <s:c r="N41" s="100">
        <s:f>IF(AND(I41&lt;&gt;"",I41&lt;&gt;0),G41/I41,"")</s:f>
        <s:v>0.22500000000000001</s:v>
      </s:c>
      <s:c r="O41" s="101">
        <s:f>D41/P41</s:f>
        <s:v>1.0321246418487522</s:v>
      </s:c>
      <s:c r="P41" s="102">
        <s:f>$I$8*V41*W41/SUMPRODUCT($W$25:$W$55,$V$25:$V$55)</s:f>
        <s:v>93247.458783280817</s:v>
      </s:c>
      <s:c r="Q41" s="103">
        <s:f>$I$9*V41*W41/SUMPRODUCT($W$25:$W$55,$V$25:$V$55)</s:f>
        <s:v>18.799890883725972</s:v>
      </s:c>
      <s:c r="R41" s="103">
        <s:f>IF($I$12="","",Q41/$I$12)</s:f>
        <s:v>10.621407278941227</s:v>
      </s:c>
      <s:c r="S41" s="102">
        <s:f>IF(W41&lt;&gt;"",IF(D41&lt;&gt;"",D41,($I$8-SUM($S$25:S40))*V41*W41/SUMPRODUCT($W41:$W$55,$V41:$V$55)),"")</s:f>
        <s:v>96243</s:v>
      </s:c>
      <s:c r="T41" s="103">
        <s:f>IF(W41&lt;&gt;"",IF(E41&lt;&gt;"",E41,($I$9-SUM($T$25:T40))*V41*W41/SUMPRODUCT($W41:$W$55,$V41:$V$55)),"")</s:f>
        <s:v>13</s:v>
      </s:c>
      <s:c r="U41" s="103">
        <s:f>IF(W41&lt;&gt;"",IF($I$12&lt;&gt;"",IF(G41&lt;&gt;"",G41,($I$9/$I$12-SUM($U$25:U40))*V41*W41/SUMPRODUCT($W41:$W$55,$V41:$V$55)),""),"")</s:f>
        <s:v>9</s:v>
      </s:c>
      <s:c r="V41" s="104">
        <s:v>1</s:v>
      </s:c>
      <s:c r="W41" s="104">
        <s:v>1</s:v>
      </s:c>
      <s:c r="X41" s="107"/>
      <s:c r="Y41" s="106"/>
    </s:row>
    <s:row r="42" spans="1:255" s="109" customFormat="1">
      <s:c r="A42" s="110" t="s">
        <s:v>57</s:v>
      </s:c>
      <s:c r="B42" s="111">
        <s:v>45765</s:v>
      </s:c>
      <s:c r="C42" s="112" t="s">
        <s:v>52</s:v>
      </s:c>
      <s:c r="D42" s="113">
        <s:f>138570+5803</s:f>
        <s:v>144373</s:v>
      </s:c>
      <s:c r="E42" s="114">
        <s:v>20</s:v>
      </s:c>
      <s:c r="F42" s="114">
        <s:f>IF(AND(E42&lt;&gt;"",E42&lt;&gt;0),D42/E42,"")</s:f>
        <s:v>7218.65</s:v>
      </s:c>
      <s:c r="G42" s="114">
        <s:v>10</s:v>
      </s:c>
      <s:c r="H42" s="114">
        <s:f>IF(AND(G42&lt;&gt;"",G42&lt;&gt;0),D42/G42,"")</s:f>
        <s:v>14437.3</s:v>
      </s:c>
      <s:c r="I42" s="114">
        <s:v>29</s:v>
      </s:c>
      <s:c r="J42" s="113">
        <s:f>IF(AND(G42&lt;&gt;"",G42&lt;&gt;0),E42/G42,"")</s:f>
        <s:v>2</s:v>
      </s:c>
      <s:c r="K42" s="114">
        <s:v>64967</s:v>
      </s:c>
      <s:c r="L42" s="114">
        <s:v>5803</s:v>
      </s:c>
      <s:c r="M42" s="114"/>
      <s:c r="N42" s="115">
        <s:f>IF(AND(I42&lt;&gt;"",I42&lt;&gt;0),G42/I42,"")</s:f>
        <s:v>0.34482758620689657</s:v>
      </s:c>
      <s:c r="O42" s="116">
        <s:f>D42/P42</s:f>
        <s:v>1.1231561352755921</s:v>
      </s:c>
      <s:c r="P42" s="117">
        <s:f>$I$8*V42*W42/SUMPRODUCT($W$25:$W$55,$V$25:$V$55)</s:f>
        <s:v>128542.2351048056</s:v>
      </s:c>
      <s:c r="Q42" s="118">
        <s:f>$I$9*V42*W42/SUMPRODUCT($W$25:$W$55,$V$25:$V$55)</s:f>
        <s:v>25.915773206614034</s:v>
      </s:c>
      <s:c r="R42" s="118">
        <s:f>IF($I$12="","",Q42/$I$12)</s:f>
        <s:v>14.641679777748042</s:v>
      </s:c>
      <s:c r="S42" s="117">
        <s:f>IF(W42&lt;&gt;"",IF(D42&lt;&gt;"",D42,($I$8-SUM($S$25:S41))*V42*W42/SUMPRODUCT($W42:$W$55,$V42:$V$55)),"")</s:f>
        <s:v>144373</s:v>
      </s:c>
      <s:c r="T42" s="118">
        <s:f>IF(W42&lt;&gt;"",IF(E42&lt;&gt;"",E42,($I$9-SUM($T$25:T41))*V42*W42/SUMPRODUCT($W42:$W$55,$V42:$V$55)),"")</s:f>
        <s:v>20</s:v>
      </s:c>
      <s:c r="U42" s="118">
        <s:f>IF(W42&lt;&gt;"",IF($I$12&lt;&gt;"",IF(G42&lt;&gt;"",G42,($I$9/$I$12-SUM($U$25:U41))*V42*W42/SUMPRODUCT($W42:$W$55,$V42:$V$55)),""),"")</s:f>
        <s:v>10</s:v>
      </s:c>
      <s:c r="V42" s="119">
        <s:v>1.1740981968092847</s:v>
      </s:c>
      <s:c r="W42" s="119">
        <s:v>1.1740981968092847</s:v>
      </s:c>
      <s:c r="X42" s="120"/>
      <s:c r="Y42" s="124"/>
      <s:c r="Z42" s="122"/>
      <s:c r="AA42" s="122"/>
      <s:c r="AB42" s="122"/>
      <s:c r="AC42" s="122"/>
      <s:c r="AD42" s="122"/>
      <s:c r="AE42" s="122"/>
      <s:c r="AF42" s="122"/>
      <s:c r="AG42" s="122"/>
      <s:c r="AH42" s="122"/>
      <s:c r="AI42" s="122"/>
      <s:c r="AJ42" s="122"/>
      <s:c r="AK42" s="122"/>
      <s:c r="AL42" s="122"/>
      <s:c r="AM42" s="122"/>
      <s:c r="AN42" s="122"/>
      <s:c r="AO42" s="122"/>
      <s:c r="AP42" s="122"/>
      <s:c r="AQ42" s="122"/>
      <s:c r="AR42" s="122"/>
      <s:c r="AS42" s="122"/>
      <s:c r="AT42" s="122"/>
      <s:c r="AU42" s="122"/>
      <s:c r="AV42" s="122"/>
      <s:c r="AW42" s="122"/>
      <s:c r="AX42" s="122"/>
      <s:c r="AY42" s="122"/>
      <s:c r="AZ42" s="122"/>
      <s:c r="BA42" s="122"/>
      <s:c r="BB42" s="122"/>
      <s:c r="BC42" s="122"/>
      <s:c r="BD42" s="122"/>
      <s:c r="BE42" s="122"/>
      <s:c r="BF42" s="122"/>
      <s:c r="BG42" s="122"/>
      <s:c r="BH42" s="122"/>
      <s:c r="BI42" s="122"/>
      <s:c r="BJ42" s="122"/>
      <s:c r="BK42" s="122"/>
      <s:c r="BL42" s="122"/>
      <s:c r="BM42" s="122"/>
      <s:c r="BN42" s="122"/>
      <s:c r="BO42" s="122"/>
      <s:c r="BP42" s="122"/>
      <s:c r="BQ42" s="122"/>
      <s:c r="BR42" s="122"/>
      <s:c r="BS42" s="122"/>
      <s:c r="BT42" s="122"/>
      <s:c r="BU42" s="122"/>
      <s:c r="BV42" s="122"/>
      <s:c r="BW42" s="122"/>
      <s:c r="BX42" s="122"/>
      <s:c r="BY42" s="122"/>
      <s:c r="BZ42" s="122"/>
      <s:c r="CA42" s="122"/>
      <s:c r="CB42" s="122"/>
      <s:c r="CC42" s="122"/>
      <s:c r="CD42" s="122"/>
      <s:c r="CE42" s="122"/>
      <s:c r="CF42" s="122"/>
      <s:c r="CG42" s="122"/>
      <s:c r="CH42" s="122"/>
      <s:c r="CI42" s="122"/>
      <s:c r="CJ42" s="122"/>
      <s:c r="CK42" s="122"/>
      <s:c r="CL42" s="122"/>
      <s:c r="CM42" s="122"/>
      <s:c r="CN42" s="122"/>
      <s:c r="CO42" s="122"/>
      <s:c r="CP42" s="122"/>
      <s:c r="CQ42" s="122"/>
      <s:c r="CR42" s="122"/>
      <s:c r="CS42" s="122"/>
      <s:c r="CT42" s="122"/>
      <s:c r="CU42" s="122"/>
      <s:c r="CV42" s="122"/>
      <s:c r="CW42" s="122"/>
      <s:c r="CX42" s="122"/>
      <s:c r="CY42" s="122"/>
      <s:c r="CZ42" s="122"/>
      <s:c r="DA42" s="122"/>
      <s:c r="DB42" s="122"/>
      <s:c r="DC42" s="122"/>
      <s:c r="DD42" s="122"/>
      <s:c r="DE42" s="122"/>
      <s:c r="DF42" s="122"/>
      <s:c r="DG42" s="122"/>
      <s:c r="DH42" s="122"/>
      <s:c r="DI42" s="122"/>
      <s:c r="DJ42" s="122"/>
      <s:c r="DK42" s="122"/>
      <s:c r="DL42" s="122"/>
      <s:c r="DM42" s="122"/>
      <s:c r="DN42" s="122"/>
      <s:c r="DO42" s="122"/>
      <s:c r="DP42" s="122"/>
      <s:c r="DQ42" s="122"/>
      <s:c r="DR42" s="122"/>
      <s:c r="DS42" s="122"/>
      <s:c r="DT42" s="122"/>
      <s:c r="DU42" s="122"/>
      <s:c r="DV42" s="122"/>
      <s:c r="DW42" s="122"/>
      <s:c r="DX42" s="122"/>
      <s:c r="DY42" s="122"/>
      <s:c r="DZ42" s="122"/>
      <s:c r="EA42" s="122"/>
      <s:c r="EB42" s="122"/>
      <s:c r="EC42" s="122"/>
      <s:c r="ED42" s="122"/>
      <s:c r="EE42" s="122"/>
      <s:c r="EF42" s="122"/>
      <s:c r="EG42" s="122"/>
      <s:c r="EH42" s="122"/>
      <s:c r="EI42" s="122"/>
      <s:c r="EJ42" s="122"/>
      <s:c r="EK42" s="122"/>
      <s:c r="EL42" s="122"/>
      <s:c r="EM42" s="122"/>
      <s:c r="EN42" s="122"/>
      <s:c r="EO42" s="122"/>
      <s:c r="EP42" s="122"/>
      <s:c r="EQ42" s="122"/>
      <s:c r="ER42" s="122"/>
      <s:c r="ES42" s="122"/>
      <s:c r="ET42" s="122"/>
      <s:c r="EU42" s="122"/>
      <s:c r="EV42" s="122"/>
      <s:c r="EW42" s="122"/>
      <s:c r="EX42" s="122"/>
      <s:c r="EY42" s="122"/>
      <s:c r="EZ42" s="122"/>
      <s:c r="FA42" s="122"/>
      <s:c r="FB42" s="122"/>
      <s:c r="FC42" s="122"/>
      <s:c r="FD42" s="122"/>
      <s:c r="FE42" s="122"/>
      <s:c r="FF42" s="122"/>
      <s:c r="FG42" s="122"/>
      <s:c r="FH42" s="122"/>
      <s:c r="FI42" s="122"/>
      <s:c r="FJ42" s="122"/>
      <s:c r="FK42" s="122"/>
      <s:c r="FL42" s="122"/>
      <s:c r="FM42" s="122"/>
      <s:c r="FN42" s="122"/>
      <s:c r="FO42" s="122"/>
      <s:c r="FP42" s="122"/>
      <s:c r="FQ42" s="122"/>
      <s:c r="FR42" s="122"/>
      <s:c r="FS42" s="122"/>
      <s:c r="FT42" s="122"/>
      <s:c r="FU42" s="122"/>
      <s:c r="FV42" s="122"/>
      <s:c r="FW42" s="122"/>
      <s:c r="FX42" s="122"/>
      <s:c r="FY42" s="122"/>
      <s:c r="FZ42" s="122"/>
      <s:c r="GA42" s="122"/>
      <s:c r="GB42" s="122"/>
      <s:c r="GC42" s="122"/>
      <s:c r="GD42" s="122"/>
      <s:c r="GE42" s="122"/>
      <s:c r="GF42" s="122"/>
      <s:c r="GG42" s="122"/>
      <s:c r="GH42" s="122"/>
      <s:c r="GI42" s="122"/>
      <s:c r="GJ42" s="122"/>
      <s:c r="GK42" s="122"/>
      <s:c r="GL42" s="122"/>
      <s:c r="GM42" s="122"/>
      <s:c r="GN42" s="122"/>
      <s:c r="GO42" s="122"/>
      <s:c r="GP42" s="122"/>
      <s:c r="GQ42" s="122"/>
      <s:c r="GR42" s="122"/>
      <s:c r="GS42" s="122"/>
      <s:c r="GT42" s="122"/>
      <s:c r="GU42" s="122"/>
      <s:c r="GV42" s="122"/>
      <s:c r="GW42" s="122"/>
      <s:c r="GX42" s="122"/>
      <s:c r="GY42" s="122"/>
      <s:c r="GZ42" s="122"/>
      <s:c r="HA42" s="122"/>
      <s:c r="HB42" s="122"/>
      <s:c r="HC42" s="122"/>
      <s:c r="HD42" s="122"/>
      <s:c r="HE42" s="122"/>
      <s:c r="HF42" s="122"/>
      <s:c r="HG42" s="122"/>
      <s:c r="HH42" s="122"/>
      <s:c r="HI42" s="122"/>
      <s:c r="HJ42" s="122"/>
      <s:c r="HK42" s="122"/>
      <s:c r="HL42" s="122"/>
      <s:c r="HM42" s="122"/>
      <s:c r="HN42" s="122"/>
      <s:c r="HO42" s="122"/>
      <s:c r="HP42" s="122"/>
      <s:c r="HQ42" s="122"/>
      <s:c r="HR42" s="122"/>
      <s:c r="HS42" s="122"/>
      <s:c r="HT42" s="122"/>
      <s:c r="HU42" s="122"/>
      <s:c r="HV42" s="122"/>
      <s:c r="HW42" s="122"/>
      <s:c r="HX42" s="122"/>
      <s:c r="HY42" s="122"/>
      <s:c r="HZ42" s="122"/>
      <s:c r="IA42" s="122"/>
      <s:c r="IB42" s="122"/>
      <s:c r="IC42" s="122"/>
      <s:c r="ID42" s="122"/>
      <s:c r="IE42" s="122"/>
      <s:c r="IF42" s="122"/>
      <s:c r="IG42" s="122"/>
      <s:c r="IH42" s="122"/>
      <s:c r="II42" s="122"/>
      <s:c r="IJ42" s="122"/>
      <s:c r="IK42" s="122"/>
      <s:c r="IL42" s="122"/>
      <s:c r="IM42" s="122"/>
      <s:c r="IN42" s="122"/>
      <s:c r="IO42" s="122"/>
      <s:c r="IP42" s="122"/>
      <s:c r="IQ42" s="122"/>
      <s:c r="IR42" s="122"/>
      <s:c r="IS42" s="122"/>
      <s:c r="IT42" s="122"/>
      <s:c r="IU42" s="122"/>
    </s:row>
    <s:row r="43" spans="1:255" s="109" customFormat="1">
      <s:c r="A43" s="110" t="s">
        <s:v>56</s:v>
      </s:c>
      <s:c r="B43" s="111">
        <s:v>45766</s:v>
      </s:c>
      <s:c r="C43" s="112" t="s">
        <s:v>53</s:v>
      </s:c>
      <s:c r="D43" s="113">
        <s:v>66932</s:v>
      </s:c>
      <s:c r="E43" s="114">
        <s:v>15</s:v>
      </s:c>
      <s:c r="F43" s="114">
        <s:f>IF(AND(E43&lt;&gt;"",E43&lt;&gt;0),D43/E43,"")</s:f>
        <s:v>4462.1333333333332</s:v>
      </s:c>
      <s:c r="G43" s="114">
        <s:v>9</s:v>
      </s:c>
      <s:c r="H43" s="114">
        <s:f>IF(AND(G43&lt;&gt;"",G43&lt;&gt;0),D43/G43,"")</s:f>
        <s:v>7436.8888888888887</s:v>
      </s:c>
      <s:c r="I43" s="114">
        <s:v>50</s:v>
      </s:c>
      <s:c r="J43" s="113">
        <s:f>IF(AND(G43&lt;&gt;"",G43&lt;&gt;0),E43/G43,"")</s:f>
        <s:v>1.6666666666666667</s:v>
      </s:c>
      <s:c r="K43" s="114">
        <s:v>12992</s:v>
      </s:c>
      <s:c r="L43" s="114"/>
      <s:c r="M43" s="114"/>
      <s:c r="N43" s="115">
        <s:f>IF(AND(I43&lt;&gt;"",I43&lt;&gt;0),G43/I43,"")</s:f>
        <s:v>0.18</s:v>
      </s:c>
      <s:c r="O43" s="116">
        <s:f>D43/P43</s:f>
        <s:v>0.52070045262109899</s:v>
      </s:c>
      <s:c r="P43" s="117">
        <s:f>$I$8*V43*W43/SUMPRODUCT($W$25:$W$55,$V$25:$V$55)</s:f>
        <s:v>128542.2351048056</s:v>
      </s:c>
      <s:c r="Q43" s="118">
        <s:f>$I$9*V43*W43/SUMPRODUCT($W$25:$W$55,$V$25:$V$55)</s:f>
        <s:v>25.915773206614034</s:v>
      </s:c>
      <s:c r="R43" s="118">
        <s:f>IF($I$12="","",Q43/$I$12)</s:f>
        <s:v>14.641679777748042</s:v>
      </s:c>
      <s:c r="S43" s="117">
        <s:f>IF(W43&lt;&gt;"",IF(D43&lt;&gt;"",D43,($I$8-SUM($S$25:S42))*V43*W43/SUMPRODUCT($W43:$W$55,$V43:$V$55)),"")</s:f>
        <s:v>66932</s:v>
      </s:c>
      <s:c r="T43" s="118">
        <s:f>IF(W43&lt;&gt;"",IF(E43&lt;&gt;"",E43,($I$9-SUM($T$25:T42))*V43*W43/SUMPRODUCT($W43:$W$55,$V43:$V$55)),"")</s:f>
        <s:v>15</s:v>
      </s:c>
      <s:c r="U43" s="118">
        <s:f>IF(W43&lt;&gt;"",IF($I$12&lt;&gt;"",IF(G43&lt;&gt;"",G43,($I$9/$I$12-SUM($U$25:U42))*V43*W43/SUMPRODUCT($W43:$W$55,$V43:$V$55)),""),"")</s:f>
        <s:v>9</s:v>
      </s:c>
      <s:c r="V43" s="119">
        <s:v>1.1740981968092847</s:v>
      </s:c>
      <s:c r="W43" s="119">
        <s:v>1.1740981968092847</s:v>
      </s:c>
      <s:c r="X43" s="120"/>
      <s:c r="Y43" s="124"/>
      <s:c r="Z43" s="125"/>
      <s:c r="AA43" s="122"/>
      <s:c r="AB43" s="122"/>
      <s:c r="AC43" s="122"/>
      <s:c r="AD43" s="122"/>
      <s:c r="AE43" s="122"/>
      <s:c r="AF43" s="122"/>
      <s:c r="AG43" s="122"/>
      <s:c r="AH43" s="122"/>
      <s:c r="AI43" s="122"/>
      <s:c r="AJ43" s="122"/>
      <s:c r="AK43" s="122"/>
      <s:c r="AL43" s="122"/>
      <s:c r="AM43" s="122"/>
      <s:c r="AN43" s="122"/>
      <s:c r="AO43" s="122"/>
      <s:c r="AP43" s="122"/>
      <s:c r="AQ43" s="122"/>
      <s:c r="AR43" s="122"/>
      <s:c r="AS43" s="122"/>
      <s:c r="AT43" s="122"/>
      <s:c r="AU43" s="122"/>
      <s:c r="AV43" s="122"/>
      <s:c r="AW43" s="122"/>
      <s:c r="AX43" s="122"/>
      <s:c r="AY43" s="122"/>
      <s:c r="AZ43" s="122"/>
      <s:c r="BA43" s="122"/>
      <s:c r="BB43" s="122"/>
      <s:c r="BC43" s="122"/>
      <s:c r="BD43" s="122"/>
      <s:c r="BE43" s="122"/>
      <s:c r="BF43" s="122"/>
      <s:c r="BG43" s="122"/>
      <s:c r="BH43" s="122"/>
      <s:c r="BI43" s="122"/>
      <s:c r="BJ43" s="122"/>
      <s:c r="BK43" s="122"/>
      <s:c r="BL43" s="122"/>
      <s:c r="BM43" s="122"/>
      <s:c r="BN43" s="122"/>
      <s:c r="BO43" s="122"/>
      <s:c r="BP43" s="122"/>
      <s:c r="BQ43" s="122"/>
      <s:c r="BR43" s="122"/>
      <s:c r="BS43" s="122"/>
      <s:c r="BT43" s="122"/>
      <s:c r="BU43" s="122"/>
      <s:c r="BV43" s="122"/>
      <s:c r="BW43" s="122"/>
      <s:c r="BX43" s="122"/>
      <s:c r="BY43" s="122"/>
      <s:c r="BZ43" s="122"/>
      <s:c r="CA43" s="122"/>
      <s:c r="CB43" s="122"/>
      <s:c r="CC43" s="122"/>
      <s:c r="CD43" s="122"/>
      <s:c r="CE43" s="122"/>
      <s:c r="CF43" s="122"/>
      <s:c r="CG43" s="122"/>
      <s:c r="CH43" s="122"/>
      <s:c r="CI43" s="122"/>
      <s:c r="CJ43" s="122"/>
      <s:c r="CK43" s="122"/>
      <s:c r="CL43" s="122"/>
      <s:c r="CM43" s="122"/>
      <s:c r="CN43" s="122"/>
      <s:c r="CO43" s="122"/>
      <s:c r="CP43" s="122"/>
      <s:c r="CQ43" s="122"/>
      <s:c r="CR43" s="122"/>
      <s:c r="CS43" s="122"/>
      <s:c r="CT43" s="122"/>
      <s:c r="CU43" s="122"/>
      <s:c r="CV43" s="122"/>
      <s:c r="CW43" s="122"/>
      <s:c r="CX43" s="122"/>
      <s:c r="CY43" s="122"/>
      <s:c r="CZ43" s="122"/>
      <s:c r="DA43" s="122"/>
      <s:c r="DB43" s="122"/>
      <s:c r="DC43" s="122"/>
      <s:c r="DD43" s="122"/>
      <s:c r="DE43" s="122"/>
      <s:c r="DF43" s="122"/>
      <s:c r="DG43" s="122"/>
      <s:c r="DH43" s="122"/>
      <s:c r="DI43" s="122"/>
      <s:c r="DJ43" s="122"/>
      <s:c r="DK43" s="122"/>
      <s:c r="DL43" s="122"/>
      <s:c r="DM43" s="122"/>
      <s:c r="DN43" s="122"/>
      <s:c r="DO43" s="122"/>
      <s:c r="DP43" s="122"/>
      <s:c r="DQ43" s="122"/>
      <s:c r="DR43" s="122"/>
      <s:c r="DS43" s="122"/>
      <s:c r="DT43" s="122"/>
      <s:c r="DU43" s="122"/>
      <s:c r="DV43" s="122"/>
      <s:c r="DW43" s="122"/>
      <s:c r="DX43" s="122"/>
      <s:c r="DY43" s="122"/>
      <s:c r="DZ43" s="122"/>
      <s:c r="EA43" s="122"/>
      <s:c r="EB43" s="122"/>
      <s:c r="EC43" s="122"/>
      <s:c r="ED43" s="122"/>
      <s:c r="EE43" s="122"/>
      <s:c r="EF43" s="122"/>
      <s:c r="EG43" s="122"/>
      <s:c r="EH43" s="122"/>
      <s:c r="EI43" s="122"/>
      <s:c r="EJ43" s="122"/>
      <s:c r="EK43" s="122"/>
      <s:c r="EL43" s="122"/>
      <s:c r="EM43" s="122"/>
      <s:c r="EN43" s="122"/>
      <s:c r="EO43" s="122"/>
      <s:c r="EP43" s="122"/>
      <s:c r="EQ43" s="122"/>
      <s:c r="ER43" s="122"/>
      <s:c r="ES43" s="122"/>
      <s:c r="ET43" s="122"/>
      <s:c r="EU43" s="122"/>
      <s:c r="EV43" s="122"/>
      <s:c r="EW43" s="122"/>
      <s:c r="EX43" s="122"/>
      <s:c r="EY43" s="122"/>
      <s:c r="EZ43" s="122"/>
      <s:c r="FA43" s="122"/>
      <s:c r="FB43" s="122"/>
      <s:c r="FC43" s="122"/>
      <s:c r="FD43" s="122"/>
      <s:c r="FE43" s="122"/>
      <s:c r="FF43" s="122"/>
      <s:c r="FG43" s="122"/>
      <s:c r="FH43" s="122"/>
      <s:c r="FI43" s="122"/>
      <s:c r="FJ43" s="122"/>
      <s:c r="FK43" s="122"/>
      <s:c r="FL43" s="122"/>
      <s:c r="FM43" s="122"/>
      <s:c r="FN43" s="122"/>
      <s:c r="FO43" s="122"/>
      <s:c r="FP43" s="122"/>
      <s:c r="FQ43" s="122"/>
      <s:c r="FR43" s="122"/>
      <s:c r="FS43" s="122"/>
      <s:c r="FT43" s="122"/>
      <s:c r="FU43" s="122"/>
      <s:c r="FV43" s="122"/>
      <s:c r="FW43" s="122"/>
      <s:c r="FX43" s="122"/>
      <s:c r="FY43" s="122"/>
      <s:c r="FZ43" s="122"/>
      <s:c r="GA43" s="122"/>
      <s:c r="GB43" s="122"/>
      <s:c r="GC43" s="122"/>
      <s:c r="GD43" s="122"/>
      <s:c r="GE43" s="122"/>
      <s:c r="GF43" s="122"/>
      <s:c r="GG43" s="122"/>
      <s:c r="GH43" s="122"/>
      <s:c r="GI43" s="122"/>
      <s:c r="GJ43" s="122"/>
      <s:c r="GK43" s="122"/>
      <s:c r="GL43" s="122"/>
      <s:c r="GM43" s="122"/>
      <s:c r="GN43" s="122"/>
      <s:c r="GO43" s="122"/>
      <s:c r="GP43" s="122"/>
      <s:c r="GQ43" s="122"/>
      <s:c r="GR43" s="122"/>
      <s:c r="GS43" s="122"/>
      <s:c r="GT43" s="122"/>
      <s:c r="GU43" s="122"/>
      <s:c r="GV43" s="122"/>
      <s:c r="GW43" s="122"/>
      <s:c r="GX43" s="122"/>
      <s:c r="GY43" s="122"/>
      <s:c r="GZ43" s="122"/>
      <s:c r="HA43" s="122"/>
      <s:c r="HB43" s="122"/>
      <s:c r="HC43" s="122"/>
      <s:c r="HD43" s="122"/>
      <s:c r="HE43" s="122"/>
      <s:c r="HF43" s="122"/>
      <s:c r="HG43" s="122"/>
      <s:c r="HH43" s="122"/>
      <s:c r="HI43" s="122"/>
      <s:c r="HJ43" s="122"/>
      <s:c r="HK43" s="122"/>
      <s:c r="HL43" s="122"/>
      <s:c r="HM43" s="122"/>
      <s:c r="HN43" s="122"/>
      <s:c r="HO43" s="122"/>
      <s:c r="HP43" s="122"/>
      <s:c r="HQ43" s="122"/>
      <s:c r="HR43" s="122"/>
      <s:c r="HS43" s="122"/>
      <s:c r="HT43" s="122"/>
      <s:c r="HU43" s="122"/>
      <s:c r="HV43" s="122"/>
      <s:c r="HW43" s="122"/>
      <s:c r="HX43" s="122"/>
      <s:c r="HY43" s="122"/>
      <s:c r="HZ43" s="122"/>
      <s:c r="IA43" s="122"/>
      <s:c r="IB43" s="122"/>
      <s:c r="IC43" s="122"/>
      <s:c r="ID43" s="122"/>
      <s:c r="IE43" s="122"/>
      <s:c r="IF43" s="122"/>
      <s:c r="IG43" s="122"/>
      <s:c r="IH43" s="122"/>
      <s:c r="II43" s="122"/>
      <s:c r="IJ43" s="122"/>
      <s:c r="IK43" s="122"/>
      <s:c r="IL43" s="122"/>
      <s:c r="IM43" s="122"/>
      <s:c r="IN43" s="122"/>
      <s:c r="IO43" s="122"/>
      <s:c r="IP43" s="122"/>
      <s:c r="IQ43" s="122"/>
      <s:c r="IR43" s="122"/>
      <s:c r="IS43" s="122"/>
      <s:c r="IT43" s="122"/>
      <s:c r="IU43" s="122"/>
    </s:row>
    <s:row r="44" spans="1:255" s="109" customFormat="1">
      <s:c r="A44" s="110" t="s">
        <s:v>56</s:v>
      </s:c>
      <s:c r="B44" s="111">
        <s:v>45767</s:v>
      </s:c>
      <s:c r="C44" s="112" t="s">
        <s:v>54</s:v>
      </s:c>
      <s:c r="D44" s="113">
        <s:v>131111</s:v>
      </s:c>
      <s:c r="E44" s="114">
        <s:v>24</s:v>
      </s:c>
      <s:c r="F44" s="114">
        <s:f>IF(AND(E44&lt;&gt;"",E44&lt;&gt;0),D44/E44,"")</s:f>
        <s:v>5462.958333333333</s:v>
      </s:c>
      <s:c r="G44" s="114">
        <s:v>10</s:v>
      </s:c>
      <s:c r="H44" s="114">
        <s:f>IF(AND(G44&lt;&gt;"",G44&lt;&gt;0),D44/G44,"")</s:f>
        <s:v>13111.1</s:v>
      </s:c>
      <s:c r="I44" s="114">
        <s:v>50</s:v>
      </s:c>
      <s:c r="J44" s="113">
        <s:f>IF(AND(G44&lt;&gt;"",G44&lt;&gt;0),E44/G44,"")</s:f>
        <s:v>2.4</s:v>
      </s:c>
      <s:c r="K44" s="114">
        <s:v>38576</s:v>
      </s:c>
      <s:c r="L44" s="114"/>
      <s:c r="M44" s="114"/>
      <s:c r="N44" s="115">
        <s:f>IF(AND(I44&lt;&gt;"",I44&lt;&gt;0),G44/I44,"")</s:f>
        <s:v>0.2</s:v>
      </s:c>
      <s:c r="O44" s="116">
        <s:f>D44/P44</s:f>
        <s:v>1.1550278184858866</s:v>
      </s:c>
      <s:c r="P44" s="117">
        <s:f>$I$8*V44*W44/SUMPRODUCT($W$25:$W$55,$V$25:$V$55)</s:f>
        <s:v>113513.28331803469</s:v>
      </s:c>
      <s:c r="Q44" s="118">
        <s:f>$I$9*V44*W44/SUMPRODUCT($W$25:$W$55,$V$25:$V$55)</s:f>
        <s:v>22.885742604442481</s:v>
      </s:c>
      <s:c r="R44" s="118">
        <s:f>IF($I$12="","",Q44/$I$12)</s:f>
        <s:v>12.929798081605922</s:v>
      </s:c>
      <s:c r="S44" s="117">
        <s:f>IF(W44&lt;&gt;"",IF(D44&lt;&gt;"",D44,($I$8-SUM($S$25:S43))*V44*W44/SUMPRODUCT($W44:$W$55,$V44:$V$55)),"")</s:f>
        <s:v>131111</s:v>
      </s:c>
      <s:c r="T44" s="118">
        <s:f>IF(W44&lt;&gt;"",IF(E44&lt;&gt;"",E44,($I$9-SUM($T$25:T43))*V44*W44/SUMPRODUCT($W44:$W$55,$V44:$V$55)),"")</s:f>
        <s:v>24</s:v>
      </s:c>
      <s:c r="U44" s="118">
        <s:f>IF(W44&lt;&gt;"",IF($I$12&lt;&gt;"",IF(G44&lt;&gt;"",G44,($I$9/$I$12-SUM($U$25:U43))*V44*W44/SUMPRODUCT($W44:$W$55,$V44:$V$55)),""),"")</s:f>
        <s:v>10</s:v>
      </s:c>
      <s:c r="V44" s="119">
        <s:v>1.1033285094448408</s:v>
      </s:c>
      <s:c r="W44" s="119">
        <s:v>1.1033285094448408</s:v>
      </s:c>
      <s:c r="X44" s="120"/>
      <s:c r="Y44" s="124"/>
      <s:c r="Z44" s="125"/>
      <s:c r="AA44" s="122"/>
      <s:c r="AB44" s="122"/>
      <s:c r="AC44" s="122"/>
      <s:c r="AD44" s="122"/>
      <s:c r="AE44" s="122"/>
      <s:c r="AF44" s="122"/>
      <s:c r="AG44" s="122"/>
      <s:c r="AH44" s="122"/>
      <s:c r="AI44" s="122"/>
      <s:c r="AJ44" s="122"/>
      <s:c r="AK44" s="122"/>
      <s:c r="AL44" s="122"/>
      <s:c r="AM44" s="122"/>
      <s:c r="AN44" s="122"/>
      <s:c r="AO44" s="122"/>
      <s:c r="AP44" s="122"/>
      <s:c r="AQ44" s="122"/>
      <s:c r="AR44" s="122"/>
      <s:c r="AS44" s="122"/>
      <s:c r="AT44" s="122"/>
      <s:c r="AU44" s="122"/>
      <s:c r="AV44" s="122"/>
      <s:c r="AW44" s="122"/>
      <s:c r="AX44" s="122"/>
      <s:c r="AY44" s="122"/>
      <s:c r="AZ44" s="122"/>
      <s:c r="BA44" s="122"/>
      <s:c r="BB44" s="122"/>
      <s:c r="BC44" s="122"/>
      <s:c r="BD44" s="122"/>
      <s:c r="BE44" s="122"/>
      <s:c r="BF44" s="122"/>
      <s:c r="BG44" s="122"/>
      <s:c r="BH44" s="122"/>
      <s:c r="BI44" s="122"/>
      <s:c r="BJ44" s="122"/>
      <s:c r="BK44" s="122"/>
      <s:c r="BL44" s="122"/>
      <s:c r="BM44" s="122"/>
      <s:c r="BN44" s="122"/>
      <s:c r="BO44" s="122"/>
      <s:c r="BP44" s="122"/>
      <s:c r="BQ44" s="122"/>
      <s:c r="BR44" s="122"/>
      <s:c r="BS44" s="122"/>
      <s:c r="BT44" s="122"/>
      <s:c r="BU44" s="122"/>
      <s:c r="BV44" s="122"/>
      <s:c r="BW44" s="122"/>
      <s:c r="BX44" s="122"/>
      <s:c r="BY44" s="122"/>
      <s:c r="BZ44" s="122"/>
      <s:c r="CA44" s="122"/>
      <s:c r="CB44" s="122"/>
      <s:c r="CC44" s="122"/>
      <s:c r="CD44" s="122"/>
      <s:c r="CE44" s="122"/>
      <s:c r="CF44" s="122"/>
      <s:c r="CG44" s="122"/>
      <s:c r="CH44" s="122"/>
      <s:c r="CI44" s="122"/>
      <s:c r="CJ44" s="122"/>
      <s:c r="CK44" s="122"/>
      <s:c r="CL44" s="122"/>
      <s:c r="CM44" s="122"/>
      <s:c r="CN44" s="122"/>
      <s:c r="CO44" s="122"/>
      <s:c r="CP44" s="122"/>
      <s:c r="CQ44" s="122"/>
      <s:c r="CR44" s="122"/>
      <s:c r="CS44" s="122"/>
      <s:c r="CT44" s="122"/>
      <s:c r="CU44" s="122"/>
      <s:c r="CV44" s="122"/>
      <s:c r="CW44" s="122"/>
      <s:c r="CX44" s="122"/>
      <s:c r="CY44" s="122"/>
      <s:c r="CZ44" s="122"/>
      <s:c r="DA44" s="122"/>
      <s:c r="DB44" s="122"/>
      <s:c r="DC44" s="122"/>
      <s:c r="DD44" s="122"/>
      <s:c r="DE44" s="122"/>
      <s:c r="DF44" s="122"/>
      <s:c r="DG44" s="122"/>
      <s:c r="DH44" s="122"/>
      <s:c r="DI44" s="122"/>
      <s:c r="DJ44" s="122"/>
      <s:c r="DK44" s="122"/>
      <s:c r="DL44" s="122"/>
      <s:c r="DM44" s="122"/>
      <s:c r="DN44" s="122"/>
      <s:c r="DO44" s="122"/>
      <s:c r="DP44" s="122"/>
      <s:c r="DQ44" s="122"/>
      <s:c r="DR44" s="122"/>
      <s:c r="DS44" s="122"/>
      <s:c r="DT44" s="122"/>
      <s:c r="DU44" s="122"/>
      <s:c r="DV44" s="122"/>
      <s:c r="DW44" s="122"/>
      <s:c r="DX44" s="122"/>
      <s:c r="DY44" s="122"/>
      <s:c r="DZ44" s="122"/>
      <s:c r="EA44" s="122"/>
      <s:c r="EB44" s="122"/>
      <s:c r="EC44" s="122"/>
      <s:c r="ED44" s="122"/>
      <s:c r="EE44" s="122"/>
      <s:c r="EF44" s="122"/>
      <s:c r="EG44" s="122"/>
      <s:c r="EH44" s="122"/>
      <s:c r="EI44" s="122"/>
      <s:c r="EJ44" s="122"/>
      <s:c r="EK44" s="122"/>
      <s:c r="EL44" s="122"/>
      <s:c r="EM44" s="122"/>
      <s:c r="EN44" s="122"/>
      <s:c r="EO44" s="122"/>
      <s:c r="EP44" s="122"/>
      <s:c r="EQ44" s="122"/>
      <s:c r="ER44" s="122"/>
      <s:c r="ES44" s="122"/>
      <s:c r="ET44" s="122"/>
      <s:c r="EU44" s="122"/>
      <s:c r="EV44" s="122"/>
      <s:c r="EW44" s="122"/>
      <s:c r="EX44" s="122"/>
      <s:c r="EY44" s="122"/>
      <s:c r="EZ44" s="122"/>
      <s:c r="FA44" s="122"/>
      <s:c r="FB44" s="122"/>
      <s:c r="FC44" s="122"/>
      <s:c r="FD44" s="122"/>
      <s:c r="FE44" s="122"/>
      <s:c r="FF44" s="122"/>
      <s:c r="FG44" s="122"/>
      <s:c r="FH44" s="122"/>
      <s:c r="FI44" s="122"/>
      <s:c r="FJ44" s="122"/>
      <s:c r="FK44" s="122"/>
      <s:c r="FL44" s="122"/>
      <s:c r="FM44" s="122"/>
      <s:c r="FN44" s="122"/>
      <s:c r="FO44" s="122"/>
      <s:c r="FP44" s="122"/>
      <s:c r="FQ44" s="122"/>
      <s:c r="FR44" s="122"/>
      <s:c r="FS44" s="122"/>
      <s:c r="FT44" s="122"/>
      <s:c r="FU44" s="122"/>
      <s:c r="FV44" s="122"/>
      <s:c r="FW44" s="122"/>
      <s:c r="FX44" s="122"/>
      <s:c r="FY44" s="122"/>
      <s:c r="FZ44" s="122"/>
      <s:c r="GA44" s="122"/>
      <s:c r="GB44" s="122"/>
      <s:c r="GC44" s="122"/>
      <s:c r="GD44" s="122"/>
      <s:c r="GE44" s="122"/>
      <s:c r="GF44" s="122"/>
      <s:c r="GG44" s="122"/>
      <s:c r="GH44" s="122"/>
      <s:c r="GI44" s="122"/>
      <s:c r="GJ44" s="122"/>
      <s:c r="GK44" s="122"/>
      <s:c r="GL44" s="122"/>
      <s:c r="GM44" s="122"/>
      <s:c r="GN44" s="122"/>
      <s:c r="GO44" s="122"/>
      <s:c r="GP44" s="122"/>
      <s:c r="GQ44" s="122"/>
      <s:c r="GR44" s="122"/>
      <s:c r="GS44" s="122"/>
      <s:c r="GT44" s="122"/>
      <s:c r="GU44" s="122"/>
      <s:c r="GV44" s="122"/>
      <s:c r="GW44" s="122"/>
      <s:c r="GX44" s="122"/>
      <s:c r="GY44" s="122"/>
      <s:c r="GZ44" s="122"/>
      <s:c r="HA44" s="122"/>
      <s:c r="HB44" s="122"/>
      <s:c r="HC44" s="122"/>
      <s:c r="HD44" s="122"/>
      <s:c r="HE44" s="122"/>
      <s:c r="HF44" s="122"/>
      <s:c r="HG44" s="122"/>
      <s:c r="HH44" s="122"/>
      <s:c r="HI44" s="122"/>
      <s:c r="HJ44" s="122"/>
      <s:c r="HK44" s="122"/>
      <s:c r="HL44" s="122"/>
      <s:c r="HM44" s="122"/>
      <s:c r="HN44" s="122"/>
      <s:c r="HO44" s="122"/>
      <s:c r="HP44" s="122"/>
      <s:c r="HQ44" s="122"/>
      <s:c r="HR44" s="122"/>
      <s:c r="HS44" s="122"/>
      <s:c r="HT44" s="122"/>
      <s:c r="HU44" s="122"/>
      <s:c r="HV44" s="122"/>
      <s:c r="HW44" s="122"/>
      <s:c r="HX44" s="122"/>
      <s:c r="HY44" s="122"/>
      <s:c r="HZ44" s="122"/>
      <s:c r="IA44" s="122"/>
      <s:c r="IB44" s="122"/>
      <s:c r="IC44" s="122"/>
      <s:c r="ID44" s="122"/>
      <s:c r="IE44" s="122"/>
      <s:c r="IF44" s="122"/>
      <s:c r="IG44" s="122"/>
      <s:c r="IH44" s="122"/>
      <s:c r="II44" s="122"/>
      <s:c r="IJ44" s="122"/>
      <s:c r="IK44" s="122"/>
      <s:c r="IL44" s="122"/>
      <s:c r="IM44" s="122"/>
      <s:c r="IN44" s="122"/>
      <s:c r="IO44" s="122"/>
      <s:c r="IP44" s="122"/>
      <s:c r="IQ44" s="122"/>
      <s:c r="IR44" s="122"/>
      <s:c r="IS44" s="122"/>
      <s:c r="IT44" s="122"/>
      <s:c r="IU44" s="122"/>
    </s:row>
    <s:row r="45" spans="1:255" s="109" customFormat="1">
      <s:c r="A45" s="110" t="s">
        <s:v>57</s:v>
      </s:c>
      <s:c r="B45" s="111">
        <s:v>45768</s:v>
      </s:c>
      <s:c r="C45" s="112" t="s">
        <s:v>55</s:v>
      </s:c>
      <s:c r="D45" s="113">
        <s:v>80056</s:v>
      </s:c>
      <s:c r="E45" s="114">
        <s:v>7</s:v>
      </s:c>
      <s:c r="F45" s="114">
        <s:f>IF(AND(E45&lt;&gt;"",E45&lt;&gt;0),D45/E45,"")</s:f>
        <s:v>11436.571428571429</s:v>
      </s:c>
      <s:c r="G45" s="114">
        <s:v>4</s:v>
      </s:c>
      <s:c r="H45" s="114">
        <s:f>IF(AND(G45&lt;&gt;"",G45&lt;&gt;0),D45/G45,"")</s:f>
        <s:v>20014</s:v>
      </s:c>
      <s:c r="I45" s="114">
        <s:v>30</s:v>
      </s:c>
      <s:c r="J45" s="113">
        <s:f>IF(AND(G45&lt;&gt;"",G45&lt;&gt;0),E45/G45,"")</s:f>
        <s:v>1.75</s:v>
      </s:c>
      <s:c r="K45" s="114">
        <s:v>69954</s:v>
      </s:c>
      <s:c r="L45" s="114"/>
      <s:c r="M45" s="114"/>
      <s:c r="N45" s="115">
        <s:f>IF(AND(I45&lt;&gt;"",I45&lt;&gt;0),G45/I45,"")</s:f>
        <s:v>0.13333333333333333</s:v>
      </s:c>
      <s:c r="O45" s="116">
        <s:f>D45/P45</s:f>
        <s:v>0.70525666829408773</s:v>
      </s:c>
      <s:c r="P45" s="117">
        <s:f>$I$8*V45*W45/SUMPRODUCT($W$25:$W$55,$V$25:$V$55)</s:f>
        <s:v>113513.28331803469</s:v>
      </s:c>
      <s:c r="Q45" s="118">
        <s:f>$I$9*V45*W45/SUMPRODUCT($W$25:$W$55,$V$25:$V$55)</s:f>
        <s:v>22.885742604442481</s:v>
      </s:c>
      <s:c r="R45" s="118">
        <s:f>IF($I$12="","",Q45/$I$12)</s:f>
        <s:v>12.929798081605922</s:v>
      </s:c>
      <s:c r="S45" s="117">
        <s:f>IF(W45&lt;&gt;"",IF(D45&lt;&gt;"",D45,($I$8-SUM($S$25:S44))*V45*W45/SUMPRODUCT($W45:$W$55,$V45:$V$55)),"")</s:f>
        <s:v>80056</s:v>
      </s:c>
      <s:c r="T45" s="118">
        <s:f>IF(W45&lt;&gt;"",IF(E45&lt;&gt;"",E45,($I$9-SUM($T$25:T44))*V45*W45/SUMPRODUCT($W45:$W$55,$V45:$V$55)),"")</s:f>
        <s:v>7</s:v>
      </s:c>
      <s:c r="U45" s="118">
        <s:f>IF(W45&lt;&gt;"",IF($I$12&lt;&gt;"",IF(G45&lt;&gt;"",G45,($I$9/$I$12-SUM($U$25:U44))*V45*W45/SUMPRODUCT($W45:$W$55,$V45:$V$55)),""),"")</s:f>
        <s:v>4</s:v>
      </s:c>
      <s:c r="V45" s="119">
        <s:v>1.1033285094448408</s:v>
      </s:c>
      <s:c r="W45" s="119">
        <s:v>1.1033285094448408</s:v>
      </s:c>
      <s:c r="X45" s="120"/>
      <s:c r="Y45" s="124"/>
      <s:c r="Z45" s="125"/>
      <s:c r="AA45" s="122"/>
      <s:c r="AB45" s="122"/>
      <s:c r="AC45" s="122"/>
      <s:c r="AD45" s="122"/>
      <s:c r="AE45" s="122"/>
      <s:c r="AF45" s="122"/>
      <s:c r="AG45" s="122"/>
      <s:c r="AH45" s="122"/>
      <s:c r="AI45" s="122"/>
      <s:c r="AJ45" s="122"/>
      <s:c r="AK45" s="122"/>
      <s:c r="AL45" s="122"/>
      <s:c r="AM45" s="122"/>
      <s:c r="AN45" s="122"/>
      <s:c r="AO45" s="122"/>
      <s:c r="AP45" s="122"/>
      <s:c r="AQ45" s="122"/>
      <s:c r="AR45" s="122"/>
      <s:c r="AS45" s="122"/>
      <s:c r="AT45" s="122"/>
      <s:c r="AU45" s="122"/>
      <s:c r="AV45" s="122"/>
      <s:c r="AW45" s="122"/>
      <s:c r="AX45" s="122"/>
      <s:c r="AY45" s="122"/>
      <s:c r="AZ45" s="122"/>
      <s:c r="BA45" s="122"/>
      <s:c r="BB45" s="122"/>
      <s:c r="BC45" s="122"/>
      <s:c r="BD45" s="122"/>
      <s:c r="BE45" s="122"/>
      <s:c r="BF45" s="122"/>
      <s:c r="BG45" s="122"/>
      <s:c r="BH45" s="122"/>
      <s:c r="BI45" s="122"/>
      <s:c r="BJ45" s="122"/>
      <s:c r="BK45" s="122"/>
      <s:c r="BL45" s="122"/>
      <s:c r="BM45" s="122"/>
      <s:c r="BN45" s="122"/>
      <s:c r="BO45" s="122"/>
      <s:c r="BP45" s="122"/>
      <s:c r="BQ45" s="122"/>
      <s:c r="BR45" s="122"/>
      <s:c r="BS45" s="122"/>
      <s:c r="BT45" s="122"/>
      <s:c r="BU45" s="122"/>
      <s:c r="BV45" s="122"/>
      <s:c r="BW45" s="122"/>
      <s:c r="BX45" s="122"/>
      <s:c r="BY45" s="122"/>
      <s:c r="BZ45" s="122"/>
      <s:c r="CA45" s="122"/>
      <s:c r="CB45" s="122"/>
      <s:c r="CC45" s="122"/>
      <s:c r="CD45" s="122"/>
      <s:c r="CE45" s="122"/>
      <s:c r="CF45" s="122"/>
      <s:c r="CG45" s="122"/>
      <s:c r="CH45" s="122"/>
      <s:c r="CI45" s="122"/>
      <s:c r="CJ45" s="122"/>
      <s:c r="CK45" s="122"/>
      <s:c r="CL45" s="122"/>
      <s:c r="CM45" s="122"/>
      <s:c r="CN45" s="122"/>
      <s:c r="CO45" s="122"/>
      <s:c r="CP45" s="122"/>
      <s:c r="CQ45" s="122"/>
      <s:c r="CR45" s="122"/>
      <s:c r="CS45" s="122"/>
      <s:c r="CT45" s="122"/>
      <s:c r="CU45" s="122"/>
      <s:c r="CV45" s="122"/>
      <s:c r="CW45" s="122"/>
      <s:c r="CX45" s="122"/>
      <s:c r="CY45" s="122"/>
      <s:c r="CZ45" s="122"/>
      <s:c r="DA45" s="122"/>
      <s:c r="DB45" s="122"/>
      <s:c r="DC45" s="122"/>
      <s:c r="DD45" s="122"/>
      <s:c r="DE45" s="122"/>
      <s:c r="DF45" s="122"/>
      <s:c r="DG45" s="122"/>
      <s:c r="DH45" s="122"/>
      <s:c r="DI45" s="122"/>
      <s:c r="DJ45" s="122"/>
      <s:c r="DK45" s="122"/>
      <s:c r="DL45" s="122"/>
      <s:c r="DM45" s="122"/>
      <s:c r="DN45" s="122"/>
      <s:c r="DO45" s="122"/>
      <s:c r="DP45" s="122"/>
      <s:c r="DQ45" s="122"/>
      <s:c r="DR45" s="122"/>
      <s:c r="DS45" s="122"/>
      <s:c r="DT45" s="122"/>
      <s:c r="DU45" s="122"/>
      <s:c r="DV45" s="122"/>
      <s:c r="DW45" s="122"/>
      <s:c r="DX45" s="122"/>
      <s:c r="DY45" s="122"/>
      <s:c r="DZ45" s="122"/>
      <s:c r="EA45" s="122"/>
      <s:c r="EB45" s="122"/>
      <s:c r="EC45" s="122"/>
      <s:c r="ED45" s="122"/>
      <s:c r="EE45" s="122"/>
      <s:c r="EF45" s="122"/>
      <s:c r="EG45" s="122"/>
      <s:c r="EH45" s="122"/>
      <s:c r="EI45" s="122"/>
      <s:c r="EJ45" s="122"/>
      <s:c r="EK45" s="122"/>
      <s:c r="EL45" s="122"/>
      <s:c r="EM45" s="122"/>
      <s:c r="EN45" s="122"/>
      <s:c r="EO45" s="122"/>
      <s:c r="EP45" s="122"/>
      <s:c r="EQ45" s="122"/>
      <s:c r="ER45" s="122"/>
      <s:c r="ES45" s="122"/>
      <s:c r="ET45" s="122"/>
      <s:c r="EU45" s="122"/>
      <s:c r="EV45" s="122"/>
      <s:c r="EW45" s="122"/>
      <s:c r="EX45" s="122"/>
      <s:c r="EY45" s="122"/>
      <s:c r="EZ45" s="122"/>
      <s:c r="FA45" s="122"/>
      <s:c r="FB45" s="122"/>
      <s:c r="FC45" s="122"/>
      <s:c r="FD45" s="122"/>
      <s:c r="FE45" s="122"/>
      <s:c r="FF45" s="122"/>
      <s:c r="FG45" s="122"/>
      <s:c r="FH45" s="122"/>
      <s:c r="FI45" s="122"/>
      <s:c r="FJ45" s="122"/>
      <s:c r="FK45" s="122"/>
      <s:c r="FL45" s="122"/>
      <s:c r="FM45" s="122"/>
      <s:c r="FN45" s="122"/>
      <s:c r="FO45" s="122"/>
      <s:c r="FP45" s="122"/>
      <s:c r="FQ45" s="122"/>
      <s:c r="FR45" s="122"/>
      <s:c r="FS45" s="122"/>
      <s:c r="FT45" s="122"/>
      <s:c r="FU45" s="122"/>
      <s:c r="FV45" s="122"/>
      <s:c r="FW45" s="122"/>
      <s:c r="FX45" s="122"/>
      <s:c r="FY45" s="122"/>
      <s:c r="FZ45" s="122"/>
      <s:c r="GA45" s="122"/>
      <s:c r="GB45" s="122"/>
      <s:c r="GC45" s="122"/>
      <s:c r="GD45" s="122"/>
      <s:c r="GE45" s="122"/>
      <s:c r="GF45" s="122"/>
      <s:c r="GG45" s="122"/>
      <s:c r="GH45" s="122"/>
      <s:c r="GI45" s="122"/>
      <s:c r="GJ45" s="122"/>
      <s:c r="GK45" s="122"/>
      <s:c r="GL45" s="122"/>
      <s:c r="GM45" s="122"/>
      <s:c r="GN45" s="122"/>
      <s:c r="GO45" s="122"/>
      <s:c r="GP45" s="122"/>
      <s:c r="GQ45" s="122"/>
      <s:c r="GR45" s="122"/>
      <s:c r="GS45" s="122"/>
      <s:c r="GT45" s="122"/>
      <s:c r="GU45" s="122"/>
      <s:c r="GV45" s="122"/>
      <s:c r="GW45" s="122"/>
      <s:c r="GX45" s="122"/>
      <s:c r="GY45" s="122"/>
      <s:c r="GZ45" s="122"/>
      <s:c r="HA45" s="122"/>
      <s:c r="HB45" s="122"/>
      <s:c r="HC45" s="122"/>
      <s:c r="HD45" s="122"/>
      <s:c r="HE45" s="122"/>
      <s:c r="HF45" s="122"/>
      <s:c r="HG45" s="122"/>
      <s:c r="HH45" s="122"/>
      <s:c r="HI45" s="122"/>
      <s:c r="HJ45" s="122"/>
      <s:c r="HK45" s="122"/>
      <s:c r="HL45" s="122"/>
      <s:c r="HM45" s="122"/>
      <s:c r="HN45" s="122"/>
      <s:c r="HO45" s="122"/>
      <s:c r="HP45" s="122"/>
      <s:c r="HQ45" s="122"/>
      <s:c r="HR45" s="122"/>
      <s:c r="HS45" s="122"/>
      <s:c r="HT45" s="122"/>
      <s:c r="HU45" s="122"/>
      <s:c r="HV45" s="122"/>
      <s:c r="HW45" s="122"/>
      <s:c r="HX45" s="122"/>
      <s:c r="HY45" s="122"/>
      <s:c r="HZ45" s="122"/>
      <s:c r="IA45" s="122"/>
      <s:c r="IB45" s="122"/>
      <s:c r="IC45" s="122"/>
      <s:c r="ID45" s="122"/>
      <s:c r="IE45" s="122"/>
      <s:c r="IF45" s="122"/>
      <s:c r="IG45" s="122"/>
      <s:c r="IH45" s="122"/>
      <s:c r="II45" s="122"/>
      <s:c r="IJ45" s="122"/>
      <s:c r="IK45" s="122"/>
      <s:c r="IL45" s="122"/>
      <s:c r="IM45" s="122"/>
      <s:c r="IN45" s="122"/>
      <s:c r="IO45" s="122"/>
      <s:c r="IP45" s="122"/>
      <s:c r="IQ45" s="122"/>
      <s:c r="IR45" s="122"/>
      <s:c r="IS45" s="122"/>
      <s:c r="IT45" s="122"/>
      <s:c r="IU45" s="122"/>
    </s:row>
    <s:row r="46">
      <s:c r="A46" s="95" t="s">
        <s:v>57</s:v>
      </s:c>
      <s:c r="B46" s="96">
        <s:v>45769</s:v>
      </s:c>
      <s:c r="C46" s="97" t="s">
        <s:v>48</s:v>
      </s:c>
      <s:c r="D46" s="98">
        <s:v>31934</s:v>
      </s:c>
      <s:c r="E46" s="99">
        <s:v>8</s:v>
      </s:c>
      <s:c r="F46" s="99">
        <s:f>IF(AND(E46&lt;&gt;"",E46&lt;&gt;0),D46/E46,"")</s:f>
        <s:v>3991.75</s:v>
      </s:c>
      <s:c r="G46" s="99">
        <s:v>5</s:v>
      </s:c>
      <s:c r="H46" s="99">
        <s:f>IF(AND(G46&lt;&gt;"",G46&lt;&gt;0),D46/G46,"")</s:f>
        <s:v>6386.8</s:v>
      </s:c>
      <s:c r="I46" s="99">
        <s:v>30</s:v>
      </s:c>
      <s:c r="J46" s="98">
        <s:f>IF(AND(G46&lt;&gt;"",G46&lt;&gt;0),E46/G46,"")</s:f>
        <s:v>1.6</s:v>
      </s:c>
      <s:c r="K46" s="99"/>
      <s:c r="L46" s="99"/>
      <s:c r="M46" s="99"/>
      <s:c r="N46" s="100">
        <s:f>IF(AND(I46&lt;&gt;"",I46&lt;&gt;0),G46/I46,"")</s:f>
        <s:v>0.16666666666666666</s:v>
      </s:c>
      <s:c r="O46" s="101">
        <s:f>D46/P46</s:f>
        <s:v>0.3424650968153326</s:v>
      </s:c>
      <s:c r="P46" s="102">
        <s:f>$I$8*V46*W46/SUMPRODUCT($W$25:$W$55,$V$25:$V$55)</s:f>
        <s:v>93247.458783280817</s:v>
      </s:c>
      <s:c r="Q46" s="103">
        <s:f>$I$9*V46*W46/SUMPRODUCT($W$25:$W$55,$V$25:$V$55)</s:f>
        <s:v>18.799890883725972</s:v>
      </s:c>
      <s:c r="R46" s="103">
        <s:f>IF($I$12="","",Q46/$I$12)</s:f>
        <s:v>10.621407278941227</s:v>
      </s:c>
      <s:c r="S46" s="102">
        <s:f>IF(W46&lt;&gt;"",IF(D46&lt;&gt;"",D46,($I$8-SUM($S$25:S45))*V46*W46/SUMPRODUCT($W46:$W$55,$V46:$V$55)),"")</s:f>
        <s:v>31934</s:v>
      </s:c>
      <s:c r="T46" s="103">
        <s:f>IF(W46&lt;&gt;"",IF(E46&lt;&gt;"",E46,($I$9-SUM($T$25:T45))*V46*W46/SUMPRODUCT($W46:$W$55,$V46:$V$55)),"")</s:f>
        <s:v>8</s:v>
      </s:c>
      <s:c r="U46" s="103">
        <s:f>IF(W46&lt;&gt;"",IF($I$12&lt;&gt;"",IF(G46&lt;&gt;"",G46,($I$9/$I$12-SUM($U$25:U45))*V46*W46/SUMPRODUCT($W46:$W$55,$V46:$V$55)),""),"")</s:f>
        <s:v>5</s:v>
      </s:c>
      <s:c r="V46" s="104">
        <s:v>1</s:v>
      </s:c>
      <s:c r="W46" s="104">
        <s:v>1</s:v>
      </s:c>
      <s:c r="X46" s="107"/>
      <s:c r="Y46" s="106"/>
      <s:c r="Z46" s="126"/>
    </s:row>
    <s:row r="47">
      <s:c r="A47" s="95" t="s">
        <s:v>56</s:v>
      </s:c>
      <s:c r="B47" s="96">
        <s:v>45770</s:v>
      </s:c>
      <s:c r="C47" s="97" t="s">
        <s:v>49</s:v>
      </s:c>
      <s:c r="D47" s="98">
        <s:v>18451</s:v>
      </s:c>
      <s:c r="E47" s="99">
        <s:v>4</s:v>
      </s:c>
      <s:c r="F47" s="99">
        <s:f>IF(AND(E47&lt;&gt;"",E47&lt;&gt;0),D47/E47,"")</s:f>
        <s:v>4612.75</s:v>
      </s:c>
      <s:c r="G47" s="99">
        <s:v>2</s:v>
      </s:c>
      <s:c r="H47" s="99">
        <s:f>IF(AND(G47&lt;&gt;"",G47&lt;&gt;0),D47/G47,"")</s:f>
        <s:v>9225.5</s:v>
      </s:c>
      <s:c r="I47" s="99">
        <s:v>30</s:v>
      </s:c>
      <s:c r="J47" s="98">
        <s:f>IF(AND(G47&lt;&gt;"",G47&lt;&gt;0),E47/G47,"")</s:f>
        <s:v>2</s:v>
      </s:c>
      <s:c r="K47" s="99"/>
      <s:c r="L47" s="99"/>
      <s:c r="M47" s="99"/>
      <s:c r="N47" s="100">
        <s:f>IF(AND(I47&lt;&gt;"",I47&lt;&gt;0),G47/I47,"")</s:f>
        <s:v>6.6666666666666666E-2</s:v>
      </s:c>
      <s:c r="O47" s="101">
        <s:f>D47/P47</s:f>
        <s:v>0.96279663636208201</s:v>
      </s:c>
      <s:c r="P47" s="102">
        <s:f>$I$8*V47*W47/SUMPRODUCT($W$25:$W$55,$V$25:$V$55)</s:f>
        <s:v>19163.963918400183</s:v>
      </s:c>
      <s:c r="Q47" s="103">
        <s:f>$I$9*V47*W47/SUMPRODUCT($W$25:$W$55,$V$25:$V$55)</s:f>
        <s:v>3.8637024029032632</s:v>
      </s:c>
      <s:c r="R47" s="103">
        <s:f>IF($I$12="","",Q47/$I$12)</s:f>
        <s:v>2.1828827135046684</s:v>
      </s:c>
      <s:c r="S47" s="102">
        <s:f>IF(W47&lt;&gt;"",IF(D47&lt;&gt;"",D47,($I$8-SUM($S$25:S46))*V47*W47/SUMPRODUCT($W47:$W$55,$V47:$V$55)),"")</s:f>
        <s:v>18451</s:v>
      </s:c>
      <s:c r="T47" s="103">
        <s:f>IF(W47&lt;&gt;"",IF(E47&lt;&gt;"",E47,($I$9-SUM($T$25:T46))*V47*W47/SUMPRODUCT($W47:$W$55,$V47:$V$55)),"")</s:f>
        <s:v>4</s:v>
      </s:c>
      <s:c r="U47" s="103">
        <s:f>IF(W47&lt;&gt;"",IF($I$12&lt;&gt;"",IF(G47&lt;&gt;"",G47,($I$9/$I$12-SUM($U$25:U46))*V47*W47/SUMPRODUCT($W47:$W$55,$V47:$V$55)),""),"")</s:f>
        <s:v>2</s:v>
      </s:c>
      <s:c r="V47" s="104">
        <s:v>0.45334013510259041</s:v>
      </s:c>
      <s:c r="W47" s="104">
        <s:v>0.45334013510259041</s:v>
      </s:c>
      <s:c r="X47" s="107"/>
      <s:c r="Y47" s="106"/>
      <s:c r="Z47" s="126"/>
    </s:row>
    <s:row r="48">
      <s:c r="A48" s="95" t="s">
        <s:v>56</s:v>
      </s:c>
      <s:c r="B48" s="96">
        <s:v>45771</s:v>
      </s:c>
      <s:c r="C48" s="97" t="s">
        <s:v>51</s:v>
      </s:c>
      <s:c r="D48" s="98">
        <s:f>92111+16323</s:f>
        <s:v>108434</s:v>
      </s:c>
      <s:c r="E48" s="99">
        <s:v>22</s:v>
      </s:c>
      <s:c r="F48" s="99">
        <s:f>IF(AND(E48&lt;&gt;"",E48&lt;&gt;0),D48/E48,"")</s:f>
        <s:v>4928.818181818182</s:v>
      </s:c>
      <s:c r="G48" s="99">
        <s:v>12</s:v>
      </s:c>
      <s:c r="H48" s="99">
        <s:f>IF(AND(G48&lt;&gt;"",G48&lt;&gt;0),D48/G48,"")</s:f>
        <s:v>9036.1666666666661</s:v>
      </s:c>
      <s:c r="I48" s="99">
        <s:v>30</s:v>
      </s:c>
      <s:c r="J48" s="98">
        <s:f>IF(AND(G48&lt;&gt;"",G48&lt;&gt;0),E48/G48,"")</s:f>
        <s:v>1.8333333333333333</s:v>
      </s:c>
      <s:c r="K48" s="99">
        <s:v>24476</s:v>
      </s:c>
      <s:c r="L48" s="99">
        <s:v>16323</s:v>
      </s:c>
      <s:c r="M48" s="99"/>
      <s:c r="N48" s="100">
        <s:f>IF(AND(I48&lt;&gt;"",I48&lt;&gt;0),G48/I48,"")</s:f>
        <s:v>0.4</s:v>
      </s:c>
      <s:c r="O48" s="101">
        <s:f>D48/P48</s:f>
        <s:v>1.1628627891298857</s:v>
      </s:c>
      <s:c r="P48" s="102">
        <s:f>$I$8*V48*W48/SUMPRODUCT($W$25:$W$55,$V$25:$V$55)</s:f>
        <s:v>93247.458783280817</s:v>
      </s:c>
      <s:c r="Q48" s="103">
        <s:f>$I$9*V48*W48/SUMPRODUCT($W$25:$W$55,$V$25:$V$55)</s:f>
        <s:v>18.799890883725972</s:v>
      </s:c>
      <s:c r="R48" s="103">
        <s:f>IF($I$12="","",Q48/$I$12)</s:f>
        <s:v>10.621407278941227</s:v>
      </s:c>
      <s:c r="S48" s="102">
        <s:f>IF(W48&lt;&gt;"",IF(D48&lt;&gt;"",D48,($I$8-SUM($S$25:S47))*V48*W48/SUMPRODUCT($W48:$W$55,$V48:$V$55)),"")</s:f>
        <s:v>108434</s:v>
      </s:c>
      <s:c r="T48" s="103">
        <s:f>IF(W48&lt;&gt;"",IF(E48&lt;&gt;"",E48,($I$9-SUM($T$25:T47))*V48*W48/SUMPRODUCT($W48:$W$55,$V48:$V$55)),"")</s:f>
        <s:v>22</s:v>
      </s:c>
      <s:c r="U48" s="103">
        <s:f>IF(W48&lt;&gt;"",IF($I$12&lt;&gt;"",IF(G48&lt;&gt;"",G48,($I$9/$I$12-SUM($U$25:U47))*V48*W48/SUMPRODUCT($W48:$W$55,$V48:$V$55)),""),"")</s:f>
        <s:v>12</s:v>
      </s:c>
      <s:c r="V48" s="104">
        <s:v>1</s:v>
      </s:c>
      <s:c r="W48" s="104">
        <s:v>1</s:v>
      </s:c>
      <s:c r="X48" s="107"/>
      <s:c r="Y48" s="106"/>
      <s:c r="Z48" s="126"/>
    </s:row>
    <s:row r="49" spans="1:255" s="109" customFormat="1">
      <s:c r="A49" s="110" t="s">
        <s:v>47</s:v>
      </s:c>
      <s:c r="B49" s="111">
        <s:v>45772</s:v>
      </s:c>
      <s:c r="C49" s="112" t="s">
        <s:v>52</s:v>
      </s:c>
      <s:c r="D49" s="113">
        <s:f>29723+29828</s:f>
        <s:v>59551</s:v>
      </s:c>
      <s:c r="E49" s="114">
        <s:v>14</s:v>
      </s:c>
      <s:c r="F49" s="114">
        <s:f>IF(AND(E49&lt;&gt;"",E49&lt;&gt;0),D49/E49,"")</s:f>
        <s:v>4253.6428571428569</s:v>
      </s:c>
      <s:c r="G49" s="114">
        <s:v>7</s:v>
      </s:c>
      <s:c r="H49" s="114">
        <s:f>IF(AND(G49&lt;&gt;"",G49&lt;&gt;0),D49/G49,"")</s:f>
        <s:v>8507.2857142857138</s:v>
      </s:c>
      <s:c r="I49" s="114">
        <s:v>40</s:v>
      </s:c>
      <s:c r="J49" s="113">
        <s:f>IF(AND(G49&lt;&gt;"",G49&lt;&gt;0),E49/G49,"")</s:f>
        <s:v>2</s:v>
      </s:c>
      <s:c r="K49" s="114"/>
      <s:c r="L49" s="114">
        <s:v>29828</s:v>
      </s:c>
      <s:c r="M49" s="114"/>
      <s:c r="N49" s="115">
        <s:f>IF(AND(I49&lt;&gt;"",I49&lt;&gt;0),G49/I49,"")</s:f>
        <s:v>0.17499999999999999</s:v>
      </s:c>
      <s:c r="O49" s="116">
        <s:f>D49/P49</s:f>
        <s:v>0.63863402581730666</s:v>
      </s:c>
      <s:c r="P49" s="117">
        <s:f>$I$8*V49*W49/SUMPRODUCT($W$25:$W$55,$V$25:$V$55)</s:f>
        <s:v>93247.458783280817</s:v>
      </s:c>
      <s:c r="Q49" s="118">
        <s:f>$I$9*V49*W49/SUMPRODUCT($W$25:$W$55,$V$25:$V$55)</s:f>
        <s:v>18.799890883725972</s:v>
      </s:c>
      <s:c r="R49" s="118">
        <s:f>IF($I$12="","",Q49/$I$12)</s:f>
        <s:v>10.621407278941227</s:v>
      </s:c>
      <s:c r="S49" s="117">
        <s:f>IF(W49&lt;&gt;"",IF(D49&lt;&gt;"",D49,($I$8-SUM($S$25:S48))*V49*W49/SUMPRODUCT($W49:$W$55,$V49:$V$55)),"")</s:f>
        <s:v>59551</s:v>
      </s:c>
      <s:c r="T49" s="118">
        <s:f>IF(W49&lt;&gt;"",IF(E49&lt;&gt;"",E49,($I$9-SUM($T$25:T48))*V49*W49/SUMPRODUCT($W49:$W$55,$V49:$V$55)),"")</s:f>
        <s:v>14</s:v>
      </s:c>
      <s:c r="U49" s="118">
        <s:f>IF(W49&lt;&gt;"",IF($I$12&lt;&gt;"",IF(G49&lt;&gt;"",G49,($I$9/$I$12-SUM($U$25:U48))*V49*W49/SUMPRODUCT($W49:$W$55,$V49:$V$55)),""),"")</s:f>
        <s:v>7</s:v>
      </s:c>
      <s:c r="V49" s="119">
        <s:v>1</s:v>
      </s:c>
      <s:c r="W49" s="119">
        <s:v>1</s:v>
      </s:c>
      <s:c r="X49" s="120"/>
      <s:c r="Y49" s="124"/>
      <s:c r="Z49" s="125"/>
      <s:c r="AA49" s="122"/>
      <s:c r="AB49" s="122"/>
      <s:c r="AC49" s="122"/>
      <s:c r="AD49" s="122"/>
      <s:c r="AE49" s="122"/>
      <s:c r="AF49" s="122"/>
      <s:c r="AG49" s="122"/>
      <s:c r="AH49" s="122"/>
      <s:c r="AI49" s="122"/>
      <s:c r="AJ49" s="122"/>
      <s:c r="AK49" s="122"/>
      <s:c r="AL49" s="122"/>
      <s:c r="AM49" s="122"/>
      <s:c r="AN49" s="122"/>
      <s:c r="AO49" s="122"/>
      <s:c r="AP49" s="122"/>
      <s:c r="AQ49" s="122"/>
      <s:c r="AR49" s="122"/>
      <s:c r="AS49" s="122"/>
      <s:c r="AT49" s="122"/>
      <s:c r="AU49" s="122"/>
      <s:c r="AV49" s="122"/>
      <s:c r="AW49" s="122"/>
      <s:c r="AX49" s="122"/>
      <s:c r="AY49" s="122"/>
      <s:c r="AZ49" s="122"/>
      <s:c r="BA49" s="122"/>
      <s:c r="BB49" s="122"/>
      <s:c r="BC49" s="122"/>
      <s:c r="BD49" s="122"/>
      <s:c r="BE49" s="122"/>
      <s:c r="BF49" s="122"/>
      <s:c r="BG49" s="122"/>
      <s:c r="BH49" s="122"/>
      <s:c r="BI49" s="122"/>
      <s:c r="BJ49" s="122"/>
      <s:c r="BK49" s="122"/>
      <s:c r="BL49" s="122"/>
      <s:c r="BM49" s="122"/>
      <s:c r="BN49" s="122"/>
      <s:c r="BO49" s="122"/>
      <s:c r="BP49" s="122"/>
      <s:c r="BQ49" s="122"/>
      <s:c r="BR49" s="122"/>
      <s:c r="BS49" s="122"/>
      <s:c r="BT49" s="122"/>
      <s:c r="BU49" s="122"/>
      <s:c r="BV49" s="122"/>
      <s:c r="BW49" s="122"/>
      <s:c r="BX49" s="122"/>
      <s:c r="BY49" s="122"/>
      <s:c r="BZ49" s="122"/>
      <s:c r="CA49" s="122"/>
      <s:c r="CB49" s="122"/>
      <s:c r="CC49" s="122"/>
      <s:c r="CD49" s="122"/>
      <s:c r="CE49" s="122"/>
      <s:c r="CF49" s="122"/>
      <s:c r="CG49" s="122"/>
      <s:c r="CH49" s="122"/>
      <s:c r="CI49" s="122"/>
      <s:c r="CJ49" s="122"/>
      <s:c r="CK49" s="122"/>
      <s:c r="CL49" s="122"/>
      <s:c r="CM49" s="122"/>
      <s:c r="CN49" s="122"/>
      <s:c r="CO49" s="122"/>
      <s:c r="CP49" s="122"/>
      <s:c r="CQ49" s="122"/>
      <s:c r="CR49" s="122"/>
      <s:c r="CS49" s="122"/>
      <s:c r="CT49" s="122"/>
      <s:c r="CU49" s="122"/>
      <s:c r="CV49" s="122"/>
      <s:c r="CW49" s="122"/>
      <s:c r="CX49" s="122"/>
      <s:c r="CY49" s="122"/>
      <s:c r="CZ49" s="122"/>
      <s:c r="DA49" s="122"/>
      <s:c r="DB49" s="122"/>
      <s:c r="DC49" s="122"/>
      <s:c r="DD49" s="122"/>
      <s:c r="DE49" s="122"/>
      <s:c r="DF49" s="122"/>
      <s:c r="DG49" s="122"/>
      <s:c r="DH49" s="122"/>
      <s:c r="DI49" s="122"/>
      <s:c r="DJ49" s="122"/>
      <s:c r="DK49" s="122"/>
      <s:c r="DL49" s="122"/>
      <s:c r="DM49" s="122"/>
      <s:c r="DN49" s="122"/>
      <s:c r="DO49" s="122"/>
      <s:c r="DP49" s="122"/>
      <s:c r="DQ49" s="122"/>
      <s:c r="DR49" s="122"/>
      <s:c r="DS49" s="122"/>
      <s:c r="DT49" s="122"/>
      <s:c r="DU49" s="122"/>
      <s:c r="DV49" s="122"/>
      <s:c r="DW49" s="122"/>
      <s:c r="DX49" s="122"/>
      <s:c r="DY49" s="122"/>
      <s:c r="DZ49" s="122"/>
      <s:c r="EA49" s="122"/>
      <s:c r="EB49" s="122"/>
      <s:c r="EC49" s="122"/>
      <s:c r="ED49" s="122"/>
      <s:c r="EE49" s="122"/>
      <s:c r="EF49" s="122"/>
      <s:c r="EG49" s="122"/>
      <s:c r="EH49" s="122"/>
      <s:c r="EI49" s="122"/>
      <s:c r="EJ49" s="122"/>
      <s:c r="EK49" s="122"/>
      <s:c r="EL49" s="122"/>
      <s:c r="EM49" s="122"/>
      <s:c r="EN49" s="122"/>
      <s:c r="EO49" s="122"/>
      <s:c r="EP49" s="122"/>
      <s:c r="EQ49" s="122"/>
      <s:c r="ER49" s="122"/>
      <s:c r="ES49" s="122"/>
      <s:c r="ET49" s="122"/>
      <s:c r="EU49" s="122"/>
      <s:c r="EV49" s="122"/>
      <s:c r="EW49" s="122"/>
      <s:c r="EX49" s="122"/>
      <s:c r="EY49" s="122"/>
      <s:c r="EZ49" s="122"/>
      <s:c r="FA49" s="122"/>
      <s:c r="FB49" s="122"/>
      <s:c r="FC49" s="122"/>
      <s:c r="FD49" s="122"/>
      <s:c r="FE49" s="122"/>
      <s:c r="FF49" s="122"/>
      <s:c r="FG49" s="122"/>
      <s:c r="FH49" s="122"/>
      <s:c r="FI49" s="122"/>
      <s:c r="FJ49" s="122"/>
      <s:c r="FK49" s="122"/>
      <s:c r="FL49" s="122"/>
      <s:c r="FM49" s="122"/>
      <s:c r="FN49" s="122"/>
      <s:c r="FO49" s="122"/>
      <s:c r="FP49" s="122"/>
      <s:c r="FQ49" s="122"/>
      <s:c r="FR49" s="122"/>
      <s:c r="FS49" s="122"/>
      <s:c r="FT49" s="122"/>
      <s:c r="FU49" s="122"/>
      <s:c r="FV49" s="122"/>
      <s:c r="FW49" s="122"/>
      <s:c r="FX49" s="122"/>
      <s:c r="FY49" s="122"/>
      <s:c r="FZ49" s="122"/>
      <s:c r="GA49" s="122"/>
      <s:c r="GB49" s="122"/>
      <s:c r="GC49" s="122"/>
      <s:c r="GD49" s="122"/>
      <s:c r="GE49" s="122"/>
      <s:c r="GF49" s="122"/>
      <s:c r="GG49" s="122"/>
      <s:c r="GH49" s="122"/>
      <s:c r="GI49" s="122"/>
      <s:c r="GJ49" s="122"/>
      <s:c r="GK49" s="122"/>
      <s:c r="GL49" s="122"/>
      <s:c r="GM49" s="122"/>
      <s:c r="GN49" s="122"/>
      <s:c r="GO49" s="122"/>
      <s:c r="GP49" s="122"/>
      <s:c r="GQ49" s="122"/>
      <s:c r="GR49" s="122"/>
      <s:c r="GS49" s="122"/>
      <s:c r="GT49" s="122"/>
      <s:c r="GU49" s="122"/>
      <s:c r="GV49" s="122"/>
      <s:c r="GW49" s="122"/>
      <s:c r="GX49" s="122"/>
      <s:c r="GY49" s="122"/>
      <s:c r="GZ49" s="122"/>
      <s:c r="HA49" s="122"/>
      <s:c r="HB49" s="122"/>
      <s:c r="HC49" s="122"/>
      <s:c r="HD49" s="122"/>
      <s:c r="HE49" s="122"/>
      <s:c r="HF49" s="122"/>
      <s:c r="HG49" s="122"/>
      <s:c r="HH49" s="122"/>
      <s:c r="HI49" s="122"/>
      <s:c r="HJ49" s="122"/>
      <s:c r="HK49" s="122"/>
      <s:c r="HL49" s="122"/>
      <s:c r="HM49" s="122"/>
      <s:c r="HN49" s="122"/>
      <s:c r="HO49" s="122"/>
      <s:c r="HP49" s="122"/>
      <s:c r="HQ49" s="122"/>
      <s:c r="HR49" s="122"/>
      <s:c r="HS49" s="122"/>
      <s:c r="HT49" s="122"/>
      <s:c r="HU49" s="122"/>
      <s:c r="HV49" s="122"/>
      <s:c r="HW49" s="122"/>
      <s:c r="HX49" s="122"/>
      <s:c r="HY49" s="122"/>
      <s:c r="HZ49" s="122"/>
      <s:c r="IA49" s="122"/>
      <s:c r="IB49" s="122"/>
      <s:c r="IC49" s="122"/>
      <s:c r="ID49" s="122"/>
      <s:c r="IE49" s="122"/>
      <s:c r="IF49" s="122"/>
      <s:c r="IG49" s="122"/>
      <s:c r="IH49" s="122"/>
      <s:c r="II49" s="122"/>
      <s:c r="IJ49" s="122"/>
      <s:c r="IK49" s="122"/>
      <s:c r="IL49" s="122"/>
      <s:c r="IM49" s="122"/>
      <s:c r="IN49" s="122"/>
      <s:c r="IO49" s="122"/>
      <s:c r="IP49" s="122"/>
      <s:c r="IQ49" s="122"/>
      <s:c r="IR49" s="122"/>
      <s:c r="IS49" s="122"/>
      <s:c r="IT49" s="122"/>
      <s:c r="IU49" s="122"/>
    </s:row>
    <s:row r="50" spans="1:255" s="109" customFormat="1">
      <s:c r="A50" s="110" t="s">
        <s:v>56</s:v>
      </s:c>
      <s:c r="B50" s="111">
        <s:v>45773</s:v>
      </s:c>
      <s:c r="C50" s="112" t="s">
        <s:v>53</s:v>
      </s:c>
      <s:c r="D50" s="113">
        <s:f>152328+51609</s:f>
        <s:v>203937</s:v>
      </s:c>
      <s:c r="E50" s="114">
        <s:v>36</s:v>
      </s:c>
      <s:c r="F50" s="127">
        <s:f>IF(AND(E50&lt;&gt;"",E50&lt;&gt;0),D50/E50,"")</s:f>
        <s:v>5664.916666666667</s:v>
      </s:c>
      <s:c r="G50" s="114">
        <s:v>15</s:v>
      </s:c>
      <s:c r="H50" s="114">
        <s:f>IF(AND(G50&lt;&gt;"",G50&lt;&gt;0),D50/G50,"")</s:f>
        <s:v>13595.8</s:v>
      </s:c>
      <s:c r="I50" s="114">
        <s:v>50</s:v>
      </s:c>
      <s:c r="J50" s="113">
        <s:f>IF(AND(G50&lt;&gt;"",G50&lt;&gt;0),E50/G50,"")</s:f>
        <s:v>2.4</s:v>
      </s:c>
      <s:c r="K50" s="114"/>
      <s:c r="L50" s="114">
        <s:v>51609</s:v>
      </s:c>
      <s:c r="M50" s="114"/>
      <s:c r="N50" s="115">
        <s:f>IF(AND(I50&lt;&gt;"",I50&lt;&gt;0),G50/I50,"")</s:f>
        <s:v>0.3</s:v>
      </s:c>
      <s:c r="O50" s="116">
        <s:f>D50/P50</s:f>
        <s:v>2.1870515578765102</s:v>
      </s:c>
      <s:c r="P50" s="117">
        <s:f>$I$8*V50*W50/SUMPRODUCT($W$25:$W$55,$V$25:$V$55)</s:f>
        <s:v>93247.458783280817</s:v>
      </s:c>
      <s:c r="Q50" s="118">
        <s:f>$I$9*V50*W50/SUMPRODUCT($W$25:$W$55,$V$25:$V$55)</s:f>
        <s:v>18.799890883725972</s:v>
      </s:c>
      <s:c r="R50" s="118">
        <s:f>IF($I$12="","",Q50/$I$12)</s:f>
        <s:v>10.621407278941227</s:v>
      </s:c>
      <s:c r="S50" s="117">
        <s:f>IF(W50&lt;&gt;"",IF(D50&lt;&gt;"",D50,($I$8-SUM($S$25:S49))*V50*W50/SUMPRODUCT($W50:$W$55,$V50:$V$55)),"")</s:f>
        <s:v>203937</s:v>
      </s:c>
      <s:c r="T50" s="118">
        <s:f>IF(W50&lt;&gt;"",IF(E50&lt;&gt;"",E50,($I$9-SUM($T$25:T49))*V50*W50/SUMPRODUCT($W50:$W$55,$V50:$V$55)),"")</s:f>
        <s:v>36</s:v>
      </s:c>
      <s:c r="U50" s="118">
        <s:f>IF(W50&lt;&gt;"",IF($I$12&lt;&gt;"",IF(G50&lt;&gt;"",G50,($I$9/$I$12-SUM($U$25:U49))*V50*W50/SUMPRODUCT($W50:$W$55,$V50:$V$55)),""),"")</s:f>
        <s:v>15</s:v>
      </s:c>
      <s:c r="V50" s="119">
        <s:v>1</s:v>
      </s:c>
      <s:c r="W50" s="119">
        <s:v>1</s:v>
      </s:c>
      <s:c r="X50" s="120"/>
      <s:c r="Y50" s="124"/>
      <s:c r="Z50" s="125"/>
      <s:c r="AA50" s="122"/>
      <s:c r="AB50" s="122"/>
      <s:c r="AC50" s="122"/>
      <s:c r="AD50" s="122"/>
      <s:c r="AE50" s="122"/>
      <s:c r="AF50" s="122"/>
      <s:c r="AG50" s="122"/>
      <s:c r="AH50" s="122"/>
      <s:c r="AI50" s="122"/>
      <s:c r="AJ50" s="122"/>
      <s:c r="AK50" s="122"/>
      <s:c r="AL50" s="122"/>
      <s:c r="AM50" s="122"/>
      <s:c r="AN50" s="122"/>
      <s:c r="AO50" s="122"/>
      <s:c r="AP50" s="122"/>
      <s:c r="AQ50" s="122"/>
      <s:c r="AR50" s="122"/>
      <s:c r="AS50" s="122"/>
      <s:c r="AT50" s="122"/>
      <s:c r="AU50" s="122"/>
      <s:c r="AV50" s="122"/>
      <s:c r="AW50" s="122"/>
      <s:c r="AX50" s="122"/>
      <s:c r="AY50" s="122"/>
      <s:c r="AZ50" s="122"/>
      <s:c r="BA50" s="122"/>
      <s:c r="BB50" s="122"/>
      <s:c r="BC50" s="122"/>
      <s:c r="BD50" s="122"/>
      <s:c r="BE50" s="122"/>
      <s:c r="BF50" s="122"/>
      <s:c r="BG50" s="122"/>
      <s:c r="BH50" s="122"/>
      <s:c r="BI50" s="122"/>
      <s:c r="BJ50" s="122"/>
      <s:c r="BK50" s="122"/>
      <s:c r="BL50" s="122"/>
      <s:c r="BM50" s="122"/>
      <s:c r="BN50" s="122"/>
      <s:c r="BO50" s="122"/>
      <s:c r="BP50" s="122"/>
      <s:c r="BQ50" s="122"/>
      <s:c r="BR50" s="122"/>
      <s:c r="BS50" s="122"/>
      <s:c r="BT50" s="122"/>
      <s:c r="BU50" s="122"/>
      <s:c r="BV50" s="122"/>
      <s:c r="BW50" s="122"/>
      <s:c r="BX50" s="122"/>
      <s:c r="BY50" s="122"/>
      <s:c r="BZ50" s="122"/>
      <s:c r="CA50" s="122"/>
      <s:c r="CB50" s="122"/>
      <s:c r="CC50" s="122"/>
      <s:c r="CD50" s="122"/>
      <s:c r="CE50" s="122"/>
      <s:c r="CF50" s="122"/>
      <s:c r="CG50" s="122"/>
      <s:c r="CH50" s="122"/>
      <s:c r="CI50" s="122"/>
      <s:c r="CJ50" s="122"/>
      <s:c r="CK50" s="122"/>
      <s:c r="CL50" s="122"/>
      <s:c r="CM50" s="122"/>
      <s:c r="CN50" s="122"/>
      <s:c r="CO50" s="122"/>
      <s:c r="CP50" s="122"/>
      <s:c r="CQ50" s="122"/>
      <s:c r="CR50" s="122"/>
      <s:c r="CS50" s="122"/>
      <s:c r="CT50" s="122"/>
      <s:c r="CU50" s="122"/>
      <s:c r="CV50" s="122"/>
      <s:c r="CW50" s="122"/>
      <s:c r="CX50" s="122"/>
      <s:c r="CY50" s="122"/>
      <s:c r="CZ50" s="122"/>
      <s:c r="DA50" s="122"/>
      <s:c r="DB50" s="122"/>
      <s:c r="DC50" s="122"/>
      <s:c r="DD50" s="122"/>
      <s:c r="DE50" s="122"/>
      <s:c r="DF50" s="122"/>
      <s:c r="DG50" s="122"/>
      <s:c r="DH50" s="122"/>
      <s:c r="DI50" s="122"/>
      <s:c r="DJ50" s="122"/>
      <s:c r="DK50" s="122"/>
      <s:c r="DL50" s="122"/>
      <s:c r="DM50" s="122"/>
      <s:c r="DN50" s="122"/>
      <s:c r="DO50" s="122"/>
      <s:c r="DP50" s="122"/>
      <s:c r="DQ50" s="122"/>
      <s:c r="DR50" s="122"/>
      <s:c r="DS50" s="122"/>
      <s:c r="DT50" s="122"/>
      <s:c r="DU50" s="122"/>
      <s:c r="DV50" s="122"/>
      <s:c r="DW50" s="122"/>
      <s:c r="DX50" s="122"/>
      <s:c r="DY50" s="122"/>
      <s:c r="DZ50" s="122"/>
      <s:c r="EA50" s="122"/>
      <s:c r="EB50" s="122"/>
      <s:c r="EC50" s="122"/>
      <s:c r="ED50" s="122"/>
      <s:c r="EE50" s="122"/>
      <s:c r="EF50" s="122"/>
      <s:c r="EG50" s="122"/>
      <s:c r="EH50" s="122"/>
      <s:c r="EI50" s="122"/>
      <s:c r="EJ50" s="122"/>
      <s:c r="EK50" s="122"/>
      <s:c r="EL50" s="122"/>
      <s:c r="EM50" s="122"/>
      <s:c r="EN50" s="122"/>
      <s:c r="EO50" s="122"/>
      <s:c r="EP50" s="122"/>
      <s:c r="EQ50" s="122"/>
      <s:c r="ER50" s="122"/>
      <s:c r="ES50" s="122"/>
      <s:c r="ET50" s="122"/>
      <s:c r="EU50" s="122"/>
      <s:c r="EV50" s="122"/>
      <s:c r="EW50" s="122"/>
      <s:c r="EX50" s="122"/>
      <s:c r="EY50" s="122"/>
      <s:c r="EZ50" s="122"/>
      <s:c r="FA50" s="122"/>
      <s:c r="FB50" s="122"/>
      <s:c r="FC50" s="122"/>
      <s:c r="FD50" s="122"/>
      <s:c r="FE50" s="122"/>
      <s:c r="FF50" s="122"/>
      <s:c r="FG50" s="122"/>
      <s:c r="FH50" s="122"/>
      <s:c r="FI50" s="122"/>
      <s:c r="FJ50" s="122"/>
      <s:c r="FK50" s="122"/>
      <s:c r="FL50" s="122"/>
      <s:c r="FM50" s="122"/>
      <s:c r="FN50" s="122"/>
      <s:c r="FO50" s="122"/>
      <s:c r="FP50" s="122"/>
      <s:c r="FQ50" s="122"/>
      <s:c r="FR50" s="122"/>
      <s:c r="FS50" s="122"/>
      <s:c r="FT50" s="122"/>
      <s:c r="FU50" s="122"/>
      <s:c r="FV50" s="122"/>
      <s:c r="FW50" s="122"/>
      <s:c r="FX50" s="122"/>
      <s:c r="FY50" s="122"/>
      <s:c r="FZ50" s="122"/>
      <s:c r="GA50" s="122"/>
      <s:c r="GB50" s="122"/>
      <s:c r="GC50" s="122"/>
      <s:c r="GD50" s="122"/>
      <s:c r="GE50" s="122"/>
      <s:c r="GF50" s="122"/>
      <s:c r="GG50" s="122"/>
      <s:c r="GH50" s="122"/>
      <s:c r="GI50" s="122"/>
      <s:c r="GJ50" s="122"/>
      <s:c r="GK50" s="122"/>
      <s:c r="GL50" s="122"/>
      <s:c r="GM50" s="122"/>
      <s:c r="GN50" s="122"/>
      <s:c r="GO50" s="122"/>
      <s:c r="GP50" s="122"/>
      <s:c r="GQ50" s="122"/>
      <s:c r="GR50" s="122"/>
      <s:c r="GS50" s="122"/>
      <s:c r="GT50" s="122"/>
      <s:c r="GU50" s="122"/>
      <s:c r="GV50" s="122"/>
      <s:c r="GW50" s="122"/>
      <s:c r="GX50" s="122"/>
      <s:c r="GY50" s="122"/>
      <s:c r="GZ50" s="122"/>
      <s:c r="HA50" s="122"/>
      <s:c r="HB50" s="122"/>
      <s:c r="HC50" s="122"/>
      <s:c r="HD50" s="122"/>
      <s:c r="HE50" s="122"/>
      <s:c r="HF50" s="122"/>
      <s:c r="HG50" s="122"/>
      <s:c r="HH50" s="122"/>
      <s:c r="HI50" s="122"/>
      <s:c r="HJ50" s="122"/>
      <s:c r="HK50" s="122"/>
      <s:c r="HL50" s="122"/>
      <s:c r="HM50" s="122"/>
      <s:c r="HN50" s="122"/>
      <s:c r="HO50" s="122"/>
      <s:c r="HP50" s="122"/>
      <s:c r="HQ50" s="122"/>
      <s:c r="HR50" s="122"/>
      <s:c r="HS50" s="122"/>
      <s:c r="HT50" s="122"/>
      <s:c r="HU50" s="122"/>
      <s:c r="HV50" s="122"/>
      <s:c r="HW50" s="122"/>
      <s:c r="HX50" s="122"/>
      <s:c r="HY50" s="122"/>
      <s:c r="HZ50" s="122"/>
      <s:c r="IA50" s="122"/>
      <s:c r="IB50" s="122"/>
      <s:c r="IC50" s="122"/>
      <s:c r="ID50" s="122"/>
      <s:c r="IE50" s="122"/>
      <s:c r="IF50" s="122"/>
      <s:c r="IG50" s="122"/>
      <s:c r="IH50" s="122"/>
      <s:c r="II50" s="122"/>
      <s:c r="IJ50" s="122"/>
      <s:c r="IK50" s="122"/>
      <s:c r="IL50" s="122"/>
      <s:c r="IM50" s="122"/>
      <s:c r="IN50" s="122"/>
      <s:c r="IO50" s="122"/>
      <s:c r="IP50" s="122"/>
      <s:c r="IQ50" s="122"/>
      <s:c r="IR50" s="122"/>
      <s:c r="IS50" s="122"/>
      <s:c r="IT50" s="122"/>
      <s:c r="IU50" s="122"/>
    </s:row>
    <s:row r="51" spans="1:255" s="109" customFormat="1">
      <s:c r="A51" s="110" t="s">
        <s:v>56</s:v>
      </s:c>
      <s:c r="B51" s="111">
        <s:v>45774</s:v>
      </s:c>
      <s:c r="C51" s="112" t="s">
        <s:v>54</s:v>
      </s:c>
      <s:c r="D51" s="113">
        <s:f>116165+14506</s:f>
        <s:v>130671</s:v>
      </s:c>
      <s:c r="E51" s="114">
        <s:v>28</s:v>
      </s:c>
      <s:c r="F51" s="114">
        <s:f>IF(AND(E51&lt;&gt;"",E51&lt;&gt;0),D51/E51,"")</s:f>
        <s:v>4666.8214285714284</s:v>
      </s:c>
      <s:c r="G51" s="114">
        <s:v>13</s:v>
      </s:c>
      <s:c r="H51" s="114">
        <s:f>IF(AND(G51&lt;&gt;"",G51&lt;&gt;0),D51/G51,"")</s:f>
        <s:v>10051.615384615385</s:v>
      </s:c>
      <s:c r="I51" s="114">
        <s:v>50</s:v>
      </s:c>
      <s:c r="J51" s="113">
        <s:f>IF(AND(G51&lt;&gt;"",G51&lt;&gt;0),E51/G51,"")</s:f>
        <s:v>2.1538461538461537</s:v>
      </s:c>
      <s:c r="K51" s="114"/>
      <s:c r="L51" s="114">
        <s:v>14506</s:v>
      </s:c>
      <s:c r="M51" s="114"/>
      <s:c r="N51" s="115">
        <s:f>IF(AND(I51&lt;&gt;"",I51&lt;&gt;0),G51/I51,"")</s:f>
        <s:v>0.26</s:v>
      </s:c>
      <s:c r="O51" s="116">
        <s:f>D51/P51</s:f>
        <s:v>1.4013357758488234</s:v>
      </s:c>
      <s:c r="P51" s="117">
        <s:f>$I$8*V51*W51/SUMPRODUCT($W$25:$W$55,$V$25:$V$55)</s:f>
        <s:v>93247.458783280817</s:v>
      </s:c>
      <s:c r="Q51" s="118">
        <s:f>$I$9*V51*W51/SUMPRODUCT($W$25:$W$55,$V$25:$V$55)</s:f>
        <s:v>18.799890883725972</s:v>
      </s:c>
      <s:c r="R51" s="118">
        <s:f>IF($I$12="","",Q51/$I$12)</s:f>
        <s:v>10.621407278941227</s:v>
      </s:c>
      <s:c r="S51" s="117">
        <s:f>IF(W51&lt;&gt;"",IF(D51&lt;&gt;"",D51,($I$8-SUM($S$25:S50))*V51*W51/SUMPRODUCT($W51:$W$55,$V51:$V$55)),"")</s:f>
        <s:v>130671</s:v>
      </s:c>
      <s:c r="T51" s="118">
        <s:f>IF(W51&lt;&gt;"",IF(E51&lt;&gt;"",E51,($I$9-SUM($T$25:T50))*V51*W51/SUMPRODUCT($W51:$W$55,$V51:$V$55)),"")</s:f>
        <s:v>28</s:v>
      </s:c>
      <s:c r="U51" s="118">
        <s:f>IF(W51&lt;&gt;"",IF($I$12&lt;&gt;"",IF(G51&lt;&gt;"",G51,($I$9/$I$12-SUM($U$25:U50))*V51*W51/SUMPRODUCT($W51:$W$55,$V51:$V$55)),""),"")</s:f>
        <s:v>13</s:v>
      </s:c>
      <s:c r="V51" s="119">
        <s:v>1</s:v>
      </s:c>
      <s:c r="W51" s="119">
        <s:v>1</s:v>
      </s:c>
      <s:c r="X51" s="120"/>
      <s:c r="Y51" s="124"/>
      <s:c r="Z51" s="125"/>
      <s:c r="AA51" s="122"/>
      <s:c r="AB51" s="122"/>
      <s:c r="AC51" s="122"/>
      <s:c r="AD51" s="122"/>
      <s:c r="AE51" s="122"/>
      <s:c r="AF51" s="122"/>
      <s:c r="AG51" s="122"/>
      <s:c r="AH51" s="122"/>
      <s:c r="AI51" s="122"/>
      <s:c r="AJ51" s="122"/>
      <s:c r="AK51" s="122"/>
      <s:c r="AL51" s="122"/>
      <s:c r="AM51" s="122"/>
      <s:c r="AN51" s="122"/>
      <s:c r="AO51" s="122"/>
      <s:c r="AP51" s="122"/>
      <s:c r="AQ51" s="122"/>
      <s:c r="AR51" s="122"/>
      <s:c r="AS51" s="122"/>
      <s:c r="AT51" s="122"/>
      <s:c r="AU51" s="122"/>
      <s:c r="AV51" s="122"/>
      <s:c r="AW51" s="122"/>
      <s:c r="AX51" s="122"/>
      <s:c r="AY51" s="122"/>
      <s:c r="AZ51" s="122"/>
      <s:c r="BA51" s="122"/>
      <s:c r="BB51" s="122"/>
      <s:c r="BC51" s="122"/>
      <s:c r="BD51" s="122"/>
      <s:c r="BE51" s="122"/>
      <s:c r="BF51" s="122"/>
      <s:c r="BG51" s="122"/>
      <s:c r="BH51" s="122"/>
      <s:c r="BI51" s="122"/>
      <s:c r="BJ51" s="122"/>
      <s:c r="BK51" s="122"/>
      <s:c r="BL51" s="122"/>
      <s:c r="BM51" s="122"/>
      <s:c r="BN51" s="122"/>
      <s:c r="BO51" s="122"/>
      <s:c r="BP51" s="122"/>
      <s:c r="BQ51" s="122"/>
      <s:c r="BR51" s="122"/>
      <s:c r="BS51" s="122"/>
      <s:c r="BT51" s="122"/>
      <s:c r="BU51" s="122"/>
      <s:c r="BV51" s="122"/>
      <s:c r="BW51" s="122"/>
      <s:c r="BX51" s="122"/>
      <s:c r="BY51" s="122"/>
      <s:c r="BZ51" s="122"/>
      <s:c r="CA51" s="122"/>
      <s:c r="CB51" s="122"/>
      <s:c r="CC51" s="122"/>
      <s:c r="CD51" s="122"/>
      <s:c r="CE51" s="122"/>
      <s:c r="CF51" s="122"/>
      <s:c r="CG51" s="122"/>
      <s:c r="CH51" s="122"/>
      <s:c r="CI51" s="122"/>
      <s:c r="CJ51" s="122"/>
      <s:c r="CK51" s="122"/>
      <s:c r="CL51" s="122"/>
      <s:c r="CM51" s="122"/>
      <s:c r="CN51" s="122"/>
      <s:c r="CO51" s="122"/>
      <s:c r="CP51" s="122"/>
      <s:c r="CQ51" s="122"/>
      <s:c r="CR51" s="122"/>
      <s:c r="CS51" s="122"/>
      <s:c r="CT51" s="122"/>
      <s:c r="CU51" s="122"/>
      <s:c r="CV51" s="122"/>
      <s:c r="CW51" s="122"/>
      <s:c r="CX51" s="122"/>
      <s:c r="CY51" s="122"/>
      <s:c r="CZ51" s="122"/>
      <s:c r="DA51" s="122"/>
      <s:c r="DB51" s="122"/>
      <s:c r="DC51" s="122"/>
      <s:c r="DD51" s="122"/>
      <s:c r="DE51" s="122"/>
      <s:c r="DF51" s="122"/>
      <s:c r="DG51" s="122"/>
      <s:c r="DH51" s="122"/>
      <s:c r="DI51" s="122"/>
      <s:c r="DJ51" s="122"/>
      <s:c r="DK51" s="122"/>
      <s:c r="DL51" s="122"/>
      <s:c r="DM51" s="122"/>
      <s:c r="DN51" s="122"/>
      <s:c r="DO51" s="122"/>
      <s:c r="DP51" s="122"/>
      <s:c r="DQ51" s="122"/>
      <s:c r="DR51" s="122"/>
      <s:c r="DS51" s="122"/>
      <s:c r="DT51" s="122"/>
      <s:c r="DU51" s="122"/>
      <s:c r="DV51" s="122"/>
      <s:c r="DW51" s="122"/>
      <s:c r="DX51" s="122"/>
      <s:c r="DY51" s="122"/>
      <s:c r="DZ51" s="122"/>
      <s:c r="EA51" s="122"/>
      <s:c r="EB51" s="122"/>
      <s:c r="EC51" s="122"/>
      <s:c r="ED51" s="122"/>
      <s:c r="EE51" s="122"/>
      <s:c r="EF51" s="122"/>
      <s:c r="EG51" s="122"/>
      <s:c r="EH51" s="122"/>
      <s:c r="EI51" s="122"/>
      <s:c r="EJ51" s="122"/>
      <s:c r="EK51" s="122"/>
      <s:c r="EL51" s="122"/>
      <s:c r="EM51" s="122"/>
      <s:c r="EN51" s="122"/>
      <s:c r="EO51" s="122"/>
      <s:c r="EP51" s="122"/>
      <s:c r="EQ51" s="122"/>
      <s:c r="ER51" s="122"/>
      <s:c r="ES51" s="122"/>
      <s:c r="ET51" s="122"/>
      <s:c r="EU51" s="122"/>
      <s:c r="EV51" s="122"/>
      <s:c r="EW51" s="122"/>
      <s:c r="EX51" s="122"/>
      <s:c r="EY51" s="122"/>
      <s:c r="EZ51" s="122"/>
      <s:c r="FA51" s="122"/>
      <s:c r="FB51" s="122"/>
      <s:c r="FC51" s="122"/>
      <s:c r="FD51" s="122"/>
      <s:c r="FE51" s="122"/>
      <s:c r="FF51" s="122"/>
      <s:c r="FG51" s="122"/>
      <s:c r="FH51" s="122"/>
      <s:c r="FI51" s="122"/>
      <s:c r="FJ51" s="122"/>
      <s:c r="FK51" s="122"/>
      <s:c r="FL51" s="122"/>
      <s:c r="FM51" s="122"/>
      <s:c r="FN51" s="122"/>
      <s:c r="FO51" s="122"/>
      <s:c r="FP51" s="122"/>
      <s:c r="FQ51" s="122"/>
      <s:c r="FR51" s="122"/>
      <s:c r="FS51" s="122"/>
      <s:c r="FT51" s="122"/>
      <s:c r="FU51" s="122"/>
      <s:c r="FV51" s="122"/>
      <s:c r="FW51" s="122"/>
      <s:c r="FX51" s="122"/>
      <s:c r="FY51" s="122"/>
      <s:c r="FZ51" s="122"/>
      <s:c r="GA51" s="122"/>
      <s:c r="GB51" s="122"/>
      <s:c r="GC51" s="122"/>
      <s:c r="GD51" s="122"/>
      <s:c r="GE51" s="122"/>
      <s:c r="GF51" s="122"/>
      <s:c r="GG51" s="122"/>
      <s:c r="GH51" s="122"/>
      <s:c r="GI51" s="122"/>
      <s:c r="GJ51" s="122"/>
      <s:c r="GK51" s="122"/>
      <s:c r="GL51" s="122"/>
      <s:c r="GM51" s="122"/>
      <s:c r="GN51" s="122"/>
      <s:c r="GO51" s="122"/>
      <s:c r="GP51" s="122"/>
      <s:c r="GQ51" s="122"/>
      <s:c r="GR51" s="122"/>
      <s:c r="GS51" s="122"/>
      <s:c r="GT51" s="122"/>
      <s:c r="GU51" s="122"/>
      <s:c r="GV51" s="122"/>
      <s:c r="GW51" s="122"/>
      <s:c r="GX51" s="122"/>
      <s:c r="GY51" s="122"/>
      <s:c r="GZ51" s="122"/>
      <s:c r="HA51" s="122"/>
      <s:c r="HB51" s="122"/>
      <s:c r="HC51" s="122"/>
      <s:c r="HD51" s="122"/>
      <s:c r="HE51" s="122"/>
      <s:c r="HF51" s="122"/>
      <s:c r="HG51" s="122"/>
      <s:c r="HH51" s="122"/>
      <s:c r="HI51" s="122"/>
      <s:c r="HJ51" s="122"/>
      <s:c r="HK51" s="122"/>
      <s:c r="HL51" s="122"/>
      <s:c r="HM51" s="122"/>
      <s:c r="HN51" s="122"/>
      <s:c r="HO51" s="122"/>
      <s:c r="HP51" s="122"/>
      <s:c r="HQ51" s="122"/>
      <s:c r="HR51" s="122"/>
      <s:c r="HS51" s="122"/>
      <s:c r="HT51" s="122"/>
      <s:c r="HU51" s="122"/>
      <s:c r="HV51" s="122"/>
      <s:c r="HW51" s="122"/>
      <s:c r="HX51" s="122"/>
      <s:c r="HY51" s="122"/>
      <s:c r="HZ51" s="122"/>
      <s:c r="IA51" s="122"/>
      <s:c r="IB51" s="122"/>
      <s:c r="IC51" s="122"/>
      <s:c r="ID51" s="122"/>
      <s:c r="IE51" s="122"/>
      <s:c r="IF51" s="122"/>
      <s:c r="IG51" s="122"/>
      <s:c r="IH51" s="122"/>
      <s:c r="II51" s="122"/>
      <s:c r="IJ51" s="122"/>
      <s:c r="IK51" s="122"/>
      <s:c r="IL51" s="122"/>
      <s:c r="IM51" s="122"/>
      <s:c r="IN51" s="122"/>
      <s:c r="IO51" s="122"/>
      <s:c r="IP51" s="122"/>
      <s:c r="IQ51" s="122"/>
      <s:c r="IR51" s="122"/>
      <s:c r="IS51" s="122"/>
      <s:c r="IT51" s="122"/>
      <s:c r="IU51" s="122"/>
    </s:row>
    <s:row r="52">
      <s:c r="A52" s="95" t="s">
        <s:v>56</s:v>
      </s:c>
      <s:c r="B52" s="96">
        <s:v>45775</s:v>
      </s:c>
      <s:c r="C52" s="97" t="s">
        <s:v>55</s:v>
      </s:c>
      <s:c r="D52" s="98">
        <s:f>48271+10306</s:f>
        <s:v>58577</s:v>
      </s:c>
      <s:c r="E52" s="99">
        <s:v>17</s:v>
      </s:c>
      <s:c r="F52" s="99">
        <s:f>IF(AND(E52&lt;&gt;"",E52&lt;&gt;0),D52/E52,"")</s:f>
        <s:v>3445.705882352941</s:v>
      </s:c>
      <s:c r="G52" s="99">
        <s:v>8</s:v>
      </s:c>
      <s:c r="H52" s="99">
        <s:f>IF(AND(G52&lt;&gt;"",G52&lt;&gt;0),D52/G52,"")</s:f>
        <s:v>7322.125</s:v>
      </s:c>
      <s:c r="I52" s="99">
        <s:v>30</s:v>
      </s:c>
      <s:c r="J52" s="98">
        <s:f>IF(AND(G52&lt;&gt;"",G52&lt;&gt;0),E52/G52,"")</s:f>
        <s:v>2.125</s:v>
      </s:c>
      <s:c r="K52" s="99"/>
      <s:c r="L52" s="99">
        <s:v>10306</s:v>
      </s:c>
      <s:c r="M52" s="99"/>
      <s:c r="N52" s="100">
        <s:f>IF(AND(I52&lt;&gt;"",I52&lt;&gt;0),G52/I52,"")</s:f>
        <s:v>0.26666666666666666</s:v>
      </s:c>
      <s:c r="O52" s="101">
        <s:f>D52/P52</s:f>
        <s:v>0.62818870095045209</s:v>
      </s:c>
      <s:c r="P52" s="102">
        <s:f>$I$8*V52*W52/SUMPRODUCT($W$25:$W$55,$V$25:$V$55)</s:f>
        <s:v>93247.458783280817</s:v>
      </s:c>
      <s:c r="Q52" s="103">
        <s:f>$I$9*V52*W52/SUMPRODUCT($W$25:$W$55,$V$25:$V$55)</s:f>
        <s:v>18.799890883725972</s:v>
      </s:c>
      <s:c r="R52" s="103">
        <s:f>IF($I$12="","",Q52/$I$12)</s:f>
        <s:v>10.621407278941227</s:v>
      </s:c>
      <s:c r="S52" s="102">
        <s:f>IF(W52&lt;&gt;"",IF(D52&lt;&gt;"",D52,($I$8-SUM($S$25:S51))*V52*W52/SUMPRODUCT($W52:$W$55,$V52:$V$55)),"")</s:f>
        <s:v>58577</s:v>
      </s:c>
      <s:c r="T52" s="103">
        <s:f>IF(W52&lt;&gt;"",IF(E52&lt;&gt;"",E52,($I$9-SUM($T$25:T51))*V52*W52/SUMPRODUCT($W52:$W$55,$V52:$V$55)),"")</s:f>
        <s:v>17</s:v>
      </s:c>
      <s:c r="U52" s="103">
        <s:f>IF(W52&lt;&gt;"",IF($I$12&lt;&gt;"",IF(G52&lt;&gt;"",G52,($I$9/$I$12-SUM($U$25:U51))*V52*W52/SUMPRODUCT($W52:$W$55,$V52:$V$55)),""),"")</s:f>
        <s:v>8</s:v>
      </s:c>
      <s:c r="V52" s="104">
        <s:v>1</s:v>
      </s:c>
      <s:c r="W52" s="104">
        <s:v>1</s:v>
      </s:c>
      <s:c r="X52" s="107"/>
      <s:c r="Y52" s="106"/>
      <s:c r="Z52" s="126"/>
    </s:row>
    <s:row r="53">
      <s:c r="A53" s="95" t="s">
        <s:v>47</s:v>
      </s:c>
      <s:c r="B53" s="96">
        <s:v>45776</s:v>
      </s:c>
      <s:c r="C53" s="97" t="s">
        <s:v>48</s:v>
      </s:c>
      <s:c r="D53" s="98">
        <s:v>28433</s:v>
      </s:c>
      <s:c r="E53" s="99">
        <s:v>8</s:v>
      </s:c>
      <s:c r="F53" s="99">
        <s:f>IF(AND(E53&lt;&gt;"",E53&lt;&gt;0),D53/E53,"")</s:f>
        <s:v>3554.125</s:v>
      </s:c>
      <s:c r="G53" s="99">
        <s:v>5</s:v>
      </s:c>
      <s:c r="H53" s="99">
        <s:f>IF(AND(G53&lt;&gt;"",G53&lt;&gt;0),D53/G53,"")</s:f>
        <s:v>5686.6</s:v>
      </s:c>
      <s:c r="I53" s="99">
        <s:v>30</s:v>
      </s:c>
      <s:c r="J53" s="98">
        <s:f>IF(AND(G53&lt;&gt;"",G53&lt;&gt;0),E53/G53,"")</s:f>
        <s:v>1.6</s:v>
      </s:c>
      <s:c r="K53" s="99"/>
      <s:c r="L53" s="99"/>
      <s:c r="M53" s="99"/>
      <s:c r="N53" s="100">
        <s:f>IF(AND(I53&lt;&gt;"",I53&lt;&gt;0),G53/I53,"")</s:f>
        <s:v>0.16666666666666666</s:v>
      </s:c>
      <s:c r="O53" s="101">
        <s:f>D53/P53</s:f>
        <s:v>0.30491983771999598</s:v>
      </s:c>
      <s:c r="P53" s="102">
        <s:f>$I$8*V53*W53/SUMPRODUCT($W$25:$W$55,$V$25:$V$55)</s:f>
        <s:v>93247.458783280817</s:v>
      </s:c>
      <s:c r="Q53" s="103">
        <s:f>$I$9*V53*W53/SUMPRODUCT($W$25:$W$55,$V$25:$V$55)</s:f>
        <s:v>18.799890883725972</s:v>
      </s:c>
      <s:c r="R53" s="103">
        <s:f>IF($I$12="","",Q53/$I$12)</s:f>
        <s:v>10.621407278941227</s:v>
      </s:c>
      <s:c r="S53" s="102">
        <s:f>IF(W53&lt;&gt;"",IF(D53&lt;&gt;"",D53,($I$8-SUM($S$25:S52))*V53*W53/SUMPRODUCT($W53:$W$55,$V53:$V$55)),"")</s:f>
        <s:v>28433</s:v>
      </s:c>
      <s:c r="T53" s="103">
        <s:f>IF(W53&lt;&gt;"",IF(E53&lt;&gt;"",E53,($I$9-SUM($T$25:T52))*V53*W53/SUMPRODUCT($W53:$W$55,$V53:$V$55)),"")</s:f>
        <s:v>8</s:v>
      </s:c>
      <s:c r="U53" s="103">
        <s:f>IF(W53&lt;&gt;"",IF($I$12&lt;&gt;"",IF(G53&lt;&gt;"",G53,($I$9/$I$12-SUM($U$25:U52))*V53*W53/SUMPRODUCT($W53:$W$55,$V53:$V$55)),""),"")</s:f>
        <s:v>5</s:v>
      </s:c>
      <s:c r="V53" s="104">
        <s:v>1</s:v>
      </s:c>
      <s:c r="W53" s="104">
        <s:v>1</s:v>
      </s:c>
      <s:c r="X53" s="107"/>
      <s:c r="Y53" s="106"/>
      <s:c r="Z53" s="126"/>
    </s:row>
    <s:row r="54" spans="1:255" ht="15" customHeight="1">
      <s:c r="A54" s="95" t="s">
        <s:v>47</s:v>
      </s:c>
      <s:c r="B54" s="96">
        <s:v>45777</s:v>
      </s:c>
      <s:c r="C54" s="97" t="s">
        <s:v>49</s:v>
      </s:c>
      <s:c r="D54" s="98">
        <s:f>180590+L54</s:f>
        <s:v>257016</s:v>
      </s:c>
      <s:c r="E54" s="99">
        <s:v>37</s:v>
      </s:c>
      <s:c r="F54" s="99">
        <s:f>IF(AND(E54&lt;&gt;"",E54&lt;&gt;0),D54/E54,"")</s:f>
        <s:v>6946.3783783783783</s:v>
      </s:c>
      <s:c r="G54" s="99">
        <s:v>8</s:v>
      </s:c>
      <s:c r="H54" s="99">
        <s:f>IF(AND(G54&lt;&gt;"",G54&lt;&gt;0),D54/G54,"")</s:f>
        <s:v>32127</s:v>
      </s:c>
      <s:c r="I54" s="99">
        <s:v>60</s:v>
      </s:c>
      <s:c r="J54" s="98">
        <s:f>IF(AND(G54&lt;&gt;"",G54&lt;&gt;0),E54/G54,"")</s:f>
        <s:v>4.625</s:v>
      </s:c>
      <s:c r="K54" s="99">
        <s:v>39982</s:v>
      </s:c>
      <s:c r="L54" s="99">
        <s:v>76426</s:v>
      </s:c>
      <s:c r="M54" s="99"/>
      <s:c r="N54" s="100">
        <s:f>IF(AND(I54&lt;&gt;"",I54&lt;&gt;0),G54/I54,"")</s:f>
        <s:v>0.13333333333333333</s:v>
      </s:c>
      <s:c r="O54" s="101">
        <s:f>D54/P54</s:f>
        <s:v>2.7562788665087217</s:v>
      </s:c>
      <s:c r="P54" s="102">
        <s:f>$I$8*V54*W54/SUMPRODUCT($W$25:$W$55,$V$25:$V$55)</s:f>
        <s:v>93247.458783280817</s:v>
      </s:c>
      <s:c r="Q54" s="103">
        <s:f>$I$9*V54*W54/SUMPRODUCT($W$25:$W$55,$V$25:$V$55)</s:f>
        <s:v>18.799890883725972</s:v>
      </s:c>
      <s:c r="R54" s="103">
        <s:f>IF($I$12="","",Q54/$I$12)</s:f>
        <s:v>10.621407278941227</s:v>
      </s:c>
      <s:c r="S54" s="102">
        <s:f>IF(W54&lt;&gt;"",IF(D54&lt;&gt;"",D54,($I$8-SUM($S$25:S53))*V54*W54/SUMPRODUCT($W54:$W$55,$V54:$V$55)),"")</s:f>
        <s:v>257016</s:v>
      </s:c>
      <s:c r="T54" s="103">
        <s:f>IF(W54&lt;&gt;"",IF(E54&lt;&gt;"",E54,($I$9-SUM($T$25:T53))*V54*W54/SUMPRODUCT($W54:$W$55,$V54:$V$55)),"")</s:f>
        <s:v>37</s:v>
      </s:c>
      <s:c r="U54" s="103">
        <s:f>IF(W54&lt;&gt;"",IF($I$12&lt;&gt;"",IF(G54&lt;&gt;"",G54,($I$9/$I$12-SUM($U$25:U53))*V54*W54/SUMPRODUCT($W54:$W$55,$V54:$V$55)),""),"")</s:f>
        <s:v>8</s:v>
      </s:c>
      <s:c r="V54" s="104">
        <s:v>1</s:v>
      </s:c>
      <s:c r="W54" s="104">
        <s:v>1</s:v>
      </s:c>
      <s:c r="X54" s="107"/>
      <s:c r="Y54" s="106"/>
      <s:c r="Z54" s="126"/>
    </s:row>
    <s:row r="55" spans="1:255" ht="15" customHeight="1">
      <s:c r="A55" s="95"/>
      <s:c r="B55" s="96"/>
      <s:c r="C55" s="97"/>
      <s:c r="D55" s="98"/>
      <s:c r="E55" s="99"/>
      <s:c r="F55" s="99" t="str">
        <s:f>IF(AND(E55&lt;&gt;"",E55&lt;&gt;0),D55/E55,"")</s:f>
        <s:v/>
      </s:c>
      <s:c r="G55" s="99"/>
      <s:c r="H55" s="99" t="str">
        <s:f>IF(AND(G55&lt;&gt;"",G55&lt;&gt;0),D55/G55,"")</s:f>
        <s:v/>
      </s:c>
      <s:c r="I55" s="99"/>
      <s:c r="J55" s="98" t="str">
        <s:f>IF(AND(G55&lt;&gt;"",G55&lt;&gt;0),E55/G55,"")</s:f>
        <s:v/>
      </s:c>
      <s:c r="K55" s="99"/>
      <s:c r="L55" s="99"/>
      <s:c r="M55" s="99"/>
      <s:c r="N55" s="100" t="str">
        <s:f>IF(AND(I55&lt;&gt;"",I55&lt;&gt;0),G55/I55,"")</s:f>
        <s:v/>
      </s:c>
      <s:c r="O55" s="101" t="e">
        <s:f>D55/P55</s:f>
        <s:v>#DIV/0!</s:v>
      </s:c>
      <s:c r="P55" s="102">
        <s:f>$I$8*V55*W55/SUMPRODUCT($W$25:$W$55,$V$25:$V$55)</s:f>
        <s:v>0</s:v>
      </s:c>
      <s:c r="Q55" s="103">
        <s:f>$I$9*V55*W55/SUMPRODUCT($W$25:$W$55,$V$25:$V$55)</s:f>
        <s:v>0</s:v>
      </s:c>
      <s:c r="R55" s="103">
        <s:f>IF($I$12="","",Q55/$I$12)</s:f>
        <s:v>0</s:v>
      </s:c>
      <s:c r="S55" s="102" t="str">
        <s:f>IF(W55&lt;&gt;"",IF(D55&lt;&gt;"",D55,($I$8-SUM($S$25:S54))*V55*W55/SUMPRODUCT($W55:$W$55,$V55:$V$55)),"")</s:f>
        <s:v/>
      </s:c>
      <s:c r="T55" s="103">
        <s:f>IF(W55&lt;&gt;"",IF(E55&lt;&gt;"",E55,($I$9-SUM($T$25:T54))*V55*W55/SUMPRODUCT($W55:$W$55,$V55:$V$55)),0)</s:f>
        <s:v>0</s:v>
      </s:c>
      <s:c r="U55" s="103" t="str">
        <s:f>IF(W55&lt;&gt;"",IF($I$12&lt;&gt;"",IF(G55&lt;&gt;"",G55,($I$9/$I$12-SUM($U$25:U54))*V55*W55/SUMPRODUCT($W55:$W$55,$V55:$V$55)),""),"")</s:f>
        <s:v/>
      </s:c>
      <s:c r="V55" s="104"/>
      <s:c r="W55" s="104"/>
      <s:c r="X55" s="107"/>
      <s:c r="Y55" s="106"/>
    </s:row>
    <s:row r="56" spans="1:255" ht="15" customHeight="1">
      <s:c r="A56" s="95"/>
      <s:c r="B56" s="623" t="s">
        <s:v>58</s:v>
      </s:c>
      <s:c r="C56" s="623"/>
      <s:c r="D56" s="128">
        <s:f>SUM(D25:D55)</s:f>
        <s:v>2068738.6</s:v>
      </s:c>
      <s:c r="E56" s="129">
        <s:f>SUM(E25:E55)</s:f>
        <s:v>390</s:v>
      </s:c>
      <s:c r="F56" s="129">
        <s:f>IF(AND(E56&lt;&gt;"", E56&lt;&gt;0), D56/E56, "")</s:f>
        <s:v>5304.457948717949</s:v>
      </s:c>
      <s:c r="G56" s="129">
        <s:f>SUM(G25:G55)</s:f>
        <s:v>195</s:v>
      </s:c>
      <s:c r="H56" s="129">
        <s:f>IF(AND(G56&lt;&gt;"", G56&lt;&gt;0), D56/G56, "")</s:f>
        <s:v>10608.915897435898</s:v>
      </s:c>
      <s:c r="I56" s="129">
        <s:f>SUM(I25:I55)</s:f>
        <s:v>893</s:v>
      </s:c>
      <s:c r="J56" s="128">
        <s:f>E56/G56</s:f>
        <s:v>2</s:v>
      </s:c>
      <s:c r="K56" s="129">
        <s:f>SUM(K25:K55)</s:f>
        <s:v>359325</s:v>
      </s:c>
      <s:c r="L56" s="129">
        <s:f>SUM(L25:L55)</s:f>
        <s:v>352078</s:v>
      </s:c>
      <s:c r="M56" s="129">
        <s:f>SUM(M25:M55)</s:f>
        <s:v>0</s:v>
      </s:c>
      <s:c r="N56" s="130">
        <s:f>IF(AND(I56&lt;&gt;"", I56&lt;&gt;0), G56/I56, "")</s:f>
        <s:v>0.21836506159014557</s:v>
      </s:c>
      <s:c r="O56" s="131">
        <s:f>D56/P56</s:f>
        <s:v>0.79932463100769313</s:v>
      </s:c>
      <s:c r="P56" s="132">
        <s:f>SUM(P25:P55)</s:f>
        <s:v>2588108.1600000006</s:v>
      </s:c>
      <s:c r="Q56" s="132">
        <s:f>SUM(Q25:Q55)</s:f>
        <s:v>521.79600000000016</s:v>
      </s:c>
      <s:c r="R56" s="132">
        <s:f>SUM(R25:R55)</s:f>
        <s:v>294.8</s:v>
      </s:c>
      <s:c r="S56" s="132">
        <s:f>SUM(S25:S55)</s:f>
        <s:v>2068738.6</s:v>
      </s:c>
      <s:c r="T56" s="132">
        <s:f>SUM(T25:T55)</s:f>
        <s:v>384</s:v>
      </s:c>
      <s:c r="U56" s="132">
        <s:f>SUM(U25:U55)</s:f>
        <s:v>195</s:v>
      </s:c>
      <s:c r="V56" s="133"/>
      <s:c r="W56" s="133"/>
    </s:row>
    <s:row r="57">
      <s:c r="A57" s="134"/>
      <s:c r="B57" s="135"/>
      <s:c r="C57" s="136"/>
      <s:c r="D57" s="137">
        <s:f>SUMIF(D25:D55,"",P25:P55)+D56</s:f>
        <s:v>2068738.6</s:v>
      </s:c>
      <s:c r="E57" s="138"/>
      <s:c r="F57" s="136"/>
      <s:c r="G57" s="136"/>
      <s:c r="H57" s="139"/>
      <s:c r="I57" s="140"/>
      <s:c r="J57" s="139"/>
      <s:c r="K57" s="3"/>
      <s:c r="L57" s="141"/>
      <s:c r="M57" s="138"/>
      <s:c r="N57" s="141"/>
      <s:c r="O57" s="141"/>
      <s:c r="P57" s="141"/>
      <s:c r="Q57" s="142"/>
      <s:c r="R57" s="3"/>
      <s:c r="T57" s="3"/>
      <s:c r="U57" s="3"/>
      <s:c r="V57" s="3"/>
      <s:c r="W57" s="3"/>
    </s:row>
    <s:row r="58">
      <s:c r="A58" s="134"/>
      <s:c r="B58" s="3"/>
      <s:c r="C58" s="143"/>
      <s:c r="D58" s="143">
        <s:f>'Рогалевич И. Е.'!J8+'Уразгильдеева Е. Р.'!J8+'Афанасьева А. М.'!J8+'Доп сотрудник'!J8</s:f>
        <s:v>2068738.6</s:v>
      </s:c>
      <s:c r="E58" s="143"/>
      <s:c r="F58" s="3"/>
      <s:c r="G58" s="3"/>
      <s:c r="H58" s="3"/>
      <s:c r="I58" s="144"/>
      <s:c r="J58" s="145"/>
      <s:c r="K58" s="3"/>
      <s:c r="L58" s="3"/>
      <s:c r="M58" s="3"/>
      <s:c r="N58" s="3"/>
      <s:c r="O58" s="3"/>
      <s:c r="P58" s="3"/>
      <s:c r="Q58" s="3"/>
      <s:c r="R58" s="3"/>
      <s:c r="T58" s="3"/>
      <s:c r="U58" s="3"/>
      <s:c r="V58" s="3"/>
      <s:c r="W58" s="3"/>
    </s:row>
    <s:row r="59">
      <s:c r="D59" s="146"/>
      <s:c r="F59" s="147"/>
    </s:row>
    <s:row r="60">
      <s:c r="D60" s="92"/>
      <s:c r="G60" s="148"/>
    </s:row>
    <s:row r="61">
      <s:c r="D61" s="92"/>
    </s:row>
    <s:row r="64">
      <s:c r="F64" s="624"/>
    </s:row>
    <s:row r="65">
      <s:c r="F65" s="624"/>
    </s:row>
    <s:row r="68">
      <s:c r="D68" s="149"/>
    </s:row>
  </s:sheetData>
  <s:mergeCells count="30">
    <s:mergeCell ref="P22:W22"/>
    <s:mergeCell ref="A23:A24"/>
    <s:mergeCell ref="B56:C56"/>
    <s:mergeCell ref="F64:F65"/>
    <s:mergeCell ref="F18:H18"/>
    <s:mergeCell ref="F19:H19"/>
    <s:mergeCell ref="F20:H20"/>
    <s:mergeCell ref="A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I3:M4"/>
    <s:mergeCell ref="C4:D4"/>
  </s:mergeCells>
  <s:conditionalFormatting sqref="D58">
    <s:cfRule type="cellIs" dxfId="254" priority="30" operator="notEqual">
      <s:formula>$D$56</s:formula>
    </s:cfRule>
    <s:cfRule type="cellIs" dxfId="253" priority="31" operator="equal">
      <s:formula>$D$56</s:formula>
    </s:cfRule>
  </s:conditionalFormatting>
  <s:conditionalFormatting sqref="J16">
    <s:cfRule type="cellIs" dxfId="252" priority="33" operator="lessThan">
      <s:formula>0</s:formula>
    </s:cfRule>
    <s:cfRule type="cellIs" dxfId="251" priority="34" operator="greaterThan">
      <s:formula>0</s:formula>
    </s:cfRule>
  </s:conditionalFormatting>
  <s:conditionalFormatting sqref="J25:J55">
    <s:cfRule type="cellIs" dxfId="250" priority="10" operator="lessThan">
      <s:formula>$I$12</s:formula>
    </s:cfRule>
    <s:cfRule type="cellIs" dxfId="249" priority="11" operator="greaterThan">
      <s:formula>$I$12</s:formula>
    </s:cfRule>
  </s:conditionalFormatting>
  <s:conditionalFormatting sqref="J27">
    <s:cfRule type="cellIs" dxfId="248" priority="45" operator="lessThan">
      <s:formula>$I$12</s:formula>
    </s:cfRule>
  </s:conditionalFormatting>
  <s:conditionalFormatting sqref="K10:K12 K15">
    <s:cfRule type="cellIs" dxfId="247" priority="37" operator="lessThan">
      <s:formula>1</s:formula>
    </s:cfRule>
    <s:cfRule type="cellIs" dxfId="246" priority="38" operator="greaterThan">
      <s:formula>1</s:formula>
    </s:cfRule>
  </s:conditionalFormatting>
  <s:conditionalFormatting sqref="M8:M15">
    <s:cfRule type="cellIs" dxfId="245" priority="23" operator="lessThan">
      <s:formula>1</s:formula>
    </s:cfRule>
    <s:cfRule type="cellIs" dxfId="244" priority="24" operator="greaterThan">
      <s:formula>1</s:formula>
    </s:cfRule>
  </s:conditionalFormatting>
  <s:conditionalFormatting sqref="N25:N55">
    <s:cfRule type="cellIs" dxfId="243" priority="7" operator="between">
      <s:formula>0.2</s:formula>
      <s:formula>0.25</s:formula>
    </s:cfRule>
    <s:cfRule type="cellIs" dxfId="242" priority="8" operator="greaterThanOrEqual">
      <s:formula>0.25</s:formula>
    </s:cfRule>
    <s:cfRule type="cellIs" dxfId="241" priority="9" operator="lessThan">
      <s:formula>0.2</s:formula>
    </s:cfRule>
  </s:conditionalFormatting>
  <s:conditionalFormatting sqref="O25:O55">
    <s:cfRule type="cellIs" dxfId="240" priority="1" operator="between">
      <s:formula>0.9001</s:formula>
      <s:formula>0.9999</s:formula>
    </s:cfRule>
    <s:cfRule type="cellIs" dxfId="239" priority="2" operator="lessThan">
      <s:formula>0.9</s:formula>
    </s:cfRule>
    <s:cfRule type="cellIs" dxfId="238" priority="3" operator="greaterThan">
      <s:formula>1</s:formula>
    </s:cfRule>
    <s:cfRule type="cellIs" dxfId="237" priority="4" operator="greaterThan">
      <s:formula>100</s:formula>
    </s:cfRule>
    <s:cfRule type="cellIs" dxfId="236" priority="5" operator="between">
      <s:formula>0.85</s:formula>
      <s:formula>1</s:formula>
    </s:cfRule>
    <s:cfRule type="cellIs" dxfId="235" priority="6" operator="between">
      <s:formula>0.01</s:formula>
      <s:formula>0.99</s:formula>
    </s:cfRule>
  </s:conditionalFormatting>
  <s:conditionalFormatting sqref="P10:Q10">
    <s:cfRule type="cellIs" dxfId="234" priority="43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2.xml><?xml version="1.0" encoding="utf-8"?>
<s:worksheet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xmlns:mc="http://schemas.openxmlformats.org/markup-compatibility/2006" xmlns:xr3="http://schemas.microsoft.com/office/spreadsheetml/2016/revision3" xmlns:s="http://schemas.openxmlformats.org/spreadsheetml/2006/main" mc:Ignorable="x14ac xr xr2 xr3" xr:uid="{00000000-0001-0000-0100-000000000000}">
  <s:dimension ref="A1:O47"/>
  <s:sheetViews>
    <s:sheetView tabSelected="0" zoomScale="111" workbookViewId="0">
      <s:selection activeCell="F12" sqref="F12"/>
    </s:sheetView>
  </s:sheetViews>
  <s:sheetFormatPr baseColWidth="10" defaultColWidth="10" defaultRowHeight="15"/>
  <s:cols>
    <s:col min="1" max="1" width="10.832" style="3"/>
    <s:col min="2" max="2" width="10" style="3" customWidth="1"/>
    <s:col min="3" max="3" width="1.664" style="3" customWidth="1"/>
    <s:col min="4" max="12" width="11.664" style="3" customWidth="1"/>
    <s:col min="13" max="15" width="11.664" customWidth="1"/>
  </s:cols>
  <s:sheetData>
    <s:row r="1" spans="1:15" ht="22" customHeight="1">
      <s:c r="A1" s="625"/>
      <s:c r="B1" s="626"/>
      <s:c r="C1" s="626"/>
      <s:c r="D1" s="626"/>
      <s:c r="E1" s="626"/>
      <s:c r="F1" s="626"/>
      <s:c r="G1" s="626"/>
      <s:c r="H1" s="626"/>
      <s:c r="I1" s="626"/>
      <s:c r="J1" s="626"/>
      <s:c r="K1" s="626"/>
      <s:c r="L1" s="626"/>
      <s:c r="M1" s="626"/>
      <s:c r="N1" s="626"/>
      <s:c r="O1" s="627"/>
    </s:row>
    <s:row r="2" spans="1:15" ht="18" customHeight="1">
      <s:c r="A2" s="628" t="s">
        <s:v>3</s:v>
      </s:c>
      <s:c r="B2" s="629"/>
      <s:c r="C2" s="629"/>
      <s:c r="D2" s="632" t="str">
        <s:f>'Ялта, Ленина, 18'!I3</s:f>
        <s:v>ул. Набережная Ленина, 18</s:v>
      </s:c>
      <s:c r="E2" s="633"/>
      <s:c r="F2" s="633"/>
      <s:c r="G2" s="634" t="str">
        <s:f>График!B29</s:f>
        <s:v>Рогалевич Ирина</s:v>
      </s:c>
      <s:c r="H2" s="635"/>
      <s:c r="I2" s="635"/>
      <s:c r="J2" s="636" t="str">
        <s:f>График!B28</s:f>
        <s:v>Уразгильдеева Екатерина</s:v>
      </s:c>
      <s:c r="K2" s="637"/>
      <s:c r="L2" s="638"/>
      <s:c r="M2" s="636" t="str">
        <s:f>График!B27</s:f>
        <s:v>Афанасьева Алевтина</s:v>
      </s:c>
      <s:c r="N2" s="637"/>
      <s:c r="O2" s="638"/>
    </s:row>
    <s:row r="3" spans="1:15" ht="18" customHeight="1">
      <s:c r="A3" s="630"/>
      <s:c r="B3" s="631"/>
      <s:c r="C3" s="631"/>
      <s:c r="D3" s="639" t="s">
        <s:v>59</s:v>
      </s:c>
      <s:c r="E3" s="640"/>
      <s:c r="F3" s="150" t="s">
        <s:v>60</s:v>
      </s:c>
      <s:c r="G3" s="641" t="s">
        <s:v>5</s:v>
      </s:c>
      <s:c r="H3" s="642"/>
      <s:c r="I3" s="152" t="s">
        <s:v>60</s:v>
      </s:c>
      <s:c r="J3" s="643" t="s">
        <s:v>5</s:v>
      </s:c>
      <s:c r="K3" s="644"/>
      <s:c r="L3" s="153" t="s">
        <s:v>60</s:v>
      </s:c>
      <s:c r="M3" s="643" t="s">
        <s:v>5</s:v>
      </s:c>
      <s:c r="N3" s="644"/>
      <s:c r="O3" s="153" t="s">
        <s:v>60</s:v>
      </s:c>
    </s:row>
    <s:row r="4" spans="1:15">
      <s:c r="A4" s="608" t="s">
        <s:v>12</s:v>
      </s:c>
      <s:c r="B4" s="608"/>
      <s:c r="C4" s="645"/>
      <s:c r="D4" s="154">
        <s:f>'Ялта, Ленина, 18'!K8</s:f>
        <s:v>0.79932463100769324</s:v>
      </s:c>
      <s:c r="E4" s="155">
        <s:f>'Ялта, Ленина, 18'!J8</s:f>
        <s:v>2068738.6</s:v>
      </s:c>
      <s:c r="F4" s="156">
        <s:f>'Ялта, Ленина, 18'!M8</s:f>
        <s:v>0.79932463100769313</s:v>
      </s:c>
      <s:c r="G4" s="157">
        <s:f>'Рогалевич И. Е.'!K8</s:f>
        <s:v>0.9391324903277849</s:v>
      </s:c>
      <s:c r="H4" s="158">
        <s:f>'Рогалевич И. Е.'!J8</s:f>
        <s:v>1663026</s:v>
      </s:c>
      <s:c r="I4" s="159">
        <s:f>'Рогалевич И. Е.'!M8</s:f>
        <s:v>0.90984635664036828</s:v>
      </s:c>
      <s:c r="J4" s="160">
        <s:f>'Уразгильдеева Е. Р.'!K8</s:f>
        <s:v>0.48207114834307102</s:v>
      </s:c>
      <s:c r="K4" s="158">
        <s:f>'Уразгильдеева Е. Р.'!J8</s:f>
        <s:v>240775</s:v>
      </s:c>
      <s:c r="L4" s="161">
        <s:f>'Уразгильдеева Е. Р.'!M8</s:f>
        <s:v>0.4516690556809328</s:v>
      </s:c>
      <s:c r="M4" s="160">
        <s:f>'Афанасьева А. М.'!K8</s:f>
        <s:v>0.24625021151286883</s:v>
      </s:c>
      <s:c r="N4" s="158">
        <s:f>'Афанасьева А. М.'!J8</s:f>
        <s:v>61496</s:v>
      </s:c>
      <s:c r="O4" s="161">
        <s:f>'Афанасьева А. М.'!M8</s:f>
        <s:v>0.4605746365519629</s:v>
      </s:c>
    </s:row>
    <s:row r="5" spans="1:15">
      <s:c r="A5" s="611" t="s">
        <s:v>13</s:v>
      </s:c>
      <s:c r="B5" s="611"/>
      <s:c r="C5" s="646"/>
      <s:c r="D5" s="162">
        <s:f>'Ялта, Ленина, 18'!K9</s:f>
        <s:v>0.74741853138007952</s:v>
      </s:c>
      <s:c r="E5" s="163">
        <s:f>'Ялта, Ленина, 18'!J9</s:f>
        <s:v>390</s:v>
      </s:c>
      <s:c r="F5" s="164">
        <s:f>'Ялта, Ленина, 18'!M9</s:f>
        <s:v>0.74741853138007941</s:v>
      </s:c>
      <s:c r="G5" s="165">
        <s:f>'Рогалевич И. Е.'!K9</s:f>
        <s:v>0.88230767461731274</s:v>
      </s:c>
      <s:c r="H5" s="166">
        <s:f>'Рогалевич И. Е.'!J9</s:f>
        <s:v>315</s:v>
      </s:c>
      <s:c r="I5" s="167">
        <s:f>'Рогалевич И. Е.'!M9</s:f>
        <s:v>0.92135947687358122</s:v>
      </s:c>
      <s:c r="J5" s="168">
        <s:f>'Уразгильдеева Е. Р.'!K9</s:f>
        <s:v>0.50646752231279513</s:v>
      </s:c>
      <s:c r="K5" s="169">
        <s:f>'Уразгильдеева Е. Р.'!J9</s:f>
        <s:v>51</s:v>
      </s:c>
      <s:c r="L5" s="170">
        <s:f>'Уразгильдеева Е. Р.'!M9</s:f>
        <s:v>0.50646752231279513</s:v>
      </s:c>
      <s:c r="M5" s="168">
        <s:f>'Афанасьева А. М.'!K9</s:f>
        <s:v>0.29792207194870302</s:v>
      </s:c>
      <s:c r="N5" s="169">
        <s:f>'Афанасьева А. М.'!J9</s:f>
        <s:v>15</s:v>
      </s:c>
      <s:c r="O5" s="170">
        <s:f>'Афанасьева А. М.'!M9</s:f>
        <s:v>0.55721921685095044</s:v>
      </s:c>
    </s:row>
    <s:row r="6" spans="1:15">
      <s:c r="A6" s="608" t="s">
        <s:v>14</s:v>
      </s:c>
      <s:c r="B6" s="608"/>
      <s:c r="C6" s="645"/>
      <s:c r="D6" s="162">
        <s:f>'Ялта, Ленина, 18'!K10</s:f>
        <s:v>1.2084148780567587</s:v>
      </s:c>
      <s:c r="E6" s="171">
        <s:f>'Ялта, Ленина, 18'!J10</s:f>
        <s:v>10608.915897435898</s:v>
      </s:c>
      <s:c r="F6" s="164">
        <s:f>'Ялта, Ленина, 18'!M10</s:f>
        <s:v>1.2084148780567587</s:v>
      </s:c>
      <s:c r="G6" s="165">
        <s:f>'Рогалевич И. Е.'!K10</s:f>
        <s:v>1.2380912817104242</s:v>
      </s:c>
      <s:c r="H6" s="172">
        <s:f>'Рогалевич И. Е.'!J10</s:f>
        <s:v>10869.450980392157</s:v>
      </s:c>
      <s:c r="I6" s="167">
        <s:f>'Рогалевич И. Е.'!M10</s:f>
        <s:v>1.2380912817104242</s:v>
      </s:c>
      <s:c r="J6" s="168">
        <s:f>'Уразгильдеева Е. Р.'!K10</s:f>
        <s:v>1.015763690608779</s:v>
      </s:c>
      <s:c r="K6" s="172">
        <s:f>'Уразгильдеева Е. Р.'!J10</s:f>
        <s:v>8917.5925925925931</s:v>
      </s:c>
      <s:c r="L6" s="170">
        <s:f>'Уразгильдеева Е. Р.'!M10</s:f>
        <s:v>1.015763690608779</s:v>
      </s:c>
      <s:c r="M6" s="168">
        <s:f>'Афанасьева А. М.'!K10</s:f>
        <s:v>0.63679440661398012</s:v>
      </s:c>
      <s:c r="N6" s="169">
        <s:f>'Афанасьева А. М.'!J10</s:f>
        <s:v>5590.545454545455</s:v>
      </s:c>
      <s:c r="O6" s="170">
        <s:f>'Афанасьева А. М.'!M10</s:f>
        <s:v>0.63679440661398012</s:v>
      </s:c>
    </s:row>
    <s:row r="7" spans="1:15">
      <s:c r="A7" s="611" t="s">
        <s:v>16</s:v>
      </s:c>
      <s:c r="B7" s="611"/>
      <s:c r="C7" s="646"/>
      <s:c r="D7" s="162">
        <s:f>'Ялта, Ленина, 18'!K11</s:f>
        <s:v>1.0694471670802317</s:v>
      </s:c>
      <s:c r="E7" s="171">
        <s:f>'Ялта, Ленина, 18'!J11</s:f>
        <s:v>5304.457948717949</s:v>
      </s:c>
      <s:c r="F7" s="164">
        <s:f>'Ялта, Ленина, 18'!M11</s:f>
        <s:v>1.0694471670802317</s:v>
      </s:c>
      <s:c r="G7" s="165">
        <s:f>'Рогалевич И. Е.'!K11</s:f>
        <s:v>1.0644047619047619</s:v>
      </s:c>
      <s:c r="H7" s="172">
        <s:f>'Рогалевич И. Е.'!J11</s:f>
        <s:v>5279.4476190476189</s:v>
      </s:c>
      <s:c r="I7" s="167">
        <s:f>'Рогалевич И. Е.'!M11</s:f>
        <s:v>0.98750420381816661</s:v>
      </s:c>
      <s:c r="J7" s="168">
        <s:f>'Уразгильдеева Е. Р.'!K11</s:f>
        <s:v>0.95183032890575581</s:v>
      </s:c>
      <s:c r="K7" s="172">
        <s:f>'Уразгильдеева Е. Р.'!J11</s:f>
        <s:v>4721.0784313725489</s:v>
      </s:c>
      <s:c r="L7" s="170">
        <s:f>'Уразгильдеева Е. Р.'!M11</s:f>
        <s:v>0.95183032890575581</s:v>
      </s:c>
      <s:c r="M7" s="168">
        <s:f>'Афанасьева А. М.'!K11</s:f>
        <s:v>0.82655913978494633</s:v>
      </s:c>
      <s:c r="N7" s="169">
        <s:f>'Афанасьева А. М.'!J11</s:f>
        <s:v>4099.7333333333336</s:v>
      </s:c>
      <s:c r="O7" s="170">
        <s:f>'Афанасьева А. М.'!M11</s:f>
        <s:v>0.82655913978494611</s:v>
      </s:c>
    </s:row>
    <s:row r="8" spans="1:15">
      <s:c r="A8" s="611" t="s">
        <s:v>17</s:v>
      </s:c>
      <s:c r="B8" s="611"/>
      <s:c r="C8" s="646"/>
      <s:c r="D8" s="162">
        <s:f>'Ялта, Ленина, 18'!K12</s:f>
        <s:v>1.1299435028248588</s:v>
      </s:c>
      <s:c r="E8" s="173">
        <s:f>'Ялта, Ленина, 18'!J12</s:f>
        <s:v>2</s:v>
      </s:c>
      <s:c r="F8" s="164">
        <s:f>'Ялта, Ленина, 18'!M12</s:f>
        <s:v>1.1299435028248588</s:v>
      </s:c>
      <s:c r="G8" s="165">
        <s:f>'Рогалевич И. Е.'!K12</s:f>
        <s:v>1.163177135260884</s:v>
      </s:c>
      <s:c r="H8" s="174">
        <s:f>'Рогалевич И. Е.'!J12</s:f>
        <s:v>2.0588235294117645</s:v>
      </s:c>
      <s:c r="I8" s="167">
        <s:f>'Рогалевич И. Е.'!M12</s:f>
        <s:v>1.163177135260884</s:v>
      </s:c>
      <s:c r="J8" s="168">
        <s:f>'Уразгильдеева Е. Р.'!K12</s:f>
        <s:v>1.0671688637790333</s:v>
      </s:c>
      <s:c r="K8" s="175">
        <s:f>'Уразгильдеева Е. Р.'!J12</s:f>
        <s:v>1.8888888888888888</s:v>
      </s:c>
      <s:c r="L8" s="170">
        <s:f>'Уразгильдеева Е. Р.'!M12</s:f>
        <s:v>1.0671688637790333</s:v>
      </s:c>
      <s:c r="M8" s="168">
        <s:f>'Афанасьева А. М.'!K12</s:f>
        <s:v>0.77041602465331271</s:v>
      </s:c>
      <s:c r="N8" s="175">
        <s:f>'Афанасьева А. М.'!J12</s:f>
        <s:v>1.3636363636363635</s:v>
      </s:c>
      <s:c r="O8" s="170">
        <s:f>'Афанасьева А. М.'!M12</s:f>
        <s:v>0.77041602465331271</s:v>
      </s:c>
    </s:row>
    <s:row r="9" spans="1:15">
      <s:c r="A9" s="611" t="s">
        <s:v>18</s:v>
      </s:c>
      <s:c r="B9" s="611"/>
      <s:c r="C9" s="646"/>
      <s:c r="D9" s="162">
        <s:f>'Ялта, Ленина, 18'!K13</s:f>
        <s:v>0.66146540027137035</s:v>
      </s:c>
      <s:c r="E9" s="163">
        <s:f>'Ялта, Ленина, 18'!J13</s:f>
        <s:v>195</s:v>
      </s:c>
      <s:c r="F9" s="164">
        <s:f>'Ялта, Ленина, 18'!M13</s:f>
        <s:v>0.66146540027137035</s:v>
      </s:c>
      <s:c r="G9" s="165">
        <s:f>'Рогалевич И. Е.'!K13</s:f>
        <s:v>0.75853251226385543</s:v>
      </s:c>
      <s:c r="H9" s="166">
        <s:f>'Рогалевич И. Е.'!J13</s:f>
        <s:v>153</s:v>
      </s:c>
      <s:c r="I9" s="167">
        <s:f>'Рогалевич И. Е.'!M13</s:f>
        <s:v>0.79171223227157883</s:v>
      </s:c>
      <s:c r="J9" s="168">
        <s:f>'Уразгильдеева Е. Р.'!K13</s:f>
        <s:v>0.47458986061428393</s:v>
      </s:c>
      <s:c r="K9" s="169">
        <s:f>'Уразгильдеева Е. Р.'!J13</s:f>
        <s:v>27</s:v>
      </s:c>
      <s:c r="L9" s="170">
        <s:f>'Уразгильдеева Е. Р.'!M13</s:f>
        <s:v>0.47458986061428393</s:v>
      </s:c>
      <s:c r="M9" s="168">
        <s:f>'Афанасьева А. М.'!K13</s:f>
        <s:v>0.38670284938941651</s:v>
      </s:c>
      <s:c r="N9" s="169">
        <s:f>'Афанасьева А. М.'!J13</s:f>
        <s:v>11</s:v>
      </s:c>
      <s:c r="O9" s="170">
        <s:f>'Афанасьева А. М.'!M13</s:f>
        <s:v>0.7232705434725335</s:v>
      </s:c>
    </s:row>
    <s:row r="10" spans="1:15">
      <s:c r="A10" s="611" t="s">
        <s:v>61</s:v>
      </s:c>
      <s:c r="B10" s="611"/>
      <s:c r="C10" s="646"/>
      <s:c r="D10" s="162">
        <s:f>'Ялта, Ленина, 18'!K14</s:f>
        <s:v>1</s:v>
      </s:c>
      <s:c r="E10" s="176">
        <s:f>'Ялта, Ленина, 18'!J14</s:f>
        <s:v>30</s:v>
      </s:c>
      <s:c r="F10" s="164"/>
      <s:c r="G10" s="165">
        <s:f>'Рогалевич И. Е.'!K14</s:f>
        <s:v>1</s:v>
      </s:c>
      <s:c r="H10" s="166">
        <s:f>'Рогалевич И. Е.'!J14</s:f>
        <s:v>29</s:v>
      </s:c>
      <s:c r="I10" s="167"/>
      <s:c r="J10" s="168">
        <s:f>'Уразгильдеева Е. Р.'!K14</s:f>
        <s:v>0.875</s:v>
      </s:c>
      <s:c r="K10" s="166">
        <s:f>'Уразгильдеева Е. Р.'!J14</s:f>
        <s:v>7</s:v>
      </s:c>
      <s:c r="L10" s="170"/>
      <s:c r="M10" s="168">
        <s:f>'Афанасьева А. М.'!K14</s:f>
        <s:v>1</s:v>
      </s:c>
      <s:c r="N10" s="169">
        <s:f>'Афанасьева А. М.'!J14</s:f>
        <s:v>4</s:v>
      </s:c>
      <s:c r="O10" s="170"/>
    </s:row>
    <s:row r="11" spans="1:15">
      <s:c r="A11" s="611" t="s">
        <s:v>20</s:v>
      </s:c>
      <s:c r="B11" s="611"/>
      <s:c r="C11" s="646"/>
      <s:c r="D11" s="162">
        <s:f>'Ялта, Ленина, 18'!K15</s:f>
        <s:v>0.79932463100769324</s:v>
      </s:c>
      <s:c r="E11" s="177">
        <s:f>'Ялта, Ленина, 18'!J15</s:f>
        <s:v>68957.953333333338</s:v>
      </s:c>
      <s:c r="F11" s="164">
        <s:f>'Ялта, Ленина, 18'!M15</s:f>
        <s:v>0.79932463100769324</s:v>
      </s:c>
      <s:c r="G11" s="165">
        <s:f>'Рогалевич И. Е.'!K15</s:f>
        <s:v>0.66472172636630877</s:v>
      </s:c>
      <s:c r="H11" s="172">
        <s:f>'Рогалевич И. Е.'!J15</s:f>
        <s:v>57345.724137931036</s:v>
      </s:c>
      <s:c r="I11" s="167">
        <s:f>'Рогалевич И. Е.'!M15</s:f>
        <s:v>0.66472172636630877</s:v>
      </s:c>
      <s:c r="J11" s="168">
        <s:f>'Уразгильдеева Е. Р.'!K15</s:f>
        <s:v>0.39870546103562265</s:v>
      </s:c>
      <s:c r="K11" s="172">
        <s:f>'Уразгильдеева Е. Р.'!J15</s:f>
        <s:v>34396.428571428572</s:v>
      </s:c>
      <s:c r="L11" s="170">
        <s:f>'Уразгильдеева Е. Р.'!M15</s:f>
        <s:v>0.39870546103562265</s:v>
      </s:c>
      <s:c r="M11" s="168">
        <s:f>'Афанасьева А. М.'!K15</s:f>
        <s:v>0.17820738991062876</s:v>
      </s:c>
      <s:c r="N11" s="169">
        <s:f>'Афанасьева А. М.'!J15</s:f>
        <s:v>15374</s:v>
      </s:c>
      <s:c r="O11" s="170">
        <s:f>'Афанасьева А. М.'!M15</s:f>
        <s:v>0.17820738991062876</s:v>
      </s:c>
    </s:row>
    <s:row r="12" spans="1:15">
      <s:c r="A12" s="647" t="s">
        <s:v>23</s:v>
      </s:c>
      <s:c r="B12" s="648"/>
      <s:c r="C12" s="649"/>
      <s:c r="D12" s="162">
        <s:f>'Ялта, Ленина, 18'!K17</s:f>
        <s:v>0.66641791044776122</s:v>
      </s:c>
      <s:c r="E12" s="176">
        <s:f>'Ялта, Ленина, 18'!J17</s:f>
        <s:v>893</s:v>
      </s:c>
      <s:c r="F12" s="164">
        <s:f>'Ялта, Ленина, 18'!M17</s:f>
        <s:v>0.66641791044776122</s:v>
      </s:c>
      <s:c r="G12" s="165">
        <s:f>'Рогалевич И. Е.'!K17</s:f>
        <s:v>0.69804822043628012</s:v>
      </s:c>
      <s:c r="H12" s="166">
        <s:f>'Рогалевич И. Е.'!J17</s:f>
        <s:v>640</s:v>
      </s:c>
      <s:c r="I12" s="167">
        <s:f>'Рогалевич И. Е.'!M17</s:f>
        <s:v>0.69804822043628012</s:v>
      </s:c>
      <s:c r="J12" s="168">
        <s:f>'Уразгильдеева Е. Р.'!K17</s:f>
        <s:v>0.61872455902306644</s:v>
      </s:c>
      <s:c r="K12" s="166">
        <s:f>'Уразгильдеева Е. Р.'!J17</s:f>
        <s:v>160</s:v>
      </s:c>
      <s:c r="L12" s="170">
        <s:f>'Уразгильдеева Е. Р.'!M17</s:f>
        <s:v>0.70711378174064743</s:v>
      </s:c>
      <s:c r="M12" s="168">
        <s:f>'Афанасьева А. М.'!K17</s:f>
        <s:v>0.49497964721845317</s:v>
      </s:c>
      <s:c r="N12" s="166">
        <s:f>'Афанасьева А. М.'!J17</s:f>
        <s:v>64</s:v>
      </s:c>
      <s:c r="O12" s="170">
        <s:f>'Афанасьева А. М.'!M17</s:f>
        <s:v>0.49497964721845317</s:v>
      </s:c>
    </s:row>
    <s:row r="13" spans="1:15">
      <s:c r="A13" s="647" t="s">
        <s:v>22</s:v>
      </s:c>
      <s:c r="B13" s="648"/>
      <s:c r="C13" s="649"/>
      <s:c r="D13" s="162">
        <s:f>'Ялта, Ленина, 18'!S19</s:f>
        <s:v>0.89831249999999996</s:v>
      </s:c>
      <s:c r="E13" s="177">
        <s:f>'Ялта, Ленина, 18'!T18</s:f>
        <s:v>359325</s:v>
      </s:c>
      <s:c r="F13" s="164">
        <s:f>'Ялта, Ленина, 18'!T19</s:f>
        <s:v>0.89831249999999996</s:v>
      </s:c>
      <s:c r="G13" s="165">
        <s:f>'Рогалевич И. Е.'!S19</s:f>
        <s:v>0.93511423076923073</s:v>
      </s:c>
      <s:c r="H13" s="172">
        <s:f>'Рогалевич И. Е.'!T18</s:f>
        <s:v>255926</s:v>
      </s:c>
      <s:c r="I13" s="167">
        <s:f>'Рогалевич И. Е.'!T19</s:f>
        <s:v>0.93511423076923061</s:v>
      </s:c>
      <s:c r="J13" s="168">
        <s:f>'Уразгильдеева Е. Р.'!S19</s:f>
        <s:v>0.20716909090909091</s:v>
      </s:c>
      <s:c r="K13" s="172">
        <s:f>'Уразгильдеева Е. Р.'!T18</s:f>
        <s:v>15992</s:v>
      </s:c>
      <s:c r="L13" s="170">
        <s:f>'Уразгильдеева Е. Р.'!T19</s:f>
        <s:v>0.23676467532467532</s:v>
      </s:c>
      <s:c r="M13" s="168">
        <s:f>'Афанасьева А. М.'!S19</s:f>
        <s:v>0</s:v>
      </s:c>
      <s:c r="N13" s="178">
        <s:f>'Афанасьева А. М.'!T18</s:f>
        <s:v>0</s:v>
      </s:c>
      <s:c r="O13" s="170">
        <s:f>'Афанасьева А. М.'!T19</s:f>
        <s:v>0</s:v>
      </s:c>
    </s:row>
    <s:row r="14" spans="1:15">
      <s:c r="A14" s="647" t="s">
        <s:v>15</s:v>
      </s:c>
      <s:c r="B14" s="648"/>
      <s:c r="C14" s="649"/>
      <s:c r="D14" s="179">
        <s:f>'Ялта, Ленина, 18'!S13</s:f>
        <s:v>0.58679666666666663</s:v>
      </s:c>
      <s:c r="E14" s="180">
        <s:f>'Ялта, Ленина, 18'!T12</s:f>
        <s:v>352078</s:v>
      </s:c>
      <s:c r="F14" s="181">
        <s:f>'Ялта, Ленина, 18'!T13</s:f>
        <s:v>0.58679666666666663</s:v>
      </s:c>
      <s:c r="G14" s="182">
        <s:f>'Рогалевич И. Е.'!S13</s:f>
        <s:v>0.43557256410256406</s:v>
      </s:c>
      <s:c r="H14" s="183">
        <s:f>'Рогалевич И. Е.'!T12</s:f>
        <s:v>178814</s:v>
      </s:c>
      <s:c r="I14" s="184">
        <s:f>'Рогалевич И. Е.'!T13</s:f>
        <s:v>0.43557256410256406</s:v>
      </s:c>
      <s:c r="J14" s="185">
        <s:f>'Уразгильдеева Е. Р.'!S13</s:f>
        <s:v>0.55473090909090916</s:v>
      </s:c>
      <s:c r="K14" s="186">
        <s:f>'Уразгильдеева Е. Р.'!T12</s:f>
        <s:v>64232</s:v>
      </s:c>
      <s:c r="L14" s="187">
        <s:f>'Уразгильдеева Е. Р.'!T13</s:f>
        <s:v>0.63397818181818189</s:v>
      </s:c>
      <s:c r="M14" s="185">
        <s:f>'Афанасьева А. М.'!S13</s:f>
        <s:v>0.23674000000000001</s:v>
      </s:c>
      <s:c r="N14" s="186">
        <s:f>'Афанасьева А. М.'!T12</s:f>
        <s:v>13706</s:v>
      </s:c>
      <s:c r="O14" s="187">
        <s:f>'Афанасьева А. М.'!T13</s:f>
        <s:v>0.23674000000000001</s:v>
      </s:c>
    </s:row>
    <s:row r="15" spans="1:15">
      <s:c r="A15" s="650" t="s">
        <s:v>62</s:v>
      </s:c>
      <s:c r="B15" s="650"/>
      <s:c r="C15" s="650"/>
      <s:c r="D15" s="651">
        <s:f>'Ялта, Ленина, 18'!J16</s:f>
        <s:v>-519369.56000000006</s:v>
      </s:c>
      <s:c r="E15" s="652"/>
      <s:c r="F15" s="653"/>
      <s:c r="G15" s="654">
        <s:f>'Рогалевич И. Е.'!N8</s:f>
        <s:v>-159645.04949612124</s:v>
      </s:c>
      <s:c r="H15" s="655"/>
      <s:c r="I15" s="656"/>
      <s:c r="J15" s="657">
        <s:f>'Уразгильдеева Е. Р.'!N8</s:f>
        <s:v>-273869.0825456056</s:v>
      </s:c>
      <s:c r="K15" s="658"/>
      <s:c r="L15" s="659"/>
      <s:c r="M15" s="657">
        <s:f>'Афанасьева А. М.'!N8</s:f>
        <s:v>-134710.55292420296</s:v>
      </s:c>
      <s:c r="N15" s="658"/>
      <s:c r="O15" s="659"/>
    </s:row>
    <s:row r="18" spans="1:12" ht="16">
      <s:c r="A18" s="625" t="s">
        <s:v>63</s:v>
      </s:c>
      <s:c r="B18" s="626"/>
      <s:c r="C18" s="626"/>
      <s:c r="D18" s="626"/>
      <s:c r="E18" s="626"/>
      <s:c r="F18" s="626"/>
      <s:c r="G18" s="626"/>
      <s:c r="H18" s="626"/>
      <s:c r="I18" s="627"/>
      <s:c r="J18" s="188"/>
      <s:c r="K18" s="188"/>
      <s:c r="L18" s="188"/>
    </s:row>
    <s:row r="19" spans="1:12">
      <s:c r="A19" s="628" t="s">
        <s:v>3</s:v>
      </s:c>
      <s:c r="B19" s="629"/>
      <s:c r="C19" s="629"/>
      <s:c r="D19" s="632" t="s">
        <s:v>64</s:v>
      </s:c>
      <s:c r="E19" s="633"/>
      <s:c r="F19" s="633"/>
      <s:c r="G19" s="634" t="s">
        <s:v>65</s:v>
      </s:c>
      <s:c r="H19" s="635"/>
      <s:c r="I19" s="660"/>
      <s:c r="J19" s="661"/>
      <s:c r="K19" s="661"/>
      <s:c r="L19" s="661"/>
    </s:row>
    <s:row r="20" spans="1:12">
      <s:c r="A20" s="630"/>
      <s:c r="B20" s="631"/>
      <s:c r="C20" s="631"/>
      <s:c r="D20" s="639" t="s">
        <s:v>59</s:v>
      </s:c>
      <s:c r="E20" s="640"/>
      <s:c r="F20" s="150" t="s">
        <s:v>60</s:v>
      </s:c>
      <s:c r="G20" s="641" t="s">
        <s:v>5</s:v>
      </s:c>
      <s:c r="H20" s="642"/>
      <s:c r="I20" s="190" t="s">
        <s:v>60</s:v>
      </s:c>
      <s:c r="J20" s="189"/>
      <s:c r="K20" s="189"/>
      <s:c r="L20" s="191"/>
    </s:row>
    <s:row r="21" spans="1:12">
      <s:c r="A21" s="608" t="s">
        <s:v>12</s:v>
      </s:c>
      <s:c r="B21" s="608"/>
      <s:c r="C21" s="645"/>
      <s:c r="D21" s="154">
        <s:v>0.17652685736287002</s:v>
      </s:c>
      <s:c r="E21" s="192">
        <s:v>456870.6</s:v>
      </s:c>
      <s:c r="F21" s="156">
        <s:v>0.44569360822557696</s:v>
      </s:c>
      <s:c r="G21" s="193">
        <s:v>0.16382887550177985</s:v>
      </s:c>
      <s:c r="H21" s="194">
        <s:v>408635</s:v>
      </s:c>
      <s:c r="I21" s="156">
        <s:v>0.16382887550177988</s:v>
      </s:c>
      <s:c r="J21" s="195"/>
      <s:c r="K21" s="196"/>
      <s:c r="L21" s="197"/>
    </s:row>
    <s:row r="22" spans="1:12">
      <s:c r="A22" s="611" t="s">
        <s:v>13</s:v>
      </s:c>
      <s:c r="B22" s="611"/>
      <s:c r="C22" s="646"/>
      <s:c r="D22" s="162">
        <s:v>0.18397994618586572</s:v>
      </s:c>
      <s:c r="E22" s="163">
        <s:v>96</s:v>
      </s:c>
      <s:c r="F22" s="198">
        <s:v>0.46451110772435511</s:v>
      </s:c>
      <s:c r="G22" s="199">
        <s:v>0.16902676939457068</s:v>
      </s:c>
      <s:c r="H22" s="200">
        <s:v>85</s:v>
      </s:c>
      <s:c r="I22" s="164">
        <s:v>0.1690267693945707</s:v>
      </s:c>
      <s:c r="J22" s="195"/>
      <s:c r="K22" s="201"/>
      <s:c r="L22" s="197"/>
    </s:row>
    <s:row r="23" spans="1:12">
      <s:c r="A23" s="608" t="s">
        <s:v>14</s:v>
      </s:c>
      <s:c r="B23" s="608"/>
      <s:c r="C23" s="645"/>
      <s:c r="D23" s="162">
        <s:v>0.91298451843112416</s:v>
      </s:c>
      <s:c r="E23" s="202">
        <s:v>8015.273684210526</s:v>
      </s:c>
      <s:c r="F23" s="198">
        <s:v>0.91298451843112416</s:v>
      </s:c>
      <s:c r="G23" s="199">
        <s:v>0.91266299667306316</s:v>
      </s:c>
      <s:c r="H23" s="203">
        <s:v>8012.4509803921565</s:v>
      </s:c>
      <s:c r="I23" s="164">
        <s:v>0.91266299667306316</s:v>
      </s:c>
      <s:c r="J23" s="195"/>
      <s:c r="K23" s="196"/>
      <s:c r="L23" s="197"/>
    </s:row>
    <s:row r="24" spans="1:12">
      <s:c r="A24" s="611" t="s">
        <s:v>16</s:v>
      </s:c>
      <s:c r="B24" s="611"/>
      <s:c r="C24" s="646"/>
      <s:c r="D24" s="162">
        <s:v>0.95948966733870955</s:v>
      </s:c>
      <s:c r="E24" s="202">
        <s:v>4759.0687499999995</s:v>
      </s:c>
      <s:c r="F24" s="198">
        <s:v>0.95948966733870955</s:v>
      </s:c>
      <s:c r="G24" s="199">
        <s:v>0.96924810246679305</s:v>
      </s:c>
      <s:c r="H24" s="203">
        <s:v>4807.4705882352937</s:v>
      </s:c>
      <s:c r="I24" s="164">
        <s:v>0.96924810246679305</s:v>
      </s:c>
      <s:c r="J24" s="195"/>
      <s:c r="K24" s="196"/>
      <s:c r="L24" s="197"/>
    </s:row>
    <s:row r="25" spans="1:12">
      <s:c r="A25" s="611" t="s">
        <s:v>17</s:v>
      </s:c>
      <s:c r="B25" s="611"/>
      <s:c r="C25" s="646"/>
      <s:c r="D25" s="162">
        <s:v>0.95153137079988104</s:v>
      </s:c>
      <s:c r="E25" s="173">
        <s:v>1.6842105263157894</s:v>
      </s:c>
      <s:c r="F25" s="198">
        <s:v>0.95153137079988104</s:v>
      </s:c>
      <s:c r="G25" s="199">
        <s:v>0.94161958568738235</s:v>
      </s:c>
      <s:c r="H25" s="204">
        <s:v>1.6666666666666667</s:v>
      </s:c>
      <s:c r="I25" s="164">
        <s:v>0.94161958568738235</s:v>
      </s:c>
      <s:c r="J25" s="195"/>
      <s:c r="K25" s="205"/>
      <s:c r="L25" s="197"/>
    </s:row>
    <s:row r="26" spans="1:12">
      <s:c r="A26" s="611" t="s">
        <s:v>18</s:v>
      </s:c>
      <s:c r="B26" s="611"/>
      <s:c r="C26" s="646"/>
      <s:c r="D26" s="162">
        <s:v>0.19335142469470826</s:v>
      </s:c>
      <s:c r="E26" s="163">
        <s:v>57</s:v>
      </s:c>
      <s:c r="F26" s="198">
        <s:v>0.48817214227406464</s:v>
      </s:c>
      <s:c r="G26" s="199">
        <s:v>0.17950642909703407</s:v>
      </s:c>
      <s:c r="H26" s="200">
        <s:v>51</s:v>
      </s:c>
      <s:c r="I26" s="164">
        <s:v>0.17950642909703407</s:v>
      </s:c>
      <s:c r="J26" s="195"/>
      <s:c r="K26" s="201"/>
      <s:c r="L26" s="197"/>
    </s:row>
    <s:row r="27" spans="1:12">
      <s:c r="A27" s="611" t="s">
        <s:v>61</s:v>
      </s:c>
      <s:c r="B27" s="611"/>
      <s:c r="C27" s="646"/>
      <s:c r="D27" s="162">
        <s:v>0.43333333333333335</s:v>
      </s:c>
      <s:c r="E27" s="176">
        <s:v>13</s:v>
      </s:c>
      <s:c r="F27" s="198">
        <s:v>1</s:v>
      </s:c>
      <s:c r="G27" s="199">
        <s:v>0.41379310344827586</s:v>
      </s:c>
      <s:c r="H27" s="200">
        <s:v>12</s:v>
      </s:c>
      <s:c r="I27" s="164">
        <s:v>1</s:v>
      </s:c>
      <s:c r="J27" s="195"/>
      <s:c r="K27" s="206"/>
      <s:c r="L27" s="197"/>
    </s:row>
    <s:row r="28" spans="1:12">
      <s:c r="A28" s="611" t="s">
        <s:v>20</s:v>
      </s:c>
      <s:c r="B28" s="611"/>
      <s:c r="C28" s="646"/>
      <s:c r="D28" s="162">
        <s:v>0.40736967083739234</s:v>
      </s:c>
      <s:c r="E28" s="207">
        <s:v>35143.892307692309</s:v>
      </s:c>
      <s:c r="F28" s="198">
        <s:v>0.40736967083739234</s:v>
      </s:c>
      <s:c r="G28" s="199">
        <s:v>0.39472365018933359</s:v>
      </s:c>
      <s:c r="H28" s="203">
        <s:v>34052.916666666664</s:v>
      </s:c>
      <s:c r="I28" s="164">
        <s:v>0.39472365018933359</s:v>
      </s:c>
      <s:c r="J28" s="195"/>
      <s:c r="K28" s="208"/>
      <s:c r="L28" s="197"/>
    </s:row>
    <s:row r="29" spans="1:12">
      <s:c r="A29" s="647" t="s">
        <s:v>22</s:v>
      </s:c>
      <s:c r="B29" s="648"/>
      <s:c r="C29" s="649"/>
      <s:c r="D29" s="162">
        <s:v>5.7445000000000003E-2</s:v>
      </s:c>
      <s:c r="E29" s="207">
        <s:v>22978</s:v>
      </s:c>
      <s:c r="F29" s="198">
        <s:v>0.13256538461538464</s:v>
      </s:c>
      <s:c r="G29" s="199">
        <s:v>5.960594043887147E-2</s:v>
      </s:c>
      <s:c r="H29" s="203">
        <s:v>22978</s:v>
      </s:c>
      <s:c r="I29" s="164">
        <s:v>0.14404768939393939</s:v>
      </s:c>
      <s:c r="J29" s="195"/>
      <s:c r="K29" s="208"/>
      <s:c r="L29" s="197"/>
    </s:row>
    <s:row r="30" spans="1:12">
      <s:c r="A30" s="647" t="s">
        <s:v>15</s:v>
      </s:c>
      <s:c r="B30" s="648"/>
      <s:c r="C30" s="649"/>
      <s:c r="D30" s="179">
        <s:v>0.21411833333333333</s:v>
      </s:c>
      <s:c r="E30" s="209">
        <s:v>128471</s:v>
      </s:c>
      <s:c r="F30" s="210">
        <s:v>0.49411923076923076</s:v>
      </s:c>
      <s:c r="G30" s="211">
        <s:v>0.18948798850574713</s:v>
      </s:c>
      <s:c r="H30" s="212">
        <s:v>109571</s:v>
      </s:c>
      <s:c r="I30" s="213">
        <s:v>0.45792930555555555</s:v>
      </s:c>
      <s:c r="J30" s="195"/>
      <s:c r="K30" s="208"/>
      <s:c r="L30" s="197"/>
    </s:row>
    <s:row r="31" spans="1:12">
      <s:c r="A31" s="650" t="s">
        <s:v>21</s:v>
      </s:c>
      <s:c r="B31" s="650"/>
      <s:c r="C31" s="650"/>
      <s:c r="D31" s="662">
        <s:v>-664642.9360000001</s:v>
      </s:c>
      <s:c r="E31" s="663"/>
      <s:c r="F31" s="664"/>
      <s:c r="G31" s="665">
        <s:v>-626608.2640000002</s:v>
      </s:c>
      <s:c r="H31" s="666"/>
      <s:c r="I31" s="667"/>
      <s:c r="J31" s="668"/>
      <s:c r="K31" s="668"/>
      <s:c r="L31" s="668"/>
    </s:row>
    <s:row r="33" spans="1:15" ht="16">
      <s:c r="A33" s="625" t="s">
        <s:v>66</s:v>
      </s:c>
      <s:c r="B33" s="626"/>
      <s:c r="C33" s="626"/>
      <s:c r="D33" s="626"/>
      <s:c r="E33" s="626"/>
      <s:c r="F33" s="626"/>
      <s:c r="G33" s="626"/>
      <s:c r="H33" s="626"/>
      <s:c r="I33" s="626"/>
      <s:c r="J33" s="626"/>
      <s:c r="K33" s="626"/>
      <s:c r="L33" s="626"/>
      <s:c r="M33" s="626"/>
      <s:c r="N33" s="626"/>
      <s:c r="O33" s="627"/>
    </s:row>
    <s:row r="34" spans="1:15">
      <s:c r="A34" s="628" t="s">
        <s:v>3</s:v>
      </s:c>
      <s:c r="B34" s="629"/>
      <s:c r="C34" s="629"/>
      <s:c r="D34" s="632" t="s">
        <s:v>64</s:v>
      </s:c>
      <s:c r="E34" s="633"/>
      <s:c r="F34" s="633"/>
      <s:c r="G34" s="634" t="s">
        <s:v>65</s:v>
      </s:c>
      <s:c r="H34" s="635"/>
      <s:c r="I34" s="635"/>
      <s:c r="J34" s="636" t="s">
        <s:v>67</s:v>
      </s:c>
      <s:c r="K34" s="637"/>
      <s:c r="L34" s="638"/>
      <s:c r="M34" s="636" t="s">
        <s:v>68</s:v>
      </s:c>
      <s:c r="N34" s="637"/>
      <s:c r="O34" s="638"/>
    </s:row>
    <s:row r="35" spans="1:15">
      <s:c r="A35" s="630"/>
      <s:c r="B35" s="631"/>
      <s:c r="C35" s="631"/>
      <s:c r="D35" s="639" t="s">
        <s:v>59</s:v>
      </s:c>
      <s:c r="E35" s="640"/>
      <s:c r="F35" s="150" t="s">
        <s:v>60</s:v>
      </s:c>
      <s:c r="G35" s="641" t="s">
        <s:v>5</s:v>
      </s:c>
      <s:c r="H35" s="642"/>
      <s:c r="I35" s="152" t="s">
        <s:v>60</s:v>
      </s:c>
      <s:c r="J35" s="151" t="s">
        <s:v>5</s:v>
      </s:c>
      <s:c r="K35" s="214"/>
      <s:c r="L35" s="153" t="s">
        <s:v>60</s:v>
      </s:c>
      <s:c r="M35" s="151" t="s">
        <s:v>5</s:v>
      </s:c>
      <s:c r="N35" s="214"/>
      <s:c r="O35" s="153" t="s">
        <s:v>60</s:v>
      </s:c>
    </s:row>
    <s:row r="36" spans="1:15">
      <s:c r="A36" s="608" t="s">
        <s:v>12</s:v>
      </s:c>
      <s:c r="B36" s="608"/>
      <s:c r="C36" s="645"/>
      <s:c r="D36" s="154">
        <s:v>0.42180563272904331</s:v>
      </s:c>
      <s:c r="E36" s="155">
        <s:v>1091678.6000000001</s:v>
      </s:c>
      <s:c r="F36" s="156">
        <s:v>0.65230113878155338</s:v>
      </s:c>
      <s:c r="G36" s="157">
        <s:v>0.53584219403679567</s:v>
      </s:c>
      <s:c r="H36" s="158">
        <s:v>891925</s:v>
      </s:c>
      <s:c r="I36" s="159">
        <s:v>0.80385183855996256</s:v>
      </s:c>
      <s:c r="J36" s="160">
        <s:v>0.18407950243380183</s:v>
      </s:c>
      <s:c r="K36" s="158">
        <s:v>73960</s:v>
      </s:c>
      <s:c r="L36" s="161">
        <s:v>0.56677997752567411</s:v>
      </s:c>
      <s:c r="M36" s="160">
        <s:v>6.5623434166887928E-2</s:v>
      </s:c>
      <s:c r="N36" s="158">
        <s:v>30133</s:v>
      </s:c>
      <s:c r="O36" s="161">
        <s:v>0.23116453841085538</s:v>
      </s:c>
    </s:row>
    <s:row r="37" spans="1:15">
      <s:c r="A37" s="611" t="s">
        <s:v>13</s:v>
      </s:c>
      <s:c r="B37" s="611"/>
      <s:c r="C37" s="646"/>
      <s:c r="D37" s="162">
        <s:v>0.40053967450881184</s:v>
      </s:c>
      <s:c r="E37" s="163">
        <s:v>209</s:v>
      </s:c>
      <s:c r="F37" s="164">
        <s:v>0.61941440686527094</s:v>
      </s:c>
      <s:c r="G37" s="165">
        <s:v>0.51252929627117871</s:v>
      </s:c>
      <s:c r="H37" s="166">
        <s:v>172</s:v>
      </s:c>
      <s:c r="I37" s="167">
        <s:v>0.76990141487310537</s:v>
      </s:c>
      <s:c r="J37" s="168">
        <s:v>0.18517462116109865</s:v>
      </s:c>
      <s:c r="K37" s="169">
        <s:v>15</s:v>
      </s:c>
      <s:c r="L37" s="170">
        <s:v>0.18517462116109865</s:v>
      </s:c>
      <s:c r="M37" s="168">
        <s:v>8.6414823208512709E-2</s:v>
      </s:c>
      <s:c r="N37" s="169">
        <s:v>8</s:v>
      </s:c>
      <s:c r="O37" s="170">
        <s:v>0.30440410460766415</s:v>
      </s:c>
    </s:row>
    <s:row r="38" spans="1:15">
      <s:c r="A38" s="608" t="s">
        <s:v>14</s:v>
      </s:c>
      <s:c r="B38" s="608"/>
      <s:c r="C38" s="645"/>
      <s:c r="D38" s="162">
        <s:v>1.0719681080044996</s:v>
      </s:c>
      <s:c r="E38" s="171">
        <s:v>9411.0224137931036</s:v>
      </s:c>
      <s:c r="F38" s="164">
        <s:v>1.0719681080044996</s:v>
      </s:c>
      <s:c r="G38" s="165">
        <s:v>1.0694236616692083</s:v>
      </s:c>
      <s:c r="H38" s="172">
        <s:v>9388.6842105263149</s:v>
      </s:c>
      <s:c r="I38" s="167">
        <s:v>1.0694236616692083</s:v>
      </s:c>
      <s:c r="J38" s="168">
        <s:v>1.0530572261709494</s:v>
      </s:c>
      <s:c r="K38" s="172">
        <s:v>9245</s:v>
      </s:c>
      <s:c r="L38" s="170">
        <s:v>1.0530572261709494</s:v>
      </s:c>
      <s:c r="M38" s="168">
        <s:v>0.57205288257092524</s:v>
      </s:c>
      <s:c r="N38" s="169">
        <s:v>5022.166666666667</s:v>
      </s:c>
      <s:c r="O38" s="170">
        <s:v>0.57205288257092524</s:v>
      </s:c>
    </s:row>
    <s:row r="39" spans="1:15">
      <s:c r="A39" s="611" t="s">
        <s:v>16</s:v>
      </s:c>
      <s:c r="B39" s="611"/>
      <s:c r="C39" s="646"/>
      <s:c r="D39" s="162">
        <s:v>1.0530932628492053</s:v>
      </s:c>
      <s:c r="E39" s="171">
        <s:v>5223.3425837320583</s:v>
      </s:c>
      <s:c r="F39" s="164">
        <s:v>1.0530932628492053</s:v>
      </s:c>
      <s:c r="G39" s="165">
        <s:v>1.0454859808702175</s:v>
      </s:c>
      <s:c r="H39" s="172">
        <s:v>5185.6104651162786</s:v>
      </s:c>
      <s:c r="I39" s="167">
        <s:v>1.0440971052020378</s:v>
      </s:c>
      <s:c r="J39" s="168">
        <s:v>0.99408602150537639</s:v>
      </s:c>
      <s:c r="K39" s="172">
        <s:v>4930.666666666667</s:v>
      </s:c>
      <s:c r="L39" s="170">
        <s:v>0.99408602150537639</s:v>
      </s:c>
      <s:c r="M39" s="168">
        <s:v>0.75940020161290323</s:v>
      </s:c>
      <s:c r="N39" s="169">
        <s:v>3766.625</s:v>
      </s:c>
      <s:c r="O39" s="170">
        <s:v>0.75940020161290311</s:v>
      </s:c>
    </s:row>
    <s:row r="40" spans="1:15">
      <s:c r="A40" s="611" t="s">
        <s:v>17</s:v>
      </s:c>
      <s:c r="B40" s="611"/>
      <s:c r="C40" s="646"/>
      <s:c r="D40" s="162">
        <s:v>1.0179232417689461</s:v>
      </s:c>
      <s:c r="E40" s="173">
        <s:v>1.8017241379310345</s:v>
      </s:c>
      <s:c r="F40" s="164">
        <s:v>1.0179232417689461</s:v>
      </s:c>
      <s:c r="G40" s="165">
        <s:v>1.0228962236098722</s:v>
      </s:c>
      <s:c r="H40" s="174">
        <s:v>1.8105263157894738</s:v>
      </s:c>
      <s:c r="I40" s="167">
        <s:v>1.0228962236098722</s:v>
      </s:c>
      <s:c r="J40" s="168">
        <s:v>1.0593220338983051</s:v>
      </s:c>
      <s:c r="K40" s="175">
        <s:v>1.875</s:v>
      </s:c>
      <s:c r="L40" s="170">
        <s:v>1.0593220338983051</s:v>
      </s:c>
      <s:c r="M40" s="168">
        <s:v>0.75329566854990582</s:v>
      </s:c>
      <s:c r="N40" s="175">
        <s:v>1.3333333333333333</s:v>
      </s:c>
      <s:c r="O40" s="170">
        <s:v>0.75329566854990582</s:v>
      </s:c>
    </s:row>
    <s:row r="41" spans="1:15">
      <s:c r="A41" s="611" t="s">
        <s:v>18</s:v>
      </s:c>
      <s:c r="B41" s="611"/>
      <s:c r="C41" s="646"/>
      <s:c r="D41" s="162">
        <s:v>0.39348710990502034</s:v>
      </s:c>
      <s:c r="E41" s="163">
        <s:v>116</s:v>
      </s:c>
      <s:c r="F41" s="164">
        <s:v>0.60850797137596846</s:v>
      </s:c>
      <s:c r="G41" s="165">
        <s:v>0.50105698353487615</s:v>
      </s:c>
      <s:c r="H41" s="166">
        <s:v>95</s:v>
      </s:c>
      <s:c r="I41" s="167">
        <s:v>0.75209584981918809</s:v>
      </s:c>
      <s:c r="J41" s="168">
        <s:v>0.17480484237607713</s:v>
      </s:c>
      <s:c r="K41" s="169">
        <s:v>8</s:v>
      </s:c>
      <s:c r="L41" s="170">
        <s:v>0.17480484237607713</s:v>
      </s:c>
      <s:c r="M41" s="168">
        <s:v>0.11471567780930061</s:v>
      </s:c>
      <s:c r="N41" s="169">
        <s:v>6</s:v>
      </s:c>
      <s:c r="O41" s="170">
        <s:v>0.40409644886667406</s:v>
      </s:c>
    </s:row>
    <s:row r="42" spans="1:15">
      <s:c r="A42" s="611" t="s">
        <s:v>61</s:v>
      </s:c>
      <s:c r="B42" s="611"/>
      <s:c r="C42" s="646"/>
      <s:c r="D42" s="162">
        <s:v>0.66666666666666663</s:v>
      </s:c>
      <s:c r="E42" s="176">
        <s:v>20</s:v>
      </s:c>
      <s:c r="F42" s="164"/>
      <s:c r="G42" s="165">
        <s:v>0.65517241379310343</s:v>
      </s:c>
      <s:c r="H42" s="166">
        <s:v>19</s:v>
      </s:c>
      <s:c r="I42" s="167"/>
      <s:c r="J42" s="168">
        <s:v>0.42857142857142855</s:v>
      </s:c>
      <s:c r="K42" s="166">
        <s:v>3</s:v>
      </s:c>
      <s:c r="L42" s="170"/>
      <s:c r="M42" s="168">
        <s:v>0.25</s:v>
      </s:c>
      <s:c r="N42" s="169">
        <s:v>2</s:v>
      </s:c>
      <s:c r="O42" s="170"/>
    </s:row>
    <s:row r="43" spans="1:15">
      <s:c r="A43" s="611" t="s">
        <s:v>20</s:v>
      </s:c>
      <s:c r="B43" s="611"/>
      <s:c r="C43" s="646"/>
      <s:c r="D43" s="162">
        <s:v>0.63270844909356494</s:v>
      </s:c>
      <s:c r="E43" s="177">
        <s:v>54583.930000000008</s:v>
      </s:c>
      <s:c r="F43" s="164">
        <s:v>0.63270844909356494</s:v>
      </s:c>
      <s:c r="G43" s="165">
        <s:v>0.54414365417361354</s:v>
      </s:c>
      <s:c r="H43" s="172">
        <s:v>46943.42105263158</s:v>
      </s:c>
      <s:c r="I43" s="167">
        <s:v>0.54414365417361354</s:v>
      </s:c>
      <s:c r="J43" s="168">
        <s:v>0.28576858240731323</s:v>
      </s:c>
      <s:c r="K43" s="172">
        <s:v>24653.333333333332</s:v>
      </s:c>
      <s:c r="L43" s="170">
        <s:v>0.28576858240731323</s:v>
      </s:c>
      <s:c r="M43" s="168">
        <s:v>0.1746430102828469</s:v>
      </s:c>
      <s:c r="N43" s="169">
        <s:v>15066.5</s:v>
      </s:c>
      <s:c r="O43" s="170">
        <s:v>0.1746430102828469</s:v>
      </s:c>
    </s:row>
    <s:row r="44" spans="1:15">
      <s:c r="A44" s="647" t="s">
        <s:v>23</s:v>
      </s:c>
      <s:c r="B44" s="648"/>
      <s:c r="C44" s="649"/>
      <s:c r="D44" s="162">
        <s:v>0.38283582089552237</s:v>
      </s:c>
      <s:c r="E44" s="176">
        <s:v>513</s:v>
      </s:c>
      <s:c r="F44" s="164">
        <s:v>0.57425373134328361</s:v>
      </s:c>
      <s:c r="G44" s="165">
        <s:v>0.44673185795162118</s:v>
      </s:c>
      <s:c r="H44" s="166">
        <s:v>385</s:v>
      </s:c>
      <s:c r="I44" s="167">
        <s:v>0.68185388845247441</s:v>
      </s:c>
      <s:c r="J44" s="168">
        <s:v>0.31246365574723783</s:v>
      </s:c>
      <s:c r="K44" s="166">
        <s:v>65</s:v>
      </s:c>
      <s:c r="L44" s="170">
        <s:v>0.72908186341022174</s:v>
      </s:c>
      <s:c r="M44" s="168">
        <s:v>0.14301221166892808</s:v>
      </s:c>
      <s:c r="N44" s="166">
        <s:v>34</s:v>
      </s:c>
      <s:c r="O44" s="170">
        <s:v>0.57204884667571232</s:v>
      </s:c>
    </s:row>
    <s:row r="45" spans="1:15">
      <s:c r="A45" s="647" t="s">
        <s:v>22</s:v>
      </s:c>
      <s:c r="B45" s="648"/>
      <s:c r="C45" s="649"/>
      <s:c r="D45" s="162">
        <s:v>0.56228250000000002</s:v>
      </s:c>
      <s:c r="E45" s="177">
        <s:v>224913</s:v>
      </s:c>
      <s:c r="F45" s="164">
        <s:v>0.84342375000000003</s:v>
      </s:c>
      <s:c r="G45" s="165">
        <s:v>0.62775874608150473</s:v>
      </s:c>
      <s:c r="H45" s="172">
        <s:v>161496</s:v>
      </s:c>
      <s:c r="I45" s="167">
        <s:v>0.9581580861244019</s:v>
      </s:c>
      <s:c r="J45" s="168">
        <s:v>0.25753350649350648</s:v>
      </s:c>
      <s:c r="K45" s="172">
        <s:v>15992</s:v>
      </s:c>
      <s:c r="L45" s="170">
        <s:v>0.6009115151515152</s:v>
      </s:c>
      <s:c r="M45" s="168">
        <s:v>0</s:v>
      </s:c>
      <s:c r="N45" s="178">
        <s:v>0</s:v>
      </s:c>
      <s:c r="O45" s="170">
        <s:v>0</s:v>
      </s:c>
    </s:row>
    <s:row r="46" spans="1:15">
      <s:c r="A46" s="647" t="s">
        <s:v>15</s:v>
      </s:c>
      <s:c r="B46" s="648"/>
      <s:c r="C46" s="649"/>
      <s:c r="D46" s="179">
        <s:v>0.25513333333333332</s:v>
      </s:c>
      <s:c r="E46" s="180">
        <s:v>153080</s:v>
      </s:c>
      <s:c r="F46" s="181">
        <s:v>0.38269999999999998</s:v>
      </s:c>
      <s:c r="G46" s="182">
        <s:v>0.34771828631138973</s:v>
      </s:c>
      <s:c r="H46" s="183">
        <s:v>134180</s:v>
      </s:c>
      <s:c r="I46" s="184">
        <s:v>0.53072791068580538</s:v>
      </s:c>
      <s:c r="J46" s="185">
        <s:v>0</s:v>
      </s:c>
      <s:c r="K46" s="215">
        <s:v>0</s:v>
      </s:c>
      <s:c r="L46" s="187">
        <s:v>0</s:v>
      </s:c>
      <s:c r="M46" s="185">
        <s:v>0</s:v>
      </s:c>
      <s:c r="N46" s="215">
        <s:v>0</s:v>
      </s:c>
      <s:c r="O46" s="187">
        <s:v>0</s:v>
      </s:c>
    </s:row>
    <s:row r="47" spans="1:15">
      <s:c r="A47" s="650" t="s">
        <s:v>62</s:v>
      </s:c>
      <s:c r="B47" s="650"/>
      <s:c r="C47" s="650"/>
      <s:c r="D47" s="669">
        <s:v>-633726.84000000008</s:v>
      </s:c>
      <s:c r="E47" s="670"/>
      <s:c r="F47" s="671"/>
      <s:c r="G47" s="654">
        <s:v>-326494.35008918284</s:v>
      </s:c>
      <s:c r="H47" s="655"/>
      <s:c r="I47" s="656"/>
      <s:c r="J47" s="657">
        <s:v>-174060.40563220027</s:v>
      </s:c>
      <s:c r="K47" s="658"/>
      <s:c r="L47" s="659"/>
      <s:c r="M47" s="657">
        <s:v>-353034.23629352497</s:v>
      </s:c>
      <s:c r="N47" s="658"/>
      <s:c r="O47" s="659"/>
    </s:row>
  </s:sheetData>
  <s:mergeCells count="71">
    <s:mergeCell ref="M47:O47"/>
    <s:mergeCell ref="A46:C46"/>
    <s:mergeCell ref="A47:C47"/>
    <s:mergeCell ref="D47:F47"/>
    <s:mergeCell ref="G47:I47"/>
    <s:mergeCell ref="J47:L47"/>
    <s:mergeCell ref="A41:C41"/>
    <s:mergeCell ref="A42:C42"/>
    <s:mergeCell ref="A43:C43"/>
    <s:mergeCell ref="A44:C44"/>
    <s:mergeCell ref="A45:C45"/>
    <s:mergeCell ref="A36:C36"/>
    <s:mergeCell ref="A37:C37"/>
    <s:mergeCell ref="A38:C38"/>
    <s:mergeCell ref="A39:C39"/>
    <s:mergeCell ref="A40:C40"/>
    <s:mergeCell ref="A34:C35"/>
    <s:mergeCell ref="D34:F34"/>
    <s:mergeCell ref="G34:I34"/>
    <s:mergeCell ref="J34:L34"/>
    <s:mergeCell ref="M34:O34"/>
    <s:mergeCell ref="D35:E35"/>
    <s:mergeCell ref="G35:H35"/>
    <s:mergeCell ref="A31:C31"/>
    <s:mergeCell ref="D31:F31"/>
    <s:mergeCell ref="G31:I31"/>
    <s:mergeCell ref="J31:L31"/>
    <s:mergeCell ref="A33:O33"/>
    <s:mergeCell ref="A26:C26"/>
    <s:mergeCell ref="A27:C27"/>
    <s:mergeCell ref="A28:C28"/>
    <s:mergeCell ref="A29:C29"/>
    <s:mergeCell ref="A30:C30"/>
    <s:mergeCell ref="A21:C21"/>
    <s:mergeCell ref="A22:C22"/>
    <s:mergeCell ref="A23:C23"/>
    <s:mergeCell ref="A24:C24"/>
    <s:mergeCell ref="A25:C25"/>
    <s:mergeCell ref="M15:O15"/>
    <s:mergeCell ref="A18:I18"/>
    <s:mergeCell ref="A19:C20"/>
    <s:mergeCell ref="D19:F19"/>
    <s:mergeCell ref="G19:I19"/>
    <s:mergeCell ref="J19:L19"/>
    <s:mergeCell ref="D20:E20"/>
    <s:mergeCell ref="G20:H20"/>
    <s:mergeCell ref="A14:C14"/>
    <s:mergeCell ref="A15:C15"/>
    <s:mergeCell ref="D15:F15"/>
    <s:mergeCell ref="G15:I15"/>
    <s:mergeCell ref="J15:L15"/>
    <s:mergeCell ref="A9:C9"/>
    <s:mergeCell ref="A10:C10"/>
    <s:mergeCell ref="A11:C11"/>
    <s:mergeCell ref="A12:C12"/>
    <s:mergeCell ref="A13:C13"/>
    <s:mergeCell ref="A4:C4"/>
    <s:mergeCell ref="A5:C5"/>
    <s:mergeCell ref="A6:C6"/>
    <s:mergeCell ref="A7:C7"/>
    <s:mergeCell ref="A8:C8"/>
    <s:mergeCell ref="A1:O1"/>
    <s:mergeCell ref="A2:C3"/>
    <s:mergeCell ref="D2:F2"/>
    <s:mergeCell ref="G2:I2"/>
    <s:mergeCell ref="J2:L2"/>
    <s:mergeCell ref="M2:O2"/>
    <s:mergeCell ref="D3:E3"/>
    <s:mergeCell ref="G3:H3"/>
    <s:mergeCell ref="J3:K3"/>
    <s:mergeCell ref="M3:N3"/>
  </s:mergeCells>
  <s:conditionalFormatting sqref="D4">
    <s:cfRule type="cellIs" dxfId="233" priority="152" operator="lessThan">
      <s:formula>$D$10</s:formula>
    </s:cfRule>
    <s:cfRule type="cellIs" dxfId="232" priority="155" operator="greaterThanOrEqual">
      <s:formula>$D$10</s:formula>
    </s:cfRule>
  </s:conditionalFormatting>
  <s:conditionalFormatting sqref="D4:D9 F4:G9 I4:J9 L4:M9 O4:O9 D11 F11:G11 I11:J11 L11:M11 O11 D13:D14 F13:G14 I13:J14 L13:M14 O13:O14">
    <s:cfRule type="cellIs" dxfId="231" priority="123" operator="between">
      <s:formula>0.9</s:formula>
      <s:formula>0.9999</s:formula>
    </s:cfRule>
  </s:conditionalFormatting>
  <s:conditionalFormatting sqref="D6:D8 D11 D13:D14">
    <s:cfRule type="cellIs" dxfId="230" priority="148" operator="lessThan">
      <s:formula>1</s:formula>
    </s:cfRule>
    <s:cfRule type="cellIs" dxfId="229" priority="149" operator="greaterThanOrEqual">
      <s:formula>1</s:formula>
    </s:cfRule>
  </s:conditionalFormatting>
  <s:conditionalFormatting sqref="D21">
    <s:cfRule type="cellIs" dxfId="228" priority="136" operator="lessThan">
      <s:formula>$D$10</s:formula>
    </s:cfRule>
    <s:cfRule type="cellIs" dxfId="227" priority="139" operator="greaterThanOrEqual">
      <s:formula>$D$10</s:formula>
    </s:cfRule>
  </s:conditionalFormatting>
  <s:conditionalFormatting sqref="D23:D25 D28:D30">
    <s:cfRule type="cellIs" dxfId="226" priority="133" operator="greaterThanOrEqual">
      <s:formula>1</s:formula>
    </s:cfRule>
    <s:cfRule type="cellIs" dxfId="225" priority="132" operator="lessThan">
      <s:formula>1</s:formula>
    </s:cfRule>
  </s:conditionalFormatting>
  <s:conditionalFormatting sqref="D31 G31:I31">
    <s:cfRule type="cellIs" dxfId="224" priority="145" operator="greaterThan">
      <s:formula>0</s:formula>
    </s:cfRule>
    <s:cfRule type="cellIs" dxfId="223" priority="144" operator="lessThan">
      <s:formula>0</s:formula>
    </s:cfRule>
  </s:conditionalFormatting>
  <s:conditionalFormatting sqref="D36">
    <s:cfRule type="cellIs" dxfId="222" priority="113" operator="lessThan">
      <s:formula>$D$10</s:formula>
    </s:cfRule>
    <s:cfRule type="cellIs" dxfId="221" priority="116" operator="greaterThanOrEqual">
      <s:formula>$D$10</s:formula>
    </s:cfRule>
  </s:conditionalFormatting>
  <s:conditionalFormatting sqref="D38:D40 D43 D45:D46">
    <s:cfRule type="cellIs" dxfId="220" priority="109" operator="lessThan">
      <s:formula>1</s:formula>
    </s:cfRule>
    <s:cfRule type="cellIs" dxfId="219" priority="110" operator="greaterThanOrEqual">
      <s:formula>1</s:formula>
    </s:cfRule>
  </s:conditionalFormatting>
  <s:conditionalFormatting sqref="D15:O15">
    <s:cfRule type="cellIs" dxfId="218" priority="97" operator="lessThan">
      <s:formula>0</s:formula>
    </s:cfRule>
  </s:conditionalFormatting>
  <s:conditionalFormatting sqref="D47:O47">
    <s:cfRule type="cellIs" dxfId="217" priority="99" operator="greaterThan">
      <s:formula>0</s:formula>
    </s:cfRule>
    <s:cfRule type="cellIs" dxfId="216" priority="98" operator="lessThan">
      <s:formula>0</s:formula>
    </s:cfRule>
  </s:conditionalFormatting>
  <s:conditionalFormatting sqref="F4:F9 I4:I9 F11 F13:F14">
    <s:cfRule type="cellIs" dxfId="215" priority="156" operator="lessThan">
      <s:formula>1</s:formula>
    </s:cfRule>
  </s:conditionalFormatting>
  <s:conditionalFormatting sqref="F4:F9 I4:I9 F11 I11 F13:F14 I13:I14">
    <s:cfRule type="cellIs" dxfId="214" priority="157" operator="greaterThan">
      <s:formula>1</s:formula>
    </s:cfRule>
  </s:conditionalFormatting>
  <s:conditionalFormatting sqref="F21:F30 I21:I30">
    <s:cfRule type="cellIs" dxfId="213" priority="141" operator="greaterThan">
      <s:formula>1</s:formula>
    </s:cfRule>
    <s:cfRule type="cellIs" dxfId="212" priority="140" operator="lessThan">
      <s:formula>1</s:formula>
    </s:cfRule>
  </s:conditionalFormatting>
  <s:conditionalFormatting sqref="F36:F41 I36:I41 F43 I43 F45:F46 I45:I46">
    <s:cfRule type="cellIs" dxfId="211" priority="118" operator="greaterThan">
      <s:formula>1</s:formula>
    </s:cfRule>
  </s:conditionalFormatting>
  <s:conditionalFormatting sqref="F36:F41 I36:I41 F43 I43 F45:F46">
    <s:cfRule type="cellIs" dxfId="210" priority="117" operator="lessThan">
      <s:formula>1</s:formula>
    </s:cfRule>
  </s:conditionalFormatting>
  <s:conditionalFormatting sqref="F36:G41 I36:J41 L36:M41 O36:O41 D36:D43 G42 J42 M42 F43:G43 I43:J43 L43:M43 O43 D45:D46 F45:G46 I45:J46 L45:M46 O45:O46">
    <s:cfRule type="cellIs" dxfId="209" priority="100" operator="between">
      <s:formula>0.9</s:formula>
      <s:formula>0.9999</s:formula>
    </s:cfRule>
  </s:conditionalFormatting>
  <s:conditionalFormatting sqref="G4:G9 G11 G13:G14">
    <s:cfRule type="cellIs" dxfId="208" priority="154" operator="greaterThanOrEqual">
      <s:formula>$G$10</s:formula>
    </s:cfRule>
    <s:cfRule type="cellIs" dxfId="207" priority="151" operator="lessThan">
      <s:formula>$G$10</s:formula>
    </s:cfRule>
  </s:conditionalFormatting>
  <s:conditionalFormatting sqref="G21:G30">
    <s:cfRule type="cellIs" dxfId="206" priority="138" operator="greaterThanOrEqual">
      <s:formula>$G$10</s:formula>
    </s:cfRule>
    <s:cfRule type="cellIs" dxfId="205" priority="135" operator="lessThan">
      <s:formula>$G$10</s:formula>
    </s:cfRule>
  </s:conditionalFormatting>
  <s:conditionalFormatting sqref="G36:G43 G45:G46">
    <s:cfRule type="cellIs" dxfId="204" priority="115" operator="greaterThanOrEqual">
      <s:formula>$G$10</s:formula>
    </s:cfRule>
    <s:cfRule type="cellIs" dxfId="203" priority="112" operator="lessThan">
      <s:formula>$G$10</s:formula>
    </s:cfRule>
  </s:conditionalFormatting>
  <s:conditionalFormatting sqref="G15:O15">
    <s:cfRule type="cellIs" dxfId="202" priority="161" operator="greaterThan">
      <s:formula>0</s:formula>
    </s:cfRule>
  </s:conditionalFormatting>
  <s:conditionalFormatting sqref="J4:J5">
    <s:cfRule type="cellIs" dxfId="201" priority="153" operator="greaterThanOrEqual">
      <s:formula>$J$10</s:formula>
    </s:cfRule>
    <s:cfRule type="cellIs" dxfId="200" priority="150" operator="lessThan">
      <s:formula>$J$10</s:formula>
    </s:cfRule>
  </s:conditionalFormatting>
  <s:conditionalFormatting sqref="J6:J9 I11:J11 I13:J14">
    <s:cfRule type="cellIs" dxfId="199" priority="146" operator="lessThan">
      <s:formula>1</s:formula>
    </s:cfRule>
  </s:conditionalFormatting>
  <s:conditionalFormatting sqref="J6:J9 J11 J13:J14">
    <s:cfRule type="cellIs" dxfId="198" priority="147" operator="greaterThanOrEqual">
      <s:formula>1</s:formula>
    </s:cfRule>
  </s:conditionalFormatting>
  <s:conditionalFormatting sqref="J36:J37">
    <s:cfRule type="cellIs" dxfId="197" priority="114" operator="greaterThanOrEqual">
      <s:formula>$J$10</s:formula>
    </s:cfRule>
    <s:cfRule type="cellIs" dxfId="196" priority="111" operator="lessThan">
      <s:formula>$J$10</s:formula>
    </s:cfRule>
  </s:conditionalFormatting>
  <s:conditionalFormatting sqref="J38:J43 I45:J46">
    <s:cfRule type="cellIs" dxfId="195" priority="107" operator="lessThan">
      <s:formula>1</s:formula>
    </s:cfRule>
  </s:conditionalFormatting>
  <s:conditionalFormatting sqref="J38:J43 J45:J46">
    <s:cfRule type="cellIs" dxfId="194" priority="108" operator="greaterThanOrEqual">
      <s:formula>1</s:formula>
    </s:cfRule>
  </s:conditionalFormatting>
  <s:conditionalFormatting sqref="L4:L9 L11 L13:L14">
    <s:cfRule type="cellIs" dxfId="193" priority="159" operator="greaterThan">
      <s:formula>1</s:formula>
    </s:cfRule>
  </s:conditionalFormatting>
  <s:conditionalFormatting sqref="L4:L9 L11">
    <s:cfRule type="cellIs" dxfId="192" priority="158" operator="lessThan">
      <s:formula>1</s:formula>
    </s:cfRule>
  </s:conditionalFormatting>
  <s:conditionalFormatting sqref="L36:L41 L43 L45:L46">
    <s:cfRule type="cellIs" dxfId="191" priority="120" operator="greaterThan">
      <s:formula>1</s:formula>
    </s:cfRule>
  </s:conditionalFormatting>
  <s:conditionalFormatting sqref="L36:L41 L43">
    <s:cfRule type="cellIs" dxfId="190" priority="119" operator="lessThan">
      <s:formula>1</s:formula>
    </s:cfRule>
  </s:conditionalFormatting>
  <s:conditionalFormatting sqref="L13:M14">
    <s:cfRule type="cellIs" dxfId="189" priority="124" operator="lessThan">
      <s:formula>1</s:formula>
    </s:cfRule>
  </s:conditionalFormatting>
  <s:conditionalFormatting sqref="L45:M46">
    <s:cfRule type="cellIs" dxfId="188" priority="101" operator="lessThan">
      <s:formula>1</s:formula>
    </s:cfRule>
  </s:conditionalFormatting>
  <s:conditionalFormatting sqref="M4:M9 M11">
    <s:cfRule type="cellIs" dxfId="187" priority="127" operator="greaterThanOrEqual">
      <s:formula>$J$10</s:formula>
    </s:cfRule>
    <s:cfRule type="cellIs" dxfId="186" priority="126" operator="lessThan">
      <s:formula>$J$10</s:formula>
    </s:cfRule>
  </s:conditionalFormatting>
  <s:conditionalFormatting sqref="M13:M14">
    <s:cfRule type="cellIs" dxfId="185" priority="125" operator="greaterThanOrEqual">
      <s:formula>1</s:formula>
    </s:cfRule>
  </s:conditionalFormatting>
  <s:conditionalFormatting sqref="M36:M43">
    <s:cfRule type="cellIs" dxfId="184" priority="104" operator="greaterThanOrEqual">
      <s:formula>$J$10</s:formula>
    </s:cfRule>
    <s:cfRule type="cellIs" dxfId="183" priority="103" operator="lessThan">
      <s:formula>$J$10</s:formula>
    </s:cfRule>
  </s:conditionalFormatting>
  <s:conditionalFormatting sqref="M45:M46">
    <s:cfRule type="cellIs" dxfId="182" priority="102" operator="greaterThanOrEqual">
      <s:formula>1</s:formula>
    </s:cfRule>
  </s:conditionalFormatting>
  <s:conditionalFormatting sqref="O4:O9 O11 O13:O14">
    <s:cfRule type="cellIs" dxfId="181" priority="128" operator="lessThan">
      <s:formula>1</s:formula>
    </s:cfRule>
    <s:cfRule type="cellIs" dxfId="180" priority="129" operator="greaterThan">
      <s:formula>1</s:formula>
    </s:cfRule>
  </s:conditionalFormatting>
  <s:conditionalFormatting sqref="O36:O41 O43 O45:O46">
    <s:cfRule type="cellIs" dxfId="179" priority="105" operator="lessThan">
      <s:formula>1</s:formula>
    </s:cfRule>
    <s:cfRule type="cellIs" dxfId="178" priority="106" operator="greaterThan">
      <s:formula>1</s:formula>
    </s:cfRule>
  </s:conditionalFormatting>
  <s:dataValidations count="1">
    <s:dataValidation xr:uid="{008E001C-00AA-46C8-8BB2-004A00AA00B9}" type="decimal" allowBlank="1" showErrorMessage="1" sqref="F36:F46 D36:E47 E21:F30 D21:D31 D4:F14" vyd:viewType="arrow" mc:Ignorable="vyd">
      <s:formula1>0</s:formula1>
      <s:formula2>1000000000000000</s:formula2>
    </s:dataValidation>
  </s:dataValidations>
  <s:pageMargins left="0.7" right="0.7" top="0.75" bottom="0.75" header="0.3" footer="0.3"/>
  <s:pageSetup paperSize="9" orientation="portrait"/>
</s:worksheet>
</file>

<file path=xl/worksheets/sheet3.xml><?xml version="1.0" encoding="utf-8"?>
<s:worksheet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xmlns:mc="http://schemas.openxmlformats.org/markup-compatibility/2006" xmlns:xr3="http://schemas.microsoft.com/office/spreadsheetml/2016/revision3" xmlns:s="http://schemas.openxmlformats.org/spreadsheetml/2006/main" mc:Ignorable="x14ac xr xr2 xr3" xr:uid="{00000000-0001-0000-0200-000000000000}">
  <s:sheetPr>
    <s:pageSetUpPr fitToPage="1"/>
  </s:sheetPr>
  <s:dimension ref="A1:D9"/>
  <s:sheetViews>
    <s:sheetView showZeros="0" tabSelected="0" zoomScale="138" workbookViewId="0">
      <s:selection activeCell="D8" sqref="D8"/>
    </s:sheetView>
  </s:sheetViews>
  <s:sheetFormatPr baseColWidth="10" defaultColWidth="11.5" defaultRowHeight="15"/>
  <s:cols>
    <s:col min="1" max="3" width="11.5" style="216"/>
    <s:col min="4" max="4" width="11.5" style="3"/>
  </s:cols>
  <s:sheetData>
    <s:row r="1" spans="1:4">
      <s:c r="A1" s="672" t="s">
        <s:v>12</s:v>
      </s:c>
      <s:c r="B1" s="673"/>
      <s:c r="C1" s="674"/>
      <s:c r="D1" s="217">
        <s:v>287799</s:v>
      </s:c>
    </s:row>
    <s:row r="2" spans="1:4">
      <s:c r="A2" s="675" t="s">
        <s:v>13</s:v>
      </s:c>
      <s:c r="B2" s="676"/>
      <s:c r="C2" s="677"/>
      <s:c r="D2" s="218">
        <s:f>D1/D4</s:f>
        <s:v>58.02399193548387</s:v>
      </s:c>
    </s:row>
    <s:row r="3" spans="1:4">
      <s:c r="A3" s="675" t="s">
        <s:v>14</s:v>
      </s:c>
      <s:c r="B3" s="676"/>
      <s:c r="C3" s="677"/>
      <s:c r="D3" s="219">
        <s:f>D4*D5</s:f>
        <s:v>8779.2000000000007</s:v>
      </s:c>
    </s:row>
    <s:row r="4" spans="1:4">
      <s:c r="A4" s="675" t="s">
        <s:v>16</s:v>
      </s:c>
      <s:c r="B4" s="676"/>
      <s:c r="C4" s="677"/>
      <s:c r="D4" s="220">
        <s:f>'Ялта, Ленина, 18'!I11</s:f>
        <s:v>4960</s:v>
      </s:c>
    </s:row>
    <s:row r="5" spans="1:4">
      <s:c r="A5" s="675" t="s">
        <s:v>17</s:v>
      </s:c>
      <s:c r="B5" s="676"/>
      <s:c r="C5" s="677"/>
      <s:c r="D5" s="221">
        <s:f>'Ялта, Ленина, 18'!I12</s:f>
        <s:v>1.77</s:v>
      </s:c>
    </s:row>
    <s:row r="6" spans="1:4">
      <s:c r="A6" s="675" t="s">
        <s:v>18</s:v>
      </s:c>
      <s:c r="B6" s="676"/>
      <s:c r="C6" s="677"/>
      <s:c r="D6" s="219">
        <s:f>IF(D5&lt;&gt;0,D2/D5,"")</s:f>
        <s:v>32.781916347730998</s:v>
      </s:c>
    </s:row>
    <s:row r="7" spans="1:4">
      <s:c r="A7" s="675" t="s">
        <s:v>69</s:v>
      </s:c>
      <s:c r="B7" s="675"/>
      <s:c r="C7" s="675"/>
      <s:c r="D7" s="222">
        <s:f>'Ялта, Ленина, 18'!I20</s:f>
        <s:v>0.22</s:v>
      </s:c>
    </s:row>
    <s:row r="8" spans="1:4">
      <s:c r="A8" s="678" t="s">
        <s:v>15</s:v>
      </s:c>
      <s:c r="B8" s="679"/>
      <s:c r="C8" s="680"/>
      <s:c r="D8" s="223" t="e">
        <s:f>('Ялта, Ленина, 18'!S12-'Ялта, Ленина, 18'!T12)/('Ялта, Ленина, 18'!I14-'Ялта, Ленина, 18'!J14)</s:f>
        <s:v>#DIV/0!</s:v>
      </s:c>
    </s:row>
    <s:row r="9" spans="1:4">
      <s:c r="A9" s="681" t="s">
        <s:v>22</s:v>
      </s:c>
      <s:c r="B9" s="682"/>
      <s:c r="C9" s="683"/>
      <s:c r="D9" s="224" t="e">
        <s:f>('Ялта, Ленина, 18'!S18-'Ялта, Ленина, 18'!T18)/('Ялта, Ленина, 18'!I14-'Ялта, Ленина, 18'!J14)</s:f>
        <s:v>#DIV/0!</s:v>
      </s:c>
    </s:row>
  </s:sheetData>
  <s:mergeCells count="9">
    <s:mergeCell ref="A6:C6"/>
    <s:mergeCell ref="A7:C7"/>
    <s:mergeCell ref="A8:C8"/>
    <s:mergeCell ref="A9:C9"/>
    <s:mergeCell ref="A1:C1"/>
    <s:mergeCell ref="A2:C2"/>
    <s:mergeCell ref="A3:C3"/>
    <s:mergeCell ref="A4:C4"/>
    <s:mergeCell ref="A5:C5"/>
  </s:mergeCells>
  <s:dataValidations count="1">
    <s:dataValidation xr:uid="{00850023-0070-470E-AAFA-00B300CA001B}" type="decimal" allowBlank="1" showErrorMessage="1" sqref="D7 D2" vyd:viewType="arrow" mc:Ignorable="vyd">
      <s:formula1>0</s:formula1>
      <s:formula2>1000000000000000</s:formula2>
    </s:dataValidation>
  </s:dataValidations>
  <s:pageMargins left="0.788" right="0.788" top="0.788" bottom="0.788" header="0.512" footer="0.512"/>
  <s:pageSetup paperSize="9" fitToHeight="0" orientation="landscape"/>
</s:worksheet>
</file>

<file path=xl/worksheets/sheet4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300-000000000000}">
  <s:sheetPr>
    <s:pageSetUpPr fitToPage="1"/>
  </s:sheetPr>
  <s:dimension ref="A1:IU59"/>
  <s:sheetViews>
    <s:sheetView showZeros="0" tabSelected="0" topLeftCell="A30" zoomScale="110" workbookViewId="0">
      <s:pane xSplit="3" topLeftCell="D1" activePane="topRight" state="frozen"/>
      <s:selection activeCell="M9" sqref="M9"/>
      <s:selection pane="topRight" activeCell="G54" sqref="G54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84">
        <s:f ca="1">TODAY()-1</s:f>
        <s:v>46138</s:v>
      </s:c>
      <s:c r="C1" s="684"/>
      <s:c r="D1" s="11"/>
      <s:c r="E1" s="11"/>
      <s:c r="F1" s="12"/>
      <s:c r="G1" s="12"/>
      <s:c r="H1" s="12"/>
      <s:c r="I1" s="12"/>
      <s:c r="J1" s="225"/>
      <s:c r="K1" s="225"/>
      <s:c r="L1" s="225"/>
      <s:c r="M1" s="225"/>
      <s:c r="N1" s="225"/>
      <s:c r="O1" s="225"/>
      <s:c r="P1" s="225"/>
      <s:c r="Q1" s="685"/>
      <s:c r="R1" s="685"/>
      <s:c r="S1" s="685"/>
      <s:c r="T1" s="685"/>
      <s:c r="U1" s="12"/>
      <s:c r="V1" s="12"/>
      <s:c r="W1" s="12"/>
    </s:row>
    <s:row r="2" spans="2:23" ht="21.75" customHeight="1">
      <s:c r="B2" s="686" t="s">
        <s:v>0</s:v>
      </s:c>
      <s:c r="C2" s="686"/>
      <s:c r="D2" s="11"/>
      <s:c r="E2" s="11"/>
      <s:c r="F2" s="12"/>
      <s:c r="G2" s="12"/>
      <s:c r="H2" s="12"/>
      <s:c r="I2" s="12"/>
      <s:c r="J2" s="687" t="s">
        <s:v>70</s:v>
      </s:c>
      <s:c r="K2" s="687"/>
      <s:c r="L2" s="687"/>
      <s:c r="M2" s="687"/>
      <s:c r="N2" s="687"/>
      <s:c r="O2" s="687"/>
      <s:c r="P2" s="687"/>
      <s:c r="Q2" s="685"/>
      <s:c r="R2" s="685"/>
      <s:c r="S2" s="685"/>
      <s:c r="T2" s="685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88" t="str">
        <s:f>График!B29</s:f>
        <s:v>Рогалевич Ирина</s:v>
      </s:c>
      <s:c r="K3" s="689"/>
      <s:c r="L3" s="689"/>
      <s:c r="M3" s="689"/>
      <s:c r="N3" s="690"/>
      <s:c r="O3" s="225"/>
      <s:c r="P3" s="226"/>
      <s:c r="Q3" s="685"/>
      <s:c r="R3" s="685"/>
      <s:c r="S3" s="685"/>
      <s:c r="T3" s="685"/>
      <s:c r="U3" s="12"/>
      <s:c r="V3" s="12"/>
      <s:c r="W3" s="12"/>
    </s:row>
    <s:row r="4" spans="2:23" ht="15" customHeight="1">
      <s:c r="B4" s="11"/>
      <s:c r="C4" s="694">
        <s:f>I8-D54</s:f>
        <s:v>107784.84631578973</s:v>
      </s:c>
      <s:c r="D4" s="695"/>
      <s:c r="E4" s="227">
        <s:f>IF(I8&lt;&gt;0,C4/I8,0)</s:f>
        <s:v>6.0867509672215096E-2</s:v>
      </s:c>
      <s:c r="F4" s="12"/>
      <s:c r="G4" s="12"/>
      <s:c r="H4" s="12"/>
      <s:c r="I4" s="12"/>
      <s:c r="J4" s="691"/>
      <s:c r="K4" s="692"/>
      <s:c r="L4" s="692"/>
      <s:c r="M4" s="692"/>
      <s:c r="N4" s="693"/>
      <s:c r="O4" s="12"/>
      <s:c r="P4" s="12"/>
      <s:c r="Q4" s="685"/>
      <s:c r="R4" s="685"/>
      <s:c r="S4" s="685"/>
      <s:c r="T4" s="685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96"/>
      <s:c r="K5" s="696"/>
      <s:c r="L5" s="696"/>
      <s:c r="M5" s="696"/>
      <s:c r="N5" s="696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28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28"/>
      <s:c r="C7" s="12"/>
      <s:c r="D7" s="12"/>
      <s:c r="E7" s="12"/>
      <s:c r="F7" s="697" t="s">
        <s:v>3</s:v>
      </s:c>
      <s:c r="G7" s="698"/>
      <s:c r="H7" s="699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6" t="s">
        <s:v>11</s:v>
      </s:c>
      <s:c r="Q7" s="607"/>
      <s:c r="R7" s="21"/>
      <s:c r="S7" s="21"/>
      <s:c r="T7" s="12"/>
      <s:c r="U7" s="12"/>
      <s:c r="V7" s="12"/>
      <s:c r="W7" s="12"/>
    </s:row>
    <s:row r="8" spans="2:23" ht="15.75" customHeight="1">
      <s:c r="B8" s="228"/>
      <s:c r="C8" s="12"/>
      <s:c r="D8" s="12"/>
      <s:c r="E8" s="12"/>
      <s:c r="F8" s="700" t="s">
        <s:v>12</s:v>
      </s:c>
      <s:c r="G8" s="701"/>
      <s:c r="H8" s="702"/>
      <s:c r="I8" s="229">
        <s:f>'Ялта, Ленина, 18'!I8/График!AJ31*График!AJ29</s:f>
        <s:v>1770810.8463157897</s:v>
      </s:c>
      <s:c r="J8" s="230">
        <s:f>D54</s:f>
        <s:v>1663026</s:v>
      </s:c>
      <s:c r="K8" s="231">
        <s:f>IF(AND(I8&lt;&gt;"",I8&lt;&gt;0,J8&lt;&gt;""),J8/I8,"")</s:f>
        <s:v>0.9391324903277849</s:v>
      </s:c>
      <s:c r="L8" s="232">
        <s:f>IF(SUMIF($D$25:$D$53,"&gt;=0",$P$25:$P$53)&lt;&gt;0,I8*D54/SUMIF($D$25:$D$53,"&gt;=0",$P$25:$P$53),0)</s:f>
        <s:v>1611165.7968196685</s:v>
      </s:c>
      <s:c r="M8" s="233">
        <s:f>IF(AND(I8&lt;&gt;"",I8&lt;&gt;0,L8&lt;&gt;"",L8&lt;&gt;0),L8/I8,"")</s:f>
        <s:v>0.90984635664036828</s:v>
      </s:c>
      <s:c r="N8" s="35">
        <s:f>IF(AND(J8&lt;&gt;0,J8&lt;&gt;"",I8&lt;&gt;0,I8&lt;&gt;""),L8-I8,"")</s:f>
        <s:v>-159645.04949612124</s:v>
      </s:c>
      <s:c r="O8" s="34"/>
      <s:c r="P8" s="35" t="str">
        <s:f>IF(AND(O8&lt;&gt;"",O8&lt;&gt;0,L8&lt;&gt;"",L8&lt;&gt;0),-O8+L8,"")</s:f>
        <s:v/>
      </s:c>
      <s:c r="Q8" s="36" t="str">
        <s:f>IF(AND(P8&lt;&gt;"",P8&lt;&gt;0,O8&lt;&gt;0,O8&lt;&gt;""),P8/O8,"")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28"/>
      <s:c r="C9" s="12"/>
      <s:c r="D9" s="12"/>
      <s:c r="E9" s="12"/>
      <s:c r="F9" s="611" t="s">
        <s:v>13</s:v>
      </s:c>
      <s:c r="G9" s="612"/>
      <s:c r="H9" s="613"/>
      <s:c r="I9" s="38">
        <s:f>I8/I11</s:f>
        <s:v>357.01831578947372</s:v>
      </s:c>
      <s:c r="J9" s="39">
        <s:f>E54</s:f>
        <s:v>315</s:v>
      </s:c>
      <s:c r="K9" s="40">
        <s:f>IF(AND(I9&lt;&gt;"",I9&lt;&gt;0,J9&lt;&gt;""),J9/I9,"")</s:f>
        <s:v>0.88230767461731274</s:v>
      </s:c>
      <s:c r="L9" s="234">
        <s:f>IF(SUMIF($E$25:$E$51,"&gt;=0",$Q$25:$Q$51)&lt;&gt;0,I9*E54/SUMIF($E$25:$E$51,"&gt;=0",$Q$25:$Q$51),0)</s:f>
        <s:v>328.94220867007652</s:v>
      </s:c>
      <s:c r="M9" s="235">
        <s:f>IF(AND(I9&lt;&gt;"",I9&lt;&gt;0,L9&lt;&gt;"",L9&lt;&gt;0),L9/I9,"")</s:f>
        <s:v>0.92135947687358122</s:v>
      </s:c>
      <s:c r="N9" s="43">
        <s:f>IF(AND(J9&lt;&gt;0,J9&lt;&gt;"",I9&lt;&gt;0,I9&lt;&gt;""),L9-I9,"")</s:f>
        <s:v>-28.076107119397193</s:v>
      </s:c>
      <s:c r="O9" s="44" t="e">
        <s:f>O8/O11</s:f>
        <s:v>#DIV/0!</s:v>
      </s:c>
      <s:c r="P9" s="43" t="e">
        <s:f>IF(AND(O9&lt;&gt;"",O9&lt;&gt;0,L9&lt;&gt;"",L9&lt;&gt;0),-O9+L9,"")</s:f>
        <s:v>#DIV/0!</s:v>
      </s:c>
      <s:c r="Q9" s="45" t="e">
        <s:f>IF(AND(P9&lt;&gt;"",P9&lt;&gt;0,O9&lt;&gt;0,O9&lt;&gt;""),P9/O9,"")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28"/>
      <s:c r="C10" s="12"/>
      <s:c r="D10" s="12"/>
      <s:c r="E10" s="12"/>
      <s:c r="F10" s="608" t="s">
        <s:v>14</s:v>
      </s:c>
      <s:c r="G10" s="609"/>
      <s:c r="H10" s="610"/>
      <s:c r="I10" s="50">
        <s:f>I11*I12</s:f>
        <s:v>8779.2000000000007</s:v>
      </s:c>
      <s:c r="J10" s="236">
        <s:f>H54</s:f>
        <s:v>10869.450980392157</s:v>
      </s:c>
      <s:c r="K10" s="237">
        <s:f>IF(AND(I10&lt;&gt;"",I10&lt;&gt;0,J10&lt;&gt;""),J10/I10,"")</s:f>
        <s:v>1.2380912817104242</s:v>
      </s:c>
      <s:c r="L10" s="234">
        <s:f>J10</s:f>
        <s:v>10869.450980392157</s:v>
      </s:c>
      <s:c r="M10" s="238">
        <s:f>IF(AND(I10&lt;&gt;"",I10&lt;&gt;0,L10&lt;&gt;"",L10&lt;&gt;0),L10/I10,"")</s:f>
        <s:v>1.2380912817104242</s:v>
      </s:c>
      <s:c r="N10" s="49">
        <s:f>IF(AND(J10&lt;&gt;0,J10&lt;&gt;"",I10&lt;&gt;0,I10&lt;&gt;""),L10-I10,"")</s:f>
        <s:v>2090.2509803921566</s:v>
      </s:c>
      <s:c r="O10" s="50">
        <s:f>O11*O12</s:f>
        <s:v>0</s:v>
      </s:c>
      <s:c r="P10" s="49" t="str">
        <s:f>IF(AND(O10&lt;&gt;"",O10&lt;&gt;0,L10&lt;&gt;"",L10&lt;&gt;0),-O10+L10,"")</s:f>
        <s:v/>
      </s:c>
      <s:c r="Q10" s="51" t="str">
        <s:f>IF(AND(P10&lt;&gt;"",P10&lt;&gt;0,O10&lt;&gt;0,O10&lt;&gt;""),P10/O10,"")</s:f>
        <s:v/>
      </s:c>
      <s:c r="R10" s="21"/>
      <s:c r="S10" s="618" t="s">
        <s:v>15</s:v>
      </s:c>
      <s:c r="T10" s="618"/>
      <s:c r="U10" s="12"/>
      <s:c r="V10" s="12"/>
      <s:c r="W10" s="12"/>
    </s:row>
    <s:row r="11" spans="2:23" ht="15.75" customHeight="1">
      <s:c r="B11" s="228"/>
      <s:c r="C11" s="12"/>
      <s:c r="D11" s="12"/>
      <s:c r="E11" s="12"/>
      <s:c r="F11" s="611" t="s">
        <s:v>16</s:v>
      </s:c>
      <s:c r="G11" s="612"/>
      <s:c r="H11" s="613"/>
      <s:c r="I11" s="52">
        <s:f>'Ялта, Ленина, 18'!I11</s:f>
        <s:v>4960</s:v>
      </s:c>
      <s:c r="J11" s="39">
        <s:f>F54</s:f>
        <s:v>5279.4476190476189</s:v>
      </s:c>
      <s:c r="K11" s="239">
        <s:f>IF(AND(I11&lt;&gt;"",I11&lt;&gt;0,J11&lt;&gt;""),J11/I11,"")</s:f>
        <s:v>1.0644047619047619</s:v>
      </s:c>
      <s:c r="L11" s="234">
        <s:f>IF(L9&gt;0,L8/L9,"")</s:f>
        <s:v>4898.0208509381064</s:v>
      </s:c>
      <s:c r="M11" s="235">
        <s:f>IF(AND(I11&lt;&gt;"",I11&lt;&gt;0,L11&lt;&gt;"",L11&lt;&gt;0),L11/I11,"")</s:f>
        <s:v>0.98750420381816661</s:v>
      </s:c>
      <s:c r="N11" s="43">
        <s:f>IF(AND(J11&lt;&gt;0,J11&lt;&gt;"",I11&lt;&gt;0,I11&lt;&gt;""),L11-I11,"")</s:f>
        <s:v>-61.979149061893622</s:v>
      </s:c>
      <s:c r="O11" s="53"/>
      <s:c r="P11" s="43" t="str">
        <s:f>IF(AND(O11&lt;&gt;"",O11&lt;&gt;0,L11&lt;&gt;"",L11&lt;&gt;0),-O11+L11,"")</s:f>
        <s:v/>
      </s:c>
      <s:c r="Q11" s="45" t="str">
        <s:f>IF(AND(P11&lt;&gt;"",P11&lt;&gt;0,O11&lt;&gt;0,O11&lt;&gt;""),P11/O11,"")</s:f>
        <s:v/>
      </s:c>
      <s:c r="R11" s="21"/>
      <s:c r="S11" s="618"/>
      <s:c r="T11" s="618"/>
      <s:c r="U11" s="12"/>
      <s:c r="V11" s="12"/>
      <s:c r="W11" s="12"/>
    </s:row>
    <s:row r="12" spans="2:23" ht="15.75" customHeight="1">
      <s:c r="B12" s="228"/>
      <s:c r="C12" s="12"/>
      <s:c r="D12" s="12"/>
      <s:c r="E12" s="12"/>
      <s:c r="F12" s="611" t="s">
        <s:v>17</s:v>
      </s:c>
      <s:c r="G12" s="612"/>
      <s:c r="H12" s="613"/>
      <s:c r="I12" s="54">
        <s:f>'Ялта, Ленина, 18'!I12</s:f>
        <s:v>1.77</s:v>
      </s:c>
      <s:c r="J12" s="55">
        <s:f>J54</s:f>
        <s:v>2.0588235294117645</s:v>
      </s:c>
      <s:c r="K12" s="239">
        <s:f>IF(AND(I12&lt;&gt;"",I12&lt;&gt;0,J12&lt;&gt;""),J12/I12,"")</s:f>
        <s:v>1.163177135260884</s:v>
      </s:c>
      <s:c r="L12" s="240">
        <s:f>J12</s:f>
        <s:v>2.0588235294117645</s:v>
      </s:c>
      <s:c r="M12" s="235">
        <s:f>IF(AND(I12&lt;&gt;"",I12&lt;&gt;0,L12&lt;&gt;"",L12&lt;&gt;0),L12/I12,"")</s:f>
        <s:v>1.163177135260884</s:v>
      </s:c>
      <s:c r="N12" s="57">
        <s:f>IF(AND(J12&lt;&gt;0,J12&lt;&gt;"",I12&lt;&gt;0,I12&lt;&gt;""),L12-I12,"")</s:f>
        <s:v>0.28882352941176448</s:v>
      </s:c>
      <s:c r="O12" s="58"/>
      <s:c r="P12" s="43" t="str">
        <s:f>IF(AND(O12&lt;&gt;"",O12&lt;&gt;0,L12&lt;&gt;"",L12&lt;&gt;0),-O12+L12,"")</s:f>
        <s:v/>
      </s:c>
      <s:c r="Q12" s="45" t="str">
        <s:f>IF(AND(P12&lt;&gt;"",P12&lt;&gt;0,O12&lt;&gt;0,O12&lt;&gt;""),P12/O12,"")</s:f>
        <s:v/>
      </s:c>
      <s:c r="R12" s="21"/>
      <s:c r="S12" s="59">
        <s:f>'Ялта, Ленина, 18'!S12*График!AJ29/График!AJ31</s:f>
        <s:v>410526.31578947371</s:v>
      </s:c>
      <s:c r="T12" s="60">
        <s:f>L54</s:f>
        <s:v>178814</s:v>
      </s:c>
      <s:c r="U12" s="12"/>
      <s:c r="V12" s="12"/>
      <s:c r="W12" s="12"/>
    </s:row>
    <s:row r="13" spans="2:23" ht="15.75" customHeight="1">
      <s:c r="B13" s="228"/>
      <s:c r="C13" s="12"/>
      <s:c r="D13" s="12"/>
      <s:c r="E13" s="12"/>
      <s:c r="F13" s="611" t="s">
        <s:v>18</s:v>
      </s:c>
      <s:c r="G13" s="612"/>
      <s:c r="H13" s="613"/>
      <s:c r="I13" s="38">
        <s:f>IF(I12&lt;&gt;0,I9/I12,"")</s:f>
        <s:v>201.70526315789476</s:v>
      </s:c>
      <s:c r="J13" s="39">
        <s:f>G54</s:f>
        <s:v>153</s:v>
      </s:c>
      <s:c r="K13" s="40">
        <s:f>IF(AND(I13&lt;&gt;"",I13&lt;&gt;0,J13&lt;&gt;""),J13/I13,"")</s:f>
        <s:v>0.75853251226385543</s:v>
      </s:c>
      <s:c r="L13" s="234">
        <s:f>IF(SUMIF($G$25:$G$51,"&gt;=0",$R$25:$R$51)&lt;&gt;0,I13*G54/SUMIF($G$25:$G$51,"&gt;=0",$R$25:$R$51),"")</s:f>
        <s:v>159.69252415566311</s:v>
      </s:c>
      <s:c r="M13" s="235">
        <s:f>IF(AND(I13&lt;&gt;"",I13&lt;&gt;0,L13&lt;&gt;"",L13&lt;&gt;0),L13/I13,"")</s:f>
        <s:v>0.79171223227157883</s:v>
      </s:c>
      <s:c r="N13" s="57">
        <s:f>IF(AND(J13&lt;&gt;0,J13&lt;&gt;"",I13&lt;&gt;0,I13&lt;&gt;""),L13-I13,"")</s:f>
        <s:v>-42.012739002231655</s:v>
      </s:c>
      <s:c r="O13" s="61"/>
      <s:c r="P13" s="43" t="str">
        <s:f>IF(AND(O13&lt;&gt;"",O13&lt;&gt;0,L13&lt;&gt;"",L13&lt;&gt;0),-O13+L13,"")</s:f>
        <s:v/>
      </s:c>
      <s:c r="Q13" s="45" t="str">
        <s:f>IF(AND(P13&lt;&gt;"",P13&lt;&gt;0,O13&lt;&gt;0,O13&lt;&gt;""),P13/O13,"")</s:f>
        <s:v/>
      </s:c>
      <s:c r="R13" s="21"/>
      <s:c r="S13" s="62">
        <s:f>T12/S12</s:f>
        <s:v>0.43557256410256406</s:v>
      </s:c>
      <s:c r="T13" s="62">
        <s:f>S13/J14*I14</s:f>
        <s:v>0.43557256410256406</s:v>
      </s:c>
      <s:c r="U13" s="12"/>
      <s:c r="V13" s="12"/>
      <s:c r="W13" s="12"/>
    </s:row>
    <s:row r="14" spans="2:23" ht="15.75" customHeight="1">
      <s:c r="B14" s="228"/>
      <s:c r="C14" s="12"/>
      <s:c r="D14" s="241"/>
      <s:c r="E14" s="12"/>
      <s:c r="F14" s="611" t="s">
        <s:v>61</s:v>
      </s:c>
      <s:c r="G14" s="612"/>
      <s:c r="H14" s="613"/>
      <s:c r="I14" s="52">
        <s:f>График!AI29</s:f>
        <s:v>29</s:v>
      </s:c>
      <s:c r="J14" s="64">
        <s:v>29</s:v>
      </s:c>
      <s:c r="K14" s="40">
        <s:f>IF(AND(I14&lt;&gt;"",I14&lt;&gt;0,J14&lt;&gt;""),J14/I14,"")</s:f>
        <s:v>1</s:v>
      </s:c>
      <s:c r="L14" s="41">
        <s:f>I14</s:f>
        <s:v>29</s:v>
      </s:c>
      <s:c r="M14" s="235">
        <s:f>IF(AND(I14&lt;&gt;"",I14&lt;&gt;0,L14&lt;&gt;"",L14&lt;&gt;0),L14/I14,"")</s:f>
        <s:v>1</s:v>
      </s:c>
      <s:c r="N14" s="43">
        <s:f>IF(AND(J14&lt;&gt;0,J14&lt;&gt;"",I14&lt;&gt;0,I14&lt;&gt;""),L14-I14,"")</s:f>
        <s:v>0</s:v>
      </s:c>
      <s:c r="O14" s="61"/>
      <s:c r="P14" s="43" t="str">
        <s:f>IF(AND(O14&lt;&gt;"",O14&lt;&gt;0,L14&lt;&gt;"",L14&lt;&gt;0),-O14+L14,"")</s:f>
        <s:v/>
      </s:c>
      <s:c r="Q14" s="45" t="str">
        <s:f>IF(AND(P14&lt;&gt;"",P14&lt;&gt;0,O14&lt;&gt;0,O14&lt;&gt;""),P14/O14,"")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28"/>
      <s:c r="C15" s="12"/>
      <s:c r="D15" s="12"/>
      <s:c r="E15" s="12"/>
      <s:c r="F15" s="611" t="s">
        <s:v>20</s:v>
      </s:c>
      <s:c r="G15" s="612"/>
      <s:c r="H15" s="613"/>
      <s:c r="I15" s="75">
        <s:f>'Ялта, Ленина, 18'!I15</s:f>
        <s:v>86270.272000000012</s:v>
      </s:c>
      <s:c r="J15" s="67">
        <s:f>J8/J14</s:f>
        <s:v>57345.724137931036</s:v>
      </s:c>
      <s:c r="K15" s="68">
        <s:f>IF(AND(I15&lt;&gt;"",I15&lt;&gt;0,J15&lt;&gt;""),J15/I15,"")</s:f>
        <s:v>0.66472172636630877</s:v>
      </s:c>
      <s:c r="L15" s="72">
        <s:f>J15</s:f>
        <s:v>57345.724137931036</s:v>
      </s:c>
      <s:c r="M15" s="242">
        <s:f>IF(AND(I15&lt;&gt;"",I15&lt;&gt;0,L15&lt;&gt;"",L15&lt;&gt;0),L15/I15,"")</s:f>
        <s:v>0.66472172636630877</s:v>
      </s:c>
      <s:c r="N15" s="43">
        <s:f>IF(AND(J15&lt;&gt;0,J15&lt;&gt;"",I15&lt;&gt;0,I15&lt;&gt;""),L15-I15,"")</s:f>
        <s:v>-28924.547862068976</s:v>
      </s:c>
      <s:c r="O15" s="71"/>
      <s:c r="P15" s="43" t="str">
        <s:f>IF(AND(O15&lt;&gt;"",O15&lt;&gt;0,L15&lt;&gt;"",L15&lt;&gt;0),-O15+L15,"")</s:f>
        <s:v/>
      </s:c>
      <s:c r="Q15" s="45" t="str">
        <s:f>IF(AND(P15&lt;&gt;"",P15&lt;&gt;0,O15&lt;&gt;0,O15&lt;&gt;""),P15/O15,"")</s:f>
        <s:v/>
      </s:c>
      <s:c r="R15" s="21"/>
      <s:c r="S15" s="37"/>
      <s:c r="T15" s="6"/>
      <s:c r="U15" s="12"/>
      <s:c r="V15" s="12"/>
      <s:c r="W15" s="12"/>
    </s:row>
    <s:row r="16" spans="2:23" ht="15.75" customHeight="1">
      <s:c r="B16" s="228"/>
      <s:c r="C16" s="12"/>
      <s:c r="D16" s="12"/>
      <s:c r="E16" s="12"/>
      <s:c r="F16" s="611" t="s">
        <s:v>21</s:v>
      </s:c>
      <s:c r="G16" s="612"/>
      <s:c r="H16" s="613"/>
      <s:c r="I16" s="75"/>
      <s:c r="J16" s="67">
        <s:f>J8-I15*J14</s:f>
        <s:v>-838811.88800000027</s:v>
      </s:c>
      <s:c r="K16" s="68" t="str">
        <s:f>IF(AND(I16&lt;&gt;"",I16&lt;&gt;0,J16&lt;&gt;""),J16/I16,"")</s:f>
        <s:v/>
      </s:c>
      <s:c r="L16" s="72">
        <s:f>J16</s:f>
        <s:v>-838811.88800000027</s:v>
      </s:c>
      <s:c r="M16" s="243" t="str">
        <s:f>IF(AND(I16&lt;&gt;"",I16&lt;&gt;0,L16&lt;&gt;"",L16&lt;&gt;0),L16/I16,"")</s:f>
        <s:v/>
      </s:c>
      <s:c r="N16" s="43" t="str">
        <s:f>IF(AND(J16&lt;&gt;0,J16&lt;&gt;"",I16&lt;&gt;0,I16&lt;&gt;""),L16-I16,"")</s:f>
        <s:v/>
      </s:c>
      <s:c r="O16" s="71"/>
      <s:c r="P16" s="43" t="str">
        <s:f>IF(AND(O16&lt;&gt;"",O16&lt;&gt;0,L16&lt;&gt;"",L16&lt;&gt;0),-O16+L16,"")</s:f>
        <s:v/>
      </s:c>
      <s:c r="Q16" s="45" t="str">
        <s:f>IF(AND(P16&lt;&gt;"",P16&lt;&gt;0,O16&lt;&gt;0,O16&lt;&gt;""),P16/O16,"")</s:f>
        <s:v/>
      </s:c>
      <s:c r="R16" s="21"/>
      <s:c r="S16" s="618" t="s">
        <s:v>22</s:v>
      </s:c>
      <s:c r="T16" s="618"/>
      <s:c r="U16" s="12"/>
      <s:c r="V16" s="12"/>
      <s:c r="W16" s="12"/>
    </s:row>
    <s:row r="17" spans="1:255" ht="15.75" customHeight="1">
      <s:c r="B17" s="228"/>
      <s:c r="C17" s="12"/>
      <s:c r="D17" s="12"/>
      <s:c r="E17" s="12"/>
      <s:c r="F17" s="611" t="s">
        <s:v>23</s:v>
      </s:c>
      <s:c r="G17" s="612"/>
      <s:c r="H17" s="613"/>
      <s:c r="I17" s="75">
        <s:f>'Ялта, Ленина, 18'!I17/График!AJ31*График!AJ29</s:f>
        <s:v>916.84210526315792</s:v>
      </s:c>
      <s:c r="J17" s="67">
        <s:f>I54</s:f>
        <s:v>640</s:v>
      </s:c>
      <s:c r="K17" s="68">
        <s:f>IF(AND(I17&lt;&gt;"",I17&lt;&gt;0,J17&lt;&gt;""),J17/I17,"")</s:f>
        <s:v>0.69804822043628012</s:v>
      </s:c>
      <s:c r="L17" s="72">
        <s:f>J17/J14*I14</s:f>
        <s:v>640</s:v>
      </s:c>
      <s:c r="M17" s="243">
        <s:f>IF(AND(I17&lt;&gt;"",I17&lt;&gt;0,L17&lt;&gt;"",L17&lt;&gt;0),L17/I17,"")</s:f>
        <s:v>0.69804822043628012</s:v>
      </s:c>
      <s:c r="N17" s="43">
        <s:f>IF(AND(J17&lt;&gt;0,J17&lt;&gt;"",I17&lt;&gt;0,I17&lt;&gt;""),L17-I17,"")</s:f>
        <s:v>-276.84210526315792</s:v>
      </s:c>
      <s:c r="O17" s="71"/>
      <s:c r="P17" s="43" t="str">
        <s:f>IF(AND(O17&lt;&gt;"",O17&lt;&gt;0,L17&lt;&gt;"",L17&lt;&gt;0),-O17+L17,"")</s:f>
        <s:v/>
      </s:c>
      <s:c r="Q17" s="45" t="str">
        <s:f>IF(AND(P17&lt;&gt;"",P17&lt;&gt;0,O17&lt;&gt;0,O17&lt;&gt;""),P17/O17,"")</s:f>
        <s:v/>
      </s:c>
      <s:c r="R17" s="21"/>
      <s:c r="S17" s="618"/>
      <s:c r="T17" s="618"/>
      <s:c r="U17" s="12"/>
      <s:c r="V17" s="12"/>
      <s:c r="W17" s="12"/>
    </s:row>
    <s:row r="18" spans="1:255" ht="15.75" customHeight="1">
      <s:c r="B18" s="228"/>
      <s:c r="C18" s="12"/>
      <s:c r="D18" s="12"/>
      <s:c r="E18" s="12"/>
      <s:c r="F18" s="611"/>
      <s:c r="G18" s="612"/>
      <s:c r="H18" s="613"/>
      <s:c r="I18" s="76"/>
      <s:c r="J18" s="67"/>
      <s:c r="K18" s="68" t="str">
        <s:f>IF(AND(I18&lt;&gt;"",I18&lt;&gt;0,J18&lt;&gt;""),J18/I18,"")</s:f>
        <s:v/>
      </s:c>
      <s:c r="L18" s="72">
        <s:f>J18</s:f>
        <s:v>0</s:v>
      </s:c>
      <s:c r="M18" s="243" t="str">
        <s:f>IF(AND(I18&lt;&gt;"",I18&lt;&gt;0,L18&lt;&gt;"",L18&lt;&gt;0),L18/I18,"")</s:f>
        <s:v/>
      </s:c>
      <s:c r="N18" s="43" t="str">
        <s:f>IF(AND(J18&lt;&gt;0,J18&lt;&gt;"",I18&lt;&gt;0,I18&lt;&gt;""),L18-I18,"")</s:f>
        <s:v/>
      </s:c>
      <s:c r="O18" s="79">
        <s:v>0</s:v>
      </s:c>
      <s:c r="P18" s="43" t="str">
        <s:f>IF(AND(O18&lt;&gt;"",O18&lt;&gt;0,L18&lt;&gt;"",L18&lt;&gt;0),-O18+L18,"")</s:f>
        <s:v/>
      </s:c>
      <s:c r="Q18" s="45" t="str">
        <s:f>IF(AND(P18&lt;&gt;"",P18&lt;&gt;0,O18&lt;&gt;0,O18&lt;&gt;""),P18/O18,"")</s:f>
        <s:v/>
      </s:c>
      <s:c r="R18" s="21"/>
      <s:c r="S18" s="59">
        <s:f>'Ялта, Ленина, 18'!S18*График!AJ29/График!AJ31</s:f>
        <s:v>273684.21052631579</s:v>
      </s:c>
      <s:c r="T18" s="60">
        <s:f>K54</s:f>
        <s:v>255926</s:v>
      </s:c>
      <s:c r="U18" s="12"/>
      <s:c r="V18" s="12"/>
      <s:c r="W18" s="12"/>
    </s:row>
    <s:row r="19" spans="1:255" ht="15.75" customHeight="1">
      <s:c r="B19" s="228"/>
      <s:c r="C19" s="12"/>
      <s:c r="D19" s="12"/>
      <s:c r="E19" s="12"/>
      <s:c r="F19" s="611"/>
      <s:c r="G19" s="612"/>
      <s:c r="H19" s="613"/>
      <s:c r="I19" s="76"/>
      <s:c r="J19" s="67">
        <s:f>M54</s:f>
        <s:v>0</s:v>
      </s:c>
      <s:c r="K19" s="68" t="str">
        <s:f>IF(AND(I19&lt;&gt;"",I19&lt;&gt;0,J19&lt;&gt;""),J19/I19,"")</s:f>
        <s:v/>
      </s:c>
      <s:c r="L19" s="72">
        <s:f>J19</s:f>
        <s:v>0</s:v>
      </s:c>
      <s:c r="M19" s="243" t="str">
        <s:f>IF(AND(I19&lt;&gt;"",I19&lt;&gt;0,L19&lt;&gt;"",L19&lt;&gt;0),L19/I19,"")</s:f>
        <s:v/>
      </s:c>
      <s:c r="N19" s="43" t="str">
        <s:f>IF(AND(J19&lt;&gt;0,J19&lt;&gt;"",I19&lt;&gt;0,I19&lt;&gt;""),L19-I19,"")</s:f>
        <s:v/>
      </s:c>
      <s:c r="O19" s="71">
        <s:v>0</s:v>
      </s:c>
      <s:c r="P19" s="43" t="str">
        <s:f>IF(AND(O19&lt;&gt;"",O19&lt;&gt;0,L19&lt;&gt;"",L19&lt;&gt;0),-O19+L19,"")</s:f>
        <s:v/>
      </s:c>
      <s:c r="Q19" s="45" t="str">
        <s:f>IF(AND(P19&lt;&gt;"",P19&lt;&gt;0,O19&lt;&gt;0,O19&lt;&gt;""),P19/O19,"")</s:f>
        <s:v/>
      </s:c>
      <s:c r="R19" s="21"/>
      <s:c r="S19" s="62">
        <s:f>T18/S18</s:f>
        <s:v>0.93511423076923073</s:v>
      </s:c>
      <s:c r="T19" s="62">
        <s:f>S19/J14*I14</s:f>
        <s:v>0.93511423076923061</s:v>
      </s:c>
      <s:c r="U19" s="12"/>
      <s:c r="V19" s="12"/>
      <s:c r="W19" s="12"/>
    </s:row>
    <s:row r="20" spans="1:255" ht="15.75" customHeight="1">
      <s:c r="B20" s="228"/>
      <s:c r="C20" s="12"/>
      <s:c r="D20" s="12"/>
      <s:c r="E20" s="12"/>
      <s:c r="F20" s="619" t="s">
        <s:v>24</s:v>
      </s:c>
      <s:c r="G20" s="619"/>
      <s:c r="H20" s="619"/>
      <s:c r="I20" s="244">
        <s:f>'Ялта, Ленина, 18'!I20</s:f>
        <s:v>0.22</s:v>
      </s:c>
      <s:c r="J20" s="245">
        <s:f>N54</s:f>
        <s:v>0.23906250000000001</s:v>
      </s:c>
      <s:c r="K20" s="246">
        <s:f>J20/I20</s:f>
        <s:v>1.0866477272727273</s:v>
      </s:c>
      <s:c r="L20" s="247">
        <s:f>IF(AND(K8&lt;&gt;0,I14&lt;&gt;0,I54&lt;&gt;0),(I54*N54+(I54/K8-I54)*I20)/(I54/K8),0)</s:f>
        <s:v>0.2379022130968734</s:v>
      </s:c>
      <s:c r="M20" s="83">
        <s:f>IF(AND(I20&lt;&gt;"",I20&lt;&gt;0,L20&lt;&gt;"",L20&lt;&gt;0),L20/I20,"")</s:f>
        <s:v>1.081373695894879</s:v>
      </s:c>
      <s:c r="N20" s="84">
        <s:f>IF(AND(J20&lt;&gt;0,J20&lt;&gt;"",I20&lt;&gt;0,I20&lt;&gt;""),L20-I20,"")</s:f>
        <s:v>1.7902213096873398E-2</s:v>
      </s:c>
      <s:c r="O20" s="85"/>
      <s:c r="P20" s="86" t="str">
        <s:f>IF(AND(O20&lt;&gt;"",O20&lt;&gt;0,L20&lt;&gt;"",L20&lt;&gt;0),-O20+L20,"")</s:f>
        <s:v/>
      </s:c>
      <s:c r="Q20" s="87" t="str">
        <s:f>IF(AND(P20&lt;&gt;"",P20&lt;&gt;0,O20&lt;&gt;0,O20&lt;&gt;""),P20/O20,"")</s:f>
        <s:v/>
      </s:c>
      <s:c r="R20" s="21"/>
      <s:c r="S20" s="21"/>
      <s:c r="T20" s="12"/>
      <s:c r="U20" s="12"/>
      <s:c r="V20" s="12"/>
      <s:c r="W20" s="12"/>
    </s:row>
    <s:row r="21" spans="1:255" ht="15.75" customHeight="1">
      <s:c r="B21" s="228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255" ht="16.5" customHeight="1">
      <s:c r="B22" s="703" t="s">
        <s:v>25</s:v>
      </s:c>
      <s:c r="C22" s="703"/>
      <s:c r="D22" s="703"/>
      <s:c r="E22" s="703"/>
      <s:c r="F22" s="703"/>
      <s:c r="G22" s="703"/>
      <s:c r="H22" s="703"/>
      <s:c r="I22" s="703"/>
      <s:c r="J22" s="703"/>
      <s:c r="K22" s="703"/>
      <s:c r="L22" s="703"/>
      <s:c r="M22" s="703"/>
      <s:c r="N22" s="703"/>
      <s:c r="O22" s="704" t="s">
        <s:v>26</s:v>
      </s:c>
      <s:c r="P22" s="703" t="s">
        <s:v>27</s:v>
      </s:c>
      <s:c r="Q22" s="703"/>
      <s:c r="R22" s="703"/>
      <s:c r="S22" s="703"/>
      <s:c r="T22" s="703"/>
      <s:c r="U22" s="703"/>
      <s:c r="V22" s="703"/>
      <s:c r="W22" s="703"/>
    </s:row>
    <s:row r="23" ht="36">
      <s:c r="B23" s="248" t="s">
        <s:v>29</s:v>
      </s:c>
      <s:c r="C23" s="248" t="s">
        <s:v>30</s:v>
      </s:c>
      <s:c r="D23" s="248" t="s">
        <s:v>31</s:v>
      </s:c>
      <s:c r="E23" s="248" t="s">
        <s:v>32</s:v>
      </s:c>
      <s:c r="F23" s="248" t="s">
        <s:v>33</s:v>
      </s:c>
      <s:c r="G23" s="248" t="s">
        <s:v>34</s:v>
      </s:c>
      <s:c r="H23" s="248" t="s">
        <s:v>35</s:v>
      </s:c>
      <s:c r="I23" s="248" t="s">
        <s:v>23</s:v>
      </s:c>
      <s:c r="J23" s="248" t="s">
        <s:v>36</s:v>
      </s:c>
      <s:c r="K23" s="90" t="s">
        <s:v>22</s:v>
      </s:c>
      <s:c r="L23" s="90" t="s">
        <s:v>15</s:v>
      </s:c>
      <s:c r="M23" s="249" t="s">
        <s:v>37</s:v>
      </s:c>
      <s:c r="N23" s="248" t="s">
        <s:v>38</s:v>
      </s:c>
      <s:c r="O23" s="704"/>
      <s:c r="P23" s="248" t="s">
        <s:v>39</s:v>
      </s:c>
      <s:c r="Q23" s="248" t="s">
        <s:v>40</s:v>
      </s:c>
      <s:c r="R23" s="248" t="s">
        <s:v>41</s:v>
      </s:c>
      <s:c r="S23" s="248" t="s">
        <s:v>42</s:v>
      </s:c>
      <s:c r="T23" s="248" t="s">
        <s:v>43</s:v>
      </s:c>
      <s:c r="U23" s="248" t="s">
        <s:v>44</s:v>
      </s:c>
      <s:c r="V23" s="250" t="s">
        <s:v>45</s:v>
      </s:c>
      <s:c r="W23" s="250" t="s">
        <s:v>46</s:v>
      </s:c>
      <s:c r="X23" s="251"/>
    </s:row>
    <s:row r="24">
      <s:c r="B24" s="252">
        <s:v>1</s:v>
      </s:c>
      <s:c r="C24" s="253">
        <s:v>2</s:v>
      </s:c>
      <s:c r="D24" s="252">
        <s:v>3</s:v>
      </s:c>
      <s:c r="E24" s="252">
        <s:v>4</s:v>
      </s:c>
      <s:c r="F24" s="252">
        <s:v>5</s:v>
      </s:c>
      <s:c r="G24" s="252">
        <s:v>6</s:v>
      </s:c>
      <s:c r="H24" s="252">
        <s:v>7</s:v>
      </s:c>
      <s:c r="I24" s="252">
        <s:v>8</s:v>
      </s:c>
      <s:c r="J24" s="252">
        <s:v>9</s:v>
      </s:c>
      <s:c r="K24" s="252">
        <s:v>10</s:v>
      </s:c>
      <s:c r="L24" s="252">
        <s:v>11</s:v>
      </s:c>
      <s:c r="M24" s="252">
        <s:v>12</s:v>
      </s:c>
      <s:c r="N24" s="252">
        <s:v>13</s:v>
      </s:c>
      <s:c r="O24" s="704"/>
      <s:c r="P24" s="254">
        <s:v>1</s:v>
      </s:c>
      <s:c r="Q24" s="254">
        <s:v>2</s:v>
      </s:c>
      <s:c r="R24" s="254">
        <s:v>3</s:v>
      </s:c>
      <s:c r="S24" s="254">
        <s:v>4</s:v>
      </s:c>
      <s:c r="T24" s="254">
        <s:v>5</s:v>
      </s:c>
      <s:c r="U24" s="254">
        <s:v>6</s:v>
      </s:c>
      <s:c r="V24" s="254">
        <s:v>10</s:v>
      </s:c>
      <s:c r="W24" s="254">
        <s:v>11</s:v>
      </s:c>
    </s:row>
    <s:row r="25">
      <s:c r="A25" s="95">
        <s:v>1</s:v>
      </s:c>
      <s:c r="B25" s="96">
        <s:v>45748</s:v>
      </s:c>
      <s:c r="C25" s="97" t="s">
        <s:v>48</s:v>
      </s:c>
      <s:c r="D25" s="98">
        <s:f>25355+16920</s:f>
        <s:v>42275</s:v>
      </s:c>
      <s:c r="E25" s="99">
        <s:v>8</s:v>
      </s:c>
      <s:c r="F25" s="99">
        <s:f>IF(AND(E25&lt;&gt;"",E25&lt;&gt;0),D25/E25,"")</s:f>
        <s:v>5284.375</s:v>
      </s:c>
      <s:c r="G25" s="99">
        <s:v>6</s:v>
      </s:c>
      <s:c r="H25" s="99">
        <s:f>IF(AND(G25&lt;&gt;"",G25&lt;&gt;0),D25/G25,"")</s:f>
        <s:v>7045.833333333333</s:v>
      </s:c>
      <s:c r="I25" s="99">
        <s:v>40</s:v>
      </s:c>
      <s:c r="J25" s="98">
        <s:f>IF(AND(G25&lt;&gt;"",G25&lt;&gt;0),E25/G25,"")</s:f>
        <s:v>1.3333333333333333</s:v>
      </s:c>
      <s:c r="K25" s="99">
        <s:v>0</s:v>
      </s:c>
      <s:c r="L25" s="99">
        <s:v>16920</s:v>
      </s:c>
      <s:c r="M25" s="99"/>
      <s:c r="N25" s="100">
        <s:f>IF(AND(I25&lt;&gt;"",I25&lt;&gt;0),G25/I25,"")</s:f>
        <s:v>0.15</s:v>
      </s:c>
      <s:c r="O25" s="101">
        <s:f>D25/P25</s:f>
        <s:v>0.79851240698114578</s:v>
      </s:c>
      <s:c r="P25" s="102">
        <s:f>$I$8*V25*W25/SUMPRODUCT($W$25:$W$55,$V$25:$V$55)</s:f>
        <s:v>52942.195550629913</s:v>
      </s:c>
      <s:c r="Q25" s="103">
        <s:f>$I$9*V25*W25/SUMPRODUCT($W$25:$W$55,$V$25:$V$55)</s:f>
        <s:v>10.673829748110869</s:v>
      </s:c>
      <s:c r="R25" s="103">
        <s:f>IF($I$12="","",Q25/$I$12)</s:f>
        <s:v>6.0304122870682875</s:v>
      </s:c>
      <s:c r="S25" s="102">
        <s:f>IF(D25&lt;&gt;"",D25,P25)</s:f>
        <s:v>42275</s:v>
      </s:c>
      <s:c r="T25" s="103">
        <s:f>IF(E25&lt;&gt;"",E25,Q25)</s:f>
        <s:v>8</s:v>
      </s:c>
      <s:c r="U25" s="103">
        <s:f>IF(G25&lt;&gt;"",G25,R25)</s:f>
        <s:v>6</s:v>
      </s:c>
      <s:c r="V25" s="104">
        <s:v>0.90048519598893295</s:v>
      </s:c>
      <s:c r="W25" s="104">
        <s:v>0.90048519598893295</s:v>
      </s:c>
      <s:c r="X25" s="105"/>
      <s:c r="Y25" s="106"/>
    </s:row>
    <s:row r="26">
      <s:c r="A26" s="95">
        <s:v>2</s:v>
      </s:c>
      <s:c r="B26" s="96">
        <s:v>45749</s:v>
      </s:c>
      <s:c r="C26" s="97" t="s">
        <s:v>49</s:v>
      </s:c>
      <s:c r="D26" s="98">
        <s:f>24542+15120</s:f>
        <s:v>39662</s:v>
      </s:c>
      <s:c r="E26" s="99">
        <s:v>10</s:v>
      </s:c>
      <s:c r="F26" s="99">
        <s:f>IF(AND(E26&lt;&gt;"",E26&lt;&gt;0),D26/E26,"")</s:f>
        <s:v>3966.2</s:v>
      </s:c>
      <s:c r="G26" s="99">
        <s:v>5</s:v>
      </s:c>
      <s:c r="H26" s="99">
        <s:f>IF(AND(G26&lt;&gt;"",G26&lt;&gt;0),D26/G26,"")</s:f>
        <s:v>7932.4</s:v>
      </s:c>
      <s:c r="I26" s="99">
        <s:v>20</s:v>
      </s:c>
      <s:c r="J26" s="98">
        <s:f>IF(AND(G26&lt;&gt;"",G26&lt;&gt;0),E26/G26,"")</s:f>
        <s:v>2</s:v>
      </s:c>
      <s:c r="K26" s="99">
        <s:v>5492</s:v>
      </s:c>
      <s:c r="L26" s="99">
        <s:v>15120</s:v>
      </s:c>
      <s:c r="M26" s="99"/>
      <s:c r="N26" s="100">
        <s:f>IF(AND(I26&lt;&gt;"",I26&lt;&gt;0),G26/I26,"")</s:f>
        <s:v>0.25</s:v>
      </s:c>
      <s:c r="O26" s="101">
        <s:f>D26/P26</s:f>
        <s:v>0.5394349323475216</s:v>
      </s:c>
      <s:c r="P26" s="102">
        <s:f>$I$8*V26*W26/SUMPRODUCT($W$25:$W$55,$V$25:$V$55)</s:f>
        <s:v>73525.086385114642</s:v>
      </s:c>
      <s:c r="Q26" s="103">
        <s:f>$I$9*V26*W26/SUMPRODUCT($W$25:$W$55,$V$25:$V$55)</s:f>
        <s:v>14.823606126031175</s:v>
      </s:c>
      <s:c r="R26" s="103">
        <s:f>IF($I$12="","",Q26/$I$12)</s:f>
        <s:v>8.3749187152718498</s:v>
      </s:c>
      <s:c r="S26" s="102">
        <s:f>IF(W26&lt;&gt;"",IF(D26&lt;&gt;"",D26,($I$8-SUM($S$25:S25))*V26*W26/SUMPRODUCT($W26:$W$55,$V26:$V$55)),"")</s:f>
        <s:v>39662</s:v>
      </s:c>
      <s:c r="T26" s="103">
        <s:f>IF(W26&lt;&gt;"",IF(E26&lt;&gt;"",E26,($I$9-SUM($T$25:T25))*V26*W26/SUMPRODUCT($W26:$W$55,$V26:$V$55)),"")</s:f>
        <s:v>10</s:v>
      </s:c>
      <s:c r="U26" s="103">
        <s:f>IF(W26&lt;&gt;"",IF($I$12&lt;&gt;"",IF(G26&lt;&gt;"",G26,($I$9/$I$12-SUM($U$25:U25))*V26*W26/SUMPRODUCT($W26:$W$55,$V26:$V$55)),""),"")</s:f>
        <s:v>5</s:v>
      </s:c>
      <s:c r="V26" s="104">
        <s:v>1.0611905531725472</s:v>
      </s:c>
      <s:c r="W26" s="104">
        <s:v>1.0611905531725472</s:v>
      </s:c>
      <s:c r="X26" s="107"/>
      <s:c r="Y26" s="106"/>
    </s:row>
    <s:row r="27" spans="1:255" s="109" customFormat="1">
      <s:c r="A27" s="110">
        <s:v>3</s:v>
      </s:c>
      <s:c r="B27" s="111">
        <s:v>45751</s:v>
      </s:c>
      <s:c r="C27" s="112" t="s">
        <s:v>52</s:v>
      </s:c>
      <s:c r="D27" s="113">
        <s:v>18259</s:v>
      </s:c>
      <s:c r="E27" s="114">
        <s:v>5</s:v>
      </s:c>
      <s:c r="F27" s="114">
        <s:f>IF(AND(E27&lt;&gt;"",E27&lt;&gt;0),D27/E27,"")</s:f>
        <s:v>3651.8</s:v>
      </s:c>
      <s:c r="G27" s="114">
        <s:v>4</s:v>
      </s:c>
      <s:c r="H27" s="114">
        <s:f>IF(AND(G27&lt;&gt;"",G27&lt;&gt;0),D27/G27,"")</s:f>
        <s:v>4564.75</s:v>
      </s:c>
      <s:c r="I27" s="114">
        <s:v>17</s:v>
      </s:c>
      <s:c r="J27" s="113">
        <s:f>IF(AND(G27&lt;&gt;"",G27&lt;&gt;0),E27/G27,"")</s:f>
        <s:v>1.25</s:v>
      </s:c>
      <s:c r="K27" s="114"/>
      <s:c r="L27" s="114"/>
      <s:c r="M27" s="114"/>
      <s:c r="N27" s="115">
        <s:f>IF(AND(I27&lt;&gt;"",I27&lt;&gt;0),G27/I27,"")</s:f>
        <s:v>0.23529411764705882</s:v>
      </s:c>
      <s:c r="O27" s="116">
        <s:f>D27/P27</s:f>
        <s:v>0.45864599243941628</s:v>
      </s:c>
      <s:c r="P27" s="117">
        <s:f>$I$8*V27*W27/SUMPRODUCT($W$25:$W$55,$V$25:$V$55)</s:f>
        <s:v>39810.660729608091</s:v>
      </s:c>
      <s:c r="Q27" s="118">
        <s:f>$I$9*V27*W27/SUMPRODUCT($W$25:$W$55,$V$25:$V$55)</s:f>
        <s:v>8.0263428890338879</s:v>
      </s:c>
      <s:c r="R27" s="118">
        <s:f>IF($I$12="","",Q27/$I$12)</s:f>
        <s:v>4.5346569994541737</s:v>
      </s:c>
      <s:c r="S27" s="117">
        <s:f>IF(W27&lt;&gt;"",IF(D27&lt;&gt;"",D27,($I$8-SUM($S$25:S26))*V27*W27/SUMPRODUCT($W27:$W$55,$V27:$V$55)),"")</s:f>
        <s:v>18259</s:v>
      </s:c>
      <s:c r="T27" s="118">
        <s:f>IF(W27&lt;&gt;"",IF(E27&lt;&gt;"",E27,($I$9-SUM($T$25:T26))*V27*W27/SUMPRODUCT($W27:$W$55,$V27:$V$55)),"")</s:f>
        <s:v>5</s:v>
      </s:c>
      <s:c r="U27" s="118">
        <s:f>IF(W27&lt;&gt;"",IF($I$12&lt;&gt;"",IF(G27&lt;&gt;"",G27,($I$9/$I$12-SUM($U$25:U26))*V27*W27/SUMPRODUCT($W27:$W$55,$V27:$V$55)),""),"")</s:f>
        <s:v>4</s:v>
      </s:c>
      <s:c r="V27" s="119">
        <s:v>0.78086381145976858</s:v>
      </s:c>
      <s:c r="W27" s="119">
        <s:v>0.78086381145976858</s:v>
      </s:c>
      <s:c r="X27" s="120"/>
      <s:c r="Y27" s="121"/>
      <s:c r="Z27" s="122"/>
      <s:c r="AA27" s="122"/>
      <s:c r="AB27" s="122"/>
      <s:c r="AC27" s="122"/>
      <s:c r="AD27" s="122"/>
      <s:c r="AE27" s="122"/>
      <s:c r="AF27" s="122"/>
      <s:c r="AG27" s="122"/>
      <s:c r="AH27" s="122"/>
      <s:c r="AI27" s="122"/>
      <s:c r="AJ27" s="122"/>
      <s:c r="AK27" s="122"/>
      <s:c r="AL27" s="122"/>
      <s:c r="AM27" s="122"/>
      <s:c r="AN27" s="122"/>
      <s:c r="AO27" s="122"/>
      <s:c r="AP27" s="122"/>
      <s:c r="AQ27" s="122"/>
      <s:c r="AR27" s="122"/>
      <s:c r="AS27" s="122"/>
      <s:c r="AT27" s="122"/>
      <s:c r="AU27" s="122"/>
      <s:c r="AV27" s="122"/>
      <s:c r="AW27" s="122"/>
      <s:c r="AX27" s="122"/>
      <s:c r="AY27" s="122"/>
      <s:c r="AZ27" s="122"/>
      <s:c r="BA27" s="122"/>
      <s:c r="BB27" s="122"/>
      <s:c r="BC27" s="122"/>
      <s:c r="BD27" s="122"/>
      <s:c r="BE27" s="122"/>
      <s:c r="BF27" s="122"/>
      <s:c r="BG27" s="122"/>
      <s:c r="BH27" s="122"/>
      <s:c r="BI27" s="122"/>
      <s:c r="BJ27" s="122"/>
      <s:c r="BK27" s="122"/>
      <s:c r="BL27" s="122"/>
      <s:c r="BM27" s="122"/>
      <s:c r="BN27" s="122"/>
      <s:c r="BO27" s="122"/>
      <s:c r="BP27" s="122"/>
      <s:c r="BQ27" s="122"/>
      <s:c r="BR27" s="122"/>
      <s:c r="BS27" s="122"/>
      <s:c r="BT27" s="122"/>
      <s:c r="BU27" s="122"/>
      <s:c r="BV27" s="122"/>
      <s:c r="BW27" s="122"/>
      <s:c r="BX27" s="122"/>
      <s:c r="BY27" s="122"/>
      <s:c r="BZ27" s="122"/>
      <s:c r="CA27" s="122"/>
      <s:c r="CB27" s="122"/>
      <s:c r="CC27" s="122"/>
      <s:c r="CD27" s="122"/>
      <s:c r="CE27" s="122"/>
      <s:c r="CF27" s="122"/>
      <s:c r="CG27" s="122"/>
      <s:c r="CH27" s="122"/>
      <s:c r="CI27" s="122"/>
      <s:c r="CJ27" s="122"/>
      <s:c r="CK27" s="122"/>
      <s:c r="CL27" s="122"/>
      <s:c r="CM27" s="122"/>
      <s:c r="CN27" s="122"/>
      <s:c r="CO27" s="122"/>
      <s:c r="CP27" s="122"/>
      <s:c r="CQ27" s="122"/>
      <s:c r="CR27" s="122"/>
      <s:c r="CS27" s="122"/>
      <s:c r="CT27" s="122"/>
      <s:c r="CU27" s="122"/>
      <s:c r="CV27" s="122"/>
      <s:c r="CW27" s="122"/>
      <s:c r="CX27" s="122"/>
      <s:c r="CY27" s="122"/>
      <s:c r="CZ27" s="122"/>
      <s:c r="DA27" s="122"/>
      <s:c r="DB27" s="122"/>
      <s:c r="DC27" s="122"/>
      <s:c r="DD27" s="122"/>
      <s:c r="DE27" s="122"/>
      <s:c r="DF27" s="122"/>
      <s:c r="DG27" s="122"/>
      <s:c r="DH27" s="122"/>
      <s:c r="DI27" s="122"/>
      <s:c r="DJ27" s="122"/>
      <s:c r="DK27" s="122"/>
      <s:c r="DL27" s="122"/>
      <s:c r="DM27" s="122"/>
      <s:c r="DN27" s="122"/>
      <s:c r="DO27" s="122"/>
      <s:c r="DP27" s="122"/>
      <s:c r="DQ27" s="122"/>
      <s:c r="DR27" s="122"/>
      <s:c r="DS27" s="122"/>
      <s:c r="DT27" s="122"/>
      <s:c r="DU27" s="122"/>
      <s:c r="DV27" s="122"/>
      <s:c r="DW27" s="122"/>
      <s:c r="DX27" s="122"/>
      <s:c r="DY27" s="122"/>
      <s:c r="DZ27" s="122"/>
      <s:c r="EA27" s="122"/>
      <s:c r="EB27" s="122"/>
      <s:c r="EC27" s="122"/>
      <s:c r="ED27" s="122"/>
      <s:c r="EE27" s="122"/>
      <s:c r="EF27" s="122"/>
      <s:c r="EG27" s="122"/>
      <s:c r="EH27" s="122"/>
      <s:c r="EI27" s="122"/>
      <s:c r="EJ27" s="122"/>
      <s:c r="EK27" s="122"/>
      <s:c r="EL27" s="122"/>
      <s:c r="EM27" s="122"/>
      <s:c r="EN27" s="122"/>
      <s:c r="EO27" s="122"/>
      <s:c r="EP27" s="122"/>
      <s:c r="EQ27" s="122"/>
      <s:c r="ER27" s="122"/>
      <s:c r="ES27" s="122"/>
      <s:c r="ET27" s="122"/>
      <s:c r="EU27" s="122"/>
      <s:c r="EV27" s="122"/>
      <s:c r="EW27" s="122"/>
      <s:c r="EX27" s="122"/>
      <s:c r="EY27" s="122"/>
      <s:c r="EZ27" s="122"/>
      <s:c r="FA27" s="122"/>
      <s:c r="FB27" s="122"/>
      <s:c r="FC27" s="122"/>
      <s:c r="FD27" s="122"/>
      <s:c r="FE27" s="122"/>
      <s:c r="FF27" s="122"/>
      <s:c r="FG27" s="122"/>
      <s:c r="FH27" s="122"/>
      <s:c r="FI27" s="122"/>
      <s:c r="FJ27" s="122"/>
      <s:c r="FK27" s="122"/>
      <s:c r="FL27" s="122"/>
      <s:c r="FM27" s="122"/>
      <s:c r="FN27" s="122"/>
      <s:c r="FO27" s="122"/>
      <s:c r="FP27" s="122"/>
      <s:c r="FQ27" s="122"/>
      <s:c r="FR27" s="122"/>
      <s:c r="FS27" s="122"/>
      <s:c r="FT27" s="122"/>
      <s:c r="FU27" s="122"/>
      <s:c r="FV27" s="122"/>
      <s:c r="FW27" s="122"/>
      <s:c r="FX27" s="122"/>
      <s:c r="FY27" s="122"/>
      <s:c r="FZ27" s="122"/>
      <s:c r="GA27" s="122"/>
      <s:c r="GB27" s="122"/>
      <s:c r="GC27" s="122"/>
      <s:c r="GD27" s="122"/>
      <s:c r="GE27" s="122"/>
      <s:c r="GF27" s="122"/>
      <s:c r="GG27" s="122"/>
      <s:c r="GH27" s="122"/>
      <s:c r="GI27" s="122"/>
      <s:c r="GJ27" s="122"/>
      <s:c r="GK27" s="122"/>
      <s:c r="GL27" s="122"/>
      <s:c r="GM27" s="122"/>
      <s:c r="GN27" s="122"/>
      <s:c r="GO27" s="122"/>
      <s:c r="GP27" s="122"/>
      <s:c r="GQ27" s="122"/>
      <s:c r="GR27" s="122"/>
      <s:c r="GS27" s="122"/>
      <s:c r="GT27" s="122"/>
      <s:c r="GU27" s="122"/>
      <s:c r="GV27" s="122"/>
      <s:c r="GW27" s="122"/>
      <s:c r="GX27" s="122"/>
      <s:c r="GY27" s="122"/>
      <s:c r="GZ27" s="122"/>
      <s:c r="HA27" s="122"/>
      <s:c r="HB27" s="122"/>
      <s:c r="HC27" s="122"/>
      <s:c r="HD27" s="122"/>
      <s:c r="HE27" s="122"/>
      <s:c r="HF27" s="122"/>
      <s:c r="HG27" s="122"/>
      <s:c r="HH27" s="122"/>
      <s:c r="HI27" s="122"/>
      <s:c r="HJ27" s="122"/>
      <s:c r="HK27" s="122"/>
      <s:c r="HL27" s="122"/>
      <s:c r="HM27" s="122"/>
      <s:c r="HN27" s="122"/>
      <s:c r="HO27" s="122"/>
      <s:c r="HP27" s="122"/>
      <s:c r="HQ27" s="122"/>
      <s:c r="HR27" s="122"/>
      <s:c r="HS27" s="122"/>
      <s:c r="HT27" s="122"/>
      <s:c r="HU27" s="122"/>
      <s:c r="HV27" s="122"/>
      <s:c r="HW27" s="122"/>
      <s:c r="HX27" s="122"/>
      <s:c r="HY27" s="122"/>
      <s:c r="HZ27" s="122"/>
      <s:c r="IA27" s="122"/>
      <s:c r="IB27" s="122"/>
      <s:c r="IC27" s="122"/>
      <s:c r="ID27" s="122"/>
      <s:c r="IE27" s="122"/>
      <s:c r="IF27" s="122"/>
      <s:c r="IG27" s="122"/>
      <s:c r="IH27" s="122"/>
      <s:c r="II27" s="122"/>
      <s:c r="IJ27" s="122"/>
      <s:c r="IK27" s="122"/>
      <s:c r="IL27" s="122"/>
      <s:c r="IM27" s="122"/>
      <s:c r="IN27" s="122"/>
      <s:c r="IO27" s="122"/>
      <s:c r="IP27" s="122"/>
      <s:c r="IQ27" s="122"/>
      <s:c r="IR27" s="122"/>
      <s:c r="IS27" s="122"/>
      <s:c r="IT27" s="122"/>
      <s:c r="IU27" s="122"/>
    </s:row>
    <s:row r="28" spans="1:255" s="123" customFormat="1">
      <s:c r="A28" s="110">
        <s:v>4</s:v>
      </s:c>
      <s:c r="B28" s="111">
        <s:v>45752</s:v>
      </s:c>
      <s:c r="C28" s="112" t="s">
        <s:v>53</s:v>
      </s:c>
      <s:c r="D28" s="113">
        <s:v>47559</s:v>
      </s:c>
      <s:c r="E28" s="114">
        <s:v>11</s:v>
      </s:c>
      <s:c r="F28" s="114">
        <s:f>IF(AND(E28&lt;&gt;"",E28&lt;&gt;0),D28/E28,"")</s:f>
        <s:v>4323.545454545455</s:v>
      </s:c>
      <s:c r="G28" s="114">
        <s:v>7</s:v>
      </s:c>
      <s:c r="H28" s="114">
        <s:f>IF(AND(G28&lt;&gt;"",G28&lt;&gt;0),D28/G28,"")</s:f>
        <s:v>6794.1428571428569</s:v>
      </s:c>
      <s:c r="I28" s="114">
        <s:v>26</s:v>
      </s:c>
      <s:c r="J28" s="113">
        <s:f>IF(AND(G28&lt;&gt;"",G28&lt;&gt;0),E28/G28,"")</s:f>
        <s:v>1.5714285714285714</s:v>
      </s:c>
      <s:c r="K28" s="114"/>
      <s:c r="L28" s="114"/>
      <s:c r="M28" s="114"/>
      <s:c r="N28" s="115">
        <s:f>IF(AND(I28&lt;&gt;"",I28&lt;&gt;0),G28/I28,"")</s:f>
        <s:v>0.26923076923076922</s:v>
      </s:c>
      <s:c r="O28" s="116">
        <s:f>D28/P28</s:f>
        <s:v>0.66831980855551265</s:v>
      </s:c>
      <s:c r="P28" s="117">
        <s:f>$I$8*V28*W28/SUMPRODUCT($W$25:$W$55,$V$25:$V$55)</s:f>
        <s:v>71162.038579692351</s:v>
      </s:c>
      <s:c r="Q28" s="118">
        <s:f>$I$9*V28*W28/SUMPRODUCT($W$25:$W$55,$V$25:$V$55)</s:f>
        <s:v>14.34718519751862</s:v>
      </s:c>
      <s:c r="R28" s="118">
        <s:f>IF($I$12="","",Q28/$I$12)</s:f>
        <s:v>8.1057543488805752</s:v>
      </s:c>
      <s:c r="S28" s="117">
        <s:f>IF(W28&lt;&gt;"",IF(D28&lt;&gt;"",D28,($I$8-SUM($S$25:S27))*V28*W28/SUMPRODUCT($W28:$W$55,$V28:$V$55)),"")</s:f>
        <s:v>47559</s:v>
      </s:c>
      <s:c r="T28" s="118">
        <s:f>IF(W28&lt;&gt;"",IF(E28&lt;&gt;"",E28,($I$9-SUM($T$25:T27))*V28*W28/SUMPRODUCT($W28:$W$55,$V28:$V$55)),"")</s:f>
        <s:v>11</s:v>
      </s:c>
      <s:c r="U28" s="118">
        <s:f>IF(W28&lt;&gt;"",IF($I$12&lt;&gt;"",IF(G28&lt;&gt;"",G28,($I$9/$I$12-SUM($U$25:U27))*V28*W28/SUMPRODUCT($W28:$W$55,$V28:$V$55)),""),"")</s:f>
        <s:v>7</s:v>
      </s:c>
      <s:c r="V28" s="119">
        <s:v>1.0439983057913622</s:v>
      </s:c>
      <s:c r="W28" s="119">
        <s:v>1.0439983057913622</s:v>
      </s:c>
      <s:c r="X28" s="120"/>
      <s:c r="Y28" s="124"/>
      <s:c r="Z28" s="122"/>
      <s:c r="AA28" s="122"/>
      <s:c r="AB28" s="122"/>
      <s:c r="AC28" s="122"/>
      <s:c r="AD28" s="122"/>
      <s:c r="AE28" s="122"/>
      <s:c r="AF28" s="122"/>
      <s:c r="AG28" s="122"/>
      <s:c r="AH28" s="122"/>
      <s:c r="AI28" s="122"/>
      <s:c r="AJ28" s="122"/>
      <s:c r="AK28" s="122"/>
      <s:c r="AL28" s="122"/>
      <s:c r="AM28" s="122"/>
      <s:c r="AN28" s="122"/>
      <s:c r="AO28" s="122"/>
      <s:c r="AP28" s="122"/>
      <s:c r="AQ28" s="122"/>
      <s:c r="AR28" s="122"/>
      <s:c r="AS28" s="122"/>
      <s:c r="AT28" s="122"/>
      <s:c r="AU28" s="122"/>
      <s:c r="AV28" s="122"/>
      <s:c r="AW28" s="122"/>
      <s:c r="AX28" s="122"/>
      <s:c r="AY28" s="122"/>
      <s:c r="AZ28" s="122"/>
      <s:c r="BA28" s="122"/>
      <s:c r="BB28" s="122"/>
      <s:c r="BC28" s="122"/>
      <s:c r="BD28" s="122"/>
      <s:c r="BE28" s="122"/>
      <s:c r="BF28" s="122"/>
      <s:c r="BG28" s="122"/>
      <s:c r="BH28" s="122"/>
      <s:c r="BI28" s="122"/>
      <s:c r="BJ28" s="122"/>
      <s:c r="BK28" s="122"/>
      <s:c r="BL28" s="122"/>
      <s:c r="BM28" s="122"/>
      <s:c r="BN28" s="122"/>
      <s:c r="BO28" s="122"/>
      <s:c r="BP28" s="122"/>
      <s:c r="BQ28" s="122"/>
      <s:c r="BR28" s="122"/>
      <s:c r="BS28" s="122"/>
      <s:c r="BT28" s="122"/>
      <s:c r="BU28" s="122"/>
      <s:c r="BV28" s="122"/>
      <s:c r="BW28" s="122"/>
      <s:c r="BX28" s="122"/>
      <s:c r="BY28" s="122"/>
      <s:c r="BZ28" s="122"/>
      <s:c r="CA28" s="122"/>
      <s:c r="CB28" s="122"/>
      <s:c r="CC28" s="122"/>
      <s:c r="CD28" s="122"/>
      <s:c r="CE28" s="122"/>
      <s:c r="CF28" s="122"/>
      <s:c r="CG28" s="122"/>
      <s:c r="CH28" s="122"/>
      <s:c r="CI28" s="122"/>
      <s:c r="CJ28" s="122"/>
      <s:c r="CK28" s="122"/>
      <s:c r="CL28" s="122"/>
      <s:c r="CM28" s="122"/>
      <s:c r="CN28" s="122"/>
      <s:c r="CO28" s="122"/>
      <s:c r="CP28" s="122"/>
      <s:c r="CQ28" s="122"/>
      <s:c r="CR28" s="122"/>
      <s:c r="CS28" s="122"/>
      <s:c r="CT28" s="122"/>
      <s:c r="CU28" s="122"/>
      <s:c r="CV28" s="122"/>
      <s:c r="CW28" s="122"/>
      <s:c r="CX28" s="122"/>
      <s:c r="CY28" s="122"/>
      <s:c r="CZ28" s="122"/>
      <s:c r="DA28" s="122"/>
      <s:c r="DB28" s="122"/>
      <s:c r="DC28" s="122"/>
      <s:c r="DD28" s="122"/>
      <s:c r="DE28" s="122"/>
      <s:c r="DF28" s="122"/>
      <s:c r="DG28" s="122"/>
      <s:c r="DH28" s="122"/>
      <s:c r="DI28" s="122"/>
      <s:c r="DJ28" s="122"/>
      <s:c r="DK28" s="122"/>
      <s:c r="DL28" s="122"/>
      <s:c r="DM28" s="122"/>
      <s:c r="DN28" s="122"/>
      <s:c r="DO28" s="122"/>
      <s:c r="DP28" s="122"/>
      <s:c r="DQ28" s="122"/>
      <s:c r="DR28" s="122"/>
      <s:c r="DS28" s="122"/>
      <s:c r="DT28" s="122"/>
      <s:c r="DU28" s="122"/>
      <s:c r="DV28" s="122"/>
      <s:c r="DW28" s="122"/>
      <s:c r="DX28" s="122"/>
      <s:c r="DY28" s="122"/>
      <s:c r="DZ28" s="122"/>
      <s:c r="EA28" s="122"/>
      <s:c r="EB28" s="122"/>
      <s:c r="EC28" s="122"/>
      <s:c r="ED28" s="122"/>
      <s:c r="EE28" s="122"/>
      <s:c r="EF28" s="122"/>
      <s:c r="EG28" s="122"/>
      <s:c r="EH28" s="122"/>
      <s:c r="EI28" s="122"/>
      <s:c r="EJ28" s="122"/>
      <s:c r="EK28" s="122"/>
      <s:c r="EL28" s="122"/>
      <s:c r="EM28" s="122"/>
      <s:c r="EN28" s="122"/>
      <s:c r="EO28" s="122"/>
      <s:c r="EP28" s="122"/>
      <s:c r="EQ28" s="122"/>
      <s:c r="ER28" s="122"/>
      <s:c r="ES28" s="122"/>
      <s:c r="ET28" s="122"/>
      <s:c r="EU28" s="122"/>
      <s:c r="EV28" s="122"/>
      <s:c r="EW28" s="122"/>
      <s:c r="EX28" s="122"/>
      <s:c r="EY28" s="122"/>
      <s:c r="EZ28" s="122"/>
      <s:c r="FA28" s="122"/>
      <s:c r="FB28" s="122"/>
      <s:c r="FC28" s="122"/>
      <s:c r="FD28" s="122"/>
      <s:c r="FE28" s="122"/>
      <s:c r="FF28" s="122"/>
      <s:c r="FG28" s="122"/>
      <s:c r="FH28" s="122"/>
      <s:c r="FI28" s="122"/>
      <s:c r="FJ28" s="122"/>
      <s:c r="FK28" s="122"/>
      <s:c r="FL28" s="122"/>
      <s:c r="FM28" s="122"/>
      <s:c r="FN28" s="122"/>
      <s:c r="FO28" s="122"/>
      <s:c r="FP28" s="122"/>
      <s:c r="FQ28" s="122"/>
      <s:c r="FR28" s="122"/>
      <s:c r="FS28" s="122"/>
      <s:c r="FT28" s="122"/>
      <s:c r="FU28" s="122"/>
      <s:c r="FV28" s="122"/>
      <s:c r="FW28" s="122"/>
      <s:c r="FX28" s="122"/>
      <s:c r="FY28" s="122"/>
      <s:c r="FZ28" s="122"/>
      <s:c r="GA28" s="122"/>
      <s:c r="GB28" s="122"/>
      <s:c r="GC28" s="122"/>
      <s:c r="GD28" s="122"/>
      <s:c r="GE28" s="122"/>
      <s:c r="GF28" s="122"/>
      <s:c r="GG28" s="122"/>
      <s:c r="GH28" s="122"/>
      <s:c r="GI28" s="122"/>
      <s:c r="GJ28" s="122"/>
      <s:c r="GK28" s="122"/>
      <s:c r="GL28" s="122"/>
      <s:c r="GM28" s="122"/>
      <s:c r="GN28" s="122"/>
      <s:c r="GO28" s="122"/>
      <s:c r="GP28" s="122"/>
      <s:c r="GQ28" s="122"/>
      <s:c r="GR28" s="122"/>
      <s:c r="GS28" s="122"/>
      <s:c r="GT28" s="122"/>
      <s:c r="GU28" s="122"/>
      <s:c r="GV28" s="122"/>
      <s:c r="GW28" s="122"/>
      <s:c r="GX28" s="122"/>
      <s:c r="GY28" s="122"/>
      <s:c r="GZ28" s="122"/>
      <s:c r="HA28" s="122"/>
      <s:c r="HB28" s="122"/>
      <s:c r="HC28" s="122"/>
      <s:c r="HD28" s="122"/>
      <s:c r="HE28" s="122"/>
      <s:c r="HF28" s="122"/>
      <s:c r="HG28" s="122"/>
      <s:c r="HH28" s="122"/>
      <s:c r="HI28" s="122"/>
      <s:c r="HJ28" s="122"/>
      <s:c r="HK28" s="122"/>
      <s:c r="HL28" s="122"/>
      <s:c r="HM28" s="122"/>
      <s:c r="HN28" s="122"/>
      <s:c r="HO28" s="122"/>
      <s:c r="HP28" s="122"/>
      <s:c r="HQ28" s="122"/>
      <s:c r="HR28" s="122"/>
      <s:c r="HS28" s="122"/>
      <s:c r="HT28" s="122"/>
      <s:c r="HU28" s="122"/>
      <s:c r="HV28" s="122"/>
      <s:c r="HW28" s="122"/>
      <s:c r="HX28" s="122"/>
      <s:c r="HY28" s="122"/>
      <s:c r="HZ28" s="122"/>
      <s:c r="IA28" s="122"/>
      <s:c r="IB28" s="122"/>
      <s:c r="IC28" s="122"/>
      <s:c r="ID28" s="122"/>
      <s:c r="IE28" s="122"/>
      <s:c r="IF28" s="122"/>
      <s:c r="IG28" s="122"/>
      <s:c r="IH28" s="122"/>
      <s:c r="II28" s="122"/>
      <s:c r="IJ28" s="122"/>
      <s:c r="IK28" s="122"/>
      <s:c r="IL28" s="122"/>
      <s:c r="IM28" s="122"/>
      <s:c r="IN28" s="122"/>
      <s:c r="IO28" s="122"/>
      <s:c r="IP28" s="122"/>
      <s:c r="IQ28" s="122"/>
      <s:c r="IR28" s="122"/>
      <s:c r="IS28" s="122"/>
      <s:c r="IT28" s="122"/>
      <s:c r="IU28" s="122"/>
    </s:row>
    <s:row r="29" spans="1:255" s="109" customFormat="1">
      <s:c r="A29" s="110">
        <s:v>5</s:v>
      </s:c>
      <s:c r="B29" s="111">
        <s:v>45753</s:v>
      </s:c>
      <s:c r="C29" s="112" t="s">
        <s:v>54</s:v>
      </s:c>
      <s:c r="D29" s="113">
        <s:f>51277+32720</s:f>
        <s:v>83997</s:v>
      </s:c>
      <s:c r="E29" s="114">
        <s:v>17</s:v>
      </s:c>
      <s:c r="F29" s="114">
        <s:f>IF(AND(E29&lt;&gt;"",E29&lt;&gt;0),D29/E29,"")</s:f>
        <s:v>4941</s:v>
      </s:c>
      <s:c r="G29" s="114">
        <s:v>9</s:v>
      </s:c>
      <s:c r="H29" s="114">
        <s:f>IF(AND(G29&lt;&gt;"",G29&lt;&gt;0),D29/G29,"")</s:f>
        <s:v>9333</s:v>
      </s:c>
      <s:c r="I29" s="114">
        <s:v>30</s:v>
      </s:c>
      <s:c r="J29" s="113">
        <s:f>IF(AND(G29&lt;&gt;"",G29&lt;&gt;0),E29/G29,"")</s:f>
        <s:v>1.8888888888888888</s:v>
      </s:c>
      <s:c r="K29" s="114">
        <s:v>0</s:v>
      </s:c>
      <s:c r="L29" s="114">
        <s:v>32720</s:v>
      </s:c>
      <s:c r="M29" s="114"/>
      <s:c r="N29" s="115">
        <s:f>IF(AND(I29&lt;&gt;"",I29&lt;&gt;0),G29/I29,"")</s:f>
        <s:v>0.3</s:v>
      </s:c>
      <s:c r="O29" s="116">
        <s:f>D29/P29</s:f>
        <s:v>2.1099122310604992</s:v>
      </s:c>
      <s:c r="P29" s="117">
        <s:f>$I$8*V29*W29/SUMPRODUCT($W$25:$W$55,$V$25:$V$55)</s:f>
        <s:v>39810.660729608091</s:v>
      </s:c>
      <s:c r="Q29" s="118">
        <s:f>$I$9*V29*W29/SUMPRODUCT($W$25:$W$55,$V$25:$V$55)</s:f>
        <s:v>8.0263428890338879</s:v>
      </s:c>
      <s:c r="R29" s="118">
        <s:f>IF($I$12="","",Q29/$I$12)</s:f>
        <s:v>4.5346569994541737</s:v>
      </s:c>
      <s:c r="S29" s="117">
        <s:f>IF(W29&lt;&gt;"",IF(D29&lt;&gt;"",D29,($I$8-SUM($S$25:S28))*V29*W29/SUMPRODUCT($W29:$W$55,$V29:$V$55)),"")</s:f>
        <s:v>83997</s:v>
      </s:c>
      <s:c r="T29" s="118">
        <s:f>IF(W29&lt;&gt;"",IF(E29&lt;&gt;"",E29,($I$9-SUM($T$25:T28))*V29*W29/SUMPRODUCT($W29:$W$55,$V29:$V$55)),"")</s:f>
        <s:v>17</s:v>
      </s:c>
      <s:c r="U29" s="118">
        <s:f>IF(W29&lt;&gt;"",IF($I$12&lt;&gt;"",IF(G29&lt;&gt;"",G29,($I$9/$I$12-SUM($U$25:U28))*V29*W29/SUMPRODUCT($W29:$W$55,$V29:$V$55)),""),"")</s:f>
        <s:v>9</s:v>
      </s:c>
      <s:c r="V29" s="119">
        <s:v>0.78086381145976858</s:v>
      </s:c>
      <s:c r="W29" s="119">
        <s:v>0.78086381145976858</s:v>
      </s:c>
      <s:c r="X29" s="120"/>
      <s:c r="Y29" s="124"/>
      <s:c r="Z29" s="122"/>
      <s:c r="AA29" s="122"/>
      <s:c r="AB29" s="122"/>
      <s:c r="AC29" s="122"/>
      <s:c r="AD29" s="122"/>
      <s:c r="AE29" s="122"/>
      <s:c r="AF29" s="122"/>
      <s:c r="AG29" s="122"/>
      <s:c r="AH29" s="122"/>
      <s:c r="AI29" s="122"/>
      <s:c r="AJ29" s="122"/>
      <s:c r="AK29" s="122"/>
      <s:c r="AL29" s="122"/>
      <s:c r="AM29" s="122"/>
      <s:c r="AN29" s="122"/>
      <s:c r="AO29" s="122"/>
      <s:c r="AP29" s="122"/>
      <s:c r="AQ29" s="122"/>
      <s:c r="AR29" s="122"/>
      <s:c r="AS29" s="122"/>
      <s:c r="AT29" s="122"/>
      <s:c r="AU29" s="122"/>
      <s:c r="AV29" s="122"/>
      <s:c r="AW29" s="122"/>
      <s:c r="AX29" s="122"/>
      <s:c r="AY29" s="122"/>
      <s:c r="AZ29" s="122"/>
      <s:c r="BA29" s="122"/>
      <s:c r="BB29" s="122"/>
      <s:c r="BC29" s="122"/>
      <s:c r="BD29" s="122"/>
      <s:c r="BE29" s="122"/>
      <s:c r="BF29" s="122"/>
      <s:c r="BG29" s="122"/>
      <s:c r="BH29" s="122"/>
      <s:c r="BI29" s="122"/>
      <s:c r="BJ29" s="122"/>
      <s:c r="BK29" s="122"/>
      <s:c r="BL29" s="122"/>
      <s:c r="BM29" s="122"/>
      <s:c r="BN29" s="122"/>
      <s:c r="BO29" s="122"/>
      <s:c r="BP29" s="122"/>
      <s:c r="BQ29" s="122"/>
      <s:c r="BR29" s="122"/>
      <s:c r="BS29" s="122"/>
      <s:c r="BT29" s="122"/>
      <s:c r="BU29" s="122"/>
      <s:c r="BV29" s="122"/>
      <s:c r="BW29" s="122"/>
      <s:c r="BX29" s="122"/>
      <s:c r="BY29" s="122"/>
      <s:c r="BZ29" s="122"/>
      <s:c r="CA29" s="122"/>
      <s:c r="CB29" s="122"/>
      <s:c r="CC29" s="122"/>
      <s:c r="CD29" s="122"/>
      <s:c r="CE29" s="122"/>
      <s:c r="CF29" s="122"/>
      <s:c r="CG29" s="122"/>
      <s:c r="CH29" s="122"/>
      <s:c r="CI29" s="122"/>
      <s:c r="CJ29" s="122"/>
      <s:c r="CK29" s="122"/>
      <s:c r="CL29" s="122"/>
      <s:c r="CM29" s="122"/>
      <s:c r="CN29" s="122"/>
      <s:c r="CO29" s="122"/>
      <s:c r="CP29" s="122"/>
      <s:c r="CQ29" s="122"/>
      <s:c r="CR29" s="122"/>
      <s:c r="CS29" s="122"/>
      <s:c r="CT29" s="122"/>
      <s:c r="CU29" s="122"/>
      <s:c r="CV29" s="122"/>
      <s:c r="CW29" s="122"/>
      <s:c r="CX29" s="122"/>
      <s:c r="CY29" s="122"/>
      <s:c r="CZ29" s="122"/>
      <s:c r="DA29" s="122"/>
      <s:c r="DB29" s="122"/>
      <s:c r="DC29" s="122"/>
      <s:c r="DD29" s="122"/>
      <s:c r="DE29" s="122"/>
      <s:c r="DF29" s="122"/>
      <s:c r="DG29" s="122"/>
      <s:c r="DH29" s="122"/>
      <s:c r="DI29" s="122"/>
      <s:c r="DJ29" s="122"/>
      <s:c r="DK29" s="122"/>
      <s:c r="DL29" s="122"/>
      <s:c r="DM29" s="122"/>
      <s:c r="DN29" s="122"/>
      <s:c r="DO29" s="122"/>
      <s:c r="DP29" s="122"/>
      <s:c r="DQ29" s="122"/>
      <s:c r="DR29" s="122"/>
      <s:c r="DS29" s="122"/>
      <s:c r="DT29" s="122"/>
      <s:c r="DU29" s="122"/>
      <s:c r="DV29" s="122"/>
      <s:c r="DW29" s="122"/>
      <s:c r="DX29" s="122"/>
      <s:c r="DY29" s="122"/>
      <s:c r="DZ29" s="122"/>
      <s:c r="EA29" s="122"/>
      <s:c r="EB29" s="122"/>
      <s:c r="EC29" s="122"/>
      <s:c r="ED29" s="122"/>
      <s:c r="EE29" s="122"/>
      <s:c r="EF29" s="122"/>
      <s:c r="EG29" s="122"/>
      <s:c r="EH29" s="122"/>
      <s:c r="EI29" s="122"/>
      <s:c r="EJ29" s="122"/>
      <s:c r="EK29" s="122"/>
      <s:c r="EL29" s="122"/>
      <s:c r="EM29" s="122"/>
      <s:c r="EN29" s="122"/>
      <s:c r="EO29" s="122"/>
      <s:c r="EP29" s="122"/>
      <s:c r="EQ29" s="122"/>
      <s:c r="ER29" s="122"/>
      <s:c r="ES29" s="122"/>
      <s:c r="ET29" s="122"/>
      <s:c r="EU29" s="122"/>
      <s:c r="EV29" s="122"/>
      <s:c r="EW29" s="122"/>
      <s:c r="EX29" s="122"/>
      <s:c r="EY29" s="122"/>
      <s:c r="EZ29" s="122"/>
      <s:c r="FA29" s="122"/>
      <s:c r="FB29" s="122"/>
      <s:c r="FC29" s="122"/>
      <s:c r="FD29" s="122"/>
      <s:c r="FE29" s="122"/>
      <s:c r="FF29" s="122"/>
      <s:c r="FG29" s="122"/>
      <s:c r="FH29" s="122"/>
      <s:c r="FI29" s="122"/>
      <s:c r="FJ29" s="122"/>
      <s:c r="FK29" s="122"/>
      <s:c r="FL29" s="122"/>
      <s:c r="FM29" s="122"/>
      <s:c r="FN29" s="122"/>
      <s:c r="FO29" s="122"/>
      <s:c r="FP29" s="122"/>
      <s:c r="FQ29" s="122"/>
      <s:c r="FR29" s="122"/>
      <s:c r="FS29" s="122"/>
      <s:c r="FT29" s="122"/>
      <s:c r="FU29" s="122"/>
      <s:c r="FV29" s="122"/>
      <s:c r="FW29" s="122"/>
      <s:c r="FX29" s="122"/>
      <s:c r="FY29" s="122"/>
      <s:c r="FZ29" s="122"/>
      <s:c r="GA29" s="122"/>
      <s:c r="GB29" s="122"/>
      <s:c r="GC29" s="122"/>
      <s:c r="GD29" s="122"/>
      <s:c r="GE29" s="122"/>
      <s:c r="GF29" s="122"/>
      <s:c r="GG29" s="122"/>
      <s:c r="GH29" s="122"/>
      <s:c r="GI29" s="122"/>
      <s:c r="GJ29" s="122"/>
      <s:c r="GK29" s="122"/>
      <s:c r="GL29" s="122"/>
      <s:c r="GM29" s="122"/>
      <s:c r="GN29" s="122"/>
      <s:c r="GO29" s="122"/>
      <s:c r="GP29" s="122"/>
      <s:c r="GQ29" s="122"/>
      <s:c r="GR29" s="122"/>
      <s:c r="GS29" s="122"/>
      <s:c r="GT29" s="122"/>
      <s:c r="GU29" s="122"/>
      <s:c r="GV29" s="122"/>
      <s:c r="GW29" s="122"/>
      <s:c r="GX29" s="122"/>
      <s:c r="GY29" s="122"/>
      <s:c r="GZ29" s="122"/>
      <s:c r="HA29" s="122"/>
      <s:c r="HB29" s="122"/>
      <s:c r="HC29" s="122"/>
      <s:c r="HD29" s="122"/>
      <s:c r="HE29" s="122"/>
      <s:c r="HF29" s="122"/>
      <s:c r="HG29" s="122"/>
      <s:c r="HH29" s="122"/>
      <s:c r="HI29" s="122"/>
      <s:c r="HJ29" s="122"/>
      <s:c r="HK29" s="122"/>
      <s:c r="HL29" s="122"/>
      <s:c r="HM29" s="122"/>
      <s:c r="HN29" s="122"/>
      <s:c r="HO29" s="122"/>
      <s:c r="HP29" s="122"/>
      <s:c r="HQ29" s="122"/>
      <s:c r="HR29" s="122"/>
      <s:c r="HS29" s="122"/>
      <s:c r="HT29" s="122"/>
      <s:c r="HU29" s="122"/>
      <s:c r="HV29" s="122"/>
      <s:c r="HW29" s="122"/>
      <s:c r="HX29" s="122"/>
      <s:c r="HY29" s="122"/>
      <s:c r="HZ29" s="122"/>
      <s:c r="IA29" s="122"/>
      <s:c r="IB29" s="122"/>
      <s:c r="IC29" s="122"/>
      <s:c r="ID29" s="122"/>
      <s:c r="IE29" s="122"/>
      <s:c r="IF29" s="122"/>
      <s:c r="IG29" s="122"/>
      <s:c r="IH29" s="122"/>
      <s:c r="II29" s="122"/>
      <s:c r="IJ29" s="122"/>
      <s:c r="IK29" s="122"/>
      <s:c r="IL29" s="122"/>
      <s:c r="IM29" s="122"/>
      <s:c r="IN29" s="122"/>
      <s:c r="IO29" s="122"/>
      <s:c r="IP29" s="122"/>
      <s:c r="IQ29" s="122"/>
      <s:c r="IR29" s="122"/>
      <s:c r="IS29" s="122"/>
      <s:c r="IT29" s="122"/>
      <s:c r="IU29" s="122"/>
    </s:row>
    <s:row r="30">
      <s:c r="A30" s="95">
        <s:v>6</s:v>
      </s:c>
      <s:c r="B30" s="96">
        <s:v>45754</s:v>
      </s:c>
      <s:c r="C30" s="97" t="s">
        <s:v>55</s:v>
      </s:c>
      <s:c r="D30" s="98">
        <s:v>25437</s:v>
      </s:c>
      <s:c r="E30" s="99">
        <s:v>6</s:v>
      </s:c>
      <s:c r="F30" s="99">
        <s:f>IF(AND(E30&lt;&gt;"",E30&lt;&gt;0),D30/E30,"")</s:f>
        <s:v>4239.5</s:v>
      </s:c>
      <s:c r="G30" s="99">
        <s:v>3</s:v>
      </s:c>
      <s:c r="H30" s="99">
        <s:f>IF(AND(G30&lt;&gt;"",G30&lt;&gt;0),D30/G30,"")</s:f>
        <s:v>8479</s:v>
      </s:c>
      <s:c r="I30" s="99">
        <s:v>5</s:v>
      </s:c>
      <s:c r="J30" s="98">
        <s:f>IF(AND(G30&lt;&gt;"",G30&lt;&gt;0),E30/G30,"")</s:f>
        <s:v>2</s:v>
      </s:c>
      <s:c r="K30" s="99">
        <s:v>0</s:v>
      </s:c>
      <s:c r="L30" s="99">
        <s:v>0</s:v>
      </s:c>
      <s:c r="M30" s="99"/>
      <s:c r="N30" s="100">
        <s:f>IF(AND(I30&lt;&gt;"",I30&lt;&gt;0),G30/I30,"")</s:f>
        <s:v>0.6</s:v>
      </s:c>
      <s:c r="O30" s="101">
        <s:f>D30/P30</s:f>
        <s:v>0.58744301691658674</s:v>
      </s:c>
      <s:c r="P30" s="102">
        <s:f>$I$8*V30*W30/SUMPRODUCT($W$25:$W$55,$V$25:$V$55)</s:f>
        <s:v>43301.221169528173</s:v>
      </s:c>
      <s:c r="Q30" s="103">
        <s:f>$I$9*V30*W30/SUMPRODUCT($W$25:$W$55,$V$25:$V$55)</s:f>
        <s:v>8.730084913211325</s:v>
      </s:c>
      <s:c r="R30" s="103">
        <s:f>IF($I$12="","",Q30/$I$12)</s:f>
        <s:v>4.9322513633962286</s:v>
      </s:c>
      <s:c r="S30" s="102">
        <s:f>IF(W30&lt;&gt;"",IF(D30&lt;&gt;"",D30,($I$8-SUM($S$25:S29))*V30*W30/SUMPRODUCT($W30:$W$55,$V30:$V$55)),"")</s:f>
        <s:v>25437</s:v>
      </s:c>
      <s:c r="T30" s="103">
        <s:f>IF(W30&lt;&gt;"",IF(E30&lt;&gt;"",E30,($I$9-SUM($T$25:T29))*V30*W30/SUMPRODUCT($W30:$W$55,$V30:$V$55)),"")</s:f>
        <s:v>6</s:v>
      </s:c>
      <s:c r="U30" s="103">
        <s:f>IF(W30&lt;&gt;"",IF($I$12&lt;&gt;"",IF(G30&lt;&gt;"",G30,($I$9/$I$12-SUM($U$25:U29))*V30*W30/SUMPRODUCT($W30:$W$55,$V30:$V$55)),""),"")</s:f>
        <s:v>3</s:v>
      </s:c>
      <s:c r="V30" s="104">
        <s:v>0.81437733010747548</s:v>
      </s:c>
      <s:c r="W30" s="104">
        <s:v>0.81437733010747548</s:v>
      </s:c>
      <s:c r="X30" s="107"/>
      <s:c r="Y30" s="106"/>
      <s:c r="Z30" s="2"/>
      <s:c r="AA30" s="2"/>
      <s:c r="AB30" s="2"/>
      <s:c r="AC30" s="2"/>
      <s:c r="AD30" s="2"/>
    </s:row>
    <s:row r="31">
      <s:c r="A31" s="95">
        <s:v>7</s:v>
      </s:c>
      <s:c r="B31" s="96">
        <s:v>45755</s:v>
      </s:c>
      <s:c r="C31" s="97" t="s">
        <s:v>48</s:v>
      </s:c>
      <s:c r="D31" s="98">
        <s:v>5483</s:v>
      </s:c>
      <s:c r="E31" s="99">
        <s:v>2</s:v>
      </s:c>
      <s:c r="F31" s="99">
        <s:f>IF(AND(E31&lt;&gt;"",E31&lt;&gt;0),D31/E31,"")</s:f>
        <s:v>2741.5</s:v>
      </s:c>
      <s:c r="G31" s="99">
        <s:v>1</s:v>
      </s:c>
      <s:c r="H31" s="99">
        <s:f>IF(AND(G31&lt;&gt;"",G31&lt;&gt;0),D31/G31,"")</s:f>
        <s:v>5483</s:v>
      </s:c>
      <s:c r="I31" s="99">
        <s:v>12</s:v>
      </s:c>
      <s:c r="J31" s="98">
        <s:f>IF(AND(G31&lt;&gt;"",G31&lt;&gt;0),E31/G31,"")</s:f>
        <s:v>2</s:v>
      </s:c>
      <s:c r="K31" s="99">
        <s:v>0</s:v>
      </s:c>
      <s:c r="L31" s="99">
        <s:v>0</s:v>
      </s:c>
      <s:c r="M31" s="99"/>
      <s:c r="N31" s="100">
        <s:f>IF(AND(I31&lt;&gt;"",I31&lt;&gt;0),G31/I31,"")</s:f>
        <s:v>8.3333333333333329E-2</s:v>
      </s:c>
      <s:c r="O31" s="101">
        <s:f>D31/P31</s:f>
        <s:v>0.12662460438548748</s:v>
      </s:c>
      <s:c r="P31" s="102">
        <s:f>$I$8*V31*W31/SUMPRODUCT($W$25:$W$55,$V$25:$V$55)</s:f>
        <s:v>43301.221169528173</s:v>
      </s:c>
      <s:c r="Q31" s="103">
        <s:f>$I$9*V31*W31/SUMPRODUCT($W$25:$W$55,$V$25:$V$55)</s:f>
        <s:v>8.730084913211325</s:v>
      </s:c>
      <s:c r="R31" s="103">
        <s:f>IF($I$12="","",Q31/$I$12)</s:f>
        <s:v>4.9322513633962286</s:v>
      </s:c>
      <s:c r="S31" s="102">
        <s:f>IF(W31&lt;&gt;"",IF(D31&lt;&gt;"",D31,($I$8-SUM($S$25:S30))*V31*W31/SUMPRODUCT($W31:$W$55,$V31:$V$55)),"")</s:f>
        <s:v>5483</s:v>
      </s:c>
      <s:c r="T31" s="103">
        <s:f>IF(W31&lt;&gt;"",IF(E31&lt;&gt;"",E31,($I$9-SUM($T$25:T30))*V31*W31/SUMPRODUCT($W31:$W$55,$V31:$V$55)),"")</s:f>
        <s:v>2</s:v>
      </s:c>
      <s:c r="U31" s="103">
        <s:f>IF(W31&lt;&gt;"",IF($I$12&lt;&gt;"",IF(G31&lt;&gt;"",G31,($I$9/$I$12-SUM($U$25:U30))*V31*W31/SUMPRODUCT($W31:$W$55,$V31:$V$55)),""),"")</s:f>
        <s:v>1</s:v>
      </s:c>
      <s:c r="V31" s="104">
        <s:v>0.81437733010747548</s:v>
      </s:c>
      <s:c r="W31" s="104">
        <s:v>0.81437733010747548</s:v>
      </s:c>
      <s:c r="X31" s="107"/>
      <s:c r="Y31" s="106"/>
    </s:row>
    <s:row r="32">
      <s:c r="A32" s="95">
        <s:v>8</s:v>
      </s:c>
      <s:c r="B32" s="96">
        <s:v>45756</s:v>
      </s:c>
      <s:c r="C32" s="97" t="s">
        <s:v>49</s:v>
      </s:c>
      <s:c r="D32" s="98">
        <s:v>3792</s:v>
      </s:c>
      <s:c r="E32" s="99">
        <s:v>1</s:v>
      </s:c>
      <s:c r="F32" s="99">
        <s:f>IF(AND(E32&lt;&gt;"",E32&lt;&gt;0),D32/E32,"")</s:f>
        <s:v>3792</s:v>
      </s:c>
      <s:c r="G32" s="99">
        <s:v>1</s:v>
      </s:c>
      <s:c r="H32" s="99">
        <s:f>IF(AND(G32&lt;&gt;"",G32&lt;&gt;0),D32/G32,"")</s:f>
        <s:v>3792</s:v>
      </s:c>
      <s:c r="I32" s="99">
        <s:v>8</s:v>
      </s:c>
      <s:c r="J32" s="98">
        <s:f>IF(AND(G32&lt;&gt;"",G32&lt;&gt;0),E32/G32,"")</s:f>
        <s:v>1</s:v>
      </s:c>
      <s:c r="K32" s="99">
        <s:v>0</s:v>
      </s:c>
      <s:c r="L32" s="99">
        <s:v>0</s:v>
      </s:c>
      <s:c r="M32" s="99"/>
      <s:c r="N32" s="100">
        <s:f>IF(AND(I32&lt;&gt;"",I32&lt;&gt;0),G32/I32,"")</s:f>
        <s:v>0.125</s:v>
      </s:c>
      <s:c r="O32" s="101">
        <s:f>D32/P32</s:f>
        <s:v>8.7572587968223328E-2</s:v>
      </s:c>
      <s:c r="P32" s="102">
        <s:f>$I$8*V32*W32/SUMPRODUCT($W$25:$W$55,$V$25:$V$55)</s:f>
        <s:v>43301.221169528173</s:v>
      </s:c>
      <s:c r="Q32" s="103">
        <s:f>$I$9*V32*W32/SUMPRODUCT($W$25:$W$55,$V$25:$V$55)</s:f>
        <s:v>8.730084913211325</s:v>
      </s:c>
      <s:c r="R32" s="103">
        <s:f>IF($I$12="","",Q32/$I$12)</s:f>
        <s:v>4.9322513633962286</s:v>
      </s:c>
      <s:c r="S32" s="102">
        <s:f>IF(W32&lt;&gt;"",IF(D32&lt;&gt;"",D32,($I$8-SUM($S$25:S31))*V32*W32/SUMPRODUCT($W32:$W$55,$V32:$V$55)),"")</s:f>
        <s:v>3792</s:v>
      </s:c>
      <s:c r="T32" s="103">
        <s:f>IF(W32&lt;&gt;"",IF(E32&lt;&gt;"",E32,($I$9-SUM($T$25:T31))*V32*W32/SUMPRODUCT($W32:$W$55,$V32:$V$55)),"")</s:f>
        <s:v>1</s:v>
      </s:c>
      <s:c r="U32" s="103">
        <s:f>IF(W32&lt;&gt;"",IF($I$12&lt;&gt;"",IF(G32&lt;&gt;"",G32,($I$9/$I$12-SUM($U$25:U31))*V32*W32/SUMPRODUCT($W32:$W$55,$V32:$V$55)),""),"")</s:f>
        <s:v>1</s:v>
      </s:c>
      <s:c r="V32" s="104">
        <s:v>0.81437733010747548</s:v>
      </s:c>
      <s:c r="W32" s="104">
        <s:v>0.81437733010747548</s:v>
      </s:c>
      <s:c r="X32" s="107"/>
      <s:c r="Y32" s="106"/>
    </s:row>
    <s:row r="33">
      <s:c r="A33" s="95">
        <s:v>9</s:v>
      </s:c>
      <s:c r="B33" s="96">
        <s:v>45757</s:v>
      </s:c>
      <s:c r="C33" s="97" t="s">
        <s:v>51</s:v>
      </s:c>
      <s:c r="D33" s="98">
        <s:f>37704+7803</s:f>
        <s:v>45507</s:v>
      </s:c>
      <s:c r="E33" s="99">
        <s:v>9</s:v>
      </s:c>
      <s:c r="F33" s="99">
        <s:f>IF(AND(E33&lt;&gt;"",E33&lt;&gt;0),D33/E33,"")</s:f>
        <s:v>5056.333333333333</s:v>
      </s:c>
      <s:c r="G33" s="99">
        <s:v>4</s:v>
      </s:c>
      <s:c r="H33" s="99">
        <s:f>IF(AND(G33&lt;&gt;"",G33&lt;&gt;0),D33/G33,"")</s:f>
        <s:v>11376.75</s:v>
      </s:c>
      <s:c r="I33" s="99">
        <s:v>10</s:v>
      </s:c>
      <s:c r="J33" s="98">
        <s:f>IF(AND(G33&lt;&gt;"",G33&lt;&gt;0),E33/G33,"")</s:f>
        <s:v>2.25</s:v>
      </s:c>
      <s:c r="K33" s="99">
        <s:v>0</s:v>
      </s:c>
      <s:c r="L33" s="99">
        <s:v>7803</s:v>
      </s:c>
      <s:c r="M33" s="99"/>
      <s:c r="N33" s="100">
        <s:f>IF(AND(I33&lt;&gt;"",I33&lt;&gt;0),G33/I33,"")</s:f>
        <s:v>0.4</s:v>
      </s:c>
      <s:c r="O33" s="101">
        <s:f>D33/P33</s:f>
        <s:v>0.6969945993779465</s:v>
      </s:c>
      <s:c r="P33" s="102">
        <s:f>$I$8*V33*W33/SUMPRODUCT($W$25:$W$55,$V$25:$V$55)</s:f>
        <s:v>65290.319380686844</s:v>
      </s:c>
      <s:c r="Q33" s="103">
        <s:f>$I$9*V33*W33/SUMPRODUCT($W$25:$W$55,$V$25:$V$55)</s:f>
        <s:v>13.163370842880411</s:v>
      </s:c>
      <s:c r="R33" s="103">
        <s:f>IF($I$12="","",Q33/$I$12)</s:f>
        <s:v>7.4369326795934523</s:v>
      </s:c>
      <s:c r="S33" s="102">
        <s:f>IF(W33&lt;&gt;"",IF(D33&lt;&gt;"",D33,($I$8-SUM($S$25:S32))*V33*W33/SUMPRODUCT($W33:$W$55,$V33:$V$55)),"")</s:f>
        <s:v>45507</s:v>
      </s:c>
      <s:c r="T33" s="103">
        <s:f>IF(W33&lt;&gt;"",IF(E33&lt;&gt;"",E33,($I$9-SUM($T$25:T32))*V33*W33/SUMPRODUCT($W33:$W$55,$V33:$V$55)),"")</s:f>
        <s:v>9</s:v>
      </s:c>
      <s:c r="U33" s="103">
        <s:f>IF(W33&lt;&gt;"",IF($I$12&lt;&gt;"",IF(G33&lt;&gt;"",G33,($I$9/$I$12-SUM($U$25:U32))*V33*W33/SUMPRODUCT($W33:$W$55,$V33:$V$55)),""),"")</s:f>
        <s:v>4</s:v>
      </s:c>
      <s:c r="V33" s="104">
        <s:v>1</s:v>
      </s:c>
      <s:c r="W33" s="104">
        <s:v>1</s:v>
      </s:c>
      <s:c r="X33" s="107"/>
      <s:c r="Y33" s="106"/>
      <s:c r="Z33" s="2"/>
      <s:c r="AA33" s="2"/>
      <s:c r="AB33" s="2"/>
      <s:c r="AC33" s="2"/>
      <s:c r="AD33" s="2"/>
    </s:row>
    <s:row r="34" spans="1:255" s="109" customFormat="1">
      <s:c r="A34" s="110">
        <s:v>10</s:v>
      </s:c>
      <s:c r="B34" s="111">
        <s:v>45758</s:v>
      </s:c>
      <s:c r="C34" s="112" t="s">
        <s:v>52</s:v>
      </s:c>
      <s:c r="D34" s="113">
        <s:v>4192</s:v>
      </s:c>
      <s:c r="E34" s="114">
        <s:v>1</s:v>
      </s:c>
      <s:c r="F34" s="114">
        <s:f>IF(AND(E34&lt;&gt;"",E34&lt;&gt;0),D34/E34,"")</s:f>
        <s:v>4192</s:v>
      </s:c>
      <s:c r="G34" s="114">
        <s:v>1</s:v>
      </s:c>
      <s:c r="H34" s="114">
        <s:f>IF(AND(G34&lt;&gt;"",G34&lt;&gt;0),D34/G34,"")</s:f>
        <s:v>4192</s:v>
      </s:c>
      <s:c r="I34" s="114">
        <s:v>10</s:v>
      </s:c>
      <s:c r="J34" s="113">
        <s:f>IF(AND(G34&lt;&gt;"",G34&lt;&gt;0),E34/G34,"")</s:f>
        <s:v>1</s:v>
      </s:c>
      <s:c r="K34" s="114">
        <s:v>0</s:v>
      </s:c>
      <s:c r="L34" s="114">
        <s:v>0</s:v>
      </s:c>
      <s:c r="M34" s="114"/>
      <s:c r="N34" s="115">
        <s:f>IF(AND(I34&lt;&gt;"",I34&lt;&gt;0),G34/I34,"")</s:f>
        <s:v>0.1</s:v>
      </s:c>
      <s:c r="O34" s="116">
        <s:f>D34/P34</s:f>
        <s:v>0.10529842818916881</s:v>
      </s:c>
      <s:c r="P34" s="117">
        <s:f>$I$8*V34*W34/SUMPRODUCT($W$25:$W$55,$V$25:$V$55)</s:f>
        <s:v>39810.660729608091</s:v>
      </s:c>
      <s:c r="Q34" s="118">
        <s:f>$I$9*V34*W34/SUMPRODUCT($W$25:$W$55,$V$25:$V$55)</s:f>
        <s:v>8.0263428890338879</s:v>
      </s:c>
      <s:c r="R34" s="118">
        <s:f>IF($I$12="","",Q34/$I$12)</s:f>
        <s:v>4.5346569994541737</s:v>
      </s:c>
      <s:c r="S34" s="117">
        <s:f>IF(W34&lt;&gt;"",IF(D34&lt;&gt;"",D34,($I$8-SUM($S$25:S33))*V34*W34/SUMPRODUCT($W34:$W$55,$V34:$V$55)),"")</s:f>
        <s:v>4192</s:v>
      </s:c>
      <s:c r="T34" s="118">
        <s:f>IF(W34&lt;&gt;"",IF(E34&lt;&gt;"",E34,($I$9-SUM($T$25:T33))*V34*W34/SUMPRODUCT($W34:$W$55,$V34:$V$55)),"")</s:f>
        <s:v>1</s:v>
      </s:c>
      <s:c r="U34" s="118">
        <s:f>IF(W34&lt;&gt;"",IF($I$12&lt;&gt;"",IF(G34&lt;&gt;"",G34,($I$9/$I$12-SUM($U$25:U33))*V34*W34/SUMPRODUCT($W34:$W$55,$V34:$V$55)),""),"")</s:f>
        <s:v>1</s:v>
      </s:c>
      <s:c r="V34" s="119">
        <s:v>0.78086381145976858</s:v>
      </s:c>
      <s:c r="W34" s="119">
        <s:v>0.78086381145976858</s:v>
      </s:c>
      <s:c r="X34" s="120"/>
      <s:c r="Y34" s="124"/>
      <s:c r="Z34" s="122"/>
      <s:c r="AA34" s="122"/>
      <s:c r="AB34" s="122"/>
      <s:c r="AC34" s="122"/>
      <s:c r="AD34" s="122"/>
      <s:c r="AE34" s="122"/>
      <s:c r="AF34" s="122"/>
      <s:c r="AG34" s="122"/>
      <s:c r="AH34" s="122"/>
      <s:c r="AI34" s="122"/>
      <s:c r="AJ34" s="122"/>
      <s:c r="AK34" s="122"/>
      <s:c r="AL34" s="122"/>
      <s:c r="AM34" s="122"/>
      <s:c r="AN34" s="122"/>
      <s:c r="AO34" s="122"/>
      <s:c r="AP34" s="122"/>
      <s:c r="AQ34" s="122"/>
      <s:c r="AR34" s="122"/>
      <s:c r="AS34" s="122"/>
      <s:c r="AT34" s="122"/>
      <s:c r="AU34" s="122"/>
      <s:c r="AV34" s="122"/>
      <s:c r="AW34" s="122"/>
      <s:c r="AX34" s="122"/>
      <s:c r="AY34" s="122"/>
      <s:c r="AZ34" s="122"/>
      <s:c r="BA34" s="122"/>
      <s:c r="BB34" s="122"/>
      <s:c r="BC34" s="122"/>
      <s:c r="BD34" s="122"/>
      <s:c r="BE34" s="122"/>
      <s:c r="BF34" s="122"/>
      <s:c r="BG34" s="122"/>
      <s:c r="BH34" s="122"/>
      <s:c r="BI34" s="122"/>
      <s:c r="BJ34" s="122"/>
      <s:c r="BK34" s="122"/>
      <s:c r="BL34" s="122"/>
      <s:c r="BM34" s="122"/>
      <s:c r="BN34" s="122"/>
      <s:c r="BO34" s="122"/>
      <s:c r="BP34" s="122"/>
      <s:c r="BQ34" s="122"/>
      <s:c r="BR34" s="122"/>
      <s:c r="BS34" s="122"/>
      <s:c r="BT34" s="122"/>
      <s:c r="BU34" s="122"/>
      <s:c r="BV34" s="122"/>
      <s:c r="BW34" s="122"/>
      <s:c r="BX34" s="122"/>
      <s:c r="BY34" s="122"/>
      <s:c r="BZ34" s="122"/>
      <s:c r="CA34" s="122"/>
      <s:c r="CB34" s="122"/>
      <s:c r="CC34" s="122"/>
      <s:c r="CD34" s="122"/>
      <s:c r="CE34" s="122"/>
      <s:c r="CF34" s="122"/>
      <s:c r="CG34" s="122"/>
      <s:c r="CH34" s="122"/>
      <s:c r="CI34" s="122"/>
      <s:c r="CJ34" s="122"/>
      <s:c r="CK34" s="122"/>
      <s:c r="CL34" s="122"/>
      <s:c r="CM34" s="122"/>
      <s:c r="CN34" s="122"/>
      <s:c r="CO34" s="122"/>
      <s:c r="CP34" s="122"/>
      <s:c r="CQ34" s="122"/>
      <s:c r="CR34" s="122"/>
      <s:c r="CS34" s="122"/>
      <s:c r="CT34" s="122"/>
      <s:c r="CU34" s="122"/>
      <s:c r="CV34" s="122"/>
      <s:c r="CW34" s="122"/>
      <s:c r="CX34" s="122"/>
      <s:c r="CY34" s="122"/>
      <s:c r="CZ34" s="122"/>
      <s:c r="DA34" s="122"/>
      <s:c r="DB34" s="122"/>
      <s:c r="DC34" s="122"/>
      <s:c r="DD34" s="122"/>
      <s:c r="DE34" s="122"/>
      <s:c r="DF34" s="122"/>
      <s:c r="DG34" s="122"/>
      <s:c r="DH34" s="122"/>
      <s:c r="DI34" s="122"/>
      <s:c r="DJ34" s="122"/>
      <s:c r="DK34" s="122"/>
      <s:c r="DL34" s="122"/>
      <s:c r="DM34" s="122"/>
      <s:c r="DN34" s="122"/>
      <s:c r="DO34" s="122"/>
      <s:c r="DP34" s="122"/>
      <s:c r="DQ34" s="122"/>
      <s:c r="DR34" s="122"/>
      <s:c r="DS34" s="122"/>
      <s:c r="DT34" s="122"/>
      <s:c r="DU34" s="122"/>
      <s:c r="DV34" s="122"/>
      <s:c r="DW34" s="122"/>
      <s:c r="DX34" s="122"/>
      <s:c r="DY34" s="122"/>
      <s:c r="DZ34" s="122"/>
      <s:c r="EA34" s="122"/>
      <s:c r="EB34" s="122"/>
      <s:c r="EC34" s="122"/>
      <s:c r="ED34" s="122"/>
      <s:c r="EE34" s="122"/>
      <s:c r="EF34" s="122"/>
      <s:c r="EG34" s="122"/>
      <s:c r="EH34" s="122"/>
      <s:c r="EI34" s="122"/>
      <s:c r="EJ34" s="122"/>
      <s:c r="EK34" s="122"/>
      <s:c r="EL34" s="122"/>
      <s:c r="EM34" s="122"/>
      <s:c r="EN34" s="122"/>
      <s:c r="EO34" s="122"/>
      <s:c r="EP34" s="122"/>
      <s:c r="EQ34" s="122"/>
      <s:c r="ER34" s="122"/>
      <s:c r="ES34" s="122"/>
      <s:c r="ET34" s="122"/>
      <s:c r="EU34" s="122"/>
      <s:c r="EV34" s="122"/>
      <s:c r="EW34" s="122"/>
      <s:c r="EX34" s="122"/>
      <s:c r="EY34" s="122"/>
      <s:c r="EZ34" s="122"/>
      <s:c r="FA34" s="122"/>
      <s:c r="FB34" s="122"/>
      <s:c r="FC34" s="122"/>
      <s:c r="FD34" s="122"/>
      <s:c r="FE34" s="122"/>
      <s:c r="FF34" s="122"/>
      <s:c r="FG34" s="122"/>
      <s:c r="FH34" s="122"/>
      <s:c r="FI34" s="122"/>
      <s:c r="FJ34" s="122"/>
      <s:c r="FK34" s="122"/>
      <s:c r="FL34" s="122"/>
      <s:c r="FM34" s="122"/>
      <s:c r="FN34" s="122"/>
      <s:c r="FO34" s="122"/>
      <s:c r="FP34" s="122"/>
      <s:c r="FQ34" s="122"/>
      <s:c r="FR34" s="122"/>
      <s:c r="FS34" s="122"/>
      <s:c r="FT34" s="122"/>
      <s:c r="FU34" s="122"/>
      <s:c r="FV34" s="122"/>
      <s:c r="FW34" s="122"/>
      <s:c r="FX34" s="122"/>
      <s:c r="FY34" s="122"/>
      <s:c r="FZ34" s="122"/>
      <s:c r="GA34" s="122"/>
      <s:c r="GB34" s="122"/>
      <s:c r="GC34" s="122"/>
      <s:c r="GD34" s="122"/>
      <s:c r="GE34" s="122"/>
      <s:c r="GF34" s="122"/>
      <s:c r="GG34" s="122"/>
      <s:c r="GH34" s="122"/>
      <s:c r="GI34" s="122"/>
      <s:c r="GJ34" s="122"/>
      <s:c r="GK34" s="122"/>
      <s:c r="GL34" s="122"/>
      <s:c r="GM34" s="122"/>
      <s:c r="GN34" s="122"/>
      <s:c r="GO34" s="122"/>
      <s:c r="GP34" s="122"/>
      <s:c r="GQ34" s="122"/>
      <s:c r="GR34" s="122"/>
      <s:c r="GS34" s="122"/>
      <s:c r="GT34" s="122"/>
      <s:c r="GU34" s="122"/>
      <s:c r="GV34" s="122"/>
      <s:c r="GW34" s="122"/>
      <s:c r="GX34" s="122"/>
      <s:c r="GY34" s="122"/>
      <s:c r="GZ34" s="122"/>
      <s:c r="HA34" s="122"/>
      <s:c r="HB34" s="122"/>
      <s:c r="HC34" s="122"/>
      <s:c r="HD34" s="122"/>
      <s:c r="HE34" s="122"/>
      <s:c r="HF34" s="122"/>
      <s:c r="HG34" s="122"/>
      <s:c r="HH34" s="122"/>
      <s:c r="HI34" s="122"/>
      <s:c r="HJ34" s="122"/>
      <s:c r="HK34" s="122"/>
      <s:c r="HL34" s="122"/>
      <s:c r="HM34" s="122"/>
      <s:c r="HN34" s="122"/>
      <s:c r="HO34" s="122"/>
      <s:c r="HP34" s="122"/>
      <s:c r="HQ34" s="122"/>
      <s:c r="HR34" s="122"/>
      <s:c r="HS34" s="122"/>
      <s:c r="HT34" s="122"/>
      <s:c r="HU34" s="122"/>
      <s:c r="HV34" s="122"/>
      <s:c r="HW34" s="122"/>
      <s:c r="HX34" s="122"/>
      <s:c r="HY34" s="122"/>
      <s:c r="HZ34" s="122"/>
      <s:c r="IA34" s="122"/>
      <s:c r="IB34" s="122"/>
      <s:c r="IC34" s="122"/>
      <s:c r="ID34" s="122"/>
      <s:c r="IE34" s="122"/>
      <s:c r="IF34" s="122"/>
      <s:c r="IG34" s="122"/>
      <s:c r="IH34" s="122"/>
      <s:c r="II34" s="122"/>
      <s:c r="IJ34" s="122"/>
      <s:c r="IK34" s="122"/>
      <s:c r="IL34" s="122"/>
      <s:c r="IM34" s="122"/>
      <s:c r="IN34" s="122"/>
      <s:c r="IO34" s="122"/>
      <s:c r="IP34" s="122"/>
      <s:c r="IQ34" s="122"/>
      <s:c r="IR34" s="122"/>
      <s:c r="IS34" s="122"/>
      <s:c r="IT34" s="122"/>
      <s:c r="IU34" s="122"/>
    </s:row>
    <s:row r="35" spans="1:255" s="109" customFormat="1">
      <s:c r="A35" s="110">
        <s:v>11</s:v>
      </s:c>
      <s:c r="B35" s="111">
        <s:v>45759</s:v>
      </s:c>
      <s:c r="C35" s="112" t="s">
        <s:v>53</s:v>
      </s:c>
      <s:c r="D35" s="113">
        <s:f>12474+37008</s:f>
        <s:v>49482</s:v>
      </s:c>
      <s:c r="E35" s="112">
        <s:v>7</s:v>
      </s:c>
      <s:c r="F35" s="114">
        <s:f>IF(AND(E35&lt;&gt;"",E35&lt;&gt;0),D35/E35,"")</s:f>
        <s:v>7068.8571428571431</s:v>
      </s:c>
      <s:c r="G35" s="114">
        <s:v>3</s:v>
      </s:c>
      <s:c r="H35" s="114">
        <s:f>IF(AND(G35&lt;&gt;"",G35&lt;&gt;0),D35/G35,"")</s:f>
        <s:v>16494</s:v>
      </s:c>
      <s:c r="I35" s="114">
        <s:v>7</s:v>
      </s:c>
      <s:c r="J35" s="113">
        <s:f>IF(AND(G35&lt;&gt;"",G35&lt;&gt;0),E35/G35,"")</s:f>
        <s:v>2.3333333333333335</s:v>
      </s:c>
      <s:c r="K35" s="114">
        <s:v>0</s:v>
      </s:c>
      <s:c r="L35" s="114">
        <s:v>37008</s:v>
      </s:c>
      <s:c r="M35" s="114"/>
      <s:c r="N35" s="115">
        <s:f>IF(AND(I35&lt;&gt;"",I35&lt;&gt;0),G35/I35,"")</s:f>
        <s:v>0.42857142857142855</s:v>
      </s:c>
      <s:c r="O35" s="116">
        <s:f>D35/P35</s:f>
        <s:v>1.2429334025898022</s:v>
      </s:c>
      <s:c r="P35" s="117">
        <s:f>$I$8*V35*W35/SUMPRODUCT($W$25:$W$55,$V$25:$V$55)</s:f>
        <s:v>39810.660729608091</s:v>
      </s:c>
      <s:c r="Q35" s="118">
        <s:f>$I$9*V35*W35/SUMPRODUCT($W$25:$W$55,$V$25:$V$55)</s:f>
        <s:v>8.0263428890338879</s:v>
      </s:c>
      <s:c r="R35" s="118">
        <s:f>IF($I$12="","",Q35/$I$12)</s:f>
        <s:v>4.5346569994541737</s:v>
      </s:c>
      <s:c r="S35" s="117">
        <s:f>IF(W35&lt;&gt;"",IF(D35&lt;&gt;"",D35,($I$8-SUM($S$25:S34))*V35*W35/SUMPRODUCT($W35:$W$55,$V35:$V$55)),"")</s:f>
        <s:v>49482</s:v>
      </s:c>
      <s:c r="T35" s="118">
        <s:f>IF(W35&lt;&gt;"",IF(E34&lt;&gt;"",E34,($I$9-SUM($T$25:T34))*V35*W35/SUMPRODUCT($W35:$W$55,$V35:$V$55)),"")</s:f>
        <s:v>1</s:v>
      </s:c>
      <s:c r="U35" s="118">
        <s:f>IF(W35&lt;&gt;"",IF($I$12&lt;&gt;"",IF(G35&lt;&gt;"",G35,($I$9/$I$12-SUM($U$25:U34))*V35*W35/SUMPRODUCT($W35:$W$55,$V35:$V$55)),""),"")</s:f>
        <s:v>3</s:v>
      </s:c>
      <s:c r="V35" s="119">
        <s:v>0.78086381145976858</s:v>
      </s:c>
      <s:c r="W35" s="119">
        <s:v>0.78086381145976858</s:v>
      </s:c>
      <s:c r="X35" s="120"/>
      <s:c r="Y35" s="124"/>
      <s:c r="Z35" s="122"/>
      <s:c r="AA35" s="122"/>
      <s:c r="AB35" s="122"/>
      <s:c r="AC35" s="122"/>
      <s:c r="AD35" s="122"/>
      <s:c r="AE35" s="122"/>
      <s:c r="AF35" s="122"/>
      <s:c r="AG35" s="122"/>
      <s:c r="AH35" s="122"/>
      <s:c r="AI35" s="122"/>
      <s:c r="AJ35" s="122"/>
      <s:c r="AK35" s="122"/>
      <s:c r="AL35" s="122"/>
      <s:c r="AM35" s="122"/>
      <s:c r="AN35" s="122"/>
      <s:c r="AO35" s="122"/>
      <s:c r="AP35" s="122"/>
      <s:c r="AQ35" s="122"/>
      <s:c r="AR35" s="122"/>
      <s:c r="AS35" s="122"/>
      <s:c r="AT35" s="122"/>
      <s:c r="AU35" s="122"/>
      <s:c r="AV35" s="122"/>
      <s:c r="AW35" s="122"/>
      <s:c r="AX35" s="122"/>
      <s:c r="AY35" s="122"/>
      <s:c r="AZ35" s="122"/>
      <s:c r="BA35" s="122"/>
      <s:c r="BB35" s="122"/>
      <s:c r="BC35" s="122"/>
      <s:c r="BD35" s="122"/>
      <s:c r="BE35" s="122"/>
      <s:c r="BF35" s="122"/>
      <s:c r="BG35" s="122"/>
      <s:c r="BH35" s="122"/>
      <s:c r="BI35" s="122"/>
      <s:c r="BJ35" s="122"/>
      <s:c r="BK35" s="122"/>
      <s:c r="BL35" s="122"/>
      <s:c r="BM35" s="122"/>
      <s:c r="BN35" s="122"/>
      <s:c r="BO35" s="122"/>
      <s:c r="BP35" s="122"/>
      <s:c r="BQ35" s="122"/>
      <s:c r="BR35" s="122"/>
      <s:c r="BS35" s="122"/>
      <s:c r="BT35" s="122"/>
      <s:c r="BU35" s="122"/>
      <s:c r="BV35" s="122"/>
      <s:c r="BW35" s="122"/>
      <s:c r="BX35" s="122"/>
      <s:c r="BY35" s="122"/>
      <s:c r="BZ35" s="122"/>
      <s:c r="CA35" s="122"/>
      <s:c r="CB35" s="122"/>
      <s:c r="CC35" s="122"/>
      <s:c r="CD35" s="122"/>
      <s:c r="CE35" s="122"/>
      <s:c r="CF35" s="122"/>
      <s:c r="CG35" s="122"/>
      <s:c r="CH35" s="122"/>
      <s:c r="CI35" s="122"/>
      <s:c r="CJ35" s="122"/>
      <s:c r="CK35" s="122"/>
      <s:c r="CL35" s="122"/>
      <s:c r="CM35" s="122"/>
      <s:c r="CN35" s="122"/>
      <s:c r="CO35" s="122"/>
      <s:c r="CP35" s="122"/>
      <s:c r="CQ35" s="122"/>
      <s:c r="CR35" s="122"/>
      <s:c r="CS35" s="122"/>
      <s:c r="CT35" s="122"/>
      <s:c r="CU35" s="122"/>
      <s:c r="CV35" s="122"/>
      <s:c r="CW35" s="122"/>
      <s:c r="CX35" s="122"/>
      <s:c r="CY35" s="122"/>
      <s:c r="CZ35" s="122"/>
      <s:c r="DA35" s="122"/>
      <s:c r="DB35" s="122"/>
      <s:c r="DC35" s="122"/>
      <s:c r="DD35" s="122"/>
      <s:c r="DE35" s="122"/>
      <s:c r="DF35" s="122"/>
      <s:c r="DG35" s="122"/>
      <s:c r="DH35" s="122"/>
      <s:c r="DI35" s="122"/>
      <s:c r="DJ35" s="122"/>
      <s:c r="DK35" s="122"/>
      <s:c r="DL35" s="122"/>
      <s:c r="DM35" s="122"/>
      <s:c r="DN35" s="122"/>
      <s:c r="DO35" s="122"/>
      <s:c r="DP35" s="122"/>
      <s:c r="DQ35" s="122"/>
      <s:c r="DR35" s="122"/>
      <s:c r="DS35" s="122"/>
      <s:c r="DT35" s="122"/>
      <s:c r="DU35" s="122"/>
      <s:c r="DV35" s="122"/>
      <s:c r="DW35" s="122"/>
      <s:c r="DX35" s="122"/>
      <s:c r="DY35" s="122"/>
      <s:c r="DZ35" s="122"/>
      <s:c r="EA35" s="122"/>
      <s:c r="EB35" s="122"/>
      <s:c r="EC35" s="122"/>
      <s:c r="ED35" s="122"/>
      <s:c r="EE35" s="122"/>
      <s:c r="EF35" s="122"/>
      <s:c r="EG35" s="122"/>
      <s:c r="EH35" s="122"/>
      <s:c r="EI35" s="122"/>
      <s:c r="EJ35" s="122"/>
      <s:c r="EK35" s="122"/>
      <s:c r="EL35" s="122"/>
      <s:c r="EM35" s="122"/>
      <s:c r="EN35" s="122"/>
      <s:c r="EO35" s="122"/>
      <s:c r="EP35" s="122"/>
      <s:c r="EQ35" s="122"/>
      <s:c r="ER35" s="122"/>
      <s:c r="ES35" s="122"/>
      <s:c r="ET35" s="122"/>
      <s:c r="EU35" s="122"/>
      <s:c r="EV35" s="122"/>
      <s:c r="EW35" s="122"/>
      <s:c r="EX35" s="122"/>
      <s:c r="EY35" s="122"/>
      <s:c r="EZ35" s="122"/>
      <s:c r="FA35" s="122"/>
      <s:c r="FB35" s="122"/>
      <s:c r="FC35" s="122"/>
      <s:c r="FD35" s="122"/>
      <s:c r="FE35" s="122"/>
      <s:c r="FF35" s="122"/>
      <s:c r="FG35" s="122"/>
      <s:c r="FH35" s="122"/>
      <s:c r="FI35" s="122"/>
      <s:c r="FJ35" s="122"/>
      <s:c r="FK35" s="122"/>
      <s:c r="FL35" s="122"/>
      <s:c r="FM35" s="122"/>
      <s:c r="FN35" s="122"/>
      <s:c r="FO35" s="122"/>
      <s:c r="FP35" s="122"/>
      <s:c r="FQ35" s="122"/>
      <s:c r="FR35" s="122"/>
      <s:c r="FS35" s="122"/>
      <s:c r="FT35" s="122"/>
      <s:c r="FU35" s="122"/>
      <s:c r="FV35" s="122"/>
      <s:c r="FW35" s="122"/>
      <s:c r="FX35" s="122"/>
      <s:c r="FY35" s="122"/>
      <s:c r="FZ35" s="122"/>
      <s:c r="GA35" s="122"/>
      <s:c r="GB35" s="122"/>
      <s:c r="GC35" s="122"/>
      <s:c r="GD35" s="122"/>
      <s:c r="GE35" s="122"/>
      <s:c r="GF35" s="122"/>
      <s:c r="GG35" s="122"/>
      <s:c r="GH35" s="122"/>
      <s:c r="GI35" s="122"/>
      <s:c r="GJ35" s="122"/>
      <s:c r="GK35" s="122"/>
      <s:c r="GL35" s="122"/>
      <s:c r="GM35" s="122"/>
      <s:c r="GN35" s="122"/>
      <s:c r="GO35" s="122"/>
      <s:c r="GP35" s="122"/>
      <s:c r="GQ35" s="122"/>
      <s:c r="GR35" s="122"/>
      <s:c r="GS35" s="122"/>
      <s:c r="GT35" s="122"/>
      <s:c r="GU35" s="122"/>
      <s:c r="GV35" s="122"/>
      <s:c r="GW35" s="122"/>
      <s:c r="GX35" s="122"/>
      <s:c r="GY35" s="122"/>
      <s:c r="GZ35" s="122"/>
      <s:c r="HA35" s="122"/>
      <s:c r="HB35" s="122"/>
      <s:c r="HC35" s="122"/>
      <s:c r="HD35" s="122"/>
      <s:c r="HE35" s="122"/>
      <s:c r="HF35" s="122"/>
      <s:c r="HG35" s="122"/>
      <s:c r="HH35" s="122"/>
      <s:c r="HI35" s="122"/>
      <s:c r="HJ35" s="122"/>
      <s:c r="HK35" s="122"/>
      <s:c r="HL35" s="122"/>
      <s:c r="HM35" s="122"/>
      <s:c r="HN35" s="122"/>
      <s:c r="HO35" s="122"/>
      <s:c r="HP35" s="122"/>
      <s:c r="HQ35" s="122"/>
      <s:c r="HR35" s="122"/>
      <s:c r="HS35" s="122"/>
      <s:c r="HT35" s="122"/>
      <s:c r="HU35" s="122"/>
      <s:c r="HV35" s="122"/>
      <s:c r="HW35" s="122"/>
      <s:c r="HX35" s="122"/>
      <s:c r="HY35" s="122"/>
      <s:c r="HZ35" s="122"/>
      <s:c r="IA35" s="122"/>
      <s:c r="IB35" s="122"/>
      <s:c r="IC35" s="122"/>
      <s:c r="ID35" s="122"/>
      <s:c r="IE35" s="122"/>
      <s:c r="IF35" s="122"/>
      <s:c r="IG35" s="122"/>
      <s:c r="IH35" s="122"/>
      <s:c r="II35" s="122"/>
      <s:c r="IJ35" s="122"/>
      <s:c r="IK35" s="122"/>
      <s:c r="IL35" s="122"/>
      <s:c r="IM35" s="122"/>
      <s:c r="IN35" s="122"/>
      <s:c r="IO35" s="122"/>
      <s:c r="IP35" s="122"/>
      <s:c r="IQ35" s="122"/>
      <s:c r="IR35" s="122"/>
      <s:c r="IS35" s="122"/>
      <s:c r="IT35" s="122"/>
      <s:c r="IU35" s="122"/>
    </s:row>
    <s:row r="36" spans="1:255" s="109" customFormat="1" ht="15.25" customHeight="1">
      <s:c r="A36" s="110">
        <s:v>12</s:v>
      </s:c>
      <s:c r="B36" s="111">
        <s:v>45760</s:v>
      </s:c>
      <s:c r="C36" s="112" t="s">
        <s:v>54</s:v>
      </s:c>
      <s:c r="D36" s="113">
        <s:v>42990</s:v>
      </s:c>
      <s:c r="E36" s="114">
        <s:v>8</s:v>
      </s:c>
      <s:c r="F36" s="114">
        <s:f>IF(AND(E36&lt;&gt;"",E36&lt;&gt;0),D36/E36,"")</s:f>
        <s:v>5373.75</s:v>
      </s:c>
      <s:c r="G36" s="114">
        <s:v>7</s:v>
      </s:c>
      <s:c r="H36" s="114">
        <s:f>IF(AND(G36&lt;&gt;"",G36&lt;&gt;0),D36/G36,"")</s:f>
        <s:v>6141.4285714285716</s:v>
      </s:c>
      <s:c r="I36" s="114">
        <s:v>30</s:v>
      </s:c>
      <s:c r="J36" s="113">
        <s:f>IF(AND(G36&lt;&gt;"",G36&lt;&gt;0),E36/G36,"")</s:f>
        <s:v>1.1428571428571428</s:v>
      </s:c>
      <s:c r="K36" s="114">
        <s:f>11993+5493</s:f>
        <s:v>17486</s:v>
      </s:c>
      <s:c r="L36" s="114"/>
      <s:c r="M36" s="114"/>
      <s:c r="N36" s="115">
        <s:f>IF(AND(I36&lt;&gt;"",I36&lt;&gt;0),G36/I36,"")</s:f>
        <s:v>0.23333333333333334</s:v>
      </s:c>
      <s:c r="O36" s="116">
        <s:f>D36/P36</s:f>
        <s:v>1.0798615047357745</s:v>
      </s:c>
      <s:c r="P36" s="117">
        <s:f>$I$8*V36*W36/SUMPRODUCT($W$25:$W$55,$V$25:$V$55)</s:f>
        <s:v>39810.660729608091</s:v>
      </s:c>
      <s:c r="Q36" s="118">
        <s:f>$I$9*V36*W36/SUMPRODUCT($W$25:$W$55,$V$25:$V$55)</s:f>
        <s:v>8.0263428890338879</s:v>
      </s:c>
      <s:c r="R36" s="118">
        <s:f>IF($I$12="","",Q36/$I$12)</s:f>
        <s:v>4.5346569994541737</s:v>
      </s:c>
      <s:c r="S36" s="117">
        <s:f>IF(W36&lt;&gt;"",IF(D36&lt;&gt;"",D36,($I$8-SUM($S$25:S35))*V36*W36/SUMPRODUCT($W36:$W$55,$V36:$V$55)),"")</s:f>
        <s:v>42990</s:v>
      </s:c>
      <s:c r="T36" s="118">
        <s:f>IF(W36&lt;&gt;"",IF(E36&lt;&gt;"",E36,($I$9-SUM($T$25:T35))*V36*W36/SUMPRODUCT($W36:$W$55,$V36:$V$55)),"")</s:f>
        <s:v>8</s:v>
      </s:c>
      <s:c r="U36" s="118">
        <s:f>IF(W36&lt;&gt;"",IF($I$12&lt;&gt;"",IF(G36&lt;&gt;"",G36,($I$9/$I$12-SUM($U$25:U35))*V36*W36/SUMPRODUCT($W36:$W$55,$V36:$V$55)),""),"")</s:f>
        <s:v>7</s:v>
      </s:c>
      <s:c r="V36" s="119">
        <s:v>0.78086381145976858</s:v>
      </s:c>
      <s:c r="W36" s="119">
        <s:v>0.78086381145976858</s:v>
      </s:c>
      <s:c r="X36" s="120"/>
      <s:c r="Y36" s="124"/>
      <s:c r="Z36" s="122"/>
      <s:c r="AA36" s="122"/>
      <s:c r="AB36" s="122"/>
      <s:c r="AC36" s="122"/>
      <s:c r="AD36" s="122"/>
      <s:c r="AE36" s="122"/>
      <s:c r="AF36" s="122"/>
      <s:c r="AG36" s="122"/>
      <s:c r="AH36" s="122"/>
      <s:c r="AI36" s="122"/>
      <s:c r="AJ36" s="122"/>
      <s:c r="AK36" s="122"/>
      <s:c r="AL36" s="122"/>
      <s:c r="AM36" s="122"/>
      <s:c r="AN36" s="122"/>
      <s:c r="AO36" s="122"/>
      <s:c r="AP36" s="122"/>
      <s:c r="AQ36" s="122"/>
      <s:c r="AR36" s="122"/>
      <s:c r="AS36" s="122"/>
      <s:c r="AT36" s="122"/>
      <s:c r="AU36" s="122"/>
      <s:c r="AV36" s="122"/>
      <s:c r="AW36" s="122"/>
      <s:c r="AX36" s="122"/>
      <s:c r="AY36" s="122"/>
      <s:c r="AZ36" s="122"/>
      <s:c r="BA36" s="122"/>
      <s:c r="BB36" s="122"/>
      <s:c r="BC36" s="122"/>
      <s:c r="BD36" s="122"/>
      <s:c r="BE36" s="122"/>
      <s:c r="BF36" s="122"/>
      <s:c r="BG36" s="122"/>
      <s:c r="BH36" s="122"/>
      <s:c r="BI36" s="122"/>
      <s:c r="BJ36" s="122"/>
      <s:c r="BK36" s="122"/>
      <s:c r="BL36" s="122"/>
      <s:c r="BM36" s="122"/>
      <s:c r="BN36" s="122"/>
      <s:c r="BO36" s="122"/>
      <s:c r="BP36" s="122"/>
      <s:c r="BQ36" s="122"/>
      <s:c r="BR36" s="122"/>
      <s:c r="BS36" s="122"/>
      <s:c r="BT36" s="122"/>
      <s:c r="BU36" s="122"/>
      <s:c r="BV36" s="122"/>
      <s:c r="BW36" s="122"/>
      <s:c r="BX36" s="122"/>
      <s:c r="BY36" s="122"/>
      <s:c r="BZ36" s="122"/>
      <s:c r="CA36" s="122"/>
      <s:c r="CB36" s="122"/>
      <s:c r="CC36" s="122"/>
      <s:c r="CD36" s="122"/>
      <s:c r="CE36" s="122"/>
      <s:c r="CF36" s="122"/>
      <s:c r="CG36" s="122"/>
      <s:c r="CH36" s="122"/>
      <s:c r="CI36" s="122"/>
      <s:c r="CJ36" s="122"/>
      <s:c r="CK36" s="122"/>
      <s:c r="CL36" s="122"/>
      <s:c r="CM36" s="122"/>
      <s:c r="CN36" s="122"/>
      <s:c r="CO36" s="122"/>
      <s:c r="CP36" s="122"/>
      <s:c r="CQ36" s="122"/>
      <s:c r="CR36" s="122"/>
      <s:c r="CS36" s="122"/>
      <s:c r="CT36" s="122"/>
      <s:c r="CU36" s="122"/>
      <s:c r="CV36" s="122"/>
      <s:c r="CW36" s="122"/>
      <s:c r="CX36" s="122"/>
      <s:c r="CY36" s="122"/>
      <s:c r="CZ36" s="122"/>
      <s:c r="DA36" s="122"/>
      <s:c r="DB36" s="122"/>
      <s:c r="DC36" s="122"/>
      <s:c r="DD36" s="122"/>
      <s:c r="DE36" s="122"/>
      <s:c r="DF36" s="122"/>
      <s:c r="DG36" s="122"/>
      <s:c r="DH36" s="122"/>
      <s:c r="DI36" s="122"/>
      <s:c r="DJ36" s="122"/>
      <s:c r="DK36" s="122"/>
      <s:c r="DL36" s="122"/>
      <s:c r="DM36" s="122"/>
      <s:c r="DN36" s="122"/>
      <s:c r="DO36" s="122"/>
      <s:c r="DP36" s="122"/>
      <s:c r="DQ36" s="122"/>
      <s:c r="DR36" s="122"/>
      <s:c r="DS36" s="122"/>
      <s:c r="DT36" s="122"/>
      <s:c r="DU36" s="122"/>
      <s:c r="DV36" s="122"/>
      <s:c r="DW36" s="122"/>
      <s:c r="DX36" s="122"/>
      <s:c r="DY36" s="122"/>
      <s:c r="DZ36" s="122"/>
      <s:c r="EA36" s="122"/>
      <s:c r="EB36" s="122"/>
      <s:c r="EC36" s="122"/>
      <s:c r="ED36" s="122"/>
      <s:c r="EE36" s="122"/>
      <s:c r="EF36" s="122"/>
      <s:c r="EG36" s="122"/>
      <s:c r="EH36" s="122"/>
      <s:c r="EI36" s="122"/>
      <s:c r="EJ36" s="122"/>
      <s:c r="EK36" s="122"/>
      <s:c r="EL36" s="122"/>
      <s:c r="EM36" s="122"/>
      <s:c r="EN36" s="122"/>
      <s:c r="EO36" s="122"/>
      <s:c r="EP36" s="122"/>
      <s:c r="EQ36" s="122"/>
      <s:c r="ER36" s="122"/>
      <s:c r="ES36" s="122"/>
      <s:c r="ET36" s="122"/>
      <s:c r="EU36" s="122"/>
      <s:c r="EV36" s="122"/>
      <s:c r="EW36" s="122"/>
      <s:c r="EX36" s="122"/>
      <s:c r="EY36" s="122"/>
      <s:c r="EZ36" s="122"/>
      <s:c r="FA36" s="122"/>
      <s:c r="FB36" s="122"/>
      <s:c r="FC36" s="122"/>
      <s:c r="FD36" s="122"/>
      <s:c r="FE36" s="122"/>
      <s:c r="FF36" s="122"/>
      <s:c r="FG36" s="122"/>
      <s:c r="FH36" s="122"/>
      <s:c r="FI36" s="122"/>
      <s:c r="FJ36" s="122"/>
      <s:c r="FK36" s="122"/>
      <s:c r="FL36" s="122"/>
      <s:c r="FM36" s="122"/>
      <s:c r="FN36" s="122"/>
      <s:c r="FO36" s="122"/>
      <s:c r="FP36" s="122"/>
      <s:c r="FQ36" s="122"/>
      <s:c r="FR36" s="122"/>
      <s:c r="FS36" s="122"/>
      <s:c r="FT36" s="122"/>
      <s:c r="FU36" s="122"/>
      <s:c r="FV36" s="122"/>
      <s:c r="FW36" s="122"/>
      <s:c r="FX36" s="122"/>
      <s:c r="FY36" s="122"/>
      <s:c r="FZ36" s="122"/>
      <s:c r="GA36" s="122"/>
      <s:c r="GB36" s="122"/>
      <s:c r="GC36" s="122"/>
      <s:c r="GD36" s="122"/>
      <s:c r="GE36" s="122"/>
      <s:c r="GF36" s="122"/>
      <s:c r="GG36" s="122"/>
      <s:c r="GH36" s="122"/>
      <s:c r="GI36" s="122"/>
      <s:c r="GJ36" s="122"/>
      <s:c r="GK36" s="122"/>
      <s:c r="GL36" s="122"/>
      <s:c r="GM36" s="122"/>
      <s:c r="GN36" s="122"/>
      <s:c r="GO36" s="122"/>
      <s:c r="GP36" s="122"/>
      <s:c r="GQ36" s="122"/>
      <s:c r="GR36" s="122"/>
      <s:c r="GS36" s="122"/>
      <s:c r="GT36" s="122"/>
      <s:c r="GU36" s="122"/>
      <s:c r="GV36" s="122"/>
      <s:c r="GW36" s="122"/>
      <s:c r="GX36" s="122"/>
      <s:c r="GY36" s="122"/>
      <s:c r="GZ36" s="122"/>
      <s:c r="HA36" s="122"/>
      <s:c r="HB36" s="122"/>
      <s:c r="HC36" s="122"/>
      <s:c r="HD36" s="122"/>
      <s:c r="HE36" s="122"/>
      <s:c r="HF36" s="122"/>
      <s:c r="HG36" s="122"/>
      <s:c r="HH36" s="122"/>
      <s:c r="HI36" s="122"/>
      <s:c r="HJ36" s="122"/>
      <s:c r="HK36" s="122"/>
      <s:c r="HL36" s="122"/>
      <s:c r="HM36" s="122"/>
      <s:c r="HN36" s="122"/>
      <s:c r="HO36" s="122"/>
      <s:c r="HP36" s="122"/>
      <s:c r="HQ36" s="122"/>
      <s:c r="HR36" s="122"/>
      <s:c r="HS36" s="122"/>
      <s:c r="HT36" s="122"/>
      <s:c r="HU36" s="122"/>
      <s:c r="HV36" s="122"/>
      <s:c r="HW36" s="122"/>
      <s:c r="HX36" s="122"/>
      <s:c r="HY36" s="122"/>
      <s:c r="HZ36" s="122"/>
      <s:c r="IA36" s="122"/>
      <s:c r="IB36" s="122"/>
      <s:c r="IC36" s="122"/>
      <s:c r="ID36" s="122"/>
      <s:c r="IE36" s="122"/>
      <s:c r="IF36" s="122"/>
      <s:c r="IG36" s="122"/>
      <s:c r="IH36" s="122"/>
      <s:c r="II36" s="122"/>
      <s:c r="IJ36" s="122"/>
      <s:c r="IK36" s="122"/>
      <s:c r="IL36" s="122"/>
      <s:c r="IM36" s="122"/>
      <s:c r="IN36" s="122"/>
      <s:c r="IO36" s="122"/>
      <s:c r="IP36" s="122"/>
      <s:c r="IQ36" s="122"/>
      <s:c r="IR36" s="122"/>
      <s:c r="IS36" s="122"/>
      <s:c r="IT36" s="122"/>
      <s:c r="IU36" s="122"/>
    </s:row>
    <s:row r="37">
      <s:c r="A37" s="95">
        <s:v>13</s:v>
      </s:c>
      <s:c r="B37" s="96">
        <s:v>45761</s:v>
      </s:c>
      <s:c r="C37" s="97" t="s">
        <s:v>55</s:v>
      </s:c>
      <s:c r="D37" s="98">
        <s:f>84715+10903</s:f>
        <s:v>95618</s:v>
      </s:c>
      <s:c r="E37" s="99">
        <s:v>22</s:v>
      </s:c>
      <s:c r="F37" s="99">
        <s:f>IF(AND(E37&lt;&gt;"",E37&lt;&gt;0),D37/E37,"")</s:f>
        <s:v>4346.272727272727</s:v>
      </s:c>
      <s:c r="G37" s="99">
        <s:v>11</s:v>
      </s:c>
      <s:c r="H37" s="99">
        <s:f>IF(AND(G37&lt;&gt;"",G37&lt;&gt;0),D37/G37,"")</s:f>
        <s:v>8692.545454545454</s:v>
      </s:c>
      <s:c r="I37" s="99">
        <s:v>40</s:v>
      </s:c>
      <s:c r="J37" s="98">
        <s:f>IF(AND(G37&lt;&gt;"",G37&lt;&gt;0),E37/G37,"")</s:f>
        <s:v>2</s:v>
      </s:c>
      <s:c r="K37" s="99"/>
      <s:c r="L37" s="99">
        <s:v>10903</s:v>
      </s:c>
      <s:c r="M37" s="99"/>
      <s:c r="N37" s="100">
        <s:f>IF(AND(I37&lt;&gt;"",I37&lt;&gt;0),G37/I37,"")</s:f>
        <s:v>0.27500000000000002</s:v>
      </s:c>
      <s:c r="O37" s="101">
        <s:f>D37/P37</s:f>
        <s:v>1.537764696909184</s:v>
      </s:c>
      <s:c r="P37" s="102">
        <s:f>$I$8*V37*W37/SUMPRODUCT($W$25:$W$55,$V$25:$V$55)</s:f>
        <s:v>62179.864183503829</s:v>
      </s:c>
      <s:c r="Q37" s="103">
        <s:f>$I$9*V37*W37/SUMPRODUCT($W$25:$W$55,$V$25:$V$55)</s:f>
        <s:v>12.536262940222546</s:v>
      </s:c>
      <s:c r="R37" s="103">
        <s:f>IF($I$12="","",Q37/$I$12)</s:f>
        <s:v>7.0826344295042629</s:v>
      </s:c>
      <s:c r="S37" s="102">
        <s:f>IF(W37&lt;&gt;"",IF(D37&lt;&gt;"",D37,($I$8-SUM($S$25:S36))*V37*W37/SUMPRODUCT($W37:$W$55,$V37:$V$55)),"")</s:f>
        <s:v>95618</s:v>
      </s:c>
      <s:c r="T37" s="103">
        <s:f>IF(W37&lt;&gt;"",IF(E37&lt;&gt;"",E37,($I$9-SUM($T$25:T36))*V37*W37/SUMPRODUCT($W37:$W$55,$V37:$V$55)),"")</s:f>
        <s:v>22</s:v>
      </s:c>
      <s:c r="U37" s="103">
        <s:f>IF(W37&lt;&gt;"",IF($I$12&lt;&gt;"",IF(G37&lt;&gt;"",G37,($I$9/$I$12-SUM($U$25:U36))*V37*W37/SUMPRODUCT($W37:$W$55,$V37:$V$55)),""),"")</s:f>
        <s:v>11</s:v>
      </s:c>
      <s:c r="V37" s="104">
        <s:v>0.97588914665651838</s:v>
      </s:c>
      <s:c r="W37" s="104">
        <s:v>0.97588914665651838</s:v>
      </s:c>
      <s:c r="X37" s="107"/>
      <s:c r="Y37" s="106"/>
      <s:c r="Z37" s="2"/>
      <s:c r="AA37" s="2"/>
      <s:c r="AB37" s="2"/>
      <s:c r="AC37" s="2"/>
      <s:c r="AD37" s="2"/>
    </s:row>
    <s:row r="38">
      <s:c r="A38" s="95">
        <s:v>14</s:v>
      </s:c>
      <s:c r="B38" s="96">
        <s:v>45762</s:v>
      </s:c>
      <s:c r="C38" s="97" t="s">
        <s:v>48</s:v>
      </s:c>
      <s:c r="D38" s="98">
        <s:v>59588</s:v>
      </s:c>
      <s:c r="E38" s="99">
        <s:v>12</s:v>
      </s:c>
      <s:c r="F38" s="99">
        <s:f>IF(AND(E38&lt;&gt;"",E38&lt;&gt;0),D38/E38,"")</s:f>
        <s:v>4965.666666666667</s:v>
      </s:c>
      <s:c r="G38" s="99">
        <s:v>4</s:v>
      </s:c>
      <s:c r="H38" s="99">
        <s:f>IF(AND(G38&lt;&gt;"",G38&lt;&gt;0),D38/G38,"")</s:f>
        <s:v>14897</s:v>
      </s:c>
      <s:c r="I38" s="99">
        <s:v>30</s:v>
      </s:c>
      <s:c r="J38" s="98">
        <s:f>IF(AND(G38&lt;&gt;"",G38&lt;&gt;0),E38/G38,"")</s:f>
        <s:v>3</s:v>
      </s:c>
      <s:c r="K38" s="99">
        <s:v>23982</s:v>
      </s:c>
      <s:c r="L38" s="99"/>
      <s:c r="M38" s="99"/>
      <s:c r="N38" s="100">
        <s:f>IF(AND(I38&lt;&gt;"",I38&lt;&gt;0),G38/I38,"")</s:f>
        <s:v>0.13333333333333333</s:v>
      </s:c>
      <s:c r="O38" s="101">
        <s:f>D38/P38</s:f>
        <s:v>0.95831666380205049</s:v>
      </s:c>
      <s:c r="P38" s="102">
        <s:f>$I$8*V38*W38/SUMPRODUCT($W$25:$W$55,$V$25:$V$55)</s:f>
        <s:v>62179.864183503829</s:v>
      </s:c>
      <s:c r="Q38" s="103">
        <s:f>$I$9*V38*W38/SUMPRODUCT($W$25:$W$55,$V$25:$V$55)</s:f>
        <s:v>12.536262940222546</s:v>
      </s:c>
      <s:c r="R38" s="103">
        <s:f>IF($I$12="","",Q38/$I$12)</s:f>
        <s:v>7.0826344295042629</s:v>
      </s:c>
      <s:c r="S38" s="102">
        <s:f>IF(W38&lt;&gt;"",IF(D38&lt;&gt;"",D38,($I$8-SUM($S$25:S37))*V38*W38/SUMPRODUCT($W38:$W$55,$V38:$V$55)),"")</s:f>
        <s:v>59588</s:v>
      </s:c>
      <s:c r="T38" s="103">
        <s:f>IF(W38&lt;&gt;"",IF(E38&lt;&gt;"",E38,($I$9-SUM($T$25:T37))*V38*W38/SUMPRODUCT($W38:$W$55,$V38:$V$55)),"")</s:f>
        <s:v>12</s:v>
      </s:c>
      <s:c r="U38" s="103">
        <s:f>IF(W38&lt;&gt;"",IF($I$12&lt;&gt;"",IF(G38&lt;&gt;"",G38,($I$9/$I$12-SUM($U$25:U37))*V38*W38/SUMPRODUCT($W38:$W$55,$V38:$V$55)),""),"")</s:f>
        <s:v>4</s:v>
      </s:c>
      <s:c r="V38" s="104">
        <s:v>0.97588914665651838</s:v>
      </s:c>
      <s:c r="W38" s="104">
        <s:v>0.97588914665651838</s:v>
      </s:c>
      <s:c r="X38" s="107"/>
      <s:c r="Y38" s="106"/>
      <s:c r="Z38" s="2"/>
      <s:c r="AA38" s="2"/>
      <s:c r="AB38" s="2"/>
      <s:c r="AC38" s="2"/>
      <s:c r="AD38" s="2"/>
    </s:row>
    <s:row r="39">
      <s:c r="A39" s="95">
        <s:v>15</s:v>
      </s:c>
      <s:c r="B39" s="255">
        <s:v>45763</s:v>
      </s:c>
      <s:c r="C39" s="256" t="s">
        <s:v>49</s:v>
      </s:c>
      <s:c r="D39" s="257">
        <s:f>40943-6484</s:f>
        <s:v>34459</s:v>
      </s:c>
      <s:c r="E39" s="258">
        <s:v>5</s:v>
      </s:c>
      <s:c r="F39" s="258">
        <s:v>5849</s:v>
      </s:c>
      <s:c r="G39" s="258">
        <s:v>4</s:v>
      </s:c>
      <s:c r="H39" s="258">
        <s:v>6824</s:v>
      </s:c>
      <s:c r="I39" s="258">
        <s:v>15</s:v>
      </s:c>
      <s:c r="J39" s="259">
        <s:v>1.17</s:v>
      </s:c>
      <s:c r="K39" s="258">
        <s:v>13993</s:v>
      </s:c>
      <s:c r="L39" s="258"/>
      <s:c r="M39" s="258"/>
      <s:c r="N39" s="260">
        <s:v>0.2</s:v>
      </s:c>
      <s:c r="O39" s="261">
        <s:v>0.46</s:v>
      </s:c>
      <s:c r="P39" s="262">
        <s:v>89681</s:v>
      </s:c>
      <s:c r="Q39" s="263">
        <s:v>18</s:v>
      </s:c>
      <s:c r="R39" s="263">
        <s:v>10</s:v>
      </s:c>
      <s:c r="S39" s="262">
        <s:v>40943</s:v>
      </s:c>
      <s:c r="T39" s="263">
        <s:v>7</s:v>
      </s:c>
      <s:c r="U39" s="263">
        <s:v>6</s:v>
      </s:c>
      <s:c r="V39" s="264">
        <s:v>0.98</s:v>
      </s:c>
      <s:c r="W39" s="264">
        <s:v>0.98</s:v>
      </s:c>
      <s:c r="X39" s="107"/>
      <s:c r="Y39" s="106"/>
      <s:c r="Z39" s="2"/>
      <s:c r="AA39" s="2"/>
      <s:c r="AB39" s="2"/>
      <s:c r="AC39" s="2"/>
      <s:c r="AD39" s="2"/>
    </s:row>
    <s:row r="40">
      <s:c r="A40" s="95">
        <s:v>16</s:v>
      </s:c>
      <s:c r="B40" s="255">
        <s:v>45764</s:v>
      </s:c>
      <s:c r="C40" s="256" t="s">
        <s:v>51</s:v>
      </s:c>
      <s:c r="D40" s="257">
        <s:f>96243-47425-15867-7903</s:f>
        <s:v>25048</s:v>
      </s:c>
      <s:c r="E40" s="258">
        <s:v>6</s:v>
      </s:c>
      <s:c r="F40" s="258">
        <s:v>7403</s:v>
      </s:c>
      <s:c r="G40" s="258">
        <s:v>4</s:v>
      </s:c>
      <s:c r="H40" s="258">
        <s:v>10694</s:v>
      </s:c>
      <s:c r="I40" s="258">
        <s:v>20</s:v>
      </s:c>
      <s:c r="J40" s="259">
        <s:v>1.44</s:v>
      </s:c>
      <s:c r="K40" s="258"/>
      <s:c r="L40" s="258"/>
      <s:c r="M40" s="258"/>
      <s:c r="N40" s="260">
        <s:v>0.22500000000000001</s:v>
      </s:c>
      <s:c r="O40" s="265">
        <s:v>1.01</s:v>
      </s:c>
      <s:c r="P40" s="262">
        <s:v>95313</s:v>
      </s:c>
      <s:c r="Q40" s="263">
        <s:v>19</s:v>
      </s:c>
      <s:c r="R40" s="263">
        <s:v>11</s:v>
      </s:c>
      <s:c r="S40" s="262">
        <s:v>96243</s:v>
      </s:c>
      <s:c r="T40" s="263">
        <s:v>13</s:v>
      </s:c>
      <s:c r="U40" s="263">
        <s:v>9</s:v>
      </s:c>
      <s:c r="V40" s="264">
        <s:v>1</s:v>
      </s:c>
      <s:c r="W40" s="264">
        <s:v>1</s:v>
      </s:c>
      <s:c r="X40" s="107"/>
      <s:c r="Y40" s="106"/>
      <s:c r="Z40" s="2"/>
      <s:c r="AA40" s="2"/>
      <s:c r="AB40" s="2"/>
      <s:c r="AC40" s="2"/>
      <s:c r="AD40" s="2"/>
    </s:row>
    <s:row r="41" spans="1:255" s="109" customFormat="1">
      <s:c r="A41" s="110">
        <s:v>17</s:v>
      </s:c>
      <s:c r="B41" s="111">
        <s:v>45765</s:v>
      </s:c>
      <s:c r="C41" s="112" t="s">
        <s:v>52</s:v>
      </s:c>
      <s:c r="D41" s="113">
        <s:f>124304</s:f>
        <s:v>124304</s:v>
      </s:c>
      <s:c r="E41" s="114">
        <s:v>14</s:v>
      </s:c>
      <s:c r="F41" s="114">
        <s:f>IF(AND(E41&lt;&gt;"",E41&lt;&gt;0),D41/E41,"")</s:f>
        <s:v>8878.8571428571431</s:v>
      </s:c>
      <s:c r="G41" s="114">
        <s:v>6</s:v>
      </s:c>
      <s:c r="H41" s="114">
        <s:f>IF(AND(G41&lt;&gt;"",G41&lt;&gt;0),D41/G41,"")</s:f>
        <s:v>20717.333333333332</s:v>
      </s:c>
      <s:c r="I41" s="114">
        <s:v>15</s:v>
      </s:c>
      <s:c r="J41" s="113">
        <s:f>IF(AND(G41&lt;&gt;"",G41&lt;&gt;0),E41/G41,"")</s:f>
        <s:v>2.3333333333333335</s:v>
      </s:c>
      <s:c r="K41" s="114">
        <s:v>64967</s:v>
      </s:c>
      <s:c r="L41" s="114"/>
      <s:c r="M41" s="114"/>
      <s:c r="N41" s="115">
        <s:f>IF(AND(I41&lt;&gt;"",I41&lt;&gt;0),G41/I41,"")</s:f>
        <s:v>0.4</s:v>
      </s:c>
      <s:c r="O41" s="116">
        <s:f>D41/P41</s:f>
        <s:v>1.3811074531306071</s:v>
      </s:c>
      <s:c r="P41" s="117">
        <s:f>$I$8*V41*W41/SUMPRODUCT($W$25:$W$55,$V$25:$V$55)</s:f>
        <s:v>90003.134599147626</s:v>
      </s:c>
      <s:c r="Q41" s="118">
        <s:f>$I$9*V41*W41/SUMPRODUCT($W$25:$W$55,$V$25:$V$55)</s:f>
        <s:v>18.145793265957181</s:v>
      </s:c>
      <s:c r="R41" s="118">
        <s:f>IF($I$12="","",Q41/$I$12)</s:f>
        <s:v>10.251860602235695</s:v>
      </s:c>
      <s:c r="S41" s="117">
        <s:f>IF(W41&lt;&gt;"",IF(D41&lt;&gt;"",D41,($I$8-SUM($S$25:S40))*V41*W41/SUMPRODUCT($W41:$W$55,$V41:$V$55)),"")</s:f>
        <s:v>124304</s:v>
      </s:c>
      <s:c r="T41" s="118">
        <s:f>IF(W41&lt;&gt;"",IF(E41&lt;&gt;"",E41,($I$9-SUM($T$25:T40))*V41*W41/SUMPRODUCT($W41:$W$55,$V41:$V$55)),"")</s:f>
        <s:v>14</s:v>
      </s:c>
      <s:c r="U41" s="118">
        <s:f>IF(W41&lt;&gt;"",IF($I$12&lt;&gt;"",IF(G41&lt;&gt;"",G41,($I$9/$I$12-SUM($U$25:U40))*V41*W41/SUMPRODUCT($W41:$W$55,$V41:$V$55)),""),"")</s:f>
        <s:v>6</s:v>
      </s:c>
      <s:c r="V41" s="119">
        <s:v>1.1740981968092847</s:v>
      </s:c>
      <s:c r="W41" s="119">
        <s:v>1.1740981968092847</s:v>
      </s:c>
      <s:c r="X41" s="120"/>
      <s:c r="Y41" s="124"/>
      <s:c r="Z41" s="122"/>
      <s:c r="AA41" s="122"/>
      <s:c r="AB41" s="122"/>
      <s:c r="AC41" s="122"/>
      <s:c r="AD41" s="122"/>
      <s:c r="AE41" s="122"/>
      <s:c r="AF41" s="122"/>
      <s:c r="AG41" s="122"/>
      <s:c r="AH41" s="122"/>
      <s:c r="AI41" s="122"/>
      <s:c r="AJ41" s="122"/>
      <s:c r="AK41" s="122"/>
      <s:c r="AL41" s="122"/>
      <s:c r="AM41" s="122"/>
      <s:c r="AN41" s="122"/>
      <s:c r="AO41" s="122"/>
      <s:c r="AP41" s="122"/>
      <s:c r="AQ41" s="122"/>
      <s:c r="AR41" s="122"/>
      <s:c r="AS41" s="122"/>
      <s:c r="AT41" s="122"/>
      <s:c r="AU41" s="122"/>
      <s:c r="AV41" s="122"/>
      <s:c r="AW41" s="122"/>
      <s:c r="AX41" s="122"/>
      <s:c r="AY41" s="122"/>
      <s:c r="AZ41" s="122"/>
      <s:c r="BA41" s="122"/>
      <s:c r="BB41" s="122"/>
      <s:c r="BC41" s="122"/>
      <s:c r="BD41" s="122"/>
      <s:c r="BE41" s="122"/>
      <s:c r="BF41" s="122"/>
      <s:c r="BG41" s="122"/>
      <s:c r="BH41" s="122"/>
      <s:c r="BI41" s="122"/>
      <s:c r="BJ41" s="122"/>
      <s:c r="BK41" s="122"/>
      <s:c r="BL41" s="122"/>
      <s:c r="BM41" s="122"/>
      <s:c r="BN41" s="122"/>
      <s:c r="BO41" s="122"/>
      <s:c r="BP41" s="122"/>
      <s:c r="BQ41" s="122"/>
      <s:c r="BR41" s="122"/>
      <s:c r="BS41" s="122"/>
      <s:c r="BT41" s="122"/>
      <s:c r="BU41" s="122"/>
      <s:c r="BV41" s="122"/>
      <s:c r="BW41" s="122"/>
      <s:c r="BX41" s="122"/>
      <s:c r="BY41" s="122"/>
      <s:c r="BZ41" s="122"/>
      <s:c r="CA41" s="122"/>
      <s:c r="CB41" s="122"/>
      <s:c r="CC41" s="122"/>
      <s:c r="CD41" s="122"/>
      <s:c r="CE41" s="122"/>
      <s:c r="CF41" s="122"/>
      <s:c r="CG41" s="122"/>
      <s:c r="CH41" s="122"/>
      <s:c r="CI41" s="122"/>
      <s:c r="CJ41" s="122"/>
      <s:c r="CK41" s="122"/>
      <s:c r="CL41" s="122"/>
      <s:c r="CM41" s="122"/>
      <s:c r="CN41" s="122"/>
      <s:c r="CO41" s="122"/>
      <s:c r="CP41" s="122"/>
      <s:c r="CQ41" s="122"/>
      <s:c r="CR41" s="122"/>
      <s:c r="CS41" s="122"/>
      <s:c r="CT41" s="122"/>
      <s:c r="CU41" s="122"/>
      <s:c r="CV41" s="122"/>
      <s:c r="CW41" s="122"/>
      <s:c r="CX41" s="122"/>
      <s:c r="CY41" s="122"/>
      <s:c r="CZ41" s="122"/>
      <s:c r="DA41" s="122"/>
      <s:c r="DB41" s="122"/>
      <s:c r="DC41" s="122"/>
      <s:c r="DD41" s="122"/>
      <s:c r="DE41" s="122"/>
      <s:c r="DF41" s="122"/>
      <s:c r="DG41" s="122"/>
      <s:c r="DH41" s="122"/>
      <s:c r="DI41" s="122"/>
      <s:c r="DJ41" s="122"/>
      <s:c r="DK41" s="122"/>
      <s:c r="DL41" s="122"/>
      <s:c r="DM41" s="122"/>
      <s:c r="DN41" s="122"/>
      <s:c r="DO41" s="122"/>
      <s:c r="DP41" s="122"/>
      <s:c r="DQ41" s="122"/>
      <s:c r="DR41" s="122"/>
      <s:c r="DS41" s="122"/>
      <s:c r="DT41" s="122"/>
      <s:c r="DU41" s="122"/>
      <s:c r="DV41" s="122"/>
      <s:c r="DW41" s="122"/>
      <s:c r="DX41" s="122"/>
      <s:c r="DY41" s="122"/>
      <s:c r="DZ41" s="122"/>
      <s:c r="EA41" s="122"/>
      <s:c r="EB41" s="122"/>
      <s:c r="EC41" s="122"/>
      <s:c r="ED41" s="122"/>
      <s:c r="EE41" s="122"/>
      <s:c r="EF41" s="122"/>
      <s:c r="EG41" s="122"/>
      <s:c r="EH41" s="122"/>
      <s:c r="EI41" s="122"/>
      <s:c r="EJ41" s="122"/>
      <s:c r="EK41" s="122"/>
      <s:c r="EL41" s="122"/>
      <s:c r="EM41" s="122"/>
      <s:c r="EN41" s="122"/>
      <s:c r="EO41" s="122"/>
      <s:c r="EP41" s="122"/>
      <s:c r="EQ41" s="122"/>
      <s:c r="ER41" s="122"/>
      <s:c r="ES41" s="122"/>
      <s:c r="ET41" s="122"/>
      <s:c r="EU41" s="122"/>
      <s:c r="EV41" s="122"/>
      <s:c r="EW41" s="122"/>
      <s:c r="EX41" s="122"/>
      <s:c r="EY41" s="122"/>
      <s:c r="EZ41" s="122"/>
      <s:c r="FA41" s="122"/>
      <s:c r="FB41" s="122"/>
      <s:c r="FC41" s="122"/>
      <s:c r="FD41" s="122"/>
      <s:c r="FE41" s="122"/>
      <s:c r="FF41" s="122"/>
      <s:c r="FG41" s="122"/>
      <s:c r="FH41" s="122"/>
      <s:c r="FI41" s="122"/>
      <s:c r="FJ41" s="122"/>
      <s:c r="FK41" s="122"/>
      <s:c r="FL41" s="122"/>
      <s:c r="FM41" s="122"/>
      <s:c r="FN41" s="122"/>
      <s:c r="FO41" s="122"/>
      <s:c r="FP41" s="122"/>
      <s:c r="FQ41" s="122"/>
      <s:c r="FR41" s="122"/>
      <s:c r="FS41" s="122"/>
      <s:c r="FT41" s="122"/>
      <s:c r="FU41" s="122"/>
      <s:c r="FV41" s="122"/>
      <s:c r="FW41" s="122"/>
      <s:c r="FX41" s="122"/>
      <s:c r="FY41" s="122"/>
      <s:c r="FZ41" s="122"/>
      <s:c r="GA41" s="122"/>
      <s:c r="GB41" s="122"/>
      <s:c r="GC41" s="122"/>
      <s:c r="GD41" s="122"/>
      <s:c r="GE41" s="122"/>
      <s:c r="GF41" s="122"/>
      <s:c r="GG41" s="122"/>
      <s:c r="GH41" s="122"/>
      <s:c r="GI41" s="122"/>
      <s:c r="GJ41" s="122"/>
      <s:c r="GK41" s="122"/>
      <s:c r="GL41" s="122"/>
      <s:c r="GM41" s="122"/>
      <s:c r="GN41" s="122"/>
      <s:c r="GO41" s="122"/>
      <s:c r="GP41" s="122"/>
      <s:c r="GQ41" s="122"/>
      <s:c r="GR41" s="122"/>
      <s:c r="GS41" s="122"/>
      <s:c r="GT41" s="122"/>
      <s:c r="GU41" s="122"/>
      <s:c r="GV41" s="122"/>
      <s:c r="GW41" s="122"/>
      <s:c r="GX41" s="122"/>
      <s:c r="GY41" s="122"/>
      <s:c r="GZ41" s="122"/>
      <s:c r="HA41" s="122"/>
      <s:c r="HB41" s="122"/>
      <s:c r="HC41" s="122"/>
      <s:c r="HD41" s="122"/>
      <s:c r="HE41" s="122"/>
      <s:c r="HF41" s="122"/>
      <s:c r="HG41" s="122"/>
      <s:c r="HH41" s="122"/>
      <s:c r="HI41" s="122"/>
      <s:c r="HJ41" s="122"/>
      <s:c r="HK41" s="122"/>
      <s:c r="HL41" s="122"/>
      <s:c r="HM41" s="122"/>
      <s:c r="HN41" s="122"/>
      <s:c r="HO41" s="122"/>
      <s:c r="HP41" s="122"/>
      <s:c r="HQ41" s="122"/>
      <s:c r="HR41" s="122"/>
      <s:c r="HS41" s="122"/>
      <s:c r="HT41" s="122"/>
      <s:c r="HU41" s="122"/>
      <s:c r="HV41" s="122"/>
      <s:c r="HW41" s="122"/>
      <s:c r="HX41" s="122"/>
      <s:c r="HY41" s="122"/>
      <s:c r="HZ41" s="122"/>
      <s:c r="IA41" s="122"/>
      <s:c r="IB41" s="122"/>
      <s:c r="IC41" s="122"/>
      <s:c r="ID41" s="122"/>
      <s:c r="IE41" s="122"/>
      <s:c r="IF41" s="122"/>
      <s:c r="IG41" s="122"/>
      <s:c r="IH41" s="122"/>
      <s:c r="II41" s="122"/>
      <s:c r="IJ41" s="122"/>
      <s:c r="IK41" s="122"/>
      <s:c r="IL41" s="122"/>
      <s:c r="IM41" s="122"/>
      <s:c r="IN41" s="122"/>
      <s:c r="IO41" s="122"/>
      <s:c r="IP41" s="122"/>
      <s:c r="IQ41" s="122"/>
      <s:c r="IR41" s="122"/>
      <s:c r="IS41" s="122"/>
      <s:c r="IT41" s="122"/>
      <s:c r="IU41" s="122"/>
    </s:row>
    <s:row r="42" spans="1:255" s="109" customFormat="1">
      <s:c r="A42" s="110">
        <s:v>18</s:v>
      </s:c>
      <s:c r="B42" s="111">
        <s:v>45766</s:v>
      </s:c>
      <s:c r="C42" s="112" t="s">
        <s:v>53</s:v>
      </s:c>
      <s:c r="D42" s="113">
        <s:v>45289</s:v>
      </s:c>
      <s:c r="E42" s="114">
        <s:v>10</s:v>
      </s:c>
      <s:c r="F42" s="114">
        <s:f>IF(AND(E42&lt;&gt;"",E42&lt;&gt;0),D42/E42,"")</s:f>
        <s:v>4528.8999999999996</s:v>
      </s:c>
      <s:c r="G42" s="114">
        <s:v>6</s:v>
      </s:c>
      <s:c r="H42" s="114">
        <s:f>IF(AND(G42&lt;&gt;"",G42&lt;&gt;0),D42/G42,"")</s:f>
        <s:v>7548.166666666667</s:v>
      </s:c>
      <s:c r="I42" s="114">
        <s:v>25</s:v>
      </s:c>
      <s:c r="J42" s="113">
        <s:f>IF(AND(G42&lt;&gt;"",G42&lt;&gt;0),E42/G42,"")</s:f>
        <s:v>1.6666666666666667</s:v>
      </s:c>
      <s:c r="K42" s="114">
        <s:v>12992</s:v>
      </s:c>
      <s:c r="L42" s="114"/>
      <s:c r="M42" s="114"/>
      <s:c r="N42" s="115">
        <s:f>IF(AND(I42&lt;&gt;"",I42&lt;&gt;0),G42/I42,"")</s:f>
        <s:v>0.24</s:v>
      </s:c>
      <s:c r="O42" s="116">
        <s:f>D42/P42</s:f>
        <s:v>0.50319358544239978</s:v>
      </s:c>
      <s:c r="P42" s="117">
        <s:f>$I$8*V42*W42/SUMPRODUCT($W$25:$W$55,$V$25:$V$55)</s:f>
        <s:v>90003.134599147626</s:v>
      </s:c>
      <s:c r="Q42" s="118">
        <s:f>$I$9*V42*W42/SUMPRODUCT($W$25:$W$55,$V$25:$V$55)</s:f>
        <s:v>18.145793265957181</s:v>
      </s:c>
      <s:c r="R42" s="118">
        <s:f>IF($I$12="","",Q42/$I$12)</s:f>
        <s:v>10.251860602235695</s:v>
      </s:c>
      <s:c r="S42" s="117">
        <s:f>IF(W42&lt;&gt;"",IF(D42&lt;&gt;"",D42,($I$8-SUM($S$25:S41))*V42*W42/SUMPRODUCT($W42:$W$55,$V42:$V$55)),"")</s:f>
        <s:v>45289</s:v>
      </s:c>
      <s:c r="T42" s="118">
        <s:f>IF(W42&lt;&gt;"",IF(E42&lt;&gt;"",E42,($I$9-SUM($T$25:T41))*V42*W42/SUMPRODUCT($W42:$W$55,$V42:$V$55)),"")</s:f>
        <s:v>10</s:v>
      </s:c>
      <s:c r="U42" s="118">
        <s:f>IF(W42&lt;&gt;"",IF($I$12&lt;&gt;"",IF(G42&lt;&gt;"",G42,($I$9/$I$12-SUM($U$25:U41))*V42*W42/SUMPRODUCT($W42:$W$55,$V42:$V$55)),""),"")</s:f>
        <s:v>6</s:v>
      </s:c>
      <s:c r="V42" s="119">
        <s:v>1.1740981968092847</s:v>
      </s:c>
      <s:c r="W42" s="119">
        <s:v>1.1740981968092847</s:v>
      </s:c>
      <s:c r="X42" s="120"/>
      <s:c r="Y42" s="124"/>
      <s:c r="Z42" s="125"/>
      <s:c r="AA42" s="122"/>
      <s:c r="AB42" s="122"/>
      <s:c r="AC42" s="122"/>
      <s:c r="AD42" s="122"/>
      <s:c r="AE42" s="122"/>
      <s:c r="AF42" s="122"/>
      <s:c r="AG42" s="122"/>
      <s:c r="AH42" s="122"/>
      <s:c r="AI42" s="122"/>
      <s:c r="AJ42" s="122"/>
      <s:c r="AK42" s="122"/>
      <s:c r="AL42" s="122"/>
      <s:c r="AM42" s="122"/>
      <s:c r="AN42" s="122"/>
      <s:c r="AO42" s="122"/>
      <s:c r="AP42" s="122"/>
      <s:c r="AQ42" s="122"/>
      <s:c r="AR42" s="122"/>
      <s:c r="AS42" s="122"/>
      <s:c r="AT42" s="122"/>
      <s:c r="AU42" s="122"/>
      <s:c r="AV42" s="122"/>
      <s:c r="AW42" s="122"/>
      <s:c r="AX42" s="122"/>
      <s:c r="AY42" s="122"/>
      <s:c r="AZ42" s="122"/>
      <s:c r="BA42" s="122"/>
      <s:c r="BB42" s="122"/>
      <s:c r="BC42" s="122"/>
      <s:c r="BD42" s="122"/>
      <s:c r="BE42" s="122"/>
      <s:c r="BF42" s="122"/>
      <s:c r="BG42" s="122"/>
      <s:c r="BH42" s="122"/>
      <s:c r="BI42" s="122"/>
      <s:c r="BJ42" s="122"/>
      <s:c r="BK42" s="122"/>
      <s:c r="BL42" s="122"/>
      <s:c r="BM42" s="122"/>
      <s:c r="BN42" s="122"/>
      <s:c r="BO42" s="122"/>
      <s:c r="BP42" s="122"/>
      <s:c r="BQ42" s="122"/>
      <s:c r="BR42" s="122"/>
      <s:c r="BS42" s="122"/>
      <s:c r="BT42" s="122"/>
      <s:c r="BU42" s="122"/>
      <s:c r="BV42" s="122"/>
      <s:c r="BW42" s="122"/>
      <s:c r="BX42" s="122"/>
      <s:c r="BY42" s="122"/>
      <s:c r="BZ42" s="122"/>
      <s:c r="CA42" s="122"/>
      <s:c r="CB42" s="122"/>
      <s:c r="CC42" s="122"/>
      <s:c r="CD42" s="122"/>
      <s:c r="CE42" s="122"/>
      <s:c r="CF42" s="122"/>
      <s:c r="CG42" s="122"/>
      <s:c r="CH42" s="122"/>
      <s:c r="CI42" s="122"/>
      <s:c r="CJ42" s="122"/>
      <s:c r="CK42" s="122"/>
      <s:c r="CL42" s="122"/>
      <s:c r="CM42" s="122"/>
      <s:c r="CN42" s="122"/>
      <s:c r="CO42" s="122"/>
      <s:c r="CP42" s="122"/>
      <s:c r="CQ42" s="122"/>
      <s:c r="CR42" s="122"/>
      <s:c r="CS42" s="122"/>
      <s:c r="CT42" s="122"/>
      <s:c r="CU42" s="122"/>
      <s:c r="CV42" s="122"/>
      <s:c r="CW42" s="122"/>
      <s:c r="CX42" s="122"/>
      <s:c r="CY42" s="122"/>
      <s:c r="CZ42" s="122"/>
      <s:c r="DA42" s="122"/>
      <s:c r="DB42" s="122"/>
      <s:c r="DC42" s="122"/>
      <s:c r="DD42" s="122"/>
      <s:c r="DE42" s="122"/>
      <s:c r="DF42" s="122"/>
      <s:c r="DG42" s="122"/>
      <s:c r="DH42" s="122"/>
      <s:c r="DI42" s="122"/>
      <s:c r="DJ42" s="122"/>
      <s:c r="DK42" s="122"/>
      <s:c r="DL42" s="122"/>
      <s:c r="DM42" s="122"/>
      <s:c r="DN42" s="122"/>
      <s:c r="DO42" s="122"/>
      <s:c r="DP42" s="122"/>
      <s:c r="DQ42" s="122"/>
      <s:c r="DR42" s="122"/>
      <s:c r="DS42" s="122"/>
      <s:c r="DT42" s="122"/>
      <s:c r="DU42" s="122"/>
      <s:c r="DV42" s="122"/>
      <s:c r="DW42" s="122"/>
      <s:c r="DX42" s="122"/>
      <s:c r="DY42" s="122"/>
      <s:c r="DZ42" s="122"/>
      <s:c r="EA42" s="122"/>
      <s:c r="EB42" s="122"/>
      <s:c r="EC42" s="122"/>
      <s:c r="ED42" s="122"/>
      <s:c r="EE42" s="122"/>
      <s:c r="EF42" s="122"/>
      <s:c r="EG42" s="122"/>
      <s:c r="EH42" s="122"/>
      <s:c r="EI42" s="122"/>
      <s:c r="EJ42" s="122"/>
      <s:c r="EK42" s="122"/>
      <s:c r="EL42" s="122"/>
      <s:c r="EM42" s="122"/>
      <s:c r="EN42" s="122"/>
      <s:c r="EO42" s="122"/>
      <s:c r="EP42" s="122"/>
      <s:c r="EQ42" s="122"/>
      <s:c r="ER42" s="122"/>
      <s:c r="ES42" s="122"/>
      <s:c r="ET42" s="122"/>
      <s:c r="EU42" s="122"/>
      <s:c r="EV42" s="122"/>
      <s:c r="EW42" s="122"/>
      <s:c r="EX42" s="122"/>
      <s:c r="EY42" s="122"/>
      <s:c r="EZ42" s="122"/>
      <s:c r="FA42" s="122"/>
      <s:c r="FB42" s="122"/>
      <s:c r="FC42" s="122"/>
      <s:c r="FD42" s="122"/>
      <s:c r="FE42" s="122"/>
      <s:c r="FF42" s="122"/>
      <s:c r="FG42" s="122"/>
      <s:c r="FH42" s="122"/>
      <s:c r="FI42" s="122"/>
      <s:c r="FJ42" s="122"/>
      <s:c r="FK42" s="122"/>
      <s:c r="FL42" s="122"/>
      <s:c r="FM42" s="122"/>
      <s:c r="FN42" s="122"/>
      <s:c r="FO42" s="122"/>
      <s:c r="FP42" s="122"/>
      <s:c r="FQ42" s="122"/>
      <s:c r="FR42" s="122"/>
      <s:c r="FS42" s="122"/>
      <s:c r="FT42" s="122"/>
      <s:c r="FU42" s="122"/>
      <s:c r="FV42" s="122"/>
      <s:c r="FW42" s="122"/>
      <s:c r="FX42" s="122"/>
      <s:c r="FY42" s="122"/>
      <s:c r="FZ42" s="122"/>
      <s:c r="GA42" s="122"/>
      <s:c r="GB42" s="122"/>
      <s:c r="GC42" s="122"/>
      <s:c r="GD42" s="122"/>
      <s:c r="GE42" s="122"/>
      <s:c r="GF42" s="122"/>
      <s:c r="GG42" s="122"/>
      <s:c r="GH42" s="122"/>
      <s:c r="GI42" s="122"/>
      <s:c r="GJ42" s="122"/>
      <s:c r="GK42" s="122"/>
      <s:c r="GL42" s="122"/>
      <s:c r="GM42" s="122"/>
      <s:c r="GN42" s="122"/>
      <s:c r="GO42" s="122"/>
      <s:c r="GP42" s="122"/>
      <s:c r="GQ42" s="122"/>
      <s:c r="GR42" s="122"/>
      <s:c r="GS42" s="122"/>
      <s:c r="GT42" s="122"/>
      <s:c r="GU42" s="122"/>
      <s:c r="GV42" s="122"/>
      <s:c r="GW42" s="122"/>
      <s:c r="GX42" s="122"/>
      <s:c r="GY42" s="122"/>
      <s:c r="GZ42" s="122"/>
      <s:c r="HA42" s="122"/>
      <s:c r="HB42" s="122"/>
      <s:c r="HC42" s="122"/>
      <s:c r="HD42" s="122"/>
      <s:c r="HE42" s="122"/>
      <s:c r="HF42" s="122"/>
      <s:c r="HG42" s="122"/>
      <s:c r="HH42" s="122"/>
      <s:c r="HI42" s="122"/>
      <s:c r="HJ42" s="122"/>
      <s:c r="HK42" s="122"/>
      <s:c r="HL42" s="122"/>
      <s:c r="HM42" s="122"/>
      <s:c r="HN42" s="122"/>
      <s:c r="HO42" s="122"/>
      <s:c r="HP42" s="122"/>
      <s:c r="HQ42" s="122"/>
      <s:c r="HR42" s="122"/>
      <s:c r="HS42" s="122"/>
      <s:c r="HT42" s="122"/>
      <s:c r="HU42" s="122"/>
      <s:c r="HV42" s="122"/>
      <s:c r="HW42" s="122"/>
      <s:c r="HX42" s="122"/>
      <s:c r="HY42" s="122"/>
      <s:c r="HZ42" s="122"/>
      <s:c r="IA42" s="122"/>
      <s:c r="IB42" s="122"/>
      <s:c r="IC42" s="122"/>
      <s:c r="ID42" s="122"/>
      <s:c r="IE42" s="122"/>
      <s:c r="IF42" s="122"/>
      <s:c r="IG42" s="122"/>
      <s:c r="IH42" s="122"/>
      <s:c r="II42" s="122"/>
      <s:c r="IJ42" s="122"/>
      <s:c r="IK42" s="122"/>
      <s:c r="IL42" s="122"/>
      <s:c r="IM42" s="122"/>
      <s:c r="IN42" s="122"/>
      <s:c r="IO42" s="122"/>
      <s:c r="IP42" s="122"/>
      <s:c r="IQ42" s="122"/>
      <s:c r="IR42" s="122"/>
      <s:c r="IS42" s="122"/>
      <s:c r="IT42" s="122"/>
      <s:c r="IU42" s="122"/>
    </s:row>
    <s:row r="43" spans="1:255" s="109" customFormat="1">
      <s:c r="A43" s="110">
        <s:v>19</s:v>
      </s:c>
      <s:c r="B43" s="111">
        <s:v>45767</s:v>
      </s:c>
      <s:c r="C43" s="112" t="s">
        <s:v>54</s:v>
      </s:c>
      <s:c r="D43" s="113">
        <s:v>85278</s:v>
      </s:c>
      <s:c r="E43" s="114">
        <s:v>16</s:v>
      </s:c>
      <s:c r="F43" s="114">
        <s:f>IF(AND(E43&lt;&gt;"",E43&lt;&gt;0),D43/E43,"")</s:f>
        <s:v>5329.875</s:v>
      </s:c>
      <s:c r="G43" s="114">
        <s:v>7</s:v>
      </s:c>
      <s:c r="H43" s="114">
        <s:f>IF(AND(G43&lt;&gt;"",G43&lt;&gt;0),D43/G43,"")</s:f>
        <s:v>12182.571428571429</s:v>
      </s:c>
      <s:c r="I43" s="114">
        <s:v>25</s:v>
      </s:c>
      <s:c r="J43" s="113">
        <s:f>IF(AND(G43&lt;&gt;"",G43&lt;&gt;0),E43/G43,"")</s:f>
        <s:v>2.2857142857142856</s:v>
      </s:c>
      <s:c r="K43" s="114">
        <s:v>22584</s:v>
      </s:c>
      <s:c r="L43" s="114"/>
      <s:c r="M43" s="114"/>
      <s:c r="N43" s="115">
        <s:f>IF(AND(I43&lt;&gt;"",I43&lt;&gt;0),G43/I43,"")</s:f>
        <s:v>0.28000000000000003</s:v>
      </s:c>
      <s:c r="O43" s="116">
        <s:f>D43/P43</s:f>
        <s:v>1.0729476498340462</s:v>
      </s:c>
      <s:c r="P43" s="117">
        <s:f>$I$8*V43*W43/SUMPRODUCT($W$25:$W$55,$V$25:$V$55)</s:f>
        <s:v>79480.112578829008</s:v>
      </s:c>
      <s:c r="Q43" s="118">
        <s:f>$I$9*V43*W43/SUMPRODUCT($W$25:$W$55,$V$25:$V$55)</s:f>
        <s:v>16.024216245731655</s:v>
      </s:c>
      <s:c r="R43" s="118">
        <s:f>IF($I$12="","",Q43/$I$12)</s:f>
        <s:v>9.0532295173625172</s:v>
      </s:c>
      <s:c r="S43" s="117">
        <s:f>IF(W43&lt;&gt;"",IF(D43&lt;&gt;"",D43,($I$8-SUM($S$25:S42))*V43*W43/SUMPRODUCT($W43:$W$55,$V43:$V$55)),"")</s:f>
        <s:v>85278</s:v>
      </s:c>
      <s:c r="T43" s="118">
        <s:f>IF(W43&lt;&gt;"",IF(E43&lt;&gt;"",E43,($I$9-SUM($T$25:T42))*V43*W43/SUMPRODUCT($W43:$W$55,$V43:$V$55)),"")</s:f>
        <s:v>16</s:v>
      </s:c>
      <s:c r="U43" s="118">
        <s:f>IF(W43&lt;&gt;"",IF($I$12&lt;&gt;"",IF(G43&lt;&gt;"",G43,($I$9/$I$12-SUM($U$25:U42))*V43*W43/SUMPRODUCT($W43:$W$55,$V43:$V$55)),""),"")</s:f>
        <s:v>7</s:v>
      </s:c>
      <s:c r="V43" s="119">
        <s:v>1.1033285094448408</s:v>
      </s:c>
      <s:c r="W43" s="119">
        <s:v>1.1033285094448408</s:v>
      </s:c>
      <s:c r="X43" s="120"/>
      <s:c r="Y43" s="124"/>
      <s:c r="Z43" s="125"/>
      <s:c r="AA43" s="122"/>
      <s:c r="AB43" s="122"/>
      <s:c r="AC43" s="122"/>
      <s:c r="AD43" s="122"/>
      <s:c r="AE43" s="122"/>
      <s:c r="AF43" s="122"/>
      <s:c r="AG43" s="122"/>
      <s:c r="AH43" s="122"/>
      <s:c r="AI43" s="122"/>
      <s:c r="AJ43" s="122"/>
      <s:c r="AK43" s="122"/>
      <s:c r="AL43" s="122"/>
      <s:c r="AM43" s="122"/>
      <s:c r="AN43" s="122"/>
      <s:c r="AO43" s="122"/>
      <s:c r="AP43" s="122"/>
      <s:c r="AQ43" s="122"/>
      <s:c r="AR43" s="122"/>
      <s:c r="AS43" s="122"/>
      <s:c r="AT43" s="122"/>
      <s:c r="AU43" s="122"/>
      <s:c r="AV43" s="122"/>
      <s:c r="AW43" s="122"/>
      <s:c r="AX43" s="122"/>
      <s:c r="AY43" s="122"/>
      <s:c r="AZ43" s="122"/>
      <s:c r="BA43" s="122"/>
      <s:c r="BB43" s="122"/>
      <s:c r="BC43" s="122"/>
      <s:c r="BD43" s="122"/>
      <s:c r="BE43" s="122"/>
      <s:c r="BF43" s="122"/>
      <s:c r="BG43" s="122"/>
      <s:c r="BH43" s="122"/>
      <s:c r="BI43" s="122"/>
      <s:c r="BJ43" s="122"/>
      <s:c r="BK43" s="122"/>
      <s:c r="BL43" s="122"/>
      <s:c r="BM43" s="122"/>
      <s:c r="BN43" s="122"/>
      <s:c r="BO43" s="122"/>
      <s:c r="BP43" s="122"/>
      <s:c r="BQ43" s="122"/>
      <s:c r="BR43" s="122"/>
      <s:c r="BS43" s="122"/>
      <s:c r="BT43" s="122"/>
      <s:c r="BU43" s="122"/>
      <s:c r="BV43" s="122"/>
      <s:c r="BW43" s="122"/>
      <s:c r="BX43" s="122"/>
      <s:c r="BY43" s="122"/>
      <s:c r="BZ43" s="122"/>
      <s:c r="CA43" s="122"/>
      <s:c r="CB43" s="122"/>
      <s:c r="CC43" s="122"/>
      <s:c r="CD43" s="122"/>
      <s:c r="CE43" s="122"/>
      <s:c r="CF43" s="122"/>
      <s:c r="CG43" s="122"/>
      <s:c r="CH43" s="122"/>
      <s:c r="CI43" s="122"/>
      <s:c r="CJ43" s="122"/>
      <s:c r="CK43" s="122"/>
      <s:c r="CL43" s="122"/>
      <s:c r="CM43" s="122"/>
      <s:c r="CN43" s="122"/>
      <s:c r="CO43" s="122"/>
      <s:c r="CP43" s="122"/>
      <s:c r="CQ43" s="122"/>
      <s:c r="CR43" s="122"/>
      <s:c r="CS43" s="122"/>
      <s:c r="CT43" s="122"/>
      <s:c r="CU43" s="122"/>
      <s:c r="CV43" s="122"/>
      <s:c r="CW43" s="122"/>
      <s:c r="CX43" s="122"/>
      <s:c r="CY43" s="122"/>
      <s:c r="CZ43" s="122"/>
      <s:c r="DA43" s="122"/>
      <s:c r="DB43" s="122"/>
      <s:c r="DC43" s="122"/>
      <s:c r="DD43" s="122"/>
      <s:c r="DE43" s="122"/>
      <s:c r="DF43" s="122"/>
      <s:c r="DG43" s="122"/>
      <s:c r="DH43" s="122"/>
      <s:c r="DI43" s="122"/>
      <s:c r="DJ43" s="122"/>
      <s:c r="DK43" s="122"/>
      <s:c r="DL43" s="122"/>
      <s:c r="DM43" s="122"/>
      <s:c r="DN43" s="122"/>
      <s:c r="DO43" s="122"/>
      <s:c r="DP43" s="122"/>
      <s:c r="DQ43" s="122"/>
      <s:c r="DR43" s="122"/>
      <s:c r="DS43" s="122"/>
      <s:c r="DT43" s="122"/>
      <s:c r="DU43" s="122"/>
      <s:c r="DV43" s="122"/>
      <s:c r="DW43" s="122"/>
      <s:c r="DX43" s="122"/>
      <s:c r="DY43" s="122"/>
      <s:c r="DZ43" s="122"/>
      <s:c r="EA43" s="122"/>
      <s:c r="EB43" s="122"/>
      <s:c r="EC43" s="122"/>
      <s:c r="ED43" s="122"/>
      <s:c r="EE43" s="122"/>
      <s:c r="EF43" s="122"/>
      <s:c r="EG43" s="122"/>
      <s:c r="EH43" s="122"/>
      <s:c r="EI43" s="122"/>
      <s:c r="EJ43" s="122"/>
      <s:c r="EK43" s="122"/>
      <s:c r="EL43" s="122"/>
      <s:c r="EM43" s="122"/>
      <s:c r="EN43" s="122"/>
      <s:c r="EO43" s="122"/>
      <s:c r="EP43" s="122"/>
      <s:c r="EQ43" s="122"/>
      <s:c r="ER43" s="122"/>
      <s:c r="ES43" s="122"/>
      <s:c r="ET43" s="122"/>
      <s:c r="EU43" s="122"/>
      <s:c r="EV43" s="122"/>
      <s:c r="EW43" s="122"/>
      <s:c r="EX43" s="122"/>
      <s:c r="EY43" s="122"/>
      <s:c r="EZ43" s="122"/>
      <s:c r="FA43" s="122"/>
      <s:c r="FB43" s="122"/>
      <s:c r="FC43" s="122"/>
      <s:c r="FD43" s="122"/>
      <s:c r="FE43" s="122"/>
      <s:c r="FF43" s="122"/>
      <s:c r="FG43" s="122"/>
      <s:c r="FH43" s="122"/>
      <s:c r="FI43" s="122"/>
      <s:c r="FJ43" s="122"/>
      <s:c r="FK43" s="122"/>
      <s:c r="FL43" s="122"/>
      <s:c r="FM43" s="122"/>
      <s:c r="FN43" s="122"/>
      <s:c r="FO43" s="122"/>
      <s:c r="FP43" s="122"/>
      <s:c r="FQ43" s="122"/>
      <s:c r="FR43" s="122"/>
      <s:c r="FS43" s="122"/>
      <s:c r="FT43" s="122"/>
      <s:c r="FU43" s="122"/>
      <s:c r="FV43" s="122"/>
      <s:c r="FW43" s="122"/>
      <s:c r="FX43" s="122"/>
      <s:c r="FY43" s="122"/>
      <s:c r="FZ43" s="122"/>
      <s:c r="GA43" s="122"/>
      <s:c r="GB43" s="122"/>
      <s:c r="GC43" s="122"/>
      <s:c r="GD43" s="122"/>
      <s:c r="GE43" s="122"/>
      <s:c r="GF43" s="122"/>
      <s:c r="GG43" s="122"/>
      <s:c r="GH43" s="122"/>
      <s:c r="GI43" s="122"/>
      <s:c r="GJ43" s="122"/>
      <s:c r="GK43" s="122"/>
      <s:c r="GL43" s="122"/>
      <s:c r="GM43" s="122"/>
      <s:c r="GN43" s="122"/>
      <s:c r="GO43" s="122"/>
      <s:c r="GP43" s="122"/>
      <s:c r="GQ43" s="122"/>
      <s:c r="GR43" s="122"/>
      <s:c r="GS43" s="122"/>
      <s:c r="GT43" s="122"/>
      <s:c r="GU43" s="122"/>
      <s:c r="GV43" s="122"/>
      <s:c r="GW43" s="122"/>
      <s:c r="GX43" s="122"/>
      <s:c r="GY43" s="122"/>
      <s:c r="GZ43" s="122"/>
      <s:c r="HA43" s="122"/>
      <s:c r="HB43" s="122"/>
      <s:c r="HC43" s="122"/>
      <s:c r="HD43" s="122"/>
      <s:c r="HE43" s="122"/>
      <s:c r="HF43" s="122"/>
      <s:c r="HG43" s="122"/>
      <s:c r="HH43" s="122"/>
      <s:c r="HI43" s="122"/>
      <s:c r="HJ43" s="122"/>
      <s:c r="HK43" s="122"/>
      <s:c r="HL43" s="122"/>
      <s:c r="HM43" s="122"/>
      <s:c r="HN43" s="122"/>
      <s:c r="HO43" s="122"/>
      <s:c r="HP43" s="122"/>
      <s:c r="HQ43" s="122"/>
      <s:c r="HR43" s="122"/>
      <s:c r="HS43" s="122"/>
      <s:c r="HT43" s="122"/>
      <s:c r="HU43" s="122"/>
      <s:c r="HV43" s="122"/>
      <s:c r="HW43" s="122"/>
      <s:c r="HX43" s="122"/>
      <s:c r="HY43" s="122"/>
      <s:c r="HZ43" s="122"/>
      <s:c r="IA43" s="122"/>
      <s:c r="IB43" s="122"/>
      <s:c r="IC43" s="122"/>
      <s:c r="ID43" s="122"/>
      <s:c r="IE43" s="122"/>
      <s:c r="IF43" s="122"/>
      <s:c r="IG43" s="122"/>
      <s:c r="IH43" s="122"/>
      <s:c r="II43" s="122"/>
      <s:c r="IJ43" s="122"/>
      <s:c r="IK43" s="122"/>
      <s:c r="IL43" s="122"/>
      <s:c r="IM43" s="122"/>
      <s:c r="IN43" s="122"/>
      <s:c r="IO43" s="122"/>
      <s:c r="IP43" s="122"/>
      <s:c r="IQ43" s="122"/>
      <s:c r="IR43" s="122"/>
      <s:c r="IS43" s="122"/>
      <s:c r="IT43" s="122"/>
      <s:c r="IU43" s="122"/>
    </s:row>
    <s:row r="44" spans="1:255" s="109" customFormat="1">
      <s:c r="A44" s="110">
        <s:v>20</s:v>
      </s:c>
      <s:c r="B44" s="111">
        <s:v>45768</s:v>
      </s:c>
      <s:c r="C44" s="112" t="s">
        <s:v>55</s:v>
      </s:c>
      <s:c r="D44" s="113">
        <s:v>74074</s:v>
      </s:c>
      <s:c r="E44" s="114">
        <s:v>5</s:v>
      </s:c>
      <s:c r="F44" s="114">
        <s:f>IF(AND(E44&lt;&gt;"",E44&lt;&gt;0),D44/E44,"")</s:f>
        <s:v>14814.8</s:v>
      </s:c>
      <s:c r="G44" s="114">
        <s:v>3</s:v>
      </s:c>
      <s:c r="H44" s="114">
        <s:f>IF(AND(G44&lt;&gt;"",G44&lt;&gt;0),D44/G44,"")</s:f>
        <s:v>24691.333333333332</s:v>
      </s:c>
      <s:c r="I44" s="114">
        <s:v>15</s:v>
      </s:c>
      <s:c r="J44" s="113">
        <s:f>IF(AND(G44&lt;&gt;"",G44&lt;&gt;0),E44/G44,"")</s:f>
        <s:v>1.6666666666666667</s:v>
      </s:c>
      <s:c r="K44" s="114">
        <s:v>69954</s:v>
      </s:c>
      <s:c r="L44" s="114"/>
      <s:c r="M44" s="114"/>
      <s:c r="N44" s="115">
        <s:f>IF(AND(I44&lt;&gt;"",I44&lt;&gt;0),G44/I44,"")</s:f>
        <s:v>0.2</s:v>
      </s:c>
      <s:c r="O44" s="116">
        <s:f>D44/P44</s:f>
        <s:v>0.93198156867899273</s:v>
      </s:c>
      <s:c r="P44" s="117">
        <s:f>$I$8*V44*W44/SUMPRODUCT($W$25:$W$55,$V$25:$V$55)</s:f>
        <s:v>79480.112578829008</s:v>
      </s:c>
      <s:c r="Q44" s="118">
        <s:f>$I$9*V44*W44/SUMPRODUCT($W$25:$W$55,$V$25:$V$55)</s:f>
        <s:v>16.024216245731655</s:v>
      </s:c>
      <s:c r="R44" s="118">
        <s:f>IF($I$12="","",Q44/$I$12)</s:f>
        <s:v>9.0532295173625172</s:v>
      </s:c>
      <s:c r="S44" s="117">
        <s:f>IF(W44&lt;&gt;"",IF(D44&lt;&gt;"",D44,($I$8-SUM($S$25:S43))*V44*W44/SUMPRODUCT($W44:$W$55,$V44:$V$55)),"")</s:f>
        <s:v>74074</s:v>
      </s:c>
      <s:c r="T44" s="118">
        <s:f>IF(W44&lt;&gt;"",IF(E44&lt;&gt;"",E44,($I$9-SUM($T$25:T43))*V44*W44/SUMPRODUCT($W44:$W$55,$V44:$V$55)),"")</s:f>
        <s:v>5</s:v>
      </s:c>
      <s:c r="U44" s="118">
        <s:f>IF(W44&lt;&gt;"",IF($I$12&lt;&gt;"",IF(G44&lt;&gt;"",G44,($I$9/$I$12-SUM($U$25:U43))*V44*W44/SUMPRODUCT($W44:$W$55,$V44:$V$55)),""),"")</s:f>
        <s:v>3</s:v>
      </s:c>
      <s:c r="V44" s="119">
        <s:v>1.1033285094448408</s:v>
      </s:c>
      <s:c r="W44" s="119">
        <s:v>1.1033285094448408</s:v>
      </s:c>
      <s:c r="X44" s="120"/>
      <s:c r="Y44" s="124"/>
      <s:c r="Z44" s="125"/>
      <s:c r="AA44" s="122"/>
      <s:c r="AB44" s="122"/>
      <s:c r="AC44" s="122"/>
      <s:c r="AD44" s="122"/>
      <s:c r="AE44" s="122"/>
      <s:c r="AF44" s="122"/>
      <s:c r="AG44" s="122"/>
      <s:c r="AH44" s="122"/>
      <s:c r="AI44" s="122"/>
      <s:c r="AJ44" s="122"/>
      <s:c r="AK44" s="122"/>
      <s:c r="AL44" s="122"/>
      <s:c r="AM44" s="122"/>
      <s:c r="AN44" s="122"/>
      <s:c r="AO44" s="122"/>
      <s:c r="AP44" s="122"/>
      <s:c r="AQ44" s="122"/>
      <s:c r="AR44" s="122"/>
      <s:c r="AS44" s="122"/>
      <s:c r="AT44" s="122"/>
      <s:c r="AU44" s="122"/>
      <s:c r="AV44" s="122"/>
      <s:c r="AW44" s="122"/>
      <s:c r="AX44" s="122"/>
      <s:c r="AY44" s="122"/>
      <s:c r="AZ44" s="122"/>
      <s:c r="BA44" s="122"/>
      <s:c r="BB44" s="122"/>
      <s:c r="BC44" s="122"/>
      <s:c r="BD44" s="122"/>
      <s:c r="BE44" s="122"/>
      <s:c r="BF44" s="122"/>
      <s:c r="BG44" s="122"/>
      <s:c r="BH44" s="122"/>
      <s:c r="BI44" s="122"/>
      <s:c r="BJ44" s="122"/>
      <s:c r="BK44" s="122"/>
      <s:c r="BL44" s="122"/>
      <s:c r="BM44" s="122"/>
      <s:c r="BN44" s="122"/>
      <s:c r="BO44" s="122"/>
      <s:c r="BP44" s="122"/>
      <s:c r="BQ44" s="122"/>
      <s:c r="BR44" s="122"/>
      <s:c r="BS44" s="122"/>
      <s:c r="BT44" s="122"/>
      <s:c r="BU44" s="122"/>
      <s:c r="BV44" s="122"/>
      <s:c r="BW44" s="122"/>
      <s:c r="BX44" s="122"/>
      <s:c r="BY44" s="122"/>
      <s:c r="BZ44" s="122"/>
      <s:c r="CA44" s="122"/>
      <s:c r="CB44" s="122"/>
      <s:c r="CC44" s="122"/>
      <s:c r="CD44" s="122"/>
      <s:c r="CE44" s="122"/>
      <s:c r="CF44" s="122"/>
      <s:c r="CG44" s="122"/>
      <s:c r="CH44" s="122"/>
      <s:c r="CI44" s="122"/>
      <s:c r="CJ44" s="122"/>
      <s:c r="CK44" s="122"/>
      <s:c r="CL44" s="122"/>
      <s:c r="CM44" s="122"/>
      <s:c r="CN44" s="122"/>
      <s:c r="CO44" s="122"/>
      <s:c r="CP44" s="122"/>
      <s:c r="CQ44" s="122"/>
      <s:c r="CR44" s="122"/>
      <s:c r="CS44" s="122"/>
      <s:c r="CT44" s="122"/>
      <s:c r="CU44" s="122"/>
      <s:c r="CV44" s="122"/>
      <s:c r="CW44" s="122"/>
      <s:c r="CX44" s="122"/>
      <s:c r="CY44" s="122"/>
      <s:c r="CZ44" s="122"/>
      <s:c r="DA44" s="122"/>
      <s:c r="DB44" s="122"/>
      <s:c r="DC44" s="122"/>
      <s:c r="DD44" s="122"/>
      <s:c r="DE44" s="122"/>
      <s:c r="DF44" s="122"/>
      <s:c r="DG44" s="122"/>
      <s:c r="DH44" s="122"/>
      <s:c r="DI44" s="122"/>
      <s:c r="DJ44" s="122"/>
      <s:c r="DK44" s="122"/>
      <s:c r="DL44" s="122"/>
      <s:c r="DM44" s="122"/>
      <s:c r="DN44" s="122"/>
      <s:c r="DO44" s="122"/>
      <s:c r="DP44" s="122"/>
      <s:c r="DQ44" s="122"/>
      <s:c r="DR44" s="122"/>
      <s:c r="DS44" s="122"/>
      <s:c r="DT44" s="122"/>
      <s:c r="DU44" s="122"/>
      <s:c r="DV44" s="122"/>
      <s:c r="DW44" s="122"/>
      <s:c r="DX44" s="122"/>
      <s:c r="DY44" s="122"/>
      <s:c r="DZ44" s="122"/>
      <s:c r="EA44" s="122"/>
      <s:c r="EB44" s="122"/>
      <s:c r="EC44" s="122"/>
      <s:c r="ED44" s="122"/>
      <s:c r="EE44" s="122"/>
      <s:c r="EF44" s="122"/>
      <s:c r="EG44" s="122"/>
      <s:c r="EH44" s="122"/>
      <s:c r="EI44" s="122"/>
      <s:c r="EJ44" s="122"/>
      <s:c r="EK44" s="122"/>
      <s:c r="EL44" s="122"/>
      <s:c r="EM44" s="122"/>
      <s:c r="EN44" s="122"/>
      <s:c r="EO44" s="122"/>
      <s:c r="EP44" s="122"/>
      <s:c r="EQ44" s="122"/>
      <s:c r="ER44" s="122"/>
      <s:c r="ES44" s="122"/>
      <s:c r="ET44" s="122"/>
      <s:c r="EU44" s="122"/>
      <s:c r="EV44" s="122"/>
      <s:c r="EW44" s="122"/>
      <s:c r="EX44" s="122"/>
      <s:c r="EY44" s="122"/>
      <s:c r="EZ44" s="122"/>
      <s:c r="FA44" s="122"/>
      <s:c r="FB44" s="122"/>
      <s:c r="FC44" s="122"/>
      <s:c r="FD44" s="122"/>
      <s:c r="FE44" s="122"/>
      <s:c r="FF44" s="122"/>
      <s:c r="FG44" s="122"/>
      <s:c r="FH44" s="122"/>
      <s:c r="FI44" s="122"/>
      <s:c r="FJ44" s="122"/>
      <s:c r="FK44" s="122"/>
      <s:c r="FL44" s="122"/>
      <s:c r="FM44" s="122"/>
      <s:c r="FN44" s="122"/>
      <s:c r="FO44" s="122"/>
      <s:c r="FP44" s="122"/>
      <s:c r="FQ44" s="122"/>
      <s:c r="FR44" s="122"/>
      <s:c r="FS44" s="122"/>
      <s:c r="FT44" s="122"/>
      <s:c r="FU44" s="122"/>
      <s:c r="FV44" s="122"/>
      <s:c r="FW44" s="122"/>
      <s:c r="FX44" s="122"/>
      <s:c r="FY44" s="122"/>
      <s:c r="FZ44" s="122"/>
      <s:c r="GA44" s="122"/>
      <s:c r="GB44" s="122"/>
      <s:c r="GC44" s="122"/>
      <s:c r="GD44" s="122"/>
      <s:c r="GE44" s="122"/>
      <s:c r="GF44" s="122"/>
      <s:c r="GG44" s="122"/>
      <s:c r="GH44" s="122"/>
      <s:c r="GI44" s="122"/>
      <s:c r="GJ44" s="122"/>
      <s:c r="GK44" s="122"/>
      <s:c r="GL44" s="122"/>
      <s:c r="GM44" s="122"/>
      <s:c r="GN44" s="122"/>
      <s:c r="GO44" s="122"/>
      <s:c r="GP44" s="122"/>
      <s:c r="GQ44" s="122"/>
      <s:c r="GR44" s="122"/>
      <s:c r="GS44" s="122"/>
      <s:c r="GT44" s="122"/>
      <s:c r="GU44" s="122"/>
      <s:c r="GV44" s="122"/>
      <s:c r="GW44" s="122"/>
      <s:c r="GX44" s="122"/>
      <s:c r="GY44" s="122"/>
      <s:c r="GZ44" s="122"/>
      <s:c r="HA44" s="122"/>
      <s:c r="HB44" s="122"/>
      <s:c r="HC44" s="122"/>
      <s:c r="HD44" s="122"/>
      <s:c r="HE44" s="122"/>
      <s:c r="HF44" s="122"/>
      <s:c r="HG44" s="122"/>
      <s:c r="HH44" s="122"/>
      <s:c r="HI44" s="122"/>
      <s:c r="HJ44" s="122"/>
      <s:c r="HK44" s="122"/>
      <s:c r="HL44" s="122"/>
      <s:c r="HM44" s="122"/>
      <s:c r="HN44" s="122"/>
      <s:c r="HO44" s="122"/>
      <s:c r="HP44" s="122"/>
      <s:c r="HQ44" s="122"/>
      <s:c r="HR44" s="122"/>
      <s:c r="HS44" s="122"/>
      <s:c r="HT44" s="122"/>
      <s:c r="HU44" s="122"/>
      <s:c r="HV44" s="122"/>
      <s:c r="HW44" s="122"/>
      <s:c r="HX44" s="122"/>
      <s:c r="HY44" s="122"/>
      <s:c r="HZ44" s="122"/>
      <s:c r="IA44" s="122"/>
      <s:c r="IB44" s="122"/>
      <s:c r="IC44" s="122"/>
      <s:c r="ID44" s="122"/>
      <s:c r="IE44" s="122"/>
      <s:c r="IF44" s="122"/>
      <s:c r="IG44" s="122"/>
      <s:c r="IH44" s="122"/>
      <s:c r="II44" s="122"/>
      <s:c r="IJ44" s="122"/>
      <s:c r="IK44" s="122"/>
      <s:c r="IL44" s="122"/>
      <s:c r="IM44" s="122"/>
      <s:c r="IN44" s="122"/>
      <s:c r="IO44" s="122"/>
      <s:c r="IP44" s="122"/>
      <s:c r="IQ44" s="122"/>
      <s:c r="IR44" s="122"/>
      <s:c r="IS44" s="122"/>
      <s:c r="IT44" s="122"/>
      <s:c r="IU44" s="122"/>
    </s:row>
    <s:row r="45">
      <s:c r="A45" s="95">
        <s:v>21</s:v>
      </s:c>
      <s:c r="B45" s="96">
        <s:v>45769</s:v>
      </s:c>
      <s:c r="C45" s="97" t="s">
        <s:v>48</s:v>
      </s:c>
      <s:c r="D45" s="98">
        <s:v>20259</s:v>
      </s:c>
      <s:c r="E45" s="99">
        <s:v>5</s:v>
      </s:c>
      <s:c r="F45" s="99">
        <s:f>IF(AND(E45&lt;&gt;"",E45&lt;&gt;0),D45/E45,"")</s:f>
        <s:v>4051.8</s:v>
      </s:c>
      <s:c r="G45" s="99">
        <s:v>3</s:v>
      </s:c>
      <s:c r="H45" s="99">
        <s:f>IF(AND(G45&lt;&gt;"",G45&lt;&gt;0),D45/G45,"")</s:f>
        <s:v>6753</s:v>
      </s:c>
      <s:c r="I45" s="99">
        <s:v>15</s:v>
      </s:c>
      <s:c r="J45" s="98">
        <s:f>IF(AND(G45&lt;&gt;"",G45&lt;&gt;0),E45/G45,"")</s:f>
        <s:v>1.6666666666666667</s:v>
      </s:c>
      <s:c r="K45" s="99"/>
      <s:c r="L45" s="99"/>
      <s:c r="M45" s="99"/>
      <s:c r="N45" s="100">
        <s:f>IF(AND(I45&lt;&gt;"",I45&lt;&gt;0),G45/I45,"")</s:f>
        <s:v>0.2</s:v>
      </s:c>
      <s:c r="O45" s="101">
        <s:f>D45/P45</s:f>
        <s:v>0.3102910231128797</s:v>
      </s:c>
      <s:c r="P45" s="102">
        <s:f>$I$8*V45*W45/SUMPRODUCT($W$25:$W$55,$V$25:$V$55)</s:f>
        <s:v>65290.319380686844</s:v>
      </s:c>
      <s:c r="Q45" s="103">
        <s:f>$I$9*V45*W45/SUMPRODUCT($W$25:$W$55,$V$25:$V$55)</s:f>
        <s:v>13.163370842880411</s:v>
      </s:c>
      <s:c r="R45" s="103">
        <s:f>IF($I$12="","",Q45/$I$12)</s:f>
        <s:v>7.4369326795934523</s:v>
      </s:c>
      <s:c r="S45" s="102">
        <s:f>IF(W45&lt;&gt;"",IF(D45&lt;&gt;"",D45,($I$8-SUM($S$25:S44))*V45*W45/SUMPRODUCT($W45:$W$55,$V45:$V$55)),"")</s:f>
        <s:v>20259</s:v>
      </s:c>
      <s:c r="T45" s="103">
        <s:f>IF(W45&lt;&gt;"",IF(E45&lt;&gt;"",E45,($I$9-SUM($T$25:T44))*V45*W45/SUMPRODUCT($W45:$W$55,$V45:$V$55)),"")</s:f>
        <s:v>5</s:v>
      </s:c>
      <s:c r="U45" s="103">
        <s:f>IF(W45&lt;&gt;"",IF($I$12&lt;&gt;"",IF(G45&lt;&gt;"",G45,($I$9/$I$12-SUM($U$25:U44))*V45*W45/SUMPRODUCT($W45:$W$55,$V45:$V$55)),""),"")</s:f>
        <s:v>3</s:v>
      </s:c>
      <s:c r="V45" s="104">
        <s:v>1</s:v>
      </s:c>
      <s:c r="W45" s="104">
        <s:v>1</s:v>
      </s:c>
      <s:c r="X45" s="107"/>
      <s:c r="Y45" s="106"/>
      <s:c r="Z45" s="126"/>
    </s:row>
    <s:row r="46">
      <s:c r="A46" s="95">
        <s:v>22</s:v>
      </s:c>
      <s:c r="B46" s="96">
        <s:v>45770</s:v>
      </s:c>
      <s:c r="C46" s="97" t="s">
        <s:v>49</s:v>
      </s:c>
      <s:c r="D46" s="98">
        <s:v>3692</s:v>
      </s:c>
      <s:c r="E46" s="99">
        <s:v>1</s:v>
      </s:c>
      <s:c r="F46" s="99">
        <s:f>IF(AND(E46&lt;&gt;"",E46&lt;&gt;0),D46/E46,"")</s:f>
        <s:v>3692</s:v>
      </s:c>
      <s:c r="G46" s="99">
        <s:v>1</s:v>
      </s:c>
      <s:c r="H46" s="99">
        <s:f>IF(AND(G46&lt;&gt;"",G46&lt;&gt;0),D46/G46,"")</s:f>
        <s:v>3692</s:v>
      </s:c>
      <s:c r="I46" s="99">
        <s:v>15</s:v>
      </s:c>
      <s:c r="J46" s="98">
        <s:f>IF(AND(G46&lt;&gt;"",G46&lt;&gt;0),E46/G46,"")</s:f>
        <s:v>1</s:v>
      </s:c>
      <s:c r="K46" s="99"/>
      <s:c r="L46" s="99"/>
      <s:c r="M46" s="99"/>
      <s:c r="N46" s="100">
        <s:f>IF(AND(I46&lt;&gt;"",I46&lt;&gt;0),G46/I46,"")</s:f>
        <s:v>6.6666666666666666E-2</s:v>
      </s:c>
      <s:c r="O46" s="101">
        <s:f>D46/P46</s:f>
        <s:v>5.6547433601498193E-2</s:v>
      </s:c>
      <s:c r="P46" s="102">
        <s:f>$I$8*V46*W46/SUMPRODUCT($W$25:$W$55,$V$25:$V$55)</s:f>
        <s:v>65290.319380686844</s:v>
      </s:c>
      <s:c r="Q46" s="103">
        <s:f>$I$9*V46*W46/SUMPRODUCT($W$25:$W$55,$V$25:$V$55)</s:f>
        <s:v>13.163370842880411</s:v>
      </s:c>
      <s:c r="R46" s="103">
        <s:f>IF($I$12="","",Q46/$I$12)</s:f>
        <s:v>7.4369326795934523</s:v>
      </s:c>
      <s:c r="S46" s="102">
        <s:f>IF(W46&lt;&gt;"",IF(D46&lt;&gt;"",D46,($I$8-SUM($S$25:S45))*V46*W46/SUMPRODUCT($W46:$W$55,$V46:$V$55)),"")</s:f>
        <s:v>3692</s:v>
      </s:c>
      <s:c r="T46" s="103">
        <s:f>IF(W46&lt;&gt;"",IF(E46&lt;&gt;"",E46,($I$9-SUM($T$25:T45))*V46*W46/SUMPRODUCT($W46:$W$55,$V46:$V$55)),"")</s:f>
        <s:v>1</s:v>
      </s:c>
      <s:c r="U46" s="103">
        <s:f>IF(W46&lt;&gt;"",IF($I$12&lt;&gt;"",IF(G46&lt;&gt;"",G46,($I$9/$I$12-SUM($U$25:U45))*V46*W46/SUMPRODUCT($W46:$W$55,$V46:$V$55)),""),"")</s:f>
        <s:v>1</s:v>
      </s:c>
      <s:c r="V46" s="104">
        <s:v>1</s:v>
      </s:c>
      <s:c r="W46" s="104">
        <s:v>1</s:v>
      </s:c>
      <s:c r="X46" s="107"/>
      <s:c r="Y46" s="106"/>
      <s:c r="Z46" s="126"/>
      <s:c r="AA46" s="2"/>
      <s:c r="AB46" s="2"/>
      <s:c r="AC46" s="2"/>
      <s:c r="AD46" s="2"/>
    </s:row>
    <s:row r="47">
      <s:c r="A47" s="95">
        <s:v>23</s:v>
      </s:c>
      <s:c r="B47" s="96">
        <s:v>45771</s:v>
      </s:c>
      <s:c r="C47" s="97" t="s">
        <s:v>51</s:v>
      </s:c>
      <s:c r="D47" s="98">
        <s:f>63589</s:f>
        <s:v>63589</s:v>
      </s:c>
      <s:c r="E47" s="99">
        <s:v>10</s:v>
      </s:c>
      <s:c r="F47" s="99">
        <s:f>IF(AND(E47&lt;&gt;"",E47&lt;&gt;0),D47/E47,"")</s:f>
        <s:v>6358.9</s:v>
      </s:c>
      <s:c r="G47" s="99">
        <s:v>6</s:v>
      </s:c>
      <s:c r="H47" s="99">
        <s:f>IF(AND(G47&lt;&gt;"",G47&lt;&gt;0),D47/G47,"")</s:f>
        <s:v>10598.166666666666</s:v>
      </s:c>
      <s:c r="I47" s="99">
        <s:v>15</s:v>
      </s:c>
      <s:c r="J47" s="98">
        <s:f>IF(AND(G47&lt;&gt;"",G47&lt;&gt;0),E47/G47,"")</s:f>
        <s:v>1.6666666666666667</s:v>
      </s:c>
      <s:c r="K47" s="99">
        <s:v>24476</s:v>
      </s:c>
      <s:c r="L47" s="99"/>
      <s:c r="M47" s="99"/>
      <s:c r="N47" s="100">
        <s:f>IF(AND(I47&lt;&gt;"",I47&lt;&gt;0),G47/I47,"")</s:f>
        <s:v>0.4</s:v>
      </s:c>
      <s:c r="O47" s="101">
        <s:f>D47/P47</s:f>
        <s:v>0.97394224140998609</s:v>
      </s:c>
      <s:c r="P47" s="102">
        <s:f>$I$8*V47*W47/SUMPRODUCT($W$25:$W$55,$V$25:$V$55)</s:f>
        <s:v>65290.319380686844</s:v>
      </s:c>
      <s:c r="Q47" s="103">
        <s:f>$I$9*V47*W47/SUMPRODUCT($W$25:$W$55,$V$25:$V$55)</s:f>
        <s:v>13.163370842880411</s:v>
      </s:c>
      <s:c r="R47" s="103">
        <s:f>IF($I$12="","",Q47/$I$12)</s:f>
        <s:v>7.4369326795934523</s:v>
      </s:c>
      <s:c r="S47" s="102">
        <s:f>IF(W47&lt;&gt;"",IF(D47&lt;&gt;"",D47,($I$8-SUM($S$25:S46))*V47*W47/SUMPRODUCT($W47:$W$55,$V47:$V$55)),"")</s:f>
        <s:v>63589</s:v>
      </s:c>
      <s:c r="T47" s="103">
        <s:f>IF(W47&lt;&gt;"",IF(E47&lt;&gt;"",E47,($I$9-SUM($T$25:T46))*V47*W47/SUMPRODUCT($W47:$W$55,$V47:$V$55)),"")</s:f>
        <s:v>10</s:v>
      </s:c>
      <s:c r="U47" s="103">
        <s:f>IF(W47&lt;&gt;"",IF($I$12&lt;&gt;"",IF(G47&lt;&gt;"",G47,($I$9/$I$12-SUM($U$25:U46))*V47*W47/SUMPRODUCT($W47:$W$55,$V47:$V$55)),""),"")</s:f>
        <s:v>6</s:v>
      </s:c>
      <s:c r="V47" s="104">
        <s:v>1</s:v>
      </s:c>
      <s:c r="W47" s="104">
        <s:v>1</s:v>
      </s:c>
      <s:c r="X47" s="107"/>
      <s:c r="Y47" s="106"/>
      <s:c r="Z47" s="126"/>
      <s:c r="AA47" s="2"/>
      <s:c r="AB47" s="2"/>
      <s:c r="AC47" s="2"/>
      <s:c r="AD47" s="2"/>
    </s:row>
    <s:row r="48" spans="1:255" s="109" customFormat="1">
      <s:c r="A48" s="110">
        <s:v>24</s:v>
      </s:c>
      <s:c r="B48" s="111">
        <s:v>45772</s:v>
      </s:c>
      <s:c r="C48" s="112" t="s">
        <s:v>52</s:v>
      </s:c>
      <s:c r="D48" s="113">
        <s:f>29723+29828-8500</s:f>
        <s:v>51051</s:v>
      </s:c>
      <s:c r="E48" s="114">
        <s:v>13</s:v>
      </s:c>
      <s:c r="F48" s="114">
        <s:f>IF(AND(E48&lt;&gt;"",E48&lt;&gt;0),D48/E48,"")</s:f>
        <s:v>3927</s:v>
      </s:c>
      <s:c r="G48" s="114">
        <s:v>7</s:v>
      </s:c>
      <s:c r="H48" s="114">
        <s:f>IF(AND(G48&lt;&gt;"",G48&lt;&gt;0),D48/G48,"")</s:f>
        <s:v>7293</s:v>
      </s:c>
      <s:c r="I48" s="114">
        <s:v>40</s:v>
      </s:c>
      <s:c r="J48" s="113">
        <s:f>IF(AND(G48&lt;&gt;"",G48&lt;&gt;0),E48/G48,"")</s:f>
        <s:v>1.8571428571428572</s:v>
      </s:c>
      <s:c r="K48" s="114"/>
      <s:c r="L48" s="114">
        <s:f>29828-8500</s:f>
        <s:v>21328</s:v>
      </s:c>
      <s:c r="M48" s="114"/>
      <s:c r="N48" s="115">
        <s:f>IF(AND(I48&lt;&gt;"",I48&lt;&gt;0),G48/I48,"")</s:f>
        <s:v>0.17499999999999999</s:v>
      </s:c>
      <s:c r="O48" s="116">
        <s:f>D48/P48</s:f>
        <s:v>0.78190764701789928</s:v>
      </s:c>
      <s:c r="P48" s="117">
        <s:f>$I$8*V48*W48/SUMPRODUCT($W$25:$W$55,$V$25:$V$55)</s:f>
        <s:v>65290.319380686844</s:v>
      </s:c>
      <s:c r="Q48" s="118">
        <s:f>$I$9*V48*W48/SUMPRODUCT($W$25:$W$55,$V$25:$V$55)</s:f>
        <s:v>13.163370842880411</s:v>
      </s:c>
      <s:c r="R48" s="118">
        <s:f>IF($I$12="","",Q48/$I$12)</s:f>
        <s:v>7.4369326795934523</s:v>
      </s:c>
      <s:c r="S48" s="117">
        <s:f>IF(W48&lt;&gt;"",IF(D48&lt;&gt;"",D48,($I$8-SUM($S$25:S47))*V48*W48/SUMPRODUCT($W48:$W$55,$V48:$V$55)),"")</s:f>
        <s:v>51051</s:v>
      </s:c>
      <s:c r="T48" s="118">
        <s:f>IF(W48&lt;&gt;"",IF(E48&lt;&gt;"",E48,($I$9-SUM($T$25:T47))*V48*W48/SUMPRODUCT($W48:$W$55,$V48:$V$55)),"")</s:f>
        <s:v>13</s:v>
      </s:c>
      <s:c r="U48" s="118">
        <s:f>IF(W48&lt;&gt;"",IF($I$12&lt;&gt;"",IF(G48&lt;&gt;"",G48,($I$9/$I$12-SUM($U$25:U47))*V48*W48/SUMPRODUCT($W48:$W$55,$V48:$V$55)),""),"")</s:f>
        <s:v>7</s:v>
      </s:c>
      <s:c r="V48" s="119">
        <s:v>1</s:v>
      </s:c>
      <s:c r="W48" s="119">
        <s:v>1</s:v>
      </s:c>
      <s:c r="X48" s="120"/>
      <s:c r="Y48" s="124"/>
      <s:c r="Z48" s="125"/>
      <s:c r="AA48" s="122"/>
      <s:c r="AB48" s="122"/>
      <s:c r="AC48" s="122"/>
      <s:c r="AD48" s="122"/>
      <s:c r="AE48" s="122"/>
      <s:c r="AF48" s="122"/>
      <s:c r="AG48" s="122"/>
      <s:c r="AH48" s="122"/>
      <s:c r="AI48" s="122"/>
      <s:c r="AJ48" s="122"/>
      <s:c r="AK48" s="122"/>
      <s:c r="AL48" s="122"/>
      <s:c r="AM48" s="122"/>
      <s:c r="AN48" s="122"/>
      <s:c r="AO48" s="122"/>
      <s:c r="AP48" s="122"/>
      <s:c r="AQ48" s="122"/>
      <s:c r="AR48" s="122"/>
      <s:c r="AS48" s="122"/>
      <s:c r="AT48" s="122"/>
      <s:c r="AU48" s="122"/>
      <s:c r="AV48" s="122"/>
      <s:c r="AW48" s="122"/>
      <s:c r="AX48" s="122"/>
      <s:c r="AY48" s="122"/>
      <s:c r="AZ48" s="122"/>
      <s:c r="BA48" s="122"/>
      <s:c r="BB48" s="122"/>
      <s:c r="BC48" s="122"/>
      <s:c r="BD48" s="122"/>
      <s:c r="BE48" s="122"/>
      <s:c r="BF48" s="122"/>
      <s:c r="BG48" s="122"/>
      <s:c r="BH48" s="122"/>
      <s:c r="BI48" s="122"/>
      <s:c r="BJ48" s="122"/>
      <s:c r="BK48" s="122"/>
      <s:c r="BL48" s="122"/>
      <s:c r="BM48" s="122"/>
      <s:c r="BN48" s="122"/>
      <s:c r="BO48" s="122"/>
      <s:c r="BP48" s="122"/>
      <s:c r="BQ48" s="122"/>
      <s:c r="BR48" s="122"/>
      <s:c r="BS48" s="122"/>
      <s:c r="BT48" s="122"/>
      <s:c r="BU48" s="122"/>
      <s:c r="BV48" s="122"/>
      <s:c r="BW48" s="122"/>
      <s:c r="BX48" s="122"/>
      <s:c r="BY48" s="122"/>
      <s:c r="BZ48" s="122"/>
      <s:c r="CA48" s="122"/>
      <s:c r="CB48" s="122"/>
      <s:c r="CC48" s="122"/>
      <s:c r="CD48" s="122"/>
      <s:c r="CE48" s="122"/>
      <s:c r="CF48" s="122"/>
      <s:c r="CG48" s="122"/>
      <s:c r="CH48" s="122"/>
      <s:c r="CI48" s="122"/>
      <s:c r="CJ48" s="122"/>
      <s:c r="CK48" s="122"/>
      <s:c r="CL48" s="122"/>
      <s:c r="CM48" s="122"/>
      <s:c r="CN48" s="122"/>
      <s:c r="CO48" s="122"/>
      <s:c r="CP48" s="122"/>
      <s:c r="CQ48" s="122"/>
      <s:c r="CR48" s="122"/>
      <s:c r="CS48" s="122"/>
      <s:c r="CT48" s="122"/>
      <s:c r="CU48" s="122"/>
      <s:c r="CV48" s="122"/>
      <s:c r="CW48" s="122"/>
      <s:c r="CX48" s="122"/>
      <s:c r="CY48" s="122"/>
      <s:c r="CZ48" s="122"/>
      <s:c r="DA48" s="122"/>
      <s:c r="DB48" s="122"/>
      <s:c r="DC48" s="122"/>
      <s:c r="DD48" s="122"/>
      <s:c r="DE48" s="122"/>
      <s:c r="DF48" s="122"/>
      <s:c r="DG48" s="122"/>
      <s:c r="DH48" s="122"/>
      <s:c r="DI48" s="122"/>
      <s:c r="DJ48" s="122"/>
      <s:c r="DK48" s="122"/>
      <s:c r="DL48" s="122"/>
      <s:c r="DM48" s="122"/>
      <s:c r="DN48" s="122"/>
      <s:c r="DO48" s="122"/>
      <s:c r="DP48" s="122"/>
      <s:c r="DQ48" s="122"/>
      <s:c r="DR48" s="122"/>
      <s:c r="DS48" s="122"/>
      <s:c r="DT48" s="122"/>
      <s:c r="DU48" s="122"/>
      <s:c r="DV48" s="122"/>
      <s:c r="DW48" s="122"/>
      <s:c r="DX48" s="122"/>
      <s:c r="DY48" s="122"/>
      <s:c r="DZ48" s="122"/>
      <s:c r="EA48" s="122"/>
      <s:c r="EB48" s="122"/>
      <s:c r="EC48" s="122"/>
      <s:c r="ED48" s="122"/>
      <s:c r="EE48" s="122"/>
      <s:c r="EF48" s="122"/>
      <s:c r="EG48" s="122"/>
      <s:c r="EH48" s="122"/>
      <s:c r="EI48" s="122"/>
      <s:c r="EJ48" s="122"/>
      <s:c r="EK48" s="122"/>
      <s:c r="EL48" s="122"/>
      <s:c r="EM48" s="122"/>
      <s:c r="EN48" s="122"/>
      <s:c r="EO48" s="122"/>
      <s:c r="EP48" s="122"/>
      <s:c r="EQ48" s="122"/>
      <s:c r="ER48" s="122"/>
      <s:c r="ES48" s="122"/>
      <s:c r="ET48" s="122"/>
      <s:c r="EU48" s="122"/>
      <s:c r="EV48" s="122"/>
      <s:c r="EW48" s="122"/>
      <s:c r="EX48" s="122"/>
      <s:c r="EY48" s="122"/>
      <s:c r="EZ48" s="122"/>
      <s:c r="FA48" s="122"/>
      <s:c r="FB48" s="122"/>
      <s:c r="FC48" s="122"/>
      <s:c r="FD48" s="122"/>
      <s:c r="FE48" s="122"/>
      <s:c r="FF48" s="122"/>
      <s:c r="FG48" s="122"/>
      <s:c r="FH48" s="122"/>
      <s:c r="FI48" s="122"/>
      <s:c r="FJ48" s="122"/>
      <s:c r="FK48" s="122"/>
      <s:c r="FL48" s="122"/>
      <s:c r="FM48" s="122"/>
      <s:c r="FN48" s="122"/>
      <s:c r="FO48" s="122"/>
      <s:c r="FP48" s="122"/>
      <s:c r="FQ48" s="122"/>
      <s:c r="FR48" s="122"/>
      <s:c r="FS48" s="122"/>
      <s:c r="FT48" s="122"/>
      <s:c r="FU48" s="122"/>
      <s:c r="FV48" s="122"/>
      <s:c r="FW48" s="122"/>
      <s:c r="FX48" s="122"/>
      <s:c r="FY48" s="122"/>
      <s:c r="FZ48" s="122"/>
      <s:c r="GA48" s="122"/>
      <s:c r="GB48" s="122"/>
      <s:c r="GC48" s="122"/>
      <s:c r="GD48" s="122"/>
      <s:c r="GE48" s="122"/>
      <s:c r="GF48" s="122"/>
      <s:c r="GG48" s="122"/>
      <s:c r="GH48" s="122"/>
      <s:c r="GI48" s="122"/>
      <s:c r="GJ48" s="122"/>
      <s:c r="GK48" s="122"/>
      <s:c r="GL48" s="122"/>
      <s:c r="GM48" s="122"/>
      <s:c r="GN48" s="122"/>
      <s:c r="GO48" s="122"/>
      <s:c r="GP48" s="122"/>
      <s:c r="GQ48" s="122"/>
      <s:c r="GR48" s="122"/>
      <s:c r="GS48" s="122"/>
      <s:c r="GT48" s="122"/>
      <s:c r="GU48" s="122"/>
      <s:c r="GV48" s="122"/>
      <s:c r="GW48" s="122"/>
      <s:c r="GX48" s="122"/>
      <s:c r="GY48" s="122"/>
      <s:c r="GZ48" s="122"/>
      <s:c r="HA48" s="122"/>
      <s:c r="HB48" s="122"/>
      <s:c r="HC48" s="122"/>
      <s:c r="HD48" s="122"/>
      <s:c r="HE48" s="122"/>
      <s:c r="HF48" s="122"/>
      <s:c r="HG48" s="122"/>
      <s:c r="HH48" s="122"/>
      <s:c r="HI48" s="122"/>
      <s:c r="HJ48" s="122"/>
      <s:c r="HK48" s="122"/>
      <s:c r="HL48" s="122"/>
      <s:c r="HM48" s="122"/>
      <s:c r="HN48" s="122"/>
      <s:c r="HO48" s="122"/>
      <s:c r="HP48" s="122"/>
      <s:c r="HQ48" s="122"/>
      <s:c r="HR48" s="122"/>
      <s:c r="HS48" s="122"/>
      <s:c r="HT48" s="122"/>
      <s:c r="HU48" s="122"/>
      <s:c r="HV48" s="122"/>
      <s:c r="HW48" s="122"/>
      <s:c r="HX48" s="122"/>
      <s:c r="HY48" s="122"/>
      <s:c r="HZ48" s="122"/>
      <s:c r="IA48" s="122"/>
      <s:c r="IB48" s="122"/>
      <s:c r="IC48" s="122"/>
      <s:c r="ID48" s="122"/>
      <s:c r="IE48" s="122"/>
      <s:c r="IF48" s="122"/>
      <s:c r="IG48" s="122"/>
      <s:c r="IH48" s="122"/>
      <s:c r="II48" s="122"/>
      <s:c r="IJ48" s="122"/>
      <s:c r="IK48" s="122"/>
      <s:c r="IL48" s="122"/>
      <s:c r="IM48" s="122"/>
      <s:c r="IN48" s="122"/>
      <s:c r="IO48" s="122"/>
      <s:c r="IP48" s="122"/>
      <s:c r="IQ48" s="122"/>
      <s:c r="IR48" s="122"/>
      <s:c r="IS48" s="122"/>
      <s:c r="IT48" s="122"/>
      <s:c r="IU48" s="122"/>
    </s:row>
    <s:row r="49" spans="1:255" s="109" customFormat="1">
      <s:c r="A49" s="110">
        <s:v>25</s:v>
      </s:c>
      <s:c r="B49" s="111">
        <s:v>45773</s:v>
      </s:c>
      <s:c r="C49" s="112" t="s">
        <s:v>53</s:v>
      </s:c>
      <s:c r="D49" s="113">
        <s:f>152328+51609-24506-24903</s:f>
        <s:v>154528</s:v>
      </s:c>
      <s:c r="E49" s="114">
        <s:v>29</s:v>
      </s:c>
      <s:c r="F49" s="127">
        <s:f>IF(AND(E49&lt;&gt;"",E49&lt;&gt;0),D49/E49,"")</s:f>
        <s:v>5328.5517241379312</s:v>
      </s:c>
      <s:c r="G49" s="114">
        <s:v>10</s:v>
      </s:c>
      <s:c r="H49" s="114">
        <s:f>IF(AND(G49&lt;&gt;"",G49&lt;&gt;0),D49/G49,"")</s:f>
        <s:v>15452.8</s:v>
      </s:c>
      <s:c r="I49" s="114">
        <s:v>25</s:v>
      </s:c>
      <s:c r="J49" s="113">
        <s:f>IF(AND(G49&lt;&gt;"",G49&lt;&gt;0),E49/G49,"")</s:f>
        <s:v>2.9</s:v>
      </s:c>
      <s:c r="K49" s="114"/>
      <s:c r="L49" s="114">
        <s:f>51609-24903</s:f>
        <s:v>26706</s:v>
      </s:c>
      <s:c r="M49" s="114"/>
      <s:c r="N49" s="115">
        <s:f>IF(AND(I49&lt;&gt;"",I49&lt;&gt;0),G49/I49,"")</s:f>
        <s:v>0.4</s:v>
      </s:c>
      <s:c r="O49" s="116">
        <s:f>D49/P49</s:f>
        <s:v>2.3667827246945592</s:v>
      </s:c>
      <s:c r="P49" s="117">
        <s:f>$I$8*V49*W49/SUMPRODUCT($W$25:$W$55,$V$25:$V$55)</s:f>
        <s:v>65290.319380686844</s:v>
      </s:c>
      <s:c r="Q49" s="118">
        <s:f>$I$9*V49*W49/SUMPRODUCT($W$25:$W$55,$V$25:$V$55)</s:f>
        <s:v>13.163370842880411</s:v>
      </s:c>
      <s:c r="R49" s="118">
        <s:f>IF($I$12="","",Q49/$I$12)</s:f>
        <s:v>7.4369326795934523</s:v>
      </s:c>
      <s:c r="S49" s="117">
        <s:f>IF(W49&lt;&gt;"",IF(D49&lt;&gt;"",D49,($I$8-SUM($S$25:S48))*V49*W49/SUMPRODUCT($W49:$W$55,$V49:$V$55)),"")</s:f>
        <s:v>154528</s:v>
      </s:c>
      <s:c r="T49" s="118">
        <s:f>IF(W49&lt;&gt;"",IF(E49&lt;&gt;"",E49,($I$9-SUM($T$25:T48))*V49*W49/SUMPRODUCT($W49:$W$55,$V49:$V$55)),"")</s:f>
        <s:v>29</s:v>
      </s:c>
      <s:c r="U49" s="118">
        <s:f>IF(W49&lt;&gt;"",IF($I$12&lt;&gt;"",IF(G49&lt;&gt;"",G49,($I$9/$I$12-SUM($U$25:U48))*V49*W49/SUMPRODUCT($W49:$W$55,$V49:$V$55)),""),"")</s:f>
        <s:v>10</s:v>
      </s:c>
      <s:c r="V49" s="119">
        <s:v>1</s:v>
      </s:c>
      <s:c r="W49" s="119">
        <s:v>1</s:v>
      </s:c>
      <s:c r="X49" s="120"/>
      <s:c r="Y49" s="124"/>
      <s:c r="Z49" s="125"/>
      <s:c r="AA49" s="122"/>
      <s:c r="AB49" s="122"/>
      <s:c r="AC49" s="122"/>
      <s:c r="AD49" s="122"/>
      <s:c r="AE49" s="122"/>
      <s:c r="AF49" s="122"/>
      <s:c r="AG49" s="122"/>
      <s:c r="AH49" s="122"/>
      <s:c r="AI49" s="122"/>
      <s:c r="AJ49" s="122"/>
      <s:c r="AK49" s="122"/>
      <s:c r="AL49" s="122"/>
      <s:c r="AM49" s="122"/>
      <s:c r="AN49" s="122"/>
      <s:c r="AO49" s="122"/>
      <s:c r="AP49" s="122"/>
      <s:c r="AQ49" s="122"/>
      <s:c r="AR49" s="122"/>
      <s:c r="AS49" s="122"/>
      <s:c r="AT49" s="122"/>
      <s:c r="AU49" s="122"/>
      <s:c r="AV49" s="122"/>
      <s:c r="AW49" s="122"/>
      <s:c r="AX49" s="122"/>
      <s:c r="AY49" s="122"/>
      <s:c r="AZ49" s="122"/>
      <s:c r="BA49" s="122"/>
      <s:c r="BB49" s="122"/>
      <s:c r="BC49" s="122"/>
      <s:c r="BD49" s="122"/>
      <s:c r="BE49" s="122"/>
      <s:c r="BF49" s="122"/>
      <s:c r="BG49" s="122"/>
      <s:c r="BH49" s="122"/>
      <s:c r="BI49" s="122"/>
      <s:c r="BJ49" s="122"/>
      <s:c r="BK49" s="122"/>
      <s:c r="BL49" s="122"/>
      <s:c r="BM49" s="122"/>
      <s:c r="BN49" s="122"/>
      <s:c r="BO49" s="122"/>
      <s:c r="BP49" s="122"/>
      <s:c r="BQ49" s="122"/>
      <s:c r="BR49" s="122"/>
      <s:c r="BS49" s="122"/>
      <s:c r="BT49" s="122"/>
      <s:c r="BU49" s="122"/>
      <s:c r="BV49" s="122"/>
      <s:c r="BW49" s="122"/>
      <s:c r="BX49" s="122"/>
      <s:c r="BY49" s="122"/>
      <s:c r="BZ49" s="122"/>
      <s:c r="CA49" s="122"/>
      <s:c r="CB49" s="122"/>
      <s:c r="CC49" s="122"/>
      <s:c r="CD49" s="122"/>
      <s:c r="CE49" s="122"/>
      <s:c r="CF49" s="122"/>
      <s:c r="CG49" s="122"/>
      <s:c r="CH49" s="122"/>
      <s:c r="CI49" s="122"/>
      <s:c r="CJ49" s="122"/>
      <s:c r="CK49" s="122"/>
      <s:c r="CL49" s="122"/>
      <s:c r="CM49" s="122"/>
      <s:c r="CN49" s="122"/>
      <s:c r="CO49" s="122"/>
      <s:c r="CP49" s="122"/>
      <s:c r="CQ49" s="122"/>
      <s:c r="CR49" s="122"/>
      <s:c r="CS49" s="122"/>
      <s:c r="CT49" s="122"/>
      <s:c r="CU49" s="122"/>
      <s:c r="CV49" s="122"/>
      <s:c r="CW49" s="122"/>
      <s:c r="CX49" s="122"/>
      <s:c r="CY49" s="122"/>
      <s:c r="CZ49" s="122"/>
      <s:c r="DA49" s="122"/>
      <s:c r="DB49" s="122"/>
      <s:c r="DC49" s="122"/>
      <s:c r="DD49" s="122"/>
      <s:c r="DE49" s="122"/>
      <s:c r="DF49" s="122"/>
      <s:c r="DG49" s="122"/>
      <s:c r="DH49" s="122"/>
      <s:c r="DI49" s="122"/>
      <s:c r="DJ49" s="122"/>
      <s:c r="DK49" s="122"/>
      <s:c r="DL49" s="122"/>
      <s:c r="DM49" s="122"/>
      <s:c r="DN49" s="122"/>
      <s:c r="DO49" s="122"/>
      <s:c r="DP49" s="122"/>
      <s:c r="DQ49" s="122"/>
      <s:c r="DR49" s="122"/>
      <s:c r="DS49" s="122"/>
      <s:c r="DT49" s="122"/>
      <s:c r="DU49" s="122"/>
      <s:c r="DV49" s="122"/>
      <s:c r="DW49" s="122"/>
      <s:c r="DX49" s="122"/>
      <s:c r="DY49" s="122"/>
      <s:c r="DZ49" s="122"/>
      <s:c r="EA49" s="122"/>
      <s:c r="EB49" s="122"/>
      <s:c r="EC49" s="122"/>
      <s:c r="ED49" s="122"/>
      <s:c r="EE49" s="122"/>
      <s:c r="EF49" s="122"/>
      <s:c r="EG49" s="122"/>
      <s:c r="EH49" s="122"/>
      <s:c r="EI49" s="122"/>
      <s:c r="EJ49" s="122"/>
      <s:c r="EK49" s="122"/>
      <s:c r="EL49" s="122"/>
      <s:c r="EM49" s="122"/>
      <s:c r="EN49" s="122"/>
      <s:c r="EO49" s="122"/>
      <s:c r="EP49" s="122"/>
      <s:c r="EQ49" s="122"/>
      <s:c r="ER49" s="122"/>
      <s:c r="ES49" s="122"/>
      <s:c r="ET49" s="122"/>
      <s:c r="EU49" s="122"/>
      <s:c r="EV49" s="122"/>
      <s:c r="EW49" s="122"/>
      <s:c r="EX49" s="122"/>
      <s:c r="EY49" s="122"/>
      <s:c r="EZ49" s="122"/>
      <s:c r="FA49" s="122"/>
      <s:c r="FB49" s="122"/>
      <s:c r="FC49" s="122"/>
      <s:c r="FD49" s="122"/>
      <s:c r="FE49" s="122"/>
      <s:c r="FF49" s="122"/>
      <s:c r="FG49" s="122"/>
      <s:c r="FH49" s="122"/>
      <s:c r="FI49" s="122"/>
      <s:c r="FJ49" s="122"/>
      <s:c r="FK49" s="122"/>
      <s:c r="FL49" s="122"/>
      <s:c r="FM49" s="122"/>
      <s:c r="FN49" s="122"/>
      <s:c r="FO49" s="122"/>
      <s:c r="FP49" s="122"/>
      <s:c r="FQ49" s="122"/>
      <s:c r="FR49" s="122"/>
      <s:c r="FS49" s="122"/>
      <s:c r="FT49" s="122"/>
      <s:c r="FU49" s="122"/>
      <s:c r="FV49" s="122"/>
      <s:c r="FW49" s="122"/>
      <s:c r="FX49" s="122"/>
      <s:c r="FY49" s="122"/>
      <s:c r="FZ49" s="122"/>
      <s:c r="GA49" s="122"/>
      <s:c r="GB49" s="122"/>
      <s:c r="GC49" s="122"/>
      <s:c r="GD49" s="122"/>
      <s:c r="GE49" s="122"/>
      <s:c r="GF49" s="122"/>
      <s:c r="GG49" s="122"/>
      <s:c r="GH49" s="122"/>
      <s:c r="GI49" s="122"/>
      <s:c r="GJ49" s="122"/>
      <s:c r="GK49" s="122"/>
      <s:c r="GL49" s="122"/>
      <s:c r="GM49" s="122"/>
      <s:c r="GN49" s="122"/>
      <s:c r="GO49" s="122"/>
      <s:c r="GP49" s="122"/>
      <s:c r="GQ49" s="122"/>
      <s:c r="GR49" s="122"/>
      <s:c r="GS49" s="122"/>
      <s:c r="GT49" s="122"/>
      <s:c r="GU49" s="122"/>
      <s:c r="GV49" s="122"/>
      <s:c r="GW49" s="122"/>
      <s:c r="GX49" s="122"/>
      <s:c r="GY49" s="122"/>
      <s:c r="GZ49" s="122"/>
      <s:c r="HA49" s="122"/>
      <s:c r="HB49" s="122"/>
      <s:c r="HC49" s="122"/>
      <s:c r="HD49" s="122"/>
      <s:c r="HE49" s="122"/>
      <s:c r="HF49" s="122"/>
      <s:c r="HG49" s="122"/>
      <s:c r="HH49" s="122"/>
      <s:c r="HI49" s="122"/>
      <s:c r="HJ49" s="122"/>
      <s:c r="HK49" s="122"/>
      <s:c r="HL49" s="122"/>
      <s:c r="HM49" s="122"/>
      <s:c r="HN49" s="122"/>
      <s:c r="HO49" s="122"/>
      <s:c r="HP49" s="122"/>
      <s:c r="HQ49" s="122"/>
      <s:c r="HR49" s="122"/>
      <s:c r="HS49" s="122"/>
      <s:c r="HT49" s="122"/>
      <s:c r="HU49" s="122"/>
      <s:c r="HV49" s="122"/>
      <s:c r="HW49" s="122"/>
      <s:c r="HX49" s="122"/>
      <s:c r="HY49" s="122"/>
      <s:c r="HZ49" s="122"/>
      <s:c r="IA49" s="122"/>
      <s:c r="IB49" s="122"/>
      <s:c r="IC49" s="122"/>
      <s:c r="ID49" s="122"/>
      <s:c r="IE49" s="122"/>
      <s:c r="IF49" s="122"/>
      <s:c r="IG49" s="122"/>
      <s:c r="IH49" s="122"/>
      <s:c r="II49" s="122"/>
      <s:c r="IJ49" s="122"/>
      <s:c r="IK49" s="122"/>
      <s:c r="IL49" s="122"/>
      <s:c r="IM49" s="122"/>
      <s:c r="IN49" s="122"/>
      <s:c r="IO49" s="122"/>
      <s:c r="IP49" s="122"/>
      <s:c r="IQ49" s="122"/>
      <s:c r="IR49" s="122"/>
      <s:c r="IS49" s="122"/>
      <s:c r="IT49" s="122"/>
      <s:c r="IU49" s="122"/>
    </s:row>
    <s:row r="50" spans="1:255" s="109" customFormat="1">
      <s:c r="A50" s="110">
        <s:v>26</s:v>
      </s:c>
      <s:c r="B50" s="111">
        <s:v>45774</s:v>
      </s:c>
      <s:c r="C50" s="112" t="s">
        <s:v>54</s:v>
      </s:c>
      <s:c r="D50" s="113">
        <s:v>102399</s:v>
      </s:c>
      <s:c r="E50" s="114">
        <s:v>28</s:v>
      </s:c>
      <s:c r="F50" s="114">
        <s:f>IF(AND(E50&lt;&gt;"",E50&lt;&gt;0),D50/E50,"")</s:f>
        <s:v>3657.1071428571427</s:v>
      </s:c>
      <s:c r="G50" s="114">
        <s:v>13</s:v>
      </s:c>
      <s:c r="H50" s="114">
        <s:f>IF(AND(G50&lt;&gt;"",G50&lt;&gt;0),D50/G50,"")</s:f>
        <s:v>7876.8461538461543</s:v>
      </s:c>
      <s:c r="I50" s="114">
        <s:v>25</s:v>
      </s:c>
      <s:c r="J50" s="113">
        <s:f>IF(AND(G50&lt;&gt;"",G50&lt;&gt;0),E50/G50,"")</s:f>
        <s:v>2.1538461538461537</s:v>
      </s:c>
      <s:c r="K50" s="114"/>
      <s:c r="L50" s="114"/>
      <s:c r="M50" s="114"/>
      <s:c r="N50" s="115">
        <s:f>IF(AND(I50&lt;&gt;"",I50&lt;&gt;0),G50/I50,"")</s:f>
        <s:v>0.52</s:v>
      </s:c>
      <s:c r="O50" s="116">
        <s:f>D50/P50</s:f>
        <s:v>1.5683642073022246</s:v>
      </s:c>
      <s:c r="P50" s="117">
        <s:f>$I$8*V50*W50/SUMPRODUCT($W$25:$W$55,$V$25:$V$55)</s:f>
        <s:v>65290.319380686844</s:v>
      </s:c>
      <s:c r="Q50" s="118">
        <s:f>$I$9*V50*W50/SUMPRODUCT($W$25:$W$55,$V$25:$V$55)</s:f>
        <s:v>13.163370842880411</s:v>
      </s:c>
      <s:c r="R50" s="118">
        <s:f>IF($I$12="","",Q50/$I$12)</s:f>
        <s:v>7.4369326795934523</s:v>
      </s:c>
      <s:c r="S50" s="117">
        <s:f>IF(W50&lt;&gt;"",IF(D50&lt;&gt;"",D50,($I$8-SUM($S$25:S49))*V50*W50/SUMPRODUCT($W50:$W$55,$V50:$V$55)),"")</s:f>
        <s:v>102399</s:v>
      </s:c>
      <s:c r="T50" s="118">
        <s:f>IF(W50&lt;&gt;"",IF(E50&lt;&gt;"",E50,($I$9-SUM($T$25:T49))*V50*W50/SUMPRODUCT($W50:$W$55,$V50:$V$55)),"")</s:f>
        <s:v>28</s:v>
      </s:c>
      <s:c r="U50" s="118">
        <s:f>IF(W50&lt;&gt;"",IF($I$12&lt;&gt;"",IF(G50&lt;&gt;"",G50,($I$9/$I$12-SUM($U$25:U49))*V50*W50/SUMPRODUCT($W50:$W$55,$V50:$V$55)),""),"")</s:f>
        <s:v>13</s:v>
      </s:c>
      <s:c r="V50" s="119">
        <s:v>1</s:v>
      </s:c>
      <s:c r="W50" s="119">
        <s:v>1</s:v>
      </s:c>
      <s:c r="X50" s="120"/>
      <s:c r="Y50" s="124"/>
      <s:c r="Z50" s="125"/>
      <s:c r="AA50" s="122"/>
      <s:c r="AB50" s="122"/>
      <s:c r="AC50" s="122"/>
      <s:c r="AD50" s="122"/>
      <s:c r="AE50" s="122"/>
      <s:c r="AF50" s="122"/>
      <s:c r="AG50" s="122"/>
      <s:c r="AH50" s="122"/>
      <s:c r="AI50" s="122"/>
      <s:c r="AJ50" s="122"/>
      <s:c r="AK50" s="122"/>
      <s:c r="AL50" s="122"/>
      <s:c r="AM50" s="122"/>
      <s:c r="AN50" s="122"/>
      <s:c r="AO50" s="122"/>
      <s:c r="AP50" s="122"/>
      <s:c r="AQ50" s="122"/>
      <s:c r="AR50" s="122"/>
      <s:c r="AS50" s="122"/>
      <s:c r="AT50" s="122"/>
      <s:c r="AU50" s="122"/>
      <s:c r="AV50" s="122"/>
      <s:c r="AW50" s="122"/>
      <s:c r="AX50" s="122"/>
      <s:c r="AY50" s="122"/>
      <s:c r="AZ50" s="122"/>
      <s:c r="BA50" s="122"/>
      <s:c r="BB50" s="122"/>
      <s:c r="BC50" s="122"/>
      <s:c r="BD50" s="122"/>
      <s:c r="BE50" s="122"/>
      <s:c r="BF50" s="122"/>
      <s:c r="BG50" s="122"/>
      <s:c r="BH50" s="122"/>
      <s:c r="BI50" s="122"/>
      <s:c r="BJ50" s="122"/>
      <s:c r="BK50" s="122"/>
      <s:c r="BL50" s="122"/>
      <s:c r="BM50" s="122"/>
      <s:c r="BN50" s="122"/>
      <s:c r="BO50" s="122"/>
      <s:c r="BP50" s="122"/>
      <s:c r="BQ50" s="122"/>
      <s:c r="BR50" s="122"/>
      <s:c r="BS50" s="122"/>
      <s:c r="BT50" s="122"/>
      <s:c r="BU50" s="122"/>
      <s:c r="BV50" s="122"/>
      <s:c r="BW50" s="122"/>
      <s:c r="BX50" s="122"/>
      <s:c r="BY50" s="122"/>
      <s:c r="BZ50" s="122"/>
      <s:c r="CA50" s="122"/>
      <s:c r="CB50" s="122"/>
      <s:c r="CC50" s="122"/>
      <s:c r="CD50" s="122"/>
      <s:c r="CE50" s="122"/>
      <s:c r="CF50" s="122"/>
      <s:c r="CG50" s="122"/>
      <s:c r="CH50" s="122"/>
      <s:c r="CI50" s="122"/>
      <s:c r="CJ50" s="122"/>
      <s:c r="CK50" s="122"/>
      <s:c r="CL50" s="122"/>
      <s:c r="CM50" s="122"/>
      <s:c r="CN50" s="122"/>
      <s:c r="CO50" s="122"/>
      <s:c r="CP50" s="122"/>
      <s:c r="CQ50" s="122"/>
      <s:c r="CR50" s="122"/>
      <s:c r="CS50" s="122"/>
      <s:c r="CT50" s="122"/>
      <s:c r="CU50" s="122"/>
      <s:c r="CV50" s="122"/>
      <s:c r="CW50" s="122"/>
      <s:c r="CX50" s="122"/>
      <s:c r="CY50" s="122"/>
      <s:c r="CZ50" s="122"/>
      <s:c r="DA50" s="122"/>
      <s:c r="DB50" s="122"/>
      <s:c r="DC50" s="122"/>
      <s:c r="DD50" s="122"/>
      <s:c r="DE50" s="122"/>
      <s:c r="DF50" s="122"/>
      <s:c r="DG50" s="122"/>
      <s:c r="DH50" s="122"/>
      <s:c r="DI50" s="122"/>
      <s:c r="DJ50" s="122"/>
      <s:c r="DK50" s="122"/>
      <s:c r="DL50" s="122"/>
      <s:c r="DM50" s="122"/>
      <s:c r="DN50" s="122"/>
      <s:c r="DO50" s="122"/>
      <s:c r="DP50" s="122"/>
      <s:c r="DQ50" s="122"/>
      <s:c r="DR50" s="122"/>
      <s:c r="DS50" s="122"/>
      <s:c r="DT50" s="122"/>
      <s:c r="DU50" s="122"/>
      <s:c r="DV50" s="122"/>
      <s:c r="DW50" s="122"/>
      <s:c r="DX50" s="122"/>
      <s:c r="DY50" s="122"/>
      <s:c r="DZ50" s="122"/>
      <s:c r="EA50" s="122"/>
      <s:c r="EB50" s="122"/>
      <s:c r="EC50" s="122"/>
      <s:c r="ED50" s="122"/>
      <s:c r="EE50" s="122"/>
      <s:c r="EF50" s="122"/>
      <s:c r="EG50" s="122"/>
      <s:c r="EH50" s="122"/>
      <s:c r="EI50" s="122"/>
      <s:c r="EJ50" s="122"/>
      <s:c r="EK50" s="122"/>
      <s:c r="EL50" s="122"/>
      <s:c r="EM50" s="122"/>
      <s:c r="EN50" s="122"/>
      <s:c r="EO50" s="122"/>
      <s:c r="EP50" s="122"/>
      <s:c r="EQ50" s="122"/>
      <s:c r="ER50" s="122"/>
      <s:c r="ES50" s="122"/>
      <s:c r="ET50" s="122"/>
      <s:c r="EU50" s="122"/>
      <s:c r="EV50" s="122"/>
      <s:c r="EW50" s="122"/>
      <s:c r="EX50" s="122"/>
      <s:c r="EY50" s="122"/>
      <s:c r="EZ50" s="122"/>
      <s:c r="FA50" s="122"/>
      <s:c r="FB50" s="122"/>
      <s:c r="FC50" s="122"/>
      <s:c r="FD50" s="122"/>
      <s:c r="FE50" s="122"/>
      <s:c r="FF50" s="122"/>
      <s:c r="FG50" s="122"/>
      <s:c r="FH50" s="122"/>
      <s:c r="FI50" s="122"/>
      <s:c r="FJ50" s="122"/>
      <s:c r="FK50" s="122"/>
      <s:c r="FL50" s="122"/>
      <s:c r="FM50" s="122"/>
      <s:c r="FN50" s="122"/>
      <s:c r="FO50" s="122"/>
      <s:c r="FP50" s="122"/>
      <s:c r="FQ50" s="122"/>
      <s:c r="FR50" s="122"/>
      <s:c r="FS50" s="122"/>
      <s:c r="FT50" s="122"/>
      <s:c r="FU50" s="122"/>
      <s:c r="FV50" s="122"/>
      <s:c r="FW50" s="122"/>
      <s:c r="FX50" s="122"/>
      <s:c r="FY50" s="122"/>
      <s:c r="FZ50" s="122"/>
      <s:c r="GA50" s="122"/>
      <s:c r="GB50" s="122"/>
      <s:c r="GC50" s="122"/>
      <s:c r="GD50" s="122"/>
      <s:c r="GE50" s="122"/>
      <s:c r="GF50" s="122"/>
      <s:c r="GG50" s="122"/>
      <s:c r="GH50" s="122"/>
      <s:c r="GI50" s="122"/>
      <s:c r="GJ50" s="122"/>
      <s:c r="GK50" s="122"/>
      <s:c r="GL50" s="122"/>
      <s:c r="GM50" s="122"/>
      <s:c r="GN50" s="122"/>
      <s:c r="GO50" s="122"/>
      <s:c r="GP50" s="122"/>
      <s:c r="GQ50" s="122"/>
      <s:c r="GR50" s="122"/>
      <s:c r="GS50" s="122"/>
      <s:c r="GT50" s="122"/>
      <s:c r="GU50" s="122"/>
      <s:c r="GV50" s="122"/>
      <s:c r="GW50" s="122"/>
      <s:c r="GX50" s="122"/>
      <s:c r="GY50" s="122"/>
      <s:c r="GZ50" s="122"/>
      <s:c r="HA50" s="122"/>
      <s:c r="HB50" s="122"/>
      <s:c r="HC50" s="122"/>
      <s:c r="HD50" s="122"/>
      <s:c r="HE50" s="122"/>
      <s:c r="HF50" s="122"/>
      <s:c r="HG50" s="122"/>
      <s:c r="HH50" s="122"/>
      <s:c r="HI50" s="122"/>
      <s:c r="HJ50" s="122"/>
      <s:c r="HK50" s="122"/>
      <s:c r="HL50" s="122"/>
      <s:c r="HM50" s="122"/>
      <s:c r="HN50" s="122"/>
      <s:c r="HO50" s="122"/>
      <s:c r="HP50" s="122"/>
      <s:c r="HQ50" s="122"/>
      <s:c r="HR50" s="122"/>
      <s:c r="HS50" s="122"/>
      <s:c r="HT50" s="122"/>
      <s:c r="HU50" s="122"/>
      <s:c r="HV50" s="122"/>
      <s:c r="HW50" s="122"/>
      <s:c r="HX50" s="122"/>
      <s:c r="HY50" s="122"/>
      <s:c r="HZ50" s="122"/>
      <s:c r="IA50" s="122"/>
      <s:c r="IB50" s="122"/>
      <s:c r="IC50" s="122"/>
      <s:c r="ID50" s="122"/>
      <s:c r="IE50" s="122"/>
      <s:c r="IF50" s="122"/>
      <s:c r="IG50" s="122"/>
      <s:c r="IH50" s="122"/>
      <s:c r="II50" s="122"/>
      <s:c r="IJ50" s="122"/>
      <s:c r="IK50" s="122"/>
      <s:c r="IL50" s="122"/>
      <s:c r="IM50" s="122"/>
      <s:c r="IN50" s="122"/>
      <s:c r="IO50" s="122"/>
      <s:c r="IP50" s="122"/>
      <s:c r="IQ50" s="122"/>
      <s:c r="IR50" s="122"/>
      <s:c r="IS50" s="122"/>
      <s:c r="IT50" s="122"/>
      <s:c r="IU50" s="122"/>
    </s:row>
    <s:row r="51">
      <s:c r="A51" s="95">
        <s:v>27</s:v>
      </s:c>
      <s:c r="B51" s="96">
        <s:v>45775</s:v>
      </s:c>
      <s:c r="C51" s="97" t="s">
        <s:v>55</s:v>
      </s:c>
      <s:c r="D51" s="98">
        <s:f>27241+10306</s:f>
        <s:v>37547</s:v>
      </s:c>
      <s:c r="E51" s="99">
        <s:v>10</s:v>
      </s:c>
      <s:c r="F51" s="99">
        <s:f>IF(AND(E51&lt;&gt;"",E51&lt;&gt;0),D51/E51,"")</s:f>
        <s:v>3754.7</s:v>
      </s:c>
      <s:c r="G51" s="99">
        <s:v>5</s:v>
      </s:c>
      <s:c r="H51" s="99">
        <s:f>IF(AND(G51&lt;&gt;"",G51&lt;&gt;0),D51/G51,"")</s:f>
        <s:v>7509.4</s:v>
      </s:c>
      <s:c r="I51" s="99">
        <s:v>15</s:v>
      </s:c>
      <s:c r="J51" s="98">
        <s:f>IF(AND(G51&lt;&gt;"",G51&lt;&gt;0),E51/G51,"")</s:f>
        <s:v>2</s:v>
      </s:c>
      <s:c r="K51" s="99"/>
      <s:c r="L51" s="99">
        <s:v>10306</s:v>
      </s:c>
      <s:c r="M51" s="99"/>
      <s:c r="N51" s="100">
        <s:f>IF(AND(I51&lt;&gt;"",I51&lt;&gt;0),G51/I51,"")</s:f>
        <s:v>0.33333333333333331</s:v>
      </s:c>
      <s:c r="O51" s="101">
        <s:f>D51/P51</s:f>
        <s:v>0.57507759735521469</s:v>
      </s:c>
      <s:c r="P51" s="102">
        <s:f>$I$8*V51*W51/SUMPRODUCT($W$25:$W$55,$V$25:$V$55)</s:f>
        <s:v>65290.319380686844</s:v>
      </s:c>
      <s:c r="Q51" s="103">
        <s:f>$I$9*V51*W51/SUMPRODUCT($W$25:$W$55,$V$25:$V$55)</s:f>
        <s:v>13.163370842880411</s:v>
      </s:c>
      <s:c r="R51" s="103">
        <s:f>IF($I$12="","",Q51/$I$12)</s:f>
        <s:v>7.4369326795934523</s:v>
      </s:c>
      <s:c r="S51" s="102">
        <s:f>IF(W51&lt;&gt;"",IF(D51&lt;&gt;"",D51,($I$8-SUM($S$25:S50))*V51*W51/SUMPRODUCT($W51:$W$55,$V51:$V$55)),"")</s:f>
        <s:v>37547</s:v>
      </s:c>
      <s:c r="T51" s="103">
        <s:f>IF(W51&lt;&gt;"",IF(E51&lt;&gt;"",E51,($I$9-SUM($T$25:T50))*V51*W51/SUMPRODUCT($W51:$W$55,$V51:$V$55)),"")</s:f>
        <s:v>10</s:v>
      </s:c>
      <s:c r="U51" s="103">
        <s:f>IF(W51&lt;&gt;"",IF($I$12&lt;&gt;"",IF(G51&lt;&gt;"",G51,($I$9/$I$12-SUM($U$25:U50))*V51*W51/SUMPRODUCT($W51:$W$55,$V51:$V$55)),""),"")</s:f>
        <s:v>5</s:v>
      </s:c>
      <s:c r="V51" s="104">
        <s:v>1</s:v>
      </s:c>
      <s:c r="W51" s="104">
        <s:v>1</s:v>
      </s:c>
      <s:c r="X51" s="107"/>
      <s:c r="Y51" s="106"/>
      <s:c r="Z51" s="126"/>
      <s:c r="AA51" s="2"/>
      <s:c r="AB51" s="2"/>
      <s:c r="AC51" s="2"/>
      <s:c r="AD51" s="2"/>
    </s:row>
    <s:row r="52">
      <s:c r="A52" s="95">
        <s:v>28</s:v>
      </s:c>
      <s:c r="B52" s="96">
        <s:v>45776</s:v>
      </s:c>
      <s:c r="C52" s="97" t="s">
        <s:v>48</s:v>
      </s:c>
      <s:c r="D52" s="98">
        <s:v>28433</s:v>
      </s:c>
      <s:c r="E52" s="99">
        <s:v>8</s:v>
      </s:c>
      <s:c r="F52" s="99">
        <s:f>IF(AND(E52&lt;&gt;"",E52&lt;&gt;0),D52/E52,"")</s:f>
        <s:v>3554.125</s:v>
      </s:c>
      <s:c r="G52" s="99">
        <s:v>5</s:v>
      </s:c>
      <s:c r="H52" s="99">
        <s:f>IF(AND(G52&lt;&gt;"",G52&lt;&gt;0),D52/G52,"")</s:f>
        <s:v>5686.6</s:v>
      </s:c>
      <s:c r="I52" s="99">
        <s:v>30</s:v>
      </s:c>
      <s:c r="J52" s="98">
        <s:f>IF(AND(G52&lt;&gt;"",G52&lt;&gt;0),E52/G52,"")</s:f>
        <s:v>1.6</s:v>
      </s:c>
      <s:c r="K52" s="99"/>
      <s:c r="L52" s="99"/>
      <s:c r="M52" s="99"/>
      <s:c r="N52" s="100">
        <s:f>IF(AND(I52&lt;&gt;"",I52&lt;&gt;0),G52/I52,"")</s:f>
        <s:v>0.16666666666666666</s:v>
      </s:c>
      <s:c r="O52" s="101">
        <s:f>D52/P52</s:f>
        <s:v>0.43548569328044373</s:v>
      </s:c>
      <s:c r="P52" s="102">
        <s:f>$I$8*V52*W52/SUMPRODUCT($W$25:$W$55,$V$25:$V$55)</s:f>
        <s:v>65290.319380686844</s:v>
      </s:c>
      <s:c r="Q52" s="103">
        <s:f>$I$9*V52*W52/SUMPRODUCT($W$25:$W$55,$V$25:$V$55)</s:f>
        <s:v>13.163370842880411</s:v>
      </s:c>
      <s:c r="R52" s="103">
        <s:f>IF($I$12="","",Q52/$I$12)</s:f>
        <s:v>7.4369326795934523</s:v>
      </s:c>
      <s:c r="S52" s="102">
        <s:f>IF(W52&lt;&gt;"",IF(D52&lt;&gt;"",D52,($I$8-SUM($S$25:S51))*V52*W52/SUMPRODUCT($W52:$W$55,$V52:$V$55)),"")</s:f>
        <s:v>28433</s:v>
      </s:c>
      <s:c r="T52" s="103">
        <s:f>IF(W52&lt;&gt;"",IF(E52&lt;&gt;"",E52,($I$9-SUM($T$25:T51))*V52*W52/SUMPRODUCT($W52:$W$55,$V52:$V$55)),"")</s:f>
        <s:v>8</s:v>
      </s:c>
      <s:c r="U52" s="103">
        <s:f>IF(W52&lt;&gt;"",IF($I$12&lt;&gt;"",IF(G52&lt;&gt;"",G52,($I$9/$I$12-SUM($U$25:U51))*V52*W52/SUMPRODUCT($W52:$W$55,$V52:$V$55)),""),"")</s:f>
        <s:v>5</s:v>
      </s:c>
      <s:c r="V52" s="104">
        <s:v>1</s:v>
      </s:c>
      <s:c r="W52" s="104">
        <s:v>1</s:v>
      </s:c>
      <s:c r="X52" s="107"/>
      <s:c r="Y52" s="106"/>
      <s:c r="Z52" s="126"/>
      <s:c r="AA52" s="2"/>
      <s:c r="AB52" s="2"/>
      <s:c r="AC52" s="2"/>
      <s:c r="AD52" s="2"/>
    </s:row>
    <s:row r="53" spans="1:255" ht="15" customHeight="1">
      <s:c r="A53" s="95">
        <s:v>29</s:v>
      </s:c>
      <s:c r="B53" s="96">
        <s:v>45777</s:v>
      </s:c>
      <s:c r="C53" s="97" t="s">
        <s:v>49</s:v>
      </s:c>
      <s:c r="D53" s="98">
        <s:f>180590+L53-7781</s:f>
        <s:v>249235</s:v>
      </s:c>
      <s:c r="E53" s="99">
        <s:v>36</s:v>
      </s:c>
      <s:c r="F53" s="99">
        <s:f>IF(AND(E53&lt;&gt;"",E53&lt;&gt;0),D53/E53,"")</s:f>
        <s:v>6923.1944444444443</s:v>
      </s:c>
      <s:c r="G53" s="99">
        <s:v>7</s:v>
      </s:c>
      <s:c r="H53" s="99">
        <s:f>IF(AND(G53&lt;&gt;"",G53&lt;&gt;0),D53/G53,"")</s:f>
        <s:v>35605</s:v>
      </s:c>
      <s:c r="I53" s="99">
        <s:v>60</s:v>
      </s:c>
      <s:c r="J53" s="98">
        <s:f>IF(AND(G53&lt;&gt;"",G53&lt;&gt;0),E53/G53,"")</s:f>
        <s:v>5.1428571428571432</s:v>
      </s:c>
      <s:c r="K53" s="99">
        <s:v>39982</s:v>
      </s:c>
      <s:c r="L53" s="99">
        <s:v>76426</s:v>
      </s:c>
      <s:c r="M53" s="99"/>
      <s:c r="N53" s="100">
        <s:f>IF(AND(I53&lt;&gt;"",I53&lt;&gt;0),G53/I53,"")</s:f>
        <s:v>0.11666666666666667</s:v>
      </s:c>
      <s:c r="O53" s="101">
        <s:f>D53/P53</s:f>
        <s:v>3.8173346732582347</s:v>
      </s:c>
      <s:c r="P53" s="102">
        <s:f>$I$8*V53*W53/SUMPRODUCT($W$25:$W$55,$V$25:$V$55)</s:f>
        <s:v>65290.319380686844</s:v>
      </s:c>
      <s:c r="Q53" s="103">
        <s:f>$I$9*V53*W53/SUMPRODUCT($W$25:$W$55,$V$25:$V$55)</s:f>
        <s:v>13.163370842880411</s:v>
      </s:c>
      <s:c r="R53" s="103">
        <s:f>IF($I$12="","",Q53/$I$12)</s:f>
        <s:v>7.4369326795934523</s:v>
      </s:c>
      <s:c r="S53" s="102">
        <s:f>IF(W53&lt;&gt;"",IF(D53&lt;&gt;"",D53,($I$8-SUM($S$25:S52))*V53*W53/SUMPRODUCT($W53:$W$55,$V53:$V$55)),"")</s:f>
        <s:v>249235</s:v>
      </s:c>
      <s:c r="T53" s="103">
        <s:f>IF(W53&lt;&gt;"",IF(E53&lt;&gt;"",E53,($I$9-SUM($T$25:T52))*V53*W53/SUMPRODUCT($W53:$W$55,$V53:$V$55)),"")</s:f>
        <s:v>36</s:v>
      </s:c>
      <s:c r="U53" s="103">
        <s:f>IF(W53&lt;&gt;"",IF($I$12&lt;&gt;"",IF(G53&lt;&gt;"",G53,($I$9/$I$12-SUM($U$25:U52))*V53*W53/SUMPRODUCT($W53:$W$55,$V53:$V$55)),""),"")</s:f>
        <s:v>7</s:v>
      </s:c>
      <s:c r="V53" s="104">
        <s:v>1</s:v>
      </s:c>
      <s:c r="W53" s="104">
        <s:v>1</s:v>
      </s:c>
      <s:c r="X53" s="107"/>
      <s:c r="Y53" s="106"/>
      <s:c r="Z53" s="126"/>
      <s:c r="AA53" s="2"/>
      <s:c r="AB53" s="2"/>
      <s:c r="AC53" s="2"/>
      <s:c r="AD53" s="2"/>
    </s:row>
    <s:row r="54" spans="1:255" ht="15" customHeight="1">
      <s:c r="B54" s="623" t="s">
        <s:v>58</s:v>
      </s:c>
      <s:c r="C54" s="623"/>
      <s:c r="D54" s="129">
        <s:f>SUM(D25:D53)</s:f>
        <s:v>1663026</s:v>
      </s:c>
      <s:c r="E54" s="129">
        <s:f>SUM(E25:E53)</s:f>
        <s:v>315</s:v>
      </s:c>
      <s:c r="F54" s="129">
        <s:f>IF(AND(E54&lt;&gt;"",E54&lt;&gt;0),D54/E54,"")</s:f>
        <s:v>5279.4476190476189</s:v>
      </s:c>
      <s:c r="G54" s="129">
        <s:f>SUM(G25:G53)</s:f>
        <s:v>153</s:v>
      </s:c>
      <s:c r="H54" s="129">
        <s:f>IF(AND(G54&lt;&gt;"",G54&lt;&gt;0),D54/G54,"")</s:f>
        <s:v>10869.450980392157</s:v>
      </s:c>
      <s:c r="I54" s="129">
        <s:f>SUM(I25:I53)</s:f>
        <s:v>640</s:v>
      </s:c>
      <s:c r="J54" s="128">
        <s:f>IF(AND(G54&lt;&gt;"",G54&lt;&gt;0),E54/G54,"")</s:f>
        <s:v>2.0588235294117645</s:v>
      </s:c>
      <s:c r="K54" s="129">
        <s:f>SUM(K25:K51)</s:f>
        <s:v>255926</s:v>
      </s:c>
      <s:c r="L54" s="129">
        <s:f>SUM(L25:L51)</s:f>
        <s:v>178814</s:v>
      </s:c>
      <s:c r="M54" s="129">
        <s:f>SUM(M25:M51)</s:f>
        <s:v>0</s:v>
      </s:c>
      <s:c r="N54" s="130">
        <s:f>IF(AND(I54&lt;&gt;"",I54&lt;&gt;0),G54/I54,"")</s:f>
        <s:v>0.23906250000000001</s:v>
      </s:c>
      <s:c r="O54" s="131">
        <s:f>D54/P54</s:f>
        <s:v>0.90984635664036828</s:v>
      </s:c>
      <s:c r="P54" s="132">
        <s:f>SUM(P25:P53)</s:f>
        <s:v>1827809.7042018913</s:v>
      </s:c>
      <s:c r="Q54" s="132">
        <s:f>SUM(Q25:Q52)</s:f>
        <s:v>355.04947274621043</s:v>
      </s:c>
      <s:c r="R54" s="132">
        <s:f>SUM(R25:R52)</s:f>
        <s:v>200.6889676532262</s:v>
      </s:c>
      <s:c r="S54" s="132">
        <s:f>SUM(S25:S53)</s:f>
        <s:v>1740705</s:v>
      </s:c>
      <s:c r="T54" s="132">
        <s:f>SUM(T25:T52)</s:f>
        <s:v>282</s:v>
      </s:c>
      <s:c r="U54" s="132">
        <s:f>SUM(U25:U52)</s:f>
        <s:v>153</s:v>
      </s:c>
      <s:c r="V54" s="133"/>
      <s:c r="W54" s="133"/>
    </s:row>
    <s:row r="55">
      <s:c r="B55" s="135"/>
      <s:c r="C55" s="136"/>
      <s:c r="D55" s="137">
        <s:f>SUMIF(D25:D51,"",P25:P51)+D54</s:f>
        <s:v>1663026</s:v>
      </s:c>
      <s:c r="E55" s="138"/>
      <s:c r="F55" s="136"/>
      <s:c r="G55" s="136"/>
      <s:c r="H55" s="139"/>
      <s:c r="I55" s="266"/>
      <s:c r="J55" s="139"/>
      <s:c r="L55" s="141"/>
      <s:c r="M55" s="138"/>
      <s:c r="N55" s="141"/>
      <s:c r="O55" s="141"/>
      <s:c r="P55" s="141"/>
      <s:c r="Q55" s="142"/>
    </s:row>
    <s:row r="56">
      <s:c r="D56" s="143"/>
    </s:row>
    <s:row r="57">
      <s:c r="D57" s="143"/>
    </s:row>
    <s:row r="58">
      <s:c r="D58" s="251"/>
    </s:row>
    <s:row r="59">
      <s:c r="D59" s="251"/>
    </s:row>
  </s:sheetData>
  <s:mergeCells count="28">
    <s:mergeCell ref="P22:W22"/>
    <s:mergeCell ref="B54:C54"/>
    <s:mergeCell ref="F18:H18"/>
    <s:mergeCell ref="F19:H19"/>
    <s:mergeCell ref="F20:H20"/>
    <s:mergeCell ref="B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177" priority="1766" operator="greaterThan">
      <s:formula>0</s:formula>
    </s:cfRule>
    <s:cfRule type="cellIs" dxfId="176" priority="1765" operator="lessThan">
      <s:formula>0</s:formula>
    </s:cfRule>
  </s:conditionalFormatting>
  <s:conditionalFormatting sqref="J25:J38">
    <s:cfRule type="cellIs" dxfId="175" priority="132" operator="greaterThan">
      <s:formula>$I$12</s:formula>
    </s:cfRule>
    <s:cfRule type="cellIs" dxfId="174" priority="131" operator="lessThan">
      <s:formula>$I$12</s:formula>
    </s:cfRule>
  </s:conditionalFormatting>
  <s:conditionalFormatting sqref="J41:J53">
    <s:cfRule type="cellIs" dxfId="173" priority="10" operator="lessThan">
      <s:formula>$I$12</s:formula>
    </s:cfRule>
    <s:cfRule type="cellIs" dxfId="172" priority="11" operator="greaterThan">
      <s:formula>$I$12</s:formula>
    </s:cfRule>
  </s:conditionalFormatting>
  <s:conditionalFormatting sqref="K10:K12 K15">
    <s:cfRule type="cellIs" dxfId="171" priority="1764" operator="greaterThan">
      <s:formula>1</s:formula>
    </s:cfRule>
    <s:cfRule type="cellIs" dxfId="170" priority="1763" operator="lessThan">
      <s:formula>1</s:formula>
    </s:cfRule>
  </s:conditionalFormatting>
  <s:conditionalFormatting sqref="K13">
    <s:cfRule type="cellIs" dxfId="169" priority="1414" operator="greaterThan">
      <s:formula>$K$14</s:formula>
    </s:cfRule>
    <s:cfRule type="cellIs" dxfId="168" priority="1413" operator="lessThan">
      <s:formula>$K$14</s:formula>
    </s:cfRule>
  </s:conditionalFormatting>
  <s:conditionalFormatting sqref="M8:M15">
    <s:cfRule type="cellIs" dxfId="167" priority="1762" operator="greaterThan">
      <s:formula>1</s:formula>
    </s:cfRule>
    <s:cfRule type="cellIs" dxfId="166" priority="1781" operator="lessThan">
      <s:formula>1</s:formula>
    </s:cfRule>
  </s:conditionalFormatting>
  <s:conditionalFormatting sqref="N25:N38">
    <s:cfRule type="cellIs" dxfId="165" priority="129" operator="greaterThanOrEqual">
      <s:formula>0.25</s:formula>
    </s:cfRule>
    <s:cfRule type="cellIs" dxfId="164" priority="130" operator="lessThan">
      <s:formula>0.2</s:formula>
    </s:cfRule>
    <s:cfRule type="cellIs" dxfId="163" priority="128" operator="between">
      <s:formula>0.2</s:formula>
      <s:formula>0.25</s:formula>
    </s:cfRule>
  </s:conditionalFormatting>
  <s:conditionalFormatting sqref="N41:N53">
    <s:cfRule type="cellIs" dxfId="162" priority="7" operator="between">
      <s:formula>0.2</s:formula>
      <s:formula>0.25</s:formula>
    </s:cfRule>
    <s:cfRule type="cellIs" dxfId="161" priority="8" operator="greaterThanOrEqual">
      <s:formula>0.25</s:formula>
    </s:cfRule>
    <s:cfRule type="cellIs" dxfId="160" priority="9" operator="lessThan">
      <s:formula>0.2</s:formula>
    </s:cfRule>
  </s:conditionalFormatting>
  <s:conditionalFormatting sqref="O25:O38">
    <s:cfRule type="cellIs" dxfId="159" priority="126" operator="between">
      <s:formula>0.85</s:formula>
      <s:formula>1</s:formula>
    </s:cfRule>
    <s:cfRule type="cellIs" dxfId="158" priority="127" operator="between">
      <s:formula>0.01</s:formula>
      <s:formula>0.99</s:formula>
    </s:cfRule>
    <s:cfRule type="cellIs" dxfId="157" priority="125" operator="greaterThan">
      <s:formula>100</s:formula>
    </s:cfRule>
    <s:cfRule type="cellIs" dxfId="156" priority="124" operator="greaterThan">
      <s:formula>1</s:formula>
    </s:cfRule>
    <s:cfRule type="cellIs" dxfId="155" priority="123" operator="lessThan">
      <s:formula>0.9</s:formula>
    </s:cfRule>
    <s:cfRule type="cellIs" dxfId="154" priority="122" operator="between">
      <s:formula>0.9001</s:formula>
      <s:formula>0.9999</s:formula>
    </s:cfRule>
  </s:conditionalFormatting>
  <s:conditionalFormatting sqref="O41:O53">
    <s:cfRule type="cellIs" dxfId="153" priority="6" operator="between">
      <s:formula>0.01</s:formula>
      <s:formula>0.99</s:formula>
    </s:cfRule>
    <s:cfRule type="cellIs" dxfId="152" priority="5" operator="between">
      <s:formula>0.85</s:formula>
      <s:formula>1</s:formula>
    </s:cfRule>
    <s:cfRule type="cellIs" dxfId="151" priority="4" operator="greaterThan">
      <s:formula>100</s:formula>
    </s:cfRule>
    <s:cfRule type="cellIs" dxfId="150" priority="3" operator="greaterThan">
      <s:formula>1</s:formula>
    </s:cfRule>
    <s:cfRule type="cellIs" dxfId="149" priority="2" operator="lessThan">
      <s:formula>0.9</s:formula>
    </s:cfRule>
    <s:cfRule type="cellIs" dxfId="148" priority="1" operator="between">
      <s:formula>0.9001</s:formula>
      <s:formula>0.9999</s:formula>
    </s:cfRule>
  </s:conditionalFormatting>
  <s:conditionalFormatting sqref="P10:Q10">
    <s:cfRule type="cellIs" dxfId="147" priority="1777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5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400-000000000000}">
  <s:sheetPr>
    <s:pageSetUpPr fitToPage="1"/>
  </s:sheetPr>
  <s:dimension ref="A1:IU55"/>
  <s:sheetViews>
    <s:sheetView showZeros="0" tabSelected="0" topLeftCell="A8" zoomScale="116" workbookViewId="0">
      <s:pane xSplit="2" topLeftCell="C1" activePane="topRight" state="frozen"/>
      <s:selection activeCell="G34" sqref="G34"/>
      <s:selection pane="topRight" activeCell="A8" sqref="A8"/>
    </s:sheetView>
  </s:sheetViews>
  <s:sheetFormatPr baseColWidth="10" defaultColWidth="9.164" defaultRowHeight="15"/>
  <s:cols>
    <s:col min="1" max="1" width="4.164" style="267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3" width="9.164" style="3" bestFit="1" customWidth="1"/>
    <s:col min="34" max="255" width="9.164" style="2" bestFit="1" customWidth="1"/>
  </s:cols>
  <s:sheetData>
    <s:row r="1" spans="2:23" ht="15.75" customHeight="1">
      <s:c r="B1" s="684">
        <s:f ca="1">TODAY()-1</s:f>
        <s:v>46138</s:v>
      </s:c>
      <s:c r="C1" s="684"/>
      <s:c r="D1" s="11"/>
      <s:c r="E1" s="11"/>
      <s:c r="F1" s="12"/>
      <s:c r="G1" s="12"/>
      <s:c r="H1" s="12"/>
      <s:c r="I1" s="12"/>
      <s:c r="J1" s="225"/>
      <s:c r="K1" s="225"/>
      <s:c r="L1" s="225"/>
      <s:c r="M1" s="225"/>
      <s:c r="N1" s="225"/>
      <s:c r="O1" s="225"/>
      <s:c r="P1" s="225"/>
      <s:c r="Q1" s="685"/>
      <s:c r="R1" s="685"/>
      <s:c r="S1" s="685"/>
      <s:c r="T1" s="685"/>
      <s:c r="U1" s="12"/>
      <s:c r="V1" s="12"/>
      <s:c r="W1" s="12"/>
    </s:row>
    <s:row r="2" spans="2:23" ht="21.75" customHeight="1">
      <s:c r="B2" s="686" t="s">
        <s:v>0</s:v>
      </s:c>
      <s:c r="C2" s="686"/>
      <s:c r="D2" s="11"/>
      <s:c r="E2" s="11"/>
      <s:c r="F2" s="12"/>
      <s:c r="G2" s="12"/>
      <s:c r="H2" s="12"/>
      <s:c r="I2" s="12"/>
      <s:c r="J2" s="687" t="s">
        <s:v>70</s:v>
      </s:c>
      <s:c r="K2" s="687"/>
      <s:c r="L2" s="687"/>
      <s:c r="M2" s="687"/>
      <s:c r="N2" s="687"/>
      <s:c r="O2" s="687"/>
      <s:c r="P2" s="687"/>
      <s:c r="Q2" s="685"/>
      <s:c r="R2" s="685"/>
      <s:c r="S2" s="685"/>
      <s:c r="T2" s="685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88" t="str">
        <s:f>График!B28</s:f>
        <s:v>Уразгильдеева Екатерина</s:v>
      </s:c>
      <s:c r="K3" s="689"/>
      <s:c r="L3" s="689"/>
      <s:c r="M3" s="689"/>
      <s:c r="N3" s="690"/>
      <s:c r="O3" s="225"/>
      <s:c r="P3" s="226"/>
      <s:c r="Q3" s="685"/>
      <s:c r="R3" s="685"/>
      <s:c r="S3" s="685"/>
      <s:c r="T3" s="685"/>
      <s:c r="U3" s="12"/>
      <s:c r="V3" s="12"/>
      <s:c r="W3" s="12"/>
    </s:row>
    <s:row r="4" spans="2:23" ht="15" customHeight="1">
      <s:c r="B4" s="11"/>
      <s:c r="C4" s="694">
        <s:f>I8-D50</s:f>
        <s:v>258684.46947368426</s:v>
      </s:c>
      <s:c r="D4" s="695"/>
      <s:c r="E4" s="227">
        <s:f>IF(I8&lt;&gt;0, C4/I8, 0)</s:f>
        <s:v>0.51792885165692892</s:v>
      </s:c>
      <s:c r="F4" s="12"/>
      <s:c r="G4" s="12"/>
      <s:c r="H4" s="12"/>
      <s:c r="I4" s="12"/>
      <s:c r="J4" s="691"/>
      <s:c r="K4" s="692"/>
      <s:c r="L4" s="692"/>
      <s:c r="M4" s="692"/>
      <s:c r="N4" s="693"/>
      <s:c r="O4" s="12"/>
      <s:c r="P4" s="12"/>
      <s:c r="Q4" s="685"/>
      <s:c r="R4" s="685"/>
      <s:c r="S4" s="685"/>
      <s:c r="T4" s="685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96"/>
      <s:c r="K5" s="696"/>
      <s:c r="L5" s="696"/>
      <s:c r="M5" s="696"/>
      <s:c r="N5" s="696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28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28"/>
      <s:c r="C7" s="12"/>
      <s:c r="D7" s="12"/>
      <s:c r="E7" s="12"/>
      <s:c r="F7" s="603" t="s">
        <s:v>3</s:v>
      </s:c>
      <s:c r="G7" s="604"/>
      <s:c r="H7" s="605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6" t="s">
        <s:v>11</s:v>
      </s:c>
      <s:c r="Q7" s="607"/>
      <s:c r="R7" s="21"/>
      <s:c r="S7" s="21"/>
      <s:c r="T7" s="12"/>
      <s:c r="U7" s="12"/>
      <s:c r="V7" s="12"/>
      <s:c r="W7" s="12"/>
    </s:row>
    <s:row r="8" spans="2:23" ht="15.75" customHeight="1">
      <s:c r="B8" s="228"/>
      <s:c r="C8" s="12"/>
      <s:c r="D8" s="12"/>
      <s:c r="E8" s="12"/>
      <s:c r="F8" s="608" t="s">
        <s:v>12</s:v>
      </s:c>
      <s:c r="G8" s="609"/>
      <s:c r="H8" s="610"/>
      <s:c r="I8" s="229">
        <s:f>'Ялта, Ленина, 18'!I8/График!AJ31*График!AJ28</s:f>
        <s:v>499459.46947368426</s:v>
      </s:c>
      <s:c r="J8" s="230">
        <s:f>D50</s:f>
        <s:v>240775</s:v>
      </s:c>
      <s:c r="K8" s="231">
        <s:f>J8/I8</s:f>
        <s:v>0.48207114834307102</s:v>
      </s:c>
      <s:c r="L8" s="232">
        <s:f>IF(SUMIF($D$25:$D$49,"&gt;=0",$P$25:$P$49)&lt;&gt;0,I8*D50/SUMIF($D$25:$D$49,"&gt;=0",$P$25:$P$49),0)</s:f>
        <s:v>225590.38692807866</s:v>
      </s:c>
      <s:c r="M8" s="42">
        <s:f>IF(AND(I8&lt;&gt;"",I8&lt;&gt;0,L8&lt;&gt;"",L8&lt;&gt;0),L8/I8,"")</s:f>
        <s:v>0.4516690556809328</s:v>
      </s:c>
      <s:c r="N8" s="35">
        <s:f>IF(AND(J8&lt;&gt;0, J8&lt;&gt;"", I8&lt;&gt;0, I8&lt;&gt;""), L8-I8, "")</s:f>
        <s:v>-273869.0825456056</s:v>
      </s:c>
      <s:c r="O8" s="34"/>
      <s:c r="P8" s="35" t="str">
        <s:f>IF(AND(O8&lt;&gt;"", O8&lt;&gt;0, L8&lt;&gt;"", L8&lt;&gt;0), -O8+L8, "")</s:f>
        <s:v/>
      </s:c>
      <s:c r="Q8" s="36" t="str">
        <s:f>IF(AND(P8&lt;&gt;"", P8&lt;&gt;0, O8&lt;&gt;0, O8&lt;&gt;""), P8/O8, 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28"/>
      <s:c r="C9" s="12"/>
      <s:c r="D9" s="12"/>
      <s:c r="E9" s="12"/>
      <s:c r="F9" s="611" t="s">
        <s:v>13</s:v>
      </s:c>
      <s:c r="G9" s="612"/>
      <s:c r="H9" s="613"/>
      <s:c r="I9" s="38">
        <s:f>I8/I11</s:f>
        <s:v>100.69747368421054</s:v>
      </s:c>
      <s:c r="J9" s="39">
        <s:f>E50</s:f>
        <s:v>51</s:v>
      </s:c>
      <s:c r="K9" s="40">
        <s:f>IF(AND(I9&lt;&gt;"", I9&lt;&gt;0, J9&lt;&gt;""), J9/I9, "")</s:f>
        <s:v>0.50646752231279513</s:v>
      </s:c>
      <s:c r="L9" s="234">
        <s:f>J9</s:f>
        <s:v>51</s:v>
      </s:c>
      <s:c r="M9" s="42">
        <s:f>IF(AND(I9&lt;&gt;"",I9&lt;&gt;0,L9&lt;&gt;"",L9&lt;&gt;0),L9/I9,"")</s:f>
        <s:v>0.50646752231279513</s:v>
      </s:c>
      <s:c r="N9" s="43">
        <s:f>IF(AND(J9&lt;&gt;0, J9&lt;&gt;"", I9&lt;&gt;0, I9&lt;&gt;""), L9-I9, "")</s:f>
        <s:v>-49.697473684210536</s:v>
      </s:c>
      <s:c r="O9" s="44" t="e">
        <s:f>O8/O11</s:f>
        <s:v>#DIV/0!</s:v>
      </s:c>
      <s:c r="P9" s="43" t="e">
        <s:f>IF(AND(O9&lt;&gt;"", O9&lt;&gt;0, L9&lt;&gt;"", L9&lt;&gt;0), -O9+L9, "")</s:f>
        <s:v>#DIV/0!</s:v>
      </s:c>
      <s:c r="Q9" s="45" t="e">
        <s:f>IF(AND(P9&lt;&gt;"", P9&lt;&gt;0, O9&lt;&gt;0, O9&lt;&gt;""), P9/O9, 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28"/>
      <s:c r="C10" s="12"/>
      <s:c r="D10" s="12"/>
      <s:c r="E10" s="12"/>
      <s:c r="F10" s="608" t="s">
        <s:v>14</s:v>
      </s:c>
      <s:c r="G10" s="609"/>
      <s:c r="H10" s="610"/>
      <s:c r="I10" s="50">
        <s:f>I11*I12</s:f>
        <s:v>8779.2000000000007</s:v>
      </s:c>
      <s:c r="J10" s="236">
        <s:f>H50</s:f>
        <s:v>8917.5925925925931</s:v>
      </s:c>
      <s:c r="K10" s="47">
        <s:f>IF(AND(I10&lt;&gt;"", I10&lt;&gt;0, J10&lt;&gt;""), J10/I10, "")</s:f>
        <s:v>1.015763690608779</s:v>
      </s:c>
      <s:c r="L10" s="234">
        <s:f>J10</s:f>
        <s:v>8917.5925925925931</s:v>
      </s:c>
      <s:c r="M10" s="48">
        <s:f>IF(AND(I10&lt;&gt;"",I10&lt;&gt;0,L10&lt;&gt;"",L10&lt;&gt;0),L10/I10,"")</s:f>
        <s:v>1.015763690608779</s:v>
      </s:c>
      <s:c r="N10" s="49">
        <s:f>IF(AND(J10&lt;&gt;0, J10&lt;&gt;"", I10&lt;&gt;0, I10&lt;&gt;""), L10-I10, "")</s:f>
        <s:v>138.39259259259234</s:v>
      </s:c>
      <s:c r="O10" s="50">
        <s:f>O11*O12</s:f>
        <s:v>0</s:v>
      </s:c>
      <s:c r="P10" s="49" t="str">
        <s:f>IF(AND(O10&lt;&gt;"", O10&lt;&gt;0, L10&lt;&gt;"", L10&lt;&gt;0), -O10+L10, "")</s:f>
        <s:v/>
      </s:c>
      <s:c r="Q10" s="51" t="str">
        <s:f>IF(AND(P10&lt;&gt;"", P10&lt;&gt;0, O10&lt;&gt;0, O10&lt;&gt;""), P10/O10, "")</s:f>
        <s:v/>
      </s:c>
      <s:c r="R10" s="21"/>
      <s:c r="S10" s="618" t="s">
        <s:v>15</s:v>
      </s:c>
      <s:c r="T10" s="618"/>
      <s:c r="U10" s="12"/>
      <s:c r="V10" s="12"/>
      <s:c r="W10" s="12"/>
    </s:row>
    <s:row r="11" spans="2:23" ht="15.75" customHeight="1">
      <s:c r="B11" s="228"/>
      <s:c r="C11" s="12"/>
      <s:c r="D11" s="12"/>
      <s:c r="E11" s="12"/>
      <s:c r="F11" s="611" t="s">
        <s:v>16</s:v>
      </s:c>
      <s:c r="G11" s="612"/>
      <s:c r="H11" s="613"/>
      <s:c r="I11" s="52">
        <s:f>'Ялта, Ленина, 18'!I11</s:f>
        <s:v>4960</s:v>
      </s:c>
      <s:c r="J11" s="39">
        <s:f>F50</s:f>
        <s:v>4721.0784313725489</s:v>
      </s:c>
      <s:c r="K11" s="40">
        <s:f>IF(AND(I11&lt;&gt;"", I11&lt;&gt;0, J11&lt;&gt;""), J11/I11, "")</s:f>
        <s:v>0.95183032890575581</s:v>
      </s:c>
      <s:c r="L11" s="234">
        <s:f>J11</s:f>
        <s:v>4721.0784313725489</s:v>
      </s:c>
      <s:c r="M11" s="42">
        <s:f>IF(AND(I11&lt;&gt;"",I11&lt;&gt;0,L11&lt;&gt;"",L11&lt;&gt;0),L11/I11,"")</s:f>
        <s:v>0.95183032890575581</s:v>
      </s:c>
      <s:c r="N11" s="43">
        <s:f>IF(AND(J11&lt;&gt;0, J11&lt;&gt;"", I11&lt;&gt;0, I11&lt;&gt;""), L11-I11, "")</s:f>
        <s:v>-238.92156862745105</s:v>
      </s:c>
      <s:c r="O11" s="53"/>
      <s:c r="P11" s="43" t="str">
        <s:f>IF(AND(O11&lt;&gt;"", O11&lt;&gt;0, L11&lt;&gt;"", L11&lt;&gt;0), -O11+L11, "")</s:f>
        <s:v/>
      </s:c>
      <s:c r="Q11" s="45" t="str">
        <s:f>IF(AND(P11&lt;&gt;"", P11&lt;&gt;0, O11&lt;&gt;0, O11&lt;&gt;""), P11/O11, "")</s:f>
        <s:v/>
      </s:c>
      <s:c r="R11" s="21"/>
      <s:c r="S11" s="618"/>
      <s:c r="T11" s="618"/>
      <s:c r="U11" s="12"/>
      <s:c r="V11" s="12"/>
      <s:c r="W11" s="12"/>
    </s:row>
    <s:row r="12" spans="2:23" ht="15.75" customHeight="1">
      <s:c r="B12" s="228"/>
      <s:c r="C12" s="12"/>
      <s:c r="D12" s="12"/>
      <s:c r="E12" s="12"/>
      <s:c r="F12" s="611" t="s">
        <s:v>17</s:v>
      </s:c>
      <s:c r="G12" s="612"/>
      <s:c r="H12" s="613"/>
      <s:c r="I12" s="54">
        <s:f>'Ялта, Ленина, 18'!I12</s:f>
        <s:v>1.77</s:v>
      </s:c>
      <s:c r="J12" s="55">
        <s:f>J50</s:f>
        <s:v>1.8888888888888888</s:v>
      </s:c>
      <s:c r="K12" s="40">
        <s:f>IF(AND(I12&lt;&gt;"", I12&lt;&gt;0, J12&lt;&gt;""), J12/I12, "")</s:f>
        <s:v>1.0671688637790333</s:v>
      </s:c>
      <s:c r="L12" s="240">
        <s:f>J12</s:f>
        <s:v>1.8888888888888888</s:v>
      </s:c>
      <s:c r="M12" s="42">
        <s:f>IF(AND(I12&lt;&gt;"",I12&lt;&gt;0,L12&lt;&gt;"",L12&lt;&gt;0),L12/I12,"")</s:f>
        <s:v>1.0671688637790333</s:v>
      </s:c>
      <s:c r="N12" s="57">
        <s:f>IF(AND(J12&lt;&gt;0, J12&lt;&gt;"", I12&lt;&gt;0, I12&lt;&gt;""), L12-I12, "")</s:f>
        <s:v>0.11888888888888882</s:v>
      </s:c>
      <s:c r="O12" s="58"/>
      <s:c r="P12" s="43" t="str">
        <s:f>IF(AND(O12&lt;&gt;"", O12&lt;&gt;0, L12&lt;&gt;"", L12&lt;&gt;0), -O12+L12, "")</s:f>
        <s:v/>
      </s:c>
      <s:c r="Q12" s="45" t="str">
        <s:f>IF(AND(P12&lt;&gt;"", P12&lt;&gt;0, O12&lt;&gt;0, O12&lt;&gt;""), P12/O12, "")</s:f>
        <s:v/>
      </s:c>
      <s:c r="R12" s="21"/>
      <s:c r="S12" s="59">
        <s:f>'Ялта, Ленина, 18'!S12*График!AJ28/График!AJ31</s:f>
        <s:v>115789.47368421052</s:v>
      </s:c>
      <s:c r="T12" s="60">
        <s:f>L50</s:f>
        <s:v>64232</s:v>
      </s:c>
      <s:c r="U12" s="12"/>
      <s:c r="V12" s="12"/>
      <s:c r="W12" s="12"/>
    </s:row>
    <s:row r="13" spans="2:23" ht="15.75" customHeight="1">
      <s:c r="B13" s="228"/>
      <s:c r="C13" s="12"/>
      <s:c r="D13" s="12"/>
      <s:c r="E13" s="12"/>
      <s:c r="F13" s="611" t="s">
        <s:v>18</s:v>
      </s:c>
      <s:c r="G13" s="612"/>
      <s:c r="H13" s="613"/>
      <s:c r="I13" s="38">
        <s:f>IF(I12&lt;&gt;0, I9/I12, "")</s:f>
        <s:v>56.891228070175444</s:v>
      </s:c>
      <s:c r="J13" s="39">
        <s:f>G50</s:f>
        <s:v>27</s:v>
      </s:c>
      <s:c r="K13" s="40">
        <s:f>IF(AND(I13&lt;&gt;"", I13&lt;&gt;0, J13&lt;&gt;""), J13/I13, "")</s:f>
        <s:v>0.47458986061428393</s:v>
      </s:c>
      <s:c r="L13" s="234">
        <s:f>J13</s:f>
        <s:v>27</s:v>
      </s:c>
      <s:c r="M13" s="42">
        <s:f>IF(AND(I13&lt;&gt;"",I13&lt;&gt;0,L13&lt;&gt;"",L13&lt;&gt;0),L13/I13,"")</s:f>
        <s:v>0.47458986061428393</s:v>
      </s:c>
      <s:c r="N13" s="57">
        <s:f>IF(AND(J13&lt;&gt;0, J13&lt;&gt;"", I13&lt;&gt;0, I13&lt;&gt;""), L13-I13, "")</s:f>
        <s:v>-29.891228070175444</s:v>
      </s:c>
      <s:c r="O13" s="61"/>
      <s:c r="P13" s="43" t="str">
        <s:f>IF(AND(O13&lt;&gt;"", O13&lt;&gt;0, L13&lt;&gt;"", L13&lt;&gt;0), -O13+L13, "")</s:f>
        <s:v/>
      </s:c>
      <s:c r="Q13" s="45" t="str">
        <s:f>IF(AND(P13&lt;&gt;"", P13&lt;&gt;0, O13&lt;&gt;0, O13&lt;&gt;""), P13/O13, "")</s:f>
        <s:v/>
      </s:c>
      <s:c r="R13" s="21"/>
      <s:c r="S13" s="62">
        <s:f>T12/S12</s:f>
        <s:v>0.55473090909090916</s:v>
      </s:c>
      <s:c r="T13" s="62">
        <s:f>S13/J14*I14</s:f>
        <s:v>0.63397818181818189</s:v>
      </s:c>
      <s:c r="U13" s="12"/>
      <s:c r="V13" s="12"/>
      <s:c r="W13" s="12"/>
    </s:row>
    <s:row r="14" spans="2:23" ht="15.75" customHeight="1">
      <s:c r="B14" s="228"/>
      <s:c r="C14" s="12"/>
      <s:c r="D14" s="12"/>
      <s:c r="E14" s="12"/>
      <s:c r="F14" s="611" t="s">
        <s:v>61</s:v>
      </s:c>
      <s:c r="G14" s="612"/>
      <s:c r="H14" s="613"/>
      <s:c r="I14" s="52">
        <s:f>График!AI28</s:f>
        <s:v>8</s:v>
      </s:c>
      <s:c r="J14" s="64">
        <s:v>7</s:v>
      </s:c>
      <s:c r="K14" s="40">
        <s:f>IF(AND(I14&lt;&gt;"", I14&lt;&gt;0, J14&lt;&gt;""), J14/I14, "")</s:f>
        <s:v>0.875</s:v>
      </s:c>
      <s:c r="L14" s="41">
        <s:f>I14</s:f>
        <s:v>8</s:v>
      </s:c>
      <s:c r="M14" s="42">
        <s:f>IF(AND(I14&lt;&gt;"",I14&lt;&gt;0,L14&lt;&gt;"",L14&lt;&gt;0),L14/I14,"")</s:f>
        <s:v>1</s:v>
      </s:c>
      <s:c r="N14" s="43">
        <s:f>IF(AND(J14&lt;&gt;0, J14&lt;&gt;"", I14&lt;&gt;0, I14&lt;&gt;""), L14-I14, "")</s:f>
        <s:v>0</s:v>
      </s:c>
      <s:c r="O14" s="61"/>
      <s:c r="P14" s="43" t="str">
        <s:f>IF(AND(O14&lt;&gt;"", O14&lt;&gt;0, L14&lt;&gt;"", L14&lt;&gt;0), -O14+L14, "")</s:f>
        <s:v/>
      </s:c>
      <s:c r="Q14" s="45" t="str">
        <s:f>IF(AND(P14&lt;&gt;"", P14&lt;&gt;0, O14&lt;&gt;0, O14&lt;&gt;""), P14/O14, 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28"/>
      <s:c r="C15" s="12"/>
      <s:c r="D15" s="12"/>
      <s:c r="E15" s="12"/>
      <s:c r="F15" s="611" t="s">
        <s:v>20</s:v>
      </s:c>
      <s:c r="G15" s="612"/>
      <s:c r="H15" s="613"/>
      <s:c r="I15" s="75">
        <s:f>'Ялта, Ленина, 18'!I15</s:f>
        <s:v>86270.272000000012</s:v>
      </s:c>
      <s:c r="J15" s="67">
        <s:f>J8/J14</s:f>
        <s:v>34396.428571428572</s:v>
      </s:c>
      <s:c r="K15" s="68">
        <s:f>IF(AND(I15&lt;&gt;"", I15&lt;&gt;0, J15&lt;&gt;""), J15/I15, "")</s:f>
        <s:v>0.39870546103562265</s:v>
      </s:c>
      <s:c r="L15" s="234">
        <s:f>J15</s:f>
        <s:v>34396.428571428572</s:v>
      </s:c>
      <s:c r="M15" s="70">
        <s:f>IF(AND(I15&lt;&gt;"",I15&lt;&gt;0,L15&lt;&gt;"",L15&lt;&gt;0),L15/I15,"")</s:f>
        <s:v>0.39870546103562265</s:v>
      </s:c>
      <s:c r="N15" s="43">
        <s:f>IF(AND(J15&lt;&gt;0, J15&lt;&gt;"", I15&lt;&gt;0, I15&lt;&gt;""), L15-I15, "")</s:f>
        <s:v>-51873.843428571439</s:v>
      </s:c>
      <s:c r="O15" s="71"/>
      <s:c r="P15" s="43" t="str">
        <s:f>IF(AND(O15&lt;&gt;"", O15&lt;&gt;0, L15&lt;&gt;"", L15&lt;&gt;0), -O15+L15, "")</s:f>
        <s:v/>
      </s:c>
      <s:c r="Q15" s="45" t="str">
        <s:f>IF(AND(P15&lt;&gt;"", P15&lt;&gt;0, O15&lt;&gt;0, O15&lt;&gt;""), P15/O15, "")</s:f>
        <s:v/>
      </s:c>
      <s:c r="R15" s="21"/>
      <s:c r="S15" s="37"/>
      <s:c r="T15" s="6"/>
      <s:c r="U15" s="12"/>
      <s:c r="V15" s="12"/>
      <s:c r="W15" s="12"/>
    </s:row>
    <s:row r="16" spans="2:23" ht="15.75" customHeight="1">
      <s:c r="B16" s="228"/>
      <s:c r="C16" s="12"/>
      <s:c r="D16" s="12"/>
      <s:c r="E16" s="12"/>
      <s:c r="F16" s="611" t="s">
        <s:v>21</s:v>
      </s:c>
      <s:c r="G16" s="612"/>
      <s:c r="H16" s="613"/>
      <s:c r="I16" s="75"/>
      <s:c r="J16" s="67">
        <s:f>J8-I15*J14</s:f>
        <s:v>-363116.9040000001</s:v>
      </s:c>
      <s:c r="K16" s="68" t="str">
        <s:f>IF(AND(I16&lt;&gt;"", I16&lt;&gt;0, J16&lt;&gt;""), J16/I16, "")</s:f>
        <s:v/>
      </s:c>
      <s:c r="L16" s="72">
        <s:f>J16</s:f>
        <s:v>-363116.9040000001</s:v>
      </s:c>
      <s:c r="M16" s="73" t="str">
        <s:f>IF(AND(I16&lt;&gt;"",I16&lt;&gt;0,L16&lt;&gt;"",L16&lt;&gt;0),L16/I16,"")</s:f>
        <s:v/>
      </s:c>
      <s:c r="N16" s="43" t="str">
        <s:f>IF(AND(J16&lt;&gt;0, J16&lt;&gt;"", I16&lt;&gt;0, I16&lt;&gt;""), L16-I16, "")</s:f>
        <s:v/>
      </s:c>
      <s:c r="O16" s="71"/>
      <s:c r="P16" s="43" t="str">
        <s:f>IF(AND(O16&lt;&gt;"", O16&lt;&gt;0, L16&lt;&gt;"", L16&lt;&gt;0), -O16+L16, "")</s:f>
        <s:v/>
      </s:c>
      <s:c r="Q16" s="45" t="str">
        <s:f>IF(AND(P16&lt;&gt;"", P16&lt;&gt;0, O16&lt;&gt;0, O16&lt;&gt;""), P16/O16, "")</s:f>
        <s:v/>
      </s:c>
      <s:c r="R16" s="21"/>
      <s:c r="S16" s="618" t="s">
        <s:v>22</s:v>
      </s:c>
      <s:c r="T16" s="618"/>
      <s:c r="U16" s="12"/>
      <s:c r="V16" s="12"/>
      <s:c r="W16" s="12"/>
    </s:row>
    <s:row r="17" spans="1:255" ht="15.75" customHeight="1">
      <s:c r="B17" s="228"/>
      <s:c r="C17" s="12"/>
      <s:c r="D17" s="241"/>
      <s:c r="E17" s="12"/>
      <s:c r="F17" s="611" t="s">
        <s:v>23</s:v>
      </s:c>
      <s:c r="G17" s="612"/>
      <s:c r="H17" s="613"/>
      <s:c r="I17" s="75">
        <s:f>'Ялта, Ленина, 18'!I17/График!AJ31*График!AJ28</s:f>
        <s:v>258.59649122807019</s:v>
      </s:c>
      <s:c r="J17" s="67">
        <s:f>I50</s:f>
        <s:v>160</s:v>
      </s:c>
      <s:c r="K17" s="68">
        <s:f>IF(AND(I17&lt;&gt;"", I17&lt;&gt;0, J17&lt;&gt;""), J17/I17, "")</s:f>
        <s:v>0.61872455902306644</s:v>
      </s:c>
      <s:c r="L17" s="78">
        <s:f>J17/J14*I14</s:f>
        <s:v>182.85714285714286</s:v>
      </s:c>
      <s:c r="M17" s="73">
        <s:f>IF(AND(I17&lt;&gt;"",I17&lt;&gt;0,L17&lt;&gt;"",L17&lt;&gt;0),L17/I17,"")</s:f>
        <s:v>0.70711378174064743</s:v>
      </s:c>
      <s:c r="N17" s="43">
        <s:f>IF(AND(J17&lt;&gt;0, J17&lt;&gt;"", I17&lt;&gt;0, I17&lt;&gt;""), L17-I17, "")</s:f>
        <s:v>-75.739348370927331</s:v>
      </s:c>
      <s:c r="O17" s="71"/>
      <s:c r="P17" s="43" t="str">
        <s:f>IF(AND(O17&lt;&gt;"", O17&lt;&gt;0, L17&lt;&gt;"", L17&lt;&gt;0), -O17+L17, "")</s:f>
        <s:v/>
      </s:c>
      <s:c r="Q17" s="45" t="str">
        <s:f>IF(AND(P17&lt;&gt;"", P17&lt;&gt;0, O17&lt;&gt;0, O17&lt;&gt;""), P17/O17, "")</s:f>
        <s:v/>
      </s:c>
      <s:c r="R17" s="21"/>
      <s:c r="S17" s="618"/>
      <s:c r="T17" s="618"/>
      <s:c r="U17" s="12"/>
      <s:c r="V17" s="12"/>
      <s:c r="W17" s="12"/>
    </s:row>
    <s:row r="18" spans="1:255" ht="15.75" customHeight="1">
      <s:c r="B18" s="228"/>
      <s:c r="C18" s="12"/>
      <s:c r="D18" s="12"/>
      <s:c r="E18" s="12"/>
      <s:c r="F18" s="611"/>
      <s:c r="G18" s="612"/>
      <s:c r="H18" s="613"/>
      <s:c r="I18" s="76"/>
      <s:c r="J18" s="67"/>
      <s:c r="K18" s="68" t="str">
        <s:f>IF(AND(I18&lt;&gt;"", I18&lt;&gt;0, J18&lt;&gt;""), J18/I18, "")</s:f>
        <s:v/>
      </s:c>
      <s:c r="L18" s="72">
        <s:f>J18</s:f>
        <s:v>0</s:v>
      </s:c>
      <s:c r="M18" s="73" t="str">
        <s:f>IF(AND(I18&lt;&gt;"",I18&lt;&gt;0,L18&lt;&gt;"",L18&lt;&gt;0),L18/I18,"")</s:f>
        <s:v/>
      </s:c>
      <s:c r="N18" s="43" t="str">
        <s:f>IF(AND(J18&lt;&gt;0, J18&lt;&gt;"", I18&lt;&gt;0, I18&lt;&gt;""), L18-I18, "")</s:f>
        <s:v/>
      </s:c>
      <s:c r="O18" s="79">
        <s:v>0</s:v>
      </s:c>
      <s:c r="P18" s="43" t="str">
        <s:f>IF(AND(O18&lt;&gt;"", O18&lt;&gt;0, L18&lt;&gt;"", L18&lt;&gt;0), -O18+L18, "")</s:f>
        <s:v/>
      </s:c>
      <s:c r="Q18" s="45" t="str">
        <s:f>IF(AND(P18&lt;&gt;"", P18&lt;&gt;0, O18&lt;&gt;0, O18&lt;&gt;""), P18/O18, "")</s:f>
        <s:v/>
      </s:c>
      <s:c r="R18" s="21"/>
      <s:c r="S18" s="59">
        <s:f>'Ялта, Ленина, 18'!S18*График!AJ28/График!AJ31</s:f>
        <s:v>77192.982456140351</s:v>
      </s:c>
      <s:c r="T18" s="60">
        <s:f>K50</s:f>
        <s:v>15992</s:v>
      </s:c>
      <s:c r="U18" s="12"/>
      <s:c r="V18" s="12"/>
      <s:c r="W18" s="12"/>
    </s:row>
    <s:row r="19" spans="1:255" ht="15.75" customHeight="1">
      <s:c r="B19" s="228"/>
      <s:c r="C19" s="12"/>
      <s:c r="D19" s="12"/>
      <s:c r="E19" s="12"/>
      <s:c r="F19" s="611"/>
      <s:c r="G19" s="612"/>
      <s:c r="H19" s="613"/>
      <s:c r="I19" s="76"/>
      <s:c r="J19" s="67">
        <s:f>M50</s:f>
        <s:v>0</s:v>
      </s:c>
      <s:c r="K19" s="68" t="str">
        <s:f>IF(AND(I19&lt;&gt;"", I19&lt;&gt;0, J19&lt;&gt;""), J19/I19, "")</s:f>
        <s:v/>
      </s:c>
      <s:c r="L19" s="72">
        <s:f>J19</s:f>
        <s:v>0</s:v>
      </s:c>
      <s:c r="M19" s="73" t="str">
        <s:f>IF(AND(I19&lt;&gt;"",I19&lt;&gt;0,L19&lt;&gt;"",L19&lt;&gt;0),L19/I19,"")</s:f>
        <s:v/>
      </s:c>
      <s:c r="N19" s="43" t="str">
        <s:f>IF(AND(J19&lt;&gt;0, J19&lt;&gt;"", I19&lt;&gt;0, I19&lt;&gt;""), L19-I19, "")</s:f>
        <s:v/>
      </s:c>
      <s:c r="O19" s="71">
        <s:v>0</s:v>
      </s:c>
      <s:c r="P19" s="43" t="str">
        <s:f>IF(AND(O19&lt;&gt;"", O19&lt;&gt;0, L19&lt;&gt;"", L19&lt;&gt;0), -O19+L19, "")</s:f>
        <s:v/>
      </s:c>
      <s:c r="Q19" s="45" t="str">
        <s:f>IF(AND(P19&lt;&gt;"", P19&lt;&gt;0, O19&lt;&gt;0, O19&lt;&gt;""), P19/O19, "")</s:f>
        <s:v/>
      </s:c>
      <s:c r="R19" s="21"/>
      <s:c r="S19" s="62">
        <s:f>T18/S18</s:f>
        <s:v>0.20716909090909091</s:v>
      </s:c>
      <s:c r="T19" s="62">
        <s:f>S19/J14*I14</s:f>
        <s:v>0.23676467532467532</s:v>
      </s:c>
      <s:c r="U19" s="12"/>
      <s:c r="V19" s="12"/>
      <s:c r="W19" s="12"/>
    </s:row>
    <s:row r="20" spans="1:255" ht="15.75" customHeight="1">
      <s:c r="B20" s="228"/>
      <s:c r="C20" s="12"/>
      <s:c r="D20" s="12"/>
      <s:c r="E20" s="12"/>
      <s:c r="F20" s="619" t="s">
        <s:v>24</s:v>
      </s:c>
      <s:c r="G20" s="619"/>
      <s:c r="H20" s="619"/>
      <s:c r="I20" s="244">
        <s:f>'Ялта, Ленина, 18'!I20</s:f>
        <s:v>0.22</s:v>
      </s:c>
      <s:c r="J20" s="245">
        <s:f>N50</s:f>
        <s:v>0.16875000000000001</s:v>
      </s:c>
      <s:c r="K20" s="246">
        <s:f>J20/I20</s:f>
        <s:v>0.76704545454545459</s:v>
      </s:c>
      <s:c r="L20" s="247">
        <s:f>IF(AND(K8&lt;&gt;0,I14&lt;&gt;0,I50&lt;&gt;0),(I50*N50+(I50/K8-I50)*I20)/(I50/K8),0)</s:f>
        <s:v>0.19529385364741764</s:v>
      </s:c>
      <s:c r="M20" s="83">
        <s:f>IF(AND(I20&lt;&gt;"",I20&lt;&gt;0,L20&lt;&gt;"",L20&lt;&gt;0),L20/I20,"")</s:f>
        <s:v>0.88769933476098928</s:v>
      </s:c>
      <s:c r="N20" s="84">
        <s:f>IF(AND(J20&lt;&gt;0, J20&lt;&gt;"", I20&lt;&gt;0, I20&lt;&gt;""), L20-I20, "")</s:f>
        <s:v>-2.4706146352582364E-2</s:v>
      </s:c>
      <s:c r="O20" s="85"/>
      <s:c r="P20" s="86" t="str">
        <s:f>IF(AND(O20&lt;&gt;"", O20&lt;&gt;0, L20&lt;&gt;"", L20&lt;&gt;0), -O20+L20, "")</s:f>
        <s:v/>
      </s:c>
      <s:c r="Q20" s="87" t="str">
        <s:f>IF(AND(P20&lt;&gt;"", P20&lt;&gt;0, O20&lt;&gt;0, O20&lt;&gt;""), P20/O20, "")</s:f>
        <s:v/>
      </s:c>
      <s:c r="R20" s="21"/>
      <s:c r="S20" s="21"/>
      <s:c r="T20" s="12"/>
      <s:c r="U20" s="12"/>
      <s:c r="V20" s="12"/>
      <s:c r="W20" s="12"/>
    </s:row>
    <s:row r="21" spans="1:255" ht="15.75" customHeight="1">
      <s:c r="B21" s="228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255" ht="16.5" customHeight="1">
      <s:c r="B22" s="703" t="s">
        <s:v>25</s:v>
      </s:c>
      <s:c r="C22" s="703"/>
      <s:c r="D22" s="703"/>
      <s:c r="E22" s="703"/>
      <s:c r="F22" s="703"/>
      <s:c r="G22" s="703"/>
      <s:c r="H22" s="703"/>
      <s:c r="I22" s="703"/>
      <s:c r="J22" s="703"/>
      <s:c r="K22" s="703"/>
      <s:c r="L22" s="703"/>
      <s:c r="M22" s="703"/>
      <s:c r="N22" s="703"/>
      <s:c r="O22" s="704" t="s">
        <s:v>26</s:v>
      </s:c>
      <s:c r="P22" s="703" t="s">
        <s:v>27</s:v>
      </s:c>
      <s:c r="Q22" s="703"/>
      <s:c r="R22" s="703"/>
      <s:c r="S22" s="703"/>
      <s:c r="T22" s="703"/>
      <s:c r="U22" s="703"/>
      <s:c r="V22" s="703"/>
      <s:c r="W22" s="703"/>
    </s:row>
    <s:row r="23" ht="36">
      <s:c r="B23" s="248" t="s">
        <s:v>29</s:v>
      </s:c>
      <s:c r="C23" s="248" t="s">
        <s:v>30</s:v>
      </s:c>
      <s:c r="D23" s="248" t="s">
        <s:v>31</s:v>
      </s:c>
      <s:c r="E23" s="248" t="s">
        <s:v>32</s:v>
      </s:c>
      <s:c r="F23" s="248" t="s">
        <s:v>33</s:v>
      </s:c>
      <s:c r="G23" s="248" t="s">
        <s:v>34</s:v>
      </s:c>
      <s:c r="H23" s="248" t="s">
        <s:v>35</s:v>
      </s:c>
      <s:c r="I23" s="248" t="s">
        <s:v>23</s:v>
      </s:c>
      <s:c r="J23" s="248" t="s">
        <s:v>36</s:v>
      </s:c>
      <s:c r="K23" s="90" t="s">
        <s:v>22</s:v>
      </s:c>
      <s:c r="L23" s="90" t="s">
        <s:v>15</s:v>
      </s:c>
      <s:c r="M23" s="249" t="s">
        <s:v>37</s:v>
      </s:c>
      <s:c r="N23" s="248" t="s">
        <s:v>38</s:v>
      </s:c>
      <s:c r="O23" s="704"/>
      <s:c r="P23" s="248" t="s">
        <s:v>39</s:v>
      </s:c>
      <s:c r="Q23" s="248" t="s">
        <s:v>40</s:v>
      </s:c>
      <s:c r="R23" s="248" t="s">
        <s:v>41</s:v>
      </s:c>
      <s:c r="S23" s="248" t="s">
        <s:v>42</s:v>
      </s:c>
      <s:c r="T23" s="248" t="s">
        <s:v>43</s:v>
      </s:c>
      <s:c r="U23" s="248" t="s">
        <s:v>44</s:v>
      </s:c>
      <s:c r="V23" s="250" t="s">
        <s:v>45</s:v>
      </s:c>
      <s:c r="W23" s="250" t="s">
        <s:v>46</s:v>
      </s:c>
      <s:c r="X23" s="251"/>
    </s:row>
    <s:row r="24">
      <s:c r="B24" s="252">
        <s:v>1</s:v>
      </s:c>
      <s:c r="C24" s="252">
        <s:v>2</s:v>
      </s:c>
      <s:c r="D24" s="252">
        <s:v>3</s:v>
      </s:c>
      <s:c r="E24" s="252" t="s">
        <s:v>71</s:v>
      </s:c>
      <s:c r="F24" s="252">
        <s:v>5</s:v>
      </s:c>
      <s:c r="G24" s="252">
        <s:v>6</s:v>
      </s:c>
      <s:c r="H24" s="252">
        <s:v>7</s:v>
      </s:c>
      <s:c r="I24" s="252">
        <s:v>8</s:v>
      </s:c>
      <s:c r="J24" s="252">
        <s:v>9</s:v>
      </s:c>
      <s:c r="K24" s="252">
        <s:v>10</s:v>
      </s:c>
      <s:c r="L24" s="252">
        <s:v>11</s:v>
      </s:c>
      <s:c r="M24" s="252">
        <s:v>12</s:v>
      </s:c>
      <s:c r="N24" s="252">
        <s:v>13</s:v>
      </s:c>
      <s:c r="O24" s="704"/>
      <s:c r="P24" s="254">
        <s:v>1</s:v>
      </s:c>
      <s:c r="Q24" s="254">
        <s:v>2</s:v>
      </s:c>
      <s:c r="R24" s="254">
        <s:v>3</s:v>
      </s:c>
      <s:c r="S24" s="254">
        <s:v>4</s:v>
      </s:c>
      <s:c r="T24" s="254">
        <s:v>5</s:v>
      </s:c>
      <s:c r="U24" s="254">
        <s:v>6</s:v>
      </s:c>
      <s:c r="V24" s="254">
        <s:v>10</s:v>
      </s:c>
      <s:c r="W24" s="254">
        <s:v>11</s:v>
      </s:c>
    </s:row>
    <s:row r="25" spans="1:255" s="268" customFormat="1">
      <s:c r="A25" s="95">
        <s:v>1</s:v>
      </s:c>
      <s:c r="B25" s="255">
        <s:v>45763</s:v>
      </s:c>
      <s:c r="C25" s="256" t="s">
        <s:v>49</s:v>
      </s:c>
      <s:c r="D25" s="257">
        <s:v>6484</s:v>
      </s:c>
      <s:c r="E25" s="258">
        <s:v>2</s:v>
      </s:c>
      <s:c r="F25" s="258">
        <s:v>5849</s:v>
      </s:c>
      <s:c r="G25" s="258">
        <s:v>2</s:v>
      </s:c>
      <s:c r="H25" s="258">
        <s:v>6824</s:v>
      </s:c>
      <s:c r="I25" s="258">
        <s:v>15</s:v>
      </s:c>
      <s:c r="J25" s="259">
        <s:v>1.17</s:v>
      </s:c>
      <s:c r="K25" s="258"/>
      <s:c r="L25" s="258"/>
      <s:c r="M25" s="258"/>
      <s:c r="N25" s="260">
        <s:v>0.2</s:v>
      </s:c>
      <s:c r="O25" s="261">
        <s:v>0.46</s:v>
      </s:c>
      <s:c r="P25" s="262">
        <s:v>89681</s:v>
      </s:c>
      <s:c r="Q25" s="263">
        <s:v>18</s:v>
      </s:c>
      <s:c r="R25" s="263">
        <s:v>10</s:v>
      </s:c>
      <s:c r="S25" s="262">
        <s:v>40943</s:v>
      </s:c>
      <s:c r="T25" s="263">
        <s:v>7</s:v>
      </s:c>
      <s:c r="U25" s="263">
        <s:v>6</s:v>
      </s:c>
      <s:c r="V25" s="264">
        <s:v>0.98</s:v>
      </s:c>
      <s:c r="W25" s="264">
        <s:v>0.98</s:v>
      </s:c>
      <s:c r="X25" s="107"/>
      <s:c r="Y25" s="106"/>
      <s:c r="Z25" s="2"/>
      <s:c r="AA25" s="2"/>
      <s:c r="AB25" s="2"/>
      <s:c r="AC25" s="2"/>
      <s:c r="AD25" s="2"/>
      <s:c r="AE25" s="2"/>
      <s:c r="AF25" s="2"/>
      <s:c r="AG25" s="2"/>
      <s:c r="AH25" s="2"/>
      <s:c r="AI25" s="2"/>
      <s:c r="AJ25" s="2"/>
      <s:c r="AK25" s="2"/>
      <s:c r="AL25" s="2"/>
      <s:c r="AM25" s="2"/>
      <s:c r="AN25" s="2"/>
      <s:c r="AO25" s="2"/>
      <s:c r="AP25" s="2"/>
      <s:c r="AQ25" s="2"/>
      <s:c r="AR25" s="2"/>
      <s:c r="AS25" s="2"/>
      <s:c r="AT25" s="2"/>
      <s:c r="AU25" s="2"/>
      <s:c r="AV25" s="2"/>
      <s:c r="AW25" s="2"/>
      <s:c r="AX25" s="2"/>
      <s:c r="AY25" s="2"/>
      <s:c r="AZ25" s="2"/>
      <s:c r="BA25" s="2"/>
      <s:c r="BB25" s="2"/>
      <s:c r="BC25" s="2"/>
      <s:c r="BD25" s="2"/>
      <s:c r="BE25" s="2"/>
      <s:c r="BF25" s="2"/>
      <s:c r="BG25" s="2"/>
      <s:c r="BH25" s="2"/>
      <s:c r="BI25" s="2"/>
      <s:c r="BJ25" s="2"/>
      <s:c r="BK25" s="2"/>
      <s:c r="BL25" s="2"/>
      <s:c r="BM25" s="2"/>
      <s:c r="BN25" s="2"/>
      <s:c r="BO25" s="2"/>
      <s:c r="BP25" s="2"/>
      <s:c r="BQ25" s="2"/>
      <s:c r="BR25" s="2"/>
      <s:c r="BS25" s="2"/>
      <s:c r="BT25" s="2"/>
      <s:c r="BU25" s="2"/>
      <s:c r="BV25" s="2"/>
      <s:c r="BW25" s="2"/>
      <s:c r="BX25" s="2"/>
      <s:c r="BY25" s="2"/>
      <s:c r="BZ25" s="2"/>
      <s:c r="CA25" s="2"/>
      <s:c r="CB25" s="2"/>
      <s:c r="CC25" s="2"/>
      <s:c r="CD25" s="2"/>
      <s:c r="CE25" s="2"/>
      <s:c r="CF25" s="2"/>
      <s:c r="CG25" s="2"/>
      <s:c r="CH25" s="2"/>
      <s:c r="CI25" s="2"/>
      <s:c r="CJ25" s="2"/>
      <s:c r="CK25" s="2"/>
      <s:c r="CL25" s="2"/>
      <s:c r="CM25" s="2"/>
      <s:c r="CN25" s="2"/>
      <s:c r="CO25" s="2"/>
      <s:c r="CP25" s="2"/>
      <s:c r="CQ25" s="2"/>
      <s:c r="CR25" s="2"/>
      <s:c r="CS25" s="2"/>
      <s:c r="CT25" s="2"/>
      <s:c r="CU25" s="2"/>
      <s:c r="CV25" s="2"/>
      <s:c r="CW25" s="2"/>
      <s:c r="CX25" s="2"/>
      <s:c r="CY25" s="2"/>
      <s:c r="CZ25" s="2"/>
      <s:c r="DA25" s="2"/>
      <s:c r="DB25" s="2"/>
      <s:c r="DC25" s="2"/>
      <s:c r="DD25" s="2"/>
      <s:c r="DE25" s="2"/>
      <s:c r="DF25" s="2"/>
      <s:c r="DG25" s="2"/>
      <s:c r="DH25" s="2"/>
      <s:c r="DI25" s="2"/>
      <s:c r="DJ25" s="2"/>
      <s:c r="DK25" s="2"/>
      <s:c r="DL25" s="2"/>
      <s:c r="DM25" s="2"/>
      <s:c r="DN25" s="2"/>
      <s:c r="DO25" s="2"/>
      <s:c r="DP25" s="2"/>
      <s:c r="DQ25" s="2"/>
      <s:c r="DR25" s="2"/>
      <s:c r="DS25" s="2"/>
      <s:c r="DT25" s="2"/>
      <s:c r="DU25" s="2"/>
      <s:c r="DV25" s="2"/>
      <s:c r="DW25" s="2"/>
      <s:c r="DX25" s="2"/>
      <s:c r="DY25" s="2"/>
      <s:c r="DZ25" s="2"/>
      <s:c r="EA25" s="2"/>
      <s:c r="EB25" s="2"/>
      <s:c r="EC25" s="2"/>
      <s:c r="ED25" s="2"/>
      <s:c r="EE25" s="2"/>
      <s:c r="EF25" s="2"/>
      <s:c r="EG25" s="2"/>
      <s:c r="EH25" s="2"/>
      <s:c r="EI25" s="2"/>
      <s:c r="EJ25" s="2"/>
      <s:c r="EK25" s="2"/>
      <s:c r="EL25" s="2"/>
      <s:c r="EM25" s="2"/>
      <s:c r="EN25" s="2"/>
      <s:c r="EO25" s="2"/>
      <s:c r="EP25" s="2"/>
      <s:c r="EQ25" s="2"/>
      <s:c r="ER25" s="2"/>
      <s:c r="ES25" s="2"/>
      <s:c r="ET25" s="2"/>
      <s:c r="EU25" s="2"/>
      <s:c r="EV25" s="2"/>
      <s:c r="EW25" s="2"/>
      <s:c r="EX25" s="2"/>
      <s:c r="EY25" s="2"/>
      <s:c r="EZ25" s="2"/>
      <s:c r="FA25" s="2"/>
      <s:c r="FB25" s="2"/>
      <s:c r="FC25" s="2"/>
      <s:c r="FD25" s="2"/>
      <s:c r="FE25" s="2"/>
      <s:c r="FF25" s="2"/>
      <s:c r="FG25" s="2"/>
      <s:c r="FH25" s="2"/>
      <s:c r="FI25" s="2"/>
      <s:c r="FJ25" s="2"/>
      <s:c r="FK25" s="2"/>
      <s:c r="FL25" s="2"/>
      <s:c r="FM25" s="2"/>
      <s:c r="FN25" s="2"/>
      <s:c r="FO25" s="2"/>
      <s:c r="FP25" s="2"/>
      <s:c r="FQ25" s="2"/>
      <s:c r="FR25" s="2"/>
      <s:c r="FS25" s="2"/>
      <s:c r="FT25" s="2"/>
      <s:c r="FU25" s="2"/>
      <s:c r="FV25" s="2"/>
      <s:c r="FW25" s="2"/>
      <s:c r="FX25" s="2"/>
      <s:c r="FY25" s="2"/>
      <s:c r="FZ25" s="2"/>
      <s:c r="GA25" s="2"/>
      <s:c r="GB25" s="2"/>
      <s:c r="GC25" s="2"/>
      <s:c r="GD25" s="2"/>
      <s:c r="GE25" s="2"/>
      <s:c r="GF25" s="2"/>
      <s:c r="GG25" s="2"/>
      <s:c r="GH25" s="2"/>
      <s:c r="GI25" s="2"/>
      <s:c r="GJ25" s="2"/>
      <s:c r="GK25" s="2"/>
      <s:c r="GL25" s="2"/>
      <s:c r="GM25" s="2"/>
      <s:c r="GN25" s="2"/>
      <s:c r="GO25" s="2"/>
      <s:c r="GP25" s="2"/>
      <s:c r="GQ25" s="2"/>
      <s:c r="GR25" s="2"/>
      <s:c r="GS25" s="2"/>
      <s:c r="GT25" s="2"/>
      <s:c r="GU25" s="2"/>
      <s:c r="GV25" s="2"/>
      <s:c r="GW25" s="2"/>
      <s:c r="GX25" s="2"/>
      <s:c r="GY25" s="2"/>
      <s:c r="GZ25" s="2"/>
      <s:c r="HA25" s="2"/>
      <s:c r="HB25" s="2"/>
      <s:c r="HC25" s="2"/>
      <s:c r="HD25" s="2"/>
      <s:c r="HE25" s="2"/>
      <s:c r="HF25" s="2"/>
      <s:c r="HG25" s="2"/>
      <s:c r="HH25" s="2"/>
      <s:c r="HI25" s="2"/>
      <s:c r="HJ25" s="2"/>
      <s:c r="HK25" s="2"/>
      <s:c r="HL25" s="2"/>
      <s:c r="HM25" s="2"/>
      <s:c r="HN25" s="2"/>
      <s:c r="HO25" s="2"/>
      <s:c r="HP25" s="2"/>
      <s:c r="HQ25" s="2"/>
      <s:c r="HR25" s="2"/>
      <s:c r="HS25" s="2"/>
      <s:c r="HT25" s="2"/>
      <s:c r="HU25" s="2"/>
      <s:c r="HV25" s="2"/>
      <s:c r="HW25" s="2"/>
      <s:c r="HX25" s="2"/>
      <s:c r="HY25" s="2"/>
      <s:c r="HZ25" s="2"/>
      <s:c r="IA25" s="2"/>
      <s:c r="IB25" s="2"/>
      <s:c r="IC25" s="2"/>
      <s:c r="ID25" s="2"/>
      <s:c r="IE25" s="2"/>
      <s:c r="IF25" s="2"/>
      <s:c r="IG25" s="2"/>
      <s:c r="IH25" s="2"/>
      <s:c r="II25" s="2"/>
      <s:c r="IJ25" s="2"/>
      <s:c r="IK25" s="2"/>
      <s:c r="IL25" s="2"/>
      <s:c r="IM25" s="2"/>
      <s:c r="IN25" s="2"/>
      <s:c r="IO25" s="2"/>
      <s:c r="IP25" s="2"/>
      <s:c r="IQ25" s="2"/>
      <s:c r="IR25" s="2"/>
      <s:c r="IS25" s="2"/>
      <s:c r="IT25" s="2"/>
      <s:c r="IU25" s="2"/>
    </s:row>
    <s:row r="26" spans="1:255" s="109" customFormat="1">
      <s:c r="A26" s="110">
        <s:v>2</s:v>
      </s:c>
      <s:c r="B26" s="111">
        <s:v>45766</s:v>
      </s:c>
      <s:c r="C26" s="112" t="s">
        <s:v>53</s:v>
      </s:c>
      <s:c r="D26" s="113">
        <s:v>21643</s:v>
      </s:c>
      <s:c r="E26" s="114">
        <s:v>5</s:v>
      </s:c>
      <s:c r="F26" s="114">
        <s:f>IF(AND(E26&lt;&gt;"",E26&lt;&gt;0),D26/E26,"")</s:f>
        <s:v>4328.6000000000004</s:v>
      </s:c>
      <s:c r="G26" s="114">
        <s:v>3</s:v>
      </s:c>
      <s:c r="H26" s="114">
        <s:f>IF(AND(G26&lt;&gt;"",G26&lt;&gt;0),D26/G26,"")</s:f>
        <s:v>7214.333333333333</s:v>
      </s:c>
      <s:c r="I26" s="114">
        <s:v>25</s:v>
      </s:c>
      <s:c r="J26" s="113">
        <s:f>IF(AND(G26&lt;&gt;"",G26&lt;&gt;0),E26/G26,"")</s:f>
        <s:v>1.6666666666666667</s:v>
      </s:c>
      <s:c r="K26" s="114"/>
      <s:c r="L26" s="114"/>
      <s:c r="M26" s="114"/>
      <s:c r="N26" s="115">
        <s:f>IF(AND(I26&lt;&gt;"",I26&lt;&gt;0),G26/I26,"")</s:f>
        <s:v>0.12</s:v>
      </s:c>
      <s:c r="O26" s="116">
        <s:f>D26/P26</s:f>
        <s:v>0.26896225840332488</s:v>
      </s:c>
      <s:c r="P26" s="117">
        <s:f>$I$8*V26*W26/SUMPRODUCT($W$25:$W$55,$V$25:$V$55)</s:f>
        <s:v>80468.539074895161</s:v>
      </s:c>
      <s:c r="Q26" s="118">
        <s:f>$I$9*V26*W26/SUMPRODUCT($W$25:$W$55,$V$25:$V$55)</s:f>
        <s:v>16.223495781228866</s:v>
      </s:c>
      <s:c r="R26" s="118">
        <s:f>IF($I$12="","",Q26/$I$12)</s:f>
        <s:v>9.1658168255530317</s:v>
      </s:c>
      <s:c r="S26" s="117">
        <s:f>IF(W26&lt;&gt;"",IF(D26&lt;&gt;"",D26,($I$8-SUM($S$25:S25))*V26*W26/SUMPRODUCT($W26:$W$55,$V26:$V$55)),"")</s:f>
        <s:v>21643</s:v>
      </s:c>
      <s:c r="T26" s="118">
        <s:f>IF(W26&lt;&gt;"",IF(E26&lt;&gt;"",E26,($I$9-SUM($T$25:T25))*V26*W26/SUMPRODUCT($W26:$W$55,$V26:$V$55)),"")</s:f>
        <s:v>5</s:v>
      </s:c>
      <s:c r="U26" s="118">
        <s:f>IF(W26&lt;&gt;"",IF($I$12&lt;&gt;"",IF(G26&lt;&gt;"",G26,($I$9/$I$12-SUM($U$25:U25))*V26*W26/SUMPRODUCT($W26:$W$55,$V26:$V$55)),""),"")</s:f>
        <s:v>3</s:v>
      </s:c>
      <s:c r="V26" s="119">
        <s:v>1.1740981968092847</s:v>
      </s:c>
      <s:c r="W26" s="119">
        <s:v>1.1740981968092847</s:v>
      </s:c>
      <s:c r="X26" s="120"/>
      <s:c r="Y26" s="124"/>
      <s:c r="Z26" s="125"/>
      <s:c r="AA26" s="122"/>
      <s:c r="AB26" s="122"/>
      <s:c r="AC26" s="122"/>
      <s:c r="AD26" s="122"/>
      <s:c r="AE26" s="122"/>
      <s:c r="AF26" s="122"/>
      <s:c r="AG26" s="122"/>
      <s:c r="AH26" s="122"/>
      <s:c r="AI26" s="122"/>
      <s:c r="AJ26" s="122"/>
      <s:c r="AK26" s="122"/>
      <s:c r="AL26" s="122"/>
      <s:c r="AM26" s="122"/>
      <s:c r="AN26" s="122"/>
      <s:c r="AO26" s="122"/>
      <s:c r="AP26" s="122"/>
      <s:c r="AQ26" s="122"/>
      <s:c r="AR26" s="122"/>
      <s:c r="AS26" s="122"/>
      <s:c r="AT26" s="122"/>
      <s:c r="AU26" s="122"/>
      <s:c r="AV26" s="122"/>
      <s:c r="AW26" s="122"/>
      <s:c r="AX26" s="122"/>
      <s:c r="AY26" s="122"/>
      <s:c r="AZ26" s="122"/>
      <s:c r="BA26" s="122"/>
      <s:c r="BB26" s="122"/>
      <s:c r="BC26" s="122"/>
      <s:c r="BD26" s="122"/>
      <s:c r="BE26" s="122"/>
      <s:c r="BF26" s="122"/>
      <s:c r="BG26" s="122"/>
      <s:c r="BH26" s="122"/>
      <s:c r="BI26" s="122"/>
      <s:c r="BJ26" s="122"/>
      <s:c r="BK26" s="122"/>
      <s:c r="BL26" s="122"/>
      <s:c r="BM26" s="122"/>
      <s:c r="BN26" s="122"/>
      <s:c r="BO26" s="122"/>
      <s:c r="BP26" s="122"/>
      <s:c r="BQ26" s="122"/>
      <s:c r="BR26" s="122"/>
      <s:c r="BS26" s="122"/>
      <s:c r="BT26" s="122"/>
      <s:c r="BU26" s="122"/>
      <s:c r="BV26" s="122"/>
      <s:c r="BW26" s="122"/>
      <s:c r="BX26" s="122"/>
      <s:c r="BY26" s="122"/>
      <s:c r="BZ26" s="122"/>
      <s:c r="CA26" s="122"/>
      <s:c r="CB26" s="122"/>
      <s:c r="CC26" s="122"/>
      <s:c r="CD26" s="122"/>
      <s:c r="CE26" s="122"/>
      <s:c r="CF26" s="122"/>
      <s:c r="CG26" s="122"/>
      <s:c r="CH26" s="122"/>
      <s:c r="CI26" s="122"/>
      <s:c r="CJ26" s="122"/>
      <s:c r="CK26" s="122"/>
      <s:c r="CL26" s="122"/>
      <s:c r="CM26" s="122"/>
      <s:c r="CN26" s="122"/>
      <s:c r="CO26" s="122"/>
      <s:c r="CP26" s="122"/>
      <s:c r="CQ26" s="122"/>
      <s:c r="CR26" s="122"/>
      <s:c r="CS26" s="122"/>
      <s:c r="CT26" s="122"/>
      <s:c r="CU26" s="122"/>
      <s:c r="CV26" s="122"/>
      <s:c r="CW26" s="122"/>
      <s:c r="CX26" s="122"/>
      <s:c r="CY26" s="122"/>
      <s:c r="CZ26" s="122"/>
      <s:c r="DA26" s="122"/>
      <s:c r="DB26" s="122"/>
      <s:c r="DC26" s="122"/>
      <s:c r="DD26" s="122"/>
      <s:c r="DE26" s="122"/>
      <s:c r="DF26" s="122"/>
      <s:c r="DG26" s="122"/>
      <s:c r="DH26" s="122"/>
      <s:c r="DI26" s="122"/>
      <s:c r="DJ26" s="122"/>
      <s:c r="DK26" s="122"/>
      <s:c r="DL26" s="122"/>
      <s:c r="DM26" s="122"/>
      <s:c r="DN26" s="122"/>
      <s:c r="DO26" s="122"/>
      <s:c r="DP26" s="122"/>
      <s:c r="DQ26" s="122"/>
      <s:c r="DR26" s="122"/>
      <s:c r="DS26" s="122"/>
      <s:c r="DT26" s="122"/>
      <s:c r="DU26" s="122"/>
      <s:c r="DV26" s="122"/>
      <s:c r="DW26" s="122"/>
      <s:c r="DX26" s="122"/>
      <s:c r="DY26" s="122"/>
      <s:c r="DZ26" s="122"/>
      <s:c r="EA26" s="122"/>
      <s:c r="EB26" s="122"/>
      <s:c r="EC26" s="122"/>
      <s:c r="ED26" s="122"/>
      <s:c r="EE26" s="122"/>
      <s:c r="EF26" s="122"/>
      <s:c r="EG26" s="122"/>
      <s:c r="EH26" s="122"/>
      <s:c r="EI26" s="122"/>
      <s:c r="EJ26" s="122"/>
      <s:c r="EK26" s="122"/>
      <s:c r="EL26" s="122"/>
      <s:c r="EM26" s="122"/>
      <s:c r="EN26" s="122"/>
      <s:c r="EO26" s="122"/>
      <s:c r="EP26" s="122"/>
      <s:c r="EQ26" s="122"/>
      <s:c r="ER26" s="122"/>
      <s:c r="ES26" s="122"/>
      <s:c r="ET26" s="122"/>
      <s:c r="EU26" s="122"/>
      <s:c r="EV26" s="122"/>
      <s:c r="EW26" s="122"/>
      <s:c r="EX26" s="122"/>
      <s:c r="EY26" s="122"/>
      <s:c r="EZ26" s="122"/>
      <s:c r="FA26" s="122"/>
      <s:c r="FB26" s="122"/>
      <s:c r="FC26" s="122"/>
      <s:c r="FD26" s="122"/>
      <s:c r="FE26" s="122"/>
      <s:c r="FF26" s="122"/>
      <s:c r="FG26" s="122"/>
      <s:c r="FH26" s="122"/>
      <s:c r="FI26" s="122"/>
      <s:c r="FJ26" s="122"/>
      <s:c r="FK26" s="122"/>
      <s:c r="FL26" s="122"/>
      <s:c r="FM26" s="122"/>
      <s:c r="FN26" s="122"/>
      <s:c r="FO26" s="122"/>
      <s:c r="FP26" s="122"/>
      <s:c r="FQ26" s="122"/>
      <s:c r="FR26" s="122"/>
      <s:c r="FS26" s="122"/>
      <s:c r="FT26" s="122"/>
      <s:c r="FU26" s="122"/>
      <s:c r="FV26" s="122"/>
      <s:c r="FW26" s="122"/>
      <s:c r="FX26" s="122"/>
      <s:c r="FY26" s="122"/>
      <s:c r="FZ26" s="122"/>
      <s:c r="GA26" s="122"/>
      <s:c r="GB26" s="122"/>
      <s:c r="GC26" s="122"/>
      <s:c r="GD26" s="122"/>
      <s:c r="GE26" s="122"/>
      <s:c r="GF26" s="122"/>
      <s:c r="GG26" s="122"/>
      <s:c r="GH26" s="122"/>
      <s:c r="GI26" s="122"/>
      <s:c r="GJ26" s="122"/>
      <s:c r="GK26" s="122"/>
      <s:c r="GL26" s="122"/>
      <s:c r="GM26" s="122"/>
      <s:c r="GN26" s="122"/>
      <s:c r="GO26" s="122"/>
      <s:c r="GP26" s="122"/>
      <s:c r="GQ26" s="122"/>
      <s:c r="GR26" s="122"/>
      <s:c r="GS26" s="122"/>
      <s:c r="GT26" s="122"/>
      <s:c r="GU26" s="122"/>
      <s:c r="GV26" s="122"/>
      <s:c r="GW26" s="122"/>
      <s:c r="GX26" s="122"/>
      <s:c r="GY26" s="122"/>
      <s:c r="GZ26" s="122"/>
      <s:c r="HA26" s="122"/>
      <s:c r="HB26" s="122"/>
      <s:c r="HC26" s="122"/>
      <s:c r="HD26" s="122"/>
      <s:c r="HE26" s="122"/>
      <s:c r="HF26" s="122"/>
      <s:c r="HG26" s="122"/>
      <s:c r="HH26" s="122"/>
      <s:c r="HI26" s="122"/>
      <s:c r="HJ26" s="122"/>
      <s:c r="HK26" s="122"/>
      <s:c r="HL26" s="122"/>
      <s:c r="HM26" s="122"/>
      <s:c r="HN26" s="122"/>
      <s:c r="HO26" s="122"/>
      <s:c r="HP26" s="122"/>
      <s:c r="HQ26" s="122"/>
      <s:c r="HR26" s="122"/>
      <s:c r="HS26" s="122"/>
      <s:c r="HT26" s="122"/>
      <s:c r="HU26" s="122"/>
      <s:c r="HV26" s="122"/>
      <s:c r="HW26" s="122"/>
      <s:c r="HX26" s="122"/>
      <s:c r="HY26" s="122"/>
      <s:c r="HZ26" s="122"/>
      <s:c r="IA26" s="122"/>
      <s:c r="IB26" s="122"/>
      <s:c r="IC26" s="122"/>
      <s:c r="ID26" s="122"/>
      <s:c r="IE26" s="122"/>
      <s:c r="IF26" s="122"/>
      <s:c r="IG26" s="122"/>
      <s:c r="IH26" s="122"/>
      <s:c r="II26" s="122"/>
      <s:c r="IJ26" s="122"/>
      <s:c r="IK26" s="122"/>
      <s:c r="IL26" s="122"/>
      <s:c r="IM26" s="122"/>
      <s:c r="IN26" s="122"/>
      <s:c r="IO26" s="122"/>
      <s:c r="IP26" s="122"/>
      <s:c r="IQ26" s="122"/>
      <s:c r="IR26" s="122"/>
      <s:c r="IS26" s="122"/>
      <s:c r="IT26" s="122"/>
      <s:c r="IU26" s="122"/>
    </s:row>
    <s:row r="27" spans="1:255" s="109" customFormat="1">
      <s:c r="A27" s="110">
        <s:v>3</s:v>
      </s:c>
      <s:c r="B27" s="111">
        <s:v>45767</s:v>
      </s:c>
      <s:c r="C27" s="112" t="s">
        <s:v>54</s:v>
      </s:c>
      <s:c r="D27" s="113">
        <s:v>45833</s:v>
      </s:c>
      <s:c r="E27" s="114">
        <s:v>8</s:v>
      </s:c>
      <s:c r="F27" s="114">
        <s:f>IF(AND(E27&lt;&gt;"",E27&lt;&gt;0),D27/E27,"")</s:f>
        <s:v>5729.125</s:v>
      </s:c>
      <s:c r="G27" s="114">
        <s:v>3</s:v>
      </s:c>
      <s:c r="H27" s="114">
        <s:f>IF(AND(G27&lt;&gt;"",G27&lt;&gt;0),D27/G27,"")</s:f>
        <s:v>15277.666666666666</s:v>
      </s:c>
      <s:c r="I27" s="114">
        <s:v>25</s:v>
      </s:c>
      <s:c r="J27" s="113">
        <s:f>IF(AND(G27&lt;&gt;"",G27&lt;&gt;0),E27/G27,"")</s:f>
        <s:v>2.6666666666666665</s:v>
      </s:c>
      <s:c r="K27" s="114">
        <s:v>15992</s:v>
      </s:c>
      <s:c r="L27" s="114"/>
      <s:c r="M27" s="114"/>
      <s:c r="N27" s="115">
        <s:f>IF(AND(I27&lt;&gt;"",I27&lt;&gt;0),G27/I27,"")</s:f>
        <s:v>0.12</s:v>
      </s:c>
      <s:c r="O27" s="116">
        <s:f>D27/P27</s:f>
        <s:v>0.64498754727290808</s:v>
      </s:c>
      <s:c r="P27" s="117">
        <s:f>$I$8*V27*W27/SUMPRODUCT($W$25:$W$55,$V$25:$V$55)</s:f>
        <s:v>71060.286657917561</s:v>
      </s:c>
      <s:c r="Q27" s="118">
        <s:f>$I$9*V27*W27/SUMPRODUCT($W$25:$W$55,$V$25:$V$55)</s:f>
        <s:v>14.3266706971608</s:v>
      </s:c>
      <s:c r="R27" s="118">
        <s:f>IF($I$12="","",Q27/$I$12)</s:f>
        <s:v>8.0941642356840671</s:v>
      </s:c>
      <s:c r="S27" s="117">
        <s:f>IF(W27&lt;&gt;"",IF(D27&lt;&gt;"",D27,($I$8-SUM($S$25:S26))*V27*W27/SUMPRODUCT($W27:$W$55,$V27:$V$55)),"")</s:f>
        <s:v>45833</s:v>
      </s:c>
      <s:c r="T27" s="118">
        <s:f>IF(W27&lt;&gt;"",IF(E27&lt;&gt;"",E27,($I$9-SUM($T$25:T26))*V27*W27/SUMPRODUCT($W27:$W$55,$V27:$V$55)),"")</s:f>
        <s:v>8</s:v>
      </s:c>
      <s:c r="U27" s="118">
        <s:f>IF(W27&lt;&gt;"",IF($I$12&lt;&gt;"",IF(G27&lt;&gt;"",G27,($I$9/$I$12-SUM($U$25:U26))*V27*W27/SUMPRODUCT($W27:$W$55,$V27:$V$55)),""),"")</s:f>
        <s:v>3</s:v>
      </s:c>
      <s:c r="V27" s="119">
        <s:v>1.1033285094448408</s:v>
      </s:c>
      <s:c r="W27" s="119">
        <s:v>1.1033285094448408</s:v>
      </s:c>
      <s:c r="X27" s="120"/>
      <s:c r="Y27" s="124"/>
      <s:c r="Z27" s="125"/>
      <s:c r="AA27" s="122"/>
      <s:c r="AB27" s="122"/>
      <s:c r="AC27" s="122"/>
      <s:c r="AD27" s="122"/>
      <s:c r="AE27" s="122"/>
      <s:c r="AF27" s="122"/>
      <s:c r="AG27" s="122"/>
      <s:c r="AH27" s="122"/>
      <s:c r="AI27" s="122"/>
      <s:c r="AJ27" s="122"/>
      <s:c r="AK27" s="122"/>
      <s:c r="AL27" s="122"/>
      <s:c r="AM27" s="122"/>
      <s:c r="AN27" s="122"/>
      <s:c r="AO27" s="122"/>
      <s:c r="AP27" s="122"/>
      <s:c r="AQ27" s="122"/>
      <s:c r="AR27" s="122"/>
      <s:c r="AS27" s="122"/>
      <s:c r="AT27" s="122"/>
      <s:c r="AU27" s="122"/>
      <s:c r="AV27" s="122"/>
      <s:c r="AW27" s="122"/>
      <s:c r="AX27" s="122"/>
      <s:c r="AY27" s="122"/>
      <s:c r="AZ27" s="122"/>
      <s:c r="BA27" s="122"/>
      <s:c r="BB27" s="122"/>
      <s:c r="BC27" s="122"/>
      <s:c r="BD27" s="122"/>
      <s:c r="BE27" s="122"/>
      <s:c r="BF27" s="122"/>
      <s:c r="BG27" s="122"/>
      <s:c r="BH27" s="122"/>
      <s:c r="BI27" s="122"/>
      <s:c r="BJ27" s="122"/>
      <s:c r="BK27" s="122"/>
      <s:c r="BL27" s="122"/>
      <s:c r="BM27" s="122"/>
      <s:c r="BN27" s="122"/>
      <s:c r="BO27" s="122"/>
      <s:c r="BP27" s="122"/>
      <s:c r="BQ27" s="122"/>
      <s:c r="BR27" s="122"/>
      <s:c r="BS27" s="122"/>
      <s:c r="BT27" s="122"/>
      <s:c r="BU27" s="122"/>
      <s:c r="BV27" s="122"/>
      <s:c r="BW27" s="122"/>
      <s:c r="BX27" s="122"/>
      <s:c r="BY27" s="122"/>
      <s:c r="BZ27" s="122"/>
      <s:c r="CA27" s="122"/>
      <s:c r="CB27" s="122"/>
      <s:c r="CC27" s="122"/>
      <s:c r="CD27" s="122"/>
      <s:c r="CE27" s="122"/>
      <s:c r="CF27" s="122"/>
      <s:c r="CG27" s="122"/>
      <s:c r="CH27" s="122"/>
      <s:c r="CI27" s="122"/>
      <s:c r="CJ27" s="122"/>
      <s:c r="CK27" s="122"/>
      <s:c r="CL27" s="122"/>
      <s:c r="CM27" s="122"/>
      <s:c r="CN27" s="122"/>
      <s:c r="CO27" s="122"/>
      <s:c r="CP27" s="122"/>
      <s:c r="CQ27" s="122"/>
      <s:c r="CR27" s="122"/>
      <s:c r="CS27" s="122"/>
      <s:c r="CT27" s="122"/>
      <s:c r="CU27" s="122"/>
      <s:c r="CV27" s="122"/>
      <s:c r="CW27" s="122"/>
      <s:c r="CX27" s="122"/>
      <s:c r="CY27" s="122"/>
      <s:c r="CZ27" s="122"/>
      <s:c r="DA27" s="122"/>
      <s:c r="DB27" s="122"/>
      <s:c r="DC27" s="122"/>
      <s:c r="DD27" s="122"/>
      <s:c r="DE27" s="122"/>
      <s:c r="DF27" s="122"/>
      <s:c r="DG27" s="122"/>
      <s:c r="DH27" s="122"/>
      <s:c r="DI27" s="122"/>
      <s:c r="DJ27" s="122"/>
      <s:c r="DK27" s="122"/>
      <s:c r="DL27" s="122"/>
      <s:c r="DM27" s="122"/>
      <s:c r="DN27" s="122"/>
      <s:c r="DO27" s="122"/>
      <s:c r="DP27" s="122"/>
      <s:c r="DQ27" s="122"/>
      <s:c r="DR27" s="122"/>
      <s:c r="DS27" s="122"/>
      <s:c r="DT27" s="122"/>
      <s:c r="DU27" s="122"/>
      <s:c r="DV27" s="122"/>
      <s:c r="DW27" s="122"/>
      <s:c r="DX27" s="122"/>
      <s:c r="DY27" s="122"/>
      <s:c r="DZ27" s="122"/>
      <s:c r="EA27" s="122"/>
      <s:c r="EB27" s="122"/>
      <s:c r="EC27" s="122"/>
      <s:c r="ED27" s="122"/>
      <s:c r="EE27" s="122"/>
      <s:c r="EF27" s="122"/>
      <s:c r="EG27" s="122"/>
      <s:c r="EH27" s="122"/>
      <s:c r="EI27" s="122"/>
      <s:c r="EJ27" s="122"/>
      <s:c r="EK27" s="122"/>
      <s:c r="EL27" s="122"/>
      <s:c r="EM27" s="122"/>
      <s:c r="EN27" s="122"/>
      <s:c r="EO27" s="122"/>
      <s:c r="EP27" s="122"/>
      <s:c r="EQ27" s="122"/>
      <s:c r="ER27" s="122"/>
      <s:c r="ES27" s="122"/>
      <s:c r="ET27" s="122"/>
      <s:c r="EU27" s="122"/>
      <s:c r="EV27" s="122"/>
      <s:c r="EW27" s="122"/>
      <s:c r="EX27" s="122"/>
      <s:c r="EY27" s="122"/>
      <s:c r="EZ27" s="122"/>
      <s:c r="FA27" s="122"/>
      <s:c r="FB27" s="122"/>
      <s:c r="FC27" s="122"/>
      <s:c r="FD27" s="122"/>
      <s:c r="FE27" s="122"/>
      <s:c r="FF27" s="122"/>
      <s:c r="FG27" s="122"/>
      <s:c r="FH27" s="122"/>
      <s:c r="FI27" s="122"/>
      <s:c r="FJ27" s="122"/>
      <s:c r="FK27" s="122"/>
      <s:c r="FL27" s="122"/>
      <s:c r="FM27" s="122"/>
      <s:c r="FN27" s="122"/>
      <s:c r="FO27" s="122"/>
      <s:c r="FP27" s="122"/>
      <s:c r="FQ27" s="122"/>
      <s:c r="FR27" s="122"/>
      <s:c r="FS27" s="122"/>
      <s:c r="FT27" s="122"/>
      <s:c r="FU27" s="122"/>
      <s:c r="FV27" s="122"/>
      <s:c r="FW27" s="122"/>
      <s:c r="FX27" s="122"/>
      <s:c r="FY27" s="122"/>
      <s:c r="FZ27" s="122"/>
      <s:c r="GA27" s="122"/>
      <s:c r="GB27" s="122"/>
      <s:c r="GC27" s="122"/>
      <s:c r="GD27" s="122"/>
      <s:c r="GE27" s="122"/>
      <s:c r="GF27" s="122"/>
      <s:c r="GG27" s="122"/>
      <s:c r="GH27" s="122"/>
      <s:c r="GI27" s="122"/>
      <s:c r="GJ27" s="122"/>
      <s:c r="GK27" s="122"/>
      <s:c r="GL27" s="122"/>
      <s:c r="GM27" s="122"/>
      <s:c r="GN27" s="122"/>
      <s:c r="GO27" s="122"/>
      <s:c r="GP27" s="122"/>
      <s:c r="GQ27" s="122"/>
      <s:c r="GR27" s="122"/>
      <s:c r="GS27" s="122"/>
      <s:c r="GT27" s="122"/>
      <s:c r="GU27" s="122"/>
      <s:c r="GV27" s="122"/>
      <s:c r="GW27" s="122"/>
      <s:c r="GX27" s="122"/>
      <s:c r="GY27" s="122"/>
      <s:c r="GZ27" s="122"/>
      <s:c r="HA27" s="122"/>
      <s:c r="HB27" s="122"/>
      <s:c r="HC27" s="122"/>
      <s:c r="HD27" s="122"/>
      <s:c r="HE27" s="122"/>
      <s:c r="HF27" s="122"/>
      <s:c r="HG27" s="122"/>
      <s:c r="HH27" s="122"/>
      <s:c r="HI27" s="122"/>
      <s:c r="HJ27" s="122"/>
      <s:c r="HK27" s="122"/>
      <s:c r="HL27" s="122"/>
      <s:c r="HM27" s="122"/>
      <s:c r="HN27" s="122"/>
      <s:c r="HO27" s="122"/>
      <s:c r="HP27" s="122"/>
      <s:c r="HQ27" s="122"/>
      <s:c r="HR27" s="122"/>
      <s:c r="HS27" s="122"/>
      <s:c r="HT27" s="122"/>
      <s:c r="HU27" s="122"/>
      <s:c r="HV27" s="122"/>
      <s:c r="HW27" s="122"/>
      <s:c r="HX27" s="122"/>
      <s:c r="HY27" s="122"/>
      <s:c r="HZ27" s="122"/>
      <s:c r="IA27" s="122"/>
      <s:c r="IB27" s="122"/>
      <s:c r="IC27" s="122"/>
      <s:c r="ID27" s="122"/>
      <s:c r="IE27" s="122"/>
      <s:c r="IF27" s="122"/>
      <s:c r="IG27" s="122"/>
      <s:c r="IH27" s="122"/>
      <s:c r="II27" s="122"/>
      <s:c r="IJ27" s="122"/>
      <s:c r="IK27" s="122"/>
      <s:c r="IL27" s="122"/>
      <s:c r="IM27" s="122"/>
      <s:c r="IN27" s="122"/>
      <s:c r="IO27" s="122"/>
      <s:c r="IP27" s="122"/>
      <s:c r="IQ27" s="122"/>
      <s:c r="IR27" s="122"/>
      <s:c r="IS27" s="122"/>
      <s:c r="IT27" s="122"/>
      <s:c r="IU27" s="122"/>
    </s:row>
    <s:row r="28" spans="1:255" s="268" customFormat="1">
      <s:c r="A28" s="269">
        <s:v>4</s:v>
      </s:c>
      <s:c r="B28" s="96">
        <s:v>45769</s:v>
      </s:c>
      <s:c r="C28" s="97" t="s">
        <s:v>49</s:v>
      </s:c>
      <s:c r="D28" s="98">
        <s:v>14759</s:v>
      </s:c>
      <s:c r="E28" s="99">
        <s:v>3</s:v>
      </s:c>
      <s:c r="F28" s="99">
        <s:f>IF(AND(E28&lt;&gt;"",E28&lt;&gt;0),D28/E28,"")</s:f>
        <s:v>4919.666666666667</s:v>
      </s:c>
      <s:c r="G28" s="99">
        <s:v>1</s:v>
      </s:c>
      <s:c r="H28" s="99">
        <s:f>IF(AND(G28&lt;&gt;"",G28&lt;&gt;0),D28/G28,"")</s:f>
        <s:v>14759</s:v>
      </s:c>
      <s:c r="I28" s="270">
        <s:v>15</s:v>
      </s:c>
      <s:c r="J28" s="271">
        <s:f>IF(AND(G28&lt;&gt;"",G28&lt;&gt;0),E28/G28,"")</s:f>
        <s:v>3</s:v>
      </s:c>
      <s:c r="K28" s="270"/>
      <s:c r="L28" s="270"/>
      <s:c r="M28" s="270"/>
      <s:c r="N28" s="272">
        <s:f>IF(AND(I28&lt;&gt;"",I28&lt;&gt;0),G28/I28,"")</s:f>
        <s:v>6.6666666666666666E-2</s:v>
      </s:c>
      <s:c r="O28" s="273">
        <s:f>D28/P28</s:f>
        <s:v>0.25283643502673803</s:v>
      </s:c>
      <s:c r="P28" s="274">
        <s:f>$I$8*V28*W28/SUMPRODUCT($W$25:$W$60,$V$25:$V$60)</s:f>
        <s:v>58373.707090274402</s:v>
      </s:c>
      <s:c r="Q28" s="275">
        <s:f>$I$9*V28*W28/SUMPRODUCT($W$25:$W$60,$V$25:$V$60)</s:f>
        <s:v>11.768892558523063</s:v>
      </s:c>
      <s:c r="R28" s="275">
        <s:f>IF($I$12="","",Q28/$I$12)</s:f>
        <s:v>6.6490918409734823</s:v>
      </s:c>
      <s:c r="S28" s="274">
        <s:f>IF(W28&lt;&gt;"",IF(D28&lt;&gt;"",D28,($I$8-SUM($S$25:S27))*V28*W28/SUMPRODUCT($W28:$W$60,$V28:$V$60)),"")</s:f>
        <s:v>14759</s:v>
      </s:c>
      <s:c r="T28" s="275">
        <s:f>IF(W28&lt;&gt;"",IF(E28&lt;&gt;"",E28,($I$9-SUM($T$25:T27))*V28*W28/SUMPRODUCT($W28:$W$60,$V28:$V$60)),"")</s:f>
        <s:v>3</s:v>
      </s:c>
      <s:c r="U28" s="275">
        <s:f>IF(W28&lt;&gt;"",IF($I$12&lt;&gt;"",IF(G28&lt;&gt;"",G28,($I$9/$I$12-SUM($U$25:U27))*V28*W28/SUMPRODUCT($W28:$W$60,$V28:$V$60)),""),"")</s:f>
        <s:v>1</s:v>
      </s:c>
      <s:c r="V28" s="276">
        <s:v>1</s:v>
      </s:c>
      <s:c r="W28" s="276">
        <s:v>1</s:v>
      </s:c>
      <s:c r="X28" s="277"/>
      <s:c r="Y28" s="277"/>
      <s:c r="Z28" s="278"/>
      <s:c r="AA28" s="278"/>
      <s:c r="AB28" s="278"/>
      <s:c r="AC28" s="278"/>
      <s:c r="AD28" s="278"/>
      <s:c r="AE28" s="278"/>
      <s:c r="AF28" s="278"/>
      <s:c r="AG28" s="278"/>
      <s:c r="AH28" s="278"/>
      <s:c r="AI28" s="278"/>
      <s:c r="AJ28" s="278"/>
      <s:c r="AK28" s="278"/>
      <s:c r="AL28" s="278"/>
      <s:c r="AM28" s="278"/>
      <s:c r="AN28" s="278"/>
      <s:c r="AO28" s="278"/>
      <s:c r="AP28" s="278"/>
      <s:c r="AQ28" s="278"/>
      <s:c r="AR28" s="278"/>
      <s:c r="AS28" s="278"/>
      <s:c r="AT28" s="278"/>
      <s:c r="AU28" s="278"/>
      <s:c r="AV28" s="278"/>
      <s:c r="AW28" s="278"/>
      <s:c r="AX28" s="278"/>
      <s:c r="AY28" s="278"/>
      <s:c r="AZ28" s="278"/>
      <s:c r="BA28" s="278"/>
      <s:c r="BB28" s="278"/>
      <s:c r="BC28" s="278"/>
      <s:c r="BD28" s="278"/>
      <s:c r="BE28" s="278"/>
      <s:c r="BF28" s="278"/>
      <s:c r="BG28" s="278"/>
      <s:c r="BH28" s="278"/>
      <s:c r="BI28" s="278"/>
      <s:c r="BJ28" s="278"/>
      <s:c r="BK28" s="278"/>
      <s:c r="BL28" s="278"/>
      <s:c r="BM28" s="278"/>
      <s:c r="BN28" s="278"/>
      <s:c r="BO28" s="278"/>
      <s:c r="BP28" s="278"/>
      <s:c r="BQ28" s="278"/>
      <s:c r="BR28" s="278"/>
      <s:c r="BS28" s="278"/>
      <s:c r="BT28" s="278"/>
      <s:c r="BU28" s="278"/>
      <s:c r="BV28" s="278"/>
      <s:c r="BW28" s="278"/>
      <s:c r="BX28" s="278"/>
      <s:c r="BY28" s="278"/>
      <s:c r="BZ28" s="278"/>
      <s:c r="CA28" s="278"/>
      <s:c r="CB28" s="278"/>
      <s:c r="CC28" s="278"/>
      <s:c r="CD28" s="278"/>
      <s:c r="CE28" s="278"/>
      <s:c r="CF28" s="278"/>
      <s:c r="CG28" s="278"/>
      <s:c r="CH28" s="278"/>
      <s:c r="CI28" s="278"/>
      <s:c r="CJ28" s="278"/>
      <s:c r="CK28" s="278"/>
      <s:c r="CL28" s="278"/>
      <s:c r="CM28" s="278"/>
      <s:c r="CN28" s="278"/>
      <s:c r="CO28" s="278"/>
      <s:c r="CP28" s="278"/>
      <s:c r="CQ28" s="278"/>
      <s:c r="CR28" s="278"/>
      <s:c r="CS28" s="278"/>
      <s:c r="CT28" s="278"/>
      <s:c r="CU28" s="278"/>
      <s:c r="CV28" s="278"/>
      <s:c r="CW28" s="278"/>
      <s:c r="CX28" s="278"/>
      <s:c r="CY28" s="278"/>
      <s:c r="CZ28" s="278"/>
      <s:c r="DA28" s="278"/>
      <s:c r="DB28" s="278"/>
      <s:c r="DC28" s="278"/>
      <s:c r="DD28" s="278"/>
      <s:c r="DE28" s="278"/>
      <s:c r="DF28" s="278"/>
      <s:c r="DG28" s="278"/>
      <s:c r="DH28" s="278"/>
      <s:c r="DI28" s="278"/>
      <s:c r="DJ28" s="278"/>
      <s:c r="DK28" s="278"/>
      <s:c r="DL28" s="278"/>
      <s:c r="DM28" s="278"/>
      <s:c r="DN28" s="278"/>
      <s:c r="DO28" s="278"/>
      <s:c r="DP28" s="278"/>
      <s:c r="DQ28" s="278"/>
      <s:c r="DR28" s="278"/>
      <s:c r="DS28" s="278"/>
      <s:c r="DT28" s="278"/>
      <s:c r="DU28" s="278"/>
      <s:c r="DV28" s="278"/>
      <s:c r="DW28" s="278"/>
      <s:c r="DX28" s="278"/>
      <s:c r="DY28" s="278"/>
      <s:c r="DZ28" s="278"/>
      <s:c r="EA28" s="278"/>
      <s:c r="EB28" s="278"/>
      <s:c r="EC28" s="278"/>
      <s:c r="ED28" s="278"/>
      <s:c r="EE28" s="278"/>
      <s:c r="EF28" s="278"/>
      <s:c r="EG28" s="278"/>
      <s:c r="EH28" s="278"/>
      <s:c r="EI28" s="278"/>
      <s:c r="EJ28" s="278"/>
      <s:c r="EK28" s="278"/>
      <s:c r="EL28" s="278"/>
      <s:c r="EM28" s="278"/>
      <s:c r="EN28" s="278"/>
      <s:c r="EO28" s="278"/>
      <s:c r="EP28" s="278"/>
      <s:c r="EQ28" s="278"/>
      <s:c r="ER28" s="278"/>
      <s:c r="ES28" s="278"/>
      <s:c r="ET28" s="278"/>
      <s:c r="EU28" s="278"/>
      <s:c r="EV28" s="278"/>
      <s:c r="EW28" s="278"/>
      <s:c r="EX28" s="278"/>
      <s:c r="EY28" s="278"/>
      <s:c r="EZ28" s="278"/>
      <s:c r="FA28" s="278"/>
      <s:c r="FB28" s="278"/>
      <s:c r="FC28" s="278"/>
      <s:c r="FD28" s="278"/>
      <s:c r="FE28" s="278"/>
      <s:c r="FF28" s="278"/>
      <s:c r="FG28" s="278"/>
      <s:c r="FH28" s="278"/>
      <s:c r="FI28" s="278"/>
      <s:c r="FJ28" s="278"/>
      <s:c r="FK28" s="278"/>
      <s:c r="FL28" s="278"/>
      <s:c r="FM28" s="278"/>
      <s:c r="FN28" s="278"/>
      <s:c r="FO28" s="278"/>
      <s:c r="FP28" s="278"/>
      <s:c r="FQ28" s="278"/>
      <s:c r="FR28" s="278"/>
      <s:c r="FS28" s="278"/>
      <s:c r="FT28" s="278"/>
      <s:c r="FU28" s="278"/>
      <s:c r="FV28" s="278"/>
      <s:c r="FW28" s="278"/>
      <s:c r="FX28" s="278"/>
      <s:c r="FY28" s="278"/>
      <s:c r="FZ28" s="278"/>
      <s:c r="GA28" s="278"/>
      <s:c r="GB28" s="278"/>
      <s:c r="GC28" s="278"/>
      <s:c r="GD28" s="278"/>
      <s:c r="GE28" s="278"/>
      <s:c r="GF28" s="278"/>
      <s:c r="GG28" s="278"/>
      <s:c r="GH28" s="278"/>
      <s:c r="GI28" s="278"/>
      <s:c r="GJ28" s="278"/>
      <s:c r="GK28" s="278"/>
      <s:c r="GL28" s="278"/>
      <s:c r="GM28" s="278"/>
      <s:c r="GN28" s="278"/>
      <s:c r="GO28" s="278"/>
      <s:c r="GP28" s="278"/>
      <s:c r="GQ28" s="278"/>
      <s:c r="GR28" s="278"/>
      <s:c r="GS28" s="278"/>
      <s:c r="GT28" s="278"/>
      <s:c r="GU28" s="278"/>
      <s:c r="GV28" s="278"/>
      <s:c r="GW28" s="278"/>
      <s:c r="GX28" s="278"/>
      <s:c r="GY28" s="278"/>
      <s:c r="GZ28" s="278"/>
      <s:c r="HA28" s="278"/>
      <s:c r="HB28" s="278"/>
      <s:c r="HC28" s="278"/>
      <s:c r="HD28" s="278"/>
      <s:c r="HE28" s="278"/>
      <s:c r="HF28" s="278"/>
      <s:c r="HG28" s="278"/>
      <s:c r="HH28" s="278"/>
      <s:c r="HI28" s="278"/>
      <s:c r="HJ28" s="278"/>
      <s:c r="HK28" s="278"/>
      <s:c r="HL28" s="278"/>
      <s:c r="HM28" s="278"/>
      <s:c r="HN28" s="278"/>
      <s:c r="HO28" s="278"/>
      <s:c r="HP28" s="278"/>
      <s:c r="HQ28" s="278"/>
      <s:c r="HR28" s="278"/>
      <s:c r="HS28" s="278"/>
      <s:c r="HT28" s="278"/>
      <s:c r="HU28" s="278"/>
      <s:c r="HV28" s="278"/>
      <s:c r="HW28" s="278"/>
      <s:c r="HX28" s="278"/>
      <s:c r="HY28" s="278"/>
      <s:c r="HZ28" s="278"/>
      <s:c r="IA28" s="278"/>
      <s:c r="IB28" s="278"/>
      <s:c r="IC28" s="278"/>
      <s:c r="ID28" s="278"/>
      <s:c r="IE28" s="278"/>
      <s:c r="IF28" s="278"/>
      <s:c r="IG28" s="278"/>
      <s:c r="IH28" s="278"/>
      <s:c r="II28" s="278"/>
      <s:c r="IJ28" s="278"/>
      <s:c r="IK28" s="278"/>
      <s:c r="IL28" s="278"/>
      <s:c r="IM28" s="278"/>
      <s:c r="IN28" s="278"/>
      <s:c r="IO28" s="278"/>
      <s:c r="IP28" s="278"/>
      <s:c r="IQ28" s="278"/>
      <s:c r="IR28" s="278"/>
      <s:c r="IS28" s="278"/>
      <s:c r="IT28" s="278"/>
      <s:c r="IU28" s="278"/>
    </s:row>
    <s:row r="29">
      <s:c r="A29" s="95">
        <s:v>5</s:v>
      </s:c>
      <s:c r="B29" s="96">
        <s:v>45771</s:v>
      </s:c>
      <s:c r="C29" s="97" t="s">
        <s:v>51</s:v>
      </s:c>
      <s:c r="D29" s="98">
        <s:f>28522+16323</s:f>
        <s:v>44845</s:v>
      </s:c>
      <s:c r="E29" s="99">
        <s:v>12</s:v>
      </s:c>
      <s:c r="F29" s="99">
        <s:f>IF(AND(E29&lt;&gt;"",E29&lt;&gt;0),D29/E29,"")</s:f>
        <s:v>3737.0833333333335</s:v>
      </s:c>
      <s:c r="G29" s="99">
        <s:v>6</s:v>
      </s:c>
      <s:c r="H29" s="99">
        <s:f>IF(AND(G29&lt;&gt;"",G29&lt;&gt;0),D29/G29,"")</s:f>
        <s:v>7474.166666666667</s:v>
      </s:c>
      <s:c r="I29" s="99">
        <s:v>15</s:v>
      </s:c>
      <s:c r="J29" s="98">
        <s:f>IF(AND(G29&lt;&gt;"",G29&lt;&gt;0),E29/G29,"")</s:f>
        <s:v>2</s:v>
      </s:c>
      <s:c r="K29" s="99"/>
      <s:c r="L29" s="99">
        <s:v>16323</s:v>
      </s:c>
      <s:c r="M29" s="99"/>
      <s:c r="N29" s="100">
        <s:f>IF(AND(I29&lt;&gt;"",I29&lt;&gt;0),G29/I29,"")</s:f>
        <s:v>0.4</s:v>
      </s:c>
      <s:c r="O29" s="101">
        <s:f>D29/P29</s:f>
        <s:v>0.76823971331215302</s:v>
      </s:c>
      <s:c r="P29" s="102">
        <s:f>$I$8*V29*W29/SUMPRODUCT($W$25:$W$55,$V$25:$V$55)</s:f>
        <s:v>58373.707090274402</s:v>
      </s:c>
      <s:c r="Q29" s="103">
        <s:f>$I$9*V29*W29/SUMPRODUCT($W$25:$W$55,$V$25:$V$55)</s:f>
        <s:v>11.768892558523063</s:v>
      </s:c>
      <s:c r="R29" s="103">
        <s:f>IF($I$12="","",Q29/$I$12)</s:f>
        <s:v>6.6490918409734823</s:v>
      </s:c>
      <s:c r="S29" s="102">
        <s:f>IF(W29&lt;&gt;"",IF(D29&lt;&gt;"",D29,($I$8-SUM($S$25:S28))*V29*W29/SUMPRODUCT($W29:$W$55,$V29:$V$55)),"")</s:f>
        <s:v>44845</s:v>
      </s:c>
      <s:c r="T29" s="103">
        <s:f>IF(W29&lt;&gt;"",IF(E29&lt;&gt;"",E29,($I$9-SUM($T$25:T28))*V29*W29/SUMPRODUCT($W29:$W$55,$V29:$V$55)),"")</s:f>
        <s:v>12</s:v>
      </s:c>
      <s:c r="U29" s="103">
        <s:f>IF(W29&lt;&gt;"",IF($I$12&lt;&gt;"",IF(G29&lt;&gt;"",G29,($I$9/$I$12-SUM($U$25:U28))*V29*W29/SUMPRODUCT($W29:$W$55,$V29:$V$55)),""),"")</s:f>
        <s:v>6</s:v>
      </s:c>
      <s:c r="V29" s="104">
        <s:v>1</s:v>
      </s:c>
      <s:c r="W29" s="104">
        <s:v>1</s:v>
      </s:c>
      <s:c r="X29" s="107"/>
      <s:c r="Y29" s="106"/>
      <s:c r="Z29" s="126"/>
      <s:c r="AA29" s="2"/>
      <s:c r="AB29" s="2"/>
      <s:c r="AC29" s="2"/>
      <s:c r="AD29" s="2"/>
      <s:c r="AE29" s="2"/>
      <s:c r="AF29" s="2"/>
      <s:c r="AG29" s="2"/>
    </s:row>
    <s:row r="30" spans="1:255" s="109" customFormat="1">
      <s:c r="A30" s="110">
        <s:v>6</s:v>
      </s:c>
      <s:c r="B30" s="111">
        <s:v>45773</s:v>
      </s:c>
      <s:c r="C30" s="112" t="s">
        <s:v>53</s:v>
      </s:c>
      <s:c r="D30" s="113">
        <s:f>24506+24903</s:f>
        <s:v>49409</s:v>
      </s:c>
      <s:c r="E30" s="114">
        <s:v>7</s:v>
      </s:c>
      <s:c r="F30" s="127">
        <s:f>IF(AND(E30&lt;&gt;"",E30&lt;&gt;0),D30/E30,"")</s:f>
        <s:v>7058.4285714285716</s:v>
      </s:c>
      <s:c r="G30" s="114">
        <s:v>5</s:v>
      </s:c>
      <s:c r="H30" s="114">
        <s:f>IF(AND(G30&lt;&gt;"",G30&lt;&gt;0),D30/G30,"")</s:f>
        <s:v>9881.7999999999993</s:v>
      </s:c>
      <s:c r="I30" s="114">
        <s:v>25</s:v>
      </s:c>
      <s:c r="J30" s="113">
        <s:f>IF(AND(G30&lt;&gt;"",G30&lt;&gt;0),E30/G30,"")</s:f>
        <s:v>1.4</s:v>
      </s:c>
      <s:c r="K30" s="114"/>
      <s:c r="L30" s="114">
        <s:v>24903</s:v>
      </s:c>
      <s:c r="M30" s="114"/>
      <s:c r="N30" s="115">
        <s:f>IF(AND(I30&lt;&gt;"",I30&lt;&gt;0),G30/I30,"")</s:f>
        <s:v>0.2</s:v>
      </s:c>
      <s:c r="O30" s="116">
        <s:f>D30/P30</s:f>
        <s:v>0.8464255991758316</s:v>
      </s:c>
      <s:c r="P30" s="117">
        <s:f>$I$8*V30*W30/SUMPRODUCT($W$25:$W$55,$V$25:$V$55)</s:f>
        <s:v>58373.707090274402</s:v>
      </s:c>
      <s:c r="Q30" s="118">
        <s:f>$I$9*V30*W30/SUMPRODUCT($W$25:$W$55,$V$25:$V$55)</s:f>
        <s:v>11.768892558523063</s:v>
      </s:c>
      <s:c r="R30" s="118">
        <s:f>IF($I$12="","",Q30/$I$12)</s:f>
        <s:v>6.6490918409734823</s:v>
      </s:c>
      <s:c r="S30" s="117">
        <s:f>IF(W30&lt;&gt;"",IF(D30&lt;&gt;"",D30,($I$8-SUM($S$25:S29))*V30*W30/SUMPRODUCT($W30:$W$55,$V30:$V$55)),"")</s:f>
        <s:v>49409</s:v>
      </s:c>
      <s:c r="T30" s="118">
        <s:f>IF(W30&lt;&gt;"",IF(E30&lt;&gt;"",E30,($I$9-SUM($T$25:T29))*V30*W30/SUMPRODUCT($W30:$W$55,$V30:$V$55)),"")</s:f>
        <s:v>7</s:v>
      </s:c>
      <s:c r="U30" s="118">
        <s:f>IF(W30&lt;&gt;"",IF($I$12&lt;&gt;"",IF(G30&lt;&gt;"",G30,($I$9/$I$12-SUM($U$25:U29))*V30*W30/SUMPRODUCT($W30:$W$55,$V30:$V$55)),""),"")</s:f>
        <s:v>5</s:v>
      </s:c>
      <s:c r="V30" s="119">
        <s:v>1</s:v>
      </s:c>
      <s:c r="W30" s="119">
        <s:v>1</s:v>
      </s:c>
      <s:c r="X30" s="120"/>
      <s:c r="Y30" s="124"/>
      <s:c r="Z30" s="125"/>
      <s:c r="AA30" s="122"/>
      <s:c r="AB30" s="122"/>
      <s:c r="AC30" s="122"/>
      <s:c r="AD30" s="122"/>
      <s:c r="AE30" s="122"/>
      <s:c r="AF30" s="122"/>
      <s:c r="AG30" s="122"/>
      <s:c r="AH30" s="122"/>
      <s:c r="AI30" s="122"/>
      <s:c r="AJ30" s="122"/>
      <s:c r="AK30" s="122"/>
      <s:c r="AL30" s="122"/>
      <s:c r="AM30" s="122"/>
      <s:c r="AN30" s="122"/>
      <s:c r="AO30" s="122"/>
      <s:c r="AP30" s="122"/>
      <s:c r="AQ30" s="122"/>
      <s:c r="AR30" s="122"/>
      <s:c r="AS30" s="122"/>
      <s:c r="AT30" s="122"/>
      <s:c r="AU30" s="122"/>
      <s:c r="AV30" s="122"/>
      <s:c r="AW30" s="122"/>
      <s:c r="AX30" s="122"/>
      <s:c r="AY30" s="122"/>
      <s:c r="AZ30" s="122"/>
      <s:c r="BA30" s="122"/>
      <s:c r="BB30" s="122"/>
      <s:c r="BC30" s="122"/>
      <s:c r="BD30" s="122"/>
      <s:c r="BE30" s="122"/>
      <s:c r="BF30" s="122"/>
      <s:c r="BG30" s="122"/>
      <s:c r="BH30" s="122"/>
      <s:c r="BI30" s="122"/>
      <s:c r="BJ30" s="122"/>
      <s:c r="BK30" s="122"/>
      <s:c r="BL30" s="122"/>
      <s:c r="BM30" s="122"/>
      <s:c r="BN30" s="122"/>
      <s:c r="BO30" s="122"/>
      <s:c r="BP30" s="122"/>
      <s:c r="BQ30" s="122"/>
      <s:c r="BR30" s="122"/>
      <s:c r="BS30" s="122"/>
      <s:c r="BT30" s="122"/>
      <s:c r="BU30" s="122"/>
      <s:c r="BV30" s="122"/>
      <s:c r="BW30" s="122"/>
      <s:c r="BX30" s="122"/>
      <s:c r="BY30" s="122"/>
      <s:c r="BZ30" s="122"/>
      <s:c r="CA30" s="122"/>
      <s:c r="CB30" s="122"/>
      <s:c r="CC30" s="122"/>
      <s:c r="CD30" s="122"/>
      <s:c r="CE30" s="122"/>
      <s:c r="CF30" s="122"/>
      <s:c r="CG30" s="122"/>
      <s:c r="CH30" s="122"/>
      <s:c r="CI30" s="122"/>
      <s:c r="CJ30" s="122"/>
      <s:c r="CK30" s="122"/>
      <s:c r="CL30" s="122"/>
      <s:c r="CM30" s="122"/>
      <s:c r="CN30" s="122"/>
      <s:c r="CO30" s="122"/>
      <s:c r="CP30" s="122"/>
      <s:c r="CQ30" s="122"/>
      <s:c r="CR30" s="122"/>
      <s:c r="CS30" s="122"/>
      <s:c r="CT30" s="122"/>
      <s:c r="CU30" s="122"/>
      <s:c r="CV30" s="122"/>
      <s:c r="CW30" s="122"/>
      <s:c r="CX30" s="122"/>
      <s:c r="CY30" s="122"/>
      <s:c r="CZ30" s="122"/>
      <s:c r="DA30" s="122"/>
      <s:c r="DB30" s="122"/>
      <s:c r="DC30" s="122"/>
      <s:c r="DD30" s="122"/>
      <s:c r="DE30" s="122"/>
      <s:c r="DF30" s="122"/>
      <s:c r="DG30" s="122"/>
      <s:c r="DH30" s="122"/>
      <s:c r="DI30" s="122"/>
      <s:c r="DJ30" s="122"/>
      <s:c r="DK30" s="122"/>
      <s:c r="DL30" s="122"/>
      <s:c r="DM30" s="122"/>
      <s:c r="DN30" s="122"/>
      <s:c r="DO30" s="122"/>
      <s:c r="DP30" s="122"/>
      <s:c r="DQ30" s="122"/>
      <s:c r="DR30" s="122"/>
      <s:c r="DS30" s="122"/>
      <s:c r="DT30" s="122"/>
      <s:c r="DU30" s="122"/>
      <s:c r="DV30" s="122"/>
      <s:c r="DW30" s="122"/>
      <s:c r="DX30" s="122"/>
      <s:c r="DY30" s="122"/>
      <s:c r="DZ30" s="122"/>
      <s:c r="EA30" s="122"/>
      <s:c r="EB30" s="122"/>
      <s:c r="EC30" s="122"/>
      <s:c r="ED30" s="122"/>
      <s:c r="EE30" s="122"/>
      <s:c r="EF30" s="122"/>
      <s:c r="EG30" s="122"/>
      <s:c r="EH30" s="122"/>
      <s:c r="EI30" s="122"/>
      <s:c r="EJ30" s="122"/>
      <s:c r="EK30" s="122"/>
      <s:c r="EL30" s="122"/>
      <s:c r="EM30" s="122"/>
      <s:c r="EN30" s="122"/>
      <s:c r="EO30" s="122"/>
      <s:c r="EP30" s="122"/>
      <s:c r="EQ30" s="122"/>
      <s:c r="ER30" s="122"/>
      <s:c r="ES30" s="122"/>
      <s:c r="ET30" s="122"/>
      <s:c r="EU30" s="122"/>
      <s:c r="EV30" s="122"/>
      <s:c r="EW30" s="122"/>
      <s:c r="EX30" s="122"/>
      <s:c r="EY30" s="122"/>
      <s:c r="EZ30" s="122"/>
      <s:c r="FA30" s="122"/>
      <s:c r="FB30" s="122"/>
      <s:c r="FC30" s="122"/>
      <s:c r="FD30" s="122"/>
      <s:c r="FE30" s="122"/>
      <s:c r="FF30" s="122"/>
      <s:c r="FG30" s="122"/>
      <s:c r="FH30" s="122"/>
      <s:c r="FI30" s="122"/>
      <s:c r="FJ30" s="122"/>
      <s:c r="FK30" s="122"/>
      <s:c r="FL30" s="122"/>
      <s:c r="FM30" s="122"/>
      <s:c r="FN30" s="122"/>
      <s:c r="FO30" s="122"/>
      <s:c r="FP30" s="122"/>
      <s:c r="FQ30" s="122"/>
      <s:c r="FR30" s="122"/>
      <s:c r="FS30" s="122"/>
      <s:c r="FT30" s="122"/>
      <s:c r="FU30" s="122"/>
      <s:c r="FV30" s="122"/>
      <s:c r="FW30" s="122"/>
      <s:c r="FX30" s="122"/>
      <s:c r="FY30" s="122"/>
      <s:c r="FZ30" s="122"/>
      <s:c r="GA30" s="122"/>
      <s:c r="GB30" s="122"/>
      <s:c r="GC30" s="122"/>
      <s:c r="GD30" s="122"/>
      <s:c r="GE30" s="122"/>
      <s:c r="GF30" s="122"/>
      <s:c r="GG30" s="122"/>
      <s:c r="GH30" s="122"/>
      <s:c r="GI30" s="122"/>
      <s:c r="GJ30" s="122"/>
      <s:c r="GK30" s="122"/>
      <s:c r="GL30" s="122"/>
      <s:c r="GM30" s="122"/>
      <s:c r="GN30" s="122"/>
      <s:c r="GO30" s="122"/>
      <s:c r="GP30" s="122"/>
      <s:c r="GQ30" s="122"/>
      <s:c r="GR30" s="122"/>
      <s:c r="GS30" s="122"/>
      <s:c r="GT30" s="122"/>
      <s:c r="GU30" s="122"/>
      <s:c r="GV30" s="122"/>
      <s:c r="GW30" s="122"/>
      <s:c r="GX30" s="122"/>
      <s:c r="GY30" s="122"/>
      <s:c r="GZ30" s="122"/>
      <s:c r="HA30" s="122"/>
      <s:c r="HB30" s="122"/>
      <s:c r="HC30" s="122"/>
      <s:c r="HD30" s="122"/>
      <s:c r="HE30" s="122"/>
      <s:c r="HF30" s="122"/>
      <s:c r="HG30" s="122"/>
      <s:c r="HH30" s="122"/>
      <s:c r="HI30" s="122"/>
      <s:c r="HJ30" s="122"/>
      <s:c r="HK30" s="122"/>
      <s:c r="HL30" s="122"/>
      <s:c r="HM30" s="122"/>
      <s:c r="HN30" s="122"/>
      <s:c r="HO30" s="122"/>
      <s:c r="HP30" s="122"/>
      <s:c r="HQ30" s="122"/>
      <s:c r="HR30" s="122"/>
      <s:c r="HS30" s="122"/>
      <s:c r="HT30" s="122"/>
      <s:c r="HU30" s="122"/>
      <s:c r="HV30" s="122"/>
      <s:c r="HW30" s="122"/>
      <s:c r="HX30" s="122"/>
      <s:c r="HY30" s="122"/>
      <s:c r="HZ30" s="122"/>
      <s:c r="IA30" s="122"/>
      <s:c r="IB30" s="122"/>
      <s:c r="IC30" s="122"/>
      <s:c r="ID30" s="122"/>
      <s:c r="IE30" s="122"/>
      <s:c r="IF30" s="122"/>
      <s:c r="IG30" s="122"/>
      <s:c r="IH30" s="122"/>
      <s:c r="II30" s="122"/>
      <s:c r="IJ30" s="122"/>
      <s:c r="IK30" s="122"/>
      <s:c r="IL30" s="122"/>
      <s:c r="IM30" s="122"/>
      <s:c r="IN30" s="122"/>
      <s:c r="IO30" s="122"/>
      <s:c r="IP30" s="122"/>
      <s:c r="IQ30" s="122"/>
      <s:c r="IR30" s="122"/>
      <s:c r="IS30" s="122"/>
      <s:c r="IT30" s="122"/>
      <s:c r="IU30" s="122"/>
    </s:row>
    <s:row r="31" spans="1:255" s="109" customFormat="1">
      <s:c r="A31" s="110">
        <s:v>7</s:v>
      </s:c>
      <s:c r="B31" s="111">
        <s:v>45774</s:v>
      </s:c>
      <s:c r="C31" s="112" t="s">
        <s:v>54</s:v>
      </s:c>
      <s:c r="D31" s="113">
        <s:f>13766+14506</s:f>
        <s:v>28272</s:v>
      </s:c>
      <s:c r="E31" s="114">
        <s:v>6</s:v>
      </s:c>
      <s:c r="F31" s="114">
        <s:f>IF(AND(E31&lt;&gt;"",E31&lt;&gt;0),D31/E31,"")</s:f>
        <s:v>4712</s:v>
      </s:c>
      <s:c r="G31" s="114">
        <s:v>4</s:v>
      </s:c>
      <s:c r="H31" s="114">
        <s:f>IF(AND(G31&lt;&gt;"",G31&lt;&gt;0),D31/G31,"")</s:f>
        <s:v>7068</s:v>
      </s:c>
      <s:c r="I31" s="114">
        <s:v>25</s:v>
      </s:c>
      <s:c r="J31" s="113">
        <s:f>IF(AND(G31&lt;&gt;"",G31&lt;&gt;0),E31/G31,"")</s:f>
        <s:v>1.5</s:v>
      </s:c>
      <s:c r="K31" s="114"/>
      <s:c r="L31" s="114">
        <s:v>14506</s:v>
      </s:c>
      <s:c r="M31" s="114"/>
      <s:c r="N31" s="115">
        <s:f>IF(AND(I31&lt;&gt;"",I31&lt;&gt;0),G31/I31,"")</s:f>
        <s:v>0.16</s:v>
      </s:c>
      <s:c r="O31" s="116">
        <s:f>D31/P31</s:f>
        <s:v>0.48432764354468033</s:v>
      </s:c>
      <s:c r="P31" s="117">
        <s:f>$I$8*V31*W31/SUMPRODUCT($W$25:$W$55,$V$25:$V$55)</s:f>
        <s:v>58373.707090274402</s:v>
      </s:c>
      <s:c r="Q31" s="118">
        <s:f>$I$9*V31*W31/SUMPRODUCT($W$25:$W$55,$V$25:$V$55)</s:f>
        <s:v>11.768892558523063</s:v>
      </s:c>
      <s:c r="R31" s="118">
        <s:f>IF($I$12="","",Q31/$I$12)</s:f>
        <s:v>6.6490918409734823</s:v>
      </s:c>
      <s:c r="S31" s="117">
        <s:f>IF(W31&lt;&gt;"",IF(D31&lt;&gt;"",D31,($I$8-SUM($S$25:S30))*V31*W31/SUMPRODUCT($W31:$W$55,$V31:$V$55)),"")</s:f>
        <s:v>28272</s:v>
      </s:c>
      <s:c r="T31" s="118">
        <s:f>IF(W31&lt;&gt;"",IF(E31&lt;&gt;"",E31,($I$9-SUM($T$25:T30))*V31*W31/SUMPRODUCT($W31:$W$55,$V31:$V$55)),"")</s:f>
        <s:v>6</s:v>
      </s:c>
      <s:c r="U31" s="118">
        <s:f>IF(W31&lt;&gt;"",IF($I$12&lt;&gt;"",IF(G31&lt;&gt;"",G31,($I$9/$I$12-SUM($U$25:U30))*V31*W31/SUMPRODUCT($W31:$W$55,$V31:$V$55)),""),"")</s:f>
        <s:v>4</s:v>
      </s:c>
      <s:c r="V31" s="119">
        <s:v>1</s:v>
      </s:c>
      <s:c r="W31" s="119">
        <s:v>1</s:v>
      </s:c>
      <s:c r="X31" s="120"/>
      <s:c r="Y31" s="124"/>
      <s:c r="Z31" s="125"/>
      <s:c r="AA31" s="122"/>
      <s:c r="AB31" s="122"/>
      <s:c r="AC31" s="122"/>
      <s:c r="AD31" s="122"/>
      <s:c r="AE31" s="122"/>
      <s:c r="AF31" s="122"/>
      <s:c r="AG31" s="122"/>
      <s:c r="AH31" s="122"/>
      <s:c r="AI31" s="122"/>
      <s:c r="AJ31" s="122"/>
      <s:c r="AK31" s="122"/>
      <s:c r="AL31" s="122"/>
      <s:c r="AM31" s="122"/>
      <s:c r="AN31" s="122"/>
      <s:c r="AO31" s="122"/>
      <s:c r="AP31" s="122"/>
      <s:c r="AQ31" s="122"/>
      <s:c r="AR31" s="122"/>
      <s:c r="AS31" s="122"/>
      <s:c r="AT31" s="122"/>
      <s:c r="AU31" s="122"/>
      <s:c r="AV31" s="122"/>
      <s:c r="AW31" s="122"/>
      <s:c r="AX31" s="122"/>
      <s:c r="AY31" s="122"/>
      <s:c r="AZ31" s="122"/>
      <s:c r="BA31" s="122"/>
      <s:c r="BB31" s="122"/>
      <s:c r="BC31" s="122"/>
      <s:c r="BD31" s="122"/>
      <s:c r="BE31" s="122"/>
      <s:c r="BF31" s="122"/>
      <s:c r="BG31" s="122"/>
      <s:c r="BH31" s="122"/>
      <s:c r="BI31" s="122"/>
      <s:c r="BJ31" s="122"/>
      <s:c r="BK31" s="122"/>
      <s:c r="BL31" s="122"/>
      <s:c r="BM31" s="122"/>
      <s:c r="BN31" s="122"/>
      <s:c r="BO31" s="122"/>
      <s:c r="BP31" s="122"/>
      <s:c r="BQ31" s="122"/>
      <s:c r="BR31" s="122"/>
      <s:c r="BS31" s="122"/>
      <s:c r="BT31" s="122"/>
      <s:c r="BU31" s="122"/>
      <s:c r="BV31" s="122"/>
      <s:c r="BW31" s="122"/>
      <s:c r="BX31" s="122"/>
      <s:c r="BY31" s="122"/>
      <s:c r="BZ31" s="122"/>
      <s:c r="CA31" s="122"/>
      <s:c r="CB31" s="122"/>
      <s:c r="CC31" s="122"/>
      <s:c r="CD31" s="122"/>
      <s:c r="CE31" s="122"/>
      <s:c r="CF31" s="122"/>
      <s:c r="CG31" s="122"/>
      <s:c r="CH31" s="122"/>
      <s:c r="CI31" s="122"/>
      <s:c r="CJ31" s="122"/>
      <s:c r="CK31" s="122"/>
      <s:c r="CL31" s="122"/>
      <s:c r="CM31" s="122"/>
      <s:c r="CN31" s="122"/>
      <s:c r="CO31" s="122"/>
      <s:c r="CP31" s="122"/>
      <s:c r="CQ31" s="122"/>
      <s:c r="CR31" s="122"/>
      <s:c r="CS31" s="122"/>
      <s:c r="CT31" s="122"/>
      <s:c r="CU31" s="122"/>
      <s:c r="CV31" s="122"/>
      <s:c r="CW31" s="122"/>
      <s:c r="CX31" s="122"/>
      <s:c r="CY31" s="122"/>
      <s:c r="CZ31" s="122"/>
      <s:c r="DA31" s="122"/>
      <s:c r="DB31" s="122"/>
      <s:c r="DC31" s="122"/>
      <s:c r="DD31" s="122"/>
      <s:c r="DE31" s="122"/>
      <s:c r="DF31" s="122"/>
      <s:c r="DG31" s="122"/>
      <s:c r="DH31" s="122"/>
      <s:c r="DI31" s="122"/>
      <s:c r="DJ31" s="122"/>
      <s:c r="DK31" s="122"/>
      <s:c r="DL31" s="122"/>
      <s:c r="DM31" s="122"/>
      <s:c r="DN31" s="122"/>
      <s:c r="DO31" s="122"/>
      <s:c r="DP31" s="122"/>
      <s:c r="DQ31" s="122"/>
      <s:c r="DR31" s="122"/>
      <s:c r="DS31" s="122"/>
      <s:c r="DT31" s="122"/>
      <s:c r="DU31" s="122"/>
      <s:c r="DV31" s="122"/>
      <s:c r="DW31" s="122"/>
      <s:c r="DX31" s="122"/>
      <s:c r="DY31" s="122"/>
      <s:c r="DZ31" s="122"/>
      <s:c r="EA31" s="122"/>
      <s:c r="EB31" s="122"/>
      <s:c r="EC31" s="122"/>
      <s:c r="ED31" s="122"/>
      <s:c r="EE31" s="122"/>
      <s:c r="EF31" s="122"/>
      <s:c r="EG31" s="122"/>
      <s:c r="EH31" s="122"/>
      <s:c r="EI31" s="122"/>
      <s:c r="EJ31" s="122"/>
      <s:c r="EK31" s="122"/>
      <s:c r="EL31" s="122"/>
      <s:c r="EM31" s="122"/>
      <s:c r="EN31" s="122"/>
      <s:c r="EO31" s="122"/>
      <s:c r="EP31" s="122"/>
      <s:c r="EQ31" s="122"/>
      <s:c r="ER31" s="122"/>
      <s:c r="ES31" s="122"/>
      <s:c r="ET31" s="122"/>
      <s:c r="EU31" s="122"/>
      <s:c r="EV31" s="122"/>
      <s:c r="EW31" s="122"/>
      <s:c r="EX31" s="122"/>
      <s:c r="EY31" s="122"/>
      <s:c r="EZ31" s="122"/>
      <s:c r="FA31" s="122"/>
      <s:c r="FB31" s="122"/>
      <s:c r="FC31" s="122"/>
      <s:c r="FD31" s="122"/>
      <s:c r="FE31" s="122"/>
      <s:c r="FF31" s="122"/>
      <s:c r="FG31" s="122"/>
      <s:c r="FH31" s="122"/>
      <s:c r="FI31" s="122"/>
      <s:c r="FJ31" s="122"/>
      <s:c r="FK31" s="122"/>
      <s:c r="FL31" s="122"/>
      <s:c r="FM31" s="122"/>
      <s:c r="FN31" s="122"/>
      <s:c r="FO31" s="122"/>
      <s:c r="FP31" s="122"/>
      <s:c r="FQ31" s="122"/>
      <s:c r="FR31" s="122"/>
      <s:c r="FS31" s="122"/>
      <s:c r="FT31" s="122"/>
      <s:c r="FU31" s="122"/>
      <s:c r="FV31" s="122"/>
      <s:c r="FW31" s="122"/>
      <s:c r="FX31" s="122"/>
      <s:c r="FY31" s="122"/>
      <s:c r="FZ31" s="122"/>
      <s:c r="GA31" s="122"/>
      <s:c r="GB31" s="122"/>
      <s:c r="GC31" s="122"/>
      <s:c r="GD31" s="122"/>
      <s:c r="GE31" s="122"/>
      <s:c r="GF31" s="122"/>
      <s:c r="GG31" s="122"/>
      <s:c r="GH31" s="122"/>
      <s:c r="GI31" s="122"/>
      <s:c r="GJ31" s="122"/>
      <s:c r="GK31" s="122"/>
      <s:c r="GL31" s="122"/>
      <s:c r="GM31" s="122"/>
      <s:c r="GN31" s="122"/>
      <s:c r="GO31" s="122"/>
      <s:c r="GP31" s="122"/>
      <s:c r="GQ31" s="122"/>
      <s:c r="GR31" s="122"/>
      <s:c r="GS31" s="122"/>
      <s:c r="GT31" s="122"/>
      <s:c r="GU31" s="122"/>
      <s:c r="GV31" s="122"/>
      <s:c r="GW31" s="122"/>
      <s:c r="GX31" s="122"/>
      <s:c r="GY31" s="122"/>
      <s:c r="GZ31" s="122"/>
      <s:c r="HA31" s="122"/>
      <s:c r="HB31" s="122"/>
      <s:c r="HC31" s="122"/>
      <s:c r="HD31" s="122"/>
      <s:c r="HE31" s="122"/>
      <s:c r="HF31" s="122"/>
      <s:c r="HG31" s="122"/>
      <s:c r="HH31" s="122"/>
      <s:c r="HI31" s="122"/>
      <s:c r="HJ31" s="122"/>
      <s:c r="HK31" s="122"/>
      <s:c r="HL31" s="122"/>
      <s:c r="HM31" s="122"/>
      <s:c r="HN31" s="122"/>
      <s:c r="HO31" s="122"/>
      <s:c r="HP31" s="122"/>
      <s:c r="HQ31" s="122"/>
      <s:c r="HR31" s="122"/>
      <s:c r="HS31" s="122"/>
      <s:c r="HT31" s="122"/>
      <s:c r="HU31" s="122"/>
      <s:c r="HV31" s="122"/>
      <s:c r="HW31" s="122"/>
      <s:c r="HX31" s="122"/>
      <s:c r="HY31" s="122"/>
      <s:c r="HZ31" s="122"/>
      <s:c r="IA31" s="122"/>
      <s:c r="IB31" s="122"/>
      <s:c r="IC31" s="122"/>
      <s:c r="ID31" s="122"/>
      <s:c r="IE31" s="122"/>
      <s:c r="IF31" s="122"/>
      <s:c r="IG31" s="122"/>
      <s:c r="IH31" s="122"/>
      <s:c r="II31" s="122"/>
      <s:c r="IJ31" s="122"/>
      <s:c r="IK31" s="122"/>
      <s:c r="IL31" s="122"/>
      <s:c r="IM31" s="122"/>
      <s:c r="IN31" s="122"/>
      <s:c r="IO31" s="122"/>
      <s:c r="IP31" s="122"/>
      <s:c r="IQ31" s="122"/>
      <s:c r="IR31" s="122"/>
      <s:c r="IS31" s="122"/>
      <s:c r="IT31" s="122"/>
      <s:c r="IU31" s="122"/>
    </s:row>
    <s:row r="32">
      <s:c r="A32" s="95">
        <s:v>8</s:v>
      </s:c>
      <s:c r="B32" s="96">
        <s:v>45775</s:v>
      </s:c>
      <s:c r="C32" s="279" t="s">
        <s:v>55</s:v>
      </s:c>
      <s:c r="D32" s="98">
        <s:v>21030</s:v>
      </s:c>
      <s:c r="E32" s="97">
        <s:v>7</s:v>
      </s:c>
      <s:c r="F32" s="99">
        <s:f>IF(AND(E32&lt;&gt;"",E32&lt;&gt;0),D32/E32,"")</s:f>
        <s:v>3004.2857142857142</s:v>
      </s:c>
      <s:c r="G32" s="99">
        <s:v>3</s:v>
      </s:c>
      <s:c r="H32" s="99">
        <s:f>IF(AND(G32&lt;&gt;"",G32&lt;&gt;0),D32/G32,"")</s:f>
        <s:v>7010</s:v>
      </s:c>
      <s:c r="I32" s="99">
        <s:v>15</s:v>
      </s:c>
      <s:c r="J32" s="271">
        <s:f>IF(AND(G32&lt;&gt;"",G32&lt;&gt;0),E32/G32,"")</s:f>
        <s:v>2.3333333333333335</s:v>
      </s:c>
      <s:c r="K32" s="99"/>
      <s:c r="L32" s="99"/>
      <s:c r="M32" s="99"/>
      <s:c r="N32" s="100">
        <s:f>IF(AND(I32&lt;&gt;"",I32&lt;&gt;0),G32/I32,"")</s:f>
        <s:v>0.2</s:v>
      </s:c>
      <s:c r="O32" s="101">
        <s:f>D32/P32</s:f>
        <s:v>0.36026493858745851</s:v>
      </s:c>
      <s:c r="P32" s="102">
        <s:f>$I$8*V32*W32/SUMPRODUCT($W$25:$W$55,$V$25:$V$55)</s:f>
        <s:v>58373.707090274402</s:v>
      </s:c>
      <s:c r="Q32" s="103">
        <s:f>$I$9*V32*W32/SUMPRODUCT($W$25:$W$55,$V$25:$V$55)</s:f>
        <s:v>11.768892558523063</s:v>
      </s:c>
      <s:c r="R32" s="103">
        <s:f>IF($I$12="","",Q32/$I$12)</s:f>
        <s:v>6.6490918409734823</s:v>
      </s:c>
      <s:c r="S32" s="102">
        <s:f>IF(W32&lt;&gt;"",IF(D32&lt;&gt;"",D32,($I$8-SUM($S$25:S31))*V32*W32/SUMPRODUCT($W32:$W$55,$V32:$V$55)),"")</s:f>
        <s:v>21030</s:v>
      </s:c>
      <s:c r="T32" s="103">
        <s:f>IF(W32&lt;&gt;"",IF(E31&lt;&gt;"",E31,($I$9-SUM($T$25:T31))*V32*W32/SUMPRODUCT($W32:$W$55,$V32:$V$55)),"")</s:f>
        <s:v>6</s:v>
      </s:c>
      <s:c r="U32" s="103">
        <s:f>IF(W32&lt;&gt;"",IF($I$12&lt;&gt;"",IF(G32&lt;&gt;"",G32,($I$9/$I$12-SUM($U$25:U31))*V32*W32/SUMPRODUCT($W32:$W$55,$V32:$V$55)),""),"")</s:f>
        <s:v>3</s:v>
      </s:c>
      <s:c r="V32" s="276">
        <s:v>1</s:v>
      </s:c>
      <s:c r="W32" s="276">
        <s:v>1</s:v>
      </s:c>
      <s:c r="X32" s="106"/>
      <s:c r="Y32" s="106"/>
      <s:c r="Z32" s="2"/>
      <s:c r="AA32" s="2"/>
      <s:c r="AB32" s="2"/>
      <s:c r="AC32" s="2"/>
      <s:c r="AD32" s="2"/>
      <s:c r="AE32" s="2"/>
      <s:c r="AF32" s="2"/>
      <s:c r="AG32" s="2"/>
    </s:row>
    <s:row r="33">
      <s:c r="A33" s="95">
        <s:v>9</s:v>
      </s:c>
      <s:c r="B33" s="96"/>
      <s:c r="C33" s="279"/>
      <s:c r="D33" s="98"/>
      <s:c r="E33" s="99"/>
      <s:c r="F33" s="99" t="str">
        <s:f>IF(AND(E33&lt;&gt;"",E33&lt;&gt;0),D33/E33,"")</s:f>
        <s:v/>
      </s:c>
      <s:c r="G33" s="99"/>
      <s:c r="H33" s="99" t="str">
        <s:f>IF(AND(G33&lt;&gt;"",G33&lt;&gt;0),D33/G33,"")</s:f>
        <s:v/>
      </s:c>
      <s:c r="I33" s="99"/>
      <s:c r="J33" s="271" t="str">
        <s:f>IF(AND(G33&lt;&gt;"",G33&lt;&gt;0),E33/G33,"")</s:f>
        <s:v/>
      </s:c>
      <s:c r="K33" s="99"/>
      <s:c r="L33" s="99"/>
      <s:c r="M33" s="99"/>
      <s:c r="N33" s="100" t="str">
        <s:f>IF(AND(I33&lt;&gt;"",I33&lt;&gt;0),G33/I33,"")</s:f>
        <s:v/>
      </s:c>
      <s:c r="O33" s="101" t="e">
        <s:f>D33/P33</s:f>
        <s:v>#DIV/0!</s:v>
      </s:c>
      <s:c r="P33" s="102">
        <s:f>$I$8*V33*W33/SUMPRODUCT($W$25:$W$55,$V$25:$V$55)</s:f>
        <s:v>0</s:v>
      </s:c>
      <s:c r="Q33" s="103">
        <s:f>$I$9*V33*W33/SUMPRODUCT($W$25:$W$55,$V$25:$V$55)</s:f>
        <s:v>0</s:v>
      </s:c>
      <s:c r="R33" s="103">
        <s:f>IF($I$12="","",Q33/$I$12)</s:f>
        <s:v>0</s:v>
      </s:c>
      <s:c r="S33" s="102" t="str">
        <s:f>IF(W33&lt;&gt;"",IF(D33&lt;&gt;"",D33,($I$8-SUM($S$25:S32))*V33*W33/SUMPRODUCT($W33:$W$55,$V33:$V$55)),"")</s:f>
        <s:v/>
      </s:c>
      <s:c r="T33" s="103" t="str">
        <s:f>IF(W33&lt;&gt;"",IF(E33&lt;&gt;"",E33,($I$9-SUM($T$25:T32))*V33*W33/SUMPRODUCT($W33:$W$55,$V33:$V$55)),"")</s:f>
        <s:v/>
      </s:c>
      <s:c r="U33" s="103" t="str">
        <s:f>IF(W33&lt;&gt;"",IF($I$12&lt;&gt;"",IF(G33&lt;&gt;"",G33,($I$9/$I$12-SUM($U$25:U32))*V33*W33/SUMPRODUCT($W33:$W$55,$V33:$V$55)),""),"")</s:f>
        <s:v/>
      </s:c>
      <s:c r="V33" s="276"/>
      <s:c r="W33" s="276"/>
      <s:c r="X33" s="106"/>
      <s:c r="Y33" s="106"/>
      <s:c r="Z33" s="2"/>
      <s:c r="AA33" s="2"/>
      <s:c r="AB33" s="2"/>
      <s:c r="AC33" s="2"/>
      <s:c r="AD33" s="2"/>
      <s:c r="AE33" s="2"/>
      <s:c r="AF33" s="2"/>
      <s:c r="AG33" s="2"/>
    </s:row>
    <s:row r="34" spans="1:33" s="268" customFormat="1">
      <s:c r="A34" s="269">
        <s:v>10</s:v>
      </s:c>
      <s:c r="B34" s="280"/>
      <s:c r="C34" s="281"/>
      <s:c r="D34" s="271"/>
      <s:c r="E34" s="270"/>
      <s:c r="F34" s="99" t="str">
        <s:f>IF(AND(E34&lt;&gt;"",E34&lt;&gt;0),D34/E34,"")</s:f>
        <s:v/>
      </s:c>
      <s:c r="G34" s="270"/>
      <s:c r="H34" s="99" t="str">
        <s:f>IF(AND(G34&lt;&gt;"",G34&lt;&gt;0),D34/G34,"")</s:f>
        <s:v/>
      </s:c>
      <s:c r="I34" s="270"/>
      <s:c r="J34" s="271" t="str">
        <s:f>IF(AND(G34&lt;&gt;"",G34&lt;&gt;0),E34/G34,"")</s:f>
        <s:v/>
      </s:c>
      <s:c r="K34" s="270"/>
      <s:c r="L34" s="270"/>
      <s:c r="M34" s="270"/>
      <s:c r="N34" s="272" t="str">
        <s:f>IF(AND(I34&lt;&gt;"",I34&lt;&gt;0),G34/I34,"")</s:f>
        <s:v/>
      </s:c>
      <s:c r="O34" s="273" t="e">
        <s:f>D34/P34</s:f>
        <s:v>#DIV/0!</s:v>
      </s:c>
      <s:c r="P34" s="274">
        <s:f>$I$8*V34*W34/SUMPRODUCT($W$25:$W$60,$V$25:$V$60)</s:f>
        <s:v>0</s:v>
      </s:c>
      <s:c r="Q34" s="275">
        <s:f>$I$9*V34*W34/SUMPRODUCT($W$25:$W$60,$V$25:$V$60)</s:f>
        <s:v>0</s:v>
      </s:c>
      <s:c r="R34" s="275">
        <s:f>IF($I$12="","",Q34/$I$12)</s:f>
        <s:v>0</s:v>
      </s:c>
      <s:c r="S34" s="274" t="str">
        <s:f>IF(W34&lt;&gt;"",IF(D34&lt;&gt;"",D34,($I$8-SUM($S$25:S33))*V34*W34/SUMPRODUCT($W34:$W$60,$V34:$V$60)),"")</s:f>
        <s:v/>
      </s:c>
      <s:c r="T34" s="275" t="str">
        <s:f>IF(W34&lt;&gt;"",IF(E34&lt;&gt;"",E34,($I$9-SUM($T$25:T33))*V34*W34/SUMPRODUCT($W34:$W$60,$V34:$V$60)),"")</s:f>
        <s:v/>
      </s:c>
      <s:c r="U34" s="275" t="str">
        <s:f>IF(W34&lt;&gt;"",IF($I$12&lt;&gt;"",IF(G34&lt;&gt;"",G34,($I$9/$I$12-SUM($U$25:U33))*V34*W34/SUMPRODUCT($W34:$W$60,$V34:$V$60)),""),"")</s:f>
        <s:v/>
      </s:c>
      <s:c r="V34" s="276"/>
      <s:c r="W34" s="276"/>
      <s:c r="X34" s="277"/>
      <s:c r="Y34" s="277"/>
      <s:c r="Z34" s="278"/>
      <s:c r="AA34" s="278"/>
      <s:c r="AB34" s="278"/>
      <s:c r="AC34" s="278"/>
      <s:c r="AD34" s="278"/>
      <s:c r="AE34" s="278"/>
      <s:c r="AF34" s="278"/>
      <s:c r="AG34" s="278"/>
    </s:row>
    <s:row r="35">
      <s:c r="A35" s="95">
        <s:v>11</s:v>
      </s:c>
      <s:c r="B35" s="96"/>
      <s:c r="C35" s="279"/>
      <s:c r="D35" s="98"/>
      <s:c r="E35" s="99"/>
      <s:c r="F35" s="99" t="str">
        <s:f>IF(AND(E35&lt;&gt;"",E35&lt;&gt;0),D35/E35,"")</s:f>
        <s:v/>
      </s:c>
      <s:c r="G35" s="99"/>
      <s:c r="H35" s="99" t="str">
        <s:f>IF(AND(G35&lt;&gt;"",G35&lt;&gt;0),D35/G35,"")</s:f>
        <s:v/>
      </s:c>
      <s:c r="I35" s="99"/>
      <s:c r="J35" s="271" t="str">
        <s:f>IF(AND(G35&lt;&gt;"",G35&lt;&gt;0),E35/G35,"")</s:f>
        <s:v/>
      </s:c>
      <s:c r="K35" s="99"/>
      <s:c r="L35" s="99"/>
      <s:c r="M35" s="99"/>
      <s:c r="N35" s="100" t="str">
        <s:f>IF(AND(I35&lt;&gt;"",I35&lt;&gt;0),G35/I35,"")</s:f>
        <s:v/>
      </s:c>
      <s:c r="O35" s="101" t="e">
        <s:f>D35/P35</s:f>
        <s:v>#DIV/0!</s:v>
      </s:c>
      <s:c r="P35" s="102">
        <s:f>$I$8*V35*W35/SUMPRODUCT($W$25:$W$55,$V$25:$V$55)</s:f>
        <s:v>0</s:v>
      </s:c>
      <s:c r="Q35" s="103">
        <s:f>$I$9*V35*W35/SUMPRODUCT($W$25:$W$55,$V$25:$V$55)</s:f>
        <s:v>0</s:v>
      </s:c>
      <s:c r="R35" s="103">
        <s:f>IF($I$12="","",Q35/$I$12)</s:f>
        <s:v>0</s:v>
      </s:c>
      <s:c r="S35" s="102" t="str">
        <s:f>IF(W35&lt;&gt;"",IF(D35&lt;&gt;"",D35,($I$8-SUM($S$25:S34))*V35*W35/SUMPRODUCT($W35:$W$55,$V35:$V$55)),"")</s:f>
        <s:v/>
      </s:c>
      <s:c r="T35" s="103" t="str">
        <s:f>IF(W35&lt;&gt;"",IF(E35&lt;&gt;"",E35,($I$9-SUM($T$25:T34))*V35*W35/SUMPRODUCT($W35:$W$55,$V35:$V$55)),"")</s:f>
        <s:v/>
      </s:c>
      <s:c r="U35" s="103" t="str">
        <s:f>IF(W35&lt;&gt;"",IF($I$12&lt;&gt;"",IF(G35&lt;&gt;"",G35,($I$9/$I$12-SUM($U$25:U34))*V35*W35/SUMPRODUCT($W35:$W$55,$V35:$V$55)),""),"")</s:f>
        <s:v/>
      </s:c>
      <s:c r="V35" s="276"/>
      <s:c r="W35" s="276"/>
      <s:c r="X35" s="106"/>
      <s:c r="Y35" s="106"/>
      <s:c r="Z35" s="2"/>
      <s:c r="AA35" s="2"/>
      <s:c r="AB35" s="2"/>
      <s:c r="AC35" s="2"/>
      <s:c r="AD35" s="2"/>
      <s:c r="AE35" s="2"/>
      <s:c r="AF35" s="2"/>
      <s:c r="AG35" s="2"/>
    </s:row>
    <s:row r="36">
      <s:c r="A36" s="95">
        <s:v>12</s:v>
      </s:c>
      <s:c r="B36" s="96"/>
      <s:c r="C36" s="97"/>
      <s:c r="D36" s="98"/>
      <s:c r="E36" s="99"/>
      <s:c r="F36" s="99" t="str">
        <s:f>IF(AND(E36&lt;&gt;"",E36&lt;&gt;0),D36/E36,"")</s:f>
        <s:v/>
      </s:c>
      <s:c r="G36" s="99"/>
      <s:c r="H36" s="99" t="str">
        <s:f>IF(AND(G36&lt;&gt;"",G36&lt;&gt;0),D36/G36,"")</s:f>
        <s:v/>
      </s:c>
      <s:c r="I36" s="99"/>
      <s:c r="J36" s="271" t="str">
        <s:f>IF(AND(G36&lt;&gt;"",G36&lt;&gt;0),E36/G36,"")</s:f>
        <s:v/>
      </s:c>
      <s:c r="K36" s="99"/>
      <s:c r="L36" s="99"/>
      <s:c r="M36" s="99"/>
      <s:c r="N36" s="100" t="str">
        <s:f>IF(AND(I36&lt;&gt;"",I36&lt;&gt;0),G36/I36,"")</s:f>
        <s:v/>
      </s:c>
      <s:c r="O36" s="101" t="e">
        <s:f>D36/P36</s:f>
        <s:v>#DIV/0!</s:v>
      </s:c>
      <s:c r="P36" s="102">
        <s:f>$I$8*V36*W36/SUMPRODUCT($W$25:$W$55,$V$25:$V$55)</s:f>
        <s:v>0</s:v>
      </s:c>
      <s:c r="Q36" s="103">
        <s:f>$I$9*V36*W36/SUMPRODUCT($W$25:$W$55,$V$25:$V$55)</s:f>
        <s:v>0</s:v>
      </s:c>
      <s:c r="R36" s="103">
        <s:f>IF($I$12="","",Q36/$I$12)</s:f>
        <s:v>0</s:v>
      </s:c>
      <s:c r="S36" s="102" t="str">
        <s:f>IF(W36&lt;&gt;"",IF(D36&lt;&gt;"",D36,($I$8-SUM($S$25:S35))*V36*W36/SUMPRODUCT($W36:$W$55,$V36:$V$55)),"")</s:f>
        <s:v/>
      </s:c>
      <s:c r="T36" s="103" t="str">
        <s:f>IF(W36&lt;&gt;"",IF(E36&lt;&gt;"",E36,($I$9-SUM($T$25:T35))*V36*W36/SUMPRODUCT($W36:$W$55,$V36:$V$55)),"")</s:f>
        <s:v/>
      </s:c>
      <s:c r="U36" s="103" t="str">
        <s:f>IF(W36&lt;&gt;"",IF($I$12&lt;&gt;"",IF(G36&lt;&gt;"",G36,($I$9/$I$12-SUM($U$25:U35))*V36*W36/SUMPRODUCT($W36:$W$55,$V36:$V$55)),""),"")</s:f>
        <s:v/>
      </s:c>
      <s:c r="V36" s="276"/>
      <s:c r="W36" s="276"/>
      <s:c r="X36" s="106"/>
      <s:c r="Y36" s="106"/>
      <s:c r="Z36" s="2"/>
      <s:c r="AA36" s="2"/>
      <s:c r="AB36" s="2"/>
      <s:c r="AC36" s="2"/>
      <s:c r="AD36" s="2"/>
      <s:c r="AE36" s="2"/>
      <s:c r="AF36" s="2"/>
      <s:c r="AG36" s="2"/>
    </s:row>
    <s:row r="37">
      <s:c r="A37" s="95">
        <s:v>13</s:v>
      </s:c>
      <s:c r="B37" s="96"/>
      <s:c r="C37" s="279"/>
      <s:c r="D37" s="98"/>
      <s:c r="E37" s="99"/>
      <s:c r="F37" s="99" t="str">
        <s:f>IF(AND(E37&lt;&gt;"",E37&lt;&gt;0),D37/E37,"")</s:f>
        <s:v/>
      </s:c>
      <s:c r="G37" s="99"/>
      <s:c r="H37" s="99" t="str">
        <s:f>IF(AND(G37&lt;&gt;"",G37&lt;&gt;0),D37/G37,"")</s:f>
        <s:v/>
      </s:c>
      <s:c r="I37" s="99"/>
      <s:c r="J37" s="271" t="str">
        <s:f>IF(AND(G37&lt;&gt;"",G37&lt;&gt;0),E37/G37,"")</s:f>
        <s:v/>
      </s:c>
      <s:c r="K37" s="99"/>
      <s:c r="L37" s="99"/>
      <s:c r="M37" s="99"/>
      <s:c r="N37" s="100" t="str">
        <s:f>IF(AND(I37&lt;&gt;"",I37&lt;&gt;0),G37/I37,"")</s:f>
        <s:v/>
      </s:c>
      <s:c r="O37" s="101" t="e">
        <s:f>D37/P37</s:f>
        <s:v>#DIV/0!</s:v>
      </s:c>
      <s:c r="P37" s="102">
        <s:f>$I$8*V37*W37/SUMPRODUCT($W$25:$W$55,$V$25:$V$55)</s:f>
        <s:v>0</s:v>
      </s:c>
      <s:c r="Q37" s="103">
        <s:f>$I$9*V37*W37/SUMPRODUCT($W$25:$W$55,$V$25:$V$55)</s:f>
        <s:v>0</s:v>
      </s:c>
      <s:c r="R37" s="103">
        <s:f>IF($I$12="","",Q37/$I$12)</s:f>
        <s:v>0</s:v>
      </s:c>
      <s:c r="S37" s="102" t="str">
        <s:f>IF(W37&lt;&gt;"",IF(D37&lt;&gt;"",D37,($I$8-SUM($S$25:S36))*V37*W37/SUMPRODUCT($W37:$W$55,$V37:$V$55)),"")</s:f>
        <s:v/>
      </s:c>
      <s:c r="T37" s="103" t="str">
        <s:f>IF(W37&lt;&gt;"",IF(E37&lt;&gt;"",E37,($I$9-SUM($T$25:T36))*V37*W37/SUMPRODUCT($W37:$W$55,$V37:$V$55)),"")</s:f>
        <s:v/>
      </s:c>
      <s:c r="U37" s="103" t="str">
        <s:f>IF(W37&lt;&gt;"",IF($I$12&lt;&gt;"",IF(G37&lt;&gt;"",G37,($I$9/$I$12-SUM($U$25:U36))*V37*W37/SUMPRODUCT($W37:$W$55,$V37:$V$55)),""),"")</s:f>
        <s:v/>
      </s:c>
      <s:c r="V37" s="276"/>
      <s:c r="W37" s="276"/>
      <s:c r="X37" s="106"/>
      <s:c r="Y37" s="106"/>
      <s:c r="Z37" s="126"/>
      <s:c r="AA37" s="2"/>
      <s:c r="AB37" s="2"/>
      <s:c r="AC37" s="2"/>
      <s:c r="AD37" s="2"/>
      <s:c r="AE37" s="2"/>
      <s:c r="AF37" s="2"/>
      <s:c r="AG37" s="2"/>
    </s:row>
    <s:row r="38">
      <s:c r="A38" s="95">
        <s:v>14</s:v>
      </s:c>
      <s:c r="B38" s="96"/>
      <s:c r="C38" s="135"/>
      <s:c r="D38" s="98"/>
      <s:c r="E38" s="99"/>
      <s:c r="F38" s="99" t="str">
        <s:f>IF(AND(E38&lt;&gt;"",E38&lt;&gt;0),D38/E38,"")</s:f>
        <s:v/>
      </s:c>
      <s:c r="G38" s="99"/>
      <s:c r="H38" s="99" t="str">
        <s:f>IF(AND(G38&lt;&gt;"",G38&lt;&gt;0),D38/G38,"")</s:f>
        <s:v/>
      </s:c>
      <s:c r="I38" s="99"/>
      <s:c r="J38" s="271" t="str">
        <s:f>IF(AND(G38&lt;&gt;"",G38&lt;&gt;0),E38/G38,"")</s:f>
        <s:v/>
      </s:c>
      <s:c r="K38" s="99"/>
      <s:c r="L38" s="99"/>
      <s:c r="M38" s="99"/>
      <s:c r="N38" s="100" t="str">
        <s:f>IF(AND(I38&lt;&gt;"",I38&lt;&gt;0),G38/I38,"")</s:f>
        <s:v/>
      </s:c>
      <s:c r="O38" s="101" t="e">
        <s:f>D38/P38</s:f>
        <s:v>#DIV/0!</s:v>
      </s:c>
      <s:c r="P38" s="102">
        <s:f>$I$8*V38*W38/SUMPRODUCT($W$25:$W$55,$V$25:$V$55)</s:f>
        <s:v>0</s:v>
      </s:c>
      <s:c r="Q38" s="103">
        <s:f>$I$9*V38*W38/SUMPRODUCT($W$25:$W$55,$V$25:$V$55)</s:f>
        <s:v>0</s:v>
      </s:c>
      <s:c r="R38" s="103">
        <s:f>IF($I$12="","",Q38/$I$12)</s:f>
        <s:v>0</s:v>
      </s:c>
      <s:c r="S38" s="102" t="str">
        <s:f>IF(W38&lt;&gt;"",IF(D38&lt;&gt;"",D38,($I$8-SUM($S$25:S37))*V38*W38/SUMPRODUCT($W38:$W$55,$V38:$V$55)),"")</s:f>
        <s:v/>
      </s:c>
      <s:c r="T38" s="103" t="str">
        <s:f>IF(W38&lt;&gt;"",IF(E38&lt;&gt;"",E38,($I$9-SUM($T$25:T37))*V38*W38/SUMPRODUCT($W38:$W$55,$V38:$V$55)),"")</s:f>
        <s:v/>
      </s:c>
      <s:c r="U38" s="103" t="str">
        <s:f>IF(W38&lt;&gt;"",IF($I$12&lt;&gt;"",IF(G38&lt;&gt;"",G38,($I$9/$I$12-SUM($U$25:U37))*V38*W38/SUMPRODUCT($W38:$W$55,$V38:$V$55)),""),"")</s:f>
        <s:v/>
      </s:c>
      <s:c r="V38" s="276"/>
      <s:c r="W38" s="276"/>
      <s:c r="X38" s="106"/>
      <s:c r="Y38" s="106"/>
      <s:c r="Z38" s="126"/>
      <s:c r="AA38" s="2"/>
      <s:c r="AB38" s="2"/>
      <s:c r="AC38" s="2"/>
      <s:c r="AD38" s="2"/>
      <s:c r="AE38" s="2"/>
      <s:c r="AF38" s="2"/>
      <s:c r="AG38" s="2"/>
    </s:row>
    <s:row r="39" spans="1:33" s="268" customFormat="1">
      <s:c r="A39" s="269">
        <s:v>15</s:v>
      </s:c>
      <s:c r="B39" s="280"/>
      <s:c r="C39" s="281"/>
      <s:c r="D39" s="271"/>
      <s:c r="E39" s="282"/>
      <s:c r="F39" s="99" t="str">
        <s:f>IF(AND(E39&lt;&gt;"",E39&lt;&gt;0),D39/E39,"")</s:f>
        <s:v/>
      </s:c>
      <s:c r="G39" s="282"/>
      <s:c r="H39" s="99" t="str">
        <s:f>IF(AND(G39&lt;&gt;"",G39&lt;&gt;0),D39/G39,"")</s:f>
        <s:v/>
      </s:c>
      <s:c r="I39" s="282"/>
      <s:c r="J39" s="271" t="str">
        <s:f>IF(AND(G39&lt;&gt;"",G39&lt;&gt;0),E39/G39,"")</s:f>
        <s:v/>
      </s:c>
      <s:c r="K39" s="270"/>
      <s:c r="L39" s="270"/>
      <s:c r="M39" s="270"/>
      <s:c r="N39" s="272" t="str">
        <s:f>IF(AND(I39&lt;&gt;"",I39&lt;&gt;0),G39/I39,"")</s:f>
        <s:v/>
      </s:c>
      <s:c r="O39" s="273" t="e">
        <s:f>D39/P39</s:f>
        <s:v>#DIV/0!</s:v>
      </s:c>
      <s:c r="P39" s="274">
        <s:f>$I$8*V39*W39/SUMPRODUCT($W$25:$W$60,$V$25:$V$60)</s:f>
        <s:v>0</s:v>
      </s:c>
      <s:c r="Q39" s="275">
        <s:f>$I$9*V39*W39/SUMPRODUCT($W$25:$W$60,$V$25:$V$60)</s:f>
        <s:v>0</s:v>
      </s:c>
      <s:c r="R39" s="275">
        <s:f>IF($I$12="","",Q39/$I$12)</s:f>
        <s:v>0</s:v>
      </s:c>
      <s:c r="S39" s="274" t="str">
        <s:f>IF(W39&lt;&gt;"",IF(D39&lt;&gt;"",D39,($I$8-SUM($S$25:S38))*V39*W39/SUMPRODUCT($W39:$W$60,$V39:$V$60)),"")</s:f>
        <s:v/>
      </s:c>
      <s:c r="T39" s="275" t="str">
        <s:f>IF(W39&lt;&gt;"",IF(E39&lt;&gt;"",E39,($I$9-SUM($T$25:T38))*V39*W39/SUMPRODUCT($W39:$W$60,$V39:$V$60)),"")</s:f>
        <s:v/>
      </s:c>
      <s:c r="U39" s="275" t="str">
        <s:f>IF(W39&lt;&gt;"",IF($I$12&lt;&gt;"",IF(G39&lt;&gt;"",G39,($I$9/$I$12-SUM($U$25:U38))*V39*W39/SUMPRODUCT($W39:$W$60,$V39:$V$60)),""),"")</s:f>
        <s:v/>
      </s:c>
      <s:c r="V39" s="276"/>
      <s:c r="W39" s="276"/>
      <s:c r="X39" s="277"/>
      <s:c r="Y39" s="277"/>
      <s:c r="Z39" s="283"/>
      <s:c r="AA39" s="278"/>
      <s:c r="AB39" s="278"/>
      <s:c r="AC39" s="278"/>
      <s:c r="AD39" s="278"/>
      <s:c r="AE39" s="278"/>
      <s:c r="AF39" s="278"/>
      <s:c r="AG39" s="278"/>
    </s:row>
    <s:row r="40" spans="1:33" s="268" customFormat="1">
      <s:c r="A40" s="269">
        <s:v>16</s:v>
      </s:c>
      <s:c r="B40" s="280"/>
      <s:c r="C40" s="284"/>
      <s:c r="D40" s="271"/>
      <s:c r="E40" s="270"/>
      <s:c r="F40" s="99" t="str">
        <s:f>IF(AND(E40&lt;&gt;"",E40&lt;&gt;0),D40/E40,"")</s:f>
        <s:v/>
      </s:c>
      <s:c r="G40" s="270"/>
      <s:c r="H40" s="99" t="str">
        <s:f>IF(AND(G40&lt;&gt;"",G40&lt;&gt;0),D40/G40,"")</s:f>
        <s:v/>
      </s:c>
      <s:c r="I40" s="270"/>
      <s:c r="J40" s="271" t="str">
        <s:f>IF(AND(G40&lt;&gt;"",G40&lt;&gt;0),E40/G40,"")</s:f>
        <s:v/>
      </s:c>
      <s:c r="K40" s="270"/>
      <s:c r="L40" s="270"/>
      <s:c r="M40" s="270"/>
      <s:c r="N40" s="272" t="str">
        <s:f>IF(AND(I40&lt;&gt;"",I40&lt;&gt;0),G40/I40,"")</s:f>
        <s:v/>
      </s:c>
      <s:c r="O40" s="273" t="e">
        <s:f>D40/P40</s:f>
        <s:v>#DIV/0!</s:v>
      </s:c>
      <s:c r="P40" s="274">
        <s:f>$I$8*V40*W40/SUMPRODUCT($W$25:$W$60,$V$25:$V$60)</s:f>
        <s:v>0</s:v>
      </s:c>
      <s:c r="Q40" s="275">
        <s:f>$I$9*V40*W40/SUMPRODUCT($W$25:$W$60,$V$25:$V$60)</s:f>
        <s:v>0</s:v>
      </s:c>
      <s:c r="R40" s="275">
        <s:f>IF($I$12="","",Q40/$I$12)</s:f>
        <s:v>0</s:v>
      </s:c>
      <s:c r="S40" s="274" t="str">
        <s:f>IF(W40&lt;&gt;"",IF(D40&lt;&gt;"",D40,($I$8-SUM($S$25:S39))*V40*W40/SUMPRODUCT($W40:$W$60,$V40:$V$60)),"")</s:f>
        <s:v/>
      </s:c>
      <s:c r="T40" s="275" t="str">
        <s:f>IF(W40&lt;&gt;"",IF(E40&lt;&gt;"",E40,($I$9-SUM($T$25:T39))*V40*W40/SUMPRODUCT($W40:$W$60,$V40:$V$60)),"")</s:f>
        <s:v/>
      </s:c>
      <s:c r="U40" s="275" t="str">
        <s:f>IF(W40&lt;&gt;"",IF($I$12&lt;&gt;"",IF(G40&lt;&gt;"",G40,($I$9/$I$12-SUM($U$25:U39))*V40*W40/SUMPRODUCT($W40:$W$60,$V40:$V$60)),""),"")</s:f>
        <s:v/>
      </s:c>
      <s:c r="V40" s="276"/>
      <s:c r="W40" s="276"/>
      <s:c r="X40" s="277"/>
      <s:c r="Y40" s="277"/>
      <s:c r="Z40" s="283"/>
      <s:c r="AA40" s="278"/>
      <s:c r="AB40" s="278"/>
      <s:c r="AC40" s="278"/>
      <s:c r="AD40" s="278"/>
      <s:c r="AE40" s="278"/>
      <s:c r="AF40" s="278"/>
      <s:c r="AG40" s="278"/>
    </s:row>
    <s:row r="41" spans="1:33" s="268" customFormat="1">
      <s:c r="A41" s="269">
        <s:v>17</s:v>
      </s:c>
      <s:c r="B41" s="280"/>
      <s:c r="C41" s="281"/>
      <s:c r="D41" s="285"/>
      <s:c r="E41" s="270"/>
      <s:c r="F41" s="99" t="str">
        <s:f>IF(AND(E41&lt;&gt;"",E41&lt;&gt;0),D41/E41,"")</s:f>
        <s:v/>
      </s:c>
      <s:c r="G41" s="282"/>
      <s:c r="H41" s="99" t="str">
        <s:f>IF(AND(G41&lt;&gt;"",G41&lt;&gt;0),D41/G41,"")</s:f>
        <s:v/>
      </s:c>
      <s:c r="I41" s="282"/>
      <s:c r="J41" s="271" t="str">
        <s:f>IF(AND(G41&lt;&gt;"",G41&lt;&gt;0),E41/G41,"")</s:f>
        <s:v/>
      </s:c>
      <s:c r="K41" s="270"/>
      <s:c r="L41" s="270"/>
      <s:c r="M41" s="270"/>
      <s:c r="N41" s="272" t="str">
        <s:f>IF(AND(I41&lt;&gt;"",I41&lt;&gt;0),G41/I41,"")</s:f>
        <s:v/>
      </s:c>
      <s:c r="O41" s="273" t="e">
        <s:f>D41/P41</s:f>
        <s:v>#DIV/0!</s:v>
      </s:c>
      <s:c r="P41" s="274">
        <s:f>$I$8*V41*W41/SUMPRODUCT($W$25:$W$60,$V$25:$V$60)</s:f>
        <s:v>0</s:v>
      </s:c>
      <s:c r="Q41" s="275">
        <s:f>$I$9*V41*W41/SUMPRODUCT($W$25:$W$60,$V$25:$V$60)</s:f>
        <s:v>0</s:v>
      </s:c>
      <s:c r="R41" s="275">
        <s:f>IF($I$12="","",Q41/$I$12)</s:f>
        <s:v>0</s:v>
      </s:c>
      <s:c r="S41" s="274" t="str">
        <s:f>IF(W41&lt;&gt;"",IF(D41&lt;&gt;"",D41,($I$8-SUM($S$25:S40))*V41*W41/SUMPRODUCT($W41:$W$60,$V41:$V$60)),"")</s:f>
        <s:v/>
      </s:c>
      <s:c r="T41" s="275" t="str">
        <s:f>IF(W41&lt;&gt;"",IF(E41&lt;&gt;"",E41,($I$9-SUM($T$25:T40))*V41*W41/SUMPRODUCT($W41:$W$60,$V41:$V$60)),"")</s:f>
        <s:v/>
      </s:c>
      <s:c r="U41" s="275" t="str">
        <s:f>IF(W41&lt;&gt;"",IF($I$12&lt;&gt;"",IF(G41&lt;&gt;"",G41,($I$9/$I$12-SUM($U$25:U40))*V41*W41/SUMPRODUCT($W41:$W$60,$V41:$V$60)),""),"")</s:f>
        <s:v/>
      </s:c>
      <s:c r="V41" s="276"/>
      <s:c r="W41" s="276"/>
      <s:c r="X41" s="277"/>
      <s:c r="Y41" s="277"/>
      <s:c r="Z41" s="283"/>
      <s:c r="AA41" s="278"/>
      <s:c r="AB41" s="278"/>
      <s:c r="AC41" s="278"/>
      <s:c r="AD41" s="278"/>
      <s:c r="AE41" s="278"/>
      <s:c r="AF41" s="278"/>
      <s:c r="AG41" s="278"/>
    </s:row>
    <s:row r="42" spans="1:33" s="268" customFormat="1">
      <s:c r="A42" s="269">
        <s:v>18</s:v>
      </s:c>
      <s:c r="B42" s="280"/>
      <s:c r="C42" s="281"/>
      <s:c r="D42" s="286"/>
      <s:c r="E42" s="282"/>
      <s:c r="F42" s="270" t="str">
        <s:f>IF(AND(E42&lt;&gt;"",E42&lt;&gt;0),D42/E42,"")</s:f>
        <s:v/>
      </s:c>
      <s:c r="G42" s="270"/>
      <s:c r="H42" s="282" t="str">
        <s:f>IF(AND(G42&lt;&gt;"",G42&lt;&gt;0),D42/G42,"")</s:f>
        <s:v/>
      </s:c>
      <s:c r="I42" s="270"/>
      <s:c r="J42" s="271" t="str">
        <s:f>IF(AND(G42&lt;&gt;"",G42&lt;&gt;0),E42/G42,"")</s:f>
        <s:v/>
      </s:c>
      <s:c r="K42" s="270"/>
      <s:c r="L42" s="270"/>
      <s:c r="M42" s="270"/>
      <s:c r="N42" s="272" t="str">
        <s:f>IF(AND(I42&lt;&gt;"",I42&lt;&gt;0),G42/I42,"")</s:f>
        <s:v/>
      </s:c>
      <s:c r="O42" s="273" t="e">
        <s:f>D42/P42</s:f>
        <s:v>#DIV/0!</s:v>
      </s:c>
      <s:c r="P42" s="274">
        <s:f>$I$8*V42*W42/SUMPRODUCT($W$25:$W$60,$V$25:$V$60)</s:f>
        <s:v>0</s:v>
      </s:c>
      <s:c r="Q42" s="275">
        <s:f>$I$9*V42*W42/SUMPRODUCT($W$25:$W$60,$V$25:$V$60)</s:f>
        <s:v>0</s:v>
      </s:c>
      <s:c r="R42" s="275">
        <s:f>IF($I$12="","",Q42/$I$12)</s:f>
        <s:v>0</s:v>
      </s:c>
      <s:c r="S42" s="274" t="str">
        <s:f>IF(W42&lt;&gt;"",IF(D42&lt;&gt;"",D42,($I$8-SUM($S$25:S41))*V42*W42/SUMPRODUCT($W42:$W$60,$V42:$V$60)),"")</s:f>
        <s:v/>
      </s:c>
      <s:c r="T42" s="275" t="str">
        <s:f>IF(W42&lt;&gt;"",IF(E42&lt;&gt;"",E42,($I$9-SUM($T$25:T41))*V42*W42/SUMPRODUCT($W42:$W$60,$V42:$V$60)),"")</s:f>
        <s:v/>
      </s:c>
      <s:c r="U42" s="275" t="str">
        <s:f>IF(W42&lt;&gt;"",IF($I$12&lt;&gt;"",IF(G42&lt;&gt;"",G42,($I$9/$I$12-SUM($U$25:U41))*V42*W42/SUMPRODUCT($W42:$W$60,$V42:$V$60)),""),"")</s:f>
        <s:v/>
      </s:c>
      <s:c r="V42" s="276"/>
      <s:c r="W42" s="276"/>
      <s:c r="X42" s="277"/>
      <s:c r="Y42" s="277"/>
      <s:c r="Z42" s="278"/>
      <s:c r="AA42" s="278"/>
      <s:c r="AB42" s="278"/>
      <s:c r="AC42" s="278"/>
      <s:c r="AD42" s="278"/>
      <s:c r="AE42" s="278"/>
      <s:c r="AF42" s="278"/>
      <s:c r="AG42" s="278"/>
    </s:row>
    <s:row r="43" spans="1:33" s="268" customFormat="1" ht="15" customHeight="1">
      <s:c r="A43" s="269">
        <s:v>19</s:v>
      </s:c>
      <s:c r="B43" s="280"/>
      <s:c r="C43" s="281"/>
      <s:c r="D43" s="285"/>
      <s:c r="E43" s="287"/>
      <s:c r="F43" s="282" t="str">
        <s:f>IF(AND(E43&lt;&gt;"",E43&lt;&gt;0),D43/E43,"")</s:f>
        <s:v/>
      </s:c>
      <s:c r="G43" s="287"/>
      <s:c r="H43" s="287" t="str">
        <s:f>IF(AND(G43&lt;&gt;"",G43&lt;&gt;0),D43/G43,"")</s:f>
        <s:v/>
      </s:c>
      <s:c r="I43" s="287"/>
      <s:c r="J43" s="288" t="str">
        <s:f>IF(AND(G43&lt;&gt;"",G43&lt;&gt;0),E43/G43,"")</s:f>
        <s:v/>
      </s:c>
      <s:c r="K43" s="287"/>
      <s:c r="L43" s="287"/>
      <s:c r="M43" s="287"/>
      <s:c r="N43" s="289" t="str">
        <s:f>IF(AND(I43&lt;&gt;"",I43&lt;&gt;0),G43/I43,"")</s:f>
        <s:v/>
      </s:c>
      <s:c r="O43" s="290" t="e">
        <s:f>D43/P43</s:f>
        <s:v>#DIV/0!</s:v>
      </s:c>
      <s:c r="P43" s="291">
        <s:f>$I$8*V43*W43/SUMPRODUCT($W$25:$W$60,$V$25:$V$60)</s:f>
        <s:v>0</s:v>
      </s:c>
      <s:c r="Q43" s="292">
        <s:f>$I$9*V43*W43/SUMPRODUCT($W$25:$W$60,$V$25:$V$60)</s:f>
        <s:v>0</s:v>
      </s:c>
      <s:c r="R43" s="292">
        <s:f>IF($I$12="","",Q43/$I$12)</s:f>
        <s:v>0</s:v>
      </s:c>
      <s:c r="S43" s="291" t="str">
        <s:f>IF(W43&lt;&gt;"",IF(D43&lt;&gt;"",D43,($I$8-SUM($S$25:S42))*V43*W43/SUMPRODUCT($W43:$W$60,$V43:$V$60)),"")</s:f>
        <s:v/>
      </s:c>
      <s:c r="T43" s="292" t="str">
        <s:f>IF(W43&lt;&gt;"",IF(E43&lt;&gt;"",E43,($I$9-SUM($T$25:T42))*V43*W43/SUMPRODUCT($W43:$W$60,$V43:$V$60)),"")</s:f>
        <s:v/>
      </s:c>
      <s:c r="U43" s="292" t="str">
        <s:f>IF(W43&lt;&gt;"",IF($I$12&lt;&gt;"",IF(G43&lt;&gt;"",G43,($I$9/$I$12-SUM($U$25:U42))*V43*W43/SUMPRODUCT($W43:$W$60,$V43:$V$60)),""),"")</s:f>
        <s:v/>
      </s:c>
      <s:c r="V43" s="276"/>
      <s:c r="W43" s="276"/>
      <s:c r="X43" s="277"/>
      <s:c r="Y43" s="277"/>
      <s:c r="Z43" s="283"/>
      <s:c r="AA43" s="278"/>
      <s:c r="AB43" s="278"/>
      <s:c r="AC43" s="278"/>
      <s:c r="AD43" s="278"/>
      <s:c r="AE43" s="278"/>
      <s:c r="AF43" s="278"/>
      <s:c r="AG43" s="278"/>
    </s:row>
    <s:row r="44" spans="1:33" s="268" customFormat="1" ht="15" customHeight="1">
      <s:c r="A44" s="269">
        <s:v>20</s:v>
      </s:c>
      <s:c r="B44" s="280"/>
      <s:c r="C44" s="281"/>
      <s:c r="D44" s="293"/>
      <s:c r="E44" s="294"/>
      <s:c r="F44" s="294" t="str">
        <s:f>IF(AND(E44&lt;&gt;"",E44&lt;&gt;0),D44/E44,"")</s:f>
        <s:v/>
      </s:c>
      <s:c r="G44" s="294"/>
      <s:c r="H44" s="294" t="str">
        <s:f>IF(AND(G44&lt;&gt;"",G44&lt;&gt;0),D44/G44,"")</s:f>
        <s:v/>
      </s:c>
      <s:c r="I44" s="294"/>
      <s:c r="J44" s="295" t="str">
        <s:f>IF(AND(G44&lt;&gt;"",G44&lt;&gt;0),E44/G44,"")</s:f>
        <s:v/>
      </s:c>
      <s:c r="K44" s="294"/>
      <s:c r="L44" s="294"/>
      <s:c r="M44" s="294"/>
      <s:c r="N44" s="296" t="str">
        <s:f>IF(AND(I44&lt;&gt;"",I44&lt;&gt;0),G44/I44,"")</s:f>
        <s:v/>
      </s:c>
      <s:c r="O44" s="297" t="e">
        <s:f>D44/P44</s:f>
        <s:v>#DIV/0!</s:v>
      </s:c>
      <s:c r="P44" s="298">
        <s:f>$I$8*V44*W44/SUMPRODUCT($W$25:$W$60,$V$25:$V$60)</s:f>
        <s:v>0</s:v>
      </s:c>
      <s:c r="Q44" s="299">
        <s:f>$I$9*V44*W44/SUMPRODUCT($W$25:$W$60,$V$25:$V$60)</s:f>
        <s:v>0</s:v>
      </s:c>
      <s:c r="R44" s="299">
        <s:f>IF($I$12="","",Q44/$I$12)</s:f>
        <s:v>0</s:v>
      </s:c>
      <s:c r="S44" s="298" t="str">
        <s:f>IF(W44&lt;&gt;"",IF(D44&lt;&gt;"",D44,($I$8-SUM($S$25:S43))*V44*W44/SUMPRODUCT($W44:$W$60,$V44:$V$60)),"")</s:f>
        <s:v/>
      </s:c>
      <s:c r="T44" s="299" t="str">
        <s:f>IF(W44&lt;&gt;"",IF(E44&lt;&gt;"",E44,($I$9-SUM($T$25:T43))*V44*W44/SUMPRODUCT($W44:$W$60,$V44:$V$60)),"")</s:f>
        <s:v/>
      </s:c>
      <s:c r="U44" s="299" t="str">
        <s:f>IF(W44&lt;&gt;"",IF($I$12&lt;&gt;"",IF(G44&lt;&gt;"",G44,($I$9/$I$12-SUM($U$25:U43))*V44*W44/SUMPRODUCT($W44:$W$60,$V44:$V$60)),""),"")</s:f>
        <s:v/>
      </s:c>
      <s:c r="V44" s="276"/>
      <s:c r="W44" s="276"/>
      <s:c r="X44" s="277"/>
      <s:c r="Y44" s="277"/>
      <s:c r="Z44" s="283"/>
      <s:c r="AA44" s="278"/>
      <s:c r="AB44" s="278"/>
      <s:c r="AC44" s="278"/>
      <s:c r="AD44" s="278"/>
      <s:c r="AE44" s="278"/>
      <s:c r="AF44" s="278"/>
      <s:c r="AG44" s="278"/>
    </s:row>
    <s:row r="45" spans="1:33" s="268" customFormat="1" ht="15" customHeight="1">
      <s:c r="A45" s="269">
        <s:v>21</s:v>
      </s:c>
      <s:c r="B45" s="280"/>
      <s:c r="C45" s="284"/>
      <s:c r="D45" s="295"/>
      <s:c r="E45" s="294"/>
      <s:c r="F45" s="294" t="str">
        <s:f>IF(AND(E45&lt;&gt;"",E45&lt;&gt;0),D45/E45,"")</s:f>
        <s:v/>
      </s:c>
      <s:c r="G45" s="294"/>
      <s:c r="H45" s="294" t="str">
        <s:f>IF(AND(G45&lt;&gt;"",G45&lt;&gt;0),D45/G45,"")</s:f>
        <s:v/>
      </s:c>
      <s:c r="I45" s="294"/>
      <s:c r="J45" s="295" t="str">
        <s:f>IF(AND(G45&lt;&gt;"",G45&lt;&gt;0),E45/G45,"")</s:f>
        <s:v/>
      </s:c>
      <s:c r="K45" s="294"/>
      <s:c r="L45" s="294"/>
      <s:c r="M45" s="294"/>
      <s:c r="N45" s="296" t="str">
        <s:f>IF(AND(I45&lt;&gt;"",I45&lt;&gt;0),G45/I45,"")</s:f>
        <s:v/>
      </s:c>
      <s:c r="O45" s="297" t="e">
        <s:f>D45/P45</s:f>
        <s:v>#DIV/0!</s:v>
      </s:c>
      <s:c r="P45" s="298">
        <s:f>$I$8*V45*W45/SUMPRODUCT($W$25:$W$60,$V$25:$V$60)</s:f>
        <s:v>0</s:v>
      </s:c>
      <s:c r="Q45" s="299">
        <s:f>$I$9*V45*W45/SUMPRODUCT($W$25:$W$60,$V$25:$V$60)</s:f>
        <s:v>0</s:v>
      </s:c>
      <s:c r="R45" s="299">
        <s:f>IF($I$12="","",Q45/$I$12)</s:f>
        <s:v>0</s:v>
      </s:c>
      <s:c r="S45" s="298" t="str">
        <s:f>IF(W45&lt;&gt;"",IF(D45&lt;&gt;"",D45,($I$8-SUM($S$25:S44))*V45*W45/SUMPRODUCT($W45:$W$60,$V45:$V$60)),"")</s:f>
        <s:v/>
      </s:c>
      <s:c r="T45" s="299" t="str">
        <s:f>IF(W45&lt;&gt;"",IF(E45&lt;&gt;"",E45,($I$9-SUM($T$25:T44))*V45*W45/SUMPRODUCT($W45:$W$60,$V45:$V$60)),"")</s:f>
        <s:v/>
      </s:c>
      <s:c r="U45" s="299" t="str">
        <s:f>IF(W45&lt;&gt;"",IF($I$12&lt;&gt;"",IF(G45&lt;&gt;"",G45,($I$9/$I$12-SUM($U$25:U44))*V45*W45/SUMPRODUCT($W45:$W$60,$V45:$V$60)),""),"")</s:f>
        <s:v/>
      </s:c>
      <s:c r="V45" s="276"/>
      <s:c r="W45" s="276"/>
      <s:c r="X45" s="277"/>
      <s:c r="Y45" s="277"/>
      <s:c r="Z45" s="283"/>
      <s:c r="AA45" s="278"/>
      <s:c r="AB45" s="278"/>
      <s:c r="AC45" s="278"/>
      <s:c r="AD45" s="278"/>
      <s:c r="AE45" s="278"/>
      <s:c r="AF45" s="278"/>
      <s:c r="AG45" s="278"/>
    </s:row>
    <s:row r="46" spans="1:33" s="268" customFormat="1" ht="15" customHeight="1">
      <s:c r="A46" s="269">
        <s:v>22</s:v>
      </s:c>
      <s:c r="B46" s="280"/>
      <s:c r="C46" s="300"/>
      <s:c r="D46" s="295"/>
      <s:c r="E46" s="294"/>
      <s:c r="F46" s="294" t="str">
        <s:f>IF(AND(E46&lt;&gt;"",E46&lt;&gt;0),D46/E46,"")</s:f>
        <s:v/>
      </s:c>
      <s:c r="G46" s="294"/>
      <s:c r="H46" s="294" t="str">
        <s:f>IF(AND(G46&lt;&gt;"",G46&lt;&gt;0),D46/G46,"")</s:f>
        <s:v/>
      </s:c>
      <s:c r="I46" s="294"/>
      <s:c r="J46" s="295" t="str">
        <s:f>IF(AND(G46&lt;&gt;"",G46&lt;&gt;0),E46/G46,"")</s:f>
        <s:v/>
      </s:c>
      <s:c r="K46" s="294"/>
      <s:c r="L46" s="294"/>
      <s:c r="M46" s="294"/>
      <s:c r="N46" s="296" t="str">
        <s:f>IF(AND(I46&lt;&gt;"",I46&lt;&gt;0),G46/I46,"")</s:f>
        <s:v/>
      </s:c>
      <s:c r="O46" s="297" t="e">
        <s:f>D46/P46</s:f>
        <s:v>#DIV/0!</s:v>
      </s:c>
      <s:c r="P46" s="298">
        <s:f>$I$8*V46*W46/SUMPRODUCT($W$25:$W$60,$V$25:$V$60)</s:f>
        <s:v>0</s:v>
      </s:c>
      <s:c r="Q46" s="299">
        <s:f>$I$9*V46*W46/SUMPRODUCT($W$25:$W$60,$V$25:$V$60)</s:f>
        <s:v>0</s:v>
      </s:c>
      <s:c r="R46" s="299">
        <s:f>IF($I$12="","",Q46/$I$12)</s:f>
        <s:v>0</s:v>
      </s:c>
      <s:c r="S46" s="298" t="str">
        <s:f>IF(W46&lt;&gt;"",IF(D46&lt;&gt;"",D46,($I$8-SUM($S$25:S45))*V46*W46/SUMPRODUCT($W46:$W$60,$V46:$V$60)),"")</s:f>
        <s:v/>
      </s:c>
      <s:c r="T46" s="299" t="str">
        <s:f>IF(W46&lt;&gt;"",IF(E46&lt;&gt;"",E46,($I$9-SUM($T$25:T45))*V46*W46/SUMPRODUCT($W46:$W$60,$V46:$V$60)),"")</s:f>
        <s:v/>
      </s:c>
      <s:c r="U46" s="299" t="str">
        <s:f>IF(W46&lt;&gt;"",IF($I$12&lt;&gt;"",IF(G46&lt;&gt;"",G46,($I$9/$I$12-SUM($U$25:U45))*V46*W46/SUMPRODUCT($W46:$W$60,$V46:$V$60)),""),"")</s:f>
        <s:v/>
      </s:c>
      <s:c r="V46" s="276"/>
      <s:c r="W46" s="276"/>
      <s:c r="X46" s="277"/>
      <s:c r="Y46" s="277"/>
      <s:c r="Z46" s="283"/>
      <s:c r="AA46" s="278"/>
      <s:c r="AB46" s="278"/>
      <s:c r="AC46" s="278"/>
      <s:c r="AD46" s="278"/>
      <s:c r="AE46" s="278"/>
      <s:c r="AF46" s="278"/>
      <s:c r="AG46" s="278"/>
    </s:row>
    <s:row r="47" spans="1:33" s="268" customFormat="1" ht="15" customHeight="1">
      <s:c r="A47" s="269">
        <s:v>23</s:v>
      </s:c>
      <s:c r="B47" s="280"/>
      <s:c r="C47" s="284"/>
      <s:c r="D47" s="295"/>
      <s:c r="E47" s="294"/>
      <s:c r="F47" s="294" t="str">
        <s:f>IF(AND(E47&lt;&gt;"",E47&lt;&gt;0),D47/E47,"")</s:f>
        <s:v/>
      </s:c>
      <s:c r="G47" s="294"/>
      <s:c r="H47" s="294" t="str">
        <s:f>IF(AND(G47&lt;&gt;"",G47&lt;&gt;0),D47/G47,"")</s:f>
        <s:v/>
      </s:c>
      <s:c r="I47" s="294"/>
      <s:c r="J47" s="295" t="str">
        <s:f>IF(AND(G47&lt;&gt;"",G47&lt;&gt;0),E47/G47,"")</s:f>
        <s:v/>
      </s:c>
      <s:c r="K47" s="294"/>
      <s:c r="L47" s="294"/>
      <s:c r="M47" s="294"/>
      <s:c r="N47" s="296" t="str">
        <s:f>IF(AND(I47&lt;&gt;"",I47&lt;&gt;0),G47/I47,"")</s:f>
        <s:v/>
      </s:c>
      <s:c r="O47" s="297" t="e">
        <s:f>D47/P47</s:f>
        <s:v>#DIV/0!</s:v>
      </s:c>
      <s:c r="P47" s="298">
        <s:f>$I$8*V47*W47/SUMPRODUCT($W$25:$W$60,$V$25:$V$60)</s:f>
        <s:v>0</s:v>
      </s:c>
      <s:c r="Q47" s="299">
        <s:f>$I$9*V47*W47/SUMPRODUCT($W$25:$W$60,$V$25:$V$60)</s:f>
        <s:v>0</s:v>
      </s:c>
      <s:c r="R47" s="299">
        <s:f>IF($I$12="","",Q47/$I$12)</s:f>
        <s:v>0</s:v>
      </s:c>
      <s:c r="S47" s="298" t="str">
        <s:f>IF(W47&lt;&gt;"",IF(D47&lt;&gt;"",D47,($I$8-SUM($S$25:S46))*V47*W47/SUMPRODUCT($W47:$W$60,$V47:$V$60)),"")</s:f>
        <s:v/>
      </s:c>
      <s:c r="T47" s="299" t="str">
        <s:f>IF(W47&lt;&gt;"",IF(E47&lt;&gt;"",E47,($I$9-SUM($T$25:T46))*V47*W47/SUMPRODUCT($W47:$W$60,$V47:$V$60)),"")</s:f>
        <s:v/>
      </s:c>
      <s:c r="U47" s="299" t="str">
        <s:f>IF(W47&lt;&gt;"",IF($I$12&lt;&gt;"",IF(G47&lt;&gt;"",G47,($I$9/$I$12-SUM($U$25:U46))*V47*W47/SUMPRODUCT($W47:$W$60,$V47:$V$60)),""),"")</s:f>
        <s:v/>
      </s:c>
      <s:c r="V47" s="276"/>
      <s:c r="W47" s="301"/>
      <s:c r="X47" s="277"/>
      <s:c r="Y47" s="277"/>
      <s:c r="Z47" s="283"/>
      <s:c r="AA47" s="278"/>
      <s:c r="AB47" s="278"/>
      <s:c r="AC47" s="278"/>
      <s:c r="AD47" s="278"/>
      <s:c r="AE47" s="278"/>
      <s:c r="AF47" s="278"/>
      <s:c r="AG47" s="278"/>
    </s:row>
    <s:row r="48" spans="1:33" s="268" customFormat="1" ht="15" customHeight="1">
      <s:c r="A48" s="269">
        <s:v>24</s:v>
      </s:c>
      <s:c r="B48" s="280"/>
      <s:c r="C48" s="302"/>
      <s:c r="D48" s="295"/>
      <s:c r="E48" s="294"/>
      <s:c r="F48" s="294" t="str">
        <s:f>IF(AND(E48&lt;&gt;"",E48&lt;&gt;0),D48/E48,"")</s:f>
        <s:v/>
      </s:c>
      <s:c r="G48" s="294"/>
      <s:c r="H48" s="294" t="str">
        <s:f>IF(AND(G48&lt;&gt;"",G48&lt;&gt;0),D48/G48,"")</s:f>
        <s:v/>
      </s:c>
      <s:c r="I48" s="294"/>
      <s:c r="J48" s="295" t="str">
        <s:f>IF(AND(G48&lt;&gt;"",G48&lt;&gt;0),E48/G48,"")</s:f>
        <s:v/>
      </s:c>
      <s:c r="K48" s="294"/>
      <s:c r="L48" s="294"/>
      <s:c r="M48" s="294"/>
      <s:c r="N48" s="296" t="str">
        <s:f>IF(AND(I48&lt;&gt;"",I48&lt;&gt;0),G48/I48,"")</s:f>
        <s:v/>
      </s:c>
      <s:c r="O48" s="297" t="e">
        <s:f>D48/P48</s:f>
        <s:v>#DIV/0!</s:v>
      </s:c>
      <s:c r="P48" s="298">
        <s:f>$I$8*V48*W48/SUMPRODUCT($W$25:$W$60,$V$25:$V$60)</s:f>
        <s:v>0</s:v>
      </s:c>
      <s:c r="Q48" s="299">
        <s:f>$I$9*V48*W48/SUMPRODUCT($W$25:$W$60,$V$25:$V$60)</s:f>
        <s:v>0</s:v>
      </s:c>
      <s:c r="R48" s="299">
        <s:f>IF($I$12="","",Q48/$I$12)</s:f>
        <s:v>0</s:v>
      </s:c>
      <s:c r="S48" s="298" t="str">
        <s:f>IF(W48&lt;&gt;"",IF(D48&lt;&gt;"",D48,($I$8-SUM($S$25:S47))*V48*W48/SUMPRODUCT($W48:$W$60,$V48:$V$60)),"")</s:f>
        <s:v/>
      </s:c>
      <s:c r="T48" s="299" t="str">
        <s:f>IF(W48&lt;&gt;"",IF(E48&lt;&gt;"",E48,($I$9-SUM($T$25:T47))*V48*W48/SUMPRODUCT($W48:$W$60,$V48:$V$60)),"")</s:f>
        <s:v/>
      </s:c>
      <s:c r="U48" s="299" t="str">
        <s:f>IF(W48&lt;&gt;"",IF($I$12&lt;&gt;"",IF(G48&lt;&gt;"",G48,($I$9/$I$12-SUM($U$25:U47))*V48*W48/SUMPRODUCT($W48:$W$60,$V48:$V$60)),""),"")</s:f>
        <s:v/>
      </s:c>
      <s:c r="V48" s="276"/>
      <s:c r="W48" s="301"/>
      <s:c r="X48" s="277"/>
      <s:c r="Y48" s="277"/>
      <s:c r="Z48" s="283"/>
      <s:c r="AA48" s="278"/>
      <s:c r="AB48" s="278"/>
      <s:c r="AC48" s="278"/>
      <s:c r="AD48" s="278"/>
      <s:c r="AE48" s="278"/>
      <s:c r="AF48" s="278"/>
      <s:c r="AG48" s="278"/>
    </s:row>
    <s:row r="49" spans="1:33" s="268" customFormat="1" ht="15" customHeight="1">
      <s:c r="A49" s="269">
        <s:v>25</s:v>
      </s:c>
      <s:c r="B49" s="280">
        <s:v>45772</s:v>
      </s:c>
      <s:c r="C49" s="302"/>
      <s:c r="D49" s="295">
        <s:v>8500</s:v>
      </s:c>
      <s:c r="E49" s="294">
        <s:v>1</s:v>
      </s:c>
      <s:c r="F49" s="294">
        <s:f>IF(AND(E49&lt;&gt;"",E49&lt;&gt;0),D49/E49,"")</s:f>
        <s:v>8500</s:v>
      </s:c>
      <s:c r="G49" s="294"/>
      <s:c r="H49" s="294" t="str">
        <s:f>IF(AND(G49&lt;&gt;"",G49&lt;&gt;0),D49/G49,"")</s:f>
        <s:v/>
      </s:c>
      <s:c r="I49" s="294"/>
      <s:c r="J49" s="295" t="str">
        <s:f>IF(AND(G49&lt;&gt;"",G49&lt;&gt;0),E49/G49,"")</s:f>
        <s:v/>
      </s:c>
      <s:c r="K49" s="294"/>
      <s:c r="L49" s="294">
        <s:v>8500</s:v>
      </s:c>
      <s:c r="M49" s="294"/>
      <s:c r="N49" s="296" t="str">
        <s:f>IF(AND(I49&lt;&gt;"",I49&lt;&gt;0),G49/I49,"")</s:f>
        <s:v/>
      </s:c>
      <s:c r="O49" s="297" t="e">
        <s:f>D49/P49</s:f>
        <s:v>#DIV/0!</s:v>
      </s:c>
      <s:c r="P49" s="298">
        <s:f>$I$8*V49*W49/SUMPRODUCT($W$25:$W$60,$V$25:$V$60)</s:f>
        <s:v>0</s:v>
      </s:c>
      <s:c r="Q49" s="299">
        <s:f>$I$9*V49*W49/SUMPRODUCT($W$25:$W$60,$V$25:$V$60)</s:f>
        <s:v>0</s:v>
      </s:c>
      <s:c r="R49" s="299">
        <s:f>IF($I$12="","",Q49/$I$12)</s:f>
        <s:v>0</s:v>
      </s:c>
      <s:c r="S49" s="298" t="str">
        <s:f>IF(W49&lt;&gt;"",IF(D49&lt;&gt;"",D49,($I$8-SUM($S$25:S48))*V49*W49/SUMPRODUCT($W49:$W$60,$V49:$V$60)),"")</s:f>
        <s:v/>
      </s:c>
      <s:c r="T49" s="299" t="str">
        <s:f>IF(W49&lt;&gt;"",IF(E49&lt;&gt;"",E49,($I$9-SUM($T$25:T48))*V49*W49/SUMPRODUCT($W49:$W$60,$V49:$V$60)),"")</s:f>
        <s:v/>
      </s:c>
      <s:c r="U49" s="299" t="str">
        <s:f>IF(W49&lt;&gt;"",IF($I$12&lt;&gt;"",IF(G49&lt;&gt;"",G49,($I$9/$I$12-SUM($U$25:U48))*V49*W49/SUMPRODUCT($W49:$W$60,$V49:$V$60)),""),"")</s:f>
        <s:v/>
      </s:c>
      <s:c r="V49" s="303"/>
      <s:c r="W49" s="301"/>
      <s:c r="X49" s="277"/>
      <s:c r="Y49" s="277"/>
      <s:c r="Z49" s="283"/>
      <s:c r="AA49" s="278"/>
      <s:c r="AB49" s="278"/>
      <s:c r="AC49" s="278"/>
      <s:c r="AD49" s="278"/>
      <s:c r="AE49" s="278"/>
      <s:c r="AF49" s="278"/>
      <s:c r="AG49" s="278"/>
    </s:row>
    <s:row r="50" spans="1:33" ht="15" customHeight="1">
      <s:c r="B50" s="623" t="s">
        <s:v>58</s:v>
      </s:c>
      <s:c r="C50" s="623"/>
      <s:c r="D50" s="129">
        <s:f>SUM(D25:D49)</s:f>
        <s:v>240775</s:v>
      </s:c>
      <s:c r="E50" s="129">
        <s:f>SUM(E25:E49)</s:f>
        <s:v>51</s:v>
      </s:c>
      <s:c r="F50" s="129">
        <s:f>IF(AND(E50&lt;&gt;"",E50&lt;&gt;0),D50/E50,"")</s:f>
        <s:v>4721.0784313725489</s:v>
      </s:c>
      <s:c r="G50" s="129">
        <s:f>SUM(G25:G49)</s:f>
        <s:v>27</s:v>
      </s:c>
      <s:c r="H50" s="129">
        <s:f>IF(AND(G50&lt;&gt;"",G50&lt;&gt;0),D50/G50,"")</s:f>
        <s:v>8917.5925925925931</s:v>
      </s:c>
      <s:c r="I50" s="129">
        <s:f>SUM(I25:I49)</s:f>
        <s:v>160</s:v>
      </s:c>
      <s:c r="J50" s="128">
        <s:f>IF(AND(G50&lt;&gt;"",G50&lt;&gt;0),E50/G50,"")</s:f>
        <s:v>1.8888888888888888</s:v>
      </s:c>
      <s:c r="K50" s="129">
        <s:f>SUM(K25:K49)</s:f>
        <s:v>15992</s:v>
      </s:c>
      <s:c r="L50" s="129">
        <s:f>SUM(L25:L49)</s:f>
        <s:v>64232</s:v>
      </s:c>
      <s:c r="M50" s="129">
        <s:f>SUM(M25:M49)</s:f>
        <s:v>0</s:v>
      </s:c>
      <s:c r="N50" s="130">
        <s:f>IF(AND(I50&lt;&gt;"",I50&lt;&gt;0),G50/I50,"")</s:f>
        <s:v>0.16875000000000001</s:v>
      </s:c>
      <s:c r="O50" s="131">
        <s:f>D50/P50</s:f>
        <s:v>0.45166905568093285</s:v>
      </s:c>
      <s:c r="P50" s="132">
        <s:f>SUM(P25:P49)</s:f>
        <s:v>533078.36118418479</s:v>
      </s:c>
      <s:c r="Q50" s="132">
        <s:f>SUM(Q25:Q49)</s:f>
        <s:v>107.39462927100497</s:v>
      </s:c>
      <s:c r="R50" s="132">
        <s:f>SUM(R25:R49)</s:f>
        <s:v>60.505440266104515</s:v>
      </s:c>
      <s:c r="S50" s="132">
        <s:f>SUM(S25:S49)</s:f>
        <s:v>266734</s:v>
      </s:c>
      <s:c r="T50" s="132">
        <s:f>SUM(T25:T49)</s:f>
        <s:v>54</s:v>
      </s:c>
      <s:c r="U50" s="132">
        <s:f>SUM(U25:U49)</s:f>
        <s:v>31</s:v>
      </s:c>
      <s:c r="V50" s="133"/>
      <s:c r="W50" s="133"/>
    </s:row>
    <s:row r="51">
      <s:c r="B51" s="135"/>
      <s:c r="C51" s="136"/>
      <s:c r="D51" s="137">
        <s:f>SUMIF(D25:D49,"",P25:P49)+D50</s:f>
        <s:v>240775</s:v>
      </s:c>
      <s:c r="E51" s="138"/>
      <s:c r="F51" s="136"/>
      <s:c r="G51" s="136"/>
      <s:c r="H51" s="139"/>
      <s:c r="I51" s="266"/>
      <s:c r="J51" s="139"/>
      <s:c r="L51" s="141"/>
      <s:c r="M51" s="138"/>
      <s:c r="N51" s="141"/>
      <s:c r="O51" s="141"/>
      <s:c r="P51" s="141"/>
      <s:c r="Q51" s="142"/>
    </s:row>
    <s:row r="52">
      <s:c r="D52" s="251"/>
    </s:row>
    <s:row r="54">
      <s:c r="D54" s="251"/>
    </s:row>
    <s:row r="55">
      <s:c r="D55" s="251"/>
    </s:row>
  </s:sheetData>
  <s:mergeCells count="28">
    <s:mergeCell ref="P22:W22"/>
    <s:mergeCell ref="B50:C50"/>
    <s:mergeCell ref="F18:H18"/>
    <s:mergeCell ref="F19:H19"/>
    <s:mergeCell ref="F20:H20"/>
    <s:mergeCell ref="B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146" priority="200" operator="lessThan">
      <s:formula>0</s:formula>
    </s:cfRule>
    <s:cfRule type="cellIs" dxfId="145" priority="198" operator="greaterThan">
      <s:formula>0</s:formula>
    </s:cfRule>
  </s:conditionalFormatting>
  <s:conditionalFormatting sqref="J26:J43">
    <s:cfRule type="cellIs" dxfId="144" priority="10" operator="lessThan">
      <s:formula>$I$12</s:formula>
    </s:cfRule>
  </s:conditionalFormatting>
  <s:conditionalFormatting sqref="J26:J49">
    <s:cfRule type="cellIs" dxfId="143" priority="11" operator="greaterThan">
      <s:formula>$I$12</s:formula>
    </s:cfRule>
  </s:conditionalFormatting>
  <s:conditionalFormatting sqref="J44:J49">
    <s:cfRule type="cellIs" dxfId="142" priority="207" operator="lessThan">
      <s:formula>$I$12</s:formula>
    </s:cfRule>
  </s:conditionalFormatting>
  <s:conditionalFormatting sqref="K10:K12 K15">
    <s:cfRule type="cellIs" dxfId="141" priority="197" operator="greaterThan">
      <s:formula>1</s:formula>
    </s:cfRule>
    <s:cfRule type="cellIs" dxfId="140" priority="201" operator="lessThan">
      <s:formula>1</s:formula>
    </s:cfRule>
  </s:conditionalFormatting>
  <s:conditionalFormatting sqref="K13">
    <s:cfRule type="cellIs" dxfId="139" priority="193" operator="lessThan">
      <s:formula>$K$14</s:formula>
    </s:cfRule>
    <s:cfRule type="cellIs" dxfId="138" priority="194" operator="greaterThan">
      <s:formula>$K$14</s:formula>
    </s:cfRule>
  </s:conditionalFormatting>
  <s:conditionalFormatting sqref="M8:M15">
    <s:cfRule type="cellIs" dxfId="137" priority="195" operator="lessThan">
      <s:formula>1</s:formula>
    </s:cfRule>
    <s:cfRule type="cellIs" dxfId="136" priority="196" operator="greaterThan">
      <s:formula>1</s:formula>
    </s:cfRule>
  </s:conditionalFormatting>
  <s:conditionalFormatting sqref="N26:N43">
    <s:cfRule type="cellIs" dxfId="135" priority="7" operator="between">
      <s:formula>0.2</s:formula>
      <s:formula>0.25</s:formula>
    </s:cfRule>
  </s:conditionalFormatting>
  <s:conditionalFormatting sqref="N26:N49">
    <s:cfRule type="cellIs" dxfId="134" priority="8" operator="greaterThanOrEqual">
      <s:formula>0.25</s:formula>
    </s:cfRule>
    <s:cfRule type="cellIs" dxfId="133" priority="9" operator="lessThan">
      <s:formula>0.2</s:formula>
    </s:cfRule>
  </s:conditionalFormatting>
  <s:conditionalFormatting sqref="N44:N49">
    <s:cfRule type="cellIs" dxfId="132" priority="208" operator="between">
      <s:formula>0.2</s:formula>
      <s:formula>0.25</s:formula>
    </s:cfRule>
  </s:conditionalFormatting>
  <s:conditionalFormatting sqref="O26:O43">
    <s:cfRule type="cellIs" dxfId="131" priority="1" operator="between">
      <s:formula>0.9001</s:formula>
      <s:formula>0.9999</s:formula>
    </s:cfRule>
    <s:cfRule type="cellIs" dxfId="130" priority="5" operator="between">
      <s:formula>0.85</s:formula>
      <s:formula>1</s:formula>
    </s:cfRule>
    <s:cfRule type="cellIs" dxfId="129" priority="2" operator="lessThan">
      <s:formula>0.9</s:formula>
    </s:cfRule>
  </s:conditionalFormatting>
  <s:conditionalFormatting sqref="O26:O49">
    <s:cfRule type="cellIs" dxfId="128" priority="6" operator="between">
      <s:formula>0.01</s:formula>
      <s:formula>0.99</s:formula>
    </s:cfRule>
    <s:cfRule type="cellIs" dxfId="127" priority="4" operator="greaterThan">
      <s:formula>100</s:formula>
    </s:cfRule>
    <s:cfRule type="cellIs" dxfId="126" priority="3" operator="greaterThan">
      <s:formula>1</s:formula>
    </s:cfRule>
  </s:conditionalFormatting>
  <s:conditionalFormatting sqref="O44:O49">
    <s:cfRule type="cellIs" dxfId="125" priority="209" operator="between">
      <s:formula>0.85</s:formula>
      <s:formula>1</s:formula>
    </s:cfRule>
    <s:cfRule type="cellIs" dxfId="124" priority="210" operator="lessThan">
      <s:formula>0.9</s:formula>
    </s:cfRule>
    <s:cfRule type="cellIs" dxfId="123" priority="211" operator="between">
      <s:formula>0.9001</s:formula>
      <s:formula>0.9999</s:formula>
    </s:cfRule>
  </s:conditionalFormatting>
  <s:conditionalFormatting sqref="P10:Q10">
    <s:cfRule type="cellIs" dxfId="122" priority="199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6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500-000000000000}">
  <s:sheetPr>
    <s:pageSetUpPr fitToPage="1"/>
  </s:sheetPr>
  <s:dimension ref="A1:IU53"/>
  <s:sheetViews>
    <s:sheetView showZeros="0" tabSelected="0" topLeftCell="A5" workbookViewId="0">
      <s:pane xSplit="3" topLeftCell="D1" activePane="topRight" state="frozen"/>
      <s:selection activeCell="G26" sqref="G26"/>
      <s:selection pane="topRight" activeCell="A5" sqref="A5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84">
        <s:f ca="1">TODAY()-1</s:f>
        <s:v>46138</s:v>
      </s:c>
      <s:c r="C1" s="684"/>
      <s:c r="D1" s="11"/>
      <s:c r="E1" s="11"/>
      <s:c r="F1" s="12"/>
      <s:c r="G1" s="12"/>
      <s:c r="H1" s="12"/>
      <s:c r="I1" s="12"/>
      <s:c r="J1" s="225"/>
      <s:c r="K1" s="225"/>
      <s:c r="L1" s="225"/>
      <s:c r="M1" s="225"/>
      <s:c r="N1" s="225"/>
      <s:c r="O1" s="225"/>
      <s:c r="P1" s="225"/>
      <s:c r="Q1" s="685"/>
      <s:c r="R1" s="685"/>
      <s:c r="S1" s="685"/>
      <s:c r="T1" s="685"/>
      <s:c r="U1" s="12"/>
      <s:c r="V1" s="12"/>
      <s:c r="W1" s="12"/>
    </s:row>
    <s:row r="2" spans="2:23" ht="21.75" customHeight="1">
      <s:c r="B2" s="686" t="s">
        <s:v>0</s:v>
      </s:c>
      <s:c r="C2" s="686"/>
      <s:c r="D2" s="11"/>
      <s:c r="E2" s="11"/>
      <s:c r="F2" s="12"/>
      <s:c r="G2" s="12"/>
      <s:c r="H2" s="12"/>
      <s:c r="I2" s="12"/>
      <s:c r="J2" s="687" t="s">
        <s:v>70</s:v>
      </s:c>
      <s:c r="K2" s="687"/>
      <s:c r="L2" s="687"/>
      <s:c r="M2" s="687"/>
      <s:c r="N2" s="687"/>
      <s:c r="O2" s="687"/>
      <s:c r="P2" s="687"/>
      <s:c r="Q2" s="685"/>
      <s:c r="R2" s="685"/>
      <s:c r="S2" s="685"/>
      <s:c r="T2" s="685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88" t="str">
        <s:f>График!B27</s:f>
        <s:v>Афанасьева Алевтина</s:v>
      </s:c>
      <s:c r="K3" s="689"/>
      <s:c r="L3" s="689"/>
      <s:c r="M3" s="689"/>
      <s:c r="N3" s="690"/>
      <s:c r="O3" s="225"/>
      <s:c r="P3" s="226"/>
      <s:c r="Q3" s="685"/>
      <s:c r="R3" s="685"/>
      <s:c r="S3" s="685"/>
      <s:c r="T3" s="685"/>
      <s:c r="U3" s="12"/>
      <s:c r="V3" s="12"/>
      <s:c r="W3" s="12"/>
    </s:row>
    <s:row r="4" spans="2:23" ht="15" customHeight="1">
      <s:c r="B4" s="11"/>
      <s:c r="C4" s="694">
        <s:f>I8-D48</s:f>
        <s:v>188233.73473684213</s:v>
      </s:c>
      <s:c r="D4" s="695"/>
      <s:c r="E4" s="227">
        <s:f>IF(I8&lt;&gt;0,C4/I8,0)</s:f>
        <s:v>0.75374978848713114</s:v>
      </s:c>
      <s:c r="F4" s="12"/>
      <s:c r="G4" s="12"/>
      <s:c r="H4" s="12"/>
      <s:c r="I4" s="12"/>
      <s:c r="J4" s="691"/>
      <s:c r="K4" s="692"/>
      <s:c r="L4" s="692"/>
      <s:c r="M4" s="692"/>
      <s:c r="N4" s="693"/>
      <s:c r="O4" s="12"/>
      <s:c r="P4" s="12"/>
      <s:c r="Q4" s="685"/>
      <s:c r="R4" s="685"/>
      <s:c r="S4" s="685"/>
      <s:c r="T4" s="685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96"/>
      <s:c r="K5" s="696"/>
      <s:c r="L5" s="696"/>
      <s:c r="M5" s="696"/>
      <s:c r="N5" s="696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28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28"/>
      <s:c r="C7" s="12"/>
      <s:c r="D7" s="12"/>
      <s:c r="E7" s="12"/>
      <s:c r="F7" s="603" t="s">
        <s:v>3</s:v>
      </s:c>
      <s:c r="G7" s="604"/>
      <s:c r="H7" s="605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6" t="s">
        <s:v>11</s:v>
      </s:c>
      <s:c r="Q7" s="607"/>
      <s:c r="R7" s="21"/>
      <s:c r="S7" s="21"/>
      <s:c r="T7" s="12"/>
      <s:c r="U7" s="12"/>
      <s:c r="V7" s="12"/>
      <s:c r="W7" s="12"/>
    </s:row>
    <s:row r="8" spans="2:23" ht="15.75" customHeight="1">
      <s:c r="B8" s="228"/>
      <s:c r="C8" s="12"/>
      <s:c r="D8" s="12"/>
      <s:c r="E8" s="12"/>
      <s:c r="F8" s="608" t="s">
        <s:v>12</s:v>
      </s:c>
      <s:c r="G8" s="609"/>
      <s:c r="H8" s="610"/>
      <s:c r="I8" s="229">
        <s:f>'Ялта, Ленина, 18'!I8/График!AJ31*График!AJ27</s:f>
        <s:v>249729.73473684213</s:v>
      </s:c>
      <s:c r="J8" s="230">
        <s:f>D48</s:f>
        <s:v>61496</s:v>
      </s:c>
      <s:c r="K8" s="304">
        <s:f>IF(AND(I8&lt;&gt;"",I8&lt;&gt;0,J8&lt;&gt;""),J8/I8,"")</s:f>
        <s:v>0.24625021151286883</s:v>
      </s:c>
      <s:c r="L8" s="232">
        <s:f>IF(SUMIF($D$25:$D$47,"&gt;=0",$P$25:$P$47)&lt;&gt;0,I8*D48/SUMIF($D$25:$D$47,"&gt;=0",$P$25:$P$47),0)</s:f>
        <s:v>115019.18181263917</s:v>
      </s:c>
      <s:c r="M8" s="32">
        <s:f>IF(AND(I8&lt;&gt;"",I8&lt;&gt;0,L8&lt;&gt;"",L8&lt;&gt;0),L8/I8,"")</s:f>
        <s:v>0.4605746365519629</s:v>
      </s:c>
      <s:c r="N8" s="35">
        <s:f>IF(AND(J8&lt;&gt;0,J8&lt;&gt;"",I8&lt;&gt;0,I8&lt;&gt;""),L8-I8,"")</s:f>
        <s:v>-134710.55292420296</s:v>
      </s:c>
      <s:c r="O8" s="34"/>
      <s:c r="P8" s="35" t="str">
        <s:f>IF(AND(O8&lt;&gt;"",O8&lt;&gt;0,L8&lt;&gt;"",L8&lt;&gt;0),-O8+L8,"")</s:f>
        <s:v/>
      </s:c>
      <s:c r="Q8" s="36" t="str">
        <s:f>IF(AND(P8&lt;&gt;"",P8&lt;&gt;0,O8&lt;&gt;0,O8&lt;&gt;""),P8/O8,"")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28"/>
      <s:c r="C9" s="12"/>
      <s:c r="D9" s="12"/>
      <s:c r="E9" s="12"/>
      <s:c r="F9" s="611" t="s">
        <s:v>13</s:v>
      </s:c>
      <s:c r="G9" s="612"/>
      <s:c r="H9" s="613"/>
      <s:c r="I9" s="38">
        <s:f>I8/I11</s:f>
        <s:v>50.348736842105268</s:v>
      </s:c>
      <s:c r="J9" s="39">
        <s:f>E48</s:f>
        <s:v>15</s:v>
      </s:c>
      <s:c r="K9" s="305">
        <s:f>IF(AND(I9&lt;&gt;"",I9&lt;&gt;0,J9&lt;&gt;""),J9/I9,"")</s:f>
        <s:v>0.29792207194870302</s:v>
      </s:c>
      <s:c r="L9" s="234">
        <s:f>IF(SUMIF($E$25:$E$47,"&gt;=0",$Q$25:$Q$47)&lt;&gt;0,I9*E48/SUMIF($E$25:$E$47,"&gt;=0",$Q$25:$Q$47),0)</s:f>
        <s:v>28.055283712592491</s:v>
      </s:c>
      <s:c r="M9" s="42">
        <s:f>IF(AND(I9&lt;&gt;"",I9&lt;&gt;0,L9&lt;&gt;"",L9&lt;&gt;0),L9/I9,"")</s:f>
        <s:v>0.55721921685095044</s:v>
      </s:c>
      <s:c r="N9" s="43">
        <s:f>IF(AND(J9&lt;&gt;0,J9&lt;&gt;"",I9&lt;&gt;0,I9&lt;&gt;""),L9-I9,"")</s:f>
        <s:v>-22.293453129512777</s:v>
      </s:c>
      <s:c r="O9" s="44" t="e">
        <s:f>O8/O11</s:f>
        <s:v>#DIV/0!</s:v>
      </s:c>
      <s:c r="P9" s="43" t="e">
        <s:f>IF(AND(O9&lt;&gt;"",O9&lt;&gt;0,L9&lt;&gt;"",L9&lt;&gt;0),-O9+L9,"")</s:f>
        <s:v>#DIV/0!</s:v>
      </s:c>
      <s:c r="Q9" s="45" t="e">
        <s:f>IF(AND(P9&lt;&gt;"",P9&lt;&gt;0,O9&lt;&gt;0,O9&lt;&gt;""),P9/O9,"")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28"/>
      <s:c r="C10" s="12"/>
      <s:c r="D10" s="12"/>
      <s:c r="E10" s="12"/>
      <s:c r="F10" s="608" t="s">
        <s:v>14</s:v>
      </s:c>
      <s:c r="G10" s="609"/>
      <s:c r="H10" s="610"/>
      <s:c r="I10" s="50">
        <s:f>I11*I12</s:f>
        <s:v>8779.2000000000007</s:v>
      </s:c>
      <s:c r="J10" s="236">
        <s:f>H48</s:f>
        <s:v>5590.545454545455</s:v>
      </s:c>
      <s:c r="K10" s="306">
        <s:f>IF(AND(I10&lt;&gt;"",I10&lt;&gt;0,J10&lt;&gt;""),J10/I10,"")</s:f>
        <s:v>0.63679440661398012</s:v>
      </s:c>
      <s:c r="L10" s="234">
        <s:f>J10</s:f>
        <s:v>5590.545454545455</s:v>
      </s:c>
      <s:c r="M10" s="48">
        <s:f>IF(AND(I10&lt;&gt;"",I10&lt;&gt;0,L10&lt;&gt;"",L10&lt;&gt;0),L10/I10,"")</s:f>
        <s:v>0.63679440661398012</s:v>
      </s:c>
      <s:c r="N10" s="49">
        <s:f>IF(AND(J10&lt;&gt;0,J10&lt;&gt;"",I10&lt;&gt;0,I10&lt;&gt;""),L10-I10,"")</s:f>
        <s:v>-3188.6545454545458</s:v>
      </s:c>
      <s:c r="O10" s="50">
        <s:f>O11*O12</s:f>
        <s:v>0</s:v>
      </s:c>
      <s:c r="P10" s="49" t="str">
        <s:f>IF(AND(O10&lt;&gt;"",O10&lt;&gt;0,L10&lt;&gt;"",L10&lt;&gt;0),-O10+L10,"")</s:f>
        <s:v/>
      </s:c>
      <s:c r="Q10" s="51" t="str">
        <s:f>IF(AND(P10&lt;&gt;"",P10&lt;&gt;0,O10&lt;&gt;0,O10&lt;&gt;""),P10/O10,"")</s:f>
        <s:v/>
      </s:c>
      <s:c r="R10" s="21"/>
      <s:c r="S10" s="618" t="s">
        <s:v>15</s:v>
      </s:c>
      <s:c r="T10" s="618"/>
      <s:c r="U10" s="12"/>
      <s:c r="V10" s="12"/>
      <s:c r="W10" s="12"/>
    </s:row>
    <s:row r="11" spans="2:23" ht="15.75" customHeight="1">
      <s:c r="B11" s="228"/>
      <s:c r="C11" s="12"/>
      <s:c r="D11" s="12"/>
      <s:c r="E11" s="12"/>
      <s:c r="F11" s="611" t="s">
        <s:v>16</s:v>
      </s:c>
      <s:c r="G11" s="612"/>
      <s:c r="H11" s="613"/>
      <s:c r="I11" s="52">
        <s:f>'Ялта, Ленина, 18'!I11</s:f>
        <s:v>4960</s:v>
      </s:c>
      <s:c r="J11" s="39">
        <s:f>F48</s:f>
        <s:v>4099.7333333333336</s:v>
      </s:c>
      <s:c r="K11" s="307">
        <s:f>IF(AND(I11&lt;&gt;"",I11&lt;&gt;0,J11&lt;&gt;""),J11/I11,"")</s:f>
        <s:v>0.82655913978494633</s:v>
      </s:c>
      <s:c r="L11" s="234">
        <s:f>IF(L9&gt;0,L8/L9,"")</s:f>
        <s:v>4099.7333333333327</s:v>
      </s:c>
      <s:c r="M11" s="42">
        <s:f>IF(AND(I11&lt;&gt;"",I11&lt;&gt;0,L11&lt;&gt;"",L11&lt;&gt;0),L11/I11,"")</s:f>
        <s:v>0.82655913978494611</s:v>
      </s:c>
      <s:c r="N11" s="43">
        <s:f>IF(AND(J11&lt;&gt;0,J11&lt;&gt;"",I11&lt;&gt;0,I11&lt;&gt;""),L11-I11,"")</s:f>
        <s:v>-860.26666666666733</s:v>
      </s:c>
      <s:c r="O11" s="53"/>
      <s:c r="P11" s="43" t="str">
        <s:f>IF(AND(O11&lt;&gt;"",O11&lt;&gt;0,L11&lt;&gt;"",L11&lt;&gt;0),-O11+L11,"")</s:f>
        <s:v/>
      </s:c>
      <s:c r="Q11" s="45" t="str">
        <s:f>IF(AND(P11&lt;&gt;"",P11&lt;&gt;0,O11&lt;&gt;0,O11&lt;&gt;""),P11/O11,"")</s:f>
        <s:v/>
      </s:c>
      <s:c r="R11" s="21"/>
      <s:c r="S11" s="618"/>
      <s:c r="T11" s="618"/>
      <s:c r="U11" s="12"/>
      <s:c r="V11" s="12"/>
      <s:c r="W11" s="12"/>
    </s:row>
    <s:row r="12" spans="2:23" ht="15.75" customHeight="1">
      <s:c r="B12" s="228"/>
      <s:c r="C12" s="12"/>
      <s:c r="D12" s="12"/>
      <s:c r="E12" s="12"/>
      <s:c r="F12" s="611" t="s">
        <s:v>17</s:v>
      </s:c>
      <s:c r="G12" s="612"/>
      <s:c r="H12" s="613"/>
      <s:c r="I12" s="54">
        <s:f>'Ялта, Ленина, 18'!I12</s:f>
        <s:v>1.77</s:v>
      </s:c>
      <s:c r="J12" s="55">
        <s:f>J48</s:f>
        <s:v>1.3636363636363635</s:v>
      </s:c>
      <s:c r="K12" s="307">
        <s:f>IF(AND(I12&lt;&gt;"",I12&lt;&gt;0,J12&lt;&gt;""),J12/I12,"")</s:f>
        <s:v>0.77041602465331271</s:v>
      </s:c>
      <s:c r="L12" s="240">
        <s:f>J12</s:f>
        <s:v>1.3636363636363635</s:v>
      </s:c>
      <s:c r="M12" s="42">
        <s:f>IF(AND(I12&lt;&gt;"",I12&lt;&gt;0,L12&lt;&gt;"",L12&lt;&gt;0),L12/I12,"")</s:f>
        <s:v>0.77041602465331271</s:v>
      </s:c>
      <s:c r="N12" s="57">
        <s:f>IF(AND(J12&lt;&gt;0,J12&lt;&gt;"",I12&lt;&gt;0,I12&lt;&gt;""),L12-I12,"")</s:f>
        <s:v>-0.40636363636363648</s:v>
      </s:c>
      <s:c r="O12" s="58"/>
      <s:c r="P12" s="43" t="str">
        <s:f>IF(AND(O12&lt;&gt;"",O12&lt;&gt;0,L12&lt;&gt;"",L12&lt;&gt;0),-O12+L12,"")</s:f>
        <s:v/>
      </s:c>
      <s:c r="Q12" s="45" t="str">
        <s:f>IF(AND(P12&lt;&gt;"",P12&lt;&gt;0,O12&lt;&gt;0,O12&lt;&gt;""),P12/O12,"")</s:f>
        <s:v/>
      </s:c>
      <s:c r="R12" s="21"/>
      <s:c r="S12" s="59">
        <s:f>'Ялта, Ленина, 18'!S12*График!AJ27/График!AJ31</s:f>
        <s:v>57894.73684210526</s:v>
      </s:c>
      <s:c r="T12" s="60">
        <s:f>L48</s:f>
        <s:v>13706</s:v>
      </s:c>
      <s:c r="U12" s="12"/>
      <s:c r="V12" s="12"/>
      <s:c r="W12" s="12"/>
    </s:row>
    <s:row r="13" spans="2:23" ht="15.75" customHeight="1">
      <s:c r="B13" s="228"/>
      <s:c r="C13" s="12"/>
      <s:c r="D13" s="12"/>
      <s:c r="E13" s="12"/>
      <s:c r="F13" s="611" t="s">
        <s:v>18</s:v>
      </s:c>
      <s:c r="G13" s="612"/>
      <s:c r="H13" s="613"/>
      <s:c r="I13" s="38">
        <s:f>IF(I12&lt;&gt;0,I9/I12,"")</s:f>
        <s:v>28.445614035087722</s:v>
      </s:c>
      <s:c r="J13" s="39">
        <s:f>G48</s:f>
        <s:v>11</s:v>
      </s:c>
      <s:c r="K13" s="305">
        <s:f>IF(AND(I13&lt;&gt;"",I13&lt;&gt;0,J13&lt;&gt;""),J13/I13,"")</s:f>
        <s:v>0.38670284938941651</s:v>
      </s:c>
      <s:c r="L13" s="234">
        <s:f>IF(SUMIF($G$25:$G$47,"&gt;=0",$R$25:$R$47)&lt;&gt;0,I13*G48/SUMIF($G$25:$G$47,"&gt;=0",$R$25:$R$47),"")</s:f>
        <s:v>20.573874722567822</s:v>
      </s:c>
      <s:c r="M13" s="42">
        <s:f>IF(AND(I13&lt;&gt;"",I13&lt;&gt;0,L13&lt;&gt;"",L13&lt;&gt;0),L13/I13,"")</s:f>
        <s:v>0.7232705434725335</s:v>
      </s:c>
      <s:c r="N13" s="57">
        <s:f>IF(AND(J13&lt;&gt;0,J13&lt;&gt;"",I13&lt;&gt;0,I13&lt;&gt;""),L13-I13,"")</s:f>
        <s:v>-7.8717393125198996</s:v>
      </s:c>
      <s:c r="O13" s="61"/>
      <s:c r="P13" s="43" t="str">
        <s:f>IF(AND(O13&lt;&gt;"",O13&lt;&gt;0,L13&lt;&gt;"",L13&lt;&gt;0),-O13+L13,"")</s:f>
        <s:v/>
      </s:c>
      <s:c r="Q13" s="45" t="str">
        <s:f>IF(AND(P13&lt;&gt;"",P13&lt;&gt;0,O13&lt;&gt;0,O13&lt;&gt;""),P13/O13,"")</s:f>
        <s:v/>
      </s:c>
      <s:c r="R13" s="21"/>
      <s:c r="S13" s="62">
        <s:f>T12/S12</s:f>
        <s:v>0.23674000000000001</s:v>
      </s:c>
      <s:c r="T13" s="62">
        <s:f>S13/J14*I14</s:f>
        <s:v>0.23674000000000001</s:v>
      </s:c>
      <s:c r="U13" s="12"/>
      <s:c r="V13" s="12"/>
      <s:c r="W13" s="12"/>
    </s:row>
    <s:row r="14" spans="2:23" ht="15.75" customHeight="1">
      <s:c r="B14" s="228"/>
      <s:c r="C14" s="12"/>
      <s:c r="D14" s="241"/>
      <s:c r="E14" s="12"/>
      <s:c r="F14" s="611" t="s">
        <s:v>61</s:v>
      </s:c>
      <s:c r="G14" s="612"/>
      <s:c r="H14" s="613"/>
      <s:c r="I14" s="52">
        <s:f>График!AI27</s:f>
        <s:v>4</s:v>
      </s:c>
      <s:c r="J14" s="64">
        <s:v>4</s:v>
      </s:c>
      <s:c r="K14" s="305">
        <s:f>IF(AND(I14&lt;&gt;"",I14&lt;&gt;0,J14&lt;&gt;""),J14/I14,"")</s:f>
        <s:v>1</s:v>
      </s:c>
      <s:c r="L14" s="41">
        <s:f>I14</s:f>
        <s:v>4</s:v>
      </s:c>
      <s:c r="M14" s="42">
        <s:f>IF(AND(I14&lt;&gt;"",I14&lt;&gt;0,L14&lt;&gt;"",L14&lt;&gt;0),L14/I14,"")</s:f>
        <s:v>1</s:v>
      </s:c>
      <s:c r="N14" s="43">
        <s:f>IF(AND(J14&lt;&gt;0,J14&lt;&gt;"",I14&lt;&gt;0,I14&lt;&gt;""),L14-I14,"")</s:f>
        <s:v>0</s:v>
      </s:c>
      <s:c r="O14" s="61"/>
      <s:c r="P14" s="43" t="str">
        <s:f>IF(AND(O14&lt;&gt;"",O14&lt;&gt;0,L14&lt;&gt;"",L14&lt;&gt;0),-O14+L14,"")</s:f>
        <s:v/>
      </s:c>
      <s:c r="Q14" s="45" t="str">
        <s:f>IF(AND(P14&lt;&gt;"",P14&lt;&gt;0,O14&lt;&gt;0,O14&lt;&gt;""),P14/O14,"")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28"/>
      <s:c r="C15" s="12"/>
      <s:c r="D15" s="12"/>
      <s:c r="E15" s="12"/>
      <s:c r="F15" s="611" t="s">
        <s:v>20</s:v>
      </s:c>
      <s:c r="G15" s="612"/>
      <s:c r="H15" s="613"/>
      <s:c r="I15" s="75">
        <s:f>'Ялта, Ленина, 18'!I15</s:f>
        <s:v>86270.272000000012</s:v>
      </s:c>
      <s:c r="J15" s="67">
        <s:f>J8/J14</s:f>
        <s:v>15374</s:v>
      </s:c>
      <s:c r="K15" s="77">
        <s:f>IF(AND(I15&lt;&gt;"",I15&lt;&gt;0,J15&lt;&gt;""),J15/I15,"")</s:f>
        <s:v>0.17820738991062876</s:v>
      </s:c>
      <s:c r="L15" s="72">
        <s:f>J15</s:f>
        <s:v>15374</s:v>
      </s:c>
      <s:c r="M15" s="70">
        <s:f>IF(AND(I15&lt;&gt;"",I15&lt;&gt;0,L15&lt;&gt;"",L15&lt;&gt;0),L15/I15,"")</s:f>
        <s:v>0.17820738991062876</s:v>
      </s:c>
      <s:c r="N15" s="43">
        <s:f>IF(AND(J15&lt;&gt;0,J15&lt;&gt;"",I15&lt;&gt;0,I15&lt;&gt;""),L15-I15,"")</s:f>
        <s:v>-70896.272000000012</s:v>
      </s:c>
      <s:c r="O15" s="71"/>
      <s:c r="P15" s="43" t="str">
        <s:f>IF(AND(O15&lt;&gt;"",O15&lt;&gt;0,L15&lt;&gt;"",L15&lt;&gt;0),-O15+L15,"")</s:f>
        <s:v/>
      </s:c>
      <s:c r="Q15" s="45" t="str">
        <s:f>IF(AND(P15&lt;&gt;"",P15&lt;&gt;0,O15&lt;&gt;0,O15&lt;&gt;""),P15/O15,"")</s:f>
        <s:v/>
      </s:c>
      <s:c r="R15" s="21"/>
      <s:c r="S15" s="37"/>
      <s:c r="T15" s="6"/>
      <s:c r="U15" s="12"/>
      <s:c r="V15" s="12"/>
      <s:c r="W15" s="12"/>
    </s:row>
    <s:row r="16" spans="2:23" ht="15.75" customHeight="1">
      <s:c r="B16" s="228"/>
      <s:c r="C16" s="12"/>
      <s:c r="D16" s="12"/>
      <s:c r="E16" s="12"/>
      <s:c r="F16" s="611" t="s">
        <s:v>21</s:v>
      </s:c>
      <s:c r="G16" s="612"/>
      <s:c r="H16" s="613"/>
      <s:c r="I16" s="75"/>
      <s:c r="J16" s="67">
        <s:f>J8-I15*J14</s:f>
        <s:v>-283585.08800000005</s:v>
      </s:c>
      <s:c r="K16" s="77" t="str">
        <s:f>IF(AND(I16&lt;&gt;"",I16&lt;&gt;0,J16&lt;&gt;""),J16/I16,"")</s:f>
        <s:v/>
      </s:c>
      <s:c r="L16" s="72">
        <s:f>J16</s:f>
        <s:v>-283585.08800000005</s:v>
      </s:c>
      <s:c r="M16" s="73" t="str">
        <s:f>IF(AND(I16&lt;&gt;"",I16&lt;&gt;0,L16&lt;&gt;"",L16&lt;&gt;0),L16/I16,"")</s:f>
        <s:v/>
      </s:c>
      <s:c r="N16" s="43" t="str">
        <s:f>IF(AND(J16&lt;&gt;0,J16&lt;&gt;"",I16&lt;&gt;0,I16&lt;&gt;""),L16-I16,"")</s:f>
        <s:v/>
      </s:c>
      <s:c r="O16" s="71"/>
      <s:c r="P16" s="43" t="str">
        <s:f>IF(AND(O16&lt;&gt;"",O16&lt;&gt;0,L16&lt;&gt;"",L16&lt;&gt;0),-O16+L16,"")</s:f>
        <s:v/>
      </s:c>
      <s:c r="Q16" s="45" t="str">
        <s:f>IF(AND(P16&lt;&gt;"",P16&lt;&gt;0,O16&lt;&gt;0,O16&lt;&gt;""),P16/O16,"")</s:f>
        <s:v/>
      </s:c>
      <s:c r="R16" s="21"/>
      <s:c r="S16" s="618" t="s">
        <s:v>22</s:v>
      </s:c>
      <s:c r="T16" s="618"/>
      <s:c r="U16" s="12"/>
      <s:c r="V16" s="12"/>
      <s:c r="W16" s="12"/>
    </s:row>
    <s:row r="17" spans="1:255" ht="15.75" customHeight="1">
      <s:c r="B17" s="228"/>
      <s:c r="C17" s="12"/>
      <s:c r="D17" s="12"/>
      <s:c r="E17" s="12"/>
      <s:c r="F17" s="611" t="s">
        <s:v>23</s:v>
      </s:c>
      <s:c r="G17" s="612"/>
      <s:c r="H17" s="613"/>
      <s:c r="I17" s="75">
        <s:f>'Ялта, Ленина, 18'!I17/График!AJ31*График!AJ27</s:f>
        <s:v>129.2982456140351</s:v>
      </s:c>
      <s:c r="J17" s="67">
        <s:f>I48</s:f>
        <s:v>64</s:v>
      </s:c>
      <s:c r="K17" s="77">
        <s:f>IF(AND(I17&lt;&gt;"",I17&lt;&gt;0,J17&lt;&gt;""),J17/I17,"")</s:f>
        <s:v>0.49497964721845317</s:v>
      </s:c>
      <s:c r="L17" s="78">
        <s:f>J17/J14*I14</s:f>
        <s:v>64</s:v>
      </s:c>
      <s:c r="M17" s="73">
        <s:f>IF(AND(I17&lt;&gt;"",I17&lt;&gt;0,L17&lt;&gt;"",L17&lt;&gt;0),L17/I17,"")</s:f>
        <s:v>0.49497964721845317</s:v>
      </s:c>
      <s:c r="N17" s="43">
        <s:f>IF(AND(J17&lt;&gt;0,J17&lt;&gt;"",I17&lt;&gt;0,I17&lt;&gt;""),L17-I17,"")</s:f>
        <s:v>-65.298245614035096</s:v>
      </s:c>
      <s:c r="O17" s="71"/>
      <s:c r="P17" s="43" t="str">
        <s:f>IF(AND(O17&lt;&gt;"",O17&lt;&gt;0,L17&lt;&gt;"",L17&lt;&gt;0),-O17+L17,"")</s:f>
        <s:v/>
      </s:c>
      <s:c r="Q17" s="45" t="str">
        <s:f>IF(AND(P17&lt;&gt;"",P17&lt;&gt;0,O17&lt;&gt;0,O17&lt;&gt;""),P17/O17,"")</s:f>
        <s:v/>
      </s:c>
      <s:c r="R17" s="21"/>
      <s:c r="S17" s="618"/>
      <s:c r="T17" s="618"/>
      <s:c r="U17" s="12"/>
      <s:c r="V17" s="12"/>
      <s:c r="W17" s="12"/>
    </s:row>
    <s:row r="18" spans="1:255" ht="15.75" customHeight="1">
      <s:c r="B18" s="228"/>
      <s:c r="C18" s="12"/>
      <s:c r="D18" s="12"/>
      <s:c r="E18" s="12"/>
      <s:c r="F18" s="611"/>
      <s:c r="G18" s="612"/>
      <s:c r="H18" s="613"/>
      <s:c r="I18" s="76"/>
      <s:c r="J18" s="67"/>
      <s:c r="K18" s="77" t="str">
        <s:f>IF(AND(I18&lt;&gt;"",I18&lt;&gt;0,J18&lt;&gt;""),J18/I18,"")</s:f>
        <s:v/>
      </s:c>
      <s:c r="L18" s="72">
        <s:f>J18</s:f>
        <s:v>0</s:v>
      </s:c>
      <s:c r="M18" s="73" t="str">
        <s:f>IF(AND(I18&lt;&gt;"",I18&lt;&gt;0,L18&lt;&gt;"",L18&lt;&gt;0),L18/I18,"")</s:f>
        <s:v/>
      </s:c>
      <s:c r="N18" s="43" t="str">
        <s:f>IF(AND(J18&lt;&gt;0,J18&lt;&gt;"",I18&lt;&gt;0,I18&lt;&gt;""),L18-I18,"")</s:f>
        <s:v/>
      </s:c>
      <s:c r="O18" s="79">
        <s:v>0</s:v>
      </s:c>
      <s:c r="P18" s="43" t="str">
        <s:f>IF(AND(O18&lt;&gt;"",O18&lt;&gt;0,L18&lt;&gt;"",L18&lt;&gt;0),-O18+L18,"")</s:f>
        <s:v/>
      </s:c>
      <s:c r="Q18" s="45" t="str">
        <s:f>IF(AND(P18&lt;&gt;"",P18&lt;&gt;0,O18&lt;&gt;0,O18&lt;&gt;""),P18/O18,"")</s:f>
        <s:v/>
      </s:c>
      <s:c r="R18" s="21"/>
      <s:c r="S18" s="59">
        <s:f>'Ялта, Ленина, 18'!S18*График!AJ27/График!AJ31</s:f>
        <s:v>38596.491228070176</s:v>
      </s:c>
      <s:c r="T18" s="60">
        <s:f>K48</s:f>
        <s:v>0</s:v>
      </s:c>
      <s:c r="U18" s="12"/>
      <s:c r="V18" s="12"/>
      <s:c r="W18" s="12"/>
    </s:row>
    <s:row r="19" spans="1:255" ht="15.75" customHeight="1">
      <s:c r="B19" s="228"/>
      <s:c r="C19" s="12"/>
      <s:c r="D19" s="12"/>
      <s:c r="E19" s="12"/>
      <s:c r="F19" s="611"/>
      <s:c r="G19" s="612"/>
      <s:c r="H19" s="613"/>
      <s:c r="I19" s="76"/>
      <s:c r="J19" s="67">
        <s:f>M48</s:f>
        <s:v>0</s:v>
      </s:c>
      <s:c r="K19" s="77" t="str">
        <s:f>IF(AND(I19&lt;&gt;"",I19&lt;&gt;0,J19&lt;&gt;""),J19/I19,"")</s:f>
        <s:v/>
      </s:c>
      <s:c r="L19" s="72">
        <s:f>J19</s:f>
        <s:v>0</s:v>
      </s:c>
      <s:c r="M19" s="73" t="str">
        <s:f>IF(AND(I19&lt;&gt;"",I19&lt;&gt;0,L19&lt;&gt;"",L19&lt;&gt;0),L19/I19,"")</s:f>
        <s:v/>
      </s:c>
      <s:c r="N19" s="43" t="str">
        <s:f>IF(AND(J19&lt;&gt;0,J19&lt;&gt;"",I19&lt;&gt;0,I19&lt;&gt;""),L19-I19,"")</s:f>
        <s:v/>
      </s:c>
      <s:c r="O19" s="71">
        <s:v>0</s:v>
      </s:c>
      <s:c r="P19" s="43" t="str">
        <s:f>IF(AND(O19&lt;&gt;"",O19&lt;&gt;0,L19&lt;&gt;"",L19&lt;&gt;0),-O19+L19,"")</s:f>
        <s:v/>
      </s:c>
      <s:c r="Q19" s="45" t="str">
        <s:f>IF(AND(P19&lt;&gt;"",P19&lt;&gt;0,O19&lt;&gt;0,O19&lt;&gt;""),P19/O19,"")</s:f>
        <s:v/>
      </s:c>
      <s:c r="R19" s="21"/>
      <s:c r="S19" s="62">
        <s:f>T18/S18</s:f>
        <s:v>0</s:v>
      </s:c>
      <s:c r="T19" s="62">
        <s:f>S19/J14*I14</s:f>
        <s:v>0</s:v>
      </s:c>
      <s:c r="U19" s="12"/>
      <s:c r="V19" s="12"/>
      <s:c r="W19" s="12"/>
    </s:row>
    <s:row r="20" spans="1:255" ht="15.75" customHeight="1">
      <s:c r="B20" s="228"/>
      <s:c r="C20" s="12"/>
      <s:c r="D20" s="12"/>
      <s:c r="E20" s="12"/>
      <s:c r="F20" s="619" t="s">
        <s:v>24</s:v>
      </s:c>
      <s:c r="G20" s="619"/>
      <s:c r="H20" s="619"/>
      <s:c r="I20" s="244">
        <s:f>'Ялта, Ленина, 18'!I20</s:f>
        <s:v>0.22</s:v>
      </s:c>
      <s:c r="J20" s="245">
        <s:f>N48</s:f>
        <s:v>0.171875</s:v>
      </s:c>
      <s:c r="K20" s="245">
        <s:f>J20/I20</s:f>
        <s:v>0.78125</s:v>
      </s:c>
      <s:c r="L20" s="247">
        <s:f>IF(AND(K8&lt;&gt;0,I14&lt;&gt;0,I48&lt;&gt;0),(I48*N48+(I48/K8-I48)*I20)/(I48/K8),0)</s:f>
        <s:v>0.20814920857094318</s:v>
      </s:c>
      <s:c r="M20" s="83">
        <s:f>IF(AND(I20&lt;&gt;"",I20&lt;&gt;0,L20&lt;&gt;"",L20&lt;&gt;0),L20/I20,"")</s:f>
        <s:v>0.94613276623155995</s:v>
      </s:c>
      <s:c r="N20" s="84">
        <s:f>IF(AND(J20&lt;&gt;0,J20&lt;&gt;"",I20&lt;&gt;0,I20&lt;&gt;""),L20-I20,"")</s:f>
        <s:v>-1.1850791429056817E-2</s:v>
      </s:c>
      <s:c r="O20" s="85"/>
      <s:c r="P20" s="86" t="str">
        <s:f>IF(AND(O20&lt;&gt;"",O20&lt;&gt;0,L20&lt;&gt;"",L20&lt;&gt;0),-O20+L20,"")</s:f>
        <s:v/>
      </s:c>
      <s:c r="Q20" s="87" t="str">
        <s:f>IF(AND(P20&lt;&gt;"",P20&lt;&gt;0,O20&lt;&gt;0,O20&lt;&gt;""),P20/O20,"")</s:f>
        <s:v/>
      </s:c>
      <s:c r="R20" s="21"/>
      <s:c r="S20" s="21"/>
      <s:c r="T20" s="12"/>
      <s:c r="U20" s="12"/>
      <s:c r="V20" s="12"/>
      <s:c r="W20" s="12"/>
    </s:row>
    <s:row r="21" spans="1:255" ht="15.75" customHeight="1">
      <s:c r="B21" s="228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255" ht="16.5" customHeight="1">
      <s:c r="B22" s="703" t="s">
        <s:v>25</s:v>
      </s:c>
      <s:c r="C22" s="703"/>
      <s:c r="D22" s="703"/>
      <s:c r="E22" s="703"/>
      <s:c r="F22" s="703"/>
      <s:c r="G22" s="703"/>
      <s:c r="H22" s="703"/>
      <s:c r="I22" s="703"/>
      <s:c r="J22" s="703"/>
      <s:c r="K22" s="703"/>
      <s:c r="L22" s="703"/>
      <s:c r="M22" s="703"/>
      <s:c r="N22" s="703"/>
      <s:c r="O22" s="704" t="s">
        <s:v>26</s:v>
      </s:c>
      <s:c r="P22" s="703" t="s">
        <s:v>27</s:v>
      </s:c>
      <s:c r="Q22" s="703"/>
      <s:c r="R22" s="703"/>
      <s:c r="S22" s="703"/>
      <s:c r="T22" s="703"/>
      <s:c r="U22" s="703"/>
      <s:c r="V22" s="703"/>
      <s:c r="W22" s="703"/>
    </s:row>
    <s:row r="23" ht="36">
      <s:c r="B23" s="248" t="s">
        <s:v>29</s:v>
      </s:c>
      <s:c r="C23" s="248" t="s">
        <s:v>30</s:v>
      </s:c>
      <s:c r="D23" s="248" t="s">
        <s:v>31</s:v>
      </s:c>
      <s:c r="E23" s="248" t="s">
        <s:v>32</s:v>
      </s:c>
      <s:c r="F23" s="248" t="s">
        <s:v>33</s:v>
      </s:c>
      <s:c r="G23" s="248" t="s">
        <s:v>34</s:v>
      </s:c>
      <s:c r="H23" s="248" t="s">
        <s:v>35</s:v>
      </s:c>
      <s:c r="I23" s="248" t="s">
        <s:v>23</s:v>
      </s:c>
      <s:c r="J23" s="248" t="s">
        <s:v>36</s:v>
      </s:c>
      <s:c r="K23" s="90" t="s">
        <s:v>22</s:v>
      </s:c>
      <s:c r="L23" s="90" t="s">
        <s:v>15</s:v>
      </s:c>
      <s:c r="M23" s="249" t="s">
        <s:v>37</s:v>
      </s:c>
      <s:c r="N23" s="248" t="s">
        <s:v>38</s:v>
      </s:c>
      <s:c r="O23" s="704"/>
      <s:c r="P23" s="248" t="s">
        <s:v>39</s:v>
      </s:c>
      <s:c r="Q23" s="248" t="s">
        <s:v>40</s:v>
      </s:c>
      <s:c r="R23" s="248" t="s">
        <s:v>41</s:v>
      </s:c>
      <s:c r="S23" s="248" t="s">
        <s:v>42</s:v>
      </s:c>
      <s:c r="T23" s="248" t="s">
        <s:v>43</s:v>
      </s:c>
      <s:c r="U23" s="248" t="s">
        <s:v>44</s:v>
      </s:c>
      <s:c r="V23" s="250" t="s">
        <s:v>45</s:v>
      </s:c>
      <s:c r="W23" s="250" t="s">
        <s:v>46</s:v>
      </s:c>
      <s:c r="X23" s="251"/>
    </s:row>
    <s:row r="24">
      <s:c r="B24" s="252">
        <s:v>1</s:v>
      </s:c>
      <s:c r="C24" s="253">
        <s:v>2</s:v>
      </s:c>
      <s:c r="D24" s="252">
        <s:v>3</s:v>
      </s:c>
      <s:c r="E24" s="252">
        <s:v>4</s:v>
      </s:c>
      <s:c r="F24" s="252">
        <s:v>5</s:v>
      </s:c>
      <s:c r="G24" s="252">
        <s:v>6</s:v>
      </s:c>
      <s:c r="H24" s="252">
        <s:v>7</s:v>
      </s:c>
      <s:c r="I24" s="252">
        <s:v>8</s:v>
      </s:c>
      <s:c r="J24" s="252">
        <s:v>9</s:v>
      </s:c>
      <s:c r="K24" s="252">
        <s:v>10</s:v>
      </s:c>
      <s:c r="L24" s="252">
        <s:v>11</s:v>
      </s:c>
      <s:c r="M24" s="252">
        <s:v>12</s:v>
      </s:c>
      <s:c r="N24" s="252">
        <s:v>13</s:v>
      </s:c>
      <s:c r="O24" s="704"/>
      <s:c r="P24" s="254">
        <s:v>1</s:v>
      </s:c>
      <s:c r="Q24" s="254">
        <s:v>2</s:v>
      </s:c>
      <s:c r="R24" s="254">
        <s:v>3</s:v>
      </s:c>
      <s:c r="S24" s="254">
        <s:v>4</s:v>
      </s:c>
      <s:c r="T24" s="254">
        <s:v>5</s:v>
      </s:c>
      <s:c r="U24" s="254">
        <s:v>6</s:v>
      </s:c>
      <s:c r="V24" s="254">
        <s:v>10</s:v>
      </s:c>
      <s:c r="W24" s="254">
        <s:v>11</s:v>
      </s:c>
    </s:row>
    <s:row r="25">
      <s:c r="A25" s="95">
        <s:v>1</s:v>
      </s:c>
      <s:c r="B25" s="96">
        <s:v>45764</s:v>
      </s:c>
      <s:c r="C25" s="97" t="s">
        <s:v>51</s:v>
      </s:c>
      <s:c r="D25" s="98">
        <s:f>15867+7903</s:f>
        <s:v>23770</s:v>
      </s:c>
      <s:c r="E25" s="99">
        <s:v>5</s:v>
      </s:c>
      <s:c r="F25" s="99">
        <s:f>IF(AND(E25&lt;&gt;"",E25&lt;&gt;0),D25/E25,"")</s:f>
        <s:v>4754</s:v>
      </s:c>
      <s:c r="G25" s="99">
        <s:v>4</s:v>
      </s:c>
      <s:c r="H25" s="99">
        <s:f>IF(AND(G25&lt;&gt;"",G25&lt;&gt;0),D25/G25,"")</s:f>
        <s:v>5942.5</s:v>
      </s:c>
      <s:c r="I25" s="99">
        <s:v>20</s:v>
      </s:c>
      <s:c r="J25" s="98">
        <s:f>IF(AND(G25&lt;&gt;"",G25&lt;&gt;0),E25/G25,"")</s:f>
        <s:v>1.25</s:v>
      </s:c>
      <s:c r="K25" s="99"/>
      <s:c r="L25" s="99">
        <s:v>7903</s:v>
      </s:c>
      <s:c r="M25" s="99"/>
      <s:c r="N25" s="100">
        <s:f>IF(AND(I25&lt;&gt;"",I25&lt;&gt;0),G25/I25,"")</s:f>
        <s:v>0.2</s:v>
      </s:c>
      <s:c r="O25" s="101">
        <s:f>D25/P25</s:f>
        <s:v>0.81817700219420719</s:v>
      </s:c>
      <s:c r="P25" s="102">
        <s:f>$I$8*V25*W25/SUMPRODUCT($W$25:$W$55,$V$25:$V$55)</s:f>
        <s:v>29052.393230624952</s:v>
      </s:c>
      <s:c r="Q25" s="103">
        <s:f>$I$9*V25*W25/SUMPRODUCT($W$25:$W$55,$V$25:$V$55)</s:f>
        <s:v>5.8573373448840629</s:v>
      </s:c>
      <s:c r="R25" s="103">
        <s:f>IF($I$12="","",Q25/$I$12)</s:f>
        <s:v>3.3092301383525777</s:v>
      </s:c>
      <s:c r="S25" s="102">
        <s:f>IF(W25&lt;&gt;"",IF(D25&lt;&gt;"",D25,($I$8-SUM($S24:S$25))*V25*W25/SUMPRODUCT($W25:$W$55,$V25:$V$55)),"")</s:f>
        <s:v>23770</s:v>
      </s:c>
      <s:c r="T25" s="103">
        <s:f>IF(W25&lt;&gt;"",IF(E25&lt;&gt;"",E25,($I$9-SUM($T24:T$25))*V25*W25/SUMPRODUCT($W25:$W$55,$V25:$V$55)),"")</s:f>
        <s:v>5</s:v>
      </s:c>
      <s:c r="U25" s="103">
        <s:f>IF(W25&lt;&gt;"",IF($I$12&lt;&gt;"",IF(G25&lt;&gt;"",G25,($I$9/$I$12-SUM($U24:U$25))*V25*W25/SUMPRODUCT($W25:$W$55,$V25:$V$55)),""),"")</s:f>
        <s:v>4</s:v>
      </s:c>
      <s:c r="V25" s="104">
        <s:v>1</s:v>
      </s:c>
      <s:c r="W25" s="104">
        <s:v>1</s:v>
      </s:c>
      <s:c r="X25" s="107"/>
      <s:c r="Y25" s="106"/>
      <s:c r="Z25" s="2"/>
      <s:c r="AA25" s="2"/>
      <s:c r="AB25" s="2"/>
      <s:c r="AC25" s="2"/>
      <s:c r="AD25" s="2"/>
    </s:row>
    <s:row r="26" spans="1:255" s="109" customFormat="1">
      <s:c r="A26" s="110">
        <s:v>2</s:v>
      </s:c>
      <s:c r="B26" s="111">
        <s:v>45765</s:v>
      </s:c>
      <s:c r="C26" s="112" t="s">
        <s:v>52</s:v>
      </s:c>
      <s:c r="D26" s="113">
        <s:f>14266+5803</s:f>
        <s:v>20069</s:v>
      </s:c>
      <s:c r="E26" s="114">
        <s:v>5</s:v>
      </s:c>
      <s:c r="F26" s="114">
        <s:f>IF(AND(E26&lt;&gt;"",E26&lt;&gt;0),D26/E26,"")</s:f>
        <s:v>4013.8</s:v>
      </s:c>
      <s:c r="G26" s="114">
        <s:v>4</s:v>
      </s:c>
      <s:c r="H26" s="114">
        <s:f>IF(AND(G26&lt;&gt;"",G26&lt;&gt;0),D26/G26,"")</s:f>
        <s:v>5017.25</s:v>
      </s:c>
      <s:c r="I26" s="114">
        <s:v>14</s:v>
      </s:c>
      <s:c r="J26" s="113">
        <s:f>IF(AND(G26&lt;&gt;"",G26&lt;&gt;0),E26/G26,"")</s:f>
        <s:v>1.25</s:v>
      </s:c>
      <s:c r="K26" s="114"/>
      <s:c r="L26" s="114">
        <s:v>5803</s:v>
      </s:c>
      <s:c r="M26" s="114"/>
      <s:c r="N26" s="115">
        <s:f>IF(AND(I26&lt;&gt;"",I26&lt;&gt;0),G26/I26,"")</s:f>
        <s:v>0.2857142857142857</s:v>
      </s:c>
      <s:c r="O26" s="116">
        <s:f>D26/P26</s:f>
        <s:v>0.50111220104266274</s:v>
      </s:c>
      <s:c r="P26" s="117">
        <s:f>$I$8*V26*W26/SUMPRODUCT($W$25:$W$55,$V$25:$V$55)</s:f>
        <s:v>40048.915109714922</s:v>
      </s:c>
      <s:c r="Q26" s="118">
        <s:f>$I$9*V26*W26/SUMPRODUCT($W$25:$W$55,$V$25:$V$55)</s:f>
        <s:v>8.0743780463134929</s:v>
      </s:c>
      <s:c r="R26" s="118">
        <s:f>IF($I$12="","",Q26/$I$12)</s:f>
        <s:v>4.5617955063918041</s:v>
      </s:c>
      <s:c r="S26" s="117">
        <s:f>IF(W26&lt;&gt;"",IF(D26&lt;&gt;"",D26,($I$8-SUM($S25:S$25))*V26*W26/SUMPRODUCT($W26:$W$55,$V26:$V$55)),"")</s:f>
        <s:v>20069</s:v>
      </s:c>
      <s:c r="T26" s="118">
        <s:f>IF(W26&lt;&gt;"",IF(E26&lt;&gt;"",E26,($I$9-SUM($T25:T$25))*V26*W26/SUMPRODUCT($W26:$W$55,$V26:$V$55)),"")</s:f>
        <s:v>5</s:v>
      </s:c>
      <s:c r="U26" s="118">
        <s:f>IF(W26&lt;&gt;"",IF($I$12&lt;&gt;"",IF(G26&lt;&gt;"",G26,($I$9/$I$12-SUM($U25:U$25))*V26*W26/SUMPRODUCT($W26:$W$55,$V26:$V$55)),""),"")</s:f>
        <s:v>4</s:v>
      </s:c>
      <s:c r="V26" s="119">
        <s:v>1.1740981968092847</s:v>
      </s:c>
      <s:c r="W26" s="119">
        <s:v>1.1740981968092847</s:v>
      </s:c>
      <s:c r="X26" s="120"/>
      <s:c r="Y26" s="124"/>
      <s:c r="Z26" s="122"/>
      <s:c r="AA26" s="122"/>
      <s:c r="AB26" s="122"/>
      <s:c r="AC26" s="122"/>
      <s:c r="AD26" s="122"/>
      <s:c r="AE26" s="122"/>
      <s:c r="AF26" s="122"/>
      <s:c r="AG26" s="122"/>
      <s:c r="AH26" s="122"/>
      <s:c r="AI26" s="122"/>
      <s:c r="AJ26" s="122"/>
      <s:c r="AK26" s="122"/>
      <s:c r="AL26" s="122"/>
      <s:c r="AM26" s="122"/>
      <s:c r="AN26" s="122"/>
      <s:c r="AO26" s="122"/>
      <s:c r="AP26" s="122"/>
      <s:c r="AQ26" s="122"/>
      <s:c r="AR26" s="122"/>
      <s:c r="AS26" s="122"/>
      <s:c r="AT26" s="122"/>
      <s:c r="AU26" s="122"/>
      <s:c r="AV26" s="122"/>
      <s:c r="AW26" s="122"/>
      <s:c r="AX26" s="122"/>
      <s:c r="AY26" s="122"/>
      <s:c r="AZ26" s="122"/>
      <s:c r="BA26" s="122"/>
      <s:c r="BB26" s="122"/>
      <s:c r="BC26" s="122"/>
      <s:c r="BD26" s="122"/>
      <s:c r="BE26" s="122"/>
      <s:c r="BF26" s="122"/>
      <s:c r="BG26" s="122"/>
      <s:c r="BH26" s="122"/>
      <s:c r="BI26" s="122"/>
      <s:c r="BJ26" s="122"/>
      <s:c r="BK26" s="122"/>
      <s:c r="BL26" s="122"/>
      <s:c r="BM26" s="122"/>
      <s:c r="BN26" s="122"/>
      <s:c r="BO26" s="122"/>
      <s:c r="BP26" s="122"/>
      <s:c r="BQ26" s="122"/>
      <s:c r="BR26" s="122"/>
      <s:c r="BS26" s="122"/>
      <s:c r="BT26" s="122"/>
      <s:c r="BU26" s="122"/>
      <s:c r="BV26" s="122"/>
      <s:c r="BW26" s="122"/>
      <s:c r="BX26" s="122"/>
      <s:c r="BY26" s="122"/>
      <s:c r="BZ26" s="122"/>
      <s:c r="CA26" s="122"/>
      <s:c r="CB26" s="122"/>
      <s:c r="CC26" s="122"/>
      <s:c r="CD26" s="122"/>
      <s:c r="CE26" s="122"/>
      <s:c r="CF26" s="122"/>
      <s:c r="CG26" s="122"/>
      <s:c r="CH26" s="122"/>
      <s:c r="CI26" s="122"/>
      <s:c r="CJ26" s="122"/>
      <s:c r="CK26" s="122"/>
      <s:c r="CL26" s="122"/>
      <s:c r="CM26" s="122"/>
      <s:c r="CN26" s="122"/>
      <s:c r="CO26" s="122"/>
      <s:c r="CP26" s="122"/>
      <s:c r="CQ26" s="122"/>
      <s:c r="CR26" s="122"/>
      <s:c r="CS26" s="122"/>
      <s:c r="CT26" s="122"/>
      <s:c r="CU26" s="122"/>
      <s:c r="CV26" s="122"/>
      <s:c r="CW26" s="122"/>
      <s:c r="CX26" s="122"/>
      <s:c r="CY26" s="122"/>
      <s:c r="CZ26" s="122"/>
      <s:c r="DA26" s="122"/>
      <s:c r="DB26" s="122"/>
      <s:c r="DC26" s="122"/>
      <s:c r="DD26" s="122"/>
      <s:c r="DE26" s="122"/>
      <s:c r="DF26" s="122"/>
      <s:c r="DG26" s="122"/>
      <s:c r="DH26" s="122"/>
      <s:c r="DI26" s="122"/>
      <s:c r="DJ26" s="122"/>
      <s:c r="DK26" s="122"/>
      <s:c r="DL26" s="122"/>
      <s:c r="DM26" s="122"/>
      <s:c r="DN26" s="122"/>
      <s:c r="DO26" s="122"/>
      <s:c r="DP26" s="122"/>
      <s:c r="DQ26" s="122"/>
      <s:c r="DR26" s="122"/>
      <s:c r="DS26" s="122"/>
      <s:c r="DT26" s="122"/>
      <s:c r="DU26" s="122"/>
      <s:c r="DV26" s="122"/>
      <s:c r="DW26" s="122"/>
      <s:c r="DX26" s="122"/>
      <s:c r="DY26" s="122"/>
      <s:c r="DZ26" s="122"/>
      <s:c r="EA26" s="122"/>
      <s:c r="EB26" s="122"/>
      <s:c r="EC26" s="122"/>
      <s:c r="ED26" s="122"/>
      <s:c r="EE26" s="122"/>
      <s:c r="EF26" s="122"/>
      <s:c r="EG26" s="122"/>
      <s:c r="EH26" s="122"/>
      <s:c r="EI26" s="122"/>
      <s:c r="EJ26" s="122"/>
      <s:c r="EK26" s="122"/>
      <s:c r="EL26" s="122"/>
      <s:c r="EM26" s="122"/>
      <s:c r="EN26" s="122"/>
      <s:c r="EO26" s="122"/>
      <s:c r="EP26" s="122"/>
      <s:c r="EQ26" s="122"/>
      <s:c r="ER26" s="122"/>
      <s:c r="ES26" s="122"/>
      <s:c r="ET26" s="122"/>
      <s:c r="EU26" s="122"/>
      <s:c r="EV26" s="122"/>
      <s:c r="EW26" s="122"/>
      <s:c r="EX26" s="122"/>
      <s:c r="EY26" s="122"/>
      <s:c r="EZ26" s="122"/>
      <s:c r="FA26" s="122"/>
      <s:c r="FB26" s="122"/>
      <s:c r="FC26" s="122"/>
      <s:c r="FD26" s="122"/>
      <s:c r="FE26" s="122"/>
      <s:c r="FF26" s="122"/>
      <s:c r="FG26" s="122"/>
      <s:c r="FH26" s="122"/>
      <s:c r="FI26" s="122"/>
      <s:c r="FJ26" s="122"/>
      <s:c r="FK26" s="122"/>
      <s:c r="FL26" s="122"/>
      <s:c r="FM26" s="122"/>
      <s:c r="FN26" s="122"/>
      <s:c r="FO26" s="122"/>
      <s:c r="FP26" s="122"/>
      <s:c r="FQ26" s="122"/>
      <s:c r="FR26" s="122"/>
      <s:c r="FS26" s="122"/>
      <s:c r="FT26" s="122"/>
      <s:c r="FU26" s="122"/>
      <s:c r="FV26" s="122"/>
      <s:c r="FW26" s="122"/>
      <s:c r="FX26" s="122"/>
      <s:c r="FY26" s="122"/>
      <s:c r="FZ26" s="122"/>
      <s:c r="GA26" s="122"/>
      <s:c r="GB26" s="122"/>
      <s:c r="GC26" s="122"/>
      <s:c r="GD26" s="122"/>
      <s:c r="GE26" s="122"/>
      <s:c r="GF26" s="122"/>
      <s:c r="GG26" s="122"/>
      <s:c r="GH26" s="122"/>
      <s:c r="GI26" s="122"/>
      <s:c r="GJ26" s="122"/>
      <s:c r="GK26" s="122"/>
      <s:c r="GL26" s="122"/>
      <s:c r="GM26" s="122"/>
      <s:c r="GN26" s="122"/>
      <s:c r="GO26" s="122"/>
      <s:c r="GP26" s="122"/>
      <s:c r="GQ26" s="122"/>
      <s:c r="GR26" s="122"/>
      <s:c r="GS26" s="122"/>
      <s:c r="GT26" s="122"/>
      <s:c r="GU26" s="122"/>
      <s:c r="GV26" s="122"/>
      <s:c r="GW26" s="122"/>
      <s:c r="GX26" s="122"/>
      <s:c r="GY26" s="122"/>
      <s:c r="GZ26" s="122"/>
      <s:c r="HA26" s="122"/>
      <s:c r="HB26" s="122"/>
      <s:c r="HC26" s="122"/>
      <s:c r="HD26" s="122"/>
      <s:c r="HE26" s="122"/>
      <s:c r="HF26" s="122"/>
      <s:c r="HG26" s="122"/>
      <s:c r="HH26" s="122"/>
      <s:c r="HI26" s="122"/>
      <s:c r="HJ26" s="122"/>
      <s:c r="HK26" s="122"/>
      <s:c r="HL26" s="122"/>
      <s:c r="HM26" s="122"/>
      <s:c r="HN26" s="122"/>
      <s:c r="HO26" s="122"/>
      <s:c r="HP26" s="122"/>
      <s:c r="HQ26" s="122"/>
      <s:c r="HR26" s="122"/>
      <s:c r="HS26" s="122"/>
      <s:c r="HT26" s="122"/>
      <s:c r="HU26" s="122"/>
      <s:c r="HV26" s="122"/>
      <s:c r="HW26" s="122"/>
      <s:c r="HX26" s="122"/>
      <s:c r="HY26" s="122"/>
      <s:c r="HZ26" s="122"/>
      <s:c r="IA26" s="122"/>
      <s:c r="IB26" s="122"/>
      <s:c r="IC26" s="122"/>
      <s:c r="ID26" s="122"/>
      <s:c r="IE26" s="122"/>
      <s:c r="IF26" s="122"/>
      <s:c r="IG26" s="122"/>
      <s:c r="IH26" s="122"/>
      <s:c r="II26" s="122"/>
      <s:c r="IJ26" s="122"/>
      <s:c r="IK26" s="122"/>
      <s:c r="IL26" s="122"/>
      <s:c r="IM26" s="122"/>
      <s:c r="IN26" s="122"/>
      <s:c r="IO26" s="122"/>
      <s:c r="IP26" s="122"/>
      <s:c r="IQ26" s="122"/>
      <s:c r="IR26" s="122"/>
      <s:c r="IS26" s="122"/>
      <s:c r="IT26" s="122"/>
      <s:c r="IU26" s="122"/>
    </s:row>
    <s:row r="27" spans="1:255" s="109" customFormat="1">
      <s:c r="A27" s="110">
        <s:v>3</s:v>
      </s:c>
      <s:c r="B27" s="111">
        <s:v>45768</s:v>
      </s:c>
      <s:c r="C27" s="112" t="s">
        <s:v>55</s:v>
      </s:c>
      <s:c r="D27" s="113">
        <s:v>5982</s:v>
      </s:c>
      <s:c r="E27" s="114">
        <s:v>2</s:v>
      </s:c>
      <s:c r="F27" s="114">
        <s:f>IF(AND(E27&lt;&gt;"",E27&lt;&gt;0),D27/E27,"")</s:f>
        <s:v>2991</s:v>
      </s:c>
      <s:c r="G27" s="114">
        <s:v>1</s:v>
      </s:c>
      <s:c r="H27" s="114">
        <s:f>IF(AND(G27&lt;&gt;"",G27&lt;&gt;0),D27/G27,"")</s:f>
        <s:v>5982</s:v>
      </s:c>
      <s:c r="I27" s="114">
        <s:v>15</s:v>
      </s:c>
      <s:c r="J27" s="113">
        <s:f>IF(AND(G27&lt;&gt;"",G27&lt;&gt;0),E27/G27,"")</s:f>
        <s:v>2</s:v>
      </s:c>
      <s:c r="K27" s="114"/>
      <s:c r="L27" s="114"/>
      <s:c r="M27" s="114"/>
      <s:c r="N27" s="115">
        <s:f>IF(AND(I27&lt;&gt;"",I27&lt;&gt;0),G27/I27,"")</s:f>
        <s:v>6.6666666666666666E-2</s:v>
      </s:c>
      <s:c r="O27" s="116">
        <s:f>D27/P27</s:f>
        <s:v>0.16914330579974149</s:v>
      </s:c>
      <s:c r="P27" s="117">
        <s:f>$I$8*V27*W27/SUMPRODUCT($W$25:$W$55,$V$25:$V$55)</s:f>
        <s:v>35366.4602433775</s:v>
      </s:c>
      <s:c r="Q27" s="118">
        <s:f>$I$9*V27*W27/SUMPRODUCT($W$25:$W$55,$V$25:$V$55)</s:f>
        <s:v>7.1303347264873995</s:v>
      </s:c>
      <s:c r="R27" s="118">
        <s:f>IF($I$12="","",Q27/$I$12)</s:f>
        <s:v>4.0284376985804515</s:v>
      </s:c>
      <s:c r="S27" s="117">
        <s:f>IF(W27&lt;&gt;"",IF(D27&lt;&gt;"",D27,($I$8-SUM($S$25:S26))*V27*W27/SUMPRODUCT($W27:$W$55,$V27:$V$55)),"")</s:f>
        <s:v>5982</s:v>
      </s:c>
      <s:c r="T27" s="118">
        <s:f>IF(W27&lt;&gt;"",IF(E27&lt;&gt;"",E27,($I$9-SUM($T$25:T26))*V27*W27/SUMPRODUCT($W27:$W$55,$V27:$V$55)),"")</s:f>
        <s:v>2</s:v>
      </s:c>
      <s:c r="U27" s="118">
        <s:f>IF(W27&lt;&gt;"",IF($I$12&lt;&gt;"",IF(G27&lt;&gt;"",G27,($I$9/$I$12-SUM($U$25:U26))*V27*W27/SUMPRODUCT($W27:$W$55,$V27:$V$55)),""),"")</s:f>
        <s:v>1</s:v>
      </s:c>
      <s:c r="V27" s="119">
        <s:v>1.1033285094448408</s:v>
      </s:c>
      <s:c r="W27" s="119">
        <s:v>1.1033285094448408</s:v>
      </s:c>
      <s:c r="X27" s="120"/>
      <s:c r="Y27" s="124"/>
      <s:c r="Z27" s="125"/>
      <s:c r="AA27" s="122"/>
      <s:c r="AB27" s="122"/>
      <s:c r="AC27" s="122"/>
      <s:c r="AD27" s="122"/>
      <s:c r="AE27" s="122"/>
      <s:c r="AF27" s="122"/>
      <s:c r="AG27" s="122"/>
      <s:c r="AH27" s="122"/>
      <s:c r="AI27" s="122"/>
      <s:c r="AJ27" s="122"/>
      <s:c r="AK27" s="122"/>
      <s:c r="AL27" s="122"/>
      <s:c r="AM27" s="122"/>
      <s:c r="AN27" s="122"/>
      <s:c r="AO27" s="122"/>
      <s:c r="AP27" s="122"/>
      <s:c r="AQ27" s="122"/>
      <s:c r="AR27" s="122"/>
      <s:c r="AS27" s="122"/>
      <s:c r="AT27" s="122"/>
      <s:c r="AU27" s="122"/>
      <s:c r="AV27" s="122"/>
      <s:c r="AW27" s="122"/>
      <s:c r="AX27" s="122"/>
      <s:c r="AY27" s="122"/>
      <s:c r="AZ27" s="122"/>
      <s:c r="BA27" s="122"/>
      <s:c r="BB27" s="122"/>
      <s:c r="BC27" s="122"/>
      <s:c r="BD27" s="122"/>
      <s:c r="BE27" s="122"/>
      <s:c r="BF27" s="122"/>
      <s:c r="BG27" s="122"/>
      <s:c r="BH27" s="122"/>
      <s:c r="BI27" s="122"/>
      <s:c r="BJ27" s="122"/>
      <s:c r="BK27" s="122"/>
      <s:c r="BL27" s="122"/>
      <s:c r="BM27" s="122"/>
      <s:c r="BN27" s="122"/>
      <s:c r="BO27" s="122"/>
      <s:c r="BP27" s="122"/>
      <s:c r="BQ27" s="122"/>
      <s:c r="BR27" s="122"/>
      <s:c r="BS27" s="122"/>
      <s:c r="BT27" s="122"/>
      <s:c r="BU27" s="122"/>
      <s:c r="BV27" s="122"/>
      <s:c r="BW27" s="122"/>
      <s:c r="BX27" s="122"/>
      <s:c r="BY27" s="122"/>
      <s:c r="BZ27" s="122"/>
      <s:c r="CA27" s="122"/>
      <s:c r="CB27" s="122"/>
      <s:c r="CC27" s="122"/>
      <s:c r="CD27" s="122"/>
      <s:c r="CE27" s="122"/>
      <s:c r="CF27" s="122"/>
      <s:c r="CG27" s="122"/>
      <s:c r="CH27" s="122"/>
      <s:c r="CI27" s="122"/>
      <s:c r="CJ27" s="122"/>
      <s:c r="CK27" s="122"/>
      <s:c r="CL27" s="122"/>
      <s:c r="CM27" s="122"/>
      <s:c r="CN27" s="122"/>
      <s:c r="CO27" s="122"/>
      <s:c r="CP27" s="122"/>
      <s:c r="CQ27" s="122"/>
      <s:c r="CR27" s="122"/>
      <s:c r="CS27" s="122"/>
      <s:c r="CT27" s="122"/>
      <s:c r="CU27" s="122"/>
      <s:c r="CV27" s="122"/>
      <s:c r="CW27" s="122"/>
      <s:c r="CX27" s="122"/>
      <s:c r="CY27" s="122"/>
      <s:c r="CZ27" s="122"/>
      <s:c r="DA27" s="122"/>
      <s:c r="DB27" s="122"/>
      <s:c r="DC27" s="122"/>
      <s:c r="DD27" s="122"/>
      <s:c r="DE27" s="122"/>
      <s:c r="DF27" s="122"/>
      <s:c r="DG27" s="122"/>
      <s:c r="DH27" s="122"/>
      <s:c r="DI27" s="122"/>
      <s:c r="DJ27" s="122"/>
      <s:c r="DK27" s="122"/>
      <s:c r="DL27" s="122"/>
      <s:c r="DM27" s="122"/>
      <s:c r="DN27" s="122"/>
      <s:c r="DO27" s="122"/>
      <s:c r="DP27" s="122"/>
      <s:c r="DQ27" s="122"/>
      <s:c r="DR27" s="122"/>
      <s:c r="DS27" s="122"/>
      <s:c r="DT27" s="122"/>
      <s:c r="DU27" s="122"/>
      <s:c r="DV27" s="122"/>
      <s:c r="DW27" s="122"/>
      <s:c r="DX27" s="122"/>
      <s:c r="DY27" s="122"/>
      <s:c r="DZ27" s="122"/>
      <s:c r="EA27" s="122"/>
      <s:c r="EB27" s="122"/>
      <s:c r="EC27" s="122"/>
      <s:c r="ED27" s="122"/>
      <s:c r="EE27" s="122"/>
      <s:c r="EF27" s="122"/>
      <s:c r="EG27" s="122"/>
      <s:c r="EH27" s="122"/>
      <s:c r="EI27" s="122"/>
      <s:c r="EJ27" s="122"/>
      <s:c r="EK27" s="122"/>
      <s:c r="EL27" s="122"/>
      <s:c r="EM27" s="122"/>
      <s:c r="EN27" s="122"/>
      <s:c r="EO27" s="122"/>
      <s:c r="EP27" s="122"/>
      <s:c r="EQ27" s="122"/>
      <s:c r="ER27" s="122"/>
      <s:c r="ES27" s="122"/>
      <s:c r="ET27" s="122"/>
      <s:c r="EU27" s="122"/>
      <s:c r="EV27" s="122"/>
      <s:c r="EW27" s="122"/>
      <s:c r="EX27" s="122"/>
      <s:c r="EY27" s="122"/>
      <s:c r="EZ27" s="122"/>
      <s:c r="FA27" s="122"/>
      <s:c r="FB27" s="122"/>
      <s:c r="FC27" s="122"/>
      <s:c r="FD27" s="122"/>
      <s:c r="FE27" s="122"/>
      <s:c r="FF27" s="122"/>
      <s:c r="FG27" s="122"/>
      <s:c r="FH27" s="122"/>
      <s:c r="FI27" s="122"/>
      <s:c r="FJ27" s="122"/>
      <s:c r="FK27" s="122"/>
      <s:c r="FL27" s="122"/>
      <s:c r="FM27" s="122"/>
      <s:c r="FN27" s="122"/>
      <s:c r="FO27" s="122"/>
      <s:c r="FP27" s="122"/>
      <s:c r="FQ27" s="122"/>
      <s:c r="FR27" s="122"/>
      <s:c r="FS27" s="122"/>
      <s:c r="FT27" s="122"/>
      <s:c r="FU27" s="122"/>
      <s:c r="FV27" s="122"/>
      <s:c r="FW27" s="122"/>
      <s:c r="FX27" s="122"/>
      <s:c r="FY27" s="122"/>
      <s:c r="FZ27" s="122"/>
      <s:c r="GA27" s="122"/>
      <s:c r="GB27" s="122"/>
      <s:c r="GC27" s="122"/>
      <s:c r="GD27" s="122"/>
      <s:c r="GE27" s="122"/>
      <s:c r="GF27" s="122"/>
      <s:c r="GG27" s="122"/>
      <s:c r="GH27" s="122"/>
      <s:c r="GI27" s="122"/>
      <s:c r="GJ27" s="122"/>
      <s:c r="GK27" s="122"/>
      <s:c r="GL27" s="122"/>
      <s:c r="GM27" s="122"/>
      <s:c r="GN27" s="122"/>
      <s:c r="GO27" s="122"/>
      <s:c r="GP27" s="122"/>
      <s:c r="GQ27" s="122"/>
      <s:c r="GR27" s="122"/>
      <s:c r="GS27" s="122"/>
      <s:c r="GT27" s="122"/>
      <s:c r="GU27" s="122"/>
      <s:c r="GV27" s="122"/>
      <s:c r="GW27" s="122"/>
      <s:c r="GX27" s="122"/>
      <s:c r="GY27" s="122"/>
      <s:c r="GZ27" s="122"/>
      <s:c r="HA27" s="122"/>
      <s:c r="HB27" s="122"/>
      <s:c r="HC27" s="122"/>
      <s:c r="HD27" s="122"/>
      <s:c r="HE27" s="122"/>
      <s:c r="HF27" s="122"/>
      <s:c r="HG27" s="122"/>
      <s:c r="HH27" s="122"/>
      <s:c r="HI27" s="122"/>
      <s:c r="HJ27" s="122"/>
      <s:c r="HK27" s="122"/>
      <s:c r="HL27" s="122"/>
      <s:c r="HM27" s="122"/>
      <s:c r="HN27" s="122"/>
      <s:c r="HO27" s="122"/>
      <s:c r="HP27" s="122"/>
      <s:c r="HQ27" s="122"/>
      <s:c r="HR27" s="122"/>
      <s:c r="HS27" s="122"/>
      <s:c r="HT27" s="122"/>
      <s:c r="HU27" s="122"/>
      <s:c r="HV27" s="122"/>
      <s:c r="HW27" s="122"/>
      <s:c r="HX27" s="122"/>
      <s:c r="HY27" s="122"/>
      <s:c r="HZ27" s="122"/>
      <s:c r="IA27" s="122"/>
      <s:c r="IB27" s="122"/>
      <s:c r="IC27" s="122"/>
      <s:c r="ID27" s="122"/>
      <s:c r="IE27" s="122"/>
      <s:c r="IF27" s="122"/>
      <s:c r="IG27" s="122"/>
      <s:c r="IH27" s="122"/>
      <s:c r="II27" s="122"/>
      <s:c r="IJ27" s="122"/>
      <s:c r="IK27" s="122"/>
      <s:c r="IL27" s="122"/>
      <s:c r="IM27" s="122"/>
      <s:c r="IN27" s="122"/>
      <s:c r="IO27" s="122"/>
      <s:c r="IP27" s="122"/>
      <s:c r="IQ27" s="122"/>
      <s:c r="IR27" s="122"/>
      <s:c r="IS27" s="122"/>
      <s:c r="IT27" s="122"/>
      <s:c r="IU27" s="122"/>
    </s:row>
    <s:row r="28">
      <s:c r="A28" s="95">
        <s:v>4</s:v>
      </s:c>
      <s:c r="B28" s="96">
        <s:v>45769</s:v>
      </s:c>
      <s:c r="C28" s="97" t="s">
        <s:v>48</s:v>
      </s:c>
      <s:c r="D28" s="98">
        <s:v>11675</s:v>
      </s:c>
      <s:c r="E28" s="99">
        <s:v>3</s:v>
      </s:c>
      <s:c r="F28" s="99">
        <s:f>IF(AND(E28&lt;&gt;"",E28&lt;&gt;0),D28/E28,"")</s:f>
        <s:v>3891.6666666666665</s:v>
      </s:c>
      <s:c r="G28" s="99">
        <s:v>2</s:v>
      </s:c>
      <s:c r="H28" s="99">
        <s:f>IF(AND(G28&lt;&gt;"",G28&lt;&gt;0),D28/G28,"")</s:f>
        <s:v>5837.5</s:v>
      </s:c>
      <s:c r="I28" s="99">
        <s:v>15</s:v>
      </s:c>
      <s:c r="J28" s="98">
        <s:f>IF(AND(G28&lt;&gt;"",G28&lt;&gt;0),E28/G28,"")</s:f>
        <s:v>1.5</s:v>
      </s:c>
      <s:c r="K28" s="99"/>
      <s:c r="L28" s="99"/>
      <s:c r="M28" s="99"/>
      <s:c r="N28" s="100">
        <s:f>IF(AND(I28&lt;&gt;"",I28&lt;&gt;0),G28/I28,"")</s:f>
        <s:v>0.13333333333333333</s:v>
      </s:c>
      <s:c r="O28" s="101">
        <s:f>D28/P28</s:f>
        <s:v>0.40186018092626707</s:v>
      </s:c>
      <s:c r="P28" s="102">
        <s:f>$I$8*V28*W28/SUMPRODUCT($W$25:$W$55,$V$25:$V$55)</s:f>
        <s:v>29052.393230624952</s:v>
      </s:c>
      <s:c r="Q28" s="103">
        <s:f>$I$9*V28*W28/SUMPRODUCT($W$25:$W$55,$V$25:$V$55)</s:f>
        <s:v>5.8573373448840629</s:v>
      </s:c>
      <s:c r="R28" s="103">
        <s:f>IF($I$12="","",Q28/$I$12)</s:f>
        <s:v>3.3092301383525777</s:v>
      </s:c>
      <s:c r="S28" s="102">
        <s:f>IF(W28&lt;&gt;"",IF(D28&lt;&gt;"",D28,($I$8-SUM($S$25:S27))*V28*W28/SUMPRODUCT($W28:$W$55,$V28:$V$55)),"")</s:f>
        <s:v>11675</s:v>
      </s:c>
      <s:c r="T28" s="103">
        <s:f>IF(W28&lt;&gt;"",IF(E28&lt;&gt;"",E28,($I$9-SUM($T$25:T27))*V28*W28/SUMPRODUCT($W28:$W$55,$V28:$V$55)),"")</s:f>
        <s:v>3</s:v>
      </s:c>
      <s:c r="U28" s="103">
        <s:f>IF(W28&lt;&gt;"",IF($I$12&lt;&gt;"",IF(G28&lt;&gt;"",G28,($I$9/$I$12-SUM($U$25:U27))*V28*W28/SUMPRODUCT($W28:$W$55,$V28:$V$55)),""),"")</s:f>
        <s:v>2</s:v>
      </s:c>
      <s:c r="V28" s="104">
        <s:v>1</s:v>
      </s:c>
      <s:c r="W28" s="104">
        <s:v>1</s:v>
      </s:c>
      <s:c r="X28" s="107"/>
      <s:c r="Y28" s="106"/>
      <s:c r="Z28" s="126"/>
    </s:row>
    <s:row r="29" spans="1:255" s="268" customFormat="1">
      <s:c r="A29" s="269">
        <s:v>5</s:v>
      </s:c>
      <s:c r="B29" s="280"/>
      <s:c r="C29" s="281"/>
      <s:c r="D29" s="271"/>
      <s:c r="E29" s="282"/>
      <s:c r="F29" s="270" t="str">
        <s:f>IF(AND(E29&lt;&gt;"",E29&lt;&gt;0),D29/E29,"")</s:f>
        <s:v/>
      </s:c>
      <s:c r="G29" s="282"/>
      <s:c r="H29" s="270" t="str">
        <s:f>IF(AND(G29&lt;&gt;"",G29&lt;&gt;0),D29/G29,"")</s:f>
        <s:v/>
      </s:c>
      <s:c r="I29" s="282"/>
      <s:c r="J29" s="271" t="str">
        <s:f>IF(AND(G29&lt;&gt;"",G29&lt;&gt;0),E29/G29,"")</s:f>
        <s:v/>
      </s:c>
      <s:c r="K29" s="270"/>
      <s:c r="L29" s="270"/>
      <s:c r="M29" s="270"/>
      <s:c r="N29" s="272" t="str">
        <s:f>IF(AND(I29&lt;&gt;"",I29&lt;&gt;0),G29/I29,"")</s:f>
        <s:v/>
      </s:c>
      <s:c r="O29" s="273">
        <s:f>D29/P29</s:f>
        <s:v>0</s:v>
      </s:c>
      <s:c r="P29" s="274">
        <s:f>$I$8*V29*W29/SUMPRODUCT($W$25:$W$55,$V$25:$V$55)</s:f>
        <s:v>29052.393230624952</s:v>
      </s:c>
      <s:c r="Q29" s="275">
        <s:f>$I$9*V29*W29/SUMPRODUCT($W$25:$W$55,$V$25:$V$55)</s:f>
        <s:v>5.8573373448840629</s:v>
      </s:c>
      <s:c r="R29" s="275">
        <s:f>IF($I$12="","",Q29/$I$12)</s:f>
        <s:v>3.3092301383525777</s:v>
      </s:c>
      <s:c r="S29" s="274">
        <s:f>IF(W29&lt;&gt;"",IF(D29&lt;&gt;"",D29,($I$8-SUM($S$25:S28))*V29*W29/SUMPRODUCT($W29:$W$55,$V29:$V$55)),"")</s:f>
        <s:v>47058.433684210533</s:v>
      </s:c>
      <s:c r="T29" s="275">
        <s:f>IF(W29&lt;&gt;"",IF(E29&lt;&gt;"",E29,($I$9-SUM($T$25:T28))*V29*W29/SUMPRODUCT($W29:$W$55,$V29:$V$55)),"")</s:f>
        <s:v>8.837184210526317</s:v>
      </s:c>
      <s:c r="U29" s="275">
        <s:f>IF(W29&lt;&gt;"",IF($I$12&lt;&gt;"",IF(G29&lt;&gt;"",G29,($I$9/$I$12-SUM($U$25:U28))*V29*W29/SUMPRODUCT($W29:$W$55,$V29:$V$55)),""),"")</s:f>
        <s:v>4.3614035087719305</s:v>
      </s:c>
      <s:c r="V29" s="276">
        <s:v>1</s:v>
      </s:c>
      <s:c r="W29" s="276">
        <s:v>1</s:v>
      </s:c>
      <s:c r="X29" s="277"/>
      <s:c r="Y29" s="277"/>
      <s:c r="Z29" s="278"/>
      <s:c r="AA29" s="278"/>
      <s:c r="AB29" s="278"/>
      <s:c r="AC29" s="278"/>
      <s:c r="AD29" s="278"/>
    </s:row>
    <s:row r="30" spans="1:255" s="268" customFormat="1">
      <s:c r="A30" s="269">
        <s:v>6</s:v>
      </s:c>
      <s:c r="B30" s="280"/>
      <s:c r="C30" s="281"/>
      <s:c r="D30" s="285"/>
      <s:c r="E30" s="270"/>
      <s:c r="F30" s="282" t="str">
        <s:f>IF(AND(E30&lt;&gt;"",E30&lt;&gt;0),D30/E30,"")</s:f>
        <s:v/>
      </s:c>
      <s:c r="G30" s="270"/>
      <s:c r="H30" s="282" t="str">
        <s:f>IF(AND(G30&lt;&gt;"",G30&lt;&gt;0),D30/G30,"")</s:f>
        <s:v/>
      </s:c>
      <s:c r="I30" s="270"/>
      <s:c r="J30" s="285" t="str">
        <s:f>IF(AND(G30&lt;&gt;"",G30&lt;&gt;0),E30/G30,"")</s:f>
        <s:v/>
      </s:c>
      <s:c r="K30" s="270"/>
      <s:c r="L30" s="270"/>
      <s:c r="M30" s="270"/>
      <s:c r="N30" s="272" t="str">
        <s:f>IF(AND(I30&lt;&gt;"",I30&lt;&gt;0),G30/I30,"")</s:f>
        <s:v/>
      </s:c>
      <s:c r="O30" s="273">
        <s:f>D30/P30</s:f>
        <s:v>0</s:v>
      </s:c>
      <s:c r="P30" s="274">
        <s:f>$I$8*V30*W30/SUMPRODUCT($W$25:$W$55,$V$25:$V$55)</s:f>
        <s:v>29052.393230624952</s:v>
      </s:c>
      <s:c r="Q30" s="275">
        <s:f>$I$9*V30*W30/SUMPRODUCT($W$25:$W$55,$V$25:$V$55)</s:f>
        <s:v>5.8573373448840629</s:v>
      </s:c>
      <s:c r="R30" s="275">
        <s:f>IF($I$12="","",Q30/$I$12)</s:f>
        <s:v>3.3092301383525777</s:v>
      </s:c>
      <s:c r="S30" s="274">
        <s:f>IF(W30&lt;&gt;"",IF(D30&lt;&gt;"",D30,($I$8-SUM($S$25:S29))*V30*W30/SUMPRODUCT($W30:$W$55,$V30:$V$55)),"")</s:f>
        <s:v>47058.433684210533</s:v>
      </s:c>
      <s:c r="T30" s="275">
        <s:f>IF(W30&lt;&gt;"",IF(E29&lt;&gt;"",E29,($I$9-SUM($T$25:T29))*V30*W30/SUMPRODUCT($W30:$W$55,$V30:$V$55)),"")</s:f>
        <s:v>8.837184210526317</s:v>
      </s:c>
      <s:c r="U30" s="275">
        <s:f>IF(W30&lt;&gt;"",IF($I$12&lt;&gt;"",IF(G30&lt;&gt;"",G30,($I$9/$I$12-SUM($U$25:U29))*V30*W30/SUMPRODUCT($W30:$W$55,$V30:$V$55)),""),"")</s:f>
        <s:v>4.3614035087719305</s:v>
      </s:c>
      <s:c r="V30" s="276">
        <s:v>1</s:v>
      </s:c>
      <s:c r="W30" s="276">
        <s:v>1</s:v>
      </s:c>
      <s:c r="X30" s="277"/>
      <s:c r="Y30" s="277"/>
      <s:c r="Z30" s="278"/>
      <s:c r="AA30" s="278"/>
      <s:c r="AB30" s="278"/>
      <s:c r="AC30" s="278"/>
      <s:c r="AD30" s="278"/>
    </s:row>
    <s:row r="31" spans="1:255" s="268" customFormat="1">
      <s:c r="A31" s="269">
        <s:v>7</s:v>
      </s:c>
      <s:c r="B31" s="280"/>
      <s:c r="C31" s="281"/>
      <s:c r="D31" s="271"/>
      <s:c r="E31" s="282"/>
      <s:c r="F31" s="270" t="str">
        <s:f>IF(AND(E31&lt;&gt;"",E31&lt;&gt;0),D31/E31,"")</s:f>
        <s:v/>
      </s:c>
      <s:c r="G31" s="282"/>
      <s:c r="H31" s="270" t="str">
        <s:f>IF(AND(G31&lt;&gt;"",G31&lt;&gt;0),D31/G31,"")</s:f>
        <s:v/>
      </s:c>
      <s:c r="I31" s="282"/>
      <s:c r="J31" s="271" t="str">
        <s:f>IF(AND(G31&lt;&gt;"",G31&lt;&gt;0),E31/G31,"")</s:f>
        <s:v/>
      </s:c>
      <s:c r="K31" s="270"/>
      <s:c r="L31" s="270"/>
      <s:c r="M31" s="270"/>
      <s:c r="N31" s="272" t="str">
        <s:f>IF(AND(I31&lt;&gt;"",I31&lt;&gt;0),G31/I31,"")</s:f>
        <s:v/>
      </s:c>
      <s:c r="O31" s="273">
        <s:f>D31/P31</s:f>
        <s:v>0</s:v>
      </s:c>
      <s:c r="P31" s="274">
        <s:f>$I$8*V31*W31/SUMPRODUCT($W$25:$W$55,$V$25:$V$55)</s:f>
        <s:v>29052.393230624952</s:v>
      </s:c>
      <s:c r="Q31" s="275">
        <s:f>$I$9*V31*W31/SUMPRODUCT($W$25:$W$55,$V$25:$V$55)</s:f>
        <s:v>5.8573373448840629</s:v>
      </s:c>
      <s:c r="R31" s="275">
        <s:f>IF($I$12="","",Q31/$I$12)</s:f>
        <s:v>3.3092301383525777</s:v>
      </s:c>
      <s:c r="S31" s="274">
        <s:f>IF(W31&lt;&gt;"",IF(D31&lt;&gt;"",D31,($I$8-SUM($S$25:S30))*V31*W31/SUMPRODUCT($W31:$W$55,$V31:$V$55)),"")</s:f>
        <s:v>47058.43368421054</s:v>
      </s:c>
      <s:c r="T31" s="275">
        <s:f>IF(W31&lt;&gt;"",IF(E31&lt;&gt;"",E31,($I$9-SUM($T$25:T30))*V31*W31/SUMPRODUCT($W31:$W$55,$V31:$V$55)),"")</s:f>
        <s:v>8.837184210526317</s:v>
      </s:c>
      <s:c r="U31" s="275">
        <s:f>IF(W31&lt;&gt;"",IF($I$12&lt;&gt;"",IF(G31&lt;&gt;"",G31,($I$9/$I$12-SUM($U$25:U30))*V31*W31/SUMPRODUCT($W31:$W$55,$V31:$V$55)),""),"")</s:f>
        <s:v>4.3614035087719305</s:v>
      </s:c>
      <s:c r="V31" s="276">
        <s:v>1</s:v>
      </s:c>
      <s:c r="W31" s="276">
        <s:v>1</s:v>
      </s:c>
      <s:c r="X31" s="277"/>
      <s:c r="Y31" s="277"/>
      <s:c r="Z31" s="278"/>
      <s:c r="AA31" s="278"/>
      <s:c r="AB31" s="278"/>
      <s:c r="AC31" s="278"/>
      <s:c r="AD31" s="278"/>
    </s:row>
    <s:row r="32" spans="1:255" s="268" customFormat="1">
      <s:c r="A32" s="269">
        <s:v>8</s:v>
      </s:c>
      <s:c r="B32" s="280"/>
      <s:c r="C32" s="281"/>
      <s:c r="D32" s="285"/>
      <s:c r="E32" s="270"/>
      <s:c r="F32" s="282" t="str">
        <s:f>IF(AND(E32&lt;&gt;"",E32&lt;&gt;0),D32/E32,"")</s:f>
        <s:v/>
      </s:c>
      <s:c r="G32" s="270"/>
      <s:c r="H32" s="282" t="str">
        <s:f>IF(AND(G32&lt;&gt;"",G32&lt;&gt;0),D32/G32,"")</s:f>
        <s:v/>
      </s:c>
      <s:c r="I32" s="270"/>
      <s:c r="J32" s="285" t="str">
        <s:f>IF(AND(G32&lt;&gt;"",G32&lt;&gt;0),E32/G32,"")</s:f>
        <s:v/>
      </s:c>
      <s:c r="K32" s="270"/>
      <s:c r="L32" s="270"/>
      <s:c r="M32" s="270"/>
      <s:c r="N32" s="272" t="str">
        <s:f>IF(AND(I32&lt;&gt;"",I32&lt;&gt;0),G32/I32,"")</s:f>
        <s:v/>
      </s:c>
      <s:c r="O32" s="273">
        <s:f>D32/P32</s:f>
        <s:v>0</s:v>
      </s:c>
      <s:c r="P32" s="274">
        <s:f>$I$8*V32*W32/SUMPRODUCT($W$25:$W$55,$V$25:$V$55)</s:f>
        <s:v>29052.393230624952</s:v>
      </s:c>
      <s:c r="Q32" s="275">
        <s:f>$I$9*V32*W32/SUMPRODUCT($W$25:$W$55,$V$25:$V$55)</s:f>
        <s:v>5.8573373448840629</s:v>
      </s:c>
      <s:c r="R32" s="275">
        <s:f>IF($I$12="","",Q32/$I$12)</s:f>
        <s:v>3.3092301383525777</s:v>
      </s:c>
      <s:c r="S32" s="274">
        <s:f>IF(W32&lt;&gt;"",IF(D32&lt;&gt;"",D32,($I$8-SUM($S$25:S31))*V32*W32/SUMPRODUCT($W32:$W$55,$V32:$V$55)),"")</s:f>
        <s:v>47058.433684210555</s:v>
      </s:c>
      <s:c r="T32" s="275">
        <s:f>IF(W32&lt;&gt;"",IF(E32&lt;&gt;"",E32,($I$9-SUM($T$25:T31))*V32*W32/SUMPRODUCT($W32:$W$55,$V32:$V$55)),"")</s:f>
        <s:v>8.837184210526317</s:v>
      </s:c>
      <s:c r="U32" s="275">
        <s:f>IF(W32&lt;&gt;"",IF($I$12&lt;&gt;"",IF(G32&lt;&gt;"",G32,($I$9/$I$12-SUM($U$25:U31))*V32*W32/SUMPRODUCT($W32:$W$55,$V32:$V$55)),""),"")</s:f>
        <s:v>4.3614035087719287</s:v>
      </s:c>
      <s:c r="V32" s="276">
        <s:v>1</s:v>
      </s:c>
      <s:c r="W32" s="276">
        <s:v>1</s:v>
      </s:c>
      <s:c r="X32" s="277"/>
      <s:c r="Y32" s="277"/>
      <s:c r="Z32" s="278"/>
      <s:c r="AA32" s="278"/>
      <s:c r="AB32" s="278"/>
      <s:c r="AC32" s="278"/>
      <s:c r="AD32" s="278"/>
    </s:row>
    <s:row r="33" spans="1:30" s="268" customFormat="1">
      <s:c r="A33" s="269"/>
      <s:c r="B33" s="280"/>
      <s:c r="C33" s="281"/>
      <s:c r="D33" s="271"/>
      <s:c r="E33" s="270"/>
      <s:c r="F33" s="270" t="str">
        <s:f>IF(AND(E33&lt;&gt;"",E33&lt;&gt;0),D33/E33,"")</s:f>
        <s:v/>
      </s:c>
      <s:c r="G33" s="270"/>
      <s:c r="H33" s="270" t="str">
        <s:f>IF(AND(G33&lt;&gt;"",G33&lt;&gt;0),D33/G33,"")</s:f>
        <s:v/>
      </s:c>
      <s:c r="I33" s="270"/>
      <s:c r="J33" s="271" t="str">
        <s:f>IF(AND(G33&lt;&gt;"",G33&lt;&gt;0),E33/G33,"")</s:f>
        <s:v/>
      </s:c>
      <s:c r="K33" s="270"/>
      <s:c r="L33" s="270"/>
      <s:c r="M33" s="270"/>
      <s:c r="N33" s="272" t="str">
        <s:f>IF(AND(I33&lt;&gt;"",I33&lt;&gt;0),G33/I33,"")</s:f>
        <s:v/>
      </s:c>
      <s:c r="O33" s="273" t="e">
        <s:f>D33/P33</s:f>
        <s:v>#DIV/0!</s:v>
      </s:c>
      <s:c r="P33" s="274">
        <s:f>$I$8*V33*W33/SUMPRODUCT($W$25:$W$55,$V$25:$V$55)</s:f>
        <s:v>0</s:v>
      </s:c>
      <s:c r="Q33" s="275">
        <s:f>$I$9*V33*W33/SUMPRODUCT($W$25:$W$55,$V$25:$V$55)</s:f>
        <s:v>0</s:v>
      </s:c>
      <s:c r="R33" s="275">
        <s:f>IF($I$12="","",Q33/$I$12)</s:f>
        <s:v>0</s:v>
      </s:c>
      <s:c r="S33" s="274" t="str">
        <s:f>IF(W33&lt;&gt;"",IF(D33&lt;&gt;"",D33,($I$8-SUM($S$25:S32))*V33*W33/SUMPRODUCT($W33:$W$55,$V33:$V$55)),"")</s:f>
        <s:v/>
      </s:c>
      <s:c r="T33" s="275" t="str">
        <s:f>IF(W33&lt;&gt;"",IF(E33&lt;&gt;"",E33,($I$9-SUM($T$25:T32))*V33*W33/SUMPRODUCT($W33:$W$55,$V33:$V$55)),"")</s:f>
        <s:v/>
      </s:c>
      <s:c r="U33" s="275" t="str">
        <s:f>IF(W33&lt;&gt;"",IF($I$12&lt;&gt;"",IF(G33&lt;&gt;"",G33,($I$9/$I$12-SUM($U$25:U32))*V33*W33/SUMPRODUCT($W33:$W$55,$V33:$V$55)),""),"")</s:f>
        <s:v/>
      </s:c>
      <s:c r="V33" s="276"/>
      <s:c r="W33" s="276"/>
      <s:c r="X33" s="277"/>
      <s:c r="Y33" s="277"/>
      <s:c r="Z33" s="278"/>
      <s:c r="AA33" s="278"/>
      <s:c r="AB33" s="278"/>
      <s:c r="AC33" s="278"/>
      <s:c r="AD33" s="278"/>
    </s:row>
    <s:row r="34" spans="1:30" s="268" customFormat="1">
      <s:c r="A34" s="269"/>
      <s:c r="B34" s="280"/>
      <s:c r="C34" s="308"/>
      <s:c r="D34" s="271"/>
      <s:c r="E34" s="282"/>
      <s:c r="F34" s="270" t="str">
        <s:f>IF(AND(E34&lt;&gt;"",E34&lt;&gt;0),D34/E34,"")</s:f>
        <s:v/>
      </s:c>
      <s:c r="G34" s="282"/>
      <s:c r="H34" s="270" t="str">
        <s:f>IF(AND(G34&lt;&gt;"",G34&lt;&gt;0),D34/G34,"")</s:f>
        <s:v/>
      </s:c>
      <s:c r="I34" s="282"/>
      <s:c r="J34" s="271" t="str">
        <s:f>IF(AND(G34&lt;&gt;"",G34&lt;&gt;0),E34/G34,"")</s:f>
        <s:v/>
      </s:c>
      <s:c r="K34" s="270"/>
      <s:c r="L34" s="270"/>
      <s:c r="M34" s="270"/>
      <s:c r="N34" s="272" t="str">
        <s:f>IF(AND(I34&lt;&gt;"",I34&lt;&gt;0),G34/I34,"")</s:f>
        <s:v/>
      </s:c>
      <s:c r="O34" s="273" t="e">
        <s:f>D34/P34</s:f>
        <s:v>#DIV/0!</s:v>
      </s:c>
      <s:c r="P34" s="274">
        <s:f>$I$8*V34*W34/SUMPRODUCT($W$25:$W$55,$V$25:$V$55)</s:f>
        <s:v>0</s:v>
      </s:c>
      <s:c r="Q34" s="275">
        <s:f>$I$9*V34*W34/SUMPRODUCT($W$25:$W$55,$V$25:$V$55)</s:f>
        <s:v>0</s:v>
      </s:c>
      <s:c r="R34" s="275">
        <s:f>IF($I$12="","",Q34/$I$12)</s:f>
        <s:v>0</s:v>
      </s:c>
      <s:c r="S34" s="274" t="str">
        <s:f>IF(W34&lt;&gt;"",IF(D34&lt;&gt;"",D34,($I$8-SUM($S$25:S33))*V34*W34/SUMPRODUCT($W34:$W$55,$V34:$V$55)),"")</s:f>
        <s:v/>
      </s:c>
      <s:c r="T34" s="275" t="str">
        <s:f>IF(W34&lt;&gt;"",IF(E34&lt;&gt;"",E34,($I$9-SUM($T$25:T33))*V34*W34/SUMPRODUCT($W34:$W$55,$V34:$V$55)),"")</s:f>
        <s:v/>
      </s:c>
      <s:c r="U34" s="275" t="str">
        <s:f>IF(W34&lt;&gt;"",IF($I$12&lt;&gt;"",IF(G34&lt;&gt;"",G34,($I$9/$I$12-SUM($U$25:U33))*V34*W34/SUMPRODUCT($W34:$W$55,$V34:$V$55)),""),"")</s:f>
        <s:v/>
      </s:c>
      <s:c r="V34" s="276"/>
      <s:c r="W34" s="276"/>
      <s:c r="X34" s="277"/>
      <s:c r="Y34" s="277"/>
      <s:c r="Z34" s="283"/>
      <s:c r="AA34" s="278"/>
      <s:c r="AB34" s="278"/>
      <s:c r="AC34" s="278"/>
      <s:c r="AD34" s="278"/>
    </s:row>
    <s:row r="35" spans="1:30" s="268" customFormat="1">
      <s:c r="A35" s="269"/>
      <s:c r="B35" s="280"/>
      <s:c r="C35" s="281"/>
      <s:c r="D35" s="285"/>
      <s:c r="E35" s="270"/>
      <s:c r="F35" s="282" t="str">
        <s:f>IF(AND(E35&lt;&gt;"",E35&lt;&gt;0),D35/E35,"")</s:f>
        <s:v/>
      </s:c>
      <s:c r="G35" s="270"/>
      <s:c r="H35" s="282" t="str">
        <s:f>IF(AND(G35&lt;&gt;"",G35&lt;&gt;0),D35/G35,"")</s:f>
        <s:v/>
      </s:c>
      <s:c r="I35" s="270"/>
      <s:c r="J35" s="285" t="str">
        <s:f>IF(AND(G35&lt;&gt;"",G35&lt;&gt;0),E35/G35,"")</s:f>
        <s:v/>
      </s:c>
      <s:c r="K35" s="270"/>
      <s:c r="L35" s="270"/>
      <s:c r="M35" s="270"/>
      <s:c r="N35" s="272" t="str">
        <s:f>IF(AND(I35&lt;&gt;"",I35&lt;&gt;0),G35/I35,"")</s:f>
        <s:v/>
      </s:c>
      <s:c r="O35" s="273" t="e">
        <s:f>D35/P35</s:f>
        <s:v>#DIV/0!</s:v>
      </s:c>
      <s:c r="P35" s="274">
        <s:f>$I$8*V35*W35/SUMPRODUCT($W$25:$W$55,$V$25:$V$55)</s:f>
        <s:v>0</s:v>
      </s:c>
      <s:c r="Q35" s="275">
        <s:f>$I$9*V35*W35/SUMPRODUCT($W$25:$W$55,$V$25:$V$55)</s:f>
        <s:v>0</s:v>
      </s:c>
      <s:c r="R35" s="275">
        <s:f>IF($I$12="","",Q35/$I$12)</s:f>
        <s:v>0</s:v>
      </s:c>
      <s:c r="S35" s="274" t="str">
        <s:f>IF(W35&lt;&gt;"",IF(D35&lt;&gt;"",D35,($I$8-SUM($S$25:S34))*V35*W35/SUMPRODUCT($W35:$W$55,$V35:$V$55)),"")</s:f>
        <s:v/>
      </s:c>
      <s:c r="T35" s="275" t="str">
        <s:f>IF(W35&lt;&gt;"",IF(E35&lt;&gt;"",E35,($I$9-SUM($T$25:T34))*V35*W35/SUMPRODUCT($W35:$W$55,$V35:$V$55)),"")</s:f>
        <s:v/>
      </s:c>
      <s:c r="U35" s="275" t="str">
        <s:f>IF(W35&lt;&gt;"",IF($I$12&lt;&gt;"",IF(G35&lt;&gt;"",G35,($I$9/$I$12-SUM($U$25:U34))*V35*W35/SUMPRODUCT($W35:$W$55,$V35:$V$55)),""),"")</s:f>
        <s:v/>
      </s:c>
      <s:c r="V35" s="276"/>
      <s:c r="W35" s="276"/>
      <s:c r="X35" s="277"/>
      <s:c r="Y35" s="277"/>
      <s:c r="Z35" s="283"/>
      <s:c r="AA35" s="278"/>
      <s:c r="AB35" s="278"/>
      <s:c r="AC35" s="278"/>
      <s:c r="AD35" s="278"/>
    </s:row>
    <s:row r="36" spans="1:30" s="268" customFormat="1">
      <s:c r="A36" s="269"/>
      <s:c r="B36" s="280"/>
      <s:c r="C36" s="308"/>
      <s:c r="D36" s="271"/>
      <s:c r="E36" s="282"/>
      <s:c r="F36" s="270" t="str">
        <s:f>IF(AND(E36&lt;&gt;"",E36&lt;&gt;0),D36/E36,"")</s:f>
        <s:v/>
      </s:c>
      <s:c r="G36" s="270"/>
      <s:c r="H36" s="270" t="str">
        <s:f>IF(AND(G36&lt;&gt;"",G36&lt;&gt;0),D36/G36,"")</s:f>
        <s:v/>
      </s:c>
      <s:c r="I36" s="282"/>
      <s:c r="J36" s="271" t="str">
        <s:f>IF(AND(G36&lt;&gt;"",G36&lt;&gt;0),E36/G36,"")</s:f>
        <s:v/>
      </s:c>
      <s:c r="K36" s="270"/>
      <s:c r="L36" s="270"/>
      <s:c r="M36" s="270"/>
      <s:c r="N36" s="272" t="str">
        <s:f>IF(AND(I36&lt;&gt;"",I36&lt;&gt;0),G36/I36,"")</s:f>
        <s:v/>
      </s:c>
      <s:c r="O36" s="273" t="e">
        <s:f>D36/P36</s:f>
        <s:v>#DIV/0!</s:v>
      </s:c>
      <s:c r="P36" s="274">
        <s:f>$I$8*V36*W36/SUMPRODUCT($W$25:$W$55,$V$25:$V$55)</s:f>
        <s:v>0</s:v>
      </s:c>
      <s:c r="Q36" s="275">
        <s:f>$I$9*V36*W36/SUMPRODUCT($W$25:$W$55,$V$25:$V$55)</s:f>
        <s:v>0</s:v>
      </s:c>
      <s:c r="R36" s="275">
        <s:f>IF($I$12="","",Q36/$I$12)</s:f>
        <s:v>0</s:v>
      </s:c>
      <s:c r="S36" s="274" t="str">
        <s:f>IF(W36&lt;&gt;"",IF(D36&lt;&gt;"",D36,($I$8-SUM($S$25:S35))*V36*W36/SUMPRODUCT($W36:$W$55,$V36:$V$55)),"")</s:f>
        <s:v/>
      </s:c>
      <s:c r="T36" s="275" t="str">
        <s:f>IF(W36&lt;&gt;"",IF(E36&lt;&gt;"",E36,($I$9-SUM($T$25:T35))*V36*W36/SUMPRODUCT($W36:$W$55,$V36:$V$55)),"")</s:f>
        <s:v/>
      </s:c>
      <s:c r="U36" s="275" t="str">
        <s:f>IF(W36&lt;&gt;"",IF($I$12&lt;&gt;"",IF(G36&lt;&gt;"",G36,($I$9/$I$12-SUM($U$25:U35))*V36*W36/SUMPRODUCT($W36:$W$55,$V36:$V$55)),""),"")</s:f>
        <s:v/>
      </s:c>
      <s:c r="V36" s="276"/>
      <s:c r="W36" s="276"/>
      <s:c r="X36" s="277"/>
      <s:c r="Y36" s="277"/>
      <s:c r="Z36" s="283"/>
      <s:c r="AA36" s="278"/>
      <s:c r="AB36" s="278"/>
      <s:c r="AC36" s="278"/>
      <s:c r="AD36" s="278"/>
    </s:row>
    <s:row r="37" spans="1:30" s="268" customFormat="1">
      <s:c r="A37" s="269"/>
      <s:c r="B37" s="280"/>
      <s:c r="C37" s="281"/>
      <s:c r="D37" s="285"/>
      <s:c r="E37" s="270"/>
      <s:c r="F37" s="270" t="str">
        <s:f>IF(AND(E37&lt;&gt;"",E37&lt;&gt;0),D37/E37,"")</s:f>
        <s:v/>
      </s:c>
      <s:c r="G37" s="270"/>
      <s:c r="H37" s="282" t="str">
        <s:f>IF(AND(G37&lt;&gt;"",G37&lt;&gt;0),D37/G37,"")</s:f>
        <s:v/>
      </s:c>
      <s:c r="I37" s="270"/>
      <s:c r="J37" s="285" t="str">
        <s:f>IF(AND(G37&lt;&gt;"",G37&lt;&gt;0),E37/G37,"")</s:f>
        <s:v/>
      </s:c>
      <s:c r="K37" s="270"/>
      <s:c r="L37" s="270"/>
      <s:c r="M37" s="270"/>
      <s:c r="N37" s="272" t="str">
        <s:f>IF(AND(I37&lt;&gt;"",I37&lt;&gt;0),G37/I37,"")</s:f>
        <s:v/>
      </s:c>
      <s:c r="O37" s="273" t="e">
        <s:f>D37/P37</s:f>
        <s:v>#DIV/0!</s:v>
      </s:c>
      <s:c r="P37" s="274">
        <s:f>$I$8*V37*W37/SUMPRODUCT($W$25:$W$55,$V$25:$V$55)</s:f>
        <s:v>0</s:v>
      </s:c>
      <s:c r="Q37" s="275">
        <s:f>$I$9*V37*W37/SUMPRODUCT($W$25:$W$55,$V$25:$V$55)</s:f>
        <s:v>0</s:v>
      </s:c>
      <s:c r="R37" s="275">
        <s:f>IF($I$12="","",Q37/$I$12)</s:f>
        <s:v>0</s:v>
      </s:c>
      <s:c r="S37" s="274" t="str">
        <s:f>IF(W37&lt;&gt;"",IF(D37&lt;&gt;"",D37,($I$8-SUM($S$25:S36))*V37*W37/SUMPRODUCT($W37:$W$55,$V37:$V$55)),"")</s:f>
        <s:v/>
      </s:c>
      <s:c r="T37" s="275" t="str">
        <s:f>IF(W37&lt;&gt;"",IF(E37&lt;&gt;"",E37,($I$9-SUM($T$25:T36))*V37*W37/SUMPRODUCT($W37:$W$55,$V37:$V$55)),"")</s:f>
        <s:v/>
      </s:c>
      <s:c r="U37" s="275" t="str">
        <s:f>IF(W37&lt;&gt;"",IF($I$12&lt;&gt;"",IF(G37&lt;&gt;"",G37,($I$9/$I$12-SUM($U$25:U36))*V37*W37/SUMPRODUCT($W37:$W$55,$V37:$V$55)),""),"")</s:f>
        <s:v/>
      </s:c>
      <s:c r="V37" s="276"/>
      <s:c r="W37" s="276"/>
      <s:c r="X37" s="277"/>
      <s:c r="Y37" s="277"/>
      <s:c r="Z37" s="283"/>
      <s:c r="AA37" s="278"/>
      <s:c r="AB37" s="278"/>
      <s:c r="AC37" s="278"/>
      <s:c r="AD37" s="278"/>
    </s:row>
    <s:row r="38" spans="1:30" s="268" customFormat="1">
      <s:c r="A38" s="269"/>
      <s:c r="B38" s="280"/>
      <s:c r="C38" s="308"/>
      <s:c r="D38" s="271"/>
      <s:c r="E38" s="282"/>
      <s:c r="F38" s="270" t="str">
        <s:f>IF(AND(E38&lt;&gt;"",E38&lt;&gt;0),D38/E38,"")</s:f>
        <s:v/>
      </s:c>
      <s:c r="G38" s="282"/>
      <s:c r="H38" s="270" t="str">
        <s:f>IF(AND(G38&lt;&gt;"",G38&lt;&gt;0),D38/G38,"")</s:f>
        <s:v/>
      </s:c>
      <s:c r="I38" s="282"/>
      <s:c r="J38" s="271" t="str">
        <s:f>IF(AND(G38&lt;&gt;"",G38&lt;&gt;0),E38/G38,"")</s:f>
        <s:v/>
      </s:c>
      <s:c r="K38" s="282"/>
      <s:c r="L38" s="270"/>
      <s:c r="M38" s="282"/>
      <s:c r="N38" s="272" t="str">
        <s:f>IF(AND(I38&lt;&gt;"",I38&lt;&gt;0),G38/I38,"")</s:f>
        <s:v/>
      </s:c>
      <s:c r="O38" s="309" t="e">
        <s:f>D38/P38</s:f>
        <s:v>#DIV/0!</s:v>
      </s:c>
      <s:c r="P38" s="274">
        <s:f>$I$8*V38*W38/SUMPRODUCT($W$25:$W$55,$V$25:$V$55)</s:f>
        <s:v>0</s:v>
      </s:c>
      <s:c r="Q38" s="310">
        <s:f>$I$9*V38*W38/SUMPRODUCT($W$25:$W$55,$V$25:$V$55)</s:f>
        <s:v>0</s:v>
      </s:c>
      <s:c r="R38" s="275">
        <s:f>IF($I$12="","",Q38/$I$12)</s:f>
        <s:v>0</s:v>
      </s:c>
      <s:c r="S38" s="311" t="str">
        <s:f>IF(W38&lt;&gt;"",IF(D38&lt;&gt;"",D38,($I$8-SUM($S$25:S37))*V38*W38/SUMPRODUCT($W38:$W$55,$V38:$V$55)),"")</s:f>
        <s:v/>
      </s:c>
      <s:c r="T38" s="275" t="str">
        <s:f>IF(W38&lt;&gt;"",IF(E38&lt;&gt;"",E38,($I$9-SUM($T$25:T37))*V38*W38/SUMPRODUCT($W38:$W$55,$V38:$V$55)),"")</s:f>
        <s:v/>
      </s:c>
      <s:c r="U38" s="310" t="str">
        <s:f>IF(W38&lt;&gt;"",IF($I$12&lt;&gt;"",IF(G38&lt;&gt;"",G38,($I$9/$I$12-SUM($U$25:U37))*V38*W38/SUMPRODUCT($W38:$W$55,$V38:$V$55)),""),"")</s:f>
        <s:v/>
      </s:c>
      <s:c r="V38" s="276"/>
      <s:c r="W38" s="276"/>
      <s:c r="X38" s="277"/>
      <s:c r="Y38" s="277"/>
      <s:c r="Z38" s="283"/>
      <s:c r="AA38" s="278"/>
      <s:c r="AB38" s="278"/>
      <s:c r="AC38" s="278"/>
      <s:c r="AD38" s="278"/>
    </s:row>
    <s:row r="39" spans="1:30" s="268" customFormat="1">
      <s:c r="A39" s="269"/>
      <s:c r="B39" s="280"/>
      <s:c r="C39" s="281"/>
      <s:c r="D39" s="285"/>
      <s:c r="E39" s="270"/>
      <s:c r="F39" s="282" t="str">
        <s:f>IF(AND(E39&lt;&gt;"",E39&lt;&gt;0),D39/E39,"")</s:f>
        <s:v/>
      </s:c>
      <s:c r="G39" s="270"/>
      <s:c r="H39" s="282" t="str">
        <s:f>IF(AND(G39&lt;&gt;"",G39&lt;&gt;0),D39/G39,"")</s:f>
        <s:v/>
      </s:c>
      <s:c r="I39" s="270"/>
      <s:c r="J39" s="285" t="str">
        <s:f>IF(AND(G39&lt;&gt;"",G39&lt;&gt;0),E39/G39,"")</s:f>
        <s:v/>
      </s:c>
      <s:c r="K39" s="270"/>
      <s:c r="L39" s="270"/>
      <s:c r="M39" s="270"/>
      <s:c r="N39" s="272" t="str">
        <s:f>IF(AND(I39&lt;&gt;"",I39&lt;&gt;0),G39/I39,"")</s:f>
        <s:v/>
      </s:c>
      <s:c r="O39" s="273" t="e">
        <s:f>D39/P39</s:f>
        <s:v>#DIV/0!</s:v>
      </s:c>
      <s:c r="P39" s="274">
        <s:f>$I$8*V39*W39/SUMPRODUCT($W$25:$W$55,$V$25:$V$55)</s:f>
        <s:v>0</s:v>
      </s:c>
      <s:c r="Q39" s="275">
        <s:f>$I$9*V39*W39/SUMPRODUCT($W$25:$W$55,$V$25:$V$55)</s:f>
        <s:v>0</s:v>
      </s:c>
      <s:c r="R39" s="275">
        <s:f>IF($I$12="","",Q39/$I$12)</s:f>
        <s:v>0</s:v>
      </s:c>
      <s:c r="S39" s="274" t="str">
        <s:f>IF(W39&lt;&gt;"",IF(D39&lt;&gt;"",D39,($I$8-SUM($S$25:S38))*V39*W39/SUMPRODUCT($W39:$W$55,$V39:$V$55)),"")</s:f>
        <s:v/>
      </s:c>
      <s:c r="T39" s="275" t="str">
        <s:f>IF(W39&lt;&gt;"",IF(E39&lt;&gt;"",E39,($I$9-SUM($T$25:T38))*V39*W39/SUMPRODUCT($W39:$W$55,$V39:$V$55)),"")</s:f>
        <s:v/>
      </s:c>
      <s:c r="U39" s="275" t="str">
        <s:f>IF(W39&lt;&gt;"",IF($I$12&lt;&gt;"",IF(G39&lt;&gt;"",G39,($I$9/$I$12-SUM($U$25:U38))*V39*W39/SUMPRODUCT($W39:$W$55,$V39:$V$55)),""),"")</s:f>
        <s:v/>
      </s:c>
      <s:c r="V39" s="276"/>
      <s:c r="W39" s="276"/>
      <s:c r="X39" s="277"/>
      <s:c r="Y39" s="277"/>
      <s:c r="Z39" s="283"/>
      <s:c r="AA39" s="278"/>
      <s:c r="AB39" s="278"/>
      <s:c r="AC39" s="278"/>
      <s:c r="AD39" s="278"/>
    </s:row>
    <s:row r="40" spans="1:30" s="268" customFormat="1" ht="15" customHeight="1">
      <s:c r="A40" s="269"/>
      <s:c r="B40" s="280"/>
      <s:c r="C40" s="308"/>
      <s:c r="D40" s="271"/>
      <s:c r="E40" s="282"/>
      <s:c r="F40" s="270" t="str">
        <s:f>IF(AND(E40&lt;&gt;"",E40&lt;&gt;0),D40/E40,"")</s:f>
        <s:v/>
      </s:c>
      <s:c r="G40" s="282"/>
      <s:c r="H40" s="270" t="str">
        <s:f>IF(AND(G40&lt;&gt;"",G40&lt;&gt;0),D40/G40,"")</s:f>
        <s:v/>
      </s:c>
      <s:c r="I40" s="282"/>
      <s:c r="J40" s="271" t="str">
        <s:f>IF(AND(G40&lt;&gt;"",G40&lt;&gt;0),E40/G40,"")</s:f>
        <s:v/>
      </s:c>
      <s:c r="K40" s="270"/>
      <s:c r="L40" s="270"/>
      <s:c r="M40" s="270"/>
      <s:c r="N40" s="272" t="str">
        <s:f>IF(AND(I40&lt;&gt;"",I40&lt;&gt;0),G40/I40,"")</s:f>
        <s:v/>
      </s:c>
      <s:c r="O40" s="273" t="e">
        <s:f>D40/P40</s:f>
        <s:v>#DIV/0!</s:v>
      </s:c>
      <s:c r="P40" s="274">
        <s:f>$I$8*V40*W40/SUMPRODUCT($W$25:$W$55,$V$25:$V$55)</s:f>
        <s:v>0</s:v>
      </s:c>
      <s:c r="Q40" s="275">
        <s:f>$I$9*V40*W40/SUMPRODUCT($W$25:$W$55,$V$25:$V$55)</s:f>
        <s:v>0</s:v>
      </s:c>
      <s:c r="R40" s="275">
        <s:f>IF($I$12="","",Q40/$I$12)</s:f>
        <s:v>0</s:v>
      </s:c>
      <s:c r="S40" s="274" t="str">
        <s:f>IF(W40&lt;&gt;"",IF(D40&lt;&gt;"",D40,($I$8-SUM($S$25:S39))*V40*W40/SUMPRODUCT($W40:$W$55,$V40:$V$55)),"")</s:f>
        <s:v/>
      </s:c>
      <s:c r="T40" s="275" t="str">
        <s:f>IF(W40&lt;&gt;"",IF(E40&lt;&gt;"",E40,($I$9-SUM($T$25:T39))*V40*W40/SUMPRODUCT($W40:$W$55,$V40:$V$55)),"")</s:f>
        <s:v/>
      </s:c>
      <s:c r="U40" s="275" t="str">
        <s:f>IF(W40&lt;&gt;"",IF($I$12&lt;&gt;"",IF(G40&lt;&gt;"",G40,($I$9/$I$12-SUM($U$25:U39))*V40*W40/SUMPRODUCT($W40:$W$55,$V40:$V$55)),""),"")</s:f>
        <s:v/>
      </s:c>
      <s:c r="V40" s="276"/>
      <s:c r="W40" s="276"/>
      <s:c r="X40" s="277"/>
      <s:c r="Y40" s="277"/>
      <s:c r="Z40" s="283"/>
      <s:c r="AA40" s="278"/>
      <s:c r="AB40" s="278"/>
      <s:c r="AC40" s="278"/>
      <s:c r="AD40" s="278"/>
    </s:row>
    <s:row r="41" spans="1:30" s="268" customFormat="1">
      <s:c r="A41" s="269"/>
      <s:c r="B41" s="280"/>
      <s:c r="C41" s="281"/>
      <s:c r="D41" s="285"/>
      <s:c r="E41" s="270"/>
      <s:c r="F41" s="282" t="str">
        <s:f>IF(AND(E41&lt;&gt;"",E41&lt;&gt;0),D41/E41,"")</s:f>
        <s:v/>
      </s:c>
      <s:c r="G41" s="270"/>
      <s:c r="H41" s="282" t="str">
        <s:f>IF(AND(G41&lt;&gt;"",G41&lt;&gt;0),D41/G41,"")</s:f>
        <s:v/>
      </s:c>
      <s:c r="I41" s="270"/>
      <s:c r="J41" s="285" t="str">
        <s:f>IF(AND(G41&lt;&gt;"",G41&lt;&gt;0),E41/G41,"")</s:f>
        <s:v/>
      </s:c>
      <s:c r="K41" s="270"/>
      <s:c r="L41" s="270"/>
      <s:c r="M41" s="270"/>
      <s:c r="N41" s="312" t="str">
        <s:f>IF(AND(I41&lt;&gt;"",I41&lt;&gt;0),G41/I41,"")</s:f>
        <s:v/>
      </s:c>
      <s:c r="O41" s="273" t="e">
        <s:f>D41/P41</s:f>
        <s:v>#DIV/0!</s:v>
      </s:c>
      <s:c r="P41" s="274">
        <s:f>$I$8*V41*W41/SUMPRODUCT($W$25:$W$55,$V$25:$V$55)</s:f>
        <s:v>0</s:v>
      </s:c>
      <s:c r="Q41" s="275">
        <s:f>$I$9*V41*W41/SUMPRODUCT($W$25:$W$55,$V$25:$V$55)</s:f>
        <s:v>0</s:v>
      </s:c>
      <s:c r="R41" s="275">
        <s:f>IF($I$12="","",Q41/$I$12)</s:f>
        <s:v>0</s:v>
      </s:c>
      <s:c r="S41" s="274" t="str">
        <s:f>IF(W41&lt;&gt;"",IF(D41&lt;&gt;"",D41,($I$8-SUM($S$25:S40))*V41*W41/SUMPRODUCT($W41:$W$55,$V41:$V$55)),"")</s:f>
        <s:v/>
      </s:c>
      <s:c r="T41" s="275" t="str">
        <s:f>IF(W41&lt;&gt;"",IF(E41&lt;&gt;"",E41,($I$9-SUM($T$25:T40))*V41*W41/SUMPRODUCT($W41:$W$55,$V41:$V$55)),"")</s:f>
        <s:v/>
      </s:c>
      <s:c r="U41" s="275" t="str">
        <s:f>IF(W41&lt;&gt;"",IF($I$12&lt;&gt;"",IF(G41&lt;&gt;"",G41,($I$9/$I$12-SUM($U$25:U40))*V41*W41/SUMPRODUCT($W41:$W$55,$V41:$V$55)),""),"")</s:f>
        <s:v/>
      </s:c>
      <s:c r="V41" s="276"/>
      <s:c r="W41" s="276"/>
      <s:c r="X41" s="277"/>
      <s:c r="Y41" s="277"/>
      <s:c r="Z41" s="283"/>
      <s:c r="AA41" s="278"/>
      <s:c r="AB41" s="278"/>
      <s:c r="AC41" s="278"/>
      <s:c r="AD41" s="278"/>
    </s:row>
    <s:row r="42" spans="1:30" s="268" customFormat="1">
      <s:c r="A42" s="269"/>
      <s:c r="B42" s="280"/>
      <s:c r="C42" s="308"/>
      <s:c r="D42" s="271"/>
      <s:c r="E42" s="282"/>
      <s:c r="F42" s="270" t="str">
        <s:f>IF(AND(E42&lt;&gt;"",E42&lt;&gt;0),D42/E42,"")</s:f>
        <s:v/>
      </s:c>
      <s:c r="G42" s="282"/>
      <s:c r="H42" s="270" t="str">
        <s:f>IF(AND(G42&lt;&gt;"",G42&lt;&gt;0),D42/G42,"")</s:f>
        <s:v/>
      </s:c>
      <s:c r="I42" s="282"/>
      <s:c r="J42" s="271" t="str">
        <s:f>IF(AND(G42&lt;&gt;"",G42&lt;&gt;0),E42/G42,"")</s:f>
        <s:v/>
      </s:c>
      <s:c r="K42" s="270"/>
      <s:c r="L42" s="270"/>
      <s:c r="M42" s="270"/>
      <s:c r="N42" s="312" t="str">
        <s:f>IF(AND(I42&lt;&gt;"",I42&lt;&gt;0),G42/I42,"")</s:f>
        <s:v/>
      </s:c>
      <s:c r="O42" s="273" t="e">
        <s:f>D42/P42</s:f>
        <s:v>#DIV/0!</s:v>
      </s:c>
      <s:c r="P42" s="274">
        <s:f>$I$8*V42*W42/SUMPRODUCT($W$25:$W$55,$V$25:$V$55)</s:f>
        <s:v>0</s:v>
      </s:c>
      <s:c r="Q42" s="275">
        <s:f>$I$9*V42*W42/SUMPRODUCT($W$25:$W$55,$V$25:$V$55)</s:f>
        <s:v>0</s:v>
      </s:c>
      <s:c r="R42" s="275">
        <s:f>IF($I$12="","",Q42/$I$12)</s:f>
        <s:v>0</s:v>
      </s:c>
      <s:c r="S42" s="274" t="str">
        <s:f>IF(W42&lt;&gt;"",IF(D42&lt;&gt;"",D42,($I$8-SUM($S$25:S41))*V42*W42/SUMPRODUCT($W42:$W$55,$V42:$V$55)),"")</s:f>
        <s:v/>
      </s:c>
      <s:c r="T42" s="275" t="str">
        <s:f>IF(W42&lt;&gt;"",IF(E42&lt;&gt;"",E42,($I$9-SUM($T$25:T41))*V42*W42/SUMPRODUCT($W42:$W$55,$V42:$V$55)),"")</s:f>
        <s:v/>
      </s:c>
      <s:c r="U42" s="275" t="str">
        <s:f>IF(W42&lt;&gt;"",IF($I$12&lt;&gt;"",IF(G42&lt;&gt;"",G42,($I$9/$I$12-SUM($U$25:U41))*V42*W42/SUMPRODUCT($W42:$W$55,$V42:$V$55)),""),"")</s:f>
        <s:v/>
      </s:c>
      <s:c r="V42" s="276"/>
      <s:c r="W42" s="276"/>
      <s:c r="X42" s="277"/>
      <s:c r="Y42" s="277"/>
      <s:c r="Z42" s="283"/>
      <s:c r="AA42" s="278"/>
      <s:c r="AB42" s="278"/>
      <s:c r="AC42" s="278"/>
      <s:c r="AD42" s="278"/>
    </s:row>
    <s:row r="43" spans="1:30" s="268" customFormat="1" ht="15" customHeight="1">
      <s:c r="A43" s="269"/>
      <s:c r="B43" s="280"/>
      <s:c r="C43" s="281"/>
      <s:c r="D43" s="271"/>
      <s:c r="E43" s="270"/>
      <s:c r="F43" s="270" t="str">
        <s:f>IF(AND(E43&lt;&gt;"",E43&lt;&gt;0),D43/E43,"")</s:f>
        <s:v/>
      </s:c>
      <s:c r="G43" s="270"/>
      <s:c r="H43" s="270" t="str">
        <s:f>IF(AND(G43&lt;&gt;"",G43&lt;&gt;0),D43/G43,"")</s:f>
        <s:v/>
      </s:c>
      <s:c r="I43" s="270"/>
      <s:c r="J43" s="271" t="str">
        <s:f>IF(AND(G43&lt;&gt;"",G43&lt;&gt;0),E43/G43,"")</s:f>
        <s:v/>
      </s:c>
      <s:c r="K43" s="270"/>
      <s:c r="L43" s="270"/>
      <s:c r="M43" s="270"/>
      <s:c r="N43" s="312" t="str">
        <s:f>IF(AND(I43&lt;&gt;"",I43&lt;&gt;0),G43/I43,"")</s:f>
        <s:v/>
      </s:c>
      <s:c r="O43" s="273" t="e">
        <s:f>D43/P43</s:f>
        <s:v>#DIV/0!</s:v>
      </s:c>
      <s:c r="P43" s="274">
        <s:f>$I$8*V43*W43/SUMPRODUCT($W$25:$W$55,$V$25:$V$55)</s:f>
        <s:v>0</s:v>
      </s:c>
      <s:c r="Q43" s="275">
        <s:f>$I$9*V43*W43/SUMPRODUCT($W$25:$W$55,$V$25:$V$55)</s:f>
        <s:v>0</s:v>
      </s:c>
      <s:c r="R43" s="275">
        <s:f>IF($I$12="","",Q43/$I$12)</s:f>
        <s:v>0</s:v>
      </s:c>
      <s:c r="S43" s="274" t="str">
        <s:f>IF(W43&lt;&gt;"",IF(D43&lt;&gt;"",D43,($I$8-SUM($S$25:S42))*V43*W43/SUMPRODUCT($W43:$W$55,$V43:$V$55)),"")</s:f>
        <s:v/>
      </s:c>
      <s:c r="T43" s="275" t="str">
        <s:f>IF(W43&lt;&gt;"",IF(E43&lt;&gt;"",E43,($I$9-SUM($T$25:T42))*V43*W43/SUMPRODUCT($W43:$W$55,$V43:$V$55)),"")</s:f>
        <s:v/>
      </s:c>
      <s:c r="U43" s="275" t="str">
        <s:f>IF(W43&lt;&gt;"",IF($I$12&lt;&gt;"",IF(G43&lt;&gt;"",G43,($I$9/$I$12-SUM($U$25:U42))*V43*W43/SUMPRODUCT($W43:$W$55,$V43:$V$55)),""),"")</s:f>
        <s:v/>
      </s:c>
      <s:c r="V43" s="276"/>
      <s:c r="W43" s="276"/>
      <s:c r="X43" s="277"/>
      <s:c r="Y43" s="277"/>
      <s:c r="Z43" s="283"/>
      <s:c r="AA43" s="278"/>
      <s:c r="AB43" s="278"/>
      <s:c r="AC43" s="278"/>
      <s:c r="AD43" s="278"/>
    </s:row>
    <s:row r="44" spans="1:30" s="268" customFormat="1" ht="15" customHeight="1">
      <s:c r="A44" s="269"/>
      <s:c r="B44" s="280"/>
      <s:c r="C44" s="281"/>
      <s:c r="D44" s="271"/>
      <s:c r="E44" s="270"/>
      <s:c r="F44" s="270" t="str">
        <s:f>IF(AND(E44&lt;&gt;"",E44&lt;&gt;0),D44/E44,"")</s:f>
        <s:v/>
      </s:c>
      <s:c r="G44" s="270"/>
      <s:c r="H44" s="270" t="str">
        <s:f>IF(AND(G44&lt;&gt;"",G44&lt;&gt;0),D44/G44,"")</s:f>
        <s:v/>
      </s:c>
      <s:c r="I44" s="270"/>
      <s:c r="J44" s="271" t="str">
        <s:f>IF(AND(G44&lt;&gt;"",G44&lt;&gt;0),E44/G44,"")</s:f>
        <s:v/>
      </s:c>
      <s:c r="K44" s="270"/>
      <s:c r="L44" s="270"/>
      <s:c r="M44" s="270"/>
      <s:c r="N44" s="312" t="str">
        <s:f>IF(AND(I44&lt;&gt;"",I44&lt;&gt;0),G44/I44,"")</s:f>
        <s:v/>
      </s:c>
      <s:c r="O44" s="273" t="e">
        <s:f>D44/P44</s:f>
        <s:v>#DIV/0!</s:v>
      </s:c>
      <s:c r="P44" s="274">
        <s:f>$I$8*V44*W44/SUMPRODUCT($W$25:$W$55,$V$25:$V$55)</s:f>
        <s:v>0</s:v>
      </s:c>
      <s:c r="Q44" s="275">
        <s:f>$I$9*V44*W44/SUMPRODUCT($W$25:$W$55,$V$25:$V$55)</s:f>
        <s:v>0</s:v>
      </s:c>
      <s:c r="R44" s="275">
        <s:f>IF($I$12="","",Q44/$I$12)</s:f>
        <s:v>0</s:v>
      </s:c>
      <s:c r="S44" s="274" t="str">
        <s:f>IF(W44&lt;&gt;"",IF(D44&lt;&gt;"",D44,($I$8-SUM($S$25:S43))*V44*W44/SUMPRODUCT($W44:$W$55,$V44:$V$55)),"")</s:f>
        <s:v/>
      </s:c>
      <s:c r="T44" s="275">
        <s:f>IF(W44&lt;&gt;"",IF(E44&lt;&gt;"",E44,($I$9-SUM($T$25:T43))*V44*W44/SUMPRODUCT($W44:$W$55,$V44:$V$55)),0)</s:f>
        <s:v>0</s:v>
      </s:c>
      <s:c r="U44" s="275" t="str">
        <s:f>IF(W44&lt;&gt;"",IF($I$12&lt;&gt;"",IF(G44&lt;&gt;"",G44,($I$9/$I$12-SUM($U$25:U43))*V44*W44/SUMPRODUCT($W44:$W$55,$V44:$V$55)),""),"")</s:f>
        <s:v/>
      </s:c>
      <s:c r="V44" s="276"/>
      <s:c r="W44" s="276"/>
      <s:c r="X44" s="277"/>
      <s:c r="Y44" s="277"/>
      <s:c r="Z44" s="278"/>
      <s:c r="AA44" s="278"/>
      <s:c r="AB44" s="278"/>
      <s:c r="AC44" s="278"/>
      <s:c r="AD44" s="278"/>
    </s:row>
    <s:row r="45" spans="1:30" customFormat="1">
      <s:c r="A45" s="313"/>
      <s:c r="B45" s="96"/>
      <s:c r="C45" s="279"/>
      <s:c r="D45" s="98"/>
      <s:c r="E45" s="99"/>
      <s:c r="F45" s="99" t="str">
        <s:f>IF(AND(E45&lt;&gt;"",E45&lt;&gt;0),D45/E45,"")</s:f>
        <s:v/>
      </s:c>
      <s:c r="G45" s="99"/>
      <s:c r="H45" s="99" t="str">
        <s:f>IF(AND(G45&lt;&gt;"",G45&lt;&gt;0),D45/G45,"")</s:f>
        <s:v/>
      </s:c>
      <s:c r="I45" s="99"/>
      <s:c r="J45" s="98" t="str">
        <s:f>IF(AND(G45&lt;&gt;"",G45&lt;&gt;0),E45/G45,"")</s:f>
        <s:v/>
      </s:c>
      <s:c r="K45" s="99"/>
      <s:c r="L45" s="99"/>
      <s:c r="M45" s="99"/>
      <s:c r="N45" s="314" t="str">
        <s:f>IF(AND(I45&lt;&gt;"",I45&lt;&gt;0),G45/I45,"")</s:f>
        <s:v/>
      </s:c>
      <s:c r="O45" s="101" t="e">
        <s:f>D45/P45</s:f>
        <s:v>#DIV/0!</s:v>
      </s:c>
      <s:c r="P45" s="102">
        <s:f>$I$8*V45*W45/SUMPRODUCT($W$25:$W$44,$V$25:$V$44)</s:f>
        <s:v>0</s:v>
      </s:c>
      <s:c r="Q45" s="103">
        <s:f>$I$9*V45*W45/SUMPRODUCT($W$25:$W$44,$V$25:$V$44)</s:f>
        <s:v>0</s:v>
      </s:c>
      <s:c r="R45" s="103">
        <s:f>IF($I$12="","",Q45/$I$12)</s:f>
        <s:v>0</s:v>
      </s:c>
      <s:c r="S45" s="102" t="str">
        <s:f>IF(W45&lt;&gt;"",IF(D45&lt;&gt;"",D45,($I$8-SUM($S$25:S44))*V45*W45/SUMPRODUCT($W$44:$W45,$V$44:$V45)),"")</s:f>
        <s:v/>
      </s:c>
      <s:c r="T45" s="103" t="str">
        <s:f>IF(W45&lt;&gt;"",IF(E45&lt;&gt;"",E45,($I$9-SUM($T$25:T44))*V45*W45/SUMPRODUCT($W$44:$W45,$V$44:$V45)),"")</s:f>
        <s:v/>
      </s:c>
      <s:c r="U45" s="103" t="str">
        <s:f>IF(W45&lt;&gt;"",IF($I$12&lt;&gt;"",IF(G45&lt;&gt;"",G45,($I$9/$I$12-SUM($U$25:U44))*V45*W45/SUMPRODUCT($W$44:$W45,$V$44:$V45)),""),"")</s:f>
        <s:v/>
      </s:c>
      <s:c r="V45" s="315"/>
      <s:c r="W45" s="315"/>
      <s:c r="X45" s="316"/>
      <s:c r="Y45" s="316"/>
      <s:c r="Z45" s="317"/>
    </s:row>
    <s:row r="46" spans="1:30" s="268" customFormat="1">
      <s:c r="A46" s="318"/>
      <s:c r="B46" s="280"/>
      <s:c r="C46" s="300"/>
      <s:c r="D46" s="271"/>
      <s:c r="E46" s="270"/>
      <s:c r="F46" s="270" t="str">
        <s:f>IF(AND(E46&lt;&gt;"",E46&lt;&gt;0),D46/E46,"")</s:f>
        <s:v/>
      </s:c>
      <s:c r="G46" s="270"/>
      <s:c r="H46" s="270" t="str">
        <s:f>IF(AND(G46&lt;&gt;"",G46&lt;&gt;0),D46/G46,"")</s:f>
        <s:v/>
      </s:c>
      <s:c r="I46" s="270"/>
      <s:c r="J46" s="271" t="str">
        <s:f>IF(AND(G46&lt;&gt;"",G46&lt;&gt;0),E46/G46,"")</s:f>
        <s:v/>
      </s:c>
      <s:c r="K46" s="270"/>
      <s:c r="L46" s="270"/>
      <s:c r="M46" s="270"/>
      <s:c r="N46" s="312" t="str">
        <s:f>IF(AND(I46&lt;&gt;"",I46&lt;&gt;0),G46/I46,"")</s:f>
        <s:v/>
      </s:c>
      <s:c r="O46" s="273" t="e">
        <s:f>D46/P46</s:f>
        <s:v>#DIV/0!</s:v>
      </s:c>
      <s:c r="P46" s="274">
        <s:f>$I$8*V46*W46/SUMPRODUCT($W$25:$W$44,$V$25:$V$44)</s:f>
        <s:v>0</s:v>
      </s:c>
      <s:c r="Q46" s="275">
        <s:f>$I$9*V46*W46/SUMPRODUCT($W$25:$W$44,$V$25:$V$44)</s:f>
        <s:v>0</s:v>
      </s:c>
      <s:c r="R46" s="275">
        <s:f>IF($I$12="","",Q46/$I$12)</s:f>
        <s:v>0</s:v>
      </s:c>
      <s:c r="S46" s="274" t="str">
        <s:f>IF(W46&lt;&gt;"",IF(D46&lt;&gt;"",D46,($I$8-SUM($S$25:S45))*V46*W46/SUMPRODUCT($W$44:$W46,$V$44:$V46)),"")</s:f>
        <s:v/>
      </s:c>
      <s:c r="T46" s="275" t="str">
        <s:f>IF(W46&lt;&gt;"",IF(E46&lt;&gt;"",E46,($I$9-SUM($T$25:T45))*V46*W46/SUMPRODUCT($W$44:$W46,$V$44:$V46)),"")</s:f>
        <s:v/>
      </s:c>
      <s:c r="U46" s="275" t="str">
        <s:f>IF(W46&lt;&gt;"",IF($I$12&lt;&gt;"",IF(G46&lt;&gt;"",G46,($I$9/$I$12-SUM($U$25:U45))*V46*W46/SUMPRODUCT($W$44:$W46,$V$44:$V46)),""),"")</s:f>
        <s:v/>
      </s:c>
      <s:c r="V46" s="276"/>
      <s:c r="W46" s="276"/>
      <s:c r="X46" s="319"/>
      <s:c r="Y46" s="319"/>
      <s:c r="Z46" s="320"/>
    </s:row>
    <s:row r="47" spans="1:30" s="268" customFormat="1">
      <s:c r="A47" s="321"/>
      <s:c r="B47" s="280"/>
      <s:c r="C47" s="284"/>
      <s:c r="D47" s="271"/>
      <s:c r="E47" s="270"/>
      <s:c r="F47" s="270" t="str">
        <s:f>IF(AND(E47&lt;&gt;"",E47&lt;&gt;0),D47/E47,"")</s:f>
        <s:v/>
      </s:c>
      <s:c r="G47" s="270"/>
      <s:c r="H47" s="270" t="str">
        <s:f>IF(AND(G47&lt;&gt;"",G47&lt;&gt;0),D47/G47,"")</s:f>
        <s:v/>
      </s:c>
      <s:c r="I47" s="270"/>
      <s:c r="J47" s="271" t="str">
        <s:f>IF(AND(G47&lt;&gt;"",G47&lt;&gt;0),E47/G47,"")</s:f>
        <s:v/>
      </s:c>
      <s:c r="K47" s="270"/>
      <s:c r="L47" s="270"/>
      <s:c r="M47" s="270"/>
      <s:c r="N47" s="312" t="str">
        <s:f>IF(AND(I47&lt;&gt;"",I47&lt;&gt;0),G47/I47,"")</s:f>
        <s:v/>
      </s:c>
      <s:c r="O47" s="273" t="e">
        <s:f>D47/P47</s:f>
        <s:v>#DIV/0!</s:v>
      </s:c>
      <s:c r="P47" s="274">
        <s:f>$I$8*V47*W47/SUMPRODUCT($W$25:$W$47,$V$25:$V$47)</s:f>
        <s:v>0</s:v>
      </s:c>
      <s:c r="Q47" s="275">
        <s:f>$I$9*V47*W47/SUMPRODUCT($W$25:$W$47,$V$25:$V$47)</s:f>
        <s:v>0</s:v>
      </s:c>
      <s:c r="R47" s="275">
        <s:f>IF($I$12="","",Q47/$I$12)</s:f>
        <s:v>0</s:v>
      </s:c>
      <s:c r="S47" s="274" t="str">
        <s:f>IF(W47&lt;&gt;"",IF(D47&lt;&gt;"",D47,($I$8-SUM($S$25:S46))*V47*W47/SUMPRODUCT($W47:$W$47,$V47:$V$47)),"")</s:f>
        <s:v/>
      </s:c>
      <s:c r="T47" s="275" t="str">
        <s:f>IF(W47&lt;&gt;"",IF(E47&lt;&gt;"",E47,($I$9-SUM($T$25:T46))*V47*W47/SUMPRODUCT($W47:$W$47,$V47:$V$47)),"")</s:f>
        <s:v/>
      </s:c>
      <s:c r="U47" s="275" t="str">
        <s:f>IF(W47&lt;&gt;"",IF($I$12&lt;&gt;"",IF(G47&lt;&gt;"",G47,($I$9/$I$12-SUM($U$25:U46))*V47*W47/SUMPRODUCT($W47:$W$47,$V47:$V$47)),""),"")</s:f>
        <s:v/>
      </s:c>
      <s:c r="V47" s="276"/>
      <s:c r="W47" s="276"/>
      <s:c r="X47" s="319"/>
      <s:c r="Y47" s="319"/>
      <s:c r="Z47" s="320"/>
    </s:row>
    <s:row r="48" spans="1:30" ht="15" customHeight="1">
      <s:c r="B48" s="623" t="s">
        <s:v>58</s:v>
      </s:c>
      <s:c r="C48" s="623"/>
      <s:c r="D48" s="129">
        <s:f>SUM(D25:D47)</s:f>
        <s:v>61496</s:v>
      </s:c>
      <s:c r="E48" s="129">
        <s:f>SUM(E25:E47)</s:f>
        <s:v>15</s:v>
      </s:c>
      <s:c r="F48" s="129">
        <s:f>IF(AND(E48&lt;&gt;"",E48&lt;&gt;0),D48/E48,"")</s:f>
        <s:v>4099.7333333333336</s:v>
      </s:c>
      <s:c r="G48" s="129">
        <s:f>SUM(G25:G47)</s:f>
        <s:v>11</s:v>
      </s:c>
      <s:c r="H48" s="129">
        <s:f>IF(AND(G48&lt;&gt;"",G48&lt;&gt;0),D48/G48,"")</s:f>
        <s:v>5590.545454545455</s:v>
      </s:c>
      <s:c r="I48" s="129">
        <s:f>SUM(I25:I47)</s:f>
        <s:v>64</s:v>
      </s:c>
      <s:c r="J48" s="128">
        <s:f>IF(AND(G48&lt;&gt;"",G48&lt;&gt;0),E48/G48,"")</s:f>
        <s:v>1.3636363636363635</s:v>
      </s:c>
      <s:c r="K48" s="129">
        <s:f>SUM(K25:K47)</s:f>
        <s:v>0</s:v>
      </s:c>
      <s:c r="L48" s="129">
        <s:f>SUM(L25:L47)</s:f>
        <s:v>13706</s:v>
      </s:c>
      <s:c r="M48" s="129">
        <s:f>SUM(M25:M47)</s:f>
        <s:v>0</s:v>
      </s:c>
      <s:c r="N48" s="130">
        <s:f>IF(AND(I48&lt;&gt;"",I48&lt;&gt;0),G48/I48,"")</s:f>
        <s:v>0.171875</s:v>
      </s:c>
      <s:c r="O48" s="131">
        <s:f>D48/P48</s:f>
        <s:v>0.24625021151286877</s:v>
      </s:c>
      <s:c r="P48" s="132">
        <s:f>SUM(P25:P47)</s:f>
        <s:v>249729.73473684219</s:v>
      </s:c>
      <s:c r="Q48" s="132">
        <s:f>SUM(Q25:Q47)</s:f>
        <s:v>50.348736842105275</s:v>
      </s:c>
      <s:c r="R48" s="132">
        <s:f>SUM(R25:R47)</s:f>
        <s:v>28.445614035087726</s:v>
      </s:c>
      <s:c r="S48" s="132">
        <s:f>SUM(S25:S47)</s:f>
        <s:v>249729.73473684213</s:v>
      </s:c>
      <s:c r="T48" s="132">
        <s:f>SUM(T25:T47)</s:f>
        <s:v>50.348736842105268</s:v>
      </s:c>
      <s:c r="U48" s="132">
        <s:f>SUM(U25:U47)</s:f>
        <s:v>28.445614035087722</s:v>
      </s:c>
      <s:c r="V48" s="133"/>
      <s:c r="W48" s="133"/>
    </s:row>
    <s:row r="49">
      <s:c r="B49" s="135"/>
      <s:c r="C49" s="136"/>
      <s:c r="D49" s="137">
        <s:f>SUMIF(D25:D47,"",P25:P47)+D48</s:f>
        <s:v>177705.57292249979</s:v>
      </s:c>
      <s:c r="E49" s="138"/>
      <s:c r="F49" s="136"/>
      <s:c r="G49" s="136"/>
      <s:c r="H49" s="139"/>
      <s:c r="I49" s="266"/>
      <s:c r="J49" s="139"/>
      <s:c r="L49" s="141"/>
      <s:c r="M49" s="138"/>
      <s:c r="N49" s="141"/>
      <s:c r="O49" s="141"/>
      <s:c r="P49" s="141"/>
      <s:c r="Q49" s="142"/>
    </s:row>
    <s:row r="50">
      <s:c r="D50" s="143"/>
    </s:row>
    <s:row r="51">
      <s:c r="D51" s="143"/>
    </s:row>
    <s:row r="52">
      <s:c r="D52" s="251"/>
    </s:row>
    <s:row r="53">
      <s:c r="D53" s="251"/>
    </s:row>
  </s:sheetData>
  <s:mergeCells count="28">
    <s:mergeCell ref="P22:W22"/>
    <s:mergeCell ref="B48:C48"/>
    <s:mergeCell ref="F18:H18"/>
    <s:mergeCell ref="F19:H19"/>
    <s:mergeCell ref="F20:H20"/>
    <s:mergeCell ref="B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121" priority="904" operator="greaterThan">
      <s:formula>0</s:formula>
    </s:cfRule>
    <s:cfRule type="cellIs" dxfId="120" priority="903" operator="lessThan">
      <s:formula>0</s:formula>
    </s:cfRule>
  </s:conditionalFormatting>
  <s:conditionalFormatting sqref="J25:J30">
    <s:cfRule type="cellIs" dxfId="119" priority="10" operator="lessThan">
      <s:formula>$I$12</s:formula>
    </s:cfRule>
  </s:conditionalFormatting>
  <s:conditionalFormatting sqref="J25:J31">
    <s:cfRule type="cellIs" dxfId="118" priority="11" operator="greaterThan">
      <s:formula>$I$12</s:formula>
    </s:cfRule>
  </s:conditionalFormatting>
  <s:conditionalFormatting sqref="J29:J30">
    <s:cfRule type="cellIs" dxfId="117" priority="1041" operator="lessThan">
      <s:formula>$I$12</s:formula>
    </s:cfRule>
  </s:conditionalFormatting>
  <s:conditionalFormatting sqref="J29:J42">
    <s:cfRule type="cellIs" dxfId="116" priority="1061" operator="greaterThan">
      <s:formula>$I$12</s:formula>
    </s:cfRule>
    <s:cfRule type="cellIs" dxfId="115" priority="1068" operator="lessThan">
      <s:formula>$I$12</s:formula>
    </s:cfRule>
  </s:conditionalFormatting>
  <s:conditionalFormatting sqref="J43:J47 J37">
    <s:cfRule type="cellIs" dxfId="114" priority="220" operator="greaterThan">
      <s:formula>$I$12</s:formula>
    </s:cfRule>
  </s:conditionalFormatting>
  <s:conditionalFormatting sqref="J43:J47">
    <s:cfRule type="cellIs" dxfId="113" priority="219" operator="lessThan">
      <s:formula>$I$12</s:formula>
    </s:cfRule>
  </s:conditionalFormatting>
  <s:conditionalFormatting sqref="K10:K12 K15">
    <s:cfRule type="cellIs" dxfId="112" priority="902" operator="greaterThan">
      <s:formula>1</s:formula>
    </s:cfRule>
    <s:cfRule type="cellIs" dxfId="111" priority="901" operator="lessThan">
      <s:formula>1</s:formula>
    </s:cfRule>
  </s:conditionalFormatting>
  <s:conditionalFormatting sqref="K13">
    <s:cfRule type="cellIs" dxfId="110" priority="552" operator="greaterThan">
      <s:formula>$K$14</s:formula>
    </s:cfRule>
    <s:cfRule type="cellIs" dxfId="109" priority="551" operator="lessThan">
      <s:formula>$K$14</s:formula>
    </s:cfRule>
  </s:conditionalFormatting>
  <s:conditionalFormatting sqref="M8:M15">
    <s:cfRule type="cellIs" dxfId="108" priority="919" operator="lessThan">
      <s:formula>1</s:formula>
    </s:cfRule>
    <s:cfRule type="cellIs" dxfId="107" priority="900" operator="greaterThan">
      <s:formula>1</s:formula>
    </s:cfRule>
  </s:conditionalFormatting>
  <s:conditionalFormatting sqref="N25:N37">
    <s:cfRule type="cellIs" dxfId="106" priority="8" operator="greaterThanOrEqual">
      <s:formula>0.25</s:formula>
    </s:cfRule>
    <s:cfRule type="cellIs" dxfId="105" priority="7" operator="between">
      <s:formula>0.2</s:formula>
      <s:formula>0.25</s:formula>
    </s:cfRule>
  </s:conditionalFormatting>
  <s:conditionalFormatting sqref="N25:N47">
    <s:cfRule type="cellIs" dxfId="104" priority="9" operator="lessThan">
      <s:formula>0.2</s:formula>
    </s:cfRule>
  </s:conditionalFormatting>
  <s:conditionalFormatting sqref="N38">
    <s:cfRule type="cellIs" dxfId="103" priority="1054" operator="between">
      <s:formula>0.2</s:formula>
      <s:formula>0.25</s:formula>
    </s:cfRule>
  </s:conditionalFormatting>
  <s:conditionalFormatting sqref="N38:N47">
    <s:cfRule type="cellIs" dxfId="102" priority="217" operator="greaterThanOrEqual">
      <s:formula>0.25</s:formula>
    </s:cfRule>
  </s:conditionalFormatting>
  <s:conditionalFormatting sqref="N39:N47">
    <s:cfRule type="cellIs" dxfId="101" priority="216" operator="between">
      <s:formula>0.2</s:formula>
      <s:formula>0.25</s:formula>
    </s:cfRule>
  </s:conditionalFormatting>
  <s:conditionalFormatting sqref="O25:O37">
    <s:cfRule type="cellIs" dxfId="100" priority="6" operator="between">
      <s:formula>0.01</s:formula>
      <s:formula>0.99</s:formula>
    </s:cfRule>
    <s:cfRule type="cellIs" dxfId="99" priority="5" operator="between">
      <s:formula>0.85</s:formula>
      <s:formula>1</s:formula>
    </s:cfRule>
    <s:cfRule type="cellIs" dxfId="98" priority="2" operator="lessThan">
      <s:formula>0.9</s:formula>
    </s:cfRule>
    <s:cfRule type="cellIs" dxfId="97" priority="1" operator="between">
      <s:formula>0.9001</s:formula>
      <s:formula>0.9999</s:formula>
    </s:cfRule>
  </s:conditionalFormatting>
  <s:conditionalFormatting sqref="O25:O47">
    <s:cfRule type="cellIs" dxfId="96" priority="4" operator="greaterThan">
      <s:formula>100</s:formula>
    </s:cfRule>
    <s:cfRule type="cellIs" dxfId="95" priority="3" operator="greaterThan">
      <s:formula>1</s:formula>
    </s:cfRule>
  </s:conditionalFormatting>
  <s:conditionalFormatting sqref="O38">
    <s:cfRule type="cellIs" dxfId="94" priority="1056" operator="between">
      <s:formula>0.85</s:formula>
      <s:formula>1</s:formula>
    </s:cfRule>
    <s:cfRule type="cellIs" dxfId="93" priority="1059" operator="lessThan">
      <s:formula>0.9</s:formula>
    </s:cfRule>
    <s:cfRule type="cellIs" dxfId="92" priority="1060" operator="between">
      <s:formula>0.9001</s:formula>
      <s:formula>0.9999</s:formula>
    </s:cfRule>
  </s:conditionalFormatting>
  <s:conditionalFormatting sqref="O38:O47">
    <s:cfRule type="cellIs" dxfId="91" priority="215" operator="between">
      <s:formula>0.01</s:formula>
      <s:formula>0.99</s:formula>
    </s:cfRule>
  </s:conditionalFormatting>
  <s:conditionalFormatting sqref="O39:O44">
    <s:cfRule type="cellIs" dxfId="90" priority="214" operator="between">
      <s:formula>0.85</s:formula>
      <s:formula>1</s:formula>
    </s:cfRule>
  </s:conditionalFormatting>
  <s:conditionalFormatting sqref="O39:O47">
    <s:cfRule type="cellIs" dxfId="89" priority="211" operator="lessThan">
      <s:formula>0.9</s:formula>
    </s:cfRule>
    <s:cfRule type="cellIs" dxfId="88" priority="210" operator="between">
      <s:formula>0.9001</s:formula>
      <s:formula>0.9999</s:formula>
    </s:cfRule>
  </s:conditionalFormatting>
  <s:conditionalFormatting sqref="O45:O47">
    <s:cfRule type="cellIs" dxfId="87" priority="639" operator="between">
      <s:formula>0.85</s:formula>
      <s:formula>1</s:formula>
    </s:cfRule>
  </s:conditionalFormatting>
  <s:conditionalFormatting sqref="P10:Q10">
    <s:cfRule type="cellIs" dxfId="86" priority="915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7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600-000000000000}">
  <s:sheetPr>
    <s:pageSetUpPr fitToPage="1"/>
  </s:sheetPr>
  <s:dimension ref="A1:IU53"/>
  <s:sheetViews>
    <s:sheetView showZeros="0" tabSelected="0" topLeftCell="A7" zoomScale="75" workbookViewId="0">
      <s:pane xSplit="3" topLeftCell="D1" activePane="topRight" state="frozen"/>
      <s:selection activeCell="J3" sqref="J3:N4"/>
      <s:selection pane="topRight" activeCell="A7" sqref="A7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10.164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84">
        <s:f ca="1">TODAY()-1</s:f>
        <s:v>46138</s:v>
      </s:c>
      <s:c r="C1" s="684"/>
      <s:c r="D1" s="11"/>
      <s:c r="E1" s="11"/>
      <s:c r="F1" s="12"/>
      <s:c r="G1" s="12"/>
      <s:c r="H1" s="12"/>
      <s:c r="I1" s="12"/>
      <s:c r="J1" s="225"/>
      <s:c r="K1" s="225"/>
      <s:c r="L1" s="225"/>
      <s:c r="M1" s="225"/>
      <s:c r="N1" s="225"/>
      <s:c r="O1" s="225"/>
      <s:c r="P1" s="225"/>
      <s:c r="Q1" s="685"/>
      <s:c r="R1" s="685"/>
      <s:c r="S1" s="685"/>
      <s:c r="T1" s="685"/>
      <s:c r="U1" s="12"/>
      <s:c r="V1" s="12"/>
      <s:c r="W1" s="12"/>
    </s:row>
    <s:row r="2" spans="2:23" ht="21.75" customHeight="1">
      <s:c r="B2" s="686" t="s">
        <s:v>0</s:v>
      </s:c>
      <s:c r="C2" s="686"/>
      <s:c r="D2" s="11"/>
      <s:c r="E2" s="11"/>
      <s:c r="F2" s="12"/>
      <s:c r="G2" s="12"/>
      <s:c r="H2" s="12"/>
      <s:c r="I2" s="12"/>
      <s:c r="J2" s="687" t="s">
        <s:v>70</s:v>
      </s:c>
      <s:c r="K2" s="687"/>
      <s:c r="L2" s="687"/>
      <s:c r="M2" s="687"/>
      <s:c r="N2" s="687"/>
      <s:c r="O2" s="687"/>
      <s:c r="P2" s="687"/>
      <s:c r="Q2" s="685"/>
      <s:c r="R2" s="685"/>
      <s:c r="S2" s="685"/>
      <s:c r="T2" s="685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88" t="str">
        <s:f>График!B26</s:f>
        <s:v>Ляйсан</s:v>
      </s:c>
      <s:c r="K3" s="689"/>
      <s:c r="L3" s="689"/>
      <s:c r="M3" s="689"/>
      <s:c r="N3" s="690"/>
      <s:c r="O3" s="225"/>
      <s:c r="P3" s="226"/>
      <s:c r="Q3" s="685"/>
      <s:c r="R3" s="685"/>
      <s:c r="S3" s="685"/>
      <s:c r="T3" s="685"/>
      <s:c r="U3" s="12"/>
      <s:c r="V3" s="12"/>
      <s:c r="W3" s="12"/>
    </s:row>
    <s:row r="4" spans="2:23" ht="15" customHeight="1">
      <s:c r="B4" s="11"/>
      <s:c r="C4" s="694">
        <s:f>I8-D48</s:f>
        <s:v>0</s:v>
      </s:c>
      <s:c r="D4" s="695"/>
      <s:c r="E4" s="227">
        <s:f>IF(I8&lt;&gt;0,C4/I8,0)</s:f>
        <s:v>0</s:v>
      </s:c>
      <s:c r="F4" s="12"/>
      <s:c r="G4" s="12"/>
      <s:c r="H4" s="12"/>
      <s:c r="I4" s="12"/>
      <s:c r="J4" s="691"/>
      <s:c r="K4" s="692"/>
      <s:c r="L4" s="692"/>
      <s:c r="M4" s="692"/>
      <s:c r="N4" s="693"/>
      <s:c r="O4" s="12"/>
      <s:c r="P4" s="12"/>
      <s:c r="Q4" s="685"/>
      <s:c r="R4" s="685"/>
      <s:c r="S4" s="685"/>
      <s:c r="T4" s="685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96"/>
      <s:c r="K5" s="696"/>
      <s:c r="L5" s="696"/>
      <s:c r="M5" s="696"/>
      <s:c r="N5" s="696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28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28"/>
      <s:c r="C7" s="12"/>
      <s:c r="D7" s="12"/>
      <s:c r="E7" s="12"/>
      <s:c r="F7" s="603" t="s">
        <s:v>3</s:v>
      </s:c>
      <s:c r="G7" s="604"/>
      <s:c r="H7" s="605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6" t="s">
        <s:v>11</s:v>
      </s:c>
      <s:c r="Q7" s="607"/>
      <s:c r="R7" s="21"/>
      <s:c r="S7" s="21"/>
      <s:c r="T7" s="12"/>
      <s:c r="U7" s="12"/>
      <s:c r="V7" s="12"/>
      <s:c r="W7" s="12"/>
    </s:row>
    <s:row r="8" spans="2:23" ht="15.75" customHeight="1">
      <s:c r="B8" s="228"/>
      <s:c r="C8" s="12"/>
      <s:c r="D8" s="12"/>
      <s:c r="E8" s="12"/>
      <s:c r="F8" s="608" t="s">
        <s:v>12</s:v>
      </s:c>
      <s:c r="G8" s="609"/>
      <s:c r="H8" s="610"/>
      <s:c r="I8" s="229">
        <s:f>'Ялта, Ленина, 18'!I8/График!AJ31*График!AJ26</s:f>
        <s:v>0</s:v>
      </s:c>
      <s:c r="J8" s="230">
        <s:f>D48</s:f>
        <s:v>0</s:v>
      </s:c>
      <s:c r="K8" s="304" t="str">
        <s:f>IF(AND(I8&lt;&gt;"",I8&lt;&gt;0,J8&lt;&gt;""),J8/I8,"")</s:f>
        <s:v/>
      </s:c>
      <s:c r="L8" s="232">
        <s:f>IF(SUMIF($D$25:$D$47,"&gt;=0",$P$25:$P$47)&lt;&gt;0,I8*D48/SUMIF($D$25:$D$47,"&gt;=0",$P$25:$P$47),0)</s:f>
        <s:v>0</s:v>
      </s:c>
      <s:c r="M8" s="32" t="str">
        <s:f>IF(AND(I8&lt;&gt;"",I8&lt;&gt;0,L8&lt;&gt;"",L8&lt;&gt;0),L8/I8,"")</s:f>
        <s:v/>
      </s:c>
      <s:c r="N8" s="35" t="str">
        <s:f>IF(AND(J8&lt;&gt;0,J8&lt;&gt;"",I8&lt;&gt;0,I8&lt;&gt;""),L8-I8,"")</s:f>
        <s:v/>
      </s:c>
      <s:c r="O8" s="34"/>
      <s:c r="P8" s="35" t="str">
        <s:f>IF(AND(O8&lt;&gt;"",O8&lt;&gt;0,L8&lt;&gt;"",L8&lt;&gt;0),-O8+L8,"")</s:f>
        <s:v/>
      </s:c>
      <s:c r="Q8" s="36" t="str">
        <s:f>IF(AND(P8&lt;&gt;"",P8&lt;&gt;0,O8&lt;&gt;0,O8&lt;&gt;""),P8/O8,"")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28"/>
      <s:c r="C9" s="12"/>
      <s:c r="D9" s="12"/>
      <s:c r="E9" s="12"/>
      <s:c r="F9" s="611" t="s">
        <s:v>13</s:v>
      </s:c>
      <s:c r="G9" s="612"/>
      <s:c r="H9" s="613"/>
      <s:c r="I9" s="38">
        <s:f>I8/I11</s:f>
        <s:v>0</s:v>
      </s:c>
      <s:c r="J9" s="39">
        <s:f>E48</s:f>
        <s:v>0</s:v>
      </s:c>
      <s:c r="K9" s="305" t="str">
        <s:f>IF(AND(I9&lt;&gt;"",I9&lt;&gt;0,J9&lt;&gt;""),J9/I9,"")</s:f>
        <s:v/>
      </s:c>
      <s:c r="L9" s="234">
        <s:f>IF(SUMIF($E$25:$E$47,"&gt;=0",$Q$25:$Q$47)&lt;&gt;0,I9*E48/SUMIF($E$25:$E$47,"&gt;=0",$Q$25:$Q$47),0)</s:f>
        <s:v>0</s:v>
      </s:c>
      <s:c r="M9" s="42" t="str">
        <s:f>IF(AND(I9&lt;&gt;"",I9&lt;&gt;0,L9&lt;&gt;"",L9&lt;&gt;0),L9/I9,"")</s:f>
        <s:v/>
      </s:c>
      <s:c r="N9" s="43" t="str">
        <s:f>IF(AND(J9&lt;&gt;0,J9&lt;&gt;"",I9&lt;&gt;0,I9&lt;&gt;""),L9-I9,"")</s:f>
        <s:v/>
      </s:c>
      <s:c r="O9" s="44" t="e">
        <s:f>O8/O11</s:f>
        <s:v>#DIV/0!</s:v>
      </s:c>
      <s:c r="P9" s="43" t="e">
        <s:f>IF(AND(O9&lt;&gt;"",O9&lt;&gt;0,L9&lt;&gt;"",L9&lt;&gt;0),-O9+L9,"")</s:f>
        <s:v>#DIV/0!</s:v>
      </s:c>
      <s:c r="Q9" s="45" t="e">
        <s:f>IF(AND(P9&lt;&gt;"",P9&lt;&gt;0,O9&lt;&gt;0,O9&lt;&gt;""),P9/O9,"")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28"/>
      <s:c r="C10" s="12"/>
      <s:c r="D10" s="12"/>
      <s:c r="E10" s="12"/>
      <s:c r="F10" s="608" t="s">
        <s:v>14</s:v>
      </s:c>
      <s:c r="G10" s="609"/>
      <s:c r="H10" s="610"/>
      <s:c r="I10" s="50">
        <s:f>I11*I12</s:f>
        <s:v>8779.2000000000007</s:v>
      </s:c>
      <s:c r="J10" s="236" t="str">
        <s:f>H48</s:f>
        <s:v/>
      </s:c>
      <s:c r="K10" s="306" t="str">
        <s:f>IF(AND(I10&lt;&gt;"",I10&lt;&gt;0,J10&lt;&gt;""),J10/I10,"")</s:f>
        <s:v/>
      </s:c>
      <s:c r="L10" s="234" t="str">
        <s:f>J10</s:f>
        <s:v/>
      </s:c>
      <s:c r="M10" s="48" t="str">
        <s:f>IF(AND(I10&lt;&gt;"",I10&lt;&gt;0,L10&lt;&gt;"",L10&lt;&gt;0),L10/I10,"")</s:f>
        <s:v/>
      </s:c>
      <s:c r="N10" s="49" t="str">
        <s:f>IF(AND(J10&lt;&gt;0,J10&lt;&gt;"",I10&lt;&gt;0,I10&lt;&gt;""),L10-I10,"")</s:f>
        <s:v/>
      </s:c>
      <s:c r="O10" s="50">
        <s:f>O11*O12</s:f>
        <s:v>0</s:v>
      </s:c>
      <s:c r="P10" s="49" t="str">
        <s:f>IF(AND(O10&lt;&gt;"",O10&lt;&gt;0,L10&lt;&gt;"",L10&lt;&gt;0),-O10+L10,"")</s:f>
        <s:v/>
      </s:c>
      <s:c r="Q10" s="51" t="str">
        <s:f>IF(AND(P10&lt;&gt;"",P10&lt;&gt;0,O10&lt;&gt;0,O10&lt;&gt;""),P10/O10,"")</s:f>
        <s:v/>
      </s:c>
      <s:c r="R10" s="21"/>
      <s:c r="S10" s="618" t="s">
        <s:v>15</s:v>
      </s:c>
      <s:c r="T10" s="618"/>
      <s:c r="U10" s="12"/>
      <s:c r="V10" s="12"/>
      <s:c r="W10" s="12"/>
    </s:row>
    <s:row r="11" spans="2:23" ht="15.75" customHeight="1">
      <s:c r="B11" s="228"/>
      <s:c r="C11" s="12"/>
      <s:c r="D11" s="12"/>
      <s:c r="E11" s="12"/>
      <s:c r="F11" s="611" t="s">
        <s:v>16</s:v>
      </s:c>
      <s:c r="G11" s="612"/>
      <s:c r="H11" s="613"/>
      <s:c r="I11" s="52">
        <s:f>'Ялта, Ленина, 18'!I11</s:f>
        <s:v>4960</s:v>
      </s:c>
      <s:c r="J11" s="39" t="str">
        <s:f>F48</s:f>
        <s:v/>
      </s:c>
      <s:c r="K11" s="307" t="str">
        <s:f>IF(AND(I11&lt;&gt;"",I11&lt;&gt;0,J11&lt;&gt;""),J11/I11,"")</s:f>
        <s:v/>
      </s:c>
      <s:c r="L11" s="234" t="str">
        <s:f>IF(L9&gt;0,L8/L9,"")</s:f>
        <s:v/>
      </s:c>
      <s:c r="M11" s="42" t="str">
        <s:f>IF(AND(I11&lt;&gt;"",I11&lt;&gt;0,L11&lt;&gt;"",L11&lt;&gt;0),L11/I11,"")</s:f>
        <s:v/>
      </s:c>
      <s:c r="N11" s="43" t="str">
        <s:f>IF(AND(J11&lt;&gt;0,J11&lt;&gt;"",I11&lt;&gt;0,I11&lt;&gt;""),L11-I11,"")</s:f>
        <s:v/>
      </s:c>
      <s:c r="O11" s="53"/>
      <s:c r="P11" s="43" t="str">
        <s:f>IF(AND(O11&lt;&gt;"",O11&lt;&gt;0,L11&lt;&gt;"",L11&lt;&gt;0),-O11+L11,"")</s:f>
        <s:v/>
      </s:c>
      <s:c r="Q11" s="45" t="str">
        <s:f>IF(AND(P11&lt;&gt;"",P11&lt;&gt;0,O11&lt;&gt;0,O11&lt;&gt;""),P11/O11,"")</s:f>
        <s:v/>
      </s:c>
      <s:c r="R11" s="21"/>
      <s:c r="S11" s="618"/>
      <s:c r="T11" s="618"/>
      <s:c r="U11" s="12"/>
      <s:c r="V11" s="12"/>
      <s:c r="W11" s="12"/>
    </s:row>
    <s:row r="12" spans="2:23" ht="15.75" customHeight="1">
      <s:c r="B12" s="228"/>
      <s:c r="C12" s="12"/>
      <s:c r="D12" s="12"/>
      <s:c r="E12" s="12"/>
      <s:c r="F12" s="611" t="s">
        <s:v>17</s:v>
      </s:c>
      <s:c r="G12" s="612"/>
      <s:c r="H12" s="613"/>
      <s:c r="I12" s="54">
        <s:f>'Ялта, Ленина, 18'!I12</s:f>
        <s:v>1.77</s:v>
      </s:c>
      <s:c r="J12" s="55" t="str">
        <s:f>J48</s:f>
        <s:v/>
      </s:c>
      <s:c r="K12" s="307" t="str">
        <s:f>IF(AND(I12&lt;&gt;"",I12&lt;&gt;0,J12&lt;&gt;""),J12/I12,"")</s:f>
        <s:v/>
      </s:c>
      <s:c r="L12" s="240" t="str">
        <s:f>J12</s:f>
        <s:v/>
      </s:c>
      <s:c r="M12" s="42" t="str">
        <s:f>IF(AND(I12&lt;&gt;"",I12&lt;&gt;0,L12&lt;&gt;"",L12&lt;&gt;0),L12/I12,"")</s:f>
        <s:v/>
      </s:c>
      <s:c r="N12" s="57" t="str">
        <s:f>IF(AND(J12&lt;&gt;0,J12&lt;&gt;"",I12&lt;&gt;0,I12&lt;&gt;""),L12-I12,"")</s:f>
        <s:v/>
      </s:c>
      <s:c r="O12" s="58"/>
      <s:c r="P12" s="43" t="str">
        <s:f>IF(AND(O12&lt;&gt;"",O12&lt;&gt;0,L12&lt;&gt;"",L12&lt;&gt;0),-O12+L12,"")</s:f>
        <s:v/>
      </s:c>
      <s:c r="Q12" s="45" t="str">
        <s:f>IF(AND(P12&lt;&gt;"",P12&lt;&gt;0,O12&lt;&gt;0,O12&lt;&gt;""),P12/O12,"")</s:f>
        <s:v/>
      </s:c>
      <s:c r="R12" s="21"/>
      <s:c r="S12" s="59">
        <s:f>'Ялта, Ленина, 18'!S12*График!AJ26/График!AJ31</s:f>
        <s:v>0</s:v>
      </s:c>
      <s:c r="T12" s="60">
        <s:f>L54</s:f>
        <s:v>0</s:v>
      </s:c>
      <s:c r="U12" s="12"/>
      <s:c r="V12" s="12"/>
      <s:c r="W12" s="12"/>
    </s:row>
    <s:row r="13" spans="2:23" ht="15.75" customHeight="1">
      <s:c r="B13" s="228"/>
      <s:c r="C13" s="12"/>
      <s:c r="D13" s="12"/>
      <s:c r="E13" s="12"/>
      <s:c r="F13" s="611" t="s">
        <s:v>18</s:v>
      </s:c>
      <s:c r="G13" s="612"/>
      <s:c r="H13" s="613"/>
      <s:c r="I13" s="38">
        <s:f>IF(I12&lt;&gt;0,I9/I12,"")</s:f>
        <s:v>0</s:v>
      </s:c>
      <s:c r="J13" s="39">
        <s:f>G48</s:f>
        <s:v>0</s:v>
      </s:c>
      <s:c r="K13" s="305" t="str">
        <s:f>IF(AND(I13&lt;&gt;"",I13&lt;&gt;0,J13&lt;&gt;""),J13/I13,"")</s:f>
        <s:v/>
      </s:c>
      <s:c r="L13" s="234" t="e">
        <s:f>IF(SUMIF($G$25:$G$47,"&gt;=0",$R$25:$R$47)&lt;&gt;0,I13*G48/SUMIF($G$25:$G$47,"&gt;=0",$R$25:$R$47),"")</s:f>
        <s:v>#DIV/0!</s:v>
      </s:c>
      <s:c r="M13" s="42" t="e">
        <s:f>IF(AND(I13&lt;&gt;"",I13&lt;&gt;0,L13&lt;&gt;"",L13&lt;&gt;0),L13/I13,"")</s:f>
        <s:v>#DIV/0!</s:v>
      </s:c>
      <s:c r="N13" s="57" t="str">
        <s:f>IF(AND(J13&lt;&gt;0,J13&lt;&gt;"",I13&lt;&gt;0,I13&lt;&gt;""),L13-I13,"")</s:f>
        <s:v/>
      </s:c>
      <s:c r="O13" s="61"/>
      <s:c r="P13" s="43" t="e">
        <s:f>IF(AND(O13&lt;&gt;"",O13&lt;&gt;0,L13&lt;&gt;"",L13&lt;&gt;0),-O13+L13,"")</s:f>
        <s:v>#DIV/0!</s:v>
      </s:c>
      <s:c r="Q13" s="45" t="e">
        <s:f>IF(AND(P13&lt;&gt;"",P13&lt;&gt;0,O13&lt;&gt;0,O13&lt;&gt;""),P13/O13,"")</s:f>
        <s:v>#DIV/0!</s:v>
      </s:c>
      <s:c r="R13" s="21"/>
      <s:c r="S13" s="62" t="e">
        <s:f>T12/S12</s:f>
        <s:v>#DIV/0!</s:v>
      </s:c>
      <s:c r="T13" s="62" t="e">
        <s:f>S13/J14*I14</s:f>
        <s:v>#DIV/0!</s:v>
      </s:c>
      <s:c r="U13" s="12"/>
      <s:c r="V13" s="12"/>
      <s:c r="W13" s="12"/>
    </s:row>
    <s:row r="14" spans="2:23" ht="15.75" customHeight="1">
      <s:c r="B14" s="228"/>
      <s:c r="C14" s="12"/>
      <s:c r="D14" s="241"/>
      <s:c r="E14" s="12"/>
      <s:c r="F14" s="611" t="s">
        <s:v>61</s:v>
      </s:c>
      <s:c r="G14" s="612"/>
      <s:c r="H14" s="613"/>
      <s:c r="I14" s="52">
        <s:f>График!AI27</s:f>
        <s:v>4</s:v>
      </s:c>
      <s:c r="J14" s="64"/>
      <s:c r="K14" s="305" t="str">
        <s:f>IF(AND(I14&lt;&gt;"",I14&lt;&gt;0,J14&lt;&gt;""),J14/I14,"")</s:f>
        <s:v/>
      </s:c>
      <s:c r="L14" s="41">
        <s:f>I14</s:f>
        <s:v>4</s:v>
      </s:c>
      <s:c r="M14" s="42">
        <s:f>IF(AND(I14&lt;&gt;"",I14&lt;&gt;0,L14&lt;&gt;"",L14&lt;&gt;0),L14/I14,"")</s:f>
        <s:v>1</s:v>
      </s:c>
      <s:c r="N14" s="43" t="str">
        <s:f>IF(AND(J14&lt;&gt;0,J14&lt;&gt;"",I14&lt;&gt;0,I14&lt;&gt;""),L14-I14,"")</s:f>
        <s:v/>
      </s:c>
      <s:c r="O14" s="61"/>
      <s:c r="P14" s="43" t="str">
        <s:f>IF(AND(O14&lt;&gt;"",O14&lt;&gt;0,L14&lt;&gt;"",L14&lt;&gt;0),-O14+L14,"")</s:f>
        <s:v/>
      </s:c>
      <s:c r="Q14" s="45" t="str">
        <s:f>IF(AND(P14&lt;&gt;"",P14&lt;&gt;0,O14&lt;&gt;0,O14&lt;&gt;""),P14/O14,"")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28"/>
      <s:c r="C15" s="12"/>
      <s:c r="D15" s="12"/>
      <s:c r="E15" s="12"/>
      <s:c r="F15" s="611" t="s">
        <s:v>20</s:v>
      </s:c>
      <s:c r="G15" s="612"/>
      <s:c r="H15" s="613"/>
      <s:c r="I15" s="75">
        <s:f>'Ялта, Ленина, 18'!I15</s:f>
        <s:v>86270.272000000012</s:v>
      </s:c>
      <s:c r="J15" s="67" t="e">
        <s:f>J8/J14</s:f>
        <s:v>#DIV/0!</s:v>
      </s:c>
      <s:c r="K15" s="77" t="e">
        <s:f>IF(AND(I15&lt;&gt;"",I15&lt;&gt;0,J15&lt;&gt;""),J15/I15,"")</s:f>
        <s:v>#DIV/0!</s:v>
      </s:c>
      <s:c r="L15" s="72" t="e">
        <s:f>J15</s:f>
        <s:v>#DIV/0!</s:v>
      </s:c>
      <s:c r="M15" s="70" t="e">
        <s:f>IF(AND(I15&lt;&gt;"",I15&lt;&gt;0,L15&lt;&gt;"",L15&lt;&gt;0),L15/I15,"")</s:f>
        <s:v>#DIV/0!</s:v>
      </s:c>
      <s:c r="N15" s="43" t="e">
        <s:f>IF(AND(J15&lt;&gt;0,J15&lt;&gt;"",I15&lt;&gt;0,I15&lt;&gt;""),L15-I15,"")</s:f>
        <s:v>#DIV/0!</s:v>
      </s:c>
      <s:c r="O15" s="71"/>
      <s:c r="P15" s="43" t="e">
        <s:f>IF(AND(O15&lt;&gt;"",O15&lt;&gt;0,L15&lt;&gt;"",L15&lt;&gt;0),-O15+L15,"")</s:f>
        <s:v>#DIV/0!</s:v>
      </s:c>
      <s:c r="Q15" s="45" t="e">
        <s:f>IF(AND(P15&lt;&gt;"",P15&lt;&gt;0,O15&lt;&gt;0,O15&lt;&gt;""),P15/O15,"")</s:f>
        <s:v>#DIV/0!</s:v>
      </s:c>
      <s:c r="R15" s="21"/>
      <s:c r="S15" s="37"/>
      <s:c r="T15" s="6"/>
      <s:c r="U15" s="12"/>
      <s:c r="V15" s="12"/>
      <s:c r="W15" s="12"/>
    </s:row>
    <s:row r="16" spans="2:23" ht="15.75" customHeight="1">
      <s:c r="B16" s="228"/>
      <s:c r="C16" s="12"/>
      <s:c r="D16" s="12"/>
      <s:c r="E16" s="12"/>
      <s:c r="F16" s="611" t="s">
        <s:v>21</s:v>
      </s:c>
      <s:c r="G16" s="612"/>
      <s:c r="H16" s="613"/>
      <s:c r="I16" s="75"/>
      <s:c r="J16" s="67">
        <s:f>J8-I15*J14</s:f>
        <s:v>0</s:v>
      </s:c>
      <s:c r="K16" s="77" t="str">
        <s:f>IF(AND(I16&lt;&gt;"",I16&lt;&gt;0,J16&lt;&gt;""),J16/I16,"")</s:f>
        <s:v/>
      </s:c>
      <s:c r="L16" s="72">
        <s:f>J16</s:f>
        <s:v>0</s:v>
      </s:c>
      <s:c r="M16" s="73" t="str">
        <s:f>IF(AND(I16&lt;&gt;"",I16&lt;&gt;0,L16&lt;&gt;"",L16&lt;&gt;0),L16/I16,"")</s:f>
        <s:v/>
      </s:c>
      <s:c r="N16" s="43" t="str">
        <s:f>IF(AND(J16&lt;&gt;0,J16&lt;&gt;"",I16&lt;&gt;0,I16&lt;&gt;""),L16-I16,"")</s:f>
        <s:v/>
      </s:c>
      <s:c r="O16" s="71"/>
      <s:c r="P16" s="43" t="str">
        <s:f>IF(AND(O16&lt;&gt;"",O16&lt;&gt;0,L16&lt;&gt;"",L16&lt;&gt;0),-O16+L16,"")</s:f>
        <s:v/>
      </s:c>
      <s:c r="Q16" s="45" t="str">
        <s:f>IF(AND(P16&lt;&gt;"",P16&lt;&gt;0,O16&lt;&gt;0,O16&lt;&gt;""),P16/O16,"")</s:f>
        <s:v/>
      </s:c>
      <s:c r="R16" s="21"/>
      <s:c r="S16" s="618" t="s">
        <s:v>22</s:v>
      </s:c>
      <s:c r="T16" s="618"/>
      <s:c r="U16" s="12"/>
      <s:c r="V16" s="12"/>
      <s:c r="W16" s="12"/>
    </s:row>
    <s:row r="17" spans="1:255" ht="15.75" customHeight="1">
      <s:c r="B17" s="228"/>
      <s:c r="C17" s="12"/>
      <s:c r="D17" s="12"/>
      <s:c r="E17" s="12"/>
      <s:c r="F17" s="611" t="s">
        <s:v>23</s:v>
      </s:c>
      <s:c r="G17" s="612"/>
      <s:c r="H17" s="613"/>
      <s:c r="I17" s="75">
        <s:f>'Ялта, Ленина, 18'!I17/График!AJ31*График!AJ26</s:f>
        <s:v>0</s:v>
      </s:c>
      <s:c r="J17" s="67">
        <s:f>I48</s:f>
        <s:v>0</s:v>
      </s:c>
      <s:c r="K17" s="77" t="str">
        <s:f>IF(AND(I17&lt;&gt;"",I17&lt;&gt;0,J17&lt;&gt;""),J17/I17,"")</s:f>
        <s:v/>
      </s:c>
      <s:c r="L17" s="78" t="e">
        <s:f>J17/J14*I14</s:f>
        <s:v>#DIV/0!</s:v>
      </s:c>
      <s:c r="M17" s="73" t="e">
        <s:f>IF(AND(I17&lt;&gt;"",I17&lt;&gt;0,L17&lt;&gt;"",L17&lt;&gt;0),L17/I17,"")</s:f>
        <s:v>#DIV/0!</s:v>
      </s:c>
      <s:c r="N17" s="43" t="str">
        <s:f>IF(AND(J17&lt;&gt;0,J17&lt;&gt;"",I17&lt;&gt;0,I17&lt;&gt;""),L17-I17,"")</s:f>
        <s:v/>
      </s:c>
      <s:c r="O17" s="71"/>
      <s:c r="P17" s="43" t="e">
        <s:f>IF(AND(O17&lt;&gt;"",O17&lt;&gt;0,L17&lt;&gt;"",L17&lt;&gt;0),-O17+L17,"")</s:f>
        <s:v>#DIV/0!</s:v>
      </s:c>
      <s:c r="Q17" s="45" t="e">
        <s:f>IF(AND(P17&lt;&gt;"",P17&lt;&gt;0,O17&lt;&gt;0,O17&lt;&gt;""),P17/O17,"")</s:f>
        <s:v>#DIV/0!</s:v>
      </s:c>
      <s:c r="R17" s="21"/>
      <s:c r="S17" s="618"/>
      <s:c r="T17" s="618"/>
      <s:c r="U17" s="12"/>
      <s:c r="V17" s="12"/>
      <s:c r="W17" s="12"/>
    </s:row>
    <s:row r="18" spans="1:255" ht="15.75" customHeight="1">
      <s:c r="B18" s="228"/>
      <s:c r="C18" s="12"/>
      <s:c r="D18" s="12"/>
      <s:c r="E18" s="12"/>
      <s:c r="F18" s="611"/>
      <s:c r="G18" s="612"/>
      <s:c r="H18" s="613"/>
      <s:c r="I18" s="76"/>
      <s:c r="J18" s="67"/>
      <s:c r="K18" s="77" t="str">
        <s:f>IF(AND(I18&lt;&gt;"",I18&lt;&gt;0,J18&lt;&gt;""),J18/I18,"")</s:f>
        <s:v/>
      </s:c>
      <s:c r="L18" s="72">
        <s:f>J18</s:f>
        <s:v>0</s:v>
      </s:c>
      <s:c r="M18" s="73" t="str">
        <s:f>IF(AND(I18&lt;&gt;"",I18&lt;&gt;0,L18&lt;&gt;"",L18&lt;&gt;0),L18/I18,"")</s:f>
        <s:v/>
      </s:c>
      <s:c r="N18" s="43" t="str">
        <s:f>IF(AND(J18&lt;&gt;0,J18&lt;&gt;"",I18&lt;&gt;0,I18&lt;&gt;""),L18-I18,"")</s:f>
        <s:v/>
      </s:c>
      <s:c r="O18" s="79">
        <s:v>0</s:v>
      </s:c>
      <s:c r="P18" s="43" t="str">
        <s:f>IF(AND(O18&lt;&gt;"",O18&lt;&gt;0,L18&lt;&gt;"",L18&lt;&gt;0),-O18+L18,"")</s:f>
        <s:v/>
      </s:c>
      <s:c r="Q18" s="45" t="str">
        <s:f>IF(AND(P18&lt;&gt;"",P18&lt;&gt;0,O18&lt;&gt;0,O18&lt;&gt;""),P18/O18,"")</s:f>
        <s:v/>
      </s:c>
      <s:c r="R18" s="21"/>
      <s:c r="S18" s="59">
        <s:f>'Ялта, Ленина, 18'!S18*График!AJ26/График!AJ31</s:f>
        <s:v>0</s:v>
      </s:c>
      <s:c r="T18" s="60">
        <s:f>K54</s:f>
        <s:v>0</s:v>
      </s:c>
      <s:c r="U18" s="12"/>
      <s:c r="V18" s="12"/>
      <s:c r="W18" s="12"/>
    </s:row>
    <s:row r="19" spans="1:255" ht="15.75" customHeight="1">
      <s:c r="B19" s="228"/>
      <s:c r="C19" s="12"/>
      <s:c r="D19" s="12"/>
      <s:c r="E19" s="12"/>
      <s:c r="F19" s="611"/>
      <s:c r="G19" s="612"/>
      <s:c r="H19" s="613"/>
      <s:c r="I19" s="76"/>
      <s:c r="J19" s="67">
        <s:f>M48</s:f>
        <s:v>0</s:v>
      </s:c>
      <s:c r="K19" s="77" t="str">
        <s:f>IF(AND(I19&lt;&gt;"",I19&lt;&gt;0,J19&lt;&gt;""),J19/I19,"")</s:f>
        <s:v/>
      </s:c>
      <s:c r="L19" s="72">
        <s:f>J19</s:f>
        <s:v>0</s:v>
      </s:c>
      <s:c r="M19" s="73" t="str">
        <s:f>IF(AND(I19&lt;&gt;"",I19&lt;&gt;0,L19&lt;&gt;"",L19&lt;&gt;0),L19/I19,"")</s:f>
        <s:v/>
      </s:c>
      <s:c r="N19" s="43" t="str">
        <s:f>IF(AND(J19&lt;&gt;0,J19&lt;&gt;"",I19&lt;&gt;0,I19&lt;&gt;""),L19-I19,"")</s:f>
        <s:v/>
      </s:c>
      <s:c r="O19" s="71">
        <s:v>0</s:v>
      </s:c>
      <s:c r="P19" s="43" t="str">
        <s:f>IF(AND(O19&lt;&gt;"",O19&lt;&gt;0,L19&lt;&gt;"",L19&lt;&gt;0),-O19+L19,"")</s:f>
        <s:v/>
      </s:c>
      <s:c r="Q19" s="45" t="str">
        <s:f>IF(AND(P19&lt;&gt;"",P19&lt;&gt;0,O19&lt;&gt;0,O19&lt;&gt;""),P19/O19,"")</s:f>
        <s:v/>
      </s:c>
      <s:c r="R19" s="21"/>
      <s:c r="S19" s="62" t="e">
        <s:f>T18/S18</s:f>
        <s:v>#DIV/0!</s:v>
      </s:c>
      <s:c r="T19" s="62" t="e">
        <s:f>S19/J14*I14</s:f>
        <s:v>#DIV/0!</s:v>
      </s:c>
      <s:c r="U19" s="12"/>
      <s:c r="V19" s="12"/>
      <s:c r="W19" s="12"/>
    </s:row>
    <s:row r="20" spans="1:255" ht="15.75" customHeight="1">
      <s:c r="B20" s="228"/>
      <s:c r="C20" s="12"/>
      <s:c r="D20" s="12"/>
      <s:c r="E20" s="12"/>
      <s:c r="F20" s="619" t="s">
        <s:v>24</s:v>
      </s:c>
      <s:c r="G20" s="619"/>
      <s:c r="H20" s="619"/>
      <s:c r="I20" s="244">
        <s:f>'Ялта, Ленина, 18'!I20</s:f>
        <s:v>0.22</s:v>
      </s:c>
      <s:c r="J20" s="245" t="str">
        <s:f>N48</s:f>
        <s:v/>
      </s:c>
      <s:c r="K20" s="245" t="e">
        <s:f>J20/I20</s:f>
        <s:v>#VALUE!</s:v>
      </s:c>
      <s:c r="L20" s="247">
        <s:f>IF(AND(K8&lt;&gt;0,I14&lt;&gt;0,I48&lt;&gt;0),(I48*N48+(I48/K8-I48)*I20)/(I48/K8),0)</s:f>
        <s:v>0</s:v>
      </s:c>
      <s:c r="M20" s="83" t="str">
        <s:f>IF(AND(I20&lt;&gt;"",I20&lt;&gt;0,L20&lt;&gt;"",L20&lt;&gt;0),L20/I20,"")</s:f>
        <s:v/>
      </s:c>
      <s:c r="N20" s="84" t="str">
        <s:f>IF(AND(J20&lt;&gt;0,J20&lt;&gt;"",I20&lt;&gt;0,I20&lt;&gt;""),L20-I20,"")</s:f>
        <s:v/>
      </s:c>
      <s:c r="O20" s="85"/>
      <s:c r="P20" s="86" t="str">
        <s:f>IF(AND(O20&lt;&gt;"",O20&lt;&gt;0,L20&lt;&gt;"",L20&lt;&gt;0),-O20+L20,"")</s:f>
        <s:v/>
      </s:c>
      <s:c r="Q20" s="87" t="str">
        <s:f>IF(AND(P20&lt;&gt;"",P20&lt;&gt;0,O20&lt;&gt;0,O20&lt;&gt;""),P20/O20,"")</s:f>
        <s:v/>
      </s:c>
      <s:c r="R20" s="21"/>
      <s:c r="S20" s="21"/>
      <s:c r="T20" s="12"/>
      <s:c r="U20" s="12"/>
      <s:c r="V20" s="12"/>
      <s:c r="W20" s="12"/>
    </s:row>
    <s:row r="21" spans="1:255" ht="15.75" customHeight="1">
      <s:c r="B21" s="228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255" ht="16.5" customHeight="1">
      <s:c r="B22" s="703" t="s">
        <s:v>25</s:v>
      </s:c>
      <s:c r="C22" s="703"/>
      <s:c r="D22" s="703"/>
      <s:c r="E22" s="703"/>
      <s:c r="F22" s="703"/>
      <s:c r="G22" s="703"/>
      <s:c r="H22" s="703"/>
      <s:c r="I22" s="703"/>
      <s:c r="J22" s="703"/>
      <s:c r="K22" s="703"/>
      <s:c r="L22" s="703"/>
      <s:c r="M22" s="703"/>
      <s:c r="N22" s="703"/>
      <s:c r="O22" s="704" t="s">
        <s:v>26</s:v>
      </s:c>
      <s:c r="P22" s="703" t="s">
        <s:v>27</s:v>
      </s:c>
      <s:c r="Q22" s="703"/>
      <s:c r="R22" s="703"/>
      <s:c r="S22" s="703"/>
      <s:c r="T22" s="703"/>
      <s:c r="U22" s="703"/>
      <s:c r="V22" s="703"/>
      <s:c r="W22" s="703"/>
    </s:row>
    <s:row r="23" ht="36">
      <s:c r="B23" s="248" t="s">
        <s:v>29</s:v>
      </s:c>
      <s:c r="C23" s="248" t="s">
        <s:v>30</s:v>
      </s:c>
      <s:c r="D23" s="248" t="s">
        <s:v>31</s:v>
      </s:c>
      <s:c r="E23" s="248" t="s">
        <s:v>32</s:v>
      </s:c>
      <s:c r="F23" s="248" t="s">
        <s:v>33</s:v>
      </s:c>
      <s:c r="G23" s="248" t="s">
        <s:v>34</s:v>
      </s:c>
      <s:c r="H23" s="248" t="s">
        <s:v>35</s:v>
      </s:c>
      <s:c r="I23" s="248" t="s">
        <s:v>23</s:v>
      </s:c>
      <s:c r="J23" s="248" t="s">
        <s:v>36</s:v>
      </s:c>
      <s:c r="K23" s="90" t="s">
        <s:v>22</s:v>
      </s:c>
      <s:c r="L23" s="90" t="s">
        <s:v>15</s:v>
      </s:c>
      <s:c r="M23" s="249" t="s">
        <s:v>37</s:v>
      </s:c>
      <s:c r="N23" s="248" t="s">
        <s:v>38</s:v>
      </s:c>
      <s:c r="O23" s="704"/>
      <s:c r="P23" s="248" t="s">
        <s:v>39</s:v>
      </s:c>
      <s:c r="Q23" s="248" t="s">
        <s:v>40</s:v>
      </s:c>
      <s:c r="R23" s="248" t="s">
        <s:v>41</s:v>
      </s:c>
      <s:c r="S23" s="248" t="s">
        <s:v>42</s:v>
      </s:c>
      <s:c r="T23" s="248" t="s">
        <s:v>43</s:v>
      </s:c>
      <s:c r="U23" s="248" t="s">
        <s:v>44</s:v>
      </s:c>
      <s:c r="V23" s="250" t="s">
        <s:v>45</s:v>
      </s:c>
      <s:c r="W23" s="250" t="s">
        <s:v>46</s:v>
      </s:c>
      <s:c r="X23" s="251"/>
    </s:row>
    <s:row r="24">
      <s:c r="B24" s="252">
        <s:v>1</s:v>
      </s:c>
      <s:c r="C24" s="253">
        <s:v>2</s:v>
      </s:c>
      <s:c r="D24" s="252">
        <s:v>3</s:v>
      </s:c>
      <s:c r="E24" s="252">
        <s:v>4</s:v>
      </s:c>
      <s:c r="F24" s="252">
        <s:v>5</s:v>
      </s:c>
      <s:c r="G24" s="252">
        <s:v>6</s:v>
      </s:c>
      <s:c r="H24" s="252">
        <s:v>7</s:v>
      </s:c>
      <s:c r="I24" s="252">
        <s:v>8</s:v>
      </s:c>
      <s:c r="J24" s="252">
        <s:v>9</s:v>
      </s:c>
      <s:c r="K24" s="252">
        <s:v>10</s:v>
      </s:c>
      <s:c r="L24" s="252">
        <s:v>11</s:v>
      </s:c>
      <s:c r="M24" s="252">
        <s:v>12</s:v>
      </s:c>
      <s:c r="N24" s="252">
        <s:v>13</s:v>
      </s:c>
      <s:c r="O24" s="704"/>
      <s:c r="P24" s="254">
        <s:v>1</s:v>
      </s:c>
      <s:c r="Q24" s="254">
        <s:v>2</s:v>
      </s:c>
      <s:c r="R24" s="254">
        <s:v>3</s:v>
      </s:c>
      <s:c r="S24" s="254">
        <s:v>4</s:v>
      </s:c>
      <s:c r="T24" s="254">
        <s:v>5</s:v>
      </s:c>
      <s:c r="U24" s="254">
        <s:v>6</s:v>
      </s:c>
      <s:c r="V24" s="254">
        <s:v>10</s:v>
      </s:c>
      <s:c r="W24" s="254">
        <s:v>11</s:v>
      </s:c>
    </s:row>
    <s:row r="25" spans="1:255" s="268" customFormat="1">
      <s:c r="A25" s="269">
        <s:v>1</s:v>
      </s:c>
      <s:c r="B25" s="322"/>
      <s:c r="C25" s="323"/>
      <s:c r="D25" s="324"/>
      <s:c r="E25" s="325"/>
      <s:c r="F25" s="326" t="str">
        <s:f>IF(AND(E25&lt;&gt;"",E25&lt;&gt;0),D25/E25,"")</s:f>
        <s:v/>
      </s:c>
      <s:c r="G25" s="325"/>
      <s:c r="H25" s="326" t="str">
        <s:f>IF(AND(G25&lt;&gt;"",G25&lt;&gt;0),D25/G25,"")</s:f>
        <s:v/>
      </s:c>
      <s:c r="I25" s="327"/>
      <s:c r="J25" s="328" t="str">
        <s:f>IF(AND(G25&lt;&gt;"",G25&lt;&gt;0),E25/G25,"")</s:f>
        <s:v/>
      </s:c>
      <s:c r="K25" s="270"/>
      <s:c r="L25" s="270"/>
      <s:c r="M25" s="270"/>
      <s:c r="N25" s="272" t="str">
        <s:f>IF(AND(I25&lt;&gt;"",I25&lt;&gt;0),G25/I25,"")</s:f>
        <s:v/>
      </s:c>
      <s:c r="O25" s="273" t="e">
        <s:f>D25/P25</s:f>
        <s:v>#DIV/0!</s:v>
      </s:c>
      <s:c r="P25" s="274" t="e">
        <s:f>$I$8*V25*W25/SUMPRODUCT($W$25:$W$55,$V$25:$V$55)</s:f>
        <s:v>#DIV/0!</s:v>
      </s:c>
      <s:c r="Q25" s="275" t="e">
        <s:f>$I$9*V25*W25/SUMPRODUCT($W$25:$W$55,$V$25:$V$55)</s:f>
        <s:v>#DIV/0!</s:v>
      </s:c>
      <s:c r="R25" s="275" t="e">
        <s:f>IF($I$12="","",Q25/$I$12)</s:f>
        <s:v>#DIV/0!</s:v>
      </s:c>
      <s:c r="S25" s="274" t="e">
        <s:f>IF(D25&lt;&gt;"",D25,P25)</s:f>
        <s:v>#DIV/0!</s:v>
      </s:c>
      <s:c r="T25" s="275" t="e">
        <s:f>IF(E25&lt;&gt;"",E25,Q25)</s:f>
        <s:v>#DIV/0!</s:v>
      </s:c>
      <s:c r="U25" s="275" t="e">
        <s:f>IF(G25&lt;&gt;"",G25,R25)</s:f>
        <s:v>#DIV/0!</s:v>
      </s:c>
      <s:c r="V25" s="276"/>
      <s:c r="W25" s="276"/>
      <s:c r="X25" s="278"/>
      <s:c r="Y25" s="277"/>
      <s:c r="Z25" s="278"/>
      <s:c r="AA25" s="278"/>
      <s:c r="AB25" s="278"/>
      <s:c r="AC25" s="278"/>
      <s:c r="AD25" s="278"/>
    </s:row>
    <s:row r="26" spans="1:255" s="329" customFormat="1">
      <s:c r="A26" s="269">
        <s:v>2</s:v>
      </s:c>
      <s:c r="B26" s="280"/>
      <s:c r="C26" s="281"/>
      <s:c r="D26" s="285"/>
      <s:c r="E26" s="270"/>
      <s:c r="F26" s="282" t="str">
        <s:f>IF(AND(E26&lt;&gt;"",E26&lt;&gt;0),D26/E26,"")</s:f>
        <s:v/>
      </s:c>
      <s:c r="G26" s="270">
        <s:v>0</s:v>
      </s:c>
      <s:c r="H26" s="282" t="str">
        <s:f>IF(AND(G26&lt;&gt;"",G26&lt;&gt;0),D26/G26,"")</s:f>
        <s:v/>
      </s:c>
      <s:c r="I26" s="270"/>
      <s:c r="J26" s="271" t="str">
        <s:f>IF(AND(G26&lt;&gt;"",G26&lt;&gt;0),E26/G26,"")</s:f>
        <s:v/>
      </s:c>
      <s:c r="K26" s="270"/>
      <s:c r="L26" s="270"/>
      <s:c r="M26" s="270"/>
      <s:c r="N26" s="272" t="str">
        <s:f>IF(AND(I26&lt;&gt;"",I26&lt;&gt;0),G26/I26,"")</s:f>
        <s:v/>
      </s:c>
      <s:c r="O26" s="273" t="e">
        <s:f>D26/P26</s:f>
        <s:v>#DIV/0!</s:v>
      </s:c>
      <s:c r="P26" s="274" t="e">
        <s:f>$I$8*V26*W26/SUMPRODUCT($W$25:$W$55,$V$25:$V$55)</s:f>
        <s:v>#DIV/0!</s:v>
      </s:c>
      <s:c r="Q26" s="275" t="e">
        <s:f>$I$9*V26*W26/SUMPRODUCT($W$25:$W$55,$V$25:$V$55)</s:f>
        <s:v>#DIV/0!</s:v>
      </s:c>
      <s:c r="R26" s="275" t="e">
        <s:f>IF($I$12="","",Q26/$I$12)</s:f>
        <s:v>#DIV/0!</s:v>
      </s:c>
      <s:c r="S26" s="274" t="str">
        <s:f>IF(W26&lt;&gt;"",IF(D26&lt;&gt;"",D26,($I$8-SUM($S$25:S25))*V26*W26/SUMPRODUCT($W26:$W$55,$V26:$V$55)),"")</s:f>
        <s:v/>
      </s:c>
      <s:c r="T26" s="275" t="str">
        <s:f>IF(W26&lt;&gt;"",IF(E26&lt;&gt;"",E26,($I$9-SUM($T$25:T25))*V26*W26/SUMPRODUCT($W26:$W$55,$V26:$V$55)),"")</s:f>
        <s:v/>
      </s:c>
      <s:c r="U26" s="275" t="str">
        <s:f>IF(W26&lt;&gt;"",IF($I$12&lt;&gt;"",IF(G26&lt;&gt;"",G26,($I$9/$I$12-SUM($U$25:U25))*V26*W26/SUMPRODUCT($W26:$W$55,$V26:$V$55)),""),"")</s:f>
        <s:v/>
      </s:c>
      <s:c r="V26" s="276"/>
      <s:c r="W26" s="276"/>
      <s:c r="X26" s="277"/>
      <s:c r="Y26" s="277"/>
      <s:c r="Z26" s="278"/>
      <s:c r="AA26" s="278"/>
      <s:c r="AB26" s="278"/>
      <s:c r="AC26" s="278"/>
      <s:c r="AD26" s="278"/>
      <s:c r="AE26" s="278"/>
      <s:c r="AF26" s="278"/>
      <s:c r="AG26" s="278"/>
      <s:c r="AH26" s="278"/>
      <s:c r="AI26" s="278"/>
      <s:c r="AJ26" s="278"/>
      <s:c r="AK26" s="278"/>
      <s:c r="AL26" s="278"/>
      <s:c r="AM26" s="278"/>
      <s:c r="AN26" s="278"/>
      <s:c r="AO26" s="278"/>
      <s:c r="AP26" s="278"/>
      <s:c r="AQ26" s="278"/>
      <s:c r="AR26" s="278"/>
      <s:c r="AS26" s="278"/>
      <s:c r="AT26" s="278"/>
      <s:c r="AU26" s="278"/>
      <s:c r="AV26" s="278"/>
      <s:c r="AW26" s="278"/>
      <s:c r="AX26" s="278"/>
      <s:c r="AY26" s="278"/>
      <s:c r="AZ26" s="278"/>
      <s:c r="BA26" s="278"/>
      <s:c r="BB26" s="278"/>
      <s:c r="BC26" s="278"/>
      <s:c r="BD26" s="278"/>
      <s:c r="BE26" s="278"/>
      <s:c r="BF26" s="278"/>
      <s:c r="BG26" s="278"/>
      <s:c r="BH26" s="278"/>
      <s:c r="BI26" s="278"/>
      <s:c r="BJ26" s="278"/>
      <s:c r="BK26" s="278"/>
      <s:c r="BL26" s="278"/>
      <s:c r="BM26" s="278"/>
      <s:c r="BN26" s="278"/>
      <s:c r="BO26" s="278"/>
      <s:c r="BP26" s="278"/>
      <s:c r="BQ26" s="278"/>
      <s:c r="BR26" s="278"/>
      <s:c r="BS26" s="278"/>
      <s:c r="BT26" s="278"/>
      <s:c r="BU26" s="278"/>
      <s:c r="BV26" s="278"/>
      <s:c r="BW26" s="278"/>
      <s:c r="BX26" s="278"/>
      <s:c r="BY26" s="278"/>
      <s:c r="BZ26" s="278"/>
      <s:c r="CA26" s="278"/>
      <s:c r="CB26" s="278"/>
      <s:c r="CC26" s="278"/>
      <s:c r="CD26" s="278"/>
      <s:c r="CE26" s="278"/>
      <s:c r="CF26" s="278"/>
      <s:c r="CG26" s="278"/>
      <s:c r="CH26" s="278"/>
      <s:c r="CI26" s="278"/>
      <s:c r="CJ26" s="278"/>
      <s:c r="CK26" s="278"/>
      <s:c r="CL26" s="278"/>
      <s:c r="CM26" s="278"/>
      <s:c r="CN26" s="278"/>
      <s:c r="CO26" s="278"/>
      <s:c r="CP26" s="278"/>
      <s:c r="CQ26" s="278"/>
      <s:c r="CR26" s="278"/>
      <s:c r="CS26" s="278"/>
      <s:c r="CT26" s="278"/>
      <s:c r="CU26" s="278"/>
      <s:c r="CV26" s="278"/>
      <s:c r="CW26" s="278"/>
      <s:c r="CX26" s="278"/>
      <s:c r="CY26" s="278"/>
      <s:c r="CZ26" s="278"/>
      <s:c r="DA26" s="278"/>
      <s:c r="DB26" s="278"/>
      <s:c r="DC26" s="278"/>
      <s:c r="DD26" s="278"/>
      <s:c r="DE26" s="278"/>
      <s:c r="DF26" s="278"/>
      <s:c r="DG26" s="278"/>
      <s:c r="DH26" s="278"/>
      <s:c r="DI26" s="278"/>
      <s:c r="DJ26" s="278"/>
      <s:c r="DK26" s="278"/>
      <s:c r="DL26" s="278"/>
      <s:c r="DM26" s="278"/>
      <s:c r="DN26" s="278"/>
      <s:c r="DO26" s="278"/>
      <s:c r="DP26" s="278"/>
      <s:c r="DQ26" s="278"/>
      <s:c r="DR26" s="278"/>
      <s:c r="DS26" s="278"/>
      <s:c r="DT26" s="278"/>
      <s:c r="DU26" s="278"/>
      <s:c r="DV26" s="278"/>
      <s:c r="DW26" s="278"/>
      <s:c r="DX26" s="278"/>
      <s:c r="DY26" s="278"/>
      <s:c r="DZ26" s="278"/>
      <s:c r="EA26" s="278"/>
      <s:c r="EB26" s="278"/>
      <s:c r="EC26" s="278"/>
      <s:c r="ED26" s="278"/>
      <s:c r="EE26" s="278"/>
      <s:c r="EF26" s="278"/>
      <s:c r="EG26" s="278"/>
      <s:c r="EH26" s="278"/>
      <s:c r="EI26" s="278"/>
      <s:c r="EJ26" s="278"/>
      <s:c r="EK26" s="278"/>
      <s:c r="EL26" s="278"/>
      <s:c r="EM26" s="278"/>
      <s:c r="EN26" s="278"/>
      <s:c r="EO26" s="278"/>
      <s:c r="EP26" s="278"/>
      <s:c r="EQ26" s="278"/>
      <s:c r="ER26" s="278"/>
      <s:c r="ES26" s="278"/>
      <s:c r="ET26" s="278"/>
      <s:c r="EU26" s="278"/>
      <s:c r="EV26" s="278"/>
      <s:c r="EW26" s="278"/>
      <s:c r="EX26" s="278"/>
      <s:c r="EY26" s="278"/>
      <s:c r="EZ26" s="278"/>
      <s:c r="FA26" s="278"/>
      <s:c r="FB26" s="278"/>
      <s:c r="FC26" s="278"/>
      <s:c r="FD26" s="278"/>
      <s:c r="FE26" s="278"/>
      <s:c r="FF26" s="278"/>
      <s:c r="FG26" s="278"/>
      <s:c r="FH26" s="278"/>
      <s:c r="FI26" s="278"/>
      <s:c r="FJ26" s="278"/>
      <s:c r="FK26" s="278"/>
      <s:c r="FL26" s="278"/>
      <s:c r="FM26" s="278"/>
      <s:c r="FN26" s="278"/>
      <s:c r="FO26" s="278"/>
      <s:c r="FP26" s="278"/>
      <s:c r="FQ26" s="278"/>
      <s:c r="FR26" s="278"/>
      <s:c r="FS26" s="278"/>
      <s:c r="FT26" s="278"/>
      <s:c r="FU26" s="278"/>
      <s:c r="FV26" s="278"/>
      <s:c r="FW26" s="278"/>
      <s:c r="FX26" s="278"/>
      <s:c r="FY26" s="278"/>
      <s:c r="FZ26" s="278"/>
      <s:c r="GA26" s="278"/>
      <s:c r="GB26" s="278"/>
      <s:c r="GC26" s="278"/>
      <s:c r="GD26" s="278"/>
      <s:c r="GE26" s="278"/>
      <s:c r="GF26" s="278"/>
      <s:c r="GG26" s="278"/>
      <s:c r="GH26" s="278"/>
      <s:c r="GI26" s="278"/>
      <s:c r="GJ26" s="278"/>
      <s:c r="GK26" s="278"/>
      <s:c r="GL26" s="278"/>
      <s:c r="GM26" s="278"/>
      <s:c r="GN26" s="278"/>
      <s:c r="GO26" s="278"/>
      <s:c r="GP26" s="278"/>
      <s:c r="GQ26" s="278"/>
      <s:c r="GR26" s="278"/>
      <s:c r="GS26" s="278"/>
      <s:c r="GT26" s="278"/>
      <s:c r="GU26" s="278"/>
      <s:c r="GV26" s="278"/>
      <s:c r="GW26" s="278"/>
      <s:c r="GX26" s="278"/>
      <s:c r="GY26" s="278"/>
      <s:c r="GZ26" s="278"/>
      <s:c r="HA26" s="278"/>
      <s:c r="HB26" s="278"/>
      <s:c r="HC26" s="278"/>
      <s:c r="HD26" s="278"/>
      <s:c r="HE26" s="278"/>
      <s:c r="HF26" s="278"/>
      <s:c r="HG26" s="278"/>
      <s:c r="HH26" s="278"/>
      <s:c r="HI26" s="278"/>
      <s:c r="HJ26" s="278"/>
      <s:c r="HK26" s="278"/>
      <s:c r="HL26" s="278"/>
      <s:c r="HM26" s="278"/>
      <s:c r="HN26" s="278"/>
      <s:c r="HO26" s="278"/>
      <s:c r="HP26" s="278"/>
      <s:c r="HQ26" s="278"/>
      <s:c r="HR26" s="278"/>
      <s:c r="HS26" s="278"/>
      <s:c r="HT26" s="278"/>
      <s:c r="HU26" s="278"/>
      <s:c r="HV26" s="278"/>
      <s:c r="HW26" s="278"/>
      <s:c r="HX26" s="278"/>
      <s:c r="HY26" s="278"/>
      <s:c r="HZ26" s="278"/>
      <s:c r="IA26" s="278"/>
      <s:c r="IB26" s="278"/>
      <s:c r="IC26" s="278"/>
      <s:c r="ID26" s="278"/>
      <s:c r="IE26" s="278"/>
      <s:c r="IF26" s="278"/>
      <s:c r="IG26" s="278"/>
      <s:c r="IH26" s="278"/>
      <s:c r="II26" s="278"/>
      <s:c r="IJ26" s="278"/>
      <s:c r="IK26" s="278"/>
      <s:c r="IL26" s="278"/>
      <s:c r="IM26" s="278"/>
      <s:c r="IN26" s="278"/>
      <s:c r="IO26" s="278"/>
      <s:c r="IP26" s="278"/>
      <s:c r="IQ26" s="278"/>
      <s:c r="IR26" s="278"/>
      <s:c r="IS26" s="278"/>
      <s:c r="IT26" s="278"/>
      <s:c r="IU26" s="278"/>
    </s:row>
    <s:row r="27" spans="1:255" s="268" customFormat="1">
      <s:c r="A27" s="269">
        <s:v>3</s:v>
      </s:c>
      <s:c r="B27" s="280"/>
      <s:c r="C27" s="281"/>
      <s:c r="D27" s="271"/>
      <s:c r="E27" s="308"/>
      <s:c r="F27" s="270" t="str">
        <s:f>IF(AND(E27&lt;&gt;"",E27&lt;&gt;0),D27/E27,"")</s:f>
        <s:v/>
      </s:c>
      <s:c r="G27" s="282"/>
      <s:c r="H27" s="270" t="str">
        <s:f>IF(AND(G27&lt;&gt;"",G27&lt;&gt;0),D27/G27,"")</s:f>
        <s:v/>
      </s:c>
      <s:c r="I27" s="282"/>
      <s:c r="J27" s="271" t="str">
        <s:f>IF(AND(G27&lt;&gt;"",G27&lt;&gt;0),E27/G27,"")</s:f>
        <s:v/>
      </s:c>
      <s:c r="K27" s="270"/>
      <s:c r="L27" s="270"/>
      <s:c r="M27" s="270"/>
      <s:c r="N27" s="272" t="str">
        <s:f>IF(AND(I27&lt;&gt;"",I27&lt;&gt;0),G27/I27,"")</s:f>
        <s:v/>
      </s:c>
      <s:c r="O27" s="273" t="e">
        <s:f>D27/P27</s:f>
        <s:v>#DIV/0!</s:v>
      </s:c>
      <s:c r="P27" s="274" t="e">
        <s:f>$I$8*V27*W27/SUMPRODUCT($W$25:$W$55,$V$25:$V$55)</s:f>
        <s:v>#DIV/0!</s:v>
      </s:c>
      <s:c r="Q27" s="275" t="e">
        <s:f>$I$9*V27*W27/SUMPRODUCT($W$25:$W$55,$V$25:$V$55)</s:f>
        <s:v>#DIV/0!</s:v>
      </s:c>
      <s:c r="R27" s="275" t="e">
        <s:f>IF($I$12="","",Q27/$I$12)</s:f>
        <s:v>#DIV/0!</s:v>
      </s:c>
      <s:c r="S27" s="274" t="str">
        <s:f>IF(W27&lt;&gt;"",IF(D27&lt;&gt;"",D27,($I$8-SUM($S$25:S26))*V27*W27/SUMPRODUCT($W27:$W$55,$V27:$V$55)),"")</s:f>
        <s:v/>
      </s:c>
      <s:c r="T27" s="275" t="str">
        <s:f>IF(W27&lt;&gt;"",IF(E27&lt;&gt;"",E27,($I$9-SUM($T$25:T26))*V27*W27/SUMPRODUCT($W27:$W$55,$V27:$V$55)),"")</s:f>
        <s:v/>
      </s:c>
      <s:c r="U27" s="275" t="str">
        <s:f>IF(W27&lt;&gt;"",IF($I$12&lt;&gt;"",IF(G27&lt;&gt;"",G27,($I$9/$I$12-SUM($U$25:U26))*V27*W27/SUMPRODUCT($W27:$W$55,$V27:$V$55)),""),"")</s:f>
        <s:v/>
      </s:c>
      <s:c r="V27" s="276"/>
      <s:c r="W27" s="276"/>
      <s:c r="X27" s="277"/>
      <s:c r="Y27" s="277"/>
      <s:c r="Z27" s="278"/>
      <s:c r="AA27" s="278"/>
      <s:c r="AB27" s="278"/>
      <s:c r="AC27" s="278"/>
      <s:c r="AD27" s="278"/>
      <s:c r="AE27" s="278"/>
      <s:c r="AF27" s="278"/>
      <s:c r="AG27" s="278"/>
      <s:c r="AH27" s="278"/>
      <s:c r="AI27" s="278"/>
      <s:c r="AJ27" s="278"/>
      <s:c r="AK27" s="278"/>
      <s:c r="AL27" s="278"/>
      <s:c r="AM27" s="278"/>
      <s:c r="AN27" s="278"/>
      <s:c r="AO27" s="278"/>
      <s:c r="AP27" s="278"/>
      <s:c r="AQ27" s="278"/>
      <s:c r="AR27" s="278"/>
      <s:c r="AS27" s="278"/>
      <s:c r="AT27" s="278"/>
      <s:c r="AU27" s="278"/>
      <s:c r="AV27" s="278"/>
      <s:c r="AW27" s="278"/>
      <s:c r="AX27" s="278"/>
      <s:c r="AY27" s="278"/>
      <s:c r="AZ27" s="278"/>
      <s:c r="BA27" s="278"/>
      <s:c r="BB27" s="278"/>
      <s:c r="BC27" s="278"/>
      <s:c r="BD27" s="278"/>
      <s:c r="BE27" s="278"/>
      <s:c r="BF27" s="278"/>
      <s:c r="BG27" s="278"/>
      <s:c r="BH27" s="278"/>
      <s:c r="BI27" s="278"/>
      <s:c r="BJ27" s="278"/>
      <s:c r="BK27" s="278"/>
      <s:c r="BL27" s="278"/>
      <s:c r="BM27" s="278"/>
      <s:c r="BN27" s="278"/>
      <s:c r="BO27" s="278"/>
      <s:c r="BP27" s="278"/>
      <s:c r="BQ27" s="278"/>
      <s:c r="BR27" s="278"/>
      <s:c r="BS27" s="278"/>
      <s:c r="BT27" s="278"/>
      <s:c r="BU27" s="278"/>
      <s:c r="BV27" s="278"/>
      <s:c r="BW27" s="278"/>
      <s:c r="BX27" s="278"/>
      <s:c r="BY27" s="278"/>
      <s:c r="BZ27" s="278"/>
      <s:c r="CA27" s="278"/>
      <s:c r="CB27" s="278"/>
      <s:c r="CC27" s="278"/>
      <s:c r="CD27" s="278"/>
      <s:c r="CE27" s="278"/>
      <s:c r="CF27" s="278"/>
      <s:c r="CG27" s="278"/>
      <s:c r="CH27" s="278"/>
      <s:c r="CI27" s="278"/>
      <s:c r="CJ27" s="278"/>
      <s:c r="CK27" s="278"/>
      <s:c r="CL27" s="278"/>
      <s:c r="CM27" s="278"/>
      <s:c r="CN27" s="278"/>
      <s:c r="CO27" s="278"/>
      <s:c r="CP27" s="278"/>
      <s:c r="CQ27" s="278"/>
      <s:c r="CR27" s="278"/>
      <s:c r="CS27" s="278"/>
      <s:c r="CT27" s="278"/>
      <s:c r="CU27" s="278"/>
      <s:c r="CV27" s="278"/>
      <s:c r="CW27" s="278"/>
      <s:c r="CX27" s="278"/>
      <s:c r="CY27" s="278"/>
      <s:c r="CZ27" s="278"/>
      <s:c r="DA27" s="278"/>
      <s:c r="DB27" s="278"/>
      <s:c r="DC27" s="278"/>
      <s:c r="DD27" s="278"/>
      <s:c r="DE27" s="278"/>
      <s:c r="DF27" s="278"/>
      <s:c r="DG27" s="278"/>
      <s:c r="DH27" s="278"/>
      <s:c r="DI27" s="278"/>
      <s:c r="DJ27" s="278"/>
      <s:c r="DK27" s="278"/>
      <s:c r="DL27" s="278"/>
      <s:c r="DM27" s="278"/>
      <s:c r="DN27" s="278"/>
      <s:c r="DO27" s="278"/>
      <s:c r="DP27" s="278"/>
      <s:c r="DQ27" s="278"/>
      <s:c r="DR27" s="278"/>
      <s:c r="DS27" s="278"/>
      <s:c r="DT27" s="278"/>
      <s:c r="DU27" s="278"/>
      <s:c r="DV27" s="278"/>
      <s:c r="DW27" s="278"/>
      <s:c r="DX27" s="278"/>
      <s:c r="DY27" s="278"/>
      <s:c r="DZ27" s="278"/>
      <s:c r="EA27" s="278"/>
      <s:c r="EB27" s="278"/>
      <s:c r="EC27" s="278"/>
      <s:c r="ED27" s="278"/>
      <s:c r="EE27" s="278"/>
      <s:c r="EF27" s="278"/>
      <s:c r="EG27" s="278"/>
      <s:c r="EH27" s="278"/>
      <s:c r="EI27" s="278"/>
      <s:c r="EJ27" s="278"/>
      <s:c r="EK27" s="278"/>
      <s:c r="EL27" s="278"/>
      <s:c r="EM27" s="278"/>
      <s:c r="EN27" s="278"/>
      <s:c r="EO27" s="278"/>
      <s:c r="EP27" s="278"/>
      <s:c r="EQ27" s="278"/>
      <s:c r="ER27" s="278"/>
      <s:c r="ES27" s="278"/>
      <s:c r="ET27" s="278"/>
      <s:c r="EU27" s="278"/>
      <s:c r="EV27" s="278"/>
      <s:c r="EW27" s="278"/>
      <s:c r="EX27" s="278"/>
      <s:c r="EY27" s="278"/>
      <s:c r="EZ27" s="278"/>
      <s:c r="FA27" s="278"/>
      <s:c r="FB27" s="278"/>
      <s:c r="FC27" s="278"/>
      <s:c r="FD27" s="278"/>
      <s:c r="FE27" s="278"/>
      <s:c r="FF27" s="278"/>
      <s:c r="FG27" s="278"/>
      <s:c r="FH27" s="278"/>
      <s:c r="FI27" s="278"/>
      <s:c r="FJ27" s="278"/>
      <s:c r="FK27" s="278"/>
      <s:c r="FL27" s="278"/>
      <s:c r="FM27" s="278"/>
      <s:c r="FN27" s="278"/>
      <s:c r="FO27" s="278"/>
      <s:c r="FP27" s="278"/>
      <s:c r="FQ27" s="278"/>
      <s:c r="FR27" s="278"/>
      <s:c r="FS27" s="278"/>
      <s:c r="FT27" s="278"/>
      <s:c r="FU27" s="278"/>
      <s:c r="FV27" s="278"/>
      <s:c r="FW27" s="278"/>
      <s:c r="FX27" s="278"/>
      <s:c r="FY27" s="278"/>
      <s:c r="FZ27" s="278"/>
      <s:c r="GA27" s="278"/>
      <s:c r="GB27" s="278"/>
      <s:c r="GC27" s="278"/>
      <s:c r="GD27" s="278"/>
      <s:c r="GE27" s="278"/>
      <s:c r="GF27" s="278"/>
      <s:c r="GG27" s="278"/>
      <s:c r="GH27" s="278"/>
      <s:c r="GI27" s="278"/>
      <s:c r="GJ27" s="278"/>
      <s:c r="GK27" s="278"/>
      <s:c r="GL27" s="278"/>
      <s:c r="GM27" s="278"/>
      <s:c r="GN27" s="278"/>
      <s:c r="GO27" s="278"/>
      <s:c r="GP27" s="278"/>
      <s:c r="GQ27" s="278"/>
      <s:c r="GR27" s="278"/>
      <s:c r="GS27" s="278"/>
      <s:c r="GT27" s="278"/>
      <s:c r="GU27" s="278"/>
      <s:c r="GV27" s="278"/>
      <s:c r="GW27" s="278"/>
      <s:c r="GX27" s="278"/>
      <s:c r="GY27" s="278"/>
      <s:c r="GZ27" s="278"/>
      <s:c r="HA27" s="278"/>
      <s:c r="HB27" s="278"/>
      <s:c r="HC27" s="278"/>
      <s:c r="HD27" s="278"/>
      <s:c r="HE27" s="278"/>
      <s:c r="HF27" s="278"/>
      <s:c r="HG27" s="278"/>
      <s:c r="HH27" s="278"/>
      <s:c r="HI27" s="278"/>
      <s:c r="HJ27" s="278"/>
      <s:c r="HK27" s="278"/>
      <s:c r="HL27" s="278"/>
      <s:c r="HM27" s="278"/>
      <s:c r="HN27" s="278"/>
      <s:c r="HO27" s="278"/>
      <s:c r="HP27" s="278"/>
      <s:c r="HQ27" s="278"/>
      <s:c r="HR27" s="278"/>
      <s:c r="HS27" s="278"/>
      <s:c r="HT27" s="278"/>
      <s:c r="HU27" s="278"/>
      <s:c r="HV27" s="278"/>
      <s:c r="HW27" s="278"/>
      <s:c r="HX27" s="278"/>
      <s:c r="HY27" s="278"/>
      <s:c r="HZ27" s="278"/>
      <s:c r="IA27" s="278"/>
      <s:c r="IB27" s="278"/>
      <s:c r="IC27" s="278"/>
      <s:c r="ID27" s="278"/>
      <s:c r="IE27" s="278"/>
      <s:c r="IF27" s="278"/>
      <s:c r="IG27" s="278"/>
      <s:c r="IH27" s="278"/>
      <s:c r="II27" s="278"/>
      <s:c r="IJ27" s="278"/>
      <s:c r="IK27" s="278"/>
      <s:c r="IL27" s="278"/>
      <s:c r="IM27" s="278"/>
      <s:c r="IN27" s="278"/>
      <s:c r="IO27" s="278"/>
      <s:c r="IP27" s="278"/>
      <s:c r="IQ27" s="278"/>
      <s:c r="IR27" s="278"/>
      <s:c r="IS27" s="278"/>
      <s:c r="IT27" s="278"/>
      <s:c r="IU27" s="278"/>
    </s:row>
    <s:row r="28" spans="1:255" s="268" customFormat="1">
      <s:c r="A28" s="269">
        <s:v>4</s:v>
      </s:c>
      <s:c r="B28" s="280"/>
      <s:c r="C28" s="281"/>
      <s:c r="D28" s="285"/>
      <s:c r="E28" s="270"/>
      <s:c r="F28" s="282" t="str">
        <s:f>IF(AND(E28&lt;&gt;"",E28&lt;&gt;0),D28/E28,"")</s:f>
        <s:v/>
      </s:c>
      <s:c r="G28" s="270"/>
      <s:c r="H28" s="282" t="str">
        <s:f>IF(AND(G28&lt;&gt;"",G28&lt;&gt;0),D28/G28,"")</s:f>
        <s:v/>
      </s:c>
      <s:c r="I28" s="270"/>
      <s:c r="J28" s="271" t="str">
        <s:f>IF(AND(G28&lt;&gt;"",G28&lt;&gt;0),E28/G28,"")</s:f>
        <s:v/>
      </s:c>
      <s:c r="K28" s="270"/>
      <s:c r="L28" s="270"/>
      <s:c r="M28" s="270"/>
      <s:c r="N28" s="272" t="str">
        <s:f>IF(AND(I28&lt;&gt;"",I28&lt;&gt;0),G28/I28,"")</s:f>
        <s:v/>
      </s:c>
      <s:c r="O28" s="273" t="e">
        <s:f>D28/P28</s:f>
        <s:v>#DIV/0!</s:v>
      </s:c>
      <s:c r="P28" s="274" t="e">
        <s:f>$I$8*V28*W28/SUMPRODUCT($W$25:$W$55,$V$25:$V$55)</s:f>
        <s:v>#DIV/0!</s:v>
      </s:c>
      <s:c r="Q28" s="275" t="e">
        <s:f>$I$9*V28*W28/SUMPRODUCT($W$25:$W$55,$V$25:$V$55)</s:f>
        <s:v>#DIV/0!</s:v>
      </s:c>
      <s:c r="R28" s="275" t="e">
        <s:f>IF($I$12="","",Q28/$I$12)</s:f>
        <s:v>#DIV/0!</s:v>
      </s:c>
      <s:c r="S28" s="274" t="str">
        <s:f>IF(W28&lt;&gt;"",IF(D28&lt;&gt;"",D28,($I$8-SUM($S$25:S27))*V28*W28/SUMPRODUCT($W28:$W$55,$V28:$V$55)),"")</s:f>
        <s:v/>
      </s:c>
      <s:c r="T28" s="275" t="str">
        <s:f>IF(W28&lt;&gt;"",IF(E28&lt;&gt;"",E28,($I$9-SUM($T$25:T27))*V28*W28/SUMPRODUCT($W28:$W$55,$V28:$V$55)),"")</s:f>
        <s:v/>
      </s:c>
      <s:c r="U28" s="275" t="str">
        <s:f>IF(W28&lt;&gt;"",IF($I$12&lt;&gt;"",IF(G28&lt;&gt;"",G28,($I$9/$I$12-SUM($U$25:U27))*V28*W28/SUMPRODUCT($W28:$W$55,$V28:$V$55)),""),"")</s:f>
        <s:v/>
      </s:c>
      <s:c r="V28" s="276"/>
      <s:c r="W28" s="276"/>
      <s:c r="X28" s="277"/>
      <s:c r="Y28" s="277"/>
      <s:c r="Z28" s="278"/>
      <s:c r="AA28" s="278"/>
      <s:c r="AB28" s="278"/>
      <s:c r="AC28" s="278"/>
      <s:c r="AD28" s="278"/>
    </s:row>
    <s:row r="29" spans="1:255" s="268" customFormat="1">
      <s:c r="A29" s="269">
        <s:v>5</s:v>
      </s:c>
      <s:c r="B29" s="280"/>
      <s:c r="C29" s="281"/>
      <s:c r="D29" s="271"/>
      <s:c r="E29" s="282"/>
      <s:c r="F29" s="270" t="str">
        <s:f>IF(AND(E29&lt;&gt;"",E29&lt;&gt;0),D29/E29,"")</s:f>
        <s:v/>
      </s:c>
      <s:c r="G29" s="282"/>
      <s:c r="H29" s="270" t="str">
        <s:f>IF(AND(G29&lt;&gt;"",G29&lt;&gt;0),D29/G29,"")</s:f>
        <s:v/>
      </s:c>
      <s:c r="I29" s="282"/>
      <s:c r="J29" s="271" t="str">
        <s:f>IF(AND(G29&lt;&gt;"",G29&lt;&gt;0),E29/G29,"")</s:f>
        <s:v/>
      </s:c>
      <s:c r="K29" s="270"/>
      <s:c r="L29" s="270"/>
      <s:c r="M29" s="270"/>
      <s:c r="N29" s="272" t="str">
        <s:f>IF(AND(I29&lt;&gt;"",I29&lt;&gt;0),G29/I29,"")</s:f>
        <s:v/>
      </s:c>
      <s:c r="O29" s="273" t="e">
        <s:f>D29/P29</s:f>
        <s:v>#DIV/0!</s:v>
      </s:c>
      <s:c r="P29" s="274" t="e">
        <s:f>$I$8*V29*W29/SUMPRODUCT($W$25:$W$55,$V$25:$V$55)</s:f>
        <s:v>#DIV/0!</s:v>
      </s:c>
      <s:c r="Q29" s="275" t="e">
        <s:f>$I$9*V29*W29/SUMPRODUCT($W$25:$W$55,$V$25:$V$55)</s:f>
        <s:v>#DIV/0!</s:v>
      </s:c>
      <s:c r="R29" s="275" t="e">
        <s:f>IF($I$12="","",Q29/$I$12)</s:f>
        <s:v>#DIV/0!</s:v>
      </s:c>
      <s:c r="S29" s="274" t="str">
        <s:f>IF(W29&lt;&gt;"",IF(D29&lt;&gt;"",D29,($I$8-SUM($S$25:S28))*V29*W29/SUMPRODUCT($W29:$W$55,$V29:$V$55)),"")</s:f>
        <s:v/>
      </s:c>
      <s:c r="T29" s="275" t="str">
        <s:f>IF(W29&lt;&gt;"",IF(E29&lt;&gt;"",E29,($I$9-SUM($T$25:T28))*V29*W29/SUMPRODUCT($W29:$W$55,$V29:$V$55)),"")</s:f>
        <s:v/>
      </s:c>
      <s:c r="U29" s="275" t="str">
        <s:f>IF(W29&lt;&gt;"",IF($I$12&lt;&gt;"",IF(G29&lt;&gt;"",G29,($I$9/$I$12-SUM($U$25:U28))*V29*W29/SUMPRODUCT($W29:$W$55,$V29:$V$55)),""),"")</s:f>
        <s:v/>
      </s:c>
      <s:c r="V29" s="276"/>
      <s:c r="W29" s="276"/>
      <s:c r="X29" s="277"/>
      <s:c r="Y29" s="277"/>
      <s:c r="Z29" s="278"/>
      <s:c r="AA29" s="278"/>
      <s:c r="AB29" s="278"/>
      <s:c r="AC29" s="278"/>
      <s:c r="AD29" s="278"/>
    </s:row>
    <s:row r="30" spans="1:255" s="268" customFormat="1">
      <s:c r="A30" s="269">
        <s:v>6</s:v>
      </s:c>
      <s:c r="B30" s="280"/>
      <s:c r="C30" s="281"/>
      <s:c r="D30" s="285"/>
      <s:c r="E30" s="270"/>
      <s:c r="F30" s="282" t="str">
        <s:f>IF(AND(E30&lt;&gt;"",E30&lt;&gt;0),D30/E30,"")</s:f>
        <s:v/>
      </s:c>
      <s:c r="G30" s="270"/>
      <s:c r="H30" s="282" t="str">
        <s:f>IF(AND(G30&lt;&gt;"",G30&lt;&gt;0),D30/G30,"")</s:f>
        <s:v/>
      </s:c>
      <s:c r="I30" s="270"/>
      <s:c r="J30" s="285" t="str">
        <s:f>IF(AND(G30&lt;&gt;"",G30&lt;&gt;0),E30/G30,"")</s:f>
        <s:v/>
      </s:c>
      <s:c r="K30" s="270"/>
      <s:c r="L30" s="270"/>
      <s:c r="M30" s="270"/>
      <s:c r="N30" s="272" t="str">
        <s:f>IF(AND(I30&lt;&gt;"",I30&lt;&gt;0),G30/I30,"")</s:f>
        <s:v/>
      </s:c>
      <s:c r="O30" s="273" t="e">
        <s:f>D30/P30</s:f>
        <s:v>#DIV/0!</s:v>
      </s:c>
      <s:c r="P30" s="274" t="e">
        <s:f>$I$8*V30*W30/SUMPRODUCT($W$25:$W$55,$V$25:$V$55)</s:f>
        <s:v>#DIV/0!</s:v>
      </s:c>
      <s:c r="Q30" s="275" t="e">
        <s:f>$I$9*V30*W30/SUMPRODUCT($W$25:$W$55,$V$25:$V$55)</s:f>
        <s:v>#DIV/0!</s:v>
      </s:c>
      <s:c r="R30" s="275" t="e">
        <s:f>IF($I$12="","",Q30/$I$12)</s:f>
        <s:v>#DIV/0!</s:v>
      </s:c>
      <s:c r="S30" s="274" t="str">
        <s:f>IF(W30&lt;&gt;"",IF(D30&lt;&gt;"",D30,($I$8-SUM($S$25:S29))*V30*W30/SUMPRODUCT($W30:$W$55,$V30:$V$55)),"")</s:f>
        <s:v/>
      </s:c>
      <s:c r="T30" s="275" t="str">
        <s:f>IF(W30&lt;&gt;"",IF(E29&lt;&gt;"",E29,($I$9-SUM($T$25:T29))*V30*W30/SUMPRODUCT($W30:$W$55,$V30:$V$55)),"")</s:f>
        <s:v/>
      </s:c>
      <s:c r="U30" s="275" t="str">
        <s:f>IF(W30&lt;&gt;"",IF($I$12&lt;&gt;"",IF(G30&lt;&gt;"",G30,($I$9/$I$12-SUM($U$25:U29))*V30*W30/SUMPRODUCT($W30:$W$55,$V30:$V$55)),""),"")</s:f>
        <s:v/>
      </s:c>
      <s:c r="V30" s="276"/>
      <s:c r="W30" s="276"/>
      <s:c r="X30" s="277"/>
      <s:c r="Y30" s="277"/>
      <s:c r="Z30" s="278"/>
      <s:c r="AA30" s="278"/>
      <s:c r="AB30" s="278"/>
      <s:c r="AC30" s="278"/>
      <s:c r="AD30" s="278"/>
    </s:row>
    <s:row r="31" spans="1:255" s="268" customFormat="1">
      <s:c r="A31" s="269">
        <s:v>7</s:v>
      </s:c>
      <s:c r="B31" s="280"/>
      <s:c r="C31" s="281"/>
      <s:c r="D31" s="271"/>
      <s:c r="E31" s="282"/>
      <s:c r="F31" s="270" t="str">
        <s:f>IF(AND(E31&lt;&gt;"",E31&lt;&gt;0),D31/E31,"")</s:f>
        <s:v/>
      </s:c>
      <s:c r="G31" s="282"/>
      <s:c r="H31" s="270" t="str">
        <s:f>IF(AND(G31&lt;&gt;"",G31&lt;&gt;0),D31/G31,"")</s:f>
        <s:v/>
      </s:c>
      <s:c r="I31" s="282"/>
      <s:c r="J31" s="271" t="str">
        <s:f>IF(AND(G31&lt;&gt;"",G31&lt;&gt;0),E31/G31,"")</s:f>
        <s:v/>
      </s:c>
      <s:c r="K31" s="270"/>
      <s:c r="L31" s="270"/>
      <s:c r="M31" s="270"/>
      <s:c r="N31" s="272" t="str">
        <s:f>IF(AND(I31&lt;&gt;"",I31&lt;&gt;0),G31/I31,"")</s:f>
        <s:v/>
      </s:c>
      <s:c r="O31" s="273" t="e">
        <s:f>D31/P31</s:f>
        <s:v>#DIV/0!</s:v>
      </s:c>
      <s:c r="P31" s="274" t="e">
        <s:f>$I$8*V31*W31/SUMPRODUCT($W$25:$W$55,$V$25:$V$55)</s:f>
        <s:v>#DIV/0!</s:v>
      </s:c>
      <s:c r="Q31" s="275" t="e">
        <s:f>$I$9*V31*W31/SUMPRODUCT($W$25:$W$55,$V$25:$V$55)</s:f>
        <s:v>#DIV/0!</s:v>
      </s:c>
      <s:c r="R31" s="275" t="e">
        <s:f>IF($I$12="","",Q31/$I$12)</s:f>
        <s:v>#DIV/0!</s:v>
      </s:c>
      <s:c r="S31" s="274" t="str">
        <s:f>IF(W31&lt;&gt;"",IF(D31&lt;&gt;"",D31,($I$8-SUM($S$25:S30))*V31*W31/SUMPRODUCT($W31:$W$55,$V31:$V$55)),"")</s:f>
        <s:v/>
      </s:c>
      <s:c r="T31" s="275" t="str">
        <s:f>IF(W31&lt;&gt;"",IF(E31&lt;&gt;"",E31,($I$9-SUM($T$25:T30))*V31*W31/SUMPRODUCT($W31:$W$55,$V31:$V$55)),"")</s:f>
        <s:v/>
      </s:c>
      <s:c r="U31" s="275" t="str">
        <s:f>IF(W31&lt;&gt;"",IF($I$12&lt;&gt;"",IF(G31&lt;&gt;"",G31,($I$9/$I$12-SUM($U$25:U30))*V31*W31/SUMPRODUCT($W31:$W$55,$V31:$V$55)),""),"")</s:f>
        <s:v/>
      </s:c>
      <s:c r="V31" s="276"/>
      <s:c r="W31" s="276"/>
      <s:c r="X31" s="277"/>
      <s:c r="Y31" s="277"/>
      <s:c r="Z31" s="278"/>
      <s:c r="AA31" s="278"/>
      <s:c r="AB31" s="278"/>
      <s:c r="AC31" s="278"/>
      <s:c r="AD31" s="278"/>
    </s:row>
    <s:row r="32" spans="1:255" s="268" customFormat="1">
      <s:c r="A32" s="269">
        <s:v>8</s:v>
      </s:c>
      <s:c r="B32" s="280"/>
      <s:c r="C32" s="281"/>
      <s:c r="D32" s="285"/>
      <s:c r="E32" s="270"/>
      <s:c r="F32" s="282" t="str">
        <s:f>IF(AND(E32&lt;&gt;"",E32&lt;&gt;0),D32/E32,"")</s:f>
        <s:v/>
      </s:c>
      <s:c r="G32" s="270"/>
      <s:c r="H32" s="282" t="str">
        <s:f>IF(AND(G32&lt;&gt;"",G32&lt;&gt;0),D32/G32,"")</s:f>
        <s:v/>
      </s:c>
      <s:c r="I32" s="270"/>
      <s:c r="J32" s="285" t="str">
        <s:f>IF(AND(G32&lt;&gt;"",G32&lt;&gt;0),E32/G32,"")</s:f>
        <s:v/>
      </s:c>
      <s:c r="K32" s="270"/>
      <s:c r="L32" s="270"/>
      <s:c r="M32" s="270"/>
      <s:c r="N32" s="272" t="str">
        <s:f>IF(AND(I32&lt;&gt;"",I32&lt;&gt;0),G32/I32,"")</s:f>
        <s:v/>
      </s:c>
      <s:c r="O32" s="273" t="e">
        <s:f>D32/P32</s:f>
        <s:v>#DIV/0!</s:v>
      </s:c>
      <s:c r="P32" s="274" t="e">
        <s:f>$I$8*V32*W32/SUMPRODUCT($W$25:$W$55,$V$25:$V$55)</s:f>
        <s:v>#DIV/0!</s:v>
      </s:c>
      <s:c r="Q32" s="275" t="e">
        <s:f>$I$9*V32*W32/SUMPRODUCT($W$25:$W$55,$V$25:$V$55)</s:f>
        <s:v>#DIV/0!</s:v>
      </s:c>
      <s:c r="R32" s="275" t="e">
        <s:f>IF($I$12="","",Q32/$I$12)</s:f>
        <s:v>#DIV/0!</s:v>
      </s:c>
      <s:c r="S32" s="274" t="str">
        <s:f>IF(W32&lt;&gt;"",IF(D32&lt;&gt;"",D32,($I$8-SUM($S$25:S31))*V32*W32/SUMPRODUCT($W32:$W$55,$V32:$V$55)),"")</s:f>
        <s:v/>
      </s:c>
      <s:c r="T32" s="275" t="str">
        <s:f>IF(W32&lt;&gt;"",IF(E32&lt;&gt;"",E32,($I$9-SUM($T$25:T31))*V32*W32/SUMPRODUCT($W32:$W$55,$V32:$V$55)),"")</s:f>
        <s:v/>
      </s:c>
      <s:c r="U32" s="275" t="str">
        <s:f>IF(W32&lt;&gt;"",IF($I$12&lt;&gt;"",IF(G32&lt;&gt;"",G32,($I$9/$I$12-SUM($U$25:U31))*V32*W32/SUMPRODUCT($W32:$W$55,$V32:$V$55)),""),"")</s:f>
        <s:v/>
      </s:c>
      <s:c r="V32" s="276"/>
      <s:c r="W32" s="276"/>
      <s:c r="X32" s="277"/>
      <s:c r="Y32" s="277"/>
      <s:c r="Z32" s="278"/>
      <s:c r="AA32" s="278"/>
      <s:c r="AB32" s="278"/>
      <s:c r="AC32" s="278"/>
      <s:c r="AD32" s="278"/>
    </s:row>
    <s:row r="33" spans="1:30" s="268" customFormat="1">
      <s:c r="A33" s="269">
        <s:v>9</s:v>
      </s:c>
      <s:c r="B33" s="280"/>
      <s:c r="C33" s="281"/>
      <s:c r="D33" s="271"/>
      <s:c r="E33" s="270"/>
      <s:c r="F33" s="270" t="str">
        <s:f>IF(AND(E33&lt;&gt;"",E33&lt;&gt;0),D33/E33,"")</s:f>
        <s:v/>
      </s:c>
      <s:c r="G33" s="270"/>
      <s:c r="H33" s="270" t="str">
        <s:f>IF(AND(G33&lt;&gt;"",G33&lt;&gt;0),D33/G33,"")</s:f>
        <s:v/>
      </s:c>
      <s:c r="I33" s="270"/>
      <s:c r="J33" s="271" t="str">
        <s:f>IF(AND(G33&lt;&gt;"",G33&lt;&gt;0),E33/G33,"")</s:f>
        <s:v/>
      </s:c>
      <s:c r="K33" s="270"/>
      <s:c r="L33" s="270"/>
      <s:c r="M33" s="270"/>
      <s:c r="N33" s="272" t="str">
        <s:f>IF(AND(I33&lt;&gt;"",I33&lt;&gt;0),G33/I33,"")</s:f>
        <s:v/>
      </s:c>
      <s:c r="O33" s="273" t="e">
        <s:f>D33/P33</s:f>
        <s:v>#DIV/0!</s:v>
      </s:c>
      <s:c r="P33" s="274" t="e">
        <s:f>$I$8*V33*W33/SUMPRODUCT($W$25:$W$55,$V$25:$V$55)</s:f>
        <s:v>#DIV/0!</s:v>
      </s:c>
      <s:c r="Q33" s="275" t="e">
        <s:f>$I$9*V33*W33/SUMPRODUCT($W$25:$W$55,$V$25:$V$55)</s:f>
        <s:v>#DIV/0!</s:v>
      </s:c>
      <s:c r="R33" s="275" t="e">
        <s:f>IF($I$12="","",Q33/$I$12)</s:f>
        <s:v>#DIV/0!</s:v>
      </s:c>
      <s:c r="S33" s="274" t="str">
        <s:f>IF(W33&lt;&gt;"",IF(D33&lt;&gt;"",D33,($I$8-SUM($S$25:S32))*V33*W33/SUMPRODUCT($W33:$W$55,$V33:$V$55)),"")</s:f>
        <s:v/>
      </s:c>
      <s:c r="T33" s="275" t="str">
        <s:f>IF(W33&lt;&gt;"",IF(E33&lt;&gt;"",E33,($I$9-SUM($T$25:T32))*V33*W33/SUMPRODUCT($W33:$W$55,$V33:$V$55)),"")</s:f>
        <s:v/>
      </s:c>
      <s:c r="U33" s="275" t="str">
        <s:f>IF(W33&lt;&gt;"",IF($I$12&lt;&gt;"",IF(G33&lt;&gt;"",G33,($I$9/$I$12-SUM($U$25:U32))*V33*W33/SUMPRODUCT($W33:$W$55,$V33:$V$55)),""),"")</s:f>
        <s:v/>
      </s:c>
      <s:c r="V33" s="276"/>
      <s:c r="W33" s="276"/>
      <s:c r="X33" s="277"/>
      <s:c r="Y33" s="277"/>
      <s:c r="Z33" s="278"/>
      <s:c r="AA33" s="278"/>
      <s:c r="AB33" s="278"/>
      <s:c r="AC33" s="278"/>
      <s:c r="AD33" s="278"/>
    </s:row>
    <s:row r="34" spans="1:30" s="268" customFormat="1">
      <s:c r="A34" s="269">
        <s:v>10</s:v>
      </s:c>
      <s:c r="B34" s="280"/>
      <s:c r="C34" s="308"/>
      <s:c r="D34" s="271"/>
      <s:c r="E34" s="282"/>
      <s:c r="F34" s="270" t="str">
        <s:f>IF(AND(E34&lt;&gt;"",E34&lt;&gt;0),D34/E34,"")</s:f>
        <s:v/>
      </s:c>
      <s:c r="G34" s="282"/>
      <s:c r="H34" s="270" t="str">
        <s:f>IF(AND(G34&lt;&gt;"",G34&lt;&gt;0),D34/G34,"")</s:f>
        <s:v/>
      </s:c>
      <s:c r="I34" s="282"/>
      <s:c r="J34" s="271" t="str">
        <s:f>IF(AND(G34&lt;&gt;"",G34&lt;&gt;0),E34/G34,"")</s:f>
        <s:v/>
      </s:c>
      <s:c r="K34" s="270"/>
      <s:c r="L34" s="270"/>
      <s:c r="M34" s="270"/>
      <s:c r="N34" s="272" t="str">
        <s:f>IF(AND(I34&lt;&gt;"",I34&lt;&gt;0),G34/I34,"")</s:f>
        <s:v/>
      </s:c>
      <s:c r="O34" s="273" t="e">
        <s:f>D34/P34</s:f>
        <s:v>#DIV/0!</s:v>
      </s:c>
      <s:c r="P34" s="274" t="e">
        <s:f>$I$8*V34*W34/SUMPRODUCT($W$25:$W$55,$V$25:$V$55)</s:f>
        <s:v>#DIV/0!</s:v>
      </s:c>
      <s:c r="Q34" s="275" t="e">
        <s:f>$I$9*V34*W34/SUMPRODUCT($W$25:$W$55,$V$25:$V$55)</s:f>
        <s:v>#DIV/0!</s:v>
      </s:c>
      <s:c r="R34" s="275" t="e">
        <s:f>IF($I$12="","",Q34/$I$12)</s:f>
        <s:v>#DIV/0!</s:v>
      </s:c>
      <s:c r="S34" s="274" t="str">
        <s:f>IF(W34&lt;&gt;"",IF(D34&lt;&gt;"",D34,($I$8-SUM($S$25:S33))*V34*W34/SUMPRODUCT($W34:$W$55,$V34:$V$55)),"")</s:f>
        <s:v/>
      </s:c>
      <s:c r="T34" s="275" t="str">
        <s:f>IF(W34&lt;&gt;"",IF(E34&lt;&gt;"",E34,($I$9-SUM($T$25:T33))*V34*W34/SUMPRODUCT($W34:$W$55,$V34:$V$55)),"")</s:f>
        <s:v/>
      </s:c>
      <s:c r="U34" s="275" t="str">
        <s:f>IF(W34&lt;&gt;"",IF($I$12&lt;&gt;"",IF(G34&lt;&gt;"",G34,($I$9/$I$12-SUM($U$25:U33))*V34*W34/SUMPRODUCT($W34:$W$55,$V34:$V$55)),""),"")</s:f>
        <s:v/>
      </s:c>
      <s:c r="V34" s="276"/>
      <s:c r="W34" s="276"/>
      <s:c r="X34" s="277"/>
      <s:c r="Y34" s="277"/>
      <s:c r="Z34" s="283"/>
      <s:c r="AA34" s="278"/>
      <s:c r="AB34" s="278"/>
      <s:c r="AC34" s="278"/>
      <s:c r="AD34" s="278"/>
    </s:row>
    <s:row r="35" spans="1:30" s="268" customFormat="1">
      <s:c r="A35" s="269">
        <s:v>11</s:v>
      </s:c>
      <s:c r="B35" s="280"/>
      <s:c r="C35" s="281"/>
      <s:c r="D35" s="285"/>
      <s:c r="E35" s="270"/>
      <s:c r="F35" s="282" t="str">
        <s:f>IF(AND(E35&lt;&gt;"",E35&lt;&gt;0),D35/E35,"")</s:f>
        <s:v/>
      </s:c>
      <s:c r="G35" s="270"/>
      <s:c r="H35" s="282" t="str">
        <s:f>IF(AND(G35&lt;&gt;"",G35&lt;&gt;0),D35/G35,"")</s:f>
        <s:v/>
      </s:c>
      <s:c r="I35" s="270"/>
      <s:c r="J35" s="285" t="str">
        <s:f>IF(AND(G35&lt;&gt;"",G35&lt;&gt;0),E35/G35,"")</s:f>
        <s:v/>
      </s:c>
      <s:c r="K35" s="270"/>
      <s:c r="L35" s="270"/>
      <s:c r="M35" s="270"/>
      <s:c r="N35" s="272" t="str">
        <s:f>IF(AND(I35&lt;&gt;"",I35&lt;&gt;0),G35/I35,"")</s:f>
        <s:v/>
      </s:c>
      <s:c r="O35" s="273" t="e">
        <s:f>D35/P35</s:f>
        <s:v>#DIV/0!</s:v>
      </s:c>
      <s:c r="P35" s="274" t="e">
        <s:f>$I$8*V35*W35/SUMPRODUCT($W$25:$W$55,$V$25:$V$55)</s:f>
        <s:v>#DIV/0!</s:v>
      </s:c>
      <s:c r="Q35" s="275" t="e">
        <s:f>$I$9*V35*W35/SUMPRODUCT($W$25:$W$55,$V$25:$V$55)</s:f>
        <s:v>#DIV/0!</s:v>
      </s:c>
      <s:c r="R35" s="275" t="e">
        <s:f>IF($I$12="","",Q35/$I$12)</s:f>
        <s:v>#DIV/0!</s:v>
      </s:c>
      <s:c r="S35" s="274" t="str">
        <s:f>IF(W35&lt;&gt;"",IF(D35&lt;&gt;"",D35,($I$8-SUM($S$25:S34))*V35*W35/SUMPRODUCT($W35:$W$55,$V35:$V$55)),"")</s:f>
        <s:v/>
      </s:c>
      <s:c r="T35" s="275" t="str">
        <s:f>IF(W35&lt;&gt;"",IF(E35&lt;&gt;"",E35,($I$9-SUM($T$25:T34))*V35*W35/SUMPRODUCT($W35:$W$55,$V35:$V$55)),"")</s:f>
        <s:v/>
      </s:c>
      <s:c r="U35" s="275" t="str">
        <s:f>IF(W35&lt;&gt;"",IF($I$12&lt;&gt;"",IF(G35&lt;&gt;"",G35,($I$9/$I$12-SUM($U$25:U34))*V35*W35/SUMPRODUCT($W35:$W$55,$V35:$V$55)),""),"")</s:f>
        <s:v/>
      </s:c>
      <s:c r="V35" s="276"/>
      <s:c r="W35" s="276"/>
      <s:c r="X35" s="277"/>
      <s:c r="Y35" s="277"/>
      <s:c r="Z35" s="283"/>
      <s:c r="AA35" s="278"/>
      <s:c r="AB35" s="278"/>
      <s:c r="AC35" s="278"/>
      <s:c r="AD35" s="278"/>
    </s:row>
    <s:row r="36" spans="1:30" s="268" customFormat="1">
      <s:c r="A36" s="269">
        <s:v>12</s:v>
      </s:c>
      <s:c r="B36" s="280"/>
      <s:c r="C36" s="308"/>
      <s:c r="D36" s="271"/>
      <s:c r="E36" s="282"/>
      <s:c r="F36" s="270" t="str">
        <s:f>IF(AND(E36&lt;&gt;"",E36&lt;&gt;0),D36/E36,"")</s:f>
        <s:v/>
      </s:c>
      <s:c r="G36" s="270"/>
      <s:c r="H36" s="270" t="str">
        <s:f>IF(AND(G36&lt;&gt;"",G36&lt;&gt;0),D36/G36,"")</s:f>
        <s:v/>
      </s:c>
      <s:c r="I36" s="282"/>
      <s:c r="J36" s="271" t="str">
        <s:f>IF(AND(G36&lt;&gt;"",G36&lt;&gt;0),E36/G36,"")</s:f>
        <s:v/>
      </s:c>
      <s:c r="K36" s="270"/>
      <s:c r="L36" s="270"/>
      <s:c r="M36" s="270"/>
      <s:c r="N36" s="272" t="str">
        <s:f>IF(AND(I36&lt;&gt;"",I36&lt;&gt;0),G36/I36,"")</s:f>
        <s:v/>
      </s:c>
      <s:c r="O36" s="273" t="e">
        <s:f>D36/P36</s:f>
        <s:v>#DIV/0!</s:v>
      </s:c>
      <s:c r="P36" s="274" t="e">
        <s:f>$I$8*V36*W36/SUMPRODUCT($W$25:$W$55,$V$25:$V$55)</s:f>
        <s:v>#DIV/0!</s:v>
      </s:c>
      <s:c r="Q36" s="275" t="e">
        <s:f>$I$9*V36*W36/SUMPRODUCT($W$25:$W$55,$V$25:$V$55)</s:f>
        <s:v>#DIV/0!</s:v>
      </s:c>
      <s:c r="R36" s="275" t="e">
        <s:f>IF($I$12="","",Q36/$I$12)</s:f>
        <s:v>#DIV/0!</s:v>
      </s:c>
      <s:c r="S36" s="274" t="str">
        <s:f>IF(W36&lt;&gt;"",IF(D36&lt;&gt;"",D36,($I$8-SUM($S$25:S35))*V36*W36/SUMPRODUCT($W36:$W$55,$V36:$V$55)),"")</s:f>
        <s:v/>
      </s:c>
      <s:c r="T36" s="275" t="str">
        <s:f>IF(W36&lt;&gt;"",IF(E36&lt;&gt;"",E36,($I$9-SUM($T$25:T35))*V36*W36/SUMPRODUCT($W36:$W$55,$V36:$V$55)),"")</s:f>
        <s:v/>
      </s:c>
      <s:c r="U36" s="275" t="str">
        <s:f>IF(W36&lt;&gt;"",IF($I$12&lt;&gt;"",IF(G36&lt;&gt;"",G36,($I$9/$I$12-SUM($U$25:U35))*V36*W36/SUMPRODUCT($W36:$W$55,$V36:$V$55)),""),"")</s:f>
        <s:v/>
      </s:c>
      <s:c r="V36" s="276"/>
      <s:c r="W36" s="276"/>
      <s:c r="X36" s="277"/>
      <s:c r="Y36" s="277"/>
      <s:c r="Z36" s="283"/>
      <s:c r="AA36" s="278"/>
      <s:c r="AB36" s="278"/>
      <s:c r="AC36" s="278"/>
      <s:c r="AD36" s="278"/>
    </s:row>
    <s:row r="37" spans="1:30" s="268" customFormat="1">
      <s:c r="A37" s="269">
        <s:v>13</s:v>
      </s:c>
      <s:c r="B37" s="280"/>
      <s:c r="C37" s="281"/>
      <s:c r="D37" s="285"/>
      <s:c r="E37" s="270"/>
      <s:c r="F37" s="270" t="str">
        <s:f>IF(AND(E37&lt;&gt;"",E37&lt;&gt;0),D37/E37,"")</s:f>
        <s:v/>
      </s:c>
      <s:c r="G37" s="270"/>
      <s:c r="H37" s="282" t="str">
        <s:f>IF(AND(G37&lt;&gt;"",G37&lt;&gt;0),D37/G37,"")</s:f>
        <s:v/>
      </s:c>
      <s:c r="I37" s="270"/>
      <s:c r="J37" s="285" t="str">
        <s:f>IF(AND(G37&lt;&gt;"",G37&lt;&gt;0),E37/G37,"")</s:f>
        <s:v/>
      </s:c>
      <s:c r="K37" s="270"/>
      <s:c r="L37" s="270"/>
      <s:c r="M37" s="270"/>
      <s:c r="N37" s="272" t="str">
        <s:f>IF(AND(I37&lt;&gt;"",I37&lt;&gt;0),G37/I37,"")</s:f>
        <s:v/>
      </s:c>
      <s:c r="O37" s="273" t="e">
        <s:f>D37/P37</s:f>
        <s:v>#DIV/0!</s:v>
      </s:c>
      <s:c r="P37" s="274" t="e">
        <s:f>$I$8*V37*W37/SUMPRODUCT($W$25:$W$55,$V$25:$V$55)</s:f>
        <s:v>#DIV/0!</s:v>
      </s:c>
      <s:c r="Q37" s="275" t="e">
        <s:f>$I$9*V37*W37/SUMPRODUCT($W$25:$W$55,$V$25:$V$55)</s:f>
        <s:v>#DIV/0!</s:v>
      </s:c>
      <s:c r="R37" s="275" t="e">
        <s:f>IF($I$12="","",Q37/$I$12)</s:f>
        <s:v>#DIV/0!</s:v>
      </s:c>
      <s:c r="S37" s="274" t="str">
        <s:f>IF(W37&lt;&gt;"",IF(D37&lt;&gt;"",D37,($I$8-SUM($S$25:S36))*V37*W37/SUMPRODUCT($W37:$W$55,$V37:$V$55)),"")</s:f>
        <s:v/>
      </s:c>
      <s:c r="T37" s="275" t="str">
        <s:f>IF(W37&lt;&gt;"",IF(E37&lt;&gt;"",E37,($I$9-SUM($T$25:T36))*V37*W37/SUMPRODUCT($W37:$W$55,$V37:$V$55)),"")</s:f>
        <s:v/>
      </s:c>
      <s:c r="U37" s="275" t="str">
        <s:f>IF(W37&lt;&gt;"",IF($I$12&lt;&gt;"",IF(G37&lt;&gt;"",G37,($I$9/$I$12-SUM($U$25:U36))*V37*W37/SUMPRODUCT($W37:$W$55,$V37:$V$55)),""),"")</s:f>
        <s:v/>
      </s:c>
      <s:c r="V37" s="276"/>
      <s:c r="W37" s="276"/>
      <s:c r="X37" s="277"/>
      <s:c r="Y37" s="277"/>
      <s:c r="Z37" s="283"/>
      <s:c r="AA37" s="278"/>
      <s:c r="AB37" s="278"/>
      <s:c r="AC37" s="278"/>
      <s:c r="AD37" s="278"/>
    </s:row>
    <s:row r="38" spans="1:30" s="268" customFormat="1">
      <s:c r="A38" s="269">
        <s:v>14</s:v>
      </s:c>
      <s:c r="B38" s="280"/>
      <s:c r="C38" s="308"/>
      <s:c r="D38" s="271"/>
      <s:c r="E38" s="282"/>
      <s:c r="F38" s="270" t="str">
        <s:f>IF(AND(E38&lt;&gt;"",E38&lt;&gt;0),D38/E38,"")</s:f>
        <s:v/>
      </s:c>
      <s:c r="G38" s="282"/>
      <s:c r="H38" s="270" t="str">
        <s:f>IF(AND(G38&lt;&gt;"",G38&lt;&gt;0),D38/G38,"")</s:f>
        <s:v/>
      </s:c>
      <s:c r="I38" s="282"/>
      <s:c r="J38" s="271" t="str">
        <s:f>IF(AND(G38&lt;&gt;"",G38&lt;&gt;0),E38/G38,"")</s:f>
        <s:v/>
      </s:c>
      <s:c r="K38" s="282"/>
      <s:c r="L38" s="270"/>
      <s:c r="M38" s="282"/>
      <s:c r="N38" s="272" t="str">
        <s:f>IF(AND(I38&lt;&gt;"",I38&lt;&gt;0),G38/I38,"")</s:f>
        <s:v/>
      </s:c>
      <s:c r="O38" s="309" t="e">
        <s:f>D38/P38</s:f>
        <s:v>#DIV/0!</s:v>
      </s:c>
      <s:c r="P38" s="274" t="e">
        <s:f>$I$8*V38*W38/SUMPRODUCT($W$25:$W$55,$V$25:$V$55)</s:f>
        <s:v>#DIV/0!</s:v>
      </s:c>
      <s:c r="Q38" s="310" t="e">
        <s:f>$I$9*V38*W38/SUMPRODUCT($W$25:$W$55,$V$25:$V$55)</s:f>
        <s:v>#DIV/0!</s:v>
      </s:c>
      <s:c r="R38" s="275" t="e">
        <s:f>IF($I$12="","",Q38/$I$12)</s:f>
        <s:v>#DIV/0!</s:v>
      </s:c>
      <s:c r="S38" s="311" t="str">
        <s:f>IF(W38&lt;&gt;"",IF(D38&lt;&gt;"",D38,($I$8-SUM($S$25:S37))*V38*W38/SUMPRODUCT($W38:$W$55,$V38:$V$55)),"")</s:f>
        <s:v/>
      </s:c>
      <s:c r="T38" s="275" t="str">
        <s:f>IF(W38&lt;&gt;"",IF(E38&lt;&gt;"",E38,($I$9-SUM($T$25:T37))*V38*W38/SUMPRODUCT($W38:$W$55,$V38:$V$55)),"")</s:f>
        <s:v/>
      </s:c>
      <s:c r="U38" s="310" t="str">
        <s:f>IF(W38&lt;&gt;"",IF($I$12&lt;&gt;"",IF(G38&lt;&gt;"",G38,($I$9/$I$12-SUM($U$25:U37))*V38*W38/SUMPRODUCT($W38:$W$55,$V38:$V$55)),""),"")</s:f>
        <s:v/>
      </s:c>
      <s:c r="V38" s="276"/>
      <s:c r="W38" s="276"/>
      <s:c r="X38" s="277"/>
      <s:c r="Y38" s="277"/>
      <s:c r="Z38" s="283"/>
      <s:c r="AA38" s="278"/>
      <s:c r="AB38" s="278"/>
      <s:c r="AC38" s="278"/>
      <s:c r="AD38" s="278"/>
    </s:row>
    <s:row r="39" spans="1:30" s="268" customFormat="1">
      <s:c r="A39" s="269">
        <s:v>15</s:v>
      </s:c>
      <s:c r="B39" s="280"/>
      <s:c r="C39" s="281"/>
      <s:c r="D39" s="285"/>
      <s:c r="E39" s="270"/>
      <s:c r="F39" s="282" t="str">
        <s:f>IF(AND(E39&lt;&gt;"",E39&lt;&gt;0),D39/E39,"")</s:f>
        <s:v/>
      </s:c>
      <s:c r="G39" s="270"/>
      <s:c r="H39" s="282" t="str">
        <s:f>IF(AND(G39&lt;&gt;"",G39&lt;&gt;0),D39/G39,"")</s:f>
        <s:v/>
      </s:c>
      <s:c r="I39" s="270"/>
      <s:c r="J39" s="285" t="str">
        <s:f>IF(AND(G39&lt;&gt;"",G39&lt;&gt;0),E39/G39,"")</s:f>
        <s:v/>
      </s:c>
      <s:c r="K39" s="270"/>
      <s:c r="L39" s="270"/>
      <s:c r="M39" s="270"/>
      <s:c r="N39" s="272" t="str">
        <s:f>IF(AND(I39&lt;&gt;"",I39&lt;&gt;0),G39/I39,"")</s:f>
        <s:v/>
      </s:c>
      <s:c r="O39" s="273" t="e">
        <s:f>D39/P39</s:f>
        <s:v>#DIV/0!</s:v>
      </s:c>
      <s:c r="P39" s="274" t="e">
        <s:f>$I$8*V39*W39/SUMPRODUCT($W$25:$W$55,$V$25:$V$55)</s:f>
        <s:v>#DIV/0!</s:v>
      </s:c>
      <s:c r="Q39" s="275" t="e">
        <s:f>$I$9*V39*W39/SUMPRODUCT($W$25:$W$55,$V$25:$V$55)</s:f>
        <s:v>#DIV/0!</s:v>
      </s:c>
      <s:c r="R39" s="275" t="e">
        <s:f>IF($I$12="","",Q39/$I$12)</s:f>
        <s:v>#DIV/0!</s:v>
      </s:c>
      <s:c r="S39" s="274" t="str">
        <s:f>IF(W39&lt;&gt;"",IF(D39&lt;&gt;"",D39,($I$8-SUM($S$25:S38))*V39*W39/SUMPRODUCT($W39:$W$55,$V39:$V$55)),"")</s:f>
        <s:v/>
      </s:c>
      <s:c r="T39" s="275" t="str">
        <s:f>IF(W39&lt;&gt;"",IF(E39&lt;&gt;"",E39,($I$9-SUM($T$25:T38))*V39*W39/SUMPRODUCT($W39:$W$55,$V39:$V$55)),"")</s:f>
        <s:v/>
      </s:c>
      <s:c r="U39" s="275" t="str">
        <s:f>IF(W39&lt;&gt;"",IF($I$12&lt;&gt;"",IF(G39&lt;&gt;"",G39,($I$9/$I$12-SUM($U$25:U38))*V39*W39/SUMPRODUCT($W39:$W$55,$V39:$V$55)),""),"")</s:f>
        <s:v/>
      </s:c>
      <s:c r="V39" s="276"/>
      <s:c r="W39" s="276"/>
      <s:c r="X39" s="277"/>
      <s:c r="Y39" s="277"/>
      <s:c r="Z39" s="283"/>
      <s:c r="AA39" s="278"/>
      <s:c r="AB39" s="278"/>
      <s:c r="AC39" s="278"/>
      <s:c r="AD39" s="278"/>
    </s:row>
    <s:row r="40" spans="1:30" s="268" customFormat="1" ht="15" customHeight="1">
      <s:c r="A40" s="269">
        <s:v>16</s:v>
      </s:c>
      <s:c r="B40" s="280"/>
      <s:c r="C40" s="308"/>
      <s:c r="D40" s="271"/>
      <s:c r="E40" s="282"/>
      <s:c r="F40" s="270" t="str">
        <s:f>IF(AND(E40&lt;&gt;"",E40&lt;&gt;0),D40/E40,"")</s:f>
        <s:v/>
      </s:c>
      <s:c r="G40" s="282"/>
      <s:c r="H40" s="270" t="str">
        <s:f>IF(AND(G40&lt;&gt;"",G40&lt;&gt;0),D40/G40,"")</s:f>
        <s:v/>
      </s:c>
      <s:c r="I40" s="282"/>
      <s:c r="J40" s="271" t="str">
        <s:f>IF(AND(G40&lt;&gt;"",G40&lt;&gt;0),E40/G40,"")</s:f>
        <s:v/>
      </s:c>
      <s:c r="K40" s="270"/>
      <s:c r="L40" s="270"/>
      <s:c r="M40" s="270"/>
      <s:c r="N40" s="272" t="str">
        <s:f>IF(AND(I40&lt;&gt;"",I40&lt;&gt;0),G40/I40,"")</s:f>
        <s:v/>
      </s:c>
      <s:c r="O40" s="273" t="e">
        <s:f>D40/P40</s:f>
        <s:v>#DIV/0!</s:v>
      </s:c>
      <s:c r="P40" s="274" t="e">
        <s:f>$I$8*V40*W40/SUMPRODUCT($W$25:$W$55,$V$25:$V$55)</s:f>
        <s:v>#DIV/0!</s:v>
      </s:c>
      <s:c r="Q40" s="275" t="e">
        <s:f>$I$9*V40*W40/SUMPRODUCT($W$25:$W$55,$V$25:$V$55)</s:f>
        <s:v>#DIV/0!</s:v>
      </s:c>
      <s:c r="R40" s="275" t="e">
        <s:f>IF($I$12="","",Q40/$I$12)</s:f>
        <s:v>#DIV/0!</s:v>
      </s:c>
      <s:c r="S40" s="274" t="str">
        <s:f>IF(W40&lt;&gt;"",IF(D40&lt;&gt;"",D40,($I$8-SUM($S$25:S39))*V40*W40/SUMPRODUCT($W40:$W$55,$V40:$V$55)),"")</s:f>
        <s:v/>
      </s:c>
      <s:c r="T40" s="275" t="str">
        <s:f>IF(W40&lt;&gt;"",IF(E40&lt;&gt;"",E40,($I$9-SUM($T$25:T39))*V40*W40/SUMPRODUCT($W40:$W$55,$V40:$V$55)),"")</s:f>
        <s:v/>
      </s:c>
      <s:c r="U40" s="275" t="str">
        <s:f>IF(W40&lt;&gt;"",IF($I$12&lt;&gt;"",IF(G40&lt;&gt;"",G40,($I$9/$I$12-SUM($U$25:U39))*V40*W40/SUMPRODUCT($W40:$W$55,$V40:$V$55)),""),"")</s:f>
        <s:v/>
      </s:c>
      <s:c r="V40" s="276"/>
      <s:c r="W40" s="276"/>
      <s:c r="X40" s="277"/>
      <s:c r="Y40" s="277"/>
      <s:c r="Z40" s="283"/>
      <s:c r="AA40" s="278"/>
      <s:c r="AB40" s="278"/>
      <s:c r="AC40" s="278"/>
      <s:c r="AD40" s="278"/>
    </s:row>
    <s:row r="41" spans="1:30" s="268" customFormat="1">
      <s:c r="A41" s="269">
        <s:v>17</s:v>
      </s:c>
      <s:c r="B41" s="280"/>
      <s:c r="C41" s="281"/>
      <s:c r="D41" s="285"/>
      <s:c r="E41" s="270"/>
      <s:c r="F41" s="282" t="str">
        <s:f>IF(AND(E41&lt;&gt;"",E41&lt;&gt;0),D41/E41,"")</s:f>
        <s:v/>
      </s:c>
      <s:c r="G41" s="270"/>
      <s:c r="H41" s="282" t="str">
        <s:f>IF(AND(G41&lt;&gt;"",G41&lt;&gt;0),D41/G41,"")</s:f>
        <s:v/>
      </s:c>
      <s:c r="I41" s="270"/>
      <s:c r="J41" s="285" t="str">
        <s:f>IF(AND(G41&lt;&gt;"",G41&lt;&gt;0),E41/G41,"")</s:f>
        <s:v/>
      </s:c>
      <s:c r="K41" s="270"/>
      <s:c r="L41" s="270"/>
      <s:c r="M41" s="270"/>
      <s:c r="N41" s="312" t="str">
        <s:f>IF(AND(I41&lt;&gt;"",I41&lt;&gt;0),G41/I41,"")</s:f>
        <s:v/>
      </s:c>
      <s:c r="O41" s="273" t="e">
        <s:f>D41/P41</s:f>
        <s:v>#DIV/0!</s:v>
      </s:c>
      <s:c r="P41" s="274" t="e">
        <s:f>$I$8*V41*W41/SUMPRODUCT($W$25:$W$55,$V$25:$V$55)</s:f>
        <s:v>#DIV/0!</s:v>
      </s:c>
      <s:c r="Q41" s="275" t="e">
        <s:f>$I$9*V41*W41/SUMPRODUCT($W$25:$W$55,$V$25:$V$55)</s:f>
        <s:v>#DIV/0!</s:v>
      </s:c>
      <s:c r="R41" s="275" t="e">
        <s:f>IF($I$12="","",Q41/$I$12)</s:f>
        <s:v>#DIV/0!</s:v>
      </s:c>
      <s:c r="S41" s="274" t="str">
        <s:f>IF(W41&lt;&gt;"",IF(D41&lt;&gt;"",D41,($I$8-SUM($S$25:S40))*V41*W41/SUMPRODUCT($W41:$W$55,$V41:$V$55)),"")</s:f>
        <s:v/>
      </s:c>
      <s:c r="T41" s="275" t="str">
        <s:f>IF(W41&lt;&gt;"",IF(E41&lt;&gt;"",E41,($I$9-SUM($T$25:T40))*V41*W41/SUMPRODUCT($W41:$W$55,$V41:$V$55)),"")</s:f>
        <s:v/>
      </s:c>
      <s:c r="U41" s="275" t="str">
        <s:f>IF(W41&lt;&gt;"",IF($I$12&lt;&gt;"",IF(G41&lt;&gt;"",G41,($I$9/$I$12-SUM($U$25:U40))*V41*W41/SUMPRODUCT($W41:$W$55,$V41:$V$55)),""),"")</s:f>
        <s:v/>
      </s:c>
      <s:c r="V41" s="276"/>
      <s:c r="W41" s="276"/>
      <s:c r="X41" s="277"/>
      <s:c r="Y41" s="277"/>
      <s:c r="Z41" s="283"/>
      <s:c r="AA41" s="278"/>
      <s:c r="AB41" s="278"/>
      <s:c r="AC41" s="278"/>
      <s:c r="AD41" s="278"/>
    </s:row>
    <s:row r="42" spans="1:30" s="268" customFormat="1">
      <s:c r="A42" s="269">
        <s:v>18</s:v>
      </s:c>
      <s:c r="B42" s="280"/>
      <s:c r="C42" s="308"/>
      <s:c r="D42" s="271"/>
      <s:c r="E42" s="282"/>
      <s:c r="F42" s="270" t="str">
        <s:f>IF(AND(E42&lt;&gt;"",E42&lt;&gt;0),D42/E42,"")</s:f>
        <s:v/>
      </s:c>
      <s:c r="G42" s="282"/>
      <s:c r="H42" s="270" t="str">
        <s:f>IF(AND(G42&lt;&gt;"",G42&lt;&gt;0),D42/G42,"")</s:f>
        <s:v/>
      </s:c>
      <s:c r="I42" s="282"/>
      <s:c r="J42" s="271" t="str">
        <s:f>IF(AND(G42&lt;&gt;"",G42&lt;&gt;0),E42/G42,"")</s:f>
        <s:v/>
      </s:c>
      <s:c r="K42" s="270"/>
      <s:c r="L42" s="270"/>
      <s:c r="M42" s="270"/>
      <s:c r="N42" s="312" t="str">
        <s:f>IF(AND(I42&lt;&gt;"",I42&lt;&gt;0),G42/I42,"")</s:f>
        <s:v/>
      </s:c>
      <s:c r="O42" s="273" t="e">
        <s:f>D42/P42</s:f>
        <s:v>#DIV/0!</s:v>
      </s:c>
      <s:c r="P42" s="274" t="e">
        <s:f>$I$8*V42*W42/SUMPRODUCT($W$25:$W$55,$V$25:$V$55)</s:f>
        <s:v>#DIV/0!</s:v>
      </s:c>
      <s:c r="Q42" s="275" t="e">
        <s:f>$I$9*V42*W42/SUMPRODUCT($W$25:$W$55,$V$25:$V$55)</s:f>
        <s:v>#DIV/0!</s:v>
      </s:c>
      <s:c r="R42" s="275" t="e">
        <s:f>IF($I$12="","",Q42/$I$12)</s:f>
        <s:v>#DIV/0!</s:v>
      </s:c>
      <s:c r="S42" s="274" t="str">
        <s:f>IF(W42&lt;&gt;"",IF(D42&lt;&gt;"",D42,($I$8-SUM($S$25:S41))*V42*W42/SUMPRODUCT($W42:$W$55,$V42:$V$55)),"")</s:f>
        <s:v/>
      </s:c>
      <s:c r="T42" s="275" t="str">
        <s:f>IF(W42&lt;&gt;"",IF(E42&lt;&gt;"",E42,($I$9-SUM($T$25:T41))*V42*W42/SUMPRODUCT($W42:$W$55,$V42:$V$55)),"")</s:f>
        <s:v/>
      </s:c>
      <s:c r="U42" s="275" t="str">
        <s:f>IF(W42&lt;&gt;"",IF($I$12&lt;&gt;"",IF(G42&lt;&gt;"",G42,($I$9/$I$12-SUM($U$25:U41))*V42*W42/SUMPRODUCT($W42:$W$55,$V42:$V$55)),""),"")</s:f>
        <s:v/>
      </s:c>
      <s:c r="V42" s="276"/>
      <s:c r="W42" s="276"/>
      <s:c r="X42" s="277"/>
      <s:c r="Y42" s="277"/>
      <s:c r="Z42" s="283"/>
      <s:c r="AA42" s="278"/>
      <s:c r="AB42" s="278"/>
      <s:c r="AC42" s="278"/>
      <s:c r="AD42" s="278"/>
    </s:row>
    <s:row r="43" spans="1:30" s="268" customFormat="1" ht="15" customHeight="1">
      <s:c r="A43" s="269"/>
      <s:c r="B43" s="280"/>
      <s:c r="C43" s="281"/>
      <s:c r="D43" s="271"/>
      <s:c r="E43" s="270"/>
      <s:c r="F43" s="270" t="str">
        <s:f>IF(AND(E43&lt;&gt;"",E43&lt;&gt;0),D43/E43,"")</s:f>
        <s:v/>
      </s:c>
      <s:c r="G43" s="270"/>
      <s:c r="H43" s="270" t="str">
        <s:f>IF(AND(G43&lt;&gt;"",G43&lt;&gt;0),D43/G43,"")</s:f>
        <s:v/>
      </s:c>
      <s:c r="I43" s="270"/>
      <s:c r="J43" s="271" t="str">
        <s:f>IF(AND(G43&lt;&gt;"",G43&lt;&gt;0),E43/G43,"")</s:f>
        <s:v/>
      </s:c>
      <s:c r="K43" s="270"/>
      <s:c r="L43" s="270"/>
      <s:c r="M43" s="270"/>
      <s:c r="N43" s="312" t="str">
        <s:f>IF(AND(I43&lt;&gt;"",I43&lt;&gt;0),G43/I43,"")</s:f>
        <s:v/>
      </s:c>
      <s:c r="O43" s="273" t="e">
        <s:f>D43/P43</s:f>
        <s:v>#DIV/0!</s:v>
      </s:c>
      <s:c r="P43" s="274" t="e">
        <s:f>$I$8*V43*W43/SUMPRODUCT($W$25:$W$55,$V$25:$V$55)</s:f>
        <s:v>#DIV/0!</s:v>
      </s:c>
      <s:c r="Q43" s="275" t="e">
        <s:f>$I$9*V43*W43/SUMPRODUCT($W$25:$W$55,$V$25:$V$55)</s:f>
        <s:v>#DIV/0!</s:v>
      </s:c>
      <s:c r="R43" s="275" t="e">
        <s:f>IF($I$12="","",Q43/$I$12)</s:f>
        <s:v>#DIV/0!</s:v>
      </s:c>
      <s:c r="S43" s="274" t="str">
        <s:f>IF(W43&lt;&gt;"",IF(D43&lt;&gt;"",D43,($I$8-SUM($S$25:S42))*V43*W43/SUMPRODUCT($W43:$W$55,$V43:$V$55)),"")</s:f>
        <s:v/>
      </s:c>
      <s:c r="T43" s="275" t="str">
        <s:f>IF(W43&lt;&gt;"",IF(E43&lt;&gt;"",E43,($I$9-SUM($T$25:T42))*V43*W43/SUMPRODUCT($W43:$W$55,$V43:$V$55)),"")</s:f>
        <s:v/>
      </s:c>
      <s:c r="U43" s="275" t="str">
        <s:f>IF(W43&lt;&gt;"",IF($I$12&lt;&gt;"",IF(G43&lt;&gt;"",G43,($I$9/$I$12-SUM($U$25:U42))*V43*W43/SUMPRODUCT($W43:$W$55,$V43:$V$55)),""),"")</s:f>
        <s:v/>
      </s:c>
      <s:c r="V43" s="276"/>
      <s:c r="W43" s="276"/>
      <s:c r="X43" s="277"/>
      <s:c r="Y43" s="277"/>
      <s:c r="Z43" s="283"/>
      <s:c r="AA43" s="278"/>
      <s:c r="AB43" s="278"/>
      <s:c r="AC43" s="278"/>
      <s:c r="AD43" s="278"/>
    </s:row>
    <s:row r="44" spans="1:30" s="268" customFormat="1" ht="15" customHeight="1">
      <s:c r="A44" s="269"/>
      <s:c r="B44" s="280"/>
      <s:c r="C44" s="281"/>
      <s:c r="D44" s="271"/>
      <s:c r="E44" s="270"/>
      <s:c r="F44" s="270" t="str">
        <s:f>IF(AND(E44&lt;&gt;"",E44&lt;&gt;0),D44/E44,"")</s:f>
        <s:v/>
      </s:c>
      <s:c r="G44" s="270"/>
      <s:c r="H44" s="270" t="str">
        <s:f>IF(AND(G44&lt;&gt;"",G44&lt;&gt;0),D44/G44,"")</s:f>
        <s:v/>
      </s:c>
      <s:c r="I44" s="270"/>
      <s:c r="J44" s="271" t="str">
        <s:f>IF(AND(G44&lt;&gt;"",G44&lt;&gt;0),E44/G44,"")</s:f>
        <s:v/>
      </s:c>
      <s:c r="K44" s="270"/>
      <s:c r="L44" s="270"/>
      <s:c r="M44" s="270"/>
      <s:c r="N44" s="312" t="str">
        <s:f>IF(AND(I44&lt;&gt;"",I44&lt;&gt;0),G44/I44,"")</s:f>
        <s:v/>
      </s:c>
      <s:c r="O44" s="273" t="e">
        <s:f>D44/P44</s:f>
        <s:v>#DIV/0!</s:v>
      </s:c>
      <s:c r="P44" s="274" t="e">
        <s:f>$I$8*V44*W44/SUMPRODUCT($W$25:$W$55,$V$25:$V$55)</s:f>
        <s:v>#DIV/0!</s:v>
      </s:c>
      <s:c r="Q44" s="275" t="e">
        <s:f>$I$9*V44*W44/SUMPRODUCT($W$25:$W$55,$V$25:$V$55)</s:f>
        <s:v>#DIV/0!</s:v>
      </s:c>
      <s:c r="R44" s="275" t="e">
        <s:f>IF($I$12="","",Q44/$I$12)</s:f>
        <s:v>#DIV/0!</s:v>
      </s:c>
      <s:c r="S44" s="274" t="str">
        <s:f>IF(W44&lt;&gt;"",IF(D44&lt;&gt;"",D44,($I$8-SUM($S$25:S43))*V44*W44/SUMPRODUCT($W44:$W$55,$V44:$V$55)),"")</s:f>
        <s:v/>
      </s:c>
      <s:c r="T44" s="275">
        <s:f>IF(W44&lt;&gt;"",IF(E44&lt;&gt;"",E44,($I$9-SUM($T$25:T43))*V44*W44/SUMPRODUCT($W44:$W$55,$V44:$V$55)),0)</s:f>
        <s:v>0</s:v>
      </s:c>
      <s:c r="U44" s="275" t="str">
        <s:f>IF(W44&lt;&gt;"",IF($I$12&lt;&gt;"",IF(G44&lt;&gt;"",G44,($I$9/$I$12-SUM($U$25:U43))*V44*W44/SUMPRODUCT($W44:$W$55,$V44:$V$55)),""),"")</s:f>
        <s:v/>
      </s:c>
      <s:c r="V44" s="276"/>
      <s:c r="W44" s="276"/>
      <s:c r="X44" s="277"/>
      <s:c r="Y44" s="277"/>
      <s:c r="Z44" s="278"/>
      <s:c r="AA44" s="278"/>
      <s:c r="AB44" s="278"/>
      <s:c r="AC44" s="278"/>
      <s:c r="AD44" s="278"/>
    </s:row>
    <s:row r="45" spans="1:30" customFormat="1">
      <s:c r="A45" s="313"/>
      <s:c r="B45" s="96"/>
      <s:c r="C45" s="279"/>
      <s:c r="D45" s="98"/>
      <s:c r="E45" s="99"/>
      <s:c r="F45" s="99" t="str">
        <s:f>IF(AND(E45&lt;&gt;"",E45&lt;&gt;0),D45/E45,"")</s:f>
        <s:v/>
      </s:c>
      <s:c r="G45" s="99"/>
      <s:c r="H45" s="99" t="str">
        <s:f>IF(AND(G45&lt;&gt;"",G45&lt;&gt;0),D45/G45,"")</s:f>
        <s:v/>
      </s:c>
      <s:c r="I45" s="99"/>
      <s:c r="J45" s="98" t="str">
        <s:f>IF(AND(G45&lt;&gt;"",G45&lt;&gt;0),E45/G45,"")</s:f>
        <s:v/>
      </s:c>
      <s:c r="K45" s="99"/>
      <s:c r="L45" s="99"/>
      <s:c r="M45" s="99"/>
      <s:c r="N45" s="314" t="str">
        <s:f>IF(AND(I45&lt;&gt;"",I45&lt;&gt;0),G45/I45,"")</s:f>
        <s:v/>
      </s:c>
      <s:c r="O45" s="101" t="e">
        <s:f>D45/P45</s:f>
        <s:v>#DIV/0!</s:v>
      </s:c>
      <s:c r="P45" s="102" t="e">
        <s:f>$I$8*V45*W45/SUMPRODUCT($W$25:$W$44,$V$25:$V$44)</s:f>
        <s:v>#DIV/0!</s:v>
      </s:c>
      <s:c r="Q45" s="103" t="e">
        <s:f>$I$9*V45*W45/SUMPRODUCT($W$25:$W$44,$V$25:$V$44)</s:f>
        <s:v>#DIV/0!</s:v>
      </s:c>
      <s:c r="R45" s="103" t="e">
        <s:f>IF($I$12="","",Q45/$I$12)</s:f>
        <s:v>#DIV/0!</s:v>
      </s:c>
      <s:c r="S45" s="102" t="str">
        <s:f>IF(W45&lt;&gt;"",IF(D45&lt;&gt;"",D45,($I$8-SUM($S$25:S44))*V45*W45/SUMPRODUCT($W$44:$W45,$V$44:$V45)),"")</s:f>
        <s:v/>
      </s:c>
      <s:c r="T45" s="103" t="str">
        <s:f>IF(W45&lt;&gt;"",IF(E45&lt;&gt;"",E45,($I$9-SUM($T$25:T44))*V45*W45/SUMPRODUCT($W$44:$W45,$V$44:$V45)),"")</s:f>
        <s:v/>
      </s:c>
      <s:c r="U45" s="103" t="str">
        <s:f>IF(W45&lt;&gt;"",IF($I$12&lt;&gt;"",IF(G45&lt;&gt;"",G45,($I$9/$I$12-SUM($U$25:U44))*V45*W45/SUMPRODUCT($W$44:$W45,$V$44:$V45)),""),"")</s:f>
        <s:v/>
      </s:c>
      <s:c r="V45" s="315"/>
      <s:c r="W45" s="315"/>
      <s:c r="X45" s="316"/>
      <s:c r="Y45" s="316"/>
      <s:c r="Z45" s="317"/>
    </s:row>
    <s:row r="46" spans="1:30" s="268" customFormat="1">
      <s:c r="A46" s="318"/>
      <s:c r="B46" s="280"/>
      <s:c r="C46" s="300"/>
      <s:c r="D46" s="271"/>
      <s:c r="E46" s="270"/>
      <s:c r="F46" s="270" t="str">
        <s:f>IF(AND(E46&lt;&gt;"",E46&lt;&gt;0),D46/E46,"")</s:f>
        <s:v/>
      </s:c>
      <s:c r="G46" s="270"/>
      <s:c r="H46" s="270" t="str">
        <s:f>IF(AND(G46&lt;&gt;"",G46&lt;&gt;0),D46/G46,"")</s:f>
        <s:v/>
      </s:c>
      <s:c r="I46" s="270"/>
      <s:c r="J46" s="271" t="str">
        <s:f>IF(AND(G46&lt;&gt;"",G46&lt;&gt;0),E46/G46,"")</s:f>
        <s:v/>
      </s:c>
      <s:c r="K46" s="270"/>
      <s:c r="L46" s="270"/>
      <s:c r="M46" s="270"/>
      <s:c r="N46" s="312" t="str">
        <s:f>IF(AND(I46&lt;&gt;"",I46&lt;&gt;0),G46/I46,"")</s:f>
        <s:v/>
      </s:c>
      <s:c r="O46" s="273" t="e">
        <s:f>D46/P46</s:f>
        <s:v>#DIV/0!</s:v>
      </s:c>
      <s:c r="P46" s="274" t="e">
        <s:f>$I$8*V46*W46/SUMPRODUCT($W$25:$W$44,$V$25:$V$44)</s:f>
        <s:v>#DIV/0!</s:v>
      </s:c>
      <s:c r="Q46" s="275" t="e">
        <s:f>$I$9*V46*W46/SUMPRODUCT($W$25:$W$44,$V$25:$V$44)</s:f>
        <s:v>#DIV/0!</s:v>
      </s:c>
      <s:c r="R46" s="275" t="e">
        <s:f>IF($I$12="","",Q46/$I$12)</s:f>
        <s:v>#DIV/0!</s:v>
      </s:c>
      <s:c r="S46" s="274" t="str">
        <s:f>IF(W46&lt;&gt;"",IF(D46&lt;&gt;"",D46,($I$8-SUM($S$25:S45))*V46*W46/SUMPRODUCT($W$44:$W46,$V$44:$V46)),"")</s:f>
        <s:v/>
      </s:c>
      <s:c r="T46" s="275" t="str">
        <s:f>IF(W46&lt;&gt;"",IF(E46&lt;&gt;"",E46,($I$9-SUM($T$25:T45))*V46*W46/SUMPRODUCT($W$44:$W46,$V$44:$V46)),"")</s:f>
        <s:v/>
      </s:c>
      <s:c r="U46" s="275" t="str">
        <s:f>IF(W46&lt;&gt;"",IF($I$12&lt;&gt;"",IF(G46&lt;&gt;"",G46,($I$9/$I$12-SUM($U$25:U45))*V46*W46/SUMPRODUCT($W$44:$W46,$V$44:$V46)),""),"")</s:f>
        <s:v/>
      </s:c>
      <s:c r="V46" s="276"/>
      <s:c r="W46" s="276"/>
      <s:c r="X46" s="319"/>
      <s:c r="Y46" s="319"/>
      <s:c r="Z46" s="320"/>
    </s:row>
    <s:row r="47" spans="1:30" s="268" customFormat="1">
      <s:c r="A47" s="321"/>
      <s:c r="B47" s="280"/>
      <s:c r="C47" s="284"/>
      <s:c r="D47" s="271"/>
      <s:c r="E47" s="270"/>
      <s:c r="F47" s="270" t="str">
        <s:f>IF(AND(E47&lt;&gt;"",E47&lt;&gt;0),D47/E47,"")</s:f>
        <s:v/>
      </s:c>
      <s:c r="G47" s="270"/>
      <s:c r="H47" s="270" t="str">
        <s:f>IF(AND(G47&lt;&gt;"",G47&lt;&gt;0),D47/G47,"")</s:f>
        <s:v/>
      </s:c>
      <s:c r="I47" s="270"/>
      <s:c r="J47" s="271" t="str">
        <s:f>IF(AND(G47&lt;&gt;"",G47&lt;&gt;0),E47/G47,"")</s:f>
        <s:v/>
      </s:c>
      <s:c r="K47" s="270"/>
      <s:c r="L47" s="270"/>
      <s:c r="M47" s="270"/>
      <s:c r="N47" s="312" t="str">
        <s:f>IF(AND(I47&lt;&gt;"",I47&lt;&gt;0),G47/I47,"")</s:f>
        <s:v/>
      </s:c>
      <s:c r="O47" s="273" t="e">
        <s:f>D47/P47</s:f>
        <s:v>#DIV/0!</s:v>
      </s:c>
      <s:c r="P47" s="274" t="e">
        <s:f>$I$8*V47*W47/SUMPRODUCT($W$25:$W$47,$V$25:$V$47)</s:f>
        <s:v>#DIV/0!</s:v>
      </s:c>
      <s:c r="Q47" s="275" t="e">
        <s:f>$I$9*V47*W47/SUMPRODUCT($W$25:$W$47,$V$25:$V$47)</s:f>
        <s:v>#DIV/0!</s:v>
      </s:c>
      <s:c r="R47" s="275" t="e">
        <s:f>IF($I$12="","",Q47/$I$12)</s:f>
        <s:v>#DIV/0!</s:v>
      </s:c>
      <s:c r="S47" s="274" t="str">
        <s:f>IF(W47&lt;&gt;"",IF(D47&lt;&gt;"",D47,($I$8-SUM($S$25:S46))*V47*W47/SUMPRODUCT($W47:$W$47,$V47:$V$47)),"")</s:f>
        <s:v/>
      </s:c>
      <s:c r="T47" s="275" t="str">
        <s:f>IF(W47&lt;&gt;"",IF(E47&lt;&gt;"",E47,($I$9-SUM($T$25:T46))*V47*W47/SUMPRODUCT($W47:$W$47,$V47:$V$47)),"")</s:f>
        <s:v/>
      </s:c>
      <s:c r="U47" s="275" t="str">
        <s:f>IF(W47&lt;&gt;"",IF($I$12&lt;&gt;"",IF(G47&lt;&gt;"",G47,($I$9/$I$12-SUM($U$25:U46))*V47*W47/SUMPRODUCT($W47:$W$47,$V47:$V$47)),""),"")</s:f>
        <s:v/>
      </s:c>
      <s:c r="V47" s="276"/>
      <s:c r="W47" s="276"/>
      <s:c r="X47" s="319"/>
      <s:c r="Y47" s="319"/>
      <s:c r="Z47" s="320"/>
    </s:row>
    <s:row r="48" spans="1:30" ht="15" customHeight="1">
      <s:c r="B48" s="623" t="s">
        <s:v>58</s:v>
      </s:c>
      <s:c r="C48" s="623"/>
      <s:c r="D48" s="129">
        <s:f>SUM(D25:D47)</s:f>
        <s:v>0</s:v>
      </s:c>
      <s:c r="E48" s="129">
        <s:f>SUM(E25:E47)</s:f>
        <s:v>0</s:v>
      </s:c>
      <s:c r="F48" s="129" t="str">
        <s:f>IF(AND(E48&lt;&gt;"",E48&lt;&gt;0),D48/E48,"")</s:f>
        <s:v/>
      </s:c>
      <s:c r="G48" s="129">
        <s:f>SUM(G25:G47)</s:f>
        <s:v>0</s:v>
      </s:c>
      <s:c r="H48" s="129" t="str">
        <s:f>IF(AND(G48&lt;&gt;"",G48&lt;&gt;0),D48/G48,"")</s:f>
        <s:v/>
      </s:c>
      <s:c r="I48" s="129">
        <s:f>SUM(I25:I47)</s:f>
        <s:v>0</s:v>
      </s:c>
      <s:c r="J48" s="128" t="str">
        <s:f>IF(AND(G48&lt;&gt;"",G48&lt;&gt;0),E48/G48,"")</s:f>
        <s:v/>
      </s:c>
      <s:c r="K48" s="129">
        <s:f>SUM(K25:K47)</s:f>
        <s:v>0</s:v>
      </s:c>
      <s:c r="L48" s="129">
        <s:f>SUM(L25:L47)</s:f>
        <s:v>0</s:v>
      </s:c>
      <s:c r="M48" s="129">
        <s:f>SUM(M25:M47)</s:f>
        <s:v>0</s:v>
      </s:c>
      <s:c r="N48" s="130" t="str">
        <s:f>IF(AND(I48&lt;&gt;"",I48&lt;&gt;0),G48/I48,"")</s:f>
        <s:v/>
      </s:c>
      <s:c r="O48" s="131" t="e">
        <s:f>D48/P48</s:f>
        <s:v>#DIV/0!</s:v>
      </s:c>
      <s:c r="P48" s="132" t="e">
        <s:f>SUM(P25:P47)</s:f>
        <s:v>#DIV/0!</s:v>
      </s:c>
      <s:c r="Q48" s="132" t="e">
        <s:f>SUM(Q25:Q47)</s:f>
        <s:v>#DIV/0!</s:v>
      </s:c>
      <s:c r="R48" s="132" t="e">
        <s:f>SUM(R25:R47)</s:f>
        <s:v>#DIV/0!</s:v>
      </s:c>
      <s:c r="S48" s="132" t="e">
        <s:f>SUM(S25:S47)</s:f>
        <s:v>#DIV/0!</s:v>
      </s:c>
      <s:c r="T48" s="132" t="e">
        <s:f>SUM(T25:T47)</s:f>
        <s:v>#DIV/0!</s:v>
      </s:c>
      <s:c r="U48" s="132" t="e">
        <s:f>SUM(U25:U47)</s:f>
        <s:v>#DIV/0!</s:v>
      </s:c>
      <s:c r="V48" s="133"/>
      <s:c r="W48" s="133"/>
    </s:row>
    <s:row r="49">
      <s:c r="B49" s="135"/>
      <s:c r="C49" s="136"/>
      <s:c r="D49" s="137" t="e">
        <s:f>SUMIF(D25:D47,"",P25:P47)+D48</s:f>
        <s:v>#DIV/0!</s:v>
      </s:c>
      <s:c r="E49" s="138"/>
      <s:c r="F49" s="136"/>
      <s:c r="G49" s="136"/>
      <s:c r="H49" s="139"/>
      <s:c r="I49" s="266"/>
      <s:c r="J49" s="139"/>
      <s:c r="L49" s="141"/>
      <s:c r="M49" s="138"/>
      <s:c r="N49" s="141"/>
      <s:c r="O49" s="141"/>
      <s:c r="P49" s="141"/>
      <s:c r="Q49" s="142"/>
    </s:row>
    <s:row r="50">
      <s:c r="D50" s="143"/>
    </s:row>
    <s:row r="51">
      <s:c r="D51" s="143"/>
    </s:row>
    <s:row r="52">
      <s:c r="D52" s="251"/>
    </s:row>
    <s:row r="53">
      <s:c r="D53" s="251"/>
    </s:row>
  </s:sheetData>
  <s:mergeCells count="28">
    <s:mergeCell ref="P22:W22"/>
    <s:mergeCell ref="B48:C48"/>
    <s:mergeCell ref="F18:H18"/>
    <s:mergeCell ref="F19:H19"/>
    <s:mergeCell ref="F20:H20"/>
    <s:mergeCell ref="B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85" priority="27" operator="greaterThan">
      <s:formula>0</s:formula>
    </s:cfRule>
    <s:cfRule type="cellIs" dxfId="84" priority="26" operator="lessThan">
      <s:formula>0</s:formula>
    </s:cfRule>
  </s:conditionalFormatting>
  <s:conditionalFormatting sqref="J25:J31">
    <s:cfRule type="cellIs" dxfId="83" priority="11" operator="greaterThan">
      <s:formula>$I$12</s:formula>
    </s:cfRule>
  </s:conditionalFormatting>
  <s:conditionalFormatting sqref="J26:J30">
    <s:cfRule type="cellIs" dxfId="82" priority="10" operator="lessThan">
      <s:formula>$I$12</s:formula>
    </s:cfRule>
  </s:conditionalFormatting>
  <s:conditionalFormatting sqref="J28:J42 J25">
    <s:cfRule type="cellIs" dxfId="81" priority="36" operator="lessThan">
      <s:formula>$I$12</s:formula>
    </s:cfRule>
  </s:conditionalFormatting>
  <s:conditionalFormatting sqref="J28:J42">
    <s:cfRule type="cellIs" dxfId="80" priority="35" operator="greaterThan">
      <s:formula>$I$12</s:formula>
    </s:cfRule>
  </s:conditionalFormatting>
  <s:conditionalFormatting sqref="J29:J30">
    <s:cfRule type="cellIs" dxfId="79" priority="30" operator="lessThan">
      <s:formula>$I$12</s:formula>
    </s:cfRule>
  </s:conditionalFormatting>
  <s:conditionalFormatting sqref="J43:J47 J37">
    <s:cfRule type="cellIs" dxfId="78" priority="19" operator="greaterThan">
      <s:formula>$I$12</s:formula>
    </s:cfRule>
  </s:conditionalFormatting>
  <s:conditionalFormatting sqref="J43:J47">
    <s:cfRule type="cellIs" dxfId="77" priority="18" operator="lessThan">
      <s:formula>$I$12</s:formula>
    </s:cfRule>
  </s:conditionalFormatting>
  <s:conditionalFormatting sqref="K10:K12 K15">
    <s:cfRule type="cellIs" dxfId="76" priority="25" operator="greaterThan">
      <s:formula>1</s:formula>
    </s:cfRule>
    <s:cfRule type="cellIs" dxfId="75" priority="24" operator="lessThan">
      <s:formula>1</s:formula>
    </s:cfRule>
  </s:conditionalFormatting>
  <s:conditionalFormatting sqref="K13">
    <s:cfRule type="cellIs" dxfId="74" priority="21" operator="greaterThan">
      <s:formula>$K$14</s:formula>
    </s:cfRule>
    <s:cfRule type="cellIs" dxfId="73" priority="20" operator="lessThan">
      <s:formula>$K$14</s:formula>
    </s:cfRule>
  </s:conditionalFormatting>
  <s:conditionalFormatting sqref="M8:M15">
    <s:cfRule type="cellIs" dxfId="72" priority="29" operator="lessThan">
      <s:formula>1</s:formula>
    </s:cfRule>
    <s:cfRule type="cellIs" dxfId="71" priority="23" operator="greaterThan">
      <s:formula>1</s:formula>
    </s:cfRule>
  </s:conditionalFormatting>
  <s:conditionalFormatting sqref="N25:N37">
    <s:cfRule type="cellIs" dxfId="70" priority="8" operator="greaterThanOrEqual">
      <s:formula>0.25</s:formula>
    </s:cfRule>
    <s:cfRule type="cellIs" dxfId="69" priority="7" operator="between">
      <s:formula>0.2</s:formula>
      <s:formula>0.25</s:formula>
    </s:cfRule>
  </s:conditionalFormatting>
  <s:conditionalFormatting sqref="N25:N47">
    <s:cfRule type="cellIs" dxfId="68" priority="9" operator="lessThan">
      <s:formula>0.2</s:formula>
    </s:cfRule>
  </s:conditionalFormatting>
  <s:conditionalFormatting sqref="N38">
    <s:cfRule type="cellIs" dxfId="67" priority="31" operator="between">
      <s:formula>0.2</s:formula>
      <s:formula>0.25</s:formula>
    </s:cfRule>
  </s:conditionalFormatting>
  <s:conditionalFormatting sqref="N38:N47">
    <s:cfRule type="cellIs" dxfId="66" priority="17" operator="greaterThanOrEqual">
      <s:formula>0.25</s:formula>
    </s:cfRule>
  </s:conditionalFormatting>
  <s:conditionalFormatting sqref="N39:N47">
    <s:cfRule type="cellIs" dxfId="65" priority="16" operator="between">
      <s:formula>0.2</s:formula>
      <s:formula>0.25</s:formula>
    </s:cfRule>
  </s:conditionalFormatting>
  <s:conditionalFormatting sqref="O25:O37">
    <s:cfRule type="cellIs" dxfId="64" priority="6" operator="between">
      <s:formula>0.01</s:formula>
      <s:formula>0.99</s:formula>
    </s:cfRule>
    <s:cfRule type="cellIs" dxfId="63" priority="5" operator="between">
      <s:formula>0.85</s:formula>
      <s:formula>1</s:formula>
    </s:cfRule>
    <s:cfRule type="cellIs" dxfId="62" priority="2" operator="lessThan">
      <s:formula>0.9</s:formula>
    </s:cfRule>
    <s:cfRule type="cellIs" dxfId="61" priority="1" operator="between">
      <s:formula>0.9001</s:formula>
      <s:formula>0.9999</s:formula>
    </s:cfRule>
  </s:conditionalFormatting>
  <s:conditionalFormatting sqref="O25:O47">
    <s:cfRule type="cellIs" dxfId="60" priority="4" operator="greaterThan">
      <s:formula>100</s:formula>
    </s:cfRule>
    <s:cfRule type="cellIs" dxfId="59" priority="3" operator="greaterThan">
      <s:formula>1</s:formula>
    </s:cfRule>
  </s:conditionalFormatting>
  <s:conditionalFormatting sqref="O38">
    <s:cfRule type="cellIs" dxfId="58" priority="32" operator="between">
      <s:formula>0.85</s:formula>
      <s:formula>1</s:formula>
    </s:cfRule>
    <s:cfRule type="cellIs" dxfId="57" priority="33" operator="lessThan">
      <s:formula>0.9</s:formula>
    </s:cfRule>
    <s:cfRule type="cellIs" dxfId="56" priority="34" operator="between">
      <s:formula>0.9001</s:formula>
      <s:formula>0.9999</s:formula>
    </s:cfRule>
  </s:conditionalFormatting>
  <s:conditionalFormatting sqref="O38:O47">
    <s:cfRule type="cellIs" dxfId="55" priority="15" operator="between">
      <s:formula>0.01</s:formula>
      <s:formula>0.99</s:formula>
    </s:cfRule>
  </s:conditionalFormatting>
  <s:conditionalFormatting sqref="O39:O44">
    <s:cfRule type="cellIs" dxfId="54" priority="14" operator="between">
      <s:formula>0.85</s:formula>
      <s:formula>1</s:formula>
    </s:cfRule>
  </s:conditionalFormatting>
  <s:conditionalFormatting sqref="O39:O47">
    <s:cfRule type="cellIs" dxfId="53" priority="13" operator="lessThan">
      <s:formula>0.9</s:formula>
    </s:cfRule>
    <s:cfRule type="cellIs" dxfId="52" priority="12" operator="between">
      <s:formula>0.9001</s:formula>
      <s:formula>0.9999</s:formula>
    </s:cfRule>
  </s:conditionalFormatting>
  <s:conditionalFormatting sqref="O45:O47">
    <s:cfRule type="cellIs" dxfId="51" priority="22" operator="between">
      <s:formula>0.85</s:formula>
      <s:formula>1</s:formula>
    </s:cfRule>
  </s:conditionalFormatting>
  <s:conditionalFormatting sqref="P10:Q10">
    <s:cfRule type="cellIs" dxfId="50" priority="28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8.xml><?xml version="1.0" encoding="utf-8"?>
<s:worksheet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xmlns:mc="http://schemas.openxmlformats.org/markup-compatibility/2006" xmlns:xr3="http://schemas.microsoft.com/office/spreadsheetml/2016/revision3" xmlns:s="http://schemas.openxmlformats.org/spreadsheetml/2006/main" mc:Ignorable="x14ac xr xr2 xr3" xr:uid="{00000000-0001-0000-0700-000000000000}">
  <s:dimension ref="A1:IU53"/>
  <s:sheetViews>
    <s:sheetView tabSelected="0" zoomScale="108" workbookViewId="0">
      <s:selection activeCell="I27" sqref="I27"/>
    </s:sheetView>
  </s:sheetViews>
  <s:sheetFormatPr baseColWidth="10" defaultColWidth="9.164" defaultRowHeight="15"/>
  <s:cols>
    <s:col min="1" max="1" width="12.5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/>
    <s:col min="22" max="23" width="10.5" style="3" customWidth="1"/>
    <s:col min="24" max="33" width="9.164" style="3"/>
    <s:col min="34" max="255" width="9.164" style="2"/>
  </s:cols>
  <s:sheetData>
    <s:row r="1" spans="2:23" ht="15.75" customHeight="1">
      <s:c r="B1" s="705">
        <s:f ca="1">TODAY()-1</s:f>
        <s:v>46138</s:v>
      </s:c>
      <s:c r="C1" s="705"/>
      <s:c r="D1" s="330"/>
      <s:c r="E1" s="330"/>
      <s:c r="F1" s="331"/>
      <s:c r="G1" s="331"/>
      <s:c r="H1" s="331"/>
      <s:c r="I1" s="331"/>
      <s:c r="J1" s="332"/>
      <s:c r="K1" s="332"/>
      <s:c r="L1" s="332"/>
      <s:c r="M1" s="332"/>
      <s:c r="N1" s="332"/>
      <s:c r="O1" s="332"/>
      <s:c r="P1" s="332"/>
      <s:c r="Q1" s="706"/>
      <s:c r="R1" s="706"/>
      <s:c r="S1" s="706"/>
      <s:c r="T1" s="706"/>
      <s:c r="U1" s="331"/>
      <s:c r="V1" s="331"/>
      <s:c r="W1" s="331"/>
    </s:row>
    <s:row r="2" spans="2:23" ht="21.75" customHeight="1">
      <s:c r="B2" s="707" t="s">
        <s:v>0</s:v>
      </s:c>
      <s:c r="C2" s="707"/>
      <s:c r="D2" s="330"/>
      <s:c r="E2" s="330"/>
      <s:c r="F2" s="331"/>
      <s:c r="G2" s="331"/>
      <s:c r="H2" s="331"/>
      <s:c r="I2" s="331"/>
      <s:c r="J2" s="708" t="s">
        <s:v>70</s:v>
      </s:c>
      <s:c r="K2" s="708"/>
      <s:c r="L2" s="708"/>
      <s:c r="M2" s="708"/>
      <s:c r="N2" s="708"/>
      <s:c r="O2" s="708"/>
      <s:c r="P2" s="708"/>
      <s:c r="Q2" s="706"/>
      <s:c r="R2" s="706"/>
      <s:c r="S2" s="706"/>
      <s:c r="T2" s="706"/>
      <s:c r="U2" s="331"/>
      <s:c r="V2" s="331"/>
      <s:c r="W2" s="331"/>
    </s:row>
    <s:row r="3" spans="2:23" ht="14" customHeight="1">
      <s:c r="B3" s="333" t="s">
        <s:v>1</s:v>
      </s:c>
      <s:c r="C3" s="330"/>
      <s:c r="D3" s="330"/>
      <s:c r="E3" s="330"/>
      <s:c r="F3" s="331"/>
      <s:c r="G3" s="331"/>
      <s:c r="H3" s="331"/>
      <s:c r="I3" s="331"/>
      <s:c r="J3" s="709" t="str">
        <s:f>График!B25</s:f>
        <s:v>Орешникова Елена</s:v>
      </s:c>
      <s:c r="K3" s="709"/>
      <s:c r="L3" s="709"/>
      <s:c r="M3" s="709"/>
      <s:c r="N3" s="709"/>
      <s:c r="O3" s="332"/>
      <s:c r="P3" s="334"/>
      <s:c r="Q3" s="706"/>
      <s:c r="R3" s="706"/>
      <s:c r="S3" s="706"/>
      <s:c r="T3" s="706"/>
      <s:c r="U3" s="331"/>
      <s:c r="V3" s="331"/>
      <s:c r="W3" s="331"/>
    </s:row>
    <s:row r="4" spans="2:23" ht="15" customHeight="1">
      <s:c r="B4" s="330"/>
      <s:c r="C4" s="710">
        <s:f>I8-D48</s:f>
        <s:v>-41819.977142857148</s:v>
      </s:c>
      <s:c r="D4" s="710"/>
      <s:c r="E4" s="335">
        <s:f>IF(I8&lt;&gt;0,C4/I8,0)</s:f>
        <s:v>-0.67865751020235576</s:v>
      </s:c>
      <s:c r="F4" s="331"/>
      <s:c r="G4" s="331"/>
      <s:c r="H4" s="331"/>
      <s:c r="I4" s="331"/>
      <s:c r="J4" s="709"/>
      <s:c r="K4" s="709"/>
      <s:c r="L4" s="709"/>
      <s:c r="M4" s="709"/>
      <s:c r="N4" s="709"/>
      <s:c r="O4" s="331"/>
      <s:c r="P4" s="331"/>
      <s:c r="Q4" s="706"/>
      <s:c r="R4" s="706"/>
      <s:c r="S4" s="706"/>
      <s:c r="T4" s="706"/>
      <s:c r="U4" s="331"/>
      <s:c r="V4" s="331"/>
      <s:c r="W4" s="331"/>
    </s:row>
    <s:row r="5">
      <s:c r="B5" s="331"/>
      <s:c r="C5" s="331"/>
      <s:c r="D5" s="331"/>
      <s:c r="E5" s="331"/>
      <s:c r="F5" s="331"/>
      <s:c r="G5" s="331"/>
      <s:c r="H5" s="331"/>
      <s:c r="I5" s="331"/>
      <s:c r="J5" s="711"/>
      <s:c r="K5" s="711"/>
      <s:c r="L5" s="711"/>
      <s:c r="M5" s="711"/>
      <s:c r="N5" s="711"/>
      <s:c r="O5" s="331"/>
      <s:c r="P5" s="331"/>
      <s:c r="Q5" s="331"/>
      <s:c r="R5" s="331"/>
      <s:c r="S5" s="331"/>
      <s:c r="T5" s="331"/>
      <s:c r="U5" s="331"/>
      <s:c r="V5" s="331"/>
      <s:c r="W5" s="331"/>
    </s:row>
    <s:row r="6" spans="2:23" ht="15.75" customHeight="1">
      <s:c r="B6" s="336"/>
      <s:c r="C6" s="331"/>
      <s:c r="D6" s="331"/>
      <s:c r="E6" s="331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37"/>
      <s:c r="S6" s="37"/>
      <s:c r="T6" s="331"/>
      <s:c r="U6" s="331"/>
      <s:c r="V6" s="331"/>
      <s:c r="W6" s="331"/>
    </s:row>
    <s:row r="7" spans="2:23" ht="50.75" customHeight="1">
      <s:c r="B7" s="336"/>
      <s:c r="C7" s="331"/>
      <s:c r="D7" s="331"/>
      <s:c r="E7" s="331"/>
      <s:c r="F7" s="603" t="s">
        <s:v>3</s:v>
      </s:c>
      <s:c r="G7" s="604"/>
      <s:c r="H7" s="605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606" t="s">
        <s:v>11</s:v>
      </s:c>
      <s:c r="Q7" s="607"/>
      <s:c r="R7" s="37"/>
      <s:c r="S7" s="37"/>
      <s:c r="T7" s="331"/>
      <s:c r="U7" s="331"/>
      <s:c r="V7" s="331"/>
      <s:c r="W7" s="331"/>
    </s:row>
    <s:row r="8" spans="2:23" ht="15.75" customHeight="1">
      <s:c r="B8" s="336"/>
      <s:c r="C8" s="331"/>
      <s:c r="D8" s="331"/>
      <s:c r="E8" s="331"/>
      <s:c r="F8" s="608" t="s">
        <s:v>12</s:v>
      </s:c>
      <s:c r="G8" s="609"/>
      <s:c r="H8" s="610"/>
      <s:c r="I8" s="229">
        <s:f>'Ялта, Ленина, 18'!I8/График!AI31*График!AI25</s:f>
        <s:v>61621.622857142858</s:v>
      </s:c>
      <s:c r="J8" s="230">
        <s:f>D48</s:f>
        <s:v>103441.60000000001</s:v>
      </s:c>
      <s:c r="K8" s="231">
        <s:f>IF(AND(I8&lt;&gt;"", I8&lt;&gt;0, J8&lt;&gt;""), J8/I8, "")</s:f>
        <s:v>1.6786575102023558</s:v>
      </s:c>
      <s:c r="L8" s="232">
        <s:f>IF(SUMIF($D$25:$D$47,"&gt;=0",$P$25:$P$47)&lt;&gt;0,I8*D48/SUMIF($D$25:$D$47,"&gt;=0",$P$25:$P$47),0)</s:f>
        <s:v>103441.59999999999</s:v>
      </s:c>
      <s:c r="M8" s="32">
        <s:f>IF(AND(I8&lt;&gt;"", I8&lt;&gt;0, L8&lt;&gt;"", L8&lt;&gt;0), L8/I8, "")</s:f>
        <s:v>1.6786575102023555</s:v>
      </s:c>
      <s:c r="N8" s="35">
        <s:f>IF(AND(J8&lt;&gt;0, J8&lt;&gt;"", I8&lt;&gt;0, I8&lt;&gt;""), L8-I8, "")</s:f>
        <s:v>41819.977142857133</s:v>
      </s:c>
      <s:c r="O8" s="34"/>
      <s:c r="P8" s="35" t="str">
        <s:f>IF(AND(O8&lt;&gt;"", O8&lt;&gt;0, L8&lt;&gt;"", L8&lt;&gt;0), -O8+L8, "")</s:f>
        <s:v/>
      </s:c>
      <s:c r="Q8" s="36" t="str">
        <s:f>IF(AND(P8&lt;&gt;"", P8&lt;&gt;0, O8&lt;&gt;0, O8&lt;&gt;""), P8/O8, "")</s:f>
        <s:v/>
      </s:c>
      <s:c r="R8" s="37"/>
      <s:c r="S8" s="37"/>
      <s:c r="T8" s="331"/>
      <s:c r="U8" s="331"/>
      <s:c r="V8" s="331"/>
      <s:c r="W8" s="331"/>
    </s:row>
    <s:row r="9" spans="2:23" ht="15.75" customHeight="1">
      <s:c r="B9" s="336"/>
      <s:c r="C9" s="331"/>
      <s:c r="D9" s="331"/>
      <s:c r="E9" s="331"/>
      <s:c r="F9" s="611" t="s">
        <s:v>13</s:v>
      </s:c>
      <s:c r="G9" s="612"/>
      <s:c r="H9" s="613"/>
      <s:c r="I9" s="38">
        <s:f>I8/I11</s:f>
        <s:v>12.423714285714286</s:v>
      </s:c>
      <s:c r="J9" s="39">
        <s:f>E48</s:f>
        <s:v>14</s:v>
      </s:c>
      <s:c r="K9" s="40">
        <s:f>IF(AND(I9&lt;&gt;"", I9&lt;&gt;0, J9&lt;&gt;""), J9/I9, "")</s:f>
        <s:v>1.1268771703884275</s:v>
      </s:c>
      <s:c r="L9" s="234">
        <s:f>IF(SUMIF($E$25:$E$47,"&gt;=0",$Q$25:$Q$47)&lt;&gt;0,I9*E48/SUMIF($E$25:$E$47,"&gt;=0",$Q$25:$Q$47),0)</s:f>
        <s:v>13.999999999999998</s:v>
      </s:c>
      <s:c r="M9" s="42">
        <s:f>IF(AND(I9&lt;&gt;"", I9&lt;&gt;0, L9&lt;&gt;"", L9&lt;&gt;0), L9/I9, "")</s:f>
        <s:v>1.1268771703884275</s:v>
      </s:c>
      <s:c r="N9" s="43">
        <s:f>IF(AND(J9&lt;&gt;0, J9&lt;&gt;"", I9&lt;&gt;0, I9&lt;&gt;""), L9-I9, "")</s:f>
        <s:v>1.5762857142857118</s:v>
      </s:c>
      <s:c r="O9" s="44" t="e">
        <s:f>O8/O11</s:f>
        <s:v>#DIV/0!</s:v>
      </s:c>
      <s:c r="P9" s="43" t="e">
        <s:f>IF(AND(O9&lt;&gt;"", O9&lt;&gt;0, L9&lt;&gt;"", L9&lt;&gt;0), -O9+L9, "")</s:f>
        <s:v>#DIV/0!</s:v>
      </s:c>
      <s:c r="Q9" s="45" t="e">
        <s:f>IF(AND(P9&lt;&gt;"", P9&lt;&gt;0, O9&lt;&gt;0, O9&lt;&gt;""), P9/O9, "")</s:f>
        <s:v>#DIV/0!</s:v>
      </s:c>
      <s:c r="R9" s="37"/>
      <s:c r="S9" s="37"/>
      <s:c r="T9" s="331"/>
      <s:c r="U9" s="331"/>
      <s:c r="V9" s="331"/>
      <s:c r="W9" s="331"/>
    </s:row>
    <s:row r="10" spans="2:23" ht="15.75" customHeight="1">
      <s:c r="B10" s="336"/>
      <s:c r="C10" s="331"/>
      <s:c r="D10" s="331"/>
      <s:c r="E10" s="331"/>
      <s:c r="F10" s="608" t="s">
        <s:v>14</s:v>
      </s:c>
      <s:c r="G10" s="609"/>
      <s:c r="H10" s="610"/>
      <s:c r="I10" s="50">
        <s:f>I11*I12</s:f>
        <s:v>8779.2000000000007</s:v>
      </s:c>
      <s:c r="J10" s="236">
        <s:f>H48</s:f>
        <s:v>12930.2</s:v>
      </s:c>
      <s:c r="K10" s="237">
        <s:f>IF(AND(I10&lt;&gt;"", I10&lt;&gt;0, J10&lt;&gt;""), J10/I10, "")</s:f>
        <s:v>1.4728221250227811</s:v>
      </s:c>
      <s:c r="L10" s="234">
        <s:f>J10</s:f>
        <s:v>12930.2</s:v>
      </s:c>
      <s:c r="M10" s="48">
        <s:f>IF(AND(I10&lt;&gt;"", I10&lt;&gt;0, L10&lt;&gt;"", L10&lt;&gt;0), L10/I10, "")</s:f>
        <s:v>1.4728221250227811</s:v>
      </s:c>
      <s:c r="N10" s="49">
        <s:f>IF(AND(J10&lt;&gt;0, J10&lt;&gt;"", I10&lt;&gt;0, I10&lt;&gt;""), L10-I10, "")</s:f>
        <s:v>4151</s:v>
      </s:c>
      <s:c r="O10" s="50">
        <s:f>O11*O12</s:f>
        <s:v>0</s:v>
      </s:c>
      <s:c r="P10" s="49" t="str">
        <s:f>IF(AND(O10&lt;&gt;"", O10&lt;&gt;0, L10&lt;&gt;"", L10&lt;&gt;0), -O10+L10, "")</s:f>
        <s:v/>
      </s:c>
      <s:c r="Q10" s="51" t="str">
        <s:f>IF(AND(P10&lt;&gt;"", P10&lt;&gt;0, O10&lt;&gt;0, O10&lt;&gt;""), P10/O10, "")</s:f>
        <s:v/>
      </s:c>
      <s:c r="R10" s="37"/>
      <s:c r="S10" s="618" t="s">
        <s:v>15</s:v>
      </s:c>
      <s:c r="T10" s="618"/>
      <s:c r="U10" s="331"/>
      <s:c r="V10" s="331"/>
      <s:c r="W10" s="331"/>
    </s:row>
    <s:row r="11" spans="2:23" ht="15.75" customHeight="1">
      <s:c r="B11" s="336"/>
      <s:c r="C11" s="331"/>
      <s:c r="D11" s="331"/>
      <s:c r="E11" s="331"/>
      <s:c r="F11" s="611" t="s">
        <s:v>16</s:v>
      </s:c>
      <s:c r="G11" s="612"/>
      <s:c r="H11" s="613"/>
      <s:c r="I11" s="52">
        <s:f>'Ялта, Ленина, 18'!I11</s:f>
        <s:v>4960</s:v>
      </s:c>
      <s:c r="J11" s="39">
        <s:f>F48</s:f>
        <s:v>7388.6857142857143</s:v>
      </s:c>
      <s:c r="K11" s="239">
        <s:f>IF(AND(I11&lt;&gt;"", I11&lt;&gt;0, J11&lt;&gt;""), J11/I11, "")</s:f>
        <s:v>1.4896543778801843</s:v>
      </s:c>
      <s:c r="L11" s="234">
        <s:f>IF(L9&gt;0, L8/L9, "")</s:f>
        <s:v>7388.6857142857143</s:v>
      </s:c>
      <s:c r="M11" s="42">
        <s:f>IF(AND(I11&lt;&gt;"", I11&lt;&gt;0, L11&lt;&gt;"", L11&lt;&gt;0), L11/I11, "")</s:f>
        <s:v>1.4896543778801843</s:v>
      </s:c>
      <s:c r="N11" s="43">
        <s:f>IF(AND(J11&lt;&gt;0, J11&lt;&gt;"", I11&lt;&gt;0, I11&lt;&gt;""), L11-I11, "")</s:f>
        <s:v>2428.6857142857143</s:v>
      </s:c>
      <s:c r="O11" s="53"/>
      <s:c r="P11" s="43" t="str">
        <s:f>IF(AND(O11&lt;&gt;"", O11&lt;&gt;0, L11&lt;&gt;"", L11&lt;&gt;0), -O11+L11, "")</s:f>
        <s:v/>
      </s:c>
      <s:c r="Q11" s="45" t="str">
        <s:f>IF(AND(P11&lt;&gt;"", P11&lt;&gt;0, O11&lt;&gt;0, O11&lt;&gt;""), P11/O11, "")</s:f>
        <s:v/>
      </s:c>
      <s:c r="R11" s="37"/>
      <s:c r="S11" s="618"/>
      <s:c r="T11" s="618"/>
      <s:c r="U11" s="331"/>
      <s:c r="V11" s="331"/>
      <s:c r="W11" s="331"/>
    </s:row>
    <s:row r="12" spans="2:23" ht="15.75" customHeight="1">
      <s:c r="B12" s="336"/>
      <s:c r="C12" s="331"/>
      <s:c r="D12" s="331"/>
      <s:c r="E12" s="331"/>
      <s:c r="F12" s="611" t="s">
        <s:v>17</s:v>
      </s:c>
      <s:c r="G12" s="612"/>
      <s:c r="H12" s="613"/>
      <s:c r="I12" s="54">
        <s:f>'Ялта, Ленина, 18'!I12</s:f>
        <s:v>1.77</s:v>
      </s:c>
      <s:c r="J12" s="55">
        <s:f>J48</s:f>
        <s:v>1.75</s:v>
      </s:c>
      <s:c r="K12" s="239">
        <s:f>IF(AND(I12&lt;&gt;"", I12&lt;&gt;0, J12&lt;&gt;""), J12/I12, "")</s:f>
        <s:v>0.98870056497175141</s:v>
      </s:c>
      <s:c r="L12" s="240">
        <s:f>J12</s:f>
        <s:v>1.75</s:v>
      </s:c>
      <s:c r="M12" s="42">
        <s:f>IF(AND(I12&lt;&gt;"", I12&lt;&gt;0, L12&lt;&gt;"", L12&lt;&gt;0), L12/I12, "")</s:f>
        <s:v>0.98870056497175141</s:v>
      </s:c>
      <s:c r="N12" s="57">
        <s:f>IF(AND(J12&lt;&gt;0, J12&lt;&gt;"", I12&lt;&gt;0, I12&lt;&gt;""), L12-I12, "")</s:f>
        <s:v>-2.0000000000000018E-2</s:v>
      </s:c>
      <s:c r="O12" s="58"/>
      <s:c r="P12" s="43" t="str">
        <s:f>IF(AND(O12&lt;&gt;"", O12&lt;&gt;0, L12&lt;&gt;"", L12&lt;&gt;0), -O12+L12, "")</s:f>
        <s:v/>
      </s:c>
      <s:c r="Q12" s="45" t="str">
        <s:f>IF(AND(P12&lt;&gt;"", P12&lt;&gt;0, O12&lt;&gt;0, O12&lt;&gt;""), P12/O12, "")</s:f>
        <s:v/>
      </s:c>
      <s:c r="R12" s="37"/>
      <s:c r="S12" s="59">
        <s:f>'Ялта, Ленина, 18'!S12*График!AJ25/График!AJ31</s:f>
        <s:v>15789.473684210527</s:v>
      </s:c>
      <s:c r="T12" s="60">
        <s:f>L48</s:f>
        <s:v>18900</s:v>
      </s:c>
      <s:c r="U12" s="331"/>
      <s:c r="V12" s="331"/>
      <s:c r="W12" s="331"/>
    </s:row>
    <s:row r="13" spans="2:23" ht="15.75" customHeight="1">
      <s:c r="B13" s="336"/>
      <s:c r="C13" s="331"/>
      <s:c r="D13" s="331"/>
      <s:c r="E13" s="331"/>
      <s:c r="F13" s="611" t="s">
        <s:v>18</s:v>
      </s:c>
      <s:c r="G13" s="612"/>
      <s:c r="H13" s="613"/>
      <s:c r="I13" s="38">
        <s:f>IF(I12&lt;&gt;0, I9/I12, "")</s:f>
        <s:v>7.019047619047619</s:v>
      </s:c>
      <s:c r="J13" s="39">
        <s:f>G48</s:f>
        <s:v>8</s:v>
      </s:c>
      <s:c r="K13" s="239">
        <s:f>IF(AND(I13&lt;&gt;"", I13&lt;&gt;0, J13&lt;&gt;""), J13/I13, "")</s:f>
        <s:v>1.1397557666214382</s:v>
      </s:c>
      <s:c r="L13" s="234">
        <s:f>IF(SUMIF($G$25:$G$47,"&gt;=0",$R$25:$R$47)&lt;&gt;0,I13*G48/SUMIF($G$25:$G$47,"&gt;=0",$R$25:$R$47),"")</s:f>
        <s:v>7.9999999999999982</s:v>
      </s:c>
      <s:c r="M13" s="42">
        <s:f>IF(AND(I13&lt;&gt;"", I13&lt;&gt;0, L13&lt;&gt;"", L13&lt;&gt;0), L13/I13, "")</s:f>
        <s:v>1.139755766621438</s:v>
      </s:c>
      <s:c r="N13" s="57">
        <s:f>IF(AND(J13&lt;&gt;0, J13&lt;&gt;"", I13&lt;&gt;0, I13&lt;&gt;""), L13-I13, "")</s:f>
        <s:v>0.98095238095237924</s:v>
      </s:c>
      <s:c r="O13" s="61"/>
      <s:c r="P13" s="43" t="str">
        <s:f>IF(AND(O13&lt;&gt;"", O13&lt;&gt;0, L13&lt;&gt;"", L13&lt;&gt;0), -O13+L13, "")</s:f>
        <s:v/>
      </s:c>
      <s:c r="Q13" s="45" t="str">
        <s:f>IF(AND(P13&lt;&gt;"", P13&lt;&gt;0, O13&lt;&gt;0, O13&lt;&gt;""), P13/O13, "")</s:f>
        <s:v/>
      </s:c>
      <s:c r="R13" s="37"/>
      <s:c r="S13" s="62">
        <s:f>T12/S12</s:f>
        <s:v>1.1970000000000001</s:v>
      </s:c>
      <s:c r="T13" s="62">
        <s:f>S13/J14*I14</s:f>
        <s:v>1.1970000000000001</s:v>
      </s:c>
      <s:c r="U13" s="331"/>
      <s:c r="V13" s="331"/>
      <s:c r="W13" s="331"/>
    </s:row>
    <s:row r="14" spans="2:23" ht="15.75" customHeight="1">
      <s:c r="B14" s="336"/>
      <s:c r="C14" s="331"/>
      <s:c r="D14" s="331"/>
      <s:c r="E14" s="331"/>
      <s:c r="F14" s="611" t="s">
        <s:v>61</s:v>
      </s:c>
      <s:c r="G14" s="612"/>
      <s:c r="H14" s="613"/>
      <s:c r="I14" s="52">
        <s:f>График!AI25</s:f>
        <s:v>1</s:v>
      </s:c>
      <s:c r="J14" s="64">
        <s:v>1</s:v>
      </s:c>
      <s:c r="K14" s="40">
        <s:f>IF(AND(I14&lt;&gt;"", I14&lt;&gt;0, J14&lt;&gt;""), J14/I14, "")</s:f>
        <s:v>1</s:v>
      </s:c>
      <s:c r="L14" s="41">
        <s:f>I14</s:f>
        <s:v>1</s:v>
      </s:c>
      <s:c r="M14" s="42">
        <s:f>IF(AND(I14&lt;&gt;"", I14&lt;&gt;0, L14&lt;&gt;"", L14&lt;&gt;0), L14/I14, "")</s:f>
        <s:v>1</s:v>
      </s:c>
      <s:c r="N14" s="43">
        <s:f>IF(AND(J14&lt;&gt;0, J14&lt;&gt;"", I14&lt;&gt;0, I14&lt;&gt;""), L14-I14, "")</s:f>
        <s:v>0</s:v>
      </s:c>
      <s:c r="O14" s="61"/>
      <s:c r="P14" s="43" t="str">
        <s:f>IF(AND(O14&lt;&gt;"", O14&lt;&gt;0, L14&lt;&gt;"", L14&lt;&gt;0), -O14+L14, "")</s:f>
        <s:v/>
      </s:c>
      <s:c r="Q14" s="45" t="str">
        <s:f>IF(AND(P14&lt;&gt;"", P14&lt;&gt;0, O14&lt;&gt;0, O14&lt;&gt;""), P14/O14, "")</s:f>
        <s:v/>
      </s:c>
      <s:c r="R14" s="37"/>
      <s:c r="S14" s="65"/>
      <s:c r="T14" s="6"/>
      <s:c r="U14" s="331"/>
      <s:c r="V14" s="331"/>
      <s:c r="W14" s="331"/>
    </s:row>
    <s:row r="15" spans="2:23" ht="15.75" customHeight="1">
      <s:c r="B15" s="336"/>
      <s:c r="C15" s="331"/>
      <s:c r="D15" s="331"/>
      <s:c r="E15" s="331"/>
      <s:c r="F15" s="611" t="s">
        <s:v>20</s:v>
      </s:c>
      <s:c r="G15" s="612"/>
      <s:c r="H15" s="613"/>
      <s:c r="I15" s="75">
        <s:f>'Ялта, Ленина, 18'!I15</s:f>
        <s:v>86270.272000000012</s:v>
      </s:c>
      <s:c r="J15" s="67">
        <s:f>J8/J14</s:f>
        <s:v>103441.60000000001</s:v>
      </s:c>
      <s:c r="K15" s="68">
        <s:f>IF(AND(I15&lt;&gt;"", I15&lt;&gt;0, J15&lt;&gt;""), J15/I15, "")</s:f>
        <s:v>1.1990410787159682</s:v>
      </s:c>
      <s:c r="L15" s="72">
        <s:f>J15</s:f>
        <s:v>103441.60000000001</s:v>
      </s:c>
      <s:c r="M15" s="70">
        <s:f>IF(AND(I15&lt;&gt;"", I15&lt;&gt;0, L15&lt;&gt;"", L15&lt;&gt;0), L15/I15, "")</s:f>
        <s:v>1.1990410787159682</s:v>
      </s:c>
      <s:c r="N15" s="43">
        <s:f>IF(AND(J15&lt;&gt;0, J15&lt;&gt;"", I15&lt;&gt;0, I15&lt;&gt;""), L15-I15, "")</s:f>
        <s:v>17171.327999999994</s:v>
      </s:c>
      <s:c r="O15" s="71"/>
      <s:c r="P15" s="43" t="str">
        <s:f>IF(AND(O15&lt;&gt;"", O15&lt;&gt;0, L15&lt;&gt;"", L15&lt;&gt;0), -O15+L15, "")</s:f>
        <s:v/>
      </s:c>
      <s:c r="Q15" s="45" t="str">
        <s:f>IF(AND(P15&lt;&gt;"", P15&lt;&gt;0, O15&lt;&gt;0, O15&lt;&gt;""), P15/O15, "")</s:f>
        <s:v/>
      </s:c>
      <s:c r="R15" s="37"/>
      <s:c r="S15" s="37"/>
      <s:c r="T15" s="6"/>
      <s:c r="U15" s="331"/>
      <s:c r="V15" s="331"/>
      <s:c r="W15" s="331"/>
    </s:row>
    <s:row r="16" spans="2:23" ht="15.75" customHeight="1">
      <s:c r="B16" s="336"/>
      <s:c r="C16" s="331"/>
      <s:c r="D16" s="331"/>
      <s:c r="E16" s="331"/>
      <s:c r="F16" s="611" t="s">
        <s:v>21</s:v>
      </s:c>
      <s:c r="G16" s="612"/>
      <s:c r="H16" s="613"/>
      <s:c r="I16" s="75"/>
      <s:c r="J16" s="67">
        <s:f>J8-I15*J14</s:f>
        <s:v>17171.327999999994</s:v>
      </s:c>
      <s:c r="K16" s="68" t="str">
        <s:f>IF(AND(I16&lt;&gt;"", I16&lt;&gt;0, J16&lt;&gt;""), J16/I16, "")</s:f>
        <s:v/>
      </s:c>
      <s:c r="L16" s="72">
        <s:f>J16</s:f>
        <s:v>17171.327999999994</s:v>
      </s:c>
      <s:c r="M16" s="73" t="str">
        <s:f>IF(AND(I16&lt;&gt;"", I16&lt;&gt;0, L16&lt;&gt;"", L16&lt;&gt;0), L16/I16, "")</s:f>
        <s:v/>
      </s:c>
      <s:c r="N16" s="43" t="str">
        <s:f>IF(AND(J16&lt;&gt;0, J16&lt;&gt;"", I16&lt;&gt;0, I16&lt;&gt;""), L16-I16, "")</s:f>
        <s:v/>
      </s:c>
      <s:c r="O16" s="71"/>
      <s:c r="P16" s="43" t="str">
        <s:f>IF(AND(O16&lt;&gt;"", O16&lt;&gt;0, L16&lt;&gt;"", L16&lt;&gt;0), -O16+L16, "")</s:f>
        <s:v/>
      </s:c>
      <s:c r="Q16" s="45" t="str">
        <s:f>IF(AND(P16&lt;&gt;"", P16&lt;&gt;0, O16&lt;&gt;0, O16&lt;&gt;""), P16/O16, "")</s:f>
        <s:v/>
      </s:c>
      <s:c r="R16" s="37"/>
      <s:c r="S16" s="618" t="s">
        <s:v>22</s:v>
      </s:c>
      <s:c r="T16" s="618"/>
      <s:c r="U16" s="331"/>
      <s:c r="V16" s="331"/>
      <s:c r="W16" s="331"/>
    </s:row>
    <s:row r="17" spans="1:33" ht="15.75" customHeight="1">
      <s:c r="B17" s="336"/>
      <s:c r="C17" s="331"/>
      <s:c r="D17" s="331"/>
      <s:c r="E17" s="331"/>
      <s:c r="F17" s="611" t="s">
        <s:v>23</s:v>
      </s:c>
      <s:c r="G17" s="612"/>
      <s:c r="H17" s="613"/>
      <s:c r="I17" s="75">
        <s:f>'Ялта, Ленина, 18'!I17/График!AJ31*График!AJ25</s:f>
        <s:v>35.263157894736842</s:v>
      </s:c>
      <s:c r="J17" s="67">
        <s:f>I48</s:f>
        <s:v>30</s:v>
      </s:c>
      <s:c r="K17" s="68">
        <s:f>IF(AND(I17&lt;&gt;"", I17&lt;&gt;0, J17&lt;&gt;""), J17/I17, "")</s:f>
        <s:v>0.85074626865671643</s:v>
      </s:c>
      <s:c r="L17" s="72">
        <s:f>J17/J14*I14</s:f>
        <s:v>30</s:v>
      </s:c>
      <s:c r="M17" s="73">
        <s:f>IF(AND(I17&lt;&gt;"", I17&lt;&gt;0, L17&lt;&gt;"", L17&lt;&gt;0), L17/I17, "")</s:f>
        <s:v>0.85074626865671643</s:v>
      </s:c>
      <s:c r="N17" s="43">
        <s:f>IF(AND(J17&lt;&gt;0, J17&lt;&gt;"", I17&lt;&gt;0, I17&lt;&gt;""), L17-I17, "")</s:f>
        <s:v>-5.2631578947368425</s:v>
      </s:c>
      <s:c r="O17" s="71"/>
      <s:c r="P17" s="43" t="str">
        <s:f>IF(AND(O17&lt;&gt;"", O17&lt;&gt;0, L17&lt;&gt;"", L17&lt;&gt;0), -O17+L17, "")</s:f>
        <s:v/>
      </s:c>
      <s:c r="Q17" s="45" t="str">
        <s:f>IF(AND(P17&lt;&gt;"", P17&lt;&gt;0, O17&lt;&gt;0, O17&lt;&gt;""), P17/O17, "")</s:f>
        <s:v/>
      </s:c>
      <s:c r="R17" s="37"/>
      <s:c r="S17" s="618"/>
      <s:c r="T17" s="618"/>
      <s:c r="U17" s="331"/>
      <s:c r="V17" s="331"/>
      <s:c r="W17" s="331"/>
    </s:row>
    <s:row r="18" spans="1:33" ht="15.75" customHeight="1">
      <s:c r="B18" s="336"/>
      <s:c r="C18" s="331"/>
      <s:c r="D18" s="331"/>
      <s:c r="E18" s="331"/>
      <s:c r="F18" s="611"/>
      <s:c r="G18" s="612"/>
      <s:c r="H18" s="613"/>
      <s:c r="I18" s="76"/>
      <s:c r="J18" s="67"/>
      <s:c r="K18" s="68" t="str">
        <s:f>IF(AND(I18&lt;&gt;"", I18&lt;&gt;0, J18&lt;&gt;""), J18/I18, "")</s:f>
        <s:v/>
      </s:c>
      <s:c r="L18" s="72">
        <s:f>J18</s:f>
        <s:v>0</s:v>
      </s:c>
      <s:c r="M18" s="73" t="str">
        <s:f>IF(AND(I18&lt;&gt;"", I18&lt;&gt;0, L18&lt;&gt;"", L18&lt;&gt;0), L18/I18, "")</s:f>
        <s:v/>
      </s:c>
      <s:c r="N18" s="43" t="str">
        <s:f>IF(AND(J18&lt;&gt;0, J18&lt;&gt;"", I18&lt;&gt;0, I18&lt;&gt;""), L18-I18, "")</s:f>
        <s:v/>
      </s:c>
      <s:c r="O18" s="79">
        <s:v>0</s:v>
      </s:c>
      <s:c r="P18" s="43" t="str">
        <s:f>IF(AND(O18&lt;&gt;"", O18&lt;&gt;0, L18&lt;&gt;"", L18&lt;&gt;0), -O18+L18, "")</s:f>
        <s:v/>
      </s:c>
      <s:c r="Q18" s="45" t="str">
        <s:f>IF(AND(P18&lt;&gt;"", P18&lt;&gt;0, O18&lt;&gt;0, O18&lt;&gt;""), P18/O18, "")</s:f>
        <s:v/>
      </s:c>
      <s:c r="R18" s="37"/>
      <s:c r="S18" s="59">
        <s:f>'Ялта, Ленина, 18'!S18*График!AJ25/График!AJ31</s:f>
        <s:v>10526.315789473685</s:v>
      </s:c>
      <s:c r="T18" s="60">
        <s:f>K48</s:f>
        <s:v>47425</s:v>
      </s:c>
      <s:c r="U18" s="331"/>
      <s:c r="V18" s="331"/>
      <s:c r="W18" s="331"/>
    </s:row>
    <s:row r="19" spans="1:33" ht="15.75" customHeight="1">
      <s:c r="B19" s="336"/>
      <s:c r="C19" s="331"/>
      <s:c r="D19" s="331"/>
      <s:c r="E19" s="331"/>
      <s:c r="F19" s="611"/>
      <s:c r="G19" s="612"/>
      <s:c r="H19" s="613"/>
      <s:c r="I19" s="76"/>
      <s:c r="J19" s="67"/>
      <s:c r="K19" s="68" t="str">
        <s:f>IF(AND(I19&lt;&gt;"", I19&lt;&gt;0, J19&lt;&gt;""), J19/I19, "")</s:f>
        <s:v/>
      </s:c>
      <s:c r="L19" s="72">
        <s:f>J19</s:f>
        <s:v>0</s:v>
      </s:c>
      <s:c r="M19" s="73" t="str">
        <s:f>IF(AND(I19&lt;&gt;"", I19&lt;&gt;0, L19&lt;&gt;"", L19&lt;&gt;0), L19/I19, "")</s:f>
        <s:v/>
      </s:c>
      <s:c r="N19" s="43" t="str">
        <s:f>IF(AND(J19&lt;&gt;0, J19&lt;&gt;"", I19&lt;&gt;0, I19&lt;&gt;""), L19-I19, "")</s:f>
        <s:v/>
      </s:c>
      <s:c r="O19" s="71">
        <s:v>0</s:v>
      </s:c>
      <s:c r="P19" s="43" t="str">
        <s:f>IF(AND(O19&lt;&gt;"", O19&lt;&gt;0, L19&lt;&gt;"", L19&lt;&gt;0), -O19+L19, "")</s:f>
        <s:v/>
      </s:c>
      <s:c r="Q19" s="45" t="str">
        <s:f>IF(AND(P19&lt;&gt;"", P19&lt;&gt;0, O19&lt;&gt;0, O19&lt;&gt;""), P19/O19, "")</s:f>
        <s:v/>
      </s:c>
      <s:c r="R19" s="37"/>
      <s:c r="S19" s="62">
        <s:f>T18/S18</s:f>
        <s:v>4.5053749999999999</s:v>
      </s:c>
      <s:c r="T19" s="62">
        <s:f>S19/J14*I14</s:f>
        <s:v>4.5053749999999999</s:v>
      </s:c>
      <s:c r="U19" s="331"/>
      <s:c r="V19" s="331"/>
      <s:c r="W19" s="331"/>
    </s:row>
    <s:row r="20" spans="1:33" ht="15.75" customHeight="1">
      <s:c r="B20" s="336"/>
      <s:c r="C20" s="331"/>
      <s:c r="D20" s="331"/>
      <s:c r="E20" s="331"/>
      <s:c r="F20" s="619" t="s">
        <s:v>24</s:v>
      </s:c>
      <s:c r="G20" s="619"/>
      <s:c r="H20" s="619"/>
      <s:c r="I20" s="80">
        <s:f>'Ялта, Ленина, 18'!I20</s:f>
        <s:v>0.22</s:v>
      </s:c>
      <s:c r="J20" s="246">
        <s:f>N48</s:f>
        <s:v>0.26666666666666666</s:v>
      </s:c>
      <s:c r="K20" s="246">
        <s:f>J20/I20</s:f>
        <s:v>1.2121212121212122</s:v>
      </s:c>
      <s:c r="L20" s="247">
        <s:f>IF(AND(K8&lt;&gt;0,I14&lt;&gt;0,I48&lt;&gt;0),(I48*N48+(I48/K8-I48)*I20)/(I48/K8),0)</s:f>
        <s:v>0.29833735047610993</s:v>
      </s:c>
      <s:c r="M20" s="83">
        <s:f>IF(AND(I20&lt;&gt;"", I20&lt;&gt;0, L20&lt;&gt;"", L20&lt;&gt;0), L20/I20, "")</s:f>
        <s:v>1.3560788658004996</s:v>
      </s:c>
      <s:c r="N20" s="84">
        <s:f>IF(AND(J20&lt;&gt;0, J20&lt;&gt;"", I20&lt;&gt;0, I20&lt;&gt;""), L20-I20, "")</s:f>
        <s:v>7.8337350476109929E-2</s:v>
      </s:c>
      <s:c r="O20" s="85"/>
      <s:c r="P20" s="86" t="str">
        <s:f>IF(AND(O20&lt;&gt;"", O20&lt;&gt;0, L20&lt;&gt;"", L20&lt;&gt;0), -O20+L20, "")</s:f>
        <s:v/>
      </s:c>
      <s:c r="Q20" s="87" t="str">
        <s:f>IF(AND(P20&lt;&gt;"", P20&lt;&gt;0, O20&lt;&gt;0, O20&lt;&gt;""), P20/O20, "")</s:f>
        <s:v/>
      </s:c>
      <s:c r="R20" s="37"/>
      <s:c r="S20" s="37"/>
      <s:c r="T20" s="331"/>
      <s:c r="U20" s="331"/>
      <s:c r="V20" s="331"/>
      <s:c r="W20" s="331"/>
    </s:row>
    <s:row r="21" spans="1:33" ht="15.75" customHeight="1">
      <s:c r="B21" s="336"/>
      <s:c r="C21" s="331"/>
      <s:c r="D21" s="331"/>
      <s:c r="E21" s="331"/>
      <s:c r="F21" s="331"/>
      <s:c r="G21" s="331"/>
      <s:c r="H21" s="331"/>
      <s:c r="I21" s="331"/>
      <s:c r="J21" s="331"/>
      <s:c r="K21" s="331"/>
      <s:c r="L21" s="331"/>
      <s:c r="M21" s="331"/>
      <s:c r="N21" s="331"/>
      <s:c r="O21" s="331"/>
      <s:c r="P21" s="331"/>
      <s:c r="Q21" s="331"/>
      <s:c r="R21" s="37"/>
      <s:c r="S21" s="37"/>
      <s:c r="T21" s="331"/>
      <s:c r="U21" s="331"/>
      <s:c r="V21" s="331"/>
      <s:c r="W21" s="331"/>
    </s:row>
    <s:row r="22" spans="1:33" ht="16.5" customHeight="1">
      <s:c r="B22" s="712" t="s">
        <s:v>25</s:v>
      </s:c>
      <s:c r="C22" s="712"/>
      <s:c r="D22" s="712"/>
      <s:c r="E22" s="712"/>
      <s:c r="F22" s="712"/>
      <s:c r="G22" s="712"/>
      <s:c r="H22" s="712"/>
      <s:c r="I22" s="712"/>
      <s:c r="J22" s="712"/>
      <s:c r="K22" s="712"/>
      <s:c r="L22" s="712"/>
      <s:c r="M22" s="712"/>
      <s:c r="N22" s="712"/>
      <s:c r="O22" s="713" t="s">
        <s:v>26</s:v>
      </s:c>
      <s:c r="P22" s="712" t="s">
        <s:v>27</s:v>
      </s:c>
      <s:c r="Q22" s="712"/>
      <s:c r="R22" s="712"/>
      <s:c r="S22" s="712"/>
      <s:c r="T22" s="712"/>
      <s:c r="U22" s="712"/>
      <s:c r="V22" s="712"/>
      <s:c r="W22" s="712"/>
    </s:row>
    <s:row r="23" ht="36">
      <s:c r="B23" s="249" t="s">
        <s:v>29</s:v>
      </s:c>
      <s:c r="C23" s="249" t="s">
        <s:v>30</s:v>
      </s:c>
      <s:c r="D23" s="249" t="s">
        <s:v>31</s:v>
      </s:c>
      <s:c r="E23" s="249" t="s">
        <s:v>32</s:v>
      </s:c>
      <s:c r="F23" s="249" t="s">
        <s:v>33</s:v>
      </s:c>
      <s:c r="G23" s="249" t="s">
        <s:v>34</s:v>
      </s:c>
      <s:c r="H23" s="249" t="s">
        <s:v>35</s:v>
      </s:c>
      <s:c r="I23" s="249" t="s">
        <s:v>23</s:v>
      </s:c>
      <s:c r="J23" s="249" t="s">
        <s:v>36</s:v>
      </s:c>
      <s:c r="K23" s="90" t="s">
        <s:v>22</s:v>
      </s:c>
      <s:c r="L23" s="90" t="s">
        <s:v>15</s:v>
      </s:c>
      <s:c r="M23" s="249" t="s">
        <s:v>37</s:v>
      </s:c>
      <s:c r="N23" s="249" t="s">
        <s:v>38</s:v>
      </s:c>
      <s:c r="O23" s="713"/>
      <s:c r="P23" s="249" t="s">
        <s:v>39</s:v>
      </s:c>
      <s:c r="Q23" s="249" t="s">
        <s:v>40</s:v>
      </s:c>
      <s:c r="R23" s="249" t="s">
        <s:v>41</s:v>
      </s:c>
      <s:c r="S23" s="249" t="s">
        <s:v>42</s:v>
      </s:c>
      <s:c r="T23" s="249" t="s">
        <s:v>43</s:v>
      </s:c>
      <s:c r="U23" s="249" t="s">
        <s:v>44</s:v>
      </s:c>
      <s:c r="V23" s="337" t="s">
        <s:v>45</s:v>
      </s:c>
      <s:c r="W23" s="337" t="s">
        <s:v>46</s:v>
      </s:c>
      <s:c r="X23" s="251"/>
    </s:row>
    <s:row r="24">
      <s:c r="A24" s="338"/>
      <s:c r="B24" s="339">
        <s:v>1</s:v>
      </s:c>
      <s:c r="C24" s="340">
        <s:v>2</s:v>
      </s:c>
      <s:c r="D24" s="340">
        <s:v>3</s:v>
      </s:c>
      <s:c r="E24" s="340" t="s">
        <s:v>71</s:v>
      </s:c>
      <s:c r="F24" s="340">
        <s:v>5</s:v>
      </s:c>
      <s:c r="G24" s="340">
        <s:v>6</s:v>
      </s:c>
      <s:c r="H24" s="340">
        <s:v>7</s:v>
      </s:c>
      <s:c r="I24" s="340">
        <s:v>8</s:v>
      </s:c>
      <s:c r="J24" s="340">
        <s:v>9</s:v>
      </s:c>
      <s:c r="K24" s="340">
        <s:v>10</s:v>
      </s:c>
      <s:c r="L24" s="340">
        <s:v>11</s:v>
      </s:c>
      <s:c r="M24" s="340">
        <s:v>12</s:v>
      </s:c>
      <s:c r="N24" s="340">
        <s:v>13</s:v>
      </s:c>
      <s:c r="O24" s="713"/>
      <s:c r="P24" s="341">
        <s:v>1</s:v>
      </s:c>
      <s:c r="Q24" s="341">
        <s:v>2</s:v>
      </s:c>
      <s:c r="R24" s="341">
        <s:v>3</s:v>
      </s:c>
      <s:c r="S24" s="341">
        <s:v>4</s:v>
      </s:c>
      <s:c r="T24" s="341">
        <s:v>5</s:v>
      </s:c>
      <s:c r="U24" s="341">
        <s:v>6</s:v>
      </s:c>
      <s:c r="V24" s="341">
        <s:v>10</s:v>
      </s:c>
      <s:c r="W24" s="341">
        <s:v>11</s:v>
      </s:c>
    </s:row>
    <s:row r="25">
      <s:c r="A25" s="95" t="s">
        <s:v>50</s:v>
      </s:c>
      <s:c r="B25" s="96">
        <s:v>45750</s:v>
      </s:c>
      <s:c r="C25" s="97" t="s">
        <s:v>51</s:v>
      </s:c>
      <s:c r="D25" s="98">
        <s:f>29335.6+18900</s:f>
        <s:v>48235.6</s:v>
      </s:c>
      <s:c r="E25" s="108">
        <s:v>11</s:v>
      </s:c>
      <s:c r="F25" s="99">
        <s:f>IF(AND(E25&lt;&gt;"",E25&lt;&gt;0),D25/E25,"")</s:f>
        <s:v>4385.0545454545454</s:v>
      </s:c>
      <s:c r="G25" s="108">
        <s:v>6</s:v>
      </s:c>
      <s:c r="H25" s="99">
        <s:f>IF(AND(G25&lt;&gt;"",G25&lt;&gt;0),D25/G25,"")</s:f>
        <s:v>8039.2666666666664</s:v>
      </s:c>
      <s:c r="I25" s="108">
        <s:v>30</s:v>
      </s:c>
      <s:c r="J25" s="98">
        <s:f>IF(AND(G25&lt;&gt;"",G25&lt;&gt;0),E25/G25,"")</s:f>
        <s:v>1.8333333333333333</s:v>
      </s:c>
      <s:c r="K25" s="99"/>
      <s:c r="L25" s="99">
        <s:v>18900</s:v>
      </s:c>
      <s:c r="M25" s="99"/>
      <s:c r="N25" s="100">
        <s:f>IF(AND(I25&lt;&gt;"",I25&lt;&gt;0),G25/I25,"")</s:f>
        <s:v>0.2</s:v>
      </s:c>
      <s:c r="O25" s="101">
        <s:f>D25/P25</s:f>
        <s:v>0.78277068605973543</s:v>
      </s:c>
      <s:c r="P25" s="102">
        <s:f>$I$8*V25*W25/SUMPRODUCT($W$25:$W$55,$V$25:$V$55)</s:f>
        <s:v>61621.622857142866</s:v>
      </s:c>
      <s:c r="Q25" s="103">
        <s:f>$I$9*V25*W25/SUMPRODUCT($W$25:$W$55,$V$25:$V$55)</s:f>
        <s:v>12.423714285714288</s:v>
      </s:c>
      <s:c r="R25" s="103">
        <s:f>IF($I$12="","",Q25/$I$12)</s:f>
        <s:v>7.0190476190476208</s:v>
      </s:c>
      <s:c r="S25" s="102">
        <s:f>IF(W25&lt;&gt;"",IF(D25&lt;&gt;"",D25,($I$8-SUM($S24:S$25))*V25*W25/SUMPRODUCT($W25:$W$55,$V25:$V$55)),"")</s:f>
        <s:v>48235.6</s:v>
      </s:c>
      <s:c r="T25" s="103">
        <s:f>IF(W25&lt;&gt;"",IF(E25&lt;&gt;"",E25,($I$9-SUM($T24:T$25))*V25*W25/SUMPRODUCT($W25:$W$55,$V25:$V$55)),"")</s:f>
        <s:v>11</s:v>
      </s:c>
      <s:c r="U25" s="103">
        <s:f>IF(W25&lt;&gt;"",IF($I$12&lt;&gt;"",IF(G25&lt;&gt;"",G25,($I$9/$I$12-SUM($U24:U$25))*V25*W25/SUMPRODUCT($W25:$W$55,$V25:$V$55)),""),"")</s:f>
        <s:v>6</s:v>
      </s:c>
      <s:c r="V25" s="104">
        <s:v>1.1982013014921034</s:v>
      </s:c>
      <s:c r="W25" s="104">
        <s:v>1.1982013014921034</s:v>
      </s:c>
      <s:c r="X25" s="107"/>
      <s:c r="Y25" s="106"/>
      <s:c r="Z25" s="2"/>
      <s:c r="AA25" s="2"/>
      <s:c r="AB25" s="2"/>
      <s:c r="AC25" s="2"/>
      <s:c r="AD25" s="2"/>
      <s:c r="AE25" s="2"/>
      <s:c r="AF25" s="2"/>
      <s:c r="AG25" s="2"/>
    </s:row>
    <s:row r="26">
      <s:c r="A26" s="95" t="s">
        <s:v>50</s:v>
      </s:c>
      <s:c r="B26" s="96">
        <s:v>45764</s:v>
      </s:c>
      <s:c r="C26" s="97" t="s">
        <s:v>51</s:v>
      </s:c>
      <s:c r="D26" s="98">
        <s:v>47425</s:v>
      </s:c>
      <s:c r="E26" s="97">
        <s:v>2</s:v>
      </s:c>
      <s:c r="F26" s="99">
        <s:f>IF(AND(E26&lt;&gt;"",E26&lt;&gt;0),D26/E26,"")</s:f>
        <s:v>23712.5</s:v>
      </s:c>
      <s:c r="G26" s="99">
        <s:v>1</s:v>
      </s:c>
      <s:c r="H26" s="99">
        <s:f>IF(AND(G26&lt;&gt;"",G26&lt;&gt;0),D26/G26,"")</s:f>
        <s:v>47425</s:v>
      </s:c>
      <s:c r="I26" s="99"/>
      <s:c r="J26" s="98">
        <s:f>IF(AND(G26&lt;&gt;"",G26&lt;&gt;0),E26/G26,"")</s:f>
        <s:v>2</s:v>
      </s:c>
      <s:c r="K26" s="99">
        <s:v>47425</s:v>
      </s:c>
      <s:c r="L26" s="99"/>
      <s:c r="M26" s="99"/>
      <s:c r="N26" s="100" t="str">
        <s:f>IF(AND(I26&lt;&gt;"",I26&lt;&gt;0),G26/I26,"")</s:f>
        <s:v/>
      </s:c>
      <s:c r="O26" s="101" t="e">
        <s:f>D26/P26</s:f>
        <s:v>#DIV/0!</s:v>
      </s:c>
      <s:c r="P26" s="102">
        <s:f>$I$8*V26*W26/SUMPRODUCT($W$25:$W$55,$V$25:$V$55)</s:f>
        <s:v>0</s:v>
      </s:c>
      <s:c r="Q26" s="103">
        <s:f>$I$9*V26*W26/SUMPRODUCT($W$25:$W$55,$V$25:$V$55)</s:f>
        <s:v>0</s:v>
      </s:c>
      <s:c r="R26" s="103">
        <s:f>IF($I$12="","",Q26/$I$12)</s:f>
        <s:v>0</s:v>
      </s:c>
      <s:c r="S26" s="102" t="str">
        <s:f>IF(W26&lt;&gt;"",IF(D26&lt;&gt;"",D26,($I$8-SUM($S$25:S25))*V26*W26/SUMPRODUCT($W26:$W$55,$V26:$V$55)),"")</s:f>
        <s:v/>
      </s:c>
      <s:c r="T26" s="103" t="str">
        <s:f>IF(W26&lt;&gt;"",IF(E25&lt;&gt;"",E25,($I$9-SUM($T$25:T25))*V26*W26/SUMPRODUCT($W26:$W$55,$V26:$V$55)),"")</s:f>
        <s:v/>
      </s:c>
      <s:c r="U26" s="103" t="str">
        <s:f>IF(W26&lt;&gt;"",IF($I$12&lt;&gt;"",IF(G26&lt;&gt;"",G26,($I$9/$I$12-SUM($U$25:U25))*V26*W26/SUMPRODUCT($W26:$W$55,$V26:$V$55)),""),"")</s:f>
        <s:v/>
      </s:c>
      <s:c r="V26" s="104"/>
      <s:c r="W26" s="104"/>
      <s:c r="X26" s="107"/>
      <s:c r="Y26" s="106"/>
      <s:c r="Z26" s="2"/>
      <s:c r="AA26" s="2"/>
      <s:c r="AB26" s="2"/>
      <s:c r="AC26" s="2"/>
      <s:c r="AD26" s="2"/>
      <s:c r="AE26" s="2"/>
      <s:c r="AF26" s="2"/>
      <s:c r="AG26" s="2"/>
    </s:row>
    <s:row r="27">
      <s:c r="A27" s="95" t="s">
        <s:v>129</s:v>
      </s:c>
      <s:c r="B27" s="342">
        <s:v>45777</s:v>
      </s:c>
      <s:c r="C27" s="343"/>
      <s:c r="D27" s="257">
        <s:v>7781</s:v>
      </s:c>
      <s:c r="E27" s="108">
        <s:v>1</s:v>
      </s:c>
      <s:c r="F27" s="99">
        <s:f>IF(AND(E27&lt;&gt;"",E27&lt;&gt;0),D27/E27,"")</s:f>
        <s:v>7781</s:v>
      </s:c>
      <s:c r="G27" s="108">
        <s:v>1</s:v>
      </s:c>
      <s:c r="H27" s="99">
        <s:f>IF(AND(G27&lt;&gt;"",G27&lt;&gt;0),D27/G27,"")</s:f>
        <s:v>7781</s:v>
      </s:c>
      <s:c r="I27" s="108"/>
      <s:c r="J27" s="98">
        <s:f>IF(AND(G27&lt;&gt;"",G27&lt;&gt;0),E27/G27,"")</s:f>
        <s:v>1</s:v>
      </s:c>
      <s:c r="K27" s="99"/>
      <s:c r="L27" s="99"/>
      <s:c r="M27" s="99"/>
      <s:c r="N27" s="100" t="str">
        <s:f>IF(AND(I27&lt;&gt;"",I27&lt;&gt;0),G27/I27,"")</s:f>
        <s:v/>
      </s:c>
      <s:c r="O27" s="101" t="e">
        <s:f>D27/P27</s:f>
        <s:v>#DIV/0!</s:v>
      </s:c>
      <s:c r="P27" s="102">
        <s:f>$I$8*V27*W27/SUMPRODUCT($W$25:$W$55,$V$25:$V$55)</s:f>
        <s:v>0</s:v>
      </s:c>
      <s:c r="Q27" s="103">
        <s:f>$I$9*V27*W27/SUMPRODUCT($W$25:$W$55,$V$25:$V$55)</s:f>
        <s:v>0</s:v>
      </s:c>
      <s:c r="R27" s="103">
        <s:f>IF($I$12="","",Q27/$I$12)</s:f>
        <s:v>0</s:v>
      </s:c>
      <s:c r="S27" s="102" t="str">
        <s:f>IF(W27&lt;&gt;"",IF(D27&lt;&gt;"",D27,($I$8-SUM($S$25:S26))*V27*W27/SUMPRODUCT($W27:$W$55,$V27:$V$55)),"")</s:f>
        <s:v/>
      </s:c>
      <s:c r="T27" s="103" t="str">
        <s:f>IF(W27&lt;&gt;"",IF(E27&lt;&gt;"",E27,($I$9-SUM($T$25:T26))*V27*W27/SUMPRODUCT($W27:$W$55,$V27:$V$55)),"")</s:f>
        <s:v/>
      </s:c>
      <s:c r="U27" s="103" t="str">
        <s:f>IF(W27&lt;&gt;"",IF($I$12&lt;&gt;"",IF(G27&lt;&gt;"",G27,($I$9/$I$12-SUM($U$25:U26))*V27*W27/SUMPRODUCT($W27:$W$55,$V27:$V$55)),""),"")</s:f>
        <s:v/>
      </s:c>
      <s:c r="V27" s="315"/>
      <s:c r="W27" s="315"/>
      <s:c r="X27" s="106"/>
      <s:c r="Y27" s="106"/>
      <s:c r="Z27" s="126"/>
      <s:c r="AA27" s="2"/>
      <s:c r="AB27" s="2"/>
      <s:c r="AC27" s="2"/>
      <s:c r="AD27" s="2"/>
      <s:c r="AE27" s="2"/>
      <s:c r="AF27" s="2"/>
      <s:c r="AG27" s="2"/>
    </s:row>
    <s:row r="28">
      <s:c r="A28" s="95"/>
      <s:c r="B28" s="280"/>
      <s:c r="C28" s="281"/>
      <s:c r="D28" s="98"/>
      <s:c r="E28" s="99"/>
      <s:c r="F28" s="108" t="str">
        <s:f>IF(AND(E28&lt;&gt;"",E28&lt;&gt;0),D28/E28,"")</s:f>
        <s:v/>
      </s:c>
      <s:c r="G28" s="99"/>
      <s:c r="H28" s="99" t="str">
        <s:f>IF(AND(G28&lt;&gt;"",G28&lt;&gt;0),D28/G28,"")</s:f>
        <s:v/>
      </s:c>
      <s:c r="I28" s="99"/>
      <s:c r="J28" s="98" t="str">
        <s:f>IF(AND(G28&lt;&gt;"",G28&lt;&gt;0),E28/G28,"")</s:f>
        <s:v/>
      </s:c>
      <s:c r="K28" s="99"/>
      <s:c r="L28" s="99"/>
      <s:c r="M28" s="99"/>
      <s:c r="N28" s="100" t="str">
        <s:f>IF(AND(I28&lt;&gt;"",I28&lt;&gt;0),G28/I28,"")</s:f>
        <s:v/>
      </s:c>
      <s:c r="O28" s="101" t="e">
        <s:f>D28/P28</s:f>
        <s:v>#DIV/0!</s:v>
      </s:c>
      <s:c r="P28" s="102">
        <s:f>$I$8*V28*W28/SUMPRODUCT($W$25:$W$55,$V$25:$V$55)</s:f>
        <s:v>0</s:v>
      </s:c>
      <s:c r="Q28" s="103">
        <s:f>$I$9*V28*W28/SUMPRODUCT($W$25:$W$55,$V$25:$V$55)</s:f>
        <s:v>0</s:v>
      </s:c>
      <s:c r="R28" s="103">
        <s:f>IF($I$12="","",Q28/$I$12)</s:f>
        <s:v>0</s:v>
      </s:c>
      <s:c r="S28" s="102" t="str">
        <s:f>IF(W28&lt;&gt;"",IF(D28&lt;&gt;"",D28,($I$8-SUM($S$25:S27))*V28*W28/SUMPRODUCT($W28:$W$55,$V28:$V$55)),"")</s:f>
        <s:v/>
      </s:c>
      <s:c r="T28" s="103" t="str">
        <s:f>IF(W28&lt;&gt;"",IF(E28&lt;&gt;"",E28,($I$9-SUM($T$25:T27))*V28*W28/SUMPRODUCT($W28:$W$55,$V28:$V$55)),"")</s:f>
        <s:v/>
      </s:c>
      <s:c r="U28" s="103" t="str">
        <s:f>IF(W28&lt;&gt;"",IF($I$12&lt;&gt;"",IF(G28&lt;&gt;"",G28,($I$9/$I$12-SUM($U$25:U27))*V28*W28/SUMPRODUCT($W28:$W$55,$V28:$V$55)),""),"")</s:f>
        <s:v/>
      </s:c>
      <s:c r="V28" s="315"/>
      <s:c r="W28" s="315"/>
      <s:c r="X28" s="106"/>
      <s:c r="Y28" s="106"/>
      <s:c r="Z28" s="126"/>
      <s:c r="AA28" s="2"/>
      <s:c r="AB28" s="2"/>
      <s:c r="AC28" s="2"/>
      <s:c r="AD28" s="2"/>
      <s:c r="AE28" s="2"/>
      <s:c r="AF28" s="2"/>
      <s:c r="AG28" s="2"/>
    </s:row>
    <s:row r="29" spans="1:33" s="268" customFormat="1">
      <s:c r="A29" s="95"/>
      <s:c r="B29" s="342"/>
      <s:c r="C29" s="344"/>
      <s:c r="D29" s="286"/>
      <s:c r="E29" s="282"/>
      <s:c r="F29" s="270" t="str">
        <s:f>IF(AND(E29&lt;&gt;"",E29&lt;&gt;0),D29/E29,"")</s:f>
        <s:v/>
      </s:c>
      <s:c r="G29" s="282"/>
      <s:c r="H29" s="270" t="str">
        <s:f>IF(AND(G29&lt;&gt;"",G29&lt;&gt;0),D29/G29,"")</s:f>
        <s:v/>
      </s:c>
      <s:c r="I29" s="282"/>
      <s:c r="J29" s="271" t="str">
        <s:f>IF(AND(G29&lt;&gt;"",G29&lt;&gt;0),E29/G29,"")</s:f>
        <s:v/>
      </s:c>
      <s:c r="K29" s="270"/>
      <s:c r="L29" s="270"/>
      <s:c r="M29" s="270"/>
      <s:c r="N29" s="272" t="str">
        <s:f>IF(AND(I29&lt;&gt;"",I29&lt;&gt;0),G29/I29,"")</s:f>
        <s:v/>
      </s:c>
      <s:c r="O29" s="273" t="e">
        <s:f>D29/P29</s:f>
        <s:v>#DIV/0!</s:v>
      </s:c>
      <s:c r="P29" s="274">
        <s:f>$I$8*V29*W29/SUMPRODUCT($W$25:$W$55,$V$25:$V$55)</s:f>
        <s:v>0</s:v>
      </s:c>
      <s:c r="Q29" s="275">
        <s:f>$I$9*V29*W29/SUMPRODUCT($W$25:$W$55,$V$25:$V$55)</s:f>
        <s:v>0</s:v>
      </s:c>
      <s:c r="R29" s="275">
        <s:f>IF($I$12="","",Q29/$I$12)</s:f>
        <s:v>0</s:v>
      </s:c>
      <s:c r="S29" s="274" t="str">
        <s:f>IF(W29&lt;&gt;"",IF(D29&lt;&gt;"",D29,($I$8-SUM($S$25:S28))*V29*W29/SUMPRODUCT($W29:$W$55,$V29:$V$55)),"")</s:f>
        <s:v/>
      </s:c>
      <s:c r="T29" s="275" t="str">
        <s:f>IF(W29&lt;&gt;"",IF(E29&lt;&gt;"",E29,($I$9-SUM($T$25:T28))*V29*W29/SUMPRODUCT($W29:$W$55,$V29:$V$55)),"")</s:f>
        <s:v/>
      </s:c>
      <s:c r="U29" s="275" t="str">
        <s:f>IF(W29&lt;&gt;"",IF($I$12&lt;&gt;"",IF(G29&lt;&gt;"",G29,($I$9/$I$12-SUM($U$25:U28))*V29*W29/SUMPRODUCT($W29:$W$55,$V29:$V$55)),""),"")</s:f>
        <s:v/>
      </s:c>
      <s:c r="V29" s="276"/>
      <s:c r="W29" s="276"/>
      <s:c r="X29" s="277"/>
      <s:c r="Y29" s="277"/>
      <s:c r="Z29" s="278"/>
      <s:c r="AA29" s="278"/>
      <s:c r="AB29" s="278"/>
      <s:c r="AC29" s="278"/>
      <s:c r="AD29" s="278"/>
      <s:c r="AE29" s="278"/>
      <s:c r="AF29" s="278"/>
      <s:c r="AG29" s="278"/>
    </s:row>
    <s:row r="30" spans="1:33" s="268" customFormat="1" ht="15.25" customHeight="1">
      <s:c r="A30" s="269"/>
      <s:c r="B30" s="345"/>
      <s:c r="C30" s="344"/>
      <s:c r="D30" s="285"/>
      <s:c r="E30" s="270"/>
      <s:c r="F30" s="282" t="str">
        <s:f>IF(AND(E30&lt;&gt;"",E30&lt;&gt;0),D30/E30,"")</s:f>
        <s:v/>
      </s:c>
      <s:c r="G30" s="270"/>
      <s:c r="H30" s="282" t="str">
        <s:f>IF(AND(G30&lt;&gt;"",G30&lt;&gt;0),D30/G30,"")</s:f>
        <s:v/>
      </s:c>
      <s:c r="I30" s="270"/>
      <s:c r="J30" s="285" t="str">
        <s:f>IF(AND(G30&lt;&gt;"",G30&lt;&gt;0),E30/G30,"")</s:f>
        <s:v/>
      </s:c>
      <s:c r="K30" s="270"/>
      <s:c r="L30" s="282"/>
      <s:c r="M30" s="270"/>
      <s:c r="N30" s="346" t="str">
        <s:f>IF(AND(I30&lt;&gt;"",I30&lt;&gt;0),G30/I30,"")</s:f>
        <s:v/>
      </s:c>
      <s:c r="O30" s="273" t="e">
        <s:f>D30/P30</s:f>
        <s:v>#DIV/0!</s:v>
      </s:c>
      <s:c r="P30" s="311">
        <s:f>$I$8*V30*W30/SUMPRODUCT($W$25:$W$55,$V$25:$V$55)</s:f>
        <s:v>0</s:v>
      </s:c>
      <s:c r="Q30" s="275">
        <s:f>$I$9*V30*W30/SUMPRODUCT($W$25:$W$55,$V$25:$V$55)</s:f>
        <s:v>0</s:v>
      </s:c>
      <s:c r="R30" s="310">
        <s:f>IF($I$12="","",Q30/$I$12)</s:f>
        <s:v>0</s:v>
      </s:c>
      <s:c r="S30" s="274" t="str">
        <s:f>IF(W30&lt;&gt;"",IF(D30&lt;&gt;"",D30,($I$8-SUM($S$25:S29))*V30*W30/SUMPRODUCT($W30:$W$55,$V30:$V$55)),"")</s:f>
        <s:v/>
      </s:c>
      <s:c r="T30" s="275" t="str">
        <s:f>IF(W30&lt;&gt;"",IF(E30&lt;&gt;"",E30,($I$9-SUM($T$25:T29))*V30*W30/SUMPRODUCT($W30:$W$55,$V30:$V$55)),"")</s:f>
        <s:v/>
      </s:c>
      <s:c r="U30" s="275" t="str">
        <s:f>IF(W30&lt;&gt;"",IF($I$12&lt;&gt;"",IF(G30&lt;&gt;"",G30,($I$9/$I$12-SUM($U$25:U29))*V30*W30/SUMPRODUCT($W30:$W$55,$V30:$V$55)),""),"")</s:f>
        <s:v/>
      </s:c>
      <s:c r="V30" s="276"/>
      <s:c r="W30" s="276"/>
      <s:c r="X30" s="277"/>
      <s:c r="Y30" s="277"/>
      <s:c r="Z30" s="278"/>
      <s:c r="AA30" s="278"/>
      <s:c r="AB30" s="278"/>
      <s:c r="AC30" s="278"/>
      <s:c r="AD30" s="278"/>
      <s:c r="AE30" s="278"/>
      <s:c r="AF30" s="278"/>
      <s:c r="AG30" s="278"/>
    </s:row>
    <s:row r="31" spans="1:33" s="268" customFormat="1">
      <s:c r="A31" s="269"/>
      <s:c r="B31" s="345"/>
      <s:c r="C31" s="344"/>
      <s:c r="D31" s="286"/>
      <s:c r="E31" s="282"/>
      <s:c r="F31" s="270" t="str">
        <s:f>IF(AND(E31&lt;&gt;"",E31&lt;&gt;0),D31/E31,"")</s:f>
        <s:v/>
      </s:c>
      <s:c r="G31" s="282"/>
      <s:c r="H31" s="270" t="str">
        <s:f>IF(AND(G31&lt;&gt;"",G31&lt;&gt;0),D31/G31,"")</s:f>
        <s:v/>
      </s:c>
      <s:c r="I31" s="282"/>
      <s:c r="J31" s="271" t="str">
        <s:f>IF(AND(G31&lt;&gt;"",G31&lt;&gt;0),E31/G31,"")</s:f>
        <s:v/>
      </s:c>
      <s:c r="K31" s="270"/>
      <s:c r="L31" s="270"/>
      <s:c r="M31" s="270"/>
      <s:c r="N31" s="272" t="str">
        <s:f>IF(AND(I31&lt;&gt;"",I31&lt;&gt;0),G31/I31,"")</s:f>
        <s:v/>
      </s:c>
      <s:c r="O31" s="273" t="e">
        <s:f>D31/P31</s:f>
        <s:v>#DIV/0!</s:v>
      </s:c>
      <s:c r="P31" s="274">
        <s:f>$I$8*V31*W31/SUMPRODUCT($W$25:$W$55,$V$25:$V$55)</s:f>
        <s:v>0</s:v>
      </s:c>
      <s:c r="Q31" s="275">
        <s:f>$I$9*V31*W31/SUMPRODUCT($W$25:$W$55,$V$25:$V$55)</s:f>
        <s:v>0</s:v>
      </s:c>
      <s:c r="R31" s="275">
        <s:f>IF($I$12="","",Q31/$I$12)</s:f>
        <s:v>0</s:v>
      </s:c>
      <s:c r="S31" s="274" t="str">
        <s:f>IF(W31&lt;&gt;"",IF(D31&lt;&gt;"",D31,($I$8-SUM($S$25:S30))*V31*W31/SUMPRODUCT($W31:$W$55,$V31:$V$55)),"")</s:f>
        <s:v/>
      </s:c>
      <s:c r="T31" s="275" t="str">
        <s:f>IF(W31&lt;&gt;"",IF(E31&lt;&gt;"",E31,($I$9-SUM($T$25:T30))*V31*W31/SUMPRODUCT($W31:$W$55,$V31:$V$55)),"")</s:f>
        <s:v/>
      </s:c>
      <s:c r="U31" s="275" t="str">
        <s:f>IF(W31&lt;&gt;"",IF($I$12&lt;&gt;"",IF(G31&lt;&gt;"",G31,($I$9/$I$12-SUM($U$25:U30))*V31*W31/SUMPRODUCT($W31:$W$55,$V31:$V$55)),""),"")</s:f>
        <s:v/>
      </s:c>
      <s:c r="V31" s="276"/>
      <s:c r="W31" s="276"/>
      <s:c r="X31" s="277"/>
      <s:c r="Y31" s="277"/>
      <s:c r="Z31" s="283"/>
      <s:c r="AA31" s="278"/>
      <s:c r="AB31" s="278"/>
      <s:c r="AC31" s="278"/>
      <s:c r="AD31" s="278"/>
      <s:c r="AE31" s="278"/>
      <s:c r="AF31" s="278"/>
      <s:c r="AG31" s="278"/>
    </s:row>
    <s:row r="32" spans="1:33" s="268" customFormat="1">
      <s:c r="A32" s="269"/>
      <s:c r="B32" s="345"/>
      <s:c r="C32" s="344"/>
      <s:c r="D32" s="285"/>
      <s:c r="E32" s="270"/>
      <s:c r="F32" s="282" t="str">
        <s:f>IF(AND(E32&lt;&gt;"",E32&lt;&gt;0),D32/E32,"")</s:f>
        <s:v/>
      </s:c>
      <s:c r="G32" s="270"/>
      <s:c r="H32" s="282" t="str">
        <s:f>IF(AND(G32&lt;&gt;"",G32&lt;&gt;0),D32/G32,"")</s:f>
        <s:v/>
      </s:c>
      <s:c r="I32" s="270"/>
      <s:c r="J32" s="271" t="str">
        <s:f>IF(AND(G32&lt;&gt;"",G32&lt;&gt;0),E32/G32,"")</s:f>
        <s:v/>
      </s:c>
      <s:c r="K32" s="270"/>
      <s:c r="L32" s="270"/>
      <s:c r="M32" s="270"/>
      <s:c r="N32" s="272" t="str">
        <s:f>IF(AND(I32&lt;&gt;"",I32&lt;&gt;0),G32/I32,"")</s:f>
        <s:v/>
      </s:c>
      <s:c r="O32" s="273" t="e">
        <s:f>D32/P32</s:f>
        <s:v>#DIV/0!</s:v>
      </s:c>
      <s:c r="P32" s="274">
        <s:f>$I$8*V32*W32/SUMPRODUCT($W$25:$W$55,$V$25:$V$55)</s:f>
        <s:v>0</s:v>
      </s:c>
      <s:c r="Q32" s="275">
        <s:f>$I$9*V32*W32/SUMPRODUCT($W$25:$W$55,$V$25:$V$55)</s:f>
        <s:v>0</s:v>
      </s:c>
      <s:c r="R32" s="275">
        <s:f>IF($I$12="","",Q32/$I$12)</s:f>
        <s:v>0</s:v>
      </s:c>
      <s:c r="S32" s="274" t="str">
        <s:f>IF(W32&lt;&gt;"",IF(D32&lt;&gt;"",D32,($I$8-SUM($S$25:S31))*V32*W32/SUMPRODUCT($W32:$W$55,$V32:$V$55)),"")</s:f>
        <s:v/>
      </s:c>
      <s:c r="T32" s="275" t="str">
        <s:f>IF(W32&lt;&gt;"",IF(E32&lt;&gt;"",E32,($I$9-SUM($T$25:T31))*V32*W32/SUMPRODUCT($W32:$W$55,$V32:$V$55)),"")</s:f>
        <s:v/>
      </s:c>
      <s:c r="U32" s="275" t="str">
        <s:f>IF(W32&lt;&gt;"",IF($I$12&lt;&gt;"",IF(G32&lt;&gt;"",G32,($I$9/$I$12-SUM($U$25:U31))*V32*W32/SUMPRODUCT($W32:$W$55,$V32:$V$55)),""),"")</s:f>
        <s:v/>
      </s:c>
      <s:c r="V32" s="276"/>
      <s:c r="W32" s="276"/>
      <s:c r="X32" s="277"/>
      <s:c r="Y32" s="277"/>
      <s:c r="Z32" s="283"/>
      <s:c r="AA32" s="278"/>
      <s:c r="AB32" s="278"/>
      <s:c r="AC32" s="278"/>
      <s:c r="AD32" s="278"/>
      <s:c r="AE32" s="278"/>
      <s:c r="AF32" s="278"/>
      <s:c r="AG32" s="278"/>
    </s:row>
    <s:row r="33" spans="1:33" s="268" customFormat="1">
      <s:c r="A33" s="269"/>
      <s:c r="B33" s="345"/>
      <s:c r="C33" s="344"/>
      <s:c r="D33" s="286"/>
      <s:c r="E33" s="270"/>
      <s:c r="F33" s="270" t="str">
        <s:f>IF(AND(E33&lt;&gt;"",E33&lt;&gt;0),D33/E33,"")</s:f>
        <s:v/>
      </s:c>
      <s:c r="G33" s="270"/>
      <s:c r="H33" s="270" t="str">
        <s:f>IF(AND(G33&lt;&gt;"",G33&lt;&gt;0),D33/G33,"")</s:f>
        <s:v/>
      </s:c>
      <s:c r="I33" s="270"/>
      <s:c r="J33" s="271" t="str">
        <s:f>IF(AND(G33&lt;&gt;"",G33&lt;&gt;0),E33/G33,"")</s:f>
        <s:v/>
      </s:c>
      <s:c r="K33" s="270"/>
      <s:c r="L33" s="270"/>
      <s:c r="M33" s="270"/>
      <s:c r="N33" s="272" t="str">
        <s:f>IF(AND(I33&lt;&gt;"",I33&lt;&gt;0),G33/I33,"")</s:f>
        <s:v/>
      </s:c>
      <s:c r="O33" s="273" t="e">
        <s:f>D33/P33</s:f>
        <s:v>#DIV/0!</s:v>
      </s:c>
      <s:c r="P33" s="274">
        <s:f>$I$8*V33*W33/SUMPRODUCT($W$25:$W$55,$V$25:$V$55)</s:f>
        <s:v>0</s:v>
      </s:c>
      <s:c r="Q33" s="275">
        <s:f>$I$9*V33*W33/SUMPRODUCT($W$25:$W$55,$V$25:$V$55)</s:f>
        <s:v>0</s:v>
      </s:c>
      <s:c r="R33" s="275">
        <s:f>IF($I$12="","",Q33/$I$12)</s:f>
        <s:v>0</s:v>
      </s:c>
      <s:c r="S33" s="274" t="str">
        <s:f>IF(W33&lt;&gt;"",IF(D33&lt;&gt;"",D33,($I$8-SUM($S$25:S32))*V33*W33/SUMPRODUCT($W33:$W$55,$V33:$V$55)),"")</s:f>
        <s:v/>
      </s:c>
      <s:c r="T33" s="275" t="str">
        <s:f>IF(W33&lt;&gt;"",IF(E33&lt;&gt;"",E33,($I$9-SUM($T$25:T32))*V33*W33/SUMPRODUCT($W33:$W$55,$V33:$V$55)),"")</s:f>
        <s:v/>
      </s:c>
      <s:c r="U33" s="275" t="str">
        <s:f>IF(W33&lt;&gt;"",IF($I$12&lt;&gt;"",IF(G33&lt;&gt;"",G33,($I$9/$I$12-SUM($U$25:U32))*V33*W33/SUMPRODUCT($W33:$W$55,$V33:$V$55)),""),"")</s:f>
        <s:v/>
      </s:c>
      <s:c r="V33" s="276"/>
      <s:c r="W33" s="276"/>
      <s:c r="X33" s="277"/>
      <s:c r="Y33" s="277"/>
      <s:c r="Z33" s="283"/>
      <s:c r="AA33" s="278"/>
      <s:c r="AB33" s="278"/>
      <s:c r="AC33" s="278"/>
      <s:c r="AD33" s="278"/>
      <s:c r="AE33" s="278"/>
      <s:c r="AF33" s="278"/>
      <s:c r="AG33" s="278"/>
    </s:row>
    <s:row r="34" spans="1:33" s="268" customFormat="1">
      <s:c r="A34" s="269"/>
      <s:c r="B34" s="280"/>
      <s:c r="C34" s="347"/>
      <s:c r="D34" s="271"/>
      <s:c r="E34" s="282"/>
      <s:c r="F34" s="270" t="str">
        <s:f>IF(AND(E34&lt;&gt;"",E34&lt;&gt;0),D34/E34,"")</s:f>
        <s:v/>
      </s:c>
      <s:c r="G34" s="282"/>
      <s:c r="H34" s="270" t="str">
        <s:f>IF(AND(G34&lt;&gt;"",G34&lt;&gt;0),D34/G34,"")</s:f>
        <s:v/>
      </s:c>
      <s:c r="I34" s="282"/>
      <s:c r="J34" s="271" t="str">
        <s:f>IF(AND(G34&lt;&gt;"",G34&lt;&gt;0),E34/G34,"")</s:f>
        <s:v/>
      </s:c>
      <s:c r="K34" s="282"/>
      <s:c r="L34" s="270"/>
      <s:c r="M34" s="282"/>
      <s:c r="N34" s="272" t="str">
        <s:f>IF(AND(I34&lt;&gt;"",I34&lt;&gt;0),G34/I34,"")</s:f>
        <s:v/>
      </s:c>
      <s:c r="O34" s="309" t="e">
        <s:f>D34/P34</s:f>
        <s:v>#DIV/0!</s:v>
      </s:c>
      <s:c r="P34" s="274">
        <s:f>$I$8*V34*W34/SUMPRODUCT($W$25:$W$55,$V$25:$V$55)</s:f>
        <s:v>0</s:v>
      </s:c>
      <s:c r="Q34" s="310">
        <s:f>$I$9*V34*W34/SUMPRODUCT($W$25:$W$55,$V$25:$V$55)</s:f>
        <s:v>0</s:v>
      </s:c>
      <s:c r="R34" s="275">
        <s:f>IF($I$12="","",Q34/$I$12)</s:f>
        <s:v>0</s:v>
      </s:c>
      <s:c r="S34" s="274" t="str">
        <s:f>IF(W34&lt;&gt;"",IF(D34&lt;&gt;"",D34,($I$8-SUM($S$25:S33))*V34*W34/SUMPRODUCT($W34:$W$55,$V34:$V$55)),"")</s:f>
        <s:v/>
      </s:c>
      <s:c r="T34" s="275" t="str">
        <s:f>IF(W34&lt;&gt;"",IF(E34&lt;&gt;"",E34,($I$9-SUM($T$25:T33))*V34*W34/SUMPRODUCT($W34:$W$55,$V34:$V$55)),"")</s:f>
        <s:v/>
      </s:c>
      <s:c r="U34" s="275" t="str">
        <s:f>IF(W34&lt;&gt;"",IF($I$12&lt;&gt;"",IF(G34&lt;&gt;"",G34,($I$9/$I$12-SUM($U$25:U33))*V34*W34/SUMPRODUCT($W34:$W$55,$V34:$V$55)),""),"")</s:f>
        <s:v/>
      </s:c>
      <s:c r="V34" s="276"/>
      <s:c r="W34" s="276"/>
      <s:c r="X34" s="277"/>
      <s:c r="Y34" s="277"/>
      <s:c r="Z34" s="278"/>
      <s:c r="AA34" s="278"/>
      <s:c r="AB34" s="278"/>
      <s:c r="AC34" s="278"/>
      <s:c r="AD34" s="278"/>
      <s:c r="AE34" s="278"/>
      <s:c r="AF34" s="278"/>
      <s:c r="AG34" s="278"/>
    </s:row>
    <s:row r="35" spans="1:33" s="268" customFormat="1">
      <s:c r="A35" s="269"/>
      <s:c r="B35" s="280"/>
      <s:c r="C35" s="281"/>
      <s:c r="D35" s="271"/>
      <s:c r="E35" s="270"/>
      <s:c r="F35" s="270" t="str">
        <s:f>IF(AND(E35&lt;&gt;"",E35&lt;&gt;0),D35/E35,"")</s:f>
        <s:v/>
      </s:c>
      <s:c r="G35" s="270"/>
      <s:c r="H35" s="270" t="str">
        <s:f>IF(AND(G35&lt;&gt;"",G35&lt;&gt;0),D35/G35,"")</s:f>
        <s:v/>
      </s:c>
      <s:c r="I35" s="270"/>
      <s:c r="J35" s="271" t="str">
        <s:f>IF(AND(G35&lt;&gt;"",G35&lt;&gt;0),E35/G35,"")</s:f>
        <s:v/>
      </s:c>
      <s:c r="K35" s="270"/>
      <s:c r="L35" s="270"/>
      <s:c r="M35" s="270"/>
      <s:c r="N35" s="272" t="str">
        <s:f>IF(AND(I35&lt;&gt;"",I35&lt;&gt;0),G35/I35,"")</s:f>
        <s:v/>
      </s:c>
      <s:c r="O35" s="273" t="e">
        <s:f>D35/P35</s:f>
        <s:v>#DIV/0!</s:v>
      </s:c>
      <s:c r="P35" s="274">
        <s:f>$I$8*V35*W35/SUMPRODUCT($W$25:$W$55,$V$25:$V$55)</s:f>
        <s:v>0</s:v>
      </s:c>
      <s:c r="Q35" s="275">
        <s:f>$I$9*V35*W35/SUMPRODUCT($W$25:$W$55,$V$25:$V$55)</s:f>
        <s:v>0</s:v>
      </s:c>
      <s:c r="R35" s="275">
        <s:f>IF($I$12="","",Q35/$I$12)</s:f>
        <s:v>0</s:v>
      </s:c>
      <s:c r="S35" s="274" t="str">
        <s:f>IF(W35&lt;&gt;"",IF(D35&lt;&gt;"",D35,($I$8-SUM($S$25:S34))*V35*W35/SUMPRODUCT($W35:$W$55,$V35:$V$55)),"")</s:f>
        <s:v/>
      </s:c>
      <s:c r="T35" s="275" t="str">
        <s:f>IF(W35&lt;&gt;"",IF(E35&lt;&gt;"",E35,($I$9-SUM($T$25:T34))*V35*W35/SUMPRODUCT($W35:$W$55,$V35:$V$55)),"")</s:f>
        <s:v/>
      </s:c>
      <s:c r="U35" s="275" t="str">
        <s:f>IF(W35&lt;&gt;"",IF($I$12&lt;&gt;"",IF(G35&lt;&gt;"",G35,($I$9/$I$12-SUM($U$25:U34))*V35*W35/SUMPRODUCT($W35:$W$55,$V35:$V$55)),""),"")</s:f>
        <s:v/>
      </s:c>
      <s:c r="V35" s="276"/>
      <s:c r="W35" s="276"/>
      <s:c r="X35" s="277"/>
      <s:c r="Y35" s="277"/>
      <s:c r="Z35" s="278"/>
      <s:c r="AA35" s="278"/>
      <s:c r="AB35" s="278"/>
      <s:c r="AC35" s="278"/>
      <s:c r="AD35" s="278"/>
      <s:c r="AE35" s="278"/>
      <s:c r="AF35" s="278"/>
      <s:c r="AG35" s="278"/>
    </s:row>
    <s:row r="36" spans="1:33" s="268" customFormat="1">
      <s:c r="A36" s="269"/>
      <s:c r="B36" s="280"/>
      <s:c r="C36" s="281"/>
      <s:c r="D36" s="271"/>
      <s:c r="E36" s="270"/>
      <s:c r="F36" s="270" t="str">
        <s:f>IF(AND(E36&lt;&gt;"",E36&lt;&gt;0),D36/E36,"")</s:f>
        <s:v/>
      </s:c>
      <s:c r="G36" s="270"/>
      <s:c r="H36" s="270" t="str">
        <s:f>IF(AND(G36&lt;&gt;"",G36&lt;&gt;0),D36/G36,"")</s:f>
        <s:v/>
      </s:c>
      <s:c r="I36" s="270"/>
      <s:c r="J36" s="271" t="str">
        <s:f>IF(AND(G36&lt;&gt;"",G36&lt;&gt;0),E36/G36,"")</s:f>
        <s:v/>
      </s:c>
      <s:c r="K36" s="270"/>
      <s:c r="L36" s="270"/>
      <s:c r="M36" s="270"/>
      <s:c r="N36" s="272" t="str">
        <s:f>IF(AND(I36&lt;&gt;"",I36&lt;&gt;0),G36/I36,"")</s:f>
        <s:v/>
      </s:c>
      <s:c r="O36" s="273" t="e">
        <s:f>D36/P36</s:f>
        <s:v>#DIV/0!</s:v>
      </s:c>
      <s:c r="P36" s="274">
        <s:f>$I$8*V36*W36/SUMPRODUCT($W$25:$W$55,$V$25:$V$55)</s:f>
        <s:v>0</s:v>
      </s:c>
      <s:c r="Q36" s="275">
        <s:f>$I$9*V36*W36/SUMPRODUCT($W$25:$W$55,$V$25:$V$55)</s:f>
        <s:v>0</s:v>
      </s:c>
      <s:c r="R36" s="275">
        <s:f>IF($I$12="","",Q36/$I$12)</s:f>
        <s:v>0</s:v>
      </s:c>
      <s:c r="S36" s="274" t="str">
        <s:f>IF(W36&lt;&gt;"",IF(D36&lt;&gt;"",D36,($I$8-SUM($S$25:S35))*V36*W36/SUMPRODUCT($W36:$W$55,$V36:$V$55)),"")</s:f>
        <s:v/>
      </s:c>
      <s:c r="T36" s="275" t="str">
        <s:f>IF(W36&lt;&gt;"",IF(E36&lt;&gt;"",E36,($I$9-SUM($T$25:T35))*V36*W36/SUMPRODUCT($W36:$W$55,$V36:$V$55)),"")</s:f>
        <s:v/>
      </s:c>
      <s:c r="U36" s="275" t="str">
        <s:f>IF(W36&lt;&gt;"",IF($I$12&lt;&gt;"",IF(G36&lt;&gt;"",G36,($I$9/$I$12-SUM($U$25:U35))*V36*W36/SUMPRODUCT($W36:$W$55,$V36:$V$55)),""),"")</s:f>
        <s:v/>
      </s:c>
      <s:c r="V36" s="276"/>
      <s:c r="W36" s="276"/>
      <s:c r="X36" s="277"/>
      <s:c r="Y36" s="277"/>
      <s:c r="Z36" s="283"/>
      <s:c r="AA36" s="278"/>
      <s:c r="AB36" s="278"/>
      <s:c r="AC36" s="278"/>
      <s:c r="AD36" s="278"/>
      <s:c r="AE36" s="278"/>
      <s:c r="AF36" s="278"/>
      <s:c r="AG36" s="278"/>
    </s:row>
    <s:row r="37" spans="1:33" s="268" customFormat="1">
      <s:c r="A37" s="269"/>
      <s:c r="B37" s="280"/>
      <s:c r="C37" s="281"/>
      <s:c r="D37" s="271"/>
      <s:c r="E37" s="270"/>
      <s:c r="F37" s="270" t="str">
        <s:f>IF(AND(E37&lt;&gt;"",E37&lt;&gt;0),D37/E37,"")</s:f>
        <s:v/>
      </s:c>
      <s:c r="G37" s="270"/>
      <s:c r="H37" s="270" t="str">
        <s:f>IF(AND(G37&lt;&gt;"",G37&lt;&gt;0),D37/G37,"")</s:f>
        <s:v/>
      </s:c>
      <s:c r="I37" s="270"/>
      <s:c r="J37" s="271" t="str">
        <s:f>IF(AND(G37&lt;&gt;"",G37&lt;&gt;0),E37/G37,"")</s:f>
        <s:v/>
      </s:c>
      <s:c r="K37" s="270"/>
      <s:c r="L37" s="270"/>
      <s:c r="M37" s="270"/>
      <s:c r="N37" s="272" t="str">
        <s:f>IF(AND(I37&lt;&gt;"",I37&lt;&gt;0),G37/I37,"")</s:f>
        <s:v/>
      </s:c>
      <s:c r="O37" s="273" t="e">
        <s:f>D37/P37</s:f>
        <s:v>#DIV/0!</s:v>
      </s:c>
      <s:c r="P37" s="274">
        <s:f>$I$8*V37*W37/SUMPRODUCT($W$25:$W$55,$V$25:$V$55)</s:f>
        <s:v>0</s:v>
      </s:c>
      <s:c r="Q37" s="275">
        <s:f>$I$9*V37*W37/SUMPRODUCT($W$25:$W$55,$V$25:$V$55)</s:f>
        <s:v>0</s:v>
      </s:c>
      <s:c r="R37" s="275">
        <s:f>IF($I$12="","",Q37/$I$12)</s:f>
        <s:v>0</s:v>
      </s:c>
      <s:c r="S37" s="274" t="str">
        <s:f>IF(W37&lt;&gt;"",IF(D37&lt;&gt;"",D37,($I$8-SUM($S$25:S36))*V37*W37/SUMPRODUCT($W37:$W$55,$V37:$V$55)),"")</s:f>
        <s:v/>
      </s:c>
      <s:c r="T37" s="275" t="str">
        <s:f>IF(W37&lt;&gt;"",IF(E37&lt;&gt;"",E37,($I$9-SUM($T$25:T36))*V37*W37/SUMPRODUCT($W37:$W$55,$V37:$V$55)),"")</s:f>
        <s:v/>
      </s:c>
      <s:c r="U37" s="275" t="str">
        <s:f>IF(W37&lt;&gt;"",IF($I$12&lt;&gt;"",IF(G37&lt;&gt;"",G37,($I$9/$I$12-SUM($U$25:U36))*V37*W37/SUMPRODUCT($W37:$W$55,$V37:$V$55)),""),"")</s:f>
        <s:v/>
      </s:c>
      <s:c r="V37" s="276"/>
      <s:c r="W37" s="276"/>
      <s:c r="X37" s="277"/>
      <s:c r="Y37" s="277"/>
      <s:c r="Z37" s="283"/>
      <s:c r="AA37" s="278"/>
      <s:c r="AB37" s="278"/>
      <s:c r="AC37" s="278"/>
      <s:c r="AD37" s="278"/>
      <s:c r="AE37" s="278"/>
      <s:c r="AF37" s="278"/>
      <s:c r="AG37" s="278"/>
    </s:row>
    <s:row r="38" spans="1:33" s="268" customFormat="1">
      <s:c r="A38" s="348"/>
      <s:c r="B38" s="349"/>
      <s:c r="C38" s="281"/>
      <s:c r="D38" s="350"/>
      <s:c r="E38" s="351"/>
      <s:c r="F38" s="270" t="str">
        <s:f>IF(AND(E38&lt;&gt;"",E38&lt;&gt;0),D38/E38,"")</s:f>
        <s:v/>
      </s:c>
      <s:c r="G38" s="351"/>
      <s:c r="H38" s="270" t="str">
        <s:f>IF(AND(G38&lt;&gt;"",G38&lt;&gt;0),D38/G38,"")</s:f>
        <s:v/>
      </s:c>
      <s:c r="I38" s="351"/>
      <s:c r="J38" s="271" t="str">
        <s:f>IF(AND(G38&lt;&gt;"",G38&lt;&gt;0),E38/G38,"")</s:f>
        <s:v/>
      </s:c>
      <s:c r="K38" s="270"/>
      <s:c r="L38" s="270"/>
      <s:c r="M38" s="270"/>
      <s:c r="N38" s="312" t="str">
        <s:f>IF(AND(I38&lt;&gt;"",I38&lt;&gt;0),G38/I38,"")</s:f>
        <s:v/>
      </s:c>
      <s:c r="O38" s="352" t="e">
        <s:f>D38/P38</s:f>
        <s:v>#DIV/0!</s:v>
      </s:c>
      <s:c r="P38" s="274">
        <s:f>$I$8*V38*W38/SUMPRODUCT($W$25:$W$44,$V$25:$V$44)</s:f>
        <s:v>0</s:v>
      </s:c>
      <s:c r="Q38" s="275">
        <s:f>$I$9*V38*W38/SUMPRODUCT($W$25:$W$44,$V$25:$V$44)</s:f>
        <s:v>0</s:v>
      </s:c>
      <s:c r="R38" s="275">
        <s:f>IF($I$12="","",Q38/$I$12)</s:f>
        <s:v>0</s:v>
      </s:c>
      <s:c r="S38" s="274" t="str">
        <s:f>IF(W38&lt;&gt;"",IF(D38&lt;&gt;"",D38,($I$8-SUM($S$25:S37))*V38*W38/SUMPRODUCT($W38:$W$55,$V38:$V$55)),"")</s:f>
        <s:v/>
      </s:c>
      <s:c r="T38" s="275" t="str">
        <s:f>IF(W38&lt;&gt;"",IF(E38&lt;&gt;"",E38,($I$9-SUM($T$25:T37))*V38*W38/SUMPRODUCT($W38:$W$55,$V38:$V$55)),"")</s:f>
        <s:v/>
      </s:c>
      <s:c r="U38" s="275" t="str">
        <s:f>IF(W38&lt;&gt;"",IF($I$12&lt;&gt;"",IF(G38&lt;&gt;"",G38,($I$9/$I$12-SUM($U$25:U37))*V38*W38/SUMPRODUCT($W38:$W$55,$V38:$V$55)),""),"")</s:f>
        <s:v/>
      </s:c>
      <s:c r="V38" s="276"/>
      <s:c r="W38" s="276"/>
      <s:c r="X38" s="353"/>
      <s:c r="Y38" s="353"/>
      <s:c r="Z38" s="320"/>
    </s:row>
    <s:row r="39" spans="1:33" s="268" customFormat="1">
      <s:c r="A39" s="348"/>
      <s:c r="B39" s="349"/>
      <s:c r="C39" s="281"/>
      <s:c r="D39" s="350"/>
      <s:c r="E39" s="351"/>
      <s:c r="F39" s="270" t="str">
        <s:f>IF(AND(E39&lt;&gt;"",E39&lt;&gt;0),D39/E39,"")</s:f>
        <s:v/>
      </s:c>
      <s:c r="G39" s="351"/>
      <s:c r="H39" s="270" t="str">
        <s:f>IF(AND(G39&lt;&gt;"",G39&lt;&gt;0),D39/G39,"")</s:f>
        <s:v/>
      </s:c>
      <s:c r="I39" s="351"/>
      <s:c r="J39" s="271" t="str">
        <s:f>IF(AND(G39&lt;&gt;"",G39&lt;&gt;0),E39/G39,"")</s:f>
        <s:v/>
      </s:c>
      <s:c r="K39" s="270"/>
      <s:c r="L39" s="270"/>
      <s:c r="M39" s="270"/>
      <s:c r="N39" s="312" t="str">
        <s:f>IF(AND(I39&lt;&gt;"",I39&lt;&gt;0),G39/I39,"")</s:f>
        <s:v/>
      </s:c>
      <s:c r="O39" s="352" t="e">
        <s:f>D39/P39</s:f>
        <s:v>#DIV/0!</s:v>
      </s:c>
      <s:c r="P39" s="274">
        <s:f>$I$8*V39*W39/SUMPRODUCT($W$25:$W$44,$V$25:$V$44)</s:f>
        <s:v>0</s:v>
      </s:c>
      <s:c r="Q39" s="275">
        <s:f>$I$9*V39*W39/SUMPRODUCT($W$25:$W$44,$V$25:$V$44)</s:f>
        <s:v>0</s:v>
      </s:c>
      <s:c r="R39" s="275">
        <s:f>IF($I$12="","",Q39/$I$12)</s:f>
        <s:v>0</s:v>
      </s:c>
      <s:c r="S39" s="274" t="str">
        <s:f>IF(W39&lt;&gt;"",IF(D39&lt;&gt;"",D39,($I$8-SUM($S$25:S38))*V39*W39/SUMPRODUCT($W39:$W$55,$V39:$V$55)),"")</s:f>
        <s:v/>
      </s:c>
      <s:c r="T39" s="275" t="str">
        <s:f>IF(W39&lt;&gt;"",IF(E39&lt;&gt;"",E39,($I$9-SUM($T$25:T38))*V39*W39/SUMPRODUCT($W39:$W$55,$V39:$V$55)),"")</s:f>
        <s:v/>
      </s:c>
      <s:c r="U39" s="275" t="str">
        <s:f>IF(W39&lt;&gt;"",IF($I$12&lt;&gt;"",IF(G39&lt;&gt;"",G39,($I$9/$I$12-SUM($U$25:U38))*V39*W39/SUMPRODUCT($W39:$W$55,$V39:$V$55)),""),"")</s:f>
        <s:v/>
      </s:c>
      <s:c r="V39" s="276"/>
      <s:c r="W39" s="276"/>
      <s:c r="X39" s="353"/>
      <s:c r="Y39" s="353"/>
      <s:c r="Z39" s="320"/>
    </s:row>
    <s:row r="40" spans="1:33" s="268" customFormat="1">
      <s:c r="A40" s="348"/>
      <s:c r="B40" s="349"/>
      <s:c r="C40" s="281"/>
      <s:c r="D40" s="350"/>
      <s:c r="E40" s="351"/>
      <s:c r="F40" s="270" t="str">
        <s:f>IF(AND(E40&lt;&gt;"",E40&lt;&gt;0),D40/E40,"")</s:f>
        <s:v/>
      </s:c>
      <s:c r="G40" s="351"/>
      <s:c r="H40" s="270" t="str">
        <s:f>IF(AND(G40&lt;&gt;"",G40&lt;&gt;0),D40/G40,"")</s:f>
        <s:v/>
      </s:c>
      <s:c r="I40" s="351"/>
      <s:c r="J40" s="271" t="str">
        <s:f>IF(AND(G40&lt;&gt;"",G40&lt;&gt;0),E40/G40,"")</s:f>
        <s:v/>
      </s:c>
      <s:c r="K40" s="270"/>
      <s:c r="L40" s="270"/>
      <s:c r="M40" s="270"/>
      <s:c r="N40" s="312" t="str">
        <s:f>IF(AND(I40&lt;&gt;"",I40&lt;&gt;0),G40/I40,"")</s:f>
        <s:v/>
      </s:c>
      <s:c r="O40" s="352" t="e">
        <s:f>D40/P40</s:f>
        <s:v>#DIV/0!</s:v>
      </s:c>
      <s:c r="P40" s="274">
        <s:f>$I$8*V40*W40/SUMPRODUCT($W$25:$W$47,$V$25:$V$47)</s:f>
        <s:v>0</s:v>
      </s:c>
      <s:c r="Q40" s="275">
        <s:f>$I$9*V40*W40/SUMPRODUCT($W$25:$W$47,$V$25:$V$47)</s:f>
        <s:v>0</s:v>
      </s:c>
      <s:c r="R40" s="275">
        <s:f>IF($I$12="", "", Q40/$I$12)</s:f>
        <s:v>0</s:v>
      </s:c>
      <s:c r="S40" s="274" t="str">
        <s:f>IF(W40&lt;&gt;"",IF(D40&lt;&gt;"",D40,($I$8-SUM($S$25:S39))*V40*W40/SUMPRODUCT($W40:$W$55,$V40:$V$55)),"")</s:f>
        <s:v/>
      </s:c>
      <s:c r="T40" s="275" t="str">
        <s:f>IF(W40&lt;&gt;"",IF(E40&lt;&gt;"",E40,($I$9-SUM($T$25:T39))*V40*W40/SUMPRODUCT($W40:$W$55,$V40:$V$55)),"")</s:f>
        <s:v/>
      </s:c>
      <s:c r="U40" s="275" t="str">
        <s:f>IF(W40&lt;&gt;"",IF($I$12&lt;&gt;"",IF(G40&lt;&gt;"",G40,($I$9/$I$12-SUM($U$25:U39))*V40*W40/SUMPRODUCT($W40:$W$55,$V40:$V$55)),""),"")</s:f>
        <s:v/>
      </s:c>
      <s:c r="V40" s="276"/>
      <s:c r="W40" s="276"/>
      <s:c r="X40" s="353"/>
      <s:c r="Y40" s="353"/>
      <s:c r="Z40" s="320"/>
    </s:row>
    <s:row r="41" spans="1:33" s="268" customFormat="1">
      <s:c r="A41" s="348"/>
      <s:c r="B41" s="349"/>
      <s:c r="C41" s="281"/>
      <s:c r="D41" s="350"/>
      <s:c r="E41" s="351"/>
      <s:c r="F41" s="270" t="str">
        <s:f>IF(AND(E41&lt;&gt;"",E41&lt;&gt;0),D41/E41,"")</s:f>
        <s:v/>
      </s:c>
      <s:c r="G41" s="351"/>
      <s:c r="H41" s="270" t="str">
        <s:f>IF(AND(G41&lt;&gt;"",G41&lt;&gt;0),D41/G41,"")</s:f>
        <s:v/>
      </s:c>
      <s:c r="I41" s="351"/>
      <s:c r="J41" s="271" t="str">
        <s:f>IF(AND(G41&lt;&gt;"",G41&lt;&gt;0),E41/G41,"")</s:f>
        <s:v/>
      </s:c>
      <s:c r="K41" s="270"/>
      <s:c r="L41" s="270"/>
      <s:c r="M41" s="270"/>
      <s:c r="N41" s="312" t="str">
        <s:f>IF(AND(I41&lt;&gt;"",I41&lt;&gt;0),G41/I41,"")</s:f>
        <s:v/>
      </s:c>
      <s:c r="O41" s="352" t="e">
        <s:f>D41/P41</s:f>
        <s:v>#DIV/0!</s:v>
      </s:c>
      <s:c r="P41" s="274">
        <s:f>$I$8*V41*W41/SUMPRODUCT($W$25:$W$47,$V$25:$V$47)</s:f>
        <s:v>0</s:v>
      </s:c>
      <s:c r="Q41" s="275">
        <s:f>$I$9*V41*W41/SUMPRODUCT($W$25:$W$47,$V$25:$V$47)</s:f>
        <s:v>0</s:v>
      </s:c>
      <s:c r="R41" s="275">
        <s:f>IF($I$12="", "", Q41/$I$12)</s:f>
        <s:v>0</s:v>
      </s:c>
      <s:c r="S41" s="274" t="str">
        <s:f>IF(W41&lt;&gt;"",IF(D41&lt;&gt;"",D41,($I$8-SUM($S$25:S40))*V41*W41/SUMPRODUCT($W41:$W$55,$V41:$V$55)),"")</s:f>
        <s:v/>
      </s:c>
      <s:c r="T41" s="275" t="str">
        <s:f>IF(W41&lt;&gt;"",IF(E41&lt;&gt;"",E41,($I$9-SUM($T$25:T40))*V41*W41/SUMPRODUCT($W41:$W$55,$V41:$V$55)),"")</s:f>
        <s:v/>
      </s:c>
      <s:c r="U41" s="275" t="str">
        <s:f>IF(W41&lt;&gt;"",IF($I$12&lt;&gt;"",IF(G41&lt;&gt;"",G41,($I$9/$I$12-SUM($U$25:U40))*V41*W41/SUMPRODUCT($W41:$W$55,$V41:$V$55)),""),"")</s:f>
        <s:v/>
      </s:c>
      <s:c r="V41" s="276"/>
      <s:c r="W41" s="276"/>
      <s:c r="X41" s="353"/>
      <s:c r="Y41" s="353"/>
      <s:c r="Z41" s="320"/>
    </s:row>
    <s:row r="42" spans="1:33" s="268" customFormat="1">
      <s:c r="A42" s="348"/>
      <s:c r="B42" s="349"/>
      <s:c r="C42" s="281"/>
      <s:c r="D42" s="350"/>
      <s:c r="E42" s="351"/>
      <s:c r="F42" s="270" t="str">
        <s:f>IF(AND(E42&lt;&gt;"",E42&lt;&gt;0),D42/E42,"")</s:f>
        <s:v/>
      </s:c>
      <s:c r="G42" s="351"/>
      <s:c r="H42" s="270" t="str">
        <s:f>IF(AND(G42&lt;&gt;"",G42&lt;&gt;0),D42/G42,"")</s:f>
        <s:v/>
      </s:c>
      <s:c r="I42" s="351"/>
      <s:c r="J42" s="271" t="str">
        <s:f>IF(AND(G42&lt;&gt;"",G42&lt;&gt;0),E42/G42,"")</s:f>
        <s:v/>
      </s:c>
      <s:c r="K42" s="270"/>
      <s:c r="L42" s="270"/>
      <s:c r="M42" s="270"/>
      <s:c r="N42" s="312" t="str">
        <s:f>IF(AND(I42&lt;&gt;"",I42&lt;&gt;0),G42/I42,"")</s:f>
        <s:v/>
      </s:c>
      <s:c r="O42" s="352" t="e">
        <s:f>D42/P42</s:f>
        <s:v>#DIV/0!</s:v>
      </s:c>
      <s:c r="P42" s="274">
        <s:f>$I$8*V42*W42/SUMPRODUCT($W$25:$W$47,$V$25:$V$47)</s:f>
        <s:v>0</s:v>
      </s:c>
      <s:c r="Q42" s="275">
        <s:f>$I$9*V42*W42/SUMPRODUCT($W$25:$W$47,$V$25:$V$47)</s:f>
        <s:v>0</s:v>
      </s:c>
      <s:c r="R42" s="275">
        <s:f>IF($I$12="", "", Q42/$I$12)</s:f>
        <s:v>0</s:v>
      </s:c>
      <s:c r="S42" s="274" t="str">
        <s:f>IF(W42&lt;&gt;"",IF(D42&lt;&gt;"",D42,($I$8-SUM($S$25:S41))*V42*W42/SUMPRODUCT($W42:$W$55,$V42:$V$55)),"")</s:f>
        <s:v/>
      </s:c>
      <s:c r="T42" s="275" t="str">
        <s:f>IF(W42&lt;&gt;"",IF(E42&lt;&gt;"",E42,($I$9-SUM($T$25:T41))*V42*W42/SUMPRODUCT($W42:$W$55,$V42:$V$55)),"")</s:f>
        <s:v/>
      </s:c>
      <s:c r="U42" s="275" t="str">
        <s:f>IF(W42&lt;&gt;"",IF($I$12&lt;&gt;"",IF(G42&lt;&gt;"",G42,($I$9/$I$12-SUM($U$25:U41))*V42*W42/SUMPRODUCT($W42:$W$55,$V42:$V$55)),""),"")</s:f>
        <s:v/>
      </s:c>
      <s:c r="V42" s="276"/>
      <s:c r="W42" s="276"/>
      <s:c r="X42" s="353"/>
      <s:c r="Y42" s="353"/>
      <s:c r="Z42" s="320"/>
    </s:row>
    <s:row r="43" spans="1:33" s="268" customFormat="1" ht="15" customHeight="1">
      <s:c r="A43" s="348"/>
      <s:c r="B43" s="349"/>
      <s:c r="C43" s="354"/>
      <s:c r="D43" s="350"/>
      <s:c r="E43" s="351"/>
      <s:c r="F43" s="270" t="str">
        <s:f>IF(AND(E43&lt;&gt;"",E43&lt;&gt;0),D43/E43,"")</s:f>
        <s:v/>
      </s:c>
      <s:c r="G43" s="351"/>
      <s:c r="H43" s="270" t="str">
        <s:f>IF(AND(G43&lt;&gt;"",G43&lt;&gt;0),D43/G43,"")</s:f>
        <s:v/>
      </s:c>
      <s:c r="I43" s="351"/>
      <s:c r="J43" s="271" t="str">
        <s:f>IF(AND(G43&lt;&gt;"",G43&lt;&gt;0),E43/G43,"")</s:f>
        <s:v/>
      </s:c>
      <s:c r="K43" s="270"/>
      <s:c r="L43" s="270"/>
      <s:c r="M43" s="270"/>
      <s:c r="N43" s="312" t="str">
        <s:f>IF(AND(I43&lt;&gt;"",I43&lt;&gt;0),G43/I43,"")</s:f>
        <s:v/>
      </s:c>
      <s:c r="O43" s="352" t="e">
        <s:f>D43/P43</s:f>
        <s:v>#DIV/0!</s:v>
      </s:c>
      <s:c r="P43" s="274">
        <s:f>$I$8*V43*W43/SUMPRODUCT($W$25:$W$44, $V$25:$V$44)</s:f>
        <s:v>0</s:v>
      </s:c>
      <s:c r="Q43" s="275">
        <s:f>$I$9*V43*W43/SUMPRODUCT($W$25:$W$44, $V$25:$V$44)</s:f>
        <s:v>0</s:v>
      </s:c>
      <s:c r="R43" s="275">
        <s:f>IF($I$12="", "", Q43/$I$12)</s:f>
        <s:v>0</s:v>
      </s:c>
      <s:c r="S43" s="274" t="str">
        <s:f>IF(W43&lt;&gt;"",IF(D43&lt;&gt;"",D43,($I$8-SUM($S$25:S42))*V43*W43/SUMPRODUCT($W43:$W$55,$V43:$V$55)),"")</s:f>
        <s:v/>
      </s:c>
      <s:c r="T43" s="275" t="str">
        <s:f>IF(W43&lt;&gt;"",IF(E43&lt;&gt;"",E43,($I$9-SUM($T$25:T42))*V43*W43/SUMPRODUCT($W43:$W$55,$V43:$V$55)),"")</s:f>
        <s:v/>
      </s:c>
      <s:c r="U43" s="275" t="str">
        <s:f>IF(W43&lt;&gt;"",IF($I$12&lt;&gt;"",IF(G43&lt;&gt;"",G43,($I$9/$I$12-SUM($U$25:U42))*V43*W43/SUMPRODUCT($W43:$W$55,$V43:$V$55)),""),"")</s:f>
        <s:v/>
      </s:c>
      <s:c r="V43" s="276"/>
      <s:c r="W43" s="276"/>
      <s:c r="X43" s="353"/>
      <s:c r="Y43" s="353"/>
      <s:c r="Z43" s="320"/>
    </s:row>
    <s:row r="44" spans="1:33" s="268" customFormat="1">
      <s:c r="A44" s="348"/>
      <s:c r="B44" s="349"/>
      <s:c r="C44" s="281"/>
      <s:c r="D44" s="350"/>
      <s:c r="E44" s="351"/>
      <s:c r="F44" s="270" t="str">
        <s:f>IF(AND(E44&lt;&gt;"",E44&lt;&gt;0),D44/E44,"")</s:f>
        <s:v/>
      </s:c>
      <s:c r="G44" s="351"/>
      <s:c r="H44" s="270" t="str">
        <s:f>IF(AND(G44&lt;&gt;"",G44&lt;&gt;0),D44/G44,"")</s:f>
        <s:v/>
      </s:c>
      <s:c r="I44" s="351"/>
      <s:c r="J44" s="271" t="str">
        <s:f>IF(AND(G44&lt;&gt;"",G44&lt;&gt;0),E44/G44,"")</s:f>
        <s:v/>
      </s:c>
      <s:c r="K44" s="270"/>
      <s:c r="L44" s="270"/>
      <s:c r="M44" s="270"/>
      <s:c r="N44" s="312" t="str">
        <s:f>IF(AND(I44&lt;&gt;"",I44&lt;&gt;0),G44/I44,"")</s:f>
        <s:v/>
      </s:c>
      <s:c r="O44" s="352" t="e">
        <s:f>D44/P44</s:f>
        <s:v>#DIV/0!</s:v>
      </s:c>
      <s:c r="P44" s="274">
        <s:f>$I$8*V44*W44/SUMPRODUCT($W$25:$W$44, $V$25:$V$44)</s:f>
        <s:v>0</s:v>
      </s:c>
      <s:c r="Q44" s="275">
        <s:f>$I$9*V44*W44/SUMPRODUCT($W$25:$W$44, $V$25:$V$44)</s:f>
        <s:v>0</s:v>
      </s:c>
      <s:c r="R44" s="275">
        <s:f>IF($I$12="", "", Q44/$I$12)</s:f>
        <s:v>0</s:v>
      </s:c>
      <s:c r="S44" s="274" t="str">
        <s:f>IF(W44&lt;&gt;"",IF(D44&lt;&gt;"",D44,($I$8-SUM($S$25:S43))*V44*W44/SUMPRODUCT($W44:$W$55,$V44:$V$55)),"")</s:f>
        <s:v/>
      </s:c>
      <s:c r="T44" s="275" t="str">
        <s:f>IF(W44&lt;&gt;"",IF(E44&lt;&gt;"",E44,($I$9-SUM($T$25:T43))*V44*W44/SUMPRODUCT($W44:$W$55,$V44:$V$55)),"")</s:f>
        <s:v/>
      </s:c>
      <s:c r="U44" s="275" t="str">
        <s:f>IF(W44&lt;&gt;"",IF($I$12&lt;&gt;"",IF(G44&lt;&gt;"",G44,($I$9/$I$12-SUM($U$25:U43))*V44*W44/SUMPRODUCT($W44:$W$55,$V44:$V$55)),""),"")</s:f>
        <s:v/>
      </s:c>
      <s:c r="V44" s="276"/>
      <s:c r="W44" s="276"/>
      <s:c r="X44" s="353"/>
      <s:c r="Y44" s="353"/>
      <s:c r="Z44" s="320"/>
    </s:row>
    <s:row r="45" spans="1:33" s="268" customFormat="1">
      <s:c r="A45" s="348"/>
      <s:c r="B45" s="280"/>
      <s:c r="C45" s="281"/>
      <s:c r="D45" s="350"/>
      <s:c r="E45" s="351"/>
      <s:c r="F45" s="270" t="str">
        <s:f>IF(AND(E45&lt;&gt;"",E45&lt;&gt;0),D45/E45,"")</s:f>
        <s:v/>
      </s:c>
      <s:c r="G45" s="351"/>
      <s:c r="H45" s="270" t="str">
        <s:f>IF(AND(G45&lt;&gt;"",G45&lt;&gt;0),D45/G45,"")</s:f>
        <s:v/>
      </s:c>
      <s:c r="I45" s="351"/>
      <s:c r="J45" s="271" t="str">
        <s:f>IF(AND(G45&lt;&gt;"",G45&lt;&gt;0),E45/G45,"")</s:f>
        <s:v/>
      </s:c>
      <s:c r="K45" s="270"/>
      <s:c r="L45" s="270"/>
      <s:c r="M45" s="270"/>
      <s:c r="N45" s="312" t="str">
        <s:f>IF(AND(I45&lt;&gt;"",I45&lt;&gt;0),G45/I45,"")</s:f>
        <s:v/>
      </s:c>
      <s:c r="O45" s="352" t="e">
        <s:f>D45/P45</s:f>
        <s:v>#DIV/0!</s:v>
      </s:c>
      <s:c r="P45" s="274">
        <s:f>$I$8*V45*W45/SUMPRODUCT($W$25:$W$44, $V$25:$V$44)</s:f>
        <s:v>0</s:v>
      </s:c>
      <s:c r="Q45" s="275">
        <s:f>$I$9*V45*W45/SUMPRODUCT($W$25:$W$44, $V$25:$V$44)</s:f>
        <s:v>0</s:v>
      </s:c>
      <s:c r="R45" s="275">
        <s:f>IF($I$12="", "", Q45/$I$12)</s:f>
        <s:v>0</s:v>
      </s:c>
      <s:c r="S45" s="274" t="str">
        <s:f>IF(W45&lt;&gt;"",IF(D45&lt;&gt;"",D45,($I$8-SUM($S$25:S44))*V45*W45/SUMPRODUCT($W45:$W$55,$V45:$V$55)),"")</s:f>
        <s:v/>
      </s:c>
      <s:c r="T45" s="275" t="str">
        <s:f>IF(W45&lt;&gt;"",IF(E45&lt;&gt;"",E45,($I$9-SUM($T$25:T44))*V45*W45/SUMPRODUCT($W45:$W$55,$V45:$V$55)),"")</s:f>
        <s:v/>
      </s:c>
      <s:c r="U45" s="275" t="str">
        <s:f>IF(W45&lt;&gt;"",IF($I$12&lt;&gt;"",IF(G45&lt;&gt;"",G45,($I$9/$I$12-SUM($U$25:U44))*V45*W45/SUMPRODUCT($W45:$W$55,$V45:$V$55)),""),"")</s:f>
        <s:v/>
      </s:c>
      <s:c r="V45" s="276"/>
      <s:c r="W45" s="276"/>
      <s:c r="X45" s="353"/>
      <s:c r="Y45" s="353"/>
      <s:c r="Z45" s="320"/>
    </s:row>
    <s:row r="46" spans="1:33" customFormat="1">
      <s:c r="A46" s="355"/>
      <s:c r="B46" s="96"/>
      <s:c r="C46" s="97"/>
      <s:c r="D46" s="356"/>
      <s:c r="E46" s="357"/>
      <s:c r="F46" s="99" t="str">
        <s:f>IF(AND(E46&lt;&gt;"",E46&lt;&gt;0),D46/E46,"")</s:f>
        <s:v/>
      </s:c>
      <s:c r="G46" s="357"/>
      <s:c r="H46" s="99" t="str">
        <s:f>IF(AND(G46&lt;&gt;"",G46&lt;&gt;0),D46/G46,"")</s:f>
        <s:v/>
      </s:c>
      <s:c r="I46" s="99"/>
      <s:c r="J46" s="98" t="str">
        <s:f>IF(AND(G46&lt;&gt;"",G46&lt;&gt;0),E46/G46,"")</s:f>
        <s:v/>
      </s:c>
      <s:c r="K46" s="99"/>
      <s:c r="L46" s="99"/>
      <s:c r="M46" s="99"/>
      <s:c r="N46" s="314" t="str">
        <s:f>IF(AND(I46&lt;&gt;"",I46&lt;&gt;0),G46/I46,"")</s:f>
        <s:v/>
      </s:c>
      <s:c r="O46" s="358" t="e">
        <s:f>D46/P46</s:f>
        <s:v>#DIV/0!</s:v>
      </s:c>
      <s:c r="P46" s="102">
        <s:f>$I$8*V46*W46/SUMPRODUCT($W$25:$W$44, $V$25:$V$44)</s:f>
        <s:v>0</s:v>
      </s:c>
      <s:c r="Q46" s="103">
        <s:f>$I$9*V46*W46/SUMPRODUCT($W$25:$W$44, $V$25:$V$44)</s:f>
        <s:v>0</s:v>
      </s:c>
      <s:c r="R46" s="103">
        <s:f>IF($I$12="", "", Q46/$I$12)</s:f>
        <s:v>0</s:v>
      </s:c>
      <s:c r="S46" s="102" t="str">
        <s:f>IF(W46&lt;&gt;"",IF(D46&lt;&gt;"",D46,($I$8-SUM($S$25:S45))*V46*W46/SUMPRODUCT($W46:$W$55,$V46:$V$55)),"")</s:f>
        <s:v/>
      </s:c>
      <s:c r="T46" s="103" t="str">
        <s:f>IF(W46&lt;&gt;"",IF(E46&lt;&gt;"",E46,($I$9-SUM($T$25:T45))*V46*W46/SUMPRODUCT($W46:$W$55,$V46:$V$55)),"")</s:f>
        <s:v/>
      </s:c>
      <s:c r="U46" s="103" t="str">
        <s:f>IF(W46&lt;&gt;"",IF($I$12&lt;&gt;"",IF(G46&lt;&gt;"",G46,($I$9/$I$12-SUM($U$25:U45))*V46*W46/SUMPRODUCT($W46:$W$55,$V46:$V$55)),""),"")</s:f>
        <s:v/>
      </s:c>
      <s:c r="V46" s="315"/>
      <s:c r="W46" s="315"/>
      <s:c r="X46" s="359"/>
      <s:c r="Y46" s="360"/>
    </s:row>
    <s:row r="47" spans="1:33" customFormat="1" ht="15.25" customHeight="1">
      <s:c r="A47" s="95"/>
      <s:c r="B47" s="96"/>
      <s:c r="C47" s="361"/>
      <s:c r="D47" s="98"/>
      <s:c r="E47" s="99"/>
      <s:c r="F47" s="99" t="str">
        <s:f>IF(AND(E47&lt;&gt;"",E47&lt;&gt;0),D47/E47,"")</s:f>
        <s:v/>
      </s:c>
      <s:c r="G47" s="99"/>
      <s:c r="H47" s="99" t="str">
        <s:f>IF(AND(G47&lt;&gt;"",G47&lt;&gt;0),D47/G47,"")</s:f>
        <s:v/>
      </s:c>
      <s:c r="I47" s="99"/>
      <s:c r="J47" s="98" t="str">
        <s:f>IF(AND(G47&lt;&gt;"",G47&lt;&gt;0),E47/G47,"")</s:f>
        <s:v/>
      </s:c>
      <s:c r="K47" s="99"/>
      <s:c r="L47" s="99"/>
      <s:c r="M47" s="99"/>
      <s:c r="N47" s="100" t="str">
        <s:f>IF(AND(I47&lt;&gt;"",I47&lt;&gt;0),G47/I47,"")</s:f>
        <s:v/>
      </s:c>
      <s:c r="O47" s="101" t="e">
        <s:f>D47/P47</s:f>
        <s:v>#DIV/0!</s:v>
      </s:c>
      <s:c r="P47" s="102">
        <s:f>$I$8*V47*W47/SUMPRODUCT($W$25:$W$55,$V$25:$V$55)</s:f>
        <s:v>0</s:v>
      </s:c>
      <s:c r="Q47" s="103">
        <s:f>$I$9*V47*W47/SUMPRODUCT($W$25:$W$55,$V$25:$V$55)</s:f>
        <s:v>0</s:v>
      </s:c>
      <s:c r="R47" s="103">
        <s:f>IF($I$12="","",Q47/$I$12)</s:f>
        <s:v>0</s:v>
      </s:c>
      <s:c r="S47" s="102" t="str">
        <s:f>IF(W47&lt;&gt;"",IF(D47&lt;&gt;"",D47,($I$8-SUM($S$25:S46))*V47*W47/SUMPRODUCT($W47:$W$55,$V47:$V$55)),"")</s:f>
        <s:v/>
      </s:c>
      <s:c r="T47" s="103" t="str">
        <s:f>IF(W47&lt;&gt;"",IF(E47&lt;&gt;"",E47,($I$9-SUM($T$25:T46))*V47*W47/SUMPRODUCT($W47:$W$55,$V47:$V$55)),"")</s:f>
        <s:v/>
      </s:c>
      <s:c r="U47" s="103" t="str">
        <s:f>IF(W47&lt;&gt;"",IF($I$12&lt;&gt;"",IF(G47&lt;&gt;"",G47,($I$9/$I$12-SUM($U$25:U46))*V47*W47/SUMPRODUCT($W47:$W$55,$V47:$V$55)),""),"")</s:f>
        <s:v/>
      </s:c>
      <s:c r="V47" s="315"/>
      <s:c r="W47" s="315"/>
      <s:c r="X47" s="106"/>
      <s:c r="Y47" s="106"/>
      <s:c r="Z47" s="2"/>
      <s:c r="AA47" s="2"/>
      <s:c r="AB47" s="2"/>
      <s:c r="AC47" s="2"/>
      <s:c r="AD47" s="2"/>
      <s:c r="AE47" s="2"/>
      <s:c r="AF47" s="2"/>
      <s:c r="AG47" s="2"/>
    </s:row>
    <s:row r="48" spans="1:33" ht="15" customHeight="1">
      <s:c r="B48" s="714" t="s">
        <s:v>58</s:v>
      </s:c>
      <s:c r="C48" s="714"/>
      <s:c r="D48" s="362">
        <s:f>SUM(D25:D47)</s:f>
        <s:v>103441.60000000001</s:v>
      </s:c>
      <s:c r="E48" s="362">
        <s:f>SUM(E25:E47)</s:f>
        <s:v>14</s:v>
      </s:c>
      <s:c r="F48" s="362">
        <s:f>IF(AND(E48&lt;&gt;"",E48&lt;&gt;0),D48/E48,"")</s:f>
        <s:v>7388.6857142857143</s:v>
      </s:c>
      <s:c r="G48" s="362">
        <s:f>SUM(G25:G47)</s:f>
        <s:v>8</s:v>
      </s:c>
      <s:c r="H48" s="362">
        <s:f>IF(AND(G48&lt;&gt;"",G48&lt;&gt;0),D48/G48,"")</s:f>
        <s:v>12930.2</s:v>
      </s:c>
      <s:c r="I48" s="362">
        <s:f>SUM(I25:I47)</s:f>
        <s:v>30</s:v>
      </s:c>
      <s:c r="J48" s="363">
        <s:f>IF(AND(G48&lt;&gt;"",G48&lt;&gt;0),E48/G48,"")</s:f>
        <s:v>1.75</s:v>
      </s:c>
      <s:c r="K48" s="362">
        <s:f>SUM(K25:K47)</s:f>
        <s:v>47425</s:v>
      </s:c>
      <s:c r="L48" s="362">
        <s:f>SUM(L25:L47)</s:f>
        <s:v>18900</s:v>
      </s:c>
      <s:c r="M48" s="362">
        <s:f>SUM(M25:M47)</s:f>
        <s:v>0</s:v>
      </s:c>
      <s:c r="N48" s="364">
        <s:f>IF(AND(I48&lt;&gt;"",I48&lt;&gt;0),G48/I48,"")</s:f>
        <s:v>0.26666666666666666</s:v>
      </s:c>
      <s:c r="O48" s="365">
        <s:f>D48/P48</s:f>
        <s:v>1.6786575102023555</s:v>
      </s:c>
      <s:c r="P48" s="366">
        <s:f>SUM(P25:P47)</s:f>
        <s:v>61621.622857142866</s:v>
      </s:c>
      <s:c r="Q48" s="366">
        <s:f>SUM(Q25:Q47)</s:f>
        <s:v>12.423714285714288</s:v>
      </s:c>
      <s:c r="R48" s="366">
        <s:f>SUM(R25:R47)</s:f>
        <s:v>7.0190476190476208</s:v>
      </s:c>
      <s:c r="S48" s="366">
        <s:f>SUM(S25:S47)</s:f>
        <s:v>48235.6</s:v>
      </s:c>
      <s:c r="T48" s="366">
        <s:f>SUM(T25:T47)</s:f>
        <s:v>11</s:v>
      </s:c>
      <s:c r="U48" s="366">
        <s:f>SUM(U25:U47)</s:f>
        <s:v>6</s:v>
      </s:c>
      <s:c r="V48" s="367"/>
      <s:c r="W48" s="367"/>
    </s:row>
    <s:row r="49">
      <s:c r="B49" s="135"/>
      <s:c r="C49" s="136"/>
      <s:c r="D49" s="137">
        <s:f>SUMIF(D25:D47,"",P25:P47)+D48</s:f>
        <s:v>103441.60000000001</s:v>
      </s:c>
      <s:c r="E49" s="368"/>
      <s:c r="F49" s="136"/>
      <s:c r="G49" s="136"/>
      <s:c r="H49" s="139"/>
      <s:c r="I49" s="266"/>
      <s:c r="J49" s="139"/>
      <s:c r="L49" s="141"/>
      <s:c r="M49" s="368"/>
      <s:c r="N49" s="141"/>
      <s:c r="O49" s="141"/>
      <s:c r="P49" s="141"/>
      <s:c r="Q49" s="369"/>
    </s:row>
    <s:row r="50">
      <s:c r="D50" s="251"/>
    </s:row>
    <s:row r="52">
      <s:c r="D52" s="251"/>
    </s:row>
    <s:row r="53">
      <s:c r="D53" s="251"/>
    </s:row>
  </s:sheetData>
  <s:mergeCells count="28">
    <s:mergeCell ref="P22:W22"/>
    <s:mergeCell ref="B48:C48"/>
    <s:mergeCell ref="F18:H18"/>
    <s:mergeCell ref="F19:H19"/>
    <s:mergeCell ref="F20:H20"/>
    <s:mergeCell ref="B22:N22"/>
    <s:mergeCell ref="O22:O24"/>
    <s:mergeCell ref="F14:H14"/>
    <s:mergeCell ref="F15:H15"/>
    <s:mergeCell ref="F16:H16"/>
    <s:mergeCell ref="S16:T17"/>
    <s:mergeCell ref="F17:H17"/>
    <s:mergeCell ref="F10:H10"/>
    <s:mergeCell ref="S10:T11"/>
    <s:mergeCell ref="F11:H11"/>
    <s:mergeCell ref="F12:H12"/>
    <s:mergeCell ref="F13:H13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49" priority="274" operator="lessThan">
      <s:formula>0</s:formula>
    </s:cfRule>
    <s:cfRule type="cellIs" dxfId="48" priority="275" operator="greaterThan">
      <s:formula>0</s:formula>
    </s:cfRule>
  </s:conditionalFormatting>
  <s:conditionalFormatting sqref="J25">
    <s:cfRule type="cellIs" dxfId="47" priority="10" operator="lessThan">
      <s:formula>$I$12</s:formula>
    </s:cfRule>
    <s:cfRule type="cellIs" dxfId="46" priority="11" operator="greaterThan">
      <s:formula>$I$12</s:formula>
    </s:cfRule>
  </s:conditionalFormatting>
  <s:conditionalFormatting sqref="J25:J28">
    <s:cfRule type="cellIs" dxfId="45" priority="12" operator="lessThan">
      <s:formula>$I$12</s:formula>
    </s:cfRule>
  </s:conditionalFormatting>
  <s:conditionalFormatting sqref="J26:J28">
    <s:cfRule type="cellIs" dxfId="44" priority="23" operator="greaterThan">
      <s:formula>$I$12</s:formula>
    </s:cfRule>
  </s:conditionalFormatting>
  <s:conditionalFormatting sqref="J29:J33">
    <s:cfRule type="cellIs" dxfId="43" priority="105" operator="greaterThan">
      <s:formula>$I$12</s:formula>
    </s:cfRule>
  </s:conditionalFormatting>
  <s:conditionalFormatting sqref="J29:J34">
    <s:cfRule type="cellIs" dxfId="42" priority="90" operator="lessThan">
      <s:formula>$I$12</s:formula>
    </s:cfRule>
  </s:conditionalFormatting>
  <s:conditionalFormatting sqref="J30">
    <s:cfRule type="cellIs" dxfId="41" priority="279" operator="lessThan">
      <s:formula>$I$12</s:formula>
    </s:cfRule>
  </s:conditionalFormatting>
  <s:conditionalFormatting sqref="J34:J47">
    <s:cfRule type="cellIs" dxfId="40" priority="89" operator="greaterThan">
      <s:formula>$I$12</s:formula>
    </s:cfRule>
    <s:cfRule type="cellIs" dxfId="39" priority="88" operator="lessThan">
      <s:formula>$I$12</s:formula>
    </s:cfRule>
  </s:conditionalFormatting>
  <s:conditionalFormatting sqref="K10:K12 K15">
    <s:cfRule type="cellIs" dxfId="38" priority="273" operator="greaterThan">
      <s:formula>1</s:formula>
    </s:cfRule>
    <s:cfRule type="cellIs" dxfId="37" priority="272" operator="lessThan">
      <s:formula>1</s:formula>
    </s:cfRule>
  </s:conditionalFormatting>
  <s:conditionalFormatting sqref="M8:M15">
    <s:cfRule type="cellIs" dxfId="36" priority="277" operator="lessThan">
      <s:formula>1</s:formula>
    </s:cfRule>
    <s:cfRule type="cellIs" dxfId="35" priority="271" operator="greaterThan">
      <s:formula>1</s:formula>
    </s:cfRule>
  </s:conditionalFormatting>
  <s:conditionalFormatting sqref="N25:N28">
    <s:cfRule type="cellIs" dxfId="34" priority="8" operator="greaterThanOrEqual">
      <s:formula>0.25</s:formula>
    </s:cfRule>
    <s:cfRule type="cellIs" dxfId="33" priority="7" operator="between">
      <s:formula>0.2</s:formula>
      <s:formula>0.25</s:formula>
    </s:cfRule>
  </s:conditionalFormatting>
  <s:conditionalFormatting sqref="N25:N47">
    <s:cfRule type="cellIs" dxfId="32" priority="9" operator="lessThan">
      <s:formula>0.2</s:formula>
    </s:cfRule>
  </s:conditionalFormatting>
  <s:conditionalFormatting sqref="N29:N33">
    <s:cfRule type="cellIs" dxfId="31" priority="102" operator="greaterThanOrEqual">
      <s:formula>0.25</s:formula>
    </s:cfRule>
  </s:conditionalFormatting>
  <s:conditionalFormatting sqref="N29:N34">
    <s:cfRule type="cellIs" dxfId="30" priority="91" operator="between">
      <s:formula>0.2</s:formula>
      <s:formula>0.25</s:formula>
    </s:cfRule>
  </s:conditionalFormatting>
  <s:conditionalFormatting sqref="N30">
    <s:cfRule type="cellIs" dxfId="29" priority="282" operator="between">
      <s:formula>0.2</s:formula>
      <s:formula>0.25</s:formula>
    </s:cfRule>
  </s:conditionalFormatting>
  <s:conditionalFormatting sqref="N34:N47">
    <s:cfRule type="cellIs" dxfId="28" priority="85" operator="between">
      <s:formula>0.2</s:formula>
      <s:formula>0.25</s:formula>
    </s:cfRule>
    <s:cfRule type="cellIs" dxfId="27" priority="86" operator="greaterThanOrEqual">
      <s:formula>0.25</s:formula>
    </s:cfRule>
  </s:conditionalFormatting>
  <s:conditionalFormatting sqref="O25:O28">
    <s:cfRule type="cellIs" dxfId="26" priority="6" operator="between">
      <s:formula>0.01</s:formula>
      <s:formula>0.99</s:formula>
    </s:cfRule>
    <s:cfRule type="cellIs" dxfId="25" priority="5" operator="between">
      <s:formula>0.85</s:formula>
      <s:formula>1</s:formula>
    </s:cfRule>
    <s:cfRule type="cellIs" dxfId="24" priority="1" operator="between">
      <s:formula>0.9001</s:formula>
      <s:formula>0.9999</s:formula>
    </s:cfRule>
    <s:cfRule type="cellIs" dxfId="23" priority="2" operator="lessThan">
      <s:formula>0.9</s:formula>
    </s:cfRule>
  </s:conditionalFormatting>
  <s:conditionalFormatting sqref="O25:O47">
    <s:cfRule type="cellIs" dxfId="22" priority="4" operator="greaterThan">
      <s:formula>100</s:formula>
    </s:cfRule>
    <s:cfRule type="cellIs" dxfId="21" priority="3" operator="greaterThan">
      <s:formula>1</s:formula>
    </s:cfRule>
  </s:conditionalFormatting>
  <s:conditionalFormatting sqref="O29:O33">
    <s:cfRule type="cellIs" dxfId="20" priority="99" operator="between">
      <s:formula>0.85</s:formula>
      <s:formula>1</s:formula>
    </s:cfRule>
    <s:cfRule type="cellIs" dxfId="19" priority="100" operator="between">
      <s:formula>0.01</s:formula>
      <s:formula>0.99</s:formula>
    </s:cfRule>
  </s:conditionalFormatting>
  <s:conditionalFormatting sqref="O29:O34">
    <s:cfRule type="cellIs" dxfId="18" priority="94" operator="between">
      <s:formula>0.9001</s:formula>
      <s:formula>0.9999</s:formula>
    </s:cfRule>
    <s:cfRule type="cellIs" dxfId="17" priority="93" operator="lessThan">
      <s:formula>0.9</s:formula>
    </s:cfRule>
  </s:conditionalFormatting>
  <s:conditionalFormatting sqref="O30">
    <s:cfRule type="cellIs" dxfId="16" priority="284" operator="between">
      <s:formula>0.85</s:formula>
      <s:formula>1</s:formula>
    </s:cfRule>
    <s:cfRule type="cellIs" dxfId="15" priority="287" operator="lessThan">
      <s:formula>0.9</s:formula>
    </s:cfRule>
    <s:cfRule type="cellIs" dxfId="14" priority="288" operator="between">
      <s:formula>0.9001</s:formula>
      <s:formula>0.9999</s:formula>
    </s:cfRule>
  </s:conditionalFormatting>
  <s:conditionalFormatting sqref="O34">
    <s:cfRule type="cellIs" dxfId="13" priority="92" operator="between">
      <s:formula>0.85</s:formula>
      <s:formula>1</s:formula>
    </s:cfRule>
  </s:conditionalFormatting>
  <s:conditionalFormatting sqref="O34:O37">
    <s:cfRule type="cellIs" dxfId="12" priority="84" operator="between">
      <s:formula>0.01</s:formula>
      <s:formula>0.99</s:formula>
    </s:cfRule>
    <s:cfRule type="cellIs" dxfId="11" priority="80" operator="lessThan">
      <s:formula>0.9</s:formula>
    </s:cfRule>
    <s:cfRule type="cellIs" dxfId="10" priority="79" operator="between">
      <s:formula>0.9001</s:formula>
      <s:formula>0.9999</s:formula>
    </s:cfRule>
  </s:conditionalFormatting>
  <s:conditionalFormatting sqref="O35:O37">
    <s:cfRule type="cellIs" dxfId="9" priority="83" operator="between">
      <s:formula>0.85</s:formula>
      <s:formula>1</s:formula>
    </s:cfRule>
  </s:conditionalFormatting>
  <s:conditionalFormatting sqref="O38:O45">
    <s:cfRule type="cellIs" dxfId="8" priority="132" operator="between">
      <s:formula>0.85</s:formula>
      <s:formula>1</s:formula>
    </s:cfRule>
    <s:cfRule type="cellIs" dxfId="7" priority="133" operator="between">
      <s:formula>0.01</s:formula>
      <s:formula>0.99</s:formula>
    </s:cfRule>
  </s:conditionalFormatting>
  <s:conditionalFormatting sqref="O38:O46">
    <s:cfRule type="cellIs" dxfId="6" priority="128" operator="between">
      <s:formula>0.9001</s:formula>
      <s:formula>0.9999</s:formula>
    </s:cfRule>
    <s:cfRule type="cellIs" dxfId="5" priority="129" operator="lessThan">
      <s:formula>0.9</s:formula>
    </s:cfRule>
  </s:conditionalFormatting>
  <s:conditionalFormatting sqref="O46:O47">
    <s:cfRule type="cellIs" dxfId="4" priority="121" operator="between">
      <s:formula>0.85</s:formula>
      <s:formula>1</s:formula>
    </s:cfRule>
    <s:cfRule type="cellIs" dxfId="3" priority="122" operator="between">
      <s:formula>0.01</s:formula>
      <s:formula>0.99</s:formula>
    </s:cfRule>
  </s:conditionalFormatting>
  <s:conditionalFormatting sqref="O47">
    <s:cfRule type="cellIs" dxfId="2" priority="118" operator="lessThan">
      <s:formula>0.9</s:formula>
    </s:cfRule>
    <s:cfRule type="cellIs" dxfId="1" priority="117" operator="between">
      <s:formula>0.9001</s:formula>
      <s:formula>0.9999</s:formula>
    </s:cfRule>
  </s:conditionalFormatting>
  <s:conditionalFormatting sqref="P10:Q10">
    <s:cfRule type="cellIs" dxfId="0" priority="276" operator="lessThan">
      <s:formula>0</s:formula>
    </s:cfRule>
  </s:conditionalFormatting>
  <s:dataValidations count="3">
    <s:dataValidation xr:uid="{00D800EC-00EF-4101-BDE8-000A00330064}" type="date" allowBlank="1" showErrorMessage="1" sqref="B35:B45" vyd:viewType="arrow" mc:Ignorable="vyd">
      <s:formula1>40544</s:formula1>
      <s:formula2>73051</s:formula2>
    </s:dataValidation>
    <s:dataValidation xr:uid="{00E400A5-0029-44FA-9D03-003D00660058}" type="decimal" allowBlank="1" showErrorMessage="1" sqref="I14 O10:O11 I8:J13" vyd:viewType="arrow" mc:Ignorable="vyd">
      <s:formula1>0</s:formula1>
      <s:formula2>1000000000000000</s:formula2>
    </s:dataValidation>
    <s:dataValidation xr:uid="{00C100E0-0097-4044-A59D-0049003A0010}" type="decimal" allowBlank="1" showErrorMessage="1" sqref="I41" vyd:viewType="arrow" mc:Ignorable="vyd">
      <s:formula1>0</s:formula1>
      <s:formula2>10000000000000000</s:formula2>
    </s:dataValidation>
  </s:dataValidations>
  <s:pageMargins left="0.7" right="0.7" top="0.75" bottom="0.75" header="0.3" footer="0.3"/>
  <s:pageSetup paperSize="9" orientation="portrait"/>
</s:worksheet>
</file>

<file path=xl/worksheets/sheet9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800-000000000000}">
  <s:dimension ref="A1:O25"/>
  <s:sheetViews>
    <s:sheetView tabSelected="0" zoomScale="93" workbookViewId="0">
      <s:selection activeCell="P17" sqref="P17"/>
    </s:sheetView>
  </s:sheetViews>
  <s:sheetFormatPr baseColWidth="10" defaultColWidth="11.5" defaultRowHeight="15"/>
  <s:cols>
    <s:col min="1" max="1" width="2.5" style="3" customWidth="1"/>
    <s:col min="2" max="2" width="12.332" style="3" customWidth="1"/>
    <s:col min="3" max="3" width="18.164" style="3" customWidth="1"/>
    <s:col min="4" max="4" width="12.332" style="3" bestFit="1" customWidth="1"/>
    <s:col min="5" max="5" width="11.664" style="3" customWidth="1"/>
    <s:col min="6" max="6" width="13.664" style="3" customWidth="1"/>
    <s:col min="7" max="7" width="14" style="3" customWidth="1"/>
    <s:col min="8" max="8" width="10.664" style="3" bestFit="1" customWidth="1"/>
    <s:col min="9" max="9" width="13.664" style="3" customWidth="1"/>
    <s:col min="10" max="10" width="17.664" style="3" customWidth="1"/>
    <s:col min="11" max="11" width="12.332" style="3" customWidth="1"/>
    <s:col min="12" max="12" width="12.832" style="3" customWidth="1"/>
    <s:col min="13" max="13" width="15.5" style="3" customWidth="1"/>
    <s:col min="14" max="14" width="13.832" style="3" customWidth="1"/>
  </s:cols>
  <s:sheetData>
    <s:row r="1" spans="1:15" ht="15" customHeight="1">
      <s:c r="A1" s="715" t="str">
        <s:f>График!B1</s:f>
        <s:v>Апрель, 2025</s:v>
      </s:c>
      <s:c r="B1" s="716"/>
      <s:c r="C1" s="716"/>
      <s:c r="D1" s="717"/>
      <s:c r="E1" s="370"/>
      <s:c r="F1" s="371"/>
      <s:c r="G1" s="371"/>
      <s:c r="H1" s="371"/>
      <s:c r="I1" s="371"/>
      <s:c r="J1" s="371"/>
      <s:c r="K1" s="371"/>
      <s:c r="L1" s="371"/>
      <s:c r="M1" s="371"/>
      <s:c r="N1" s="372"/>
    </s:row>
    <s:row r="2" spans="1:15" ht="15" customHeight="1">
      <s:c r="A2" s="718" t="str">
        <s:f>График!B3</s:f>
        <s:v>ул. Набережная Ленина, 18</s:v>
      </s:c>
      <s:c r="B2" s="719"/>
      <s:c r="C2" s="719"/>
      <s:c r="D2" s="373" t="str">
        <s:f>График!B4</s:f>
        <s:v>GL-0005</s:v>
      </s:c>
      <s:c r="E2" s="374"/>
      <s:c r="F2" s="375"/>
      <s:c r="G2" s="375"/>
      <s:c r="H2" s="375"/>
      <s:c r="I2" s="375"/>
      <s:c r="J2" s="375"/>
      <s:c r="K2" s="375"/>
      <s:c r="L2" s="375"/>
      <s:c r="M2" s="375"/>
      <s:c r="N2" s="376"/>
    </s:row>
    <s:row r="3" spans="1:15" ht="75">
      <s:c r="A3" s="720" t="s">
        <s:v>28</s:v>
      </s:c>
      <s:c r="B3" s="721"/>
      <s:c r="C3" s="721"/>
      <s:c r="D3" s="377" t="s">
        <s:v>72</s:v>
      </s:c>
      <s:c r="E3" s="377" t="s">
        <s:v>73</s:v>
      </s:c>
      <s:c r="F3" s="378" t="s">
        <s:v>74</s:v>
      </s:c>
      <s:c r="G3" s="379" t="s">
        <s:v>75</s:v>
      </s:c>
      <s:c r="H3" s="380" t="s">
        <s:v>76</s:v>
      </s:c>
      <s:c r="I3" s="381" t="s">
        <s:v>77</s:v>
      </s:c>
      <s:c r="J3" s="382" t="s">
        <s:v>78</s:v>
      </s:c>
      <s:c r="K3" s="383" t="s">
        <s:v>79</s:v>
      </s:c>
      <s:c r="L3" s="384" t="s">
        <s:v>80</s:v>
      </s:c>
      <s:c r="M3" s="385" t="s">
        <s:v>81</s:v>
      </s:c>
      <s:c r="N3" s="386" t="s">
        <s:v>82</s:v>
      </s:c>
    </s:row>
    <s:row r="4" spans="1:15" ht="16" customHeight="1">
      <s:c r="A4" s="722" t="str">
        <s:f>График!B29</s:f>
        <s:v>Рогалевич Ирина</s:v>
      </s:c>
      <s:c r="B4" s="723"/>
      <s:c r="C4" s="723"/>
      <s:c r="D4" s="387">
        <s:f>15000-C8</s:f>
        <s:v>13050</s:v>
      </s:c>
      <s:c r="E4" s="388"/>
      <s:c r="F4" s="389">
        <s:f>H8+H9+G16+G24+L24</s:f>
        <s:v>650.5</s:v>
      </s:c>
      <s:c r="G4" s="390">
        <s:f>D11</s:f>
        <s:v>46800</s:v>
      </s:c>
      <s:c r="H4" s="391">
        <s:f>D18</s:f>
        <s:v>83801.8</s:v>
      </s:c>
      <s:c r="I4" s="392">
        <s:f>L18</s:f>
        <s:v>28309.054526315795</s:v>
      </s:c>
      <s:c r="J4" s="393">
        <s:f>L11</s:f>
        <s:v>0</s:v>
      </s:c>
      <s:c r="K4" s="394">
        <s:f>H4+J4+G4+F4+I4</s:f>
        <s:v>159561.35452631579</s:v>
      </s:c>
      <s:c r="L4" s="395">
        <s:f>C8+C9</s:f>
        <s:v>1950</s:v>
      </s:c>
      <s:c r="M4" s="396">
        <s:f>K4-L4-D4-E4</s:f>
        <s:v>144561.35452631579</s:v>
      </s:c>
      <s:c r="N4" s="397"/>
    </s:row>
    <s:row r="5" spans="1:15">
      <s:c r="A5" s="398"/>
      <s:c r="B5" s="399"/>
      <s:c r="C5" s="400"/>
      <s:c r="D5" s="400"/>
      <s:c r="E5" s="400"/>
      <s:c r="F5" s="400"/>
      <s:c r="G5" s="400"/>
      <s:c r="H5" s="400"/>
      <s:c r="I5" s="400"/>
      <s:c r="J5" s="400"/>
      <s:c r="K5" s="401"/>
      <s:c r="L5" s="400"/>
      <s:c r="M5" s="402"/>
      <s:c r="N5" s="403"/>
    </s:row>
    <s:row r="6" spans="1:15">
      <s:c r="A6" s="398"/>
      <s:c r="B6" s="399" t="s">
        <s:v>80</s:v>
      </s:c>
      <s:c r="C6" s="400"/>
      <s:c r="D6" s="400"/>
      <s:c r="E6" s="400"/>
      <s:c r="F6" s="400"/>
      <s:c r="G6" s="399" t="s">
        <s:v>83</s:v>
      </s:c>
      <s:c r="H6" s="400"/>
      <s:c r="I6" s="400"/>
      <s:c r="J6" s="400"/>
      <s:c r="K6" s="400"/>
      <s:c r="L6" s="400"/>
      <s:c r="M6" s="402"/>
      <s:c r="N6" s="403"/>
    </s:row>
    <s:row r="7" spans="1:15">
      <s:c r="A7" s="404"/>
      <s:c r="B7" s="405" t="s">
        <s:v>29</s:v>
      </s:c>
      <s:c r="C7" s="405" t="s">
        <s:v>84</s:v>
      </s:c>
      <s:c r="D7" s="724" t="s">
        <s:v>85</s:v>
      </s:c>
      <s:c r="E7" s="724"/>
      <s:c r="F7" s="406"/>
      <s:c r="G7" s="405" t="s">
        <s:v>29</s:v>
      </s:c>
      <s:c r="H7" s="725" t="s">
        <s:v>84</s:v>
      </s:c>
      <s:c r="I7" s="726"/>
      <s:c r="J7" s="724" t="s">
        <s:v>85</s:v>
      </s:c>
      <s:c r="K7" s="724"/>
      <s:c r="L7" s="406"/>
      <s:c r="M7" s="407"/>
      <s:c r="N7" s="408"/>
    </s:row>
    <s:row r="8" spans="1:15" ht="26" customHeight="1">
      <s:c r="A8" s="398"/>
      <s:c r="B8" s="409">
        <s:v>45747</s:v>
      </s:c>
      <s:c r="C8" s="410">
        <s:f>15000*0.13</s:f>
        <s:v>1950</s:v>
      </s:c>
      <s:c r="D8" s="727" t="s">
        <s:v>86</s:v>
      </s:c>
      <s:c r="E8" s="727"/>
      <s:c r="F8" s="400"/>
      <s:c r="G8" s="409"/>
      <s:c r="H8" s="728"/>
      <s:c r="I8" s="729"/>
      <s:c r="J8" s="727"/>
      <s:c r="K8" s="727"/>
      <s:c r="L8" s="400"/>
      <s:c r="M8" s="402"/>
      <s:c r="N8" s="403"/>
    </s:row>
    <s:row r="9" spans="1:15">
      <s:c r="A9" s="398"/>
      <s:c r="B9" s="409"/>
      <s:c r="C9" s="410"/>
      <s:c r="D9" s="727"/>
      <s:c r="E9" s="727"/>
      <s:c r="F9" s="400"/>
      <s:c r="G9" s="409"/>
      <s:c r="H9" s="728"/>
      <s:c r="I9" s="729"/>
      <s:c r="J9" s="727"/>
      <s:c r="K9" s="727"/>
      <s:c r="L9" s="400"/>
      <s:c r="M9" s="402"/>
      <s:c r="N9" s="403"/>
    </s:row>
    <s:row r="10" spans="1:15">
      <s:c r="A10" s="398"/>
      <s:c r="B10" s="399"/>
      <s:c r="C10" s="400"/>
      <s:c r="D10" s="400"/>
      <s:c r="E10" s="400"/>
      <s:c r="F10" s="400"/>
      <s:c r="G10" s="400"/>
      <s:c r="H10" s="400"/>
      <s:c r="I10" s="400"/>
      <s:c r="J10" s="400"/>
      <s:c r="K10" s="400"/>
      <s:c r="L10" s="400"/>
      <s:c r="M10" s="402"/>
      <s:c r="N10" s="403"/>
    </s:row>
    <s:row r="11" spans="1:15">
      <s:c r="A11" s="412" t="s">
        <s:v>87</s:v>
      </s:c>
      <s:c r="B11" s="413"/>
      <s:c r="C11" s="413"/>
      <s:c r="D11" s="414">
        <s:f>G15+G16</s:f>
        <s:v>46800</s:v>
      </s:c>
      <s:c r="E11" s="415"/>
      <s:c r="F11" s="416"/>
      <s:c r="G11" s="413"/>
      <s:c r="H11" s="413"/>
      <s:c r="I11" s="417" t="s">
        <s:v>78</s:v>
      </s:c>
      <s:c r="J11" s="413"/>
      <s:c r="K11" s="413"/>
      <s:c r="L11" s="418">
        <s:f>L15+L16</s:f>
        <s:v>0</s:v>
      </s:c>
      <s:c r="M11" s="416"/>
      <s:c r="N11" s="419"/>
    </s:row>
    <s:row r="12" spans="1:15">
      <s:c r="A12" s="398"/>
      <s:c r="B12" s="399"/>
      <s:c r="C12" s="400"/>
      <s:c r="D12" s="420"/>
      <s:c r="E12" s="420"/>
      <s:c r="F12" s="400"/>
      <s:c r="G12" s="400"/>
      <s:c r="H12" s="400"/>
      <s:c r="I12" s="400"/>
      <s:c r="J12" s="400"/>
      <s:c r="K12" s="402"/>
      <s:c r="L12" s="402"/>
      <s:c r="M12" s="402"/>
      <s:c r="N12" s="403"/>
    </s:row>
    <s:row r="13" spans="1:15">
      <s:c r="A13" s="421"/>
      <s:c r="B13" s="422" t="s">
        <s:v>87</s:v>
      </s:c>
      <s:c r="C13" s="420"/>
      <s:c r="D13" s="420"/>
      <s:c r="E13" s="420"/>
      <s:c r="F13" s="420"/>
      <s:c r="G13" s="420"/>
      <s:c r="H13" s="420"/>
      <s:c r="I13" s="420"/>
      <s:c r="J13" s="730" t="s">
        <s:v>78</s:v>
      </s:c>
      <s:c r="K13" s="730"/>
      <s:c r="L13" s="423"/>
      <s:c r="M13" s="424"/>
      <s:c r="N13" s="425"/>
    </s:row>
    <s:row r="14" spans="1:15" ht="24">
      <s:c r="A14" s="421"/>
      <s:c r="B14" s="426" t="s">
        <s:v>88</s:v>
      </s:c>
      <s:c r="C14" s="426" t="s">
        <s:v>89</s:v>
      </s:c>
      <s:c r="D14" s="427" t="s">
        <s:v>90</s:v>
      </s:c>
      <s:c r="E14" s="427" t="s">
        <s:v>91</s:v>
      </s:c>
      <s:c r="F14" s="427" t="s">
        <s:v>92</s:v>
      </s:c>
      <s:c r="G14" s="426" t="s">
        <s:v>93</s:v>
      </s:c>
      <s:c r="H14" s="420"/>
      <s:c r="I14" s="420"/>
      <s:c r="J14" s="426" t="s">
        <s:v>89</s:v>
      </s:c>
      <s:c r="K14" s="420" t="s">
        <s:v>94</s:v>
      </s:c>
      <s:c r="L14" s="731" t="s">
        <s:v>95</s:v>
      </s:c>
      <s:c r="M14" s="732"/>
      <s:c r="N14" s="425"/>
      <s:c r="O14" s="428"/>
    </s:row>
    <s:row r="15" spans="1:15">
      <s:c r="A15" s="398"/>
      <s:c r="B15" s="429">
        <s:f>График!AI29</s:f>
        <s:v>29</s:v>
      </s:c>
      <s:c r="C15" s="430" t="str">
        <s:f>A2</s:f>
        <s:v>ул. Набережная Ленина, 18</s:v>
      </s:c>
      <s:c r="D15" s="431" t="s">
        <s:v>96</s:v>
      </s:c>
      <s:c r="E15" s="432">
        <s:f>График!AJ29</s:f>
        <s:v>312</s:v>
      </s:c>
      <s:c r="F15" s="433">
        <s:v>150</s:v>
      </s:c>
      <s:c r="G15" s="434">
        <s:f validation_="true">E15*F15</s:f>
        <s:v>46800</s:v>
      </s:c>
      <s:c r="H15" s="435"/>
      <s:c r="I15" s="435"/>
      <s:c r="J15" s="430" t="str">
        <s:f>График!B3</s:f>
        <s:v>ул. Набережная Ленина, 18</s:v>
      </s:c>
      <s:c r="K15" s="436">
        <s:f>'Ялта, Ленина, 18'!K8</s:f>
        <s:v>0.79932463100769324</s:v>
      </s:c>
      <s:c r="L15" s="733"/>
      <s:c r="M15" s="734"/>
      <s:c r="N15" s="403"/>
    </s:row>
    <s:row r="16" spans="1:15">
      <s:c r="A16" s="421"/>
      <s:c r="B16" s="426"/>
      <s:c r="C16" s="437"/>
      <s:c r="D16" s="431" t="s">
        <s:v>96</s:v>
      </s:c>
      <s:c r="E16" s="438"/>
      <s:c r="F16" s="433"/>
      <s:c r="G16" s="434">
        <s:f validation_="true">E16*F16</s:f>
        <s:v>0</s:v>
      </s:c>
      <s:c r="H16" s="420"/>
      <s:c r="I16" s="420"/>
      <s:c r="J16" s="411"/>
      <s:c r="K16" s="439"/>
      <s:c r="L16" s="735"/>
      <s:c r="M16" s="736"/>
      <s:c r="N16" s="425"/>
    </s:row>
    <s:row r="17" spans="1:14">
      <s:c r="A17" s="421"/>
      <s:c r="B17" s="420"/>
      <s:c r="C17" s="440"/>
      <s:c r="D17" s="400"/>
      <s:c r="E17" s="441"/>
      <s:c r="F17" s="441"/>
      <s:c r="G17" s="442"/>
      <s:c r="H17" s="420"/>
      <s:c r="I17" s="420"/>
      <s:c r="J17" s="420"/>
      <s:c r="K17" s="420"/>
      <s:c r="L17" s="423"/>
      <s:c r="M17" s="423"/>
      <s:c r="N17" s="425"/>
    </s:row>
    <s:row r="18" spans="1:14">
      <s:c r="A18" s="412" t="s">
        <s:v>97</s:v>
      </s:c>
      <s:c r="B18" s="413"/>
      <s:c r="C18" s="413"/>
      <s:c r="D18" s="443">
        <s:f>G23+G24</s:f>
        <s:v>83801.8</s:v>
      </s:c>
      <s:c r="E18" s="444"/>
      <s:c r="F18" s="416"/>
      <s:c r="G18" s="416"/>
      <s:c r="H18" s="416"/>
      <s:c r="I18" s="413" t="s">
        <s:v>77</s:v>
      </s:c>
      <s:c r="J18" s="416"/>
      <s:c r="K18" s="416"/>
      <s:c r="L18" s="445">
        <s:f>N23+N24</s:f>
        <s:v>28309.054526315795</s:v>
      </s:c>
      <s:c r="M18" s="416"/>
      <s:c r="N18" s="419"/>
    </s:row>
    <s:row r="19" spans="1:14">
      <s:c r="A19" s="446"/>
      <s:c r="B19" s="399"/>
      <s:c r="C19" s="402"/>
      <s:c r="D19" s="402"/>
      <s:c r="E19" s="402"/>
      <s:c r="F19" s="402"/>
      <s:c r="G19" s="402"/>
      <s:c r="H19" s="402"/>
      <s:c r="I19" s="402"/>
      <s:c r="J19" s="402"/>
      <s:c r="K19" s="447"/>
      <s:c r="L19" s="136"/>
      <s:c r="M19" s="136"/>
      <s:c r="N19" s="448"/>
    </s:row>
    <s:row r="20" spans="1:14">
      <s:c r="A20" s="446"/>
      <s:c r="B20" s="400"/>
      <s:c r="C20" s="399"/>
      <s:c r="D20" s="402"/>
      <s:c r="E20" s="402"/>
      <s:c r="F20" s="402"/>
      <s:c r="G20" s="402"/>
      <s:c r="H20" s="402"/>
      <s:c r="I20" s="402"/>
      <s:c r="J20" s="402"/>
      <s:c r="K20" s="402"/>
      <s:c r="L20" s="402"/>
      <s:c r="M20" s="402"/>
      <s:c r="N20" s="403"/>
    </s:row>
    <s:row r="21" spans="1:14">
      <s:c r="A21" s="446"/>
      <s:c r="B21" s="399" t="s">
        <s:v>98</s:v>
      </s:c>
      <s:c r="C21" s="402"/>
      <s:c r="D21" s="402"/>
      <s:c r="E21" s="402"/>
      <s:c r="F21" s="402"/>
      <s:c r="G21" s="402"/>
      <s:c r="H21" s="402"/>
      <s:c r="I21" s="449" t="s">
        <s:v>99</s:v>
      </s:c>
      <s:c r="J21" s="450"/>
      <s:c r="K21" s="451"/>
      <s:c r="L21" s="451"/>
      <s:c r="M21" s="451"/>
      <s:c r="N21" s="452"/>
    </s:row>
    <s:row r="22" spans="1:14" ht="36">
      <s:c r="A22" s="453"/>
      <s:c r="B22" s="426" t="s">
        <s:v>28</s:v>
      </s:c>
      <s:c r="C22" s="731" t="s">
        <s:v>89</s:v>
      </s:c>
      <s:c r="D22" s="732"/>
      <s:c r="E22" s="426" t="s">
        <s:v>100</s:v>
      </s:c>
      <s:c r="F22" s="426" t="s">
        <s:v>101</s:v>
      </s:c>
      <s:c r="G22" s="426" t="s">
        <s:v>102</s:v>
      </s:c>
      <s:c r="H22" s="420"/>
      <s:c r="I22" s="454" t="s">
        <s:v>28</s:v>
      </s:c>
      <s:c r="J22" s="454" t="s">
        <s:v>89</s:v>
      </s:c>
      <s:c r="K22" s="454" t="s">
        <s:v>103</s:v>
      </s:c>
      <s:c r="L22" s="454" t="s">
        <s:v>104</s:v>
      </s:c>
      <s:c r="M22" s="454" t="s">
        <s:v>100</s:v>
      </s:c>
      <s:c r="N22" s="455" t="s">
        <s:v>102</s:v>
      </s:c>
    </s:row>
    <s:row r="23" spans="1:14">
      <s:c r="A23" s="446"/>
      <s:c r="B23" s="430" t="str">
        <s:f>A4</s:f>
        <s:v>Рогалевич Ирина</s:v>
      </s:c>
      <s:c r="C23" s="737" t="str">
        <s:f>A2</s:f>
        <s:v>ул. Набережная Ленина, 18</s:v>
      </s:c>
      <s:c r="D23" s="738"/>
      <s:c r="E23" s="436">
        <s:v>0.05</s:v>
      </s:c>
      <s:c r="F23" s="410">
        <s:f>'Рогалевич И. Е.'!J8</s:f>
        <s:v>1663026</s:v>
      </s:c>
      <s:c r="G23" s="456">
        <s:f validation_="true">F23*E23</s:f>
        <s:v>83151.3</s:v>
      </s:c>
      <s:c r="H23" s="400"/>
      <s:c r="I23" s="457" t="str">
        <s:f>B23</s:f>
        <s:v>Рогалевич Ирина</s:v>
      </s:c>
      <s:c r="J23" s="458" t="str">
        <s:f>C23</s:f>
        <s:v>ул. Набережная Ленина, 18</s:v>
      </s:c>
      <s:c r="K23" s="458">
        <s:f>E15</s:f>
        <s:v>312</s:v>
      </s:c>
      <s:c r="L23" s="459">
        <s:f>График!AJ31</s:f>
        <s:v>456</s:v>
      </s:c>
      <s:c r="M23" s="460">
        <s:v>0.02</s:v>
      </s:c>
      <s:c r="N23" s="461">
        <s:f>'Ялта, Ленина, 18'!J8*M23*K23/L23</s:f>
        <s:v>28309.054526315795</s:v>
      </s:c>
    </s:row>
    <s:row r="24" spans="1:14">
      <s:c r="A24" s="453"/>
      <s:c r="B24" s="430" t="str">
        <s:f>B23</s:f>
        <s:v>Рогалевич Ирина</s:v>
      </s:c>
      <s:c r="C24" s="739" t="s">
        <s:v>130</s:v>
      </s:c>
      <s:c r="D24" s="740"/>
      <s:c r="E24" s="436">
        <s:v>0.05</s:v>
      </s:c>
      <s:c r="F24" s="462">
        <s:v>13010</s:v>
      </s:c>
      <s:c r="G24" s="434">
        <s:f validation_="true">F24*E24</s:f>
        <s:v>650.5</s:v>
      </s:c>
      <s:c r="H24" s="420"/>
      <s:c r="I24" s="463"/>
      <s:c r="J24" s="464"/>
      <s:c r="K24" s="465"/>
      <s:c r="L24" s="466"/>
      <s:c r="M24" s="467"/>
      <s:c r="N24" s="468"/>
    </s:row>
    <s:row r="25" spans="1:14">
      <s:c r="A25" s="469"/>
      <s:c r="B25" s="470"/>
      <s:c r="C25" s="470"/>
      <s:c r="D25" s="470"/>
      <s:c r="E25" s="470"/>
      <s:c r="F25" s="470"/>
      <s:c r="G25" s="470"/>
      <s:c r="H25" s="470"/>
      <s:c r="I25" s="470"/>
      <s:c r="J25" s="470"/>
      <s:c r="K25" s="470"/>
      <s:c r="L25" s="470"/>
      <s:c r="M25" s="470"/>
      <s:c r="N25" s="471"/>
    </s:row>
  </s:sheetData>
  <s:mergeCells count="20">
    <s:mergeCell ref="L15:M15"/>
    <s:mergeCell ref="L16:M16"/>
    <s:mergeCell ref="C22:D22"/>
    <s:mergeCell ref="C23:D23"/>
    <s:mergeCell ref="C24:D24"/>
    <s:mergeCell ref="D9:E9"/>
    <s:mergeCell ref="H9:I9"/>
    <s:mergeCell ref="J9:K9"/>
    <s:mergeCell ref="J13:K13"/>
    <s:mergeCell ref="L14:M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10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900-000000000000}">
  <s:dimension ref="A1:N26"/>
  <s:sheetViews>
    <s:sheetView tabSelected="0" zoomScale="91" workbookViewId="0">
      <s:selection activeCell="K5" sqref="K5"/>
    </s:sheetView>
  </s:sheetViews>
  <s:sheetFormatPr baseColWidth="10" defaultColWidth="11.5" defaultRowHeight="15"/>
  <s:cols>
    <s:col min="1" max="1" width="2.332" style="3" customWidth="1"/>
    <s:col min="2" max="2" width="17.164" style="3" customWidth="1"/>
    <s:col min="3" max="3" width="19.332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2.832" style="3" customWidth="1"/>
    <s:col min="9" max="10" width="17.664" style="3" customWidth="1"/>
    <s:col min="11" max="11" width="11.5" style="3" customWidth="1"/>
    <s:col min="12" max="12" width="12" style="3" customWidth="1"/>
    <s:col min="13" max="13" width="16.832" style="3" customWidth="1"/>
    <s:col min="14" max="14" width="17.5" style="3" customWidth="1"/>
  </s:cols>
  <s:sheetData>
    <s:row r="1" spans="1:14">
      <s:c r="A1" s="715" t="str">
        <s:f>График!B1</s:f>
        <s:v>Апрель, 2025</s:v>
      </s:c>
      <s:c r="B1" s="716"/>
      <s:c r="C1" s="716"/>
      <s:c r="D1" s="717"/>
      <s:c r="E1" s="370"/>
      <s:c r="F1" s="371"/>
      <s:c r="G1" s="371"/>
      <s:c r="H1" s="371"/>
      <s:c r="I1" s="371"/>
      <s:c r="J1" s="371"/>
      <s:c r="K1" s="371"/>
      <s:c r="L1" s="371"/>
      <s:c r="M1" s="371"/>
      <s:c r="N1" s="372"/>
    </s:row>
    <s:row r="2" spans="1:14" ht="15" customHeight="1">
      <s:c r="A2" s="718" t="str">
        <s:f>График!B3</s:f>
        <s:v>ул. Набережная Ленина, 18</s:v>
      </s:c>
      <s:c r="B2" s="719"/>
      <s:c r="C2" s="719"/>
      <s:c r="D2" s="373" t="str">
        <s:f>График!B4</s:f>
        <s:v>GL-0005</s:v>
      </s:c>
      <s:c r="E2" s="374"/>
      <s:c r="F2" s="375"/>
      <s:c r="G2" s="375"/>
      <s:c r="H2" s="375"/>
      <s:c r="I2" s="375"/>
      <s:c r="J2" s="375"/>
      <s:c r="K2" s="375"/>
      <s:c r="L2" s="375"/>
      <s:c r="M2" s="375"/>
      <s:c r="N2" s="376"/>
    </s:row>
    <s:row r="3" spans="1:14" ht="75">
      <s:c r="A3" s="720" t="s">
        <s:v>28</s:v>
      </s:c>
      <s:c r="B3" s="721"/>
      <s:c r="C3" s="721"/>
      <s:c r="D3" s="377" t="s">
        <s:v>72</s:v>
      </s:c>
      <s:c r="E3" s="377" t="s">
        <s:v>73</s:v>
      </s:c>
      <s:c r="F3" s="378" t="s">
        <s:v>74</s:v>
      </s:c>
      <s:c r="G3" s="379" t="s">
        <s:v>75</s:v>
      </s:c>
      <s:c r="H3" s="380" t="s">
        <s:v>76</s:v>
      </s:c>
      <s:c r="I3" s="381" t="s">
        <s:v>77</s:v>
      </s:c>
      <s:c r="J3" s="382" t="s">
        <s:v>78</s:v>
      </s:c>
      <s:c r="K3" s="383" t="s">
        <s:v>79</s:v>
      </s:c>
      <s:c r="L3" s="384" t="s">
        <s:v>80</s:v>
      </s:c>
      <s:c r="M3" s="472" t="s">
        <s:v>81</s:v>
      </s:c>
      <s:c r="N3" s="386" t="s">
        <s:v>82</s:v>
      </s:c>
    </s:row>
    <s:row r="4" spans="1:14" ht="15" customHeight="1">
      <s:c r="A4" s="722" t="str">
        <s:f>График!B28</s:f>
        <s:v>Уразгильдеева Екатерина</s:v>
      </s:c>
      <s:c r="B4" s="723"/>
      <s:c r="C4" s="723"/>
      <s:c r="D4" s="473">
        <s:v>13050</s:v>
      </s:c>
      <s:c r="E4" s="474"/>
      <s:c r="F4" s="475">
        <s:f>H8+H9</s:f>
        <s:v>0</s:v>
      </s:c>
      <s:c r="G4" s="476">
        <s:f>D12</s:f>
        <s:v>8800</s:v>
      </s:c>
      <s:c r="H4" s="477">
        <s:f>D19</s:f>
        <s:v>12038.75</s:v>
      </s:c>
      <s:c r="I4" s="478">
        <s:f>L19</s:f>
        <s:v>5420.3252631578944</s:v>
      </s:c>
      <s:c r="J4" s="479">
        <s:f>L12</s:f>
        <s:v>0</s:v>
      </s:c>
      <s:c r="K4" s="394">
        <s:f>H4+J4+G4+F4+I4</s:f>
        <s:v>26259.075263157894</s:v>
      </s:c>
      <s:c r="L4" s="395">
        <s:f>C8+C9+C10</s:f>
        <s:v>1950</s:v>
      </s:c>
      <s:c r="M4" s="396">
        <s:f>K4-L4-D4-E4</s:f>
        <s:v>11259.075263157894</s:v>
      </s:c>
      <s:c r="N4" s="397"/>
    </s:row>
    <s:row r="5" spans="1:14">
      <s:c r="A5" s="398"/>
      <s:c r="B5" s="399"/>
      <s:c r="C5" s="400"/>
      <s:c r="D5" s="400"/>
      <s:c r="E5" s="400"/>
      <s:c r="F5" s="400"/>
      <s:c r="G5" s="400"/>
      <s:c r="H5" s="400"/>
      <s:c r="I5" s="400"/>
      <s:c r="J5" s="400"/>
      <s:c r="K5" s="401"/>
      <s:c r="L5" s="400"/>
      <s:c r="M5" s="402"/>
      <s:c r="N5" s="403"/>
    </s:row>
    <s:row r="6" spans="1:14">
      <s:c r="A6" s="398"/>
      <s:c r="B6" s="399" t="s">
        <s:v>80</s:v>
      </s:c>
      <s:c r="C6" s="400"/>
      <s:c r="D6" s="400"/>
      <s:c r="E6" s="400"/>
      <s:c r="F6" s="400"/>
      <s:c r="G6" s="399" t="s">
        <s:v>83</s:v>
      </s:c>
      <s:c r="H6" s="400"/>
      <s:c r="I6" s="400"/>
      <s:c r="J6" s="400"/>
      <s:c r="K6" s="400"/>
      <s:c r="L6" s="400"/>
      <s:c r="M6" s="402"/>
      <s:c r="N6" s="403"/>
    </s:row>
    <s:row r="7" spans="1:14">
      <s:c r="A7" s="404"/>
      <s:c r="B7" s="405" t="s">
        <s:v>29</s:v>
      </s:c>
      <s:c r="C7" s="405" t="s">
        <s:v>84</s:v>
      </s:c>
      <s:c r="D7" s="724" t="s">
        <s:v>85</s:v>
      </s:c>
      <s:c r="E7" s="724"/>
      <s:c r="F7" s="406"/>
      <s:c r="G7" s="405" t="s">
        <s:v>29</s:v>
      </s:c>
      <s:c r="H7" s="725" t="s">
        <s:v>84</s:v>
      </s:c>
      <s:c r="I7" s="726"/>
      <s:c r="J7" s="724" t="s">
        <s:v>85</s:v>
      </s:c>
      <s:c r="K7" s="724"/>
      <s:c r="L7" s="406"/>
      <s:c r="M7" s="407"/>
      <s:c r="N7" s="408"/>
    </s:row>
    <s:row r="8" spans="1:14" ht="23" customHeight="1">
      <s:c r="A8" s="398"/>
      <s:c r="B8" s="409">
        <s:v>45777</s:v>
      </s:c>
      <s:c r="C8" s="410">
        <s:v>1950</s:v>
      </s:c>
      <s:c r="D8" s="727" t="s">
        <s:v>105</s:v>
      </s:c>
      <s:c r="E8" s="727"/>
      <s:c r="F8" s="400"/>
      <s:c r="G8" s="409"/>
      <s:c r="H8" s="741"/>
      <s:c r="I8" s="742"/>
      <s:c r="J8" s="727"/>
      <s:c r="K8" s="727"/>
      <s:c r="L8" s="400"/>
      <s:c r="M8" s="402"/>
      <s:c r="N8" s="403"/>
    </s:row>
    <s:row r="9" spans="1:14" ht="26" customHeight="1">
      <s:c r="A9" s="398"/>
      <s:c r="B9" s="409"/>
      <s:c r="C9" s="410"/>
      <s:c r="D9" s="727"/>
      <s:c r="E9" s="727"/>
      <s:c r="F9" s="400"/>
      <s:c r="G9" s="409"/>
      <s:c r="H9" s="741"/>
      <s:c r="I9" s="742"/>
      <s:c r="J9" s="727"/>
      <s:c r="K9" s="727"/>
      <s:c r="L9" s="400"/>
      <s:c r="M9" s="402"/>
      <s:c r="N9" s="403"/>
    </s:row>
    <s:row r="10" spans="1:14" ht="26" customHeight="1">
      <s:c r="A10" s="398"/>
      <s:c r="B10" s="409"/>
      <s:c r="C10" s="410"/>
      <s:c r="D10" s="727"/>
      <s:c r="E10" s="727"/>
      <s:c r="F10" s="400"/>
      <s:c r="G10" s="480"/>
      <s:c r="H10" s="481"/>
      <s:c r="I10" s="481"/>
      <s:c r="J10" s="482"/>
      <s:c r="K10" s="482"/>
      <s:c r="L10" s="400"/>
      <s:c r="M10" s="402"/>
      <s:c r="N10" s="403"/>
    </s:row>
    <s:row r="11" spans="1:14" ht="34" customHeight="1">
      <s:c r="A11" s="398"/>
      <s:c r="B11" s="399"/>
      <s:c r="C11" s="400"/>
      <s:c r="D11" s="400"/>
      <s:c r="E11" s="400"/>
      <s:c r="F11" s="400"/>
      <s:c r="G11" s="400"/>
      <s:c r="H11" s="400"/>
      <s:c r="I11" s="400"/>
      <s:c r="J11" s="400"/>
      <s:c r="K11" s="400"/>
      <s:c r="L11" s="400"/>
      <s:c r="M11" s="402"/>
      <s:c r="N11" s="403"/>
    </s:row>
    <s:row r="12" spans="1:14">
      <s:c r="A12" s="412" t="s">
        <s:v>87</s:v>
      </s:c>
      <s:c r="B12" s="413"/>
      <s:c r="C12" s="413"/>
      <s:c r="D12" s="414">
        <s:f>G16+G17</s:f>
        <s:v>8800</s:v>
      </s:c>
      <s:c r="E12" s="415"/>
      <s:c r="F12" s="416"/>
      <s:c r="G12" s="413"/>
      <s:c r="H12" s="413"/>
      <s:c r="I12" s="417" t="s">
        <s:v>78</s:v>
      </s:c>
      <s:c r="J12" s="413"/>
      <s:c r="K12" s="413"/>
      <s:c r="L12" s="418">
        <s:f>L16+L17</s:f>
        <s:v>0</s:v>
      </s:c>
      <s:c r="M12" s="416"/>
      <s:c r="N12" s="419"/>
    </s:row>
    <s:row r="13" spans="1:14">
      <s:c r="A13" s="398"/>
      <s:c r="B13" s="399"/>
      <s:c r="C13" s="400"/>
      <s:c r="D13" s="420"/>
      <s:c r="E13" s="420"/>
      <s:c r="F13" s="400"/>
      <s:c r="G13" s="400"/>
      <s:c r="H13" s="400"/>
      <s:c r="I13" s="400"/>
      <s:c r="J13" s="400"/>
      <s:c r="K13" s="402"/>
      <s:c r="L13" s="402"/>
      <s:c r="M13" s="402"/>
      <s:c r="N13" s="403"/>
    </s:row>
    <s:row r="14" spans="1:14">
      <s:c r="A14" s="421"/>
      <s:c r="B14" s="422" t="s">
        <s:v>87</s:v>
      </s:c>
      <s:c r="C14" s="420"/>
      <s:c r="D14" s="420"/>
      <s:c r="E14" s="420"/>
      <s:c r="F14" s="420"/>
      <s:c r="G14" s="420"/>
      <s:c r="H14" s="420"/>
      <s:c r="I14" s="420"/>
      <s:c r="J14" s="730" t="s">
        <s:v>78</s:v>
      </s:c>
      <s:c r="K14" s="730"/>
      <s:c r="L14" s="424"/>
      <s:c r="M14" s="423"/>
      <s:c r="N14" s="425"/>
    </s:row>
    <s:row r="15" spans="1:14" ht="24">
      <s:c r="A15" s="421"/>
      <s:c r="B15" s="426" t="s">
        <s:v>88</s:v>
      </s:c>
      <s:c r="C15" s="426" t="s">
        <s:v>89</s:v>
      </s:c>
      <s:c r="D15" s="427" t="s">
        <s:v>90</s:v>
      </s:c>
      <s:c r="E15" s="427" t="s">
        <s:v>91</s:v>
      </s:c>
      <s:c r="F15" s="427" t="s">
        <s:v>92</s:v>
      </s:c>
      <s:c r="G15" s="426" t="s">
        <s:v>93</s:v>
      </s:c>
      <s:c r="H15" s="420"/>
      <s:c r="I15" s="420"/>
      <s:c r="J15" s="426" t="s">
        <s:v>89</s:v>
      </s:c>
      <s:c r="K15" s="426" t="s">
        <s:v>94</s:v>
      </s:c>
      <s:c r="L15" s="426" t="s">
        <s:v>95</s:v>
      </s:c>
      <s:c r="M15" s="423"/>
      <s:c r="N15" s="425"/>
    </s:row>
    <s:row r="16" spans="1:14">
      <s:c r="A16" s="398"/>
      <s:c r="B16" s="429">
        <s:f>График!AI28</s:f>
        <s:v>8</s:v>
      </s:c>
      <s:c r="C16" s="430" t="str">
        <s:f>A2</s:f>
        <s:v>ул. Набережная Ленина, 18</s:v>
      </s:c>
      <s:c r="D16" s="431" t="s">
        <s:v>96</s:v>
      </s:c>
      <s:c r="E16" s="432">
        <s:f>График!AJ28</s:f>
        <s:v>88</s:v>
      </s:c>
      <s:c r="F16" s="433">
        <s:v>100</s:v>
      </s:c>
      <s:c r="G16" s="434">
        <s:f>E16*F16</s:f>
        <s:v>8800</s:v>
      </s:c>
      <s:c r="H16" s="435"/>
      <s:c r="I16" s="435"/>
      <s:c r="J16" s="430" t="str">
        <s:f>График!B3</s:f>
        <s:v>ул. Набережная Ленина, 18</s:v>
      </s:c>
      <s:c r="K16" s="436">
        <s:f>'Ялта, Ленина, 18'!K8</s:f>
        <s:v>0.79932463100769324</s:v>
      </s:c>
      <s:c r="L16" s="483">
        <s:v>0</s:v>
      </s:c>
      <s:c r="M16" s="402"/>
      <s:c r="N16" s="403"/>
    </s:row>
    <s:row r="17" spans="1:14">
      <s:c r="A17" s="421"/>
      <s:c r="B17" s="426"/>
      <s:c r="C17" s="437"/>
      <s:c r="D17" s="431"/>
      <s:c r="E17" s="438"/>
      <s:c r="F17" s="433"/>
      <s:c r="G17" s="434"/>
      <s:c r="H17" s="420"/>
      <s:c r="I17" s="420"/>
      <s:c r="J17" s="411"/>
      <s:c r="K17" s="439"/>
      <s:c r="L17" s="484"/>
      <s:c r="M17" s="423"/>
      <s:c r="N17" s="425"/>
    </s:row>
    <s:row r="18" spans="1:14">
      <s:c r="A18" s="421"/>
      <s:c r="B18" s="420"/>
      <s:c r="C18" s="440"/>
      <s:c r="D18" s="400"/>
      <s:c r="E18" s="441"/>
      <s:c r="F18" s="441"/>
      <s:c r="G18" s="442"/>
      <s:c r="H18" s="420"/>
      <s:c r="I18" s="420"/>
      <s:c r="J18" s="420"/>
      <s:c r="K18" s="420"/>
      <s:c r="L18" s="423"/>
      <s:c r="M18" s="423"/>
      <s:c r="N18" s="425"/>
    </s:row>
    <s:row r="19" spans="1:14">
      <s:c r="A19" s="412" t="s">
        <s:v>97</s:v>
      </s:c>
      <s:c r="B19" s="413"/>
      <s:c r="C19" s="413"/>
      <s:c r="D19" s="443">
        <s:f>G24+G25</s:f>
        <s:v>12038.75</s:v>
      </s:c>
      <s:c r="E19" s="444"/>
      <s:c r="F19" s="416"/>
      <s:c r="G19" s="416"/>
      <s:c r="H19" s="416"/>
      <s:c r="I19" s="413" t="s">
        <s:v>77</s:v>
      </s:c>
      <s:c r="J19" s="416"/>
      <s:c r="K19" s="416"/>
      <s:c r="L19" s="445">
        <s:f>N24+N25</s:f>
        <s:v>5420.3252631578944</s:v>
      </s:c>
      <s:c r="M19" s="416"/>
      <s:c r="N19" s="419"/>
    </s:row>
    <s:row r="20" spans="1:14">
      <s:c r="A20" s="446"/>
      <s:c r="B20" s="399"/>
      <s:c r="C20" s="402"/>
      <s:c r="D20" s="402"/>
      <s:c r="E20" s="402"/>
      <s:c r="F20" s="402"/>
      <s:c r="G20" s="402"/>
      <s:c r="H20" s="402"/>
      <s:c r="I20" s="402"/>
      <s:c r="J20" s="402"/>
      <s:c r="K20" s="447"/>
      <s:c r="L20" s="136"/>
      <s:c r="M20" s="136"/>
      <s:c r="N20" s="448"/>
    </s:row>
    <s:row r="21" spans="1:14">
      <s:c r="A21" s="446"/>
      <s:c r="B21" s="400"/>
      <s:c r="C21" s="399"/>
      <s:c r="D21" s="402"/>
      <s:c r="E21" s="402"/>
      <s:c r="F21" s="402"/>
      <s:c r="G21" s="402"/>
      <s:c r="H21" s="402"/>
      <s:c r="I21" s="402"/>
      <s:c r="J21" s="402"/>
      <s:c r="K21" s="402"/>
      <s:c r="L21" s="402"/>
      <s:c r="M21" s="402"/>
      <s:c r="N21" s="403"/>
    </s:row>
    <s:row r="22" spans="1:14">
      <s:c r="A22" s="446"/>
      <s:c r="B22" s="399" t="s">
        <s:v>98</s:v>
      </s:c>
      <s:c r="C22" s="402"/>
      <s:c r="D22" s="402"/>
      <s:c r="E22" s="402"/>
      <s:c r="F22" s="402"/>
      <s:c r="G22" s="402"/>
      <s:c r="H22" s="402"/>
      <s:c r="I22" s="449" t="s">
        <s:v>99</s:v>
      </s:c>
      <s:c r="J22" s="450"/>
      <s:c r="K22" s="451"/>
      <s:c r="L22" s="451"/>
      <s:c r="M22" s="451"/>
      <s:c r="N22" s="452"/>
    </s:row>
    <s:row r="23" spans="1:14" ht="36">
      <s:c r="A23" s="453"/>
      <s:c r="B23" s="426" t="s">
        <s:v>28</s:v>
      </s:c>
      <s:c r="C23" s="731" t="s">
        <s:v>89</s:v>
      </s:c>
      <s:c r="D23" s="732"/>
      <s:c r="E23" s="426" t="s">
        <s:v>100</s:v>
      </s:c>
      <s:c r="F23" s="426" t="s">
        <s:v>101</s:v>
      </s:c>
      <s:c r="G23" s="426" t="s">
        <s:v>102</s:v>
      </s:c>
      <s:c r="H23" s="420"/>
      <s:c r="I23" s="454" t="s">
        <s:v>28</s:v>
      </s:c>
      <s:c r="J23" s="454" t="s">
        <s:v>89</s:v>
      </s:c>
      <s:c r="K23" s="454" t="s">
        <s:v>103</s:v>
      </s:c>
      <s:c r="L23" s="454" t="s">
        <s:v>104</s:v>
      </s:c>
      <s:c r="M23" s="454" t="s">
        <s:v>100</s:v>
      </s:c>
      <s:c r="N23" s="455" t="s">
        <s:v>102</s:v>
      </s:c>
    </s:row>
    <s:row r="24" spans="1:14">
      <s:c r="A24" s="446"/>
      <s:c r="B24" s="430" t="str">
        <s:f>A4</s:f>
        <s:v>Уразгильдеева Екатерина</s:v>
      </s:c>
      <s:c r="C24" s="737" t="str">
        <s:f>A2</s:f>
        <s:v>ул. Набережная Ленина, 18</s:v>
      </s:c>
      <s:c r="D24" s="738"/>
      <s:c r="E24" s="436">
        <s:v>0.05</s:v>
      </s:c>
      <s:c r="F24" s="485">
        <s:f>'Уразгильдеева Е. Р.'!J8</s:f>
        <s:v>240775</s:v>
      </s:c>
      <s:c r="G24" s="456">
        <s:f>F24*E24</s:f>
        <s:v>12038.75</s:v>
      </s:c>
      <s:c r="H24" s="400"/>
      <s:c r="I24" s="457" t="str">
        <s:f>B24</s:f>
        <s:v>Уразгильдеева Екатерина</s:v>
      </s:c>
      <s:c r="J24" s="458" t="str">
        <s:f>C24</s:f>
        <s:v>ул. Набережная Ленина, 18</s:v>
      </s:c>
      <s:c r="K24" s="458">
        <s:f>E16</s:f>
        <s:v>88</s:v>
      </s:c>
      <s:c r="L24" s="459">
        <s:f>График!AJ31</s:f>
        <s:v>456</s:v>
      </s:c>
      <s:c r="M24" s="460">
        <s:v>0.02</s:v>
      </s:c>
      <s:c r="N24" s="461">
        <s:f>(1191653+212704)*M24*K24/L24</s:f>
        <s:v>5420.3252631578944</s:v>
      </s:c>
    </s:row>
    <s:row r="25" spans="1:14">
      <s:c r="A25" s="453"/>
      <s:c r="B25" s="430" t="str">
        <s:f>B24</s:f>
        <s:v>Уразгильдеева Екатерина</s:v>
      </s:c>
      <s:c r="C25" s="739"/>
      <s:c r="D25" s="740"/>
      <s:c r="E25" s="436"/>
      <s:c r="F25" s="462"/>
      <s:c r="G25" s="434"/>
      <s:c r="H25" s="420"/>
      <s:c r="I25" s="463"/>
      <s:c r="J25" s="464"/>
      <s:c r="K25" s="465"/>
      <s:c r="L25" s="466"/>
      <s:c r="M25" s="467"/>
      <s:c r="N25" s="468"/>
    </s:row>
    <s:row r="26" spans="1:14">
      <s:c r="A26" s="469"/>
      <s:c r="B26" s="470"/>
      <s:c r="C26" s="470"/>
      <s:c r="D26" s="470"/>
      <s:c r="E26" s="470"/>
      <s:c r="F26" s="470"/>
      <s:c r="G26" s="470"/>
      <s:c r="H26" s="470"/>
      <s:c r="I26" s="470"/>
      <s:c r="J26" s="470"/>
      <s:c r="K26" s="470"/>
      <s:c r="L26" s="470"/>
      <s:c r="M26" s="470"/>
      <s:c r="N26" s="471"/>
    </s:row>
  </s:sheetData>
  <s:mergeCells count="18">
    <s:mergeCell ref="C23:D23"/>
    <s:mergeCell ref="C24:D24"/>
    <s:mergeCell ref="C25:D25"/>
    <s:mergeCell ref="D9:E9"/>
    <s:mergeCell ref="H9:I9"/>
    <s:mergeCell ref="J9:K9"/>
    <s:mergeCell ref="D10:E10"/>
    <s:mergeCell ref="J14:K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1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F3C640EC-FFA9-9B48-B8C4-F0D5BA9CB4F6}">
  <s:dimension ref="A1:N26"/>
  <s:sheetViews>
    <s:sheetView tabSelected="0" zoomScale="91" workbookViewId="0">
      <s:selection activeCell="Q15" sqref="Q15"/>
    </s:sheetView>
  </s:sheetViews>
  <s:sheetFormatPr baseColWidth="10" defaultColWidth="11.5" defaultRowHeight="15"/>
  <s:cols>
    <s:col min="1" max="1" width="2.332" style="3" customWidth="1"/>
    <s:col min="2" max="2" width="17.164" style="3" customWidth="1"/>
    <s:col min="3" max="3" width="19.332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2.832" style="3" customWidth="1"/>
    <s:col min="9" max="9" width="17.664" style="3" customWidth="1"/>
    <s:col min="10" max="10" width="18.332" style="3" customWidth="1"/>
    <s:col min="11" max="11" width="11.5" style="3" customWidth="1"/>
    <s:col min="12" max="12" width="11.5" style="3"/>
    <s:col min="13" max="13" width="16.832" style="3" customWidth="1"/>
    <s:col min="14" max="14" width="17.5" style="3" customWidth="1"/>
  </s:cols>
  <s:sheetData>
    <s:row r="1" spans="1:14" ht="15" customHeight="1">
      <s:c r="A1" s="715" t="str">
        <s:f>График!B1</s:f>
        <s:v>Апрель, 2025</s:v>
      </s:c>
      <s:c r="B1" s="716"/>
      <s:c r="C1" s="716"/>
      <s:c r="D1" s="717"/>
      <s:c r="E1" s="370"/>
      <s:c r="F1" s="371"/>
      <s:c r="G1" s="371"/>
      <s:c r="H1" s="371"/>
      <s:c r="I1" s="371"/>
      <s:c r="J1" s="371"/>
      <s:c r="K1" s="371"/>
      <s:c r="L1" s="371"/>
      <s:c r="M1" s="371"/>
      <s:c r="N1" s="372"/>
    </s:row>
    <s:row r="2" spans="1:14" ht="15" customHeight="1" thickBot="1">
      <s:c r="A2" s="718" t="str">
        <s:f>График!B3</s:f>
        <s:v>ул. Набережная Ленина, 18</s:v>
      </s:c>
      <s:c r="B2" s="719"/>
      <s:c r="C2" s="719"/>
      <s:c r="D2" s="373" t="str">
        <s:f>График!B4</s:f>
        <s:v>GL-0005</s:v>
      </s:c>
      <s:c r="E2" s="374"/>
      <s:c r="F2" s="375"/>
      <s:c r="G2" s="375"/>
      <s:c r="H2" s="375"/>
      <s:c r="I2" s="375"/>
      <s:c r="J2" s="375"/>
      <s:c r="K2" s="375"/>
      <s:c r="L2" s="375"/>
      <s:c r="M2" s="375"/>
      <s:c r="N2" s="376"/>
    </s:row>
    <s:row r="3" spans="1:14" ht="75" customHeight="1">
      <s:c r="A3" s="720" t="s">
        <s:v>28</s:v>
      </s:c>
      <s:c r="B3" s="721"/>
      <s:c r="C3" s="721"/>
      <s:c r="D3" s="377" t="s">
        <s:v>72</s:v>
      </s:c>
      <s:c r="E3" s="377" t="s">
        <s:v>73</s:v>
      </s:c>
      <s:c r="F3" s="378" t="s">
        <s:v>74</s:v>
      </s:c>
      <s:c r="G3" s="379" t="s">
        <s:v>75</s:v>
      </s:c>
      <s:c r="H3" s="380" t="s">
        <s:v>76</s:v>
      </s:c>
      <s:c r="I3" s="381" t="s">
        <s:v>77</s:v>
      </s:c>
      <s:c r="J3" s="382" t="s">
        <s:v>78</s:v>
      </s:c>
      <s:c r="K3" s="383" t="s">
        <s:v>79</s:v>
      </s:c>
      <s:c r="L3" s="384" t="s">
        <s:v>80</s:v>
      </s:c>
      <s:c r="M3" s="472" t="s">
        <s:v>81</s:v>
      </s:c>
      <s:c r="N3" s="386" t="s">
        <s:v>82</s:v>
      </s:c>
    </s:row>
    <s:row r="4" spans="1:14" ht="15" customHeight="1" thickBot="1">
      <s:c r="A4" s="722" t="str">
        <s:f>График!B27</s:f>
        <s:v>Афанасьева Алевтина</s:v>
      </s:c>
      <s:c r="B4" s="723"/>
      <s:c r="C4" s="723"/>
      <s:c r="D4" s="473"/>
      <s:c r="E4" s="474"/>
      <s:c r="F4" s="475">
        <s:f>H8+H9</s:f>
        <s:v>0</s:v>
      </s:c>
      <s:c r="G4" s="476">
        <s:f>D12</s:f>
        <s:v>4400</s:v>
      </s:c>
      <s:c r="H4" s="477">
        <s:f>D19</s:f>
        <s:v>3074.8</s:v>
      </s:c>
      <s:c r="I4" s="478">
        <s:f>L19</s:f>
        <s:v>1062.6559649122808</s:v>
      </s:c>
      <s:c r="J4" s="479">
        <s:f>L12</s:f>
        <s:v>0</s:v>
      </s:c>
      <s:c r="K4" s="394">
        <s:f>H4+J4+G4+F4+I4</s:f>
        <s:v>8537.4559649122803</s:v>
      </s:c>
      <s:c r="L4" s="395">
        <s:f>C8+C9+C10</s:f>
        <s:v>7873</s:v>
      </s:c>
      <s:c r="M4" s="396">
        <s:f>K4-L4-D4-E4</s:f>
        <s:v>664.45596491228025</s:v>
      </s:c>
      <s:c r="N4" s="397"/>
    </s:row>
    <s:row r="5" spans="1:14">
      <s:c r="A5" s="398"/>
      <s:c r="B5" s="399"/>
      <s:c r="C5" s="400"/>
      <s:c r="D5" s="400"/>
      <s:c r="E5" s="400"/>
      <s:c r="F5" s="400"/>
      <s:c r="G5" s="400"/>
      <s:c r="H5" s="400"/>
      <s:c r="I5" s="400"/>
      <s:c r="J5" s="400"/>
      <s:c r="K5" s="401"/>
      <s:c r="L5" s="400"/>
      <s:c r="M5" s="402"/>
      <s:c r="N5" s="403"/>
    </s:row>
    <s:row r="6" spans="1:14">
      <s:c r="A6" s="398"/>
      <s:c r="B6" s="399" t="s">
        <s:v>80</s:v>
      </s:c>
      <s:c r="C6" s="400"/>
      <s:c r="D6" s="400"/>
      <s:c r="E6" s="400"/>
      <s:c r="F6" s="400"/>
      <s:c r="G6" s="399" t="s">
        <s:v>83</s:v>
      </s:c>
      <s:c r="H6" s="400"/>
      <s:c r="I6" s="400"/>
      <s:c r="J6" s="400"/>
      <s:c r="K6" s="400"/>
      <s:c r="L6" s="400"/>
      <s:c r="M6" s="402"/>
      <s:c r="N6" s="403"/>
    </s:row>
    <s:row r="7" spans="1:14">
      <s:c r="A7" s="404"/>
      <s:c r="B7" s="405" t="s">
        <s:v>29</s:v>
      </s:c>
      <s:c r="C7" s="405" t="s">
        <s:v>84</s:v>
      </s:c>
      <s:c r="D7" s="724" t="s">
        <s:v>85</s:v>
      </s:c>
      <s:c r="E7" s="724"/>
      <s:c r="F7" s="406"/>
      <s:c r="G7" s="405" t="s">
        <s:v>29</s:v>
      </s:c>
      <s:c r="H7" s="725" t="s">
        <s:v>84</s:v>
      </s:c>
      <s:c r="I7" s="726"/>
      <s:c r="J7" s="724" t="s">
        <s:v>85</s:v>
      </s:c>
      <s:c r="K7" s="724"/>
      <s:c r="L7" s="406"/>
      <s:c r="M7" s="407"/>
      <s:c r="N7" s="408"/>
    </s:row>
    <s:row r="8" spans="1:14" ht="23" customHeight="1">
      <s:c r="A8" s="398"/>
      <s:c r="B8" s="409">
        <s:v>45777</s:v>
      </s:c>
      <s:c r="C8" s="410">
        <s:v>1773</s:v>
      </s:c>
      <s:c r="D8" s="727" t="s">
        <s:v>105</s:v>
      </s:c>
      <s:c r="E8" s="727"/>
      <s:c r="F8" s="400"/>
      <s:c r="G8" s="409"/>
      <s:c r="H8" s="741"/>
      <s:c r="I8" s="742"/>
      <s:c r="J8" s="758"/>
      <s:c r="K8" s="759"/>
      <s:c r="L8" s="400"/>
      <s:c r="M8" s="402"/>
      <s:c r="N8" s="403"/>
    </s:row>
    <s:row r="9" spans="1:14" ht="26" customHeight="1">
      <s:c r="A9" s="398"/>
      <s:c r="B9" s="409">
        <s:v>45777</s:v>
      </s:c>
      <s:c r="C9" s="410">
        <s:v>6100</s:v>
      </s:c>
      <s:c r="D9" s="758" t="s">
        <s:v>131</s:v>
      </s:c>
      <s:c r="E9" s="759"/>
      <s:c r="F9" s="400"/>
      <s:c r="G9" s="409"/>
      <s:c r="H9" s="741"/>
      <s:c r="I9" s="742"/>
      <s:c r="J9" s="727"/>
      <s:c r="K9" s="727"/>
      <s:c r="L9" s="400"/>
      <s:c r="M9" s="402"/>
      <s:c r="N9" s="403"/>
    </s:row>
    <s:row r="10" spans="1:14" ht="26" customHeight="1">
      <s:c r="A10" s="398"/>
      <s:c r="B10" s="409"/>
      <s:c r="C10" s="410"/>
      <s:c r="D10" s="727"/>
      <s:c r="E10" s="727"/>
      <s:c r="F10" s="400"/>
      <s:c r="G10" s="480"/>
      <s:c r="H10" s="481"/>
      <s:c r="I10" s="481"/>
      <s:c r="J10" s="482"/>
      <s:c r="K10" s="482"/>
      <s:c r="L10" s="400"/>
      <s:c r="M10" s="402"/>
      <s:c r="N10" s="403"/>
    </s:row>
    <s:row r="11" spans="1:14" ht="34" customHeight="1">
      <s:c r="A11" s="398"/>
      <s:c r="B11" s="399"/>
      <s:c r="C11" s="400"/>
      <s:c r="D11" s="400"/>
      <s:c r="E11" s="400"/>
      <s:c r="F11" s="400"/>
      <s:c r="G11" s="400"/>
      <s:c r="H11" s="400"/>
      <s:c r="I11" s="400"/>
      <s:c r="J11" s="400"/>
      <s:c r="K11" s="400"/>
      <s:c r="L11" s="400"/>
      <s:c r="M11" s="402"/>
      <s:c r="N11" s="403"/>
    </s:row>
    <s:row r="12" spans="1:14">
      <s:c r="A12" s="412" t="s">
        <s:v>87</s:v>
      </s:c>
      <s:c r="B12" s="413"/>
      <s:c r="C12" s="413"/>
      <s:c r="D12" s="414">
        <s:f>G16+G17</s:f>
        <s:v>4400</s:v>
      </s:c>
      <s:c r="E12" s="415"/>
      <s:c r="F12" s="416"/>
      <s:c r="G12" s="413"/>
      <s:c r="H12" s="413"/>
      <s:c r="I12" s="417" t="s">
        <s:v>78</s:v>
      </s:c>
      <s:c r="J12" s="413"/>
      <s:c r="K12" s="413"/>
      <s:c r="L12" s="418">
        <s:f>L16+L17</s:f>
        <s:v>0</s:v>
      </s:c>
      <s:c r="M12" s="416"/>
      <s:c r="N12" s="419"/>
    </s:row>
    <s:row r="13" spans="1:14">
      <s:c r="A13" s="398"/>
      <s:c r="B13" s="399"/>
      <s:c r="C13" s="400"/>
      <s:c r="D13" s="420"/>
      <s:c r="E13" s="420"/>
      <s:c r="F13" s="400"/>
      <s:c r="G13" s="400"/>
      <s:c r="H13" s="400"/>
      <s:c r="I13" s="400"/>
      <s:c r="J13" s="400"/>
      <s:c r="K13" s="402"/>
      <s:c r="L13" s="402"/>
      <s:c r="M13" s="402"/>
      <s:c r="N13" s="403"/>
    </s:row>
    <s:row r="14" spans="1:14" ht="15" customHeight="1">
      <s:c r="A14" s="421"/>
      <s:c r="B14" s="422" t="s">
        <s:v>87</s:v>
      </s:c>
      <s:c r="C14" s="420"/>
      <s:c r="D14" s="420"/>
      <s:c r="E14" s="420"/>
      <s:c r="F14" s="420"/>
      <s:c r="G14" s="420"/>
      <s:c r="H14" s="420"/>
      <s:c r="I14" s="420"/>
      <s:c r="J14" s="730" t="s">
        <s:v>78</s:v>
      </s:c>
      <s:c r="K14" s="730"/>
      <s:c r="L14" s="424"/>
      <s:c r="M14" s="423"/>
      <s:c r="N14" s="425"/>
    </s:row>
    <s:row r="15" spans="1:14" ht="24">
      <s:c r="A15" s="421"/>
      <s:c r="B15" s="426" t="s">
        <s:v>88</s:v>
      </s:c>
      <s:c r="C15" s="426" t="s">
        <s:v>89</s:v>
      </s:c>
      <s:c r="D15" s="427" t="s">
        <s:v>90</s:v>
      </s:c>
      <s:c r="E15" s="427" t="s">
        <s:v>91</s:v>
      </s:c>
      <s:c r="F15" s="427" t="s">
        <s:v>92</s:v>
      </s:c>
      <s:c r="G15" s="426" t="s">
        <s:v>93</s:v>
      </s:c>
      <s:c r="H15" s="420"/>
      <s:c r="I15" s="420"/>
      <s:c r="J15" s="426" t="s">
        <s:v>89</s:v>
      </s:c>
      <s:c r="K15" s="426" t="s">
        <s:v>94</s:v>
      </s:c>
      <s:c r="L15" s="426" t="s">
        <s:v>95</s:v>
      </s:c>
      <s:c r="M15" s="423"/>
      <s:c r="N15" s="425"/>
    </s:row>
    <s:row r="16" spans="1:14">
      <s:c r="A16" s="398"/>
      <s:c r="B16" s="429">
        <s:f>График!AI27</s:f>
        <s:v>4</s:v>
      </s:c>
      <s:c r="C16" s="430" t="str">
        <s:f>A2</s:f>
        <s:v>ул. Набережная Ленина, 18</s:v>
      </s:c>
      <s:c r="D16" s="431" t="s">
        <s:v>96</s:v>
      </s:c>
      <s:c r="E16" s="432">
        <s:f>График!AJ27</s:f>
        <s:v>44</s:v>
      </s:c>
      <s:c r="F16" s="433">
        <s:v>100</s:v>
      </s:c>
      <s:c r="G16" s="434">
        <s:f>E16*F16</s:f>
        <s:v>4400</s:v>
      </s:c>
      <s:c r="H16" s="435"/>
      <s:c r="I16" s="435"/>
      <s:c r="J16" s="430" t="str">
        <s:f>График!B3</s:f>
        <s:v>ул. Набережная Ленина, 18</s:v>
      </s:c>
      <s:c r="K16" s="436">
        <s:f>'Ялта, Ленина, 18'!K8</s:f>
        <s:v>0.79932463100769324</s:v>
      </s:c>
      <s:c r="L16" s="483">
        <s:v>0</s:v>
      </s:c>
      <s:c r="M16" s="402"/>
      <s:c r="N16" s="403"/>
    </s:row>
    <s:row r="17" spans="1:14">
      <s:c r="A17" s="421"/>
      <s:c r="B17" s="426"/>
      <s:c r="C17" s="437"/>
      <s:c r="D17" s="431"/>
      <s:c r="E17" s="438"/>
      <s:c r="F17" s="433"/>
      <s:c r="G17" s="434"/>
      <s:c r="H17" s="420"/>
      <s:c r="I17" s="420"/>
      <s:c r="J17" s="411"/>
      <s:c r="K17" s="439"/>
      <s:c r="L17" s="484"/>
      <s:c r="M17" s="423"/>
      <s:c r="N17" s="425"/>
    </s:row>
    <s:row r="18" spans="1:14">
      <s:c r="A18" s="421"/>
      <s:c r="B18" s="420"/>
      <s:c r="C18" s="440"/>
      <s:c r="D18" s="400"/>
      <s:c r="E18" s="441"/>
      <s:c r="F18" s="441"/>
      <s:c r="G18" s="442"/>
      <s:c r="H18" s="420"/>
      <s:c r="I18" s="420"/>
      <s:c r="J18" s="420"/>
      <s:c r="K18" s="420"/>
      <s:c r="L18" s="423"/>
      <s:c r="M18" s="423"/>
      <s:c r="N18" s="425"/>
    </s:row>
    <s:row r="19" spans="1:14">
      <s:c r="A19" s="412" t="s">
        <s:v>97</s:v>
      </s:c>
      <s:c r="B19" s="413"/>
      <s:c r="C19" s="413"/>
      <s:c r="D19" s="443">
        <s:f>G24+G25</s:f>
        <s:v>3074.8</s:v>
      </s:c>
      <s:c r="E19" s="444"/>
      <s:c r="F19" s="416"/>
      <s:c r="G19" s="416"/>
      <s:c r="H19" s="416"/>
      <s:c r="I19" s="413" t="s">
        <s:v>77</s:v>
      </s:c>
      <s:c r="J19" s="416"/>
      <s:c r="K19" s="416"/>
      <s:c r="L19" s="445">
        <s:f>N24+N25</s:f>
        <s:v>1062.6559649122808</s:v>
      </s:c>
      <s:c r="M19" s="416"/>
      <s:c r="N19" s="419"/>
    </s:row>
    <s:row r="20" spans="1:14">
      <s:c r="A20" s="446"/>
      <s:c r="B20" s="399"/>
      <s:c r="C20" s="402"/>
      <s:c r="D20" s="402"/>
      <s:c r="E20" s="402"/>
      <s:c r="F20" s="402"/>
      <s:c r="G20" s="402"/>
      <s:c r="H20" s="402"/>
      <s:c r="I20" s="402"/>
      <s:c r="J20" s="402"/>
      <s:c r="K20" s="447"/>
      <s:c r="L20" s="136"/>
      <s:c r="M20" s="136"/>
      <s:c r="N20" s="448"/>
    </s:row>
    <s:row r="21" spans="1:14">
      <s:c r="A21" s="446"/>
      <s:c r="B21" s="400"/>
      <s:c r="C21" s="399"/>
      <s:c r="D21" s="402"/>
      <s:c r="E21" s="402"/>
      <s:c r="F21" s="402"/>
      <s:c r="G21" s="402"/>
      <s:c r="H21" s="402"/>
      <s:c r="I21" s="402"/>
      <s:c r="J21" s="402"/>
      <s:c r="K21" s="402"/>
      <s:c r="L21" s="402"/>
      <s:c r="M21" s="402"/>
      <s:c r="N21" s="403"/>
    </s:row>
    <s:row r="22" spans="1:14">
      <s:c r="A22" s="446"/>
      <s:c r="B22" s="399" t="s">
        <s:v>98</s:v>
      </s:c>
      <s:c r="C22" s="402"/>
      <s:c r="D22" s="402"/>
      <s:c r="E22" s="402"/>
      <s:c r="F22" s="402"/>
      <s:c r="G22" s="402"/>
      <s:c r="H22" s="402"/>
      <s:c r="I22" s="449" t="s">
        <s:v>99</s:v>
      </s:c>
      <s:c r="J22" s="450"/>
      <s:c r="K22" s="451"/>
      <s:c r="L22" s="451"/>
      <s:c r="M22" s="451"/>
      <s:c r="N22" s="452"/>
    </s:row>
    <s:row r="23" spans="1:14" ht="36">
      <s:c r="A23" s="453"/>
      <s:c r="B23" s="426" t="s">
        <s:v>28</s:v>
      </s:c>
      <s:c r="C23" s="731" t="s">
        <s:v>89</s:v>
      </s:c>
      <s:c r="D23" s="732"/>
      <s:c r="E23" s="426" t="s">
        <s:v>100</s:v>
      </s:c>
      <s:c r="F23" s="426" t="s">
        <s:v>101</s:v>
      </s:c>
      <s:c r="G23" s="426" t="s">
        <s:v>102</s:v>
      </s:c>
      <s:c r="H23" s="420"/>
      <s:c r="I23" s="454" t="s">
        <s:v>28</s:v>
      </s:c>
      <s:c r="J23" s="454" t="s">
        <s:v>89</s:v>
      </s:c>
      <s:c r="K23" s="454" t="s">
        <s:v>103</s:v>
      </s:c>
      <s:c r="L23" s="454" t="s">
        <s:v>104</s:v>
      </s:c>
      <s:c r="M23" s="454" t="s">
        <s:v>100</s:v>
      </s:c>
      <s:c r="N23" s="455" t="s">
        <s:v>102</s:v>
      </s:c>
    </s:row>
    <s:row r="24" spans="1:14">
      <s:c r="A24" s="446"/>
      <s:c r="B24" s="430" t="str">
        <s:f>A4</s:f>
        <s:v>Афанасьева Алевтина</s:v>
      </s:c>
      <s:c r="C24" s="737" t="str">
        <s:f>A2</s:f>
        <s:v>ул. Набережная Ленина, 18</s:v>
      </s:c>
      <s:c r="D24" s="738"/>
      <s:c r="E24" s="436">
        <s:v>0.05</s:v>
      </s:c>
      <s:c r="F24" s="485">
        <s:f>'Афанасьева А. М.'!J8</s:f>
        <s:v>61496</s:v>
      </s:c>
      <s:c r="G24" s="456">
        <s:f>F24*E24</s:f>
        <s:v>3074.8</s:v>
      </s:c>
      <s:c r="H24" s="400"/>
      <s:c r="I24" s="457" t="str">
        <s:f>B24</s:f>
        <s:v>Афанасьева Алевтина</s:v>
      </s:c>
      <s:c r="J24" s="458" t="str">
        <s:f>C24</s:f>
        <s:v>ул. Набережная Ленина, 18</s:v>
      </s:c>
      <s:c r="K24" s="458">
        <s:f>E16</s:f>
        <s:v>44</s:v>
      </s:c>
      <s:c r="L24" s="459">
        <s:f>График!AJ31</s:f>
        <s:v>456</s:v>
      </s:c>
      <s:c r="M24" s="460">
        <s:v>0.02</s:v>
      </s:c>
      <s:c r="N24" s="461">
        <s:f>(536943+13706)*M24*K24/L24</s:f>
        <s:v>1062.6559649122808</s:v>
      </s:c>
    </s:row>
    <s:row r="25" spans="1:14">
      <s:c r="A25" s="453"/>
      <s:c r="B25" s="430" t="str">
        <s:f>B24</s:f>
        <s:v>Афанасьева Алевтина</s:v>
      </s:c>
      <s:c r="C25" s="739"/>
      <s:c r="D25" s="740"/>
      <s:c r="E25" s="436"/>
      <s:c r="F25" s="462"/>
      <s:c r="G25" s="434"/>
      <s:c r="H25" s="420"/>
      <s:c r="I25" s="463"/>
      <s:c r="J25" s="464"/>
      <s:c r="K25" s="465"/>
      <s:c r="L25" s="466"/>
      <s:c r="M25" s="467"/>
      <s:c r="N25" s="468"/>
    </s:row>
    <s:row r="26" spans="1:14" ht="16" thickBot="1">
      <s:c r="A26" s="469"/>
      <s:c r="B26" s="470"/>
      <s:c r="C26" s="470"/>
      <s:c r="D26" s="470"/>
      <s:c r="E26" s="470"/>
      <s:c r="F26" s="470"/>
      <s:c r="G26" s="470"/>
      <s:c r="H26" s="470"/>
      <s:c r="I26" s="470"/>
      <s:c r="J26" s="470"/>
      <s:c r="K26" s="470"/>
      <s:c r="L26" s="470"/>
      <s:c r="M26" s="470"/>
      <s:c r="N26" s="471"/>
    </s:row>
  </s:sheetData>
  <s:mergeCells count="18">
    <s:mergeCell ref="D10:E10"/>
    <s:mergeCell ref="J14:K14"/>
    <s:mergeCell ref="C23:D23"/>
    <s:mergeCell ref="C24:D24"/>
    <s:mergeCell ref="C25:D25"/>
    <s:mergeCell ref="J7:K7"/>
    <s:mergeCell ref="D8:E8"/>
    <s:mergeCell ref="H8:I8"/>
    <s:mergeCell ref="J8:K8"/>
    <s:mergeCell ref="D9:E9"/>
    <s:mergeCell ref="H9:I9"/>
    <s:mergeCell ref="J9:K9"/>
    <s:mergeCell ref="A1:D1"/>
    <s:mergeCell ref="A2:C2"/>
    <s:mergeCell ref="A3:C3"/>
    <s:mergeCell ref="A4:C4"/>
    <s:mergeCell ref="D7:E7"/>
    <s:mergeCell ref="H7:I7"/>
  </s:mergeCells>
  <s:pageMargins left="0.7" right="0.7" top="0.75" bottom="0.75" header="0.3" footer="0.3"/>
  <s:pageSetup paperSize="9" fitToWidth="0" fitToHeight="0" orientation="portrait"/>
</s:worksheet>
</file>

<file path=xl/worksheets/sheet12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A00-000000000000}">
  <s:dimension ref="A1:AO33"/>
  <s:sheetViews>
    <s:sheetView tabSelected="0" zoomScale="75" workbookViewId="0">
      <s:selection activeCell="S28" sqref="S28"/>
    </s:sheetView>
  </s:sheetViews>
  <s:sheetFormatPr baseColWidth="10" defaultColWidth="11.5" defaultRowHeight="15"/>
  <s:cols>
    <s:col min="1" max="1" width="4.832" style="3" customWidth="1"/>
    <s:col min="2" max="2" width="26.664" style="3" customWidth="1"/>
    <s:col min="3" max="3" width="17" style="3" customWidth="1"/>
    <s:col min="4" max="34" width="6.332" style="3" customWidth="1"/>
    <s:col min="35" max="35" width="4.832" style="3" customWidth="1"/>
    <s:col min="36" max="36" width="11.164" style="3" customWidth="1"/>
    <s:col min="37" max="40" width="6.332" style="3" customWidth="1"/>
    <s:col min="41" max="16384" width="11.5" style="3"/>
  </s:cols>
  <s:sheetData>
    <s:row r="1" spans="1:40">
      <s:c r="A1" s="486"/>
      <s:c r="B1" s="487" t="s">
        <s:v>106</s:v>
      </s:c>
      <s:c r="C1" s="488"/>
      <s:c r="D1" s="488"/>
      <s:c r="E1" s="488"/>
      <s:c r="F1" s="488"/>
      <s:c r="G1" s="488"/>
      <s:c r="H1" s="488"/>
      <s:c r="I1" s="488"/>
      <s:c r="J1" s="488"/>
      <s:c r="K1" s="488"/>
      <s:c r="L1" s="488"/>
      <s:c r="M1" s="488"/>
      <s:c r="N1" s="488"/>
      <s:c r="O1" s="488"/>
      <s:c r="P1" s="488"/>
      <s:c r="Q1" s="488"/>
      <s:c r="R1" s="488"/>
      <s:c r="S1" s="488"/>
      <s:c r="T1" s="488" t="s">
        <s:v>71</s:v>
      </s:c>
      <s:c r="U1" s="488"/>
      <s:c r="V1" s="488"/>
      <s:c r="W1" s="488"/>
      <s:c r="X1" s="488"/>
      <s:c r="Y1" s="488"/>
      <s:c r="Z1" s="488"/>
      <s:c r="AA1" s="488"/>
      <s:c r="AB1" s="488"/>
      <s:c r="AC1" s="488"/>
      <s:c r="AD1" s="488"/>
      <s:c r="AE1" s="488"/>
      <s:c r="AF1" s="488"/>
      <s:c r="AG1" s="488"/>
      <s:c r="AH1" s="488"/>
      <s:c r="AI1" s="488"/>
      <s:c r="AJ1" s="488"/>
      <s:c r="AK1" s="488"/>
      <s:c r="AL1" s="488"/>
      <s:c r="AM1" s="488"/>
      <s:c r="AN1" s="488"/>
    </s:row>
    <s:row r="2" spans="1:40" ht="16">
      <s:c r="A2" s="486"/>
      <s:c r="B2" s="489" t="s">
        <s:v>107</s:v>
      </s:c>
      <s:c r="C2" s="490"/>
      <s:c r="D2" s="490"/>
      <s:c r="E2" s="491"/>
      <s:c r="F2" s="491"/>
      <s:c r="G2" s="491"/>
      <s:c r="H2" s="491"/>
      <s:c r="I2" s="491"/>
      <s:c r="J2" s="491"/>
      <s:c r="K2" s="491"/>
      <s:c r="L2" s="491"/>
      <s:c r="M2" s="491"/>
      <s:c r="N2" s="491"/>
      <s:c r="O2" s="491"/>
      <s:c r="P2" s="491"/>
      <s:c r="Q2" s="491"/>
      <s:c r="R2" s="491"/>
      <s:c r="S2" s="491"/>
      <s:c r="T2" s="491"/>
      <s:c r="U2" s="491"/>
      <s:c r="V2" s="491"/>
      <s:c r="W2" s="491"/>
      <s:c r="X2" s="491"/>
      <s:c r="Y2" s="491"/>
      <s:c r="Z2" s="491"/>
      <s:c r="AA2" s="491"/>
      <s:c r="AB2" s="491"/>
      <s:c r="AC2" s="491"/>
      <s:c r="AD2" s="491"/>
      <s:c r="AE2" s="491"/>
      <s:c r="AF2" s="491"/>
      <s:c r="AG2" s="491"/>
      <s:c r="AH2" s="491"/>
      <s:c r="AI2" s="491"/>
      <s:c r="AJ2" s="491"/>
      <s:c r="AK2" s="491"/>
      <s:c r="AL2" s="491"/>
      <s:c r="AM2" s="491"/>
      <s:c r="AN2" s="491"/>
    </s:row>
    <s:row r="3" spans="1:40" ht="16">
      <s:c r="A3" s="486"/>
      <s:c r="B3" s="492" t="s">
        <s:v>64</s:v>
      </s:c>
      <s:c r="C3" s="493"/>
      <s:c r="D3" s="493"/>
      <s:c r="E3" s="494"/>
      <s:c r="F3" s="494"/>
      <s:c r="G3" s="494"/>
      <s:c r="H3" s="494"/>
      <s:c r="I3" s="494"/>
      <s:c r="J3" s="494"/>
      <s:c r="K3" s="491"/>
      <s:c r="L3" s="491"/>
      <s:c r="M3" s="491"/>
      <s:c r="N3" s="491"/>
      <s:c r="O3" s="491"/>
      <s:c r="P3" s="491"/>
      <s:c r="Q3" s="491"/>
      <s:c r="R3" s="491"/>
      <s:c r="S3" s="491"/>
      <s:c r="T3" s="491"/>
      <s:c r="U3" s="491"/>
      <s:c r="V3" s="491"/>
      <s:c r="W3" s="491"/>
      <s:c r="X3" s="491"/>
      <s:c r="Y3" s="491"/>
      <s:c r="Z3" s="491"/>
      <s:c r="AA3" s="491"/>
      <s:c r="AB3" s="491"/>
      <s:c r="AC3" s="491"/>
      <s:c r="AD3" s="491"/>
      <s:c r="AE3" s="491"/>
      <s:c r="AF3" s="491"/>
      <s:c r="AG3" s="491"/>
      <s:c r="AH3" s="491"/>
      <s:c r="AI3" s="491"/>
      <s:c r="AJ3" s="491"/>
      <s:c r="AK3" s="491"/>
      <s:c r="AL3" s="491"/>
      <s:c r="AM3" s="491"/>
      <s:c r="AN3" s="491"/>
    </s:row>
    <s:row r="4" spans="1:40" ht="19">
      <s:c r="A4" s="486"/>
      <s:c r="B4" s="495" t="s">
        <s:v>108</s:v>
      </s:c>
      <s:c r="C4" s="490"/>
      <s:c r="D4" s="490"/>
      <s:c r="E4" s="491"/>
      <s:c r="F4" s="491"/>
      <s:c r="G4" s="491"/>
      <s:c r="H4" s="491"/>
      <s:c r="I4" s="491"/>
      <s:c r="J4" s="491"/>
      <s:c r="K4" s="491"/>
      <s:c r="L4" s="491"/>
      <s:c r="M4" s="491"/>
      <s:c r="N4" s="491"/>
      <s:c r="O4" s="491"/>
      <s:c r="P4" s="491"/>
      <s:c r="Q4" s="491"/>
      <s:c r="R4" s="491"/>
      <s:c r="S4" s="491"/>
      <s:c r="T4" s="491"/>
      <s:c r="U4" s="491"/>
      <s:c r="V4" s="491"/>
      <s:c r="W4" s="491"/>
      <s:c r="X4" s="491"/>
      <s:c r="Y4" s="491"/>
      <s:c r="Z4" s="491"/>
      <s:c r="AA4" s="491"/>
      <s:c r="AB4" s="491"/>
      <s:c r="AC4" s="491"/>
      <s:c r="AD4" s="491"/>
      <s:c r="AE4" s="491"/>
      <s:c r="AF4" s="491"/>
      <s:c r="AG4" s="491"/>
      <s:c r="AH4" s="491"/>
      <s:c r="AI4" s="491"/>
      <s:c r="AJ4" s="491"/>
      <s:c r="AK4" s="491"/>
      <s:c r="AL4" s="491"/>
      <s:c r="AM4" s="491"/>
      <s:c r="AN4" s="491"/>
    </s:row>
    <s:row r="5" spans="1:40" ht="16">
      <s:c r="A5" s="486"/>
      <s:c r="B5" s="496" t="s">
        <s:v>109</s:v>
      </s:c>
      <s:c r="C5" s="491"/>
      <s:c r="D5" s="491"/>
      <s:c r="E5" s="491"/>
      <s:c r="F5" s="491"/>
      <s:c r="G5" s="491"/>
      <s:c r="H5" s="491"/>
      <s:c r="I5" s="491"/>
      <s:c r="J5" s="491"/>
      <s:c r="K5" s="491"/>
      <s:c r="L5" s="491"/>
      <s:c r="M5" s="491"/>
      <s:c r="N5" s="491"/>
      <s:c r="O5" s="491"/>
      <s:c r="P5" s="491"/>
      <s:c r="Q5" s="491"/>
      <s:c r="R5" s="491"/>
      <s:c r="S5" s="491"/>
      <s:c r="T5" s="491"/>
      <s:c r="U5" s="491"/>
      <s:c r="V5" s="491"/>
      <s:c r="W5" s="491"/>
      <s:c r="X5" s="491"/>
      <s:c r="Y5" s="491"/>
      <s:c r="Z5" s="491"/>
      <s:c r="AA5" s="491"/>
      <s:c r="AB5" s="491"/>
      <s:c r="AC5" s="491"/>
      <s:c r="AD5" s="491"/>
      <s:c r="AE5" s="491"/>
      <s:c r="AF5" s="491"/>
      <s:c r="AG5" s="491"/>
      <s:c r="AH5" s="491"/>
      <s:c r="AI5" s="491"/>
      <s:c r="AJ5" s="743"/>
      <s:c r="AK5" s="744"/>
      <s:c r="AL5" s="745"/>
      <s:c r="AM5" s="746"/>
      <s:c r="AN5" s="747"/>
    </s:row>
    <s:row r="6" spans="1:40">
      <s:c r="A6" s="486"/>
      <s:c r="B6" s="497" t="s">
        <s:v>110</s:v>
      </s:c>
      <s:c r="C6" s="748" t="s">
        <s:v>111</s:v>
      </s:c>
      <s:c r="D6" s="749"/>
      <s:c r="E6" s="749"/>
      <s:c r="F6" s="749"/>
      <s:c r="G6" s="749"/>
      <s:c r="H6" s="749"/>
      <s:c r="I6" s="749"/>
      <s:c r="J6" s="749"/>
      <s:c r="K6" s="749"/>
      <s:c r="L6" s="749"/>
      <s:c r="M6" s="749"/>
      <s:c r="N6" s="749"/>
      <s:c r="O6" s="749"/>
      <s:c r="P6" s="749"/>
      <s:c r="Q6" s="749"/>
      <s:c r="R6" s="749"/>
      <s:c r="S6" s="749"/>
      <s:c r="T6" s="749"/>
      <s:c r="U6" s="749"/>
      <s:c r="V6" s="749"/>
      <s:c r="W6" s="749"/>
      <s:c r="X6" s="749"/>
      <s:c r="Y6" s="749"/>
      <s:c r="Z6" s="749"/>
      <s:c r="AA6" s="749"/>
      <s:c r="AB6" s="749"/>
      <s:c r="AC6" s="749"/>
      <s:c r="AD6" s="749"/>
      <s:c r="AE6" s="749"/>
      <s:c r="AF6" s="749"/>
      <s:c r="AG6" s="749"/>
      <s:c r="AH6" s="749"/>
      <s:c r="AI6" s="749"/>
      <s:c r="AJ6" s="750"/>
      <s:c r="AK6" s="498">
        <s:v>30</s:v>
      </s:c>
      <s:c r="AL6" s="499"/>
      <s:c r="AM6" s="499"/>
      <s:c r="AN6" s="499"/>
    </s:row>
    <s:row r="7" spans="1:40">
      <s:c r="A7" s="500"/>
      <s:c r="B7" s="501" t="e">
        <s:f>BT31*100/BH31</s:f>
        <s:v>#DIV/0!</s:v>
      </s:c>
      <s:c r="C7" s="748"/>
      <s:c r="D7" s="749"/>
      <s:c r="E7" s="749"/>
      <s:c r="F7" s="749"/>
      <s:c r="G7" s="749"/>
      <s:c r="H7" s="749"/>
      <s:c r="I7" s="749"/>
      <s:c r="J7" s="749"/>
      <s:c r="K7" s="749"/>
      <s:c r="L7" s="749"/>
      <s:c r="M7" s="749"/>
      <s:c r="N7" s="749"/>
      <s:c r="O7" s="749"/>
      <s:c r="P7" s="749"/>
      <s:c r="Q7" s="749"/>
      <s:c r="R7" s="749"/>
      <s:c r="S7" s="749"/>
      <s:c r="T7" s="749"/>
      <s:c r="U7" s="749"/>
      <s:c r="V7" s="749"/>
      <s:c r="W7" s="749"/>
      <s:c r="X7" s="749"/>
      <s:c r="Y7" s="749"/>
      <s:c r="Z7" s="749"/>
      <s:c r="AA7" s="749"/>
      <s:c r="AB7" s="749"/>
      <s:c r="AC7" s="749"/>
      <s:c r="AD7" s="749"/>
      <s:c r="AE7" s="749"/>
      <s:c r="AF7" s="749"/>
      <s:c r="AG7" s="749"/>
      <s:c r="AH7" s="749"/>
      <s:c r="AI7" s="749"/>
      <s:c r="AJ7" s="750"/>
      <s:c r="AK7" s="502"/>
      <s:c r="AL7" s="502"/>
      <s:c r="AM7" s="503"/>
      <s:c r="AN7" s="503"/>
    </s:row>
    <s:row r="8" spans="1:40" ht="30">
      <s:c r="A8" s="504"/>
      <s:c r="B8" s="505"/>
      <s:c r="C8" s="506"/>
      <s:c r="D8" s="507" t="s">
        <s:v>48</s:v>
      </s:c>
      <s:c r="E8" s="507" t="s">
        <s:v>49</s:v>
      </s:c>
      <s:c r="F8" s="507" t="s">
        <s:v>51</s:v>
      </s:c>
      <s:c r="G8" s="507" t="s">
        <s:v>52</s:v>
      </s:c>
      <s:c r="H8" s="507" t="s">
        <s:v>53</s:v>
      </s:c>
      <s:c r="I8" s="507" t="s">
        <s:v>54</s:v>
      </s:c>
      <s:c r="J8" s="507" t="s">
        <s:v>55</s:v>
      </s:c>
      <s:c r="K8" s="507" t="s">
        <s:v>48</s:v>
      </s:c>
      <s:c r="L8" s="507" t="s">
        <s:v>49</s:v>
      </s:c>
      <s:c r="M8" s="507" t="s">
        <s:v>51</s:v>
      </s:c>
      <s:c r="N8" s="507" t="s">
        <s:v>52</s:v>
      </s:c>
      <s:c r="O8" s="507" t="s">
        <s:v>53</s:v>
      </s:c>
      <s:c r="P8" s="507" t="s">
        <s:v>54</s:v>
      </s:c>
      <s:c r="Q8" s="507" t="s">
        <s:v>55</s:v>
      </s:c>
      <s:c r="R8" s="507" t="s">
        <s:v>48</s:v>
      </s:c>
      <s:c r="S8" s="507" t="s">
        <s:v>49</s:v>
      </s:c>
      <s:c r="T8" s="507" t="s">
        <s:v>51</s:v>
      </s:c>
      <s:c r="U8" s="507" t="s">
        <s:v>52</s:v>
      </s:c>
      <s:c r="V8" s="507" t="s">
        <s:v>53</s:v>
      </s:c>
      <s:c r="W8" s="507" t="s">
        <s:v>54</s:v>
      </s:c>
      <s:c r="X8" s="507" t="s">
        <s:v>55</s:v>
      </s:c>
      <s:c r="Y8" s="507" t="s">
        <s:v>48</s:v>
      </s:c>
      <s:c r="Z8" s="507" t="s">
        <s:v>49</s:v>
      </s:c>
      <s:c r="AA8" s="507" t="s">
        <s:v>51</s:v>
      </s:c>
      <s:c r="AB8" s="507" t="s">
        <s:v>52</s:v>
      </s:c>
      <s:c r="AC8" s="507" t="s">
        <s:v>53</s:v>
      </s:c>
      <s:c r="AD8" s="507" t="s">
        <s:v>54</s:v>
      </s:c>
      <s:c r="AE8" s="507" t="s">
        <s:v>55</s:v>
      </s:c>
      <s:c r="AF8" s="507" t="s">
        <s:v>48</s:v>
      </s:c>
      <s:c r="AG8" s="507" t="s">
        <s:v>49</s:v>
      </s:c>
      <s:c r="AH8" s="507"/>
      <s:c r="AI8" s="508"/>
      <s:c r="AJ8" s="509" t="s">
        <s:v>112</s:v>
      </s:c>
      <s:c r="AK8" s="509" t="s">
        <s:v>113</s:v>
      </s:c>
      <s:c r="AL8" s="751" t="s">
        <s:v>114</s:v>
      </s:c>
      <s:c r="AM8" s="751" t="s">
        <s:v>115</s:v>
      </s:c>
      <s:c r="AN8" s="755" t="s">
        <s:v>116</s:v>
      </s:c>
    </s:row>
    <s:row r="9" spans="1:40">
      <s:c r="A9" s="486"/>
      <s:c r="B9" s="491"/>
      <s:c r="C9" s="510"/>
      <s:c r="D9" s="511"/>
      <s:c r="E9" s="511"/>
      <s:c r="F9" s="511"/>
      <s:c r="G9" s="511"/>
      <s:c r="H9" s="511"/>
      <s:c r="I9" s="511"/>
      <s:c r="J9" s="511"/>
      <s:c r="K9" s="511"/>
      <s:c r="L9" s="511"/>
      <s:c r="M9" s="511"/>
      <s:c r="N9" s="511"/>
      <s:c r="O9" s="511"/>
      <s:c r="P9" s="511"/>
      <s:c r="Q9" s="511"/>
      <s:c r="R9" s="511"/>
      <s:c r="S9" s="511"/>
      <s:c r="T9" s="511"/>
      <s:c r="U9" s="511"/>
      <s:c r="V9" s="511"/>
      <s:c r="W9" s="511"/>
      <s:c r="X9" s="511"/>
      <s:c r="Y9" s="511"/>
      <s:c r="Z9" s="511"/>
      <s:c r="AA9" s="511"/>
      <s:c r="AB9" s="511"/>
      <s:c r="AC9" s="511"/>
      <s:c r="AD9" s="511"/>
      <s:c r="AE9" s="511"/>
      <s:c r="AF9" s="511"/>
      <s:c r="AG9" s="511"/>
      <s:c r="AH9" s="511"/>
      <s:c r="AI9" s="512"/>
      <s:c r="AJ9" s="513"/>
      <s:c r="AK9" s="513"/>
      <s:c r="AL9" s="752"/>
      <s:c r="AM9" s="752"/>
      <s:c r="AN9" s="756"/>
    </s:row>
    <s:row r="10" spans="1:40">
      <s:c r="A10" s="514" t="s">
        <s:v>117</s:v>
      </s:c>
      <s:c r="B10" s="515" t="s">
        <s:v>118</s:v>
      </s:c>
      <s:c r="C10" s="516" t="s">
        <s:v>90</s:v>
      </s:c>
      <s:c r="D10" s="517">
        <s:v>1</s:v>
      </s:c>
      <s:c r="E10" s="517">
        <s:v>2</s:v>
      </s:c>
      <s:c r="F10" s="517">
        <s:v>3</s:v>
      </s:c>
      <s:c r="G10" s="517">
        <s:v>4</s:v>
      </s:c>
      <s:c r="H10" s="517">
        <s:v>5</s:v>
      </s:c>
      <s:c r="I10" s="517">
        <s:v>6</s:v>
      </s:c>
      <s:c r="J10" s="517">
        <s:v>7</s:v>
      </s:c>
      <s:c r="K10" s="517">
        <s:v>8</s:v>
      </s:c>
      <s:c r="L10" s="517">
        <s:v>9</s:v>
      </s:c>
      <s:c r="M10" s="517">
        <s:v>10</s:v>
      </s:c>
      <s:c r="N10" s="517">
        <s:v>11</s:v>
      </s:c>
      <s:c r="O10" s="517">
        <s:v>12</s:v>
      </s:c>
      <s:c r="P10" s="517">
        <s:v>13</s:v>
      </s:c>
      <s:c r="Q10" s="517">
        <s:v>14</s:v>
      </s:c>
      <s:c r="R10" s="517">
        <s:v>15</s:v>
      </s:c>
      <s:c r="S10" s="517">
        <s:v>16</s:v>
      </s:c>
      <s:c r="T10" s="517">
        <s:v>17</s:v>
      </s:c>
      <s:c r="U10" s="517">
        <s:v>18</s:v>
      </s:c>
      <s:c r="V10" s="517">
        <s:v>19</s:v>
      </s:c>
      <s:c r="W10" s="517">
        <s:v>20</s:v>
      </s:c>
      <s:c r="X10" s="517">
        <s:v>21</s:v>
      </s:c>
      <s:c r="Y10" s="517">
        <s:v>22</s:v>
      </s:c>
      <s:c r="Z10" s="517">
        <s:v>23</s:v>
      </s:c>
      <s:c r="AA10" s="517">
        <s:v>24</s:v>
      </s:c>
      <s:c r="AB10" s="517">
        <s:v>25</s:v>
      </s:c>
      <s:c r="AC10" s="517">
        <s:v>26</s:v>
      </s:c>
      <s:c r="AD10" s="517">
        <s:v>27</s:v>
      </s:c>
      <s:c r="AE10" s="517">
        <s:v>28</s:v>
      </s:c>
      <s:c r="AF10" s="517">
        <s:v>29</s:v>
      </s:c>
      <s:c r="AG10" s="517">
        <s:v>30</s:v>
      </s:c>
      <s:c r="AH10" s="517">
        <s:v>31</s:v>
      </s:c>
      <s:c r="AI10" s="518" t="s">
        <s:v>119</s:v>
      </s:c>
      <s:c r="AJ10" s="519"/>
      <s:c r="AK10" s="520"/>
      <s:c r="AL10" s="753"/>
      <s:c r="AM10" s="754"/>
      <s:c r="AN10" s="757"/>
    </s:row>
    <s:row r="11" spans="1:40">
      <s:c r="A11" s="521">
        <s:v>20</s:v>
      </s:c>
      <s:c r="B11" s="522"/>
      <s:c r="C11" s="523"/>
      <s:c r="D11" s="523"/>
      <s:c r="E11" s="523"/>
      <s:c r="F11" s="523"/>
      <s:c r="G11" s="523"/>
      <s:c r="H11" s="523"/>
      <s:c r="I11" s="523"/>
      <s:c r="J11" s="523"/>
      <s:c r="K11" s="523"/>
      <s:c r="L11" s="523"/>
      <s:c r="M11" s="523"/>
      <s:c r="N11" s="523"/>
      <s:c r="O11" s="523"/>
      <s:c r="P11" s="523"/>
      <s:c r="Q11" s="523"/>
      <s:c r="R11" s="523"/>
      <s:c r="S11" s="523"/>
      <s:c r="T11" s="523"/>
      <s:c r="U11" s="523"/>
      <s:c r="V11" s="523"/>
      <s:c r="W11" s="523"/>
      <s:c r="X11" s="523"/>
      <s:c r="Y11" s="523"/>
      <s:c r="Z11" s="524"/>
      <s:c r="AA11" s="524"/>
      <s:c r="AB11" s="524"/>
      <s:c r="AC11" s="524"/>
      <s:c r="AD11" s="524"/>
      <s:c r="AE11" s="524"/>
      <s:c r="AF11" s="523"/>
      <s:c r="AG11" s="523"/>
      <s:c r="AH11" s="525"/>
      <s:c r="AI11" s="526">
        <s:v>0</s:v>
      </s:c>
      <s:c r="AJ11" s="527">
        <s:v>0</s:v>
      </s:c>
      <s:c r="AK11" s="528">
        <s:v>0</s:v>
      </s:c>
      <s:c r="AL11" s="528">
        <s:v>0</s:v>
      </s:c>
      <s:c r="AM11" s="528">
        <s:v>0</s:v>
      </s:c>
      <s:c r="AN11" s="529">
        <s:v>0</s:v>
      </s:c>
    </s:row>
    <s:row r="12" spans="1:40">
      <s:c r="A12" s="530">
        <s:v>19</s:v>
      </s:c>
      <s:c r="B12" s="531"/>
      <s:c r="C12" s="532"/>
      <s:c r="D12" s="532"/>
      <s:c r="E12" s="532"/>
      <s:c r="F12" s="532"/>
      <s:c r="G12" s="532"/>
      <s:c r="H12" s="532"/>
      <s:c r="I12" s="532"/>
      <s:c r="J12" s="532"/>
      <s:c r="K12" s="532"/>
      <s:c r="L12" s="532"/>
      <s:c r="M12" s="532"/>
      <s:c r="N12" s="532"/>
      <s:c r="O12" s="532"/>
      <s:c r="P12" s="532"/>
      <s:c r="Q12" s="532"/>
      <s:c r="R12" s="532"/>
      <s:c r="S12" s="532"/>
      <s:c r="T12" s="532"/>
      <s:c r="U12" s="532"/>
      <s:c r="V12" s="532"/>
      <s:c r="W12" s="532"/>
      <s:c r="X12" s="532"/>
      <s:c r="Y12" s="532"/>
      <s:c r="Z12" s="533"/>
      <s:c r="AA12" s="533"/>
      <s:c r="AB12" s="533"/>
      <s:c r="AC12" s="533"/>
      <s:c r="AD12" s="533"/>
      <s:c r="AE12" s="533"/>
      <s:c r="AF12" s="532"/>
      <s:c r="AG12" s="532"/>
      <s:c r="AH12" s="534"/>
      <s:c r="AI12" s="535">
        <s:v>0</s:v>
      </s:c>
      <s:c r="AJ12" s="536">
        <s:v>0</s:v>
      </s:c>
      <s:c r="AK12" s="537">
        <s:v>0</s:v>
      </s:c>
      <s:c r="AL12" s="537">
        <s:v>0</s:v>
      </s:c>
      <s:c r="AM12" s="537">
        <s:v>0</s:v>
      </s:c>
      <s:c r="AN12" s="538">
        <s:v>0</s:v>
      </s:c>
    </s:row>
    <s:row r="13" spans="1:40">
      <s:c r="A13" s="530">
        <s:v>18</s:v>
      </s:c>
      <s:c r="B13" s="531"/>
      <s:c r="C13" s="532"/>
      <s:c r="D13" s="532"/>
      <s:c r="E13" s="532"/>
      <s:c r="F13" s="532"/>
      <s:c r="G13" s="532"/>
      <s:c r="H13" s="532"/>
      <s:c r="I13" s="532"/>
      <s:c r="J13" s="532"/>
      <s:c r="K13" s="532"/>
      <s:c r="L13" s="532"/>
      <s:c r="M13" s="532"/>
      <s:c r="N13" s="532"/>
      <s:c r="O13" s="532"/>
      <s:c r="P13" s="532"/>
      <s:c r="Q13" s="532"/>
      <s:c r="R13" s="532"/>
      <s:c r="S13" s="532"/>
      <s:c r="T13" s="532"/>
      <s:c r="U13" s="532"/>
      <s:c r="V13" s="532"/>
      <s:c r="W13" s="532"/>
      <s:c r="X13" s="532"/>
      <s:c r="Y13" s="532"/>
      <s:c r="Z13" s="533"/>
      <s:c r="AA13" s="533"/>
      <s:c r="AB13" s="533"/>
      <s:c r="AC13" s="533"/>
      <s:c r="AD13" s="533"/>
      <s:c r="AE13" s="533"/>
      <s:c r="AF13" s="532"/>
      <s:c r="AG13" s="532"/>
      <s:c r="AH13" s="534"/>
      <s:c r="AI13" s="535">
        <s:v>0</s:v>
      </s:c>
      <s:c r="AJ13" s="527">
        <s:v>0</s:v>
      </s:c>
      <s:c r="AK13" s="528">
        <s:v>0</s:v>
      </s:c>
      <s:c r="AL13" s="528">
        <s:v>0</s:v>
      </s:c>
      <s:c r="AM13" s="528">
        <s:v>0</s:v>
      </s:c>
      <s:c r="AN13" s="529">
        <s:v>0</s:v>
      </s:c>
    </s:row>
    <s:row r="14" spans="1:40">
      <s:c r="A14" s="530">
        <s:v>17</s:v>
      </s:c>
      <s:c r="B14" s="531"/>
      <s:c r="C14" s="532"/>
      <s:c r="D14" s="532"/>
      <s:c r="E14" s="532"/>
      <s:c r="F14" s="532"/>
      <s:c r="G14" s="532"/>
      <s:c r="H14" s="532"/>
      <s:c r="I14" s="532"/>
      <s:c r="J14" s="532"/>
      <s:c r="K14" s="532"/>
      <s:c r="L14" s="532"/>
      <s:c r="M14" s="532"/>
      <s:c r="N14" s="532"/>
      <s:c r="O14" s="532"/>
      <s:c r="P14" s="532"/>
      <s:c r="Q14" s="532"/>
      <s:c r="R14" s="532"/>
      <s:c r="S14" s="532"/>
      <s:c r="T14" s="532"/>
      <s:c r="U14" s="532"/>
      <s:c r="V14" s="532"/>
      <s:c r="W14" s="532"/>
      <s:c r="X14" s="532"/>
      <s:c r="Y14" s="532"/>
      <s:c r="Z14" s="532"/>
      <s:c r="AA14" s="532"/>
      <s:c r="AB14" s="532"/>
      <s:c r="AC14" s="532"/>
      <s:c r="AD14" s="532"/>
      <s:c r="AE14" s="532"/>
      <s:c r="AF14" s="532"/>
      <s:c r="AG14" s="532"/>
      <s:c r="AH14" s="534"/>
      <s:c r="AI14" s="535">
        <s:v>0</s:v>
      </s:c>
      <s:c r="AJ14" s="536">
        <s:v>0</s:v>
      </s:c>
      <s:c r="AK14" s="537">
        <s:v>0</s:v>
      </s:c>
      <s:c r="AL14" s="537">
        <s:v>0</s:v>
      </s:c>
      <s:c r="AM14" s="537">
        <s:v>0</s:v>
      </s:c>
      <s:c r="AN14" s="538">
        <s:v>0</s:v>
      </s:c>
    </s:row>
    <s:row r="15" spans="1:40">
      <s:c r="A15" s="530">
        <s:v>16</s:v>
      </s:c>
      <s:c r="B15" s="531"/>
      <s:c r="C15" s="532"/>
      <s:c r="D15" s="532"/>
      <s:c r="E15" s="532"/>
      <s:c r="F15" s="532"/>
      <s:c r="G15" s="532"/>
      <s:c r="H15" s="532"/>
      <s:c r="I15" s="532"/>
      <s:c r="J15" s="532"/>
      <s:c r="K15" s="532"/>
      <s:c r="L15" s="532"/>
      <s:c r="M15" s="532"/>
      <s:c r="N15" s="532"/>
      <s:c r="O15" s="532"/>
      <s:c r="P15" s="532"/>
      <s:c r="Q15" s="532"/>
      <s:c r="R15" s="532"/>
      <s:c r="S15" s="532"/>
      <s:c r="T15" s="532"/>
      <s:c r="U15" s="532"/>
      <s:c r="V15" s="532"/>
      <s:c r="W15" s="532"/>
      <s:c r="X15" s="532"/>
      <s:c r="Y15" s="532"/>
      <s:c r="Z15" s="532"/>
      <s:c r="AA15" s="532"/>
      <s:c r="AB15" s="532"/>
      <s:c r="AC15" s="532"/>
      <s:c r="AD15" s="532"/>
      <s:c r="AE15" s="532"/>
      <s:c r="AF15" s="532"/>
      <s:c r="AG15" s="532"/>
      <s:c r="AH15" s="534"/>
      <s:c r="AI15" s="535">
        <s:v>0</s:v>
      </s:c>
      <s:c r="AJ15" s="527">
        <s:v>0</s:v>
      </s:c>
      <s:c r="AK15" s="528">
        <s:v>0</s:v>
      </s:c>
      <s:c r="AL15" s="528">
        <s:v>0</s:v>
      </s:c>
      <s:c r="AM15" s="528">
        <s:v>0</s:v>
      </s:c>
      <s:c r="AN15" s="529">
        <s:v>0</s:v>
      </s:c>
    </s:row>
    <s:row r="16" spans="1:40">
      <s:c r="A16" s="530">
        <s:v>15</s:v>
      </s:c>
      <s:c r="B16" s="531"/>
      <s:c r="C16" s="532"/>
      <s:c r="D16" s="532"/>
      <s:c r="E16" s="532"/>
      <s:c r="F16" s="532"/>
      <s:c r="G16" s="532"/>
      <s:c r="H16" s="532"/>
      <s:c r="I16" s="532"/>
      <s:c r="J16" s="532"/>
      <s:c r="K16" s="532"/>
      <s:c r="L16" s="532"/>
      <s:c r="M16" s="532"/>
      <s:c r="N16" s="532"/>
      <s:c r="O16" s="532"/>
      <s:c r="P16" s="532"/>
      <s:c r="Q16" s="532"/>
      <s:c r="R16" s="532"/>
      <s:c r="S16" s="532"/>
      <s:c r="T16" s="532"/>
      <s:c r="U16" s="532"/>
      <s:c r="V16" s="532"/>
      <s:c r="W16" s="532"/>
      <s:c r="X16" s="532"/>
      <s:c r="Y16" s="532"/>
      <s:c r="Z16" s="532"/>
      <s:c r="AA16" s="532"/>
      <s:c r="AB16" s="532"/>
      <s:c r="AC16" s="532"/>
      <s:c r="AD16" s="532"/>
      <s:c r="AE16" s="532"/>
      <s:c r="AF16" s="532"/>
      <s:c r="AG16" s="532"/>
      <s:c r="AH16" s="534"/>
      <s:c r="AI16" s="535">
        <s:v>0</s:v>
      </s:c>
      <s:c r="AJ16" s="536">
        <s:v>0</s:v>
      </s:c>
      <s:c r="AK16" s="537">
        <s:v>0</s:v>
      </s:c>
      <s:c r="AL16" s="537">
        <s:v>0</s:v>
      </s:c>
      <s:c r="AM16" s="537">
        <s:v>0</s:v>
      </s:c>
      <s:c r="AN16" s="538">
        <s:v>0</s:v>
      </s:c>
    </s:row>
    <s:row r="17" spans="1:41">
      <s:c r="A17" s="530">
        <s:v>14</s:v>
      </s:c>
      <s:c r="B17" s="531"/>
      <s:c r="C17" s="532"/>
      <s:c r="D17" s="532"/>
      <s:c r="E17" s="532"/>
      <s:c r="F17" s="532"/>
      <s:c r="G17" s="532"/>
      <s:c r="H17" s="532"/>
      <s:c r="I17" s="532"/>
      <s:c r="J17" s="532"/>
      <s:c r="K17" s="532"/>
      <s:c r="L17" s="532"/>
      <s:c r="M17" s="532"/>
      <s:c r="N17" s="532"/>
      <s:c r="O17" s="532"/>
      <s:c r="P17" s="532"/>
      <s:c r="Q17" s="532"/>
      <s:c r="R17" s="532"/>
      <s:c r="S17" s="532"/>
      <s:c r="T17" s="532"/>
      <s:c r="U17" s="532"/>
      <s:c r="V17" s="532"/>
      <s:c r="W17" s="532"/>
      <s:c r="X17" s="532"/>
      <s:c r="Y17" s="532"/>
      <s:c r="Z17" s="532"/>
      <s:c r="AA17" s="532"/>
      <s:c r="AB17" s="532"/>
      <s:c r="AC17" s="532"/>
      <s:c r="AD17" s="532"/>
      <s:c r="AE17" s="532"/>
      <s:c r="AF17" s="532"/>
      <s:c r="AG17" s="532"/>
      <s:c r="AH17" s="534"/>
      <s:c r="AI17" s="535">
        <s:v>0</s:v>
      </s:c>
      <s:c r="AJ17" s="536">
        <s:v>0</s:v>
      </s:c>
      <s:c r="AK17" s="537">
        <s:v>0</s:v>
      </s:c>
      <s:c r="AL17" s="537">
        <s:v>0</s:v>
      </s:c>
      <s:c r="AM17" s="537">
        <s:v>0</s:v>
      </s:c>
      <s:c r="AN17" s="538">
        <s:v>0</s:v>
      </s:c>
    </s:row>
    <s:row r="18" spans="1:41">
      <s:c r="A18" s="530">
        <s:v>13</s:v>
      </s:c>
      <s:c r="B18" s="531"/>
      <s:c r="C18" s="532"/>
      <s:c r="D18" s="532"/>
      <s:c r="E18" s="532"/>
      <s:c r="F18" s="532"/>
      <s:c r="G18" s="532"/>
      <s:c r="H18" s="532"/>
      <s:c r="I18" s="532"/>
      <s:c r="J18" s="532"/>
      <s:c r="K18" s="532"/>
      <s:c r="L18" s="532"/>
      <s:c r="M18" s="532"/>
      <s:c r="N18" s="532"/>
      <s:c r="O18" s="532"/>
      <s:c r="P18" s="532"/>
      <s:c r="Q18" s="532"/>
      <s:c r="R18" s="532"/>
      <s:c r="S18" s="532"/>
      <s:c r="T18" s="532"/>
      <s:c r="U18" s="532"/>
      <s:c r="V18" s="532"/>
      <s:c r="W18" s="532"/>
      <s:c r="X18" s="532"/>
      <s:c r="Y18" s="532"/>
      <s:c r="Z18" s="532"/>
      <s:c r="AA18" s="532"/>
      <s:c r="AB18" s="532"/>
      <s:c r="AC18" s="532"/>
      <s:c r="AD18" s="532"/>
      <s:c r="AE18" s="532"/>
      <s:c r="AF18" s="532"/>
      <s:c r="AG18" s="532"/>
      <s:c r="AH18" s="534"/>
      <s:c r="AI18" s="535">
        <s:v>0</s:v>
      </s:c>
      <s:c r="AJ18" s="536">
        <s:v>0</s:v>
      </s:c>
      <s:c r="AK18" s="537">
        <s:v>0</s:v>
      </s:c>
      <s:c r="AL18" s="537">
        <s:v>0</s:v>
      </s:c>
      <s:c r="AM18" s="537">
        <s:v>0</s:v>
      </s:c>
      <s:c r="AN18" s="538">
        <s:v>0</s:v>
      </s:c>
    </s:row>
    <s:row r="19" spans="1:41">
      <s:c r="A19" s="530">
        <s:v>12</s:v>
      </s:c>
      <s:c r="B19" s="531"/>
      <s:c r="C19" s="532"/>
      <s:c r="D19" s="532"/>
      <s:c r="E19" s="532"/>
      <s:c r="F19" s="532"/>
      <s:c r="G19" s="532"/>
      <s:c r="H19" s="532"/>
      <s:c r="I19" s="532"/>
      <s:c r="J19" s="532"/>
      <s:c r="K19" s="532"/>
      <s:c r="L19" s="532"/>
      <s:c r="M19" s="532"/>
      <s:c r="N19" s="532"/>
      <s:c r="O19" s="532"/>
      <s:c r="P19" s="532"/>
      <s:c r="Q19" s="532"/>
      <s:c r="R19" s="532"/>
      <s:c r="S19" s="532"/>
      <s:c r="T19" s="532"/>
      <s:c r="U19" s="532"/>
      <s:c r="V19" s="532"/>
      <s:c r="W19" s="532"/>
      <s:c r="X19" s="532"/>
      <s:c r="Y19" s="532"/>
      <s:c r="Z19" s="532"/>
      <s:c r="AA19" s="532"/>
      <s:c r="AB19" s="532"/>
      <s:c r="AC19" s="532"/>
      <s:c r="AD19" s="532"/>
      <s:c r="AE19" s="532"/>
      <s:c r="AF19" s="532"/>
      <s:c r="AG19" s="532"/>
      <s:c r="AH19" s="534"/>
      <s:c r="AI19" s="535">
        <s:v>0</s:v>
      </s:c>
      <s:c r="AJ19" s="536">
        <s:v>0</s:v>
      </s:c>
      <s:c r="AK19" s="537">
        <s:v>0</s:v>
      </s:c>
      <s:c r="AL19" s="537">
        <s:v>0</s:v>
      </s:c>
      <s:c r="AM19" s="537">
        <s:v>0</s:v>
      </s:c>
      <s:c r="AN19" s="538">
        <s:v>0</s:v>
      </s:c>
    </s:row>
    <s:row r="20" spans="1:41">
      <s:c r="A20" s="530">
        <s:v>11</s:v>
      </s:c>
      <s:c r="B20" s="531"/>
      <s:c r="C20" s="532"/>
      <s:c r="D20" s="532"/>
      <s:c r="E20" s="532"/>
      <s:c r="F20" s="532"/>
      <s:c r="G20" s="532"/>
      <s:c r="H20" s="532"/>
      <s:c r="I20" s="532"/>
      <s:c r="J20" s="532"/>
      <s:c r="K20" s="532"/>
      <s:c r="L20" s="532"/>
      <s:c r="M20" s="532"/>
      <s:c r="N20" s="532"/>
      <s:c r="O20" s="532"/>
      <s:c r="P20" s="532"/>
      <s:c r="Q20" s="532"/>
      <s:c r="R20" s="532"/>
      <s:c r="S20" s="532"/>
      <s:c r="T20" s="532"/>
      <s:c r="U20" s="532"/>
      <s:c r="V20" s="532"/>
      <s:c r="W20" s="532"/>
      <s:c r="X20" s="532"/>
      <s:c r="Y20" s="532"/>
      <s:c r="Z20" s="532"/>
      <s:c r="AA20" s="532"/>
      <s:c r="AB20" s="532"/>
      <s:c r="AC20" s="532"/>
      <s:c r="AD20" s="532"/>
      <s:c r="AE20" s="532"/>
      <s:c r="AF20" s="532"/>
      <s:c r="AG20" s="532"/>
      <s:c r="AH20" s="534"/>
      <s:c r="AI20" s="535">
        <s:v>0</s:v>
      </s:c>
      <s:c r="AJ20" s="536">
        <s:v>0</s:v>
      </s:c>
      <s:c r="AK20" s="537">
        <s:v>0</s:v>
      </s:c>
      <s:c r="AL20" s="537">
        <s:v>0</s:v>
      </s:c>
      <s:c r="AM20" s="537">
        <s:v>0</s:v>
      </s:c>
      <s:c r="AN20" s="538">
        <s:v>0</s:v>
      </s:c>
    </s:row>
    <s:row r="21" spans="1:41">
      <s:c r="A21" s="530">
        <s:v>10</s:v>
      </s:c>
      <s:c r="B21" s="531"/>
      <s:c r="C21" s="532"/>
      <s:c r="D21" s="532"/>
      <s:c r="E21" s="532"/>
      <s:c r="F21" s="532"/>
      <s:c r="G21" s="532"/>
      <s:c r="H21" s="532"/>
      <s:c r="I21" s="532"/>
      <s:c r="J21" s="532"/>
      <s:c r="K21" s="532"/>
      <s:c r="L21" s="532"/>
      <s:c r="M21" s="532"/>
      <s:c r="N21" s="532"/>
      <s:c r="O21" s="532"/>
      <s:c r="P21" s="532"/>
      <s:c r="Q21" s="532"/>
      <s:c r="R21" s="532"/>
      <s:c r="S21" s="532"/>
      <s:c r="T21" s="532"/>
      <s:c r="U21" s="532"/>
      <s:c r="V21" s="532"/>
      <s:c r="W21" s="532"/>
      <s:c r="X21" s="532"/>
      <s:c r="Y21" s="532"/>
      <s:c r="Z21" s="532"/>
      <s:c r="AA21" s="532"/>
      <s:c r="AB21" s="532"/>
      <s:c r="AC21" s="532"/>
      <s:c r="AD21" s="532"/>
      <s:c r="AE21" s="532"/>
      <s:c r="AF21" s="532"/>
      <s:c r="AG21" s="532"/>
      <s:c r="AH21" s="534"/>
      <s:c r="AI21" s="535">
        <s:v>0</s:v>
      </s:c>
      <s:c r="AJ21" s="536">
        <s:v>0</s:v>
      </s:c>
      <s:c r="AK21" s="537">
        <s:v>0</s:v>
      </s:c>
      <s:c r="AL21" s="537">
        <s:v>0</s:v>
      </s:c>
      <s:c r="AM21" s="537">
        <s:v>0</s:v>
      </s:c>
      <s:c r="AN21" s="538">
        <s:v>0</s:v>
      </s:c>
    </s:row>
    <s:row r="22" spans="1:41">
      <s:c r="A22" s="530">
        <s:v>9</s:v>
      </s:c>
      <s:c r="B22" s="531"/>
      <s:c r="C22" s="532"/>
      <s:c r="D22" s="532"/>
      <s:c r="E22" s="532"/>
      <s:c r="F22" s="532"/>
      <s:c r="G22" s="532"/>
      <s:c r="H22" s="532"/>
      <s:c r="I22" s="532"/>
      <s:c r="J22" s="532"/>
      <s:c r="K22" s="532"/>
      <s:c r="L22" s="532"/>
      <s:c r="M22" s="532"/>
      <s:c r="N22" s="532"/>
      <s:c r="O22" s="532"/>
      <s:c r="P22" s="532"/>
      <s:c r="Q22" s="532"/>
      <s:c r="R22" s="532"/>
      <s:c r="S22" s="532"/>
      <s:c r="T22" s="532"/>
      <s:c r="U22" s="532"/>
      <s:c r="V22" s="532"/>
      <s:c r="W22" s="532"/>
      <s:c r="X22" s="532"/>
      <s:c r="Y22" s="532"/>
      <s:c r="Z22" s="532"/>
      <s:c r="AA22" s="532"/>
      <s:c r="AB22" s="532"/>
      <s:c r="AC22" s="532"/>
      <s:c r="AD22" s="532"/>
      <s:c r="AE22" s="532"/>
      <s:c r="AF22" s="532"/>
      <s:c r="AG22" s="532"/>
      <s:c r="AH22" s="534"/>
      <s:c r="AI22" s="535">
        <s:f validation_="true">COUNTIF(D22:AH22, "&gt;0")</s:f>
        <s:v>0</s:v>
      </s:c>
      <s:c r="AJ22" s="536">
        <s:v>0</s:v>
      </s:c>
      <s:c r="AK22" s="537">
        <s:v>0</s:v>
      </s:c>
      <s:c r="AL22" s="537">
        <s:v>0</s:v>
      </s:c>
      <s:c r="AM22" s="537">
        <s:v>0</s:v>
      </s:c>
      <s:c r="AN22" s="538">
        <s:v>0</s:v>
      </s:c>
    </s:row>
    <s:row r="23" spans="1:41">
      <s:c r="A23" s="530">
        <s:v>8</s:v>
      </s:c>
      <s:c r="B23" s="539"/>
      <s:c r="C23" s="540"/>
      <s:c r="D23" s="540"/>
      <s:c r="E23" s="540"/>
      <s:c r="F23" s="540"/>
      <s:c r="G23" s="540"/>
      <s:c r="H23" s="540"/>
      <s:c r="I23" s="540"/>
      <s:c r="J23" s="540"/>
      <s:c r="K23" s="540"/>
      <s:c r="L23" s="540"/>
      <s:c r="M23" s="540"/>
      <s:c r="N23" s="541"/>
      <s:c r="O23" s="542"/>
      <s:c r="P23" s="542"/>
      <s:c r="Q23" s="542"/>
      <s:c r="R23" s="542"/>
      <s:c r="S23" s="542"/>
      <s:c r="T23" s="542"/>
      <s:c r="U23" s="542"/>
      <s:c r="V23" s="542"/>
      <s:c r="W23" s="543"/>
      <s:c r="X23" s="542"/>
      <s:c r="Y23" s="542"/>
      <s:c r="Z23" s="542"/>
      <s:c r="AA23" s="542"/>
      <s:c r="AB23" s="542"/>
      <s:c r="AC23" s="542"/>
      <s:c r="AD23" s="542"/>
      <s:c r="AE23" s="542"/>
      <s:c r="AF23" s="542"/>
      <s:c r="AG23" s="542"/>
      <s:c r="AH23" s="544"/>
      <s:c r="AI23" s="535">
        <s:f validation_="true">COUNTIF(D23:AH23, "&gt;0")</s:f>
        <s:v>0</s:v>
      </s:c>
      <s:c r="AJ23" s="536">
        <s:v>0</s:v>
      </s:c>
      <s:c r="AK23" s="537">
        <s:v>0</s:v>
      </s:c>
      <s:c r="AL23" s="537">
        <s:v>0</s:v>
      </s:c>
      <s:c r="AM23" s="537">
        <s:v>0</s:v>
      </s:c>
      <s:c r="AN23" s="538">
        <s:v>0</s:v>
      </s:c>
    </s:row>
    <s:row r="24" spans="1:41" ht="16">
      <s:c r="A24" s="530">
        <s:v>7</s:v>
      </s:c>
      <s:c r="B24" s="545"/>
      <s:c r="C24" s="546"/>
      <s:c r="D24" s="547"/>
      <s:c r="E24" s="547"/>
      <s:c r="F24" s="547"/>
      <s:c r="G24" s="547"/>
      <s:c r="H24" s="542"/>
      <s:c r="I24" s="542"/>
      <s:c r="J24" s="540"/>
      <s:c r="K24" s="540"/>
      <s:c r="L24" s="542"/>
      <s:c r="M24" s="542"/>
      <s:c r="N24" s="540"/>
      <s:c r="O24" s="540"/>
      <s:c r="P24" s="542"/>
      <s:c r="Q24" s="542"/>
      <s:c r="R24" s="540"/>
      <s:c r="S24" s="540"/>
      <s:c r="T24" s="542"/>
      <s:c r="U24" s="542"/>
      <s:c r="V24" s="542"/>
      <s:c r="W24" s="540"/>
      <s:c r="X24" s="540"/>
      <s:c r="Y24" s="542"/>
      <s:c r="Z24" s="542"/>
      <s:c r="AA24" s="542"/>
      <s:c r="AB24" s="540"/>
      <s:c r="AC24" s="540"/>
      <s:c r="AD24" s="542"/>
      <s:c r="AE24" s="542"/>
      <s:c r="AF24" s="542"/>
      <s:c r="AG24" s="542"/>
      <s:c r="AH24" s="540"/>
      <s:c r="AI24" s="535">
        <s:f validation_="true">COUNTIF(D24:AH24, "&gt;0")</s:f>
        <s:v>0</s:v>
      </s:c>
      <s:c r="AJ24" s="536">
        <s:v>0</s:v>
      </s:c>
      <s:c r="AK24" s="537">
        <s:v>0</s:v>
      </s:c>
      <s:c r="AL24" s="537">
        <s:v>0</s:v>
      </s:c>
      <s:c r="AM24" s="537">
        <s:v>0</s:v>
      </s:c>
      <s:c r="AN24" s="538">
        <s:v>0</s:v>
      </s:c>
    </s:row>
    <s:row r="25" spans="1:41" ht="16">
      <s:c r="A25" s="548">
        <s:v>6</s:v>
      </s:c>
      <s:c r="B25" s="545" t="s">
        <s:v>120</s:v>
      </s:c>
      <s:c r="C25" s="546"/>
      <s:c r="D25" s="549"/>
      <s:c r="E25" s="549"/>
      <s:c r="F25" s="549"/>
      <s:c r="G25" s="550">
        <s:v>12</s:v>
      </s:c>
      <s:c r="H25" s="551"/>
      <s:c r="I25" s="551"/>
      <s:c r="J25" s="552"/>
      <s:c r="K25" s="552"/>
      <s:c r="L25" s="552"/>
      <s:c r="M25" s="552"/>
      <s:c r="N25" s="552"/>
      <s:c r="O25" s="552"/>
      <s:c r="P25" s="552"/>
      <s:c r="Q25" s="552"/>
      <s:c r="R25" s="552"/>
      <s:c r="S25" s="540"/>
      <s:c r="T25" s="551"/>
      <s:c r="U25" s="551"/>
      <s:c r="V25" s="551"/>
      <s:c r="W25" s="552"/>
      <s:c r="X25" s="552"/>
      <s:c r="Y25" s="551"/>
      <s:c r="Z25" s="551"/>
      <s:c r="AA25" s="551"/>
      <s:c r="AB25" s="553"/>
      <s:c r="AC25" s="552"/>
      <s:c r="AD25" s="551"/>
      <s:c r="AE25" s="551"/>
      <s:c r="AF25" s="551"/>
      <s:c r="AG25" s="551"/>
      <s:c r="AH25" s="552"/>
      <s:c r="AI25" s="554">
        <s:f>COUNTIF(D25:AH25,"&gt;0")</s:f>
        <s:v>1</s:v>
      </s:c>
      <s:c r="AJ25" s="555">
        <s:f>SUMIF(D25:AH25,"&gt;0")</s:f>
        <s:v>12</s:v>
      </s:c>
      <s:c r="AK25" s="556">
        <s:f>COUNTIF(D25:AH25,"В")</s:f>
        <s:v>0</s:v>
      </s:c>
      <s:c r="AL25" s="556">
        <s:f validation_="true">COUNTIF(E25:AI25,"о")</s:f>
        <s:v>0</s:v>
      </s:c>
      <s:c r="AM25" s="556">
        <s:f validation_="true">COUNTIF(F25:AJ25,"б")</s:f>
        <s:v>0</s:v>
      </s:c>
      <s:c r="AN25" s="557">
        <s:v>0</s:v>
      </s:c>
      <s:c r="AO25" s="558"/>
    </s:row>
    <s:row r="26" spans="1:41" ht="16">
      <s:c r="A26" s="559">
        <s:v>5</s:v>
      </s:c>
      <s:c r="B26" s="545" t="s">
        <s:v>121</s:v>
      </s:c>
      <s:c r="C26" s="542"/>
      <s:c r="D26" s="542"/>
      <s:c r="E26" s="547"/>
      <s:c r="F26" s="547"/>
      <s:c r="G26" s="547"/>
      <s:c r="H26" s="547"/>
      <s:c r="I26" s="540"/>
      <s:c r="J26" s="542"/>
      <s:c r="K26" s="542"/>
      <s:c r="L26" s="542"/>
      <s:c r="M26" s="542"/>
      <s:c r="N26" s="542"/>
      <s:c r="O26" s="540"/>
      <s:c r="P26" s="540"/>
      <s:c r="Q26" s="542"/>
      <s:c r="R26" s="540"/>
      <s:c r="S26" s="547"/>
      <s:c r="T26" s="540"/>
      <s:c r="U26" s="542"/>
      <s:c r="V26" s="560" t="s">
        <s:v>122</s:v>
      </s:c>
      <s:c r="W26" s="560" t="s">
        <s:v>123</s:v>
      </s:c>
      <s:c r="X26" s="560" t="s">
        <s:v>123</s:v>
      </s:c>
      <s:c r="Y26" s="551" t="s">
        <s:v>71</s:v>
      </s:c>
      <s:c r="Z26" s="550" t="s">
        <s:v>122</s:v>
      </s:c>
      <s:c r="AA26" s="550" t="s">
        <s:v>122</s:v>
      </s:c>
      <s:c r="AB26" s="550" t="s">
        <s:v>122</s:v>
      </s:c>
      <s:c r="AC26" s="550" t="s">
        <s:v>122</s:v>
      </s:c>
      <s:c r="AD26" s="551" t="s">
        <s:v>71</s:v>
      </s:c>
      <s:c r="AE26" s="551" t="s">
        <s:v>71</s:v>
      </s:c>
      <s:c r="AF26" s="550" t="s">
        <s:v>122</s:v>
      </s:c>
      <s:c r="AG26" s="550" t="s">
        <s:v>122</s:v>
      </s:c>
      <s:c r="AH26" s="540"/>
      <s:c r="AI26" s="561">
        <s:f validation_="true">COUNTIF(D26:AH26, "&gt;0")</s:f>
        <s:v>0</s:v>
      </s:c>
      <s:c r="AJ26" s="562">
        <s:f validation_="true">SUMIF(D26:AH26, "&gt;0")</s:f>
        <s:v>0</s:v>
      </s:c>
      <s:c r="AK26" s="563">
        <s:f validation_="true">COUNTIF(D26:AH26, "В")</s:f>
        <s:v>3</s:v>
      </s:c>
      <s:c r="AL26" s="563">
        <s:v>0</s:v>
      </s:c>
      <s:c r="AM26" s="563">
        <s:v>0</s:v>
      </s:c>
      <s:c r="AN26" s="564">
        <s:v>0</s:v>
      </s:c>
    </s:row>
    <s:row r="27" spans="1:41" ht="16">
      <s:c r="A27" s="565">
        <s:v>4</s:v>
      </s:c>
      <s:c r="B27" s="539" t="s">
        <s:v>68</s:v>
      </s:c>
      <s:c r="C27" s="566" t="s">
        <s:v>96</s:v>
      </s:c>
      <s:c r="D27" s="551"/>
      <s:c r="E27" s="552"/>
      <s:c r="F27" s="552"/>
      <s:c r="G27" s="552"/>
      <s:c r="H27" s="551"/>
      <s:c r="I27" s="551"/>
      <s:c r="J27" s="552"/>
      <s:c r="K27" s="567" t="s">
        <s:v>124</s:v>
      </s:c>
      <s:c r="L27" s="568" t="s">
        <s:v>122</s:v>
      </s:c>
      <s:c r="M27" s="568" t="s">
        <s:v>122</s:v>
      </s:c>
      <s:c r="N27" s="567" t="s">
        <s:v>122</s:v>
      </s:c>
      <s:c r="O27" s="552" t="s">
        <s:v>71</s:v>
      </s:c>
      <s:c r="P27" s="551" t="s">
        <s:v>71</s:v>
      </s:c>
      <s:c r="Q27" s="568" t="s">
        <s:v>125</s:v>
      </s:c>
      <s:c r="R27" s="569" t="s">
        <s:v>125</s:v>
      </s:c>
      <s:c r="S27" s="552" t="s">
        <s:v>71</s:v>
      </s:c>
      <s:c r="T27" s="550">
        <s:v>11</s:v>
      </s:c>
      <s:c r="U27" s="550">
        <s:v>11</s:v>
      </s:c>
      <s:c r="V27" s="552" t="s">
        <s:v>71</s:v>
      </s:c>
      <s:c r="W27" s="551" t="s">
        <s:v>71</s:v>
      </s:c>
      <s:c r="X27" s="550">
        <s:v>11</s:v>
      </s:c>
      <s:c r="Y27" s="550">
        <s:v>11</s:v>
      </s:c>
      <s:c r="Z27" s="552" t="s">
        <s:v>126</s:v>
      </s:c>
      <s:c r="AA27" s="551" t="s">
        <s:v>126</s:v>
      </s:c>
      <s:c r="AB27" s="551" t="s">
        <s:v>71</s:v>
      </s:c>
      <s:c r="AC27" s="551" t="s">
        <s:v>71</s:v>
      </s:c>
      <s:c r="AD27" s="552" t="s">
        <s:v>71</s:v>
      </s:c>
      <s:c r="AE27" s="551" t="s">
        <s:v>71</s:v>
      </s:c>
      <s:c r="AF27" s="551" t="s">
        <s:v>71</s:v>
      </s:c>
      <s:c r="AG27" s="551" t="s">
        <s:v>71</s:v>
      </s:c>
      <s:c r="AH27" s="570"/>
      <s:c r="AI27" s="571">
        <s:f validation_="true">COUNTIF(D27:AH27,"&gt;0")</s:f>
        <s:v>4</s:v>
      </s:c>
      <s:c r="AJ27" s="555">
        <s:f validation_="true">SUMIF(D27:AH27,"&gt;0")</s:f>
        <s:v>44</s:v>
      </s:c>
      <s:c r="AK27" s="556">
        <s:f validation_="true">COUNTIF(D27:AH27,"В")</s:f>
        <s:v>11</s:v>
      </s:c>
      <s:c r="AL27" s="556">
        <s:f validation_="true">COUNTIF(E27:AI27,"о")</s:f>
        <s:v>0</s:v>
      </s:c>
      <s:c r="AM27" s="556">
        <s:f validation_="true">COUNTIF(F27:AJ27,"б")</s:f>
        <s:v>0</s:v>
      </s:c>
      <s:c r="AN27" s="572">
        <s:v>0</s:v>
      </s:c>
      <s:c r="AO27" s="558"/>
    </s:row>
    <s:row r="28" spans="1:41" ht="16">
      <s:c r="A28" s="548">
        <s:v>3</s:v>
      </s:c>
      <s:c r="B28" s="545" t="s">
        <s:v>67</s:v>
      </s:c>
      <s:c r="C28" s="566" t="s">
        <s:v>96</s:v>
      </s:c>
      <s:c r="D28" s="542"/>
      <s:c r="E28" s="547"/>
      <s:c r="F28" s="547"/>
      <s:c r="G28" s="547"/>
      <s:c r="H28" s="547"/>
      <s:c r="I28" s="567" t="s">
        <s:v>124</s:v>
      </s:c>
      <s:c r="J28" s="568" t="s">
        <s:v>122</s:v>
      </s:c>
      <s:c r="K28" s="568" t="s">
        <s:v>122</s:v>
      </s:c>
      <s:c r="L28" s="551" t="s">
        <s:v>71</s:v>
      </s:c>
      <s:c r="M28" s="568" t="s">
        <s:v>122</s:v>
      </s:c>
      <s:c r="N28" s="568" t="s">
        <s:v>122</s:v>
      </s:c>
      <s:c r="O28" s="567" t="s">
        <s:v>125</s:v>
      </s:c>
      <s:c r="P28" s="567" t="s">
        <s:v>125</s:v>
      </s:c>
      <s:c r="Q28" s="551" t="s">
        <s:v>71</s:v>
      </s:c>
      <s:c r="R28" s="569" t="s">
        <s:v>125</s:v>
      </s:c>
      <s:c r="S28" s="550">
        <s:v>11</s:v>
      </s:c>
      <s:c r="T28" s="552" t="s">
        <s:v>71</s:v>
      </s:c>
      <s:c r="U28" s="551" t="s">
        <s:v>71</s:v>
      </s:c>
      <s:c r="V28" s="550">
        <s:v>11</s:v>
      </s:c>
      <s:c r="W28" s="550">
        <s:v>11</s:v>
      </s:c>
      <s:c r="X28" s="552" t="s">
        <s:v>71</s:v>
      </s:c>
      <s:c r="Y28" s="551" t="s">
        <s:v>71</s:v>
      </s:c>
      <s:c r="Z28" s="550">
        <s:v>11</s:v>
      </s:c>
      <s:c r="AA28" s="550">
        <s:v>11</s:v>
      </s:c>
      <s:c r="AB28" s="552" t="s">
        <s:v>71</s:v>
      </s:c>
      <s:c r="AC28" s="550">
        <s:v>11</s:v>
      </s:c>
      <s:c r="AD28" s="550">
        <s:v>11</s:v>
      </s:c>
      <s:c r="AE28" s="550">
        <s:v>11</s:v>
      </s:c>
      <s:c r="AF28" s="551" t="s">
        <s:v>71</s:v>
      </s:c>
      <s:c r="AG28" s="551" t="s">
        <s:v>71</s:v>
      </s:c>
      <s:c r="AH28" s="552"/>
      <s:c r="AI28" s="571">
        <s:f validation_="true">COUNTIF(D28:AH28,"&gt;0")</s:f>
        <s:v>8</s:v>
      </s:c>
      <s:c r="AJ28" s="555">
        <s:f validation_="true">SUMIF(D28:AH28,"&gt;0")</s:f>
        <s:v>88</s:v>
      </s:c>
      <s:c r="AK28" s="556">
        <s:f validation_="true">COUNTIF(D28:AH28,"В")</s:f>
        <s:v>9</s:v>
      </s:c>
      <s:c r="AL28" s="556">
        <s:f validation_="true">COUNTIF(E28:AI28,"о")</s:f>
        <s:v>0</s:v>
      </s:c>
      <s:c r="AM28" s="556">
        <s:f validation_="true">COUNTIF(F28:AJ28,"б")</s:f>
        <s:v>0</s:v>
      </s:c>
      <s:c r="AN28" s="557">
        <s:v>0</s:v>
      </s:c>
      <s:c r="AO28" s="558"/>
    </s:row>
    <s:row r="29" spans="1:41" ht="16">
      <s:c r="A29" s="548">
        <s:v>2</s:v>
      </s:c>
      <s:c r="B29" s="573" t="s">
        <s:v>65</s:v>
      </s:c>
      <s:c r="C29" s="566" t="s">
        <s:v>96</s:v>
      </s:c>
      <s:c r="D29" s="550">
        <s:v>11</s:v>
      </s:c>
      <s:c r="E29" s="550">
        <s:v>11</s:v>
      </s:c>
      <s:c r="F29" s="550">
        <s:v>11</s:v>
      </s:c>
      <s:c r="G29" s="547" t="s">
        <s:v>71</s:v>
      </s:c>
      <s:c r="H29" s="550">
        <s:v>11</s:v>
      </s:c>
      <s:c r="I29" s="550">
        <s:v>11</s:v>
      </s:c>
      <s:c r="J29" s="550">
        <s:v>11</s:v>
      </s:c>
      <s:c r="K29" s="550">
        <s:v>11</s:v>
      </s:c>
      <s:c r="L29" s="550">
        <s:v>11</s:v>
      </s:c>
      <s:c r="M29" s="550">
        <s:v>11</s:v>
      </s:c>
      <s:c r="N29" s="550">
        <s:v>11</s:v>
      </s:c>
      <s:c r="O29" s="550">
        <s:v>11</s:v>
      </s:c>
      <s:c r="P29" s="550">
        <s:v>11</s:v>
      </s:c>
      <s:c r="Q29" s="550">
        <s:v>11</s:v>
      </s:c>
      <s:c r="R29" s="550">
        <s:v>11</s:v>
      </s:c>
      <s:c r="S29" s="550">
        <s:v>11</s:v>
      </s:c>
      <s:c r="T29" s="550">
        <s:v>11</s:v>
      </s:c>
      <s:c r="U29" s="550">
        <s:v>11</s:v>
      </s:c>
      <s:c r="V29" s="550">
        <s:v>11</s:v>
      </s:c>
      <s:c r="W29" s="550">
        <s:v>11</s:v>
      </s:c>
      <s:c r="X29" s="550">
        <s:v>11</s:v>
      </s:c>
      <s:c r="Y29" s="550">
        <s:v>11</s:v>
      </s:c>
      <s:c r="Z29" s="550">
        <s:v>8</s:v>
      </s:c>
      <s:c r="AA29" s="550">
        <s:v>11</s:v>
      </s:c>
      <s:c r="AB29" s="550">
        <s:v>11</s:v>
      </s:c>
      <s:c r="AC29" s="550">
        <s:v>11</s:v>
      </s:c>
      <s:c r="AD29" s="550">
        <s:v>9</s:v>
      </s:c>
      <s:c r="AE29" s="550">
        <s:v>9</s:v>
      </s:c>
      <s:c r="AF29" s="550">
        <s:v>11</s:v>
      </s:c>
      <s:c r="AG29" s="550">
        <s:v>11</s:v>
      </s:c>
      <s:c r="AH29" s="547"/>
      <s:c r="AI29" s="571">
        <s:f validation_="true">COUNTIF(D29:AH29,"&gt;0")</s:f>
        <s:v>29</s:v>
      </s:c>
      <s:c r="AJ29" s="555">
        <s:f validation_="true">SUMIF(D29:AH29,"&gt;0")</s:f>
        <s:v>312</s:v>
      </s:c>
      <s:c r="AK29" s="556">
        <s:f validation_="true">COUNTIF(D29:AH29,"В")</s:f>
        <s:v>1</s:v>
      </s:c>
      <s:c r="AL29" s="556">
        <s:f validation_="true">COUNTIF(E29:AI29,"о")</s:f>
        <s:v>0</s:v>
      </s:c>
      <s:c r="AM29" s="556">
        <s:f validation_="true">COUNTIF(F29:AJ29,"б")</s:f>
        <s:v>0</s:v>
      </s:c>
      <s:c r="AN29" s="557">
        <s:v>0</s:v>
      </s:c>
      <s:c r="AO29" s="558"/>
    </s:row>
    <s:row r="30" spans="1:41" ht="16">
      <s:c r="A30" s="574">
        <s:v>1</s:v>
      </s:c>
      <s:c r="B30" s="575"/>
      <s:c r="C30" s="576"/>
      <s:c r="D30" s="577"/>
      <s:c r="E30" s="547"/>
      <s:c r="F30" s="547"/>
      <s:c r="G30" s="547"/>
      <s:c r="H30" s="547"/>
      <s:c r="I30" s="547"/>
      <s:c r="J30" s="547"/>
      <s:c r="K30" s="547"/>
      <s:c r="L30" s="578"/>
      <s:c r="M30" s="547"/>
      <s:c r="N30" s="547"/>
      <s:c r="O30" s="547"/>
      <s:c r="P30" s="547"/>
      <s:c r="Q30" s="547"/>
      <s:c r="R30" s="547"/>
      <s:c r="S30" s="547"/>
      <s:c r="T30" s="547"/>
      <s:c r="U30" s="579"/>
      <s:c r="V30" s="579"/>
      <s:c r="W30" s="547"/>
      <s:c r="X30" s="547"/>
      <s:c r="Y30" s="547"/>
      <s:c r="Z30" s="547"/>
      <s:c r="AA30" s="547"/>
      <s:c r="AB30" s="547"/>
      <s:c r="AC30" s="547"/>
      <s:c r="AD30" s="547"/>
      <s:c r="AE30" s="547"/>
      <s:c r="AF30" s="547"/>
      <s:c r="AG30" s="547"/>
      <s:c r="AH30" s="547"/>
      <s:c r="AI30" s="580">
        <s:f validation_="true">COUNTIF(D30:AH30, "&gt;0")</s:f>
        <s:v>0</s:v>
      </s:c>
      <s:c r="AJ30" s="562">
        <s:f validation_="true">SUMIF(D30:AH30, "&gt;0")</s:f>
        <s:v>0</s:v>
      </s:c>
      <s:c r="AK30" s="581">
        <s:f validation_="true">COUNTIF(D30:AH30, "В")</s:f>
        <s:v>0</s:v>
      </s:c>
      <s:c r="AL30" s="581">
        <s:f>COUNTIF(E30:AI30, "о")</s:f>
        <s:v>0</s:v>
      </s:c>
      <s:c r="AM30" s="581">
        <s:f>COUNTIF(F30:AJ30, "б")</s:f>
        <s:v>0</s:v>
      </s:c>
      <s:c r="AN30" s="582">
        <s:v>0</s:v>
      </s:c>
    </s:row>
    <s:row r="31" spans="1:41">
      <s:c r="A31" s="583"/>
      <s:c r="B31" s="584" t="s">
        <s:v>127</s:v>
      </s:c>
      <s:c r="C31" s="585"/>
      <s:c r="D31" s="586">
        <s:f>COUNTIF(D11:D30, "&gt;0")</s:f>
        <s:v>1</s:v>
      </s:c>
      <s:c r="E31" s="584">
        <s:f validation_="true">COUNTIF(E11:E30, "&gt;0")</s:f>
        <s:v>1</s:v>
      </s:c>
      <s:c r="F31" s="584">
        <s:f validation_="true">COUNTIF(F11:F30, "&gt;0")</s:f>
        <s:v>1</s:v>
      </s:c>
      <s:c r="G31" s="584">
        <s:f validation_="true">COUNTIF(G11:G30, "&gt;0")</s:f>
        <s:v>1</s:v>
      </s:c>
      <s:c r="H31" s="584">
        <s:f validation_="true">COUNTIF(H11:H30, "&gt;0")</s:f>
        <s:v>1</s:v>
      </s:c>
      <s:c r="I31" s="584">
        <s:f validation_="true">COUNTIF(I11:I30, "&gt;0")</s:f>
        <s:v>1</s:v>
      </s:c>
      <s:c r="J31" s="584">
        <s:f validation_="true">COUNTIF(J11:J30, "&gt;0")</s:f>
        <s:v>1</s:v>
      </s:c>
      <s:c r="K31" s="584">
        <s:f>COUNTIF(K11:K29, "&gt;0")</s:f>
        <s:v>1</s:v>
      </s:c>
      <s:c r="L31" s="584">
        <s:f validation_="true">COUNTIF(L11:L30, "&gt;0")</s:f>
        <s:v>1</s:v>
      </s:c>
      <s:c r="M31" s="584">
        <s:f validation_="true">COUNTIF(M11:M30, "&gt;0")</s:f>
        <s:v>1</s:v>
      </s:c>
      <s:c r="N31" s="584">
        <s:f validation_="true">COUNTIF(N11:N30, "&gt;0")</s:f>
        <s:v>1</s:v>
      </s:c>
      <s:c r="O31" s="584">
        <s:f validation_="true">COUNTIF(O11:O30, "&gt;0")</s:f>
        <s:v>1</s:v>
      </s:c>
      <s:c r="P31" s="584">
        <s:f validation_="true">COUNTIF(P11:P30, "&gt;0")</s:f>
        <s:v>1</s:v>
      </s:c>
      <s:c r="Q31" s="584">
        <s:f validation_="true">COUNTIF(Q11:Q30, "&gt;0")</s:f>
        <s:v>1</s:v>
      </s:c>
      <s:c r="R31" s="584">
        <s:f validation_="true">COUNTIF(R11:R30, "&gt;0")</s:f>
        <s:v>1</s:v>
      </s:c>
      <s:c r="S31" s="584">
        <s:f validation_="true">COUNTIF(S11:S30, "&gt;0")</s:f>
        <s:v>2</s:v>
      </s:c>
      <s:c r="T31" s="584">
        <s:f validation_="true">COUNTIF(T11:T30, "&gt;0")</s:f>
        <s:v>2</s:v>
      </s:c>
      <s:c r="U31" s="584">
        <s:f validation_="true">COUNTIF(U11:U30, "&gt;0")</s:f>
        <s:v>2</s:v>
      </s:c>
      <s:c r="V31" s="584">
        <s:f validation_="true">COUNTIF(V11:V30, "&gt;0")</s:f>
        <s:v>2</s:v>
      </s:c>
      <s:c r="W31" s="584">
        <s:f validation_="true">COUNTIF(W11:W30, "&gt;0")</s:f>
        <s:v>2</s:v>
      </s:c>
      <s:c r="X31" s="584">
        <s:f validation_="true">COUNTIF(X11:X30, "&gt;0")</s:f>
        <s:v>2</s:v>
      </s:c>
      <s:c r="Y31" s="584">
        <s:f validation_="true">COUNTIF(Y11:Y30, "&gt;0")</s:f>
        <s:v>2</s:v>
      </s:c>
      <s:c r="Z31" s="584">
        <s:f validation_="true">COUNTIF(Z11:Z30, "&gt;0")</s:f>
        <s:v>2</s:v>
      </s:c>
      <s:c r="AA31" s="584">
        <s:f validation_="true">COUNTIF(AA11:AA30, "&gt;0")</s:f>
        <s:v>2</s:v>
      </s:c>
      <s:c r="AB31" s="584">
        <s:f validation_="true">COUNTIF(AB11:AB30, "&gt;0")</s:f>
        <s:v>1</s:v>
      </s:c>
      <s:c r="AC31" s="584">
        <s:f validation_="true">COUNTIF(AC11:AC30, "&gt;0")</s:f>
        <s:v>2</s:v>
      </s:c>
      <s:c r="AD31" s="584">
        <s:f validation_="true">COUNTIF(AD11:AD30, "&gt;0")</s:f>
        <s:v>2</s:v>
      </s:c>
      <s:c r="AE31" s="584">
        <s:f validation_="true">COUNTIF(AE11:AE30, "&gt;0")</s:f>
        <s:v>2</s:v>
      </s:c>
      <s:c r="AF31" s="584">
        <s:f validation_="true">COUNTIF(AF11:AF30, "&gt;0")</s:f>
        <s:v>1</s:v>
      </s:c>
      <s:c r="AG31" s="584">
        <s:f validation_="true">COUNTIF(AG11:AG30, "&gt;0")</s:f>
        <s:v>1</s:v>
      </s:c>
      <s:c r="AH31" s="587">
        <s:f validation_="true">COUNTIF(AH11:AH30, "&gt;0")</s:f>
        <s:v>0</s:v>
      </s:c>
      <s:c r="AI31" s="588">
        <s:f>SUM(AI11:AI30)</s:f>
        <s:v>42</s:v>
      </s:c>
      <s:c r="AJ31" s="589">
        <s:f>SUM(AJ11:AJ30)</s:f>
        <s:v>456</s:v>
      </s:c>
      <s:c r="AK31" s="589">
        <s:f>SUM(AK11:AK30)</s:f>
        <s:v>24</s:v>
      </s:c>
      <s:c r="AL31" s="589">
        <s:f validation_="true">SUM(AL11:AL30)</s:f>
        <s:v>0</s:v>
      </s:c>
      <s:c r="AM31" s="589">
        <s:f validation_="true">SUM(AM11:AM30)</s:f>
        <s:v>0</s:v>
      </s:c>
      <s:c r="AN31" s="589">
        <s:f validation_="true">SUM(AN11:AN30)</s:f>
        <s:v>0</s:v>
      </s:c>
    </s:row>
    <s:row r="33" spans="16:16">
      <s:c r="P33" s="3" t="s">
        <s:v>128</s:v>
      </s:c>
    </s:row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ageMargins left="0.7" right="0.7" top="0.75" bottom="0.75" header="0.3" footer="0.3"/>
  <s:pageSetup paperSize="9" fitToWidth="0" fitToHeight="0" orientation="portrait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Template>Normal.dotm</ep:Template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12</vt:i4>
      </vt:variant>
    </vt:vector>
  </ep:HeadingPairs>
  <ep:TitlesOfParts>
    <vt:vector size="12" baseType="lpstr">
      <vt:lpstr>Ялта, Ленина, 18</vt:lpstr>
      <vt:lpstr>Св. по пок.</vt:lpstr>
      <vt:lpstr>План на день</vt:lpstr>
      <vt:lpstr>Рогалевич И. Е.</vt:lpstr>
      <vt:lpstr>Уразгильдеева Е. Р.</vt:lpstr>
      <vt:lpstr>Афанасьева А. М.</vt:lpstr>
      <vt:lpstr>ПК 3</vt:lpstr>
      <vt:lpstr>Доп сотрудник</vt:lpstr>
      <vt:lpstr>Вед-ть Рогалевич</vt:lpstr>
      <vt:lpstr>Вед-ть Уразгильдеева</vt:lpstr>
      <vt:lpstr>Вед-ть Афанасьева</vt:lpstr>
      <vt:lpstr>График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xsi="http://www.w3.org/2001/XMLSchema-instance" xmlns:dcterms="http://purl.org/dc/terms/" xmlns:cp="http://schemas.openxmlformats.org/package/2006/metadata/core-properties">
  <cp:lastModifiedBy>lenadacenko@icloud.com</cp:lastModifiedBy>
  <cp:revision>518</cp:revision>
  <dcterms:created xsi:type="dcterms:W3CDTF">2025-04-30T22:17:27Z</dcterms:created>
  <dcterms:modified xsi:type="dcterms:W3CDTF">2025-05-10T11:00:03Z</dcterms:modified>
</cp:coreProperties>
</file>