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lenadacenko/Yandex.Disk-glamejewelry.localized/Glame API/Ежедневно/Ялта/Ежемесячные отчеты/"/>
    </mc:Choice>
  </mc:AlternateContent>
  <xr:revisionPtr revIDLastSave="0" documentId="13_ncr:1_{86BD21ED-91FD-7446-9F42-6D4E71EE2067}" xr6:coauthVersionLast="47" xr6:coauthVersionMax="47" xr10:uidLastSave="{00000000-0000-0000-0000-000000000000}"/>
  <bookViews>
    <workbookView xWindow="0" yWindow="640" windowWidth="25600" windowHeight="16000" xr2:uid="{00000000-000D-0000-FFFF-FFFF00000000}"/>
  </bookViews>
  <sheets>
    <sheet name="Ялта, Ленина, 18" sheetId="1" r:id="rId1"/>
    <sheet name="Конкурс" sheetId="2" r:id="rId2"/>
    <sheet name="Св. по пок." sheetId="3" r:id="rId3"/>
    <sheet name="План на день" sheetId="4" r:id="rId4"/>
    <sheet name="Рогалевич И. Е. " sheetId="5" r:id="rId5"/>
    <sheet name="Уразгильдеева Е. Р. " sheetId="6" r:id="rId6"/>
    <sheet name="Вед-ть Рогалевич" sheetId="7" r:id="rId7"/>
    <sheet name="Вед-ть Уразгильдеева" sheetId="8" r:id="rId8"/>
    <sheet name="Вед-ть ПК2" sheetId="9" r:id="rId9"/>
    <sheet name="График" sheetId="10" r:id="rId10"/>
  </sheets>
  <externalReferences>
    <externalReference r:id="rId11"/>
  </externalReferences>
  <definedNames>
    <definedName name="маг">NA()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7" l="1"/>
  <c r="D15" i="7"/>
  <c r="K4" i="7"/>
  <c r="C8" i="7"/>
  <c r="D4" i="7"/>
  <c r="H8" i="7"/>
  <c r="F4" i="7" s="1"/>
  <c r="C8" i="8"/>
  <c r="L4" i="8" s="1"/>
  <c r="D4" i="8"/>
  <c r="AN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AM30" i="10"/>
  <c r="AL30" i="10"/>
  <c r="AK30" i="10"/>
  <c r="AJ30" i="10"/>
  <c r="AI30" i="10"/>
  <c r="AK29" i="10"/>
  <c r="AJ29" i="10"/>
  <c r="AM29" i="10" s="1"/>
  <c r="AI29" i="10"/>
  <c r="AL29" i="10" s="1"/>
  <c r="AM28" i="10"/>
  <c r="AL28" i="10"/>
  <c r="AK28" i="10"/>
  <c r="AJ28" i="10"/>
  <c r="AI28" i="10"/>
  <c r="AM27" i="10"/>
  <c r="AL27" i="10"/>
  <c r="AK27" i="10"/>
  <c r="AJ27" i="10"/>
  <c r="AI27" i="10"/>
  <c r="AK26" i="10"/>
  <c r="AJ26" i="10"/>
  <c r="AI26" i="10"/>
  <c r="AM25" i="10"/>
  <c r="AM31" i="10" s="1"/>
  <c r="AL25" i="10"/>
  <c r="AK25" i="10"/>
  <c r="AK31" i="10" s="1"/>
  <c r="AJ25" i="10"/>
  <c r="AJ31" i="10" s="1"/>
  <c r="AI25" i="10"/>
  <c r="AI24" i="10"/>
  <c r="AI23" i="10"/>
  <c r="AI22" i="10"/>
  <c r="B7" i="10"/>
  <c r="F24" i="9"/>
  <c r="G24" i="9" s="1"/>
  <c r="D19" i="9" s="1"/>
  <c r="H4" i="9" s="1"/>
  <c r="J16" i="9"/>
  <c r="E16" i="9"/>
  <c r="G16" i="9" s="1"/>
  <c r="D12" i="9" s="1"/>
  <c r="G4" i="9" s="1"/>
  <c r="B16" i="9"/>
  <c r="L12" i="9"/>
  <c r="L4" i="9"/>
  <c r="J4" i="9"/>
  <c r="F4" i="9"/>
  <c r="A4" i="9"/>
  <c r="B24" i="9" s="1"/>
  <c r="D2" i="9"/>
  <c r="A2" i="9"/>
  <c r="C24" i="9" s="1"/>
  <c r="J24" i="9" s="1"/>
  <c r="A1" i="9"/>
  <c r="N25" i="8"/>
  <c r="J16" i="8"/>
  <c r="E16" i="8"/>
  <c r="K24" i="8" s="1"/>
  <c r="B16" i="8"/>
  <c r="L12" i="8"/>
  <c r="J4" i="8" s="1"/>
  <c r="F4" i="8"/>
  <c r="A4" i="8"/>
  <c r="B24" i="8" s="1"/>
  <c r="D2" i="8"/>
  <c r="A2" i="8"/>
  <c r="C24" i="8" s="1"/>
  <c r="J24" i="8" s="1"/>
  <c r="A1" i="8"/>
  <c r="N24" i="7"/>
  <c r="G24" i="7"/>
  <c r="C24" i="7"/>
  <c r="K23" i="7"/>
  <c r="B23" i="7"/>
  <c r="B24" i="7" s="1"/>
  <c r="G16" i="7"/>
  <c r="J15" i="7"/>
  <c r="G15" i="7"/>
  <c r="D11" i="7" s="1"/>
  <c r="G4" i="7" s="1"/>
  <c r="E15" i="7"/>
  <c r="C15" i="7"/>
  <c r="B15" i="7"/>
  <c r="L11" i="7"/>
  <c r="J4" i="7" s="1"/>
  <c r="L4" i="7"/>
  <c r="A4" i="7"/>
  <c r="D2" i="7"/>
  <c r="A2" i="7"/>
  <c r="C23" i="7" s="1"/>
  <c r="J23" i="7" s="1"/>
  <c r="A1" i="7"/>
  <c r="M57" i="6"/>
  <c r="L57" i="6"/>
  <c r="K57" i="6"/>
  <c r="G57" i="6"/>
  <c r="J57" i="6" s="1"/>
  <c r="E57" i="6"/>
  <c r="U56" i="6"/>
  <c r="T56" i="6"/>
  <c r="S56" i="6"/>
  <c r="N56" i="6"/>
  <c r="J56" i="6"/>
  <c r="H56" i="6"/>
  <c r="F56" i="6"/>
  <c r="U55" i="6"/>
  <c r="T55" i="6"/>
  <c r="S55" i="6"/>
  <c r="N55" i="6"/>
  <c r="J55" i="6"/>
  <c r="H55" i="6"/>
  <c r="F55" i="6"/>
  <c r="U54" i="6"/>
  <c r="T54" i="6"/>
  <c r="S54" i="6"/>
  <c r="N54" i="6"/>
  <c r="J54" i="6"/>
  <c r="H54" i="6"/>
  <c r="F54" i="6"/>
  <c r="U53" i="6"/>
  <c r="T53" i="6"/>
  <c r="S53" i="6"/>
  <c r="N53" i="6"/>
  <c r="J53" i="6"/>
  <c r="H53" i="6"/>
  <c r="F53" i="6"/>
  <c r="U52" i="6"/>
  <c r="T52" i="6"/>
  <c r="S52" i="6"/>
  <c r="N52" i="6"/>
  <c r="J52" i="6"/>
  <c r="H52" i="6"/>
  <c r="F52" i="6"/>
  <c r="U51" i="6"/>
  <c r="T51" i="6"/>
  <c r="S51" i="6"/>
  <c r="N51" i="6"/>
  <c r="J51" i="6"/>
  <c r="H51" i="6"/>
  <c r="F51" i="6"/>
  <c r="U50" i="6"/>
  <c r="T50" i="6"/>
  <c r="S50" i="6"/>
  <c r="N50" i="6"/>
  <c r="J50" i="6"/>
  <c r="H50" i="6"/>
  <c r="F50" i="6"/>
  <c r="N49" i="6"/>
  <c r="J49" i="6"/>
  <c r="H49" i="6"/>
  <c r="F49" i="6"/>
  <c r="N48" i="6"/>
  <c r="J48" i="6"/>
  <c r="H48" i="6"/>
  <c r="F48" i="6"/>
  <c r="T47" i="6"/>
  <c r="S47" i="6"/>
  <c r="N47" i="6"/>
  <c r="J47" i="6"/>
  <c r="H47" i="6"/>
  <c r="F47" i="6"/>
  <c r="D47" i="6"/>
  <c r="U46" i="6"/>
  <c r="T46" i="6"/>
  <c r="S46" i="6"/>
  <c r="N46" i="6"/>
  <c r="J46" i="6"/>
  <c r="H46" i="6"/>
  <c r="F46" i="6"/>
  <c r="T45" i="6"/>
  <c r="S45" i="6"/>
  <c r="N45" i="6"/>
  <c r="J45" i="6"/>
  <c r="H45" i="6"/>
  <c r="F45" i="6"/>
  <c r="U44" i="6"/>
  <c r="T44" i="6"/>
  <c r="S44" i="6"/>
  <c r="N44" i="6"/>
  <c r="J44" i="6"/>
  <c r="F44" i="6"/>
  <c r="D44" i="6"/>
  <c r="H44" i="6" s="1"/>
  <c r="U43" i="6"/>
  <c r="T43" i="6"/>
  <c r="J43" i="6"/>
  <c r="I43" i="6"/>
  <c r="N43" i="6" s="1"/>
  <c r="F43" i="6"/>
  <c r="D43" i="6"/>
  <c r="S43" i="6" s="1"/>
  <c r="T42" i="6"/>
  <c r="S42" i="6"/>
  <c r="N42" i="6"/>
  <c r="J42" i="6"/>
  <c r="H42" i="6"/>
  <c r="F42" i="6"/>
  <c r="U41" i="6"/>
  <c r="T41" i="6"/>
  <c r="N41" i="6"/>
  <c r="J41" i="6"/>
  <c r="D41" i="6"/>
  <c r="U40" i="6"/>
  <c r="T40" i="6"/>
  <c r="S40" i="6"/>
  <c r="N40" i="6"/>
  <c r="J40" i="6"/>
  <c r="H40" i="6"/>
  <c r="F40" i="6"/>
  <c r="T39" i="6"/>
  <c r="N39" i="6"/>
  <c r="J39" i="6"/>
  <c r="H39" i="6"/>
  <c r="F39" i="6"/>
  <c r="D39" i="6"/>
  <c r="U38" i="6"/>
  <c r="T38" i="6"/>
  <c r="N38" i="6"/>
  <c r="J38" i="6"/>
  <c r="D38" i="6"/>
  <c r="T37" i="6"/>
  <c r="S37" i="6"/>
  <c r="N37" i="6"/>
  <c r="J37" i="6"/>
  <c r="I37" i="6"/>
  <c r="H37" i="6"/>
  <c r="F37" i="6"/>
  <c r="T36" i="6"/>
  <c r="S36" i="6"/>
  <c r="J36" i="6"/>
  <c r="I36" i="6"/>
  <c r="N36" i="6" s="1"/>
  <c r="H36" i="6"/>
  <c r="F36" i="6"/>
  <c r="T35" i="6"/>
  <c r="S35" i="6"/>
  <c r="N35" i="6"/>
  <c r="J35" i="6"/>
  <c r="H35" i="6"/>
  <c r="F35" i="6"/>
  <c r="T34" i="6"/>
  <c r="S34" i="6"/>
  <c r="J34" i="6"/>
  <c r="I34" i="6"/>
  <c r="N34" i="6" s="1"/>
  <c r="H34" i="6"/>
  <c r="F34" i="6"/>
  <c r="U33" i="6"/>
  <c r="T33" i="6"/>
  <c r="S33" i="6"/>
  <c r="J33" i="6"/>
  <c r="I33" i="6"/>
  <c r="N33" i="6" s="1"/>
  <c r="H33" i="6"/>
  <c r="F33" i="6"/>
  <c r="D33" i="6"/>
  <c r="U32" i="6"/>
  <c r="T32" i="6"/>
  <c r="J32" i="6"/>
  <c r="I32" i="6"/>
  <c r="I57" i="6" s="1"/>
  <c r="N57" i="6" s="1"/>
  <c r="F32" i="6"/>
  <c r="D32" i="6"/>
  <c r="S32" i="6" s="1"/>
  <c r="U31" i="6"/>
  <c r="T31" i="6"/>
  <c r="N31" i="6"/>
  <c r="J31" i="6"/>
  <c r="D31" i="6"/>
  <c r="U30" i="6"/>
  <c r="T30" i="6"/>
  <c r="S30" i="6"/>
  <c r="N30" i="6"/>
  <c r="J30" i="6"/>
  <c r="H30" i="6"/>
  <c r="F30" i="6"/>
  <c r="T29" i="6"/>
  <c r="S29" i="6"/>
  <c r="N29" i="6"/>
  <c r="J29" i="6"/>
  <c r="H29" i="6"/>
  <c r="F29" i="6"/>
  <c r="T28" i="6"/>
  <c r="S28" i="6"/>
  <c r="N28" i="6"/>
  <c r="J28" i="6"/>
  <c r="H28" i="6"/>
  <c r="F28" i="6"/>
  <c r="T27" i="6"/>
  <c r="N27" i="6"/>
  <c r="J27" i="6"/>
  <c r="H27" i="6"/>
  <c r="D27" i="6"/>
  <c r="S27" i="6" s="1"/>
  <c r="T26" i="6"/>
  <c r="S26" i="6"/>
  <c r="N26" i="6"/>
  <c r="J26" i="6"/>
  <c r="H26" i="6"/>
  <c r="F26" i="6"/>
  <c r="U25" i="6"/>
  <c r="T25" i="6"/>
  <c r="S25" i="6"/>
  <c r="N25" i="6"/>
  <c r="J25" i="6"/>
  <c r="F25" i="6"/>
  <c r="D25" i="6"/>
  <c r="H25" i="6" s="1"/>
  <c r="J20" i="6"/>
  <c r="I20" i="6"/>
  <c r="P19" i="6"/>
  <c r="Q19" i="6" s="1"/>
  <c r="N19" i="6"/>
  <c r="L19" i="6"/>
  <c r="M19" i="6" s="1"/>
  <c r="K19" i="6"/>
  <c r="T18" i="6"/>
  <c r="P18" i="6"/>
  <c r="Q18" i="6" s="1"/>
  <c r="N18" i="6"/>
  <c r="L18" i="6"/>
  <c r="M18" i="6" s="1"/>
  <c r="K18" i="6"/>
  <c r="L14" i="6"/>
  <c r="K14" i="6"/>
  <c r="I14" i="6"/>
  <c r="J13" i="6"/>
  <c r="W12" i="6"/>
  <c r="V12" i="6"/>
  <c r="X12" i="6" s="1"/>
  <c r="T12" i="6"/>
  <c r="Q12" i="6"/>
  <c r="L12" i="6"/>
  <c r="P12" i="6" s="1"/>
  <c r="J12" i="6"/>
  <c r="I12" i="6"/>
  <c r="I11" i="6"/>
  <c r="V10" i="6"/>
  <c r="O10" i="6"/>
  <c r="O9" i="6"/>
  <c r="J9" i="6"/>
  <c r="J3" i="6"/>
  <c r="B1" i="6"/>
  <c r="M57" i="5"/>
  <c r="L57" i="5"/>
  <c r="K57" i="5"/>
  <c r="G57" i="5"/>
  <c r="E57" i="5"/>
  <c r="U56" i="5"/>
  <c r="T56" i="5"/>
  <c r="S56" i="5"/>
  <c r="N56" i="5"/>
  <c r="J56" i="5"/>
  <c r="H56" i="5"/>
  <c r="F56" i="5"/>
  <c r="U55" i="5"/>
  <c r="T55" i="5"/>
  <c r="S55" i="5"/>
  <c r="N55" i="5"/>
  <c r="J55" i="5"/>
  <c r="H55" i="5"/>
  <c r="F55" i="5"/>
  <c r="U54" i="5"/>
  <c r="T54" i="5"/>
  <c r="S54" i="5"/>
  <c r="N54" i="5"/>
  <c r="J54" i="5"/>
  <c r="H54" i="5"/>
  <c r="F54" i="5"/>
  <c r="U53" i="5"/>
  <c r="T53" i="5"/>
  <c r="S53" i="5"/>
  <c r="N53" i="5"/>
  <c r="J53" i="5"/>
  <c r="H53" i="5"/>
  <c r="F53" i="5"/>
  <c r="U52" i="5"/>
  <c r="T52" i="5"/>
  <c r="S52" i="5"/>
  <c r="N52" i="5"/>
  <c r="J52" i="5"/>
  <c r="H52" i="5"/>
  <c r="F52" i="5"/>
  <c r="U51" i="5"/>
  <c r="T51" i="5"/>
  <c r="S51" i="5"/>
  <c r="N51" i="5"/>
  <c r="J51" i="5"/>
  <c r="F51" i="5"/>
  <c r="D51" i="5"/>
  <c r="U50" i="5"/>
  <c r="T50" i="5"/>
  <c r="S50" i="5"/>
  <c r="N50" i="5"/>
  <c r="J50" i="5"/>
  <c r="H50" i="5"/>
  <c r="F50" i="5"/>
  <c r="U49" i="5"/>
  <c r="T49" i="5"/>
  <c r="N49" i="5"/>
  <c r="J49" i="5"/>
  <c r="D49" i="5"/>
  <c r="U48" i="5"/>
  <c r="T48" i="5"/>
  <c r="S48" i="5"/>
  <c r="N48" i="5"/>
  <c r="J48" i="5"/>
  <c r="H48" i="5"/>
  <c r="F48" i="5"/>
  <c r="T47" i="5"/>
  <c r="S47" i="5"/>
  <c r="N47" i="5"/>
  <c r="J47" i="5"/>
  <c r="H47" i="5"/>
  <c r="F47" i="5"/>
  <c r="T46" i="5"/>
  <c r="S46" i="5"/>
  <c r="N46" i="5"/>
  <c r="J46" i="5"/>
  <c r="H46" i="5"/>
  <c r="F46" i="5"/>
  <c r="D46" i="5"/>
  <c r="U45" i="5"/>
  <c r="T45" i="5"/>
  <c r="S45" i="5"/>
  <c r="N45" i="5"/>
  <c r="J45" i="5"/>
  <c r="H45" i="5"/>
  <c r="F45" i="5"/>
  <c r="T44" i="5"/>
  <c r="N44" i="5"/>
  <c r="J44" i="5"/>
  <c r="D44" i="5"/>
  <c r="F44" i="5" s="1"/>
  <c r="T43" i="5"/>
  <c r="N43" i="5"/>
  <c r="J43" i="5"/>
  <c r="H43" i="5"/>
  <c r="D43" i="5"/>
  <c r="T42" i="5"/>
  <c r="S42" i="5"/>
  <c r="N42" i="5"/>
  <c r="J42" i="5"/>
  <c r="H42" i="5"/>
  <c r="F42" i="5"/>
  <c r="U41" i="5"/>
  <c r="T41" i="5"/>
  <c r="S41" i="5"/>
  <c r="N41" i="5"/>
  <c r="J41" i="5"/>
  <c r="F41" i="5"/>
  <c r="D41" i="5"/>
  <c r="H41" i="5" s="1"/>
  <c r="U40" i="5"/>
  <c r="T40" i="5"/>
  <c r="S40" i="5"/>
  <c r="J40" i="5"/>
  <c r="I40" i="5"/>
  <c r="N40" i="5" s="1"/>
  <c r="H40" i="5"/>
  <c r="F40" i="5"/>
  <c r="U39" i="5"/>
  <c r="T39" i="5"/>
  <c r="S39" i="5"/>
  <c r="N39" i="5"/>
  <c r="J39" i="5"/>
  <c r="I39" i="5"/>
  <c r="H39" i="5"/>
  <c r="F39" i="5"/>
  <c r="U38" i="5"/>
  <c r="T38" i="5"/>
  <c r="S38" i="5"/>
  <c r="J38" i="5"/>
  <c r="I38" i="5"/>
  <c r="N38" i="5" s="1"/>
  <c r="H38" i="5"/>
  <c r="F38" i="5"/>
  <c r="U37" i="5"/>
  <c r="T37" i="5"/>
  <c r="S37" i="5"/>
  <c r="N37" i="5"/>
  <c r="J37" i="5"/>
  <c r="I37" i="5"/>
  <c r="H37" i="5"/>
  <c r="D37" i="5"/>
  <c r="T36" i="5"/>
  <c r="S36" i="5"/>
  <c r="N36" i="5"/>
  <c r="J36" i="5"/>
  <c r="F36" i="5"/>
  <c r="D36" i="5"/>
  <c r="T35" i="5"/>
  <c r="S35" i="5"/>
  <c r="N35" i="5"/>
  <c r="J35" i="5"/>
  <c r="I35" i="5"/>
  <c r="I57" i="5" s="1"/>
  <c r="H35" i="5"/>
  <c r="F35" i="5"/>
  <c r="U34" i="5"/>
  <c r="T34" i="5"/>
  <c r="S34" i="5"/>
  <c r="N34" i="5"/>
  <c r="J34" i="5"/>
  <c r="I34" i="5"/>
  <c r="H34" i="5"/>
  <c r="F34" i="5"/>
  <c r="D34" i="5"/>
  <c r="U33" i="5"/>
  <c r="T33" i="5"/>
  <c r="S33" i="5"/>
  <c r="N33" i="5"/>
  <c r="J33" i="5"/>
  <c r="F33" i="5"/>
  <c r="D33" i="5"/>
  <c r="H33" i="5" s="1"/>
  <c r="U32" i="5"/>
  <c r="T32" i="5"/>
  <c r="S32" i="5"/>
  <c r="N32" i="5"/>
  <c r="J32" i="5"/>
  <c r="H32" i="5"/>
  <c r="F32" i="5"/>
  <c r="D32" i="5"/>
  <c r="U31" i="5"/>
  <c r="T31" i="5"/>
  <c r="S31" i="5"/>
  <c r="N31" i="5"/>
  <c r="J31" i="5"/>
  <c r="H31" i="5"/>
  <c r="F31" i="5"/>
  <c r="U30" i="5"/>
  <c r="T30" i="5"/>
  <c r="S30" i="5"/>
  <c r="N30" i="5"/>
  <c r="J30" i="5"/>
  <c r="H30" i="5"/>
  <c r="F30" i="5"/>
  <c r="U29" i="5"/>
  <c r="T29" i="5"/>
  <c r="S29" i="5"/>
  <c r="N29" i="5"/>
  <c r="J29" i="5"/>
  <c r="F29" i="5"/>
  <c r="D29" i="5"/>
  <c r="H29" i="5" s="1"/>
  <c r="U28" i="5"/>
  <c r="T28" i="5"/>
  <c r="N28" i="5"/>
  <c r="J28" i="5"/>
  <c r="D28" i="5"/>
  <c r="U27" i="5"/>
  <c r="T27" i="5"/>
  <c r="S27" i="5"/>
  <c r="N27" i="5"/>
  <c r="J27" i="5"/>
  <c r="H27" i="5"/>
  <c r="F27" i="5"/>
  <c r="D27" i="5"/>
  <c r="U26" i="5"/>
  <c r="T26" i="5"/>
  <c r="N26" i="5"/>
  <c r="J26" i="5"/>
  <c r="D26" i="5"/>
  <c r="U25" i="5"/>
  <c r="T25" i="5"/>
  <c r="S25" i="5"/>
  <c r="N25" i="5"/>
  <c r="J25" i="5"/>
  <c r="H25" i="5"/>
  <c r="F25" i="5"/>
  <c r="D25" i="5"/>
  <c r="I20" i="5"/>
  <c r="T19" i="5"/>
  <c r="I13" i="3" s="1"/>
  <c r="N19" i="5"/>
  <c r="L19" i="5"/>
  <c r="K19" i="5"/>
  <c r="T18" i="5"/>
  <c r="S18" i="5"/>
  <c r="S19" i="5" s="1"/>
  <c r="Q18" i="5"/>
  <c r="P18" i="5"/>
  <c r="N18" i="5"/>
  <c r="L18" i="5"/>
  <c r="M18" i="5" s="1"/>
  <c r="K18" i="5"/>
  <c r="P14" i="5"/>
  <c r="Q14" i="5" s="1"/>
  <c r="N14" i="5"/>
  <c r="M14" i="5"/>
  <c r="L14" i="5"/>
  <c r="K14" i="5"/>
  <c r="I14" i="5"/>
  <c r="J13" i="5"/>
  <c r="V12" i="5"/>
  <c r="T12" i="5"/>
  <c r="H14" i="3" s="1"/>
  <c r="I12" i="5"/>
  <c r="I11" i="5"/>
  <c r="V10" i="5"/>
  <c r="O10" i="5"/>
  <c r="I10" i="5"/>
  <c r="O9" i="5"/>
  <c r="J3" i="5"/>
  <c r="B1" i="5"/>
  <c r="A10" i="4"/>
  <c r="D7" i="4"/>
  <c r="D5" i="4"/>
  <c r="D4" i="4"/>
  <c r="D2" i="4" s="1"/>
  <c r="M16" i="3"/>
  <c r="O15" i="3"/>
  <c r="N15" i="3"/>
  <c r="M15" i="3"/>
  <c r="A15" i="3"/>
  <c r="O14" i="3"/>
  <c r="N14" i="3"/>
  <c r="M14" i="3"/>
  <c r="O13" i="3"/>
  <c r="N13" i="3"/>
  <c r="M13" i="3"/>
  <c r="K13" i="3"/>
  <c r="H13" i="3"/>
  <c r="G13" i="3"/>
  <c r="O12" i="3"/>
  <c r="N12" i="3"/>
  <c r="M12" i="3"/>
  <c r="O11" i="3"/>
  <c r="N11" i="3"/>
  <c r="M11" i="3"/>
  <c r="N10" i="3"/>
  <c r="M10" i="3"/>
  <c r="K10" i="3"/>
  <c r="J10" i="3"/>
  <c r="H10" i="3"/>
  <c r="G10" i="3"/>
  <c r="E10" i="3"/>
  <c r="D10" i="3"/>
  <c r="O9" i="3"/>
  <c r="N9" i="3"/>
  <c r="M9" i="3"/>
  <c r="K9" i="3"/>
  <c r="H9" i="3"/>
  <c r="E9" i="3"/>
  <c r="O8" i="3"/>
  <c r="N8" i="3"/>
  <c r="M8" i="3"/>
  <c r="K8" i="3"/>
  <c r="O7" i="3"/>
  <c r="N7" i="3"/>
  <c r="M7" i="3"/>
  <c r="O6" i="3"/>
  <c r="N6" i="3"/>
  <c r="M6" i="3"/>
  <c r="O5" i="3"/>
  <c r="N5" i="3"/>
  <c r="M5" i="3"/>
  <c r="K5" i="3"/>
  <c r="O4" i="3"/>
  <c r="N4" i="3"/>
  <c r="M4" i="3"/>
  <c r="M2" i="3"/>
  <c r="J2" i="3"/>
  <c r="G2" i="3"/>
  <c r="Z5" i="2"/>
  <c r="C5" i="2"/>
  <c r="B5" i="2"/>
  <c r="A5" i="2"/>
  <c r="Z4" i="2"/>
  <c r="B4" i="2"/>
  <c r="A4" i="2"/>
  <c r="Z3" i="2"/>
  <c r="A3" i="2"/>
  <c r="L58" i="1"/>
  <c r="K58" i="1"/>
  <c r="G58" i="1"/>
  <c r="E58" i="1"/>
  <c r="T56" i="1"/>
  <c r="M56" i="1"/>
  <c r="L56" i="1"/>
  <c r="T12" i="1" s="1"/>
  <c r="E14" i="3" s="1"/>
  <c r="K56" i="1"/>
  <c r="G56" i="1"/>
  <c r="J13" i="1" s="1"/>
  <c r="E56" i="1"/>
  <c r="J56" i="1" s="1"/>
  <c r="J12" i="1" s="1"/>
  <c r="D56" i="1"/>
  <c r="U55" i="1"/>
  <c r="T55" i="1"/>
  <c r="S55" i="1"/>
  <c r="N55" i="1"/>
  <c r="J55" i="1"/>
  <c r="H55" i="1"/>
  <c r="F55" i="1"/>
  <c r="U54" i="1"/>
  <c r="T54" i="1"/>
  <c r="S54" i="1"/>
  <c r="N54" i="1"/>
  <c r="J54" i="1"/>
  <c r="H54" i="1"/>
  <c r="F54" i="1"/>
  <c r="U53" i="1"/>
  <c r="T53" i="1"/>
  <c r="S53" i="1"/>
  <c r="N53" i="1"/>
  <c r="J53" i="1"/>
  <c r="H53" i="1"/>
  <c r="F53" i="1"/>
  <c r="U52" i="1"/>
  <c r="T52" i="1"/>
  <c r="S52" i="1"/>
  <c r="N52" i="1"/>
  <c r="J52" i="1"/>
  <c r="H52" i="1"/>
  <c r="F52" i="1"/>
  <c r="U51" i="1"/>
  <c r="T51" i="1"/>
  <c r="N51" i="1"/>
  <c r="J51" i="1"/>
  <c r="D51" i="1"/>
  <c r="U50" i="1"/>
  <c r="T50" i="1"/>
  <c r="S50" i="1"/>
  <c r="N50" i="1"/>
  <c r="J50" i="1"/>
  <c r="I50" i="1"/>
  <c r="H50" i="1"/>
  <c r="F50" i="1"/>
  <c r="U49" i="1"/>
  <c r="T49" i="1"/>
  <c r="N49" i="1"/>
  <c r="J49" i="1"/>
  <c r="D49" i="1"/>
  <c r="U48" i="1"/>
  <c r="T48" i="1"/>
  <c r="S48" i="1"/>
  <c r="N48" i="1"/>
  <c r="J48" i="1"/>
  <c r="H48" i="1"/>
  <c r="U47" i="1"/>
  <c r="T47" i="1"/>
  <c r="S47" i="1"/>
  <c r="N47" i="1"/>
  <c r="J47" i="1"/>
  <c r="H47" i="1"/>
  <c r="D47" i="1"/>
  <c r="U46" i="1"/>
  <c r="T46" i="1"/>
  <c r="N46" i="1"/>
  <c r="J46" i="1"/>
  <c r="D46" i="1"/>
  <c r="S46" i="1" s="1"/>
  <c r="U45" i="1"/>
  <c r="T45" i="1"/>
  <c r="N45" i="1"/>
  <c r="J45" i="1"/>
  <c r="D45" i="1"/>
  <c r="U44" i="1"/>
  <c r="T44" i="1"/>
  <c r="N44" i="1"/>
  <c r="J44" i="1"/>
  <c r="H44" i="1"/>
  <c r="D44" i="1"/>
  <c r="U43" i="1"/>
  <c r="T43" i="1"/>
  <c r="N43" i="1"/>
  <c r="J43" i="1"/>
  <c r="H43" i="1"/>
  <c r="D43" i="1"/>
  <c r="S43" i="1" s="1"/>
  <c r="U42" i="1"/>
  <c r="T42" i="1"/>
  <c r="S42" i="1"/>
  <c r="N42" i="1"/>
  <c r="J42" i="1"/>
  <c r="H42" i="1"/>
  <c r="F42" i="1"/>
  <c r="U41" i="1"/>
  <c r="T41" i="1"/>
  <c r="N41" i="1"/>
  <c r="J41" i="1"/>
  <c r="D41" i="1"/>
  <c r="U40" i="1"/>
  <c r="T40" i="1"/>
  <c r="S40" i="1"/>
  <c r="N40" i="1"/>
  <c r="J40" i="1"/>
  <c r="I40" i="1"/>
  <c r="H40" i="1"/>
  <c r="F40" i="1"/>
  <c r="U39" i="1"/>
  <c r="T39" i="1"/>
  <c r="S39" i="1"/>
  <c r="N39" i="1"/>
  <c r="J39" i="1"/>
  <c r="I39" i="1"/>
  <c r="H39" i="1"/>
  <c r="F39" i="1"/>
  <c r="U38" i="1"/>
  <c r="T38" i="1"/>
  <c r="S38" i="1"/>
  <c r="N38" i="1"/>
  <c r="J38" i="1"/>
  <c r="I38" i="1"/>
  <c r="H38" i="1"/>
  <c r="F38" i="1"/>
  <c r="U37" i="1"/>
  <c r="T37" i="1"/>
  <c r="S37" i="1"/>
  <c r="N37" i="1"/>
  <c r="J37" i="1"/>
  <c r="I37" i="1"/>
  <c r="H37" i="1"/>
  <c r="F37" i="1"/>
  <c r="D37" i="1"/>
  <c r="U36" i="1"/>
  <c r="T36" i="1"/>
  <c r="N36" i="1"/>
  <c r="J36" i="1"/>
  <c r="H36" i="1"/>
  <c r="D36" i="1"/>
  <c r="F36" i="1" s="1"/>
  <c r="U35" i="1"/>
  <c r="T35" i="1"/>
  <c r="S35" i="1"/>
  <c r="N35" i="1"/>
  <c r="J35" i="1"/>
  <c r="I35" i="1"/>
  <c r="H35" i="1"/>
  <c r="F35" i="1"/>
  <c r="U34" i="1"/>
  <c r="T34" i="1"/>
  <c r="S34" i="1"/>
  <c r="J34" i="1"/>
  <c r="I34" i="1"/>
  <c r="N34" i="1" s="1"/>
  <c r="H34" i="1"/>
  <c r="F34" i="1"/>
  <c r="D34" i="1"/>
  <c r="U33" i="1"/>
  <c r="T33" i="1"/>
  <c r="N33" i="1"/>
  <c r="J33" i="1"/>
  <c r="H33" i="1"/>
  <c r="D33" i="1"/>
  <c r="S33" i="1" s="1"/>
  <c r="U32" i="1"/>
  <c r="T32" i="1"/>
  <c r="S32" i="1"/>
  <c r="N32" i="1"/>
  <c r="J32" i="1"/>
  <c r="H32" i="1"/>
  <c r="F32" i="1"/>
  <c r="D32" i="1"/>
  <c r="U31" i="1"/>
  <c r="T31" i="1"/>
  <c r="S31" i="1"/>
  <c r="N31" i="1"/>
  <c r="J31" i="1"/>
  <c r="H31" i="1"/>
  <c r="F31" i="1"/>
  <c r="U30" i="1"/>
  <c r="T30" i="1"/>
  <c r="S30" i="1"/>
  <c r="N30" i="1"/>
  <c r="J30" i="1"/>
  <c r="H30" i="1"/>
  <c r="F30" i="1"/>
  <c r="U29" i="1"/>
  <c r="T29" i="1"/>
  <c r="N29" i="1"/>
  <c r="J29" i="1"/>
  <c r="D29" i="1"/>
  <c r="H29" i="1" s="1"/>
  <c r="U28" i="1"/>
  <c r="T28" i="1"/>
  <c r="S28" i="1"/>
  <c r="N28" i="1"/>
  <c r="J28" i="1"/>
  <c r="F28" i="1"/>
  <c r="D28" i="1"/>
  <c r="H28" i="1" s="1"/>
  <c r="U27" i="1"/>
  <c r="T27" i="1"/>
  <c r="S27" i="1"/>
  <c r="N27" i="1"/>
  <c r="J27" i="1"/>
  <c r="D27" i="1"/>
  <c r="H27" i="1" s="1"/>
  <c r="U26" i="1"/>
  <c r="T26" i="1"/>
  <c r="N26" i="1"/>
  <c r="J26" i="1"/>
  <c r="D26" i="1"/>
  <c r="U25" i="1"/>
  <c r="U56" i="1" s="1"/>
  <c r="T25" i="1"/>
  <c r="N25" i="1"/>
  <c r="J25" i="1"/>
  <c r="D25" i="1"/>
  <c r="P19" i="1"/>
  <c r="Q19" i="1" s="1"/>
  <c r="N19" i="1"/>
  <c r="M19" i="1"/>
  <c r="L19" i="1"/>
  <c r="K19" i="1"/>
  <c r="T18" i="1"/>
  <c r="N18" i="1"/>
  <c r="L18" i="1"/>
  <c r="P18" i="1" s="1"/>
  <c r="Q18" i="1" s="1"/>
  <c r="K18" i="1"/>
  <c r="S16" i="1"/>
  <c r="P14" i="1"/>
  <c r="Q14" i="1" s="1"/>
  <c r="N14" i="1"/>
  <c r="L14" i="1"/>
  <c r="M14" i="1" s="1"/>
  <c r="K14" i="1"/>
  <c r="V13" i="1"/>
  <c r="W13" i="1" s="1"/>
  <c r="F15" i="3" s="1"/>
  <c r="I13" i="1"/>
  <c r="W12" i="1"/>
  <c r="V10" i="1"/>
  <c r="S10" i="1"/>
  <c r="O10" i="1"/>
  <c r="I10" i="1"/>
  <c r="O9" i="1"/>
  <c r="I3" i="1"/>
  <c r="D2" i="3" s="1"/>
  <c r="B1" i="1"/>
  <c r="D8" i="4" l="1"/>
  <c r="S13" i="1"/>
  <c r="T13" i="1" s="1"/>
  <c r="F14" i="3" s="1"/>
  <c r="J8" i="1"/>
  <c r="H25" i="1"/>
  <c r="S25" i="1"/>
  <c r="H26" i="1"/>
  <c r="F26" i="1"/>
  <c r="H45" i="1"/>
  <c r="S45" i="1"/>
  <c r="L12" i="1"/>
  <c r="N12" i="1" s="1"/>
  <c r="D9" i="4"/>
  <c r="S19" i="1"/>
  <c r="E13" i="3"/>
  <c r="F25" i="1"/>
  <c r="H49" i="1"/>
  <c r="F49" i="1"/>
  <c r="S49" i="1"/>
  <c r="H51" i="1"/>
  <c r="S51" i="1"/>
  <c r="F51" i="1"/>
  <c r="H56" i="1"/>
  <c r="J10" i="1" s="1"/>
  <c r="E8" i="3"/>
  <c r="I8" i="1"/>
  <c r="K13" i="1"/>
  <c r="D9" i="3" s="1"/>
  <c r="H41" i="1"/>
  <c r="F41" i="1"/>
  <c r="S41" i="1"/>
  <c r="I56" i="1"/>
  <c r="K12" i="1"/>
  <c r="D8" i="3" s="1"/>
  <c r="S26" i="1"/>
  <c r="K14" i="3"/>
  <c r="D6" i="4"/>
  <c r="F29" i="1"/>
  <c r="H46" i="1"/>
  <c r="W12" i="5"/>
  <c r="M58" i="1"/>
  <c r="H38" i="6"/>
  <c r="S38" i="6"/>
  <c r="F38" i="6"/>
  <c r="H28" i="5"/>
  <c r="S28" i="5"/>
  <c r="F28" i="5"/>
  <c r="J9" i="5"/>
  <c r="H44" i="5"/>
  <c r="S44" i="5"/>
  <c r="S36" i="1"/>
  <c r="D14" i="3"/>
  <c r="D15" i="3"/>
  <c r="D57" i="5"/>
  <c r="H57" i="5" s="1"/>
  <c r="J10" i="5" s="1"/>
  <c r="S43" i="5"/>
  <c r="F43" i="5"/>
  <c r="H49" i="5"/>
  <c r="S49" i="5"/>
  <c r="F49" i="5"/>
  <c r="K20" i="6"/>
  <c r="F57" i="6"/>
  <c r="J11" i="6" s="1"/>
  <c r="M18" i="1"/>
  <c r="D10" i="4"/>
  <c r="E15" i="3"/>
  <c r="F27" i="1"/>
  <c r="S29" i="1"/>
  <c r="M19" i="5"/>
  <c r="P19" i="5"/>
  <c r="Q19" i="5" s="1"/>
  <c r="H26" i="5"/>
  <c r="S26" i="5"/>
  <c r="F26" i="5"/>
  <c r="N57" i="5"/>
  <c r="J20" i="5" s="1"/>
  <c r="I58" i="1"/>
  <c r="J17" i="5"/>
  <c r="J57" i="5"/>
  <c r="J12" i="5" s="1"/>
  <c r="S57" i="5"/>
  <c r="S44" i="1"/>
  <c r="F56" i="1"/>
  <c r="J11" i="1" s="1"/>
  <c r="T57" i="5"/>
  <c r="K11" i="6"/>
  <c r="J7" i="3" s="1"/>
  <c r="M12" i="6"/>
  <c r="L8" i="3" s="1"/>
  <c r="I24" i="9"/>
  <c r="B25" i="9"/>
  <c r="AL31" i="10"/>
  <c r="J9" i="1"/>
  <c r="H36" i="5"/>
  <c r="F37" i="5"/>
  <c r="H51" i="5"/>
  <c r="V13" i="6"/>
  <c r="K15" i="3"/>
  <c r="J17" i="6"/>
  <c r="H31" i="6"/>
  <c r="S31" i="6"/>
  <c r="F31" i="6"/>
  <c r="F33" i="1"/>
  <c r="D3" i="4"/>
  <c r="P14" i="6"/>
  <c r="Q14" i="6" s="1"/>
  <c r="N14" i="6"/>
  <c r="M14" i="6"/>
  <c r="H41" i="6"/>
  <c r="S41" i="6"/>
  <c r="F41" i="6"/>
  <c r="I24" i="8"/>
  <c r="B25" i="8"/>
  <c r="N12" i="6"/>
  <c r="S12" i="5"/>
  <c r="S13" i="5" s="1"/>
  <c r="L23" i="7"/>
  <c r="I17" i="6"/>
  <c r="S12" i="6"/>
  <c r="U12" i="6" s="1"/>
  <c r="I17" i="5"/>
  <c r="S18" i="6"/>
  <c r="S19" i="6" s="1"/>
  <c r="L24" i="9"/>
  <c r="L24" i="8"/>
  <c r="K24" i="9"/>
  <c r="N24" i="9" s="1"/>
  <c r="L19" i="9" s="1"/>
  <c r="I4" i="9" s="1"/>
  <c r="K4" i="9" s="1"/>
  <c r="M4" i="9" s="1"/>
  <c r="U46" i="5"/>
  <c r="U28" i="6"/>
  <c r="N32" i="6"/>
  <c r="U34" i="6"/>
  <c r="H43" i="6"/>
  <c r="U47" i="6"/>
  <c r="H57" i="6"/>
  <c r="J10" i="6" s="1"/>
  <c r="U36" i="5"/>
  <c r="U42" i="5"/>
  <c r="U44" i="5"/>
  <c r="I10" i="6"/>
  <c r="U26" i="6"/>
  <c r="S39" i="6"/>
  <c r="U45" i="6"/>
  <c r="I23" i="7"/>
  <c r="C16" i="8"/>
  <c r="C16" i="9"/>
  <c r="U47" i="5"/>
  <c r="F27" i="6"/>
  <c r="U29" i="6"/>
  <c r="U35" i="6"/>
  <c r="U37" i="6"/>
  <c r="U39" i="6"/>
  <c r="G16" i="8"/>
  <c r="D12" i="8" s="1"/>
  <c r="G4" i="8" s="1"/>
  <c r="D57" i="6"/>
  <c r="U35" i="5"/>
  <c r="U57" i="5" s="1"/>
  <c r="U43" i="5"/>
  <c r="K12" i="6"/>
  <c r="J8" i="3" s="1"/>
  <c r="U27" i="6"/>
  <c r="H32" i="6"/>
  <c r="U42" i="6"/>
  <c r="G14" i="3" l="1"/>
  <c r="T13" i="5"/>
  <c r="I14" i="3" s="1"/>
  <c r="T19" i="6"/>
  <c r="L13" i="3" s="1"/>
  <c r="J13" i="3"/>
  <c r="H6" i="3"/>
  <c r="N10" i="5"/>
  <c r="L10" i="5"/>
  <c r="K10" i="5"/>
  <c r="G6" i="3" s="1"/>
  <c r="K17" i="5"/>
  <c r="G12" i="3" s="1"/>
  <c r="M17" i="5"/>
  <c r="I12" i="3" s="1"/>
  <c r="W13" i="6"/>
  <c r="L15" i="3" s="1"/>
  <c r="J15" i="3"/>
  <c r="K12" i="5"/>
  <c r="G8" i="3" s="1"/>
  <c r="H8" i="3"/>
  <c r="L12" i="5"/>
  <c r="B3" i="2"/>
  <c r="K7" i="3"/>
  <c r="E5" i="3"/>
  <c r="H12" i="3"/>
  <c r="L17" i="5"/>
  <c r="P17" i="5" s="1"/>
  <c r="Q17" i="5" s="1"/>
  <c r="S56" i="1"/>
  <c r="N56" i="1"/>
  <c r="J20" i="1" s="1"/>
  <c r="J17" i="1"/>
  <c r="I57" i="1"/>
  <c r="P12" i="1"/>
  <c r="Q12" i="1" s="1"/>
  <c r="M12" i="1"/>
  <c r="F8" i="3" s="1"/>
  <c r="K17" i="6"/>
  <c r="J12" i="3" s="1"/>
  <c r="K11" i="1"/>
  <c r="D7" i="3" s="1"/>
  <c r="E7" i="3"/>
  <c r="K20" i="5"/>
  <c r="H5" i="3"/>
  <c r="I8" i="6"/>
  <c r="P54" i="1"/>
  <c r="O54" i="1" s="1"/>
  <c r="P44" i="1"/>
  <c r="O44" i="1" s="1"/>
  <c r="K8" i="1"/>
  <c r="P51" i="1"/>
  <c r="O51" i="1" s="1"/>
  <c r="P49" i="1"/>
  <c r="O49" i="1" s="1"/>
  <c r="P41" i="1"/>
  <c r="O41" i="1" s="1"/>
  <c r="P39" i="1"/>
  <c r="O39" i="1" s="1"/>
  <c r="P37" i="1"/>
  <c r="O37" i="1" s="1"/>
  <c r="P29" i="1"/>
  <c r="O29" i="1" s="1"/>
  <c r="P27" i="1"/>
  <c r="O27" i="1" s="1"/>
  <c r="P25" i="1"/>
  <c r="P55" i="1"/>
  <c r="P50" i="1"/>
  <c r="O50" i="1" s="1"/>
  <c r="P48" i="1"/>
  <c r="O48" i="1" s="1"/>
  <c r="P45" i="1"/>
  <c r="O45" i="1" s="1"/>
  <c r="P40" i="1"/>
  <c r="O40" i="1" s="1"/>
  <c r="P38" i="1"/>
  <c r="O38" i="1" s="1"/>
  <c r="P28" i="1"/>
  <c r="O28" i="1" s="1"/>
  <c r="P26" i="1"/>
  <c r="O26" i="1" s="1"/>
  <c r="I8" i="5"/>
  <c r="P34" i="1"/>
  <c r="O34" i="1" s="1"/>
  <c r="P30" i="1"/>
  <c r="O30" i="1" s="1"/>
  <c r="C4" i="1"/>
  <c r="D5" i="1" s="1"/>
  <c r="P52" i="1"/>
  <c r="O52" i="1" s="1"/>
  <c r="P47" i="1"/>
  <c r="O47" i="1" s="1"/>
  <c r="P46" i="1"/>
  <c r="O46" i="1" s="1"/>
  <c r="P33" i="1"/>
  <c r="O33" i="1" s="1"/>
  <c r="P42" i="1"/>
  <c r="O42" i="1" s="1"/>
  <c r="P35" i="1"/>
  <c r="O35" i="1" s="1"/>
  <c r="P31" i="1"/>
  <c r="O31" i="1" s="1"/>
  <c r="E4" i="1"/>
  <c r="P53" i="1"/>
  <c r="O53" i="1" s="1"/>
  <c r="P36" i="1"/>
  <c r="O36" i="1" s="1"/>
  <c r="I9" i="1"/>
  <c r="I15" i="1"/>
  <c r="P43" i="1"/>
  <c r="O43" i="1" s="1"/>
  <c r="P32" i="1"/>
  <c r="O32" i="1" s="1"/>
  <c r="J8" i="5"/>
  <c r="F57" i="5"/>
  <c r="J11" i="5" s="1"/>
  <c r="J8" i="6"/>
  <c r="L10" i="6"/>
  <c r="P10" i="6" s="1"/>
  <c r="Q10" i="6" s="1"/>
  <c r="K6" i="3"/>
  <c r="M10" i="6"/>
  <c r="L6" i="3" s="1"/>
  <c r="K10" i="6"/>
  <c r="J6" i="3" s="1"/>
  <c r="N17" i="6"/>
  <c r="L17" i="6"/>
  <c r="P17" i="6" s="1"/>
  <c r="Q17" i="6" s="1"/>
  <c r="K12" i="3"/>
  <c r="V13" i="5"/>
  <c r="H15" i="3"/>
  <c r="S13" i="6"/>
  <c r="K10" i="1"/>
  <c r="D6" i="3" s="1"/>
  <c r="E6" i="3"/>
  <c r="N10" i="1"/>
  <c r="L10" i="1"/>
  <c r="N23" i="7"/>
  <c r="L18" i="7" s="1"/>
  <c r="I4" i="7" s="1"/>
  <c r="N24" i="8"/>
  <c r="L19" i="8" s="1"/>
  <c r="I4" i="8" s="1"/>
  <c r="J15" i="1"/>
  <c r="E4" i="3"/>
  <c r="J16" i="1"/>
  <c r="D13" i="3"/>
  <c r="T19" i="1"/>
  <c r="F13" i="3" s="1"/>
  <c r="L15" i="1" l="1"/>
  <c r="P15" i="1" s="1"/>
  <c r="Q15" i="1" s="1"/>
  <c r="N15" i="1"/>
  <c r="E11" i="3"/>
  <c r="J14" i="3"/>
  <c r="T13" i="6"/>
  <c r="L14" i="3" s="1"/>
  <c r="W13" i="5"/>
  <c r="I15" i="3" s="1"/>
  <c r="G15" i="3"/>
  <c r="N10" i="6"/>
  <c r="P54" i="5"/>
  <c r="O54" i="5" s="1"/>
  <c r="P49" i="5"/>
  <c r="O49" i="5" s="1"/>
  <c r="P40" i="5"/>
  <c r="O40" i="5" s="1"/>
  <c r="P38" i="5"/>
  <c r="O38" i="5" s="1"/>
  <c r="P28" i="5"/>
  <c r="O28" i="5" s="1"/>
  <c r="P26" i="5"/>
  <c r="O26" i="5" s="1"/>
  <c r="P56" i="5"/>
  <c r="O56" i="5" s="1"/>
  <c r="P46" i="5"/>
  <c r="O46" i="5" s="1"/>
  <c r="P32" i="5"/>
  <c r="O32" i="5" s="1"/>
  <c r="P48" i="5"/>
  <c r="O48" i="5" s="1"/>
  <c r="P41" i="5"/>
  <c r="O41" i="5" s="1"/>
  <c r="P39" i="5"/>
  <c r="O39" i="5" s="1"/>
  <c r="P37" i="5"/>
  <c r="O37" i="5" s="1"/>
  <c r="P29" i="5"/>
  <c r="O29" i="5" s="1"/>
  <c r="P27" i="5"/>
  <c r="O27" i="5" s="1"/>
  <c r="P25" i="5"/>
  <c r="P55" i="5"/>
  <c r="O55" i="5" s="1"/>
  <c r="P50" i="5"/>
  <c r="O50" i="5" s="1"/>
  <c r="P43" i="5"/>
  <c r="O43" i="5" s="1"/>
  <c r="P35" i="5"/>
  <c r="O35" i="5" s="1"/>
  <c r="P44" i="5"/>
  <c r="O44" i="5" s="1"/>
  <c r="I9" i="5"/>
  <c r="C4" i="5"/>
  <c r="E4" i="5" s="1"/>
  <c r="P33" i="5"/>
  <c r="O33" i="5" s="1"/>
  <c r="P51" i="5"/>
  <c r="O51" i="5" s="1"/>
  <c r="P36" i="5"/>
  <c r="O36" i="5" s="1"/>
  <c r="K8" i="5"/>
  <c r="P47" i="5"/>
  <c r="O47" i="5" s="1"/>
  <c r="P30" i="5"/>
  <c r="O30" i="5" s="1"/>
  <c r="P45" i="5"/>
  <c r="O45" i="5" s="1"/>
  <c r="P31" i="5"/>
  <c r="O31" i="5" s="1"/>
  <c r="P34" i="5"/>
  <c r="O34" i="5" s="1"/>
  <c r="P53" i="5"/>
  <c r="P52" i="5"/>
  <c r="O52" i="5" s="1"/>
  <c r="P42" i="5"/>
  <c r="O42" i="5" s="1"/>
  <c r="O55" i="1"/>
  <c r="D57" i="1"/>
  <c r="I15" i="6"/>
  <c r="M15" i="1"/>
  <c r="F11" i="3" s="1"/>
  <c r="I15" i="5"/>
  <c r="K15" i="1"/>
  <c r="D11" i="3" s="1"/>
  <c r="M10" i="1"/>
  <c r="F6" i="3" s="1"/>
  <c r="P10" i="1"/>
  <c r="Q10" i="1" s="1"/>
  <c r="J15" i="6"/>
  <c r="F24" i="8"/>
  <c r="G24" i="8" s="1"/>
  <c r="D19" i="8" s="1"/>
  <c r="H4" i="8" s="1"/>
  <c r="K4" i="8" s="1"/>
  <c r="M4" i="8" s="1"/>
  <c r="K4" i="3"/>
  <c r="J16" i="6"/>
  <c r="P56" i="1"/>
  <c r="O56" i="1" s="1"/>
  <c r="L8" i="1"/>
  <c r="O25" i="1"/>
  <c r="K16" i="9"/>
  <c r="K16" i="8"/>
  <c r="K15" i="7"/>
  <c r="D4" i="3"/>
  <c r="L20" i="1"/>
  <c r="L17" i="1"/>
  <c r="N17" i="1" s="1"/>
  <c r="E12" i="3"/>
  <c r="K17" i="1"/>
  <c r="D12" i="3" s="1"/>
  <c r="K11" i="5"/>
  <c r="G7" i="3" s="1"/>
  <c r="H7" i="3"/>
  <c r="Q51" i="1"/>
  <c r="R51" i="1" s="1"/>
  <c r="Q49" i="1"/>
  <c r="R49" i="1" s="1"/>
  <c r="Q41" i="1"/>
  <c r="R41" i="1" s="1"/>
  <c r="Q39" i="1"/>
  <c r="R39" i="1" s="1"/>
  <c r="Q37" i="1"/>
  <c r="R37" i="1" s="1"/>
  <c r="Q29" i="1"/>
  <c r="R29" i="1" s="1"/>
  <c r="Q27" i="1"/>
  <c r="R27" i="1" s="1"/>
  <c r="Q25" i="1"/>
  <c r="K9" i="1"/>
  <c r="D5" i="3" s="1"/>
  <c r="Q46" i="1"/>
  <c r="R46" i="1" s="1"/>
  <c r="Q35" i="1"/>
  <c r="R35" i="1" s="1"/>
  <c r="Q52" i="1"/>
  <c r="R52" i="1" s="1"/>
  <c r="Q42" i="1"/>
  <c r="R42" i="1" s="1"/>
  <c r="Q36" i="1"/>
  <c r="R36" i="1" s="1"/>
  <c r="Q34" i="1"/>
  <c r="R34" i="1" s="1"/>
  <c r="Q30" i="1"/>
  <c r="R30" i="1" s="1"/>
  <c r="Q48" i="1"/>
  <c r="R48" i="1" s="1"/>
  <c r="Q47" i="1"/>
  <c r="R47" i="1" s="1"/>
  <c r="Q40" i="1"/>
  <c r="R40" i="1" s="1"/>
  <c r="Q43" i="1"/>
  <c r="R43" i="1" s="1"/>
  <c r="Q33" i="1"/>
  <c r="R33" i="1" s="1"/>
  <c r="Q38" i="1"/>
  <c r="R38" i="1" s="1"/>
  <c r="Q31" i="1"/>
  <c r="R31" i="1" s="1"/>
  <c r="Q54" i="1"/>
  <c r="R54" i="1" s="1"/>
  <c r="Q53" i="1"/>
  <c r="R53" i="1" s="1"/>
  <c r="Q26" i="1"/>
  <c r="R26" i="1" s="1"/>
  <c r="Q45" i="1"/>
  <c r="R45" i="1" s="1"/>
  <c r="Q28" i="1"/>
  <c r="R28" i="1" s="1"/>
  <c r="Q55" i="1"/>
  <c r="R55" i="1" s="1"/>
  <c r="Q32" i="1"/>
  <c r="R32" i="1" s="1"/>
  <c r="Q50" i="1"/>
  <c r="R50" i="1" s="1"/>
  <c r="Q44" i="1"/>
  <c r="R44" i="1" s="1"/>
  <c r="K20" i="1"/>
  <c r="N20" i="1"/>
  <c r="J15" i="5"/>
  <c r="F23" i="7"/>
  <c r="G23" i="7" s="1"/>
  <c r="D18" i="7" s="1"/>
  <c r="H4" i="7" s="1"/>
  <c r="H4" i="3"/>
  <c r="D58" i="1"/>
  <c r="J16" i="5"/>
  <c r="P56" i="6"/>
  <c r="O56" i="6" s="1"/>
  <c r="P48" i="6"/>
  <c r="O48" i="6" s="1"/>
  <c r="P39" i="6"/>
  <c r="O39" i="6" s="1"/>
  <c r="P37" i="6"/>
  <c r="O37" i="6" s="1"/>
  <c r="P35" i="6"/>
  <c r="O35" i="6" s="1"/>
  <c r="P29" i="6"/>
  <c r="O29" i="6" s="1"/>
  <c r="P53" i="6"/>
  <c r="O53" i="6" s="1"/>
  <c r="P43" i="6"/>
  <c r="O43" i="6" s="1"/>
  <c r="P41" i="6"/>
  <c r="O41" i="6" s="1"/>
  <c r="P31" i="6"/>
  <c r="O31" i="6" s="1"/>
  <c r="P55" i="6"/>
  <c r="O55" i="6" s="1"/>
  <c r="P47" i="6"/>
  <c r="O47" i="6" s="1"/>
  <c r="P34" i="6"/>
  <c r="O34" i="6" s="1"/>
  <c r="P28" i="6"/>
  <c r="O28" i="6" s="1"/>
  <c r="P52" i="6"/>
  <c r="O52" i="6" s="1"/>
  <c r="P38" i="6"/>
  <c r="O38" i="6" s="1"/>
  <c r="P36" i="6"/>
  <c r="O36" i="6" s="1"/>
  <c r="P32" i="6"/>
  <c r="O32" i="6" s="1"/>
  <c r="P49" i="6"/>
  <c r="O49" i="6" s="1"/>
  <c r="S48" i="6"/>
  <c r="P44" i="6"/>
  <c r="O44" i="6" s="1"/>
  <c r="P40" i="6"/>
  <c r="O40" i="6" s="1"/>
  <c r="P30" i="6"/>
  <c r="O30" i="6" s="1"/>
  <c r="P25" i="6"/>
  <c r="P54" i="6"/>
  <c r="O54" i="6" s="1"/>
  <c r="P42" i="6"/>
  <c r="O42" i="6" s="1"/>
  <c r="P27" i="6"/>
  <c r="O27" i="6" s="1"/>
  <c r="I9" i="6"/>
  <c r="P45" i="6"/>
  <c r="O45" i="6" s="1"/>
  <c r="P26" i="6"/>
  <c r="O26" i="6" s="1"/>
  <c r="P46" i="6"/>
  <c r="O46" i="6" s="1"/>
  <c r="C4" i="6"/>
  <c r="E4" i="6" s="1"/>
  <c r="P51" i="6"/>
  <c r="O51" i="6" s="1"/>
  <c r="P50" i="6"/>
  <c r="O50" i="6" s="1"/>
  <c r="P33" i="6"/>
  <c r="O33" i="6" s="1"/>
  <c r="S49" i="6"/>
  <c r="K8" i="6"/>
  <c r="M17" i="6"/>
  <c r="L12" i="3" s="1"/>
  <c r="P12" i="5"/>
  <c r="Q12" i="5" s="1"/>
  <c r="M12" i="5"/>
  <c r="I8" i="3" s="1"/>
  <c r="N16" i="1"/>
  <c r="D16" i="3"/>
  <c r="K16" i="1"/>
  <c r="L16" i="1"/>
  <c r="N17" i="5"/>
  <c r="N12" i="5"/>
  <c r="M10" i="5"/>
  <c r="I6" i="3" s="1"/>
  <c r="P10" i="5"/>
  <c r="Q10" i="5" s="1"/>
  <c r="P8" i="1" l="1"/>
  <c r="Q8" i="1" s="1"/>
  <c r="M8" i="1"/>
  <c r="F4" i="3" s="1"/>
  <c r="N8" i="1"/>
  <c r="Q53" i="6"/>
  <c r="R53" i="6" s="1"/>
  <c r="Q43" i="6"/>
  <c r="R43" i="6" s="1"/>
  <c r="Q41" i="6"/>
  <c r="R41" i="6" s="1"/>
  <c r="Q31" i="6"/>
  <c r="R31" i="6" s="1"/>
  <c r="Q50" i="6"/>
  <c r="R50" i="6" s="1"/>
  <c r="Q45" i="6"/>
  <c r="R45" i="6" s="1"/>
  <c r="Q26" i="6"/>
  <c r="R26" i="6" s="1"/>
  <c r="Q52" i="6"/>
  <c r="R52" i="6" s="1"/>
  <c r="Q38" i="6"/>
  <c r="R38" i="6" s="1"/>
  <c r="Q36" i="6"/>
  <c r="R36" i="6" s="1"/>
  <c r="Q32" i="6"/>
  <c r="R32" i="6" s="1"/>
  <c r="Q49" i="6"/>
  <c r="R49" i="6" s="1"/>
  <c r="T48" i="6"/>
  <c r="Q44" i="6"/>
  <c r="R44" i="6" s="1"/>
  <c r="Q40" i="6"/>
  <c r="R40" i="6" s="1"/>
  <c r="Q30" i="6"/>
  <c r="R30" i="6" s="1"/>
  <c r="Q25" i="6"/>
  <c r="Q54" i="6"/>
  <c r="R54" i="6" s="1"/>
  <c r="Q42" i="6"/>
  <c r="R42" i="6" s="1"/>
  <c r="Q27" i="6"/>
  <c r="R27" i="6" s="1"/>
  <c r="Q51" i="6"/>
  <c r="R51" i="6" s="1"/>
  <c r="Q46" i="6"/>
  <c r="R46" i="6" s="1"/>
  <c r="Q33" i="6"/>
  <c r="R33" i="6" s="1"/>
  <c r="Q56" i="6"/>
  <c r="R56" i="6" s="1"/>
  <c r="Q47" i="6"/>
  <c r="R47" i="6" s="1"/>
  <c r="Q37" i="6"/>
  <c r="R37" i="6" s="1"/>
  <c r="Q35" i="6"/>
  <c r="R35" i="6" s="1"/>
  <c r="Q48" i="6"/>
  <c r="R48" i="6" s="1"/>
  <c r="Q39" i="6"/>
  <c r="R39" i="6" s="1"/>
  <c r="Q55" i="6"/>
  <c r="R55" i="6" s="1"/>
  <c r="U36" i="6"/>
  <c r="Q34" i="6"/>
  <c r="R34" i="6" s="1"/>
  <c r="K9" i="6"/>
  <c r="J5" i="3" s="1"/>
  <c r="Q28" i="6"/>
  <c r="R28" i="6" s="1"/>
  <c r="Q29" i="6"/>
  <c r="R29" i="6" s="1"/>
  <c r="I13" i="6"/>
  <c r="U48" i="6"/>
  <c r="U49" i="6"/>
  <c r="S57" i="6"/>
  <c r="N15" i="6"/>
  <c r="L15" i="6"/>
  <c r="P15" i="6" s="1"/>
  <c r="Q15" i="6" s="1"/>
  <c r="K11" i="3"/>
  <c r="Q51" i="5"/>
  <c r="R51" i="5" s="1"/>
  <c r="Q44" i="5"/>
  <c r="R44" i="5" s="1"/>
  <c r="Q42" i="5"/>
  <c r="R42" i="5" s="1"/>
  <c r="Q36" i="5"/>
  <c r="R36" i="5" s="1"/>
  <c r="Q34" i="5"/>
  <c r="R34" i="5" s="1"/>
  <c r="Q30" i="5"/>
  <c r="R30" i="5" s="1"/>
  <c r="Q53" i="5"/>
  <c r="R53" i="5" s="1"/>
  <c r="Q55" i="5"/>
  <c r="R55" i="5" s="1"/>
  <c r="Q50" i="5"/>
  <c r="R50" i="5" s="1"/>
  <c r="Q43" i="5"/>
  <c r="R43" i="5" s="1"/>
  <c r="Q35" i="5"/>
  <c r="R35" i="5" s="1"/>
  <c r="Q52" i="5"/>
  <c r="R52" i="5" s="1"/>
  <c r="Q45" i="5"/>
  <c r="R45" i="5" s="1"/>
  <c r="Q33" i="5"/>
  <c r="R33" i="5" s="1"/>
  <c r="Q31" i="5"/>
  <c r="R31" i="5" s="1"/>
  <c r="Q40" i="5"/>
  <c r="R40" i="5" s="1"/>
  <c r="I13" i="5"/>
  <c r="Q54" i="5"/>
  <c r="R54" i="5" s="1"/>
  <c r="Q39" i="5"/>
  <c r="R39" i="5" s="1"/>
  <c r="Q47" i="5"/>
  <c r="R47" i="5" s="1"/>
  <c r="Q46" i="5"/>
  <c r="R46" i="5" s="1"/>
  <c r="Q56" i="5"/>
  <c r="R56" i="5" s="1"/>
  <c r="Q49" i="5"/>
  <c r="R49" i="5" s="1"/>
  <c r="Q48" i="5"/>
  <c r="R48" i="5" s="1"/>
  <c r="Q29" i="5"/>
  <c r="R29" i="5" s="1"/>
  <c r="Q28" i="5"/>
  <c r="R28" i="5" s="1"/>
  <c r="Q27" i="5"/>
  <c r="R27" i="5" s="1"/>
  <c r="Q32" i="5"/>
  <c r="R32" i="5" s="1"/>
  <c r="Q38" i="5"/>
  <c r="R38" i="5" s="1"/>
  <c r="Q26" i="5"/>
  <c r="R26" i="5" s="1"/>
  <c r="Q37" i="5"/>
  <c r="R37" i="5" s="1"/>
  <c r="Q41" i="5"/>
  <c r="R41" i="5" s="1"/>
  <c r="K9" i="5"/>
  <c r="G5" i="3" s="1"/>
  <c r="Q25" i="5"/>
  <c r="H11" i="3"/>
  <c r="L15" i="5"/>
  <c r="P15" i="5" s="1"/>
  <c r="Q15" i="5" s="1"/>
  <c r="G4" i="3"/>
  <c r="L20" i="5"/>
  <c r="C3" i="2"/>
  <c r="L8" i="6"/>
  <c r="P57" i="6"/>
  <c r="O57" i="6" s="1"/>
  <c r="O25" i="6"/>
  <c r="P20" i="1"/>
  <c r="Q20" i="1" s="1"/>
  <c r="M20" i="1"/>
  <c r="K16" i="6"/>
  <c r="N16" i="6"/>
  <c r="L16" i="6"/>
  <c r="K15" i="5"/>
  <c r="G11" i="3" s="1"/>
  <c r="O53" i="5"/>
  <c r="D58" i="5"/>
  <c r="M17" i="1"/>
  <c r="F12" i="3" s="1"/>
  <c r="P17" i="1"/>
  <c r="Q17" i="1" s="1"/>
  <c r="L20" i="6"/>
  <c r="J4" i="3"/>
  <c r="C4" i="2"/>
  <c r="K16" i="5"/>
  <c r="N16" i="5"/>
  <c r="L16" i="5"/>
  <c r="Q56" i="1"/>
  <c r="L9" i="1"/>
  <c r="R25" i="1"/>
  <c r="M16" i="1"/>
  <c r="P16" i="1"/>
  <c r="Q16" i="1" s="1"/>
  <c r="M15" i="6"/>
  <c r="L11" i="3" s="1"/>
  <c r="K15" i="6"/>
  <c r="J11" i="3" s="1"/>
  <c r="P57" i="5"/>
  <c r="O57" i="5" s="1"/>
  <c r="L8" i="5"/>
  <c r="O25" i="5"/>
  <c r="N15" i="5" l="1"/>
  <c r="L9" i="6"/>
  <c r="Q57" i="6"/>
  <c r="R25" i="6"/>
  <c r="P8" i="5"/>
  <c r="Q8" i="5" s="1"/>
  <c r="M8" i="5"/>
  <c r="I4" i="3" s="1"/>
  <c r="N8" i="5"/>
  <c r="G16" i="3" s="1"/>
  <c r="M16" i="5"/>
  <c r="P16" i="5"/>
  <c r="Q16" i="5" s="1"/>
  <c r="M15" i="5"/>
  <c r="I11" i="3" s="1"/>
  <c r="L9" i="5"/>
  <c r="Q57" i="5"/>
  <c r="R25" i="5"/>
  <c r="U57" i="6"/>
  <c r="P8" i="6"/>
  <c r="Q8" i="6" s="1"/>
  <c r="M8" i="6"/>
  <c r="L4" i="3" s="1"/>
  <c r="N8" i="6"/>
  <c r="J16" i="3" s="1"/>
  <c r="K13" i="6"/>
  <c r="J9" i="3" s="1"/>
  <c r="L11" i="1"/>
  <c r="P9" i="1"/>
  <c r="Q9" i="1" s="1"/>
  <c r="N9" i="1"/>
  <c r="M9" i="1"/>
  <c r="F5" i="3" s="1"/>
  <c r="P16" i="6"/>
  <c r="Q16" i="6" s="1"/>
  <c r="M16" i="6"/>
  <c r="R56" i="1"/>
  <c r="L13" i="1"/>
  <c r="P20" i="6"/>
  <c r="Q20" i="6" s="1"/>
  <c r="M20" i="6"/>
  <c r="N20" i="6"/>
  <c r="P20" i="5"/>
  <c r="Q20" i="5" s="1"/>
  <c r="M20" i="5"/>
  <c r="N20" i="5"/>
  <c r="K13" i="5"/>
  <c r="G9" i="3" s="1"/>
  <c r="T57" i="6"/>
  <c r="T49" i="6"/>
  <c r="L11" i="5" l="1"/>
  <c r="P9" i="5"/>
  <c r="Q9" i="5" s="1"/>
  <c r="M9" i="5"/>
  <c r="I5" i="3" s="1"/>
  <c r="N9" i="5"/>
  <c r="P11" i="1"/>
  <c r="Q11" i="1" s="1"/>
  <c r="M11" i="1"/>
  <c r="F7" i="3" s="1"/>
  <c r="N11" i="1"/>
  <c r="L11" i="6"/>
  <c r="P9" i="6"/>
  <c r="Q9" i="6" s="1"/>
  <c r="N9" i="6"/>
  <c r="M9" i="6"/>
  <c r="L5" i="3" s="1"/>
  <c r="R57" i="5"/>
  <c r="L13" i="5"/>
  <c r="P13" i="1"/>
  <c r="Q13" i="1" s="1"/>
  <c r="M13" i="1"/>
  <c r="F9" i="3" s="1"/>
  <c r="N13" i="1"/>
  <c r="R57" i="6"/>
  <c r="L13" i="6"/>
  <c r="P11" i="6" l="1"/>
  <c r="Q11" i="6" s="1"/>
  <c r="M11" i="6"/>
  <c r="L7" i="3" s="1"/>
  <c r="N11" i="6"/>
  <c r="P13" i="5"/>
  <c r="Q13" i="5" s="1"/>
  <c r="M13" i="5"/>
  <c r="I9" i="3" s="1"/>
  <c r="N13" i="5"/>
  <c r="P13" i="6"/>
  <c r="Q13" i="6" s="1"/>
  <c r="M13" i="6"/>
  <c r="L9" i="3" s="1"/>
  <c r="N13" i="6"/>
  <c r="P11" i="5"/>
  <c r="Q11" i="5" s="1"/>
  <c r="M11" i="5"/>
  <c r="I7" i="3" s="1"/>
  <c r="N11" i="5"/>
</calcChain>
</file>

<file path=xl/sharedStrings.xml><?xml version="1.0" encoding="utf-8"?>
<sst xmlns="http://schemas.openxmlformats.org/spreadsheetml/2006/main" count="510" uniqueCount="125">
  <si>
    <t>(отчетная дата)</t>
  </si>
  <si>
    <t>Осталось до выполнения плана!!!</t>
  </si>
  <si>
    <t>Целевые показатели</t>
  </si>
  <si>
    <t>Показатель</t>
  </si>
  <si>
    <t>План</t>
  </si>
  <si>
    <t>Факт</t>
  </si>
  <si>
    <t>% выполнения</t>
  </si>
  <si>
    <t>Прогноз выполнения</t>
  </si>
  <si>
    <t>% выполнения по прогнозу</t>
  </si>
  <si>
    <t>Отклонение</t>
  </si>
  <si>
    <t>Факт аналогичного месяца прошлого года</t>
  </si>
  <si>
    <t>Отклонение LFL</t>
  </si>
  <si>
    <t>Выручка</t>
  </si>
  <si>
    <t>Кол-во изделий</t>
  </si>
  <si>
    <t>Средний чек</t>
  </si>
  <si>
    <t>Средняя стоимость изделия</t>
  </si>
  <si>
    <t>Длина чека</t>
  </si>
  <si>
    <t>Кол-во чеков</t>
  </si>
  <si>
    <t>Кол-во смен</t>
  </si>
  <si>
    <t>Средние продажи в смену</t>
  </si>
  <si>
    <t>Отставание/Перевыполнение</t>
  </si>
  <si>
    <t>Трафик</t>
  </si>
  <si>
    <t>Конверсия план/факт</t>
  </si>
  <si>
    <t>Факт продаж за месяц</t>
  </si>
  <si>
    <t>% выполнения дневного плана</t>
  </si>
  <si>
    <t>Раcпределение плана по дням</t>
  </si>
  <si>
    <t>Сотрудник</t>
  </si>
  <si>
    <t>Дата</t>
  </si>
  <si>
    <t>День недели</t>
  </si>
  <si>
    <t>Выручка (руб)</t>
  </si>
  <si>
    <t>Кол-во единиц (шт.)</t>
  </si>
  <si>
    <t>Средняя стоимость изделия (руб.)</t>
  </si>
  <si>
    <t>Количество чеков  (шт.)</t>
  </si>
  <si>
    <t>Средняя сумма чека (руб.)</t>
  </si>
  <si>
    <t>Длина чека (шт.)</t>
  </si>
  <si>
    <t>UNOde50</t>
  </si>
  <si>
    <t>IS</t>
  </si>
  <si>
    <t>Agafi</t>
  </si>
  <si>
    <t>Конверсия (%)</t>
  </si>
  <si>
    <t>выручка, план</t>
  </si>
  <si>
    <t>кол-во ед, план</t>
  </si>
  <si>
    <t>Кол-во чеков, план</t>
  </si>
  <si>
    <t>выручка, скорректир.план</t>
  </si>
  <si>
    <t>кол-во ед, скорр. план</t>
  </si>
  <si>
    <t>кол-во чеков, скорр. план</t>
  </si>
  <si>
    <t>Коэфф. Дня Недели</t>
  </si>
  <si>
    <t>Специфика месяца</t>
  </si>
  <si>
    <t>Рогалевич,Уразгильдеева</t>
  </si>
  <si>
    <t>пн</t>
  </si>
  <si>
    <t>вт</t>
  </si>
  <si>
    <t>ср</t>
  </si>
  <si>
    <t>Рогалевич</t>
  </si>
  <si>
    <t>чт</t>
  </si>
  <si>
    <t>Рогалевич, Уразгильдеева</t>
  </si>
  <si>
    <t>пт</t>
  </si>
  <si>
    <t>сб</t>
  </si>
  <si>
    <t>вс</t>
  </si>
  <si>
    <t xml:space="preserve">Рогалевич,Уразгальдеева </t>
  </si>
  <si>
    <t>итого</t>
  </si>
  <si>
    <t>КВП</t>
  </si>
  <si>
    <t>Итого</t>
  </si>
  <si>
    <t xml:space="preserve">Факт </t>
  </si>
  <si>
    <t>Прогноз</t>
  </si>
  <si>
    <t>Кол-во смен план/отработано</t>
  </si>
  <si>
    <t>Отклонение от плана</t>
  </si>
  <si>
    <t>Конверсия</t>
  </si>
  <si>
    <t xml:space="preserve">                          ЕЖЕДНЕВНЫЙ ОТЧЕТ О ПРОДАЖАХ</t>
  </si>
  <si>
    <t>в</t>
  </si>
  <si>
    <t>Выплачено на карту</t>
  </si>
  <si>
    <t>Выплачено наличными по платежной ведомости</t>
  </si>
  <si>
    <t>Дополнительные начисления, доплаты</t>
  </si>
  <si>
    <t>Оклад</t>
  </si>
  <si>
    <t>Бонусная часть от личных продаж</t>
  </si>
  <si>
    <t>Бонусная часть от общих продаж</t>
  </si>
  <si>
    <t>Базовый бонус за выполнение плана</t>
  </si>
  <si>
    <t>Итого:</t>
  </si>
  <si>
    <t>Вычеты</t>
  </si>
  <si>
    <t>Итого к выдаче с учетом авансов и вычетов</t>
  </si>
  <si>
    <t>Подпись</t>
  </si>
  <si>
    <t>Доп начисления</t>
  </si>
  <si>
    <t>Сумма</t>
  </si>
  <si>
    <t>Описание</t>
  </si>
  <si>
    <t>НДФЛ июль 2025</t>
  </si>
  <si>
    <t>Административный %</t>
  </si>
  <si>
    <t>Оклад:</t>
  </si>
  <si>
    <t>Дней</t>
  </si>
  <si>
    <t>Магазин</t>
  </si>
  <si>
    <t>Должность</t>
  </si>
  <si>
    <t>Зачислено часов</t>
  </si>
  <si>
    <t>Ставка за час, руб</t>
  </si>
  <si>
    <t>Начислено за день, руб</t>
  </si>
  <si>
    <t>Начисленный ББ</t>
  </si>
  <si>
    <t>ПК</t>
  </si>
  <si>
    <t>БонуснаяЧасть</t>
  </si>
  <si>
    <t>Бонус от личных продаж по категории товара</t>
  </si>
  <si>
    <t>Бонус от общих продаж</t>
  </si>
  <si>
    <t>Процент от продажи</t>
  </si>
  <si>
    <t>Продано на сумму, руб</t>
  </si>
  <si>
    <t>Начисленный бонус от продаж, руб</t>
  </si>
  <si>
    <t>Кол-во отработанных личных часов</t>
  </si>
  <si>
    <t>Кол-во отработанных общих часов</t>
  </si>
  <si>
    <t>НДФЛ июнь 2025</t>
  </si>
  <si>
    <t>Сентябрь, 2025</t>
  </si>
  <si>
    <t>г. Ялта</t>
  </si>
  <si>
    <t>ул. Набережная Ленина, 18</t>
  </si>
  <si>
    <t>GL-0005</t>
  </si>
  <si>
    <t>10.00-23.00</t>
  </si>
  <si>
    <t>ФОТ</t>
  </si>
  <si>
    <t>Кол-во дней в месяц</t>
  </si>
  <si>
    <t>Часы</t>
  </si>
  <si>
    <t>Выходные</t>
  </si>
  <si>
    <t>Отпуск</t>
  </si>
  <si>
    <t>Больничный (официальный)</t>
  </si>
  <si>
    <t>Дни стажировки</t>
  </si>
  <si>
    <t>№</t>
  </si>
  <si>
    <t>ФИО</t>
  </si>
  <si>
    <t>Дни</t>
  </si>
  <si>
    <t>Уразгильдеева Екатерина</t>
  </si>
  <si>
    <t>Рогалевич Ирина</t>
  </si>
  <si>
    <t>УМ</t>
  </si>
  <si>
    <t>Итого магазин</t>
  </si>
  <si>
    <t>График рандомный для приблизительного прогноза по продажам.</t>
  </si>
  <si>
    <t xml:space="preserve">    </t>
  </si>
  <si>
    <t>НДФЛ сентябрь 2025</t>
  </si>
  <si>
    <t>Конкурс КВП, Акция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</si>
</sst>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₽&quot;;\-#,##0\ &quot;₽&quot;"/>
    <numFmt numFmtId="164" formatCode="dddd&quot;, &quot;mmmm\ dd&quot;, &quot;yyyy"/>
    <numFmt numFmtId="165" formatCode="0.0%"/>
    <numFmt numFmtId="166" formatCode="#,##0\ &quot;₽&quot;"/>
    <numFmt numFmtId="167" formatCode="#,##0.0"/>
    <numFmt numFmtId="168" formatCode="_-* #,##0.00_р_._-;\-* #,##0.00_р_._-;_-* \-??_р_._-;_-@_-"/>
    <numFmt numFmtId="169" formatCode="#,##0.00\ &quot;₽&quot;"/>
    <numFmt numFmtId="170" formatCode="#,##0\ _₽"/>
    <numFmt numFmtId="171" formatCode="#,##0.00\ _₽"/>
    <numFmt numFmtId="172" formatCode="0.0"/>
    <numFmt numFmtId="173" formatCode="mmmm\ yyyy;@"/>
  </numFmts>
  <fonts count="56">
    <font>
      <sz val="11"/>
      <color indexed="63"/>
      <name val="Calibri"/>
    </font>
    <font>
      <sz val="9"/>
      <color indexed="63"/>
      <name val="Times New Roman"/>
      <family val="1"/>
    </font>
    <font>
      <sz val="11"/>
      <color indexed="63"/>
      <name val="Times New Roman"/>
      <family val="1"/>
    </font>
    <font>
      <sz val="11"/>
      <color indexed="63"/>
      <name val="Clinica Pro Regular"/>
    </font>
    <font>
      <sz val="11"/>
      <color rgb="FFCC66FF"/>
      <name val="Times New Roman"/>
      <family val="1"/>
    </font>
    <font>
      <b/>
      <sz val="8"/>
      <color rgb="FFCC66FF"/>
      <name val="Times New Roman"/>
      <family val="1"/>
    </font>
    <font>
      <sz val="8"/>
      <name val="Times New Roman"/>
      <family val="1"/>
    </font>
    <font>
      <sz val="28"/>
      <color rgb="FFCC66FF"/>
      <name val="Times New Roman"/>
      <family val="1"/>
    </font>
    <font>
      <sz val="8"/>
      <color rgb="FFCC66FF"/>
      <name val="Times New Roman"/>
      <family val="1"/>
    </font>
    <font>
      <b/>
      <sz val="11"/>
      <color rgb="FFCC66FF"/>
      <name val="Times New Roman"/>
      <family val="1"/>
    </font>
    <font>
      <b/>
      <sz val="11"/>
      <color rgb="FFCC66FF"/>
      <name val="Clinica Pro Regular"/>
    </font>
    <font>
      <sz val="11"/>
      <color rgb="FFCC66FF"/>
      <name val="Clinica Pro Regular"/>
    </font>
    <font>
      <b/>
      <sz val="12"/>
      <color rgb="FFCC66FF"/>
      <name val="Clinica Pro Regular"/>
    </font>
    <font>
      <b/>
      <sz val="8"/>
      <name val="Times New Roman"/>
      <family val="1"/>
    </font>
    <font>
      <sz val="11"/>
      <color rgb="FFFFC000"/>
      <name val="Times New Roman"/>
      <family val="1"/>
    </font>
    <font>
      <b/>
      <sz val="12"/>
      <name val="Clinica Pro Regular"/>
    </font>
    <font>
      <sz val="8"/>
      <name val="Clinica Pro Regular"/>
    </font>
    <font>
      <b/>
      <sz val="8"/>
      <name val="Clinica Pro Regular"/>
    </font>
    <font>
      <b/>
      <sz val="8"/>
      <color indexed="17"/>
      <name val="Clinica Pro Regular"/>
    </font>
    <font>
      <b/>
      <sz val="9"/>
      <name val="Clinica Pro Regular"/>
    </font>
    <font>
      <sz val="9"/>
      <name val="Clinica Pro Regular"/>
    </font>
    <font>
      <b/>
      <sz val="10"/>
      <name val="Clinica Pro Regular"/>
    </font>
    <font>
      <b/>
      <sz val="9"/>
      <color theme="1"/>
      <name val="Clinica Pro Regular"/>
    </font>
    <font>
      <b/>
      <sz val="8"/>
      <color theme="1"/>
      <name val="Clinica Pro Regular"/>
    </font>
    <font>
      <b/>
      <sz val="9"/>
      <color indexed="17"/>
      <name val="Clinica Pro Regular"/>
    </font>
    <font>
      <b/>
      <sz val="8"/>
      <color indexed="63"/>
      <name val="Clinica Pro Regular"/>
    </font>
    <font>
      <b/>
      <sz val="8"/>
      <color rgb="FF3B3838"/>
      <name val="Clinica Pro Regular"/>
    </font>
    <font>
      <sz val="9"/>
      <color indexed="63"/>
      <name val="Clinica Pro Regular"/>
    </font>
    <font>
      <b/>
      <sz val="8"/>
      <color rgb="FF1F4E79"/>
      <name val="Clinica Pro Regular"/>
    </font>
    <font>
      <sz val="11"/>
      <name val="Calibri"/>
      <family val="2"/>
    </font>
    <font>
      <sz val="8"/>
      <color indexed="2"/>
      <name val="Clinica Pro Regular"/>
    </font>
    <font>
      <sz val="8"/>
      <color theme="1"/>
      <name val="Clinica Pro Regular"/>
    </font>
    <font>
      <sz val="8"/>
      <color indexed="63"/>
      <name val="Clinica Pro Regular"/>
    </font>
    <font>
      <sz val="9"/>
      <color theme="1"/>
      <name val="Clinica Pro Regular"/>
    </font>
    <font>
      <sz val="10"/>
      <name val="Clinica Pro Regular"/>
    </font>
    <font>
      <sz val="10"/>
      <color indexed="63"/>
      <name val="Clinica Pro Regular"/>
    </font>
    <font>
      <b/>
      <sz val="8"/>
      <color rgb="FFCC66FF"/>
      <name val="Clinica Pro Regular"/>
    </font>
    <font>
      <sz val="28"/>
      <color rgb="FFCC66FF"/>
      <name val="Clinica Pro Regular"/>
    </font>
    <font>
      <sz val="8"/>
      <color rgb="FFCC66FF"/>
      <name val="Clinica Pro Regular"/>
    </font>
    <font>
      <sz val="11"/>
      <color rgb="FFFFC000"/>
      <name val="Clinica Pro Regular"/>
    </font>
    <font>
      <sz val="8"/>
      <color rgb="FF413003"/>
      <name val="Clinica Pro Regular"/>
    </font>
    <font>
      <b/>
      <sz val="8"/>
      <color rgb="FF413003"/>
      <name val="Clinica Pro Regular"/>
    </font>
    <font>
      <b/>
      <sz val="11"/>
      <color indexed="56"/>
      <name val="Arial"/>
      <family val="2"/>
    </font>
    <font>
      <b/>
      <sz val="11"/>
      <color indexed="56"/>
      <name val="Clinica Pro Regular"/>
    </font>
    <font>
      <sz val="12"/>
      <name val="Clinica Pro Regular"/>
    </font>
    <font>
      <b/>
      <sz val="14"/>
      <color indexed="56"/>
      <name val="Clinica Pro Regular"/>
    </font>
    <font>
      <b/>
      <sz val="12"/>
      <color indexed="18"/>
      <name val="Clinica Pro Regular"/>
    </font>
    <font>
      <sz val="10"/>
      <color indexed="56"/>
      <name val="Clinica Pro Regular"/>
    </font>
    <font>
      <b/>
      <sz val="10"/>
      <color indexed="18"/>
      <name val="Clinica Pro Regular"/>
    </font>
    <font>
      <b/>
      <sz val="10"/>
      <color indexed="16"/>
      <name val="Clinica Pro Regular"/>
    </font>
    <font>
      <sz val="11"/>
      <name val="Clinica Pro Regular"/>
    </font>
    <font>
      <sz val="10"/>
      <color theme="0"/>
      <name val="Clinica Pro Regular"/>
    </font>
    <font>
      <b/>
      <sz val="11"/>
      <name val="Clinica Pro Regular"/>
    </font>
    <font>
      <sz val="12"/>
      <color theme="1"/>
      <name val="Clinica Pro Regular"/>
    </font>
    <font>
      <sz val="12"/>
      <color indexed="2"/>
      <name val="Clinica Pro Regular"/>
    </font>
    <font>
      <sz val="11"/>
      <color indexed="63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CCFF00"/>
        <bgColor rgb="FFCCFF00"/>
      </patternFill>
    </fill>
    <fill>
      <patternFill patternType="solid">
        <fgColor indexed="65"/>
      </patternFill>
    </fill>
    <fill>
      <patternFill patternType="solid">
        <fgColor rgb="FF66FFFF"/>
        <bgColor rgb="FF4ACCD3"/>
      </patternFill>
    </fill>
    <fill>
      <patternFill patternType="solid">
        <fgColor indexed="65"/>
        <bgColor indexed="26"/>
      </patternFill>
    </fill>
    <fill>
      <patternFill patternType="solid">
        <fgColor rgb="FF00CCCC"/>
        <bgColor rgb="FF4ACCD3"/>
      </patternFill>
    </fill>
    <fill>
      <patternFill patternType="solid">
        <fgColor theme="0"/>
        <bgColor rgb="FF66FFFF"/>
      </patternFill>
    </fill>
    <fill>
      <patternFill patternType="solid">
        <fgColor indexed="5"/>
        <bgColor indexed="5"/>
      </patternFill>
    </fill>
    <fill>
      <patternFill patternType="solid">
        <fgColor rgb="FFD0CECE"/>
        <bgColor rgb="FFD0CECE"/>
      </patternFill>
    </fill>
    <fill>
      <patternFill patternType="solid">
        <fgColor rgb="FFD0CECE"/>
        <bgColor rgb="FF5B9BD5"/>
      </patternFill>
    </fill>
    <fill>
      <patternFill patternType="solid">
        <fgColor theme="2"/>
        <bgColor theme="2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4ECC5"/>
        <bgColor rgb="FFF4ECC5"/>
      </patternFill>
    </fill>
    <fill>
      <patternFill patternType="solid">
        <fgColor rgb="FFFBF9EC"/>
        <bgColor rgb="FFFBF9EC"/>
      </patternFill>
    </fill>
    <fill>
      <patternFill patternType="solid">
        <fgColor rgb="FFFCFAEB"/>
        <bgColor rgb="FFFCFAEB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92D050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FFC000"/>
        <bgColor rgb="FFFFC000"/>
      </patternFill>
    </fill>
    <fill>
      <patternFill patternType="solid">
        <fgColor theme="8" tint="0.39997558519241921"/>
        <bgColor rgb="FFED7D31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59999389629810485"/>
        <bgColor rgb="FF3B3838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8" tint="0.79998168889431442"/>
        <bgColor rgb="FF3B3838"/>
      </patternFill>
    </fill>
    <fill>
      <patternFill patternType="solid">
        <fgColor theme="9" tint="0.79998168889431442"/>
        <bgColor indexed="7"/>
      </patternFill>
    </fill>
    <fill>
      <patternFill patternType="solid">
        <fgColor theme="3" tint="0.79998168889431442"/>
        <bgColor theme="2"/>
      </patternFill>
    </fill>
    <fill>
      <patternFill patternType="solid">
        <fgColor theme="3" tint="0.79998168889431442"/>
        <bgColor theme="3" tint="0.79998168889431442"/>
      </patternFill>
    </fill>
  </fills>
  <borders count="1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medium">
        <color auto="1"/>
      </left>
      <right/>
      <top style="medium">
        <color auto="1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medium">
        <color auto="1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/>
      <top style="thin">
        <color rgb="FFCCC085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CCC085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rgb="FFCCC085"/>
      </top>
      <bottom style="medium">
        <color auto="1"/>
      </bottom>
      <diagonal/>
    </border>
    <border>
      <left style="medium">
        <color indexed="16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16"/>
      </bottom>
      <diagonal/>
    </border>
    <border>
      <left/>
      <right/>
      <top style="medium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/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/>
      <diagonal/>
    </border>
    <border>
      <left style="medium">
        <color indexed="16"/>
      </left>
      <right/>
      <top/>
      <bottom style="medium">
        <color indexed="16"/>
      </bottom>
      <diagonal/>
    </border>
    <border>
      <left style="medium">
        <color indexed="16"/>
      </left>
      <right style="medium">
        <color indexed="16"/>
      </right>
      <top/>
      <bottom style="medium">
        <color indexed="16"/>
      </bottom>
      <diagonal/>
    </border>
    <border>
      <left style="medium">
        <color indexed="16"/>
      </left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thin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 style="medium">
        <color indexed="16"/>
      </top>
      <bottom/>
      <diagonal/>
    </border>
    <border>
      <left style="medium">
        <color auto="1"/>
      </left>
      <right style="medium">
        <color indexed="16"/>
      </right>
      <top style="medium">
        <color auto="1"/>
      </top>
      <bottom style="medium">
        <color auto="1"/>
      </bottom>
      <diagonal/>
    </border>
    <border>
      <left style="medium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16"/>
      </right>
      <top/>
      <bottom style="medium">
        <color indexed="16"/>
      </bottom>
      <diagonal/>
    </border>
    <border>
      <left style="thin">
        <color indexed="16"/>
      </left>
      <right style="thin">
        <color indexed="16"/>
      </right>
      <top/>
      <bottom style="medium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/>
      <diagonal/>
    </border>
    <border>
      <left/>
      <right/>
      <top style="thin">
        <color indexed="16"/>
      </top>
      <bottom style="thin">
        <color indexed="16"/>
      </bottom>
      <diagonal/>
    </border>
    <border>
      <left style="medium">
        <color auto="1"/>
      </left>
      <right style="medium">
        <color auto="1"/>
      </right>
      <top style="thin">
        <color indexed="16"/>
      </top>
      <bottom style="medium">
        <color auto="1"/>
      </bottom>
      <diagonal/>
    </border>
    <border>
      <left style="medium">
        <color auto="1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55" fillId="0" borderId="0" applyFont="0" applyFill="0" applyBorder="0" applyProtection="0"/>
  </cellStyleXfs>
  <cellXfs count="65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3" fillId="2" borderId="0" xfId="0" applyFont="1" applyFill="1"/>
    <xf numFmtId="164" fontId="13" fillId="2" borderId="0" xfId="0" applyNumberFormat="1" applyFont="1" applyFill="1" applyAlignment="1">
      <alignment horizontal="center" vertical="center"/>
    </xf>
    <xf numFmtId="9" fontId="11" fillId="2" borderId="5" xfId="0" applyNumberFormat="1" applyFont="1" applyFill="1" applyBorder="1"/>
    <xf numFmtId="1" fontId="2" fillId="2" borderId="0" xfId="0" applyNumberFormat="1" applyFont="1" applyFill="1"/>
    <xf numFmtId="0" fontId="14" fillId="2" borderId="0" xfId="0" applyFont="1" applyFill="1"/>
    <xf numFmtId="0" fontId="15" fillId="2" borderId="9" xfId="0" applyFont="1" applyFill="1" applyBorder="1" applyAlignment="1">
      <alignment vertical="center"/>
    </xf>
    <xf numFmtId="0" fontId="15" fillId="2" borderId="10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165" fontId="6" fillId="2" borderId="0" xfId="0" applyNumberFormat="1" applyFont="1" applyFill="1" applyAlignment="1">
      <alignment vertical="center"/>
    </xf>
    <xf numFmtId="165" fontId="16" fillId="2" borderId="0" xfId="0" applyNumberFormat="1" applyFont="1" applyFill="1" applyAlignment="1">
      <alignment vertical="center"/>
    </xf>
    <xf numFmtId="3" fontId="17" fillId="2" borderId="12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3" fontId="14" fillId="2" borderId="0" xfId="0" applyNumberFormat="1" applyFont="1" applyFill="1"/>
    <xf numFmtId="3" fontId="20" fillId="3" borderId="18" xfId="0" applyNumberFormat="1" applyFont="1" applyFill="1" applyBorder="1" applyAlignment="1">
      <alignment horizontal="center" vertical="center"/>
    </xf>
    <xf numFmtId="3" fontId="20" fillId="4" borderId="19" xfId="0" applyNumberFormat="1" applyFont="1" applyFill="1" applyBorder="1" applyAlignment="1">
      <alignment horizontal="center" vertical="center"/>
    </xf>
    <xf numFmtId="10" fontId="21" fillId="4" borderId="19" xfId="0" applyNumberFormat="1" applyFont="1" applyFill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165" fontId="23" fillId="0" borderId="20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/>
    </xf>
    <xf numFmtId="3" fontId="16" fillId="3" borderId="21" xfId="0" applyNumberFormat="1" applyFont="1" applyFill="1" applyBorder="1" applyAlignment="1">
      <alignment horizontal="center" vertical="center"/>
    </xf>
    <xf numFmtId="3" fontId="16" fillId="0" borderId="19" xfId="0" applyNumberFormat="1" applyFont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165" fontId="16" fillId="5" borderId="0" xfId="1" applyNumberFormat="1" applyFont="1" applyFill="1" applyAlignment="1" applyProtection="1">
      <alignment vertical="center"/>
    </xf>
    <xf numFmtId="3" fontId="20" fillId="4" borderId="23" xfId="0" applyNumberFormat="1" applyFont="1" applyFill="1" applyBorder="1" applyAlignment="1">
      <alignment horizontal="center" vertical="center"/>
    </xf>
    <xf numFmtId="3" fontId="16" fillId="4" borderId="24" xfId="0" applyNumberFormat="1" applyFont="1" applyFill="1" applyBorder="1" applyAlignment="1">
      <alignment horizontal="center" vertical="center"/>
    </xf>
    <xf numFmtId="10" fontId="16" fillId="4" borderId="24" xfId="0" applyNumberFormat="1" applyFont="1" applyFill="1" applyBorder="1" applyAlignment="1">
      <alignment horizontal="center" vertical="center"/>
    </xf>
    <xf numFmtId="3" fontId="22" fillId="0" borderId="24" xfId="0" applyNumberFormat="1" applyFont="1" applyBorder="1" applyAlignment="1">
      <alignment horizontal="center" vertical="center"/>
    </xf>
    <xf numFmtId="165" fontId="23" fillId="0" borderId="25" xfId="0" applyNumberFormat="1" applyFont="1" applyBorder="1" applyAlignment="1">
      <alignment horizontal="center" vertical="center"/>
    </xf>
    <xf numFmtId="3" fontId="16" fillId="0" borderId="24" xfId="0" applyNumberFormat="1" applyFont="1" applyBorder="1" applyAlignment="1">
      <alignment horizontal="center" vertical="center"/>
    </xf>
    <xf numFmtId="3" fontId="16" fillId="4" borderId="16" xfId="0" applyNumberFormat="1" applyFont="1" applyFill="1" applyBorder="1" applyAlignment="1">
      <alignment horizontal="center" vertical="center"/>
    </xf>
    <xf numFmtId="165" fontId="16" fillId="0" borderId="26" xfId="0" applyNumberFormat="1" applyFont="1" applyBorder="1" applyAlignment="1">
      <alignment horizontal="center" vertical="center"/>
    </xf>
    <xf numFmtId="3" fontId="20" fillId="4" borderId="24" xfId="0" applyNumberFormat="1" applyFont="1" applyFill="1" applyBorder="1" applyAlignment="1">
      <alignment horizontal="center" vertical="center"/>
    </xf>
    <xf numFmtId="10" fontId="19" fillId="4" borderId="24" xfId="0" applyNumberFormat="1" applyFont="1" applyFill="1" applyBorder="1" applyAlignment="1">
      <alignment horizontal="center" vertical="center"/>
    </xf>
    <xf numFmtId="165" fontId="22" fillId="0" borderId="25" xfId="0" applyNumberFormat="1" applyFont="1" applyBorder="1" applyAlignment="1">
      <alignment horizontal="center" vertical="center"/>
    </xf>
    <xf numFmtId="3" fontId="19" fillId="0" borderId="24" xfId="0" applyNumberFormat="1" applyFont="1" applyBorder="1" applyAlignment="1">
      <alignment horizontal="center" vertical="center"/>
    </xf>
    <xf numFmtId="3" fontId="19" fillId="4" borderId="23" xfId="0" applyNumberFormat="1" applyFont="1" applyFill="1" applyBorder="1" applyAlignment="1">
      <alignment horizontal="center" vertical="center"/>
    </xf>
    <xf numFmtId="165" fontId="19" fillId="0" borderId="26" xfId="0" applyNumberFormat="1" applyFont="1" applyBorder="1" applyAlignment="1">
      <alignment horizontal="center" vertical="center"/>
    </xf>
    <xf numFmtId="3" fontId="20" fillId="3" borderId="23" xfId="0" applyNumberFormat="1" applyFont="1" applyFill="1" applyBorder="1" applyAlignment="1">
      <alignment horizontal="center" vertical="center"/>
    </xf>
    <xf numFmtId="3" fontId="16" fillId="3" borderId="23" xfId="0" applyNumberFormat="1" applyFont="1" applyFill="1" applyBorder="1" applyAlignment="1">
      <alignment horizontal="center" vertical="center"/>
    </xf>
    <xf numFmtId="4" fontId="20" fillId="3" borderId="23" xfId="0" applyNumberFormat="1" applyFont="1" applyFill="1" applyBorder="1" applyAlignment="1">
      <alignment horizontal="center" vertical="center"/>
    </xf>
    <xf numFmtId="4" fontId="16" fillId="4" borderId="24" xfId="0" applyNumberFormat="1" applyFont="1" applyFill="1" applyBorder="1" applyAlignment="1">
      <alignment horizontal="center" vertical="center"/>
    </xf>
    <xf numFmtId="4" fontId="22" fillId="0" borderId="24" xfId="0" applyNumberFormat="1" applyFont="1" applyBorder="1" applyAlignment="1">
      <alignment horizontal="center" vertical="center"/>
    </xf>
    <xf numFmtId="4" fontId="16" fillId="0" borderId="24" xfId="0" applyNumberFormat="1" applyFont="1" applyBorder="1" applyAlignment="1">
      <alignment horizontal="center" vertical="center"/>
    </xf>
    <xf numFmtId="4" fontId="16" fillId="3" borderId="16" xfId="0" applyNumberFormat="1" applyFont="1" applyFill="1" applyBorder="1" applyAlignment="1">
      <alignment horizontal="center" vertical="center"/>
    </xf>
    <xf numFmtId="166" fontId="16" fillId="7" borderId="19" xfId="1" applyNumberFormat="1" applyFont="1" applyFill="1" applyBorder="1" applyAlignment="1" applyProtection="1">
      <alignment horizontal="right" vertical="center"/>
    </xf>
    <xf numFmtId="166" fontId="2" fillId="8" borderId="24" xfId="0" applyNumberFormat="1" applyFont="1" applyFill="1" applyBorder="1"/>
    <xf numFmtId="3" fontId="16" fillId="3" borderId="16" xfId="0" applyNumberFormat="1" applyFont="1" applyFill="1" applyBorder="1" applyAlignment="1">
      <alignment horizontal="center" vertical="center"/>
    </xf>
    <xf numFmtId="10" fontId="16" fillId="6" borderId="24" xfId="1" applyNumberFormat="1" applyFont="1" applyFill="1" applyBorder="1" applyAlignment="1" applyProtection="1">
      <alignment vertical="center"/>
    </xf>
    <xf numFmtId="10" fontId="0" fillId="2" borderId="0" xfId="0" applyNumberFormat="1" applyFill="1"/>
    <xf numFmtId="3" fontId="16" fillId="9" borderId="24" xfId="0" applyNumberFormat="1" applyFont="1" applyFill="1" applyBorder="1" applyAlignment="1">
      <alignment horizontal="center" vertical="center"/>
    </xf>
    <xf numFmtId="10" fontId="16" fillId="5" borderId="0" xfId="1" applyNumberFormat="1" applyFont="1" applyFill="1" applyAlignment="1" applyProtection="1">
      <alignment horizontal="center" vertical="center"/>
    </xf>
    <xf numFmtId="3" fontId="20" fillId="0" borderId="28" xfId="0" applyNumberFormat="1" applyFont="1" applyBorder="1" applyAlignment="1">
      <alignment horizontal="center" vertical="center"/>
    </xf>
    <xf numFmtId="3" fontId="16" fillId="4" borderId="30" xfId="0" applyNumberFormat="1" applyFont="1" applyFill="1" applyBorder="1" applyAlignment="1">
      <alignment horizontal="center" vertical="center"/>
    </xf>
    <xf numFmtId="10" fontId="16" fillId="4" borderId="30" xfId="0" applyNumberFormat="1" applyFont="1" applyFill="1" applyBorder="1" applyAlignment="1">
      <alignment horizontal="center" vertical="center"/>
    </xf>
    <xf numFmtId="3" fontId="22" fillId="0" borderId="30" xfId="0" applyNumberFormat="1" applyFont="1" applyBorder="1" applyAlignment="1">
      <alignment horizontal="center" vertical="center"/>
    </xf>
    <xf numFmtId="165" fontId="23" fillId="0" borderId="27" xfId="0" applyNumberFormat="1" applyFont="1" applyBorder="1" applyAlignment="1">
      <alignment horizontal="center" vertical="center"/>
    </xf>
    <xf numFmtId="3" fontId="16" fillId="3" borderId="31" xfId="0" applyNumberFormat="1" applyFont="1" applyFill="1" applyBorder="1" applyAlignment="1">
      <alignment horizontal="center" vertical="center"/>
    </xf>
    <xf numFmtId="3" fontId="24" fillId="0" borderId="30" xfId="0" applyNumberFormat="1" applyFont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3" fontId="20" fillId="3" borderId="28" xfId="0" applyNumberFormat="1" applyFont="1" applyFill="1" applyBorder="1" applyAlignment="1">
      <alignment horizontal="center" vertical="center"/>
    </xf>
    <xf numFmtId="3" fontId="20" fillId="4" borderId="28" xfId="0" applyNumberFormat="1" applyFont="1" applyFill="1" applyBorder="1" applyAlignment="1">
      <alignment horizontal="center" vertical="center"/>
    </xf>
    <xf numFmtId="165" fontId="16" fillId="4" borderId="30" xfId="0" applyNumberFormat="1" applyFont="1" applyFill="1" applyBorder="1" applyAlignment="1">
      <alignment horizontal="center" vertical="center"/>
    </xf>
    <xf numFmtId="167" fontId="24" fillId="0" borderId="30" xfId="0" applyNumberFormat="1" applyFont="1" applyBorder="1" applyAlignment="1">
      <alignment horizontal="center" vertical="center"/>
    </xf>
    <xf numFmtId="3" fontId="16" fillId="4" borderId="31" xfId="0" applyNumberFormat="1" applyFont="1" applyFill="1" applyBorder="1" applyAlignment="1">
      <alignment horizontal="center" vertical="center"/>
    </xf>
    <xf numFmtId="10" fontId="19" fillId="3" borderId="33" xfId="0" applyNumberFormat="1" applyFont="1" applyFill="1" applyBorder="1" applyAlignment="1">
      <alignment horizontal="center" vertical="center"/>
    </xf>
    <xf numFmtId="10" fontId="19" fillId="6" borderId="34" xfId="1" applyNumberFormat="1" applyFont="1" applyFill="1" applyBorder="1" applyAlignment="1" applyProtection="1">
      <alignment horizontal="center" vertical="center"/>
    </xf>
    <xf numFmtId="10" fontId="24" fillId="0" borderId="34" xfId="0" applyNumberFormat="1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165" fontId="20" fillId="0" borderId="34" xfId="0" applyNumberFormat="1" applyFont="1" applyBorder="1" applyAlignment="1">
      <alignment horizontal="center" vertical="center"/>
    </xf>
    <xf numFmtId="165" fontId="20" fillId="3" borderId="36" xfId="0" applyNumberFormat="1" applyFont="1" applyFill="1" applyBorder="1" applyAlignment="1">
      <alignment horizontal="center" vertical="center"/>
    </xf>
    <xf numFmtId="3" fontId="20" fillId="0" borderId="34" xfId="0" applyNumberFormat="1" applyFont="1" applyBorder="1" applyAlignment="1">
      <alignment horizontal="center" vertical="center"/>
    </xf>
    <xf numFmtId="165" fontId="20" fillId="0" borderId="37" xfId="0" applyNumberFormat="1" applyFont="1" applyBorder="1" applyAlignment="1">
      <alignment horizontal="center" vertical="center"/>
    </xf>
    <xf numFmtId="4" fontId="2" fillId="2" borderId="0" xfId="0" applyNumberFormat="1" applyFont="1" applyFill="1"/>
    <xf numFmtId="0" fontId="17" fillId="10" borderId="24" xfId="0" applyFont="1" applyFill="1" applyBorder="1" applyAlignment="1">
      <alignment horizontal="center" vertical="center" wrapText="1"/>
    </xf>
    <xf numFmtId="0" fontId="17" fillId="11" borderId="24" xfId="0" applyFont="1" applyFill="1" applyBorder="1" applyAlignment="1">
      <alignment horizontal="center" vertical="center" wrapText="1"/>
    </xf>
    <xf numFmtId="0" fontId="26" fillId="10" borderId="24" xfId="0" applyFont="1" applyFill="1" applyBorder="1" applyAlignment="1">
      <alignment horizontal="center" vertical="center" wrapText="1"/>
    </xf>
    <xf numFmtId="3" fontId="2" fillId="0" borderId="0" xfId="0" applyNumberFormat="1" applyFont="1"/>
    <xf numFmtId="0" fontId="16" fillId="10" borderId="24" xfId="0" applyFont="1" applyFill="1" applyBorder="1" applyAlignment="1">
      <alignment horizontal="center" vertical="top" wrapText="1"/>
    </xf>
    <xf numFmtId="0" fontId="17" fillId="10" borderId="24" xfId="0" applyFont="1" applyFill="1" applyBorder="1" applyAlignment="1">
      <alignment horizontal="center" vertical="top" wrapText="1"/>
    </xf>
    <xf numFmtId="0" fontId="27" fillId="0" borderId="24" xfId="0" applyFont="1" applyBorder="1" applyAlignment="1">
      <alignment horizontal="center" vertical="center"/>
    </xf>
    <xf numFmtId="16" fontId="16" fillId="0" borderId="24" xfId="0" applyNumberFormat="1" applyFont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4" fontId="16" fillId="0" borderId="24" xfId="0" applyNumberFormat="1" applyFont="1" applyBorder="1" applyAlignment="1">
      <alignment horizontal="center" vertical="top"/>
    </xf>
    <xf numFmtId="3" fontId="16" fillId="0" borderId="24" xfId="0" applyNumberFormat="1" applyFont="1" applyBorder="1" applyAlignment="1">
      <alignment horizontal="center" vertical="top"/>
    </xf>
    <xf numFmtId="10" fontId="16" fillId="0" borderId="24" xfId="0" applyNumberFormat="1" applyFont="1" applyBorder="1" applyAlignment="1">
      <alignment horizontal="center" vertical="top"/>
    </xf>
    <xf numFmtId="9" fontId="3" fillId="0" borderId="24" xfId="0" applyNumberFormat="1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center"/>
    </xf>
    <xf numFmtId="3" fontId="16" fillId="0" borderId="24" xfId="0" applyNumberFormat="1" applyFont="1" applyBorder="1" applyAlignment="1">
      <alignment horizontal="center"/>
    </xf>
    <xf numFmtId="2" fontId="16" fillId="0" borderId="24" xfId="0" applyNumberFormat="1" applyFont="1" applyBorder="1" applyAlignment="1">
      <alignment horizontal="right"/>
    </xf>
    <xf numFmtId="2" fontId="0" fillId="0" borderId="0" xfId="0" applyNumberFormat="1"/>
    <xf numFmtId="165" fontId="2" fillId="0" borderId="0" xfId="0" applyNumberFormat="1" applyFont="1"/>
    <xf numFmtId="2" fontId="2" fillId="0" borderId="0" xfId="0" applyNumberFormat="1" applyFont="1"/>
    <xf numFmtId="3" fontId="16" fillId="0" borderId="0" xfId="0" applyNumberFormat="1" applyFont="1" applyAlignment="1">
      <alignment horizontal="center" vertical="top"/>
    </xf>
    <xf numFmtId="165" fontId="2" fillId="0" borderId="0" xfId="0" applyNumberFormat="1" applyFont="1" applyAlignment="1">
      <alignment vertical="center"/>
    </xf>
    <xf numFmtId="0" fontId="29" fillId="12" borderId="0" xfId="0" applyFont="1" applyFill="1"/>
    <xf numFmtId="0" fontId="27" fillId="12" borderId="24" xfId="0" applyFont="1" applyFill="1" applyBorder="1" applyAlignment="1">
      <alignment horizontal="center" vertical="center"/>
    </xf>
    <xf numFmtId="16" fontId="16" fillId="12" borderId="24" xfId="0" applyNumberFormat="1" applyFont="1" applyFill="1" applyBorder="1" applyAlignment="1">
      <alignment horizontal="center" vertical="top"/>
    </xf>
    <xf numFmtId="0" fontId="16" fillId="12" borderId="24" xfId="0" applyFont="1" applyFill="1" applyBorder="1" applyAlignment="1">
      <alignment horizontal="center" vertical="top"/>
    </xf>
    <xf numFmtId="4" fontId="16" fillId="12" borderId="24" xfId="0" applyNumberFormat="1" applyFont="1" applyFill="1" applyBorder="1" applyAlignment="1">
      <alignment horizontal="center" vertical="top"/>
    </xf>
    <xf numFmtId="3" fontId="16" fillId="12" borderId="24" xfId="0" applyNumberFormat="1" applyFont="1" applyFill="1" applyBorder="1" applyAlignment="1">
      <alignment horizontal="center" vertical="top"/>
    </xf>
    <xf numFmtId="10" fontId="16" fillId="12" borderId="24" xfId="0" applyNumberFormat="1" applyFont="1" applyFill="1" applyBorder="1" applyAlignment="1">
      <alignment horizontal="center" vertical="top"/>
    </xf>
    <xf numFmtId="9" fontId="3" fillId="12" borderId="24" xfId="0" applyNumberFormat="1" applyFont="1" applyFill="1" applyBorder="1" applyAlignment="1">
      <alignment horizontal="center" vertical="center"/>
    </xf>
    <xf numFmtId="3" fontId="28" fillId="12" borderId="24" xfId="0" applyNumberFormat="1" applyFont="1" applyFill="1" applyBorder="1" applyAlignment="1">
      <alignment horizontal="center"/>
    </xf>
    <xf numFmtId="3" fontId="16" fillId="12" borderId="24" xfId="0" applyNumberFormat="1" applyFont="1" applyFill="1" applyBorder="1" applyAlignment="1">
      <alignment horizontal="center"/>
    </xf>
    <xf numFmtId="2" fontId="16" fillId="12" borderId="24" xfId="0" applyNumberFormat="1" applyFont="1" applyFill="1" applyBorder="1" applyAlignment="1">
      <alignment horizontal="right"/>
    </xf>
    <xf numFmtId="2" fontId="2" fillId="12" borderId="0" xfId="0" applyNumberFormat="1" applyFont="1" applyFill="1"/>
    <xf numFmtId="165" fontId="2" fillId="12" borderId="0" xfId="0" applyNumberFormat="1" applyFont="1" applyFill="1"/>
    <xf numFmtId="0" fontId="2" fillId="12" borderId="0" xfId="0" applyFont="1" applyFill="1"/>
    <xf numFmtId="0" fontId="0" fillId="12" borderId="0" xfId="0" applyFill="1"/>
    <xf numFmtId="3" fontId="30" fillId="0" borderId="24" xfId="0" applyNumberFormat="1" applyFont="1" applyBorder="1" applyAlignment="1">
      <alignment horizontal="center" vertical="top"/>
    </xf>
    <xf numFmtId="3" fontId="31" fillId="12" borderId="24" xfId="0" applyNumberFormat="1" applyFont="1" applyFill="1" applyBorder="1" applyAlignment="1">
      <alignment horizontal="center" vertical="top"/>
    </xf>
    <xf numFmtId="168" fontId="2" fillId="12" borderId="0" xfId="0" applyNumberFormat="1" applyFont="1" applyFill="1"/>
    <xf numFmtId="168" fontId="2" fillId="0" borderId="0" xfId="0" applyNumberFormat="1" applyFont="1"/>
    <xf numFmtId="3" fontId="16" fillId="12" borderId="0" xfId="0" applyNumberFormat="1" applyFont="1" applyFill="1" applyAlignment="1">
      <alignment horizontal="center" vertical="top"/>
    </xf>
    <xf numFmtId="165" fontId="16" fillId="12" borderId="24" xfId="0" applyNumberFormat="1" applyFont="1" applyFill="1" applyBorder="1" applyAlignment="1">
      <alignment horizontal="center" vertical="top"/>
    </xf>
    <xf numFmtId="3" fontId="16" fillId="12" borderId="24" xfId="0" applyNumberFormat="1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0" xfId="0" applyFont="1"/>
    <xf numFmtId="3" fontId="32" fillId="0" borderId="0" xfId="0" applyNumberFormat="1" applyFont="1"/>
    <xf numFmtId="165" fontId="16" fillId="0" borderId="0" xfId="0" applyNumberFormat="1" applyFont="1"/>
    <xf numFmtId="0" fontId="16" fillId="0" borderId="0" xfId="0" applyFont="1" applyAlignment="1">
      <alignment vertical="top"/>
    </xf>
    <xf numFmtId="1" fontId="16" fillId="0" borderId="0" xfId="0" applyNumberFormat="1" applyFont="1" applyAlignment="1">
      <alignment vertical="top"/>
    </xf>
    <xf numFmtId="3" fontId="16" fillId="0" borderId="0" xfId="0" applyNumberFormat="1" applyFont="1"/>
    <xf numFmtId="9" fontId="32" fillId="0" borderId="0" xfId="0" applyNumberFormat="1" applyFont="1"/>
    <xf numFmtId="4" fontId="3" fillId="0" borderId="0" xfId="0" applyNumberFormat="1" applyFont="1"/>
    <xf numFmtId="3" fontId="3" fillId="0" borderId="0" xfId="0" applyNumberFormat="1" applyFont="1"/>
    <xf numFmtId="1" fontId="3" fillId="0" borderId="0" xfId="0" applyNumberFormat="1" applyFont="1"/>
    <xf numFmtId="10" fontId="3" fillId="0" borderId="0" xfId="0" applyNumberFormat="1" applyFont="1"/>
    <xf numFmtId="3" fontId="3" fillId="4" borderId="0" xfId="0" applyNumberFormat="1" applyFont="1" applyFill="1"/>
    <xf numFmtId="4" fontId="2" fillId="0" borderId="0" xfId="0" applyNumberFormat="1" applyFont="1"/>
    <xf numFmtId="14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0" fillId="0" borderId="33" xfId="0" applyBorder="1"/>
    <xf numFmtId="0" fontId="0" fillId="0" borderId="34" xfId="0" applyBorder="1"/>
    <xf numFmtId="0" fontId="0" fillId="0" borderId="34" xfId="0" applyBorder="1" applyAlignment="1">
      <alignment wrapText="1"/>
    </xf>
    <xf numFmtId="0" fontId="0" fillId="0" borderId="35" xfId="0" applyBorder="1"/>
    <xf numFmtId="0" fontId="0" fillId="0" borderId="42" xfId="0" applyBorder="1"/>
    <xf numFmtId="4" fontId="0" fillId="0" borderId="43" xfId="0" applyNumberFormat="1" applyBorder="1"/>
    <xf numFmtId="10" fontId="0" fillId="0" borderId="43" xfId="0" applyNumberFormat="1" applyBorder="1"/>
    <xf numFmtId="0" fontId="0" fillId="0" borderId="29" xfId="0" applyBorder="1"/>
    <xf numFmtId="0" fontId="0" fillId="0" borderId="19" xfId="0" applyBorder="1"/>
    <xf numFmtId="0" fontId="0" fillId="0" borderId="44" xfId="0" applyBorder="1" applyAlignment="1">
      <alignment wrapText="1"/>
    </xf>
    <xf numFmtId="0" fontId="0" fillId="0" borderId="20" xfId="0" applyBorder="1"/>
    <xf numFmtId="0" fontId="0" fillId="0" borderId="43" xfId="0" applyBorder="1"/>
    <xf numFmtId="0" fontId="0" fillId="0" borderId="45" xfId="0" applyBorder="1"/>
    <xf numFmtId="4" fontId="0" fillId="0" borderId="46" xfId="0" applyNumberFormat="1" applyBorder="1"/>
    <xf numFmtId="10" fontId="0" fillId="0" borderId="46" xfId="0" applyNumberForma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40" xfId="0" applyBorder="1"/>
    <xf numFmtId="4" fontId="0" fillId="0" borderId="32" xfId="0" applyNumberFormat="1" applyBorder="1"/>
    <xf numFmtId="10" fontId="0" fillId="0" borderId="32" xfId="0" applyNumberFormat="1" applyBorder="1"/>
    <xf numFmtId="0" fontId="0" fillId="0" borderId="32" xfId="0" applyBorder="1"/>
    <xf numFmtId="3" fontId="17" fillId="5" borderId="35" xfId="0" applyNumberFormat="1" applyFont="1" applyFill="1" applyBorder="1" applyAlignment="1">
      <alignment horizontal="center" vertical="center"/>
    </xf>
    <xf numFmtId="3" fontId="17" fillId="5" borderId="27" xfId="0" applyNumberFormat="1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10" fontId="33" fillId="0" borderId="18" xfId="0" applyNumberFormat="1" applyFont="1" applyBorder="1" applyAlignment="1">
      <alignment horizontal="center" vertical="center"/>
    </xf>
    <xf numFmtId="166" fontId="33" fillId="0" borderId="51" xfId="0" applyNumberFormat="1" applyFont="1" applyBorder="1" applyAlignment="1">
      <alignment horizontal="center" vertical="center"/>
    </xf>
    <xf numFmtId="10" fontId="33" fillId="0" borderId="52" xfId="0" applyNumberFormat="1" applyFont="1" applyBorder="1" applyAlignment="1">
      <alignment horizontal="center" vertical="center"/>
    </xf>
    <xf numFmtId="10" fontId="33" fillId="0" borderId="56" xfId="1" applyNumberFormat="1" applyFont="1" applyBorder="1" applyAlignment="1" applyProtection="1">
      <alignment horizontal="center" vertical="center"/>
    </xf>
    <xf numFmtId="166" fontId="33" fillId="0" borderId="44" xfId="1" applyNumberFormat="1" applyFont="1" applyBorder="1" applyAlignment="1" applyProtection="1">
      <alignment horizontal="center" vertical="center"/>
    </xf>
    <xf numFmtId="10" fontId="33" fillId="0" borderId="57" xfId="0" applyNumberFormat="1" applyFont="1" applyBorder="1" applyAlignment="1">
      <alignment horizontal="center" vertical="center"/>
    </xf>
    <xf numFmtId="10" fontId="33" fillId="0" borderId="18" xfId="1" applyNumberFormat="1" applyFont="1" applyBorder="1" applyAlignment="1" applyProtection="1">
      <alignment horizontal="center" vertical="center"/>
    </xf>
    <xf numFmtId="10" fontId="20" fillId="0" borderId="52" xfId="0" applyNumberFormat="1" applyFont="1" applyBorder="1" applyAlignment="1">
      <alignment horizontal="center" vertical="center"/>
    </xf>
    <xf numFmtId="10" fontId="33" fillId="0" borderId="58" xfId="0" applyNumberFormat="1" applyFont="1" applyBorder="1" applyAlignment="1">
      <alignment horizontal="center" vertical="center"/>
    </xf>
    <xf numFmtId="1" fontId="33" fillId="0" borderId="16" xfId="0" applyNumberFormat="1" applyFont="1" applyBorder="1" applyAlignment="1">
      <alignment horizontal="center" vertical="center"/>
    </xf>
    <xf numFmtId="10" fontId="33" fillId="0" borderId="26" xfId="0" applyNumberFormat="1" applyFont="1" applyBorder="1" applyAlignment="1">
      <alignment horizontal="center" vertical="center"/>
    </xf>
    <xf numFmtId="10" fontId="33" fillId="0" borderId="23" xfId="1" applyNumberFormat="1" applyFont="1" applyBorder="1" applyAlignment="1" applyProtection="1">
      <alignment horizontal="center" vertical="center"/>
    </xf>
    <xf numFmtId="1" fontId="33" fillId="0" borderId="24" xfId="1" applyNumberFormat="1" applyFont="1" applyBorder="1" applyAlignment="1" applyProtection="1">
      <alignment horizontal="center" vertical="center"/>
    </xf>
    <xf numFmtId="10" fontId="33" fillId="0" borderId="25" xfId="0" applyNumberFormat="1" applyFont="1" applyBorder="1" applyAlignment="1">
      <alignment horizontal="center" vertical="center"/>
    </xf>
    <xf numFmtId="10" fontId="33" fillId="0" borderId="58" xfId="1" applyNumberFormat="1" applyFont="1" applyBorder="1" applyAlignment="1" applyProtection="1">
      <alignment horizontal="center" vertical="center"/>
    </xf>
    <xf numFmtId="3" fontId="33" fillId="0" borderId="24" xfId="1" applyNumberFormat="1" applyFont="1" applyBorder="1" applyAlignment="1" applyProtection="1">
      <alignment horizontal="center" vertical="center"/>
    </xf>
    <xf numFmtId="10" fontId="20" fillId="0" borderId="26" xfId="0" applyNumberFormat="1" applyFont="1" applyBorder="1" applyAlignment="1">
      <alignment horizontal="center" vertical="center"/>
    </xf>
    <xf numFmtId="166" fontId="33" fillId="0" borderId="16" xfId="0" applyNumberFormat="1" applyFont="1" applyBorder="1" applyAlignment="1">
      <alignment horizontal="center" vertical="center"/>
    </xf>
    <xf numFmtId="166" fontId="33" fillId="0" borderId="24" xfId="1" applyNumberFormat="1" applyFont="1" applyBorder="1" applyAlignment="1" applyProtection="1">
      <alignment horizontal="center" vertical="center"/>
    </xf>
    <xf numFmtId="2" fontId="33" fillId="0" borderId="16" xfId="0" applyNumberFormat="1" applyFont="1" applyBorder="1" applyAlignment="1">
      <alignment horizontal="center" vertical="center"/>
    </xf>
    <xf numFmtId="2" fontId="33" fillId="0" borderId="24" xfId="1" applyNumberFormat="1" applyFont="1" applyBorder="1" applyAlignment="1" applyProtection="1">
      <alignment horizontal="center" vertical="center"/>
    </xf>
    <xf numFmtId="4" fontId="33" fillId="0" borderId="24" xfId="1" applyNumberFormat="1" applyFont="1" applyBorder="1" applyAlignment="1" applyProtection="1">
      <alignment horizontal="center" vertical="center"/>
    </xf>
    <xf numFmtId="1" fontId="33" fillId="0" borderId="24" xfId="0" applyNumberFormat="1" applyFont="1" applyBorder="1" applyAlignment="1">
      <alignment horizontal="center" vertical="center"/>
    </xf>
    <xf numFmtId="166" fontId="33" fillId="0" borderId="24" xfId="0" applyNumberFormat="1" applyFont="1" applyBorder="1" applyAlignment="1">
      <alignment horizontal="center" vertical="center"/>
    </xf>
    <xf numFmtId="169" fontId="33" fillId="0" borderId="24" xfId="1" applyNumberFormat="1" applyFont="1" applyBorder="1" applyAlignment="1" applyProtection="1">
      <alignment horizontal="center" vertical="center"/>
    </xf>
    <xf numFmtId="10" fontId="33" fillId="0" borderId="55" xfId="0" applyNumberFormat="1" applyFont="1" applyBorder="1" applyAlignment="1">
      <alignment horizontal="center" vertical="center"/>
    </xf>
    <xf numFmtId="10" fontId="33" fillId="0" borderId="17" xfId="0" applyNumberFormat="1" applyFont="1" applyBorder="1" applyAlignment="1">
      <alignment horizontal="center" vertical="center"/>
    </xf>
    <xf numFmtId="10" fontId="33" fillId="0" borderId="6" xfId="0" applyNumberFormat="1" applyFont="1" applyBorder="1" applyAlignment="1">
      <alignment horizontal="center" vertical="center"/>
    </xf>
    <xf numFmtId="166" fontId="33" fillId="0" borderId="59" xfId="0" applyNumberFormat="1" applyFont="1" applyBorder="1" applyAlignment="1">
      <alignment horizontal="center" vertical="center"/>
    </xf>
    <xf numFmtId="10" fontId="33" fillId="0" borderId="8" xfId="0" applyNumberFormat="1" applyFont="1" applyBorder="1" applyAlignment="1">
      <alignment horizontal="center" vertical="center"/>
    </xf>
    <xf numFmtId="10" fontId="33" fillId="0" borderId="60" xfId="1" applyNumberFormat="1" applyFont="1" applyBorder="1" applyAlignment="1" applyProtection="1">
      <alignment horizontal="center" vertical="center"/>
    </xf>
    <xf numFmtId="166" fontId="33" fillId="0" borderId="59" xfId="1" applyNumberFormat="1" applyFont="1" applyBorder="1" applyAlignment="1" applyProtection="1">
      <alignment horizontal="center" vertical="center"/>
    </xf>
    <xf numFmtId="10" fontId="33" fillId="0" borderId="61" xfId="0" applyNumberFormat="1" applyFont="1" applyBorder="1" applyAlignment="1">
      <alignment horizontal="center" vertical="center"/>
    </xf>
    <xf numFmtId="10" fontId="33" fillId="0" borderId="62" xfId="1" applyNumberFormat="1" applyFont="1" applyBorder="1" applyAlignment="1" applyProtection="1">
      <alignment horizontal="center" vertical="center"/>
    </xf>
    <xf numFmtId="10" fontId="20" fillId="0" borderId="63" xfId="0" applyNumberFormat="1" applyFont="1" applyBorder="1" applyAlignment="1">
      <alignment horizontal="center" vertical="center"/>
    </xf>
    <xf numFmtId="0" fontId="27" fillId="0" borderId="0" xfId="0" applyFont="1"/>
    <xf numFmtId="3" fontId="3" fillId="0" borderId="39" xfId="0" applyNumberFormat="1" applyFont="1" applyBorder="1" applyAlignment="1">
      <alignment horizontal="center" vertical="center" wrapText="1"/>
    </xf>
    <xf numFmtId="3" fontId="34" fillId="6" borderId="15" xfId="0" applyNumberFormat="1" applyFont="1" applyFill="1" applyBorder="1" applyAlignment="1">
      <alignment horizontal="center" vertical="center" wrapText="1"/>
    </xf>
    <xf numFmtId="3" fontId="34" fillId="4" borderId="15" xfId="0" applyNumberFormat="1" applyFont="1" applyFill="1" applyBorder="1" applyAlignment="1">
      <alignment horizontal="center" vertical="center"/>
    </xf>
    <xf numFmtId="3" fontId="34" fillId="3" borderId="15" xfId="0" applyNumberFormat="1" applyFont="1" applyFill="1" applyBorder="1" applyAlignment="1">
      <alignment horizontal="center" vertical="center"/>
    </xf>
    <xf numFmtId="4" fontId="34" fillId="3" borderId="15" xfId="0" applyNumberFormat="1" applyFont="1" applyFill="1" applyBorder="1" applyAlignment="1">
      <alignment horizontal="center" vertical="center"/>
    </xf>
    <xf numFmtId="10" fontId="34" fillId="6" borderId="15" xfId="0" applyNumberFormat="1" applyFont="1" applyFill="1" applyBorder="1" applyAlignment="1">
      <alignment horizontal="center" vertical="center"/>
    </xf>
    <xf numFmtId="170" fontId="35" fillId="0" borderId="15" xfId="0" applyNumberFormat="1" applyFont="1" applyBorder="1" applyAlignment="1">
      <alignment horizontal="center"/>
    </xf>
    <xf numFmtId="170" fontId="35" fillId="0" borderId="41" xfId="0" applyNumberFormat="1" applyFont="1" applyBorder="1" applyAlignment="1">
      <alignment horizontal="center"/>
    </xf>
    <xf numFmtId="0" fontId="16" fillId="2" borderId="0" xfId="0" applyFont="1" applyFill="1"/>
    <xf numFmtId="164" fontId="17" fillId="2" borderId="0" xfId="0" applyNumberFormat="1" applyFont="1" applyFill="1" applyAlignment="1">
      <alignment horizontal="center" vertical="center"/>
    </xf>
    <xf numFmtId="9" fontId="11" fillId="2" borderId="65" xfId="0" applyNumberFormat="1" applyFont="1" applyFill="1" applyBorder="1"/>
    <xf numFmtId="0" fontId="39" fillId="2" borderId="0" xfId="0" applyFont="1" applyFill="1"/>
    <xf numFmtId="3" fontId="19" fillId="0" borderId="18" xfId="0" applyNumberFormat="1" applyFont="1" applyBorder="1" applyAlignment="1">
      <alignment horizontal="center" vertical="center"/>
    </xf>
    <xf numFmtId="3" fontId="19" fillId="4" borderId="19" xfId="0" applyNumberFormat="1" applyFont="1" applyFill="1" applyBorder="1" applyAlignment="1">
      <alignment horizontal="center" vertical="center"/>
    </xf>
    <xf numFmtId="3" fontId="24" fillId="0" borderId="19" xfId="0" applyNumberFormat="1" applyFont="1" applyBorder="1" applyAlignment="1">
      <alignment horizontal="center" vertical="center"/>
    </xf>
    <xf numFmtId="10" fontId="23" fillId="0" borderId="20" xfId="0" applyNumberFormat="1" applyFont="1" applyBorder="1" applyAlignment="1">
      <alignment horizontal="center" vertical="center"/>
    </xf>
    <xf numFmtId="3" fontId="24" fillId="0" borderId="24" xfId="0" applyNumberFormat="1" applyFont="1" applyBorder="1" applyAlignment="1">
      <alignment horizontal="center" vertical="center"/>
    </xf>
    <xf numFmtId="10" fontId="23" fillId="0" borderId="25" xfId="0" applyNumberFormat="1" applyFont="1" applyBorder="1" applyAlignment="1">
      <alignment horizontal="center" vertical="center"/>
    </xf>
    <xf numFmtId="3" fontId="19" fillId="4" borderId="24" xfId="0" applyNumberFormat="1" applyFont="1" applyFill="1" applyBorder="1" applyAlignment="1">
      <alignment horizontal="center" vertical="center"/>
    </xf>
    <xf numFmtId="10" fontId="19" fillId="0" borderId="24" xfId="0" applyNumberFormat="1" applyFont="1" applyBorder="1" applyAlignment="1">
      <alignment horizontal="center" vertical="center"/>
    </xf>
    <xf numFmtId="10" fontId="22" fillId="0" borderId="25" xfId="0" applyNumberFormat="1" applyFont="1" applyBorder="1" applyAlignment="1">
      <alignment horizontal="center" vertical="center"/>
    </xf>
    <xf numFmtId="10" fontId="16" fillId="0" borderId="24" xfId="0" applyNumberFormat="1" applyFont="1" applyBorder="1" applyAlignment="1">
      <alignment horizontal="center" vertical="center"/>
    </xf>
    <xf numFmtId="4" fontId="24" fillId="0" borderId="24" xfId="0" applyNumberFormat="1" applyFont="1" applyBorder="1" applyAlignment="1">
      <alignment horizontal="center" vertical="center"/>
    </xf>
    <xf numFmtId="3" fontId="3" fillId="2" borderId="0" xfId="0" applyNumberFormat="1" applyFont="1" applyFill="1"/>
    <xf numFmtId="10" fontId="23" fillId="0" borderId="27" xfId="0" applyNumberFormat="1" applyFont="1" applyBorder="1" applyAlignment="1">
      <alignment horizontal="center" vertical="center"/>
    </xf>
    <xf numFmtId="10" fontId="18" fillId="0" borderId="27" xfId="0" applyNumberFormat="1" applyFont="1" applyBorder="1" applyAlignment="1">
      <alignment horizontal="center" vertical="center"/>
    </xf>
    <xf numFmtId="165" fontId="19" fillId="3" borderId="33" xfId="0" applyNumberFormat="1" applyFont="1" applyFill="1" applyBorder="1" applyAlignment="1">
      <alignment horizontal="center" vertical="center"/>
    </xf>
    <xf numFmtId="165" fontId="19" fillId="4" borderId="34" xfId="0" applyNumberFormat="1" applyFont="1" applyFill="1" applyBorder="1" applyAlignment="1">
      <alignment horizontal="center" vertical="center"/>
    </xf>
    <xf numFmtId="10" fontId="19" fillId="4" borderId="34" xfId="0" applyNumberFormat="1" applyFont="1" applyFill="1" applyBorder="1" applyAlignment="1">
      <alignment horizontal="center" vertical="center"/>
    </xf>
    <xf numFmtId="165" fontId="24" fillId="0" borderId="34" xfId="0" applyNumberFormat="1" applyFont="1" applyBorder="1" applyAlignment="1">
      <alignment horizontal="center" vertical="center"/>
    </xf>
    <xf numFmtId="0" fontId="17" fillId="13" borderId="24" xfId="0" applyFont="1" applyFill="1" applyBorder="1" applyAlignment="1">
      <alignment horizontal="center" vertical="center" wrapText="1"/>
    </xf>
    <xf numFmtId="0" fontId="26" fillId="13" borderId="24" xfId="0" applyFont="1" applyFill="1" applyBorder="1" applyAlignment="1">
      <alignment horizontal="center" vertical="center" wrapText="1"/>
    </xf>
    <xf numFmtId="0" fontId="16" fillId="13" borderId="24" xfId="0" applyFont="1" applyFill="1" applyBorder="1" applyAlignment="1">
      <alignment horizontal="center" vertical="top" wrapText="1"/>
    </xf>
    <xf numFmtId="0" fontId="16" fillId="13" borderId="30" xfId="0" applyFont="1" applyFill="1" applyBorder="1" applyAlignment="1">
      <alignment horizontal="center" vertical="top" wrapText="1"/>
    </xf>
    <xf numFmtId="0" fontId="17" fillId="13" borderId="24" xfId="0" applyFont="1" applyFill="1" applyBorder="1" applyAlignment="1">
      <alignment horizontal="center" vertical="top" wrapText="1"/>
    </xf>
    <xf numFmtId="0" fontId="29" fillId="0" borderId="0" xfId="0" applyFont="1"/>
    <xf numFmtId="3" fontId="31" fillId="0" borderId="24" xfId="0" applyNumberFormat="1" applyFont="1" applyBorder="1" applyAlignment="1">
      <alignment horizontal="center" vertical="top"/>
    </xf>
    <xf numFmtId="9" fontId="3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/>
    </xf>
    <xf numFmtId="3" fontId="28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 vertical="top"/>
    </xf>
    <xf numFmtId="4" fontId="16" fillId="0" borderId="0" xfId="0" applyNumberFormat="1" applyFont="1" applyAlignment="1">
      <alignment horizontal="center" vertical="top"/>
    </xf>
    <xf numFmtId="2" fontId="16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vertical="top"/>
    </xf>
    <xf numFmtId="0" fontId="27" fillId="0" borderId="0" xfId="0" applyFont="1" applyAlignment="1">
      <alignment horizontal="center"/>
    </xf>
    <xf numFmtId="10" fontId="3" fillId="2" borderId="0" xfId="0" applyNumberFormat="1" applyFont="1" applyFill="1"/>
    <xf numFmtId="10" fontId="23" fillId="0" borderId="19" xfId="0" applyNumberFormat="1" applyFont="1" applyBorder="1" applyAlignment="1">
      <alignment horizontal="center" vertical="center"/>
    </xf>
    <xf numFmtId="3" fontId="16" fillId="4" borderId="0" xfId="0" applyNumberFormat="1" applyFont="1" applyFill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10" fontId="23" fillId="0" borderId="24" xfId="0" applyNumberFormat="1" applyFont="1" applyBorder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166" fontId="3" fillId="2" borderId="0" xfId="0" applyNumberFormat="1" applyFont="1" applyFill="1"/>
    <xf numFmtId="166" fontId="3" fillId="0" borderId="0" xfId="0" applyNumberFormat="1" applyFont="1"/>
    <xf numFmtId="10" fontId="18" fillId="0" borderId="0" xfId="0" applyNumberFormat="1" applyFont="1" applyAlignment="1">
      <alignment horizontal="center" vertical="center"/>
    </xf>
    <xf numFmtId="10" fontId="18" fillId="0" borderId="24" xfId="0" applyNumberFormat="1" applyFont="1" applyBorder="1" applyAlignment="1">
      <alignment horizontal="center" vertical="center"/>
    </xf>
    <xf numFmtId="0" fontId="0" fillId="14" borderId="0" xfId="0" applyFill="1"/>
    <xf numFmtId="3" fontId="31" fillId="0" borderId="0" xfId="0" applyNumberFormat="1" applyFont="1" applyAlignment="1">
      <alignment horizontal="center" vertical="top"/>
    </xf>
    <xf numFmtId="3" fontId="16" fillId="0" borderId="48" xfId="0" applyNumberFormat="1" applyFont="1" applyBorder="1" applyAlignment="1">
      <alignment horizontal="center" vertical="top"/>
    </xf>
    <xf numFmtId="10" fontId="16" fillId="0" borderId="48" xfId="0" applyNumberFormat="1" applyFont="1" applyBorder="1" applyAlignment="1">
      <alignment horizontal="center" vertical="top"/>
    </xf>
    <xf numFmtId="3" fontId="28" fillId="0" borderId="48" xfId="0" applyNumberFormat="1" applyFont="1" applyBorder="1" applyAlignment="1">
      <alignment horizontal="center"/>
    </xf>
    <xf numFmtId="3" fontId="16" fillId="0" borderId="48" xfId="0" applyNumberFormat="1" applyFont="1" applyBorder="1" applyAlignment="1">
      <alignment horizontal="center"/>
    </xf>
    <xf numFmtId="2" fontId="16" fillId="0" borderId="48" xfId="0" applyNumberFormat="1" applyFont="1" applyBorder="1" applyAlignment="1">
      <alignment horizontal="right"/>
    </xf>
    <xf numFmtId="0" fontId="3" fillId="0" borderId="28" xfId="0" applyFont="1" applyBorder="1"/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12" borderId="24" xfId="0" applyFont="1" applyFill="1" applyBorder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34" fillId="16" borderId="69" xfId="0" applyFont="1" applyFill="1" applyBorder="1" applyAlignment="1">
      <alignment horizontal="center" vertical="center" wrapText="1"/>
    </xf>
    <xf numFmtId="0" fontId="34" fillId="16" borderId="70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44" xfId="0" applyFont="1" applyFill="1" applyBorder="1" applyAlignment="1">
      <alignment horizontal="center" vertical="center" wrapText="1"/>
    </xf>
    <xf numFmtId="0" fontId="34" fillId="16" borderId="57" xfId="0" applyFont="1" applyFill="1" applyBorder="1" applyAlignment="1">
      <alignment horizontal="center" vertical="center" wrapText="1"/>
    </xf>
    <xf numFmtId="0" fontId="34" fillId="16" borderId="52" xfId="0" applyFont="1" applyFill="1" applyBorder="1" applyAlignment="1">
      <alignment horizontal="center" vertical="center" wrapText="1"/>
    </xf>
    <xf numFmtId="0" fontId="34" fillId="16" borderId="71" xfId="0" applyFont="1" applyFill="1" applyBorder="1" applyAlignment="1">
      <alignment horizontal="center" vertical="center" wrapText="1"/>
    </xf>
    <xf numFmtId="0" fontId="34" fillId="16" borderId="72" xfId="0" applyFont="1" applyFill="1" applyBorder="1" applyAlignment="1">
      <alignment horizontal="center" vertical="center" wrapText="1"/>
    </xf>
    <xf numFmtId="0" fontId="34" fillId="16" borderId="39" xfId="0" applyFont="1" applyFill="1" applyBorder="1" applyAlignment="1">
      <alignment horizontal="center" vertical="center" wrapText="1"/>
    </xf>
    <xf numFmtId="0" fontId="34" fillId="16" borderId="73" xfId="0" applyFont="1" applyFill="1" applyBorder="1" applyAlignment="1">
      <alignment horizontal="center" vertical="center" wrapText="1"/>
    </xf>
    <xf numFmtId="171" fontId="21" fillId="17" borderId="75" xfId="0" applyNumberFormat="1" applyFont="1" applyFill="1" applyBorder="1" applyAlignment="1">
      <alignment horizontal="right" vertical="top" wrapText="1" indent="1"/>
    </xf>
    <xf numFmtId="171" fontId="21" fillId="17" borderId="72" xfId="0" applyNumberFormat="1" applyFont="1" applyFill="1" applyBorder="1" applyAlignment="1">
      <alignment horizontal="right" vertical="top" wrapText="1"/>
    </xf>
    <xf numFmtId="171" fontId="21" fillId="17" borderId="76" xfId="0" applyNumberFormat="1" applyFont="1" applyFill="1" applyBorder="1" applyAlignment="1">
      <alignment horizontal="right" vertical="top" wrapText="1" indent="1"/>
    </xf>
    <xf numFmtId="171" fontId="21" fillId="17" borderId="77" xfId="0" applyNumberFormat="1" applyFont="1" applyFill="1" applyBorder="1" applyAlignment="1">
      <alignment horizontal="right" vertical="top" wrapText="1" indent="1"/>
    </xf>
    <xf numFmtId="171" fontId="21" fillId="17" borderId="34" xfId="0" applyNumberFormat="1" applyFont="1" applyFill="1" applyBorder="1" applyAlignment="1">
      <alignment horizontal="right" vertical="top" wrapText="1" indent="1"/>
    </xf>
    <xf numFmtId="171" fontId="21" fillId="17" borderId="35" xfId="0" applyNumberFormat="1" applyFont="1" applyFill="1" applyBorder="1" applyAlignment="1">
      <alignment horizontal="right" vertical="top" wrapText="1" indent="1"/>
    </xf>
    <xf numFmtId="171" fontId="21" fillId="0" borderId="37" xfId="0" applyNumberFormat="1" applyFont="1" applyBorder="1" applyAlignment="1">
      <alignment horizontal="right" vertical="top" wrapText="1" indent="1"/>
    </xf>
    <xf numFmtId="171" fontId="21" fillId="0" borderId="71" xfId="0" applyNumberFormat="1" applyFont="1" applyBorder="1" applyAlignment="1">
      <alignment horizontal="right" vertical="top" wrapText="1" indent="1"/>
    </xf>
    <xf numFmtId="171" fontId="21" fillId="17" borderId="72" xfId="0" applyNumberFormat="1" applyFont="1" applyFill="1" applyBorder="1" applyAlignment="1">
      <alignment horizontal="right" vertical="top" wrapText="1" indent="1"/>
    </xf>
    <xf numFmtId="171" fontId="21" fillId="17" borderId="78" xfId="0" applyNumberFormat="1" applyFont="1" applyFill="1" applyBorder="1" applyAlignment="1">
      <alignment horizontal="right" vertical="top" wrapText="1" indent="1"/>
    </xf>
    <xf numFmtId="171" fontId="21" fillId="17" borderId="73" xfId="0" applyNumberFormat="1" applyFont="1" applyFill="1" applyBorder="1" applyAlignment="1">
      <alignment horizontal="right" vertical="top" wrapText="1"/>
    </xf>
    <xf numFmtId="0" fontId="40" fillId="4" borderId="45" xfId="0" applyFont="1" applyFill="1" applyBorder="1" applyAlignment="1">
      <alignment horizontal="left" vertical="top"/>
    </xf>
    <xf numFmtId="0" fontId="41" fillId="4" borderId="0" xfId="0" applyFont="1" applyFill="1" applyAlignment="1">
      <alignment horizontal="left" vertical="top"/>
    </xf>
    <xf numFmtId="0" fontId="40" fillId="4" borderId="0" xfId="0" applyFont="1" applyFill="1" applyAlignment="1">
      <alignment horizontal="left" vertical="top"/>
    </xf>
    <xf numFmtId="2" fontId="40" fillId="4" borderId="0" xfId="0" applyNumberFormat="1" applyFont="1" applyFill="1" applyAlignment="1">
      <alignment horizontal="right" vertical="top"/>
    </xf>
    <xf numFmtId="0" fontId="16" fillId="4" borderId="0" xfId="0" applyFont="1" applyFill="1" applyAlignment="1">
      <alignment horizontal="left"/>
    </xf>
    <xf numFmtId="0" fontId="16" fillId="4" borderId="67" xfId="0" applyFont="1" applyFill="1" applyBorder="1" applyAlignment="1">
      <alignment horizontal="left"/>
    </xf>
    <xf numFmtId="0" fontId="40" fillId="4" borderId="45" xfId="0" applyFont="1" applyFill="1" applyBorder="1" applyAlignment="1">
      <alignment horizontal="center" vertical="center"/>
    </xf>
    <xf numFmtId="0" fontId="40" fillId="4" borderId="24" xfId="0" applyFont="1" applyFill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67" xfId="0" applyFont="1" applyFill="1" applyBorder="1" applyAlignment="1">
      <alignment horizontal="center" vertical="center"/>
    </xf>
    <xf numFmtId="14" fontId="40" fillId="4" borderId="24" xfId="0" applyNumberFormat="1" applyFont="1" applyFill="1" applyBorder="1" applyAlignment="1">
      <alignment horizontal="center" vertical="top"/>
    </xf>
    <xf numFmtId="4" fontId="40" fillId="4" borderId="24" xfId="0" applyNumberFormat="1" applyFont="1" applyFill="1" applyBorder="1" applyAlignment="1">
      <alignment horizontal="right" vertical="top"/>
    </xf>
    <xf numFmtId="0" fontId="40" fillId="4" borderId="24" xfId="0" applyFont="1" applyFill="1" applyBorder="1" applyAlignment="1">
      <alignment horizontal="left" vertical="top" wrapText="1"/>
    </xf>
    <xf numFmtId="0" fontId="40" fillId="18" borderId="45" xfId="0" applyFont="1" applyFill="1" applyBorder="1" applyAlignment="1">
      <alignment horizontal="left" vertical="top"/>
    </xf>
    <xf numFmtId="0" fontId="40" fillId="18" borderId="0" xfId="0" applyFont="1" applyFill="1" applyAlignment="1">
      <alignment horizontal="left" vertical="top"/>
    </xf>
    <xf numFmtId="4" fontId="41" fillId="18" borderId="0" xfId="0" applyNumberFormat="1" applyFont="1" applyFill="1" applyAlignment="1">
      <alignment horizontal="right" vertical="top"/>
    </xf>
    <xf numFmtId="0" fontId="40" fillId="18" borderId="0" xfId="0" applyFont="1" applyFill="1" applyAlignment="1">
      <alignment horizontal="right" vertical="top"/>
    </xf>
    <xf numFmtId="0" fontId="16" fillId="18" borderId="0" xfId="0" applyFont="1" applyFill="1" applyAlignment="1">
      <alignment horizontal="left"/>
    </xf>
    <xf numFmtId="2" fontId="41" fillId="18" borderId="0" xfId="0" applyNumberFormat="1" applyFont="1" applyFill="1" applyAlignment="1">
      <alignment horizontal="left" vertical="top"/>
    </xf>
    <xf numFmtId="2" fontId="40" fillId="18" borderId="0" xfId="0" applyNumberFormat="1" applyFont="1" applyFill="1" applyAlignment="1">
      <alignment horizontal="left" vertical="top"/>
    </xf>
    <xf numFmtId="0" fontId="16" fillId="18" borderId="67" xfId="0" applyFont="1" applyFill="1" applyBorder="1" applyAlignment="1">
      <alignment horizontal="left"/>
    </xf>
    <xf numFmtId="0" fontId="40" fillId="4" borderId="0" xfId="0" applyFont="1" applyFill="1" applyAlignment="1">
      <alignment horizontal="center" vertical="center" wrapText="1"/>
    </xf>
    <xf numFmtId="0" fontId="40" fillId="4" borderId="45" xfId="0" applyFont="1" applyFill="1" applyBorder="1" applyAlignment="1">
      <alignment horizontal="center" vertical="center" wrapText="1"/>
    </xf>
    <xf numFmtId="0" fontId="41" fillId="4" borderId="0" xfId="0" applyFont="1" applyFill="1" applyAlignment="1">
      <alignment horizontal="left" vertical="top" wrapText="1"/>
    </xf>
    <xf numFmtId="0" fontId="16" fillId="4" borderId="0" xfId="0" applyFont="1" applyFill="1" applyAlignment="1">
      <alignment horizontal="center" vertical="center" wrapText="1"/>
    </xf>
    <xf numFmtId="0" fontId="16" fillId="4" borderId="67" xfId="0" applyFont="1" applyFill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center" vertical="center" wrapText="1"/>
    </xf>
    <xf numFmtId="4" fontId="0" fillId="0" borderId="0" xfId="0" applyNumberFormat="1"/>
    <xf numFmtId="1" fontId="40" fillId="4" borderId="24" xfId="0" applyNumberFormat="1" applyFont="1" applyFill="1" applyBorder="1" applyAlignment="1">
      <alignment horizontal="center" vertical="top"/>
    </xf>
    <xf numFmtId="0" fontId="40" fillId="4" borderId="24" xfId="0" applyFont="1" applyFill="1" applyBorder="1" applyAlignment="1">
      <alignment horizontal="left" vertical="top"/>
    </xf>
    <xf numFmtId="172" fontId="40" fillId="4" borderId="24" xfId="0" applyNumberFormat="1" applyFont="1" applyFill="1" applyBorder="1" applyAlignment="1">
      <alignment horizontal="center" vertical="top"/>
    </xf>
    <xf numFmtId="2" fontId="40" fillId="4" borderId="24" xfId="0" applyNumberFormat="1" applyFont="1" applyFill="1" applyBorder="1" applyAlignment="1">
      <alignment horizontal="center" vertical="top"/>
    </xf>
    <xf numFmtId="2" fontId="41" fillId="4" borderId="24" xfId="0" applyNumberFormat="1" applyFont="1" applyFill="1" applyBorder="1" applyAlignment="1">
      <alignment horizontal="right" vertical="center" wrapText="1" indent="1"/>
    </xf>
    <xf numFmtId="4" fontId="40" fillId="4" borderId="0" xfId="0" applyNumberFormat="1" applyFont="1" applyFill="1" applyAlignment="1">
      <alignment horizontal="left" vertical="top"/>
    </xf>
    <xf numFmtId="10" fontId="40" fillId="4" borderId="24" xfId="0" applyNumberFormat="1" applyFont="1" applyFill="1" applyBorder="1" applyAlignment="1">
      <alignment horizontal="center" vertical="top"/>
    </xf>
    <xf numFmtId="0" fontId="40" fillId="4" borderId="24" xfId="0" applyFont="1" applyFill="1" applyBorder="1" applyAlignment="1">
      <alignment horizontal="left" vertical="center"/>
    </xf>
    <xf numFmtId="172" fontId="40" fillId="4" borderId="24" xfId="0" applyNumberFormat="1" applyFont="1" applyFill="1" applyBorder="1" applyAlignment="1">
      <alignment horizontal="center" vertical="center" wrapText="1"/>
    </xf>
    <xf numFmtId="10" fontId="40" fillId="4" borderId="24" xfId="0" applyNumberFormat="1" applyFont="1" applyFill="1" applyBorder="1" applyAlignment="1">
      <alignment horizontal="center" vertical="center" wrapText="1"/>
    </xf>
    <xf numFmtId="2" fontId="40" fillId="4" borderId="24" xfId="0" applyNumberFormat="1" applyFont="1" applyFill="1" applyBorder="1" applyAlignment="1">
      <alignment horizontal="center" vertical="center" wrapText="1"/>
    </xf>
    <xf numFmtId="0" fontId="40" fillId="4" borderId="0" xfId="0" applyFont="1" applyFill="1" applyAlignment="1">
      <alignment horizontal="left" vertical="center"/>
    </xf>
    <xf numFmtId="172" fontId="40" fillId="4" borderId="0" xfId="0" applyNumberFormat="1" applyFont="1" applyFill="1" applyAlignment="1">
      <alignment horizontal="center" vertical="center" wrapText="1"/>
    </xf>
    <xf numFmtId="2" fontId="41" fillId="4" borderId="0" xfId="0" applyNumberFormat="1" applyFont="1" applyFill="1" applyAlignment="1">
      <alignment horizontal="right" vertical="center" wrapText="1"/>
    </xf>
    <xf numFmtId="4" fontId="17" fillId="18" borderId="0" xfId="0" applyNumberFormat="1" applyFont="1" applyFill="1" applyAlignment="1">
      <alignment horizontal="right"/>
    </xf>
    <xf numFmtId="0" fontId="16" fillId="18" borderId="0" xfId="0" applyFont="1" applyFill="1" applyAlignment="1">
      <alignment horizontal="right"/>
    </xf>
    <xf numFmtId="2" fontId="16" fillId="18" borderId="0" xfId="0" applyNumberFormat="1" applyFont="1" applyFill="1" applyAlignment="1">
      <alignment horizontal="left"/>
    </xf>
    <xf numFmtId="0" fontId="16" fillId="4" borderId="45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67" xfId="0" applyFont="1" applyBorder="1"/>
    <xf numFmtId="0" fontId="41" fillId="4" borderId="21" xfId="0" applyFont="1" applyFill="1" applyBorder="1" applyAlignment="1">
      <alignment horizontal="left" vertical="top"/>
    </xf>
    <xf numFmtId="0" fontId="17" fillId="4" borderId="21" xfId="0" applyFont="1" applyFill="1" applyBorder="1" applyAlignment="1">
      <alignment horizontal="left"/>
    </xf>
    <xf numFmtId="0" fontId="16" fillId="4" borderId="21" xfId="0" applyFont="1" applyFill="1" applyBorder="1" applyAlignment="1">
      <alignment horizontal="left"/>
    </xf>
    <xf numFmtId="0" fontId="16" fillId="4" borderId="66" xfId="0" applyFont="1" applyFill="1" applyBorder="1" applyAlignment="1">
      <alignment horizontal="left"/>
    </xf>
    <xf numFmtId="0" fontId="16" fillId="4" borderId="45" xfId="0" applyFont="1" applyFill="1" applyBorder="1" applyAlignment="1">
      <alignment horizontal="center" vertical="center" wrapText="1"/>
    </xf>
    <xf numFmtId="0" fontId="40" fillId="4" borderId="26" xfId="0" applyFont="1" applyFill="1" applyBorder="1" applyAlignment="1">
      <alignment horizontal="center" vertical="center" wrapText="1"/>
    </xf>
    <xf numFmtId="2" fontId="41" fillId="4" borderId="24" xfId="0" applyNumberFormat="1" applyFont="1" applyFill="1" applyBorder="1" applyAlignment="1">
      <alignment horizontal="right" vertical="top" indent="1"/>
    </xf>
    <xf numFmtId="3" fontId="40" fillId="4" borderId="24" xfId="0" applyNumberFormat="1" applyFont="1" applyFill="1" applyBorder="1" applyAlignment="1">
      <alignment horizontal="left" vertical="top"/>
    </xf>
    <xf numFmtId="172" fontId="40" fillId="4" borderId="24" xfId="0" applyNumberFormat="1" applyFont="1" applyFill="1" applyBorder="1" applyAlignment="1">
      <alignment vertical="top"/>
    </xf>
    <xf numFmtId="3" fontId="16" fillId="4" borderId="24" xfId="0" applyNumberFormat="1" applyFont="1" applyFill="1" applyBorder="1" applyAlignment="1">
      <alignment vertical="top"/>
    </xf>
    <xf numFmtId="2" fontId="41" fillId="4" borderId="26" xfId="0" applyNumberFormat="1" applyFont="1" applyFill="1" applyBorder="1" applyAlignment="1">
      <alignment horizontal="right" vertical="top" indent="1"/>
    </xf>
    <xf numFmtId="4" fontId="40" fillId="4" borderId="24" xfId="0" applyNumberFormat="1" applyFont="1" applyFill="1" applyBorder="1" applyAlignment="1">
      <alignment horizontal="right" vertical="center" wrapText="1"/>
    </xf>
    <xf numFmtId="3" fontId="40" fillId="4" borderId="24" xfId="0" applyNumberFormat="1" applyFont="1" applyFill="1" applyBorder="1" applyAlignment="1">
      <alignment horizontal="left" vertical="top" wrapText="1"/>
    </xf>
    <xf numFmtId="0" fontId="40" fillId="4" borderId="24" xfId="0" applyFont="1" applyFill="1" applyBorder="1" applyAlignment="1">
      <alignment vertical="center"/>
    </xf>
    <xf numFmtId="172" fontId="40" fillId="4" borderId="24" xfId="0" applyNumberFormat="1" applyFont="1" applyFill="1" applyBorder="1" applyAlignment="1">
      <alignment vertical="center" wrapText="1"/>
    </xf>
    <xf numFmtId="0" fontId="16" fillId="4" borderId="24" xfId="0" applyFont="1" applyFill="1" applyBorder="1" applyAlignment="1">
      <alignment vertical="top" wrapText="1"/>
    </xf>
    <xf numFmtId="10" fontId="40" fillId="4" borderId="24" xfId="0" applyNumberFormat="1" applyFont="1" applyFill="1" applyBorder="1" applyAlignment="1">
      <alignment horizontal="center" vertical="top" wrapText="1"/>
    </xf>
    <xf numFmtId="2" fontId="41" fillId="4" borderId="26" xfId="0" applyNumberFormat="1" applyFont="1" applyFill="1" applyBorder="1" applyAlignment="1">
      <alignment horizontal="right" vertical="top" wrapText="1" inden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4" fillId="16" borderId="11" xfId="0" applyFont="1" applyFill="1" applyBorder="1" applyAlignment="1">
      <alignment horizontal="center" vertical="center" wrapText="1"/>
    </xf>
    <xf numFmtId="171" fontId="34" fillId="17" borderId="75" xfId="0" applyNumberFormat="1" applyFont="1" applyFill="1" applyBorder="1" applyAlignment="1">
      <alignment horizontal="right" vertical="top" wrapText="1" indent="1"/>
    </xf>
    <xf numFmtId="171" fontId="34" fillId="17" borderId="72" xfId="0" applyNumberFormat="1" applyFont="1" applyFill="1" applyBorder="1" applyAlignment="1">
      <alignment horizontal="right" vertical="top" wrapText="1"/>
    </xf>
    <xf numFmtId="171" fontId="34" fillId="17" borderId="76" xfId="0" applyNumberFormat="1" applyFont="1" applyFill="1" applyBorder="1" applyAlignment="1">
      <alignment horizontal="right" vertical="top" wrapText="1" indent="1"/>
    </xf>
    <xf numFmtId="171" fontId="34" fillId="17" borderId="77" xfId="0" applyNumberFormat="1" applyFont="1" applyFill="1" applyBorder="1" applyAlignment="1">
      <alignment horizontal="right" vertical="top" wrapText="1" indent="1"/>
    </xf>
    <xf numFmtId="171" fontId="34" fillId="17" borderId="34" xfId="0" applyNumberFormat="1" applyFont="1" applyFill="1" applyBorder="1" applyAlignment="1">
      <alignment horizontal="right" vertical="top" wrapText="1" indent="1"/>
    </xf>
    <xf numFmtId="171" fontId="34" fillId="17" borderId="35" xfId="0" applyNumberFormat="1" applyFont="1" applyFill="1" applyBorder="1" applyAlignment="1">
      <alignment horizontal="right" vertical="top" wrapText="1" indent="1"/>
    </xf>
    <xf numFmtId="171" fontId="34" fillId="0" borderId="37" xfId="0" applyNumberFormat="1" applyFont="1" applyBorder="1" applyAlignment="1">
      <alignment horizontal="right" vertical="top" wrapText="1" indent="1"/>
    </xf>
    <xf numFmtId="14" fontId="40" fillId="4" borderId="0" xfId="0" applyNumberFormat="1" applyFont="1" applyFill="1" applyAlignment="1">
      <alignment horizontal="center" vertical="top"/>
    </xf>
    <xf numFmtId="4" fontId="40" fillId="4" borderId="0" xfId="0" applyNumberFormat="1" applyFont="1" applyFill="1" applyAlignment="1">
      <alignment horizontal="center" vertical="top"/>
    </xf>
    <xf numFmtId="0" fontId="40" fillId="4" borderId="0" xfId="0" applyFont="1" applyFill="1" applyAlignment="1">
      <alignment horizontal="left" vertical="top" wrapText="1"/>
    </xf>
    <xf numFmtId="0" fontId="21" fillId="12" borderId="30" xfId="0" applyFont="1" applyFill="1" applyBorder="1" applyAlignment="1">
      <alignment horizontal="center" vertical="center"/>
    </xf>
    <xf numFmtId="0" fontId="34" fillId="16" borderId="24" xfId="0" applyFont="1" applyFill="1" applyBorder="1" applyAlignment="1">
      <alignment horizontal="center" vertical="center" wrapText="1"/>
    </xf>
    <xf numFmtId="0" fontId="34" fillId="16" borderId="25" xfId="0" applyFont="1" applyFill="1" applyBorder="1" applyAlignment="1">
      <alignment horizontal="center" vertical="center" wrapText="1"/>
    </xf>
    <xf numFmtId="0" fontId="34" fillId="16" borderId="3" xfId="0" applyFont="1" applyFill="1" applyBorder="1" applyAlignment="1">
      <alignment horizontal="center" vertical="center" wrapText="1"/>
    </xf>
    <xf numFmtId="171" fontId="34" fillId="17" borderId="24" xfId="0" applyNumberFormat="1" applyFont="1" applyFill="1" applyBorder="1" applyAlignment="1">
      <alignment horizontal="right" vertical="top" wrapText="1" indent="1"/>
    </xf>
    <xf numFmtId="171" fontId="34" fillId="17" borderId="25" xfId="0" applyNumberFormat="1" applyFont="1" applyFill="1" applyBorder="1" applyAlignment="1">
      <alignment horizontal="right" vertical="top" wrapText="1"/>
    </xf>
    <xf numFmtId="171" fontId="34" fillId="0" borderId="35" xfId="0" applyNumberFormat="1" applyFont="1" applyBorder="1" applyAlignment="1">
      <alignment horizontal="right" vertical="top" wrapText="1" indent="1"/>
    </xf>
    <xf numFmtId="171" fontId="21" fillId="0" borderId="77" xfId="0" applyNumberFormat="1" applyFont="1" applyBorder="1" applyAlignment="1">
      <alignment horizontal="right" vertical="top" wrapText="1" indent="1"/>
    </xf>
    <xf numFmtId="171" fontId="21" fillId="17" borderId="37" xfId="0" applyNumberFormat="1" applyFont="1" applyFill="1" applyBorder="1" applyAlignment="1">
      <alignment horizontal="right" vertical="top" wrapText="1" indent="1"/>
    </xf>
    <xf numFmtId="171" fontId="21" fillId="17" borderId="80" xfId="0" applyNumberFormat="1" applyFont="1" applyFill="1" applyBorder="1" applyAlignment="1">
      <alignment horizontal="right" vertical="top" wrapText="1" indent="1"/>
    </xf>
    <xf numFmtId="2" fontId="17" fillId="18" borderId="0" xfId="0" applyNumberFormat="1" applyFont="1" applyFill="1" applyAlignment="1">
      <alignment horizontal="left"/>
    </xf>
    <xf numFmtId="0" fontId="21" fillId="19" borderId="81" xfId="0" applyFont="1" applyFill="1" applyBorder="1"/>
    <xf numFmtId="173" fontId="42" fillId="20" borderId="82" xfId="0" applyNumberFormat="1" applyFont="1" applyFill="1" applyBorder="1" applyAlignment="1" applyProtection="1">
      <alignment horizontal="left"/>
      <protection locked="0"/>
    </xf>
    <xf numFmtId="0" fontId="34" fillId="19" borderId="83" xfId="0" applyFont="1" applyFill="1" applyBorder="1"/>
    <xf numFmtId="0" fontId="43" fillId="20" borderId="84" xfId="0" applyFont="1" applyFill="1" applyBorder="1" applyProtection="1">
      <protection locked="0"/>
    </xf>
    <xf numFmtId="0" fontId="44" fillId="19" borderId="0" xfId="0" applyFont="1" applyFill="1" applyAlignment="1">
      <alignment vertical="center"/>
    </xf>
    <xf numFmtId="0" fontId="34" fillId="19" borderId="0" xfId="0" applyFont="1" applyFill="1"/>
    <xf numFmtId="0" fontId="43" fillId="21" borderId="85" xfId="0" applyFont="1" applyFill="1" applyBorder="1"/>
    <xf numFmtId="0" fontId="44" fillId="22" borderId="0" xfId="0" applyFont="1" applyFill="1" applyAlignment="1">
      <alignment vertical="center"/>
    </xf>
    <xf numFmtId="0" fontId="34" fillId="22" borderId="0" xfId="0" applyFont="1" applyFill="1"/>
    <xf numFmtId="0" fontId="45" fillId="21" borderId="85" xfId="0" applyFont="1" applyFill="1" applyBorder="1"/>
    <xf numFmtId="0" fontId="43" fillId="21" borderId="86" xfId="0" applyFont="1" applyFill="1" applyBorder="1"/>
    <xf numFmtId="0" fontId="48" fillId="19" borderId="87" xfId="0" applyFont="1" applyFill="1" applyBorder="1" applyAlignment="1">
      <alignment horizontal="center" wrapText="1"/>
    </xf>
    <xf numFmtId="0" fontId="21" fillId="19" borderId="90" xfId="0" applyFont="1" applyFill="1" applyBorder="1" applyAlignment="1">
      <alignment horizontal="center"/>
    </xf>
    <xf numFmtId="0" fontId="34" fillId="23" borderId="0" xfId="0" applyFont="1" applyFill="1"/>
    <xf numFmtId="0" fontId="21" fillId="19" borderId="91" xfId="0" applyFont="1" applyFill="1" applyBorder="1"/>
    <xf numFmtId="2" fontId="48" fillId="19" borderId="92" xfId="0" applyNumberFormat="1" applyFont="1" applyFill="1" applyBorder="1" applyAlignment="1">
      <alignment horizontal="center"/>
    </xf>
    <xf numFmtId="3" fontId="49" fillId="19" borderId="87" xfId="0" applyNumberFormat="1" applyFont="1" applyFill="1" applyBorder="1" applyAlignment="1">
      <alignment horizontal="center"/>
    </xf>
    <xf numFmtId="10" fontId="34" fillId="23" borderId="0" xfId="0" applyNumberFormat="1" applyFont="1" applyFill="1"/>
    <xf numFmtId="0" fontId="21" fillId="19" borderId="93" xfId="0" applyFont="1" applyFill="1" applyBorder="1"/>
    <xf numFmtId="0" fontId="34" fillId="19" borderId="89" xfId="0" applyFont="1" applyFill="1" applyBorder="1"/>
    <xf numFmtId="0" fontId="34" fillId="19" borderId="94" xfId="0" applyFont="1" applyFill="1" applyBorder="1"/>
    <xf numFmtId="0" fontId="21" fillId="24" borderId="95" xfId="0" applyFont="1" applyFill="1" applyBorder="1" applyAlignment="1" applyProtection="1">
      <alignment wrapText="1"/>
      <protection locked="0"/>
    </xf>
    <xf numFmtId="0" fontId="34" fillId="25" borderId="96" xfId="0" applyFont="1" applyFill="1" applyBorder="1"/>
    <xf numFmtId="0" fontId="21" fillId="26" borderId="96" xfId="0" applyFont="1" applyFill="1" applyBorder="1" applyAlignment="1">
      <alignment horizontal="center" vertical="center" wrapText="1"/>
    </xf>
    <xf numFmtId="0" fontId="34" fillId="19" borderId="97" xfId="0" applyFont="1" applyFill="1" applyBorder="1"/>
    <xf numFmtId="0" fontId="34" fillId="19" borderId="98" xfId="0" applyFont="1" applyFill="1" applyBorder="1"/>
    <xf numFmtId="0" fontId="34" fillId="25" borderId="98" xfId="0" applyFont="1" applyFill="1" applyBorder="1"/>
    <xf numFmtId="0" fontId="21" fillId="26" borderId="99" xfId="0" applyFont="1" applyFill="1" applyBorder="1" applyAlignment="1">
      <alignment horizontal="center" vertical="center" wrapText="1"/>
    </xf>
    <xf numFmtId="0" fontId="21" fillId="19" borderId="9" xfId="0" applyFont="1" applyFill="1" applyBorder="1" applyAlignment="1">
      <alignment vertical="center" wrapText="1"/>
    </xf>
    <xf numFmtId="0" fontId="21" fillId="19" borderId="100" xfId="0" applyFont="1" applyFill="1" applyBorder="1" applyAlignment="1">
      <alignment horizontal="center" vertical="center"/>
    </xf>
    <xf numFmtId="0" fontId="49" fillId="19" borderId="101" xfId="0" applyFont="1" applyFill="1" applyBorder="1" applyAlignment="1">
      <alignment horizontal="center" vertical="center"/>
    </xf>
    <xf numFmtId="0" fontId="49" fillId="19" borderId="95" xfId="0" applyFont="1" applyFill="1" applyBorder="1" applyAlignment="1">
      <alignment horizontal="center" vertical="center"/>
    </xf>
    <xf numFmtId="0" fontId="49" fillId="25" borderId="95" xfId="0" applyFont="1" applyFill="1" applyBorder="1" applyAlignment="1">
      <alignment horizontal="center" vertical="center"/>
    </xf>
    <xf numFmtId="0" fontId="21" fillId="26" borderId="95" xfId="0" applyFont="1" applyFill="1" applyBorder="1" applyAlignment="1">
      <alignment horizontal="center" vertical="center" wrapText="1"/>
    </xf>
    <xf numFmtId="0" fontId="21" fillId="26" borderId="102" xfId="0" applyFont="1" applyFill="1" applyBorder="1" applyAlignment="1">
      <alignment horizontal="center" vertical="center" wrapText="1"/>
    </xf>
    <xf numFmtId="0" fontId="21" fillId="19" borderId="82" xfId="0" applyFont="1" applyFill="1" applyBorder="1"/>
    <xf numFmtId="0" fontId="50" fillId="0" borderId="105" xfId="0" applyFont="1" applyBorder="1"/>
    <xf numFmtId="0" fontId="34" fillId="0" borderId="106" xfId="0" applyFont="1" applyBorder="1"/>
    <xf numFmtId="0" fontId="3" fillId="0" borderId="106" xfId="0" applyFont="1" applyBorder="1"/>
    <xf numFmtId="0" fontId="34" fillId="0" borderId="107" xfId="0" applyFont="1" applyBorder="1"/>
    <xf numFmtId="3" fontId="34" fillId="25" borderId="19" xfId="0" applyNumberFormat="1" applyFont="1" applyFill="1" applyBorder="1" applyAlignment="1">
      <alignment horizontal="center"/>
    </xf>
    <xf numFmtId="3" fontId="34" fillId="26" borderId="105" xfId="0" applyNumberFormat="1" applyFont="1" applyFill="1" applyBorder="1" applyAlignment="1">
      <alignment horizontal="center"/>
    </xf>
    <xf numFmtId="3" fontId="34" fillId="26" borderId="106" xfId="0" applyNumberFormat="1" applyFont="1" applyFill="1" applyBorder="1" applyAlignment="1">
      <alignment horizontal="center"/>
    </xf>
    <xf numFmtId="3" fontId="34" fillId="0" borderId="106" xfId="0" applyNumberFormat="1" applyFont="1" applyBorder="1" applyAlignment="1">
      <alignment horizontal="center"/>
    </xf>
    <xf numFmtId="0" fontId="21" fillId="19" borderId="84" xfId="0" applyFont="1" applyFill="1" applyBorder="1"/>
    <xf numFmtId="0" fontId="50" fillId="0" borderId="108" xfId="0" applyFont="1" applyBorder="1"/>
    <xf numFmtId="0" fontId="34" fillId="0" borderId="109" xfId="0" applyFont="1" applyBorder="1"/>
    <xf numFmtId="0" fontId="3" fillId="0" borderId="109" xfId="0" applyFont="1" applyBorder="1"/>
    <xf numFmtId="0" fontId="34" fillId="0" borderId="110" xfId="0" applyFont="1" applyBorder="1"/>
    <xf numFmtId="3" fontId="34" fillId="25" borderId="24" xfId="0" applyNumberFormat="1" applyFont="1" applyFill="1" applyBorder="1" applyAlignment="1">
      <alignment horizontal="center"/>
    </xf>
    <xf numFmtId="3" fontId="34" fillId="26" borderId="108" xfId="0" applyNumberFormat="1" applyFont="1" applyFill="1" applyBorder="1" applyAlignment="1">
      <alignment horizontal="center"/>
    </xf>
    <xf numFmtId="3" fontId="34" fillId="26" borderId="109" xfId="0" applyNumberFormat="1" applyFont="1" applyFill="1" applyBorder="1" applyAlignment="1">
      <alignment horizontal="center"/>
    </xf>
    <xf numFmtId="3" fontId="34" fillId="0" borderId="109" xfId="0" applyNumberFormat="1" applyFont="1" applyBorder="1" applyAlignment="1">
      <alignment horizontal="center"/>
    </xf>
    <xf numFmtId="0" fontId="34" fillId="14" borderId="109" xfId="0" applyFont="1" applyFill="1" applyBorder="1"/>
    <xf numFmtId="0" fontId="51" fillId="0" borderId="109" xfId="0" applyFont="1" applyBorder="1"/>
    <xf numFmtId="0" fontId="50" fillId="0" borderId="108" xfId="0" applyFont="1" applyBorder="1" applyProtection="1">
      <protection locked="0"/>
    </xf>
    <xf numFmtId="0" fontId="50" fillId="0" borderId="109" xfId="0" applyFont="1" applyBorder="1" applyProtection="1">
      <protection locked="0"/>
    </xf>
    <xf numFmtId="0" fontId="3" fillId="0" borderId="109" xfId="0" applyFont="1" applyBorder="1" applyProtection="1">
      <protection locked="0"/>
    </xf>
    <xf numFmtId="0" fontId="50" fillId="0" borderId="24" xfId="0" applyFont="1" applyBorder="1"/>
    <xf numFmtId="0" fontId="50" fillId="0" borderId="0" xfId="0" applyFont="1" applyProtection="1">
      <protection locked="0"/>
    </xf>
    <xf numFmtId="0" fontId="50" fillId="0" borderId="110" xfId="0" applyFont="1" applyBorder="1" applyProtection="1">
      <protection locked="0"/>
    </xf>
    <xf numFmtId="0" fontId="44" fillId="0" borderId="108" xfId="0" applyFont="1" applyBorder="1" applyProtection="1">
      <protection locked="0"/>
    </xf>
    <xf numFmtId="0" fontId="44" fillId="0" borderId="109" xfId="0" applyFont="1" applyBorder="1" applyProtection="1">
      <protection locked="0"/>
    </xf>
    <xf numFmtId="0" fontId="44" fillId="0" borderId="24" xfId="0" applyFont="1" applyBorder="1"/>
    <xf numFmtId="0" fontId="21" fillId="27" borderId="84" xfId="0" applyFont="1" applyFill="1" applyBorder="1" applyProtection="1">
      <protection locked="0"/>
    </xf>
    <xf numFmtId="0" fontId="44" fillId="28" borderId="24" xfId="0" applyFont="1" applyFill="1" applyBorder="1"/>
    <xf numFmtId="0" fontId="50" fillId="14" borderId="24" xfId="0" applyFont="1" applyFill="1" applyBorder="1"/>
    <xf numFmtId="0" fontId="50" fillId="14" borderId="109" xfId="0" applyFont="1" applyFill="1" applyBorder="1" applyProtection="1">
      <protection locked="0"/>
    </xf>
    <xf numFmtId="0" fontId="50" fillId="14" borderId="111" xfId="0" applyFont="1" applyFill="1" applyBorder="1" applyProtection="1">
      <protection locked="0"/>
    </xf>
    <xf numFmtId="3" fontId="34" fillId="29" borderId="24" xfId="0" applyNumberFormat="1" applyFont="1" applyFill="1" applyBorder="1" applyAlignment="1" applyProtection="1">
      <alignment horizontal="center"/>
      <protection hidden="1"/>
    </xf>
    <xf numFmtId="3" fontId="34" fillId="30" borderId="108" xfId="0" applyNumberFormat="1" applyFont="1" applyFill="1" applyBorder="1" applyAlignment="1" applyProtection="1">
      <alignment horizontal="center"/>
      <protection hidden="1"/>
    </xf>
    <xf numFmtId="3" fontId="34" fillId="30" borderId="109" xfId="0" applyNumberFormat="1" applyFont="1" applyFill="1" applyBorder="1" applyAlignment="1" applyProtection="1">
      <alignment horizontal="center"/>
      <protection hidden="1"/>
    </xf>
    <xf numFmtId="3" fontId="34" fillId="0" borderId="109" xfId="0" applyNumberFormat="1" applyFont="1" applyBorder="1" applyAlignment="1" applyProtection="1">
      <alignment horizontal="center"/>
      <protection hidden="1"/>
    </xf>
    <xf numFmtId="0" fontId="52" fillId="19" borderId="84" xfId="0" applyFont="1" applyFill="1" applyBorder="1"/>
    <xf numFmtId="3" fontId="50" fillId="25" borderId="24" xfId="0" applyNumberFormat="1" applyFont="1" applyFill="1" applyBorder="1" applyAlignment="1">
      <alignment horizontal="center"/>
    </xf>
    <xf numFmtId="3" fontId="50" fillId="26" borderId="108" xfId="0" applyNumberFormat="1" applyFont="1" applyFill="1" applyBorder="1" applyAlignment="1">
      <alignment horizontal="center"/>
    </xf>
    <xf numFmtId="3" fontId="50" fillId="26" borderId="109" xfId="0" applyNumberFormat="1" applyFont="1" applyFill="1" applyBorder="1" applyAlignment="1">
      <alignment horizontal="center"/>
    </xf>
    <xf numFmtId="3" fontId="50" fillId="0" borderId="109" xfId="0" applyNumberFormat="1" applyFont="1" applyBorder="1" applyAlignment="1">
      <alignment horizontal="center"/>
    </xf>
    <xf numFmtId="0" fontId="21" fillId="27" borderId="112" xfId="0" applyFont="1" applyFill="1" applyBorder="1" applyProtection="1">
      <protection locked="0"/>
    </xf>
    <xf numFmtId="0" fontId="44" fillId="0" borderId="24" xfId="0" applyFont="1" applyBorder="1" applyProtection="1">
      <protection locked="0"/>
    </xf>
    <xf numFmtId="3" fontId="34" fillId="29" borderId="23" xfId="0" applyNumberFormat="1" applyFont="1" applyFill="1" applyBorder="1" applyAlignment="1" applyProtection="1">
      <alignment horizontal="center"/>
      <protection hidden="1"/>
    </xf>
    <xf numFmtId="3" fontId="34" fillId="0" borderId="111" xfId="0" applyNumberFormat="1" applyFont="1" applyBorder="1" applyAlignment="1" applyProtection="1">
      <alignment horizontal="center"/>
      <protection hidden="1"/>
    </xf>
    <xf numFmtId="0" fontId="44" fillId="12" borderId="24" xfId="0" applyFont="1" applyFill="1" applyBorder="1"/>
    <xf numFmtId="0" fontId="50" fillId="12" borderId="24" xfId="0" applyFont="1" applyFill="1" applyBorder="1"/>
    <xf numFmtId="0" fontId="44" fillId="31" borderId="24" xfId="0" applyFont="1" applyFill="1" applyBorder="1"/>
    <xf numFmtId="0" fontId="44" fillId="32" borderId="24" xfId="0" applyFont="1" applyFill="1" applyBorder="1"/>
    <xf numFmtId="0" fontId="50" fillId="32" borderId="24" xfId="0" applyFont="1" applyFill="1" applyBorder="1"/>
    <xf numFmtId="0" fontId="50" fillId="31" borderId="24" xfId="0" applyFont="1" applyFill="1" applyBorder="1"/>
    <xf numFmtId="0" fontId="44" fillId="0" borderId="113" xfId="0" applyFont="1" applyBorder="1" applyProtection="1">
      <protection locked="0"/>
    </xf>
    <xf numFmtId="0" fontId="52" fillId="19" borderId="114" xfId="0" applyFont="1" applyFill="1" applyBorder="1"/>
    <xf numFmtId="0" fontId="44" fillId="0" borderId="31" xfId="0" applyFont="1" applyBorder="1" applyProtection="1">
      <protection locked="0"/>
    </xf>
    <xf numFmtId="0" fontId="44" fillId="0" borderId="30" xfId="0" applyFont="1" applyBorder="1" applyProtection="1">
      <protection locked="0"/>
    </xf>
    <xf numFmtId="0" fontId="53" fillId="0" borderId="24" xfId="0" applyFont="1" applyBorder="1"/>
    <xf numFmtId="0" fontId="44" fillId="0" borderId="0" xfId="0" applyFont="1"/>
    <xf numFmtId="0" fontId="54" fillId="0" borderId="23" xfId="0" applyFont="1" applyBorder="1"/>
    <xf numFmtId="0" fontId="44" fillId="0" borderId="23" xfId="0" applyFont="1" applyBorder="1"/>
    <xf numFmtId="3" fontId="50" fillId="25" borderId="28" xfId="0" applyNumberFormat="1" applyFont="1" applyFill="1" applyBorder="1" applyAlignment="1">
      <alignment horizontal="center"/>
    </xf>
    <xf numFmtId="3" fontId="50" fillId="26" borderId="111" xfId="0" applyNumberFormat="1" applyFont="1" applyFill="1" applyBorder="1" applyAlignment="1">
      <alignment horizontal="center"/>
    </xf>
    <xf numFmtId="3" fontId="50" fillId="0" borderId="111" xfId="0" applyNumberFormat="1" applyFont="1" applyBorder="1" applyAlignment="1">
      <alignment horizontal="center"/>
    </xf>
    <xf numFmtId="3" fontId="21" fillId="19" borderId="115" xfId="0" applyNumberFormat="1" applyFont="1" applyFill="1" applyBorder="1" applyAlignment="1">
      <alignment horizontal="center"/>
    </xf>
    <xf numFmtId="3" fontId="21" fillId="25" borderId="95" xfId="0" applyNumberFormat="1" applyFont="1" applyFill="1" applyBorder="1" applyAlignment="1">
      <alignment horizontal="center"/>
    </xf>
    <xf numFmtId="3" fontId="21" fillId="25" borderId="116" xfId="0" applyNumberFormat="1" applyFont="1" applyFill="1" applyBorder="1" applyAlignment="1">
      <alignment horizontal="center"/>
    </xf>
    <xf numFmtId="3" fontId="21" fillId="25" borderId="115" xfId="0" applyNumberFormat="1" applyFont="1" applyFill="1" applyBorder="1" applyAlignment="1">
      <alignment horizontal="center"/>
    </xf>
    <xf numFmtId="3" fontId="21" fillId="25" borderId="102" xfId="0" applyNumberFormat="1" applyFont="1" applyFill="1" applyBorder="1" applyAlignment="1">
      <alignment horizontal="center"/>
    </xf>
    <xf numFmtId="3" fontId="21" fillId="25" borderId="12" xfId="0" applyNumberFormat="1" applyFont="1" applyFill="1" applyBorder="1" applyAlignment="1">
      <alignment horizontal="center"/>
    </xf>
    <xf numFmtId="3" fontId="21" fillId="25" borderId="13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left" vertical="top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/>
    </xf>
    <xf numFmtId="3" fontId="11" fillId="2" borderId="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top"/>
    </xf>
    <xf numFmtId="0" fontId="17" fillId="2" borderId="11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165" fontId="16" fillId="6" borderId="27" xfId="1" applyNumberFormat="1" applyFont="1" applyFill="1" applyBorder="1" applyAlignment="1" applyProtection="1">
      <alignment horizontal="center" vertical="center" wrapText="1"/>
    </xf>
    <xf numFmtId="165" fontId="16" fillId="6" borderId="28" xfId="1" applyNumberFormat="1" applyFont="1" applyFill="1" applyBorder="1" applyAlignment="1" applyProtection="1">
      <alignment horizontal="center" vertical="center" wrapText="1"/>
    </xf>
    <xf numFmtId="165" fontId="16" fillId="6" borderId="20" xfId="1" applyNumberFormat="1" applyFont="1" applyFill="1" applyBorder="1" applyAlignment="1" applyProtection="1">
      <alignment horizontal="center" vertical="center" wrapText="1"/>
    </xf>
    <xf numFmtId="165" fontId="16" fillId="6" borderId="29" xfId="1" applyNumberFormat="1" applyFont="1" applyFill="1" applyBorder="1" applyAlignment="1" applyProtection="1">
      <alignment horizontal="center" vertical="center" wrapText="1"/>
    </xf>
    <xf numFmtId="165" fontId="16" fillId="6" borderId="24" xfId="1" applyNumberFormat="1" applyFont="1" applyFill="1" applyBorder="1" applyAlignment="1" applyProtection="1">
      <alignment horizontal="center" vertical="center" wrapText="1"/>
    </xf>
    <xf numFmtId="0" fontId="19" fillId="0" borderId="32" xfId="0" applyFont="1" applyBorder="1" applyAlignment="1">
      <alignment horizontal="left" vertical="center"/>
    </xf>
    <xf numFmtId="0" fontId="15" fillId="10" borderId="24" xfId="0" applyFont="1" applyFill="1" applyBorder="1" applyAlignment="1">
      <alignment horizontal="center" vertical="center"/>
    </xf>
    <xf numFmtId="0" fontId="17" fillId="10" borderId="24" xfId="0" applyFont="1" applyFill="1" applyBorder="1" applyAlignment="1">
      <alignment horizontal="center" vertical="center" wrapText="1"/>
    </xf>
    <xf numFmtId="0" fontId="25" fillId="10" borderId="24" xfId="0" applyFont="1" applyFill="1" applyBorder="1" applyAlignment="1">
      <alignment horizontal="center" vertical="center"/>
    </xf>
    <xf numFmtId="0" fontId="17" fillId="12" borderId="24" xfId="0" applyFont="1" applyFill="1" applyBorder="1" applyAlignment="1">
      <alignment horizontal="center" vertical="top"/>
    </xf>
    <xf numFmtId="0" fontId="2" fillId="0" borderId="0" xfId="0" applyFont="1"/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7" fillId="5" borderId="50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3" fontId="17" fillId="5" borderId="50" xfId="0" applyNumberFormat="1" applyFont="1" applyFill="1" applyBorder="1" applyAlignment="1">
      <alignment horizontal="center" vertical="center"/>
    </xf>
    <xf numFmtId="3" fontId="17" fillId="5" borderId="2" xfId="0" applyNumberFormat="1" applyFont="1" applyFill="1" applyBorder="1" applyAlignment="1">
      <alignment horizontal="center" vertical="center"/>
    </xf>
    <xf numFmtId="3" fontId="17" fillId="5" borderId="50" xfId="0" applyNumberFormat="1" applyFont="1" applyFill="1" applyBorder="1" applyAlignment="1">
      <alignment horizontal="center" vertical="center" wrapText="1"/>
    </xf>
    <xf numFmtId="3" fontId="17" fillId="5" borderId="2" xfId="0" applyNumberFormat="1" applyFont="1" applyFill="1" applyBorder="1" applyAlignment="1">
      <alignment horizontal="center" vertical="center" wrapText="1"/>
    </xf>
    <xf numFmtId="3" fontId="17" fillId="5" borderId="18" xfId="0" applyNumberFormat="1" applyFont="1" applyFill="1" applyBorder="1" applyAlignment="1">
      <alignment horizontal="center" vertical="center" wrapText="1"/>
    </xf>
    <xf numFmtId="3" fontId="17" fillId="5" borderId="51" xfId="0" applyNumberFormat="1" applyFont="1" applyFill="1" applyBorder="1" applyAlignment="1">
      <alignment horizontal="center" vertical="center" wrapText="1"/>
    </xf>
    <xf numFmtId="3" fontId="17" fillId="5" borderId="52" xfId="0" applyNumberFormat="1" applyFont="1" applyFill="1" applyBorder="1" applyAlignment="1">
      <alignment horizontal="center" vertical="center" wrapText="1"/>
    </xf>
    <xf numFmtId="3" fontId="17" fillId="5" borderId="40" xfId="0" applyNumberFormat="1" applyFont="1" applyFill="1" applyBorder="1" applyAlignment="1">
      <alignment horizontal="center" vertical="center"/>
    </xf>
    <xf numFmtId="3" fontId="17" fillId="5" borderId="33" xfId="0" applyNumberFormat="1" applyFont="1" applyFill="1" applyBorder="1" applyAlignment="1">
      <alignment horizontal="center" vertical="center"/>
    </xf>
    <xf numFmtId="3" fontId="17" fillId="5" borderId="53" xfId="0" applyNumberFormat="1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3" fontId="17" fillId="5" borderId="40" xfId="0" applyNumberFormat="1" applyFont="1" applyFill="1" applyBorder="1" applyAlignment="1">
      <alignment horizontal="center" vertical="center" wrapText="1"/>
    </xf>
    <xf numFmtId="3" fontId="17" fillId="5" borderId="33" xfId="0" applyNumberFormat="1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/>
    </xf>
    <xf numFmtId="0" fontId="20" fillId="0" borderId="55" xfId="0" applyFont="1" applyBorder="1" applyAlignment="1">
      <alignment horizontal="left" vertical="center"/>
    </xf>
    <xf numFmtId="0" fontId="16" fillId="0" borderId="55" xfId="0" applyFont="1" applyBorder="1" applyAlignment="1">
      <alignment horizontal="left" vertical="center"/>
    </xf>
    <xf numFmtId="0" fontId="16" fillId="0" borderId="5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/>
    </xf>
    <xf numFmtId="5" fontId="33" fillId="0" borderId="9" xfId="0" applyNumberFormat="1" applyFont="1" applyBorder="1" applyAlignment="1">
      <alignment horizontal="center" vertical="center"/>
    </xf>
    <xf numFmtId="5" fontId="33" fillId="0" borderId="10" xfId="0" applyNumberFormat="1" applyFont="1" applyBorder="1" applyAlignment="1">
      <alignment horizontal="center" vertical="center"/>
    </xf>
    <xf numFmtId="5" fontId="33" fillId="0" borderId="4" xfId="0" applyNumberFormat="1" applyFont="1" applyBorder="1" applyAlignment="1">
      <alignment horizontal="center" vertical="center"/>
    </xf>
    <xf numFmtId="166" fontId="33" fillId="0" borderId="64" xfId="1" applyNumberFormat="1" applyFont="1" applyBorder="1" applyAlignment="1" applyProtection="1">
      <alignment horizontal="center" vertical="center"/>
    </xf>
    <xf numFmtId="166" fontId="33" fillId="0" borderId="13" xfId="1" applyNumberFormat="1" applyFont="1" applyBorder="1" applyAlignment="1" applyProtection="1">
      <alignment horizontal="center" vertical="center"/>
    </xf>
    <xf numFmtId="166" fontId="33" fillId="0" borderId="14" xfId="1" applyNumberFormat="1" applyFont="1" applyBorder="1" applyAlignment="1" applyProtection="1">
      <alignment horizontal="center" vertical="center"/>
    </xf>
    <xf numFmtId="166" fontId="33" fillId="0" borderId="60" xfId="1" applyNumberFormat="1" applyFont="1" applyBorder="1" applyAlignment="1" applyProtection="1">
      <alignment horizontal="center" vertical="center"/>
    </xf>
    <xf numFmtId="166" fontId="33" fillId="0" borderId="59" xfId="1" applyNumberFormat="1" applyFont="1" applyBorder="1" applyAlignment="1" applyProtection="1">
      <alignment horizontal="center" vertical="center"/>
    </xf>
    <xf numFmtId="166" fontId="33" fillId="0" borderId="63" xfId="1" applyNumberFormat="1" applyFont="1" applyBorder="1" applyAlignment="1" applyProtection="1">
      <alignment horizontal="center" vertical="center"/>
    </xf>
    <xf numFmtId="0" fontId="19" fillId="0" borderId="39" xfId="0" applyFont="1" applyBorder="1" applyAlignment="1">
      <alignment horizontal="left" vertical="center"/>
    </xf>
    <xf numFmtId="0" fontId="19" fillId="0" borderId="51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7" fillId="0" borderId="58" xfId="0" applyFont="1" applyBorder="1" applyAlignment="1">
      <alignment horizontal="left"/>
    </xf>
    <xf numFmtId="0" fontId="27" fillId="0" borderId="24" xfId="0" applyFont="1" applyBorder="1" applyAlignment="1">
      <alignment horizontal="left"/>
    </xf>
    <xf numFmtId="0" fontId="27" fillId="0" borderId="25" xfId="0" applyFont="1" applyBorder="1" applyAlignment="1">
      <alignment horizontal="left"/>
    </xf>
    <xf numFmtId="0" fontId="27" fillId="0" borderId="62" xfId="0" applyFont="1" applyBorder="1" applyAlignment="1">
      <alignment horizontal="left"/>
    </xf>
    <xf numFmtId="0" fontId="27" fillId="0" borderId="59" xfId="0" applyFont="1" applyBorder="1" applyAlignment="1">
      <alignment horizontal="left"/>
    </xf>
    <xf numFmtId="0" fontId="27" fillId="0" borderId="61" xfId="0" applyFont="1" applyBorder="1" applyAlignment="1">
      <alignment horizontal="left"/>
    </xf>
    <xf numFmtId="164" fontId="36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/>
    </xf>
    <xf numFmtId="0" fontId="38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left" vertical="top"/>
    </xf>
    <xf numFmtId="0" fontId="12" fillId="3" borderId="24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3" fontId="11" fillId="2" borderId="65" xfId="0" applyNumberFormat="1" applyFont="1" applyFill="1" applyBorder="1" applyAlignment="1">
      <alignment horizontal="center"/>
    </xf>
    <xf numFmtId="3" fontId="11" fillId="2" borderId="5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9" fillId="0" borderId="66" xfId="0" applyFont="1" applyBorder="1" applyAlignment="1">
      <alignment horizontal="left" vertical="center"/>
    </xf>
    <xf numFmtId="0" fontId="15" fillId="13" borderId="24" xfId="0" applyFont="1" applyFill="1" applyBorder="1" applyAlignment="1">
      <alignment horizontal="center" vertical="center"/>
    </xf>
    <xf numFmtId="0" fontId="17" fillId="13" borderId="24" xfId="0" applyFont="1" applyFill="1" applyBorder="1" applyAlignment="1">
      <alignment horizontal="center" vertical="center" wrapText="1"/>
    </xf>
    <xf numFmtId="0" fontId="17" fillId="12" borderId="25" xfId="0" applyFont="1" applyFill="1" applyBorder="1" applyAlignment="1">
      <alignment horizontal="center" vertical="top"/>
    </xf>
    <xf numFmtId="0" fontId="17" fillId="12" borderId="23" xfId="0" applyFont="1" applyFill="1" applyBorder="1" applyAlignment="1">
      <alignment horizontal="center" vertical="top"/>
    </xf>
    <xf numFmtId="17" fontId="21" fillId="15" borderId="38" xfId="0" applyNumberFormat="1" applyFont="1" applyFill="1" applyBorder="1" applyAlignment="1">
      <alignment horizontal="left" vertical="center" wrapText="1"/>
    </xf>
    <xf numFmtId="17" fontId="21" fillId="15" borderId="51" xfId="0" applyNumberFormat="1" applyFont="1" applyFill="1" applyBorder="1" applyAlignment="1">
      <alignment horizontal="left" vertical="center" wrapText="1"/>
    </xf>
    <xf numFmtId="17" fontId="21" fillId="15" borderId="56" xfId="0" applyNumberFormat="1" applyFont="1" applyFill="1" applyBorder="1" applyAlignment="1">
      <alignment horizontal="left" vertical="center" wrapText="1"/>
    </xf>
    <xf numFmtId="0" fontId="21" fillId="4" borderId="58" xfId="0" applyFont="1" applyFill="1" applyBorder="1" applyAlignment="1">
      <alignment horizontal="left" vertical="center" wrapText="1"/>
    </xf>
    <xf numFmtId="0" fontId="21" fillId="4" borderId="24" xfId="0" applyFont="1" applyFill="1" applyBorder="1" applyAlignment="1">
      <alignment horizontal="left" vertical="center" wrapText="1"/>
    </xf>
    <xf numFmtId="0" fontId="34" fillId="16" borderId="68" xfId="0" applyFont="1" applyFill="1" applyBorder="1" applyAlignment="1">
      <alignment horizontal="center" vertical="center" wrapText="1"/>
    </xf>
    <xf numFmtId="0" fontId="34" fillId="16" borderId="69" xfId="0" applyFont="1" applyFill="1" applyBorder="1" applyAlignment="1">
      <alignment horizontal="center" vertical="center" wrapText="1"/>
    </xf>
    <xf numFmtId="3" fontId="21" fillId="17" borderId="74" xfId="0" applyNumberFormat="1" applyFont="1" applyFill="1" applyBorder="1" applyAlignment="1">
      <alignment horizontal="left" vertical="top" wrapText="1"/>
    </xf>
    <xf numFmtId="0" fontId="21" fillId="17" borderId="75" xfId="0" applyFont="1" applyFill="1" applyBorder="1" applyAlignment="1">
      <alignment horizontal="left" vertical="top" wrapText="1"/>
    </xf>
    <xf numFmtId="0" fontId="40" fillId="4" borderId="24" xfId="0" applyFont="1" applyFill="1" applyBorder="1" applyAlignment="1">
      <alignment horizontal="center" vertical="center"/>
    </xf>
    <xf numFmtId="0" fontId="40" fillId="4" borderId="24" xfId="0" applyFont="1" applyFill="1" applyBorder="1" applyAlignment="1">
      <alignment horizontal="left" vertical="top" wrapText="1"/>
    </xf>
    <xf numFmtId="4" fontId="40" fillId="4" borderId="24" xfId="0" applyNumberFormat="1" applyFont="1" applyFill="1" applyBorder="1" applyAlignment="1">
      <alignment horizontal="center" vertical="top"/>
    </xf>
    <xf numFmtId="0" fontId="17" fillId="4" borderId="0" xfId="0" applyFont="1" applyFill="1" applyAlignment="1">
      <alignment horizontal="left" vertical="top" wrapText="1"/>
    </xf>
    <xf numFmtId="0" fontId="40" fillId="4" borderId="24" xfId="0" applyFont="1" applyFill="1" applyBorder="1" applyAlignment="1">
      <alignment horizontal="center" vertical="center" wrapText="1"/>
    </xf>
    <xf numFmtId="2" fontId="40" fillId="4" borderId="24" xfId="0" applyNumberFormat="1" applyFont="1" applyFill="1" applyBorder="1" applyAlignment="1">
      <alignment horizontal="center" vertical="top"/>
    </xf>
    <xf numFmtId="2" fontId="40" fillId="4" borderId="24" xfId="0" applyNumberFormat="1" applyFont="1" applyFill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left" vertical="top"/>
    </xf>
    <xf numFmtId="0" fontId="40" fillId="4" borderId="24" xfId="0" applyFont="1" applyFill="1" applyBorder="1" applyAlignment="1">
      <alignment horizontal="left" vertical="center"/>
    </xf>
    <xf numFmtId="4" fontId="40" fillId="4" borderId="24" xfId="0" applyNumberFormat="1" applyFont="1" applyFill="1" applyBorder="1" applyAlignment="1">
      <alignment horizontal="right" vertical="top"/>
    </xf>
    <xf numFmtId="0" fontId="21" fillId="4" borderId="79" xfId="0" applyFont="1" applyFill="1" applyBorder="1" applyAlignment="1">
      <alignment horizontal="left" vertical="center" wrapText="1"/>
    </xf>
    <xf numFmtId="0" fontId="21" fillId="4" borderId="30" xfId="0" applyFont="1" applyFill="1" applyBorder="1" applyAlignment="1">
      <alignment horizontal="left" vertical="center" wrapText="1"/>
    </xf>
    <xf numFmtId="0" fontId="34" fillId="16" borderId="24" xfId="0" applyFont="1" applyFill="1" applyBorder="1" applyAlignment="1">
      <alignment horizontal="center" vertical="center" wrapText="1"/>
    </xf>
    <xf numFmtId="3" fontId="21" fillId="17" borderId="24" xfId="0" applyNumberFormat="1" applyFont="1" applyFill="1" applyBorder="1" applyAlignment="1">
      <alignment horizontal="left" vertical="top" wrapText="1"/>
    </xf>
    <xf numFmtId="0" fontId="21" fillId="17" borderId="24" xfId="0" applyFont="1" applyFill="1" applyBorder="1" applyAlignment="1">
      <alignment horizontal="left" vertical="top" wrapText="1"/>
    </xf>
    <xf numFmtId="0" fontId="46" fillId="19" borderId="87" xfId="0" applyFont="1" applyFill="1" applyBorder="1" applyAlignment="1">
      <alignment horizontal="center"/>
    </xf>
    <xf numFmtId="0" fontId="46" fillId="19" borderId="88" xfId="0" applyFont="1" applyFill="1" applyBorder="1" applyAlignment="1">
      <alignment horizontal="center"/>
    </xf>
    <xf numFmtId="3" fontId="47" fillId="19" borderId="87" xfId="0" applyNumberFormat="1" applyFont="1" applyFill="1" applyBorder="1" applyAlignment="1">
      <alignment horizontal="center"/>
    </xf>
    <xf numFmtId="3" fontId="47" fillId="19" borderId="89" xfId="0" applyNumberFormat="1" applyFont="1" applyFill="1" applyBorder="1" applyAlignment="1">
      <alignment horizontal="center"/>
    </xf>
    <xf numFmtId="3" fontId="47" fillId="19" borderId="88" xfId="0" applyNumberFormat="1" applyFont="1" applyFill="1" applyBorder="1" applyAlignment="1">
      <alignment horizontal="center"/>
    </xf>
    <xf numFmtId="0" fontId="34" fillId="19" borderId="87" xfId="0" applyFont="1" applyFill="1" applyBorder="1" applyAlignment="1">
      <alignment horizontal="left" wrapText="1"/>
    </xf>
    <xf numFmtId="0" fontId="34" fillId="19" borderId="89" xfId="0" applyFont="1" applyFill="1" applyBorder="1" applyAlignment="1">
      <alignment horizontal="left" wrapText="1"/>
    </xf>
    <xf numFmtId="0" fontId="34" fillId="19" borderId="88" xfId="0" applyFont="1" applyFill="1" applyBorder="1" applyAlignment="1">
      <alignment horizontal="left" wrapText="1"/>
    </xf>
    <xf numFmtId="0" fontId="21" fillId="26" borderId="96" xfId="0" applyFont="1" applyFill="1" applyBorder="1" applyAlignment="1">
      <alignment horizontal="center" vertical="center" wrapText="1"/>
    </xf>
    <xf numFmtId="0" fontId="21" fillId="26" borderId="98" xfId="0" applyFont="1" applyFill="1" applyBorder="1" applyAlignment="1">
      <alignment horizontal="center" vertical="center" wrapText="1"/>
    </xf>
    <xf numFmtId="0" fontId="21" fillId="26" borderId="103" xfId="0" applyFont="1" applyFill="1" applyBorder="1" applyAlignment="1">
      <alignment horizontal="center" vertical="center" wrapText="1"/>
    </xf>
    <xf numFmtId="0" fontId="21" fillId="26" borderId="104" xfId="0" applyFont="1" applyFill="1" applyBorder="1" applyAlignment="1">
      <alignment horizontal="center" vertical="center" wrapText="1"/>
    </xf>
    <xf numFmtId="0" fontId="49" fillId="23" borderId="96" xfId="0" applyFont="1" applyFill="1" applyBorder="1" applyAlignment="1">
      <alignment horizontal="center" vertical="center" wrapText="1"/>
    </xf>
    <xf numFmtId="0" fontId="49" fillId="23" borderId="98" xfId="0" applyFont="1" applyFill="1" applyBorder="1" applyAlignment="1">
      <alignment horizontal="center" vertical="center" wrapText="1"/>
    </xf>
    <xf numFmtId="0" fontId="49" fillId="23" borderId="104" xfId="0" applyFont="1" applyFill="1" applyBorder="1" applyAlignment="1">
      <alignment horizontal="center" vertical="center" wrapText="1"/>
    </xf>
    <xf numFmtId="0" fontId="40" fillId="4" borderId="45" xfId="0" applyFont="1" applyFill="1" applyBorder="1" applyAlignment="1">
      <alignment horizontal="center" vertical="top"/>
    </xf>
    <xf numFmtId="0" fontId="40" fillId="4" borderId="24" xfId="0" applyFont="1" applyFill="1" applyBorder="1" applyAlignment="1">
      <alignment horizontal="center" vertical="top"/>
    </xf>
    <xf numFmtId="0" fontId="16" fillId="4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41" fillId="4" borderId="24" xfId="0" applyNumberFormat="1" applyFont="1" applyFill="1" applyBorder="1" applyAlignment="1">
      <alignment horizontal="right" vertical="top" wrapText="1"/>
    </xf>
  </cellXfs>
  <cellStyles count="2">
    <cellStyle name="Обычный" xfId="0" builtinId="0"/>
    <cellStyle name="Процентный" xfId="1" builtinId="5"/>
  </cellStyles>
  <dxfs count="187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1;&#1082;&#1086;&#1074;&#1077;&#1085;&#1082;&#1086;%20&#1040;.%20&#1050;.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ковенко А. К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68"/>
  <sheetViews>
    <sheetView showZeros="0" tabSelected="1" workbookViewId="0">
      <pane xSplit="3" topLeftCell="D1" activePane="topRight" state="frozen"/>
      <selection activeCell="F62" sqref="F62"/>
      <selection pane="topRight" activeCell="K62" sqref="K62"/>
    </sheetView>
  </sheetViews>
  <sheetFormatPr baseColWidth="10" defaultColWidth="9.1640625" defaultRowHeight="15"/>
  <cols>
    <col min="1" max="1" width="22" style="1" customWidth="1"/>
    <col min="2" max="2" width="10.33203125" style="2" customWidth="1"/>
    <col min="3" max="3" width="10.83203125" style="2" customWidth="1"/>
    <col min="4" max="4" width="17.1640625" style="2" customWidth="1"/>
    <col min="5" max="5" width="10.1640625" style="2" customWidth="1"/>
    <col min="6" max="6" width="11.33203125" style="2" customWidth="1"/>
    <col min="7" max="7" width="9.83203125" style="2" customWidth="1"/>
    <col min="8" max="8" width="9.5" style="2" customWidth="1"/>
    <col min="9" max="9" width="11" style="2" customWidth="1"/>
    <col min="10" max="10" width="8.83203125" style="2" customWidth="1"/>
    <col min="11" max="11" width="12.6640625" style="2" customWidth="1"/>
    <col min="12" max="12" width="11.5" style="2" customWidth="1"/>
    <col min="13" max="13" width="12.83203125" style="2" customWidth="1"/>
    <col min="14" max="14" width="11.6640625" style="2" customWidth="1"/>
    <col min="15" max="15" width="12.83203125" style="2" customWidth="1"/>
    <col min="16" max="16" width="10.33203125" style="2" customWidth="1"/>
    <col min="17" max="18" width="11.33203125" style="2" customWidth="1"/>
    <col min="19" max="19" width="11" style="3" customWidth="1"/>
    <col min="20" max="20" width="11.33203125" style="2" customWidth="1"/>
    <col min="21" max="21" width="9.1640625" style="2" bestFit="1" customWidth="1"/>
    <col min="22" max="23" width="10.5" style="2" customWidth="1"/>
    <col min="24" max="255" width="9.1640625" style="2" bestFit="1" customWidth="1"/>
  </cols>
  <sheetData>
    <row r="1" spans="1:23" ht="15.75" customHeight="1">
      <c r="A1" s="4"/>
      <c r="B1" s="502">
        <f ca="1">TODAY()-1</f>
        <v>45939</v>
      </c>
      <c r="C1" s="502"/>
      <c r="D1" s="5"/>
      <c r="E1" s="5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503"/>
      <c r="R1" s="503"/>
      <c r="S1" s="503"/>
      <c r="T1" s="503"/>
      <c r="U1" s="8"/>
      <c r="V1" s="6"/>
      <c r="W1" s="6"/>
    </row>
    <row r="2" spans="1:23" ht="21.75" customHeight="1">
      <c r="A2" s="4"/>
      <c r="B2" s="504" t="s">
        <v>0</v>
      </c>
      <c r="C2" s="504"/>
      <c r="D2" s="5"/>
      <c r="E2" s="5"/>
      <c r="F2" s="6"/>
      <c r="G2" s="6"/>
      <c r="H2" s="6"/>
      <c r="I2" s="6"/>
      <c r="J2" s="505"/>
      <c r="K2" s="505"/>
      <c r="L2" s="505"/>
      <c r="M2" s="505"/>
      <c r="N2" s="505"/>
      <c r="O2" s="505"/>
      <c r="P2" s="505"/>
      <c r="Q2" s="503"/>
      <c r="R2" s="503"/>
      <c r="S2" s="503"/>
      <c r="T2" s="503"/>
      <c r="U2" s="8"/>
      <c r="V2" s="6"/>
      <c r="W2" s="6"/>
    </row>
    <row r="3" spans="1:23" ht="14" customHeight="1">
      <c r="A3" s="4"/>
      <c r="B3" s="9"/>
      <c r="C3" s="10" t="s">
        <v>1</v>
      </c>
      <c r="D3" s="11"/>
      <c r="E3" s="11"/>
      <c r="F3" s="12"/>
      <c r="G3" s="12"/>
      <c r="H3" s="12"/>
      <c r="I3" s="506" t="str">
        <f>График!B3</f>
        <v>ул. Набережная Ленина, 18</v>
      </c>
      <c r="J3" s="507"/>
      <c r="K3" s="507"/>
      <c r="L3" s="507"/>
      <c r="M3" s="508"/>
      <c r="N3" s="7"/>
      <c r="O3" s="7"/>
      <c r="P3" s="13"/>
      <c r="Q3" s="503"/>
      <c r="R3" s="503"/>
      <c r="S3" s="503"/>
      <c r="T3" s="503"/>
      <c r="U3" s="8"/>
      <c r="V3" s="6"/>
      <c r="W3" s="6"/>
    </row>
    <row r="4" spans="1:23" ht="15" customHeight="1">
      <c r="A4" s="4"/>
      <c r="B4" s="5"/>
      <c r="C4" s="512">
        <f>I8-D56</f>
        <v>332372.91999999993</v>
      </c>
      <c r="D4" s="513"/>
      <c r="E4" s="14">
        <f>IF(I8&lt;&gt;0, C4/I8, 0)</f>
        <v>9.5873116418599261E-2</v>
      </c>
      <c r="F4" s="12"/>
      <c r="G4" s="12"/>
      <c r="H4" s="12"/>
      <c r="I4" s="509"/>
      <c r="J4" s="510"/>
      <c r="K4" s="510"/>
      <c r="L4" s="510"/>
      <c r="M4" s="511"/>
      <c r="N4" s="7"/>
      <c r="O4" s="6"/>
      <c r="P4" s="6"/>
      <c r="Q4" s="503"/>
      <c r="R4" s="503"/>
      <c r="S4" s="503"/>
      <c r="T4" s="503"/>
      <c r="U4" s="8"/>
      <c r="V4" s="6"/>
      <c r="W4" s="6"/>
    </row>
    <row r="5" spans="1:23">
      <c r="A5" s="4"/>
      <c r="B5" s="6"/>
      <c r="C5" s="6"/>
      <c r="D5" s="15" t="e">
        <f>C4/(I14-J14)</f>
        <v>#DIV/0!</v>
      </c>
      <c r="E5" s="6"/>
      <c r="F5" s="6"/>
      <c r="G5" s="6"/>
      <c r="H5" s="6"/>
      <c r="I5" s="6"/>
      <c r="J5" s="514"/>
      <c r="K5" s="514"/>
      <c r="L5" s="514"/>
      <c r="M5" s="514"/>
      <c r="N5" s="514"/>
      <c r="O5" s="6"/>
      <c r="P5" s="6"/>
      <c r="Q5" s="6"/>
      <c r="R5" s="6"/>
      <c r="S5" s="12"/>
      <c r="T5" s="6"/>
      <c r="U5" s="8"/>
      <c r="V5" s="6"/>
      <c r="W5" s="6"/>
    </row>
    <row r="6" spans="1:23" ht="15.75" customHeight="1">
      <c r="A6" s="4"/>
      <c r="B6" s="16"/>
      <c r="C6" s="6"/>
      <c r="D6" s="6"/>
      <c r="E6" s="6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0"/>
      <c r="S6" s="21"/>
      <c r="T6" s="6"/>
      <c r="U6" s="8"/>
      <c r="V6" s="6"/>
      <c r="W6" s="6"/>
    </row>
    <row r="7" spans="1:23" ht="50.75" customHeight="1">
      <c r="A7" s="4"/>
      <c r="B7" s="16"/>
      <c r="C7" s="16"/>
      <c r="D7" s="16"/>
      <c r="E7" s="6"/>
      <c r="F7" s="515" t="s">
        <v>3</v>
      </c>
      <c r="G7" s="516"/>
      <c r="H7" s="517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18" t="s">
        <v>11</v>
      </c>
      <c r="Q7" s="519"/>
      <c r="R7" s="20"/>
      <c r="S7" s="21"/>
      <c r="T7" s="6"/>
      <c r="U7" s="8"/>
      <c r="V7" s="6"/>
      <c r="W7" s="6"/>
    </row>
    <row r="8" spans="1:23" ht="15.75" customHeight="1">
      <c r="A8" s="4"/>
      <c r="B8" s="16"/>
      <c r="C8" s="16"/>
      <c r="D8" s="27"/>
      <c r="E8" s="6"/>
      <c r="F8" s="520" t="s">
        <v>12</v>
      </c>
      <c r="G8" s="521"/>
      <c r="H8" s="522"/>
      <c r="I8" s="28">
        <f>I11*I12*I13</f>
        <v>3466800</v>
      </c>
      <c r="J8" s="29">
        <f>D56</f>
        <v>3134427.08</v>
      </c>
      <c r="K8" s="30">
        <f>IF(AND(I8&lt;&gt;"",I8&lt;&gt;0,J8&lt;&gt;""),J8/I8,"")</f>
        <v>0.9041268835814007</v>
      </c>
      <c r="L8" s="31">
        <f>IF(SUMIF($D$25:$D$55,"&gt;=0",$P$25:$P$55)&lt;&gt;0,I8*D56/SUMIF($D$25:$D$55,"&gt;=0",$P$25:$P$55),0)</f>
        <v>3134427.0800000015</v>
      </c>
      <c r="M8" s="32">
        <f t="shared" ref="M8:M9" si="0">IF(AND(I8&lt;&gt;"", I8&lt;&gt;0, L8&lt;&gt;"", L8&lt;&gt;0), L8/I8, "")</f>
        <v>0.90412688358140114</v>
      </c>
      <c r="N8" s="33">
        <f t="shared" ref="N8:N9" si="1">IF(AND(J8&lt;&gt;0, J8&lt;&gt;"", I8&lt;&gt;0, I8&lt;&gt;""), L8-I8, "")</f>
        <v>-332372.91999999853</v>
      </c>
      <c r="O8" s="34"/>
      <c r="P8" s="35" t="str">
        <f t="shared" ref="P8:P9" si="2">IF(AND(O8&lt;&gt;"", O8&lt;&gt;0, L8&lt;&gt;"", L8&lt;&gt;0), -O8+L8, "")</f>
        <v/>
      </c>
      <c r="Q8" s="36" t="str">
        <f t="shared" ref="Q8:Q9" si="3">IF(AND(P8&lt;&gt;"", P8&lt;&gt;0, O8&lt;&gt;0, O8&lt;&gt;""), P8/O8, "")</f>
        <v/>
      </c>
      <c r="R8" s="20"/>
      <c r="S8" s="37"/>
      <c r="T8" s="6"/>
      <c r="U8" s="8"/>
      <c r="V8" s="6"/>
      <c r="W8" s="6"/>
    </row>
    <row r="9" spans="1:23" ht="15.75" customHeight="1">
      <c r="A9" s="4"/>
      <c r="B9" s="16"/>
      <c r="C9" s="16"/>
      <c r="D9" s="16"/>
      <c r="E9" s="6"/>
      <c r="F9" s="523" t="s">
        <v>13</v>
      </c>
      <c r="G9" s="524"/>
      <c r="H9" s="525"/>
      <c r="I9" s="38">
        <f>I8/I11</f>
        <v>577.79999999999995</v>
      </c>
      <c r="J9" s="39">
        <f>E56</f>
        <v>482</v>
      </c>
      <c r="K9" s="40">
        <f>IF(AND(I9&lt;&gt;"", I9&lt;&gt;0, J9&lt;&gt;""), J9/I9, "")</f>
        <v>0.83419868466597447</v>
      </c>
      <c r="L9" s="41">
        <f>IF(SUMIF($E$25:$E$55, "&gt;=0", $Q$25:$Q$55)&lt;&gt;0, I9*E56/SUMIF($E$25:$E$55, "&gt;=0", $Q$25:$Q$55), 0)</f>
        <v>481.99999999999972</v>
      </c>
      <c r="M9" s="42">
        <f t="shared" si="0"/>
        <v>0.83419868466597391</v>
      </c>
      <c r="N9" s="43">
        <f t="shared" si="1"/>
        <v>-95.800000000000239</v>
      </c>
      <c r="O9" s="44" t="e">
        <f>O8/O11</f>
        <v>#DIV/0!</v>
      </c>
      <c r="P9" s="43" t="e">
        <f t="shared" si="2"/>
        <v>#DIV/0!</v>
      </c>
      <c r="Q9" s="45" t="e">
        <f t="shared" si="3"/>
        <v>#DIV/0!</v>
      </c>
      <c r="R9" s="20"/>
      <c r="S9" s="37"/>
      <c r="T9" s="6"/>
      <c r="U9" s="8"/>
      <c r="V9" s="6"/>
      <c r="W9" s="6"/>
    </row>
    <row r="10" spans="1:23" ht="15.75" customHeight="1">
      <c r="A10" s="4"/>
      <c r="B10" s="16"/>
      <c r="C10" s="16"/>
      <c r="D10" s="16"/>
      <c r="E10" s="6"/>
      <c r="F10" s="520" t="s">
        <v>14</v>
      </c>
      <c r="G10" s="521"/>
      <c r="H10" s="522"/>
      <c r="I10" s="38">
        <f>I11*I12</f>
        <v>10800</v>
      </c>
      <c r="J10" s="46">
        <f>H56</f>
        <v>11481.417875457875</v>
      </c>
      <c r="K10" s="47">
        <f t="shared" ref="K10:K19" si="4">IF(AND(I10&lt;&gt;"", I10&lt;&gt;0, J10&lt;&gt;""), J10/I10, "")</f>
        <v>1.0630942477275811</v>
      </c>
      <c r="L10" s="41">
        <f>J10</f>
        <v>11481.417875457875</v>
      </c>
      <c r="M10" s="48">
        <f t="shared" ref="M10:M20" si="5">IF(AND(I10&lt;&gt;"", I10&lt;&gt;0, L10&lt;&gt;"", L10&lt;&gt;0), L10/I10, "")</f>
        <v>1.0630942477275811</v>
      </c>
      <c r="N10" s="49">
        <f t="shared" ref="N10:N20" si="6">IF(AND(J10&lt;&gt;0, J10&lt;&gt;"", I10&lt;&gt;0, I10&lt;&gt;""), L10-I10, "")</f>
        <v>681.4178754578752</v>
      </c>
      <c r="O10" s="50">
        <f>O11*O12</f>
        <v>0</v>
      </c>
      <c r="P10" s="49" t="str">
        <f t="shared" ref="P10:P20" si="7">IF(AND(O10&lt;&gt;"", O10&lt;&gt;0, L10&lt;&gt;"", L10&lt;&gt;0), -O10+L10, "")</f>
        <v/>
      </c>
      <c r="Q10" s="51" t="str">
        <f t="shared" ref="Q10:Q20" si="8">IF(AND(P10&lt;&gt;"", P10&lt;&gt;0, O10&lt;&gt;0, O10&lt;&gt;""), P10/O10, "")</f>
        <v/>
      </c>
      <c r="R10" s="20"/>
      <c r="S10" s="526" t="str">
        <f>L23</f>
        <v>IS</v>
      </c>
      <c r="T10" s="527"/>
      <c r="U10" s="8"/>
      <c r="V10" s="530" t="str">
        <f>M23</f>
        <v>Agafi</v>
      </c>
      <c r="W10" s="530"/>
    </row>
    <row r="11" spans="1:23" ht="15.75" customHeight="1">
      <c r="A11" s="4"/>
      <c r="B11" s="16"/>
      <c r="C11" s="16"/>
      <c r="D11" s="16"/>
      <c r="E11" s="6"/>
      <c r="F11" s="523" t="s">
        <v>15</v>
      </c>
      <c r="G11" s="524"/>
      <c r="H11" s="525"/>
      <c r="I11" s="52">
        <v>6000</v>
      </c>
      <c r="J11" s="39">
        <f>F56</f>
        <v>6502.9607468879667</v>
      </c>
      <c r="K11" s="40">
        <f t="shared" si="4"/>
        <v>1.0838267911479944</v>
      </c>
      <c r="L11" s="41">
        <f>IF(L9&gt;0, L8/L9, "")</f>
        <v>6502.960746887974</v>
      </c>
      <c r="M11" s="42">
        <f t="shared" si="5"/>
        <v>1.0838267911479957</v>
      </c>
      <c r="N11" s="43">
        <f t="shared" si="6"/>
        <v>502.96074688797398</v>
      </c>
      <c r="O11" s="53"/>
      <c r="P11" s="43" t="str">
        <f t="shared" si="7"/>
        <v/>
      </c>
      <c r="Q11" s="45" t="str">
        <f t="shared" si="8"/>
        <v/>
      </c>
      <c r="R11" s="20"/>
      <c r="S11" s="528"/>
      <c r="T11" s="529"/>
      <c r="U11" s="8"/>
      <c r="V11" s="530"/>
      <c r="W11" s="530"/>
    </row>
    <row r="12" spans="1:23" ht="15.75" customHeight="1">
      <c r="A12" s="4"/>
      <c r="B12" s="16"/>
      <c r="C12" s="6"/>
      <c r="D12" s="6"/>
      <c r="E12" s="6"/>
      <c r="F12" s="523" t="s">
        <v>16</v>
      </c>
      <c r="G12" s="524"/>
      <c r="H12" s="525"/>
      <c r="I12" s="54">
        <v>1.8</v>
      </c>
      <c r="J12" s="55">
        <f>J56</f>
        <v>1.7655677655677655</v>
      </c>
      <c r="K12" s="40">
        <f t="shared" si="4"/>
        <v>0.98087098087098079</v>
      </c>
      <c r="L12" s="56">
        <f>J12</f>
        <v>1.7655677655677655</v>
      </c>
      <c r="M12" s="42">
        <f t="shared" si="5"/>
        <v>0.98087098087098079</v>
      </c>
      <c r="N12" s="57">
        <f t="shared" si="6"/>
        <v>-3.4432234432234532E-2</v>
      </c>
      <c r="O12" s="58"/>
      <c r="P12" s="43" t="str">
        <f t="shared" si="7"/>
        <v/>
      </c>
      <c r="Q12" s="45" t="str">
        <f t="shared" si="8"/>
        <v/>
      </c>
      <c r="R12" s="20"/>
      <c r="S12" s="59">
        <v>510000</v>
      </c>
      <c r="T12" s="60">
        <f>L56</f>
        <v>167876</v>
      </c>
      <c r="U12" s="8"/>
      <c r="V12" s="59">
        <v>480000</v>
      </c>
      <c r="W12" s="60">
        <f>M56</f>
        <v>216811</v>
      </c>
    </row>
    <row r="13" spans="1:23" ht="15.75" customHeight="1">
      <c r="A13" s="4"/>
      <c r="B13" s="16"/>
      <c r="C13" s="6"/>
      <c r="D13" s="6"/>
      <c r="E13" s="6"/>
      <c r="F13" s="523" t="s">
        <v>17</v>
      </c>
      <c r="G13" s="524"/>
      <c r="H13" s="525"/>
      <c r="I13" s="38">
        <f>I17*I20</f>
        <v>321</v>
      </c>
      <c r="J13" s="39">
        <f>G56</f>
        <v>273</v>
      </c>
      <c r="K13" s="40">
        <f t="shared" si="4"/>
        <v>0.85046728971962615</v>
      </c>
      <c r="L13" s="41">
        <f>IF(SUMIF($G$25:$G$55, "&gt;=0", $R$25:$R$55)&lt;&gt;0, I13*G56/SUMIF($G$25:$G$55, "&gt;=0", $R$25:$R$55), "")</f>
        <v>273</v>
      </c>
      <c r="M13" s="42">
        <f t="shared" si="5"/>
        <v>0.85046728971962615</v>
      </c>
      <c r="N13" s="57">
        <f t="shared" si="6"/>
        <v>-48</v>
      </c>
      <c r="O13" s="61"/>
      <c r="P13" s="43" t="str">
        <f t="shared" si="7"/>
        <v/>
      </c>
      <c r="Q13" s="45" t="str">
        <f t="shared" si="8"/>
        <v/>
      </c>
      <c r="R13" s="20"/>
      <c r="S13" s="62">
        <f>T12/S12</f>
        <v>0.32916862745098041</v>
      </c>
      <c r="T13" s="62">
        <f>S13/J14*I14</f>
        <v>0.32916862745098041</v>
      </c>
      <c r="U13" s="63"/>
      <c r="V13" s="62">
        <f>W12/V12</f>
        <v>0.45168958333333331</v>
      </c>
      <c r="W13" s="62">
        <f>V13/J14*I14</f>
        <v>0.45168958333333331</v>
      </c>
    </row>
    <row r="14" spans="1:23" ht="15.75" customHeight="1">
      <c r="A14" s="4"/>
      <c r="B14" s="16"/>
      <c r="C14" s="6"/>
      <c r="D14" s="6"/>
      <c r="E14" s="6"/>
      <c r="F14" s="523" t="s">
        <v>18</v>
      </c>
      <c r="G14" s="524"/>
      <c r="H14" s="525"/>
      <c r="I14" s="52">
        <v>30</v>
      </c>
      <c r="J14" s="64">
        <v>30</v>
      </c>
      <c r="K14" s="40">
        <f t="shared" si="4"/>
        <v>1</v>
      </c>
      <c r="L14" s="41">
        <f>I14</f>
        <v>30</v>
      </c>
      <c r="M14" s="42">
        <f t="shared" si="5"/>
        <v>1</v>
      </c>
      <c r="N14" s="43">
        <f t="shared" si="6"/>
        <v>0</v>
      </c>
      <c r="O14" s="61"/>
      <c r="P14" s="43" t="str">
        <f t="shared" si="7"/>
        <v/>
      </c>
      <c r="Q14" s="45" t="str">
        <f t="shared" si="8"/>
        <v/>
      </c>
      <c r="R14" s="20"/>
      <c r="S14" s="65"/>
      <c r="T14" s="6"/>
      <c r="U14" s="8"/>
      <c r="V14" s="6"/>
      <c r="W14" s="6"/>
    </row>
    <row r="15" spans="1:23" ht="15.75" customHeight="1">
      <c r="A15" s="4"/>
      <c r="B15" s="16"/>
      <c r="C15" s="6"/>
      <c r="D15" s="6"/>
      <c r="E15" s="6"/>
      <c r="F15" s="523" t="s">
        <v>19</v>
      </c>
      <c r="G15" s="524"/>
      <c r="H15" s="525"/>
      <c r="I15" s="66">
        <f>I8/I14</f>
        <v>115560</v>
      </c>
      <c r="J15" s="67">
        <f>J8/J14</f>
        <v>104480.90266666668</v>
      </c>
      <c r="K15" s="68">
        <f t="shared" si="4"/>
        <v>0.90412688358140081</v>
      </c>
      <c r="L15" s="69">
        <f t="shared" ref="L15:L16" si="9">J15</f>
        <v>104480.90266666668</v>
      </c>
      <c r="M15" s="70">
        <f t="shared" si="5"/>
        <v>0.90412688358140081</v>
      </c>
      <c r="N15" s="43">
        <f t="shared" si="6"/>
        <v>-11079.097333333324</v>
      </c>
      <c r="O15" s="71"/>
      <c r="P15" s="43" t="str">
        <f t="shared" si="7"/>
        <v/>
      </c>
      <c r="Q15" s="45" t="str">
        <f t="shared" si="8"/>
        <v/>
      </c>
      <c r="R15" s="20"/>
      <c r="S15" s="37"/>
      <c r="T15" s="6"/>
      <c r="U15" s="8"/>
      <c r="V15" s="6"/>
      <c r="W15" s="6"/>
    </row>
    <row r="16" spans="1:23" ht="15.75" customHeight="1">
      <c r="A16" s="4"/>
      <c r="B16" s="16"/>
      <c r="C16" s="6"/>
      <c r="D16" s="6"/>
      <c r="E16" s="6"/>
      <c r="F16" s="523" t="s">
        <v>20</v>
      </c>
      <c r="G16" s="524"/>
      <c r="H16" s="525"/>
      <c r="I16" s="66"/>
      <c r="J16" s="67">
        <f>J8-I15*J14</f>
        <v>-332372.91999999993</v>
      </c>
      <c r="K16" s="68" t="str">
        <f t="shared" si="4"/>
        <v/>
      </c>
      <c r="L16" s="72">
        <f t="shared" si="9"/>
        <v>-332372.91999999993</v>
      </c>
      <c r="M16" s="73" t="str">
        <f t="shared" si="5"/>
        <v/>
      </c>
      <c r="N16" s="43" t="str">
        <f t="shared" si="6"/>
        <v/>
      </c>
      <c r="O16" s="71"/>
      <c r="P16" s="43" t="str">
        <f t="shared" si="7"/>
        <v/>
      </c>
      <c r="Q16" s="45" t="str">
        <f t="shared" si="8"/>
        <v/>
      </c>
      <c r="R16" s="20"/>
      <c r="S16" s="530" t="str">
        <f>K23</f>
        <v>UNOde50</v>
      </c>
      <c r="T16" s="530"/>
      <c r="U16" s="8"/>
      <c r="V16" s="6"/>
      <c r="W16" s="6"/>
    </row>
    <row r="17" spans="1:255" ht="15.75" customHeight="1">
      <c r="A17" s="4"/>
      <c r="B17" s="16"/>
      <c r="C17" s="6"/>
      <c r="D17" s="74"/>
      <c r="E17" s="6"/>
      <c r="F17" s="523" t="s">
        <v>21</v>
      </c>
      <c r="G17" s="524"/>
      <c r="H17" s="525"/>
      <c r="I17" s="75">
        <v>2140</v>
      </c>
      <c r="J17" s="67">
        <f>I56</f>
        <v>2186</v>
      </c>
      <c r="K17" s="68">
        <f t="shared" si="4"/>
        <v>1.0214953271028038</v>
      </c>
      <c r="L17" s="72">
        <f>J17/J14*I14</f>
        <v>2186</v>
      </c>
      <c r="M17" s="73">
        <f t="shared" si="5"/>
        <v>1.0214953271028038</v>
      </c>
      <c r="N17" s="43">
        <f t="shared" si="6"/>
        <v>46</v>
      </c>
      <c r="O17" s="71"/>
      <c r="P17" s="43" t="str">
        <f t="shared" si="7"/>
        <v/>
      </c>
      <c r="Q17" s="45" t="str">
        <f t="shared" si="8"/>
        <v/>
      </c>
      <c r="R17" s="20"/>
      <c r="S17" s="530"/>
      <c r="T17" s="530"/>
      <c r="U17" s="8"/>
      <c r="V17" s="6"/>
      <c r="W17" s="6"/>
    </row>
    <row r="18" spans="1:255" ht="15.75" customHeight="1">
      <c r="A18" s="4"/>
      <c r="B18" s="16"/>
      <c r="C18" s="6"/>
      <c r="D18" s="6"/>
      <c r="E18" s="6"/>
      <c r="F18" s="523"/>
      <c r="G18" s="524"/>
      <c r="H18" s="525"/>
      <c r="I18" s="76"/>
      <c r="J18" s="67"/>
      <c r="K18" s="77" t="str">
        <f t="shared" si="4"/>
        <v/>
      </c>
      <c r="L18" s="78">
        <f t="shared" ref="L18:L19" si="10">J18</f>
        <v>0</v>
      </c>
      <c r="M18" s="73" t="str">
        <f t="shared" si="5"/>
        <v/>
      </c>
      <c r="N18" s="43" t="str">
        <f t="shared" si="6"/>
        <v/>
      </c>
      <c r="O18" s="79">
        <v>0</v>
      </c>
      <c r="P18" s="43" t="str">
        <f t="shared" si="7"/>
        <v/>
      </c>
      <c r="Q18" s="45" t="str">
        <f t="shared" si="8"/>
        <v/>
      </c>
      <c r="R18" s="20"/>
      <c r="S18" s="59">
        <v>1020000</v>
      </c>
      <c r="T18" s="60">
        <f>K56</f>
        <v>779065</v>
      </c>
      <c r="U18" s="8"/>
      <c r="V18" s="6"/>
      <c r="W18" s="6"/>
    </row>
    <row r="19" spans="1:255" ht="15.75" customHeight="1">
      <c r="A19" s="4"/>
      <c r="B19" s="16"/>
      <c r="C19" s="6"/>
      <c r="D19" s="6"/>
      <c r="E19" s="6"/>
      <c r="F19" s="523"/>
      <c r="G19" s="524"/>
      <c r="H19" s="525"/>
      <c r="I19" s="76"/>
      <c r="J19" s="67"/>
      <c r="K19" s="77" t="str">
        <f t="shared" si="4"/>
        <v/>
      </c>
      <c r="L19" s="78">
        <f t="shared" si="10"/>
        <v>0</v>
      </c>
      <c r="M19" s="73" t="str">
        <f t="shared" si="5"/>
        <v/>
      </c>
      <c r="N19" s="43" t="str">
        <f t="shared" si="6"/>
        <v/>
      </c>
      <c r="O19" s="71">
        <v>0</v>
      </c>
      <c r="P19" s="43" t="str">
        <f t="shared" si="7"/>
        <v/>
      </c>
      <c r="Q19" s="45" t="str">
        <f t="shared" si="8"/>
        <v/>
      </c>
      <c r="R19" s="20"/>
      <c r="S19" s="62">
        <f>T18/S18</f>
        <v>0.76378921568627456</v>
      </c>
      <c r="T19" s="62">
        <f>S19/J14*I14</f>
        <v>0.76378921568627456</v>
      </c>
      <c r="U19" s="63"/>
      <c r="V19" s="6"/>
      <c r="W19" s="6"/>
    </row>
    <row r="20" spans="1:255" ht="15.75" customHeight="1">
      <c r="A20" s="4"/>
      <c r="B20" s="16"/>
      <c r="C20" s="6"/>
      <c r="D20" s="6"/>
      <c r="E20" s="6"/>
      <c r="F20" s="531" t="s">
        <v>22</v>
      </c>
      <c r="G20" s="531"/>
      <c r="H20" s="531"/>
      <c r="I20" s="80">
        <v>0.15</v>
      </c>
      <c r="J20" s="81">
        <f>N56</f>
        <v>0.12488563586459286</v>
      </c>
      <c r="K20" s="81">
        <f>J20/I20</f>
        <v>0.83257090576395243</v>
      </c>
      <c r="L20" s="82">
        <f>IF(AND(K8&lt;&gt;0, I14&lt;&gt;0, I56&lt;&gt;0), (I56*N56+(I56/K8-I56)*I20)/(I56/K8), 0)</f>
        <v>0.12729342822112585</v>
      </c>
      <c r="M20" s="83">
        <f t="shared" si="5"/>
        <v>0.84862285480750577</v>
      </c>
      <c r="N20" s="84">
        <f t="shared" si="6"/>
        <v>-2.2706571778874141E-2</v>
      </c>
      <c r="O20" s="85"/>
      <c r="P20" s="86" t="str">
        <f t="shared" si="7"/>
        <v/>
      </c>
      <c r="Q20" s="87" t="str">
        <f t="shared" si="8"/>
        <v/>
      </c>
      <c r="R20" s="20"/>
      <c r="S20" s="21"/>
      <c r="T20" s="6"/>
      <c r="U20" s="8"/>
      <c r="V20" s="6"/>
      <c r="W20" s="6"/>
    </row>
    <row r="21" spans="1:255" ht="15.75" customHeight="1">
      <c r="A21" s="4"/>
      <c r="B21" s="16"/>
      <c r="C21" s="6"/>
      <c r="D21" s="88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0"/>
      <c r="S21" s="21"/>
      <c r="T21" s="6"/>
      <c r="U21" s="8"/>
      <c r="V21" s="6"/>
      <c r="W21" s="6"/>
    </row>
    <row r="22" spans="1:255" ht="21" customHeight="1">
      <c r="A22" s="532" t="s">
        <v>23</v>
      </c>
      <c r="B22" s="532"/>
      <c r="C22" s="532"/>
      <c r="D22" s="532"/>
      <c r="E22" s="532"/>
      <c r="F22" s="532"/>
      <c r="G22" s="532"/>
      <c r="H22" s="532"/>
      <c r="I22" s="532"/>
      <c r="J22" s="532"/>
      <c r="K22" s="532"/>
      <c r="L22" s="532"/>
      <c r="M22" s="532"/>
      <c r="N22" s="532"/>
      <c r="O22" s="533" t="s">
        <v>24</v>
      </c>
      <c r="P22" s="532" t="s">
        <v>25</v>
      </c>
      <c r="Q22" s="532"/>
      <c r="R22" s="532"/>
      <c r="S22" s="532"/>
      <c r="T22" s="532"/>
      <c r="U22" s="532"/>
      <c r="V22" s="532"/>
      <c r="W22" s="532"/>
    </row>
    <row r="23" spans="1:255" ht="36">
      <c r="A23" s="534" t="s">
        <v>26</v>
      </c>
      <c r="B23" s="89" t="s">
        <v>27</v>
      </c>
      <c r="C23" s="89" t="s">
        <v>28</v>
      </c>
      <c r="D23" s="89" t="s">
        <v>29</v>
      </c>
      <c r="E23" s="89" t="s">
        <v>30</v>
      </c>
      <c r="F23" s="89" t="s">
        <v>31</v>
      </c>
      <c r="G23" s="89" t="s">
        <v>32</v>
      </c>
      <c r="H23" s="89" t="s">
        <v>33</v>
      </c>
      <c r="I23" s="89" t="s">
        <v>21</v>
      </c>
      <c r="J23" s="89" t="s">
        <v>34</v>
      </c>
      <c r="K23" s="90" t="s">
        <v>35</v>
      </c>
      <c r="L23" s="90" t="s">
        <v>36</v>
      </c>
      <c r="M23" s="90" t="s">
        <v>37</v>
      </c>
      <c r="N23" s="89" t="s">
        <v>38</v>
      </c>
      <c r="O23" s="533"/>
      <c r="P23" s="89" t="s">
        <v>39</v>
      </c>
      <c r="Q23" s="89" t="s">
        <v>40</v>
      </c>
      <c r="R23" s="89" t="s">
        <v>41</v>
      </c>
      <c r="S23" s="89" t="s">
        <v>42</v>
      </c>
      <c r="T23" s="89" t="s">
        <v>43</v>
      </c>
      <c r="U23" s="89" t="s">
        <v>44</v>
      </c>
      <c r="V23" s="91" t="s">
        <v>45</v>
      </c>
      <c r="W23" s="91" t="s">
        <v>46</v>
      </c>
      <c r="X23" s="92"/>
    </row>
    <row r="24" spans="1:255">
      <c r="A24" s="534"/>
      <c r="B24" s="93">
        <v>1</v>
      </c>
      <c r="C24" s="93">
        <v>2</v>
      </c>
      <c r="D24" s="93">
        <v>3</v>
      </c>
      <c r="E24" s="93">
        <v>4</v>
      </c>
      <c r="F24" s="93">
        <v>5</v>
      </c>
      <c r="G24" s="93">
        <v>6</v>
      </c>
      <c r="H24" s="93">
        <v>7</v>
      </c>
      <c r="I24" s="93">
        <v>8</v>
      </c>
      <c r="J24" s="93">
        <v>9</v>
      </c>
      <c r="K24" s="93">
        <v>10</v>
      </c>
      <c r="L24" s="93">
        <v>11</v>
      </c>
      <c r="M24" s="93">
        <v>12</v>
      </c>
      <c r="N24" s="93">
        <v>13</v>
      </c>
      <c r="O24" s="533"/>
      <c r="P24" s="94">
        <v>1</v>
      </c>
      <c r="Q24" s="94">
        <v>2</v>
      </c>
      <c r="R24" s="94">
        <v>3</v>
      </c>
      <c r="S24" s="94">
        <v>4</v>
      </c>
      <c r="T24" s="94">
        <v>5</v>
      </c>
      <c r="U24" s="94">
        <v>6</v>
      </c>
      <c r="V24" s="94">
        <v>10</v>
      </c>
      <c r="W24" s="94">
        <v>11</v>
      </c>
    </row>
    <row r="25" spans="1:255">
      <c r="A25" s="95" t="s">
        <v>47</v>
      </c>
      <c r="B25" s="96">
        <v>45901</v>
      </c>
      <c r="C25" s="97" t="s">
        <v>48</v>
      </c>
      <c r="D25" s="98">
        <f>50580+17748+32073</f>
        <v>100401</v>
      </c>
      <c r="E25" s="99">
        <v>14</v>
      </c>
      <c r="F25" s="99">
        <f t="shared" ref="F25:F55" si="11">IF(AND(E25&lt;&gt;"",E25&lt;&gt;0),D25/E25,"")</f>
        <v>7171.5</v>
      </c>
      <c r="G25" s="99">
        <v>8</v>
      </c>
      <c r="H25" s="99">
        <f t="shared" ref="H25:H55" si="12">IF(AND(G25&lt;&gt;"",G25&lt;&gt;0),D25/G25,"")</f>
        <v>12550.125</v>
      </c>
      <c r="I25" s="99">
        <v>101</v>
      </c>
      <c r="J25" s="98">
        <f t="shared" ref="J25:J55" si="13">IF(AND(G25&lt;&gt;"",G25&lt;&gt;0),E25/G25,"")</f>
        <v>1.75</v>
      </c>
      <c r="K25" s="99">
        <v>17748</v>
      </c>
      <c r="L25" s="99"/>
      <c r="M25" s="99">
        <v>32073</v>
      </c>
      <c r="N25" s="100">
        <f t="shared" ref="N25:N55" si="14">IF(AND(I25&lt;&gt;"",I25&lt;&gt;0),G25/I25,"")</f>
        <v>7.9207920792079209E-2</v>
      </c>
      <c r="O25" s="101">
        <f t="shared" ref="O25:O56" si="15">D25/P25</f>
        <v>0.77522328522347173</v>
      </c>
      <c r="P25" s="102">
        <f t="shared" ref="P25:P55" si="16">$I$8*V25*W25/SUMPRODUCT($W$25:$W$55,$V$25:$V$55)</f>
        <v>129512.36361670644</v>
      </c>
      <c r="Q25" s="103">
        <f t="shared" ref="Q25:Q55" si="17">$I$9*V25*W25/SUMPRODUCT($W$25:$W$55,$V$25:$V$55)</f>
        <v>21.585393936117736</v>
      </c>
      <c r="R25" s="103">
        <f t="shared" ref="R25:R55" si="18">IF($I$12="","",Q25/$I$12)</f>
        <v>11.991885520065409</v>
      </c>
      <c r="S25" s="102">
        <f>IF(D25&lt;&gt;"",D25,P25)</f>
        <v>100401</v>
      </c>
      <c r="T25" s="103">
        <f>IF(E25&lt;&gt;"",E25,Q25)</f>
        <v>14</v>
      </c>
      <c r="U25" s="103">
        <f>IF(G25&lt;&gt;"",G25,R25)</f>
        <v>8</v>
      </c>
      <c r="V25" s="104">
        <v>0.9414554019711151</v>
      </c>
      <c r="W25" s="104">
        <v>0.9414554019711151</v>
      </c>
      <c r="X25" s="105"/>
      <c r="Y25" s="106"/>
    </row>
    <row r="26" spans="1:255">
      <c r="A26" s="95" t="s">
        <v>47</v>
      </c>
      <c r="B26" s="96">
        <v>45902</v>
      </c>
      <c r="C26" s="97" t="s">
        <v>49</v>
      </c>
      <c r="D26" s="98">
        <f>10690+13590+27659+42784</f>
        <v>94723</v>
      </c>
      <c r="E26" s="99">
        <v>16</v>
      </c>
      <c r="F26" s="99">
        <f t="shared" si="11"/>
        <v>5920.1875</v>
      </c>
      <c r="G26" s="99">
        <v>11</v>
      </c>
      <c r="H26" s="99">
        <f t="shared" si="12"/>
        <v>8611.181818181818</v>
      </c>
      <c r="I26" s="99">
        <v>77</v>
      </c>
      <c r="J26" s="98">
        <f t="shared" si="13"/>
        <v>1.4545454545454546</v>
      </c>
      <c r="K26" s="99">
        <v>10690</v>
      </c>
      <c r="L26" s="99"/>
      <c r="M26" s="99">
        <v>13590</v>
      </c>
      <c r="N26" s="100">
        <f t="shared" si="14"/>
        <v>0.14285714285714285</v>
      </c>
      <c r="O26" s="101">
        <f t="shared" si="15"/>
        <v>0.89072051519610052</v>
      </c>
      <c r="P26" s="102">
        <f t="shared" si="16"/>
        <v>106344.24422024886</v>
      </c>
      <c r="Q26" s="103">
        <f t="shared" si="17"/>
        <v>17.724040703374811</v>
      </c>
      <c r="R26" s="103">
        <f t="shared" si="18"/>
        <v>9.8466892796526722</v>
      </c>
      <c r="S26" s="102">
        <f t="shared" ref="S26:S55" si="19">IF(W26&lt;&gt;"",IF(D26&lt;&gt;"",D26,($I$8-SUM($S$25:S25))*V26*W26/SUMPRODUCT($W26:$W$55,$V26:$V$55)),"")</f>
        <v>94723</v>
      </c>
      <c r="T26" s="103">
        <f t="shared" ref="T26:T55" si="20">IF(W26&lt;&gt;"",IF(E26&lt;&gt;"",E26,($I$9-SUM($T$25:T25))*V26*W26/SUMPRODUCT($W26:$W$55,$V26:$V$55)),"")</f>
        <v>16</v>
      </c>
      <c r="U26" s="103">
        <f t="shared" ref="U26:U55" si="21">IF(W26&lt;&gt;"",IF(E26&lt;&gt;"",E26,($I$9-SUM($T$25:T25))*V26*W26/SUMPRODUCT($W26:$W$55,$V26:$V$55)),"")</f>
        <v>16</v>
      </c>
      <c r="V26" s="104">
        <v>0.85310233682514103</v>
      </c>
      <c r="W26" s="104">
        <v>0.85310233682514103</v>
      </c>
      <c r="X26" s="107"/>
      <c r="Y26" s="106"/>
    </row>
    <row r="27" spans="1:255">
      <c r="A27" s="95" t="s">
        <v>47</v>
      </c>
      <c r="B27" s="96">
        <v>45903</v>
      </c>
      <c r="C27" s="97" t="s">
        <v>50</v>
      </c>
      <c r="D27" s="98">
        <f>148210+31329.6+36942</f>
        <v>216481.6</v>
      </c>
      <c r="E27" s="108">
        <v>24</v>
      </c>
      <c r="F27" s="99">
        <f t="shared" si="11"/>
        <v>9020.0666666666675</v>
      </c>
      <c r="G27" s="108">
        <v>14</v>
      </c>
      <c r="H27" s="99">
        <f t="shared" si="12"/>
        <v>15462.971428571429</v>
      </c>
      <c r="I27" s="108">
        <v>78</v>
      </c>
      <c r="J27" s="98">
        <f t="shared" si="13"/>
        <v>1.7142857142857142</v>
      </c>
      <c r="K27" s="99">
        <v>148210</v>
      </c>
      <c r="L27" s="99"/>
      <c r="M27" s="99"/>
      <c r="N27" s="100">
        <f t="shared" si="14"/>
        <v>0.17948717948717949</v>
      </c>
      <c r="O27" s="101">
        <f t="shared" si="15"/>
        <v>2.0356682356183415</v>
      </c>
      <c r="P27" s="102">
        <f t="shared" si="16"/>
        <v>106344.24422024886</v>
      </c>
      <c r="Q27" s="103">
        <f t="shared" si="17"/>
        <v>17.724040703374811</v>
      </c>
      <c r="R27" s="103">
        <f t="shared" si="18"/>
        <v>9.8466892796526722</v>
      </c>
      <c r="S27" s="102">
        <f t="shared" si="19"/>
        <v>216481.6</v>
      </c>
      <c r="T27" s="103">
        <f t="shared" si="20"/>
        <v>24</v>
      </c>
      <c r="U27" s="103">
        <f t="shared" si="21"/>
        <v>24</v>
      </c>
      <c r="V27" s="104">
        <v>0.85310233682514103</v>
      </c>
      <c r="W27" s="104">
        <v>0.85310233682514103</v>
      </c>
      <c r="X27" s="107"/>
      <c r="Y27" s="106"/>
    </row>
    <row r="28" spans="1:255">
      <c r="A28" s="95" t="s">
        <v>51</v>
      </c>
      <c r="B28" s="96">
        <v>45904</v>
      </c>
      <c r="C28" s="97" t="s">
        <v>52</v>
      </c>
      <c r="D28" s="98">
        <f>55851+7492+51423</f>
        <v>114766</v>
      </c>
      <c r="E28" s="99">
        <v>16</v>
      </c>
      <c r="F28" s="99">
        <f t="shared" si="11"/>
        <v>7172.875</v>
      </c>
      <c r="G28" s="99">
        <v>11</v>
      </c>
      <c r="H28" s="99">
        <f t="shared" si="12"/>
        <v>10433.272727272728</v>
      </c>
      <c r="I28" s="99">
        <v>86</v>
      </c>
      <c r="J28" s="98">
        <f t="shared" si="13"/>
        <v>1.4545454545454546</v>
      </c>
      <c r="K28" s="99">
        <v>55851</v>
      </c>
      <c r="L28" s="99"/>
      <c r="M28" s="99">
        <v>7492</v>
      </c>
      <c r="N28" s="100">
        <f t="shared" si="14"/>
        <v>0.12790697674418605</v>
      </c>
      <c r="O28" s="101">
        <f t="shared" si="15"/>
        <v>1.079193338967259</v>
      </c>
      <c r="P28" s="102">
        <f t="shared" si="16"/>
        <v>106344.24422024886</v>
      </c>
      <c r="Q28" s="103">
        <f t="shared" si="17"/>
        <v>17.724040703374811</v>
      </c>
      <c r="R28" s="103">
        <f t="shared" si="18"/>
        <v>9.8466892796526722</v>
      </c>
      <c r="S28" s="102">
        <f t="shared" si="19"/>
        <v>114766</v>
      </c>
      <c r="T28" s="103">
        <f t="shared" si="20"/>
        <v>16</v>
      </c>
      <c r="U28" s="103">
        <f t="shared" si="21"/>
        <v>16</v>
      </c>
      <c r="V28" s="104">
        <v>0.85310233682514103</v>
      </c>
      <c r="W28" s="104">
        <v>0.85310233682514103</v>
      </c>
      <c r="X28" s="107"/>
      <c r="Y28" s="109"/>
    </row>
    <row r="29" spans="1:255" s="110" customFormat="1">
      <c r="A29" s="111" t="s">
        <v>53</v>
      </c>
      <c r="B29" s="112">
        <v>45905</v>
      </c>
      <c r="C29" s="113" t="s">
        <v>54</v>
      </c>
      <c r="D29" s="114">
        <f>9903+41351</f>
        <v>51254</v>
      </c>
      <c r="E29" s="115">
        <v>7</v>
      </c>
      <c r="F29" s="115">
        <f t="shared" si="11"/>
        <v>7322</v>
      </c>
      <c r="G29" s="115">
        <v>6</v>
      </c>
      <c r="H29" s="115">
        <f t="shared" si="12"/>
        <v>8542.3333333333339</v>
      </c>
      <c r="I29" s="115">
        <v>65</v>
      </c>
      <c r="J29" s="114">
        <f t="shared" si="13"/>
        <v>1.1666666666666667</v>
      </c>
      <c r="K29" s="115"/>
      <c r="L29" s="115">
        <v>9903</v>
      </c>
      <c r="M29" s="115"/>
      <c r="N29" s="116">
        <f t="shared" si="14"/>
        <v>9.2307692307692313E-2</v>
      </c>
      <c r="O29" s="117">
        <f t="shared" si="15"/>
        <v>0.48548765059779059</v>
      </c>
      <c r="P29" s="118">
        <f t="shared" si="16"/>
        <v>105572.2013461927</v>
      </c>
      <c r="Q29" s="119">
        <f t="shared" si="17"/>
        <v>17.595366891032111</v>
      </c>
      <c r="R29" s="119">
        <f t="shared" si="18"/>
        <v>9.775203828351172</v>
      </c>
      <c r="S29" s="118">
        <f t="shared" si="19"/>
        <v>51254</v>
      </c>
      <c r="T29" s="119">
        <f t="shared" si="20"/>
        <v>7</v>
      </c>
      <c r="U29" s="119">
        <f t="shared" si="21"/>
        <v>7</v>
      </c>
      <c r="V29" s="120">
        <v>0.85</v>
      </c>
      <c r="W29" s="120">
        <v>0.85</v>
      </c>
      <c r="X29" s="121"/>
      <c r="Y29" s="122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  <c r="CO29" s="123"/>
      <c r="CP29" s="123"/>
      <c r="CQ29" s="123"/>
      <c r="CR29" s="123"/>
      <c r="CS29" s="123"/>
      <c r="CT29" s="123"/>
      <c r="CU29" s="123"/>
      <c r="CV29" s="123"/>
      <c r="CW29" s="123"/>
      <c r="CX29" s="123"/>
      <c r="CY29" s="123"/>
      <c r="CZ29" s="123"/>
      <c r="DA29" s="123"/>
      <c r="DB29" s="123"/>
      <c r="DC29" s="123"/>
      <c r="DD29" s="123"/>
      <c r="DE29" s="123"/>
      <c r="DF29" s="123"/>
      <c r="DG29" s="123"/>
      <c r="DH29" s="123"/>
      <c r="DI29" s="123"/>
      <c r="DJ29" s="123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U29" s="123"/>
      <c r="DV29" s="123"/>
      <c r="DW29" s="123"/>
      <c r="DX29" s="123"/>
      <c r="DY29" s="123"/>
      <c r="DZ29" s="123"/>
      <c r="EA29" s="123"/>
      <c r="EB29" s="123"/>
      <c r="EC29" s="123"/>
      <c r="ED29" s="123"/>
      <c r="EE29" s="123"/>
      <c r="EF29" s="123"/>
      <c r="EG29" s="123"/>
      <c r="EH29" s="123"/>
      <c r="EI29" s="123"/>
      <c r="EJ29" s="123"/>
      <c r="EK29" s="123"/>
      <c r="EL29" s="123"/>
      <c r="EM29" s="123"/>
      <c r="EN29" s="123"/>
      <c r="EO29" s="123"/>
      <c r="EP29" s="123"/>
      <c r="EQ29" s="123"/>
      <c r="ER29" s="123"/>
      <c r="ES29" s="123"/>
      <c r="ET29" s="123"/>
      <c r="EU29" s="123"/>
      <c r="EV29" s="123"/>
      <c r="EW29" s="123"/>
      <c r="EX29" s="123"/>
      <c r="EY29" s="123"/>
      <c r="EZ29" s="123"/>
      <c r="FA29" s="123"/>
      <c r="FB29" s="123"/>
      <c r="FC29" s="123"/>
      <c r="FD29" s="123"/>
      <c r="FE29" s="123"/>
      <c r="FF29" s="123"/>
      <c r="FG29" s="123"/>
      <c r="FH29" s="123"/>
      <c r="FI29" s="123"/>
      <c r="FJ29" s="123"/>
      <c r="FK29" s="123"/>
      <c r="FL29" s="123"/>
      <c r="FM29" s="123"/>
      <c r="FN29" s="123"/>
      <c r="FO29" s="123"/>
      <c r="FP29" s="123"/>
      <c r="FQ29" s="123"/>
      <c r="FR29" s="123"/>
      <c r="FS29" s="123"/>
      <c r="FT29" s="123"/>
      <c r="FU29" s="123"/>
      <c r="FV29" s="123"/>
      <c r="FW29" s="123"/>
      <c r="FX29" s="123"/>
      <c r="FY29" s="123"/>
      <c r="FZ29" s="123"/>
      <c r="GA29" s="123"/>
      <c r="GB29" s="123"/>
      <c r="GC29" s="123"/>
      <c r="GD29" s="123"/>
      <c r="GE29" s="123"/>
      <c r="GF29" s="123"/>
      <c r="GG29" s="123"/>
      <c r="GH29" s="123"/>
      <c r="GI29" s="123"/>
      <c r="GJ29" s="123"/>
      <c r="GK29" s="123"/>
      <c r="GL29" s="123"/>
      <c r="GM29" s="123"/>
      <c r="GN29" s="123"/>
      <c r="GO29" s="123"/>
      <c r="GP29" s="123"/>
      <c r="GQ29" s="123"/>
      <c r="GR29" s="123"/>
      <c r="GS29" s="123"/>
      <c r="GT29" s="123"/>
      <c r="GU29" s="123"/>
      <c r="GV29" s="123"/>
      <c r="GW29" s="123"/>
      <c r="GX29" s="123"/>
      <c r="GY29" s="123"/>
      <c r="GZ29" s="123"/>
      <c r="HA29" s="123"/>
      <c r="HB29" s="123"/>
      <c r="HC29" s="123"/>
      <c r="HD29" s="123"/>
      <c r="HE29" s="123"/>
      <c r="HF29" s="123"/>
      <c r="HG29" s="123"/>
      <c r="HH29" s="123"/>
      <c r="HI29" s="123"/>
      <c r="HJ29" s="123"/>
      <c r="HK29" s="123"/>
      <c r="HL29" s="123"/>
      <c r="HM29" s="123"/>
      <c r="HN29" s="123"/>
      <c r="HO29" s="123"/>
      <c r="HP29" s="123"/>
      <c r="HQ29" s="123"/>
      <c r="HR29" s="123"/>
      <c r="HS29" s="123"/>
      <c r="HT29" s="123"/>
      <c r="HU29" s="123"/>
      <c r="HV29" s="123"/>
      <c r="HW29" s="123"/>
      <c r="HX29" s="123"/>
      <c r="HY29" s="123"/>
      <c r="HZ29" s="123"/>
      <c r="IA29" s="123"/>
      <c r="IB29" s="123"/>
      <c r="IC29" s="123"/>
      <c r="ID29" s="123"/>
      <c r="IE29" s="123"/>
      <c r="IF29" s="123"/>
      <c r="IG29" s="123"/>
      <c r="IH29" s="123"/>
      <c r="II29" s="123"/>
      <c r="IJ29" s="123"/>
      <c r="IK29" s="123"/>
      <c r="IL29" s="123"/>
      <c r="IM29" s="123"/>
      <c r="IN29" s="123"/>
      <c r="IO29" s="123"/>
      <c r="IP29" s="123"/>
      <c r="IQ29" s="123"/>
      <c r="IR29" s="123"/>
      <c r="IS29" s="123"/>
      <c r="IT29" s="123"/>
      <c r="IU29" s="123"/>
    </row>
    <row r="30" spans="1:255" s="124" customFormat="1">
      <c r="A30" s="111" t="s">
        <v>53</v>
      </c>
      <c r="B30" s="112">
        <v>45906</v>
      </c>
      <c r="C30" s="113" t="s">
        <v>55</v>
      </c>
      <c r="D30" s="114">
        <v>44165</v>
      </c>
      <c r="E30" s="115">
        <v>8</v>
      </c>
      <c r="F30" s="115">
        <f t="shared" si="11"/>
        <v>5520.625</v>
      </c>
      <c r="G30" s="115">
        <v>5</v>
      </c>
      <c r="H30" s="115">
        <f t="shared" si="12"/>
        <v>8833</v>
      </c>
      <c r="I30" s="115">
        <v>50</v>
      </c>
      <c r="J30" s="114">
        <f t="shared" si="13"/>
        <v>1.6</v>
      </c>
      <c r="K30" s="115">
        <v>11992</v>
      </c>
      <c r="L30" s="115"/>
      <c r="M30" s="115"/>
      <c r="N30" s="116">
        <f t="shared" si="14"/>
        <v>0.1</v>
      </c>
      <c r="O30" s="117">
        <f t="shared" si="15"/>
        <v>0.3022501387023579</v>
      </c>
      <c r="P30" s="118">
        <f t="shared" si="16"/>
        <v>146120.69390476498</v>
      </c>
      <c r="Q30" s="119">
        <f t="shared" si="17"/>
        <v>24.353448984127493</v>
      </c>
      <c r="R30" s="119">
        <f t="shared" si="18"/>
        <v>13.529693880070829</v>
      </c>
      <c r="S30" s="118">
        <f t="shared" si="19"/>
        <v>44165</v>
      </c>
      <c r="T30" s="119">
        <f t="shared" si="20"/>
        <v>8</v>
      </c>
      <c r="U30" s="119">
        <f t="shared" si="21"/>
        <v>8</v>
      </c>
      <c r="V30" s="120">
        <v>1</v>
      </c>
      <c r="W30" s="120">
        <v>1</v>
      </c>
      <c r="X30" s="121"/>
      <c r="Y30" s="122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3"/>
      <c r="BO30" s="123"/>
      <c r="BP30" s="123"/>
      <c r="BQ30" s="123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  <c r="CO30" s="123"/>
      <c r="CP30" s="123"/>
      <c r="CQ30" s="123"/>
      <c r="CR30" s="123"/>
      <c r="CS30" s="123"/>
      <c r="CT30" s="123"/>
      <c r="CU30" s="123"/>
      <c r="CV30" s="123"/>
      <c r="CW30" s="123"/>
      <c r="CX30" s="123"/>
      <c r="CY30" s="123"/>
      <c r="CZ30" s="123"/>
      <c r="DA30" s="123"/>
      <c r="DB30" s="123"/>
      <c r="DC30" s="123"/>
      <c r="DD30" s="123"/>
      <c r="DE30" s="123"/>
      <c r="DF30" s="123"/>
      <c r="DG30" s="123"/>
      <c r="DH30" s="123"/>
      <c r="DI30" s="123"/>
      <c r="DJ30" s="123"/>
      <c r="DK30" s="123"/>
      <c r="DL30" s="123"/>
      <c r="DM30" s="123"/>
      <c r="DN30" s="123"/>
      <c r="DO30" s="123"/>
      <c r="DP30" s="123"/>
      <c r="DQ30" s="123"/>
      <c r="DR30" s="123"/>
      <c r="DS30" s="123"/>
      <c r="DT30" s="123"/>
      <c r="DU30" s="123"/>
      <c r="DV30" s="123"/>
      <c r="DW30" s="123"/>
      <c r="DX30" s="123"/>
      <c r="DY30" s="123"/>
      <c r="DZ30" s="123"/>
      <c r="EA30" s="123"/>
      <c r="EB30" s="123"/>
      <c r="EC30" s="123"/>
      <c r="ED30" s="123"/>
      <c r="EE30" s="123"/>
      <c r="EF30" s="123"/>
      <c r="EG30" s="123"/>
      <c r="EH30" s="123"/>
      <c r="EI30" s="123"/>
      <c r="EJ30" s="123"/>
      <c r="EK30" s="123"/>
      <c r="EL30" s="123"/>
      <c r="EM30" s="123"/>
      <c r="EN30" s="123"/>
      <c r="EO30" s="123"/>
      <c r="EP30" s="123"/>
      <c r="EQ30" s="123"/>
      <c r="ER30" s="123"/>
      <c r="ES30" s="123"/>
      <c r="ET30" s="123"/>
      <c r="EU30" s="123"/>
      <c r="EV30" s="123"/>
      <c r="EW30" s="123"/>
      <c r="EX30" s="123"/>
      <c r="EY30" s="123"/>
      <c r="EZ30" s="123"/>
      <c r="FA30" s="123"/>
      <c r="FB30" s="123"/>
      <c r="FC30" s="123"/>
      <c r="FD30" s="123"/>
      <c r="FE30" s="123"/>
      <c r="FF30" s="123"/>
      <c r="FG30" s="123"/>
      <c r="FH30" s="123"/>
      <c r="FI30" s="123"/>
      <c r="FJ30" s="123"/>
      <c r="FK30" s="123"/>
      <c r="FL30" s="123"/>
      <c r="FM30" s="123"/>
      <c r="FN30" s="123"/>
      <c r="FO30" s="123"/>
      <c r="FP30" s="123"/>
      <c r="FQ30" s="123"/>
      <c r="FR30" s="123"/>
      <c r="FS30" s="123"/>
      <c r="FT30" s="123"/>
      <c r="FU30" s="123"/>
      <c r="FV30" s="123"/>
      <c r="FW30" s="123"/>
      <c r="FX30" s="123"/>
      <c r="FY30" s="123"/>
      <c r="FZ30" s="123"/>
      <c r="GA30" s="123"/>
      <c r="GB30" s="123"/>
      <c r="GC30" s="123"/>
      <c r="GD30" s="123"/>
      <c r="GE30" s="123"/>
      <c r="GF30" s="123"/>
      <c r="GG30" s="123"/>
      <c r="GH30" s="123"/>
      <c r="GI30" s="123"/>
      <c r="GJ30" s="123"/>
      <c r="GK30" s="123"/>
      <c r="GL30" s="123"/>
      <c r="GM30" s="123"/>
      <c r="GN30" s="123"/>
      <c r="GO30" s="123"/>
      <c r="GP30" s="123"/>
      <c r="GQ30" s="123"/>
      <c r="GR30" s="123"/>
      <c r="GS30" s="123"/>
      <c r="GT30" s="123"/>
      <c r="GU30" s="123"/>
      <c r="GV30" s="123"/>
      <c r="GW30" s="123"/>
      <c r="GX30" s="123"/>
      <c r="GY30" s="123"/>
      <c r="GZ30" s="123"/>
      <c r="HA30" s="123"/>
      <c r="HB30" s="123"/>
      <c r="HC30" s="123"/>
      <c r="HD30" s="123"/>
      <c r="HE30" s="123"/>
      <c r="HF30" s="123"/>
      <c r="HG30" s="123"/>
      <c r="HH30" s="123"/>
      <c r="HI30" s="123"/>
      <c r="HJ30" s="123"/>
      <c r="HK30" s="123"/>
      <c r="HL30" s="123"/>
      <c r="HM30" s="123"/>
      <c r="HN30" s="123"/>
      <c r="HO30" s="123"/>
      <c r="HP30" s="123"/>
      <c r="HQ30" s="123"/>
      <c r="HR30" s="123"/>
      <c r="HS30" s="123"/>
      <c r="HT30" s="123"/>
      <c r="HU30" s="123"/>
      <c r="HV30" s="123"/>
      <c r="HW30" s="123"/>
      <c r="HX30" s="123"/>
      <c r="HY30" s="123"/>
      <c r="HZ30" s="123"/>
      <c r="IA30" s="123"/>
      <c r="IB30" s="123"/>
      <c r="IC30" s="123"/>
      <c r="ID30" s="123"/>
      <c r="IE30" s="123"/>
      <c r="IF30" s="123"/>
      <c r="IG30" s="123"/>
      <c r="IH30" s="123"/>
      <c r="II30" s="123"/>
      <c r="IJ30" s="123"/>
      <c r="IK30" s="123"/>
      <c r="IL30" s="123"/>
      <c r="IM30" s="123"/>
      <c r="IN30" s="123"/>
      <c r="IO30" s="123"/>
      <c r="IP30" s="123"/>
      <c r="IQ30" s="123"/>
      <c r="IR30" s="123"/>
      <c r="IS30" s="123"/>
      <c r="IT30" s="123"/>
      <c r="IU30" s="123"/>
    </row>
    <row r="31" spans="1:255" s="124" customFormat="1">
      <c r="A31" s="111" t="s">
        <v>47</v>
      </c>
      <c r="B31" s="112">
        <v>45907</v>
      </c>
      <c r="C31" s="113" t="s">
        <v>56</v>
      </c>
      <c r="D31" s="114">
        <v>29958</v>
      </c>
      <c r="E31" s="115">
        <v>5</v>
      </c>
      <c r="F31" s="115">
        <f t="shared" si="11"/>
        <v>5991.6</v>
      </c>
      <c r="G31" s="115">
        <v>3</v>
      </c>
      <c r="H31" s="115">
        <f t="shared" si="12"/>
        <v>9986</v>
      </c>
      <c r="I31" s="115">
        <v>45</v>
      </c>
      <c r="J31" s="114">
        <f t="shared" si="13"/>
        <v>1.6666666666666667</v>
      </c>
      <c r="K31" s="115"/>
      <c r="L31" s="115"/>
      <c r="M31" s="115"/>
      <c r="N31" s="116">
        <f t="shared" si="14"/>
        <v>6.6666666666666666E-2</v>
      </c>
      <c r="O31" s="117">
        <f t="shared" si="15"/>
        <v>0.20502229492234209</v>
      </c>
      <c r="P31" s="118">
        <f t="shared" si="16"/>
        <v>146120.69390476498</v>
      </c>
      <c r="Q31" s="119">
        <f t="shared" si="17"/>
        <v>24.353448984127493</v>
      </c>
      <c r="R31" s="119">
        <f t="shared" si="18"/>
        <v>13.529693880070829</v>
      </c>
      <c r="S31" s="118">
        <f t="shared" si="19"/>
        <v>29958</v>
      </c>
      <c r="T31" s="119">
        <f t="shared" si="20"/>
        <v>5</v>
      </c>
      <c r="U31" s="119">
        <f t="shared" si="21"/>
        <v>5</v>
      </c>
      <c r="V31" s="120">
        <v>1</v>
      </c>
      <c r="W31" s="120">
        <v>1</v>
      </c>
      <c r="X31" s="121"/>
      <c r="Y31" s="122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3"/>
      <c r="BJ31" s="123"/>
      <c r="BK31" s="123"/>
      <c r="BL31" s="123"/>
      <c r="BM31" s="123"/>
      <c r="BN31" s="123"/>
      <c r="BO31" s="123"/>
      <c r="BP31" s="123"/>
      <c r="BQ31" s="123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  <c r="CN31" s="123"/>
      <c r="CO31" s="123"/>
      <c r="CP31" s="123"/>
      <c r="CQ31" s="123"/>
      <c r="CR31" s="123"/>
      <c r="CS31" s="123"/>
      <c r="CT31" s="123"/>
      <c r="CU31" s="123"/>
      <c r="CV31" s="123"/>
      <c r="CW31" s="123"/>
      <c r="CX31" s="123"/>
      <c r="CY31" s="123"/>
      <c r="CZ31" s="123"/>
      <c r="DA31" s="123"/>
      <c r="DB31" s="123"/>
      <c r="DC31" s="123"/>
      <c r="DD31" s="123"/>
      <c r="DE31" s="123"/>
      <c r="DF31" s="123"/>
      <c r="DG31" s="123"/>
      <c r="DH31" s="123"/>
      <c r="DI31" s="123"/>
      <c r="DJ31" s="123"/>
      <c r="DK31" s="123"/>
      <c r="DL31" s="123"/>
      <c r="DM31" s="123"/>
      <c r="DN31" s="123"/>
      <c r="DO31" s="123"/>
      <c r="DP31" s="123"/>
      <c r="DQ31" s="123"/>
      <c r="DR31" s="123"/>
      <c r="DS31" s="123"/>
      <c r="DT31" s="123"/>
      <c r="DU31" s="123"/>
      <c r="DV31" s="123"/>
      <c r="DW31" s="123"/>
      <c r="DX31" s="123"/>
      <c r="DY31" s="123"/>
      <c r="DZ31" s="123"/>
      <c r="EA31" s="123"/>
      <c r="EB31" s="123"/>
      <c r="EC31" s="123"/>
      <c r="ED31" s="123"/>
      <c r="EE31" s="123"/>
      <c r="EF31" s="123"/>
      <c r="EG31" s="123"/>
      <c r="EH31" s="123"/>
      <c r="EI31" s="123"/>
      <c r="EJ31" s="123"/>
      <c r="EK31" s="123"/>
      <c r="EL31" s="123"/>
      <c r="EM31" s="123"/>
      <c r="EN31" s="123"/>
      <c r="EO31" s="123"/>
      <c r="EP31" s="123"/>
      <c r="EQ31" s="123"/>
      <c r="ER31" s="123"/>
      <c r="ES31" s="123"/>
      <c r="ET31" s="123"/>
      <c r="EU31" s="123"/>
      <c r="EV31" s="123"/>
      <c r="EW31" s="123"/>
      <c r="EX31" s="123"/>
      <c r="EY31" s="123"/>
      <c r="EZ31" s="123"/>
      <c r="FA31" s="123"/>
      <c r="FB31" s="123"/>
      <c r="FC31" s="123"/>
      <c r="FD31" s="123"/>
      <c r="FE31" s="123"/>
      <c r="FF31" s="123"/>
      <c r="FG31" s="123"/>
      <c r="FH31" s="123"/>
      <c r="FI31" s="123"/>
      <c r="FJ31" s="123"/>
      <c r="FK31" s="123"/>
      <c r="FL31" s="123"/>
      <c r="FM31" s="123"/>
      <c r="FN31" s="123"/>
      <c r="FO31" s="123"/>
      <c r="FP31" s="123"/>
      <c r="FQ31" s="123"/>
      <c r="FR31" s="123"/>
      <c r="FS31" s="123"/>
      <c r="FT31" s="123"/>
      <c r="FU31" s="123"/>
      <c r="FV31" s="123"/>
      <c r="FW31" s="123"/>
      <c r="FX31" s="123"/>
      <c r="FY31" s="123"/>
      <c r="FZ31" s="123"/>
      <c r="GA31" s="123"/>
      <c r="GB31" s="123"/>
      <c r="GC31" s="123"/>
      <c r="GD31" s="123"/>
      <c r="GE31" s="123"/>
      <c r="GF31" s="123"/>
      <c r="GG31" s="123"/>
      <c r="GH31" s="123"/>
      <c r="GI31" s="123"/>
      <c r="GJ31" s="123"/>
      <c r="GK31" s="123"/>
      <c r="GL31" s="123"/>
      <c r="GM31" s="123"/>
      <c r="GN31" s="123"/>
      <c r="GO31" s="123"/>
      <c r="GP31" s="123"/>
      <c r="GQ31" s="123"/>
      <c r="GR31" s="123"/>
      <c r="GS31" s="123"/>
      <c r="GT31" s="123"/>
      <c r="GU31" s="123"/>
      <c r="GV31" s="123"/>
      <c r="GW31" s="123"/>
      <c r="GX31" s="123"/>
      <c r="GY31" s="123"/>
      <c r="GZ31" s="123"/>
      <c r="HA31" s="123"/>
      <c r="HB31" s="123"/>
      <c r="HC31" s="123"/>
      <c r="HD31" s="123"/>
      <c r="HE31" s="123"/>
      <c r="HF31" s="123"/>
      <c r="HG31" s="123"/>
      <c r="HH31" s="123"/>
      <c r="HI31" s="123"/>
      <c r="HJ31" s="123"/>
      <c r="HK31" s="123"/>
      <c r="HL31" s="123"/>
      <c r="HM31" s="123"/>
      <c r="HN31" s="123"/>
      <c r="HO31" s="123"/>
      <c r="HP31" s="123"/>
      <c r="HQ31" s="123"/>
      <c r="HR31" s="123"/>
      <c r="HS31" s="123"/>
      <c r="HT31" s="123"/>
      <c r="HU31" s="123"/>
      <c r="HV31" s="123"/>
      <c r="HW31" s="123"/>
      <c r="HX31" s="123"/>
      <c r="HY31" s="123"/>
      <c r="HZ31" s="123"/>
      <c r="IA31" s="123"/>
      <c r="IB31" s="123"/>
      <c r="IC31" s="123"/>
      <c r="ID31" s="123"/>
      <c r="IE31" s="123"/>
      <c r="IF31" s="123"/>
      <c r="IG31" s="123"/>
      <c r="IH31" s="123"/>
      <c r="II31" s="123"/>
      <c r="IJ31" s="123"/>
      <c r="IK31" s="123"/>
      <c r="IL31" s="123"/>
      <c r="IM31" s="123"/>
      <c r="IN31" s="123"/>
      <c r="IO31" s="123"/>
      <c r="IP31" s="123"/>
      <c r="IQ31" s="123"/>
      <c r="IR31" s="123"/>
      <c r="IS31" s="123"/>
      <c r="IT31" s="123"/>
      <c r="IU31" s="123"/>
    </row>
    <row r="32" spans="1:255">
      <c r="A32" s="95" t="s">
        <v>47</v>
      </c>
      <c r="B32" s="96">
        <v>45908</v>
      </c>
      <c r="C32" s="97" t="s">
        <v>48</v>
      </c>
      <c r="D32" s="98">
        <f>83956+10903+14292+39335+65862</f>
        <v>214348</v>
      </c>
      <c r="E32" s="99">
        <v>28</v>
      </c>
      <c r="F32" s="99">
        <f t="shared" si="11"/>
        <v>7655.2857142857147</v>
      </c>
      <c r="G32" s="99">
        <v>16</v>
      </c>
      <c r="H32" s="99">
        <f t="shared" si="12"/>
        <v>13396.75</v>
      </c>
      <c r="I32" s="125">
        <v>100</v>
      </c>
      <c r="J32" s="98">
        <f t="shared" si="13"/>
        <v>1.75</v>
      </c>
      <c r="K32" s="99">
        <v>83956</v>
      </c>
      <c r="L32" s="99">
        <v>10903</v>
      </c>
      <c r="M32" s="99">
        <v>14292</v>
      </c>
      <c r="N32" s="100">
        <f t="shared" si="14"/>
        <v>0.16</v>
      </c>
      <c r="O32" s="101">
        <f t="shared" si="15"/>
        <v>2.015605090540352</v>
      </c>
      <c r="P32" s="102">
        <f t="shared" si="16"/>
        <v>106344.24422024886</v>
      </c>
      <c r="Q32" s="103">
        <f t="shared" si="17"/>
        <v>17.724040703374811</v>
      </c>
      <c r="R32" s="103">
        <f t="shared" si="18"/>
        <v>9.8466892796526722</v>
      </c>
      <c r="S32" s="102">
        <f t="shared" si="19"/>
        <v>214348</v>
      </c>
      <c r="T32" s="103">
        <f t="shared" si="20"/>
        <v>28</v>
      </c>
      <c r="U32" s="103">
        <f t="shared" si="21"/>
        <v>28</v>
      </c>
      <c r="V32" s="104">
        <v>0.85310233682514103</v>
      </c>
      <c r="W32" s="104">
        <v>0.85310233682514103</v>
      </c>
      <c r="X32" s="107"/>
      <c r="Y32" s="106"/>
    </row>
    <row r="33" spans="1:255">
      <c r="A33" s="95" t="s">
        <v>51</v>
      </c>
      <c r="B33" s="96">
        <v>45909</v>
      </c>
      <c r="C33" s="97" t="s">
        <v>49</v>
      </c>
      <c r="D33" s="98">
        <f>24992+65099+23902</f>
        <v>113993</v>
      </c>
      <c r="E33" s="99">
        <v>17</v>
      </c>
      <c r="F33" s="99">
        <f t="shared" si="11"/>
        <v>6705.4705882352937</v>
      </c>
      <c r="G33" s="99">
        <v>13</v>
      </c>
      <c r="H33" s="99">
        <f t="shared" si="12"/>
        <v>8768.6923076923085</v>
      </c>
      <c r="I33" s="125">
        <v>80</v>
      </c>
      <c r="J33" s="98">
        <f t="shared" si="13"/>
        <v>1.3076923076923077</v>
      </c>
      <c r="K33" s="99">
        <v>24992</v>
      </c>
      <c r="L33" s="99">
        <v>23902</v>
      </c>
      <c r="M33" s="99"/>
      <c r="N33" s="100">
        <f t="shared" si="14"/>
        <v>0.16250000000000001</v>
      </c>
      <c r="O33" s="101">
        <f t="shared" si="15"/>
        <v>1.0719244923487334</v>
      </c>
      <c r="P33" s="102">
        <f t="shared" si="16"/>
        <v>106344.24422024886</v>
      </c>
      <c r="Q33" s="103">
        <f t="shared" si="17"/>
        <v>17.724040703374811</v>
      </c>
      <c r="R33" s="103">
        <f t="shared" si="18"/>
        <v>9.8466892796526722</v>
      </c>
      <c r="S33" s="102">
        <f t="shared" si="19"/>
        <v>113993</v>
      </c>
      <c r="T33" s="103">
        <f t="shared" si="20"/>
        <v>17</v>
      </c>
      <c r="U33" s="103">
        <f t="shared" si="21"/>
        <v>17</v>
      </c>
      <c r="V33" s="104">
        <v>0.85310233682514103</v>
      </c>
      <c r="W33" s="104">
        <v>0.85310233682514103</v>
      </c>
      <c r="X33" s="107"/>
      <c r="Y33" s="106"/>
    </row>
    <row r="34" spans="1:255">
      <c r="A34" s="95" t="s">
        <v>47</v>
      </c>
      <c r="B34" s="96">
        <v>45910</v>
      </c>
      <c r="C34" s="97" t="s">
        <v>50</v>
      </c>
      <c r="D34" s="98">
        <f>9992+4892+16403+7990+28243</f>
        <v>67520</v>
      </c>
      <c r="E34" s="99">
        <v>13</v>
      </c>
      <c r="F34" s="99">
        <f t="shared" si="11"/>
        <v>5193.8461538461543</v>
      </c>
      <c r="G34" s="99">
        <v>7</v>
      </c>
      <c r="H34" s="99">
        <f t="shared" si="12"/>
        <v>9645.7142857142862</v>
      </c>
      <c r="I34" s="99">
        <f>13+74</f>
        <v>87</v>
      </c>
      <c r="J34" s="98">
        <f t="shared" si="13"/>
        <v>1.8571428571428572</v>
      </c>
      <c r="K34" s="99">
        <v>17982</v>
      </c>
      <c r="L34" s="99">
        <v>16403</v>
      </c>
      <c r="M34" s="99"/>
      <c r="N34" s="100">
        <f t="shared" si="14"/>
        <v>8.0459770114942528E-2</v>
      </c>
      <c r="O34" s="101">
        <f t="shared" si="15"/>
        <v>0.6349191768212652</v>
      </c>
      <c r="P34" s="102">
        <f t="shared" si="16"/>
        <v>106344.24422024886</v>
      </c>
      <c r="Q34" s="103">
        <f t="shared" si="17"/>
        <v>17.724040703374811</v>
      </c>
      <c r="R34" s="103">
        <f t="shared" si="18"/>
        <v>9.8466892796526722</v>
      </c>
      <c r="S34" s="102">
        <f t="shared" si="19"/>
        <v>67520</v>
      </c>
      <c r="T34" s="103">
        <f t="shared" si="20"/>
        <v>13</v>
      </c>
      <c r="U34" s="103">
        <f t="shared" si="21"/>
        <v>13</v>
      </c>
      <c r="V34" s="104">
        <v>0.85310233682514103</v>
      </c>
      <c r="W34" s="104">
        <v>0.85310233682514103</v>
      </c>
      <c r="X34" s="107"/>
      <c r="Y34" s="106"/>
    </row>
    <row r="35" spans="1:255">
      <c r="A35" s="95" t="s">
        <v>47</v>
      </c>
      <c r="B35" s="96">
        <v>45911</v>
      </c>
      <c r="C35" s="97" t="s">
        <v>52</v>
      </c>
      <c r="D35" s="98">
        <v>149353</v>
      </c>
      <c r="E35" s="99">
        <v>17</v>
      </c>
      <c r="F35" s="99">
        <f t="shared" si="11"/>
        <v>8785.4705882352937</v>
      </c>
      <c r="G35" s="99">
        <v>6</v>
      </c>
      <c r="H35" s="99">
        <f t="shared" si="12"/>
        <v>24892.166666666668</v>
      </c>
      <c r="I35" s="99">
        <f>12+79</f>
        <v>91</v>
      </c>
      <c r="J35" s="98">
        <f t="shared" si="13"/>
        <v>2.8333333333333335</v>
      </c>
      <c r="K35" s="99">
        <v>70336</v>
      </c>
      <c r="L35" s="99"/>
      <c r="M35" s="99"/>
      <c r="N35" s="100">
        <f t="shared" si="14"/>
        <v>6.5934065934065936E-2</v>
      </c>
      <c r="O35" s="101">
        <f t="shared" si="15"/>
        <v>1.4044295588830928</v>
      </c>
      <c r="P35" s="102">
        <f t="shared" si="16"/>
        <v>106344.24422024886</v>
      </c>
      <c r="Q35" s="103">
        <f t="shared" si="17"/>
        <v>17.724040703374811</v>
      </c>
      <c r="R35" s="103">
        <f t="shared" si="18"/>
        <v>9.8466892796526722</v>
      </c>
      <c r="S35" s="102">
        <f t="shared" si="19"/>
        <v>149353</v>
      </c>
      <c r="T35" s="103">
        <f t="shared" si="20"/>
        <v>17</v>
      </c>
      <c r="U35" s="103">
        <f t="shared" si="21"/>
        <v>17</v>
      </c>
      <c r="V35" s="104">
        <v>0.85310233682514103</v>
      </c>
      <c r="W35" s="104">
        <v>0.85310233682514103</v>
      </c>
      <c r="X35" s="107"/>
      <c r="Y35" s="106"/>
    </row>
    <row r="36" spans="1:255" s="124" customFormat="1">
      <c r="A36" s="111" t="s">
        <v>51</v>
      </c>
      <c r="B36" s="112">
        <v>45912</v>
      </c>
      <c r="C36" s="113" t="s">
        <v>54</v>
      </c>
      <c r="D36" s="114">
        <f>109604+20000+32175+102415</f>
        <v>264194</v>
      </c>
      <c r="E36" s="126">
        <v>31</v>
      </c>
      <c r="F36" s="115">
        <f t="shared" si="11"/>
        <v>8522.3870967741932</v>
      </c>
      <c r="G36" s="115">
        <v>20</v>
      </c>
      <c r="H36" s="115">
        <f t="shared" si="12"/>
        <v>13209.7</v>
      </c>
      <c r="I36" s="115">
        <v>131</v>
      </c>
      <c r="J36" s="114">
        <f t="shared" si="13"/>
        <v>1.55</v>
      </c>
      <c r="K36" s="115">
        <v>109604</v>
      </c>
      <c r="L36" s="115">
        <v>20000</v>
      </c>
      <c r="M36" s="115">
        <v>32175</v>
      </c>
      <c r="N36" s="116">
        <f t="shared" si="14"/>
        <v>0.15267175572519084</v>
      </c>
      <c r="O36" s="117">
        <f t="shared" si="15"/>
        <v>1.8080532807501584</v>
      </c>
      <c r="P36" s="118">
        <f t="shared" si="16"/>
        <v>146120.69390476498</v>
      </c>
      <c r="Q36" s="119">
        <f t="shared" si="17"/>
        <v>24.353448984127493</v>
      </c>
      <c r="R36" s="119">
        <f t="shared" si="18"/>
        <v>13.529693880070829</v>
      </c>
      <c r="S36" s="118">
        <f t="shared" si="19"/>
        <v>264194</v>
      </c>
      <c r="T36" s="119">
        <f t="shared" si="20"/>
        <v>31</v>
      </c>
      <c r="U36" s="119">
        <f t="shared" si="21"/>
        <v>31</v>
      </c>
      <c r="V36" s="120">
        <v>1</v>
      </c>
      <c r="W36" s="120">
        <v>1</v>
      </c>
      <c r="X36" s="121"/>
      <c r="Y36" s="122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3"/>
      <c r="BP36" s="123"/>
      <c r="BQ36" s="123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  <c r="CO36" s="123"/>
      <c r="CP36" s="123"/>
      <c r="CQ36" s="123"/>
      <c r="CR36" s="123"/>
      <c r="CS36" s="123"/>
      <c r="CT36" s="123"/>
      <c r="CU36" s="123"/>
      <c r="CV36" s="123"/>
      <c r="CW36" s="123"/>
      <c r="CX36" s="123"/>
      <c r="CY36" s="123"/>
      <c r="CZ36" s="123"/>
      <c r="DA36" s="123"/>
      <c r="DB36" s="123"/>
      <c r="DC36" s="123"/>
      <c r="DD36" s="123"/>
      <c r="DE36" s="123"/>
      <c r="DF36" s="123"/>
      <c r="DG36" s="123"/>
      <c r="DH36" s="123"/>
      <c r="DI36" s="123"/>
      <c r="DJ36" s="123"/>
      <c r="DK36" s="123"/>
      <c r="DL36" s="123"/>
      <c r="DM36" s="123"/>
      <c r="DN36" s="123"/>
      <c r="DO36" s="123"/>
      <c r="DP36" s="123"/>
      <c r="DQ36" s="123"/>
      <c r="DR36" s="123"/>
      <c r="DS36" s="123"/>
      <c r="DT36" s="123"/>
      <c r="DU36" s="123"/>
      <c r="DV36" s="123"/>
      <c r="DW36" s="123"/>
      <c r="DX36" s="123"/>
      <c r="DY36" s="123"/>
      <c r="DZ36" s="123"/>
      <c r="EA36" s="123"/>
      <c r="EB36" s="123"/>
      <c r="EC36" s="123"/>
      <c r="ED36" s="123"/>
      <c r="EE36" s="123"/>
      <c r="EF36" s="123"/>
      <c r="EG36" s="123"/>
      <c r="EH36" s="123"/>
      <c r="EI36" s="123"/>
      <c r="EJ36" s="123"/>
      <c r="EK36" s="123"/>
      <c r="EL36" s="123"/>
      <c r="EM36" s="123"/>
      <c r="EN36" s="123"/>
      <c r="EO36" s="123"/>
      <c r="EP36" s="123"/>
      <c r="EQ36" s="123"/>
      <c r="ER36" s="123"/>
      <c r="ES36" s="123"/>
      <c r="ET36" s="123"/>
      <c r="EU36" s="123"/>
      <c r="EV36" s="123"/>
      <c r="EW36" s="123"/>
      <c r="EX36" s="123"/>
      <c r="EY36" s="123"/>
      <c r="EZ36" s="123"/>
      <c r="FA36" s="123"/>
      <c r="FB36" s="123"/>
      <c r="FC36" s="123"/>
      <c r="FD36" s="123"/>
      <c r="FE36" s="123"/>
      <c r="FF36" s="123"/>
      <c r="FG36" s="123"/>
      <c r="FH36" s="123"/>
      <c r="FI36" s="123"/>
      <c r="FJ36" s="123"/>
      <c r="FK36" s="123"/>
      <c r="FL36" s="123"/>
      <c r="FM36" s="123"/>
      <c r="FN36" s="123"/>
      <c r="FO36" s="123"/>
      <c r="FP36" s="123"/>
      <c r="FQ36" s="123"/>
      <c r="FR36" s="123"/>
      <c r="FS36" s="123"/>
      <c r="FT36" s="123"/>
      <c r="FU36" s="123"/>
      <c r="FV36" s="123"/>
      <c r="FW36" s="123"/>
      <c r="FX36" s="123"/>
      <c r="FY36" s="123"/>
      <c r="FZ36" s="123"/>
      <c r="GA36" s="123"/>
      <c r="GB36" s="123"/>
      <c r="GC36" s="123"/>
      <c r="GD36" s="123"/>
      <c r="GE36" s="123"/>
      <c r="GF36" s="123"/>
      <c r="GG36" s="123"/>
      <c r="GH36" s="123"/>
      <c r="GI36" s="123"/>
      <c r="GJ36" s="123"/>
      <c r="GK36" s="123"/>
      <c r="GL36" s="123"/>
      <c r="GM36" s="123"/>
      <c r="GN36" s="123"/>
      <c r="GO36" s="123"/>
      <c r="GP36" s="123"/>
      <c r="GQ36" s="123"/>
      <c r="GR36" s="123"/>
      <c r="GS36" s="123"/>
      <c r="GT36" s="123"/>
      <c r="GU36" s="123"/>
      <c r="GV36" s="123"/>
      <c r="GW36" s="123"/>
      <c r="GX36" s="123"/>
      <c r="GY36" s="123"/>
      <c r="GZ36" s="123"/>
      <c r="HA36" s="123"/>
      <c r="HB36" s="123"/>
      <c r="HC36" s="123"/>
      <c r="HD36" s="123"/>
      <c r="HE36" s="123"/>
      <c r="HF36" s="123"/>
      <c r="HG36" s="123"/>
      <c r="HH36" s="123"/>
      <c r="HI36" s="123"/>
      <c r="HJ36" s="123"/>
      <c r="HK36" s="123"/>
      <c r="HL36" s="123"/>
      <c r="HM36" s="123"/>
      <c r="HN36" s="123"/>
      <c r="HO36" s="123"/>
      <c r="HP36" s="123"/>
      <c r="HQ36" s="123"/>
      <c r="HR36" s="123"/>
      <c r="HS36" s="123"/>
      <c r="HT36" s="123"/>
      <c r="HU36" s="123"/>
      <c r="HV36" s="123"/>
      <c r="HW36" s="123"/>
      <c r="HX36" s="123"/>
      <c r="HY36" s="123"/>
      <c r="HZ36" s="123"/>
      <c r="IA36" s="123"/>
      <c r="IB36" s="123"/>
      <c r="IC36" s="123"/>
      <c r="ID36" s="123"/>
      <c r="IE36" s="123"/>
      <c r="IF36" s="123"/>
      <c r="IG36" s="123"/>
      <c r="IH36" s="123"/>
      <c r="II36" s="123"/>
      <c r="IJ36" s="123"/>
      <c r="IK36" s="123"/>
      <c r="IL36" s="123"/>
      <c r="IM36" s="123"/>
      <c r="IN36" s="123"/>
      <c r="IO36" s="123"/>
      <c r="IP36" s="123"/>
      <c r="IQ36" s="123"/>
      <c r="IR36" s="123"/>
      <c r="IS36" s="123"/>
      <c r="IT36" s="123"/>
      <c r="IU36" s="123"/>
    </row>
    <row r="37" spans="1:255" s="124" customFormat="1" ht="15.25" customHeight="1">
      <c r="A37" s="111" t="s">
        <v>47</v>
      </c>
      <c r="B37" s="112">
        <v>45913</v>
      </c>
      <c r="C37" s="113" t="s">
        <v>55</v>
      </c>
      <c r="D37" s="114">
        <f>7992+68071+53126</f>
        <v>129189</v>
      </c>
      <c r="E37" s="115">
        <v>26</v>
      </c>
      <c r="F37" s="115">
        <f t="shared" si="11"/>
        <v>4968.8076923076924</v>
      </c>
      <c r="G37" s="115">
        <v>15</v>
      </c>
      <c r="H37" s="115">
        <f t="shared" si="12"/>
        <v>8612.6</v>
      </c>
      <c r="I37" s="115">
        <f>55+93</f>
        <v>148</v>
      </c>
      <c r="J37" s="114">
        <f t="shared" si="13"/>
        <v>1.7333333333333334</v>
      </c>
      <c r="K37" s="115">
        <v>7992</v>
      </c>
      <c r="L37" s="115"/>
      <c r="M37" s="115"/>
      <c r="N37" s="116">
        <f t="shared" si="14"/>
        <v>0.10135135135135136</v>
      </c>
      <c r="O37" s="117">
        <f t="shared" si="15"/>
        <v>0.8841252840217122</v>
      </c>
      <c r="P37" s="118">
        <f t="shared" si="16"/>
        <v>146120.69390476498</v>
      </c>
      <c r="Q37" s="119">
        <f t="shared" si="17"/>
        <v>24.353448984127493</v>
      </c>
      <c r="R37" s="119">
        <f t="shared" si="18"/>
        <v>13.529693880070829</v>
      </c>
      <c r="S37" s="118">
        <f t="shared" si="19"/>
        <v>129189</v>
      </c>
      <c r="T37" s="119">
        <f t="shared" si="20"/>
        <v>26</v>
      </c>
      <c r="U37" s="119">
        <f t="shared" si="21"/>
        <v>26</v>
      </c>
      <c r="V37" s="120">
        <v>1</v>
      </c>
      <c r="W37" s="120">
        <v>1</v>
      </c>
      <c r="X37" s="121"/>
      <c r="Y37" s="122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  <c r="EB37" s="123"/>
      <c r="EC37" s="123"/>
      <c r="ED37" s="123"/>
      <c r="EE37" s="123"/>
      <c r="EF37" s="123"/>
      <c r="EG37" s="123"/>
      <c r="EH37" s="123"/>
      <c r="EI37" s="123"/>
      <c r="EJ37" s="123"/>
      <c r="EK37" s="123"/>
      <c r="EL37" s="123"/>
      <c r="EM37" s="123"/>
      <c r="EN37" s="123"/>
      <c r="EO37" s="123"/>
      <c r="EP37" s="123"/>
      <c r="EQ37" s="123"/>
      <c r="ER37" s="123"/>
      <c r="ES37" s="123"/>
      <c r="ET37" s="123"/>
      <c r="EU37" s="123"/>
      <c r="EV37" s="123"/>
      <c r="EW37" s="123"/>
      <c r="EX37" s="123"/>
      <c r="EY37" s="123"/>
      <c r="EZ37" s="123"/>
      <c r="FA37" s="123"/>
      <c r="FB37" s="123"/>
      <c r="FC37" s="123"/>
      <c r="FD37" s="123"/>
      <c r="FE37" s="123"/>
      <c r="FF37" s="123"/>
      <c r="FG37" s="123"/>
      <c r="FH37" s="123"/>
      <c r="FI37" s="123"/>
      <c r="FJ37" s="123"/>
      <c r="FK37" s="123"/>
      <c r="FL37" s="123"/>
      <c r="FM37" s="123"/>
      <c r="FN37" s="123"/>
      <c r="FO37" s="123"/>
      <c r="FP37" s="123"/>
      <c r="FQ37" s="123"/>
      <c r="FR37" s="123"/>
      <c r="FS37" s="123"/>
      <c r="FT37" s="123"/>
      <c r="FU37" s="123"/>
      <c r="FV37" s="123"/>
      <c r="FW37" s="123"/>
      <c r="FX37" s="123"/>
      <c r="FY37" s="123"/>
      <c r="FZ37" s="123"/>
      <c r="GA37" s="123"/>
      <c r="GB37" s="123"/>
      <c r="GC37" s="123"/>
      <c r="GD37" s="123"/>
      <c r="GE37" s="123"/>
      <c r="GF37" s="123"/>
      <c r="GG37" s="123"/>
      <c r="GH37" s="123"/>
      <c r="GI37" s="123"/>
      <c r="GJ37" s="123"/>
      <c r="GK37" s="123"/>
      <c r="GL37" s="123"/>
      <c r="GM37" s="123"/>
      <c r="GN37" s="123"/>
      <c r="GO37" s="123"/>
      <c r="GP37" s="123"/>
      <c r="GQ37" s="123"/>
      <c r="GR37" s="123"/>
      <c r="GS37" s="123"/>
      <c r="GT37" s="123"/>
      <c r="GU37" s="123"/>
      <c r="GV37" s="123"/>
      <c r="GW37" s="123"/>
      <c r="GX37" s="123"/>
      <c r="GY37" s="123"/>
      <c r="GZ37" s="123"/>
      <c r="HA37" s="123"/>
      <c r="HB37" s="123"/>
      <c r="HC37" s="123"/>
      <c r="HD37" s="123"/>
      <c r="HE37" s="123"/>
      <c r="HF37" s="123"/>
      <c r="HG37" s="123"/>
      <c r="HH37" s="123"/>
      <c r="HI37" s="123"/>
      <c r="HJ37" s="123"/>
      <c r="HK37" s="123"/>
      <c r="HL37" s="123"/>
      <c r="HM37" s="123"/>
      <c r="HN37" s="123"/>
      <c r="HO37" s="123"/>
      <c r="HP37" s="123"/>
      <c r="HQ37" s="123"/>
      <c r="HR37" s="123"/>
      <c r="HS37" s="123"/>
      <c r="HT37" s="123"/>
      <c r="HU37" s="123"/>
      <c r="HV37" s="123"/>
      <c r="HW37" s="123"/>
      <c r="HX37" s="123"/>
      <c r="HY37" s="123"/>
      <c r="HZ37" s="123"/>
      <c r="IA37" s="123"/>
      <c r="IB37" s="123"/>
      <c r="IC37" s="123"/>
      <c r="ID37" s="123"/>
      <c r="IE37" s="123"/>
      <c r="IF37" s="123"/>
      <c r="IG37" s="123"/>
      <c r="IH37" s="123"/>
      <c r="II37" s="123"/>
      <c r="IJ37" s="123"/>
      <c r="IK37" s="123"/>
      <c r="IL37" s="123"/>
      <c r="IM37" s="123"/>
      <c r="IN37" s="123"/>
      <c r="IO37" s="123"/>
      <c r="IP37" s="123"/>
      <c r="IQ37" s="123"/>
      <c r="IR37" s="123"/>
      <c r="IS37" s="123"/>
      <c r="IT37" s="123"/>
      <c r="IU37" s="123"/>
    </row>
    <row r="38" spans="1:255" s="124" customFormat="1">
      <c r="A38" s="111" t="s">
        <v>47</v>
      </c>
      <c r="B38" s="112">
        <v>45914</v>
      </c>
      <c r="C38" s="113" t="s">
        <v>56</v>
      </c>
      <c r="D38" s="114">
        <v>135071</v>
      </c>
      <c r="E38" s="115">
        <v>22</v>
      </c>
      <c r="F38" s="115">
        <f t="shared" si="11"/>
        <v>6139.590909090909</v>
      </c>
      <c r="G38" s="115">
        <v>14</v>
      </c>
      <c r="H38" s="115">
        <f t="shared" si="12"/>
        <v>9647.9285714285706</v>
      </c>
      <c r="I38" s="115">
        <f>7+92</f>
        <v>99</v>
      </c>
      <c r="J38" s="114">
        <f t="shared" si="13"/>
        <v>1.5714285714285714</v>
      </c>
      <c r="K38" s="115">
        <v>36719</v>
      </c>
      <c r="L38" s="115"/>
      <c r="M38" s="115">
        <v>12384</v>
      </c>
      <c r="N38" s="116">
        <f t="shared" si="14"/>
        <v>0.14141414141414141</v>
      </c>
      <c r="O38" s="117">
        <f t="shared" si="15"/>
        <v>0.92437967813123934</v>
      </c>
      <c r="P38" s="118">
        <f t="shared" si="16"/>
        <v>146120.69390476498</v>
      </c>
      <c r="Q38" s="119">
        <f t="shared" si="17"/>
        <v>24.353448984127493</v>
      </c>
      <c r="R38" s="119">
        <f t="shared" si="18"/>
        <v>13.529693880070829</v>
      </c>
      <c r="S38" s="118">
        <f t="shared" si="19"/>
        <v>135071</v>
      </c>
      <c r="T38" s="119">
        <f t="shared" si="20"/>
        <v>22</v>
      </c>
      <c r="U38" s="119">
        <f t="shared" si="21"/>
        <v>22</v>
      </c>
      <c r="V38" s="120">
        <v>1</v>
      </c>
      <c r="W38" s="120">
        <v>1</v>
      </c>
      <c r="X38" s="121"/>
      <c r="Y38" s="122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  <c r="EA38" s="123"/>
      <c r="EB38" s="123"/>
      <c r="EC38" s="123"/>
      <c r="ED38" s="123"/>
      <c r="EE38" s="123"/>
      <c r="EF38" s="123"/>
      <c r="EG38" s="123"/>
      <c r="EH38" s="123"/>
      <c r="EI38" s="123"/>
      <c r="EJ38" s="123"/>
      <c r="EK38" s="123"/>
      <c r="EL38" s="123"/>
      <c r="EM38" s="123"/>
      <c r="EN38" s="123"/>
      <c r="EO38" s="123"/>
      <c r="EP38" s="123"/>
      <c r="EQ38" s="123"/>
      <c r="ER38" s="123"/>
      <c r="ES38" s="123"/>
      <c r="ET38" s="123"/>
      <c r="EU38" s="123"/>
      <c r="EV38" s="123"/>
      <c r="EW38" s="123"/>
      <c r="EX38" s="123"/>
      <c r="EY38" s="123"/>
      <c r="EZ38" s="123"/>
      <c r="FA38" s="123"/>
      <c r="FB38" s="123"/>
      <c r="FC38" s="123"/>
      <c r="FD38" s="123"/>
      <c r="FE38" s="123"/>
      <c r="FF38" s="123"/>
      <c r="FG38" s="123"/>
      <c r="FH38" s="123"/>
      <c r="FI38" s="123"/>
      <c r="FJ38" s="123"/>
      <c r="FK38" s="123"/>
      <c r="FL38" s="123"/>
      <c r="FM38" s="123"/>
      <c r="FN38" s="123"/>
      <c r="FO38" s="123"/>
      <c r="FP38" s="123"/>
      <c r="FQ38" s="123"/>
      <c r="FR38" s="123"/>
      <c r="FS38" s="123"/>
      <c r="FT38" s="123"/>
      <c r="FU38" s="123"/>
      <c r="FV38" s="123"/>
      <c r="FW38" s="123"/>
      <c r="FX38" s="123"/>
      <c r="FY38" s="123"/>
      <c r="FZ38" s="123"/>
      <c r="GA38" s="123"/>
      <c r="GB38" s="123"/>
      <c r="GC38" s="123"/>
      <c r="GD38" s="123"/>
      <c r="GE38" s="123"/>
      <c r="GF38" s="123"/>
      <c r="GG38" s="123"/>
      <c r="GH38" s="123"/>
      <c r="GI38" s="123"/>
      <c r="GJ38" s="123"/>
      <c r="GK38" s="123"/>
      <c r="GL38" s="123"/>
      <c r="GM38" s="123"/>
      <c r="GN38" s="123"/>
      <c r="GO38" s="123"/>
      <c r="GP38" s="123"/>
      <c r="GQ38" s="123"/>
      <c r="GR38" s="123"/>
      <c r="GS38" s="123"/>
      <c r="GT38" s="123"/>
      <c r="GU38" s="123"/>
      <c r="GV38" s="123"/>
      <c r="GW38" s="123"/>
      <c r="GX38" s="123"/>
      <c r="GY38" s="123"/>
      <c r="GZ38" s="123"/>
      <c r="HA38" s="123"/>
      <c r="HB38" s="123"/>
      <c r="HC38" s="123"/>
      <c r="HD38" s="123"/>
      <c r="HE38" s="123"/>
      <c r="HF38" s="123"/>
      <c r="HG38" s="123"/>
      <c r="HH38" s="123"/>
      <c r="HI38" s="123"/>
      <c r="HJ38" s="123"/>
      <c r="HK38" s="123"/>
      <c r="HL38" s="123"/>
      <c r="HM38" s="123"/>
      <c r="HN38" s="123"/>
      <c r="HO38" s="123"/>
      <c r="HP38" s="123"/>
      <c r="HQ38" s="123"/>
      <c r="HR38" s="123"/>
      <c r="HS38" s="123"/>
      <c r="HT38" s="123"/>
      <c r="HU38" s="123"/>
      <c r="HV38" s="123"/>
      <c r="HW38" s="123"/>
      <c r="HX38" s="123"/>
      <c r="HY38" s="123"/>
      <c r="HZ38" s="123"/>
      <c r="IA38" s="123"/>
      <c r="IB38" s="123"/>
      <c r="IC38" s="123"/>
      <c r="ID38" s="123"/>
      <c r="IE38" s="123"/>
      <c r="IF38" s="123"/>
      <c r="IG38" s="123"/>
      <c r="IH38" s="123"/>
      <c r="II38" s="123"/>
      <c r="IJ38" s="123"/>
      <c r="IK38" s="123"/>
      <c r="IL38" s="123"/>
      <c r="IM38" s="123"/>
      <c r="IN38" s="123"/>
      <c r="IO38" s="123"/>
      <c r="IP38" s="123"/>
      <c r="IQ38" s="123"/>
      <c r="IR38" s="123"/>
      <c r="IS38" s="123"/>
      <c r="IT38" s="123"/>
      <c r="IU38" s="123"/>
    </row>
    <row r="39" spans="1:255">
      <c r="A39" s="95" t="s">
        <v>47</v>
      </c>
      <c r="B39" s="96">
        <v>45915</v>
      </c>
      <c r="C39" s="97" t="s">
        <v>48</v>
      </c>
      <c r="D39" s="98">
        <v>14503</v>
      </c>
      <c r="E39" s="99">
        <v>1</v>
      </c>
      <c r="F39" s="99">
        <f t="shared" si="11"/>
        <v>14503</v>
      </c>
      <c r="G39" s="99">
        <v>1</v>
      </c>
      <c r="H39" s="99">
        <f t="shared" si="12"/>
        <v>14503</v>
      </c>
      <c r="I39" s="99">
        <f>8+41</f>
        <v>49</v>
      </c>
      <c r="J39" s="98">
        <f t="shared" si="13"/>
        <v>1</v>
      </c>
      <c r="K39" s="99"/>
      <c r="L39" s="99">
        <v>14503</v>
      </c>
      <c r="M39" s="99"/>
      <c r="N39" s="100">
        <f t="shared" si="14"/>
        <v>2.0408163265306121E-2</v>
      </c>
      <c r="O39" s="101">
        <f t="shared" si="15"/>
        <v>0.13637785576775488</v>
      </c>
      <c r="P39" s="102">
        <f t="shared" si="16"/>
        <v>106344.24422024886</v>
      </c>
      <c r="Q39" s="103">
        <f t="shared" si="17"/>
        <v>17.724040703374811</v>
      </c>
      <c r="R39" s="103">
        <f t="shared" si="18"/>
        <v>9.8466892796526722</v>
      </c>
      <c r="S39" s="102">
        <f t="shared" si="19"/>
        <v>14503</v>
      </c>
      <c r="T39" s="103">
        <f t="shared" si="20"/>
        <v>1</v>
      </c>
      <c r="U39" s="103">
        <f t="shared" si="21"/>
        <v>1</v>
      </c>
      <c r="V39" s="104">
        <v>0.85310233682514103</v>
      </c>
      <c r="W39" s="104">
        <v>0.85310233682514103</v>
      </c>
      <c r="X39" s="107"/>
      <c r="Y39" s="106"/>
    </row>
    <row r="40" spans="1:255">
      <c r="A40" s="95" t="s">
        <v>47</v>
      </c>
      <c r="B40" s="96">
        <v>45916</v>
      </c>
      <c r="C40" s="97" t="s">
        <v>49</v>
      </c>
      <c r="D40" s="98">
        <v>40364</v>
      </c>
      <c r="E40" s="99">
        <v>8</v>
      </c>
      <c r="F40" s="99">
        <f t="shared" si="11"/>
        <v>5045.5</v>
      </c>
      <c r="G40" s="99">
        <v>6</v>
      </c>
      <c r="H40" s="99">
        <f t="shared" si="12"/>
        <v>6727.333333333333</v>
      </c>
      <c r="I40" s="99">
        <f>7+74</f>
        <v>81</v>
      </c>
      <c r="J40" s="98">
        <f t="shared" si="13"/>
        <v>1.3333333333333333</v>
      </c>
      <c r="K40" s="99"/>
      <c r="L40" s="99"/>
      <c r="M40" s="99"/>
      <c r="N40" s="100">
        <f t="shared" si="14"/>
        <v>7.407407407407407E-2</v>
      </c>
      <c r="O40" s="101">
        <f t="shared" si="15"/>
        <v>0.37955979936631445</v>
      </c>
      <c r="P40" s="102">
        <f t="shared" si="16"/>
        <v>106344.24422024886</v>
      </c>
      <c r="Q40" s="103">
        <f t="shared" si="17"/>
        <v>17.724040703374811</v>
      </c>
      <c r="R40" s="103">
        <f t="shared" si="18"/>
        <v>9.8466892796526722</v>
      </c>
      <c r="S40" s="102">
        <f t="shared" si="19"/>
        <v>40364</v>
      </c>
      <c r="T40" s="103">
        <f t="shared" si="20"/>
        <v>8</v>
      </c>
      <c r="U40" s="103">
        <f t="shared" si="21"/>
        <v>8</v>
      </c>
      <c r="V40" s="104">
        <v>0.85310233682514103</v>
      </c>
      <c r="W40" s="104">
        <v>0.85310233682514103</v>
      </c>
      <c r="X40" s="107"/>
      <c r="Y40" s="106"/>
    </row>
    <row r="41" spans="1:255">
      <c r="A41" s="95" t="s">
        <v>51</v>
      </c>
      <c r="B41" s="96">
        <v>45917</v>
      </c>
      <c r="C41" s="97" t="s">
        <v>50</v>
      </c>
      <c r="D41" s="98">
        <f>8992+70868</f>
        <v>79860</v>
      </c>
      <c r="E41" s="99">
        <v>15</v>
      </c>
      <c r="F41" s="99">
        <f t="shared" si="11"/>
        <v>5324</v>
      </c>
      <c r="G41" s="99">
        <v>6</v>
      </c>
      <c r="H41" s="99">
        <f t="shared" si="12"/>
        <v>13310</v>
      </c>
      <c r="I41" s="99">
        <v>70</v>
      </c>
      <c r="J41" s="98">
        <f t="shared" si="13"/>
        <v>2.5</v>
      </c>
      <c r="K41" s="99">
        <v>8992</v>
      </c>
      <c r="L41" s="99"/>
      <c r="M41" s="99"/>
      <c r="N41" s="100">
        <f t="shared" si="14"/>
        <v>8.5714285714285715E-2</v>
      </c>
      <c r="O41" s="101">
        <f t="shared" si="15"/>
        <v>0.75095742685050715</v>
      </c>
      <c r="P41" s="102">
        <f t="shared" si="16"/>
        <v>106344.24422024886</v>
      </c>
      <c r="Q41" s="103">
        <f t="shared" si="17"/>
        <v>17.724040703374811</v>
      </c>
      <c r="R41" s="103">
        <f t="shared" si="18"/>
        <v>9.8466892796526722</v>
      </c>
      <c r="S41" s="102">
        <f t="shared" si="19"/>
        <v>79860</v>
      </c>
      <c r="T41" s="103">
        <f t="shared" si="20"/>
        <v>15</v>
      </c>
      <c r="U41" s="103">
        <f t="shared" si="21"/>
        <v>15</v>
      </c>
      <c r="V41" s="104">
        <v>0.85310233682514103</v>
      </c>
      <c r="W41" s="104">
        <v>0.85310233682514103</v>
      </c>
      <c r="X41" s="107"/>
      <c r="Y41" s="106"/>
    </row>
    <row r="42" spans="1:255">
      <c r="A42" s="95" t="s">
        <v>51</v>
      </c>
      <c r="B42" s="96">
        <v>45918</v>
      </c>
      <c r="C42" s="97" t="s">
        <v>52</v>
      </c>
      <c r="D42" s="98">
        <v>48423</v>
      </c>
      <c r="E42" s="99">
        <v>9</v>
      </c>
      <c r="F42" s="99">
        <f t="shared" si="11"/>
        <v>5380.333333333333</v>
      </c>
      <c r="G42" s="99">
        <v>4</v>
      </c>
      <c r="H42" s="99">
        <f t="shared" si="12"/>
        <v>12105.75</v>
      </c>
      <c r="I42" s="99">
        <v>29</v>
      </c>
      <c r="J42" s="98">
        <f t="shared" si="13"/>
        <v>2.25</v>
      </c>
      <c r="K42" s="99"/>
      <c r="L42" s="99"/>
      <c r="M42" s="99"/>
      <c r="N42" s="100">
        <f t="shared" si="14"/>
        <v>0.13793103448275862</v>
      </c>
      <c r="O42" s="101">
        <f t="shared" si="15"/>
        <v>0.4553419919907602</v>
      </c>
      <c r="P42" s="102">
        <f t="shared" si="16"/>
        <v>106344.24422024886</v>
      </c>
      <c r="Q42" s="103">
        <f t="shared" si="17"/>
        <v>17.724040703374811</v>
      </c>
      <c r="R42" s="103">
        <f t="shared" si="18"/>
        <v>9.8466892796526722</v>
      </c>
      <c r="S42" s="102">
        <f t="shared" si="19"/>
        <v>48423</v>
      </c>
      <c r="T42" s="103">
        <f t="shared" si="20"/>
        <v>9</v>
      </c>
      <c r="U42" s="103">
        <f t="shared" si="21"/>
        <v>9</v>
      </c>
      <c r="V42" s="104">
        <v>0.85310233682514103</v>
      </c>
      <c r="W42" s="104">
        <v>0.85310233682514103</v>
      </c>
      <c r="X42" s="107"/>
      <c r="Y42" s="106"/>
    </row>
    <row r="43" spans="1:255" s="124" customFormat="1">
      <c r="A43" s="111" t="s">
        <v>47</v>
      </c>
      <c r="B43" s="112">
        <v>45919</v>
      </c>
      <c r="C43" s="113" t="s">
        <v>54</v>
      </c>
      <c r="D43" s="114">
        <f>138485+18982+27473+9123</f>
        <v>194063</v>
      </c>
      <c r="E43" s="115">
        <v>36</v>
      </c>
      <c r="F43" s="115">
        <v>5391</v>
      </c>
      <c r="G43" s="115">
        <v>16</v>
      </c>
      <c r="H43" s="115">
        <f t="shared" si="12"/>
        <v>12128.9375</v>
      </c>
      <c r="I43" s="115">
        <v>120</v>
      </c>
      <c r="J43" s="114">
        <f t="shared" si="13"/>
        <v>2.25</v>
      </c>
      <c r="K43" s="115">
        <v>18982</v>
      </c>
      <c r="L43" s="115">
        <v>9123</v>
      </c>
      <c r="M43" s="115">
        <v>27473</v>
      </c>
      <c r="N43" s="116">
        <f t="shared" si="14"/>
        <v>0.13333333333333333</v>
      </c>
      <c r="O43" s="117">
        <f t="shared" si="15"/>
        <v>1.3281007283368207</v>
      </c>
      <c r="P43" s="118">
        <f t="shared" si="16"/>
        <v>146120.69390476498</v>
      </c>
      <c r="Q43" s="119">
        <f t="shared" si="17"/>
        <v>24.353448984127493</v>
      </c>
      <c r="R43" s="119">
        <f t="shared" si="18"/>
        <v>13.529693880070829</v>
      </c>
      <c r="S43" s="118">
        <f t="shared" si="19"/>
        <v>194063</v>
      </c>
      <c r="T43" s="119">
        <f t="shared" si="20"/>
        <v>36</v>
      </c>
      <c r="U43" s="119">
        <f t="shared" si="21"/>
        <v>36</v>
      </c>
      <c r="V43" s="120">
        <v>1</v>
      </c>
      <c r="W43" s="120">
        <v>1</v>
      </c>
      <c r="X43" s="121"/>
      <c r="Y43" s="122"/>
      <c r="Z43" s="127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3"/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  <c r="CN43" s="123"/>
      <c r="CO43" s="123"/>
      <c r="CP43" s="123"/>
      <c r="CQ43" s="123"/>
      <c r="CR43" s="123"/>
      <c r="CS43" s="123"/>
      <c r="CT43" s="123"/>
      <c r="CU43" s="123"/>
      <c r="CV43" s="123"/>
      <c r="CW43" s="123"/>
      <c r="CX43" s="123"/>
      <c r="CY43" s="123"/>
      <c r="CZ43" s="123"/>
      <c r="DA43" s="123"/>
      <c r="DB43" s="123"/>
      <c r="DC43" s="123"/>
      <c r="DD43" s="123"/>
      <c r="DE43" s="123"/>
      <c r="DF43" s="123"/>
      <c r="DG43" s="123"/>
      <c r="DH43" s="123"/>
      <c r="DI43" s="123"/>
      <c r="DJ43" s="123"/>
      <c r="DK43" s="123"/>
      <c r="DL43" s="123"/>
      <c r="DM43" s="123"/>
      <c r="DN43" s="123"/>
      <c r="DO43" s="123"/>
      <c r="DP43" s="123"/>
      <c r="DQ43" s="123"/>
      <c r="DR43" s="123"/>
      <c r="DS43" s="123"/>
      <c r="DT43" s="123"/>
      <c r="DU43" s="123"/>
      <c r="DV43" s="123"/>
      <c r="DW43" s="123"/>
      <c r="DX43" s="123"/>
      <c r="DY43" s="123"/>
      <c r="DZ43" s="123"/>
      <c r="EA43" s="123"/>
      <c r="EB43" s="123"/>
      <c r="EC43" s="123"/>
      <c r="ED43" s="123"/>
      <c r="EE43" s="123"/>
      <c r="EF43" s="123"/>
      <c r="EG43" s="123"/>
      <c r="EH43" s="123"/>
      <c r="EI43" s="123"/>
      <c r="EJ43" s="123"/>
      <c r="EK43" s="123"/>
      <c r="EL43" s="123"/>
      <c r="EM43" s="123"/>
      <c r="EN43" s="123"/>
      <c r="EO43" s="123"/>
      <c r="EP43" s="123"/>
      <c r="EQ43" s="123"/>
      <c r="ER43" s="123"/>
      <c r="ES43" s="123"/>
      <c r="ET43" s="123"/>
      <c r="EU43" s="123"/>
      <c r="EV43" s="123"/>
      <c r="EW43" s="123"/>
      <c r="EX43" s="123"/>
      <c r="EY43" s="123"/>
      <c r="EZ43" s="123"/>
      <c r="FA43" s="123"/>
      <c r="FB43" s="123"/>
      <c r="FC43" s="123"/>
      <c r="FD43" s="123"/>
      <c r="FE43" s="123"/>
      <c r="FF43" s="123"/>
      <c r="FG43" s="123"/>
      <c r="FH43" s="123"/>
      <c r="FI43" s="123"/>
      <c r="FJ43" s="123"/>
      <c r="FK43" s="123"/>
      <c r="FL43" s="123"/>
      <c r="FM43" s="123"/>
      <c r="FN43" s="123"/>
      <c r="FO43" s="123"/>
      <c r="FP43" s="123"/>
      <c r="FQ43" s="123"/>
      <c r="FR43" s="123"/>
      <c r="FS43" s="123"/>
      <c r="FT43" s="123"/>
      <c r="FU43" s="123"/>
      <c r="FV43" s="123"/>
      <c r="FW43" s="123"/>
      <c r="FX43" s="123"/>
      <c r="FY43" s="123"/>
      <c r="FZ43" s="123"/>
      <c r="GA43" s="123"/>
      <c r="GB43" s="123"/>
      <c r="GC43" s="123"/>
      <c r="GD43" s="123"/>
      <c r="GE43" s="123"/>
      <c r="GF43" s="123"/>
      <c r="GG43" s="123"/>
      <c r="GH43" s="123"/>
      <c r="GI43" s="123"/>
      <c r="GJ43" s="123"/>
      <c r="GK43" s="123"/>
      <c r="GL43" s="123"/>
      <c r="GM43" s="123"/>
      <c r="GN43" s="123"/>
      <c r="GO43" s="123"/>
      <c r="GP43" s="123"/>
      <c r="GQ43" s="123"/>
      <c r="GR43" s="123"/>
      <c r="GS43" s="123"/>
      <c r="GT43" s="123"/>
      <c r="GU43" s="123"/>
      <c r="GV43" s="123"/>
      <c r="GW43" s="123"/>
      <c r="GX43" s="123"/>
      <c r="GY43" s="123"/>
      <c r="GZ43" s="123"/>
      <c r="HA43" s="123"/>
      <c r="HB43" s="123"/>
      <c r="HC43" s="123"/>
      <c r="HD43" s="123"/>
      <c r="HE43" s="123"/>
      <c r="HF43" s="123"/>
      <c r="HG43" s="123"/>
      <c r="HH43" s="123"/>
      <c r="HI43" s="123"/>
      <c r="HJ43" s="123"/>
      <c r="HK43" s="123"/>
      <c r="HL43" s="123"/>
      <c r="HM43" s="123"/>
      <c r="HN43" s="123"/>
      <c r="HO43" s="123"/>
      <c r="HP43" s="123"/>
      <c r="HQ43" s="123"/>
      <c r="HR43" s="123"/>
      <c r="HS43" s="123"/>
      <c r="HT43" s="123"/>
      <c r="HU43" s="123"/>
      <c r="HV43" s="123"/>
      <c r="HW43" s="123"/>
      <c r="HX43" s="123"/>
      <c r="HY43" s="123"/>
      <c r="HZ43" s="123"/>
      <c r="IA43" s="123"/>
      <c r="IB43" s="123"/>
      <c r="IC43" s="123"/>
      <c r="ID43" s="123"/>
      <c r="IE43" s="123"/>
      <c r="IF43" s="123"/>
      <c r="IG43" s="123"/>
      <c r="IH43" s="123"/>
      <c r="II43" s="123"/>
      <c r="IJ43" s="123"/>
      <c r="IK43" s="123"/>
      <c r="IL43" s="123"/>
      <c r="IM43" s="123"/>
      <c r="IN43" s="123"/>
      <c r="IO43" s="123"/>
      <c r="IP43" s="123"/>
      <c r="IQ43" s="123"/>
      <c r="IR43" s="123"/>
      <c r="IS43" s="123"/>
      <c r="IT43" s="123"/>
      <c r="IU43" s="123"/>
    </row>
    <row r="44" spans="1:255" s="124" customFormat="1">
      <c r="A44" s="111" t="s">
        <v>47</v>
      </c>
      <c r="B44" s="112">
        <v>45920</v>
      </c>
      <c r="C44" s="113" t="s">
        <v>55</v>
      </c>
      <c r="D44" s="114">
        <f>10990+31275+22767+57513+220</f>
        <v>122765</v>
      </c>
      <c r="E44" s="115">
        <v>18</v>
      </c>
      <c r="F44" s="115">
        <v>6808</v>
      </c>
      <c r="G44" s="115">
        <v>10</v>
      </c>
      <c r="H44" s="115">
        <f t="shared" si="12"/>
        <v>12276.5</v>
      </c>
      <c r="I44" s="115">
        <v>60</v>
      </c>
      <c r="J44" s="114">
        <f t="shared" si="13"/>
        <v>1.8</v>
      </c>
      <c r="K44" s="115">
        <v>10990</v>
      </c>
      <c r="L44" s="115">
        <v>220</v>
      </c>
      <c r="M44" s="115">
        <v>31275</v>
      </c>
      <c r="N44" s="116">
        <f t="shared" si="14"/>
        <v>0.16666666666666666</v>
      </c>
      <c r="O44" s="117">
        <f t="shared" si="15"/>
        <v>0.84016162748318735</v>
      </c>
      <c r="P44" s="118">
        <f t="shared" si="16"/>
        <v>146120.69390476498</v>
      </c>
      <c r="Q44" s="119">
        <f t="shared" si="17"/>
        <v>24.353448984127493</v>
      </c>
      <c r="R44" s="119">
        <f t="shared" si="18"/>
        <v>13.529693880070829</v>
      </c>
      <c r="S44" s="118">
        <f t="shared" si="19"/>
        <v>122765</v>
      </c>
      <c r="T44" s="119">
        <f t="shared" si="20"/>
        <v>18</v>
      </c>
      <c r="U44" s="119">
        <f t="shared" si="21"/>
        <v>18</v>
      </c>
      <c r="V44" s="120">
        <v>1</v>
      </c>
      <c r="W44" s="120">
        <v>1</v>
      </c>
      <c r="X44" s="121"/>
      <c r="Y44" s="122"/>
      <c r="Z44" s="127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3"/>
      <c r="BP44" s="123"/>
      <c r="BQ44" s="123"/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  <c r="CN44" s="123"/>
      <c r="CO44" s="123"/>
      <c r="CP44" s="123"/>
      <c r="CQ44" s="123"/>
      <c r="CR44" s="123"/>
      <c r="CS44" s="123"/>
      <c r="CT44" s="123"/>
      <c r="CU44" s="123"/>
      <c r="CV44" s="123"/>
      <c r="CW44" s="123"/>
      <c r="CX44" s="123"/>
      <c r="CY44" s="123"/>
      <c r="CZ44" s="123"/>
      <c r="DA44" s="123"/>
      <c r="DB44" s="123"/>
      <c r="DC44" s="123"/>
      <c r="DD44" s="123"/>
      <c r="DE44" s="123"/>
      <c r="DF44" s="123"/>
      <c r="DG44" s="123"/>
      <c r="DH44" s="123"/>
      <c r="DI44" s="123"/>
      <c r="DJ44" s="123"/>
      <c r="DK44" s="123"/>
      <c r="DL44" s="123"/>
      <c r="DM44" s="123"/>
      <c r="DN44" s="123"/>
      <c r="DO44" s="123"/>
      <c r="DP44" s="123"/>
      <c r="DQ44" s="123"/>
      <c r="DR44" s="123"/>
      <c r="DS44" s="123"/>
      <c r="DT44" s="123"/>
      <c r="DU44" s="123"/>
      <c r="DV44" s="123"/>
      <c r="DW44" s="123"/>
      <c r="DX44" s="123"/>
      <c r="DY44" s="123"/>
      <c r="DZ44" s="123"/>
      <c r="EA44" s="123"/>
      <c r="EB44" s="123"/>
      <c r="EC44" s="123"/>
      <c r="ED44" s="123"/>
      <c r="EE44" s="123"/>
      <c r="EF44" s="123"/>
      <c r="EG44" s="123"/>
      <c r="EH44" s="123"/>
      <c r="EI44" s="123"/>
      <c r="EJ44" s="123"/>
      <c r="EK44" s="123"/>
      <c r="EL44" s="123"/>
      <c r="EM44" s="123"/>
      <c r="EN44" s="123"/>
      <c r="EO44" s="123"/>
      <c r="EP44" s="123"/>
      <c r="EQ44" s="123"/>
      <c r="ER44" s="123"/>
      <c r="ES44" s="123"/>
      <c r="ET44" s="123"/>
      <c r="EU44" s="123"/>
      <c r="EV44" s="123"/>
      <c r="EW44" s="123"/>
      <c r="EX44" s="123"/>
      <c r="EY44" s="123"/>
      <c r="EZ44" s="123"/>
      <c r="FA44" s="123"/>
      <c r="FB44" s="123"/>
      <c r="FC44" s="123"/>
      <c r="FD44" s="123"/>
      <c r="FE44" s="123"/>
      <c r="FF44" s="123"/>
      <c r="FG44" s="123"/>
      <c r="FH44" s="123"/>
      <c r="FI44" s="123"/>
      <c r="FJ44" s="123"/>
      <c r="FK44" s="123"/>
      <c r="FL44" s="123"/>
      <c r="FM44" s="123"/>
      <c r="FN44" s="123"/>
      <c r="FO44" s="123"/>
      <c r="FP44" s="123"/>
      <c r="FQ44" s="123"/>
      <c r="FR44" s="123"/>
      <c r="FS44" s="123"/>
      <c r="FT44" s="123"/>
      <c r="FU44" s="123"/>
      <c r="FV44" s="123"/>
      <c r="FW44" s="123"/>
      <c r="FX44" s="123"/>
      <c r="FY44" s="123"/>
      <c r="FZ44" s="123"/>
      <c r="GA44" s="123"/>
      <c r="GB44" s="123"/>
      <c r="GC44" s="123"/>
      <c r="GD44" s="123"/>
      <c r="GE44" s="123"/>
      <c r="GF44" s="123"/>
      <c r="GG44" s="123"/>
      <c r="GH44" s="123"/>
      <c r="GI44" s="123"/>
      <c r="GJ44" s="123"/>
      <c r="GK44" s="123"/>
      <c r="GL44" s="123"/>
      <c r="GM44" s="123"/>
      <c r="GN44" s="123"/>
      <c r="GO44" s="123"/>
      <c r="GP44" s="123"/>
      <c r="GQ44" s="123"/>
      <c r="GR44" s="123"/>
      <c r="GS44" s="123"/>
      <c r="GT44" s="123"/>
      <c r="GU44" s="123"/>
      <c r="GV44" s="123"/>
      <c r="GW44" s="123"/>
      <c r="GX44" s="123"/>
      <c r="GY44" s="123"/>
      <c r="GZ44" s="123"/>
      <c r="HA44" s="123"/>
      <c r="HB44" s="123"/>
      <c r="HC44" s="123"/>
      <c r="HD44" s="123"/>
      <c r="HE44" s="123"/>
      <c r="HF44" s="123"/>
      <c r="HG44" s="123"/>
      <c r="HH44" s="123"/>
      <c r="HI44" s="123"/>
      <c r="HJ44" s="123"/>
      <c r="HK44" s="123"/>
      <c r="HL44" s="123"/>
      <c r="HM44" s="123"/>
      <c r="HN44" s="123"/>
      <c r="HO44" s="123"/>
      <c r="HP44" s="123"/>
      <c r="HQ44" s="123"/>
      <c r="HR44" s="123"/>
      <c r="HS44" s="123"/>
      <c r="HT44" s="123"/>
      <c r="HU44" s="123"/>
      <c r="HV44" s="123"/>
      <c r="HW44" s="123"/>
      <c r="HX44" s="123"/>
      <c r="HY44" s="123"/>
      <c r="HZ44" s="123"/>
      <c r="IA44" s="123"/>
      <c r="IB44" s="123"/>
      <c r="IC44" s="123"/>
      <c r="ID44" s="123"/>
      <c r="IE44" s="123"/>
      <c r="IF44" s="123"/>
      <c r="IG44" s="123"/>
      <c r="IH44" s="123"/>
      <c r="II44" s="123"/>
      <c r="IJ44" s="123"/>
      <c r="IK44" s="123"/>
      <c r="IL44" s="123"/>
      <c r="IM44" s="123"/>
      <c r="IN44" s="123"/>
      <c r="IO44" s="123"/>
      <c r="IP44" s="123"/>
      <c r="IQ44" s="123"/>
      <c r="IR44" s="123"/>
      <c r="IS44" s="123"/>
      <c r="IT44" s="123"/>
      <c r="IU44" s="123"/>
    </row>
    <row r="45" spans="1:255" s="124" customFormat="1">
      <c r="A45" s="111" t="s">
        <v>47</v>
      </c>
      <c r="B45" s="112">
        <v>45921</v>
      </c>
      <c r="C45" s="113" t="s">
        <v>56</v>
      </c>
      <c r="D45" s="114">
        <f>87138+6801</f>
        <v>93939</v>
      </c>
      <c r="E45" s="115">
        <v>16</v>
      </c>
      <c r="F45" s="115">
        <v>5446</v>
      </c>
      <c r="G45" s="115">
        <v>9</v>
      </c>
      <c r="H45" s="115">
        <f t="shared" si="12"/>
        <v>10437.666666666666</v>
      </c>
      <c r="I45" s="115">
        <v>50</v>
      </c>
      <c r="J45" s="114">
        <f t="shared" si="13"/>
        <v>1.7777777777777777</v>
      </c>
      <c r="K45" s="115">
        <v>15990</v>
      </c>
      <c r="L45" s="115">
        <v>6801</v>
      </c>
      <c r="M45" s="115"/>
      <c r="N45" s="116">
        <f t="shared" si="14"/>
        <v>0.18</v>
      </c>
      <c r="O45" s="117">
        <f t="shared" si="15"/>
        <v>0.64288635298450814</v>
      </c>
      <c r="P45" s="118">
        <f t="shared" si="16"/>
        <v>146120.69390476498</v>
      </c>
      <c r="Q45" s="119">
        <f t="shared" si="17"/>
        <v>24.353448984127493</v>
      </c>
      <c r="R45" s="119">
        <f t="shared" si="18"/>
        <v>13.529693880070829</v>
      </c>
      <c r="S45" s="118">
        <f t="shared" si="19"/>
        <v>93939</v>
      </c>
      <c r="T45" s="119">
        <f t="shared" si="20"/>
        <v>16</v>
      </c>
      <c r="U45" s="119">
        <f t="shared" si="21"/>
        <v>16</v>
      </c>
      <c r="V45" s="120">
        <v>1</v>
      </c>
      <c r="W45" s="120">
        <v>1</v>
      </c>
      <c r="X45" s="121"/>
      <c r="Y45" s="122"/>
      <c r="Z45" s="127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23"/>
      <c r="CU45" s="123"/>
      <c r="CV45" s="123"/>
      <c r="CW45" s="123"/>
      <c r="CX45" s="123"/>
      <c r="CY45" s="123"/>
      <c r="CZ45" s="123"/>
      <c r="DA45" s="123"/>
      <c r="DB45" s="123"/>
      <c r="DC45" s="123"/>
      <c r="DD45" s="123"/>
      <c r="DE45" s="123"/>
      <c r="DF45" s="123"/>
      <c r="DG45" s="123"/>
      <c r="DH45" s="123"/>
      <c r="DI45" s="123"/>
      <c r="DJ45" s="123"/>
      <c r="DK45" s="123"/>
      <c r="DL45" s="123"/>
      <c r="DM45" s="123"/>
      <c r="DN45" s="123"/>
      <c r="DO45" s="123"/>
      <c r="DP45" s="123"/>
      <c r="DQ45" s="123"/>
      <c r="DR45" s="123"/>
      <c r="DS45" s="123"/>
      <c r="DT45" s="123"/>
      <c r="DU45" s="123"/>
      <c r="DV45" s="123"/>
      <c r="DW45" s="123"/>
      <c r="DX45" s="123"/>
      <c r="DY45" s="123"/>
      <c r="DZ45" s="123"/>
      <c r="EA45" s="123"/>
      <c r="EB45" s="123"/>
      <c r="EC45" s="123"/>
      <c r="ED45" s="123"/>
      <c r="EE45" s="123"/>
      <c r="EF45" s="123"/>
      <c r="EG45" s="123"/>
      <c r="EH45" s="123"/>
      <c r="EI45" s="123"/>
      <c r="EJ45" s="123"/>
      <c r="EK45" s="123"/>
      <c r="EL45" s="123"/>
      <c r="EM45" s="123"/>
      <c r="EN45" s="123"/>
      <c r="EO45" s="123"/>
      <c r="EP45" s="123"/>
      <c r="EQ45" s="123"/>
      <c r="ER45" s="123"/>
      <c r="ES45" s="123"/>
      <c r="ET45" s="123"/>
      <c r="EU45" s="123"/>
      <c r="EV45" s="123"/>
      <c r="EW45" s="123"/>
      <c r="EX45" s="123"/>
      <c r="EY45" s="123"/>
      <c r="EZ45" s="123"/>
      <c r="FA45" s="123"/>
      <c r="FB45" s="123"/>
      <c r="FC45" s="123"/>
      <c r="FD45" s="123"/>
      <c r="FE45" s="123"/>
      <c r="FF45" s="123"/>
      <c r="FG45" s="123"/>
      <c r="FH45" s="123"/>
      <c r="FI45" s="123"/>
      <c r="FJ45" s="123"/>
      <c r="FK45" s="123"/>
      <c r="FL45" s="123"/>
      <c r="FM45" s="123"/>
      <c r="FN45" s="123"/>
      <c r="FO45" s="123"/>
      <c r="FP45" s="123"/>
      <c r="FQ45" s="123"/>
      <c r="FR45" s="123"/>
      <c r="FS45" s="123"/>
      <c r="FT45" s="123"/>
      <c r="FU45" s="123"/>
      <c r="FV45" s="123"/>
      <c r="FW45" s="123"/>
      <c r="FX45" s="123"/>
      <c r="FY45" s="123"/>
      <c r="FZ45" s="123"/>
      <c r="GA45" s="123"/>
      <c r="GB45" s="123"/>
      <c r="GC45" s="123"/>
      <c r="GD45" s="123"/>
      <c r="GE45" s="123"/>
      <c r="GF45" s="123"/>
      <c r="GG45" s="123"/>
      <c r="GH45" s="123"/>
      <c r="GI45" s="123"/>
      <c r="GJ45" s="123"/>
      <c r="GK45" s="123"/>
      <c r="GL45" s="123"/>
      <c r="GM45" s="123"/>
      <c r="GN45" s="123"/>
      <c r="GO45" s="123"/>
      <c r="GP45" s="123"/>
      <c r="GQ45" s="123"/>
      <c r="GR45" s="123"/>
      <c r="GS45" s="123"/>
      <c r="GT45" s="123"/>
      <c r="GU45" s="123"/>
      <c r="GV45" s="123"/>
      <c r="GW45" s="123"/>
      <c r="GX45" s="123"/>
      <c r="GY45" s="123"/>
      <c r="GZ45" s="123"/>
      <c r="HA45" s="123"/>
      <c r="HB45" s="123"/>
      <c r="HC45" s="123"/>
      <c r="HD45" s="123"/>
      <c r="HE45" s="123"/>
      <c r="HF45" s="123"/>
      <c r="HG45" s="123"/>
      <c r="HH45" s="123"/>
      <c r="HI45" s="123"/>
      <c r="HJ45" s="123"/>
      <c r="HK45" s="123"/>
      <c r="HL45" s="123"/>
      <c r="HM45" s="123"/>
      <c r="HN45" s="123"/>
      <c r="HO45" s="123"/>
      <c r="HP45" s="123"/>
      <c r="HQ45" s="123"/>
      <c r="HR45" s="123"/>
      <c r="HS45" s="123"/>
      <c r="HT45" s="123"/>
      <c r="HU45" s="123"/>
      <c r="HV45" s="123"/>
      <c r="HW45" s="123"/>
      <c r="HX45" s="123"/>
      <c r="HY45" s="123"/>
      <c r="HZ45" s="123"/>
      <c r="IA45" s="123"/>
      <c r="IB45" s="123"/>
      <c r="IC45" s="123"/>
      <c r="ID45" s="123"/>
      <c r="IE45" s="123"/>
      <c r="IF45" s="123"/>
      <c r="IG45" s="123"/>
      <c r="IH45" s="123"/>
      <c r="II45" s="123"/>
      <c r="IJ45" s="123"/>
      <c r="IK45" s="123"/>
      <c r="IL45" s="123"/>
      <c r="IM45" s="123"/>
      <c r="IN45" s="123"/>
      <c r="IO45" s="123"/>
      <c r="IP45" s="123"/>
      <c r="IQ45" s="123"/>
      <c r="IR45" s="123"/>
      <c r="IS45" s="123"/>
      <c r="IT45" s="123"/>
      <c r="IU45" s="123"/>
    </row>
    <row r="46" spans="1:255">
      <c r="A46" s="95" t="s">
        <v>51</v>
      </c>
      <c r="B46" s="96">
        <v>45922</v>
      </c>
      <c r="C46" s="97" t="s">
        <v>48</v>
      </c>
      <c r="D46" s="98">
        <f>25583+85170</f>
        <v>110753</v>
      </c>
      <c r="E46" s="99">
        <v>17</v>
      </c>
      <c r="F46" s="99">
        <v>6515</v>
      </c>
      <c r="G46" s="99">
        <v>6</v>
      </c>
      <c r="H46" s="99">
        <f t="shared" si="12"/>
        <v>18458.833333333332</v>
      </c>
      <c r="I46" s="99">
        <v>50</v>
      </c>
      <c r="J46" s="98">
        <f t="shared" si="13"/>
        <v>2.8333333333333335</v>
      </c>
      <c r="K46" s="99">
        <v>25583</v>
      </c>
      <c r="L46" s="99"/>
      <c r="M46" s="99"/>
      <c r="N46" s="100">
        <f t="shared" si="14"/>
        <v>0.12</v>
      </c>
      <c r="O46" s="101">
        <f t="shared" si="15"/>
        <v>1.041457399148187</v>
      </c>
      <c r="P46" s="102">
        <f t="shared" si="16"/>
        <v>106344.24422024886</v>
      </c>
      <c r="Q46" s="103">
        <f t="shared" si="17"/>
        <v>17.724040703374811</v>
      </c>
      <c r="R46" s="103">
        <f t="shared" si="18"/>
        <v>9.8466892796526722</v>
      </c>
      <c r="S46" s="102">
        <f t="shared" si="19"/>
        <v>110753</v>
      </c>
      <c r="T46" s="103">
        <f t="shared" si="20"/>
        <v>17</v>
      </c>
      <c r="U46" s="103">
        <f t="shared" si="21"/>
        <v>17</v>
      </c>
      <c r="V46" s="104">
        <v>0.85310233682514103</v>
      </c>
      <c r="W46" s="104">
        <v>0.85310233682514103</v>
      </c>
      <c r="X46" s="107"/>
      <c r="Y46" s="106"/>
      <c r="Z46" s="128"/>
    </row>
    <row r="47" spans="1:255">
      <c r="A47" s="95" t="s">
        <v>47</v>
      </c>
      <c r="B47" s="96">
        <v>45923</v>
      </c>
      <c r="C47" s="97" t="s">
        <v>49</v>
      </c>
      <c r="D47" s="98">
        <f>8903+17867+77307</f>
        <v>104077</v>
      </c>
      <c r="E47" s="99">
        <v>19</v>
      </c>
      <c r="F47" s="99">
        <v>5478</v>
      </c>
      <c r="G47" s="99">
        <v>8</v>
      </c>
      <c r="H47" s="99">
        <f t="shared" si="12"/>
        <v>13009.625</v>
      </c>
      <c r="I47" s="99">
        <v>60</v>
      </c>
      <c r="J47" s="98">
        <f t="shared" si="13"/>
        <v>2.375</v>
      </c>
      <c r="K47" s="99"/>
      <c r="L47" s="99">
        <v>8903</v>
      </c>
      <c r="M47" s="99"/>
      <c r="N47" s="100">
        <f t="shared" si="14"/>
        <v>0.13333333333333333</v>
      </c>
      <c r="O47" s="101">
        <f t="shared" si="15"/>
        <v>0.97868014167693751</v>
      </c>
      <c r="P47" s="102">
        <f t="shared" si="16"/>
        <v>106344.24422024886</v>
      </c>
      <c r="Q47" s="103">
        <f t="shared" si="17"/>
        <v>17.724040703374811</v>
      </c>
      <c r="R47" s="103">
        <f t="shared" si="18"/>
        <v>9.8466892796526722</v>
      </c>
      <c r="S47" s="102">
        <f t="shared" si="19"/>
        <v>104077</v>
      </c>
      <c r="T47" s="103">
        <f t="shared" si="20"/>
        <v>19</v>
      </c>
      <c r="U47" s="103">
        <f t="shared" si="21"/>
        <v>19</v>
      </c>
      <c r="V47" s="104">
        <v>0.85310233682514103</v>
      </c>
      <c r="W47" s="104">
        <v>0.85310233682514103</v>
      </c>
      <c r="X47" s="107"/>
      <c r="Y47" s="106"/>
      <c r="Z47" s="128"/>
    </row>
    <row r="48" spans="1:255">
      <c r="A48" s="95" t="s">
        <v>47</v>
      </c>
      <c r="B48" s="96">
        <v>45924</v>
      </c>
      <c r="C48" s="97" t="s">
        <v>50</v>
      </c>
      <c r="D48" s="98">
        <v>49710</v>
      </c>
      <c r="E48" s="99">
        <v>11</v>
      </c>
      <c r="F48" s="99">
        <v>4519</v>
      </c>
      <c r="G48" s="99">
        <v>9</v>
      </c>
      <c r="H48" s="99">
        <f t="shared" si="12"/>
        <v>5523.333333333333</v>
      </c>
      <c r="I48" s="99">
        <v>50</v>
      </c>
      <c r="J48" s="98">
        <f t="shared" si="13"/>
        <v>1.2222222222222223</v>
      </c>
      <c r="K48" s="99"/>
      <c r="L48" s="99"/>
      <c r="M48" s="99"/>
      <c r="N48" s="100">
        <f t="shared" si="14"/>
        <v>0.18</v>
      </c>
      <c r="O48" s="101">
        <f t="shared" si="15"/>
        <v>0.46744419845653279</v>
      </c>
      <c r="P48" s="102">
        <f t="shared" si="16"/>
        <v>106344.24422024886</v>
      </c>
      <c r="Q48" s="103">
        <f t="shared" si="17"/>
        <v>17.724040703374811</v>
      </c>
      <c r="R48" s="103">
        <f t="shared" si="18"/>
        <v>9.8466892796526722</v>
      </c>
      <c r="S48" s="102">
        <f t="shared" si="19"/>
        <v>49710</v>
      </c>
      <c r="T48" s="103">
        <f t="shared" si="20"/>
        <v>11</v>
      </c>
      <c r="U48" s="103">
        <f t="shared" si="21"/>
        <v>11</v>
      </c>
      <c r="V48" s="104">
        <v>0.85310233682514103</v>
      </c>
      <c r="W48" s="104">
        <v>0.85310233682514103</v>
      </c>
      <c r="X48" s="107"/>
      <c r="Y48" s="106"/>
      <c r="Z48" s="128"/>
    </row>
    <row r="49" spans="1:255">
      <c r="A49" s="95" t="s">
        <v>51</v>
      </c>
      <c r="B49" s="96">
        <v>45925</v>
      </c>
      <c r="C49" s="97" t="s">
        <v>52</v>
      </c>
      <c r="D49" s="98">
        <f>46803+9503+8992+3692+35958</f>
        <v>104948</v>
      </c>
      <c r="E49" s="99">
        <v>13</v>
      </c>
      <c r="F49" s="99">
        <f t="shared" si="11"/>
        <v>8072.9230769230771</v>
      </c>
      <c r="G49" s="99">
        <v>11</v>
      </c>
      <c r="H49" s="99">
        <f t="shared" si="12"/>
        <v>9540.7272727272721</v>
      </c>
      <c r="I49" s="99">
        <v>60</v>
      </c>
      <c r="J49" s="98">
        <f t="shared" si="13"/>
        <v>1.1818181818181819</v>
      </c>
      <c r="K49" s="99">
        <v>46803</v>
      </c>
      <c r="L49" s="99">
        <v>9503</v>
      </c>
      <c r="M49" s="99">
        <v>8992</v>
      </c>
      <c r="N49" s="100">
        <f t="shared" si="14"/>
        <v>0.18333333333333332</v>
      </c>
      <c r="O49" s="101">
        <f t="shared" si="15"/>
        <v>0.98687052383054119</v>
      </c>
      <c r="P49" s="102">
        <f t="shared" si="16"/>
        <v>106344.24422024886</v>
      </c>
      <c r="Q49" s="103">
        <f t="shared" si="17"/>
        <v>17.724040703374811</v>
      </c>
      <c r="R49" s="103">
        <f t="shared" si="18"/>
        <v>9.8466892796526722</v>
      </c>
      <c r="S49" s="102">
        <f t="shared" si="19"/>
        <v>104948</v>
      </c>
      <c r="T49" s="103">
        <f t="shared" si="20"/>
        <v>13</v>
      </c>
      <c r="U49" s="103">
        <f t="shared" si="21"/>
        <v>13</v>
      </c>
      <c r="V49" s="104">
        <v>0.85310233682514103</v>
      </c>
      <c r="W49" s="104">
        <v>0.85310233682514103</v>
      </c>
      <c r="X49" s="107"/>
      <c r="Y49" s="106"/>
      <c r="Z49" s="128"/>
    </row>
    <row r="50" spans="1:255" s="124" customFormat="1">
      <c r="A50" s="111" t="s">
        <v>47</v>
      </c>
      <c r="B50" s="112">
        <v>45926</v>
      </c>
      <c r="C50" s="113" t="s">
        <v>54</v>
      </c>
      <c r="D50" s="114">
        <v>106746</v>
      </c>
      <c r="E50" s="115">
        <v>18</v>
      </c>
      <c r="F50" s="129">
        <f t="shared" si="11"/>
        <v>5930.333333333333</v>
      </c>
      <c r="G50" s="115">
        <v>7</v>
      </c>
      <c r="H50" s="115">
        <f t="shared" si="12"/>
        <v>15249.428571428571</v>
      </c>
      <c r="I50" s="115">
        <f>19+47</f>
        <v>66</v>
      </c>
      <c r="J50" s="114">
        <f t="shared" si="13"/>
        <v>2.5714285714285716</v>
      </c>
      <c r="K50" s="115">
        <v>11492</v>
      </c>
      <c r="L50" s="115"/>
      <c r="M50" s="115"/>
      <c r="N50" s="116">
        <f t="shared" si="14"/>
        <v>0.10606060606060606</v>
      </c>
      <c r="O50" s="117">
        <f t="shared" si="15"/>
        <v>1.1414579314050259</v>
      </c>
      <c r="P50" s="118">
        <f t="shared" si="16"/>
        <v>93517.244099049582</v>
      </c>
      <c r="Q50" s="119">
        <f t="shared" si="17"/>
        <v>15.586207349841599</v>
      </c>
      <c r="R50" s="119">
        <f t="shared" si="18"/>
        <v>8.6590040832453319</v>
      </c>
      <c r="S50" s="118">
        <f t="shared" si="19"/>
        <v>106746</v>
      </c>
      <c r="T50" s="119">
        <f t="shared" si="20"/>
        <v>18</v>
      </c>
      <c r="U50" s="119">
        <f t="shared" si="21"/>
        <v>18</v>
      </c>
      <c r="V50" s="120">
        <v>0.8</v>
      </c>
      <c r="W50" s="120">
        <v>0.8</v>
      </c>
      <c r="X50" s="121"/>
      <c r="Y50" s="122"/>
      <c r="Z50" s="127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123"/>
      <c r="BM50" s="123"/>
      <c r="BN50" s="123"/>
      <c r="BO50" s="123"/>
      <c r="BP50" s="123"/>
      <c r="BQ50" s="123"/>
      <c r="BR50" s="123"/>
      <c r="BS50" s="123"/>
      <c r="BT50" s="123"/>
      <c r="BU50" s="123"/>
      <c r="BV50" s="123"/>
      <c r="BW50" s="123"/>
      <c r="BX50" s="123"/>
      <c r="BY50" s="123"/>
      <c r="BZ50" s="123"/>
      <c r="CA50" s="123"/>
      <c r="CB50" s="123"/>
      <c r="CC50" s="123"/>
      <c r="CD50" s="123"/>
      <c r="CE50" s="123"/>
      <c r="CF50" s="123"/>
      <c r="CG50" s="123"/>
      <c r="CH50" s="123"/>
      <c r="CI50" s="123"/>
      <c r="CJ50" s="123"/>
      <c r="CK50" s="123"/>
      <c r="CL50" s="123"/>
      <c r="CM50" s="123"/>
      <c r="CN50" s="123"/>
      <c r="CO50" s="123"/>
      <c r="CP50" s="123"/>
      <c r="CQ50" s="123"/>
      <c r="CR50" s="123"/>
      <c r="CS50" s="123"/>
      <c r="CT50" s="123"/>
      <c r="CU50" s="123"/>
      <c r="CV50" s="123"/>
      <c r="CW50" s="123"/>
      <c r="CX50" s="123"/>
      <c r="CY50" s="123"/>
      <c r="CZ50" s="123"/>
      <c r="DA50" s="123"/>
      <c r="DB50" s="123"/>
      <c r="DC50" s="123"/>
      <c r="DD50" s="123"/>
      <c r="DE50" s="123"/>
      <c r="DF50" s="123"/>
      <c r="DG50" s="123"/>
      <c r="DH50" s="123"/>
      <c r="DI50" s="123"/>
      <c r="DJ50" s="123"/>
      <c r="DK50" s="123"/>
      <c r="DL50" s="123"/>
      <c r="DM50" s="123"/>
      <c r="DN50" s="123"/>
      <c r="DO50" s="123"/>
      <c r="DP50" s="123"/>
      <c r="DQ50" s="123"/>
      <c r="DR50" s="123"/>
      <c r="DS50" s="123"/>
      <c r="DT50" s="123"/>
      <c r="DU50" s="123"/>
      <c r="DV50" s="123"/>
      <c r="DW50" s="123"/>
      <c r="DX50" s="123"/>
      <c r="DY50" s="123"/>
      <c r="DZ50" s="123"/>
      <c r="EA50" s="123"/>
      <c r="EB50" s="123"/>
      <c r="EC50" s="123"/>
      <c r="ED50" s="123"/>
      <c r="EE50" s="123"/>
      <c r="EF50" s="123"/>
      <c r="EG50" s="123"/>
      <c r="EH50" s="123"/>
      <c r="EI50" s="123"/>
      <c r="EJ50" s="123"/>
      <c r="EK50" s="123"/>
      <c r="EL50" s="123"/>
      <c r="EM50" s="123"/>
      <c r="EN50" s="123"/>
      <c r="EO50" s="123"/>
      <c r="EP50" s="123"/>
      <c r="EQ50" s="123"/>
      <c r="ER50" s="123"/>
      <c r="ES50" s="123"/>
      <c r="ET50" s="123"/>
      <c r="EU50" s="123"/>
      <c r="EV50" s="123"/>
      <c r="EW50" s="123"/>
      <c r="EX50" s="123"/>
      <c r="EY50" s="123"/>
      <c r="EZ50" s="123"/>
      <c r="FA50" s="123"/>
      <c r="FB50" s="123"/>
      <c r="FC50" s="123"/>
      <c r="FD50" s="123"/>
      <c r="FE50" s="123"/>
      <c r="FF50" s="123"/>
      <c r="FG50" s="123"/>
      <c r="FH50" s="123"/>
      <c r="FI50" s="123"/>
      <c r="FJ50" s="123"/>
      <c r="FK50" s="123"/>
      <c r="FL50" s="123"/>
      <c r="FM50" s="123"/>
      <c r="FN50" s="123"/>
      <c r="FO50" s="123"/>
      <c r="FP50" s="123"/>
      <c r="FQ50" s="123"/>
      <c r="FR50" s="123"/>
      <c r="FS50" s="123"/>
      <c r="FT50" s="123"/>
      <c r="FU50" s="123"/>
      <c r="FV50" s="123"/>
      <c r="FW50" s="123"/>
      <c r="FX50" s="123"/>
      <c r="FY50" s="123"/>
      <c r="FZ50" s="123"/>
      <c r="GA50" s="123"/>
      <c r="GB50" s="123"/>
      <c r="GC50" s="123"/>
      <c r="GD50" s="123"/>
      <c r="GE50" s="123"/>
      <c r="GF50" s="123"/>
      <c r="GG50" s="123"/>
      <c r="GH50" s="123"/>
      <c r="GI50" s="123"/>
      <c r="GJ50" s="123"/>
      <c r="GK50" s="123"/>
      <c r="GL50" s="123"/>
      <c r="GM50" s="123"/>
      <c r="GN50" s="123"/>
      <c r="GO50" s="123"/>
      <c r="GP50" s="123"/>
      <c r="GQ50" s="123"/>
      <c r="GR50" s="123"/>
      <c r="GS50" s="123"/>
      <c r="GT50" s="123"/>
      <c r="GU50" s="123"/>
      <c r="GV50" s="123"/>
      <c r="GW50" s="123"/>
      <c r="GX50" s="123"/>
      <c r="GY50" s="123"/>
      <c r="GZ50" s="123"/>
      <c r="HA50" s="123"/>
      <c r="HB50" s="123"/>
      <c r="HC50" s="123"/>
      <c r="HD50" s="123"/>
      <c r="HE50" s="123"/>
      <c r="HF50" s="123"/>
      <c r="HG50" s="123"/>
      <c r="HH50" s="123"/>
      <c r="HI50" s="123"/>
      <c r="HJ50" s="123"/>
      <c r="HK50" s="123"/>
      <c r="HL50" s="123"/>
      <c r="HM50" s="123"/>
      <c r="HN50" s="123"/>
      <c r="HO50" s="123"/>
      <c r="HP50" s="123"/>
      <c r="HQ50" s="123"/>
      <c r="HR50" s="123"/>
      <c r="HS50" s="123"/>
      <c r="HT50" s="123"/>
      <c r="HU50" s="123"/>
      <c r="HV50" s="123"/>
      <c r="HW50" s="123"/>
      <c r="HX50" s="123"/>
      <c r="HY50" s="123"/>
      <c r="HZ50" s="123"/>
      <c r="IA50" s="123"/>
      <c r="IB50" s="123"/>
      <c r="IC50" s="123"/>
      <c r="ID50" s="123"/>
      <c r="IE50" s="123"/>
      <c r="IF50" s="123"/>
      <c r="IG50" s="123"/>
      <c r="IH50" s="123"/>
      <c r="II50" s="123"/>
      <c r="IJ50" s="123"/>
      <c r="IK50" s="123"/>
      <c r="IL50" s="123"/>
      <c r="IM50" s="123"/>
      <c r="IN50" s="123"/>
      <c r="IO50" s="123"/>
      <c r="IP50" s="123"/>
      <c r="IQ50" s="123"/>
      <c r="IR50" s="123"/>
      <c r="IS50" s="123"/>
      <c r="IT50" s="123"/>
      <c r="IU50" s="123"/>
    </row>
    <row r="51" spans="1:255" s="124" customFormat="1">
      <c r="A51" s="111" t="s">
        <v>47</v>
      </c>
      <c r="B51" s="112">
        <v>45927</v>
      </c>
      <c r="C51" s="113" t="s">
        <v>55</v>
      </c>
      <c r="D51" s="114">
        <f>20906+21082+48725+64088</f>
        <v>154801</v>
      </c>
      <c r="E51" s="115">
        <v>27</v>
      </c>
      <c r="F51" s="115">
        <f t="shared" si="11"/>
        <v>5733.3703703703704</v>
      </c>
      <c r="G51" s="115">
        <v>15</v>
      </c>
      <c r="H51" s="115">
        <f t="shared" si="12"/>
        <v>10320.066666666668</v>
      </c>
      <c r="I51" s="115">
        <v>86</v>
      </c>
      <c r="J51" s="114">
        <f t="shared" si="13"/>
        <v>1.8</v>
      </c>
      <c r="K51" s="115"/>
      <c r="L51" s="115">
        <v>20906</v>
      </c>
      <c r="M51" s="115">
        <v>21082</v>
      </c>
      <c r="N51" s="116">
        <f t="shared" si="14"/>
        <v>0.1744186046511628</v>
      </c>
      <c r="O51" s="117">
        <f t="shared" si="15"/>
        <v>1.6553203795873326</v>
      </c>
      <c r="P51" s="118">
        <f t="shared" si="16"/>
        <v>93517.244099049582</v>
      </c>
      <c r="Q51" s="119">
        <f t="shared" si="17"/>
        <v>15.586207349841599</v>
      </c>
      <c r="R51" s="119">
        <f t="shared" si="18"/>
        <v>8.6590040832453319</v>
      </c>
      <c r="S51" s="118">
        <f t="shared" si="19"/>
        <v>154801</v>
      </c>
      <c r="T51" s="119">
        <f t="shared" si="20"/>
        <v>27</v>
      </c>
      <c r="U51" s="119">
        <f t="shared" si="21"/>
        <v>27</v>
      </c>
      <c r="V51" s="120">
        <v>0.8</v>
      </c>
      <c r="W51" s="120">
        <v>0.8</v>
      </c>
      <c r="X51" s="121"/>
      <c r="Y51" s="122"/>
      <c r="Z51" s="127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123"/>
      <c r="BT51" s="123"/>
      <c r="BU51" s="123"/>
      <c r="BV51" s="123"/>
      <c r="BW51" s="123"/>
      <c r="BX51" s="123"/>
      <c r="BY51" s="123"/>
      <c r="BZ51" s="123"/>
      <c r="CA51" s="123"/>
      <c r="CB51" s="123"/>
      <c r="CC51" s="123"/>
      <c r="CD51" s="123"/>
      <c r="CE51" s="123"/>
      <c r="CF51" s="123"/>
      <c r="CG51" s="123"/>
      <c r="CH51" s="123"/>
      <c r="CI51" s="123"/>
      <c r="CJ51" s="123"/>
      <c r="CK51" s="123"/>
      <c r="CL51" s="123"/>
      <c r="CM51" s="123"/>
      <c r="CN51" s="123"/>
      <c r="CO51" s="123"/>
      <c r="CP51" s="123"/>
      <c r="CQ51" s="123"/>
      <c r="CR51" s="123"/>
      <c r="CS51" s="123"/>
      <c r="CT51" s="123"/>
      <c r="CU51" s="123"/>
      <c r="CV51" s="123"/>
      <c r="CW51" s="123"/>
      <c r="CX51" s="123"/>
      <c r="CY51" s="123"/>
      <c r="CZ51" s="123"/>
      <c r="DA51" s="123"/>
      <c r="DB51" s="123"/>
      <c r="DC51" s="123"/>
      <c r="DD51" s="123"/>
      <c r="DE51" s="123"/>
      <c r="DF51" s="123"/>
      <c r="DG51" s="123"/>
      <c r="DH51" s="123"/>
      <c r="DI51" s="123"/>
      <c r="DJ51" s="123"/>
      <c r="DK51" s="123"/>
      <c r="DL51" s="123"/>
      <c r="DM51" s="123"/>
      <c r="DN51" s="123"/>
      <c r="DO51" s="123"/>
      <c r="DP51" s="123"/>
      <c r="DQ51" s="123"/>
      <c r="DR51" s="123"/>
      <c r="DS51" s="123"/>
      <c r="DT51" s="123"/>
      <c r="DU51" s="123"/>
      <c r="DV51" s="123"/>
      <c r="DW51" s="123"/>
      <c r="DX51" s="123"/>
      <c r="DY51" s="123"/>
      <c r="DZ51" s="123"/>
      <c r="EA51" s="123"/>
      <c r="EB51" s="123"/>
      <c r="EC51" s="123"/>
      <c r="ED51" s="123"/>
      <c r="EE51" s="123"/>
      <c r="EF51" s="123"/>
      <c r="EG51" s="123"/>
      <c r="EH51" s="123"/>
      <c r="EI51" s="123"/>
      <c r="EJ51" s="123"/>
      <c r="EK51" s="123"/>
      <c r="EL51" s="123"/>
      <c r="EM51" s="123"/>
      <c r="EN51" s="123"/>
      <c r="EO51" s="123"/>
      <c r="EP51" s="123"/>
      <c r="EQ51" s="123"/>
      <c r="ER51" s="123"/>
      <c r="ES51" s="123"/>
      <c r="ET51" s="123"/>
      <c r="EU51" s="123"/>
      <c r="EV51" s="123"/>
      <c r="EW51" s="123"/>
      <c r="EX51" s="123"/>
      <c r="EY51" s="123"/>
      <c r="EZ51" s="123"/>
      <c r="FA51" s="123"/>
      <c r="FB51" s="123"/>
      <c r="FC51" s="123"/>
      <c r="FD51" s="123"/>
      <c r="FE51" s="123"/>
      <c r="FF51" s="123"/>
      <c r="FG51" s="123"/>
      <c r="FH51" s="123"/>
      <c r="FI51" s="123"/>
      <c r="FJ51" s="123"/>
      <c r="FK51" s="123"/>
      <c r="FL51" s="123"/>
      <c r="FM51" s="123"/>
      <c r="FN51" s="123"/>
      <c r="FO51" s="123"/>
      <c r="FP51" s="123"/>
      <c r="FQ51" s="123"/>
      <c r="FR51" s="123"/>
      <c r="FS51" s="123"/>
      <c r="FT51" s="123"/>
      <c r="FU51" s="123"/>
      <c r="FV51" s="123"/>
      <c r="FW51" s="123"/>
      <c r="FX51" s="123"/>
      <c r="FY51" s="123"/>
      <c r="FZ51" s="123"/>
      <c r="GA51" s="123"/>
      <c r="GB51" s="123"/>
      <c r="GC51" s="123"/>
      <c r="GD51" s="123"/>
      <c r="GE51" s="123"/>
      <c r="GF51" s="123"/>
      <c r="GG51" s="123"/>
      <c r="GH51" s="123"/>
      <c r="GI51" s="123"/>
      <c r="GJ51" s="123"/>
      <c r="GK51" s="123"/>
      <c r="GL51" s="123"/>
      <c r="GM51" s="123"/>
      <c r="GN51" s="123"/>
      <c r="GO51" s="123"/>
      <c r="GP51" s="123"/>
      <c r="GQ51" s="123"/>
      <c r="GR51" s="123"/>
      <c r="GS51" s="123"/>
      <c r="GT51" s="123"/>
      <c r="GU51" s="123"/>
      <c r="GV51" s="123"/>
      <c r="GW51" s="123"/>
      <c r="GX51" s="123"/>
      <c r="GY51" s="123"/>
      <c r="GZ51" s="123"/>
      <c r="HA51" s="123"/>
      <c r="HB51" s="123"/>
      <c r="HC51" s="123"/>
      <c r="HD51" s="123"/>
      <c r="HE51" s="123"/>
      <c r="HF51" s="123"/>
      <c r="HG51" s="123"/>
      <c r="HH51" s="123"/>
      <c r="HI51" s="123"/>
      <c r="HJ51" s="123"/>
      <c r="HK51" s="123"/>
      <c r="HL51" s="123"/>
      <c r="HM51" s="123"/>
      <c r="HN51" s="123"/>
      <c r="HO51" s="123"/>
      <c r="HP51" s="123"/>
      <c r="HQ51" s="123"/>
      <c r="HR51" s="123"/>
      <c r="HS51" s="123"/>
      <c r="HT51" s="123"/>
      <c r="HU51" s="123"/>
      <c r="HV51" s="123"/>
      <c r="HW51" s="123"/>
      <c r="HX51" s="123"/>
      <c r="HY51" s="123"/>
      <c r="HZ51" s="123"/>
      <c r="IA51" s="123"/>
      <c r="IB51" s="123"/>
      <c r="IC51" s="123"/>
      <c r="ID51" s="123"/>
      <c r="IE51" s="123"/>
      <c r="IF51" s="123"/>
      <c r="IG51" s="123"/>
      <c r="IH51" s="123"/>
      <c r="II51" s="123"/>
      <c r="IJ51" s="123"/>
      <c r="IK51" s="123"/>
      <c r="IL51" s="123"/>
      <c r="IM51" s="123"/>
      <c r="IN51" s="123"/>
      <c r="IO51" s="123"/>
      <c r="IP51" s="123"/>
      <c r="IQ51" s="123"/>
      <c r="IR51" s="123"/>
      <c r="IS51" s="123"/>
      <c r="IT51" s="123"/>
      <c r="IU51" s="123"/>
    </row>
    <row r="52" spans="1:255" s="124" customFormat="1">
      <c r="A52" s="111" t="s">
        <v>57</v>
      </c>
      <c r="B52" s="112">
        <v>45928</v>
      </c>
      <c r="C52" s="113" t="s">
        <v>56</v>
      </c>
      <c r="D52" s="114">
        <v>116268</v>
      </c>
      <c r="E52" s="115">
        <v>17</v>
      </c>
      <c r="F52" s="115">
        <f t="shared" si="11"/>
        <v>6839.2941176470586</v>
      </c>
      <c r="G52" s="115">
        <v>9</v>
      </c>
      <c r="H52" s="115">
        <f t="shared" si="12"/>
        <v>12918.666666666666</v>
      </c>
      <c r="I52" s="115">
        <v>70</v>
      </c>
      <c r="J52" s="114">
        <f t="shared" si="13"/>
        <v>1.8888888888888888</v>
      </c>
      <c r="K52" s="115">
        <v>30671</v>
      </c>
      <c r="L52" s="115">
        <v>16806</v>
      </c>
      <c r="M52" s="115">
        <v>15983</v>
      </c>
      <c r="N52" s="116">
        <f t="shared" si="14"/>
        <v>0.12857142857142856</v>
      </c>
      <c r="O52" s="117">
        <f t="shared" si="15"/>
        <v>1.2432787249039734</v>
      </c>
      <c r="P52" s="118">
        <f t="shared" si="16"/>
        <v>93517.244099049582</v>
      </c>
      <c r="Q52" s="119">
        <f t="shared" si="17"/>
        <v>15.586207349841599</v>
      </c>
      <c r="R52" s="119">
        <f t="shared" si="18"/>
        <v>8.6590040832453319</v>
      </c>
      <c r="S52" s="118">
        <f t="shared" si="19"/>
        <v>116268</v>
      </c>
      <c r="T52" s="119">
        <f t="shared" si="20"/>
        <v>17</v>
      </c>
      <c r="U52" s="119">
        <f t="shared" si="21"/>
        <v>17</v>
      </c>
      <c r="V52" s="120">
        <v>0.8</v>
      </c>
      <c r="W52" s="120">
        <v>0.8</v>
      </c>
      <c r="X52" s="121"/>
      <c r="Y52" s="122"/>
      <c r="Z52" s="127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3"/>
      <c r="BP52" s="123"/>
      <c r="BQ52" s="123"/>
      <c r="BR52" s="123"/>
      <c r="BS52" s="123"/>
      <c r="BT52" s="123"/>
      <c r="BU52" s="123"/>
      <c r="BV52" s="123"/>
      <c r="BW52" s="123"/>
      <c r="BX52" s="123"/>
      <c r="BY52" s="123"/>
      <c r="BZ52" s="123"/>
      <c r="CA52" s="123"/>
      <c r="CB52" s="123"/>
      <c r="CC52" s="123"/>
      <c r="CD52" s="123"/>
      <c r="CE52" s="123"/>
      <c r="CF52" s="123"/>
      <c r="CG52" s="123"/>
      <c r="CH52" s="123"/>
      <c r="CI52" s="123"/>
      <c r="CJ52" s="123"/>
      <c r="CK52" s="123"/>
      <c r="CL52" s="123"/>
      <c r="CM52" s="123"/>
      <c r="CN52" s="123"/>
      <c r="CO52" s="123"/>
      <c r="CP52" s="123"/>
      <c r="CQ52" s="123"/>
      <c r="CR52" s="123"/>
      <c r="CS52" s="123"/>
      <c r="CT52" s="123"/>
      <c r="CU52" s="123"/>
      <c r="CV52" s="123"/>
      <c r="CW52" s="123"/>
      <c r="CX52" s="123"/>
      <c r="CY52" s="123"/>
      <c r="CZ52" s="123"/>
      <c r="DA52" s="123"/>
      <c r="DB52" s="123"/>
      <c r="DC52" s="123"/>
      <c r="DD52" s="123"/>
      <c r="DE52" s="123"/>
      <c r="DF52" s="123"/>
      <c r="DG52" s="123"/>
      <c r="DH52" s="123"/>
      <c r="DI52" s="123"/>
      <c r="DJ52" s="123"/>
      <c r="DK52" s="123"/>
      <c r="DL52" s="123"/>
      <c r="DM52" s="123"/>
      <c r="DN52" s="123"/>
      <c r="DO52" s="123"/>
      <c r="DP52" s="123"/>
      <c r="DQ52" s="123"/>
      <c r="DR52" s="123"/>
      <c r="DS52" s="123"/>
      <c r="DT52" s="123"/>
      <c r="DU52" s="123"/>
      <c r="DV52" s="123"/>
      <c r="DW52" s="123"/>
      <c r="DX52" s="123"/>
      <c r="DY52" s="123"/>
      <c r="DZ52" s="123"/>
      <c r="EA52" s="123"/>
      <c r="EB52" s="123"/>
      <c r="EC52" s="123"/>
      <c r="ED52" s="123"/>
      <c r="EE52" s="123"/>
      <c r="EF52" s="123"/>
      <c r="EG52" s="123"/>
      <c r="EH52" s="123"/>
      <c r="EI52" s="123"/>
      <c r="EJ52" s="123"/>
      <c r="EK52" s="123"/>
      <c r="EL52" s="123"/>
      <c r="EM52" s="123"/>
      <c r="EN52" s="123"/>
      <c r="EO52" s="123"/>
      <c r="EP52" s="123"/>
      <c r="EQ52" s="123"/>
      <c r="ER52" s="123"/>
      <c r="ES52" s="123"/>
      <c r="ET52" s="123"/>
      <c r="EU52" s="123"/>
      <c r="EV52" s="123"/>
      <c r="EW52" s="123"/>
      <c r="EX52" s="123"/>
      <c r="EY52" s="123"/>
      <c r="EZ52" s="123"/>
      <c r="FA52" s="123"/>
      <c r="FB52" s="123"/>
      <c r="FC52" s="123"/>
      <c r="FD52" s="123"/>
      <c r="FE52" s="123"/>
      <c r="FF52" s="123"/>
      <c r="FG52" s="123"/>
      <c r="FH52" s="123"/>
      <c r="FI52" s="123"/>
      <c r="FJ52" s="123"/>
      <c r="FK52" s="123"/>
      <c r="FL52" s="123"/>
      <c r="FM52" s="123"/>
      <c r="FN52" s="123"/>
      <c r="FO52" s="123"/>
      <c r="FP52" s="123"/>
      <c r="FQ52" s="123"/>
      <c r="FR52" s="123"/>
      <c r="FS52" s="123"/>
      <c r="FT52" s="123"/>
      <c r="FU52" s="123"/>
      <c r="FV52" s="123"/>
      <c r="FW52" s="123"/>
      <c r="FX52" s="123"/>
      <c r="FY52" s="123"/>
      <c r="FZ52" s="123"/>
      <c r="GA52" s="123"/>
      <c r="GB52" s="123"/>
      <c r="GC52" s="123"/>
      <c r="GD52" s="123"/>
      <c r="GE52" s="123"/>
      <c r="GF52" s="123"/>
      <c r="GG52" s="123"/>
      <c r="GH52" s="123"/>
      <c r="GI52" s="123"/>
      <c r="GJ52" s="123"/>
      <c r="GK52" s="123"/>
      <c r="GL52" s="123"/>
      <c r="GM52" s="123"/>
      <c r="GN52" s="123"/>
      <c r="GO52" s="123"/>
      <c r="GP52" s="123"/>
      <c r="GQ52" s="123"/>
      <c r="GR52" s="123"/>
      <c r="GS52" s="123"/>
      <c r="GT52" s="123"/>
      <c r="GU52" s="123"/>
      <c r="GV52" s="123"/>
      <c r="GW52" s="123"/>
      <c r="GX52" s="123"/>
      <c r="GY52" s="123"/>
      <c r="GZ52" s="123"/>
      <c r="HA52" s="123"/>
      <c r="HB52" s="123"/>
      <c r="HC52" s="123"/>
      <c r="HD52" s="123"/>
      <c r="HE52" s="123"/>
      <c r="HF52" s="123"/>
      <c r="HG52" s="123"/>
      <c r="HH52" s="123"/>
      <c r="HI52" s="123"/>
      <c r="HJ52" s="123"/>
      <c r="HK52" s="123"/>
      <c r="HL52" s="123"/>
      <c r="HM52" s="123"/>
      <c r="HN52" s="123"/>
      <c r="HO52" s="123"/>
      <c r="HP52" s="123"/>
      <c r="HQ52" s="123"/>
      <c r="HR52" s="123"/>
      <c r="HS52" s="123"/>
      <c r="HT52" s="123"/>
      <c r="HU52" s="123"/>
      <c r="HV52" s="123"/>
      <c r="HW52" s="123"/>
      <c r="HX52" s="123"/>
      <c r="HY52" s="123"/>
      <c r="HZ52" s="123"/>
      <c r="IA52" s="123"/>
      <c r="IB52" s="123"/>
      <c r="IC52" s="123"/>
      <c r="ID52" s="123"/>
      <c r="IE52" s="123"/>
      <c r="IF52" s="123"/>
      <c r="IG52" s="123"/>
      <c r="IH52" s="123"/>
      <c r="II52" s="123"/>
      <c r="IJ52" s="123"/>
      <c r="IK52" s="123"/>
      <c r="IL52" s="123"/>
      <c r="IM52" s="123"/>
      <c r="IN52" s="123"/>
      <c r="IO52" s="123"/>
      <c r="IP52" s="123"/>
      <c r="IQ52" s="123"/>
      <c r="IR52" s="123"/>
      <c r="IS52" s="123"/>
      <c r="IT52" s="123"/>
      <c r="IU52" s="123"/>
    </row>
    <row r="53" spans="1:255">
      <c r="A53" s="95" t="s">
        <v>47</v>
      </c>
      <c r="B53" s="96">
        <v>45929</v>
      </c>
      <c r="C53" s="97" t="s">
        <v>48</v>
      </c>
      <c r="D53" s="98">
        <v>34846.480000000003</v>
      </c>
      <c r="E53" s="99">
        <v>8</v>
      </c>
      <c r="F53" s="99">
        <f t="shared" si="11"/>
        <v>4355.8100000000004</v>
      </c>
      <c r="G53" s="99">
        <v>4</v>
      </c>
      <c r="H53" s="99">
        <f t="shared" si="12"/>
        <v>8711.6200000000008</v>
      </c>
      <c r="I53" s="99">
        <v>30</v>
      </c>
      <c r="J53" s="98">
        <f t="shared" si="13"/>
        <v>2</v>
      </c>
      <c r="K53" s="99"/>
      <c r="L53" s="99"/>
      <c r="M53" s="99"/>
      <c r="N53" s="100">
        <f t="shared" si="14"/>
        <v>0.13333333333333333</v>
      </c>
      <c r="O53" s="101">
        <f t="shared" si="15"/>
        <v>0.372620903617434</v>
      </c>
      <c r="P53" s="102">
        <f t="shared" si="16"/>
        <v>93517.244099049582</v>
      </c>
      <c r="Q53" s="103">
        <f t="shared" si="17"/>
        <v>15.586207349841599</v>
      </c>
      <c r="R53" s="103">
        <f t="shared" si="18"/>
        <v>8.6590040832453319</v>
      </c>
      <c r="S53" s="102">
        <f t="shared" si="19"/>
        <v>34846.480000000003</v>
      </c>
      <c r="T53" s="103">
        <f t="shared" si="20"/>
        <v>8</v>
      </c>
      <c r="U53" s="103">
        <f t="shared" si="21"/>
        <v>8</v>
      </c>
      <c r="V53" s="104">
        <v>0.8</v>
      </c>
      <c r="W53" s="104">
        <v>0.8</v>
      </c>
      <c r="X53" s="107"/>
      <c r="Y53" s="106"/>
      <c r="Z53" s="128"/>
    </row>
    <row r="54" spans="1:255" ht="15" customHeight="1">
      <c r="A54" s="95" t="s">
        <v>51</v>
      </c>
      <c r="B54" s="96">
        <v>45930</v>
      </c>
      <c r="C54" s="97" t="s">
        <v>49</v>
      </c>
      <c r="D54" s="98">
        <v>32944</v>
      </c>
      <c r="E54" s="99">
        <v>5</v>
      </c>
      <c r="F54" s="99">
        <f t="shared" si="11"/>
        <v>6588.8</v>
      </c>
      <c r="G54" s="99">
        <v>3</v>
      </c>
      <c r="H54" s="99">
        <f t="shared" si="12"/>
        <v>10981.333333333334</v>
      </c>
      <c r="I54" s="99">
        <v>17</v>
      </c>
      <c r="J54" s="98">
        <f t="shared" si="13"/>
        <v>1.6666666666666667</v>
      </c>
      <c r="K54" s="99">
        <v>13490</v>
      </c>
      <c r="L54" s="99"/>
      <c r="M54" s="99"/>
      <c r="N54" s="100">
        <f t="shared" si="14"/>
        <v>0.17647058823529413</v>
      </c>
      <c r="O54" s="101">
        <f t="shared" si="15"/>
        <v>0.35227727589049868</v>
      </c>
      <c r="P54" s="102">
        <f t="shared" si="16"/>
        <v>93517.244099049582</v>
      </c>
      <c r="Q54" s="103">
        <f t="shared" si="17"/>
        <v>15.586207349841599</v>
      </c>
      <c r="R54" s="103">
        <f t="shared" si="18"/>
        <v>8.6590040832453319</v>
      </c>
      <c r="S54" s="102">
        <f t="shared" si="19"/>
        <v>32944</v>
      </c>
      <c r="T54" s="103">
        <f t="shared" si="20"/>
        <v>5</v>
      </c>
      <c r="U54" s="103">
        <f t="shared" si="21"/>
        <v>5</v>
      </c>
      <c r="V54" s="104">
        <v>0.8</v>
      </c>
      <c r="W54" s="104">
        <v>0.8</v>
      </c>
      <c r="X54" s="107"/>
      <c r="Y54" s="106"/>
      <c r="Z54" s="128"/>
    </row>
    <row r="55" spans="1:255" ht="15" customHeight="1">
      <c r="A55" s="95"/>
      <c r="B55" s="96"/>
      <c r="C55" s="97"/>
      <c r="D55" s="98"/>
      <c r="E55" s="99"/>
      <c r="F55" s="99" t="str">
        <f t="shared" si="11"/>
        <v/>
      </c>
      <c r="G55" s="99"/>
      <c r="H55" s="99" t="str">
        <f t="shared" si="12"/>
        <v/>
      </c>
      <c r="I55" s="99"/>
      <c r="J55" s="98" t="str">
        <f t="shared" si="13"/>
        <v/>
      </c>
      <c r="K55" s="99"/>
      <c r="L55" s="99"/>
      <c r="M55" s="99"/>
      <c r="N55" s="100" t="str">
        <f t="shared" si="14"/>
        <v/>
      </c>
      <c r="O55" s="101" t="e">
        <f t="shared" si="15"/>
        <v>#DIV/0!</v>
      </c>
      <c r="P55" s="102">
        <f t="shared" si="16"/>
        <v>0</v>
      </c>
      <c r="Q55" s="103">
        <f t="shared" si="17"/>
        <v>0</v>
      </c>
      <c r="R55" s="103">
        <f t="shared" si="18"/>
        <v>0</v>
      </c>
      <c r="S55" s="102" t="str">
        <f t="shared" si="19"/>
        <v/>
      </c>
      <c r="T55" s="103" t="str">
        <f t="shared" si="20"/>
        <v/>
      </c>
      <c r="U55" s="103" t="str">
        <f t="shared" si="21"/>
        <v/>
      </c>
      <c r="V55" s="104"/>
      <c r="W55" s="104"/>
      <c r="X55" s="107"/>
      <c r="Y55" s="106"/>
    </row>
    <row r="56" spans="1:255" ht="15" customHeight="1">
      <c r="A56" s="111"/>
      <c r="B56" s="535" t="s">
        <v>58</v>
      </c>
      <c r="C56" s="535"/>
      <c r="D56" s="114">
        <f>SUM(D25:D55)</f>
        <v>3134427.08</v>
      </c>
      <c r="E56" s="115">
        <f>SUM(E25:E55)</f>
        <v>482</v>
      </c>
      <c r="F56" s="115">
        <f>IF(AND(E56&lt;&gt;"", E56&lt;&gt;0), D56/E56, "")</f>
        <v>6502.9607468879667</v>
      </c>
      <c r="G56" s="115">
        <f>SUM(G25:G55)</f>
        <v>273</v>
      </c>
      <c r="H56" s="115">
        <f>IF(AND(G56&lt;&gt;"", G56&lt;&gt;0), D56/G56, "")</f>
        <v>11481.417875457875</v>
      </c>
      <c r="I56" s="115">
        <f>SUM(I25:I55)</f>
        <v>2186</v>
      </c>
      <c r="J56" s="114">
        <f>E56/G56</f>
        <v>1.7655677655677655</v>
      </c>
      <c r="K56" s="115">
        <f>SUM(K25:K55)</f>
        <v>779065</v>
      </c>
      <c r="L56" s="115">
        <f>SUM(L25:L55)</f>
        <v>167876</v>
      </c>
      <c r="M56" s="115">
        <f>SUM(M25:M55)</f>
        <v>216811</v>
      </c>
      <c r="N56" s="130">
        <f>IF(AND(I56&lt;&gt;"", I56&lt;&gt;0), G56/I56, "")</f>
        <v>0.12488563586459286</v>
      </c>
      <c r="O56" s="117">
        <f t="shared" si="15"/>
        <v>0.90412688358140114</v>
      </c>
      <c r="P56" s="119">
        <f t="shared" ref="P56:U56" si="22">SUM(P25:P55)</f>
        <v>3466799.9999999986</v>
      </c>
      <c r="Q56" s="119">
        <f t="shared" si="22"/>
        <v>577.8000000000003</v>
      </c>
      <c r="R56" s="119">
        <f t="shared" si="22"/>
        <v>321</v>
      </c>
      <c r="S56" s="119">
        <f t="shared" si="22"/>
        <v>3134427.08</v>
      </c>
      <c r="T56" s="119">
        <f t="shared" si="22"/>
        <v>482</v>
      </c>
      <c r="U56" s="119">
        <f t="shared" si="22"/>
        <v>476</v>
      </c>
      <c r="V56" s="131"/>
      <c r="W56" s="131"/>
    </row>
    <row r="57" spans="1:255">
      <c r="A57" s="132"/>
      <c r="B57" s="133"/>
      <c r="C57" s="134"/>
      <c r="D57" s="135">
        <f>SUMIF(D25:D55,"",P25:P55)+D56</f>
        <v>3134427.08</v>
      </c>
      <c r="E57" s="136"/>
      <c r="F57" s="134"/>
      <c r="G57" s="134"/>
      <c r="H57" s="137"/>
      <c r="I57" s="138">
        <f>I56/J14</f>
        <v>72.86666666666666</v>
      </c>
      <c r="J57" s="137"/>
      <c r="K57" s="3"/>
      <c r="L57" s="139"/>
      <c r="M57" s="136"/>
      <c r="N57" s="139"/>
      <c r="O57" s="139"/>
      <c r="P57" s="139"/>
      <c r="Q57" s="140"/>
      <c r="R57" s="3"/>
      <c r="T57" s="3"/>
      <c r="U57" s="3"/>
      <c r="V57" s="3"/>
      <c r="W57" s="3"/>
    </row>
    <row r="58" spans="1:255">
      <c r="A58" s="132"/>
      <c r="B58" s="3"/>
      <c r="C58" s="141"/>
      <c r="D58" s="141">
        <f>'Рогалевич И. Е. '!J8+'Уразгильдеева Е. Р. '!J8</f>
        <v>3134427.08</v>
      </c>
      <c r="E58" s="142">
        <f>'Рогалевич И. Е. '!E57+'Уразгильдеева Е. Р. '!E57</f>
        <v>482</v>
      </c>
      <c r="F58" s="3"/>
      <c r="G58" s="142">
        <f>'Рогалевич И. Е. '!G57+'Уразгильдеева Е. Р. '!G57</f>
        <v>273</v>
      </c>
      <c r="H58" s="3"/>
      <c r="I58" s="143">
        <f>'Рогалевич И. Е. '!I57+'Уразгильдеева Е. Р. '!I57</f>
        <v>2186</v>
      </c>
      <c r="J58" s="144"/>
      <c r="K58" s="145">
        <f>'Рогалевич И. Е. '!K57+'Уразгильдеева Е. Р. '!K57</f>
        <v>779065</v>
      </c>
      <c r="L58" s="142">
        <f>'Рогалевич И. Е. '!L57+'Уразгильдеева Е. Р. '!L57</f>
        <v>167876</v>
      </c>
      <c r="M58" s="142">
        <f>'Рогалевич И. Е. '!M57+'Уразгильдеева Е. Р. '!M57</f>
        <v>216811</v>
      </c>
      <c r="N58" s="3"/>
      <c r="O58" s="3"/>
      <c r="P58" s="3"/>
      <c r="Q58" s="3"/>
      <c r="R58" s="3"/>
      <c r="T58" s="3"/>
      <c r="U58" s="3"/>
      <c r="V58" s="3"/>
      <c r="W58" s="3"/>
    </row>
    <row r="59" spans="1:255">
      <c r="D59" s="146"/>
      <c r="F59" s="147"/>
    </row>
    <row r="60" spans="1:255">
      <c r="D60" s="92"/>
      <c r="G60" s="148"/>
      <c r="M60" s="146"/>
    </row>
    <row r="61" spans="1:255">
      <c r="D61" s="92"/>
    </row>
    <row r="62" spans="1:255">
      <c r="K62" s="92"/>
      <c r="M62" s="146"/>
    </row>
    <row r="64" spans="1:255">
      <c r="F64" s="536"/>
    </row>
    <row r="65" spans="4:6">
      <c r="F65" s="536"/>
    </row>
    <row r="68" spans="4:6">
      <c r="D68" s="149"/>
    </row>
  </sheetData>
  <mergeCells count="31">
    <mergeCell ref="P22:W22"/>
    <mergeCell ref="A23:A24"/>
    <mergeCell ref="B56:C56"/>
    <mergeCell ref="F64:F65"/>
    <mergeCell ref="F18:H18"/>
    <mergeCell ref="F19:H19"/>
    <mergeCell ref="F20:H20"/>
    <mergeCell ref="A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I3:M4"/>
    <mergeCell ref="C4:D4"/>
  </mergeCells>
  <conditionalFormatting sqref="D58">
    <cfRule type="cellIs" dxfId="186" priority="60" operator="equal">
      <formula>$D$56</formula>
    </cfRule>
    <cfRule type="cellIs" dxfId="185" priority="59" operator="notEqual">
      <formula>$D$56</formula>
    </cfRule>
  </conditionalFormatting>
  <conditionalFormatting sqref="G58">
    <cfRule type="cellIs" dxfId="184" priority="18" operator="notEqual">
      <formula>$G$56</formula>
    </cfRule>
  </conditionalFormatting>
  <conditionalFormatting sqref="J16">
    <cfRule type="cellIs" dxfId="183" priority="63" operator="greaterThan">
      <formula>0</formula>
    </cfRule>
    <cfRule type="cellIs" dxfId="182" priority="62" operator="lessThan">
      <formula>0</formula>
    </cfRule>
  </conditionalFormatting>
  <conditionalFormatting sqref="J25:J55">
    <cfRule type="cellIs" dxfId="181" priority="40" operator="greaterThan">
      <formula>$I$12</formula>
    </cfRule>
    <cfRule type="cellIs" dxfId="180" priority="39" operator="lessThan">
      <formula>$I$12</formula>
    </cfRule>
  </conditionalFormatting>
  <conditionalFormatting sqref="J27">
    <cfRule type="cellIs" dxfId="179" priority="74" operator="lessThan">
      <formula>$I$12</formula>
    </cfRule>
  </conditionalFormatting>
  <conditionalFormatting sqref="K8">
    <cfRule type="cellIs" dxfId="178" priority="2" operator="greaterThan">
      <formula>$K$17</formula>
    </cfRule>
    <cfRule type="cellIs" dxfId="177" priority="3" operator="lessThan">
      <formula>$K$17</formula>
    </cfRule>
  </conditionalFormatting>
  <conditionalFormatting sqref="K10:K12 K15">
    <cfRule type="cellIs" dxfId="176" priority="67" operator="greaterThan">
      <formula>1</formula>
    </cfRule>
    <cfRule type="cellIs" dxfId="175" priority="66" operator="lessThan">
      <formula>1</formula>
    </cfRule>
  </conditionalFormatting>
  <conditionalFormatting sqref="K58">
    <cfRule type="cellIs" dxfId="174" priority="19" operator="equal">
      <formula>$K$56</formula>
    </cfRule>
  </conditionalFormatting>
  <conditionalFormatting sqref="L58">
    <cfRule type="cellIs" dxfId="173" priority="22" operator="equal">
      <formula>$L$56</formula>
    </cfRule>
    <cfRule type="cellIs" dxfId="172" priority="23" operator="notEqual">
      <formula>$L$56</formula>
    </cfRule>
  </conditionalFormatting>
  <conditionalFormatting sqref="M8:M15">
    <cfRule type="cellIs" dxfId="171" priority="53" operator="greaterThan">
      <formula>1</formula>
    </cfRule>
    <cfRule type="cellIs" dxfId="170" priority="52" operator="lessThan">
      <formula>1</formula>
    </cfRule>
  </conditionalFormatting>
  <conditionalFormatting sqref="M58">
    <cfRule type="cellIs" dxfId="169" priority="1" operator="equal">
      <formula>$M$56</formula>
    </cfRule>
  </conditionalFormatting>
  <conditionalFormatting sqref="N25:N55">
    <cfRule type="cellIs" dxfId="168" priority="4" operator="lessThan">
      <formula>$I$20</formula>
    </cfRule>
    <cfRule type="cellIs" dxfId="167" priority="5" operator="greaterThan">
      <formula>$I$20</formula>
    </cfRule>
  </conditionalFormatting>
  <conditionalFormatting sqref="O25:O55">
    <cfRule type="cellIs" dxfId="166" priority="35" operator="between">
      <formula>0.01</formula>
      <formula>0.99</formula>
    </cfRule>
    <cfRule type="cellIs" dxfId="165" priority="30" operator="between">
      <formula>0.9001</formula>
      <formula>0.9999</formula>
    </cfRule>
    <cfRule type="cellIs" dxfId="164" priority="31" operator="lessThan">
      <formula>0.9</formula>
    </cfRule>
    <cfRule type="cellIs" dxfId="163" priority="32" operator="greaterThan">
      <formula>1</formula>
    </cfRule>
    <cfRule type="cellIs" dxfId="162" priority="33" operator="greaterThan">
      <formula>100</formula>
    </cfRule>
    <cfRule type="cellIs" dxfId="161" priority="34" operator="between">
      <formula>0.85</formula>
      <formula>1</formula>
    </cfRule>
  </conditionalFormatting>
  <conditionalFormatting sqref="P10:Q10">
    <cfRule type="cellIs" dxfId="160" priority="72" operator="lessThan">
      <formula>0</formula>
    </cfRule>
  </conditionalFormatting>
  <conditionalFormatting sqref="T13">
    <cfRule type="cellIs" dxfId="159" priority="17" operator="greaterThan">
      <formula>0.95</formula>
    </cfRule>
    <cfRule type="cellIs" dxfId="158" priority="16" operator="lessThan">
      <formula>0.9</formula>
    </cfRule>
    <cfRule type="cellIs" dxfId="157" priority="15" operator="between">
      <formula>0.9</formula>
      <formula>0.95</formula>
    </cfRule>
  </conditionalFormatting>
  <conditionalFormatting sqref="T19">
    <cfRule type="cellIs" dxfId="156" priority="12" operator="between">
      <formula>0.9</formula>
      <formula>0.95</formula>
    </cfRule>
    <cfRule type="cellIs" dxfId="155" priority="13" operator="lessThan">
      <formula>0.9</formula>
    </cfRule>
    <cfRule type="cellIs" dxfId="154" priority="14" operator="greaterThan">
      <formula>0.95</formula>
    </cfRule>
  </conditionalFormatting>
  <conditionalFormatting sqref="W13">
    <cfRule type="cellIs" dxfId="153" priority="11" operator="greaterThan">
      <formula>"100;"</formula>
    </cfRule>
    <cfRule type="cellIs" dxfId="152" priority="10" operator="greaterThan">
      <formula>1</formula>
    </cfRule>
    <cfRule type="cellIs" dxfId="151" priority="9" operator="lessThan">
      <formula>1</formula>
    </cfRule>
    <cfRule type="cellIs" dxfId="150" priority="8" operator="greaterThan">
      <formula>0.95</formula>
    </cfRule>
    <cfRule type="cellIs" dxfId="149" priority="7" operator="lessThan">
      <formula>0.9</formula>
    </cfRule>
    <cfRule type="cellIs" dxfId="148" priority="6" operator="between">
      <formula>0.9</formula>
      <formula>0.95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"/>
  <sheetViews>
    <sheetView workbookViewId="0">
      <selection activeCell="T14" sqref="T14"/>
    </sheetView>
  </sheetViews>
  <sheetFormatPr baseColWidth="10" defaultColWidth="10" defaultRowHeight="15"/>
  <cols>
    <col min="1" max="1" width="21.1640625" bestFit="1" customWidth="1"/>
    <col min="4" max="25" width="4.1640625" customWidth="1"/>
  </cols>
  <sheetData>
    <row r="1" spans="1:26">
      <c r="A1" s="537" t="s">
        <v>26</v>
      </c>
      <c r="B1" s="539" t="s">
        <v>16</v>
      </c>
      <c r="C1" s="539" t="s">
        <v>59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541" t="s">
        <v>60</v>
      </c>
    </row>
    <row r="2" spans="1:26">
      <c r="A2" s="538"/>
      <c r="B2" s="540"/>
      <c r="C2" s="540"/>
      <c r="D2" s="151">
        <v>9</v>
      </c>
      <c r="E2" s="152">
        <v>10</v>
      </c>
      <c r="F2" s="152">
        <v>11</v>
      </c>
      <c r="G2" s="152">
        <v>12</v>
      </c>
      <c r="H2" s="152">
        <v>13</v>
      </c>
      <c r="I2" s="152">
        <v>14</v>
      </c>
      <c r="J2" s="152">
        <v>15</v>
      </c>
      <c r="K2" s="152">
        <v>16</v>
      </c>
      <c r="L2" s="152">
        <v>17</v>
      </c>
      <c r="M2" s="152">
        <v>18</v>
      </c>
      <c r="N2" s="152">
        <v>19</v>
      </c>
      <c r="O2" s="152">
        <v>20</v>
      </c>
      <c r="P2" s="153">
        <v>21</v>
      </c>
      <c r="Q2" s="152">
        <v>22</v>
      </c>
      <c r="R2" s="152">
        <v>23</v>
      </c>
      <c r="S2" s="152">
        <v>24</v>
      </c>
      <c r="T2" s="152">
        <v>25</v>
      </c>
      <c r="U2" s="152">
        <v>26</v>
      </c>
      <c r="V2" s="152">
        <v>27</v>
      </c>
      <c r="W2" s="152">
        <v>28</v>
      </c>
      <c r="X2" s="152">
        <v>29</v>
      </c>
      <c r="Y2" s="154">
        <v>30</v>
      </c>
      <c r="Z2" s="542"/>
    </row>
    <row r="3" spans="1:26">
      <c r="A3" s="155" t="str">
        <f>График!B29</f>
        <v>Рогалевич Ирина</v>
      </c>
      <c r="B3" s="156">
        <f>'Рогалевич И. Е. '!J12</f>
        <v>1.7514792899408285</v>
      </c>
      <c r="C3" s="157">
        <f>'Рогалевич И. Е. '!K8</f>
        <v>0.96303342627743072</v>
      </c>
      <c r="D3" s="158">
        <v>2</v>
      </c>
      <c r="E3" s="159">
        <v>2</v>
      </c>
      <c r="F3" s="159">
        <v>0</v>
      </c>
      <c r="G3" s="159">
        <v>0</v>
      </c>
      <c r="H3" s="159">
        <v>0</v>
      </c>
      <c r="I3" s="159">
        <v>0</v>
      </c>
      <c r="J3" s="159">
        <v>0</v>
      </c>
      <c r="K3" s="159">
        <v>0</v>
      </c>
      <c r="L3" s="159">
        <v>2</v>
      </c>
      <c r="M3" s="159">
        <v>0</v>
      </c>
      <c r="N3" s="159">
        <v>1</v>
      </c>
      <c r="O3" s="159">
        <v>0</v>
      </c>
      <c r="P3" s="160">
        <v>1</v>
      </c>
      <c r="Q3" s="159">
        <v>1</v>
      </c>
      <c r="R3" s="159">
        <v>1</v>
      </c>
      <c r="S3" s="159">
        <v>1</v>
      </c>
      <c r="T3" s="159">
        <v>2</v>
      </c>
      <c r="U3" s="159">
        <v>0</v>
      </c>
      <c r="V3" s="159">
        <v>0</v>
      </c>
      <c r="W3" s="159">
        <v>0</v>
      </c>
      <c r="X3" s="159">
        <v>0</v>
      </c>
      <c r="Y3" s="161">
        <v>0</v>
      </c>
      <c r="Z3" s="162">
        <f t="shared" ref="Z3:Z5" si="0">SUM(D3:Y3)</f>
        <v>13</v>
      </c>
    </row>
    <row r="4" spans="1:26">
      <c r="A4" s="163" t="str">
        <f>График!B28</f>
        <v>Уразгильдеева Екатерина</v>
      </c>
      <c r="B4" s="164">
        <f>'Уразгильдеева Е. Р. '!J12</f>
        <v>1.7884615384615385</v>
      </c>
      <c r="C4" s="165">
        <f>'Уразгильдеева Е. Р. '!K8</f>
        <v>0.82921047139744541</v>
      </c>
      <c r="D4" s="166">
        <v>0</v>
      </c>
      <c r="E4" s="167">
        <v>0</v>
      </c>
      <c r="F4" s="167">
        <v>0</v>
      </c>
      <c r="G4" s="167">
        <v>0</v>
      </c>
      <c r="H4" s="167">
        <v>1</v>
      </c>
      <c r="I4" s="167">
        <v>0</v>
      </c>
      <c r="J4" s="167">
        <v>0</v>
      </c>
      <c r="K4" s="167">
        <v>0</v>
      </c>
      <c r="L4" s="167">
        <v>0</v>
      </c>
      <c r="M4" s="167">
        <v>0</v>
      </c>
      <c r="N4" s="167">
        <v>0</v>
      </c>
      <c r="O4" s="167">
        <v>1</v>
      </c>
      <c r="P4" s="167">
        <v>0</v>
      </c>
      <c r="Q4" s="167">
        <v>0</v>
      </c>
      <c r="R4" s="167">
        <v>1</v>
      </c>
      <c r="S4" s="167">
        <v>0</v>
      </c>
      <c r="T4" s="167">
        <v>0</v>
      </c>
      <c r="U4" s="167">
        <v>0</v>
      </c>
      <c r="V4" s="167">
        <v>0</v>
      </c>
      <c r="W4" s="167">
        <v>0</v>
      </c>
      <c r="X4" s="167">
        <v>0</v>
      </c>
      <c r="Y4" s="168">
        <v>0</v>
      </c>
      <c r="Z4" s="162">
        <f t="shared" si="0"/>
        <v>3</v>
      </c>
    </row>
    <row r="5" spans="1:26">
      <c r="A5" s="169">
        <f>График!B27</f>
        <v>0</v>
      </c>
      <c r="B5" s="170" t="e">
        <f>'[1]Яковенко А. К'!J12</f>
        <v>#REF!</v>
      </c>
      <c r="C5" s="171" t="e">
        <f>'[1]Яковенко А. К'!K8</f>
        <v>#REF!</v>
      </c>
      <c r="D5" s="151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4"/>
      <c r="Z5" s="172">
        <f t="shared" si="0"/>
        <v>0</v>
      </c>
    </row>
  </sheetData>
  <mergeCells count="4">
    <mergeCell ref="A1:A2"/>
    <mergeCell ref="B1:B2"/>
    <mergeCell ref="C1:C2"/>
    <mergeCell ref="Z1:Z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workbookViewId="0">
      <selection activeCell="I25" sqref="I25"/>
    </sheetView>
  </sheetViews>
  <sheetFormatPr baseColWidth="10" defaultColWidth="10" defaultRowHeight="15"/>
  <cols>
    <col min="1" max="1" width="10.83203125" style="3"/>
    <col min="2" max="2" width="10" style="3" customWidth="1"/>
    <col min="3" max="3" width="1.6640625" style="3" customWidth="1"/>
    <col min="4" max="11" width="11.6640625" style="3" customWidth="1"/>
    <col min="12" max="12" width="13.1640625" style="3" customWidth="1"/>
    <col min="13" max="14" width="11.6640625" customWidth="1"/>
    <col min="15" max="15" width="15.33203125" customWidth="1"/>
  </cols>
  <sheetData>
    <row r="1" spans="1:15" ht="22" customHeight="1">
      <c r="A1" s="543"/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5"/>
    </row>
    <row r="2" spans="1:15" ht="18" customHeight="1">
      <c r="A2" s="546" t="s">
        <v>3</v>
      </c>
      <c r="B2" s="547"/>
      <c r="C2" s="547"/>
      <c r="D2" s="550" t="str">
        <f>'Ялта, Ленина, 18'!I3</f>
        <v>ул. Набережная Ленина, 18</v>
      </c>
      <c r="E2" s="551"/>
      <c r="F2" s="551"/>
      <c r="G2" s="552" t="str">
        <f>График!B29</f>
        <v>Рогалевич Ирина</v>
      </c>
      <c r="H2" s="553"/>
      <c r="I2" s="553"/>
      <c r="J2" s="554" t="str">
        <f>График!B28</f>
        <v>Уразгильдеева Екатерина</v>
      </c>
      <c r="K2" s="555"/>
      <c r="L2" s="556"/>
      <c r="M2" s="554">
        <f>График!B27</f>
        <v>0</v>
      </c>
      <c r="N2" s="555"/>
      <c r="O2" s="556"/>
    </row>
    <row r="3" spans="1:15" ht="18" customHeight="1">
      <c r="A3" s="548"/>
      <c r="B3" s="549"/>
      <c r="C3" s="549"/>
      <c r="D3" s="557" t="s">
        <v>61</v>
      </c>
      <c r="E3" s="558"/>
      <c r="F3" s="173" t="s">
        <v>62</v>
      </c>
      <c r="G3" s="559" t="s">
        <v>5</v>
      </c>
      <c r="H3" s="560"/>
      <c r="I3" s="174" t="s">
        <v>62</v>
      </c>
      <c r="J3" s="561" t="s">
        <v>5</v>
      </c>
      <c r="K3" s="562"/>
      <c r="L3" s="175" t="s">
        <v>62</v>
      </c>
      <c r="M3" s="561" t="s">
        <v>5</v>
      </c>
      <c r="N3" s="562"/>
      <c r="O3" s="175" t="s">
        <v>62</v>
      </c>
    </row>
    <row r="4" spans="1:15">
      <c r="A4" s="563" t="s">
        <v>12</v>
      </c>
      <c r="B4" s="563"/>
      <c r="C4" s="564"/>
      <c r="D4" s="176">
        <f>'Ялта, Ленина, 18'!K8</f>
        <v>0.9041268835814007</v>
      </c>
      <c r="E4" s="177">
        <f>'Ялта, Ленина, 18'!J8</f>
        <v>3134427.08</v>
      </c>
      <c r="F4" s="178">
        <f>'Ялта, Ленина, 18'!M8</f>
        <v>0.90412688358140114</v>
      </c>
      <c r="G4" s="179">
        <f>'Рогалевич И. Е. '!K8</f>
        <v>0.96303342627743072</v>
      </c>
      <c r="H4" s="180">
        <f>'Рогалевич И. Е. '!J8</f>
        <v>1869031</v>
      </c>
      <c r="I4" s="181">
        <f>'Рогалевич И. Е. '!M8</f>
        <v>0.96303342627743072</v>
      </c>
      <c r="J4" s="182">
        <f>'Уразгильдеева Е. Р. '!K8</f>
        <v>0.82921047139744541</v>
      </c>
      <c r="K4" s="180">
        <f>'Уразгильдеева Е. Р. '!J8</f>
        <v>1265396.08</v>
      </c>
      <c r="L4" s="183">
        <f>'Уразгильдеева Е. Р. '!M8</f>
        <v>0.9013157297798321</v>
      </c>
      <c r="M4" s="182" t="e">
        <f>'[1]Яковенко А. К'!K8</f>
        <v>#REF!</v>
      </c>
      <c r="N4" s="180" t="e">
        <f>'[1]Яковенко А. К'!J8</f>
        <v>#REF!</v>
      </c>
      <c r="O4" s="183" t="e">
        <f>'[1]Яковенко А. К'!M8</f>
        <v>#REF!</v>
      </c>
    </row>
    <row r="5" spans="1:15">
      <c r="A5" s="523" t="s">
        <v>13</v>
      </c>
      <c r="B5" s="523"/>
      <c r="C5" s="565"/>
      <c r="D5" s="184">
        <f>'Ялта, Ленина, 18'!K9</f>
        <v>0.83419868466597447</v>
      </c>
      <c r="E5" s="185">
        <f>'Ялта, Ленина, 18'!J9</f>
        <v>482</v>
      </c>
      <c r="F5" s="186">
        <f>'Ялта, Ленина, 18'!M9</f>
        <v>0.83419868466597391</v>
      </c>
      <c r="G5" s="187">
        <f>'Рогалевич И. Е. '!K9</f>
        <v>0.91509844677199947</v>
      </c>
      <c r="H5" s="188">
        <f>'Рогалевич И. Е. '!J9</f>
        <v>296</v>
      </c>
      <c r="I5" s="189">
        <f>'Рогалевич И. Е. '!M9</f>
        <v>0.91509844677199981</v>
      </c>
      <c r="J5" s="190">
        <f>'Уразгильдеева Е. Р. '!K9</f>
        <v>0.73131164281744021</v>
      </c>
      <c r="K5" s="191">
        <f>'Уразгильдеева Е. Р. '!J9</f>
        <v>186</v>
      </c>
      <c r="L5" s="192">
        <f>'Уразгильдеева Е. Р. '!M9</f>
        <v>0.83103595774709149</v>
      </c>
      <c r="M5" s="190" t="e">
        <f>'[1]Яковенко А. К'!K9</f>
        <v>#REF!</v>
      </c>
      <c r="N5" s="191" t="e">
        <f>'[1]Яковенко А. К'!J9</f>
        <v>#REF!</v>
      </c>
      <c r="O5" s="192" t="e">
        <f>'[1]Яковенко А. К'!M9</f>
        <v>#REF!</v>
      </c>
    </row>
    <row r="6" spans="1:15">
      <c r="A6" s="563" t="s">
        <v>14</v>
      </c>
      <c r="B6" s="563"/>
      <c r="C6" s="564"/>
      <c r="D6" s="184">
        <f>'Ялта, Ленина, 18'!K10</f>
        <v>1.0630942477275811</v>
      </c>
      <c r="E6" s="193">
        <f>'Ялта, Ленина, 18'!J10</f>
        <v>11481.417875457875</v>
      </c>
      <c r="F6" s="186">
        <f>'Ялта, Ленина, 18'!M10</f>
        <v>1.0630942477275811</v>
      </c>
      <c r="G6" s="187">
        <f>'Рогалевич И. Е. '!K10</f>
        <v>1.0240143545912777</v>
      </c>
      <c r="H6" s="194">
        <f>'Рогалевич И. Е. '!J10</f>
        <v>11059.355029585799</v>
      </c>
      <c r="I6" s="189">
        <f>'Рогалевич И. Е. '!M10</f>
        <v>1.0240143545912777</v>
      </c>
      <c r="J6" s="190">
        <f>'Уразгильдеева Е. Р. '!K10</f>
        <v>1.1265990740740741</v>
      </c>
      <c r="K6" s="194">
        <f>'Уразгильдеева Е. Р. '!J10</f>
        <v>12167.27</v>
      </c>
      <c r="L6" s="192">
        <f>'Уразгильдеева Е. Р. '!M10</f>
        <v>1.1265990740740741</v>
      </c>
      <c r="M6" s="190" t="e">
        <f>'[1]Яковенко А. К'!K10</f>
        <v>#REF!</v>
      </c>
      <c r="N6" s="191" t="e">
        <f>'[1]Яковенко А. К'!J10</f>
        <v>#REF!</v>
      </c>
      <c r="O6" s="192" t="e">
        <f>'[1]Яковенко А. К'!M10</f>
        <v>#REF!</v>
      </c>
    </row>
    <row r="7" spans="1:15">
      <c r="A7" s="523" t="s">
        <v>15</v>
      </c>
      <c r="B7" s="523"/>
      <c r="C7" s="565"/>
      <c r="D7" s="184">
        <f>'Ялта, Ленина, 18'!K11</f>
        <v>1.0838267911479944</v>
      </c>
      <c r="E7" s="193">
        <f>'Ялта, Ленина, 18'!J11</f>
        <v>6502.9607468879667</v>
      </c>
      <c r="F7" s="186">
        <f>'Ялта, Ленина, 18'!M11</f>
        <v>1.0838267911479957</v>
      </c>
      <c r="G7" s="187">
        <f>'Рогалевич И. Е. '!K11</f>
        <v>1.0523823198198199</v>
      </c>
      <c r="H7" s="194">
        <f>'Рогалевич И. Е. '!J11</f>
        <v>6314.2939189189192</v>
      </c>
      <c r="I7" s="189">
        <f>'Рогалевич И. Е. '!M11</f>
        <v>1.0523823198198194</v>
      </c>
      <c r="J7" s="190">
        <f>'Уразгильдеева Е. Р. '!K11</f>
        <v>1.1338674551971328</v>
      </c>
      <c r="K7" s="194">
        <f>'Уразгильдеева Е. Р. '!J11</f>
        <v>6803.2047311827964</v>
      </c>
      <c r="L7" s="192">
        <f>'Уразгильдеева Е. Р. '!M11</f>
        <v>1.0845688701885614</v>
      </c>
      <c r="M7" s="190" t="e">
        <f>'[1]Яковенко А. К'!K11</f>
        <v>#REF!</v>
      </c>
      <c r="N7" s="191" t="e">
        <f>'[1]Яковенко А. К'!J11</f>
        <v>#REF!</v>
      </c>
      <c r="O7" s="192" t="e">
        <f>'[1]Яковенко А. К'!M11</f>
        <v>#REF!</v>
      </c>
    </row>
    <row r="8" spans="1:15">
      <c r="A8" s="523" t="s">
        <v>16</v>
      </c>
      <c r="B8" s="523"/>
      <c r="C8" s="565"/>
      <c r="D8" s="184">
        <f>'Ялта, Ленина, 18'!K12</f>
        <v>0.98087098087098079</v>
      </c>
      <c r="E8" s="195">
        <f>'Ялта, Ленина, 18'!J12</f>
        <v>1.7655677655677655</v>
      </c>
      <c r="F8" s="186">
        <f>'Ялта, Ленина, 18'!M12</f>
        <v>0.98087098087098079</v>
      </c>
      <c r="G8" s="187">
        <f>'Рогалевич И. Е. '!K12</f>
        <v>0.9730440499671269</v>
      </c>
      <c r="H8" s="196">
        <f>'Рогалевич И. Е. '!J12</f>
        <v>1.7514792899408285</v>
      </c>
      <c r="I8" s="189">
        <f>'Рогалевич И. Е. '!M12</f>
        <v>0.9730440499671269</v>
      </c>
      <c r="J8" s="190">
        <f>'Уразгильдеева Е. Р. '!K12</f>
        <v>0.99358974358974361</v>
      </c>
      <c r="K8" s="197">
        <f>'Уразгильдеева Е. Р. '!J12</f>
        <v>1.7884615384615385</v>
      </c>
      <c r="L8" s="192">
        <f>'Уразгильдеева Е. Р. '!M12</f>
        <v>0.99358974358974361</v>
      </c>
      <c r="M8" s="190" t="e">
        <f>'[1]Яковенко А. К'!K12</f>
        <v>#REF!</v>
      </c>
      <c r="N8" s="197" t="e">
        <f>'[1]Яковенко А. К'!J12</f>
        <v>#REF!</v>
      </c>
      <c r="O8" s="192" t="e">
        <f>'[1]Яковенко А. К'!M12</f>
        <v>#REF!</v>
      </c>
    </row>
    <row r="9" spans="1:15">
      <c r="A9" s="523" t="s">
        <v>17</v>
      </c>
      <c r="B9" s="523"/>
      <c r="C9" s="565"/>
      <c r="D9" s="184">
        <f>'Ялта, Ленина, 18'!K13</f>
        <v>0.85046728971962615</v>
      </c>
      <c r="E9" s="185">
        <f>'Ялта, Ленина, 18'!J13</f>
        <v>273</v>
      </c>
      <c r="F9" s="186">
        <f>'Ялта, Ленина, 18'!M13</f>
        <v>0.85046728971962615</v>
      </c>
      <c r="G9" s="187">
        <f>'Рогалевич И. Е. '!K13</f>
        <v>0.94044914698662929</v>
      </c>
      <c r="H9" s="188">
        <f>'Рогалевич И. Е. '!J13</f>
        <v>169</v>
      </c>
      <c r="I9" s="189">
        <f>'Рогалевич И. Е. '!M13</f>
        <v>0.94044914698662885</v>
      </c>
      <c r="J9" s="190">
        <f>'Уразгильдеева Е. Р. '!K13</f>
        <v>0.73602978244852058</v>
      </c>
      <c r="K9" s="191">
        <f>'Уразгильдеева Е. Р. '!J13</f>
        <v>104</v>
      </c>
      <c r="L9" s="192">
        <f>'Уразгильдеева Е. Р. '!M13</f>
        <v>0.83639748005513725</v>
      </c>
      <c r="M9" s="190" t="e">
        <f>'[1]Яковенко А. К'!K13</f>
        <v>#REF!</v>
      </c>
      <c r="N9" s="191" t="e">
        <f>'[1]Яковенко А. К'!J13</f>
        <v>#REF!</v>
      </c>
      <c r="O9" s="192" t="e">
        <f>'[1]Яковенко А. К'!M13</f>
        <v>#REF!</v>
      </c>
    </row>
    <row r="10" spans="1:15">
      <c r="A10" s="523" t="s">
        <v>63</v>
      </c>
      <c r="B10" s="523"/>
      <c r="C10" s="565"/>
      <c r="D10" s="184">
        <f>'Ялта, Ленина, 18'!K14</f>
        <v>1</v>
      </c>
      <c r="E10" s="198">
        <f>'Ялта, Ленина, 18'!J14</f>
        <v>30</v>
      </c>
      <c r="F10" s="186"/>
      <c r="G10" s="187">
        <f>'Рогалевич И. Е. '!K14</f>
        <v>1</v>
      </c>
      <c r="H10" s="188">
        <f>'Рогалевич И. Е. '!J14</f>
        <v>30</v>
      </c>
      <c r="I10" s="189"/>
      <c r="J10" s="190">
        <f>'Уразгильдеева Е. Р. '!K14</f>
        <v>1</v>
      </c>
      <c r="K10" s="188">
        <f>'Уразгильдеева Е. Р. '!J14</f>
        <v>22</v>
      </c>
      <c r="L10" s="192"/>
      <c r="M10" s="190" t="e">
        <f>'[1]Яковенко А. К'!K14</f>
        <v>#REF!</v>
      </c>
      <c r="N10" s="191" t="e">
        <f>'[1]Яковенко А. К'!J14</f>
        <v>#REF!</v>
      </c>
      <c r="O10" s="192"/>
    </row>
    <row r="11" spans="1:15">
      <c r="A11" s="523" t="s">
        <v>19</v>
      </c>
      <c r="B11" s="523"/>
      <c r="C11" s="565"/>
      <c r="D11" s="184">
        <f>'Ялта, Ленина, 18'!K15</f>
        <v>0.90412688358140081</v>
      </c>
      <c r="E11" s="199">
        <f>'Ялта, Ленина, 18'!J15</f>
        <v>104480.90266666668</v>
      </c>
      <c r="F11" s="186">
        <f>'Ялта, Ленина, 18'!M15</f>
        <v>0.90412688358140081</v>
      </c>
      <c r="G11" s="187">
        <f>'Рогалевич И. Е. '!K15</f>
        <v>0.5391228221991462</v>
      </c>
      <c r="H11" s="194">
        <f>'Рогалевич И. Е. '!J15</f>
        <v>62301.033333333333</v>
      </c>
      <c r="I11" s="189">
        <f>'Рогалевич И. Е. '!M15</f>
        <v>0.5391228221991462</v>
      </c>
      <c r="J11" s="190">
        <f>'Уразгильдеева Е. Р. '!K15</f>
        <v>0.49773281097580163</v>
      </c>
      <c r="K11" s="194">
        <f>'Уразгильдеева Е. Р. '!J15</f>
        <v>57518.003636363639</v>
      </c>
      <c r="L11" s="192">
        <f>'Уразгильдеева Е. Р. '!M15</f>
        <v>0.49773281097580163</v>
      </c>
      <c r="M11" s="190" t="e">
        <f>'[1]Яковенко А. К'!K15</f>
        <v>#REF!</v>
      </c>
      <c r="N11" s="191" t="e">
        <f>'[1]Яковенко А. К'!J15</f>
        <v>#REF!</v>
      </c>
      <c r="O11" s="192" t="e">
        <f>'[1]Яковенко А. К'!M15</f>
        <v>#REF!</v>
      </c>
    </row>
    <row r="12" spans="1:15">
      <c r="A12" s="566" t="s">
        <v>21</v>
      </c>
      <c r="B12" s="567"/>
      <c r="C12" s="568"/>
      <c r="D12" s="184">
        <f>'Ялта, Ленина, 18'!K17</f>
        <v>1.0214953271028038</v>
      </c>
      <c r="E12" s="198">
        <f>'Ялта, Ленина, 18'!J17</f>
        <v>2186</v>
      </c>
      <c r="F12" s="186">
        <f>'Ялта, Ленина, 18'!M17</f>
        <v>1.0214953271028038</v>
      </c>
      <c r="G12" s="187">
        <f>'Рогалевич И. Е. '!K17</f>
        <v>1.0680219084935434</v>
      </c>
      <c r="H12" s="188">
        <f>'Рогалевич И. Е. '!J17</f>
        <v>1279.5</v>
      </c>
      <c r="I12" s="189">
        <f>'Рогалевич И. Е. '!M17</f>
        <v>1.0680219084935434</v>
      </c>
      <c r="J12" s="190">
        <f>'Уразгильдеева Е. Р. '!K17</f>
        <v>0.96232355450420759</v>
      </c>
      <c r="K12" s="188">
        <f>'Уразгильдеева Е. Р. '!J17</f>
        <v>906.5</v>
      </c>
      <c r="L12" s="192">
        <f>'Уразгильдеева Е. Р. '!M17</f>
        <v>0.96232355450420759</v>
      </c>
      <c r="M12" s="190" t="e">
        <f>'[1]Яковенко А. К'!K17</f>
        <v>#REF!</v>
      </c>
      <c r="N12" s="188" t="e">
        <f>'[1]Яковенко А. К'!J17</f>
        <v>#REF!</v>
      </c>
      <c r="O12" s="192" t="e">
        <f>'[1]Яковенко А. К'!M17</f>
        <v>#REF!</v>
      </c>
    </row>
    <row r="13" spans="1:15">
      <c r="A13" s="566" t="s">
        <v>35</v>
      </c>
      <c r="B13" s="567"/>
      <c r="C13" s="568"/>
      <c r="D13" s="184">
        <f>'Ялта, Ленина, 18'!S19</f>
        <v>0.76378921568627456</v>
      </c>
      <c r="E13" s="199">
        <f>'Ялта, Ленина, 18'!T18</f>
        <v>779065</v>
      </c>
      <c r="F13" s="186">
        <f>'Ялта, Ленина, 18'!T19</f>
        <v>0.76378921568627456</v>
      </c>
      <c r="G13" s="187">
        <f>'Рогалевич И. Е. '!S19</f>
        <v>0.70517047308319736</v>
      </c>
      <c r="H13" s="194">
        <f>'Рогалевич И. Е. '!T18</f>
        <v>402662</v>
      </c>
      <c r="I13" s="189">
        <f>'Рогалевич И. Е. '!T19</f>
        <v>0.70517047308319736</v>
      </c>
      <c r="J13" s="190">
        <f>'Уразгильдеева Е. Р. '!S19</f>
        <v>0.83833960824993892</v>
      </c>
      <c r="K13" s="194">
        <f>'Уразгильдеева Е. Р. '!T18</f>
        <v>376403</v>
      </c>
      <c r="L13" s="192">
        <f>'Уразгильдеева Е. Р. '!T19</f>
        <v>0.83833960824993892</v>
      </c>
      <c r="M13" s="190" t="e">
        <f>'[1]Яковенко А. К'!S19</f>
        <v>#REF!</v>
      </c>
      <c r="N13" s="200" t="e">
        <f>'[1]Яковенко А. К'!T18</f>
        <v>#REF!</v>
      </c>
      <c r="O13" s="192" t="e">
        <f>'[1]Яковенко А. К'!T19</f>
        <v>#REF!</v>
      </c>
    </row>
    <row r="14" spans="1:15">
      <c r="A14" s="566" t="s">
        <v>36</v>
      </c>
      <c r="B14" s="567"/>
      <c r="C14" s="568"/>
      <c r="D14" s="201">
        <f>'Ялта, Ленина, 18'!S13</f>
        <v>0.32916862745098041</v>
      </c>
      <c r="E14" s="199">
        <f>'Ялта, Ленина, 18'!T12</f>
        <v>167876</v>
      </c>
      <c r="F14" s="202">
        <f>'Ялта, Ленина, 18'!T13</f>
        <v>0.32916862745098041</v>
      </c>
      <c r="G14" s="187">
        <f>'Рогалевич И. Е. '!S13</f>
        <v>0.38955632856731598</v>
      </c>
      <c r="H14" s="194">
        <f>'Рогалевич И. Е. '!T12</f>
        <v>111221</v>
      </c>
      <c r="I14" s="189">
        <f>'Рогалевич И. Е. '!T13</f>
        <v>0.38955632856731598</v>
      </c>
      <c r="J14" s="190">
        <f>'Уразгильдеева Е. Р. '!S13</f>
        <v>0.25236850134244571</v>
      </c>
      <c r="K14" s="194">
        <f>'Уразгильдеева Е. Р. '!T12</f>
        <v>56655</v>
      </c>
      <c r="L14" s="192">
        <f>'Уразгильдеева Е. Р. '!T13</f>
        <v>0.25236850134244571</v>
      </c>
      <c r="M14" s="190" t="e">
        <f>'[1]Яковенко А. К'!S13</f>
        <v>#REF!</v>
      </c>
      <c r="N14" s="194" t="e">
        <f>'[1]Яковенко А. К'!T12</f>
        <v>#REF!</v>
      </c>
      <c r="O14" s="192" t="e">
        <f>'[1]Яковенко А. К'!T13</f>
        <v>#REF!</v>
      </c>
    </row>
    <row r="15" spans="1:15">
      <c r="A15" s="566" t="str">
        <f>'Ялта, Ленина, 18'!M23</f>
        <v>Agafi</v>
      </c>
      <c r="B15" s="567"/>
      <c r="C15" s="568"/>
      <c r="D15" s="203">
        <f>'Ялта, Ленина, 18'!V13</f>
        <v>0.45168958333333331</v>
      </c>
      <c r="E15" s="204">
        <f>'Ялта, Ленина, 18'!W12</f>
        <v>216811</v>
      </c>
      <c r="F15" s="205">
        <f>'Ялта, Ленина, 18'!W13</f>
        <v>0.45168958333333331</v>
      </c>
      <c r="G15" s="206">
        <f>'Рогалевич И. Е. '!V13</f>
        <v>0.4655424653344209</v>
      </c>
      <c r="H15" s="207">
        <f>'Рогалевич И. Е. '!W12</f>
        <v>125097</v>
      </c>
      <c r="I15" s="208">
        <f>'Рогалевич И. Е. '!W13</f>
        <v>0.4655424653344209</v>
      </c>
      <c r="J15" s="209">
        <f>'Уразгильдеева Е. Р. '!V13</f>
        <v>0.43407170643153525</v>
      </c>
      <c r="K15" s="207">
        <f>'Уразгильдеева Е. Р. '!W12</f>
        <v>91714</v>
      </c>
      <c r="L15" s="210">
        <f>'Уразгильдеева Е. Р. '!W13</f>
        <v>0.43407170643153531</v>
      </c>
      <c r="M15" s="209" t="e">
        <f>'[1]Яковенко А. К'!V13</f>
        <v>#REF!</v>
      </c>
      <c r="N15" s="207" t="e">
        <f>'[1]Яковенко А. К'!W12</f>
        <v>#REF!</v>
      </c>
      <c r="O15" s="210" t="e">
        <f>'[1]Яковенко А. К'!W13</f>
        <v>#REF!</v>
      </c>
    </row>
    <row r="16" spans="1:15">
      <c r="A16" s="569" t="s">
        <v>64</v>
      </c>
      <c r="B16" s="569"/>
      <c r="C16" s="569"/>
      <c r="D16" s="570">
        <f>'Ялта, Ленина, 18'!J16</f>
        <v>-332372.91999999993</v>
      </c>
      <c r="E16" s="571"/>
      <c r="F16" s="572"/>
      <c r="G16" s="573">
        <f>'Рогалевич И. Е. '!N8</f>
        <v>-71743.794520548079</v>
      </c>
      <c r="H16" s="574"/>
      <c r="I16" s="575"/>
      <c r="J16" s="576">
        <f>'Уразгильдеева Е. Р. '!N8</f>
        <v>-150594.68374032155</v>
      </c>
      <c r="K16" s="577"/>
      <c r="L16" s="578"/>
      <c r="M16" s="576" t="e">
        <f>'[1]Яковенко А. К'!N8</f>
        <v>#REF!</v>
      </c>
      <c r="N16" s="577"/>
      <c r="O16" s="578"/>
    </row>
  </sheetData>
  <mergeCells count="27">
    <mergeCell ref="J16:L16"/>
    <mergeCell ref="M16:O16"/>
    <mergeCell ref="A14:C14"/>
    <mergeCell ref="A15:C15"/>
    <mergeCell ref="A16:C16"/>
    <mergeCell ref="D16:F16"/>
    <mergeCell ref="G16:I16"/>
    <mergeCell ref="A9:C9"/>
    <mergeCell ref="A10:C10"/>
    <mergeCell ref="A11:C11"/>
    <mergeCell ref="A12:C12"/>
    <mergeCell ref="A13:C13"/>
    <mergeCell ref="A4:C4"/>
    <mergeCell ref="A5:C5"/>
    <mergeCell ref="A6:C6"/>
    <mergeCell ref="A7:C7"/>
    <mergeCell ref="A8:C8"/>
    <mergeCell ref="A1:O1"/>
    <mergeCell ref="A2:C3"/>
    <mergeCell ref="D2:F2"/>
    <mergeCell ref="G2:I2"/>
    <mergeCell ref="J2:L2"/>
    <mergeCell ref="M2:O2"/>
    <mergeCell ref="D3:E3"/>
    <mergeCell ref="G3:H3"/>
    <mergeCell ref="J3:K3"/>
    <mergeCell ref="M3:N3"/>
  </mergeCells>
  <conditionalFormatting sqref="D4 D13:D15">
    <cfRule type="cellIs" dxfId="147" priority="10" operator="greaterThan">
      <formula>$D$10</formula>
    </cfRule>
    <cfRule type="cellIs" dxfId="146" priority="11" operator="lessThan">
      <formula>$D$10</formula>
    </cfRule>
  </conditionalFormatting>
  <conditionalFormatting sqref="D6:D8 G6:G8 J6:J8 M6:M8">
    <cfRule type="cellIs" dxfId="145" priority="2" operator="between">
      <formula>0.9</formula>
      <formula>0.95</formula>
    </cfRule>
    <cfRule type="cellIs" dxfId="144" priority="3" operator="lessThan">
      <formula>0.9</formula>
    </cfRule>
    <cfRule type="cellIs" dxfId="143" priority="1" operator="greaterThan">
      <formula>0.95</formula>
    </cfRule>
  </conditionalFormatting>
  <conditionalFormatting sqref="D16:O16">
    <cfRule type="cellIs" dxfId="142" priority="117" operator="lessThan">
      <formula>0</formula>
    </cfRule>
  </conditionalFormatting>
  <conditionalFormatting sqref="F4:F5 I4:I5 F9 I9 F11 F13:F15">
    <cfRule type="cellIs" dxfId="141" priority="176" operator="lessThan">
      <formula>1</formula>
    </cfRule>
  </conditionalFormatting>
  <conditionalFormatting sqref="F4:F5 I4:I5 L4:L5 O4:O5 F9 I9 L9 O9 F11 I11 L11 O11 F13:F15 I13:I15 L13:L15 O13:O15">
    <cfRule type="cellIs" dxfId="140" priority="143" operator="between">
      <formula>0.9</formula>
      <formula>0.9999</formula>
    </cfRule>
  </conditionalFormatting>
  <conditionalFormatting sqref="F4:F9 I4:I9 L4:L9 O4:O9">
    <cfRule type="cellIs" dxfId="139" priority="14" operator="greaterThan">
      <formula>1</formula>
    </cfRule>
  </conditionalFormatting>
  <conditionalFormatting sqref="F6:F8 I6:I8 L6:L8 O6:O8">
    <cfRule type="cellIs" dxfId="138" priority="13" operator="lessThan">
      <formula>0.95</formula>
    </cfRule>
    <cfRule type="cellIs" dxfId="137" priority="12" operator="between">
      <formula>0.9501</formula>
      <formula>0.9999</formula>
    </cfRule>
  </conditionalFormatting>
  <conditionalFormatting sqref="F11 I11 F13:F15 I13:I15">
    <cfRule type="cellIs" dxfId="136" priority="177" operator="greaterThan">
      <formula>1</formula>
    </cfRule>
  </conditionalFormatting>
  <conditionalFormatting sqref="G4 G13:G15">
    <cfRule type="cellIs" dxfId="135" priority="9" operator="lessThan">
      <formula>$G$10</formula>
    </cfRule>
    <cfRule type="cellIs" dxfId="134" priority="8" operator="greaterThan">
      <formula>$G$10</formula>
    </cfRule>
  </conditionalFormatting>
  <conditionalFormatting sqref="G16:O16">
    <cfRule type="cellIs" dxfId="133" priority="181" operator="greaterThan">
      <formula>0</formula>
    </cfRule>
  </conditionalFormatting>
  <conditionalFormatting sqref="I11 I13:I15">
    <cfRule type="cellIs" dxfId="132" priority="166" operator="lessThan">
      <formula>1</formula>
    </cfRule>
  </conditionalFormatting>
  <conditionalFormatting sqref="J4 J13:J15">
    <cfRule type="cellIs" dxfId="131" priority="7" operator="lessThan">
      <formula>$J$10</formula>
    </cfRule>
    <cfRule type="cellIs" dxfId="130" priority="6" operator="greaterThan">
      <formula>$J$10</formula>
    </cfRule>
  </conditionalFormatting>
  <conditionalFormatting sqref="L4:L5 L9 L11">
    <cfRule type="cellIs" dxfId="129" priority="178" operator="lessThan">
      <formula>1</formula>
    </cfRule>
  </conditionalFormatting>
  <conditionalFormatting sqref="L11 L13:L15">
    <cfRule type="cellIs" dxfId="128" priority="179" operator="greaterThan">
      <formula>1</formula>
    </cfRule>
  </conditionalFormatting>
  <conditionalFormatting sqref="L13:L15">
    <cfRule type="cellIs" dxfId="127" priority="144" operator="lessThan">
      <formula>1</formula>
    </cfRule>
  </conditionalFormatting>
  <conditionalFormatting sqref="M4 M13:M15">
    <cfRule type="cellIs" dxfId="126" priority="5" operator="lessThan">
      <formula>$M$10</formula>
    </cfRule>
    <cfRule type="cellIs" dxfId="125" priority="4" operator="greaterThan">
      <formula>$M$10</formula>
    </cfRule>
  </conditionalFormatting>
  <conditionalFormatting sqref="O4:O5 O9 O11 O13:O15">
    <cfRule type="cellIs" dxfId="124" priority="148" operator="lessThan">
      <formula>1</formula>
    </cfRule>
  </conditionalFormatting>
  <conditionalFormatting sqref="O11 O13:O15">
    <cfRule type="cellIs" dxfId="123" priority="149" operator="greaterThan">
      <formula>1</formula>
    </cfRule>
  </conditionalFormatting>
  <dataValidations count="1">
    <dataValidation type="decimal" allowBlank="1" showErrorMessage="1" sqref="D4:F15" xr:uid="{00C6002E-00FE-4DE5-A70F-00C700A000FA}">
      <formula1>0</formula1>
      <formula2>1000000000000000</formula2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0"/>
  <sheetViews>
    <sheetView showZeros="0" zoomScale="138" workbookViewId="0">
      <selection activeCell="D8" sqref="D8"/>
    </sheetView>
  </sheetViews>
  <sheetFormatPr baseColWidth="10" defaultColWidth="11.5" defaultRowHeight="15"/>
  <cols>
    <col min="1" max="3" width="11.5" style="211"/>
    <col min="4" max="4" width="11.5" style="3"/>
  </cols>
  <sheetData>
    <row r="1" spans="1:4">
      <c r="A1" s="579" t="s">
        <v>12</v>
      </c>
      <c r="B1" s="580"/>
      <c r="C1" s="580"/>
      <c r="D1" s="212">
        <v>135000</v>
      </c>
    </row>
    <row r="2" spans="1:4">
      <c r="A2" s="563" t="s">
        <v>13</v>
      </c>
      <c r="B2" s="581"/>
      <c r="C2" s="581"/>
      <c r="D2" s="213">
        <f>D1/D4</f>
        <v>22.5</v>
      </c>
    </row>
    <row r="3" spans="1:4">
      <c r="A3" s="563" t="s">
        <v>14</v>
      </c>
      <c r="B3" s="581"/>
      <c r="C3" s="581"/>
      <c r="D3" s="214">
        <f>D4*D5</f>
        <v>10800</v>
      </c>
    </row>
    <row r="4" spans="1:4">
      <c r="A4" s="563" t="s">
        <v>15</v>
      </c>
      <c r="B4" s="581"/>
      <c r="C4" s="581"/>
      <c r="D4" s="215">
        <f>'Ялта, Ленина, 18'!I11</f>
        <v>6000</v>
      </c>
    </row>
    <row r="5" spans="1:4">
      <c r="A5" s="563" t="s">
        <v>16</v>
      </c>
      <c r="B5" s="581"/>
      <c r="C5" s="581"/>
      <c r="D5" s="216">
        <f>'Ялта, Ленина, 18'!I12</f>
        <v>1.8</v>
      </c>
    </row>
    <row r="6" spans="1:4">
      <c r="A6" s="563" t="s">
        <v>17</v>
      </c>
      <c r="B6" s="581"/>
      <c r="C6" s="581"/>
      <c r="D6" s="214">
        <f>IF(D5&lt;&gt;0,D2/D5,"")</f>
        <v>12.5</v>
      </c>
    </row>
    <row r="7" spans="1:4">
      <c r="A7" s="563" t="s">
        <v>65</v>
      </c>
      <c r="B7" s="563"/>
      <c r="C7" s="564"/>
      <c r="D7" s="217">
        <f>'Ялта, Ленина, 18'!I20</f>
        <v>0.15</v>
      </c>
    </row>
    <row r="8" spans="1:4">
      <c r="A8" s="582" t="s">
        <v>36</v>
      </c>
      <c r="B8" s="583"/>
      <c r="C8" s="584"/>
      <c r="D8" s="218" t="e">
        <f>('Ялта, Ленина, 18'!S12-'Ялта, Ленина, 18'!T12)/('Ялта, Ленина, 18'!I14-'Ялта, Ленина, 18'!J14)</f>
        <v>#DIV/0!</v>
      </c>
    </row>
    <row r="9" spans="1:4">
      <c r="A9" s="582" t="s">
        <v>35</v>
      </c>
      <c r="B9" s="583"/>
      <c r="C9" s="584"/>
      <c r="D9" s="218" t="e">
        <f>('Ялта, Ленина, 18'!S18-'Ялта, Ленина, 18'!T18)/('Ялта, Ленина, 18'!I14-'Ялта, Ленина, 18'!J14)</f>
        <v>#DIV/0!</v>
      </c>
    </row>
    <row r="10" spans="1:4">
      <c r="A10" s="585" t="str">
        <f>'Ялта, Ленина, 18'!M23</f>
        <v>Agafi</v>
      </c>
      <c r="B10" s="586"/>
      <c r="C10" s="587"/>
      <c r="D10" s="219" t="e">
        <f>('Ялта, Ленина, 18'!V12-'Ялта, Ленина, 18'!W12)/('Ялта, Ленина, 18'!I14-'Ялта, Ленина, 18'!J14)</f>
        <v>#DIV/0!</v>
      </c>
    </row>
  </sheetData>
  <mergeCells count="10">
    <mergeCell ref="A6:C6"/>
    <mergeCell ref="A7:C7"/>
    <mergeCell ref="A8:C8"/>
    <mergeCell ref="A9:C9"/>
    <mergeCell ref="A10:C10"/>
    <mergeCell ref="A1:C1"/>
    <mergeCell ref="A2:C2"/>
    <mergeCell ref="A3:C3"/>
    <mergeCell ref="A4:C4"/>
    <mergeCell ref="A5:C5"/>
  </mergeCells>
  <dataValidations count="1">
    <dataValidation type="decimal" allowBlank="1" showErrorMessage="1" sqref="D7 D2" xr:uid="{00AA0040-00DE-42FE-92E5-005900C10089}">
      <formula1>0</formula1>
      <formula2>1000000000000000</formula2>
    </dataValidation>
  </dataValidations>
  <pageMargins left="0.78800000000000003" right="0.78800000000000003" top="0.78800000000000003" bottom="0.78800000000000003" header="0.51200000000000001" footer="0.51200000000000001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U62"/>
  <sheetViews>
    <sheetView showZeros="0" topLeftCell="A28" workbookViewId="0">
      <pane xSplit="3" topLeftCell="D1" activePane="topRight" state="frozen"/>
      <selection activeCell="A21" sqref="A21"/>
      <selection pane="topRight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588">
        <f ca="1">TODAY()-1</f>
        <v>45939</v>
      </c>
      <c r="C1" s="588"/>
      <c r="D1" s="11"/>
      <c r="E1" s="11"/>
      <c r="F1" s="12"/>
      <c r="G1" s="12"/>
      <c r="H1" s="12"/>
      <c r="I1" s="12"/>
      <c r="J1" s="220"/>
      <c r="K1" s="220"/>
      <c r="L1" s="220"/>
      <c r="M1" s="220"/>
      <c r="N1" s="220"/>
      <c r="O1" s="220"/>
      <c r="P1" s="220"/>
      <c r="Q1" s="589"/>
      <c r="R1" s="589"/>
      <c r="S1" s="589"/>
      <c r="T1" s="589"/>
      <c r="U1" s="12"/>
      <c r="V1" s="12"/>
      <c r="W1" s="12"/>
    </row>
    <row r="2" spans="2:23" ht="21.75" customHeight="1">
      <c r="B2" s="590" t="s">
        <v>0</v>
      </c>
      <c r="C2" s="590"/>
      <c r="D2" s="11"/>
      <c r="E2" s="11"/>
      <c r="F2" s="12"/>
      <c r="G2" s="12"/>
      <c r="H2" s="12"/>
      <c r="I2" s="12"/>
      <c r="J2" s="591" t="s">
        <v>66</v>
      </c>
      <c r="K2" s="591"/>
      <c r="L2" s="591"/>
      <c r="M2" s="591"/>
      <c r="N2" s="591"/>
      <c r="O2" s="591"/>
      <c r="P2" s="591"/>
      <c r="Q2" s="589"/>
      <c r="R2" s="589"/>
      <c r="S2" s="589"/>
      <c r="T2" s="589"/>
      <c r="U2" s="12"/>
      <c r="V2" s="12"/>
      <c r="W2" s="12"/>
    </row>
    <row r="3" spans="2:23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592" t="str">
        <f>График!B29</f>
        <v>Рогалевич Ирина</v>
      </c>
      <c r="K3" s="593"/>
      <c r="L3" s="593"/>
      <c r="M3" s="593"/>
      <c r="N3" s="594"/>
      <c r="O3" s="220"/>
      <c r="P3" s="221"/>
      <c r="Q3" s="589"/>
      <c r="R3" s="589"/>
      <c r="S3" s="589"/>
      <c r="T3" s="589"/>
      <c r="U3" s="12"/>
      <c r="V3" s="12"/>
      <c r="W3" s="12"/>
    </row>
    <row r="4" spans="2:23" ht="15" customHeight="1">
      <c r="B4" s="11"/>
      <c r="C4" s="598">
        <f>I8-D57</f>
        <v>71743.794520548079</v>
      </c>
      <c r="D4" s="599"/>
      <c r="E4" s="222">
        <f>IF(I8&lt;&gt;0,C4/I8,0)</f>
        <v>3.6966573722569278E-2</v>
      </c>
      <c r="F4" s="12"/>
      <c r="G4" s="12"/>
      <c r="H4" s="12"/>
      <c r="I4" s="12"/>
      <c r="J4" s="595"/>
      <c r="K4" s="596"/>
      <c r="L4" s="596"/>
      <c r="M4" s="596"/>
      <c r="N4" s="597"/>
      <c r="O4" s="12"/>
      <c r="P4" s="12"/>
      <c r="Q4" s="589"/>
      <c r="R4" s="589"/>
      <c r="S4" s="589"/>
      <c r="T4" s="589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00"/>
      <c r="K5" s="600"/>
      <c r="L5" s="600"/>
      <c r="M5" s="600"/>
      <c r="N5" s="600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223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3" ht="50.75" customHeight="1">
      <c r="B7" s="223"/>
      <c r="C7" s="12"/>
      <c r="D7" s="12"/>
      <c r="E7" s="12"/>
      <c r="F7" s="601" t="s">
        <v>3</v>
      </c>
      <c r="G7" s="602"/>
      <c r="H7" s="603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18" t="s">
        <v>11</v>
      </c>
      <c r="Q7" s="519"/>
      <c r="R7" s="21"/>
      <c r="S7" s="21"/>
      <c r="T7" s="12"/>
      <c r="U7" s="12"/>
      <c r="V7" s="12"/>
      <c r="W7" s="12"/>
    </row>
    <row r="8" spans="2:23" ht="15.75" customHeight="1">
      <c r="B8" s="223"/>
      <c r="C8" s="12"/>
      <c r="D8" s="12"/>
      <c r="E8" s="12"/>
      <c r="F8" s="604" t="s">
        <v>12</v>
      </c>
      <c r="G8" s="605"/>
      <c r="H8" s="606"/>
      <c r="I8" s="224">
        <f>'Ялта, Ленина, 18'!I8/График!AJ31*График!AJ29</f>
        <v>1940774.7945205481</v>
      </c>
      <c r="J8" s="225">
        <f>D57</f>
        <v>1869031</v>
      </c>
      <c r="K8" s="30">
        <f t="shared" ref="K8:K9" si="0">IF(AND(I8&lt;&gt;"",I8&lt;&gt;0,J8&lt;&gt;""),J8/I8,"")</f>
        <v>0.96303342627743072</v>
      </c>
      <c r="L8" s="226">
        <f>IF(SUMIF($D$25:$D$56,"&gt;=0",$P$25:$P$56)&lt;&gt;0,I8*D57/SUMIF($D$25:$D$56,"&gt;=0",$P$25:$P$56),0)</f>
        <v>1869031</v>
      </c>
      <c r="M8" s="227">
        <f t="shared" ref="M8:M9" si="1">IF(AND(I8&lt;&gt;"",I8&lt;&gt;0,L8&lt;&gt;"",L8&lt;&gt;0),L8/I8,"")</f>
        <v>0.96303342627743072</v>
      </c>
      <c r="N8" s="35">
        <f t="shared" ref="N8:N9" si="2">IF(AND(J8&lt;&gt;0,J8&lt;&gt;"",I8&lt;&gt;0,I8&lt;&gt;""),L8-I8,"")</f>
        <v>-71743.794520548079</v>
      </c>
      <c r="O8" s="34"/>
      <c r="P8" s="35" t="str">
        <f t="shared" ref="P8:P9" si="3">IF(AND(O8&lt;&gt;"",O8&lt;&gt;0,L8&lt;&gt;"",L8&lt;&gt;0),-O8+L8,"")</f>
        <v/>
      </c>
      <c r="Q8" s="36" t="str">
        <f t="shared" ref="Q8:Q9" si="4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3" ht="15.75" customHeight="1">
      <c r="B9" s="223"/>
      <c r="C9" s="12"/>
      <c r="D9" s="12"/>
      <c r="E9" s="12"/>
      <c r="F9" s="523" t="s">
        <v>13</v>
      </c>
      <c r="G9" s="524"/>
      <c r="H9" s="525"/>
      <c r="I9" s="38">
        <f>I8/I11</f>
        <v>323.46246575342468</v>
      </c>
      <c r="J9" s="39">
        <f>E57</f>
        <v>296</v>
      </c>
      <c r="K9" s="40">
        <f t="shared" si="0"/>
        <v>0.91509844677199947</v>
      </c>
      <c r="L9" s="228">
        <f>IF(SUMIF($E$25:$E$54,"&gt;=0",$Q$25:$Q$54)&lt;&gt;0,I9*E57/SUMIF($E$25:$E$54,"&gt;=0",$Q$25:$Q$54),0)</f>
        <v>296.00000000000011</v>
      </c>
      <c r="M9" s="229">
        <f t="shared" si="1"/>
        <v>0.91509844677199981</v>
      </c>
      <c r="N9" s="43">
        <f t="shared" si="2"/>
        <v>-27.462465753424567</v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1"/>
      <c r="S9" s="37"/>
      <c r="T9" s="12"/>
      <c r="U9" s="12"/>
      <c r="V9" s="12"/>
      <c r="W9" s="12"/>
    </row>
    <row r="10" spans="2:23" ht="15.75" customHeight="1">
      <c r="B10" s="223"/>
      <c r="C10" s="12"/>
      <c r="D10" s="12"/>
      <c r="E10" s="12"/>
      <c r="F10" s="520" t="s">
        <v>14</v>
      </c>
      <c r="G10" s="521"/>
      <c r="H10" s="522"/>
      <c r="I10" s="50">
        <f>I11*I12</f>
        <v>10800</v>
      </c>
      <c r="J10" s="230">
        <f>H57</f>
        <v>11059.355029585799</v>
      </c>
      <c r="K10" s="231">
        <f t="shared" ref="K10:K19" si="5">IF(AND(I10&lt;&gt;"",I10&lt;&gt;0,J10&lt;&gt;""),J10/I10,"")</f>
        <v>1.0240143545912777</v>
      </c>
      <c r="L10" s="228">
        <f>J10</f>
        <v>11059.355029585799</v>
      </c>
      <c r="M10" s="232">
        <f t="shared" ref="M10:M20" si="6">IF(AND(I10&lt;&gt;"",I10&lt;&gt;0,L10&lt;&gt;"",L10&lt;&gt;0),L10/I10,"")</f>
        <v>1.0240143545912777</v>
      </c>
      <c r="N10" s="49">
        <f t="shared" ref="N10:N20" si="7">IF(AND(J10&lt;&gt;0,J10&lt;&gt;"",I10&lt;&gt;0,I10&lt;&gt;""),L10-I10,"")</f>
        <v>259.35502958579855</v>
      </c>
      <c r="O10" s="50">
        <f>O11*O12</f>
        <v>0</v>
      </c>
      <c r="P10" s="49" t="str">
        <f t="shared" ref="P10:P20" si="8">IF(AND(O10&lt;&gt;"",O10&lt;&gt;0,L10&lt;&gt;"",L10&lt;&gt;0),-O10+L10,"")</f>
        <v/>
      </c>
      <c r="Q10" s="51" t="str">
        <f t="shared" ref="Q10:Q20" si="9">IF(AND(P10&lt;&gt;"",P10&lt;&gt;0,O10&lt;&gt;0,O10&lt;&gt;""),P10/O10,"")</f>
        <v/>
      </c>
      <c r="R10" s="21"/>
      <c r="S10" s="530" t="s">
        <v>36</v>
      </c>
      <c r="T10" s="530"/>
      <c r="U10" s="12"/>
      <c r="V10" s="530" t="str">
        <f>M23</f>
        <v>Agafi</v>
      </c>
      <c r="W10" s="530"/>
    </row>
    <row r="11" spans="2:23" ht="15.75" customHeight="1">
      <c r="B11" s="223"/>
      <c r="C11" s="12"/>
      <c r="D11" s="12"/>
      <c r="E11" s="12"/>
      <c r="F11" s="523" t="s">
        <v>15</v>
      </c>
      <c r="G11" s="524"/>
      <c r="H11" s="525"/>
      <c r="I11" s="52">
        <f>'Ялта, Ленина, 18'!I11</f>
        <v>6000</v>
      </c>
      <c r="J11" s="39">
        <f>F57</f>
        <v>6314.2939189189192</v>
      </c>
      <c r="K11" s="233">
        <f t="shared" si="5"/>
        <v>1.0523823198198199</v>
      </c>
      <c r="L11" s="228">
        <f>IF(L9&gt;0,L8/L9,"")</f>
        <v>6314.2939189189165</v>
      </c>
      <c r="M11" s="229">
        <f t="shared" si="6"/>
        <v>1.0523823198198194</v>
      </c>
      <c r="N11" s="43">
        <f t="shared" si="7"/>
        <v>314.29391891891646</v>
      </c>
      <c r="O11" s="53"/>
      <c r="P11" s="43" t="str">
        <f t="shared" si="8"/>
        <v/>
      </c>
      <c r="Q11" s="45" t="str">
        <f t="shared" si="9"/>
        <v/>
      </c>
      <c r="R11" s="21"/>
      <c r="S11" s="530"/>
      <c r="T11" s="530"/>
      <c r="U11" s="12"/>
      <c r="V11" s="530"/>
      <c r="W11" s="530"/>
    </row>
    <row r="12" spans="2:23" ht="15.75" customHeight="1">
      <c r="B12" s="223"/>
      <c r="C12" s="12"/>
      <c r="D12" s="12"/>
      <c r="E12" s="12"/>
      <c r="F12" s="523" t="s">
        <v>16</v>
      </c>
      <c r="G12" s="524"/>
      <c r="H12" s="525"/>
      <c r="I12" s="54">
        <f>'Ялта, Ленина, 18'!I12</f>
        <v>1.8</v>
      </c>
      <c r="J12" s="55">
        <f>J57</f>
        <v>1.7514792899408285</v>
      </c>
      <c r="K12" s="233">
        <f t="shared" si="5"/>
        <v>0.9730440499671269</v>
      </c>
      <c r="L12" s="234">
        <f>J12</f>
        <v>1.7514792899408285</v>
      </c>
      <c r="M12" s="229">
        <f t="shared" si="6"/>
        <v>0.9730440499671269</v>
      </c>
      <c r="N12" s="57">
        <f t="shared" si="7"/>
        <v>-4.8520710059171579E-2</v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18'!S12*График!AJ29/График!AJ31</f>
        <v>285506.84931506851</v>
      </c>
      <c r="T12" s="60">
        <f>L57</f>
        <v>111221</v>
      </c>
      <c r="U12" s="12"/>
      <c r="V12" s="59">
        <f>'Ялта, Ленина, 18'!V12/График!AJ31*График!AJ29</f>
        <v>268712.32876712328</v>
      </c>
      <c r="W12" s="60">
        <f>M57</f>
        <v>125097</v>
      </c>
    </row>
    <row r="13" spans="2:23" ht="15.75" customHeight="1">
      <c r="B13" s="223"/>
      <c r="C13" s="12"/>
      <c r="D13" s="12"/>
      <c r="E13" s="12"/>
      <c r="F13" s="523" t="s">
        <v>17</v>
      </c>
      <c r="G13" s="524"/>
      <c r="H13" s="525"/>
      <c r="I13" s="38">
        <f>IF(I12&lt;&gt;0,I9/I12,"")</f>
        <v>179.7013698630137</v>
      </c>
      <c r="J13" s="39">
        <f>G57</f>
        <v>169</v>
      </c>
      <c r="K13" s="40">
        <f t="shared" si="5"/>
        <v>0.94044914698662929</v>
      </c>
      <c r="L13" s="228">
        <f>IF(SUMIF($G$25:$G$54,"&gt;=0",$R$25:$R$54)&lt;&gt;0,I13*G57/SUMIF($G$25:$G$54,"&gt;=0",$R$25:$R$54),"")</f>
        <v>168.99999999999991</v>
      </c>
      <c r="M13" s="229">
        <f t="shared" si="6"/>
        <v>0.94044914698662885</v>
      </c>
      <c r="N13" s="57">
        <f t="shared" si="7"/>
        <v>-10.701369863013781</v>
      </c>
      <c r="O13" s="61"/>
      <c r="P13" s="43" t="str">
        <f t="shared" si="8"/>
        <v/>
      </c>
      <c r="Q13" s="45" t="str">
        <f t="shared" si="9"/>
        <v/>
      </c>
      <c r="R13" s="21"/>
      <c r="S13" s="62">
        <f>T12/S12</f>
        <v>0.38955632856731598</v>
      </c>
      <c r="T13" s="62">
        <f>S13/J14*I14</f>
        <v>0.38955632856731598</v>
      </c>
      <c r="U13" s="12"/>
      <c r="V13" s="62">
        <f>W12/V12</f>
        <v>0.4655424653344209</v>
      </c>
      <c r="W13" s="62">
        <f>V13/J14*I14</f>
        <v>0.4655424653344209</v>
      </c>
    </row>
    <row r="14" spans="2:23" ht="15.75" customHeight="1">
      <c r="B14" s="223"/>
      <c r="C14" s="12"/>
      <c r="D14" s="235"/>
      <c r="E14" s="12"/>
      <c r="F14" s="523" t="s">
        <v>63</v>
      </c>
      <c r="G14" s="524"/>
      <c r="H14" s="525"/>
      <c r="I14" s="52">
        <f>График!AI29</f>
        <v>30</v>
      </c>
      <c r="J14" s="64">
        <v>30</v>
      </c>
      <c r="K14" s="40">
        <f t="shared" si="5"/>
        <v>1</v>
      </c>
      <c r="L14" s="41">
        <f>I14</f>
        <v>30</v>
      </c>
      <c r="M14" s="229">
        <f t="shared" si="6"/>
        <v>1</v>
      </c>
      <c r="N14" s="43">
        <f t="shared" si="7"/>
        <v>0</v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3" ht="15.75" customHeight="1">
      <c r="B15" s="223"/>
      <c r="C15" s="12"/>
      <c r="D15" s="12"/>
      <c r="E15" s="12"/>
      <c r="F15" s="523" t="s">
        <v>19</v>
      </c>
      <c r="G15" s="524"/>
      <c r="H15" s="525"/>
      <c r="I15" s="75">
        <f>'Ялта, Ленина, 18'!I15</f>
        <v>115560</v>
      </c>
      <c r="J15" s="67">
        <f>J8/J14</f>
        <v>62301.033333333333</v>
      </c>
      <c r="K15" s="68">
        <f t="shared" si="5"/>
        <v>0.5391228221991462</v>
      </c>
      <c r="L15" s="72">
        <f t="shared" ref="L15:L16" si="10">J15</f>
        <v>62301.033333333333</v>
      </c>
      <c r="M15" s="236">
        <f t="shared" si="6"/>
        <v>0.5391228221991462</v>
      </c>
      <c r="N15" s="43">
        <f t="shared" si="7"/>
        <v>-53258.966666666667</v>
      </c>
      <c r="O15" s="71"/>
      <c r="P15" s="43" t="str">
        <f t="shared" si="8"/>
        <v/>
      </c>
      <c r="Q15" s="45" t="str">
        <f t="shared" si="9"/>
        <v/>
      </c>
      <c r="R15" s="21"/>
      <c r="S15" s="37"/>
      <c r="T15" s="6"/>
      <c r="U15" s="12"/>
      <c r="V15" s="12"/>
      <c r="W15" s="12"/>
    </row>
    <row r="16" spans="2:23" ht="15.75" customHeight="1">
      <c r="B16" s="223"/>
      <c r="C16" s="12"/>
      <c r="D16" s="12"/>
      <c r="E16" s="12"/>
      <c r="F16" s="523" t="s">
        <v>20</v>
      </c>
      <c r="G16" s="524"/>
      <c r="H16" s="525"/>
      <c r="I16" s="75"/>
      <c r="J16" s="67">
        <f>J8-I15*J14</f>
        <v>-1597769</v>
      </c>
      <c r="K16" s="68" t="str">
        <f t="shared" si="5"/>
        <v/>
      </c>
      <c r="L16" s="72">
        <f t="shared" si="10"/>
        <v>-1597769</v>
      </c>
      <c r="M16" s="237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30" t="s">
        <v>35</v>
      </c>
      <c r="T16" s="530"/>
      <c r="U16" s="12"/>
      <c r="V16" s="12"/>
      <c r="W16" s="12"/>
    </row>
    <row r="17" spans="1:255" ht="15.75" customHeight="1">
      <c r="B17" s="223"/>
      <c r="C17" s="12"/>
      <c r="D17" s="12"/>
      <c r="E17" s="12"/>
      <c r="F17" s="523" t="s">
        <v>21</v>
      </c>
      <c r="G17" s="524"/>
      <c r="H17" s="525"/>
      <c r="I17" s="75">
        <f>'Ялта, Ленина, 18'!I17/График!AJ31*График!AJ29</f>
        <v>1198.0091324200912</v>
      </c>
      <c r="J17" s="67">
        <f>I57</f>
        <v>1279.5</v>
      </c>
      <c r="K17" s="68">
        <f t="shared" si="5"/>
        <v>1.0680219084935434</v>
      </c>
      <c r="L17" s="72">
        <f>J17/J14*I14</f>
        <v>1279.5</v>
      </c>
      <c r="M17" s="237">
        <f t="shared" si="6"/>
        <v>1.0680219084935434</v>
      </c>
      <c r="N17" s="43">
        <f t="shared" si="7"/>
        <v>81.490867579908809</v>
      </c>
      <c r="O17" s="71"/>
      <c r="P17" s="43" t="str">
        <f t="shared" si="8"/>
        <v/>
      </c>
      <c r="Q17" s="45" t="str">
        <f t="shared" si="9"/>
        <v/>
      </c>
      <c r="R17" s="21"/>
      <c r="S17" s="530"/>
      <c r="T17" s="530"/>
      <c r="U17" s="12"/>
      <c r="V17" s="12"/>
      <c r="W17" s="12"/>
    </row>
    <row r="18" spans="1:255" ht="15.75" customHeight="1">
      <c r="B18" s="223"/>
      <c r="C18" s="12"/>
      <c r="D18" s="12"/>
      <c r="E18" s="12"/>
      <c r="F18" s="523"/>
      <c r="G18" s="524"/>
      <c r="H18" s="525"/>
      <c r="I18" s="76"/>
      <c r="J18" s="67"/>
      <c r="K18" s="68" t="str">
        <f t="shared" si="5"/>
        <v/>
      </c>
      <c r="L18" s="72">
        <f t="shared" ref="L18:L19" si="11">J18</f>
        <v>0</v>
      </c>
      <c r="M18" s="237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18'!S18*График!AJ29/График!AJ31</f>
        <v>571013.69863013702</v>
      </c>
      <c r="T18" s="60">
        <f>K57</f>
        <v>402662</v>
      </c>
      <c r="U18" s="12"/>
      <c r="V18" s="12"/>
      <c r="W18" s="12"/>
    </row>
    <row r="19" spans="1:255" ht="15.75" customHeight="1">
      <c r="B19" s="223"/>
      <c r="C19" s="12"/>
      <c r="D19" s="12"/>
      <c r="E19" s="12"/>
      <c r="F19" s="523"/>
      <c r="G19" s="524"/>
      <c r="H19" s="525"/>
      <c r="I19" s="76"/>
      <c r="J19" s="67"/>
      <c r="K19" s="68" t="str">
        <f t="shared" si="5"/>
        <v/>
      </c>
      <c r="L19" s="72">
        <f t="shared" si="11"/>
        <v>0</v>
      </c>
      <c r="M19" s="237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>
        <f>T18/S18</f>
        <v>0.70517047308319736</v>
      </c>
      <c r="T19" s="62">
        <f>S19/J14*I14</f>
        <v>0.70517047308319736</v>
      </c>
      <c r="U19" s="12"/>
      <c r="V19" s="12"/>
      <c r="W19" s="12"/>
    </row>
    <row r="20" spans="1:255" ht="15.75" customHeight="1">
      <c r="B20" s="223"/>
      <c r="C20" s="12"/>
      <c r="D20" s="12"/>
      <c r="E20" s="12"/>
      <c r="F20" s="531" t="s">
        <v>22</v>
      </c>
      <c r="G20" s="531"/>
      <c r="H20" s="531"/>
      <c r="I20" s="238">
        <f>'Ялта, Ленина, 18'!I20</f>
        <v>0.15</v>
      </c>
      <c r="J20" s="239">
        <f>N57</f>
        <v>0.13208284486127395</v>
      </c>
      <c r="K20" s="240">
        <f>J20/I20</f>
        <v>0.88055229907515964</v>
      </c>
      <c r="L20" s="241">
        <f>IF(AND(K8&lt;&gt;0,I14&lt;&gt;0,I57&lt;&gt;0),(I57*N57+(I57/K8-I57)*I20)/(I57/K8),0)</f>
        <v>0.13274518069760838</v>
      </c>
      <c r="M20" s="83">
        <f t="shared" si="6"/>
        <v>0.88496787131738919</v>
      </c>
      <c r="N20" s="84">
        <f t="shared" si="7"/>
        <v>-1.7254819302391616E-2</v>
      </c>
      <c r="O20" s="85"/>
      <c r="P20" s="86" t="str">
        <f t="shared" si="8"/>
        <v/>
      </c>
      <c r="Q20" s="87" t="str">
        <f t="shared" si="9"/>
        <v/>
      </c>
      <c r="R20" s="21"/>
      <c r="S20" s="21"/>
      <c r="T20" s="12"/>
      <c r="U20" s="12"/>
      <c r="V20" s="12"/>
      <c r="W20" s="12"/>
    </row>
    <row r="21" spans="1:255" ht="15.75" customHeight="1">
      <c r="B21" s="22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255" ht="16.5" customHeight="1">
      <c r="B22" s="607" t="s">
        <v>23</v>
      </c>
      <c r="C22" s="607"/>
      <c r="D22" s="607"/>
      <c r="E22" s="607"/>
      <c r="F22" s="607"/>
      <c r="G22" s="607"/>
      <c r="H22" s="607"/>
      <c r="I22" s="607"/>
      <c r="J22" s="607"/>
      <c r="K22" s="607"/>
      <c r="L22" s="607"/>
      <c r="M22" s="607"/>
      <c r="N22" s="607"/>
      <c r="O22" s="608" t="s">
        <v>24</v>
      </c>
      <c r="P22" s="607" t="s">
        <v>25</v>
      </c>
      <c r="Q22" s="607"/>
      <c r="R22" s="607"/>
      <c r="S22" s="607"/>
      <c r="T22" s="607"/>
      <c r="U22" s="607"/>
      <c r="V22" s="607"/>
      <c r="W22" s="607"/>
    </row>
    <row r="23" spans="1:255" ht="36">
      <c r="B23" s="242" t="s">
        <v>27</v>
      </c>
      <c r="C23" s="242" t="s">
        <v>28</v>
      </c>
      <c r="D23" s="242" t="s">
        <v>29</v>
      </c>
      <c r="E23" s="242" t="s">
        <v>30</v>
      </c>
      <c r="F23" s="242" t="s">
        <v>31</v>
      </c>
      <c r="G23" s="242" t="s">
        <v>32</v>
      </c>
      <c r="H23" s="242" t="s">
        <v>33</v>
      </c>
      <c r="I23" s="242" t="s">
        <v>21</v>
      </c>
      <c r="J23" s="242" t="s">
        <v>34</v>
      </c>
      <c r="K23" s="90" t="s">
        <v>35</v>
      </c>
      <c r="L23" s="90" t="s">
        <v>36</v>
      </c>
      <c r="M23" s="90" t="s">
        <v>37</v>
      </c>
      <c r="N23" s="242" t="s">
        <v>38</v>
      </c>
      <c r="O23" s="608"/>
      <c r="P23" s="242" t="s">
        <v>39</v>
      </c>
      <c r="Q23" s="242" t="s">
        <v>40</v>
      </c>
      <c r="R23" s="242" t="s">
        <v>41</v>
      </c>
      <c r="S23" s="242" t="s">
        <v>42</v>
      </c>
      <c r="T23" s="242" t="s">
        <v>43</v>
      </c>
      <c r="U23" s="242" t="s">
        <v>44</v>
      </c>
      <c r="V23" s="243" t="s">
        <v>45</v>
      </c>
      <c r="W23" s="243" t="s">
        <v>46</v>
      </c>
      <c r="X23" s="142"/>
    </row>
    <row r="24" spans="1:255">
      <c r="B24" s="244">
        <v>1</v>
      </c>
      <c r="C24" s="245">
        <v>2</v>
      </c>
      <c r="D24" s="244">
        <v>3</v>
      </c>
      <c r="E24" s="244">
        <v>4</v>
      </c>
      <c r="F24" s="244">
        <v>5</v>
      </c>
      <c r="G24" s="244">
        <v>6</v>
      </c>
      <c r="H24" s="244">
        <v>7</v>
      </c>
      <c r="I24" s="244">
        <v>8</v>
      </c>
      <c r="J24" s="244">
        <v>9</v>
      </c>
      <c r="K24" s="244">
        <v>10</v>
      </c>
      <c r="L24" s="244">
        <v>11</v>
      </c>
      <c r="M24" s="244">
        <v>12</v>
      </c>
      <c r="N24" s="244">
        <v>13</v>
      </c>
      <c r="O24" s="608"/>
      <c r="P24" s="246">
        <v>1</v>
      </c>
      <c r="Q24" s="246">
        <v>2</v>
      </c>
      <c r="R24" s="246">
        <v>3</v>
      </c>
      <c r="S24" s="246">
        <v>4</v>
      </c>
      <c r="T24" s="246">
        <v>5</v>
      </c>
      <c r="U24" s="246">
        <v>6</v>
      </c>
      <c r="V24" s="246">
        <v>10</v>
      </c>
      <c r="W24" s="246">
        <v>11</v>
      </c>
    </row>
    <row r="25" spans="1:255">
      <c r="A25" s="95">
        <v>1</v>
      </c>
      <c r="B25" s="96">
        <v>45901</v>
      </c>
      <c r="C25" s="97" t="s">
        <v>48</v>
      </c>
      <c r="D25" s="98">
        <f>8592+36205</f>
        <v>44797</v>
      </c>
      <c r="E25" s="99">
        <v>7</v>
      </c>
      <c r="F25" s="99">
        <f t="shared" ref="F25:F57" si="12">IF(AND(E25&lt;&gt;"",E25&lt;&gt;0),D25/E25,"")</f>
        <v>6399.5714285714284</v>
      </c>
      <c r="G25" s="99">
        <v>4</v>
      </c>
      <c r="H25" s="99">
        <f t="shared" ref="H25:H57" si="13">IF(AND(G25&lt;&gt;"",G25&lt;&gt;0),D25/G25,"")</f>
        <v>11199.25</v>
      </c>
      <c r="I25" s="99">
        <v>50</v>
      </c>
      <c r="J25" s="98">
        <f t="shared" ref="J25:J57" si="14">IF(AND(G25&lt;&gt;"",G25&lt;&gt;0),E25/G25,"")</f>
        <v>1.75</v>
      </c>
      <c r="K25" s="99">
        <v>8592</v>
      </c>
      <c r="L25" s="99"/>
      <c r="M25" s="99"/>
      <c r="N25" s="100">
        <f t="shared" ref="N25:N57" si="15">IF(AND(I25&lt;&gt;"",I25&lt;&gt;0),G25/I25,"")</f>
        <v>0.08</v>
      </c>
      <c r="O25" s="101">
        <f t="shared" ref="O25:O57" si="16">D25/P25</f>
        <v>0.57705046621685341</v>
      </c>
      <c r="P25" s="102">
        <f t="shared" ref="P25:P56" si="17">$I$8*V25*W25/SUMPRODUCT($W$25:$W$56,$V$25:$V$56)</f>
        <v>77630.991780821918</v>
      </c>
      <c r="Q25" s="103">
        <f>$I$9*V25*W25/SUMPRODUCT($W$25:$W$56,$V$25:$V$56)</f>
        <v>12.938498630136987</v>
      </c>
      <c r="R25" s="103">
        <f t="shared" ref="R25:R56" si="18">IF($I$12="","",Q25/$I$12)</f>
        <v>7.1880547945205482</v>
      </c>
      <c r="S25" s="102">
        <f>IF(D25&lt;&gt;"",D25,P25)</f>
        <v>44797</v>
      </c>
      <c r="T25" s="103">
        <f>IF(E25&lt;&gt;"",E25,Q25)</f>
        <v>7</v>
      </c>
      <c r="U25" s="103">
        <f>IF(G25&lt;&gt;"",G25,R25)</f>
        <v>4</v>
      </c>
      <c r="V25" s="104">
        <v>1</v>
      </c>
      <c r="W25" s="104">
        <v>1</v>
      </c>
      <c r="X25" s="105"/>
      <c r="Y25" s="106"/>
    </row>
    <row r="26" spans="1:255">
      <c r="A26" s="95">
        <v>2</v>
      </c>
      <c r="B26" s="96">
        <v>45902</v>
      </c>
      <c r="C26" s="97" t="s">
        <v>49</v>
      </c>
      <c r="D26" s="98">
        <f>13590+10690+42784</f>
        <v>67064</v>
      </c>
      <c r="E26" s="99">
        <v>11</v>
      </c>
      <c r="F26" s="99">
        <f t="shared" si="12"/>
        <v>6096.727272727273</v>
      </c>
      <c r="G26" s="99">
        <v>7</v>
      </c>
      <c r="H26" s="99">
        <f t="shared" si="13"/>
        <v>9580.5714285714294</v>
      </c>
      <c r="I26" s="99">
        <v>40</v>
      </c>
      <c r="J26" s="98">
        <f t="shared" si="14"/>
        <v>1.5714285714285714</v>
      </c>
      <c r="K26" s="99">
        <v>10690</v>
      </c>
      <c r="L26" s="99"/>
      <c r="M26" s="99">
        <v>13590</v>
      </c>
      <c r="N26" s="100">
        <f t="shared" si="15"/>
        <v>0.17499999999999999</v>
      </c>
      <c r="O26" s="101">
        <f t="shared" si="16"/>
        <v>0.86388178820829642</v>
      </c>
      <c r="P26" s="102">
        <f t="shared" si="17"/>
        <v>77630.991780821918</v>
      </c>
      <c r="Q26" s="103">
        <f t="shared" ref="Q26:Q56" si="19">$I$9*V26*W26/SUMPRODUCT($W$25:$W$58,$V$25:$V$58)</f>
        <v>12.938498630136987</v>
      </c>
      <c r="R26" s="103">
        <f t="shared" si="18"/>
        <v>7.1880547945205482</v>
      </c>
      <c r="S26" s="102">
        <f>IF(W26&lt;&gt;"",IF(D26&lt;&gt;"",D26,($I$8-SUM($S$25:S25))*V26*W26/SUMPRODUCT($W26:$W$56,$V26:$V$56)),"")</f>
        <v>67064</v>
      </c>
      <c r="T26" s="103">
        <f t="shared" ref="T26:T34" si="20">IF(W26&lt;&gt;"",IF(E26&lt;&gt;"",E26,($I$9-SUM($T$25:T25))*V26*W26/SUMPRODUCT($W26:$W$58,$V26:$V$58)),"")</f>
        <v>11</v>
      </c>
      <c r="U26" s="103">
        <f t="shared" ref="U26:U53" si="21">IF(W26&lt;&gt;"",IF($I$12&lt;&gt;"",IF(G26&lt;&gt;"",G26,($I$9/$I$12-SUM($U$25:U25))*V26*W26/SUMPRODUCT($W26:$W$58,$V26:$V$58)),""),"")</f>
        <v>7</v>
      </c>
      <c r="V26" s="104">
        <v>1</v>
      </c>
      <c r="W26" s="104">
        <v>1</v>
      </c>
      <c r="X26" s="107"/>
      <c r="Y26" s="106"/>
    </row>
    <row r="27" spans="1:255">
      <c r="A27" s="95">
        <v>3</v>
      </c>
      <c r="B27" s="96">
        <v>45903</v>
      </c>
      <c r="C27" s="97" t="s">
        <v>50</v>
      </c>
      <c r="D27" s="98">
        <f>35475+36942</f>
        <v>72417</v>
      </c>
      <c r="E27" s="99">
        <v>10</v>
      </c>
      <c r="F27" s="99">
        <f t="shared" si="12"/>
        <v>7241.7</v>
      </c>
      <c r="G27" s="99">
        <v>7</v>
      </c>
      <c r="H27" s="99">
        <f t="shared" si="13"/>
        <v>10345.285714285714</v>
      </c>
      <c r="I27" s="99">
        <v>35</v>
      </c>
      <c r="J27" s="98">
        <f t="shared" si="14"/>
        <v>1.4285714285714286</v>
      </c>
      <c r="K27" s="99">
        <v>35475</v>
      </c>
      <c r="L27" s="99"/>
      <c r="M27" s="99"/>
      <c r="N27" s="100">
        <f t="shared" si="15"/>
        <v>0.2</v>
      </c>
      <c r="O27" s="101">
        <f t="shared" si="16"/>
        <v>0.93283620805022371</v>
      </c>
      <c r="P27" s="102">
        <f t="shared" si="17"/>
        <v>77630.991780821918</v>
      </c>
      <c r="Q27" s="103">
        <f t="shared" si="19"/>
        <v>12.938498630136987</v>
      </c>
      <c r="R27" s="103">
        <f t="shared" si="18"/>
        <v>7.1880547945205482</v>
      </c>
      <c r="S27" s="102">
        <f t="shared" ref="S27:S53" si="22">IF(W27&lt;&gt;"",IF(D27&lt;&gt;"",D27,($I$8-SUM($S$25:S26))*V27*W27/SUMPRODUCT($W27:$W$58,$V27:$V$58)),"")</f>
        <v>72417</v>
      </c>
      <c r="T27" s="103">
        <f t="shared" si="20"/>
        <v>10</v>
      </c>
      <c r="U27" s="103">
        <f t="shared" si="21"/>
        <v>7</v>
      </c>
      <c r="V27" s="104">
        <v>1</v>
      </c>
      <c r="W27" s="104">
        <v>1</v>
      </c>
      <c r="X27" s="107"/>
      <c r="Y27" s="109"/>
      <c r="Z27" s="2"/>
      <c r="AA27" s="2"/>
      <c r="AB27" s="2"/>
      <c r="AC27" s="2"/>
      <c r="AD27" s="2"/>
    </row>
    <row r="28" spans="1:255" s="247" customFormat="1">
      <c r="A28" s="95">
        <v>4</v>
      </c>
      <c r="B28" s="96">
        <v>45904</v>
      </c>
      <c r="C28" s="97" t="s">
        <v>52</v>
      </c>
      <c r="D28" s="98">
        <f>55851+7492+51423</f>
        <v>114766</v>
      </c>
      <c r="E28" s="99">
        <v>16</v>
      </c>
      <c r="F28" s="99">
        <f t="shared" si="12"/>
        <v>7172.875</v>
      </c>
      <c r="G28" s="99">
        <v>11</v>
      </c>
      <c r="H28" s="99">
        <f t="shared" si="13"/>
        <v>10433.272727272728</v>
      </c>
      <c r="I28" s="99">
        <v>86</v>
      </c>
      <c r="J28" s="98">
        <f t="shared" si="14"/>
        <v>1.4545454545454546</v>
      </c>
      <c r="K28" s="99">
        <v>55851</v>
      </c>
      <c r="L28" s="99"/>
      <c r="M28" s="99">
        <v>7492</v>
      </c>
      <c r="N28" s="100">
        <f t="shared" si="15"/>
        <v>0.12790697674418605</v>
      </c>
      <c r="O28" s="101">
        <f t="shared" si="16"/>
        <v>1.4783528764391229</v>
      </c>
      <c r="P28" s="102">
        <f t="shared" si="17"/>
        <v>77630.991780821918</v>
      </c>
      <c r="Q28" s="103">
        <f t="shared" si="19"/>
        <v>12.938498630136987</v>
      </c>
      <c r="R28" s="103">
        <f t="shared" si="18"/>
        <v>7.1880547945205482</v>
      </c>
      <c r="S28" s="102">
        <f t="shared" si="22"/>
        <v>114766</v>
      </c>
      <c r="T28" s="103">
        <f t="shared" si="20"/>
        <v>16</v>
      </c>
      <c r="U28" s="103">
        <f t="shared" si="21"/>
        <v>11</v>
      </c>
      <c r="V28" s="104">
        <v>1</v>
      </c>
      <c r="W28" s="104">
        <v>1</v>
      </c>
      <c r="X28" s="107"/>
      <c r="Y28" s="106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>
      <c r="A29" s="95">
        <v>5</v>
      </c>
      <c r="B29" s="96">
        <v>45905</v>
      </c>
      <c r="C29" s="97" t="s">
        <v>54</v>
      </c>
      <c r="D29" s="98">
        <f>16476+9903</f>
        <v>26379</v>
      </c>
      <c r="E29" s="99">
        <v>4</v>
      </c>
      <c r="F29" s="99">
        <f t="shared" si="12"/>
        <v>6594.75</v>
      </c>
      <c r="G29" s="99">
        <v>4</v>
      </c>
      <c r="H29" s="99">
        <f t="shared" si="13"/>
        <v>6594.75</v>
      </c>
      <c r="I29" s="99">
        <v>26</v>
      </c>
      <c r="J29" s="98">
        <f t="shared" si="14"/>
        <v>1</v>
      </c>
      <c r="K29" s="99"/>
      <c r="L29" s="99">
        <v>9903</v>
      </c>
      <c r="M29" s="99"/>
      <c r="N29" s="100">
        <f t="shared" si="15"/>
        <v>0.15384615384615385</v>
      </c>
      <c r="O29" s="101">
        <f t="shared" si="16"/>
        <v>0.33979985821225472</v>
      </c>
      <c r="P29" s="102">
        <f t="shared" si="17"/>
        <v>77630.991780821918</v>
      </c>
      <c r="Q29" s="103">
        <f t="shared" si="19"/>
        <v>12.938498630136987</v>
      </c>
      <c r="R29" s="103">
        <f t="shared" si="18"/>
        <v>7.1880547945205482</v>
      </c>
      <c r="S29" s="102">
        <f t="shared" si="22"/>
        <v>26379</v>
      </c>
      <c r="T29" s="103">
        <f t="shared" si="20"/>
        <v>4</v>
      </c>
      <c r="U29" s="103">
        <f t="shared" si="21"/>
        <v>4</v>
      </c>
      <c r="V29" s="104">
        <v>1</v>
      </c>
      <c r="W29" s="104">
        <v>1</v>
      </c>
      <c r="X29" s="107"/>
      <c r="Y29" s="106"/>
      <c r="Z29" s="2"/>
      <c r="AA29" s="2"/>
      <c r="AB29" s="2"/>
      <c r="AC29" s="2"/>
      <c r="AD29" s="2"/>
    </row>
    <row r="30" spans="1:255">
      <c r="A30" s="95">
        <v>6</v>
      </c>
      <c r="B30" s="96">
        <v>45906</v>
      </c>
      <c r="C30" s="97" t="s">
        <v>55</v>
      </c>
      <c r="D30" s="98">
        <v>27581</v>
      </c>
      <c r="E30" s="99">
        <v>6</v>
      </c>
      <c r="F30" s="99">
        <f t="shared" si="12"/>
        <v>4596.833333333333</v>
      </c>
      <c r="G30" s="99">
        <v>3</v>
      </c>
      <c r="H30" s="99">
        <f t="shared" si="13"/>
        <v>9193.6666666666661</v>
      </c>
      <c r="I30" s="99">
        <v>27</v>
      </c>
      <c r="J30" s="98">
        <f t="shared" si="14"/>
        <v>2</v>
      </c>
      <c r="K30" s="99"/>
      <c r="L30" s="99"/>
      <c r="M30" s="99"/>
      <c r="N30" s="100">
        <f t="shared" si="15"/>
        <v>0.1111111111111111</v>
      </c>
      <c r="O30" s="101">
        <f t="shared" si="16"/>
        <v>0.3552833651522877</v>
      </c>
      <c r="P30" s="102">
        <f t="shared" si="17"/>
        <v>77630.991780821918</v>
      </c>
      <c r="Q30" s="103">
        <f t="shared" si="19"/>
        <v>12.938498630136987</v>
      </c>
      <c r="R30" s="103">
        <f t="shared" si="18"/>
        <v>7.1880547945205482</v>
      </c>
      <c r="S30" s="102">
        <f t="shared" si="22"/>
        <v>27581</v>
      </c>
      <c r="T30" s="103">
        <f t="shared" si="20"/>
        <v>6</v>
      </c>
      <c r="U30" s="103">
        <f t="shared" si="21"/>
        <v>3</v>
      </c>
      <c r="V30" s="104">
        <v>1</v>
      </c>
      <c r="W30" s="104">
        <v>1</v>
      </c>
      <c r="X30" s="107"/>
      <c r="Y30" s="106"/>
      <c r="Z30" s="2"/>
      <c r="AA30" s="2"/>
      <c r="AB30" s="2"/>
      <c r="AC30" s="2"/>
      <c r="AD30" s="2"/>
    </row>
    <row r="31" spans="1:255">
      <c r="A31" s="95">
        <v>7</v>
      </c>
      <c r="B31" s="96">
        <v>45907</v>
      </c>
      <c r="C31" s="97" t="s">
        <v>56</v>
      </c>
      <c r="D31" s="98">
        <v>19075</v>
      </c>
      <c r="E31" s="99">
        <v>3</v>
      </c>
      <c r="F31" s="99">
        <f t="shared" si="12"/>
        <v>6358.333333333333</v>
      </c>
      <c r="G31" s="99">
        <v>2</v>
      </c>
      <c r="H31" s="99">
        <f t="shared" si="13"/>
        <v>9537.5</v>
      </c>
      <c r="I31" s="99">
        <v>20</v>
      </c>
      <c r="J31" s="98">
        <f t="shared" si="14"/>
        <v>1.5</v>
      </c>
      <c r="K31" s="99"/>
      <c r="L31" s="99"/>
      <c r="M31" s="99"/>
      <c r="N31" s="100">
        <f t="shared" si="15"/>
        <v>0.1</v>
      </c>
      <c r="O31" s="101">
        <f t="shared" si="16"/>
        <v>0.2457137228628363</v>
      </c>
      <c r="P31" s="102">
        <f t="shared" si="17"/>
        <v>77630.991780821918</v>
      </c>
      <c r="Q31" s="103">
        <f t="shared" si="19"/>
        <v>12.938498630136987</v>
      </c>
      <c r="R31" s="103">
        <f t="shared" si="18"/>
        <v>7.1880547945205482</v>
      </c>
      <c r="S31" s="102">
        <f t="shared" si="22"/>
        <v>19075</v>
      </c>
      <c r="T31" s="103">
        <f t="shared" si="20"/>
        <v>3</v>
      </c>
      <c r="U31" s="103">
        <f t="shared" si="21"/>
        <v>2</v>
      </c>
      <c r="V31" s="104">
        <v>1</v>
      </c>
      <c r="W31" s="104">
        <v>1</v>
      </c>
      <c r="X31" s="107"/>
      <c r="Y31" s="106"/>
    </row>
    <row r="32" spans="1:255">
      <c r="A32" s="95">
        <v>8</v>
      </c>
      <c r="B32" s="96">
        <v>45908</v>
      </c>
      <c r="C32" s="97" t="s">
        <v>48</v>
      </c>
      <c r="D32" s="98">
        <f>10903+65862</f>
        <v>76765</v>
      </c>
      <c r="E32" s="99">
        <v>14</v>
      </c>
      <c r="F32" s="99">
        <f t="shared" si="12"/>
        <v>5483.2142857142853</v>
      </c>
      <c r="G32" s="99">
        <v>7</v>
      </c>
      <c r="H32" s="99">
        <f t="shared" si="13"/>
        <v>10966.428571428571</v>
      </c>
      <c r="I32" s="99">
        <v>45</v>
      </c>
      <c r="J32" s="98">
        <f t="shared" si="14"/>
        <v>2</v>
      </c>
      <c r="L32" s="99">
        <v>10903</v>
      </c>
      <c r="M32" s="99"/>
      <c r="N32" s="100">
        <f t="shared" si="15"/>
        <v>0.15555555555555556</v>
      </c>
      <c r="O32" s="101">
        <f t="shared" si="16"/>
        <v>0.98884476726425319</v>
      </c>
      <c r="P32" s="102">
        <f t="shared" si="17"/>
        <v>77630.991780821918</v>
      </c>
      <c r="Q32" s="103">
        <f t="shared" si="19"/>
        <v>12.938498630136987</v>
      </c>
      <c r="R32" s="103">
        <f t="shared" si="18"/>
        <v>7.1880547945205482</v>
      </c>
      <c r="S32" s="102">
        <f t="shared" si="22"/>
        <v>76765</v>
      </c>
      <c r="T32" s="103">
        <f t="shared" si="20"/>
        <v>14</v>
      </c>
      <c r="U32" s="103">
        <f t="shared" si="21"/>
        <v>7</v>
      </c>
      <c r="V32" s="104">
        <v>1</v>
      </c>
      <c r="W32" s="104">
        <v>1</v>
      </c>
      <c r="X32" s="107"/>
      <c r="Y32" s="106"/>
    </row>
    <row r="33" spans="1:30">
      <c r="A33" s="95">
        <v>9</v>
      </c>
      <c r="B33" s="96">
        <v>45909</v>
      </c>
      <c r="C33" s="97" t="s">
        <v>49</v>
      </c>
      <c r="D33" s="98">
        <f>24992+23902+65099</f>
        <v>113993</v>
      </c>
      <c r="E33" s="99">
        <v>17</v>
      </c>
      <c r="F33" s="99">
        <f t="shared" si="12"/>
        <v>6705.4705882352937</v>
      </c>
      <c r="G33" s="99">
        <v>13</v>
      </c>
      <c r="H33" s="99">
        <f t="shared" si="13"/>
        <v>8768.6923076923085</v>
      </c>
      <c r="I33" s="99">
        <v>80</v>
      </c>
      <c r="J33" s="98">
        <f t="shared" si="14"/>
        <v>1.3076923076923077</v>
      </c>
      <c r="K33" s="99">
        <v>24992</v>
      </c>
      <c r="L33" s="99">
        <v>23902</v>
      </c>
      <c r="M33" s="99"/>
      <c r="N33" s="100">
        <f t="shared" si="15"/>
        <v>0.16250000000000001</v>
      </c>
      <c r="O33" s="101">
        <f t="shared" si="16"/>
        <v>1.4683955129909987</v>
      </c>
      <c r="P33" s="102">
        <f t="shared" si="17"/>
        <v>77630.991780821918</v>
      </c>
      <c r="Q33" s="103">
        <f t="shared" si="19"/>
        <v>12.938498630136987</v>
      </c>
      <c r="R33" s="103">
        <f t="shared" si="18"/>
        <v>7.1880547945205482</v>
      </c>
      <c r="S33" s="102">
        <f t="shared" si="22"/>
        <v>113993</v>
      </c>
      <c r="T33" s="103">
        <f t="shared" si="20"/>
        <v>17</v>
      </c>
      <c r="U33" s="103">
        <f t="shared" si="21"/>
        <v>13</v>
      </c>
      <c r="V33" s="104">
        <v>1</v>
      </c>
      <c r="W33" s="104">
        <v>1</v>
      </c>
      <c r="X33" s="107"/>
      <c r="Y33" s="106"/>
      <c r="Z33" s="2"/>
      <c r="AA33" s="2"/>
      <c r="AB33" s="2"/>
      <c r="AC33" s="2"/>
      <c r="AD33" s="2"/>
    </row>
    <row r="34" spans="1:30">
      <c r="A34" s="95">
        <v>10</v>
      </c>
      <c r="B34" s="96">
        <v>45910</v>
      </c>
      <c r="C34" s="97" t="s">
        <v>50</v>
      </c>
      <c r="D34" s="98">
        <f>7990+28243</f>
        <v>36233</v>
      </c>
      <c r="E34" s="248">
        <v>9</v>
      </c>
      <c r="F34" s="99">
        <f t="shared" si="12"/>
        <v>4025.8888888888887</v>
      </c>
      <c r="G34" s="99">
        <v>4</v>
      </c>
      <c r="H34" s="99">
        <f t="shared" si="13"/>
        <v>9058.25</v>
      </c>
      <c r="I34" s="99">
        <f>74/2</f>
        <v>37</v>
      </c>
      <c r="J34" s="98">
        <f t="shared" si="14"/>
        <v>2.25</v>
      </c>
      <c r="K34" s="99">
        <v>7990</v>
      </c>
      <c r="L34" s="99"/>
      <c r="M34" s="99"/>
      <c r="N34" s="100">
        <f t="shared" si="15"/>
        <v>0.10810810810810811</v>
      </c>
      <c r="O34" s="101">
        <f t="shared" si="16"/>
        <v>0.46673369963245859</v>
      </c>
      <c r="P34" s="102">
        <f t="shared" si="17"/>
        <v>77630.991780821918</v>
      </c>
      <c r="Q34" s="103">
        <f t="shared" si="19"/>
        <v>12.938498630136987</v>
      </c>
      <c r="R34" s="103">
        <f t="shared" si="18"/>
        <v>7.1880547945205482</v>
      </c>
      <c r="S34" s="102">
        <f t="shared" si="22"/>
        <v>36233</v>
      </c>
      <c r="T34" s="103">
        <f t="shared" si="20"/>
        <v>9</v>
      </c>
      <c r="U34" s="103">
        <f t="shared" si="21"/>
        <v>4</v>
      </c>
      <c r="V34" s="104">
        <v>1</v>
      </c>
      <c r="W34" s="104">
        <v>1</v>
      </c>
      <c r="X34" s="107"/>
      <c r="Y34" s="106"/>
      <c r="Z34" s="2"/>
      <c r="AA34" s="2"/>
      <c r="AB34" s="2"/>
      <c r="AC34" s="2"/>
      <c r="AD34" s="2"/>
    </row>
    <row r="35" spans="1:30">
      <c r="A35" s="95">
        <v>11</v>
      </c>
      <c r="B35" s="96">
        <v>45911</v>
      </c>
      <c r="C35" s="97" t="s">
        <v>52</v>
      </c>
      <c r="D35" s="98">
        <v>35549</v>
      </c>
      <c r="E35" s="97">
        <v>6</v>
      </c>
      <c r="F35" s="99">
        <f t="shared" si="12"/>
        <v>5924.833333333333</v>
      </c>
      <c r="G35" s="99">
        <v>3</v>
      </c>
      <c r="H35" s="99">
        <f t="shared" si="13"/>
        <v>11849.666666666666</v>
      </c>
      <c r="I35" s="99">
        <f>79/2</f>
        <v>39.5</v>
      </c>
      <c r="J35" s="98">
        <f t="shared" si="14"/>
        <v>2</v>
      </c>
      <c r="K35" s="99"/>
      <c r="L35" s="99"/>
      <c r="M35" s="99"/>
      <c r="N35" s="100">
        <f t="shared" si="15"/>
        <v>7.5949367088607597E-2</v>
      </c>
      <c r="O35" s="101">
        <f t="shared" si="16"/>
        <v>0.45792278553347143</v>
      </c>
      <c r="P35" s="102">
        <f t="shared" si="17"/>
        <v>77630.991780821918</v>
      </c>
      <c r="Q35" s="103">
        <f t="shared" si="19"/>
        <v>12.938498630136987</v>
      </c>
      <c r="R35" s="103">
        <f t="shared" si="18"/>
        <v>7.1880547945205482</v>
      </c>
      <c r="S35" s="102">
        <f t="shared" si="22"/>
        <v>35549</v>
      </c>
      <c r="T35" s="103">
        <f t="shared" ref="T35:T36" si="23">IF(W35&lt;&gt;"",IF(E34&lt;&gt;"",E34,($I$9-SUM($T$25:T34))*V35*W35/SUMPRODUCT($W35:$W$58,$V35:$V$58)),"")</f>
        <v>9</v>
      </c>
      <c r="U35" s="103">
        <f t="shared" si="21"/>
        <v>3</v>
      </c>
      <c r="V35" s="104">
        <v>1</v>
      </c>
      <c r="W35" s="104">
        <v>1</v>
      </c>
      <c r="X35" s="107"/>
      <c r="Y35" s="106"/>
      <c r="Z35" s="2"/>
      <c r="AA35" s="2"/>
      <c r="AB35" s="2"/>
      <c r="AC35" s="2"/>
      <c r="AD35" s="2"/>
    </row>
    <row r="36" spans="1:30" ht="15.25" customHeight="1">
      <c r="A36" s="95">
        <v>11</v>
      </c>
      <c r="B36" s="96">
        <v>45912</v>
      </c>
      <c r="C36" s="133" t="s">
        <v>54</v>
      </c>
      <c r="D36" s="98">
        <f>109604+20000+32175+102415</f>
        <v>264194</v>
      </c>
      <c r="E36" s="133">
        <v>31</v>
      </c>
      <c r="F36" s="99">
        <f t="shared" si="12"/>
        <v>8522.3870967741932</v>
      </c>
      <c r="G36" s="108">
        <v>20</v>
      </c>
      <c r="H36" s="99">
        <f t="shared" si="13"/>
        <v>13209.7</v>
      </c>
      <c r="I36" s="108">
        <v>131</v>
      </c>
      <c r="J36" s="98">
        <f t="shared" si="14"/>
        <v>1.55</v>
      </c>
      <c r="K36" s="108">
        <v>109604</v>
      </c>
      <c r="L36" s="99">
        <v>20000</v>
      </c>
      <c r="M36" s="108">
        <v>32175</v>
      </c>
      <c r="N36" s="100">
        <f t="shared" si="15"/>
        <v>0.15267175572519084</v>
      </c>
      <c r="O36" s="249">
        <f t="shared" si="16"/>
        <v>3.4032026892804286</v>
      </c>
      <c r="P36" s="102">
        <f t="shared" si="17"/>
        <v>77630.991780821918</v>
      </c>
      <c r="Q36" s="250">
        <f t="shared" si="19"/>
        <v>12.938498630136987</v>
      </c>
      <c r="R36" s="103">
        <f t="shared" si="18"/>
        <v>7.1880547945205482</v>
      </c>
      <c r="S36" s="251">
        <f t="shared" si="22"/>
        <v>264194</v>
      </c>
      <c r="T36" s="103">
        <f t="shared" si="23"/>
        <v>6</v>
      </c>
      <c r="U36" s="250">
        <f t="shared" si="21"/>
        <v>20</v>
      </c>
      <c r="V36" s="104">
        <v>1</v>
      </c>
      <c r="W36" s="104">
        <v>1</v>
      </c>
      <c r="X36" s="107"/>
      <c r="Y36" s="106"/>
      <c r="Z36" s="2"/>
      <c r="AA36" s="2"/>
      <c r="AB36" s="2"/>
      <c r="AC36" s="2"/>
      <c r="AD36" s="2"/>
    </row>
    <row r="37" spans="1:30">
      <c r="A37" s="95">
        <v>13</v>
      </c>
      <c r="B37" s="96">
        <v>45913</v>
      </c>
      <c r="C37" s="97" t="s">
        <v>55</v>
      </c>
      <c r="D37" s="98">
        <f>7992+53126</f>
        <v>61118</v>
      </c>
      <c r="E37" s="99">
        <v>12</v>
      </c>
      <c r="F37" s="99">
        <f t="shared" si="12"/>
        <v>5093.166666666667</v>
      </c>
      <c r="G37" s="99">
        <v>7</v>
      </c>
      <c r="H37" s="99">
        <f t="shared" si="13"/>
        <v>8731.1428571428569</v>
      </c>
      <c r="I37" s="99">
        <f>93/2</f>
        <v>46.5</v>
      </c>
      <c r="J37" s="98">
        <f t="shared" si="14"/>
        <v>1.7142857142857142</v>
      </c>
      <c r="K37" s="99">
        <v>7992</v>
      </c>
      <c r="L37" s="99"/>
      <c r="M37" s="99"/>
      <c r="N37" s="100">
        <f t="shared" si="15"/>
        <v>0.15053763440860216</v>
      </c>
      <c r="O37" s="101">
        <f t="shared" si="16"/>
        <v>0.78728866652324136</v>
      </c>
      <c r="P37" s="102">
        <f t="shared" si="17"/>
        <v>77630.991780821918</v>
      </c>
      <c r="Q37" s="103">
        <f t="shared" si="19"/>
        <v>12.938498630136987</v>
      </c>
      <c r="R37" s="103">
        <f t="shared" si="18"/>
        <v>7.1880547945205482</v>
      </c>
      <c r="S37" s="102">
        <f t="shared" si="22"/>
        <v>61118</v>
      </c>
      <c r="T37" s="103">
        <f t="shared" ref="T37:T53" si="24">IF(W37&lt;&gt;"",IF(E37&lt;&gt;"",E37,($I$9-SUM($T$25:T36))*V37*W37/SUMPRODUCT($W37:$W$58,$V37:$V$58)),"")</f>
        <v>12</v>
      </c>
      <c r="U37" s="103">
        <f t="shared" si="21"/>
        <v>7</v>
      </c>
      <c r="V37" s="104">
        <v>1</v>
      </c>
      <c r="W37" s="104">
        <v>1</v>
      </c>
      <c r="X37" s="107"/>
      <c r="Y37" s="106"/>
      <c r="Z37" s="2"/>
      <c r="AA37" s="2"/>
      <c r="AB37" s="2"/>
      <c r="AC37" s="2"/>
      <c r="AD37" s="2"/>
    </row>
    <row r="38" spans="1:30">
      <c r="A38" s="95">
        <v>14</v>
      </c>
      <c r="B38" s="96">
        <v>45914</v>
      </c>
      <c r="C38" s="97" t="s">
        <v>56</v>
      </c>
      <c r="D38" s="98">
        <v>62462</v>
      </c>
      <c r="E38" s="99">
        <v>10</v>
      </c>
      <c r="F38" s="99">
        <f t="shared" si="12"/>
        <v>6246.2</v>
      </c>
      <c r="G38" s="99">
        <v>7</v>
      </c>
      <c r="H38" s="99">
        <f t="shared" si="13"/>
        <v>8923.1428571428569</v>
      </c>
      <c r="I38" s="99">
        <f>7+92/2</f>
        <v>53</v>
      </c>
      <c r="J38" s="98">
        <f t="shared" si="14"/>
        <v>1.4285714285714286</v>
      </c>
      <c r="K38" s="99">
        <v>11637</v>
      </c>
      <c r="L38" s="99"/>
      <c r="M38" s="99"/>
      <c r="N38" s="100">
        <f t="shared" si="15"/>
        <v>0.13207547169811321</v>
      </c>
      <c r="O38" s="101">
        <f t="shared" si="16"/>
        <v>0.80460133984054949</v>
      </c>
      <c r="P38" s="102">
        <f t="shared" si="17"/>
        <v>77630.991780821918</v>
      </c>
      <c r="Q38" s="103">
        <f t="shared" si="19"/>
        <v>12.938498630136987</v>
      </c>
      <c r="R38" s="103">
        <f t="shared" si="18"/>
        <v>7.1880547945205482</v>
      </c>
      <c r="S38" s="102">
        <f t="shared" si="22"/>
        <v>62462</v>
      </c>
      <c r="T38" s="103">
        <f t="shared" si="24"/>
        <v>10</v>
      </c>
      <c r="U38" s="103">
        <f t="shared" si="21"/>
        <v>7</v>
      </c>
      <c r="V38" s="104">
        <v>1</v>
      </c>
      <c r="W38" s="104">
        <v>1</v>
      </c>
      <c r="X38" s="107"/>
      <c r="Y38" s="106"/>
      <c r="Z38" s="2"/>
      <c r="AA38" s="2"/>
      <c r="AB38" s="2"/>
      <c r="AC38" s="2"/>
      <c r="AD38" s="2"/>
    </row>
    <row r="39" spans="1:30">
      <c r="A39" s="95">
        <v>15</v>
      </c>
      <c r="B39" s="96">
        <v>45915</v>
      </c>
      <c r="C39" s="97" t="s">
        <v>48</v>
      </c>
      <c r="D39" s="98">
        <v>14503</v>
      </c>
      <c r="E39" s="108">
        <v>1</v>
      </c>
      <c r="F39" s="99">
        <f t="shared" si="12"/>
        <v>14503</v>
      </c>
      <c r="G39" s="108">
        <v>1</v>
      </c>
      <c r="H39" s="99">
        <f t="shared" si="13"/>
        <v>14503</v>
      </c>
      <c r="I39" s="108">
        <f>41/2</f>
        <v>20.5</v>
      </c>
      <c r="J39" s="98">
        <f t="shared" si="14"/>
        <v>1</v>
      </c>
      <c r="K39" s="99"/>
      <c r="L39" s="99">
        <v>14503</v>
      </c>
      <c r="M39" s="108"/>
      <c r="N39" s="100">
        <f t="shared" si="15"/>
        <v>4.878048780487805E-2</v>
      </c>
      <c r="O39" s="101">
        <f t="shared" si="16"/>
        <v>0.18681971809592215</v>
      </c>
      <c r="P39" s="102">
        <f t="shared" si="17"/>
        <v>77630.991780821918</v>
      </c>
      <c r="Q39" s="103">
        <f t="shared" si="19"/>
        <v>12.938498630136987</v>
      </c>
      <c r="R39" s="103">
        <f t="shared" si="18"/>
        <v>7.1880547945205482</v>
      </c>
      <c r="S39" s="102">
        <f t="shared" si="22"/>
        <v>14503</v>
      </c>
      <c r="T39" s="103">
        <f t="shared" si="24"/>
        <v>1</v>
      </c>
      <c r="U39" s="103">
        <f t="shared" si="21"/>
        <v>1</v>
      </c>
      <c r="V39" s="104">
        <v>1</v>
      </c>
      <c r="W39" s="104">
        <v>1</v>
      </c>
      <c r="X39" s="107"/>
      <c r="Y39" s="106"/>
      <c r="Z39" s="2"/>
      <c r="AA39" s="2"/>
      <c r="AB39" s="2"/>
      <c r="AC39" s="2"/>
      <c r="AD39" s="2"/>
    </row>
    <row r="40" spans="1:30">
      <c r="A40" s="95">
        <v>16</v>
      </c>
      <c r="B40" s="96">
        <v>45916</v>
      </c>
      <c r="C40" s="97" t="s">
        <v>49</v>
      </c>
      <c r="D40" s="98">
        <v>17275</v>
      </c>
      <c r="E40" s="99">
        <v>3</v>
      </c>
      <c r="F40" s="99">
        <f t="shared" si="12"/>
        <v>5758.333333333333</v>
      </c>
      <c r="G40" s="99">
        <v>2</v>
      </c>
      <c r="H40" s="99">
        <f t="shared" si="13"/>
        <v>8637.5</v>
      </c>
      <c r="I40" s="99">
        <f>74/2</f>
        <v>37</v>
      </c>
      <c r="J40" s="98">
        <f t="shared" si="14"/>
        <v>1.5</v>
      </c>
      <c r="K40" s="99"/>
      <c r="L40" s="99"/>
      <c r="M40" s="99"/>
      <c r="N40" s="252">
        <f t="shared" si="15"/>
        <v>5.4054054054054057E-2</v>
      </c>
      <c r="O40" s="101">
        <f t="shared" si="16"/>
        <v>0.22252710681287011</v>
      </c>
      <c r="P40" s="102">
        <f t="shared" si="17"/>
        <v>77630.991780821918</v>
      </c>
      <c r="Q40" s="103">
        <f t="shared" si="19"/>
        <v>12.938498630136987</v>
      </c>
      <c r="R40" s="103">
        <f t="shared" si="18"/>
        <v>7.1880547945205482</v>
      </c>
      <c r="S40" s="102">
        <f t="shared" si="22"/>
        <v>17275</v>
      </c>
      <c r="T40" s="103">
        <f t="shared" si="24"/>
        <v>3</v>
      </c>
      <c r="U40" s="103">
        <f t="shared" si="21"/>
        <v>2</v>
      </c>
      <c r="V40" s="104">
        <v>1</v>
      </c>
      <c r="W40" s="104">
        <v>1</v>
      </c>
      <c r="X40" s="107"/>
      <c r="Y40" s="106"/>
      <c r="Z40" s="2"/>
      <c r="AA40" s="2"/>
      <c r="AB40" s="2"/>
      <c r="AC40" s="2"/>
      <c r="AD40" s="2"/>
    </row>
    <row r="41" spans="1:30">
      <c r="A41" s="95">
        <v>17</v>
      </c>
      <c r="B41" s="96">
        <v>45917</v>
      </c>
      <c r="C41" s="97" t="s">
        <v>50</v>
      </c>
      <c r="D41" s="98">
        <f>8992+70868</f>
        <v>79860</v>
      </c>
      <c r="E41" s="99">
        <v>15</v>
      </c>
      <c r="F41" s="99">
        <f t="shared" si="12"/>
        <v>5324</v>
      </c>
      <c r="G41" s="99">
        <v>6</v>
      </c>
      <c r="H41" s="99">
        <f t="shared" si="13"/>
        <v>13310</v>
      </c>
      <c r="I41" s="99">
        <v>70</v>
      </c>
      <c r="J41" s="98">
        <f t="shared" si="14"/>
        <v>2.5</v>
      </c>
      <c r="K41" s="99">
        <v>8992</v>
      </c>
      <c r="L41" s="99"/>
      <c r="M41" s="99"/>
      <c r="N41" s="100">
        <f t="shared" si="15"/>
        <v>8.5714285714285715E-2</v>
      </c>
      <c r="O41" s="101">
        <f t="shared" si="16"/>
        <v>1.028712865416834</v>
      </c>
      <c r="P41" s="102">
        <f t="shared" si="17"/>
        <v>77630.991780821918</v>
      </c>
      <c r="Q41" s="103">
        <f t="shared" si="19"/>
        <v>12.938498630136987</v>
      </c>
      <c r="R41" s="103">
        <f t="shared" si="18"/>
        <v>7.1880547945205482</v>
      </c>
      <c r="S41" s="102">
        <f t="shared" si="22"/>
        <v>79860</v>
      </c>
      <c r="T41" s="103">
        <f t="shared" si="24"/>
        <v>15</v>
      </c>
      <c r="U41" s="103">
        <f t="shared" si="21"/>
        <v>6</v>
      </c>
      <c r="V41" s="104">
        <v>1</v>
      </c>
      <c r="W41" s="104">
        <v>1</v>
      </c>
      <c r="X41" s="107"/>
      <c r="Y41" s="106"/>
      <c r="Z41" s="2"/>
      <c r="AA41" s="2"/>
      <c r="AB41" s="2"/>
      <c r="AC41" s="2"/>
      <c r="AD41" s="2"/>
    </row>
    <row r="42" spans="1:30">
      <c r="A42" s="95">
        <v>18</v>
      </c>
      <c r="B42" s="96">
        <v>45918</v>
      </c>
      <c r="C42" s="97" t="s">
        <v>52</v>
      </c>
      <c r="D42" s="98">
        <v>48423</v>
      </c>
      <c r="E42" s="99">
        <v>9</v>
      </c>
      <c r="F42" s="99">
        <f t="shared" si="12"/>
        <v>5380.333333333333</v>
      </c>
      <c r="G42" s="99">
        <v>4</v>
      </c>
      <c r="H42" s="99">
        <f t="shared" si="13"/>
        <v>12105.75</v>
      </c>
      <c r="I42" s="99">
        <v>29</v>
      </c>
      <c r="J42" s="98">
        <f t="shared" si="14"/>
        <v>2.25</v>
      </c>
      <c r="K42" s="99"/>
      <c r="L42" s="99"/>
      <c r="M42" s="99"/>
      <c r="N42" s="100">
        <f t="shared" si="15"/>
        <v>0.13793103448275862</v>
      </c>
      <c r="O42" s="101">
        <f t="shared" si="16"/>
        <v>0.62375861610417416</v>
      </c>
      <c r="P42" s="102">
        <f t="shared" si="17"/>
        <v>77630.991780821918</v>
      </c>
      <c r="Q42" s="103">
        <f t="shared" si="19"/>
        <v>12.938498630136987</v>
      </c>
      <c r="R42" s="103">
        <f t="shared" si="18"/>
        <v>7.1880547945205482</v>
      </c>
      <c r="S42" s="102">
        <f t="shared" si="22"/>
        <v>48423</v>
      </c>
      <c r="T42" s="103">
        <f t="shared" si="24"/>
        <v>9</v>
      </c>
      <c r="U42" s="103">
        <f t="shared" si="21"/>
        <v>4</v>
      </c>
      <c r="V42" s="104">
        <v>1</v>
      </c>
      <c r="W42" s="104">
        <v>1</v>
      </c>
      <c r="X42" s="107"/>
      <c r="Y42" s="106"/>
      <c r="Z42" s="128"/>
      <c r="AA42" s="2"/>
      <c r="AB42" s="2"/>
      <c r="AC42" s="2"/>
      <c r="AD42" s="2"/>
    </row>
    <row r="43" spans="1:30">
      <c r="A43" s="95">
        <v>19</v>
      </c>
      <c r="B43" s="96">
        <v>45919</v>
      </c>
      <c r="C43" s="97" t="s">
        <v>54</v>
      </c>
      <c r="D43" s="98">
        <f>27473+84278</f>
        <v>111751</v>
      </c>
      <c r="E43" s="99">
        <v>22</v>
      </c>
      <c r="F43" s="99">
        <f t="shared" si="12"/>
        <v>5079.590909090909</v>
      </c>
      <c r="G43" s="99">
        <v>8</v>
      </c>
      <c r="H43" s="99">
        <f t="shared" si="13"/>
        <v>13968.875</v>
      </c>
      <c r="I43" s="99">
        <v>60</v>
      </c>
      <c r="J43" s="98">
        <f t="shared" si="14"/>
        <v>2.75</v>
      </c>
      <c r="K43" s="99"/>
      <c r="L43" s="99"/>
      <c r="M43" s="99">
        <v>27473</v>
      </c>
      <c r="N43" s="100">
        <f t="shared" si="15"/>
        <v>0.13333333333333333</v>
      </c>
      <c r="O43" s="101">
        <f t="shared" si="16"/>
        <v>1.4395152945554297</v>
      </c>
      <c r="P43" s="102">
        <f t="shared" si="17"/>
        <v>77630.991780821918</v>
      </c>
      <c r="Q43" s="103">
        <f t="shared" si="19"/>
        <v>12.938498630136987</v>
      </c>
      <c r="R43" s="103">
        <f t="shared" si="18"/>
        <v>7.1880547945205482</v>
      </c>
      <c r="S43" s="102">
        <f t="shared" si="22"/>
        <v>111751</v>
      </c>
      <c r="T43" s="103">
        <f t="shared" si="24"/>
        <v>22</v>
      </c>
      <c r="U43" s="103">
        <f t="shared" si="21"/>
        <v>8</v>
      </c>
      <c r="V43" s="104">
        <v>1</v>
      </c>
      <c r="W43" s="104">
        <v>1</v>
      </c>
      <c r="X43" s="107"/>
      <c r="Y43" s="106"/>
      <c r="Z43" s="128"/>
      <c r="AA43" s="2"/>
      <c r="AB43" s="2"/>
      <c r="AC43" s="2"/>
      <c r="AD43" s="2"/>
    </row>
    <row r="44" spans="1:30">
      <c r="A44" s="95">
        <v>20</v>
      </c>
      <c r="B44" s="96">
        <v>45920</v>
      </c>
      <c r="C44" s="97" t="s">
        <v>55</v>
      </c>
      <c r="D44" s="98">
        <f>10990+31275+22767</f>
        <v>65032</v>
      </c>
      <c r="E44" s="99">
        <v>8</v>
      </c>
      <c r="F44" s="99">
        <f t="shared" si="12"/>
        <v>8129</v>
      </c>
      <c r="G44" s="99">
        <v>4</v>
      </c>
      <c r="H44" s="99">
        <f t="shared" si="13"/>
        <v>16258</v>
      </c>
      <c r="I44" s="99">
        <v>27</v>
      </c>
      <c r="J44" s="98">
        <f t="shared" si="14"/>
        <v>2</v>
      </c>
      <c r="K44" s="99">
        <v>10990</v>
      </c>
      <c r="L44" s="99"/>
      <c r="M44" s="99">
        <v>31275</v>
      </c>
      <c r="N44" s="100">
        <f t="shared" si="15"/>
        <v>0.14814814814814814</v>
      </c>
      <c r="O44" s="101">
        <f t="shared" si="16"/>
        <v>0.83770667497855678</v>
      </c>
      <c r="P44" s="102">
        <f t="shared" si="17"/>
        <v>77630.991780821918</v>
      </c>
      <c r="Q44" s="103">
        <f t="shared" si="19"/>
        <v>12.938498630136987</v>
      </c>
      <c r="R44" s="103">
        <f t="shared" si="18"/>
        <v>7.1880547945205482</v>
      </c>
      <c r="S44" s="102">
        <f t="shared" si="22"/>
        <v>65032</v>
      </c>
      <c r="T44" s="103">
        <f t="shared" si="24"/>
        <v>8</v>
      </c>
      <c r="U44" s="103">
        <f t="shared" si="21"/>
        <v>4</v>
      </c>
      <c r="V44" s="104">
        <v>1</v>
      </c>
      <c r="W44" s="104">
        <v>1</v>
      </c>
      <c r="X44" s="107"/>
      <c r="Y44" s="106"/>
      <c r="Z44" s="128"/>
      <c r="AA44" s="2"/>
      <c r="AB44" s="2"/>
      <c r="AC44" s="2"/>
      <c r="AD44" s="2"/>
    </row>
    <row r="45" spans="1:30">
      <c r="A45" s="95">
        <v>21</v>
      </c>
      <c r="B45" s="96">
        <v>45921</v>
      </c>
      <c r="C45" s="97" t="s">
        <v>56</v>
      </c>
      <c r="D45" s="98">
        <v>47840</v>
      </c>
      <c r="E45" s="99">
        <v>8</v>
      </c>
      <c r="F45" s="99">
        <f t="shared" si="12"/>
        <v>5980</v>
      </c>
      <c r="G45" s="99">
        <v>5</v>
      </c>
      <c r="H45" s="99">
        <f t="shared" si="13"/>
        <v>9568</v>
      </c>
      <c r="I45" s="99">
        <v>28</v>
      </c>
      <c r="J45" s="98">
        <f t="shared" si="14"/>
        <v>1.6</v>
      </c>
      <c r="K45" s="99">
        <v>15990</v>
      </c>
      <c r="L45" s="99">
        <v>6801</v>
      </c>
      <c r="M45" s="99"/>
      <c r="N45" s="100">
        <f t="shared" si="15"/>
        <v>0.17857142857142858</v>
      </c>
      <c r="O45" s="101">
        <f t="shared" si="16"/>
        <v>0.61624872879465731</v>
      </c>
      <c r="P45" s="102">
        <f t="shared" si="17"/>
        <v>77630.991780821918</v>
      </c>
      <c r="Q45" s="103">
        <f t="shared" si="19"/>
        <v>12.938498630136987</v>
      </c>
      <c r="R45" s="103">
        <f t="shared" si="18"/>
        <v>7.1880547945205482</v>
      </c>
      <c r="S45" s="102">
        <f t="shared" si="22"/>
        <v>47840</v>
      </c>
      <c r="T45" s="103">
        <f t="shared" si="24"/>
        <v>8</v>
      </c>
      <c r="U45" s="103">
        <f t="shared" si="21"/>
        <v>5</v>
      </c>
      <c r="V45" s="104">
        <v>1</v>
      </c>
      <c r="W45" s="104">
        <v>1</v>
      </c>
      <c r="X45" s="107"/>
      <c r="Y45" s="106"/>
      <c r="Z45" s="128"/>
    </row>
    <row r="46" spans="1:30">
      <c r="A46" s="95">
        <v>22</v>
      </c>
      <c r="B46" s="96">
        <v>45922</v>
      </c>
      <c r="C46" s="97" t="s">
        <v>48</v>
      </c>
      <c r="D46" s="98">
        <f>25583+85170</f>
        <v>110753</v>
      </c>
      <c r="E46" s="99">
        <v>17</v>
      </c>
      <c r="F46" s="99">
        <f t="shared" si="12"/>
        <v>6514.8823529411766</v>
      </c>
      <c r="G46" s="99">
        <v>6</v>
      </c>
      <c r="H46" s="99">
        <f t="shared" si="13"/>
        <v>18458.833333333332</v>
      </c>
      <c r="I46" s="99">
        <v>50</v>
      </c>
      <c r="J46" s="98">
        <f t="shared" si="14"/>
        <v>2.8333333333333335</v>
      </c>
      <c r="K46" s="99">
        <v>25583</v>
      </c>
      <c r="L46" s="99"/>
      <c r="M46" s="99"/>
      <c r="N46" s="100">
        <f t="shared" si="15"/>
        <v>0.12</v>
      </c>
      <c r="O46" s="101">
        <f t="shared" si="16"/>
        <v>1.4266596041010595</v>
      </c>
      <c r="P46" s="102">
        <f t="shared" si="17"/>
        <v>77630.991780821918</v>
      </c>
      <c r="Q46" s="103">
        <f t="shared" si="19"/>
        <v>12.938498630136987</v>
      </c>
      <c r="R46" s="103">
        <f t="shared" si="18"/>
        <v>7.1880547945205482</v>
      </c>
      <c r="S46" s="102">
        <f t="shared" si="22"/>
        <v>110753</v>
      </c>
      <c r="T46" s="103">
        <f t="shared" si="24"/>
        <v>17</v>
      </c>
      <c r="U46" s="103">
        <f t="shared" si="21"/>
        <v>6</v>
      </c>
      <c r="V46" s="104">
        <v>1</v>
      </c>
      <c r="W46" s="104">
        <v>1</v>
      </c>
      <c r="X46" s="107"/>
      <c r="Y46" s="106"/>
      <c r="Z46" s="128"/>
      <c r="AA46" s="2"/>
      <c r="AB46" s="2"/>
      <c r="AC46" s="2"/>
      <c r="AD46" s="2"/>
    </row>
    <row r="47" spans="1:30">
      <c r="A47" s="95">
        <v>23</v>
      </c>
      <c r="B47" s="96">
        <v>45923</v>
      </c>
      <c r="C47" s="97" t="s">
        <v>49</v>
      </c>
      <c r="D47" s="98">
        <v>77307</v>
      </c>
      <c r="E47" s="99">
        <v>14</v>
      </c>
      <c r="F47" s="99">
        <f t="shared" si="12"/>
        <v>5521.9285714285716</v>
      </c>
      <c r="G47" s="99">
        <v>4</v>
      </c>
      <c r="H47" s="99">
        <f t="shared" si="13"/>
        <v>19326.75</v>
      </c>
      <c r="I47" s="99">
        <v>30</v>
      </c>
      <c r="J47" s="98">
        <f t="shared" si="14"/>
        <v>3.5</v>
      </c>
      <c r="K47" s="99"/>
      <c r="L47" s="99"/>
      <c r="M47" s="99"/>
      <c r="N47" s="100">
        <f t="shared" si="15"/>
        <v>0.13333333333333333</v>
      </c>
      <c r="O47" s="101">
        <f t="shared" si="16"/>
        <v>0.99582651498596519</v>
      </c>
      <c r="P47" s="102">
        <f t="shared" si="17"/>
        <v>77630.991780821918</v>
      </c>
      <c r="Q47" s="103">
        <f t="shared" si="19"/>
        <v>12.938498630136987</v>
      </c>
      <c r="R47" s="103">
        <f t="shared" si="18"/>
        <v>7.1880547945205482</v>
      </c>
      <c r="S47" s="102">
        <f t="shared" si="22"/>
        <v>77307</v>
      </c>
      <c r="T47" s="103">
        <f t="shared" si="24"/>
        <v>14</v>
      </c>
      <c r="U47" s="103">
        <f t="shared" si="21"/>
        <v>4</v>
      </c>
      <c r="V47" s="104">
        <v>1</v>
      </c>
      <c r="W47" s="104">
        <v>1</v>
      </c>
      <c r="X47" s="107"/>
      <c r="Y47" s="106"/>
      <c r="Z47" s="128"/>
      <c r="AA47" s="2"/>
      <c r="AB47" s="2"/>
      <c r="AC47" s="2"/>
      <c r="AD47" s="2"/>
    </row>
    <row r="48" spans="1:30">
      <c r="A48" s="95">
        <v>24</v>
      </c>
      <c r="B48" s="96">
        <v>45924</v>
      </c>
      <c r="C48" s="97" t="s">
        <v>50</v>
      </c>
      <c r="D48" s="98">
        <v>24360</v>
      </c>
      <c r="E48" s="99">
        <v>5</v>
      </c>
      <c r="F48" s="99">
        <f t="shared" si="12"/>
        <v>4872</v>
      </c>
      <c r="G48" s="99">
        <v>5</v>
      </c>
      <c r="H48" s="99">
        <f t="shared" si="13"/>
        <v>4872</v>
      </c>
      <c r="I48" s="99">
        <v>27</v>
      </c>
      <c r="J48" s="98">
        <f t="shared" si="14"/>
        <v>1</v>
      </c>
      <c r="K48" s="99"/>
      <c r="L48" s="99"/>
      <c r="M48" s="99"/>
      <c r="N48" s="100">
        <f t="shared" si="15"/>
        <v>0.18518518518518517</v>
      </c>
      <c r="O48" s="101">
        <f t="shared" si="16"/>
        <v>0.31379220387620932</v>
      </c>
      <c r="P48" s="102">
        <f t="shared" si="17"/>
        <v>77630.991780821918</v>
      </c>
      <c r="Q48" s="103">
        <f t="shared" si="19"/>
        <v>12.938498630136987</v>
      </c>
      <c r="R48" s="103">
        <f t="shared" si="18"/>
        <v>7.1880547945205482</v>
      </c>
      <c r="S48" s="102">
        <f t="shared" si="22"/>
        <v>24360</v>
      </c>
      <c r="T48" s="103">
        <f t="shared" si="24"/>
        <v>5</v>
      </c>
      <c r="U48" s="103">
        <f t="shared" si="21"/>
        <v>5</v>
      </c>
      <c r="V48" s="104">
        <v>1</v>
      </c>
      <c r="W48" s="104">
        <v>1</v>
      </c>
      <c r="X48" s="107"/>
      <c r="Y48" s="106"/>
      <c r="Z48" s="128"/>
      <c r="AA48" s="2"/>
      <c r="AB48" s="2"/>
      <c r="AC48" s="2"/>
      <c r="AD48" s="2"/>
    </row>
    <row r="49" spans="1:30">
      <c r="A49" s="95">
        <v>25</v>
      </c>
      <c r="B49" s="96">
        <v>45925</v>
      </c>
      <c r="C49" s="97" t="s">
        <v>52</v>
      </c>
      <c r="D49" s="98">
        <f>46803+9503+35958</f>
        <v>92264</v>
      </c>
      <c r="E49" s="99">
        <v>11</v>
      </c>
      <c r="F49" s="99">
        <f t="shared" si="12"/>
        <v>8387.636363636364</v>
      </c>
      <c r="G49" s="99">
        <v>9</v>
      </c>
      <c r="H49" s="99">
        <f t="shared" si="13"/>
        <v>10251.555555555555</v>
      </c>
      <c r="I49" s="99">
        <v>60</v>
      </c>
      <c r="J49" s="98">
        <f t="shared" si="14"/>
        <v>1.2222222222222223</v>
      </c>
      <c r="K49" s="99">
        <v>46803</v>
      </c>
      <c r="L49" s="99">
        <v>9503</v>
      </c>
      <c r="M49" s="99"/>
      <c r="N49" s="100">
        <f t="shared" si="15"/>
        <v>0.15</v>
      </c>
      <c r="O49" s="101">
        <f t="shared" si="16"/>
        <v>1.1884944129078232</v>
      </c>
      <c r="P49" s="102">
        <f t="shared" si="17"/>
        <v>77630.991780821918</v>
      </c>
      <c r="Q49" s="103">
        <f t="shared" si="19"/>
        <v>12.938498630136987</v>
      </c>
      <c r="R49" s="103">
        <f t="shared" si="18"/>
        <v>7.1880547945205482</v>
      </c>
      <c r="S49" s="102">
        <f t="shared" si="22"/>
        <v>92264</v>
      </c>
      <c r="T49" s="103">
        <f t="shared" si="24"/>
        <v>11</v>
      </c>
      <c r="U49" s="103">
        <f t="shared" si="21"/>
        <v>9</v>
      </c>
      <c r="V49" s="104">
        <v>1</v>
      </c>
      <c r="W49" s="104">
        <v>1</v>
      </c>
      <c r="X49" s="107"/>
      <c r="Y49" s="106"/>
      <c r="Z49" s="128"/>
      <c r="AA49" s="2"/>
      <c r="AB49" s="2"/>
      <c r="AC49" s="2"/>
      <c r="AD49" s="2"/>
    </row>
    <row r="50" spans="1:30">
      <c r="A50" s="95">
        <v>26</v>
      </c>
      <c r="B50" s="96">
        <v>45773</v>
      </c>
      <c r="C50" s="97" t="s">
        <v>54</v>
      </c>
      <c r="D50" s="98">
        <v>14875</v>
      </c>
      <c r="E50" s="99">
        <v>3</v>
      </c>
      <c r="F50" s="99">
        <f t="shared" si="12"/>
        <v>4958.333333333333</v>
      </c>
      <c r="G50" s="99">
        <v>2</v>
      </c>
      <c r="H50" s="99">
        <f t="shared" si="13"/>
        <v>7437.5</v>
      </c>
      <c r="I50" s="99">
        <v>23</v>
      </c>
      <c r="J50" s="98">
        <f t="shared" si="14"/>
        <v>1.5</v>
      </c>
      <c r="K50" s="99"/>
      <c r="L50" s="99"/>
      <c r="M50" s="99"/>
      <c r="N50" s="100">
        <f t="shared" si="15"/>
        <v>8.6956521739130432E-2</v>
      </c>
      <c r="O50" s="101" t="e">
        <f t="shared" si="16"/>
        <v>#DIV/0!</v>
      </c>
      <c r="P50" s="102">
        <f t="shared" si="17"/>
        <v>0</v>
      </c>
      <c r="Q50" s="103">
        <f t="shared" si="19"/>
        <v>0</v>
      </c>
      <c r="R50" s="103">
        <f t="shared" si="18"/>
        <v>0</v>
      </c>
      <c r="S50" s="102" t="str">
        <f t="shared" si="22"/>
        <v/>
      </c>
      <c r="T50" s="103" t="str">
        <f t="shared" si="24"/>
        <v/>
      </c>
      <c r="U50" s="103" t="str">
        <f t="shared" si="21"/>
        <v/>
      </c>
      <c r="V50" s="104"/>
      <c r="W50" s="104"/>
      <c r="X50" s="107"/>
      <c r="Y50" s="106"/>
      <c r="Z50" s="128"/>
      <c r="AA50" s="2"/>
      <c r="AB50" s="2"/>
      <c r="AC50" s="2"/>
      <c r="AD50" s="2"/>
    </row>
    <row r="51" spans="1:30">
      <c r="A51" s="95">
        <v>27</v>
      </c>
      <c r="B51" s="96">
        <v>45927</v>
      </c>
      <c r="C51" s="133" t="s">
        <v>55</v>
      </c>
      <c r="D51" s="98">
        <f>6803+13092+64088</f>
        <v>83983</v>
      </c>
      <c r="E51" s="108">
        <v>15</v>
      </c>
      <c r="F51" s="99">
        <f t="shared" si="12"/>
        <v>5598.8666666666668</v>
      </c>
      <c r="G51" s="108">
        <v>8</v>
      </c>
      <c r="H51" s="99">
        <f t="shared" si="13"/>
        <v>10497.875</v>
      </c>
      <c r="I51" s="108">
        <v>45</v>
      </c>
      <c r="J51" s="98">
        <f t="shared" si="14"/>
        <v>1.875</v>
      </c>
      <c r="K51" s="108"/>
      <c r="L51" s="99">
        <v>6803</v>
      </c>
      <c r="M51" s="108">
        <v>13092</v>
      </c>
      <c r="N51" s="100">
        <f t="shared" si="15"/>
        <v>0.17777777777777778</v>
      </c>
      <c r="O51" s="249" t="e">
        <f t="shared" si="16"/>
        <v>#DIV/0!</v>
      </c>
      <c r="P51" s="102">
        <f t="shared" si="17"/>
        <v>0</v>
      </c>
      <c r="Q51" s="250">
        <f t="shared" si="19"/>
        <v>0</v>
      </c>
      <c r="R51" s="103">
        <f t="shared" si="18"/>
        <v>0</v>
      </c>
      <c r="S51" s="251" t="str">
        <f t="shared" si="22"/>
        <v/>
      </c>
      <c r="T51" s="103" t="str">
        <f t="shared" si="24"/>
        <v/>
      </c>
      <c r="U51" s="250" t="str">
        <f t="shared" si="21"/>
        <v/>
      </c>
      <c r="V51" s="104"/>
      <c r="W51" s="104"/>
      <c r="X51" s="107"/>
      <c r="Y51" s="106"/>
      <c r="Z51" s="128"/>
      <c r="AA51" s="2"/>
      <c r="AB51" s="2"/>
      <c r="AC51" s="2"/>
      <c r="AD51" s="2"/>
    </row>
    <row r="52" spans="1:30">
      <c r="A52" s="95">
        <v>28</v>
      </c>
      <c r="B52" s="96">
        <v>45928</v>
      </c>
      <c r="C52" s="97" t="s">
        <v>56</v>
      </c>
      <c r="D52" s="253">
        <v>25468</v>
      </c>
      <c r="E52" s="99">
        <v>4</v>
      </c>
      <c r="F52" s="108">
        <f t="shared" si="12"/>
        <v>6367</v>
      </c>
      <c r="G52" s="99">
        <v>3</v>
      </c>
      <c r="H52" s="108">
        <f t="shared" si="13"/>
        <v>8489.3333333333339</v>
      </c>
      <c r="I52" s="99">
        <v>30</v>
      </c>
      <c r="J52" s="253">
        <f t="shared" si="14"/>
        <v>1.3333333333333333</v>
      </c>
      <c r="K52" s="99">
        <v>7991</v>
      </c>
      <c r="L52" s="108">
        <v>8903</v>
      </c>
      <c r="M52" s="99"/>
      <c r="N52" s="252">
        <f t="shared" si="15"/>
        <v>0.1</v>
      </c>
      <c r="O52" s="101" t="e">
        <f t="shared" si="16"/>
        <v>#DIV/0!</v>
      </c>
      <c r="P52" s="251">
        <f t="shared" si="17"/>
        <v>0</v>
      </c>
      <c r="Q52" s="103">
        <f t="shared" si="19"/>
        <v>0</v>
      </c>
      <c r="R52" s="250">
        <f t="shared" si="18"/>
        <v>0</v>
      </c>
      <c r="S52" s="102" t="str">
        <f t="shared" si="22"/>
        <v/>
      </c>
      <c r="T52" s="250" t="str">
        <f t="shared" si="24"/>
        <v/>
      </c>
      <c r="U52" s="103" t="str">
        <f t="shared" si="21"/>
        <v/>
      </c>
      <c r="V52" s="254"/>
      <c r="W52" s="104"/>
      <c r="X52" s="107"/>
      <c r="Y52" s="106"/>
      <c r="Z52" s="128"/>
      <c r="AA52" s="2"/>
      <c r="AB52" s="2"/>
      <c r="AC52" s="2"/>
      <c r="AD52" s="2"/>
    </row>
    <row r="53" spans="1:30">
      <c r="A53" s="95">
        <v>29</v>
      </c>
      <c r="B53" s="96">
        <v>45929</v>
      </c>
      <c r="C53" s="133" t="s">
        <v>48</v>
      </c>
      <c r="D53" s="98"/>
      <c r="E53" s="108"/>
      <c r="F53" s="99" t="str">
        <f t="shared" si="12"/>
        <v/>
      </c>
      <c r="G53" s="108"/>
      <c r="H53" s="99" t="str">
        <f t="shared" si="13"/>
        <v/>
      </c>
      <c r="I53" s="108">
        <v>10</v>
      </c>
      <c r="J53" s="98" t="str">
        <f t="shared" si="14"/>
        <v/>
      </c>
      <c r="K53" s="108"/>
      <c r="L53" s="99"/>
      <c r="M53" s="108"/>
      <c r="N53" s="100">
        <f t="shared" si="15"/>
        <v>0</v>
      </c>
      <c r="O53" s="249" t="e">
        <f t="shared" si="16"/>
        <v>#DIV/0!</v>
      </c>
      <c r="P53" s="102">
        <f t="shared" si="17"/>
        <v>0</v>
      </c>
      <c r="Q53" s="250">
        <f t="shared" si="19"/>
        <v>0</v>
      </c>
      <c r="R53" s="103">
        <f t="shared" si="18"/>
        <v>0</v>
      </c>
      <c r="S53" s="251" t="str">
        <f t="shared" si="22"/>
        <v/>
      </c>
      <c r="T53" s="103" t="str">
        <f t="shared" si="24"/>
        <v/>
      </c>
      <c r="U53" s="250" t="str">
        <f t="shared" si="21"/>
        <v/>
      </c>
      <c r="V53" s="104"/>
      <c r="W53" s="104"/>
      <c r="X53" s="107"/>
      <c r="Y53" s="106"/>
      <c r="Z53" s="128"/>
      <c r="AA53" s="2"/>
      <c r="AB53" s="2"/>
      <c r="AC53" s="2"/>
      <c r="AD53" s="2"/>
    </row>
    <row r="54" spans="1:30">
      <c r="A54" s="95"/>
      <c r="B54" s="96">
        <v>45930</v>
      </c>
      <c r="C54" s="97" t="s">
        <v>49</v>
      </c>
      <c r="D54" s="98">
        <v>32944</v>
      </c>
      <c r="E54" s="99">
        <v>5</v>
      </c>
      <c r="F54" s="99">
        <f t="shared" si="12"/>
        <v>6588.8</v>
      </c>
      <c r="G54" s="99">
        <v>3</v>
      </c>
      <c r="H54" s="99">
        <f t="shared" si="13"/>
        <v>10981.333333333334</v>
      </c>
      <c r="I54" s="99">
        <v>17</v>
      </c>
      <c r="J54" s="98">
        <f t="shared" si="14"/>
        <v>1.6666666666666667</v>
      </c>
      <c r="K54" s="99">
        <v>13490</v>
      </c>
      <c r="L54" s="99"/>
      <c r="M54" s="99"/>
      <c r="N54" s="100">
        <f t="shared" si="15"/>
        <v>0.17647058823529413</v>
      </c>
      <c r="O54" s="101" t="e">
        <f t="shared" si="16"/>
        <v>#DIV/0!</v>
      </c>
      <c r="P54" s="102">
        <f t="shared" si="17"/>
        <v>0</v>
      </c>
      <c r="Q54" s="103">
        <f t="shared" si="19"/>
        <v>0</v>
      </c>
      <c r="R54" s="103">
        <f t="shared" si="18"/>
        <v>0</v>
      </c>
      <c r="S54" s="102" t="str">
        <f>IF(W54&lt;&gt;"",IF(D54&lt;&gt;"",D54,($I$8-SUM($S$25:S50))*V54*W54/SUMPRODUCT($W54:$W$58,$V54:$V$58)),"")</f>
        <v/>
      </c>
      <c r="T54" s="103" t="str">
        <f>IF(W54&lt;&gt;"",IF(E54&lt;&gt;"",E54,($I$9-SUM($T$25:T50))*V54*W54/SUMPRODUCT($W54:$W$58,$V54:$V$58)),"")</f>
        <v/>
      </c>
      <c r="U54" s="103" t="str">
        <f>IF(W54&lt;&gt;"",IF($I$12&lt;&gt;"",IF(G54&lt;&gt;"",G54,($I$9/$I$12-SUM($U$25:U50))*V54*W54/SUMPRODUCT($W54:$W$58,$V54:$V$58)),""),"")</f>
        <v/>
      </c>
      <c r="V54" s="104"/>
      <c r="W54" s="104"/>
      <c r="X54" s="107"/>
      <c r="Y54" s="106"/>
      <c r="Z54" s="128"/>
      <c r="AA54" s="2"/>
      <c r="AB54" s="2"/>
      <c r="AC54" s="2"/>
      <c r="AD54" s="2"/>
    </row>
    <row r="55" spans="1:30">
      <c r="A55" s="95"/>
      <c r="B55" s="96"/>
      <c r="C55" s="97"/>
      <c r="D55" s="98"/>
      <c r="E55" s="99"/>
      <c r="F55" s="99" t="str">
        <f t="shared" si="12"/>
        <v/>
      </c>
      <c r="G55" s="99"/>
      <c r="H55" s="99" t="str">
        <f t="shared" si="13"/>
        <v/>
      </c>
      <c r="I55" s="99"/>
      <c r="J55" s="98" t="str">
        <f t="shared" si="14"/>
        <v/>
      </c>
      <c r="K55" s="99"/>
      <c r="L55" s="99"/>
      <c r="M55" s="99"/>
      <c r="N55" s="100" t="str">
        <f t="shared" si="15"/>
        <v/>
      </c>
      <c r="O55" s="101" t="e">
        <f t="shared" si="16"/>
        <v>#DIV/0!</v>
      </c>
      <c r="P55" s="102">
        <f t="shared" si="17"/>
        <v>0</v>
      </c>
      <c r="Q55" s="103">
        <f t="shared" si="19"/>
        <v>0</v>
      </c>
      <c r="R55" s="103">
        <f t="shared" si="18"/>
        <v>0</v>
      </c>
      <c r="S55" s="102" t="str">
        <f t="shared" ref="S55:S56" si="25">IF(W55&lt;&gt;"",IF(D55&lt;&gt;"",D55,($I$8-SUM($S$25:S54))*V55*W55/SUMPRODUCT($W55:$W$58,$V55:$V$58)),"")</f>
        <v/>
      </c>
      <c r="T55" s="103" t="str">
        <f t="shared" ref="T55:T56" si="26">IF(W55&lt;&gt;"",IF(E55&lt;&gt;"",E55,($I$9-SUM($T$25:T54))*V55*W55/SUMPRODUCT($W55:$W$58,$V55:$V$58)),"")</f>
        <v/>
      </c>
      <c r="U55" s="103" t="str">
        <f t="shared" ref="U55:U56" si="27">IF(W55&lt;&gt;"",IF($I$12&lt;&gt;"",IF(G55&lt;&gt;"",G55,($I$9/$I$12-SUM($U$25:U54))*V55*W55/SUMPRODUCT($W55:$W$58,$V55:$V$58)),""),"")</f>
        <v/>
      </c>
      <c r="V55" s="104"/>
      <c r="W55" s="104"/>
      <c r="X55" s="107"/>
      <c r="Y55" s="106"/>
      <c r="Z55" s="128"/>
      <c r="AA55" s="2"/>
      <c r="AB55" s="2"/>
      <c r="AC55" s="2"/>
      <c r="AD55" s="2"/>
    </row>
    <row r="56" spans="1:30" ht="15" customHeight="1">
      <c r="A56" s="95"/>
      <c r="B56" s="96"/>
      <c r="C56" s="97"/>
      <c r="D56" s="98"/>
      <c r="E56" s="99"/>
      <c r="F56" s="99" t="str">
        <f t="shared" si="12"/>
        <v/>
      </c>
      <c r="G56" s="99"/>
      <c r="H56" s="99" t="str">
        <f t="shared" si="13"/>
        <v/>
      </c>
      <c r="I56" s="99"/>
      <c r="J56" s="98" t="str">
        <f t="shared" si="14"/>
        <v/>
      </c>
      <c r="K56" s="99"/>
      <c r="L56" s="99"/>
      <c r="M56" s="99"/>
      <c r="N56" s="100" t="str">
        <f t="shared" si="15"/>
        <v/>
      </c>
      <c r="O56" s="101" t="e">
        <f t="shared" si="16"/>
        <v>#DIV/0!</v>
      </c>
      <c r="P56" s="102">
        <f t="shared" si="17"/>
        <v>0</v>
      </c>
      <c r="Q56" s="103">
        <f t="shared" si="19"/>
        <v>0</v>
      </c>
      <c r="R56" s="103">
        <f t="shared" si="18"/>
        <v>0</v>
      </c>
      <c r="S56" s="102" t="str">
        <f t="shared" si="25"/>
        <v/>
      </c>
      <c r="T56" s="103" t="str">
        <f t="shared" si="26"/>
        <v/>
      </c>
      <c r="U56" s="103" t="str">
        <f t="shared" si="27"/>
        <v/>
      </c>
      <c r="V56" s="104"/>
      <c r="W56" s="104"/>
      <c r="X56" s="107"/>
      <c r="Y56" s="106"/>
      <c r="Z56" s="128"/>
      <c r="AA56" s="2"/>
      <c r="AB56" s="2"/>
      <c r="AC56" s="2"/>
      <c r="AD56" s="2"/>
    </row>
    <row r="57" spans="1:30" ht="15" customHeight="1">
      <c r="B57" s="535"/>
      <c r="C57" s="535"/>
      <c r="D57" s="115">
        <f>SUM(D25:D56)</f>
        <v>1869031</v>
      </c>
      <c r="E57" s="115">
        <f>SUM(E25:E56)</f>
        <v>296</v>
      </c>
      <c r="F57" s="115">
        <f t="shared" si="12"/>
        <v>6314.2939189189192</v>
      </c>
      <c r="G57" s="115">
        <f>SUM(G25:G56)</f>
        <v>169</v>
      </c>
      <c r="H57" s="115">
        <f t="shared" si="13"/>
        <v>11059.355029585799</v>
      </c>
      <c r="I57" s="115">
        <f>SUM(I25:I56)</f>
        <v>1279.5</v>
      </c>
      <c r="J57" s="114">
        <f t="shared" si="14"/>
        <v>1.7514792899408285</v>
      </c>
      <c r="K57" s="115">
        <f>SUM(K25:K56)</f>
        <v>402662</v>
      </c>
      <c r="L57" s="115">
        <f>SUM(L25:L56)</f>
        <v>111221</v>
      </c>
      <c r="M57" s="115">
        <f>SUM(M25:M56)</f>
        <v>125097</v>
      </c>
      <c r="N57" s="130">
        <f t="shared" si="15"/>
        <v>0.13208284486127395</v>
      </c>
      <c r="O57" s="117">
        <f t="shared" si="16"/>
        <v>0.96303342627743072</v>
      </c>
      <c r="P57" s="119">
        <f>SUM(P25:P56)</f>
        <v>1940774.7945205481</v>
      </c>
      <c r="Q57" s="119">
        <f>SUM(Q25:Q55)</f>
        <v>323.46246575342457</v>
      </c>
      <c r="R57" s="119">
        <f>SUM(R25:R55)</f>
        <v>179.70136986301378</v>
      </c>
      <c r="S57" s="119">
        <f>SUM(S25:S56)</f>
        <v>1711761</v>
      </c>
      <c r="T57" s="119">
        <f>SUM(T25:T55)</f>
        <v>247</v>
      </c>
      <c r="U57" s="119">
        <f>SUM(U25:U55)</f>
        <v>153</v>
      </c>
      <c r="V57" s="131"/>
      <c r="W57" s="131"/>
    </row>
    <row r="58" spans="1:30">
      <c r="B58" s="133"/>
      <c r="C58" s="134"/>
      <c r="D58" s="135">
        <f>SUMIF(D25:D54,"",P25:P54)+D57</f>
        <v>1869031</v>
      </c>
      <c r="E58" s="136"/>
      <c r="F58" s="134"/>
      <c r="G58" s="134"/>
      <c r="H58" s="137"/>
      <c r="I58" s="255"/>
      <c r="J58" s="137"/>
      <c r="L58" s="139"/>
      <c r="M58" s="136"/>
      <c r="N58" s="139"/>
      <c r="O58" s="139"/>
      <c r="P58" s="139"/>
      <c r="Q58" s="140"/>
    </row>
    <row r="59" spans="1:30">
      <c r="D59" s="141"/>
    </row>
    <row r="60" spans="1:30">
      <c r="D60" s="141"/>
    </row>
    <row r="61" spans="1:30">
      <c r="D61" s="142"/>
    </row>
    <row r="62" spans="1:30">
      <c r="D62" s="142"/>
    </row>
  </sheetData>
  <mergeCells count="29">
    <mergeCell ref="P22:W22"/>
    <mergeCell ref="B57:C57"/>
    <mergeCell ref="F18:H18"/>
    <mergeCell ref="F19:H19"/>
    <mergeCell ref="F20:H20"/>
    <mergeCell ref="B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122" priority="1808" operator="greaterThan">
      <formula>0</formula>
    </cfRule>
    <cfRule type="cellIs" dxfId="121" priority="1807" operator="lessThan">
      <formula>0</formula>
    </cfRule>
  </conditionalFormatting>
  <conditionalFormatting sqref="J25:J56">
    <cfRule type="cellIs" dxfId="120" priority="31" operator="greaterThan">
      <formula>$I$12</formula>
    </cfRule>
    <cfRule type="cellIs" dxfId="119" priority="30" operator="lessThan">
      <formula>$I$12</formula>
    </cfRule>
  </conditionalFormatting>
  <conditionalFormatting sqref="J36">
    <cfRule type="cellIs" dxfId="118" priority="1854" operator="lessThan">
      <formula>$I$12</formula>
    </cfRule>
  </conditionalFormatting>
  <conditionalFormatting sqref="J39:J40">
    <cfRule type="cellIs" dxfId="117" priority="1826" operator="lessThan">
      <formula>$I$12</formula>
    </cfRule>
  </conditionalFormatting>
  <conditionalFormatting sqref="J51:J53">
    <cfRule type="cellIs" dxfId="116" priority="1853" operator="lessThan">
      <formula>$I$12</formula>
    </cfRule>
  </conditionalFormatting>
  <conditionalFormatting sqref="K8">
    <cfRule type="cellIs" dxfId="115" priority="2" operator="lessThan">
      <formula>$K$17</formula>
    </cfRule>
    <cfRule type="cellIs" dxfId="114" priority="1" operator="greaterThan">
      <formula>$K$17</formula>
    </cfRule>
  </conditionalFormatting>
  <conditionalFormatting sqref="K10:K12 K15">
    <cfRule type="cellIs" dxfId="113" priority="1806" operator="greaterThan">
      <formula>1</formula>
    </cfRule>
    <cfRule type="cellIs" dxfId="112" priority="1805" operator="lessThan">
      <formula>1</formula>
    </cfRule>
  </conditionalFormatting>
  <conditionalFormatting sqref="K13">
    <cfRule type="cellIs" dxfId="111" priority="1455" operator="lessThan">
      <formula>$K$14</formula>
    </cfRule>
    <cfRule type="cellIs" dxfId="110" priority="1456" operator="greaterThan">
      <formula>$K$14</formula>
    </cfRule>
  </conditionalFormatting>
  <conditionalFormatting sqref="M8:M15">
    <cfRule type="cellIs" dxfId="109" priority="1823" operator="lessThan">
      <formula>1</formula>
    </cfRule>
    <cfRule type="cellIs" dxfId="108" priority="1804" operator="greaterThan">
      <formula>1</formula>
    </cfRule>
  </conditionalFormatting>
  <conditionalFormatting sqref="N25:N38">
    <cfRule type="cellIs" dxfId="107" priority="28" operator="greaterThanOrEqual">
      <formula>0.25</formula>
    </cfRule>
    <cfRule type="cellIs" dxfId="106" priority="27" operator="between">
      <formula>0.2</formula>
      <formula>0.25</formula>
    </cfRule>
  </conditionalFormatting>
  <conditionalFormatting sqref="N25:N56">
    <cfRule type="cellIs" dxfId="105" priority="29" operator="lessThan">
      <formula>0.2</formula>
    </cfRule>
  </conditionalFormatting>
  <conditionalFormatting sqref="N36">
    <cfRule type="cellIs" dxfId="104" priority="1858" operator="between">
      <formula>0.2</formula>
      <formula>0.25</formula>
    </cfRule>
  </conditionalFormatting>
  <conditionalFormatting sqref="N39:N40">
    <cfRule type="cellIs" dxfId="103" priority="1832" operator="between">
      <formula>0.2</formula>
      <formula>0.25</formula>
    </cfRule>
  </conditionalFormatting>
  <conditionalFormatting sqref="N39:N56">
    <cfRule type="cellIs" dxfId="102" priority="50" operator="greaterThanOrEqual">
      <formula>0.25</formula>
    </cfRule>
  </conditionalFormatting>
  <conditionalFormatting sqref="N41:N56">
    <cfRule type="cellIs" dxfId="101" priority="49" operator="between">
      <formula>0.2</formula>
      <formula>0.25</formula>
    </cfRule>
  </conditionalFormatting>
  <conditionalFormatting sqref="N51:N53">
    <cfRule type="cellIs" dxfId="100" priority="1846" operator="between">
      <formula>0.2</formula>
      <formula>0.25</formula>
    </cfRule>
  </conditionalFormatting>
  <conditionalFormatting sqref="O25:O38">
    <cfRule type="cellIs" dxfId="99" priority="26" operator="between">
      <formula>0.01</formula>
      <formula>0.99</formula>
    </cfRule>
    <cfRule type="cellIs" dxfId="98" priority="25" operator="between">
      <formula>0.85</formula>
      <formula>1</formula>
    </cfRule>
    <cfRule type="cellIs" dxfId="97" priority="22" operator="lessThan">
      <formula>0.9</formula>
    </cfRule>
    <cfRule type="cellIs" dxfId="96" priority="21" operator="between">
      <formula>0.9001</formula>
      <formula>0.9999</formula>
    </cfRule>
  </conditionalFormatting>
  <conditionalFormatting sqref="O25:O56">
    <cfRule type="cellIs" dxfId="95" priority="24" operator="greaterThan">
      <formula>100</formula>
    </cfRule>
    <cfRule type="cellIs" dxfId="94" priority="23" operator="greaterThan">
      <formula>1</formula>
    </cfRule>
  </conditionalFormatting>
  <conditionalFormatting sqref="O36">
    <cfRule type="cellIs" dxfId="93" priority="1866" operator="between">
      <formula>0.9001</formula>
      <formula>0.9999</formula>
    </cfRule>
    <cfRule type="cellIs" dxfId="92" priority="1865" operator="lessThan">
      <formula>0.9</formula>
    </cfRule>
    <cfRule type="cellIs" dxfId="91" priority="1860" operator="between">
      <formula>0.85</formula>
      <formula>1</formula>
    </cfRule>
  </conditionalFormatting>
  <conditionalFormatting sqref="O39:O40">
    <cfRule type="cellIs" dxfId="90" priority="1836" operator="between">
      <formula>0.85</formula>
      <formula>1</formula>
    </cfRule>
    <cfRule type="cellIs" dxfId="89" priority="1844" operator="between">
      <formula>0.9001</formula>
      <formula>0.9999</formula>
    </cfRule>
    <cfRule type="cellIs" dxfId="88" priority="1842" operator="lessThan">
      <formula>0.9</formula>
    </cfRule>
  </conditionalFormatting>
  <conditionalFormatting sqref="O39:O56">
    <cfRule type="cellIs" dxfId="87" priority="48" operator="between">
      <formula>0.01</formula>
      <formula>0.99</formula>
    </cfRule>
  </conditionalFormatting>
  <conditionalFormatting sqref="O41:O56">
    <cfRule type="cellIs" dxfId="86" priority="43" operator="between">
      <formula>0.9001</formula>
      <formula>0.9999</formula>
    </cfRule>
    <cfRule type="cellIs" dxfId="85" priority="44" operator="lessThan">
      <formula>0.9</formula>
    </cfRule>
    <cfRule type="cellIs" dxfId="84" priority="47" operator="between">
      <formula>0.85</formula>
      <formula>1</formula>
    </cfRule>
  </conditionalFormatting>
  <conditionalFormatting sqref="O51:O53">
    <cfRule type="cellIs" dxfId="83" priority="1848" operator="between">
      <formula>0.85</formula>
      <formula>1</formula>
    </cfRule>
    <cfRule type="cellIs" dxfId="82" priority="1849" operator="lessThan">
      <formula>0.9</formula>
    </cfRule>
    <cfRule type="cellIs" dxfId="81" priority="1850" operator="between">
      <formula>0.9001</formula>
      <formula>0.9999</formula>
    </cfRule>
  </conditionalFormatting>
  <conditionalFormatting sqref="P10:Q10">
    <cfRule type="cellIs" dxfId="80" priority="1819" operator="lessThan">
      <formula>0</formula>
    </cfRule>
  </conditionalFormatting>
  <conditionalFormatting sqref="T13">
    <cfRule type="cellIs" dxfId="79" priority="12" operator="between">
      <formula>0.9</formula>
      <formula>0.95</formula>
    </cfRule>
    <cfRule type="cellIs" dxfId="78" priority="13" operator="lessThan">
      <formula>0.9</formula>
    </cfRule>
    <cfRule type="cellIs" dxfId="77" priority="14" operator="greaterThan">
      <formula>0.95</formula>
    </cfRule>
  </conditionalFormatting>
  <conditionalFormatting sqref="T19">
    <cfRule type="cellIs" dxfId="76" priority="5" operator="greaterThan">
      <formula>0.95</formula>
    </cfRule>
    <cfRule type="cellIs" dxfId="75" priority="4" operator="lessThan">
      <formula>0.9</formula>
    </cfRule>
    <cfRule type="cellIs" dxfId="74" priority="3" operator="between">
      <formula>0.9</formula>
      <formula>0.95</formula>
    </cfRule>
  </conditionalFormatting>
  <conditionalFormatting sqref="W13">
    <cfRule type="cellIs" dxfId="73" priority="11" operator="greaterThan">
      <formula>"100;"</formula>
    </cfRule>
    <cfRule type="cellIs" dxfId="72" priority="10" operator="greaterThan">
      <formula>1</formula>
    </cfRule>
    <cfRule type="cellIs" dxfId="71" priority="9" operator="lessThan">
      <formula>1</formula>
    </cfRule>
    <cfRule type="cellIs" dxfId="70" priority="8" operator="greaterThan">
      <formula>0.95</formula>
    </cfRule>
    <cfRule type="cellIs" dxfId="69" priority="7" operator="lessThan">
      <formula>0.9</formula>
    </cfRule>
    <cfRule type="cellIs" dxfId="68" priority="6" operator="between">
      <formula>0.9</formula>
      <formula>0.95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U57"/>
  <sheetViews>
    <sheetView showZeros="0" zoomScale="113" workbookViewId="0">
      <pane xSplit="2" topLeftCell="C1" activePane="topRight" state="frozen"/>
      <selection activeCell="A15" sqref="A15"/>
      <selection pane="topRight"/>
    </sheetView>
  </sheetViews>
  <sheetFormatPr baseColWidth="10" defaultColWidth="9.1640625" defaultRowHeight="15"/>
  <cols>
    <col min="1" max="1" width="4.1640625" style="256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3" width="9.1640625" style="3" bestFit="1" customWidth="1"/>
    <col min="34" max="255" width="9.1640625" style="2" bestFit="1" customWidth="1"/>
  </cols>
  <sheetData>
    <row r="1" spans="2:24" ht="15.75" customHeight="1">
      <c r="B1" s="588">
        <f ca="1">TODAY()-1</f>
        <v>45939</v>
      </c>
      <c r="C1" s="588"/>
      <c r="D1" s="11"/>
      <c r="E1" s="11"/>
      <c r="F1" s="12"/>
      <c r="G1" s="12"/>
      <c r="H1" s="12"/>
      <c r="I1" s="12"/>
      <c r="J1" s="220"/>
      <c r="K1" s="220"/>
      <c r="L1" s="220"/>
      <c r="M1" s="220"/>
      <c r="N1" s="220"/>
      <c r="O1" s="220"/>
      <c r="P1" s="220"/>
      <c r="Q1" s="589"/>
      <c r="R1" s="589"/>
      <c r="S1" s="589"/>
      <c r="T1" s="589"/>
      <c r="U1" s="12"/>
      <c r="V1" s="12"/>
      <c r="W1" s="12"/>
    </row>
    <row r="2" spans="2:24" ht="21.75" customHeight="1">
      <c r="B2" s="590" t="s">
        <v>0</v>
      </c>
      <c r="C2" s="590"/>
      <c r="D2" s="11"/>
      <c r="E2" s="11"/>
      <c r="F2" s="12"/>
      <c r="G2" s="12"/>
      <c r="H2" s="12"/>
      <c r="I2" s="12"/>
      <c r="J2" s="591" t="s">
        <v>66</v>
      </c>
      <c r="K2" s="591"/>
      <c r="L2" s="591"/>
      <c r="M2" s="591"/>
      <c r="N2" s="591"/>
      <c r="O2" s="591"/>
      <c r="P2" s="591"/>
      <c r="Q2" s="589"/>
      <c r="R2" s="589"/>
      <c r="S2" s="589"/>
      <c r="T2" s="589"/>
      <c r="U2" s="12"/>
      <c r="V2" s="12"/>
      <c r="W2" s="12"/>
    </row>
    <row r="3" spans="2:24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592" t="str">
        <f>График!B28</f>
        <v>Уразгильдеева Екатерина</v>
      </c>
      <c r="K3" s="593"/>
      <c r="L3" s="593"/>
      <c r="M3" s="593"/>
      <c r="N3" s="594"/>
      <c r="O3" s="220"/>
      <c r="P3" s="221"/>
      <c r="Q3" s="589"/>
      <c r="R3" s="589"/>
      <c r="S3" s="589"/>
      <c r="T3" s="589"/>
      <c r="U3" s="12"/>
      <c r="V3" s="12"/>
      <c r="W3" s="12"/>
    </row>
    <row r="4" spans="2:24" ht="15" customHeight="1">
      <c r="B4" s="11"/>
      <c r="C4" s="598">
        <f>I8-D50</f>
        <v>1526025.2054794522</v>
      </c>
      <c r="D4" s="599"/>
      <c r="E4" s="222">
        <f>IF(I8&lt;&gt;0, C4/I8, 0)</f>
        <v>1</v>
      </c>
      <c r="F4" s="12"/>
      <c r="G4" s="12"/>
      <c r="H4" s="12"/>
      <c r="I4" s="12"/>
      <c r="J4" s="595"/>
      <c r="K4" s="596"/>
      <c r="L4" s="596"/>
      <c r="M4" s="596"/>
      <c r="N4" s="597"/>
      <c r="O4" s="12"/>
      <c r="P4" s="12"/>
      <c r="Q4" s="589"/>
      <c r="R4" s="589"/>
      <c r="S4" s="589"/>
      <c r="T4" s="589"/>
      <c r="U4" s="12"/>
      <c r="V4" s="12"/>
      <c r="W4" s="12"/>
    </row>
    <row r="5" spans="2:24">
      <c r="B5" s="12"/>
      <c r="C5" s="12"/>
      <c r="D5" s="12"/>
      <c r="E5" s="12"/>
      <c r="F5" s="12"/>
      <c r="G5" s="12"/>
      <c r="H5" s="12"/>
      <c r="I5" s="12"/>
      <c r="J5" s="600"/>
      <c r="K5" s="600"/>
      <c r="L5" s="600"/>
      <c r="M5" s="600"/>
      <c r="N5" s="600"/>
      <c r="O5" s="12"/>
      <c r="P5" s="12"/>
      <c r="Q5" s="12"/>
      <c r="R5" s="12"/>
      <c r="S5" s="12"/>
      <c r="T5" s="12"/>
      <c r="U5" s="12"/>
      <c r="V5" s="12"/>
      <c r="W5" s="12"/>
    </row>
    <row r="6" spans="2:24" ht="15.75" customHeight="1">
      <c r="B6" s="223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4" ht="50.75" customHeight="1">
      <c r="B7" s="223"/>
      <c r="C7" s="12"/>
      <c r="D7" s="12"/>
      <c r="E7" s="12"/>
      <c r="F7" s="515" t="s">
        <v>3</v>
      </c>
      <c r="G7" s="516"/>
      <c r="H7" s="517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18" t="s">
        <v>11</v>
      </c>
      <c r="Q7" s="519"/>
      <c r="R7" s="21"/>
      <c r="S7" s="21"/>
      <c r="T7" s="12"/>
      <c r="U7" s="12"/>
      <c r="V7" s="12"/>
      <c r="W7" s="12"/>
    </row>
    <row r="8" spans="2:24" ht="15.75" customHeight="1">
      <c r="B8" s="223"/>
      <c r="C8" s="12"/>
      <c r="D8" s="12"/>
      <c r="E8" s="257"/>
      <c r="F8" s="520" t="s">
        <v>12</v>
      </c>
      <c r="G8" s="521"/>
      <c r="H8" s="522"/>
      <c r="I8" s="224">
        <f>'Ялта, Ленина, 18'!I8/График!AJ31*График!AJ28</f>
        <v>1526025.2054794522</v>
      </c>
      <c r="J8" s="225">
        <f>D57</f>
        <v>1265396.08</v>
      </c>
      <c r="K8" s="30">
        <f>IF(AND(I8&lt;&gt;"",I8&lt;&gt;0,J8&lt;&gt;""),J8/I8,"")</f>
        <v>0.82921047139744541</v>
      </c>
      <c r="L8" s="226">
        <f>IF(SUMIF($D$25:$D$56,"&gt;=0",$P$25:$P$56)&lt;&gt;0,I8*D57/SUMIF($D$25:$D$56,"&gt;=0",$P$25:$P$56),0)</f>
        <v>1375430.5217391306</v>
      </c>
      <c r="M8" s="258">
        <f t="shared" ref="M8:M9" si="0">IF(AND(I8&lt;&gt;"",I8&lt;&gt;0,L8&lt;&gt;"",L8&lt;&gt;0),L8/I8,"")</f>
        <v>0.9013157297798321</v>
      </c>
      <c r="N8" s="35">
        <f t="shared" ref="N8:N9" si="1">IF(AND(J8&lt;&gt;0,J8&lt;&gt;"",I8&lt;&gt;0,I8&lt;&gt;""),L8-I8,"")</f>
        <v>-150594.68374032155</v>
      </c>
      <c r="O8" s="34"/>
      <c r="P8" s="35" t="str">
        <f t="shared" ref="P8:P9" si="2">IF(AND(O8&lt;&gt;"", O8&lt;&gt;0, L8&lt;&gt;"", L8&lt;&gt;0), -O8+L8, "")</f>
        <v/>
      </c>
      <c r="Q8" s="36" t="str">
        <f t="shared" ref="Q8:Q9" si="3">IF(AND(P8&lt;&gt;"", P8&lt;&gt;0, O8&lt;&gt;0, O8&lt;&gt;""), P8/O8, "")</f>
        <v/>
      </c>
      <c r="R8" s="21"/>
      <c r="S8" s="37"/>
      <c r="T8" s="12"/>
      <c r="U8" s="12"/>
      <c r="V8" s="12"/>
      <c r="W8" s="12"/>
    </row>
    <row r="9" spans="2:24" ht="15.75" customHeight="1">
      <c r="B9" s="223"/>
      <c r="C9" s="12"/>
      <c r="D9" s="12"/>
      <c r="E9" s="12"/>
      <c r="F9" s="523" t="s">
        <v>13</v>
      </c>
      <c r="G9" s="524"/>
      <c r="H9" s="525"/>
      <c r="I9" s="38">
        <f>I8/I11</f>
        <v>254.33753424657536</v>
      </c>
      <c r="J9" s="259">
        <f>E57</f>
        <v>186</v>
      </c>
      <c r="K9" s="40">
        <f>IF(AND(I9&lt;&gt;"", I9&lt;&gt;0, J9&lt;&gt;""), J9/I9, "")</f>
        <v>0.73131164281744021</v>
      </c>
      <c r="L9" s="260">
        <f>IF(SUMIF($E$25:$E$54,"&gt;=0",$Q$25:$Q$54)&lt;&gt;0,I9*E57/SUMIF($E$25:$E$54,"&gt;=0",$Q$25:$Q$54),0)</f>
        <v>211.36363636363643</v>
      </c>
      <c r="M9" s="261">
        <f t="shared" si="0"/>
        <v>0.83103595774709149</v>
      </c>
      <c r="N9" s="43">
        <f t="shared" si="1"/>
        <v>-42.973897882938928</v>
      </c>
      <c r="O9" s="44" t="e">
        <f>O8/O11</f>
        <v>#DIV/0!</v>
      </c>
      <c r="P9" s="43" t="e">
        <f t="shared" si="2"/>
        <v>#DIV/0!</v>
      </c>
      <c r="Q9" s="45" t="e">
        <f t="shared" si="3"/>
        <v>#DIV/0!</v>
      </c>
      <c r="R9" s="21"/>
      <c r="S9" s="37"/>
      <c r="T9" s="12"/>
      <c r="U9" s="12"/>
      <c r="V9" s="12"/>
      <c r="W9" s="12"/>
    </row>
    <row r="10" spans="2:24" ht="15.75" customHeight="1">
      <c r="B10" s="223"/>
      <c r="C10" s="12"/>
      <c r="D10" s="12"/>
      <c r="E10" s="12"/>
      <c r="F10" s="520" t="s">
        <v>14</v>
      </c>
      <c r="G10" s="521"/>
      <c r="H10" s="522"/>
      <c r="I10" s="50">
        <f>I11*I12</f>
        <v>10800</v>
      </c>
      <c r="J10" s="230">
        <f>H57</f>
        <v>12167.27</v>
      </c>
      <c r="K10" s="47">
        <f t="shared" ref="K10:K19" si="4">IF(AND(I10&lt;&gt;"", I10&lt;&gt;0, J10&lt;&gt;""), J10/I10, "")</f>
        <v>1.1265990740740741</v>
      </c>
      <c r="L10" s="228">
        <f>J10</f>
        <v>12167.27</v>
      </c>
      <c r="M10" s="262">
        <f t="shared" ref="M10:M20" si="5">IF(AND(I10&lt;&gt;"",I10&lt;&gt;0,L10&lt;&gt;"",L10&lt;&gt;0),L10/I10,"")</f>
        <v>1.1265990740740741</v>
      </c>
      <c r="N10" s="49">
        <f t="shared" ref="N10:N20" si="6">IF(AND(J10&lt;&gt;0,J10&lt;&gt;"",I10&lt;&gt;0,I10&lt;&gt;""),L10-I10,"")</f>
        <v>1367.2700000000004</v>
      </c>
      <c r="O10" s="50">
        <f>O11*O12</f>
        <v>0</v>
      </c>
      <c r="P10" s="49" t="str">
        <f t="shared" ref="P10:P20" si="7">IF(AND(O10&lt;&gt;"", O10&lt;&gt;0, L10&lt;&gt;"", L10&lt;&gt;0), -O10+L10, "")</f>
        <v/>
      </c>
      <c r="Q10" s="51" t="str">
        <f t="shared" ref="Q10:Q20" si="8">IF(AND(P10&lt;&gt;"", P10&lt;&gt;0, O10&lt;&gt;0, O10&lt;&gt;""), P10/O10, "")</f>
        <v/>
      </c>
      <c r="R10" s="21"/>
      <c r="S10" s="530" t="s">
        <v>36</v>
      </c>
      <c r="T10" s="530"/>
      <c r="U10" s="12"/>
      <c r="V10" s="530" t="str">
        <f>M23</f>
        <v>Agafi</v>
      </c>
      <c r="W10" s="530"/>
    </row>
    <row r="11" spans="2:24" ht="15.75" customHeight="1">
      <c r="B11" s="223"/>
      <c r="C11" s="12"/>
      <c r="D11" s="12"/>
      <c r="E11" s="12"/>
      <c r="F11" s="523" t="s">
        <v>15</v>
      </c>
      <c r="G11" s="524"/>
      <c r="H11" s="525"/>
      <c r="I11" s="52">
        <f>'Ялта, Ленина, 18'!I11</f>
        <v>6000</v>
      </c>
      <c r="J11" s="259">
        <f>F57</f>
        <v>6803.2047311827964</v>
      </c>
      <c r="K11" s="40">
        <f t="shared" si="4"/>
        <v>1.1338674551971328</v>
      </c>
      <c r="L11" s="260">
        <f>IF(L9&gt;0,L8/L9,"")</f>
        <v>6507.4132211313681</v>
      </c>
      <c r="M11" s="261">
        <f t="shared" si="5"/>
        <v>1.0845688701885614</v>
      </c>
      <c r="N11" s="43">
        <f t="shared" si="6"/>
        <v>507.41322113136812</v>
      </c>
      <c r="O11" s="53"/>
      <c r="P11" s="43" t="str">
        <f t="shared" si="7"/>
        <v/>
      </c>
      <c r="Q11" s="45" t="str">
        <f t="shared" si="8"/>
        <v/>
      </c>
      <c r="R11" s="21"/>
      <c r="S11" s="530"/>
      <c r="T11" s="530"/>
      <c r="U11" s="12"/>
      <c r="V11" s="530"/>
      <c r="W11" s="530"/>
    </row>
    <row r="12" spans="2:24" ht="15.75" customHeight="1">
      <c r="B12" s="223"/>
      <c r="C12" s="12"/>
      <c r="D12" s="12"/>
      <c r="E12" s="12"/>
      <c r="F12" s="523" t="s">
        <v>16</v>
      </c>
      <c r="G12" s="524"/>
      <c r="H12" s="525"/>
      <c r="I12" s="54">
        <f>'Ялта, Ленина, 18'!I12</f>
        <v>1.8</v>
      </c>
      <c r="J12" s="55">
        <f>J57</f>
        <v>1.7884615384615385</v>
      </c>
      <c r="K12" s="40">
        <f t="shared" si="4"/>
        <v>0.99358974358974361</v>
      </c>
      <c r="L12" s="234">
        <f>J12</f>
        <v>1.7884615384615385</v>
      </c>
      <c r="M12" s="263">
        <f t="shared" si="5"/>
        <v>0.99358974358974361</v>
      </c>
      <c r="N12" s="57">
        <f t="shared" si="6"/>
        <v>-1.1538461538461497E-2</v>
      </c>
      <c r="O12" s="58"/>
      <c r="P12" s="43" t="str">
        <f t="shared" si="7"/>
        <v/>
      </c>
      <c r="Q12" s="45" t="str">
        <f t="shared" si="8"/>
        <v/>
      </c>
      <c r="R12" s="21"/>
      <c r="S12" s="59">
        <f>'Ялта, Ленина, 18'!S12*График!AJ28/График!AJ31</f>
        <v>224493.15068493152</v>
      </c>
      <c r="T12" s="60">
        <f>L57</f>
        <v>56655</v>
      </c>
      <c r="U12" s="264">
        <f>S12-T12</f>
        <v>167838.15068493152</v>
      </c>
      <c r="V12" s="59">
        <f>'Ялта, Ленина, 18'!V12/График!AJ31*График!AJ28</f>
        <v>211287.67123287672</v>
      </c>
      <c r="W12" s="60">
        <f>M57</f>
        <v>91714</v>
      </c>
      <c r="X12" s="265">
        <f>V12-W12</f>
        <v>119573.67123287672</v>
      </c>
    </row>
    <row r="13" spans="2:24" ht="15.75" customHeight="1">
      <c r="B13" s="223"/>
      <c r="C13" s="12"/>
      <c r="D13" s="12"/>
      <c r="E13" s="12"/>
      <c r="F13" s="523" t="s">
        <v>17</v>
      </c>
      <c r="G13" s="524"/>
      <c r="H13" s="525"/>
      <c r="I13" s="38">
        <f>IF(I12&lt;&gt;0, I9/I12, "")</f>
        <v>141.2986301369863</v>
      </c>
      <c r="J13" s="259">
        <f>G57</f>
        <v>104</v>
      </c>
      <c r="K13" s="40">
        <f t="shared" si="4"/>
        <v>0.73602978244852058</v>
      </c>
      <c r="L13" s="260">
        <f>IF(SUMIF($G$25:$G$54,"&gt;=0",$R$25:$R$54)&lt;&gt;0,I13*G57/SUMIF($G$25:$G$54,"&gt;=0",$R$25:$R$54),"")</f>
        <v>118.18181818181822</v>
      </c>
      <c r="M13" s="261">
        <f t="shared" si="5"/>
        <v>0.83639748005513725</v>
      </c>
      <c r="N13" s="57">
        <f t="shared" si="6"/>
        <v>-23.116811955168089</v>
      </c>
      <c r="O13" s="61"/>
      <c r="P13" s="43" t="str">
        <f t="shared" si="7"/>
        <v/>
      </c>
      <c r="Q13" s="45" t="str">
        <f t="shared" si="8"/>
        <v/>
      </c>
      <c r="R13" s="21"/>
      <c r="S13" s="62">
        <f>T12/S12</f>
        <v>0.25236850134244571</v>
      </c>
      <c r="T13" s="62">
        <f>S13/J14*I14</f>
        <v>0.25236850134244571</v>
      </c>
      <c r="U13" s="12"/>
      <c r="V13" s="62">
        <f>W12/V12</f>
        <v>0.43407170643153525</v>
      </c>
      <c r="W13" s="62">
        <f>V13/J14*I14</f>
        <v>0.43407170643153531</v>
      </c>
    </row>
    <row r="14" spans="2:24" ht="15.75" customHeight="1">
      <c r="B14" s="223"/>
      <c r="C14" s="12"/>
      <c r="D14" s="12"/>
      <c r="E14" s="12"/>
      <c r="F14" s="523" t="s">
        <v>63</v>
      </c>
      <c r="G14" s="524"/>
      <c r="H14" s="525"/>
      <c r="I14" s="52">
        <f>График!AI28</f>
        <v>22</v>
      </c>
      <c r="J14" s="64">
        <v>22</v>
      </c>
      <c r="K14" s="40">
        <f t="shared" si="4"/>
        <v>1</v>
      </c>
      <c r="L14" s="41">
        <f>I14</f>
        <v>22</v>
      </c>
      <c r="M14" s="263">
        <f t="shared" si="5"/>
        <v>1</v>
      </c>
      <c r="N14" s="43">
        <f t="shared" si="6"/>
        <v>0</v>
      </c>
      <c r="O14" s="61"/>
      <c r="P14" s="43" t="str">
        <f t="shared" si="7"/>
        <v/>
      </c>
      <c r="Q14" s="45" t="str">
        <f t="shared" si="8"/>
        <v/>
      </c>
      <c r="R14" s="21"/>
      <c r="S14" s="65"/>
      <c r="T14" s="6"/>
      <c r="U14" s="12"/>
      <c r="V14" s="12"/>
      <c r="W14" s="12"/>
    </row>
    <row r="15" spans="2:24" ht="15.75" customHeight="1">
      <c r="B15" s="223"/>
      <c r="C15" s="12"/>
      <c r="D15" s="12"/>
      <c r="E15" s="12"/>
      <c r="F15" s="523" t="s">
        <v>19</v>
      </c>
      <c r="G15" s="524"/>
      <c r="H15" s="525"/>
      <c r="I15" s="75">
        <f>'Ялта, Ленина, 18'!I15</f>
        <v>115560</v>
      </c>
      <c r="J15" s="259">
        <f>J8/J14</f>
        <v>57518.003636363639</v>
      </c>
      <c r="K15" s="68">
        <f t="shared" si="4"/>
        <v>0.49773281097580163</v>
      </c>
      <c r="L15" s="260">
        <f t="shared" ref="L15:L16" si="9">J15</f>
        <v>57518.003636363639</v>
      </c>
      <c r="M15" s="261">
        <f t="shared" si="5"/>
        <v>0.49773281097580163</v>
      </c>
      <c r="N15" s="43">
        <f t="shared" si="6"/>
        <v>-58041.996363636361</v>
      </c>
      <c r="O15" s="71"/>
      <c r="P15" s="43" t="str">
        <f t="shared" si="7"/>
        <v/>
      </c>
      <c r="Q15" s="45" t="str">
        <f t="shared" si="8"/>
        <v/>
      </c>
      <c r="R15" s="21"/>
      <c r="S15" s="37"/>
      <c r="T15" s="6"/>
      <c r="U15" s="12"/>
      <c r="V15" s="12"/>
      <c r="W15" s="12"/>
    </row>
    <row r="16" spans="2:24" ht="15.75" customHeight="1">
      <c r="B16" s="223"/>
      <c r="C16" s="12"/>
      <c r="D16" s="12"/>
      <c r="E16" s="12"/>
      <c r="F16" s="523" t="s">
        <v>20</v>
      </c>
      <c r="G16" s="524"/>
      <c r="H16" s="525"/>
      <c r="I16" s="75"/>
      <c r="J16" s="39">
        <f>J8-I15*J14</f>
        <v>-1276923.92</v>
      </c>
      <c r="K16" s="68" t="str">
        <f t="shared" si="4"/>
        <v/>
      </c>
      <c r="L16" s="228">
        <f t="shared" si="9"/>
        <v>-1276923.92</v>
      </c>
      <c r="M16" s="266" t="str">
        <f t="shared" si="5"/>
        <v/>
      </c>
      <c r="N16" s="43" t="str">
        <f t="shared" si="6"/>
        <v/>
      </c>
      <c r="O16" s="71"/>
      <c r="P16" s="43" t="str">
        <f t="shared" si="7"/>
        <v/>
      </c>
      <c r="Q16" s="45" t="str">
        <f t="shared" si="8"/>
        <v/>
      </c>
      <c r="R16" s="21"/>
      <c r="S16" s="530" t="s">
        <v>35</v>
      </c>
      <c r="T16" s="530"/>
      <c r="U16" s="12"/>
      <c r="V16" s="12"/>
      <c r="W16" s="12"/>
    </row>
    <row r="17" spans="1:33" ht="15.75" customHeight="1">
      <c r="B17" s="223"/>
      <c r="C17" s="12"/>
      <c r="D17" s="235"/>
      <c r="E17" s="12"/>
      <c r="F17" s="523" t="s">
        <v>21</v>
      </c>
      <c r="G17" s="524"/>
      <c r="H17" s="525"/>
      <c r="I17" s="75">
        <f>'Ялта, Ленина, 18'!I17/График!AJ31*График!AJ28</f>
        <v>941.99086757990858</v>
      </c>
      <c r="J17" s="259">
        <f>I57</f>
        <v>906.5</v>
      </c>
      <c r="K17" s="68">
        <f t="shared" si="4"/>
        <v>0.96232355450420759</v>
      </c>
      <c r="L17" s="260">
        <f>J17/J14*I14</f>
        <v>906.5</v>
      </c>
      <c r="M17" s="267">
        <f t="shared" si="5"/>
        <v>0.96232355450420759</v>
      </c>
      <c r="N17" s="43">
        <f t="shared" si="6"/>
        <v>-35.490867579908581</v>
      </c>
      <c r="O17" s="71"/>
      <c r="P17" s="43" t="str">
        <f t="shared" si="7"/>
        <v/>
      </c>
      <c r="Q17" s="45" t="str">
        <f t="shared" si="8"/>
        <v/>
      </c>
      <c r="R17" s="21"/>
      <c r="S17" s="530"/>
      <c r="T17" s="530"/>
      <c r="U17" s="12"/>
      <c r="V17" s="12"/>
      <c r="W17" s="12"/>
    </row>
    <row r="18" spans="1:33" ht="15.75" customHeight="1">
      <c r="B18" s="223"/>
      <c r="C18" s="12"/>
      <c r="D18" s="12"/>
      <c r="E18" s="12"/>
      <c r="F18" s="523"/>
      <c r="G18" s="524"/>
      <c r="H18" s="525"/>
      <c r="I18" s="76"/>
      <c r="J18" s="39"/>
      <c r="K18" s="68" t="str">
        <f t="shared" si="4"/>
        <v/>
      </c>
      <c r="L18" s="228">
        <f t="shared" ref="L18:L19" si="10">J18</f>
        <v>0</v>
      </c>
      <c r="M18" s="266" t="str">
        <f t="shared" si="5"/>
        <v/>
      </c>
      <c r="N18" s="43" t="str">
        <f t="shared" si="6"/>
        <v/>
      </c>
      <c r="O18" s="79">
        <v>0</v>
      </c>
      <c r="P18" s="43" t="str">
        <f t="shared" si="7"/>
        <v/>
      </c>
      <c r="Q18" s="45" t="str">
        <f t="shared" si="8"/>
        <v/>
      </c>
      <c r="R18" s="21"/>
      <c r="S18" s="59">
        <f>'Ялта, Ленина, 18'!S18*График!AJ28/График!AJ31</f>
        <v>448986.30136986304</v>
      </c>
      <c r="T18" s="60">
        <f>K57</f>
        <v>376403</v>
      </c>
      <c r="U18" s="12"/>
      <c r="V18" s="12"/>
      <c r="W18" s="12"/>
    </row>
    <row r="19" spans="1:33" ht="15.75" customHeight="1">
      <c r="B19" s="223"/>
      <c r="C19" s="12"/>
      <c r="D19" s="12"/>
      <c r="E19" s="12"/>
      <c r="F19" s="523"/>
      <c r="G19" s="524"/>
      <c r="H19" s="525"/>
      <c r="I19" s="76"/>
      <c r="J19" s="259"/>
      <c r="K19" s="68" t="str">
        <f t="shared" si="4"/>
        <v/>
      </c>
      <c r="L19" s="260">
        <f t="shared" si="10"/>
        <v>0</v>
      </c>
      <c r="M19" s="267" t="str">
        <f t="shared" si="5"/>
        <v/>
      </c>
      <c r="N19" s="43" t="str">
        <f t="shared" si="6"/>
        <v/>
      </c>
      <c r="O19" s="71">
        <v>0</v>
      </c>
      <c r="P19" s="43" t="str">
        <f t="shared" si="7"/>
        <v/>
      </c>
      <c r="Q19" s="45" t="str">
        <f t="shared" si="8"/>
        <v/>
      </c>
      <c r="R19" s="21"/>
      <c r="S19" s="62">
        <f>T18/S18</f>
        <v>0.83833960824993892</v>
      </c>
      <c r="T19" s="62">
        <f>S19/J14*I14</f>
        <v>0.83833960824993892</v>
      </c>
      <c r="U19" s="12"/>
      <c r="V19" s="12"/>
      <c r="W19" s="12"/>
    </row>
    <row r="20" spans="1:33" ht="15.75" customHeight="1">
      <c r="B20" s="223"/>
      <c r="C20" s="12"/>
      <c r="D20" s="12"/>
      <c r="E20" s="12"/>
      <c r="F20" s="531" t="s">
        <v>22</v>
      </c>
      <c r="G20" s="531"/>
      <c r="H20" s="531"/>
      <c r="I20" s="238">
        <f>'Ялта, Ленина, 18'!I20</f>
        <v>0.15</v>
      </c>
      <c r="J20" s="239">
        <f>N57</f>
        <v>0.11472697186982901</v>
      </c>
      <c r="K20" s="240">
        <f>J20/I20</f>
        <v>0.76484647913219339</v>
      </c>
      <c r="L20" s="241">
        <f>IF(AND(K8&lt;&gt;0,I14&lt;&gt;0,I57&lt;&gt;0),(I57*N57+(I57/K8-I57)*I20)/(I57/K8),0)</f>
        <v>0.12075123571656556</v>
      </c>
      <c r="M20" s="241">
        <f t="shared" si="5"/>
        <v>0.80500823811043709</v>
      </c>
      <c r="N20" s="84">
        <f t="shared" si="6"/>
        <v>-2.9248764283434439E-2</v>
      </c>
      <c r="O20" s="85"/>
      <c r="P20" s="86" t="str">
        <f t="shared" si="7"/>
        <v/>
      </c>
      <c r="Q20" s="87" t="str">
        <f t="shared" si="8"/>
        <v/>
      </c>
      <c r="R20" s="21"/>
      <c r="S20" s="21"/>
      <c r="T20" s="12"/>
      <c r="U20" s="12"/>
      <c r="V20" s="12"/>
      <c r="W20" s="12"/>
    </row>
    <row r="21" spans="1:33" ht="15.75" customHeight="1">
      <c r="B21" s="22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33" ht="16.5" customHeight="1">
      <c r="B22" s="607" t="s">
        <v>23</v>
      </c>
      <c r="C22" s="607"/>
      <c r="D22" s="607"/>
      <c r="E22" s="607"/>
      <c r="F22" s="607"/>
      <c r="G22" s="607"/>
      <c r="H22" s="607"/>
      <c r="I22" s="607"/>
      <c r="J22" s="607"/>
      <c r="K22" s="607"/>
      <c r="L22" s="607"/>
      <c r="M22" s="607"/>
      <c r="N22" s="607"/>
      <c r="O22" s="608" t="s">
        <v>24</v>
      </c>
      <c r="P22" s="607" t="s">
        <v>25</v>
      </c>
      <c r="Q22" s="607"/>
      <c r="R22" s="607"/>
      <c r="S22" s="607"/>
      <c r="T22" s="607"/>
      <c r="U22" s="607"/>
      <c r="V22" s="607"/>
      <c r="W22" s="607"/>
    </row>
    <row r="23" spans="1:33" ht="36">
      <c r="B23" s="242" t="s">
        <v>27</v>
      </c>
      <c r="C23" s="242" t="s">
        <v>28</v>
      </c>
      <c r="D23" s="242" t="s">
        <v>29</v>
      </c>
      <c r="E23" s="242" t="s">
        <v>30</v>
      </c>
      <c r="F23" s="242" t="s">
        <v>31</v>
      </c>
      <c r="G23" s="242" t="s">
        <v>32</v>
      </c>
      <c r="H23" s="242" t="s">
        <v>33</v>
      </c>
      <c r="I23" s="242" t="s">
        <v>21</v>
      </c>
      <c r="J23" s="242" t="s">
        <v>34</v>
      </c>
      <c r="K23" s="90" t="s">
        <v>35</v>
      </c>
      <c r="L23" s="90" t="s">
        <v>36</v>
      </c>
      <c r="M23" s="90" t="s">
        <v>37</v>
      </c>
      <c r="N23" s="242" t="s">
        <v>38</v>
      </c>
      <c r="O23" s="608"/>
      <c r="P23" s="242" t="s">
        <v>39</v>
      </c>
      <c r="Q23" s="242" t="s">
        <v>40</v>
      </c>
      <c r="R23" s="242" t="s">
        <v>41</v>
      </c>
      <c r="S23" s="242" t="s">
        <v>42</v>
      </c>
      <c r="T23" s="242" t="s">
        <v>43</v>
      </c>
      <c r="U23" s="242" t="s">
        <v>44</v>
      </c>
      <c r="V23" s="243" t="s">
        <v>45</v>
      </c>
      <c r="W23" s="243" t="s">
        <v>46</v>
      </c>
      <c r="X23" s="142"/>
    </row>
    <row r="24" spans="1:33">
      <c r="B24" s="244">
        <v>1</v>
      </c>
      <c r="C24" s="244">
        <v>2</v>
      </c>
      <c r="D24" s="244">
        <v>3</v>
      </c>
      <c r="E24" s="244" t="s">
        <v>67</v>
      </c>
      <c r="F24" s="244">
        <v>5</v>
      </c>
      <c r="G24" s="244">
        <v>6</v>
      </c>
      <c r="H24" s="244">
        <v>7</v>
      </c>
      <c r="I24" s="244">
        <v>8</v>
      </c>
      <c r="J24" s="244">
        <v>9</v>
      </c>
      <c r="K24" s="244">
        <v>10</v>
      </c>
      <c r="L24" s="244">
        <v>11</v>
      </c>
      <c r="M24" s="244">
        <v>12</v>
      </c>
      <c r="N24" s="244">
        <v>13</v>
      </c>
      <c r="O24" s="608"/>
      <c r="P24" s="246">
        <v>1</v>
      </c>
      <c r="Q24" s="246">
        <v>2</v>
      </c>
      <c r="R24" s="246">
        <v>3</v>
      </c>
      <c r="S24" s="246">
        <v>4</v>
      </c>
      <c r="T24" s="246">
        <v>5</v>
      </c>
      <c r="U24" s="246">
        <v>6</v>
      </c>
      <c r="V24" s="246">
        <v>10</v>
      </c>
      <c r="W24" s="246">
        <v>11</v>
      </c>
    </row>
    <row r="25" spans="1:33">
      <c r="A25" s="95">
        <v>1</v>
      </c>
      <c r="B25" s="96">
        <v>45901</v>
      </c>
      <c r="C25" s="97" t="s">
        <v>48</v>
      </c>
      <c r="D25" s="98">
        <f>9156+32073+14375</f>
        <v>55604</v>
      </c>
      <c r="E25" s="99">
        <v>7</v>
      </c>
      <c r="F25" s="99">
        <f t="shared" ref="F25:F57" si="11">IF(AND(E25&lt;&gt;"",E25&lt;&gt;0),D25/E25,"")</f>
        <v>7943.4285714285716</v>
      </c>
      <c r="G25" s="99">
        <v>4</v>
      </c>
      <c r="H25" s="99">
        <f t="shared" ref="H25:H57" si="12">IF(AND(G25&lt;&gt;"",G25&lt;&gt;0),D25/G25,"")</f>
        <v>13901</v>
      </c>
      <c r="I25" s="99">
        <v>51</v>
      </c>
      <c r="J25" s="98">
        <f t="shared" ref="J25:J57" si="13">IF(AND(G25&lt;&gt;"",G25&lt;&gt;0),E25/G25,"")</f>
        <v>1.75</v>
      </c>
      <c r="K25" s="99">
        <v>9156</v>
      </c>
      <c r="L25" s="99"/>
      <c r="M25" s="99">
        <v>32073</v>
      </c>
      <c r="N25" s="100">
        <f t="shared" ref="N25:N57" si="14">IF(AND(I25&lt;&gt;"",I25&lt;&gt;0),G25/I25,"")</f>
        <v>7.8431372549019607E-2</v>
      </c>
      <c r="O25" s="101">
        <f t="shared" ref="O25:O57" si="15">D25/P25</f>
        <v>0.9109285973839818</v>
      </c>
      <c r="P25" s="251">
        <f t="shared" ref="P25:P56" si="16">$I$8*V25*W25/SUMPRODUCT($W$25:$W$56,$V$25:$V$56)</f>
        <v>61041.008219178089</v>
      </c>
      <c r="Q25" s="103">
        <f>$I$9*V25*W25/SUMPRODUCT($W$25:$W$56,$V$25:$V$56)</f>
        <v>10.173501369863015</v>
      </c>
      <c r="R25" s="250">
        <f t="shared" ref="R25:R56" si="17">IF($I$12="","",Q25/$I$12)</f>
        <v>5.6519452054794526</v>
      </c>
      <c r="S25" s="102">
        <f>IF(D25&lt;&gt;"",D25,P25)</f>
        <v>55604</v>
      </c>
      <c r="T25" s="103">
        <f>IF(E25&lt;&gt;"",E25,Q25)</f>
        <v>7</v>
      </c>
      <c r="U25" s="103">
        <f>IF(G25&lt;&gt;"",G25,R25)</f>
        <v>4</v>
      </c>
      <c r="V25" s="254">
        <v>1</v>
      </c>
      <c r="W25" s="104">
        <v>1</v>
      </c>
      <c r="X25" s="105"/>
      <c r="Y25" s="106"/>
    </row>
    <row r="26" spans="1:33">
      <c r="A26" s="95">
        <v>2</v>
      </c>
      <c r="B26" s="96">
        <v>45902</v>
      </c>
      <c r="C26" s="97" t="s">
        <v>49</v>
      </c>
      <c r="D26" s="98">
        <v>27659</v>
      </c>
      <c r="E26" s="99">
        <v>5</v>
      </c>
      <c r="F26" s="99">
        <f t="shared" si="11"/>
        <v>5531.8</v>
      </c>
      <c r="G26" s="99">
        <v>4</v>
      </c>
      <c r="H26" s="99">
        <f t="shared" si="12"/>
        <v>6914.75</v>
      </c>
      <c r="I26" s="99">
        <v>37</v>
      </c>
      <c r="J26" s="98">
        <f t="shared" si="13"/>
        <v>1.25</v>
      </c>
      <c r="K26" s="99"/>
      <c r="L26" s="99"/>
      <c r="M26" s="99"/>
      <c r="N26" s="100">
        <f t="shared" si="14"/>
        <v>0.10810810810810811</v>
      </c>
      <c r="O26" s="101">
        <f t="shared" si="15"/>
        <v>0.45312161130572531</v>
      </c>
      <c r="P26" s="102">
        <f t="shared" si="16"/>
        <v>61041.008219178089</v>
      </c>
      <c r="Q26" s="250">
        <f t="shared" ref="Q26:Q56" si="18">$I$9*V26*W26/SUMPRODUCT($W$25:$W$58,$V$25:$V$58)</f>
        <v>10.173501369863015</v>
      </c>
      <c r="R26" s="103">
        <f t="shared" si="17"/>
        <v>5.6519452054794526</v>
      </c>
      <c r="S26" s="251">
        <f>IF(W26&lt;&gt;"",IF(D26&lt;&gt;"",D26,($I$8-SUM($S$25:S25))*V26*W26/SUMPRODUCT($W26:$W$56,$V26:$V$56)),"")</f>
        <v>27659</v>
      </c>
      <c r="T26" s="103">
        <f t="shared" ref="T26:T27" si="19">IF(W26&lt;&gt;"",IF(E26&lt;&gt;"",E26,($I$9-SUM($T$25:T25))*V26*W26/SUMPRODUCT($W26:$W$55,$V26:$V$55)),"")</f>
        <v>5</v>
      </c>
      <c r="U26" s="103">
        <f t="shared" ref="U26:U27" si="20">IF(W26&lt;&gt;"",IF($I$12&lt;&gt;"",IF(G26&lt;&gt;"",G26,($I$9/$I$12-SUM($U$25:U25))*V26*W26/SUMPRODUCT($W26:$W$55,$V26:$V$55)),""),"")</f>
        <v>4</v>
      </c>
      <c r="V26" s="104">
        <v>1</v>
      </c>
      <c r="W26" s="104">
        <v>1</v>
      </c>
      <c r="X26" s="107"/>
      <c r="Y26" s="106"/>
    </row>
    <row r="27" spans="1:33">
      <c r="A27" s="95">
        <v>3</v>
      </c>
      <c r="B27" s="96">
        <v>45903</v>
      </c>
      <c r="C27" s="97" t="s">
        <v>50</v>
      </c>
      <c r="D27" s="98">
        <f>112735+31329.6</f>
        <v>144064.6</v>
      </c>
      <c r="E27" s="99">
        <v>14</v>
      </c>
      <c r="F27" s="99">
        <f t="shared" si="11"/>
        <v>10290.328571428572</v>
      </c>
      <c r="G27" s="99">
        <v>7</v>
      </c>
      <c r="H27" s="99">
        <f t="shared" si="12"/>
        <v>20580.657142857144</v>
      </c>
      <c r="I27" s="99">
        <v>43</v>
      </c>
      <c r="J27" s="98">
        <f t="shared" si="13"/>
        <v>2</v>
      </c>
      <c r="K27" s="99">
        <v>112735</v>
      </c>
      <c r="L27" s="99"/>
      <c r="M27" s="99"/>
      <c r="N27" s="100">
        <f t="shared" si="14"/>
        <v>0.16279069767441862</v>
      </c>
      <c r="O27" s="101">
        <f t="shared" si="15"/>
        <v>2.3601281204712681</v>
      </c>
      <c r="P27" s="251">
        <f t="shared" si="16"/>
        <v>61041.008219178089</v>
      </c>
      <c r="Q27" s="103">
        <f t="shared" si="18"/>
        <v>10.173501369863015</v>
      </c>
      <c r="R27" s="250">
        <f t="shared" si="17"/>
        <v>5.6519452054794526</v>
      </c>
      <c r="S27" s="102">
        <f t="shared" ref="S27:S53" si="21">IF(W27&lt;&gt;"",IF(D27&lt;&gt;"",D27,($I$8-SUM($S$25:S26))*V27*W27/SUMPRODUCT($W27:$W$58,$V27:$V$58)),"")</f>
        <v>144064.6</v>
      </c>
      <c r="T27" s="103">
        <f t="shared" si="19"/>
        <v>14</v>
      </c>
      <c r="U27" s="103">
        <f t="shared" si="20"/>
        <v>7</v>
      </c>
      <c r="V27" s="254">
        <v>1</v>
      </c>
      <c r="W27" s="104">
        <v>1</v>
      </c>
      <c r="X27" s="107"/>
      <c r="Y27" s="106"/>
      <c r="Z27" s="128"/>
      <c r="AA27" s="2"/>
      <c r="AB27" s="2"/>
      <c r="AC27" s="2"/>
      <c r="AD27" s="2"/>
      <c r="AE27" s="2"/>
      <c r="AF27" s="2"/>
      <c r="AG27" s="2"/>
    </row>
    <row r="28" spans="1:33">
      <c r="A28" s="95">
        <v>4</v>
      </c>
      <c r="B28" s="96">
        <v>45905</v>
      </c>
      <c r="C28" s="133" t="s">
        <v>54</v>
      </c>
      <c r="D28" s="98">
        <v>24875</v>
      </c>
      <c r="E28" s="108">
        <v>3</v>
      </c>
      <c r="F28" s="99">
        <f t="shared" si="11"/>
        <v>8291.6666666666661</v>
      </c>
      <c r="G28" s="108">
        <v>2</v>
      </c>
      <c r="H28" s="99">
        <f t="shared" si="12"/>
        <v>12437.5</v>
      </c>
      <c r="I28" s="108">
        <v>39</v>
      </c>
      <c r="J28" s="98">
        <f t="shared" si="13"/>
        <v>1.5</v>
      </c>
      <c r="K28" s="108"/>
      <c r="L28" s="99"/>
      <c r="M28" s="108"/>
      <c r="N28" s="100">
        <f t="shared" si="14"/>
        <v>5.128205128205128E-2</v>
      </c>
      <c r="O28" s="249">
        <f t="shared" si="15"/>
        <v>0.40751292820528284</v>
      </c>
      <c r="P28" s="102">
        <f t="shared" si="16"/>
        <v>61041.008219178089</v>
      </c>
      <c r="Q28" s="250">
        <f t="shared" si="18"/>
        <v>10.173501369863015</v>
      </c>
      <c r="R28" s="103">
        <f t="shared" si="17"/>
        <v>5.6519452054794526</v>
      </c>
      <c r="S28" s="251">
        <f t="shared" si="21"/>
        <v>24875</v>
      </c>
      <c r="T28" s="103">
        <f t="shared" ref="T28:T34" si="22">IF(W28&lt;&gt;"",IF(E28&lt;&gt;"",E28,($I$9-SUM($T$25:T27))*V28*W28/SUMPRODUCT($W28:$W$58,$V28:$V$58)),"")</f>
        <v>3</v>
      </c>
      <c r="U28" s="250">
        <f t="shared" ref="U28:U53" si="23">IF(W28&lt;&gt;"",IF($I$12&lt;&gt;"",IF(G28&lt;&gt;"",G28,($I$9/$I$12-SUM($U$25:U27))*V28*W28/SUMPRODUCT($W28:$W$58,$V28:$V$58)),""),"")</f>
        <v>2</v>
      </c>
      <c r="V28" s="104">
        <v>1</v>
      </c>
      <c r="W28" s="104">
        <v>1</v>
      </c>
      <c r="X28" s="107"/>
      <c r="Y28" s="106"/>
      <c r="Z28" s="2"/>
      <c r="AA28" s="2"/>
      <c r="AB28" s="2"/>
      <c r="AC28" s="2"/>
      <c r="AD28" s="2"/>
      <c r="AE28" s="2"/>
      <c r="AF28" s="2"/>
      <c r="AG28" s="2"/>
    </row>
    <row r="29" spans="1:33">
      <c r="A29" s="95">
        <v>5</v>
      </c>
      <c r="B29" s="96">
        <v>45906</v>
      </c>
      <c r="C29" s="97" t="s">
        <v>55</v>
      </c>
      <c r="D29" s="253">
        <v>16584</v>
      </c>
      <c r="E29" s="99">
        <v>2</v>
      </c>
      <c r="F29" s="99">
        <f t="shared" si="11"/>
        <v>8292</v>
      </c>
      <c r="G29" s="99">
        <v>2</v>
      </c>
      <c r="H29" s="108">
        <f t="shared" si="12"/>
        <v>8292</v>
      </c>
      <c r="I29" s="99">
        <v>23</v>
      </c>
      <c r="J29" s="253">
        <f t="shared" si="13"/>
        <v>1</v>
      </c>
      <c r="K29" s="99">
        <v>11992</v>
      </c>
      <c r="L29" s="108"/>
      <c r="M29" s="99"/>
      <c r="N29" s="252">
        <f t="shared" si="14"/>
        <v>8.6956521739130432E-2</v>
      </c>
      <c r="O29" s="101">
        <f t="shared" si="15"/>
        <v>0.27168620708970492</v>
      </c>
      <c r="P29" s="251">
        <f t="shared" si="16"/>
        <v>61041.008219178089</v>
      </c>
      <c r="Q29" s="103">
        <f t="shared" si="18"/>
        <v>10.173501369863015</v>
      </c>
      <c r="R29" s="250">
        <f t="shared" si="17"/>
        <v>5.6519452054794526</v>
      </c>
      <c r="S29" s="102">
        <f t="shared" si="21"/>
        <v>16584</v>
      </c>
      <c r="T29" s="250">
        <f t="shared" si="22"/>
        <v>2</v>
      </c>
      <c r="U29" s="103">
        <f t="shared" si="23"/>
        <v>2</v>
      </c>
      <c r="V29" s="254">
        <v>1</v>
      </c>
      <c r="W29" s="104">
        <v>1</v>
      </c>
      <c r="X29" s="107"/>
      <c r="Y29" s="106"/>
      <c r="Z29" s="2"/>
      <c r="AA29" s="2"/>
      <c r="AB29" s="2"/>
      <c r="AC29" s="2"/>
      <c r="AD29" s="2"/>
      <c r="AE29" s="2"/>
      <c r="AF29" s="2"/>
      <c r="AG29" s="2"/>
    </row>
    <row r="30" spans="1:33">
      <c r="A30" s="95">
        <v>6</v>
      </c>
      <c r="B30" s="96">
        <v>45907</v>
      </c>
      <c r="C30" s="133" t="s">
        <v>56</v>
      </c>
      <c r="D30" s="98">
        <v>10883</v>
      </c>
      <c r="E30" s="99">
        <v>2</v>
      </c>
      <c r="F30" s="108">
        <f t="shared" si="11"/>
        <v>5441.5</v>
      </c>
      <c r="G30" s="99">
        <v>1</v>
      </c>
      <c r="H30" s="99">
        <f t="shared" si="12"/>
        <v>10883</v>
      </c>
      <c r="I30" s="108">
        <v>25</v>
      </c>
      <c r="J30" s="98">
        <f t="shared" si="13"/>
        <v>2</v>
      </c>
      <c r="K30" s="108"/>
      <c r="L30" s="99"/>
      <c r="M30" s="108"/>
      <c r="N30" s="100">
        <f t="shared" si="14"/>
        <v>0.04</v>
      </c>
      <c r="O30" s="249">
        <f t="shared" si="15"/>
        <v>0.17828997779530023</v>
      </c>
      <c r="P30" s="102">
        <f t="shared" si="16"/>
        <v>61041.008219178089</v>
      </c>
      <c r="Q30" s="250">
        <f t="shared" si="18"/>
        <v>10.173501369863015</v>
      </c>
      <c r="R30" s="103">
        <f t="shared" si="17"/>
        <v>5.6519452054794526</v>
      </c>
      <c r="S30" s="251">
        <f t="shared" si="21"/>
        <v>10883</v>
      </c>
      <c r="T30" s="103">
        <f t="shared" si="22"/>
        <v>2</v>
      </c>
      <c r="U30" s="250">
        <f t="shared" si="23"/>
        <v>1</v>
      </c>
      <c r="V30" s="104">
        <v>1</v>
      </c>
      <c r="W30" s="104">
        <v>1</v>
      </c>
      <c r="X30" s="107"/>
      <c r="Y30" s="106"/>
      <c r="Z30" s="2"/>
      <c r="AA30" s="2"/>
      <c r="AB30" s="2"/>
      <c r="AC30" s="2"/>
      <c r="AD30" s="2"/>
      <c r="AE30" s="2"/>
      <c r="AF30" s="2"/>
      <c r="AG30" s="2"/>
    </row>
    <row r="31" spans="1:33">
      <c r="A31" s="95">
        <v>7</v>
      </c>
      <c r="B31" s="96">
        <v>45908</v>
      </c>
      <c r="C31" s="97" t="s">
        <v>48</v>
      </c>
      <c r="D31" s="253">
        <f>83956+14292+39335</f>
        <v>137583</v>
      </c>
      <c r="E31" s="99">
        <v>14</v>
      </c>
      <c r="F31" s="99">
        <f t="shared" si="11"/>
        <v>9827.3571428571431</v>
      </c>
      <c r="G31" s="108">
        <v>9</v>
      </c>
      <c r="H31" s="99">
        <f t="shared" si="12"/>
        <v>15287</v>
      </c>
      <c r="I31" s="99">
        <v>55</v>
      </c>
      <c r="J31" s="253">
        <f t="shared" si="13"/>
        <v>1.5555555555555556</v>
      </c>
      <c r="K31" s="99">
        <v>83956</v>
      </c>
      <c r="L31" s="108"/>
      <c r="M31" s="99">
        <v>14292</v>
      </c>
      <c r="N31" s="252">
        <f t="shared" si="14"/>
        <v>0.16363636363636364</v>
      </c>
      <c r="O31" s="101">
        <f t="shared" si="15"/>
        <v>2.2539437668851225</v>
      </c>
      <c r="P31" s="251">
        <f t="shared" si="16"/>
        <v>61041.008219178089</v>
      </c>
      <c r="Q31" s="103">
        <f t="shared" si="18"/>
        <v>10.173501369863015</v>
      </c>
      <c r="R31" s="250">
        <f t="shared" si="17"/>
        <v>5.6519452054794526</v>
      </c>
      <c r="S31" s="102">
        <f t="shared" si="21"/>
        <v>137583</v>
      </c>
      <c r="T31" s="250">
        <f t="shared" si="22"/>
        <v>14</v>
      </c>
      <c r="U31" s="103">
        <f t="shared" si="23"/>
        <v>9</v>
      </c>
      <c r="V31" s="254">
        <v>1</v>
      </c>
      <c r="W31" s="104">
        <v>1</v>
      </c>
      <c r="X31" s="107"/>
      <c r="Y31" s="106"/>
      <c r="AE31" s="2"/>
      <c r="AF31" s="2"/>
      <c r="AG31" s="2"/>
    </row>
    <row r="32" spans="1:33">
      <c r="A32" s="95">
        <v>8</v>
      </c>
      <c r="B32" s="96">
        <v>45910</v>
      </c>
      <c r="C32" s="133" t="s">
        <v>50</v>
      </c>
      <c r="D32" s="98">
        <f>16403+9992+4892</f>
        <v>31287</v>
      </c>
      <c r="E32" s="108">
        <v>4</v>
      </c>
      <c r="F32" s="99">
        <f t="shared" si="11"/>
        <v>7821.75</v>
      </c>
      <c r="G32" s="99">
        <v>3</v>
      </c>
      <c r="H32" s="108">
        <f t="shared" si="12"/>
        <v>10429</v>
      </c>
      <c r="I32" s="99">
        <f>13+74/2</f>
        <v>50</v>
      </c>
      <c r="J32" s="98">
        <f t="shared" si="13"/>
        <v>1.3333333333333333</v>
      </c>
      <c r="K32" s="99">
        <v>9992</v>
      </c>
      <c r="L32" s="99">
        <v>16403</v>
      </c>
      <c r="M32" s="108"/>
      <c r="N32" s="100">
        <f t="shared" si="14"/>
        <v>0.06</v>
      </c>
      <c r="O32" s="249">
        <f t="shared" si="15"/>
        <v>0.51255706471391693</v>
      </c>
      <c r="P32" s="102">
        <f t="shared" si="16"/>
        <v>61041.008219178089</v>
      </c>
      <c r="Q32" s="250">
        <f t="shared" si="18"/>
        <v>10.173501369863015</v>
      </c>
      <c r="R32" s="103">
        <f t="shared" si="17"/>
        <v>5.6519452054794526</v>
      </c>
      <c r="S32" s="251">
        <f t="shared" si="21"/>
        <v>31287</v>
      </c>
      <c r="T32" s="103">
        <f t="shared" si="22"/>
        <v>4</v>
      </c>
      <c r="U32" s="250">
        <f t="shared" si="23"/>
        <v>3</v>
      </c>
      <c r="V32" s="104">
        <v>1</v>
      </c>
      <c r="W32" s="104">
        <v>1</v>
      </c>
      <c r="X32" s="107"/>
      <c r="Y32" s="106"/>
      <c r="AE32" s="2"/>
      <c r="AF32" s="2"/>
      <c r="AG32" s="2"/>
    </row>
    <row r="33" spans="1:255">
      <c r="A33" s="95">
        <v>9</v>
      </c>
      <c r="B33" s="96">
        <v>45911</v>
      </c>
      <c r="C33" s="97" t="s">
        <v>52</v>
      </c>
      <c r="D33" s="253">
        <f>70336+43468</f>
        <v>113804</v>
      </c>
      <c r="E33" s="99">
        <v>11</v>
      </c>
      <c r="F33" s="108">
        <f t="shared" si="11"/>
        <v>10345.818181818182</v>
      </c>
      <c r="G33" s="99">
        <v>3</v>
      </c>
      <c r="H33" s="99">
        <f t="shared" si="12"/>
        <v>37934.666666666664</v>
      </c>
      <c r="I33" s="108">
        <f>12+79/2</f>
        <v>51.5</v>
      </c>
      <c r="J33" s="98">
        <f t="shared" si="13"/>
        <v>3.6666666666666665</v>
      </c>
      <c r="K33" s="99">
        <v>70336</v>
      </c>
      <c r="L33" s="108"/>
      <c r="M33" s="99"/>
      <c r="N33" s="252">
        <f t="shared" si="14"/>
        <v>5.8252427184466021E-2</v>
      </c>
      <c r="O33" s="101">
        <f t="shared" si="15"/>
        <v>1.8643859811647843</v>
      </c>
      <c r="P33" s="251">
        <f t="shared" si="16"/>
        <v>61041.008219178089</v>
      </c>
      <c r="Q33" s="103">
        <f t="shared" si="18"/>
        <v>10.173501369863015</v>
      </c>
      <c r="R33" s="250">
        <f t="shared" si="17"/>
        <v>5.6519452054794526</v>
      </c>
      <c r="S33" s="102">
        <f t="shared" si="21"/>
        <v>113804</v>
      </c>
      <c r="T33" s="250">
        <f t="shared" si="22"/>
        <v>11</v>
      </c>
      <c r="U33" s="103">
        <f t="shared" si="23"/>
        <v>3</v>
      </c>
      <c r="V33" s="254">
        <v>1</v>
      </c>
      <c r="W33" s="104">
        <v>1</v>
      </c>
      <c r="X33" s="107"/>
      <c r="Y33" s="106"/>
      <c r="Z33" s="2"/>
      <c r="AA33" s="2"/>
      <c r="AB33" s="2"/>
      <c r="AC33" s="2"/>
      <c r="AD33" s="2"/>
      <c r="AE33" s="2"/>
      <c r="AF33" s="2"/>
      <c r="AG33" s="2"/>
    </row>
    <row r="34" spans="1:255" s="268" customFormat="1">
      <c r="A34" s="95">
        <v>10</v>
      </c>
      <c r="B34" s="96">
        <v>45913</v>
      </c>
      <c r="C34" s="133" t="s">
        <v>55</v>
      </c>
      <c r="D34" s="98">
        <v>68071</v>
      </c>
      <c r="E34" s="269">
        <v>14</v>
      </c>
      <c r="F34" s="99">
        <f t="shared" si="11"/>
        <v>4862.2142857142853</v>
      </c>
      <c r="G34" s="108">
        <v>8</v>
      </c>
      <c r="H34" s="99">
        <f t="shared" si="12"/>
        <v>8508.875</v>
      </c>
      <c r="I34" s="99">
        <f>55+93/2</f>
        <v>101.5</v>
      </c>
      <c r="J34" s="253">
        <f t="shared" si="13"/>
        <v>1.75</v>
      </c>
      <c r="K34" s="99"/>
      <c r="L34" s="99"/>
      <c r="M34" s="108"/>
      <c r="N34" s="100">
        <f t="shared" si="14"/>
        <v>7.8817733990147784E-2</v>
      </c>
      <c r="O34" s="249">
        <f t="shared" si="15"/>
        <v>1.1151683431502235</v>
      </c>
      <c r="P34" s="102">
        <f t="shared" si="16"/>
        <v>61041.008219178089</v>
      </c>
      <c r="Q34" s="250">
        <f t="shared" si="18"/>
        <v>10.173501369863015</v>
      </c>
      <c r="R34" s="103">
        <f t="shared" si="17"/>
        <v>5.6519452054794526</v>
      </c>
      <c r="S34" s="251">
        <f t="shared" si="21"/>
        <v>68071</v>
      </c>
      <c r="T34" s="103">
        <f t="shared" si="22"/>
        <v>14</v>
      </c>
      <c r="U34" s="250">
        <f t="shared" si="23"/>
        <v>8</v>
      </c>
      <c r="V34" s="104">
        <v>1</v>
      </c>
      <c r="W34" s="104">
        <v>1</v>
      </c>
      <c r="X34" s="107"/>
      <c r="Y34" s="106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>
      <c r="A35" s="95">
        <v>11</v>
      </c>
      <c r="B35" s="96">
        <v>45914</v>
      </c>
      <c r="C35" s="97" t="s">
        <v>56</v>
      </c>
      <c r="D35" s="98">
        <v>72609</v>
      </c>
      <c r="E35" s="97">
        <v>12</v>
      </c>
      <c r="F35" s="99">
        <f t="shared" si="11"/>
        <v>6050.75</v>
      </c>
      <c r="G35" s="99">
        <v>7</v>
      </c>
      <c r="H35" s="99">
        <f t="shared" si="12"/>
        <v>10372.714285714286</v>
      </c>
      <c r="I35" s="99">
        <v>46</v>
      </c>
      <c r="J35" s="98">
        <f t="shared" si="13"/>
        <v>1.7142857142857142</v>
      </c>
      <c r="K35" s="108">
        <v>25082</v>
      </c>
      <c r="L35" s="99"/>
      <c r="M35" s="99">
        <v>12384</v>
      </c>
      <c r="N35" s="252">
        <f t="shared" si="14"/>
        <v>0.15217391304347827</v>
      </c>
      <c r="O35" s="101">
        <f t="shared" si="15"/>
        <v>1.1895118071982866</v>
      </c>
      <c r="P35" s="251">
        <f t="shared" si="16"/>
        <v>61041.008219178089</v>
      </c>
      <c r="Q35" s="103">
        <f t="shared" si="18"/>
        <v>10.173501369863015</v>
      </c>
      <c r="R35" s="250">
        <f t="shared" si="17"/>
        <v>5.6519452054794526</v>
      </c>
      <c r="S35" s="102">
        <f t="shared" si="21"/>
        <v>72609</v>
      </c>
      <c r="T35" s="250">
        <f t="shared" ref="T35:T36" si="24">IF(W35&lt;&gt;"",IF(E34&lt;&gt;"",E34,($I$9-SUM($T$25:T34))*V35*W35/SUMPRODUCT($W35:$W$58,$V35:$V$58)),"")</f>
        <v>14</v>
      </c>
      <c r="U35" s="103">
        <f t="shared" si="23"/>
        <v>7</v>
      </c>
      <c r="V35" s="254">
        <v>1</v>
      </c>
      <c r="W35" s="104">
        <v>1</v>
      </c>
      <c r="X35" s="107"/>
      <c r="Y35" s="106"/>
      <c r="Z35" s="2"/>
      <c r="AA35" s="2"/>
      <c r="AB35" s="2"/>
      <c r="AC35" s="2"/>
      <c r="AD35" s="2"/>
      <c r="AE35" s="2"/>
      <c r="AF35" s="2"/>
      <c r="AG35" s="2"/>
    </row>
    <row r="36" spans="1:255">
      <c r="A36" s="95">
        <v>11</v>
      </c>
      <c r="B36" s="96">
        <v>45915</v>
      </c>
      <c r="C36" s="133" t="s">
        <v>48</v>
      </c>
      <c r="D36" s="98">
        <v>0</v>
      </c>
      <c r="E36" s="97"/>
      <c r="F36" s="99" t="str">
        <f t="shared" si="11"/>
        <v/>
      </c>
      <c r="G36" s="99"/>
      <c r="H36" s="99" t="str">
        <f t="shared" si="12"/>
        <v/>
      </c>
      <c r="I36" s="108">
        <f>8+41/2</f>
        <v>28.5</v>
      </c>
      <c r="J36" s="98" t="str">
        <f t="shared" si="13"/>
        <v/>
      </c>
      <c r="K36" s="270"/>
      <c r="L36" s="108"/>
      <c r="M36" s="99"/>
      <c r="N36" s="271">
        <f t="shared" si="14"/>
        <v>0</v>
      </c>
      <c r="O36" s="249">
        <f t="shared" si="15"/>
        <v>0</v>
      </c>
      <c r="P36" s="272">
        <f t="shared" si="16"/>
        <v>61041.008219178089</v>
      </c>
      <c r="Q36" s="250">
        <f t="shared" si="18"/>
        <v>10.173501369863015</v>
      </c>
      <c r="R36" s="273">
        <f t="shared" si="17"/>
        <v>5.6519452054794526</v>
      </c>
      <c r="S36" s="251">
        <f t="shared" si="21"/>
        <v>0</v>
      </c>
      <c r="T36" s="273">
        <f t="shared" si="24"/>
        <v>12</v>
      </c>
      <c r="U36" s="250">
        <f t="shared" si="23"/>
        <v>6.5213307240704506</v>
      </c>
      <c r="V36" s="274">
        <v>1</v>
      </c>
      <c r="W36" s="104">
        <v>1</v>
      </c>
      <c r="X36" s="107"/>
      <c r="Y36" s="106"/>
      <c r="Z36" s="2"/>
      <c r="AA36" s="2"/>
      <c r="AB36" s="2"/>
      <c r="AC36" s="2"/>
      <c r="AD36" s="2"/>
      <c r="AE36" s="2"/>
      <c r="AF36" s="2"/>
      <c r="AG36" s="2"/>
    </row>
    <row r="37" spans="1:255">
      <c r="A37" s="95">
        <v>13</v>
      </c>
      <c r="B37" s="96">
        <v>45916</v>
      </c>
      <c r="C37" s="97" t="s">
        <v>49</v>
      </c>
      <c r="D37" s="98">
        <v>23089</v>
      </c>
      <c r="E37" s="99">
        <v>5</v>
      </c>
      <c r="F37" s="99">
        <f t="shared" si="11"/>
        <v>4617.8</v>
      </c>
      <c r="G37" s="99">
        <v>4</v>
      </c>
      <c r="H37" s="99">
        <f t="shared" si="12"/>
        <v>5772.25</v>
      </c>
      <c r="I37" s="99">
        <f>7+74/2</f>
        <v>44</v>
      </c>
      <c r="J37" s="253">
        <f t="shared" si="13"/>
        <v>1.25</v>
      </c>
      <c r="K37" s="99"/>
      <c r="L37" s="99"/>
      <c r="M37" s="108"/>
      <c r="N37" s="100">
        <f t="shared" si="14"/>
        <v>9.0909090909090912E-2</v>
      </c>
      <c r="O37" s="101">
        <f t="shared" si="15"/>
        <v>0.3782539095208754</v>
      </c>
      <c r="P37" s="251">
        <f t="shared" si="16"/>
        <v>61041.008219178089</v>
      </c>
      <c r="Q37" s="103">
        <f t="shared" si="18"/>
        <v>10.173501369863015</v>
      </c>
      <c r="R37" s="250">
        <f t="shared" si="17"/>
        <v>5.6519452054794526</v>
      </c>
      <c r="S37" s="102">
        <f t="shared" si="21"/>
        <v>23089</v>
      </c>
      <c r="T37" s="250">
        <f t="shared" ref="T37:T53" si="25">IF(W37&lt;&gt;"",IF(E37&lt;&gt;"",E37,($I$9-SUM($T$25:T36))*V37*W37/SUMPRODUCT($W37:$W$58,$V37:$V$58)),"")</f>
        <v>5</v>
      </c>
      <c r="U37" s="103">
        <f t="shared" si="23"/>
        <v>4</v>
      </c>
      <c r="V37" s="254">
        <v>1</v>
      </c>
      <c r="W37" s="104">
        <v>1</v>
      </c>
      <c r="X37" s="107"/>
      <c r="Y37" s="106"/>
      <c r="Z37" s="2"/>
      <c r="AA37" s="2"/>
      <c r="AB37" s="2"/>
      <c r="AC37" s="2"/>
      <c r="AD37" s="2"/>
      <c r="AE37" s="2"/>
      <c r="AF37" s="2"/>
      <c r="AG37" s="2"/>
    </row>
    <row r="38" spans="1:255">
      <c r="A38" s="95">
        <v>14</v>
      </c>
      <c r="B38" s="96">
        <v>45919</v>
      </c>
      <c r="C38" s="133" t="s">
        <v>54</v>
      </c>
      <c r="D38" s="98">
        <f>18982+9123+54207</f>
        <v>82312</v>
      </c>
      <c r="E38" s="99">
        <v>14</v>
      </c>
      <c r="F38" s="99">
        <f t="shared" si="11"/>
        <v>5879.4285714285716</v>
      </c>
      <c r="G38" s="99">
        <v>8</v>
      </c>
      <c r="H38" s="99">
        <f t="shared" si="12"/>
        <v>10289</v>
      </c>
      <c r="I38" s="99">
        <v>60</v>
      </c>
      <c r="J38" s="98">
        <f t="shared" si="13"/>
        <v>1.75</v>
      </c>
      <c r="K38" s="108">
        <v>18982</v>
      </c>
      <c r="L38" s="99">
        <v>9123</v>
      </c>
      <c r="M38" s="99"/>
      <c r="N38" s="252">
        <f t="shared" si="14"/>
        <v>0.13333333333333333</v>
      </c>
      <c r="O38" s="101">
        <f t="shared" si="15"/>
        <v>1.3484705184495775</v>
      </c>
      <c r="P38" s="102">
        <f t="shared" si="16"/>
        <v>61041.008219178089</v>
      </c>
      <c r="Q38" s="250">
        <f t="shared" si="18"/>
        <v>10.173501369863015</v>
      </c>
      <c r="R38" s="103">
        <f t="shared" si="17"/>
        <v>5.6519452054794526</v>
      </c>
      <c r="S38" s="251">
        <f t="shared" si="21"/>
        <v>82312</v>
      </c>
      <c r="T38" s="103">
        <f t="shared" si="25"/>
        <v>14</v>
      </c>
      <c r="U38" s="250">
        <f t="shared" si="23"/>
        <v>8</v>
      </c>
      <c r="V38" s="104">
        <v>1</v>
      </c>
      <c r="W38" s="104">
        <v>1</v>
      </c>
      <c r="X38" s="107"/>
      <c r="Y38" s="106"/>
      <c r="Z38" s="2"/>
      <c r="AA38" s="2"/>
      <c r="AB38" s="2"/>
      <c r="AC38" s="2"/>
      <c r="AD38" s="2"/>
      <c r="AE38" s="2"/>
      <c r="AF38" s="2"/>
      <c r="AG38" s="2"/>
    </row>
    <row r="39" spans="1:255" s="268" customFormat="1">
      <c r="A39" s="95">
        <v>15</v>
      </c>
      <c r="B39" s="96">
        <v>45920</v>
      </c>
      <c r="C39" s="97" t="s">
        <v>55</v>
      </c>
      <c r="D39" s="98">
        <f>57513+220</f>
        <v>57733</v>
      </c>
      <c r="E39" s="108">
        <v>10</v>
      </c>
      <c r="F39" s="99">
        <f t="shared" si="11"/>
        <v>5773.3</v>
      </c>
      <c r="G39" s="108">
        <v>6</v>
      </c>
      <c r="H39" s="99">
        <f t="shared" si="12"/>
        <v>9622.1666666666661</v>
      </c>
      <c r="I39" s="108">
        <v>33</v>
      </c>
      <c r="J39" s="98">
        <f t="shared" si="13"/>
        <v>1.6666666666666667</v>
      </c>
      <c r="K39" s="99"/>
      <c r="L39" s="108">
        <v>220</v>
      </c>
      <c r="M39" s="99"/>
      <c r="N39" s="100">
        <f t="shared" si="14"/>
        <v>0.18181818181818182</v>
      </c>
      <c r="O39" s="249">
        <f t="shared" si="15"/>
        <v>0.94580678930957163</v>
      </c>
      <c r="P39" s="102">
        <f t="shared" si="16"/>
        <v>61041.008219178089</v>
      </c>
      <c r="Q39" s="103">
        <f t="shared" si="18"/>
        <v>10.173501369863015</v>
      </c>
      <c r="R39" s="250">
        <f t="shared" si="17"/>
        <v>5.6519452054794526</v>
      </c>
      <c r="S39" s="102">
        <f t="shared" si="21"/>
        <v>57733</v>
      </c>
      <c r="T39" s="250">
        <f t="shared" si="25"/>
        <v>10</v>
      </c>
      <c r="U39" s="103">
        <f t="shared" si="23"/>
        <v>6</v>
      </c>
      <c r="V39" s="254">
        <v>1</v>
      </c>
      <c r="W39" s="104">
        <v>1</v>
      </c>
      <c r="X39" s="107"/>
      <c r="Y39" s="106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</row>
    <row r="40" spans="1:255" s="268" customFormat="1">
      <c r="A40" s="95">
        <v>16</v>
      </c>
      <c r="B40" s="96">
        <v>45921</v>
      </c>
      <c r="C40" s="133" t="s">
        <v>56</v>
      </c>
      <c r="D40" s="98">
        <v>46099</v>
      </c>
      <c r="E40" s="99">
        <v>8</v>
      </c>
      <c r="F40" s="108">
        <f t="shared" si="11"/>
        <v>5762.375</v>
      </c>
      <c r="G40" s="99">
        <v>4</v>
      </c>
      <c r="H40" s="108">
        <f t="shared" si="12"/>
        <v>11524.75</v>
      </c>
      <c r="I40" s="99">
        <v>22</v>
      </c>
      <c r="J40" s="253">
        <f t="shared" si="13"/>
        <v>2</v>
      </c>
      <c r="K40" s="99"/>
      <c r="L40" s="99"/>
      <c r="M40" s="108"/>
      <c r="N40" s="100">
        <f t="shared" si="14"/>
        <v>0.18181818181818182</v>
      </c>
      <c r="O40" s="101">
        <f t="shared" si="15"/>
        <v>0.75521360712905861</v>
      </c>
      <c r="P40" s="251">
        <f t="shared" si="16"/>
        <v>61041.008219178089</v>
      </c>
      <c r="Q40" s="103">
        <f t="shared" si="18"/>
        <v>10.173501369863015</v>
      </c>
      <c r="R40" s="103">
        <f t="shared" si="17"/>
        <v>5.6519452054794526</v>
      </c>
      <c r="S40" s="251">
        <f t="shared" si="21"/>
        <v>46099</v>
      </c>
      <c r="T40" s="103">
        <f t="shared" si="25"/>
        <v>8</v>
      </c>
      <c r="U40" s="250">
        <f t="shared" si="23"/>
        <v>4</v>
      </c>
      <c r="V40" s="104">
        <v>1</v>
      </c>
      <c r="W40" s="104">
        <v>1</v>
      </c>
      <c r="X40" s="107"/>
      <c r="Y40" s="106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s="268" customFormat="1">
      <c r="A41" s="95">
        <v>17</v>
      </c>
      <c r="B41" s="96">
        <v>45923</v>
      </c>
      <c r="C41" s="97" t="s">
        <v>49</v>
      </c>
      <c r="D41" s="253">
        <f>8903+17867</f>
        <v>26770</v>
      </c>
      <c r="E41" s="99">
        <v>5</v>
      </c>
      <c r="F41" s="99">
        <f t="shared" si="11"/>
        <v>5354</v>
      </c>
      <c r="G41" s="108">
        <v>4</v>
      </c>
      <c r="H41" s="99">
        <f t="shared" si="12"/>
        <v>6692.5</v>
      </c>
      <c r="I41" s="108">
        <v>30</v>
      </c>
      <c r="J41" s="98">
        <f t="shared" si="13"/>
        <v>1.25</v>
      </c>
      <c r="K41" s="108"/>
      <c r="L41" s="99">
        <v>8903</v>
      </c>
      <c r="M41" s="99"/>
      <c r="N41" s="252">
        <f t="shared" si="14"/>
        <v>0.13333333333333333</v>
      </c>
      <c r="O41" s="101">
        <f t="shared" si="15"/>
        <v>0.43855763168061995</v>
      </c>
      <c r="P41" s="102">
        <f t="shared" si="16"/>
        <v>61041.008219178089</v>
      </c>
      <c r="Q41" s="250">
        <f t="shared" si="18"/>
        <v>10.173501369863015</v>
      </c>
      <c r="R41" s="103">
        <f t="shared" si="17"/>
        <v>5.6519452054794526</v>
      </c>
      <c r="S41" s="102">
        <f t="shared" si="21"/>
        <v>26770</v>
      </c>
      <c r="T41" s="250">
        <f t="shared" si="25"/>
        <v>5</v>
      </c>
      <c r="U41" s="103">
        <f t="shared" si="23"/>
        <v>4</v>
      </c>
      <c r="V41" s="254">
        <v>1</v>
      </c>
      <c r="W41" s="104">
        <v>1</v>
      </c>
      <c r="X41" s="107"/>
      <c r="Y41" s="106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</row>
    <row r="42" spans="1:255" s="268" customFormat="1">
      <c r="A42" s="95">
        <v>18</v>
      </c>
      <c r="B42" s="96">
        <v>45924</v>
      </c>
      <c r="C42" s="97" t="s">
        <v>50</v>
      </c>
      <c r="D42" s="98">
        <v>25350</v>
      </c>
      <c r="E42" s="108">
        <v>6</v>
      </c>
      <c r="F42" s="99">
        <f t="shared" si="11"/>
        <v>4225</v>
      </c>
      <c r="G42" s="99">
        <v>4</v>
      </c>
      <c r="H42" s="108">
        <f t="shared" si="12"/>
        <v>6337.5</v>
      </c>
      <c r="I42" s="99">
        <v>23</v>
      </c>
      <c r="J42" s="253">
        <f t="shared" si="13"/>
        <v>1.5</v>
      </c>
      <c r="K42" s="99"/>
      <c r="L42" s="108"/>
      <c r="M42" s="99"/>
      <c r="N42" s="100">
        <f t="shared" si="14"/>
        <v>0.17391304347826086</v>
      </c>
      <c r="O42" s="249">
        <f t="shared" si="15"/>
        <v>0.41529458211071035</v>
      </c>
      <c r="P42" s="102">
        <f t="shared" si="16"/>
        <v>61041.008219178089</v>
      </c>
      <c r="Q42" s="103">
        <f t="shared" si="18"/>
        <v>10.173501369863015</v>
      </c>
      <c r="R42" s="250">
        <f t="shared" si="17"/>
        <v>5.6519452054794526</v>
      </c>
      <c r="S42" s="102">
        <f t="shared" si="21"/>
        <v>25350</v>
      </c>
      <c r="T42" s="103">
        <f t="shared" si="25"/>
        <v>6</v>
      </c>
      <c r="U42" s="250">
        <f t="shared" si="23"/>
        <v>4</v>
      </c>
      <c r="V42" s="104">
        <v>1</v>
      </c>
      <c r="W42" s="104">
        <v>1</v>
      </c>
      <c r="X42" s="107"/>
      <c r="Y42" s="106"/>
      <c r="Z42" s="128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s="268" customFormat="1" ht="15" customHeight="1">
      <c r="A43" s="95">
        <v>19</v>
      </c>
      <c r="B43" s="96">
        <v>45926</v>
      </c>
      <c r="C43" s="97" t="s">
        <v>54</v>
      </c>
      <c r="D43" s="98">
        <f>80379+11492</f>
        <v>91871</v>
      </c>
      <c r="E43" s="99">
        <v>15</v>
      </c>
      <c r="F43" s="99">
        <f t="shared" si="11"/>
        <v>6124.7333333333336</v>
      </c>
      <c r="G43" s="99">
        <v>5</v>
      </c>
      <c r="H43" s="99">
        <f t="shared" si="12"/>
        <v>18374.2</v>
      </c>
      <c r="I43" s="99">
        <f>19+24</f>
        <v>43</v>
      </c>
      <c r="J43" s="98">
        <f t="shared" si="13"/>
        <v>3</v>
      </c>
      <c r="K43" s="99">
        <v>11492</v>
      </c>
      <c r="L43" s="99"/>
      <c r="M43" s="99"/>
      <c r="N43" s="100">
        <f t="shared" si="14"/>
        <v>0.11627906976744186</v>
      </c>
      <c r="O43" s="101">
        <f t="shared" si="15"/>
        <v>1.5050701598853282</v>
      </c>
      <c r="P43" s="251">
        <f t="shared" si="16"/>
        <v>61041.008219178089</v>
      </c>
      <c r="Q43" s="103">
        <f t="shared" si="18"/>
        <v>10.173501369863015</v>
      </c>
      <c r="R43" s="103">
        <f t="shared" si="17"/>
        <v>5.6519452054794526</v>
      </c>
      <c r="S43" s="102">
        <f t="shared" si="21"/>
        <v>91871</v>
      </c>
      <c r="T43" s="103">
        <f t="shared" si="25"/>
        <v>15</v>
      </c>
      <c r="U43" s="103">
        <f t="shared" si="23"/>
        <v>5</v>
      </c>
      <c r="V43" s="254">
        <v>1</v>
      </c>
      <c r="W43" s="104">
        <v>1</v>
      </c>
      <c r="X43" s="107"/>
      <c r="Y43" s="106"/>
      <c r="Z43" s="128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</row>
    <row r="44" spans="1:255" s="268" customFormat="1" ht="15" customHeight="1">
      <c r="A44" s="95">
        <v>20</v>
      </c>
      <c r="B44" s="96">
        <v>45927</v>
      </c>
      <c r="C44" s="97" t="s">
        <v>55</v>
      </c>
      <c r="D44" s="98">
        <f>14103+7990+48725</f>
        <v>70818</v>
      </c>
      <c r="E44" s="99">
        <v>12</v>
      </c>
      <c r="F44" s="99">
        <f t="shared" si="11"/>
        <v>5901.5</v>
      </c>
      <c r="G44" s="99">
        <v>7</v>
      </c>
      <c r="H44" s="99">
        <f t="shared" si="12"/>
        <v>10116.857142857143</v>
      </c>
      <c r="I44" s="99">
        <v>41</v>
      </c>
      <c r="J44" s="98">
        <f t="shared" si="13"/>
        <v>1.7142857142857142</v>
      </c>
      <c r="K44" s="99"/>
      <c r="L44" s="99">
        <v>14103</v>
      </c>
      <c r="M44" s="99">
        <v>7990</v>
      </c>
      <c r="N44" s="100">
        <f t="shared" si="14"/>
        <v>0.17073170731707318</v>
      </c>
      <c r="O44" s="101">
        <f t="shared" si="15"/>
        <v>1.1601708763675063</v>
      </c>
      <c r="P44" s="102">
        <f t="shared" si="16"/>
        <v>61041.008219178089</v>
      </c>
      <c r="Q44" s="103">
        <f t="shared" si="18"/>
        <v>10.173501369863015</v>
      </c>
      <c r="R44" s="103">
        <f t="shared" si="17"/>
        <v>5.6519452054794526</v>
      </c>
      <c r="S44" s="102">
        <f t="shared" si="21"/>
        <v>70818</v>
      </c>
      <c r="T44" s="103">
        <f t="shared" si="25"/>
        <v>12</v>
      </c>
      <c r="U44" s="103">
        <f t="shared" si="23"/>
        <v>7</v>
      </c>
      <c r="V44" s="104">
        <v>1</v>
      </c>
      <c r="W44" s="104">
        <v>1</v>
      </c>
      <c r="X44" s="107"/>
      <c r="Y44" s="106"/>
      <c r="Z44" s="128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s="268" customFormat="1" ht="15" customHeight="1">
      <c r="A45" s="95">
        <v>21</v>
      </c>
      <c r="B45" s="96">
        <v>45928</v>
      </c>
      <c r="C45" s="97" t="s">
        <v>56</v>
      </c>
      <c r="D45" s="98">
        <v>90800</v>
      </c>
      <c r="E45" s="99">
        <v>13</v>
      </c>
      <c r="F45" s="99">
        <f t="shared" si="11"/>
        <v>6984.6153846153848</v>
      </c>
      <c r="G45" s="99">
        <v>6</v>
      </c>
      <c r="H45" s="99">
        <f t="shared" si="12"/>
        <v>15133.333333333334</v>
      </c>
      <c r="I45" s="99">
        <v>40</v>
      </c>
      <c r="J45" s="98">
        <f t="shared" si="13"/>
        <v>2.1666666666666665</v>
      </c>
      <c r="K45" s="99">
        <v>22680</v>
      </c>
      <c r="L45" s="99">
        <v>7903</v>
      </c>
      <c r="M45" s="99">
        <v>15983</v>
      </c>
      <c r="N45" s="100">
        <f t="shared" si="14"/>
        <v>0.15</v>
      </c>
      <c r="O45" s="101">
        <f t="shared" si="15"/>
        <v>1.4875245781322486</v>
      </c>
      <c r="P45" s="251">
        <f t="shared" si="16"/>
        <v>61041.008219178089</v>
      </c>
      <c r="Q45" s="103">
        <f t="shared" si="18"/>
        <v>10.173501369863015</v>
      </c>
      <c r="R45" s="103">
        <f t="shared" si="17"/>
        <v>5.6519452054794526</v>
      </c>
      <c r="S45" s="102">
        <f t="shared" si="21"/>
        <v>90800</v>
      </c>
      <c r="T45" s="103">
        <f t="shared" si="25"/>
        <v>13</v>
      </c>
      <c r="U45" s="103">
        <f t="shared" si="23"/>
        <v>6</v>
      </c>
      <c r="V45" s="254">
        <v>1</v>
      </c>
      <c r="W45" s="104">
        <v>1</v>
      </c>
      <c r="X45" s="107"/>
      <c r="Y45" s="106"/>
      <c r="Z45" s="128"/>
      <c r="AA45" s="3"/>
      <c r="AB45" s="3"/>
      <c r="AC45" s="3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</row>
    <row r="46" spans="1:255" s="268" customFormat="1" ht="15" customHeight="1">
      <c r="A46" s="95">
        <v>22</v>
      </c>
      <c r="B46" s="96">
        <v>45929</v>
      </c>
      <c r="C46" s="97" t="s">
        <v>48</v>
      </c>
      <c r="D46" s="98">
        <v>34846.480000000003</v>
      </c>
      <c r="E46" s="99">
        <v>8</v>
      </c>
      <c r="F46" s="99">
        <f t="shared" si="11"/>
        <v>4355.8100000000004</v>
      </c>
      <c r="G46" s="99">
        <v>4</v>
      </c>
      <c r="H46" s="99">
        <f t="shared" si="12"/>
        <v>8711.6200000000008</v>
      </c>
      <c r="I46" s="99">
        <v>20</v>
      </c>
      <c r="J46" s="98">
        <f t="shared" si="13"/>
        <v>2</v>
      </c>
      <c r="K46" s="99"/>
      <c r="L46" s="99"/>
      <c r="M46" s="99"/>
      <c r="N46" s="100">
        <f t="shared" si="14"/>
        <v>0.2</v>
      </c>
      <c r="O46" s="101">
        <f t="shared" si="15"/>
        <v>0.57086999406821404</v>
      </c>
      <c r="P46" s="102">
        <f t="shared" si="16"/>
        <v>61041.008219178089</v>
      </c>
      <c r="Q46" s="103">
        <f t="shared" si="18"/>
        <v>10.173501369863015</v>
      </c>
      <c r="R46" s="103">
        <f t="shared" si="17"/>
        <v>5.6519452054794526</v>
      </c>
      <c r="S46" s="102">
        <f t="shared" si="21"/>
        <v>34846.480000000003</v>
      </c>
      <c r="T46" s="103">
        <f t="shared" si="25"/>
        <v>8</v>
      </c>
      <c r="U46" s="103">
        <f t="shared" si="23"/>
        <v>4</v>
      </c>
      <c r="V46" s="104">
        <v>1</v>
      </c>
      <c r="W46" s="104">
        <v>1</v>
      </c>
      <c r="X46" s="107"/>
      <c r="Y46" s="106"/>
      <c r="Z46" s="128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s="268" customFormat="1" ht="15" customHeight="1">
      <c r="A47" s="95">
        <v>23</v>
      </c>
      <c r="B47" s="96">
        <v>45925</v>
      </c>
      <c r="C47" s="97" t="s">
        <v>52</v>
      </c>
      <c r="D47" s="98">
        <f>8992+3692</f>
        <v>12684</v>
      </c>
      <c r="E47" s="99">
        <v>2</v>
      </c>
      <c r="F47" s="99">
        <f t="shared" si="11"/>
        <v>6342</v>
      </c>
      <c r="G47" s="99">
        <v>2</v>
      </c>
      <c r="H47" s="99">
        <f t="shared" si="12"/>
        <v>6342</v>
      </c>
      <c r="I47" s="99"/>
      <c r="J47" s="98">
        <f t="shared" si="13"/>
        <v>1</v>
      </c>
      <c r="K47" s="99"/>
      <c r="L47" s="99"/>
      <c r="M47" s="99">
        <v>8992</v>
      </c>
      <c r="N47" s="100" t="str">
        <f t="shared" si="14"/>
        <v/>
      </c>
      <c r="O47" s="101">
        <f t="shared" si="15"/>
        <v>0.20779473291882644</v>
      </c>
      <c r="P47" s="251">
        <f t="shared" si="16"/>
        <v>61041.008219178089</v>
      </c>
      <c r="Q47" s="103">
        <f t="shared" si="18"/>
        <v>10.173501369863015</v>
      </c>
      <c r="R47" s="103">
        <f t="shared" si="17"/>
        <v>5.6519452054794526</v>
      </c>
      <c r="S47" s="102">
        <f t="shared" si="21"/>
        <v>12684</v>
      </c>
      <c r="T47" s="103">
        <f t="shared" si="25"/>
        <v>2</v>
      </c>
      <c r="U47" s="103">
        <f t="shared" si="23"/>
        <v>2</v>
      </c>
      <c r="V47" s="254">
        <v>1</v>
      </c>
      <c r="W47" s="104">
        <v>1</v>
      </c>
      <c r="X47" s="107"/>
      <c r="Y47" s="106"/>
      <c r="Z47" s="128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</row>
    <row r="48" spans="1:255" s="268" customFormat="1" ht="15" customHeight="1">
      <c r="A48" s="95">
        <v>24</v>
      </c>
      <c r="B48" s="96"/>
      <c r="C48" s="97"/>
      <c r="D48" s="98"/>
      <c r="E48" s="99"/>
      <c r="F48" s="99" t="str">
        <f t="shared" si="11"/>
        <v/>
      </c>
      <c r="G48" s="99"/>
      <c r="H48" s="99" t="str">
        <f t="shared" si="12"/>
        <v/>
      </c>
      <c r="I48" s="99"/>
      <c r="J48" s="98" t="str">
        <f t="shared" si="13"/>
        <v/>
      </c>
      <c r="K48" s="99"/>
      <c r="L48" s="99"/>
      <c r="M48" s="99"/>
      <c r="N48" s="100" t="str">
        <f t="shared" si="14"/>
        <v/>
      </c>
      <c r="O48" s="101">
        <f t="shared" si="15"/>
        <v>0</v>
      </c>
      <c r="P48" s="102">
        <f t="shared" si="16"/>
        <v>61041.008219178089</v>
      </c>
      <c r="Q48" s="103">
        <f t="shared" si="18"/>
        <v>10.173501369863015</v>
      </c>
      <c r="R48" s="103">
        <f t="shared" si="17"/>
        <v>5.6519452054794526</v>
      </c>
      <c r="S48" s="102">
        <f t="shared" si="21"/>
        <v>130314.56273972604</v>
      </c>
      <c r="T48" s="103">
        <f t="shared" si="25"/>
        <v>27.16876712328768</v>
      </c>
      <c r="U48" s="103">
        <f t="shared" si="23"/>
        <v>15.388649706457926</v>
      </c>
      <c r="V48" s="104">
        <v>1</v>
      </c>
      <c r="W48" s="104">
        <v>1</v>
      </c>
      <c r="X48" s="107"/>
      <c r="Y48" s="106"/>
      <c r="Z48" s="128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s="268" customFormat="1" ht="15" customHeight="1">
      <c r="A49" s="95">
        <v>25</v>
      </c>
      <c r="B49" s="96"/>
      <c r="C49" s="97"/>
      <c r="D49" s="98"/>
      <c r="E49" s="99"/>
      <c r="F49" s="99" t="str">
        <f t="shared" si="11"/>
        <v/>
      </c>
      <c r="G49" s="99"/>
      <c r="H49" s="99" t="str">
        <f t="shared" si="12"/>
        <v/>
      </c>
      <c r="I49" s="99"/>
      <c r="J49" s="98" t="str">
        <f t="shared" si="13"/>
        <v/>
      </c>
      <c r="K49" s="99"/>
      <c r="L49" s="99"/>
      <c r="M49" s="99"/>
      <c r="N49" s="100" t="str">
        <f t="shared" si="14"/>
        <v/>
      </c>
      <c r="O49" s="249">
        <f t="shared" si="15"/>
        <v>0</v>
      </c>
      <c r="P49" s="102">
        <f t="shared" si="16"/>
        <v>61041.008219178089</v>
      </c>
      <c r="Q49" s="103">
        <f t="shared" si="18"/>
        <v>10.173501369863015</v>
      </c>
      <c r="R49" s="103">
        <f t="shared" si="17"/>
        <v>5.6519452054794526</v>
      </c>
      <c r="S49" s="102">
        <f t="shared" si="21"/>
        <v>130314.56273972592</v>
      </c>
      <c r="T49" s="103">
        <f t="shared" si="25"/>
        <v>27.168767123287665</v>
      </c>
      <c r="U49" s="103">
        <f t="shared" si="23"/>
        <v>15.388649706457926</v>
      </c>
      <c r="V49" s="254">
        <v>1</v>
      </c>
      <c r="W49" s="104">
        <v>1</v>
      </c>
      <c r="X49" s="107"/>
      <c r="Y49" s="106"/>
      <c r="Z49" s="128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</row>
    <row r="50" spans="1:255" ht="15" customHeight="1">
      <c r="A50" s="95">
        <v>26</v>
      </c>
      <c r="B50" s="96"/>
      <c r="C50" s="97"/>
      <c r="D50" s="98"/>
      <c r="E50" s="99"/>
      <c r="F50" s="99" t="str">
        <f t="shared" si="11"/>
        <v/>
      </c>
      <c r="G50" s="99"/>
      <c r="H50" s="99" t="str">
        <f t="shared" si="12"/>
        <v/>
      </c>
      <c r="I50" s="99"/>
      <c r="J50" s="98" t="str">
        <f t="shared" si="13"/>
        <v/>
      </c>
      <c r="K50" s="99"/>
      <c r="L50" s="99"/>
      <c r="M50" s="99"/>
      <c r="N50" s="100" t="str">
        <f t="shared" si="14"/>
        <v/>
      </c>
      <c r="O50" s="101" t="e">
        <f t="shared" si="15"/>
        <v>#DIV/0!</v>
      </c>
      <c r="P50" s="102">
        <f t="shared" si="16"/>
        <v>0</v>
      </c>
      <c r="Q50" s="103">
        <f t="shared" si="18"/>
        <v>0</v>
      </c>
      <c r="R50" s="103">
        <f t="shared" si="17"/>
        <v>0</v>
      </c>
      <c r="S50" s="102" t="str">
        <f t="shared" si="21"/>
        <v/>
      </c>
      <c r="T50" s="103" t="str">
        <f t="shared" si="25"/>
        <v/>
      </c>
      <c r="U50" s="103" t="str">
        <f t="shared" si="23"/>
        <v/>
      </c>
      <c r="V50" s="104"/>
      <c r="W50" s="104"/>
      <c r="X50" s="107"/>
      <c r="Y50" s="106"/>
      <c r="Z50" s="128"/>
      <c r="AA50" s="2"/>
      <c r="AB50" s="2"/>
      <c r="AC50" s="2"/>
      <c r="AD50" s="2"/>
      <c r="AE50" s="2"/>
      <c r="AF50" s="2"/>
      <c r="AG50" s="2"/>
    </row>
    <row r="51" spans="1:255">
      <c r="A51" s="95">
        <v>27</v>
      </c>
      <c r="B51" s="96"/>
      <c r="C51" s="97"/>
      <c r="D51" s="98"/>
      <c r="E51" s="99"/>
      <c r="F51" s="99" t="str">
        <f t="shared" si="11"/>
        <v/>
      </c>
      <c r="G51" s="99"/>
      <c r="H51" s="99" t="str">
        <f t="shared" si="12"/>
        <v/>
      </c>
      <c r="I51" s="99"/>
      <c r="J51" s="98" t="str">
        <f t="shared" si="13"/>
        <v/>
      </c>
      <c r="K51" s="99"/>
      <c r="L51" s="99"/>
      <c r="M51" s="99"/>
      <c r="N51" s="100" t="str">
        <f t="shared" si="14"/>
        <v/>
      </c>
      <c r="O51" s="101" t="e">
        <f t="shared" si="15"/>
        <v>#DIV/0!</v>
      </c>
      <c r="P51" s="102">
        <f t="shared" si="16"/>
        <v>0</v>
      </c>
      <c r="Q51" s="103">
        <f t="shared" si="18"/>
        <v>0</v>
      </c>
      <c r="R51" s="103">
        <f t="shared" si="17"/>
        <v>0</v>
      </c>
      <c r="S51" s="102" t="str">
        <f t="shared" si="21"/>
        <v/>
      </c>
      <c r="T51" s="103" t="str">
        <f t="shared" si="25"/>
        <v/>
      </c>
      <c r="U51" s="103" t="str">
        <f t="shared" si="23"/>
        <v/>
      </c>
      <c r="V51" s="104"/>
      <c r="W51" s="104"/>
      <c r="X51" s="107"/>
      <c r="Y51" s="106"/>
      <c r="Z51" s="128"/>
      <c r="AA51" s="2"/>
      <c r="AB51" s="2"/>
      <c r="AC51" s="2"/>
      <c r="AD51" s="2"/>
      <c r="AE51" s="2"/>
      <c r="AF51" s="2"/>
      <c r="AG51" s="2"/>
    </row>
    <row r="52" spans="1:255">
      <c r="A52" s="95">
        <v>28</v>
      </c>
      <c r="B52" s="96"/>
      <c r="C52" s="97"/>
      <c r="D52" s="98"/>
      <c r="E52" s="99"/>
      <c r="F52" s="99" t="str">
        <f t="shared" si="11"/>
        <v/>
      </c>
      <c r="G52" s="99"/>
      <c r="H52" s="99" t="str">
        <f t="shared" si="12"/>
        <v/>
      </c>
      <c r="I52" s="99"/>
      <c r="J52" s="98" t="str">
        <f t="shared" si="13"/>
        <v/>
      </c>
      <c r="K52" s="99"/>
      <c r="L52" s="99"/>
      <c r="M52" s="99"/>
      <c r="N52" s="100" t="str">
        <f t="shared" si="14"/>
        <v/>
      </c>
      <c r="O52" s="101" t="e">
        <f t="shared" si="15"/>
        <v>#DIV/0!</v>
      </c>
      <c r="P52" s="102">
        <f t="shared" si="16"/>
        <v>0</v>
      </c>
      <c r="Q52" s="103">
        <f t="shared" si="18"/>
        <v>0</v>
      </c>
      <c r="R52" s="103">
        <f t="shared" si="17"/>
        <v>0</v>
      </c>
      <c r="S52" s="102" t="str">
        <f t="shared" si="21"/>
        <v/>
      </c>
      <c r="T52" s="103" t="str">
        <f t="shared" si="25"/>
        <v/>
      </c>
      <c r="U52" s="103" t="str">
        <f t="shared" si="23"/>
        <v/>
      </c>
      <c r="V52" s="104"/>
      <c r="W52" s="104"/>
      <c r="X52" s="107"/>
      <c r="Y52" s="106"/>
      <c r="Z52" s="128"/>
      <c r="AA52" s="2"/>
      <c r="AB52" s="2"/>
      <c r="AC52" s="2"/>
      <c r="AD52" s="2"/>
      <c r="AE52" s="2"/>
      <c r="AF52" s="2"/>
      <c r="AG52" s="2"/>
    </row>
    <row r="53" spans="1:255">
      <c r="A53" s="95">
        <v>29</v>
      </c>
      <c r="B53" s="96"/>
      <c r="C53" s="97"/>
      <c r="D53" s="98"/>
      <c r="E53" s="99"/>
      <c r="F53" s="99" t="str">
        <f t="shared" si="11"/>
        <v/>
      </c>
      <c r="G53" s="99"/>
      <c r="H53" s="99" t="str">
        <f t="shared" si="12"/>
        <v/>
      </c>
      <c r="I53" s="99"/>
      <c r="J53" s="98" t="str">
        <f t="shared" si="13"/>
        <v/>
      </c>
      <c r="K53" s="99"/>
      <c r="L53" s="99"/>
      <c r="M53" s="99"/>
      <c r="N53" s="100" t="str">
        <f t="shared" si="14"/>
        <v/>
      </c>
      <c r="O53" s="101" t="e">
        <f t="shared" si="15"/>
        <v>#DIV/0!</v>
      </c>
      <c r="P53" s="102">
        <f t="shared" si="16"/>
        <v>0</v>
      </c>
      <c r="Q53" s="103">
        <f t="shared" si="18"/>
        <v>0</v>
      </c>
      <c r="R53" s="103">
        <f t="shared" si="17"/>
        <v>0</v>
      </c>
      <c r="S53" s="102" t="str">
        <f t="shared" si="21"/>
        <v/>
      </c>
      <c r="T53" s="103" t="str">
        <f t="shared" si="25"/>
        <v/>
      </c>
      <c r="U53" s="103" t="str">
        <f t="shared" si="23"/>
        <v/>
      </c>
      <c r="V53" s="104"/>
      <c r="W53" s="104"/>
      <c r="X53" s="107"/>
      <c r="Y53" s="106"/>
      <c r="Z53" s="128"/>
      <c r="AA53" s="2"/>
      <c r="AB53" s="2"/>
      <c r="AC53" s="2"/>
      <c r="AD53" s="2"/>
      <c r="AE53" s="2"/>
      <c r="AF53" s="2"/>
      <c r="AG53" s="2"/>
    </row>
    <row r="54" spans="1:255">
      <c r="A54" s="95"/>
      <c r="B54" s="96"/>
      <c r="C54" s="97"/>
      <c r="D54" s="98"/>
      <c r="E54" s="99"/>
      <c r="F54" s="99" t="str">
        <f t="shared" si="11"/>
        <v/>
      </c>
      <c r="G54" s="99"/>
      <c r="H54" s="99" t="str">
        <f t="shared" si="12"/>
        <v/>
      </c>
      <c r="I54" s="99"/>
      <c r="J54" s="98" t="str">
        <f t="shared" si="13"/>
        <v/>
      </c>
      <c r="K54" s="99"/>
      <c r="L54" s="99"/>
      <c r="M54" s="99"/>
      <c r="N54" s="100" t="str">
        <f t="shared" si="14"/>
        <v/>
      </c>
      <c r="O54" s="101" t="e">
        <f t="shared" si="15"/>
        <v>#DIV/0!</v>
      </c>
      <c r="P54" s="102">
        <f t="shared" si="16"/>
        <v>0</v>
      </c>
      <c r="Q54" s="103">
        <f t="shared" si="18"/>
        <v>0</v>
      </c>
      <c r="R54" s="103">
        <f t="shared" si="17"/>
        <v>0</v>
      </c>
      <c r="S54" s="102" t="str">
        <f>IF(W54&lt;&gt;"",IF(D54&lt;&gt;"",D54,($I$8-SUM($S$25:S50))*V54*W54/SUMPRODUCT($W54:$W$58,$V54:$V$58)),"")</f>
        <v/>
      </c>
      <c r="T54" s="103" t="str">
        <f>IF(W54&lt;&gt;"",IF(E54&lt;&gt;"",E54,($I$9-SUM($T$25:T50))*V54*W54/SUMPRODUCT($W54:$W$58,$V54:$V$58)),"")</f>
        <v/>
      </c>
      <c r="U54" s="103" t="str">
        <f>IF(W54&lt;&gt;"",IF($I$12&lt;&gt;"",IF(G54&lt;&gt;"",G54,($I$9/$I$12-SUM($U$25:U50))*V54*W54/SUMPRODUCT($W54:$W$58,$V54:$V$58)),""),"")</f>
        <v/>
      </c>
      <c r="V54" s="104"/>
      <c r="W54" s="104"/>
      <c r="X54" s="107"/>
      <c r="Y54" s="106"/>
      <c r="Z54" s="128"/>
      <c r="AA54" s="2"/>
      <c r="AB54" s="2"/>
      <c r="AC54" s="2"/>
      <c r="AD54" s="2"/>
      <c r="AE54" s="2"/>
      <c r="AF54" s="2"/>
      <c r="AG54" s="2"/>
    </row>
    <row r="55" spans="1:255">
      <c r="A55" s="95"/>
      <c r="B55" s="96"/>
      <c r="C55" s="97"/>
      <c r="D55" s="98"/>
      <c r="E55" s="99"/>
      <c r="F55" s="99" t="str">
        <f t="shared" si="11"/>
        <v/>
      </c>
      <c r="G55" s="99"/>
      <c r="H55" s="99" t="str">
        <f t="shared" si="12"/>
        <v/>
      </c>
      <c r="I55" s="99"/>
      <c r="J55" s="98" t="str">
        <f t="shared" si="13"/>
        <v/>
      </c>
      <c r="K55" s="99"/>
      <c r="L55" s="99"/>
      <c r="M55" s="99"/>
      <c r="N55" s="100" t="str">
        <f t="shared" si="14"/>
        <v/>
      </c>
      <c r="O55" s="101" t="e">
        <f t="shared" si="15"/>
        <v>#DIV/0!</v>
      </c>
      <c r="P55" s="102">
        <f t="shared" si="16"/>
        <v>0</v>
      </c>
      <c r="Q55" s="103">
        <f t="shared" si="18"/>
        <v>0</v>
      </c>
      <c r="R55" s="103">
        <f t="shared" si="17"/>
        <v>0</v>
      </c>
      <c r="S55" s="102" t="str">
        <f t="shared" ref="S55:S56" si="26">IF(W55&lt;&gt;"",IF(D55&lt;&gt;"",D55,($I$8-SUM($S$25:S54))*V55*W55/SUMPRODUCT($W55:$W$58,$V55:$V$58)),"")</f>
        <v/>
      </c>
      <c r="T55" s="103" t="str">
        <f t="shared" ref="T55:T56" si="27">IF(W55&lt;&gt;"",IF(E55&lt;&gt;"",E55,($I$9-SUM($T$25:T54))*V55*W55/SUMPRODUCT($W55:$W$58,$V55:$V$58)),"")</f>
        <v/>
      </c>
      <c r="U55" s="103" t="str">
        <f t="shared" ref="U55:U56" si="28">IF(W55&lt;&gt;"",IF($I$12&lt;&gt;"",IF(G55&lt;&gt;"",G55,($I$9/$I$12-SUM($U$25:U54))*V55*W55/SUMPRODUCT($W55:$W$58,$V55:$V$58)),""),"")</f>
        <v/>
      </c>
      <c r="V55" s="104"/>
      <c r="W55" s="104"/>
      <c r="X55" s="107"/>
      <c r="Y55" s="106"/>
      <c r="Z55" s="128"/>
      <c r="AA55" s="2"/>
      <c r="AB55" s="2"/>
      <c r="AC55" s="2"/>
      <c r="AD55" s="2"/>
      <c r="AE55" s="2"/>
      <c r="AF55" s="2"/>
      <c r="AG55" s="2"/>
    </row>
    <row r="56" spans="1:255">
      <c r="A56" s="95"/>
      <c r="B56" s="96"/>
      <c r="C56" s="97"/>
      <c r="D56" s="98"/>
      <c r="E56" s="99"/>
      <c r="F56" s="99" t="str">
        <f t="shared" si="11"/>
        <v/>
      </c>
      <c r="G56" s="99"/>
      <c r="H56" s="99" t="str">
        <f t="shared" si="12"/>
        <v/>
      </c>
      <c r="I56" s="99"/>
      <c r="J56" s="98" t="str">
        <f t="shared" si="13"/>
        <v/>
      </c>
      <c r="K56" s="99"/>
      <c r="L56" s="99"/>
      <c r="M56" s="99"/>
      <c r="N56" s="100" t="str">
        <f t="shared" si="14"/>
        <v/>
      </c>
      <c r="O56" s="101" t="e">
        <f t="shared" si="15"/>
        <v>#DIV/0!</v>
      </c>
      <c r="P56" s="102">
        <f t="shared" si="16"/>
        <v>0</v>
      </c>
      <c r="Q56" s="103">
        <f t="shared" si="18"/>
        <v>0</v>
      </c>
      <c r="R56" s="103">
        <f t="shared" si="17"/>
        <v>0</v>
      </c>
      <c r="S56" s="102" t="str">
        <f t="shared" si="26"/>
        <v/>
      </c>
      <c r="T56" s="103" t="str">
        <f t="shared" si="27"/>
        <v/>
      </c>
      <c r="U56" s="103" t="str">
        <f t="shared" si="28"/>
        <v/>
      </c>
      <c r="V56" s="104"/>
      <c r="W56" s="104"/>
      <c r="X56" s="107"/>
      <c r="Y56" s="106"/>
      <c r="Z56" s="128"/>
      <c r="AA56" s="2"/>
      <c r="AB56" s="2"/>
      <c r="AC56" s="2"/>
      <c r="AD56" s="2"/>
      <c r="AE56" s="2"/>
      <c r="AF56" s="2"/>
      <c r="AG56" s="2"/>
    </row>
    <row r="57" spans="1:255">
      <c r="A57" s="275"/>
      <c r="B57" s="609"/>
      <c r="C57" s="610"/>
      <c r="D57" s="115">
        <f>SUM(D25:D56)</f>
        <v>1265396.08</v>
      </c>
      <c r="E57" s="115">
        <f>SUM(E25:E56)</f>
        <v>186</v>
      </c>
      <c r="F57" s="115">
        <f t="shared" si="11"/>
        <v>6803.2047311827964</v>
      </c>
      <c r="G57" s="115">
        <f>SUM(G25:G56)</f>
        <v>104</v>
      </c>
      <c r="H57" s="115">
        <f t="shared" si="12"/>
        <v>12167.27</v>
      </c>
      <c r="I57" s="115">
        <f>SUM(I25:I56)</f>
        <v>906.5</v>
      </c>
      <c r="J57" s="114">
        <f t="shared" si="13"/>
        <v>1.7884615384615385</v>
      </c>
      <c r="K57" s="115">
        <f>SUM(K25:K56)</f>
        <v>376403</v>
      </c>
      <c r="L57" s="115">
        <f>SUM(L25:L56)</f>
        <v>56655</v>
      </c>
      <c r="M57" s="115">
        <f>SUM(M25:M56)</f>
        <v>91714</v>
      </c>
      <c r="N57" s="130">
        <f t="shared" si="14"/>
        <v>0.11472697186982901</v>
      </c>
      <c r="O57" s="117">
        <f t="shared" si="15"/>
        <v>0.82921047139744553</v>
      </c>
      <c r="P57" s="119">
        <f>SUM(P25:P56)</f>
        <v>1526025.2054794519</v>
      </c>
      <c r="Q57" s="119">
        <f>SUM(Q25:Q55)</f>
        <v>254.33753424657527</v>
      </c>
      <c r="R57" s="119">
        <f>SUM(R25:R55)</f>
        <v>141.29863013698628</v>
      </c>
      <c r="S57" s="119">
        <f>SUM(S25:S56)</f>
        <v>1526025.2054794522</v>
      </c>
      <c r="T57" s="119">
        <f>SUM(T25:T55)</f>
        <v>254.33753424657536</v>
      </c>
      <c r="U57" s="119">
        <f>SUM(U25:U55)</f>
        <v>141.2986301369863</v>
      </c>
      <c r="V57" s="131"/>
      <c r="W57" s="131"/>
      <c r="AE57" s="2"/>
      <c r="AF57" s="2"/>
      <c r="AG57" s="2"/>
    </row>
  </sheetData>
  <mergeCells count="29">
    <mergeCell ref="P22:W22"/>
    <mergeCell ref="B57:C57"/>
    <mergeCell ref="F18:H18"/>
    <mergeCell ref="F19:H19"/>
    <mergeCell ref="F20:H20"/>
    <mergeCell ref="B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67" priority="233" operator="lessThan">
      <formula>0</formula>
    </cfRule>
    <cfRule type="cellIs" dxfId="66" priority="231" operator="greaterThan">
      <formula>0</formula>
    </cfRule>
  </conditionalFormatting>
  <conditionalFormatting sqref="J25:J43">
    <cfRule type="cellIs" dxfId="65" priority="21" operator="lessThan">
      <formula>$I$12</formula>
    </cfRule>
  </conditionalFormatting>
  <conditionalFormatting sqref="J25:J49">
    <cfRule type="cellIs" dxfId="64" priority="22" operator="greaterThan">
      <formula>$I$12</formula>
    </cfRule>
  </conditionalFormatting>
  <conditionalFormatting sqref="J28:J56">
    <cfRule type="cellIs" dxfId="63" priority="31" operator="greaterThan">
      <formula>$I$12</formula>
    </cfRule>
    <cfRule type="cellIs" dxfId="62" priority="30" operator="lessThan">
      <formula>$I$12</formula>
    </cfRule>
  </conditionalFormatting>
  <conditionalFormatting sqref="J36">
    <cfRule type="cellIs" dxfId="61" priority="1869" operator="lessThan">
      <formula>$I$12</formula>
    </cfRule>
    <cfRule type="cellIs" dxfId="60" priority="1866" operator="greaterThan">
      <formula>$I$12</formula>
    </cfRule>
    <cfRule type="cellIs" dxfId="59" priority="1854" operator="lessThan">
      <formula>$I$12</formula>
    </cfRule>
  </conditionalFormatting>
  <conditionalFormatting sqref="J39:J40">
    <cfRule type="cellIs" dxfId="58" priority="1826" operator="lessThan">
      <formula>$I$12</formula>
    </cfRule>
  </conditionalFormatting>
  <conditionalFormatting sqref="J44:J49">
    <cfRule type="cellIs" dxfId="57" priority="240" operator="lessThan">
      <formula>$I$12</formula>
    </cfRule>
  </conditionalFormatting>
  <conditionalFormatting sqref="J51:J53">
    <cfRule type="cellIs" dxfId="56" priority="1853" operator="lessThan">
      <formula>$I$12</formula>
    </cfRule>
  </conditionalFormatting>
  <conditionalFormatting sqref="K8">
    <cfRule type="cellIs" dxfId="55" priority="2" operator="lessThan">
      <formula>$K$17</formula>
    </cfRule>
    <cfRule type="cellIs" dxfId="54" priority="1" operator="greaterThan">
      <formula>$K$17</formula>
    </cfRule>
  </conditionalFormatting>
  <conditionalFormatting sqref="K10:K12 K15">
    <cfRule type="cellIs" dxfId="53" priority="234" operator="lessThan">
      <formula>1</formula>
    </cfRule>
    <cfRule type="cellIs" dxfId="52" priority="230" operator="greaterThan">
      <formula>1</formula>
    </cfRule>
  </conditionalFormatting>
  <conditionalFormatting sqref="K13">
    <cfRule type="cellIs" dxfId="51" priority="227" operator="greaterThan">
      <formula>$K$14</formula>
    </cfRule>
    <cfRule type="cellIs" dxfId="50" priority="226" operator="lessThan">
      <formula>$K$14</formula>
    </cfRule>
  </conditionalFormatting>
  <conditionalFormatting sqref="M8:M15">
    <cfRule type="cellIs" dxfId="49" priority="229" operator="greaterThan">
      <formula>1</formula>
    </cfRule>
    <cfRule type="cellIs" dxfId="48" priority="228" operator="lessThan">
      <formula>1</formula>
    </cfRule>
  </conditionalFormatting>
  <conditionalFormatting sqref="N25:N43">
    <cfRule type="cellIs" dxfId="47" priority="18" operator="between">
      <formula>0.2</formula>
      <formula>0.25</formula>
    </cfRule>
  </conditionalFormatting>
  <conditionalFormatting sqref="N25:N49">
    <cfRule type="cellIs" dxfId="46" priority="19" operator="greaterThanOrEqual">
      <formula>0.25</formula>
    </cfRule>
  </conditionalFormatting>
  <conditionalFormatting sqref="N25:N56">
    <cfRule type="cellIs" dxfId="45" priority="20" operator="lessThan">
      <formula>0.2</formula>
    </cfRule>
  </conditionalFormatting>
  <conditionalFormatting sqref="N28:N38">
    <cfRule type="cellIs" dxfId="44" priority="27" operator="between">
      <formula>0.2</formula>
      <formula>0.25</formula>
    </cfRule>
    <cfRule type="cellIs" dxfId="43" priority="28" operator="greaterThanOrEqual">
      <formula>0.25</formula>
    </cfRule>
  </conditionalFormatting>
  <conditionalFormatting sqref="N36">
    <cfRule type="cellIs" dxfId="42" priority="1858" operator="between">
      <formula>0.2</formula>
      <formula>0.25</formula>
    </cfRule>
    <cfRule type="cellIs" dxfId="41" priority="1873" operator="between">
      <formula>0.2</formula>
      <formula>0.25</formula>
    </cfRule>
    <cfRule type="cellIs" dxfId="40" priority="1872" operator="greaterThanOrEqual">
      <formula>0.25</formula>
    </cfRule>
  </conditionalFormatting>
  <conditionalFormatting sqref="N39:N40">
    <cfRule type="cellIs" dxfId="39" priority="1832" operator="between">
      <formula>0.2</formula>
      <formula>0.25</formula>
    </cfRule>
  </conditionalFormatting>
  <conditionalFormatting sqref="N39:N56">
    <cfRule type="cellIs" dxfId="38" priority="50" operator="greaterThanOrEqual">
      <formula>0.25</formula>
    </cfRule>
  </conditionalFormatting>
  <conditionalFormatting sqref="N41:N56">
    <cfRule type="cellIs" dxfId="37" priority="49" operator="between">
      <formula>0.2</formula>
      <formula>0.25</formula>
    </cfRule>
  </conditionalFormatting>
  <conditionalFormatting sqref="N44:N49">
    <cfRule type="cellIs" dxfId="36" priority="241" operator="between">
      <formula>0.2</formula>
      <formula>0.25</formula>
    </cfRule>
  </conditionalFormatting>
  <conditionalFormatting sqref="N51:N53">
    <cfRule type="cellIs" dxfId="35" priority="1846" operator="between">
      <formula>0.2</formula>
      <formula>0.25</formula>
    </cfRule>
  </conditionalFormatting>
  <conditionalFormatting sqref="O25:O43">
    <cfRule type="cellIs" dxfId="34" priority="16" operator="between">
      <formula>0.85</formula>
      <formula>1</formula>
    </cfRule>
    <cfRule type="cellIs" dxfId="33" priority="13" operator="lessThan">
      <formula>0.9</formula>
    </cfRule>
    <cfRule type="cellIs" dxfId="32" priority="12" operator="between">
      <formula>0.9001</formula>
      <formula>0.9999</formula>
    </cfRule>
  </conditionalFormatting>
  <conditionalFormatting sqref="O25:O49">
    <cfRule type="cellIs" dxfId="31" priority="17" operator="between">
      <formula>0.01</formula>
      <formula>0.99</formula>
    </cfRule>
  </conditionalFormatting>
  <conditionalFormatting sqref="O25:O56">
    <cfRule type="cellIs" dxfId="30" priority="15" operator="greaterThan">
      <formula>100</formula>
    </cfRule>
    <cfRule type="cellIs" dxfId="29" priority="14" operator="greaterThan">
      <formula>1</formula>
    </cfRule>
  </conditionalFormatting>
  <conditionalFormatting sqref="O28:O38">
    <cfRule type="cellIs" dxfId="28" priority="1865" operator="lessThan">
      <formula>0.9</formula>
    </cfRule>
    <cfRule type="cellIs" dxfId="27" priority="1868" operator="between">
      <formula>0.9001</formula>
      <formula>0.9999</formula>
    </cfRule>
    <cfRule type="cellIs" dxfId="26" priority="26" operator="between">
      <formula>0.01</formula>
      <formula>0.99</formula>
    </cfRule>
    <cfRule type="cellIs" dxfId="25" priority="25" operator="between">
      <formula>0.85</formula>
      <formula>1</formula>
    </cfRule>
  </conditionalFormatting>
  <conditionalFormatting sqref="O36">
    <cfRule type="cellIs" dxfId="24" priority="1879" operator="between">
      <formula>0.9001</formula>
      <formula>0.9999</formula>
    </cfRule>
    <cfRule type="cellIs" dxfId="23" priority="1860" operator="between">
      <formula>0.85</formula>
      <formula>1</formula>
    </cfRule>
    <cfRule type="cellIs" dxfId="22" priority="1878" operator="lessThan">
      <formula>0.9</formula>
    </cfRule>
    <cfRule type="cellIs" dxfId="21" priority="1875" operator="between">
      <formula>0.85</formula>
      <formula>1</formula>
    </cfRule>
    <cfRule type="cellIs" dxfId="20" priority="1874" operator="between">
      <formula>0.01</formula>
      <formula>0.99</formula>
    </cfRule>
  </conditionalFormatting>
  <conditionalFormatting sqref="O39:O40">
    <cfRule type="cellIs" dxfId="19" priority="1836" operator="between">
      <formula>0.85</formula>
      <formula>1</formula>
    </cfRule>
    <cfRule type="cellIs" dxfId="18" priority="1842" operator="lessThan">
      <formula>0.9</formula>
    </cfRule>
    <cfRule type="cellIs" dxfId="17" priority="1844" operator="between">
      <formula>0.9001</formula>
      <formula>0.9999</formula>
    </cfRule>
  </conditionalFormatting>
  <conditionalFormatting sqref="O39:O56">
    <cfRule type="cellIs" dxfId="16" priority="48" operator="between">
      <formula>0.01</formula>
      <formula>0.99</formula>
    </cfRule>
  </conditionalFormatting>
  <conditionalFormatting sqref="O41:O56">
    <cfRule type="cellIs" dxfId="15" priority="43" operator="between">
      <formula>0.9001</formula>
      <formula>0.9999</formula>
    </cfRule>
    <cfRule type="cellIs" dxfId="14" priority="44" operator="lessThan">
      <formula>0.9</formula>
    </cfRule>
    <cfRule type="cellIs" dxfId="13" priority="47" operator="between">
      <formula>0.85</formula>
      <formula>1</formula>
    </cfRule>
  </conditionalFormatting>
  <conditionalFormatting sqref="O44:O49">
    <cfRule type="cellIs" dxfId="12" priority="243" operator="lessThan">
      <formula>0.9</formula>
    </cfRule>
    <cfRule type="cellIs" dxfId="11" priority="244" operator="between">
      <formula>0.9001</formula>
      <formula>0.9999</formula>
    </cfRule>
    <cfRule type="cellIs" dxfId="10" priority="242" operator="between">
      <formula>0.85</formula>
      <formula>1</formula>
    </cfRule>
  </conditionalFormatting>
  <conditionalFormatting sqref="O51:O53">
    <cfRule type="cellIs" dxfId="9" priority="1850" operator="between">
      <formula>0.9001</formula>
      <formula>0.9999</formula>
    </cfRule>
    <cfRule type="cellIs" dxfId="8" priority="1849" operator="lessThan">
      <formula>0.9</formula>
    </cfRule>
    <cfRule type="cellIs" dxfId="7" priority="1848" operator="between">
      <formula>0.85</formula>
      <formula>1</formula>
    </cfRule>
  </conditionalFormatting>
  <conditionalFormatting sqref="P10:Q10">
    <cfRule type="cellIs" dxfId="6" priority="232" operator="lessThan">
      <formula>0</formula>
    </cfRule>
  </conditionalFormatting>
  <conditionalFormatting sqref="T13 W13 T19">
    <cfRule type="cellIs" dxfId="5" priority="5" operator="greaterThan">
      <formula>0.95</formula>
    </cfRule>
    <cfRule type="cellIs" dxfId="4" priority="4" operator="lessThan">
      <formula>0.9</formula>
    </cfRule>
    <cfRule type="cellIs" dxfId="3" priority="3" operator="between">
      <formula>0.9</formula>
      <formula>0.95</formula>
    </cfRule>
  </conditionalFormatting>
  <conditionalFormatting sqref="W13">
    <cfRule type="cellIs" dxfId="2" priority="6" operator="lessThan">
      <formula>1</formula>
    </cfRule>
    <cfRule type="cellIs" dxfId="1" priority="8" operator="greaterThan">
      <formula>"100;"</formula>
    </cfRule>
    <cfRule type="cellIs" dxfId="0" priority="7" operator="greaterThan">
      <formula>1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5"/>
  <sheetViews>
    <sheetView zoomScale="93" workbookViewId="0">
      <selection activeCell="M5" sqref="M5"/>
    </sheetView>
  </sheetViews>
  <sheetFormatPr baseColWidth="10" defaultColWidth="11.5" defaultRowHeight="15"/>
  <cols>
    <col min="1" max="1" width="2.5" style="3" customWidth="1"/>
    <col min="2" max="2" width="11.83203125" style="3" customWidth="1"/>
    <col min="3" max="3" width="17.33203125" style="3" customWidth="1"/>
    <col min="4" max="4" width="11.33203125" style="3" customWidth="1"/>
    <col min="5" max="5" width="11.6640625" style="3" customWidth="1"/>
    <col min="6" max="6" width="11.83203125" style="3" customWidth="1"/>
    <col min="7" max="7" width="14" style="3" customWidth="1"/>
    <col min="8" max="8" width="15.1640625" style="3" customWidth="1"/>
    <col min="9" max="9" width="12" style="3" customWidth="1"/>
    <col min="10" max="10" width="17.5" style="3" customWidth="1"/>
    <col min="11" max="11" width="16.5" style="3" customWidth="1"/>
    <col min="12" max="12" width="11.1640625" style="3" customWidth="1"/>
    <col min="13" max="13" width="13.33203125" style="3" customWidth="1"/>
    <col min="14" max="14" width="13.83203125" style="3" customWidth="1"/>
  </cols>
  <sheetData>
    <row r="1" spans="1:15" ht="17" customHeight="1">
      <c r="A1" s="611" t="str">
        <f>График!B1</f>
        <v>Сентябрь, 2025</v>
      </c>
      <c r="B1" s="612"/>
      <c r="C1" s="612"/>
      <c r="D1" s="613"/>
      <c r="E1" s="276"/>
      <c r="F1" s="277"/>
      <c r="G1" s="277"/>
      <c r="H1" s="277"/>
      <c r="I1" s="277"/>
      <c r="J1" s="277"/>
      <c r="K1" s="277"/>
      <c r="L1" s="277"/>
      <c r="M1" s="277"/>
      <c r="N1" s="278"/>
    </row>
    <row r="2" spans="1:15" ht="18" customHeight="1">
      <c r="A2" s="614" t="str">
        <f>График!B3</f>
        <v>ул. Набережная Ленина, 18</v>
      </c>
      <c r="B2" s="615"/>
      <c r="C2" s="615"/>
      <c r="D2" s="279" t="str">
        <f>График!B4</f>
        <v>GL-0005</v>
      </c>
      <c r="E2" s="280"/>
      <c r="F2" s="281"/>
      <c r="G2" s="281"/>
      <c r="H2" s="281"/>
      <c r="I2" s="281"/>
      <c r="J2" s="281"/>
      <c r="K2" s="281"/>
      <c r="L2" s="281"/>
      <c r="M2" s="281"/>
      <c r="N2" s="282"/>
    </row>
    <row r="3" spans="1:15" ht="75">
      <c r="A3" s="616" t="s">
        <v>26</v>
      </c>
      <c r="B3" s="617"/>
      <c r="C3" s="617"/>
      <c r="D3" s="283" t="s">
        <v>68</v>
      </c>
      <c r="E3" s="283" t="s">
        <v>69</v>
      </c>
      <c r="F3" s="284" t="s">
        <v>70</v>
      </c>
      <c r="G3" s="285" t="s">
        <v>71</v>
      </c>
      <c r="H3" s="286" t="s">
        <v>72</v>
      </c>
      <c r="I3" s="287" t="s">
        <v>73</v>
      </c>
      <c r="J3" s="288" t="s">
        <v>74</v>
      </c>
      <c r="K3" s="289" t="s">
        <v>75</v>
      </c>
      <c r="L3" s="290" t="s">
        <v>76</v>
      </c>
      <c r="M3" s="291" t="s">
        <v>77</v>
      </c>
      <c r="N3" s="292" t="s">
        <v>78</v>
      </c>
    </row>
    <row r="4" spans="1:15" ht="19" customHeight="1">
      <c r="A4" s="618" t="str">
        <f>График!B29</f>
        <v>Рогалевич Ирина</v>
      </c>
      <c r="B4" s="619"/>
      <c r="C4" s="619"/>
      <c r="D4" s="293">
        <f>19140*2</f>
        <v>38280</v>
      </c>
      <c r="E4" s="294"/>
      <c r="F4" s="295">
        <f>H8+H9+G16+G24+L24</f>
        <v>38344.270799999998</v>
      </c>
      <c r="G4" s="296">
        <f>D11</f>
        <v>30650</v>
      </c>
      <c r="H4" s="297">
        <f>D18</f>
        <v>112141.86</v>
      </c>
      <c r="I4" s="298">
        <f>L18</f>
        <v>35094.133334063932</v>
      </c>
      <c r="J4" s="299">
        <f>L11</f>
        <v>2310</v>
      </c>
      <c r="K4" s="300">
        <f>H4+J4+G4+F4+I4</f>
        <v>218540.26413406391</v>
      </c>
      <c r="L4" s="301">
        <f>C8+C9</f>
        <v>5720</v>
      </c>
      <c r="M4" s="302">
        <f>K4-L4-D4-E4</f>
        <v>174540.26413406391</v>
      </c>
      <c r="N4" s="303"/>
    </row>
    <row r="5" spans="1:15">
      <c r="A5" s="304"/>
      <c r="B5" s="305"/>
      <c r="C5" s="306"/>
      <c r="D5" s="306"/>
      <c r="E5" s="306"/>
      <c r="F5" s="306"/>
      <c r="G5" s="306"/>
      <c r="H5" s="306"/>
      <c r="I5" s="306"/>
      <c r="J5" s="306"/>
      <c r="K5" s="307"/>
      <c r="L5" s="306"/>
      <c r="M5" s="308"/>
      <c r="N5" s="309"/>
    </row>
    <row r="6" spans="1:15">
      <c r="A6" s="304"/>
      <c r="B6" s="305" t="s">
        <v>76</v>
      </c>
      <c r="C6" s="306"/>
      <c r="D6" s="306"/>
      <c r="E6" s="306"/>
      <c r="F6" s="306"/>
      <c r="G6" s="305" t="s">
        <v>79</v>
      </c>
      <c r="H6" s="306"/>
      <c r="I6" s="306"/>
      <c r="J6" s="306"/>
      <c r="K6" s="306"/>
      <c r="L6" s="306"/>
      <c r="M6" s="308"/>
      <c r="N6" s="309"/>
    </row>
    <row r="7" spans="1:15" ht="20" customHeight="1">
      <c r="A7" s="310"/>
      <c r="B7" s="311" t="s">
        <v>27</v>
      </c>
      <c r="C7" s="311" t="s">
        <v>80</v>
      </c>
      <c r="D7" s="620" t="s">
        <v>81</v>
      </c>
      <c r="E7" s="620"/>
      <c r="F7" s="312"/>
      <c r="G7" s="311" t="s">
        <v>27</v>
      </c>
      <c r="H7" s="620" t="s">
        <v>80</v>
      </c>
      <c r="I7" s="620"/>
      <c r="J7" s="620" t="s">
        <v>81</v>
      </c>
      <c r="K7" s="620"/>
      <c r="L7" s="312"/>
      <c r="M7" s="313"/>
      <c r="N7" s="314"/>
    </row>
    <row r="8" spans="1:15" ht="20" customHeight="1">
      <c r="A8" s="304"/>
      <c r="B8" s="315">
        <v>45930</v>
      </c>
      <c r="C8" s="316">
        <f>44000-D4</f>
        <v>5720</v>
      </c>
      <c r="D8" s="621" t="s">
        <v>82</v>
      </c>
      <c r="E8" s="621"/>
      <c r="F8" s="306"/>
      <c r="G8" s="315">
        <v>45930</v>
      </c>
      <c r="H8" s="622">
        <f>'Ялта, Ленина, 18'!J8*0.01</f>
        <v>31344.270800000002</v>
      </c>
      <c r="I8" s="622"/>
      <c r="J8" s="621" t="s">
        <v>83</v>
      </c>
      <c r="K8" s="621"/>
      <c r="L8" s="306"/>
      <c r="M8" s="308"/>
      <c r="N8" s="309"/>
    </row>
    <row r="9" spans="1:15" ht="19" customHeight="1">
      <c r="A9" s="304"/>
      <c r="B9" s="315"/>
      <c r="C9" s="316"/>
      <c r="D9" s="621"/>
      <c r="E9" s="621"/>
      <c r="F9" s="306"/>
      <c r="G9" s="315">
        <v>45930</v>
      </c>
      <c r="H9" s="622">
        <v>7000</v>
      </c>
      <c r="I9" s="622"/>
      <c r="J9" s="621" t="s">
        <v>124</v>
      </c>
      <c r="K9" s="621"/>
      <c r="L9" s="306"/>
      <c r="M9" s="308"/>
      <c r="N9" s="309"/>
    </row>
    <row r="10" spans="1:15">
      <c r="A10" s="304"/>
      <c r="B10" s="305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8"/>
      <c r="N10" s="309"/>
    </row>
    <row r="11" spans="1:15">
      <c r="A11" s="318" t="s">
        <v>84</v>
      </c>
      <c r="B11" s="319"/>
      <c r="C11" s="319"/>
      <c r="D11" s="320">
        <f>G15</f>
        <v>30650</v>
      </c>
      <c r="E11" s="321"/>
      <c r="F11" s="322"/>
      <c r="G11" s="319"/>
      <c r="H11" s="319"/>
      <c r="I11" s="323" t="s">
        <v>74</v>
      </c>
      <c r="J11" s="319"/>
      <c r="K11" s="319"/>
      <c r="L11" s="324">
        <f>L15+L16</f>
        <v>2310</v>
      </c>
      <c r="M11" s="322"/>
      <c r="N11" s="325"/>
    </row>
    <row r="12" spans="1:15">
      <c r="A12" s="304"/>
      <c r="B12" s="305"/>
      <c r="C12" s="306"/>
      <c r="D12" s="326"/>
      <c r="E12" s="326"/>
      <c r="F12" s="306"/>
      <c r="G12" s="306"/>
      <c r="H12" s="306"/>
      <c r="I12" s="306"/>
      <c r="J12" s="306"/>
      <c r="K12" s="308"/>
      <c r="L12" s="308"/>
      <c r="M12" s="308"/>
      <c r="N12" s="309"/>
    </row>
    <row r="13" spans="1:15">
      <c r="A13" s="327"/>
      <c r="B13" s="328" t="s">
        <v>84</v>
      </c>
      <c r="C13" s="326"/>
      <c r="D13" s="326"/>
      <c r="E13" s="326"/>
      <c r="F13" s="326"/>
      <c r="G13" s="326"/>
      <c r="H13" s="326"/>
      <c r="I13" s="326"/>
      <c r="J13" s="623" t="s">
        <v>74</v>
      </c>
      <c r="K13" s="623"/>
      <c r="L13" s="329"/>
      <c r="M13" s="329"/>
      <c r="N13" s="330"/>
    </row>
    <row r="14" spans="1:15" ht="24">
      <c r="A14" s="327"/>
      <c r="B14" s="331" t="s">
        <v>85</v>
      </c>
      <c r="C14" s="331" t="s">
        <v>86</v>
      </c>
      <c r="D14" s="331" t="s">
        <v>87</v>
      </c>
      <c r="E14" s="331" t="s">
        <v>88</v>
      </c>
      <c r="F14" s="331" t="s">
        <v>89</v>
      </c>
      <c r="G14" s="331" t="s">
        <v>90</v>
      </c>
      <c r="H14" s="326"/>
      <c r="I14" s="326"/>
      <c r="J14" s="331" t="s">
        <v>86</v>
      </c>
      <c r="K14" s="331" t="s">
        <v>59</v>
      </c>
      <c r="L14" s="624" t="s">
        <v>91</v>
      </c>
      <c r="M14" s="624"/>
      <c r="N14" s="330"/>
      <c r="O14" s="332"/>
    </row>
    <row r="15" spans="1:15" s="653" customFormat="1" ht="19" customHeight="1">
      <c r="A15" s="650"/>
      <c r="B15" s="333">
        <f>График!AI29</f>
        <v>30</v>
      </c>
      <c r="C15" s="651" t="str">
        <f>A2</f>
        <v>ул. Набережная Ленина, 18</v>
      </c>
      <c r="D15" s="651" t="str">
        <f>График!C29</f>
        <v>УМ</v>
      </c>
      <c r="E15" s="335">
        <f>График!AJ29</f>
        <v>306.5</v>
      </c>
      <c r="F15" s="336">
        <v>100</v>
      </c>
      <c r="G15" s="654">
        <f t="shared" ref="G15:G16" si="0">E15*F15</f>
        <v>30650</v>
      </c>
      <c r="H15" s="383"/>
      <c r="I15" s="383"/>
      <c r="J15" s="651" t="str">
        <f>График!B3</f>
        <v>ул. Набережная Ленина, 18</v>
      </c>
      <c r="K15" s="339">
        <f>'Ялта, Ленина, 18'!K8</f>
        <v>0.9041268835814007</v>
      </c>
      <c r="L15" s="625">
        <v>2310</v>
      </c>
      <c r="M15" s="625"/>
      <c r="N15" s="652"/>
    </row>
    <row r="16" spans="1:15" ht="19" customHeight="1">
      <c r="A16" s="327"/>
      <c r="B16" s="331"/>
      <c r="C16" s="340"/>
      <c r="D16" s="334"/>
      <c r="E16" s="341"/>
      <c r="F16" s="336"/>
      <c r="G16" s="337">
        <f t="shared" si="0"/>
        <v>0</v>
      </c>
      <c r="H16" s="326"/>
      <c r="I16" s="326"/>
      <c r="J16" s="317"/>
      <c r="K16" s="342"/>
      <c r="L16" s="626"/>
      <c r="M16" s="626"/>
      <c r="N16" s="330"/>
    </row>
    <row r="17" spans="1:14">
      <c r="A17" s="327"/>
      <c r="B17" s="326"/>
      <c r="C17" s="344"/>
      <c r="D17" s="306"/>
      <c r="E17" s="345"/>
      <c r="F17" s="345"/>
      <c r="G17" s="346"/>
      <c r="H17" s="326"/>
      <c r="I17" s="326"/>
      <c r="J17" s="326"/>
      <c r="K17" s="326"/>
      <c r="L17" s="329"/>
      <c r="M17" s="329"/>
      <c r="N17" s="330"/>
    </row>
    <row r="18" spans="1:14">
      <c r="A18" s="318" t="s">
        <v>93</v>
      </c>
      <c r="B18" s="319"/>
      <c r="C18" s="319"/>
      <c r="D18" s="347">
        <f>G23</f>
        <v>112141.86</v>
      </c>
      <c r="E18" s="348"/>
      <c r="F18" s="322"/>
      <c r="G18" s="322"/>
      <c r="H18" s="322"/>
      <c r="I18" s="319" t="s">
        <v>73</v>
      </c>
      <c r="J18" s="322"/>
      <c r="K18" s="322"/>
      <c r="L18" s="349">
        <f>N23</f>
        <v>35094.133334063932</v>
      </c>
      <c r="M18" s="322"/>
      <c r="N18" s="325"/>
    </row>
    <row r="19" spans="1:14">
      <c r="A19" s="350"/>
      <c r="B19" s="305"/>
      <c r="C19" s="308"/>
      <c r="D19" s="308"/>
      <c r="E19" s="308"/>
      <c r="F19" s="308"/>
      <c r="G19" s="308"/>
      <c r="H19" s="308"/>
      <c r="I19" s="308"/>
      <c r="J19" s="308"/>
      <c r="K19" s="351"/>
      <c r="L19" s="134"/>
      <c r="M19" s="134"/>
      <c r="N19" s="352"/>
    </row>
    <row r="20" spans="1:14">
      <c r="A20" s="350"/>
      <c r="B20" s="306"/>
      <c r="C20" s="305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9"/>
    </row>
    <row r="21" spans="1:14">
      <c r="A21" s="350"/>
      <c r="B21" s="305" t="s">
        <v>94</v>
      </c>
      <c r="C21" s="308"/>
      <c r="D21" s="308"/>
      <c r="E21" s="308"/>
      <c r="F21" s="308"/>
      <c r="G21" s="308"/>
      <c r="H21" s="308"/>
      <c r="I21" s="353" t="s">
        <v>95</v>
      </c>
      <c r="J21" s="354"/>
      <c r="K21" s="355"/>
      <c r="L21" s="355"/>
      <c r="M21" s="355"/>
      <c r="N21" s="356"/>
    </row>
    <row r="22" spans="1:14" ht="36">
      <c r="A22" s="357"/>
      <c r="B22" s="331" t="s">
        <v>26</v>
      </c>
      <c r="C22" s="624" t="s">
        <v>86</v>
      </c>
      <c r="D22" s="624"/>
      <c r="E22" s="331" t="s">
        <v>96</v>
      </c>
      <c r="F22" s="331" t="s">
        <v>97</v>
      </c>
      <c r="G22" s="331" t="s">
        <v>98</v>
      </c>
      <c r="H22" s="326"/>
      <c r="I22" s="331" t="s">
        <v>26</v>
      </c>
      <c r="J22" s="331" t="s">
        <v>86</v>
      </c>
      <c r="K22" s="331" t="s">
        <v>99</v>
      </c>
      <c r="L22" s="331" t="s">
        <v>100</v>
      </c>
      <c r="M22" s="331" t="s">
        <v>96</v>
      </c>
      <c r="N22" s="358" t="s">
        <v>98</v>
      </c>
    </row>
    <row r="23" spans="1:14">
      <c r="A23" s="350"/>
      <c r="B23" s="334" t="str">
        <f>A4</f>
        <v>Рогалевич Ирина</v>
      </c>
      <c r="C23" s="627" t="str">
        <f>A2</f>
        <v>ул. Набережная Ленина, 18</v>
      </c>
      <c r="D23" s="627"/>
      <c r="E23" s="339">
        <v>0.06</v>
      </c>
      <c r="F23" s="316">
        <f>'Рогалевич И. Е. '!J8</f>
        <v>1869031</v>
      </c>
      <c r="G23" s="359">
        <f t="shared" ref="G23:G24" si="1">F23*E23</f>
        <v>112141.86</v>
      </c>
      <c r="H23" s="306"/>
      <c r="I23" s="360" t="str">
        <f>B23</f>
        <v>Рогалевич Ирина</v>
      </c>
      <c r="J23" s="361" t="str">
        <f>C23</f>
        <v>ул. Набережная Ленина, 18</v>
      </c>
      <c r="K23" s="361">
        <f>E15</f>
        <v>306.5</v>
      </c>
      <c r="L23" s="362">
        <f>График!AJ31</f>
        <v>547.5</v>
      </c>
      <c r="M23" s="339">
        <v>0.02</v>
      </c>
      <c r="N23" s="363">
        <f>'Ялта, Ленина, 18'!J8*M23*K23/L23</f>
        <v>35094.133334063932</v>
      </c>
    </row>
    <row r="24" spans="1:14">
      <c r="A24" s="357"/>
      <c r="B24" s="334" t="str">
        <f>B23</f>
        <v>Рогалевич Ирина</v>
      </c>
      <c r="C24" s="628">
        <f>C16</f>
        <v>0</v>
      </c>
      <c r="D24" s="628"/>
      <c r="E24" s="339"/>
      <c r="F24" s="364"/>
      <c r="G24" s="337">
        <f t="shared" si="1"/>
        <v>0</v>
      </c>
      <c r="H24" s="326"/>
      <c r="I24" s="365"/>
      <c r="J24" s="366"/>
      <c r="K24" s="367"/>
      <c r="L24" s="368"/>
      <c r="M24" s="369"/>
      <c r="N24" s="370" t="e">
        <f>1477363.14*M24*K24/L24</f>
        <v>#DIV/0!</v>
      </c>
    </row>
    <row r="25" spans="1:14">
      <c r="A25" s="371"/>
      <c r="B25" s="372"/>
      <c r="C25" s="372"/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3"/>
    </row>
  </sheetData>
  <mergeCells count="20">
    <mergeCell ref="L15:M15"/>
    <mergeCell ref="L16:M16"/>
    <mergeCell ref="C22:D22"/>
    <mergeCell ref="C23:D23"/>
    <mergeCell ref="C24:D24"/>
    <mergeCell ref="D9:E9"/>
    <mergeCell ref="H9:I9"/>
    <mergeCell ref="J9:K9"/>
    <mergeCell ref="J13:K13"/>
    <mergeCell ref="L14:M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zoomScale="91" workbookViewId="0">
      <selection activeCell="S4" sqref="S4"/>
    </sheetView>
  </sheetViews>
  <sheetFormatPr baseColWidth="10" defaultColWidth="11.5" defaultRowHeight="15"/>
  <cols>
    <col min="1" max="1" width="2.33203125" style="3" customWidth="1"/>
    <col min="2" max="2" width="12" style="3" customWidth="1"/>
    <col min="3" max="3" width="19.33203125" style="3" customWidth="1"/>
    <col min="4" max="4" width="11.5" style="3"/>
    <col min="5" max="5" width="12" style="3" customWidth="1"/>
    <col min="6" max="6" width="12.1640625" style="3" customWidth="1"/>
    <col min="7" max="7" width="11.5" style="3"/>
    <col min="8" max="8" width="11.6640625" style="3" customWidth="1"/>
    <col min="9" max="9" width="14" style="3" customWidth="1"/>
    <col min="10" max="10" width="17.6640625" style="3" customWidth="1"/>
    <col min="11" max="11" width="15.5" style="3" customWidth="1"/>
    <col min="12" max="12" width="11.5" style="3"/>
    <col min="13" max="14" width="13.33203125" style="3" customWidth="1"/>
  </cols>
  <sheetData>
    <row r="1" spans="1:14" ht="20" customHeight="1">
      <c r="A1" s="611" t="str">
        <f>График!B1</f>
        <v>Сентябрь, 2025</v>
      </c>
      <c r="B1" s="612"/>
      <c r="C1" s="612"/>
      <c r="D1" s="613"/>
      <c r="E1" s="276"/>
      <c r="F1" s="277"/>
      <c r="G1" s="277"/>
      <c r="H1" s="277"/>
      <c r="I1" s="277"/>
      <c r="J1" s="277"/>
      <c r="K1" s="277"/>
      <c r="L1" s="277"/>
      <c r="M1" s="277"/>
      <c r="N1" s="278"/>
    </row>
    <row r="2" spans="1:14" ht="17" customHeight="1">
      <c r="A2" s="614" t="str">
        <f>График!B3</f>
        <v>ул. Набережная Ленина, 18</v>
      </c>
      <c r="B2" s="615"/>
      <c r="C2" s="615"/>
      <c r="D2" s="279" t="str">
        <f>График!B4</f>
        <v>GL-0005</v>
      </c>
      <c r="E2" s="280"/>
      <c r="F2" s="281"/>
      <c r="G2" s="281"/>
      <c r="H2" s="281"/>
      <c r="I2" s="281"/>
      <c r="J2" s="281"/>
      <c r="K2" s="281"/>
      <c r="L2" s="281"/>
      <c r="M2" s="281"/>
      <c r="N2" s="282"/>
    </row>
    <row r="3" spans="1:14" ht="75">
      <c r="A3" s="616" t="s">
        <v>26</v>
      </c>
      <c r="B3" s="617"/>
      <c r="C3" s="617"/>
      <c r="D3" s="283" t="s">
        <v>68</v>
      </c>
      <c r="E3" s="283" t="s">
        <v>69</v>
      </c>
      <c r="F3" s="284" t="s">
        <v>70</v>
      </c>
      <c r="G3" s="285" t="s">
        <v>71</v>
      </c>
      <c r="H3" s="286" t="s">
        <v>72</v>
      </c>
      <c r="I3" s="287" t="s">
        <v>73</v>
      </c>
      <c r="J3" s="288" t="s">
        <v>74</v>
      </c>
      <c r="K3" s="289" t="s">
        <v>75</v>
      </c>
      <c r="L3" s="290" t="s">
        <v>76</v>
      </c>
      <c r="M3" s="374" t="s">
        <v>77</v>
      </c>
      <c r="N3" s="292" t="s">
        <v>78</v>
      </c>
    </row>
    <row r="4" spans="1:14" ht="19" customHeight="1">
      <c r="A4" s="618" t="str">
        <f>График!B28</f>
        <v>Уразгильдеева Екатерина</v>
      </c>
      <c r="B4" s="619"/>
      <c r="C4" s="619"/>
      <c r="D4" s="375">
        <f>17400*2</f>
        <v>34800</v>
      </c>
      <c r="E4" s="376"/>
      <c r="F4" s="377">
        <f>H8+H9</f>
        <v>0</v>
      </c>
      <c r="G4" s="378">
        <f>D12</f>
        <v>24100</v>
      </c>
      <c r="H4" s="379">
        <f>D19</f>
        <v>75923.764800000004</v>
      </c>
      <c r="I4" s="380">
        <f>L19</f>
        <v>27594.408265936076</v>
      </c>
      <c r="J4" s="381">
        <f>L12</f>
        <v>2310</v>
      </c>
      <c r="K4" s="300">
        <f>H4+J4+G4+F4+I4</f>
        <v>129928.17306593608</v>
      </c>
      <c r="L4" s="301">
        <f>C8+C9+C10</f>
        <v>5200</v>
      </c>
      <c r="M4" s="302">
        <f>K4-L4-D4-E4</f>
        <v>89928.173065936076</v>
      </c>
      <c r="N4" s="303"/>
    </row>
    <row r="5" spans="1:14">
      <c r="A5" s="304"/>
      <c r="B5" s="305"/>
      <c r="C5" s="306"/>
      <c r="D5" s="306"/>
      <c r="E5" s="306"/>
      <c r="F5" s="306"/>
      <c r="G5" s="306"/>
      <c r="H5" s="306"/>
      <c r="I5" s="306"/>
      <c r="J5" s="306"/>
      <c r="K5" s="307"/>
      <c r="L5" s="306"/>
      <c r="M5" s="308"/>
      <c r="N5" s="309"/>
    </row>
    <row r="6" spans="1:14">
      <c r="A6" s="304"/>
      <c r="B6" s="305" t="s">
        <v>76</v>
      </c>
      <c r="C6" s="306"/>
      <c r="D6" s="306"/>
      <c r="E6" s="306"/>
      <c r="F6" s="306"/>
      <c r="G6" s="305" t="s">
        <v>79</v>
      </c>
      <c r="H6" s="306"/>
      <c r="I6" s="306"/>
      <c r="J6" s="306"/>
      <c r="K6" s="306"/>
      <c r="L6" s="306"/>
      <c r="M6" s="308"/>
      <c r="N6" s="309"/>
    </row>
    <row r="7" spans="1:14">
      <c r="A7" s="310"/>
      <c r="B7" s="311" t="s">
        <v>27</v>
      </c>
      <c r="C7" s="311" t="s">
        <v>80</v>
      </c>
      <c r="D7" s="620" t="s">
        <v>81</v>
      </c>
      <c r="E7" s="620"/>
      <c r="F7" s="312"/>
      <c r="G7" s="311" t="s">
        <v>27</v>
      </c>
      <c r="H7" s="620" t="s">
        <v>80</v>
      </c>
      <c r="I7" s="620"/>
      <c r="J7" s="620" t="s">
        <v>81</v>
      </c>
      <c r="K7" s="620"/>
      <c r="L7" s="312"/>
      <c r="M7" s="313"/>
      <c r="N7" s="314"/>
    </row>
    <row r="8" spans="1:14" ht="20" customHeight="1">
      <c r="A8" s="304"/>
      <c r="B8" s="315">
        <v>45930</v>
      </c>
      <c r="C8" s="316">
        <f>40000-D4</f>
        <v>5200</v>
      </c>
      <c r="D8" s="621" t="s">
        <v>123</v>
      </c>
      <c r="E8" s="621"/>
      <c r="F8" s="306"/>
      <c r="G8" s="315"/>
      <c r="H8" s="629"/>
      <c r="I8" s="629"/>
      <c r="J8" s="621"/>
      <c r="K8" s="621"/>
      <c r="L8" s="306"/>
      <c r="M8" s="308"/>
      <c r="N8" s="309"/>
    </row>
    <row r="9" spans="1:14" ht="20" customHeight="1">
      <c r="A9" s="304"/>
      <c r="B9" s="315"/>
      <c r="C9" s="316"/>
      <c r="D9" s="621"/>
      <c r="E9" s="621"/>
      <c r="F9" s="306"/>
      <c r="G9" s="315"/>
      <c r="H9" s="629"/>
      <c r="I9" s="629"/>
      <c r="J9" s="621"/>
      <c r="K9" s="621"/>
      <c r="L9" s="306"/>
      <c r="M9" s="308"/>
      <c r="N9" s="309"/>
    </row>
    <row r="10" spans="1:14" ht="20" customHeight="1">
      <c r="A10" s="304"/>
      <c r="B10" s="315"/>
      <c r="C10" s="316"/>
      <c r="D10" s="621"/>
      <c r="E10" s="621"/>
      <c r="F10" s="306"/>
      <c r="G10" s="382"/>
      <c r="H10" s="383"/>
      <c r="I10" s="383"/>
      <c r="J10" s="384"/>
      <c r="K10" s="384"/>
      <c r="L10" s="306"/>
      <c r="M10" s="308"/>
      <c r="N10" s="309"/>
    </row>
    <row r="11" spans="1:14" ht="34" customHeight="1">
      <c r="A11" s="304"/>
      <c r="B11" s="305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8"/>
      <c r="N11" s="309"/>
    </row>
    <row r="12" spans="1:14">
      <c r="A12" s="318" t="s">
        <v>84</v>
      </c>
      <c r="B12" s="319"/>
      <c r="C12" s="319"/>
      <c r="D12" s="320">
        <f>G16</f>
        <v>24100</v>
      </c>
      <c r="E12" s="321"/>
      <c r="F12" s="322"/>
      <c r="G12" s="319"/>
      <c r="H12" s="319"/>
      <c r="I12" s="323" t="s">
        <v>74</v>
      </c>
      <c r="J12" s="319"/>
      <c r="K12" s="319"/>
      <c r="L12" s="324">
        <f>L16+L17</f>
        <v>2310</v>
      </c>
      <c r="M12" s="322"/>
      <c r="N12" s="325"/>
    </row>
    <row r="13" spans="1:14">
      <c r="A13" s="304"/>
      <c r="B13" s="305"/>
      <c r="C13" s="306"/>
      <c r="D13" s="326"/>
      <c r="E13" s="326"/>
      <c r="F13" s="306"/>
      <c r="G13" s="306"/>
      <c r="H13" s="306"/>
      <c r="I13" s="306"/>
      <c r="J13" s="306"/>
      <c r="K13" s="308"/>
      <c r="L13" s="308"/>
      <c r="M13" s="308"/>
      <c r="N13" s="309"/>
    </row>
    <row r="14" spans="1:14">
      <c r="A14" s="327"/>
      <c r="B14" s="328" t="s">
        <v>84</v>
      </c>
      <c r="C14" s="326"/>
      <c r="D14" s="326"/>
      <c r="E14" s="326"/>
      <c r="F14" s="326"/>
      <c r="G14" s="326"/>
      <c r="H14" s="326"/>
      <c r="I14" s="326"/>
      <c r="J14" s="623" t="s">
        <v>74</v>
      </c>
      <c r="K14" s="623"/>
      <c r="L14" s="329"/>
      <c r="M14" s="329"/>
      <c r="N14" s="330"/>
    </row>
    <row r="15" spans="1:14" ht="24">
      <c r="A15" s="327"/>
      <c r="B15" s="331" t="s">
        <v>85</v>
      </c>
      <c r="C15" s="331" t="s">
        <v>86</v>
      </c>
      <c r="D15" s="331" t="s">
        <v>87</v>
      </c>
      <c r="E15" s="331" t="s">
        <v>88</v>
      </c>
      <c r="F15" s="331" t="s">
        <v>89</v>
      </c>
      <c r="G15" s="331" t="s">
        <v>90</v>
      </c>
      <c r="H15" s="326"/>
      <c r="I15" s="326"/>
      <c r="J15" s="331" t="s">
        <v>86</v>
      </c>
      <c r="K15" s="331" t="s">
        <v>59</v>
      </c>
      <c r="L15" s="331" t="s">
        <v>91</v>
      </c>
      <c r="M15" s="329"/>
      <c r="N15" s="330"/>
    </row>
    <row r="16" spans="1:14">
      <c r="A16" s="304"/>
      <c r="B16" s="333">
        <f>График!AI28</f>
        <v>22</v>
      </c>
      <c r="C16" s="334" t="str">
        <f>A2</f>
        <v>ул. Набережная Ленина, 18</v>
      </c>
      <c r="D16" s="334" t="s">
        <v>92</v>
      </c>
      <c r="E16" s="335">
        <f>График!AJ28</f>
        <v>241</v>
      </c>
      <c r="F16" s="336">
        <v>100</v>
      </c>
      <c r="G16" s="337">
        <f>E16*F16</f>
        <v>24100</v>
      </c>
      <c r="H16" s="338"/>
      <c r="I16" s="338"/>
      <c r="J16" s="334" t="str">
        <f>График!B3</f>
        <v>ул. Набережная Ленина, 18</v>
      </c>
      <c r="K16" s="339">
        <f>'Ялта, Ленина, 18'!K8</f>
        <v>0.9041268835814007</v>
      </c>
      <c r="L16" s="336">
        <v>2310</v>
      </c>
      <c r="M16" s="308"/>
      <c r="N16" s="309"/>
    </row>
    <row r="17" spans="1:14">
      <c r="A17" s="327"/>
      <c r="B17" s="331"/>
      <c r="C17" s="340"/>
      <c r="D17" s="334"/>
      <c r="E17" s="341"/>
      <c r="F17" s="336"/>
      <c r="G17" s="337"/>
      <c r="H17" s="326"/>
      <c r="I17" s="326"/>
      <c r="J17" s="317"/>
      <c r="K17" s="342"/>
      <c r="L17" s="343"/>
      <c r="M17" s="329"/>
      <c r="N17" s="330"/>
    </row>
    <row r="18" spans="1:14">
      <c r="A18" s="327"/>
      <c r="B18" s="326"/>
      <c r="C18" s="344"/>
      <c r="D18" s="306"/>
      <c r="E18" s="345"/>
      <c r="F18" s="345"/>
      <c r="G18" s="346"/>
      <c r="H18" s="326"/>
      <c r="I18" s="326"/>
      <c r="J18" s="326"/>
      <c r="K18" s="326"/>
      <c r="L18" s="329"/>
      <c r="M18" s="329"/>
      <c r="N18" s="330"/>
    </row>
    <row r="19" spans="1:14">
      <c r="A19" s="318" t="s">
        <v>93</v>
      </c>
      <c r="B19" s="319"/>
      <c r="C19" s="319"/>
      <c r="D19" s="347">
        <f>G24</f>
        <v>75923.764800000004</v>
      </c>
      <c r="E19" s="348"/>
      <c r="F19" s="322"/>
      <c r="G19" s="322"/>
      <c r="H19" s="322"/>
      <c r="I19" s="319" t="s">
        <v>73</v>
      </c>
      <c r="J19" s="322"/>
      <c r="K19" s="322"/>
      <c r="L19" s="349">
        <f>N24</f>
        <v>27594.408265936076</v>
      </c>
      <c r="M19" s="322"/>
      <c r="N19" s="325"/>
    </row>
    <row r="20" spans="1:14">
      <c r="A20" s="350"/>
      <c r="B20" s="305"/>
      <c r="C20" s="308"/>
      <c r="D20" s="308"/>
      <c r="E20" s="308"/>
      <c r="F20" s="308"/>
      <c r="G20" s="308"/>
      <c r="H20" s="308"/>
      <c r="I20" s="308"/>
      <c r="J20" s="308"/>
      <c r="K20" s="351"/>
      <c r="L20" s="134"/>
      <c r="M20" s="134"/>
      <c r="N20" s="352"/>
    </row>
    <row r="21" spans="1:14">
      <c r="A21" s="350"/>
      <c r="B21" s="306"/>
      <c r="C21" s="305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9"/>
    </row>
    <row r="22" spans="1:14">
      <c r="A22" s="350"/>
      <c r="B22" s="305" t="s">
        <v>94</v>
      </c>
      <c r="C22" s="308"/>
      <c r="D22" s="308"/>
      <c r="E22" s="308"/>
      <c r="F22" s="308"/>
      <c r="G22" s="308"/>
      <c r="H22" s="308"/>
      <c r="I22" s="353" t="s">
        <v>95</v>
      </c>
      <c r="J22" s="354"/>
      <c r="K22" s="355"/>
      <c r="L22" s="355"/>
      <c r="M22" s="355"/>
      <c r="N22" s="356"/>
    </row>
    <row r="23" spans="1:14" ht="36">
      <c r="A23" s="357"/>
      <c r="B23" s="331" t="s">
        <v>26</v>
      </c>
      <c r="C23" s="624" t="s">
        <v>86</v>
      </c>
      <c r="D23" s="624"/>
      <c r="E23" s="331" t="s">
        <v>96</v>
      </c>
      <c r="F23" s="331" t="s">
        <v>97</v>
      </c>
      <c r="G23" s="331" t="s">
        <v>98</v>
      </c>
      <c r="H23" s="326"/>
      <c r="I23" s="331" t="s">
        <v>26</v>
      </c>
      <c r="J23" s="331" t="s">
        <v>86</v>
      </c>
      <c r="K23" s="331" t="s">
        <v>99</v>
      </c>
      <c r="L23" s="331" t="s">
        <v>100</v>
      </c>
      <c r="M23" s="331" t="s">
        <v>96</v>
      </c>
      <c r="N23" s="358" t="s">
        <v>98</v>
      </c>
    </row>
    <row r="24" spans="1:14">
      <c r="A24" s="350"/>
      <c r="B24" s="334" t="str">
        <f>A4</f>
        <v>Уразгильдеева Екатерина</v>
      </c>
      <c r="C24" s="627" t="str">
        <f>A2</f>
        <v>ул. Набережная Ленина, 18</v>
      </c>
      <c r="D24" s="627"/>
      <c r="E24" s="339">
        <v>0.06</v>
      </c>
      <c r="F24" s="316">
        <f>'Уразгильдеева Е. Р. '!J8</f>
        <v>1265396.08</v>
      </c>
      <c r="G24" s="359">
        <f>F24*E24</f>
        <v>75923.764800000004</v>
      </c>
      <c r="H24" s="306"/>
      <c r="I24" s="360" t="str">
        <f>B24</f>
        <v>Уразгильдеева Екатерина</v>
      </c>
      <c r="J24" s="361" t="str">
        <f>C24</f>
        <v>ул. Набережная Ленина, 18</v>
      </c>
      <c r="K24" s="361">
        <f>E16</f>
        <v>241</v>
      </c>
      <c r="L24" s="362">
        <f>График!AJ31</f>
        <v>547.5</v>
      </c>
      <c r="M24" s="339">
        <v>0.02</v>
      </c>
      <c r="N24" s="363">
        <f>'Ялта, Ленина, 18'!J8*M24*K24/L24</f>
        <v>27594.408265936076</v>
      </c>
    </row>
    <row r="25" spans="1:14">
      <c r="A25" s="357"/>
      <c r="B25" s="334" t="str">
        <f>B24</f>
        <v>Уразгильдеева Екатерина</v>
      </c>
      <c r="C25" s="628"/>
      <c r="D25" s="628"/>
      <c r="E25" s="339"/>
      <c r="F25" s="364"/>
      <c r="G25" s="337"/>
      <c r="H25" s="326"/>
      <c r="I25" s="365"/>
      <c r="J25" s="366"/>
      <c r="K25" s="367"/>
      <c r="L25" s="368"/>
      <c r="M25" s="369"/>
      <c r="N25" s="370" t="e">
        <f>1477363.14*M25*K25/L25</f>
        <v>#DIV/0!</v>
      </c>
    </row>
    <row r="26" spans="1:14">
      <c r="A26" s="371"/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3"/>
    </row>
  </sheetData>
  <mergeCells count="18">
    <mergeCell ref="C23:D23"/>
    <mergeCell ref="C24:D24"/>
    <mergeCell ref="C25:D25"/>
    <mergeCell ref="D9:E9"/>
    <mergeCell ref="H9:I9"/>
    <mergeCell ref="J9:K9"/>
    <mergeCell ref="D10:E10"/>
    <mergeCell ref="J14:K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topLeftCell="A3" zoomScale="91" workbookViewId="0">
      <selection activeCell="P11" sqref="P11"/>
    </sheetView>
  </sheetViews>
  <sheetFormatPr baseColWidth="10" defaultColWidth="11.5" defaultRowHeight="15"/>
  <cols>
    <col min="1" max="1" width="2.33203125" style="3" customWidth="1"/>
    <col min="2" max="2" width="12.6640625" style="3" customWidth="1"/>
    <col min="3" max="3" width="18" style="3" customWidth="1"/>
    <col min="4" max="4" width="12.6640625" style="3" customWidth="1"/>
    <col min="5" max="5" width="12.5" style="3" customWidth="1"/>
    <col min="6" max="6" width="12.1640625" style="3" customWidth="1"/>
    <col min="7" max="7" width="11.5" style="3"/>
    <col min="8" max="8" width="12.6640625" style="3" customWidth="1"/>
    <col min="9" max="9" width="15" style="3" customWidth="1"/>
    <col min="10" max="10" width="17.83203125" style="3" customWidth="1"/>
    <col min="11" max="11" width="11.5" style="3" customWidth="1"/>
    <col min="12" max="12" width="12" style="3" customWidth="1"/>
    <col min="13" max="13" width="15.6640625" style="3" customWidth="1"/>
    <col min="14" max="14" width="14" style="3" customWidth="1"/>
  </cols>
  <sheetData>
    <row r="1" spans="1:14" ht="20" customHeight="1">
      <c r="A1" s="611" t="str">
        <f>График!B1</f>
        <v>Сентябрь, 2025</v>
      </c>
      <c r="B1" s="612"/>
      <c r="C1" s="612"/>
      <c r="D1" s="613"/>
      <c r="E1" s="276"/>
      <c r="F1" s="277"/>
      <c r="G1" s="277"/>
      <c r="H1" s="277"/>
      <c r="I1" s="277"/>
      <c r="J1" s="277"/>
      <c r="K1" s="277"/>
      <c r="L1" s="277"/>
      <c r="M1" s="277"/>
      <c r="N1" s="278"/>
    </row>
    <row r="2" spans="1:14" ht="20" customHeight="1">
      <c r="A2" s="630" t="str">
        <f>График!B3</f>
        <v>ул. Набережная Ленина, 18</v>
      </c>
      <c r="B2" s="631"/>
      <c r="C2" s="631"/>
      <c r="D2" s="385" t="str">
        <f>График!B4</f>
        <v>GL-0005</v>
      </c>
      <c r="E2" s="280"/>
      <c r="F2" s="281"/>
      <c r="G2" s="281"/>
      <c r="H2" s="281"/>
      <c r="I2" s="281"/>
      <c r="J2" s="281"/>
      <c r="K2" s="281"/>
      <c r="L2" s="281"/>
      <c r="M2" s="281"/>
      <c r="N2" s="282"/>
    </row>
    <row r="3" spans="1:14" ht="60">
      <c r="A3" s="632" t="s">
        <v>26</v>
      </c>
      <c r="B3" s="632"/>
      <c r="C3" s="632"/>
      <c r="D3" s="386" t="s">
        <v>68</v>
      </c>
      <c r="E3" s="387" t="s">
        <v>69</v>
      </c>
      <c r="F3" s="284" t="s">
        <v>70</v>
      </c>
      <c r="G3" s="285" t="s">
        <v>71</v>
      </c>
      <c r="H3" s="286" t="s">
        <v>72</v>
      </c>
      <c r="I3" s="287" t="s">
        <v>73</v>
      </c>
      <c r="J3" s="287" t="s">
        <v>74</v>
      </c>
      <c r="K3" s="285" t="s">
        <v>75</v>
      </c>
      <c r="L3" s="288" t="s">
        <v>76</v>
      </c>
      <c r="M3" s="388" t="s">
        <v>77</v>
      </c>
      <c r="N3" s="292" t="s">
        <v>78</v>
      </c>
    </row>
    <row r="4" spans="1:14" ht="18" customHeight="1">
      <c r="A4" s="633">
        <f>График!B27</f>
        <v>0</v>
      </c>
      <c r="B4" s="634"/>
      <c r="C4" s="634"/>
      <c r="D4" s="389"/>
      <c r="E4" s="390"/>
      <c r="F4" s="377">
        <f>H8+H9</f>
        <v>0</v>
      </c>
      <c r="G4" s="378">
        <f>D12</f>
        <v>0</v>
      </c>
      <c r="H4" s="379" t="e">
        <f>D19</f>
        <v>#REF!</v>
      </c>
      <c r="I4" s="380">
        <f>L19</f>
        <v>0</v>
      </c>
      <c r="J4" s="391">
        <f>L12</f>
        <v>0</v>
      </c>
      <c r="K4" s="392" t="e">
        <f>H4+J4+G4+F4+I4</f>
        <v>#REF!</v>
      </c>
      <c r="L4" s="393">
        <f>C8+C9+C10</f>
        <v>0</v>
      </c>
      <c r="M4" s="394" t="e">
        <f>K4-L4-D4-E4</f>
        <v>#REF!</v>
      </c>
      <c r="N4" s="303"/>
    </row>
    <row r="5" spans="1:14">
      <c r="A5" s="304"/>
      <c r="B5" s="305"/>
      <c r="C5" s="306"/>
      <c r="D5" s="306"/>
      <c r="E5" s="306"/>
      <c r="F5" s="306"/>
      <c r="G5" s="306"/>
      <c r="H5" s="306"/>
      <c r="I5" s="306"/>
      <c r="J5" s="306"/>
      <c r="K5" s="307"/>
      <c r="L5" s="306"/>
      <c r="M5" s="308"/>
      <c r="N5" s="309"/>
    </row>
    <row r="6" spans="1:14">
      <c r="A6" s="304"/>
      <c r="B6" s="305" t="s">
        <v>76</v>
      </c>
      <c r="C6" s="306"/>
      <c r="D6" s="306"/>
      <c r="E6" s="306"/>
      <c r="F6" s="306"/>
      <c r="G6" s="305" t="s">
        <v>79</v>
      </c>
      <c r="H6" s="306"/>
      <c r="I6" s="306"/>
      <c r="J6" s="306"/>
      <c r="K6" s="306"/>
      <c r="L6" s="306"/>
      <c r="M6" s="308"/>
      <c r="N6" s="309"/>
    </row>
    <row r="7" spans="1:14" ht="20" customHeight="1">
      <c r="A7" s="310"/>
      <c r="B7" s="311" t="s">
        <v>27</v>
      </c>
      <c r="C7" s="311" t="s">
        <v>80</v>
      </c>
      <c r="D7" s="620" t="s">
        <v>81</v>
      </c>
      <c r="E7" s="620"/>
      <c r="F7" s="312"/>
      <c r="G7" s="311" t="s">
        <v>27</v>
      </c>
      <c r="H7" s="620" t="s">
        <v>80</v>
      </c>
      <c r="I7" s="620"/>
      <c r="J7" s="620" t="s">
        <v>81</v>
      </c>
      <c r="K7" s="620"/>
      <c r="L7" s="312"/>
      <c r="M7" s="313"/>
      <c r="N7" s="314"/>
    </row>
    <row r="8" spans="1:14" ht="18" customHeight="1">
      <c r="A8" s="304"/>
      <c r="B8" s="315"/>
      <c r="C8" s="316"/>
      <c r="D8" s="621" t="s">
        <v>101</v>
      </c>
      <c r="E8" s="621"/>
      <c r="F8" s="306"/>
      <c r="G8" s="315">
        <v>45830</v>
      </c>
      <c r="H8" s="629"/>
      <c r="I8" s="629"/>
      <c r="J8" s="621"/>
      <c r="K8" s="621"/>
      <c r="L8" s="306"/>
      <c r="M8" s="308"/>
      <c r="N8" s="309"/>
    </row>
    <row r="9" spans="1:14" ht="18" customHeight="1">
      <c r="A9" s="304"/>
      <c r="B9" s="315"/>
      <c r="C9" s="316"/>
      <c r="D9" s="621"/>
      <c r="E9" s="621"/>
      <c r="F9" s="306"/>
      <c r="G9" s="315"/>
      <c r="H9" s="629"/>
      <c r="I9" s="629"/>
      <c r="J9" s="621"/>
      <c r="K9" s="621"/>
      <c r="L9" s="306"/>
      <c r="M9" s="308"/>
      <c r="N9" s="309"/>
    </row>
    <row r="10" spans="1:14" ht="18" customHeight="1">
      <c r="A10" s="304"/>
      <c r="B10" s="315"/>
      <c r="C10" s="316"/>
      <c r="D10" s="621"/>
      <c r="E10" s="621"/>
      <c r="F10" s="306"/>
      <c r="G10" s="382"/>
      <c r="H10" s="383"/>
      <c r="I10" s="383"/>
      <c r="J10" s="384"/>
      <c r="K10" s="384"/>
      <c r="L10" s="306"/>
      <c r="M10" s="308"/>
      <c r="N10" s="309"/>
    </row>
    <row r="11" spans="1:14" ht="34" customHeight="1">
      <c r="A11" s="304"/>
      <c r="B11" s="305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8"/>
      <c r="N11" s="309"/>
    </row>
    <row r="12" spans="1:14">
      <c r="A12" s="318" t="s">
        <v>84</v>
      </c>
      <c r="B12" s="319"/>
      <c r="C12" s="319"/>
      <c r="D12" s="320">
        <f>G16</f>
        <v>0</v>
      </c>
      <c r="E12" s="321"/>
      <c r="F12" s="322"/>
      <c r="G12" s="319"/>
      <c r="H12" s="319"/>
      <c r="I12" s="324" t="s">
        <v>74</v>
      </c>
      <c r="J12" s="319"/>
      <c r="K12" s="319"/>
      <c r="L12" s="323">
        <f>L16+L17</f>
        <v>0</v>
      </c>
      <c r="M12" s="322"/>
      <c r="N12" s="325"/>
    </row>
    <row r="13" spans="1:14">
      <c r="A13" s="304"/>
      <c r="B13" s="305"/>
      <c r="C13" s="306"/>
      <c r="D13" s="326"/>
      <c r="E13" s="326"/>
      <c r="F13" s="306"/>
      <c r="G13" s="306"/>
      <c r="H13" s="306"/>
      <c r="I13" s="306"/>
      <c r="J13" s="306"/>
      <c r="K13" s="308"/>
      <c r="L13" s="308"/>
      <c r="M13" s="308"/>
      <c r="N13" s="309"/>
    </row>
    <row r="14" spans="1:14">
      <c r="A14" s="327"/>
      <c r="B14" s="328" t="s">
        <v>84</v>
      </c>
      <c r="C14" s="326"/>
      <c r="D14" s="326"/>
      <c r="E14" s="326"/>
      <c r="F14" s="326"/>
      <c r="G14" s="326"/>
      <c r="H14" s="326"/>
      <c r="I14" s="326"/>
      <c r="J14" s="623" t="s">
        <v>74</v>
      </c>
      <c r="K14" s="623"/>
      <c r="L14" s="329"/>
      <c r="M14" s="329"/>
      <c r="N14" s="330"/>
    </row>
    <row r="15" spans="1:14" ht="24">
      <c r="A15" s="327"/>
      <c r="B15" s="331" t="s">
        <v>85</v>
      </c>
      <c r="C15" s="331" t="s">
        <v>86</v>
      </c>
      <c r="D15" s="331" t="s">
        <v>87</v>
      </c>
      <c r="E15" s="331" t="s">
        <v>88</v>
      </c>
      <c r="F15" s="331" t="s">
        <v>89</v>
      </c>
      <c r="G15" s="331" t="s">
        <v>90</v>
      </c>
      <c r="H15" s="326"/>
      <c r="I15" s="326"/>
      <c r="J15" s="331" t="s">
        <v>86</v>
      </c>
      <c r="K15" s="331" t="s">
        <v>59</v>
      </c>
      <c r="L15" s="331" t="s">
        <v>91</v>
      </c>
      <c r="M15" s="329"/>
      <c r="N15" s="330"/>
    </row>
    <row r="16" spans="1:14" ht="17" customHeight="1">
      <c r="A16" s="304"/>
      <c r="B16" s="333">
        <f>График!AI27</f>
        <v>0</v>
      </c>
      <c r="C16" s="334" t="str">
        <f>A2</f>
        <v>ул. Набережная Ленина, 18</v>
      </c>
      <c r="D16" s="334" t="s">
        <v>92</v>
      </c>
      <c r="E16" s="335">
        <f>График!AJ27</f>
        <v>0</v>
      </c>
      <c r="F16" s="336">
        <v>100</v>
      </c>
      <c r="G16" s="337">
        <f>E16*F16</f>
        <v>0</v>
      </c>
      <c r="H16" s="338"/>
      <c r="I16" s="338"/>
      <c r="J16" s="334" t="str">
        <f>График!B3</f>
        <v>ул. Набережная Ленина, 18</v>
      </c>
      <c r="K16" s="339">
        <f>'Ялта, Ленина, 18'!K8</f>
        <v>0.9041268835814007</v>
      </c>
      <c r="L16" s="336">
        <v>0</v>
      </c>
      <c r="M16" s="308"/>
      <c r="N16" s="309"/>
    </row>
    <row r="17" spans="1:14" ht="17" customHeight="1">
      <c r="A17" s="327"/>
      <c r="B17" s="331"/>
      <c r="C17" s="340"/>
      <c r="D17" s="334"/>
      <c r="E17" s="341"/>
      <c r="F17" s="336"/>
      <c r="G17" s="337"/>
      <c r="H17" s="326"/>
      <c r="I17" s="326"/>
      <c r="J17" s="317"/>
      <c r="K17" s="342"/>
      <c r="L17" s="343"/>
      <c r="M17" s="329"/>
      <c r="N17" s="330"/>
    </row>
    <row r="18" spans="1:14">
      <c r="A18" s="327"/>
      <c r="B18" s="326"/>
      <c r="C18" s="344"/>
      <c r="D18" s="306"/>
      <c r="E18" s="345"/>
      <c r="F18" s="345"/>
      <c r="G18" s="346"/>
      <c r="H18" s="326"/>
      <c r="I18" s="326"/>
      <c r="J18" s="326"/>
      <c r="K18" s="326"/>
      <c r="L18" s="329"/>
      <c r="M18" s="329"/>
      <c r="N18" s="330"/>
    </row>
    <row r="19" spans="1:14">
      <c r="A19" s="318" t="s">
        <v>93</v>
      </c>
      <c r="B19" s="319"/>
      <c r="C19" s="319"/>
      <c r="D19" s="347" t="e">
        <f>G24</f>
        <v>#REF!</v>
      </c>
      <c r="E19" s="348"/>
      <c r="F19" s="322"/>
      <c r="G19" s="322"/>
      <c r="H19" s="322"/>
      <c r="I19" s="319" t="s">
        <v>73</v>
      </c>
      <c r="J19" s="322"/>
      <c r="K19" s="322"/>
      <c r="L19" s="395">
        <f>N24</f>
        <v>0</v>
      </c>
      <c r="M19" s="322"/>
      <c r="N19" s="325"/>
    </row>
    <row r="20" spans="1:14">
      <c r="A20" s="350"/>
      <c r="B20" s="305"/>
      <c r="C20" s="308"/>
      <c r="D20" s="308"/>
      <c r="E20" s="308"/>
      <c r="F20" s="308"/>
      <c r="G20" s="308"/>
      <c r="H20" s="308"/>
      <c r="I20" s="308"/>
      <c r="J20" s="308"/>
      <c r="K20" s="351"/>
      <c r="L20" s="134"/>
      <c r="M20" s="134"/>
      <c r="N20" s="352"/>
    </row>
    <row r="21" spans="1:14">
      <c r="A21" s="350"/>
      <c r="B21" s="306"/>
      <c r="C21" s="305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9"/>
    </row>
    <row r="22" spans="1:14">
      <c r="A22" s="350"/>
      <c r="B22" s="305" t="s">
        <v>94</v>
      </c>
      <c r="C22" s="308"/>
      <c r="D22" s="308"/>
      <c r="E22" s="308"/>
      <c r="F22" s="308"/>
      <c r="G22" s="308"/>
      <c r="H22" s="308"/>
      <c r="I22" s="353" t="s">
        <v>95</v>
      </c>
      <c r="J22" s="354"/>
      <c r="K22" s="355"/>
      <c r="L22" s="355"/>
      <c r="M22" s="355"/>
      <c r="N22" s="356"/>
    </row>
    <row r="23" spans="1:14" ht="36">
      <c r="A23" s="357"/>
      <c r="B23" s="331" t="s">
        <v>26</v>
      </c>
      <c r="C23" s="624" t="s">
        <v>86</v>
      </c>
      <c r="D23" s="624"/>
      <c r="E23" s="331" t="s">
        <v>96</v>
      </c>
      <c r="F23" s="331" t="s">
        <v>97</v>
      </c>
      <c r="G23" s="331" t="s">
        <v>98</v>
      </c>
      <c r="H23" s="326"/>
      <c r="I23" s="331" t="s">
        <v>26</v>
      </c>
      <c r="J23" s="331" t="s">
        <v>86</v>
      </c>
      <c r="K23" s="331" t="s">
        <v>99</v>
      </c>
      <c r="L23" s="331" t="s">
        <v>100</v>
      </c>
      <c r="M23" s="331" t="s">
        <v>96</v>
      </c>
      <c r="N23" s="358" t="s">
        <v>98</v>
      </c>
    </row>
    <row r="24" spans="1:14">
      <c r="A24" s="350"/>
      <c r="B24" s="334">
        <f>A4</f>
        <v>0</v>
      </c>
      <c r="C24" s="627" t="str">
        <f>A2</f>
        <v>ул. Набережная Ленина, 18</v>
      </c>
      <c r="D24" s="627"/>
      <c r="E24" s="339">
        <v>4.4999999999999998E-2</v>
      </c>
      <c r="F24" s="316" t="e">
        <f>#REF!</f>
        <v>#REF!</v>
      </c>
      <c r="G24" s="359" t="e">
        <f>F24*E24</f>
        <v>#REF!</v>
      </c>
      <c r="H24" s="306"/>
      <c r="I24" s="360">
        <f>B24</f>
        <v>0</v>
      </c>
      <c r="J24" s="361" t="str">
        <f>C24</f>
        <v>ул. Набережная Ленина, 18</v>
      </c>
      <c r="K24" s="361">
        <f>E16</f>
        <v>0</v>
      </c>
      <c r="L24" s="362">
        <f>График!AJ31</f>
        <v>547.5</v>
      </c>
      <c r="M24" s="339">
        <v>0.02</v>
      </c>
      <c r="N24" s="363">
        <f>1880591*M24*K24/L24</f>
        <v>0</v>
      </c>
    </row>
    <row r="25" spans="1:14">
      <c r="A25" s="357"/>
      <c r="B25" s="334">
        <f>B24</f>
        <v>0</v>
      </c>
      <c r="C25" s="628"/>
      <c r="D25" s="628"/>
      <c r="E25" s="339"/>
      <c r="F25" s="364"/>
      <c r="G25" s="337"/>
      <c r="H25" s="326"/>
      <c r="I25" s="365"/>
      <c r="J25" s="366"/>
      <c r="K25" s="367"/>
      <c r="L25" s="368"/>
      <c r="M25" s="369"/>
      <c r="N25" s="370"/>
    </row>
    <row r="26" spans="1:14">
      <c r="A26" s="371"/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3"/>
    </row>
  </sheetData>
  <mergeCells count="18">
    <mergeCell ref="C23:D23"/>
    <mergeCell ref="C24:D24"/>
    <mergeCell ref="C25:D25"/>
    <mergeCell ref="D9:E9"/>
    <mergeCell ref="H9:I9"/>
    <mergeCell ref="J9:K9"/>
    <mergeCell ref="D10:E10"/>
    <mergeCell ref="J14:K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33"/>
  <sheetViews>
    <sheetView zoomScale="83" workbookViewId="0">
      <selection activeCell="AC38" sqref="AC38"/>
    </sheetView>
  </sheetViews>
  <sheetFormatPr baseColWidth="10" defaultColWidth="11.5" defaultRowHeight="15"/>
  <cols>
    <col min="1" max="1" width="4.83203125" style="3" customWidth="1"/>
    <col min="2" max="2" width="26.6640625" style="3" customWidth="1"/>
    <col min="3" max="3" width="17" style="3" customWidth="1"/>
    <col min="4" max="34" width="6.33203125" style="3" customWidth="1"/>
    <col min="35" max="35" width="4.83203125" style="3" customWidth="1"/>
    <col min="36" max="36" width="11.1640625" style="3" customWidth="1"/>
    <col min="37" max="40" width="6.33203125" style="3" customWidth="1"/>
    <col min="41" max="16384" width="11.5" style="3"/>
  </cols>
  <sheetData>
    <row r="1" spans="1:40">
      <c r="A1" s="396"/>
      <c r="B1" s="397" t="s">
        <v>102</v>
      </c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 t="s">
        <v>67</v>
      </c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</row>
    <row r="2" spans="1:40" ht="16">
      <c r="A2" s="396"/>
      <c r="B2" s="399" t="s">
        <v>103</v>
      </c>
      <c r="C2" s="400"/>
      <c r="D2" s="400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  <c r="W2" s="401"/>
      <c r="X2" s="401"/>
      <c r="Y2" s="401"/>
      <c r="Z2" s="401"/>
      <c r="AA2" s="401"/>
      <c r="AB2" s="401"/>
      <c r="AC2" s="401"/>
      <c r="AD2" s="401"/>
      <c r="AE2" s="401"/>
      <c r="AF2" s="401"/>
      <c r="AG2" s="401"/>
      <c r="AH2" s="401"/>
      <c r="AI2" s="401"/>
      <c r="AJ2" s="401"/>
      <c r="AK2" s="401"/>
      <c r="AL2" s="401"/>
      <c r="AM2" s="401"/>
      <c r="AN2" s="401"/>
    </row>
    <row r="3" spans="1:40" ht="16">
      <c r="A3" s="396"/>
      <c r="B3" s="402" t="s">
        <v>104</v>
      </c>
      <c r="C3" s="403"/>
      <c r="D3" s="403"/>
      <c r="E3" s="404"/>
      <c r="F3" s="404"/>
      <c r="G3" s="404"/>
      <c r="H3" s="404"/>
      <c r="I3" s="404"/>
      <c r="J3" s="404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</row>
    <row r="4" spans="1:40" ht="19">
      <c r="A4" s="396"/>
      <c r="B4" s="405" t="s">
        <v>105</v>
      </c>
      <c r="C4" s="400"/>
      <c r="D4" s="400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</row>
    <row r="5" spans="1:40" ht="16">
      <c r="A5" s="396"/>
      <c r="B5" s="406" t="s">
        <v>106</v>
      </c>
      <c r="C5" s="401"/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635"/>
      <c r="AK5" s="636"/>
      <c r="AL5" s="637"/>
      <c r="AM5" s="638"/>
      <c r="AN5" s="639"/>
    </row>
    <row r="6" spans="1:40">
      <c r="A6" s="396"/>
      <c r="B6" s="407" t="s">
        <v>107</v>
      </c>
      <c r="C6" s="640" t="s">
        <v>108</v>
      </c>
      <c r="D6" s="641"/>
      <c r="E6" s="641"/>
      <c r="F6" s="641"/>
      <c r="G6" s="641"/>
      <c r="H6" s="641"/>
      <c r="I6" s="641"/>
      <c r="J6" s="641"/>
      <c r="K6" s="641"/>
      <c r="L6" s="641"/>
      <c r="M6" s="641"/>
      <c r="N6" s="641"/>
      <c r="O6" s="641"/>
      <c r="P6" s="641"/>
      <c r="Q6" s="641"/>
      <c r="R6" s="641"/>
      <c r="S6" s="641"/>
      <c r="T6" s="641"/>
      <c r="U6" s="641"/>
      <c r="V6" s="641"/>
      <c r="W6" s="641"/>
      <c r="X6" s="641"/>
      <c r="Y6" s="641"/>
      <c r="Z6" s="641"/>
      <c r="AA6" s="641"/>
      <c r="AB6" s="641"/>
      <c r="AC6" s="641"/>
      <c r="AD6" s="641"/>
      <c r="AE6" s="641"/>
      <c r="AF6" s="641"/>
      <c r="AG6" s="641"/>
      <c r="AH6" s="641"/>
      <c r="AI6" s="641"/>
      <c r="AJ6" s="642"/>
      <c r="AK6" s="408">
        <v>30</v>
      </c>
      <c r="AL6" s="409"/>
      <c r="AM6" s="409"/>
      <c r="AN6" s="409"/>
    </row>
    <row r="7" spans="1:40">
      <c r="A7" s="410"/>
      <c r="B7" s="411" t="e">
        <f>BT31*100/BH31</f>
        <v>#DIV/0!</v>
      </c>
      <c r="C7" s="640"/>
      <c r="D7" s="641"/>
      <c r="E7" s="641"/>
      <c r="F7" s="641"/>
      <c r="G7" s="641"/>
      <c r="H7" s="641"/>
      <c r="I7" s="641"/>
      <c r="J7" s="641"/>
      <c r="K7" s="641"/>
      <c r="L7" s="641"/>
      <c r="M7" s="641"/>
      <c r="N7" s="641"/>
      <c r="O7" s="641"/>
      <c r="P7" s="641"/>
      <c r="Q7" s="641"/>
      <c r="R7" s="641"/>
      <c r="S7" s="641"/>
      <c r="T7" s="641"/>
      <c r="U7" s="641"/>
      <c r="V7" s="641"/>
      <c r="W7" s="641"/>
      <c r="X7" s="641"/>
      <c r="Y7" s="641"/>
      <c r="Z7" s="641"/>
      <c r="AA7" s="641"/>
      <c r="AB7" s="641"/>
      <c r="AC7" s="641"/>
      <c r="AD7" s="641"/>
      <c r="AE7" s="641"/>
      <c r="AF7" s="641"/>
      <c r="AG7" s="641"/>
      <c r="AH7" s="641"/>
      <c r="AI7" s="641"/>
      <c r="AJ7" s="642"/>
      <c r="AK7" s="412"/>
      <c r="AL7" s="412"/>
      <c r="AM7" s="413"/>
      <c r="AN7" s="413"/>
    </row>
    <row r="8" spans="1:40" ht="30">
      <c r="A8" s="414"/>
      <c r="B8" s="415"/>
      <c r="C8" s="416"/>
      <c r="D8" s="417" t="s">
        <v>48</v>
      </c>
      <c r="E8" s="417" t="s">
        <v>49</v>
      </c>
      <c r="F8" s="417" t="s">
        <v>50</v>
      </c>
      <c r="G8" s="417" t="s">
        <v>52</v>
      </c>
      <c r="H8" s="417" t="s">
        <v>54</v>
      </c>
      <c r="I8" s="417" t="s">
        <v>55</v>
      </c>
      <c r="J8" s="417" t="s">
        <v>56</v>
      </c>
      <c r="K8" s="417" t="s">
        <v>48</v>
      </c>
      <c r="L8" s="417" t="s">
        <v>49</v>
      </c>
      <c r="M8" s="417" t="s">
        <v>50</v>
      </c>
      <c r="N8" s="417" t="s">
        <v>52</v>
      </c>
      <c r="O8" s="417" t="s">
        <v>54</v>
      </c>
      <c r="P8" s="417" t="s">
        <v>55</v>
      </c>
      <c r="Q8" s="417" t="s">
        <v>56</v>
      </c>
      <c r="R8" s="417" t="s">
        <v>48</v>
      </c>
      <c r="S8" s="417" t="s">
        <v>49</v>
      </c>
      <c r="T8" s="417" t="s">
        <v>50</v>
      </c>
      <c r="U8" s="417" t="s">
        <v>52</v>
      </c>
      <c r="V8" s="417" t="s">
        <v>54</v>
      </c>
      <c r="W8" s="417" t="s">
        <v>55</v>
      </c>
      <c r="X8" s="417" t="s">
        <v>56</v>
      </c>
      <c r="Y8" s="417" t="s">
        <v>48</v>
      </c>
      <c r="Z8" s="417" t="s">
        <v>49</v>
      </c>
      <c r="AA8" s="417" t="s">
        <v>50</v>
      </c>
      <c r="AB8" s="417" t="s">
        <v>52</v>
      </c>
      <c r="AC8" s="417" t="s">
        <v>54</v>
      </c>
      <c r="AD8" s="417" t="s">
        <v>55</v>
      </c>
      <c r="AE8" s="417" t="s">
        <v>56</v>
      </c>
      <c r="AF8" s="417" t="s">
        <v>48</v>
      </c>
      <c r="AG8" s="417" t="s">
        <v>49</v>
      </c>
      <c r="AH8" s="417"/>
      <c r="AI8" s="418"/>
      <c r="AJ8" s="419" t="s">
        <v>109</v>
      </c>
      <c r="AK8" s="419" t="s">
        <v>110</v>
      </c>
      <c r="AL8" s="643" t="s">
        <v>111</v>
      </c>
      <c r="AM8" s="643" t="s">
        <v>112</v>
      </c>
      <c r="AN8" s="647" t="s">
        <v>113</v>
      </c>
    </row>
    <row r="9" spans="1:40">
      <c r="A9" s="396"/>
      <c r="B9" s="401"/>
      <c r="C9" s="420"/>
      <c r="D9" s="421"/>
      <c r="E9" s="421"/>
      <c r="F9" s="421"/>
      <c r="G9" s="421"/>
      <c r="H9" s="421"/>
      <c r="I9" s="421"/>
      <c r="J9" s="421"/>
      <c r="K9" s="421"/>
      <c r="L9" s="421"/>
      <c r="M9" s="421"/>
      <c r="N9" s="421"/>
      <c r="O9" s="421"/>
      <c r="P9" s="421"/>
      <c r="Q9" s="421"/>
      <c r="R9" s="421"/>
      <c r="S9" s="421"/>
      <c r="T9" s="421"/>
      <c r="U9" s="421"/>
      <c r="V9" s="421"/>
      <c r="W9" s="421"/>
      <c r="X9" s="421"/>
      <c r="Y9" s="421"/>
      <c r="Z9" s="421"/>
      <c r="AA9" s="421"/>
      <c r="AB9" s="421"/>
      <c r="AC9" s="421"/>
      <c r="AD9" s="421"/>
      <c r="AE9" s="421"/>
      <c r="AF9" s="421"/>
      <c r="AG9" s="421"/>
      <c r="AH9" s="421"/>
      <c r="AI9" s="422"/>
      <c r="AJ9" s="423"/>
      <c r="AK9" s="423"/>
      <c r="AL9" s="644"/>
      <c r="AM9" s="644"/>
      <c r="AN9" s="648"/>
    </row>
    <row r="10" spans="1:40">
      <c r="A10" s="424" t="s">
        <v>114</v>
      </c>
      <c r="B10" s="425" t="s">
        <v>115</v>
      </c>
      <c r="C10" s="426" t="s">
        <v>87</v>
      </c>
      <c r="D10" s="427">
        <v>1</v>
      </c>
      <c r="E10" s="427">
        <v>2</v>
      </c>
      <c r="F10" s="427">
        <v>3</v>
      </c>
      <c r="G10" s="427">
        <v>4</v>
      </c>
      <c r="H10" s="427">
        <v>5</v>
      </c>
      <c r="I10" s="427">
        <v>6</v>
      </c>
      <c r="J10" s="427">
        <v>7</v>
      </c>
      <c r="K10" s="427">
        <v>8</v>
      </c>
      <c r="L10" s="427">
        <v>9</v>
      </c>
      <c r="M10" s="427">
        <v>10</v>
      </c>
      <c r="N10" s="427">
        <v>11</v>
      </c>
      <c r="O10" s="427">
        <v>12</v>
      </c>
      <c r="P10" s="427">
        <v>13</v>
      </c>
      <c r="Q10" s="427">
        <v>14</v>
      </c>
      <c r="R10" s="427">
        <v>15</v>
      </c>
      <c r="S10" s="427">
        <v>16</v>
      </c>
      <c r="T10" s="427">
        <v>17</v>
      </c>
      <c r="U10" s="427">
        <v>18</v>
      </c>
      <c r="V10" s="427">
        <v>19</v>
      </c>
      <c r="W10" s="427">
        <v>20</v>
      </c>
      <c r="X10" s="427">
        <v>21</v>
      </c>
      <c r="Y10" s="427">
        <v>22</v>
      </c>
      <c r="Z10" s="427">
        <v>23</v>
      </c>
      <c r="AA10" s="427">
        <v>24</v>
      </c>
      <c r="AB10" s="427">
        <v>25</v>
      </c>
      <c r="AC10" s="427">
        <v>26</v>
      </c>
      <c r="AD10" s="427">
        <v>27</v>
      </c>
      <c r="AE10" s="427">
        <v>28</v>
      </c>
      <c r="AF10" s="427">
        <v>29</v>
      </c>
      <c r="AG10" s="427">
        <v>30</v>
      </c>
      <c r="AH10" s="427"/>
      <c r="AI10" s="428" t="s">
        <v>116</v>
      </c>
      <c r="AJ10" s="429"/>
      <c r="AK10" s="430"/>
      <c r="AL10" s="645"/>
      <c r="AM10" s="646"/>
      <c r="AN10" s="649"/>
    </row>
    <row r="11" spans="1:40">
      <c r="A11" s="431">
        <v>20</v>
      </c>
      <c r="B11" s="432"/>
      <c r="C11" s="433"/>
      <c r="D11" s="433"/>
      <c r="E11" s="433"/>
      <c r="F11" s="433"/>
      <c r="G11" s="433"/>
      <c r="H11" s="433"/>
      <c r="I11" s="433"/>
      <c r="J11" s="433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4"/>
      <c r="AA11" s="434"/>
      <c r="AB11" s="434"/>
      <c r="AC11" s="434"/>
      <c r="AD11" s="434"/>
      <c r="AE11" s="434"/>
      <c r="AF11" s="433"/>
      <c r="AG11" s="433"/>
      <c r="AH11" s="435"/>
      <c r="AI11" s="436">
        <v>0</v>
      </c>
      <c r="AJ11" s="437">
        <v>0</v>
      </c>
      <c r="AK11" s="438">
        <v>0</v>
      </c>
      <c r="AL11" s="438">
        <v>0</v>
      </c>
      <c r="AM11" s="438">
        <v>0</v>
      </c>
      <c r="AN11" s="439">
        <v>0</v>
      </c>
    </row>
    <row r="12" spans="1:40">
      <c r="A12" s="440">
        <v>19</v>
      </c>
      <c r="B12" s="441"/>
      <c r="C12" s="442"/>
      <c r="D12" s="442"/>
      <c r="E12" s="442"/>
      <c r="F12" s="442"/>
      <c r="G12" s="442"/>
      <c r="H12" s="442"/>
      <c r="I12" s="442"/>
      <c r="J12" s="442"/>
      <c r="K12" s="442"/>
      <c r="L12" s="442"/>
      <c r="M12" s="442"/>
      <c r="N12" s="442"/>
      <c r="O12" s="442"/>
      <c r="P12" s="442"/>
      <c r="Q12" s="442"/>
      <c r="R12" s="442"/>
      <c r="S12" s="442"/>
      <c r="T12" s="442"/>
      <c r="U12" s="442"/>
      <c r="V12" s="442"/>
      <c r="W12" s="442"/>
      <c r="X12" s="442"/>
      <c r="Y12" s="442"/>
      <c r="Z12" s="443"/>
      <c r="AA12" s="443"/>
      <c r="AB12" s="443"/>
      <c r="AC12" s="443"/>
      <c r="AD12" s="443"/>
      <c r="AE12" s="443"/>
      <c r="AF12" s="442"/>
      <c r="AG12" s="442"/>
      <c r="AH12" s="444"/>
      <c r="AI12" s="445">
        <v>0</v>
      </c>
      <c r="AJ12" s="446">
        <v>0</v>
      </c>
      <c r="AK12" s="447">
        <v>0</v>
      </c>
      <c r="AL12" s="447">
        <v>0</v>
      </c>
      <c r="AM12" s="447">
        <v>0</v>
      </c>
      <c r="AN12" s="448">
        <v>0</v>
      </c>
    </row>
    <row r="13" spans="1:40">
      <c r="A13" s="440">
        <v>18</v>
      </c>
      <c r="B13" s="441"/>
      <c r="C13" s="442"/>
      <c r="D13" s="442"/>
      <c r="E13" s="442"/>
      <c r="F13" s="442"/>
      <c r="G13" s="442"/>
      <c r="H13" s="442"/>
      <c r="I13" s="442"/>
      <c r="J13" s="442"/>
      <c r="K13" s="442"/>
      <c r="L13" s="442"/>
      <c r="M13" s="442"/>
      <c r="N13" s="442"/>
      <c r="O13" s="442"/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3"/>
      <c r="AA13" s="443"/>
      <c r="AB13" s="443"/>
      <c r="AC13" s="443"/>
      <c r="AD13" s="443"/>
      <c r="AE13" s="443"/>
      <c r="AF13" s="442"/>
      <c r="AG13" s="442"/>
      <c r="AH13" s="444"/>
      <c r="AI13" s="445">
        <v>0</v>
      </c>
      <c r="AJ13" s="437">
        <v>0</v>
      </c>
      <c r="AK13" s="438">
        <v>0</v>
      </c>
      <c r="AL13" s="438">
        <v>0</v>
      </c>
      <c r="AM13" s="438">
        <v>0</v>
      </c>
      <c r="AN13" s="439">
        <v>0</v>
      </c>
    </row>
    <row r="14" spans="1:40">
      <c r="A14" s="440">
        <v>17</v>
      </c>
      <c r="B14" s="441"/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2"/>
      <c r="P14" s="442"/>
      <c r="Q14" s="442"/>
      <c r="R14" s="442"/>
      <c r="S14" s="442"/>
      <c r="T14" s="442"/>
      <c r="U14" s="442"/>
      <c r="V14" s="442"/>
      <c r="W14" s="442"/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4"/>
      <c r="AI14" s="445">
        <v>0</v>
      </c>
      <c r="AJ14" s="446">
        <v>0</v>
      </c>
      <c r="AK14" s="447">
        <v>0</v>
      </c>
      <c r="AL14" s="447">
        <v>0</v>
      </c>
      <c r="AM14" s="447">
        <v>0</v>
      </c>
      <c r="AN14" s="448">
        <v>0</v>
      </c>
    </row>
    <row r="15" spans="1:40">
      <c r="A15" s="440">
        <v>16</v>
      </c>
      <c r="B15" s="441"/>
      <c r="C15" s="442"/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2"/>
      <c r="O15" s="442"/>
      <c r="P15" s="442"/>
      <c r="Q15" s="442"/>
      <c r="R15" s="442"/>
      <c r="S15" s="442"/>
      <c r="T15" s="449"/>
      <c r="U15" s="442"/>
      <c r="V15" s="442"/>
      <c r="W15" s="442"/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4"/>
      <c r="AI15" s="445">
        <v>0</v>
      </c>
      <c r="AJ15" s="437">
        <v>0</v>
      </c>
      <c r="AK15" s="438">
        <v>0</v>
      </c>
      <c r="AL15" s="438">
        <v>0</v>
      </c>
      <c r="AM15" s="438">
        <v>0</v>
      </c>
      <c r="AN15" s="439">
        <v>0</v>
      </c>
    </row>
    <row r="16" spans="1:40">
      <c r="A16" s="440">
        <v>15</v>
      </c>
      <c r="B16" s="441"/>
      <c r="C16" s="442"/>
      <c r="D16" s="442"/>
      <c r="E16" s="442"/>
      <c r="F16" s="442"/>
      <c r="G16" s="442"/>
      <c r="H16" s="442"/>
      <c r="I16" s="442"/>
      <c r="J16" s="442"/>
      <c r="K16" s="442"/>
      <c r="L16" s="442"/>
      <c r="M16" s="442"/>
      <c r="N16" s="442"/>
      <c r="O16" s="442"/>
      <c r="P16" s="442"/>
      <c r="Q16" s="442"/>
      <c r="R16" s="442"/>
      <c r="S16" s="442"/>
      <c r="T16" s="442"/>
      <c r="U16" s="442"/>
      <c r="V16" s="442"/>
      <c r="W16" s="442"/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4"/>
      <c r="AI16" s="445">
        <v>0</v>
      </c>
      <c r="AJ16" s="446">
        <v>0</v>
      </c>
      <c r="AK16" s="447">
        <v>0</v>
      </c>
      <c r="AL16" s="447">
        <v>0</v>
      </c>
      <c r="AM16" s="447">
        <v>0</v>
      </c>
      <c r="AN16" s="448">
        <v>0</v>
      </c>
    </row>
    <row r="17" spans="1:40">
      <c r="A17" s="440">
        <v>14</v>
      </c>
      <c r="B17" s="441"/>
      <c r="C17" s="442"/>
      <c r="D17" s="442"/>
      <c r="E17" s="442"/>
      <c r="F17" s="442"/>
      <c r="G17" s="442"/>
      <c r="H17" s="442"/>
      <c r="I17" s="442"/>
      <c r="J17" s="442"/>
      <c r="K17" s="442"/>
      <c r="L17" s="442"/>
      <c r="M17" s="442"/>
      <c r="N17" s="442"/>
      <c r="O17" s="442"/>
      <c r="P17" s="442"/>
      <c r="Q17" s="442"/>
      <c r="R17" s="442"/>
      <c r="S17" s="442"/>
      <c r="T17" s="442"/>
      <c r="U17" s="442"/>
      <c r="V17" s="442"/>
      <c r="W17" s="442"/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4"/>
      <c r="AI17" s="445">
        <v>0</v>
      </c>
      <c r="AJ17" s="446">
        <v>0</v>
      </c>
      <c r="AK17" s="447">
        <v>0</v>
      </c>
      <c r="AL17" s="447">
        <v>0</v>
      </c>
      <c r="AM17" s="447">
        <v>0</v>
      </c>
      <c r="AN17" s="448">
        <v>0</v>
      </c>
    </row>
    <row r="18" spans="1:40">
      <c r="A18" s="440">
        <v>13</v>
      </c>
      <c r="B18" s="441"/>
      <c r="C18" s="442"/>
      <c r="D18" s="442"/>
      <c r="E18" s="442"/>
      <c r="F18" s="442"/>
      <c r="G18" s="442"/>
      <c r="H18" s="442"/>
      <c r="I18" s="442"/>
      <c r="J18" s="442"/>
      <c r="K18" s="442"/>
      <c r="L18" s="442"/>
      <c r="M18" s="442"/>
      <c r="N18" s="442"/>
      <c r="O18" s="442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4"/>
      <c r="AI18" s="445">
        <v>0</v>
      </c>
      <c r="AJ18" s="446">
        <v>0</v>
      </c>
      <c r="AK18" s="447">
        <v>0</v>
      </c>
      <c r="AL18" s="447">
        <v>0</v>
      </c>
      <c r="AM18" s="447">
        <v>0</v>
      </c>
      <c r="AN18" s="448">
        <v>0</v>
      </c>
    </row>
    <row r="19" spans="1:40">
      <c r="A19" s="440">
        <v>12</v>
      </c>
      <c r="B19" s="441"/>
      <c r="C19" s="442"/>
      <c r="D19" s="442"/>
      <c r="E19" s="442"/>
      <c r="F19" s="442"/>
      <c r="G19" s="442"/>
      <c r="H19" s="442"/>
      <c r="I19" s="442"/>
      <c r="J19" s="442"/>
      <c r="K19" s="442"/>
      <c r="L19" s="442"/>
      <c r="M19" s="442"/>
      <c r="N19" s="442"/>
      <c r="O19" s="442"/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4"/>
      <c r="AI19" s="445">
        <v>0</v>
      </c>
      <c r="AJ19" s="446">
        <v>0</v>
      </c>
      <c r="AK19" s="447">
        <v>0</v>
      </c>
      <c r="AL19" s="447">
        <v>0</v>
      </c>
      <c r="AM19" s="447">
        <v>0</v>
      </c>
      <c r="AN19" s="448">
        <v>0</v>
      </c>
    </row>
    <row r="20" spans="1:40">
      <c r="A20" s="440">
        <v>11</v>
      </c>
      <c r="B20" s="441"/>
      <c r="C20" s="442"/>
      <c r="D20" s="442"/>
      <c r="E20" s="442"/>
      <c r="F20" s="442"/>
      <c r="G20" s="442"/>
      <c r="H20" s="442"/>
      <c r="I20" s="442"/>
      <c r="J20" s="442"/>
      <c r="K20" s="442"/>
      <c r="L20" s="442"/>
      <c r="M20" s="442"/>
      <c r="N20" s="442"/>
      <c r="O20" s="442"/>
      <c r="P20" s="442"/>
      <c r="Q20" s="442"/>
      <c r="R20" s="442"/>
      <c r="S20" s="442"/>
      <c r="T20" s="442"/>
      <c r="U20" s="442"/>
      <c r="V20" s="442"/>
      <c r="W20" s="442"/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4"/>
      <c r="AI20" s="445">
        <v>0</v>
      </c>
      <c r="AJ20" s="446">
        <v>0</v>
      </c>
      <c r="AK20" s="447">
        <v>0</v>
      </c>
      <c r="AL20" s="447">
        <v>0</v>
      </c>
      <c r="AM20" s="447">
        <v>0</v>
      </c>
      <c r="AN20" s="448">
        <v>0</v>
      </c>
    </row>
    <row r="21" spans="1:40">
      <c r="A21" s="440">
        <v>10</v>
      </c>
      <c r="B21" s="441"/>
      <c r="C21" s="450"/>
      <c r="D21" s="442"/>
      <c r="E21" s="442"/>
      <c r="F21" s="442"/>
      <c r="G21" s="442"/>
      <c r="H21" s="442"/>
      <c r="I21" s="442"/>
      <c r="J21" s="442"/>
      <c r="K21" s="442"/>
      <c r="L21" s="442"/>
      <c r="M21" s="442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4"/>
      <c r="AI21" s="445">
        <v>0</v>
      </c>
      <c r="AJ21" s="446">
        <v>0</v>
      </c>
      <c r="AK21" s="447">
        <v>0</v>
      </c>
      <c r="AL21" s="447">
        <v>0</v>
      </c>
      <c r="AM21" s="447">
        <v>0</v>
      </c>
      <c r="AN21" s="448">
        <v>0</v>
      </c>
    </row>
    <row r="22" spans="1:40">
      <c r="A22" s="440">
        <v>9</v>
      </c>
      <c r="B22" s="441"/>
      <c r="C22" s="442"/>
      <c r="D22" s="442"/>
      <c r="E22" s="442"/>
      <c r="F22" s="442"/>
      <c r="G22" s="442"/>
      <c r="H22" s="442"/>
      <c r="I22" s="442"/>
      <c r="J22" s="442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4"/>
      <c r="AI22" s="445">
        <f t="shared" ref="AI22:AI24" si="0">COUNTIF(D22:AH22, "&gt;0")</f>
        <v>0</v>
      </c>
      <c r="AJ22" s="446">
        <v>0</v>
      </c>
      <c r="AK22" s="447">
        <v>0</v>
      </c>
      <c r="AL22" s="447">
        <v>0</v>
      </c>
      <c r="AM22" s="447">
        <v>0</v>
      </c>
      <c r="AN22" s="448">
        <v>0</v>
      </c>
    </row>
    <row r="23" spans="1:40">
      <c r="A23" s="440">
        <v>8</v>
      </c>
      <c r="B23" s="451"/>
      <c r="C23" s="452"/>
      <c r="D23" s="452"/>
      <c r="E23" s="452"/>
      <c r="F23" s="452"/>
      <c r="G23" s="452"/>
      <c r="H23" s="452"/>
      <c r="I23" s="452"/>
      <c r="J23" s="452"/>
      <c r="K23" s="452"/>
      <c r="L23" s="452"/>
      <c r="M23" s="452"/>
      <c r="N23" s="453"/>
      <c r="O23" s="454"/>
      <c r="P23" s="454"/>
      <c r="Q23" s="454"/>
      <c r="R23" s="454"/>
      <c r="S23" s="454"/>
      <c r="T23" s="454"/>
      <c r="U23" s="454"/>
      <c r="V23" s="454"/>
      <c r="W23" s="455"/>
      <c r="X23" s="454"/>
      <c r="Y23" s="454"/>
      <c r="Z23" s="454"/>
      <c r="AA23" s="454"/>
      <c r="AB23" s="454"/>
      <c r="AC23" s="454"/>
      <c r="AD23" s="454"/>
      <c r="AE23" s="454"/>
      <c r="AF23" s="454"/>
      <c r="AG23" s="454"/>
      <c r="AH23" s="456"/>
      <c r="AI23" s="445">
        <f t="shared" si="0"/>
        <v>0</v>
      </c>
      <c r="AJ23" s="446">
        <v>0</v>
      </c>
      <c r="AK23" s="447">
        <v>0</v>
      </c>
      <c r="AL23" s="447">
        <v>0</v>
      </c>
      <c r="AM23" s="447">
        <v>0</v>
      </c>
      <c r="AN23" s="448">
        <v>0</v>
      </c>
    </row>
    <row r="24" spans="1:40" ht="16">
      <c r="A24" s="440">
        <v>7</v>
      </c>
      <c r="B24" s="457"/>
      <c r="C24" s="458"/>
      <c r="D24" s="459"/>
      <c r="E24" s="459"/>
      <c r="F24" s="459"/>
      <c r="G24" s="459"/>
      <c r="H24" s="454"/>
      <c r="I24" s="454"/>
      <c r="J24" s="452"/>
      <c r="K24" s="452"/>
      <c r="L24" s="454"/>
      <c r="M24" s="454"/>
      <c r="N24" s="452"/>
      <c r="O24" s="452"/>
      <c r="P24" s="454"/>
      <c r="Q24" s="454"/>
      <c r="R24" s="452"/>
      <c r="S24" s="452"/>
      <c r="T24" s="454"/>
      <c r="U24" s="454"/>
      <c r="V24" s="454"/>
      <c r="W24" s="452"/>
      <c r="X24" s="452"/>
      <c r="Y24" s="454"/>
      <c r="Z24" s="454"/>
      <c r="AA24" s="454"/>
      <c r="AB24" s="452"/>
      <c r="AC24" s="452"/>
      <c r="AD24" s="454"/>
      <c r="AE24" s="454"/>
      <c r="AF24" s="454"/>
      <c r="AG24" s="454"/>
      <c r="AH24" s="452"/>
      <c r="AI24" s="445">
        <f t="shared" si="0"/>
        <v>0</v>
      </c>
      <c r="AJ24" s="446">
        <v>0</v>
      </c>
      <c r="AK24" s="447">
        <v>0</v>
      </c>
      <c r="AL24" s="447">
        <v>0</v>
      </c>
      <c r="AM24" s="447">
        <v>0</v>
      </c>
      <c r="AN24" s="448">
        <v>0</v>
      </c>
    </row>
    <row r="25" spans="1:40" ht="16">
      <c r="A25" s="460">
        <v>6</v>
      </c>
      <c r="B25" s="457"/>
      <c r="C25" s="458"/>
      <c r="D25" s="461"/>
      <c r="E25" s="461"/>
      <c r="F25" s="461"/>
      <c r="G25" s="459"/>
      <c r="H25" s="462"/>
      <c r="I25" s="462"/>
      <c r="J25" s="463"/>
      <c r="K25" s="463"/>
      <c r="L25" s="463"/>
      <c r="M25" s="463"/>
      <c r="N25" s="463"/>
      <c r="O25" s="463"/>
      <c r="P25" s="463"/>
      <c r="Q25" s="463"/>
      <c r="R25" s="463"/>
      <c r="S25" s="452"/>
      <c r="T25" s="462"/>
      <c r="U25" s="462"/>
      <c r="V25" s="462"/>
      <c r="W25" s="463"/>
      <c r="X25" s="463"/>
      <c r="Y25" s="462"/>
      <c r="Z25" s="462"/>
      <c r="AA25" s="462"/>
      <c r="AB25" s="464"/>
      <c r="AC25" s="463"/>
      <c r="AD25" s="462"/>
      <c r="AE25" s="462"/>
      <c r="AF25" s="462"/>
      <c r="AG25" s="462"/>
      <c r="AH25" s="463"/>
      <c r="AI25" s="465">
        <f>COUNTIF(D25:AH25,"&gt;0")</f>
        <v>0</v>
      </c>
      <c r="AJ25" s="466">
        <f t="shared" ref="AJ25:AJ30" si="1">SUMIF(D25:AH25,"&gt;0")</f>
        <v>0</v>
      </c>
      <c r="AK25" s="467">
        <f>COUNTIF(D25:AH25,"В")</f>
        <v>0</v>
      </c>
      <c r="AL25" s="467">
        <f>COUNTIF(E25:AI25,"о")</f>
        <v>0</v>
      </c>
      <c r="AM25" s="467">
        <f>COUNTIF(F25:AJ25,"б")</f>
        <v>0</v>
      </c>
      <c r="AN25" s="468">
        <v>0</v>
      </c>
    </row>
    <row r="26" spans="1:40" ht="16">
      <c r="A26" s="469">
        <v>5</v>
      </c>
      <c r="B26" s="457"/>
      <c r="C26" s="454"/>
      <c r="D26" s="459"/>
      <c r="E26" s="459"/>
      <c r="F26" s="459"/>
      <c r="G26" s="459"/>
      <c r="H26" s="459"/>
      <c r="I26" s="452"/>
      <c r="J26" s="454"/>
      <c r="K26" s="454"/>
      <c r="L26" s="454"/>
      <c r="M26" s="454"/>
      <c r="N26" s="454"/>
      <c r="O26" s="452"/>
      <c r="P26" s="452"/>
      <c r="Q26" s="454"/>
      <c r="R26" s="452"/>
      <c r="S26" s="459"/>
      <c r="T26" s="452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2"/>
      <c r="AI26" s="470">
        <f>COUNTIF(D26:AH26, "&gt;0")</f>
        <v>0</v>
      </c>
      <c r="AJ26" s="471">
        <f t="shared" si="1"/>
        <v>0</v>
      </c>
      <c r="AK26" s="472">
        <f>COUNTIF(D26:AH26, "В")</f>
        <v>0</v>
      </c>
      <c r="AL26" s="472">
        <v>0</v>
      </c>
      <c r="AM26" s="472">
        <v>0</v>
      </c>
      <c r="AN26" s="473">
        <v>0</v>
      </c>
    </row>
    <row r="27" spans="1:40" ht="16">
      <c r="A27" s="474">
        <v>4</v>
      </c>
      <c r="B27" s="451"/>
      <c r="C27" s="475"/>
      <c r="D27" s="459"/>
      <c r="E27" s="452"/>
      <c r="F27" s="459"/>
      <c r="G27" s="459"/>
      <c r="H27" s="459"/>
      <c r="I27" s="452"/>
      <c r="J27" s="452"/>
      <c r="K27" s="459"/>
      <c r="L27" s="459"/>
      <c r="M27" s="459"/>
      <c r="N27" s="454"/>
      <c r="O27" s="454"/>
      <c r="P27" s="459"/>
      <c r="Q27" s="459"/>
      <c r="R27" s="459"/>
      <c r="S27" s="452"/>
      <c r="T27" s="452"/>
      <c r="U27" s="459"/>
      <c r="V27" s="459"/>
      <c r="W27" s="459"/>
      <c r="X27" s="459"/>
      <c r="Y27" s="459"/>
      <c r="Z27" s="459"/>
      <c r="AA27" s="459"/>
      <c r="AB27" s="459"/>
      <c r="AC27" s="459"/>
      <c r="AD27" s="459"/>
      <c r="AE27" s="459"/>
      <c r="AF27" s="459"/>
      <c r="AG27" s="459"/>
      <c r="AH27" s="459"/>
      <c r="AI27" s="476">
        <f t="shared" ref="AI27:AI29" si="2">COUNTIF(D27:AH27,"&gt;0")</f>
        <v>0</v>
      </c>
      <c r="AJ27" s="466">
        <f t="shared" si="1"/>
        <v>0</v>
      </c>
      <c r="AK27" s="467">
        <f t="shared" ref="AK27:AK29" si="3">COUNTIF(D27:AH27,"В")</f>
        <v>0</v>
      </c>
      <c r="AL27" s="467">
        <f t="shared" ref="AL27:AL29" si="4">COUNTIF(E27:AI27,"о")</f>
        <v>0</v>
      </c>
      <c r="AM27" s="467">
        <f t="shared" ref="AM27:AM29" si="5">COUNTIF(F27:AJ27,"б")</f>
        <v>0</v>
      </c>
      <c r="AN27" s="477">
        <v>0</v>
      </c>
    </row>
    <row r="28" spans="1:40" ht="16">
      <c r="A28" s="460">
        <v>3</v>
      </c>
      <c r="B28" s="457" t="s">
        <v>117</v>
      </c>
      <c r="C28" s="475" t="s">
        <v>92</v>
      </c>
      <c r="D28" s="478">
        <v>13</v>
      </c>
      <c r="E28" s="478">
        <v>9</v>
      </c>
      <c r="F28" s="478">
        <v>13</v>
      </c>
      <c r="G28" s="459" t="s">
        <v>67</v>
      </c>
      <c r="H28" s="478">
        <v>11</v>
      </c>
      <c r="I28" s="478">
        <v>9</v>
      </c>
      <c r="J28" s="478">
        <v>10</v>
      </c>
      <c r="K28" s="479">
        <v>13</v>
      </c>
      <c r="L28" s="459" t="s">
        <v>67</v>
      </c>
      <c r="M28" s="478">
        <v>13</v>
      </c>
      <c r="N28" s="478">
        <v>11</v>
      </c>
      <c r="O28" s="479" t="s">
        <v>67</v>
      </c>
      <c r="P28" s="479">
        <v>13</v>
      </c>
      <c r="Q28" s="459">
        <v>9</v>
      </c>
      <c r="R28" s="480">
        <v>10</v>
      </c>
      <c r="S28" s="480">
        <v>13</v>
      </c>
      <c r="T28" s="481" t="s">
        <v>67</v>
      </c>
      <c r="U28" s="481" t="s">
        <v>67</v>
      </c>
      <c r="V28" s="480">
        <v>13</v>
      </c>
      <c r="W28" s="480">
        <v>13</v>
      </c>
      <c r="X28" s="481">
        <v>10</v>
      </c>
      <c r="Y28" s="482" t="s">
        <v>67</v>
      </c>
      <c r="Z28" s="481">
        <v>12</v>
      </c>
      <c r="AA28" s="480">
        <v>9</v>
      </c>
      <c r="AB28" s="481" t="s">
        <v>67</v>
      </c>
      <c r="AC28" s="482">
        <v>12</v>
      </c>
      <c r="AD28" s="483">
        <v>6</v>
      </c>
      <c r="AE28" s="481">
        <v>12</v>
      </c>
      <c r="AF28" s="480">
        <v>7</v>
      </c>
      <c r="AG28" s="480" t="s">
        <v>67</v>
      </c>
      <c r="AH28" s="459"/>
      <c r="AI28" s="476">
        <f t="shared" si="2"/>
        <v>22</v>
      </c>
      <c r="AJ28" s="466">
        <f t="shared" si="1"/>
        <v>241</v>
      </c>
      <c r="AK28" s="467">
        <f t="shared" si="3"/>
        <v>8</v>
      </c>
      <c r="AL28" s="467">
        <f t="shared" si="4"/>
        <v>0</v>
      </c>
      <c r="AM28" s="467">
        <f t="shared" si="5"/>
        <v>0</v>
      </c>
      <c r="AN28" s="468">
        <v>0</v>
      </c>
    </row>
    <row r="29" spans="1:40" ht="16">
      <c r="A29" s="460">
        <v>2</v>
      </c>
      <c r="B29" s="484" t="s">
        <v>118</v>
      </c>
      <c r="C29" s="475" t="s">
        <v>119</v>
      </c>
      <c r="D29" s="478">
        <v>9</v>
      </c>
      <c r="E29" s="478">
        <v>13</v>
      </c>
      <c r="F29" s="478">
        <v>9</v>
      </c>
      <c r="G29" s="478">
        <v>13</v>
      </c>
      <c r="H29" s="478">
        <v>9</v>
      </c>
      <c r="I29" s="478">
        <v>11</v>
      </c>
      <c r="J29" s="478">
        <v>8</v>
      </c>
      <c r="K29" s="478">
        <v>9</v>
      </c>
      <c r="L29" s="478">
        <v>13</v>
      </c>
      <c r="M29" s="478">
        <v>9</v>
      </c>
      <c r="N29" s="478">
        <v>9</v>
      </c>
      <c r="O29" s="478">
        <v>13</v>
      </c>
      <c r="P29" s="478">
        <v>9</v>
      </c>
      <c r="Q29" s="478">
        <v>11</v>
      </c>
      <c r="R29" s="481">
        <v>10</v>
      </c>
      <c r="S29" s="480">
        <v>10</v>
      </c>
      <c r="T29" s="480">
        <v>13</v>
      </c>
      <c r="U29" s="480">
        <v>12.5</v>
      </c>
      <c r="V29" s="481">
        <v>8</v>
      </c>
      <c r="W29" s="480">
        <v>11</v>
      </c>
      <c r="X29" s="480">
        <v>11</v>
      </c>
      <c r="Y29" s="480">
        <v>12</v>
      </c>
      <c r="Z29" s="480">
        <v>8</v>
      </c>
      <c r="AA29" s="480">
        <v>10</v>
      </c>
      <c r="AB29" s="480">
        <v>12</v>
      </c>
      <c r="AC29" s="480">
        <v>5</v>
      </c>
      <c r="AD29" s="480">
        <v>12</v>
      </c>
      <c r="AE29" s="481">
        <v>6</v>
      </c>
      <c r="AF29" s="481">
        <v>9</v>
      </c>
      <c r="AG29" s="480">
        <v>12</v>
      </c>
      <c r="AH29" s="459"/>
      <c r="AI29" s="476">
        <f t="shared" si="2"/>
        <v>30</v>
      </c>
      <c r="AJ29" s="466">
        <f t="shared" si="1"/>
        <v>306.5</v>
      </c>
      <c r="AK29" s="467">
        <f t="shared" si="3"/>
        <v>0</v>
      </c>
      <c r="AL29" s="467">
        <f t="shared" si="4"/>
        <v>0</v>
      </c>
      <c r="AM29" s="467">
        <f t="shared" si="5"/>
        <v>0</v>
      </c>
      <c r="AN29" s="468">
        <v>0</v>
      </c>
    </row>
    <row r="30" spans="1:40" ht="16">
      <c r="A30" s="485">
        <v>1</v>
      </c>
      <c r="B30" s="486"/>
      <c r="C30" s="487"/>
      <c r="D30" s="488"/>
      <c r="E30" s="459"/>
      <c r="F30" s="459"/>
      <c r="G30" s="459"/>
      <c r="H30" s="459"/>
      <c r="I30" s="459"/>
      <c r="J30" s="459"/>
      <c r="K30" s="459"/>
      <c r="L30" s="489"/>
      <c r="M30" s="459"/>
      <c r="N30" s="459"/>
      <c r="O30" s="459"/>
      <c r="P30" s="459"/>
      <c r="Q30" s="459"/>
      <c r="R30" s="459"/>
      <c r="S30" s="459"/>
      <c r="T30" s="459"/>
      <c r="U30" s="490"/>
      <c r="V30" s="491"/>
      <c r="W30" s="459"/>
      <c r="X30" s="459"/>
      <c r="Y30" s="459"/>
      <c r="Z30" s="459"/>
      <c r="AA30" s="459"/>
      <c r="AB30" s="459"/>
      <c r="AC30" s="459"/>
      <c r="AD30" s="459"/>
      <c r="AE30" s="459"/>
      <c r="AF30" s="459"/>
      <c r="AG30" s="459"/>
      <c r="AH30" s="459"/>
      <c r="AI30" s="492">
        <f>COUNTIF(D30:AH30, "&gt;0")</f>
        <v>0</v>
      </c>
      <c r="AJ30" s="471">
        <f t="shared" si="1"/>
        <v>0</v>
      </c>
      <c r="AK30" s="493">
        <f>COUNTIF(D30:AH30, "В")</f>
        <v>0</v>
      </c>
      <c r="AL30" s="493">
        <f>COUNTIF(E30:AI30, "о")</f>
        <v>0</v>
      </c>
      <c r="AM30" s="493">
        <f>COUNTIF(F30:AJ30, "б")</f>
        <v>0</v>
      </c>
      <c r="AN30" s="494">
        <v>0</v>
      </c>
    </row>
    <row r="31" spans="1:40">
      <c r="A31" s="495"/>
      <c r="B31" s="496" t="s">
        <v>120</v>
      </c>
      <c r="C31" s="497"/>
      <c r="D31" s="498">
        <f t="shared" ref="D31:J31" si="6">COUNTIF(D11:D30, "&gt;0")</f>
        <v>2</v>
      </c>
      <c r="E31" s="496">
        <f t="shared" si="6"/>
        <v>2</v>
      </c>
      <c r="F31" s="496">
        <f t="shared" si="6"/>
        <v>2</v>
      </c>
      <c r="G31" s="496">
        <f t="shared" si="6"/>
        <v>1</v>
      </c>
      <c r="H31" s="496">
        <f t="shared" si="6"/>
        <v>2</v>
      </c>
      <c r="I31" s="496">
        <f t="shared" si="6"/>
        <v>2</v>
      </c>
      <c r="J31" s="496">
        <f t="shared" si="6"/>
        <v>2</v>
      </c>
      <c r="K31" s="496">
        <f>COUNTIF(K11:K29, "&gt;0")</f>
        <v>2</v>
      </c>
      <c r="L31" s="496">
        <f t="shared" ref="L31:AH31" si="7">COUNTIF(L11:L30, "&gt;0")</f>
        <v>1</v>
      </c>
      <c r="M31" s="496">
        <f t="shared" si="7"/>
        <v>2</v>
      </c>
      <c r="N31" s="496">
        <f t="shared" si="7"/>
        <v>2</v>
      </c>
      <c r="O31" s="496">
        <f t="shared" si="7"/>
        <v>1</v>
      </c>
      <c r="P31" s="496">
        <f t="shared" si="7"/>
        <v>2</v>
      </c>
      <c r="Q31" s="496">
        <f t="shared" si="7"/>
        <v>2</v>
      </c>
      <c r="R31" s="496">
        <f t="shared" si="7"/>
        <v>2</v>
      </c>
      <c r="S31" s="496">
        <f t="shared" si="7"/>
        <v>2</v>
      </c>
      <c r="T31" s="496">
        <f t="shared" si="7"/>
        <v>1</v>
      </c>
      <c r="U31" s="496">
        <f t="shared" si="7"/>
        <v>1</v>
      </c>
      <c r="V31" s="496">
        <f t="shared" si="7"/>
        <v>2</v>
      </c>
      <c r="W31" s="496">
        <f t="shared" si="7"/>
        <v>2</v>
      </c>
      <c r="X31" s="496">
        <f t="shared" si="7"/>
        <v>2</v>
      </c>
      <c r="Y31" s="496">
        <f t="shared" si="7"/>
        <v>1</v>
      </c>
      <c r="Z31" s="496">
        <f t="shared" si="7"/>
        <v>2</v>
      </c>
      <c r="AA31" s="496">
        <f t="shared" si="7"/>
        <v>2</v>
      </c>
      <c r="AB31" s="496">
        <f t="shared" si="7"/>
        <v>1</v>
      </c>
      <c r="AC31" s="496">
        <f t="shared" si="7"/>
        <v>2</v>
      </c>
      <c r="AD31" s="496">
        <f t="shared" si="7"/>
        <v>2</v>
      </c>
      <c r="AE31" s="496">
        <f t="shared" si="7"/>
        <v>2</v>
      </c>
      <c r="AF31" s="496">
        <f t="shared" si="7"/>
        <v>2</v>
      </c>
      <c r="AG31" s="496">
        <f t="shared" si="7"/>
        <v>1</v>
      </c>
      <c r="AH31" s="499">
        <f t="shared" si="7"/>
        <v>0</v>
      </c>
      <c r="AI31" s="500"/>
      <c r="AJ31" s="501">
        <f>SUM(AJ11:AJ30)</f>
        <v>547.5</v>
      </c>
      <c r="AK31" s="501">
        <f>SUM(AK11:AK30)</f>
        <v>8</v>
      </c>
      <c r="AL31" s="501">
        <f>SUM(AL11:AL30)</f>
        <v>0</v>
      </c>
      <c r="AM31" s="501">
        <f>SUM(AM11:AM30)</f>
        <v>0</v>
      </c>
      <c r="AN31" s="501">
        <f>SUM(AN11:AN30)</f>
        <v>0</v>
      </c>
    </row>
    <row r="33" spans="2:16">
      <c r="B33" s="3" t="s">
        <v>121</v>
      </c>
      <c r="P33" s="3" t="s">
        <v>122</v>
      </c>
    </row>
  </sheetData>
  <mergeCells count="7">
    <mergeCell ref="AJ5:AK5"/>
    <mergeCell ref="AL5:AN5"/>
    <mergeCell ref="C6:AJ6"/>
    <mergeCell ref="C7:AJ7"/>
    <mergeCell ref="AL8:AL10"/>
    <mergeCell ref="AM8:AM10"/>
    <mergeCell ref="AN8:AN10"/>
  </mergeCells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Ялта, Ленина, 18</vt:lpstr>
      <vt:lpstr>Конкурс</vt:lpstr>
      <vt:lpstr>Св. по пок.</vt:lpstr>
      <vt:lpstr>План на день</vt:lpstr>
      <vt:lpstr>Рогалевич И. Е. </vt:lpstr>
      <vt:lpstr>Уразгильдеева Е. Р. </vt:lpstr>
      <vt:lpstr>Вед-ть Рогалевич</vt:lpstr>
      <vt:lpstr>Вед-ть Уразгильдеева</vt:lpstr>
      <vt:lpstr>Вед-ть ПК2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lenadacenko@icloud.com</cp:lastModifiedBy>
  <cp:revision>770</cp:revision>
  <dcterms:created xsi:type="dcterms:W3CDTF">2025-04-30T22:17:27Z</dcterms:created>
  <dcterms:modified xsi:type="dcterms:W3CDTF">2025-10-10T07:47:09Z</dcterms:modified>
</cp:coreProperties>
</file>