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2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mc:Ignorable="unk1 xr xr6 xr10 xr2">
  <s:fileVersion appName="xl" lastEdited="7" lowestEdited="7" rupBuild="10608"/>
  <s:workbookPr/>
  <s:bookViews>
    <s:workbookView xr2:uid="{00000000-000D-0000-FFFF-FFFF00000000}" xWindow="0" yWindow="640" windowWidth="25600" windowHeight="16000"/>
  </s:bookViews>
  <s:sheets>
    <s:sheet name="Ялта, Ленина, 18" sheetId="1" state="visible" r:id="rId1"/>
    <s:sheet name="Св. по пок." sheetId="2" state="visible" r:id="rId2"/>
    <s:sheet name="План на день" sheetId="3" state="visible" r:id="rId3"/>
    <s:sheet name="Рогалевич И. Е." sheetId="4" state="visible" r:id="rId4"/>
    <s:sheet name="Уразгильдеева Е. Р." sheetId="5" state="visible" r:id="rId5"/>
    <s:sheet name="Вафина Л. Ф." sheetId="6" state="visible" r:id="rId6"/>
    <s:sheet name="Яковенко А. К." sheetId="7" state="visible" r:id="rId7"/>
    <s:sheet name="ПК 3" sheetId="8" state="visible" r:id="rId8"/>
    <s:sheet name="Доп сотрудник" sheetId="9" state="visible" r:id="rId9"/>
    <s:sheet name="Вед-ть Рогалевич" sheetId="10" state="visible" r:id="rId10"/>
    <s:sheet name="Вед-ть Вафина" sheetId="11" state="visible" r:id="rId11"/>
    <s:sheet name="Вед-ть Яковенко" sheetId="14" state="visible" r:id="rId12"/>
    <s:sheet name="Вед-ть Уразгильдеева" sheetId="12" state="visible" r:id="rId13"/>
    <s:sheet name="График" sheetId="13" state="visible" r:id="rId14"/>
  </s:sheets>
  <s:definedNames>
    <s:definedName name="маг">NA()</s:definedName>
  </s:definedNames>
  <s:calcPr calcId="191029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<s:sst xmlns:s="http://schemas.openxmlformats.org/spreadsheetml/2006/main" count="851" uniqueCount="140">
  <s:si>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</s:si>
  <s:si>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</s:si>
  <s:si>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</s:si>
  <s:si>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</s:si>
  <s:si>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</s:si>
  <s:si>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</s:si>
  <s:si>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</s:si>
  <s:si>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</s:si>
  <s:si>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</s:si>
  <s:si>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</s:si>
  <s:si>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</s:si>
  <s:si>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</s:si>
  <s:si>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</s:si>
  <s:si>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</s:si>
  <s:si>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</s:si>
  <s:si>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IS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</s:si>
  <s:si>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</s:si>
  <s:si>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</s:si>
  <s:si>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</s:si>
  <s:si>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</s:si>
  <s:si>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</s:si>
  <s:si>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</s:si>
  <s:si>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UNOde50</s:t>
  </s:si>
  <s:si>
    <s:t>Трафик</s:t>
  </s:si>
  <s:si>
    <s:t>Конверсия план/факт</s:t>
  </s:si>
  <s:si>
    <s:t>Факт продаж за месяц</s:t>
  </s:si>
  <s:si>
    <s:t>% выполнения дневного плана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</s:si>
  <s:si>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</s:si>
  <s:si>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</s:si>
  <s:si>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</s:si>
  <s:si>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</s:si>
  <s:si>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</s:si>
  <s:si>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</s:si>
  <s:si>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</s:si>
  <s:si>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</s:si>
  <s:si>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</s:si>
  <s:si>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</s:si>
  <s:si>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Запасной</s:t>
  </s:si>
  <s:si>
    <s:t>Конверсия (%)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</s:si>
  <s:si>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</s:si>
  <s:si>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</s:si>
  <s:si>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</s:si>
  <s:si>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</s:si>
  <s:si>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</s:si>
  <s:si>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</s:si>
  <s:si>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</s:si>
  <s:si>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</s:si>
  <s:si>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Рогалевич, Вафина</s:t>
  </s:si>
  <s:si>
    <s:t>01.июня</s:t>
  </s:si>
  <s:si>
    <s:t>вс</s:t>
  </s:si>
  <s:si>
    <s:t>02.июня</s:t>
  </s:si>
  <s:si>
    <s:t>пн</s:t>
  </s:si>
  <s:si>
    <s:t>Рогалевич,Уразгильдеева</s:t>
  </s:si>
  <s:si>
    <s:t>03.июня</s:t>
  </s:si>
  <s:si>
    <s:t>вт</s:t>
  </s:si>
  <s:si>
    <s:t>Уразгильдеева,Вафина</s:t>
  </s:si>
  <s:si>
    <s:t>ср</s:t>
  </s:si>
  <s:si>
    <s:t>Рогалевич,Вафина</s:t>
  </s:si>
  <s:si>
    <s:t>чт</s:t>
  </s:si>
  <s:si>
    <s:t>пт</s:t>
  </s:si>
  <s:si>
    <s:t>сб</s:t>
  </s:si>
  <s:si>
    <s:t>Уразгильдеева,Яковенко</s:t>
  </s:si>
  <s:si>
    <s:t>Рогалевич,Яковенко,Вафина</s:t>
  </s:si>
  <s:si>
    <s:t>Яковенко,Уразгильдеева</s:t>
  </s:si>
  <s:si>
    <s:t>Рогалевич,Яковенко</s:t>
  </s:si>
  <s:si>
    <s:t>итого</s:t>
  </s:si>
  <s:si>
    <s:t xml:space="preserve">Факт </s:t>
  </s:si>
  <s:si>
    <s:t>Прогноз</s:t>
  </s:si>
  <s:si>
    <s:t>Кол-во смен план/отработано</s:t>
  </s:si>
  <s:si>
    <s:t>Отклонение от плана</s:t>
  </s:si>
  <s:si>
    <s:t>Конверсия</s:t>
  </s:si>
  <s:si>
    <s:t xml:space="preserve">                          ЕЖЕДНЕВНЫЙ ОТЧЕТ О ПРОДАЖАХ</s:t>
  </s:si>
  <s:si>
    <s:t>в</s:t>
  </s:si>
  <s:si>
    <s:t>ЧТ</s:t>
  </s:si>
  <s:si>
    <s:t xml:space="preserve">                                                                                                                       </s:t>
  </s:si>
  <s:si>
    <s:t xml:space="preserve"> 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</s:si>
  <s:si>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</s:si>
  <s:si>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</s:si>
  <s:si>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</s:si>
  <s:si>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</s:si>
  <s:si>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личных продаж</s:t>
  </s:si>
  <s:si>
    <s:t>Бонусная часть от общих продаж</s:t>
  </s:si>
  <s:si>
    <s:t>Базовый бонус за выполнение плана</s:t>
  </s:si>
  <s:si>
    <s:t>Итого: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</s:si>
  <s:si>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</s:si>
  <s:si>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</s:si>
  <s:si>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</s:si>
  <s:si>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</s:si>
  <s:si>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</s:si>
  <s:si>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</s:si>
  <s:si>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</s:si>
  <s:si>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</s:si>
  <s:si>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</s:si>
  <s:si>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</s:si>
  <s:si>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</s:si>
  <s:si>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</s:si>
  <s:si>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</s:si>
  <s:si>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</s:si>
  <s:si>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Начисленный ББ</s:t>
  </s:si>
  <s:si>
    <s:t>ПК</s:t>
  </s:si>
  <s:si>
    <s:t>БонуснаяЧасть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</s:si>
  <s:si>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</s:si>
  <s:si>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</s:si>
  <s:si>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</s:si>
  <s:si>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</s:si>
  <s:si>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</s:si>
  <s:si>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</s:si>
  <s:si>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</s:si>
  <s:si>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НДФЛ июнь 2025</s:t>
  </s:si>
  <s:si>
    <s:t>Компенсация за неиспользованный отпуск</s:t>
  </s:si>
  <s:si>
    <s:t>Вычет за униформу лето 2025</s:t>
  </s:si>
  <s:si>
    <s:t>Вычет за стажировку (105 часов)</s:t>
  </s:si>
  <s:si>
    <s:t>Июнь, 2025</s:t>
  </s:si>
  <s:si>
    <s:t>г. Ялта</s:t>
  </s:si>
  <s:si>
    <s:t>ул. Набережная Ленина, 18</s:t>
  </s:si>
  <s:si>
    <s:t>GL-0005</s:t>
  </s:si>
  <s:si>
    <s:t>10.00-23.00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</s:si>
  <s:si>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</s:si>
  <s:si>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</s:si>
  <s:si>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</s:si>
  <s:si>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</s:si>
  <s:si>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</s:si>
  <s:si>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</s:si>
  <s:si>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</s:si>
  <s:si>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</s:si>
  <s:si>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</s:si>
  <s:si>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</s:si>
  <s:si>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Яковенко Алина</s:t>
  </s:si>
  <s:si>
    <s:t>6с</s:t>
  </s:si>
  <s:si>
    <s:t>13с</s:t>
  </s:si>
  <s:si>
    <s:t>8с</s:t>
  </s:si>
  <s:si>
    <s:t>11с</s:t>
  </s:si>
  <s:si>
    <s:t>Вафина Ляйсан</s:t>
  </s:si>
  <s:si>
    <s:t>у</s:t>
  </s:si>
  <s:si>
    <s:t>Уразгильдеева Екатерина</s:t>
  </s:si>
  <s:si>
    <s:t>Рогалевич Ирина</s:t>
  </s:si>
  <s:si>
    <s:t>УМ</s:t>
  </s:si>
  <s:si>
    <s:t>Итого магазин</s:t>
  </s:si>
  <s:si>
    <s:t xml:space="preserve">    </s:t>
  </s:si>
  <s:si>
    <s:t>Административный %</s:t>
  </s:si>
</s:sst>
</file>

<file path=xl/styles.xml><?xml version="1.0" encoding="utf-8"?>
<s:styleSheet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mc:Ignorable="x14ac x16r2 xr">
  <s:numFmts count="11">
    <s:numFmt numFmtId="5" formatCode="#,##0\ &quot;₽&quot;;\-#,##0\ &quot;₽&quot;"/>
    <s:numFmt numFmtId="164" formatCode="dddd&quot;, &quot;mmmm\ dd&quot;, &quot;yyyy"/>
    <s:numFmt numFmtId="165" formatCode="0.0%"/>
    <s:numFmt numFmtId="166" formatCode="#,##0\ &quot;₽&quot;"/>
    <s:numFmt numFmtId="167" formatCode="#,##0.0"/>
    <s:numFmt numFmtId="168" formatCode="_-* #,##0.00_р_._-;\-* #,##0.00_р_._-;_-* \-??_р_._-;_-@_-"/>
    <s:numFmt numFmtId="169" formatCode="#,##0.00\ &quot;₽&quot;"/>
    <s:numFmt numFmtId="170" formatCode="#,##0\ _₽"/>
    <s:numFmt numFmtId="171" formatCode="#,##0.00\ _₽"/>
    <s:numFmt numFmtId="172" formatCode="0.0"/>
    <s:numFmt numFmtId="173" formatCode="mmmm\ yyyy;@"/>
  </s:numFmts>
  <s:fonts count="56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indexed="63"/>
      <s:sz val="8"/>
    </s:font>
    <s:font>
      <s:name val="Clinica Pro Regular"/>
      <s:color theme="1"/>
      <s:sz val="9"/>
    </s:font>
    <s:font>
      <s:name val="Clinica Pro Regular"/>
      <s:color indexed="63"/>
      <s:sz val="10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b val="1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sz val="12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color theme="0"/>
      <s:sz val="10"/>
    </s:font>
    <s:font>
      <s:name val="Clinica Pro Regular"/>
      <s:b val="1"/>
      <s:sz val="11"/>
    </s:font>
    <s:font>
      <s:name val="Clinica Pro Regular"/>
      <s:color theme="1"/>
      <s:sz val="12"/>
    </s:font>
    <s:font>
      <s:name val="Calibri"/>
      <s:family val="2"/>
      <s:color indexed="63"/>
      <s:sz val="11"/>
    </s:font>
    <s:font>
      <s:name val="Clinica Pro Regular"/>
      <s:charset val="204"/>
      <s:color rgb="FF413003"/>
      <s:sz val="8"/>
    </s:font>
    <s:font>
      <s:name val="Clinica Pro Regular"/>
      <s:charset val="204"/>
      <s:b val="1"/>
      <s:sz val="8"/>
    </s:font>
    <s:font>
      <s:name val="Clinica Pro Regular"/>
      <s:charset val="204"/>
      <s:b val="1"/>
      <s:color rgb="FF413003"/>
      <s:sz val="8"/>
    </s:font>
  </s:fonts>
  <s:fills count="36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6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theme="0"/>
        <s:bgColor rgb="FF66FFFF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theme="0"/>
        <s:bgColor theme="0"/>
      </s:patternFill>
    </s:fill>
    <s:fill>
      <s:patternFill patternType="solid">
        <s:fgColor rgb="FFCCFF00"/>
        <s:bgColor indexed="5"/>
      </s:patternFill>
    </s:fill>
    <s:fill>
      <s:patternFill patternType="solid">
        <s:fgColor theme="2"/>
        <s:bgColor rgb="FF4ACCD3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3" tint="0.8"/>
        <s:bgColor theme="3" tint="0.8"/>
      </s:patternFill>
    </s:fill>
    <s:fill>
      <s:patternFill patternType="solid">
        <s:fgColor theme="3" tint="0.8"/>
        <s:bgColor theme="0"/>
      </s:patternFill>
    </s:fill>
  </s:fills>
  <s:borders count="123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/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/>
      <s:right style="medium">
        <s:color auto="1"/>
      </s:right>
      <s:top/>
      <s:bottom/>
      <s:diagonal/>
    </s:border>
    <s:border>
      <s:left style="medium">
        <s:color auto="1"/>
      </s:left>
      <s:right/>
      <s:top/>
      <s:bottom style="thin">
        <s:color rgb="FFCCC085"/>
      </s:bottom>
      <s:diagonal/>
    </s:border>
    <s:border>
      <s:left style="thin">
        <s:color rgb="FFCCC085"/>
      </s:left>
      <s:right/>
      <s:top/>
      <s:bottom style="thin">
        <s:color rgb="FFCCC085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rgb="FFCCC085"/>
      </s:bottom>
      <s:diagonal/>
    </s:border>
    <s:border>
      <s:left/>
      <s:right/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/>
      <s:top style="thin">
        <s:color rgb="FFCCC085"/>
      </s:top>
      <s:bottom style="thin">
        <s:color rgb="FFCCC085"/>
      </s:bottom>
      <s:diagonal/>
    </s:border>
    <s:border>
      <s:left/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 style="thin">
        <s:color rgb="FFB3AC86"/>
      </s:left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 style="thin">
        <s:color rgb="FFB3AC86"/>
      </s:left>
      <s:right/>
      <s:top style="thin">
        <s:color rgb="FFB3AC86"/>
      </s:top>
      <s:bottom style="thin">
        <s:color rgb="FFB3AC86"/>
      </s:bottom>
      <s:diagonal/>
    </s:border>
    <s:border>
      <s:left/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</s:borders>
  <s:cellStyleXfs count="2">
    <s:xf numFmtId="0" fontId="0" fillId="0" borderId="0"/>
    <s:xf numFmtId="9" fontId="52" fillId="0" borderId="0" applyFont="0" applyFill="0" applyBorder="0" applyProtection="0"/>
  </s:cellStyleXfs>
  <s:cellXfs count="772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1" fontId="2" fillId="2" borderId="0" xfId="0" applyNumberFormat="1" applyFont="1" applyFill="1"/>
    <s:xf numFmtId="0" fontId="14" fillId="2" borderId="0" xfId="0" applyFont="1" applyFill="1"/>
    <s:xf numFmtId="0" fontId="15" fillId="2" borderId="9" xfId="0" applyFont="1" applyFill="1" applyBorder="1" applyAlignment="1">
      <s:alignment vertical="center" mc:Ignorable="vyd"/>
    </s:xf>
    <s:xf numFmtId="0" fontId="15" fillId="2" borderId="10" xfId="0" applyFont="1" applyFill="1" applyBorder="1" applyAlignment="1">
      <s:alignment vertical="center" mc:Ignorable="vyd"/>
    </s:xf>
    <s:xf numFmtId="0" fontId="15" fillId="2" borderId="4" xfId="0" applyFont="1" applyFill="1" applyBorder="1" applyAlignment="1">
      <s:alignment vertical="center" mc:Ignorable="vyd"/>
    </s:xf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3" fontId="22" fillId="0" borderId="19" xfId="0" applyNumberFormat="1" applyFont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166" fontId="16" fillId="0" borderId="19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22" fillId="0" borderId="24" xfId="0" applyNumberFormat="1" applyFont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166" fontId="16" fillId="7" borderId="19" xfId="1" applyNumberFormat="1" applyFont="1" applyFill="1" applyBorder="1" applyAlignment="1" applyProtection="1">
      <s:alignment horizontal="right" vertical="center" mc:Ignorable="vyd"/>
    </s:xf>
    <s:xf numFmtId="166" fontId="2" fillId="8" borderId="24" xfId="0" applyNumberFormat="1" applyFont="1" applyFill="1" applyBorder="1"/>
    <s:xf numFmtId="3" fontId="16" fillId="3" borderId="16" xfId="0" applyNumberFormat="1" applyFont="1" applyFill="1" applyBorder="1" applyAlignment="1">
      <s:alignment horizontal="center" vertical="center" mc:Ignorable="vyd"/>
    </s:xf>
    <s:xf numFmtId="10" fontId="16" fillId="6" borderId="24" xfId="1" applyNumberFormat="1" applyFont="1" applyFill="1" applyBorder="1" applyAlignment="1" applyProtection="1">
      <s:alignment vertical="center" mc:Ignorable="vyd"/>
    </s:xf>
    <s:xf numFmtId="10" fontId="0" fillId="2" borderId="0" xfId="0" applyNumberFormat="1" applyFill="1"/>
    <s:xf numFmtId="3" fontId="16" fillId="9" borderId="24" xfId="0" applyNumberFormat="1" applyFont="1" applyFill="1" applyBorder="1" applyAlignment="1">
      <s:alignment horizontal="center" vertical="center" mc:Ignorable="vyd"/>
    </s:xf>
    <s:xf numFmtId="10" fontId="16" fillId="5" borderId="0" xfId="1" applyNumberFormat="1" applyFont="1" applyFill="1" applyAlignment="1" applyProtection="1">
      <s:alignment horizontal="center" vertical="center" mc:Ignorable="vyd"/>
    </s:xf>
    <s:xf numFmtId="3" fontId="20" fillId="0" borderId="28" xfId="0" applyNumberFormat="1" applyFont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10" fontId="16" fillId="4" borderId="30" xfId="0" applyNumberFormat="1" applyFont="1" applyFill="1" applyBorder="1" applyAlignment="1">
      <s:alignment horizontal="center" vertical="center" mc:Ignorable="vyd"/>
    </s:xf>
    <s:xf numFmtId="3" fontId="22" fillId="0" borderId="30" xfId="0" applyNumberFormat="1" applyFont="1" applyBorder="1" applyAlignment="1">
      <s:alignment horizontal="center" vertical="center" mc:Ignorable="vyd"/>
    </s:xf>
    <s:xf numFmtId="165" fontId="23" fillId="0" borderId="27" xfId="0" applyNumberFormat="1" applyFont="1" applyBorder="1" applyAlignment="1">
      <s:alignment horizontal="center" vertical="center" mc:Ignorable="vyd"/>
    </s:xf>
    <s:xf numFmtId="3" fontId="16" fillId="3" borderId="31" xfId="0" applyNumberFormat="1" applyFont="1" applyFill="1" applyBorder="1" applyAlignment="1">
      <s:alignment horizontal="center" vertical="center" mc:Ignorable="vyd"/>
    </s:xf>
    <s:xf numFmtId="3" fontId="24" fillId="0" borderId="30" xfId="0" applyNumberFormat="1" applyFont="1" applyBorder="1" applyAlignment="1">
      <s:alignment horizontal="center" vertical="center" mc:Ignorable="vyd"/>
    </s:xf>
    <s:xf numFmtId="165" fontId="18" fillId="0" borderId="27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8" xfId="0" applyNumberFormat="1" applyFont="1" applyFill="1" applyBorder="1" applyAlignment="1">
      <s:alignment horizontal="center" vertical="center" mc:Ignorable="vyd"/>
    </s:xf>
    <s:xf numFmtId="3" fontId="20" fillId="4" borderId="28" xfId="0" applyNumberFormat="1" applyFont="1" applyFill="1" applyBorder="1" applyAlignment="1">
      <s:alignment horizontal="center" vertical="center" mc:Ignorable="vyd"/>
    </s:xf>
    <s:xf numFmtId="165" fontId="16" fillId="4" borderId="30" xfId="0" applyNumberFormat="1" applyFont="1" applyFill="1" applyBorder="1" applyAlignment="1">
      <s:alignment horizontal="center" vertical="center" mc:Ignorable="vyd"/>
    </s:xf>
    <s:xf numFmtId="167" fontId="24" fillId="0" borderId="30" xfId="0" applyNumberFormat="1" applyFont="1" applyBorder="1" applyAlignment="1">
      <s:alignment horizontal="center" vertical="center" mc:Ignorable="vyd"/>
    </s:xf>
    <s:xf numFmtId="3" fontId="16" fillId="4" borderId="31" xfId="0" applyNumberFormat="1" applyFont="1" applyFill="1" applyBorder="1" applyAlignment="1">
      <s:alignment horizontal="center" vertical="center" mc:Ignorable="vyd"/>
    </s:xf>
    <s:xf numFmtId="10" fontId="19" fillId="3" borderId="33" xfId="0" applyNumberFormat="1" applyFont="1" applyFill="1" applyBorder="1" applyAlignment="1">
      <s:alignment horizontal="center" vertical="center" mc:Ignorable="vyd"/>
    </s:xf>
    <s:xf numFmtId="10" fontId="19" fillId="6" borderId="34" xfId="1" applyNumberFormat="1" applyFont="1" applyFill="1" applyBorder="1" applyAlignment="1" applyProtection="1">
      <s:alignment horizontal="center" vertical="center" mc:Ignorable="vyd"/>
    </s:xf>
    <s:xf numFmtId="10" fontId="24" fillId="0" borderId="34" xfId="0" applyNumberFormat="1" applyFont="1" applyBorder="1" applyAlignment="1">
      <s:alignment horizontal="center" vertical="center" mc:Ignorable="vyd"/>
    </s:xf>
    <s:xf numFmtId="165" fontId="24" fillId="0" borderId="35" xfId="0" applyNumberFormat="1" applyFont="1" applyBorder="1" applyAlignment="1">
      <s:alignment horizontal="center" vertical="center" mc:Ignorable="vyd"/>
    </s:xf>
    <s:xf numFmtId="165" fontId="20" fillId="0" borderId="34" xfId="0" applyNumberFormat="1" applyFont="1" applyBorder="1" applyAlignment="1">
      <s:alignment horizontal="center" vertical="center" mc:Ignorable="vyd"/>
    </s:xf>
    <s:xf numFmtId="165" fontId="20" fillId="3" borderId="36" xfId="0" applyNumberFormat="1" applyFont="1" applyFill="1" applyBorder="1" applyAlignment="1">
      <s:alignment horizontal="center" vertical="center" mc:Ignorable="vyd"/>
    </s:xf>
    <s:xf numFmtId="3" fontId="20" fillId="0" borderId="34" xfId="0" applyNumberFormat="1" applyFont="1" applyBorder="1" applyAlignment="1">
      <s:alignment horizontal="center" vertical="center" mc:Ignorable="vyd"/>
    </s:xf>
    <s:xf numFmtId="165" fontId="20" fillId="0" borderId="37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10" borderId="24" xfId="0" applyFont="1" applyFill="1" applyBorder="1" applyAlignment="1">
      <s:alignment horizontal="center" vertical="center" wrapText="1" mc:Ignorable="vyd"/>
    </s:xf>
    <s:xf numFmtId="0" fontId="17" fillId="11" borderId="24" xfId="0" applyFont="1" applyFill="1" applyBorder="1" applyAlignment="1">
      <s:alignment horizontal="center" vertical="center" wrapText="1" mc:Ignorable="vyd"/>
    </s:xf>
    <s:xf numFmtId="0" fontId="26" fillId="10" borderId="24" xfId="0" applyFont="1" applyFill="1" applyBorder="1" applyAlignment="1">
      <s:alignment horizontal="center" vertical="center" wrapText="1" mc:Ignorable="vyd"/>
    </s:xf>
    <s:xf numFmtId="3" fontId="2" fillId="0" borderId="0" xfId="0" applyNumberFormat="1" applyFont="1"/>
    <s:xf numFmtId="0" fontId="16" fillId="10" borderId="24" xfId="0" applyFont="1" applyFill="1" applyBorder="1" applyAlignment="1">
      <s:alignment horizontal="center" vertical="top" wrapText="1" mc:Ignorable="vyd"/>
    </s:xf>
    <s:xf numFmtId="0" fontId="17" fillId="10" borderId="24" xfId="0" applyFont="1" applyFill="1" applyBorder="1" applyAlignment="1">
      <s:alignment horizontal="center" vertical="top" wrapText="1" mc:Ignorable="vyd"/>
    </s:xf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0" fillId="0" borderId="0" xfId="0" applyNumberFormat="1"/>
    <s:xf numFmtId="165" fontId="2" fillId="0" borderId="0" xfId="0" applyNumberFormat="1" applyFont="1"/>
    <s:xf numFmtId="2" fontId="2" fillId="0" borderId="0" xfId="0" applyNumberFormat="1" applyFont="1"/>
    <s:xf numFmtId="3" fontId="16" fillId="0" borderId="0" xfId="0" applyNumberFormat="1" applyFont="1" applyAlignment="1">
      <s:alignment horizontal="center" vertical="top" mc:Ignorable="vyd"/>
    </s:xf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168" fontId="2" fillId="0" borderId="0" xfId="0" applyNumberFormat="1" applyFont="1"/>
    <s:xf numFmtId="0" fontId="27" fillId="12" borderId="24" xfId="0" applyFont="1" applyFill="1" applyBorder="1" applyAlignment="1">
      <s:alignment horizontal="center" vertical="center" mc:Ignorable="vyd"/>
    </s:xf>
    <s:xf numFmtId="4" fontId="16" fillId="12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center" vertical="top" mc:Ignorable="vyd"/>
    </s:xf>
    <s:xf numFmtId="165" fontId="16" fillId="12" borderId="24" xfId="0" applyNumberFormat="1" applyFont="1" applyFill="1" applyBorder="1" applyAlignment="1">
      <s:alignment horizontal="center" vertical="top" mc:Ignorable="vyd"/>
    </s:xf>
    <s:xf numFmtId="9" fontId="3" fillId="12" borderId="24" xfId="0" applyNumberFormat="1" applyFont="1" applyFill="1" applyBorder="1" applyAlignment="1">
      <s:alignment horizontal="center" vertical="center" mc:Ignorable="vyd"/>
    </s:xf>
    <s:xf numFmtId="3" fontId="16" fillId="12" borderId="24" xfId="0" applyNumberFormat="1" applyFont="1" applyFill="1" applyBorder="1" applyAlignment="1">
      <s:alignment horizontal="center" mc:Ignorable="vyd"/>
    </s:xf>
    <s:xf numFmtId="3" fontId="16" fillId="12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0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9" fontId="30" fillId="0" borderId="0" xfId="0" applyNumberFormat="1" applyFont="1"/>
    <s:xf numFmtId="4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4" fontId="2" fillId="0" borderId="0" xfId="0" applyNumberFormat="1" applyFont="1"/>
    <s:xf numFmtId="14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3" fontId="17" fillId="5" borderId="35" xfId="0" applyNumberFormat="1" applyFont="1" applyFill="1" applyBorder="1" applyAlignment="1">
      <s:alignment horizontal="center" vertical="center" mc:Ignorable="vyd"/>
    </s:xf>
    <s:xf numFmtId="3" fontId="17" fillId="5" borderId="27" xfId="0" applyNumberFormat="1" applyFont="1" applyFill="1" applyBorder="1" applyAlignment="1">
      <s:alignment horizontal="center" vertical="center" mc:Ignorable="vyd"/>
    </s:xf>
    <s:xf numFmtId="0" fontId="17" fillId="5" borderId="44" xfId="0" applyFont="1" applyFill="1" applyBorder="1" applyAlignment="1">
      <s:alignment horizontal="center" vertical="center" wrapText="1" mc:Ignorable="vyd"/>
    </s:xf>
    <s:xf numFmtId="10" fontId="31" fillId="0" borderId="18" xfId="0" applyNumberFormat="1" applyFont="1" applyBorder="1" applyAlignment="1">
      <s:alignment horizontal="center" vertical="center" mc:Ignorable="vyd"/>
    </s:xf>
    <s:xf numFmtId="166" fontId="31" fillId="0" borderId="39" xfId="0" applyNumberFormat="1" applyFont="1" applyBorder="1" applyAlignment="1">
      <s:alignment horizontal="center" vertical="center" mc:Ignorable="vyd"/>
    </s:xf>
    <s:xf numFmtId="10" fontId="31" fillId="0" borderId="40" xfId="0" applyNumberFormat="1" applyFont="1" applyBorder="1" applyAlignment="1">
      <s:alignment horizontal="center" vertical="center" mc:Ignorable="vyd"/>
    </s:xf>
    <s:xf numFmtId="10" fontId="31" fillId="0" borderId="46" xfId="1" applyNumberFormat="1" applyFont="1" applyBorder="1" applyAlignment="1" applyProtection="1">
      <s:alignment horizontal="center" vertical="center" mc:Ignorable="vyd"/>
    </s:xf>
    <s:xf numFmtId="166" fontId="31" fillId="0" borderId="47" xfId="1" applyNumberFormat="1" applyFont="1" applyBorder="1" applyAlignment="1" applyProtection="1">
      <s:alignment horizontal="center" vertical="center" mc:Ignorable="vyd"/>
    </s:xf>
    <s:xf numFmtId="10" fontId="31" fillId="0" borderId="48" xfId="0" applyNumberFormat="1" applyFont="1" applyBorder="1" applyAlignment="1">
      <s:alignment horizontal="center" vertical="center" mc:Ignorable="vyd"/>
    </s:xf>
    <s:xf numFmtId="10" fontId="31" fillId="0" borderId="18" xfId="1" applyNumberFormat="1" applyFont="1" applyBorder="1" applyAlignment="1" applyProtection="1">
      <s:alignment horizontal="center" vertical="center" mc:Ignorable="vyd"/>
    </s:xf>
    <s:xf numFmtId="10" fontId="20" fillId="0" borderId="40" xfId="0" applyNumberFormat="1" applyFont="1" applyBorder="1" applyAlignment="1">
      <s:alignment horizontal="center" vertical="center" mc:Ignorable="vyd"/>
    </s:xf>
    <s:xf numFmtId="10" fontId="31" fillId="0" borderId="49" xfId="0" applyNumberFormat="1" applyFont="1" applyBorder="1" applyAlignment="1">
      <s:alignment horizontal="center" vertical="center" mc:Ignorable="vyd"/>
    </s:xf>
    <s:xf numFmtId="1" fontId="31" fillId="0" borderId="16" xfId="0" applyNumberFormat="1" applyFont="1" applyBorder="1" applyAlignment="1">
      <s:alignment horizontal="center" vertical="center" mc:Ignorable="vyd"/>
    </s:xf>
    <s:xf numFmtId="10" fontId="31" fillId="0" borderId="26" xfId="0" applyNumberFormat="1" applyFont="1" applyBorder="1" applyAlignment="1">
      <s:alignment horizontal="center" vertical="center" mc:Ignorable="vyd"/>
    </s:xf>
    <s:xf numFmtId="10" fontId="31" fillId="0" borderId="23" xfId="1" applyNumberFormat="1" applyFont="1" applyBorder="1" applyAlignment="1" applyProtection="1">
      <s:alignment horizontal="center" vertical="center" mc:Ignorable="vyd"/>
    </s:xf>
    <s:xf numFmtId="1" fontId="31" fillId="0" borderId="24" xfId="1" applyNumberFormat="1" applyFont="1" applyBorder="1" applyAlignment="1" applyProtection="1">
      <s:alignment horizontal="center" vertical="center" mc:Ignorable="vyd"/>
    </s:xf>
    <s:xf numFmtId="10" fontId="31" fillId="0" borderId="25" xfId="0" applyNumberFormat="1" applyFont="1" applyBorder="1" applyAlignment="1">
      <s:alignment horizontal="center" vertical="center" mc:Ignorable="vyd"/>
    </s:xf>
    <s:xf numFmtId="10" fontId="31" fillId="0" borderId="49" xfId="1" applyNumberFormat="1" applyFont="1" applyBorder="1" applyAlignment="1" applyProtection="1">
      <s:alignment horizontal="center" vertical="center" mc:Ignorable="vyd"/>
    </s:xf>
    <s:xf numFmtId="3" fontId="31" fillId="0" borderId="24" xfId="1" applyNumberFormat="1" applyFont="1" applyBorder="1" applyAlignment="1" applyProtection="1">
      <s:alignment horizontal="center" vertical="center" mc:Ignorable="vyd"/>
    </s:xf>
    <s:xf numFmtId="10" fontId="20" fillId="0" borderId="26" xfId="0" applyNumberFormat="1" applyFont="1" applyBorder="1" applyAlignment="1">
      <s:alignment horizontal="center" vertical="center" mc:Ignorable="vyd"/>
    </s:xf>
    <s:xf numFmtId="166" fontId="31" fillId="0" borderId="16" xfId="0" applyNumberFormat="1" applyFont="1" applyBorder="1" applyAlignment="1">
      <s:alignment horizontal="center" vertical="center" mc:Ignorable="vyd"/>
    </s:xf>
    <s:xf numFmtId="166" fontId="31" fillId="0" borderId="24" xfId="1" applyNumberFormat="1" applyFont="1" applyBorder="1" applyAlignment="1" applyProtection="1">
      <s:alignment horizontal="center" vertical="center" mc:Ignorable="vyd"/>
    </s:xf>
    <s:xf numFmtId="2" fontId="31" fillId="0" borderId="16" xfId="0" applyNumberFormat="1" applyFont="1" applyBorder="1" applyAlignment="1">
      <s:alignment horizontal="center" vertical="center" mc:Ignorable="vyd"/>
    </s:xf>
    <s:xf numFmtId="2" fontId="31" fillId="0" borderId="24" xfId="1" applyNumberFormat="1" applyFont="1" applyBorder="1" applyAlignment="1" applyProtection="1">
      <s:alignment horizontal="center" vertical="center" mc:Ignorable="vyd"/>
    </s:xf>
    <s:xf numFmtId="4" fontId="31" fillId="0" borderId="24" xfId="1" applyNumberFormat="1" applyFont="1" applyBorder="1" applyAlignment="1" applyProtection="1">
      <s:alignment horizontal="center" vertical="center" mc:Ignorable="vyd"/>
    </s:xf>
    <s:xf numFmtId="1" fontId="31" fillId="0" borderId="24" xfId="0" applyNumberFormat="1" applyFont="1" applyBorder="1" applyAlignment="1">
      <s:alignment horizontal="center" vertical="center" mc:Ignorable="vyd"/>
    </s:xf>
    <s:xf numFmtId="166" fontId="31" fillId="0" borderId="24" xfId="0" applyNumberFormat="1" applyFont="1" applyBorder="1" applyAlignment="1">
      <s:alignment horizontal="center" vertical="center" mc:Ignorable="vyd"/>
    </s:xf>
    <s:xf numFmtId="169" fontId="31" fillId="0" borderId="24" xfId="1" applyNumberFormat="1" applyFont="1" applyBorder="1" applyAlignment="1" applyProtection="1">
      <s:alignment horizontal="center" vertical="center" mc:Ignorable="vyd"/>
    </s:xf>
    <s:xf numFmtId="10" fontId="31" fillId="0" borderId="42" xfId="0" applyNumberFormat="1" applyFont="1" applyBorder="1" applyAlignment="1">
      <s:alignment horizontal="center" vertical="center" mc:Ignorable="vyd"/>
    </s:xf>
    <s:xf numFmtId="166" fontId="31" fillId="0" borderId="34" xfId="0" applyNumberFormat="1" applyFont="1" applyBorder="1" applyAlignment="1">
      <s:alignment horizontal="center" vertical="center" mc:Ignorable="vyd"/>
    </s:xf>
    <s:xf numFmtId="10" fontId="31" fillId="0" borderId="50" xfId="0" applyNumberFormat="1" applyFont="1" applyBorder="1" applyAlignment="1">
      <s:alignment horizontal="center" vertical="center" mc:Ignorable="vyd"/>
    </s:xf>
    <s:xf numFmtId="10" fontId="31" fillId="0" borderId="51" xfId="1" applyNumberFormat="1" applyFont="1" applyBorder="1" applyAlignment="1" applyProtection="1">
      <s:alignment horizontal="center" vertical="center" mc:Ignorable="vyd"/>
    </s:xf>
    <s:xf numFmtId="166" fontId="31" fillId="0" borderId="52" xfId="1" applyNumberFormat="1" applyFont="1" applyBorder="1" applyAlignment="1" applyProtection="1">
      <s:alignment horizontal="center" vertical="center" mc:Ignorable="vyd"/>
    </s:xf>
    <s:xf numFmtId="10" fontId="31" fillId="0" borderId="53" xfId="0" applyNumberFormat="1" applyFont="1" applyBorder="1" applyAlignment="1">
      <s:alignment horizontal="center" vertical="center" mc:Ignorable="vyd"/>
    </s:xf>
    <s:xf numFmtId="10" fontId="31" fillId="0" borderId="54" xfId="1" applyNumberFormat="1" applyFont="1" applyBorder="1" applyAlignment="1" applyProtection="1">
      <s:alignment horizontal="center" vertical="center" mc:Ignorable="vyd"/>
    </s:xf>
    <s:xf numFmtId="166" fontId="31" fillId="0" borderId="34" xfId="1" applyNumberFormat="1" applyFont="1" applyBorder="1" applyAlignment="1" applyProtection="1">
      <s:alignment horizontal="center" vertical="center" mc:Ignorable="vyd"/>
    </s:xf>
    <s:xf numFmtId="10" fontId="20" fillId="0" borderId="37" xfId="0" applyNumberFormat="1" applyFont="1" applyBorder="1" applyAlignment="1">
      <s:alignment horizontal="center" vertical="center" mc:Ignorable="vyd"/>
    </s:xf>
    <s:xf numFmtId="3" fontId="17" fillId="5" borderId="37" xfId="0" applyNumberFormat="1" applyFont="1" applyFill="1" applyBorder="1" applyAlignment="1">
      <s:alignment horizontal="center" vertical="center" mc:Ignorable="vyd"/>
    </s:xf>
    <s:xf numFmtId="0" fontId="17" fillId="5" borderId="37" xfId="0" applyFont="1" applyFill="1" applyBorder="1" applyAlignment="1">
      <s:alignment horizontal="center" vertical="center" wrapText="1" mc:Ignorable="vyd"/>
    </s:xf>
    <s:xf numFmtId="166" fontId="31" fillId="0" borderId="47" xfId="0" applyNumberFormat="1" applyFont="1" applyBorder="1" applyAlignment="1">
      <s:alignment horizontal="center" vertical="center" mc:Ignorable="vyd"/>
    </s:xf>
    <s:xf numFmtId="10" fontId="31" fillId="0" borderId="18" xfId="1" applyNumberFormat="1" applyFont="1" applyBorder="1" applyAlignment="1">
      <s:alignment horizontal="center" vertical="center" mc:Ignorable="vyd"/>
    </s:xf>
    <s:xf numFmtId="166" fontId="31" fillId="0" borderId="47" xfId="1" applyNumberFormat="1" applyFont="1" applyBorder="1" applyAlignment="1">
      <s:alignment horizontal="center" vertical="center" mc:Ignorable="vyd"/>
    </s:xf>
    <s:xf numFmtId="10" fontId="31" fillId="0" borderId="49" xfId="1" applyNumberFormat="1" applyFont="1" applyBorder="1" applyAlignment="1">
      <s:alignment horizontal="center" vertical="center" mc:Ignorable="vyd"/>
    </s:xf>
    <s:xf numFmtId="1" fontId="31" fillId="0" borderId="24" xfId="1" applyNumberFormat="1" applyFont="1" applyBorder="1" applyAlignment="1">
      <s:alignment horizontal="center" vertical="center" mc:Ignorable="vyd"/>
    </s:xf>
    <s:xf numFmtId="3" fontId="31" fillId="0" borderId="24" xfId="1" applyNumberFormat="1" applyFont="1" applyBorder="1" applyAlignment="1">
      <s:alignment horizontal="center" vertical="center" mc:Ignorable="vyd"/>
    </s:xf>
    <s:xf numFmtId="166" fontId="31" fillId="0" borderId="24" xfId="1" applyNumberFormat="1" applyFont="1" applyBorder="1" applyAlignment="1">
      <s:alignment horizontal="center" vertical="center" mc:Ignorable="vyd"/>
    </s:xf>
    <s:xf numFmtId="2" fontId="31" fillId="0" borderId="24" xfId="0" applyNumberFormat="1" applyFont="1" applyBorder="1" applyAlignment="1">
      <s:alignment horizontal="center" vertical="center" mc:Ignorable="vyd"/>
    </s:xf>
    <s:xf numFmtId="2" fontId="31" fillId="0" borderId="24" xfId="1" applyNumberFormat="1" applyFont="1" applyBorder="1" applyAlignment="1">
      <s:alignment horizontal="center" vertical="center" mc:Ignorable="vyd"/>
    </s:xf>
    <s:xf numFmtId="4" fontId="31" fillId="0" borderId="24" xfId="1" applyNumberFormat="1" applyFont="1" applyBorder="1" applyAlignment="1">
      <s:alignment horizontal="center" vertical="center" mc:Ignorable="vyd"/>
    </s:xf>
    <s:xf numFmtId="169" fontId="31" fillId="0" borderId="24" xfId="1" applyNumberFormat="1" applyFont="1" applyBorder="1" applyAlignment="1">
      <s:alignment horizontal="center" vertical="center" mc:Ignorable="vyd"/>
    </s:xf>
    <s:xf numFmtId="10" fontId="31" fillId="0" borderId="54" xfId="0" applyNumberFormat="1" applyFont="1" applyBorder="1" applyAlignment="1">
      <s:alignment horizontal="center" vertical="center" mc:Ignorable="vyd"/>
    </s:xf>
    <s:xf numFmtId="10" fontId="31" fillId="0" borderId="37" xfId="0" applyNumberFormat="1" applyFont="1" applyBorder="1" applyAlignment="1">
      <s:alignment horizontal="center" vertical="center" mc:Ignorable="vyd"/>
    </s:xf>
    <s:xf numFmtId="10" fontId="31" fillId="0" borderId="54" xfId="1" applyNumberFormat="1" applyFont="1" applyBorder="1" applyAlignment="1">
      <s:alignment horizontal="center" vertical="center" mc:Ignorable="vyd"/>
    </s:xf>
    <s:xf numFmtId="166" fontId="31" fillId="0" borderId="34" xfId="1" applyNumberFormat="1" applyFont="1" applyBorder="1" applyAlignment="1">
      <s:alignment horizontal="center" vertical="center" mc:Ignorable="vyd"/>
    </s:xf>
    <s:xf numFmtId="0" fontId="27" fillId="0" borderId="0" xfId="0" applyFont="1"/>
    <s:xf numFmtId="3" fontId="3" fillId="0" borderId="60" xfId="0" applyNumberFormat="1" applyFont="1" applyBorder="1" applyAlignment="1">
      <s:alignment horizontal="center" vertical="center" wrapText="1" mc:Ignorable="vyd"/>
    </s:xf>
    <s:xf numFmtId="3" fontId="21" fillId="6" borderId="15" xfId="0" applyNumberFormat="1" applyFont="1" applyFill="1" applyBorder="1" applyAlignment="1">
      <s:alignment horizontal="center" vertical="center" wrapText="1" mc:Ignorable="vyd"/>
    </s:xf>
    <s:xf numFmtId="3" fontId="21" fillId="4" borderId="15" xfId="0" applyNumberFormat="1" applyFont="1" applyFill="1" applyBorder="1" applyAlignment="1">
      <s:alignment horizontal="center" vertical="center" mc:Ignorable="vyd"/>
    </s:xf>
    <s:xf numFmtId="3" fontId="21" fillId="3" borderId="15" xfId="0" applyNumberFormat="1" applyFont="1" applyFill="1" applyBorder="1" applyAlignment="1">
      <s:alignment horizontal="center" vertical="center" mc:Ignorable="vyd"/>
    </s:xf>
    <s:xf numFmtId="4" fontId="21" fillId="3" borderId="15" xfId="0" applyNumberFormat="1" applyFont="1" applyFill="1" applyBorder="1" applyAlignment="1">
      <s:alignment horizontal="center" vertical="center" mc:Ignorable="vyd"/>
    </s:xf>
    <s:xf numFmtId="10" fontId="21" fillId="6" borderId="15" xfId="0" applyNumberFormat="1" applyFont="1" applyFill="1" applyBorder="1" applyAlignment="1">
      <s:alignment horizontal="center" vertical="center" mc:Ignorable="vyd"/>
    </s:xf>
    <s:xf numFmtId="170" fontId="32" fillId="0" borderId="15" xfId="0" applyNumberFormat="1" applyFont="1" applyBorder="1" applyAlignment="1">
      <s:alignment horizontal="center" mc:Ignorable="vyd"/>
    </s:xf>
    <s:xf numFmtId="170" fontId="32" fillId="0" borderId="32" xfId="0" applyNumberFormat="1" applyFont="1" applyBorder="1" applyAlignment="1">
      <s:alignment horizontal="center" mc:Ignorable="vyd"/>
    </s:xf>
    <s:xf numFmtId="0" fontId="16" fillId="2" borderId="0" xfId="0" applyFont="1" applyFill="1"/>
    <s:xf numFmtId="164" fontId="17" fillId="2" borderId="0" xfId="0" applyNumberFormat="1" applyFont="1" applyFill="1" applyAlignment="1">
      <s:alignment horizontal="center" vertical="center" mc:Ignorable="vyd"/>
    </s:xf>
    <s:xf numFmtId="9" fontId="11" fillId="2" borderId="61" xfId="0" applyNumberFormat="1" applyFont="1" applyFill="1" applyBorder="1"/>
    <s:xf numFmtId="0" fontId="36" fillId="2" borderId="0" xfId="0" applyFont="1" applyFill="1"/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10" fontId="37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23" fillId="0" borderId="27" xfId="0" applyNumberFormat="1" applyFont="1" applyBorder="1" applyAlignment="1">
      <s:alignment horizontal="center" vertical="center" mc:Ignorable="vyd"/>
    </s:xf>
    <s:xf numFmtId="10" fontId="18" fillId="0" borderId="27" xfId="0" applyNumberFormat="1" applyFont="1" applyBorder="1" applyAlignment="1">
      <s:alignment horizontal="center" vertical="center" mc:Ignorable="vyd"/>
    </s:xf>
    <s:xf numFmtId="165" fontId="19" fillId="3" borderId="33" xfId="0" applyNumberFormat="1" applyFont="1" applyFill="1" applyBorder="1" applyAlignment="1">
      <s:alignment horizontal="center" vertical="center" mc:Ignorable="vyd"/>
    </s:xf>
    <s:xf numFmtId="165" fontId="19" fillId="4" borderId="34" xfId="0" applyNumberFormat="1" applyFont="1" applyFill="1" applyBorder="1" applyAlignment="1">
      <s:alignment horizontal="center" vertical="center" mc:Ignorable="vyd"/>
    </s:xf>
    <s:xf numFmtId="10" fontId="19" fillId="4" borderId="34" xfId="0" applyNumberFormat="1" applyFont="1" applyFill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7" fillId="14" borderId="24" xfId="0" applyFont="1" applyFill="1" applyBorder="1" applyAlignment="1">
      <s:alignment horizontal="center" vertical="center" wrapText="1" mc:Ignorable="vyd"/>
    </s:xf>
    <s:xf numFmtId="0" fontId="26" fillId="13" borderId="24" xfId="0" applyFont="1" applyFill="1" applyBorder="1" applyAlignment="1">
      <s:alignment horizontal="center" vertical="center" wrapText="1" mc:Ignorable="vyd"/>
    </s:xf>
    <s:xf numFmtId="3" fontId="3" fillId="0" borderId="0" xfId="0" applyNumberFormat="1" applyFont="1"/>
    <s:xf numFmtId="0" fontId="16" fillId="13" borderId="24" xfId="0" applyFont="1" applyFill="1" applyBorder="1" applyAlignment="1">
      <s:alignment horizontal="center" vertical="top" wrapText="1" mc:Ignorable="vyd"/>
    </s:xf>
    <s:xf numFmtId="0" fontId="16" fillId="13" borderId="30" xfId="0" applyFont="1" applyFill="1" applyBorder="1" applyAlignment="1">
      <s:alignment horizontal="center" vertical="top" wrapText="1" mc:Ignorable="vyd"/>
    </s:xf>
    <s:xf numFmtId="0" fontId="17" fillId="13" borderId="24" xfId="0" applyFont="1" applyFill="1" applyBorder="1" applyAlignment="1">
      <s:alignment horizontal="center" vertical="top" wrapText="1" mc:Ignorable="vyd"/>
    </s:xf>
    <s:xf numFmtId="10" fontId="16" fillId="0" borderId="0" xfId="0" applyNumberFormat="1" applyFont="1" applyAlignment="1">
      <s:alignment horizontal="center" vertical="top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0" fontId="16" fillId="0" borderId="25" xfId="0" applyFont="1" applyBorder="1" applyAlignment="1">
      <s:alignment horizontal="center" vertical="top" mc:Ignorable="vyd"/>
    </s:xf>
    <s:xf numFmtId="4" fontId="16" fillId="15" borderId="24" xfId="0" applyNumberFormat="1" applyFont="1" applyFill="1" applyBorder="1" applyAlignment="1">
      <s:alignment horizontal="center" vertical="top" mc:Ignorable="vyd"/>
    </s:xf>
    <s:xf numFmtId="2" fontId="16" fillId="15" borderId="24" xfId="0" applyNumberFormat="1" applyFont="1" applyFill="1" applyBorder="1" applyAlignment="1">
      <s:alignment horizontal="right" mc:Ignorable="vyd"/>
    </s:xf>
    <s:xf numFmtId="0" fontId="0" fillId="15" borderId="0" xfId="0" applyFill="1"/>
    <s:xf numFmtId="0" fontId="27" fillId="15" borderId="24" xfId="0" applyFont="1" applyFill="1" applyBorder="1" applyAlignment="1">
      <s:alignment horizontal="center" vertical="center" mc:Ignorable="vyd"/>
    </s:xf>
    <s:xf numFmtId="16" fontId="16" fillId="15" borderId="24" xfId="0" applyNumberFormat="1" applyFont="1" applyFill="1" applyBorder="1" applyAlignment="1">
      <s:alignment horizontal="center" vertical="top" mc:Ignorable="vyd"/>
    </s:xf>
    <s:xf numFmtId="0" fontId="16" fillId="15" borderId="24" xfId="0" applyFont="1" applyFill="1" applyBorder="1" applyAlignment="1">
      <s:alignment horizontal="center" vertical="top" mc:Ignorable="vyd"/>
    </s:xf>
    <s:xf numFmtId="3" fontId="16" fillId="15" borderId="24" xfId="0" applyNumberFormat="1" applyFont="1" applyFill="1" applyBorder="1" applyAlignment="1">
      <s:alignment horizontal="center" vertical="top" mc:Ignorable="vyd"/>
    </s:xf>
    <s:xf numFmtId="10" fontId="16" fillId="15" borderId="24" xfId="0" applyNumberFormat="1" applyFont="1" applyFill="1" applyBorder="1" applyAlignment="1">
      <s:alignment horizontal="center" vertical="top" mc:Ignorable="vyd"/>
    </s:xf>
    <s:xf numFmtId="9" fontId="3" fillId="15" borderId="24" xfId="0" applyNumberFormat="1" applyFont="1" applyFill="1" applyBorder="1" applyAlignment="1">
      <s:alignment horizontal="center" vertical="center" mc:Ignorable="vyd"/>
    </s:xf>
    <s:xf numFmtId="3" fontId="28" fillId="15" borderId="24" xfId="0" applyNumberFormat="1" applyFont="1" applyFill="1" applyBorder="1" applyAlignment="1">
      <s:alignment horizontal="center" mc:Ignorable="vyd"/>
    </s:xf>
    <s:xf numFmtId="3" fontId="16" fillId="15" borderId="24" xfId="0" applyNumberFormat="1" applyFont="1" applyFill="1" applyBorder="1" applyAlignment="1">
      <s:alignment horizontal="center" mc:Ignorable="vyd"/>
    </s:xf>
    <s:xf numFmtId="165" fontId="2" fillId="15" borderId="0" xfId="0" applyNumberFormat="1" applyFont="1" applyFill="1"/>
    <s:xf numFmtId="0" fontId="2" fillId="15" borderId="0" xfId="0" applyFont="1" applyFill="1"/>
    <s:xf numFmtId="3" fontId="16" fillId="15" borderId="0" xfId="0" applyNumberFormat="1" applyFont="1" applyFill="1" applyAlignment="1">
      <s:alignment horizontal="center" vertical="top" mc:Ignorable="vyd"/>
    </s:xf>
    <s:xf numFmtId="168" fontId="2" fillId="15" borderId="0" xfId="0" applyNumberFormat="1" applyFont="1" applyFill="1"/>
    <s:xf numFmtId="0" fontId="16" fillId="15" borderId="25" xfId="0" applyFont="1" applyFill="1" applyBorder="1" applyAlignment="1">
      <s:alignment horizontal="center" vertical="top" mc:Ignorable="vyd"/>
    </s:xf>
    <s:xf numFmtId="4" fontId="16" fillId="15" borderId="0" xfId="0" applyNumberFormat="1" applyFont="1" applyFill="1" applyAlignment="1">
      <s:alignment horizontal="center" vertical="top" mc:Ignorable="vyd"/>
    </s:xf>
    <s:xf numFmtId="4" fontId="16" fillId="15" borderId="23" xfId="0" applyNumberFormat="1" applyFont="1" applyFill="1" applyBorder="1" applyAlignment="1">
      <s:alignment horizontal="center" vertical="top" mc:Ignorable="vyd"/>
    </s:xf>
    <s:xf numFmtId="3" fontId="16" fillId="15" borderId="30" xfId="0" applyNumberFormat="1" applyFont="1" applyFill="1" applyBorder="1" applyAlignment="1">
      <s:alignment horizontal="center" vertical="top" mc:Ignorable="vyd"/>
    </s:xf>
    <s:xf numFmtId="4" fontId="16" fillId="15" borderId="30" xfId="0" applyNumberFormat="1" applyFont="1" applyFill="1" applyBorder="1" applyAlignment="1">
      <s:alignment horizontal="center" vertical="top" mc:Ignorable="vyd"/>
    </s:xf>
    <s:xf numFmtId="165" fontId="16" fillId="15" borderId="30" xfId="0" applyNumberFormat="1" applyFont="1" applyFill="1" applyBorder="1" applyAlignment="1">
      <s:alignment horizontal="center" vertical="top" mc:Ignorable="vyd"/>
    </s:xf>
    <s:xf numFmtId="9" fontId="3" fillId="15" borderId="30" xfId="0" applyNumberFormat="1" applyFont="1" applyFill="1" applyBorder="1" applyAlignment="1">
      <s:alignment horizontal="center" vertical="center" mc:Ignorable="vyd"/>
    </s:xf>
    <s:xf numFmtId="3" fontId="28" fillId="15" borderId="30" xfId="0" applyNumberFormat="1" applyFont="1" applyFill="1" applyBorder="1" applyAlignment="1">
      <s:alignment horizontal="center" mc:Ignorable="vyd"/>
    </s:xf>
    <s:xf numFmtId="3" fontId="16" fillId="15" borderId="30" xfId="0" applyNumberFormat="1" applyFont="1" applyFill="1" applyBorder="1" applyAlignment="1">
      <s:alignment horizontal="center" mc:Ignorable="vyd"/>
    </s:xf>
    <s:xf numFmtId="4" fontId="16" fillId="15" borderId="63" xfId="0" applyNumberFormat="1" applyFont="1" applyFill="1" applyBorder="1" applyAlignment="1">
      <s:alignment horizontal="center" vertical="top" mc:Ignorable="vyd"/>
    </s:xf>
    <s:xf numFmtId="3" fontId="16" fillId="15" borderId="64" xfId="0" applyNumberFormat="1" applyFont="1" applyFill="1" applyBorder="1" applyAlignment="1">
      <s:alignment horizontal="center" vertical="top" mc:Ignorable="vyd"/>
    </s:xf>
    <s:xf numFmtId="4" fontId="16" fillId="15" borderId="64" xfId="0" applyNumberFormat="1" applyFont="1" applyFill="1" applyBorder="1" applyAlignment="1">
      <s:alignment horizontal="center" vertical="top" mc:Ignorable="vyd"/>
    </s:xf>
    <s:xf numFmtId="10" fontId="16" fillId="15" borderId="64" xfId="0" applyNumberFormat="1" applyFont="1" applyFill="1" applyBorder="1" applyAlignment="1">
      <s:alignment horizontal="center" vertical="top" mc:Ignorable="vyd"/>
    </s:xf>
    <s:xf numFmtId="9" fontId="3" fillId="15" borderId="64" xfId="0" applyNumberFormat="1" applyFont="1" applyFill="1" applyBorder="1" applyAlignment="1">
      <s:alignment horizontal="center" vertical="center" mc:Ignorable="vyd"/>
    </s:xf>
    <s:xf numFmtId="3" fontId="28" fillId="15" borderId="64" xfId="0" applyNumberFormat="1" applyFont="1" applyFill="1" applyBorder="1" applyAlignment="1">
      <s:alignment horizontal="center" mc:Ignorable="vyd"/>
    </s:xf>
    <s:xf numFmtId="3" fontId="16" fillId="15" borderId="64" xfId="0" applyNumberFormat="1" applyFont="1" applyFill="1" applyBorder="1" applyAlignment="1">
      <s:alignment horizontal="center" mc:Ignorable="vyd"/>
    </s:xf>
    <s:xf numFmtId="0" fontId="16" fillId="15" borderId="65" xfId="0" applyFont="1" applyFill="1" applyBorder="1" applyAlignment="1">
      <s:alignment horizontal="center" vertical="top" mc:Ignorable="vyd"/>
    </s:xf>
    <s:xf numFmtId="2" fontId="16" fillId="15" borderId="23" xfId="0" applyNumberFormat="1" applyFont="1" applyFill="1" applyBorder="1" applyAlignment="1">
      <s:alignment horizontal="right" mc:Ignorable="vyd"/>
    </s:xf>
    <s:xf numFmtId="0" fontId="16" fillId="15" borderId="27" xfId="0" applyFont="1" applyFill="1" applyBorder="1" applyAlignment="1">
      <s:alignment horizontal="center" vertical="top" mc:Ignorable="vyd"/>
    </s:xf>
    <s:xf numFmtId="2" fontId="16" fillId="15" borderId="64" xfId="0" applyNumberFormat="1" applyFont="1" applyFill="1" applyBorder="1" applyAlignment="1">
      <s:alignment horizontal="right" mc:Ignorable="vyd"/>
    </s:xf>
    <s:xf numFmtId="2" fontId="16" fillId="12" borderId="24" xfId="0" applyNumberFormat="1" applyFont="1" applyFill="1" applyBorder="1" applyAlignment="1">
      <s:alignment horizontal="right" mc:Ignorable="vyd"/>
    </s:xf>
    <s:xf numFmtId="165" fontId="37" fillId="4" borderId="19" xfId="0" applyNumberFormat="1" applyFont="1" applyFill="1" applyBorder="1" applyAlignment="1">
      <s:alignment horizontal="center" vertical="center" mc:Ignorable="vyd"/>
    </s:xf>
    <s:xf numFmtId="165" fontId="16" fillId="4" borderId="24" xfId="0" applyNumberFormat="1" applyFont="1" applyFill="1" applyBorder="1" applyAlignment="1">
      <s:alignment horizontal="center" vertical="center" mc:Ignorable="vyd"/>
    </s:xf>
    <s:xf numFmtId="165" fontId="19" fillId="0" borderId="24" xfId="0" applyNumberFormat="1" applyFont="1" applyBorder="1" applyAlignment="1">
      <s:alignment horizontal="center" vertical="center" mc:Ignorable="vyd"/>
    </s:xf>
    <s:xf numFmtId="165" fontId="16" fillId="0" borderId="24" xfId="0" applyNumberFormat="1" applyFont="1" applyBorder="1" applyAlignment="1">
      <s:alignment horizontal="center" vertical="center" mc:Ignorable="vyd"/>
    </s:xf>
    <s:xf numFmtId="4" fontId="16" fillId="0" borderId="0" xfId="0" applyNumberFormat="1" applyFont="1" applyAlignment="1">
      <s:alignment horizontal="center" vertical="top" mc:Ignorable="vyd"/>
    </s:xf>
    <s:xf numFmtId="0" fontId="16" fillId="15" borderId="0" xfId="0" applyFont="1" applyFill="1" applyAlignment="1">
      <s:alignment horizontal="center" vertical="top" mc:Ignorable="vyd"/>
    </s:xf>
    <s:xf numFmtId="9" fontId="3" fillId="15" borderId="0" xfId="0" applyNumberFormat="1" applyFont="1" applyFill="1" applyAlignment="1">
      <s:alignment horizontal="center" vertical="center" mc:Ignorable="vyd"/>
    </s:xf>
    <s:xf numFmtId="3" fontId="16" fillId="15" borderId="0" xfId="0" applyNumberFormat="1" applyFont="1" applyFill="1" applyAlignment="1">
      <s:alignment horizontal="center" mc:Ignorable="vyd"/>
    </s:xf>
    <s:xf numFmtId="3" fontId="28" fillId="15" borderId="0" xfId="0" applyNumberFormat="1" applyFont="1" applyFill="1" applyAlignment="1">
      <s:alignment horizontal="center" mc:Ignorable="vyd"/>
    </s:xf>
    <s:xf numFmtId="165" fontId="16" fillId="15" borderId="24" xfId="0" applyNumberFormat="1" applyFont="1" applyFill="1" applyBorder="1" applyAlignment="1">
      <s:alignment horizontal="center" vertical="top" mc:Ignorable="vyd"/>
    </s:xf>
    <s:xf numFmtId="0" fontId="32" fillId="0" borderId="0" xfId="0" applyFont="1"/>
    <s:xf numFmtId="165" fontId="16" fillId="0" borderId="24" xfId="0" applyNumberFormat="1" applyFont="1" applyBorder="1" applyAlignment="1">
      <s:alignment horizontal="center" vertical="top" mc:Ignorable="vyd"/>
    </s:xf>
    <s:xf numFmtId="168" fontId="16" fillId="0" borderId="24" xfId="0" applyNumberFormat="1" applyFont="1" applyBorder="1" applyAlignment="1">
      <s:alignment horizontal="right" mc:Ignorable="vyd"/>
    </s:xf>
    <s:xf numFmtId="165" fontId="3" fillId="0" borderId="0" xfId="0" applyNumberFormat="1" applyFont="1"/>
    <s:xf numFmtId="168" fontId="3" fillId="0" borderId="0" xfId="0" applyNumberFormat="1" applyFont="1"/>
    <s:xf numFmtId="0" fontId="32" fillId="15" borderId="0" xfId="0" applyFont="1" applyFill="1"/>
    <s:xf numFmtId="168" fontId="16" fillId="15" borderId="24" xfId="0" applyNumberFormat="1" applyFont="1" applyFill="1" applyBorder="1" applyAlignment="1">
      <s:alignment horizontal="right" mc:Ignorable="vyd"/>
    </s:xf>
    <s:xf numFmtId="165" fontId="3" fillId="15" borderId="0" xfId="0" applyNumberFormat="1" applyFont="1" applyFill="1"/>
    <s:xf numFmtId="168" fontId="3" fillId="15" borderId="0" xfId="0" applyNumberFormat="1" applyFont="1" applyFill="1"/>
    <s:xf numFmtId="0" fontId="27" fillId="15" borderId="0" xfId="0" applyFont="1" applyFill="1"/>
    <s:xf numFmtId="16" fontId="16" fillId="15" borderId="24" xfId="0" applyNumberFormat="1" applyFont="1" applyFill="1" applyBorder="1" applyAlignment="1">
      <s:alignment horizontal="center" vertical="top" wrapText="1" mc:Ignorable="vyd"/>
    </s:xf>
    <s:xf numFmtId="0" fontId="16" fillId="15" borderId="24" xfId="0" applyFont="1" applyFill="1" applyBorder="1" applyAlignment="1">
      <s:alignment horizontal="center" vertical="top" wrapText="1" mc:Ignorable="vyd"/>
    </s:xf>
    <s:xf numFmtId="4" fontId="16" fillId="15" borderId="24" xfId="0" applyNumberFormat="1" applyFont="1" applyFill="1" applyBorder="1" applyAlignment="1">
      <s:alignment horizontal="center" vertical="top" wrapText="1" mc:Ignorable="vyd"/>
    </s:xf>
    <s:xf numFmtId="3" fontId="16" fillId="15" borderId="66" xfId="0" applyNumberFormat="1" applyFont="1" applyFill="1" applyBorder="1" applyAlignment="1">
      <s:alignment horizontal="center" vertical="top" wrapText="1" mc:Ignorable="vyd"/>
    </s:xf>
    <s:xf numFmtId="3" fontId="16" fillId="15" borderId="24" xfId="0" applyNumberFormat="1" applyFont="1" applyFill="1" applyBorder="1" applyAlignment="1">
      <s:alignment horizontal="center" vertical="top" wrapText="1" mc:Ignorable="vyd"/>
    </s:xf>
    <s:xf numFmtId="3" fontId="16" fillId="15" borderId="65" xfId="0" applyNumberFormat="1" applyFont="1" applyFill="1" applyBorder="1" applyAlignment="1">
      <s:alignment horizontal="center" vertical="top" wrapText="1" mc:Ignorable="vyd"/>
    </s:xf>
    <s:xf numFmtId="4" fontId="16" fillId="15" borderId="0" xfId="0" applyNumberFormat="1" applyFont="1" applyFill="1" applyAlignment="1">
      <s:alignment horizontal="center" vertical="top" wrapText="1" mc:Ignorable="vyd"/>
    </s:xf>
    <s:xf numFmtId="0" fontId="29" fillId="15" borderId="0" xfId="0" applyFont="1" applyFill="1"/>
    <s:xf numFmtId="0" fontId="11" fillId="5" borderId="0" xfId="0" applyFont="1" applyFill="1"/>
    <s:xf numFmtId="0" fontId="3" fillId="5" borderId="0" xfId="0" applyFont="1" applyFill="1"/>
    <s:xf numFmtId="0" fontId="16" fillId="5" borderId="0" xfId="0" applyFont="1" applyFill="1"/>
    <s:xf numFmtId="0" fontId="10" fillId="5" borderId="0" xfId="0" applyFont="1" applyFill="1"/>
    <s:xf numFmtId="164" fontId="17" fillId="5" borderId="0" xfId="0" applyNumberFormat="1" applyFont="1" applyFill="1" applyAlignment="1">
      <s:alignment horizontal="center" vertical="center" mc:Ignorable="vyd"/>
    </s:xf>
    <s:xf numFmtId="9" fontId="11" fillId="5" borderId="67" xfId="1" applyFont="1" applyFill="1" applyBorder="1" applyProtection="1"/>
    <s:xf numFmtId="0" fontId="36" fillId="5" borderId="0" xfId="0" applyFont="1" applyFill="1"/>
    <s:xf numFmtId="0" fontId="26" fillId="14" borderId="24" xfId="0" applyFont="1" applyFill="1" applyBorder="1" applyAlignment="1">
      <s:alignment horizontal="center" vertical="center" wrapText="1" mc:Ignorable="vyd"/>
    </s:xf>
    <s:xf numFmtId="0" fontId="3" fillId="0" borderId="68" xfId="0" applyFont="1" applyBorder="1"/>
    <s:xf numFmtId="0" fontId="16" fillId="14" borderId="23" xfId="0" applyFont="1" applyFill="1" applyBorder="1" applyAlignment="1">
      <s:alignment horizontal="center" vertical="top" wrapText="1" mc:Ignorable="vyd"/>
    </s:xf>
    <s:xf numFmtId="0" fontId="16" fillId="14" borderId="24" xfId="0" applyFont="1" applyFill="1" applyBorder="1" applyAlignment="1">
      <s:alignment horizontal="center" vertical="top" wrapText="1" mc:Ignorable="vyd"/>
    </s:xf>
    <s:xf numFmtId="0" fontId="17" fillId="14" borderId="24" xfId="0" applyFont="1" applyFill="1" applyBorder="1" applyAlignment="1">
      <s:alignment horizontal="center" vertical="top" wrapText="1" mc:Ignorable="vyd"/>
    </s:xf>
    <s:xf numFmtId="16" fontId="16" fillId="0" borderId="25" xfId="0" applyNumberFormat="1" applyFont="1" applyBorder="1" applyAlignment="1">
      <s:alignment horizontal="center" vertical="top" mc:Ignorable="vyd"/>
    </s:xf>
    <s:xf numFmtId="0" fontId="16" fillId="0" borderId="64" xfId="0" applyFont="1" applyBorder="1" applyAlignment="1">
      <s:alignment horizontal="center" vertical="top" mc:Ignorable="vyd"/>
    </s:xf>
    <s:xf numFmtId="4" fontId="16" fillId="0" borderId="23" xfId="0" applyNumberFormat="1" applyFont="1" applyBorder="1" applyAlignment="1">
      <s:alignment horizontal="center" vertical="top" mc:Ignorable="vyd"/>
    </s:xf>
    <s:xf numFmtId="0" fontId="16" fillId="15" borderId="64" xfId="0" applyFont="1" applyFill="1" applyBorder="1" applyAlignment="1">
      <s:alignment horizontal="center" vertical="top" mc:Ignorable="vyd"/>
    </s:xf>
    <s:xf numFmtId="16" fontId="16" fillId="15" borderId="25" xfId="0" applyNumberFormat="1" applyFont="1" applyFill="1" applyBorder="1" applyAlignment="1">
      <s:alignment horizontal="center" vertical="top" mc:Ignorable="vyd"/>
    </s:xf>
    <s:xf numFmtId="10" fontId="16" fillId="15" borderId="0" xfId="0" applyNumberFormat="1" applyFont="1" applyFill="1" applyAlignment="1">
      <s:alignment horizontal="center" vertical="top" mc:Ignorable="vyd"/>
    </s:xf>
    <s:xf numFmtId="0" fontId="16" fillId="15" borderId="19" xfId="0" applyFont="1" applyFill="1" applyBorder="1" applyAlignment="1">
      <s:alignment horizontal="center" vertical="top" mc:Ignorable="vyd"/>
    </s:xf>
    <s:xf numFmtId="0" fontId="0" fillId="15" borderId="24" xfId="0" applyFill="1" applyBorder="1"/>
    <s:xf numFmtId="16" fontId="16" fillId="15" borderId="24" xfId="0" applyNumberFormat="1" applyFont="1" applyFill="1" applyBorder="1" applyAlignment="1" applyProtection="1">
      <s:alignment horizontal="center" vertical="top" mc:Ignorable="vyd"/>
      <s:protection locked="0"/>
    </s:xf>
    <s:xf numFmtId="4" fontId="16" fillId="15" borderId="24" xfId="0" applyNumberFormat="1" applyFont="1" applyFill="1" applyBorder="1" applyAlignment="1" applyProtection="1">
      <s:alignment horizontal="center" vertical="top" mc:Ignorable="vyd"/>
      <s:protection locked="0"/>
    </s:xf>
    <s:xf numFmtId="3" fontId="16" fillId="15" borderId="24" xfId="0" applyNumberFormat="1" applyFont="1" applyFill="1" applyBorder="1" applyAlignment="1" applyProtection="1">
      <s:alignment horizontal="center" vertical="top" mc:Ignorable="vyd"/>
      <s:protection locked="0"/>
    </s:xf>
    <s:xf numFmtId="9" fontId="3" fillId="15" borderId="24" xfId="1" applyFont="1" applyFill="1" applyBorder="1" applyAlignment="1" applyProtection="1">
      <s:alignment horizontal="center" vertical="center" mc:Ignorable="vyd"/>
    </s:xf>
    <s:xf numFmtId="165" fontId="3" fillId="15" borderId="0" xfId="1" applyNumberFormat="1" applyFont="1" applyFill="1" applyProtection="1"/>
    <s:xf numFmtId="0" fontId="17" fillId="15" borderId="24" xfId="0" applyFont="1" applyFill="1" applyBorder="1" applyAlignment="1">
      <s:alignment horizontal="center" vertical="top" mc:Ignorable="vyd"/>
    </s:xf>
    <s:xf numFmtId="0" fontId="3" fillId="0" borderId="24" xfId="0" applyFont="1" applyBorder="1"/>
    <s:xf numFmtId="4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3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9" fontId="3" fillId="0" borderId="24" xfId="1" applyFont="1" applyBorder="1" applyAlignment="1" applyProtection="1">
      <s:alignment horizontal="center" vertical="center" mc:Ignorable="vyd"/>
    </s:xf>
    <s:xf numFmtId="165" fontId="3" fillId="0" borderId="0" xfId="1" applyNumberFormat="1" applyFont="1" applyProtection="1"/>
    <s:xf numFmtId="165" fontId="3" fillId="0" borderId="0" xfId="1" applyNumberFormat="1" applyFont="1" applyAlignment="1" applyProtection="1">
      <s:alignment vertical="center" mc:Ignorable="vyd"/>
    </s:xf>
    <s:xf numFmtId="0" fontId="16" fillId="0" borderId="65" xfId="0" applyFont="1" applyBorder="1" applyAlignment="1">
      <s:alignment horizontal="center" vertical="top" mc:Ignorable="vyd"/>
    </s:xf>
    <s:xf numFmtId="3" fontId="16" fillId="17" borderId="24" xfId="0" applyNumberFormat="1" applyFont="1" applyFill="1" applyBorder="1" applyAlignment="1">
      <s:alignment horizontal="center" vertical="top" mc:Ignorable="vyd"/>
    </s:xf>
    <s:xf numFmtId="4" fontId="16" fillId="17" borderId="24" xfId="0" applyNumberFormat="1" applyFont="1" applyFill="1" applyBorder="1" applyAlignment="1">
      <s:alignment horizontal="center" vertical="top" mc:Ignorable="vyd"/>
    </s:xf>
    <s:xf numFmtId="165" fontId="16" fillId="17" borderId="24" xfId="0" applyNumberFormat="1" applyFont="1" applyFill="1" applyBorder="1" applyAlignment="1">
      <s:alignment horizontal="center" vertical="top" mc:Ignorable="vyd"/>
    </s:xf>
    <s:xf numFmtId="9" fontId="3" fillId="17" borderId="24" xfId="1" applyFont="1" applyFill="1" applyBorder="1" applyAlignment="1" applyProtection="1">
      <s:alignment horizontal="center" vertical="center" mc:Ignorable="vyd"/>
    </s:xf>
    <s:xf numFmtId="3" fontId="16" fillId="17" borderId="24" xfId="0" applyNumberFormat="1" applyFont="1" applyFill="1" applyBorder="1" applyAlignment="1">
      <s:alignment horizontal="center" mc:Ignorable="vyd"/>
    </s:xf>
    <s:xf numFmtId="3" fontId="16" fillId="17" borderId="24" xfId="0" applyNumberFormat="1" applyFont="1" applyFill="1" applyBorder="1" applyAlignment="1">
      <s:alignment horizontal="right" mc:Ignorable="vyd"/>
    </s:xf>
    <s:xf numFmtId="165" fontId="16" fillId="0" borderId="0" xfId="1" applyNumberFormat="1" applyFont="1" applyProtection="1"/>
    <s:xf numFmtId="9" fontId="30" fillId="0" borderId="0" xfId="1" applyFont="1" applyProtection="1"/>
    <s:xf numFmtId="0" fontId="17" fillId="0" borderId="2" xfId="0" applyFont="1" applyBorder="1" applyAlignment="1">
      <s:alignment horizontal="center" vertical="center" mc:Ignorable="vyd"/>
    </s:xf>
    <s:xf numFmtId="0" fontId="16" fillId="0" borderId="2" xfId="0" applyFont="1" applyBorder="1" applyAlignment="1">
      <s:alignment horizontal="center" vertical="center" mc:Ignorable="vyd"/>
    </s:xf>
    <s:xf numFmtId="0" fontId="16" fillId="0" borderId="3" xfId="0" applyFont="1" applyBorder="1" applyAlignment="1">
      <s:alignment horizontal="center" vertical="center" mc:Ignorable="vyd"/>
    </s:xf>
    <s:xf numFmtId="0" fontId="37" fillId="12" borderId="24" xfId="0" applyFont="1" applyFill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16" fillId="0" borderId="0" xfId="0" applyFont="1" applyAlignment="1">
      <s:alignment horizontal="center" vertical="center" mc:Ignorable="vyd"/>
    </s:xf>
    <s:xf numFmtId="0" fontId="16" fillId="0" borderId="69" xfId="0" applyFont="1" applyBorder="1" applyAlignment="1">
      <s:alignment horizontal="center" vertical="center" mc:Ignorable="vyd"/>
    </s:xf>
    <s:xf numFmtId="0" fontId="21" fillId="18" borderId="71" xfId="0" applyFont="1" applyFill="1" applyBorder="1" applyAlignment="1">
      <s:alignment horizontal="center" vertical="center" wrapText="1" mc:Ignorable="vyd"/>
    </s:xf>
    <s:xf numFmtId="0" fontId="21" fillId="18" borderId="72" xfId="0" applyFont="1" applyFill="1" applyBorder="1" applyAlignment="1">
      <s:alignment horizontal="center" vertical="center" wrapText="1" mc:Ignorable="vyd"/>
    </s:xf>
    <s:xf numFmtId="0" fontId="21" fillId="18" borderId="18" xfId="0" applyFont="1" applyFill="1" applyBorder="1" applyAlignment="1">
      <s:alignment horizontal="center" vertical="center" wrapText="1" mc:Ignorable="vyd"/>
    </s:xf>
    <s:xf numFmtId="0" fontId="21" fillId="18" borderId="47" xfId="0" applyFont="1" applyFill="1" applyBorder="1" applyAlignment="1">
      <s:alignment horizontal="center" vertical="center" wrapText="1" mc:Ignorable="vyd"/>
    </s:xf>
    <s:xf numFmtId="0" fontId="21" fillId="18" borderId="48" xfId="0" applyFont="1" applyFill="1" applyBorder="1" applyAlignment="1">
      <s:alignment horizontal="center" vertical="center" wrapText="1" mc:Ignorable="vyd"/>
    </s:xf>
    <s:xf numFmtId="0" fontId="21" fillId="18" borderId="40" xfId="0" applyFont="1" applyFill="1" applyBorder="1" applyAlignment="1">
      <s:alignment horizontal="center" vertical="center" wrapText="1" mc:Ignorable="vyd"/>
    </s:xf>
    <s:xf numFmtId="0" fontId="21" fillId="18" borderId="73" xfId="0" applyFont="1" applyFill="1" applyBorder="1" applyAlignment="1">
      <s:alignment horizontal="center" vertical="center" wrapText="1" mc:Ignorable="vyd"/>
    </s:xf>
    <s:xf numFmtId="0" fontId="21" fillId="18" borderId="74" xfId="0" applyFont="1" applyFill="1" applyBorder="1" applyAlignment="1">
      <s:alignment horizontal="center" vertical="center" wrapText="1" mc:Ignorable="vyd"/>
    </s:xf>
    <s:xf numFmtId="0" fontId="21" fillId="18" borderId="60" xfId="0" applyFont="1" applyFill="1" applyBorder="1" applyAlignment="1">
      <s:alignment horizontal="center" vertical="center" wrapText="1" mc:Ignorable="vyd"/>
    </s:xf>
    <s:xf numFmtId="0" fontId="21" fillId="18" borderId="75" xfId="0" applyFont="1" applyFill="1" applyBorder="1" applyAlignment="1">
      <s:alignment horizontal="center" vertical="center" wrapText="1" mc:Ignorable="vyd"/>
    </s:xf>
    <s:xf numFmtId="171" fontId="37" fillId="19" borderId="77" xfId="0" applyNumberFormat="1" applyFont="1" applyFill="1" applyBorder="1" applyAlignment="1">
      <s:alignment horizontal="right" vertical="top" wrapText="1" indent="1" mc:Ignorable="vyd"/>
    </s:xf>
    <s:xf numFmtId="171" fontId="37" fillId="19" borderId="74" xfId="0" applyNumberFormat="1" applyFont="1" applyFill="1" applyBorder="1" applyAlignment="1">
      <s:alignment horizontal="right" vertical="top" wrapText="1" mc:Ignorable="vyd"/>
    </s:xf>
    <s:xf numFmtId="171" fontId="37" fillId="19" borderId="78" xfId="0" applyNumberFormat="1" applyFont="1" applyFill="1" applyBorder="1" applyAlignment="1">
      <s:alignment horizontal="right" vertical="top" wrapText="1" indent="1" mc:Ignorable="vyd"/>
    </s:xf>
    <s:xf numFmtId="171" fontId="37" fillId="19" borderId="54" xfId="0" applyNumberFormat="1" applyFont="1" applyFill="1" applyBorder="1" applyAlignment="1">
      <s:alignment horizontal="right" vertical="top" wrapText="1" indent="1" mc:Ignorable="vyd"/>
    </s:xf>
    <s:xf numFmtId="171" fontId="37" fillId="19" borderId="34" xfId="0" applyNumberFormat="1" applyFont="1" applyFill="1" applyBorder="1" applyAlignment="1">
      <s:alignment horizontal="right" vertical="top" wrapText="1" indent="1" mc:Ignorable="vyd"/>
    </s:xf>
    <s:xf numFmtId="171" fontId="37" fillId="19" borderId="35" xfId="0" applyNumberFormat="1" applyFont="1" applyFill="1" applyBorder="1" applyAlignment="1">
      <s:alignment horizontal="right" vertical="top" wrapText="1" indent="1" mc:Ignorable="vyd"/>
    </s:xf>
    <s:xf numFmtId="171" fontId="37" fillId="0" borderId="37" xfId="0" applyNumberFormat="1" applyFont="1" applyBorder="1" applyAlignment="1">
      <s:alignment horizontal="right" vertical="top" wrapText="1" indent="1" mc:Ignorable="vyd"/>
    </s:xf>
    <s:xf numFmtId="171" fontId="37" fillId="0" borderId="73" xfId="0" applyNumberFormat="1" applyFont="1" applyBorder="1" applyAlignment="1">
      <s:alignment horizontal="right" vertical="top" wrapText="1" indent="1" mc:Ignorable="vyd"/>
    </s:xf>
    <s:xf numFmtId="171" fontId="37" fillId="19" borderId="74" xfId="0" applyNumberFormat="1" applyFont="1" applyFill="1" applyBorder="1" applyAlignment="1">
      <s:alignment horizontal="right" vertical="top" wrapText="1" indent="1" mc:Ignorable="vyd"/>
    </s:xf>
    <s:xf numFmtId="171" fontId="37" fillId="19" borderId="79" xfId="0" applyNumberFormat="1" applyFont="1" applyFill="1" applyBorder="1" applyAlignment="1">
      <s:alignment horizontal="right" vertical="top" wrapText="1" indent="1" mc:Ignorable="vyd"/>
    </s:xf>
    <s:xf numFmtId="171" fontId="37" fillId="19" borderId="75" xfId="0" applyNumberFormat="1" applyFont="1" applyFill="1" applyBorder="1" applyAlignment="1">
      <s:alignment horizontal="right" vertical="top" wrapText="1" mc:Ignorable="vyd"/>
    </s:xf>
    <s:xf numFmtId="0" fontId="38" fillId="4" borderId="80" xfId="0" applyFont="1" applyFill="1" applyBorder="1" applyAlignment="1">
      <s:alignment horizontal="left" vertical="top" mc:Ignorable="vyd"/>
    </s:xf>
    <s:xf numFmtId="0" fontId="39" fillId="4" borderId="0" xfId="0" applyFont="1" applyFill="1" applyAlignment="1">
      <s:alignment horizontal="left" vertical="top" mc:Ignorable="vyd"/>
    </s:xf>
    <s:xf numFmtId="0" fontId="38" fillId="4" borderId="0" xfId="0" applyFont="1" applyFill="1" applyAlignment="1">
      <s:alignment horizontal="left" vertical="top" mc:Ignorable="vyd"/>
    </s:xf>
    <s:xf numFmtId="2" fontId="38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16" fillId="4" borderId="69" xfId="0" applyFont="1" applyFill="1" applyBorder="1" applyAlignment="1">
      <s:alignment horizontal="left" mc:Ignorable="vyd"/>
    </s:xf>
    <s:xf numFmtId="0" fontId="38" fillId="4" borderId="80" xfId="0" applyFont="1" applyFill="1" applyBorder="1" applyAlignment="1">
      <s:alignment horizontal="center" vertical="center" mc:Ignorable="vyd"/>
    </s:xf>
    <s:xf numFmtId="0" fontId="38" fillId="4" borderId="81" xfId="0" applyFont="1" applyFill="1" applyBorder="1" applyAlignment="1">
      <s:alignment horizontal="center" vertical="center" mc:Ignorable="vyd"/>
    </s:xf>
    <s:xf numFmtId="0" fontId="38" fillId="4" borderId="0" xfId="0" applyFont="1" applyFill="1" applyAlignment="1">
      <s:alignment horizontal="center" vertical="center" mc:Ignorable="vyd"/>
    </s:xf>
    <s:xf numFmtId="0" fontId="16" fillId="4" borderId="0" xfId="0" applyFont="1" applyFill="1" applyAlignment="1">
      <s:alignment horizontal="center" vertical="center" mc:Ignorable="vyd"/>
    </s:xf>
    <s:xf numFmtId="0" fontId="16" fillId="4" borderId="69" xfId="0" applyFont="1" applyFill="1" applyBorder="1" applyAlignment="1">
      <s:alignment horizontal="center" vertical="center" mc:Ignorable="vyd"/>
    </s:xf>
    <s:xf numFmtId="14" fontId="38" fillId="4" borderId="81" xfId="0" applyNumberFormat="1" applyFont="1" applyFill="1" applyBorder="1" applyAlignment="1">
      <s:alignment horizontal="center" vertical="top" mc:Ignorable="vyd"/>
    </s:xf>
    <s:xf numFmtId="4" fontId="38" fillId="4" borderId="81" xfId="0" applyNumberFormat="1" applyFont="1" applyFill="1" applyBorder="1" applyAlignment="1">
      <s:alignment horizontal="right" vertical="top" mc:Ignorable="vyd"/>
    </s:xf>
    <s:xf numFmtId="0" fontId="38" fillId="4" borderId="81" xfId="0" applyFont="1" applyFill="1" applyBorder="1" applyAlignment="1">
      <s:alignment horizontal="left" vertical="top" wrapText="1" mc:Ignorable="vyd"/>
    </s:xf>
    <s:xf numFmtId="0" fontId="38" fillId="20" borderId="80" xfId="0" applyFont="1" applyFill="1" applyBorder="1" applyAlignment="1">
      <s:alignment horizontal="left" vertical="top" mc:Ignorable="vyd"/>
    </s:xf>
    <s:xf numFmtId="0" fontId="38" fillId="20" borderId="0" xfId="0" applyFont="1" applyFill="1" applyAlignment="1">
      <s:alignment horizontal="left" vertical="top" mc:Ignorable="vyd"/>
    </s:xf>
    <s:xf numFmtId="4" fontId="39" fillId="20" borderId="0" xfId="0" applyNumberFormat="1" applyFont="1" applyFill="1" applyAlignment="1">
      <s:alignment horizontal="right" vertical="top" mc:Ignorable="vyd"/>
    </s:xf>
    <s:xf numFmtId="0" fontId="38" fillId="20" borderId="0" xfId="0" applyFont="1" applyFill="1" applyAlignment="1">
      <s:alignment horizontal="right" vertical="top" mc:Ignorable="vyd"/>
    </s:xf>
    <s:xf numFmtId="0" fontId="16" fillId="20" borderId="0" xfId="0" applyFont="1" applyFill="1" applyAlignment="1">
      <s:alignment horizontal="left" mc:Ignorable="vyd"/>
    </s:xf>
    <s:xf numFmtId="2" fontId="39" fillId="20" borderId="0" xfId="0" applyNumberFormat="1" applyFont="1" applyFill="1" applyAlignment="1">
      <s:alignment horizontal="left" vertical="top" mc:Ignorable="vyd"/>
    </s:xf>
    <s:xf numFmtId="2" fontId="38" fillId="20" borderId="0" xfId="0" applyNumberFormat="1" applyFont="1" applyFill="1" applyAlignment="1">
      <s:alignment horizontal="left" vertical="top" mc:Ignorable="vyd"/>
    </s:xf>
    <s:xf numFmtId="0" fontId="16" fillId="20" borderId="69" xfId="0" applyFont="1" applyFill="1" applyBorder="1" applyAlignment="1">
      <s:alignment horizontal="left" mc:Ignorable="vyd"/>
    </s:xf>
    <s:xf numFmtId="0" fontId="38" fillId="4" borderId="0" xfId="0" applyFont="1" applyFill="1" applyAlignment="1">
      <s:alignment horizontal="center" vertical="center" wrapText="1" mc:Ignorable="vyd"/>
    </s:xf>
    <s:xf numFmtId="0" fontId="38" fillId="4" borderId="80" xfId="0" applyFont="1" applyFill="1" applyBorder="1" applyAlignment="1">
      <s:alignment horizontal="center" vertical="center" wrapText="1" mc:Ignorable="vyd"/>
    </s:xf>
    <s:xf numFmtId="0" fontId="39" fillId="4" borderId="0" xfId="0" applyFont="1" applyFill="1" applyAlignment="1">
      <s:alignment horizontal="left" vertical="top" wrapText="1" mc:Ignorable="vyd"/>
    </s:xf>
    <s:xf numFmtId="0" fontId="16" fillId="4" borderId="0" xfId="0" applyFont="1" applyFill="1" applyAlignment="1">
      <s:alignment horizontal="center" vertical="center" wrapText="1" mc:Ignorable="vyd"/>
    </s:xf>
    <s:xf numFmtId="0" fontId="16" fillId="4" borderId="84" xfId="0" applyFont="1" applyFill="1" applyBorder="1" applyAlignment="1">
      <s:alignment horizontal="center" vertical="center" wrapText="1" mc:Ignorable="vyd"/>
    </s:xf>
    <s:xf numFmtId="0" fontId="16" fillId="4" borderId="69" xfId="0" applyFont="1" applyFill="1" applyBorder="1" applyAlignment="1">
      <s:alignment horizontal="center" vertical="center" wrapText="1" mc:Ignorable="vyd"/>
    </s:xf>
    <s:xf numFmtId="0" fontId="38" fillId="4" borderId="81" xfId="0" applyFont="1" applyFill="1" applyBorder="1" applyAlignment="1">
      <s:alignment horizontal="center" vertical="center" wrapText="1" mc:Ignorable="vyd"/>
    </s:xf>
    <s:xf numFmtId="0" fontId="38" fillId="4" borderId="82" xfId="0" applyFont="1" applyFill="1" applyBorder="1" applyAlignment="1">
      <s:alignment horizontal="center" vertical="center" wrapText="1" mc:Ignorable="vyd"/>
    </s:xf>
    <s:xf numFmtId="4" fontId="0" fillId="0" borderId="0" xfId="0" applyNumberFormat="1"/>
    <s:xf numFmtId="1" fontId="38" fillId="4" borderId="81" xfId="0" applyNumberFormat="1" applyFont="1" applyFill="1" applyBorder="1" applyAlignment="1">
      <s:alignment horizontal="center" vertical="top" mc:Ignorable="vyd"/>
    </s:xf>
    <s:xf numFmtId="0" fontId="38" fillId="4" borderId="81" xfId="0" applyFont="1" applyFill="1" applyBorder="1" applyAlignment="1">
      <s:alignment horizontal="left" vertical="top" mc:Ignorable="vyd"/>
    </s:xf>
    <s:xf numFmtId="0" fontId="38" fillId="4" borderId="82" xfId="0" applyFont="1" applyFill="1" applyBorder="1" applyAlignment="1">
      <s:alignment horizontal="left" vertical="top" mc:Ignorable="vyd"/>
    </s:xf>
    <s:xf numFmtId="172" fontId="38" fillId="4" borderId="82" xfId="0" applyNumberFormat="1" applyFont="1" applyFill="1" applyBorder="1" applyAlignment="1">
      <s:alignment horizontal="center" vertical="top" mc:Ignorable="vyd"/>
    </s:xf>
    <s:xf numFmtId="2" fontId="38" fillId="4" borderId="82" xfId="0" applyNumberFormat="1" applyFont="1" applyFill="1" applyBorder="1" applyAlignment="1">
      <s:alignment horizontal="center" vertical="top" mc:Ignorable="vyd"/>
    </s:xf>
    <s:xf numFmtId="2" fontId="39" fillId="4" borderId="81" xfId="0" applyNumberFormat="1" applyFont="1" applyFill="1" applyBorder="1" applyAlignment="1">
      <s:alignment horizontal="right" vertical="center" wrapText="1" indent="1" mc:Ignorable="vyd"/>
    </s:xf>
    <s:xf numFmtId="4" fontId="38" fillId="4" borderId="0" xfId="0" applyNumberFormat="1" applyFont="1" applyFill="1" applyAlignment="1">
      <s:alignment horizontal="left" vertical="top" mc:Ignorable="vyd"/>
    </s:xf>
    <s:xf numFmtId="10" fontId="38" fillId="4" borderId="81" xfId="0" applyNumberFormat="1" applyFont="1" applyFill="1" applyBorder="1" applyAlignment="1">
      <s:alignment horizontal="center" vertical="top" mc:Ignorable="vyd"/>
    </s:xf>
    <s:xf numFmtId="0" fontId="38" fillId="4" borderId="81" xfId="0" applyFont="1" applyFill="1" applyBorder="1" applyAlignment="1">
      <s:alignment horizontal="left" vertical="center" mc:Ignorable="vyd"/>
    </s:xf>
    <s:xf numFmtId="172" fontId="38" fillId="4" borderId="82" xfId="0" applyNumberFormat="1" applyFont="1" applyFill="1" applyBorder="1" applyAlignment="1">
      <s:alignment horizontal="center" vertical="center" wrapText="1" mc:Ignorable="vyd"/>
    </s:xf>
    <s:xf numFmtId="10" fontId="38" fillId="4" borderId="81" xfId="0" applyNumberFormat="1" applyFont="1" applyFill="1" applyBorder="1" applyAlignment="1">
      <s:alignment horizontal="center" vertical="center" wrapText="1" mc:Ignorable="vyd"/>
    </s:xf>
    <s:xf numFmtId="0" fontId="38" fillId="4" borderId="0" xfId="0" applyFont="1" applyFill="1" applyAlignment="1">
      <s:alignment horizontal="left" vertical="center" mc:Ignorable="vyd"/>
    </s:xf>
    <s:xf numFmtId="172" fontId="38" fillId="4" borderId="0" xfId="0" applyNumberFormat="1" applyFont="1" applyFill="1" applyAlignment="1">
      <s:alignment horizontal="center" vertical="center" wrapText="1" mc:Ignorable="vyd"/>
    </s:xf>
    <s:xf numFmtId="2" fontId="39" fillId="4" borderId="0" xfId="0" applyNumberFormat="1" applyFont="1" applyFill="1" applyAlignment="1">
      <s:alignment horizontal="right" vertical="center" wrapText="1" mc:Ignorable="vyd"/>
    </s:xf>
    <s:xf numFmtId="4" fontId="17" fillId="20" borderId="0" xfId="0" applyNumberFormat="1" applyFont="1" applyFill="1" applyAlignment="1">
      <s:alignment horizontal="right" mc:Ignorable="vyd"/>
    </s:xf>
    <s:xf numFmtId="0" fontId="16" fillId="20" borderId="0" xfId="0" applyFont="1" applyFill="1" applyAlignment="1">
      <s:alignment horizontal="right" mc:Ignorable="vyd"/>
    </s:xf>
    <s:xf numFmtId="0" fontId="16" fillId="4" borderId="80" xfId="0" applyFont="1" applyFill="1" applyBorder="1" applyAlignment="1">
      <s:alignment horizontal="left" mc:Ignorable="vyd"/>
    </s:xf>
    <s:xf numFmtId="0" fontId="16" fillId="0" borderId="0" xfId="0" applyFont="1" applyAlignment="1">
      <s:alignment horizontal="left" mc:Ignorable="vyd"/>
    </s:xf>
    <s:xf numFmtId="0" fontId="16" fillId="0" borderId="69" xfId="0" applyFont="1" applyBorder="1"/>
    <s:xf numFmtId="0" fontId="39" fillId="4" borderId="21" xfId="0" applyFont="1" applyFill="1" applyBorder="1" applyAlignment="1">
      <s:alignment horizontal="left" vertical="top" mc:Ignorable="vyd"/>
    </s:xf>
    <s:xf numFmtId="0" fontId="17" fillId="4" borderId="21" xfId="0" applyFont="1" applyFill="1" applyBorder="1" applyAlignment="1">
      <s:alignment horizontal="left" mc:Ignorable="vyd"/>
    </s:xf>
    <s:xf numFmtId="0" fontId="16" fillId="4" borderId="21" xfId="0" applyFont="1" applyFill="1" applyBorder="1" applyAlignment="1">
      <s:alignment horizontal="left" mc:Ignorable="vyd"/>
    </s:xf>
    <s:xf numFmtId="0" fontId="16" fillId="4" borderId="59" xfId="0" applyFont="1" applyFill="1" applyBorder="1" applyAlignment="1">
      <s:alignment horizontal="left" mc:Ignorable="vyd"/>
    </s:xf>
    <s:xf numFmtId="0" fontId="16" fillId="4" borderId="80" xfId="0" applyFont="1" applyFill="1" applyBorder="1" applyAlignment="1">
      <s:alignment horizontal="center" vertical="center" wrapText="1" mc:Ignorable="vyd"/>
    </s:xf>
    <s:xf numFmtId="0" fontId="38" fillId="4" borderId="24" xfId="0" applyFont="1" applyFill="1" applyBorder="1" applyAlignment="1">
      <s:alignment horizontal="center" vertical="center" wrapText="1" mc:Ignorable="vyd"/>
    </s:xf>
    <s:xf numFmtId="0" fontId="38" fillId="4" borderId="26" xfId="0" applyFont="1" applyFill="1" applyBorder="1" applyAlignment="1">
      <s:alignment horizontal="center" vertical="center" wrapText="1" mc:Ignorable="vyd"/>
    </s:xf>
    <s:xf numFmtId="2" fontId="39" fillId="4" borderId="81" xfId="0" applyNumberFormat="1" applyFont="1" applyFill="1" applyBorder="1" applyAlignment="1">
      <s:alignment horizontal="right" vertical="top" indent="1" mc:Ignorable="vyd"/>
    </s:xf>
    <s:xf numFmtId="3" fontId="38" fillId="4" borderId="24" xfId="0" applyNumberFormat="1" applyFont="1" applyFill="1" applyBorder="1" applyAlignment="1">
      <s:alignment horizontal="left" vertical="top" mc:Ignorable="vyd"/>
    </s:xf>
    <s:xf numFmtId="172" fontId="38" fillId="4" borderId="24" xfId="0" applyNumberFormat="1" applyFont="1" applyFill="1" applyBorder="1" applyAlignment="1">
      <s:alignment vertical="top" mc:Ignorable="vyd"/>
    </s:xf>
    <s:xf numFmtId="3" fontId="16" fillId="4" borderId="24" xfId="0" applyNumberFormat="1" applyFont="1" applyFill="1" applyBorder="1" applyAlignment="1">
      <s:alignment vertical="top" mc:Ignorable="vyd"/>
    </s:xf>
    <s:xf numFmtId="10" fontId="38" fillId="4" borderId="24" xfId="0" applyNumberFormat="1" applyFont="1" applyFill="1" applyBorder="1" applyAlignment="1">
      <s:alignment horizontal="center" vertical="top" mc:Ignorable="vyd"/>
    </s:xf>
    <s:xf numFmtId="2" fontId="39" fillId="4" borderId="26" xfId="0" applyNumberFormat="1" applyFont="1" applyFill="1" applyBorder="1" applyAlignment="1">
      <s:alignment horizontal="right" vertical="top" indent="1" mc:Ignorable="vyd"/>
    </s:xf>
    <s:xf numFmtId="4" fontId="38" fillId="4" borderId="81" xfId="0" applyNumberFormat="1" applyFont="1" applyFill="1" applyBorder="1" applyAlignment="1">
      <s:alignment horizontal="right" vertical="center" wrapText="1" mc:Ignorable="vyd"/>
    </s:xf>
    <s:xf numFmtId="3" fontId="38" fillId="4" borderId="24" xfId="0" applyNumberFormat="1" applyFont="1" applyFill="1" applyBorder="1" applyAlignment="1">
      <s:alignment horizontal="left" vertical="top" wrapText="1" mc:Ignorable="vyd"/>
    </s:xf>
    <s:xf numFmtId="0" fontId="38" fillId="4" borderId="24" xfId="0" applyFont="1" applyFill="1" applyBorder="1" applyAlignment="1">
      <s:alignment vertical="center" mc:Ignorable="vyd"/>
    </s:xf>
    <s:xf numFmtId="172" fontId="38" fillId="4" borderId="24" xfId="0" applyNumberFormat="1" applyFont="1" applyFill="1" applyBorder="1" applyAlignment="1">
      <s:alignment vertical="center" wrapText="1" mc:Ignorable="vyd"/>
    </s:xf>
    <s:xf numFmtId="0" fontId="16" fillId="4" borderId="24" xfId="0" applyFont="1" applyFill="1" applyBorder="1" applyAlignment="1">
      <s:alignment vertical="top" wrapText="1" mc:Ignorable="vyd"/>
    </s:xf>
    <s:xf numFmtId="10" fontId="38" fillId="4" borderId="24" xfId="0" applyNumberFormat="1" applyFont="1" applyFill="1" applyBorder="1" applyAlignment="1">
      <s:alignment horizontal="center" vertical="top" wrapText="1" mc:Ignorable="vyd"/>
    </s:xf>
    <s:xf numFmtId="2" fontId="39" fillId="4" borderId="26" xfId="0" applyNumberFormat="1" applyFont="1" applyFill="1" applyBorder="1" applyAlignment="1">
      <s:alignment horizontal="right" vertical="top" wrapText="1" indent="1" mc:Ignorable="vyd"/>
    </s:xf>
    <s:xf numFmtId="0" fontId="3" fillId="0" borderId="6" xfId="0" applyFont="1" applyBorder="1"/>
    <s:xf numFmtId="0" fontId="3" fillId="0" borderId="7" xfId="0" applyFont="1" applyBorder="1"/>
    <s:xf numFmtId="0" fontId="3" fillId="0" borderId="8" xfId="0" applyFont="1" applyBorder="1"/>
    <s:xf numFmtId="0" fontId="37" fillId="12" borderId="30" xfId="0" applyFont="1" applyFill="1" applyBorder="1" applyAlignment="1">
      <s:alignment horizontal="center" vertical="center" mc:Ignorable="vyd"/>
    </s:xf>
    <s:xf numFmtId="0" fontId="21" fillId="18" borderId="24" xfId="0" applyFont="1" applyFill="1" applyBorder="1" applyAlignment="1">
      <s:alignment horizontal="center" vertical="center" wrapText="1" mc:Ignorable="vyd"/>
    </s:xf>
    <s:xf numFmtId="0" fontId="21" fillId="18" borderId="25" xfId="0" applyFont="1" applyFill="1" applyBorder="1" applyAlignment="1">
      <s:alignment horizontal="center" vertical="center" wrapText="1" mc:Ignorable="vyd"/>
    </s:xf>
    <s:xf numFmtId="0" fontId="21" fillId="18" borderId="3" xfId="0" applyFont="1" applyFill="1" applyBorder="1" applyAlignment="1">
      <s:alignment horizontal="center" vertical="center" wrapText="1" mc:Ignorable="vyd"/>
    </s:xf>
    <s:xf numFmtId="171" fontId="21" fillId="19" borderId="24" xfId="0" applyNumberFormat="1" applyFont="1" applyFill="1" applyBorder="1" applyAlignment="1">
      <s:alignment horizontal="right" vertical="top" wrapText="1" indent="1" mc:Ignorable="vyd"/>
    </s:xf>
    <s:xf numFmtId="171" fontId="21" fillId="19" borderId="25" xfId="0" applyNumberFormat="1" applyFont="1" applyFill="1" applyBorder="1" applyAlignment="1">
      <s:alignment horizontal="right" vertical="top" wrapText="1" mc:Ignorable="vyd"/>
    </s:xf>
    <s:xf numFmtId="171" fontId="21" fillId="19" borderId="78" xfId="0" applyNumberFormat="1" applyFont="1" applyFill="1" applyBorder="1" applyAlignment="1">
      <s:alignment horizontal="right" vertical="top" wrapText="1" indent="1" mc:Ignorable="vyd"/>
    </s:xf>
    <s:xf numFmtId="171" fontId="21" fillId="19" borderId="54" xfId="0" applyNumberFormat="1" applyFont="1" applyFill="1" applyBorder="1" applyAlignment="1">
      <s:alignment horizontal="right" vertical="top" wrapText="1" indent="1" mc:Ignorable="vyd"/>
    </s:xf>
    <s:xf numFmtId="171" fontId="21" fillId="19" borderId="34" xfId="0" applyNumberFormat="1" applyFont="1" applyFill="1" applyBorder="1" applyAlignment="1">
      <s:alignment horizontal="right" vertical="top" wrapText="1" indent="1" mc:Ignorable="vyd"/>
    </s:xf>
    <s:xf numFmtId="171" fontId="21" fillId="19" borderId="35" xfId="0" applyNumberFormat="1" applyFont="1" applyFill="1" applyBorder="1" applyAlignment="1">
      <s:alignment horizontal="right" vertical="top" wrapText="1" indent="1" mc:Ignorable="vyd"/>
    </s:xf>
    <s:xf numFmtId="171" fontId="21" fillId="0" borderId="35" xfId="0" applyNumberFormat="1" applyFont="1" applyBorder="1" applyAlignment="1">
      <s:alignment horizontal="right" vertical="top" wrapText="1" indent="1" mc:Ignorable="vyd"/>
    </s:xf>
    <s:xf numFmtId="171" fontId="37" fillId="0" borderId="54" xfId="0" applyNumberFormat="1" applyFont="1" applyBorder="1" applyAlignment="1">
      <s:alignment horizontal="right" vertical="top" wrapText="1" indent="1" mc:Ignorable="vyd"/>
    </s:xf>
    <s:xf numFmtId="171" fontId="37" fillId="19" borderId="37" xfId="0" applyNumberFormat="1" applyFont="1" applyFill="1" applyBorder="1" applyAlignment="1">
      <s:alignment horizontal="right" vertical="top" wrapText="1" indent="1" mc:Ignorable="vyd"/>
    </s:xf>
    <s:xf numFmtId="171" fontId="37" fillId="19" borderId="86" xfId="0" applyNumberFormat="1" applyFont="1" applyFill="1" applyBorder="1" applyAlignment="1">
      <s:alignment horizontal="right" vertical="top" wrapText="1" indent="1" mc:Ignorable="vyd"/>
    </s:xf>
    <s:xf numFmtId="0" fontId="38" fillId="4" borderId="24" xfId="0" applyFont="1" applyFill="1" applyBorder="1" applyAlignment="1">
      <s:alignment horizontal="center" vertical="center" mc:Ignorable="vyd"/>
    </s:xf>
    <s:xf numFmtId="14" fontId="38" fillId="4" borderId="24" xfId="0" applyNumberFormat="1" applyFont="1" applyFill="1" applyBorder="1" applyAlignment="1">
      <s:alignment horizontal="center" vertical="top" mc:Ignorable="vyd"/>
    </s:xf>
    <s:xf numFmtId="4" fontId="38" fillId="4" borderId="24" xfId="0" applyNumberFormat="1" applyFont="1" applyFill="1" applyBorder="1" applyAlignment="1">
      <s:alignment horizontal="right" vertical="top" mc:Ignorable="vyd"/>
    </s:xf>
    <s:xf numFmtId="0" fontId="38" fillId="4" borderId="24" xfId="0" applyFont="1" applyFill="1" applyBorder="1" applyAlignment="1">
      <s:alignment horizontal="left" vertical="top" wrapText="1" mc:Ignorable="vyd"/>
    </s:xf>
    <s:xf numFmtId="14" fontId="38" fillId="4" borderId="0" xfId="0" applyNumberFormat="1" applyFont="1" applyFill="1" applyAlignment="1">
      <s:alignment horizontal="center" vertical="top" mc:Ignorable="vyd"/>
    </s:xf>
    <s:xf numFmtId="4" fontId="38" fillId="4" borderId="0" xfId="0" applyNumberFormat="1" applyFont="1" applyFill="1" applyAlignment="1">
      <s:alignment horizontal="center" vertical="top" mc:Ignorable="vyd"/>
    </s:xf>
    <s:xf numFmtId="0" fontId="38" fillId="4" borderId="0" xfId="0" applyFont="1" applyFill="1" applyAlignment="1">
      <s:alignment horizontal="left" vertical="top" wrapText="1" mc:Ignorable="vyd"/>
    </s:xf>
    <s:xf numFmtId="1" fontId="38" fillId="4" borderId="24" xfId="0" applyNumberFormat="1" applyFont="1" applyFill="1" applyBorder="1" applyAlignment="1">
      <s:alignment horizontal="center" vertical="top" mc:Ignorable="vyd"/>
    </s:xf>
    <s:xf numFmtId="0" fontId="38" fillId="4" borderId="24" xfId="0" applyFont="1" applyFill="1" applyBorder="1" applyAlignment="1">
      <s:alignment horizontal="left" vertical="top" mc:Ignorable="vyd"/>
    </s:xf>
    <s:xf numFmtId="172" fontId="38" fillId="4" borderId="24" xfId="0" applyNumberFormat="1" applyFont="1" applyFill="1" applyBorder="1" applyAlignment="1">
      <s:alignment horizontal="center" vertical="top" mc:Ignorable="vyd"/>
    </s:xf>
    <s:xf numFmtId="2" fontId="38" fillId="4" borderId="24" xfId="0" applyNumberFormat="1" applyFont="1" applyFill="1" applyBorder="1" applyAlignment="1">
      <s:alignment horizontal="center" vertical="top" mc:Ignorable="vyd"/>
    </s:xf>
    <s:xf numFmtId="2" fontId="39" fillId="4" borderId="24" xfId="0" applyNumberFormat="1" applyFont="1" applyFill="1" applyBorder="1" applyAlignment="1">
      <s:alignment horizontal="right" vertical="center" wrapText="1" indent="1" mc:Ignorable="vyd"/>
    </s:xf>
    <s:xf numFmtId="0" fontId="38" fillId="4" borderId="24" xfId="0" applyFont="1" applyFill="1" applyBorder="1" applyAlignment="1">
      <s:alignment horizontal="left" vertical="center" mc:Ignorable="vyd"/>
    </s:xf>
    <s:xf numFmtId="172" fontId="38" fillId="4" borderId="24" xfId="0" applyNumberFormat="1" applyFont="1" applyFill="1" applyBorder="1" applyAlignment="1">
      <s:alignment horizontal="center" vertical="center" wrapText="1" mc:Ignorable="vyd"/>
    </s:xf>
    <s:xf numFmtId="10" fontId="38" fillId="4" borderId="24" xfId="0" applyNumberFormat="1" applyFont="1" applyFill="1" applyBorder="1" applyAlignment="1">
      <s:alignment horizontal="center" vertical="center" wrapText="1" mc:Ignorable="vyd"/>
    </s:xf>
    <s:xf numFmtId="2" fontId="38" fillId="4" borderId="24" xfId="0" applyNumberFormat="1" applyFont="1" applyFill="1" applyBorder="1" applyAlignment="1">
      <s:alignment horizontal="center" vertical="center" wrapText="1" mc:Ignorable="vyd"/>
    </s:xf>
    <s:xf numFmtId="2" fontId="17" fillId="20" borderId="0" xfId="0" applyNumberFormat="1" applyFont="1" applyFill="1" applyAlignment="1">
      <s:alignment horizontal="left" mc:Ignorable="vyd"/>
    </s:xf>
    <s:xf numFmtId="2" fontId="39" fillId="4" borderId="24" xfId="0" applyNumberFormat="1" applyFont="1" applyFill="1" applyBorder="1" applyAlignment="1">
      <s:alignment horizontal="right" vertical="top" indent="1" mc:Ignorable="vyd"/>
    </s:xf>
    <s:xf numFmtId="0" fontId="16" fillId="4" borderId="24" xfId="0" applyFont="1" applyFill="1" applyBorder="1" applyAlignment="1">
      <s:alignment vertical="top" mc:Ignorable="vyd"/>
    </s:xf>
    <s:xf numFmtId="4" fontId="38" fillId="4" borderId="24" xfId="0" applyNumberFormat="1" applyFont="1" applyFill="1" applyBorder="1" applyAlignment="1">
      <s:alignment horizontal="right" vertical="center" wrapText="1" mc:Ignorable="vyd"/>
    </s:xf>
    <s:xf numFmtId="0" fontId="21" fillId="18" borderId="11" xfId="0" applyFont="1" applyFill="1" applyBorder="1" applyAlignment="1">
      <s:alignment horizontal="center" vertical="center" wrapText="1" mc:Ignorable="vyd"/>
    </s:xf>
    <s:xf numFmtId="171" fontId="21" fillId="19" borderId="77" xfId="0" applyNumberFormat="1" applyFont="1" applyFill="1" applyBorder="1" applyAlignment="1">
      <s:alignment horizontal="right" vertical="top" wrapText="1" indent="1" mc:Ignorable="vyd"/>
    </s:xf>
    <s:xf numFmtId="171" fontId="21" fillId="19" borderId="74" xfId="0" applyNumberFormat="1" applyFont="1" applyFill="1" applyBorder="1" applyAlignment="1">
      <s:alignment horizontal="right" vertical="top" wrapText="1" mc:Ignorable="vyd"/>
    </s:xf>
    <s:xf numFmtId="171" fontId="21" fillId="0" borderId="37" xfId="0" applyNumberFormat="1" applyFont="1" applyBorder="1" applyAlignment="1">
      <s:alignment horizontal="right" vertical="top" wrapText="1" indent="1" mc:Ignorable="vyd"/>
    </s:xf>
    <s:xf numFmtId="2" fontId="38" fillId="4" borderId="81" xfId="0" applyNumberFormat="1" applyFont="1" applyFill="1" applyBorder="1" applyAlignment="1">
      <s:alignment horizontal="center" vertical="top" mc:Ignorable="vyd"/>
    </s:xf>
    <s:xf numFmtId="2" fontId="38" fillId="4" borderId="81" xfId="0" applyNumberFormat="1" applyFont="1" applyFill="1" applyBorder="1" applyAlignment="1">
      <s:alignment horizontal="center" vertical="center" wrapText="1" mc:Ignorable="vyd"/>
    </s:xf>
    <s:xf numFmtId="4" fontId="38" fillId="4" borderId="0" xfId="0" applyNumberFormat="1" applyFont="1" applyFill="1" applyAlignment="1">
      <s:alignment horizontal="right" vertical="top" mc:Ignorable="vyd"/>
    </s:xf>
    <s:xf numFmtId="0" fontId="37" fillId="22" borderId="87" xfId="0" applyFont="1" applyFill="1" applyBorder="1"/>
    <s:xf numFmtId="173" fontId="40" fillId="23" borderId="88" xfId="0" applyNumberFormat="1" applyFont="1" applyFill="1" applyBorder="1" applyAlignment="1" applyProtection="1">
      <s:alignment horizontal="left" mc:Ignorable="vyd"/>
      <s:protection locked="0"/>
    </s:xf>
    <s:xf numFmtId="0" fontId="21" fillId="22" borderId="89" xfId="0" applyFont="1" applyFill="1" applyBorder="1"/>
    <s:xf numFmtId="0" fontId="41" fillId="23" borderId="90" xfId="0" applyFont="1" applyFill="1" applyBorder="1" applyProtection="1">
      <s:protection locked="0"/>
    </s:xf>
    <s:xf numFmtId="0" fontId="42" fillId="22" borderId="0" xfId="0" applyFont="1" applyFill="1" applyAlignment="1">
      <s:alignment vertical="center" mc:Ignorable="vyd"/>
    </s:xf>
    <s:xf numFmtId="0" fontId="21" fillId="22" borderId="0" xfId="0" applyFont="1" applyFill="1"/>
    <s:xf numFmtId="0" fontId="41" fillId="24" borderId="91" xfId="0" applyFont="1" applyFill="1" applyBorder="1"/>
    <s:xf numFmtId="0" fontId="42" fillId="25" borderId="0" xfId="0" applyFont="1" applyFill="1" applyAlignment="1">
      <s:alignment vertical="center" mc:Ignorable="vyd"/>
    </s:xf>
    <s:xf numFmtId="0" fontId="21" fillId="25" borderId="0" xfId="0" applyFont="1" applyFill="1"/>
    <s:xf numFmtId="0" fontId="43" fillId="24" borderId="91" xfId="0" applyFont="1" applyFill="1" applyBorder="1"/>
    <s:xf numFmtId="0" fontId="41" fillId="24" borderId="92" xfId="0" applyFont="1" applyFill="1" applyBorder="1"/>
    <s:xf numFmtId="0" fontId="46" fillId="22" borderId="93" xfId="0" applyFont="1" applyFill="1" applyBorder="1" applyAlignment="1">
      <s:alignment horizontal="center" wrapText="1" mc:Ignorable="vyd"/>
    </s:xf>
    <s:xf numFmtId="0" fontId="37" fillId="22" borderId="96" xfId="0" applyFont="1" applyFill="1" applyBorder="1" applyAlignment="1">
      <s:alignment horizontal="center" mc:Ignorable="vyd"/>
    </s:xf>
    <s:xf numFmtId="0" fontId="21" fillId="26" borderId="0" xfId="0" applyFont="1" applyFill="1"/>
    <s:xf numFmtId="0" fontId="37" fillId="22" borderId="97" xfId="0" applyFont="1" applyFill="1" applyBorder="1"/>
    <s:xf numFmtId="2" fontId="46" fillId="22" borderId="98" xfId="0" applyNumberFormat="1" applyFont="1" applyFill="1" applyBorder="1" applyAlignment="1">
      <s:alignment horizontal="center" mc:Ignorable="vyd"/>
    </s:xf>
    <s:xf numFmtId="3" fontId="47" fillId="22" borderId="93" xfId="0" applyNumberFormat="1" applyFont="1" applyFill="1" applyBorder="1" applyAlignment="1">
      <s:alignment horizontal="center" mc:Ignorable="vyd"/>
    </s:xf>
    <s:xf numFmtId="10" fontId="21" fillId="26" borderId="0" xfId="0" applyNumberFormat="1" applyFont="1" applyFill="1"/>
    <s:xf numFmtId="0" fontId="37" fillId="22" borderId="99" xfId="0" applyFont="1" applyFill="1" applyBorder="1"/>
    <s:xf numFmtId="0" fontId="21" fillId="22" borderId="95" xfId="0" applyFont="1" applyFill="1" applyBorder="1"/>
    <s:xf numFmtId="0" fontId="21" fillId="22" borderId="100" xfId="0" applyFont="1" applyFill="1" applyBorder="1"/>
    <s:xf numFmtId="0" fontId="37" fillId="27" borderId="101" xfId="0" applyFont="1" applyFill="1" applyBorder="1" applyAlignment="1" applyProtection="1">
      <s:alignment wrapText="1" mc:Ignorable="vyd"/>
      <s:protection locked="0"/>
    </s:xf>
    <s:xf numFmtId="0" fontId="21" fillId="28" borderId="102" xfId="0" applyFont="1" applyFill="1" applyBorder="1"/>
    <s:xf numFmtId="0" fontId="37" fillId="29" borderId="102" xfId="0" applyFont="1" applyFill="1" applyBorder="1" applyAlignment="1">
      <s:alignment horizontal="center" vertical="center" wrapText="1" mc:Ignorable="vyd"/>
    </s:xf>
    <s:xf numFmtId="0" fontId="21" fillId="22" borderId="103" xfId="0" applyFont="1" applyFill="1" applyBorder="1"/>
    <s:xf numFmtId="0" fontId="21" fillId="22" borderId="104" xfId="0" applyFont="1" applyFill="1" applyBorder="1"/>
    <s:xf numFmtId="0" fontId="21" fillId="28" borderId="104" xfId="0" applyFont="1" applyFill="1" applyBorder="1"/>
    <s:xf numFmtId="0" fontId="37" fillId="29" borderId="105" xfId="0" applyFont="1" applyFill="1" applyBorder="1" applyAlignment="1">
      <s:alignment horizontal="center" vertical="center" wrapText="1" mc:Ignorable="vyd"/>
    </s:xf>
    <s:xf numFmtId="0" fontId="37" fillId="22" borderId="9" xfId="0" applyFont="1" applyFill="1" applyBorder="1" applyAlignment="1">
      <s:alignment vertical="center" wrapText="1" mc:Ignorable="vyd"/>
    </s:xf>
    <s:xf numFmtId="0" fontId="37" fillId="22" borderId="106" xfId="0" applyFont="1" applyFill="1" applyBorder="1" applyAlignment="1">
      <s:alignment horizontal="center" vertical="center" mc:Ignorable="vyd"/>
    </s:xf>
    <s:xf numFmtId="0" fontId="47" fillId="22" borderId="107" xfId="0" applyFont="1" applyFill="1" applyBorder="1" applyAlignment="1">
      <s:alignment horizontal="center" vertical="center" mc:Ignorable="vyd"/>
    </s:xf>
    <s:xf numFmtId="0" fontId="47" fillId="22" borderId="101" xfId="0" applyFont="1" applyFill="1" applyBorder="1" applyAlignment="1">
      <s:alignment horizontal="center" vertical="center" mc:Ignorable="vyd"/>
    </s:xf>
    <s:xf numFmtId="0" fontId="47" fillId="28" borderId="101" xfId="0" applyFont="1" applyFill="1" applyBorder="1" applyAlignment="1">
      <s:alignment horizontal="center" vertical="center" mc:Ignorable="vyd"/>
    </s:xf>
    <s:xf numFmtId="0" fontId="37" fillId="29" borderId="101" xfId="0" applyFont="1" applyFill="1" applyBorder="1" applyAlignment="1">
      <s:alignment horizontal="center" vertical="center" wrapText="1" mc:Ignorable="vyd"/>
    </s:xf>
    <s:xf numFmtId="0" fontId="37" fillId="29" borderId="108" xfId="0" applyFont="1" applyFill="1" applyBorder="1" applyAlignment="1">
      <s:alignment horizontal="center" vertical="center" wrapText="1" mc:Ignorable="vyd"/>
    </s:xf>
    <s:xf numFmtId="0" fontId="37" fillId="22" borderId="88" xfId="0" applyFont="1" applyFill="1" applyBorder="1"/>
    <s:xf numFmtId="0" fontId="48" fillId="0" borderId="111" xfId="0" applyFont="1" applyBorder="1"/>
    <s:xf numFmtId="0" fontId="21" fillId="0" borderId="112" xfId="0" applyFont="1" applyBorder="1"/>
    <s:xf numFmtId="0" fontId="3" fillId="0" borderId="112" xfId="0" applyFont="1" applyBorder="1"/>
    <s:xf numFmtId="0" fontId="21" fillId="0" borderId="113" xfId="0" applyFont="1" applyBorder="1"/>
    <s:xf numFmtId="3" fontId="21" fillId="28" borderId="19" xfId="0" applyNumberFormat="1" applyFont="1" applyFill="1" applyBorder="1" applyAlignment="1">
      <s:alignment horizontal="center" mc:Ignorable="vyd"/>
    </s:xf>
    <s:xf numFmtId="3" fontId="21" fillId="29" borderId="111" xfId="0" applyNumberFormat="1" applyFont="1" applyFill="1" applyBorder="1" applyAlignment="1">
      <s:alignment horizontal="center" mc:Ignorable="vyd"/>
    </s:xf>
    <s:xf numFmtId="3" fontId="21" fillId="29" borderId="112" xfId="0" applyNumberFormat="1" applyFont="1" applyFill="1" applyBorder="1" applyAlignment="1">
      <s:alignment horizontal="center" mc:Ignorable="vyd"/>
    </s:xf>
    <s:xf numFmtId="3" fontId="21" fillId="0" borderId="112" xfId="0" applyNumberFormat="1" applyFont="1" applyBorder="1" applyAlignment="1">
      <s:alignment horizontal="center" mc:Ignorable="vyd"/>
    </s:xf>
    <s:xf numFmtId="0" fontId="37" fillId="22" borderId="90" xfId="0" applyFont="1" applyFill="1" applyBorder="1"/>
    <s:xf numFmtId="0" fontId="48" fillId="0" borderId="114" xfId="0" applyFont="1" applyBorder="1"/>
    <s:xf numFmtId="0" fontId="21" fillId="0" borderId="115" xfId="0" applyFont="1" applyBorder="1"/>
    <s:xf numFmtId="0" fontId="3" fillId="0" borderId="115" xfId="0" applyFont="1" applyBorder="1"/>
    <s:xf numFmtId="0" fontId="21" fillId="0" borderId="116" xfId="0" applyFont="1" applyBorder="1"/>
    <s:xf numFmtId="3" fontId="21" fillId="28" borderId="24" xfId="0" applyNumberFormat="1" applyFont="1" applyFill="1" applyBorder="1" applyAlignment="1">
      <s:alignment horizontal="center" mc:Ignorable="vyd"/>
    </s:xf>
    <s:xf numFmtId="3" fontId="21" fillId="29" borderId="114" xfId="0" applyNumberFormat="1" applyFont="1" applyFill="1" applyBorder="1" applyAlignment="1">
      <s:alignment horizontal="center" mc:Ignorable="vyd"/>
    </s:xf>
    <s:xf numFmtId="3" fontId="21" fillId="29" borderId="115" xfId="0" applyNumberFormat="1" applyFont="1" applyFill="1" applyBorder="1" applyAlignment="1">
      <s:alignment horizontal="center" mc:Ignorable="vyd"/>
    </s:xf>
    <s:xf numFmtId="3" fontId="21" fillId="0" borderId="115" xfId="0" applyNumberFormat="1" applyFont="1" applyBorder="1" applyAlignment="1">
      <s:alignment horizontal="center" mc:Ignorable="vyd"/>
    </s:xf>
    <s:xf numFmtId="0" fontId="21" fillId="15" borderId="115" xfId="0" applyFont="1" applyFill="1" applyBorder="1"/>
    <s:xf numFmtId="0" fontId="49" fillId="0" borderId="115" xfId="0" applyFont="1" applyBorder="1"/>
    <s:xf numFmtId="0" fontId="48" fillId="0" borderId="114" xfId="0" applyFont="1" applyBorder="1" applyProtection="1">
      <s:protection locked="0"/>
    </s:xf>
    <s:xf numFmtId="0" fontId="48" fillId="0" borderId="115" xfId="0" applyFont="1" applyBorder="1" applyProtection="1">
      <s:protection locked="0"/>
    </s:xf>
    <s:xf numFmtId="0" fontId="3" fillId="0" borderId="115" xfId="0" applyFont="1" applyBorder="1" applyProtection="1">
      <s:protection locked="0"/>
    </s:xf>
    <s:xf numFmtId="0" fontId="48" fillId="0" borderId="24" xfId="0" applyFont="1" applyBorder="1"/>
    <s:xf numFmtId="0" fontId="48" fillId="0" borderId="0" xfId="0" applyFont="1" applyProtection="1">
      <s:protection locked="0"/>
    </s:xf>
    <s:xf numFmtId="0" fontId="48" fillId="0" borderId="116" xfId="0" applyFont="1" applyBorder="1" applyProtection="1">
      <s:protection locked="0"/>
    </s:xf>
    <s:xf numFmtId="0" fontId="42" fillId="0" borderId="114" xfId="0" applyFont="1" applyBorder="1" applyProtection="1">
      <s:protection locked="0"/>
    </s:xf>
    <s:xf numFmtId="0" fontId="42" fillId="0" borderId="115" xfId="0" applyFont="1" applyBorder="1" applyProtection="1">
      <s:protection locked="0"/>
    </s:xf>
    <s:xf numFmtId="0" fontId="42" fillId="0" borderId="24" xfId="0" applyFont="1" applyBorder="1"/>
    <s:xf numFmtId="0" fontId="37" fillId="30" borderId="90" xfId="0" applyFont="1" applyFill="1" applyBorder="1" applyProtection="1">
      <s:protection locked="0"/>
    </s:xf>
    <s:xf numFmtId="0" fontId="42" fillId="31" borderId="24" xfId="0" applyFont="1" applyFill="1" applyBorder="1"/>
    <s:xf numFmtId="0" fontId="48" fillId="15" borderId="24" xfId="0" applyFont="1" applyFill="1" applyBorder="1"/>
    <s:xf numFmtId="0" fontId="48" fillId="15" borderId="115" xfId="0" applyFont="1" applyFill="1" applyBorder="1" applyProtection="1">
      <s:protection locked="0"/>
    </s:xf>
    <s:xf numFmtId="0" fontId="48" fillId="15" borderId="117" xfId="0" applyFont="1" applyFill="1" applyBorder="1" applyProtection="1">
      <s:protection locked="0"/>
    </s:xf>
    <s:xf numFmtId="3" fontId="21" fillId="32" borderId="24" xfId="0" applyNumberFormat="1" applyFont="1" applyFill="1" applyBorder="1" applyAlignment="1" applyProtection="1">
      <s:alignment horizontal="center" mc:Ignorable="vyd"/>
      <s:protection hidden="1"/>
    </s:xf>
    <s:xf numFmtId="3" fontId="21" fillId="33" borderId="114" xfId="0" applyNumberFormat="1" applyFont="1" applyFill="1" applyBorder="1" applyAlignment="1" applyProtection="1">
      <s:alignment horizontal="center" mc:Ignorable="vyd"/>
      <s:protection hidden="1"/>
    </s:xf>
    <s:xf numFmtId="3" fontId="21" fillId="33" borderId="115" xfId="0" applyNumberFormat="1" applyFont="1" applyFill="1" applyBorder="1" applyAlignment="1" applyProtection="1">
      <s:alignment horizontal="center" mc:Ignorable="vyd"/>
      <s:protection hidden="1"/>
    </s:xf>
    <s:xf numFmtId="3" fontId="21" fillId="0" borderId="115" xfId="0" applyNumberFormat="1" applyFont="1" applyBorder="1" applyAlignment="1" applyProtection="1">
      <s:alignment horizontal="center" mc:Ignorable="vyd"/>
      <s:protection hidden="1"/>
    </s:xf>
    <s:xf numFmtId="0" fontId="21" fillId="0" borderId="115" xfId="0" applyFont="1" applyBorder="1" applyAlignment="1" applyProtection="1">
      <s:alignment horizontal="center" mc:Ignorable="vyd"/>
      <s:protection locked="0"/>
    </s:xf>
    <s:xf numFmtId="0" fontId="50" fillId="22" borderId="90" xfId="0" applyFont="1" applyFill="1" applyBorder="1"/>
    <s:xf numFmtId="0" fontId="48" fillId="34" borderId="24" xfId="0" applyFont="1" applyFill="1" applyBorder="1"/>
    <s:xf numFmtId="0" fontId="48" fillId="24" borderId="24" xfId="0" applyFont="1" applyFill="1" applyBorder="1"/>
    <s:xf numFmtId="3" fontId="48" fillId="28" borderId="24" xfId="0" applyNumberFormat="1" applyFont="1" applyFill="1" applyBorder="1" applyAlignment="1">
      <s:alignment horizontal="center" mc:Ignorable="vyd"/>
    </s:xf>
    <s:xf numFmtId="3" fontId="48" fillId="29" borderId="114" xfId="0" applyNumberFormat="1" applyFont="1" applyFill="1" applyBorder="1" applyAlignment="1">
      <s:alignment horizontal="center" mc:Ignorable="vyd"/>
    </s:xf>
    <s:xf numFmtId="3" fontId="48" fillId="29" borderId="115" xfId="0" applyNumberFormat="1" applyFont="1" applyFill="1" applyBorder="1" applyAlignment="1">
      <s:alignment horizontal="center" mc:Ignorable="vyd"/>
    </s:xf>
    <s:xf numFmtId="3" fontId="48" fillId="0" borderId="115" xfId="0" applyNumberFormat="1" applyFont="1" applyBorder="1" applyAlignment="1">
      <s:alignment horizontal="center" mc:Ignorable="vyd"/>
    </s:xf>
    <s:xf numFmtId="0" fontId="37" fillId="30" borderId="118" xfId="0" applyFont="1" applyFill="1" applyBorder="1" applyProtection="1">
      <s:protection locked="0"/>
    </s:xf>
    <s:xf numFmtId="0" fontId="42" fillId="0" borderId="24" xfId="0" applyFont="1" applyBorder="1" applyProtection="1">
      <s:protection locked="0"/>
    </s:xf>
    <s:xf numFmtId="0" fontId="42" fillId="34" borderId="24" xfId="0" applyFont="1" applyFill="1" applyBorder="1"/>
    <s:xf numFmtId="0" fontId="48" fillId="34" borderId="115" xfId="0" applyFont="1" applyFill="1" applyBorder="1" applyProtection="1">
      <s:protection locked="0"/>
    </s:xf>
    <s:xf numFmtId="0" fontId="42" fillId="15" borderId="24" xfId="0" applyFont="1" applyFill="1" applyBorder="1"/>
    <s:xf numFmtId="3" fontId="21" fillId="32" borderId="23" xfId="0" applyNumberFormat="1" applyFont="1" applyFill="1" applyBorder="1" applyAlignment="1" applyProtection="1">
      <s:alignment horizontal="center" mc:Ignorable="vyd"/>
      <s:protection hidden="1"/>
    </s:xf>
    <s:xf numFmtId="3" fontId="21" fillId="0" borderId="117" xfId="0" applyNumberFormat="1" applyFont="1" applyBorder="1" applyAlignment="1" applyProtection="1">
      <s:alignment horizontal="center" mc:Ignorable="vyd"/>
      <s:protection hidden="1"/>
    </s:xf>
    <s:xf numFmtId="0" fontId="48" fillId="35" borderId="115" xfId="0" applyFont="1" applyFill="1" applyBorder="1" applyProtection="1">
      <s:protection locked="0"/>
    </s:xf>
    <s:xf numFmtId="0" fontId="42" fillId="0" borderId="119" xfId="0" applyFont="1" applyBorder="1" applyProtection="1">
      <s:protection locked="0"/>
    </s:xf>
    <s:xf numFmtId="0" fontId="50" fillId="22" borderId="120" xfId="0" applyFont="1" applyFill="1" applyBorder="1"/>
    <s:xf numFmtId="0" fontId="42" fillId="0" borderId="31" xfId="0" applyFont="1" applyBorder="1" applyProtection="1">
      <s:protection locked="0"/>
    </s:xf>
    <s:xf numFmtId="0" fontId="42" fillId="0" borderId="30" xfId="0" applyFont="1" applyBorder="1" applyProtection="1">
      <s:protection locked="0"/>
    </s:xf>
    <s:xf numFmtId="0" fontId="51" fillId="0" borderId="24" xfId="0" applyFont="1" applyBorder="1"/>
    <s:xf numFmtId="0" fontId="42" fillId="0" borderId="0" xfId="0" applyFont="1"/>
    <s:xf numFmtId="0" fontId="42" fillId="0" borderId="23" xfId="0" applyFont="1" applyBorder="1"/>
    <s:xf numFmtId="3" fontId="48" fillId="28" borderId="28" xfId="0" applyNumberFormat="1" applyFont="1" applyFill="1" applyBorder="1" applyAlignment="1">
      <s:alignment horizontal="center" mc:Ignorable="vyd"/>
    </s:xf>
    <s:xf numFmtId="3" fontId="48" fillId="29" borderId="117" xfId="0" applyNumberFormat="1" applyFont="1" applyFill="1" applyBorder="1" applyAlignment="1">
      <s:alignment horizontal="center" mc:Ignorable="vyd"/>
    </s:xf>
    <s:xf numFmtId="3" fontId="48" fillId="0" borderId="117" xfId="0" applyNumberFormat="1" applyFont="1" applyBorder="1" applyAlignment="1">
      <s:alignment horizontal="center" mc:Ignorable="vyd"/>
    </s:xf>
    <s:xf numFmtId="3" fontId="37" fillId="22" borderId="121" xfId="0" applyNumberFormat="1" applyFont="1" applyFill="1" applyBorder="1" applyAlignment="1">
      <s:alignment horizontal="center" mc:Ignorable="vyd"/>
    </s:xf>
    <s:xf numFmtId="3" fontId="37" fillId="28" borderId="101" xfId="0" applyNumberFormat="1" applyFont="1" applyFill="1" applyBorder="1" applyAlignment="1">
      <s:alignment horizontal="center" mc:Ignorable="vyd"/>
    </s:xf>
    <s:xf numFmtId="3" fontId="37" fillId="28" borderId="122" xfId="0" applyNumberFormat="1" applyFont="1" applyFill="1" applyBorder="1" applyAlignment="1">
      <s:alignment horizontal="center" mc:Ignorable="vyd"/>
    </s:xf>
    <s:xf numFmtId="3" fontId="37" fillId="28" borderId="121" xfId="0" applyNumberFormat="1" applyFont="1" applyFill="1" applyBorder="1" applyAlignment="1">
      <s:alignment horizontal="center" mc:Ignorable="vyd"/>
    </s:xf>
    <s:xf numFmtId="3" fontId="37" fillId="28" borderId="108" xfId="0" applyNumberFormat="1" applyFont="1" applyFill="1" applyBorder="1" applyAlignment="1">
      <s:alignment horizontal="center" mc:Ignorable="vyd"/>
    </s:xf>
    <s:xf numFmtId="3" fontId="37" fillId="28" borderId="12" xfId="0" applyNumberFormat="1" applyFont="1" applyFill="1" applyBorder="1" applyAlignment="1">
      <s:alignment horizontal="center" mc:Ignorable="vyd"/>
    </s:xf>
    <s:xf numFmtId="3" fontId="37" fillId="28" borderId="13" xfId="0" applyNumberFormat="1" applyFont="1" applyFill="1" applyBorder="1" applyAlignment="1">
      <s:alignment horizontal="center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0" fontId="12" fillId="3" borderId="1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0" fontId="6" fillId="2" borderId="0" xfId="0" applyFont="1" applyFill="1" applyAlignment="1">
      <s:alignment horizontal="center" vertical="top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165" fontId="16" fillId="6" borderId="27" xfId="1" applyNumberFormat="1" applyFont="1" applyFill="1" applyBorder="1" applyAlignment="1" applyProtection="1">
      <s:alignment horizontal="center" vertical="center" wrapText="1" mc:Ignorable="vyd"/>
    </s:xf>
    <s:xf numFmtId="165" fontId="16" fillId="6" borderId="28" xfId="1" applyNumberFormat="1" applyFont="1" applyFill="1" applyBorder="1" applyAlignment="1" applyProtection="1">
      <s:alignment horizontal="center" vertical="center" wrapText="1" mc:Ignorable="vyd"/>
    </s:xf>
    <s:xf numFmtId="165" fontId="16" fillId="6" borderId="20" xfId="1" applyNumberFormat="1" applyFont="1" applyFill="1" applyBorder="1" applyAlignment="1" applyProtection="1">
      <s:alignment horizontal="center" vertical="center" wrapText="1" mc:Ignorable="vyd"/>
    </s:xf>
    <s:xf numFmtId="165" fontId="16" fillId="6" borderId="29" xfId="1" applyNumberFormat="1" applyFont="1" applyFill="1" applyBorder="1" applyAlignment="1" applyProtection="1">
      <s:alignment horizontal="center" vertical="center" wrapText="1" mc:Ignorable="vyd"/>
    </s:xf>
    <s:xf numFmtId="165" fontId="16" fillId="6" borderId="24" xfId="1" applyNumberFormat="1" applyFont="1" applyFill="1" applyBorder="1" applyAlignment="1" applyProtection="1">
      <s:alignment horizontal="center" vertical="center" wrapText="1" mc:Ignorable="vyd"/>
    </s:xf>
    <s:xf numFmtId="0" fontId="19" fillId="0" borderId="32" xfId="0" applyFont="1" applyBorder="1" applyAlignment="1">
      <s:alignment horizontal="left" vertical="center" mc:Ignorable="vyd"/>
    </s:xf>
    <s:xf numFmtId="0" fontId="15" fillId="10" borderId="24" xfId="0" applyFont="1" applyFill="1" applyBorder="1" applyAlignment="1">
      <s:alignment horizontal="center" vertical="center" mc:Ignorable="vyd"/>
    </s:xf>
    <s:xf numFmtId="0" fontId="17" fillId="10" borderId="24" xfId="0" applyFont="1" applyFill="1" applyBorder="1" applyAlignment="1">
      <s:alignment horizontal="center" vertical="center" wrapText="1" mc:Ignorable="vyd"/>
    </s:xf>
    <s:xf numFmtId="0" fontId="25" fillId="10" borderId="24" xfId="0" applyFont="1" applyFill="1" applyBorder="1" applyAlignment="1">
      <s:alignment horizontal="center" vertical="center" mc:Ignorable="vyd"/>
    </s:xf>
    <s:xf numFmtId="0" fontId="17" fillId="12" borderId="24" xfId="0" applyFont="1" applyFill="1" applyBorder="1" applyAlignment="1">
      <s:alignment horizontal="center" vertical="top" mc:Ignorable="vyd"/>
    </s:xf>
    <s:xf numFmtId="0" fontId="2" fillId="0" borderId="0" xfId="0" applyFont="1"/>
    <s:xf numFmtId="0" fontId="15" fillId="5" borderId="9" xfId="0" applyFont="1" applyFill="1" applyBorder="1" applyAlignment="1">
      <s:alignment horizontal="center" vertical="center" mc:Ignorable="vyd"/>
    </s:xf>
    <s:xf numFmtId="0" fontId="15" fillId="5" borderId="10" xfId="0" applyFont="1" applyFill="1" applyBorder="1" applyAlignment="1">
      <s:alignment horizontal="center" vertical="center" mc:Ignorable="vyd"/>
    </s:xf>
    <s:xf numFmtId="0" fontId="15" fillId="5" borderId="4" xfId="0" applyFont="1" applyFill="1" applyBorder="1" applyAlignment="1">
      <s:alignment horizontal="center" vertical="center" mc:Ignorable="vyd"/>
    </s:xf>
    <s:xf numFmtId="0" fontId="17" fillId="5" borderId="38" xfId="0" applyFont="1" applyFill="1" applyBorder="1" applyAlignment="1">
      <s:alignment horizontal="center" vertical="center" wrapText="1" mc:Ignorable="vyd"/>
    </s:xf>
    <s:xf numFmtId="0" fontId="17" fillId="5" borderId="2" xfId="0" applyFont="1" applyFill="1" applyBorder="1" applyAlignment="1">
      <s:alignment horizontal="center" vertical="center" wrapText="1" mc:Ignorable="vyd"/>
    </s:xf>
    <s:xf numFmtId="0" fontId="17" fillId="5" borderId="41" xfId="0" applyFont="1" applyFill="1" applyBorder="1" applyAlignment="1">
      <s:alignment horizontal="center" vertical="center" wrapText="1" mc:Ignorable="vyd"/>
    </s:xf>
    <s:xf numFmtId="0" fontId="17" fillId="5" borderId="21" xfId="0" applyFont="1" applyFill="1" applyBorder="1" applyAlignment="1">
      <s:alignment horizontal="center" vertical="center" wrapText="1" mc:Ignorable="vyd"/>
    </s:xf>
    <s:xf numFmtId="3" fontId="17" fillId="5" borderId="38" xfId="0" applyNumberFormat="1" applyFont="1" applyFill="1" applyBorder="1" applyAlignment="1">
      <s:alignment horizontal="center" vertical="center" mc:Ignorable="vyd"/>
    </s:xf>
    <s:xf numFmtId="3" fontId="17" fillId="5" borderId="2" xfId="0" applyNumberFormat="1" applyFont="1" applyFill="1" applyBorder="1" applyAlignment="1">
      <s:alignment horizontal="center" vertical="center" mc:Ignorable="vyd"/>
    </s:xf>
    <s:xf numFmtId="3" fontId="17" fillId="5" borderId="38" xfId="0" applyNumberFormat="1" applyFont="1" applyFill="1" applyBorder="1" applyAlignment="1">
      <s:alignment horizontal="center" vertical="center" wrapText="1" mc:Ignorable="vyd"/>
    </s:xf>
    <s:xf numFmtId="3" fontId="17" fillId="5" borderId="2" xfId="0" applyNumberFormat="1" applyFont="1" applyFill="1" applyBorder="1" applyAlignment="1">
      <s:alignment horizontal="center" vertical="center" wrapText="1" mc:Ignorable="vyd"/>
    </s:xf>
    <s:xf numFmtId="3" fontId="17" fillId="5" borderId="18" xfId="0" applyNumberFormat="1" applyFont="1" applyFill="1" applyBorder="1" applyAlignment="1">
      <s:alignment horizontal="center" vertical="center" wrapText="1" mc:Ignorable="vyd"/>
    </s:xf>
    <s:xf numFmtId="3" fontId="17" fillId="5" borderId="39" xfId="0" applyNumberFormat="1" applyFont="1" applyFill="1" applyBorder="1" applyAlignment="1">
      <s:alignment horizontal="center" vertical="center" wrapText="1" mc:Ignorable="vyd"/>
    </s:xf>
    <s:xf numFmtId="3" fontId="17" fillId="5" borderId="40" xfId="0" applyNumberFormat="1" applyFont="1" applyFill="1" applyBorder="1" applyAlignment="1">
      <s:alignment horizontal="center" vertical="center" wrapText="1" mc:Ignorable="vyd"/>
    </s:xf>
    <s:xf numFmtId="3" fontId="17" fillId="5" borderId="42" xfId="0" applyNumberFormat="1" applyFont="1" applyFill="1" applyBorder="1" applyAlignment="1">
      <s:alignment horizontal="center" vertical="center" mc:Ignorable="vyd"/>
    </s:xf>
    <s:xf numFmtId="3" fontId="17" fillId="5" borderId="33" xfId="0" applyNumberFormat="1" applyFont="1" applyFill="1" applyBorder="1" applyAlignment="1">
      <s:alignment horizontal="center" vertical="center" mc:Ignorable="vyd"/>
    </s:xf>
    <s:xf numFmtId="3" fontId="17" fillId="5" borderId="43" xfId="0" applyNumberFormat="1" applyFont="1" applyFill="1" applyBorder="1" applyAlignment="1">
      <s:alignment horizontal="center" vertical="center" wrapText="1" mc:Ignorable="vyd"/>
    </s:xf>
    <s:xf numFmtId="3" fontId="17" fillId="5" borderId="28" xfId="0" applyNumberFormat="1" applyFont="1" applyFill="1" applyBorder="1" applyAlignment="1">
      <s:alignment horizontal="center" vertical="center" wrapText="1" mc:Ignorable="vyd"/>
    </s:xf>
    <s:xf numFmtId="3" fontId="17" fillId="5" borderId="42" xfId="0" applyNumberFormat="1" applyFont="1" applyFill="1" applyBorder="1" applyAlignment="1">
      <s:alignment horizontal="center" vertical="center" wrapText="1" mc:Ignorable="vyd"/>
    </s:xf>
    <s:xf numFmtId="3" fontId="17" fillId="5" borderId="33" xfId="0" applyNumberFormat="1" applyFont="1" applyFill="1" applyBorder="1" applyAlignment="1">
      <s:alignment horizontal="center" vertical="center" wrapText="1" mc:Ignorable="vyd"/>
    </s:xf>
    <s:xf numFmtId="0" fontId="19" fillId="0" borderId="45" xfId="0" applyFont="1" applyBorder="1" applyAlignment="1">
      <s:alignment horizontal="left" vertical="center" mc:Ignorable="vyd"/>
    </s:xf>
    <s:xf numFmtId="0" fontId="16" fillId="0" borderId="45" xfId="0" applyFont="1" applyBorder="1" applyAlignment="1">
      <s:alignment horizontal="left" vertical="center" mc:Ignorable="vyd"/>
    </s:xf>
    <s:xf numFmtId="0" fontId="16" fillId="0" borderId="45" xfId="0" applyFont="1" applyBorder="1" applyAlignment="1">
      <s:alignment horizontal="center" vertical="center" mc:Ignorable="vyd"/>
    </s:xf>
    <s:xf numFmtId="0" fontId="16" fillId="0" borderId="16" xfId="0" applyFont="1" applyBorder="1" applyAlignment="1">
      <s:alignment horizontal="center" vertical="center" mc:Ignorable="vyd"/>
    </s:xf>
    <s:xf numFmtId="0" fontId="16" fillId="0" borderId="17" xfId="0" applyFont="1" applyBorder="1" applyAlignment="1">
      <s:alignment horizontal="center" vertical="center" mc:Ignorable="vyd"/>
    </s:xf>
    <s:xf numFmtId="0" fontId="16" fillId="0" borderId="32" xfId="0" applyFont="1" applyBorder="1" applyAlignment="1">
      <s:alignment horizontal="left" vertical="center" mc:Ignorable="vyd"/>
    </s:xf>
    <s:xf numFmtId="5" fontId="31" fillId="0" borderId="9" xfId="0" applyNumberFormat="1" applyFont="1" applyBorder="1" applyAlignment="1">
      <s:alignment horizontal="center" vertical="center" mc:Ignorable="vyd"/>
    </s:xf>
    <s:xf numFmtId="5" fontId="31" fillId="0" borderId="10" xfId="0" applyNumberFormat="1" applyFont="1" applyBorder="1" applyAlignment="1">
      <s:alignment horizontal="center" vertical="center" mc:Ignorable="vyd"/>
    </s:xf>
    <s:xf numFmtId="5" fontId="31" fillId="0" borderId="4" xfId="0" applyNumberFormat="1" applyFont="1" applyBorder="1" applyAlignment="1">
      <s:alignment horizontal="center" vertical="center" mc:Ignorable="vyd"/>
    </s:xf>
    <s:xf numFmtId="166" fontId="31" fillId="0" borderId="55" xfId="1" applyNumberFormat="1" applyFont="1" applyBorder="1" applyAlignment="1" applyProtection="1">
      <s:alignment horizontal="center" vertical="center" mc:Ignorable="vyd"/>
    </s:xf>
    <s:xf numFmtId="166" fontId="31" fillId="0" borderId="13" xfId="1" applyNumberFormat="1" applyFont="1" applyBorder="1" applyAlignment="1" applyProtection="1">
      <s:alignment horizontal="center" vertical="center" mc:Ignorable="vyd"/>
    </s:xf>
    <s:xf numFmtId="166" fontId="31" fillId="0" borderId="14" xfId="1" applyNumberFormat="1" applyFont="1" applyBorder="1" applyAlignment="1" applyProtection="1">
      <s:alignment horizontal="center" vertical="center" mc:Ignorable="vyd"/>
    </s:xf>
    <s:xf numFmtId="166" fontId="31" fillId="0" borderId="51" xfId="1" applyNumberFormat="1" applyFont="1" applyBorder="1" applyAlignment="1" applyProtection="1">
      <s:alignment horizontal="center" vertical="center" mc:Ignorable="vyd"/>
    </s:xf>
    <s:xf numFmtId="166" fontId="31" fillId="0" borderId="52" xfId="1" applyNumberFormat="1" applyFont="1" applyBorder="1" applyAlignment="1" applyProtection="1">
      <s:alignment horizontal="center" vertical="center" mc:Ignorable="vyd"/>
    </s:xf>
    <s:xf numFmtId="166" fontId="31" fillId="0" borderId="56" xfId="1" applyNumberFormat="1" applyFont="1" applyBorder="1" applyAlignment="1" applyProtection="1">
      <s:alignment horizontal="center" vertical="center" mc:Ignorable="vyd"/>
    </s:xf>
    <s:xf numFmtId="0" fontId="17" fillId="5" borderId="3" xfId="0" applyFont="1" applyFill="1" applyBorder="1" applyAlignment="1">
      <s:alignment horizontal="center" vertical="center" wrapText="1" mc:Ignorable="vyd"/>
    </s:xf>
    <s:xf numFmtId="0" fontId="17" fillId="5" borderId="59" xfId="0" applyFont="1" applyFill="1" applyBorder="1" applyAlignment="1">
      <s:alignment horizontal="center" vertical="center" wrapText="1" mc:Ignorable="vyd"/>
    </s:xf>
    <s:xf numFmtId="3" fontId="17" fillId="5" borderId="57" xfId="0" applyNumberFormat="1" applyFont="1" applyFill="1" applyBorder="1" applyAlignment="1">
      <s:alignment horizontal="center" vertical="center" mc:Ignorable="vyd"/>
    </s:xf>
    <s:xf numFmtId="3" fontId="17" fillId="5" borderId="39" xfId="0" applyNumberFormat="1" applyFont="1" applyFill="1" applyBorder="1" applyAlignment="1">
      <s:alignment horizontal="center" vertical="center" mc:Ignorable="vyd"/>
    </s:xf>
    <s:xf numFmtId="3" fontId="17" fillId="5" borderId="58" xfId="0" applyNumberFormat="1" applyFont="1" applyFill="1" applyBorder="1" applyAlignment="1">
      <s:alignment horizontal="center" vertical="center" mc:Ignorable="vyd"/>
    </s:xf>
    <s:xf numFmtId="3" fontId="17" fillId="5" borderId="57" xfId="0" applyNumberFormat="1" applyFont="1" applyFill="1" applyBorder="1" applyAlignment="1">
      <s:alignment horizontal="center" vertical="center" wrapText="1" mc:Ignorable="vyd"/>
    </s:xf>
    <s:xf numFmtId="3" fontId="17" fillId="5" borderId="58" xfId="0" applyNumberFormat="1" applyFont="1" applyFill="1" applyBorder="1" applyAlignment="1">
      <s:alignment horizontal="center" vertical="center" wrapText="1" mc:Ignorable="vyd"/>
    </s:xf>
    <s:xf numFmtId="0" fontId="16" fillId="0" borderId="42" xfId="0" applyFont="1" applyBorder="1" applyAlignment="1">
      <s:alignment horizontal="left" vertical="center" mc:Ignorable="vyd"/>
    </s:xf>
    <s:xf numFmtId="0" fontId="16" fillId="0" borderId="36" xfId="0" applyFont="1" applyBorder="1" applyAlignment="1">
      <s:alignment horizontal="left" vertical="center" mc:Ignorable="vyd"/>
    </s:xf>
    <s:xf numFmtId="0" fontId="16" fillId="0" borderId="50" xfId="0" applyFont="1" applyBorder="1" applyAlignment="1">
      <s:alignment horizontal="left" vertical="center" mc:Ignorable="vyd"/>
    </s:xf>
    <s:xf numFmtId="166" fontId="31" fillId="0" borderId="9" xfId="1" applyNumberFormat="1" applyFont="1" applyBorder="1" applyAlignment="1">
      <s:alignment horizontal="center" vertical="center" mc:Ignorable="vyd"/>
    </s:xf>
    <s:xf numFmtId="166" fontId="31" fillId="0" borderId="10" xfId="1" applyNumberFormat="1" applyFont="1" applyBorder="1" applyAlignment="1">
      <s:alignment horizontal="center" vertical="center" mc:Ignorable="vyd"/>
    </s:xf>
    <s:xf numFmtId="166" fontId="31" fillId="0" borderId="4" xfId="1" applyNumberFormat="1" applyFont="1" applyBorder="1" applyAlignment="1">
      <s:alignment horizontal="center" vertical="center" mc:Ignorable="vyd"/>
    </s:xf>
    <s:xf numFmtId="0" fontId="19" fillId="0" borderId="60" xfId="0" applyFont="1" applyBorder="1" applyAlignment="1">
      <s:alignment horizontal="left" vertical="center" mc:Ignorable="vyd"/>
    </s:xf>
    <s:xf numFmtId="0" fontId="19" fillId="0" borderId="39" xfId="0" applyFont="1" applyBorder="1" applyAlignment="1">
      <s:alignment horizontal="left" vertical="center" mc:Ignorable="vyd"/>
    </s:xf>
    <s:xf numFmtId="0" fontId="20" fillId="0" borderId="15" xfId="0" applyFont="1" applyBorder="1" applyAlignment="1">
      <s:alignment horizontal="left" vertical="center" mc:Ignorable="vyd"/>
    </s:xf>
    <s:xf numFmtId="0" fontId="20" fillId="0" borderId="16" xfId="0" applyFont="1" applyBorder="1" applyAlignment="1">
      <s:alignment horizontal="left" vertical="center" mc:Ignorable="vyd"/>
    </s:xf>
    <s:xf numFmtId="0" fontId="20" fillId="0" borderId="45" xfId="0" applyFont="1" applyBorder="1" applyAlignment="1">
      <s:alignment horizontal="left" vertical="center" mc:Ignorable="vyd"/>
    </s:xf>
    <s:xf numFmtId="0" fontId="27" fillId="0" borderId="49" xfId="0" applyFont="1" applyBorder="1" applyAlignment="1">
      <s:alignment horizontal="left" mc:Ignorable="vyd"/>
    </s:xf>
    <s:xf numFmtId="0" fontId="27" fillId="0" borderId="24" xfId="0" applyFont="1" applyBorder="1" applyAlignment="1">
      <s:alignment horizontal="left" mc:Ignorable="vyd"/>
    </s:xf>
    <s:xf numFmtId="0" fontId="27" fillId="0" borderId="25" xfId="0" applyFont="1" applyBorder="1" applyAlignment="1">
      <s:alignment horizontal="left" mc:Ignorable="vyd"/>
    </s:xf>
    <s:xf numFmtId="0" fontId="27" fillId="0" borderId="54" xfId="0" applyFont="1" applyBorder="1" applyAlignment="1">
      <s:alignment horizontal="left" mc:Ignorable="vyd"/>
    </s:xf>
    <s:xf numFmtId="0" fontId="27" fillId="0" borderId="34" xfId="0" applyFont="1" applyBorder="1" applyAlignment="1">
      <s:alignment horizontal="left" mc:Ignorable="vyd"/>
    </s:xf>
    <s:xf numFmtId="0" fontId="27" fillId="0" borderId="35" xfId="0" applyFont="1" applyBorder="1" applyAlignment="1">
      <s:alignment horizontal="left" mc:Ignorable="vyd"/>
    </s:xf>
    <s:xf numFmtId="164" fontId="33" fillId="2" borderId="0" xfId="0" applyNumberFormat="1" applyFont="1" applyFill="1" applyAlignment="1">
      <s:alignment horizontal="center" vertical="center" mc:Ignorable="vyd"/>
    </s:xf>
    <s:xf numFmtId="0" fontId="34" fillId="2" borderId="0" xfId="0" applyFont="1" applyFill="1" applyAlignment="1">
      <s:alignment horizontal="center" mc:Ignorable="vyd"/>
    </s:xf>
    <s:xf numFmtId="0" fontId="35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horizontal="left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1" xfId="0" applyFont="1" applyFill="1" applyBorder="1" applyAlignment="1">
      <s:alignment horizontal="center" vertical="center" wrapText="1" mc:Ignorable="vyd"/>
    </s:xf>
    <s:xf numFmtId="0" fontId="12" fillId="3" borderId="28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29" xfId="0" applyFont="1" applyFill="1" applyBorder="1" applyAlignment="1">
      <s:alignment horizontal="center" vertical="center" wrapText="1" mc:Ignorable="vyd"/>
    </s:xf>
    <s:xf numFmtId="3" fontId="11" fillId="2" borderId="61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" xfId="0" applyFont="1" applyFill="1" applyBorder="1" applyAlignment="1">
      <s:alignment horizontal="left" vertical="center" wrapText="1" mc:Ignorable="vyd"/>
    </s:xf>
    <s:xf numFmtId="0" fontId="17" fillId="2" borderId="10" xfId="0" applyFont="1" applyFill="1" applyBorder="1" applyAlignment="1">
      <s:alignment horizontal="left" vertical="center" wrapText="1" mc:Ignorable="vyd"/>
    </s:xf>
    <s:xf numFmtId="0" fontId="17" fillId="2" borderId="4" xfId="0" applyFont="1" applyFill="1" applyBorder="1" applyAlignment="1">
      <s:alignment horizontal="left" vertical="center" wrapText="1" mc:Ignorable="vyd"/>
    </s:xf>
    <s:xf numFmtId="0" fontId="19" fillId="0" borderId="62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59" xfId="0" applyFont="1" applyBorder="1" applyAlignment="1">
      <s:alignment horizontal="left" vertical="center" mc:Ignorable="vyd"/>
    </s:xf>
    <s:xf numFmtId="0" fontId="15" fillId="13" borderId="24" xfId="0" applyFont="1" applyFill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164" fontId="33" fillId="5" borderId="0" xfId="0" applyNumberFormat="1" applyFont="1" applyFill="1" applyAlignment="1">
      <s:alignment horizontal="center" vertical="center" mc:Ignorable="vyd"/>
    </s:xf>
    <s:xf numFmtId="0" fontId="34" fillId="5" borderId="0" xfId="0" applyFont="1" applyFill="1" applyAlignment="1">
      <s:alignment horizontal="center" mc:Ignorable="vyd"/>
    </s:xf>
    <s:xf numFmtId="0" fontId="35" fillId="5" borderId="0" xfId="0" applyFont="1" applyFill="1" applyAlignment="1">
      <s:alignment horizontal="center" vertical="top" mc:Ignorable="vyd"/>
    </s:xf>
    <s:xf numFmtId="0" fontId="10" fillId="5" borderId="0" xfId="0" applyFont="1" applyFill="1" applyAlignment="1">
      <s:alignment horizontal="left" vertical="top" mc:Ignorable="vyd"/>
    </s:xf>
    <s:xf numFmtId="0" fontId="12" fillId="16" borderId="24" xfId="0" applyFont="1" applyFill="1" applyBorder="1" applyAlignment="1" applyProtection="1">
      <s:alignment horizontal="center" vertical="center" wrapText="1" mc:Ignorable="vyd"/>
      <s:protection locked="0"/>
    </s:xf>
    <s:xf numFmtId="3" fontId="11" fillId="5" borderId="67" xfId="0" applyNumberFormat="1" applyFont="1" applyFill="1" applyBorder="1" applyAlignment="1" applyProtection="1">
      <s:alignment horizontal="center" mc:Ignorable="vyd"/>
      <s:protection locked="0"/>
    </s:xf>
    <s:xf numFmtId="0" fontId="16" fillId="5" borderId="0" xfId="0" applyFont="1" applyFill="1" applyAlignment="1">
      <s:alignment horizontal="center" vertical="top" mc:Ignorable="vyd"/>
    </s:xf>
    <s:xf numFmtId="0" fontId="15" fillId="14" borderId="24" xfId="0" applyFont="1" applyFill="1" applyBorder="1" applyAlignment="1">
      <s:alignment horizontal="center" vertical="center" mc:Ignorable="vyd"/>
    </s:xf>
    <s:xf numFmtId="0" fontId="17" fillId="14" borderId="24" xfId="0" applyFont="1" applyFill="1" applyBorder="1" applyAlignment="1">
      <s:alignment horizontal="center" vertical="center" wrapText="1" mc:Ignorable="vyd"/>
    </s:xf>
    <s:xf numFmtId="0" fontId="17" fillId="17" borderId="24" xfId="0" applyFont="1" applyFill="1" applyBorder="1" applyAlignment="1">
      <s:alignment horizontal="center" vertical="top" mc:Ignorable="vyd"/>
    </s:xf>
    <s:xf numFmtId="17" fontId="37" fillId="4" borderId="57" xfId="0" applyNumberFormat="1" applyFont="1" applyFill="1" applyBorder="1" applyAlignment="1">
      <s:alignment horizontal="left" vertical="center" wrapText="1" mc:Ignorable="vyd"/>
    </s:xf>
    <s:xf numFmtId="17" fontId="37" fillId="4" borderId="39" xfId="0" applyNumberFormat="1" applyFont="1" applyFill="1" applyBorder="1" applyAlignment="1">
      <s:alignment horizontal="left" vertical="center" wrapText="1" mc:Ignorable="vyd"/>
    </s:xf>
    <s:xf numFmtId="17" fontId="37" fillId="4" borderId="46" xfId="0" applyNumberFormat="1" applyFont="1" applyFill="1" applyBorder="1" applyAlignment="1">
      <s:alignment horizontal="left" vertical="center" wrapText="1" mc:Ignorable="vyd"/>
    </s:xf>
    <s:xf numFmtId="0" fontId="37" fillId="4" borderId="49" xfId="0" applyFont="1" applyFill="1" applyBorder="1" applyAlignment="1">
      <s:alignment horizontal="left" vertical="center" wrapText="1" mc:Ignorable="vyd"/>
    </s:xf>
    <s:xf numFmtId="0" fontId="37" fillId="4" borderId="24" xfId="0" applyFont="1" applyFill="1" applyBorder="1" applyAlignment="1">
      <s:alignment horizontal="left" vertical="center" wrapText="1" mc:Ignorable="vyd"/>
    </s:xf>
    <s:xf numFmtId="0" fontId="21" fillId="18" borderId="70" xfId="0" applyFont="1" applyFill="1" applyBorder="1" applyAlignment="1">
      <s:alignment horizontal="center" vertical="center" wrapText="1" mc:Ignorable="vyd"/>
    </s:xf>
    <s:xf numFmtId="0" fontId="21" fillId="18" borderId="71" xfId="0" applyFont="1" applyFill="1" applyBorder="1" applyAlignment="1">
      <s:alignment horizontal="center" vertical="center" wrapText="1" mc:Ignorable="vyd"/>
    </s:xf>
    <s:xf numFmtId="3" fontId="37" fillId="19" borderId="76" xfId="0" applyNumberFormat="1" applyFont="1" applyFill="1" applyBorder="1" applyAlignment="1">
      <s:alignment horizontal="left" vertical="top" wrapText="1" mc:Ignorable="vyd"/>
    </s:xf>
    <s:xf numFmtId="0" fontId="37" fillId="19" borderId="77" xfId="0" applyFont="1" applyFill="1" applyBorder="1" applyAlignment="1">
      <s:alignment horizontal="left" vertical="top" wrapText="1" mc:Ignorable="vyd"/>
    </s:xf>
    <s:xf numFmtId="0" fontId="38" fillId="4" borderId="81" xfId="0" applyFont="1" applyFill="1" applyBorder="1" applyAlignment="1">
      <s:alignment horizontal="center" vertical="center" mc:Ignorable="vyd"/>
    </s:xf>
    <s:xf numFmtId="0" fontId="38" fillId="4" borderId="82" xfId="0" applyFont="1" applyFill="1" applyBorder="1" applyAlignment="1">
      <s:alignment horizontal="center" vertical="center" mc:Ignorable="vyd"/>
    </s:xf>
    <s:xf numFmtId="0" fontId="38" fillId="4" borderId="83" xfId="0" applyFont="1" applyFill="1" applyBorder="1" applyAlignment="1">
      <s:alignment horizontal="center" vertical="center" mc:Ignorable="vyd"/>
    </s:xf>
    <s:xf numFmtId="0" fontId="38" fillId="4" borderId="81" xfId="0" applyFont="1" applyFill="1" applyBorder="1" applyAlignment="1">
      <s:alignment horizontal="left" vertical="top" wrapText="1" mc:Ignorable="vyd"/>
    </s:xf>
    <s:xf numFmtId="4" fontId="38" fillId="4" borderId="82" xfId="0" applyNumberFormat="1" applyFont="1" applyFill="1" applyBorder="1" applyAlignment="1">
      <s:alignment horizontal="center" vertical="top" mc:Ignorable="vyd"/>
    </s:xf>
    <s:xf numFmtId="4" fontId="38" fillId="4" borderId="83" xfId="0" applyNumberFormat="1" applyFont="1" applyFill="1" applyBorder="1" applyAlignment="1">
      <s:alignment horizontal="center" vertical="top" mc:Ignorable="vyd"/>
    </s:xf>
    <s:xf numFmtId="0" fontId="17" fillId="4" borderId="84" xfId="0" applyFont="1" applyFill="1" applyBorder="1" applyAlignment="1">
      <s:alignment horizontal="left" vertical="top" wrapText="1" mc:Ignorable="vyd"/>
    </s:xf>
    <s:xf numFmtId="0" fontId="38" fillId="4" borderId="82" xfId="0" applyFont="1" applyFill="1" applyBorder="1" applyAlignment="1">
      <s:alignment horizontal="center" vertical="center" wrapText="1" mc:Ignorable="vyd"/>
    </s:xf>
    <s:xf numFmtId="0" fontId="38" fillId="4" borderId="83" xfId="0" applyFont="1" applyFill="1" applyBorder="1" applyAlignment="1">
      <s:alignment horizontal="center" vertical="center" wrapText="1" mc:Ignorable="vyd"/>
    </s:xf>
    <s:xf numFmtId="2" fontId="38" fillId="4" borderId="82" xfId="0" applyNumberFormat="1" applyFont="1" applyFill="1" applyBorder="1" applyAlignment="1">
      <s:alignment horizontal="center" vertical="top" mc:Ignorable="vyd"/>
    </s:xf>
    <s:xf numFmtId="2" fontId="38" fillId="4" borderId="83" xfId="0" applyNumberFormat="1" applyFont="1" applyFill="1" applyBorder="1" applyAlignment="1">
      <s:alignment horizontal="center" vertical="top" mc:Ignorable="vyd"/>
    </s:xf>
    <s:xf numFmtId="2" fontId="38" fillId="4" borderId="82" xfId="0" applyNumberFormat="1" applyFont="1" applyFill="1" applyBorder="1" applyAlignment="1">
      <s:alignment horizontal="center" vertical="center" wrapText="1" mc:Ignorable="vyd"/>
    </s:xf>
    <s:xf numFmtId="2" fontId="38" fillId="4" borderId="83" xfId="0" applyNumberFormat="1" applyFont="1" applyFill="1" applyBorder="1" applyAlignment="1">
      <s:alignment horizontal="center" vertical="center" wrapText="1" mc:Ignorable="vyd"/>
    </s:xf>
    <s:xf numFmtId="0" fontId="38" fillId="4" borderId="82" xfId="0" applyFont="1" applyFill="1" applyBorder="1" applyAlignment="1">
      <s:alignment horizontal="left" vertical="top" mc:Ignorable="vyd"/>
    </s:xf>
    <s:xf numFmtId="0" fontId="38" fillId="4" borderId="83" xfId="0" applyFont="1" applyFill="1" applyBorder="1" applyAlignment="1">
      <s:alignment horizontal="left" vertical="top" mc:Ignorable="vyd"/>
    </s:xf>
    <s:xf numFmtId="0" fontId="38" fillId="4" borderId="82" xfId="0" applyFont="1" applyFill="1" applyBorder="1" applyAlignment="1">
      <s:alignment horizontal="left" vertical="center" mc:Ignorable="vyd"/>
    </s:xf>
    <s:xf numFmtId="0" fontId="38" fillId="4" borderId="83" xfId="0" applyFont="1" applyFill="1" applyBorder="1" applyAlignment="1">
      <s:alignment horizontal="left" vertical="center" mc:Ignorable="vyd"/>
    </s:xf>
    <s:xf numFmtId="17" fontId="37" fillId="21" borderId="57" xfId="0" applyNumberFormat="1" applyFont="1" applyFill="1" applyBorder="1" applyAlignment="1">
      <s:alignment horizontal="left" vertical="center" wrapText="1" mc:Ignorable="vyd"/>
    </s:xf>
    <s:xf numFmtId="17" fontId="37" fillId="21" borderId="39" xfId="0" applyNumberFormat="1" applyFont="1" applyFill="1" applyBorder="1" applyAlignment="1">
      <s:alignment horizontal="left" vertical="center" wrapText="1" mc:Ignorable="vyd"/>
    </s:xf>
    <s:xf numFmtId="17" fontId="37" fillId="21" borderId="46" xfId="0" applyNumberFormat="1" applyFont="1" applyFill="1" applyBorder="1" applyAlignment="1">
      <s:alignment horizontal="left" vertical="center" wrapText="1" mc:Ignorable="vyd"/>
    </s:xf>
    <s:xf numFmtId="0" fontId="37" fillId="4" borderId="85" xfId="0" applyFont="1" applyFill="1" applyBorder="1" applyAlignment="1">
      <s:alignment horizontal="left" vertical="center" wrapText="1" mc:Ignorable="vyd"/>
    </s:xf>
    <s:xf numFmtId="0" fontId="37" fillId="4" borderId="30" xfId="0" applyFont="1" applyFill="1" applyBorder="1" applyAlignment="1">
      <s:alignment horizontal="left" vertical="center" wrapText="1" mc:Ignorable="vyd"/>
    </s:xf>
    <s:xf numFmtId="0" fontId="21" fillId="18" borderId="24" xfId="0" applyFont="1" applyFill="1" applyBorder="1" applyAlignment="1">
      <s:alignment horizontal="center" vertical="center" wrapText="1" mc:Ignorable="vyd"/>
    </s:xf>
    <s:xf numFmtId="3" fontId="37" fillId="19" borderId="24" xfId="0" applyNumberFormat="1" applyFont="1" applyFill="1" applyBorder="1" applyAlignment="1">
      <s:alignment horizontal="left" vertical="top" wrapText="1" mc:Ignorable="vyd"/>
    </s:xf>
    <s:xf numFmtId="0" fontId="37" fillId="19" borderId="24" xfId="0" applyFont="1" applyFill="1" applyBorder="1" applyAlignment="1">
      <s:alignment horizontal="left" vertical="top" wrapText="1" mc:Ignorable="vyd"/>
    </s:xf>
    <s:xf numFmtId="0" fontId="38" fillId="4" borderId="24" xfId="0" applyFont="1" applyFill="1" applyBorder="1" applyAlignment="1">
      <s:alignment horizontal="center" vertical="center" mc:Ignorable="vyd"/>
    </s:xf>
    <s:xf numFmtId="0" fontId="38" fillId="4" borderId="24" xfId="0" applyFont="1" applyFill="1" applyBorder="1" applyAlignment="1">
      <s:alignment horizontal="left" vertical="top" wrapText="1" mc:Ignorable="vyd"/>
    </s:xf>
    <s:xf numFmtId="4" fontId="38" fillId="4" borderId="24" xfId="0" applyNumberFormat="1" applyFont="1" applyFill="1" applyBorder="1" applyAlignment="1">
      <s:alignment horizontal="right" vertical="top" mc:Ignorable="vyd"/>
    </s:xf>
    <s:xf numFmtId="0" fontId="17" fillId="4" borderId="0" xfId="0" applyFont="1" applyFill="1" applyAlignment="1">
      <s:alignment horizontal="left" vertical="top" wrapText="1" mc:Ignorable="vyd"/>
    </s:xf>
    <s:xf numFmtId="0" fontId="38" fillId="4" borderId="24" xfId="0" applyFont="1" applyFill="1" applyBorder="1" applyAlignment="1">
      <s:alignment horizontal="center" vertical="center" wrapText="1" mc:Ignorable="vyd"/>
    </s:xf>
    <s:xf numFmtId="0" fontId="38" fillId="4" borderId="24" xfId="0" applyFont="1" applyFill="1" applyBorder="1" applyAlignment="1">
      <s:alignment horizontal="left" vertical="top" mc:Ignorable="vyd"/>
    </s:xf>
    <s:xf numFmtId="0" fontId="38" fillId="4" borderId="24" xfId="0" applyFont="1" applyFill="1" applyBorder="1" applyAlignment="1">
      <s:alignment horizontal="left" vertical="center" mc:Ignorable="vyd"/>
    </s:xf>
    <s:xf numFmtId="4" fontId="38" fillId="4" borderId="82" xfId="0" applyNumberFormat="1" applyFont="1" applyFill="1" applyBorder="1" applyAlignment="1">
      <s:alignment horizontal="right" vertical="top" mc:Ignorable="vyd"/>
    </s:xf>
    <s:xf numFmtId="4" fontId="38" fillId="4" borderId="83" xfId="0" applyNumberFormat="1" applyFont="1" applyFill="1" applyBorder="1" applyAlignment="1">
      <s:alignment horizontal="right" vertical="top" mc:Ignorable="vyd"/>
    </s:xf>
    <s:xf numFmtId="0" fontId="44" fillId="22" borderId="93" xfId="0" applyFont="1" applyFill="1" applyBorder="1" applyAlignment="1">
      <s:alignment horizontal="center" mc:Ignorable="vyd"/>
    </s:xf>
    <s:xf numFmtId="0" fontId="44" fillId="22" borderId="94" xfId="0" applyFont="1" applyFill="1" applyBorder="1" applyAlignment="1">
      <s:alignment horizontal="center" mc:Ignorable="vyd"/>
    </s:xf>
    <s:xf numFmtId="3" fontId="45" fillId="22" borderId="93" xfId="0" applyNumberFormat="1" applyFont="1" applyFill="1" applyBorder="1" applyAlignment="1">
      <s:alignment horizontal="center" mc:Ignorable="vyd"/>
    </s:xf>
    <s:xf numFmtId="3" fontId="45" fillId="22" borderId="95" xfId="0" applyNumberFormat="1" applyFont="1" applyFill="1" applyBorder="1" applyAlignment="1">
      <s:alignment horizontal="center" mc:Ignorable="vyd"/>
    </s:xf>
    <s:xf numFmtId="3" fontId="45" fillId="22" borderId="94" xfId="0" applyNumberFormat="1" applyFont="1" applyFill="1" applyBorder="1" applyAlignment="1">
      <s:alignment horizontal="center" mc:Ignorable="vyd"/>
    </s:xf>
    <s:xf numFmtId="0" fontId="21" fillId="22" borderId="93" xfId="0" applyFont="1" applyFill="1" applyBorder="1" applyAlignment="1">
      <s:alignment horizontal="left" wrapText="1" mc:Ignorable="vyd"/>
    </s:xf>
    <s:xf numFmtId="0" fontId="21" fillId="22" borderId="95" xfId="0" applyFont="1" applyFill="1" applyBorder="1" applyAlignment="1">
      <s:alignment horizontal="left" wrapText="1" mc:Ignorable="vyd"/>
    </s:xf>
    <s:xf numFmtId="0" fontId="21" fillId="22" borderId="94" xfId="0" applyFont="1" applyFill="1" applyBorder="1" applyAlignment="1">
      <s:alignment horizontal="left" wrapText="1" mc:Ignorable="vyd"/>
    </s:xf>
    <s:xf numFmtId="0" fontId="37" fillId="29" borderId="102" xfId="0" applyFont="1" applyFill="1" applyBorder="1" applyAlignment="1">
      <s:alignment horizontal="center" vertical="center" wrapText="1" mc:Ignorable="vyd"/>
    </s:xf>
    <s:xf numFmtId="0" fontId="37" fillId="29" borderId="104" xfId="0" applyFont="1" applyFill="1" applyBorder="1" applyAlignment="1">
      <s:alignment horizontal="center" vertical="center" wrapText="1" mc:Ignorable="vyd"/>
    </s:xf>
    <s:xf numFmtId="0" fontId="37" fillId="29" borderId="109" xfId="0" applyFont="1" applyFill="1" applyBorder="1" applyAlignment="1">
      <s:alignment horizontal="center" vertical="center" wrapText="1" mc:Ignorable="vyd"/>
    </s:xf>
    <s:xf numFmtId="0" fontId="37" fillId="29" borderId="110" xfId="0" applyFont="1" applyFill="1" applyBorder="1" applyAlignment="1">
      <s:alignment horizontal="center" vertical="center" wrapText="1" mc:Ignorable="vyd"/>
    </s:xf>
    <s:xf numFmtId="0" fontId="47" fillId="26" borderId="102" xfId="0" applyFont="1" applyFill="1" applyBorder="1" applyAlignment="1">
      <s:alignment horizontal="center" vertical="center" wrapText="1" mc:Ignorable="vyd"/>
    </s:xf>
    <s:xf numFmtId="0" fontId="47" fillId="26" borderId="104" xfId="0" applyFont="1" applyFill="1" applyBorder="1" applyAlignment="1">
      <s:alignment horizontal="center" vertical="center" wrapText="1" mc:Ignorable="vyd"/>
    </s:xf>
    <s:xf numFmtId="0" fontId="47" fillId="26" borderId="110" xfId="0" applyFont="1" applyFill="1" applyBorder="1" applyAlignment="1">
      <s:alignment horizontal="center" vertical="center" wrapText="1" mc:Ignorable="vyd"/>
    </s:xf>
    <s:xf numFmtId="2" fontId="53" fillId="4" borderId="81" xfId="0" applyNumberFormat="1" applyFont="1" applyFill="1" applyBorder="1" applyAlignment="1">
      <s:alignment horizontal="right" vertical="top" indent="1" mc:Ignorable="vyd"/>
    </s:xf>
    <s:xf numFmtId="2" fontId="53" fillId="4" borderId="26" xfId="0" applyNumberFormat="1" applyFont="1" applyFill="1" applyBorder="1" applyAlignment="1">
      <s:alignment horizontal="right" vertical="top" indent="1" mc:Ignorable="vyd"/>
    </s:xf>
    <s:xf numFmtId="2" fontId="54" fillId="20" borderId="0" xfId="0" applyNumberFormat="1" applyFont="1" applyFill="1" applyAlignment="1">
      <s:alignment horizontal="left" mc:Ignorable="vyd"/>
    </s:xf>
    <s:xf numFmtId="2" fontId="55" fillId="20" borderId="0" xfId="0" applyNumberFormat="1" applyFont="1" applyFill="1" applyAlignment="1">
      <s:alignment horizontal="left" vertical="top" mc:Ignorable="vyd"/>
    </s:xf>
  </s:cellXfs>
  <s:cellStyles count="2">
    <s:cellStyle name="Обычный" xfId="0" builtinId="0"/>
    <s:cellStyle name="Процентный" xfId="1" builtinId="5"/>
  </s:cellStyles>
  <s:dxfs count="281"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7" Type="http://schemas.openxmlformats.org/officeDocument/2006/relationships/sharedStrings" Target="sharedStrings.xml"/><Relationship Id="rId15" Type="http://schemas.openxmlformats.org/officeDocument/2006/relationships/styles" Target="styles.xml"/><Relationship Target="theme/theme1.xml" Type="http://schemas.openxmlformats.org/officeDocument/2006/relationships/theme" Id="rId1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000-000000000000}">
  <s:sheetPr>
    <s:pageSetUpPr fitToPage="1"/>
  </s:sheetPr>
  <s:dimension ref="A1:IU68"/>
  <s:sheetViews>
    <s:sheetView showZeros="0" tabSelected="0" topLeftCell="A2" workbookViewId="0">
      <s:pane xSplit="3" topLeftCell="D1" activePane="topRight" state="frozen"/>
      <s:selection activeCell="D25" sqref="D25"/>
      <s:selection pane="topRight" activeCell="A6" sqref="A6"/>
    </s:sheetView>
  </s:sheetViews>
  <s:sheetFormatPr baseColWidth="10" defaultColWidth="9.164" defaultRowHeight="15"/>
  <s:cols>
    <s:col min="1" max="1" width="20.164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1.5" style="2" customWidth="1"/>
    <s:col min="13" max="13" width="10.832" style="2" customWidth="1"/>
    <s:col min="14" max="14" width="11.664" style="2" customWidth="1"/>
    <s:col min="15" max="15" width="12.832" style="2" customWidth="1"/>
    <s:col min="16" max="16" width="10.332" style="2" customWidth="1"/>
    <s:col min="17" max="18" width="11.332" style="2" customWidth="1"/>
    <s:col min="19" max="19" width="11" style="3" customWidth="1"/>
    <s:col min="20" max="20" width="11.332" style="2" customWidth="1"/>
    <s:col min="21" max="21" width="9.164" style="2" bestFit="1" customWidth="1"/>
    <s:col min="22" max="23" width="10.5" style="2" customWidth="1"/>
    <s:col min="24" max="255" width="9.164" style="2" bestFit="1" customWidth="1"/>
  </s:cols>
  <s:sheetData>
    <s:row r="1" spans="1:23" ht="15.75" customHeight="1">
      <s:c r="A1" s="4"/>
      <s:c r="B1" s="585">
        <s:f ca="1">TODAY()-1</s:f>
        <s:v>46171</s:v>
      </s:c>
      <s:c r="C1" s="585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586"/>
      <s:c r="R1" s="586"/>
      <s:c r="S1" s="586"/>
      <s:c r="T1" s="586"/>
      <s:c r="U1" s="8"/>
      <s:c r="V1" s="6"/>
      <s:c r="W1" s="6"/>
    </s:row>
    <s:row r="2" spans="1:23" ht="21.75" customHeight="1">
      <s:c r="A2" s="4"/>
      <s:c r="B2" s="587" t="s">
        <s:v>0</s:v>
      </s:c>
      <s:c r="C2" s="587"/>
      <s:c r="D2" s="5"/>
      <s:c r="E2" s="5"/>
      <s:c r="F2" s="6"/>
      <s:c r="G2" s="6"/>
      <s:c r="H2" s="6"/>
      <s:c r="I2" s="6"/>
      <s:c r="J2" s="588"/>
      <s:c r="K2" s="588"/>
      <s:c r="L2" s="588"/>
      <s:c r="M2" s="588"/>
      <s:c r="N2" s="588"/>
      <s:c r="O2" s="588"/>
      <s:c r="P2" s="588"/>
      <s:c r="Q2" s="586"/>
      <s:c r="R2" s="586"/>
      <s:c r="S2" s="586"/>
      <s:c r="T2" s="586"/>
      <s:c r="U2" s="8"/>
      <s:c r="V2" s="6"/>
      <s:c r="W2" s="6"/>
    </s:row>
    <s:row r="3" spans="1:23" ht="14" customHeigh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589" t="str">
        <s:f>График!B3</s:f>
        <s:v>ул. Набережная Ленина, 18</s:v>
      </s:c>
      <s:c r="J3" s="590"/>
      <s:c r="K3" s="590"/>
      <s:c r="L3" s="590"/>
      <s:c r="M3" s="591"/>
      <s:c r="N3" s="7"/>
      <s:c r="O3" s="7"/>
      <s:c r="P3" s="13"/>
      <s:c r="Q3" s="586"/>
      <s:c r="R3" s="586"/>
      <s:c r="S3" s="586"/>
      <s:c r="T3" s="586"/>
      <s:c r="U3" s="8"/>
      <s:c r="V3" s="6"/>
      <s:c r="W3" s="6"/>
    </s:row>
    <s:row r="4" spans="1:23" ht="15" customHeight="1">
      <s:c r="A4" s="4"/>
      <s:c r="B4" s="5"/>
      <s:c r="C4" s="595">
        <s:f>I8-D56</s:f>
        <s:v>1831975.4000000004</s:v>
      </s:c>
      <s:c r="D4" s="596"/>
      <s:c r="E4" s="14">
        <s:f>IF(I8&lt;&gt;0, C4/I8, 0)</s:f>
        <s:v>0.42529322411508114</s:v>
      </s:c>
      <s:c r="F4" s="12"/>
      <s:c r="G4" s="12"/>
      <s:c r="H4" s="12"/>
      <s:c r="I4" s="592"/>
      <s:c r="J4" s="593"/>
      <s:c r="K4" s="593"/>
      <s:c r="L4" s="593"/>
      <s:c r="M4" s="594"/>
      <s:c r="N4" s="7"/>
      <s:c r="O4" s="6"/>
      <s:c r="P4" s="6"/>
      <s:c r="Q4" s="586"/>
      <s:c r="R4" s="586"/>
      <s:c r="S4" s="586"/>
      <s:c r="T4" s="586"/>
      <s:c r="U4" s="8"/>
      <s:c r="V4" s="6"/>
      <s:c r="W4" s="6"/>
    </s:row>
    <s:row r="5">
      <s:c r="A5" s="4"/>
      <s:c r="B5" s="6"/>
      <s:c r="C5" s="6"/>
      <s:c r="D5" s="15" t="e">
        <s:f>C4/(I14-J14)</s:f>
        <s:v>#DIV/0!</s:v>
      </s:c>
      <s:c r="E5" s="6"/>
      <s:c r="F5" s="6"/>
      <s:c r="G5" s="6"/>
      <s:c r="H5" s="6"/>
      <s:c r="I5" s="6"/>
      <s:c r="J5" s="597"/>
      <s:c r="K5" s="597"/>
      <s:c r="L5" s="597"/>
      <s:c r="M5" s="597"/>
      <s:c r="N5" s="597"/>
      <s:c r="O5" s="6"/>
      <s:c r="P5" s="6"/>
      <s:c r="Q5" s="6"/>
      <s:c r="R5" s="6"/>
      <s:c r="S5" s="12"/>
      <s:c r="T5" s="6"/>
      <s:c r="U5" s="8"/>
      <s:c r="V5" s="6"/>
      <s:c r="W5" s="6"/>
    </s:row>
    <s:row r="6" spans="1:23" ht="15.75" customHeight="1">
      <s:c r="A6" s="4"/>
      <s:c r="B6" s="16"/>
      <s:c r="C6" s="6"/>
      <s:c r="D6" s="6"/>
      <s:c r="E6" s="6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0"/>
      <s:c r="S6" s="21"/>
      <s:c r="T6" s="6"/>
      <s:c r="U6" s="8"/>
      <s:c r="V6" s="6"/>
      <s:c r="W6" s="6"/>
    </s:row>
    <s:row r="7" spans="1:23" ht="50.75" customHeight="1">
      <s:c r="A7" s="4"/>
      <s:c r="B7" s="16"/>
      <s:c r="C7" s="16"/>
      <s:c r="D7" s="16"/>
      <s:c r="E7" s="6"/>
      <s:c r="F7" s="598" t="s">
        <s:v>3</s:v>
      </s:c>
      <s:c r="G7" s="599"/>
      <s:c r="H7" s="600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1" t="s">
        <s:v>11</s:v>
      </s:c>
      <s:c r="Q7" s="602"/>
      <s:c r="R7" s="20"/>
      <s:c r="S7" s="21"/>
      <s:c r="T7" s="6"/>
      <s:c r="U7" s="8"/>
      <s:c r="V7" s="6"/>
      <s:c r="W7" s="6"/>
    </s:row>
    <s:row r="8" spans="1:23" ht="15.75" customHeight="1">
      <s:c r="A8" s="4"/>
      <s:c r="B8" s="16"/>
      <s:c r="C8" s="16"/>
      <s:c r="D8" s="27"/>
      <s:c r="E8" s="6"/>
      <s:c r="F8" s="603" t="s">
        <s:v>12</s:v>
      </s:c>
      <s:c r="G8" s="604"/>
      <s:c r="H8" s="605"/>
      <s:c r="I8" s="28">
        <s:f>I11*I12*I13</s:f>
        <s:v>4307558.4000000004</s:v>
      </s:c>
      <s:c r="J8" s="29">
        <s:f>D56</s:f>
        <s:v>2475583</s:v>
      </s:c>
      <s:c r="K8" s="30">
        <s:f>IF(AND(I8&lt;&gt;"", I8&lt;&gt;0, J8&lt;&gt;""), J8/I8, "")</s:f>
        <s:v>0.57470677588491892</s:v>
      </s:c>
      <s:c r="L8" s="31">
        <s:f>IF(SUMIF($D$25:$D$55,"&gt;=0",$P$25:$P$55)&lt;&gt;0,I8*D56/SUMIF($D$25:$D$55,"&gt;=0",$P$25:$P$55),0)</s:f>
        <s:v>2587677.357939017</s:v>
      </s:c>
      <s:c r="M8" s="32">
        <s:f>IF(AND(I8&lt;&gt;"", I8&lt;&gt;0, L8&lt;&gt;"", L8&lt;&gt;0), L8/I8, "")</s:f>
        <s:v>0.60072948934111181</s:v>
      </s:c>
      <s:c r="N8" s="33">
        <s:f>IF(AND(J8&lt;&gt;0, J8&lt;&gt;"", I8&lt;&gt;0, I8&lt;&gt;""), L8-I8, "")</s:f>
        <s:v>-1719881.0420609834</s:v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20"/>
      <s:c r="S8" s="37"/>
      <s:c r="T8" s="6"/>
      <s:c r="U8" s="8"/>
      <s:c r="V8" s="6"/>
      <s:c r="W8" s="6"/>
    </s:row>
    <s:row r="9" spans="1:23" ht="15.75" customHeight="1">
      <s:c r="A9" s="4"/>
      <s:c r="B9" s="16"/>
      <s:c r="C9" s="16"/>
      <s:c r="D9" s="16"/>
      <s:c r="E9" s="6"/>
      <s:c r="F9" s="606" t="s">
        <s:v>13</s:v>
      </s:c>
      <s:c r="G9" s="607"/>
      <s:c r="H9" s="608"/>
      <s:c r="I9" s="38">
        <s:f>I8/I11</s:f>
        <s:v>747.84</s:v>
      </s:c>
      <s:c r="J9" s="39">
        <s:f>E56</s:f>
        <s:v>464</s:v>
      </s:c>
      <s:c r="K9" s="40">
        <s:f>IF(AND(I9&lt;&gt;"", I9&lt;&gt;0, J9&lt;&gt;""), J9/I9, "")</s:f>
        <s:v>0.62045357295678216</s:v>
      </s:c>
      <s:c r="L9" s="41">
        <s:f>IF(SUMIF($E$25:$E$55, "&gt;=0", $Q$25:$Q$55)&lt;&gt;0, I9*E56/SUMIF($E$25:$E$55, "&gt;=0", $Q$25:$Q$55), 0)</s:f>
        <s:v>485.00991244636259</s:v>
      </s:c>
      <s:c r="M9" s="42">
        <s:f>IF(AND(I9&lt;&gt;"", I9&lt;&gt;0, L9&lt;&gt;"", L9&lt;&gt;0), L9/I9, "")</s:f>
        <s:v>0.64854770063965894</s:v>
      </s:c>
      <s:c r="N9" s="43">
        <s:f>IF(AND(J9&lt;&gt;0, J9&lt;&gt;"", I9&lt;&gt;0, I9&lt;&gt;""), L9-I9, "")</s:f>
        <s:v>-262.83008755363744</s:v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20"/>
      <s:c r="S9" s="37"/>
      <s:c r="T9" s="6"/>
      <s:c r="U9" s="8"/>
      <s:c r="V9" s="6"/>
      <s:c r="W9" s="6"/>
    </s:row>
    <s:row r="10" spans="1:23" ht="15.75" customHeight="1">
      <s:c r="A10" s="4"/>
      <s:c r="B10" s="16"/>
      <s:c r="C10" s="16"/>
      <s:c r="D10" s="16"/>
      <s:c r="E10" s="6"/>
      <s:c r="F10" s="603" t="s">
        <s:v>14</s:v>
      </s:c>
      <s:c r="G10" s="604"/>
      <s:c r="H10" s="605"/>
      <s:c r="I10" s="38">
        <s:f>I11*I12</s:f>
        <s:v>10944</s:v>
      </s:c>
      <s:c r="J10" s="46">
        <s:f>H56</s:f>
        <s:v>9168.8259259259266</s:v>
      </s:c>
      <s:c r="K10" s="47">
        <s:f>IF(AND(I10&lt;&gt;"", I10&lt;&gt;0, J10&lt;&gt;""), J10/I10, "")</s:f>
        <s:v>0.83779476662334851</s:v>
      </s:c>
      <s:c r="L10" s="41">
        <s:f>J10</s:f>
        <s:v>9168.8259259259266</s:v>
      </s:c>
      <s:c r="M10" s="48">
        <s:f>IF(AND(I10&lt;&gt;"", I10&lt;&gt;0, L10&lt;&gt;"", L10&lt;&gt;0), L10/I10, "")</s:f>
        <s:v>0.83779476662334851</s:v>
      </s:c>
      <s:c r="N10" s="49">
        <s:f>IF(AND(J10&lt;&gt;0, J10&lt;&gt;"", I10&lt;&gt;0, I10&lt;&gt;""), L10-I10, "")</s:f>
        <s:v>-1775.1740740740734</s:v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20"/>
      <s:c r="S10" s="609" t="s">
        <s:v>15</s:v>
      </s:c>
      <s:c r="T10" s="610"/>
      <s:c r="U10" s="8"/>
      <s:c r="V10" s="6"/>
      <s:c r="W10" s="6"/>
    </s:row>
    <s:row r="11" spans="1:23" ht="15.75" customHeight="1">
      <s:c r="A11" s="4"/>
      <s:c r="B11" s="16"/>
      <s:c r="C11" s="16"/>
      <s:c r="D11" s="16"/>
      <s:c r="E11" s="6"/>
      <s:c r="F11" s="606" t="s">
        <s:v>16</s:v>
      </s:c>
      <s:c r="G11" s="607"/>
      <s:c r="H11" s="608"/>
      <s:c r="I11" s="52">
        <s:v>5760</s:v>
      </s:c>
      <s:c r="J11" s="39">
        <s:f>F56</s:f>
        <s:v>5335.3081896551721</s:v>
      </s:c>
      <s:c r="K11" s="40">
        <s:f>IF(AND(I11&lt;&gt;"", I11&lt;&gt;0, J11&lt;&gt;""), J11/I11, "")</s:f>
        <s:v>0.92626878292624515</s:v>
      </s:c>
      <s:c r="L11" s="41">
        <s:f>IF(L9&gt;0, L8/L9, "")</s:f>
        <s:v>5335.3081896551739</s:v>
      </s:c>
      <s:c r="M11" s="42">
        <s:f>IF(AND(I11&lt;&gt;"", I11&lt;&gt;0, L11&lt;&gt;"", L11&lt;&gt;0), L11/I11, "")</s:f>
        <s:v>0.92626878292624548</s:v>
      </s:c>
      <s:c r="N11" s="43">
        <s:f>IF(AND(J11&lt;&gt;0, J11&lt;&gt;"", I11&lt;&gt;0, I11&lt;&gt;""), L11-I11, "")</s:f>
        <s:v>-424.69181034482608</s:v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20"/>
      <s:c r="S11" s="611"/>
      <s:c r="T11" s="612"/>
      <s:c r="U11" s="8"/>
      <s:c r="V11" s="6"/>
      <s:c r="W11" s="6"/>
    </s:row>
    <s:row r="12" spans="1:23" ht="15.75" customHeight="1">
      <s:c r="A12" s="4"/>
      <s:c r="B12" s="16"/>
      <s:c r="C12" s="6"/>
      <s:c r="D12" s="6"/>
      <s:c r="E12" s="6"/>
      <s:c r="F12" s="606" t="s">
        <s:v>17</s:v>
      </s:c>
      <s:c r="G12" s="607"/>
      <s:c r="H12" s="608"/>
      <s:c r="I12" s="54">
        <s:v>1.9</s:v>
      </s:c>
      <s:c r="J12" s="55">
        <s:f>J56</s:f>
        <s:v>1.7185185185185186</s:v>
      </s:c>
      <s:c r="K12" s="40">
        <s:f>IF(AND(I12&lt;&gt;"", I12&lt;&gt;0, J12&lt;&gt;""), J12/I12, "")</s:f>
        <s:v>0.90448343079922033</s:v>
      </s:c>
      <s:c r="L12" s="56">
        <s:f>J12</s:f>
        <s:v>1.7185185185185186</s:v>
      </s:c>
      <s:c r="M12" s="42">
        <s:f>IF(AND(I12&lt;&gt;"", I12&lt;&gt;0, L12&lt;&gt;"", L12&lt;&gt;0), L12/I12, "")</s:f>
        <s:v>0.90448343079922033</s:v>
      </s:c>
      <s:c r="N12" s="57">
        <s:f>IF(AND(J12&lt;&gt;0, J12&lt;&gt;"", I12&lt;&gt;0, I12&lt;&gt;""), L12-I12, "")</s:f>
        <s:v>-0.18148148148148135</s:v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20"/>
      <s:c r="S12" s="59">
        <s:v>980000</s:v>
      </s:c>
      <s:c r="T12" s="60">
        <s:f>L56</s:f>
        <s:v>438412</s:v>
      </s:c>
      <s:c r="U12" s="8"/>
      <s:c r="V12" s="6"/>
      <s:c r="W12" s="6"/>
    </s:row>
    <s:row r="13" spans="1:23" ht="15.75" customHeight="1">
      <s:c r="A13" s="4"/>
      <s:c r="B13" s="16"/>
      <s:c r="C13" s="6"/>
      <s:c r="D13" s="6"/>
      <s:c r="E13" s="6"/>
      <s:c r="F13" s="606" t="s">
        <s:v>18</s:v>
      </s:c>
      <s:c r="G13" s="607"/>
      <s:c r="H13" s="608"/>
      <s:c r="I13" s="38">
        <s:f>I17*I20</s:f>
        <s:v>393.6</s:v>
      </s:c>
      <s:c r="J13" s="39">
        <s:f>G56</s:f>
        <s:v>270</s:v>
      </s:c>
      <s:c r="K13" s="40">
        <s:f>IF(AND(I13&lt;&gt;"", I13&lt;&gt;0, J13&lt;&gt;""), J13/I13, "")</s:f>
        <s:v>0.6859756097560975</s:v>
      </s:c>
      <s:c r="L13" s="41">
        <s:f>IF(SUMIF($G$25:$G$55, "&gt;=0", $R$25:$R$55)&lt;&gt;0, I13*G56/SUMIF($G$25:$G$55, "&gt;=0", $R$25:$R$55), "")</s:f>
        <s:v>282.22559560456466</s:v>
      </s:c>
      <s:c r="M13" s="42">
        <s:f>IF(AND(I13&lt;&gt;"", I13&lt;&gt;0, L13&lt;&gt;"", L13&lt;&gt;0), L13/I13, "")</s:f>
        <s:v>0.71703657419858902</s:v>
      </s:c>
      <s:c r="N13" s="57">
        <s:f>IF(AND(J13&lt;&gt;0, J13&lt;&gt;"", I13&lt;&gt;0, I13&lt;&gt;""), L13-I13, "")</s:f>
        <s:v>-111.37440439543536</s:v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20"/>
      <s:c r="S13" s="62">
        <s:f>T12/S12</s:f>
        <s:v>0.44735918367346938</s:v>
      </s:c>
      <s:c r="T13" s="62">
        <s:f>S13/J14*I14</s:f>
        <s:v>0.44735918367346938</s:v>
      </s:c>
      <s:c r="U13" s="63"/>
      <s:c r="V13" s="6"/>
      <s:c r="W13" s="6"/>
    </s:row>
    <s:row r="14" spans="1:23" ht="15.75" customHeight="1">
      <s:c r="A14" s="4"/>
      <s:c r="B14" s="16"/>
      <s:c r="C14" s="6"/>
      <s:c r="D14" s="6"/>
      <s:c r="E14" s="6"/>
      <s:c r="F14" s="606" t="s">
        <s:v>19</s:v>
      </s:c>
      <s:c r="G14" s="607"/>
      <s:c r="H14" s="608"/>
      <s:c r="I14" s="52">
        <s:v>30</s:v>
      </s:c>
      <s:c r="J14" s="64">
        <s:v>30</s:v>
      </s:c>
      <s:c r="K14" s="40">
        <s:f>IF(AND(I14&lt;&gt;"", I14&lt;&gt;0, J14&lt;&gt;""), J14/I14, "")</s:f>
        <s:v>1</s:v>
      </s:c>
      <s:c r="L14" s="41">
        <s:f>I14</s:f>
        <s:v>30</s:v>
      </s:c>
      <s:c r="M14" s="42">
        <s:f>IF(AND(I14&lt;&gt;"", I14&lt;&gt;0, L14&lt;&gt;"", L14&lt;&gt;0), L14/I14, "")</s:f>
        <s:v>1</s:v>
      </s:c>
      <s:c r="N14" s="43">
        <s:f>IF(AND(J14&lt;&gt;0, J14&lt;&gt;"", I14&lt;&gt;0, I14&lt;&gt;""), L14-I14, "")</s:f>
        <s:v>0</s:v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20"/>
      <s:c r="S14" s="65"/>
      <s:c r="T14" s="6"/>
      <s:c r="U14" s="8"/>
      <s:c r="V14" s="6"/>
      <s:c r="W14" s="6"/>
    </s:row>
    <s:row r="15" spans="1:23" ht="15.75" customHeight="1">
      <s:c r="A15" s="4"/>
      <s:c r="B15" s="16"/>
      <s:c r="C15" s="6"/>
      <s:c r="D15" s="6"/>
      <s:c r="E15" s="6"/>
      <s:c r="F15" s="606" t="s">
        <s:v>20</s:v>
      </s:c>
      <s:c r="G15" s="607"/>
      <s:c r="H15" s="608"/>
      <s:c r="I15" s="66">
        <s:f>I8/I14</s:f>
        <s:v>143585.28</s:v>
      </s:c>
      <s:c r="J15" s="67">
        <s:f>J8/J14</s:f>
        <s:v>82519.433333333334</s:v>
      </s:c>
      <s:c r="K15" s="68">
        <s:f>IF(AND(I15&lt;&gt;"", I15&lt;&gt;0, J15&lt;&gt;""), J15/I15, "")</s:f>
        <s:v>0.57470677588491892</s:v>
      </s:c>
      <s:c r="L15" s="69">
        <s:f>J15</s:f>
        <s:v>82519.433333333334</s:v>
      </s:c>
      <s:c r="M15" s="70">
        <s:f>IF(AND(I15&lt;&gt;"", I15&lt;&gt;0, L15&lt;&gt;"", L15&lt;&gt;0), L15/I15, "")</s:f>
        <s:v>0.57470677588491892</s:v>
      </s:c>
      <s:c r="N15" s="43">
        <s:f>IF(AND(J15&lt;&gt;0, J15&lt;&gt;"", I15&lt;&gt;0, I15&lt;&gt;""), L15-I15, "")</s:f>
        <s:v>-61065.846666666665</s:v>
      </s:c>
      <s:c r="O15" s="71"/>
      <s:c r="P15" s="43" t="str">
        <s:f>IF(AND(O15&lt;&gt;"", O15&lt;&gt;0, L15&lt;&gt;"", L15&lt;&gt;0), -O15+L15, "")</s:f>
        <s:v/>
      </s:c>
      <s:c r="Q15" s="45" t="str">
        <s:f>IF(AND(P15&lt;&gt;"", P15&lt;&gt;0, O15&lt;&gt;0, O15&lt;&gt;""), P15/O15, "")</s:f>
        <s:v/>
      </s:c>
      <s:c r="R15" s="20"/>
      <s:c r="S15" s="37"/>
      <s:c r="T15" s="6"/>
      <s:c r="U15" s="8"/>
      <s:c r="V15" s="6"/>
      <s:c r="W15" s="6"/>
    </s:row>
    <s:row r="16" spans="1:23" ht="15.75" customHeight="1">
      <s:c r="A16" s="4"/>
      <s:c r="B16" s="16"/>
      <s:c r="C16" s="6"/>
      <s:c r="D16" s="6"/>
      <s:c r="E16" s="6"/>
      <s:c r="F16" s="606" t="s">
        <s:v>21</s:v>
      </s:c>
      <s:c r="G16" s="607"/>
      <s:c r="H16" s="608"/>
      <s:c r="I16" s="66"/>
      <s:c r="J16" s="67">
        <s:f>J8-I15*J14</s:f>
        <s:v>-1831975.4000000004</s:v>
      </s:c>
      <s:c r="K16" s="68" t="str">
        <s:f>IF(AND(I16&lt;&gt;"", I16&lt;&gt;0, J16&lt;&gt;""), J16/I16, "")</s:f>
        <s:v/>
      </s:c>
      <s:c r="L16" s="72">
        <s:f>J16</s:f>
        <s:v>-1831975.4000000004</s:v>
      </s:c>
      <s:c r="M16" s="73" t="str">
        <s:f>IF(AND(I16&lt;&gt;"", I16&lt;&gt;0, L16&lt;&gt;"", L16&lt;&gt;0), L16/I16, 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20"/>
      <s:c r="S16" s="613" t="s">
        <s:v>22</s:v>
      </s:c>
      <s:c r="T16" s="613"/>
      <s:c r="U16" s="8"/>
      <s:c r="V16" s="6"/>
      <s:c r="W16" s="6"/>
    </s:row>
    <s:row r="17" spans="1:255" ht="15.75" customHeight="1">
      <s:c r="A17" s="4"/>
      <s:c r="B17" s="16"/>
      <s:c r="C17" s="6"/>
      <s:c r="D17" s="74"/>
      <s:c r="E17" s="6"/>
      <s:c r="F17" s="606" t="s">
        <s:v>23</s:v>
      </s:c>
      <s:c r="G17" s="607"/>
      <s:c r="H17" s="608"/>
      <s:c r="I17" s="75">
        <s:v>1600</s:v>
      </s:c>
      <s:c r="J17" s="67">
        <s:f>I56</s:f>
        <s:v>1342</s:v>
      </s:c>
      <s:c r="K17" s="68">
        <s:f>IF(AND(I17&lt;&gt;"", I17&lt;&gt;0, J17&lt;&gt;""), J17/I17, "")</s:f>
        <s:v>0.83875</s:v>
      </s:c>
      <s:c r="L17" s="72">
        <s:f>J17/J14*I14</s:f>
        <s:v>1342</s:v>
      </s:c>
      <s:c r="M17" s="73">
        <s:f>IF(AND(I17&lt;&gt;"", I17&lt;&gt;0, L17&lt;&gt;"", L17&lt;&gt;0), L17/I17, "")</s:f>
        <s:v>0.83875</s:v>
      </s:c>
      <s:c r="N17" s="43">
        <s:f>IF(AND(J17&lt;&gt;0, J17&lt;&gt;"", I17&lt;&gt;0, I17&lt;&gt;""), L17-I17, "")</s:f>
        <s:v>-258</s:v>
      </s:c>
      <s:c r="O17" s="71"/>
      <s:c r="P17" s="43" t="str">
        <s:f>IF(AND(O17&lt;&gt;"", O17&lt;&gt;0, L17&lt;&gt;"", L17&lt;&gt;0), -O17+L17, "")</s:f>
        <s:v/>
      </s:c>
      <s:c r="Q17" s="45" t="str">
        <s:f>IF(AND(P17&lt;&gt;"", P17&lt;&gt;0, O17&lt;&gt;0, O17&lt;&gt;""), P17/O17, "")</s:f>
        <s:v/>
      </s:c>
      <s:c r="R17" s="20"/>
      <s:c r="S17" s="613"/>
      <s:c r="T17" s="613"/>
      <s:c r="U17" s="8"/>
      <s:c r="V17" s="6"/>
      <s:c r="W17" s="6"/>
    </s:row>
    <s:row r="18" spans="1:255" ht="15.75" customHeight="1">
      <s:c r="A18" s="4"/>
      <s:c r="B18" s="16"/>
      <s:c r="C18" s="6"/>
      <s:c r="D18" s="6"/>
      <s:c r="E18" s="6"/>
      <s:c r="F18" s="606"/>
      <s:c r="G18" s="607"/>
      <s:c r="H18" s="608"/>
      <s:c r="I18" s="76"/>
      <s:c r="J18" s="67"/>
      <s:c r="K18" s="77" t="str">
        <s:f>IF(AND(I18&lt;&gt;"", I18&lt;&gt;0, J18&lt;&gt;""), J18/I18, "")</s:f>
        <s:v/>
      </s:c>
      <s:c r="L18" s="78">
        <s:f>J18</s:f>
        <s:v>0</s:v>
      </s:c>
      <s:c r="M18" s="73" t="str">
        <s:f>IF(AND(I18&lt;&gt;"", I18&lt;&gt;0, L18&lt;&gt;"", L18&lt;&gt;0), L18/I18, 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20"/>
      <s:c r="S18" s="59">
        <s:v>780000</s:v>
      </s:c>
      <s:c r="T18" s="60">
        <s:f>K56</s:f>
        <s:v>348005</s:v>
      </s:c>
      <s:c r="U18" s="8"/>
      <s:c r="V18" s="6"/>
      <s:c r="W18" s="6"/>
    </s:row>
    <s:row r="19" spans="1:255" ht="15.75" customHeight="1">
      <s:c r="A19" s="4"/>
      <s:c r="B19" s="16"/>
      <s:c r="C19" s="6"/>
      <s:c r="D19" s="6"/>
      <s:c r="E19" s="6"/>
      <s:c r="F19" s="606"/>
      <s:c r="G19" s="607"/>
      <s:c r="H19" s="608"/>
      <s:c r="I19" s="76"/>
      <s:c r="J19" s="67">
        <s:f>M56</s:f>
        <s:v>0</s:v>
      </s:c>
      <s:c r="K19" s="77" t="str">
        <s:f>IF(AND(I19&lt;&gt;"", I19&lt;&gt;0, J19&lt;&gt;""), J19/I19, "")</s:f>
        <s:v/>
      </s:c>
      <s:c r="L19" s="78">
        <s:f>J19</s:f>
        <s:v>0</s:v>
      </s:c>
      <s:c r="M19" s="73" t="str">
        <s:f>IF(AND(I19&lt;&gt;"", I19&lt;&gt;0, L19&lt;&gt;"", L19&lt;&gt;0), L19/I19, 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20"/>
      <s:c r="S19" s="62">
        <s:f>T18/S18</s:f>
        <s:v>0.44616025641025642</s:v>
      </s:c>
      <s:c r="T19" s="62">
        <s:f>S19/J14*I14</s:f>
        <s:v>0.44616025641025642</s:v>
      </s:c>
      <s:c r="U19" s="63"/>
      <s:c r="V19" s="6"/>
      <s:c r="W19" s="6"/>
    </s:row>
    <s:row r="20" spans="1:255" ht="15.75" customHeight="1">
      <s:c r="A20" s="4"/>
      <s:c r="B20" s="16"/>
      <s:c r="C20" s="6"/>
      <s:c r="D20" s="6"/>
      <s:c r="E20" s="6"/>
      <s:c r="F20" s="614" t="s">
        <s:v>24</s:v>
      </s:c>
      <s:c r="G20" s="614"/>
      <s:c r="H20" s="614"/>
      <s:c r="I20" s="80">
        <s:v>0.246</s:v>
      </s:c>
      <s:c r="J20" s="81">
        <s:f>N56</s:f>
        <s:v>0.20119225037257824</s:v>
      </s:c>
      <s:c r="K20" s="81">
        <s:f>J20/I20</s:f>
        <s:v>0.8178546763112936</s:v>
      </s:c>
      <s:c r="L20" s="82">
        <s:f>IF(AND(K8&lt;&gt;0, I14&lt;&gt;0, I56&lt;&gt;0), (I56*N56+(I56/K8-I56)*I20)/(I56/K8), 0)</s:f>
        <s:v>0.22024868267696576</s:v>
      </s:c>
      <s:c r="M20" s="83">
        <s:f>IF(AND(I20&lt;&gt;"", I20&lt;&gt;0, L20&lt;&gt;"", L20&lt;&gt;0), L20/I20, "")</s:f>
        <s:v>0.89531984828034861</s:v>
      </s:c>
      <s:c r="N20" s="84">
        <s:f>IF(AND(J20&lt;&gt;0, J20&lt;&gt;"", I20&lt;&gt;0, I20&lt;&gt;""), L20-I20, "")</s:f>
        <s:v>-2.5751317323034234E-2</s:v>
      </s:c>
      <s:c r="O20" s="85"/>
      <s:c r="P20" s="86" t="str">
        <s:f>IF(AND(O20&lt;&gt;"", O20&lt;&gt;0, L20&lt;&gt;"", L20&lt;&gt;0), -O20+L20, "")</s:f>
        <s:v/>
      </s:c>
      <s:c r="Q20" s="87" t="str">
        <s:f>IF(AND(P20&lt;&gt;"", P20&lt;&gt;0, O20&lt;&gt;0, O20&lt;&gt;""), P20/O20, "")</s:f>
        <s:v/>
      </s:c>
      <s:c r="R20" s="20"/>
      <s:c r="S20" s="21"/>
      <s:c r="T20" s="6"/>
      <s:c r="U20" s="8"/>
      <s:c r="V20" s="6"/>
      <s:c r="W20" s="6"/>
    </s:row>
    <s:row r="21" spans="1:255" ht="15.75" customHeight="1">
      <s:c r="A21" s="4"/>
      <s:c r="B21" s="16"/>
      <s:c r="C21" s="6"/>
      <s:c r="D21" s="88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20"/>
      <s:c r="S21" s="21"/>
      <s:c r="T21" s="6"/>
      <s:c r="U21" s="8"/>
      <s:c r="V21" s="6"/>
      <s:c r="W21" s="6"/>
    </s:row>
    <s:row r="22" spans="1:255" ht="21" customHeight="1">
      <s:c r="A22" s="615" t="s">
        <s:v>25</s:v>
      </s:c>
      <s:c r="B22" s="615"/>
      <s:c r="C22" s="615"/>
      <s:c r="D22" s="615"/>
      <s:c r="E22" s="615"/>
      <s:c r="F22" s="615"/>
      <s:c r="G22" s="615"/>
      <s:c r="H22" s="615"/>
      <s:c r="I22" s="615"/>
      <s:c r="J22" s="615"/>
      <s:c r="K22" s="615"/>
      <s:c r="L22" s="615"/>
      <s:c r="M22" s="615"/>
      <s:c r="N22" s="615"/>
      <s:c r="O22" s="616" t="s">
        <s:v>26</s:v>
      </s:c>
      <s:c r="P22" s="615" t="s">
        <s:v>27</s:v>
      </s:c>
      <s:c r="Q22" s="615"/>
      <s:c r="R22" s="615"/>
      <s:c r="S22" s="615"/>
      <s:c r="T22" s="615"/>
      <s:c r="U22" s="615"/>
      <s:c r="V22" s="615"/>
      <s:c r="W22" s="615"/>
    </s:row>
    <s:row r="23" ht="36">
      <s:c r="A23" s="617" t="s">
        <s:v>28</s:v>
      </s:c>
      <s:c r="B23" s="89" t="s">
        <s:v>29</s:v>
      </s:c>
      <s:c r="C23" s="89" t="s">
        <s:v>30</s:v>
      </s:c>
      <s:c r="D23" s="89" t="s">
        <s:v>31</s:v>
      </s:c>
      <s:c r="E23" s="89" t="s">
        <s:v>32</s:v>
      </s:c>
      <s:c r="F23" s="89" t="s">
        <s:v>33</s:v>
      </s:c>
      <s:c r="G23" s="89" t="s">
        <s:v>34</s:v>
      </s:c>
      <s:c r="H23" s="89" t="s">
        <s:v>35</s:v>
      </s:c>
      <s:c r="I23" s="89" t="s">
        <s:v>23</s:v>
      </s:c>
      <s:c r="J23" s="89" t="s">
        <s:v>36</s:v>
      </s:c>
      <s:c r="K23" s="90" t="s">
        <s:v>22</s:v>
      </s:c>
      <s:c r="L23" s="90" t="s">
        <s:v>15</s:v>
      </s:c>
      <s:c r="M23" s="90" t="s">
        <s:v>37</s:v>
      </s:c>
      <s:c r="N23" s="89" t="s">
        <s:v>38</s:v>
      </s:c>
      <s:c r="O23" s="616"/>
      <s:c r="P23" s="89" t="s">
        <s:v>39</s:v>
      </s:c>
      <s:c r="Q23" s="89" t="s">
        <s:v>40</s:v>
      </s:c>
      <s:c r="R23" s="89" t="s">
        <s:v>41</s:v>
      </s:c>
      <s:c r="S23" s="89" t="s">
        <s:v>42</s:v>
      </s:c>
      <s:c r="T23" s="89" t="s">
        <s:v>43</s:v>
      </s:c>
      <s:c r="U23" s="89" t="s">
        <s:v>44</s:v>
      </s:c>
      <s:c r="V23" s="91" t="s">
        <s:v>45</s:v>
      </s:c>
      <s:c r="W23" s="91" t="s">
        <s:v>46</s:v>
      </s:c>
      <s:c r="X23" s="92"/>
    </s:row>
    <s:row r="24">
      <s:c r="A24" s="617"/>
      <s:c r="B24" s="93">
        <s:v>1</s:v>
      </s:c>
      <s:c r="C24" s="93">
        <s:v>2</s:v>
      </s:c>
      <s:c r="D24" s="93">
        <s:v>3</s:v>
      </s:c>
      <s:c r="E24" s="93">
        <s:v>4</s:v>
      </s:c>
      <s:c r="F24" s="93">
        <s:v>5</s:v>
      </s:c>
      <s:c r="G24" s="93">
        <s:v>6</s:v>
      </s:c>
      <s:c r="H24" s="93">
        <s:v>7</s:v>
      </s:c>
      <s:c r="I24" s="93">
        <s:v>8</s:v>
      </s:c>
      <s:c r="J24" s="93">
        <s:v>9</s:v>
      </s:c>
      <s:c r="K24" s="93">
        <s:v>10</s:v>
      </s:c>
      <s:c r="L24" s="93">
        <s:v>11</s:v>
      </s:c>
      <s:c r="M24" s="93">
        <s:v>12</s:v>
      </s:c>
      <s:c r="N24" s="93">
        <s:v>13</s:v>
      </s:c>
      <s:c r="O24" s="616"/>
      <s:c r="P24" s="94">
        <s:v>1</s:v>
      </s:c>
      <s:c r="Q24" s="94">
        <s:v>2</s:v>
      </s:c>
      <s:c r="R24" s="94">
        <s:v>3</s:v>
      </s:c>
      <s:c r="S24" s="94">
        <s:v>4</s:v>
      </s:c>
      <s:c r="T24" s="94">
        <s:v>5</s:v>
      </s:c>
      <s:c r="U24" s="94">
        <s:v>6</s:v>
      </s:c>
      <s:c r="V24" s="94">
        <s:v>10</s:v>
      </s:c>
      <s:c r="W24" s="94">
        <s:v>11</s:v>
      </s:c>
    </s:row>
    <s:row r="25">
      <s:c r="A25" s="95" t="s">
        <s:v>47</s:v>
      </s:c>
      <s:c r="B25" s="96" t="s">
        <s:v>48</s:v>
      </s:c>
      <s:c r="C25" s="97" t="s">
        <s:v>49</s:v>
      </s:c>
      <s:c r="D25" s="98">
        <s:v>24398</s:v>
      </s:c>
      <s:c r="E25" s="99">
        <s:v>3</s:v>
      </s:c>
      <s:c r="F25" s="99">
        <s:f>IF(AND(E25&lt;&gt;"",E25&lt;&gt;0),D25/E25,"")</s:f>
        <s:v>8132.666666666667</s:v>
      </s:c>
      <s:c r="G25" s="99">
        <s:v>4</s:v>
      </s:c>
      <s:c r="H25" s="99">
        <s:f>IF(AND(G25&lt;&gt;"",G25&lt;&gt;0),D25/G25,"")</s:f>
        <s:v>6099.5</s:v>
      </s:c>
      <s:c r="I25" s="99">
        <s:v>30</s:v>
      </s:c>
      <s:c r="J25" s="98">
        <s:f>IF(AND(G25&lt;&gt;"",G25&lt;&gt;0),E25/G25,"")</s:f>
        <s:v>0.75</s:v>
      </s:c>
      <s:c r="K25" s="99">
        <s:v>0</s:v>
      </s:c>
      <s:c r="L25" s="99">
        <s:v>13123</s:v>
      </s:c>
      <s:c r="M25" s="99"/>
      <s:c r="N25" s="100">
        <s:f>IF(AND(I25&lt;&gt;"",I25&lt;&gt;0),G25/I25,"")</s:f>
        <s:v>0.13333333333333333</s:v>
      </s:c>
      <s:c r="O25" s="101">
        <s:f>D25/P25</s:f>
        <s:v>0.19511094860103587</s:v>
      </s:c>
      <s:c r="P25" s="102">
        <s:f>$I$8*V25*W25/SUMPRODUCT($W$25:$W$55,$V$25:$V$55)</s:f>
        <s:v>125046.80119150663</s:v>
      </s:c>
      <s:c r="Q25" s="103">
        <s:f>$I$9*V25*W25/SUMPRODUCT($W$25:$W$55,$V$25:$V$55)</s:f>
        <s:v>21.709514095747675</s:v>
      </s:c>
      <s:c r="R25" s="103">
        <s:f>IF($I$12="","",Q25/$I$12)</s:f>
        <s:v>11.426060050393513</s:v>
      </s:c>
      <s:c r="S25" s="102">
        <s:f>IF(D25&lt;&gt;"",D25,P25)</s:f>
        <s:v>24398</s:v>
      </s:c>
      <s:c r="T25" s="103">
        <s:f>IF(E25&lt;&gt;"",E25,Q25)</s:f>
        <s:v>3</s:v>
      </s:c>
      <s:c r="U25" s="103">
        <s:f>IF(G25&lt;&gt;"",G25,R25)</s:f>
        <s:v>4</s:v>
      </s:c>
      <s:c r="V25" s="104">
        <s:v>0.90048519598893295</s:v>
      </s:c>
      <s:c r="W25" s="104">
        <s:v>0.90048519598893295</s:v>
      </s:c>
      <s:c r="X25" s="105"/>
      <s:c r="Y25" s="106"/>
    </s:row>
    <s:row r="26">
      <s:c r="A26" s="95" t="s">
        <s:v>47</s:v>
      </s:c>
      <s:c r="B26" s="96" t="s">
        <s:v>50</s:v>
      </s:c>
      <s:c r="C26" s="97" t="s">
        <s:v>51</s:v>
      </s:c>
      <s:c r="D26" s="98">
        <s:v>51870</s:v>
      </s:c>
      <s:c r="E26" s="99">
        <s:v>11</s:v>
      </s:c>
      <s:c r="F26" s="99">
        <s:f>IF(AND(E26&lt;&gt;"",E26&lt;&gt;0),D26/E26,"")</s:f>
        <s:v>4715.454545454545</s:v>
      </s:c>
      <s:c r="G26" s="99">
        <s:v>10</s:v>
      </s:c>
      <s:c r="H26" s="99">
        <s:f>IF(AND(G26&lt;&gt;"",G26&lt;&gt;0),D26/G26,"")</s:f>
        <s:v>5187</s:v>
      </s:c>
      <s:c r="I26" s="99">
        <s:v>34</s:v>
      </s:c>
      <s:c r="J26" s="98">
        <s:f>IF(AND(G26&lt;&gt;"",G26&lt;&gt;0),E26/G26,"")</s:f>
        <s:v>1.1000000000000001</s:v>
      </s:c>
      <s:c r="K26" s="99"/>
      <s:c r="L26" s="99">
        <s:v>7903</s:v>
      </s:c>
      <s:c r="M26" s="99"/>
      <s:c r="N26" s="100">
        <s:f>IF(AND(I26&lt;&gt;"",I26&lt;&gt;0),G26/I26,"")</s:f>
        <s:v>0.29411764705882354</s:v>
      </s:c>
      <s:c r="O26" s="101">
        <s:f>D26/P26</s:f>
        <s:v>0.29868269812077253</s:v>
      </s:c>
      <s:c r="P26" s="102">
        <s:f>$I$8*V26*W26/SUMPRODUCT($W$25:$W$55,$V$25:$V$55)</s:f>
        <s:v>173662.55335964033</s:v>
      </s:c>
      <s:c r="Q26" s="103">
        <s:f>$I$9*V26*W26/SUMPRODUCT($W$25:$W$55,$V$25:$V$55)</s:f>
        <s:v>30.149748847159774</s:v>
      </s:c>
      <s:c r="R26" s="103">
        <s:f>IF($I$12="","",Q26/$I$12)</s:f>
        <s:v>15.868288866926198</s:v>
      </s:c>
      <s:c r="S26" s="102">
        <s:f>IF(W26&lt;&gt;"",IF(D26&lt;&gt;"",D26,($I$8-SUM($S$25:S25))*V26*W26/SUMPRODUCT($W26:$W$55,$V26:$V$55)),"")</s:f>
        <s:v>51870</s:v>
      </s:c>
      <s:c r="T26" s="103">
        <s:f>IF(W26&lt;&gt;"",IF(E26&lt;&gt;"",E26,($I$9-SUM($T$25:T25))*V26*W26/SUMPRODUCT($W26:$W$55,$V26:$V$55)),"")</s:f>
        <s:v>11</s:v>
      </s:c>
      <s:c r="U26" s="103">
        <s:f>IF(W26&lt;&gt;"",IF($I$12&lt;&gt;"",IF(G26&lt;&gt;"",G26,($I$9/$I$12-SUM($U$25:U25))*V26*W26/SUMPRODUCT($W26:$W$55,$V26:$V$55)),""),"")</s:f>
        <s:v>10</s:v>
      </s:c>
      <s:c r="V26" s="104">
        <s:v>1.0611905531725472</s:v>
      </s:c>
      <s:c r="W26" s="104">
        <s:v>1.0611905531725472</s:v>
      </s:c>
      <s:c r="X26" s="107"/>
      <s:c r="Y26" s="106"/>
    </s:row>
    <s:row r="27">
      <s:c r="A27" s="95" t="s">
        <s:v>52</s:v>
      </s:c>
      <s:c r="B27" s="96" t="s">
        <s:v>53</s:v>
      </s:c>
      <s:c r="C27" s="97" t="s">
        <s:v>54</s:v>
      </s:c>
      <s:c r="D27" s="98">
        <s:f>55419+99429</s:f>
        <s:v>154848</s:v>
      </s:c>
      <s:c r="E27" s="108">
        <s:v>26</s:v>
      </s:c>
      <s:c r="F27" s="99">
        <s:f>IF(AND(E27&lt;&gt;"",E27&lt;&gt;0),D27/E27,"")</s:f>
        <s:v>5955.6923076923076</s:v>
      </s:c>
      <s:c r="G27" s="108">
        <s:v>16</s:v>
      </s:c>
      <s:c r="H27" s="99">
        <s:f>IF(AND(G27&lt;&gt;"",G27&lt;&gt;0),D27/G27,"")</s:f>
        <s:v>9678</s:v>
      </s:c>
      <s:c r="I27" s="108">
        <s:v>50</s:v>
      </s:c>
      <s:c r="J27" s="98">
        <s:f>IF(AND(G27&lt;&gt;"",G27&lt;&gt;0),E27/G27,"")</s:f>
        <s:v>1.625</s:v>
      </s:c>
      <s:c r="K27" s="99">
        <s:v>31472</s:v>
      </s:c>
      <s:c r="L27" s="99">
        <s:v>55419</s:v>
      </s:c>
      <s:c r="M27" s="99"/>
      <s:c r="N27" s="100">
        <s:f>IF(AND(I27&lt;&gt;"",I27&lt;&gt;0),G27/I27,"")</s:f>
        <s:v>0.32</s:v>
      </s:c>
      <s:c r="O27" s="101">
        <s:f>D27/P27</s:f>
        <s:v>0.69940155680904159</s:v>
      </s:c>
      <s:c r="P27" s="102">
        <s:f>$I$8*V27*W27/SUMPRODUCT($W$25:$W$55,$V$25:$V$55)</s:f>
        <s:v>221400.70820900149</s:v>
      </s:c>
      <s:c r="Q27" s="103">
        <s:f>$I$9*V27*W27/SUMPRODUCT($W$25:$W$55,$V$25:$V$55)</s:f>
        <s:v>38.437622952951656</s:v>
      </s:c>
      <s:c r="R27" s="103">
        <s:f>IF($I$12="","",Q27/$I$12)</s:f>
        <s:v>20.230327869974555</s:v>
      </s:c>
      <s:c r="S27" s="102">
        <s:f>IF(W27&lt;&gt;"",IF(D27&lt;&gt;"",D27,($I$8-SUM($S$25:S26))*V27*W27/SUMPRODUCT($W27:$W$55,$V27:$V$55)),"")</s:f>
        <s:v>154848</s:v>
      </s:c>
      <s:c r="T27" s="103">
        <s:f>IF(W27&lt;&gt;"",IF(E27&lt;&gt;"",E27,($I$9-SUM($T$25:T26))*V27*W27/SUMPRODUCT($W27:$W$55,$V27:$V$55)),"")</s:f>
        <s:v>26</s:v>
      </s:c>
      <s:c r="U27" s="103">
        <s:f>IF(W27&lt;&gt;"",IF($I$12&lt;&gt;"",IF(G27&lt;&gt;"",G27,($I$9/$I$12-SUM($U$25:U26))*V27*W27/SUMPRODUCT($W27:$W$55,$V27:$V$55)),""),"")</s:f>
        <s:v>16</s:v>
      </s:c>
      <s:c r="V27" s="104">
        <s:v>1.1982013014921034</s:v>
      </s:c>
      <s:c r="W27" s="104">
        <s:v>1.1982013014921034</s:v>
      </s:c>
      <s:c r="X27" s="107"/>
      <s:c r="Y27" s="106"/>
    </s:row>
    <s:row r="28">
      <s:c r="A28" s="95" t="s">
        <s:v>55</s:v>
      </s:c>
      <s:c r="B28" s="96">
        <s:v>45812</s:v>
      </s:c>
      <s:c r="C28" s="97" t="s">
        <s:v>56</s:v>
      </s:c>
      <s:c r="D28" s="98">
        <s:f>23447+21847+21069</s:f>
        <s:v>66363</s:v>
      </s:c>
      <s:c r="E28" s="99">
        <s:v>15</s:v>
      </s:c>
      <s:c r="F28" s="99">
        <s:f>IF(AND(E28&lt;&gt;"",E28&lt;&gt;0),D28/E28,"")</s:f>
        <s:v>4424.2</s:v>
      </s:c>
      <s:c r="G28" s="99">
        <s:v>10</s:v>
      </s:c>
      <s:c r="H28" s="99">
        <s:f>IF(AND(G28&lt;&gt;"",G28&lt;&gt;0),D28/G28,"")</s:f>
        <s:v>6636.3</s:v>
      </s:c>
      <s:c r="I28" s="99">
        <s:v>34</s:v>
      </s:c>
      <s:c r="J28" s="98">
        <s:f>IF(AND(G28&lt;&gt;"",G28&lt;&gt;0),E28/G28,"")</s:f>
        <s:v>1.5</s:v>
      </s:c>
      <s:c r="K28" s="99"/>
      <s:c r="L28" s="99">
        <s:v>21069</s:v>
      </s:c>
      <s:c r="M28" s="99"/>
      <s:c r="N28" s="100">
        <s:f>IF(AND(I28&lt;&gt;"",I28&lt;&gt;0),G28/I28,"")</s:f>
        <s:v>0.29411764705882354</s:v>
      </s:c>
      <s:c r="O28" s="101">
        <s:f>D28/P28</s:f>
        <s:v>0.70575828680045194</s:v>
      </s:c>
      <s:c r="P28" s="102">
        <s:f>$I$8*V28*W28/SUMPRODUCT($W$25:$W$55,$V$25:$V$55)</s:f>
        <s:v>94030.776883762839</s:v>
      </s:c>
      <s:c r="Q28" s="103">
        <s:f>$I$9*V28*W28/SUMPRODUCT($W$25:$W$55,$V$25:$V$55)</s:f>
        <s:v>16.324787653431049</s:v>
      </s:c>
      <s:c r="R28" s="103">
        <s:f>IF($I$12="","",Q28/$I$12)</s:f>
        <s:v>8.5919935018058151</s:v>
      </s:c>
      <s:c r="S28" s="102">
        <s:f>IF(W28&lt;&gt;"",IF(D28&lt;&gt;"",D28,($I$8-SUM($S$25:S27))*V28*W28/SUMPRODUCT($W28:$W$55,$V28:$V$55)),"")</s:f>
        <s:v>66363</s:v>
      </s:c>
      <s:c r="T28" s="103">
        <s:f>IF(W28&lt;&gt;"",IF(E28&lt;&gt;"",E28,($I$9-SUM($T$25:T27))*V28*W28/SUMPRODUCT($W28:$W$55,$V28:$V$55)),"")</s:f>
        <s:v>15</s:v>
      </s:c>
      <s:c r="U28" s="103">
        <s:f>IF(W28&lt;&gt;"",IF($I$12&lt;&gt;"",IF(G28&lt;&gt;"",G28,($I$9/$I$12-SUM($U$25:U27))*V28*W28/SUMPRODUCT($W28:$W$55,$V28:$V$55)),""),"")</s:f>
        <s:v>10</s:v>
      </s:c>
      <s:c r="V28" s="104">
        <s:v>0.78086381145976858</s:v>
      </s:c>
      <s:c r="W28" s="104">
        <s:v>0.78086381145976858</s:v>
      </s:c>
      <s:c r="X28" s="107"/>
      <s:c r="Y28" s="109"/>
    </s:row>
    <s:row r="29" spans="1:255" s="110" customFormat="1">
      <s:c r="A29" s="95" t="s">
        <s:v>57</s:v>
      </s:c>
      <s:c r="B29" s="96">
        <s:v>45813</s:v>
      </s:c>
      <s:c r="C29" s="97" t="s">
        <s:v>58</s:v>
      </s:c>
      <s:c r="D29" s="98">
        <s:f>50430+46966+74930</s:f>
        <s:v>172326</s:v>
      </s:c>
      <s:c r="E29" s="99">
        <s:v>25</s:v>
      </s:c>
      <s:c r="F29" s="99">
        <s:f>IF(AND(E29&lt;&gt;"",E29&lt;&gt;0),D29/E29,"")</s:f>
        <s:v>6893.04</s:v>
      </s:c>
      <s:c r="G29" s="99">
        <s:v>12</s:v>
      </s:c>
      <s:c r="H29" s="99">
        <s:f>IF(AND(G29&lt;&gt;"",G29&lt;&gt;0),D29/G29,"")</s:f>
        <s:v>14360.5</s:v>
      </s:c>
      <s:c r="I29" s="99">
        <s:v>40</s:v>
      </s:c>
      <s:c r="J29" s="98">
        <s:f>IF(AND(G29&lt;&gt;"",G29&lt;&gt;0),E29/G29,"")</s:f>
        <s:v>2.0833333333333335</s:v>
      </s:c>
      <s:c r="K29" s="99"/>
      <s:c r="L29" s="99">
        <s:v>74930</s:v>
      </s:c>
      <s:c r="M29" s="99"/>
      <s:c r="N29" s="100">
        <s:f>IF(AND(I29&lt;&gt;"",I29&lt;&gt;0),G29/I29,"")</s:f>
        <s:v>0.3</s:v>
      </s:c>
      <s:c r="O29" s="101">
        <s:f>D29/P29</s:f>
        <s:v>1.0252547447105651</s:v>
      </s:c>
      <s:c r="P29" s="102">
        <s:f>$I$8*V29*W29/SUMPRODUCT($W$25:$W$55,$V$25:$V$55)</s:f>
        <s:v>168081.15338071276</s:v>
      </s:c>
      <s:c r="Q29" s="103">
        <s:f>$I$9*V29*W29/SUMPRODUCT($W$25:$W$55,$V$25:$V$55)</s:f>
        <s:v>29.18075579526263</s:v>
      </s:c>
      <s:c r="R29" s="103">
        <s:f>IF($I$12="","",Q29/$I$12)</s:f>
        <s:v>15.358292523822438</s:v>
      </s:c>
      <s:c r="S29" s="102">
        <s:f>IF(W29&lt;&gt;"",IF(D29&lt;&gt;"",D29,($I$8-SUM($S$25:S28))*V29*W29/SUMPRODUCT($W29:$W$55,$V29:$V$55)),"")</s:f>
        <s:v>172326</s:v>
      </s:c>
      <s:c r="T29" s="103">
        <s:f>IF(W29&lt;&gt;"",IF(E29&lt;&gt;"",E29,($I$9-SUM($T$25:T28))*V29*W29/SUMPRODUCT($W29:$W$55,$V29:$V$55)),"")</s:f>
        <s:v>25</s:v>
      </s:c>
      <s:c r="U29" s="103">
        <s:f>IF(W29&lt;&gt;"",IF($I$12&lt;&gt;"",IF(G29&lt;&gt;"",G29,($I$9/$I$12-SUM($U$25:U28))*V29*W29/SUMPRODUCT($W29:$W$55,$V29:$V$55)),""),"")</s:f>
        <s:v>12</s:v>
      </s:c>
      <s:c r="V29" s="104">
        <s:v>1.0439983057913622</s:v>
      </s:c>
      <s:c r="W29" s="104">
        <s:v>1.0439983057913622</s:v>
      </s:c>
      <s:c r="X29" s="107"/>
      <s:c r="Y29" s="106"/>
      <s:c r="Z29" s="2"/>
      <s:c r="AA29" s="2"/>
      <s:c r="AB29" s="2"/>
      <s:c r="AC29" s="2"/>
      <s:c r="AD29" s="2"/>
      <s:c r="AE29" s="2"/>
      <s:c r="AF29" s="2"/>
      <s:c r="AG29" s="2"/>
      <s:c r="AH29" s="2"/>
      <s:c r="AI29" s="2"/>
      <s:c r="AJ29" s="2"/>
      <s:c r="AK29" s="2"/>
      <s:c r="AL29" s="2"/>
      <s:c r="AM29" s="2"/>
      <s:c r="AN29" s="2"/>
      <s:c r="AO29" s="2"/>
      <s:c r="AP29" s="2"/>
      <s:c r="AQ29" s="2"/>
      <s:c r="AR29" s="2"/>
      <s:c r="AS29" s="2"/>
      <s:c r="AT29" s="2"/>
      <s:c r="AU29" s="2"/>
      <s:c r="AV29" s="2"/>
      <s:c r="AW29" s="2"/>
      <s:c r="AX29" s="2"/>
      <s:c r="AY29" s="2"/>
      <s:c r="AZ29" s="2"/>
      <s:c r="BA29" s="2"/>
      <s:c r="BB29" s="2"/>
      <s:c r="BC29" s="2"/>
      <s:c r="BD29" s="2"/>
      <s:c r="BE29" s="2"/>
      <s:c r="BF29" s="2"/>
      <s:c r="BG29" s="2"/>
      <s:c r="BH29" s="2"/>
      <s:c r="BI29" s="2"/>
      <s:c r="BJ29" s="2"/>
      <s:c r="BK29" s="2"/>
      <s:c r="BL29" s="2"/>
      <s:c r="BM29" s="2"/>
      <s:c r="BN29" s="2"/>
      <s:c r="BO29" s="2"/>
      <s:c r="BP29" s="2"/>
      <s:c r="BQ29" s="2"/>
      <s:c r="BR29" s="2"/>
      <s:c r="BS29" s="2"/>
      <s:c r="BT29" s="2"/>
      <s:c r="BU29" s="2"/>
      <s:c r="BV29" s="2"/>
      <s:c r="BW29" s="2"/>
      <s:c r="BX29" s="2"/>
      <s:c r="BY29" s="2"/>
      <s:c r="BZ29" s="2"/>
      <s:c r="CA29" s="2"/>
      <s:c r="CB29" s="2"/>
      <s:c r="CC29" s="2"/>
      <s:c r="CD29" s="2"/>
      <s:c r="CE29" s="2"/>
      <s:c r="CF29" s="2"/>
      <s:c r="CG29" s="2"/>
      <s:c r="CH29" s="2"/>
      <s:c r="CI29" s="2"/>
      <s:c r="CJ29" s="2"/>
      <s:c r="CK29" s="2"/>
      <s:c r="CL29" s="2"/>
      <s:c r="CM29" s="2"/>
      <s:c r="CN29" s="2"/>
      <s:c r="CO29" s="2"/>
      <s:c r="CP29" s="2"/>
      <s:c r="CQ29" s="2"/>
      <s:c r="CR29" s="2"/>
      <s:c r="CS29" s="2"/>
      <s:c r="CT29" s="2"/>
      <s:c r="CU29" s="2"/>
      <s:c r="CV29" s="2"/>
      <s:c r="CW29" s="2"/>
      <s:c r="CX29" s="2"/>
      <s:c r="CY29" s="2"/>
      <s:c r="CZ29" s="2"/>
      <s:c r="DA29" s="2"/>
      <s:c r="DB29" s="2"/>
      <s:c r="DC29" s="2"/>
      <s:c r="DD29" s="2"/>
      <s:c r="DE29" s="2"/>
      <s:c r="DF29" s="2"/>
      <s:c r="DG29" s="2"/>
      <s:c r="DH29" s="2"/>
      <s:c r="DI29" s="2"/>
      <s:c r="DJ29" s="2"/>
      <s:c r="DK29" s="2"/>
      <s:c r="DL29" s="2"/>
      <s:c r="DM29" s="2"/>
      <s:c r="DN29" s="2"/>
      <s:c r="DO29" s="2"/>
      <s:c r="DP29" s="2"/>
      <s:c r="DQ29" s="2"/>
      <s:c r="DR29" s="2"/>
      <s:c r="DS29" s="2"/>
      <s:c r="DT29" s="2"/>
      <s:c r="DU29" s="2"/>
      <s:c r="DV29" s="2"/>
      <s:c r="DW29" s="2"/>
      <s:c r="DX29" s="2"/>
      <s:c r="DY29" s="2"/>
      <s:c r="DZ29" s="2"/>
      <s:c r="EA29" s="2"/>
      <s:c r="EB29" s="2"/>
      <s:c r="EC29" s="2"/>
      <s:c r="ED29" s="2"/>
      <s:c r="EE29" s="2"/>
      <s:c r="EF29" s="2"/>
      <s:c r="EG29" s="2"/>
      <s:c r="EH29" s="2"/>
      <s:c r="EI29" s="2"/>
      <s:c r="EJ29" s="2"/>
      <s:c r="EK29" s="2"/>
      <s:c r="EL29" s="2"/>
      <s:c r="EM29" s="2"/>
      <s:c r="EN29" s="2"/>
      <s:c r="EO29" s="2"/>
      <s:c r="EP29" s="2"/>
      <s:c r="EQ29" s="2"/>
      <s:c r="ER29" s="2"/>
      <s:c r="ES29" s="2"/>
      <s:c r="ET29" s="2"/>
      <s:c r="EU29" s="2"/>
      <s:c r="EV29" s="2"/>
      <s:c r="EW29" s="2"/>
      <s:c r="EX29" s="2"/>
      <s:c r="EY29" s="2"/>
      <s:c r="EZ29" s="2"/>
      <s:c r="FA29" s="2"/>
      <s:c r="FB29" s="2"/>
      <s:c r="FC29" s="2"/>
      <s:c r="FD29" s="2"/>
      <s:c r="FE29" s="2"/>
      <s:c r="FF29" s="2"/>
      <s:c r="FG29" s="2"/>
      <s:c r="FH29" s="2"/>
      <s:c r="FI29" s="2"/>
      <s:c r="FJ29" s="2"/>
      <s:c r="FK29" s="2"/>
      <s:c r="FL29" s="2"/>
      <s:c r="FM29" s="2"/>
      <s:c r="FN29" s="2"/>
      <s:c r="FO29" s="2"/>
      <s:c r="FP29" s="2"/>
      <s:c r="FQ29" s="2"/>
      <s:c r="FR29" s="2"/>
      <s:c r="FS29" s="2"/>
      <s:c r="FT29" s="2"/>
      <s:c r="FU29" s="2"/>
      <s:c r="FV29" s="2"/>
      <s:c r="FW29" s="2"/>
      <s:c r="FX29" s="2"/>
      <s:c r="FY29" s="2"/>
      <s:c r="FZ29" s="2"/>
      <s:c r="GA29" s="2"/>
      <s:c r="GB29" s="2"/>
      <s:c r="GC29" s="2"/>
      <s:c r="GD29" s="2"/>
      <s:c r="GE29" s="2"/>
      <s:c r="GF29" s="2"/>
      <s:c r="GG29" s="2"/>
      <s:c r="GH29" s="2"/>
      <s:c r="GI29" s="2"/>
      <s:c r="GJ29" s="2"/>
      <s:c r="GK29" s="2"/>
      <s:c r="GL29" s="2"/>
      <s:c r="GM29" s="2"/>
      <s:c r="GN29" s="2"/>
      <s:c r="GO29" s="2"/>
      <s:c r="GP29" s="2"/>
      <s:c r="GQ29" s="2"/>
      <s:c r="GR29" s="2"/>
      <s:c r="GS29" s="2"/>
      <s:c r="GT29" s="2"/>
      <s:c r="GU29" s="2"/>
      <s:c r="GV29" s="2"/>
      <s:c r="GW29" s="2"/>
      <s:c r="GX29" s="2"/>
      <s:c r="GY29" s="2"/>
      <s:c r="GZ29" s="2"/>
      <s:c r="HA29" s="2"/>
      <s:c r="HB29" s="2"/>
      <s:c r="HC29" s="2"/>
      <s:c r="HD29" s="2"/>
      <s:c r="HE29" s="2"/>
      <s:c r="HF29" s="2"/>
      <s:c r="HG29" s="2"/>
      <s:c r="HH29" s="2"/>
      <s:c r="HI29" s="2"/>
      <s:c r="HJ29" s="2"/>
      <s:c r="HK29" s="2"/>
      <s:c r="HL29" s="2"/>
      <s:c r="HM29" s="2"/>
      <s:c r="HN29" s="2"/>
      <s:c r="HO29" s="2"/>
      <s:c r="HP29" s="2"/>
      <s:c r="HQ29" s="2"/>
      <s:c r="HR29" s="2"/>
      <s:c r="HS29" s="2"/>
      <s:c r="HT29" s="2"/>
      <s:c r="HU29" s="2"/>
      <s:c r="HV29" s="2"/>
      <s:c r="HW29" s="2"/>
      <s:c r="HX29" s="2"/>
      <s:c r="HY29" s="2"/>
      <s:c r="HZ29" s="2"/>
      <s:c r="IA29" s="2"/>
      <s:c r="IB29" s="2"/>
      <s:c r="IC29" s="2"/>
      <s:c r="ID29" s="2"/>
      <s:c r="IE29" s="2"/>
      <s:c r="IF29" s="2"/>
      <s:c r="IG29" s="2"/>
      <s:c r="IH29" s="2"/>
      <s:c r="II29" s="2"/>
      <s:c r="IJ29" s="2"/>
      <s:c r="IK29" s="2"/>
      <s:c r="IL29" s="2"/>
      <s:c r="IM29" s="2"/>
      <s:c r="IN29" s="2"/>
      <s:c r="IO29" s="2"/>
      <s:c r="IP29" s="2"/>
      <s:c r="IQ29" s="2"/>
      <s:c r="IR29" s="2"/>
      <s:c r="IS29" s="2"/>
      <s:c r="IT29" s="2"/>
      <s:c r="IU29" s="2"/>
    </s:row>
    <s:row r="30">
      <s:c r="A30" s="95" t="s">
        <s:v>52</s:v>
      </s:c>
      <s:c r="B30" s="96">
        <s:v>45814</s:v>
      </s:c>
      <s:c r="C30" s="97" t="s">
        <s:v>59</s:v>
      </s:c>
      <s:c r="D30" s="98">
        <s:f>18320+11992+6204+32400</s:f>
        <s:v>68916</s:v>
      </s:c>
      <s:c r="E30" s="99">
        <s:v>16</s:v>
      </s:c>
      <s:c r="F30" s="99">
        <s:f>IF(AND(E30&lt;&gt;"",E30&lt;&gt;0),D30/E30,"")</s:f>
        <s:v>4307.25</s:v>
      </s:c>
      <s:c r="G30" s="99">
        <s:v>11</s:v>
      </s:c>
      <s:c r="H30" s="99">
        <s:f>IF(AND(G30&lt;&gt;"",G30&lt;&gt;0),D30/G30,"")</s:f>
        <s:v>6265.090909090909</s:v>
      </s:c>
      <s:c r="I30" s="99">
        <s:v>60</s:v>
      </s:c>
      <s:c r="J30" s="98">
        <s:f>IF(AND(G30&lt;&gt;"",G30&lt;&gt;0),E30/G30,"")</s:f>
        <s:v>1.4545454545454546</s:v>
      </s:c>
      <s:c r="K30" s="99">
        <s:v>11992</s:v>
      </s:c>
      <s:c r="L30" s="99">
        <s:v>6204</s:v>
      </s:c>
      <s:c r="M30" s="99"/>
      <s:c r="N30" s="100">
        <s:f>IF(AND(I30&lt;&gt;"",I30&lt;&gt;0),G30/I30,"")</s:f>
        <s:v>0.18333333333333332</s:v>
      </s:c>
      <s:c r="O30" s="101">
        <s:f>D30/P30</s:f>
        <s:v>0.7329089717634818</s:v>
      </s:c>
      <s:c r="P30" s="102">
        <s:f>$I$8*V30*W30/SUMPRODUCT($W$25:$W$55,$V$25:$V$55)</s:f>
        <s:v>94030.776883762839</s:v>
      </s:c>
      <s:c r="Q30" s="103">
        <s:f>$I$9*V30*W30/SUMPRODUCT($W$25:$W$55,$V$25:$V$55)</s:f>
        <s:v>16.324787653431049</s:v>
      </s:c>
      <s:c r="R30" s="103">
        <s:f>IF($I$12="","",Q30/$I$12)</s:f>
        <s:v>8.5919935018058151</s:v>
      </s:c>
      <s:c r="S30" s="102">
        <s:f>IF(W30&lt;&gt;"",IF(D30&lt;&gt;"",D30,($I$8-SUM($S$25:S29))*V30*W30/SUMPRODUCT($W30:$W$55,$V30:$V$55)),"")</s:f>
        <s:v>68916</s:v>
      </s:c>
      <s:c r="T30" s="103">
        <s:f>IF(W30&lt;&gt;"",IF(E30&lt;&gt;"",E30,($I$9-SUM($T$25:T29))*V30*W30/SUMPRODUCT($W30:$W$55,$V30:$V$55)),"")</s:f>
        <s:v>16</s:v>
      </s:c>
      <s:c r="U30" s="103">
        <s:f>IF(W30&lt;&gt;"",IF($I$12&lt;&gt;"",IF(G30&lt;&gt;"",G30,($I$9/$I$12-SUM($U$25:U29))*V30*W30/SUMPRODUCT($W30:$W$55,$V30:$V$55)),""),"")</s:f>
        <s:v>11</s:v>
      </s:c>
      <s:c r="V30" s="104">
        <s:v>0.78086381145976858</s:v>
      </s:c>
      <s:c r="W30" s="104">
        <s:v>0.78086381145976858</s:v>
      </s:c>
      <s:c r="X30" s="107"/>
      <s:c r="Y30" s="106"/>
    </s:row>
    <s:row r="31">
      <s:c r="A31" s="95" t="s">
        <s:v>52</s:v>
      </s:c>
      <s:c r="B31" s="96">
        <s:v>45815</s:v>
      </s:c>
      <s:c r="C31" s="97" t="s">
        <s:v>60</s:v>
      </s:c>
      <s:c r="D31" s="98">
        <s:f>27440+37721+7007+24012+28706</s:f>
        <s:v>124886</s:v>
      </s:c>
      <s:c r="E31" s="99">
        <s:v>23</s:v>
      </s:c>
      <s:c r="F31" s="99">
        <s:f>IF(AND(E31&lt;&gt;"",E31&lt;&gt;0),D31/E31,"")</s:f>
        <s:v>5429.826086956522</s:v>
      </s:c>
      <s:c r="G31" s="99">
        <s:v>12</s:v>
      </s:c>
      <s:c r="H31" s="99">
        <s:f>IF(AND(G31&lt;&gt;"",G31&lt;&gt;0),D31/G31,"")</s:f>
        <s:v>10407.166666666666</s:v>
      </s:c>
      <s:c r="I31" s="99">
        <s:v>60</s:v>
      </s:c>
      <s:c r="J31" s="98">
        <s:f>IF(AND(G31&lt;&gt;"",G31&lt;&gt;0),E31/G31,"")</s:f>
        <s:v>1.9166666666666667</s:v>
      </s:c>
      <s:c r="K31" s="99">
        <s:v>24012</s:v>
      </s:c>
      <s:c r="L31" s="99">
        <s:v>28706</s:v>
      </s:c>
      <s:c r="M31" s="99"/>
      <s:c r="N31" s="100">
        <s:f>IF(AND(I31&lt;&gt;"",I31&lt;&gt;0),G31/I31,"")</s:f>
        <s:v>0.2</s:v>
      </s:c>
      <s:c r="O31" s="101">
        <s:f>D31/P31</s:f>
        <s:v>1.2210767795292794</s:v>
      </s:c>
      <s:c r="P31" s="102">
        <s:f>$I$8*V31*W31/SUMPRODUCT($W$25:$W$55,$V$25:$V$55)</s:f>
        <s:v>102275.30495514222</s:v>
      </s:c>
      <s:c r="Q31" s="103">
        <s:f>$I$9*V31*W31/SUMPRODUCT($W$25:$W$55,$V$25:$V$55)</s:f>
        <s:v>17.756129332489969</s:v>
      </s:c>
      <s:c r="R31" s="103">
        <s:f>IF($I$12="","",Q31/$I$12)</s:f>
        <s:v>9.3453312276262999</s:v>
      </s:c>
      <s:c r="S31" s="102">
        <s:f>IF(W31&lt;&gt;"",IF(D31&lt;&gt;"",D31,($I$8-SUM($S$25:S30))*V31*W31/SUMPRODUCT($W31:$W$55,$V31:$V$55)),"")</s:f>
        <s:v>124886</s:v>
      </s:c>
      <s:c r="T31" s="103">
        <s:f>IF(W31&lt;&gt;"",IF(E31&lt;&gt;"",E31,($I$9-SUM($T$25:T30))*V31*W31/SUMPRODUCT($W31:$W$55,$V31:$V$55)),"")</s:f>
        <s:v>23</s:v>
      </s:c>
      <s:c r="U31" s="103">
        <s:f>IF(W31&lt;&gt;"",IF($I$12&lt;&gt;"",IF(G31&lt;&gt;"",G31,($I$9/$I$12-SUM($U$25:U30))*V31*W31/SUMPRODUCT($W31:$W$55,$V31:$V$55)),""),"")</s:f>
        <s:v>12</s:v>
      </s:c>
      <s:c r="V31" s="104">
        <s:v>0.81437733010747548</s:v>
      </s:c>
      <s:c r="W31" s="104">
        <s:v>0.81437733010747548</s:v>
      </s:c>
      <s:c r="X31" s="107"/>
      <s:c r="Y31" s="106"/>
    </s:row>
    <s:row r="32">
      <s:c r="A32" s="95" t="s">
        <s:v>57</s:v>
      </s:c>
      <s:c r="B32" s="96">
        <s:v>45816</s:v>
      </s:c>
      <s:c r="C32" s="97" t="s">
        <s:v>49</s:v>
      </s:c>
      <s:c r="D32" s="98">
        <s:f>71706+39403+30909</s:f>
        <s:v>142018</s:v>
      </s:c>
      <s:c r="E32" s="99">
        <s:v>30</s:v>
      </s:c>
      <s:c r="F32" s="99">
        <s:f>IF(AND(E32&lt;&gt;"",E32&lt;&gt;0),D32/E32,"")</s:f>
        <s:v>4733.9333333333334</s:v>
      </s:c>
      <s:c r="G32" s="99">
        <s:v>18</s:v>
      </s:c>
      <s:c r="H32" s="99">
        <s:f>IF(AND(G32&lt;&gt;"",G32&lt;&gt;0),D32/G32,"")</s:f>
        <s:v>7889.8888888888887</s:v>
      </s:c>
      <s:c r="I32" s="99">
        <s:v>70</s:v>
      </s:c>
      <s:c r="J32" s="98">
        <s:f>IF(AND(G32&lt;&gt;"",G32&lt;&gt;0),E32/G32,"")</s:f>
        <s:v>1.6666666666666667</s:v>
      </s:c>
      <s:c r="K32" s="99"/>
      <s:c r="L32" s="99">
        <s:v>30909</s:v>
      </s:c>
      <s:c r="M32" s="99"/>
      <s:c r="N32" s="100">
        <s:f>IF(AND(I32&lt;&gt;"",I32&lt;&gt;0),G32/I32,"")</s:f>
        <s:v>0.25714285714285712</s:v>
      </s:c>
      <s:c r="O32" s="101">
        <s:f>D32/P32</s:f>
        <s:v>1.3885854465287477</s:v>
      </s:c>
      <s:c r="P32" s="102">
        <s:f>$I$8*V32*W32/SUMPRODUCT($W$25:$W$55,$V$25:$V$55)</s:f>
        <s:v>102275.30495514222</s:v>
      </s:c>
      <s:c r="Q32" s="103">
        <s:f>$I$9*V32*W32/SUMPRODUCT($W$25:$W$55,$V$25:$V$55)</s:f>
        <s:v>17.756129332489969</s:v>
      </s:c>
      <s:c r="R32" s="103">
        <s:f>IF($I$12="","",Q32/$I$12)</s:f>
        <s:v>9.3453312276262999</s:v>
      </s:c>
      <s:c r="S32" s="102">
        <s:f>IF(W32&lt;&gt;"",IF(D32&lt;&gt;"",D32,($I$8-SUM($S$25:S31))*V32*W32/SUMPRODUCT($W32:$W$55,$V32:$V$55)),"")</s:f>
        <s:v>142018</s:v>
      </s:c>
      <s:c r="T32" s="103">
        <s:f>IF(W32&lt;&gt;"",IF(E32&lt;&gt;"",E32,($I$9-SUM($T$25:T31))*V32*W32/SUMPRODUCT($W32:$W$55,$V32:$V$55)),"")</s:f>
        <s:v>30</s:v>
      </s:c>
      <s:c r="U32" s="103">
        <s:f>IF(W32&lt;&gt;"",IF($I$12&lt;&gt;"",IF(G32&lt;&gt;"",G32,($I$9/$I$12-SUM($U$25:U31))*V32*W32/SUMPRODUCT($W32:$W$55,$V32:$V$55)),""),"")</s:f>
        <s:v>18</s:v>
      </s:c>
      <s:c r="V32" s="104">
        <s:v>0.81437733010747548</s:v>
      </s:c>
      <s:c r="W32" s="104">
        <s:v>0.81437733010747548</s:v>
      </s:c>
      <s:c r="X32" s="107"/>
      <s:c r="Y32" s="106"/>
    </s:row>
    <s:row r="33">
      <s:c r="A33" s="95" t="s">
        <s:v>57</s:v>
      </s:c>
      <s:c r="B33" s="96">
        <s:v>45817</s:v>
      </s:c>
      <s:c r="C33" s="97" t="s">
        <s:v>51</s:v>
      </s:c>
      <s:c r="D33" s="98">
        <s:f>6992+13375+28057</s:f>
        <s:v>48424</s:v>
      </s:c>
      <s:c r="E33" s="99">
        <s:v>10</s:v>
      </s:c>
      <s:c r="F33" s="99">
        <s:f>IF(AND(E33&lt;&gt;"",E33&lt;&gt;0),D33/E33,"")</s:f>
        <s:v>4842.3999999999996</s:v>
      </s:c>
      <s:c r="G33" s="99">
        <s:v>6</s:v>
      </s:c>
      <s:c r="H33" s="99">
        <s:f>IF(AND(G33&lt;&gt;"",G33&lt;&gt;0),D33/G33,"")</s:f>
        <s:v>8070.666666666667</s:v>
      </s:c>
      <s:c r="I33" s="99">
        <s:v>34</s:v>
      </s:c>
      <s:c r="J33" s="98">
        <s:f>IF(AND(G33&lt;&gt;"",G33&lt;&gt;0),E33/G33,"")</s:f>
        <s:v>1.6666666666666667</s:v>
      </s:c>
      <s:c r="K33" s="99">
        <s:v>6992</s:v>
      </s:c>
      <s:c r="L33" s="99"/>
      <s:c r="M33" s="99"/>
      <s:c r="N33" s="100">
        <s:f>IF(AND(I33&lt;&gt;"",I33&lt;&gt;0),G33/I33,"")</s:f>
        <s:v>0.17647058823529413</s:v>
      </s:c>
      <s:c r="O33" s="101">
        <s:f>D33/P33</s:f>
        <s:v>0.47346717784159809</s:v>
      </s:c>
      <s:c r="P33" s="102">
        <s:f>$I$8*V33*W33/SUMPRODUCT($W$25:$W$55,$V$25:$V$55)</s:f>
        <s:v>102275.30495514222</s:v>
      </s:c>
      <s:c r="Q33" s="103">
        <s:f>$I$9*V33*W33/SUMPRODUCT($W$25:$W$55,$V$25:$V$55)</s:f>
        <s:v>17.756129332489969</s:v>
      </s:c>
      <s:c r="R33" s="103">
        <s:f>IF($I$12="","",Q33/$I$12)</s:f>
        <s:v>9.3453312276262999</s:v>
      </s:c>
      <s:c r="S33" s="102">
        <s:f>IF(W33&lt;&gt;"",IF(D33&lt;&gt;"",D33,($I$8-SUM($S$25:S32))*V33*W33/SUMPRODUCT($W33:$W$55,$V33:$V$55)),"")</s:f>
        <s:v>48424</s:v>
      </s:c>
      <s:c r="T33" s="103">
        <s:f>IF(W33&lt;&gt;"",IF(E33&lt;&gt;"",E33,($I$9-SUM($T$25:T32))*V33*W33/SUMPRODUCT($W33:$W$55,$V33:$V$55)),"")</s:f>
        <s:v>10</s:v>
      </s:c>
      <s:c r="U33" s="103">
        <s:f>IF(W33&lt;&gt;"",IF($I$12&lt;&gt;"",IF(G33&lt;&gt;"",G33,($I$9/$I$12-SUM($U$25:U32))*V33*W33/SUMPRODUCT($W33:$W$55,$V33:$V$55)),""),"")</s:f>
        <s:v>6</s:v>
      </s:c>
      <s:c r="V33" s="104">
        <s:v>0.81437733010747548</s:v>
      </s:c>
      <s:c r="W33" s="104">
        <s:v>0.81437733010747548</s:v>
      </s:c>
      <s:c r="X33" s="107"/>
      <s:c r="Y33" s="106"/>
    </s:row>
    <s:row r="34">
      <s:c r="A34" s="95" t="s">
        <s:v>52</s:v>
      </s:c>
      <s:c r="B34" s="96">
        <s:v>45818</s:v>
      </s:c>
      <s:c r="C34" s="97" t="s">
        <s:v>54</s:v>
      </s:c>
      <s:c r="D34" s="98">
        <s:v>67757</s:v>
      </s:c>
      <s:c r="E34" s="99">
        <s:v>16</s:v>
      </s:c>
      <s:c r="F34" s="99">
        <s:f>IF(AND(E34&lt;&gt;"",E34&lt;&gt;0),D34/E34,"")</s:f>
        <s:v>4234.8125</s:v>
      </s:c>
      <s:c r="G34" s="99">
        <s:v>13</s:v>
      </s:c>
      <s:c r="H34" s="99">
        <s:f>IF(AND(G34&lt;&gt;"",G34&lt;&gt;0),D34/G34,"")</s:f>
        <s:v>5212.0769230769229</s:v>
      </s:c>
      <s:c r="I34" s="99">
        <s:v>34</s:v>
      </s:c>
      <s:c r="J34" s="98">
        <s:f>IF(AND(G34&lt;&gt;"",G34&lt;&gt;0),E34/G34,"")</s:f>
        <s:v>1.2307692307692308</s:v>
      </s:c>
      <s:c r="K34" s="99"/>
      <s:c r="L34" s="99"/>
      <s:c r="M34" s="99"/>
      <s:c r="N34" s="100">
        <s:f>IF(AND(I34&lt;&gt;"",I34&lt;&gt;0),G34/I34,"")</s:f>
        <s:v>0.38235294117647056</s:v>
      </s:c>
      <s:c r="O34" s="101">
        <s:f>D34/P34</s:f>
        <s:v>0.43937438776383325</s:v>
      </s:c>
      <s:c r="P34" s="102">
        <s:f>$I$8*V34*W34/SUMPRODUCT($W$25:$W$55,$V$25:$V$55)</s:f>
        <s:v>154212.44816941823</s:v>
      </s:c>
      <s:c r="Q34" s="103">
        <s:f>$I$9*V34*W34/SUMPRODUCT($W$25:$W$55,$V$25:$V$55)</s:f>
        <s:v>26.772994473857331</s:v>
      </s:c>
      <s:c r="R34" s="103">
        <s:f>IF($I$12="","",Q34/$I$12)</s:f>
        <s:v>14.091049723082806</s:v>
      </s:c>
      <s:c r="S34" s="102">
        <s:f>IF(W34&lt;&gt;"",IF(D34&lt;&gt;"",D34,($I$8-SUM($S$25:S33))*V34*W34/SUMPRODUCT($W34:$W$55,$V34:$V$55)),"")</s:f>
        <s:v>67757</s:v>
      </s:c>
      <s:c r="T34" s="103">
        <s:f>IF(W34&lt;&gt;"",IF(E34&lt;&gt;"",E34,($I$9-SUM($T$25:T33))*V34*W34/SUMPRODUCT($W34:$W$55,$V34:$V$55)),"")</s:f>
        <s:v>16</s:v>
      </s:c>
      <s:c r="U34" s="103">
        <s:f>IF(W34&lt;&gt;"",IF($I$12&lt;&gt;"",IF(G34&lt;&gt;"",G34,($I$9/$I$12-SUM($U$25:U33))*V34*W34/SUMPRODUCT($W34:$W$55,$V34:$V$55)),""),"")</s:f>
        <s:v>13</s:v>
      </s:c>
      <s:c r="V34" s="104">
        <s:v>1</s:v>
      </s:c>
      <s:c r="W34" s="104">
        <s:v>1</s:v>
      </s:c>
      <s:c r="X34" s="107"/>
      <s:c r="Y34" s="106"/>
    </s:row>
    <s:row r="35">
      <s:c r="A35" s="95" t="s">
        <s:v>52</s:v>
      </s:c>
      <s:c r="B35" s="96">
        <s:v>45819</s:v>
      </s:c>
      <s:c r="C35" s="97" t="s">
        <s:v>56</s:v>
      </s:c>
      <s:c r="D35" s="98">
        <s:v>73975</s:v>
      </s:c>
      <s:c r="E35" s="99">
        <s:v>15</s:v>
      </s:c>
      <s:c r="F35" s="99">
        <s:f>IF(AND(E35&lt;&gt;"",E35&lt;&gt;0),D35/E35,"")</s:f>
        <s:v>4931.666666666667</s:v>
      </s:c>
      <s:c r="G35" s="99">
        <s:v>5</s:v>
      </s:c>
      <s:c r="H35" s="99">
        <s:f>IF(AND(G35&lt;&gt;"",G35&lt;&gt;0),D35/G35,"")</s:f>
        <s:v>14795</s:v>
      </s:c>
      <s:c r="I35" s="99">
        <s:v>22</s:v>
      </s:c>
      <s:c r="J35" s="98">
        <s:f>IF(AND(G35&lt;&gt;"",G35&lt;&gt;0),E35/G35,"")</s:f>
        <s:v>3</s:v>
      </s:c>
      <s:c r="K35" s="99"/>
      <s:c r="L35" s="99"/>
      <s:c r="M35" s="99"/>
      <s:c r="N35" s="100">
        <s:f>IF(AND(I35&lt;&gt;"",I35&lt;&gt;0),G35/I35,"")</s:f>
        <s:v>0.22727272727272727</s:v>
      </s:c>
      <s:c r="O35" s="101">
        <s:f>D35/P35</s:f>
        <s:v>0.66393825185961586</s:v>
      </s:c>
      <s:c r="P35" s="102">
        <s:f>$I$8*V35*W35/SUMPRODUCT($W$25:$W$55,$V$25:$V$55)</s:f>
        <s:v>111418.49380240467</s:v>
      </s:c>
      <s:c r="Q35" s="103">
        <s:f>$I$9*V35*W35/SUMPRODUCT($W$25:$W$55,$V$25:$V$55)</s:f>
        <s:v>19.343488507361918</s:v>
      </s:c>
      <s:c r="R35" s="103">
        <s:f>IF($I$12="","",Q35/$I$12)</s:f>
        <s:v>10.180783424927325</s:v>
      </s:c>
      <s:c r="S35" s="102">
        <s:f>IF(W35&lt;&gt;"",IF(D35&lt;&gt;"",D35,($I$8-SUM($S$25:S34))*V35*W35/SUMPRODUCT($W35:$W$55,$V35:$V$55)),"")</s:f>
        <s:v>73975</s:v>
      </s:c>
      <s:c r="T35" s="103">
        <s:f>IF(W35&lt;&gt;"",IF(E35&lt;&gt;"",E35,($I$9-SUM($T$25:T34))*V35*W35/SUMPRODUCT($W35:$W$55,$V35:$V$55)),"")</s:f>
        <s:v>15</s:v>
      </s:c>
      <s:c r="U35" s="103">
        <s:f>IF(W35&lt;&gt;"",IF($I$12&lt;&gt;"",IF(G35&lt;&gt;"",G35,($I$9/$I$12-SUM($U$25:U34))*V35*W35/SUMPRODUCT($W35:$W$55,$V35:$V$55)),""),"")</s:f>
        <s:v>5</s:v>
      </s:c>
      <s:c r="V35" s="104">
        <s:v>0.85</s:v>
      </s:c>
      <s:c r="W35" s="104">
        <s:v>0.85</s:v>
      </s:c>
      <s:c r="X35" s="107"/>
      <s:c r="Y35" s="106"/>
    </s:row>
    <s:row r="36">
      <s:c r="A36" s="95" t="s">
        <s:v>57</s:v>
      </s:c>
      <s:c r="B36" s="96">
        <s:v>45820</s:v>
      </s:c>
      <s:c r="C36" s="97" t="s">
        <s:v>58</s:v>
      </s:c>
      <s:c r="D36" s="98">
        <s:f>11977+23406+72879</s:f>
        <s:v>108262</s:v>
      </s:c>
      <s:c r="E36" s="99">
        <s:v>20</s:v>
      </s:c>
      <s:c r="F36" s="99">
        <s:f>IF(AND(E36&lt;&gt;"",E36&lt;&gt;0),D36/E36,"")</s:f>
        <s:v>5413.1</s:v>
      </s:c>
      <s:c r="G36" s="99">
        <s:v>11</s:v>
      </s:c>
      <s:c r="H36" s="99">
        <s:f>IF(AND(G36&lt;&gt;"",G36&lt;&gt;0),D36/G36,"")</s:f>
        <s:v>9842</s:v>
      </s:c>
      <s:c r="I36" s="99">
        <s:v>60</s:v>
      </s:c>
      <s:c r="J36" s="98">
        <s:f>IF(AND(G36&lt;&gt;"",G36&lt;&gt;0),E36/G36,"")</s:f>
        <s:v>1.8181818181818181</s:v>
      </s:c>
      <s:c r="K36" s="99"/>
      <s:c r="L36" s="99">
        <s:v>23406</s:v>
      </s:c>
      <s:c r="M36" s="99"/>
      <s:c r="N36" s="100">
        <s:f>IF(AND(I36&lt;&gt;"",I36&lt;&gt;0),G36/I36,"")</s:f>
        <s:v>0.18333333333333332</s:v>
      </s:c>
      <s:c r="O36" s="101">
        <s:f>D36/P36</s:f>
        <s:v>0.97166992933863783</s:v>
      </s:c>
      <s:c r="P36" s="102">
        <s:f>$I$8*V36*W36/SUMPRODUCT($W$25:$W$55,$V$25:$V$55)</s:f>
        <s:v>111418.49380240467</s:v>
      </s:c>
      <s:c r="Q36" s="103">
        <s:f>$I$9*V36*W36/SUMPRODUCT($W$25:$W$55,$V$25:$V$55)</s:f>
        <s:v>19.343488507361918</s:v>
      </s:c>
      <s:c r="R36" s="103">
        <s:f>IF($I$12="","",Q36/$I$12)</s:f>
        <s:v>10.180783424927325</s:v>
      </s:c>
      <s:c r="S36" s="102">
        <s:f>IF(W36&lt;&gt;"",IF(D36&lt;&gt;"",D36,($I$8-SUM($S$25:S35))*V36*W36/SUMPRODUCT($W36:$W$55,$V36:$V$55)),"")</s:f>
        <s:v>108262</s:v>
      </s:c>
      <s:c r="T36" s="103">
        <s:f>IF(W36&lt;&gt;"",IF(E36&lt;&gt;"",E36,($I$9-SUM($T$25:T35))*V36*W36/SUMPRODUCT($W36:$W$55,$V36:$V$55)),"")</s:f>
        <s:v>20</s:v>
      </s:c>
      <s:c r="U36" s="103">
        <s:f>IF(W36&lt;&gt;"",IF($I$12&lt;&gt;"",IF(G36&lt;&gt;"",G36,($I$9/$I$12-SUM($U$25:U35))*V36*W36/SUMPRODUCT($W36:$W$55,$V36:$V$55)),""),"")</s:f>
        <s:v>11</s:v>
      </s:c>
      <s:c r="V36" s="104">
        <s:v>0.85</s:v>
      </s:c>
      <s:c r="W36" s="104">
        <s:v>0.85</s:v>
      </s:c>
      <s:c r="X36" s="107"/>
      <s:c r="Y36" s="106"/>
    </s:row>
    <s:row r="37" spans="1:26" ht="15.25" customHeight="1">
      <s:c r="A37" s="95" t="s">
        <s:v>55</s:v>
      </s:c>
      <s:c r="B37" s="96">
        <s:v>45821</s:v>
      </s:c>
      <s:c r="C37" s="97" t="s">
        <s:v>59</s:v>
      </s:c>
      <s:c r="D37" s="98">
        <s:f>58494+61275+30327+4092</s:f>
        <s:v>154188</s:v>
      </s:c>
      <s:c r="E37" s="99">
        <s:v>32</s:v>
      </s:c>
      <s:c r="F37" s="99">
        <s:f>IF(AND(E37&lt;&gt;"",E37&lt;&gt;0),D37/E37,"")</s:f>
        <s:v>4818.375</s:v>
      </s:c>
      <s:c r="G37" s="99">
        <s:v>12</s:v>
      </s:c>
      <s:c r="H37" s="99">
        <s:f>IF(AND(G37&lt;&gt;"",G37&lt;&gt;0),D37/G37,"")</s:f>
        <s:v>12849</s:v>
      </s:c>
      <s:c r="I37" s="99">
        <s:v>100</s:v>
      </s:c>
      <s:c r="J37" s="98">
        <s:f>IF(AND(G37&lt;&gt;"",G37&lt;&gt;0),E37/G37,"")</s:f>
        <s:v>2.6666666666666665</s:v>
      </s:c>
      <s:c r="K37" s="99">
        <s:v>4092</s:v>
      </s:c>
      <s:c r="L37" s="99">
        <s:v>30327</s:v>
      </s:c>
      <s:c r="M37" s="99"/>
      <s:c r="N37" s="100">
        <s:f>IF(AND(I37&lt;&gt;"",I37&lt;&gt;0),G37/I37,"")</s:f>
        <s:v>0.12</s:v>
      </s:c>
      <s:c r="O37" s="101">
        <s:f>D37/P37</s:f>
        <s:v>1.3838636184890902</s:v>
      </s:c>
      <s:c r="P37" s="102">
        <s:f>$I$8*V37*W37/SUMPRODUCT($W$25:$W$55,$V$25:$V$55)</s:f>
        <s:v>111418.49380240467</s:v>
      </s:c>
      <s:c r="Q37" s="103">
        <s:f>$I$9*V37*W37/SUMPRODUCT($W$25:$W$55,$V$25:$V$55)</s:f>
        <s:v>19.343488507361918</s:v>
      </s:c>
      <s:c r="R37" s="103">
        <s:f>IF($I$12="","",Q37/$I$12)</s:f>
        <s:v>10.180783424927325</s:v>
      </s:c>
      <s:c r="S37" s="102">
        <s:f>IF(W37&lt;&gt;"",IF(D37&lt;&gt;"",D37,($I$8-SUM($S$25:S36))*V37*W37/SUMPRODUCT($W37:$W$55,$V37:$V$55)),"")</s:f>
        <s:v>154188</s:v>
      </s:c>
      <s:c r="T37" s="103">
        <s:f>IF(W37&lt;&gt;"",IF(E37&lt;&gt;"",E37,($I$9-SUM($T$25:T36))*V37*W37/SUMPRODUCT($W37:$W$55,$V37:$V$55)),"")</s:f>
        <s:v>32</s:v>
      </s:c>
      <s:c r="U37" s="103">
        <s:f>IF(W37&lt;&gt;"",IF($I$12&lt;&gt;"",IF(G37&lt;&gt;"",G37,($I$9/$I$12-SUM($U$25:U36))*V37*W37/SUMPRODUCT($W37:$W$55,$V37:$V$55)),""),"")</s:f>
        <s:v>12</s:v>
      </s:c>
      <s:c r="V37" s="104">
        <s:v>0.85</s:v>
      </s:c>
      <s:c r="W37" s="104">
        <s:v>0.85</s:v>
      </s:c>
      <s:c r="X37" s="107"/>
      <s:c r="Y37" s="106"/>
    </s:row>
    <s:row r="38">
      <s:c r="A38" s="95" t="s">
        <s:v>52</s:v>
      </s:c>
      <s:c r="B38" s="96">
        <s:v>45822</s:v>
      </s:c>
      <s:c r="C38" s="97" t="s">
        <s:v>60</s:v>
      </s:c>
      <s:c r="D38" s="98">
        <s:f>45393+7503+70459+8993</s:f>
        <s:v>132348</s:v>
      </s:c>
      <s:c r="E38" s="99">
        <s:v>29</s:v>
      </s:c>
      <s:c r="F38" s="99">
        <s:f>IF(AND(E38&lt;&gt;"",E38&lt;&gt;0),D38/E38,"")</s:f>
        <s:v>4563.7241379310344</s:v>
      </s:c>
      <s:c r="G38" s="99">
        <s:v>16</s:v>
      </s:c>
      <s:c r="H38" s="99">
        <s:f>IF(AND(G38&lt;&gt;"",G38&lt;&gt;0),D38/G38,"")</s:f>
        <s:v>8271.75</s:v>
      </s:c>
      <s:c r="I38" s="99">
        <s:v>60</s:v>
      </s:c>
      <s:c r="J38" s="98">
        <s:f>IF(AND(G38&lt;&gt;"",G38&lt;&gt;0),E38/G38,"")</s:f>
        <s:v>1.8125</s:v>
      </s:c>
      <s:c r="K38" s="99">
        <s:v>8993</s:v>
      </s:c>
      <s:c r="L38" s="99">
        <s:v>7503</s:v>
      </s:c>
      <s:c r="M38" s="99"/>
      <s:c r="N38" s="100">
        <s:f>IF(AND(I38&lt;&gt;"",I38&lt;&gt;0),G38/I38,"")</s:f>
        <s:v>0.26666666666666666</s:v>
      </s:c>
      <s:c r="O38" s="101">
        <s:f>D38/P38</s:f>
        <s:v>1.1878458905997491</s:v>
      </s:c>
      <s:c r="P38" s="102">
        <s:f>$I$8*V38*W38/SUMPRODUCT($W$25:$W$55,$V$25:$V$55)</s:f>
        <s:v>111418.49380240467</s:v>
      </s:c>
      <s:c r="Q38" s="103">
        <s:f>$I$9*V38*W38/SUMPRODUCT($W$25:$W$55,$V$25:$V$55)</s:f>
        <s:v>19.343488507361918</s:v>
      </s:c>
      <s:c r="R38" s="103">
        <s:f>IF($I$12="","",Q38/$I$12)</s:f>
        <s:v>10.180783424927325</s:v>
      </s:c>
      <s:c r="S38" s="102">
        <s:f>IF(W38&lt;&gt;"",IF(D38&lt;&gt;"",D38,($I$8-SUM($S$25:S37))*V38*W38/SUMPRODUCT($W38:$W$55,$V38:$V$55)),"")</s:f>
        <s:v>132348</s:v>
      </s:c>
      <s:c r="T38" s="103">
        <s:f>IF(W38&lt;&gt;"",IF(E38&lt;&gt;"",E38,($I$9-SUM($T$25:T37))*V38*W38/SUMPRODUCT($W38:$W$55,$V38:$V$55)),"")</s:f>
        <s:v>29</s:v>
      </s:c>
      <s:c r="U38" s="103">
        <s:f>IF(W38&lt;&gt;"",IF($I$12&lt;&gt;"",IF(G38&lt;&gt;"",G38,($I$9/$I$12-SUM($U$25:U37))*V38*W38/SUMPRODUCT($W38:$W$55,$V38:$V$55)),""),"")</s:f>
        <s:v>16</s:v>
      </s:c>
      <s:c r="V38" s="104">
        <s:v>0.85</s:v>
      </s:c>
      <s:c r="W38" s="104">
        <s:v>0.85</s:v>
      </s:c>
      <s:c r="X38" s="107"/>
      <s:c r="Y38" s="106"/>
    </s:row>
    <s:row r="39">
      <s:c r="A39" s="95" t="s">
        <s:v>57</s:v>
      </s:c>
      <s:c r="B39" s="96">
        <s:v>45823</s:v>
      </s:c>
      <s:c r="C39" s="97" t="s">
        <s:v>49</s:v>
      </s:c>
      <s:c r="D39" s="98">
        <s:f>21526+4092+36910+40831</s:f>
        <s:v>103359</s:v>
      </s:c>
      <s:c r="E39" s="99">
        <s:v>23</s:v>
      </s:c>
      <s:c r="F39" s="99">
        <s:f>IF(AND(E39&lt;&gt;"",E39&lt;&gt;0),D39/E39,"")</s:f>
        <s:v>4493.869565217391</s:v>
      </s:c>
      <s:c r="G39" s="99">
        <s:v>13</s:v>
      </s:c>
      <s:c r="H39" s="99">
        <s:f>IF(AND(G39&lt;&gt;"",G39&lt;&gt;0),D39/G39,"")</s:f>
        <s:v>7950.6923076923076</s:v>
      </s:c>
      <s:c r="I39" s="99">
        <s:v>50</s:v>
      </s:c>
      <s:c r="J39" s="98">
        <s:f>IF(AND(G39&lt;&gt;"",G39&lt;&gt;0),E39/G39,"")</s:f>
        <s:v>1.7692307692307692</s:v>
      </s:c>
      <s:c r="K39" s="99">
        <s:v>4092</s:v>
      </s:c>
      <s:c r="L39" s="99">
        <s:v>21526</s:v>
      </s:c>
      <s:c r="M39" s="99"/>
      <s:c r="N39" s="100">
        <s:f>IF(AND(I39&lt;&gt;"",I39&lt;&gt;0),G39/I39,"")</s:f>
        <s:v>0.26</s:v>
      </s:c>
      <s:c r="O39" s="101">
        <s:f>D39/P39</s:f>
        <s:v>0.92766466744113596</s:v>
      </s:c>
      <s:c r="P39" s="102">
        <s:f>$I$8*V39*W39/SUMPRODUCT($W$25:$W$55,$V$25:$V$55)</s:f>
        <s:v>111418.49380240467</s:v>
      </s:c>
      <s:c r="Q39" s="103">
        <s:f>$I$9*V39*W39/SUMPRODUCT($W$25:$W$55,$V$25:$V$55)</s:f>
        <s:v>19.343488507361918</s:v>
      </s:c>
      <s:c r="R39" s="103">
        <s:f>IF($I$12="","",Q39/$I$12)</s:f>
        <s:v>10.180783424927325</s:v>
      </s:c>
      <s:c r="S39" s="102">
        <s:f>IF(W39&lt;&gt;"",IF(D39&lt;&gt;"",D39,($I$8-SUM($S$25:S38))*V39*W39/SUMPRODUCT($W39:$W$55,$V39:$V$55)),"")</s:f>
        <s:v>103359</s:v>
      </s:c>
      <s:c r="T39" s="103">
        <s:f>IF(W39&lt;&gt;"",IF(E39&lt;&gt;"",E39,($I$9-SUM($T$25:T38))*V39*W39/SUMPRODUCT($W39:$W$55,$V39:$V$55)),"")</s:f>
        <s:v>23</s:v>
      </s:c>
      <s:c r="U39" s="103">
        <s:f>IF(W39&lt;&gt;"",IF($I$12&lt;&gt;"",IF(G39&lt;&gt;"",G39,($I$9/$I$12-SUM($U$25:U38))*V39*W39/SUMPRODUCT($W39:$W$55,$V39:$V$55)),""),"")</s:f>
        <s:v>13</s:v>
      </s:c>
      <s:c r="V39" s="104">
        <s:v>0.85</s:v>
      </s:c>
      <s:c r="W39" s="104">
        <s:v>0.85</s:v>
      </s:c>
      <s:c r="X39" s="107"/>
      <s:c r="Y39" s="106"/>
    </s:row>
    <s:row r="40">
      <s:c r="A40" s="95" t="s">
        <s:v>55</s:v>
      </s:c>
      <s:c r="B40" s="96">
        <s:v>45824</s:v>
      </s:c>
      <s:c r="C40" s="97" t="s">
        <s:v>51</s:v>
      </s:c>
      <s:c r="D40" s="98">
        <s:f>18503+7993+4893</s:f>
        <s:v>31389</s:v>
      </s:c>
      <s:c r="E40" s="99">
        <s:v>3</s:v>
      </s:c>
      <s:c r="F40" s="99">
        <s:f>IF(AND(E40&lt;&gt;"",E40&lt;&gt;0),D40/E40,"")</s:f>
        <s:v>10463</s:v>
      </s:c>
      <s:c r="G40" s="99">
        <s:v>3</s:v>
      </s:c>
      <s:c r="H40" s="99">
        <s:f>IF(AND(G40&lt;&gt;"",G40&lt;&gt;0),D40/G40,"")</s:f>
        <s:v>10463</s:v>
      </s:c>
      <s:c r="I40" s="99">
        <s:v>32</s:v>
      </s:c>
      <s:c r="J40" s="98">
        <s:f>IF(AND(G40&lt;&gt;"",G40&lt;&gt;0),E40/G40,"")</s:f>
        <s:v>1</s:v>
      </s:c>
      <s:c r="K40" s="99"/>
      <s:c r="L40" s="99">
        <s:v>18503</s:v>
      </s:c>
      <s:c r="M40" s="99"/>
      <s:c r="N40" s="100">
        <s:f>IF(AND(I40&lt;&gt;"",I40&lt;&gt;0),G40/I40,"")</s:f>
        <s:v>9.375E-2</s:v>
      </s:c>
      <s:c r="O40" s="101">
        <s:f>D40/P40</s:f>
        <s:v>0.20354387971012533</s:v>
      </s:c>
      <s:c r="P40" s="102">
        <s:f>$I$8*V40*W40/SUMPRODUCT($W$25:$W$55,$V$25:$V$55)</s:f>
        <s:v>154212.44816941823</s:v>
      </s:c>
      <s:c r="Q40" s="103">
        <s:f>$I$9*V40*W40/SUMPRODUCT($W$25:$W$55,$V$25:$V$55)</s:f>
        <s:v>26.772994473857331</s:v>
      </s:c>
      <s:c r="R40" s="103">
        <s:f>IF($I$12="","",Q40/$I$12)</s:f>
        <s:v>14.091049723082806</s:v>
      </s:c>
      <s:c r="S40" s="102">
        <s:f>IF(W40&lt;&gt;"",IF(D40&lt;&gt;"",D40,($I$8-SUM($S$25:S39))*V40*W40/SUMPRODUCT($W40:$W$55,$V40:$V$55)),"")</s:f>
        <s:v>31389</s:v>
      </s:c>
      <s:c r="T40" s="103">
        <s:f>IF(W40&lt;&gt;"",IF(E40&lt;&gt;"",E40,($I$9-SUM($T$25:T39))*V40*W40/SUMPRODUCT($W40:$W$55,$V40:$V$55)),"")</s:f>
        <s:v>3</s:v>
      </s:c>
      <s:c r="U40" s="103">
        <s:f>IF(W40&lt;&gt;"",IF($I$12&lt;&gt;"",IF(G40&lt;&gt;"",G40,($I$9/$I$12-SUM($U$25:U39))*V40*W40/SUMPRODUCT($W40:$W$55,$V40:$V$55)),""),"")</s:f>
        <s:v>3</s:v>
      </s:c>
      <s:c r="V40" s="104">
        <s:v>1</s:v>
      </s:c>
      <s:c r="W40" s="104">
        <s:v>1</s:v>
      </s:c>
      <s:c r="X40" s="107"/>
      <s:c r="Y40" s="106"/>
    </s:row>
    <s:row r="41">
      <s:c r="A41" s="95" t="s">
        <s:v>52</s:v>
      </s:c>
      <s:c r="B41" s="96">
        <s:v>45825</s:v>
      </s:c>
      <s:c r="C41" s="97" t="s">
        <s:v>54</s:v>
      </s:c>
      <s:c r="D41" s="98">
        <s:v>58057</s:v>
      </s:c>
      <s:c r="E41" s="99">
        <s:v>14</s:v>
      </s:c>
      <s:c r="F41" s="99">
        <s:f>IF(AND(E41&lt;&gt;"",E41&lt;&gt;0),D41/E41,"")</s:f>
        <s:v>4146.9285714285716</s:v>
      </s:c>
      <s:c r="G41" s="99">
        <s:v>7</s:v>
      </s:c>
      <s:c r="H41" s="99">
        <s:f>IF(AND(G41&lt;&gt;"",G41&lt;&gt;0),D41/G41,"")</s:f>
        <s:v>8293.8571428571431</s:v>
      </s:c>
      <s:c r="I41" s="99">
        <s:v>40</s:v>
      </s:c>
      <s:c r="J41" s="98">
        <s:f>IF(AND(G41&lt;&gt;"",G41&lt;&gt;0),E41/G41,"")</s:f>
        <s:v>2</s:v>
      </s:c>
      <s:c r="K41" s="99"/>
      <s:c r="L41" s="99"/>
      <s:c r="M41" s="99"/>
      <s:c r="N41" s="100">
        <s:f>IF(AND(I41&lt;&gt;"",I41&lt;&gt;0),G41/I41,"")</s:f>
        <s:v>0.17499999999999999</s:v>
      </s:c>
      <s:c r="O41" s="101">
        <s:f>D41/P41</s:f>
        <s:v>0.31113565931347598</s:v>
      </s:c>
      <s:c r="P41" s="102">
        <s:f>$I$8*V41*W41/SUMPRODUCT($W$25:$W$55,$V$25:$V$55)</s:f>
        <s:v>186597.06228499609</s:v>
      </s:c>
      <s:c r="Q41" s="103">
        <s:f>$I$9*V41*W41/SUMPRODUCT($W$25:$W$55,$V$25:$V$55)</s:f>
        <s:v>32.395323313367378</s:v>
      </s:c>
      <s:c r="R41" s="103">
        <s:f>IF($I$12="","",Q41/$I$12)</s:f>
        <s:v>17.050170164930201</s:v>
      </s:c>
      <s:c r="S41" s="102">
        <s:f>IF(W41&lt;&gt;"",IF(D41&lt;&gt;"",D41,($I$8-SUM($S$25:S40))*V41*W41/SUMPRODUCT($W41:$W$55,$V41:$V$55)),"")</s:f>
        <s:v>58057</s:v>
      </s:c>
      <s:c r="T41" s="103">
        <s:f>IF(W41&lt;&gt;"",IF(E41&lt;&gt;"",E41,($I$9-SUM($T$25:T40))*V41*W41/SUMPRODUCT($W41:$W$55,$V41:$V$55)),"")</s:f>
        <s:v>14</s:v>
      </s:c>
      <s:c r="U41" s="103">
        <s:f>IF(W41&lt;&gt;"",IF($I$12&lt;&gt;"",IF(G41&lt;&gt;"",G41,($I$9/$I$12-SUM($U$25:U40))*V41*W41/SUMPRODUCT($W41:$W$55,$V41:$V$55)),""),"")</s:f>
        <s:v>7</s:v>
      </s:c>
      <s:c r="V41" s="104">
        <s:v>1.1000000000000001</s:v>
      </s:c>
      <s:c r="W41" s="104">
        <s:v>1.1000000000000001</s:v>
      </s:c>
      <s:c r="X41" s="107"/>
      <s:c r="Y41" s="106"/>
    </s:row>
    <s:row r="42">
      <s:c r="A42" s="95" t="s">
        <s:v>57</s:v>
      </s:c>
      <s:c r="B42" s="96">
        <s:v>45826</s:v>
      </s:c>
      <s:c r="C42" s="97" t="s">
        <s:v>56</s:v>
      </s:c>
      <s:c r="D42" s="98">
        <s:f>5463+4282+11584+220</s:f>
        <s:v>21549</s:v>
      </s:c>
      <s:c r="E42" s="99">
        <s:v>5</s:v>
      </s:c>
      <s:c r="F42" s="99">
        <s:f>IF(AND(E42&lt;&gt;"",E42&lt;&gt;0),D42/E42,"")</s:f>
        <s:v>4309.8</s:v>
      </s:c>
      <s:c r="G42" s="99">
        <s:v>4</s:v>
      </s:c>
      <s:c r="H42" s="99">
        <s:f>IF(AND(G42&lt;&gt;"",G42&lt;&gt;0),D42/G42,"")</s:f>
        <s:v>5387.25</s:v>
      </s:c>
      <s:c r="I42" s="99">
        <s:v>24</s:v>
      </s:c>
      <s:c r="J42" s="98">
        <s:f>IF(AND(G42&lt;&gt;"",G42&lt;&gt;0),E42/G42,"")</s:f>
        <s:v>1.25</s:v>
      </s:c>
      <s:c r="K42" s="99"/>
      <s:c r="L42" s="99">
        <s:v>220</s:v>
      </s:c>
      <s:c r="M42" s="99"/>
      <s:c r="N42" s="100">
        <s:f>IF(AND(I42&lt;&gt;"",I42&lt;&gt;0),G42/I42,"")</s:f>
        <s:v>0.16666666666666666</s:v>
      </s:c>
      <s:c r="O42" s="101">
        <s:f>D42/P42</s:f>
        <s:v>0.11548413322331663</s:v>
      </s:c>
      <s:c r="P42" s="102">
        <s:f>$I$8*V42*W42/SUMPRODUCT($W$25:$W$55,$V$25:$V$55)</s:f>
        <s:v>186597.06228499609</s:v>
      </s:c>
      <s:c r="Q42" s="103">
        <s:f>$I$9*V42*W42/SUMPRODUCT($W$25:$W$55,$V$25:$V$55)</s:f>
        <s:v>32.395323313367378</s:v>
      </s:c>
      <s:c r="R42" s="103">
        <s:f>IF($I$12="","",Q42/$I$12)</s:f>
        <s:v>17.050170164930201</s:v>
      </s:c>
      <s:c r="S42" s="102">
        <s:f>IF(W42&lt;&gt;"",IF(D42&lt;&gt;"",D42,($I$8-SUM($S$25:S41))*V42*W42/SUMPRODUCT($W42:$W$55,$V42:$V$55)),"")</s:f>
        <s:v>21549</s:v>
      </s:c>
      <s:c r="T42" s="103">
        <s:f>IF(W42&lt;&gt;"",IF(E42&lt;&gt;"",E42,($I$9-SUM($T$25:T41))*V42*W42/SUMPRODUCT($W42:$W$55,$V42:$V$55)),"")</s:f>
        <s:v>5</s:v>
      </s:c>
      <s:c r="U42" s="103">
        <s:f>IF(W42&lt;&gt;"",IF($I$12&lt;&gt;"",IF(G42&lt;&gt;"",G42,($I$9/$I$12-SUM($U$25:U41))*V42*W42/SUMPRODUCT($W42:$W$55,$V42:$V$55)),""),"")</s:f>
        <s:v>4</s:v>
      </s:c>
      <s:c r="V42" s="104">
        <s:v>1.1000000000000001</s:v>
      </s:c>
      <s:c r="W42" s="104">
        <s:v>1.1000000000000001</s:v>
      </s:c>
      <s:c r="X42" s="107"/>
      <s:c r="Y42" s="106"/>
    </s:row>
    <s:row r="43">
      <s:c r="A43" s="95" t="s">
        <s:v>61</s:v>
      </s:c>
      <s:c r="B43" s="96">
        <s:v>45827</s:v>
      </s:c>
      <s:c r="C43" s="97" t="s">
        <s:v>58</s:v>
      </s:c>
      <s:c r="D43" s="98">
        <s:v>19159</s:v>
      </s:c>
      <s:c r="E43" s="99">
        <s:v>4</s:v>
      </s:c>
      <s:c r="F43" s="99">
        <s:f>IF(AND(E43&lt;&gt;"",E43&lt;&gt;0),D43/E43,"")</s:f>
        <s:v>4789.75</s:v>
      </s:c>
      <s:c r="G43" s="99">
        <s:v>3</s:v>
      </s:c>
      <s:c r="H43" s="99">
        <s:f>IF(AND(G43&lt;&gt;"",G43&lt;&gt;0),D43/G43,"")</s:f>
        <s:v>6386.333333333333</s:v>
      </s:c>
      <s:c r="I43" s="99">
        <s:v>30</s:v>
      </s:c>
      <s:c r="J43" s="98">
        <s:f>IF(AND(G43&lt;&gt;"",G43&lt;&gt;0),E43/G43,"")</s:f>
        <s:v>1.3333333333333333</s:v>
      </s:c>
      <s:c r="K43" s="99"/>
      <s:c r="L43" s="99"/>
      <s:c r="M43" s="99"/>
      <s:c r="N43" s="100">
        <s:f>IF(AND(I43&lt;&gt;"",I43&lt;&gt;0),G43/I43,"")</s:f>
        <s:v>0.1</s:v>
      </s:c>
      <s:c r="O43" s="101">
        <s:f>D43/P43</s:f>
        <s:v>0.17195529526702777</s:v>
      </s:c>
      <s:c r="P43" s="102">
        <s:f>$I$8*V43*W43/SUMPRODUCT($W$25:$W$55,$V$25:$V$55)</s:f>
        <s:v>111418.49380240467</s:v>
      </s:c>
      <s:c r="Q43" s="103">
        <s:f>$I$9*V43*W43/SUMPRODUCT($W$25:$W$55,$V$25:$V$55)</s:f>
        <s:v>19.343488507361918</s:v>
      </s:c>
      <s:c r="R43" s="103">
        <s:f>IF($I$12="","",Q43/$I$12)</s:f>
        <s:v>10.180783424927325</s:v>
      </s:c>
      <s:c r="S43" s="102">
        <s:f>IF(W43&lt;&gt;"",IF(D43&lt;&gt;"",D43,($I$8-SUM($S$25:S42))*V43*W43/SUMPRODUCT($W43:$W$55,$V43:$V$55)),"")</s:f>
        <s:v>19159</s:v>
      </s:c>
      <s:c r="T43" s="103">
        <s:f>IF(W43&lt;&gt;"",IF(E43&lt;&gt;"",E43,($I$9-SUM($T$25:T42))*V43*W43/SUMPRODUCT($W43:$W$55,$V43:$V$55)),"")</s:f>
        <s:v>4</s:v>
      </s:c>
      <s:c r="U43" s="103">
        <s:f>IF(W43&lt;&gt;"",IF($I$12&lt;&gt;"",IF(G43&lt;&gt;"",G43,($I$9/$I$12-SUM($U$25:U42))*V43*W43/SUMPRODUCT($W43:$W$55,$V43:$V$55)),""),"")</s:f>
        <s:v>3</s:v>
      </s:c>
      <s:c r="V43" s="104">
        <s:v>0.85</s:v>
      </s:c>
      <s:c r="W43" s="104">
        <s:v>0.85</s:v>
      </s:c>
      <s:c r="X43" s="107"/>
      <s:c r="Y43" s="106"/>
      <s:c r="Z43" s="111"/>
    </s:row>
    <s:row r="44">
      <s:c r="A44" s="95" t="s">
        <s:v>52</s:v>
      </s:c>
      <s:c r="B44" s="96">
        <s:v>45828</s:v>
      </s:c>
      <s:c r="C44" s="97" t="s">
        <s:v>59</s:v>
      </s:c>
      <s:c r="D44" s="98">
        <s:v>21385</s:v>
      </s:c>
      <s:c r="E44" s="99">
        <s:v>5</s:v>
      </s:c>
      <s:c r="F44" s="99">
        <s:f>IF(AND(E44&lt;&gt;"",E44&lt;&gt;0),D44/E44,"")</s:f>
        <s:v>4277</s:v>
      </s:c>
      <s:c r="G44" s="99">
        <s:v>4</s:v>
      </s:c>
      <s:c r="H44" s="99">
        <s:f>IF(AND(G44&lt;&gt;"",G44&lt;&gt;0),D44/G44,"")</s:f>
        <s:v>5346.25</s:v>
      </s:c>
      <s:c r="I44" s="99">
        <s:v>40</s:v>
      </s:c>
      <s:c r="J44" s="98">
        <s:f>IF(AND(G44&lt;&gt;"",G44&lt;&gt;0),E44/G44,"")</s:f>
        <s:v>1.25</s:v>
      </s:c>
      <s:c r="K44" s="99"/>
      <s:c r="L44" s="99">
        <s:v>8123</s:v>
      </s:c>
      <s:c r="M44" s="99"/>
      <s:c r="N44" s="100">
        <s:f>IF(AND(I44&lt;&gt;"",I44&lt;&gt;0),G44/I44,"")</s:f>
        <s:v>0.1</s:v>
      </s:c>
      <s:c r="O44" s="101">
        <s:f>D44/P44</s:f>
        <s:v>0.19193402522497985</s:v>
      </s:c>
      <s:c r="P44" s="102">
        <s:f>$I$8*V44*W44/SUMPRODUCT($W$25:$W$55,$V$25:$V$55)</s:f>
        <s:v>111418.49380240467</s:v>
      </s:c>
      <s:c r="Q44" s="103">
        <s:f>$I$9*V44*W44/SUMPRODUCT($W$25:$W$55,$V$25:$V$55)</s:f>
        <s:v>19.343488507361918</s:v>
      </s:c>
      <s:c r="R44" s="103">
        <s:f>IF($I$12="","",Q44/$I$12)</s:f>
        <s:v>10.180783424927325</s:v>
      </s:c>
      <s:c r="S44" s="102">
        <s:f>IF(W44&lt;&gt;"",IF(D44&lt;&gt;"",D44,($I$8-SUM($S$25:S43))*V44*W44/SUMPRODUCT($W44:$W$55,$V44:$V$55)),"")</s:f>
        <s:v>21385</s:v>
      </s:c>
      <s:c r="T44" s="103">
        <s:f>IF(W44&lt;&gt;"",IF(E44&lt;&gt;"",E44,($I$9-SUM($T$25:T43))*V44*W44/SUMPRODUCT($W44:$W$55,$V44:$V$55)),"")</s:f>
        <s:v>5</s:v>
      </s:c>
      <s:c r="U44" s="103">
        <s:f>IF(W44&lt;&gt;"",IF($I$12&lt;&gt;"",IF(G44&lt;&gt;"",G44,($I$9/$I$12-SUM($U$25:U43))*V44*W44/SUMPRODUCT($W44:$W$55,$V44:$V$55)),""),"")</s:f>
        <s:v>4</s:v>
      </s:c>
      <s:c r="V44" s="104">
        <s:v>0.85</s:v>
      </s:c>
      <s:c r="W44" s="104">
        <s:v>0.85</s:v>
      </s:c>
      <s:c r="X44" s="107"/>
      <s:c r="Y44" s="106"/>
      <s:c r="Z44" s="111"/>
    </s:row>
    <s:row r="45">
      <s:c r="A45" s="95" t="s">
        <s:v>62</s:v>
      </s:c>
      <s:c r="B45" s="96">
        <s:v>45829</s:v>
      </s:c>
      <s:c r="C45" s="97" t="s">
        <s:v>60</s:v>
      </s:c>
      <s:c r="D45" s="98">
        <s:f>23405+6993+27160+36307+14277</s:f>
        <s:v>108142</s:v>
      </s:c>
      <s:c r="E45" s="99">
        <s:v>22</s:v>
      </s:c>
      <s:c r="F45" s="99">
        <s:f>IF(AND(E45&lt;&gt;"",E45&lt;&gt;0),D45/E45,"")</s:f>
        <s:v>4915.545454545455</s:v>
      </s:c>
      <s:c r="G45" s="99">
        <s:v>12</s:v>
      </s:c>
      <s:c r="H45" s="99">
        <s:f>IF(AND(G45&lt;&gt;"",G45&lt;&gt;0),D45/G45,"")</s:f>
        <s:v>9011.8333333333339</s:v>
      </s:c>
      <s:c r="I45" s="99">
        <s:v>69</s:v>
      </s:c>
      <s:c r="J45" s="98">
        <s:f>IF(AND(G45&lt;&gt;"",G45&lt;&gt;0),E45/G45,"")</s:f>
        <s:v>1.8333333333333333</s:v>
      </s:c>
      <s:c r="K45" s="99">
        <s:v>6993</s:v>
      </s:c>
      <s:c r="L45" s="99">
        <s:v>23405</s:v>
      </s:c>
      <s:c r="M45" s="99"/>
      <s:c r="N45" s="100">
        <s:f>IF(AND(I45&lt;&gt;"",I45&lt;&gt;0),G45/I45,"")</s:f>
        <s:v>0.17391304347826086</s:v>
      </s:c>
      <s:c r="O45" s="101">
        <s:f>D45/P45</s:f>
        <s:v>0.75639887135997164</s:v>
      </s:c>
      <s:c r="P45" s="102">
        <s:f>$I$8*V45*W45/SUMPRODUCT($W$25:$W$55,$V$25:$V$55)</s:f>
        <s:v>142969.54172547281</s:v>
      </s:c>
      <s:c r="Q45" s="103">
        <s:f>$I$9*V45*W45/SUMPRODUCT($W$25:$W$55,$V$25:$V$55)</s:f>
        <s:v>24.821100994005693</s:v>
      </s:c>
      <s:c r="R45" s="103">
        <s:f>IF($I$12="","",Q45/$I$12)</s:f>
        <s:v>13.063737365266155</s:v>
      </s:c>
      <s:c r="S45" s="102">
        <s:f>IF(W45&lt;&gt;"",IF(D45&lt;&gt;"",D45,($I$8-SUM($S$25:S44))*V45*W45/SUMPRODUCT($W45:$W$55,$V45:$V$55)),"")</s:f>
        <s:v>108142</s:v>
      </s:c>
      <s:c r="T45" s="103">
        <s:f>IF(W45&lt;&gt;"",IF(E45&lt;&gt;"",E45,($I$9-SUM($T$25:T44))*V45*W45/SUMPRODUCT($W45:$W$55,$V45:$V$55)),"")</s:f>
        <s:v>22</s:v>
      </s:c>
      <s:c r="U45" s="103">
        <s:f>IF(W45&lt;&gt;"",IF($I$12&lt;&gt;"",IF(G45&lt;&gt;"",G45,($I$9/$I$12-SUM($U$25:U44))*V45*W45/SUMPRODUCT($W45:$W$55,$V45:$V$55)),""),"")</s:f>
        <s:v>12</s:v>
      </s:c>
      <s:c r="V45" s="104">
        <s:v>0.95</s:v>
      </s:c>
      <s:c r="W45" s="104">
        <s:v>0.97588914665651838</s:v>
      </s:c>
      <s:c r="X45" s="107"/>
      <s:c r="Y45" s="106"/>
      <s:c r="Z45" s="111"/>
    </s:row>
    <s:row r="46">
      <s:c r="A46" s="95" t="s">
        <s:v>62</s:v>
      </s:c>
      <s:c r="B46" s="96">
        <s:v>45830</s:v>
      </s:c>
      <s:c r="C46" s="97" t="s">
        <s:v>49</s:v>
      </s:c>
      <s:c r="D46" s="98">
        <s:v>126972</s:v>
      </s:c>
      <s:c r="E46" s="99">
        <s:v>27</s:v>
      </s:c>
      <s:c r="F46" s="99">
        <s:f>IF(AND(E46&lt;&gt;"",E46&lt;&gt;0),D46/E46,"")</s:f>
        <s:v>4702.666666666667</s:v>
      </s:c>
      <s:c r="G46" s="99">
        <s:v>13</s:v>
      </s:c>
      <s:c r="H46" s="99">
        <s:f>IF(AND(G46&lt;&gt;"",G46&lt;&gt;0),D46/G46,"")</s:f>
        <s:v>9767.0769230769238</s:v>
      </s:c>
      <s:c r="I46" s="99">
        <s:v>69</s:v>
      </s:c>
      <s:c r="J46" s="98">
        <s:f>IF(AND(G46&lt;&gt;"",G46&lt;&gt;0),E46/G46,"")</s:f>
        <s:v>2.0769230769230771</s:v>
      </s:c>
      <s:c r="K46" s="99"/>
      <s:c r="L46" s="99">
        <s:v>35207</s:v>
      </s:c>
      <s:c r="M46" s="99"/>
      <s:c r="N46" s="100">
        <s:f>IF(AND(I46&lt;&gt;"",I46&lt;&gt;0),G46/I46,"")</s:f>
        <s:v>0.18840579710144928</s:v>
      </s:c>
      <s:c r="O46" s="101">
        <s:f>D46/P46</s:f>
        <s:v>0.88810524582787742</s:v>
      </s:c>
      <s:c r="P46" s="102">
        <s:f>$I$8*V46*W46/SUMPRODUCT($W$25:$W$55,$V$25:$V$55)</s:f>
        <s:v>142969.54172547281</s:v>
      </s:c>
      <s:c r="Q46" s="103">
        <s:f>$I$9*V46*W46/SUMPRODUCT($W$25:$W$55,$V$25:$V$55)</s:f>
        <s:v>24.821100994005693</s:v>
      </s:c>
      <s:c r="R46" s="103">
        <s:f>IF($I$12="","",Q46/$I$12)</s:f>
        <s:v>13.063737365266155</s:v>
      </s:c>
      <s:c r="S46" s="102">
        <s:f>IF(W46&lt;&gt;"",IF(D46&lt;&gt;"",D46,($I$8-SUM($S$25:S45))*V46*W46/SUMPRODUCT($W46:$W$55,$V46:$V$55)),"")</s:f>
        <s:v>126972</s:v>
      </s:c>
      <s:c r="T46" s="103">
        <s:f>IF(W46&lt;&gt;"",IF(E46&lt;&gt;"",E46,($I$9-SUM($T$25:T45))*V46*W46/SUMPRODUCT($W46:$W$55,$V46:$V$55)),"")</s:f>
        <s:v>27</s:v>
      </s:c>
      <s:c r="U46" s="103">
        <s:f>IF(W46&lt;&gt;"",IF($I$12&lt;&gt;"",IF(G46&lt;&gt;"",G46,($I$9/$I$12-SUM($U$25:U45))*V46*W46/SUMPRODUCT($W46:$W$55,$V46:$V$55)),""),"")</s:f>
        <s:v>13</s:v>
      </s:c>
      <s:c r="V46" s="104">
        <s:v>0.95</s:v>
      </s:c>
      <s:c r="W46" s="104">
        <s:v>0.97588914665651838</s:v>
      </s:c>
      <s:c r="X46" s="107"/>
      <s:c r="Y46" s="106"/>
      <s:c r="Z46" s="111"/>
    </s:row>
    <s:row r="47">
      <s:c r="A47" s="95" t="s">
        <s:v>63</s:v>
      </s:c>
      <s:c r="B47" s="96">
        <s:v>45831</s:v>
      </s:c>
      <s:c r="C47" s="97" t="s">
        <s:v>51</s:v>
      </s:c>
      <s:c r="D47" s="98">
        <s:f>82832+15768+15645</s:f>
        <s:v>114245</s:v>
      </s:c>
      <s:c r="E47" s="99">
        <s:v>12</s:v>
      </s:c>
      <s:c r="F47" s="99">
        <s:f>IF(AND(E47&lt;&gt;"",E47&lt;&gt;0),D47/E47,"")</s:f>
        <s:v>9520.4166666666661</s:v>
      </s:c>
      <s:c r="G47" s="99">
        <s:v>7</s:v>
      </s:c>
      <s:c r="H47" s="99">
        <s:f>IF(AND(G47&lt;&gt;"",G47&lt;&gt;0),D47/G47,"")</s:f>
        <s:v>16320.714285714286</s:v>
      </s:c>
      <s:c r="I47" s="99">
        <s:v>40</s:v>
      </s:c>
      <s:c r="J47" s="98">
        <s:f>IF(AND(G47&lt;&gt;"",G47&lt;&gt;0),E47/G47,"")</s:f>
        <s:v>1.7142857142857142</s:v>
      </s:c>
      <s:c r="K47" s="99">
        <s:v>82832</s:v>
      </s:c>
      <s:c r="L47" s="99"/>
      <s:c r="M47" s="99"/>
      <s:c r="N47" s="100">
        <s:f>IF(AND(I47&lt;&gt;"",I47&lt;&gt;0),G47/I47,"")</s:f>
        <s:v>0.17499999999999999</s:v>
      </s:c>
      <s:c r="O47" s="101">
        <s:f>D47/P47</s:f>
        <s:v>0.74082865135822318</s:v>
      </s:c>
      <s:c r="P47" s="102">
        <s:f>$I$8*V47*W47/SUMPRODUCT($W$25:$W$55,$V$25:$V$55)</s:f>
        <s:v>154212.44816941823</s:v>
      </s:c>
      <s:c r="Q47" s="103">
        <s:f>$I$9*V47*W47/SUMPRODUCT($W$25:$W$55,$V$25:$V$55)</s:f>
        <s:v>26.772994473857331</s:v>
      </s:c>
      <s:c r="R47" s="103">
        <s:f>IF($I$12="","",Q47/$I$12)</s:f>
        <s:v>14.091049723082806</s:v>
      </s:c>
      <s:c r="S47" s="102">
        <s:f>IF(W47&lt;&gt;"",IF(D47&lt;&gt;"",D47,($I$8-SUM($S$25:S46))*V47*W47/SUMPRODUCT($W47:$W$55,$V47:$V$55)),"")</s:f>
        <s:v>114245</s:v>
      </s:c>
      <s:c r="T47" s="103">
        <s:f>IF(W47&lt;&gt;"",IF(E47&lt;&gt;"",E47,($I$9-SUM($T$25:T46))*V47*W47/SUMPRODUCT($W47:$W$55,$V47:$V$55)),"")</s:f>
        <s:v>12</s:v>
      </s:c>
      <s:c r="U47" s="103">
        <s:f>IF(W47&lt;&gt;"",IF($I$12&lt;&gt;"",IF(G47&lt;&gt;"",G47,($I$9/$I$12-SUM($U$25:U46))*V47*W47/SUMPRODUCT($W47:$W$55,$V47:$V$55)),""),"")</s:f>
        <s:v>7</s:v>
      </s:c>
      <s:c r="V47" s="104">
        <s:v>1</s:v>
      </s:c>
      <s:c r="W47" s="104">
        <s:v>1</s:v>
      </s:c>
      <s:c r="X47" s="107"/>
      <s:c r="Y47" s="106"/>
      <s:c r="Z47" s="111"/>
    </s:row>
    <s:row r="48">
      <s:c r="A48" s="95" t="s">
        <s:v>52</s:v>
      </s:c>
      <s:c r="B48" s="96">
        <s:v>45832</s:v>
      </s:c>
      <s:c r="C48" s="97" t="s">
        <s:v>54</s:v>
      </s:c>
      <s:c r="D48" s="98">
        <s:f>59858+15303+25408</s:f>
        <s:v>100569</s:v>
      </s:c>
      <s:c r="E48" s="99">
        <s:v>11</s:v>
      </s:c>
      <s:c r="F48" s="99">
        <s:f>IF(AND(E48&lt;&gt;"",E48&lt;&gt;0),D48/E48,"")</s:f>
        <s:v>9142.636363636364</s:v>
      </s:c>
      <s:c r="G48" s="99">
        <s:v>7</s:v>
      </s:c>
      <s:c r="H48" s="99">
        <s:f>IF(AND(G48&lt;&gt;"",G48&lt;&gt;0),D48/G48,"")</s:f>
        <s:v>14367</s:v>
      </s:c>
      <s:c r="I48" s="99">
        <s:v>40</s:v>
      </s:c>
      <s:c r="J48" s="98">
        <s:f>IF(AND(G48&lt;&gt;"",G48&lt;&gt;0),E48/G48,"")</s:f>
        <s:v>1.5714285714285714</s:v>
      </s:c>
      <s:c r="K48" s="99">
        <s:v>59858</s:v>
      </s:c>
      <s:c r="L48" s="99">
        <s:v>15303</s:v>
      </s:c>
      <s:c r="M48" s="99"/>
      <s:c r="N48" s="100">
        <s:f>IF(AND(I48&lt;&gt;"",I48&lt;&gt;0),G48/I48,"")</s:f>
        <s:v>0.17499999999999999</s:v>
      </s:c>
      <s:c r="O48" s="101">
        <s:f>D48/P48</s:f>
        <s:v>0.53896346903038328</s:v>
      </s:c>
      <s:c r="P48" s="102">
        <s:f>$I$8*V48*W48/SUMPRODUCT($W$25:$W$55,$V$25:$V$55)</s:f>
        <s:v>186597.06228499609</s:v>
      </s:c>
      <s:c r="Q48" s="103">
        <s:f>$I$9*V48*W48/SUMPRODUCT($W$25:$W$55,$V$25:$V$55)</s:f>
        <s:v>32.395323313367378</s:v>
      </s:c>
      <s:c r="R48" s="103">
        <s:f>IF($I$12="","",Q48/$I$12)</s:f>
        <s:v>17.050170164930201</s:v>
      </s:c>
      <s:c r="S48" s="102">
        <s:f>IF(W48&lt;&gt;"",IF(D48&lt;&gt;"",D48,($I$8-SUM($S$25:S47))*V48*W48/SUMPRODUCT($W48:$W$55,$V48:$V$55)),"")</s:f>
        <s:v>100569</s:v>
      </s:c>
      <s:c r="T48" s="103">
        <s:f>IF(W48&lt;&gt;"",IF(E48&lt;&gt;"",E48,($I$9-SUM($T$25:T47))*V48*W48/SUMPRODUCT($W48:$W$55,$V48:$V$55)),"")</s:f>
        <s:v>11</s:v>
      </s:c>
      <s:c r="U48" s="103">
        <s:f>IF(W48&lt;&gt;"",IF($I$12&lt;&gt;"",IF(G48&lt;&gt;"",G48,($I$9/$I$12-SUM($U$25:U47))*V48*W48/SUMPRODUCT($W48:$W$55,$V48:$V$55)),""),"")</s:f>
        <s:v>7</s:v>
      </s:c>
      <s:c r="V48" s="104">
        <s:v>1.1000000000000001</s:v>
      </s:c>
      <s:c r="W48" s="104">
        <s:v>1.1000000000000001</s:v>
      </s:c>
      <s:c r="X48" s="107"/>
      <s:c r="Y48" s="106"/>
      <s:c r="Z48" s="111"/>
    </s:row>
    <s:row r="49">
      <s:c r="A49" s="95" t="s">
        <s:v>64</s:v>
      </s:c>
      <s:c r="B49" s="96">
        <s:v>45833</s:v>
      </s:c>
      <s:c r="C49" s="97" t="s">
        <s:v>56</s:v>
      </s:c>
      <s:c r="D49" s="98">
        <s:f>24990+4092</s:f>
        <s:v>29082</s:v>
      </s:c>
      <s:c r="E49" s="99">
        <s:v>2</s:v>
      </s:c>
      <s:c r="F49" s="99">
        <s:f>IF(AND(E49&lt;&gt;"",E49&lt;&gt;0),D49/E49,"")</s:f>
        <s:v>14541</s:v>
      </s:c>
      <s:c r="G49" s="99">
        <s:v>2</s:v>
      </s:c>
      <s:c r="H49" s="99">
        <s:f>IF(AND(G49&lt;&gt;"",G49&lt;&gt;0),D49/G49,"")</s:f>
        <s:v>14541</s:v>
      </s:c>
      <s:c r="I49" s="99">
        <s:v>26</s:v>
      </s:c>
      <s:c r="J49" s="98">
        <s:f>IF(AND(G49&lt;&gt;"",G49&lt;&gt;0),E49/G49,"")</s:f>
        <s:v>1</s:v>
      </s:c>
      <s:c r="K49" s="99">
        <s:v>24990</s:v>
      </s:c>
      <s:c r="L49" s="99"/>
      <s:c r="M49" s="99"/>
      <s:c r="N49" s="100">
        <s:f>IF(AND(I49&lt;&gt;"",I49&lt;&gt;0),G49/I49,"")</s:f>
        <s:v>7.6923076923076927E-2</s:v>
      </s:c>
      <s:c r="O49" s="101">
        <s:f>D49/P49</s:f>
        <s:v>0.15585454370970783</s:v>
      </s:c>
      <s:c r="P49" s="102">
        <s:f>$I$8*V49*W49/SUMPRODUCT($W$25:$W$55,$V$25:$V$55)</s:f>
        <s:v>186597.06228499609</s:v>
      </s:c>
      <s:c r="Q49" s="103">
        <s:f>$I$9*V49*W49/SUMPRODUCT($W$25:$W$55,$V$25:$V$55)</s:f>
        <s:v>32.395323313367378</s:v>
      </s:c>
      <s:c r="R49" s="103">
        <s:f>IF($I$12="","",Q49/$I$12)</s:f>
        <s:v>17.050170164930201</s:v>
      </s:c>
      <s:c r="S49" s="102">
        <s:f>IF(W49&lt;&gt;"",IF(D49&lt;&gt;"",D49,($I$8-SUM($S$25:S48))*V49*W49/SUMPRODUCT($W49:$W$55,$V49:$V$55)),"")</s:f>
        <s:v>29082</s:v>
      </s:c>
      <s:c r="T49" s="103">
        <s:f>IF(W49&lt;&gt;"",IF(E49&lt;&gt;"",E49,($I$9-SUM($T$25:T48))*V49*W49/SUMPRODUCT($W49:$W$55,$V49:$V$55)),"")</s:f>
        <s:v>2</s:v>
      </s:c>
      <s:c r="U49" s="103">
        <s:f>IF(W49&lt;&gt;"",IF($I$12&lt;&gt;"",IF(G49&lt;&gt;"",G49,($I$9/$I$12-SUM($U$25:U48))*V49*W49/SUMPRODUCT($W49:$W$55,$V49:$V$55)),""),"")</s:f>
        <s:v>2</s:v>
      </s:c>
      <s:c r="V49" s="104">
        <s:v>1.1000000000000001</s:v>
      </s:c>
      <s:c r="W49" s="104">
        <s:v>1.1000000000000001</s:v>
      </s:c>
      <s:c r="X49" s="107"/>
      <s:c r="Y49" s="106"/>
      <s:c r="Z49" s="111"/>
    </s:row>
    <s:row r="50">
      <s:c r="A50" s="95" t="s">
        <s:v>64</s:v>
      </s:c>
      <s:c r="B50" s="96">
        <s:v>45834</s:v>
      </s:c>
      <s:c r="C50" s="97" t="s">
        <s:v>58</s:v>
      </s:c>
      <s:c r="D50" s="98">
        <s:f>64413+8903</s:f>
        <s:v>73316</s:v>
      </s:c>
      <s:c r="E50" s="99">
        <s:v>17</s:v>
      </s:c>
      <s:c r="F50" s="108">
        <s:f>IF(AND(E50&lt;&gt;"",E50&lt;&gt;0),D50/E50,"")</s:f>
        <s:v>4312.7058823529414</s:v>
      </s:c>
      <s:c r="G50" s="99">
        <s:v>10</s:v>
      </s:c>
      <s:c r="H50" s="99">
        <s:f>IF(AND(G50&lt;&gt;"",G50&lt;&gt;0),D50/G50,"")</s:f>
        <s:v>7331.6</s:v>
      </s:c>
      <s:c r="I50" s="99">
        <s:v>30</s:v>
      </s:c>
      <s:c r="J50" s="98">
        <s:f>IF(AND(G50&lt;&gt;"",G50&lt;&gt;0),E50/G50,"")</s:f>
        <s:v>1.7</s:v>
      </s:c>
      <s:c r="K50" s="99"/>
      <s:c r="L50" s="99">
        <s:v>8903</s:v>
      </s:c>
      <s:c r="M50" s="99"/>
      <s:c r="N50" s="100">
        <s:f>IF(AND(I50&lt;&gt;"",I50&lt;&gt;0),G50/I50,"")</s:f>
        <s:v>0.33333333333333331</s:v>
      </s:c>
      <s:c r="O50" s="101">
        <s:f>D50/P50</s:f>
        <s:v>0.65802361437431023</s:v>
      </s:c>
      <s:c r="P50" s="102">
        <s:f>$I$8*V50*W50/SUMPRODUCT($W$25:$W$55,$V$25:$V$55)</s:f>
        <s:v>111418.49380240467</s:v>
      </s:c>
      <s:c r="Q50" s="103">
        <s:f>$I$9*V50*W50/SUMPRODUCT($W$25:$W$55,$V$25:$V$55)</s:f>
        <s:v>19.343488507361918</s:v>
      </s:c>
      <s:c r="R50" s="103">
        <s:f>IF($I$12="","",Q50/$I$12)</s:f>
        <s:v>10.180783424927325</s:v>
      </s:c>
      <s:c r="S50" s="102">
        <s:f>IF(W50&lt;&gt;"",IF(D50&lt;&gt;"",D50,($I$8-SUM($S$25:S49))*V50*W50/SUMPRODUCT($W50:$W$55,$V50:$V$55)),"")</s:f>
        <s:v>73316</s:v>
      </s:c>
      <s:c r="T50" s="103">
        <s:f>IF(W50&lt;&gt;"",IF(E50&lt;&gt;"",E50,($I$9-SUM($T$25:T49))*V50*W50/SUMPRODUCT($W50:$W$55,$V50:$V$55)),"")</s:f>
        <s:v>17</s:v>
      </s:c>
      <s:c r="U50" s="103">
        <s:f>IF(W50&lt;&gt;"",IF($I$12&lt;&gt;"",IF(G50&lt;&gt;"",G50,($I$9/$I$12-SUM($U$25:U49))*V50*W50/SUMPRODUCT($W50:$W$55,$V50:$V$55)),""),"")</s:f>
        <s:v>10</s:v>
      </s:c>
      <s:c r="V50" s="104">
        <s:v>0.85</s:v>
      </s:c>
      <s:c r="W50" s="104">
        <s:v>0.85</s:v>
      </s:c>
      <s:c r="X50" s="107"/>
      <s:c r="Y50" s="106"/>
      <s:c r="Z50" s="111"/>
    </s:row>
    <s:row r="51">
      <s:c r="A51" s="95" t="s">
        <s:v>52</s:v>
      </s:c>
      <s:c r="B51" s="96">
        <s:v>45835</s:v>
      </s:c>
      <s:c r="C51" s="97" t="s">
        <s:v>59</s:v>
      </s:c>
      <s:c r="D51" s="98">
        <s:f>56694+31556+26930+5994</s:f>
        <s:v>121174</s:v>
      </s:c>
      <s:c r="E51" s="99">
        <s:v>17</s:v>
      </s:c>
      <s:c r="F51" s="99">
        <s:f>IF(AND(E51&lt;&gt;"",E51&lt;&gt;0),D51/E51,"")</s:f>
        <s:v>7127.8823529411766</s:v>
      </s:c>
      <s:c r="G51" s="99">
        <s:v>10</s:v>
      </s:c>
      <s:c r="H51" s="99">
        <s:f>IF(AND(G51&lt;&gt;"",G51&lt;&gt;0),D51/G51,"")</s:f>
        <s:v>12117.4</s:v>
      </s:c>
      <s:c r="I51" s="99">
        <s:v>50</s:v>
      </s:c>
      <s:c r="J51" s="98">
        <s:f>IF(AND(G51&lt;&gt;"",G51&lt;&gt;0),E51/G51,"")</s:f>
        <s:v>1.7</s:v>
      </s:c>
      <s:c r="K51" s="99">
        <s:v>56694</s:v>
      </s:c>
      <s:c r="L51" s="99"/>
      <s:c r="M51" s="99"/>
      <s:c r="N51" s="100">
        <s:f>IF(AND(I51&lt;&gt;"",I51&lt;&gt;0),G51/I51,"")</s:f>
        <s:v>0.2</s:v>
      </s:c>
      <s:c r="O51" s="101">
        <s:f>D51/P51</s:f>
        <s:v>1.0875573332995889</s:v>
      </s:c>
      <s:c r="P51" s="102">
        <s:f>$I$8*V51*W51/SUMPRODUCT($W$25:$W$55,$V$25:$V$55)</s:f>
        <s:v>111418.49380240467</s:v>
      </s:c>
      <s:c r="Q51" s="103">
        <s:f>$I$9*V51*W51/SUMPRODUCT($W$25:$W$55,$V$25:$V$55)</s:f>
        <s:v>19.343488507361918</s:v>
      </s:c>
      <s:c r="R51" s="103">
        <s:f>IF($I$12="","",Q51/$I$12)</s:f>
        <s:v>10.180783424927325</s:v>
      </s:c>
      <s:c r="S51" s="102">
        <s:f>IF(W51&lt;&gt;"",IF(D51&lt;&gt;"",D51,($I$8-SUM($S$25:S50))*V51*W51/SUMPRODUCT($W51:$W$55,$V51:$V$55)),"")</s:f>
        <s:v>121174</s:v>
      </s:c>
      <s:c r="T51" s="103">
        <s:f>IF(W51&lt;&gt;"",IF(E51&lt;&gt;"",E51,($I$9-SUM($T$25:T50))*V51*W51/SUMPRODUCT($W51:$W$55,$V51:$V$55)),"")</s:f>
        <s:v>17</s:v>
      </s:c>
      <s:c r="U51" s="103">
        <s:f>IF(W51&lt;&gt;"",IF($I$12&lt;&gt;"",IF(G51&lt;&gt;"",G51,($I$9/$I$12-SUM($U$25:U50))*V51*W51/SUMPRODUCT($W51:$W$55,$V51:$V$55)),""),"")</s:f>
        <s:v>10</s:v>
      </s:c>
      <s:c r="V51" s="104">
        <s:v>0.85</s:v>
      </s:c>
      <s:c r="W51" s="104">
        <s:v>0.85</s:v>
      </s:c>
      <s:c r="X51" s="107"/>
      <s:c r="Y51" s="106"/>
      <s:c r="Z51" s="111"/>
    </s:row>
    <s:row r="52">
      <s:c r="A52" s="95" t="s">
        <s:v>52</s:v>
      </s:c>
      <s:c r="B52" s="96">
        <s:v>45836</s:v>
      </s:c>
      <s:c r="C52" s="97" t="s">
        <s:v>60</s:v>
      </s:c>
      <s:c r="D52" s="98">
        <s:v>54841</s:v>
      </s:c>
      <s:c r="E52" s="99">
        <s:v>13</s:v>
      </s:c>
      <s:c r="F52" s="99">
        <s:f>IF(AND(E52&lt;&gt;"",E52&lt;&gt;0),D52/E52,"")</s:f>
        <s:v>4218.5384615384619</s:v>
      </s:c>
      <s:c r="G52" s="99">
        <s:v>5</s:v>
      </s:c>
      <s:c r="H52" s="99">
        <s:f>IF(AND(G52&lt;&gt;"",G52&lt;&gt;0),D52/G52,"")</s:f>
        <s:v>10968.2</s:v>
      </s:c>
      <s:c r="I52" s="99">
        <s:v>34</s:v>
      </s:c>
      <s:c r="J52" s="98">
        <s:f>IF(AND(G52&lt;&gt;"",G52&lt;&gt;0),E52/G52,"")</s:f>
        <s:v>2.6</s:v>
      </s:c>
      <s:c r="K52" s="99"/>
      <s:c r="L52" s="99"/>
      <s:c r="M52" s="99"/>
      <s:c r="N52" s="100">
        <s:f>IF(AND(I52&lt;&gt;"",I52&lt;&gt;0),G52/I52,"")</s:f>
        <s:v>0.14705882352941177</s:v>
      </s:c>
      <s:c r="O52" s="101">
        <s:f>D52/P52</s:f>
        <s:v>0.38358519820469572</s:v>
      </s:c>
      <s:c r="P52" s="102">
        <s:f>$I$8*V52*W52/SUMPRODUCT($W$25:$W$55,$V$25:$V$55)</s:f>
        <s:v>142969.54172547281</s:v>
      </s:c>
      <s:c r="Q52" s="103">
        <s:f>$I$9*V52*W52/SUMPRODUCT($W$25:$W$55,$V$25:$V$55)</s:f>
        <s:v>24.821100994005693</s:v>
      </s:c>
      <s:c r="R52" s="103">
        <s:f>IF($I$12="","",Q52/$I$12)</s:f>
        <s:v>13.063737365266155</s:v>
      </s:c>
      <s:c r="S52" s="102">
        <s:f>IF(W52&lt;&gt;"",IF(D52&lt;&gt;"",D52,($I$8-SUM($S$25:S51))*V52*W52/SUMPRODUCT($W52:$W$55,$V52:$V$55)),"")</s:f>
        <s:v>54841</s:v>
      </s:c>
      <s:c r="T52" s="103">
        <s:f>IF(W52&lt;&gt;"",IF(E52&lt;&gt;"",E52,($I$9-SUM($T$25:T51))*V52*W52/SUMPRODUCT($W52:$W$55,$V52:$V$55)),"")</s:f>
        <s:v>13</s:v>
      </s:c>
      <s:c r="U52" s="103">
        <s:f>IF(W52&lt;&gt;"",IF($I$12&lt;&gt;"",IF(G52&lt;&gt;"",G52,($I$9/$I$12-SUM($U$25:U51))*V52*W52/SUMPRODUCT($W52:$W$55,$V52:$V$55)),""),"")</s:f>
        <s:v>5</s:v>
      </s:c>
      <s:c r="V52" s="104">
        <s:v>0.95</s:v>
      </s:c>
      <s:c r="W52" s="104">
        <s:v>0.97588914665651838</s:v>
      </s:c>
      <s:c r="X52" s="107"/>
      <s:c r="Y52" s="106"/>
      <s:c r="Z52" s="111"/>
    </s:row>
    <s:row r="53">
      <s:c r="A53" s="95" t="s">
        <s:v>64</s:v>
      </s:c>
      <s:c r="B53" s="96">
        <s:v>45837</s:v>
      </s:c>
      <s:c r="C53" s="97" t="s">
        <s:v>49</s:v>
      </s:c>
      <s:c r="D53" s="98">
        <s:f>24993+10977+29432</s:f>
        <s:v>65402</s:v>
      </s:c>
      <s:c r="E53" s="99">
        <s:v>11</s:v>
      </s:c>
      <s:c r="F53" s="99">
        <s:f>IF(AND(E53&lt;&gt;"",E53&lt;&gt;0),D53/E53,"")</s:f>
        <s:v>5945.636363636364</s:v>
      </s:c>
      <s:c r="G53" s="99">
        <s:v>8</s:v>
      </s:c>
      <s:c r="H53" s="99">
        <s:f>IF(AND(G53&lt;&gt;"",G53&lt;&gt;0),D53/G53,"")</s:f>
        <s:v>8175.25</s:v>
      </s:c>
      <s:c r="I53" s="99">
        <s:v>50</s:v>
      </s:c>
      <s:c r="J53" s="98">
        <s:f>IF(AND(G53&lt;&gt;"",G53&lt;&gt;0),E53/G53,"")</s:f>
        <s:v>1.375</s:v>
      </s:c>
      <s:c r="K53" s="99">
        <s:v>24993</s:v>
      </s:c>
      <s:c r="L53" s="99"/>
      <s:c r="M53" s="99"/>
      <s:c r="N53" s="100">
        <s:f>IF(AND(I53&lt;&gt;"",I53&lt;&gt;0),G53/I53,"")</s:f>
        <s:v>0.16</s:v>
      </s:c>
      <s:c r="O53" s="101">
        <s:f>D53/P53</s:f>
        <s:v>0.45745407875464539</s:v>
      </s:c>
      <s:c r="P53" s="102">
        <s:f>$I$8*V53*W53/SUMPRODUCT($W$25:$W$55,$V$25:$V$55)</s:f>
        <s:v>142969.54172547281</s:v>
      </s:c>
      <s:c r="Q53" s="103">
        <s:f>$I$9*V53*W53/SUMPRODUCT($W$25:$W$55,$V$25:$V$55)</s:f>
        <s:v>24.821100994005693</s:v>
      </s:c>
      <s:c r="R53" s="103">
        <s:f>IF($I$12="","",Q53/$I$12)</s:f>
        <s:v>13.063737365266155</s:v>
      </s:c>
      <s:c r="S53" s="102">
        <s:f>IF(W53&lt;&gt;"",IF(D53&lt;&gt;"",D53,($I$8-SUM($S$25:S52))*V53*W53/SUMPRODUCT($W53:$W$55,$V53:$V$55)),"")</s:f>
        <s:v>65402</s:v>
      </s:c>
      <s:c r="T53" s="103">
        <s:f>IF(W53&lt;&gt;"",IF(E53&lt;&gt;"",E53,($I$9-SUM($T$25:T52))*V53*W53/SUMPRODUCT($W53:$W$55,$V53:$V$55)),"")</s:f>
        <s:v>11</s:v>
      </s:c>
      <s:c r="U53" s="103">
        <s:f>IF(W53&lt;&gt;"",IF($I$12&lt;&gt;"",IF(G53&lt;&gt;"",G53,($I$9/$I$12-SUM($U$25:U52))*V53*W53/SUMPRODUCT($W53:$W$55,$V53:$V$55)),""),"")</s:f>
        <s:v>8</s:v>
      </s:c>
      <s:c r="V53" s="104">
        <s:v>0.95</s:v>
      </s:c>
      <s:c r="W53" s="104">
        <s:v>0.97588914665651838</s:v>
      </s:c>
      <s:c r="X53" s="107"/>
      <s:c r="Y53" s="106"/>
      <s:c r="Z53" s="111"/>
    </s:row>
    <s:row r="54" spans="1:26" ht="15" customHeight="1">
      <s:c r="A54" s="95" t="s">
        <s:v>64</s:v>
      </s:c>
      <s:c r="B54" s="96">
        <s:v>45838</s:v>
      </s:c>
      <s:c r="C54" s="97" t="s">
        <s:v>51</s:v>
      </s:c>
      <s:c r="D54" s="98">
        <s:f>9275+19365+7723</s:f>
        <s:v>36363</s:v>
      </s:c>
      <s:c r="E54" s="99">
        <s:v>7</s:v>
      </s:c>
      <s:c r="F54" s="99">
        <s:f>IF(AND(E54&lt;&gt;"",E54&lt;&gt;0),D54/E54,"")</s:f>
        <s:v>5194.7142857142853</s:v>
      </s:c>
      <s:c r="G54" s="99">
        <s:v>6</s:v>
      </s:c>
      <s:c r="H54" s="99">
        <s:f>IF(AND(G54&lt;&gt;"",G54&lt;&gt;0),D54/G54,"")</s:f>
        <s:v>6060.5</s:v>
      </s:c>
      <s:c r="I54" s="99">
        <s:v>30</s:v>
      </s:c>
      <s:c r="J54" s="98">
        <s:f>IF(AND(G54&lt;&gt;"",G54&lt;&gt;0),E54/G54,"")</s:f>
        <s:v>1.1666666666666667</s:v>
      </s:c>
      <s:c r="K54" s="99"/>
      <s:c r="L54" s="99">
        <s:v>7723</s:v>
      </s:c>
      <s:c r="M54" s="99"/>
      <s:c r="N54" s="100">
        <s:f>IF(AND(I54&lt;&gt;"",I54&lt;&gt;0),G54/I54,"")</s:f>
        <s:v>0.2</s:v>
      </s:c>
      <s:c r="O54" s="101">
        <s:f>D54/P54</s:f>
        <s:v>0.23579808524958701</s:v>
      </s:c>
      <s:c r="P54" s="102">
        <s:f>$I$8*V54*W54/SUMPRODUCT($W$25:$W$55,$V$25:$V$55)</s:f>
        <s:v>154212.44816941823</s:v>
      </s:c>
      <s:c r="Q54" s="103">
        <s:f>$I$9*V54*W54/SUMPRODUCT($W$25:$W$55,$V$25:$V$55)</s:f>
        <s:v>26.772994473857331</s:v>
      </s:c>
      <s:c r="R54" s="103">
        <s:f>IF($I$12="","",Q54/$I$12)</s:f>
        <s:v>14.091049723082806</s:v>
      </s:c>
      <s:c r="S54" s="102">
        <s:f>IF(W54&lt;&gt;"",IF(D54&lt;&gt;"",D54,($I$8-SUM($S$25:S53))*V54*W54/SUMPRODUCT($W54:$W$55,$V54:$V$55)),"")</s:f>
        <s:v>36363</s:v>
      </s:c>
      <s:c r="T54" s="103">
        <s:f>IF(W54&lt;&gt;"",IF(E54&lt;&gt;"",E54,($I$9-SUM($T$25:T53))*V54*W54/SUMPRODUCT($W54:$W$55,$V54:$V$55)),"")</s:f>
        <s:v>7</s:v>
      </s:c>
      <s:c r="U54" s="103">
        <s:f>IF(W54&lt;&gt;"",IF($I$12&lt;&gt;"",IF(G54&lt;&gt;"",G54,($I$9/$I$12-SUM($U$25:U53))*V54*W54/SUMPRODUCT($W54:$W$55,$V54:$V$55)),""),"")</s:f>
        <s:v>6</s:v>
      </s:c>
      <s:c r="V54" s="104">
        <s:v>1</s:v>
      </s:c>
      <s:c r="W54" s="104">
        <s:v>1</s:v>
      </s:c>
      <s:c r="X54" s="107"/>
      <s:c r="Y54" s="106"/>
      <s:c r="Z54" s="111"/>
    </s:row>
    <s:row r="55" spans="1:26" ht="15" customHeight="1">
      <s:c r="A55" s="95"/>
      <s:c r="B55" s="96"/>
      <s:c r="C55" s="97"/>
      <s:c r="D55" s="98"/>
      <s:c r="E55" s="99"/>
      <s:c r="F55" s="99" t="str">
        <s:f>IF(AND(E55&lt;&gt;"",E55&lt;&gt;0),D55/E55,"")</s:f>
        <s:v/>
      </s:c>
      <s:c r="G55" s="99"/>
      <s:c r="H55" s="99" t="str">
        <s:f>IF(AND(G55&lt;&gt;"",G55&lt;&gt;0),D55/G55,"")</s:f>
        <s:v/>
      </s:c>
      <s:c r="I55" s="99"/>
      <s:c r="J55" s="98" t="str">
        <s:f>IF(AND(G55&lt;&gt;"",G55&lt;&gt;0),E55/G55,"")</s:f>
        <s:v/>
      </s:c>
      <s:c r="K55" s="99"/>
      <s:c r="L55" s="99"/>
      <s:c r="M55" s="99"/>
      <s:c r="N55" s="100" t="str">
        <s:f>IF(AND(I55&lt;&gt;"",I55&lt;&gt;0),G55/I55,"")</s:f>
        <s:v/>
      </s:c>
      <s:c r="O55" s="101">
        <s:f>D55/P55</s:f>
        <s:v>0</s:v>
      </s:c>
      <s:c r="P55" s="102">
        <s:f>$I$8*V55*W55/SUMPRODUCT($W$25:$W$55,$V$25:$V$55)</s:f>
        <s:v>186597.06228499609</s:v>
      </s:c>
      <s:c r="Q55" s="103">
        <s:f>$I$9*V55*W55/SUMPRODUCT($W$25:$W$55,$V$25:$V$55)</s:f>
        <s:v>32.395323313367378</s:v>
      </s:c>
      <s:c r="R55" s="103">
        <s:f>IF($I$12="","",Q55/$I$12)</s:f>
        <s:v>17.050170164930201</s:v>
      </s:c>
      <s:c r="S55" s="102">
        <s:f>IF(W55&lt;&gt;"",IF(D55&lt;&gt;"",D55,($I$8-SUM($S$25:S54))*V55*W55/SUMPRODUCT($W55:$W$55,$V55:$V$55)),"")</s:f>
        <s:v>1831975.4000000006</s:v>
      </s:c>
      <s:c r="T55" s="103">
        <s:f>IF(W55&lt;&gt;"",IF(E55&lt;&gt;"",E55,($I$9-SUM($T$25:T54))*V55*W55/SUMPRODUCT($W55:$W$55,$V55:$V$55)),0)</s:f>
        <s:v>283.84000000000003</s:v>
      </s:c>
      <s:c r="U55" s="103">
        <s:f>IF(W55&lt;&gt;"",IF($I$12&lt;&gt;"",IF(G55&lt;&gt;"",G55,($I$9/$I$12-SUM($U$25:U54))*V55*W55/SUMPRODUCT($W55:$W$55,$V55:$V$55)),""),"")</s:f>
        <s:v>123.60000000000001</s:v>
      </s:c>
      <s:c r="V55" s="104">
        <s:v>1.1000000000000001</s:v>
      </s:c>
      <s:c r="W55" s="104">
        <s:v>1.1000000000000001</s:v>
      </s:c>
      <s:c r="X55" s="107"/>
      <s:c r="Y55" s="106"/>
    </s:row>
    <s:row r="56" spans="1:26" ht="15" customHeight="1">
      <s:c r="A56" s="112"/>
      <s:c r="B56" s="618" t="s">
        <s:v>65</s:v>
      </s:c>
      <s:c r="C56" s="618"/>
      <s:c r="D56" s="113">
        <s:f>SUM(D25:D55)</s:f>
        <s:v>2475583</s:v>
      </s:c>
      <s:c r="E56" s="114">
        <s:f>SUM(E25:E55)</s:f>
        <s:v>464</s:v>
      </s:c>
      <s:c r="F56" s="114">
        <s:f>IF(AND(E56&lt;&gt;"", E56&lt;&gt;0), D56/E56, "")</s:f>
        <s:v>5335.3081896551721</s:v>
      </s:c>
      <s:c r="G56" s="114">
        <s:f>SUM(G25:G55)</s:f>
        <s:v>270</s:v>
      </s:c>
      <s:c r="H56" s="114">
        <s:f>IF(AND(G56&lt;&gt;"", G56&lt;&gt;0), D56/G56, "")</s:f>
        <s:v>9168.8259259259266</s:v>
      </s:c>
      <s:c r="I56" s="114">
        <s:f>SUM(I25:I55)</s:f>
        <s:v>1342</s:v>
      </s:c>
      <s:c r="J56" s="113">
        <s:f>E56/G56</s:f>
        <s:v>1.7185185185185186</s:v>
      </s:c>
      <s:c r="K56" s="114">
        <s:f>SUM(K25:K55)</s:f>
        <s:v>348005</s:v>
      </s:c>
      <s:c r="L56" s="114">
        <s:f>SUM(L25:L55)</s:f>
        <s:v>438412</s:v>
      </s:c>
      <s:c r="M56" s="114">
        <s:f>SUM(M25:M55)</s:f>
        <s:v>0</s:v>
      </s:c>
      <s:c r="N56" s="115">
        <s:f>IF(AND(I56&lt;&gt;"", I56&lt;&gt;0), G56/I56, "")</s:f>
        <s:v>0.20119225037257824</s:v>
      </s:c>
      <s:c r="O56" s="116">
        <s:f>D56/P56</s:f>
        <s:v>0.57470677588491892</s:v>
      </s:c>
      <s:c r="P56" s="117">
        <s:f>SUM(P25:P55)</s:f>
        <s:v>4307558.4000000004</s:v>
      </s:c>
      <s:c r="Q56" s="117">
        <s:f>SUM(Q25:Q55)</s:f>
        <s:v>747.84000000000026</s:v>
      </s:c>
      <s:c r="R56" s="117">
        <s:f>SUM(R25:R55)</s:f>
        <s:v>393.59999999999985</s:v>
      </s:c>
      <s:c r="S56" s="117">
        <s:f>SUM(S25:S55)</s:f>
        <s:v>4307558.4000000004</s:v>
      </s:c>
      <s:c r="T56" s="117">
        <s:f>SUM(T25:T55)</s:f>
        <s:v>747.84</s:v>
      </s:c>
      <s:c r="U56" s="117">
        <s:f>SUM(U25:U55)</s:f>
        <s:v>393.6</s:v>
      </s:c>
      <s:c r="V56" s="118"/>
      <s:c r="W56" s="118"/>
    </s:row>
    <s:row r="57">
      <s:c r="A57" s="119"/>
      <s:c r="B57" s="120"/>
      <s:c r="C57" s="121"/>
      <s:c r="D57" s="122">
        <s:f>SUMIF(D25:D55,"",P25:P55)+D56</s:f>
        <s:v>2662180.0622849963</s:v>
      </s:c>
      <s:c r="E57" s="123"/>
      <s:c r="F57" s="121"/>
      <s:c r="G57" s="121"/>
      <s:c r="H57" s="124"/>
      <s:c r="I57" s="125">
        <s:f>I56/J14</s:f>
        <s:v>44.733333333333334</s:v>
      </s:c>
      <s:c r="J57" s="124"/>
      <s:c r="K57" s="3"/>
      <s:c r="L57" s="126"/>
      <s:c r="M57" s="123"/>
      <s:c r="N57" s="126"/>
      <s:c r="O57" s="126"/>
      <s:c r="P57" s="126"/>
      <s:c r="Q57" s="127"/>
      <s:c r="R57" s="3"/>
      <s:c r="T57" s="3"/>
      <s:c r="U57" s="3"/>
      <s:c r="V57" s="3"/>
      <s:c r="W57" s="3"/>
    </s:row>
    <s:row r="58">
      <s:c r="A58" s="119"/>
      <s:c r="B58" s="3"/>
      <s:c r="C58" s="128"/>
      <s:c r="D58" s="128">
        <s:f>'Рогалевич И. Е.'!J8+'Уразгильдеева Е. Р.'!J8+'Вафина Л. Ф.'!J8+'Доп сотрудник'!J8+'Яковенко А. К.'!J8</s:f>
        <s:v>2475583</s:v>
      </s:c>
      <s:c r="E58" s="128"/>
      <s:c r="F58" s="3"/>
      <s:c r="G58" s="3"/>
      <s:c r="H58" s="3"/>
      <s:c r="I58" s="129"/>
      <s:c r="J58" s="130"/>
      <s:c r="K58" s="3"/>
      <s:c r="L58" s="3"/>
      <s:c r="M58" s="3"/>
      <s:c r="N58" s="3"/>
      <s:c r="O58" s="3"/>
      <s:c r="P58" s="3"/>
      <s:c r="Q58" s="3"/>
      <s:c r="R58" s="3"/>
      <s:c r="T58" s="3"/>
      <s:c r="U58" s="3"/>
      <s:c r="V58" s="3"/>
      <s:c r="W58" s="3"/>
    </s:row>
    <s:row r="59">
      <s:c r="D59" s="131"/>
      <s:c r="F59" s="132"/>
    </s:row>
    <s:row r="60">
      <s:c r="D60" s="92"/>
      <s:c r="G60" s="133"/>
    </s:row>
    <s:row r="61">
      <s:c r="D61" s="92"/>
    </s:row>
    <s:row r="64">
      <s:c r="F64" s="619"/>
    </s:row>
    <s:row r="65">
      <s:c r="F65" s="619"/>
    </s:row>
    <s:row r="68">
      <s:c r="D68" s="134"/>
    </s:row>
  </s:sheetData>
  <s:mergeCells count="30">
    <s:mergeCell ref="P22:W22"/>
    <s:mergeCell ref="A23:A24"/>
    <s:mergeCell ref="B56:C56"/>
    <s:mergeCell ref="F64:F65"/>
    <s:mergeCell ref="F18:H18"/>
    <s:mergeCell ref="F19:H19"/>
    <s:mergeCell ref="F20:H20"/>
    <s:mergeCell ref="A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I3:M4"/>
    <s:mergeCell ref="C4:D4"/>
  </s:mergeCells>
  <s:conditionalFormatting sqref="D58">
    <s:cfRule type="cellIs" dxfId="280" priority="30" operator="notEqual">
      <s:formula>$D$56</s:formula>
    </s:cfRule>
    <s:cfRule type="cellIs" dxfId="279" priority="31" operator="equal">
      <s:formula>$D$56</s:formula>
    </s:cfRule>
  </s:conditionalFormatting>
  <s:conditionalFormatting sqref="J16">
    <s:cfRule type="cellIs" dxfId="278" priority="33" operator="lessThan">
      <s:formula>0</s:formula>
    </s:cfRule>
    <s:cfRule type="cellIs" dxfId="277" priority="34" operator="greaterThan">
      <s:formula>0</s:formula>
    </s:cfRule>
  </s:conditionalFormatting>
  <s:conditionalFormatting sqref="J25:J55">
    <s:cfRule type="cellIs" dxfId="276" priority="10" operator="lessThan">
      <s:formula>$I$12</s:formula>
    </s:cfRule>
    <s:cfRule type="cellIs" dxfId="275" priority="11" operator="greaterThan">
      <s:formula>$I$12</s:formula>
    </s:cfRule>
  </s:conditionalFormatting>
  <s:conditionalFormatting sqref="J27">
    <s:cfRule type="cellIs" dxfId="274" priority="45" operator="lessThan">
      <s:formula>$I$12</s:formula>
    </s:cfRule>
  </s:conditionalFormatting>
  <s:conditionalFormatting sqref="K10:K12 K15">
    <s:cfRule type="cellIs" dxfId="273" priority="37" operator="lessThan">
      <s:formula>1</s:formula>
    </s:cfRule>
    <s:cfRule type="cellIs" dxfId="272" priority="38" operator="greaterThan">
      <s:formula>1</s:formula>
    </s:cfRule>
  </s:conditionalFormatting>
  <s:conditionalFormatting sqref="M8:M15">
    <s:cfRule type="cellIs" dxfId="271" priority="23" operator="lessThan">
      <s:formula>1</s:formula>
    </s:cfRule>
    <s:cfRule type="cellIs" dxfId="270" priority="24" operator="greaterThan">
      <s:formula>1</s:formula>
    </s:cfRule>
  </s:conditionalFormatting>
  <s:conditionalFormatting sqref="N25:N55">
    <s:cfRule type="cellIs" dxfId="269" priority="7" operator="between">
      <s:formula>0.2</s:formula>
      <s:formula>0.25</s:formula>
    </s:cfRule>
    <s:cfRule type="cellIs" dxfId="268" priority="8" operator="greaterThanOrEqual">
      <s:formula>0.25</s:formula>
    </s:cfRule>
    <s:cfRule type="cellIs" dxfId="267" priority="9" operator="lessThan">
      <s:formula>0.2</s:formula>
    </s:cfRule>
  </s:conditionalFormatting>
  <s:conditionalFormatting sqref="O25:O55">
    <s:cfRule type="cellIs" dxfId="266" priority="1" operator="between">
      <s:formula>0.9001</s:formula>
      <s:formula>0.9999</s:formula>
    </s:cfRule>
    <s:cfRule type="cellIs" dxfId="265" priority="2" operator="lessThan">
      <s:formula>0.9</s:formula>
    </s:cfRule>
    <s:cfRule type="cellIs" dxfId="264" priority="3" operator="greaterThan">
      <s:formula>1</s:formula>
    </s:cfRule>
    <s:cfRule type="cellIs" dxfId="263" priority="4" operator="greaterThan">
      <s:formula>100</s:formula>
    </s:cfRule>
    <s:cfRule type="cellIs" dxfId="262" priority="5" operator="between">
      <s:formula>0.85</s:formula>
      <s:formula>1</s:formula>
    </s:cfRule>
    <s:cfRule type="cellIs" dxfId="261" priority="6" operator="between">
      <s:formula>0.01</s:formula>
      <s:formula>0.99</s:formula>
    </s:cfRule>
  </s:conditionalFormatting>
  <s:conditionalFormatting sqref="P10:Q10">
    <s:cfRule type="cellIs" dxfId="260" priority="43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mc="http://schemas.openxmlformats.org/markup-compatibility/2006"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mc:Ignorable="x14ac xr xr2 xr3" xr:uid="{00000000-0001-0000-0100-000000000000}">
  <s:dimension ref="A1:O50"/>
  <s:sheetViews>
    <s:sheetView tabSelected="0" topLeftCell="A26" zoomScale="111" workbookViewId="0">
      <s:selection activeCell="F12" sqref="F12"/>
    </s:sheetView>
  </s:sheetViews>
  <s:sheetFormatPr baseColWidth="10" defaultColWidth="10" defaultRowHeight="15"/>
  <s:cols>
    <s:col min="1" max="1" width="10.832" style="3"/>
    <s:col min="2" max="2" width="10" style="3" customWidth="1"/>
    <s:col min="3" max="3" width="1.664" style="3" customWidth="1"/>
    <s:col min="4" max="11" width="11.664" style="3" customWidth="1"/>
    <s:col min="12" max="12" width="13.164" style="3" customWidth="1"/>
    <s:col min="13" max="14" width="11.664" customWidth="1"/>
    <s:col min="15" max="15" width="15.332" customWidth="1"/>
  </s:cols>
  <s:sheetData>
    <s:row r="1" spans="1:15" ht="22" customHeight="1">
      <s:c r="A1" s="620"/>
      <s:c r="B1" s="621"/>
      <s:c r="C1" s="621"/>
      <s:c r="D1" s="621"/>
      <s:c r="E1" s="621"/>
      <s:c r="F1" s="621"/>
      <s:c r="G1" s="621"/>
      <s:c r="H1" s="621"/>
      <s:c r="I1" s="621"/>
      <s:c r="J1" s="621"/>
      <s:c r="K1" s="621"/>
      <s:c r="L1" s="621"/>
      <s:c r="M1" s="621"/>
      <s:c r="N1" s="621"/>
      <s:c r="O1" s="622"/>
    </s:row>
    <s:row r="2" spans="1:15" ht="18" customHeight="1">
      <s:c r="A2" s="623" t="s">
        <s:v>3</s:v>
      </s:c>
      <s:c r="B2" s="624"/>
      <s:c r="C2" s="624"/>
      <s:c r="D2" s="627" t="str">
        <s:f>'Ялта, Ленина, 18'!I3</s:f>
        <s:v>ул. Набережная Ленина, 18</s:v>
      </s:c>
      <s:c r="E2" s="628"/>
      <s:c r="F2" s="628"/>
      <s:c r="G2" s="629" t="str">
        <s:f>График!B29</s:f>
        <s:v>Рогалевич Ирина</s:v>
      </s:c>
      <s:c r="H2" s="630"/>
      <s:c r="I2" s="630"/>
      <s:c r="J2" s="631" t="str">
        <s:f>График!B28</s:f>
        <s:v>Уразгильдеева Екатерина</s:v>
      </s:c>
      <s:c r="K2" s="632"/>
      <s:c r="L2" s="633"/>
      <s:c r="M2" s="631" t="str">
        <s:f>График!B27</s:f>
        <s:v>Вафина Ляйсан</s:v>
      </s:c>
      <s:c r="N2" s="632"/>
      <s:c r="O2" s="633"/>
    </s:row>
    <s:row r="3" spans="1:15" ht="18" customHeight="1">
      <s:c r="A3" s="625"/>
      <s:c r="B3" s="626"/>
      <s:c r="C3" s="626"/>
      <s:c r="D3" s="634" t="s">
        <s:v>66</s:v>
      </s:c>
      <s:c r="E3" s="635"/>
      <s:c r="F3" s="135" t="s">
        <s:v>67</s:v>
      </s:c>
      <s:c r="G3" s="636" t="s">
        <s:v>5</s:v>
      </s:c>
      <s:c r="H3" s="637"/>
      <s:c r="I3" s="136" t="s">
        <s:v>67</s:v>
      </s:c>
      <s:c r="J3" s="638" t="s">
        <s:v>5</s:v>
      </s:c>
      <s:c r="K3" s="639"/>
      <s:c r="L3" s="137" t="s">
        <s:v>67</s:v>
      </s:c>
      <s:c r="M3" s="638" t="s">
        <s:v>5</s:v>
      </s:c>
      <s:c r="N3" s="639"/>
      <s:c r="O3" s="137" t="s">
        <s:v>67</s:v>
      </s:c>
    </s:row>
    <s:row r="4" spans="1:15">
      <s:c r="A4" s="603" t="s">
        <s:v>12</s:v>
      </s:c>
      <s:c r="B4" s="603"/>
      <s:c r="C4" s="640"/>
      <s:c r="D4" s="138">
        <s:f>'Ялта, Ленина, 18'!K8</s:f>
        <s:v>0.57470677588491892</s:v>
      </s:c>
      <s:c r="E4" s="139">
        <s:f>'Ялта, Ленина, 18'!J8</s:f>
        <s:v>2475583</s:v>
      </s:c>
      <s:c r="F4" s="140">
        <s:f>'Ялта, Ленина, 18'!M8</s:f>
        <s:v>0.60072948934111181</s:v>
      </s:c>
      <s:c r="G4" s="141">
        <s:f>'Рогалевич И. Е.'!K8</s:f>
        <s:v>0.74993752015748183</s:v>
      </s:c>
      <s:c r="H4" s="142">
        <s:f>'Рогалевич И. Е.'!J8</s:f>
        <s:v>1260025</s:v>
      </s:c>
      <s:c r="I4" s="143">
        <s:f>'Рогалевич И. Е.'!M8</s:f>
        <s:v>0.80993252177008002</s:v>
      </s:c>
      <s:c r="J4" s="144">
        <s:f>'Уразгильдеева Е. Р.'!K8</s:f>
        <s:v>0.46508752007776699</s:v>
      </s:c>
      <s:c r="K4" s="142">
        <s:f>'Уразгильдеева Е. Р.'!J8</s:f>
        <s:v>545426</s:v>
      </s:c>
      <s:c r="L4" s="145">
        <s:f>'Уразгильдеева Е. Р.'!M8</s:f>
        <s:v>0.57868281814011524</s:v>
      </s:c>
      <s:c r="M4" s="144">
        <s:f>'Вафина Л. Ф.'!K8</s:f>
        <s:v>0.46033930027578646</s:v>
      </s:c>
      <s:c r="N4" s="142">
        <s:f>'Вафина Л. Ф.'!J8</s:f>
        <s:v>420466</s:v>
      </s:c>
      <s:c r="O4" s="145">
        <s:f>'Вафина Л. Ф.'!M8</s:f>
        <s:v>0.70009935250275845</s:v>
      </s:c>
    </s:row>
    <s:row r="5" spans="1:15">
      <s:c r="A5" s="606" t="s">
        <s:v>13</s:v>
      </s:c>
      <s:c r="B5" s="606"/>
      <s:c r="C5" s="641"/>
      <s:c r="D5" s="146">
        <s:f>'Ялта, Ленина, 18'!K9</s:f>
        <s:v>0.62045357295678216</s:v>
      </s:c>
      <s:c r="E5" s="147">
        <s:f>'Ялта, Ленина, 18'!J9</s:f>
        <s:v>464</s:v>
      </s:c>
      <s:c r="F5" s="148">
        <s:f>'Ялта, Ленина, 18'!M9</s:f>
        <s:v>0.64854770063965894</s:v>
      </s:c>
      <s:c r="G5" s="149">
        <s:f>'Рогалевич И. Е.'!K9</s:f>
        <s:v>0.7713490019040069</s:v>
      </s:c>
      <s:c r="H5" s="150">
        <s:f>'Рогалевич И. Е.'!J9</s:f>
        <s:v>225</s:v>
      </s:c>
      <s:c r="I5" s="151">
        <s:f>'Рогалевич И. Е.'!M9</s:f>
        <s:v>0.8330569220563282</s:v>
      </s:c>
      <s:c r="J5" s="152">
        <s:f>'Уразгильдеева Е. Р.'!K9</s:f>
        <s:v>0.52062761265264468</s:v>
      </s:c>
      <s:c r="K5" s="153">
        <s:f>'Уразгильдеева Е. Р.'!J9</s:f>
        <s:v>106</s:v>
      </s:c>
      <s:c r="L5" s="154">
        <s:f>'Уразгильдеева Е. Р.'!M9</s:f>
        <s:v>0.52062761265264468</s:v>
      </s:c>
      <s:c r="M5" s="152">
        <s:f>'Вафина Л. Ф.'!K9</s:f>
        <s:v>0.54233558904789825</s:v>
      </s:c>
      <s:c r="N5" s="153">
        <s:f>'Вафина Л. Ф.'!J9</s:f>
        <s:v>86</s:v>
      </s:c>
      <s:c r="O5" s="154">
        <s:f>'Вафина Л. Ф.'!M9</s:f>
        <s:v>0.76768278671322998</s:v>
      </s:c>
    </s:row>
    <s:row r="6" spans="1:15">
      <s:c r="A6" s="603" t="s">
        <s:v>14</s:v>
      </s:c>
      <s:c r="B6" s="603"/>
      <s:c r="C6" s="640"/>
      <s:c r="D6" s="146">
        <s:f>'Ялта, Ленина, 18'!K10</s:f>
        <s:v>0.83779476662334851</s:v>
      </s:c>
      <s:c r="E6" s="155">
        <s:f>'Ялта, Ленина, 18'!J10</s:f>
        <s:v>9168.8259259259266</s:v>
      </s:c>
      <s:c r="F6" s="148">
        <s:f>'Ялта, Ленина, 18'!M10</s:f>
        <s:v>0.83779476662334851</s:v>
      </s:c>
      <s:c r="G6" s="149">
        <s:f>'Рогалевич И. Е.'!K10</s:f>
        <s:v>0.87222623715222403</s:v>
      </s:c>
      <s:c r="H6" s="156">
        <s:f>'Рогалевич И. Е.'!J10</s:f>
        <s:v>9545.6439393939399</s:v>
      </s:c>
      <s:c r="I6" s="151">
        <s:f>'Рогалевич И. Е.'!M10</s:f>
        <s:v>0.87222623715222403</s:v>
      </s:c>
      <s:c r="J6" s="152">
        <s:f>'Уразгильдеева Е. Р.'!K10</s:f>
        <s:v>0.76673695456590185</s:v>
      </s:c>
      <s:c r="K6" s="156">
        <s:f>'Уразгильдеева Е. Р.'!J10</s:f>
        <s:v>8391.1692307692301</s:v>
      </s:c>
      <s:c r="L6" s="154">
        <s:f>'Уразгильдеева Е. Р.'!M10</s:f>
        <s:v>0.76673695456590185</s:v>
      </s:c>
      <s:c r="M6" s="152">
        <s:f>'Вафина Л. Ф.'!K10</s:f>
        <s:v>0.83521246503941005</s:v>
      </s:c>
      <s:c r="N6" s="153">
        <s:f>'Вафина Л. Ф.'!J10</s:f>
        <s:v>9140.565217391304</s:v>
      </s:c>
      <s:c r="O6" s="154">
        <s:f>'Вафина Л. Ф.'!M10</s:f>
        <s:v>0.83521246503941005</s:v>
      </s:c>
    </s:row>
    <s:row r="7" spans="1:15">
      <s:c r="A7" s="606" t="s">
        <s:v>16</s:v>
      </s:c>
      <s:c r="B7" s="606"/>
      <s:c r="C7" s="641"/>
      <s:c r="D7" s="146">
        <s:f>'Ялта, Ленина, 18'!K11</s:f>
        <s:v>0.92626878292624515</s:v>
      </s:c>
      <s:c r="E7" s="155">
        <s:f>'Ялта, Ленина, 18'!J11</s:f>
        <s:v>5335.3081896551721</s:v>
      </s:c>
      <s:c r="F7" s="148">
        <s:f>'Ялта, Ленина, 18'!M11</s:f>
        <s:v>0.92626878292624548</s:v>
      </s:c>
      <s:c r="G7" s="149">
        <s:f>'Рогалевич И. Е.'!K11</s:f>
        <s:v>0.97224151234567902</s:v>
      </s:c>
      <s:c r="H7" s="156">
        <s:f>'Рогалевич И. Е.'!J11</s:f>
        <s:v>5600.1111111111113</s:v>
      </s:c>
      <s:c r="I7" s="151">
        <s:f>'Рогалевич И. Е.'!M11</s:f>
        <s:v>0.97224151234567791</s:v>
      </s:c>
      <s:c r="J7" s="152">
        <s:f>'Уразгильдеева Е. Р.'!K11</s:f>
        <s:v>0.89332088574423474</s:v>
      </s:c>
      <s:c r="K7" s="156">
        <s:f>'Уразгильдеева Е. Р.'!J11</s:f>
        <s:v>5145.5283018867922</s:v>
      </s:c>
      <s:c r="L7" s="154">
        <s:f>'Уразгильдеева Е. Р.'!M11</s:f>
        <s:v>0.89332088574423474</s:v>
      </s:c>
      <s:c r="M7" s="152">
        <s:f>'Вафина Л. Ф.'!K11</s:f>
        <s:v>0.8488089470284238</s:v>
      </s:c>
      <s:c r="N7" s="153">
        <s:f>'Вафина Л. Ф.'!J11</s:f>
        <s:v>4889.1395348837214</s:v>
      </s:c>
      <s:c r="O7" s="154">
        <s:f>'Вафина Л. Ф.'!M11</s:f>
        <s:v>0.91196437463470514</s:v>
      </s:c>
    </s:row>
    <s:row r="8" spans="1:15">
      <s:c r="A8" s="606" t="s">
        <s:v>17</s:v>
      </s:c>
      <s:c r="B8" s="606"/>
      <s:c r="C8" s="641"/>
      <s:c r="D8" s="146">
        <s:f>'Ялта, Ленина, 18'!K12</s:f>
        <s:v>0.90448343079922033</s:v>
      </s:c>
      <s:c r="E8" s="157">
        <s:f>'Ялта, Ленина, 18'!J12</s:f>
        <s:v>1.7185185185185186</s:v>
      </s:c>
      <s:c r="F8" s="148">
        <s:f>'Ялта, Ленина, 18'!M12</s:f>
        <s:v>0.90448343079922033</s:v>
      </s:c>
      <s:c r="G8" s="149">
        <s:f>'Рогалевич И. Е.'!K12</s:f>
        <s:v>0.89712918660287089</s:v>
      </s:c>
      <s:c r="H8" s="158">
        <s:f>'Рогалевич И. Е.'!J12</s:f>
        <s:v>1.7045454545454546</s:v>
      </s:c>
      <s:c r="I8" s="151">
        <s:f>'Рогалевич И. Е.'!M12</s:f>
        <s:v>0.89712918660287089</s:v>
      </s:c>
      <s:c r="J8" s="152">
        <s:f>'Уразгильдеева Е. Р.'!K12</s:f>
        <s:v>0.8582995951417004</s:v>
      </s:c>
      <s:c r="K8" s="159">
        <s:f>'Уразгильдеева Е. Р.'!J12</s:f>
        <s:v>1.6307692307692307</s:v>
      </s:c>
      <s:c r="L8" s="154">
        <s:f>'Уразгильдеева Е. Р.'!M12</s:f>
        <s:v>0.8582995951417004</s:v>
      </s:c>
      <s:c r="M8" s="152">
        <s:f>'Вафина Л. Ф.'!K12</s:f>
        <s:v>0.98398169336384445</s:v>
      </s:c>
      <s:c r="N8" s="159">
        <s:f>'Вафина Л. Ф.'!J12</s:f>
        <s:v>1.8695652173913044</s:v>
      </s:c>
      <s:c r="O8" s="154">
        <s:f>'Вафина Л. Ф.'!M12</s:f>
        <s:v>0.98398169336384445</s:v>
      </s:c>
    </s:row>
    <s:row r="9" spans="1:15">
      <s:c r="A9" s="606" t="s">
        <s:v>18</s:v>
      </s:c>
      <s:c r="B9" s="606"/>
      <s:c r="C9" s="641"/>
      <s:c r="D9" s="146">
        <s:f>'Ялта, Ленина, 18'!K13</s:f>
        <s:v>0.6859756097560975</s:v>
      </s:c>
      <s:c r="E9" s="147">
        <s:f>'Ялта, Ленина, 18'!J13</s:f>
        <s:v>270</s:v>
      </s:c>
      <s:c r="F9" s="148">
        <s:f>'Ялта, Ленина, 18'!M13</s:f>
        <s:v>0.71703657419858902</s:v>
      </s:c>
      <s:c r="G9" s="149">
        <s:f>'Рогалевич И. Е.'!K13</s:f>
        <s:v>0.85979702078899978</s:v>
      </s:c>
      <s:c r="H9" s="150">
        <s:f>'Рогалевич И. Е.'!J13</s:f>
        <s:v>132</s:v>
      </s:c>
      <s:c r="I9" s="151">
        <s:f>'Рогалевич И. Е.'!M13</s:f>
        <s:v>0.92858078245212028</s:v>
      </s:c>
      <s:c r="J9" s="152">
        <s:f>'Уразгильдеева Е. Р.'!K13</s:f>
        <s:v>0.60658028455284552</s:v>
      </s:c>
      <s:c r="K9" s="153">
        <s:f>'Уразгильдеева Е. Р.'!J13</s:f>
        <s:v>65</s:v>
      </s:c>
      <s:c r="L9" s="154">
        <s:f>'Уразгильдеева Е. Р.'!M13</s:f>
        <s:v>0.60658028455284552</s:v>
      </s:c>
      <s:c r="M9" s="152">
        <s:f>'Вафина Л. Ф.'!K13</s:f>
        <s:v>0.55116430793937565</s:v>
      </s:c>
      <s:c r="N9" s="153">
        <s:f>'Вафина Л. Ф.'!J13</s:f>
        <s:v>46</s:v>
      </s:c>
      <s:c r="O9" s="154">
        <s:f>'Вафина Л. Ф.'!M13</s:f>
        <s:v>0.78017994835739846</s:v>
      </s:c>
    </s:row>
    <s:row r="10" spans="1:15">
      <s:c r="A10" s="606" t="s">
        <s:v>68</s:v>
      </s:c>
      <s:c r="B10" s="606"/>
      <s:c r="C10" s="641"/>
      <s:c r="D10" s="146">
        <s:f>'Ялта, Ленина, 18'!K14</s:f>
        <s:v>1</s:v>
      </s:c>
      <s:c r="E10" s="160">
        <s:f>'Ялта, Ленина, 18'!J14</s:f>
        <s:v>30</s:v>
      </s:c>
      <s:c r="F10" s="148"/>
      <s:c r="G10" s="149">
        <s:f>'Рогалевич И. Е.'!K14</s:f>
        <s:v>1</s:v>
      </s:c>
      <s:c r="H10" s="150">
        <s:f>'Рогалевич И. Е.'!J14</s:f>
        <s:v>25</s:v>
      </s:c>
      <s:c r="I10" s="151"/>
      <s:c r="J10" s="152">
        <s:f>'Уразгильдеева Е. Р.'!K14</s:f>
        <s:v>1</s:v>
      </s:c>
      <s:c r="K10" s="150">
        <s:f>'Уразгильдеева Е. Р.'!J14</s:f>
        <s:v>16</s:v>
      </s:c>
      <s:c r="L10" s="154"/>
      <s:c r="M10" s="152">
        <s:f>'Вафина Л. Ф.'!K14</s:f>
        <s:v>1</s:v>
      </s:c>
      <s:c r="N10" s="153">
        <s:f>'Вафина Л. Ф.'!J14</s:f>
        <s:v>13</s:v>
      </s:c>
      <s:c r="O10" s="154"/>
    </s:row>
    <s:row r="11" spans="1:15">
      <s:c r="A11" s="606" t="s">
        <s:v>20</s:v>
      </s:c>
      <s:c r="B11" s="606"/>
      <s:c r="C11" s="641"/>
      <s:c r="D11" s="146">
        <s:f>'Ялта, Ленина, 18'!K15</s:f>
        <s:v>0.57470677588491892</s:v>
      </s:c>
      <s:c r="E11" s="161">
        <s:f>'Ялта, Ленина, 18'!J15</s:f>
        <s:v>82519.433333333334</s:v>
      </s:c>
      <s:c r="F11" s="148">
        <s:f>'Ялта, Ленина, 18'!M15</s:f>
        <s:v>0.57470677588491892</s:v>
      </s:c>
      <s:c r="G11" s="149">
        <s:f>'Рогалевич И. Е.'!K15</s:f>
        <s:v>0.35101787592711453</s:v>
      </s:c>
      <s:c r="H11" s="156">
        <s:f>'Рогалевич И. Е.'!J15</s:f>
        <s:v>50401</s:v>
      </s:c>
      <s:c r="I11" s="151">
        <s:f>'Рогалевич И. Е.'!M15</s:f>
        <s:v>0.35101787592711453</s:v>
      </s:c>
      <s:c r="J11" s="152">
        <s:f>'Уразгильдеева Е. Р.'!K15</s:f>
        <s:v>0.23741378642713237</s:v>
      </s:c>
      <s:c r="K11" s="156">
        <s:f>'Уразгильдеева Е. Р.'!J15</s:f>
        <s:v>34089.125</s:v>
      </s:c>
      <s:c r="L11" s="154">
        <s:f>'Уразгильдеева Е. Р.'!M15</s:f>
        <s:v>0.23741378642713237</s:v>
      </s:c>
      <s:c r="M11" s="152">
        <s:f>'Вафина Л. Ф.'!K15</s:f>
        <s:v>0.22525664512085405</s:v>
      </s:c>
      <s:c r="N11" s="153">
        <s:f>'Вафина Л. Ф.'!J15</s:f>
        <s:v>32343.538461538461</s:v>
      </s:c>
      <s:c r="O11" s="154">
        <s:f>'Вафина Л. Ф.'!M15</s:f>
        <s:v>0.22525664512085405</s:v>
      </s:c>
    </s:row>
    <s:row r="12" spans="1:15">
      <s:c r="A12" s="642" t="s">
        <s:v>23</s:v>
      </s:c>
      <s:c r="B12" s="643"/>
      <s:c r="C12" s="644"/>
      <s:c r="D12" s="146">
        <s:f>'Ялта, Ленина, 18'!K17</s:f>
        <s:v>0.83875</s:v>
      </s:c>
      <s:c r="E12" s="160">
        <s:f>'Ялта, Ленина, 18'!J17</s:f>
        <s:v>1342</s:v>
      </s:c>
      <s:c r="F12" s="148">
        <s:f>'Ялта, Ленина, 18'!M17</s:f>
        <s:v>0.83875</s:v>
      </s:c>
      <s:c r="G12" s="149">
        <s:f>'Рогалевич И. Е.'!K17</s:f>
        <s:v>0.84924496644295311</s:v>
      </s:c>
      <s:c r="H12" s="150">
        <s:f>'Рогалевич И. Е.'!J17</s:f>
        <s:v>530</s:v>
      </s:c>
      <s:c r="I12" s="151">
        <s:f>'Рогалевич И. Е.'!M17</s:f>
        <s:v>0.84924496644295311</s:v>
      </s:c>
      <s:c r="J12" s="152">
        <s:f>'Уразгильдеева Е. Р.'!K17</s:f>
        <s:v>0.83332932692307693</s:v>
      </s:c>
      <s:c r="K12" s="150">
        <s:f>'Уразгильдеева Е. Р.'!J17</s:f>
        <s:v>363</s:v>
      </s:c>
      <s:c r="L12" s="154">
        <s:f>'Уразгильдеева Е. Р.'!M17</s:f>
        <s:v>0.83332932692307693</s:v>
      </s:c>
      <s:c r="M12" s="152">
        <s:f>'Вафина Л. Ф.'!K17</s:f>
        <s:v>0.8842592592592593</s:v>
      </s:c>
      <s:c r="N12" s="150">
        <s:f>'Вафина Л. Ф.'!J17</s:f>
        <s:v>300</s:v>
      </s:c>
      <s:c r="O12" s="154">
        <s:f>'Вафина Л. Ф.'!M17</s:f>
        <s:v>0.8842592592592593</s:v>
      </s:c>
    </s:row>
    <s:row r="13" spans="1:15">
      <s:c r="A13" s="642" t="s">
        <s:v>22</s:v>
      </s:c>
      <s:c r="B13" s="643"/>
      <s:c r="C13" s="644"/>
      <s:c r="D13" s="146">
        <s:f>'Ялта, Ленина, 18'!S19</s:f>
        <s:v>0.44616025641025642</s:v>
      </s:c>
      <s:c r="E13" s="161">
        <s:f>'Ялта, Ленина, 18'!T18</s:f>
        <s:v>348005</s:v>
      </s:c>
      <s:c r="F13" s="148">
        <s:f>'Ялта, Ленина, 18'!T19</s:f>
        <s:v>0.44616025641025642</s:v>
      </s:c>
      <s:c r="G13" s="149">
        <s:f>'Рогалевич И. Е.'!S19</s:f>
        <s:v>0.49913746343142312</s:v>
      </s:c>
      <s:c r="H13" s="156">
        <s:f>'Рогалевич И. Е.'!T18</s:f>
        <s:v>151858</s:v>
      </s:c>
      <s:c r="I13" s="151">
        <s:f>'Рогалевич И. Е.'!T19</s:f>
        <s:v>0.49913746343142312</s:v>
      </s:c>
      <s:c r="J13" s="152">
        <s:f>'Уразгильдеева Е. Р.'!S19</s:f>
        <s:v>0.61275870315581848</s:v>
      </s:c>
      <s:c r="K13" s="156">
        <s:f>'Уразгильдеева Е. Р.'!T18</s:f>
        <s:v>130123</s:v>
      </s:c>
      <s:c r="L13" s="154">
        <s:f>'Уразгильдеева Е. Р.'!T19</s:f>
        <s:v>0.61275870315581848</s:v>
      </s:c>
      <s:c r="M13" s="152">
        <s:f>'Вафина Л. Ф.'!S19</s:f>
        <s:v>4.9482241215574548E-2</s:v>
      </s:c>
      <s:c r="N13" s="162">
        <s:f>'Вафина Л. Ф.'!T18</s:f>
        <s:v>8184</s:v>
      </s:c>
      <s:c r="O13" s="154">
        <s:f>'Вафина Л. Ф.'!T19</s:f>
        <s:v>4.9482241215574548E-2</s:v>
      </s:c>
    </s:row>
    <s:row r="14" spans="1:15">
      <s:c r="A14" s="642" t="s">
        <s:v>15</s:v>
      </s:c>
      <s:c r="B14" s="643"/>
      <s:c r="C14" s="644"/>
      <s:c r="D14" s="163">
        <s:f>'Ялта, Ленина, 18'!S13</s:f>
        <s:v>0.44735918367346938</s:v>
      </s:c>
      <s:c r="E14" s="164">
        <s:f>'Ялта, Ленина, 18'!T12</s:f>
        <s:v>438412</s:v>
      </s:c>
      <s:c r="F14" s="165">
        <s:f>'Ялта, Ленина, 18'!T13</s:f>
        <s:v>0.44735918367346938</s:v>
      </s:c>
      <s:c r="G14" s="166">
        <s:f>'Рогалевич И. Е.'!S13</s:f>
        <s:v>0.68071447746883984</s:v>
      </s:c>
      <s:c r="H14" s="167">
        <s:f>'Рогалевич И. Е.'!T12</s:f>
        <s:v>260204</s:v>
      </s:c>
      <s:c r="I14" s="168">
        <s:f>'Рогалевич И. Е.'!T13</s:f>
        <s:v>0.68071447746883984</s:v>
      </s:c>
      <s:c r="J14" s="169">
        <s:f>'Уразгильдеева Е. Р.'!S13</s:f>
        <s:v>0.17502586342229201</s:v>
      </s:c>
      <s:c r="K14" s="170">
        <s:f>'Уразгильдеева Е. Р.'!T12</s:f>
        <s:v>46698</s:v>
      </s:c>
      <s:c r="L14" s="171">
        <s:f>'Уразгильдеева Е. Р.'!T13</s:f>
        <s:v>0.17502586342229201</s:v>
      </s:c>
      <s:c r="M14" s="169">
        <s:f>'Вафина Л. Ф.'!S13</s:f>
        <s:v>0.52023318216175363</s:v>
      </s:c>
      <s:c r="N14" s="170">
        <s:f>'Вафина Л. Ф.'!T12</s:f>
        <s:v>108105</s:v>
      </s:c>
      <s:c r="O14" s="171">
        <s:f>'Вафина Л. Ф.'!T13</s:f>
        <s:v>0.52023318216175363</s:v>
      </s:c>
    </s:row>
    <s:row r="15" spans="1:15">
      <s:c r="A15" s="645" t="s">
        <s:v>69</s:v>
      </s:c>
      <s:c r="B15" s="645"/>
      <s:c r="C15" s="645"/>
      <s:c r="D15" s="646">
        <s:f>'Ялта, Ленина, 18'!J16</s:f>
        <s:v>-1831975.4000000004</s:v>
      </s:c>
      <s:c r="E15" s="647"/>
      <s:c r="F15" s="648"/>
      <s:c r="G15" s="649">
        <s:f>'Рогалевич И. Е.'!N8</s:f>
        <s:v>-319346.30261780159</s:v>
      </s:c>
      <s:c r="H15" s="650"/>
      <s:c r="I15" s="651"/>
      <s:c r="J15" s="652">
        <s:f>'Уразгильдеева Е. Р.'!N8</s:f>
        <s:v>-494094.84304090822</s:v>
      </s:c>
      <s:c r="K15" s="653"/>
      <s:c r="L15" s="654"/>
      <s:c r="M15" s="652">
        <s:f>'Вафина Л. Ф.'!N8</s:f>
        <s:v>-273924.09376090765</s:v>
      </s:c>
      <s:c r="N15" s="653"/>
      <s:c r="O15" s="654"/>
    </s:row>
    <s:row r="36" spans="1:15" ht="16">
      <s:c r="A36" s="620"/>
      <s:c r="B36" s="621"/>
      <s:c r="C36" s="621"/>
      <s:c r="D36" s="621"/>
      <s:c r="E36" s="621"/>
      <s:c r="F36" s="621"/>
      <s:c r="G36" s="621"/>
      <s:c r="H36" s="621"/>
      <s:c r="I36" s="621"/>
      <s:c r="J36" s="621"/>
      <s:c r="K36" s="621"/>
      <s:c r="L36" s="621"/>
      <s:c r="M36" s="621"/>
      <s:c r="N36" s="621"/>
      <s:c r="O36" s="622"/>
    </s:row>
    <s:row r="37" spans="1:15">
      <s:c r="A37" s="623" t="s">
        <s:v>3</s:v>
      </s:c>
      <s:c r="B37" s="624"/>
      <s:c r="C37" s="655"/>
      <s:c r="D37" s="657">
        <s:f>'Ялта, Ленина, 18'!I38</s:f>
        <s:v>60</s:v>
      </s:c>
      <s:c r="E37" s="658"/>
      <s:c r="F37" s="659"/>
      <s:c r="G37" s="660">
        <s:f>График!B64</s:f>
        <s:v>0</s:v>
      </s:c>
      <s:c r="H37" s="632"/>
      <s:c r="I37" s="661"/>
      <s:c r="J37" s="660">
        <s:f>График!B63</s:f>
        <s:v>0</s:v>
      </s:c>
      <s:c r="K37" s="632"/>
      <s:c r="L37" s="661"/>
      <s:c r="M37" s="660">
        <s:f>График!B62</s:f>
        <s:v>0</s:v>
      </s:c>
      <s:c r="N37" s="632"/>
      <s:c r="O37" s="661"/>
    </s:row>
    <s:row r="38" spans="1:15">
      <s:c r="A38" s="625"/>
      <s:c r="B38" s="626"/>
      <s:c r="C38" s="656"/>
      <s:c r="D38" s="634" t="s">
        <s:v>66</s:v>
      </s:c>
      <s:c r="E38" s="635"/>
      <s:c r="F38" s="172" t="s">
        <s:v>67</s:v>
      </s:c>
      <s:c r="G38" s="638" t="s">
        <s:v>5</s:v>
      </s:c>
      <s:c r="H38" s="639"/>
      <s:c r="I38" s="172" t="s">
        <s:v>67</s:v>
      </s:c>
      <s:c r="J38" s="638" t="s">
        <s:v>5</s:v>
      </s:c>
      <s:c r="K38" s="639"/>
      <s:c r="L38" s="173" t="s">
        <s:v>67</s:v>
      </s:c>
      <s:c r="M38" s="638" t="s">
        <s:v>5</s:v>
      </s:c>
      <s:c r="N38" s="639"/>
      <s:c r="O38" s="173" t="s">
        <s:v>67</s:v>
      </s:c>
    </s:row>
    <s:row r="39" spans="1:15">
      <s:c r="A39" s="640" t="s">
        <s:v>12</s:v>
      </s:c>
      <s:c r="B39" s="604"/>
      <s:c r="C39" s="605"/>
      <s:c r="D39" s="138">
        <s:f>'Ялта, Ленина, 18'!K43</s:f>
        <s:v>0</s:v>
      </s:c>
      <s:c r="E39" s="174">
        <s:f>'Ялта, Ленина, 18'!J43</s:f>
        <s:v>1.3333333333333333</s:v>
      </s:c>
      <s:c r="F39" s="140">
        <s:f>'Ялта, Ленина, 18'!M43</s:f>
        <s:v>0</s:v>
      </s:c>
      <s:c r="G39" s="175">
        <s:f>'Рогалевич И. Е.'!K43</s:f>
        <s:v>8881</s:v>
      </s:c>
      <s:c r="H39" s="176">
        <s:f>'Рогалевич И. Е.'!J43</s:f>
        <s:v>1.3333333333333333</s:v>
      </s:c>
      <s:c r="I39" s="140">
        <s:f>'Рогалевич И. Е.'!M43</s:f>
        <s:v>0</s:v>
      </s:c>
      <s:c r="J39" s="175">
        <s:f>'Уразгильдеева Е. Р.'!K43</s:f>
        <s:v>0</s:v>
      </s:c>
      <s:c r="K39" s="176" t="str">
        <s:f>'Уразгильдеева Е. Р.'!J43</s:f>
        <s:v/>
      </s:c>
      <s:c r="L39" s="145">
        <s:f>'Уразгильдеева Е. Р.'!M43</s:f>
        <s:v>0</s:v>
      </s:c>
      <s:c r="M39" s="175">
        <s:f>'Вафина Л. Ф.'!K43</s:f>
        <s:v>0</s:v>
      </s:c>
      <s:c r="N39" s="176" t="str">
        <s:f>'Вафина Л. Ф.'!J43</s:f>
        <s:v/>
      </s:c>
      <s:c r="O39" s="145">
        <s:f>'Вафина Л. Ф.'!M43</s:f>
        <s:v>0</s:v>
      </s:c>
    </s:row>
    <s:row r="40" spans="1:15">
      <s:c r="A40" s="641" t="s">
        <s:v>13</s:v>
      </s:c>
      <s:c r="B40" s="607"/>
      <s:c r="C40" s="608"/>
      <s:c r="D40" s="146">
        <s:f>'Ялта, Ленина, 18'!K44</s:f>
        <s:v>0</s:v>
      </s:c>
      <s:c r="E40" s="160">
        <s:f>'Ялта, Ленина, 18'!J44</s:f>
        <s:v>1.25</s:v>
      </s:c>
      <s:c r="F40" s="148">
        <s:f>'Ялта, Ленина, 18'!M44</s:f>
        <s:v>0</s:v>
      </s:c>
      <s:c r="G40" s="177">
        <s:f>'Рогалевич И. Е.'!K44</s:f>
        <s:v>24990</s:v>
      </s:c>
      <s:c r="H40" s="178">
        <s:f>'Рогалевич И. Е.'!J44</s:f>
        <s:v>1</s:v>
      </s:c>
      <s:c r="I40" s="148">
        <s:f>'Рогалевич И. Е.'!M44</s:f>
        <s:v>0</s:v>
      </s:c>
      <s:c r="J40" s="177">
        <s:f>'Уразгильдеева Е. Р.'!K44</s:f>
        <s:v>0</s:v>
      </s:c>
      <s:c r="K40" s="179" t="str">
        <s:f>'Уразгильдеева Е. Р.'!J44</s:f>
        <s:v/>
      </s:c>
      <s:c r="L40" s="154">
        <s:f>'Уразгильдеева Е. Р.'!M44</s:f>
        <s:v>0</s:v>
      </s:c>
      <s:c r="M40" s="177">
        <s:f>'Вафина Л. Ф.'!K44</s:f>
        <s:v>0</s:v>
      </s:c>
      <s:c r="N40" s="179">
        <s:f>'Вафина Л. Ф.'!J44</s:f>
        <s:v>1</s:v>
      </s:c>
      <s:c r="O40" s="154">
        <s:f>'Вафина Л. Ф.'!M44</s:f>
        <s:v>0</s:v>
      </s:c>
    </s:row>
    <s:row r="41" spans="1:15">
      <s:c r="A41" s="640" t="s">
        <s:v>14</s:v>
      </s:c>
      <s:c r="B41" s="604"/>
      <s:c r="C41" s="605"/>
      <s:c r="D41" s="146">
        <s:f>'Ялта, Ленина, 18'!K45</s:f>
        <s:v>6993</s:v>
      </s:c>
      <s:c r="E41" s="161">
        <s:f>'Ялта, Ленина, 18'!J45</s:f>
        <s:v>1.8333333333333333</s:v>
      </s:c>
      <s:c r="F41" s="148">
        <s:f>'Ялта, Ленина, 18'!M45</s:f>
        <s:v>0</s:v>
      </s:c>
      <s:c r="G41" s="177">
        <s:f>'Рогалевич И. Е.'!K45</s:f>
        <s:v>0</s:v>
      </s:c>
      <s:c r="H41" s="180">
        <s:f>'Рогалевич И. Е.'!J45</s:f>
        <s:v>1.6666666666666667</s:v>
      </s:c>
      <s:c r="I41" s="148">
        <s:f>'Рогалевич И. Е.'!M45</s:f>
        <s:v>0</s:v>
      </s:c>
      <s:c r="J41" s="177">
        <s:f>'Уразгильдеева Е. Р.'!K45</s:f>
        <s:v>0</s:v>
      </s:c>
      <s:c r="K41" s="180" t="str">
        <s:f>'Уразгильдеева Е. Р.'!J45</s:f>
        <s:v/>
      </s:c>
      <s:c r="L41" s="154">
        <s:f>'Уразгильдеева Е. Р.'!M45</s:f>
        <s:v>0</s:v>
      </s:c>
      <s:c r="M41" s="177">
        <s:f>'Вафина Л. Ф.'!K45</s:f>
        <s:v>0</s:v>
      </s:c>
      <s:c r="N41" s="179">
        <s:f>'Вафина Л. Ф.'!J45</s:f>
        <s:v>1</s:v>
      </s:c>
      <s:c r="O41" s="154">
        <s:f>'Вафина Л. Ф.'!M45</s:f>
        <s:v>0</s:v>
      </s:c>
    </s:row>
    <s:row r="42" spans="1:15">
      <s:c r="A42" s="641" t="s">
        <s:v>16</s:v>
      </s:c>
      <s:c r="B42" s="607"/>
      <s:c r="C42" s="608"/>
      <s:c r="D42" s="146">
        <s:f>'Ялта, Ленина, 18'!K46</s:f>
        <s:v>0</s:v>
      </s:c>
      <s:c r="E42" s="161">
        <s:f>'Ялта, Ленина, 18'!J46</s:f>
        <s:v>2.0769230769230771</s:v>
      </s:c>
      <s:c r="F42" s="148">
        <s:f>'Ялта, Ленина, 18'!M46</s:f>
        <s:v>0</s:v>
      </s:c>
      <s:c r="G42" s="177">
        <s:f>'Рогалевич И. Е.'!K46</s:f>
        <s:v>46004</s:v>
      </s:c>
      <s:c r="H42" s="180">
        <s:f>'Рогалевич И. Е.'!J46</s:f>
        <s:v>1.8</s:v>
      </s:c>
      <s:c r="I42" s="148">
        <s:f>'Рогалевич И. Е.'!M46</s:f>
        <s:v>0</s:v>
      </s:c>
      <s:c r="J42" s="177">
        <s:f>'Уразгильдеева Е. Р.'!K46</s:f>
        <s:v>0</s:v>
      </s:c>
      <s:c r="K42" s="180">
        <s:f>'Уразгильдеева Е. Р.'!J46</s:f>
        <s:v>1</s:v>
      </s:c>
      <s:c r="L42" s="154">
        <s:f>'Уразгильдеева Е. Р.'!M46</s:f>
        <s:v>0</s:v>
      </s:c>
      <s:c r="M42" s="177">
        <s:f>'Вафина Л. Ф.'!K46</s:f>
        <s:v>0</s:v>
      </s:c>
      <s:c r="N42" s="179">
        <s:f>'Вафина Л. Ф.'!J46</s:f>
        <s:v>2</s:v>
      </s:c>
      <s:c r="O42" s="154">
        <s:f>'Вафина Л. Ф.'!M46</s:f>
        <s:v>0</s:v>
      </s:c>
    </s:row>
    <s:row r="43" spans="1:15">
      <s:c r="A43" s="641" t="s">
        <s:v>17</s:v>
      </s:c>
      <s:c r="B43" s="607"/>
      <s:c r="C43" s="608"/>
      <s:c r="D43" s="146">
        <s:f>'Ялта, Ленина, 18'!K47</s:f>
        <s:v>82832</s:v>
      </s:c>
      <s:c r="E43" s="181">
        <s:f>'Ялта, Ленина, 18'!J47</s:f>
        <s:v>1.7142857142857142</s:v>
      </s:c>
      <s:c r="F43" s="148">
        <s:f>'Ялта, Ленина, 18'!M47</s:f>
        <s:v>0</s:v>
      </s:c>
      <s:c r="G43" s="177">
        <s:f>'Рогалевич И. Е.'!K47</s:f>
        <s:v>0</s:v>
      </s:c>
      <s:c r="H43" s="182">
        <s:f>'Рогалевич И. Е.'!J47</s:f>
        <s:v>3.3333333333333335</s:v>
      </s:c>
      <s:c r="I43" s="148">
        <s:f>'Рогалевич И. Е.'!M47</s:f>
        <s:v>0</s:v>
      </s:c>
      <s:c r="J43" s="177">
        <s:f>'Уразгильдеева Е. Р.'!K47</s:f>
        <s:v>0</s:v>
      </s:c>
      <s:c r="K43" s="183" t="str">
        <s:f>'Уразгильдеева Е. Р.'!J47</s:f>
        <s:v/>
      </s:c>
      <s:c r="L43" s="154">
        <s:f>'Уразгильдеева Е. Р.'!M47</s:f>
        <s:v>0</s:v>
      </s:c>
      <s:c r="M43" s="177">
        <s:f>'Вафина Л. Ф.'!K47</s:f>
        <s:v>0</s:v>
      </s:c>
      <s:c r="N43" s="183">
        <s:f>'Вафина Л. Ф.'!J47</s:f>
        <s:v>1</s:v>
      </s:c>
      <s:c r="O43" s="154">
        <s:f>'Вафина Л. Ф.'!M47</s:f>
        <s:v>0</s:v>
      </s:c>
    </s:row>
    <s:row r="44" spans="1:15">
      <s:c r="A44" s="641" t="s">
        <s:v>18</s:v>
      </s:c>
      <s:c r="B44" s="607"/>
      <s:c r="C44" s="608"/>
      <s:c r="D44" s="146">
        <s:f>'Ялта, Ленина, 18'!K48</s:f>
        <s:v>59858</s:v>
      </s:c>
      <s:c r="E44" s="160">
        <s:f>'Ялта, Ленина, 18'!J48</s:f>
        <s:v>1.5714285714285714</s:v>
      </s:c>
      <s:c r="F44" s="148">
        <s:f>'Ялта, Ленина, 18'!M48</s:f>
        <s:v>0</s:v>
      </s:c>
      <s:c r="G44" s="177">
        <s:f>'Рогалевич И. Е.'!K48</s:f>
        <s:v>24993</s:v>
      </s:c>
      <s:c r="H44" s="178">
        <s:f>'Рогалевич И. Е.'!J48</s:f>
        <s:v>1.3333333333333333</s:v>
      </s:c>
      <s:c r="I44" s="148">
        <s:f>'Рогалевич И. Е.'!M48</s:f>
        <s:v>0</s:v>
      </s:c>
      <s:c r="J44" s="177">
        <s:f>'Уразгильдеева Е. Р.'!K48</s:f>
        <s:v>0</s:v>
      </s:c>
      <s:c r="K44" s="179" t="str">
        <s:f>'Уразгильдеева Е. Р.'!J48</s:f>
        <s:v/>
      </s:c>
      <s:c r="L44" s="154">
        <s:f>'Уразгильдеева Е. Р.'!M48</s:f>
        <s:v>0</s:v>
      </s:c>
      <s:c r="M44" s="177">
        <s:f>'Вафина Л. Ф.'!K48</s:f>
        <s:v>8184</s:v>
      </s:c>
      <s:c r="N44" s="179">
        <s:f>'Вафина Л. Ф.'!J48</s:f>
        <s:v>1.8695652173913044</s:v>
      </s:c>
      <s:c r="O44" s="154">
        <s:f>'Вафина Л. Ф.'!M48</s:f>
        <s:v>0</s:v>
      </s:c>
    </s:row>
    <s:row r="45" spans="1:15">
      <s:c r="A45" s="641" t="s">
        <s:v>68</s:v>
      </s:c>
      <s:c r="B45" s="607"/>
      <s:c r="C45" s="608"/>
      <s:c r="D45" s="146">
        <s:f>'Ялта, Ленина, 18'!K49</s:f>
        <s:v>24990</s:v>
      </s:c>
      <s:c r="E45" s="160">
        <s:f>'Ялта, Ленина, 18'!J49</s:f>
        <s:v>1</s:v>
      </s:c>
      <s:c r="F45" s="148"/>
      <s:c r="G45" s="177">
        <s:f>'Рогалевич И. Е.'!K49</s:f>
        <s:v>0</s:v>
      </s:c>
      <s:c r="H45" s="178">
        <s:f>'Рогалевич И. Е.'!J49</s:f>
        <s:v>1</s:v>
      </s:c>
      <s:c r="I45" s="148"/>
      <s:c r="J45" s="177">
        <s:f>'Уразгильдеева Е. Р.'!K49</s:f>
        <s:v>0</s:v>
      </s:c>
      <s:c r="K45" s="178" t="str">
        <s:f>'Уразгильдеева Е. Р.'!J49</s:f>
        <s:v/>
      </s:c>
      <s:c r="L45" s="154"/>
      <s:c r="M45" s="177">
        <s:f>'Вафина Л. Ф.'!K49</s:f>
        <s:v>0</s:v>
      </s:c>
      <s:c r="N45" s="179">
        <s:f>'Вафина Л. Ф.'!J49</s:f>
        <s:v>0</s:v>
      </s:c>
      <s:c r="O45" s="154"/>
    </s:row>
    <s:row r="46" spans="1:15">
      <s:c r="A46" s="641" t="s">
        <s:v>20</s:v>
      </s:c>
      <s:c r="B46" s="607"/>
      <s:c r="C46" s="608"/>
      <s:c r="D46" s="146">
        <s:f>'Ялта, Ленина, 18'!K50</s:f>
        <s:v>0</s:v>
      </s:c>
      <s:c r="E46" s="161">
        <s:f>'Ялта, Ленина, 18'!J50</s:f>
        <s:v>1.7</s:v>
      </s:c>
      <s:c r="F46" s="148">
        <s:f>'Ялта, Ленина, 18'!M50</s:f>
        <s:v>0</s:v>
      </s:c>
      <s:c r="G46" s="177">
        <s:f>'Рогалевич И. Е.'!K50</s:f>
        <s:v>0</s:v>
      </s:c>
      <s:c r="H46" s="180" t="str">
        <s:f>'Рогалевич И. Е.'!J50</s:f>
        <s:v/>
      </s:c>
      <s:c r="I46" s="148">
        <s:f>'Рогалевич И. Е.'!M50</s:f>
        <s:v>0</s:v>
      </s:c>
      <s:c r="J46" s="177">
        <s:f>'Уразгильдеева Е. Р.'!K50</s:f>
        <s:v>130123</s:v>
      </s:c>
      <s:c r="K46" s="180">
        <s:f>'Уразгильдеева Е. Р.'!J50</s:f>
        <s:v>1.6307692307692307</s:v>
      </s:c>
      <s:c r="L46" s="154">
        <s:f>'Уразгильдеева Е. Р.'!M50</s:f>
        <s:v>0</s:v>
      </s:c>
      <s:c r="M46" s="177">
        <s:f>'Вафина Л. Ф.'!K50</s:f>
        <s:v>0</s:v>
      </s:c>
      <s:c r="N46" s="179">
        <s:f>'Вафина Л. Ф.'!J50</s:f>
        <s:v>0</s:v>
      </s:c>
      <s:c r="O46" s="154">
        <s:f>'Вафина Л. Ф.'!M50</s:f>
        <s:v>0</s:v>
      </s:c>
    </s:row>
    <s:row r="47" spans="1:15">
      <s:c r="A47" s="642" t="s">
        <s:v>23</s:v>
      </s:c>
      <s:c r="B47" s="643"/>
      <s:c r="C47" s="644"/>
      <s:c r="D47" s="146">
        <s:f>'Ялта, Ленина, 18'!K52</s:f>
        <s:v>0</s:v>
      </s:c>
      <s:c r="E47" s="160">
        <s:f>'Ялта, Ленина, 18'!J52</s:f>
        <s:v>2.6</s:v>
      </s:c>
      <s:c r="F47" s="148">
        <s:f>'Ялта, Ленина, 18'!M52</s:f>
        <s:v>0</s:v>
      </s:c>
      <s:c r="G47" s="177">
        <s:f>'Рогалевич И. Е.'!K52</s:f>
        <s:v>0</s:v>
      </s:c>
      <s:c r="H47" s="178">
        <s:f>'Рогалевич И. Е.'!J52</s:f>
        <s:v>2</s:v>
      </s:c>
      <s:c r="I47" s="148">
        <s:f>'Рогалевич И. Е.'!M52</s:f>
        <s:v>0</s:v>
      </s:c>
      <s:c r="J47" s="177">
        <s:f>'Уразгильдеева Е. Р.'!K52</s:f>
        <s:v>0</s:v>
      </s:c>
      <s:c r="K47" s="178">
        <s:f>'Уразгильдеева Е. Р.'!J52</s:f>
        <s:v>0</s:v>
      </s:c>
      <s:c r="L47" s="154">
        <s:f>'Уразгильдеева Е. Р.'!M52</s:f>
        <s:v>0</s:v>
      </s:c>
      <s:c r="M47" s="177">
        <s:f>'Вафина Л. Ф.'!K52</s:f>
        <s:v>0</s:v>
      </s:c>
      <s:c r="N47" s="178">
        <s:f>'Вафина Л. Ф.'!J52</s:f>
        <s:v>0</s:v>
      </s:c>
      <s:c r="O47" s="154">
        <s:f>'Вафина Л. Ф.'!M52</s:f>
        <s:v>0</s:v>
      </s:c>
    </s:row>
    <s:row r="48" spans="1:15">
      <s:c r="A48" s="642" t="s">
        <s:v>22</s:v>
      </s:c>
      <s:c r="B48" s="643"/>
      <s:c r="C48" s="644"/>
      <s:c r="D48" s="146">
        <s:f>'Ялта, Ленина, 18'!S54</s:f>
        <s:v>36363</s:v>
      </s:c>
      <s:c r="E48" s="161">
        <s:f>'Ялта, Ленина, 18'!T53</s:f>
        <s:v>11</s:v>
      </s:c>
      <s:c r="F48" s="148">
        <s:f>'Ялта, Ленина, 18'!T54</s:f>
        <s:v>7</s:v>
      </s:c>
      <s:c r="G48" s="177">
        <s:f>'Рогалевич И. Е.'!S54</s:f>
        <s:v>1680173.3026178011</s:v>
      </s:c>
      <s:c r="H48" s="180" t="str">
        <s:f>'Рогалевич И. Е.'!T53</s:f>
        <s:v/>
      </s:c>
      <s:c r="I48" s="148">
        <s:f>'Рогалевич И. Е.'!T54</s:f>
        <s:v>291.6967539267016</s:v>
      </s:c>
      <s:c r="J48" s="177">
        <s:f>'Уразгильдеева Е. Р.'!S54</s:f>
        <s:v>0</s:v>
      </s:c>
      <s:c r="K48" s="180">
        <s:f>'Уразгильдеева Е. Р.'!T53</s:f>
        <s:v>0</s:v>
      </s:c>
      <s:c r="L48" s="154">
        <s:f>'Уразгильдеева Е. Р.'!T54</s:f>
        <s:v>0</s:v>
      </s:c>
      <s:c r="M48" s="177">
        <s:f>'Вафина Л. Ф.'!S54</s:f>
        <s:v>0</s:v>
      </s:c>
      <s:c r="N48" s="184">
        <s:f>'Вафина Л. Ф.'!T53</s:f>
        <s:v>0</s:v>
      </s:c>
      <s:c r="O48" s="154">
        <s:f>'Вафина Л. Ф.'!T54</s:f>
        <s:v>0</s:v>
      </s:c>
    </s:row>
    <s:row r="49" spans="1:15">
      <s:c r="A49" s="642" t="s">
        <s:v>15</s:v>
      </s:c>
      <s:c r="B49" s="643"/>
      <s:c r="C49" s="644"/>
      <s:c r="D49" s="185">
        <s:f>'Ялта, Ленина, 18'!S48</s:f>
        <s:v>100569</s:v>
      </s:c>
      <s:c r="E49" s="164">
        <s:f>'Ялта, Ленина, 18'!T47</s:f>
        <s:v>12</s:v>
      </s:c>
      <s:c r="F49" s="186">
        <s:f>'Ялта, Ленина, 18'!T48</s:f>
        <s:v>11</s:v>
      </s:c>
      <s:c r="G49" s="187">
        <s:f>'Рогалевич И. Е.'!S48</s:f>
        <s:v>54425</s:v>
      </s:c>
      <s:c r="H49" s="188">
        <s:f>'Рогалевич И. Е.'!T47</s:f>
        <s:v>10</s:v>
      </s:c>
      <s:c r="I49" s="186">
        <s:f>'Рогалевич И. Е.'!T48</s:f>
        <s:v>8</s:v>
      </s:c>
      <s:c r="J49" s="187" t="str">
        <s:f>'Уразгильдеева Е. Р.'!S48</s:f>
        <s:v/>
      </s:c>
      <s:c r="K49" s="188" t="str">
        <s:f>'Уразгильдеева Е. Р.'!T47</s:f>
        <s:v/>
      </s:c>
      <s:c r="L49" s="171" t="str">
        <s:f>'Уразгильдеева Е. Р.'!T48</s:f>
        <s:v/>
      </s:c>
      <s:c r="M49" s="187">
        <s:f>'Вафина Л. Ф.'!S48</s:f>
        <s:v>839601.54465220659</s:v>
      </s:c>
      <s:c r="N49" s="188" t="str">
        <s:f>'Вафина Л. Ф.'!T47</s:f>
        <s:v/>
      </s:c>
      <s:c r="O49" s="171">
        <s:f>'Вафина Л. Ф.'!T48</s:f>
        <s:v>149.92005983545249</s:v>
      </s:c>
    </s:row>
    <s:row r="50" spans="1:15">
      <s:c r="A50" s="662" t="s">
        <s:v>69</s:v>
      </s:c>
      <s:c r="B50" s="663"/>
      <s:c r="C50" s="664"/>
      <s:c r="D50" s="646">
        <s:f>'Ялта, Ленина, 18'!J51</s:f>
        <s:v>1.7</s:v>
      </s:c>
      <s:c r="E50" s="647"/>
      <s:c r="F50" s="648"/>
      <s:c r="G50" s="665">
        <s:f>'Рогалевич И. Е.'!N43</s:f>
        <s:v>0.15</s:v>
      </s:c>
      <s:c r="H50" s="666"/>
      <s:c r="I50" s="667"/>
      <s:c r="J50" s="665" t="str">
        <s:f>'Уразгильдеева Е. Р.'!N43</s:f>
        <s:v/>
      </s:c>
      <s:c r="K50" s="666"/>
      <s:c r="L50" s="667"/>
      <s:c r="M50" s="665" t="str">
        <s:f>'Вафина Л. Ф.'!N43</s:f>
        <s:v/>
      </s:c>
      <s:c r="N50" s="666"/>
      <s:c r="O50" s="667"/>
    </s:row>
  </s:sheetData>
  <s:mergeCells count="52">
    <s:mergeCell ref="M50:O50"/>
    <s:mergeCell ref="A49:C49"/>
    <s:mergeCell ref="A50:C50"/>
    <s:mergeCell ref="D50:F50"/>
    <s:mergeCell ref="G50:I50"/>
    <s:mergeCell ref="J50:L50"/>
    <s:mergeCell ref="A44:C44"/>
    <s:mergeCell ref="A45:C45"/>
    <s:mergeCell ref="A46:C46"/>
    <s:mergeCell ref="A47:C47"/>
    <s:mergeCell ref="A48:C48"/>
    <s:mergeCell ref="A39:C39"/>
    <s:mergeCell ref="A40:C40"/>
    <s:mergeCell ref="A41:C41"/>
    <s:mergeCell ref="A42:C42"/>
    <s:mergeCell ref="A43:C43"/>
    <s:mergeCell ref="M15:O15"/>
    <s:mergeCell ref="A36:O36"/>
    <s:mergeCell ref="A37:C38"/>
    <s:mergeCell ref="D37:F37"/>
    <s:mergeCell ref="G37:I37"/>
    <s:mergeCell ref="J37:L37"/>
    <s:mergeCell ref="M37:O37"/>
    <s:mergeCell ref="D38:E38"/>
    <s:mergeCell ref="G38:H38"/>
    <s:mergeCell ref="J38:K38"/>
    <s:mergeCell ref="M38:N38"/>
    <s:mergeCell ref="A14:C14"/>
    <s:mergeCell ref="A15:C15"/>
    <s:mergeCell ref="D15:F15"/>
    <s:mergeCell ref="G15:I15"/>
    <s:mergeCell ref="J15:L15"/>
    <s:mergeCell ref="A9:C9"/>
    <s:mergeCell ref="A10:C10"/>
    <s:mergeCell ref="A11:C11"/>
    <s:mergeCell ref="A12:C12"/>
    <s:mergeCell ref="A13:C13"/>
    <s:mergeCell ref="A4:C4"/>
    <s:mergeCell ref="A5:C5"/>
    <s:mergeCell ref="A6:C6"/>
    <s:mergeCell ref="A7:C7"/>
    <s:mergeCell ref="A8:C8"/>
    <s:mergeCell ref="A1:O1"/>
    <s:mergeCell ref="A2:C3"/>
    <s:mergeCell ref="D2:F2"/>
    <s:mergeCell ref="G2:I2"/>
    <s:mergeCell ref="J2:L2"/>
    <s:mergeCell ref="M2:O2"/>
    <s:mergeCell ref="D3:E3"/>
    <s:mergeCell ref="G3:H3"/>
    <s:mergeCell ref="J3:K3"/>
    <s:mergeCell ref="M3:N3"/>
  </s:mergeCells>
  <s:conditionalFormatting sqref="D4">
    <s:cfRule type="cellIs" dxfId="259" priority="155" operator="greaterThanOrEqual">
      <s:formula>$D$10</s:formula>
    </s:cfRule>
    <s:cfRule type="cellIs" dxfId="258" priority="152" operator="lessThan">
      <s:formula>$D$10</s:formula>
    </s:cfRule>
  </s:conditionalFormatting>
  <s:conditionalFormatting sqref="D4:D9 F4:G9 I4:J9 L4:M9 O4:O9 D11 F11:G11 I11:J11 L11:M11 O11 D13:D14 F13:G14 I13:J14 L13:M14 O13:O14">
    <s:cfRule type="cellIs" dxfId="257" priority="123" operator="between">
      <s:formula>0.9</s:formula>
      <s:formula>0.9999</s:formula>
    </s:cfRule>
  </s:conditionalFormatting>
  <s:conditionalFormatting sqref="D6:D8 D11 D13:D14">
    <s:cfRule type="cellIs" dxfId="256" priority="148" operator="lessThan">
      <s:formula>1</s:formula>
    </s:cfRule>
    <s:cfRule type="cellIs" dxfId="255" priority="149" operator="greaterThanOrEqual">
      <s:formula>1</s:formula>
    </s:cfRule>
  </s:conditionalFormatting>
  <s:conditionalFormatting sqref="D39">
    <s:cfRule type="cellIs" dxfId="254" priority="170" operator="lessThan">
      <s:formula>$D$10</s:formula>
    </s:cfRule>
    <s:cfRule type="cellIs" dxfId="253" priority="167" operator="greaterThanOrEqual">
      <s:formula>$D$10</s:formula>
    </s:cfRule>
  </s:conditionalFormatting>
  <s:conditionalFormatting sqref="D41:D43 D46 D48:D49">
    <s:cfRule type="cellIs" dxfId="252" priority="174" operator="lessThan">
      <s:formula>1</s:formula>
    </s:cfRule>
    <s:cfRule type="cellIs" dxfId="251" priority="173" operator="greaterThanOrEqual">
      <s:formula>1</s:formula>
    </s:cfRule>
  </s:conditionalFormatting>
  <s:conditionalFormatting sqref="D15:O15">
    <s:cfRule type="cellIs" dxfId="250" priority="97" operator="lessThan">
      <s:formula>0</s:formula>
    </s:cfRule>
  </s:conditionalFormatting>
  <s:conditionalFormatting sqref="D50:O50">
    <s:cfRule type="cellIs" dxfId="249" priority="184" operator="lessThan">
      <s:formula>0</s:formula>
    </s:cfRule>
  </s:conditionalFormatting>
  <s:conditionalFormatting sqref="F4:F9 I4:I9 F11 F13:F14">
    <s:cfRule type="cellIs" dxfId="248" priority="156" operator="lessThan">
      <s:formula>1</s:formula>
    </s:cfRule>
  </s:conditionalFormatting>
  <s:conditionalFormatting sqref="F4:F9 I4:I9 F11 I11 F13:F14 I13:I14">
    <s:cfRule type="cellIs" dxfId="247" priority="157" operator="greaterThan">
      <s:formula>1</s:formula>
    </s:cfRule>
  </s:conditionalFormatting>
  <s:conditionalFormatting sqref="F39:F44 I39:I44 F46 F48:F49">
    <s:cfRule type="cellIs" dxfId="246" priority="166" operator="lessThan">
      <s:formula>1</s:formula>
    </s:cfRule>
  </s:conditionalFormatting>
  <s:conditionalFormatting sqref="F39:F44 I39:I44 F46 I46 F48:F49 I48:I49">
    <s:cfRule type="cellIs" dxfId="245" priority="165" operator="greaterThan">
      <s:formula>1</s:formula>
    </s:cfRule>
  </s:conditionalFormatting>
  <s:conditionalFormatting sqref="G4:G9 G11 G13:G14">
    <s:cfRule type="cellIs" dxfId="244" priority="151" operator="lessThan">
      <s:formula>$G$10</s:formula>
    </s:cfRule>
    <s:cfRule type="cellIs" dxfId="243" priority="154" operator="greaterThanOrEqual">
      <s:formula>$G$10</s:formula>
    </s:cfRule>
  </s:conditionalFormatting>
  <s:conditionalFormatting sqref="G39:G44 G46 G48:G49">
    <s:cfRule type="cellIs" dxfId="242" priority="171" operator="lessThan">
      <s:formula>$G$10</s:formula>
    </s:cfRule>
    <s:cfRule type="cellIs" dxfId="241" priority="168" operator="greaterThanOrEqual">
      <s:formula>$G$10</s:formula>
    </s:cfRule>
  </s:conditionalFormatting>
  <s:conditionalFormatting sqref="G15:O15">
    <s:cfRule type="cellIs" dxfId="240" priority="161" operator="greaterThan">
      <s:formula>0</s:formula>
    </s:cfRule>
  </s:conditionalFormatting>
  <s:conditionalFormatting sqref="G50:O50">
    <s:cfRule type="cellIs" dxfId="239" priority="162" operator="greaterThan">
      <s:formula>0</s:formula>
    </s:cfRule>
  </s:conditionalFormatting>
  <s:conditionalFormatting sqref="J4:J5">
    <s:cfRule type="cellIs" dxfId="238" priority="150" operator="lessThan">
      <s:formula>$J$10</s:formula>
    </s:cfRule>
    <s:cfRule type="cellIs" dxfId="237" priority="153" operator="greaterThanOrEqual">
      <s:formula>$J$10</s:formula>
    </s:cfRule>
  </s:conditionalFormatting>
  <s:conditionalFormatting sqref="J6:J9 I11:J11 I13:J14">
    <s:cfRule type="cellIs" dxfId="236" priority="146" operator="lessThan">
      <s:formula>1</s:formula>
    </s:cfRule>
  </s:conditionalFormatting>
  <s:conditionalFormatting sqref="J6:J9 J11 J13:J14">
    <s:cfRule type="cellIs" dxfId="235" priority="147" operator="greaterThanOrEqual">
      <s:formula>1</s:formula>
    </s:cfRule>
  </s:conditionalFormatting>
  <s:conditionalFormatting sqref="J39:J40">
    <s:cfRule type="cellIs" dxfId="234" priority="169" operator="greaterThanOrEqual">
      <s:formula>$J$10</s:formula>
    </s:cfRule>
    <s:cfRule type="cellIs" dxfId="233" priority="172" operator="lessThan">
      <s:formula>$J$10</s:formula>
    </s:cfRule>
  </s:conditionalFormatting>
  <s:conditionalFormatting sqref="J41:J44 I46:J46 I48:J49">
    <s:cfRule type="cellIs" dxfId="232" priority="176" operator="lessThan">
      <s:formula>1</s:formula>
    </s:cfRule>
  </s:conditionalFormatting>
  <s:conditionalFormatting sqref="J41:J44 J46 J48:J49">
    <s:cfRule type="cellIs" dxfId="231" priority="175" operator="greaterThanOrEqual">
      <s:formula>1</s:formula>
    </s:cfRule>
  </s:conditionalFormatting>
  <s:conditionalFormatting sqref="L4:L9 L11 L13:L14">
    <s:cfRule type="cellIs" dxfId="230" priority="159" operator="greaterThan">
      <s:formula>1</s:formula>
    </s:cfRule>
  </s:conditionalFormatting>
  <s:conditionalFormatting sqref="L4:L9 L11">
    <s:cfRule type="cellIs" dxfId="229" priority="158" operator="lessThan">
      <s:formula>1</s:formula>
    </s:cfRule>
  </s:conditionalFormatting>
  <s:conditionalFormatting sqref="L39:L44 L46 L48:L49">
    <s:cfRule type="cellIs" dxfId="228" priority="163" operator="greaterThan">
      <s:formula>1</s:formula>
    </s:cfRule>
  </s:conditionalFormatting>
  <s:conditionalFormatting sqref="L39:L44 L46">
    <s:cfRule type="cellIs" dxfId="227" priority="164" operator="lessThan">
      <s:formula>1</s:formula>
    </s:cfRule>
  </s:conditionalFormatting>
  <s:conditionalFormatting sqref="L13:M14">
    <s:cfRule type="cellIs" dxfId="226" priority="124" operator="lessThan">
      <s:formula>1</s:formula>
    </s:cfRule>
  </s:conditionalFormatting>
  <s:conditionalFormatting sqref="L48:M49 L39:M44 L46:M46 O39:O44 O46 O48:O49 I39:J44 I46:J46 I48:J49 D39:D44 D46 D48:D49 F39:G44 F46:G46 F48:G49">
    <s:cfRule type="cellIs" dxfId="225" priority="183" operator="between">
      <s:formula>0.9</s:formula>
      <s:formula>0.9999</s:formula>
    </s:cfRule>
  </s:conditionalFormatting>
  <s:conditionalFormatting sqref="L48:M49">
    <s:cfRule type="cellIs" dxfId="224" priority="182" operator="lessThan">
      <s:formula>1</s:formula>
    </s:cfRule>
  </s:conditionalFormatting>
  <s:conditionalFormatting sqref="M4:M9 M11">
    <s:cfRule type="cellIs" dxfId="223" priority="126" operator="lessThan">
      <s:formula>$J$10</s:formula>
    </s:cfRule>
    <s:cfRule type="cellIs" dxfId="222" priority="127" operator="greaterThanOrEqual">
      <s:formula>$J$10</s:formula>
    </s:cfRule>
  </s:conditionalFormatting>
  <s:conditionalFormatting sqref="M13:M14">
    <s:cfRule type="cellIs" dxfId="221" priority="125" operator="greaterThanOrEqual">
      <s:formula>1</s:formula>
    </s:cfRule>
  </s:conditionalFormatting>
  <s:conditionalFormatting sqref="M39:M44 M46">
    <s:cfRule type="cellIs" dxfId="220" priority="179" operator="greaterThanOrEqual">
      <s:formula>$J$10</s:formula>
    </s:cfRule>
    <s:cfRule type="cellIs" dxfId="219" priority="180" operator="lessThan">
      <s:formula>$J$10</s:formula>
    </s:cfRule>
  </s:conditionalFormatting>
  <s:conditionalFormatting sqref="M48:M49">
    <s:cfRule type="cellIs" dxfId="218" priority="181" operator="greaterThanOrEqual">
      <s:formula>1</s:formula>
    </s:cfRule>
  </s:conditionalFormatting>
  <s:conditionalFormatting sqref="O4:O9 O11 O13:O14">
    <s:cfRule type="cellIs" dxfId="217" priority="128" operator="lessThan">
      <s:formula>1</s:formula>
    </s:cfRule>
    <s:cfRule type="cellIs" dxfId="216" priority="129" operator="greaterThan">
      <s:formula>1</s:formula>
    </s:cfRule>
  </s:conditionalFormatting>
  <s:conditionalFormatting sqref="O39:O44 O46 O48:O49">
    <s:cfRule type="cellIs" dxfId="215" priority="177" operator="greaterThan">
      <s:formula>1</s:formula>
    </s:cfRule>
    <s:cfRule type="cellIs" dxfId="214" priority="178" operator="lessThan">
      <s:formula>1</s:formula>
    </s:cfRule>
  </s:conditionalFormatting>
  <s:dataValidations count="1">
    <s:dataValidation xr:uid="{00A400D3-0071-403D-8DF9-003200F600BD}" type="decimal" allowBlank="1" showErrorMessage="1" sqref="D4:F14 D39:F49" vyd:viewType="arrow" mc:Ignorable="vyd">
      <s:formula1>0</s:formula1>
      <s:formula2>1000000000000000</s:formula2>
    </s:dataValidation>
  </s:dataValidations>
  <s:pageMargins left="0.7" right="0.7" top="0.75" bottom="0.75" header="0.3" footer="0.3"/>
  <s:pageSetup paperSize="9" orientation="portrait"/>
</s:worksheet>
</file>

<file path=xl/worksheets/sheet3.xml><?xml version="1.0" encoding="utf-8"?>
<s:worksheet xmlns:mc="http://schemas.openxmlformats.org/markup-compatibility/2006"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mc:Ignorable="x14ac xr xr2 xr3" xr:uid="{00000000-0001-0000-0200-000000000000}">
  <s:sheetPr>
    <s:pageSetUpPr fitToPage="1"/>
  </s:sheetPr>
  <s:dimension ref="A1:D9"/>
  <s:sheetViews>
    <s:sheetView showZeros="0" tabSelected="0" zoomScale="138" workbookViewId="0">
      <s:selection activeCell="F7" sqref="F7"/>
    </s:sheetView>
  </s:sheetViews>
  <s:sheetFormatPr baseColWidth="10" defaultColWidth="11.5" defaultRowHeight="15"/>
  <s:cols>
    <s:col min="1" max="3" width="11.5" style="189"/>
    <s:col min="4" max="4" width="11.5" style="3"/>
  </s:cols>
  <s:sheetData>
    <s:row r="1" spans="1:4">
      <s:c r="A1" s="668" t="s">
        <s:v>12</s:v>
      </s:c>
      <s:c r="B1" s="669"/>
      <s:c r="C1" s="669"/>
      <s:c r="D1" s="190">
        <s:v>154212</s:v>
      </s:c>
    </s:row>
    <s:row r="2" spans="1:4">
      <s:c r="A2" s="670" t="s">
        <s:v>13</s:v>
      </s:c>
      <s:c r="B2" s="671"/>
      <s:c r="C2" s="671"/>
      <s:c r="D2" s="191">
        <s:f>D1/D4</s:f>
        <s:v>26.772916666666667</s:v>
      </s:c>
    </s:row>
    <s:row r="3" spans="1:4">
      <s:c r="A3" s="670" t="s">
        <s:v>14</s:v>
      </s:c>
      <s:c r="B3" s="671"/>
      <s:c r="C3" s="671"/>
      <s:c r="D3" s="192">
        <s:f>D4*D5</s:f>
        <s:v>10944</s:v>
      </s:c>
    </s:row>
    <s:row r="4" spans="1:4">
      <s:c r="A4" s="670" t="s">
        <s:v>16</s:v>
      </s:c>
      <s:c r="B4" s="671"/>
      <s:c r="C4" s="671"/>
      <s:c r="D4" s="193">
        <s:f>'Ялта, Ленина, 18'!I11</s:f>
        <s:v>5760</s:v>
      </s:c>
    </s:row>
    <s:row r="5" spans="1:4">
      <s:c r="A5" s="670" t="s">
        <s:v>17</s:v>
      </s:c>
      <s:c r="B5" s="671"/>
      <s:c r="C5" s="671"/>
      <s:c r="D5" s="194">
        <s:f>'Ялта, Ленина, 18'!I12</s:f>
        <s:v>1.9</s:v>
      </s:c>
    </s:row>
    <s:row r="6" spans="1:4">
      <s:c r="A6" s="670" t="s">
        <s:v>18</s:v>
      </s:c>
      <s:c r="B6" s="671"/>
      <s:c r="C6" s="671"/>
      <s:c r="D6" s="192">
        <s:f>IF(D5&lt;&gt;0,D2/D5,"")</s:f>
        <s:v>14.091008771929825</s:v>
      </s:c>
    </s:row>
    <s:row r="7" spans="1:4">
      <s:c r="A7" s="670" t="s">
        <s:v>70</s:v>
      </s:c>
      <s:c r="B7" s="670"/>
      <s:c r="C7" s="672"/>
      <s:c r="D7" s="195">
        <s:f>'Ялта, Ленина, 18'!I20</s:f>
        <s:v>0.246</s:v>
      </s:c>
    </s:row>
    <s:row r="8" spans="1:4">
      <s:c r="A8" s="673" t="s">
        <s:v>15</s:v>
      </s:c>
      <s:c r="B8" s="674"/>
      <s:c r="C8" s="675"/>
      <s:c r="D8" s="196" t="e">
        <s:f>('Ялта, Ленина, 18'!S12-'Ялта, Ленина, 18'!T12)/('Ялта, Ленина, 18'!I14-'Ялта, Ленина, 18'!J14)</s:f>
        <s:v>#DIV/0!</s:v>
      </s:c>
    </s:row>
    <s:row r="9" spans="1:4">
      <s:c r="A9" s="676" t="s">
        <s:v>22</s:v>
      </s:c>
      <s:c r="B9" s="677"/>
      <s:c r="C9" s="678"/>
      <s:c r="D9" s="197" t="e">
        <s:f>('Ялта, Ленина, 18'!S18-'Ялта, Ленина, 18'!T18)/('Ялта, Ленина, 18'!I14-'Ялта, Ленина, 18'!J14)</s:f>
        <s:v>#DIV/0!</s:v>
      </s:c>
    </s:row>
  </s:sheetData>
  <s:mergeCells count="9">
    <s:mergeCell ref="A6:C6"/>
    <s:mergeCell ref="A7:C7"/>
    <s:mergeCell ref="A8:C8"/>
    <s:mergeCell ref="A9:C9"/>
    <s:mergeCell ref="A1:C1"/>
    <s:mergeCell ref="A2:C2"/>
    <s:mergeCell ref="A3:C3"/>
    <s:mergeCell ref="A4:C4"/>
    <s:mergeCell ref="A5:C5"/>
  </s:mergeCells>
  <s:dataValidations count="1">
    <s:dataValidation xr:uid="{00DA0090-00E4-438F-AEBD-0018002600C1}" type="decimal" allowBlank="1" showErrorMessage="1" sqref="D7 D2" vyd:viewType="arrow" mc:Ignorable="vyd">
      <s:formula1>0</s:formula1>
      <s:formula2>1000000000000000</s:formula2>
    </s:dataValidation>
  </s:dataValidations>
  <s:pageMargins left="0.788" right="0.788" top="0.788" bottom="0.788" header="0.512" footer="0.512"/>
  <s:pageSetup paperSize="9" fitToHeight="0" orientation="landscape"/>
</s:worksheet>
</file>

<file path=xl/worksheets/sheet4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300-000000000000}">
  <s:sheetPr>
    <s:pageSetUpPr fitToPage="1"/>
  </s:sheetPr>
  <s:dimension ref="A1:IU59"/>
  <s:sheetViews>
    <s:sheetView showZeros="0" tabSelected="0" topLeftCell="A2" zoomScale="110" workbookViewId="0">
      <s:pane xSplit="3" topLeftCell="D1" activePane="topRight" state="frozen"/>
      <s:selection activeCell="A9" sqref="A9"/>
      <s:selection pane="topRight" activeCell="L31" sqref="L31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79">
        <s:f ca="1">TODAY()-1</s:f>
        <s:v>46171</s:v>
      </s:c>
      <s:c r="C1" s="679"/>
      <s:c r="D1" s="11"/>
      <s:c r="E1" s="11"/>
      <s:c r="F1" s="12"/>
      <s:c r="G1" s="12"/>
      <s:c r="H1" s="12"/>
      <s:c r="I1" s="12"/>
      <s:c r="J1" s="198"/>
      <s:c r="K1" s="198"/>
      <s:c r="L1" s="198"/>
      <s:c r="M1" s="198"/>
      <s:c r="N1" s="198"/>
      <s:c r="O1" s="198"/>
      <s:c r="P1" s="198"/>
      <s:c r="Q1" s="680"/>
      <s:c r="R1" s="680"/>
      <s:c r="S1" s="680"/>
      <s:c r="T1" s="680"/>
      <s:c r="U1" s="12"/>
      <s:c r="V1" s="12"/>
      <s:c r="W1" s="12"/>
    </s:row>
    <s:row r="2" spans="2:23" ht="21.75" customHeight="1">
      <s:c r="B2" s="681" t="s">
        <s:v>0</s:v>
      </s:c>
      <s:c r="C2" s="681"/>
      <s:c r="D2" s="11"/>
      <s:c r="E2" s="11"/>
      <s:c r="F2" s="12"/>
      <s:c r="G2" s="12"/>
      <s:c r="H2" s="12"/>
      <s:c r="I2" s="12"/>
      <s:c r="J2" s="682" t="s">
        <s:v>71</s:v>
      </s:c>
      <s:c r="K2" s="682"/>
      <s:c r="L2" s="682"/>
      <s:c r="M2" s="682"/>
      <s:c r="N2" s="682"/>
      <s:c r="O2" s="682"/>
      <s:c r="P2" s="682"/>
      <s:c r="Q2" s="680"/>
      <s:c r="R2" s="680"/>
      <s:c r="S2" s="680"/>
      <s:c r="T2" s="680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3" t="str">
        <s:f>График!B29</s:f>
        <s:v>Рогалевич Ирина</s:v>
      </s:c>
      <s:c r="K3" s="684"/>
      <s:c r="L3" s="684"/>
      <s:c r="M3" s="684"/>
      <s:c r="N3" s="685"/>
      <s:c r="O3" s="198"/>
      <s:c r="P3" s="199"/>
      <s:c r="Q3" s="680"/>
      <s:c r="R3" s="680"/>
      <s:c r="S3" s="680"/>
      <s:c r="T3" s="680"/>
      <s:c r="U3" s="12"/>
      <s:c r="V3" s="12"/>
      <s:c r="W3" s="12"/>
    </s:row>
    <s:row r="4" spans="2:23" ht="15" customHeight="1">
      <s:c r="B4" s="11"/>
      <s:c r="C4" s="689">
        <s:f>I8-D54</s:f>
        <s:v>420148.30261780112</s:v>
      </s:c>
      <s:c r="D4" s="690"/>
      <s:c r="E4" s="200">
        <s:f>IF(I8&lt;&gt;0,C4/I8,0)</s:f>
        <s:v>0.25006247984251817</s:v>
      </s:c>
      <s:c r="F4" s="12"/>
      <s:c r="G4" s="12"/>
      <s:c r="H4" s="12"/>
      <s:c r="I4" s="12"/>
      <s:c r="J4" s="686"/>
      <s:c r="K4" s="687"/>
      <s:c r="L4" s="687"/>
      <s:c r="M4" s="687"/>
      <s:c r="N4" s="688"/>
      <s:c r="O4" s="12"/>
      <s:c r="P4" s="12"/>
      <s:c r="Q4" s="680"/>
      <s:c r="R4" s="680"/>
      <s:c r="S4" s="680"/>
      <s:c r="T4" s="680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1"/>
      <s:c r="K5" s="691"/>
      <s:c r="L5" s="691"/>
      <s:c r="M5" s="691"/>
      <s:c r="N5" s="691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01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01"/>
      <s:c r="C7" s="12"/>
      <s:c r="D7" s="12"/>
      <s:c r="E7" s="12"/>
      <s:c r="F7" s="692" t="s">
        <s:v>3</s:v>
      </s:c>
      <s:c r="G7" s="693"/>
      <s:c r="H7" s="694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1" t="s">
        <s:v>11</s:v>
      </s:c>
      <s:c r="Q7" s="602"/>
      <s:c r="R7" s="21"/>
      <s:c r="S7" s="21"/>
      <s:c r="T7" s="12"/>
      <s:c r="U7" s="12"/>
      <s:c r="V7" s="12"/>
      <s:c r="W7" s="12"/>
    </s:row>
    <s:row r="8" spans="2:23" ht="15.75" customHeight="1">
      <s:c r="B8" s="201"/>
      <s:c r="C8" s="12"/>
      <s:c r="D8" s="12"/>
      <s:c r="E8" s="12"/>
      <s:c r="F8" s="695" t="s">
        <s:v>12</s:v>
      </s:c>
      <s:c r="G8" s="696"/>
      <s:c r="H8" s="697"/>
      <s:c r="I8" s="202">
        <s:f>'Ялта, Ленина, 18'!I8/График!AJ31*График!AJ29</s:f>
        <s:v>1680173.3026178011</s:v>
      </s:c>
      <s:c r="J8" s="203">
        <s:f>D54</s:f>
        <s:v>1260025</s:v>
      </s:c>
      <s:c r="K8" s="204">
        <s:f>IF(AND(I8&lt;&gt;"",I8&lt;&gt;0,J8&lt;&gt;""),J8/I8,"")</s:f>
        <s:v>0.74993752015748183</s:v>
      </s:c>
      <s:c r="L8" s="205">
        <s:f>IF(SUMIF($D$25:$D$53,"&gt;=0",$P$25:$P$53)&lt;&gt;0,I8*D54/SUMIF($D$25:$D$53,"&gt;=0",$P$25:$P$53),0)</s:f>
        <s:v>1360826.9999999995</s:v>
      </s:c>
      <s:c r="M8" s="206">
        <s:f>IF(AND(I8&lt;&gt;"",I8&lt;&gt;0,L8&lt;&gt;"",L8&lt;&gt;0),L8/I8,"")</s:f>
        <s:v>0.80993252177008002</s:v>
      </s:c>
      <s:c r="N8" s="35">
        <s:f>IF(AND(J8&lt;&gt;0,J8&lt;&gt;"",I8&lt;&gt;0,I8&lt;&gt;""),L8-I8,"")</s:f>
        <s:v>-319346.30261780159</s:v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01"/>
      <s:c r="C9" s="12"/>
      <s:c r="D9" s="12"/>
      <s:c r="E9" s="12"/>
      <s:c r="F9" s="606" t="s">
        <s:v>13</s:v>
      </s:c>
      <s:c r="G9" s="607"/>
      <s:c r="H9" s="608"/>
      <s:c r="I9" s="38">
        <s:f>I8/I11</s:f>
        <s:v>291.6967539267016</s:v>
      </s:c>
      <s:c r="J9" s="39">
        <s:f>E54</s:f>
        <s:v>225</s:v>
      </s:c>
      <s:c r="K9" s="40">
        <s:f>IF(AND(I9&lt;&gt;"",I9&lt;&gt;0,J9&lt;&gt;""),J9/I9,"")</s:f>
        <s:v>0.7713490019040069</s:v>
      </s:c>
      <s:c r="L9" s="207">
        <s:f>IF(SUMIF($E$25:$E$51,"&gt;=0",$Q$25:$Q$51)&lt;&gt;0,I9*E54/SUMIF($E$25:$E$51,"&gt;=0",$Q$25:$Q$51),0)</s:f>
        <s:v>243.0000000000002</s:v>
      </s:c>
      <s:c r="M9" s="208">
        <s:f>IF(AND(I9&lt;&gt;"",I9&lt;&gt;0,L9&lt;&gt;"",L9&lt;&gt;0),L9/I9,"")</s:f>
        <s:v>0.8330569220563282</s:v>
      </s:c>
      <s:c r="N9" s="43">
        <s:f>IF(AND(J9&lt;&gt;0,J9&lt;&gt;"",I9&lt;&gt;0,I9&lt;&gt;""),L9-I9,"")</s:f>
        <s:v>-48.696753926701405</s:v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01"/>
      <s:c r="C10" s="12"/>
      <s:c r="D10" s="12"/>
      <s:c r="E10" s="12"/>
      <s:c r="F10" s="603" t="s">
        <s:v>14</s:v>
      </s:c>
      <s:c r="G10" s="604"/>
      <s:c r="H10" s="605"/>
      <s:c r="I10" s="50">
        <s:f>I11*I12</s:f>
        <s:v>10944</s:v>
      </s:c>
      <s:c r="J10" s="209">
        <s:f>H54</s:f>
        <s:v>9545.6439393939399</s:v>
      </s:c>
      <s:c r="K10" s="210">
        <s:f>IF(AND(I10&lt;&gt;"",I10&lt;&gt;0,J10&lt;&gt;""),J10/I10,"")</s:f>
        <s:v>0.87222623715222403</s:v>
      </s:c>
      <s:c r="L10" s="207">
        <s:f>J10</s:f>
        <s:v>9545.6439393939399</s:v>
      </s:c>
      <s:c r="M10" s="211">
        <s:f>IF(AND(I10&lt;&gt;"",I10&lt;&gt;0,L10&lt;&gt;"",L10&lt;&gt;0),L10/I10,"")</s:f>
        <s:v>0.87222623715222403</s:v>
      </s:c>
      <s:c r="N10" s="49">
        <s:f>IF(AND(J10&lt;&gt;0,J10&lt;&gt;"",I10&lt;&gt;0,I10&lt;&gt;""),L10-I10,"")</s:f>
        <s:v>-1398.3560606060601</s:v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613" t="s">
        <s:v>15</s:v>
      </s:c>
      <s:c r="T10" s="613"/>
      <s:c r="U10" s="12"/>
      <s:c r="V10" s="12"/>
      <s:c r="W10" s="12"/>
    </s:row>
    <s:row r="11" spans="2:23" ht="15.75" customHeight="1">
      <s:c r="B11" s="201"/>
      <s:c r="C11" s="12"/>
      <s:c r="D11" s="12"/>
      <s:c r="E11" s="12"/>
      <s:c r="F11" s="606" t="s">
        <s:v>16</s:v>
      </s:c>
      <s:c r="G11" s="607"/>
      <s:c r="H11" s="608"/>
      <s:c r="I11" s="52">
        <s:f>'Ялта, Ленина, 18'!I11</s:f>
        <s:v>5760</s:v>
      </s:c>
      <s:c r="J11" s="39">
        <s:f>F54</s:f>
        <s:v>5600.1111111111113</s:v>
      </s:c>
      <s:c r="K11" s="212">
        <s:f>IF(AND(I11&lt;&gt;"",I11&lt;&gt;0,J11&lt;&gt;""),J11/I11,"")</s:f>
        <s:v>0.97224151234567902</s:v>
      </s:c>
      <s:c r="L11" s="207">
        <s:f>IF(L9&gt;0,L8/L9,"")</s:f>
        <s:v>5600.1111111111049</s:v>
      </s:c>
      <s:c r="M11" s="208">
        <s:f>IF(AND(I11&lt;&gt;"",I11&lt;&gt;0,L11&lt;&gt;"",L11&lt;&gt;0),L11/I11,"")</s:f>
        <s:v>0.97224151234567791</s:v>
      </s:c>
      <s:c r="N11" s="43">
        <s:f>IF(AND(J11&lt;&gt;0,J11&lt;&gt;"",I11&lt;&gt;0,I11&lt;&gt;""),L11-I11,"")</s:f>
        <s:v>-159.88888888889505</s:v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613"/>
      <s:c r="T11" s="613"/>
      <s:c r="U11" s="12"/>
      <s:c r="V11" s="12"/>
      <s:c r="W11" s="12"/>
    </s:row>
    <s:row r="12" spans="2:23" ht="15.75" customHeight="1">
      <s:c r="B12" s="201"/>
      <s:c r="C12" s="12"/>
      <s:c r="D12" s="12"/>
      <s:c r="E12" s="12"/>
      <s:c r="F12" s="606" t="s">
        <s:v>17</s:v>
      </s:c>
      <s:c r="G12" s="607"/>
      <s:c r="H12" s="608"/>
      <s:c r="I12" s="54">
        <s:f>'Ялта, Ленина, 18'!I12</s:f>
        <s:v>1.9</s:v>
      </s:c>
      <s:c r="J12" s="55">
        <s:f>J54</s:f>
        <s:v>1.7045454545454546</s:v>
      </s:c>
      <s:c r="K12" s="212">
        <s:f>IF(AND(I12&lt;&gt;"",I12&lt;&gt;0,J12&lt;&gt;""),J12/I12,"")</s:f>
        <s:v>0.89712918660287089</s:v>
      </s:c>
      <s:c r="L12" s="213">
        <s:f>J12</s:f>
        <s:v>1.7045454545454546</s:v>
      </s:c>
      <s:c r="M12" s="208">
        <s:f>IF(AND(I12&lt;&gt;"",I12&lt;&gt;0,L12&lt;&gt;"",L12&lt;&gt;0),L12/I12,"")</s:f>
        <s:v>0.89712918660287089</s:v>
      </s:c>
      <s:c r="N12" s="57">
        <s:f>IF(AND(J12&lt;&gt;0,J12&lt;&gt;"",I12&lt;&gt;0,I12&lt;&gt;""),L12-I12,"")</s:f>
        <s:v>-0.19545454545454533</s:v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18'!S12*График!AJ29/График!AJ31</s:f>
        <s:v>382251.30890052358</s:v>
      </s:c>
      <s:c r="T12" s="60">
        <s:f>L54</s:f>
        <s:v>260204</s:v>
      </s:c>
      <s:c r="U12" s="12"/>
      <s:c r="V12" s="12"/>
      <s:c r="W12" s="12"/>
    </s:row>
    <s:row r="13" spans="2:23" ht="15.75" customHeight="1">
      <s:c r="B13" s="201"/>
      <s:c r="C13" s="12"/>
      <s:c r="D13" s="12"/>
      <s:c r="E13" s="12"/>
      <s:c r="F13" s="606" t="s">
        <s:v>18</s:v>
      </s:c>
      <s:c r="G13" s="607"/>
      <s:c r="H13" s="608"/>
      <s:c r="I13" s="38">
        <s:f>IF(I12&lt;&gt;0,I9/I12,"")</s:f>
        <s:v>153.52460732984295</s:v>
      </s:c>
      <s:c r="J13" s="39">
        <s:f>G54</s:f>
        <s:v>132</s:v>
      </s:c>
      <s:c r="K13" s="40">
        <s:f>IF(AND(I13&lt;&gt;"",I13&lt;&gt;0,J13&lt;&gt;""),J13/I13,"")</s:f>
        <s:v>0.85979702078899978</s:v>
      </s:c>
      <s:c r="L13" s="207">
        <s:f>IF(SUMIF($G$25:$G$51,"&gt;=0",$R$25:$R$51)&lt;&gt;0,I13*G54/SUMIF($G$25:$G$51,"&gt;=0",$R$25:$R$51),"")</s:f>
        <s:v>142.56000000000009</s:v>
      </s:c>
      <s:c r="M13" s="208">
        <s:f>IF(AND(I13&lt;&gt;"",I13&lt;&gt;0,L13&lt;&gt;"",L13&lt;&gt;0),L13/I13,"")</s:f>
        <s:v>0.92858078245212028</s:v>
      </s:c>
      <s:c r="N13" s="57">
        <s:f>IF(AND(J13&lt;&gt;0,J13&lt;&gt;"",I13&lt;&gt;0,I13&lt;&gt;""),L13-I13,"")</s:f>
        <s:v>-10.964607329842863</s:v>
      </s:c>
      <s:c r="O13" s="61"/>
      <s:c r="P13" s="43" t="str">
        <s:f>IF(AND(O13&lt;&gt;"",O13&lt;&gt;0,L13&lt;&gt;"",L13&lt;&gt;0),-O13+L13,"")</s:f>
        <s:v/>
      </s:c>
      <s:c r="Q13" s="45" t="str">
        <s:f>IF(AND(P13&lt;&gt;"",P13&lt;&gt;0,O13&lt;&gt;0,O13&lt;&gt;""),P13/O13,"")</s:f>
        <s:v/>
      </s:c>
      <s:c r="R13" s="21"/>
      <s:c r="S13" s="62">
        <s:f>T12/S12</s:f>
        <s:v>0.68071447746883984</s:v>
      </s:c>
      <s:c r="T13" s="62">
        <s:f>S13/J14*I14</s:f>
        <s:v>0.68071447746883984</s:v>
      </s:c>
      <s:c r="U13" s="12"/>
      <s:c r="V13" s="12"/>
      <s:c r="W13" s="12"/>
    </s:row>
    <s:row r="14" spans="2:23" ht="15.75" customHeight="1">
      <s:c r="B14" s="201"/>
      <s:c r="C14" s="12"/>
      <s:c r="D14" s="214"/>
      <s:c r="E14" s="12"/>
      <s:c r="F14" s="606" t="s">
        <s:v>68</s:v>
      </s:c>
      <s:c r="G14" s="607"/>
      <s:c r="H14" s="608"/>
      <s:c r="I14" s="52">
        <s:f>График!AI29</s:f>
        <s:v>25</s:v>
      </s:c>
      <s:c r="J14" s="64">
        <s:v>25</s:v>
      </s:c>
      <s:c r="K14" s="40">
        <s:f>IF(AND(I14&lt;&gt;"",I14&lt;&gt;0,J14&lt;&gt;""),J14/I14,"")</s:f>
        <s:v>1</s:v>
      </s:c>
      <s:c r="L14" s="41">
        <s:f>I14</s:f>
        <s:v>25</s:v>
      </s:c>
      <s:c r="M14" s="208">
        <s:f>IF(AND(I14&lt;&gt;"",I14&lt;&gt;0,L14&lt;&gt;"",L14&lt;&gt;0),L14/I14,"")</s:f>
        <s:v>1</s:v>
      </s:c>
      <s:c r="N14" s="43">
        <s:f>IF(AND(J14&lt;&gt;0,J14&lt;&gt;"",I14&lt;&gt;0,I14&lt;&gt;""),L14-I14,"")</s:f>
        <s:v>0</s:v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01"/>
      <s:c r="C15" s="12"/>
      <s:c r="D15" s="12"/>
      <s:c r="E15" s="12"/>
      <s:c r="F15" s="606" t="s">
        <s:v>20</s:v>
      </s:c>
      <s:c r="G15" s="607"/>
      <s:c r="H15" s="608"/>
      <s:c r="I15" s="75">
        <s:f>'Ялта, Ленина, 18'!I15</s:f>
        <s:v>143585.28</s:v>
      </s:c>
      <s:c r="J15" s="67">
        <s:f>J8/J14</s:f>
        <s:v>50401</s:v>
      </s:c>
      <s:c r="K15" s="68">
        <s:f>IF(AND(I15&lt;&gt;"",I15&lt;&gt;0,J15&lt;&gt;""),J15/I15,"")</s:f>
        <s:v>0.35101787592711453</s:v>
      </s:c>
      <s:c r="L15" s="72">
        <s:f>J15</s:f>
        <s:v>50401</s:v>
      </s:c>
      <s:c r="M15" s="215">
        <s:f>IF(AND(I15&lt;&gt;"",I15&lt;&gt;0,L15&lt;&gt;"",L15&lt;&gt;0),L15/I15,"")</s:f>
        <s:v>0.35101787592711453</s:v>
      </s:c>
      <s:c r="N15" s="43">
        <s:f>IF(AND(J15&lt;&gt;0,J15&lt;&gt;"",I15&lt;&gt;0,I15&lt;&gt;""),L15-I15,"")</s:f>
        <s:v>-93184.28</s:v>
      </s:c>
      <s:c r="O15" s="71"/>
      <s:c r="P15" s="43" t="str">
        <s:f>IF(AND(O15&lt;&gt;"",O15&lt;&gt;0,L15&lt;&gt;"",L15&lt;&gt;0),-O15+L15,"")</s:f>
        <s:v/>
      </s:c>
      <s:c r="Q15" s="45" t="str">
        <s:f>IF(AND(P15&lt;&gt;"",P15&lt;&gt;0,O15&lt;&gt;0,O15&lt;&gt;""),P15/O15,"")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01"/>
      <s:c r="C16" s="12"/>
      <s:c r="D16" s="12"/>
      <s:c r="E16" s="12"/>
      <s:c r="F16" s="606" t="s">
        <s:v>21</s:v>
      </s:c>
      <s:c r="G16" s="607"/>
      <s:c r="H16" s="608"/>
      <s:c r="I16" s="75"/>
      <s:c r="J16" s="67">
        <s:f>J8-I15*J14</s:f>
        <s:v>-2329607</s:v>
      </s:c>
      <s:c r="K16" s="68" t="str">
        <s:f>IF(AND(I16&lt;&gt;"",I16&lt;&gt;0,J16&lt;&gt;""),J16/I16,"")</s:f>
        <s:v/>
      </s:c>
      <s:c r="L16" s="72">
        <s:f>J16</s:f>
        <s:v>-2329607</s:v>
      </s:c>
      <s:c r="M16" s="216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613" t="s">
        <s:v>22</s:v>
      </s:c>
      <s:c r="T16" s="613"/>
      <s:c r="U16" s="12"/>
      <s:c r="V16" s="12"/>
      <s:c r="W16" s="12"/>
    </s:row>
    <s:row r="17" spans="1:255" ht="15.75" customHeight="1">
      <s:c r="B17" s="201"/>
      <s:c r="C17" s="12"/>
      <s:c r="D17" s="12"/>
      <s:c r="E17" s="12"/>
      <s:c r="F17" s="606" t="s">
        <s:v>23</s:v>
      </s:c>
      <s:c r="G17" s="607"/>
      <s:c r="H17" s="608"/>
      <s:c r="I17" s="75">
        <s:f>'Ялта, Ленина, 18'!I17/График!AJ31*График!AJ29</s:f>
        <s:v>624.08376963350781</s:v>
      </s:c>
      <s:c r="J17" s="67">
        <s:f>I54</s:f>
        <s:v>530</s:v>
      </s:c>
      <s:c r="K17" s="68">
        <s:f>IF(AND(I17&lt;&gt;"",I17&lt;&gt;0,J17&lt;&gt;""),J17/I17,"")</s:f>
        <s:v>0.84924496644295311</s:v>
      </s:c>
      <s:c r="L17" s="72">
        <s:f>J17/J14*I14</s:f>
        <s:v>530</s:v>
      </s:c>
      <s:c r="M17" s="216">
        <s:f>IF(AND(I17&lt;&gt;"",I17&lt;&gt;0,L17&lt;&gt;"",L17&lt;&gt;0),L17/I17,"")</s:f>
        <s:v>0.84924496644295311</s:v>
      </s:c>
      <s:c r="N17" s="43">
        <s:f>IF(AND(J17&lt;&gt;0,J17&lt;&gt;"",I17&lt;&gt;0,I17&lt;&gt;""),L17-I17,"")</s:f>
        <s:v>-94.083769633507814</s:v>
      </s:c>
      <s:c r="O17" s="71"/>
      <s:c r="P17" s="43" t="str">
        <s:f>IF(AND(O17&lt;&gt;"",O17&lt;&gt;0,L17&lt;&gt;"",L17&lt;&gt;0),-O17+L17,"")</s:f>
        <s:v/>
      </s:c>
      <s:c r="Q17" s="45" t="str">
        <s:f>IF(AND(P17&lt;&gt;"",P17&lt;&gt;0,O17&lt;&gt;0,O17&lt;&gt;""),P17/O17,"")</s:f>
        <s:v/>
      </s:c>
      <s:c r="R17" s="21"/>
      <s:c r="S17" s="613"/>
      <s:c r="T17" s="613"/>
      <s:c r="U17" s="12"/>
      <s:c r="V17" s="12"/>
      <s:c r="W17" s="12"/>
    </s:row>
    <s:row r="18" spans="1:255" ht="15.75" customHeight="1">
      <s:c r="B18" s="201"/>
      <s:c r="C18" s="12"/>
      <s:c r="D18" s="12"/>
      <s:c r="E18" s="12"/>
      <s:c r="F18" s="606"/>
      <s:c r="G18" s="607"/>
      <s:c r="H18" s="608"/>
      <s:c r="I18" s="76"/>
      <s:c r="J18" s="67"/>
      <s:c r="K18" s="68" t="str">
        <s:f>IF(AND(I18&lt;&gt;"",I18&lt;&gt;0,J18&lt;&gt;""),J18/I18,"")</s:f>
        <s:v/>
      </s:c>
      <s:c r="L18" s="72">
        <s:f>J18</s:f>
        <s:v>0</s:v>
      </s:c>
      <s:c r="M18" s="216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18'!S18*График!AJ29/График!AJ31</s:f>
        <s:v>304240.8376963351</s:v>
      </s:c>
      <s:c r="T18" s="60">
        <s:f>K54</s:f>
        <s:v>151858</s:v>
      </s:c>
      <s:c r="U18" s="12"/>
      <s:c r="V18" s="12"/>
      <s:c r="W18" s="12"/>
    </s:row>
    <s:row r="19" spans="1:255" ht="15.75" customHeight="1">
      <s:c r="B19" s="201"/>
      <s:c r="C19" s="12"/>
      <s:c r="D19" s="12"/>
      <s:c r="E19" s="12"/>
      <s:c r="F19" s="606"/>
      <s:c r="G19" s="607"/>
      <s:c r="H19" s="608"/>
      <s:c r="I19" s="76"/>
      <s:c r="J19" s="67">
        <s:f>M54</s:f>
        <s:v>0</s:v>
      </s:c>
      <s:c r="K19" s="68" t="str">
        <s:f>IF(AND(I19&lt;&gt;"",I19&lt;&gt;0,J19&lt;&gt;""),J19/I19,"")</s:f>
        <s:v/>
      </s:c>
      <s:c r="L19" s="72">
        <s:f>J19</s:f>
        <s:v>0</s:v>
      </s:c>
      <s:c r="M19" s="216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>
        <s:f>T18/S18</s:f>
        <s:v>0.49913746343142312</s:v>
      </s:c>
      <s:c r="T19" s="62">
        <s:f>S19/J14*I14</s:f>
        <s:v>0.49913746343142312</s:v>
      </s:c>
      <s:c r="U19" s="12"/>
      <s:c r="V19" s="12"/>
      <s:c r="W19" s="12"/>
    </s:row>
    <s:row r="20" spans="1:255" ht="15.75" customHeight="1">
      <s:c r="B20" s="201"/>
      <s:c r="C20" s="12"/>
      <s:c r="D20" s="12"/>
      <s:c r="E20" s="12"/>
      <s:c r="F20" s="614" t="s">
        <s:v>24</s:v>
      </s:c>
      <s:c r="G20" s="614"/>
      <s:c r="H20" s="614"/>
      <s:c r="I20" s="217">
        <s:f>'Ялта, Ленина, 18'!I20</s:f>
        <s:v>0.246</s:v>
      </s:c>
      <s:c r="J20" s="218">
        <s:f>N54</s:f>
        <s:v>0.24905660377358491</s:v>
      </s:c>
      <s:c r="K20" s="219">
        <s:f>J20/I20</s:f>
        <s:v>1.0124252185918086</s:v>
      </s:c>
      <s:c r="L20" s="220">
        <s:f>IF(AND(K8&lt;&gt;0,I14&lt;&gt;0,I54&lt;&gt;0),(I54*N54+(I54/K8-I54)*I20)/(I54/K8),0)</s:f>
        <s:v>0.24829226185406628</s:v>
      </s:c>
      <s:c r="M20" s="83">
        <s:f>IF(AND(I20&lt;&gt;"",I20&lt;&gt;0,L20&lt;&gt;"",L20&lt;&gt;0),L20/I20,"")</s:f>
        <s:v>1.0093181376181557</s:v>
      </s:c>
      <s:c r="N20" s="84">
        <s:f>IF(AND(J20&lt;&gt;0,J20&lt;&gt;"",I20&lt;&gt;0,I20&lt;&gt;""),L20-I20,"")</s:f>
        <s:v>2.2922618540662798E-3</s:v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255" ht="15.75" customHeight="1">
      <s:c r="B21" s="201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255" ht="16.5" customHeight="1">
      <s:c r="B22" s="698" t="s">
        <s:v>25</s:v>
      </s:c>
      <s:c r="C22" s="698"/>
      <s:c r="D22" s="698"/>
      <s:c r="E22" s="698"/>
      <s:c r="F22" s="698"/>
      <s:c r="G22" s="698"/>
      <s:c r="H22" s="698"/>
      <s:c r="I22" s="698"/>
      <s:c r="J22" s="698"/>
      <s:c r="K22" s="698"/>
      <s:c r="L22" s="698"/>
      <s:c r="M22" s="698"/>
      <s:c r="N22" s="698"/>
      <s:c r="O22" s="699" t="s">
        <s:v>26</s:v>
      </s:c>
      <s:c r="P22" s="698" t="s">
        <s:v>27</s:v>
      </s:c>
      <s:c r="Q22" s="698"/>
      <s:c r="R22" s="698"/>
      <s:c r="S22" s="698"/>
      <s:c r="T22" s="698"/>
      <s:c r="U22" s="698"/>
      <s:c r="V22" s="698"/>
      <s:c r="W22" s="698"/>
    </s:row>
    <s:row r="23" ht="36">
      <s:c r="B23" s="221" t="s">
        <s:v>29</s:v>
      </s:c>
      <s:c r="C23" s="221" t="s">
        <s:v>30</s:v>
      </s:c>
      <s:c r="D23" s="221" t="s">
        <s:v>31</s:v>
      </s:c>
      <s:c r="E23" s="221" t="s">
        <s:v>32</s:v>
      </s:c>
      <s:c r="F23" s="221" t="s">
        <s:v>33</s:v>
      </s:c>
      <s:c r="G23" s="221" t="s">
        <s:v>34</s:v>
      </s:c>
      <s:c r="H23" s="221" t="s">
        <s:v>35</s:v>
      </s:c>
      <s:c r="I23" s="221" t="s">
        <s:v>23</s:v>
      </s:c>
      <s:c r="J23" s="221" t="s">
        <s:v>36</s:v>
      </s:c>
      <s:c r="K23" s="90" t="s">
        <s:v>22</s:v>
      </s:c>
      <s:c r="L23" s="90" t="s">
        <s:v>15</s:v>
      </s:c>
      <s:c r="M23" s="222" t="s">
        <s:v>37</s:v>
      </s:c>
      <s:c r="N23" s="221" t="s">
        <s:v>38</s:v>
      </s:c>
      <s:c r="O23" s="699"/>
      <s:c r="P23" s="221" t="s">
        <s:v>39</s:v>
      </s:c>
      <s:c r="Q23" s="221" t="s">
        <s:v>40</s:v>
      </s:c>
      <s:c r="R23" s="221" t="s">
        <s:v>41</s:v>
      </s:c>
      <s:c r="S23" s="221" t="s">
        <s:v>42</s:v>
      </s:c>
      <s:c r="T23" s="221" t="s">
        <s:v>43</s:v>
      </s:c>
      <s:c r="U23" s="221" t="s">
        <s:v>44</s:v>
      </s:c>
      <s:c r="V23" s="223" t="s">
        <s:v>45</s:v>
      </s:c>
      <s:c r="W23" s="223" t="s">
        <s:v>46</s:v>
      </s:c>
      <s:c r="X23" s="224"/>
    </s:row>
    <s:row r="24">
      <s:c r="B24" s="225">
        <s:v>1</s:v>
      </s:c>
      <s:c r="C24" s="226">
        <s:v>2</s:v>
      </s:c>
      <s:c r="D24" s="225">
        <s:v>3</s:v>
      </s:c>
      <s:c r="E24" s="225">
        <s:v>4</s:v>
      </s:c>
      <s:c r="F24" s="225">
        <s:v>5</s:v>
      </s:c>
      <s:c r="G24" s="225">
        <s:v>6</s:v>
      </s:c>
      <s:c r="H24" s="225">
        <s:v>7</s:v>
      </s:c>
      <s:c r="I24" s="225">
        <s:v>8</s:v>
      </s:c>
      <s:c r="J24" s="225">
        <s:v>9</s:v>
      </s:c>
      <s:c r="K24" s="225">
        <s:v>10</s:v>
      </s:c>
      <s:c r="L24" s="225">
        <s:v>11</s:v>
      </s:c>
      <s:c r="M24" s="225">
        <s:v>12</s:v>
      </s:c>
      <s:c r="N24" s="225">
        <s:v>13</s:v>
      </s:c>
      <s:c r="O24" s="699"/>
      <s:c r="P24" s="227">
        <s:v>1</s:v>
      </s:c>
      <s:c r="Q24" s="227">
        <s:v>2</s:v>
      </s:c>
      <s:c r="R24" s="227">
        <s:v>3</s:v>
      </s:c>
      <s:c r="S24" s="227">
        <s:v>4</s:v>
      </s:c>
      <s:c r="T24" s="227">
        <s:v>5</s:v>
      </s:c>
      <s:c r="U24" s="227">
        <s:v>6</s:v>
      </s:c>
      <s:c r="V24" s="227">
        <s:v>10</s:v>
      </s:c>
      <s:c r="W24" s="227">
        <s:v>11</s:v>
      </s:c>
    </s:row>
    <s:row r="25">
      <s:c r="A25" s="95">
        <s:v>1</s:v>
      </s:c>
      <s:c r="B25" s="96">
        <s:v>45809</s:v>
      </s:c>
      <s:c r="C25" s="97" t="s">
        <s:v>49</s:v>
      </s:c>
      <s:c r="D25" s="98">
        <s:f>5392+12903</s:f>
        <s:v>18295</s:v>
      </s:c>
      <s:c r="E25" s="99">
        <s:v>2</s:v>
      </s:c>
      <s:c r="F25" s="99">
        <s:f>IF(AND(E25&lt;&gt;"",E25&lt;&gt;0),D25/E25,"")</s:f>
        <s:v>9147.5</s:v>
      </s:c>
      <s:c r="G25" s="99">
        <s:v>2</s:v>
      </s:c>
      <s:c r="H25" s="99">
        <s:f>IF(AND(G25&lt;&gt;"",G25&lt;&gt;0),D25/G25,"")</s:f>
        <s:v>9147.5</s:v>
      </s:c>
      <s:c r="I25" s="99">
        <s:v>15</s:v>
      </s:c>
      <s:c r="J25" s="98">
        <s:f>IF(AND(G25&lt;&gt;"",G25&lt;&gt;0),E25/G25,"")</s:f>
        <s:v>1</s:v>
      </s:c>
      <s:c r="K25" s="99">
        <s:v>0</s:v>
      </s:c>
      <s:c r="L25" s="99">
        <s:v>12903</s:v>
      </s:c>
      <s:c r="M25" s="99"/>
      <s:c r="N25" s="100">
        <s:f>IF(AND(I25&lt;&gt;"",I25&lt;&gt;0),G25/I25,"")</s:f>
        <s:v>0.13333333333333333</s:v>
      </s:c>
      <s:c r="O25" s="101">
        <s:f>D25/P25</s:f>
        <s:v>0.29399645812153768</s:v>
      </s:c>
      <s:c r="P25" s="102">
        <s:f>$I$8*V25*W25/SUMPRODUCT($W$25:$W$55,$V$25:$V$55)</s:f>
        <s:v>62228.640837696337</s:v>
      </s:c>
      <s:c r="Q25" s="103">
        <s:f>$I$9*V25*W25/SUMPRODUCT($W$25:$W$55,$V$25:$V$55)</s:f>
        <s:v>10.803583478766726</s:v>
      </s:c>
      <s:c r="R25" s="103">
        <s:f>IF($I$12="","",Q25/$I$12)</s:f>
        <s:v>5.686096567771961</s:v>
      </s:c>
      <s:c r="S25" s="102">
        <s:f>IF(D25&lt;&gt;"",D25,P25)</s:f>
        <s:v>18295</s:v>
      </s:c>
      <s:c r="T25" s="103">
        <s:f>IF(E25&lt;&gt;"",E25,Q25)</s:f>
        <s:v>2</s:v>
      </s:c>
      <s:c r="U25" s="103">
        <s:f>IF(G25&lt;&gt;"",G25,R25)</s:f>
        <s:v>2</s:v>
      </s:c>
      <s:c r="V25" s="104">
        <s:v>1</s:v>
      </s:c>
      <s:c r="W25" s="104">
        <s:v>1</s:v>
      </s:c>
      <s:c r="X25" s="105"/>
      <s:c r="Y25" s="106"/>
    </s:row>
    <s:row r="26">
      <s:c r="A26" s="95">
        <s:v>2</s:v>
      </s:c>
      <s:c r="B26" s="96">
        <s:v>45810</s:v>
      </s:c>
      <s:c r="C26" s="97" t="s">
        <s:v>51</s:v>
      </s:c>
      <s:c r="D26" s="98">
        <s:f>30102+7903</s:f>
        <s:v>38005</s:v>
      </s:c>
      <s:c r="E26" s="99">
        <s:v>8</s:v>
      </s:c>
      <s:c r="F26" s="99">
        <s:f>IF(AND(E26&lt;&gt;"",E26&lt;&gt;0),D26/E26,"")</s:f>
        <s:v>4750.625</s:v>
      </s:c>
      <s:c r="G26" s="99">
        <s:v>7</s:v>
      </s:c>
      <s:c r="H26" s="99">
        <s:f>IF(AND(G26&lt;&gt;"",G26&lt;&gt;0),D26/G26,"")</s:f>
        <s:v>5429.2857142857147</s:v>
      </s:c>
      <s:c r="I26" s="99">
        <s:v>17</s:v>
      </s:c>
      <s:c r="J26" s="98">
        <s:f>IF(AND(G26&lt;&gt;"",G26&lt;&gt;0),E26/G26,"")</s:f>
        <s:v>1.1428571428571428</s:v>
      </s:c>
      <s:c r="K26" s="99"/>
      <s:c r="L26" s="99">
        <s:v>7903</s:v>
      </s:c>
      <s:c r="M26" s="99"/>
      <s:c r="N26" s="100">
        <s:f>IF(AND(I26&lt;&gt;"",I26&lt;&gt;0),G26/I26,"")</s:f>
        <s:v>0.41176470588235292</s:v>
      </s:c>
      <s:c r="O26" s="101">
        <s:f>D26/P26</s:f>
        <s:v>0.61073164202837049</s:v>
      </s:c>
      <s:c r="P26" s="102">
        <s:f>$I$8*V26*W26/SUMPRODUCT($W$25:$W$55,$V$25:$V$55)</s:f>
        <s:v>62228.640837696337</s:v>
      </s:c>
      <s:c r="Q26" s="103">
        <s:f>$I$9*V26*W26/SUMPRODUCT($W$25:$W$55,$V$25:$V$55)</s:f>
        <s:v>10.803583478766726</s:v>
      </s:c>
      <s:c r="R26" s="103">
        <s:f>IF($I$12="","",Q26/$I$12)</s:f>
        <s:v>5.686096567771961</s:v>
      </s:c>
      <s:c r="S26" s="102">
        <s:f>IF(W26&lt;&gt;"",IF(D26&lt;&gt;"",D26,($I$8-SUM($S$25:S25))*V26*W26/SUMPRODUCT($W26:$W$55,$V26:$V$55)),"")</s:f>
        <s:v>38005</s:v>
      </s:c>
      <s:c r="T26" s="103">
        <s:f>IF(W26&lt;&gt;"",IF(E26&lt;&gt;"",E26,($I$9-SUM($T$25:T25))*V26*W26/SUMPRODUCT($W26:$W$55,$V26:$V$55)),"")</s:f>
        <s:v>8</s:v>
      </s:c>
      <s:c r="U26" s="103">
        <s:f>IF(W26&lt;&gt;"",IF($I$12&lt;&gt;"",IF(G26&lt;&gt;"",G26,($I$9/$I$12-SUM($U$25:U25))*V26*W26/SUMPRODUCT($W26:$W$55,$V26:$V$55)),""),"")</s:f>
        <s:v>7</s:v>
      </s:c>
      <s:c r="V26" s="104">
        <s:v>1</s:v>
      </s:c>
      <s:c r="W26" s="104">
        <s:v>1</s:v>
      </s:c>
      <s:c r="X26" s="107"/>
      <s:c r="Y26" s="106"/>
    </s:row>
    <s:row r="27">
      <s:c r="A27" s="95">
        <s:v>3</s:v>
      </s:c>
      <s:c r="B27" s="96">
        <s:v>45811</s:v>
      </s:c>
      <s:c r="C27" s="97" t="s">
        <s:v>54</s:v>
      </s:c>
      <s:c r="D27" s="98">
        <s:f>36616+55419</s:f>
        <s:v>92035</s:v>
      </s:c>
      <s:c r="E27" s="99">
        <s:v>15</s:v>
      </s:c>
      <s:c r="F27" s="99">
        <s:f>IF(AND(E27&lt;&gt;"",E27&lt;&gt;0),D27/E27,"")</s:f>
        <s:v>6135.666666666667</s:v>
      </s:c>
      <s:c r="G27" s="99">
        <s:v>10</s:v>
      </s:c>
      <s:c r="H27" s="99">
        <s:f>IF(AND(G27&lt;&gt;"",G27&lt;&gt;0),D27/G27,"")</s:f>
        <s:v>9203.5</s:v>
      </s:c>
      <s:c r="I27" s="99">
        <s:v>25</s:v>
      </s:c>
      <s:c r="J27" s="98">
        <s:f>IF(AND(G27&lt;&gt;"",G27&lt;&gt;0),E27/G27,"")</s:f>
        <s:v>1.5</s:v>
      </s:c>
      <s:c r="K27" s="99"/>
      <s:c r="L27" s="99">
        <s:v>55419</s:v>
      </s:c>
      <s:c r="M27" s="99"/>
      <s:c r="N27" s="100">
        <s:f>IF(AND(I27&lt;&gt;"",I27&lt;&gt;0),G27/I27,"")</s:f>
        <s:v>0.4</s:v>
      </s:c>
      <s:c r="O27" s="101">
        <s:f>D27/P27</s:f>
        <s:v>1.4789813622965684</s:v>
      </s:c>
      <s:c r="P27" s="102">
        <s:f>$I$8*V27*W27/SUMPRODUCT($W$25:$W$55,$V$25:$V$55)</s:f>
        <s:v>62228.640837696337</s:v>
      </s:c>
      <s:c r="Q27" s="103">
        <s:f>$I$9*V27*W27/SUMPRODUCT($W$25:$W$55,$V$25:$V$55)</s:f>
        <s:v>10.803583478766726</s:v>
      </s:c>
      <s:c r="R27" s="103">
        <s:f>IF($I$12="","",Q27/$I$12)</s:f>
        <s:v>5.686096567771961</s:v>
      </s:c>
      <s:c r="S27" s="102">
        <s:f>IF(W27&lt;&gt;"",IF(D27&lt;&gt;"",D27,($I$8-SUM($S$25:S26))*V27*W27/SUMPRODUCT($W27:$W$55,$V27:$V$55)),"")</s:f>
        <s:v>92035</s:v>
      </s:c>
      <s:c r="T27" s="103">
        <s:f>IF(W27&lt;&gt;"",IF(E27&lt;&gt;"",E27,($I$9-SUM($T$25:T26))*V27*W27/SUMPRODUCT($W27:$W$55,$V27:$V$55)),"")</s:f>
        <s:v>15</s:v>
      </s:c>
      <s:c r="U27" s="103">
        <s:f>IF(W27&lt;&gt;"",IF($I$12&lt;&gt;"",IF(G27&lt;&gt;"",G27,($I$9/$I$12-SUM($U$25:U26))*V27*W27/SUMPRODUCT($W27:$W$55,$V27:$V$55)),""),"")</s:f>
        <s:v>10</s:v>
      </s:c>
      <s:c r="V27" s="104">
        <s:v>1</s:v>
      </s:c>
      <s:c r="W27" s="104">
        <s:v>1</s:v>
      </s:c>
      <s:c r="X27" s="107"/>
      <s:c r="Y27" s="109"/>
      <s:c r="Z27" s="2"/>
      <s:c r="AA27" s="2"/>
      <s:c r="AB27" s="2"/>
      <s:c r="AC27" s="2"/>
      <s:c r="AD27" s="2"/>
    </s:row>
    <s:row r="28" spans="1:255" s="110" customFormat="1">
      <s:c r="A28" s="95">
        <s:v>4</s:v>
      </s:c>
      <s:c r="B28" s="96">
        <s:v>45813</s:v>
      </s:c>
      <s:c r="C28" s="97" t="s">
        <s:v>58</s:v>
      </s:c>
      <s:c r="D28" s="98">
        <s:f>46966+74930</s:f>
        <s:v>121896</s:v>
      </s:c>
      <s:c r="E28" s="99">
        <s:v>13</s:v>
      </s:c>
      <s:c r="F28" s="99">
        <s:f>IF(AND(E28&lt;&gt;"",E28&lt;&gt;0),D28/E28,"")</s:f>
        <s:v>9376.6153846153848</s:v>
      </s:c>
      <s:c r="G28" s="99">
        <s:v>8</s:v>
      </s:c>
      <s:c r="H28" s="99">
        <s:f>IF(AND(G28&lt;&gt;"",G28&lt;&gt;0),D28/G28,"")</s:f>
        <s:v>15237</s:v>
      </s:c>
      <s:c r="I28" s="99">
        <s:v>20</s:v>
      </s:c>
      <s:c r="J28" s="98">
        <s:f>IF(AND(G28&lt;&gt;"",G28&lt;&gt;0),E28/G28,"")</s:f>
        <s:v>1.625</s:v>
      </s:c>
      <s:c r="K28" s="99"/>
      <s:c r="L28" s="99">
        <s:v>74930</s:v>
      </s:c>
      <s:c r="M28" s="99"/>
      <s:c r="N28" s="100">
        <s:f>IF(AND(I28&lt;&gt;"",I28&lt;&gt;0),G28/I28,"")</s:f>
        <s:v>0.4</s:v>
      </s:c>
      <s:c r="O28" s="101">
        <s:f>D28/P28</s:f>
        <s:v>1.9588407903352258</s:v>
      </s:c>
      <s:c r="P28" s="102">
        <s:f>$I$8*V28*W28/SUMPRODUCT($W$25:$W$55,$V$25:$V$55)</s:f>
        <s:v>62228.640837696337</s:v>
      </s:c>
      <s:c r="Q28" s="103">
        <s:f>$I$9*V28*W28/SUMPRODUCT($W$25:$W$55,$V$25:$V$55)</s:f>
        <s:v>10.803583478766726</s:v>
      </s:c>
      <s:c r="R28" s="103">
        <s:f>IF($I$12="","",Q28/$I$12)</s:f>
        <s:v>5.686096567771961</s:v>
      </s:c>
      <s:c r="S28" s="102">
        <s:f>IF(W28&lt;&gt;"",IF(D28&lt;&gt;"",D28,($I$8-SUM($S$25:S27))*V28*W28/SUMPRODUCT($W28:$W$55,$V28:$V$55)),"")</s:f>
        <s:v>121896</s:v>
      </s:c>
      <s:c r="T28" s="103">
        <s:f>IF(W28&lt;&gt;"",IF(E28&lt;&gt;"",E28,($I$9-SUM($T$25:T27))*V28*W28/SUMPRODUCT($W28:$W$55,$V28:$V$55)),"")</s:f>
        <s:v>13</s:v>
      </s:c>
      <s:c r="U28" s="103">
        <s:f>IF(W28&lt;&gt;"",IF($I$12&lt;&gt;"",IF(G28&lt;&gt;"",G28,($I$9/$I$12-SUM($U$25:U27))*V28*W28/SUMPRODUCT($W28:$W$55,$V28:$V$55)),""),"")</s:f>
        <s:v>8</s:v>
      </s:c>
      <s:c r="V28" s="104">
        <s:v>1</s:v>
      </s:c>
      <s:c r="W28" s="104">
        <s:v>1</s:v>
      </s:c>
      <s:c r="X28" s="107"/>
      <s:c r="Y28" s="106"/>
      <s:c r="Z28" s="2"/>
      <s:c r="AA28" s="2"/>
      <s:c r="AB28" s="2"/>
      <s:c r="AC28" s="2"/>
      <s:c r="AD28" s="2"/>
      <s:c r="AE28" s="2"/>
      <s:c r="AF28" s="2"/>
      <s:c r="AG28" s="2"/>
      <s:c r="AH28" s="2"/>
      <s:c r="AI28" s="2"/>
      <s:c r="AJ28" s="2"/>
      <s:c r="AK28" s="2"/>
      <s:c r="AL28" s="2"/>
      <s:c r="AM28" s="2"/>
      <s:c r="AN28" s="2"/>
      <s:c r="AO28" s="2"/>
      <s:c r="AP28" s="2"/>
      <s:c r="AQ28" s="2"/>
      <s:c r="AR28" s="2"/>
      <s:c r="AS28" s="2"/>
      <s:c r="AT28" s="2"/>
      <s:c r="AU28" s="2"/>
      <s:c r="AV28" s="2"/>
      <s:c r="AW28" s="2"/>
      <s:c r="AX28" s="2"/>
      <s:c r="AY28" s="2"/>
      <s:c r="AZ28" s="2"/>
      <s:c r="BA28" s="2"/>
      <s:c r="BB28" s="2"/>
      <s:c r="BC28" s="2"/>
      <s:c r="BD28" s="2"/>
      <s:c r="BE28" s="2"/>
      <s:c r="BF28" s="2"/>
      <s:c r="BG28" s="2"/>
      <s:c r="BH28" s="2"/>
      <s:c r="BI28" s="2"/>
      <s:c r="BJ28" s="2"/>
      <s:c r="BK28" s="2"/>
      <s:c r="BL28" s="2"/>
      <s:c r="BM28" s="2"/>
      <s:c r="BN28" s="2"/>
      <s:c r="BO28" s="2"/>
      <s:c r="BP28" s="2"/>
      <s:c r="BQ28" s="2"/>
      <s:c r="BR28" s="2"/>
      <s:c r="BS28" s="2"/>
      <s:c r="BT28" s="2"/>
      <s:c r="BU28" s="2"/>
      <s:c r="BV28" s="2"/>
      <s:c r="BW28" s="2"/>
      <s:c r="BX28" s="2"/>
      <s:c r="BY28" s="2"/>
      <s:c r="BZ28" s="2"/>
      <s:c r="CA28" s="2"/>
      <s:c r="CB28" s="2"/>
      <s:c r="CC28" s="2"/>
      <s:c r="CD28" s="2"/>
      <s:c r="CE28" s="2"/>
      <s:c r="CF28" s="2"/>
      <s:c r="CG28" s="2"/>
      <s:c r="CH28" s="2"/>
      <s:c r="CI28" s="2"/>
      <s:c r="CJ28" s="2"/>
      <s:c r="CK28" s="2"/>
      <s:c r="CL28" s="2"/>
      <s:c r="CM28" s="2"/>
      <s:c r="CN28" s="2"/>
      <s:c r="CO28" s="2"/>
      <s:c r="CP28" s="2"/>
      <s:c r="CQ28" s="2"/>
      <s:c r="CR28" s="2"/>
      <s:c r="CS28" s="2"/>
      <s:c r="CT28" s="2"/>
      <s:c r="CU28" s="2"/>
      <s:c r="CV28" s="2"/>
      <s:c r="CW28" s="2"/>
      <s:c r="CX28" s="2"/>
      <s:c r="CY28" s="2"/>
      <s:c r="CZ28" s="2"/>
      <s:c r="DA28" s="2"/>
      <s:c r="DB28" s="2"/>
      <s:c r="DC28" s="2"/>
      <s:c r="DD28" s="2"/>
      <s:c r="DE28" s="2"/>
      <s:c r="DF28" s="2"/>
      <s:c r="DG28" s="2"/>
      <s:c r="DH28" s="2"/>
      <s:c r="DI28" s="2"/>
      <s:c r="DJ28" s="2"/>
      <s:c r="DK28" s="2"/>
      <s:c r="DL28" s="2"/>
      <s:c r="DM28" s="2"/>
      <s:c r="DN28" s="2"/>
      <s:c r="DO28" s="2"/>
      <s:c r="DP28" s="2"/>
      <s:c r="DQ28" s="2"/>
      <s:c r="DR28" s="2"/>
      <s:c r="DS28" s="2"/>
      <s:c r="DT28" s="2"/>
      <s:c r="DU28" s="2"/>
      <s:c r="DV28" s="2"/>
      <s:c r="DW28" s="2"/>
      <s:c r="DX28" s="2"/>
      <s:c r="DY28" s="2"/>
      <s:c r="DZ28" s="2"/>
      <s:c r="EA28" s="2"/>
      <s:c r="EB28" s="2"/>
      <s:c r="EC28" s="2"/>
      <s:c r="ED28" s="2"/>
      <s:c r="EE28" s="2"/>
      <s:c r="EF28" s="2"/>
      <s:c r="EG28" s="2"/>
      <s:c r="EH28" s="2"/>
      <s:c r="EI28" s="2"/>
      <s:c r="EJ28" s="2"/>
      <s:c r="EK28" s="2"/>
      <s:c r="EL28" s="2"/>
      <s:c r="EM28" s="2"/>
      <s:c r="EN28" s="2"/>
      <s:c r="EO28" s="2"/>
      <s:c r="EP28" s="2"/>
      <s:c r="EQ28" s="2"/>
      <s:c r="ER28" s="2"/>
      <s:c r="ES28" s="2"/>
      <s:c r="ET28" s="2"/>
      <s:c r="EU28" s="2"/>
      <s:c r="EV28" s="2"/>
      <s:c r="EW28" s="2"/>
      <s:c r="EX28" s="2"/>
      <s:c r="EY28" s="2"/>
      <s:c r="EZ28" s="2"/>
      <s:c r="FA28" s="2"/>
      <s:c r="FB28" s="2"/>
      <s:c r="FC28" s="2"/>
      <s:c r="FD28" s="2"/>
      <s:c r="FE28" s="2"/>
      <s:c r="FF28" s="2"/>
      <s:c r="FG28" s="2"/>
      <s:c r="FH28" s="2"/>
      <s:c r="FI28" s="2"/>
      <s:c r="FJ28" s="2"/>
      <s:c r="FK28" s="2"/>
      <s:c r="FL28" s="2"/>
      <s:c r="FM28" s="2"/>
      <s:c r="FN28" s="2"/>
      <s:c r="FO28" s="2"/>
      <s:c r="FP28" s="2"/>
      <s:c r="FQ28" s="2"/>
      <s:c r="FR28" s="2"/>
      <s:c r="FS28" s="2"/>
      <s:c r="FT28" s="2"/>
      <s:c r="FU28" s="2"/>
      <s:c r="FV28" s="2"/>
      <s:c r="FW28" s="2"/>
      <s:c r="FX28" s="2"/>
      <s:c r="FY28" s="2"/>
      <s:c r="FZ28" s="2"/>
      <s:c r="GA28" s="2"/>
      <s:c r="GB28" s="2"/>
      <s:c r="GC28" s="2"/>
      <s:c r="GD28" s="2"/>
      <s:c r="GE28" s="2"/>
      <s:c r="GF28" s="2"/>
      <s:c r="GG28" s="2"/>
      <s:c r="GH28" s="2"/>
      <s:c r="GI28" s="2"/>
      <s:c r="GJ28" s="2"/>
      <s:c r="GK28" s="2"/>
      <s:c r="GL28" s="2"/>
      <s:c r="GM28" s="2"/>
      <s:c r="GN28" s="2"/>
      <s:c r="GO28" s="2"/>
      <s:c r="GP28" s="2"/>
      <s:c r="GQ28" s="2"/>
      <s:c r="GR28" s="2"/>
      <s:c r="GS28" s="2"/>
      <s:c r="GT28" s="2"/>
      <s:c r="GU28" s="2"/>
      <s:c r="GV28" s="2"/>
      <s:c r="GW28" s="2"/>
      <s:c r="GX28" s="2"/>
      <s:c r="GY28" s="2"/>
      <s:c r="GZ28" s="2"/>
      <s:c r="HA28" s="2"/>
      <s:c r="HB28" s="2"/>
      <s:c r="HC28" s="2"/>
      <s:c r="HD28" s="2"/>
      <s:c r="HE28" s="2"/>
      <s:c r="HF28" s="2"/>
      <s:c r="HG28" s="2"/>
      <s:c r="HH28" s="2"/>
      <s:c r="HI28" s="2"/>
      <s:c r="HJ28" s="2"/>
      <s:c r="HK28" s="2"/>
      <s:c r="HL28" s="2"/>
      <s:c r="HM28" s="2"/>
      <s:c r="HN28" s="2"/>
      <s:c r="HO28" s="2"/>
      <s:c r="HP28" s="2"/>
      <s:c r="HQ28" s="2"/>
      <s:c r="HR28" s="2"/>
      <s:c r="HS28" s="2"/>
      <s:c r="HT28" s="2"/>
      <s:c r="HU28" s="2"/>
      <s:c r="HV28" s="2"/>
      <s:c r="HW28" s="2"/>
      <s:c r="HX28" s="2"/>
      <s:c r="HY28" s="2"/>
      <s:c r="HZ28" s="2"/>
      <s:c r="IA28" s="2"/>
      <s:c r="IB28" s="2"/>
      <s:c r="IC28" s="2"/>
      <s:c r="ID28" s="2"/>
      <s:c r="IE28" s="2"/>
      <s:c r="IF28" s="2"/>
      <s:c r="IG28" s="2"/>
      <s:c r="IH28" s="2"/>
      <s:c r="II28" s="2"/>
      <s:c r="IJ28" s="2"/>
      <s:c r="IK28" s="2"/>
      <s:c r="IL28" s="2"/>
      <s:c r="IM28" s="2"/>
      <s:c r="IN28" s="2"/>
      <s:c r="IO28" s="2"/>
      <s:c r="IP28" s="2"/>
      <s:c r="IQ28" s="2"/>
      <s:c r="IR28" s="2"/>
      <s:c r="IS28" s="2"/>
      <s:c r="IT28" s="2"/>
      <s:c r="IU28" s="2"/>
    </s:row>
    <s:row r="29">
      <s:c r="A29" s="95">
        <s:v>5</s:v>
      </s:c>
      <s:c r="B29" s="96">
        <s:v>45814</s:v>
      </s:c>
      <s:c r="C29" s="97" t="s">
        <s:v>59</s:v>
      </s:c>
      <s:c r="D29" s="98">
        <s:f>32400+6204</s:f>
        <s:v>38604</s:v>
      </s:c>
      <s:c r="E29" s="99">
        <s:v>9</s:v>
      </s:c>
      <s:c r="F29" s="99">
        <s:f>IF(AND(E29&lt;&gt;"",E29&lt;&gt;0),D29/E29,"")</s:f>
        <s:v>4289.333333333333</s:v>
      </s:c>
      <s:c r="G29" s="99">
        <s:v>6</s:v>
      </s:c>
      <s:c r="H29" s="99">
        <s:f>IF(AND(G29&lt;&gt;"",G29&lt;&gt;0),D29/G29,"")</s:f>
        <s:v>6434</s:v>
      </s:c>
      <s:c r="I29" s="99">
        <s:v>30</s:v>
      </s:c>
      <s:c r="J29" s="98">
        <s:f>IF(AND(G29&lt;&gt;"",G29&lt;&gt;0),E29/G29,"")</s:f>
        <s:v>1.5</s:v>
      </s:c>
      <s:c r="K29" s="99"/>
      <s:c r="L29" s="99">
        <s:v>6204</s:v>
      </s:c>
      <s:c r="M29" s="99"/>
      <s:c r="N29" s="100">
        <s:f>IF(AND(I29&lt;&gt;"",I29&lt;&gt;0),G29/I29,"")</s:f>
        <s:v>0.2</s:v>
      </s:c>
      <s:c r="O29" s="101">
        <s:f>D29/P29</s:f>
        <s:v>0.62035743478129768</s:v>
      </s:c>
      <s:c r="P29" s="102">
        <s:f>$I$8*V29*W29/SUMPRODUCT($W$25:$W$55,$V$25:$V$55)</s:f>
        <s:v>62228.640837696337</s:v>
      </s:c>
      <s:c r="Q29" s="103">
        <s:f>$I$9*V29*W29/SUMPRODUCT($W$25:$W$55,$V$25:$V$55)</s:f>
        <s:v>10.803583478766726</s:v>
      </s:c>
      <s:c r="R29" s="103">
        <s:f>IF($I$12="","",Q29/$I$12)</s:f>
        <s:v>5.686096567771961</s:v>
      </s:c>
      <s:c r="S29" s="102">
        <s:f>IF(W29&lt;&gt;"",IF(D29&lt;&gt;"",D29,($I$8-SUM($S$25:S28))*V29*W29/SUMPRODUCT($W29:$W$55,$V29:$V$55)),"")</s:f>
        <s:v>38604</s:v>
      </s:c>
      <s:c r="T29" s="103">
        <s:f>IF(W29&lt;&gt;"",IF(E29&lt;&gt;"",E29,($I$9-SUM($T$25:T28))*V29*W29/SUMPRODUCT($W29:$W$55,$V29:$V$55)),"")</s:f>
        <s:v>9</s:v>
      </s:c>
      <s:c r="U29" s="103">
        <s:f>IF(W29&lt;&gt;"",IF($I$12&lt;&gt;"",IF(G29&lt;&gt;"",G29,($I$9/$I$12-SUM($U$25:U28))*V29*W29/SUMPRODUCT($W29:$W$55,$V29:$V$55)),""),"")</s:f>
        <s:v>6</s:v>
      </s:c>
      <s:c r="V29" s="104">
        <s:v>1</s:v>
      </s:c>
      <s:c r="W29" s="104">
        <s:v>1</s:v>
      </s:c>
      <s:c r="X29" s="107"/>
      <s:c r="Y29" s="106"/>
      <s:c r="Z29" s="2"/>
      <s:c r="AA29" s="2"/>
      <s:c r="AB29" s="2"/>
      <s:c r="AC29" s="2"/>
      <s:c r="AD29" s="2"/>
    </s:row>
    <s:row r="30">
      <s:c r="A30" s="95">
        <s:v>6</s:v>
      </s:c>
      <s:c r="B30" s="96">
        <s:v>45815</s:v>
      </s:c>
      <s:c r="C30" s="97" t="s">
        <s:v>60</s:v>
      </s:c>
      <s:c r="D30" s="98">
        <s:f>27440+24012+21703</s:f>
        <s:v>73155</s:v>
      </s:c>
      <s:c r="E30" s="99">
        <s:v>11</s:v>
      </s:c>
      <s:c r="F30" s="99">
        <s:f>IF(AND(E30&lt;&gt;"",E30&lt;&gt;0),D30/E30,"")</s:f>
        <s:v>6650.454545454545</s:v>
      </s:c>
      <s:c r="G30" s="99">
        <s:v>5</s:v>
      </s:c>
      <s:c r="H30" s="99">
        <s:f>IF(AND(G30&lt;&gt;"",G30&lt;&gt;0),D30/G30,"")</s:f>
        <s:v>14631</s:v>
      </s:c>
      <s:c r="I30" s="99">
        <s:v>30</s:v>
      </s:c>
      <s:c r="J30" s="98">
        <s:f>IF(AND(G30&lt;&gt;"",G30&lt;&gt;0),E30/G30,"")</s:f>
        <s:v>2.2000000000000002</s:v>
      </s:c>
      <s:c r="K30" s="99">
        <s:v>24012</s:v>
      </s:c>
      <s:c r="L30" s="99">
        <s:v>21703</s:v>
      </s:c>
      <s:c r="M30" s="99"/>
      <s:c r="N30" s="100">
        <s:f>IF(AND(I30&lt;&gt;"",I30&lt;&gt;0),G30/I30,"")</s:f>
        <s:v>0.16666666666666666</s:v>
      </s:c>
      <s:c r="O30" s="101">
        <s:f>D30/P30</s:f>
        <s:v>1.1755840882143256</s:v>
      </s:c>
      <s:c r="P30" s="102">
        <s:f>$I$8*V30*W30/SUMPRODUCT($W$25:$W$55,$V$25:$V$55)</s:f>
        <s:v>62228.640837696337</s:v>
      </s:c>
      <s:c r="Q30" s="103">
        <s:f>$I$9*V30*W30/SUMPRODUCT($W$25:$W$55,$V$25:$V$55)</s:f>
        <s:v>10.803583478766726</s:v>
      </s:c>
      <s:c r="R30" s="103">
        <s:f>IF($I$12="","",Q30/$I$12)</s:f>
        <s:v>5.686096567771961</s:v>
      </s:c>
      <s:c r="S30" s="102">
        <s:f>IF(W30&lt;&gt;"",IF(D30&lt;&gt;"",D30,($I$8-SUM($S$25:S29))*V30*W30/SUMPRODUCT($W30:$W$55,$V30:$V$55)),"")</s:f>
        <s:v>73155</s:v>
      </s:c>
      <s:c r="T30" s="103">
        <s:f>IF(W30&lt;&gt;"",IF(E30&lt;&gt;"",E30,($I$9-SUM($T$25:T29))*V30*W30/SUMPRODUCT($W30:$W$55,$V30:$V$55)),"")</s:f>
        <s:v>11</s:v>
      </s:c>
      <s:c r="U30" s="103">
        <s:f>IF(W30&lt;&gt;"",IF($I$12&lt;&gt;"",IF(G30&lt;&gt;"",G30,($I$9/$I$12-SUM($U$25:U29))*V30*W30/SUMPRODUCT($W30:$W$55,$V30:$V$55)),""),"")</s:f>
        <s:v>5</s:v>
      </s:c>
      <s:c r="V30" s="104">
        <s:v>1</s:v>
      </s:c>
      <s:c r="W30" s="104">
        <s:v>1</s:v>
      </s:c>
      <s:c r="X30" s="107"/>
      <s:c r="Y30" s="106"/>
      <s:c r="Z30" s="2"/>
      <s:c r="AA30" s="2"/>
      <s:c r="AB30" s="2"/>
      <s:c r="AC30" s="2"/>
      <s:c r="AD30" s="2"/>
    </s:row>
    <s:row r="31">
      <s:c r="A31" s="95">
        <s:v>7</s:v>
      </s:c>
      <s:c r="B31" s="96">
        <s:v>45816</s:v>
      </s:c>
      <s:c r="C31" s="97" t="s">
        <s:v>49</s:v>
      </s:c>
      <s:c r="D31" s="98">
        <s:f>71706+7503</s:f>
        <s:v>79209</s:v>
      </s:c>
      <s:c r="E31" s="99">
        <s:v>18</s:v>
      </s:c>
      <s:c r="F31" s="99">
        <s:f>IF(AND(E31&lt;&gt;"",E31&lt;&gt;0),D31/E31,"")</s:f>
        <s:v>4400.5</s:v>
      </s:c>
      <s:c r="G31" s="99">
        <s:v>11</s:v>
      </s:c>
      <s:c r="H31" s="99">
        <s:f>IF(AND(G31&lt;&gt;"",G31&lt;&gt;0),D31/G31,"")</s:f>
        <s:v>7200.818181818182</s:v>
      </s:c>
      <s:c r="I31" s="99">
        <s:v>35</s:v>
      </s:c>
      <s:c r="J31" s="98">
        <s:f>IF(AND(G31&lt;&gt;"",G31&lt;&gt;0),E31/G31,"")</s:f>
        <s:v>1.6363636363636365</s:v>
      </s:c>
      <s:c r="K31" s="99"/>
      <s:c r="L31" s="99">
        <s:v>7503</s:v>
      </s:c>
      <s:c r="M31" s="99"/>
      <s:c r="N31" s="100">
        <s:f>IF(AND(I31&lt;&gt;"",I31&lt;&gt;0),G31/I31,"")</s:f>
        <s:v>0.31428571428571428</s:v>
      </s:c>
      <s:c r="O31" s="101">
        <s:f>D31/P31</s:f>
        <s:v>1.2728704810794687</s:v>
      </s:c>
      <s:c r="P31" s="102">
        <s:f>$I$8*V31*W31/SUMPRODUCT($W$25:$W$55,$V$25:$V$55)</s:f>
        <s:v>62228.640837696337</s:v>
      </s:c>
      <s:c r="Q31" s="103">
        <s:f>$I$9*V31*W31/SUMPRODUCT($W$25:$W$55,$V$25:$V$55)</s:f>
        <s:v>10.803583478766726</s:v>
      </s:c>
      <s:c r="R31" s="103">
        <s:f>IF($I$12="","",Q31/$I$12)</s:f>
        <s:v>5.686096567771961</s:v>
      </s:c>
      <s:c r="S31" s="102">
        <s:f>IF(W31&lt;&gt;"",IF(D31&lt;&gt;"",D31,($I$8-SUM($S$25:S30))*V31*W31/SUMPRODUCT($W31:$W$55,$V31:$V$55)),"")</s:f>
        <s:v>79209</s:v>
      </s:c>
      <s:c r="T31" s="103">
        <s:f>IF(W31&lt;&gt;"",IF(E31&lt;&gt;"",E31,($I$9-SUM($T$25:T30))*V31*W31/SUMPRODUCT($W31:$W$55,$V31:$V$55)),"")</s:f>
        <s:v>18</s:v>
      </s:c>
      <s:c r="U31" s="103">
        <s:f>IF(W31&lt;&gt;"",IF($I$12&lt;&gt;"",IF(G31&lt;&gt;"",G31,($I$9/$I$12-SUM($U$25:U30))*V31*W31/SUMPRODUCT($W31:$W$55,$V31:$V$55)),""),"")</s:f>
        <s:v>11</s:v>
      </s:c>
      <s:c r="V31" s="104">
        <s:v>1</s:v>
      </s:c>
      <s:c r="W31" s="104">
        <s:v>1</s:v>
      </s:c>
      <s:c r="X31" s="107"/>
      <s:c r="Y31" s="106"/>
    </s:row>
    <s:row r="32">
      <s:c r="A32" s="95">
        <s:v>8</s:v>
      </s:c>
      <s:c r="B32" s="96">
        <s:v>45817</s:v>
      </s:c>
      <s:c r="C32" s="97" t="s">
        <s:v>51</s:v>
      </s:c>
      <s:c r="D32" s="98">
        <s:f>28057+6992</s:f>
        <s:v>35049</s:v>
      </s:c>
      <s:c r="E32" s="99">
        <s:v>7</s:v>
      </s:c>
      <s:c r="F32" s="99">
        <s:f>IF(AND(E32&lt;&gt;"",E32&lt;&gt;0),D32/E32,"")</s:f>
        <s:v>5007</s:v>
      </s:c>
      <s:c r="G32" s="99">
        <s:v>4</s:v>
      </s:c>
      <s:c r="H32" s="99">
        <s:f>IF(AND(G32&lt;&gt;"",G32&lt;&gt;0),D32/G32,"")</s:f>
        <s:v>8762.25</s:v>
      </s:c>
      <s:c r="I32" s="99">
        <s:v>17</s:v>
      </s:c>
      <s:c r="J32" s="98">
        <s:f>IF(AND(G32&lt;&gt;"",G32&lt;&gt;0),E32/G32,"")</s:f>
        <s:v>1.75</s:v>
      </s:c>
      <s:c r="K32" s="99">
        <s:v>6992</s:v>
      </s:c>
      <s:c r="L32" s="99"/>
      <s:c r="M32" s="99"/>
      <s:c r="N32" s="100">
        <s:f>IF(AND(I32&lt;&gt;"",I32&lt;&gt;0),G32/I32,"")</s:f>
        <s:v>0.23529411764705882</s:v>
      </s:c>
      <s:c r="O32" s="101">
        <s:f>D32/P32</s:f>
        <s:v>0.56322939932778215</s:v>
      </s:c>
      <s:c r="P32" s="102">
        <s:f>$I$8*V32*W32/SUMPRODUCT($W$25:$W$55,$V$25:$V$55)</s:f>
        <s:v>62228.640837696337</s:v>
      </s:c>
      <s:c r="Q32" s="103">
        <s:f>$I$9*V32*W32/SUMPRODUCT($W$25:$W$55,$V$25:$V$55)</s:f>
        <s:v>10.803583478766726</s:v>
      </s:c>
      <s:c r="R32" s="103">
        <s:f>IF($I$12="","",Q32/$I$12)</s:f>
        <s:v>5.686096567771961</s:v>
      </s:c>
      <s:c r="S32" s="102">
        <s:f>IF(W32&lt;&gt;"",IF(D32&lt;&gt;"",D32,($I$8-SUM($S$25:S31))*V32*W32/SUMPRODUCT($W32:$W$55,$V32:$V$55)),"")</s:f>
        <s:v>35049</s:v>
      </s:c>
      <s:c r="T32" s="103">
        <s:f>IF(W32&lt;&gt;"",IF(E32&lt;&gt;"",E32,($I$9-SUM($T$25:T31))*V32*W32/SUMPRODUCT($W32:$W$55,$V32:$V$55)),"")</s:f>
        <s:v>7</s:v>
      </s:c>
      <s:c r="U32" s="103">
        <s:f>IF(W32&lt;&gt;"",IF($I$12&lt;&gt;"",IF(G32&lt;&gt;"",G32,($I$9/$I$12-SUM($U$25:U31))*V32*W32/SUMPRODUCT($W32:$W$55,$V32:$V$55)),""),"")</s:f>
        <s:v>4</s:v>
      </s:c>
      <s:c r="V32" s="104">
        <s:v>1</s:v>
      </s:c>
      <s:c r="W32" s="104">
        <s:v>1</s:v>
      </s:c>
      <s:c r="X32" s="107"/>
      <s:c r="Y32" s="106"/>
    </s:row>
    <s:row r="33">
      <s:c r="A33" s="95">
        <s:v>9</s:v>
      </s:c>
      <s:c r="B33" s="96">
        <s:v>45818</s:v>
      </s:c>
      <s:c r="C33" s="97" t="s">
        <s:v>54</s:v>
      </s:c>
      <s:c r="D33" s="98">
        <s:v>30540</s:v>
      </s:c>
      <s:c r="E33" s="99">
        <s:v>6</s:v>
      </s:c>
      <s:c r="F33" s="99">
        <s:f>IF(AND(E33&lt;&gt;"",E33&lt;&gt;0),D33/E33,"")</s:f>
        <s:v>5090</s:v>
      </s:c>
      <s:c r="G33" s="99">
        <s:v>6</s:v>
      </s:c>
      <s:c r="H33" s="99">
        <s:f>IF(AND(G33&lt;&gt;"",G33&lt;&gt;0),D33/G33,"")</s:f>
        <s:v>5090</s:v>
      </s:c>
      <s:c r="I33" s="99">
        <s:v>17</s:v>
      </s:c>
      <s:c r="J33" s="98">
        <s:f>IF(AND(G33&lt;&gt;"",G33&lt;&gt;0),E33/G33,"")</s:f>
        <s:v>1</s:v>
      </s:c>
      <s:c r="K33" s="99"/>
      <s:c r="L33" s="99"/>
      <s:c r="M33" s="99"/>
      <s:c r="N33" s="100">
        <s:f>IF(AND(I33&lt;&gt;"",I33&lt;&gt;0),G33/I33,"")</s:f>
        <s:v>0.35294117647058826</s:v>
      </s:c>
      <s:c r="O33" s="101">
        <s:f>D33/P33</s:f>
        <s:v>0.49077080246142446</s:v>
      </s:c>
      <s:c r="P33" s="102">
        <s:f>$I$8*V33*W33/SUMPRODUCT($W$25:$W$55,$V$25:$V$55)</s:f>
        <s:v>62228.640837696337</s:v>
      </s:c>
      <s:c r="Q33" s="103">
        <s:f>$I$9*V33*W33/SUMPRODUCT($W$25:$W$55,$V$25:$V$55)</s:f>
        <s:v>10.803583478766726</s:v>
      </s:c>
      <s:c r="R33" s="103">
        <s:f>IF($I$12="","",Q33/$I$12)</s:f>
        <s:v>5.686096567771961</s:v>
      </s:c>
      <s:c r="S33" s="102">
        <s:f>IF(W33&lt;&gt;"",IF(D33&lt;&gt;"",D33,($I$8-SUM($S$25:S32))*V33*W33/SUMPRODUCT($W33:$W$55,$V33:$V$55)),"")</s:f>
        <s:v>30540</s:v>
      </s:c>
      <s:c r="T33" s="103">
        <s:f>IF(W33&lt;&gt;"",IF(E33&lt;&gt;"",E33,($I$9-SUM($T$25:T32))*V33*W33/SUMPRODUCT($W33:$W$55,$V33:$V$55)),"")</s:f>
        <s:v>6</s:v>
      </s:c>
      <s:c r="U33" s="103">
        <s:f>IF(W33&lt;&gt;"",IF($I$12&lt;&gt;"",IF(G33&lt;&gt;"",G33,($I$9/$I$12-SUM($U$25:U32))*V33*W33/SUMPRODUCT($W33:$W$55,$V33:$V$55)),""),"")</s:f>
        <s:v>6</s:v>
      </s:c>
      <s:c r="V33" s="104">
        <s:v>1</s:v>
      </s:c>
      <s:c r="W33" s="104">
        <s:v>1</s:v>
      </s:c>
      <s:c r="X33" s="107"/>
      <s:c r="Y33" s="106"/>
      <s:c r="Z33" s="2"/>
      <s:c r="AA33" s="2"/>
      <s:c r="AB33" s="2"/>
      <s:c r="AC33" s="2"/>
      <s:c r="AD33" s="2"/>
    </s:row>
    <s:row r="34">
      <s:c r="A34" s="95">
        <s:v>10</s:v>
      </s:c>
      <s:c r="B34" s="96">
        <s:v>45819</s:v>
      </s:c>
      <s:c r="C34" s="97" t="s">
        <s:v>56</s:v>
      </s:c>
      <s:c r="D34" s="98">
        <s:v>70982</s:v>
      </s:c>
      <s:c r="E34" s="99">
        <s:v>14</s:v>
      </s:c>
      <s:c r="F34" s="99">
        <s:f>IF(AND(E34&lt;&gt;"",E34&lt;&gt;0),D34/E34,"")</s:f>
        <s:v>5070.1428571428569</s:v>
      </s:c>
      <s:c r="G34" s="99">
        <s:v>4</s:v>
      </s:c>
      <s:c r="H34" s="99">
        <s:f>IF(AND(G34&lt;&gt;"",G34&lt;&gt;0),D34/G34,"")</s:f>
        <s:v>17745.5</s:v>
      </s:c>
      <s:c r="I34" s="99">
        <s:v>11</s:v>
      </s:c>
      <s:c r="J34" s="98">
        <s:f>IF(AND(G34&lt;&gt;"",G34&lt;&gt;0),E34/G34,"")</s:f>
        <s:v>3.5</s:v>
      </s:c>
      <s:c r="K34" s="99"/>
      <s:c r="L34" s="99"/>
      <s:c r="M34" s="99"/>
      <s:c r="N34" s="100">
        <s:f>IF(AND(I34&lt;&gt;"",I34&lt;&gt;0),G34/I34,"")</s:f>
        <s:v>0.36363636363636365</s:v>
      </s:c>
      <s:c r="O34" s="101">
        <s:f>D34/P34</s:f>
        <s:v>1.1406644761072964</s:v>
      </s:c>
      <s:c r="P34" s="102">
        <s:f>$I$8*V34*W34/SUMPRODUCT($W$25:$W$55,$V$25:$V$55)</s:f>
        <s:v>62228.640837696337</s:v>
      </s:c>
      <s:c r="Q34" s="103">
        <s:f>$I$9*V34*W34/SUMPRODUCT($W$25:$W$55,$V$25:$V$55)</s:f>
        <s:v>10.803583478766726</s:v>
      </s:c>
      <s:c r="R34" s="103">
        <s:f>IF($I$12="","",Q34/$I$12)</s:f>
        <s:v>5.686096567771961</s:v>
      </s:c>
      <s:c r="S34" s="102">
        <s:f>IF(W34&lt;&gt;"",IF(D34&lt;&gt;"",D34,($I$8-SUM($S$25:S33))*V34*W34/SUMPRODUCT($W34:$W$55,$V34:$V$55)),"")</s:f>
        <s:v>70982</s:v>
      </s:c>
      <s:c r="T34" s="103">
        <s:f>IF(W34&lt;&gt;"",IF(E34&lt;&gt;"",E34,($I$9-SUM($T$25:T33))*V34*W34/SUMPRODUCT($W34:$W$55,$V34:$V$55)),"")</s:f>
        <s:v>14</s:v>
      </s:c>
      <s:c r="U34" s="103">
        <s:f>IF(W34&lt;&gt;"",IF($I$12&lt;&gt;"",IF(G34&lt;&gt;"",G34,($I$9/$I$12-SUM($U$25:U33))*V34*W34/SUMPRODUCT($W34:$W$55,$V34:$V$55)),""),"")</s:f>
        <s:v>4</s:v>
      </s:c>
      <s:c r="V34" s="104">
        <s:v>1</s:v>
      </s:c>
      <s:c r="W34" s="104">
        <s:v>1</s:v>
      </s:c>
      <s:c r="X34" s="107"/>
      <s:c r="Y34" s="106"/>
      <s:c r="Z34" s="2"/>
      <s:c r="AA34" s="2"/>
      <s:c r="AB34" s="2"/>
      <s:c r="AC34" s="2"/>
      <s:c r="AD34" s="2"/>
    </s:row>
    <s:row r="35">
      <s:c r="A35" s="95">
        <s:v>11</s:v>
      </s:c>
      <s:c r="B35" s="96">
        <s:v>45820</s:v>
      </s:c>
      <s:c r="C35" s="97" t="s">
        <s:v>58</s:v>
      </s:c>
      <s:c r="D35" s="98">
        <s:v>72879</s:v>
      </s:c>
      <s:c r="E35" s="97">
        <s:v>15</s:v>
      </s:c>
      <s:c r="F35" s="99">
        <s:f>IF(AND(E35&lt;&gt;"",E35&lt;&gt;0),D35/E35,"")</s:f>
        <s:v>4858.6000000000004</s:v>
      </s:c>
      <s:c r="G35" s="99">
        <s:v>7</s:v>
      </s:c>
      <s:c r="H35" s="99">
        <s:f>IF(AND(G35&lt;&gt;"",G35&lt;&gt;0),D35/G35,"")</s:f>
        <s:v>10411.285714285714</s:v>
      </s:c>
      <s:c r="I35" s="99">
        <s:v>30</s:v>
      </s:c>
      <s:c r="J35" s="98">
        <s:f>IF(AND(G35&lt;&gt;"",G35&lt;&gt;0),E35/G35,"")</s:f>
        <s:v>2.1428571428571428</s:v>
      </s:c>
      <s:c r="K35" s="99"/>
      <s:c r="L35" s="99"/>
      <s:c r="M35" s="99"/>
      <s:c r="N35" s="100">
        <s:f>IF(AND(I35&lt;&gt;"",I35&lt;&gt;0),G35/I35,"")</s:f>
        <s:v>0.23333333333333334</s:v>
      </s:c>
      <s:c r="O35" s="101">
        <s:f>D35/P35</s:f>
        <s:v>1.1711488314533776</s:v>
      </s:c>
      <s:c r="P35" s="102">
        <s:f>$I$8*V35*W35/SUMPRODUCT($W$25:$W$55,$V$25:$V$55)</s:f>
        <s:v>62228.640837696337</s:v>
      </s:c>
      <s:c r="Q35" s="103">
        <s:f>$I$9*V35*W35/SUMPRODUCT($W$25:$W$55,$V$25:$V$55)</s:f>
        <s:v>10.803583478766726</s:v>
      </s:c>
      <s:c r="R35" s="103">
        <s:f>IF($I$12="","",Q35/$I$12)</s:f>
        <s:v>5.686096567771961</s:v>
      </s:c>
      <s:c r="S35" s="102">
        <s:f>IF(W35&lt;&gt;"",IF(D35&lt;&gt;"",D35,($I$8-SUM($S$25:S34))*V35*W35/SUMPRODUCT($W35:$W$55,$V35:$V$55)),"")</s:f>
        <s:v>72879</s:v>
      </s:c>
      <s:c r="T35" s="103">
        <s:f>IF(W35&lt;&gt;"",IF(E34&lt;&gt;"",E34,($I$9-SUM($T$25:T34))*V35*W35/SUMPRODUCT($W35:$W$55,$V35:$V$55)),"")</s:f>
        <s:v>14</s:v>
      </s:c>
      <s:c r="U35" s="103">
        <s:f>IF(W35&lt;&gt;"",IF($I$12&lt;&gt;"",IF(G35&lt;&gt;"",G35,($I$9/$I$12-SUM($U$25:U34))*V35*W35/SUMPRODUCT($W35:$W$55,$V35:$V$55)),""),"")</s:f>
        <s:v>7</s:v>
      </s:c>
      <s:c r="V35" s="104">
        <s:v>1</s:v>
      </s:c>
      <s:c r="W35" s="104">
        <s:v>1</s:v>
      </s:c>
      <s:c r="X35" s="107"/>
      <s:c r="Y35" s="106"/>
      <s:c r="Z35" s="2"/>
      <s:c r="AA35" s="2"/>
      <s:c r="AB35" s="2"/>
      <s:c r="AC35" s="2"/>
      <s:c r="AD35" s="2"/>
    </s:row>
    <s:row r="36" spans="1:30" ht="15.25" customHeight="1">
      <s:c r="A36" s="95">
        <s:v>12</s:v>
      </s:c>
      <s:c r="B36" s="96">
        <s:v>45822</s:v>
      </s:c>
      <s:c r="C36" s="97" t="s">
        <s:v>60</s:v>
      </s:c>
      <s:c r="D36" s="98">
        <s:f>70459+8993</s:f>
        <s:v>79452</s:v>
      </s:c>
      <s:c r="E36" s="99">
        <s:v>17</s:v>
      </s:c>
      <s:c r="F36" s="99">
        <s:f>IF(AND(E36&lt;&gt;"",E36&lt;&gt;0),D36/E36,"")</s:f>
        <s:v>4673.6470588235297</s:v>
      </s:c>
      <s:c r="G36" s="99">
        <s:v>9</s:v>
      </s:c>
      <s:c r="H36" s="99">
        <s:f>IF(AND(G36&lt;&gt;"",G36&lt;&gt;0),D36/G36,"")</s:f>
        <s:v>8828</s:v>
      </s:c>
      <s:c r="I36" s="99">
        <s:v>30</s:v>
      </s:c>
      <s:c r="J36" s="98">
        <s:f>IF(AND(G36&lt;&gt;"",G36&lt;&gt;0),E36/G36,"")</s:f>
        <s:v>1.8888888888888888</s:v>
      </s:c>
      <s:c r="K36" s="99">
        <s:v>8993</s:v>
      </s:c>
      <s:c r="L36" s="99"/>
      <s:c r="M36" s="99"/>
      <s:c r="N36" s="100">
        <s:f>IF(AND(I36&lt;&gt;"",I36&lt;&gt;0),G36/I36,"")</s:f>
        <s:v>0.3</s:v>
      </s:c>
      <s:c r="O36" s="101">
        <s:f>D36/P36</s:f>
        <s:v>1.2767754354016077</s:v>
      </s:c>
      <s:c r="P36" s="102">
        <s:f>$I$8*V36*W36/SUMPRODUCT($W$25:$W$55,$V$25:$V$55)</s:f>
        <s:v>62228.640837696337</s:v>
      </s:c>
      <s:c r="Q36" s="103">
        <s:f>$I$9*V36*W36/SUMPRODUCT($W$25:$W$55,$V$25:$V$55)</s:f>
        <s:v>10.803583478766726</s:v>
      </s:c>
      <s:c r="R36" s="103">
        <s:f>IF($I$12="","",Q36/$I$12)</s:f>
        <s:v>5.686096567771961</s:v>
      </s:c>
      <s:c r="S36" s="102">
        <s:f>IF(W36&lt;&gt;"",IF(D36&lt;&gt;"",D36,($I$8-SUM($S$25:S35))*V36*W36/SUMPRODUCT($W36:$W$55,$V36:$V$55)),"")</s:f>
        <s:v>79452</s:v>
      </s:c>
      <s:c r="T36" s="103">
        <s:f>IF(W36&lt;&gt;"",IF(E36&lt;&gt;"",E36,($I$9-SUM($T$25:T35))*V36*W36/SUMPRODUCT($W36:$W$55,$V36:$V$55)),"")</s:f>
        <s:v>17</s:v>
      </s:c>
      <s:c r="U36" s="103">
        <s:f>IF(W36&lt;&gt;"",IF($I$12&lt;&gt;"",IF(G36&lt;&gt;"",G36,($I$9/$I$12-SUM($U$25:U35))*V36*W36/SUMPRODUCT($W36:$W$55,$V36:$V$55)),""),"")</s:f>
        <s:v>9</s:v>
      </s:c>
      <s:c r="V36" s="104">
        <s:v>1</s:v>
      </s:c>
      <s:c r="W36" s="104">
        <s:v>1</s:v>
      </s:c>
      <s:c r="X36" s="107"/>
      <s:c r="Y36" s="106"/>
      <s:c r="Z36" s="2"/>
      <s:c r="AA36" s="2"/>
      <s:c r="AB36" s="2"/>
      <s:c r="AC36" s="2"/>
      <s:c r="AD36" s="2"/>
    </s:row>
    <s:row r="37">
      <s:c r="A37" s="95">
        <s:v>13</s:v>
      </s:c>
      <s:c r="B37" s="96">
        <s:v>45823</s:v>
      </s:c>
      <s:c r="C37" s="97" t="s">
        <s:v>49</s:v>
      </s:c>
      <s:c r="D37" s="98">
        <s:f>40831+8603</s:f>
        <s:v>49434</s:v>
      </s:c>
      <s:c r="E37" s="99">
        <s:v>10</s:v>
      </s:c>
      <s:c r="F37" s="99">
        <s:f>IF(AND(E37&lt;&gt;"",E37&lt;&gt;0),D37/E37,"")</s:f>
        <s:v>4943.3999999999996</s:v>
      </s:c>
      <s:c r="G37" s="99">
        <s:v>7</s:v>
      </s:c>
      <s:c r="H37" s="99">
        <s:f>IF(AND(G37&lt;&gt;"",G37&lt;&gt;0),D37/G37,"")</s:f>
        <s:v>7062</s:v>
      </s:c>
      <s:c r="I37" s="99">
        <s:v>25</s:v>
      </s:c>
      <s:c r="J37" s="98">
        <s:f>IF(AND(G37&lt;&gt;"",G37&lt;&gt;0),E37/G37,"")</s:f>
        <s:v>1.4285714285714286</s:v>
      </s:c>
      <s:c r="K37" s="99"/>
      <s:c r="L37" s="99">
        <s:v>8603</s:v>
      </s:c>
      <s:c r="M37" s="99"/>
      <s:c r="N37" s="100">
        <s:f>IF(AND(I37&lt;&gt;"",I37&lt;&gt;0),G37/I37,"")</s:f>
        <s:v>0.28000000000000003</s:v>
      </s:c>
      <s:c r="O37" s="101">
        <s:f>D37/P37</s:f>
        <s:v>0.79439305333588917</s:v>
      </s:c>
      <s:c r="P37" s="102">
        <s:f>$I$8*V37*W37/SUMPRODUCT($W$25:$W$55,$V$25:$V$55)</s:f>
        <s:v>62228.640837696337</s:v>
      </s:c>
      <s:c r="Q37" s="103">
        <s:f>$I$9*V37*W37/SUMPRODUCT($W$25:$W$55,$V$25:$V$55)</s:f>
        <s:v>10.803583478766726</s:v>
      </s:c>
      <s:c r="R37" s="103">
        <s:f>IF($I$12="","",Q37/$I$12)</s:f>
        <s:v>5.686096567771961</s:v>
      </s:c>
      <s:c r="S37" s="102">
        <s:f>IF(W37&lt;&gt;"",IF(D37&lt;&gt;"",D37,($I$8-SUM($S$25:S36))*V37*W37/SUMPRODUCT($W37:$W$55,$V37:$V$55)),"")</s:f>
        <s:v>49434</s:v>
      </s:c>
      <s:c r="T37" s="103">
        <s:f>IF(W37&lt;&gt;"",IF(E37&lt;&gt;"",E37,($I$9-SUM($T$25:T36))*V37*W37/SUMPRODUCT($W37:$W$55,$V37:$V$55)),"")</s:f>
        <s:v>10</s:v>
      </s:c>
      <s:c r="U37" s="103">
        <s:f>IF(W37&lt;&gt;"",IF($I$12&lt;&gt;"",IF(G37&lt;&gt;"",G37,($I$9/$I$12-SUM($U$25:U36))*V37*W37/SUMPRODUCT($W37:$W$55,$V37:$V$55)),""),"")</s:f>
        <s:v>7</s:v>
      </s:c>
      <s:c r="V37" s="104">
        <s:v>1</s:v>
      </s:c>
      <s:c r="W37" s="104">
        <s:v>1</s:v>
      </s:c>
      <s:c r="X37" s="107"/>
      <s:c r="Y37" s="106"/>
      <s:c r="Z37" s="2"/>
      <s:c r="AA37" s="2"/>
      <s:c r="AB37" s="2"/>
      <s:c r="AC37" s="2"/>
      <s:c r="AD37" s="2"/>
    </s:row>
    <s:row r="38">
      <s:c r="A38" s="95">
        <s:v>14</s:v>
      </s:c>
      <s:c r="B38" s="96">
        <s:v>45825</s:v>
      </s:c>
      <s:c r="C38" s="97" t="s">
        <s:v>54</s:v>
      </s:c>
      <s:c r="D38" s="98">
        <s:v>36905</s:v>
      </s:c>
      <s:c r="E38" s="99">
        <s:v>9</s:v>
      </s:c>
      <s:c r="F38" s="99">
        <s:f>IF(AND(E38&lt;&gt;"",E38&lt;&gt;0),D38/E38,"")</s:f>
        <s:v>4100.5555555555557</s:v>
      </s:c>
      <s:c r="G38" s="99">
        <s:v>3</s:v>
      </s:c>
      <s:c r="H38" s="99">
        <s:f>IF(AND(G38&lt;&gt;"",G38&lt;&gt;0),D38/G38,"")</s:f>
        <s:v>12301.666666666666</s:v>
      </s:c>
      <s:c r="I38" s="99">
        <s:v>20</s:v>
      </s:c>
      <s:c r="J38" s="98">
        <s:f>IF(AND(G38&lt;&gt;"",G38&lt;&gt;0),E38/G38,"")</s:f>
        <s:v>3</s:v>
      </s:c>
      <s:c r="K38" s="99"/>
      <s:c r="L38" s="99"/>
      <s:c r="M38" s="99"/>
      <s:c r="N38" s="100">
        <s:f>IF(AND(I38&lt;&gt;"",I38&lt;&gt;0),G38/I38,"")</s:f>
        <s:v>0.15</s:v>
      </s:c>
      <s:c r="O38" s="101">
        <s:f>D38/P38</s:f>
        <s:v>0.59305489406807044</s:v>
      </s:c>
      <s:c r="P38" s="102">
        <s:f>$I$8*V38*W38/SUMPRODUCT($W$25:$W$55,$V$25:$V$55)</s:f>
        <s:v>62228.640837696337</s:v>
      </s:c>
      <s:c r="Q38" s="103">
        <s:f>$I$9*V38*W38/SUMPRODUCT($W$25:$W$55,$V$25:$V$55)</s:f>
        <s:v>10.803583478766726</s:v>
      </s:c>
      <s:c r="R38" s="103">
        <s:f>IF($I$12="","",Q38/$I$12)</s:f>
        <s:v>5.686096567771961</s:v>
      </s:c>
      <s:c r="S38" s="102">
        <s:f>IF(W38&lt;&gt;"",IF(D38&lt;&gt;"",D38,($I$8-SUM($S$25:S37))*V38*W38/SUMPRODUCT($W38:$W$55,$V38:$V$55)),"")</s:f>
        <s:v>36905</s:v>
      </s:c>
      <s:c r="T38" s="103">
        <s:f>IF(W38&lt;&gt;"",IF(E38&lt;&gt;"",E38,($I$9-SUM($T$25:T37))*V38*W38/SUMPRODUCT($W38:$W$55,$V38:$V$55)),"")</s:f>
        <s:v>9</s:v>
      </s:c>
      <s:c r="U38" s="103">
        <s:f>IF(W38&lt;&gt;"",IF($I$12&lt;&gt;"",IF(G38&lt;&gt;"",G38,($I$9/$I$12-SUM($U$25:U37))*V38*W38/SUMPRODUCT($W38:$W$55,$V38:$V$55)),""),"")</s:f>
        <s:v>3</s:v>
      </s:c>
      <s:c r="V38" s="104">
        <s:v>1</s:v>
      </s:c>
      <s:c r="W38" s="104">
        <s:v>1</s:v>
      </s:c>
      <s:c r="X38" s="107"/>
      <s:c r="Y38" s="106"/>
      <s:c r="Z38" s="2"/>
      <s:c r="AA38" s="2"/>
      <s:c r="AB38" s="2"/>
      <s:c r="AC38" s="2"/>
      <s:c r="AD38" s="2"/>
    </s:row>
    <s:row r="39">
      <s:c r="A39" s="95">
        <s:v>13</s:v>
      </s:c>
      <s:c r="B39" s="96">
        <s:v>45826</s:v>
      </s:c>
      <s:c r="C39" s="97" t="s">
        <s:v>56</s:v>
      </s:c>
      <s:c r="D39" s="98">
        <s:f>4282+11584</s:f>
        <s:v>15866</s:v>
      </s:c>
      <s:c r="E39" s="108">
        <s:v>3</s:v>
      </s:c>
      <s:c r="F39" s="99">
        <s:f>IF(AND(E39&lt;&gt;"",E39&lt;&gt;0),D39/E39,"")</s:f>
        <s:v>5288.666666666667</s:v>
      </s:c>
      <s:c r="G39" s="108">
        <s:v>2</s:v>
      </s:c>
      <s:c r="H39" s="99">
        <s:f>IF(AND(G39&lt;&gt;"",G39&lt;&gt;0),D39/G39,"")</s:f>
        <s:v>7933</s:v>
      </s:c>
      <s:c r="I39" s="108">
        <s:v>12</s:v>
      </s:c>
      <s:c r="J39" s="98">
        <s:f>IF(AND(G39&lt;&gt;"",G39&lt;&gt;0),E39/G39,"")</s:f>
        <s:v>1.5</s:v>
      </s:c>
      <s:c r="K39" s="99"/>
      <s:c r="L39" s="99"/>
      <s:c r="M39" s="108"/>
      <s:c r="N39" s="100">
        <s:f>IF(AND(I39&lt;&gt;"",I39&lt;&gt;0),G39/I39,"")</s:f>
        <s:v>0.16666666666666666</s:v>
      </s:c>
      <s:c r="O39" s="101">
        <s:f>D39/P39</s:f>
        <s:v>0.2549629846710203</s:v>
      </s:c>
      <s:c r="P39" s="102">
        <s:f>$I$8*V39*W39/SUMPRODUCT($W$25:$W$55,$V$25:$V$55)</s:f>
        <s:v>62228.640837696337</s:v>
      </s:c>
      <s:c r="Q39" s="103">
        <s:f>$I$9*V39*W39/SUMPRODUCT($W$25:$W$55,$V$25:$V$55)</s:f>
        <s:v>10.803583478766726</s:v>
      </s:c>
      <s:c r="R39" s="103">
        <s:f>IF($I$12="","",Q39/$I$12)</s:f>
        <s:v>5.686096567771961</s:v>
      </s:c>
      <s:c r="S39" s="102">
        <s:f>IF(W39&lt;&gt;"",IF(D39&lt;&gt;"",D39,($I$8-SUM($S$25:S38))*V39*W39/SUMPRODUCT($W39:$W$55,$V39:$V$55)),"")</s:f>
        <s:v>15866</s:v>
      </s:c>
      <s:c r="T39" s="103">
        <s:f>IF(W39&lt;&gt;"",IF(E39&lt;&gt;"",E39,($I$9-SUM($T$25:T38))*V39*W39/SUMPRODUCT($W39:$W$55,$V39:$V$55)),"")</s:f>
        <s:v>3</s:v>
      </s:c>
      <s:c r="U39" s="103">
        <s:f>IF(W39&lt;&gt;"",IF($I$12&lt;&gt;"",IF(G39&lt;&gt;"",G39,($I$9/$I$12-SUM($U$25:U38))*V39*W39/SUMPRODUCT($W39:$W$55,$V39:$V$55)),""),"")</s:f>
        <s:v>2</s:v>
      </s:c>
      <s:c r="V39" s="104">
        <s:v>1</s:v>
      </s:c>
      <s:c r="W39" s="104">
        <s:v>1</s:v>
      </s:c>
      <s:c r="X39" s="107"/>
      <s:c r="Y39" s="106"/>
      <s:c r="Z39" s="2"/>
      <s:c r="AA39" s="2"/>
      <s:c r="AB39" s="2"/>
      <s:c r="AC39" s="2"/>
      <s:c r="AD39" s="2"/>
    </s:row>
    <s:row r="40">
      <s:c r="A40" s="95">
        <s:v>13</s:v>
      </s:c>
      <s:c r="B40" s="96">
        <s:v>45828</s:v>
      </s:c>
      <s:c r="C40" s="97" t="s">
        <s:v>59</s:v>
      </s:c>
      <s:c r="D40" s="98">
        <s:v>6578</s:v>
      </s:c>
      <s:c r="E40" s="99">
        <s:v>2</s:v>
      </s:c>
      <s:c r="F40" s="99">
        <s:f>IF(AND(E40&lt;&gt;"",E40&lt;&gt;0),D40/E40,"")</s:f>
        <s:v>3289</s:v>
      </s:c>
      <s:c r="G40" s="99">
        <s:v>2</s:v>
      </s:c>
      <s:c r="H40" s="99">
        <s:f>IF(AND(G40&lt;&gt;"",G40&lt;&gt;0),D40/G40,"")</s:f>
        <s:v>3289</s:v>
      </s:c>
      <s:c r="I40" s="99">
        <s:v>20</s:v>
      </s:c>
      <s:c r="J40" s="98">
        <s:f>IF(AND(G40&lt;&gt;"",G40&lt;&gt;0),E40/G40,"")</s:f>
        <s:v>1</s:v>
      </s:c>
      <s:c r="K40" s="99"/>
      <s:c r="L40" s="99"/>
      <s:c r="M40" s="99"/>
      <s:c r="N40" s="228">
        <s:f>IF(AND(I40&lt;&gt;"",I40&lt;&gt;0),G40/I40,"")</s:f>
        <s:v>0.1</s:v>
      </s:c>
      <s:c r="O40" s="101">
        <s:f>D40/P40</s:f>
        <s:v>0.10570695280259496</s:v>
      </s:c>
      <s:c r="P40" s="102">
        <s:f>$I$8*V40*W40/SUMPRODUCT($W$25:$W$55,$V$25:$V$55)</s:f>
        <s:v>62228.640837696337</s:v>
      </s:c>
      <s:c r="Q40" s="103">
        <s:f>$I$9*V40*W40/SUMPRODUCT($W$25:$W$55,$V$25:$V$55)</s:f>
        <s:v>10.803583478766726</s:v>
      </s:c>
      <s:c r="R40" s="103">
        <s:f>IF($I$12="","",Q40/$I$12)</s:f>
        <s:v>5.686096567771961</s:v>
      </s:c>
      <s:c r="S40" s="102">
        <s:f>IF(W40&lt;&gt;"",IF(D40&lt;&gt;"",D40,($I$8-SUM($S$25:S39))*V40*W40/SUMPRODUCT($W40:$W$55,$V40:$V$55)),"")</s:f>
        <s:v>6578</s:v>
      </s:c>
      <s:c r="T40" s="103">
        <s:f>IF(W40&lt;&gt;"",IF(E40&lt;&gt;"",E40,($I$9-SUM($T$25:T39))*V40*W40/SUMPRODUCT($W40:$W$55,$V40:$V$55)),"")</s:f>
        <s:v>2</s:v>
      </s:c>
      <s:c r="U40" s="103">
        <s:f>IF(W40&lt;&gt;"",IF($I$12&lt;&gt;"",IF(G40&lt;&gt;"",G40,($I$9/$I$12-SUM($U$25:U39))*V40*W40/SUMPRODUCT($W40:$W$55,$V40:$V$55)),""),"")</s:f>
        <s:v>2</s:v>
      </s:c>
      <s:c r="V40" s="104">
        <s:v>1</s:v>
      </s:c>
      <s:c r="W40" s="104">
        <s:v>1</s:v>
      </s:c>
      <s:c r="X40" s="107"/>
      <s:c r="Y40" s="106"/>
      <s:c r="Z40" s="2"/>
      <s:c r="AA40" s="2"/>
      <s:c r="AB40" s="2"/>
      <s:c r="AC40" s="2"/>
      <s:c r="AD40" s="2"/>
    </s:row>
    <s:row r="41">
      <s:c r="A41" s="95">
        <s:v>17</s:v>
      </s:c>
      <s:c r="B41" s="96">
        <s:v>45829</s:v>
      </s:c>
      <s:c r="C41" s="97" t="s">
        <s:v>60</s:v>
      </s:c>
      <s:c r="D41" s="98">
        <s:f>6993+8903+14277</s:f>
        <s:v>30173</s:v>
      </s:c>
      <s:c r="E41" s="99">
        <s:v>5</s:v>
      </s:c>
      <s:c r="F41" s="99">
        <s:f>IF(AND(E41&lt;&gt;"",E41&lt;&gt;0),D41/E41,"")</s:f>
        <s:v>6034.6</s:v>
      </s:c>
      <s:c r="G41" s="99">
        <s:v>4</s:v>
      </s:c>
      <s:c r="H41" s="99">
        <s:f>IF(AND(G41&lt;&gt;"",G41&lt;&gt;0),D41/G41,"")</s:f>
        <s:v>7543.25</s:v>
      </s:c>
      <s:c r="I41" s="99">
        <s:v>23</s:v>
      </s:c>
      <s:c r="J41" s="98">
        <s:f>IF(AND(G41&lt;&gt;"",G41&lt;&gt;0),E41/G41,"")</s:f>
        <s:v>1.25</s:v>
      </s:c>
      <s:c r="K41" s="99">
        <s:v>6993</s:v>
      </s:c>
      <s:c r="L41" s="99">
        <s:v>8903</s:v>
      </s:c>
      <s:c r="M41" s="99"/>
      <s:c r="N41" s="100">
        <s:f>IF(AND(I41&lt;&gt;"",I41&lt;&gt;0),G41/I41,"")</s:f>
        <s:v>0.17391304347826086</s:v>
      </s:c>
      <s:c r="O41" s="101">
        <s:f>D41/P41</s:f>
        <s:v>0.48487319655103339</s:v>
      </s:c>
      <s:c r="P41" s="102">
        <s:f>$I$8*V41*W41/SUMPRODUCT($W$25:$W$55,$V$25:$V$55)</s:f>
        <s:v>62228.640837696337</s:v>
      </s:c>
      <s:c r="Q41" s="103">
        <s:f>$I$9*V41*W41/SUMPRODUCT($W$25:$W$55,$V$25:$V$55)</s:f>
        <s:v>10.803583478766726</s:v>
      </s:c>
      <s:c r="R41" s="103">
        <s:f>IF($I$12="","",Q41/$I$12)</s:f>
        <s:v>5.686096567771961</s:v>
      </s:c>
      <s:c r="S41" s="102">
        <s:f>IF(W41&lt;&gt;"",IF(D41&lt;&gt;"",D41,($I$8-SUM($S$25:S40))*V41*W41/SUMPRODUCT($W41:$W$55,$V41:$V$55)),"")</s:f>
        <s:v>30173</s:v>
      </s:c>
      <s:c r="T41" s="103">
        <s:f>IF(W41&lt;&gt;"",IF(E41&lt;&gt;"",E41,($I$9-SUM($T$25:T40))*V41*W41/SUMPRODUCT($W41:$W$55,$V41:$V$55)),"")</s:f>
        <s:v>5</s:v>
      </s:c>
      <s:c r="U41" s="103">
        <s:f>IF(W41&lt;&gt;"",IF($I$12&lt;&gt;"",IF(G41&lt;&gt;"",G41,($I$9/$I$12-SUM($U$25:U40))*V41*W41/SUMPRODUCT($W41:$W$55,$V41:$V$55)),""),"")</s:f>
        <s:v>4</s:v>
      </s:c>
      <s:c r="V41" s="104">
        <s:v>1</s:v>
      </s:c>
      <s:c r="W41" s="104">
        <s:v>1</s:v>
      </s:c>
      <s:c r="X41" s="107"/>
      <s:c r="Y41" s="106"/>
      <s:c r="Z41" s="2"/>
      <s:c r="AA41" s="2"/>
      <s:c r="AB41" s="2"/>
      <s:c r="AC41" s="2"/>
      <s:c r="AD41" s="2"/>
    </s:row>
    <s:row r="42">
      <s:c r="A42" s="95">
        <s:v>18</s:v>
      </s:c>
      <s:c r="B42" s="96">
        <s:v>45830</s:v>
      </s:c>
      <s:c r="C42" s="97" t="s">
        <s:v>49</s:v>
      </s:c>
      <s:c r="D42" s="98">
        <s:f>10903+43559</s:f>
        <s:v>54462</s:v>
      </s:c>
      <s:c r="E42" s="99">
        <s:v>12</s:v>
      </s:c>
      <s:c r="F42" s="99">
        <s:f>IF(AND(E42&lt;&gt;"",E42&lt;&gt;0),D42/E42,"")</s:f>
        <s:v>4538.5</s:v>
      </s:c>
      <s:c r="G42" s="99">
        <s:v>5</s:v>
      </s:c>
      <s:c r="H42" s="99">
        <s:f>IF(AND(G42&lt;&gt;"",G42&lt;&gt;0),D42/G42,"")</s:f>
        <s:v>10892.4</s:v>
      </s:c>
      <s:c r="I42" s="99">
        <s:v>23</s:v>
      </s:c>
      <s:c r="J42" s="98">
        <s:f>IF(AND(G42&lt;&gt;"",G42&lt;&gt;0),E42/G42,"")</s:f>
        <s:v>2.4</s:v>
      </s:c>
      <s:c r="K42" s="99"/>
      <s:c r="L42" s="99">
        <s:v>10903</s:v>
      </s:c>
      <s:c r="M42" s="99"/>
      <s:c r="N42" s="100">
        <s:f>IF(AND(I42&lt;&gt;"",I42&lt;&gt;0),G42/I42,"")</s:f>
        <s:v>0.21739130434782608</s:v>
      </s:c>
      <s:c r="O42" s="101">
        <s:f>D42/P42</s:f>
        <s:v>0.87519186128533399</s:v>
      </s:c>
      <s:c r="P42" s="102">
        <s:f>$I$8*V42*W42/SUMPRODUCT($W$25:$W$55,$V$25:$V$55)</s:f>
        <s:v>62228.640837696337</s:v>
      </s:c>
      <s:c r="Q42" s="103">
        <s:f>$I$9*V42*W42/SUMPRODUCT($W$25:$W$55,$V$25:$V$55)</s:f>
        <s:v>10.803583478766726</s:v>
      </s:c>
      <s:c r="R42" s="103">
        <s:f>IF($I$12="","",Q42/$I$12)</s:f>
        <s:v>5.686096567771961</s:v>
      </s:c>
      <s:c r="S42" s="102">
        <s:f>IF(W42&lt;&gt;"",IF(D42&lt;&gt;"",D42,($I$8-SUM($S$25:S41))*V42*W42/SUMPRODUCT($W42:$W$55,$V42:$V$55)),"")</s:f>
        <s:v>54462</s:v>
      </s:c>
      <s:c r="T42" s="103">
        <s:f>IF(W42&lt;&gt;"",IF(E42&lt;&gt;"",E42,($I$9-SUM($T$25:T41))*V42*W42/SUMPRODUCT($W42:$W$55,$V42:$V$55)),"")</s:f>
        <s:v>12</s:v>
      </s:c>
      <s:c r="U42" s="103">
        <s:f>IF(W42&lt;&gt;"",IF($I$12&lt;&gt;"",IF(G42&lt;&gt;"",G42,($I$9/$I$12-SUM($U$25:U41))*V42*W42/SUMPRODUCT($W42:$W$55,$V42:$V$55)),""),"")</s:f>
        <s:v>5</s:v>
      </s:c>
      <s:c r="V42" s="104">
        <s:v>1</s:v>
      </s:c>
      <s:c r="W42" s="104">
        <s:v>1</s:v>
      </s:c>
      <s:c r="X42" s="107"/>
      <s:c r="Y42" s="106"/>
      <s:c r="Z42" s="111"/>
      <s:c r="AA42" s="2"/>
      <s:c r="AB42" s="2"/>
      <s:c r="AC42" s="2"/>
      <s:c r="AD42" s="2"/>
    </s:row>
    <s:row r="43">
      <s:c r="A43" s="95">
        <s:v>19</s:v>
      </s:c>
      <s:c r="B43" s="96">
        <s:v>45832</s:v>
      </s:c>
      <s:c r="C43" s="97" t="s">
        <s:v>54</s:v>
      </s:c>
      <s:c r="D43" s="98">
        <s:f>8881+15303+5339</s:f>
        <s:v>29523</s:v>
      </s:c>
      <s:c r="E43" s="99">
        <s:v>4</s:v>
      </s:c>
      <s:c r="F43" s="99">
        <s:f>IF(AND(E43&lt;&gt;"",E43&lt;&gt;0),D43/E43,"")</s:f>
        <s:v>7380.75</s:v>
      </s:c>
      <s:c r="G43" s="99">
        <s:v>3</s:v>
      </s:c>
      <s:c r="H43" s="99">
        <s:f>IF(AND(G43&lt;&gt;"",G43&lt;&gt;0),D43/G43,"")</s:f>
        <s:v>9841</s:v>
      </s:c>
      <s:c r="I43" s="99">
        <s:v>20</s:v>
      </s:c>
      <s:c r="J43" s="98">
        <s:f>IF(AND(G43&lt;&gt;"",G43&lt;&gt;0),E43/G43,"")</s:f>
        <s:v>1.3333333333333333</s:v>
      </s:c>
      <s:c r="K43" s="99">
        <s:v>8881</s:v>
      </s:c>
      <s:c r="L43" s="99">
        <s:v>15303</s:v>
      </s:c>
      <s:c r="M43" s="99"/>
      <s:c r="N43" s="100">
        <s:f>IF(AND(I43&lt;&gt;"",I43&lt;&gt;0),G43/I43,"")</s:f>
        <s:v>0.15</s:v>
      </s:c>
      <s:c r="O43" s="101">
        <s:f>D43/P43</s:f>
        <s:v>0.4744278454835833</s:v>
      </s:c>
      <s:c r="P43" s="102">
        <s:f>$I$8*V43*W43/SUMPRODUCT($W$25:$W$55,$V$25:$V$55)</s:f>
        <s:v>62228.640837696337</s:v>
      </s:c>
      <s:c r="Q43" s="103">
        <s:f>$I$9*V43*W43/SUMPRODUCT($W$25:$W$55,$V$25:$V$55)</s:f>
        <s:v>10.803583478766726</s:v>
      </s:c>
      <s:c r="R43" s="103">
        <s:f>IF($I$12="","",Q43/$I$12)</s:f>
        <s:v>5.686096567771961</s:v>
      </s:c>
      <s:c r="S43" s="102">
        <s:f>IF(W43&lt;&gt;"",IF(D43&lt;&gt;"",D43,($I$8-SUM($S$25:S42))*V43*W43/SUMPRODUCT($W43:$W$55,$V43:$V$55)),"")</s:f>
        <s:v>29523</s:v>
      </s:c>
      <s:c r="T43" s="103">
        <s:f>IF(W43&lt;&gt;"",IF(E43&lt;&gt;"",E43,($I$9-SUM($T$25:T42))*V43*W43/SUMPRODUCT($W43:$W$55,$V43:$V$55)),"")</s:f>
        <s:v>4</s:v>
      </s:c>
      <s:c r="U43" s="103">
        <s:f>IF(W43&lt;&gt;"",IF($I$12&lt;&gt;"",IF(G43&lt;&gt;"",G43,($I$9/$I$12-SUM($U$25:U42))*V43*W43/SUMPRODUCT($W43:$W$55,$V43:$V$55)),""),"")</s:f>
        <s:v>3</s:v>
      </s:c>
      <s:c r="V43" s="104">
        <s:v>1</s:v>
      </s:c>
      <s:c r="W43" s="104">
        <s:v>1</s:v>
      </s:c>
      <s:c r="X43" s="107"/>
      <s:c r="Y43" s="106"/>
      <s:c r="Z43" s="111"/>
      <s:c r="AA43" s="2"/>
      <s:c r="AB43" s="2"/>
      <s:c r="AC43" s="2"/>
      <s:c r="AD43" s="2"/>
    </s:row>
    <s:row r="44">
      <s:c r="A44" s="95">
        <s:v>20</s:v>
      </s:c>
      <s:c r="B44" s="96">
        <s:v>45833</s:v>
      </s:c>
      <s:c r="C44" s="97" t="s">
        <s:v>56</s:v>
      </s:c>
      <s:c r="D44" s="98">
        <s:f>4092+24990</s:f>
        <s:v>29082</s:v>
      </s:c>
      <s:c r="E44" s="99">
        <s:v>2</s:v>
      </s:c>
      <s:c r="F44" s="99">
        <s:f>IF(AND(E44&lt;&gt;"",E44&lt;&gt;0),D44/E44,"")</s:f>
        <s:v>14541</s:v>
      </s:c>
      <s:c r="G44" s="99">
        <s:v>2</s:v>
      </s:c>
      <s:c r="H44" s="99">
        <s:f>IF(AND(G44&lt;&gt;"",G44&lt;&gt;0),D44/G44,"")</s:f>
        <s:v>14541</s:v>
      </s:c>
      <s:c r="I44" s="99">
        <s:v>13</s:v>
      </s:c>
      <s:c r="J44" s="98">
        <s:f>IF(AND(G44&lt;&gt;"",G44&lt;&gt;0),E44/G44,"")</s:f>
        <s:v>1</s:v>
      </s:c>
      <s:c r="K44" s="99">
        <s:v>24990</s:v>
      </s:c>
      <s:c r="L44" s="99"/>
      <s:c r="M44" s="99"/>
      <s:c r="N44" s="100">
        <s:f>IF(AND(I44&lt;&gt;"",I44&lt;&gt;0),G44/I44,"")</s:f>
        <s:v>0.15384615384615385</s:v>
      </s:c>
      <s:c r="O44" s="101">
        <s:f>D44/P44</s:f>
        <s:v>0.46734107652859025</s:v>
      </s:c>
      <s:c r="P44" s="102">
        <s:f>$I$8*V44*W44/SUMPRODUCT($W$25:$W$55,$V$25:$V$55)</s:f>
        <s:v>62228.640837696337</s:v>
      </s:c>
      <s:c r="Q44" s="103">
        <s:f>$I$9*V44*W44/SUMPRODUCT($W$25:$W$55,$V$25:$V$55)</s:f>
        <s:v>10.803583478766726</s:v>
      </s:c>
      <s:c r="R44" s="103">
        <s:f>IF($I$12="","",Q44/$I$12)</s:f>
        <s:v>5.686096567771961</s:v>
      </s:c>
      <s:c r="S44" s="102">
        <s:f>IF(W44&lt;&gt;"",IF(D44&lt;&gt;"",D44,($I$8-SUM($S$25:S43))*V44*W44/SUMPRODUCT($W44:$W$55,$V44:$V$55)),"")</s:f>
        <s:v>29082</s:v>
      </s:c>
      <s:c r="T44" s="103">
        <s:f>IF(W44&lt;&gt;"",IF(E44&lt;&gt;"",E44,($I$9-SUM($T$25:T43))*V44*W44/SUMPRODUCT($W44:$W$55,$V44:$V$55)),"")</s:f>
        <s:v>2</s:v>
      </s:c>
      <s:c r="U44" s="103">
        <s:f>IF(W44&lt;&gt;"",IF($I$12&lt;&gt;"",IF(G44&lt;&gt;"",G44,($I$9/$I$12-SUM($U$25:U43))*V44*W44/SUMPRODUCT($W44:$W$55,$V44:$V$55)),""),"")</s:f>
        <s:v>2</s:v>
      </s:c>
      <s:c r="V44" s="104">
        <s:v>1</s:v>
      </s:c>
      <s:c r="W44" s="104">
        <s:v>1</s:v>
      </s:c>
      <s:c r="X44" s="107"/>
      <s:c r="Y44" s="106"/>
      <s:c r="Z44" s="111"/>
      <s:c r="AA44" s="2"/>
      <s:c r="AB44" s="2"/>
      <s:c r="AC44" s="2"/>
      <s:c r="AD44" s="2"/>
    </s:row>
    <s:row r="45">
      <s:c r="A45" s="95">
        <s:v>21</s:v>
      </s:c>
      <s:c r="B45" s="96">
        <s:v>45834</s:v>
      </s:c>
      <s:c r="C45" s="97" t="s">
        <s:v>58</s:v>
      </s:c>
      <s:c r="D45" s="98">
        <s:v>36762</s:v>
      </s:c>
      <s:c r="E45" s="99">
        <s:v>10</s:v>
      </s:c>
      <s:c r="F45" s="99">
        <s:f>IF(AND(E45&lt;&gt;"",E45&lt;&gt;0),D45/E45,"")</s:f>
        <s:v>3676.2</s:v>
      </s:c>
      <s:c r="G45" s="99">
        <s:v>6</s:v>
      </s:c>
      <s:c r="H45" s="99">
        <s:f>IF(AND(G45&lt;&gt;"",G45&lt;&gt;0),D45/G45,"")</s:f>
        <s:v>6127</s:v>
      </s:c>
      <s:c r="I45" s="99">
        <s:v>15</s:v>
      </s:c>
      <s:c r="J45" s="98">
        <s:f>IF(AND(G45&lt;&gt;"",G45&lt;&gt;0),E45/G45,"")</s:f>
        <s:v>1.6666666666666667</s:v>
      </s:c>
      <s:c r="K45" s="99"/>
      <s:c r="L45" s="99"/>
      <s:c r="M45" s="99"/>
      <s:c r="N45" s="100">
        <s:f>IF(AND(I45&lt;&gt;"",I45&lt;&gt;0),G45/I45,"")</s:f>
        <s:v>0.4</s:v>
      </s:c>
      <s:c r="O45" s="101">
        <s:f>D45/P45</s:f>
        <s:v>0.59075691683323139</s:v>
      </s:c>
      <s:c r="P45" s="102">
        <s:f>$I$8*V45*W45/SUMPRODUCT($W$25:$W$55,$V$25:$V$55)</s:f>
        <s:v>62228.640837696337</s:v>
      </s:c>
      <s:c r="Q45" s="103">
        <s:f>$I$9*V45*W45/SUMPRODUCT($W$25:$W$55,$V$25:$V$55)</s:f>
        <s:v>10.803583478766726</s:v>
      </s:c>
      <s:c r="R45" s="103">
        <s:f>IF($I$12="","",Q45/$I$12)</s:f>
        <s:v>5.686096567771961</s:v>
      </s:c>
      <s:c r="S45" s="102">
        <s:f>IF(W45&lt;&gt;"",IF(D45&lt;&gt;"",D45,($I$8-SUM($S$25:S44))*V45*W45/SUMPRODUCT($W45:$W$55,$V45:$V$55)),"")</s:f>
        <s:v>36762</s:v>
      </s:c>
      <s:c r="T45" s="103">
        <s:f>IF(W45&lt;&gt;"",IF(E45&lt;&gt;"",E45,($I$9-SUM($T$25:T44))*V45*W45/SUMPRODUCT($W45:$W$55,$V45:$V$55)),"")</s:f>
        <s:v>10</s:v>
      </s:c>
      <s:c r="U45" s="103">
        <s:f>IF(W45&lt;&gt;"",IF($I$12&lt;&gt;"",IF(G45&lt;&gt;"",G45,($I$9/$I$12-SUM($U$25:U44))*V45*W45/SUMPRODUCT($W45:$W$55,$V45:$V$55)),""),"")</s:f>
        <s:v>6</s:v>
      </s:c>
      <s:c r="V45" s="104">
        <s:v>1</s:v>
      </s:c>
      <s:c r="W45" s="104">
        <s:v>1</s:v>
      </s:c>
      <s:c r="X45" s="107"/>
      <s:c r="Y45" s="106"/>
      <s:c r="Z45" s="111"/>
    </s:row>
    <s:row r="46">
      <s:c r="A46" s="95">
        <s:v>22</s:v>
      </s:c>
      <s:c r="B46" s="96">
        <s:v>45835</s:v>
      </s:c>
      <s:c r="C46" s="97" t="s">
        <s:v>59</s:v>
      </s:c>
      <s:c r="D46" s="98">
        <s:f>26930+46004</s:f>
        <s:v>72934</s:v>
      </s:c>
      <s:c r="E46" s="99">
        <s:v>9</s:v>
      </s:c>
      <s:c r="F46" s="99">
        <s:f>IF(AND(E46&lt;&gt;"",E46&lt;&gt;0),D46/E46,"")</s:f>
        <s:v>8103.7777777777774</s:v>
      </s:c>
      <s:c r="G46" s="99">
        <s:v>5</s:v>
      </s:c>
      <s:c r="H46" s="99">
        <s:f>IF(AND(G46&lt;&gt;"",G46&lt;&gt;0),D46/G46,"")</s:f>
        <s:v>14586.8</s:v>
      </s:c>
      <s:c r="I46" s="99">
        <s:v>25</s:v>
      </s:c>
      <s:c r="J46" s="98">
        <s:f>IF(AND(G46&lt;&gt;"",G46&lt;&gt;0),E46/G46,"")</s:f>
        <s:v>1.8</s:v>
      </s:c>
      <s:c r="K46" s="99">
        <s:v>46004</s:v>
      </s:c>
      <s:c r="L46" s="99"/>
      <s:c r="M46" s="99"/>
      <s:c r="N46" s="100">
        <s:f>IF(AND(I46&lt;&gt;"",I46&lt;&gt;0),G46/I46,"")</s:f>
        <s:v>0.2</s:v>
      </s:c>
      <s:c r="O46" s="101">
        <s:f>D46/P46</s:f>
        <s:v>1.1720326688513927</s:v>
      </s:c>
      <s:c r="P46" s="102">
        <s:f>$I$8*V46*W46/SUMPRODUCT($W$25:$W$55,$V$25:$V$55)</s:f>
        <s:v>62228.640837696337</s:v>
      </s:c>
      <s:c r="Q46" s="103">
        <s:f>$I$9*V46*W46/SUMPRODUCT($W$25:$W$55,$V$25:$V$55)</s:f>
        <s:v>10.803583478766726</s:v>
      </s:c>
      <s:c r="R46" s="103">
        <s:f>IF($I$12="","",Q46/$I$12)</s:f>
        <s:v>5.686096567771961</s:v>
      </s:c>
      <s:c r="S46" s="102">
        <s:f>IF(W46&lt;&gt;"",IF(D46&lt;&gt;"",D46,($I$8-SUM($S$25:S45))*V46*W46/SUMPRODUCT($W46:$W$55,$V46:$V$55)),"")</s:f>
        <s:v>72934</s:v>
      </s:c>
      <s:c r="T46" s="103">
        <s:f>IF(W46&lt;&gt;"",IF(E46&lt;&gt;"",E46,($I$9-SUM($T$25:T45))*V46*W46/SUMPRODUCT($W46:$W$55,$V46:$V$55)),"")</s:f>
        <s:v>9</s:v>
      </s:c>
      <s:c r="U46" s="103">
        <s:f>IF(W46&lt;&gt;"",IF($I$12&lt;&gt;"",IF(G46&lt;&gt;"",G46,($I$9/$I$12-SUM($U$25:U45))*V46*W46/SUMPRODUCT($W46:$W$55,$V46:$V$55)),""),"")</s:f>
        <s:v>5</s:v>
      </s:c>
      <s:c r="V46" s="104">
        <s:v>1</s:v>
      </s:c>
      <s:c r="W46" s="104">
        <s:v>1</s:v>
      </s:c>
      <s:c r="X46" s="107"/>
      <s:c r="Y46" s="106"/>
      <s:c r="Z46" s="111"/>
      <s:c r="AA46" s="2"/>
      <s:c r="AB46" s="2"/>
      <s:c r="AC46" s="2"/>
      <s:c r="AD46" s="2"/>
    </s:row>
    <s:row r="47">
      <s:c r="A47" s="95">
        <s:v>23</s:v>
      </s:c>
      <s:c r="B47" s="96">
        <s:v>45836</s:v>
      </s:c>
      <s:c r="C47" s="97" t="s">
        <s:v>60</s:v>
      </s:c>
      <s:c r="D47" s="98">
        <s:v>44488</s:v>
      </s:c>
      <s:c r="E47" s="99">
        <s:v>10</s:v>
      </s:c>
      <s:c r="F47" s="99">
        <s:f>IF(AND(E47&lt;&gt;"",E47&lt;&gt;0),D47/E47,"")</s:f>
        <s:v>4448.8</s:v>
      </s:c>
      <s:c r="G47" s="99">
        <s:v>3</s:v>
      </s:c>
      <s:c r="H47" s="99">
        <s:f>IF(AND(G47&lt;&gt;"",G47&lt;&gt;0),D47/G47,"")</s:f>
        <s:v>14829.333333333334</s:v>
      </s:c>
      <s:c r="I47" s="99">
        <s:v>17</s:v>
      </s:c>
      <s:c r="J47" s="98">
        <s:f>IF(AND(G47&lt;&gt;"",G47&lt;&gt;0),E47/G47,"")</s:f>
        <s:v>3.3333333333333335</s:v>
      </s:c>
      <s:c r="K47" s="99"/>
      <s:c r="L47" s="99"/>
      <s:c r="M47" s="99"/>
      <s:c r="N47" s="100">
        <s:f>IF(AND(I47&lt;&gt;"",I47&lt;&gt;0),G47/I47,"")</s:f>
        <s:v>0.17647058823529413</s:v>
      </s:c>
      <s:c r="O47" s="101">
        <s:f>D47/P47</s:f>
        <s:v>0.71491196659803047</s:v>
      </s:c>
      <s:c r="P47" s="102">
        <s:f>$I$8*V47*W47/SUMPRODUCT($W$25:$W$55,$V$25:$V$55)</s:f>
        <s:v>62228.640837696337</s:v>
      </s:c>
      <s:c r="Q47" s="103">
        <s:f>$I$9*V47*W47/SUMPRODUCT($W$25:$W$55,$V$25:$V$55)</s:f>
        <s:v>10.803583478766726</s:v>
      </s:c>
      <s:c r="R47" s="103">
        <s:f>IF($I$12="","",Q47/$I$12)</s:f>
        <s:v>5.686096567771961</s:v>
      </s:c>
      <s:c r="S47" s="102">
        <s:f>IF(W47&lt;&gt;"",IF(D47&lt;&gt;"",D47,($I$8-SUM($S$25:S46))*V47*W47/SUMPRODUCT($W47:$W$55,$V47:$V$55)),"")</s:f>
        <s:v>44488</s:v>
      </s:c>
      <s:c r="T47" s="103">
        <s:f>IF(W47&lt;&gt;"",IF(E47&lt;&gt;"",E47,($I$9-SUM($T$25:T46))*V47*W47/SUMPRODUCT($W47:$W$55,$V47:$V$55)),"")</s:f>
        <s:v>10</s:v>
      </s:c>
      <s:c r="U47" s="103">
        <s:f>IF(W47&lt;&gt;"",IF($I$12&lt;&gt;"",IF(G47&lt;&gt;"",G47,($I$9/$I$12-SUM($U$25:U46))*V47*W47/SUMPRODUCT($W47:$W$55,$V47:$V$55)),""),"")</s:f>
        <s:v>3</s:v>
      </s:c>
      <s:c r="V47" s="104">
        <s:v>1</s:v>
      </s:c>
      <s:c r="W47" s="104">
        <s:v>1</s:v>
      </s:c>
      <s:c r="X47" s="107"/>
      <s:c r="Y47" s="106"/>
      <s:c r="Z47" s="111"/>
      <s:c r="AA47" s="2"/>
      <s:c r="AB47" s="2"/>
      <s:c r="AC47" s="2"/>
      <s:c r="AD47" s="2"/>
    </s:row>
    <s:row r="48">
      <s:c r="A48" s="95">
        <s:v>24</s:v>
      </s:c>
      <s:c r="B48" s="96">
        <s:v>45837</s:v>
      </s:c>
      <s:c r="C48" s="97" t="s">
        <s:v>49</s:v>
      </s:c>
      <s:c r="D48" s="98">
        <s:f>24993+29432</s:f>
        <s:v>54425</s:v>
      </s:c>
      <s:c r="E48" s="99">
        <s:v>8</s:v>
      </s:c>
      <s:c r="F48" s="99">
        <s:f>IF(AND(E48&lt;&gt;"",E48&lt;&gt;0),D48/E48,"")</s:f>
        <s:v>6803.125</s:v>
      </s:c>
      <s:c r="G48" s="99">
        <s:v>6</s:v>
      </s:c>
      <s:c r="H48" s="99">
        <s:f>IF(AND(G48&lt;&gt;"",G48&lt;&gt;0),D48/G48,"")</s:f>
        <s:v>9070.8333333333339</s:v>
      </s:c>
      <s:c r="I48" s="99">
        <s:v>25</s:v>
      </s:c>
      <s:c r="J48" s="98">
        <s:f>IF(AND(G48&lt;&gt;"",G48&lt;&gt;0),E48/G48,"")</s:f>
        <s:v>1.3333333333333333</s:v>
      </s:c>
      <s:c r="K48" s="99">
        <s:v>24993</s:v>
      </s:c>
      <s:c r="L48" s="99"/>
      <s:c r="M48" s="99"/>
      <s:c r="N48" s="100">
        <s:f>IF(AND(I48&lt;&gt;"",I48&lt;&gt;0),G48/I48,"")</s:f>
        <s:v>0.24</s:v>
      </s:c>
      <s:c r="O48" s="101">
        <s:f>D48/P48</s:f>
        <s:v>0.87459727976303292</s:v>
      </s:c>
      <s:c r="P48" s="102">
        <s:f>$I$8*V48*W48/SUMPRODUCT($W$25:$W$55,$V$25:$V$55)</s:f>
        <s:v>62228.640837696337</s:v>
      </s:c>
      <s:c r="Q48" s="103">
        <s:f>$I$9*V48*W48/SUMPRODUCT($W$25:$W$55,$V$25:$V$55)</s:f>
        <s:v>10.803583478766726</s:v>
      </s:c>
      <s:c r="R48" s="103">
        <s:f>IF($I$12="","",Q48/$I$12)</s:f>
        <s:v>5.686096567771961</s:v>
      </s:c>
      <s:c r="S48" s="102">
        <s:f>IF(W48&lt;&gt;"",IF(D48&lt;&gt;"",D48,($I$8-SUM($S$25:S47))*V48*W48/SUMPRODUCT($W48:$W$55,$V48:$V$55)),"")</s:f>
        <s:v>54425</s:v>
      </s:c>
      <s:c r="T48" s="103">
        <s:f>IF(W48&lt;&gt;"",IF(E48&lt;&gt;"",E48,($I$9-SUM($T$25:T47))*V48*W48/SUMPRODUCT($W48:$W$55,$V48:$V$55)),"")</s:f>
        <s:v>8</s:v>
      </s:c>
      <s:c r="U48" s="103">
        <s:f>IF(W48&lt;&gt;"",IF($I$12&lt;&gt;"",IF(G48&lt;&gt;"",G48,($I$9/$I$12-SUM($U$25:U47))*V48*W48/SUMPRODUCT($W48:$W$55,$V48:$V$55)),""),"")</s:f>
        <s:v>6</s:v>
      </s:c>
      <s:c r="V48" s="104">
        <s:v>1</s:v>
      </s:c>
      <s:c r="W48" s="104">
        <s:v>1</s:v>
      </s:c>
      <s:c r="X48" s="107"/>
      <s:c r="Y48" s="106"/>
      <s:c r="Z48" s="111"/>
      <s:c r="AA48" s="2"/>
      <s:c r="AB48" s="2"/>
      <s:c r="AC48" s="2"/>
      <s:c r="AD48" s="2"/>
    </s:row>
    <s:row r="49">
      <s:c r="A49" s="95">
        <s:v>25</s:v>
      </s:c>
      <s:c r="B49" s="96">
        <s:v>45838</s:v>
      </s:c>
      <s:c r="C49" s="97" t="s">
        <s:v>51</s:v>
      </s:c>
      <s:c r="D49" s="98">
        <s:f>19365+7723</s:f>
        <s:v>27088</s:v>
      </s:c>
      <s:c r="E49" s="99">
        <s:v>4</s:v>
      </s:c>
      <s:c r="F49" s="108">
        <s:f>IF(AND(E49&lt;&gt;"",E49&lt;&gt;0),D49/E49,"")</s:f>
        <s:v>6772</s:v>
      </s:c>
      <s:c r="G49" s="99">
        <s:v>4</s:v>
      </s:c>
      <s:c r="H49" s="99">
        <s:f>IF(AND(G49&lt;&gt;"",G49&lt;&gt;0),D49/G49,"")</s:f>
        <s:v>6772</s:v>
      </s:c>
      <s:c r="I49" s="99">
        <s:v>15</s:v>
      </s:c>
      <s:c r="J49" s="98">
        <s:f>IF(AND(G49&lt;&gt;"",G49&lt;&gt;0),E49/G49,"")</s:f>
        <s:v>1</s:v>
      </s:c>
      <s:c r="K49" s="99"/>
      <s:c r="L49" s="99">
        <s:v>7723</s:v>
      </s:c>
      <s:c r="M49" s="99"/>
      <s:c r="N49" s="100">
        <s:f>IF(AND(I49&lt;&gt;"",I49&lt;&gt;0),G49/I49,"")</s:f>
        <s:v>0.26666666666666666</s:v>
      </s:c>
      <s:c r="O49" s="101">
        <s:f>D49/P49</s:f>
        <s:v>0.43529795340782795</s:v>
      </s:c>
      <s:c r="P49" s="102">
        <s:f>$I$8*V49*W49/SUMPRODUCT($W$25:$W$55,$V$25:$V$55)</s:f>
        <s:v>62228.640837696337</s:v>
      </s:c>
      <s:c r="Q49" s="103">
        <s:f>$I$9*V49*W49/SUMPRODUCT($W$25:$W$55,$V$25:$V$55)</s:f>
        <s:v>10.803583478766726</s:v>
      </s:c>
      <s:c r="R49" s="103">
        <s:f>IF($I$12="","",Q49/$I$12)</s:f>
        <s:v>5.686096567771961</s:v>
      </s:c>
      <s:c r="S49" s="102">
        <s:f>IF(W49&lt;&gt;"",IF(D49&lt;&gt;"",D49,($I$8-SUM($S$25:S48))*V49*W49/SUMPRODUCT($W49:$W$55,$V49:$V$55)),"")</s:f>
        <s:v>27088</s:v>
      </s:c>
      <s:c r="T49" s="103">
        <s:f>IF(W49&lt;&gt;"",IF(E49&lt;&gt;"",E49,($I$9-SUM($T$25:T48))*V49*W49/SUMPRODUCT($W49:$W$55,$V49:$V$55)),"")</s:f>
        <s:v>4</s:v>
      </s:c>
      <s:c r="U49" s="103">
        <s:f>IF(W49&lt;&gt;"",IF($I$12&lt;&gt;"",IF(G49&lt;&gt;"",G49,($I$9/$I$12-SUM($U$25:U48))*V49*W49/SUMPRODUCT($W49:$W$55,$V49:$V$55)),""),"")</s:f>
        <s:v>4</s:v>
      </s:c>
      <s:c r="V49" s="104">
        <s:v>1</s:v>
      </s:c>
      <s:c r="W49" s="104">
        <s:v>1</s:v>
      </s:c>
      <s:c r="X49" s="107"/>
      <s:c r="Y49" s="106"/>
      <s:c r="Z49" s="111"/>
      <s:c r="AA49" s="2"/>
      <s:c r="AB49" s="2"/>
      <s:c r="AC49" s="2"/>
      <s:c r="AD49" s="2"/>
    </s:row>
    <s:row r="50">
      <s:c r="A50" s="95">
        <s:v>26</s:v>
      </s:c>
      <s:c r="B50" s="96"/>
      <s:c r="C50" s="97"/>
      <s:c r="D50" s="98"/>
      <s:c r="E50" s="99"/>
      <s:c r="F50" s="99" t="str">
        <s:f>IF(AND(E50&lt;&gt;"",E50&lt;&gt;0),D50/E50,"")</s:f>
        <s:v/>
      </s:c>
      <s:c r="G50" s="99"/>
      <s:c r="H50" s="99" t="str">
        <s:f>IF(AND(G50&lt;&gt;"",G50&lt;&gt;0),D50/G50,"")</s:f>
        <s:v/>
      </s:c>
      <s:c r="I50" s="99"/>
      <s:c r="J50" s="98" t="str">
        <s:f>IF(AND(G50&lt;&gt;"",G50&lt;&gt;0),E50/G50,"")</s:f>
        <s:v/>
      </s:c>
      <s:c r="K50" s="99"/>
      <s:c r="L50" s="99"/>
      <s:c r="M50" s="99"/>
      <s:c r="N50" s="100" t="str">
        <s:f>IF(AND(I50&lt;&gt;"",I50&lt;&gt;0),G50/I50,"")</s:f>
        <s:v/>
      </s:c>
      <s:c r="O50" s="101">
        <s:f>D50/P50</s:f>
        <s:v>0</s:v>
      </s:c>
      <s:c r="P50" s="102">
        <s:f>$I$8*V50*W50/SUMPRODUCT($W$25:$W$55,$V$25:$V$55)</s:f>
        <s:v>62228.640837696337</s:v>
      </s:c>
      <s:c r="Q50" s="103">
        <s:f>$I$9*V50*W50/SUMPRODUCT($W$25:$W$55,$V$25:$V$55)</s:f>
        <s:v>10.803583478766726</s:v>
      </s:c>
      <s:c r="R50" s="103">
        <s:f>IF($I$12="","",Q50/$I$12)</s:f>
        <s:v>5.686096567771961</s:v>
      </s:c>
      <s:c r="S50" s="102">
        <s:f>IF(W50&lt;&gt;"",IF(D50&lt;&gt;"",D50,($I$8-SUM($S$25:S49))*V50*W50/SUMPRODUCT($W50:$W$55,$V50:$V$55)),"")</s:f>
        <s:v>221176.15130890056</s:v>
      </s:c>
      <s:c r="T50" s="103">
        <s:f>IF(W50&lt;&gt;"",IF(E50&lt;&gt;"",E50,($I$9-SUM($T$25:T49))*V50*W50/SUMPRODUCT($W50:$W$55,$V50:$V$55)),"")</s:f>
        <s:v>34.848376963350802</s:v>
      </s:c>
      <s:c r="U50" s="103">
        <s:f>IF(W50&lt;&gt;"",IF($I$12&lt;&gt;"",IF(G50&lt;&gt;"",G50,($I$9/$I$12-SUM($U$25:U49))*V50*W50/SUMPRODUCT($W50:$W$55,$V50:$V$55)),""),"")</s:f>
        <s:v>11.262303664921475</s:v>
      </s:c>
      <s:c r="V50" s="104">
        <s:v>1</s:v>
      </s:c>
      <s:c r="W50" s="104">
        <s:v>1</s:v>
      </s:c>
      <s:c r="X50" s="107"/>
      <s:c r="Y50" s="106"/>
      <s:c r="Z50" s="111"/>
      <s:c r="AA50" s="2"/>
      <s:c r="AB50" s="2"/>
      <s:c r="AC50" s="2"/>
      <s:c r="AD50" s="2"/>
    </s:row>
    <s:row r="51">
      <s:c r="A51" s="95">
        <s:v>27</s:v>
      </s:c>
      <s:c r="B51" s="96"/>
      <s:c r="C51" s="97"/>
      <s:c r="D51" s="98"/>
      <s:c r="E51" s="99"/>
      <s:c r="F51" s="99" t="str">
        <s:f>IF(AND(E51&lt;&gt;"",E51&lt;&gt;0),D51/E51,"")</s:f>
        <s:v/>
      </s:c>
      <s:c r="G51" s="99"/>
      <s:c r="H51" s="99" t="str">
        <s:f>IF(AND(G51&lt;&gt;"",G51&lt;&gt;0),D51/G51,"")</s:f>
        <s:v/>
      </s:c>
      <s:c r="I51" s="99"/>
      <s:c r="J51" s="98" t="str">
        <s:f>IF(AND(G51&lt;&gt;"",G51&lt;&gt;0),E51/G51,"")</s:f>
        <s:v/>
      </s:c>
      <s:c r="K51" s="99"/>
      <s:c r="L51" s="99"/>
      <s:c r="M51" s="99"/>
      <s:c r="N51" s="100" t="str">
        <s:f>IF(AND(I51&lt;&gt;"",I51&lt;&gt;0),G51/I51,"")</s:f>
        <s:v/>
      </s:c>
      <s:c r="O51" s="101">
        <s:f>D51/P51</s:f>
        <s:v>0</s:v>
      </s:c>
      <s:c r="P51" s="102">
        <s:f>$I$8*V51*W51/SUMPRODUCT($W$25:$W$55,$V$25:$V$55)</s:f>
        <s:v>62228.640837696337</s:v>
      </s:c>
      <s:c r="Q51" s="103">
        <s:f>$I$9*V51*W51/SUMPRODUCT($W$25:$W$55,$V$25:$V$55)</s:f>
        <s:v>10.803583478766726</s:v>
      </s:c>
      <s:c r="R51" s="103">
        <s:f>IF($I$12="","",Q51/$I$12)</s:f>
        <s:v>5.686096567771961</s:v>
      </s:c>
      <s:c r="S51" s="102">
        <s:f>IF(W51&lt;&gt;"",IF(D51&lt;&gt;"",D51,($I$8-SUM($S$25:S50))*V51*W51/SUMPRODUCT($W51:$W$55,$V51:$V$55)),"")</s:f>
        <s:v>221176.15130890044</s:v>
      </s:c>
      <s:c r="T51" s="103">
        <s:f>IF(W51&lt;&gt;"",IF(E51&lt;&gt;"",E51,($I$9-SUM($T$25:T50))*V51*W51/SUMPRODUCT($W51:$W$55,$V51:$V$55)),"")</s:f>
        <s:v>34.848376963350802</s:v>
      </s:c>
      <s:c r="U51" s="103">
        <s:f>IF(W51&lt;&gt;"",IF($I$12&lt;&gt;"",IF(G51&lt;&gt;"",G51,($I$9/$I$12-SUM($U$25:U50))*V51*W51/SUMPRODUCT($W51:$W$55,$V51:$V$55)),""),"")</s:f>
        <s:v>11.262303664921461</s:v>
      </s:c>
      <s:c r="V51" s="104">
        <s:v>1</s:v>
      </s:c>
      <s:c r="W51" s="104">
        <s:v>1</s:v>
      </s:c>
      <s:c r="X51" s="107"/>
      <s:c r="Y51" s="106"/>
      <s:c r="Z51" s="111"/>
      <s:c r="AA51" s="2"/>
      <s:c r="AB51" s="2"/>
      <s:c r="AC51" s="2"/>
      <s:c r="AD51" s="2"/>
    </s:row>
    <s:row r="52">
      <s:c r="A52" s="95">
        <s:v>28</s:v>
      </s:c>
      <s:c r="B52" s="96">
        <s:v>45821</s:v>
      </s:c>
      <s:c r="C52" s="97" t="s">
        <s:v>59</s:v>
      </s:c>
      <s:c r="D52" s="98">
        <s:v>22204</s:v>
      </s:c>
      <s:c r="E52" s="99">
        <s:v>2</s:v>
      </s:c>
      <s:c r="F52" s="99">
        <s:f>IF(AND(E52&lt;&gt;"",E52&lt;&gt;0),D52/E52,"")</s:f>
        <s:v>11102</s:v>
      </s:c>
      <s:c r="G52" s="99">
        <s:v>1</s:v>
      </s:c>
      <s:c r="H52" s="99">
        <s:f>IF(AND(G52&lt;&gt;"",G52&lt;&gt;0),D52/G52,"")</s:f>
        <s:v>22204</s:v>
      </s:c>
      <s:c r="I52" s="99"/>
      <s:c r="J52" s="98">
        <s:f>IF(AND(G52&lt;&gt;"",G52&lt;&gt;0),E52/G52,"")</s:f>
        <s:v>2</s:v>
      </s:c>
      <s:c r="K52" s="99"/>
      <s:c r="L52" s="99">
        <s:v>22204</s:v>
      </s:c>
      <s:c r="M52" s="99"/>
      <s:c r="N52" s="100" t="str">
        <s:f>IF(AND(I52&lt;&gt;"",I52&lt;&gt;0),G52/I52,"")</s:f>
        <s:v/>
      </s:c>
      <s:c r="O52" s="101" t="e">
        <s:f>D52/P52</s:f>
        <s:v>#DIV/0!</s:v>
      </s:c>
      <s:c r="P52" s="102">
        <s:f>$I$8*V52*W52/SUMPRODUCT($W$25:$W$55,$V$25:$V$55)</s:f>
        <s:v>0</s:v>
      </s:c>
      <s:c r="Q52" s="103">
        <s:f>$I$9*V52*W52/SUMPRODUCT($W$25:$W$55,$V$25:$V$55)</s:f>
        <s:v>0</s:v>
      </s:c>
      <s:c r="R52" s="103">
        <s:f>IF($I$12="","",Q52/$I$12)</s:f>
        <s:v>0</s:v>
      </s:c>
      <s:c r="S52" s="102" t="str">
        <s:f>IF(W52&lt;&gt;"",IF(D52&lt;&gt;"",D52,($I$8-SUM($S$25:S51))*V52*W52/SUMPRODUCT($W52:$W$55,$V52:$V$55)),"")</s:f>
        <s:v/>
      </s:c>
      <s:c r="T52" s="103" t="str">
        <s:f>IF(W52&lt;&gt;"",IF(E52&lt;&gt;"",E52,($I$9-SUM($T$25:T51))*V52*W52/SUMPRODUCT($W52:$W$55,$V52:$V$55)),"")</s:f>
        <s:v/>
      </s:c>
      <s:c r="U52" s="103" t="str">
        <s:f>IF(W52&lt;&gt;"",IF($I$12&lt;&gt;"",IF(G52&lt;&gt;"",G52,($I$9/$I$12-SUM($U$25:U51))*V52*W52/SUMPRODUCT($W52:$W$55,$V52:$V$55)),""),"")</s:f>
        <s:v/>
      </s:c>
      <s:c r="V52" s="104"/>
      <s:c r="W52" s="104"/>
      <s:c r="X52" s="107"/>
      <s:c r="Y52" s="106"/>
      <s:c r="Z52" s="111"/>
      <s:c r="AA52" s="2"/>
      <s:c r="AB52" s="2"/>
      <s:c r="AC52" s="2"/>
      <s:c r="AD52" s="2"/>
    </s:row>
    <s:row r="53" spans="1:30" ht="15" customHeight="1">
      <s:c r="A53" s="95">
        <s:v>29</s:v>
      </s:c>
      <s:c r="B53" s="96"/>
      <s:c r="C53" s="97"/>
      <s:c r="D53" s="98"/>
      <s:c r="E53" s="99"/>
      <s:c r="F53" s="99" t="str">
        <s:f>IF(AND(E53&lt;&gt;"",E53&lt;&gt;0),D53/E53,"")</s:f>
        <s:v/>
      </s:c>
      <s:c r="G53" s="99"/>
      <s:c r="H53" s="99" t="str">
        <s:f>IF(AND(G53&lt;&gt;"",G53&lt;&gt;0),D53/G53,"")</s:f>
        <s:v/>
      </s:c>
      <s:c r="I53" s="99"/>
      <s:c r="J53" s="98" t="str">
        <s:f>IF(AND(G53&lt;&gt;"",G53&lt;&gt;0),E53/G53,"")</s:f>
        <s:v/>
      </s:c>
      <s:c r="K53" s="99"/>
      <s:c r="L53" s="99"/>
      <s:c r="M53" s="99"/>
      <s:c r="N53" s="100" t="str">
        <s:f>IF(AND(I53&lt;&gt;"",I53&lt;&gt;0),G53/I53,"")</s:f>
        <s:v/>
      </s:c>
      <s:c r="O53" s="101" t="e">
        <s:f>D53/P53</s:f>
        <s:v>#DIV/0!</s:v>
      </s:c>
      <s:c r="P53" s="102">
        <s:f>$I$8*V53*W53/SUMPRODUCT($W$25:$W$55,$V$25:$V$55)</s:f>
        <s:v>0</s:v>
      </s:c>
      <s:c r="Q53" s="103">
        <s:f>$I$9*V53*W53/SUMPRODUCT($W$25:$W$55,$V$25:$V$55)</s:f>
        <s:v>0</s:v>
      </s:c>
      <s:c r="R53" s="103">
        <s:f>IF($I$12="","",Q53/$I$12)</s:f>
        <s:v>0</s:v>
      </s:c>
      <s:c r="S53" s="102" t="str">
        <s:f>IF(W53&lt;&gt;"",IF(D53&lt;&gt;"",D53,($I$8-SUM($S$25:S52))*V53*W53/SUMPRODUCT($W53:$W$55,$V53:$V$55)),"")</s:f>
        <s:v/>
      </s:c>
      <s:c r="T53" s="103" t="str">
        <s:f>IF(W53&lt;&gt;"",IF(E53&lt;&gt;"",E53,($I$9-SUM($T$25:T52))*V53*W53/SUMPRODUCT($W53:$W$55,$V53:$V$55)),"")</s:f>
        <s:v/>
      </s:c>
      <s:c r="U53" s="103" t="str">
        <s:f>IF(W53&lt;&gt;"",IF($I$12&lt;&gt;"",IF(G53&lt;&gt;"",G53,($I$9/$I$12-SUM($U$25:U52))*V53*W53/SUMPRODUCT($W53:$W$55,$V53:$V$55)),""),"")</s:f>
        <s:v/>
      </s:c>
      <s:c r="V53" s="104"/>
      <s:c r="W53" s="104"/>
      <s:c r="X53" s="107"/>
      <s:c r="Y53" s="106"/>
      <s:c r="Z53" s="111"/>
      <s:c r="AA53" s="2"/>
      <s:c r="AB53" s="2"/>
      <s:c r="AC53" s="2"/>
      <s:c r="AD53" s="2"/>
    </s:row>
    <s:row r="54" spans="1:30" ht="15" customHeight="1">
      <s:c r="B54" s="618" t="s">
        <s:v>65</s:v>
      </s:c>
      <s:c r="C54" s="618"/>
      <s:c r="D54" s="114">
        <s:f>SUM(D25:D53)</s:f>
        <s:v>1260025</s:v>
      </s:c>
      <s:c r="E54" s="114">
        <s:f>SUM(E25:E53)</s:f>
        <s:v>225</s:v>
      </s:c>
      <s:c r="F54" s="114">
        <s:f>IF(AND(E54&lt;&gt;"",E54&lt;&gt;0),D54/E54,"")</s:f>
        <s:v>5600.1111111111113</s:v>
      </s:c>
      <s:c r="G54" s="114">
        <s:f>SUM(G25:G53)</s:f>
        <s:v>132</s:v>
      </s:c>
      <s:c r="H54" s="114">
        <s:f>IF(AND(G54&lt;&gt;"",G54&lt;&gt;0),D54/G54,"")</s:f>
        <s:v>9545.6439393939399</s:v>
      </s:c>
      <s:c r="I54" s="114">
        <s:f>SUM(I25:I53)</s:f>
        <s:v>530</s:v>
      </s:c>
      <s:c r="J54" s="113">
        <s:f>IF(AND(G54&lt;&gt;"",G54&lt;&gt;0),E54/G54,"")</s:f>
        <s:v>1.7045454545454546</s:v>
      </s:c>
      <s:c r="K54" s="114">
        <s:f>SUM(K25:K51)</s:f>
        <s:v>151858</s:v>
      </s:c>
      <s:c r="L54" s="114">
        <s:f>SUM(L25:L52)</s:f>
        <s:v>260204</s:v>
      </s:c>
      <s:c r="M54" s="114">
        <s:f>SUM(M25:M51)</s:f>
        <s:v>0</s:v>
      </s:c>
      <s:c r="N54" s="115">
        <s:f>IF(AND(I54&lt;&gt;"",I54&lt;&gt;0),G54/I54,"")</s:f>
        <s:v>0.24905660377358491</s:v>
      </s:c>
      <s:c r="O54" s="116">
        <s:f>D54/P54</s:f>
        <s:v>0.7499375201574815</s:v>
      </s:c>
      <s:c r="P54" s="117">
        <s:f>SUM(P25:P53)</s:f>
        <s:v>1680173.3026178018</s:v>
      </s:c>
      <s:c r="Q54" s="117">
        <s:f>SUM(Q25:Q52)</s:f>
        <s:v>291.69675392670138</s:v>
      </s:c>
      <s:c r="R54" s="117">
        <s:f>SUM(R25:R52)</s:f>
        <s:v>153.52460732984287</s:v>
      </s:c>
      <s:c r="S54" s="117">
        <s:f>SUM(S25:S53)</s:f>
        <s:v>1680173.3026178011</s:v>
      </s:c>
      <s:c r="T54" s="117">
        <s:f>SUM(T25:T52)</s:f>
        <s:v>291.6967539267016</s:v>
      </s:c>
      <s:c r="U54" s="117">
        <s:f>SUM(U25:U52)</s:f>
        <s:v>153.52460732984295</s:v>
      </s:c>
      <s:c r="V54" s="118"/>
      <s:c r="W54" s="118"/>
    </s:row>
    <s:row r="55">
      <s:c r="B55" s="120"/>
      <s:c r="C55" s="121"/>
      <s:c r="D55" s="122">
        <s:f>SUMIF(D25:D51,"",P25:P51)+D54</s:f>
        <s:v>1384482.2816753928</s:v>
      </s:c>
      <s:c r="E55" s="123"/>
      <s:c r="F55" s="121"/>
      <s:c r="G55" s="121"/>
      <s:c r="H55" s="124"/>
      <s:c r="I55" s="229"/>
      <s:c r="J55" s="124"/>
      <s:c r="L55" s="126"/>
      <s:c r="M55" s="123"/>
      <s:c r="N55" s="126"/>
      <s:c r="O55" s="126"/>
      <s:c r="P55" s="126"/>
      <s:c r="Q55" s="127"/>
    </s:row>
    <s:row r="56">
      <s:c r="D56" s="128"/>
    </s:row>
    <s:row r="57">
      <s:c r="D57" s="128"/>
    </s:row>
    <s:row r="58">
      <s:c r="D58" s="224"/>
    </s:row>
    <s:row r="59">
      <s:c r="D59" s="224"/>
    </s:row>
  </s:sheetData>
  <s:mergeCells count="28">
    <s:mergeCell ref="P22:W22"/>
    <s:mergeCell ref="B54:C54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213" priority="1788" operator="greaterThan">
      <s:formula>0</s:formula>
    </s:cfRule>
    <s:cfRule type="cellIs" dxfId="212" priority="1787" operator="lessThan">
      <s:formula>0</s:formula>
    </s:cfRule>
  </s:conditionalFormatting>
  <s:conditionalFormatting sqref="J25:J53">
    <s:cfRule type="cellIs" dxfId="211" priority="10" operator="lessThan">
      <s:formula>$I$12</s:formula>
    </s:cfRule>
    <s:cfRule type="cellIs" dxfId="210" priority="11" operator="greaterThan">
      <s:formula>$I$12</s:formula>
    </s:cfRule>
  </s:conditionalFormatting>
  <s:conditionalFormatting sqref="J39:J40">
    <s:cfRule type="cellIs" dxfId="209" priority="1806" operator="lessThan">
      <s:formula>$I$12</s:formula>
    </s:cfRule>
  </s:conditionalFormatting>
  <s:conditionalFormatting sqref="K10:K12 K15">
    <s:cfRule type="cellIs" dxfId="208" priority="1786" operator="greaterThan">
      <s:formula>1</s:formula>
    </s:cfRule>
    <s:cfRule type="cellIs" dxfId="207" priority="1785" operator="lessThan">
      <s:formula>1</s:formula>
    </s:cfRule>
  </s:conditionalFormatting>
  <s:conditionalFormatting sqref="K13">
    <s:cfRule type="cellIs" dxfId="206" priority="1435" operator="lessThan">
      <s:formula>$K$14</s:formula>
    </s:cfRule>
    <s:cfRule type="cellIs" dxfId="205" priority="1436" operator="greaterThan">
      <s:formula>$K$14</s:formula>
    </s:cfRule>
  </s:conditionalFormatting>
  <s:conditionalFormatting sqref="M8:M15">
    <s:cfRule type="cellIs" dxfId="204" priority="1803" operator="lessThan">
      <s:formula>1</s:formula>
    </s:cfRule>
    <s:cfRule type="cellIs" dxfId="203" priority="1784" operator="greaterThan">
      <s:formula>1</s:formula>
    </s:cfRule>
  </s:conditionalFormatting>
  <s:conditionalFormatting sqref="N25:N38">
    <s:cfRule type="cellIs" dxfId="202" priority="7" operator="between">
      <s:formula>0.2</s:formula>
      <s:formula>0.25</s:formula>
    </s:cfRule>
    <s:cfRule type="cellIs" dxfId="201" priority="8" operator="greaterThanOrEqual">
      <s:formula>0.25</s:formula>
    </s:cfRule>
  </s:conditionalFormatting>
  <s:conditionalFormatting sqref="N25:N53">
    <s:cfRule type="cellIs" dxfId="200" priority="9" operator="lessThan">
      <s:formula>0.2</s:formula>
    </s:cfRule>
  </s:conditionalFormatting>
  <s:conditionalFormatting sqref="N39:N40">
    <s:cfRule type="cellIs" dxfId="199" priority="1812" operator="between">
      <s:formula>0.2</s:formula>
      <s:formula>0.25</s:formula>
    </s:cfRule>
  </s:conditionalFormatting>
  <s:conditionalFormatting sqref="N39:N53">
    <s:cfRule type="cellIs" dxfId="198" priority="30" operator="greaterThanOrEqual">
      <s:formula>0.25</s:formula>
    </s:cfRule>
  </s:conditionalFormatting>
  <s:conditionalFormatting sqref="N41:N53">
    <s:cfRule type="cellIs" dxfId="197" priority="29" operator="between">
      <s:formula>0.2</s:formula>
      <s:formula>0.25</s:formula>
    </s:cfRule>
  </s:conditionalFormatting>
  <s:conditionalFormatting sqref="O25:O38">
    <s:cfRule type="cellIs" dxfId="196" priority="1" operator="between">
      <s:formula>0.9001</s:formula>
      <s:formula>0.9999</s:formula>
    </s:cfRule>
    <s:cfRule type="cellIs" dxfId="195" priority="6" operator="between">
      <s:formula>0.01</s:formula>
      <s:formula>0.99</s:formula>
    </s:cfRule>
    <s:cfRule type="cellIs" dxfId="194" priority="5" operator="between">
      <s:formula>0.85</s:formula>
      <s:formula>1</s:formula>
    </s:cfRule>
    <s:cfRule type="cellIs" dxfId="193" priority="2" operator="lessThan">
      <s:formula>0.9</s:formula>
    </s:cfRule>
  </s:conditionalFormatting>
  <s:conditionalFormatting sqref="O25:O53">
    <s:cfRule type="cellIs" dxfId="192" priority="4" operator="greaterThan">
      <s:formula>100</s:formula>
    </s:cfRule>
    <s:cfRule type="cellIs" dxfId="191" priority="3" operator="greaterThan">
      <s:formula>1</s:formula>
    </s:cfRule>
  </s:conditionalFormatting>
  <s:conditionalFormatting sqref="O39:O40">
    <s:cfRule type="cellIs" dxfId="190" priority="1816" operator="between">
      <s:formula>0.85</s:formula>
      <s:formula>1</s:formula>
    </s:cfRule>
    <s:cfRule type="cellIs" dxfId="189" priority="1822" operator="lessThan">
      <s:formula>0.9</s:formula>
    </s:cfRule>
    <s:cfRule type="cellIs" dxfId="188" priority="1824" operator="between">
      <s:formula>0.9001</s:formula>
      <s:formula>0.9999</s:formula>
    </s:cfRule>
  </s:conditionalFormatting>
  <s:conditionalFormatting sqref="O39:O53">
    <s:cfRule type="cellIs" dxfId="187" priority="28" operator="between">
      <s:formula>0.01</s:formula>
      <s:formula>0.99</s:formula>
    </s:cfRule>
  </s:conditionalFormatting>
  <s:conditionalFormatting sqref="O41:O53">
    <s:cfRule type="cellIs" dxfId="186" priority="27" operator="between">
      <s:formula>0.85</s:formula>
      <s:formula>1</s:formula>
    </s:cfRule>
    <s:cfRule type="cellIs" dxfId="185" priority="24" operator="lessThan">
      <s:formula>0.9</s:formula>
    </s:cfRule>
    <s:cfRule type="cellIs" dxfId="184" priority="23" operator="between">
      <s:formula>0.9001</s:formula>
      <s:formula>0.9999</s:formula>
    </s:cfRule>
  </s:conditionalFormatting>
  <s:conditionalFormatting sqref="P10:Q10">
    <s:cfRule type="cellIs" dxfId="183" priority="1799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5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400-000000000000}">
  <s:sheetPr>
    <s:pageSetUpPr fitToPage="1"/>
  </s:sheetPr>
  <s:dimension ref="A1:IU55"/>
  <s:sheetViews>
    <s:sheetView showZeros="0" tabSelected="0" zoomScale="116" workbookViewId="0">
      <s:pane xSplit="2" topLeftCell="C1" activePane="topRight" state="frozen"/>
      <s:selection pane="topRight" activeCell="A13" sqref="A13"/>
    </s:sheetView>
  </s:sheetViews>
  <s:sheetFormatPr baseColWidth="10" defaultColWidth="9.164" defaultRowHeight="15"/>
  <s:cols>
    <s:col min="1" max="1" width="4.164" style="230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3" ht="15.75" customHeight="1">
      <s:c r="B1" s="679">
        <s:f ca="1">TODAY()-1</s:f>
        <s:v>46171</s:v>
      </s:c>
      <s:c r="C1" s="679"/>
      <s:c r="D1" s="11"/>
      <s:c r="E1" s="11"/>
      <s:c r="F1" s="12"/>
      <s:c r="G1" s="12"/>
      <s:c r="H1" s="12"/>
      <s:c r="I1" s="12"/>
      <s:c r="J1" s="198"/>
      <s:c r="K1" s="198"/>
      <s:c r="L1" s="198"/>
      <s:c r="M1" s="198"/>
      <s:c r="N1" s="198"/>
      <s:c r="O1" s="198"/>
      <s:c r="P1" s="198"/>
      <s:c r="Q1" s="680"/>
      <s:c r="R1" s="680"/>
      <s:c r="S1" s="680"/>
      <s:c r="T1" s="680"/>
      <s:c r="U1" s="12"/>
      <s:c r="V1" s="12"/>
      <s:c r="W1" s="12"/>
    </s:row>
    <s:row r="2" spans="2:23" ht="21.75" customHeight="1">
      <s:c r="B2" s="681" t="s">
        <s:v>0</s:v>
      </s:c>
      <s:c r="C2" s="681"/>
      <s:c r="D2" s="11"/>
      <s:c r="E2" s="11"/>
      <s:c r="F2" s="12"/>
      <s:c r="G2" s="12"/>
      <s:c r="H2" s="12"/>
      <s:c r="I2" s="12"/>
      <s:c r="J2" s="682" t="s">
        <s:v>71</s:v>
      </s:c>
      <s:c r="K2" s="682"/>
      <s:c r="L2" s="682"/>
      <s:c r="M2" s="682"/>
      <s:c r="N2" s="682"/>
      <s:c r="O2" s="682"/>
      <s:c r="P2" s="682"/>
      <s:c r="Q2" s="680"/>
      <s:c r="R2" s="680"/>
      <s:c r="S2" s="680"/>
      <s:c r="T2" s="680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3" t="str">
        <s:f>График!B28</s:f>
        <s:v>Уразгильдеева Екатерина</s:v>
      </s:c>
      <s:c r="K3" s="684"/>
      <s:c r="L3" s="684"/>
      <s:c r="M3" s="684"/>
      <s:c r="N3" s="685"/>
      <s:c r="O3" s="198"/>
      <s:c r="P3" s="199"/>
      <s:c r="Q3" s="680"/>
      <s:c r="R3" s="680"/>
      <s:c r="S3" s="680"/>
      <s:c r="T3" s="680"/>
      <s:c r="U3" s="12"/>
      <s:c r="V3" s="12"/>
      <s:c r="W3" s="12"/>
    </s:row>
    <s:row r="4" spans="2:23" ht="15" customHeight="1">
      <s:c r="B4" s="11"/>
      <s:c r="C4" s="689">
        <s:f>I8-D50</s:f>
        <s:v>627312.41256544506</s:v>
      </s:c>
      <s:c r="D4" s="690"/>
      <s:c r="E4" s="200">
        <s:f>IF(I8&lt;&gt;0, C4/I8, 0)</s:f>
        <s:v>0.53491247992223301</s:v>
      </s:c>
      <s:c r="F4" s="12"/>
      <s:c r="G4" s="12"/>
      <s:c r="H4" s="12"/>
      <s:c r="I4" s="12"/>
      <s:c r="J4" s="686"/>
      <s:c r="K4" s="687"/>
      <s:c r="L4" s="687"/>
      <s:c r="M4" s="687"/>
      <s:c r="N4" s="688"/>
      <s:c r="O4" s="12"/>
      <s:c r="P4" s="12"/>
      <s:c r="Q4" s="680"/>
      <s:c r="R4" s="680"/>
      <s:c r="S4" s="680"/>
      <s:c r="T4" s="680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1"/>
      <s:c r="K5" s="691"/>
      <s:c r="L5" s="691"/>
      <s:c r="M5" s="691"/>
      <s:c r="N5" s="691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01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01"/>
      <s:c r="C7" s="12"/>
      <s:c r="D7" s="12"/>
      <s:c r="E7" s="12"/>
      <s:c r="F7" s="598" t="s">
        <s:v>3</s:v>
      </s:c>
      <s:c r="G7" s="599"/>
      <s:c r="H7" s="600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1" t="s">
        <s:v>11</s:v>
      </s:c>
      <s:c r="Q7" s="602"/>
      <s:c r="R7" s="21"/>
      <s:c r="S7" s="21"/>
      <s:c r="T7" s="12"/>
      <s:c r="U7" s="12"/>
      <s:c r="V7" s="12"/>
      <s:c r="W7" s="12"/>
    </s:row>
    <s:row r="8" spans="2:23" ht="15.75" customHeight="1">
      <s:c r="B8" s="201"/>
      <s:c r="C8" s="12"/>
      <s:c r="D8" s="12"/>
      <s:c r="E8" s="12"/>
      <s:c r="F8" s="603" t="s">
        <s:v>12</s:v>
      </s:c>
      <s:c r="G8" s="604"/>
      <s:c r="H8" s="605"/>
      <s:c r="I8" s="202">
        <s:f>'Ялта, Ленина, 18'!I8/График!AJ31*График!AJ28</s:f>
        <s:v>1172738.4125654451</s:v>
      </s:c>
      <s:c r="J8" s="203">
        <s:f>D50</s:f>
        <s:v>545426</s:v>
      </s:c>
      <s:c r="K8" s="204">
        <s:f>J8/I8</s:f>
        <s:v>0.46508752007776699</s:v>
      </s:c>
      <s:c r="L8" s="205">
        <s:f>IF(SUMIF($D$25:$D$49,"&gt;=0",$P$25:$P$49)&lt;&gt;0,I8*D50/SUMIF($D$25:$D$49,"&gt;=0",$P$25:$P$49),0)</s:f>
        <s:v>678643.56952453684</s:v>
      </s:c>
      <s:c r="M8" s="42">
        <s:f>IF(AND(I8&lt;&gt;"",I8&lt;&gt;0,L8&lt;&gt;"",L8&lt;&gt;0),L8/I8,"")</s:f>
        <s:v>0.57868281814011524</s:v>
      </s:c>
      <s:c r="N8" s="35">
        <s:f>IF(AND(J8&lt;&gt;0, J8&lt;&gt;"", I8&lt;&gt;0, I8&lt;&gt;""), L8-I8, "")</s:f>
        <s:v>-494094.84304090822</s:v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01"/>
      <s:c r="C9" s="12"/>
      <s:c r="D9" s="12"/>
      <s:c r="E9" s="12"/>
      <s:c r="F9" s="606" t="s">
        <s:v>13</s:v>
      </s:c>
      <s:c r="G9" s="607"/>
      <s:c r="H9" s="608"/>
      <s:c r="I9" s="38">
        <s:f>I8/I11</s:f>
        <s:v>203.60041884816755</s:v>
      </s:c>
      <s:c r="J9" s="39">
        <s:f>E50</s:f>
        <s:v>106</s:v>
      </s:c>
      <s:c r="K9" s="40">
        <s:f>IF(AND(I9&lt;&gt;"", I9&lt;&gt;0, J9&lt;&gt;""), J9/I9, "")</s:f>
        <s:v>0.52062761265264468</s:v>
      </s:c>
      <s:c r="L9" s="207">
        <s:f>J9</s:f>
        <s:v>106</s:v>
      </s:c>
      <s:c r="M9" s="42">
        <s:f>IF(AND(I9&lt;&gt;"",I9&lt;&gt;0,L9&lt;&gt;"",L9&lt;&gt;0),L9/I9,"")</s:f>
        <s:v>0.52062761265264468</s:v>
      </s:c>
      <s:c r="N9" s="43">
        <s:f>IF(AND(J9&lt;&gt;0, J9&lt;&gt;"", I9&lt;&gt;0, I9&lt;&gt;""), L9-I9, "")</s:f>
        <s:v>-97.60041884816755</s:v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01"/>
      <s:c r="C10" s="12"/>
      <s:c r="D10" s="12"/>
      <s:c r="E10" s="12"/>
      <s:c r="F10" s="603" t="s">
        <s:v>14</s:v>
      </s:c>
      <s:c r="G10" s="604"/>
      <s:c r="H10" s="605"/>
      <s:c r="I10" s="50">
        <s:f>I11*I12</s:f>
        <s:v>10944</s:v>
      </s:c>
      <s:c r="J10" s="209">
        <s:f>H50</s:f>
        <s:v>8391.1692307692301</s:v>
      </s:c>
      <s:c r="K10" s="47">
        <s:f>IF(AND(I10&lt;&gt;"", I10&lt;&gt;0, J10&lt;&gt;""), J10/I10, "")</s:f>
        <s:v>0.76673695456590185</s:v>
      </s:c>
      <s:c r="L10" s="207">
        <s:f>J10</s:f>
        <s:v>8391.1692307692301</s:v>
      </s:c>
      <s:c r="M10" s="48">
        <s:f>IF(AND(I10&lt;&gt;"",I10&lt;&gt;0,L10&lt;&gt;"",L10&lt;&gt;0),L10/I10,"")</s:f>
        <s:v>0.76673695456590185</s:v>
      </s:c>
      <s:c r="N10" s="49">
        <s:f>IF(AND(J10&lt;&gt;0, J10&lt;&gt;"", I10&lt;&gt;0, I10&lt;&gt;""), L10-I10, "")</s:f>
        <s:v>-2552.8307692307699</s:v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21"/>
      <s:c r="S10" s="613" t="s">
        <s:v>15</s:v>
      </s:c>
      <s:c r="T10" s="613"/>
      <s:c r="U10" s="12"/>
      <s:c r="V10" s="12"/>
      <s:c r="W10" s="12"/>
    </s:row>
    <s:row r="11" spans="2:23" ht="15.75" customHeight="1">
      <s:c r="B11" s="201"/>
      <s:c r="C11" s="12"/>
      <s:c r="D11" s="12"/>
      <s:c r="E11" s="12"/>
      <s:c r="F11" s="606" t="s">
        <s:v>16</s:v>
      </s:c>
      <s:c r="G11" s="607"/>
      <s:c r="H11" s="608"/>
      <s:c r="I11" s="52">
        <s:f>'Ялта, Ленина, 18'!I11</s:f>
        <s:v>5760</s:v>
      </s:c>
      <s:c r="J11" s="39">
        <s:f>F50</s:f>
        <s:v>5145.5283018867922</s:v>
      </s:c>
      <s:c r="K11" s="40">
        <s:f>IF(AND(I11&lt;&gt;"", I11&lt;&gt;0, J11&lt;&gt;""), J11/I11, "")</s:f>
        <s:v>0.89332088574423474</s:v>
      </s:c>
      <s:c r="L11" s="207">
        <s:f>J11</s:f>
        <s:v>5145.5283018867922</s:v>
      </s:c>
      <s:c r="M11" s="42">
        <s:f>IF(AND(I11&lt;&gt;"",I11&lt;&gt;0,L11&lt;&gt;"",L11&lt;&gt;0),L11/I11,"")</s:f>
        <s:v>0.89332088574423474</s:v>
      </s:c>
      <s:c r="N11" s="43">
        <s:f>IF(AND(J11&lt;&gt;0, J11&lt;&gt;"", I11&lt;&gt;0, I11&lt;&gt;""), L11-I11, "")</s:f>
        <s:v>-614.47169811320782</s:v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21"/>
      <s:c r="S11" s="613"/>
      <s:c r="T11" s="613"/>
      <s:c r="U11" s="12"/>
      <s:c r="V11" s="12"/>
      <s:c r="W11" s="12"/>
    </s:row>
    <s:row r="12" spans="2:23" ht="15.75" customHeight="1">
      <s:c r="B12" s="201"/>
      <s:c r="C12" s="12"/>
      <s:c r="D12" s="12"/>
      <s:c r="E12" s="12"/>
      <s:c r="F12" s="606" t="s">
        <s:v>17</s:v>
      </s:c>
      <s:c r="G12" s="607"/>
      <s:c r="H12" s="608"/>
      <s:c r="I12" s="54">
        <s:f>'Ялта, Ленина, 18'!I12</s:f>
        <s:v>1.9</s:v>
      </s:c>
      <s:c r="J12" s="55">
        <s:f>J50</s:f>
        <s:v>1.6307692307692307</s:v>
      </s:c>
      <s:c r="K12" s="40">
        <s:f>IF(AND(I12&lt;&gt;"", I12&lt;&gt;0, J12&lt;&gt;""), J12/I12, "")</s:f>
        <s:v>0.8582995951417004</s:v>
      </s:c>
      <s:c r="L12" s="213">
        <s:f>J12</s:f>
        <s:v>1.6307692307692307</s:v>
      </s:c>
      <s:c r="M12" s="42">
        <s:f>IF(AND(I12&lt;&gt;"",I12&lt;&gt;0,L12&lt;&gt;"",L12&lt;&gt;0),L12/I12,"")</s:f>
        <s:v>0.8582995951417004</s:v>
      </s:c>
      <s:c r="N12" s="57">
        <s:f>IF(AND(J12&lt;&gt;0, J12&lt;&gt;"", I12&lt;&gt;0, I12&lt;&gt;""), L12-I12, "")</s:f>
        <s:v>-0.26923076923076916</s:v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21"/>
      <s:c r="S12" s="59">
        <s:f>'Ялта, Ленина, 18'!S12*График!AJ28/График!AJ31</s:f>
        <s:v>266806.28272251307</s:v>
      </s:c>
      <s:c r="T12" s="60">
        <s:f>L50</s:f>
        <s:v>46698</s:v>
      </s:c>
      <s:c r="U12" s="12"/>
      <s:c r="V12" s="12"/>
      <s:c r="W12" s="12"/>
    </s:row>
    <s:row r="13" spans="2:23" ht="15.75" customHeight="1">
      <s:c r="B13" s="201"/>
      <s:c r="C13" s="12"/>
      <s:c r="D13" s="12"/>
      <s:c r="E13" s="12"/>
      <s:c r="F13" s="606" t="s">
        <s:v>18</s:v>
      </s:c>
      <s:c r="G13" s="607"/>
      <s:c r="H13" s="608"/>
      <s:c r="I13" s="38">
        <s:f>IF(I12&lt;&gt;0, I9/I12, "")</s:f>
        <s:v>107.15811518324608</s:v>
      </s:c>
      <s:c r="J13" s="39">
        <s:f>G50</s:f>
        <s:v>65</s:v>
      </s:c>
      <s:c r="K13" s="40">
        <s:f>IF(AND(I13&lt;&gt;"", I13&lt;&gt;0, J13&lt;&gt;""), J13/I13, "")</s:f>
        <s:v>0.60658028455284552</s:v>
      </s:c>
      <s:c r="L13" s="207">
        <s:f>J13</s:f>
        <s:v>65</s:v>
      </s:c>
      <s:c r="M13" s="42">
        <s:f>IF(AND(I13&lt;&gt;"",I13&lt;&gt;0,L13&lt;&gt;"",L13&lt;&gt;0),L13/I13,"")</s:f>
        <s:v>0.60658028455284552</s:v>
      </s:c>
      <s:c r="N13" s="57">
        <s:f>IF(AND(J13&lt;&gt;0, J13&lt;&gt;"", I13&lt;&gt;0, I13&lt;&gt;""), L13-I13, "")</s:f>
        <s:v>-42.158115183246082</s:v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21"/>
      <s:c r="S13" s="62">
        <s:f>T12/S12</s:f>
        <s:v>0.17502586342229201</s:v>
      </s:c>
      <s:c r="T13" s="62">
        <s:f>S13/J14*I14</s:f>
        <s:v>0.17502586342229201</s:v>
      </s:c>
      <s:c r="U13" s="12"/>
      <s:c r="V13" s="12"/>
      <s:c r="W13" s="12"/>
    </s:row>
    <s:row r="14" spans="2:23" ht="15.75" customHeight="1">
      <s:c r="B14" s="201"/>
      <s:c r="C14" s="12"/>
      <s:c r="D14" s="12"/>
      <s:c r="E14" s="12"/>
      <s:c r="F14" s="606" t="s">
        <s:v>68</s:v>
      </s:c>
      <s:c r="G14" s="607"/>
      <s:c r="H14" s="608"/>
      <s:c r="I14" s="52">
        <s:f>График!AI28</s:f>
        <s:v>16</s:v>
      </s:c>
      <s:c r="J14" s="64">
        <s:v>16</s:v>
      </s:c>
      <s:c r="K14" s="40">
        <s:f>IF(AND(I14&lt;&gt;"", I14&lt;&gt;0, J14&lt;&gt;""), J14/I14, "")</s:f>
        <s:v>1</s:v>
      </s:c>
      <s:c r="L14" s="41">
        <s:f>I14</s:f>
        <s:v>16</s:v>
      </s:c>
      <s:c r="M14" s="42">
        <s:f>IF(AND(I14&lt;&gt;"",I14&lt;&gt;0,L14&lt;&gt;"",L14&lt;&gt;0),L14/I14,"")</s:f>
        <s:v>1</s:v>
      </s:c>
      <s:c r="N14" s="43">
        <s:f>IF(AND(J14&lt;&gt;0, J14&lt;&gt;"", I14&lt;&gt;0, I14&lt;&gt;""), L14-I14, "")</s:f>
        <s:v>0</s:v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01"/>
      <s:c r="C15" s="12"/>
      <s:c r="D15" s="12"/>
      <s:c r="E15" s="12"/>
      <s:c r="F15" s="606" t="s">
        <s:v>20</s:v>
      </s:c>
      <s:c r="G15" s="607"/>
      <s:c r="H15" s="608"/>
      <s:c r="I15" s="75">
        <s:f>'Ялта, Ленина, 18'!I15</s:f>
        <s:v>143585.28</s:v>
      </s:c>
      <s:c r="J15" s="67">
        <s:f>J8/J14</s:f>
        <s:v>34089.125</s:v>
      </s:c>
      <s:c r="K15" s="68">
        <s:f>IF(AND(I15&lt;&gt;"", I15&lt;&gt;0, J15&lt;&gt;""), J15/I15, "")</s:f>
        <s:v>0.23741378642713237</s:v>
      </s:c>
      <s:c r="L15" s="207">
        <s:f>J15</s:f>
        <s:v>34089.125</s:v>
      </s:c>
      <s:c r="M15" s="70">
        <s:f>IF(AND(I15&lt;&gt;"",I15&lt;&gt;0,L15&lt;&gt;"",L15&lt;&gt;0),L15/I15,"")</s:f>
        <s:v>0.23741378642713237</s:v>
      </s:c>
      <s:c r="N15" s="43">
        <s:f>IF(AND(J15&lt;&gt;0, J15&lt;&gt;"", I15&lt;&gt;0, I15&lt;&gt;""), L15-I15, "")</s:f>
        <s:v>-109496.155</s:v>
      </s:c>
      <s:c r="O15" s="71"/>
      <s:c r="P15" s="43" t="str">
        <s:f>IF(AND(O15&lt;&gt;"", O15&lt;&gt;0, L15&lt;&gt;"", L15&lt;&gt;0), -O15+L15, "")</s:f>
        <s:v/>
      </s:c>
      <s:c r="Q15" s="45" t="str">
        <s:f>IF(AND(P15&lt;&gt;"", P15&lt;&gt;0, O15&lt;&gt;0, O15&lt;&gt;""), P15/O15, 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01"/>
      <s:c r="C16" s="12"/>
      <s:c r="D16" s="12"/>
      <s:c r="E16" s="12"/>
      <s:c r="F16" s="606" t="s">
        <s:v>21</s:v>
      </s:c>
      <s:c r="G16" s="607"/>
      <s:c r="H16" s="608"/>
      <s:c r="I16" s="75"/>
      <s:c r="J16" s="67">
        <s:f>J8-I15*J14</s:f>
        <s:v>-1751938.48</s:v>
      </s:c>
      <s:c r="K16" s="68" t="str">
        <s:f>IF(AND(I16&lt;&gt;"", I16&lt;&gt;0, J16&lt;&gt;""), J16/I16, "")</s:f>
        <s:v/>
      </s:c>
      <s:c r="L16" s="72">
        <s:f>J16</s:f>
        <s:v>-1751938.48</s:v>
      </s:c>
      <s:c r="M16" s="73" t="str">
        <s:f>IF(AND(I16&lt;&gt;"",I16&lt;&gt;0,L16&lt;&gt;"",L16&lt;&gt;0),L16/I16,"")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21"/>
      <s:c r="S16" s="613" t="s">
        <s:v>22</s:v>
      </s:c>
      <s:c r="T16" s="613"/>
      <s:c r="U16" s="12"/>
      <s:c r="V16" s="12"/>
      <s:c r="W16" s="12"/>
    </s:row>
    <s:row r="17" spans="1:33" ht="15.75" customHeight="1">
      <s:c r="B17" s="201"/>
      <s:c r="C17" s="12"/>
      <s:c r="D17" s="214"/>
      <s:c r="E17" s="12"/>
      <s:c r="F17" s="606" t="s">
        <s:v>23</s:v>
      </s:c>
      <s:c r="G17" s="607"/>
      <s:c r="H17" s="608"/>
      <s:c r="I17" s="75">
        <s:f>'Ялта, Ленина, 18'!I17/График!AJ31*График!AJ28</s:f>
        <s:v>435.60209424083769</s:v>
      </s:c>
      <s:c r="J17" s="67">
        <s:f>I50</s:f>
        <s:v>363</s:v>
      </s:c>
      <s:c r="K17" s="68">
        <s:f>IF(AND(I17&lt;&gt;"", I17&lt;&gt;0, J17&lt;&gt;""), J17/I17, "")</s:f>
        <s:v>0.83332932692307693</s:v>
      </s:c>
      <s:c r="L17" s="78">
        <s:f>J17/J14*I14</s:f>
        <s:v>363</s:v>
      </s:c>
      <s:c r="M17" s="73">
        <s:f>IF(AND(I17&lt;&gt;"",I17&lt;&gt;0,L17&lt;&gt;"",L17&lt;&gt;0),L17/I17,"")</s:f>
        <s:v>0.83332932692307693</s:v>
      </s:c>
      <s:c r="N17" s="43">
        <s:f>IF(AND(J17&lt;&gt;0, J17&lt;&gt;"", I17&lt;&gt;0, I17&lt;&gt;""), L17-I17, "")</s:f>
        <s:v>-72.602094240837687</s:v>
      </s:c>
      <s:c r="O17" s="71"/>
      <s:c r="P17" s="43" t="str">
        <s:f>IF(AND(O17&lt;&gt;"", O17&lt;&gt;0, L17&lt;&gt;"", L17&lt;&gt;0), -O17+L17, "")</s:f>
        <s:v/>
      </s:c>
      <s:c r="Q17" s="45" t="str">
        <s:f>IF(AND(P17&lt;&gt;"", P17&lt;&gt;0, O17&lt;&gt;0, O17&lt;&gt;""), P17/O17, "")</s:f>
        <s:v/>
      </s:c>
      <s:c r="R17" s="21"/>
      <s:c r="S17" s="613"/>
      <s:c r="T17" s="613"/>
      <s:c r="U17" s="12"/>
      <s:c r="V17" s="12"/>
      <s:c r="W17" s="12"/>
    </s:row>
    <s:row r="18" spans="1:33" ht="15.75" customHeight="1">
      <s:c r="B18" s="201"/>
      <s:c r="C18" s="12"/>
      <s:c r="D18" s="12"/>
      <s:c r="E18" s="12"/>
      <s:c r="F18" s="606"/>
      <s:c r="G18" s="607"/>
      <s:c r="H18" s="608"/>
      <s:c r="I18" s="76"/>
      <s:c r="J18" s="67"/>
      <s:c r="K18" s="68" t="str">
        <s:f>IF(AND(I18&lt;&gt;"", I18&lt;&gt;0, J18&lt;&gt;""), J18/I18, 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21"/>
      <s:c r="S18" s="59">
        <s:f>'Ялта, Ленина, 18'!S18*График!AJ28/График!AJ31</s:f>
        <s:v>212356.02094240839</s:v>
      </s:c>
      <s:c r="T18" s="60">
        <s:f>K50</s:f>
        <s:v>130123</s:v>
      </s:c>
      <s:c r="U18" s="12"/>
      <s:c r="V18" s="12"/>
      <s:c r="W18" s="12"/>
    </s:row>
    <s:row r="19" spans="1:33" ht="15.75" customHeight="1">
      <s:c r="B19" s="201"/>
      <s:c r="C19" s="12"/>
      <s:c r="D19" s="12"/>
      <s:c r="E19" s="12"/>
      <s:c r="F19" s="606"/>
      <s:c r="G19" s="607"/>
      <s:c r="H19" s="608"/>
      <s:c r="I19" s="76"/>
      <s:c r="J19" s="67">
        <s:f>M50</s:f>
        <s:v>0</s:v>
      </s:c>
      <s:c r="K19" s="68" t="str">
        <s:f>IF(AND(I19&lt;&gt;"", I19&lt;&gt;0, J19&lt;&gt;""), J19/I19, 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21"/>
      <s:c r="S19" s="62">
        <s:f>T18/S18</s:f>
        <s:v>0.61275870315581848</s:v>
      </s:c>
      <s:c r="T19" s="62">
        <s:f>S19/J14*I14</s:f>
        <s:v>0.61275870315581848</s:v>
      </s:c>
      <s:c r="U19" s="12"/>
      <s:c r="V19" s="12"/>
      <s:c r="W19" s="12"/>
    </s:row>
    <s:row r="20" spans="1:33" ht="15.75" customHeight="1">
      <s:c r="B20" s="201"/>
      <s:c r="C20" s="12"/>
      <s:c r="D20" s="12"/>
      <s:c r="E20" s="12"/>
      <s:c r="F20" s="614" t="s">
        <s:v>24</s:v>
      </s:c>
      <s:c r="G20" s="614"/>
      <s:c r="H20" s="614"/>
      <s:c r="I20" s="217">
        <s:f>'Ялта, Ленина, 18'!I20</s:f>
        <s:v>0.246</s:v>
      </s:c>
      <s:c r="J20" s="218">
        <s:f>N50</s:f>
        <s:v>0.1790633608815427</s:v>
      </s:c>
      <s:c r="K20" s="219">
        <s:f>J20/I20</s:f>
        <s:v>0.72789984098188087</s:v>
      </s:c>
      <s:c r="L20" s="220">
        <s:f>IF(AND(K8&lt;&gt;0,I14&lt;&gt;0,I50&lt;&gt;0),(I50*N50+(I50/K8-I50)*I20)/(I50/K8),0)</s:f>
        <s:v>0.21486860451005624</s:v>
      </s:c>
      <s:c r="M20" s="83">
        <s:f>IF(AND(I20&lt;&gt;"",I20&lt;&gt;0,L20&lt;&gt;"",L20&lt;&gt;0),L20/I20,"")</s:f>
        <s:v>0.87344961182949687</s:v>
      </s:c>
      <s:c r="N20" s="84">
        <s:f>IF(AND(J20&lt;&gt;0, J20&lt;&gt;"", I20&lt;&gt;0, I20&lt;&gt;""), L20-I20, "")</s:f>
        <s:v>-3.1131395489943758E-2</s:v>
      </s:c>
      <s:c r="O20" s="85"/>
      <s:c r="P20" s="86" t="str">
        <s:f>IF(AND(O20&lt;&gt;"", O20&lt;&gt;0, L20&lt;&gt;"", L20&lt;&gt;0), -O20+L20, "")</s:f>
        <s:v/>
      </s:c>
      <s:c r="Q20" s="87" t="str">
        <s:f>IF(AND(P20&lt;&gt;"", P20&lt;&gt;0, O20&lt;&gt;0, O20&lt;&gt;""), P20/O20, "")</s:f>
        <s:v/>
      </s:c>
      <s:c r="R20" s="21"/>
      <s:c r="S20" s="21"/>
      <s:c r="T20" s="12"/>
      <s:c r="U20" s="12"/>
      <s:c r="V20" s="12"/>
      <s:c r="W20" s="12"/>
    </s:row>
    <s:row r="21" spans="1:33" ht="15.75" customHeight="1">
      <s:c r="B21" s="201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33" ht="16.5" customHeight="1">
      <s:c r="B22" s="698" t="s">
        <s:v>25</s:v>
      </s:c>
      <s:c r="C22" s="698"/>
      <s:c r="D22" s="698"/>
      <s:c r="E22" s="698"/>
      <s:c r="F22" s="698"/>
      <s:c r="G22" s="698"/>
      <s:c r="H22" s="698"/>
      <s:c r="I22" s="698"/>
      <s:c r="J22" s="698"/>
      <s:c r="K22" s="698"/>
      <s:c r="L22" s="698"/>
      <s:c r="M22" s="698"/>
      <s:c r="N22" s="698"/>
      <s:c r="O22" s="699" t="s">
        <s:v>26</s:v>
      </s:c>
      <s:c r="P22" s="698" t="s">
        <s:v>27</s:v>
      </s:c>
      <s:c r="Q22" s="698"/>
      <s:c r="R22" s="698"/>
      <s:c r="S22" s="698"/>
      <s:c r="T22" s="698"/>
      <s:c r="U22" s="698"/>
      <s:c r="V22" s="698"/>
      <s:c r="W22" s="698"/>
    </s:row>
    <s:row r="23" ht="36">
      <s:c r="B23" s="221" t="s">
        <s:v>29</s:v>
      </s:c>
      <s:c r="C23" s="221" t="s">
        <s:v>30</s:v>
      </s:c>
      <s:c r="D23" s="221" t="s">
        <s:v>31</s:v>
      </s:c>
      <s:c r="E23" s="221" t="s">
        <s:v>32</s:v>
      </s:c>
      <s:c r="F23" s="221" t="s">
        <s:v>33</s:v>
      </s:c>
      <s:c r="G23" s="221" t="s">
        <s:v>34</s:v>
      </s:c>
      <s:c r="H23" s="221" t="s">
        <s:v>35</s:v>
      </s:c>
      <s:c r="I23" s="221" t="s">
        <s:v>23</s:v>
      </s:c>
      <s:c r="J23" s="221" t="s">
        <s:v>36</s:v>
      </s:c>
      <s:c r="K23" s="90" t="s">
        <s:v>22</s:v>
      </s:c>
      <s:c r="L23" s="90" t="s">
        <s:v>15</s:v>
      </s:c>
      <s:c r="M23" s="222" t="s">
        <s:v>37</s:v>
      </s:c>
      <s:c r="N23" s="221" t="s">
        <s:v>38</s:v>
      </s:c>
      <s:c r="O23" s="699"/>
      <s:c r="P23" s="221" t="s">
        <s:v>39</s:v>
      </s:c>
      <s:c r="Q23" s="221" t="s">
        <s:v>40</s:v>
      </s:c>
      <s:c r="R23" s="221" t="s">
        <s:v>41</s:v>
      </s:c>
      <s:c r="S23" s="221" t="s">
        <s:v>42</s:v>
      </s:c>
      <s:c r="T23" s="221" t="s">
        <s:v>43</s:v>
      </s:c>
      <s:c r="U23" s="221" t="s">
        <s:v>44</s:v>
      </s:c>
      <s:c r="V23" s="223" t="s">
        <s:v>45</s:v>
      </s:c>
      <s:c r="W23" s="223" t="s">
        <s:v>46</s:v>
      </s:c>
      <s:c r="X23" s="224"/>
    </s:row>
    <s:row r="24">
      <s:c r="B24" s="225">
        <s:v>1</s:v>
      </s:c>
      <s:c r="C24" s="225">
        <s:v>2</s:v>
      </s:c>
      <s:c r="D24" s="225">
        <s:v>3</s:v>
      </s:c>
      <s:c r="E24" s="225" t="s">
        <s:v>72</s:v>
      </s:c>
      <s:c r="F24" s="225">
        <s:v>5</s:v>
      </s:c>
      <s:c r="G24" s="225">
        <s:v>6</s:v>
      </s:c>
      <s:c r="H24" s="225">
        <s:v>7</s:v>
      </s:c>
      <s:c r="I24" s="225">
        <s:v>8</s:v>
      </s:c>
      <s:c r="J24" s="225">
        <s:v>9</s:v>
      </s:c>
      <s:c r="K24" s="225">
        <s:v>10</s:v>
      </s:c>
      <s:c r="L24" s="225">
        <s:v>11</s:v>
      </s:c>
      <s:c r="M24" s="225">
        <s:v>12</s:v>
      </s:c>
      <s:c r="N24" s="225">
        <s:v>13</s:v>
      </s:c>
      <s:c r="O24" s="699"/>
      <s:c r="P24" s="227">
        <s:v>1</s:v>
      </s:c>
      <s:c r="Q24" s="227">
        <s:v>2</s:v>
      </s:c>
      <s:c r="R24" s="227">
        <s:v>3</s:v>
      </s:c>
      <s:c r="S24" s="227">
        <s:v>4</s:v>
      </s:c>
      <s:c r="T24" s="227">
        <s:v>5</s:v>
      </s:c>
      <s:c r="U24" s="227">
        <s:v>6</s:v>
      </s:c>
      <s:c r="V24" s="227">
        <s:v>10</s:v>
      </s:c>
      <s:c r="W24" s="227">
        <s:v>11</s:v>
      </s:c>
    </s:row>
    <s:row r="25">
      <s:c r="A25" s="95">
        <s:v>1</s:v>
      </s:c>
      <s:c r="B25" s="96">
        <s:v>45811</s:v>
      </s:c>
      <s:c r="C25" s="97" t="s">
        <s:v>54</s:v>
      </s:c>
      <s:c r="D25" s="98">
        <s:f>25350+31472</s:f>
        <s:v>56822</s:v>
      </s:c>
      <s:c r="E25" s="99">
        <s:v>10</s:v>
      </s:c>
      <s:c r="F25" s="99">
        <s:f>IF(AND(E25&lt;&gt;"",E25&lt;&gt;0),D25/E25,"")</s:f>
        <s:v>5682.2</s:v>
      </s:c>
      <s:c r="G25" s="99">
        <s:v>5</s:v>
      </s:c>
      <s:c r="H25" s="99">
        <s:f>IF(AND(G25&lt;&gt;"",G25&lt;&gt;0),D25/G25,"")</s:f>
        <s:v>11364.4</s:v>
      </s:c>
      <s:c r="I25" s="99">
        <s:v>25</s:v>
      </s:c>
      <s:c r="J25" s="98">
        <s:f>IF(AND(G25&lt;&gt;"",G25&lt;&gt;0),E25/G25,"")</s:f>
        <s:v>2</s:v>
      </s:c>
      <s:c r="K25" s="99">
        <s:v>31472</s:v>
      </s:c>
      <s:c r="L25" s="99"/>
      <s:c r="M25" s="99"/>
      <s:c r="N25" s="100">
        <s:f>IF(AND(I25&lt;&gt;"",I25&lt;&gt;0),G25/I25,"")</s:f>
        <s:v>0.2</s:v>
      </s:c>
      <s:c r="O25" s="101">
        <s:f>D25/P25</s:f>
        <s:v>1.2175938172634226</s:v>
      </s:c>
      <s:c r="P25" s="102">
        <s:f>$I$8*V25*W25/SUMPRODUCT($W$25:$W$55,$V$25:$V$55)</s:f>
        <s:v>46667.451160116012</s:v>
      </s:c>
      <s:c r="Q25" s="103">
        <s:f>$I$9*V25*W25/SUMPRODUCT($W$25:$W$55,$V$25:$V$55)</s:f>
        <s:v>8.1019880486312505</s:v>
      </s:c>
      <s:c r="R25" s="103">
        <s:f>IF($I$12="","",Q25/$I$12)</s:f>
        <s:v>4.264204236121711</s:v>
      </s:c>
      <s:c r="S25" s="102">
        <s:f>IF(D25&lt;&gt;"",D25,P25)</s:f>
        <s:v>56822</s:v>
      </s:c>
      <s:c r="T25" s="103">
        <s:f>IF(E25&lt;&gt;"",E25,Q25)</s:f>
        <s:v>10</s:v>
      </s:c>
      <s:c r="U25" s="103">
        <s:f>IF(G25&lt;&gt;"",G25,R25)</s:f>
        <s:v>5</s:v>
      </s:c>
      <s:c r="V25" s="104">
        <s:v>0.90048519598893295</s:v>
      </s:c>
      <s:c r="W25" s="104">
        <s:v>0.90048519598893295</s:v>
      </s:c>
      <s:c r="X25" s="105"/>
      <s:c r="Y25" s="106"/>
    </s:row>
    <s:row r="26">
      <s:c r="A26" s="95">
        <s:v>2</s:v>
      </s:c>
      <s:c r="B26" s="96">
        <s:v>45812</s:v>
      </s:c>
      <s:c r="C26" s="97" t="s">
        <s:v>56</s:v>
      </s:c>
      <s:c r="D26" s="98">
        <s:f>23447+2043</s:f>
        <s:v>25490</s:v>
      </s:c>
      <s:c r="E26" s="99">
        <s:v>7</s:v>
      </s:c>
      <s:c r="F26" s="99">
        <s:f>IF(AND(E26&lt;&gt;"",E26&lt;&gt;0),D26/E26,"")</s:f>
        <s:v>3641.4285714285716</s:v>
      </s:c>
      <s:c r="G26" s="99">
        <s:v>6</s:v>
      </s:c>
      <s:c r="H26" s="99">
        <s:f>IF(AND(G26&lt;&gt;"",G26&lt;&gt;0),D26/G26,"")</s:f>
        <s:v>4248.333333333333</s:v>
      </s:c>
      <s:c r="I26" s="99">
        <s:v>17</s:v>
      </s:c>
      <s:c r="J26" s="98">
        <s:f>IF(AND(G26&lt;&gt;"",G26&lt;&gt;0),E26/G26,"")</s:f>
        <s:v>1.1666666666666667</s:v>
      </s:c>
      <s:c r="K26" s="99"/>
      <s:c r="L26" s="99">
        <s:v>2043</s:v>
      </s:c>
      <s:c r="M26" s="99"/>
      <s:c r="N26" s="100">
        <s:f>IF(AND(I26&lt;&gt;"",I26&lt;&gt;0),G26/I26,"")</s:f>
        <s:v>0.35294117647058826</s:v>
      </s:c>
      <s:c r="O26" s="101">
        <s:f>D26/P26</s:f>
        <s:v>0.39329838062349048</s:v>
      </s:c>
      <s:c r="P26" s="102">
        <s:f>$I$8*V26*W26/SUMPRODUCT($W$25:$W$55,$V$25:$V$55)</s:f>
        <s:v>64810.84402023485</s:v>
      </s:c>
      <s:c r="Q26" s="103">
        <s:f>$I$9*V26*W26/SUMPRODUCT($W$25:$W$55,$V$25:$V$55)</s:f>
        <s:v>11.251882642401885</s:v>
      </s:c>
      <s:c r="R26" s="103">
        <s:f>IF($I$12="","",Q26/$I$12)</s:f>
        <s:v>5.9220434960009927</s:v>
      </s:c>
      <s:c r="S26" s="102">
        <s:f>IF(W26&lt;&gt;"",IF(D26&lt;&gt;"",D26,($I$8-SUM($S$25:S25))*V26*W26/SUMPRODUCT($W26:$W$55,$V26:$V$55)),"")</s:f>
        <s:v>25490</s:v>
      </s:c>
      <s:c r="T26" s="103">
        <s:f>IF(W26&lt;&gt;"",IF(E26&lt;&gt;"",E26,($I$9-SUM($T$25:T25))*V26*W26/SUMPRODUCT($W26:$W$55,$V26:$V$55)),"")</s:f>
        <s:v>7</s:v>
      </s:c>
      <s:c r="U26" s="103">
        <s:f>IF(W26&lt;&gt;"",IF($I$12&lt;&gt;"",IF(G26&lt;&gt;"",G26,($I$9/$I$12-SUM($U$25:U25))*V26*W26/SUMPRODUCT($W26:$W$55,$V26:$V$55)),""),"")</s:f>
        <s:v>6</s:v>
      </s:c>
      <s:c r="V26" s="104">
        <s:v>1.0611905531725472</s:v>
      </s:c>
      <s:c r="W26" s="104">
        <s:v>1.0611905531725472</s:v>
      </s:c>
      <s:c r="X26" s="107"/>
      <s:c r="Y26" s="106"/>
    </s:row>
    <s:row r="27">
      <s:c r="A27" s="95">
        <s:v>3</s:v>
      </s:c>
      <s:c r="B27" s="96">
        <s:v>45814</s:v>
      </s:c>
      <s:c r="C27" s="97" t="s">
        <s:v>59</s:v>
      </s:c>
      <s:c r="D27" s="98">
        <s:f>18320+11992</s:f>
        <s:v>30312</s:v>
      </s:c>
      <s:c r="E27" s="99">
        <s:v>7</s:v>
      </s:c>
      <s:c r="F27" s="99">
        <s:f>IF(AND(E27&lt;&gt;"",E27&lt;&gt;0),D27/E27,"")</s:f>
        <s:v>4330.2857142857147</s:v>
      </s:c>
      <s:c r="G27" s="99">
        <s:v>5</s:v>
      </s:c>
      <s:c r="H27" s="99">
        <s:f>IF(AND(G27&lt;&gt;"",G27&lt;&gt;0),D27/G27,"")</s:f>
        <s:v>6062.4</s:v>
      </s:c>
      <s:c r="I27" s="99">
        <s:v>30</s:v>
      </s:c>
      <s:c r="J27" s="98">
        <s:f>IF(AND(G27&lt;&gt;"",G27&lt;&gt;0),E27/G27,"")</s:f>
        <s:v>1.4</s:v>
      </s:c>
      <s:c r="K27" s="99">
        <s:v>11992</s:v>
      </s:c>
      <s:c r="L27" s="99"/>
      <s:c r="M27" s="99"/>
      <s:c r="N27" s="100">
        <s:f>IF(AND(I27&lt;&gt;"",I27&lt;&gt;0),G27/I27,"")</s:f>
        <s:v>0.16666666666666666</s:v>
      </s:c>
      <s:c r="O27" s="101">
        <s:f>D27/P27</s:f>
        <s:v>0.3657557592538358</s:v>
      </s:c>
      <s:c r="P27" s="102">
        <s:f>$I$8*V27*W27/SUMPRODUCT($W$25:$W$55,$V$25:$V$55)</s:f>
        <s:v>82874.976628770906</s:v>
      </s:c>
      <s:c r="Q27" s="103">
        <s:f>$I$9*V27*W27/SUMPRODUCT($W$25:$W$55,$V$25:$V$55)</s:f>
        <s:v>14.388016775828284</s:v>
      </s:c>
      <s:c r="R27" s="103">
        <s:f>IF($I$12="","",Q27/$I$12)</s:f>
        <s:v>7.5726404083306758</s:v>
      </s:c>
      <s:c r="S27" s="102">
        <s:f>IF(W27&lt;&gt;"",IF(D27&lt;&gt;"",D27,($I$8-SUM($S$25:S26))*V27*W27/SUMPRODUCT($W27:$W$55,$V27:$V$55)),"")</s:f>
        <s:v>30312</s:v>
      </s:c>
      <s:c r="T27" s="103">
        <s:f>IF(W27&lt;&gt;"",IF(E27&lt;&gt;"",E27,($I$9-SUM($T$25:T26))*V27*W27/SUMPRODUCT($W27:$W$55,$V27:$V$55)),"")</s:f>
        <s:v>7</s:v>
      </s:c>
      <s:c r="U27" s="103">
        <s:f>IF(W27&lt;&gt;"",IF($I$12&lt;&gt;"",IF(G27&lt;&gt;"",G27,($I$9/$I$12-SUM($U$25:U26))*V27*W27/SUMPRODUCT($W27:$W$55,$V27:$V$55)),""),"")</s:f>
        <s:v>5</s:v>
      </s:c>
      <s:c r="V27" s="104">
        <s:v>1.2</s:v>
      </s:c>
      <s:c r="W27" s="104">
        <s:v>1.2</s:v>
      </s:c>
      <s:c r="X27" s="107"/>
      <s:c r="Y27" s="106"/>
      <s:c r="Z27" s="111"/>
      <s:c r="AA27" s="2"/>
      <s:c r="AB27" s="2"/>
      <s:c r="AC27" s="2"/>
      <s:c r="AD27" s="2"/>
      <s:c r="AE27" s="2"/>
      <s:c r="AF27" s="2"/>
      <s:c r="AG27" s="2"/>
    </s:row>
    <s:row r="28">
      <s:c r="A28" s="95">
        <s:v>4</s:v>
      </s:c>
      <s:c r="B28" s="96">
        <s:v>45815</s:v>
      </s:c>
      <s:c r="C28" s="97" t="s">
        <s:v>60</s:v>
      </s:c>
      <s:c r="D28" s="98">
        <s:f>37721+7003</s:f>
        <s:v>44724</s:v>
      </s:c>
      <s:c r="E28" s="99">
        <s:v>10</s:v>
      </s:c>
      <s:c r="F28" s="99">
        <s:f>IF(AND(E28&lt;&gt;"",E28&lt;&gt;0),D28/E28,"")</s:f>
        <s:v>4472.3999999999996</s:v>
      </s:c>
      <s:c r="G28" s="99">
        <s:v>6</s:v>
      </s:c>
      <s:c r="H28" s="99">
        <s:f>IF(AND(G28&lt;&gt;"",G28&lt;&gt;0),D28/G28,"")</s:f>
        <s:v>7454</s:v>
      </s:c>
      <s:c r="I28" s="99">
        <s:v>30</s:v>
      </s:c>
      <s:c r="J28" s="98">
        <s:f>IF(AND(G28&lt;&gt;"",G28&lt;&gt;0),E28/G28,"")</s:f>
        <s:v>1.6666666666666667</s:v>
      </s:c>
      <s:c r="K28" s="99"/>
      <s:c r="L28" s="99">
        <s:v>7003</s:v>
      </s:c>
      <s:c r="M28" s="99"/>
      <s:c r="N28" s="100">
        <s:f>IF(AND(I28&lt;&gt;"",I28&lt;&gt;0),G28/I28,"")</s:f>
        <s:v>0.2</s:v>
      </s:c>
      <s:c r="O28" s="101">
        <s:f>D28/P28</s:f>
        <s:v>0.77710501552819711</s:v>
      </s:c>
      <s:c r="P28" s="102">
        <s:f>$I$8*V28*W28/SUMPRODUCT($W$25:$W$60,$V$25:$V$60)</s:f>
        <s:v>57552.067103313137</s:v>
      </s:c>
      <s:c r="Q28" s="103">
        <s:f>$I$9*V28*W28/SUMPRODUCT($W$25:$W$60,$V$25:$V$60)</s:f>
        <s:v>9.9916783165474197</s:v>
      </s:c>
      <s:c r="R28" s="103">
        <s:f>IF($I$12="","",Q28/$I$12)</s:f>
        <s:v>5.2587780613407471</s:v>
      </s:c>
      <s:c r="S28" s="102">
        <s:f>IF(W28&lt;&gt;"",IF(D28&lt;&gt;"",D28,($I$8-SUM($S$25:S27))*V28*W28/SUMPRODUCT($W28:$W$60,$V28:$V$60)),"")</s:f>
        <s:v>44724</s:v>
      </s:c>
      <s:c r="T28" s="103">
        <s:f>IF(W28&lt;&gt;"",IF(E28&lt;&gt;"",E28,($I$9-SUM($T$25:T27))*V28*W28/SUMPRODUCT($W28:$W$60,$V28:$V$60)),"")</s:f>
        <s:v>10</s:v>
      </s:c>
      <s:c r="U28" s="103">
        <s:f>IF(W28&lt;&gt;"",IF($I$12&lt;&gt;"",IF(G28&lt;&gt;"",G28,($I$9/$I$12-SUM($U$25:U27))*V28*W28/SUMPRODUCT($W28:$W$60,$V28:$V$60)),""),"")</s:f>
        <s:v>6</s:v>
      </s:c>
      <s:c r="V28" s="104">
        <s:v>1</s:v>
      </s:c>
      <s:c r="W28" s="104">
        <s:v>1</s:v>
      </s:c>
      <s:c r="X28" s="106"/>
      <s:c r="Y28" s="106"/>
      <s:c r="Z28" s="2"/>
      <s:c r="AA28" s="2"/>
      <s:c r="AB28" s="2"/>
      <s:c r="AC28" s="2"/>
      <s:c r="AD28" s="2"/>
      <s:c r="AE28" s="2"/>
      <s:c r="AF28" s="2"/>
      <s:c r="AG28" s="2"/>
    </s:row>
    <s:row r="29">
      <s:c r="A29" s="95">
        <s:v>5</s:v>
      </s:c>
      <s:c r="B29" s="96">
        <s:v>45818</s:v>
      </s:c>
      <s:c r="C29" s="97" t="s">
        <s:v>54</s:v>
      </s:c>
      <s:c r="D29" s="98">
        <s:v>37217</s:v>
      </s:c>
      <s:c r="E29" s="99">
        <s:v>10</s:v>
      </s:c>
      <s:c r="F29" s="99">
        <s:f>IF(AND(E29&lt;&gt;"",E29&lt;&gt;0),D29/E29,"")</s:f>
        <s:v>3721.7</s:v>
      </s:c>
      <s:c r="G29" s="99">
        <s:v>7</s:v>
      </s:c>
      <s:c r="H29" s="99">
        <s:f>IF(AND(G29&lt;&gt;"",G29&lt;&gt;0),D29/G29,"")</s:f>
        <s:v>5316.7142857142853</s:v>
      </s:c>
      <s:c r="I29" s="99">
        <s:v>17</s:v>
      </s:c>
      <s:c r="J29" s="98">
        <s:f>IF(AND(G29&lt;&gt;"",G29&lt;&gt;0),E29/G29,"")</s:f>
        <s:v>1.4285714285714286</s:v>
      </s:c>
      <s:c r="K29" s="99"/>
      <s:c r="L29" s="99"/>
      <s:c r="M29" s="99"/>
      <s:c r="N29" s="100">
        <s:f>IF(AND(I29&lt;&gt;"",I29&lt;&gt;0),G29/I29,"")</s:f>
        <s:v>0.41176470588235292</s:v>
      </s:c>
      <s:c r="O29" s="101">
        <s:f>D29/P29</s:f>
        <s:v>0.64666660770308815</s:v>
      </s:c>
      <s:c r="P29" s="102">
        <s:f>$I$8*V29*W29/SUMPRODUCT($W$25:$W$55,$V$25:$V$55)</s:f>
        <s:v>57552.067103313137</s:v>
      </s:c>
      <s:c r="Q29" s="103">
        <s:f>$I$9*V29*W29/SUMPRODUCT($W$25:$W$55,$V$25:$V$55)</s:f>
        <s:v>9.9916783165474197</s:v>
      </s:c>
      <s:c r="R29" s="103">
        <s:f>IF($I$12="","",Q29/$I$12)</s:f>
        <s:v>5.2587780613407471</s:v>
      </s:c>
      <s:c r="S29" s="102">
        <s:f>IF(W29&lt;&gt;"",IF(D29&lt;&gt;"",D29,($I$8-SUM($S$25:S28))*V29*W29/SUMPRODUCT($W29:$W$55,$V29:$V$55)),"")</s:f>
        <s:v>37217</s:v>
      </s:c>
      <s:c r="T29" s="103">
        <s:f>IF(W29&lt;&gt;"",IF(E29&lt;&gt;"",E29,($I$9-SUM($T$25:T28))*V29*W29/SUMPRODUCT($W29:$W$55,$V29:$V$55)),"")</s:f>
        <s:v>10</s:v>
      </s:c>
      <s:c r="U29" s="103">
        <s:f>IF(W29&lt;&gt;"",IF($I$12&lt;&gt;"",IF(G29&lt;&gt;"",G29,($I$9/$I$12-SUM($U$25:U28))*V29*W29/SUMPRODUCT($W29:$W$55,$V29:$V$55)),""),"")</s:f>
        <s:v>7</s:v>
      </s:c>
      <s:c r="V29" s="104">
        <s:v>1</s:v>
      </s:c>
      <s:c r="W29" s="104">
        <s:v>1</s:v>
      </s:c>
      <s:c r="X29" s="107"/>
      <s:c r="Y29" s="106"/>
      <s:c r="Z29" s="111"/>
      <s:c r="AA29" s="2"/>
      <s:c r="AB29" s="2"/>
      <s:c r="AC29" s="2"/>
      <s:c r="AD29" s="2"/>
      <s:c r="AE29" s="2"/>
      <s:c r="AF29" s="2"/>
      <s:c r="AG29" s="2"/>
    </s:row>
    <s:row r="30">
      <s:c r="A30" s="95">
        <s:v>6</s:v>
      </s:c>
      <s:c r="B30" s="96">
        <s:v>45819</s:v>
      </s:c>
      <s:c r="C30" s="97" t="s">
        <s:v>56</s:v>
      </s:c>
      <s:c r="D30" s="98">
        <s:v>2993</s:v>
      </s:c>
      <s:c r="E30" s="99">
        <s:v>1</s:v>
      </s:c>
      <s:c r="F30" s="108">
        <s:f>IF(AND(E30&lt;&gt;"",E30&lt;&gt;0),D30/E30,"")</s:f>
        <s:v>2993</s:v>
      </s:c>
      <s:c r="G30" s="99">
        <s:v>1</s:v>
      </s:c>
      <s:c r="H30" s="99">
        <s:f>IF(AND(G30&lt;&gt;"",G30&lt;&gt;0),D30/G30,"")</s:f>
        <s:v>2993</s:v>
      </s:c>
      <s:c r="I30" s="99">
        <s:v>11</s:v>
      </s:c>
      <s:c r="J30" s="98">
        <s:f>IF(AND(G30&lt;&gt;"",G30&lt;&gt;0),E30/G30,"")</s:f>
        <s:v>1</s:v>
      </s:c>
      <s:c r="K30" s="99"/>
      <s:c r="L30" s="99"/>
      <s:c r="M30" s="99"/>
      <s:c r="N30" s="100">
        <s:f>IF(AND(I30&lt;&gt;"",I30&lt;&gt;0),G30/I30,"")</s:f>
        <s:v>9.0909090909090912E-2</s:v>
      </s:c>
      <s:c r="O30" s="101">
        <s:f>D30/P30</s:f>
        <s:v>5.2005082539037073E-2</s:v>
      </s:c>
      <s:c r="P30" s="102">
        <s:f>$I$8*V30*W30/SUMPRODUCT($W$25:$W$55,$V$25:$V$55)</s:f>
        <s:v>57552.067103313137</s:v>
      </s:c>
      <s:c r="Q30" s="103">
        <s:f>$I$9*V30*W30/SUMPRODUCT($W$25:$W$55,$V$25:$V$55)</s:f>
        <s:v>9.9916783165474197</s:v>
      </s:c>
      <s:c r="R30" s="103">
        <s:f>IF($I$12="","",Q30/$I$12)</s:f>
        <s:v>5.2587780613407471</s:v>
      </s:c>
      <s:c r="S30" s="102">
        <s:f>IF(W30&lt;&gt;"",IF(D30&lt;&gt;"",D30,($I$8-SUM($S$25:S29))*V30*W30/SUMPRODUCT($W30:$W$55,$V30:$V$55)),"")</s:f>
        <s:v>2993</s:v>
      </s:c>
      <s:c r="T30" s="103">
        <s:f>IF(W30&lt;&gt;"",IF(E30&lt;&gt;"",E30,($I$9-SUM($T$25:T29))*V30*W30/SUMPRODUCT($W30:$W$55,$V30:$V$55)),"")</s:f>
        <s:v>1</s:v>
      </s:c>
      <s:c r="U30" s="103">
        <s:f>IF(W30&lt;&gt;"",IF($I$12&lt;&gt;"",IF(G30&lt;&gt;"",G30,($I$9/$I$12-SUM($U$25:U29))*V30*W30/SUMPRODUCT($W30:$W$55,$V30:$V$55)),""),"")</s:f>
        <s:v>1</s:v>
      </s:c>
      <s:c r="V30" s="104">
        <s:v>1</s:v>
      </s:c>
      <s:c r="W30" s="104">
        <s:v>1</s:v>
      </s:c>
      <s:c r="X30" s="107"/>
      <s:c r="Y30" s="106"/>
      <s:c r="Z30" s="111"/>
      <s:c r="AA30" s="2"/>
      <s:c r="AB30" s="2"/>
      <s:c r="AC30" s="2"/>
      <s:c r="AD30" s="2"/>
      <s:c r="AE30" s="2"/>
      <s:c r="AF30" s="2"/>
      <s:c r="AG30" s="2"/>
    </s:row>
    <s:row r="31">
      <s:c r="A31" s="95">
        <s:v>7</s:v>
      </s:c>
      <s:c r="B31" s="96">
        <s:v>45821</s:v>
      </s:c>
      <s:c r="C31" s="97" t="s">
        <s:v>59</s:v>
      </s:c>
      <s:c r="D31" s="98">
        <s:f>61275+8123</s:f>
        <s:v>69398</s:v>
      </s:c>
      <s:c r="E31" s="99">
        <s:v>16</s:v>
      </s:c>
      <s:c r="F31" s="99">
        <s:f>IF(AND(E31&lt;&gt;"",E31&lt;&gt;0),D31/E31,"")</s:f>
        <s:v>4337.375</s:v>
      </s:c>
      <s:c r="G31" s="99">
        <s:v>7</s:v>
      </s:c>
      <s:c r="H31" s="99">
        <s:f>IF(AND(G31&lt;&gt;"",G31&lt;&gt;0),D31/G31,"")</s:f>
        <s:v>9914</s:v>
      </s:c>
      <s:c r="I31" s="99">
        <s:v>50</s:v>
      </s:c>
      <s:c r="J31" s="98">
        <s:f>IF(AND(G31&lt;&gt;"",G31&lt;&gt;0),E31/G31,"")</s:f>
        <s:v>2.2857142857142856</s:v>
      </s:c>
      <s:c r="K31" s="99"/>
      <s:c r="L31" s="99">
        <s:v>8123</s:v>
      </s:c>
      <s:c r="M31" s="99"/>
      <s:c r="N31" s="100">
        <s:f>IF(AND(I31&lt;&gt;"",I31&lt;&gt;0),G31/I31,"")</s:f>
        <s:v>0.14000000000000001</s:v>
      </s:c>
      <s:c r="O31" s="101">
        <s:f>D31/P31</s:f>
        <s:v>1.2058298423134297</s:v>
      </s:c>
      <s:c r="P31" s="102">
        <s:f>$I$8*V31*W31/SUMPRODUCT($W$25:$W$55,$V$25:$V$55)</s:f>
        <s:v>57552.067103313137</s:v>
      </s:c>
      <s:c r="Q31" s="103">
        <s:f>$I$9*V31*W31/SUMPRODUCT($W$25:$W$55,$V$25:$V$55)</s:f>
        <s:v>9.9916783165474197</s:v>
      </s:c>
      <s:c r="R31" s="103">
        <s:f>IF($I$12="","",Q31/$I$12)</s:f>
        <s:v>5.2587780613407471</s:v>
      </s:c>
      <s:c r="S31" s="102">
        <s:f>IF(W31&lt;&gt;"",IF(D31&lt;&gt;"",D31,($I$8-SUM($S$25:S30))*V31*W31/SUMPRODUCT($W31:$W$55,$V31:$V$55)),"")</s:f>
        <s:v>69398</s:v>
      </s:c>
      <s:c r="T31" s="103">
        <s:f>IF(W31&lt;&gt;"",IF(E31&lt;&gt;"",E31,($I$9-SUM($T$25:T30))*V31*W31/SUMPRODUCT($W31:$W$55,$V31:$V$55)),"")</s:f>
        <s:v>16</s:v>
      </s:c>
      <s:c r="U31" s="103">
        <s:f>IF(W31&lt;&gt;"",IF($I$12&lt;&gt;"",IF(G31&lt;&gt;"",G31,($I$9/$I$12-SUM($U$25:U30))*V31*W31/SUMPRODUCT($W31:$W$55,$V31:$V$55)),""),"")</s:f>
        <s:v>7</s:v>
      </s:c>
      <s:c r="V31" s="104">
        <s:v>1</s:v>
      </s:c>
      <s:c r="W31" s="104">
        <s:v>1</s:v>
      </s:c>
      <s:c r="X31" s="107"/>
      <s:c r="Y31" s="106"/>
      <s:c r="Z31" s="111"/>
      <s:c r="AA31" s="2"/>
      <s:c r="AB31" s="2"/>
      <s:c r="AC31" s="2"/>
      <s:c r="AD31" s="2"/>
      <s:c r="AE31" s="2"/>
      <s:c r="AF31" s="2"/>
      <s:c r="AG31" s="2"/>
    </s:row>
    <s:row r="32">
      <s:c r="A32" s="95">
        <s:v>8</s:v>
      </s:c>
      <s:c r="B32" s="96">
        <s:v>45822</s:v>
      </s:c>
      <s:c r="C32" s="231" t="s">
        <s:v>60</s:v>
      </s:c>
      <s:c r="D32" s="98">
        <s:f>45393+7503</s:f>
        <s:v>52896</s:v>
      </s:c>
      <s:c r="E32" s="97">
        <s:v>12</s:v>
      </s:c>
      <s:c r="F32" s="99">
        <s:v>4408</s:v>
      </s:c>
      <s:c r="G32" s="99">
        <s:v>7</s:v>
      </s:c>
      <s:c r="H32" s="99">
        <s:f>IF(AND(G32&lt;&gt;"",G32&lt;&gt;0),D32/G32,"")</s:f>
        <s:v>7556.5714285714284</s:v>
      </s:c>
      <s:c r="I32" s="99">
        <s:v>30</s:v>
      </s:c>
      <s:c r="J32" s="98">
        <s:f>IF(AND(G32&lt;&gt;"",G32&lt;&gt;0),E32/G32,"")</s:f>
        <s:v>1.7142857142857142</s:v>
      </s:c>
      <s:c r="K32" s="99"/>
      <s:c r="L32" s="99">
        <s:v>7503</s:v>
      </s:c>
      <s:c r="M32" s="99"/>
      <s:c r="N32" s="100">
        <s:f>IF(AND(I32&lt;&gt;"",I32&lt;&gt;0),G32/I32,"")</s:f>
        <s:v>0.23333333333333334</s:v>
      </s:c>
      <s:c r="O32" s="101">
        <s:f>D32/P32</s:f>
        <s:v>0.91909817774303548</s:v>
      </s:c>
      <s:c r="P32" s="102">
        <s:f>$I$8*V32*W32/SUMPRODUCT($W$25:$W$55,$V$25:$V$55)</s:f>
        <s:v>57552.067103313137</s:v>
      </s:c>
      <s:c r="Q32" s="103">
        <s:f>$I$9*V32*W32/SUMPRODUCT($W$25:$W$55,$V$25:$V$55)</s:f>
        <s:v>9.9916783165474197</s:v>
      </s:c>
      <s:c r="R32" s="103">
        <s:f>IF($I$12="","",Q32/$I$12)</s:f>
        <s:v>5.2587780613407471</s:v>
      </s:c>
      <s:c r="S32" s="102">
        <s:f>IF(W32&lt;&gt;"",IF(D32&lt;&gt;"",D32,($I$8-SUM($S$25:S31))*V32*W32/SUMPRODUCT($W32:$W$55,$V32:$V$55)),"")</s:f>
        <s:v>52896</s:v>
      </s:c>
      <s:c r="T32" s="103">
        <s:f>IF(W32&lt;&gt;"",IF(E31&lt;&gt;"",E31,($I$9-SUM($T$25:T31))*V32*W32/SUMPRODUCT($W32:$W$55,$V32:$V$55)),"")</s:f>
        <s:v>16</s:v>
      </s:c>
      <s:c r="U32" s="103">
        <s:f>IF(W32&lt;&gt;"",IF($I$12&lt;&gt;"",IF(G32&lt;&gt;"",G32,($I$9/$I$12-SUM($U$25:U31))*V32*W32/SUMPRODUCT($W32:$W$55,$V32:$V$55)),""),"")</s:f>
        <s:v>7</s:v>
      </s:c>
      <s:c r="V32" s="104">
        <s:v>1</s:v>
      </s:c>
      <s:c r="W32" s="104">
        <s:v>1</s:v>
      </s:c>
      <s:c r="X32" s="106"/>
      <s:c r="Y32" s="106"/>
      <s:c r="Z32" s="2"/>
      <s:c r="AA32" s="2"/>
      <s:c r="AB32" s="2"/>
      <s:c r="AC32" s="2"/>
      <s:c r="AD32" s="2"/>
      <s:c r="AE32" s="2"/>
      <s:c r="AF32" s="2"/>
      <s:c r="AG32" s="2"/>
    </s:row>
    <s:row r="33">
      <s:c r="A33" s="95">
        <s:v>9</s:v>
      </s:c>
      <s:c r="B33" s="96">
        <s:v>45824</s:v>
      </s:c>
      <s:c r="C33" s="231" t="s">
        <s:v>51</s:v>
      </s:c>
      <s:c r="D33" s="98">
        <s:v>4893</s:v>
      </s:c>
      <s:c r="E33" s="99">
        <s:v>1</s:v>
      </s:c>
      <s:c r="F33" s="99">
        <s:f>IF(AND(E33&lt;&gt;"",E33&lt;&gt;0),D33/E33,"")</s:f>
        <s:v>4893</s:v>
      </s:c>
      <s:c r="G33" s="99">
        <s:v>1</s:v>
      </s:c>
      <s:c r="H33" s="99">
        <s:f>IF(AND(G33&lt;&gt;"",G33&lt;&gt;0),D33/G33,"")</s:f>
        <s:v>4893</s:v>
      </s:c>
      <s:c r="I33" s="99">
        <s:v>16</s:v>
      </s:c>
      <s:c r="J33" s="232">
        <s:f>IF(AND(G33&lt;&gt;"",G33&lt;&gt;0),E33/G33,"")</s:f>
        <s:v>1</s:v>
      </s:c>
      <s:c r="K33" s="99"/>
      <s:c r="L33" s="99"/>
      <s:c r="M33" s="99"/>
      <s:c r="N33" s="100">
        <s:f>IF(AND(I33&lt;&gt;"",I33&lt;&gt;0),G33/I33,"")</s:f>
        <s:v>6.25E-2</s:v>
      </s:c>
      <s:c r="O33" s="101">
        <s:f>D33/P33</s:f>
        <s:v>8.5018666509692087E-2</s:v>
      </s:c>
      <s:c r="P33" s="102">
        <s:f>$I$8*V33*W33/SUMPRODUCT($W$25:$W$55,$V$25:$V$55)</s:f>
        <s:v>57552.067103313137</s:v>
      </s:c>
      <s:c r="Q33" s="103">
        <s:f>$I$9*V33*W33/SUMPRODUCT($W$25:$W$55,$V$25:$V$55)</s:f>
        <s:v>9.9916783165474197</s:v>
      </s:c>
      <s:c r="R33" s="103">
        <s:f>IF($I$12="","",Q33/$I$12)</s:f>
        <s:v>5.2587780613407471</s:v>
      </s:c>
      <s:c r="S33" s="102">
        <s:f>IF(W33&lt;&gt;"",IF(D33&lt;&gt;"",D33,($I$8-SUM($S$25:S32))*V33*W33/SUMPRODUCT($W33:$W$55,$V33:$V$55)),"")</s:f>
        <s:v>4893</s:v>
      </s:c>
      <s:c r="T33" s="103">
        <s:f>IF(W33&lt;&gt;"",IF(E33&lt;&gt;"",E33,($I$9-SUM($T$25:T32))*V33*W33/SUMPRODUCT($W33:$W$55,$V33:$V$55)),"")</s:f>
        <s:v>1</s:v>
      </s:c>
      <s:c r="U33" s="103">
        <s:f>IF(W33&lt;&gt;"",IF($I$12&lt;&gt;"",IF(G33&lt;&gt;"",G33,($I$9/$I$12-SUM($U$25:U32))*V33*W33/SUMPRODUCT($W33:$W$55,$V33:$V$55)),""),"")</s:f>
        <s:v>1</s:v>
      </s:c>
      <s:c r="V33" s="233">
        <s:v>1</s:v>
      </s:c>
      <s:c r="W33" s="233">
        <s:v>1</s:v>
      </s:c>
      <s:c r="X33" s="106"/>
      <s:c r="Y33" s="106"/>
      <s:c r="Z33" s="2"/>
      <s:c r="AA33" s="2"/>
      <s:c r="AB33" s="2"/>
      <s:c r="AC33" s="2"/>
      <s:c r="AD33" s="2"/>
      <s:c r="AE33" s="2"/>
      <s:c r="AF33" s="2"/>
      <s:c r="AG33" s="2"/>
    </s:row>
    <s:row r="34" spans="1:33" s="234" customFormat="1">
      <s:c r="A34" s="235">
        <s:v>10</s:v>
      </s:c>
      <s:c r="B34" s="236">
        <s:v>45825</s:v>
      </s:c>
      <s:c r="C34" s="237" t="s">
        <s:v>54</s:v>
      </s:c>
      <s:c r="D34" s="232">
        <s:v>21152</s:v>
      </s:c>
      <s:c r="E34" s="238">
        <s:v>5</s:v>
      </s:c>
      <s:c r="F34" s="99">
        <s:f>IF(AND(E34&lt;&gt;"",E34&lt;&gt;0),D34/E34,"")</s:f>
        <s:v>4230.3999999999996</s:v>
      </s:c>
      <s:c r="G34" s="238">
        <s:v>4</s:v>
      </s:c>
      <s:c r="H34" s="99">
        <s:f>IF(AND(G34&lt;&gt;"",G34&lt;&gt;0),D34/G34,"")</s:f>
        <s:v>5288</s:v>
      </s:c>
      <s:c r="I34" s="238">
        <s:v>20</s:v>
      </s:c>
      <s:c r="J34" s="232">
        <s:f>IF(AND(G34&lt;&gt;"",G34&lt;&gt;0),E34/G34,"")</s:f>
        <s:v>1.25</s:v>
      </s:c>
      <s:c r="K34" s="238"/>
      <s:c r="L34" s="238"/>
      <s:c r="M34" s="238"/>
      <s:c r="N34" s="239">
        <s:f>IF(AND(I34&lt;&gt;"",I34&lt;&gt;0),G34/I34,"")</s:f>
        <s:v>0.2</s:v>
      </s:c>
      <s:c r="O34" s="240">
        <s:f>D34/P34</s:f>
        <s:v>0.36752806744594463</s:v>
      </s:c>
      <s:c r="P34" s="241">
        <s:f>$I$8*V34*W34/SUMPRODUCT($W$25:$W$60,$V$25:$V$60)</s:f>
        <s:v>57552.067103313137</s:v>
      </s:c>
      <s:c r="Q34" s="242">
        <s:f>$I$9*V34*W34/SUMPRODUCT($W$25:$W$60,$V$25:$V$60)</s:f>
        <s:v>9.9916783165474197</s:v>
      </s:c>
      <s:c r="R34" s="242">
        <s:f>IF($I$12="","",Q34/$I$12)</s:f>
        <s:v>5.2587780613407471</s:v>
      </s:c>
      <s:c r="S34" s="241">
        <s:f>IF(W34&lt;&gt;"",IF(D34&lt;&gt;"",D34,($I$8-SUM($S$25:S33))*V34*W34/SUMPRODUCT($W34:$W$60,$V34:$V$60)),"")</s:f>
        <s:v>21152</s:v>
      </s:c>
      <s:c r="T34" s="242">
        <s:f>IF(W34&lt;&gt;"",IF(E34&lt;&gt;"",E34,($I$9-SUM($T$25:T33))*V34*W34/SUMPRODUCT($W34:$W$60,$V34:$V$60)),"")</s:f>
        <s:v>5</s:v>
      </s:c>
      <s:c r="U34" s="242">
        <s:f>IF(W34&lt;&gt;"",IF($I$12&lt;&gt;"",IF(G34&lt;&gt;"",G34,($I$9/$I$12-SUM($U$25:U33))*V34*W34/SUMPRODUCT($W34:$W$60,$V34:$V$60)),""),"")</s:f>
        <s:v>4</s:v>
      </s:c>
      <s:c r="V34" s="233">
        <s:v>1</s:v>
      </s:c>
      <s:c r="W34" s="233">
        <s:v>1</s:v>
      </s:c>
      <s:c r="X34" s="243"/>
      <s:c r="Y34" s="243"/>
      <s:c r="Z34" s="244"/>
      <s:c r="AA34" s="244"/>
      <s:c r="AB34" s="244"/>
      <s:c r="AC34" s="244"/>
      <s:c r="AD34" s="244"/>
      <s:c r="AE34" s="244"/>
      <s:c r="AF34" s="244"/>
      <s:c r="AG34" s="244"/>
    </s:row>
    <s:row r="35">
      <s:c r="A35" s="95">
        <s:v>11</s:v>
      </s:c>
      <s:c r="B35" s="96">
        <s:v>45827</s:v>
      </s:c>
      <s:c r="C35" s="231" t="s">
        <s:v>58</s:v>
      </s:c>
      <s:c r="D35" s="98">
        <s:v>0</s:v>
      </s:c>
      <s:c r="E35" s="99">
        <s:v>0</s:v>
      </s:c>
      <s:c r="F35" s="99" t="str">
        <s:f>IF(AND(E35&lt;&gt;"",E35&lt;&gt;0),D35/E35,"")</s:f>
        <s:v/>
      </s:c>
      <s:c r="G35" s="99"/>
      <s:c r="H35" s="99" t="str">
        <s:f>IF(AND(G35&lt;&gt;"",G35&lt;&gt;0),D35/G35,"")</s:f>
        <s:v/>
      </s:c>
      <s:c r="I35" s="99">
        <s:v>15</s:v>
      </s:c>
      <s:c r="J35" s="232" t="str">
        <s:f>IF(AND(G35&lt;&gt;"",G35&lt;&gt;0),E35/G35,"")</s:f>
        <s:v/>
      </s:c>
      <s:c r="K35" s="99"/>
      <s:c r="L35" s="99"/>
      <s:c r="M35" s="99"/>
      <s:c r="N35" s="100">
        <s:f>IF(AND(I35&lt;&gt;"",I35&lt;&gt;0),G35/I35,"")</s:f>
        <s:v>0</s:v>
      </s:c>
      <s:c r="O35" s="101">
        <s:f>D35/P35</s:f>
        <s:v>0</s:v>
      </s:c>
      <s:c r="P35" s="102">
        <s:f>$I$8*V35*W35/SUMPRODUCT($W$25:$W$55,$V$25:$V$55)</s:f>
        <s:v>57552.067103313137</s:v>
      </s:c>
      <s:c r="Q35" s="103">
        <s:f>$I$9*V35*W35/SUMPRODUCT($W$25:$W$55,$V$25:$V$55)</s:f>
        <s:v>9.9916783165474197</s:v>
      </s:c>
      <s:c r="R35" s="103">
        <s:f>IF($I$12="","",Q35/$I$12)</s:f>
        <s:v>5.2587780613407471</s:v>
      </s:c>
      <s:c r="S35" s="102">
        <s:f>IF(W35&lt;&gt;"",IF(D35&lt;&gt;"",D35,($I$8-SUM($S$25:S34))*V35*W35/SUMPRODUCT($W35:$W$55,$V35:$V$55)),"")</s:f>
        <s:v>0</s:v>
      </s:c>
      <s:c r="T35" s="103">
        <s:f>IF(W35&lt;&gt;"",IF(E35&lt;&gt;"",E35,($I$9-SUM($T$25:T34))*V35*W35/SUMPRODUCT($W35:$W$55,$V35:$V$55)),"")</s:f>
        <s:v>0</s:v>
      </s:c>
      <s:c r="U35" s="103">
        <s:f>IF(W35&lt;&gt;"",IF($I$12&lt;&gt;"",IF(G35&lt;&gt;"",G35,($I$9/$I$12-SUM($U$25:U34))*V35*W35/SUMPRODUCT($W35:$W$55,$V35:$V$55)),""),"")</s:f>
        <s:v>5.8158115183246082</s:v>
      </s:c>
      <s:c r="V35" s="233">
        <s:v>1</s:v>
      </s:c>
      <s:c r="W35" s="233">
        <s:v>1</s:v>
      </s:c>
      <s:c r="X35" s="106"/>
      <s:c r="Y35" s="106"/>
      <s:c r="Z35" s="2"/>
      <s:c r="AA35" s="2"/>
      <s:c r="AB35" s="2"/>
      <s:c r="AC35" s="2"/>
      <s:c r="AD35" s="2"/>
      <s:c r="AE35" s="2"/>
      <s:c r="AF35" s="2"/>
      <s:c r="AG35" s="2"/>
    </s:row>
    <s:row r="36">
      <s:c r="A36" s="95">
        <s:v>12</s:v>
      </s:c>
      <s:c r="B36" s="96">
        <s:v>45828</s:v>
      </s:c>
      <s:c r="C36" s="97" t="s">
        <s:v>59</s:v>
      </s:c>
      <s:c r="D36" s="98">
        <s:f>8123+6684</s:f>
        <s:v>14807</s:v>
      </s:c>
      <s:c r="E36" s="99">
        <s:v>3</s:v>
      </s:c>
      <s:c r="F36" s="99">
        <s:f>IF(AND(E36&lt;&gt;"",E36&lt;&gt;0),D36/E36,"")</s:f>
        <s:v>4935.666666666667</s:v>
      </s:c>
      <s:c r="G36" s="99">
        <s:v>2</s:v>
      </s:c>
      <s:c r="H36" s="99">
        <s:f>IF(AND(G36&lt;&gt;"",G36&lt;&gt;0),D36/G36,"")</s:f>
        <s:v>7403.5</s:v>
      </s:c>
      <s:c r="I36" s="99">
        <s:v>20</s:v>
      </s:c>
      <s:c r="J36" s="232">
        <s:f>IF(AND(G36&lt;&gt;"",G36&lt;&gt;0),E36/G36,"")</s:f>
        <s:v>1.5</s:v>
      </s:c>
      <s:c r="K36" s="99"/>
      <s:c r="L36" s="99">
        <s:v>8123</s:v>
      </s:c>
      <s:c r="M36" s="99"/>
      <s:c r="N36" s="100">
        <s:f>IF(AND(I36&lt;&gt;"",I36&lt;&gt;0),G36/I36,"")</s:f>
        <s:v>0.1</s:v>
      </s:c>
      <s:c r="O36" s="101">
        <s:f>D36/P36</s:f>
        <s:v>0.25728007255446772</s:v>
      </s:c>
      <s:c r="P36" s="102">
        <s:f>$I$8*V36*W36/SUMPRODUCT($W$25:$W$55,$V$25:$V$55)</s:f>
        <s:v>57552.067103313137</s:v>
      </s:c>
      <s:c r="Q36" s="103">
        <s:f>$I$9*V36*W36/SUMPRODUCT($W$25:$W$55,$V$25:$V$55)</s:f>
        <s:v>9.9916783165474197</s:v>
      </s:c>
      <s:c r="R36" s="103">
        <s:f>IF($I$12="","",Q36/$I$12)</s:f>
        <s:v>5.2587780613407471</s:v>
      </s:c>
      <s:c r="S36" s="102">
        <s:f>IF(W36&lt;&gt;"",IF(D36&lt;&gt;"",D36,($I$8-SUM($S$25:S35))*V36*W36/SUMPRODUCT($W36:$W$55,$V36:$V$55)),"")</s:f>
        <s:v>14807</s:v>
      </s:c>
      <s:c r="T36" s="103">
        <s:f>IF(W36&lt;&gt;"",IF(E36&lt;&gt;"",E36,($I$9-SUM($T$25:T35))*V36*W36/SUMPRODUCT($W36:$W$55,$V36:$V$55)),"")</s:f>
        <s:v>3</s:v>
      </s:c>
      <s:c r="U36" s="103">
        <s:f>IF(W36&lt;&gt;"",IF($I$12&lt;&gt;"",IF(G36&lt;&gt;"",G36,($I$9/$I$12-SUM($U$25:U35))*V36*W36/SUMPRODUCT($W36:$W$55,$V36:$V$55)),""),"")</s:f>
        <s:v>2</s:v>
      </s:c>
      <s:c r="V36" s="233">
        <s:v>1</s:v>
      </s:c>
      <s:c r="W36" s="233">
        <s:v>1</s:v>
      </s:c>
      <s:c r="X36" s="106"/>
      <s:c r="Y36" s="106"/>
      <s:c r="Z36" s="2"/>
      <s:c r="AA36" s="2"/>
      <s:c r="AB36" s="2"/>
      <s:c r="AC36" s="2"/>
      <s:c r="AD36" s="2"/>
      <s:c r="AE36" s="2"/>
      <s:c r="AF36" s="2"/>
      <s:c r="AG36" s="2"/>
    </s:row>
    <s:row r="37">
      <s:c r="A37" s="95">
        <s:v>13</s:v>
      </s:c>
      <s:c r="B37" s="96">
        <s:v>45831</s:v>
      </s:c>
      <s:c r="C37" s="231" t="s">
        <s:v>51</s:v>
      </s:c>
      <s:c r="D37" s="98">
        <s:f>24992+15768</s:f>
        <s:v>40760</s:v>
      </s:c>
      <s:c r="E37" s="99">
        <s:v>5</s:v>
      </s:c>
      <s:c r="F37" s="99">
        <s:f>IF(AND(E37&lt;&gt;"",E37&lt;&gt;0),D37/E37,"")</s:f>
        <s:v>8152</s:v>
      </s:c>
      <s:c r="G37" s="99">
        <s:v>2</s:v>
      </s:c>
      <s:c r="H37" s="99">
        <s:f>IF(AND(G37&lt;&gt;"",G37&lt;&gt;0),D37/G37,"")</s:f>
        <s:v>20380</s:v>
      </s:c>
      <s:c r="I37" s="99">
        <s:v>20</s:v>
      </s:c>
      <s:c r="J37" s="232">
        <s:f>IF(AND(G37&lt;&gt;"",G37&lt;&gt;0),E37/G37,"")</s:f>
        <s:v>2.5</s:v>
      </s:c>
      <s:c r="K37" s="99">
        <s:v>24992</s:v>
      </s:c>
      <s:c r="L37" s="99"/>
      <s:c r="M37" s="99"/>
      <s:c r="N37" s="100">
        <s:f>IF(AND(I37&lt;&gt;"",I37&lt;&gt;0),G37/I37,"")</s:f>
        <s:v>0.1</s:v>
      </s:c>
      <s:c r="O37" s="101">
        <s:f>D37/P37</s:f>
        <s:v>0.7082282540231043</s:v>
      </s:c>
      <s:c r="P37" s="102">
        <s:f>$I$8*V37*W37/SUMPRODUCT($W$25:$W$55,$V$25:$V$55)</s:f>
        <s:v>57552.067103313137</s:v>
      </s:c>
      <s:c r="Q37" s="103">
        <s:f>$I$9*V37*W37/SUMPRODUCT($W$25:$W$55,$V$25:$V$55)</s:f>
        <s:v>9.9916783165474197</s:v>
      </s:c>
      <s:c r="R37" s="103">
        <s:f>IF($I$12="","",Q37/$I$12)</s:f>
        <s:v>5.2587780613407471</s:v>
      </s:c>
      <s:c r="S37" s="102">
        <s:f>IF(W37&lt;&gt;"",IF(D37&lt;&gt;"",D37,($I$8-SUM($S$25:S36))*V37*W37/SUMPRODUCT($W37:$W$55,$V37:$V$55)),"")</s:f>
        <s:v>40760</s:v>
      </s:c>
      <s:c r="T37" s="103">
        <s:f>IF(W37&lt;&gt;"",IF(E37&lt;&gt;"",E37,($I$9-SUM($T$25:T36))*V37*W37/SUMPRODUCT($W37:$W$55,$V37:$V$55)),"")</s:f>
        <s:v>5</s:v>
      </s:c>
      <s:c r="U37" s="103">
        <s:f>IF(W37&lt;&gt;"",IF($I$12&lt;&gt;"",IF(G37&lt;&gt;"",G37,($I$9/$I$12-SUM($U$25:U36))*V37*W37/SUMPRODUCT($W37:$W$55,$V37:$V$55)),""),"")</s:f>
        <s:v>2</s:v>
      </s:c>
      <s:c r="V37" s="233">
        <s:v>1</s:v>
      </s:c>
      <s:c r="W37" s="233">
        <s:v>1</s:v>
      </s:c>
      <s:c r="X37" s="106"/>
      <s:c r="Y37" s="106"/>
      <s:c r="Z37" s="111"/>
      <s:c r="AA37" s="2"/>
      <s:c r="AB37" s="2"/>
      <s:c r="AC37" s="2"/>
      <s:c r="AD37" s="2"/>
      <s:c r="AE37" s="2"/>
      <s:c r="AF37" s="2"/>
      <s:c r="AG37" s="2"/>
    </s:row>
    <s:row r="38">
      <s:c r="A38" s="95">
        <s:v>14</s:v>
      </s:c>
      <s:c r="B38" s="96">
        <s:v>45832</s:v>
      </s:c>
      <s:c r="C38" s="120" t="s">
        <s:v>54</s:v>
      </s:c>
      <s:c r="D38" s="98">
        <s:f>50977+24059</s:f>
        <s:v>75036</s:v>
      </s:c>
      <s:c r="E38" s="99">
        <s:v>8</s:v>
      </s:c>
      <s:c r="F38" s="99">
        <s:f>IF(AND(E38&lt;&gt;"",E38&lt;&gt;0),D38/E38,"")</s:f>
        <s:v>9379.5</s:v>
      </s:c>
      <s:c r="G38" s="99">
        <s:v>4</s:v>
      </s:c>
      <s:c r="H38" s="99">
        <s:f>IF(AND(G38&lt;&gt;"",G38&lt;&gt;0),D38/G38,"")</s:f>
        <s:v>18759</s:v>
      </s:c>
      <s:c r="I38" s="99">
        <s:v>20</s:v>
      </s:c>
      <s:c r="J38" s="232">
        <s:f>IF(AND(G38&lt;&gt;"",G38&lt;&gt;0),E38/G38,"")</s:f>
        <s:v>2</s:v>
      </s:c>
      <s:c r="K38" s="99">
        <s:v>50977</s:v>
      </s:c>
      <s:c r="L38" s="99"/>
      <s:c r="M38" s="99"/>
      <s:c r="N38" s="100">
        <s:f>IF(AND(I38&lt;&gt;"",I38&lt;&gt;0),G38/I38,"")</s:f>
        <s:v>0.2</s:v>
      </s:c>
      <s:c r="O38" s="101">
        <s:f>D38/P38</s:f>
        <s:v>1.3037933088537206</s:v>
      </s:c>
      <s:c r="P38" s="102">
        <s:f>$I$8*V38*W38/SUMPRODUCT($W$25:$W$55,$V$25:$V$55)</s:f>
        <s:v>57552.067103313137</s:v>
      </s:c>
      <s:c r="Q38" s="103">
        <s:f>$I$9*V38*W38/SUMPRODUCT($W$25:$W$55,$V$25:$V$55)</s:f>
        <s:v>9.9916783165474197</s:v>
      </s:c>
      <s:c r="R38" s="103">
        <s:f>IF($I$12="","",Q38/$I$12)</s:f>
        <s:v>5.2587780613407471</s:v>
      </s:c>
      <s:c r="S38" s="102">
        <s:f>IF(W38&lt;&gt;"",IF(D38&lt;&gt;"",D38,($I$8-SUM($S$25:S37))*V38*W38/SUMPRODUCT($W38:$W$55,$V38:$V$55)),"")</s:f>
        <s:v>75036</s:v>
      </s:c>
      <s:c r="T38" s="103">
        <s:f>IF(W38&lt;&gt;"",IF(E38&lt;&gt;"",E38,($I$9-SUM($T$25:T37))*V38*W38/SUMPRODUCT($W38:$W$55,$V38:$V$55)),"")</s:f>
        <s:v>8</s:v>
      </s:c>
      <s:c r="U38" s="103">
        <s:f>IF(W38&lt;&gt;"",IF($I$12&lt;&gt;"",IF(G38&lt;&gt;"",G38,($I$9/$I$12-SUM($U$25:U37))*V38*W38/SUMPRODUCT($W38:$W$55,$V38:$V$55)),""),"")</s:f>
        <s:v>4</s:v>
      </s:c>
      <s:c r="V38" s="233">
        <s:v>1</s:v>
      </s:c>
      <s:c r="W38" s="233">
        <s:v>1</s:v>
      </s:c>
      <s:c r="X38" s="106"/>
      <s:c r="Y38" s="106"/>
      <s:c r="Z38" s="111"/>
      <s:c r="AA38" s="2"/>
      <s:c r="AB38" s="2"/>
      <s:c r="AC38" s="2"/>
      <s:c r="AD38" s="2"/>
      <s:c r="AE38" s="2"/>
      <s:c r="AF38" s="2"/>
      <s:c r="AG38" s="2"/>
    </s:row>
    <s:row r="39" spans="1:33" s="234" customFormat="1">
      <s:c r="A39" s="235">
        <s:v>15</s:v>
      </s:c>
      <s:c r="B39" s="236">
        <s:v>45835</s:v>
      </s:c>
      <s:c r="C39" s="237" t="s">
        <s:v>59</s:v>
      </s:c>
      <s:c r="D39" s="232">
        <s:f>31556+10690</s:f>
        <s:v>42246</s:v>
      </s:c>
      <s:c r="E39" s="245">
        <s:v>7</s:v>
      </s:c>
      <s:c r="F39" s="99">
        <s:f>IF(AND(E39&lt;&gt;"",E39&lt;&gt;0),D39/E39,"")</s:f>
        <s:v>6035.1428571428569</s:v>
      </s:c>
      <s:c r="G39" s="245">
        <s:v>5</s:v>
      </s:c>
      <s:c r="H39" s="99">
        <s:f>IF(AND(G39&lt;&gt;"",G39&lt;&gt;0),D39/G39,"")</s:f>
        <s:v>8449.2000000000007</s:v>
      </s:c>
      <s:c r="I39" s="245">
        <s:v>25</s:v>
      </s:c>
      <s:c r="J39" s="232">
        <s:f>IF(AND(G39&lt;&gt;"",G39&lt;&gt;0),E39/G39,"")</s:f>
        <s:v>1.4</s:v>
      </s:c>
      <s:c r="K39" s="238">
        <s:v>10690</s:v>
      </s:c>
      <s:c r="L39" s="238"/>
      <s:c r="M39" s="238"/>
      <s:c r="N39" s="239">
        <s:f>IF(AND(I39&lt;&gt;"",I39&lt;&gt;0),G39/I39,"")</s:f>
        <s:v>0.2</s:v>
      </s:c>
      <s:c r="O39" s="240">
        <s:f>D39/P39</s:f>
        <s:v>0.73404835180225869</s:v>
      </s:c>
      <s:c r="P39" s="241">
        <s:f>$I$8*V39*W39/SUMPRODUCT($W$25:$W$60,$V$25:$V$60)</s:f>
        <s:v>57552.067103313137</s:v>
      </s:c>
      <s:c r="Q39" s="242">
        <s:f>$I$9*V39*W39/SUMPRODUCT($W$25:$W$60,$V$25:$V$60)</s:f>
        <s:v>9.9916783165474197</s:v>
      </s:c>
      <s:c r="R39" s="242">
        <s:f>IF($I$12="","",Q39/$I$12)</s:f>
        <s:v>5.2587780613407471</s:v>
      </s:c>
      <s:c r="S39" s="241">
        <s:f>IF(W39&lt;&gt;"",IF(D39&lt;&gt;"",D39,($I$8-SUM($S$25:S38))*V39*W39/SUMPRODUCT($W39:$W$60,$V39:$V$60)),"")</s:f>
        <s:v>42246</s:v>
      </s:c>
      <s:c r="T39" s="242">
        <s:f>IF(W39&lt;&gt;"",IF(E39&lt;&gt;"",E39,($I$9-SUM($T$25:T38))*V39*W39/SUMPRODUCT($W39:$W$60,$V39:$V$60)),"")</s:f>
        <s:v>7</s:v>
      </s:c>
      <s:c r="U39" s="242">
        <s:f>IF(W39&lt;&gt;"",IF($I$12&lt;&gt;"",IF(G39&lt;&gt;"",G39,($I$9/$I$12-SUM($U$25:U38))*V39*W39/SUMPRODUCT($W39:$W$60,$V39:$V$60)),""),"")</s:f>
        <s:v>5</s:v>
      </s:c>
      <s:c r="V39" s="233">
        <s:v>1</s:v>
      </s:c>
      <s:c r="W39" s="233">
        <s:v>1</s:v>
      </s:c>
      <s:c r="X39" s="243"/>
      <s:c r="Y39" s="243"/>
      <s:c r="Z39" s="246"/>
      <s:c r="AA39" s="244"/>
      <s:c r="AB39" s="244"/>
      <s:c r="AC39" s="244"/>
      <s:c r="AD39" s="244"/>
      <s:c r="AE39" s="244"/>
      <s:c r="AF39" s="244"/>
      <s:c r="AG39" s="244"/>
    </s:row>
    <s:row r="40" spans="1:33" s="234" customFormat="1">
      <s:c r="A40" s="235">
        <s:v>16</s:v>
      </s:c>
      <s:c r="B40" s="236">
        <s:v>45836</s:v>
      </s:c>
      <s:c r="C40" s="247" t="s">
        <s:v>60</s:v>
      </s:c>
      <s:c r="D40" s="232">
        <s:v>12777</s:v>
      </s:c>
      <s:c r="E40" s="238">
        <s:v>3</s:v>
      </s:c>
      <s:c r="F40" s="99">
        <s:f>IF(AND(E40&lt;&gt;"",E40&lt;&gt;0),D40/E40,"")</s:f>
        <s:v>4259</s:v>
      </s:c>
      <s:c r="G40" s="238">
        <s:v>2</s:v>
      </s:c>
      <s:c r="H40" s="99">
        <s:f>IF(AND(G40&lt;&gt;"",G40&lt;&gt;0),D40/G40,"")</s:f>
        <s:v>6388.5</s:v>
      </s:c>
      <s:c r="I40" s="238">
        <s:v>17</s:v>
      </s:c>
      <s:c r="J40" s="232">
        <s:f>IF(AND(G40&lt;&gt;"",G40&lt;&gt;0),E40/G40,"")</s:f>
        <s:v>1.5</s:v>
      </s:c>
      <s:c r="K40" s="238"/>
      <s:c r="L40" s="238"/>
      <s:c r="M40" s="238"/>
      <s:c r="N40" s="239">
        <s:f>IF(AND(I40&lt;&gt;"",I40&lt;&gt;0),G40/I40,"")</s:f>
        <s:v>0.11764705882352941</s:v>
      </s:c>
      <s:c r="O40" s="240">
        <s:f>D40/P40</s:f>
        <s:v>0.2220076644173995</s:v>
      </s:c>
      <s:c r="P40" s="241">
        <s:f>$I$8*V40*W40/SUMPRODUCT($W$25:$W$60,$V$25:$V$60)</s:f>
        <s:v>57552.067103313137</s:v>
      </s:c>
      <s:c r="Q40" s="242">
        <s:f>$I$9*V40*W40/SUMPRODUCT($W$25:$W$60,$V$25:$V$60)</s:f>
        <s:v>9.9916783165474197</s:v>
      </s:c>
      <s:c r="R40" s="242">
        <s:f>IF($I$12="","",Q40/$I$12)</s:f>
        <s:v>5.2587780613407471</s:v>
      </s:c>
      <s:c r="S40" s="241">
        <s:f>IF(W40&lt;&gt;"",IF(D40&lt;&gt;"",D40,($I$8-SUM($S$25:S39))*V40*W40/SUMPRODUCT($W40:$W$60,$V40:$V$60)),"")</s:f>
        <s:v>12777</s:v>
      </s:c>
      <s:c r="T40" s="242">
        <s:f>IF(W40&lt;&gt;"",IF(E40&lt;&gt;"",E40,($I$9-SUM($T$25:T39))*V40*W40/SUMPRODUCT($W40:$W$60,$V40:$V$60)),"")</s:f>
        <s:v>3</s:v>
      </s:c>
      <s:c r="U40" s="242">
        <s:f>IF(W40&lt;&gt;"",IF($I$12&lt;&gt;"",IF(G40&lt;&gt;"",G40,($I$9/$I$12-SUM($U$25:U39))*V40*W40/SUMPRODUCT($W40:$W$60,$V40:$V$60)),""),"")</s:f>
        <s:v>2</s:v>
      </s:c>
      <s:c r="V40" s="233">
        <s:v>1</s:v>
      </s:c>
      <s:c r="W40" s="233">
        <s:v>1</s:v>
      </s:c>
      <s:c r="X40" s="243"/>
      <s:c r="Y40" s="243"/>
      <s:c r="Z40" s="246"/>
      <s:c r="AA40" s="244"/>
      <s:c r="AB40" s="244"/>
      <s:c r="AC40" s="244"/>
      <s:c r="AD40" s="244"/>
      <s:c r="AE40" s="244"/>
      <s:c r="AF40" s="244"/>
      <s:c r="AG40" s="244"/>
    </s:row>
    <s:row r="41" spans="1:33" s="234" customFormat="1">
      <s:c r="A41" s="235">
        <s:v>17</s:v>
      </s:c>
      <s:c r="B41" s="236"/>
      <s:c r="C41" s="237"/>
      <s:c r="D41" s="248"/>
      <s:c r="E41" s="238"/>
      <s:c r="F41" s="99" t="str">
        <s:f>IF(AND(E41&lt;&gt;"",E41&lt;&gt;0),D41/E41,"")</s:f>
        <s:v/>
      </s:c>
      <s:c r="G41" s="245"/>
      <s:c r="H41" s="99" t="str">
        <s:f>IF(AND(G41&lt;&gt;"",G41&lt;&gt;0),D41/G41,"")</s:f>
        <s:v/>
      </s:c>
      <s:c r="I41" s="245"/>
      <s:c r="J41" s="232" t="str">
        <s:f>IF(AND(G41&lt;&gt;"",G41&lt;&gt;0),E41/G41,"")</s:f>
        <s:v/>
      </s:c>
      <s:c r="K41" s="238"/>
      <s:c r="L41" s="238"/>
      <s:c r="M41" s="238"/>
      <s:c r="N41" s="239" t="str">
        <s:f>IF(AND(I41&lt;&gt;"",I41&lt;&gt;0),G41/I41,"")</s:f>
        <s:v/>
      </s:c>
      <s:c r="O41" s="240">
        <s:f>D41/P41</s:f>
        <s:v>0</s:v>
      </s:c>
      <s:c r="P41" s="241">
        <s:f>$I$8*V41*W41/SUMPRODUCT($W$25:$W$60,$V$25:$V$60)</s:f>
        <s:v>57552.067103313137</s:v>
      </s:c>
      <s:c r="Q41" s="242">
        <s:f>$I$9*V41*W41/SUMPRODUCT($W$25:$W$60,$V$25:$V$60)</s:f>
        <s:v>9.9916783165474197</s:v>
      </s:c>
      <s:c r="R41" s="242">
        <s:f>IF($I$12="","",Q41/$I$12)</s:f>
        <s:v>5.2587780613407471</s:v>
      </s:c>
      <s:c r="S41" s="241">
        <s:f>IF(W41&lt;&gt;"",IF(D41&lt;&gt;"",D41,($I$8-SUM($S$25:S40))*V41*W41/SUMPRODUCT($W41:$W$60,$V41:$V$60)),"")</s:f>
        <s:v>160303.85314136127</s:v>
      </s:c>
      <s:c r="T41" s="242">
        <s:f>IF(W41&lt;&gt;"",IF(E41&lt;&gt;"",E41,($I$9-SUM($T$25:T40))*V41*W41/SUMPRODUCT($W41:$W$60,$V41:$V$60)),"")</s:f>
        <s:v>23.650104712041887</s:v>
      </s:c>
      <s:c r="U41" s="242">
        <s:f>IF(W41&lt;&gt;"",IF($I$12&lt;&gt;"",IF(G41&lt;&gt;"",G41,($I$9/$I$12-SUM($U$25:U40))*V41*W41/SUMPRODUCT($W41:$W$60,$V41:$V$60)),""),"")</s:f>
        <s:v>9.3355759162303684</s:v>
      </s:c>
      <s:c r="V41" s="233">
        <s:v>1</s:v>
      </s:c>
      <s:c r="W41" s="233">
        <s:v>1</s:v>
      </s:c>
      <s:c r="X41" s="243"/>
      <s:c r="Y41" s="243"/>
      <s:c r="Z41" s="246"/>
      <s:c r="AA41" s="244"/>
      <s:c r="AB41" s="244"/>
      <s:c r="AC41" s="244"/>
      <s:c r="AD41" s="244"/>
      <s:c r="AE41" s="244"/>
      <s:c r="AF41" s="244"/>
      <s:c r="AG41" s="244"/>
    </s:row>
    <s:row r="42" spans="1:33" s="234" customFormat="1">
      <s:c r="A42" s="235">
        <s:v>18</s:v>
      </s:c>
      <s:c r="B42" s="236"/>
      <s:c r="C42" s="237"/>
      <s:c r="D42" s="249"/>
      <s:c r="E42" s="245"/>
      <s:c r="F42" s="238" t="str">
        <s:f>IF(AND(E42&lt;&gt;"",E42&lt;&gt;0),D42/E42,"")</s:f>
        <s:v/>
      </s:c>
      <s:c r="G42" s="238"/>
      <s:c r="H42" s="245" t="str">
        <s:f>IF(AND(G42&lt;&gt;"",G42&lt;&gt;0),D42/G42,"")</s:f>
        <s:v/>
      </s:c>
      <s:c r="I42" s="238"/>
      <s:c r="J42" s="232" t="str">
        <s:f>IF(AND(G42&lt;&gt;"",G42&lt;&gt;0),E42/G42,"")</s:f>
        <s:v/>
      </s:c>
      <s:c r="K42" s="238"/>
      <s:c r="L42" s="238"/>
      <s:c r="M42" s="238"/>
      <s:c r="N42" s="239" t="str">
        <s:f>IF(AND(I42&lt;&gt;"",I42&lt;&gt;0),G42/I42,"")</s:f>
        <s:v/>
      </s:c>
      <s:c r="O42" s="240">
        <s:f>D42/P42</s:f>
        <s:v>0</s:v>
      </s:c>
      <s:c r="P42" s="241">
        <s:f>$I$8*V42*W42/SUMPRODUCT($W$25:$W$60,$V$25:$V$60)</s:f>
        <s:v>57552.067103313137</s:v>
      </s:c>
      <s:c r="Q42" s="242">
        <s:f>$I$9*V42*W42/SUMPRODUCT($W$25:$W$60,$V$25:$V$60)</s:f>
        <s:v>9.9916783165474197</s:v>
      </s:c>
      <s:c r="R42" s="242">
        <s:f>IF($I$12="","",Q42/$I$12)</s:f>
        <s:v>5.2587780613407471</s:v>
      </s:c>
      <s:c r="S42" s="241">
        <s:f>IF(W42&lt;&gt;"",IF(D42&lt;&gt;"",D42,($I$8-SUM($S$25:S41))*V42*W42/SUMPRODUCT($W42:$W$60,$V42:$V$60)),"")</s:f>
        <s:v>160303.85314136127</s:v>
      </s:c>
      <s:c r="T42" s="242">
        <s:f>IF(W42&lt;&gt;"",IF(E42&lt;&gt;"",E42,($I$9-SUM($T$25:T41))*V42*W42/SUMPRODUCT($W42:$W$60,$V42:$V$60)),"")</s:f>
        <s:v>23.650104712041884</s:v>
      </s:c>
      <s:c r="U42" s="242">
        <s:f>IF(W42&lt;&gt;"",IF($I$12&lt;&gt;"",IF(G42&lt;&gt;"",G42,($I$9/$I$12-SUM($U$25:U41))*V42*W42/SUMPRODUCT($W42:$W$60,$V42:$V$60)),""),"")</s:f>
        <s:v>9.3355759162303684</s:v>
      </s:c>
      <s:c r="V42" s="233">
        <s:v>1</s:v>
      </s:c>
      <s:c r="W42" s="233">
        <s:v>1</s:v>
      </s:c>
      <s:c r="X42" s="243"/>
      <s:c r="Y42" s="243"/>
      <s:c r="Z42" s="244"/>
      <s:c r="AA42" s="244"/>
      <s:c r="AB42" s="244"/>
      <s:c r="AC42" s="244"/>
      <s:c r="AD42" s="244"/>
      <s:c r="AE42" s="244"/>
      <s:c r="AF42" s="244"/>
      <s:c r="AG42" s="244"/>
    </s:row>
    <s:row r="43" spans="1:33" s="234" customFormat="1" ht="15" customHeight="1">
      <s:c r="A43" s="235">
        <s:v>19</s:v>
      </s:c>
      <s:c r="B43" s="236"/>
      <s:c r="C43" s="237"/>
      <s:c r="D43" s="248"/>
      <s:c r="E43" s="250"/>
      <s:c r="F43" s="245" t="str">
        <s:f>IF(AND(E43&lt;&gt;"",E43&lt;&gt;0),D43/E43,"")</s:f>
        <s:v/>
      </s:c>
      <s:c r="G43" s="250"/>
      <s:c r="H43" s="250" t="str">
        <s:f>IF(AND(G43&lt;&gt;"",G43&lt;&gt;0),D43/G43,"")</s:f>
        <s:v/>
      </s:c>
      <s:c r="I43" s="250"/>
      <s:c r="J43" s="251" t="str">
        <s:f>IF(AND(G43&lt;&gt;"",G43&lt;&gt;0),E43/G43,"")</s:f>
        <s:v/>
      </s:c>
      <s:c r="K43" s="250"/>
      <s:c r="L43" s="250"/>
      <s:c r="M43" s="250"/>
      <s:c r="N43" s="252" t="str">
        <s:f>IF(AND(I43&lt;&gt;"",I43&lt;&gt;0),G43/I43,"")</s:f>
        <s:v/>
      </s:c>
      <s:c r="O43" s="253">
        <s:f>D43/P43</s:f>
        <s:v>0</s:v>
      </s:c>
      <s:c r="P43" s="254">
        <s:f>$I$8*V43*W43/SUMPRODUCT($W$25:$W$60,$V$25:$V$60)</s:f>
        <s:v>57552.067103313137</s:v>
      </s:c>
      <s:c r="Q43" s="255">
        <s:f>$I$9*V43*W43/SUMPRODUCT($W$25:$W$60,$V$25:$V$60)</s:f>
        <s:v>9.9916783165474197</s:v>
      </s:c>
      <s:c r="R43" s="255">
        <s:f>IF($I$12="","",Q43/$I$12)</s:f>
        <s:v>5.2587780613407471</s:v>
      </s:c>
      <s:c r="S43" s="254">
        <s:f>IF(W43&lt;&gt;"",IF(D43&lt;&gt;"",D43,($I$8-SUM($S$25:S42))*V43*W43/SUMPRODUCT($W43:$W$60,$V43:$V$60)),"")</s:f>
        <s:v>160303.85314136127</s:v>
      </s:c>
      <s:c r="T43" s="255">
        <s:f>IF(W43&lt;&gt;"",IF(E43&lt;&gt;"",E43,($I$9-SUM($T$25:T42))*V43*W43/SUMPRODUCT($W43:$W$60,$V43:$V$60)),"")</s:f>
        <s:v>23.65010471204188</s:v>
      </s:c>
      <s:c r="U43" s="255">
        <s:f>IF(W43&lt;&gt;"",IF($I$12&lt;&gt;"",IF(G43&lt;&gt;"",G43,($I$9/$I$12-SUM($U$25:U42))*V43*W43/SUMPRODUCT($W43:$W$60,$V43:$V$60)),""),"")</s:f>
        <s:v>9.3355759162303684</s:v>
      </s:c>
      <s:c r="V43" s="233">
        <s:v>1</s:v>
      </s:c>
      <s:c r="W43" s="233">
        <s:v>1</s:v>
      </s:c>
      <s:c r="X43" s="243"/>
      <s:c r="Y43" s="243"/>
      <s:c r="Z43" s="246"/>
      <s:c r="AA43" s="244"/>
      <s:c r="AB43" s="244"/>
      <s:c r="AC43" s="244"/>
      <s:c r="AD43" s="244"/>
      <s:c r="AE43" s="244"/>
      <s:c r="AF43" s="244"/>
      <s:c r="AG43" s="244"/>
    </s:row>
    <s:row r="44" spans="1:33" s="234" customFormat="1" ht="15" customHeight="1">
      <s:c r="A44" s="235">
        <s:v>20</s:v>
      </s:c>
      <s:c r="B44" s="236"/>
      <s:c r="C44" s="237"/>
      <s:c r="D44" s="256"/>
      <s:c r="E44" s="257"/>
      <s:c r="F44" s="257" t="str">
        <s:f>IF(AND(E44&lt;&gt;"",E44&lt;&gt;0),D44/E44,"")</s:f>
        <s:v/>
      </s:c>
      <s:c r="G44" s="257"/>
      <s:c r="H44" s="257" t="str">
        <s:f>IF(AND(G44&lt;&gt;"",G44&lt;&gt;0),D44/G44,"")</s:f>
        <s:v/>
      </s:c>
      <s:c r="I44" s="257"/>
      <s:c r="J44" s="258" t="str">
        <s:f>IF(AND(G44&lt;&gt;"",G44&lt;&gt;0),E44/G44,"")</s:f>
        <s:v/>
      </s:c>
      <s:c r="K44" s="257"/>
      <s:c r="L44" s="257"/>
      <s:c r="M44" s="257"/>
      <s:c r="N44" s="259" t="str">
        <s:f>IF(AND(I44&lt;&gt;"",I44&lt;&gt;0),G44/I44,"")</s:f>
        <s:v/>
      </s:c>
      <s:c r="O44" s="260">
        <s:f>D44/P44</s:f>
        <s:v>0</s:v>
      </s:c>
      <s:c r="P44" s="261">
        <s:f>$I$8*V44*W44/SUMPRODUCT($W$25:$W$60,$V$25:$V$60)</s:f>
        <s:v>57552.067103313137</s:v>
      </s:c>
      <s:c r="Q44" s="262">
        <s:f>$I$9*V44*W44/SUMPRODUCT($W$25:$W$60,$V$25:$V$60)</s:f>
        <s:v>9.9916783165474197</s:v>
      </s:c>
      <s:c r="R44" s="262">
        <s:f>IF($I$12="","",Q44/$I$12)</s:f>
        <s:v>5.2587780613407471</s:v>
      </s:c>
      <s:c r="S44" s="261">
        <s:f>IF(W44&lt;&gt;"",IF(D44&lt;&gt;"",D44,($I$8-SUM($S$25:S43))*V44*W44/SUMPRODUCT($W44:$W$60,$V44:$V$60)),"")</s:f>
        <s:v>160303.85314136127</s:v>
      </s:c>
      <s:c r="T44" s="262">
        <s:f>IF(W44&lt;&gt;"",IF(E44&lt;&gt;"",E44,($I$9-SUM($T$25:T43))*V44*W44/SUMPRODUCT($W44:$W$60,$V44:$V$60)),"")</s:f>
        <s:v>23.650104712041895</s:v>
      </s:c>
      <s:c r="U44" s="262">
        <s:f>IF(W44&lt;&gt;"",IF($I$12&lt;&gt;"",IF(G44&lt;&gt;"",G44,($I$9/$I$12-SUM($U$25:U43))*V44*W44/SUMPRODUCT($W44:$W$60,$V44:$V$60)),""),"")</s:f>
        <s:v>9.3355759162303684</s:v>
      </s:c>
      <s:c r="V44" s="233">
        <s:v>1</s:v>
      </s:c>
      <s:c r="W44" s="233">
        <s:v>1</s:v>
      </s:c>
      <s:c r="X44" s="243"/>
      <s:c r="Y44" s="243"/>
      <s:c r="Z44" s="246"/>
      <s:c r="AA44" s="244"/>
      <s:c r="AB44" s="244"/>
      <s:c r="AC44" s="244"/>
      <s:c r="AD44" s="244"/>
      <s:c r="AE44" s="244"/>
      <s:c r="AF44" s="244"/>
      <s:c r="AG44" s="244"/>
    </s:row>
    <s:row r="45" spans="1:33" s="234" customFormat="1" ht="15" customHeight="1">
      <s:c r="A45" s="235">
        <s:v>21</s:v>
      </s:c>
      <s:c r="B45" s="236"/>
      <s:c r="C45" s="247"/>
      <s:c r="D45" s="258"/>
      <s:c r="E45" s="257"/>
      <s:c r="F45" s="257" t="str">
        <s:f>IF(AND(E45&lt;&gt;"",E45&lt;&gt;0),D45/E45,"")</s:f>
        <s:v/>
      </s:c>
      <s:c r="G45" s="257"/>
      <s:c r="H45" s="257" t="str">
        <s:f>IF(AND(G45&lt;&gt;"",G45&lt;&gt;0),D45/G45,"")</s:f>
        <s:v/>
      </s:c>
      <s:c r="I45" s="257"/>
      <s:c r="J45" s="258" t="str">
        <s:f>IF(AND(G45&lt;&gt;"",G45&lt;&gt;0),E45/G45,"")</s:f>
        <s:v/>
      </s:c>
      <s:c r="K45" s="257"/>
      <s:c r="L45" s="257"/>
      <s:c r="M45" s="257"/>
      <s:c r="N45" s="259" t="str">
        <s:f>IF(AND(I45&lt;&gt;"",I45&lt;&gt;0),G45/I45,"")</s:f>
        <s:v/>
      </s:c>
      <s:c r="O45" s="260" t="e">
        <s:f>D45/P45</s:f>
        <s:v>#DIV/0!</s:v>
      </s:c>
      <s:c r="P45" s="261">
        <s:f>$I$8*V45*W45/SUMPRODUCT($W$25:$W$60,$V$25:$V$60)</s:f>
        <s:v>0</s:v>
      </s:c>
      <s:c r="Q45" s="262">
        <s:f>$I$9*V45*W45/SUMPRODUCT($W$25:$W$60,$V$25:$V$60)</s:f>
        <s:v>0</s:v>
      </s:c>
      <s:c r="R45" s="262">
        <s:f>IF($I$12="","",Q45/$I$12)</s:f>
        <s:v>0</s:v>
      </s:c>
      <s:c r="S45" s="261" t="str">
        <s:f>IF(W45&lt;&gt;"",IF(D45&lt;&gt;"",D45,($I$8-SUM($S$25:S44))*V45*W45/SUMPRODUCT($W45:$W$60,$V45:$V$60)),"")</s:f>
        <s:v/>
      </s:c>
      <s:c r="T45" s="262" t="str">
        <s:f>IF(W45&lt;&gt;"",IF(E45&lt;&gt;"",E45,($I$9-SUM($T$25:T44))*V45*W45/SUMPRODUCT($W45:$W$60,$V45:$V$60)),"")</s:f>
        <s:v/>
      </s:c>
      <s:c r="U45" s="262" t="str">
        <s:f>IF(W45&lt;&gt;"",IF($I$12&lt;&gt;"",IF(G45&lt;&gt;"",G45,($I$9/$I$12-SUM($U$25:U44))*V45*W45/SUMPRODUCT($W45:$W$60,$V45:$V$60)),""),"")</s:f>
        <s:v/>
      </s:c>
      <s:c r="V45" s="233"/>
      <s:c r="W45" s="233"/>
      <s:c r="X45" s="243"/>
      <s:c r="Y45" s="243"/>
      <s:c r="Z45" s="246"/>
      <s:c r="AA45" s="244"/>
      <s:c r="AB45" s="244"/>
      <s:c r="AC45" s="244"/>
      <s:c r="AD45" s="244"/>
      <s:c r="AE45" s="244"/>
      <s:c r="AF45" s="244"/>
      <s:c r="AG45" s="244"/>
    </s:row>
    <s:row r="46" spans="1:33" s="234" customFormat="1" ht="15" customHeight="1">
      <s:c r="A46" s="235">
        <s:v>22</s:v>
      </s:c>
      <s:c r="B46" s="236">
        <s:v>45816</s:v>
      </s:c>
      <s:c r="C46" s="263" t="s">
        <s:v>49</s:v>
      </s:c>
      <s:c r="D46" s="258">
        <s:v>13903</s:v>
      </s:c>
      <s:c r="E46" s="257">
        <s:v>1</s:v>
      </s:c>
      <s:c r="F46" s="257">
        <s:f>IF(AND(E46&lt;&gt;"",E46&lt;&gt;0),D46/E46,"")</s:f>
        <s:v>13903</s:v>
      </s:c>
      <s:c r="G46" s="257">
        <s:v>1</s:v>
      </s:c>
      <s:c r="H46" s="257">
        <s:f>IF(AND(G46&lt;&gt;"",G46&lt;&gt;0),D46/G46,"")</s:f>
        <s:v>13903</s:v>
      </s:c>
      <s:c r="I46" s="257"/>
      <s:c r="J46" s="258">
        <s:f>IF(AND(G46&lt;&gt;"",G46&lt;&gt;0),E46/G46,"")</s:f>
        <s:v>1</s:v>
      </s:c>
      <s:c r="K46" s="257"/>
      <s:c r="L46" s="257">
        <s:v>13903</s:v>
      </s:c>
      <s:c r="M46" s="257"/>
      <s:c r="N46" s="259" t="str">
        <s:f>IF(AND(I46&lt;&gt;"",I46&lt;&gt;0),G46/I46,"")</s:f>
        <s:v/>
      </s:c>
      <s:c r="O46" s="260" t="e">
        <s:f>D46/P46</s:f>
        <s:v>#DIV/0!</s:v>
      </s:c>
      <s:c r="P46" s="261">
        <s:f>$I$8*V46*W46/SUMPRODUCT($W$25:$W$60,$V$25:$V$60)</s:f>
        <s:v>0</s:v>
      </s:c>
      <s:c r="Q46" s="262">
        <s:f>$I$9*V46*W46/SUMPRODUCT($W$25:$W$60,$V$25:$V$60)</s:f>
        <s:v>0</s:v>
      </s:c>
      <s:c r="R46" s="262">
        <s:f>IF($I$12="","",Q46/$I$12)</s:f>
        <s:v>0</s:v>
      </s:c>
      <s:c r="S46" s="261" t="str">
        <s:f>IF(W46&lt;&gt;"",IF(D46&lt;&gt;"",D46,($I$8-SUM($S$25:S45))*V46*W46/SUMPRODUCT($W46:$W$60,$V46:$V$60)),"")</s:f>
        <s:v/>
      </s:c>
      <s:c r="T46" s="262" t="str">
        <s:f>IF(W46&lt;&gt;"",IF(E46&lt;&gt;"",E46,($I$9-SUM($T$25:T45))*V46*W46/SUMPRODUCT($W46:$W$60,$V46:$V$60)),"")</s:f>
        <s:v/>
      </s:c>
      <s:c r="U46" s="262" t="str">
        <s:f>IF(W46&lt;&gt;"",IF($I$12&lt;&gt;"",IF(G46&lt;&gt;"",G46,($I$9/$I$12-SUM($U$25:U45))*V46*W46/SUMPRODUCT($W46:$W$60,$V46:$V$60)),""),"")</s:f>
        <s:v/>
      </s:c>
      <s:c r="V46" s="233"/>
      <s:c r="W46" s="233"/>
      <s:c r="X46" s="243"/>
      <s:c r="Y46" s="243"/>
      <s:c r="Z46" s="246"/>
      <s:c r="AA46" s="244"/>
      <s:c r="AB46" s="244"/>
      <s:c r="AC46" s="244"/>
      <s:c r="AD46" s="244"/>
      <s:c r="AE46" s="244"/>
      <s:c r="AF46" s="244"/>
      <s:c r="AG46" s="244"/>
    </s:row>
    <s:row r="47" spans="1:33" s="234" customFormat="1" ht="15" customHeight="1">
      <s:c r="A47" s="235">
        <s:v>23</s:v>
      </s:c>
      <s:c r="B47" s="236"/>
      <s:c r="C47" s="247"/>
      <s:c r="D47" s="258"/>
      <s:c r="E47" s="257"/>
      <s:c r="F47" s="257" t="str">
        <s:f>IF(AND(E47&lt;&gt;"",E47&lt;&gt;0),D47/E47,"")</s:f>
        <s:v/>
      </s:c>
      <s:c r="G47" s="257"/>
      <s:c r="H47" s="257" t="str">
        <s:f>IF(AND(G47&lt;&gt;"",G47&lt;&gt;0),D47/G47,"")</s:f>
        <s:v/>
      </s:c>
      <s:c r="I47" s="257"/>
      <s:c r="J47" s="258" t="str">
        <s:f>IF(AND(G47&lt;&gt;"",G47&lt;&gt;0),E47/G47,"")</s:f>
        <s:v/>
      </s:c>
      <s:c r="K47" s="257"/>
      <s:c r="L47" s="257"/>
      <s:c r="M47" s="257"/>
      <s:c r="N47" s="259" t="str">
        <s:f>IF(AND(I47&lt;&gt;"",I47&lt;&gt;0),G47/I47,"")</s:f>
        <s:v/>
      </s:c>
      <s:c r="O47" s="260" t="e">
        <s:f>D47/P47</s:f>
        <s:v>#DIV/0!</s:v>
      </s:c>
      <s:c r="P47" s="261">
        <s:f>$I$8*V47*W47/SUMPRODUCT($W$25:$W$60,$V$25:$V$60)</s:f>
        <s:v>0</s:v>
      </s:c>
      <s:c r="Q47" s="262">
        <s:f>$I$9*V47*W47/SUMPRODUCT($W$25:$W$60,$V$25:$V$60)</s:f>
        <s:v>0</s:v>
      </s:c>
      <s:c r="R47" s="262">
        <s:f>IF($I$12="","",Q47/$I$12)</s:f>
        <s:v>0</s:v>
      </s:c>
      <s:c r="S47" s="261" t="str">
        <s:f>IF(W47&lt;&gt;"",IF(D47&lt;&gt;"",D47,($I$8-SUM($S$25:S46))*V47*W47/SUMPRODUCT($W47:$W$60,$V47:$V$60)),"")</s:f>
        <s:v/>
      </s:c>
      <s:c r="T47" s="262" t="str">
        <s:f>IF(W47&lt;&gt;"",IF(E47&lt;&gt;"",E47,($I$9-SUM($T$25:T46))*V47*W47/SUMPRODUCT($W47:$W$60,$V47:$V$60)),"")</s:f>
        <s:v/>
      </s:c>
      <s:c r="U47" s="262" t="str">
        <s:f>IF(W47&lt;&gt;"",IF($I$12&lt;&gt;"",IF(G47&lt;&gt;"",G47,($I$9/$I$12-SUM($U$25:U46))*V47*W47/SUMPRODUCT($W47:$W$60,$V47:$V$60)),""),"")</s:f>
        <s:v/>
      </s:c>
      <s:c r="V47" s="233"/>
      <s:c r="W47" s="264"/>
      <s:c r="X47" s="243"/>
      <s:c r="Y47" s="243"/>
      <s:c r="Z47" s="246"/>
      <s:c r="AA47" s="244"/>
      <s:c r="AB47" s="244"/>
      <s:c r="AC47" s="244"/>
      <s:c r="AD47" s="244"/>
      <s:c r="AE47" s="244"/>
      <s:c r="AF47" s="244"/>
      <s:c r="AG47" s="244"/>
    </s:row>
    <s:row r="48" spans="1:33" s="234" customFormat="1" ht="15" customHeight="1">
      <s:c r="A48" s="235">
        <s:v>24</s:v>
      </s:c>
      <s:c r="B48" s="236"/>
      <s:c r="C48" s="265"/>
      <s:c r="D48" s="258"/>
      <s:c r="E48" s="257"/>
      <s:c r="F48" s="257" t="str">
        <s:f>IF(AND(E48&lt;&gt;"",E48&lt;&gt;0),D48/E48,"")</s:f>
        <s:v/>
      </s:c>
      <s:c r="G48" s="257"/>
      <s:c r="H48" s="257" t="str">
        <s:f>IF(AND(G48&lt;&gt;"",G48&lt;&gt;0),D48/G48,"")</s:f>
        <s:v/>
      </s:c>
      <s:c r="I48" s="257"/>
      <s:c r="J48" s="258" t="str">
        <s:f>IF(AND(G48&lt;&gt;"",G48&lt;&gt;0),E48/G48,"")</s:f>
        <s:v/>
      </s:c>
      <s:c r="K48" s="257"/>
      <s:c r="L48" s="257"/>
      <s:c r="M48" s="257"/>
      <s:c r="N48" s="259" t="str">
        <s:f>IF(AND(I48&lt;&gt;"",I48&lt;&gt;0),G48/I48,"")</s:f>
        <s:v/>
      </s:c>
      <s:c r="O48" s="260" t="e">
        <s:f>D48/P48</s:f>
        <s:v>#DIV/0!</s:v>
      </s:c>
      <s:c r="P48" s="261">
        <s:f>$I$8*V48*W48/SUMPRODUCT($W$25:$W$60,$V$25:$V$60)</s:f>
        <s:v>0</s:v>
      </s:c>
      <s:c r="Q48" s="262">
        <s:f>$I$9*V48*W48/SUMPRODUCT($W$25:$W$60,$V$25:$V$60)</s:f>
        <s:v>0</s:v>
      </s:c>
      <s:c r="R48" s="262">
        <s:f>IF($I$12="","",Q48/$I$12)</s:f>
        <s:v>0</s:v>
      </s:c>
      <s:c r="S48" s="261" t="str">
        <s:f>IF(W48&lt;&gt;"",IF(D48&lt;&gt;"",D48,($I$8-SUM($S$25:S47))*V48*W48/SUMPRODUCT($W48:$W$60,$V48:$V$60)),"")</s:f>
        <s:v/>
      </s:c>
      <s:c r="T48" s="262" t="str">
        <s:f>IF(W48&lt;&gt;"",IF(E48&lt;&gt;"",E48,($I$9-SUM($T$25:T47))*V48*W48/SUMPRODUCT($W48:$W$60,$V48:$V$60)),"")</s:f>
        <s:v/>
      </s:c>
      <s:c r="U48" s="262" t="str">
        <s:f>IF(W48&lt;&gt;"",IF($I$12&lt;&gt;"",IF(G48&lt;&gt;"",G48,($I$9/$I$12-SUM($U$25:U47))*V48*W48/SUMPRODUCT($W48:$W$60,$V48:$V$60)),""),"")</s:f>
        <s:v/>
      </s:c>
      <s:c r="V48" s="233"/>
      <s:c r="W48" s="264"/>
      <s:c r="X48" s="243"/>
      <s:c r="Y48" s="243"/>
      <s:c r="Z48" s="246"/>
      <s:c r="AA48" s="244"/>
      <s:c r="AB48" s="244"/>
      <s:c r="AC48" s="244"/>
      <s:c r="AD48" s="244"/>
      <s:c r="AE48" s="244"/>
      <s:c r="AF48" s="244"/>
      <s:c r="AG48" s="244"/>
    </s:row>
    <s:row r="49" spans="1:33" s="234" customFormat="1" ht="15" customHeight="1">
      <s:c r="A49" s="235">
        <s:v>25</s:v>
      </s:c>
      <s:c r="B49" s="236"/>
      <s:c r="C49" s="265"/>
      <s:c r="D49" s="258"/>
      <s:c r="E49" s="257"/>
      <s:c r="F49" s="257" t="str">
        <s:f>IF(AND(E49&lt;&gt;"",E49&lt;&gt;0),D49/E49,"")</s:f>
        <s:v/>
      </s:c>
      <s:c r="G49" s="257"/>
      <s:c r="H49" s="257" t="str">
        <s:f>IF(AND(G49&lt;&gt;"",G49&lt;&gt;0),D49/G49,"")</s:f>
        <s:v/>
      </s:c>
      <s:c r="I49" s="257"/>
      <s:c r="J49" s="258" t="str">
        <s:f>IF(AND(G49&lt;&gt;"",G49&lt;&gt;0),E49/G49,"")</s:f>
        <s:v/>
      </s:c>
      <s:c r="K49" s="257"/>
      <s:c r="L49" s="257"/>
      <s:c r="M49" s="257"/>
      <s:c r="N49" s="259" t="str">
        <s:f>IF(AND(I49&lt;&gt;"",I49&lt;&gt;0),G49/I49,"")</s:f>
        <s:v/>
      </s:c>
      <s:c r="O49" s="260" t="e">
        <s:f>D49/P49</s:f>
        <s:v>#DIV/0!</s:v>
      </s:c>
      <s:c r="P49" s="261">
        <s:f>$I$8*V49*W49/SUMPRODUCT($W$25:$W$60,$V$25:$V$60)</s:f>
        <s:v>0</s:v>
      </s:c>
      <s:c r="Q49" s="262">
        <s:f>$I$9*V49*W49/SUMPRODUCT($W$25:$W$60,$V$25:$V$60)</s:f>
        <s:v>0</s:v>
      </s:c>
      <s:c r="R49" s="262">
        <s:f>IF($I$12="","",Q49/$I$12)</s:f>
        <s:v>0</s:v>
      </s:c>
      <s:c r="S49" s="261" t="str">
        <s:f>IF(W49&lt;&gt;"",IF(D49&lt;&gt;"",D49,($I$8-SUM($S$25:S48))*V49*W49/SUMPRODUCT($W49:$W$60,$V49:$V$60)),"")</s:f>
        <s:v/>
      </s:c>
      <s:c r="T49" s="262" t="str">
        <s:f>IF(W49&lt;&gt;"",IF(E49&lt;&gt;"",E49,($I$9-SUM($T$25:T48))*V49*W49/SUMPRODUCT($W49:$W$60,$V49:$V$60)),"")</s:f>
        <s:v/>
      </s:c>
      <s:c r="U49" s="262" t="str">
        <s:f>IF(W49&lt;&gt;"",IF($I$12&lt;&gt;"",IF(G49&lt;&gt;"",G49,($I$9/$I$12-SUM($U$25:U48))*V49*W49/SUMPRODUCT($W49:$W$60,$V49:$V$60)),""),"")</s:f>
        <s:v/>
      </s:c>
      <s:c r="V49" s="266"/>
      <s:c r="W49" s="264"/>
      <s:c r="X49" s="243"/>
      <s:c r="Y49" s="243"/>
      <s:c r="Z49" s="246"/>
      <s:c r="AA49" s="244"/>
      <s:c r="AB49" s="244"/>
      <s:c r="AC49" s="244"/>
      <s:c r="AD49" s="244"/>
      <s:c r="AE49" s="244"/>
      <s:c r="AF49" s="244"/>
      <s:c r="AG49" s="244"/>
    </s:row>
    <s:row r="50" spans="1:33" ht="15" customHeight="1">
      <s:c r="B50" s="618" t="s">
        <s:v>65</s:v>
      </s:c>
      <s:c r="C50" s="618"/>
      <s:c r="D50" s="114">
        <s:f>SUM(D25:D49)</s:f>
        <s:v>545426</s:v>
      </s:c>
      <s:c r="E50" s="114">
        <s:f>SUM(E25:E49)</s:f>
        <s:v>106</s:v>
      </s:c>
      <s:c r="F50" s="114">
        <s:f>IF(AND(E50&lt;&gt;"",E50&lt;&gt;0),D50/E50,"")</s:f>
        <s:v>5145.5283018867922</s:v>
      </s:c>
      <s:c r="G50" s="114">
        <s:f>SUM(G25:G49)</s:f>
        <s:v>65</s:v>
      </s:c>
      <s:c r="H50" s="114">
        <s:f>IF(AND(G50&lt;&gt;"",G50&lt;&gt;0),D50/G50,"")</s:f>
        <s:v>8391.1692307692301</s:v>
      </s:c>
      <s:c r="I50" s="114">
        <s:f>SUM(I25:I49)</s:f>
        <s:v>363</s:v>
      </s:c>
      <s:c r="J50" s="113">
        <s:f>IF(AND(G50&lt;&gt;"",G50&lt;&gt;0),E50/G50,"")</s:f>
        <s:v>1.6307692307692307</s:v>
      </s:c>
      <s:c r="K50" s="114">
        <s:f>SUM(K25:K49)</s:f>
        <s:v>130123</s:v>
      </s:c>
      <s:c r="L50" s="114">
        <s:f>SUM(L25:L49)</s:f>
        <s:v>46698</s:v>
      </s:c>
      <s:c r="M50" s="114">
        <s:f>SUM(M25:M49)</s:f>
        <s:v>0</s:v>
      </s:c>
      <s:c r="N50" s="115">
        <s:f>IF(AND(I50&lt;&gt;"",I50&lt;&gt;0),G50/I50,"")</s:f>
        <s:v>0.1790633608815427</s:v>
      </s:c>
      <s:c r="O50" s="116">
        <s:f>D50/P50</s:f>
        <s:v>0.46508752007776688</s:v>
      </s:c>
      <s:c r="P50" s="117">
        <s:f>SUM(P25:P49)</s:f>
        <s:v>1172738.4125654453</s:v>
      </s:c>
      <s:c r="Q50" s="117">
        <s:f>SUM(Q25:Q49)</s:f>
        <s:v>203.60041884816758</s:v>
      </s:c>
      <s:c r="R50" s="117">
        <s:f>SUM(R25:R49)</s:f>
        <s:v>107.15811518324611</s:v>
      </s:c>
      <s:c r="S50" s="117">
        <s:f>SUM(S25:S49)</s:f>
        <s:v>1172738.4125654451</s:v>
      </s:c>
      <s:c r="T50" s="117">
        <s:f>SUM(T25:T49)</s:f>
        <s:v>203.60041884816755</s:v>
      </s:c>
      <s:c r="U50" s="117">
        <s:f>SUM(U25:U49)</s:f>
        <s:v>107.15811518324608</s:v>
      </s:c>
      <s:c r="V50" s="267"/>
      <s:c r="W50" s="267"/>
    </s:row>
    <s:row r="51">
      <s:c r="B51" s="120"/>
      <s:c r="C51" s="121"/>
      <s:c r="D51" s="122">
        <s:f>SUMIF(D25:D49,"",P25:P49)+D50</s:f>
        <s:v>775634.26841325255</s:v>
      </s:c>
      <s:c r="E51" s="123"/>
      <s:c r="F51" s="121"/>
      <s:c r="G51" s="121"/>
      <s:c r="H51" s="124"/>
      <s:c r="I51" s="229"/>
      <s:c r="J51" s="124"/>
      <s:c r="L51" s="126"/>
      <s:c r="M51" s="123"/>
      <s:c r="N51" s="126"/>
      <s:c r="O51" s="126"/>
      <s:c r="P51" s="126"/>
      <s:c r="Q51" s="127"/>
    </s:row>
    <s:row r="52">
      <s:c r="D52" s="224"/>
    </s:row>
    <s:row r="54">
      <s:c r="D54" s="224"/>
    </s:row>
    <s:row r="55">
      <s:c r="D55" s="224"/>
    </s:row>
  </s:sheetData>
  <s:mergeCells count="28">
    <s:mergeCell ref="P22:W22"/>
    <s:mergeCell ref="B50:C50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82" priority="222" operator="lessThan">
      <s:formula>0</s:formula>
    </s:cfRule>
    <s:cfRule type="cellIs" dxfId="181" priority="220" operator="greaterThan">
      <s:formula>0</s:formula>
    </s:cfRule>
  </s:conditionalFormatting>
  <s:conditionalFormatting sqref="J25:J43">
    <s:cfRule type="cellIs" dxfId="180" priority="10" operator="lessThan">
      <s:formula>$I$12</s:formula>
    </s:cfRule>
  </s:conditionalFormatting>
  <s:conditionalFormatting sqref="J25:J49">
    <s:cfRule type="cellIs" dxfId="179" priority="11" operator="greaterThan">
      <s:formula>$I$12</s:formula>
    </s:cfRule>
  </s:conditionalFormatting>
  <s:conditionalFormatting sqref="J44:J49">
    <s:cfRule type="cellIs" dxfId="178" priority="229" operator="lessThan">
      <s:formula>$I$12</s:formula>
    </s:cfRule>
  </s:conditionalFormatting>
  <s:conditionalFormatting sqref="K10:K12 K15">
    <s:cfRule type="cellIs" dxfId="177" priority="219" operator="greaterThan">
      <s:formula>1</s:formula>
    </s:cfRule>
    <s:cfRule type="cellIs" dxfId="176" priority="223" operator="lessThan">
      <s:formula>1</s:formula>
    </s:cfRule>
  </s:conditionalFormatting>
  <s:conditionalFormatting sqref="K13">
    <s:cfRule type="cellIs" dxfId="175" priority="215" operator="lessThan">
      <s:formula>$K$14</s:formula>
    </s:cfRule>
    <s:cfRule type="cellIs" dxfId="174" priority="216" operator="greaterThan">
      <s:formula>$K$14</s:formula>
    </s:cfRule>
  </s:conditionalFormatting>
  <s:conditionalFormatting sqref="M8:M15">
    <s:cfRule type="cellIs" dxfId="173" priority="217" operator="lessThan">
      <s:formula>1</s:formula>
    </s:cfRule>
    <s:cfRule type="cellIs" dxfId="172" priority="218" operator="greaterThan">
      <s:formula>1</s:formula>
    </s:cfRule>
  </s:conditionalFormatting>
  <s:conditionalFormatting sqref="N25:N43">
    <s:cfRule type="cellIs" dxfId="171" priority="7" operator="between">
      <s:formula>0.2</s:formula>
      <s:formula>0.25</s:formula>
    </s:cfRule>
  </s:conditionalFormatting>
  <s:conditionalFormatting sqref="N25:N49">
    <s:cfRule type="cellIs" dxfId="170" priority="8" operator="greaterThanOrEqual">
      <s:formula>0.25</s:formula>
    </s:cfRule>
    <s:cfRule type="cellIs" dxfId="169" priority="9" operator="lessThan">
      <s:formula>0.2</s:formula>
    </s:cfRule>
  </s:conditionalFormatting>
  <s:conditionalFormatting sqref="N44:N49">
    <s:cfRule type="cellIs" dxfId="168" priority="230" operator="between">
      <s:formula>0.2</s:formula>
      <s:formula>0.25</s:formula>
    </s:cfRule>
  </s:conditionalFormatting>
  <s:conditionalFormatting sqref="O25:O43">
    <s:cfRule type="cellIs" dxfId="167" priority="1" operator="between">
      <s:formula>0.9001</s:formula>
      <s:formula>0.9999</s:formula>
    </s:cfRule>
    <s:cfRule type="cellIs" dxfId="166" priority="5" operator="between">
      <s:formula>0.85</s:formula>
      <s:formula>1</s:formula>
    </s:cfRule>
    <s:cfRule type="cellIs" dxfId="165" priority="2" operator="lessThan">
      <s:formula>0.9</s:formula>
    </s:cfRule>
  </s:conditionalFormatting>
  <s:conditionalFormatting sqref="O25:O49">
    <s:cfRule type="cellIs" dxfId="164" priority="6" operator="between">
      <s:formula>0.01</s:formula>
      <s:formula>0.99</s:formula>
    </s:cfRule>
    <s:cfRule type="cellIs" dxfId="163" priority="4" operator="greaterThan">
      <s:formula>100</s:formula>
    </s:cfRule>
    <s:cfRule type="cellIs" dxfId="162" priority="3" operator="greaterThan">
      <s:formula>1</s:formula>
    </s:cfRule>
  </s:conditionalFormatting>
  <s:conditionalFormatting sqref="O44:O49">
    <s:cfRule type="cellIs" dxfId="161" priority="231" operator="between">
      <s:formula>0.85</s:formula>
      <s:formula>1</s:formula>
    </s:cfRule>
    <s:cfRule type="cellIs" dxfId="160" priority="232" operator="lessThan">
      <s:formula>0.9</s:formula>
    </s:cfRule>
    <s:cfRule type="cellIs" dxfId="159" priority="233" operator="between">
      <s:formula>0.9001</s:formula>
      <s:formula>0.9999</s:formula>
    </s:cfRule>
  </s:conditionalFormatting>
  <s:conditionalFormatting sqref="P10:Q10">
    <s:cfRule type="cellIs" dxfId="158" priority="221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500-000000000000}">
  <s:sheetPr>
    <s:pageSetUpPr fitToPage="1"/>
  </s:sheetPr>
  <s:dimension ref="A1:IU53"/>
  <s:sheetViews>
    <s:sheetView showZeros="0" tabSelected="0" workbookViewId="0">
      <s:pane xSplit="3" topLeftCell="D1" activePane="topRight" state="frozen"/>
      <s:selection activeCell="L37" sqref="L37"/>
      <s:selection pane="topRight" activeCell="L31" sqref="L31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79">
        <s:f ca="1">TODAY()-1</s:f>
        <s:v>46171</s:v>
      </s:c>
      <s:c r="C1" s="679"/>
      <s:c r="D1" s="11"/>
      <s:c r="E1" s="11"/>
      <s:c r="F1" s="12"/>
      <s:c r="G1" s="12"/>
      <s:c r="H1" s="12"/>
      <s:c r="I1" s="12"/>
      <s:c r="J1" s="198"/>
      <s:c r="K1" s="198"/>
      <s:c r="L1" s="198"/>
      <s:c r="M1" s="198"/>
      <s:c r="N1" s="198"/>
      <s:c r="O1" s="198"/>
      <s:c r="P1" s="198"/>
      <s:c r="Q1" s="680"/>
      <s:c r="R1" s="680"/>
      <s:c r="S1" s="680"/>
      <s:c r="T1" s="680"/>
      <s:c r="U1" s="12"/>
      <s:c r="V1" s="12"/>
      <s:c r="W1" s="12"/>
    </s:row>
    <s:row r="2" spans="2:23" ht="21.75" customHeight="1">
      <s:c r="B2" s="681" t="s">
        <s:v>0</s:v>
      </s:c>
      <s:c r="C2" s="681"/>
      <s:c r="D2" s="11"/>
      <s:c r="E2" s="11"/>
      <s:c r="F2" s="12"/>
      <s:c r="G2" s="12"/>
      <s:c r="H2" s="12"/>
      <s:c r="I2" s="12"/>
      <s:c r="J2" s="682" t="s">
        <s:v>71</s:v>
      </s:c>
      <s:c r="K2" s="682"/>
      <s:c r="L2" s="682"/>
      <s:c r="M2" s="682"/>
      <s:c r="N2" s="682"/>
      <s:c r="O2" s="682"/>
      <s:c r="P2" s="682"/>
      <s:c r="Q2" s="680"/>
      <s:c r="R2" s="680"/>
      <s:c r="S2" s="680"/>
      <s:c r="T2" s="680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3" t="str">
        <s:f>График!B27</s:f>
        <s:v>Вафина Ляйсан</s:v>
      </s:c>
      <s:c r="K3" s="684"/>
      <s:c r="L3" s="684"/>
      <s:c r="M3" s="684"/>
      <s:c r="N3" s="685"/>
      <s:c r="O3" s="198"/>
      <s:c r="P3" s="199"/>
      <s:c r="Q3" s="680"/>
      <s:c r="R3" s="680"/>
      <s:c r="S3" s="680"/>
      <s:c r="T3" s="680"/>
      <s:c r="U3" s="12"/>
      <s:c r="V3" s="12"/>
      <s:c r="W3" s="12"/>
    </s:row>
    <s:row r="4" spans="2:23" ht="15" customHeight="1">
      <s:c r="B4" s="11"/>
      <s:c r="C4" s="689">
        <s:f>I8-D48</s:f>
        <s:v>492916.80209424091</s:v>
      </s:c>
      <s:c r="D4" s="690"/>
      <s:c r="E4" s="200">
        <s:f>IF(I8&lt;&gt;0,C4/I8,0)</s:f>
        <s:v>0.53966069972421349</s:v>
      </s:c>
      <s:c r="F4" s="12"/>
      <s:c r="G4" s="12"/>
      <s:c r="H4" s="12"/>
      <s:c r="I4" s="12"/>
      <s:c r="J4" s="686"/>
      <s:c r="K4" s="687"/>
      <s:c r="L4" s="687"/>
      <s:c r="M4" s="687"/>
      <s:c r="N4" s="688"/>
      <s:c r="O4" s="12"/>
      <s:c r="P4" s="12"/>
      <s:c r="Q4" s="680"/>
      <s:c r="R4" s="680"/>
      <s:c r="S4" s="680"/>
      <s:c r="T4" s="680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1"/>
      <s:c r="K5" s="691"/>
      <s:c r="L5" s="691"/>
      <s:c r="M5" s="691"/>
      <s:c r="N5" s="691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01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01"/>
      <s:c r="C7" s="12"/>
      <s:c r="D7" s="12"/>
      <s:c r="E7" s="12"/>
      <s:c r="F7" s="598" t="s">
        <s:v>3</s:v>
      </s:c>
      <s:c r="G7" s="599"/>
      <s:c r="H7" s="600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1" t="s">
        <s:v>11</s:v>
      </s:c>
      <s:c r="Q7" s="602"/>
      <s:c r="R7" s="21"/>
      <s:c r="S7" s="21"/>
      <s:c r="T7" s="12"/>
      <s:c r="U7" s="12"/>
      <s:c r="V7" s="12"/>
      <s:c r="W7" s="12"/>
    </s:row>
    <s:row r="8" spans="2:23" ht="15.75" customHeight="1">
      <s:c r="B8" s="201"/>
      <s:c r="C8" s="12"/>
      <s:c r="D8" s="12"/>
      <s:c r="E8" s="12"/>
      <s:c r="F8" s="603" t="s">
        <s:v>12</s:v>
      </s:c>
      <s:c r="G8" s="604"/>
      <s:c r="H8" s="605"/>
      <s:c r="I8" s="202">
        <s:f>'Ялта, Ленина, 18'!I8/График!AJ31*График!AJ27</s:f>
        <s:v>913382.80209424091</s:v>
      </s:c>
      <s:c r="J8" s="203">
        <s:f>D48</s:f>
        <s:v>420466</s:v>
      </s:c>
      <s:c r="K8" s="268">
        <s:f>IF(AND(I8&lt;&gt;"",I8&lt;&gt;0,J8&lt;&gt;""),J8/I8,"")</s:f>
        <s:v>0.46033930027578646</s:v>
      </s:c>
      <s:c r="L8" s="205">
        <s:f>IF(SUMIF($D$25:$D$47,"&gt;=0",$P$25:$P$47)&lt;&gt;0,I8*D48/SUMIF($D$25:$D$47,"&gt;=0",$P$25:$P$47),0)</s:f>
        <s:v>639458.70833333326</s:v>
      </s:c>
      <s:c r="M8" s="32">
        <s:f>IF(AND(I8&lt;&gt;"",I8&lt;&gt;0,L8&lt;&gt;"",L8&lt;&gt;0),L8/I8,"")</s:f>
        <s:v>0.70009935250275845</s:v>
      </s:c>
      <s:c r="N8" s="35">
        <s:f>IF(AND(J8&lt;&gt;0,J8&lt;&gt;"",I8&lt;&gt;0,I8&lt;&gt;""),L8-I8,"")</s:f>
        <s:v>-273924.09376090765</s:v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01"/>
      <s:c r="C9" s="12"/>
      <s:c r="D9" s="12"/>
      <s:c r="E9" s="12"/>
      <s:c r="F9" s="606" t="s">
        <s:v>13</s:v>
      </s:c>
      <s:c r="G9" s="607"/>
      <s:c r="H9" s="608"/>
      <s:c r="I9" s="38">
        <s:f>I8/I11</s:f>
        <s:v>158.57340314136127</s:v>
      </s:c>
      <s:c r="J9" s="39">
        <s:f>E48</s:f>
        <s:v>86</s:v>
      </s:c>
      <s:c r="K9" s="269">
        <s:f>IF(AND(I9&lt;&gt;"",I9&lt;&gt;0,J9&lt;&gt;""),J9/I9,"")</s:f>
        <s:v>0.54233558904789825</s:v>
      </s:c>
      <s:c r="L9" s="207">
        <s:f>IF(SUMIF($E$25:$E$47,"&gt;=0",$Q$25:$Q$47)&lt;&gt;0,I9*E48/SUMIF($E$25:$E$47,"&gt;=0",$Q$25:$Q$47),0)</s:f>
        <s:v>121.73407202216067</s:v>
      </s:c>
      <s:c r="M9" s="42">
        <s:f>IF(AND(I9&lt;&gt;"",I9&lt;&gt;0,L9&lt;&gt;"",L9&lt;&gt;0),L9/I9,"")</s:f>
        <s:v>0.76768278671322998</s:v>
      </s:c>
      <s:c r="N9" s="43">
        <s:f>IF(AND(J9&lt;&gt;0,J9&lt;&gt;"",I9&lt;&gt;0,I9&lt;&gt;""),L9-I9,"")</s:f>
        <s:v>-36.839331119200594</s:v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01"/>
      <s:c r="C10" s="12"/>
      <s:c r="D10" s="12"/>
      <s:c r="E10" s="12"/>
      <s:c r="F10" s="603" t="s">
        <s:v>14</s:v>
      </s:c>
      <s:c r="G10" s="604"/>
      <s:c r="H10" s="605"/>
      <s:c r="I10" s="50">
        <s:f>I11*I12</s:f>
        <s:v>10944</s:v>
      </s:c>
      <s:c r="J10" s="209">
        <s:f>H48</s:f>
        <s:v>9140.565217391304</s:v>
      </s:c>
      <s:c r="K10" s="270">
        <s:f>IF(AND(I10&lt;&gt;"",I10&lt;&gt;0,J10&lt;&gt;""),J10/I10,"")</s:f>
        <s:v>0.83521246503941005</s:v>
      </s:c>
      <s:c r="L10" s="207">
        <s:f>J10</s:f>
        <s:v>9140.565217391304</s:v>
      </s:c>
      <s:c r="M10" s="48">
        <s:f>IF(AND(I10&lt;&gt;"",I10&lt;&gt;0,L10&lt;&gt;"",L10&lt;&gt;0),L10/I10,"")</s:f>
        <s:v>0.83521246503941005</s:v>
      </s:c>
      <s:c r="N10" s="49">
        <s:f>IF(AND(J10&lt;&gt;0,J10&lt;&gt;"",I10&lt;&gt;0,I10&lt;&gt;""),L10-I10,"")</s:f>
        <s:v>-1803.434782608696</s:v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613" t="s">
        <s:v>15</s:v>
      </s:c>
      <s:c r="T10" s="613"/>
      <s:c r="U10" s="12"/>
      <s:c r="V10" s="12"/>
      <s:c r="W10" s="12"/>
    </s:row>
    <s:row r="11" spans="2:23" ht="15.75" customHeight="1">
      <s:c r="B11" s="201"/>
      <s:c r="C11" s="12"/>
      <s:c r="D11" s="12"/>
      <s:c r="E11" s="12"/>
      <s:c r="F11" s="606" t="s">
        <s:v>16</s:v>
      </s:c>
      <s:c r="G11" s="607"/>
      <s:c r="H11" s="608"/>
      <s:c r="I11" s="52">
        <s:f>'Ялта, Ленина, 18'!I11</s:f>
        <s:v>5760</s:v>
      </s:c>
      <s:c r="J11" s="39">
        <s:f>F48</s:f>
        <s:v>4889.1395348837214</s:v>
      </s:c>
      <s:c r="K11" s="271">
        <s:f>IF(AND(I11&lt;&gt;"",I11&lt;&gt;0,J11&lt;&gt;""),J11/I11,"")</s:f>
        <s:v>0.8488089470284238</s:v>
      </s:c>
      <s:c r="L11" s="207">
        <s:f>IF(L9&gt;0,L8/L9,"")</s:f>
        <s:v>5252.9147978959018</s:v>
      </s:c>
      <s:c r="M11" s="42">
        <s:f>IF(AND(I11&lt;&gt;"",I11&lt;&gt;0,L11&lt;&gt;"",L11&lt;&gt;0),L11/I11,"")</s:f>
        <s:v>0.91196437463470514</s:v>
      </s:c>
      <s:c r="N11" s="43">
        <s:f>IF(AND(J11&lt;&gt;0,J11&lt;&gt;"",I11&lt;&gt;0,I11&lt;&gt;""),L11-I11,"")</s:f>
        <s:v>-507.08520210409824</s:v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613"/>
      <s:c r="T11" s="613"/>
      <s:c r="U11" s="12"/>
      <s:c r="V11" s="12"/>
      <s:c r="W11" s="12"/>
    </s:row>
    <s:row r="12" spans="2:23" ht="15.75" customHeight="1">
      <s:c r="B12" s="201"/>
      <s:c r="C12" s="12"/>
      <s:c r="D12" s="12"/>
      <s:c r="E12" s="12"/>
      <s:c r="F12" s="606" t="s">
        <s:v>17</s:v>
      </s:c>
      <s:c r="G12" s="607"/>
      <s:c r="H12" s="608"/>
      <s:c r="I12" s="54">
        <s:f>'Ялта, Ленина, 18'!I12</s:f>
        <s:v>1.9</s:v>
      </s:c>
      <s:c r="J12" s="55">
        <s:f>J48</s:f>
        <s:v>1.8695652173913044</s:v>
      </s:c>
      <s:c r="K12" s="271">
        <s:f>IF(AND(I12&lt;&gt;"",I12&lt;&gt;0,J12&lt;&gt;""),J12/I12,"")</s:f>
        <s:v>0.98398169336384445</s:v>
      </s:c>
      <s:c r="L12" s="213">
        <s:f>J12</s:f>
        <s:v>1.8695652173913044</s:v>
      </s:c>
      <s:c r="M12" s="42">
        <s:f>IF(AND(I12&lt;&gt;"",I12&lt;&gt;0,L12&lt;&gt;"",L12&lt;&gt;0),L12/I12,"")</s:f>
        <s:v>0.98398169336384445</s:v>
      </s:c>
      <s:c r="N12" s="57">
        <s:f>IF(AND(J12&lt;&gt;0,J12&lt;&gt;"",I12&lt;&gt;0,I12&lt;&gt;""),L12-I12,"")</s:f>
        <s:v>-3.0434782608695476E-2</s:v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18'!S12*График!AJ27/График!AJ31</s:f>
        <s:v>207801.04712041884</s:v>
      </s:c>
      <s:c r="T12" s="60">
        <s:f>L48</s:f>
        <s:v>108105</s:v>
      </s:c>
      <s:c r="U12" s="12"/>
      <s:c r="V12" s="12"/>
      <s:c r="W12" s="12"/>
    </s:row>
    <s:row r="13" spans="2:23" ht="15.75" customHeight="1">
      <s:c r="B13" s="201"/>
      <s:c r="C13" s="12"/>
      <s:c r="D13" s="12"/>
      <s:c r="E13" s="12"/>
      <s:c r="F13" s="606" t="s">
        <s:v>18</s:v>
      </s:c>
      <s:c r="G13" s="607"/>
      <s:c r="H13" s="608"/>
      <s:c r="I13" s="38">
        <s:f>IF(I12&lt;&gt;0,I9/I12,"")</s:f>
        <s:v>83.459685863874356</s:v>
      </s:c>
      <s:c r="J13" s="39">
        <s:f>G48</s:f>
        <s:v>46</s:v>
      </s:c>
      <s:c r="K13" s="269">
        <s:f>IF(AND(I13&lt;&gt;"",I13&lt;&gt;0,J13&lt;&gt;""),J13/I13,"")</s:f>
        <s:v>0.55116430793937565</s:v>
      </s:c>
      <s:c r="L13" s="207">
        <s:f>IF(SUMIF($G$25:$G$47,"&gt;=0",$R$25:$R$47)&lt;&gt;0,I13*G48/SUMIF($G$25:$G$47,"&gt;=0",$R$25:$R$47),"")</s:f>
        <s:v>65.113573407202196</s:v>
      </s:c>
      <s:c r="M13" s="42">
        <s:f>IF(AND(I13&lt;&gt;"",I13&lt;&gt;0,L13&lt;&gt;"",L13&lt;&gt;0),L13/I13,"")</s:f>
        <s:v>0.78017994835739846</s:v>
      </s:c>
      <s:c r="N13" s="57">
        <s:f>IF(AND(J13&lt;&gt;0,J13&lt;&gt;"",I13&lt;&gt;0,I13&lt;&gt;""),L13-I13,"")</s:f>
        <s:v>-18.346112456672159</s:v>
      </s:c>
      <s:c r="O13" s="61"/>
      <s:c r="P13" s="43" t="str">
        <s:f>IF(AND(O13&lt;&gt;"",O13&lt;&gt;0,L13&lt;&gt;"",L13&lt;&gt;0),-O13+L13,"")</s:f>
        <s:v/>
      </s:c>
      <s:c r="Q13" s="45" t="str">
        <s:f>IF(AND(P13&lt;&gt;"",P13&lt;&gt;0,O13&lt;&gt;0,O13&lt;&gt;""),P13/O13,"")</s:f>
        <s:v/>
      </s:c>
      <s:c r="R13" s="21"/>
      <s:c r="S13" s="62">
        <s:f>T12/S12</s:f>
        <s:v>0.52023318216175363</s:v>
      </s:c>
      <s:c r="T13" s="62">
        <s:f>S13/J14*I14</s:f>
        <s:v>0.52023318216175363</s:v>
      </s:c>
      <s:c r="U13" s="12"/>
      <s:c r="V13" s="12"/>
      <s:c r="W13" s="12"/>
    </s:row>
    <s:row r="14" spans="2:23" ht="15.75" customHeight="1">
      <s:c r="B14" s="201"/>
      <s:c r="C14" s="12"/>
      <s:c r="D14" s="214"/>
      <s:c r="E14" s="12"/>
      <s:c r="F14" s="606" t="s">
        <s:v>68</s:v>
      </s:c>
      <s:c r="G14" s="607"/>
      <s:c r="H14" s="608"/>
      <s:c r="I14" s="52">
        <s:f>График!AI27</s:f>
        <s:v>13</s:v>
      </s:c>
      <s:c r="J14" s="64">
        <s:v>13</s:v>
      </s:c>
      <s:c r="K14" s="269">
        <s:f>IF(AND(I14&lt;&gt;"",I14&lt;&gt;0,J14&lt;&gt;""),J14/I14,"")</s:f>
        <s:v>1</s:v>
      </s:c>
      <s:c r="L14" s="41">
        <s:f>I14</s:f>
        <s:v>13</s:v>
      </s:c>
      <s:c r="M14" s="42">
        <s:f>IF(AND(I14&lt;&gt;"",I14&lt;&gt;0,L14&lt;&gt;"",L14&lt;&gt;0),L14/I14,"")</s:f>
        <s:v>1</s:v>
      </s:c>
      <s:c r="N14" s="43">
        <s:f>IF(AND(J14&lt;&gt;0,J14&lt;&gt;"",I14&lt;&gt;0,I14&lt;&gt;""),L14-I14,"")</s:f>
        <s:v>0</s:v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01"/>
      <s:c r="C15" s="12"/>
      <s:c r="D15" s="12"/>
      <s:c r="E15" s="12"/>
      <s:c r="F15" s="606" t="s">
        <s:v>20</s:v>
      </s:c>
      <s:c r="G15" s="607"/>
      <s:c r="H15" s="608"/>
      <s:c r="I15" s="75">
        <s:f>'Ялта, Ленина, 18'!I15</s:f>
        <s:v>143585.28</s:v>
      </s:c>
      <s:c r="J15" s="67">
        <s:f>J8/J14</s:f>
        <s:v>32343.538461538461</s:v>
      </s:c>
      <s:c r="K15" s="77">
        <s:f>IF(AND(I15&lt;&gt;"",I15&lt;&gt;0,J15&lt;&gt;""),J15/I15,"")</s:f>
        <s:v>0.22525664512085405</s:v>
      </s:c>
      <s:c r="L15" s="72">
        <s:f>J15</s:f>
        <s:v>32343.538461538461</s:v>
      </s:c>
      <s:c r="M15" s="70">
        <s:f>IF(AND(I15&lt;&gt;"",I15&lt;&gt;0,L15&lt;&gt;"",L15&lt;&gt;0),L15/I15,"")</s:f>
        <s:v>0.22525664512085405</s:v>
      </s:c>
      <s:c r="N15" s="43">
        <s:f>IF(AND(J15&lt;&gt;0,J15&lt;&gt;"",I15&lt;&gt;0,I15&lt;&gt;""),L15-I15,"")</s:f>
        <s:v>-111241.74153846153</s:v>
      </s:c>
      <s:c r="O15" s="71"/>
      <s:c r="P15" s="43" t="str">
        <s:f>IF(AND(O15&lt;&gt;"",O15&lt;&gt;0,L15&lt;&gt;"",L15&lt;&gt;0),-O15+L15,"")</s:f>
        <s:v/>
      </s:c>
      <s:c r="Q15" s="45" t="str">
        <s:f>IF(AND(P15&lt;&gt;"",P15&lt;&gt;0,O15&lt;&gt;0,O15&lt;&gt;""),P15/O15,"")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01"/>
      <s:c r="C16" s="12"/>
      <s:c r="D16" s="12"/>
      <s:c r="E16" s="12"/>
      <s:c r="F16" s="606" t="s">
        <s:v>21</s:v>
      </s:c>
      <s:c r="G16" s="607"/>
      <s:c r="H16" s="608"/>
      <s:c r="I16" s="75"/>
      <s:c r="J16" s="67">
        <s:f>J8-I15*J14</s:f>
        <s:v>-1446142.64</s:v>
      </s:c>
      <s:c r="K16" s="77" t="str">
        <s:f>IF(AND(I16&lt;&gt;"",I16&lt;&gt;0,J16&lt;&gt;""),J16/I16,"")</s:f>
        <s:v/>
      </s:c>
      <s:c r="L16" s="72">
        <s:f>J16</s:f>
        <s:v>-1446142.64</s:v>
      </s:c>
      <s:c r="M16" s="73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613" t="s">
        <s:v>22</s:v>
      </s:c>
      <s:c r="T16" s="613"/>
      <s:c r="U16" s="12"/>
      <s:c r="V16" s="12"/>
      <s:c r="W16" s="12"/>
    </s:row>
    <s:row r="17" spans="1:30" ht="15.75" customHeight="1">
      <s:c r="B17" s="201"/>
      <s:c r="C17" s="12"/>
      <s:c r="D17" s="12"/>
      <s:c r="E17" s="12"/>
      <s:c r="F17" s="606" t="s">
        <s:v>23</s:v>
      </s:c>
      <s:c r="G17" s="607"/>
      <s:c r="H17" s="608"/>
      <s:c r="I17" s="75">
        <s:f>'Ялта, Ленина, 18'!I17/График!AJ31*График!AJ27</s:f>
        <s:v>339.26701570680626</s:v>
      </s:c>
      <s:c r="J17" s="67">
        <s:f>I48</s:f>
        <s:v>300</s:v>
      </s:c>
      <s:c r="K17" s="77">
        <s:f>IF(AND(I17&lt;&gt;"",I17&lt;&gt;0,J17&lt;&gt;""),J17/I17,"")</s:f>
        <s:v>0.8842592592592593</s:v>
      </s:c>
      <s:c r="L17" s="78">
        <s:f>J17/J14*I14</s:f>
        <s:v>300</s:v>
      </s:c>
      <s:c r="M17" s="73">
        <s:f>IF(AND(I17&lt;&gt;"",I17&lt;&gt;0,L17&lt;&gt;"",L17&lt;&gt;0),L17/I17,"")</s:f>
        <s:v>0.8842592592592593</s:v>
      </s:c>
      <s:c r="N17" s="43">
        <s:f>IF(AND(J17&lt;&gt;0,J17&lt;&gt;"",I17&lt;&gt;0,I17&lt;&gt;""),L17-I17,"")</s:f>
        <s:v>-39.267015706806262</s:v>
      </s:c>
      <s:c r="O17" s="71"/>
      <s:c r="P17" s="43" t="str">
        <s:f>IF(AND(O17&lt;&gt;"",O17&lt;&gt;0,L17&lt;&gt;"",L17&lt;&gt;0),-O17+L17,"")</s:f>
        <s:v/>
      </s:c>
      <s:c r="Q17" s="45" t="str">
        <s:f>IF(AND(P17&lt;&gt;"",P17&lt;&gt;0,O17&lt;&gt;0,O17&lt;&gt;""),P17/O17,"")</s:f>
        <s:v/>
      </s:c>
      <s:c r="R17" s="21"/>
      <s:c r="S17" s="613"/>
      <s:c r="T17" s="613"/>
      <s:c r="U17" s="12"/>
      <s:c r="V17" s="12"/>
      <s:c r="W17" s="12"/>
    </s:row>
    <s:row r="18" spans="1:30" ht="15.75" customHeight="1">
      <s:c r="B18" s="201"/>
      <s:c r="C18" s="12"/>
      <s:c r="D18" s="12"/>
      <s:c r="E18" s="12"/>
      <s:c r="F18" s="606"/>
      <s:c r="G18" s="607"/>
      <s:c r="H18" s="608"/>
      <s:c r="I18" s="76"/>
      <s:c r="J18" s="67"/>
      <s:c r="K18" s="77" t="str">
        <s:f>IF(AND(I18&lt;&gt;"",I18&lt;&gt;0,J18&lt;&gt;""),J18/I18,"")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18'!S18*График!AJ27/График!AJ31</s:f>
        <s:v>165392.67015706806</s:v>
      </s:c>
      <s:c r="T18" s="60">
        <s:f>K48</s:f>
        <s:v>8184</s:v>
      </s:c>
      <s:c r="U18" s="12"/>
      <s:c r="V18" s="12"/>
      <s:c r="W18" s="12"/>
    </s:row>
    <s:row r="19" spans="1:30" ht="15.75" customHeight="1">
      <s:c r="B19" s="201"/>
      <s:c r="C19" s="12"/>
      <s:c r="D19" s="12"/>
      <s:c r="E19" s="12"/>
      <s:c r="F19" s="606"/>
      <s:c r="G19" s="607"/>
      <s:c r="H19" s="608"/>
      <s:c r="I19" s="76"/>
      <s:c r="J19" s="67">
        <s:f>M48</s:f>
        <s:v>0</s:v>
      </s:c>
      <s:c r="K19" s="77" t="str">
        <s:f>IF(AND(I19&lt;&gt;"",I19&lt;&gt;0,J19&lt;&gt;""),J19/I19,"")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>
        <s:f>T18/S18</s:f>
        <s:v>4.9482241215574548E-2</s:v>
      </s:c>
      <s:c r="T19" s="62">
        <s:f>S19/J14*I14</s:f>
        <s:v>4.9482241215574548E-2</s:v>
      </s:c>
      <s:c r="U19" s="12"/>
      <s:c r="V19" s="12"/>
      <s:c r="W19" s="12"/>
    </s:row>
    <s:row r="20" spans="1:30" ht="15.75" customHeight="1">
      <s:c r="B20" s="201"/>
      <s:c r="C20" s="12"/>
      <s:c r="D20" s="12"/>
      <s:c r="E20" s="12"/>
      <s:c r="F20" s="614" t="s">
        <s:v>24</s:v>
      </s:c>
      <s:c r="G20" s="614"/>
      <s:c r="H20" s="614"/>
      <s:c r="I20" s="217">
        <s:f>'Ялта, Ленина, 18'!I20</s:f>
        <s:v>0.246</s:v>
      </s:c>
      <s:c r="J20" s="218">
        <s:f>N48</s:f>
        <s:v>0.15333333333333332</s:v>
      </s:c>
      <s:c r="K20" s="218">
        <s:f>J20/I20</s:f>
        <s:v>0.62330623306233057</s:v>
      </s:c>
      <s:c r="L20" s="220">
        <s:f>IF(AND(K8&lt;&gt;0,I14&lt;&gt;0,I48&lt;&gt;0),(I48*N48+(I48/K8-I48)*I20)/(I48/K8),0)</s:f>
        <s:v>0.20334189150777712</s:v>
      </s:c>
      <s:c r="M20" s="83">
        <s:f>IF(AND(I20&lt;&gt;"",I20&lt;&gt;0,L20&lt;&gt;"",L20&lt;&gt;0),L20/I20,"")</s:f>
        <s:v>0.82659305490966306</s:v>
      </s:c>
      <s:c r="N20" s="84">
        <s:f>IF(AND(J20&lt;&gt;0,J20&lt;&gt;"",I20&lt;&gt;0,I20&lt;&gt;""),L20-I20,"")</s:f>
        <s:v>-4.2658108492222874E-2</s:v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30" ht="15.75" customHeight="1">
      <s:c r="B21" s="201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30" ht="16.5" customHeight="1">
      <s:c r="B22" s="698" t="s">
        <s:v>25</s:v>
      </s:c>
      <s:c r="C22" s="698"/>
      <s:c r="D22" s="698"/>
      <s:c r="E22" s="698"/>
      <s:c r="F22" s="698"/>
      <s:c r="G22" s="698"/>
      <s:c r="H22" s="698"/>
      <s:c r="I22" s="698"/>
      <s:c r="J22" s="698"/>
      <s:c r="K22" s="698"/>
      <s:c r="L22" s="698"/>
      <s:c r="M22" s="698"/>
      <s:c r="N22" s="698"/>
      <s:c r="O22" s="699" t="s">
        <s:v>26</s:v>
      </s:c>
      <s:c r="P22" s="698" t="s">
        <s:v>27</s:v>
      </s:c>
      <s:c r="Q22" s="698"/>
      <s:c r="R22" s="698"/>
      <s:c r="S22" s="698"/>
      <s:c r="T22" s="698"/>
      <s:c r="U22" s="698"/>
      <s:c r="V22" s="698"/>
      <s:c r="W22" s="698"/>
    </s:row>
    <s:row r="23" ht="36">
      <s:c r="B23" s="221" t="s">
        <s:v>29</s:v>
      </s:c>
      <s:c r="C23" s="221" t="s">
        <s:v>30</s:v>
      </s:c>
      <s:c r="D23" s="221" t="s">
        <s:v>31</s:v>
      </s:c>
      <s:c r="E23" s="221" t="s">
        <s:v>32</s:v>
      </s:c>
      <s:c r="F23" s="221" t="s">
        <s:v>33</s:v>
      </s:c>
      <s:c r="G23" s="221" t="s">
        <s:v>34</s:v>
      </s:c>
      <s:c r="H23" s="221" t="s">
        <s:v>35</s:v>
      </s:c>
      <s:c r="I23" s="221" t="s">
        <s:v>23</s:v>
      </s:c>
      <s:c r="J23" s="221" t="s">
        <s:v>36</s:v>
      </s:c>
      <s:c r="K23" s="90" t="s">
        <s:v>22</s:v>
      </s:c>
      <s:c r="L23" s="90" t="s">
        <s:v>15</s:v>
      </s:c>
      <s:c r="M23" s="222" t="s">
        <s:v>37</s:v>
      </s:c>
      <s:c r="N23" s="221" t="s">
        <s:v>38</s:v>
      </s:c>
      <s:c r="O23" s="699"/>
      <s:c r="P23" s="221" t="s">
        <s:v>39</s:v>
      </s:c>
      <s:c r="Q23" s="221" t="s">
        <s:v>40</s:v>
      </s:c>
      <s:c r="R23" s="221" t="s">
        <s:v>41</s:v>
      </s:c>
      <s:c r="S23" s="221" t="s">
        <s:v>42</s:v>
      </s:c>
      <s:c r="T23" s="221" t="s">
        <s:v>43</s:v>
      </s:c>
      <s:c r="U23" s="221" t="s">
        <s:v>44</s:v>
      </s:c>
      <s:c r="V23" s="223" t="s">
        <s:v>45</s:v>
      </s:c>
      <s:c r="W23" s="223" t="s">
        <s:v>46</s:v>
      </s:c>
      <s:c r="X23" s="224"/>
    </s:row>
    <s:row r="24">
      <s:c r="B24" s="225">
        <s:v>1</s:v>
      </s:c>
      <s:c r="C24" s="226">
        <s:v>2</s:v>
      </s:c>
      <s:c r="D24" s="225">
        <s:v>3</s:v>
      </s:c>
      <s:c r="E24" s="225">
        <s:v>4</s:v>
      </s:c>
      <s:c r="F24" s="225">
        <s:v>5</s:v>
      </s:c>
      <s:c r="G24" s="225">
        <s:v>6</s:v>
      </s:c>
      <s:c r="H24" s="225">
        <s:v>7</s:v>
      </s:c>
      <s:c r="I24" s="225">
        <s:v>8</s:v>
      </s:c>
      <s:c r="J24" s="225">
        <s:v>9</s:v>
      </s:c>
      <s:c r="K24" s="225">
        <s:v>10</s:v>
      </s:c>
      <s:c r="L24" s="225">
        <s:v>11</s:v>
      </s:c>
      <s:c r="M24" s="225">
        <s:v>12</s:v>
      </s:c>
      <s:c r="N24" s="225">
        <s:v>13</s:v>
      </s:c>
      <s:c r="O24" s="699"/>
      <s:c r="P24" s="227">
        <s:v>1</s:v>
      </s:c>
      <s:c r="Q24" s="227">
        <s:v>2</s:v>
      </s:c>
      <s:c r="R24" s="227">
        <s:v>3</s:v>
      </s:c>
      <s:c r="S24" s="227">
        <s:v>4</s:v>
      </s:c>
      <s:c r="T24" s="227">
        <s:v>5</s:v>
      </s:c>
      <s:c r="U24" s="227">
        <s:v>6</s:v>
      </s:c>
      <s:c r="V24" s="227">
        <s:v>10</s:v>
      </s:c>
      <s:c r="W24" s="227">
        <s:v>11</s:v>
      </s:c>
    </s:row>
    <s:row r="25">
      <s:c r="A25" s="95">
        <s:v>1</s:v>
      </s:c>
      <s:c r="B25" s="96">
        <s:v>45809</s:v>
      </s:c>
      <s:c r="C25" s="97" t="s">
        <s:v>49</s:v>
      </s:c>
      <s:c r="D25" s="98">
        <s:f>5883+220</s:f>
        <s:v>6103</s:v>
      </s:c>
      <s:c r="E25" s="99">
        <s:v>1</s:v>
      </s:c>
      <s:c r="F25" s="99">
        <s:f>IF(AND(E25&lt;&gt;"",E25&lt;&gt;0),D25/E25,"")</s:f>
        <s:v>6103</s:v>
      </s:c>
      <s:c r="G25" s="99">
        <s:v>2</s:v>
      </s:c>
      <s:c r="H25" s="99">
        <s:f>IF(AND(G25&lt;&gt;"",G25&lt;&gt;0),D25/G25,"")</s:f>
        <s:v>3051.5</s:v>
      </s:c>
      <s:c r="I25" s="99">
        <s:v>15</s:v>
      </s:c>
      <s:c r="J25" s="98">
        <s:f>IF(AND(G25&lt;&gt;"",G25&lt;&gt;0),E25/G25,"")</s:f>
        <s:v>0.5</s:v>
      </s:c>
      <s:c r="K25" s="99"/>
      <s:c r="L25" s="99">
        <s:v>220</s:v>
      </s:c>
      <s:c r="M25" s="99"/>
      <s:c r="N25" s="100">
        <s:f>IF(AND(I25&lt;&gt;"",I25&lt;&gt;0),G25/I25,"")</s:f>
        <s:v>0.13333333333333333</s:v>
      </s:c>
      <s:c r="O25" s="101">
        <s:f>D25/P25</s:f>
        <s:v>9.4843798510130334E-2</s:v>
      </s:c>
      <s:c r="P25" s="102">
        <s:f>$I$8*V25*W25/SUMPRODUCT($W$25:$W$55,$V$25:$V$55)</s:f>
        <s:v>64347.907779633417</s:v>
      </s:c>
      <s:c r="Q25" s="103">
        <s:f>$I$9*V25*W25/SUMPRODUCT($W$25:$W$55,$V$25:$V$55)</s:f>
        <s:v>11.171511767297469</s:v>
      </s:c>
      <s:c r="R25" s="103">
        <s:f>IF($I$12="","",Q25/$I$12)</s:f>
        <s:v>5.8797430354197209</s:v>
      </s:c>
      <s:c r="S25" s="102">
        <s:f>IF(W25&lt;&gt;"",IF(D25&lt;&gt;"",D25,($I$8-SUM($S24:S$25))*V25*W25/SUMPRODUCT($W25:$W$55,$V25:$V$55)),"")</s:f>
        <s:v>6103</s:v>
      </s:c>
      <s:c r="T25" s="103">
        <s:f>IF(W25&lt;&gt;"",IF(E25&lt;&gt;"",E25,($I$9-SUM($T24:T$25))*V25*W25/SUMPRODUCT($W25:$W$55,$V25:$V$55)),"")</s:f>
        <s:v>1</s:v>
      </s:c>
      <s:c r="U25" s="103">
        <s:f>IF(W25&lt;&gt;"",IF($I$12&lt;&gt;"",IF(G25&lt;&gt;"",G25,($I$9/$I$12-SUM($U24:U$25))*V25*W25/SUMPRODUCT($W25:$W$55,$V25:$V$55)),""),"")</s:f>
        <s:v>2</s:v>
      </s:c>
      <s:c r="V25" s="104">
        <s:v>1.2</s:v>
      </s:c>
      <s:c r="W25" s="104">
        <s:v>1.2</s:v>
      </s:c>
      <s:c r="X25" s="107"/>
      <s:c r="Y25" s="106"/>
      <s:c r="Z25" s="2"/>
      <s:c r="AA25" s="2"/>
      <s:c r="AB25" s="2"/>
      <s:c r="AC25" s="2"/>
      <s:c r="AD25" s="2"/>
    </s:row>
    <s:row r="26">
      <s:c r="A26" s="95">
        <s:v>2</s:v>
      </s:c>
      <s:c r="B26" s="96">
        <s:v>45810</s:v>
      </s:c>
      <s:c r="C26" s="97" t="s">
        <s:v>51</s:v>
      </s:c>
      <s:c r="D26" s="98">
        <s:v>13865</s:v>
      </s:c>
      <s:c r="E26" s="99">
        <s:v>3</s:v>
      </s:c>
      <s:c r="F26" s="99">
        <s:f>IF(AND(E26&lt;&gt;"",E26&lt;&gt;0),D26/E26,"")</s:f>
        <s:v>4621.666666666667</s:v>
      </s:c>
      <s:c r="G26" s="99">
        <s:v>3</s:v>
      </s:c>
      <s:c r="H26" s="99">
        <s:f>IF(AND(G26&lt;&gt;"",G26&lt;&gt;0),D26/G26,"")</s:f>
        <s:v>4621.666666666667</s:v>
      </s:c>
      <s:c r="I26" s="99">
        <s:v>17</s:v>
      </s:c>
      <s:c r="J26" s="98">
        <s:f>IF(AND(G26&lt;&gt;"",G26&lt;&gt;0),E26/G26,"")</s:f>
        <s:v>1</s:v>
      </s:c>
      <s:c r="K26" s="99"/>
      <s:c r="L26" s="99"/>
      <s:c r="M26" s="99"/>
      <s:c r="N26" s="100">
        <s:f>IF(AND(I26&lt;&gt;"",I26&lt;&gt;0),G26/I26,"")</s:f>
        <s:v>0.17647058823529413</s:v>
      </s:c>
      <s:c r="O26" s="101">
        <s:f>D26/P26</s:f>
        <s:v>0.31027582230605572</s:v>
      </s:c>
      <s:c r="P26" s="102">
        <s:f>$I$8*V26*W26/SUMPRODUCT($W$25:$W$55,$V$25:$V$55)</s:f>
        <s:v>44686.047069189874</s:v>
      </s:c>
      <s:c r="Q26" s="103">
        <s:f>$I$9*V26*W26/SUMPRODUCT($W$25:$W$55,$V$25:$V$55)</s:f>
        <s:v>7.7579942828454644</s:v>
      </s:c>
      <s:c r="R26" s="103">
        <s:f>IF($I$12="","",Q26/$I$12)</s:f>
        <s:v>4.0831548857081392</s:v>
      </s:c>
      <s:c r="S26" s="102">
        <s:f>IF(W26&lt;&gt;"",IF(D26&lt;&gt;"",D26,($I$8-SUM($S25:S$25))*V26*W26/SUMPRODUCT($W26:$W$55,$V26:$V$55)),"")</s:f>
        <s:v>13865</s:v>
      </s:c>
      <s:c r="T26" s="103">
        <s:f>IF(W26&lt;&gt;"",IF(E26&lt;&gt;"",E26,($I$9-SUM($T25:T$25))*V26*W26/SUMPRODUCT($W26:$W$55,$V26:$V$55)),"")</s:f>
        <s:v>3</s:v>
      </s:c>
      <s:c r="U26" s="103">
        <s:f>IF(W26&lt;&gt;"",IF($I$12&lt;&gt;"",IF(G26&lt;&gt;"",G26,($I$9/$I$12-SUM($U25:U$25))*V26*W26/SUMPRODUCT($W26:$W$55,$V26:$V$55)),""),"")</s:f>
        <s:v>3</s:v>
      </s:c>
      <s:c r="V26" s="104">
        <s:v>1</s:v>
      </s:c>
      <s:c r="W26" s="104">
        <s:v>1</s:v>
      </s:c>
      <s:c r="X26" s="107"/>
      <s:c r="Y26" s="106"/>
      <s:c r="Z26" s="2"/>
      <s:c r="AA26" s="2"/>
      <s:c r="AB26" s="2"/>
      <s:c r="AC26" s="2"/>
      <s:c r="AD26" s="2"/>
    </s:row>
    <s:row r="27">
      <s:c r="A27" s="95">
        <s:v>3</s:v>
      </s:c>
      <s:c r="B27" s="96">
        <s:v>45812</s:v>
      </s:c>
      <s:c r="C27" s="97" t="s">
        <s:v>56</s:v>
      </s:c>
      <s:c r="D27" s="98">
        <s:f>19026+21847</s:f>
        <s:v>40873</s:v>
      </s:c>
      <s:c r="E27" s="99">
        <s:v>8</s:v>
      </s:c>
      <s:c r="F27" s="99">
        <s:v>5109</s:v>
      </s:c>
      <s:c r="G27" s="99">
        <s:v>4</s:v>
      </s:c>
      <s:c r="H27" s="99">
        <s:f>IF(AND(G27&lt;&gt;"",G27&lt;&gt;0),D27/G27,"")</s:f>
        <s:v>10218.25</s:v>
      </s:c>
      <s:c r="I27" s="99">
        <s:v>17</s:v>
      </s:c>
      <s:c r="J27" s="98">
        <s:f>IF(AND(G27&lt;&gt;"",G27&lt;&gt;0),E27/G27,"")</s:f>
        <s:v>2</s:v>
      </s:c>
      <s:c r="K27" s="99"/>
      <s:c r="L27" s="99">
        <s:v>19026</s:v>
      </s:c>
      <s:c r="M27" s="99"/>
      <s:c r="N27" s="100">
        <s:f>IF(AND(I27&lt;&gt;"",I27&lt;&gt;0),G27/I27,"")</s:f>
        <s:v>0.23529411764705882</s:v>
      </s:c>
      <s:c r="O27" s="101">
        <s:f>D27/P27</s:f>
        <s:v>0.91467029824128498</s:v>
      </s:c>
      <s:c r="P27" s="102">
        <s:f>$I$8*V27*W27/SUMPRODUCT($W$25:$W$55,$V$25:$V$55)</s:f>
        <s:v>44686.047069189874</s:v>
      </s:c>
      <s:c r="Q27" s="103">
        <s:f>$I$9*V27*W27/SUMPRODUCT($W$25:$W$55,$V$25:$V$55)</s:f>
        <s:v>7.7579942828454644</s:v>
      </s:c>
      <s:c r="R27" s="103">
        <s:f>IF($I$12="","",Q27/$I$12)</s:f>
        <s:v>4.0831548857081392</s:v>
      </s:c>
      <s:c r="S27" s="102">
        <s:f>IF(W27&lt;&gt;"",IF(D27&lt;&gt;"",D27,($I$8-SUM($S$25:S26))*V27*W27/SUMPRODUCT($W27:$W$55,$V27:$V$55)),"")</s:f>
        <s:v>40873</s:v>
      </s:c>
      <s:c r="T27" s="103">
        <s:f>IF(W27&lt;&gt;"",IF(E27&lt;&gt;"",E27,($I$9-SUM($T$25:T26))*V27*W27/SUMPRODUCT($W27:$W$55,$V27:$V$55)),"")</s:f>
        <s:v>8</s:v>
      </s:c>
      <s:c r="U27" s="103">
        <s:f>IF(W27&lt;&gt;"",IF($I$12&lt;&gt;"",IF(G27&lt;&gt;"",G27,($I$9/$I$12-SUM($U$25:U26))*V27*W27/SUMPRODUCT($W27:$W$55,$V27:$V$55)),""),"")</s:f>
        <s:v>4</s:v>
      </s:c>
      <s:c r="V27" s="104">
        <s:v>1</s:v>
      </s:c>
      <s:c r="W27" s="104">
        <s:v>1</s:v>
      </s:c>
      <s:c r="X27" s="107"/>
      <s:c r="Y27" s="106"/>
      <s:c r="Z27" s="111"/>
      <s:c r="AA27" s="2"/>
      <s:c r="AB27" s="2"/>
      <s:c r="AC27" s="2"/>
      <s:c r="AD27" s="2"/>
    </s:row>
    <s:row r="28">
      <s:c r="A28" s="95">
        <s:v>4</s:v>
      </s:c>
      <s:c r="B28" s="96">
        <s:v>45813</s:v>
      </s:c>
      <s:c r="C28" s="97" t="s">
        <s:v>73</s:v>
      </s:c>
      <s:c r="D28" s="98">
        <s:v>50430</s:v>
      </s:c>
      <s:c r="E28" s="99">
        <s:v>12</s:v>
      </s:c>
      <s:c r="F28" s="99">
        <s:v>4202</s:v>
      </s:c>
      <s:c r="G28" s="99">
        <s:v>4</s:v>
      </s:c>
      <s:c r="H28" s="99">
        <s:f>IF(AND(G28&lt;&gt;"",G28&lt;&gt;0),D28/G28,"")</s:f>
        <s:v>12607.5</s:v>
      </s:c>
      <s:c r="I28" s="99">
        <s:v>20</s:v>
      </s:c>
      <s:c r="J28" s="98">
        <s:f>IF(AND(G28&lt;&gt;"",G28&lt;&gt;0),E28/G28,"")</s:f>
        <s:v>3</s:v>
      </s:c>
      <s:c r="K28" s="99"/>
      <s:c r="L28" s="99"/>
      <s:c r="M28" s="99"/>
      <s:c r="N28" s="100">
        <s:f>IF(AND(I28&lt;&gt;"",I28&lt;&gt;0),G28/I28,"")</s:f>
        <s:v>0.2</s:v>
      </s:c>
      <s:c r="O28" s="101">
        <s:f>D28/P28</s:f>
        <s:v>1.1285401888852788</s:v>
      </s:c>
      <s:c r="P28" s="102">
        <s:f>$I$8*V28*W28/SUMPRODUCT($W$25:$W$55,$V$25:$V$55)</s:f>
        <s:v>44686.047069189874</s:v>
      </s:c>
      <s:c r="Q28" s="103">
        <s:f>$I$9*V28*W28/SUMPRODUCT($W$25:$W$55,$V$25:$V$55)</s:f>
        <s:v>7.7579942828454644</s:v>
      </s:c>
      <s:c r="R28" s="103">
        <s:f>IF($I$12="","",Q28/$I$12)</s:f>
        <s:v>4.0831548857081392</s:v>
      </s:c>
      <s:c r="S28" s="102">
        <s:f>IF(W28&lt;&gt;"",IF(D28&lt;&gt;"",D28,($I$8-SUM($S$25:S27))*V28*W28/SUMPRODUCT($W28:$W$55,$V28:$V$55)),"")</s:f>
        <s:v>50430</s:v>
      </s:c>
      <s:c r="T28" s="103">
        <s:f>IF(W28&lt;&gt;"",IF(E28&lt;&gt;"",E28,($I$9-SUM($T$25:T27))*V28*W28/SUMPRODUCT($W28:$W$55,$V28:$V$55)),"")</s:f>
        <s:v>12</s:v>
      </s:c>
      <s:c r="U28" s="103">
        <s:f>IF(W28&lt;&gt;"",IF($I$12&lt;&gt;"",IF(G28&lt;&gt;"",G28,($I$9/$I$12-SUM($U$25:U27))*V28*W28/SUMPRODUCT($W28:$W$55,$V28:$V$55)),""),"")</s:f>
        <s:v>4</s:v>
      </s:c>
      <s:c r="V28" s="104">
        <s:v>1</s:v>
      </s:c>
      <s:c r="W28" s="104">
        <s:v>1</s:v>
      </s:c>
      <s:c r="X28" s="107"/>
      <s:c r="Y28" s="106"/>
      <s:c r="Z28" s="111"/>
    </s:row>
    <s:row r="29">
      <s:c r="A29" s="95">
        <s:v>5</s:v>
      </s:c>
      <s:c r="B29" s="96">
        <s:v>45816</s:v>
      </s:c>
      <s:c r="C29" s="97" t="s">
        <s:v>49</s:v>
      </s:c>
      <s:c r="D29" s="98">
        <s:f>39403+9503</s:f>
        <s:v>48906</s:v>
      </s:c>
      <s:c r="E29" s="108">
        <s:v>11</s:v>
      </s:c>
      <s:c r="F29" s="99">
        <s:f>IF(AND(E29&lt;&gt;"",E29&lt;&gt;0),D29/E29,"")</s:f>
        <s:v>4446</s:v>
      </s:c>
      <s:c r="G29" s="108">
        <s:v>6</s:v>
      </s:c>
      <s:c r="H29" s="99">
        <s:f>IF(AND(G29&lt;&gt;"",G29&lt;&gt;0),D29/G29,"")</s:f>
        <s:v>8151</s:v>
      </s:c>
      <s:c r="I29" s="108">
        <s:v>35</s:v>
      </s:c>
      <s:c r="J29" s="98">
        <s:f>IF(AND(G29&lt;&gt;"",G29&lt;&gt;0),E29/G29,"")</s:f>
        <s:v>1.8333333333333333</s:v>
      </s:c>
      <s:c r="K29" s="99"/>
      <s:c r="L29" s="99">
        <s:v>9503</s:v>
      </s:c>
      <s:c r="M29" s="99"/>
      <s:c r="N29" s="100">
        <s:f>IF(AND(I29&lt;&gt;"",I29&lt;&gt;0),G29/I29,"")</s:f>
        <s:v>0.17142857142857143</s:v>
      </s:c>
      <s:c r="O29" s="101">
        <s:f>D29/P29</s:f>
        <s:v>1.0944355835340758</s:v>
      </s:c>
      <s:c r="P29" s="102">
        <s:f>$I$8*V29*W29/SUMPRODUCT($W$25:$W$55,$V$25:$V$55)</s:f>
        <s:v>44686.047069189874</s:v>
      </s:c>
      <s:c r="Q29" s="103">
        <s:f>$I$9*V29*W29/SUMPRODUCT($W$25:$W$55,$V$25:$V$55)</s:f>
        <s:v>7.7579942828454644</s:v>
      </s:c>
      <s:c r="R29" s="103">
        <s:f>IF($I$12="","",Q29/$I$12)</s:f>
        <s:v>4.0831548857081392</s:v>
      </s:c>
      <s:c r="S29" s="102">
        <s:f>IF(W29&lt;&gt;"",IF(D29&lt;&gt;"",D29,($I$8-SUM($S$25:S28))*V29*W29/SUMPRODUCT($W29:$W$55,$V29:$V$55)),"")</s:f>
        <s:v>48906</s:v>
      </s:c>
      <s:c r="T29" s="103">
        <s:f>IF(W29&lt;&gt;"",IF(E29&lt;&gt;"",E29,($I$9-SUM($T$25:T28))*V29*W29/SUMPRODUCT($W29:$W$55,$V29:$V$55)),"")</s:f>
        <s:v>11</s:v>
      </s:c>
      <s:c r="U29" s="103">
        <s:f>IF(W29&lt;&gt;"",IF($I$12&lt;&gt;"",IF(G29&lt;&gt;"",G29,($I$9/$I$12-SUM($U$25:U28))*V29*W29/SUMPRODUCT($W29:$W$55,$V29:$V$55)),""),"")</s:f>
        <s:v>6</s:v>
      </s:c>
      <s:c r="V29" s="104">
        <s:v>1</s:v>
      </s:c>
      <s:c r="W29" s="104">
        <s:v>1</s:v>
      </s:c>
      <s:c r="X29" s="106"/>
      <s:c r="Y29" s="106"/>
      <s:c r="Z29" s="2"/>
      <s:c r="AA29" s="2"/>
      <s:c r="AB29" s="2"/>
      <s:c r="AC29" s="2"/>
      <s:c r="AD29" s="2"/>
    </s:row>
    <s:row r="30">
      <s:c r="A30" s="95">
        <s:v>6</s:v>
      </s:c>
      <s:c r="B30" s="96">
        <s:v>45817</s:v>
      </s:c>
      <s:c r="C30" s="97" t="s">
        <s:v>51</s:v>
      </s:c>
      <s:c r="D30" s="272">
        <s:v>13375</s:v>
      </s:c>
      <s:c r="E30" s="99">
        <s:v>3</s:v>
      </s:c>
      <s:c r="F30" s="108">
        <s:f>IF(AND(E30&lt;&gt;"",E30&lt;&gt;0),D30/E30,"")</s:f>
        <s:v>4458.333333333333</s:v>
      </s:c>
      <s:c r="G30" s="99">
        <s:v>2</s:v>
      </s:c>
      <s:c r="H30" s="108">
        <s:f>IF(AND(G30&lt;&gt;"",G30&lt;&gt;0),D30/G30,"")</s:f>
        <s:v>6687.5</s:v>
      </s:c>
      <s:c r="I30" s="99">
        <s:v>17</s:v>
      </s:c>
      <s:c r="J30" s="272">
        <s:f>IF(AND(G30&lt;&gt;"",G30&lt;&gt;0),E30/G30,"")</s:f>
        <s:v>1.5</s:v>
      </s:c>
      <s:c r="K30" s="99"/>
      <s:c r="L30" s="99"/>
      <s:c r="M30" s="99"/>
      <s:c r="N30" s="100">
        <s:f>IF(AND(I30&lt;&gt;"",I30&lt;&gt;0),G30/I30,"")</s:f>
        <s:v>0.11764705882352941</s:v>
      </s:c>
      <s:c r="O30" s="101">
        <s:f>D30/P30</s:f>
        <s:v>0.29931043082174508</s:v>
      </s:c>
      <s:c r="P30" s="102">
        <s:f>$I$8*V30*W30/SUMPRODUCT($W$25:$W$55,$V$25:$V$55)</s:f>
        <s:v>44686.047069189874</s:v>
      </s:c>
      <s:c r="Q30" s="103">
        <s:f>$I$9*V30*W30/SUMPRODUCT($W$25:$W$55,$V$25:$V$55)</s:f>
        <s:v>7.7579942828454644</s:v>
      </s:c>
      <s:c r="R30" s="103">
        <s:f>IF($I$12="","",Q30/$I$12)</s:f>
        <s:v>4.0831548857081392</s:v>
      </s:c>
      <s:c r="S30" s="102">
        <s:f>IF(W30&lt;&gt;"",IF(D30&lt;&gt;"",D30,($I$8-SUM($S$25:S29))*V30*W30/SUMPRODUCT($W30:$W$55,$V30:$V$55)),"")</s:f>
        <s:v>13375</s:v>
      </s:c>
      <s:c r="T30" s="103">
        <s:f>IF(W30&lt;&gt;"",IF(E29&lt;&gt;"",E29,($I$9-SUM($T$25:T29))*V30*W30/SUMPRODUCT($W30:$W$55,$V30:$V$55)),"")</s:f>
        <s:v>11</s:v>
      </s:c>
      <s:c r="U30" s="103">
        <s:f>IF(W30&lt;&gt;"",IF($I$12&lt;&gt;"",IF(G30&lt;&gt;"",G30,($I$9/$I$12-SUM($U$25:U29))*V30*W30/SUMPRODUCT($W30:$W$55,$V30:$V$55)),""),"")</s:f>
        <s:v>2</s:v>
      </s:c>
      <s:c r="V30" s="104">
        <s:v>1</s:v>
      </s:c>
      <s:c r="W30" s="104">
        <s:v>1</s:v>
      </s:c>
      <s:c r="X30" s="106"/>
      <s:c r="Y30" s="106"/>
      <s:c r="Z30" s="2"/>
      <s:c r="AA30" s="2"/>
      <s:c r="AB30" s="2"/>
      <s:c r="AC30" s="2"/>
      <s:c r="AD30" s="2"/>
    </s:row>
    <s:row r="31">
      <s:c r="A31" s="95">
        <s:v>7</s:v>
      </s:c>
      <s:c r="B31" s="96">
        <s:v>45820</s:v>
      </s:c>
      <s:c r="C31" s="97" t="s">
        <s:v>58</s:v>
      </s:c>
      <s:c r="D31" s="98">
        <s:f>11977+23406</s:f>
        <s:v>35383</s:v>
      </s:c>
      <s:c r="E31" s="108">
        <s:v>5</s:v>
      </s:c>
      <s:c r="F31" s="99">
        <s:f>IF(AND(E31&lt;&gt;"",E31&lt;&gt;0),D31/E31,"")</s:f>
        <s:v>7076.6</s:v>
      </s:c>
      <s:c r="G31" s="108">
        <s:v>4</s:v>
      </s:c>
      <s:c r="H31" s="99">
        <s:f>IF(AND(G31&lt;&gt;"",G31&lt;&gt;0),D31/G31,"")</s:f>
        <s:v>8845.75</s:v>
      </s:c>
      <s:c r="I31" s="108">
        <s:v>30</s:v>
      </s:c>
      <s:c r="J31" s="98">
        <s:f>IF(AND(G31&lt;&gt;"",G31&lt;&gt;0),E31/G31,"")</s:f>
        <s:v>1.25</s:v>
      </s:c>
      <s:c r="K31" s="99"/>
      <s:c r="L31" s="99">
        <s:v>23406</s:v>
      </s:c>
      <s:c r="M31" s="99"/>
      <s:c r="N31" s="100">
        <s:f>IF(AND(I31&lt;&gt;"",I31&lt;&gt;0),G31/I31,"")</s:f>
        <s:v>0.13333333333333333</s:v>
      </s:c>
      <s:c r="O31" s="101">
        <s:f>D31/P31</s:f>
        <s:v>0.79181315691706966</s:v>
      </s:c>
      <s:c r="P31" s="102">
        <s:f>$I$8*V31*W31/SUMPRODUCT($W$25:$W$55,$V$25:$V$55)</s:f>
        <s:v>44686.047069189874</s:v>
      </s:c>
      <s:c r="Q31" s="103">
        <s:f>$I$9*V31*W31/SUMPRODUCT($W$25:$W$55,$V$25:$V$55)</s:f>
        <s:v>7.7579942828454644</s:v>
      </s:c>
      <s:c r="R31" s="103">
        <s:f>IF($I$12="","",Q31/$I$12)</s:f>
        <s:v>4.0831548857081392</s:v>
      </s:c>
      <s:c r="S31" s="102">
        <s:f>IF(W31&lt;&gt;"",IF(D31&lt;&gt;"",D31,($I$8-SUM($S$25:S30))*V31*W31/SUMPRODUCT($W31:$W$55,$V31:$V$55)),"")</s:f>
        <s:v>35383</s:v>
      </s:c>
      <s:c r="T31" s="103">
        <s:f>IF(W31&lt;&gt;"",IF(E31&lt;&gt;"",E31,($I$9-SUM($T$25:T30))*V31*W31/SUMPRODUCT($W31:$W$55,$V31:$V$55)),"")</s:f>
        <s:v>5</s:v>
      </s:c>
      <s:c r="U31" s="103">
        <s:f>IF(W31&lt;&gt;"",IF($I$12&lt;&gt;"",IF(G31&lt;&gt;"",G31,($I$9/$I$12-SUM($U$25:U30))*V31*W31/SUMPRODUCT($W31:$W$55,$V31:$V$55)),""),"")</s:f>
        <s:v>4</s:v>
      </s:c>
      <s:c r="V31" s="104">
        <s:v>1</s:v>
      </s:c>
      <s:c r="W31" s="104">
        <s:v>1</s:v>
      </s:c>
      <s:c r="X31" s="106"/>
      <s:c r="Y31" s="106"/>
      <s:c r="Z31" s="2"/>
      <s:c r="AA31" s="2"/>
      <s:c r="AB31" s="2"/>
      <s:c r="AC31" s="2"/>
      <s:c r="AD31" s="2"/>
    </s:row>
    <s:row r="32">
      <s:c r="A32" s="95">
        <s:v>8</s:v>
      </s:c>
      <s:c r="B32" s="96">
        <s:v>45821</s:v>
      </s:c>
      <s:c r="C32" s="97" t="s">
        <s:v>59</s:v>
      </s:c>
      <s:c r="D32" s="272">
        <s:f>58494+4092</s:f>
        <s:v>62586</s:v>
      </s:c>
      <s:c r="E32" s="99">
        <s:v>14</s:v>
      </s:c>
      <s:c r="F32" s="99">
        <s:f>IF(AND(E32&lt;&gt;"",E32&lt;&gt;0),D32/E32,"")</s:f>
        <s:v>4470.4285714285716</s:v>
      </s:c>
      <s:c r="G32" s="99">
        <s:v>4</s:v>
      </s:c>
      <s:c r="H32" s="108">
        <s:f>IF(AND(G32&lt;&gt;"",G32&lt;&gt;0),D32/G32,"")</s:f>
        <s:v>15646.5</s:v>
      </s:c>
      <s:c r="I32" s="99">
        <s:v>50</s:v>
      </s:c>
      <s:c r="J32" s="272">
        <s:f>IF(AND(G32&lt;&gt;"",G32&lt;&gt;0),E32/G32,"")</s:f>
        <s:v>3.5</s:v>
      </s:c>
      <s:c r="K32" s="99">
        <s:v>4092</s:v>
      </s:c>
      <s:c r="L32" s="99"/>
      <s:c r="M32" s="99"/>
      <s:c r="N32" s="100">
        <s:f>IF(AND(I32&lt;&gt;"",I32&lt;&gt;0),G32/I32,"")</s:f>
        <s:v>0.08</s:v>
      </s:c>
      <s:c r="O32" s="101">
        <s:f>D32/P32</s:f>
        <s:v>1.4005714110960552</s:v>
      </s:c>
      <s:c r="P32" s="102">
        <s:f>$I$8*V32*W32/SUMPRODUCT($W$25:$W$55,$V$25:$V$55)</s:f>
        <s:v>44686.047069189874</s:v>
      </s:c>
      <s:c r="Q32" s="103">
        <s:f>$I$9*V32*W32/SUMPRODUCT($W$25:$W$55,$V$25:$V$55)</s:f>
        <s:v>7.7579942828454644</s:v>
      </s:c>
      <s:c r="R32" s="103">
        <s:f>IF($I$12="","",Q32/$I$12)</s:f>
        <s:v>4.0831548857081392</s:v>
      </s:c>
      <s:c r="S32" s="102">
        <s:f>IF(W32&lt;&gt;"",IF(D32&lt;&gt;"",D32,($I$8-SUM($S$25:S31))*V32*W32/SUMPRODUCT($W32:$W$55,$V32:$V$55)),"")</s:f>
        <s:v>62586</s:v>
      </s:c>
      <s:c r="T32" s="103">
        <s:f>IF(W32&lt;&gt;"",IF(E32&lt;&gt;"",E32,($I$9-SUM($T$25:T31))*V32*W32/SUMPRODUCT($W32:$W$55,$V32:$V$55)),"")</s:f>
        <s:v>14</s:v>
      </s:c>
      <s:c r="U32" s="103">
        <s:f>IF(W32&lt;&gt;"",IF($I$12&lt;&gt;"",IF(G32&lt;&gt;"",G32,($I$9/$I$12-SUM($U$25:U31))*V32*W32/SUMPRODUCT($W32:$W$55,$V32:$V$55)),""),"")</s:f>
        <s:v>4</s:v>
      </s:c>
      <s:c r="V32" s="104">
        <s:v>1</s:v>
      </s:c>
      <s:c r="W32" s="104">
        <s:v>1</s:v>
      </s:c>
      <s:c r="X32" s="106"/>
      <s:c r="Y32" s="106"/>
      <s:c r="Z32" s="2"/>
      <s:c r="AA32" s="2"/>
      <s:c r="AB32" s="2"/>
      <s:c r="AC32" s="2"/>
      <s:c r="AD32" s="2"/>
    </s:row>
    <s:row r="33" spans="1:30" s="234" customFormat="1">
      <s:c r="A33" s="95">
        <s:v>9</s:v>
      </s:c>
      <s:c r="B33" s="236">
        <s:v>45823</s:v>
      </s:c>
      <s:c r="C33" s="237" t="s">
        <s:v>49</s:v>
      </s:c>
      <s:c r="D33" s="232">
        <s:f>36910+4092+12923</s:f>
        <s:v>53925</s:v>
      </s:c>
      <s:c r="E33" s="238">
        <s:v>13</s:v>
      </s:c>
      <s:c r="F33" s="238">
        <s:f>IF(AND(E33&lt;&gt;"",E33&lt;&gt;0),D33/E33,"")</s:f>
        <s:v>4148.0769230769229</s:v>
      </s:c>
      <s:c r="G33" s="238">
        <s:v>6</s:v>
      </s:c>
      <s:c r="H33" s="238">
        <s:f>IF(AND(G33&lt;&gt;"",G33&lt;&gt;0),D33/G33,"")</s:f>
        <s:v>8987.5</s:v>
      </s:c>
      <s:c r="I33" s="238">
        <s:v>25</s:v>
      </s:c>
      <s:c r="J33" s="232">
        <s:f>IF(AND(G33&lt;&gt;"",G33&lt;&gt;0),E33/G33,"")</s:f>
        <s:v>2.1666666666666665</s:v>
      </s:c>
      <s:c r="K33" s="238">
        <s:v>4092</s:v>
      </s:c>
      <s:c r="L33" s="238">
        <s:v>12923</s:v>
      </s:c>
      <s:c r="M33" s="238"/>
      <s:c r="N33" s="239">
        <s:f>IF(AND(I33&lt;&gt;"",I33&lt;&gt;0),G33/I33,"")</s:f>
        <s:v>0.24</s:v>
      </s:c>
      <s:c r="O33" s="240">
        <s:f>D33/P33</s:f>
        <s:v>1.2067525220233721</s:v>
      </s:c>
      <s:c r="P33" s="241">
        <s:f>$I$8*V33*W33/SUMPRODUCT($W$25:$W$55,$V$25:$V$55)</s:f>
        <s:v>44686.047069189874</s:v>
      </s:c>
      <s:c r="Q33" s="242">
        <s:f>$I$9*V33*W33/SUMPRODUCT($W$25:$W$55,$V$25:$V$55)</s:f>
        <s:v>7.7579942828454644</s:v>
      </s:c>
      <s:c r="R33" s="242">
        <s:f>IF($I$12="","",Q33/$I$12)</s:f>
        <s:v>4.0831548857081392</s:v>
      </s:c>
      <s:c r="S33" s="241">
        <s:f>IF(W33&lt;&gt;"",IF(D33&lt;&gt;"",D33,($I$8-SUM($S$25:S32))*V33*W33/SUMPRODUCT($W33:$W$55,$V33:$V$55)),"")</s:f>
        <s:v>53925</s:v>
      </s:c>
      <s:c r="T33" s="242">
        <s:f>IF(W33&lt;&gt;"",IF(E33&lt;&gt;"",E33,($I$9-SUM($T$25:T32))*V33*W33/SUMPRODUCT($W33:$W$55,$V33:$V$55)),"")</s:f>
        <s:v>13</s:v>
      </s:c>
      <s:c r="U33" s="242">
        <s:f>IF(W33&lt;&gt;"",IF($I$12&lt;&gt;"",IF(G33&lt;&gt;"",G33,($I$9/$I$12-SUM($U$25:U32))*V33*W33/SUMPRODUCT($W33:$W$55,$V33:$V$55)),""),"")</s:f>
        <s:v>6</s:v>
      </s:c>
      <s:c r="V33" s="233">
        <s:v>1</s:v>
      </s:c>
      <s:c r="W33" s="233">
        <s:v>1</s:v>
      </s:c>
      <s:c r="X33" s="243"/>
      <s:c r="Y33" s="243"/>
      <s:c r="Z33" s="244"/>
      <s:c r="AA33" s="244"/>
      <s:c r="AB33" s="244"/>
      <s:c r="AC33" s="244"/>
      <s:c r="AD33" s="244"/>
    </s:row>
    <s:row r="34" spans="1:30" s="234" customFormat="1">
      <s:c r="A34" s="95">
        <s:v>10</s:v>
      </s:c>
      <s:c r="B34" s="236">
        <s:v>45824</s:v>
      </s:c>
      <s:c r="C34" s="273" t="s">
        <s:v>51</s:v>
      </s:c>
      <s:c r="D34" s="232">
        <s:f>7993+18503</s:f>
        <s:v>26496</s:v>
      </s:c>
      <s:c r="E34" s="245">
        <s:v>2</s:v>
      </s:c>
      <s:c r="F34" s="238">
        <s:f>IF(AND(E34&lt;&gt;"",E34&lt;&gt;0),D34/E34,"")</s:f>
        <s:v>13248</s:v>
      </s:c>
      <s:c r="G34" s="245">
        <s:v>2</s:v>
      </s:c>
      <s:c r="H34" s="238">
        <s:f>IF(AND(G34&lt;&gt;"",G34&lt;&gt;0),D34/G34,"")</s:f>
        <s:v>13248</s:v>
      </s:c>
      <s:c r="I34" s="245">
        <s:v>16</s:v>
      </s:c>
      <s:c r="J34" s="232">
        <s:f>IF(AND(G34&lt;&gt;"",G34&lt;&gt;0),E34/G34,"")</s:f>
        <s:v>1</s:v>
      </s:c>
      <s:c r="K34" s="238"/>
      <s:c r="L34" s="238">
        <s:v>18503</s:v>
      </s:c>
      <s:c r="M34" s="238"/>
      <s:c r="N34" s="239">
        <s:f>IF(AND(I34&lt;&gt;"",I34&lt;&gt;0),G34/I34,"")</s:f>
        <s:v>0.125</s:v>
      </s:c>
      <s:c r="O34" s="240">
        <s:f>D34/P34</s:f>
        <s:v>0.59293676075162305</s:v>
      </s:c>
      <s:c r="P34" s="241">
        <s:f>$I$8*V34*W34/SUMPRODUCT($W$25:$W$55,$V$25:$V$55)</s:f>
        <s:v>44686.047069189874</s:v>
      </s:c>
      <s:c r="Q34" s="242">
        <s:f>$I$9*V34*W34/SUMPRODUCT($W$25:$W$55,$V$25:$V$55)</s:f>
        <s:v>7.7579942828454644</s:v>
      </s:c>
      <s:c r="R34" s="242">
        <s:f>IF($I$12="","",Q34/$I$12)</s:f>
        <s:v>4.0831548857081392</s:v>
      </s:c>
      <s:c r="S34" s="241">
        <s:f>IF(W34&lt;&gt;"",IF(D34&lt;&gt;"",D34,($I$8-SUM($S$25:S33))*V34*W34/SUMPRODUCT($W34:$W$55,$V34:$V$55)),"")</s:f>
        <s:v>26496</s:v>
      </s:c>
      <s:c r="T34" s="242">
        <s:f>IF(W34&lt;&gt;"",IF(E34&lt;&gt;"",E34,($I$9-SUM($T$25:T33))*V34*W34/SUMPRODUCT($W34:$W$55,$V34:$V$55)),"")</s:f>
        <s:v>2</s:v>
      </s:c>
      <s:c r="U34" s="242">
        <s:f>IF(W34&lt;&gt;"",IF($I$12&lt;&gt;"",IF(G34&lt;&gt;"",G34,($I$9/$I$12-SUM($U$25:U33))*V34*W34/SUMPRODUCT($W34:$W$55,$V34:$V$55)),""),"")</s:f>
        <s:v>2</s:v>
      </s:c>
      <s:c r="V34" s="233">
        <s:v>1</s:v>
      </s:c>
      <s:c r="W34" s="233">
        <s:v>1</s:v>
      </s:c>
      <s:c r="X34" s="243"/>
      <s:c r="Y34" s="243"/>
      <s:c r="Z34" s="246"/>
      <s:c r="AA34" s="244"/>
      <s:c r="AB34" s="244"/>
      <s:c r="AC34" s="244"/>
      <s:c r="AD34" s="244"/>
    </s:row>
    <s:row r="35" spans="1:30" s="234" customFormat="1">
      <s:c r="A35" s="95">
        <s:v>11</s:v>
      </s:c>
      <s:c r="B35" s="236">
        <s:v>45826</s:v>
      </s:c>
      <s:c r="C35" s="237" t="s">
        <s:v>56</s:v>
      </s:c>
      <s:c r="D35" s="248">
        <s:f>5463+220</s:f>
        <s:v>5683</s:v>
      </s:c>
      <s:c r="E35" s="238">
        <s:v>2</s:v>
      </s:c>
      <s:c r="F35" s="245">
        <s:f>IF(AND(E35&lt;&gt;"",E35&lt;&gt;0),D35/E35,"")</s:f>
        <s:v>2841.5</s:v>
      </s:c>
      <s:c r="G35" s="238">
        <s:v>2</s:v>
      </s:c>
      <s:c r="H35" s="245">
        <s:f>IF(AND(G35&lt;&gt;"",G35&lt;&gt;0),D35/G35,"")</s:f>
        <s:v>2841.5</s:v>
      </s:c>
      <s:c r="I35" s="238">
        <s:v>12</s:v>
      </s:c>
      <s:c r="J35" s="248">
        <s:f>IF(AND(G35&lt;&gt;"",G35&lt;&gt;0),E35/G35,"")</s:f>
        <s:v>1</s:v>
      </s:c>
      <s:c r="K35" s="238"/>
      <s:c r="L35" s="238">
        <s:v>220</s:v>
      </s:c>
      <s:c r="M35" s="238"/>
      <s:c r="N35" s="239">
        <s:f>IF(AND(I35&lt;&gt;"",I35&lt;&gt;0),G35/I35,"")</s:f>
        <s:v>0.16666666666666666</s:v>
      </s:c>
      <s:c r="O35" s="240">
        <s:f>D35/P35</s:f>
        <s:v>0.12717616286803568</s:v>
      </s:c>
      <s:c r="P35" s="241">
        <s:f>$I$8*V35*W35/SUMPRODUCT($W$25:$W$55,$V$25:$V$55)</s:f>
        <s:v>44686.047069189874</s:v>
      </s:c>
      <s:c r="Q35" s="242">
        <s:f>$I$9*V35*W35/SUMPRODUCT($W$25:$W$55,$V$25:$V$55)</s:f>
        <s:v>7.7579942828454644</s:v>
      </s:c>
      <s:c r="R35" s="242">
        <s:f>IF($I$12="","",Q35/$I$12)</s:f>
        <s:v>4.0831548857081392</s:v>
      </s:c>
      <s:c r="S35" s="241">
        <s:f>IF(W35&lt;&gt;"",IF(D35&lt;&gt;"",D35,($I$8-SUM($S$25:S34))*V35*W35/SUMPRODUCT($W35:$W$55,$V35:$V$55)),"")</s:f>
        <s:v>5683</s:v>
      </s:c>
      <s:c r="T35" s="242">
        <s:f>IF(W35&lt;&gt;"",IF(E35&lt;&gt;"",E35,($I$9-SUM($T$25:T34))*V35*W35/SUMPRODUCT($W35:$W$55,$V35:$V$55)),"")</s:f>
        <s:v>2</s:v>
      </s:c>
      <s:c r="U35" s="242">
        <s:f>IF(W35&lt;&gt;"",IF($I$12&lt;&gt;"",IF(G35&lt;&gt;"",G35,($I$9/$I$12-SUM($U$25:U34))*V35*W35/SUMPRODUCT($W35:$W$55,$V35:$V$55)),""),"")</s:f>
        <s:v>2</s:v>
      </s:c>
      <s:c r="V35" s="233">
        <s:v>1</s:v>
      </s:c>
      <s:c r="W35" s="233">
        <s:v>1</s:v>
      </s:c>
      <s:c r="X35" s="243"/>
      <s:c r="Y35" s="243"/>
      <s:c r="Z35" s="246"/>
      <s:c r="AA35" s="244"/>
      <s:c r="AB35" s="244"/>
      <s:c r="AC35" s="244"/>
      <s:c r="AD35" s="244"/>
    </s:row>
    <s:row r="36" spans="1:30" s="234" customFormat="1">
      <s:c r="A36" s="95">
        <s:v>12</s:v>
      </s:c>
      <s:c r="B36" s="236">
        <s:v>45829</s:v>
      </s:c>
      <s:c r="C36" s="273" t="s">
        <s:v>60</s:v>
      </s:c>
      <s:c r="D36" s="232">
        <s:v>27160</s:v>
      </s:c>
      <s:c r="E36" s="245">
        <s:v>5</s:v>
      </s:c>
      <s:c r="F36" s="238">
        <s:f>IF(AND(E36&lt;&gt;"",E36&lt;&gt;0),D36/E36,"")</s:f>
        <s:v>5432</s:v>
      </s:c>
      <s:c r="G36" s="238">
        <s:v>3</s:v>
      </s:c>
      <s:c r="H36" s="238">
        <s:f>IF(AND(G36&lt;&gt;"",G36&lt;&gt;0),D36/G36,"")</s:f>
        <s:v>9053.3333333333339</s:v>
      </s:c>
      <s:c r="I36" s="245">
        <s:v>23</s:v>
      </s:c>
      <s:c r="J36" s="232">
        <s:f>IF(AND(G36&lt;&gt;"",G36&lt;&gt;0),E36/G36,"")</s:f>
        <s:v>1.6666666666666667</s:v>
      </s:c>
      <s:c r="K36" s="238"/>
      <s:c r="L36" s="238"/>
      <s:c r="M36" s="238"/>
      <s:c r="N36" s="239">
        <s:f>IF(AND(I36&lt;&gt;"",I36&lt;&gt;0),G36/I36,"")</s:f>
        <s:v>0.13043478260869565</s:v>
      </s:c>
      <s:c r="O36" s="240">
        <s:f>D36/P36</s:f>
        <s:v>0.60779598513036237</s:v>
      </s:c>
      <s:c r="P36" s="241">
        <s:f>$I$8*V36*W36/SUMPRODUCT($W$25:$W$55,$V$25:$V$55)</s:f>
        <s:v>44686.047069189874</s:v>
      </s:c>
      <s:c r="Q36" s="242">
        <s:f>$I$9*V36*W36/SUMPRODUCT($W$25:$W$55,$V$25:$V$55)</s:f>
        <s:v>7.7579942828454644</s:v>
      </s:c>
      <s:c r="R36" s="242">
        <s:f>IF($I$12="","",Q36/$I$12)</s:f>
        <s:v>4.0831548857081392</s:v>
      </s:c>
      <s:c r="S36" s="241">
        <s:f>IF(W36&lt;&gt;"",IF(D36&lt;&gt;"",D36,($I$8-SUM($S$25:S35))*V36*W36/SUMPRODUCT($W36:$W$55,$V36:$V$55)),"")</s:f>
        <s:v>27160</s:v>
      </s:c>
      <s:c r="T36" s="242">
        <s:f>IF(W36&lt;&gt;"",IF(E36&lt;&gt;"",E36,($I$9-SUM($T$25:T35))*V36*W36/SUMPRODUCT($W36:$W$55,$V36:$V$55)),"")</s:f>
        <s:v>5</s:v>
      </s:c>
      <s:c r="U36" s="242">
        <s:f>IF(W36&lt;&gt;"",IF($I$12&lt;&gt;"",IF(G36&lt;&gt;"",G36,($I$9/$I$12-SUM($U$25:U35))*V36*W36/SUMPRODUCT($W36:$W$55,$V36:$V$55)),""),"")</s:f>
        <s:v>3</s:v>
      </s:c>
      <s:c r="V36" s="233">
        <s:v>1</s:v>
      </s:c>
      <s:c r="W36" s="233">
        <s:v>1</s:v>
      </s:c>
      <s:c r="X36" s="243"/>
      <s:c r="Y36" s="243"/>
      <s:c r="Z36" s="246"/>
      <s:c r="AA36" s="244"/>
      <s:c r="AB36" s="244"/>
      <s:c r="AC36" s="244"/>
      <s:c r="AD36" s="244"/>
    </s:row>
    <s:row r="37" spans="1:30" s="234" customFormat="1">
      <s:c r="A37" s="95">
        <s:v>13</s:v>
      </s:c>
      <s:c r="B37" s="236">
        <s:v>45830</s:v>
      </s:c>
      <s:c r="C37" s="237" t="s">
        <s:v>49</s:v>
      </s:c>
      <s:c r="D37" s="248">
        <s:f>24304+4793</s:f>
        <s:v>29097</s:v>
      </s:c>
      <s:c r="E37" s="238">
        <s:v>4</s:v>
      </s:c>
      <s:c r="F37" s="238">
        <s:f>IF(AND(E37&lt;&gt;"",E37&lt;&gt;0),D37/E37,"")</s:f>
        <s:v>7274.25</s:v>
      </s:c>
      <s:c r="G37" s="238">
        <s:v>2</s:v>
      </s:c>
      <s:c r="H37" s="245">
        <s:f>IF(AND(G37&lt;&gt;"",G37&lt;&gt;0),D37/G37,"")</s:f>
        <s:v>14548.5</s:v>
      </s:c>
      <s:c r="I37" s="238">
        <s:v>23</s:v>
      </s:c>
      <s:c r="J37" s="248">
        <s:f>IF(AND(G37&lt;&gt;"",G37&lt;&gt;0),E37/G37,"")</s:f>
        <s:v>2</s:v>
      </s:c>
      <s:c r="K37" s="238"/>
      <s:c r="L37" s="238">
        <s:v>24304</s:v>
      </s:c>
      <s:c r="M37" s="238"/>
      <s:c r="N37" s="239">
        <s:f>IF(AND(I37&lt;&gt;"",I37&lt;&gt;0),G37/I37,"")</s:f>
        <s:v>8.6956521739130432E-2</s:v>
      </s:c>
      <s:c r="O37" s="240">
        <s:f>D37/P37</s:f>
        <s:v>0.65114284901834141</s:v>
      </s:c>
      <s:c r="P37" s="241">
        <s:f>$I$8*V37*W37/SUMPRODUCT($W$25:$W$55,$V$25:$V$55)</s:f>
        <s:v>44686.047069189874</s:v>
      </s:c>
      <s:c r="Q37" s="242">
        <s:f>$I$9*V37*W37/SUMPRODUCT($W$25:$W$55,$V$25:$V$55)</s:f>
        <s:v>7.7579942828454644</s:v>
      </s:c>
      <s:c r="R37" s="242">
        <s:f>IF($I$12="","",Q37/$I$12)</s:f>
        <s:v>4.0831548857081392</s:v>
      </s:c>
      <s:c r="S37" s="241">
        <s:f>IF(W37&lt;&gt;"",IF(D37&lt;&gt;"",D37,($I$8-SUM($S$25:S36))*V37*W37/SUMPRODUCT($W37:$W$55,$V37:$V$55)),"")</s:f>
        <s:v>29097</s:v>
      </s:c>
      <s:c r="T37" s="242">
        <s:f>IF(W37&lt;&gt;"",IF(E37&lt;&gt;"",E37,($I$9-SUM($T$25:T36))*V37*W37/SUMPRODUCT($W37:$W$55,$V37:$V$55)),"")</s:f>
        <s:v>4</s:v>
      </s:c>
      <s:c r="U37" s="242">
        <s:f>IF(W37&lt;&gt;"",IF($I$12&lt;&gt;"",IF(G37&lt;&gt;"",G37,($I$9/$I$12-SUM($U$25:U36))*V37*W37/SUMPRODUCT($W37:$W$55,$V37:$V$55)),""),"")</s:f>
        <s:v>2</s:v>
      </s:c>
      <s:c r="V37" s="233">
        <s:v>1</s:v>
      </s:c>
      <s:c r="W37" s="233">
        <s:v>1</s:v>
      </s:c>
      <s:c r="X37" s="243"/>
      <s:c r="Y37" s="243"/>
      <s:c r="Z37" s="246"/>
      <s:c r="AA37" s="244"/>
      <s:c r="AB37" s="244"/>
      <s:c r="AC37" s="244"/>
      <s:c r="AD37" s="244"/>
    </s:row>
    <s:row r="38" spans="1:30" s="234" customFormat="1">
      <s:c r="A38" s="95">
        <s:v>14</s:v>
      </s:c>
      <s:c r="B38" s="236"/>
      <s:c r="C38" s="273"/>
      <s:c r="D38" s="232"/>
      <s:c r="E38" s="245"/>
      <s:c r="F38" s="238" t="str">
        <s:f>IF(AND(E38&lt;&gt;"",E38&lt;&gt;0),D38/E38,"")</s:f>
        <s:v/>
      </s:c>
      <s:c r="G38" s="245"/>
      <s:c r="H38" s="238" t="str">
        <s:f>IF(AND(G38&lt;&gt;"",G38&lt;&gt;0),D38/G38,"")</s:f>
        <s:v/>
      </s:c>
      <s:c r="I38" s="245"/>
      <s:c r="J38" s="232" t="str">
        <s:f>IF(AND(G38&lt;&gt;"",G38&lt;&gt;0),E38/G38,"")</s:f>
        <s:v/>
      </s:c>
      <s:c r="K38" s="245"/>
      <s:c r="L38" s="238"/>
      <s:c r="M38" s="245"/>
      <s:c r="N38" s="239" t="str">
        <s:f>IF(AND(I38&lt;&gt;"",I38&lt;&gt;0),G38/I38,"")</s:f>
        <s:v/>
      </s:c>
      <s:c r="O38" s="274">
        <s:f>D38/P38</s:f>
        <s:v>0</s:v>
      </s:c>
      <s:c r="P38" s="241">
        <s:f>$I$8*V38*W38/SUMPRODUCT($W$25:$W$55,$V$25:$V$55)</s:f>
        <s:v>44686.047069189874</s:v>
      </s:c>
      <s:c r="Q38" s="275">
        <s:f>$I$9*V38*W38/SUMPRODUCT($W$25:$W$55,$V$25:$V$55)</s:f>
        <s:v>7.7579942828454644</s:v>
      </s:c>
      <s:c r="R38" s="242">
        <s:f>IF($I$12="","",Q38/$I$12)</s:f>
        <s:v>4.0831548857081392</s:v>
      </s:c>
      <s:c r="S38" s="276">
        <s:f>IF(W38&lt;&gt;"",IF(D38&lt;&gt;"",D38,($I$8-SUM($S$25:S37))*V38*W38/SUMPRODUCT($W38:$W$55,$V38:$V$55)),"")</s:f>
        <s:v>71357.257442034417</s:v>
      </s:c>
      <s:c r="T38" s="242">
        <s:f>IF(W38&lt;&gt;"",IF(E38&lt;&gt;"",E38,($I$9-SUM($T$25:T37))*V38*W38/SUMPRODUCT($W38:$W$55,$V38:$V$55)),"")</s:f>
        <s:v>9.6533433059087521</s:v>
      </s:c>
      <s:c r="U38" s="275">
        <s:f>IF(W38&lt;&gt;"",IF($I$12&lt;&gt;"",IF(G38&lt;&gt;"",G38,($I$9/$I$12-SUM($U$25:U37))*V38*W38/SUMPRODUCT($W38:$W$55,$V38:$V$55)),""),"")</s:f>
        <s:v>5.6370979805534791</s:v>
      </s:c>
      <s:c r="V38" s="233">
        <s:v>1</s:v>
      </s:c>
      <s:c r="W38" s="233">
        <s:v>1</s:v>
      </s:c>
      <s:c r="X38" s="243"/>
      <s:c r="Y38" s="243"/>
      <s:c r="Z38" s="246"/>
      <s:c r="AA38" s="244"/>
      <s:c r="AB38" s="244"/>
      <s:c r="AC38" s="244"/>
      <s:c r="AD38" s="244"/>
    </s:row>
    <s:row r="39" spans="1:30" s="234" customFormat="1">
      <s:c r="A39" s="95">
        <s:v>15</s:v>
      </s:c>
      <s:c r="B39" s="236"/>
      <s:c r="C39" s="237"/>
      <s:c r="D39" s="248"/>
      <s:c r="E39" s="238"/>
      <s:c r="F39" s="245" t="str">
        <s:f>IF(AND(E39&lt;&gt;"",E39&lt;&gt;0),D39/E39,"")</s:f>
        <s:v/>
      </s:c>
      <s:c r="G39" s="238"/>
      <s:c r="H39" s="245" t="str">
        <s:f>IF(AND(G39&lt;&gt;"",G39&lt;&gt;0),D39/G39,"")</s:f>
        <s:v/>
      </s:c>
      <s:c r="I39" s="238"/>
      <s:c r="J39" s="248" t="str">
        <s:f>IF(AND(G39&lt;&gt;"",G39&lt;&gt;0),E39/G39,"")</s:f>
        <s:v/>
      </s:c>
      <s:c r="K39" s="238"/>
      <s:c r="L39" s="238"/>
      <s:c r="M39" s="238"/>
      <s:c r="N39" s="239" t="str">
        <s:f>IF(AND(I39&lt;&gt;"",I39&lt;&gt;0),G39/I39,"")</s:f>
        <s:v/>
      </s:c>
      <s:c r="O39" s="240">
        <s:f>D39/P39</s:f>
        <s:v>0</s:v>
      </s:c>
      <s:c r="P39" s="241">
        <s:f>$I$8*V39*W39/SUMPRODUCT($W$25:$W$55,$V$25:$V$55)</s:f>
        <s:v>44686.047069189874</s:v>
      </s:c>
      <s:c r="Q39" s="242">
        <s:f>$I$9*V39*W39/SUMPRODUCT($W$25:$W$55,$V$25:$V$55)</s:f>
        <s:v>7.7579942828454644</s:v>
      </s:c>
      <s:c r="R39" s="242">
        <s:f>IF($I$12="","",Q39/$I$12)</s:f>
        <s:v>4.0831548857081392</s:v>
      </s:c>
      <s:c r="S39" s="241">
        <s:f>IF(W39&lt;&gt;"",IF(D39&lt;&gt;"",D39,($I$8-SUM($S$25:S38))*V39*W39/SUMPRODUCT($W39:$W$55,$V39:$V$55)),"")</s:f>
        <s:v>71357.257442034417</s:v>
      </s:c>
      <s:c r="T39" s="242">
        <s:f>IF(W39&lt;&gt;"",IF(E39&lt;&gt;"",E39,($I$9-SUM($T$25:T38))*V39*W39/SUMPRODUCT($W39:$W$55,$V39:$V$55)),"")</s:f>
        <s:v>9.6533433059087539</s:v>
      </s:c>
      <s:c r="U39" s="242">
        <s:f>IF(W39&lt;&gt;"",IF($I$12&lt;&gt;"",IF(G39&lt;&gt;"",G39,($I$9/$I$12-SUM($U$25:U38))*V39*W39/SUMPRODUCT($W39:$W$55,$V39:$V$55)),""),"")</s:f>
        <s:v>5.63709798055348</s:v>
      </s:c>
      <s:c r="V39" s="233">
        <s:v>1</s:v>
      </s:c>
      <s:c r="W39" s="233">
        <s:v>1</s:v>
      </s:c>
      <s:c r="X39" s="243"/>
      <s:c r="Y39" s="243"/>
      <s:c r="Z39" s="246"/>
      <s:c r="AA39" s="244"/>
      <s:c r="AB39" s="244"/>
      <s:c r="AC39" s="244"/>
      <s:c r="AD39" s="244"/>
    </s:row>
    <s:row r="40" spans="1:30" s="234" customFormat="1" ht="15" customHeight="1">
      <s:c r="A40" s="95">
        <s:v>16</s:v>
      </s:c>
      <s:c r="B40" s="236"/>
      <s:c r="C40" s="273"/>
      <s:c r="D40" s="232"/>
      <s:c r="E40" s="245"/>
      <s:c r="F40" s="238" t="str">
        <s:f>IF(AND(E40&lt;&gt;"",E40&lt;&gt;0),D40/E40,"")</s:f>
        <s:v/>
      </s:c>
      <s:c r="G40" s="245"/>
      <s:c r="H40" s="238" t="str">
        <s:f>IF(AND(G40&lt;&gt;"",G40&lt;&gt;0),D40/G40,"")</s:f>
        <s:v/>
      </s:c>
      <s:c r="I40" s="245"/>
      <s:c r="J40" s="232" t="str">
        <s:f>IF(AND(G40&lt;&gt;"",G40&lt;&gt;0),E40/G40,"")</s:f>
        <s:v/>
      </s:c>
      <s:c r="K40" s="238"/>
      <s:c r="L40" s="238"/>
      <s:c r="M40" s="238"/>
      <s:c r="N40" s="239" t="str">
        <s:f>IF(AND(I40&lt;&gt;"",I40&lt;&gt;0),G40/I40,"")</s:f>
        <s:v/>
      </s:c>
      <s:c r="O40" s="240">
        <s:f>D40/P40</s:f>
        <s:v>0</s:v>
      </s:c>
      <s:c r="P40" s="241">
        <s:f>$I$8*V40*W40/SUMPRODUCT($W$25:$W$55,$V$25:$V$55)</s:f>
        <s:v>44686.047069189874</s:v>
      </s:c>
      <s:c r="Q40" s="242">
        <s:f>$I$9*V40*W40/SUMPRODUCT($W$25:$W$55,$V$25:$V$55)</s:f>
        <s:v>7.7579942828454644</s:v>
      </s:c>
      <s:c r="R40" s="242">
        <s:f>IF($I$12="","",Q40/$I$12)</s:f>
        <s:v>4.0831548857081392</s:v>
      </s:c>
      <s:c r="S40" s="241">
        <s:f>IF(W40&lt;&gt;"",IF(D40&lt;&gt;"",D40,($I$8-SUM($S$25:S39))*V40*W40/SUMPRODUCT($W40:$W$55,$V40:$V$55)),"")</s:f>
        <s:v>71357.257442034403</s:v>
      </s:c>
      <s:c r="T40" s="242">
        <s:f>IF(W40&lt;&gt;"",IF(E40&lt;&gt;"",E40,($I$9-SUM($T$25:T39))*V40*W40/SUMPRODUCT($W40:$W$55,$V40:$V$55)),"")</s:f>
        <s:v>9.6533433059087539</s:v>
      </s:c>
      <s:c r="U40" s="242">
        <s:f>IF(W40&lt;&gt;"",IF($I$12&lt;&gt;"",IF(G40&lt;&gt;"",G40,($I$9/$I$12-SUM($U$25:U39))*V40*W40/SUMPRODUCT($W40:$W$55,$V40:$V$55)),""),"")</s:f>
        <s:v>5.63709798055348</s:v>
      </s:c>
      <s:c r="V40" s="233">
        <s:v>1</s:v>
      </s:c>
      <s:c r="W40" s="233">
        <s:v>1</s:v>
      </s:c>
      <s:c r="X40" s="243"/>
      <s:c r="Y40" s="243"/>
      <s:c r="Z40" s="246"/>
      <s:c r="AA40" s="244"/>
      <s:c r="AB40" s="244"/>
      <s:c r="AC40" s="244"/>
      <s:c r="AD40" s="244"/>
    </s:row>
    <s:row r="41" spans="1:30" s="234" customFormat="1">
      <s:c r="A41" s="95">
        <s:v>17</s:v>
      </s:c>
      <s:c r="B41" s="236"/>
      <s:c r="C41" s="237"/>
      <s:c r="D41" s="248"/>
      <s:c r="E41" s="238"/>
      <s:c r="F41" s="245" t="str">
        <s:f>IF(AND(E41&lt;&gt;"",E41&lt;&gt;0),D41/E41,"")</s:f>
        <s:v/>
      </s:c>
      <s:c r="G41" s="238"/>
      <s:c r="H41" s="245" t="str">
        <s:f>IF(AND(G41&lt;&gt;"",G41&lt;&gt;0),D41/G41,"")</s:f>
        <s:v/>
      </s:c>
      <s:c r="I41" s="238"/>
      <s:c r="J41" s="248" t="str">
        <s:f>IF(AND(G41&lt;&gt;"",G41&lt;&gt;0),E41/G41,"")</s:f>
        <s:v/>
      </s:c>
      <s:c r="K41" s="238"/>
      <s:c r="L41" s="238"/>
      <s:c r="M41" s="238"/>
      <s:c r="N41" s="277" t="str">
        <s:f>IF(AND(I41&lt;&gt;"",I41&lt;&gt;0),G41/I41,"")</s:f>
        <s:v/>
      </s:c>
      <s:c r="O41" s="240">
        <s:f>D41/P41</s:f>
        <s:v>0</s:v>
      </s:c>
      <s:c r="P41" s="241">
        <s:f>$I$8*V41*W41/SUMPRODUCT($W$25:$W$55,$V$25:$V$55)</s:f>
        <s:v>44686.047069189874</s:v>
      </s:c>
      <s:c r="Q41" s="242">
        <s:f>$I$9*V41*W41/SUMPRODUCT($W$25:$W$55,$V$25:$V$55)</s:f>
        <s:v>7.7579942828454644</s:v>
      </s:c>
      <s:c r="R41" s="242">
        <s:f>IF($I$12="","",Q41/$I$12)</s:f>
        <s:v>4.0831548857081392</s:v>
      </s:c>
      <s:c r="S41" s="241">
        <s:f>IF(W41&lt;&gt;"",IF(D41&lt;&gt;"",D41,($I$8-SUM($S$25:S40))*V41*W41/SUMPRODUCT($W41:$W$55,$V41:$V$55)),"")</s:f>
        <s:v>71357.257442034403</s:v>
      </s:c>
      <s:c r="T41" s="242">
        <s:f>IF(W41&lt;&gt;"",IF(E41&lt;&gt;"",E41,($I$9-SUM($T$25:T40))*V41*W41/SUMPRODUCT($W41:$W$55,$V41:$V$55)),"")</s:f>
        <s:v>9.6533433059087557</s:v>
      </s:c>
      <s:c r="U41" s="242">
        <s:f>IF(W41&lt;&gt;"",IF($I$12&lt;&gt;"",IF(G41&lt;&gt;"",G41,($I$9/$I$12-SUM($U$25:U40))*V41*W41/SUMPRODUCT($W41:$W$55,$V41:$V$55)),""),"")</s:f>
        <s:v>5.6370979805534809</s:v>
      </s:c>
      <s:c r="V41" s="233">
        <s:v>1</s:v>
      </s:c>
      <s:c r="W41" s="233">
        <s:v>1</s:v>
      </s:c>
      <s:c r="X41" s="243"/>
      <s:c r="Y41" s="243"/>
      <s:c r="Z41" s="246"/>
      <s:c r="AA41" s="244"/>
      <s:c r="AB41" s="244"/>
      <s:c r="AC41" s="244"/>
      <s:c r="AD41" s="244"/>
    </s:row>
    <s:row r="42" spans="1:30" s="234" customFormat="1">
      <s:c r="A42" s="95">
        <s:v>18</s:v>
      </s:c>
      <s:c r="B42" s="236"/>
      <s:c r="C42" s="273"/>
      <s:c r="D42" s="232"/>
      <s:c r="E42" s="245"/>
      <s:c r="F42" s="238" t="str">
        <s:f>IF(AND(E42&lt;&gt;"",E42&lt;&gt;0),D42/E42,"")</s:f>
        <s:v/>
      </s:c>
      <s:c r="G42" s="245"/>
      <s:c r="H42" s="238" t="str">
        <s:f>IF(AND(G42&lt;&gt;"",G42&lt;&gt;0),D42/G42,"")</s:f>
        <s:v/>
      </s:c>
      <s:c r="I42" s="245"/>
      <s:c r="J42" s="232" t="str">
        <s:f>IF(AND(G42&lt;&gt;"",G42&lt;&gt;0),E42/G42,"")</s:f>
        <s:v/>
      </s:c>
      <s:c r="K42" s="238"/>
      <s:c r="L42" s="238"/>
      <s:c r="M42" s="238"/>
      <s:c r="N42" s="277" t="str">
        <s:f>IF(AND(I42&lt;&gt;"",I42&lt;&gt;0),G42/I42,"")</s:f>
        <s:v/>
      </s:c>
      <s:c r="O42" s="240">
        <s:f>D42/P42</s:f>
        <s:v>0</s:v>
      </s:c>
      <s:c r="P42" s="241">
        <s:f>$I$8*V42*W42/SUMPRODUCT($W$25:$W$55,$V$25:$V$55)</s:f>
        <s:v>44686.047069189874</s:v>
      </s:c>
      <s:c r="Q42" s="242">
        <s:f>$I$9*V42*W42/SUMPRODUCT($W$25:$W$55,$V$25:$V$55)</s:f>
        <s:v>7.7579942828454644</s:v>
      </s:c>
      <s:c r="R42" s="242">
        <s:f>IF($I$12="","",Q42/$I$12)</s:f>
        <s:v>4.0831548857081392</s:v>
      </s:c>
      <s:c r="S42" s="241">
        <s:f>IF(W42&lt;&gt;"",IF(D42&lt;&gt;"",D42,($I$8-SUM($S$25:S41))*V42*W42/SUMPRODUCT($W42:$W$55,$V42:$V$55)),"")</s:f>
        <s:v>71357.257442034388</s:v>
      </s:c>
      <s:c r="T42" s="242">
        <s:f>IF(W42&lt;&gt;"",IF(E42&lt;&gt;"",E42,($I$9-SUM($T$25:T41))*V42*W42/SUMPRODUCT($W42:$W$55,$V42:$V$55)),"")</s:f>
        <s:v>9.6533433059087574</s:v>
      </s:c>
      <s:c r="U42" s="242">
        <s:f>IF(W42&lt;&gt;"",IF($I$12&lt;&gt;"",IF(G42&lt;&gt;"",G42,($I$9/$I$12-SUM($U$25:U41))*V42*W42/SUMPRODUCT($W42:$W$55,$V42:$V$55)),""),"")</s:f>
        <s:v>5.6370979805534818</s:v>
      </s:c>
      <s:c r="V42" s="233">
        <s:v>1</s:v>
      </s:c>
      <s:c r="W42" s="233">
        <s:v>1</s:v>
      </s:c>
      <s:c r="X42" s="243"/>
      <s:c r="Y42" s="243"/>
      <s:c r="Z42" s="246"/>
      <s:c r="AA42" s="244"/>
      <s:c r="AB42" s="244"/>
      <s:c r="AC42" s="244"/>
      <s:c r="AD42" s="244"/>
    </s:row>
    <s:row r="43" spans="1:30" s="234" customFormat="1" ht="15" customHeight="1">
      <s:c r="A43" s="235">
        <s:v>19</s:v>
      </s:c>
      <s:c r="B43" s="236"/>
      <s:c r="C43" s="237"/>
      <s:c r="D43" s="232"/>
      <s:c r="E43" s="238"/>
      <s:c r="F43" s="238" t="str">
        <s:f>IF(AND(E43&lt;&gt;"",E43&lt;&gt;0),D43/E43,"")</s:f>
        <s:v/>
      </s:c>
      <s:c r="G43" s="238"/>
      <s:c r="H43" s="238" t="str">
        <s:f>IF(AND(G43&lt;&gt;"",G43&lt;&gt;0),D43/G43,"")</s:f>
        <s:v/>
      </s:c>
      <s:c r="I43" s="238"/>
      <s:c r="J43" s="232" t="str">
        <s:f>IF(AND(G43&lt;&gt;"",G43&lt;&gt;0),E43/G43,"")</s:f>
        <s:v/>
      </s:c>
      <s:c r="K43" s="238"/>
      <s:c r="L43" s="238"/>
      <s:c r="M43" s="238"/>
      <s:c r="N43" s="277" t="str">
        <s:f>IF(AND(I43&lt;&gt;"",I43&lt;&gt;0),G43/I43,"")</s:f>
        <s:v/>
      </s:c>
      <s:c r="O43" s="240">
        <s:f>D43/P43</s:f>
        <s:v>0</s:v>
      </s:c>
      <s:c r="P43" s="241">
        <s:f>$I$8*V43*W43/SUMPRODUCT($W$25:$W$55,$V$25:$V$55)</s:f>
        <s:v>44686.047069189874</s:v>
      </s:c>
      <s:c r="Q43" s="242">
        <s:f>$I$9*V43*W43/SUMPRODUCT($W$25:$W$55,$V$25:$V$55)</s:f>
        <s:v>7.7579942828454644</s:v>
      </s:c>
      <s:c r="R43" s="242">
        <s:f>IF($I$12="","",Q43/$I$12)</s:f>
        <s:v>4.0831548857081392</s:v>
      </s:c>
      <s:c r="S43" s="241">
        <s:f>IF(W43&lt;&gt;"",IF(D43&lt;&gt;"",D43,($I$8-SUM($S$25:S42))*V43*W43/SUMPRODUCT($W43:$W$55,$V43:$V$55)),"")</s:f>
        <s:v>71357.257442034374</s:v>
      </s:c>
      <s:c r="T43" s="242">
        <s:f>IF(W43&lt;&gt;"",IF(E43&lt;&gt;"",E43,($I$9-SUM($T$25:T42))*V43*W43/SUMPRODUCT($W43:$W$55,$V43:$V$55)),"")</s:f>
        <s:v>9.6533433059087628</s:v>
      </s:c>
      <s:c r="U43" s="242">
        <s:f>IF(W43&lt;&gt;"",IF($I$12&lt;&gt;"",IF(G43&lt;&gt;"",G43,($I$9/$I$12-SUM($U$25:U42))*V43*W43/SUMPRODUCT($W43:$W$55,$V43:$V$55)),""),"")</s:f>
        <s:v>5.6370979805534844</s:v>
      </s:c>
      <s:c r="V43" s="233">
        <s:v>1</s:v>
      </s:c>
      <s:c r="W43" s="233">
        <s:v>1</s:v>
      </s:c>
      <s:c r="X43" s="243"/>
      <s:c r="Y43" s="243"/>
      <s:c r="Z43" s="246"/>
      <s:c r="AA43" s="244"/>
      <s:c r="AB43" s="244"/>
      <s:c r="AC43" s="244"/>
      <s:c r="AD43" s="244"/>
    </s:row>
    <s:row r="44" spans="1:30" s="234" customFormat="1" ht="15" customHeight="1">
      <s:c r="A44" s="235">
        <s:v>20</s:v>
      </s:c>
      <s:c r="B44" s="236">
        <s:v>45835</s:v>
      </s:c>
      <s:c r="C44" s="237" t="s">
        <s:v>60</s:v>
      </s:c>
      <s:c r="D44" s="232">
        <s:v>-2424</s:v>
      </s:c>
      <s:c r="E44" s="238">
        <s:v>1</s:v>
      </s:c>
      <s:c r="F44" s="238">
        <s:f>IF(AND(E44&lt;&gt;"",E44&lt;&gt;0),D44/E44,"")</s:f>
        <s:v>-2424</s:v>
      </s:c>
      <s:c r="G44" s="238">
        <s:v>1</s:v>
      </s:c>
      <s:c r="H44" s="238">
        <s:f>IF(AND(G44&lt;&gt;"",G44&lt;&gt;0),D44/G44,"")</s:f>
        <s:v>-2424</s:v>
      </s:c>
      <s:c r="I44" s="238"/>
      <s:c r="J44" s="232">
        <s:f>IF(AND(G44&lt;&gt;"",G44&lt;&gt;0),E44/G44,"")</s:f>
        <s:v>1</s:v>
      </s:c>
      <s:c r="K44" s="238"/>
      <s:c r="L44" s="238"/>
      <s:c r="M44" s="238"/>
      <s:c r="N44" s="277" t="str">
        <s:f>IF(AND(I44&lt;&gt;"",I44&lt;&gt;0),G44/I44,"")</s:f>
        <s:v/>
      </s:c>
      <s:c r="O44" s="240">
        <s:f>D44/P44</s:f>
        <s:v>-5.4245120322385799E-2</s:v>
      </s:c>
      <s:c r="P44" s="241">
        <s:f>$I$8*V44*W44/SUMPRODUCT($W$25:$W$55,$V$25:$V$55)</s:f>
        <s:v>44686.047069189874</s:v>
      </s:c>
      <s:c r="Q44" s="242">
        <s:f>$I$9*V44*W44/SUMPRODUCT($W$25:$W$55,$V$25:$V$55)</s:f>
        <s:v>7.7579942828454644</s:v>
      </s:c>
      <s:c r="R44" s="242">
        <s:f>IF($I$12="","",Q44/$I$12)</s:f>
        <s:v>4.0831548857081392</s:v>
      </s:c>
      <s:c r="S44" s="241">
        <s:f>IF(W44&lt;&gt;"",IF(D44&lt;&gt;"",D44,($I$8-SUM($S$25:S43))*V44*W44/SUMPRODUCT($W44:$W$55,$V44:$V$55)),"")</s:f>
        <s:v>-2424</s:v>
      </s:c>
      <s:c r="T44" s="242">
        <s:f>IF(W44&lt;&gt;"",IF(E44&lt;&gt;"",E44,($I$9-SUM($T$25:T43))*V44*W44/SUMPRODUCT($W44:$W$55,$V44:$V$55)),0)</s:f>
        <s:v>1</s:v>
      </s:c>
      <s:c r="U44" s="242">
        <s:f>IF(W44&lt;&gt;"",IF($I$12&lt;&gt;"",IF(G44&lt;&gt;"",G44,($I$9/$I$12-SUM($U$25:U43))*V44*W44/SUMPRODUCT($W44:$W$55,$V44:$V$55)),""),"")</s:f>
        <s:v>1</s:v>
      </s:c>
      <s:c r="V44" s="233">
        <s:v>1</s:v>
      </s:c>
      <s:c r="W44" s="233">
        <s:v>1</s:v>
      </s:c>
      <s:c r="X44" s="243"/>
      <s:c r="Y44" s="243"/>
      <s:c r="Z44" s="244"/>
      <s:c r="AA44" s="244"/>
      <s:c r="AB44" s="244"/>
      <s:c r="AC44" s="244"/>
      <s:c r="AD44" s="244"/>
    </s:row>
    <s:row r="45" spans="1:30" customFormat="1">
      <s:c r="A45" s="278"/>
      <s:c r="B45" s="96">
        <s:v>45811</s:v>
      </s:c>
      <s:c r="C45" s="231" t="s">
        <s:v>54</s:v>
      </s:c>
      <s:c r="D45" s="98">
        <s:v>5991</s:v>
      </s:c>
      <s:c r="E45" s="99">
        <s:v>1</s:v>
      </s:c>
      <s:c r="F45" s="99">
        <s:f>IF(AND(E45&lt;&gt;"",E45&lt;&gt;0),D45/E45,"")</s:f>
        <s:v>5991</s:v>
      </s:c>
      <s:c r="G45" s="99">
        <s:v>1</s:v>
      </s:c>
      <s:c r="H45" s="99">
        <s:f>IF(AND(G45&lt;&gt;"",G45&lt;&gt;0),D45/G45,"")</s:f>
        <s:v>5991</s:v>
      </s:c>
      <s:c r="I45" s="99"/>
      <s:c r="J45" s="98">
        <s:f>IF(AND(G45&lt;&gt;"",G45&lt;&gt;0),E45/G45,"")</s:f>
        <s:v>1</s:v>
      </s:c>
      <s:c r="K45" s="99"/>
      <s:c r="L45" s="99"/>
      <s:c r="M45" s="99"/>
      <s:c r="N45" s="279" t="str">
        <s:f>IF(AND(I45&lt;&gt;"",I45&lt;&gt;0),G45/I45,"")</s:f>
        <s:v/>
      </s:c>
      <s:c r="O45" s="101" t="e">
        <s:f>D45/P45</s:f>
        <s:v>#DIV/0!</s:v>
      </s:c>
      <s:c r="P45" s="102">
        <s:f>$I$8*V45*W45/SUMPRODUCT($W$25:$W$44,$V$25:$V$44)</s:f>
        <s:v>0</s:v>
      </s:c>
      <s:c r="Q45" s="103">
        <s:f>$I$9*V45*W45/SUMPRODUCT($W$25:$W$44,$V$25:$V$44)</s:f>
        <s:v>0</s:v>
      </s:c>
      <s:c r="R45" s="103">
        <s:f>IF($I$12="","",Q45/$I$12)</s:f>
        <s:v>0</s:v>
      </s:c>
      <s:c r="S45" s="102" t="str">
        <s:f>IF(W45&lt;&gt;"",IF(D45&lt;&gt;"",D45,($I$8-SUM($S$25:S44))*V45*W45/SUMPRODUCT($W$44:$W45,$V$44:$V45)),"")</s:f>
        <s:v/>
      </s:c>
      <s:c r="T45" s="103" t="str">
        <s:f>IF(W45&lt;&gt;"",IF(E45&lt;&gt;"",E45,($I$9-SUM($T$25:T44))*V45*W45/SUMPRODUCT($W$44:$W45,$V$44:$V45)),"")</s:f>
        <s:v/>
      </s:c>
      <s:c r="U45" s="103" t="str">
        <s:f>IF(W45&lt;&gt;"",IF($I$12&lt;&gt;"",IF(G45&lt;&gt;"",G45,($I$9/$I$12-SUM($U$25:U44))*V45*W45/SUMPRODUCT($W$44:$W45,$V$44:$V45)),""),"")</s:f>
        <s:v/>
      </s:c>
      <s:c r="V45" s="280"/>
      <s:c r="W45" s="280"/>
      <s:c r="X45" s="281"/>
      <s:c r="Y45" s="281"/>
      <s:c r="Z45" s="282"/>
    </s:row>
    <s:row r="46" spans="1:30" s="234" customFormat="1">
      <s:c r="A46" s="283"/>
      <s:c r="B46" s="236">
        <s:v>45815</s:v>
      </s:c>
      <s:c r="C46" s="263" t="s">
        <s:v>60</s:v>
      </s:c>
      <s:c r="D46" s="232">
        <s:v>7007</s:v>
      </s:c>
      <s:c r="E46" s="238">
        <s:v>2</s:v>
      </s:c>
      <s:c r="F46" s="238">
        <s:f>IF(AND(E46&lt;&gt;"",E46&lt;&gt;0),D46/E46,"")</s:f>
        <s:v>3503.5</s:v>
      </s:c>
      <s:c r="G46" s="238">
        <s:v>1</s:v>
      </s:c>
      <s:c r="H46" s="238">
        <s:f>IF(AND(G46&lt;&gt;"",G46&lt;&gt;0),D46/G46,"")</s:f>
        <s:v>7007</s:v>
      </s:c>
      <s:c r="I46" s="238"/>
      <s:c r="J46" s="232">
        <s:f>IF(AND(G46&lt;&gt;"",G46&lt;&gt;0),E46/G46,"")</s:f>
        <s:v>2</s:v>
      </s:c>
      <s:c r="K46" s="238"/>
      <s:c r="L46" s="238"/>
      <s:c r="M46" s="238"/>
      <s:c r="N46" s="277" t="str">
        <s:f>IF(AND(I46&lt;&gt;"",I46&lt;&gt;0),G46/I46,"")</s:f>
        <s:v/>
      </s:c>
      <s:c r="O46" s="240" t="e">
        <s:f>D46/P46</s:f>
        <s:v>#DIV/0!</s:v>
      </s:c>
      <s:c r="P46" s="241">
        <s:f>$I$8*V46*W46/SUMPRODUCT($W$25:$W$44,$V$25:$V$44)</s:f>
        <s:v>0</s:v>
      </s:c>
      <s:c r="Q46" s="242">
        <s:f>$I$9*V46*W46/SUMPRODUCT($W$25:$W$44,$V$25:$V$44)</s:f>
        <s:v>0</s:v>
      </s:c>
      <s:c r="R46" s="242">
        <s:f>IF($I$12="","",Q46/$I$12)</s:f>
        <s:v>0</s:v>
      </s:c>
      <s:c r="S46" s="241" t="str">
        <s:f>IF(W46&lt;&gt;"",IF(D46&lt;&gt;"",D46,($I$8-SUM($S$25:S45))*V46*W46/SUMPRODUCT($W$44:$W46,$V$44:$V46)),"")</s:f>
        <s:v/>
      </s:c>
      <s:c r="T46" s="242" t="str">
        <s:f>IF(W46&lt;&gt;"",IF(E46&lt;&gt;"",E46,($I$9-SUM($T$25:T45))*V46*W46/SUMPRODUCT($W$44:$W46,$V$44:$V46)),"")</s:f>
        <s:v/>
      </s:c>
      <s:c r="U46" s="242" t="str">
        <s:f>IF(W46&lt;&gt;"",IF($I$12&lt;&gt;"",IF(G46&lt;&gt;"",G46,($I$9/$I$12-SUM($U$25:U45))*V46*W46/SUMPRODUCT($W$44:$W46,$V$44:$V46)),""),"")</s:f>
        <s:v/>
      </s:c>
      <s:c r="V46" s="284"/>
      <s:c r="W46" s="284"/>
      <s:c r="X46" s="285"/>
      <s:c r="Y46" s="285"/>
      <s:c r="Z46" s="286"/>
    </s:row>
    <s:row r="47" spans="1:30" s="234" customFormat="1">
      <s:c r="A47" s="287"/>
      <s:c r="B47" s="236">
        <s:v>45832</s:v>
      </s:c>
      <s:c r="C47" s="247" t="s">
        <s:v>54</s:v>
      </s:c>
      <s:c r="D47" s="232">
        <s:v>-3990</s:v>
      </s:c>
      <s:c r="E47" s="238">
        <s:v>-1</s:v>
      </s:c>
      <s:c r="F47" s="238">
        <s:f>IF(AND(E47&lt;&gt;"",E47&lt;&gt;0),D47/E47,"")</s:f>
        <s:v>3990</s:v>
      </s:c>
      <s:c r="G47" s="238">
        <s:v>-1</s:v>
      </s:c>
      <s:c r="H47" s="238">
        <s:f>IF(AND(G47&lt;&gt;"",G47&lt;&gt;0),D47/G47,"")</s:f>
        <s:v>3990</s:v>
      </s:c>
      <s:c r="I47" s="238"/>
      <s:c r="J47" s="232">
        <s:f>IF(AND(G47&lt;&gt;"",G47&lt;&gt;0),E47/G47,"")</s:f>
        <s:v>1</s:v>
      </s:c>
      <s:c r="K47" s="238"/>
      <s:c r="L47" s="238"/>
      <s:c r="M47" s="238"/>
      <s:c r="N47" s="277" t="str">
        <s:f>IF(AND(I47&lt;&gt;"",I47&lt;&gt;0),G47/I47,"")</s:f>
        <s:v/>
      </s:c>
      <s:c r="O47" s="240" t="e">
        <s:f>D47/P47</s:f>
        <s:v>#DIV/0!</s:v>
      </s:c>
      <s:c r="P47" s="241">
        <s:f>$I$8*V47*W47/SUMPRODUCT($W$25:$W$47,$V$25:$V$47)</s:f>
        <s:v>0</s:v>
      </s:c>
      <s:c r="Q47" s="242">
        <s:f>$I$9*V47*W47/SUMPRODUCT($W$25:$W$47,$V$25:$V$47)</s:f>
        <s:v>0</s:v>
      </s:c>
      <s:c r="R47" s="242">
        <s:f>IF($I$12="","",Q47/$I$12)</s:f>
        <s:v>0</s:v>
      </s:c>
      <s:c r="S47" s="241" t="str">
        <s:f>IF(W47&lt;&gt;"",IF(D47&lt;&gt;"",D47,($I$8-SUM($S$25:S46))*V47*W47/SUMPRODUCT($W47:$W$47,$V47:$V$47)),"")</s:f>
        <s:v/>
      </s:c>
      <s:c r="T47" s="242" t="str">
        <s:f>IF(W47&lt;&gt;"",IF(E47&lt;&gt;"",E47,($I$9-SUM($T$25:T46))*V47*W47/SUMPRODUCT($W47:$W$47,$V47:$V$47)),"")</s:f>
        <s:v/>
      </s:c>
      <s:c r="U47" s="242" t="str">
        <s:f>IF(W47&lt;&gt;"",IF($I$12&lt;&gt;"",IF(G47&lt;&gt;"",G47,($I$9/$I$12-SUM($U$25:U46))*V47*W47/SUMPRODUCT($W47:$W$47,$V47:$V$47)),""),"")</s:f>
        <s:v/>
      </s:c>
      <s:c r="V47" s="284"/>
      <s:c r="W47" s="284"/>
      <s:c r="X47" s="285"/>
      <s:c r="Y47" s="285"/>
      <s:c r="Z47" s="286"/>
    </s:row>
    <s:row r="48" spans="1:30" ht="15" customHeight="1">
      <s:c r="B48" s="618" t="s">
        <s:v>65</s:v>
      </s:c>
      <s:c r="C48" s="618"/>
      <s:c r="D48" s="114">
        <s:f>SUM(D25:D47)</s:f>
        <s:v>420466</s:v>
      </s:c>
      <s:c r="E48" s="114">
        <s:f>SUM(E25:E47)</s:f>
        <s:v>86</s:v>
      </s:c>
      <s:c r="F48" s="114">
        <s:f>IF(AND(E48&lt;&gt;"",E48&lt;&gt;0),D48/E48,"")</s:f>
        <s:v>4889.1395348837214</s:v>
      </s:c>
      <s:c r="G48" s="114">
        <s:f>SUM(G25:G47)</s:f>
        <s:v>46</s:v>
      </s:c>
      <s:c r="H48" s="114">
        <s:f>IF(AND(G48&lt;&gt;"",G48&lt;&gt;0),D48/G48,"")</s:f>
        <s:v>9140.565217391304</s:v>
      </s:c>
      <s:c r="I48" s="114">
        <s:f>SUM(I25:I47)</s:f>
        <s:v>300</s:v>
      </s:c>
      <s:c r="J48" s="113">
        <s:f>IF(AND(G48&lt;&gt;"",G48&lt;&gt;0),E48/G48,"")</s:f>
        <s:v>1.8695652173913044</s:v>
      </s:c>
      <s:c r="K48" s="114">
        <s:f>SUM(K25:K47)</s:f>
        <s:v>8184</s:v>
      </s:c>
      <s:c r="L48" s="114">
        <s:f>SUM(L25:L47)</s:f>
        <s:v>108105</s:v>
      </s:c>
      <s:c r="M48" s="114">
        <s:f>SUM(M25:M47)</s:f>
        <s:v>0</s:v>
      </s:c>
      <s:c r="N48" s="115">
        <s:f>IF(AND(I48&lt;&gt;"",I48&lt;&gt;0),G48/I48,"")</s:f>
        <s:v>0.15333333333333332</s:v>
      </s:c>
      <s:c r="O48" s="116">
        <s:f>D48/P48</s:f>
        <s:v>0.46033930027578651</s:v>
      </s:c>
      <s:c r="P48" s="117">
        <s:f>SUM(P25:P47)</s:f>
        <s:v>913382.80209424079</s:v>
      </s:c>
      <s:c r="Q48" s="117">
        <s:f>SUM(Q25:Q47)</s:f>
        <s:v>158.57340314136124</s:v>
      </s:c>
      <s:c r="R48" s="117">
        <s:f>SUM(R25:R47)</s:f>
        <s:v>83.45968586387437</s:v>
      </s:c>
      <s:c r="S48" s="117">
        <s:f>SUM(S25:S47)</s:f>
        <s:v>839601.54465220659</s:v>
      </s:c>
      <s:c r="T48" s="117">
        <s:f>SUM(T25:T47)</s:f>
        <s:v>149.92005983545249</s:v>
      </s:c>
      <s:c r="U48" s="117">
        <s:f>SUM(U25:U47)</s:f>
        <s:v>78.822587883320864</s:v>
      </s:c>
      <s:c r="V48" s="118"/>
      <s:c r="W48" s="118"/>
    </s:row>
    <s:row r="49">
      <s:c r="B49" s="120"/>
      <s:c r="C49" s="121"/>
      <s:c r="D49" s="122">
        <s:f>SUMIF(D25:D47,"",P25:P47)+D48</s:f>
        <s:v>688582.28241513926</s:v>
      </s:c>
      <s:c r="E49" s="123"/>
      <s:c r="F49" s="121"/>
      <s:c r="G49" s="121"/>
      <s:c r="H49" s="124"/>
      <s:c r="I49" s="229"/>
      <s:c r="J49" s="124"/>
      <s:c r="L49" s="126"/>
      <s:c r="M49" s="123"/>
      <s:c r="N49" s="126"/>
      <s:c r="O49" s="126"/>
      <s:c r="P49" s="126"/>
      <s:c r="Q49" s="127"/>
    </s:row>
    <s:row r="50">
      <s:c r="D50" s="128"/>
    </s:row>
    <s:row r="51">
      <s:c r="D51" s="128"/>
    </s:row>
    <s:row r="52">
      <s:c r="D52" s="224"/>
    </s:row>
    <s:row r="53">
      <s:c r="D53" s="224"/>
    </s:row>
  </s:sheetData>
  <s:mergeCells count="28">
    <s:mergeCell ref="P22:W22"/>
    <s:mergeCell ref="B48:C48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57" priority="904" operator="greaterThan">
      <s:formula>0</s:formula>
    </s:cfRule>
    <s:cfRule type="cellIs" dxfId="156" priority="903" operator="lessThan">
      <s:formula>0</s:formula>
    </s:cfRule>
  </s:conditionalFormatting>
  <s:conditionalFormatting sqref="J25:J30">
    <s:cfRule type="cellIs" dxfId="155" priority="10" operator="lessThan">
      <s:formula>$I$12</s:formula>
    </s:cfRule>
  </s:conditionalFormatting>
  <s:conditionalFormatting sqref="J25:J31">
    <s:cfRule type="cellIs" dxfId="154" priority="11" operator="greaterThan">
      <s:formula>$I$12</s:formula>
    </s:cfRule>
  </s:conditionalFormatting>
  <s:conditionalFormatting sqref="J29:J30">
    <s:cfRule type="cellIs" dxfId="153" priority="1041" operator="lessThan">
      <s:formula>$I$12</s:formula>
    </s:cfRule>
  </s:conditionalFormatting>
  <s:conditionalFormatting sqref="J29:J42">
    <s:cfRule type="cellIs" dxfId="152" priority="1061" operator="greaterThan">
      <s:formula>$I$12</s:formula>
    </s:cfRule>
    <s:cfRule type="cellIs" dxfId="151" priority="1068" operator="lessThan">
      <s:formula>$I$12</s:formula>
    </s:cfRule>
  </s:conditionalFormatting>
  <s:conditionalFormatting sqref="J43:J47 J37">
    <s:cfRule type="cellIs" dxfId="150" priority="220" operator="greaterThan">
      <s:formula>$I$12</s:formula>
    </s:cfRule>
  </s:conditionalFormatting>
  <s:conditionalFormatting sqref="J43:J47">
    <s:cfRule type="cellIs" dxfId="149" priority="219" operator="lessThan">
      <s:formula>$I$12</s:formula>
    </s:cfRule>
  </s:conditionalFormatting>
  <s:conditionalFormatting sqref="K10:K12 K15">
    <s:cfRule type="cellIs" dxfId="148" priority="902" operator="greaterThan">
      <s:formula>1</s:formula>
    </s:cfRule>
    <s:cfRule type="cellIs" dxfId="147" priority="901" operator="lessThan">
      <s:formula>1</s:formula>
    </s:cfRule>
  </s:conditionalFormatting>
  <s:conditionalFormatting sqref="K13">
    <s:cfRule type="cellIs" dxfId="146" priority="552" operator="greaterThan">
      <s:formula>$K$14</s:formula>
    </s:cfRule>
    <s:cfRule type="cellIs" dxfId="145" priority="551" operator="lessThan">
      <s:formula>$K$14</s:formula>
    </s:cfRule>
  </s:conditionalFormatting>
  <s:conditionalFormatting sqref="M8:M15">
    <s:cfRule type="cellIs" dxfId="144" priority="919" operator="lessThan">
      <s:formula>1</s:formula>
    </s:cfRule>
    <s:cfRule type="cellIs" dxfId="143" priority="900" operator="greaterThan">
      <s:formula>1</s:formula>
    </s:cfRule>
  </s:conditionalFormatting>
  <s:conditionalFormatting sqref="N25:N37">
    <s:cfRule type="cellIs" dxfId="142" priority="8" operator="greaterThanOrEqual">
      <s:formula>0.25</s:formula>
    </s:cfRule>
    <s:cfRule type="cellIs" dxfId="141" priority="7" operator="between">
      <s:formula>0.2</s:formula>
      <s:formula>0.25</s:formula>
    </s:cfRule>
  </s:conditionalFormatting>
  <s:conditionalFormatting sqref="N25:N47">
    <s:cfRule type="cellIs" dxfId="140" priority="9" operator="lessThan">
      <s:formula>0.2</s:formula>
    </s:cfRule>
  </s:conditionalFormatting>
  <s:conditionalFormatting sqref="N38">
    <s:cfRule type="cellIs" dxfId="139" priority="1054" operator="between">
      <s:formula>0.2</s:formula>
      <s:formula>0.25</s:formula>
    </s:cfRule>
  </s:conditionalFormatting>
  <s:conditionalFormatting sqref="N38:N47">
    <s:cfRule type="cellIs" dxfId="138" priority="217" operator="greaterThanOrEqual">
      <s:formula>0.25</s:formula>
    </s:cfRule>
  </s:conditionalFormatting>
  <s:conditionalFormatting sqref="N39:N47">
    <s:cfRule type="cellIs" dxfId="137" priority="216" operator="between">
      <s:formula>0.2</s:formula>
      <s:formula>0.25</s:formula>
    </s:cfRule>
  </s:conditionalFormatting>
  <s:conditionalFormatting sqref="O25:O37">
    <s:cfRule type="cellIs" dxfId="136" priority="6" operator="between">
      <s:formula>0.01</s:formula>
      <s:formula>0.99</s:formula>
    </s:cfRule>
    <s:cfRule type="cellIs" dxfId="135" priority="5" operator="between">
      <s:formula>0.85</s:formula>
      <s:formula>1</s:formula>
    </s:cfRule>
    <s:cfRule type="cellIs" dxfId="134" priority="2" operator="lessThan">
      <s:formula>0.9</s:formula>
    </s:cfRule>
    <s:cfRule type="cellIs" dxfId="133" priority="1" operator="between">
      <s:formula>0.9001</s:formula>
      <s:formula>0.9999</s:formula>
    </s:cfRule>
  </s:conditionalFormatting>
  <s:conditionalFormatting sqref="O25:O47">
    <s:cfRule type="cellIs" dxfId="132" priority="4" operator="greaterThan">
      <s:formula>100</s:formula>
    </s:cfRule>
    <s:cfRule type="cellIs" dxfId="131" priority="3" operator="greaterThan">
      <s:formula>1</s:formula>
    </s:cfRule>
  </s:conditionalFormatting>
  <s:conditionalFormatting sqref="O38">
    <s:cfRule type="cellIs" dxfId="130" priority="1056" operator="between">
      <s:formula>0.85</s:formula>
      <s:formula>1</s:formula>
    </s:cfRule>
    <s:cfRule type="cellIs" dxfId="129" priority="1059" operator="lessThan">
      <s:formula>0.9</s:formula>
    </s:cfRule>
    <s:cfRule type="cellIs" dxfId="128" priority="1060" operator="between">
      <s:formula>0.9001</s:formula>
      <s:formula>0.9999</s:formula>
    </s:cfRule>
  </s:conditionalFormatting>
  <s:conditionalFormatting sqref="O38:O47">
    <s:cfRule type="cellIs" dxfId="127" priority="215" operator="between">
      <s:formula>0.01</s:formula>
      <s:formula>0.99</s:formula>
    </s:cfRule>
  </s:conditionalFormatting>
  <s:conditionalFormatting sqref="O39:O44">
    <s:cfRule type="cellIs" dxfId="126" priority="214" operator="between">
      <s:formula>0.85</s:formula>
      <s:formula>1</s:formula>
    </s:cfRule>
  </s:conditionalFormatting>
  <s:conditionalFormatting sqref="O39:O47">
    <s:cfRule type="cellIs" dxfId="125" priority="211" operator="lessThan">
      <s:formula>0.9</s:formula>
    </s:cfRule>
    <s:cfRule type="cellIs" dxfId="124" priority="210" operator="between">
      <s:formula>0.9001</s:formula>
      <s:formula>0.9999</s:formula>
    </s:cfRule>
  </s:conditionalFormatting>
  <s:conditionalFormatting sqref="O45:O47">
    <s:cfRule type="cellIs" dxfId="123" priority="639" operator="between">
      <s:formula>0.85</s:formula>
      <s:formula>1</s:formula>
    </s:cfRule>
  </s:conditionalFormatting>
  <s:conditionalFormatting sqref="P10:Q10">
    <s:cfRule type="cellIs" dxfId="122" priority="915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600-000000000000}">
  <s:sheetPr>
    <s:pageSetUpPr fitToPage="1"/>
  </s:sheetPr>
  <s:dimension ref="A1:IU53"/>
  <s:sheetViews>
    <s:sheetView showZeros="0" tabSelected="0" topLeftCell="A5" workbookViewId="0">
      <s:pane xSplit="3" topLeftCell="D1" activePane="topRight" state="frozen"/>
      <s:selection pane="topRight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79">
        <s:f ca="1">TODAY()-1</s:f>
        <s:v>46171</s:v>
      </s:c>
      <s:c r="C1" s="679"/>
      <s:c r="D1" s="11"/>
      <s:c r="E1" s="11"/>
      <s:c r="F1" s="12"/>
      <s:c r="G1" s="12"/>
      <s:c r="H1" s="12"/>
      <s:c r="I1" s="12"/>
      <s:c r="J1" s="198"/>
      <s:c r="K1" s="198"/>
      <s:c r="L1" s="198"/>
      <s:c r="M1" s="198"/>
      <s:c r="N1" s="198"/>
      <s:c r="O1" s="198"/>
      <s:c r="P1" s="198"/>
      <s:c r="Q1" s="680"/>
      <s:c r="R1" s="680"/>
      <s:c r="S1" s="680"/>
      <s:c r="T1" s="680"/>
      <s:c r="U1" s="12"/>
      <s:c r="V1" s="12"/>
      <s:c r="W1" s="12"/>
    </s:row>
    <s:row r="2" spans="2:23" ht="21.75" customHeight="1">
      <s:c r="B2" s="681" t="s">
        <s:v>0</s:v>
      </s:c>
      <s:c r="C2" s="681"/>
      <s:c r="D2" s="11"/>
      <s:c r="E2" s="11"/>
      <s:c r="F2" s="12"/>
      <s:c r="G2" s="12"/>
      <s:c r="H2" s="12"/>
      <s:c r="I2" s="12"/>
      <s:c r="J2" s="682" t="s">
        <s:v>71</s:v>
      </s:c>
      <s:c r="K2" s="682"/>
      <s:c r="L2" s="682"/>
      <s:c r="M2" s="682"/>
      <s:c r="N2" s="682"/>
      <s:c r="O2" s="682"/>
      <s:c r="P2" s="682"/>
      <s:c r="Q2" s="680"/>
      <s:c r="R2" s="680"/>
      <s:c r="S2" s="680"/>
      <s:c r="T2" s="680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3" t="str">
        <s:f>График!B26</s:f>
        <s:v>Яковенко Алина</s:v>
      </s:c>
      <s:c r="K3" s="684"/>
      <s:c r="L3" s="684"/>
      <s:c r="M3" s="684"/>
      <s:c r="N3" s="685"/>
      <s:c r="O3" s="198"/>
      <s:c r="P3" s="199"/>
      <s:c r="Q3" s="680"/>
      <s:c r="R3" s="680"/>
      <s:c r="S3" s="680"/>
      <s:c r="T3" s="680"/>
      <s:c r="U3" s="12"/>
      <s:c r="V3" s="12"/>
      <s:c r="W3" s="12"/>
    </s:row>
    <s:row r="4" spans="2:23" ht="15" customHeight="1">
      <s:c r="B4" s="11"/>
      <s:c r="C4" s="689">
        <s:f>I8-D48</s:f>
        <s:v>291597.88272251317</s:v>
      </s:c>
      <s:c r="D4" s="690"/>
      <s:c r="E4" s="200">
        <s:f>IF(I8&lt;&gt;0,C4/I8,0)</s:f>
        <s:v>0.53873515678858819</s:v>
      </s:c>
      <s:c r="F4" s="12"/>
      <s:c r="G4" s="12"/>
      <s:c r="H4" s="12"/>
      <s:c r="I4" s="12"/>
      <s:c r="J4" s="686"/>
      <s:c r="K4" s="687"/>
      <s:c r="L4" s="687"/>
      <s:c r="M4" s="687"/>
      <s:c r="N4" s="688"/>
      <s:c r="O4" s="12"/>
      <s:c r="P4" s="12"/>
      <s:c r="Q4" s="680"/>
      <s:c r="R4" s="680"/>
      <s:c r="S4" s="680"/>
      <s:c r="T4" s="680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1"/>
      <s:c r="K5" s="691"/>
      <s:c r="L5" s="691"/>
      <s:c r="M5" s="691"/>
      <s:c r="N5" s="691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01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01"/>
      <s:c r="C7" s="12"/>
      <s:c r="D7" s="12"/>
      <s:c r="E7" s="12"/>
      <s:c r="F7" s="598" t="s">
        <s:v>3</s:v>
      </s:c>
      <s:c r="G7" s="599"/>
      <s:c r="H7" s="600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1" t="s">
        <s:v>11</s:v>
      </s:c>
      <s:c r="Q7" s="602"/>
      <s:c r="R7" s="21"/>
      <s:c r="S7" s="21"/>
      <s:c r="T7" s="12"/>
      <s:c r="U7" s="12"/>
      <s:c r="V7" s="12"/>
      <s:c r="W7" s="12"/>
    </s:row>
    <s:row r="8" spans="2:23" ht="15.75" customHeight="1">
      <s:c r="B8" s="201"/>
      <s:c r="C8" s="12"/>
      <s:c r="D8" s="12"/>
      <s:c r="E8" s="12"/>
      <s:c r="F8" s="603" t="s">
        <s:v>12</s:v>
      </s:c>
      <s:c r="G8" s="604"/>
      <s:c r="H8" s="605"/>
      <s:c r="I8" s="202">
        <s:f>'Ялта, Ленина, 18'!I8/График!AJ31*График!AJ26</s:f>
        <s:v>541263.88272251317</s:v>
      </s:c>
      <s:c r="J8" s="203">
        <s:f>D48</s:f>
        <s:v>249666</s:v>
      </s:c>
      <s:c r="K8" s="268">
        <s:f>IF(AND(I8&lt;&gt;"",I8&lt;&gt;0,J8&lt;&gt;""),J8/I8,"")</s:f>
        <s:v>0.46126484321141176</s:v>
      </s:c>
      <s:c r="L8" s="205">
        <s:f>IF(SUMIF($D$25:$D$47,"&gt;=0",$P$25:$P$47)&lt;&gt;0,I8*D48/SUMIF($D$25:$D$47,"&gt;=0",$P$25:$P$47),0)</s:f>
        <s:v>540590.36440677952</s:v>
      </s:c>
      <s:c r="M8" s="32">
        <s:f>IF(AND(I8&lt;&gt;"",I8&lt;&gt;0,L8&lt;&gt;"",L8&lt;&gt;0),L8/I8,"")</s:f>
        <s:v>0.99875565627555662</s:v>
      </s:c>
      <s:c r="N8" s="35">
        <s:f>IF(AND(J8&lt;&gt;0,J8&lt;&gt;"",I8&lt;&gt;0,I8&lt;&gt;""),L8-I8,"")</s:f>
        <s:v>-673.51831573364325</s:v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01"/>
      <s:c r="C9" s="12"/>
      <s:c r="D9" s="12"/>
      <s:c r="E9" s="12"/>
      <s:c r="F9" s="606" t="s">
        <s:v>13</s:v>
      </s:c>
      <s:c r="G9" s="607"/>
      <s:c r="H9" s="608"/>
      <s:c r="I9" s="38">
        <s:f>I8/I11</s:f>
        <s:v>93.969424083769653</s:v>
      </s:c>
      <s:c r="J9" s="39">
        <s:f>E48</s:f>
        <s:v>48</s:v>
      </s:c>
      <s:c r="K9" s="269">
        <s:f>IF(AND(I9&lt;&gt;"",I9&lt;&gt;0,J9&lt;&gt;""),J9/I9,"")</s:f>
        <s:v>0.5108044501497645</s:v>
      </s:c>
      <s:c r="L9" s="207">
        <s:f>IF(SUMIF($E$25:$E$47,"&gt;=0",$Q$25:$Q$47)&lt;&gt;0,I9*E48/SUMIF($E$25:$E$47,"&gt;=0",$Q$25:$Q$47),0)</s:f>
        <s:v>116.24644549763032</s:v>
      </s:c>
      <s:c r="M9" s="42">
        <s:f>IF(AND(I9&lt;&gt;"",I9&lt;&gt;0,L9&lt;&gt;"",L9&lt;&gt;0),L9/I9,"")</s:f>
        <s:v>1.2370667015475338</s:v>
      </s:c>
      <s:c r="N9" s="43">
        <s:f>IF(AND(J9&lt;&gt;0,J9&lt;&gt;"",I9&lt;&gt;0,I9&lt;&gt;""),L9-I9,"")</s:f>
        <s:v>22.277021413860666</s:v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01"/>
      <s:c r="C10" s="12"/>
      <s:c r="D10" s="12"/>
      <s:c r="E10" s="12"/>
      <s:c r="F10" s="603" t="s">
        <s:v>14</s:v>
      </s:c>
      <s:c r="G10" s="604"/>
      <s:c r="H10" s="605"/>
      <s:c r="I10" s="50">
        <s:f>I11*I12</s:f>
        <s:v>10944</s:v>
      </s:c>
      <s:c r="J10" s="209">
        <s:f>H48</s:f>
        <s:v>8916.6428571428569</s:v>
      </s:c>
      <s:c r="K10" s="270">
        <s:f>IF(AND(I10&lt;&gt;"",I10&lt;&gt;0,J10&lt;&gt;""),J10/I10,"")</s:f>
        <s:v>0.81475172305764409</s:v>
      </s:c>
      <s:c r="L10" s="207">
        <s:f>J10</s:f>
        <s:v>8916.6428571428569</s:v>
      </s:c>
      <s:c r="M10" s="48">
        <s:f>IF(AND(I10&lt;&gt;"",I10&lt;&gt;0,L10&lt;&gt;"",L10&lt;&gt;0),L10/I10,"")</s:f>
        <s:v>0.81475172305764409</s:v>
      </s:c>
      <s:c r="N10" s="49">
        <s:f>IF(AND(J10&lt;&gt;0,J10&lt;&gt;"",I10&lt;&gt;0,I10&lt;&gt;""),L10-I10,"")</s:f>
        <s:v>-2027.3571428571431</s:v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613" t="s">
        <s:v>15</s:v>
      </s:c>
      <s:c r="T10" s="613"/>
      <s:c r="U10" s="12"/>
      <s:c r="V10" s="12"/>
      <s:c r="W10" s="12"/>
    </s:row>
    <s:row r="11" spans="2:23" ht="15.75" customHeight="1">
      <s:c r="B11" s="201"/>
      <s:c r="C11" s="12"/>
      <s:c r="D11" s="12"/>
      <s:c r="E11" s="12"/>
      <s:c r="F11" s="606" t="s">
        <s:v>16</s:v>
      </s:c>
      <s:c r="G11" s="607"/>
      <s:c r="H11" s="608"/>
      <s:c r="I11" s="52">
        <s:f>'Ялта, Ленина, 18'!I11</s:f>
        <s:v>5760</s:v>
      </s:c>
      <s:c r="J11" s="39">
        <s:f>F48</s:f>
        <s:v>5201.375</s:v>
      </s:c>
      <s:c r="K11" s="271">
        <s:f>IF(AND(I11&lt;&gt;"",I11&lt;&gt;0,J11&lt;&gt;""),J11/I11,"")</s:f>
        <s:v>0.90301649305555554</s:v>
      </s:c>
      <s:c r="L11" s="207">
        <s:f>IF(L9&gt;0,L8/L9,"")</s:f>
        <s:v>4650.3818855932195</s:v>
      </s:c>
      <s:c r="M11" s="42">
        <s:f>IF(AND(I11&lt;&gt;"",I11&lt;&gt;0,L11&lt;&gt;"",L11&lt;&gt;0),L11/I11,"")</s:f>
        <s:v>0.80735796624882283</s:v>
      </s:c>
      <s:c r="N11" s="43">
        <s:f>IF(AND(J11&lt;&gt;0,J11&lt;&gt;"",I11&lt;&gt;0,I11&lt;&gt;""),L11-I11,"")</s:f>
        <s:v>-1109.6181144067805</s:v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613"/>
      <s:c r="T11" s="613"/>
      <s:c r="U11" s="12"/>
      <s:c r="V11" s="12"/>
      <s:c r="W11" s="12"/>
    </s:row>
    <s:row r="12" spans="2:23" ht="15.75" customHeight="1">
      <s:c r="B12" s="201"/>
      <s:c r="C12" s="12"/>
      <s:c r="D12" s="12"/>
      <s:c r="E12" s="12"/>
      <s:c r="F12" s="606" t="s">
        <s:v>17</s:v>
      </s:c>
      <s:c r="G12" s="607"/>
      <s:c r="H12" s="608"/>
      <s:c r="I12" s="54">
        <s:f>'Ялта, Ленина, 18'!I12</s:f>
        <s:v>1.9</s:v>
      </s:c>
      <s:c r="J12" s="55">
        <s:f>J48</s:f>
        <s:v>1.7142857142857142</s:v>
      </s:c>
      <s:c r="K12" s="271">
        <s:f>IF(AND(I12&lt;&gt;"",I12&lt;&gt;0,J12&lt;&gt;""),J12/I12,"")</s:f>
        <s:v>0.90225563909774431</s:v>
      </s:c>
      <s:c r="L12" s="213">
        <s:f>J12</s:f>
        <s:v>1.7142857142857142</s:v>
      </s:c>
      <s:c r="M12" s="42">
        <s:f>IF(AND(I12&lt;&gt;"",I12&lt;&gt;0,L12&lt;&gt;"",L12&lt;&gt;0),L12/I12,"")</s:f>
        <s:v>0.90225563909774431</s:v>
      </s:c>
      <s:c r="N12" s="57">
        <s:f>IF(AND(J12&lt;&gt;0,J12&lt;&gt;"",I12&lt;&gt;0,I12&lt;&gt;""),L12-I12,"")</s:f>
        <s:v>-0.18571428571428572</s:v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18'!S12*График!AJ27/График!AJ31</s:f>
        <s:v>207801.04712041884</s:v>
      </s:c>
      <s:c r="T12" s="60">
        <s:f>L48</s:f>
        <s:v>23405</s:v>
      </s:c>
      <s:c r="U12" s="12"/>
      <s:c r="V12" s="12"/>
      <s:c r="W12" s="12"/>
    </s:row>
    <s:row r="13" spans="2:23" ht="15.75" customHeight="1">
      <s:c r="B13" s="201"/>
      <s:c r="C13" s="12"/>
      <s:c r="D13" s="12"/>
      <s:c r="E13" s="12"/>
      <s:c r="F13" s="606" t="s">
        <s:v>18</s:v>
      </s:c>
      <s:c r="G13" s="607"/>
      <s:c r="H13" s="608"/>
      <s:c r="I13" s="38">
        <s:f>IF(I12&lt;&gt;0,I9/I12,"")</s:f>
        <s:v>49.457591623036663</s:v>
      </s:c>
      <s:c r="J13" s="39">
        <s:f>G48</s:f>
        <s:v>28</s:v>
      </s:c>
      <s:c r="K13" s="269">
        <s:f>IF(AND(I13&lt;&gt;"",I13&lt;&gt;0,J13&lt;&gt;""),J13/I13,"")</s:f>
        <s:v>0.56614159891598903</s:v>
      </s:c>
      <s:c r="L13" s="207">
        <s:f>IF(SUMIF($G$25:$G$47,"&gt;=0",$R$25:$R$47)&lt;&gt;0,I13*G48/SUMIF($G$25:$G$47,"&gt;=0",$R$25:$R$47),"")</s:f>
        <s:v>67.810426540284354</s:v>
      </s:c>
      <s:c r="M13" s="42">
        <s:f>IF(AND(I13&lt;&gt;"",I13&lt;&gt;0,L13&lt;&gt;"",L13&lt;&gt;0),L13/I13,"")</s:f>
        <s:v>1.37108226088185</s:v>
      </s:c>
      <s:c r="N13" s="57">
        <s:f>IF(AND(J13&lt;&gt;0,J13&lt;&gt;"",I13&lt;&gt;0,I13&lt;&gt;""),L13-I13,"")</s:f>
        <s:v>18.352834917247691</s:v>
      </s:c>
      <s:c r="O13" s="61"/>
      <s:c r="P13" s="43" t="str">
        <s:f>IF(AND(O13&lt;&gt;"",O13&lt;&gt;0,L13&lt;&gt;"",L13&lt;&gt;0),-O13+L13,"")</s:f>
        <s:v/>
      </s:c>
      <s:c r="Q13" s="45" t="str">
        <s:f>IF(AND(P13&lt;&gt;"",P13&lt;&gt;0,O13&lt;&gt;0,O13&lt;&gt;""),P13/O13,"")</s:f>
        <s:v/>
      </s:c>
      <s:c r="R13" s="21"/>
      <s:c r="S13" s="62">
        <s:f>T12/S12</s:f>
        <s:v>0.11263177122700933</s:v>
      </s:c>
      <s:c r="T13" s="62">
        <s:f>S13/J14*I14</s:f>
        <s:v>0.11263177122700933</s:v>
      </s:c>
      <s:c r="U13" s="12"/>
      <s:c r="V13" s="12"/>
      <s:c r="W13" s="12"/>
    </s:row>
    <s:row r="14" spans="2:23" ht="15.75" customHeight="1">
      <s:c r="B14" s="201"/>
      <s:c r="C14" s="12"/>
      <s:c r="D14" s="214"/>
      <s:c r="E14" s="12"/>
      <s:c r="F14" s="606" t="s">
        <s:v>68</s:v>
      </s:c>
      <s:c r="G14" s="607"/>
      <s:c r="H14" s="608"/>
      <s:c r="I14" s="52">
        <s:f>График!AI26</s:f>
        <s:v>8</s:v>
      </s:c>
      <s:c r="J14" s="64">
        <s:v>8</s:v>
      </s:c>
      <s:c r="K14" s="269">
        <s:f>IF(AND(I14&lt;&gt;"",I14&lt;&gt;0,J14&lt;&gt;""),J14/I14,"")</s:f>
        <s:v>1</s:v>
      </s:c>
      <s:c r="L14" s="41">
        <s:f>I14</s:f>
        <s:v>8</s:v>
      </s:c>
      <s:c r="M14" s="42">
        <s:f>IF(AND(I14&lt;&gt;"",I14&lt;&gt;0,L14&lt;&gt;"",L14&lt;&gt;0),L14/I14,"")</s:f>
        <s:v>1</s:v>
      </s:c>
      <s:c r="N14" s="43">
        <s:f>IF(AND(J14&lt;&gt;0,J14&lt;&gt;"",I14&lt;&gt;0,I14&lt;&gt;""),L14-I14,"")</s:f>
        <s:v>0</s:v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01"/>
      <s:c r="C15" s="12"/>
      <s:c r="D15" s="12"/>
      <s:c r="E15" s="12"/>
      <s:c r="F15" s="606" t="s">
        <s:v>20</s:v>
      </s:c>
      <s:c r="G15" s="607"/>
      <s:c r="H15" s="608"/>
      <s:c r="I15" s="75">
        <s:f>'Ялта, Ленина, 18'!I15</s:f>
        <s:v>143585.28</s:v>
      </s:c>
      <s:c r="J15" s="67">
        <s:f>J8/J14</s:f>
        <s:v>31208.25</s:v>
      </s:c>
      <s:c r="K15" s="77">
        <s:f>IF(AND(I15&lt;&gt;"",I15&lt;&gt;0,J15&lt;&gt;""),J15/I15,"")</s:f>
        <s:v>0.21734992612056056</s:v>
      </s:c>
      <s:c r="L15" s="72">
        <s:f>J15</s:f>
        <s:v>31208.25</s:v>
      </s:c>
      <s:c r="M15" s="70">
        <s:f>IF(AND(I15&lt;&gt;"",I15&lt;&gt;0,L15&lt;&gt;"",L15&lt;&gt;0),L15/I15,"")</s:f>
        <s:v>0.21734992612056056</s:v>
      </s:c>
      <s:c r="N15" s="43">
        <s:f>IF(AND(J15&lt;&gt;0,J15&lt;&gt;"",I15&lt;&gt;0,I15&lt;&gt;""),L15-I15,"")</s:f>
        <s:v>-112377.03</s:v>
      </s:c>
      <s:c r="O15" s="71"/>
      <s:c r="P15" s="43" t="str">
        <s:f>IF(AND(O15&lt;&gt;"",O15&lt;&gt;0,L15&lt;&gt;"",L15&lt;&gt;0),-O15+L15,"")</s:f>
        <s:v/>
      </s:c>
      <s:c r="Q15" s="45" t="str">
        <s:f>IF(AND(P15&lt;&gt;"",P15&lt;&gt;0,O15&lt;&gt;0,O15&lt;&gt;""),P15/O15,"")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01"/>
      <s:c r="C16" s="12"/>
      <s:c r="D16" s="12"/>
      <s:c r="E16" s="12"/>
      <s:c r="F16" s="606" t="s">
        <s:v>21</s:v>
      </s:c>
      <s:c r="G16" s="607"/>
      <s:c r="H16" s="608"/>
      <s:c r="I16" s="75"/>
      <s:c r="J16" s="67">
        <s:f>J8-I15*J14</s:f>
        <s:v>-899016.24</s:v>
      </s:c>
      <s:c r="K16" s="77" t="str">
        <s:f>IF(AND(I16&lt;&gt;"",I16&lt;&gt;0,J16&lt;&gt;""),J16/I16,"")</s:f>
        <s:v/>
      </s:c>
      <s:c r="L16" s="72">
        <s:f>J16</s:f>
        <s:v>-899016.24</s:v>
      </s:c>
      <s:c r="M16" s="73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613" t="s">
        <s:v>22</s:v>
      </s:c>
      <s:c r="T16" s="613"/>
      <s:c r="U16" s="12"/>
      <s:c r="V16" s="12"/>
      <s:c r="W16" s="12"/>
    </s:row>
    <s:row r="17" spans="1:30" ht="15.75" customHeight="1">
      <s:c r="B17" s="201"/>
      <s:c r="C17" s="12"/>
      <s:c r="D17" s="12"/>
      <s:c r="E17" s="12"/>
      <s:c r="F17" s="606" t="s">
        <s:v>23</s:v>
      </s:c>
      <s:c r="G17" s="607"/>
      <s:c r="H17" s="608"/>
      <s:c r="I17" s="75">
        <s:f>'Ялта, Ленина, 18'!I17/График!AJ31*График!AJ27</s:f>
        <s:v>339.26701570680626</s:v>
      </s:c>
      <s:c r="J17" s="67">
        <s:f>I48</s:f>
        <s:v>149</s:v>
      </s:c>
      <s:c r="K17" s="77">
        <s:f>IF(AND(I17&lt;&gt;"",I17&lt;&gt;0,J17&lt;&gt;""),J17/I17,"")</s:f>
        <s:v>0.43918209876543213</s:v>
      </s:c>
      <s:c r="L17" s="78">
        <s:f>J17/J14*I14</s:f>
        <s:v>149</s:v>
      </s:c>
      <s:c r="M17" s="73">
        <s:f>IF(AND(I17&lt;&gt;"",I17&lt;&gt;0,L17&lt;&gt;"",L17&lt;&gt;0),L17/I17,"")</s:f>
        <s:v>0.43918209876543213</s:v>
      </s:c>
      <s:c r="N17" s="43">
        <s:f>IF(AND(J17&lt;&gt;0,J17&lt;&gt;"",I17&lt;&gt;0,I17&lt;&gt;""),L17-I17,"")</s:f>
        <s:v>-190.26701570680626</s:v>
      </s:c>
      <s:c r="O17" s="71"/>
      <s:c r="P17" s="43" t="str">
        <s:f>IF(AND(O17&lt;&gt;"",O17&lt;&gt;0,L17&lt;&gt;"",L17&lt;&gt;0),-O17+L17,"")</s:f>
        <s:v/>
      </s:c>
      <s:c r="Q17" s="45" t="str">
        <s:f>IF(AND(P17&lt;&gt;"",P17&lt;&gt;0,O17&lt;&gt;0,O17&lt;&gt;""),P17/O17,"")</s:f>
        <s:v/>
      </s:c>
      <s:c r="R17" s="21"/>
      <s:c r="S17" s="613"/>
      <s:c r="T17" s="613"/>
      <s:c r="U17" s="12"/>
      <s:c r="V17" s="12"/>
      <s:c r="W17" s="12"/>
    </s:row>
    <s:row r="18" spans="1:30" ht="15.75" customHeight="1">
      <s:c r="B18" s="201"/>
      <s:c r="C18" s="12"/>
      <s:c r="D18" s="12"/>
      <s:c r="E18" s="12"/>
      <s:c r="F18" s="606"/>
      <s:c r="G18" s="607"/>
      <s:c r="H18" s="608"/>
      <s:c r="I18" s="76"/>
      <s:c r="J18" s="67"/>
      <s:c r="K18" s="77" t="str">
        <s:f>IF(AND(I18&lt;&gt;"",I18&lt;&gt;0,J18&lt;&gt;""),J18/I18,"")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18'!S18*График!AJ27/График!AJ31</s:f>
        <s:v>165392.67015706806</s:v>
      </s:c>
      <s:c r="T18" s="60">
        <s:f>K48</s:f>
        <s:v>57840</s:v>
      </s:c>
      <s:c r="U18" s="12"/>
      <s:c r="V18" s="12"/>
      <s:c r="W18" s="12"/>
    </s:row>
    <s:row r="19" spans="1:30" ht="15.75" customHeight="1">
      <s:c r="B19" s="201"/>
      <s:c r="C19" s="12"/>
      <s:c r="D19" s="12"/>
      <s:c r="E19" s="12"/>
      <s:c r="F19" s="606"/>
      <s:c r="G19" s="607"/>
      <s:c r="H19" s="608"/>
      <s:c r="I19" s="76"/>
      <s:c r="J19" s="67">
        <s:f>M48</s:f>
        <s:v>0</s:v>
      </s:c>
      <s:c r="K19" s="77" t="str">
        <s:f>IF(AND(I19&lt;&gt;"",I19&lt;&gt;0,J19&lt;&gt;""),J19/I19,"")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>
        <s:f>T18/S18</s:f>
        <s:v>0.34971320037986703</s:v>
      </s:c>
      <s:c r="T19" s="62">
        <s:f>S19/J14*I14</s:f>
        <s:v>0.34971320037986703</s:v>
      </s:c>
      <s:c r="U19" s="12"/>
      <s:c r="V19" s="12"/>
      <s:c r="W19" s="12"/>
    </s:row>
    <s:row r="20" spans="1:30" ht="15.75" customHeight="1">
      <s:c r="B20" s="201"/>
      <s:c r="C20" s="12"/>
      <s:c r="D20" s="12"/>
      <s:c r="E20" s="12"/>
      <s:c r="F20" s="614" t="s">
        <s:v>24</s:v>
      </s:c>
      <s:c r="G20" s="614"/>
      <s:c r="H20" s="614"/>
      <s:c r="I20" s="217">
        <s:f>'Ялта, Ленина, 18'!I20</s:f>
        <s:v>0.246</s:v>
      </s:c>
      <s:c r="J20" s="218">
        <s:f>N48</s:f>
        <s:v>0.18791946308724833</s:v>
      </s:c>
      <s:c r="K20" s="218">
        <s:f>J20/I20</s:f>
        <s:v>0.76390025645222903</s:v>
      </s:c>
      <s:c r="L20" s="220">
        <s:f>IF(AND(K8&lt;&gt;0,I14&lt;&gt;0,I48&lt;&gt;0),(I48*N48+(I48/K8-I48)*I20)/(I48/K8),0)</s:f>
        <s:v>0.21920949024730499</s:v>
      </s:c>
      <s:c r="M20" s="83">
        <s:f>IF(AND(I20&lt;&gt;"",I20&lt;&gt;0,L20&lt;&gt;"",L20&lt;&gt;0),L20/I20,"")</s:f>
        <s:v>0.89109548881018286</s:v>
      </s:c>
      <s:c r="N20" s="84">
        <s:f>IF(AND(J20&lt;&gt;0,J20&lt;&gt;"",I20&lt;&gt;0,I20&lt;&gt;""),L20-I20,"")</s:f>
        <s:v>-2.6790509752695008E-2</s:v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30" ht="15.75" customHeight="1">
      <s:c r="B21" s="201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30" ht="16.5" customHeight="1">
      <s:c r="B22" s="698" t="s">
        <s:v>25</s:v>
      </s:c>
      <s:c r="C22" s="698"/>
      <s:c r="D22" s="698"/>
      <s:c r="E22" s="698"/>
      <s:c r="F22" s="698"/>
      <s:c r="G22" s="698"/>
      <s:c r="H22" s="698"/>
      <s:c r="I22" s="698"/>
      <s:c r="J22" s="698"/>
      <s:c r="K22" s="698"/>
      <s:c r="L22" s="698"/>
      <s:c r="M22" s="698"/>
      <s:c r="N22" s="698"/>
      <s:c r="O22" s="699" t="s">
        <s:v>26</s:v>
      </s:c>
      <s:c r="P22" s="698" t="s">
        <s:v>27</s:v>
      </s:c>
      <s:c r="Q22" s="698"/>
      <s:c r="R22" s="698"/>
      <s:c r="S22" s="698"/>
      <s:c r="T22" s="698"/>
      <s:c r="U22" s="698"/>
      <s:c r="V22" s="698"/>
      <s:c r="W22" s="698"/>
    </s:row>
    <s:row r="23" ht="36">
      <s:c r="B23" s="221" t="s">
        <s:v>29</s:v>
      </s:c>
      <s:c r="C23" s="221" t="s">
        <s:v>30</s:v>
      </s:c>
      <s:c r="D23" s="221" t="s">
        <s:v>31</s:v>
      </s:c>
      <s:c r="E23" s="221" t="s">
        <s:v>32</s:v>
      </s:c>
      <s:c r="F23" s="221" t="s">
        <s:v>33</s:v>
      </s:c>
      <s:c r="G23" s="221" t="s">
        <s:v>34</s:v>
      </s:c>
      <s:c r="H23" s="221" t="s">
        <s:v>35</s:v>
      </s:c>
      <s:c r="I23" s="221" t="s">
        <s:v>23</s:v>
      </s:c>
      <s:c r="J23" s="221" t="s">
        <s:v>36</s:v>
      </s:c>
      <s:c r="K23" s="90" t="s">
        <s:v>22</s:v>
      </s:c>
      <s:c r="L23" s="90" t="s">
        <s:v>15</s:v>
      </s:c>
      <s:c r="M23" s="222" t="s">
        <s:v>37</s:v>
      </s:c>
      <s:c r="N23" s="221" t="s">
        <s:v>38</s:v>
      </s:c>
      <s:c r="O23" s="699"/>
      <s:c r="P23" s="221" t="s">
        <s:v>39</s:v>
      </s:c>
      <s:c r="Q23" s="221" t="s">
        <s:v>40</s:v>
      </s:c>
      <s:c r="R23" s="221" t="s">
        <s:v>41</s:v>
      </s:c>
      <s:c r="S23" s="221" t="s">
        <s:v>42</s:v>
      </s:c>
      <s:c r="T23" s="221" t="s">
        <s:v>43</s:v>
      </s:c>
      <s:c r="U23" s="221" t="s">
        <s:v>44</s:v>
      </s:c>
      <s:c r="V23" s="223" t="s">
        <s:v>45</s:v>
      </s:c>
      <s:c r="W23" s="223" t="s">
        <s:v>46</s:v>
      </s:c>
      <s:c r="X23" s="224"/>
    </s:row>
    <s:row r="24">
      <s:c r="B24" s="225">
        <s:v>1</s:v>
      </s:c>
      <s:c r="C24" s="226">
        <s:v>2</s:v>
      </s:c>
      <s:c r="D24" s="225">
        <s:v>3</s:v>
      </s:c>
      <s:c r="E24" s="225">
        <s:v>4</s:v>
      </s:c>
      <s:c r="F24" s="225">
        <s:v>5</s:v>
      </s:c>
      <s:c r="G24" s="225">
        <s:v>6</s:v>
      </s:c>
      <s:c r="H24" s="225">
        <s:v>7</s:v>
      </s:c>
      <s:c r="I24" s="225">
        <s:v>8</s:v>
      </s:c>
      <s:c r="J24" s="225">
        <s:v>9</s:v>
      </s:c>
      <s:c r="K24" s="225">
        <s:v>10</s:v>
      </s:c>
      <s:c r="L24" s="225">
        <s:v>11</s:v>
      </s:c>
      <s:c r="M24" s="225">
        <s:v>12</s:v>
      </s:c>
      <s:c r="N24" s="225">
        <s:v>13</s:v>
      </s:c>
      <s:c r="O24" s="699"/>
      <s:c r="P24" s="227">
        <s:v>1</s:v>
      </s:c>
      <s:c r="Q24" s="227">
        <s:v>2</s:v>
      </s:c>
      <s:c r="R24" s="227">
        <s:v>3</s:v>
      </s:c>
      <s:c r="S24" s="227">
        <s:v>4</s:v>
      </s:c>
      <s:c r="T24" s="227">
        <s:v>5</s:v>
      </s:c>
      <s:c r="U24" s="227">
        <s:v>6</s:v>
      </s:c>
      <s:c r="V24" s="227">
        <s:v>10</s:v>
      </s:c>
      <s:c r="W24" s="227">
        <s:v>11</s:v>
      </s:c>
    </s:row>
    <s:row r="25">
      <s:c r="A25" s="95">
        <s:v>1</s:v>
      </s:c>
      <s:c r="B25" s="96">
        <s:v>45827</s:v>
      </s:c>
      <s:c r="C25" s="97" t="s">
        <s:v>58</s:v>
      </s:c>
      <s:c r="D25" s="98">
        <s:v>19159</s:v>
      </s:c>
      <s:c r="E25" s="99">
        <s:v>4</s:v>
      </s:c>
      <s:c r="F25" s="99">
        <s:f>IF(AND(E25&lt;&gt;"",E25&lt;&gt;0),D25/E25,"")</s:f>
        <s:v>4789.75</s:v>
      </s:c>
      <s:c r="G25" s="99">
        <s:v>3</s:v>
      </s:c>
      <s:c r="H25" s="99">
        <s:f>IF(AND(G25&lt;&gt;"",G25&lt;&gt;0),D25/G25,"")</s:f>
        <s:v>6386.333333333333</s:v>
      </s:c>
      <s:c r="I25" s="99">
        <s:v>15</s:v>
      </s:c>
      <s:c r="J25" s="98">
        <s:f>IF(AND(G25&lt;&gt;"",G25&lt;&gt;0),E25/G25,"")</s:f>
        <s:v>1.3333333333333333</s:v>
      </s:c>
      <s:c r="K25" s="99"/>
      <s:c r="L25" s="99"/>
      <s:c r="M25" s="99"/>
      <s:c r="N25" s="100">
        <s:f>IF(AND(I25&lt;&gt;"",I25&lt;&gt;0),G25/I25,"")</s:f>
        <s:v>0.2</s:v>
      </s:c>
      <s:c r="O25" s="101">
        <s:f>D25/P25</s:f>
        <s:v>0.5024376644959534</s:v>
      </s:c>
      <s:c r="P25" s="102">
        <s:f>$I$8*V25*W25/SUMPRODUCT($W$25:$W$55,$V$25:$V$55)</s:f>
        <s:v>38132.093499042021</s:v>
      </s:c>
      <s:c r="Q25" s="103">
        <s:f>$I$9*V25*W25/SUMPRODUCT($W$25:$W$55,$V$25:$V$55)</s:f>
        <s:v>6.6201551213614627</s:v>
      </s:c>
      <s:c r="R25" s="103">
        <s:f>IF($I$12="","",Q25/$I$12)</s:f>
        <s:v>3.4842921691376123</s:v>
      </s:c>
      <s:c r="S25" s="102">
        <s:f>IF(W25&lt;&gt;"",IF(D25&lt;&gt;"",D25,($I$8-SUM($S24:S$25))*V25*W25/SUMPRODUCT($W25:$W$55,$V25:$V$55)),"")</s:f>
        <s:v>19159</s:v>
      </s:c>
      <s:c r="T25" s="103">
        <s:f>IF(W25&lt;&gt;"",IF(E25&lt;&gt;"",E25,($I$9-SUM($T24:T$25))*V25*W25/SUMPRODUCT($W25:$W$55,$V25:$V$55)),"")</s:f>
        <s:v>4</s:v>
      </s:c>
      <s:c r="U25" s="103">
        <s:f>IF(W25&lt;&gt;"",IF($I$12&lt;&gt;"",IF(G25&lt;&gt;"",G25,($I$9/$I$12-SUM($U24:U$25))*V25*W25/SUMPRODUCT($W25:$W$55,$V25:$V$55)),""),"")</s:f>
        <s:v>3</s:v>
      </s:c>
      <s:c r="V25" s="104">
        <s:v>1.2</s:v>
      </s:c>
      <s:c r="W25" s="104">
        <s:v>1.2</s:v>
      </s:c>
      <s:c r="X25" s="107"/>
      <s:c r="Y25" s="106"/>
      <s:c r="Z25" s="2"/>
      <s:c r="AA25" s="2"/>
      <s:c r="AB25" s="2"/>
      <s:c r="AC25" s="2"/>
      <s:c r="AD25" s="2"/>
    </s:row>
    <s:row r="26">
      <s:c r="A26" s="95">
        <s:v>2</s:v>
      </s:c>
      <s:c r="B26" s="96">
        <s:v>45829</s:v>
      </s:c>
      <s:c r="C26" s="97" t="s">
        <s:v>60</s:v>
      </s:c>
      <s:c r="D26" s="98">
        <s:f>14502+36307</s:f>
        <s:v>50809</s:v>
      </s:c>
      <s:c r="E26" s="99">
        <s:v>12</s:v>
      </s:c>
      <s:c r="F26" s="99">
        <s:f>IF(AND(E26&lt;&gt;"",E26&lt;&gt;0),D26/E26,"")</s:f>
        <s:v>4234.083333333333</s:v>
      </s:c>
      <s:c r="G26" s="99">
        <s:v>5</s:v>
      </s:c>
      <s:c r="H26" s="99">
        <s:f>IF(AND(G26&lt;&gt;"",G26&lt;&gt;0),D26/G26,"")</s:f>
        <s:v>10161.799999999999</s:v>
      </s:c>
      <s:c r="I26" s="99">
        <s:v>23</s:v>
      </s:c>
      <s:c r="J26" s="98">
        <s:f>IF(AND(G26&lt;&gt;"",G26&lt;&gt;0),E26/G26,"")</s:f>
        <s:v>2.4</s:v>
      </s:c>
      <s:c r="K26" s="99"/>
      <s:c r="L26" s="99">
        <s:v>14502</s:v>
      </s:c>
      <s:c r="M26" s="99"/>
      <s:c r="N26" s="100">
        <s:f>IF(AND(I26&lt;&gt;"",I26&lt;&gt;0),G26/I26,"")</s:f>
        <s:v>0.21739130434782608</s:v>
      </s:c>
      <s:c r="O26" s="101">
        <s:f>D26/P26</s:f>
        <s:v>1.9187239221953047</s:v>
      </s:c>
      <s:c r="P26" s="102">
        <s:f>$I$8*V26*W26/SUMPRODUCT($W$25:$W$55,$V$25:$V$55)</s:f>
        <s:v>26480.620485445852</s:v>
      </s:c>
      <s:c r="Q26" s="103">
        <s:f>$I$9*V26*W26/SUMPRODUCT($W$25:$W$55,$V$25:$V$55)</s:f>
        <s:v>4.5973299453899052</s:v>
      </s:c>
      <s:c r="R26" s="103">
        <s:f>IF($I$12="","",Q26/$I$12)</s:f>
        <s:v>2.4196473396788978</s:v>
      </s:c>
      <s:c r="S26" s="102">
        <s:f>IF(W26&lt;&gt;"",IF(D26&lt;&gt;"",D26,($I$8-SUM($S25:S$25))*V26*W26/SUMPRODUCT($W26:$W$55,$V26:$V$55)),"")</s:f>
        <s:v>50809</s:v>
      </s:c>
      <s:c r="T26" s="103">
        <s:f>IF(W26&lt;&gt;"",IF(E26&lt;&gt;"",E26,($I$9-SUM($T25:T$25))*V26*W26/SUMPRODUCT($W26:$W$55,$V26:$V$55)),"")</s:f>
        <s:v>12</s:v>
      </s:c>
      <s:c r="U26" s="103">
        <s:f>IF(W26&lt;&gt;"",IF($I$12&lt;&gt;"",IF(G26&lt;&gt;"",G26,($I$9/$I$12-SUM($U25:U$25))*V26*W26/SUMPRODUCT($W26:$W$55,$V26:$V$55)),""),"")</s:f>
        <s:v>5</s:v>
      </s:c>
      <s:c r="V26" s="104">
        <s:v>1</s:v>
      </s:c>
      <s:c r="W26" s="104">
        <s:v>1</s:v>
      </s:c>
      <s:c r="X26" s="107"/>
      <s:c r="Y26" s="106"/>
      <s:c r="Z26" s="2"/>
      <s:c r="AA26" s="2"/>
      <s:c r="AB26" s="2"/>
      <s:c r="AC26" s="2"/>
      <s:c r="AD26" s="2"/>
    </s:row>
    <s:row r="27">
      <s:c r="A27" s="95">
        <s:v>3</s:v>
      </s:c>
      <s:c r="B27" s="96">
        <s:v>45830</s:v>
      </s:c>
      <s:c r="C27" s="97" t="s">
        <s:v>49</s:v>
      </s:c>
      <s:c r="D27" s="98">
        <s:v>43413</s:v>
      </s:c>
      <s:c r="E27" s="99">
        <s:v>11</s:v>
      </s:c>
      <s:c r="F27" s="99">
        <s:v>3947</s:v>
      </s:c>
      <s:c r="G27" s="99">
        <s:v>6</s:v>
      </s:c>
      <s:c r="H27" s="99">
        <s:f>IF(AND(G27&lt;&gt;"",G27&lt;&gt;0),D27/G27,"")</s:f>
        <s:v>7235.5</s:v>
      </s:c>
      <s:c r="I27" s="99">
        <s:v>23</s:v>
      </s:c>
      <s:c r="J27" s="98">
        <s:f>IF(AND(G27&lt;&gt;"",G27&lt;&gt;0),E27/G27,"")</s:f>
        <s:v>1.8333333333333333</s:v>
      </s:c>
      <s:c r="K27" s="99"/>
      <s:c r="L27" s="99"/>
      <s:c r="M27" s="99"/>
      <s:c r="N27" s="100">
        <s:f>IF(AND(I27&lt;&gt;"",I27&lt;&gt;0),G27/I27,"")</s:f>
        <s:v>0.2608695652173913</s:v>
      </s:c>
      <s:c r="O27" s="101">
        <s:f>D27/P27</s:f>
        <s:v>1.6394253308324267</s:v>
      </s:c>
      <s:c r="P27" s="102">
        <s:f>$I$8*V27*W27/SUMPRODUCT($W$25:$W$55,$V$25:$V$55)</s:f>
        <s:v>26480.620485445852</s:v>
      </s:c>
      <s:c r="Q27" s="103">
        <s:f>$I$9*V27*W27/SUMPRODUCT($W$25:$W$55,$V$25:$V$55)</s:f>
        <s:v>4.5973299453899052</s:v>
      </s:c>
      <s:c r="R27" s="103">
        <s:f>IF($I$12="","",Q27/$I$12)</s:f>
        <s:v>2.4196473396788978</s:v>
      </s:c>
      <s:c r="S27" s="102">
        <s:f>IF(W27&lt;&gt;"",IF(D27&lt;&gt;"",D27,($I$8-SUM($S$25:S26))*V27*W27/SUMPRODUCT($W27:$W$55,$V27:$V$55)),"")</s:f>
        <s:v>43413</s:v>
      </s:c>
      <s:c r="T27" s="103">
        <s:f>IF(W27&lt;&gt;"",IF(E27&lt;&gt;"",E27,($I$9-SUM($T$25:T26))*V27*W27/SUMPRODUCT($W27:$W$55,$V27:$V$55)),"")</s:f>
        <s:v>11</s:v>
      </s:c>
      <s:c r="U27" s="103">
        <s:f>IF(W27&lt;&gt;"",IF($I$12&lt;&gt;"",IF(G27&lt;&gt;"",G27,($I$9/$I$12-SUM($U$25:U26))*V27*W27/SUMPRODUCT($W27:$W$55,$V27:$V$55)),""),"")</s:f>
        <s:v>6</s:v>
      </s:c>
      <s:c r="V27" s="104">
        <s:v>1</s:v>
      </s:c>
      <s:c r="W27" s="104">
        <s:v>1</s:v>
      </s:c>
      <s:c r="X27" s="107"/>
      <s:c r="Y27" s="106"/>
      <s:c r="Z27" s="111"/>
      <s:c r="AA27" s="2"/>
      <s:c r="AB27" s="2"/>
      <s:c r="AC27" s="2"/>
      <s:c r="AD27" s="2"/>
    </s:row>
    <s:row r="28">
      <s:c r="A28" s="95">
        <s:v>4</s:v>
      </s:c>
      <s:c r="B28" s="96">
        <s:v>45831</s:v>
      </s:c>
      <s:c r="C28" s="97" t="s">
        <s:v>51</s:v>
      </s:c>
      <s:c r="D28" s="98">
        <s:f>57840+15645</s:f>
        <s:v>73485</s:v>
      </s:c>
      <s:c r="E28" s="99">
        <s:v>7</s:v>
      </s:c>
      <s:c r="F28" s="99">
        <s:v>10498</s:v>
      </s:c>
      <s:c r="G28" s="99">
        <s:v>5</s:v>
      </s:c>
      <s:c r="H28" s="99">
        <s:f>IF(AND(G28&lt;&gt;"",G28&lt;&gt;0),D28/G28,"")</s:f>
        <s:v>14697</s:v>
      </s:c>
      <s:c r="I28" s="99">
        <s:v>20</s:v>
      </s:c>
      <s:c r="J28" s="98">
        <s:f>IF(AND(G28&lt;&gt;"",G28&lt;&gt;0),E28/G28,"")</s:f>
        <s:v>1.4</s:v>
      </s:c>
      <s:c r="K28" s="99">
        <s:v>57840</s:v>
      </s:c>
      <s:c r="L28" s="99"/>
      <s:c r="M28" s="99"/>
      <s:c r="N28" s="100">
        <s:f>IF(AND(I28&lt;&gt;"",I28&lt;&gt;0),G28/I28,"")</s:f>
        <s:v>0.25</s:v>
      </s:c>
      <s:c r="O28" s="101">
        <s:f>D28/P28</s:f>
        <s:v>2.7750482674825716</s:v>
      </s:c>
      <s:c r="P28" s="102">
        <s:f>$I$8*V28*W28/SUMPRODUCT($W$25:$W$55,$V$25:$V$55)</s:f>
        <s:v>26480.620485445852</s:v>
      </s:c>
      <s:c r="Q28" s="103">
        <s:f>$I$9*V28*W28/SUMPRODUCT($W$25:$W$55,$V$25:$V$55)</s:f>
        <s:v>4.5973299453899052</s:v>
      </s:c>
      <s:c r="R28" s="103">
        <s:f>IF($I$12="","",Q28/$I$12)</s:f>
        <s:v>2.4196473396788978</s:v>
      </s:c>
      <s:c r="S28" s="102">
        <s:f>IF(W28&lt;&gt;"",IF(D28&lt;&gt;"",D28,($I$8-SUM($S$25:S27))*V28*W28/SUMPRODUCT($W28:$W$55,$V28:$V$55)),"")</s:f>
        <s:v>73485</s:v>
      </s:c>
      <s:c r="T28" s="103">
        <s:f>IF(W28&lt;&gt;"",IF(E28&lt;&gt;"",E28,($I$9-SUM($T$25:T27))*V28*W28/SUMPRODUCT($W28:$W$55,$V28:$V$55)),"")</s:f>
        <s:v>7</s:v>
      </s:c>
      <s:c r="U28" s="103">
        <s:f>IF(W28&lt;&gt;"",IF($I$12&lt;&gt;"",IF(G28&lt;&gt;"",G28,($I$9/$I$12-SUM($U$25:U27))*V28*W28/SUMPRODUCT($W28:$W$55,$V28:$V$55)),""),"")</s:f>
        <s:v>5</s:v>
      </s:c>
      <s:c r="V28" s="104">
        <s:v>1</s:v>
      </s:c>
      <s:c r="W28" s="104">
        <s:v>1</s:v>
      </s:c>
      <s:c r="X28" s="107"/>
      <s:c r="Y28" s="106"/>
      <s:c r="Z28" s="111"/>
    </s:row>
    <s:row r="29">
      <s:c r="A29" s="95">
        <s:v>5</s:v>
      </s:c>
      <s:c r="B29" s="96">
        <s:v>45833</s:v>
      </s:c>
      <s:c r="C29" s="97" t="s">
        <s:v>56</s:v>
      </s:c>
      <s:c r="D29" s="98">
        <s:v>0</s:v>
      </s:c>
      <s:c r="E29" s="108"/>
      <s:c r="F29" s="99" t="str">
        <s:f>IF(AND(E29&lt;&gt;"",E29&lt;&gt;0),D29/E29,"")</s:f>
        <s:v/>
      </s:c>
      <s:c r="G29" s="108"/>
      <s:c r="H29" s="99" t="str">
        <s:f>IF(AND(G29&lt;&gt;"",G29&lt;&gt;0),D29/G29,"")</s:f>
        <s:v/>
      </s:c>
      <s:c r="I29" s="108">
        <s:v>13</s:v>
      </s:c>
      <s:c r="J29" s="98" t="str">
        <s:f>IF(AND(G29&lt;&gt;"",G29&lt;&gt;0),E29/G29,"")</s:f>
        <s:v/>
      </s:c>
      <s:c r="K29" s="99"/>
      <s:c r="L29" s="99"/>
      <s:c r="M29" s="99"/>
      <s:c r="N29" s="100">
        <s:f>IF(AND(I29&lt;&gt;"",I29&lt;&gt;0),G29/I29,"")</s:f>
        <s:v>0</s:v>
      </s:c>
      <s:c r="O29" s="101">
        <s:f>D29/P29</s:f>
        <s:v>0</s:v>
      </s:c>
      <s:c r="P29" s="102">
        <s:f>$I$8*V29*W29/SUMPRODUCT($W$25:$W$55,$V$25:$V$55)</s:f>
        <s:v>26480.620485445852</s:v>
      </s:c>
      <s:c r="Q29" s="103">
        <s:f>$I$9*V29*W29/SUMPRODUCT($W$25:$W$55,$V$25:$V$55)</s:f>
        <s:v>4.5973299453899052</s:v>
      </s:c>
      <s:c r="R29" s="103">
        <s:f>IF($I$12="","",Q29/$I$12)</s:f>
        <s:v>2.4196473396788978</s:v>
      </s:c>
      <s:c r="S29" s="102">
        <s:f>IF(W29&lt;&gt;"",IF(D29&lt;&gt;"",D29,($I$8-SUM($S$25:S28))*V29*W29/SUMPRODUCT($W29:$W$55,$V29:$V$55)),"")</s:f>
        <s:v>0</s:v>
      </s:c>
      <s:c r="T29" s="103">
        <s:f>IF(W29&lt;&gt;"",IF(E29&lt;&gt;"",E29,($I$9-SUM($T$25:T28))*V29*W29/SUMPRODUCT($W29:$W$55,$V29:$V$55)),"")</s:f>
        <s:v>3.7480890052356033</s:v>
      </s:c>
      <s:c r="U29" s="103">
        <s:f>IF(W29&lt;&gt;"",IF($I$12&lt;&gt;"",IF(G29&lt;&gt;"",G29,($I$9/$I$12-SUM($U$25:U28))*V29*W29/SUMPRODUCT($W29:$W$55,$V29:$V$55)),""),"")</s:f>
        <s:v>1.9035994764397914</s:v>
      </s:c>
      <s:c r="V29" s="104">
        <s:v>1</s:v>
      </s:c>
      <s:c r="W29" s="104">
        <s:v>1</s:v>
      </s:c>
      <s:c r="X29" s="106"/>
      <s:c r="Y29" s="106"/>
      <s:c r="Z29" s="2"/>
      <s:c r="AA29" s="2"/>
      <s:c r="AB29" s="2"/>
      <s:c r="AC29" s="2"/>
      <s:c r="AD29" s="2"/>
    </s:row>
    <s:row r="30">
      <s:c r="A30" s="95">
        <s:v>6</s:v>
      </s:c>
      <s:c r="B30" s="96">
        <s:v>45834</s:v>
      </s:c>
      <s:c r="C30" s="97" t="s">
        <s:v>59</s:v>
      </s:c>
      <s:c r="D30" s="272">
        <s:f>8903+27651</s:f>
        <s:v>36554</s:v>
      </s:c>
      <s:c r="E30" s="99">
        <s:v>7</s:v>
      </s:c>
      <s:c r="F30" s="108">
        <s:f>IF(AND(E30&lt;&gt;"",E30&lt;&gt;0),D30/E30,"")</s:f>
        <s:v>5222</s:v>
      </s:c>
      <s:c r="G30" s="99">
        <s:v>4</s:v>
      </s:c>
      <s:c r="H30" s="108">
        <s:f>IF(AND(G30&lt;&gt;"",G30&lt;&gt;0),D30/G30,"")</s:f>
        <s:v>9138.5</s:v>
      </s:c>
      <s:c r="I30" s="99">
        <s:v>15</s:v>
      </s:c>
      <s:c r="J30" s="272" t="s">
        <s:v>74</s:v>
      </s:c>
      <s:c r="K30" s="99"/>
      <s:c r="L30" s="99">
        <s:v>8903</s:v>
      </s:c>
      <s:c r="M30" s="99"/>
      <s:c r="N30" s="100">
        <s:f>IF(AND(I30&lt;&gt;"",I30&lt;&gt;0),G30/I30,"")</s:f>
        <s:v>0.26666666666666666</s:v>
      </s:c>
      <s:c r="O30" s="101">
        <s:f>D30/P30</s:f>
        <s:v>1.3804057204811582</s:v>
      </s:c>
      <s:c r="P30" s="102">
        <s:f>$I$8*V30*W30/SUMPRODUCT($W$25:$W$55,$V$25:$V$55)</s:f>
        <s:v>26480.620485445852</s:v>
      </s:c>
      <s:c r="Q30" s="103">
        <s:f>$I$9*V30*W30/SUMPRODUCT($W$25:$W$55,$V$25:$V$55)</s:f>
        <s:v>4.5973299453899052</s:v>
      </s:c>
      <s:c r="R30" s="103">
        <s:f>IF($I$12="","",Q30/$I$12)</s:f>
        <s:v>2.4196473396788978</s:v>
      </s:c>
      <s:c r="S30" s="102">
        <s:f>IF(W30&lt;&gt;"",IF(D30&lt;&gt;"",D30,($I$8-SUM($S$25:S29))*V30*W30/SUMPRODUCT($W30:$W$55,$V30:$V$55)),"")</s:f>
        <s:v>36554</s:v>
      </s:c>
      <s:c r="T30" s="103">
        <s:f>IF(W30&lt;&gt;"",IF(E29&lt;&gt;"",E29,($I$9-SUM($T$25:T29))*V30*W30/SUMPRODUCT($W30:$W$55,$V30:$V$55)),"")</s:f>
        <s:v>3.7480890052356033</s:v>
      </s:c>
      <s:c r="U30" s="103">
        <s:f>IF(W30&lt;&gt;"",IF($I$12&lt;&gt;"",IF(G30&lt;&gt;"",G30,($I$9/$I$12-SUM($U$25:U29))*V30*W30/SUMPRODUCT($W30:$W$55,$V30:$V$55)),""),"")</s:f>
        <s:v>4</s:v>
      </s:c>
      <s:c r="V30" s="104">
        <s:v>1</s:v>
      </s:c>
      <s:c r="W30" s="104">
        <s:v>1</s:v>
      </s:c>
      <s:c r="X30" s="106"/>
      <s:c r="Y30" s="106"/>
      <s:c r="Z30" s="2"/>
      <s:c r="AA30" s="2"/>
      <s:c r="AB30" s="2"/>
      <s:c r="AC30" s="2"/>
      <s:c r="AD30" s="2"/>
    </s:row>
    <s:row r="31">
      <s:c r="A31" s="95">
        <s:v>7</s:v>
      </s:c>
      <s:c r="B31" s="96">
        <s:v>45837</s:v>
      </s:c>
      <s:c r="C31" s="97" t="s">
        <s:v>49</s:v>
      </s:c>
      <s:c r="D31" s="98">
        <s:v>10977</s:v>
      </s:c>
      <s:c r="E31" s="108">
        <s:v>3</s:v>
      </s:c>
      <s:c r="F31" s="99">
        <s:f>IF(AND(E31&lt;&gt;"",E31&lt;&gt;0),D31/E31,"")</s:f>
        <s:v>3659</s:v>
      </s:c>
      <s:c r="G31" s="108">
        <s:v>2</s:v>
      </s:c>
      <s:c r="H31" s="99">
        <s:f>IF(AND(G31&lt;&gt;"",G31&lt;&gt;0),D31/G31,"")</s:f>
        <s:v>5488.5</s:v>
      </s:c>
      <s:c r="I31" s="108">
        <s:v>25</s:v>
      </s:c>
      <s:c r="J31" s="98">
        <s:f>IF(AND(G31&lt;&gt;"",G31&lt;&gt;0),E31/G31,"")</s:f>
        <s:v>1.5</s:v>
      </s:c>
      <s:c r="K31" s="99"/>
      <s:c r="L31" s="99"/>
      <s:c r="M31" s="99"/>
      <s:c r="N31" s="100">
        <s:f>IF(AND(I31&lt;&gt;"",I31&lt;&gt;0),G31/I31,"")</s:f>
        <s:v>0.08</s:v>
      </s:c>
      <s:c r="O31" s="101">
        <s:f>D31/P31</s:f>
        <s:v>0.41452956157251392</s:v>
      </s:c>
      <s:c r="P31" s="102">
        <s:f>$I$8*V31*W31/SUMPRODUCT($W$25:$W$55,$V$25:$V$55)</s:f>
        <s:v>26480.620485445852</s:v>
      </s:c>
      <s:c r="Q31" s="103">
        <s:f>$I$9*V31*W31/SUMPRODUCT($W$25:$W$55,$V$25:$V$55)</s:f>
        <s:v>4.5973299453899052</s:v>
      </s:c>
      <s:c r="R31" s="103">
        <s:f>IF($I$12="","",Q31/$I$12)</s:f>
        <s:v>2.4196473396788978</s:v>
      </s:c>
      <s:c r="S31" s="102">
        <s:f>IF(W31&lt;&gt;"",IF(D31&lt;&gt;"",D31,($I$8-SUM($S$25:S30))*V31*W31/SUMPRODUCT($W31:$W$55,$V31:$V$55)),"")</s:f>
        <s:v>10977</s:v>
      </s:c>
      <s:c r="T31" s="103">
        <s:f>IF(W31&lt;&gt;"",IF(E31&lt;&gt;"",E31,($I$9-SUM($T$25:T30))*V31*W31/SUMPRODUCT($W31:$W$55,$V31:$V$55)),"")</s:f>
        <s:v>3</s:v>
      </s:c>
      <s:c r="U31" s="103">
        <s:f>IF(W31&lt;&gt;"",IF($I$12&lt;&gt;"",IF(G31&lt;&gt;"",G31,($I$9/$I$12-SUM($U$25:U30))*V31*W31/SUMPRODUCT($W31:$W$55,$V31:$V$55)),""),"")</s:f>
        <s:v>2</s:v>
      </s:c>
      <s:c r="V31" s="104">
        <s:v>1</s:v>
      </s:c>
      <s:c r="W31" s="104">
        <s:v>1</s:v>
      </s:c>
      <s:c r="X31" s="106"/>
      <s:c r="Y31" s="106"/>
      <s:c r="Z31" s="2"/>
      <s:c r="AA31" s="2"/>
      <s:c r="AB31" s="2"/>
      <s:c r="AC31" s="2"/>
      <s:c r="AD31" s="2"/>
    </s:row>
    <s:row r="32">
      <s:c r="A32" s="95">
        <s:v>8</s:v>
      </s:c>
      <s:c r="B32" s="96">
        <s:v>45838</s:v>
      </s:c>
      <s:c r="C32" s="97" t="s">
        <s:v>51</s:v>
      </s:c>
      <s:c r="D32" s="272">
        <s:v>9275</s:v>
      </s:c>
      <s:c r="E32" s="99">
        <s:v>3</s:v>
      </s:c>
      <s:c r="F32" s="99">
        <s:f>IF(AND(E32&lt;&gt;"",E32&lt;&gt;0),D32/E32,"")</s:f>
        <s:v>3091.6666666666665</s:v>
      </s:c>
      <s:c r="G32" s="99">
        <s:v>2</s:v>
      </s:c>
      <s:c r="H32" s="108">
        <s:f>IF(AND(G32&lt;&gt;"",G32&lt;&gt;0),D32/G32,"")</s:f>
        <s:v>4637.5</s:v>
      </s:c>
      <s:c r="I32" s="99">
        <s:v>15</s:v>
      </s:c>
      <s:c r="J32" s="272">
        <s:f>IF(AND(G32&lt;&gt;"",G32&lt;&gt;0),E32/G32,"")</s:f>
        <s:v>1.5</s:v>
      </s:c>
      <s:c r="K32" s="99"/>
      <s:c r="L32" s="99"/>
      <s:c r="M32" s="99"/>
      <s:c r="N32" s="100">
        <s:f>IF(AND(I32&lt;&gt;"",I32&lt;&gt;0),G32/I32,"")</s:f>
        <s:v>0.13333333333333333</s:v>
      </s:c>
      <s:c r="O32" s="101">
        <s:f>D32/P32</s:f>
        <s:v>0.35025614317072667</s:v>
      </s:c>
      <s:c r="P32" s="102">
        <s:f>$I$8*V32*W32/SUMPRODUCT($W$25:$W$55,$V$25:$V$55)</s:f>
        <s:v>26480.620485445852</s:v>
      </s:c>
      <s:c r="Q32" s="103">
        <s:f>$I$9*V32*W32/SUMPRODUCT($W$25:$W$55,$V$25:$V$55)</s:f>
        <s:v>4.5973299453899052</s:v>
      </s:c>
      <s:c r="R32" s="103">
        <s:f>IF($I$12="","",Q32/$I$12)</s:f>
        <s:v>2.4196473396788978</s:v>
      </s:c>
      <s:c r="S32" s="102">
        <s:f>IF(W32&lt;&gt;"",IF(D32&lt;&gt;"",D32,($I$8-SUM($S$25:S31))*V32*W32/SUMPRODUCT($W32:$W$55,$V32:$V$55)),"")</s:f>
        <s:v>9275</s:v>
      </s:c>
      <s:c r="T32" s="103">
        <s:f>IF(W32&lt;&gt;"",IF(E32&lt;&gt;"",E32,($I$9-SUM($T$25:T31))*V32*W32/SUMPRODUCT($W32:$W$55,$V32:$V$55)),"")</s:f>
        <s:v>3</s:v>
      </s:c>
      <s:c r="U32" s="103">
        <s:f>IF(W32&lt;&gt;"",IF($I$12&lt;&gt;"",IF(G32&lt;&gt;"",G32,($I$9/$I$12-SUM($U$25:U31))*V32*W32/SUMPRODUCT($W32:$W$55,$V32:$V$55)),""),"")</s:f>
        <s:v>2</s:v>
      </s:c>
      <s:c r="V32" s="104">
        <s:v>1</s:v>
      </s:c>
      <s:c r="W32" s="104">
        <s:v>1</s:v>
      </s:c>
      <s:c r="X32" s="106"/>
      <s:c r="Y32" s="106"/>
      <s:c r="Z32" s="2"/>
      <s:c r="AA32" s="2"/>
      <s:c r="AB32" s="2"/>
      <s:c r="AC32" s="2"/>
      <s:c r="AD32" s="2"/>
    </s:row>
    <s:row r="33" spans="1:30" s="234" customFormat="1">
      <s:c r="A33" s="95">
        <s:v>9</s:v>
      </s:c>
      <s:c r="B33" s="236"/>
      <s:c r="C33" s="237"/>
      <s:c r="D33" s="232"/>
      <s:c r="E33" s="238"/>
      <s:c r="F33" s="238" t="str">
        <s:f>IF(AND(E33&lt;&gt;"",E33&lt;&gt;0),D33/E33,"")</s:f>
        <s:v/>
      </s:c>
      <s:c r="G33" s="238"/>
      <s:c r="H33" s="238" t="str">
        <s:f>IF(AND(G33&lt;&gt;"",G33&lt;&gt;0),D33/G33,"")</s:f>
        <s:v/>
      </s:c>
      <s:c r="I33" s="238"/>
      <s:c r="J33" s="232" t="str">
        <s:f>IF(AND(G33&lt;&gt;"",G33&lt;&gt;0),E33/G33,"")</s:f>
        <s:v/>
      </s:c>
      <s:c r="K33" s="238"/>
      <s:c r="L33" s="238"/>
      <s:c r="M33" s="238"/>
      <s:c r="N33" s="239" t="str">
        <s:f>IF(AND(I33&lt;&gt;"",I33&lt;&gt;0),G33/I33,"")</s:f>
        <s:v/>
      </s:c>
      <s:c r="O33" s="240">
        <s:f>D33/P33</s:f>
        <s:v>0</s:v>
      </s:c>
      <s:c r="P33" s="241">
        <s:f>$I$8*V33*W33/SUMPRODUCT($W$25:$W$55,$V$25:$V$55)</s:f>
        <s:v>26480.620485445852</s:v>
      </s:c>
      <s:c r="Q33" s="242">
        <s:f>$I$9*V33*W33/SUMPRODUCT($W$25:$W$55,$V$25:$V$55)</s:f>
        <s:v>4.5973299453899052</s:v>
      </s:c>
      <s:c r="R33" s="242">
        <s:f>IF($I$12="","",Q33/$I$12)</s:f>
        <s:v>2.4196473396788978</s:v>
      </s:c>
      <s:c r="S33" s="241">
        <s:f>IF(W33&lt;&gt;"",IF(D33&lt;&gt;"",D33,($I$8-SUM($S$25:S32))*V33*W33/SUMPRODUCT($W33:$W$55,$V33:$V$55)),"")</s:f>
        <s:v>24799.323560209432</s:v>
      </s:c>
      <s:c r="T33" s="242">
        <s:f>IF(W33&lt;&gt;"",IF(E33&lt;&gt;"",E33,($I$9-SUM($T$25:T32))*V33*W33/SUMPRODUCT($W33:$W$55,$V33:$V$55)),"")</s:f>
        <s:v>3.8727705061082034</s:v>
      </s:c>
      <s:c r="U33" s="242">
        <s:f>IF(W33&lt;&gt;"",IF($I$12&lt;&gt;"",IF(G33&lt;&gt;"",G33,($I$9/$I$12-SUM($U$25:U32))*V33*W33/SUMPRODUCT($W33:$W$55,$V33:$V$55)),""),"")</s:f>
        <s:v>1.7128326788830728</s:v>
      </s:c>
      <s:c r="V33" s="233">
        <s:v>1</s:v>
      </s:c>
      <s:c r="W33" s="233">
        <s:v>1</s:v>
      </s:c>
      <s:c r="X33" s="243"/>
      <s:c r="Y33" s="243"/>
      <s:c r="Z33" s="244"/>
      <s:c r="AA33" s="244"/>
      <s:c r="AB33" s="244"/>
      <s:c r="AC33" s="244"/>
      <s:c r="AD33" s="244"/>
    </s:row>
    <s:row r="34" spans="1:30" s="234" customFormat="1">
      <s:c r="A34" s="95">
        <s:v>10</s:v>
      </s:c>
      <s:c r="B34" s="236"/>
      <s:c r="C34" s="273"/>
      <s:c r="D34" s="232"/>
      <s:c r="E34" s="245"/>
      <s:c r="F34" s="238" t="str">
        <s:f>IF(AND(E34&lt;&gt;"",E34&lt;&gt;0),D34/E34,"")</s:f>
        <s:v/>
      </s:c>
      <s:c r="G34" s="245"/>
      <s:c r="H34" s="238" t="str">
        <s:f>IF(AND(G34&lt;&gt;"",G34&lt;&gt;0),D34/G34,"")</s:f>
        <s:v/>
      </s:c>
      <s:c r="I34" s="245"/>
      <s:c r="J34" s="232" t="str">
        <s:f>IF(AND(G34&lt;&gt;"",G34&lt;&gt;0),E34/G34,"")</s:f>
        <s:v/>
      </s:c>
      <s:c r="K34" s="238"/>
      <s:c r="L34" s="238"/>
      <s:c r="M34" s="238"/>
      <s:c r="N34" s="239" t="str">
        <s:f>IF(AND(I34&lt;&gt;"",I34&lt;&gt;0),G34/I34,"")</s:f>
        <s:v/>
      </s:c>
      <s:c r="O34" s="240">
        <s:f>D34/P34</s:f>
        <s:v>0</s:v>
      </s:c>
      <s:c r="P34" s="241">
        <s:f>$I$8*V34*W34/SUMPRODUCT($W$25:$W$55,$V$25:$V$55)</s:f>
        <s:v>26480.620485445852</s:v>
      </s:c>
      <s:c r="Q34" s="242">
        <s:f>$I$9*V34*W34/SUMPRODUCT($W$25:$W$55,$V$25:$V$55)</s:f>
        <s:v>4.5973299453899052</s:v>
      </s:c>
      <s:c r="R34" s="242">
        <s:f>IF($I$12="","",Q34/$I$12)</s:f>
        <s:v>2.4196473396788978</s:v>
      </s:c>
      <s:c r="S34" s="241">
        <s:f>IF(W34&lt;&gt;"",IF(D34&lt;&gt;"",D34,($I$8-SUM($S$25:S33))*V34*W34/SUMPRODUCT($W34:$W$55,$V34:$V$55)),"")</s:f>
        <s:v>24799.323560209432</s:v>
      </s:c>
      <s:c r="T34" s="242">
        <s:f>IF(W34&lt;&gt;"",IF(E34&lt;&gt;"",E34,($I$9-SUM($T$25:T33))*V34*W34/SUMPRODUCT($W34:$W$55,$V34:$V$55)),"")</s:f>
        <s:v>3.8727705061082034</s:v>
      </s:c>
      <s:c r="U34" s="242">
        <s:f>IF(W34&lt;&gt;"",IF($I$12&lt;&gt;"",IF(G34&lt;&gt;"",G34,($I$9/$I$12-SUM($U$25:U33))*V34*W34/SUMPRODUCT($W34:$W$55,$V34:$V$55)),""),"")</s:f>
        <s:v>1.7128326788830728</s:v>
      </s:c>
      <s:c r="V34" s="233">
        <s:v>1</s:v>
      </s:c>
      <s:c r="W34" s="233">
        <s:v>1</s:v>
      </s:c>
      <s:c r="X34" s="243"/>
      <s:c r="Y34" s="243"/>
      <s:c r="Z34" s="246"/>
      <s:c r="AA34" s="244"/>
      <s:c r="AB34" s="244"/>
      <s:c r="AC34" s="244"/>
      <s:c r="AD34" s="244"/>
    </s:row>
    <s:row r="35" spans="1:30" s="234" customFormat="1">
      <s:c r="A35" s="95">
        <s:v>11</s:v>
      </s:c>
      <s:c r="B35" s="236"/>
      <s:c r="C35" s="237"/>
      <s:c r="D35" s="248"/>
      <s:c r="E35" s="238"/>
      <s:c r="F35" s="245" t="str">
        <s:f>IF(AND(E35&lt;&gt;"",E35&lt;&gt;0),D35/E35,"")</s:f>
        <s:v/>
      </s:c>
      <s:c r="G35" s="238"/>
      <s:c r="H35" s="245" t="str">
        <s:f>IF(AND(G35&lt;&gt;"",G35&lt;&gt;0),D35/G35,"")</s:f>
        <s:v/>
      </s:c>
      <s:c r="I35" s="238" t="s">
        <s:v>75</s:v>
      </s:c>
      <s:c r="J35" s="248" t="str">
        <s:f>IF(AND(G35&lt;&gt;"",G35&lt;&gt;0),E35/G35,"")</s:f>
        <s:v/>
      </s:c>
      <s:c r="K35" s="238"/>
      <s:c r="L35" s="238"/>
      <s:c r="M35" s="238"/>
      <s:c r="N35" s="239" t="e">
        <s:f>IF(AND(I35&lt;&gt;"",I35&lt;&gt;0),G35/I35,"")</s:f>
        <s:v>#VALUE!</s:v>
      </s:c>
      <s:c r="O35" s="240">
        <s:f>D35/P35</s:f>
        <s:v>0</s:v>
      </s:c>
      <s:c r="P35" s="241">
        <s:f>$I$8*V35*W35/SUMPRODUCT($W$25:$W$55,$V$25:$V$55)</s:f>
        <s:v>26480.620485445852</s:v>
      </s:c>
      <s:c r="Q35" s="242">
        <s:f>$I$9*V35*W35/SUMPRODUCT($W$25:$W$55,$V$25:$V$55)</s:f>
        <s:v>4.5973299453899052</s:v>
      </s:c>
      <s:c r="R35" s="242">
        <s:f>IF($I$12="","",Q35/$I$12)</s:f>
        <s:v>2.4196473396788978</s:v>
      </s:c>
      <s:c r="S35" s="241">
        <s:f>IF(W35&lt;&gt;"",IF(D35&lt;&gt;"",D35,($I$8-SUM($S$25:S34))*V35*W35/SUMPRODUCT($W35:$W$55,$V35:$V$55)),"")</s:f>
        <s:v>24799.323560209432</s:v>
      </s:c>
      <s:c r="T35" s="242">
        <s:f>IF(W35&lt;&gt;"",IF(E35&lt;&gt;"",E35,($I$9-SUM($T$25:T34))*V35*W35/SUMPRODUCT($W35:$W$55,$V35:$V$55)),"")</s:f>
        <s:v>3.8727705061082034</s:v>
      </s:c>
      <s:c r="U35" s="242">
        <s:f>IF(W35&lt;&gt;"",IF($I$12&lt;&gt;"",IF(G35&lt;&gt;"",G35,($I$9/$I$12-SUM($U$25:U34))*V35*W35/SUMPRODUCT($W35:$W$55,$V35:$V$55)),""),"")</s:f>
        <s:v>1.7128326788830726</s:v>
      </s:c>
      <s:c r="V35" s="233">
        <s:v>1</s:v>
      </s:c>
      <s:c r="W35" s="233">
        <s:v>1</s:v>
      </s:c>
      <s:c r="X35" s="243"/>
      <s:c r="Y35" s="243"/>
      <s:c r="Z35" s="246"/>
      <s:c r="AA35" s="244"/>
      <s:c r="AB35" s="244"/>
      <s:c r="AC35" s="244"/>
      <s:c r="AD35" s="244"/>
    </s:row>
    <s:row r="36" spans="1:30" s="234" customFormat="1">
      <s:c r="A36" s="95">
        <s:v>12</s:v>
      </s:c>
      <s:c r="B36" s="236"/>
      <s:c r="C36" s="273"/>
      <s:c r="D36" s="232"/>
      <s:c r="E36" s="245"/>
      <s:c r="F36" s="238" t="str">
        <s:f>IF(AND(E36&lt;&gt;"",E36&lt;&gt;0),D36/E36,"")</s:f>
        <s:v/>
      </s:c>
      <s:c r="G36" s="238"/>
      <s:c r="H36" s="238" t="str">
        <s:f>IF(AND(G36&lt;&gt;"",G36&lt;&gt;0),D36/G36,"")</s:f>
        <s:v/>
      </s:c>
      <s:c r="I36" s="245"/>
      <s:c r="J36" s="232" t="str">
        <s:f>IF(AND(G36&lt;&gt;"",G36&lt;&gt;0),E36/G36,"")</s:f>
        <s:v/>
      </s:c>
      <s:c r="K36" s="238"/>
      <s:c r="L36" s="238"/>
      <s:c r="M36" s="238"/>
      <s:c r="N36" s="239" t="str">
        <s:f>IF(AND(I36&lt;&gt;"",I36&lt;&gt;0),G36/I36,"")</s:f>
        <s:v/>
      </s:c>
      <s:c r="O36" s="240">
        <s:f>D36/P36</s:f>
        <s:v>0</s:v>
      </s:c>
      <s:c r="P36" s="241">
        <s:f>$I$8*V36*W36/SUMPRODUCT($W$25:$W$55,$V$25:$V$55)</s:f>
        <s:v>26480.620485445852</s:v>
      </s:c>
      <s:c r="Q36" s="242">
        <s:f>$I$9*V36*W36/SUMPRODUCT($W$25:$W$55,$V$25:$V$55)</s:f>
        <s:v>4.5973299453899052</s:v>
      </s:c>
      <s:c r="R36" s="242">
        <s:f>IF($I$12="","",Q36/$I$12)</s:f>
        <s:v>2.4196473396788978</s:v>
      </s:c>
      <s:c r="S36" s="241">
        <s:f>IF(W36&lt;&gt;"",IF(D36&lt;&gt;"",D36,($I$8-SUM($S$25:S35))*V36*W36/SUMPRODUCT($W36:$W$55,$V36:$V$55)),"")</s:f>
        <s:v>24799.323560209436</s:v>
      </s:c>
      <s:c r="T36" s="242">
        <s:f>IF(W36&lt;&gt;"",IF(E36&lt;&gt;"",E36,($I$9-SUM($T$25:T35))*V36*W36/SUMPRODUCT($W36:$W$55,$V36:$V$55)),"")</s:f>
        <s:v>3.8727705061082034</s:v>
      </s:c>
      <s:c r="U36" s="242">
        <s:f>IF(W36&lt;&gt;"",IF($I$12&lt;&gt;"",IF(G36&lt;&gt;"",G36,($I$9/$I$12-SUM($U$25:U35))*V36*W36/SUMPRODUCT($W36:$W$55,$V36:$V$55)),""),"")</s:f>
        <s:v>1.7128326788830723</s:v>
      </s:c>
      <s:c r="V36" s="233">
        <s:v>1</s:v>
      </s:c>
      <s:c r="W36" s="233">
        <s:v>1</s:v>
      </s:c>
      <s:c r="X36" s="243"/>
      <s:c r="Y36" s="243"/>
      <s:c r="Z36" s="246"/>
      <s:c r="AA36" s="244"/>
      <s:c r="AB36" s="244"/>
      <s:c r="AC36" s="244"/>
      <s:c r="AD36" s="244"/>
    </s:row>
    <s:row r="37" spans="1:30" s="234" customFormat="1">
      <s:c r="A37" s="95">
        <s:v>13</s:v>
      </s:c>
      <s:c r="B37" s="236"/>
      <s:c r="C37" s="237"/>
      <s:c r="D37" s="248"/>
      <s:c r="E37" s="238"/>
      <s:c r="F37" s="238" t="str">
        <s:f>IF(AND(E37&lt;&gt;"",E37&lt;&gt;0),D37/E37,"")</s:f>
        <s:v/>
      </s:c>
      <s:c r="G37" s="238"/>
      <s:c r="H37" s="245" t="str">
        <s:f>IF(AND(G37&lt;&gt;"",G37&lt;&gt;0),D37/G37,"")</s:f>
        <s:v/>
      </s:c>
      <s:c r="I37" s="238"/>
      <s:c r="J37" s="248" t="str">
        <s:f>IF(AND(G37&lt;&gt;"",G37&lt;&gt;0),E37/G37,"")</s:f>
        <s:v/>
      </s:c>
      <s:c r="K37" s="238"/>
      <s:c r="L37" s="238"/>
      <s:c r="M37" s="238"/>
      <s:c r="N37" s="239" t="str">
        <s:f>IF(AND(I37&lt;&gt;"",I37&lt;&gt;0),G37/I37,"")</s:f>
        <s:v/>
      </s:c>
      <s:c r="O37" s="240">
        <s:f>D37/P37</s:f>
        <s:v>0</s:v>
      </s:c>
      <s:c r="P37" s="241">
        <s:f>$I$8*V37*W37/SUMPRODUCT($W$25:$W$55,$V$25:$V$55)</s:f>
        <s:v>26480.620485445852</s:v>
      </s:c>
      <s:c r="Q37" s="242">
        <s:f>$I$9*V37*W37/SUMPRODUCT($W$25:$W$55,$V$25:$V$55)</s:f>
        <s:v>4.5973299453899052</s:v>
      </s:c>
      <s:c r="R37" s="242">
        <s:f>IF($I$12="","",Q37/$I$12)</s:f>
        <s:v>2.4196473396788978</s:v>
      </s:c>
      <s:c r="S37" s="241">
        <s:f>IF(W37&lt;&gt;"",IF(D37&lt;&gt;"",D37,($I$8-SUM($S$25:S36))*V37*W37/SUMPRODUCT($W37:$W$55,$V37:$V$55)),"")</s:f>
        <s:v>24799.323560209436</s:v>
      </s:c>
      <s:c r="T37" s="242">
        <s:f>IF(W37&lt;&gt;"",IF(E37&lt;&gt;"",E37,($I$9-SUM($T$25:T36))*V37*W37/SUMPRODUCT($W37:$W$55,$V37:$V$55)),"")</s:f>
        <s:v>3.8727705061082034</s:v>
      </s:c>
      <s:c r="U37" s="242">
        <s:f>IF(W37&lt;&gt;"",IF($I$12&lt;&gt;"",IF(G37&lt;&gt;"",G37,($I$9/$I$12-SUM($U$25:U36))*V37*W37/SUMPRODUCT($W37:$W$55,$V37:$V$55)),""),"")</s:f>
        <s:v>1.7128326788830721</s:v>
      </s:c>
      <s:c r="V37" s="233">
        <s:v>1</s:v>
      </s:c>
      <s:c r="W37" s="233">
        <s:v>1</s:v>
      </s:c>
      <s:c r="X37" s="243"/>
      <s:c r="Y37" s="243"/>
      <s:c r="Z37" s="246"/>
      <s:c r="AA37" s="244"/>
      <s:c r="AB37" s="244"/>
      <s:c r="AC37" s="244"/>
      <s:c r="AD37" s="244"/>
    </s:row>
    <s:row r="38" spans="1:30" s="234" customFormat="1">
      <s:c r="A38" s="95">
        <s:v>14</s:v>
      </s:c>
      <s:c r="B38" s="236"/>
      <s:c r="C38" s="273"/>
      <s:c r="D38" s="232"/>
      <s:c r="E38" s="245"/>
      <s:c r="F38" s="238" t="str">
        <s:f>IF(AND(E38&lt;&gt;"",E38&lt;&gt;0),D38/E38,"")</s:f>
        <s:v/>
      </s:c>
      <s:c r="G38" s="245"/>
      <s:c r="H38" s="238" t="str">
        <s:f>IF(AND(G38&lt;&gt;"",G38&lt;&gt;0),D38/G38,"")</s:f>
        <s:v/>
      </s:c>
      <s:c r="I38" s="245"/>
      <s:c r="J38" s="232" t="str">
        <s:f>IF(AND(G38&lt;&gt;"",G38&lt;&gt;0),E38/G38,"")</s:f>
        <s:v/>
      </s:c>
      <s:c r="K38" s="245"/>
      <s:c r="L38" s="238"/>
      <s:c r="M38" s="245"/>
      <s:c r="N38" s="239" t="str">
        <s:f>IF(AND(I38&lt;&gt;"",I38&lt;&gt;0),G38/I38,"")</s:f>
        <s:v/>
      </s:c>
      <s:c r="O38" s="274">
        <s:f>D38/P38</s:f>
        <s:v>0</s:v>
      </s:c>
      <s:c r="P38" s="241">
        <s:f>$I$8*V38*W38/SUMPRODUCT($W$25:$W$55,$V$25:$V$55)</s:f>
        <s:v>26480.620485445852</s:v>
      </s:c>
      <s:c r="Q38" s="275">
        <s:f>$I$9*V38*W38/SUMPRODUCT($W$25:$W$55,$V$25:$V$55)</s:f>
        <s:v>4.5973299453899052</s:v>
      </s:c>
      <s:c r="R38" s="242">
        <s:f>IF($I$12="","",Q38/$I$12)</s:f>
        <s:v>2.4196473396788978</s:v>
      </s:c>
      <s:c r="S38" s="276">
        <s:f>IF(W38&lt;&gt;"",IF(D38&lt;&gt;"",D38,($I$8-SUM($S$25:S37))*V38*W38/SUMPRODUCT($W38:$W$55,$V38:$V$55)),"")</s:f>
        <s:v>24799.323560209439</s:v>
      </s:c>
      <s:c r="T38" s="242">
        <s:f>IF(W38&lt;&gt;"",IF(E38&lt;&gt;"",E38,($I$9-SUM($T$25:T37))*V38*W38/SUMPRODUCT($W38:$W$55,$V38:$V$55)),"")</s:f>
        <s:v>3.8727705061082025</s:v>
      </s:c>
      <s:c r="U38" s="275">
        <s:f>IF(W38&lt;&gt;"",IF($I$12&lt;&gt;"",IF(G38&lt;&gt;"",G38,($I$9/$I$12-SUM($U$25:U37))*V38*W38/SUMPRODUCT($W38:$W$55,$V38:$V$55)),""),"")</s:f>
        <s:v>1.7128326788830717</s:v>
      </s:c>
      <s:c r="V38" s="233">
        <s:v>1</s:v>
      </s:c>
      <s:c r="W38" s="233">
        <s:v>1</s:v>
      </s:c>
      <s:c r="X38" s="243"/>
      <s:c r="Y38" s="243"/>
      <s:c r="Z38" s="246"/>
      <s:c r="AA38" s="244"/>
      <s:c r="AB38" s="244"/>
      <s:c r="AC38" s="244"/>
      <s:c r="AD38" s="244"/>
    </s:row>
    <s:row r="39" spans="1:30" s="234" customFormat="1">
      <s:c r="A39" s="95">
        <s:v>15</s:v>
      </s:c>
      <s:c r="B39" s="236"/>
      <s:c r="C39" s="237"/>
      <s:c r="D39" s="248"/>
      <s:c r="E39" s="238"/>
      <s:c r="F39" s="245" t="str">
        <s:f>IF(AND(E39&lt;&gt;"",E39&lt;&gt;0),D39/E39,"")</s:f>
        <s:v/>
      </s:c>
      <s:c r="G39" s="238"/>
      <s:c r="H39" s="245" t="str">
        <s:f>IF(AND(G39&lt;&gt;"",G39&lt;&gt;0),D39/G39,"")</s:f>
        <s:v/>
      </s:c>
      <s:c r="I39" s="238"/>
      <s:c r="J39" s="248" t="str">
        <s:f>IF(AND(G39&lt;&gt;"",G39&lt;&gt;0),E39/G39,"")</s:f>
        <s:v/>
      </s:c>
      <s:c r="K39" s="238"/>
      <s:c r="L39" s="238"/>
      <s:c r="M39" s="238"/>
      <s:c r="N39" s="239" t="str">
        <s:f>IF(AND(I39&lt;&gt;"",I39&lt;&gt;0),G39/I39,"")</s:f>
        <s:v/>
      </s:c>
      <s:c r="O39" s="240">
        <s:f>D39/P39</s:f>
        <s:v>0</s:v>
      </s:c>
      <s:c r="P39" s="241">
        <s:f>$I$8*V39*W39/SUMPRODUCT($W$25:$W$55,$V$25:$V$55)</s:f>
        <s:v>26480.620485445852</s:v>
      </s:c>
      <s:c r="Q39" s="242">
        <s:f>$I$9*V39*W39/SUMPRODUCT($W$25:$W$55,$V$25:$V$55)</s:f>
        <s:v>4.5973299453899052</s:v>
      </s:c>
      <s:c r="R39" s="242">
        <s:f>IF($I$12="","",Q39/$I$12)</s:f>
        <s:v>2.4196473396788978</s:v>
      </s:c>
      <s:c r="S39" s="241">
        <s:f>IF(W39&lt;&gt;"",IF(D39&lt;&gt;"",D39,($I$8-SUM($S$25:S38))*V39*W39/SUMPRODUCT($W39:$W$55,$V39:$V$55)),"")</s:f>
        <s:v>24799.323560209439</s:v>
      </s:c>
      <s:c r="T39" s="242">
        <s:f>IF(W39&lt;&gt;"",IF(E39&lt;&gt;"",E39,($I$9-SUM($T$25:T38))*V39*W39/SUMPRODUCT($W39:$W$55,$V39:$V$55)),"")</s:f>
        <s:v>3.8727705061082034</s:v>
      </s:c>
      <s:c r="U39" s="242">
        <s:f>IF(W39&lt;&gt;"",IF($I$12&lt;&gt;"",IF(G39&lt;&gt;"",G39,($I$9/$I$12-SUM($U$25:U38))*V39*W39/SUMPRODUCT($W39:$W$55,$V39:$V$55)),""),"")</s:f>
        <s:v>1.7128326788830712</s:v>
      </s:c>
      <s:c r="V39" s="233">
        <s:v>1</s:v>
      </s:c>
      <s:c r="W39" s="233">
        <s:v>1</s:v>
      </s:c>
      <s:c r="X39" s="243"/>
      <s:c r="Y39" s="243"/>
      <s:c r="Z39" s="246"/>
      <s:c r="AA39" s="244"/>
      <s:c r="AB39" s="244"/>
      <s:c r="AC39" s="244"/>
      <s:c r="AD39" s="244"/>
    </s:row>
    <s:row r="40" spans="1:30" s="234" customFormat="1" ht="15" customHeight="1">
      <s:c r="A40" s="95">
        <s:v>16</s:v>
      </s:c>
      <s:c r="B40" s="236"/>
      <s:c r="C40" s="273"/>
      <s:c r="D40" s="232"/>
      <s:c r="E40" s="245"/>
      <s:c r="F40" s="238" t="str">
        <s:f>IF(AND(E40&lt;&gt;"",E40&lt;&gt;0),D40/E40,"")</s:f>
        <s:v/>
      </s:c>
      <s:c r="G40" s="245"/>
      <s:c r="H40" s="238" t="str">
        <s:f>IF(AND(G40&lt;&gt;"",G40&lt;&gt;0),D40/G40,"")</s:f>
        <s:v/>
      </s:c>
      <s:c r="I40" s="245"/>
      <s:c r="J40" s="232" t="str">
        <s:f>IF(AND(G40&lt;&gt;"",G40&lt;&gt;0),E40/G40,"")</s:f>
        <s:v/>
      </s:c>
      <s:c r="K40" s="238"/>
      <s:c r="L40" s="238"/>
      <s:c r="M40" s="238"/>
      <s:c r="N40" s="239" t="str">
        <s:f>IF(AND(I40&lt;&gt;"",I40&lt;&gt;0),G40/I40,"")</s:f>
        <s:v/>
      </s:c>
      <s:c r="O40" s="240">
        <s:f>D40/P40</s:f>
        <s:v>0</s:v>
      </s:c>
      <s:c r="P40" s="241">
        <s:f>$I$8*V40*W40/SUMPRODUCT($W$25:$W$55,$V$25:$V$55)</s:f>
        <s:v>26480.620485445852</s:v>
      </s:c>
      <s:c r="Q40" s="242">
        <s:f>$I$9*V40*W40/SUMPRODUCT($W$25:$W$55,$V$25:$V$55)</s:f>
        <s:v>4.5973299453899052</s:v>
      </s:c>
      <s:c r="R40" s="242">
        <s:f>IF($I$12="","",Q40/$I$12)</s:f>
        <s:v>2.4196473396788978</s:v>
      </s:c>
      <s:c r="S40" s="241">
        <s:f>IF(W40&lt;&gt;"",IF(D40&lt;&gt;"",D40,($I$8-SUM($S$25:S39))*V40*W40/SUMPRODUCT($W40:$W$55,$V40:$V$55)),"")</s:f>
        <s:v>24799.323560209443</s:v>
      </s:c>
      <s:c r="T40" s="242">
        <s:f>IF(W40&lt;&gt;"",IF(E40&lt;&gt;"",E40,($I$9-SUM($T$25:T39))*V40*W40/SUMPRODUCT($W40:$W$55,$V40:$V$55)),"")</s:f>
        <s:v>3.8727705061082047</s:v>
      </s:c>
      <s:c r="U40" s="242">
        <s:f>IF(W40&lt;&gt;"",IF($I$12&lt;&gt;"",IF(G40&lt;&gt;"",G40,($I$9/$I$12-SUM($U$25:U39))*V40*W40/SUMPRODUCT($W40:$W$55,$V40:$V$55)),""),"")</s:f>
        <s:v>1.7128326788830719</s:v>
      </s:c>
      <s:c r="V40" s="233">
        <s:v>1</s:v>
      </s:c>
      <s:c r="W40" s="233">
        <s:v>1</s:v>
      </s:c>
      <s:c r="X40" s="243"/>
      <s:c r="Y40" s="243"/>
      <s:c r="Z40" s="246"/>
      <s:c r="AA40" s="244"/>
      <s:c r="AB40" s="244"/>
      <s:c r="AC40" s="244"/>
      <s:c r="AD40" s="244"/>
    </s:row>
    <s:row r="41" spans="1:30" s="234" customFormat="1">
      <s:c r="A41" s="95">
        <s:v>17</s:v>
      </s:c>
      <s:c r="B41" s="236"/>
      <s:c r="C41" s="237"/>
      <s:c r="D41" s="248"/>
      <s:c r="E41" s="238"/>
      <s:c r="F41" s="245" t="str">
        <s:f>IF(AND(E41&lt;&gt;"",E41&lt;&gt;0),D41/E41,"")</s:f>
        <s:v/>
      </s:c>
      <s:c r="G41" s="238"/>
      <s:c r="H41" s="245" t="str">
        <s:f>IF(AND(G41&lt;&gt;"",G41&lt;&gt;0),D41/G41,"")</s:f>
        <s:v/>
      </s:c>
      <s:c r="I41" s="238"/>
      <s:c r="J41" s="248" t="str">
        <s:f>IF(AND(G41&lt;&gt;"",G41&lt;&gt;0),E41/G41,"")</s:f>
        <s:v/>
      </s:c>
      <s:c r="K41" s="238"/>
      <s:c r="L41" s="238"/>
      <s:c r="M41" s="238"/>
      <s:c r="N41" s="277" t="str">
        <s:f>IF(AND(I41&lt;&gt;"",I41&lt;&gt;0),G41/I41,"")</s:f>
        <s:v/>
      </s:c>
      <s:c r="O41" s="240">
        <s:f>D41/P41</s:f>
        <s:v>0</s:v>
      </s:c>
      <s:c r="P41" s="241">
        <s:f>$I$8*V41*W41/SUMPRODUCT($W$25:$W$55,$V$25:$V$55)</s:f>
        <s:v>26480.620485445852</s:v>
      </s:c>
      <s:c r="Q41" s="242">
        <s:f>$I$9*V41*W41/SUMPRODUCT($W$25:$W$55,$V$25:$V$55)</s:f>
        <s:v>4.5973299453899052</s:v>
      </s:c>
      <s:c r="R41" s="242">
        <s:f>IF($I$12="","",Q41/$I$12)</s:f>
        <s:v>2.4196473396788978</s:v>
      </s:c>
      <s:c r="S41" s="241">
        <s:f>IF(W41&lt;&gt;"",IF(D41&lt;&gt;"",D41,($I$8-SUM($S$25:S40))*V41*W41/SUMPRODUCT($W41:$W$55,$V41:$V$55)),"")</s:f>
        <s:v>24799.32356020945</s:v>
      </s:c>
      <s:c r="T41" s="242">
        <s:f>IF(W41&lt;&gt;"",IF(E41&lt;&gt;"",E41,($I$9-SUM($T$25:T40))*V41*W41/SUMPRODUCT($W41:$W$55,$V41:$V$55)),"")</s:f>
        <s:v>3.8727705061082034</s:v>
      </s:c>
      <s:c r="U41" s="242">
        <s:f>IF(W41&lt;&gt;"",IF($I$12&lt;&gt;"",IF(G41&lt;&gt;"",G41,($I$9/$I$12-SUM($U$25:U40))*V41*W41/SUMPRODUCT($W41:$W$55,$V41:$V$55)),""),"")</s:f>
        <s:v>1.7128326788830712</s:v>
      </s:c>
      <s:c r="V41" s="233">
        <s:v>1</s:v>
      </s:c>
      <s:c r="W41" s="233">
        <s:v>1</s:v>
      </s:c>
      <s:c r="X41" s="243"/>
      <s:c r="Y41" s="243"/>
      <s:c r="Z41" s="246"/>
      <s:c r="AA41" s="244"/>
      <s:c r="AB41" s="244"/>
      <s:c r="AC41" s="244"/>
      <s:c r="AD41" s="244"/>
    </s:row>
    <s:row r="42" spans="1:30" s="234" customFormat="1">
      <s:c r="A42" s="95">
        <s:v>18</s:v>
      </s:c>
      <s:c r="B42" s="236"/>
      <s:c r="C42" s="273"/>
      <s:c r="D42" s="232"/>
      <s:c r="E42" s="245"/>
      <s:c r="F42" s="238" t="str">
        <s:f>IF(AND(E42&lt;&gt;"",E42&lt;&gt;0),D42/E42,"")</s:f>
        <s:v/>
      </s:c>
      <s:c r="G42" s="245"/>
      <s:c r="H42" s="238" t="str">
        <s:f>IF(AND(G42&lt;&gt;"",G42&lt;&gt;0),D42/G42,"")</s:f>
        <s:v/>
      </s:c>
      <s:c r="I42" s="245"/>
      <s:c r="J42" s="232" t="str">
        <s:f>IF(AND(G42&lt;&gt;"",G42&lt;&gt;0),E42/G42,"")</s:f>
        <s:v/>
      </s:c>
      <s:c r="K42" s="238"/>
      <s:c r="L42" s="238"/>
      <s:c r="M42" s="238"/>
      <s:c r="N42" s="277" t="str">
        <s:f>IF(AND(I42&lt;&gt;"",I42&lt;&gt;0),G42/I42,"")</s:f>
        <s:v/>
      </s:c>
      <s:c r="O42" s="240">
        <s:f>D42/P42</s:f>
        <s:v>0</s:v>
      </s:c>
      <s:c r="P42" s="241">
        <s:f>$I$8*V42*W42/SUMPRODUCT($W$25:$W$55,$V$25:$V$55)</s:f>
        <s:v>26480.620485445852</s:v>
      </s:c>
      <s:c r="Q42" s="242">
        <s:f>$I$9*V42*W42/SUMPRODUCT($W$25:$W$55,$V$25:$V$55)</s:f>
        <s:v>4.5973299453899052</s:v>
      </s:c>
      <s:c r="R42" s="242">
        <s:f>IF($I$12="","",Q42/$I$12)</s:f>
        <s:v>2.4196473396788978</s:v>
      </s:c>
      <s:c r="S42" s="241">
        <s:f>IF(W42&lt;&gt;"",IF(D42&lt;&gt;"",D42,($I$8-SUM($S$25:S41))*V42*W42/SUMPRODUCT($W42:$W$55,$V42:$V$55)),"")</s:f>
        <s:v>24799.323560209439</s:v>
      </s:c>
      <s:c r="T42" s="242">
        <s:f>IF(W42&lt;&gt;"",IF(E42&lt;&gt;"",E42,($I$9-SUM($T$25:T41))*V42*W42/SUMPRODUCT($W42:$W$55,$V42:$V$55)),"")</s:f>
        <s:v>3.8727705061082012</s:v>
      </s:c>
      <s:c r="U42" s="242">
        <s:f>IF(W42&lt;&gt;"",IF($I$12&lt;&gt;"",IF(G42&lt;&gt;"",G42,($I$9/$I$12-SUM($U$25:U41))*V42*W42/SUMPRODUCT($W42:$W$55,$V42:$V$55)),""),"")</s:f>
        <s:v>1.7128326788830701</s:v>
      </s:c>
      <s:c r="V42" s="233">
        <s:v>1</s:v>
      </s:c>
      <s:c r="W42" s="233">
        <s:v>1</s:v>
      </s:c>
      <s:c r="X42" s="243"/>
      <s:c r="Y42" s="243"/>
      <s:c r="Z42" s="246"/>
      <s:c r="AA42" s="244"/>
      <s:c r="AB42" s="244"/>
      <s:c r="AC42" s="244"/>
      <s:c r="AD42" s="244"/>
    </s:row>
    <s:row r="43" spans="1:30" s="234" customFormat="1" ht="15" customHeight="1">
      <s:c r="A43" s="235">
        <s:v>19</s:v>
      </s:c>
      <s:c r="B43" s="236">
        <s:v>45835</s:v>
      </s:c>
      <s:c r="C43" s="237" t="s">
        <s:v>59</s:v>
      </s:c>
      <s:c r="D43" s="232">
        <s:v>5994</s:v>
      </s:c>
      <s:c r="E43" s="238">
        <s:v>1</s:v>
      </s:c>
      <s:c r="F43" s="238">
        <s:f>IF(AND(E43&lt;&gt;"",E43&lt;&gt;0),D43/E43,"")</s:f>
        <s:v>5994</s:v>
      </s:c>
      <s:c r="G43" s="238">
        <s:v>1</s:v>
      </s:c>
      <s:c r="H43" s="238">
        <s:f>IF(AND(G43&lt;&gt;"",G43&lt;&gt;0),D43/G43,"")</s:f>
        <s:v>5994</s:v>
      </s:c>
      <s:c r="I43" s="238"/>
      <s:c r="J43" s="232">
        <s:f>IF(AND(G43&lt;&gt;"",G43&lt;&gt;0),E43/G43,"")</s:f>
        <s:v>1</s:v>
      </s:c>
      <s:c r="K43" s="238"/>
      <s:c r="L43" s="238"/>
      <s:c r="M43" s="238"/>
      <s:c r="N43" s="277" t="str">
        <s:f>IF(AND(I43&lt;&gt;"",I43&lt;&gt;0),G43/I43,"")</s:f>
        <s:v/>
      </s:c>
      <s:c r="O43" s="240">
        <s:f>D43/P43</s:f>
        <s:v>0.2263542126323812</s:v>
      </s:c>
      <s:c r="P43" s="241">
        <s:f>$I$8*V43*W43/SUMPRODUCT($W$25:$W$55,$V$25:$V$55)</s:f>
        <s:v>26480.620485445852</s:v>
      </s:c>
      <s:c r="Q43" s="242">
        <s:f>$I$9*V43*W43/SUMPRODUCT($W$25:$W$55,$V$25:$V$55)</s:f>
        <s:v>4.5973299453899052</s:v>
      </s:c>
      <s:c r="R43" s="242">
        <s:f>IF($I$12="","",Q43/$I$12)</s:f>
        <s:v>2.4196473396788978</s:v>
      </s:c>
      <s:c r="S43" s="241">
        <s:f>IF(W43&lt;&gt;"",IF(D43&lt;&gt;"",D43,($I$8-SUM($S$25:S42))*V43*W43/SUMPRODUCT($W43:$W$55,$V43:$V$55)),"")</s:f>
        <s:v>5994</s:v>
      </s:c>
      <s:c r="T43" s="242">
        <s:f>IF(W43&lt;&gt;"",IF(E43&lt;&gt;"",E43,($I$9-SUM($T$25:T42))*V43*W43/SUMPRODUCT($W43:$W$55,$V43:$V$55)),"")</s:f>
        <s:v>1</s:v>
      </s:c>
      <s:c r="U43" s="242">
        <s:f>IF(W43&lt;&gt;"",IF($I$12&lt;&gt;"",IF(G43&lt;&gt;"",G43,($I$9/$I$12-SUM($U$25:U42))*V43*W43/SUMPRODUCT($W43:$W$55,$V43:$V$55)),""),"")</s:f>
        <s:v>1</s:v>
      </s:c>
      <s:c r="V43" s="233">
        <s:v>1</s:v>
      </s:c>
      <s:c r="W43" s="233">
        <s:v>1</s:v>
      </s:c>
      <s:c r="X43" s="243"/>
      <s:c r="Y43" s="243"/>
      <s:c r="Z43" s="246"/>
      <s:c r="AA43" s="244"/>
      <s:c r="AB43" s="244"/>
      <s:c r="AC43" s="244"/>
      <s:c r="AD43" s="244"/>
    </s:row>
    <s:row r="44" spans="1:30" s="234" customFormat="1" ht="15" customHeight="1">
      <s:c r="A44" s="235">
        <s:v>20</s:v>
      </s:c>
      <s:c r="B44" s="236"/>
      <s:c r="C44" s="237"/>
      <s:c r="D44" s="232"/>
      <s:c r="E44" s="238"/>
      <s:c r="F44" s="238" t="str">
        <s:f>IF(AND(E44&lt;&gt;"",E44&lt;&gt;0),D44/E44,"")</s:f>
        <s:v/>
      </s:c>
      <s:c r="G44" s="238"/>
      <s:c r="H44" s="238" t="str">
        <s:f>IF(AND(G44&lt;&gt;"",G44&lt;&gt;0),D44/G44,"")</s:f>
        <s:v/>
      </s:c>
      <s:c r="I44" s="238"/>
      <s:c r="J44" s="232" t="str">
        <s:f>IF(AND(G44&lt;&gt;"",G44&lt;&gt;0),E44/G44,"")</s:f>
        <s:v/>
      </s:c>
      <s:c r="K44" s="238"/>
      <s:c r="L44" s="238"/>
      <s:c r="M44" s="238"/>
      <s:c r="N44" s="277" t="str">
        <s:f>IF(AND(I44&lt;&gt;"",I44&lt;&gt;0),G44/I44,"")</s:f>
        <s:v/>
      </s:c>
      <s:c r="O44" s="240">
        <s:f>D44/P44</s:f>
        <s:v>0</s:v>
      </s:c>
      <s:c r="P44" s="241">
        <s:f>$I$8*V44*W44/SUMPRODUCT($W$25:$W$55,$V$25:$V$55)</s:f>
        <s:v>26480.620485445852</s:v>
      </s:c>
      <s:c r="Q44" s="242">
        <s:f>$I$9*V44*W44/SUMPRODUCT($W$25:$W$55,$V$25:$V$55)</s:f>
        <s:v>4.5973299453899052</s:v>
      </s:c>
      <s:c r="R44" s="242">
        <s:f>IF($I$12="","",Q44/$I$12)</s:f>
        <s:v>2.4196473396788978</s:v>
      </s:c>
      <s:c r="S44" s="241">
        <s:f>IF(W44&lt;&gt;"",IF(D44&lt;&gt;"",D44,($I$8-SUM($S$25:S43))*V44*W44/SUMPRODUCT($W44:$W$55,$V44:$V$55)),"")</s:f>
        <s:v>43604.6471204189</s:v>
      </s:c>
      <s:c r="T44" s="242">
        <s:f>IF(W44&lt;&gt;"",IF(E44&lt;&gt;"",E44,($I$9-SUM($T$25:T43))*V44*W44/SUMPRODUCT($W44:$W$55,$V44:$V$55)),0)</s:f>
        <s:v>6.7455410122164068</s:v>
      </s:c>
      <s:c r="U44" s="242">
        <s:f>IF(W44&lt;&gt;"",IF($I$12&lt;&gt;"",IF(G44&lt;&gt;"",G44,($I$9/$I$12-SUM($U$25:U43))*V44*W44/SUMPRODUCT($W44:$W$55,$V44:$V$55)),""),"")</s:f>
        <s:v>2.4256653577661424</s:v>
      </s:c>
      <s:c r="V44" s="233">
        <s:v>1</s:v>
      </s:c>
      <s:c r="W44" s="233">
        <s:v>1</s:v>
      </s:c>
      <s:c r="X44" s="243"/>
      <s:c r="Y44" s="243"/>
      <s:c r="Z44" s="244"/>
      <s:c r="AA44" s="244"/>
      <s:c r="AB44" s="244"/>
      <s:c r="AC44" s="244"/>
      <s:c r="AD44" s="244"/>
    </s:row>
    <s:row r="45" spans="1:30" customFormat="1">
      <s:c r="A45" s="278"/>
      <s:c r="B45" s="96"/>
      <s:c r="C45" s="231"/>
      <s:c r="D45" s="98"/>
      <s:c r="E45" s="99"/>
      <s:c r="F45" s="99" t="str">
        <s:f>IF(AND(E45&lt;&gt;"",E45&lt;&gt;0),D45/E45,"")</s:f>
        <s:v/>
      </s:c>
      <s:c r="G45" s="99"/>
      <s:c r="H45" s="99" t="str">
        <s:f>IF(AND(G45&lt;&gt;"",G45&lt;&gt;0),D45/G45,"")</s:f>
        <s:v/>
      </s:c>
      <s:c r="I45" s="99"/>
      <s:c r="J45" s="98" t="str">
        <s:f>IF(AND(G45&lt;&gt;"",G45&lt;&gt;0),E45/G45,"")</s:f>
        <s:v/>
      </s:c>
      <s:c r="K45" s="99"/>
      <s:c r="L45" s="99"/>
      <s:c r="M45" s="99"/>
      <s:c r="N45" s="279" t="str">
        <s:f>IF(AND(I45&lt;&gt;"",I45&lt;&gt;0),G45/I45,"")</s:f>
        <s:v/>
      </s:c>
      <s:c r="O45" s="101" t="e">
        <s:f>D45/P45</s:f>
        <s:v>#DIV/0!</s:v>
      </s:c>
      <s:c r="P45" s="102">
        <s:f>$I$8*V45*W45/SUMPRODUCT($W$25:$W$44,$V$25:$V$44)</s:f>
        <s:v>0</s:v>
      </s:c>
      <s:c r="Q45" s="103">
        <s:f>$I$9*V45*W45/SUMPRODUCT($W$25:$W$44,$V$25:$V$44)</s:f>
        <s:v>0</s:v>
      </s:c>
      <s:c r="R45" s="103">
        <s:f>IF($I$12="","",Q45/$I$12)</s:f>
        <s:v>0</s:v>
      </s:c>
      <s:c r="S45" s="102" t="str">
        <s:f>IF(W45&lt;&gt;"",IF(D45&lt;&gt;"",D45,($I$8-SUM($S$25:S44))*V45*W45/SUMPRODUCT($W$44:$W45,$V$44:$V45)),"")</s:f>
        <s:v/>
      </s:c>
      <s:c r="T45" s="103" t="str">
        <s:f>IF(W45&lt;&gt;"",IF(E45&lt;&gt;"",E45,($I$9-SUM($T$25:T44))*V45*W45/SUMPRODUCT($W$44:$W45,$V$44:$V45)),"")</s:f>
        <s:v/>
      </s:c>
      <s:c r="U45" s="103" t="str">
        <s:f>IF(W45&lt;&gt;"",IF($I$12&lt;&gt;"",IF(G45&lt;&gt;"",G45,($I$9/$I$12-SUM($U$25:U44))*V45*W45/SUMPRODUCT($W$44:$W45,$V$44:$V45)),""),"")</s:f>
        <s:v/>
      </s:c>
      <s:c r="V45" s="280"/>
      <s:c r="W45" s="280"/>
      <s:c r="X45" s="281"/>
      <s:c r="Y45" s="281"/>
      <s:c r="Z45" s="282"/>
    </s:row>
    <s:row r="46" spans="1:30" s="234" customFormat="1">
      <s:c r="A46" s="283"/>
      <s:c r="B46" s="236"/>
      <s:c r="C46" s="263"/>
      <s:c r="D46" s="232"/>
      <s:c r="E46" s="238"/>
      <s:c r="F46" s="238" t="str">
        <s:f>IF(AND(E46&lt;&gt;"",E46&lt;&gt;0),D46/E46,"")</s:f>
        <s:v/>
      </s:c>
      <s:c r="G46" s="238"/>
      <s:c r="H46" s="238" t="str">
        <s:f>IF(AND(G46&lt;&gt;"",G46&lt;&gt;0),D46/G46,"")</s:f>
        <s:v/>
      </s:c>
      <s:c r="I46" s="238"/>
      <s:c r="J46" s="232" t="str">
        <s:f>IF(AND(G46&lt;&gt;"",G46&lt;&gt;0),E46/G46,"")</s:f>
        <s:v/>
      </s:c>
      <s:c r="K46" s="238"/>
      <s:c r="L46" s="238"/>
      <s:c r="M46" s="238"/>
      <s:c r="N46" s="277" t="str">
        <s:f>IF(AND(I46&lt;&gt;"",I46&lt;&gt;0),G46/I46,"")</s:f>
        <s:v/>
      </s:c>
      <s:c r="O46" s="240" t="e">
        <s:f>D46/P46</s:f>
        <s:v>#DIV/0!</s:v>
      </s:c>
      <s:c r="P46" s="241">
        <s:f>$I$8*V46*W46/SUMPRODUCT($W$25:$W$44,$V$25:$V$44)</s:f>
        <s:v>0</s:v>
      </s:c>
      <s:c r="Q46" s="242">
        <s:f>$I$9*V46*W46/SUMPRODUCT($W$25:$W$44,$V$25:$V$44)</s:f>
        <s:v>0</s:v>
      </s:c>
      <s:c r="R46" s="242">
        <s:f>IF($I$12="","",Q46/$I$12)</s:f>
        <s:v>0</s:v>
      </s:c>
      <s:c r="S46" s="241" t="str">
        <s:f>IF(W46&lt;&gt;"",IF(D46&lt;&gt;"",D46,($I$8-SUM($S$25:S45))*V46*W46/SUMPRODUCT($W$44:$W46,$V$44:$V46)),"")</s:f>
        <s:v/>
      </s:c>
      <s:c r="T46" s="242" t="str">
        <s:f>IF(W46&lt;&gt;"",IF(E46&lt;&gt;"",E46,($I$9-SUM($T$25:T45))*V46*W46/SUMPRODUCT($W$44:$W46,$V$44:$V46)),"")</s:f>
        <s:v/>
      </s:c>
      <s:c r="U46" s="242" t="str">
        <s:f>IF(W46&lt;&gt;"",IF($I$12&lt;&gt;"",IF(G46&lt;&gt;"",G46,($I$9/$I$12-SUM($U$25:U45))*V46*W46/SUMPRODUCT($W$44:$W46,$V$44:$V46)),""),"")</s:f>
        <s:v/>
      </s:c>
      <s:c r="V46" s="284"/>
      <s:c r="W46" s="284"/>
      <s:c r="X46" s="285"/>
      <s:c r="Y46" s="285"/>
      <s:c r="Z46" s="286"/>
    </s:row>
    <s:row r="47" spans="1:30" s="234" customFormat="1">
      <s:c r="A47" s="287"/>
      <s:c r="B47" s="236"/>
      <s:c r="C47" s="247"/>
      <s:c r="D47" s="232"/>
      <s:c r="E47" s="238"/>
      <s:c r="F47" s="238" t="str">
        <s:f>IF(AND(E47&lt;&gt;"",E47&lt;&gt;0),D47/E47,"")</s:f>
        <s:v/>
      </s:c>
      <s:c r="G47" s="238"/>
      <s:c r="H47" s="238" t="str">
        <s:f>IF(AND(G47&lt;&gt;"",G47&lt;&gt;0),D47/G47,"")</s:f>
        <s:v/>
      </s:c>
      <s:c r="I47" s="238"/>
      <s:c r="J47" s="232" t="str">
        <s:f>IF(AND(G47&lt;&gt;"",G47&lt;&gt;0),E47/G47,"")</s:f>
        <s:v/>
      </s:c>
      <s:c r="K47" s="238"/>
      <s:c r="L47" s="238"/>
      <s:c r="M47" s="238"/>
      <s:c r="N47" s="277" t="str">
        <s:f>IF(AND(I47&lt;&gt;"",I47&lt;&gt;0),G47/I47,"")</s:f>
        <s:v/>
      </s:c>
      <s:c r="O47" s="240" t="e">
        <s:f>D47/P47</s:f>
        <s:v>#DIV/0!</s:v>
      </s:c>
      <s:c r="P47" s="241">
        <s:f>$I$8*V47*W47/SUMPRODUCT($W$25:$W$47,$V$25:$V$47)</s:f>
        <s:v>0</s:v>
      </s:c>
      <s:c r="Q47" s="242">
        <s:f>$I$9*V47*W47/SUMPRODUCT($W$25:$W$47,$V$25:$V$47)</s:f>
        <s:v>0</s:v>
      </s:c>
      <s:c r="R47" s="242">
        <s:f>IF($I$12="","",Q47/$I$12)</s:f>
        <s:v>0</s:v>
      </s:c>
      <s:c r="S47" s="241" t="str">
        <s:f>IF(W47&lt;&gt;"",IF(D47&lt;&gt;"",D47,($I$8-SUM($S$25:S46))*V47*W47/SUMPRODUCT($W47:$W$47,$V47:$V$47)),"")</s:f>
        <s:v/>
      </s:c>
      <s:c r="T47" s="242" t="str">
        <s:f>IF(W47&lt;&gt;"",IF(E47&lt;&gt;"",E47,($I$9-SUM($T$25:T46))*V47*W47/SUMPRODUCT($W47:$W$47,$V47:$V$47)),"")</s:f>
        <s:v/>
      </s:c>
      <s:c r="U47" s="242" t="str">
        <s:f>IF(W47&lt;&gt;"",IF($I$12&lt;&gt;"",IF(G47&lt;&gt;"",G47,($I$9/$I$12-SUM($U$25:U46))*V47*W47/SUMPRODUCT($W47:$W$47,$V47:$V$47)),""),"")</s:f>
        <s:v/>
      </s:c>
      <s:c r="V47" s="284"/>
      <s:c r="W47" s="284"/>
      <s:c r="X47" s="285"/>
      <s:c r="Y47" s="285"/>
      <s:c r="Z47" s="286"/>
    </s:row>
    <s:row r="48" spans="1:30" ht="15" customHeight="1">
      <s:c r="B48" s="618" t="s">
        <s:v>65</s:v>
      </s:c>
      <s:c r="C48" s="618"/>
      <s:c r="D48" s="114">
        <s:f>SUM(D25:D47)</s:f>
        <s:v>249666</s:v>
      </s:c>
      <s:c r="E48" s="114">
        <s:f>SUM(E25:E47)</s:f>
        <s:v>48</s:v>
      </s:c>
      <s:c r="F48" s="114">
        <s:f>IF(AND(E48&lt;&gt;"",E48&lt;&gt;0),D48/E48,"")</s:f>
        <s:v>5201.375</s:v>
      </s:c>
      <s:c r="G48" s="114">
        <s:f>SUM(G25:G47)</s:f>
        <s:v>28</s:v>
      </s:c>
      <s:c r="H48" s="114">
        <s:f>IF(AND(G48&lt;&gt;"",G48&lt;&gt;0),D48/G48,"")</s:f>
        <s:v>8916.6428571428569</s:v>
      </s:c>
      <s:c r="I48" s="114">
        <s:f>SUM(I25:I47)</s:f>
        <s:v>149</s:v>
      </s:c>
      <s:c r="J48" s="113">
        <s:f>IF(AND(G48&lt;&gt;"",G48&lt;&gt;0),E48/G48,"")</s:f>
        <s:v>1.7142857142857142</s:v>
      </s:c>
      <s:c r="K48" s="114">
        <s:f>SUM(K25:K47)</s:f>
        <s:v>57840</s:v>
      </s:c>
      <s:c r="L48" s="114">
        <s:f>SUM(L25:L47)</s:f>
        <s:v>23405</s:v>
      </s:c>
      <s:c r="M48" s="114">
        <s:f>SUM(M25:M47)</s:f>
        <s:v>0</s:v>
      </s:c>
      <s:c r="N48" s="115">
        <s:f>IF(AND(I48&lt;&gt;"",I48&lt;&gt;0),G48/I48,"")</s:f>
        <s:v>0.18791946308724833</s:v>
      </s:c>
      <s:c r="O48" s="116">
        <s:f>D48/P48</s:f>
        <s:v>0.46126484321141187</s:v>
      </s:c>
      <s:c r="P48" s="117">
        <s:f>SUM(P25:P47)</s:f>
        <s:v>541263.88272251305</s:v>
      </s:c>
      <s:c r="Q48" s="117">
        <s:f>SUM(Q25:Q47)</s:f>
        <s:v>93.969424083769624</s:v>
      </s:c>
      <s:c r="R48" s="117">
        <s:f>SUM(R25:R47)</s:f>
        <s:v>49.457591623036649</s:v>
      </s:c>
      <s:c r="S48" s="117">
        <s:f>SUM(S25:S47)</s:f>
        <s:v>541263.88272251317</s:v>
      </s:c>
      <s:c r="T48" s="117">
        <s:f>SUM(T25:T47)</s:f>
        <s:v>93.969424083769653</s:v>
      </s:c>
      <s:c r="U48" s="117">
        <s:f>SUM(U25:U47)</s:f>
        <s:v>49.457591623036663</s:v>
      </s:c>
      <s:c r="V48" s="118"/>
      <s:c r="W48" s="118"/>
    </s:row>
    <s:row r="49">
      <s:c r="B49" s="120"/>
      <s:c r="C49" s="121"/>
      <s:c r="D49" s="122">
        <s:f>SUMIF(D25:D47,"",P25:P47)+D48</s:f>
        <s:v>540952.8253399044</s:v>
      </s:c>
      <s:c r="E49" s="123"/>
      <s:c r="F49" s="121"/>
      <s:c r="G49" s="121"/>
      <s:c r="H49" s="124"/>
      <s:c r="I49" s="229"/>
      <s:c r="J49" s="124"/>
      <s:c r="L49" s="126"/>
      <s:c r="M49" s="123"/>
      <s:c r="N49" s="126"/>
      <s:c r="O49" s="126"/>
      <s:c r="P49" s="126"/>
      <s:c r="Q49" s="127"/>
    </s:row>
    <s:row r="50">
      <s:c r="D50" s="128"/>
    </s:row>
    <s:row r="51">
      <s:c r="D51" s="128"/>
    </s:row>
    <s:row r="52">
      <s:c r="D52" s="224"/>
    </s:row>
    <s:row r="53">
      <s:c r="D53" s="224"/>
    </s:row>
  </s:sheetData>
  <s:mergeCells count="28">
    <s:mergeCell ref="P22:W22"/>
    <s:mergeCell ref="B48:C48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21" priority="904" operator="greaterThan">
      <s:formula>0</s:formula>
    </s:cfRule>
    <s:cfRule type="cellIs" dxfId="120" priority="903" operator="lessThan">
      <s:formula>0</s:formula>
    </s:cfRule>
  </s:conditionalFormatting>
  <s:conditionalFormatting sqref="J25:J30">
    <s:cfRule type="cellIs" dxfId="119" priority="10" operator="lessThan">
      <s:formula>$I$12</s:formula>
    </s:cfRule>
  </s:conditionalFormatting>
  <s:conditionalFormatting sqref="J25:J31">
    <s:cfRule type="cellIs" dxfId="118" priority="11" operator="greaterThan">
      <s:formula>$I$12</s:formula>
    </s:cfRule>
  </s:conditionalFormatting>
  <s:conditionalFormatting sqref="J29:J30">
    <s:cfRule type="cellIs" dxfId="117" priority="1041" operator="lessThan">
      <s:formula>$I$12</s:formula>
    </s:cfRule>
  </s:conditionalFormatting>
  <s:conditionalFormatting sqref="J29:J42">
    <s:cfRule type="cellIs" dxfId="116" priority="1061" operator="greaterThan">
      <s:formula>$I$12</s:formula>
    </s:cfRule>
    <s:cfRule type="cellIs" dxfId="115" priority="1068" operator="lessThan">
      <s:formula>$I$12</s:formula>
    </s:cfRule>
  </s:conditionalFormatting>
  <s:conditionalFormatting sqref="J43:J47 J37">
    <s:cfRule type="cellIs" dxfId="114" priority="220" operator="greaterThan">
      <s:formula>$I$12</s:formula>
    </s:cfRule>
  </s:conditionalFormatting>
  <s:conditionalFormatting sqref="J43:J47">
    <s:cfRule type="cellIs" dxfId="113" priority="219" operator="lessThan">
      <s:formula>$I$12</s:formula>
    </s:cfRule>
  </s:conditionalFormatting>
  <s:conditionalFormatting sqref="K10:K12 K15">
    <s:cfRule type="cellIs" dxfId="112" priority="902" operator="greaterThan">
      <s:formula>1</s:formula>
    </s:cfRule>
    <s:cfRule type="cellIs" dxfId="111" priority="901" operator="lessThan">
      <s:formula>1</s:formula>
    </s:cfRule>
  </s:conditionalFormatting>
  <s:conditionalFormatting sqref="K13">
    <s:cfRule type="cellIs" dxfId="110" priority="552" operator="greaterThan">
      <s:formula>$K$14</s:formula>
    </s:cfRule>
    <s:cfRule type="cellIs" dxfId="109" priority="551" operator="lessThan">
      <s:formula>$K$14</s:formula>
    </s:cfRule>
  </s:conditionalFormatting>
  <s:conditionalFormatting sqref="M8:M15">
    <s:cfRule type="cellIs" dxfId="108" priority="919" operator="lessThan">
      <s:formula>1</s:formula>
    </s:cfRule>
    <s:cfRule type="cellIs" dxfId="107" priority="900" operator="greaterThan">
      <s:formula>1</s:formula>
    </s:cfRule>
  </s:conditionalFormatting>
  <s:conditionalFormatting sqref="N25:N37">
    <s:cfRule type="cellIs" dxfId="106" priority="8" operator="greaterThanOrEqual">
      <s:formula>0.25</s:formula>
    </s:cfRule>
    <s:cfRule type="cellIs" dxfId="105" priority="7" operator="between">
      <s:formula>0.2</s:formula>
      <s:formula>0.25</s:formula>
    </s:cfRule>
  </s:conditionalFormatting>
  <s:conditionalFormatting sqref="N25:N47">
    <s:cfRule type="cellIs" dxfId="104" priority="9" operator="lessThan">
      <s:formula>0.2</s:formula>
    </s:cfRule>
  </s:conditionalFormatting>
  <s:conditionalFormatting sqref="N38">
    <s:cfRule type="cellIs" dxfId="103" priority="1054" operator="between">
      <s:formula>0.2</s:formula>
      <s:formula>0.25</s:formula>
    </s:cfRule>
  </s:conditionalFormatting>
  <s:conditionalFormatting sqref="N38:N47">
    <s:cfRule type="cellIs" dxfId="102" priority="217" operator="greaterThanOrEqual">
      <s:formula>0.25</s:formula>
    </s:cfRule>
  </s:conditionalFormatting>
  <s:conditionalFormatting sqref="N39:N47">
    <s:cfRule type="cellIs" dxfId="101" priority="216" operator="between">
      <s:formula>0.2</s:formula>
      <s:formula>0.25</s:formula>
    </s:cfRule>
  </s:conditionalFormatting>
  <s:conditionalFormatting sqref="O25:O37">
    <s:cfRule type="cellIs" dxfId="100" priority="6" operator="between">
      <s:formula>0.01</s:formula>
      <s:formula>0.99</s:formula>
    </s:cfRule>
    <s:cfRule type="cellIs" dxfId="99" priority="5" operator="between">
      <s:formula>0.85</s:formula>
      <s:formula>1</s:formula>
    </s:cfRule>
    <s:cfRule type="cellIs" dxfId="98" priority="2" operator="lessThan">
      <s:formula>0.9</s:formula>
    </s:cfRule>
    <s:cfRule type="cellIs" dxfId="97" priority="1" operator="between">
      <s:formula>0.9001</s:formula>
      <s:formula>0.9999</s:formula>
    </s:cfRule>
  </s:conditionalFormatting>
  <s:conditionalFormatting sqref="O25:O47">
    <s:cfRule type="cellIs" dxfId="96" priority="4" operator="greaterThan">
      <s:formula>100</s:formula>
    </s:cfRule>
    <s:cfRule type="cellIs" dxfId="95" priority="3" operator="greaterThan">
      <s:formula>1</s:formula>
    </s:cfRule>
  </s:conditionalFormatting>
  <s:conditionalFormatting sqref="O38">
    <s:cfRule type="cellIs" dxfId="94" priority="1056" operator="between">
      <s:formula>0.85</s:formula>
      <s:formula>1</s:formula>
    </s:cfRule>
    <s:cfRule type="cellIs" dxfId="93" priority="1059" operator="lessThan">
      <s:formula>0.9</s:formula>
    </s:cfRule>
    <s:cfRule type="cellIs" dxfId="92" priority="1060" operator="between">
      <s:formula>0.9001</s:formula>
      <s:formula>0.9999</s:formula>
    </s:cfRule>
  </s:conditionalFormatting>
  <s:conditionalFormatting sqref="O38:O47">
    <s:cfRule type="cellIs" dxfId="91" priority="215" operator="between">
      <s:formula>0.01</s:formula>
      <s:formula>0.99</s:formula>
    </s:cfRule>
  </s:conditionalFormatting>
  <s:conditionalFormatting sqref="O39:O44">
    <s:cfRule type="cellIs" dxfId="90" priority="214" operator="between">
      <s:formula>0.85</s:formula>
      <s:formula>1</s:formula>
    </s:cfRule>
  </s:conditionalFormatting>
  <s:conditionalFormatting sqref="O39:O47">
    <s:cfRule type="cellIs" dxfId="89" priority="211" operator="lessThan">
      <s:formula>0.9</s:formula>
    </s:cfRule>
    <s:cfRule type="cellIs" dxfId="88" priority="210" operator="between">
      <s:formula>0.9001</s:formula>
      <s:formula>0.9999</s:formula>
    </s:cfRule>
  </s:conditionalFormatting>
  <s:conditionalFormatting sqref="O45:O47">
    <s:cfRule type="cellIs" dxfId="87" priority="639" operator="between">
      <s:formula>0.85</s:formula>
      <s:formula>1</s:formula>
    </s:cfRule>
  </s:conditionalFormatting>
  <s:conditionalFormatting sqref="P10:Q10">
    <s:cfRule type="cellIs" dxfId="86" priority="915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8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700-000000000000}">
  <s:sheetPr>
    <s:pageSetUpPr fitToPage="1"/>
  </s:sheetPr>
  <s:dimension ref="A1:IU53"/>
  <s:sheetViews>
    <s:sheetView showZeros="0" tabSelected="0" zoomScale="75" workbookViewId="0">
      <s:pane xSplit="3" topLeftCell="D1" activePane="topRight" state="frozen"/>
      <s:selection pane="topRight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10.164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79">
        <s:f ca="1">TODAY()-1</s:f>
        <s:v>46171</s:v>
      </s:c>
      <s:c r="C1" s="679"/>
      <s:c r="D1" s="11"/>
      <s:c r="E1" s="11"/>
      <s:c r="F1" s="12"/>
      <s:c r="G1" s="12"/>
      <s:c r="H1" s="12"/>
      <s:c r="I1" s="12"/>
      <s:c r="J1" s="198"/>
      <s:c r="K1" s="198"/>
      <s:c r="L1" s="198"/>
      <s:c r="M1" s="198"/>
      <s:c r="N1" s="198"/>
      <s:c r="O1" s="198"/>
      <s:c r="P1" s="198"/>
      <s:c r="Q1" s="680"/>
      <s:c r="R1" s="680"/>
      <s:c r="S1" s="680"/>
      <s:c r="T1" s="680"/>
      <s:c r="U1" s="12"/>
      <s:c r="V1" s="12"/>
      <s:c r="W1" s="12"/>
    </s:row>
    <s:row r="2" spans="2:23" ht="21.75" customHeight="1">
      <s:c r="B2" s="681" t="s">
        <s:v>0</s:v>
      </s:c>
      <s:c r="C2" s="681"/>
      <s:c r="D2" s="11"/>
      <s:c r="E2" s="11"/>
      <s:c r="F2" s="12"/>
      <s:c r="G2" s="12"/>
      <s:c r="H2" s="12"/>
      <s:c r="I2" s="12"/>
      <s:c r="J2" s="682" t="s">
        <s:v>71</s:v>
      </s:c>
      <s:c r="K2" s="682"/>
      <s:c r="L2" s="682"/>
      <s:c r="M2" s="682"/>
      <s:c r="N2" s="682"/>
      <s:c r="O2" s="682"/>
      <s:c r="P2" s="682"/>
      <s:c r="Q2" s="680"/>
      <s:c r="R2" s="680"/>
      <s:c r="S2" s="680"/>
      <s:c r="T2" s="680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3" t="str">
        <s:f>График!B26</s:f>
        <s:v>Яковенко Алина</s:v>
      </s:c>
      <s:c r="K3" s="684"/>
      <s:c r="L3" s="684"/>
      <s:c r="M3" s="684"/>
      <s:c r="N3" s="685"/>
      <s:c r="O3" s="198"/>
      <s:c r="P3" s="199"/>
      <s:c r="Q3" s="680"/>
      <s:c r="R3" s="680"/>
      <s:c r="S3" s="680"/>
      <s:c r="T3" s="680"/>
      <s:c r="U3" s="12"/>
      <s:c r="V3" s="12"/>
      <s:c r="W3" s="12"/>
    </s:row>
    <s:row r="4" spans="2:23" ht="15" customHeight="1">
      <s:c r="B4" s="11"/>
      <s:c r="C4" s="689">
        <s:f>I8-D48</s:f>
        <s:v>541263.88272251317</s:v>
      </s:c>
      <s:c r="D4" s="690"/>
      <s:c r="E4" s="200">
        <s:f>IF(I8&lt;&gt;0,C4/I8,0)</s:f>
        <s:v>1</s:v>
      </s:c>
      <s:c r="F4" s="12"/>
      <s:c r="G4" s="12"/>
      <s:c r="H4" s="12"/>
      <s:c r="I4" s="12"/>
      <s:c r="J4" s="686"/>
      <s:c r="K4" s="687"/>
      <s:c r="L4" s="687"/>
      <s:c r="M4" s="687"/>
      <s:c r="N4" s="688"/>
      <s:c r="O4" s="12"/>
      <s:c r="P4" s="12"/>
      <s:c r="Q4" s="680"/>
      <s:c r="R4" s="680"/>
      <s:c r="S4" s="680"/>
      <s:c r="T4" s="680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1"/>
      <s:c r="K5" s="691"/>
      <s:c r="L5" s="691"/>
      <s:c r="M5" s="691"/>
      <s:c r="N5" s="691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01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01"/>
      <s:c r="C7" s="12"/>
      <s:c r="D7" s="12"/>
      <s:c r="E7" s="12"/>
      <s:c r="F7" s="598" t="s">
        <s:v>3</s:v>
      </s:c>
      <s:c r="G7" s="599"/>
      <s:c r="H7" s="600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1" t="s">
        <s:v>11</s:v>
      </s:c>
      <s:c r="Q7" s="602"/>
      <s:c r="R7" s="21"/>
      <s:c r="S7" s="21"/>
      <s:c r="T7" s="12"/>
      <s:c r="U7" s="12"/>
      <s:c r="V7" s="12"/>
      <s:c r="W7" s="12"/>
    </s:row>
    <s:row r="8" spans="2:23" ht="15.75" customHeight="1">
      <s:c r="B8" s="201"/>
      <s:c r="C8" s="12"/>
      <s:c r="D8" s="12"/>
      <s:c r="E8" s="12"/>
      <s:c r="F8" s="603" t="s">
        <s:v>12</s:v>
      </s:c>
      <s:c r="G8" s="604"/>
      <s:c r="H8" s="605"/>
      <s:c r="I8" s="202">
        <s:f>'Ялта, Ленина, 18'!I8/График!AJ31*График!AJ26</s:f>
        <s:v>541263.88272251317</s:v>
      </s:c>
      <s:c r="J8" s="203">
        <s:f>D48</s:f>
        <s:v>0</s:v>
      </s:c>
      <s:c r="K8" s="268">
        <s:f>IF(AND(I8&lt;&gt;"",I8&lt;&gt;0,J8&lt;&gt;""),J8/I8,"")</s:f>
        <s:v>0</s:v>
      </s:c>
      <s:c r="L8" s="205">
        <s:f>IF(SUMIF($D$25:$D$47,"&gt;=0",$P$25:$P$47)&lt;&gt;0,I8*D48/SUMIF($D$25:$D$47,"&gt;=0",$P$25:$P$47),0)</s:f>
        <s:v>0</s:v>
      </s:c>
      <s:c r="M8" s="32" t="str">
        <s:f>IF(AND(I8&lt;&gt;"",I8&lt;&gt;0,L8&lt;&gt;"",L8&lt;&gt;0),L8/I8,"")</s:f>
        <s:v/>
      </s:c>
      <s:c r="N8" s="35" t="str">
        <s:f>IF(AND(J8&lt;&gt;0,J8&lt;&gt;"",I8&lt;&gt;0,I8&lt;&gt;""),L8-I8,"")</s:f>
        <s:v/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01"/>
      <s:c r="C9" s="12"/>
      <s:c r="D9" s="12"/>
      <s:c r="E9" s="12"/>
      <s:c r="F9" s="606" t="s">
        <s:v>13</s:v>
      </s:c>
      <s:c r="G9" s="607"/>
      <s:c r="H9" s="608"/>
      <s:c r="I9" s="38">
        <s:f>I8/I11</s:f>
        <s:v>93.969424083769653</s:v>
      </s:c>
      <s:c r="J9" s="39">
        <s:f>E48</s:f>
        <s:v>0</s:v>
      </s:c>
      <s:c r="K9" s="269">
        <s:f>IF(AND(I9&lt;&gt;"",I9&lt;&gt;0,J9&lt;&gt;""),J9/I9,"")</s:f>
        <s:v>0</s:v>
      </s:c>
      <s:c r="L9" s="207">
        <s:f>IF(SUMIF($E$25:$E$47,"&gt;=0",$Q$25:$Q$47)&lt;&gt;0,I9*E48/SUMIF($E$25:$E$47,"&gt;=0",$Q$25:$Q$47),0)</s:f>
        <s:v>0</s:v>
      </s:c>
      <s:c r="M9" s="42" t="str">
        <s:f>IF(AND(I9&lt;&gt;"",I9&lt;&gt;0,L9&lt;&gt;"",L9&lt;&gt;0),L9/I9,"")</s:f>
        <s:v/>
      </s:c>
      <s:c r="N9" s="43" t="str">
        <s:f>IF(AND(J9&lt;&gt;0,J9&lt;&gt;"",I9&lt;&gt;0,I9&lt;&gt;""),L9-I9,"")</s:f>
        <s:v/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01"/>
      <s:c r="C10" s="12"/>
      <s:c r="D10" s="12"/>
      <s:c r="E10" s="12"/>
      <s:c r="F10" s="603" t="s">
        <s:v>14</s:v>
      </s:c>
      <s:c r="G10" s="604"/>
      <s:c r="H10" s="605"/>
      <s:c r="I10" s="50">
        <s:f>I11*I12</s:f>
        <s:v>10944</s:v>
      </s:c>
      <s:c r="J10" s="209" t="str">
        <s:f>H48</s:f>
        <s:v/>
      </s:c>
      <s:c r="K10" s="270" t="str">
        <s:f>IF(AND(I10&lt;&gt;"",I10&lt;&gt;0,J10&lt;&gt;""),J10/I10,"")</s:f>
        <s:v/>
      </s:c>
      <s:c r="L10" s="207" t="str">
        <s:f>J10</s:f>
        <s:v/>
      </s:c>
      <s:c r="M10" s="48" t="str">
        <s:f>IF(AND(I10&lt;&gt;"",I10&lt;&gt;0,L10&lt;&gt;"",L10&lt;&gt;0),L10/I10,"")</s:f>
        <s:v/>
      </s:c>
      <s:c r="N10" s="49" t="str">
        <s:f>IF(AND(J10&lt;&gt;0,J10&lt;&gt;"",I10&lt;&gt;0,I10&lt;&gt;""),L10-I10,"")</s:f>
        <s:v/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613" t="s">
        <s:v>15</s:v>
      </s:c>
      <s:c r="T10" s="613"/>
      <s:c r="U10" s="12"/>
      <s:c r="V10" s="12"/>
      <s:c r="W10" s="12"/>
    </s:row>
    <s:row r="11" spans="2:23" ht="15.75" customHeight="1">
      <s:c r="B11" s="201"/>
      <s:c r="C11" s="12"/>
      <s:c r="D11" s="12"/>
      <s:c r="E11" s="12"/>
      <s:c r="F11" s="606" t="s">
        <s:v>16</s:v>
      </s:c>
      <s:c r="G11" s="607"/>
      <s:c r="H11" s="608"/>
      <s:c r="I11" s="52">
        <s:f>'Ялта, Ленина, 18'!I11</s:f>
        <s:v>5760</s:v>
      </s:c>
      <s:c r="J11" s="39" t="str">
        <s:f>F48</s:f>
        <s:v/>
      </s:c>
      <s:c r="K11" s="271" t="str">
        <s:f>IF(AND(I11&lt;&gt;"",I11&lt;&gt;0,J11&lt;&gt;""),J11/I11,"")</s:f>
        <s:v/>
      </s:c>
      <s:c r="L11" s="207" t="str">
        <s:f>IF(L9&gt;0,L8/L9,"")</s:f>
        <s:v/>
      </s:c>
      <s:c r="M11" s="42" t="str">
        <s:f>IF(AND(I11&lt;&gt;"",I11&lt;&gt;0,L11&lt;&gt;"",L11&lt;&gt;0),L11/I11,"")</s:f>
        <s:v/>
      </s:c>
      <s:c r="N11" s="43" t="str">
        <s:f>IF(AND(J11&lt;&gt;0,J11&lt;&gt;"",I11&lt;&gt;0,I11&lt;&gt;""),L11-I11,"")</s:f>
        <s:v/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613"/>
      <s:c r="T11" s="613"/>
      <s:c r="U11" s="12"/>
      <s:c r="V11" s="12"/>
      <s:c r="W11" s="12"/>
    </s:row>
    <s:row r="12" spans="2:23" ht="15.75" customHeight="1">
      <s:c r="B12" s="201"/>
      <s:c r="C12" s="12"/>
      <s:c r="D12" s="12"/>
      <s:c r="E12" s="12"/>
      <s:c r="F12" s="606" t="s">
        <s:v>17</s:v>
      </s:c>
      <s:c r="G12" s="607"/>
      <s:c r="H12" s="608"/>
      <s:c r="I12" s="54">
        <s:f>'Ялта, Ленина, 18'!I12</s:f>
        <s:v>1.9</s:v>
      </s:c>
      <s:c r="J12" s="55" t="str">
        <s:f>J48</s:f>
        <s:v/>
      </s:c>
      <s:c r="K12" s="271" t="str">
        <s:f>IF(AND(I12&lt;&gt;"",I12&lt;&gt;0,J12&lt;&gt;""),J12/I12,"")</s:f>
        <s:v/>
      </s:c>
      <s:c r="L12" s="213" t="str">
        <s:f>J12</s:f>
        <s:v/>
      </s:c>
      <s:c r="M12" s="42" t="str">
        <s:f>IF(AND(I12&lt;&gt;"",I12&lt;&gt;0,L12&lt;&gt;"",L12&lt;&gt;0),L12/I12,"")</s:f>
        <s:v/>
      </s:c>
      <s:c r="N12" s="57" t="str">
        <s:f>IF(AND(J12&lt;&gt;0,J12&lt;&gt;"",I12&lt;&gt;0,I12&lt;&gt;""),L12-I12,"")</s:f>
        <s:v/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18'!S12*График!AJ26/График!AJ31</s:f>
        <s:v>123141.36125654451</s:v>
      </s:c>
      <s:c r="T12" s="60">
        <s:f>L54</s:f>
        <s:v>0</s:v>
      </s:c>
      <s:c r="U12" s="12"/>
      <s:c r="V12" s="12"/>
      <s:c r="W12" s="12"/>
    </s:row>
    <s:row r="13" spans="2:23" ht="15.75" customHeight="1">
      <s:c r="B13" s="201"/>
      <s:c r="C13" s="12"/>
      <s:c r="D13" s="12"/>
      <s:c r="E13" s="12"/>
      <s:c r="F13" s="606" t="s">
        <s:v>18</s:v>
      </s:c>
      <s:c r="G13" s="607"/>
      <s:c r="H13" s="608"/>
      <s:c r="I13" s="38">
        <s:f>IF(I12&lt;&gt;0,I9/I12,"")</s:f>
        <s:v>49.457591623036663</s:v>
      </s:c>
      <s:c r="J13" s="39">
        <s:f>G48</s:f>
        <s:v>0</s:v>
      </s:c>
      <s:c r="K13" s="269">
        <s:f>IF(AND(I13&lt;&gt;"",I13&lt;&gt;0,J13&lt;&gt;""),J13/I13,"")</s:f>
        <s:v>0</s:v>
      </s:c>
      <s:c r="L13" s="207" t="e">
        <s:f>IF(SUMIF($G$25:$G$47,"&gt;=0",$R$25:$R$47)&lt;&gt;0,I13*G48/SUMIF($G$25:$G$47,"&gt;=0",$R$25:$R$47),"")</s:f>
        <s:v>#DIV/0!</s:v>
      </s:c>
      <s:c r="M13" s="42" t="e">
        <s:f>IF(AND(I13&lt;&gt;"",I13&lt;&gt;0,L13&lt;&gt;"",L13&lt;&gt;0),L13/I13,"")</s:f>
        <s:v>#DIV/0!</s:v>
      </s:c>
      <s:c r="N13" s="57" t="str">
        <s:f>IF(AND(J13&lt;&gt;0,J13&lt;&gt;"",I13&lt;&gt;0,I13&lt;&gt;""),L13-I13,"")</s:f>
        <s:v/>
      </s:c>
      <s:c r="O13" s="61"/>
      <s:c r="P13" s="43" t="e">
        <s:f>IF(AND(O13&lt;&gt;"",O13&lt;&gt;0,L13&lt;&gt;"",L13&lt;&gt;0),-O13+L13,"")</s:f>
        <s:v>#DIV/0!</s:v>
      </s:c>
      <s:c r="Q13" s="45" t="e">
        <s:f>IF(AND(P13&lt;&gt;"",P13&lt;&gt;0,O13&lt;&gt;0,O13&lt;&gt;""),P13/O13,"")</s:f>
        <s:v>#DIV/0!</s:v>
      </s:c>
      <s:c r="R13" s="21"/>
      <s:c r="S13" s="62">
        <s:f>T12/S12</s:f>
        <s:v>0</s:v>
      </s:c>
      <s:c r="T13" s="62" t="e">
        <s:f>S13/J14*I14</s:f>
        <s:v>#DIV/0!</s:v>
      </s:c>
      <s:c r="U13" s="12"/>
      <s:c r="V13" s="12"/>
      <s:c r="W13" s="12"/>
    </s:row>
    <s:row r="14" spans="2:23" ht="15.75" customHeight="1">
      <s:c r="B14" s="201"/>
      <s:c r="C14" s="12"/>
      <s:c r="D14" s="214"/>
      <s:c r="E14" s="12"/>
      <s:c r="F14" s="606" t="s">
        <s:v>68</s:v>
      </s:c>
      <s:c r="G14" s="607"/>
      <s:c r="H14" s="608"/>
      <s:c r="I14" s="52">
        <s:f>График!AI27</s:f>
        <s:v>13</s:v>
      </s:c>
      <s:c r="J14" s="64"/>
      <s:c r="K14" s="269" t="str">
        <s:f>IF(AND(I14&lt;&gt;"",I14&lt;&gt;0,J14&lt;&gt;""),J14/I14,"")</s:f>
        <s:v/>
      </s:c>
      <s:c r="L14" s="41">
        <s:f>I14</s:f>
        <s:v>13</s:v>
      </s:c>
      <s:c r="M14" s="42">
        <s:f>IF(AND(I14&lt;&gt;"",I14&lt;&gt;0,L14&lt;&gt;"",L14&lt;&gt;0),L14/I14,"")</s:f>
        <s:v>1</s:v>
      </s:c>
      <s:c r="N14" s="43" t="str">
        <s:f>IF(AND(J14&lt;&gt;0,J14&lt;&gt;"",I14&lt;&gt;0,I14&lt;&gt;""),L14-I14,"")</s:f>
        <s:v/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01"/>
      <s:c r="C15" s="12"/>
      <s:c r="D15" s="12"/>
      <s:c r="E15" s="12"/>
      <s:c r="F15" s="606" t="s">
        <s:v>20</s:v>
      </s:c>
      <s:c r="G15" s="607"/>
      <s:c r="H15" s="608"/>
      <s:c r="I15" s="75">
        <s:f>'Ялта, Ленина, 18'!I15</s:f>
        <s:v>143585.28</s:v>
      </s:c>
      <s:c r="J15" s="67" t="e">
        <s:f>J8/J14</s:f>
        <s:v>#DIV/0!</s:v>
      </s:c>
      <s:c r="K15" s="77" t="e">
        <s:f>IF(AND(I15&lt;&gt;"",I15&lt;&gt;0,J15&lt;&gt;""),J15/I15,"")</s:f>
        <s:v>#DIV/0!</s:v>
      </s:c>
      <s:c r="L15" s="72" t="e">
        <s:f>J15</s:f>
        <s:v>#DIV/0!</s:v>
      </s:c>
      <s:c r="M15" s="70" t="e">
        <s:f>IF(AND(I15&lt;&gt;"",I15&lt;&gt;0,L15&lt;&gt;"",L15&lt;&gt;0),L15/I15,"")</s:f>
        <s:v>#DIV/0!</s:v>
      </s:c>
      <s:c r="N15" s="43" t="e">
        <s:f>IF(AND(J15&lt;&gt;0,J15&lt;&gt;"",I15&lt;&gt;0,I15&lt;&gt;""),L15-I15,"")</s:f>
        <s:v>#DIV/0!</s:v>
      </s:c>
      <s:c r="O15" s="71"/>
      <s:c r="P15" s="43" t="e">
        <s:f>IF(AND(O15&lt;&gt;"",O15&lt;&gt;0,L15&lt;&gt;"",L15&lt;&gt;0),-O15+L15,"")</s:f>
        <s:v>#DIV/0!</s:v>
      </s:c>
      <s:c r="Q15" s="45" t="e">
        <s:f>IF(AND(P15&lt;&gt;"",P15&lt;&gt;0,O15&lt;&gt;0,O15&lt;&gt;""),P15/O15,"")</s:f>
        <s:v>#DIV/0!</s:v>
      </s:c>
      <s:c r="R15" s="21"/>
      <s:c r="S15" s="37"/>
      <s:c r="T15" s="6"/>
      <s:c r="U15" s="12"/>
      <s:c r="V15" s="12"/>
      <s:c r="W15" s="12"/>
    </s:row>
    <s:row r="16" spans="2:23" ht="15.75" customHeight="1">
      <s:c r="B16" s="201"/>
      <s:c r="C16" s="12"/>
      <s:c r="D16" s="12"/>
      <s:c r="E16" s="12"/>
      <s:c r="F16" s="606" t="s">
        <s:v>21</s:v>
      </s:c>
      <s:c r="G16" s="607"/>
      <s:c r="H16" s="608"/>
      <s:c r="I16" s="75"/>
      <s:c r="J16" s="67">
        <s:f>J8-I15*J14</s:f>
        <s:v>0</s:v>
      </s:c>
      <s:c r="K16" s="77" t="str">
        <s:f>IF(AND(I16&lt;&gt;"",I16&lt;&gt;0,J16&lt;&gt;""),J16/I16,"")</s:f>
        <s:v/>
      </s:c>
      <s:c r="L16" s="72">
        <s:f>J16</s:f>
        <s:v>0</s:v>
      </s:c>
      <s:c r="M16" s="73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613" t="s">
        <s:v>22</s:v>
      </s:c>
      <s:c r="T16" s="613"/>
      <s:c r="U16" s="12"/>
      <s:c r="V16" s="12"/>
      <s:c r="W16" s="12"/>
    </s:row>
    <s:row r="17" spans="1:255" ht="15.75" customHeight="1">
      <s:c r="B17" s="201"/>
      <s:c r="C17" s="12"/>
      <s:c r="D17" s="12"/>
      <s:c r="E17" s="12"/>
      <s:c r="F17" s="606" t="s">
        <s:v>23</s:v>
      </s:c>
      <s:c r="G17" s="607"/>
      <s:c r="H17" s="608"/>
      <s:c r="I17" s="75">
        <s:f>'Ялта, Ленина, 18'!I17/График!AJ31*График!AJ26</s:f>
        <s:v>201.04712041884818</s:v>
      </s:c>
      <s:c r="J17" s="67">
        <s:f>I48</s:f>
        <s:v>0</s:v>
      </s:c>
      <s:c r="K17" s="77">
        <s:f>IF(AND(I17&lt;&gt;"",I17&lt;&gt;0,J17&lt;&gt;""),J17/I17,"")</s:f>
        <s:v>0</s:v>
      </s:c>
      <s:c r="L17" s="78" t="e">
        <s:f>J17/J14*I14</s:f>
        <s:v>#DIV/0!</s:v>
      </s:c>
      <s:c r="M17" s="73" t="e">
        <s:f>IF(AND(I17&lt;&gt;"",I17&lt;&gt;0,L17&lt;&gt;"",L17&lt;&gt;0),L17/I17,"")</s:f>
        <s:v>#DIV/0!</s:v>
      </s:c>
      <s:c r="N17" s="43" t="str">
        <s:f>IF(AND(J17&lt;&gt;0,J17&lt;&gt;"",I17&lt;&gt;0,I17&lt;&gt;""),L17-I17,"")</s:f>
        <s:v/>
      </s:c>
      <s:c r="O17" s="71"/>
      <s:c r="P17" s="43" t="e">
        <s:f>IF(AND(O17&lt;&gt;"",O17&lt;&gt;0,L17&lt;&gt;"",L17&lt;&gt;0),-O17+L17,"")</s:f>
        <s:v>#DIV/0!</s:v>
      </s:c>
      <s:c r="Q17" s="45" t="e">
        <s:f>IF(AND(P17&lt;&gt;"",P17&lt;&gt;0,O17&lt;&gt;0,O17&lt;&gt;""),P17/O17,"")</s:f>
        <s:v>#DIV/0!</s:v>
      </s:c>
      <s:c r="R17" s="21"/>
      <s:c r="S17" s="613"/>
      <s:c r="T17" s="613"/>
      <s:c r="U17" s="12"/>
      <s:c r="V17" s="12"/>
      <s:c r="W17" s="12"/>
    </s:row>
    <s:row r="18" spans="1:255" ht="15.75" customHeight="1">
      <s:c r="B18" s="201"/>
      <s:c r="C18" s="12"/>
      <s:c r="D18" s="12"/>
      <s:c r="E18" s="12"/>
      <s:c r="F18" s="606"/>
      <s:c r="G18" s="607"/>
      <s:c r="H18" s="608"/>
      <s:c r="I18" s="76"/>
      <s:c r="J18" s="67"/>
      <s:c r="K18" s="77" t="str">
        <s:f>IF(AND(I18&lt;&gt;"",I18&lt;&gt;0,J18&lt;&gt;""),J18/I18,"")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18'!S18*График!AJ26/График!AJ31</s:f>
        <s:v>98010.471204188478</s:v>
      </s:c>
      <s:c r="T18" s="60">
        <s:f>K54</s:f>
        <s:v>0</s:v>
      </s:c>
      <s:c r="U18" s="12"/>
      <s:c r="V18" s="12"/>
      <s:c r="W18" s="12"/>
    </s:row>
    <s:row r="19" spans="1:255" ht="15.75" customHeight="1">
      <s:c r="B19" s="201"/>
      <s:c r="C19" s="12"/>
      <s:c r="D19" s="12"/>
      <s:c r="E19" s="12"/>
      <s:c r="F19" s="606"/>
      <s:c r="G19" s="607"/>
      <s:c r="H19" s="608"/>
      <s:c r="I19" s="76"/>
      <s:c r="J19" s="67">
        <s:f>M48</s:f>
        <s:v>0</s:v>
      </s:c>
      <s:c r="K19" s="77" t="str">
        <s:f>IF(AND(I19&lt;&gt;"",I19&lt;&gt;0,J19&lt;&gt;""),J19/I19,"")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>
        <s:f>T18/S18</s:f>
        <s:v>0</s:v>
      </s:c>
      <s:c r="T19" s="62" t="e">
        <s:f>S19/J14*I14</s:f>
        <s:v>#DIV/0!</s:v>
      </s:c>
      <s:c r="U19" s="12"/>
      <s:c r="V19" s="12"/>
      <s:c r="W19" s="12"/>
    </s:row>
    <s:row r="20" spans="1:255" ht="15.75" customHeight="1">
      <s:c r="B20" s="201"/>
      <s:c r="C20" s="12"/>
      <s:c r="D20" s="12"/>
      <s:c r="E20" s="12"/>
      <s:c r="F20" s="614" t="s">
        <s:v>24</s:v>
      </s:c>
      <s:c r="G20" s="614"/>
      <s:c r="H20" s="614"/>
      <s:c r="I20" s="217">
        <s:f>'Ялта, Ленина, 18'!I20</s:f>
        <s:v>0.246</s:v>
      </s:c>
      <s:c r="J20" s="218" t="str">
        <s:f>N48</s:f>
        <s:v/>
      </s:c>
      <s:c r="K20" s="218" t="e">
        <s:f>J20/I20</s:f>
        <s:v>#VALUE!</s:v>
      </s:c>
      <s:c r="L20" s="220">
        <s:f>IF(AND(K8&lt;&gt;0,I14&lt;&gt;0,I48&lt;&gt;0),(I48*N48+(I48/K8-I48)*I20)/(I48/K8),0)</s:f>
        <s:v>0</s:v>
      </s:c>
      <s:c r="M20" s="83" t="str">
        <s:f>IF(AND(I20&lt;&gt;"",I20&lt;&gt;0,L20&lt;&gt;"",L20&lt;&gt;0),L20/I20,"")</s:f>
        <s:v/>
      </s:c>
      <s:c r="N20" s="84" t="str">
        <s:f>IF(AND(J20&lt;&gt;0,J20&lt;&gt;"",I20&lt;&gt;0,I20&lt;&gt;""),L20-I20,"")</s:f>
        <s:v/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255" ht="15.75" customHeight="1">
      <s:c r="B21" s="201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255" ht="16.5" customHeight="1">
      <s:c r="B22" s="698" t="s">
        <s:v>25</s:v>
      </s:c>
      <s:c r="C22" s="698"/>
      <s:c r="D22" s="698"/>
      <s:c r="E22" s="698"/>
      <s:c r="F22" s="698"/>
      <s:c r="G22" s="698"/>
      <s:c r="H22" s="698"/>
      <s:c r="I22" s="698"/>
      <s:c r="J22" s="698"/>
      <s:c r="K22" s="698"/>
      <s:c r="L22" s="698"/>
      <s:c r="M22" s="698"/>
      <s:c r="N22" s="698"/>
      <s:c r="O22" s="699" t="s">
        <s:v>26</s:v>
      </s:c>
      <s:c r="P22" s="698" t="s">
        <s:v>27</s:v>
      </s:c>
      <s:c r="Q22" s="698"/>
      <s:c r="R22" s="698"/>
      <s:c r="S22" s="698"/>
      <s:c r="T22" s="698"/>
      <s:c r="U22" s="698"/>
      <s:c r="V22" s="698"/>
      <s:c r="W22" s="698"/>
    </s:row>
    <s:row r="23" ht="36">
      <s:c r="B23" s="221" t="s">
        <s:v>29</s:v>
      </s:c>
      <s:c r="C23" s="221" t="s">
        <s:v>30</s:v>
      </s:c>
      <s:c r="D23" s="221" t="s">
        <s:v>31</s:v>
      </s:c>
      <s:c r="E23" s="221" t="s">
        <s:v>32</s:v>
      </s:c>
      <s:c r="F23" s="221" t="s">
        <s:v>33</s:v>
      </s:c>
      <s:c r="G23" s="221" t="s">
        <s:v>34</s:v>
      </s:c>
      <s:c r="H23" s="221" t="s">
        <s:v>35</s:v>
      </s:c>
      <s:c r="I23" s="221" t="s">
        <s:v>23</s:v>
      </s:c>
      <s:c r="J23" s="221" t="s">
        <s:v>36</s:v>
      </s:c>
      <s:c r="K23" s="90" t="s">
        <s:v>22</s:v>
      </s:c>
      <s:c r="L23" s="90" t="s">
        <s:v>15</s:v>
      </s:c>
      <s:c r="M23" s="222" t="s">
        <s:v>37</s:v>
      </s:c>
      <s:c r="N23" s="221" t="s">
        <s:v>38</s:v>
      </s:c>
      <s:c r="O23" s="699"/>
      <s:c r="P23" s="221" t="s">
        <s:v>39</s:v>
      </s:c>
      <s:c r="Q23" s="221" t="s">
        <s:v>40</s:v>
      </s:c>
      <s:c r="R23" s="221" t="s">
        <s:v>41</s:v>
      </s:c>
      <s:c r="S23" s="221" t="s">
        <s:v>42</s:v>
      </s:c>
      <s:c r="T23" s="221" t="s">
        <s:v>43</s:v>
      </s:c>
      <s:c r="U23" s="221" t="s">
        <s:v>44</s:v>
      </s:c>
      <s:c r="V23" s="223" t="s">
        <s:v>45</s:v>
      </s:c>
      <s:c r="W23" s="223" t="s">
        <s:v>46</s:v>
      </s:c>
      <s:c r="X23" s="224"/>
    </s:row>
    <s:row r="24">
      <s:c r="B24" s="225">
        <s:v>1</s:v>
      </s:c>
      <s:c r="C24" s="226">
        <s:v>2</s:v>
      </s:c>
      <s:c r="D24" s="225">
        <s:v>3</s:v>
      </s:c>
      <s:c r="E24" s="225">
        <s:v>4</s:v>
      </s:c>
      <s:c r="F24" s="225">
        <s:v>5</s:v>
      </s:c>
      <s:c r="G24" s="225">
        <s:v>6</s:v>
      </s:c>
      <s:c r="H24" s="225">
        <s:v>7</s:v>
      </s:c>
      <s:c r="I24" s="225">
        <s:v>8</s:v>
      </s:c>
      <s:c r="J24" s="225">
        <s:v>9</s:v>
      </s:c>
      <s:c r="K24" s="225">
        <s:v>10</s:v>
      </s:c>
      <s:c r="L24" s="225">
        <s:v>11</s:v>
      </s:c>
      <s:c r="M24" s="225">
        <s:v>12</s:v>
      </s:c>
      <s:c r="N24" s="225">
        <s:v>13</s:v>
      </s:c>
      <s:c r="O24" s="699"/>
      <s:c r="P24" s="227">
        <s:v>1</s:v>
      </s:c>
      <s:c r="Q24" s="227">
        <s:v>2</s:v>
      </s:c>
      <s:c r="R24" s="227">
        <s:v>3</s:v>
      </s:c>
      <s:c r="S24" s="227">
        <s:v>4</s:v>
      </s:c>
      <s:c r="T24" s="227">
        <s:v>5</s:v>
      </s:c>
      <s:c r="U24" s="227">
        <s:v>6</s:v>
      </s:c>
      <s:c r="V24" s="227">
        <s:v>10</s:v>
      </s:c>
      <s:c r="W24" s="227">
        <s:v>11</s:v>
      </s:c>
    </s:row>
    <s:row r="25" spans="1:255" s="234" customFormat="1">
      <s:c r="A25" s="235">
        <s:v>1</s:v>
      </s:c>
      <s:c r="B25" s="288"/>
      <s:c r="C25" s="289"/>
      <s:c r="D25" s="290"/>
      <s:c r="E25" s="291"/>
      <s:c r="F25" s="292" t="str">
        <s:f>IF(AND(E25&lt;&gt;"",E25&lt;&gt;0),D25/E25,"")</s:f>
        <s:v/>
      </s:c>
      <s:c r="G25" s="291"/>
      <s:c r="H25" s="292" t="str">
        <s:f>IF(AND(G25&lt;&gt;"",G25&lt;&gt;0),D25/G25,"")</s:f>
        <s:v/>
      </s:c>
      <s:c r="I25" s="293"/>
      <s:c r="J25" s="294" t="str">
        <s:f>IF(AND(G25&lt;&gt;"",G25&lt;&gt;0),E25/G25,"")</s:f>
        <s:v/>
      </s:c>
      <s:c r="K25" s="238"/>
      <s:c r="L25" s="238"/>
      <s:c r="M25" s="238"/>
      <s:c r="N25" s="239" t="str">
        <s:f>IF(AND(I25&lt;&gt;"",I25&lt;&gt;0),G25/I25,"")</s:f>
        <s:v/>
      </s:c>
      <s:c r="O25" s="240" t="e">
        <s:f>D25/P25</s:f>
        <s:v>#DIV/0!</s:v>
      </s:c>
      <s:c r="P25" s="241" t="e">
        <s:f>$I$8*V25*W25/SUMPRODUCT($W$25:$W$55,$V$25:$V$55)</s:f>
        <s:v>#DIV/0!</s:v>
      </s:c>
      <s:c r="Q25" s="242" t="e">
        <s:f>$I$9*V25*W25/SUMPRODUCT($W$25:$W$55,$V$25:$V$55)</s:f>
        <s:v>#DIV/0!</s:v>
      </s:c>
      <s:c r="R25" s="242" t="e">
        <s:f>IF($I$12="","",Q25/$I$12)</s:f>
        <s:v>#DIV/0!</s:v>
      </s:c>
      <s:c r="S25" s="241" t="e">
        <s:f>IF(D25&lt;&gt;"",D25,P25)</s:f>
        <s:v>#DIV/0!</s:v>
      </s:c>
      <s:c r="T25" s="242" t="e">
        <s:f>IF(E25&lt;&gt;"",E25,Q25)</s:f>
        <s:v>#DIV/0!</s:v>
      </s:c>
      <s:c r="U25" s="242" t="e">
        <s:f>IF(G25&lt;&gt;"",G25,R25)</s:f>
        <s:v>#DIV/0!</s:v>
      </s:c>
      <s:c r="V25" s="284"/>
      <s:c r="W25" s="284"/>
      <s:c r="X25" s="244"/>
      <s:c r="Y25" s="243"/>
      <s:c r="Z25" s="244"/>
      <s:c r="AA25" s="244"/>
      <s:c r="AB25" s="244"/>
      <s:c r="AC25" s="244"/>
      <s:c r="AD25" s="244"/>
    </s:row>
    <s:row r="26" spans="1:255" s="295" customFormat="1">
      <s:c r="A26" s="235">
        <s:v>2</s:v>
      </s:c>
      <s:c r="B26" s="236"/>
      <s:c r="C26" s="237"/>
      <s:c r="D26" s="248"/>
      <s:c r="E26" s="238"/>
      <s:c r="F26" s="245" t="str">
        <s:f>IF(AND(E26&lt;&gt;"",E26&lt;&gt;0),D26/E26,"")</s:f>
        <s:v/>
      </s:c>
      <s:c r="G26" s="238">
        <s:v>0</s:v>
      </s:c>
      <s:c r="H26" s="245" t="str">
        <s:f>IF(AND(G26&lt;&gt;"",G26&lt;&gt;0),D26/G26,"")</s:f>
        <s:v/>
      </s:c>
      <s:c r="I26" s="238"/>
      <s:c r="J26" s="232" t="str">
        <s:f>IF(AND(G26&lt;&gt;"",G26&lt;&gt;0),E26/G26,"")</s:f>
        <s:v/>
      </s:c>
      <s:c r="K26" s="238"/>
      <s:c r="L26" s="238"/>
      <s:c r="M26" s="238"/>
      <s:c r="N26" s="239" t="str">
        <s:f>IF(AND(I26&lt;&gt;"",I26&lt;&gt;0),G26/I26,"")</s:f>
        <s:v/>
      </s:c>
      <s:c r="O26" s="240" t="e">
        <s:f>D26/P26</s:f>
        <s:v>#DIV/0!</s:v>
      </s:c>
      <s:c r="P26" s="241" t="e">
        <s:f>$I$8*V26*W26/SUMPRODUCT($W$25:$W$55,$V$25:$V$55)</s:f>
        <s:v>#DIV/0!</s:v>
      </s:c>
      <s:c r="Q26" s="242" t="e">
        <s:f>$I$9*V26*W26/SUMPRODUCT($W$25:$W$55,$V$25:$V$55)</s:f>
        <s:v>#DIV/0!</s:v>
      </s:c>
      <s:c r="R26" s="242" t="e">
        <s:f>IF($I$12="","",Q26/$I$12)</s:f>
        <s:v>#DIV/0!</s:v>
      </s:c>
      <s:c r="S26" s="241" t="str">
        <s:f>IF(W26&lt;&gt;"",IF(D26&lt;&gt;"",D26,($I$8-SUM($S$25:S25))*V26*W26/SUMPRODUCT($W26:$W$55,$V26:$V$55)),"")</s:f>
        <s:v/>
      </s:c>
      <s:c r="T26" s="242" t="str">
        <s:f>IF(W26&lt;&gt;"",IF(E26&lt;&gt;"",E26,($I$9-SUM($T$25:T25))*V26*W26/SUMPRODUCT($W26:$W$55,$V26:$V$55)),"")</s:f>
        <s:v/>
      </s:c>
      <s:c r="U26" s="242" t="str">
        <s:f>IF(W26&lt;&gt;"",IF($I$12&lt;&gt;"",IF(G26&lt;&gt;"",G26,($I$9/$I$12-SUM($U$25:U25))*V26*W26/SUMPRODUCT($W26:$W$55,$V26:$V$55)),""),"")</s:f>
        <s:v/>
      </s:c>
      <s:c r="V26" s="284"/>
      <s:c r="W26" s="284"/>
      <s:c r="X26" s="243"/>
      <s:c r="Y26" s="243"/>
      <s:c r="Z26" s="244"/>
      <s:c r="AA26" s="244"/>
      <s:c r="AB26" s="244"/>
      <s:c r="AC26" s="244"/>
      <s:c r="AD26" s="244"/>
      <s:c r="AE26" s="244"/>
      <s:c r="AF26" s="244"/>
      <s:c r="AG26" s="244"/>
      <s:c r="AH26" s="244"/>
      <s:c r="AI26" s="244"/>
      <s:c r="AJ26" s="244"/>
      <s:c r="AK26" s="244"/>
      <s:c r="AL26" s="244"/>
      <s:c r="AM26" s="244"/>
      <s:c r="AN26" s="244"/>
      <s:c r="AO26" s="244"/>
      <s:c r="AP26" s="244"/>
      <s:c r="AQ26" s="244"/>
      <s:c r="AR26" s="244"/>
      <s:c r="AS26" s="244"/>
      <s:c r="AT26" s="244"/>
      <s:c r="AU26" s="244"/>
      <s:c r="AV26" s="244"/>
      <s:c r="AW26" s="244"/>
      <s:c r="AX26" s="244"/>
      <s:c r="AY26" s="244"/>
      <s:c r="AZ26" s="244"/>
      <s:c r="BA26" s="244"/>
      <s:c r="BB26" s="244"/>
      <s:c r="BC26" s="244"/>
      <s:c r="BD26" s="244"/>
      <s:c r="BE26" s="244"/>
      <s:c r="BF26" s="244"/>
      <s:c r="BG26" s="244"/>
      <s:c r="BH26" s="244"/>
      <s:c r="BI26" s="244"/>
      <s:c r="BJ26" s="244"/>
      <s:c r="BK26" s="244"/>
      <s:c r="BL26" s="244"/>
      <s:c r="BM26" s="244"/>
      <s:c r="BN26" s="244"/>
      <s:c r="BO26" s="244"/>
      <s:c r="BP26" s="244"/>
      <s:c r="BQ26" s="244"/>
      <s:c r="BR26" s="244"/>
      <s:c r="BS26" s="244"/>
      <s:c r="BT26" s="244"/>
      <s:c r="BU26" s="244"/>
      <s:c r="BV26" s="244"/>
      <s:c r="BW26" s="244"/>
      <s:c r="BX26" s="244"/>
      <s:c r="BY26" s="244"/>
      <s:c r="BZ26" s="244"/>
      <s:c r="CA26" s="244"/>
      <s:c r="CB26" s="244"/>
      <s:c r="CC26" s="244"/>
      <s:c r="CD26" s="244"/>
      <s:c r="CE26" s="244"/>
      <s:c r="CF26" s="244"/>
      <s:c r="CG26" s="244"/>
      <s:c r="CH26" s="244"/>
      <s:c r="CI26" s="244"/>
      <s:c r="CJ26" s="244"/>
      <s:c r="CK26" s="244"/>
      <s:c r="CL26" s="244"/>
      <s:c r="CM26" s="244"/>
      <s:c r="CN26" s="244"/>
      <s:c r="CO26" s="244"/>
      <s:c r="CP26" s="244"/>
      <s:c r="CQ26" s="244"/>
      <s:c r="CR26" s="244"/>
      <s:c r="CS26" s="244"/>
      <s:c r="CT26" s="244"/>
      <s:c r="CU26" s="244"/>
      <s:c r="CV26" s="244"/>
      <s:c r="CW26" s="244"/>
      <s:c r="CX26" s="244"/>
      <s:c r="CY26" s="244"/>
      <s:c r="CZ26" s="244"/>
      <s:c r="DA26" s="244"/>
      <s:c r="DB26" s="244"/>
      <s:c r="DC26" s="244"/>
      <s:c r="DD26" s="244"/>
      <s:c r="DE26" s="244"/>
      <s:c r="DF26" s="244"/>
      <s:c r="DG26" s="244"/>
      <s:c r="DH26" s="244"/>
      <s:c r="DI26" s="244"/>
      <s:c r="DJ26" s="244"/>
      <s:c r="DK26" s="244"/>
      <s:c r="DL26" s="244"/>
      <s:c r="DM26" s="244"/>
      <s:c r="DN26" s="244"/>
      <s:c r="DO26" s="244"/>
      <s:c r="DP26" s="244"/>
      <s:c r="DQ26" s="244"/>
      <s:c r="DR26" s="244"/>
      <s:c r="DS26" s="244"/>
      <s:c r="DT26" s="244"/>
      <s:c r="DU26" s="244"/>
      <s:c r="DV26" s="244"/>
      <s:c r="DW26" s="244"/>
      <s:c r="DX26" s="244"/>
      <s:c r="DY26" s="244"/>
      <s:c r="DZ26" s="244"/>
      <s:c r="EA26" s="244"/>
      <s:c r="EB26" s="244"/>
      <s:c r="EC26" s="244"/>
      <s:c r="ED26" s="244"/>
      <s:c r="EE26" s="244"/>
      <s:c r="EF26" s="244"/>
      <s:c r="EG26" s="244"/>
      <s:c r="EH26" s="244"/>
      <s:c r="EI26" s="244"/>
      <s:c r="EJ26" s="244"/>
      <s:c r="EK26" s="244"/>
      <s:c r="EL26" s="244"/>
      <s:c r="EM26" s="244"/>
      <s:c r="EN26" s="244"/>
      <s:c r="EO26" s="244"/>
      <s:c r="EP26" s="244"/>
      <s:c r="EQ26" s="244"/>
      <s:c r="ER26" s="244"/>
      <s:c r="ES26" s="244"/>
      <s:c r="ET26" s="244"/>
      <s:c r="EU26" s="244"/>
      <s:c r="EV26" s="244"/>
      <s:c r="EW26" s="244"/>
      <s:c r="EX26" s="244"/>
      <s:c r="EY26" s="244"/>
      <s:c r="EZ26" s="244"/>
      <s:c r="FA26" s="244"/>
      <s:c r="FB26" s="244"/>
      <s:c r="FC26" s="244"/>
      <s:c r="FD26" s="244"/>
      <s:c r="FE26" s="244"/>
      <s:c r="FF26" s="244"/>
      <s:c r="FG26" s="244"/>
      <s:c r="FH26" s="244"/>
      <s:c r="FI26" s="244"/>
      <s:c r="FJ26" s="244"/>
      <s:c r="FK26" s="244"/>
      <s:c r="FL26" s="244"/>
      <s:c r="FM26" s="244"/>
      <s:c r="FN26" s="244"/>
      <s:c r="FO26" s="244"/>
      <s:c r="FP26" s="244"/>
      <s:c r="FQ26" s="244"/>
      <s:c r="FR26" s="244"/>
      <s:c r="FS26" s="244"/>
      <s:c r="FT26" s="244"/>
      <s:c r="FU26" s="244"/>
      <s:c r="FV26" s="244"/>
      <s:c r="FW26" s="244"/>
      <s:c r="FX26" s="244"/>
      <s:c r="FY26" s="244"/>
      <s:c r="FZ26" s="244"/>
      <s:c r="GA26" s="244"/>
      <s:c r="GB26" s="244"/>
      <s:c r="GC26" s="244"/>
      <s:c r="GD26" s="244"/>
      <s:c r="GE26" s="244"/>
      <s:c r="GF26" s="244"/>
      <s:c r="GG26" s="244"/>
      <s:c r="GH26" s="244"/>
      <s:c r="GI26" s="244"/>
      <s:c r="GJ26" s="244"/>
      <s:c r="GK26" s="244"/>
      <s:c r="GL26" s="244"/>
      <s:c r="GM26" s="244"/>
      <s:c r="GN26" s="244"/>
      <s:c r="GO26" s="244"/>
      <s:c r="GP26" s="244"/>
      <s:c r="GQ26" s="244"/>
      <s:c r="GR26" s="244"/>
      <s:c r="GS26" s="244"/>
      <s:c r="GT26" s="244"/>
      <s:c r="GU26" s="244"/>
      <s:c r="GV26" s="244"/>
      <s:c r="GW26" s="244"/>
      <s:c r="GX26" s="244"/>
      <s:c r="GY26" s="244"/>
      <s:c r="GZ26" s="244"/>
      <s:c r="HA26" s="244"/>
      <s:c r="HB26" s="244"/>
      <s:c r="HC26" s="244"/>
      <s:c r="HD26" s="244"/>
      <s:c r="HE26" s="244"/>
      <s:c r="HF26" s="244"/>
      <s:c r="HG26" s="244"/>
      <s:c r="HH26" s="244"/>
      <s:c r="HI26" s="244"/>
      <s:c r="HJ26" s="244"/>
      <s:c r="HK26" s="244"/>
      <s:c r="HL26" s="244"/>
      <s:c r="HM26" s="244"/>
      <s:c r="HN26" s="244"/>
      <s:c r="HO26" s="244"/>
      <s:c r="HP26" s="244"/>
      <s:c r="HQ26" s="244"/>
      <s:c r="HR26" s="244"/>
      <s:c r="HS26" s="244"/>
      <s:c r="HT26" s="244"/>
      <s:c r="HU26" s="244"/>
      <s:c r="HV26" s="244"/>
      <s:c r="HW26" s="244"/>
      <s:c r="HX26" s="244"/>
      <s:c r="HY26" s="244"/>
      <s:c r="HZ26" s="244"/>
      <s:c r="IA26" s="244"/>
      <s:c r="IB26" s="244"/>
      <s:c r="IC26" s="244"/>
      <s:c r="ID26" s="244"/>
      <s:c r="IE26" s="244"/>
      <s:c r="IF26" s="244"/>
      <s:c r="IG26" s="244"/>
      <s:c r="IH26" s="244"/>
      <s:c r="II26" s="244"/>
      <s:c r="IJ26" s="244"/>
      <s:c r="IK26" s="244"/>
      <s:c r="IL26" s="244"/>
      <s:c r="IM26" s="244"/>
      <s:c r="IN26" s="244"/>
      <s:c r="IO26" s="244"/>
      <s:c r="IP26" s="244"/>
      <s:c r="IQ26" s="244"/>
      <s:c r="IR26" s="244"/>
      <s:c r="IS26" s="244"/>
      <s:c r="IT26" s="244"/>
      <s:c r="IU26" s="244"/>
    </s:row>
    <s:row r="27" spans="1:255" s="234" customFormat="1">
      <s:c r="A27" s="235">
        <s:v>3</s:v>
      </s:c>
      <s:c r="B27" s="236"/>
      <s:c r="C27" s="237"/>
      <s:c r="D27" s="232"/>
      <s:c r="E27" s="273"/>
      <s:c r="F27" s="238" t="str">
        <s:f>IF(AND(E27&lt;&gt;"",E27&lt;&gt;0),D27/E27,"")</s:f>
        <s:v/>
      </s:c>
      <s:c r="G27" s="245"/>
      <s:c r="H27" s="238" t="str">
        <s:f>IF(AND(G27&lt;&gt;"",G27&lt;&gt;0),D27/G27,"")</s:f>
        <s:v/>
      </s:c>
      <s:c r="I27" s="245"/>
      <s:c r="J27" s="232" t="str">
        <s:f>IF(AND(G27&lt;&gt;"",G27&lt;&gt;0),E27/G27,"")</s:f>
        <s:v/>
      </s:c>
      <s:c r="K27" s="238"/>
      <s:c r="L27" s="238"/>
      <s:c r="M27" s="238"/>
      <s:c r="N27" s="239" t="str">
        <s:f>IF(AND(I27&lt;&gt;"",I27&lt;&gt;0),G27/I27,"")</s:f>
        <s:v/>
      </s:c>
      <s:c r="O27" s="240" t="e">
        <s:f>D27/P27</s:f>
        <s:v>#DIV/0!</s:v>
      </s:c>
      <s:c r="P27" s="241" t="e">
        <s:f>$I$8*V27*W27/SUMPRODUCT($W$25:$W$55,$V$25:$V$55)</s:f>
        <s:v>#DIV/0!</s:v>
      </s:c>
      <s:c r="Q27" s="242" t="e">
        <s:f>$I$9*V27*W27/SUMPRODUCT($W$25:$W$55,$V$25:$V$55)</s:f>
        <s:v>#DIV/0!</s:v>
      </s:c>
      <s:c r="R27" s="242" t="e">
        <s:f>IF($I$12="","",Q27/$I$12)</s:f>
        <s:v>#DIV/0!</s:v>
      </s:c>
      <s:c r="S27" s="241" t="str">
        <s:f>IF(W27&lt;&gt;"",IF(D27&lt;&gt;"",D27,($I$8-SUM($S$25:S26))*V27*W27/SUMPRODUCT($W27:$W$55,$V27:$V$55)),"")</s:f>
        <s:v/>
      </s:c>
      <s:c r="T27" s="242" t="str">
        <s:f>IF(W27&lt;&gt;"",IF(E27&lt;&gt;"",E27,($I$9-SUM($T$25:T26))*V27*W27/SUMPRODUCT($W27:$W$55,$V27:$V$55)),"")</s:f>
        <s:v/>
      </s:c>
      <s:c r="U27" s="242" t="str">
        <s:f>IF(W27&lt;&gt;"",IF($I$12&lt;&gt;"",IF(G27&lt;&gt;"",G27,($I$9/$I$12-SUM($U$25:U26))*V27*W27/SUMPRODUCT($W27:$W$55,$V27:$V$55)),""),"")</s:f>
        <s:v/>
      </s:c>
      <s:c r="V27" s="284"/>
      <s:c r="W27" s="284"/>
      <s:c r="X27" s="243"/>
      <s:c r="Y27" s="243"/>
      <s:c r="Z27" s="244"/>
      <s:c r="AA27" s="244"/>
      <s:c r="AB27" s="244"/>
      <s:c r="AC27" s="244"/>
      <s:c r="AD27" s="244"/>
      <s:c r="AE27" s="244"/>
      <s:c r="AF27" s="244"/>
      <s:c r="AG27" s="244"/>
      <s:c r="AH27" s="244"/>
      <s:c r="AI27" s="244"/>
      <s:c r="AJ27" s="244"/>
      <s:c r="AK27" s="244"/>
      <s:c r="AL27" s="244"/>
      <s:c r="AM27" s="244"/>
      <s:c r="AN27" s="244"/>
      <s:c r="AO27" s="244"/>
      <s:c r="AP27" s="244"/>
      <s:c r="AQ27" s="244"/>
      <s:c r="AR27" s="244"/>
      <s:c r="AS27" s="244"/>
      <s:c r="AT27" s="244"/>
      <s:c r="AU27" s="244"/>
      <s:c r="AV27" s="244"/>
      <s:c r="AW27" s="244"/>
      <s:c r="AX27" s="244"/>
      <s:c r="AY27" s="244"/>
      <s:c r="AZ27" s="244"/>
      <s:c r="BA27" s="244"/>
      <s:c r="BB27" s="244"/>
      <s:c r="BC27" s="244"/>
      <s:c r="BD27" s="244"/>
      <s:c r="BE27" s="244"/>
      <s:c r="BF27" s="244"/>
      <s:c r="BG27" s="244"/>
      <s:c r="BH27" s="244"/>
      <s:c r="BI27" s="244"/>
      <s:c r="BJ27" s="244"/>
      <s:c r="BK27" s="244"/>
      <s:c r="BL27" s="244"/>
      <s:c r="BM27" s="244"/>
      <s:c r="BN27" s="244"/>
      <s:c r="BO27" s="244"/>
      <s:c r="BP27" s="244"/>
      <s:c r="BQ27" s="244"/>
      <s:c r="BR27" s="244"/>
      <s:c r="BS27" s="244"/>
      <s:c r="BT27" s="244"/>
      <s:c r="BU27" s="244"/>
      <s:c r="BV27" s="244"/>
      <s:c r="BW27" s="244"/>
      <s:c r="BX27" s="244"/>
      <s:c r="BY27" s="244"/>
      <s:c r="BZ27" s="244"/>
      <s:c r="CA27" s="244"/>
      <s:c r="CB27" s="244"/>
      <s:c r="CC27" s="244"/>
      <s:c r="CD27" s="244"/>
      <s:c r="CE27" s="244"/>
      <s:c r="CF27" s="244"/>
      <s:c r="CG27" s="244"/>
      <s:c r="CH27" s="244"/>
      <s:c r="CI27" s="244"/>
      <s:c r="CJ27" s="244"/>
      <s:c r="CK27" s="244"/>
      <s:c r="CL27" s="244"/>
      <s:c r="CM27" s="244"/>
      <s:c r="CN27" s="244"/>
      <s:c r="CO27" s="244"/>
      <s:c r="CP27" s="244"/>
      <s:c r="CQ27" s="244"/>
      <s:c r="CR27" s="244"/>
      <s:c r="CS27" s="244"/>
      <s:c r="CT27" s="244"/>
      <s:c r="CU27" s="244"/>
      <s:c r="CV27" s="244"/>
      <s:c r="CW27" s="244"/>
      <s:c r="CX27" s="244"/>
      <s:c r="CY27" s="244"/>
      <s:c r="CZ27" s="244"/>
      <s:c r="DA27" s="244"/>
      <s:c r="DB27" s="244"/>
      <s:c r="DC27" s="244"/>
      <s:c r="DD27" s="244"/>
      <s:c r="DE27" s="244"/>
      <s:c r="DF27" s="244"/>
      <s:c r="DG27" s="244"/>
      <s:c r="DH27" s="244"/>
      <s:c r="DI27" s="244"/>
      <s:c r="DJ27" s="244"/>
      <s:c r="DK27" s="244"/>
      <s:c r="DL27" s="244"/>
      <s:c r="DM27" s="244"/>
      <s:c r="DN27" s="244"/>
      <s:c r="DO27" s="244"/>
      <s:c r="DP27" s="244"/>
      <s:c r="DQ27" s="244"/>
      <s:c r="DR27" s="244"/>
      <s:c r="DS27" s="244"/>
      <s:c r="DT27" s="244"/>
      <s:c r="DU27" s="244"/>
      <s:c r="DV27" s="244"/>
      <s:c r="DW27" s="244"/>
      <s:c r="DX27" s="244"/>
      <s:c r="DY27" s="244"/>
      <s:c r="DZ27" s="244"/>
      <s:c r="EA27" s="244"/>
      <s:c r="EB27" s="244"/>
      <s:c r="EC27" s="244"/>
      <s:c r="ED27" s="244"/>
      <s:c r="EE27" s="244"/>
      <s:c r="EF27" s="244"/>
      <s:c r="EG27" s="244"/>
      <s:c r="EH27" s="244"/>
      <s:c r="EI27" s="244"/>
      <s:c r="EJ27" s="244"/>
      <s:c r="EK27" s="244"/>
      <s:c r="EL27" s="244"/>
      <s:c r="EM27" s="244"/>
      <s:c r="EN27" s="244"/>
      <s:c r="EO27" s="244"/>
      <s:c r="EP27" s="244"/>
      <s:c r="EQ27" s="244"/>
      <s:c r="ER27" s="244"/>
      <s:c r="ES27" s="244"/>
      <s:c r="ET27" s="244"/>
      <s:c r="EU27" s="244"/>
      <s:c r="EV27" s="244"/>
      <s:c r="EW27" s="244"/>
      <s:c r="EX27" s="244"/>
      <s:c r="EY27" s="244"/>
      <s:c r="EZ27" s="244"/>
      <s:c r="FA27" s="244"/>
      <s:c r="FB27" s="244"/>
      <s:c r="FC27" s="244"/>
      <s:c r="FD27" s="244"/>
      <s:c r="FE27" s="244"/>
      <s:c r="FF27" s="244"/>
      <s:c r="FG27" s="244"/>
      <s:c r="FH27" s="244"/>
      <s:c r="FI27" s="244"/>
      <s:c r="FJ27" s="244"/>
      <s:c r="FK27" s="244"/>
      <s:c r="FL27" s="244"/>
      <s:c r="FM27" s="244"/>
      <s:c r="FN27" s="244"/>
      <s:c r="FO27" s="244"/>
      <s:c r="FP27" s="244"/>
      <s:c r="FQ27" s="244"/>
      <s:c r="FR27" s="244"/>
      <s:c r="FS27" s="244"/>
      <s:c r="FT27" s="244"/>
      <s:c r="FU27" s="244"/>
      <s:c r="FV27" s="244"/>
      <s:c r="FW27" s="244"/>
      <s:c r="FX27" s="244"/>
      <s:c r="FY27" s="244"/>
      <s:c r="FZ27" s="244"/>
      <s:c r="GA27" s="244"/>
      <s:c r="GB27" s="244"/>
      <s:c r="GC27" s="244"/>
      <s:c r="GD27" s="244"/>
      <s:c r="GE27" s="244"/>
      <s:c r="GF27" s="244"/>
      <s:c r="GG27" s="244"/>
      <s:c r="GH27" s="244"/>
      <s:c r="GI27" s="244"/>
      <s:c r="GJ27" s="244"/>
      <s:c r="GK27" s="244"/>
      <s:c r="GL27" s="244"/>
      <s:c r="GM27" s="244"/>
      <s:c r="GN27" s="244"/>
      <s:c r="GO27" s="244"/>
      <s:c r="GP27" s="244"/>
      <s:c r="GQ27" s="244"/>
      <s:c r="GR27" s="244"/>
      <s:c r="GS27" s="244"/>
      <s:c r="GT27" s="244"/>
      <s:c r="GU27" s="244"/>
      <s:c r="GV27" s="244"/>
      <s:c r="GW27" s="244"/>
      <s:c r="GX27" s="244"/>
      <s:c r="GY27" s="244"/>
      <s:c r="GZ27" s="244"/>
      <s:c r="HA27" s="244"/>
      <s:c r="HB27" s="244"/>
      <s:c r="HC27" s="244"/>
      <s:c r="HD27" s="244"/>
      <s:c r="HE27" s="244"/>
      <s:c r="HF27" s="244"/>
      <s:c r="HG27" s="244"/>
      <s:c r="HH27" s="244"/>
      <s:c r="HI27" s="244"/>
      <s:c r="HJ27" s="244"/>
      <s:c r="HK27" s="244"/>
      <s:c r="HL27" s="244"/>
      <s:c r="HM27" s="244"/>
      <s:c r="HN27" s="244"/>
      <s:c r="HO27" s="244"/>
      <s:c r="HP27" s="244"/>
      <s:c r="HQ27" s="244"/>
      <s:c r="HR27" s="244"/>
      <s:c r="HS27" s="244"/>
      <s:c r="HT27" s="244"/>
      <s:c r="HU27" s="244"/>
      <s:c r="HV27" s="244"/>
      <s:c r="HW27" s="244"/>
      <s:c r="HX27" s="244"/>
      <s:c r="HY27" s="244"/>
      <s:c r="HZ27" s="244"/>
      <s:c r="IA27" s="244"/>
      <s:c r="IB27" s="244"/>
      <s:c r="IC27" s="244"/>
      <s:c r="ID27" s="244"/>
      <s:c r="IE27" s="244"/>
      <s:c r="IF27" s="244"/>
      <s:c r="IG27" s="244"/>
      <s:c r="IH27" s="244"/>
      <s:c r="II27" s="244"/>
      <s:c r="IJ27" s="244"/>
      <s:c r="IK27" s="244"/>
      <s:c r="IL27" s="244"/>
      <s:c r="IM27" s="244"/>
      <s:c r="IN27" s="244"/>
      <s:c r="IO27" s="244"/>
      <s:c r="IP27" s="244"/>
      <s:c r="IQ27" s="244"/>
      <s:c r="IR27" s="244"/>
      <s:c r="IS27" s="244"/>
      <s:c r="IT27" s="244"/>
      <s:c r="IU27" s="244"/>
    </s:row>
    <s:row r="28" spans="1:255" s="234" customFormat="1">
      <s:c r="A28" s="235">
        <s:v>4</s:v>
      </s:c>
      <s:c r="B28" s="236"/>
      <s:c r="C28" s="237"/>
      <s:c r="D28" s="248"/>
      <s:c r="E28" s="238"/>
      <s:c r="F28" s="245" t="str">
        <s:f>IF(AND(E28&lt;&gt;"",E28&lt;&gt;0),D28/E28,"")</s:f>
        <s:v/>
      </s:c>
      <s:c r="G28" s="238"/>
      <s:c r="H28" s="245" t="str">
        <s:f>IF(AND(G28&lt;&gt;"",G28&lt;&gt;0),D28/G28,"")</s:f>
        <s:v/>
      </s:c>
      <s:c r="I28" s="238"/>
      <s:c r="J28" s="232" t="str">
        <s:f>IF(AND(G28&lt;&gt;"",G28&lt;&gt;0),E28/G28,"")</s:f>
        <s:v/>
      </s:c>
      <s:c r="K28" s="238"/>
      <s:c r="L28" s="238"/>
      <s:c r="M28" s="238"/>
      <s:c r="N28" s="239" t="str">
        <s:f>IF(AND(I28&lt;&gt;"",I28&lt;&gt;0),G28/I28,"")</s:f>
        <s:v/>
      </s:c>
      <s:c r="O28" s="240" t="e">
        <s:f>D28/P28</s:f>
        <s:v>#DIV/0!</s:v>
      </s:c>
      <s:c r="P28" s="241" t="e">
        <s:f>$I$8*V28*W28/SUMPRODUCT($W$25:$W$55,$V$25:$V$55)</s:f>
        <s:v>#DIV/0!</s:v>
      </s:c>
      <s:c r="Q28" s="242" t="e">
        <s:f>$I$9*V28*W28/SUMPRODUCT($W$25:$W$55,$V$25:$V$55)</s:f>
        <s:v>#DIV/0!</s:v>
      </s:c>
      <s:c r="R28" s="242" t="e">
        <s:f>IF($I$12="","",Q28/$I$12)</s:f>
        <s:v>#DIV/0!</s:v>
      </s:c>
      <s:c r="S28" s="241" t="str">
        <s:f>IF(W28&lt;&gt;"",IF(D28&lt;&gt;"",D28,($I$8-SUM($S$25:S27))*V28*W28/SUMPRODUCT($W28:$W$55,$V28:$V$55)),"")</s:f>
        <s:v/>
      </s:c>
      <s:c r="T28" s="242" t="str">
        <s:f>IF(W28&lt;&gt;"",IF(E28&lt;&gt;"",E28,($I$9-SUM($T$25:T27))*V28*W28/SUMPRODUCT($W28:$W$55,$V28:$V$55)),"")</s:f>
        <s:v/>
      </s:c>
      <s:c r="U28" s="242" t="str">
        <s:f>IF(W28&lt;&gt;"",IF($I$12&lt;&gt;"",IF(G28&lt;&gt;"",G28,($I$9/$I$12-SUM($U$25:U27))*V28*W28/SUMPRODUCT($W28:$W$55,$V28:$V$55)),""),"")</s:f>
        <s:v/>
      </s:c>
      <s:c r="V28" s="284"/>
      <s:c r="W28" s="284"/>
      <s:c r="X28" s="243"/>
      <s:c r="Y28" s="243"/>
      <s:c r="Z28" s="244"/>
      <s:c r="AA28" s="244"/>
      <s:c r="AB28" s="244"/>
      <s:c r="AC28" s="244"/>
      <s:c r="AD28" s="244"/>
    </s:row>
    <s:row r="29" spans="1:255" s="234" customFormat="1">
      <s:c r="A29" s="235">
        <s:v>5</s:v>
      </s:c>
      <s:c r="B29" s="236"/>
      <s:c r="C29" s="237"/>
      <s:c r="D29" s="232"/>
      <s:c r="E29" s="245"/>
      <s:c r="F29" s="238" t="str">
        <s:f>IF(AND(E29&lt;&gt;"",E29&lt;&gt;0),D29/E29,"")</s:f>
        <s:v/>
      </s:c>
      <s:c r="G29" s="245"/>
      <s:c r="H29" s="238" t="str">
        <s:f>IF(AND(G29&lt;&gt;"",G29&lt;&gt;0),D29/G29,"")</s:f>
        <s:v/>
      </s:c>
      <s:c r="I29" s="245"/>
      <s:c r="J29" s="232" t="str">
        <s:f>IF(AND(G29&lt;&gt;"",G29&lt;&gt;0),E29/G29,"")</s:f>
        <s:v/>
      </s:c>
      <s:c r="K29" s="238"/>
      <s:c r="L29" s="238"/>
      <s:c r="M29" s="238"/>
      <s:c r="N29" s="239" t="str">
        <s:f>IF(AND(I29&lt;&gt;"",I29&lt;&gt;0),G29/I29,"")</s:f>
        <s:v/>
      </s:c>
      <s:c r="O29" s="240" t="e">
        <s:f>D29/P29</s:f>
        <s:v>#DIV/0!</s:v>
      </s:c>
      <s:c r="P29" s="241" t="e">
        <s:f>$I$8*V29*W29/SUMPRODUCT($W$25:$W$55,$V$25:$V$55)</s:f>
        <s:v>#DIV/0!</s:v>
      </s:c>
      <s:c r="Q29" s="242" t="e">
        <s:f>$I$9*V29*W29/SUMPRODUCT($W$25:$W$55,$V$25:$V$55)</s:f>
        <s:v>#DIV/0!</s:v>
      </s:c>
      <s:c r="R29" s="242" t="e">
        <s:f>IF($I$12="","",Q29/$I$12)</s:f>
        <s:v>#DIV/0!</s:v>
      </s:c>
      <s:c r="S29" s="241" t="str">
        <s:f>IF(W29&lt;&gt;"",IF(D29&lt;&gt;"",D29,($I$8-SUM($S$25:S28))*V29*W29/SUMPRODUCT($W29:$W$55,$V29:$V$55)),"")</s:f>
        <s:v/>
      </s:c>
      <s:c r="T29" s="242" t="str">
        <s:f>IF(W29&lt;&gt;"",IF(E29&lt;&gt;"",E29,($I$9-SUM($T$25:T28))*V29*W29/SUMPRODUCT($W29:$W$55,$V29:$V$55)),"")</s:f>
        <s:v/>
      </s:c>
      <s:c r="U29" s="242" t="str">
        <s:f>IF(W29&lt;&gt;"",IF($I$12&lt;&gt;"",IF(G29&lt;&gt;"",G29,($I$9/$I$12-SUM($U$25:U28))*V29*W29/SUMPRODUCT($W29:$W$55,$V29:$V$55)),""),"")</s:f>
        <s:v/>
      </s:c>
      <s:c r="V29" s="284"/>
      <s:c r="W29" s="284"/>
      <s:c r="X29" s="243"/>
      <s:c r="Y29" s="243"/>
      <s:c r="Z29" s="244"/>
      <s:c r="AA29" s="244"/>
      <s:c r="AB29" s="244"/>
      <s:c r="AC29" s="244"/>
      <s:c r="AD29" s="244"/>
    </s:row>
    <s:row r="30" spans="1:255" s="234" customFormat="1">
      <s:c r="A30" s="235">
        <s:v>6</s:v>
      </s:c>
      <s:c r="B30" s="236"/>
      <s:c r="C30" s="237"/>
      <s:c r="D30" s="248"/>
      <s:c r="E30" s="238"/>
      <s:c r="F30" s="245" t="str">
        <s:f>IF(AND(E30&lt;&gt;"",E30&lt;&gt;0),D30/E30,"")</s:f>
        <s:v/>
      </s:c>
      <s:c r="G30" s="238"/>
      <s:c r="H30" s="245" t="str">
        <s:f>IF(AND(G30&lt;&gt;"",G30&lt;&gt;0),D30/G30,"")</s:f>
        <s:v/>
      </s:c>
      <s:c r="I30" s="238"/>
      <s:c r="J30" s="248" t="str">
        <s:f>IF(AND(G30&lt;&gt;"",G30&lt;&gt;0),E30/G30,"")</s:f>
        <s:v/>
      </s:c>
      <s:c r="K30" s="238"/>
      <s:c r="L30" s="238"/>
      <s:c r="M30" s="238"/>
      <s:c r="N30" s="239" t="str">
        <s:f>IF(AND(I30&lt;&gt;"",I30&lt;&gt;0),G30/I30,"")</s:f>
        <s:v/>
      </s:c>
      <s:c r="O30" s="240" t="e">
        <s:f>D30/P30</s:f>
        <s:v>#DIV/0!</s:v>
      </s:c>
      <s:c r="P30" s="241" t="e">
        <s:f>$I$8*V30*W30/SUMPRODUCT($W$25:$W$55,$V$25:$V$55)</s:f>
        <s:v>#DIV/0!</s:v>
      </s:c>
      <s:c r="Q30" s="242" t="e">
        <s:f>$I$9*V30*W30/SUMPRODUCT($W$25:$W$55,$V$25:$V$55)</s:f>
        <s:v>#DIV/0!</s:v>
      </s:c>
      <s:c r="R30" s="242" t="e">
        <s:f>IF($I$12="","",Q30/$I$12)</s:f>
        <s:v>#DIV/0!</s:v>
      </s:c>
      <s:c r="S30" s="241" t="str">
        <s:f>IF(W30&lt;&gt;"",IF(D30&lt;&gt;"",D30,($I$8-SUM($S$25:S29))*V30*W30/SUMPRODUCT($W30:$W$55,$V30:$V$55)),"")</s:f>
        <s:v/>
      </s:c>
      <s:c r="T30" s="242" t="str">
        <s:f>IF(W30&lt;&gt;"",IF(E29&lt;&gt;"",E29,($I$9-SUM($T$25:T29))*V30*W30/SUMPRODUCT($W30:$W$55,$V30:$V$55)),"")</s:f>
        <s:v/>
      </s:c>
      <s:c r="U30" s="242" t="str">
        <s:f>IF(W30&lt;&gt;"",IF($I$12&lt;&gt;"",IF(G30&lt;&gt;"",G30,($I$9/$I$12-SUM($U$25:U29))*V30*W30/SUMPRODUCT($W30:$W$55,$V30:$V$55)),""),"")</s:f>
        <s:v/>
      </s:c>
      <s:c r="V30" s="284"/>
      <s:c r="W30" s="284"/>
      <s:c r="X30" s="243"/>
      <s:c r="Y30" s="243"/>
      <s:c r="Z30" s="244"/>
      <s:c r="AA30" s="244"/>
      <s:c r="AB30" s="244"/>
      <s:c r="AC30" s="244"/>
      <s:c r="AD30" s="244"/>
    </s:row>
    <s:row r="31" spans="1:255" s="234" customFormat="1">
      <s:c r="A31" s="235">
        <s:v>7</s:v>
      </s:c>
      <s:c r="B31" s="236"/>
      <s:c r="C31" s="237"/>
      <s:c r="D31" s="232"/>
      <s:c r="E31" s="245"/>
      <s:c r="F31" s="238" t="str">
        <s:f>IF(AND(E31&lt;&gt;"",E31&lt;&gt;0),D31/E31,"")</s:f>
        <s:v/>
      </s:c>
      <s:c r="G31" s="245"/>
      <s:c r="H31" s="238" t="str">
        <s:f>IF(AND(G31&lt;&gt;"",G31&lt;&gt;0),D31/G31,"")</s:f>
        <s:v/>
      </s:c>
      <s:c r="I31" s="245"/>
      <s:c r="J31" s="232" t="str">
        <s:f>IF(AND(G31&lt;&gt;"",G31&lt;&gt;0),E31/G31,"")</s:f>
        <s:v/>
      </s:c>
      <s:c r="K31" s="238"/>
      <s:c r="L31" s="238"/>
      <s:c r="M31" s="238"/>
      <s:c r="N31" s="239" t="str">
        <s:f>IF(AND(I31&lt;&gt;"",I31&lt;&gt;0),G31/I31,"")</s:f>
        <s:v/>
      </s:c>
      <s:c r="O31" s="240" t="e">
        <s:f>D31/P31</s:f>
        <s:v>#DIV/0!</s:v>
      </s:c>
      <s:c r="P31" s="241" t="e">
        <s:f>$I$8*V31*W31/SUMPRODUCT($W$25:$W$55,$V$25:$V$55)</s:f>
        <s:v>#DIV/0!</s:v>
      </s:c>
      <s:c r="Q31" s="242" t="e">
        <s:f>$I$9*V31*W31/SUMPRODUCT($W$25:$W$55,$V$25:$V$55)</s:f>
        <s:v>#DIV/0!</s:v>
      </s:c>
      <s:c r="R31" s="242" t="e">
        <s:f>IF($I$12="","",Q31/$I$12)</s:f>
        <s:v>#DIV/0!</s:v>
      </s:c>
      <s:c r="S31" s="241" t="str">
        <s:f>IF(W31&lt;&gt;"",IF(D31&lt;&gt;"",D31,($I$8-SUM($S$25:S30))*V31*W31/SUMPRODUCT($W31:$W$55,$V31:$V$55)),"")</s:f>
        <s:v/>
      </s:c>
      <s:c r="T31" s="242" t="str">
        <s:f>IF(W31&lt;&gt;"",IF(E31&lt;&gt;"",E31,($I$9-SUM($T$25:T30))*V31*W31/SUMPRODUCT($W31:$W$55,$V31:$V$55)),"")</s:f>
        <s:v/>
      </s:c>
      <s:c r="U31" s="242" t="str">
        <s:f>IF(W31&lt;&gt;"",IF($I$12&lt;&gt;"",IF(G31&lt;&gt;"",G31,($I$9/$I$12-SUM($U$25:U30))*V31*W31/SUMPRODUCT($W31:$W$55,$V31:$V$55)),""),"")</s:f>
        <s:v/>
      </s:c>
      <s:c r="V31" s="284"/>
      <s:c r="W31" s="284"/>
      <s:c r="X31" s="243"/>
      <s:c r="Y31" s="243"/>
      <s:c r="Z31" s="244"/>
      <s:c r="AA31" s="244"/>
      <s:c r="AB31" s="244"/>
      <s:c r="AC31" s="244"/>
      <s:c r="AD31" s="244"/>
    </s:row>
    <s:row r="32" spans="1:255" s="234" customFormat="1">
      <s:c r="A32" s="235">
        <s:v>8</s:v>
      </s:c>
      <s:c r="B32" s="236"/>
      <s:c r="C32" s="237"/>
      <s:c r="D32" s="248"/>
      <s:c r="E32" s="238"/>
      <s:c r="F32" s="245" t="str">
        <s:f>IF(AND(E32&lt;&gt;"",E32&lt;&gt;0),D32/E32,"")</s:f>
        <s:v/>
      </s:c>
      <s:c r="G32" s="238"/>
      <s:c r="H32" s="245" t="str">
        <s:f>IF(AND(G32&lt;&gt;"",G32&lt;&gt;0),D32/G32,"")</s:f>
        <s:v/>
      </s:c>
      <s:c r="I32" s="238"/>
      <s:c r="J32" s="248" t="str">
        <s:f>IF(AND(G32&lt;&gt;"",G32&lt;&gt;0),E32/G32,"")</s:f>
        <s:v/>
      </s:c>
      <s:c r="K32" s="238"/>
      <s:c r="L32" s="238"/>
      <s:c r="M32" s="238"/>
      <s:c r="N32" s="239" t="str">
        <s:f>IF(AND(I32&lt;&gt;"",I32&lt;&gt;0),G32/I32,"")</s:f>
        <s:v/>
      </s:c>
      <s:c r="O32" s="240" t="e">
        <s:f>D32/P32</s:f>
        <s:v>#DIV/0!</s:v>
      </s:c>
      <s:c r="P32" s="241" t="e">
        <s:f>$I$8*V32*W32/SUMPRODUCT($W$25:$W$55,$V$25:$V$55)</s:f>
        <s:v>#DIV/0!</s:v>
      </s:c>
      <s:c r="Q32" s="242" t="e">
        <s:f>$I$9*V32*W32/SUMPRODUCT($W$25:$W$55,$V$25:$V$55)</s:f>
        <s:v>#DIV/0!</s:v>
      </s:c>
      <s:c r="R32" s="242" t="e">
        <s:f>IF($I$12="","",Q32/$I$12)</s:f>
        <s:v>#DIV/0!</s:v>
      </s:c>
      <s:c r="S32" s="241" t="str">
        <s:f>IF(W32&lt;&gt;"",IF(D32&lt;&gt;"",D32,($I$8-SUM($S$25:S31))*V32*W32/SUMPRODUCT($W32:$W$55,$V32:$V$55)),"")</s:f>
        <s:v/>
      </s:c>
      <s:c r="T32" s="242" t="str">
        <s:f>IF(W32&lt;&gt;"",IF(E32&lt;&gt;"",E32,($I$9-SUM($T$25:T31))*V32*W32/SUMPRODUCT($W32:$W$55,$V32:$V$55)),"")</s:f>
        <s:v/>
      </s:c>
      <s:c r="U32" s="242" t="str">
        <s:f>IF(W32&lt;&gt;"",IF($I$12&lt;&gt;"",IF(G32&lt;&gt;"",G32,($I$9/$I$12-SUM($U$25:U31))*V32*W32/SUMPRODUCT($W32:$W$55,$V32:$V$55)),""),"")</s:f>
        <s:v/>
      </s:c>
      <s:c r="V32" s="284"/>
      <s:c r="W32" s="284"/>
      <s:c r="X32" s="243"/>
      <s:c r="Y32" s="243"/>
      <s:c r="Z32" s="244"/>
      <s:c r="AA32" s="244"/>
      <s:c r="AB32" s="244"/>
      <s:c r="AC32" s="244"/>
      <s:c r="AD32" s="244"/>
    </s:row>
    <s:row r="33" spans="1:30" s="234" customFormat="1">
      <s:c r="A33" s="235">
        <s:v>9</s:v>
      </s:c>
      <s:c r="B33" s="236"/>
      <s:c r="C33" s="237"/>
      <s:c r="D33" s="232"/>
      <s:c r="E33" s="238"/>
      <s:c r="F33" s="238" t="str">
        <s:f>IF(AND(E33&lt;&gt;"",E33&lt;&gt;0),D33/E33,"")</s:f>
        <s:v/>
      </s:c>
      <s:c r="G33" s="238"/>
      <s:c r="H33" s="238" t="str">
        <s:f>IF(AND(G33&lt;&gt;"",G33&lt;&gt;0),D33/G33,"")</s:f>
        <s:v/>
      </s:c>
      <s:c r="I33" s="238"/>
      <s:c r="J33" s="232" t="str">
        <s:f>IF(AND(G33&lt;&gt;"",G33&lt;&gt;0),E33/G33,"")</s:f>
        <s:v/>
      </s:c>
      <s:c r="K33" s="238"/>
      <s:c r="L33" s="238"/>
      <s:c r="M33" s="238"/>
      <s:c r="N33" s="239" t="str">
        <s:f>IF(AND(I33&lt;&gt;"",I33&lt;&gt;0),G33/I33,"")</s:f>
        <s:v/>
      </s:c>
      <s:c r="O33" s="240" t="e">
        <s:f>D33/P33</s:f>
        <s:v>#DIV/0!</s:v>
      </s:c>
      <s:c r="P33" s="241" t="e">
        <s:f>$I$8*V33*W33/SUMPRODUCT($W$25:$W$55,$V$25:$V$55)</s:f>
        <s:v>#DIV/0!</s:v>
      </s:c>
      <s:c r="Q33" s="242" t="e">
        <s:f>$I$9*V33*W33/SUMPRODUCT($W$25:$W$55,$V$25:$V$55)</s:f>
        <s:v>#DIV/0!</s:v>
      </s:c>
      <s:c r="R33" s="242" t="e">
        <s:f>IF($I$12="","",Q33/$I$12)</s:f>
        <s:v>#DIV/0!</s:v>
      </s:c>
      <s:c r="S33" s="241" t="str">
        <s:f>IF(W33&lt;&gt;"",IF(D33&lt;&gt;"",D33,($I$8-SUM($S$25:S32))*V33*W33/SUMPRODUCT($W33:$W$55,$V33:$V$55)),"")</s:f>
        <s:v/>
      </s:c>
      <s:c r="T33" s="242" t="str">
        <s:f>IF(W33&lt;&gt;"",IF(E33&lt;&gt;"",E33,($I$9-SUM($T$25:T32))*V33*W33/SUMPRODUCT($W33:$W$55,$V33:$V$55)),"")</s:f>
        <s:v/>
      </s:c>
      <s:c r="U33" s="242" t="str">
        <s:f>IF(W33&lt;&gt;"",IF($I$12&lt;&gt;"",IF(G33&lt;&gt;"",G33,($I$9/$I$12-SUM($U$25:U32))*V33*W33/SUMPRODUCT($W33:$W$55,$V33:$V$55)),""),"")</s:f>
        <s:v/>
      </s:c>
      <s:c r="V33" s="284"/>
      <s:c r="W33" s="284"/>
      <s:c r="X33" s="243"/>
      <s:c r="Y33" s="243"/>
      <s:c r="Z33" s="244"/>
      <s:c r="AA33" s="244"/>
      <s:c r="AB33" s="244"/>
      <s:c r="AC33" s="244"/>
      <s:c r="AD33" s="244"/>
    </s:row>
    <s:row r="34" spans="1:30" s="234" customFormat="1">
      <s:c r="A34" s="235">
        <s:v>10</s:v>
      </s:c>
      <s:c r="B34" s="236"/>
      <s:c r="C34" s="273"/>
      <s:c r="D34" s="232"/>
      <s:c r="E34" s="245"/>
      <s:c r="F34" s="238" t="str">
        <s:f>IF(AND(E34&lt;&gt;"",E34&lt;&gt;0),D34/E34,"")</s:f>
        <s:v/>
      </s:c>
      <s:c r="G34" s="245"/>
      <s:c r="H34" s="238" t="str">
        <s:f>IF(AND(G34&lt;&gt;"",G34&lt;&gt;0),D34/G34,"")</s:f>
        <s:v/>
      </s:c>
      <s:c r="I34" s="245"/>
      <s:c r="J34" s="232" t="str">
        <s:f>IF(AND(G34&lt;&gt;"",G34&lt;&gt;0),E34/G34,"")</s:f>
        <s:v/>
      </s:c>
      <s:c r="K34" s="238"/>
      <s:c r="L34" s="238"/>
      <s:c r="M34" s="238"/>
      <s:c r="N34" s="239" t="str">
        <s:f>IF(AND(I34&lt;&gt;"",I34&lt;&gt;0),G34/I34,"")</s:f>
        <s:v/>
      </s:c>
      <s:c r="O34" s="240" t="e">
        <s:f>D34/P34</s:f>
        <s:v>#DIV/0!</s:v>
      </s:c>
      <s:c r="P34" s="241" t="e">
        <s:f>$I$8*V34*W34/SUMPRODUCT($W$25:$W$55,$V$25:$V$55)</s:f>
        <s:v>#DIV/0!</s:v>
      </s:c>
      <s:c r="Q34" s="242" t="e">
        <s:f>$I$9*V34*W34/SUMPRODUCT($W$25:$W$55,$V$25:$V$55)</s:f>
        <s:v>#DIV/0!</s:v>
      </s:c>
      <s:c r="R34" s="242" t="e">
        <s:f>IF($I$12="","",Q34/$I$12)</s:f>
        <s:v>#DIV/0!</s:v>
      </s:c>
      <s:c r="S34" s="241" t="str">
        <s:f>IF(W34&lt;&gt;"",IF(D34&lt;&gt;"",D34,($I$8-SUM($S$25:S33))*V34*W34/SUMPRODUCT($W34:$W$55,$V34:$V$55)),"")</s:f>
        <s:v/>
      </s:c>
      <s:c r="T34" s="242" t="str">
        <s:f>IF(W34&lt;&gt;"",IF(E34&lt;&gt;"",E34,($I$9-SUM($T$25:T33))*V34*W34/SUMPRODUCT($W34:$W$55,$V34:$V$55)),"")</s:f>
        <s:v/>
      </s:c>
      <s:c r="U34" s="242" t="str">
        <s:f>IF(W34&lt;&gt;"",IF($I$12&lt;&gt;"",IF(G34&lt;&gt;"",G34,($I$9/$I$12-SUM($U$25:U33))*V34*W34/SUMPRODUCT($W34:$W$55,$V34:$V$55)),""),"")</s:f>
        <s:v/>
      </s:c>
      <s:c r="V34" s="284"/>
      <s:c r="W34" s="284"/>
      <s:c r="X34" s="243"/>
      <s:c r="Y34" s="243"/>
      <s:c r="Z34" s="246"/>
      <s:c r="AA34" s="244"/>
      <s:c r="AB34" s="244"/>
      <s:c r="AC34" s="244"/>
      <s:c r="AD34" s="244"/>
    </s:row>
    <s:row r="35" spans="1:30" s="234" customFormat="1">
      <s:c r="A35" s="235">
        <s:v>11</s:v>
      </s:c>
      <s:c r="B35" s="236"/>
      <s:c r="C35" s="237"/>
      <s:c r="D35" s="248"/>
      <s:c r="E35" s="238"/>
      <s:c r="F35" s="245" t="str">
        <s:f>IF(AND(E35&lt;&gt;"",E35&lt;&gt;0),D35/E35,"")</s:f>
        <s:v/>
      </s:c>
      <s:c r="G35" s="238"/>
      <s:c r="H35" s="245" t="str">
        <s:f>IF(AND(G35&lt;&gt;"",G35&lt;&gt;0),D35/G35,"")</s:f>
        <s:v/>
      </s:c>
      <s:c r="I35" s="238"/>
      <s:c r="J35" s="248" t="str">
        <s:f>IF(AND(G35&lt;&gt;"",G35&lt;&gt;0),E35/G35,"")</s:f>
        <s:v/>
      </s:c>
      <s:c r="K35" s="238"/>
      <s:c r="L35" s="238"/>
      <s:c r="M35" s="238"/>
      <s:c r="N35" s="239" t="str">
        <s:f>IF(AND(I35&lt;&gt;"",I35&lt;&gt;0),G35/I35,"")</s:f>
        <s:v/>
      </s:c>
      <s:c r="O35" s="240" t="e">
        <s:f>D35/P35</s:f>
        <s:v>#DIV/0!</s:v>
      </s:c>
      <s:c r="P35" s="241" t="e">
        <s:f>$I$8*V35*W35/SUMPRODUCT($W$25:$W$55,$V$25:$V$55)</s:f>
        <s:v>#DIV/0!</s:v>
      </s:c>
      <s:c r="Q35" s="242" t="e">
        <s:f>$I$9*V35*W35/SUMPRODUCT($W$25:$W$55,$V$25:$V$55)</s:f>
        <s:v>#DIV/0!</s:v>
      </s:c>
      <s:c r="R35" s="242" t="e">
        <s:f>IF($I$12="","",Q35/$I$12)</s:f>
        <s:v>#DIV/0!</s:v>
      </s:c>
      <s:c r="S35" s="241" t="str">
        <s:f>IF(W35&lt;&gt;"",IF(D35&lt;&gt;"",D35,($I$8-SUM($S$25:S34))*V35*W35/SUMPRODUCT($W35:$W$55,$V35:$V$55)),"")</s:f>
        <s:v/>
      </s:c>
      <s:c r="T35" s="242" t="str">
        <s:f>IF(W35&lt;&gt;"",IF(E35&lt;&gt;"",E35,($I$9-SUM($T$25:T34))*V35*W35/SUMPRODUCT($W35:$W$55,$V35:$V$55)),"")</s:f>
        <s:v/>
      </s:c>
      <s:c r="U35" s="242" t="str">
        <s:f>IF(W35&lt;&gt;"",IF($I$12&lt;&gt;"",IF(G35&lt;&gt;"",G35,($I$9/$I$12-SUM($U$25:U34))*V35*W35/SUMPRODUCT($W35:$W$55,$V35:$V$55)),""),"")</s:f>
        <s:v/>
      </s:c>
      <s:c r="V35" s="284"/>
      <s:c r="W35" s="284"/>
      <s:c r="X35" s="243"/>
      <s:c r="Y35" s="243"/>
      <s:c r="Z35" s="246"/>
      <s:c r="AA35" s="244"/>
      <s:c r="AB35" s="244"/>
      <s:c r="AC35" s="244"/>
      <s:c r="AD35" s="244"/>
    </s:row>
    <s:row r="36" spans="1:30" s="234" customFormat="1">
      <s:c r="A36" s="235">
        <s:v>12</s:v>
      </s:c>
      <s:c r="B36" s="236"/>
      <s:c r="C36" s="273"/>
      <s:c r="D36" s="232"/>
      <s:c r="E36" s="245"/>
      <s:c r="F36" s="238" t="str">
        <s:f>IF(AND(E36&lt;&gt;"",E36&lt;&gt;0),D36/E36,"")</s:f>
        <s:v/>
      </s:c>
      <s:c r="G36" s="238"/>
      <s:c r="H36" s="238" t="str">
        <s:f>IF(AND(G36&lt;&gt;"",G36&lt;&gt;0),D36/G36,"")</s:f>
        <s:v/>
      </s:c>
      <s:c r="I36" s="245"/>
      <s:c r="J36" s="232" t="str">
        <s:f>IF(AND(G36&lt;&gt;"",G36&lt;&gt;0),E36/G36,"")</s:f>
        <s:v/>
      </s:c>
      <s:c r="K36" s="238"/>
      <s:c r="L36" s="238"/>
      <s:c r="M36" s="238"/>
      <s:c r="N36" s="239" t="str">
        <s:f>IF(AND(I36&lt;&gt;"",I36&lt;&gt;0),G36/I36,"")</s:f>
        <s:v/>
      </s:c>
      <s:c r="O36" s="240" t="e">
        <s:f>D36/P36</s:f>
        <s:v>#DIV/0!</s:v>
      </s:c>
      <s:c r="P36" s="241" t="e">
        <s:f>$I$8*V36*W36/SUMPRODUCT($W$25:$W$55,$V$25:$V$55)</s:f>
        <s:v>#DIV/0!</s:v>
      </s:c>
      <s:c r="Q36" s="242" t="e">
        <s:f>$I$9*V36*W36/SUMPRODUCT($W$25:$W$55,$V$25:$V$55)</s:f>
        <s:v>#DIV/0!</s:v>
      </s:c>
      <s:c r="R36" s="242" t="e">
        <s:f>IF($I$12="","",Q36/$I$12)</s:f>
        <s:v>#DIV/0!</s:v>
      </s:c>
      <s:c r="S36" s="241" t="str">
        <s:f>IF(W36&lt;&gt;"",IF(D36&lt;&gt;"",D36,($I$8-SUM($S$25:S35))*V36*W36/SUMPRODUCT($W36:$W$55,$V36:$V$55)),"")</s:f>
        <s:v/>
      </s:c>
      <s:c r="T36" s="242" t="str">
        <s:f>IF(W36&lt;&gt;"",IF(E36&lt;&gt;"",E36,($I$9-SUM($T$25:T35))*V36*W36/SUMPRODUCT($W36:$W$55,$V36:$V$55)),"")</s:f>
        <s:v/>
      </s:c>
      <s:c r="U36" s="242" t="str">
        <s:f>IF(W36&lt;&gt;"",IF($I$12&lt;&gt;"",IF(G36&lt;&gt;"",G36,($I$9/$I$12-SUM($U$25:U35))*V36*W36/SUMPRODUCT($W36:$W$55,$V36:$V$55)),""),"")</s:f>
        <s:v/>
      </s:c>
      <s:c r="V36" s="284"/>
      <s:c r="W36" s="284"/>
      <s:c r="X36" s="243"/>
      <s:c r="Y36" s="243"/>
      <s:c r="Z36" s="246"/>
      <s:c r="AA36" s="244"/>
      <s:c r="AB36" s="244"/>
      <s:c r="AC36" s="244"/>
      <s:c r="AD36" s="244"/>
    </s:row>
    <s:row r="37" spans="1:30" s="234" customFormat="1">
      <s:c r="A37" s="235">
        <s:v>13</s:v>
      </s:c>
      <s:c r="B37" s="236"/>
      <s:c r="C37" s="237"/>
      <s:c r="D37" s="248"/>
      <s:c r="E37" s="238"/>
      <s:c r="F37" s="238" t="str">
        <s:f>IF(AND(E37&lt;&gt;"",E37&lt;&gt;0),D37/E37,"")</s:f>
        <s:v/>
      </s:c>
      <s:c r="G37" s="238"/>
      <s:c r="H37" s="245" t="str">
        <s:f>IF(AND(G37&lt;&gt;"",G37&lt;&gt;0),D37/G37,"")</s:f>
        <s:v/>
      </s:c>
      <s:c r="I37" s="238"/>
      <s:c r="J37" s="248" t="str">
        <s:f>IF(AND(G37&lt;&gt;"",G37&lt;&gt;0),E37/G37,"")</s:f>
        <s:v/>
      </s:c>
      <s:c r="K37" s="238"/>
      <s:c r="L37" s="238"/>
      <s:c r="M37" s="238"/>
      <s:c r="N37" s="239" t="str">
        <s:f>IF(AND(I37&lt;&gt;"",I37&lt;&gt;0),G37/I37,"")</s:f>
        <s:v/>
      </s:c>
      <s:c r="O37" s="240" t="e">
        <s:f>D37/P37</s:f>
        <s:v>#DIV/0!</s:v>
      </s:c>
      <s:c r="P37" s="241" t="e">
        <s:f>$I$8*V37*W37/SUMPRODUCT($W$25:$W$55,$V$25:$V$55)</s:f>
        <s:v>#DIV/0!</s:v>
      </s:c>
      <s:c r="Q37" s="242" t="e">
        <s:f>$I$9*V37*W37/SUMPRODUCT($W$25:$W$55,$V$25:$V$55)</s:f>
        <s:v>#DIV/0!</s:v>
      </s:c>
      <s:c r="R37" s="242" t="e">
        <s:f>IF($I$12="","",Q37/$I$12)</s:f>
        <s:v>#DIV/0!</s:v>
      </s:c>
      <s:c r="S37" s="241" t="str">
        <s:f>IF(W37&lt;&gt;"",IF(D37&lt;&gt;"",D37,($I$8-SUM($S$25:S36))*V37*W37/SUMPRODUCT($W37:$W$55,$V37:$V$55)),"")</s:f>
        <s:v/>
      </s:c>
      <s:c r="T37" s="242" t="str">
        <s:f>IF(W37&lt;&gt;"",IF(E37&lt;&gt;"",E37,($I$9-SUM($T$25:T36))*V37*W37/SUMPRODUCT($W37:$W$55,$V37:$V$55)),"")</s:f>
        <s:v/>
      </s:c>
      <s:c r="U37" s="242" t="str">
        <s:f>IF(W37&lt;&gt;"",IF($I$12&lt;&gt;"",IF(G37&lt;&gt;"",G37,($I$9/$I$12-SUM($U$25:U36))*V37*W37/SUMPRODUCT($W37:$W$55,$V37:$V$55)),""),"")</s:f>
        <s:v/>
      </s:c>
      <s:c r="V37" s="284"/>
      <s:c r="W37" s="284"/>
      <s:c r="X37" s="243"/>
      <s:c r="Y37" s="243"/>
      <s:c r="Z37" s="246"/>
      <s:c r="AA37" s="244"/>
      <s:c r="AB37" s="244"/>
      <s:c r="AC37" s="244"/>
      <s:c r="AD37" s="244"/>
    </s:row>
    <s:row r="38" spans="1:30" s="234" customFormat="1">
      <s:c r="A38" s="235">
        <s:v>14</s:v>
      </s:c>
      <s:c r="B38" s="236"/>
      <s:c r="C38" s="273"/>
      <s:c r="D38" s="232"/>
      <s:c r="E38" s="245"/>
      <s:c r="F38" s="238" t="str">
        <s:f>IF(AND(E38&lt;&gt;"",E38&lt;&gt;0),D38/E38,"")</s:f>
        <s:v/>
      </s:c>
      <s:c r="G38" s="245"/>
      <s:c r="H38" s="238" t="str">
        <s:f>IF(AND(G38&lt;&gt;"",G38&lt;&gt;0),D38/G38,"")</s:f>
        <s:v/>
      </s:c>
      <s:c r="I38" s="245"/>
      <s:c r="J38" s="232" t="str">
        <s:f>IF(AND(G38&lt;&gt;"",G38&lt;&gt;0),E38/G38,"")</s:f>
        <s:v/>
      </s:c>
      <s:c r="K38" s="245"/>
      <s:c r="L38" s="238"/>
      <s:c r="M38" s="245"/>
      <s:c r="N38" s="239" t="str">
        <s:f>IF(AND(I38&lt;&gt;"",I38&lt;&gt;0),G38/I38,"")</s:f>
        <s:v/>
      </s:c>
      <s:c r="O38" s="274" t="e">
        <s:f>D38/P38</s:f>
        <s:v>#DIV/0!</s:v>
      </s:c>
      <s:c r="P38" s="241" t="e">
        <s:f>$I$8*V38*W38/SUMPRODUCT($W$25:$W$55,$V$25:$V$55)</s:f>
        <s:v>#DIV/0!</s:v>
      </s:c>
      <s:c r="Q38" s="275" t="e">
        <s:f>$I$9*V38*W38/SUMPRODUCT($W$25:$W$55,$V$25:$V$55)</s:f>
        <s:v>#DIV/0!</s:v>
      </s:c>
      <s:c r="R38" s="242" t="e">
        <s:f>IF($I$12="","",Q38/$I$12)</s:f>
        <s:v>#DIV/0!</s:v>
      </s:c>
      <s:c r="S38" s="276" t="str">
        <s:f>IF(W38&lt;&gt;"",IF(D38&lt;&gt;"",D38,($I$8-SUM($S$25:S37))*V38*W38/SUMPRODUCT($W38:$W$55,$V38:$V$55)),"")</s:f>
        <s:v/>
      </s:c>
      <s:c r="T38" s="242" t="str">
        <s:f>IF(W38&lt;&gt;"",IF(E38&lt;&gt;"",E38,($I$9-SUM($T$25:T37))*V38*W38/SUMPRODUCT($W38:$W$55,$V38:$V$55)),"")</s:f>
        <s:v/>
      </s:c>
      <s:c r="U38" s="275" t="str">
        <s:f>IF(W38&lt;&gt;"",IF($I$12&lt;&gt;"",IF(G38&lt;&gt;"",G38,($I$9/$I$12-SUM($U$25:U37))*V38*W38/SUMPRODUCT($W38:$W$55,$V38:$V$55)),""),"")</s:f>
        <s:v/>
      </s:c>
      <s:c r="V38" s="284"/>
      <s:c r="W38" s="284"/>
      <s:c r="X38" s="243"/>
      <s:c r="Y38" s="243"/>
      <s:c r="Z38" s="246"/>
      <s:c r="AA38" s="244"/>
      <s:c r="AB38" s="244"/>
      <s:c r="AC38" s="244"/>
      <s:c r="AD38" s="244"/>
    </s:row>
    <s:row r="39" spans="1:30" s="234" customFormat="1">
      <s:c r="A39" s="235">
        <s:v>15</s:v>
      </s:c>
      <s:c r="B39" s="236"/>
      <s:c r="C39" s="237"/>
      <s:c r="D39" s="248"/>
      <s:c r="E39" s="238"/>
      <s:c r="F39" s="245" t="str">
        <s:f>IF(AND(E39&lt;&gt;"",E39&lt;&gt;0),D39/E39,"")</s:f>
        <s:v/>
      </s:c>
      <s:c r="G39" s="238"/>
      <s:c r="H39" s="245" t="str">
        <s:f>IF(AND(G39&lt;&gt;"",G39&lt;&gt;0),D39/G39,"")</s:f>
        <s:v/>
      </s:c>
      <s:c r="I39" s="238"/>
      <s:c r="J39" s="248" t="str">
        <s:f>IF(AND(G39&lt;&gt;"",G39&lt;&gt;0),E39/G39,"")</s:f>
        <s:v/>
      </s:c>
      <s:c r="K39" s="238"/>
      <s:c r="L39" s="238"/>
      <s:c r="M39" s="238"/>
      <s:c r="N39" s="239" t="str">
        <s:f>IF(AND(I39&lt;&gt;"",I39&lt;&gt;0),G39/I39,"")</s:f>
        <s:v/>
      </s:c>
      <s:c r="O39" s="240" t="e">
        <s:f>D39/P39</s:f>
        <s:v>#DIV/0!</s:v>
      </s:c>
      <s:c r="P39" s="241" t="e">
        <s:f>$I$8*V39*W39/SUMPRODUCT($W$25:$W$55,$V$25:$V$55)</s:f>
        <s:v>#DIV/0!</s:v>
      </s:c>
      <s:c r="Q39" s="242" t="e">
        <s:f>$I$9*V39*W39/SUMPRODUCT($W$25:$W$55,$V$25:$V$55)</s:f>
        <s:v>#DIV/0!</s:v>
      </s:c>
      <s:c r="R39" s="242" t="e">
        <s:f>IF($I$12="","",Q39/$I$12)</s:f>
        <s:v>#DIV/0!</s:v>
      </s:c>
      <s:c r="S39" s="241" t="str">
        <s:f>IF(W39&lt;&gt;"",IF(D39&lt;&gt;"",D39,($I$8-SUM($S$25:S38))*V39*W39/SUMPRODUCT($W39:$W$55,$V39:$V$55)),"")</s:f>
        <s:v/>
      </s:c>
      <s:c r="T39" s="242" t="str">
        <s:f>IF(W39&lt;&gt;"",IF(E39&lt;&gt;"",E39,($I$9-SUM($T$25:T38))*V39*W39/SUMPRODUCT($W39:$W$55,$V39:$V$55)),"")</s:f>
        <s:v/>
      </s:c>
      <s:c r="U39" s="242" t="str">
        <s:f>IF(W39&lt;&gt;"",IF($I$12&lt;&gt;"",IF(G39&lt;&gt;"",G39,($I$9/$I$12-SUM($U$25:U38))*V39*W39/SUMPRODUCT($W39:$W$55,$V39:$V$55)),""),"")</s:f>
        <s:v/>
      </s:c>
      <s:c r="V39" s="284"/>
      <s:c r="W39" s="284"/>
      <s:c r="X39" s="243"/>
      <s:c r="Y39" s="243"/>
      <s:c r="Z39" s="246"/>
      <s:c r="AA39" s="244"/>
      <s:c r="AB39" s="244"/>
      <s:c r="AC39" s="244"/>
      <s:c r="AD39" s="244"/>
    </s:row>
    <s:row r="40" spans="1:30" s="234" customFormat="1" ht="15" customHeight="1">
      <s:c r="A40" s="235">
        <s:v>16</s:v>
      </s:c>
      <s:c r="B40" s="236"/>
      <s:c r="C40" s="273"/>
      <s:c r="D40" s="232"/>
      <s:c r="E40" s="245"/>
      <s:c r="F40" s="238" t="str">
        <s:f>IF(AND(E40&lt;&gt;"",E40&lt;&gt;0),D40/E40,"")</s:f>
        <s:v/>
      </s:c>
      <s:c r="G40" s="245"/>
      <s:c r="H40" s="238" t="str">
        <s:f>IF(AND(G40&lt;&gt;"",G40&lt;&gt;0),D40/G40,"")</s:f>
        <s:v/>
      </s:c>
      <s:c r="I40" s="245"/>
      <s:c r="J40" s="232" t="str">
        <s:f>IF(AND(G40&lt;&gt;"",G40&lt;&gt;0),E40/G40,"")</s:f>
        <s:v/>
      </s:c>
      <s:c r="K40" s="238"/>
      <s:c r="L40" s="238"/>
      <s:c r="M40" s="238"/>
      <s:c r="N40" s="239" t="str">
        <s:f>IF(AND(I40&lt;&gt;"",I40&lt;&gt;0),G40/I40,"")</s:f>
        <s:v/>
      </s:c>
      <s:c r="O40" s="240" t="e">
        <s:f>D40/P40</s:f>
        <s:v>#DIV/0!</s:v>
      </s:c>
      <s:c r="P40" s="241" t="e">
        <s:f>$I$8*V40*W40/SUMPRODUCT($W$25:$W$55,$V$25:$V$55)</s:f>
        <s:v>#DIV/0!</s:v>
      </s:c>
      <s:c r="Q40" s="242" t="e">
        <s:f>$I$9*V40*W40/SUMPRODUCT($W$25:$W$55,$V$25:$V$55)</s:f>
        <s:v>#DIV/0!</s:v>
      </s:c>
      <s:c r="R40" s="242" t="e">
        <s:f>IF($I$12="","",Q40/$I$12)</s:f>
        <s:v>#DIV/0!</s:v>
      </s:c>
      <s:c r="S40" s="241" t="str">
        <s:f>IF(W40&lt;&gt;"",IF(D40&lt;&gt;"",D40,($I$8-SUM($S$25:S39))*V40*W40/SUMPRODUCT($W40:$W$55,$V40:$V$55)),"")</s:f>
        <s:v/>
      </s:c>
      <s:c r="T40" s="242" t="str">
        <s:f>IF(W40&lt;&gt;"",IF(E40&lt;&gt;"",E40,($I$9-SUM($T$25:T39))*V40*W40/SUMPRODUCT($W40:$W$55,$V40:$V$55)),"")</s:f>
        <s:v/>
      </s:c>
      <s:c r="U40" s="242" t="str">
        <s:f>IF(W40&lt;&gt;"",IF($I$12&lt;&gt;"",IF(G40&lt;&gt;"",G40,($I$9/$I$12-SUM($U$25:U39))*V40*W40/SUMPRODUCT($W40:$W$55,$V40:$V$55)),""),"")</s:f>
        <s:v/>
      </s:c>
      <s:c r="V40" s="284"/>
      <s:c r="W40" s="284"/>
      <s:c r="X40" s="243"/>
      <s:c r="Y40" s="243"/>
      <s:c r="Z40" s="246"/>
      <s:c r="AA40" s="244"/>
      <s:c r="AB40" s="244"/>
      <s:c r="AC40" s="244"/>
      <s:c r="AD40" s="244"/>
    </s:row>
    <s:row r="41" spans="1:30" s="234" customFormat="1">
      <s:c r="A41" s="235">
        <s:v>17</s:v>
      </s:c>
      <s:c r="B41" s="236"/>
      <s:c r="C41" s="237"/>
      <s:c r="D41" s="248"/>
      <s:c r="E41" s="238"/>
      <s:c r="F41" s="245" t="str">
        <s:f>IF(AND(E41&lt;&gt;"",E41&lt;&gt;0),D41/E41,"")</s:f>
        <s:v/>
      </s:c>
      <s:c r="G41" s="238"/>
      <s:c r="H41" s="245" t="str">
        <s:f>IF(AND(G41&lt;&gt;"",G41&lt;&gt;0),D41/G41,"")</s:f>
        <s:v/>
      </s:c>
      <s:c r="I41" s="238"/>
      <s:c r="J41" s="248" t="str">
        <s:f>IF(AND(G41&lt;&gt;"",G41&lt;&gt;0),E41/G41,"")</s:f>
        <s:v/>
      </s:c>
      <s:c r="K41" s="238"/>
      <s:c r="L41" s="238"/>
      <s:c r="M41" s="238"/>
      <s:c r="N41" s="277" t="str">
        <s:f>IF(AND(I41&lt;&gt;"",I41&lt;&gt;0),G41/I41,"")</s:f>
        <s:v/>
      </s:c>
      <s:c r="O41" s="240" t="e">
        <s:f>D41/P41</s:f>
        <s:v>#DIV/0!</s:v>
      </s:c>
      <s:c r="P41" s="241" t="e">
        <s:f>$I$8*V41*W41/SUMPRODUCT($W$25:$W$55,$V$25:$V$55)</s:f>
        <s:v>#DIV/0!</s:v>
      </s:c>
      <s:c r="Q41" s="242" t="e">
        <s:f>$I$9*V41*W41/SUMPRODUCT($W$25:$W$55,$V$25:$V$55)</s:f>
        <s:v>#DIV/0!</s:v>
      </s:c>
      <s:c r="R41" s="242" t="e">
        <s:f>IF($I$12="","",Q41/$I$12)</s:f>
        <s:v>#DIV/0!</s:v>
      </s:c>
      <s:c r="S41" s="241" t="str">
        <s:f>IF(W41&lt;&gt;"",IF(D41&lt;&gt;"",D41,($I$8-SUM($S$25:S40))*V41*W41/SUMPRODUCT($W41:$W$55,$V41:$V$55)),"")</s:f>
        <s:v/>
      </s:c>
      <s:c r="T41" s="242" t="str">
        <s:f>IF(W41&lt;&gt;"",IF(E41&lt;&gt;"",E41,($I$9-SUM($T$25:T40))*V41*W41/SUMPRODUCT($W41:$W$55,$V41:$V$55)),"")</s:f>
        <s:v/>
      </s:c>
      <s:c r="U41" s="242" t="str">
        <s:f>IF(W41&lt;&gt;"",IF($I$12&lt;&gt;"",IF(G41&lt;&gt;"",G41,($I$9/$I$12-SUM($U$25:U40))*V41*W41/SUMPRODUCT($W41:$W$55,$V41:$V$55)),""),"")</s:f>
        <s:v/>
      </s:c>
      <s:c r="V41" s="284"/>
      <s:c r="W41" s="284"/>
      <s:c r="X41" s="243"/>
      <s:c r="Y41" s="243"/>
      <s:c r="Z41" s="246"/>
      <s:c r="AA41" s="244"/>
      <s:c r="AB41" s="244"/>
      <s:c r="AC41" s="244"/>
      <s:c r="AD41" s="244"/>
    </s:row>
    <s:row r="42" spans="1:30" s="234" customFormat="1">
      <s:c r="A42" s="235">
        <s:v>18</s:v>
      </s:c>
      <s:c r="B42" s="236"/>
      <s:c r="C42" s="273"/>
      <s:c r="D42" s="232"/>
      <s:c r="E42" s="245"/>
      <s:c r="F42" s="238" t="str">
        <s:f>IF(AND(E42&lt;&gt;"",E42&lt;&gt;0),D42/E42,"")</s:f>
        <s:v/>
      </s:c>
      <s:c r="G42" s="245"/>
      <s:c r="H42" s="238" t="str">
        <s:f>IF(AND(G42&lt;&gt;"",G42&lt;&gt;0),D42/G42,"")</s:f>
        <s:v/>
      </s:c>
      <s:c r="I42" s="245"/>
      <s:c r="J42" s="232" t="str">
        <s:f>IF(AND(G42&lt;&gt;"",G42&lt;&gt;0),E42/G42,"")</s:f>
        <s:v/>
      </s:c>
      <s:c r="K42" s="238"/>
      <s:c r="L42" s="238"/>
      <s:c r="M42" s="238"/>
      <s:c r="N42" s="277" t="str">
        <s:f>IF(AND(I42&lt;&gt;"",I42&lt;&gt;0),G42/I42,"")</s:f>
        <s:v/>
      </s:c>
      <s:c r="O42" s="240" t="e">
        <s:f>D42/P42</s:f>
        <s:v>#DIV/0!</s:v>
      </s:c>
      <s:c r="P42" s="241" t="e">
        <s:f>$I$8*V42*W42/SUMPRODUCT($W$25:$W$55,$V$25:$V$55)</s:f>
        <s:v>#DIV/0!</s:v>
      </s:c>
      <s:c r="Q42" s="242" t="e">
        <s:f>$I$9*V42*W42/SUMPRODUCT($W$25:$W$55,$V$25:$V$55)</s:f>
        <s:v>#DIV/0!</s:v>
      </s:c>
      <s:c r="R42" s="242" t="e">
        <s:f>IF($I$12="","",Q42/$I$12)</s:f>
        <s:v>#DIV/0!</s:v>
      </s:c>
      <s:c r="S42" s="241" t="str">
        <s:f>IF(W42&lt;&gt;"",IF(D42&lt;&gt;"",D42,($I$8-SUM($S$25:S41))*V42*W42/SUMPRODUCT($W42:$W$55,$V42:$V$55)),"")</s:f>
        <s:v/>
      </s:c>
      <s:c r="T42" s="242" t="str">
        <s:f>IF(W42&lt;&gt;"",IF(E42&lt;&gt;"",E42,($I$9-SUM($T$25:T41))*V42*W42/SUMPRODUCT($W42:$W$55,$V42:$V$55)),"")</s:f>
        <s:v/>
      </s:c>
      <s:c r="U42" s="242" t="str">
        <s:f>IF(W42&lt;&gt;"",IF($I$12&lt;&gt;"",IF(G42&lt;&gt;"",G42,($I$9/$I$12-SUM($U$25:U41))*V42*W42/SUMPRODUCT($W42:$W$55,$V42:$V$55)),""),"")</s:f>
        <s:v/>
      </s:c>
      <s:c r="V42" s="284"/>
      <s:c r="W42" s="284"/>
      <s:c r="X42" s="243"/>
      <s:c r="Y42" s="243"/>
      <s:c r="Z42" s="246"/>
      <s:c r="AA42" s="244"/>
      <s:c r="AB42" s="244"/>
      <s:c r="AC42" s="244"/>
      <s:c r="AD42" s="244"/>
    </s:row>
    <s:row r="43" spans="1:30" s="234" customFormat="1" ht="15" customHeight="1">
      <s:c r="A43" s="235"/>
      <s:c r="B43" s="236"/>
      <s:c r="C43" s="237"/>
      <s:c r="D43" s="232"/>
      <s:c r="E43" s="238"/>
      <s:c r="F43" s="238" t="str">
        <s:f>IF(AND(E43&lt;&gt;"",E43&lt;&gt;0),D43/E43,"")</s:f>
        <s:v/>
      </s:c>
      <s:c r="G43" s="238"/>
      <s:c r="H43" s="238" t="str">
        <s:f>IF(AND(G43&lt;&gt;"",G43&lt;&gt;0),D43/G43,"")</s:f>
        <s:v/>
      </s:c>
      <s:c r="I43" s="238"/>
      <s:c r="J43" s="232" t="str">
        <s:f>IF(AND(G43&lt;&gt;"",G43&lt;&gt;0),E43/G43,"")</s:f>
        <s:v/>
      </s:c>
      <s:c r="K43" s="238"/>
      <s:c r="L43" s="238"/>
      <s:c r="M43" s="238"/>
      <s:c r="N43" s="277" t="str">
        <s:f>IF(AND(I43&lt;&gt;"",I43&lt;&gt;0),G43/I43,"")</s:f>
        <s:v/>
      </s:c>
      <s:c r="O43" s="240" t="e">
        <s:f>D43/P43</s:f>
        <s:v>#DIV/0!</s:v>
      </s:c>
      <s:c r="P43" s="241" t="e">
        <s:f>$I$8*V43*W43/SUMPRODUCT($W$25:$W$55,$V$25:$V$55)</s:f>
        <s:v>#DIV/0!</s:v>
      </s:c>
      <s:c r="Q43" s="242" t="e">
        <s:f>$I$9*V43*W43/SUMPRODUCT($W$25:$W$55,$V$25:$V$55)</s:f>
        <s:v>#DIV/0!</s:v>
      </s:c>
      <s:c r="R43" s="242" t="e">
        <s:f>IF($I$12="","",Q43/$I$12)</s:f>
        <s:v>#DIV/0!</s:v>
      </s:c>
      <s:c r="S43" s="241" t="str">
        <s:f>IF(W43&lt;&gt;"",IF(D43&lt;&gt;"",D43,($I$8-SUM($S$25:S42))*V43*W43/SUMPRODUCT($W43:$W$55,$V43:$V$55)),"")</s:f>
        <s:v/>
      </s:c>
      <s:c r="T43" s="242" t="str">
        <s:f>IF(W43&lt;&gt;"",IF(E43&lt;&gt;"",E43,($I$9-SUM($T$25:T42))*V43*W43/SUMPRODUCT($W43:$W$55,$V43:$V$55)),"")</s:f>
        <s:v/>
      </s:c>
      <s:c r="U43" s="242" t="str">
        <s:f>IF(W43&lt;&gt;"",IF($I$12&lt;&gt;"",IF(G43&lt;&gt;"",G43,($I$9/$I$12-SUM($U$25:U42))*V43*W43/SUMPRODUCT($W43:$W$55,$V43:$V$55)),""),"")</s:f>
        <s:v/>
      </s:c>
      <s:c r="V43" s="284"/>
      <s:c r="W43" s="284"/>
      <s:c r="X43" s="243"/>
      <s:c r="Y43" s="243"/>
      <s:c r="Z43" s="246"/>
      <s:c r="AA43" s="244"/>
      <s:c r="AB43" s="244"/>
      <s:c r="AC43" s="244"/>
      <s:c r="AD43" s="244"/>
    </s:row>
    <s:row r="44" spans="1:30" s="234" customFormat="1" ht="15" customHeight="1">
      <s:c r="A44" s="235"/>
      <s:c r="B44" s="236"/>
      <s:c r="C44" s="237"/>
      <s:c r="D44" s="232"/>
      <s:c r="E44" s="238"/>
      <s:c r="F44" s="238" t="str">
        <s:f>IF(AND(E44&lt;&gt;"",E44&lt;&gt;0),D44/E44,"")</s:f>
        <s:v/>
      </s:c>
      <s:c r="G44" s="238"/>
      <s:c r="H44" s="238" t="str">
        <s:f>IF(AND(G44&lt;&gt;"",G44&lt;&gt;0),D44/G44,"")</s:f>
        <s:v/>
      </s:c>
      <s:c r="I44" s="238"/>
      <s:c r="J44" s="232" t="str">
        <s:f>IF(AND(G44&lt;&gt;"",G44&lt;&gt;0),E44/G44,"")</s:f>
        <s:v/>
      </s:c>
      <s:c r="K44" s="238"/>
      <s:c r="L44" s="238"/>
      <s:c r="M44" s="238"/>
      <s:c r="N44" s="277" t="str">
        <s:f>IF(AND(I44&lt;&gt;"",I44&lt;&gt;0),G44/I44,"")</s:f>
        <s:v/>
      </s:c>
      <s:c r="O44" s="240" t="e">
        <s:f>D44/P44</s:f>
        <s:v>#DIV/0!</s:v>
      </s:c>
      <s:c r="P44" s="241" t="e">
        <s:f>$I$8*V44*W44/SUMPRODUCT($W$25:$W$55,$V$25:$V$55)</s:f>
        <s:v>#DIV/0!</s:v>
      </s:c>
      <s:c r="Q44" s="242" t="e">
        <s:f>$I$9*V44*W44/SUMPRODUCT($W$25:$W$55,$V$25:$V$55)</s:f>
        <s:v>#DIV/0!</s:v>
      </s:c>
      <s:c r="R44" s="242" t="e">
        <s:f>IF($I$12="","",Q44/$I$12)</s:f>
        <s:v>#DIV/0!</s:v>
      </s:c>
      <s:c r="S44" s="241" t="str">
        <s:f>IF(W44&lt;&gt;"",IF(D44&lt;&gt;"",D44,($I$8-SUM($S$25:S43))*V44*W44/SUMPRODUCT($W44:$W$55,$V44:$V$55)),"")</s:f>
        <s:v/>
      </s:c>
      <s:c r="T44" s="242">
        <s:f>IF(W44&lt;&gt;"",IF(E44&lt;&gt;"",E44,($I$9-SUM($T$25:T43))*V44*W44/SUMPRODUCT($W44:$W$55,$V44:$V$55)),0)</s:f>
        <s:v>0</s:v>
      </s:c>
      <s:c r="U44" s="242" t="str">
        <s:f>IF(W44&lt;&gt;"",IF($I$12&lt;&gt;"",IF(G44&lt;&gt;"",G44,($I$9/$I$12-SUM($U$25:U43))*V44*W44/SUMPRODUCT($W44:$W$55,$V44:$V$55)),""),"")</s:f>
        <s:v/>
      </s:c>
      <s:c r="V44" s="284"/>
      <s:c r="W44" s="284"/>
      <s:c r="X44" s="243"/>
      <s:c r="Y44" s="243"/>
      <s:c r="Z44" s="244"/>
      <s:c r="AA44" s="244"/>
      <s:c r="AB44" s="244"/>
      <s:c r="AC44" s="244"/>
      <s:c r="AD44" s="244"/>
    </s:row>
    <s:row r="45" spans="1:30" customFormat="1">
      <s:c r="A45" s="278"/>
      <s:c r="B45" s="96"/>
      <s:c r="C45" s="231"/>
      <s:c r="D45" s="98"/>
      <s:c r="E45" s="99"/>
      <s:c r="F45" s="99" t="str">
        <s:f>IF(AND(E45&lt;&gt;"",E45&lt;&gt;0),D45/E45,"")</s:f>
        <s:v/>
      </s:c>
      <s:c r="G45" s="99"/>
      <s:c r="H45" s="99" t="str">
        <s:f>IF(AND(G45&lt;&gt;"",G45&lt;&gt;0),D45/G45,"")</s:f>
        <s:v/>
      </s:c>
      <s:c r="I45" s="99"/>
      <s:c r="J45" s="98" t="str">
        <s:f>IF(AND(G45&lt;&gt;"",G45&lt;&gt;0),E45/G45,"")</s:f>
        <s:v/>
      </s:c>
      <s:c r="K45" s="99"/>
      <s:c r="L45" s="99"/>
      <s:c r="M45" s="99"/>
      <s:c r="N45" s="279" t="str">
        <s:f>IF(AND(I45&lt;&gt;"",I45&lt;&gt;0),G45/I45,"")</s:f>
        <s:v/>
      </s:c>
      <s:c r="O45" s="101" t="e">
        <s:f>D45/P45</s:f>
        <s:v>#DIV/0!</s:v>
      </s:c>
      <s:c r="P45" s="102" t="e">
        <s:f>$I$8*V45*W45/SUMPRODUCT($W$25:$W$44,$V$25:$V$44)</s:f>
        <s:v>#DIV/0!</s:v>
      </s:c>
      <s:c r="Q45" s="103" t="e">
        <s:f>$I$9*V45*W45/SUMPRODUCT($W$25:$W$44,$V$25:$V$44)</s:f>
        <s:v>#DIV/0!</s:v>
      </s:c>
      <s:c r="R45" s="103" t="e">
        <s:f>IF($I$12="","",Q45/$I$12)</s:f>
        <s:v>#DIV/0!</s:v>
      </s:c>
      <s:c r="S45" s="102" t="str">
        <s:f>IF(W45&lt;&gt;"",IF(D45&lt;&gt;"",D45,($I$8-SUM($S$25:S44))*V45*W45/SUMPRODUCT($W$44:$W45,$V$44:$V45)),"")</s:f>
        <s:v/>
      </s:c>
      <s:c r="T45" s="103" t="str">
        <s:f>IF(W45&lt;&gt;"",IF(E45&lt;&gt;"",E45,($I$9-SUM($T$25:T44))*V45*W45/SUMPRODUCT($W$44:$W45,$V$44:$V45)),"")</s:f>
        <s:v/>
      </s:c>
      <s:c r="U45" s="103" t="str">
        <s:f>IF(W45&lt;&gt;"",IF($I$12&lt;&gt;"",IF(G45&lt;&gt;"",G45,($I$9/$I$12-SUM($U$25:U44))*V45*W45/SUMPRODUCT($W$44:$W45,$V$44:$V45)),""),"")</s:f>
        <s:v/>
      </s:c>
      <s:c r="V45" s="280"/>
      <s:c r="W45" s="280"/>
      <s:c r="X45" s="281"/>
      <s:c r="Y45" s="281"/>
      <s:c r="Z45" s="282"/>
    </s:row>
    <s:row r="46" spans="1:30" s="234" customFormat="1">
      <s:c r="A46" s="283"/>
      <s:c r="B46" s="236"/>
      <s:c r="C46" s="263"/>
      <s:c r="D46" s="232"/>
      <s:c r="E46" s="238"/>
      <s:c r="F46" s="238" t="str">
        <s:f>IF(AND(E46&lt;&gt;"",E46&lt;&gt;0),D46/E46,"")</s:f>
        <s:v/>
      </s:c>
      <s:c r="G46" s="238"/>
      <s:c r="H46" s="238" t="str">
        <s:f>IF(AND(G46&lt;&gt;"",G46&lt;&gt;0),D46/G46,"")</s:f>
        <s:v/>
      </s:c>
      <s:c r="I46" s="238"/>
      <s:c r="J46" s="232" t="str">
        <s:f>IF(AND(G46&lt;&gt;"",G46&lt;&gt;0),E46/G46,"")</s:f>
        <s:v/>
      </s:c>
      <s:c r="K46" s="238"/>
      <s:c r="L46" s="238"/>
      <s:c r="M46" s="238"/>
      <s:c r="N46" s="277" t="str">
        <s:f>IF(AND(I46&lt;&gt;"",I46&lt;&gt;0),G46/I46,"")</s:f>
        <s:v/>
      </s:c>
      <s:c r="O46" s="240" t="e">
        <s:f>D46/P46</s:f>
        <s:v>#DIV/0!</s:v>
      </s:c>
      <s:c r="P46" s="241" t="e">
        <s:f>$I$8*V46*W46/SUMPRODUCT($W$25:$W$44,$V$25:$V$44)</s:f>
        <s:v>#DIV/0!</s:v>
      </s:c>
      <s:c r="Q46" s="242" t="e">
        <s:f>$I$9*V46*W46/SUMPRODUCT($W$25:$W$44,$V$25:$V$44)</s:f>
        <s:v>#DIV/0!</s:v>
      </s:c>
      <s:c r="R46" s="242" t="e">
        <s:f>IF($I$12="","",Q46/$I$12)</s:f>
        <s:v>#DIV/0!</s:v>
      </s:c>
      <s:c r="S46" s="241" t="str">
        <s:f>IF(W46&lt;&gt;"",IF(D46&lt;&gt;"",D46,($I$8-SUM($S$25:S45))*V46*W46/SUMPRODUCT($W$44:$W46,$V$44:$V46)),"")</s:f>
        <s:v/>
      </s:c>
      <s:c r="T46" s="242" t="str">
        <s:f>IF(W46&lt;&gt;"",IF(E46&lt;&gt;"",E46,($I$9-SUM($T$25:T45))*V46*W46/SUMPRODUCT($W$44:$W46,$V$44:$V46)),"")</s:f>
        <s:v/>
      </s:c>
      <s:c r="U46" s="242" t="str">
        <s:f>IF(W46&lt;&gt;"",IF($I$12&lt;&gt;"",IF(G46&lt;&gt;"",G46,($I$9/$I$12-SUM($U$25:U45))*V46*W46/SUMPRODUCT($W$44:$W46,$V$44:$V46)),""),"")</s:f>
        <s:v/>
      </s:c>
      <s:c r="V46" s="284"/>
      <s:c r="W46" s="284"/>
      <s:c r="X46" s="285"/>
      <s:c r="Y46" s="285"/>
      <s:c r="Z46" s="286"/>
    </s:row>
    <s:row r="47" spans="1:30" s="234" customFormat="1">
      <s:c r="A47" s="287"/>
      <s:c r="B47" s="236"/>
      <s:c r="C47" s="247"/>
      <s:c r="D47" s="232"/>
      <s:c r="E47" s="238"/>
      <s:c r="F47" s="238" t="str">
        <s:f>IF(AND(E47&lt;&gt;"",E47&lt;&gt;0),D47/E47,"")</s:f>
        <s:v/>
      </s:c>
      <s:c r="G47" s="238"/>
      <s:c r="H47" s="238" t="str">
        <s:f>IF(AND(G47&lt;&gt;"",G47&lt;&gt;0),D47/G47,"")</s:f>
        <s:v/>
      </s:c>
      <s:c r="I47" s="238"/>
      <s:c r="J47" s="232" t="str">
        <s:f>IF(AND(G47&lt;&gt;"",G47&lt;&gt;0),E47/G47,"")</s:f>
        <s:v/>
      </s:c>
      <s:c r="K47" s="238"/>
      <s:c r="L47" s="238"/>
      <s:c r="M47" s="238"/>
      <s:c r="N47" s="277" t="str">
        <s:f>IF(AND(I47&lt;&gt;"",I47&lt;&gt;0),G47/I47,"")</s:f>
        <s:v/>
      </s:c>
      <s:c r="O47" s="240" t="e">
        <s:f>D47/P47</s:f>
        <s:v>#DIV/0!</s:v>
      </s:c>
      <s:c r="P47" s="241" t="e">
        <s:f>$I$8*V47*W47/SUMPRODUCT($W$25:$W$47,$V$25:$V$47)</s:f>
        <s:v>#DIV/0!</s:v>
      </s:c>
      <s:c r="Q47" s="242" t="e">
        <s:f>$I$9*V47*W47/SUMPRODUCT($W$25:$W$47,$V$25:$V$47)</s:f>
        <s:v>#DIV/0!</s:v>
      </s:c>
      <s:c r="R47" s="242" t="e">
        <s:f>IF($I$12="","",Q47/$I$12)</s:f>
        <s:v>#DIV/0!</s:v>
      </s:c>
      <s:c r="S47" s="241" t="str">
        <s:f>IF(W47&lt;&gt;"",IF(D47&lt;&gt;"",D47,($I$8-SUM($S$25:S46))*V47*W47/SUMPRODUCT($W47:$W$47,$V47:$V$47)),"")</s:f>
        <s:v/>
      </s:c>
      <s:c r="T47" s="242" t="str">
        <s:f>IF(W47&lt;&gt;"",IF(E47&lt;&gt;"",E47,($I$9-SUM($T$25:T46))*V47*W47/SUMPRODUCT($W47:$W$47,$V47:$V$47)),"")</s:f>
        <s:v/>
      </s:c>
      <s:c r="U47" s="242" t="str">
        <s:f>IF(W47&lt;&gt;"",IF($I$12&lt;&gt;"",IF(G47&lt;&gt;"",G47,($I$9/$I$12-SUM($U$25:U46))*V47*W47/SUMPRODUCT($W47:$W$47,$V47:$V$47)),""),"")</s:f>
        <s:v/>
      </s:c>
      <s:c r="V47" s="284"/>
      <s:c r="W47" s="284"/>
      <s:c r="X47" s="285"/>
      <s:c r="Y47" s="285"/>
      <s:c r="Z47" s="286"/>
    </s:row>
    <s:row r="48" spans="1:30" ht="15" customHeight="1">
      <s:c r="B48" s="618" t="s">
        <s:v>65</s:v>
      </s:c>
      <s:c r="C48" s="618"/>
      <s:c r="D48" s="114">
        <s:f>SUM(D25:D47)</s:f>
        <s:v>0</s:v>
      </s:c>
      <s:c r="E48" s="114">
        <s:f>SUM(E25:E47)</s:f>
        <s:v>0</s:v>
      </s:c>
      <s:c r="F48" s="114" t="str">
        <s:f>IF(AND(E48&lt;&gt;"",E48&lt;&gt;0),D48/E48,"")</s:f>
        <s:v/>
      </s:c>
      <s:c r="G48" s="114">
        <s:f>SUM(G25:G47)</s:f>
        <s:v>0</s:v>
      </s:c>
      <s:c r="H48" s="114" t="str">
        <s:f>IF(AND(G48&lt;&gt;"",G48&lt;&gt;0),D48/G48,"")</s:f>
        <s:v/>
      </s:c>
      <s:c r="I48" s="114">
        <s:f>SUM(I25:I47)</s:f>
        <s:v>0</s:v>
      </s:c>
      <s:c r="J48" s="113" t="str">
        <s:f>IF(AND(G48&lt;&gt;"",G48&lt;&gt;0),E48/G48,"")</s:f>
        <s:v/>
      </s:c>
      <s:c r="K48" s="114">
        <s:f>SUM(K25:K47)</s:f>
        <s:v>0</s:v>
      </s:c>
      <s:c r="L48" s="114">
        <s:f>SUM(L25:L47)</s:f>
        <s:v>0</s:v>
      </s:c>
      <s:c r="M48" s="114">
        <s:f>SUM(M25:M47)</s:f>
        <s:v>0</s:v>
      </s:c>
      <s:c r="N48" s="115" t="str">
        <s:f>IF(AND(I48&lt;&gt;"",I48&lt;&gt;0),G48/I48,"")</s:f>
        <s:v/>
      </s:c>
      <s:c r="O48" s="116" t="e">
        <s:f>D48/P48</s:f>
        <s:v>#DIV/0!</s:v>
      </s:c>
      <s:c r="P48" s="117" t="e">
        <s:f>SUM(P25:P47)</s:f>
        <s:v>#DIV/0!</s:v>
      </s:c>
      <s:c r="Q48" s="117" t="e">
        <s:f>SUM(Q25:Q47)</s:f>
        <s:v>#DIV/0!</s:v>
      </s:c>
      <s:c r="R48" s="117" t="e">
        <s:f>SUM(R25:R47)</s:f>
        <s:v>#DIV/0!</s:v>
      </s:c>
      <s:c r="S48" s="117" t="e">
        <s:f>SUM(S25:S47)</s:f>
        <s:v>#DIV/0!</s:v>
      </s:c>
      <s:c r="T48" s="117" t="e">
        <s:f>SUM(T25:T47)</s:f>
        <s:v>#DIV/0!</s:v>
      </s:c>
      <s:c r="U48" s="117" t="e">
        <s:f>SUM(U25:U47)</s:f>
        <s:v>#DIV/0!</s:v>
      </s:c>
      <s:c r="V48" s="118"/>
      <s:c r="W48" s="118"/>
    </s:row>
    <s:row r="49">
      <s:c r="B49" s="120"/>
      <s:c r="C49" s="121"/>
      <s:c r="D49" s="122" t="e">
        <s:f>SUMIF(D25:D47,"",P25:P47)+D48</s:f>
        <s:v>#DIV/0!</s:v>
      </s:c>
      <s:c r="E49" s="123"/>
      <s:c r="F49" s="121"/>
      <s:c r="G49" s="121"/>
      <s:c r="H49" s="124"/>
      <s:c r="I49" s="229"/>
      <s:c r="J49" s="124"/>
      <s:c r="L49" s="126"/>
      <s:c r="M49" s="123"/>
      <s:c r="N49" s="126"/>
      <s:c r="O49" s="126"/>
      <s:c r="P49" s="126"/>
      <s:c r="Q49" s="127"/>
    </s:row>
    <s:row r="50">
      <s:c r="D50" s="128"/>
    </s:row>
    <s:row r="51">
      <s:c r="D51" s="128"/>
    </s:row>
    <s:row r="52">
      <s:c r="D52" s="224"/>
    </s:row>
    <s:row r="53">
      <s:c r="D53" s="224"/>
    </s:row>
  </s:sheetData>
  <s:mergeCells count="28">
    <s:mergeCell ref="P22:W22"/>
    <s:mergeCell ref="B48:C48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85" priority="27" operator="greaterThan">
      <s:formula>0</s:formula>
    </s:cfRule>
    <s:cfRule type="cellIs" dxfId="84" priority="26" operator="lessThan">
      <s:formula>0</s:formula>
    </s:cfRule>
  </s:conditionalFormatting>
  <s:conditionalFormatting sqref="J25:J31">
    <s:cfRule type="cellIs" dxfId="83" priority="11" operator="greaterThan">
      <s:formula>$I$12</s:formula>
    </s:cfRule>
  </s:conditionalFormatting>
  <s:conditionalFormatting sqref="J26:J30">
    <s:cfRule type="cellIs" dxfId="82" priority="10" operator="lessThan">
      <s:formula>$I$12</s:formula>
    </s:cfRule>
  </s:conditionalFormatting>
  <s:conditionalFormatting sqref="J28:J42 J25">
    <s:cfRule type="cellIs" dxfId="81" priority="36" operator="lessThan">
      <s:formula>$I$12</s:formula>
    </s:cfRule>
  </s:conditionalFormatting>
  <s:conditionalFormatting sqref="J28:J42">
    <s:cfRule type="cellIs" dxfId="80" priority="35" operator="greaterThan">
      <s:formula>$I$12</s:formula>
    </s:cfRule>
  </s:conditionalFormatting>
  <s:conditionalFormatting sqref="J29:J30">
    <s:cfRule type="cellIs" dxfId="79" priority="30" operator="lessThan">
      <s:formula>$I$12</s:formula>
    </s:cfRule>
  </s:conditionalFormatting>
  <s:conditionalFormatting sqref="J43:J47 J37">
    <s:cfRule type="cellIs" dxfId="78" priority="19" operator="greaterThan">
      <s:formula>$I$12</s:formula>
    </s:cfRule>
  </s:conditionalFormatting>
  <s:conditionalFormatting sqref="J43:J47">
    <s:cfRule type="cellIs" dxfId="77" priority="18" operator="lessThan">
      <s:formula>$I$12</s:formula>
    </s:cfRule>
  </s:conditionalFormatting>
  <s:conditionalFormatting sqref="K10:K12 K15">
    <s:cfRule type="cellIs" dxfId="76" priority="25" operator="greaterThan">
      <s:formula>1</s:formula>
    </s:cfRule>
    <s:cfRule type="cellIs" dxfId="75" priority="24" operator="lessThan">
      <s:formula>1</s:formula>
    </s:cfRule>
  </s:conditionalFormatting>
  <s:conditionalFormatting sqref="K13">
    <s:cfRule type="cellIs" dxfId="74" priority="21" operator="greaterThan">
      <s:formula>$K$14</s:formula>
    </s:cfRule>
    <s:cfRule type="cellIs" dxfId="73" priority="20" operator="lessThan">
      <s:formula>$K$14</s:formula>
    </s:cfRule>
  </s:conditionalFormatting>
  <s:conditionalFormatting sqref="M8:M15">
    <s:cfRule type="cellIs" dxfId="72" priority="29" operator="lessThan">
      <s:formula>1</s:formula>
    </s:cfRule>
    <s:cfRule type="cellIs" dxfId="71" priority="23" operator="greaterThan">
      <s:formula>1</s:formula>
    </s:cfRule>
  </s:conditionalFormatting>
  <s:conditionalFormatting sqref="N25:N37">
    <s:cfRule type="cellIs" dxfId="70" priority="8" operator="greaterThanOrEqual">
      <s:formula>0.25</s:formula>
    </s:cfRule>
    <s:cfRule type="cellIs" dxfId="69" priority="7" operator="between">
      <s:formula>0.2</s:formula>
      <s:formula>0.25</s:formula>
    </s:cfRule>
  </s:conditionalFormatting>
  <s:conditionalFormatting sqref="N25:N47">
    <s:cfRule type="cellIs" dxfId="68" priority="9" operator="lessThan">
      <s:formula>0.2</s:formula>
    </s:cfRule>
  </s:conditionalFormatting>
  <s:conditionalFormatting sqref="N38">
    <s:cfRule type="cellIs" dxfId="67" priority="31" operator="between">
      <s:formula>0.2</s:formula>
      <s:formula>0.25</s:formula>
    </s:cfRule>
  </s:conditionalFormatting>
  <s:conditionalFormatting sqref="N38:N47">
    <s:cfRule type="cellIs" dxfId="66" priority="17" operator="greaterThanOrEqual">
      <s:formula>0.25</s:formula>
    </s:cfRule>
  </s:conditionalFormatting>
  <s:conditionalFormatting sqref="N39:N47">
    <s:cfRule type="cellIs" dxfId="65" priority="16" operator="between">
      <s:formula>0.2</s:formula>
      <s:formula>0.25</s:formula>
    </s:cfRule>
  </s:conditionalFormatting>
  <s:conditionalFormatting sqref="O25:O37">
    <s:cfRule type="cellIs" dxfId="64" priority="6" operator="between">
      <s:formula>0.01</s:formula>
      <s:formula>0.99</s:formula>
    </s:cfRule>
    <s:cfRule type="cellIs" dxfId="63" priority="5" operator="between">
      <s:formula>0.85</s:formula>
      <s:formula>1</s:formula>
    </s:cfRule>
    <s:cfRule type="cellIs" dxfId="62" priority="2" operator="lessThan">
      <s:formula>0.9</s:formula>
    </s:cfRule>
    <s:cfRule type="cellIs" dxfId="61" priority="1" operator="between">
      <s:formula>0.9001</s:formula>
      <s:formula>0.9999</s:formula>
    </s:cfRule>
  </s:conditionalFormatting>
  <s:conditionalFormatting sqref="O25:O47">
    <s:cfRule type="cellIs" dxfId="60" priority="4" operator="greaterThan">
      <s:formula>100</s:formula>
    </s:cfRule>
    <s:cfRule type="cellIs" dxfId="59" priority="3" operator="greaterThan">
      <s:formula>1</s:formula>
    </s:cfRule>
  </s:conditionalFormatting>
  <s:conditionalFormatting sqref="O38">
    <s:cfRule type="cellIs" dxfId="58" priority="32" operator="between">
      <s:formula>0.85</s:formula>
      <s:formula>1</s:formula>
    </s:cfRule>
    <s:cfRule type="cellIs" dxfId="57" priority="33" operator="lessThan">
      <s:formula>0.9</s:formula>
    </s:cfRule>
    <s:cfRule type="cellIs" dxfId="56" priority="34" operator="between">
      <s:formula>0.9001</s:formula>
      <s:formula>0.9999</s:formula>
    </s:cfRule>
  </s:conditionalFormatting>
  <s:conditionalFormatting sqref="O38:O47">
    <s:cfRule type="cellIs" dxfId="55" priority="15" operator="between">
      <s:formula>0.01</s:formula>
      <s:formula>0.99</s:formula>
    </s:cfRule>
  </s:conditionalFormatting>
  <s:conditionalFormatting sqref="O39:O44">
    <s:cfRule type="cellIs" dxfId="54" priority="14" operator="between">
      <s:formula>0.85</s:formula>
      <s:formula>1</s:formula>
    </s:cfRule>
  </s:conditionalFormatting>
  <s:conditionalFormatting sqref="O39:O47">
    <s:cfRule type="cellIs" dxfId="53" priority="13" operator="lessThan">
      <s:formula>0.9</s:formula>
    </s:cfRule>
    <s:cfRule type="cellIs" dxfId="52" priority="12" operator="between">
      <s:formula>0.9001</s:formula>
      <s:formula>0.9999</s:formula>
    </s:cfRule>
  </s:conditionalFormatting>
  <s:conditionalFormatting sqref="O45:O47">
    <s:cfRule type="cellIs" dxfId="51" priority="22" operator="between">
      <s:formula>0.85</s:formula>
      <s:formula>1</s:formula>
    </s:cfRule>
  </s:conditionalFormatting>
  <s:conditionalFormatting sqref="P10:Q10">
    <s:cfRule type="cellIs" dxfId="50" priority="28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9.xml><?xml version="1.0" encoding="utf-8"?>
<s:worksheet xmlns:mc="http://schemas.openxmlformats.org/markup-compatibility/2006"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mc:Ignorable="x14ac xr xr2 xr3" xr:uid="{00000000-0001-0000-0800-000000000000}">
  <s:dimension ref="A1:IU53"/>
  <s:sheetViews>
    <s:sheetView tabSelected="0" zoomScale="108" workbookViewId="0">
      <s:selection activeCell="J14" sqref="J14"/>
    </s:sheetView>
  </s:sheetViews>
  <s:sheetFormatPr baseColWidth="10" defaultColWidth="9.164" defaultRowHeight="15"/>
  <s:cols>
    <s:col min="1" max="1" width="12.5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/>
    <s:col min="22" max="23" width="10.5" style="3" customWidth="1"/>
    <s:col min="24" max="33" width="9.164" style="3"/>
    <s:col min="34" max="255" width="9.164" style="2"/>
  </s:cols>
  <s:sheetData>
    <s:row r="1" spans="2:23" ht="15.75" customHeight="1">
      <s:c r="B1" s="700">
        <s:f ca="1">TODAY()-1</s:f>
        <s:v>46171</s:v>
      </s:c>
      <s:c r="C1" s="700"/>
      <s:c r="D1" s="296"/>
      <s:c r="E1" s="296"/>
      <s:c r="F1" s="297"/>
      <s:c r="G1" s="297"/>
      <s:c r="H1" s="297"/>
      <s:c r="I1" s="297"/>
      <s:c r="J1" s="298"/>
      <s:c r="K1" s="298"/>
      <s:c r="L1" s="298"/>
      <s:c r="M1" s="298"/>
      <s:c r="N1" s="298"/>
      <s:c r="O1" s="298"/>
      <s:c r="P1" s="298"/>
      <s:c r="Q1" s="701"/>
      <s:c r="R1" s="701"/>
      <s:c r="S1" s="701"/>
      <s:c r="T1" s="701"/>
      <s:c r="U1" s="297"/>
      <s:c r="V1" s="297"/>
      <s:c r="W1" s="297"/>
    </s:row>
    <s:row r="2" spans="2:23" ht="21.75" customHeight="1">
      <s:c r="B2" s="702" t="s">
        <s:v>0</s:v>
      </s:c>
      <s:c r="C2" s="702"/>
      <s:c r="D2" s="296"/>
      <s:c r="E2" s="296"/>
      <s:c r="F2" s="297"/>
      <s:c r="G2" s="297"/>
      <s:c r="H2" s="297"/>
      <s:c r="I2" s="297"/>
      <s:c r="J2" s="703" t="s">
        <s:v>71</s:v>
      </s:c>
      <s:c r="K2" s="703"/>
      <s:c r="L2" s="703"/>
      <s:c r="M2" s="703"/>
      <s:c r="N2" s="703"/>
      <s:c r="O2" s="703"/>
      <s:c r="P2" s="703"/>
      <s:c r="Q2" s="701"/>
      <s:c r="R2" s="701"/>
      <s:c r="S2" s="701"/>
      <s:c r="T2" s="701"/>
      <s:c r="U2" s="297"/>
      <s:c r="V2" s="297"/>
      <s:c r="W2" s="297"/>
    </s:row>
    <s:row r="3" spans="2:23" ht="14" customHeight="1">
      <s:c r="B3" s="299" t="s">
        <s:v>1</s:v>
      </s:c>
      <s:c r="C3" s="296"/>
      <s:c r="D3" s="296"/>
      <s:c r="E3" s="296"/>
      <s:c r="F3" s="297"/>
      <s:c r="G3" s="297"/>
      <s:c r="H3" s="297"/>
      <s:c r="I3" s="297"/>
      <s:c r="J3" s="704">
        <s:f>График!B25</s:f>
        <s:v>0</s:v>
      </s:c>
      <s:c r="K3" s="704"/>
      <s:c r="L3" s="704"/>
      <s:c r="M3" s="704"/>
      <s:c r="N3" s="704"/>
      <s:c r="O3" s="298"/>
      <s:c r="P3" s="300"/>
      <s:c r="Q3" s="701"/>
      <s:c r="R3" s="701"/>
      <s:c r="S3" s="701"/>
      <s:c r="T3" s="701"/>
      <s:c r="U3" s="297"/>
      <s:c r="V3" s="297"/>
      <s:c r="W3" s="297"/>
    </s:row>
    <s:row r="4" spans="2:23" ht="15" customHeight="1">
      <s:c r="B4" s="296"/>
      <s:c r="C4" s="705" t="e">
        <s:f>I8-D48</s:f>
        <s:v>#DIV/0!</s:v>
      </s:c>
      <s:c r="D4" s="705"/>
      <s:c r="E4" s="301" t="e">
        <s:f>IF(I8&lt;&gt;0,C4/I8,0)</s:f>
        <s:v>#DIV/0!</s:v>
      </s:c>
      <s:c r="F4" s="297"/>
      <s:c r="G4" s="297"/>
      <s:c r="H4" s="297"/>
      <s:c r="I4" s="297"/>
      <s:c r="J4" s="704"/>
      <s:c r="K4" s="704"/>
      <s:c r="L4" s="704"/>
      <s:c r="M4" s="704"/>
      <s:c r="N4" s="704"/>
      <s:c r="O4" s="297"/>
      <s:c r="P4" s="297"/>
      <s:c r="Q4" s="701"/>
      <s:c r="R4" s="701"/>
      <s:c r="S4" s="701"/>
      <s:c r="T4" s="701"/>
      <s:c r="U4" s="297"/>
      <s:c r="V4" s="297"/>
      <s:c r="W4" s="297"/>
    </s:row>
    <s:row r="5">
      <s:c r="B5" s="297"/>
      <s:c r="C5" s="297"/>
      <s:c r="D5" s="297"/>
      <s:c r="E5" s="297"/>
      <s:c r="F5" s="297"/>
      <s:c r="G5" s="297"/>
      <s:c r="H5" s="297"/>
      <s:c r="I5" s="297"/>
      <s:c r="J5" s="706"/>
      <s:c r="K5" s="706"/>
      <s:c r="L5" s="706"/>
      <s:c r="M5" s="706"/>
      <s:c r="N5" s="706"/>
      <s:c r="O5" s="297"/>
      <s:c r="P5" s="297"/>
      <s:c r="Q5" s="297"/>
      <s:c r="R5" s="297"/>
      <s:c r="S5" s="297"/>
      <s:c r="T5" s="297"/>
      <s:c r="U5" s="297"/>
      <s:c r="V5" s="297"/>
      <s:c r="W5" s="297"/>
    </s:row>
    <s:row r="6" spans="2:23" ht="15.75" customHeight="1">
      <s:c r="B6" s="302"/>
      <s:c r="C6" s="297"/>
      <s:c r="D6" s="297"/>
      <s:c r="E6" s="297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37"/>
      <s:c r="S6" s="37"/>
      <s:c r="T6" s="297"/>
      <s:c r="U6" s="297"/>
      <s:c r="V6" s="297"/>
      <s:c r="W6" s="297"/>
    </s:row>
    <s:row r="7" spans="2:23" ht="50.75" customHeight="1">
      <s:c r="B7" s="302"/>
      <s:c r="C7" s="297"/>
      <s:c r="D7" s="297"/>
      <s:c r="E7" s="297"/>
      <s:c r="F7" s="598" t="s">
        <s:v>3</s:v>
      </s:c>
      <s:c r="G7" s="599"/>
      <s:c r="H7" s="600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1" t="s">
        <s:v>11</s:v>
      </s:c>
      <s:c r="Q7" s="602"/>
      <s:c r="R7" s="37"/>
      <s:c r="S7" s="37"/>
      <s:c r="T7" s="297"/>
      <s:c r="U7" s="297"/>
      <s:c r="V7" s="297"/>
      <s:c r="W7" s="297"/>
    </s:row>
    <s:row r="8" spans="2:23" ht="15.75" customHeight="1">
      <s:c r="B8" s="302"/>
      <s:c r="C8" s="297"/>
      <s:c r="D8" s="297"/>
      <s:c r="E8" s="297"/>
      <s:c r="F8" s="603" t="s">
        <s:v>12</s:v>
      </s:c>
      <s:c r="G8" s="604"/>
      <s:c r="H8" s="605"/>
      <s:c r="I8" s="202" t="e">
        <s:f>'Ялта, Ленина, 18'!I8/График!AI31*График!AI25</s:f>
        <s:v>#DIV/0!</s:v>
      </s:c>
      <s:c r="J8" s="203">
        <s:f>D48</s:f>
        <s:v>0</s:v>
      </s:c>
      <s:c r="K8" s="204" t="e">
        <s:f>IF(AND(I8&lt;&gt;"", I8&lt;&gt;0, J8&lt;&gt;""), J8/I8, "")</s:f>
        <s:v>#DIV/0!</s:v>
      </s:c>
      <s:c r="L8" s="205">
        <s:f>IF(SUMIF($D$25:$D$47,"&gt;=0",$P$25:$P$47)&lt;&gt;0,I8*D48/SUMIF($D$25:$D$47,"&gt;=0",$P$25:$P$47),0)</s:f>
        <s:v>0</s:v>
      </s:c>
      <s:c r="M8" s="32" t="e">
        <s:f>IF(AND(I8&lt;&gt;"", I8&lt;&gt;0, L8&lt;&gt;"", L8&lt;&gt;0), L8/I8, "")</s:f>
        <s:v>#DIV/0!</s:v>
      </s:c>
      <s:c r="N8" s="35" t="e">
        <s:f>IF(AND(J8&lt;&gt;0, J8&lt;&gt;"", I8&lt;&gt;0, I8&lt;&gt;""), L8-I8, "")</s:f>
        <s:v>#DIV/0!</s:v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37"/>
      <s:c r="S8" s="37"/>
      <s:c r="T8" s="297"/>
      <s:c r="U8" s="297"/>
      <s:c r="V8" s="297"/>
      <s:c r="W8" s="297"/>
    </s:row>
    <s:row r="9" spans="2:23" ht="15.75" customHeight="1">
      <s:c r="B9" s="302"/>
      <s:c r="C9" s="297"/>
      <s:c r="D9" s="297"/>
      <s:c r="E9" s="297"/>
      <s:c r="F9" s="606" t="s">
        <s:v>13</s:v>
      </s:c>
      <s:c r="G9" s="607"/>
      <s:c r="H9" s="608"/>
      <s:c r="I9" s="38" t="e">
        <s:f>I8/I11</s:f>
        <s:v>#DIV/0!</s:v>
      </s:c>
      <s:c r="J9" s="39">
        <s:f>E48</s:f>
        <s:v>0</s:v>
      </s:c>
      <s:c r="K9" s="40" t="e">
        <s:f>IF(AND(I9&lt;&gt;"", I9&lt;&gt;0, J9&lt;&gt;""), J9/I9, "")</s:f>
        <s:v>#DIV/0!</s:v>
      </s:c>
      <s:c r="L9" s="207">
        <s:f>IF(SUMIF($E$25:$E$47,"&gt;=0",$Q$25:$Q$47)&lt;&gt;0,I9*E48/SUMIF($E$25:$E$47,"&gt;=0",$Q$25:$Q$47),0)</s:f>
        <s:v>0</s:v>
      </s:c>
      <s:c r="M9" s="42" t="e">
        <s:f>IF(AND(I9&lt;&gt;"", I9&lt;&gt;0, L9&lt;&gt;"", L9&lt;&gt;0), L9/I9, "")</s:f>
        <s:v>#DIV/0!</s:v>
      </s:c>
      <s:c r="N9" s="43" t="e">
        <s:f>IF(AND(J9&lt;&gt;0, J9&lt;&gt;"", I9&lt;&gt;0, I9&lt;&gt;""), L9-I9, "")</s:f>
        <s:v>#DIV/0!</s:v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37"/>
      <s:c r="S9" s="37"/>
      <s:c r="T9" s="297"/>
      <s:c r="U9" s="297"/>
      <s:c r="V9" s="297"/>
      <s:c r="W9" s="297"/>
    </s:row>
    <s:row r="10" spans="2:23" ht="15.75" customHeight="1">
      <s:c r="B10" s="302"/>
      <s:c r="C10" s="297"/>
      <s:c r="D10" s="297"/>
      <s:c r="E10" s="297"/>
      <s:c r="F10" s="603" t="s">
        <s:v>14</s:v>
      </s:c>
      <s:c r="G10" s="604"/>
      <s:c r="H10" s="605"/>
      <s:c r="I10" s="50">
        <s:f>I11*I12</s:f>
        <s:v>10944</s:v>
      </s:c>
      <s:c r="J10" s="209" t="str">
        <s:f>H48</s:f>
        <s:v/>
      </s:c>
      <s:c r="K10" s="210" t="str">
        <s:f>IF(AND(I10&lt;&gt;"", I10&lt;&gt;0, J10&lt;&gt;""), J10/I10, "")</s:f>
        <s:v/>
      </s:c>
      <s:c r="L10" s="207" t="str">
        <s:f>J10</s:f>
        <s:v/>
      </s:c>
      <s:c r="M10" s="48" t="str">
        <s:f>IF(AND(I10&lt;&gt;"", I10&lt;&gt;0, L10&lt;&gt;"", L10&lt;&gt;0), L10/I10, "")</s:f>
        <s:v/>
      </s:c>
      <s:c r="N10" s="49" t="str">
        <s:f>IF(AND(J10&lt;&gt;0, J10&lt;&gt;"", I10&lt;&gt;0, I10&lt;&gt;""), L10-I10, "")</s:f>
        <s:v/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37"/>
      <s:c r="S10" s="613" t="s">
        <s:v>15</s:v>
      </s:c>
      <s:c r="T10" s="613"/>
      <s:c r="U10" s="297"/>
      <s:c r="V10" s="297"/>
      <s:c r="W10" s="297"/>
    </s:row>
    <s:row r="11" spans="2:23" ht="15.75" customHeight="1">
      <s:c r="B11" s="302"/>
      <s:c r="C11" s="297"/>
      <s:c r="D11" s="297"/>
      <s:c r="E11" s="297"/>
      <s:c r="F11" s="606" t="s">
        <s:v>16</s:v>
      </s:c>
      <s:c r="G11" s="607"/>
      <s:c r="H11" s="608"/>
      <s:c r="I11" s="52">
        <s:f>'Ялта, Ленина, 18'!I11</s:f>
        <s:v>5760</s:v>
      </s:c>
      <s:c r="J11" s="39" t="str">
        <s:f>F48</s:f>
        <s:v/>
      </s:c>
      <s:c r="K11" s="212" t="str">
        <s:f>IF(AND(I11&lt;&gt;"", I11&lt;&gt;0, J11&lt;&gt;""), J11/I11, "")</s:f>
        <s:v/>
      </s:c>
      <s:c r="L11" s="207" t="str">
        <s:f>IF(L9&gt;0, L8/L9, "")</s:f>
        <s:v/>
      </s:c>
      <s:c r="M11" s="42" t="str">
        <s:f>IF(AND(I11&lt;&gt;"", I11&lt;&gt;0, L11&lt;&gt;"", L11&lt;&gt;0), L11/I11, "")</s:f>
        <s:v/>
      </s:c>
      <s:c r="N11" s="43" t="str">
        <s:f>IF(AND(J11&lt;&gt;0, J11&lt;&gt;"", I11&lt;&gt;0, I11&lt;&gt;""), L11-I11, "")</s:f>
        <s:v/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37"/>
      <s:c r="S11" s="613"/>
      <s:c r="T11" s="613"/>
      <s:c r="U11" s="297"/>
      <s:c r="V11" s="297"/>
      <s:c r="W11" s="297"/>
    </s:row>
    <s:row r="12" spans="2:23" ht="15.75" customHeight="1">
      <s:c r="B12" s="302"/>
      <s:c r="C12" s="297"/>
      <s:c r="D12" s="297"/>
      <s:c r="E12" s="297"/>
      <s:c r="F12" s="606" t="s">
        <s:v>17</s:v>
      </s:c>
      <s:c r="G12" s="607"/>
      <s:c r="H12" s="608"/>
      <s:c r="I12" s="54">
        <s:f>'Ялта, Ленина, 18'!I12</s:f>
        <s:v>1.9</s:v>
      </s:c>
      <s:c r="J12" s="55" t="str">
        <s:f>J48</s:f>
        <s:v/>
      </s:c>
      <s:c r="K12" s="212" t="str">
        <s:f>IF(AND(I12&lt;&gt;"", I12&lt;&gt;0, J12&lt;&gt;""), J12/I12, "")</s:f>
        <s:v/>
      </s:c>
      <s:c r="L12" s="213" t="str">
        <s:f>J12</s:f>
        <s:v/>
      </s:c>
      <s:c r="M12" s="42" t="str">
        <s:f>IF(AND(I12&lt;&gt;"", I12&lt;&gt;0, L12&lt;&gt;"", L12&lt;&gt;0), L12/I12, "")</s:f>
        <s:v/>
      </s:c>
      <s:c r="N12" s="57" t="str">
        <s:f>IF(AND(J12&lt;&gt;0, J12&lt;&gt;"", I12&lt;&gt;0, I12&lt;&gt;""), L12-I12, "")</s:f>
        <s:v/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37"/>
      <s:c r="S12" s="59">
        <s:f>'Ялта, Ленина, 18'!S12*График!AJ25/График!AJ31</s:f>
        <s:v>0</s:v>
      </s:c>
      <s:c r="T12" s="60">
        <s:f>L48</s:f>
        <s:v>0</s:v>
      </s:c>
      <s:c r="U12" s="297"/>
      <s:c r="V12" s="297"/>
      <s:c r="W12" s="297"/>
    </s:row>
    <s:row r="13" spans="2:23" ht="15.75" customHeight="1">
      <s:c r="B13" s="302"/>
      <s:c r="C13" s="297"/>
      <s:c r="D13" s="297"/>
      <s:c r="E13" s="297"/>
      <s:c r="F13" s="606" t="s">
        <s:v>18</s:v>
      </s:c>
      <s:c r="G13" s="607"/>
      <s:c r="H13" s="608"/>
      <s:c r="I13" s="38" t="e">
        <s:f>IF(I12&lt;&gt;0, I9/I12, "")</s:f>
        <s:v>#DIV/0!</s:v>
      </s:c>
      <s:c r="J13" s="39">
        <s:f>G48</s:f>
        <s:v>0</s:v>
      </s:c>
      <s:c r="K13" s="212" t="e">
        <s:f>IF(AND(I13&lt;&gt;"", I13&lt;&gt;0, J13&lt;&gt;""), J13/I13, "")</s:f>
        <s:v>#DIV/0!</s:v>
      </s:c>
      <s:c r="L13" s="207" t="str">
        <s:f>IF(SUMIF($G$25:$G$47,"&gt;=0",$R$25:$R$47)&lt;&gt;0,I13*G48/SUMIF($G$25:$G$47,"&gt;=0",$R$25:$R$47),"")</s:f>
        <s:v/>
      </s:c>
      <s:c r="M13" s="42" t="e">
        <s:f>IF(AND(I13&lt;&gt;"", I13&lt;&gt;0, L13&lt;&gt;"", L13&lt;&gt;0), L13/I13, "")</s:f>
        <s:v>#DIV/0!</s:v>
      </s:c>
      <s:c r="N13" s="57" t="e">
        <s:f>IF(AND(J13&lt;&gt;0, J13&lt;&gt;"", I13&lt;&gt;0, I13&lt;&gt;""), L13-I13, "")</s:f>
        <s:v>#DIV/0!</s:v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37"/>
      <s:c r="S13" s="62" t="e">
        <s:f>T12/S12</s:f>
        <s:v>#DIV/0!</s:v>
      </s:c>
      <s:c r="T13" s="62" t="e">
        <s:f>S13/J14*I14</s:f>
        <s:v>#DIV/0!</s:v>
      </s:c>
      <s:c r="U13" s="297"/>
      <s:c r="V13" s="297"/>
      <s:c r="W13" s="297"/>
    </s:row>
    <s:row r="14" spans="2:23" ht="15.75" customHeight="1">
      <s:c r="B14" s="302"/>
      <s:c r="C14" s="297"/>
      <s:c r="D14" s="297"/>
      <s:c r="E14" s="297"/>
      <s:c r="F14" s="606" t="s">
        <s:v>68</s:v>
      </s:c>
      <s:c r="G14" s="607"/>
      <s:c r="H14" s="608"/>
      <s:c r="I14" s="52">
        <s:f>График!AI25</s:f>
        <s:v>0</s:v>
      </s:c>
      <s:c r="J14" s="64"/>
      <s:c r="K14" s="40" t="str">
        <s:f>IF(AND(I14&lt;&gt;"", I14&lt;&gt;0, J14&lt;&gt;""), J14/I14, "")</s:f>
        <s:v/>
      </s:c>
      <s:c r="L14" s="41"/>
      <s:c r="M14" s="42" t="str">
        <s:f>IF(AND(I14&lt;&gt;"", I14&lt;&gt;0, L14&lt;&gt;"", L14&lt;&gt;0), L14/I14, "")</s:f>
        <s:v/>
      </s:c>
      <s:c r="N14" s="43" t="str">
        <s:f>IF(AND(J14&lt;&gt;0, J14&lt;&gt;"", I14&lt;&gt;0, I14&lt;&gt;""), L14-I14, "")</s:f>
        <s:v/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37"/>
      <s:c r="S14" s="65"/>
      <s:c r="T14" s="6"/>
      <s:c r="U14" s="297"/>
      <s:c r="V14" s="297"/>
      <s:c r="W14" s="297"/>
    </s:row>
    <s:row r="15" spans="2:23" ht="15.75" customHeight="1">
      <s:c r="B15" s="302"/>
      <s:c r="C15" s="297"/>
      <s:c r="D15" s="297"/>
      <s:c r="E15" s="297"/>
      <s:c r="F15" s="606" t="s">
        <s:v>20</s:v>
      </s:c>
      <s:c r="G15" s="607"/>
      <s:c r="H15" s="608"/>
      <s:c r="I15" s="75">
        <s:f>'Ялта, Ленина, 18'!I15</s:f>
        <s:v>143585.28</s:v>
      </s:c>
      <s:c r="J15" s="67" t="e">
        <s:f>J8/J14</s:f>
        <s:v>#DIV/0!</s:v>
      </s:c>
      <s:c r="K15" s="68" t="e">
        <s:f>IF(AND(I15&lt;&gt;"", I15&lt;&gt;0, J15&lt;&gt;""), J15/I15, "")</s:f>
        <s:v>#DIV/0!</s:v>
      </s:c>
      <s:c r="L15" s="72" t="e">
        <s:f>J15</s:f>
        <s:v>#DIV/0!</s:v>
      </s:c>
      <s:c r="M15" s="70" t="e">
        <s:f>IF(AND(I15&lt;&gt;"", I15&lt;&gt;0, L15&lt;&gt;"", L15&lt;&gt;0), L15/I15, "")</s:f>
        <s:v>#DIV/0!</s:v>
      </s:c>
      <s:c r="N15" s="43" t="e">
        <s:f>IF(AND(J15&lt;&gt;0, J15&lt;&gt;"", I15&lt;&gt;0, I15&lt;&gt;""), L15-I15, "")</s:f>
        <s:v>#DIV/0!</s:v>
      </s:c>
      <s:c r="O15" s="71"/>
      <s:c r="P15" s="43" t="e">
        <s:f>IF(AND(O15&lt;&gt;"", O15&lt;&gt;0, L15&lt;&gt;"", L15&lt;&gt;0), -O15+L15, "")</s:f>
        <s:v>#DIV/0!</s:v>
      </s:c>
      <s:c r="Q15" s="45" t="e">
        <s:f>IF(AND(P15&lt;&gt;"", P15&lt;&gt;0, O15&lt;&gt;0, O15&lt;&gt;""), P15/O15, "")</s:f>
        <s:v>#DIV/0!</s:v>
      </s:c>
      <s:c r="R15" s="37"/>
      <s:c r="S15" s="37"/>
      <s:c r="T15" s="6"/>
      <s:c r="U15" s="297"/>
      <s:c r="V15" s="297"/>
      <s:c r="W15" s="297"/>
    </s:row>
    <s:row r="16" spans="2:23" ht="15.75" customHeight="1">
      <s:c r="B16" s="302"/>
      <s:c r="C16" s="297"/>
      <s:c r="D16" s="297"/>
      <s:c r="E16" s="297"/>
      <s:c r="F16" s="606" t="s">
        <s:v>21</s:v>
      </s:c>
      <s:c r="G16" s="607"/>
      <s:c r="H16" s="608"/>
      <s:c r="I16" s="75"/>
      <s:c r="J16" s="67">
        <s:f>J8-I15*J14</s:f>
        <s:v>0</s:v>
      </s:c>
      <s:c r="K16" s="68" t="str">
        <s:f>IF(AND(I16&lt;&gt;"", I16&lt;&gt;0, J16&lt;&gt;""), J16/I16, "")</s:f>
        <s:v/>
      </s:c>
      <s:c r="L16" s="72">
        <s:f>J16</s:f>
        <s:v>0</s:v>
      </s:c>
      <s:c r="M16" s="73" t="str">
        <s:f>IF(AND(I16&lt;&gt;"", I16&lt;&gt;0, L16&lt;&gt;"", L16&lt;&gt;0), L16/I16, 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37"/>
      <s:c r="S16" s="613" t="s">
        <s:v>22</s:v>
      </s:c>
      <s:c r="T16" s="613"/>
      <s:c r="U16" s="297"/>
      <s:c r="V16" s="297"/>
      <s:c r="W16" s="297"/>
    </s:row>
    <s:row r="17" spans="1:33" ht="15.75" customHeight="1">
      <s:c r="B17" s="302"/>
      <s:c r="C17" s="297"/>
      <s:c r="D17" s="297"/>
      <s:c r="E17" s="297"/>
      <s:c r="F17" s="606" t="s">
        <s:v>23</s:v>
      </s:c>
      <s:c r="G17" s="607"/>
      <s:c r="H17" s="608"/>
      <s:c r="I17" s="75">
        <s:f>'Ялта, Ленина, 18'!I17/График!AJ31*График!AJ25</s:f>
        <s:v>0</s:v>
      </s:c>
      <s:c r="J17" s="67">
        <s:f>I48</s:f>
        <s:v>0</s:v>
      </s:c>
      <s:c r="K17" s="68" t="str">
        <s:f>IF(AND(I17&lt;&gt;"", I17&lt;&gt;0, J17&lt;&gt;""), J17/I17, "")</s:f>
        <s:v/>
      </s:c>
      <s:c r="L17" s="72" t="e">
        <s:f>J17/J14*I14</s:f>
        <s:v>#DIV/0!</s:v>
      </s:c>
      <s:c r="M17" s="73" t="e">
        <s:f>IF(AND(I17&lt;&gt;"", I17&lt;&gt;0, L17&lt;&gt;"", L17&lt;&gt;0), L17/I17, "")</s:f>
        <s:v>#DIV/0!</s:v>
      </s:c>
      <s:c r="N17" s="43" t="str">
        <s:f>IF(AND(J17&lt;&gt;0, J17&lt;&gt;"", I17&lt;&gt;0, I17&lt;&gt;""), L17-I17, "")</s:f>
        <s:v/>
      </s:c>
      <s:c r="O17" s="71"/>
      <s:c r="P17" s="43" t="e">
        <s:f>IF(AND(O17&lt;&gt;"", O17&lt;&gt;0, L17&lt;&gt;"", L17&lt;&gt;0), -O17+L17, "")</s:f>
        <s:v>#DIV/0!</s:v>
      </s:c>
      <s:c r="Q17" s="45" t="e">
        <s:f>IF(AND(P17&lt;&gt;"", P17&lt;&gt;0, O17&lt;&gt;0, O17&lt;&gt;""), P17/O17, "")</s:f>
        <s:v>#DIV/0!</s:v>
      </s:c>
      <s:c r="R17" s="37"/>
      <s:c r="S17" s="613"/>
      <s:c r="T17" s="613"/>
      <s:c r="U17" s="297"/>
      <s:c r="V17" s="297"/>
      <s:c r="W17" s="297"/>
    </s:row>
    <s:row r="18" spans="1:33" ht="15.75" customHeight="1">
      <s:c r="B18" s="302"/>
      <s:c r="C18" s="297"/>
      <s:c r="D18" s="297"/>
      <s:c r="E18" s="297"/>
      <s:c r="F18" s="606"/>
      <s:c r="G18" s="607"/>
      <s:c r="H18" s="608"/>
      <s:c r="I18" s="76"/>
      <s:c r="J18" s="67"/>
      <s:c r="K18" s="68" t="str">
        <s:f>IF(AND(I18&lt;&gt;"", I18&lt;&gt;0, J18&lt;&gt;""), J18/I18, "")</s:f>
        <s:v/>
      </s:c>
      <s:c r="L18" s="72">
        <s:f>J18</s:f>
        <s:v>0</s:v>
      </s:c>
      <s:c r="M18" s="73" t="str">
        <s:f>IF(AND(I18&lt;&gt;"", I18&lt;&gt;0, L18&lt;&gt;"", L18&lt;&gt;0), L18/I18, 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37"/>
      <s:c r="S18" s="59">
        <s:f>'Ялта, Ленина, 18'!S18*График!AJ25/График!AJ31</s:f>
        <s:v>0</s:v>
      </s:c>
      <s:c r="T18" s="60">
        <s:f>K48</s:f>
        <s:v>0</s:v>
      </s:c>
      <s:c r="U18" s="297"/>
      <s:c r="V18" s="297"/>
      <s:c r="W18" s="297"/>
    </s:row>
    <s:row r="19" spans="1:33" ht="15.75" customHeight="1">
      <s:c r="B19" s="302"/>
      <s:c r="C19" s="297"/>
      <s:c r="D19" s="297"/>
      <s:c r="E19" s="297"/>
      <s:c r="F19" s="606"/>
      <s:c r="G19" s="607"/>
      <s:c r="H19" s="608"/>
      <s:c r="I19" s="76"/>
      <s:c r="J19" s="67"/>
      <s:c r="K19" s="68" t="str">
        <s:f>IF(AND(I19&lt;&gt;"", I19&lt;&gt;0, J19&lt;&gt;""), J19/I19, "")</s:f>
        <s:v/>
      </s:c>
      <s:c r="L19" s="72">
        <s:f>J19</s:f>
        <s:v>0</s:v>
      </s:c>
      <s:c r="M19" s="73" t="str">
        <s:f>IF(AND(I19&lt;&gt;"", I19&lt;&gt;0, L19&lt;&gt;"", L19&lt;&gt;0), L19/I19, 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37"/>
      <s:c r="S19" s="62" t="e">
        <s:f>T18/S18</s:f>
        <s:v>#DIV/0!</s:v>
      </s:c>
      <s:c r="T19" s="62" t="e">
        <s:f>S19/J14*I14</s:f>
        <s:v>#DIV/0!</s:v>
      </s:c>
      <s:c r="U19" s="297"/>
      <s:c r="V19" s="297"/>
      <s:c r="W19" s="297"/>
    </s:row>
    <s:row r="20" spans="1:33" ht="15.75" customHeight="1">
      <s:c r="B20" s="302"/>
      <s:c r="C20" s="297"/>
      <s:c r="D20" s="297"/>
      <s:c r="E20" s="297"/>
      <s:c r="F20" s="614" t="s">
        <s:v>24</s:v>
      </s:c>
      <s:c r="G20" s="614"/>
      <s:c r="H20" s="614"/>
      <s:c r="I20" s="80">
        <s:f>'Ялта, Ленина, 18'!I20</s:f>
        <s:v>0.246</s:v>
      </s:c>
      <s:c r="J20" s="219" t="str">
        <s:f>N48</s:f>
        <s:v/>
      </s:c>
      <s:c r="K20" s="219" t="e">
        <s:f>J20/I20</s:f>
        <s:v>#VALUE!</s:v>
      </s:c>
      <s:c r="L20" s="220" t="e">
        <s:f>IF(AND(K8&lt;&gt;0,I14&lt;&gt;0,I48&lt;&gt;0),(I48*N48+(I48/K8-I48)*I20)/(I48/K8),0)</s:f>
        <s:v>#DIV/0!</s:v>
      </s:c>
      <s:c r="M20" s="83" t="e">
        <s:f>IF(AND(I20&lt;&gt;"", I20&lt;&gt;0, L20&lt;&gt;"", L20&lt;&gt;0), L20/I20, "")</s:f>
        <s:v>#DIV/0!</s:v>
      </s:c>
      <s:c r="N20" s="84" t="str">
        <s:f>IF(AND(J20&lt;&gt;0, J20&lt;&gt;"", I20&lt;&gt;0, I20&lt;&gt;""), L20-I20, "")</s:f>
        <s:v/>
      </s:c>
      <s:c r="O20" s="85"/>
      <s:c r="P20" s="86" t="e">
        <s:f>IF(AND(O20&lt;&gt;"", O20&lt;&gt;0, L20&lt;&gt;"", L20&lt;&gt;0), -O20+L20, "")</s:f>
        <s:v>#DIV/0!</s:v>
      </s:c>
      <s:c r="Q20" s="87" t="e">
        <s:f>IF(AND(P20&lt;&gt;"", P20&lt;&gt;0, O20&lt;&gt;0, O20&lt;&gt;""), P20/O20, "")</s:f>
        <s:v>#DIV/0!</s:v>
      </s:c>
      <s:c r="R20" s="37"/>
      <s:c r="S20" s="37"/>
      <s:c r="T20" s="297"/>
      <s:c r="U20" s="297"/>
      <s:c r="V20" s="297"/>
      <s:c r="W20" s="297"/>
    </s:row>
    <s:row r="21" spans="1:33" ht="15.75" customHeight="1">
      <s:c r="B21" s="302"/>
      <s:c r="C21" s="297"/>
      <s:c r="D21" s="297"/>
      <s:c r="E21" s="297"/>
      <s:c r="F21" s="297"/>
      <s:c r="G21" s="297"/>
      <s:c r="H21" s="297"/>
      <s:c r="I21" s="297"/>
      <s:c r="J21" s="297"/>
      <s:c r="K21" s="297"/>
      <s:c r="L21" s="297"/>
      <s:c r="M21" s="297"/>
      <s:c r="N21" s="297"/>
      <s:c r="O21" s="297"/>
      <s:c r="P21" s="297"/>
      <s:c r="Q21" s="297"/>
      <s:c r="R21" s="37"/>
      <s:c r="S21" s="37"/>
      <s:c r="T21" s="297"/>
      <s:c r="U21" s="297"/>
      <s:c r="V21" s="297"/>
      <s:c r="W21" s="297"/>
    </s:row>
    <s:row r="22" spans="1:33" ht="16.5" customHeight="1">
      <s:c r="B22" s="707" t="s">
        <s:v>25</s:v>
      </s:c>
      <s:c r="C22" s="707"/>
      <s:c r="D22" s="707"/>
      <s:c r="E22" s="707"/>
      <s:c r="F22" s="707"/>
      <s:c r="G22" s="707"/>
      <s:c r="H22" s="707"/>
      <s:c r="I22" s="707"/>
      <s:c r="J22" s="707"/>
      <s:c r="K22" s="707"/>
      <s:c r="L22" s="707"/>
      <s:c r="M22" s="707"/>
      <s:c r="N22" s="707"/>
      <s:c r="O22" s="708" t="s">
        <s:v>26</s:v>
      </s:c>
      <s:c r="P22" s="707" t="s">
        <s:v>27</s:v>
      </s:c>
      <s:c r="Q22" s="707"/>
      <s:c r="R22" s="707"/>
      <s:c r="S22" s="707"/>
      <s:c r="T22" s="707"/>
      <s:c r="U22" s="707"/>
      <s:c r="V22" s="707"/>
      <s:c r="W22" s="707"/>
    </s:row>
    <s:row r="23" ht="36">
      <s:c r="B23" s="222" t="s">
        <s:v>29</s:v>
      </s:c>
      <s:c r="C23" s="222" t="s">
        <s:v>30</s:v>
      </s:c>
      <s:c r="D23" s="222" t="s">
        <s:v>31</s:v>
      </s:c>
      <s:c r="E23" s="222" t="s">
        <s:v>32</s:v>
      </s:c>
      <s:c r="F23" s="222" t="s">
        <s:v>33</s:v>
      </s:c>
      <s:c r="G23" s="222" t="s">
        <s:v>34</s:v>
      </s:c>
      <s:c r="H23" s="222" t="s">
        <s:v>35</s:v>
      </s:c>
      <s:c r="I23" s="222" t="s">
        <s:v>23</s:v>
      </s:c>
      <s:c r="J23" s="222" t="s">
        <s:v>36</s:v>
      </s:c>
      <s:c r="K23" s="90" t="s">
        <s:v>22</s:v>
      </s:c>
      <s:c r="L23" s="90" t="s">
        <s:v>15</s:v>
      </s:c>
      <s:c r="M23" s="222" t="s">
        <s:v>37</s:v>
      </s:c>
      <s:c r="N23" s="222" t="s">
        <s:v>38</s:v>
      </s:c>
      <s:c r="O23" s="708"/>
      <s:c r="P23" s="222" t="s">
        <s:v>39</s:v>
      </s:c>
      <s:c r="Q23" s="222" t="s">
        <s:v>40</s:v>
      </s:c>
      <s:c r="R23" s="222" t="s">
        <s:v>41</s:v>
      </s:c>
      <s:c r="S23" s="222" t="s">
        <s:v>42</s:v>
      </s:c>
      <s:c r="T23" s="222" t="s">
        <s:v>43</s:v>
      </s:c>
      <s:c r="U23" s="222" t="s">
        <s:v>44</s:v>
      </s:c>
      <s:c r="V23" s="303" t="s">
        <s:v>45</s:v>
      </s:c>
      <s:c r="W23" s="303" t="s">
        <s:v>46</s:v>
      </s:c>
      <s:c r="X23" s="224"/>
    </s:row>
    <s:row r="24">
      <s:c r="A24" s="304"/>
      <s:c r="B24" s="305">
        <s:v>1</s:v>
      </s:c>
      <s:c r="C24" s="306">
        <s:v>2</s:v>
      </s:c>
      <s:c r="D24" s="306">
        <s:v>3</s:v>
      </s:c>
      <s:c r="E24" s="306" t="s">
        <s:v>72</s:v>
      </s:c>
      <s:c r="F24" s="306">
        <s:v>5</s:v>
      </s:c>
      <s:c r="G24" s="306">
        <s:v>6</s:v>
      </s:c>
      <s:c r="H24" s="306">
        <s:v>7</s:v>
      </s:c>
      <s:c r="I24" s="306">
        <s:v>8</s:v>
      </s:c>
      <s:c r="J24" s="306">
        <s:v>9</s:v>
      </s:c>
      <s:c r="K24" s="306">
        <s:v>10</s:v>
      </s:c>
      <s:c r="L24" s="306">
        <s:v>11</s:v>
      </s:c>
      <s:c r="M24" s="306">
        <s:v>12</s:v>
      </s:c>
      <s:c r="N24" s="306">
        <s:v>13</s:v>
      </s:c>
      <s:c r="O24" s="708"/>
      <s:c r="P24" s="307">
        <s:v>1</s:v>
      </s:c>
      <s:c r="Q24" s="307">
        <s:v>2</s:v>
      </s:c>
      <s:c r="R24" s="307">
        <s:v>3</s:v>
      </s:c>
      <s:c r="S24" s="307">
        <s:v>4</s:v>
      </s:c>
      <s:c r="T24" s="307">
        <s:v>5</s:v>
      </s:c>
      <s:c r="U24" s="307">
        <s:v>6</s:v>
      </s:c>
      <s:c r="V24" s="307">
        <s:v>10</s:v>
      </s:c>
      <s:c r="W24" s="307">
        <s:v>11</s:v>
      </s:c>
    </s:row>
    <s:row r="25">
      <s:c r="A25" s="95"/>
      <s:c r="B25" s="96"/>
      <s:c r="C25" s="97"/>
      <s:c r="D25" s="98"/>
      <s:c r="E25" s="108"/>
      <s:c r="F25" s="99" t="str">
        <s:f>IF(AND(E25&lt;&gt;"",E25&lt;&gt;0),D25/E25,"")</s:f>
        <s:v/>
      </s:c>
      <s:c r="G25" s="108"/>
      <s:c r="H25" s="99" t="str">
        <s:f>IF(AND(G25&lt;&gt;"",G25&lt;&gt;0),D25/G25,"")</s:f>
        <s:v/>
      </s:c>
      <s:c r="I25" s="108"/>
      <s:c r="J25" s="98" t="str">
        <s:f>IF(AND(G25&lt;&gt;"",G25&lt;&gt;0),E25/G25,"")</s:f>
        <s:v/>
      </s:c>
      <s:c r="K25" s="99"/>
      <s:c r="L25" s="99"/>
      <s:c r="M25" s="99"/>
      <s:c r="N25" s="100" t="str">
        <s:f>IF(AND(I25&lt;&gt;"",I25&lt;&gt;0),G25/I25,"")</s:f>
        <s:v/>
      </s:c>
      <s:c r="O25" s="101" t="e">
        <s:f>D25/P25</s:f>
        <s:v>#DIV/0!</s:v>
      </s:c>
      <s:c r="P25" s="102" t="e">
        <s:f>$I$8*V25*W25/SUMPRODUCT($W$25:$W$55,$V$25:$V$55)</s:f>
        <s:v>#DIV/0!</s:v>
      </s:c>
      <s:c r="Q25" s="103" t="e">
        <s:f>$I$9*V25*W25/SUMPRODUCT($W$25:$W$55,$V$25:$V$55)</s:f>
        <s:v>#DIV/0!</s:v>
      </s:c>
      <s:c r="R25" s="103" t="e">
        <s:f>IF($I$12="","",Q25/$I$12)</s:f>
        <s:v>#DIV/0!</s:v>
      </s:c>
      <s:c r="S25" s="102" t="e">
        <s:f ca="1">IF(W25&lt;&gt;"",IF(D25&lt;&gt;"",D25,($I$8-SUM($S24:S$25))*V25*W25/SUMPRODUCT($W25:$W$55,$V25:$V$55)),"")</s:f>
        <s:v>#DIV/0!</s:v>
      </s:c>
      <s:c r="T25" s="103" t="e">
        <s:f ca="1">IF(W25&lt;&gt;"",IF(E25&lt;&gt;"",E25,($I$9-SUM($T24:T$25))*V25*W25/SUMPRODUCT($W25:$W$55,$V25:$V$55)),"")</s:f>
        <s:v>#DIV/0!</s:v>
      </s:c>
      <s:c r="U25" s="103" t="e">
        <s:f ca="1">IF(W25&lt;&gt;"",IF($I$12&lt;&gt;"",IF(G25&lt;&gt;"",G25,($I$9/$I$12-SUM($U24:U$25))*V25*W25/SUMPRODUCT($W25:$W$55,$V25:$V$55)),""),"")</s:f>
        <s:v>#DIV/0!</s:v>
      </s:c>
      <s:c r="V25" s="104">
        <s:v>1.1982013014921034</s:v>
      </s:c>
      <s:c r="W25" s="104">
        <s:v>1.1982013014921034</s:v>
      </s:c>
      <s:c r="X25" s="107"/>
      <s:c r="Y25" s="106"/>
      <s:c r="Z25" s="2"/>
      <s:c r="AA25" s="2"/>
      <s:c r="AB25" s="2"/>
      <s:c r="AC25" s="2"/>
      <s:c r="AD25" s="2"/>
      <s:c r="AE25" s="2"/>
      <s:c r="AF25" s="2"/>
      <s:c r="AG25" s="2"/>
    </s:row>
    <s:row r="26">
      <s:c r="A26" s="95"/>
      <s:c r="B26" s="96"/>
      <s:c r="C26" s="97"/>
      <s:c r="D26" s="98"/>
      <s:c r="E26" s="97"/>
      <s:c r="F26" s="99" t="str">
        <s:f>IF(AND(E26&lt;&gt;"",E26&lt;&gt;0),D26/E26,"")</s:f>
        <s:v/>
      </s:c>
      <s:c r="G26" s="99"/>
      <s:c r="H26" s="99" t="str">
        <s:f>IF(AND(G26&lt;&gt;"",G26&lt;&gt;0),D26/G26,"")</s:f>
        <s:v/>
      </s:c>
      <s:c r="I26" s="99"/>
      <s:c r="J26" s="98" t="str">
        <s:f>IF(AND(G26&lt;&gt;"",G26&lt;&gt;0),E26/G26,"")</s:f>
        <s:v/>
      </s:c>
      <s:c r="K26" s="99"/>
      <s:c r="L26" s="99"/>
      <s:c r="M26" s="99"/>
      <s:c r="N26" s="100" t="str">
        <s:f>IF(AND(I26&lt;&gt;"",I26&lt;&gt;0),G26/I26,"")</s:f>
        <s:v/>
      </s:c>
      <s:c r="O26" s="101" t="e">
        <s:f>D26/P26</s:f>
        <s:v>#DIV/0!</s:v>
      </s:c>
      <s:c r="P26" s="102" t="e">
        <s:f>$I$8*V26*W26/SUMPRODUCT($W$25:$W$55,$V$25:$V$55)</s:f>
        <s:v>#DIV/0!</s:v>
      </s:c>
      <s:c r="Q26" s="103" t="e">
        <s:f>$I$9*V26*W26/SUMPRODUCT($W$25:$W$55,$V$25:$V$55)</s:f>
        <s:v>#DIV/0!</s:v>
      </s:c>
      <s:c r="R26" s="103" t="e">
        <s:f>IF($I$12="","",Q26/$I$12)</s:f>
        <s:v>#DIV/0!</s:v>
      </s:c>
      <s:c r="S26" s="102" t="str">
        <s:f>IF(W26&lt;&gt;"",IF(D26&lt;&gt;"",D26,($I$8-SUM($S$25:S25))*V26*W26/SUMPRODUCT($W26:$W$55,$V26:$V$55)),"")</s:f>
        <s:v/>
      </s:c>
      <s:c r="T26" s="103" t="str">
        <s:f>IF(W26&lt;&gt;"",IF(E25&lt;&gt;"",E25,($I$9-SUM($T$25:T25))*V26*W26/SUMPRODUCT($W26:$W$55,$V26:$V$55)),"")</s:f>
        <s:v/>
      </s:c>
      <s:c r="U26" s="103" t="str">
        <s:f>IF(W26&lt;&gt;"",IF($I$12&lt;&gt;"",IF(G26&lt;&gt;"",G26,($I$9/$I$12-SUM($U$25:U25))*V26*W26/SUMPRODUCT($W26:$W$55,$V26:$V$55)),""),"")</s:f>
        <s:v/>
      </s:c>
      <s:c r="V26" s="104"/>
      <s:c r="W26" s="104"/>
      <s:c r="X26" s="107"/>
      <s:c r="Y26" s="106"/>
      <s:c r="Z26" s="2"/>
      <s:c r="AA26" s="2"/>
      <s:c r="AB26" s="2"/>
      <s:c r="AC26" s="2"/>
      <s:c r="AD26" s="2"/>
      <s:c r="AE26" s="2"/>
      <s:c r="AF26" s="2"/>
      <s:c r="AG26" s="2"/>
    </s:row>
    <s:row r="27">
      <s:c r="A27" s="95"/>
      <s:c r="B27" s="308"/>
      <s:c r="C27" s="309"/>
      <s:c r="D27" s="310"/>
      <s:c r="E27" s="108"/>
      <s:c r="F27" s="99" t="str">
        <s:f>IF(AND(E27&lt;&gt;"",E27&lt;&gt;0),D27/E27,"")</s:f>
        <s:v/>
      </s:c>
      <s:c r="G27" s="108"/>
      <s:c r="H27" s="99" t="str">
        <s:f>IF(AND(G27&lt;&gt;"",G27&lt;&gt;0),D27/G27,"")</s:f>
        <s:v/>
      </s:c>
      <s:c r="I27" s="108"/>
      <s:c r="J27" s="98" t="str">
        <s:f>IF(AND(G27&lt;&gt;"",G27&lt;&gt;0),E27/G27,"")</s:f>
        <s:v/>
      </s:c>
      <s:c r="K27" s="99"/>
      <s:c r="L27" s="99"/>
      <s:c r="M27" s="99"/>
      <s:c r="N27" s="100" t="str">
        <s:f>IF(AND(I27&lt;&gt;"",I27&lt;&gt;0),G27/I27,"")</s:f>
        <s:v/>
      </s:c>
      <s:c r="O27" s="101" t="e">
        <s:f>D27/P27</s:f>
        <s:v>#DIV/0!</s:v>
      </s:c>
      <s:c r="P27" s="102" t="e">
        <s:f>$I$8*V27*W27/SUMPRODUCT($W$25:$W$55,$V$25:$V$55)</s:f>
        <s:v>#DIV/0!</s:v>
      </s:c>
      <s:c r="Q27" s="103" t="e">
        <s:f>$I$9*V27*W27/SUMPRODUCT($W$25:$W$55,$V$25:$V$55)</s:f>
        <s:v>#DIV/0!</s:v>
      </s:c>
      <s:c r="R27" s="103" t="e">
        <s:f>IF($I$12="","",Q27/$I$12)</s:f>
        <s:v>#DIV/0!</s:v>
      </s:c>
      <s:c r="S27" s="102" t="str">
        <s:f>IF(W27&lt;&gt;"",IF(D27&lt;&gt;"",D27,($I$8-SUM($S$25:S26))*V27*W27/SUMPRODUCT($W27:$W$55,$V27:$V$55)),"")</s:f>
        <s:v/>
      </s:c>
      <s:c r="T27" s="103" t="str">
        <s:f>IF(W27&lt;&gt;"",IF(E27&lt;&gt;"",E27,($I$9-SUM($T$25:T26))*V27*W27/SUMPRODUCT($W27:$W$55,$V27:$V$55)),"")</s:f>
        <s:v/>
      </s:c>
      <s:c r="U27" s="103" t="str">
        <s:f>IF(W27&lt;&gt;"",IF($I$12&lt;&gt;"",IF(G27&lt;&gt;"",G27,($I$9/$I$12-SUM($U$25:U26))*V27*W27/SUMPRODUCT($W27:$W$55,$V27:$V$55)),""),"")</s:f>
        <s:v/>
      </s:c>
      <s:c r="V27" s="280"/>
      <s:c r="W27" s="280"/>
      <s:c r="X27" s="106"/>
      <s:c r="Y27" s="106"/>
      <s:c r="Z27" s="111"/>
      <s:c r="AA27" s="2"/>
      <s:c r="AB27" s="2"/>
      <s:c r="AC27" s="2"/>
      <s:c r="AD27" s="2"/>
      <s:c r="AE27" s="2"/>
      <s:c r="AF27" s="2"/>
      <s:c r="AG27" s="2"/>
    </s:row>
    <s:row r="28">
      <s:c r="A28" s="95"/>
      <s:c r="B28" s="236"/>
      <s:c r="C28" s="237"/>
      <s:c r="D28" s="98"/>
      <s:c r="E28" s="99"/>
      <s:c r="F28" s="108" t="str">
        <s:f>IF(AND(E28&lt;&gt;"",E28&lt;&gt;0),D28/E28,"")</s:f>
        <s:v/>
      </s:c>
      <s:c r="G28" s="99"/>
      <s:c r="H28" s="99" t="str">
        <s:f>IF(AND(G28&lt;&gt;"",G28&lt;&gt;0),D28/G28,"")</s:f>
        <s:v/>
      </s:c>
      <s:c r="I28" s="99"/>
      <s:c r="J28" s="98" t="str">
        <s:f>IF(AND(G28&lt;&gt;"",G28&lt;&gt;0),E28/G28,"")</s:f>
        <s:v/>
      </s:c>
      <s:c r="K28" s="99"/>
      <s:c r="L28" s="99"/>
      <s:c r="M28" s="99"/>
      <s:c r="N28" s="100" t="str">
        <s:f>IF(AND(I28&lt;&gt;"",I28&lt;&gt;0),G28/I28,"")</s:f>
        <s:v/>
      </s:c>
      <s:c r="O28" s="101" t="e">
        <s:f>D28/P28</s:f>
        <s:v>#DIV/0!</s:v>
      </s:c>
      <s:c r="P28" s="102" t="e">
        <s:f>$I$8*V28*W28/SUMPRODUCT($W$25:$W$55,$V$25:$V$55)</s:f>
        <s:v>#DIV/0!</s:v>
      </s:c>
      <s:c r="Q28" s="103" t="e">
        <s:f>$I$9*V28*W28/SUMPRODUCT($W$25:$W$55,$V$25:$V$55)</s:f>
        <s:v>#DIV/0!</s:v>
      </s:c>
      <s:c r="R28" s="103" t="e">
        <s:f>IF($I$12="","",Q28/$I$12)</s:f>
        <s:v>#DIV/0!</s:v>
      </s:c>
      <s:c r="S28" s="102" t="str">
        <s:f>IF(W28&lt;&gt;"",IF(D28&lt;&gt;"",D28,($I$8-SUM($S$25:S27))*V28*W28/SUMPRODUCT($W28:$W$55,$V28:$V$55)),"")</s:f>
        <s:v/>
      </s:c>
      <s:c r="T28" s="103" t="str">
        <s:f>IF(W28&lt;&gt;"",IF(E28&lt;&gt;"",E28,($I$9-SUM($T$25:T27))*V28*W28/SUMPRODUCT($W28:$W$55,$V28:$V$55)),"")</s:f>
        <s:v/>
      </s:c>
      <s:c r="U28" s="103" t="str">
        <s:f>IF(W28&lt;&gt;"",IF($I$12&lt;&gt;"",IF(G28&lt;&gt;"",G28,($I$9/$I$12-SUM($U$25:U27))*V28*W28/SUMPRODUCT($W28:$W$55,$V28:$V$55)),""),"")</s:f>
        <s:v/>
      </s:c>
      <s:c r="V28" s="280"/>
      <s:c r="W28" s="280"/>
      <s:c r="X28" s="106"/>
      <s:c r="Y28" s="106"/>
      <s:c r="Z28" s="111"/>
      <s:c r="AA28" s="2"/>
      <s:c r="AB28" s="2"/>
      <s:c r="AC28" s="2"/>
      <s:c r="AD28" s="2"/>
      <s:c r="AE28" s="2"/>
      <s:c r="AF28" s="2"/>
      <s:c r="AG28" s="2"/>
    </s:row>
    <s:row r="29" spans="1:33" s="234" customFormat="1">
      <s:c r="A29" s="95"/>
      <s:c r="B29" s="308"/>
      <s:c r="C29" s="311"/>
      <s:c r="D29" s="249"/>
      <s:c r="E29" s="245"/>
      <s:c r="F29" s="238" t="str">
        <s:f>IF(AND(E29&lt;&gt;"",E29&lt;&gt;0),D29/E29,"")</s:f>
        <s:v/>
      </s:c>
      <s:c r="G29" s="245"/>
      <s:c r="H29" s="238" t="str">
        <s:f>IF(AND(G29&lt;&gt;"",G29&lt;&gt;0),D29/G29,"")</s:f>
        <s:v/>
      </s:c>
      <s:c r="I29" s="245"/>
      <s:c r="J29" s="232" t="str">
        <s:f>IF(AND(G29&lt;&gt;"",G29&lt;&gt;0),E29/G29,"")</s:f>
        <s:v/>
      </s:c>
      <s:c r="K29" s="238"/>
      <s:c r="L29" s="238"/>
      <s:c r="M29" s="238"/>
      <s:c r="N29" s="239" t="str">
        <s:f>IF(AND(I29&lt;&gt;"",I29&lt;&gt;0),G29/I29,"")</s:f>
        <s:v/>
      </s:c>
      <s:c r="O29" s="240" t="e">
        <s:f>D29/P29</s:f>
        <s:v>#DIV/0!</s:v>
      </s:c>
      <s:c r="P29" s="241" t="e">
        <s:f>$I$8*V29*W29/SUMPRODUCT($W$25:$W$55,$V$25:$V$55)</s:f>
        <s:v>#DIV/0!</s:v>
      </s:c>
      <s:c r="Q29" s="242" t="e">
        <s:f>$I$9*V29*W29/SUMPRODUCT($W$25:$W$55,$V$25:$V$55)</s:f>
        <s:v>#DIV/0!</s:v>
      </s:c>
      <s:c r="R29" s="242" t="e">
        <s:f>IF($I$12="","",Q29/$I$12)</s:f>
        <s:v>#DIV/0!</s:v>
      </s:c>
      <s:c r="S29" s="241" t="str">
        <s:f>IF(W29&lt;&gt;"",IF(D29&lt;&gt;"",D29,($I$8-SUM($S$25:S28))*V29*W29/SUMPRODUCT($W29:$W$55,$V29:$V$55)),"")</s:f>
        <s:v/>
      </s:c>
      <s:c r="T29" s="242" t="str">
        <s:f>IF(W29&lt;&gt;"",IF(E29&lt;&gt;"",E29,($I$9-SUM($T$25:T28))*V29*W29/SUMPRODUCT($W29:$W$55,$V29:$V$55)),"")</s:f>
        <s:v/>
      </s:c>
      <s:c r="U29" s="242" t="str">
        <s:f>IF(W29&lt;&gt;"",IF($I$12&lt;&gt;"",IF(G29&lt;&gt;"",G29,($I$9/$I$12-SUM($U$25:U28))*V29*W29/SUMPRODUCT($W29:$W$55,$V29:$V$55)),""),"")</s:f>
        <s:v/>
      </s:c>
      <s:c r="V29" s="284"/>
      <s:c r="W29" s="284"/>
      <s:c r="X29" s="243"/>
      <s:c r="Y29" s="243"/>
      <s:c r="Z29" s="244"/>
      <s:c r="AA29" s="244"/>
      <s:c r="AB29" s="244"/>
      <s:c r="AC29" s="244"/>
      <s:c r="AD29" s="244"/>
      <s:c r="AE29" s="244"/>
      <s:c r="AF29" s="244"/>
      <s:c r="AG29" s="244"/>
    </s:row>
    <s:row r="30" spans="1:33" s="234" customFormat="1" ht="15.25" customHeight="1">
      <s:c r="A30" s="235"/>
      <s:c r="B30" s="312"/>
      <s:c r="C30" s="311"/>
      <s:c r="D30" s="248"/>
      <s:c r="E30" s="238"/>
      <s:c r="F30" s="245" t="str">
        <s:f>IF(AND(E30&lt;&gt;"",E30&lt;&gt;0),D30/E30,"")</s:f>
        <s:v/>
      </s:c>
      <s:c r="G30" s="238"/>
      <s:c r="H30" s="245" t="str">
        <s:f>IF(AND(G30&lt;&gt;"",G30&lt;&gt;0),D30/G30,"")</s:f>
        <s:v/>
      </s:c>
      <s:c r="I30" s="238"/>
      <s:c r="J30" s="248" t="str">
        <s:f>IF(AND(G30&lt;&gt;"",G30&lt;&gt;0),E30/G30,"")</s:f>
        <s:v/>
      </s:c>
      <s:c r="K30" s="238"/>
      <s:c r="L30" s="245"/>
      <s:c r="M30" s="238"/>
      <s:c r="N30" s="313" t="str">
        <s:f>IF(AND(I30&lt;&gt;"",I30&lt;&gt;0),G30/I30,"")</s:f>
        <s:v/>
      </s:c>
      <s:c r="O30" s="240" t="e">
        <s:f>D30/P30</s:f>
        <s:v>#DIV/0!</s:v>
      </s:c>
      <s:c r="P30" s="276" t="e">
        <s:f>$I$8*V30*W30/SUMPRODUCT($W$25:$W$55,$V$25:$V$55)</s:f>
        <s:v>#DIV/0!</s:v>
      </s:c>
      <s:c r="Q30" s="242" t="e">
        <s:f>$I$9*V30*W30/SUMPRODUCT($W$25:$W$55,$V$25:$V$55)</s:f>
        <s:v>#DIV/0!</s:v>
      </s:c>
      <s:c r="R30" s="275" t="e">
        <s:f>IF($I$12="","",Q30/$I$12)</s:f>
        <s:v>#DIV/0!</s:v>
      </s:c>
      <s:c r="S30" s="241" t="str">
        <s:f>IF(W30&lt;&gt;"",IF(D30&lt;&gt;"",D30,($I$8-SUM($S$25:S29))*V30*W30/SUMPRODUCT($W30:$W$55,$V30:$V$55)),"")</s:f>
        <s:v/>
      </s:c>
      <s:c r="T30" s="242" t="str">
        <s:f>IF(W30&lt;&gt;"",IF(E30&lt;&gt;"",E30,($I$9-SUM($T$25:T29))*V30*W30/SUMPRODUCT($W30:$W$55,$V30:$V$55)),"")</s:f>
        <s:v/>
      </s:c>
      <s:c r="U30" s="242" t="str">
        <s:f>IF(W30&lt;&gt;"",IF($I$12&lt;&gt;"",IF(G30&lt;&gt;"",G30,($I$9/$I$12-SUM($U$25:U29))*V30*W30/SUMPRODUCT($W30:$W$55,$V30:$V$55)),""),"")</s:f>
        <s:v/>
      </s:c>
      <s:c r="V30" s="284"/>
      <s:c r="W30" s="284"/>
      <s:c r="X30" s="243"/>
      <s:c r="Y30" s="243"/>
      <s:c r="Z30" s="244"/>
      <s:c r="AA30" s="244"/>
      <s:c r="AB30" s="244"/>
      <s:c r="AC30" s="244"/>
      <s:c r="AD30" s="244"/>
      <s:c r="AE30" s="244"/>
      <s:c r="AF30" s="244"/>
      <s:c r="AG30" s="244"/>
    </s:row>
    <s:row r="31" spans="1:33" s="234" customFormat="1">
      <s:c r="A31" s="235"/>
      <s:c r="B31" s="312"/>
      <s:c r="C31" s="311"/>
      <s:c r="D31" s="249"/>
      <s:c r="E31" s="245"/>
      <s:c r="F31" s="238" t="str">
        <s:f>IF(AND(E31&lt;&gt;"",E31&lt;&gt;0),D31/E31,"")</s:f>
        <s:v/>
      </s:c>
      <s:c r="G31" s="245"/>
      <s:c r="H31" s="238" t="str">
        <s:f>IF(AND(G31&lt;&gt;"",G31&lt;&gt;0),D31/G31,"")</s:f>
        <s:v/>
      </s:c>
      <s:c r="I31" s="245"/>
      <s:c r="J31" s="232" t="str">
        <s:f>IF(AND(G31&lt;&gt;"",G31&lt;&gt;0),E31/G31,"")</s:f>
        <s:v/>
      </s:c>
      <s:c r="K31" s="238"/>
      <s:c r="L31" s="238"/>
      <s:c r="M31" s="238"/>
      <s:c r="N31" s="239" t="str">
        <s:f>IF(AND(I31&lt;&gt;"",I31&lt;&gt;0),G31/I31,"")</s:f>
        <s:v/>
      </s:c>
      <s:c r="O31" s="240" t="e">
        <s:f>D31/P31</s:f>
        <s:v>#DIV/0!</s:v>
      </s:c>
      <s:c r="P31" s="241" t="e">
        <s:f>$I$8*V31*W31/SUMPRODUCT($W$25:$W$55,$V$25:$V$55)</s:f>
        <s:v>#DIV/0!</s:v>
      </s:c>
      <s:c r="Q31" s="242" t="e">
        <s:f>$I$9*V31*W31/SUMPRODUCT($W$25:$W$55,$V$25:$V$55)</s:f>
        <s:v>#DIV/0!</s:v>
      </s:c>
      <s:c r="R31" s="242" t="e">
        <s:f>IF($I$12="","",Q31/$I$12)</s:f>
        <s:v>#DIV/0!</s:v>
      </s:c>
      <s:c r="S31" s="241" t="str">
        <s:f>IF(W31&lt;&gt;"",IF(D31&lt;&gt;"",D31,($I$8-SUM($S$25:S30))*V31*W31/SUMPRODUCT($W31:$W$55,$V31:$V$55)),"")</s:f>
        <s:v/>
      </s:c>
      <s:c r="T31" s="242" t="str">
        <s:f>IF(W31&lt;&gt;"",IF(E31&lt;&gt;"",E31,($I$9-SUM($T$25:T30))*V31*W31/SUMPRODUCT($W31:$W$55,$V31:$V$55)),"")</s:f>
        <s:v/>
      </s:c>
      <s:c r="U31" s="242" t="str">
        <s:f>IF(W31&lt;&gt;"",IF($I$12&lt;&gt;"",IF(G31&lt;&gt;"",G31,($I$9/$I$12-SUM($U$25:U30))*V31*W31/SUMPRODUCT($W31:$W$55,$V31:$V$55)),""),"")</s:f>
        <s:v/>
      </s:c>
      <s:c r="V31" s="284"/>
      <s:c r="W31" s="284"/>
      <s:c r="X31" s="243"/>
      <s:c r="Y31" s="243"/>
      <s:c r="Z31" s="246"/>
      <s:c r="AA31" s="244"/>
      <s:c r="AB31" s="244"/>
      <s:c r="AC31" s="244"/>
      <s:c r="AD31" s="244"/>
      <s:c r="AE31" s="244"/>
      <s:c r="AF31" s="244"/>
      <s:c r="AG31" s="244"/>
    </s:row>
    <s:row r="32" spans="1:33" s="234" customFormat="1">
      <s:c r="A32" s="235"/>
      <s:c r="B32" s="312"/>
      <s:c r="C32" s="311"/>
      <s:c r="D32" s="248"/>
      <s:c r="E32" s="238"/>
      <s:c r="F32" s="245" t="str">
        <s:f>IF(AND(E32&lt;&gt;"",E32&lt;&gt;0),D32/E32,"")</s:f>
        <s:v/>
      </s:c>
      <s:c r="G32" s="238"/>
      <s:c r="H32" s="245" t="str">
        <s:f>IF(AND(G32&lt;&gt;"",G32&lt;&gt;0),D32/G32,"")</s:f>
        <s:v/>
      </s:c>
      <s:c r="I32" s="238"/>
      <s:c r="J32" s="232" t="str">
        <s:f>IF(AND(G32&lt;&gt;"",G32&lt;&gt;0),E32/G32,"")</s:f>
        <s:v/>
      </s:c>
      <s:c r="K32" s="238"/>
      <s:c r="L32" s="238"/>
      <s:c r="M32" s="238"/>
      <s:c r="N32" s="239" t="str">
        <s:f>IF(AND(I32&lt;&gt;"",I32&lt;&gt;0),G32/I32,"")</s:f>
        <s:v/>
      </s:c>
      <s:c r="O32" s="240" t="e">
        <s:f>D32/P32</s:f>
        <s:v>#DIV/0!</s:v>
      </s:c>
      <s:c r="P32" s="241" t="e">
        <s:f>$I$8*V32*W32/SUMPRODUCT($W$25:$W$55,$V$25:$V$55)</s:f>
        <s:v>#DIV/0!</s:v>
      </s:c>
      <s:c r="Q32" s="242" t="e">
        <s:f>$I$9*V32*W32/SUMPRODUCT($W$25:$W$55,$V$25:$V$55)</s:f>
        <s:v>#DIV/0!</s:v>
      </s:c>
      <s:c r="R32" s="242" t="e">
        <s:f>IF($I$12="","",Q32/$I$12)</s:f>
        <s:v>#DIV/0!</s:v>
      </s:c>
      <s:c r="S32" s="241" t="str">
        <s:f>IF(W32&lt;&gt;"",IF(D32&lt;&gt;"",D32,($I$8-SUM($S$25:S31))*V32*W32/SUMPRODUCT($W32:$W$55,$V32:$V$55)),"")</s:f>
        <s:v/>
      </s:c>
      <s:c r="T32" s="242" t="str">
        <s:f>IF(W32&lt;&gt;"",IF(E32&lt;&gt;"",E32,($I$9-SUM($T$25:T31))*V32*W32/SUMPRODUCT($W32:$W$55,$V32:$V$55)),"")</s:f>
        <s:v/>
      </s:c>
      <s:c r="U32" s="242" t="str">
        <s:f>IF(W32&lt;&gt;"",IF($I$12&lt;&gt;"",IF(G32&lt;&gt;"",G32,($I$9/$I$12-SUM($U$25:U31))*V32*W32/SUMPRODUCT($W32:$W$55,$V32:$V$55)),""),"")</s:f>
        <s:v/>
      </s:c>
      <s:c r="V32" s="284"/>
      <s:c r="W32" s="284"/>
      <s:c r="X32" s="243"/>
      <s:c r="Y32" s="243"/>
      <s:c r="Z32" s="246"/>
      <s:c r="AA32" s="244"/>
      <s:c r="AB32" s="244"/>
      <s:c r="AC32" s="244"/>
      <s:c r="AD32" s="244"/>
      <s:c r="AE32" s="244"/>
      <s:c r="AF32" s="244"/>
      <s:c r="AG32" s="244"/>
    </s:row>
    <s:row r="33" spans="1:33" s="234" customFormat="1">
      <s:c r="A33" s="235"/>
      <s:c r="B33" s="312"/>
      <s:c r="C33" s="311"/>
      <s:c r="D33" s="249"/>
      <s:c r="E33" s="238"/>
      <s:c r="F33" s="238" t="str">
        <s:f>IF(AND(E33&lt;&gt;"",E33&lt;&gt;0),D33/E33,"")</s:f>
        <s:v/>
      </s:c>
      <s:c r="G33" s="238"/>
      <s:c r="H33" s="238" t="str">
        <s:f>IF(AND(G33&lt;&gt;"",G33&lt;&gt;0),D33/G33,"")</s:f>
        <s:v/>
      </s:c>
      <s:c r="I33" s="238"/>
      <s:c r="J33" s="232" t="str">
        <s:f>IF(AND(G33&lt;&gt;"",G33&lt;&gt;0),E33/G33,"")</s:f>
        <s:v/>
      </s:c>
      <s:c r="K33" s="238"/>
      <s:c r="L33" s="238"/>
      <s:c r="M33" s="238"/>
      <s:c r="N33" s="239" t="str">
        <s:f>IF(AND(I33&lt;&gt;"",I33&lt;&gt;0),G33/I33,"")</s:f>
        <s:v/>
      </s:c>
      <s:c r="O33" s="240" t="e">
        <s:f>D33/P33</s:f>
        <s:v>#DIV/0!</s:v>
      </s:c>
      <s:c r="P33" s="241" t="e">
        <s:f>$I$8*V33*W33/SUMPRODUCT($W$25:$W$55,$V$25:$V$55)</s:f>
        <s:v>#DIV/0!</s:v>
      </s:c>
      <s:c r="Q33" s="242" t="e">
        <s:f>$I$9*V33*W33/SUMPRODUCT($W$25:$W$55,$V$25:$V$55)</s:f>
        <s:v>#DIV/0!</s:v>
      </s:c>
      <s:c r="R33" s="242" t="e">
        <s:f>IF($I$12="","",Q33/$I$12)</s:f>
        <s:v>#DIV/0!</s:v>
      </s:c>
      <s:c r="S33" s="241" t="str">
        <s:f>IF(W33&lt;&gt;"",IF(D33&lt;&gt;"",D33,($I$8-SUM($S$25:S32))*V33*W33/SUMPRODUCT($W33:$W$55,$V33:$V$55)),"")</s:f>
        <s:v/>
      </s:c>
      <s:c r="T33" s="242" t="str">
        <s:f>IF(W33&lt;&gt;"",IF(E33&lt;&gt;"",E33,($I$9-SUM($T$25:T32))*V33*W33/SUMPRODUCT($W33:$W$55,$V33:$V$55)),"")</s:f>
        <s:v/>
      </s:c>
      <s:c r="U33" s="242" t="str">
        <s:f>IF(W33&lt;&gt;"",IF($I$12&lt;&gt;"",IF(G33&lt;&gt;"",G33,($I$9/$I$12-SUM($U$25:U32))*V33*W33/SUMPRODUCT($W33:$W$55,$V33:$V$55)),""),"")</s:f>
        <s:v/>
      </s:c>
      <s:c r="V33" s="284"/>
      <s:c r="W33" s="284"/>
      <s:c r="X33" s="243"/>
      <s:c r="Y33" s="243"/>
      <s:c r="Z33" s="246"/>
      <s:c r="AA33" s="244"/>
      <s:c r="AB33" s="244"/>
      <s:c r="AC33" s="244"/>
      <s:c r="AD33" s="244"/>
      <s:c r="AE33" s="244"/>
      <s:c r="AF33" s="244"/>
      <s:c r="AG33" s="244"/>
    </s:row>
    <s:row r="34" spans="1:33" s="234" customFormat="1">
      <s:c r="A34" s="235"/>
      <s:c r="B34" s="236"/>
      <s:c r="C34" s="314"/>
      <s:c r="D34" s="232"/>
      <s:c r="E34" s="245"/>
      <s:c r="F34" s="238" t="str">
        <s:f>IF(AND(E34&lt;&gt;"",E34&lt;&gt;0),D34/E34,"")</s:f>
        <s:v/>
      </s:c>
      <s:c r="G34" s="245"/>
      <s:c r="H34" s="238" t="str">
        <s:f>IF(AND(G34&lt;&gt;"",G34&lt;&gt;0),D34/G34,"")</s:f>
        <s:v/>
      </s:c>
      <s:c r="I34" s="245"/>
      <s:c r="J34" s="232" t="str">
        <s:f>IF(AND(G34&lt;&gt;"",G34&lt;&gt;0),E34/G34,"")</s:f>
        <s:v/>
      </s:c>
      <s:c r="K34" s="245"/>
      <s:c r="L34" s="238"/>
      <s:c r="M34" s="245"/>
      <s:c r="N34" s="239" t="str">
        <s:f>IF(AND(I34&lt;&gt;"",I34&lt;&gt;0),G34/I34,"")</s:f>
        <s:v/>
      </s:c>
      <s:c r="O34" s="274" t="e">
        <s:f>D34/P34</s:f>
        <s:v>#DIV/0!</s:v>
      </s:c>
      <s:c r="P34" s="241" t="e">
        <s:f>$I$8*V34*W34/SUMPRODUCT($W$25:$W$55,$V$25:$V$55)</s:f>
        <s:v>#DIV/0!</s:v>
      </s:c>
      <s:c r="Q34" s="275" t="e">
        <s:f>$I$9*V34*W34/SUMPRODUCT($W$25:$W$55,$V$25:$V$55)</s:f>
        <s:v>#DIV/0!</s:v>
      </s:c>
      <s:c r="R34" s="242" t="e">
        <s:f>IF($I$12="","",Q34/$I$12)</s:f>
        <s:v>#DIV/0!</s:v>
      </s:c>
      <s:c r="S34" s="241" t="str">
        <s:f>IF(W34&lt;&gt;"",IF(D34&lt;&gt;"",D34,($I$8-SUM($S$25:S33))*V34*W34/SUMPRODUCT($W34:$W$55,$V34:$V$55)),"")</s:f>
        <s:v/>
      </s:c>
      <s:c r="T34" s="242" t="str">
        <s:f>IF(W34&lt;&gt;"",IF(E34&lt;&gt;"",E34,($I$9-SUM($T$25:T33))*V34*W34/SUMPRODUCT($W34:$W$55,$V34:$V$55)),"")</s:f>
        <s:v/>
      </s:c>
      <s:c r="U34" s="242" t="str">
        <s:f>IF(W34&lt;&gt;"",IF($I$12&lt;&gt;"",IF(G34&lt;&gt;"",G34,($I$9/$I$12-SUM($U$25:U33))*V34*W34/SUMPRODUCT($W34:$W$55,$V34:$V$55)),""),"")</s:f>
        <s:v/>
      </s:c>
      <s:c r="V34" s="284"/>
      <s:c r="W34" s="284"/>
      <s:c r="X34" s="243"/>
      <s:c r="Y34" s="243"/>
      <s:c r="Z34" s="244"/>
      <s:c r="AA34" s="244"/>
      <s:c r="AB34" s="244"/>
      <s:c r="AC34" s="244"/>
      <s:c r="AD34" s="244"/>
      <s:c r="AE34" s="244"/>
      <s:c r="AF34" s="244"/>
      <s:c r="AG34" s="244"/>
    </s:row>
    <s:row r="35" spans="1:33" s="234" customFormat="1">
      <s:c r="A35" s="235"/>
      <s:c r="B35" s="236"/>
      <s:c r="C35" s="237"/>
      <s:c r="D35" s="232"/>
      <s:c r="E35" s="238"/>
      <s:c r="F35" s="238" t="str">
        <s:f>IF(AND(E35&lt;&gt;"",E35&lt;&gt;0),D35/E35,"")</s:f>
        <s:v/>
      </s:c>
      <s:c r="G35" s="238"/>
      <s:c r="H35" s="238" t="str">
        <s:f>IF(AND(G35&lt;&gt;"",G35&lt;&gt;0),D35/G35,"")</s:f>
        <s:v/>
      </s:c>
      <s:c r="I35" s="238"/>
      <s:c r="J35" s="232" t="str">
        <s:f>IF(AND(G35&lt;&gt;"",G35&lt;&gt;0),E35/G35,"")</s:f>
        <s:v/>
      </s:c>
      <s:c r="K35" s="238"/>
      <s:c r="L35" s="238"/>
      <s:c r="M35" s="238"/>
      <s:c r="N35" s="239" t="str">
        <s:f>IF(AND(I35&lt;&gt;"",I35&lt;&gt;0),G35/I35,"")</s:f>
        <s:v/>
      </s:c>
      <s:c r="O35" s="240" t="e">
        <s:f>D35/P35</s:f>
        <s:v>#DIV/0!</s:v>
      </s:c>
      <s:c r="P35" s="241" t="e">
        <s:f>$I$8*V35*W35/SUMPRODUCT($W$25:$W$55,$V$25:$V$55)</s:f>
        <s:v>#DIV/0!</s:v>
      </s:c>
      <s:c r="Q35" s="242" t="e">
        <s:f>$I$9*V35*W35/SUMPRODUCT($W$25:$W$55,$V$25:$V$55)</s:f>
        <s:v>#DIV/0!</s:v>
      </s:c>
      <s:c r="R35" s="242" t="e">
        <s:f>IF($I$12="","",Q35/$I$12)</s:f>
        <s:v>#DIV/0!</s:v>
      </s:c>
      <s:c r="S35" s="241" t="str">
        <s:f>IF(W35&lt;&gt;"",IF(D35&lt;&gt;"",D35,($I$8-SUM($S$25:S34))*V35*W35/SUMPRODUCT($W35:$W$55,$V35:$V$55)),"")</s:f>
        <s:v/>
      </s:c>
      <s:c r="T35" s="242" t="str">
        <s:f>IF(W35&lt;&gt;"",IF(E35&lt;&gt;"",E35,($I$9-SUM($T$25:T34))*V35*W35/SUMPRODUCT($W35:$W$55,$V35:$V$55)),"")</s:f>
        <s:v/>
      </s:c>
      <s:c r="U35" s="242" t="str">
        <s:f>IF(W35&lt;&gt;"",IF($I$12&lt;&gt;"",IF(G35&lt;&gt;"",G35,($I$9/$I$12-SUM($U$25:U34))*V35*W35/SUMPRODUCT($W35:$W$55,$V35:$V$55)),""),"")</s:f>
        <s:v/>
      </s:c>
      <s:c r="V35" s="284"/>
      <s:c r="W35" s="284"/>
      <s:c r="X35" s="243"/>
      <s:c r="Y35" s="243"/>
      <s:c r="Z35" s="244"/>
      <s:c r="AA35" s="244"/>
      <s:c r="AB35" s="244"/>
      <s:c r="AC35" s="244"/>
      <s:c r="AD35" s="244"/>
      <s:c r="AE35" s="244"/>
      <s:c r="AF35" s="244"/>
      <s:c r="AG35" s="244"/>
    </s:row>
    <s:row r="36" spans="1:33" s="234" customFormat="1">
      <s:c r="A36" s="235"/>
      <s:c r="B36" s="236"/>
      <s:c r="C36" s="237"/>
      <s:c r="D36" s="232"/>
      <s:c r="E36" s="238"/>
      <s:c r="F36" s="238" t="str">
        <s:f>IF(AND(E36&lt;&gt;"",E36&lt;&gt;0),D36/E36,"")</s:f>
        <s:v/>
      </s:c>
      <s:c r="G36" s="238"/>
      <s:c r="H36" s="238" t="str">
        <s:f>IF(AND(G36&lt;&gt;"",G36&lt;&gt;0),D36/G36,"")</s:f>
        <s:v/>
      </s:c>
      <s:c r="I36" s="238"/>
      <s:c r="J36" s="232" t="str">
        <s:f>IF(AND(G36&lt;&gt;"",G36&lt;&gt;0),E36/G36,"")</s:f>
        <s:v/>
      </s:c>
      <s:c r="K36" s="238"/>
      <s:c r="L36" s="238"/>
      <s:c r="M36" s="238"/>
      <s:c r="N36" s="239" t="str">
        <s:f>IF(AND(I36&lt;&gt;"",I36&lt;&gt;0),G36/I36,"")</s:f>
        <s:v/>
      </s:c>
      <s:c r="O36" s="240" t="e">
        <s:f>D36/P36</s:f>
        <s:v>#DIV/0!</s:v>
      </s:c>
      <s:c r="P36" s="241" t="e">
        <s:f>$I$8*V36*W36/SUMPRODUCT($W$25:$W$55,$V$25:$V$55)</s:f>
        <s:v>#DIV/0!</s:v>
      </s:c>
      <s:c r="Q36" s="242" t="e">
        <s:f>$I$9*V36*W36/SUMPRODUCT($W$25:$W$55,$V$25:$V$55)</s:f>
        <s:v>#DIV/0!</s:v>
      </s:c>
      <s:c r="R36" s="242" t="e">
        <s:f>IF($I$12="","",Q36/$I$12)</s:f>
        <s:v>#DIV/0!</s:v>
      </s:c>
      <s:c r="S36" s="241" t="str">
        <s:f>IF(W36&lt;&gt;"",IF(D36&lt;&gt;"",D36,($I$8-SUM($S$25:S35))*V36*W36/SUMPRODUCT($W36:$W$55,$V36:$V$55)),"")</s:f>
        <s:v/>
      </s:c>
      <s:c r="T36" s="242" t="str">
        <s:f>IF(W36&lt;&gt;"",IF(E36&lt;&gt;"",E36,($I$9-SUM($T$25:T35))*V36*W36/SUMPRODUCT($W36:$W$55,$V36:$V$55)),"")</s:f>
        <s:v/>
      </s:c>
      <s:c r="U36" s="242" t="str">
        <s:f>IF(W36&lt;&gt;"",IF($I$12&lt;&gt;"",IF(G36&lt;&gt;"",G36,($I$9/$I$12-SUM($U$25:U35))*V36*W36/SUMPRODUCT($W36:$W$55,$V36:$V$55)),""),"")</s:f>
        <s:v/>
      </s:c>
      <s:c r="V36" s="284"/>
      <s:c r="W36" s="284"/>
      <s:c r="X36" s="243"/>
      <s:c r="Y36" s="243"/>
      <s:c r="Z36" s="246"/>
      <s:c r="AA36" s="244"/>
      <s:c r="AB36" s="244"/>
      <s:c r="AC36" s="244"/>
      <s:c r="AD36" s="244"/>
      <s:c r="AE36" s="244"/>
      <s:c r="AF36" s="244"/>
      <s:c r="AG36" s="244"/>
    </s:row>
    <s:row r="37" spans="1:33" s="234" customFormat="1">
      <s:c r="A37" s="235"/>
      <s:c r="B37" s="236"/>
      <s:c r="C37" s="237"/>
      <s:c r="D37" s="232"/>
      <s:c r="E37" s="238"/>
      <s:c r="F37" s="238" t="str">
        <s:f>IF(AND(E37&lt;&gt;"",E37&lt;&gt;0),D37/E37,"")</s:f>
        <s:v/>
      </s:c>
      <s:c r="G37" s="238"/>
      <s:c r="H37" s="238" t="str">
        <s:f>IF(AND(G37&lt;&gt;"",G37&lt;&gt;0),D37/G37,"")</s:f>
        <s:v/>
      </s:c>
      <s:c r="I37" s="238"/>
      <s:c r="J37" s="232" t="str">
        <s:f>IF(AND(G37&lt;&gt;"",G37&lt;&gt;0),E37/G37,"")</s:f>
        <s:v/>
      </s:c>
      <s:c r="K37" s="238"/>
      <s:c r="L37" s="238"/>
      <s:c r="M37" s="238"/>
      <s:c r="N37" s="239" t="str">
        <s:f>IF(AND(I37&lt;&gt;"",I37&lt;&gt;0),G37/I37,"")</s:f>
        <s:v/>
      </s:c>
      <s:c r="O37" s="240" t="e">
        <s:f>D37/P37</s:f>
        <s:v>#DIV/0!</s:v>
      </s:c>
      <s:c r="P37" s="241" t="e">
        <s:f>$I$8*V37*W37/SUMPRODUCT($W$25:$W$55,$V$25:$V$55)</s:f>
        <s:v>#DIV/0!</s:v>
      </s:c>
      <s:c r="Q37" s="242" t="e">
        <s:f>$I$9*V37*W37/SUMPRODUCT($W$25:$W$55,$V$25:$V$55)</s:f>
        <s:v>#DIV/0!</s:v>
      </s:c>
      <s:c r="R37" s="242" t="e">
        <s:f>IF($I$12="","",Q37/$I$12)</s:f>
        <s:v>#DIV/0!</s:v>
      </s:c>
      <s:c r="S37" s="241" t="str">
        <s:f>IF(W37&lt;&gt;"",IF(D37&lt;&gt;"",D37,($I$8-SUM($S$25:S36))*V37*W37/SUMPRODUCT($W37:$W$55,$V37:$V$55)),"")</s:f>
        <s:v/>
      </s:c>
      <s:c r="T37" s="242" t="str">
        <s:f>IF(W37&lt;&gt;"",IF(E37&lt;&gt;"",E37,($I$9-SUM($T$25:T36))*V37*W37/SUMPRODUCT($W37:$W$55,$V37:$V$55)),"")</s:f>
        <s:v/>
      </s:c>
      <s:c r="U37" s="242" t="str">
        <s:f>IF(W37&lt;&gt;"",IF($I$12&lt;&gt;"",IF(G37&lt;&gt;"",G37,($I$9/$I$12-SUM($U$25:U36))*V37*W37/SUMPRODUCT($W37:$W$55,$V37:$V$55)),""),"")</s:f>
        <s:v/>
      </s:c>
      <s:c r="V37" s="284"/>
      <s:c r="W37" s="284"/>
      <s:c r="X37" s="243"/>
      <s:c r="Y37" s="243"/>
      <s:c r="Z37" s="246"/>
      <s:c r="AA37" s="244"/>
      <s:c r="AB37" s="244"/>
      <s:c r="AC37" s="244"/>
      <s:c r="AD37" s="244"/>
      <s:c r="AE37" s="244"/>
      <s:c r="AF37" s="244"/>
      <s:c r="AG37" s="244"/>
    </s:row>
    <s:row r="38" spans="1:33" s="234" customFormat="1">
      <s:c r="A38" s="315"/>
      <s:c r="B38" s="316"/>
      <s:c r="C38" s="237"/>
      <s:c r="D38" s="317"/>
      <s:c r="E38" s="318"/>
      <s:c r="F38" s="238" t="str">
        <s:f>IF(AND(E38&lt;&gt;"",E38&lt;&gt;0),D38/E38,"")</s:f>
        <s:v/>
      </s:c>
      <s:c r="G38" s="318"/>
      <s:c r="H38" s="238" t="str">
        <s:f>IF(AND(G38&lt;&gt;"",G38&lt;&gt;0),D38/G38,"")</s:f>
        <s:v/>
      </s:c>
      <s:c r="I38" s="318"/>
      <s:c r="J38" s="232" t="str">
        <s:f>IF(AND(G38&lt;&gt;"",G38&lt;&gt;0),E38/G38,"")</s:f>
        <s:v/>
      </s:c>
      <s:c r="K38" s="238"/>
      <s:c r="L38" s="238"/>
      <s:c r="M38" s="238"/>
      <s:c r="N38" s="277" t="str">
        <s:f>IF(AND(I38&lt;&gt;"",I38&lt;&gt;0),G38/I38,"")</s:f>
        <s:v/>
      </s:c>
      <s:c r="O38" s="319" t="e">
        <s:f>D38/P38</s:f>
        <s:v>#DIV/0!</s:v>
      </s:c>
      <s:c r="P38" s="241" t="e">
        <s:f>$I$8*V38*W38/SUMPRODUCT($W$25:$W$44,$V$25:$V$44)</s:f>
        <s:v>#DIV/0!</s:v>
      </s:c>
      <s:c r="Q38" s="242" t="e">
        <s:f>$I$9*V38*W38/SUMPRODUCT($W$25:$W$44,$V$25:$V$44)</s:f>
        <s:v>#DIV/0!</s:v>
      </s:c>
      <s:c r="R38" s="242" t="e">
        <s:f>IF($I$12="","",Q38/$I$12)</s:f>
        <s:v>#DIV/0!</s:v>
      </s:c>
      <s:c r="S38" s="241" t="str">
        <s:f>IF(W38&lt;&gt;"",IF(D38&lt;&gt;"",D38,($I$8-SUM($S$25:S37))*V38*W38/SUMPRODUCT($W38:$W$55,$V38:$V$55)),"")</s:f>
        <s:v/>
      </s:c>
      <s:c r="T38" s="242" t="str">
        <s:f>IF(W38&lt;&gt;"",IF(E38&lt;&gt;"",E38,($I$9-SUM($T$25:T37))*V38*W38/SUMPRODUCT($W38:$W$55,$V38:$V$55)),"")</s:f>
        <s:v/>
      </s:c>
      <s:c r="U38" s="242" t="str">
        <s:f>IF(W38&lt;&gt;"",IF($I$12&lt;&gt;"",IF(G38&lt;&gt;"",G38,($I$9/$I$12-SUM($U$25:U37))*V38*W38/SUMPRODUCT($W38:$W$55,$V38:$V$55)),""),"")</s:f>
        <s:v/>
      </s:c>
      <s:c r="V38" s="284"/>
      <s:c r="W38" s="284"/>
      <s:c r="X38" s="320"/>
      <s:c r="Y38" s="320"/>
      <s:c r="Z38" s="286"/>
    </s:row>
    <s:row r="39" spans="1:33" s="234" customFormat="1">
      <s:c r="A39" s="315"/>
      <s:c r="B39" s="316"/>
      <s:c r="C39" s="237"/>
      <s:c r="D39" s="317"/>
      <s:c r="E39" s="318"/>
      <s:c r="F39" s="238" t="str">
        <s:f>IF(AND(E39&lt;&gt;"",E39&lt;&gt;0),D39/E39,"")</s:f>
        <s:v/>
      </s:c>
      <s:c r="G39" s="318"/>
      <s:c r="H39" s="238" t="str">
        <s:f>IF(AND(G39&lt;&gt;"",G39&lt;&gt;0),D39/G39,"")</s:f>
        <s:v/>
      </s:c>
      <s:c r="I39" s="318"/>
      <s:c r="J39" s="232" t="str">
        <s:f>IF(AND(G39&lt;&gt;"",G39&lt;&gt;0),E39/G39,"")</s:f>
        <s:v/>
      </s:c>
      <s:c r="K39" s="238"/>
      <s:c r="L39" s="238"/>
      <s:c r="M39" s="238"/>
      <s:c r="N39" s="277" t="str">
        <s:f>IF(AND(I39&lt;&gt;"",I39&lt;&gt;0),G39/I39,"")</s:f>
        <s:v/>
      </s:c>
      <s:c r="O39" s="319" t="e">
        <s:f>D39/P39</s:f>
        <s:v>#DIV/0!</s:v>
      </s:c>
      <s:c r="P39" s="241" t="e">
        <s:f>$I$8*V39*W39/SUMPRODUCT($W$25:$W$44,$V$25:$V$44)</s:f>
        <s:v>#DIV/0!</s:v>
      </s:c>
      <s:c r="Q39" s="242" t="e">
        <s:f>$I$9*V39*W39/SUMPRODUCT($W$25:$W$44,$V$25:$V$44)</s:f>
        <s:v>#DIV/0!</s:v>
      </s:c>
      <s:c r="R39" s="242" t="e">
        <s:f>IF($I$12="","",Q39/$I$12)</s:f>
        <s:v>#DIV/0!</s:v>
      </s:c>
      <s:c r="S39" s="241" t="str">
        <s:f>IF(W39&lt;&gt;"",IF(D39&lt;&gt;"",D39,($I$8-SUM($S$25:S38))*V39*W39/SUMPRODUCT($W39:$W$55,$V39:$V$55)),"")</s:f>
        <s:v/>
      </s:c>
      <s:c r="T39" s="242" t="str">
        <s:f>IF(W39&lt;&gt;"",IF(E39&lt;&gt;"",E39,($I$9-SUM($T$25:T38))*V39*W39/SUMPRODUCT($W39:$W$55,$V39:$V$55)),"")</s:f>
        <s:v/>
      </s:c>
      <s:c r="U39" s="242" t="str">
        <s:f>IF(W39&lt;&gt;"",IF($I$12&lt;&gt;"",IF(G39&lt;&gt;"",G39,($I$9/$I$12-SUM($U$25:U38))*V39*W39/SUMPRODUCT($W39:$W$55,$V39:$V$55)),""),"")</s:f>
        <s:v/>
      </s:c>
      <s:c r="V39" s="284"/>
      <s:c r="W39" s="284"/>
      <s:c r="X39" s="320"/>
      <s:c r="Y39" s="320"/>
      <s:c r="Z39" s="286"/>
    </s:row>
    <s:row r="40" spans="1:33" s="234" customFormat="1">
      <s:c r="A40" s="315"/>
      <s:c r="B40" s="316"/>
      <s:c r="C40" s="237"/>
      <s:c r="D40" s="317"/>
      <s:c r="E40" s="318"/>
      <s:c r="F40" s="238" t="str">
        <s:f>IF(AND(E40&lt;&gt;"",E40&lt;&gt;0),D40/E40,"")</s:f>
        <s:v/>
      </s:c>
      <s:c r="G40" s="318"/>
      <s:c r="H40" s="238" t="str">
        <s:f>IF(AND(G40&lt;&gt;"",G40&lt;&gt;0),D40/G40,"")</s:f>
        <s:v/>
      </s:c>
      <s:c r="I40" s="318"/>
      <s:c r="J40" s="232" t="str">
        <s:f>IF(AND(G40&lt;&gt;"",G40&lt;&gt;0),E40/G40,"")</s:f>
        <s:v/>
      </s:c>
      <s:c r="K40" s="238"/>
      <s:c r="L40" s="238"/>
      <s:c r="M40" s="238"/>
      <s:c r="N40" s="277" t="str">
        <s:f>IF(AND(I40&lt;&gt;"",I40&lt;&gt;0),G40/I40,"")</s:f>
        <s:v/>
      </s:c>
      <s:c r="O40" s="319" t="e">
        <s:f>D40/P40</s:f>
        <s:v>#DIV/0!</s:v>
      </s:c>
      <s:c r="P40" s="241" t="e">
        <s:f>$I$8*V40*W40/SUMPRODUCT($W$25:$W$47,$V$25:$V$47)</s:f>
        <s:v>#DIV/0!</s:v>
      </s:c>
      <s:c r="Q40" s="242" t="e">
        <s:f>$I$9*V40*W40/SUMPRODUCT($W$25:$W$47,$V$25:$V$47)</s:f>
        <s:v>#DIV/0!</s:v>
      </s:c>
      <s:c r="R40" s="242" t="e">
        <s:f>IF($I$12="", "", Q40/$I$12)</s:f>
        <s:v>#DIV/0!</s:v>
      </s:c>
      <s:c r="S40" s="241" t="str">
        <s:f>IF(W40&lt;&gt;"",IF(D40&lt;&gt;"",D40,($I$8-SUM($S$25:S39))*V40*W40/SUMPRODUCT($W40:$W$55,$V40:$V$55)),"")</s:f>
        <s:v/>
      </s:c>
      <s:c r="T40" s="242" t="str">
        <s:f>IF(W40&lt;&gt;"",IF(E40&lt;&gt;"",E40,($I$9-SUM($T$25:T39))*V40*W40/SUMPRODUCT($W40:$W$55,$V40:$V$55)),"")</s:f>
        <s:v/>
      </s:c>
      <s:c r="U40" s="242" t="str">
        <s:f>IF(W40&lt;&gt;"",IF($I$12&lt;&gt;"",IF(G40&lt;&gt;"",G40,($I$9/$I$12-SUM($U$25:U39))*V40*W40/SUMPRODUCT($W40:$W$55,$V40:$V$55)),""),"")</s:f>
        <s:v/>
      </s:c>
      <s:c r="V40" s="284"/>
      <s:c r="W40" s="284"/>
      <s:c r="X40" s="320"/>
      <s:c r="Y40" s="320"/>
      <s:c r="Z40" s="286"/>
    </s:row>
    <s:row r="41" spans="1:33" s="234" customFormat="1">
      <s:c r="A41" s="315"/>
      <s:c r="B41" s="316"/>
      <s:c r="C41" s="237"/>
      <s:c r="D41" s="317"/>
      <s:c r="E41" s="318"/>
      <s:c r="F41" s="238" t="str">
        <s:f>IF(AND(E41&lt;&gt;"",E41&lt;&gt;0),D41/E41,"")</s:f>
        <s:v/>
      </s:c>
      <s:c r="G41" s="318"/>
      <s:c r="H41" s="238" t="str">
        <s:f>IF(AND(G41&lt;&gt;"",G41&lt;&gt;0),D41/G41,"")</s:f>
        <s:v/>
      </s:c>
      <s:c r="I41" s="318"/>
      <s:c r="J41" s="232" t="str">
        <s:f>IF(AND(G41&lt;&gt;"",G41&lt;&gt;0),E41/G41,"")</s:f>
        <s:v/>
      </s:c>
      <s:c r="K41" s="238"/>
      <s:c r="L41" s="238"/>
      <s:c r="M41" s="238"/>
      <s:c r="N41" s="277" t="str">
        <s:f>IF(AND(I41&lt;&gt;"",I41&lt;&gt;0),G41/I41,"")</s:f>
        <s:v/>
      </s:c>
      <s:c r="O41" s="319" t="e">
        <s:f>D41/P41</s:f>
        <s:v>#DIV/0!</s:v>
      </s:c>
      <s:c r="P41" s="241" t="e">
        <s:f>$I$8*V41*W41/SUMPRODUCT($W$25:$W$47,$V$25:$V$47)</s:f>
        <s:v>#DIV/0!</s:v>
      </s:c>
      <s:c r="Q41" s="242" t="e">
        <s:f>$I$9*V41*W41/SUMPRODUCT($W$25:$W$47,$V$25:$V$47)</s:f>
        <s:v>#DIV/0!</s:v>
      </s:c>
      <s:c r="R41" s="242" t="e">
        <s:f>IF($I$12="", "", Q41/$I$12)</s:f>
        <s:v>#DIV/0!</s:v>
      </s:c>
      <s:c r="S41" s="241" t="str">
        <s:f>IF(W41&lt;&gt;"",IF(D41&lt;&gt;"",D41,($I$8-SUM($S$25:S40))*V41*W41/SUMPRODUCT($W41:$W$55,$V41:$V$55)),"")</s:f>
        <s:v/>
      </s:c>
      <s:c r="T41" s="242" t="str">
        <s:f>IF(W41&lt;&gt;"",IF(E41&lt;&gt;"",E41,($I$9-SUM($T$25:T40))*V41*W41/SUMPRODUCT($W41:$W$55,$V41:$V$55)),"")</s:f>
        <s:v/>
      </s:c>
      <s:c r="U41" s="242" t="str">
        <s:f>IF(W41&lt;&gt;"",IF($I$12&lt;&gt;"",IF(G41&lt;&gt;"",G41,($I$9/$I$12-SUM($U$25:U40))*V41*W41/SUMPRODUCT($W41:$W$55,$V41:$V$55)),""),"")</s:f>
        <s:v/>
      </s:c>
      <s:c r="V41" s="284"/>
      <s:c r="W41" s="284"/>
      <s:c r="X41" s="320"/>
      <s:c r="Y41" s="320"/>
      <s:c r="Z41" s="286"/>
    </s:row>
    <s:row r="42" spans="1:33" s="234" customFormat="1">
      <s:c r="A42" s="315"/>
      <s:c r="B42" s="316"/>
      <s:c r="C42" s="237"/>
      <s:c r="D42" s="317"/>
      <s:c r="E42" s="318"/>
      <s:c r="F42" s="238" t="str">
        <s:f>IF(AND(E42&lt;&gt;"",E42&lt;&gt;0),D42/E42,"")</s:f>
        <s:v/>
      </s:c>
      <s:c r="G42" s="318"/>
      <s:c r="H42" s="238" t="str">
        <s:f>IF(AND(G42&lt;&gt;"",G42&lt;&gt;0),D42/G42,"")</s:f>
        <s:v/>
      </s:c>
      <s:c r="I42" s="318"/>
      <s:c r="J42" s="232" t="str">
        <s:f>IF(AND(G42&lt;&gt;"",G42&lt;&gt;0),E42/G42,"")</s:f>
        <s:v/>
      </s:c>
      <s:c r="K42" s="238"/>
      <s:c r="L42" s="238"/>
      <s:c r="M42" s="238"/>
      <s:c r="N42" s="277" t="str">
        <s:f>IF(AND(I42&lt;&gt;"",I42&lt;&gt;0),G42/I42,"")</s:f>
        <s:v/>
      </s:c>
      <s:c r="O42" s="319" t="e">
        <s:f>D42/P42</s:f>
        <s:v>#DIV/0!</s:v>
      </s:c>
      <s:c r="P42" s="241" t="e">
        <s:f>$I$8*V42*W42/SUMPRODUCT($W$25:$W$47,$V$25:$V$47)</s:f>
        <s:v>#DIV/0!</s:v>
      </s:c>
      <s:c r="Q42" s="242" t="e">
        <s:f>$I$9*V42*W42/SUMPRODUCT($W$25:$W$47,$V$25:$V$47)</s:f>
        <s:v>#DIV/0!</s:v>
      </s:c>
      <s:c r="R42" s="242" t="e">
        <s:f>IF($I$12="", "", Q42/$I$12)</s:f>
        <s:v>#DIV/0!</s:v>
      </s:c>
      <s:c r="S42" s="241" t="str">
        <s:f>IF(W42&lt;&gt;"",IF(D42&lt;&gt;"",D42,($I$8-SUM($S$25:S41))*V42*W42/SUMPRODUCT($W42:$W$55,$V42:$V$55)),"")</s:f>
        <s:v/>
      </s:c>
      <s:c r="T42" s="242" t="str">
        <s:f>IF(W42&lt;&gt;"",IF(E42&lt;&gt;"",E42,($I$9-SUM($T$25:T41))*V42*W42/SUMPRODUCT($W42:$W$55,$V42:$V$55)),"")</s:f>
        <s:v/>
      </s:c>
      <s:c r="U42" s="242" t="str">
        <s:f>IF(W42&lt;&gt;"",IF($I$12&lt;&gt;"",IF(G42&lt;&gt;"",G42,($I$9/$I$12-SUM($U$25:U41))*V42*W42/SUMPRODUCT($W42:$W$55,$V42:$V$55)),""),"")</s:f>
        <s:v/>
      </s:c>
      <s:c r="V42" s="284"/>
      <s:c r="W42" s="284"/>
      <s:c r="X42" s="320"/>
      <s:c r="Y42" s="320"/>
      <s:c r="Z42" s="286"/>
    </s:row>
    <s:row r="43" spans="1:33" s="234" customFormat="1" ht="15" customHeight="1">
      <s:c r="A43" s="315"/>
      <s:c r="B43" s="316"/>
      <s:c r="C43" s="321"/>
      <s:c r="D43" s="317"/>
      <s:c r="E43" s="318"/>
      <s:c r="F43" s="238" t="str">
        <s:f>IF(AND(E43&lt;&gt;"",E43&lt;&gt;0),D43/E43,"")</s:f>
        <s:v/>
      </s:c>
      <s:c r="G43" s="318"/>
      <s:c r="H43" s="238" t="str">
        <s:f>IF(AND(G43&lt;&gt;"",G43&lt;&gt;0),D43/G43,"")</s:f>
        <s:v/>
      </s:c>
      <s:c r="I43" s="318"/>
      <s:c r="J43" s="232" t="str">
        <s:f>IF(AND(G43&lt;&gt;"",G43&lt;&gt;0),E43/G43,"")</s:f>
        <s:v/>
      </s:c>
      <s:c r="K43" s="238"/>
      <s:c r="L43" s="238"/>
      <s:c r="M43" s="238"/>
      <s:c r="N43" s="277" t="str">
        <s:f>IF(AND(I43&lt;&gt;"",I43&lt;&gt;0),G43/I43,"")</s:f>
        <s:v/>
      </s:c>
      <s:c r="O43" s="319" t="e">
        <s:f>D43/P43</s:f>
        <s:v>#DIV/0!</s:v>
      </s:c>
      <s:c r="P43" s="241" t="e">
        <s:f>$I$8*V43*W43/SUMPRODUCT($W$25:$W$44, $V$25:$V$44)</s:f>
        <s:v>#DIV/0!</s:v>
      </s:c>
      <s:c r="Q43" s="242" t="e">
        <s:f>$I$9*V43*W43/SUMPRODUCT($W$25:$W$44, $V$25:$V$44)</s:f>
        <s:v>#DIV/0!</s:v>
      </s:c>
      <s:c r="R43" s="242" t="e">
        <s:f>IF($I$12="", "", Q43/$I$12)</s:f>
        <s:v>#DIV/0!</s:v>
      </s:c>
      <s:c r="S43" s="241" t="str">
        <s:f>IF(W43&lt;&gt;"",IF(D43&lt;&gt;"",D43,($I$8-SUM($S$25:S42))*V43*W43/SUMPRODUCT($W43:$W$55,$V43:$V$55)),"")</s:f>
        <s:v/>
      </s:c>
      <s:c r="T43" s="242" t="str">
        <s:f>IF(W43&lt;&gt;"",IF(E43&lt;&gt;"",E43,($I$9-SUM($T$25:T42))*V43*W43/SUMPRODUCT($W43:$W$55,$V43:$V$55)),"")</s:f>
        <s:v/>
      </s:c>
      <s:c r="U43" s="242" t="str">
        <s:f>IF(W43&lt;&gt;"",IF($I$12&lt;&gt;"",IF(G43&lt;&gt;"",G43,($I$9/$I$12-SUM($U$25:U42))*V43*W43/SUMPRODUCT($W43:$W$55,$V43:$V$55)),""),"")</s:f>
        <s:v/>
      </s:c>
      <s:c r="V43" s="284"/>
      <s:c r="W43" s="284"/>
      <s:c r="X43" s="320"/>
      <s:c r="Y43" s="320"/>
      <s:c r="Z43" s="286"/>
    </s:row>
    <s:row r="44" spans="1:33" s="234" customFormat="1">
      <s:c r="A44" s="315"/>
      <s:c r="B44" s="316"/>
      <s:c r="C44" s="237"/>
      <s:c r="D44" s="317"/>
      <s:c r="E44" s="318"/>
      <s:c r="F44" s="238" t="str">
        <s:f>IF(AND(E44&lt;&gt;"",E44&lt;&gt;0),D44/E44,"")</s:f>
        <s:v/>
      </s:c>
      <s:c r="G44" s="318"/>
      <s:c r="H44" s="238" t="str">
        <s:f>IF(AND(G44&lt;&gt;"",G44&lt;&gt;0),D44/G44,"")</s:f>
        <s:v/>
      </s:c>
      <s:c r="I44" s="318"/>
      <s:c r="J44" s="232" t="str">
        <s:f>IF(AND(G44&lt;&gt;"",G44&lt;&gt;0),E44/G44,"")</s:f>
        <s:v/>
      </s:c>
      <s:c r="K44" s="238"/>
      <s:c r="L44" s="238"/>
      <s:c r="M44" s="238"/>
      <s:c r="N44" s="277" t="str">
        <s:f>IF(AND(I44&lt;&gt;"",I44&lt;&gt;0),G44/I44,"")</s:f>
        <s:v/>
      </s:c>
      <s:c r="O44" s="319" t="e">
        <s:f>D44/P44</s:f>
        <s:v>#DIV/0!</s:v>
      </s:c>
      <s:c r="P44" s="241" t="e">
        <s:f>$I$8*V44*W44/SUMPRODUCT($W$25:$W$44, $V$25:$V$44)</s:f>
        <s:v>#DIV/0!</s:v>
      </s:c>
      <s:c r="Q44" s="242" t="e">
        <s:f>$I$9*V44*W44/SUMPRODUCT($W$25:$W$44, $V$25:$V$44)</s:f>
        <s:v>#DIV/0!</s:v>
      </s:c>
      <s:c r="R44" s="242" t="e">
        <s:f>IF($I$12="", "", Q44/$I$12)</s:f>
        <s:v>#DIV/0!</s:v>
      </s:c>
      <s:c r="S44" s="241" t="str">
        <s:f>IF(W44&lt;&gt;"",IF(D44&lt;&gt;"",D44,($I$8-SUM($S$25:S43))*V44*W44/SUMPRODUCT($W44:$W$55,$V44:$V$55)),"")</s:f>
        <s:v/>
      </s:c>
      <s:c r="T44" s="242" t="str">
        <s:f>IF(W44&lt;&gt;"",IF(E44&lt;&gt;"",E44,($I$9-SUM($T$25:T43))*V44*W44/SUMPRODUCT($W44:$W$55,$V44:$V$55)),"")</s:f>
        <s:v/>
      </s:c>
      <s:c r="U44" s="242" t="str">
        <s:f>IF(W44&lt;&gt;"",IF($I$12&lt;&gt;"",IF(G44&lt;&gt;"",G44,($I$9/$I$12-SUM($U$25:U43))*V44*W44/SUMPRODUCT($W44:$W$55,$V44:$V$55)),""),"")</s:f>
        <s:v/>
      </s:c>
      <s:c r="V44" s="284"/>
      <s:c r="W44" s="284"/>
      <s:c r="X44" s="320"/>
      <s:c r="Y44" s="320"/>
      <s:c r="Z44" s="286"/>
    </s:row>
    <s:row r="45" spans="1:33" s="234" customFormat="1">
      <s:c r="A45" s="315"/>
      <s:c r="B45" s="236"/>
      <s:c r="C45" s="237"/>
      <s:c r="D45" s="317"/>
      <s:c r="E45" s="318"/>
      <s:c r="F45" s="238" t="str">
        <s:f>IF(AND(E45&lt;&gt;"",E45&lt;&gt;0),D45/E45,"")</s:f>
        <s:v/>
      </s:c>
      <s:c r="G45" s="318"/>
      <s:c r="H45" s="238" t="str">
        <s:f>IF(AND(G45&lt;&gt;"",G45&lt;&gt;0),D45/G45,"")</s:f>
        <s:v/>
      </s:c>
      <s:c r="I45" s="318"/>
      <s:c r="J45" s="232" t="str">
        <s:f>IF(AND(G45&lt;&gt;"",G45&lt;&gt;0),E45/G45,"")</s:f>
        <s:v/>
      </s:c>
      <s:c r="K45" s="238"/>
      <s:c r="L45" s="238"/>
      <s:c r="M45" s="238"/>
      <s:c r="N45" s="277" t="str">
        <s:f>IF(AND(I45&lt;&gt;"",I45&lt;&gt;0),G45/I45,"")</s:f>
        <s:v/>
      </s:c>
      <s:c r="O45" s="319" t="e">
        <s:f>D45/P45</s:f>
        <s:v>#DIV/0!</s:v>
      </s:c>
      <s:c r="P45" s="241" t="e">
        <s:f>$I$8*V45*W45/SUMPRODUCT($W$25:$W$44, $V$25:$V$44)</s:f>
        <s:v>#DIV/0!</s:v>
      </s:c>
      <s:c r="Q45" s="242" t="e">
        <s:f>$I$9*V45*W45/SUMPRODUCT($W$25:$W$44, $V$25:$V$44)</s:f>
        <s:v>#DIV/0!</s:v>
      </s:c>
      <s:c r="R45" s="242" t="e">
        <s:f>IF($I$12="", "", Q45/$I$12)</s:f>
        <s:v>#DIV/0!</s:v>
      </s:c>
      <s:c r="S45" s="241" t="str">
        <s:f>IF(W45&lt;&gt;"",IF(D45&lt;&gt;"",D45,($I$8-SUM($S$25:S44))*V45*W45/SUMPRODUCT($W45:$W$55,$V45:$V$55)),"")</s:f>
        <s:v/>
      </s:c>
      <s:c r="T45" s="242" t="str">
        <s:f>IF(W45&lt;&gt;"",IF(E45&lt;&gt;"",E45,($I$9-SUM($T$25:T44))*V45*W45/SUMPRODUCT($W45:$W$55,$V45:$V$55)),"")</s:f>
        <s:v/>
      </s:c>
      <s:c r="U45" s="242" t="str">
        <s:f>IF(W45&lt;&gt;"",IF($I$12&lt;&gt;"",IF(G45&lt;&gt;"",G45,($I$9/$I$12-SUM($U$25:U44))*V45*W45/SUMPRODUCT($W45:$W$55,$V45:$V$55)),""),"")</s:f>
        <s:v/>
      </s:c>
      <s:c r="V45" s="284"/>
      <s:c r="W45" s="284"/>
      <s:c r="X45" s="320"/>
      <s:c r="Y45" s="320"/>
      <s:c r="Z45" s="286"/>
    </s:row>
    <s:row r="46" spans="1:33" customFormat="1">
      <s:c r="A46" s="322"/>
      <s:c r="B46" s="96"/>
      <s:c r="C46" s="97"/>
      <s:c r="D46" s="323"/>
      <s:c r="E46" s="324"/>
      <s:c r="F46" s="99" t="str">
        <s:f>IF(AND(E46&lt;&gt;"",E46&lt;&gt;0),D46/E46,"")</s:f>
        <s:v/>
      </s:c>
      <s:c r="G46" s="324"/>
      <s:c r="H46" s="99" t="str">
        <s:f>IF(AND(G46&lt;&gt;"",G46&lt;&gt;0),D46/G46,"")</s:f>
        <s:v/>
      </s:c>
      <s:c r="I46" s="99"/>
      <s:c r="J46" s="98" t="str">
        <s:f>IF(AND(G46&lt;&gt;"",G46&lt;&gt;0),E46/G46,"")</s:f>
        <s:v/>
      </s:c>
      <s:c r="K46" s="99"/>
      <s:c r="L46" s="99"/>
      <s:c r="M46" s="99"/>
      <s:c r="N46" s="279" t="str">
        <s:f>IF(AND(I46&lt;&gt;"",I46&lt;&gt;0),G46/I46,"")</s:f>
        <s:v/>
      </s:c>
      <s:c r="O46" s="325" t="e">
        <s:f>D46/P46</s:f>
        <s:v>#DIV/0!</s:v>
      </s:c>
      <s:c r="P46" s="102" t="e">
        <s:f>$I$8*V46*W46/SUMPRODUCT($W$25:$W$44, $V$25:$V$44)</s:f>
        <s:v>#DIV/0!</s:v>
      </s:c>
      <s:c r="Q46" s="103" t="e">
        <s:f>$I$9*V46*W46/SUMPRODUCT($W$25:$W$44, $V$25:$V$44)</s:f>
        <s:v>#DIV/0!</s:v>
      </s:c>
      <s:c r="R46" s="103" t="e">
        <s:f>IF($I$12="", "", Q46/$I$12)</s:f>
        <s:v>#DIV/0!</s:v>
      </s:c>
      <s:c r="S46" s="102" t="str">
        <s:f>IF(W46&lt;&gt;"",IF(D46&lt;&gt;"",D46,($I$8-SUM($S$25:S45))*V46*W46/SUMPRODUCT($W46:$W$55,$V46:$V$55)),"")</s:f>
        <s:v/>
      </s:c>
      <s:c r="T46" s="103" t="str">
        <s:f>IF(W46&lt;&gt;"",IF(E46&lt;&gt;"",E46,($I$9-SUM($T$25:T45))*V46*W46/SUMPRODUCT($W46:$W$55,$V46:$V$55)),"")</s:f>
        <s:v/>
      </s:c>
      <s:c r="U46" s="103" t="str">
        <s:f>IF(W46&lt;&gt;"",IF($I$12&lt;&gt;"",IF(G46&lt;&gt;"",G46,($I$9/$I$12-SUM($U$25:U45))*V46*W46/SUMPRODUCT($W46:$W$55,$V46:$V$55)),""),"")</s:f>
        <s:v/>
      </s:c>
      <s:c r="V46" s="280"/>
      <s:c r="W46" s="280"/>
      <s:c r="X46" s="326"/>
      <s:c r="Y46" s="327"/>
    </s:row>
    <s:row r="47" spans="1:33" customFormat="1" ht="15.25" customHeight="1">
      <s:c r="A47" s="95"/>
      <s:c r="B47" s="96"/>
      <s:c r="C47" s="328"/>
      <s:c r="D47" s="98"/>
      <s:c r="E47" s="99"/>
      <s:c r="F47" s="99" t="str">
        <s:f>IF(AND(E47&lt;&gt;"",E47&lt;&gt;0),D47/E47,"")</s:f>
        <s:v/>
      </s:c>
      <s:c r="G47" s="99"/>
      <s:c r="H47" s="99" t="str">
        <s:f>IF(AND(G47&lt;&gt;"",G47&lt;&gt;0),D47/G47,"")</s:f>
        <s:v/>
      </s:c>
      <s:c r="I47" s="99"/>
      <s:c r="J47" s="98" t="str">
        <s:f>IF(AND(G47&lt;&gt;"",G47&lt;&gt;0),E47/G47,"")</s:f>
        <s:v/>
      </s:c>
      <s:c r="K47" s="99"/>
      <s:c r="L47" s="99"/>
      <s:c r="M47" s="99"/>
      <s:c r="N47" s="100" t="str">
        <s:f>IF(AND(I47&lt;&gt;"",I47&lt;&gt;0),G47/I47,"")</s:f>
        <s:v/>
      </s:c>
      <s:c r="O47" s="101" t="e">
        <s:f>D47/P47</s:f>
        <s:v>#DIV/0!</s:v>
      </s:c>
      <s:c r="P47" s="102" t="e">
        <s:f>$I$8*V47*W47/SUMPRODUCT($W$25:$W$55,$V$25:$V$55)</s:f>
        <s:v>#DIV/0!</s:v>
      </s:c>
      <s:c r="Q47" s="103" t="e">
        <s:f>$I$9*V47*W47/SUMPRODUCT($W$25:$W$55,$V$25:$V$55)</s:f>
        <s:v>#DIV/0!</s:v>
      </s:c>
      <s:c r="R47" s="103" t="e">
        <s:f>IF($I$12="","",Q47/$I$12)</s:f>
        <s:v>#DIV/0!</s:v>
      </s:c>
      <s:c r="S47" s="102" t="str">
        <s:f>IF(W47&lt;&gt;"",IF(D47&lt;&gt;"",D47,($I$8-SUM($S$25:S46))*V47*W47/SUMPRODUCT($W47:$W$55,$V47:$V$55)),"")</s:f>
        <s:v/>
      </s:c>
      <s:c r="T47" s="103" t="str">
        <s:f>IF(W47&lt;&gt;"",IF(E47&lt;&gt;"",E47,($I$9-SUM($T$25:T46))*V47*W47/SUMPRODUCT($W47:$W$55,$V47:$V$55)),"")</s:f>
        <s:v/>
      </s:c>
      <s:c r="U47" s="103" t="str">
        <s:f>IF(W47&lt;&gt;"",IF($I$12&lt;&gt;"",IF(G47&lt;&gt;"",G47,($I$9/$I$12-SUM($U$25:U46))*V47*W47/SUMPRODUCT($W47:$W$55,$V47:$V$55)),""),"")</s:f>
        <s:v/>
      </s:c>
      <s:c r="V47" s="280"/>
      <s:c r="W47" s="280"/>
      <s:c r="X47" s="106"/>
      <s:c r="Y47" s="106"/>
      <s:c r="Z47" s="2"/>
      <s:c r="AA47" s="2"/>
      <s:c r="AB47" s="2"/>
      <s:c r="AC47" s="2"/>
      <s:c r="AD47" s="2"/>
      <s:c r="AE47" s="2"/>
      <s:c r="AF47" s="2"/>
      <s:c r="AG47" s="2"/>
    </s:row>
    <s:row r="48" spans="1:33" ht="15" customHeight="1">
      <s:c r="B48" s="709" t="s">
        <s:v>65</s:v>
      </s:c>
      <s:c r="C48" s="709"/>
      <s:c r="D48" s="329">
        <s:f>SUM(D25:D47)</s:f>
        <s:v>0</s:v>
      </s:c>
      <s:c r="E48" s="329">
        <s:f>SUM(E25:E47)</s:f>
        <s:v>0</s:v>
      </s:c>
      <s:c r="F48" s="329" t="str">
        <s:f>IF(AND(E48&lt;&gt;"",E48&lt;&gt;0),D48/E48,"")</s:f>
        <s:v/>
      </s:c>
      <s:c r="G48" s="329">
        <s:f>SUM(G25:G47)</s:f>
        <s:v>0</s:v>
      </s:c>
      <s:c r="H48" s="329" t="str">
        <s:f>IF(AND(G48&lt;&gt;"",G48&lt;&gt;0),D48/G48,"")</s:f>
        <s:v/>
      </s:c>
      <s:c r="I48" s="329">
        <s:f>SUM(I25:I47)</s:f>
        <s:v>0</s:v>
      </s:c>
      <s:c r="J48" s="330" t="str">
        <s:f>IF(AND(G48&lt;&gt;"",G48&lt;&gt;0),E48/G48,"")</s:f>
        <s:v/>
      </s:c>
      <s:c r="K48" s="329">
        <s:f>SUM(K25:K47)</s:f>
        <s:v>0</s:v>
      </s:c>
      <s:c r="L48" s="329">
        <s:f>SUM(L25:L47)</s:f>
        <s:v>0</s:v>
      </s:c>
      <s:c r="M48" s="329">
        <s:f>SUM(M25:M47)</s:f>
        <s:v>0</s:v>
      </s:c>
      <s:c r="N48" s="331" t="str">
        <s:f>IF(AND(I48&lt;&gt;"",I48&lt;&gt;0),G48/I48,"")</s:f>
        <s:v/>
      </s:c>
      <s:c r="O48" s="332" t="e">
        <s:f>D48/P48</s:f>
        <s:v>#DIV/0!</s:v>
      </s:c>
      <s:c r="P48" s="333" t="e">
        <s:f>SUM(P25:P47)</s:f>
        <s:v>#DIV/0!</s:v>
      </s:c>
      <s:c r="Q48" s="333" t="e">
        <s:f>SUM(Q25:Q47)</s:f>
        <s:v>#DIV/0!</s:v>
      </s:c>
      <s:c r="R48" s="333" t="e">
        <s:f>SUM(R25:R47)</s:f>
        <s:v>#DIV/0!</s:v>
      </s:c>
      <s:c r="S48" s="333" t="e">
        <s:f ca="1">SUM(S25:S47)</s:f>
        <s:v>#DIV/0!</s:v>
      </s:c>
      <s:c r="T48" s="333" t="e">
        <s:f ca="1">SUM(T25:T47)</s:f>
        <s:v>#DIV/0!</s:v>
      </s:c>
      <s:c r="U48" s="333" t="e">
        <s:f ca="1">SUM(U25:U47)</s:f>
        <s:v>#DIV/0!</s:v>
      </s:c>
      <s:c r="V48" s="334"/>
      <s:c r="W48" s="334"/>
    </s:row>
    <s:row r="49">
      <s:c r="B49" s="120"/>
      <s:c r="C49" s="121"/>
      <s:c r="D49" s="122" t="e">
        <s:f>SUMIF(D25:D47,"",P25:P47)+D48</s:f>
        <s:v>#DIV/0!</s:v>
      </s:c>
      <s:c r="E49" s="335"/>
      <s:c r="F49" s="121"/>
      <s:c r="G49" s="121"/>
      <s:c r="H49" s="124"/>
      <s:c r="I49" s="229"/>
      <s:c r="J49" s="124"/>
      <s:c r="L49" s="126"/>
      <s:c r="M49" s="335"/>
      <s:c r="N49" s="126"/>
      <s:c r="O49" s="126"/>
      <s:c r="P49" s="126"/>
      <s:c r="Q49" s="336"/>
    </s:row>
    <s:row r="50">
      <s:c r="D50" s="224"/>
    </s:row>
    <s:row r="52">
      <s:c r="D52" s="224"/>
    </s:row>
    <s:row r="53">
      <s:c r="D53" s="224"/>
    </s:row>
  </s:sheetData>
  <s:mergeCells count="28">
    <s:mergeCell ref="P22:W22"/>
    <s:mergeCell ref="B48:C48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49" priority="274" operator="lessThan">
      <s:formula>0</s:formula>
    </s:cfRule>
    <s:cfRule type="cellIs" dxfId="48" priority="275" operator="greaterThan">
      <s:formula>0</s:formula>
    </s:cfRule>
  </s:conditionalFormatting>
  <s:conditionalFormatting sqref="J25">
    <s:cfRule type="cellIs" dxfId="47" priority="10" operator="lessThan">
      <s:formula>$I$12</s:formula>
    </s:cfRule>
    <s:cfRule type="cellIs" dxfId="46" priority="11" operator="greaterThan">
      <s:formula>$I$12</s:formula>
    </s:cfRule>
  </s:conditionalFormatting>
  <s:conditionalFormatting sqref="J25:J28">
    <s:cfRule type="cellIs" dxfId="45" priority="12" operator="lessThan">
      <s:formula>$I$12</s:formula>
    </s:cfRule>
  </s:conditionalFormatting>
  <s:conditionalFormatting sqref="J26:J28">
    <s:cfRule type="cellIs" dxfId="44" priority="23" operator="greaterThan">
      <s:formula>$I$12</s:formula>
    </s:cfRule>
  </s:conditionalFormatting>
  <s:conditionalFormatting sqref="J29:J33">
    <s:cfRule type="cellIs" dxfId="43" priority="105" operator="greaterThan">
      <s:formula>$I$12</s:formula>
    </s:cfRule>
  </s:conditionalFormatting>
  <s:conditionalFormatting sqref="J29:J34">
    <s:cfRule type="cellIs" dxfId="42" priority="90" operator="lessThan">
      <s:formula>$I$12</s:formula>
    </s:cfRule>
  </s:conditionalFormatting>
  <s:conditionalFormatting sqref="J30">
    <s:cfRule type="cellIs" dxfId="41" priority="279" operator="lessThan">
      <s:formula>$I$12</s:formula>
    </s:cfRule>
  </s:conditionalFormatting>
  <s:conditionalFormatting sqref="J34:J47">
    <s:cfRule type="cellIs" dxfId="40" priority="89" operator="greaterThan">
      <s:formula>$I$12</s:formula>
    </s:cfRule>
    <s:cfRule type="cellIs" dxfId="39" priority="88" operator="lessThan">
      <s:formula>$I$12</s:formula>
    </s:cfRule>
  </s:conditionalFormatting>
  <s:conditionalFormatting sqref="K10:K12 K15">
    <s:cfRule type="cellIs" dxfId="38" priority="273" operator="greaterThan">
      <s:formula>1</s:formula>
    </s:cfRule>
    <s:cfRule type="cellIs" dxfId="37" priority="272" operator="lessThan">
      <s:formula>1</s:formula>
    </s:cfRule>
  </s:conditionalFormatting>
  <s:conditionalFormatting sqref="M8:M15">
    <s:cfRule type="cellIs" dxfId="36" priority="277" operator="lessThan">
      <s:formula>1</s:formula>
    </s:cfRule>
    <s:cfRule type="cellIs" dxfId="35" priority="271" operator="greaterThan">
      <s:formula>1</s:formula>
    </s:cfRule>
  </s:conditionalFormatting>
  <s:conditionalFormatting sqref="N25:N28">
    <s:cfRule type="cellIs" dxfId="34" priority="8" operator="greaterThanOrEqual">
      <s:formula>0.25</s:formula>
    </s:cfRule>
    <s:cfRule type="cellIs" dxfId="33" priority="7" operator="between">
      <s:formula>0.2</s:formula>
      <s:formula>0.25</s:formula>
    </s:cfRule>
  </s:conditionalFormatting>
  <s:conditionalFormatting sqref="N25:N47">
    <s:cfRule type="cellIs" dxfId="32" priority="9" operator="lessThan">
      <s:formula>0.2</s:formula>
    </s:cfRule>
  </s:conditionalFormatting>
  <s:conditionalFormatting sqref="N29:N33">
    <s:cfRule type="cellIs" dxfId="31" priority="102" operator="greaterThanOrEqual">
      <s:formula>0.25</s:formula>
    </s:cfRule>
  </s:conditionalFormatting>
  <s:conditionalFormatting sqref="N29:N34">
    <s:cfRule type="cellIs" dxfId="30" priority="91" operator="between">
      <s:formula>0.2</s:formula>
      <s:formula>0.25</s:formula>
    </s:cfRule>
  </s:conditionalFormatting>
  <s:conditionalFormatting sqref="N30">
    <s:cfRule type="cellIs" dxfId="29" priority="282" operator="between">
      <s:formula>0.2</s:formula>
      <s:formula>0.25</s:formula>
    </s:cfRule>
  </s:conditionalFormatting>
  <s:conditionalFormatting sqref="N34:N47">
    <s:cfRule type="cellIs" dxfId="28" priority="85" operator="between">
      <s:formula>0.2</s:formula>
      <s:formula>0.25</s:formula>
    </s:cfRule>
    <s:cfRule type="cellIs" dxfId="27" priority="86" operator="greaterThanOrEqual">
      <s:formula>0.25</s:formula>
    </s:cfRule>
  </s:conditionalFormatting>
  <s:conditionalFormatting sqref="O25:O28">
    <s:cfRule type="cellIs" dxfId="26" priority="6" operator="between">
      <s:formula>0.01</s:formula>
      <s:formula>0.99</s:formula>
    </s:cfRule>
    <s:cfRule type="cellIs" dxfId="25" priority="5" operator="between">
      <s:formula>0.85</s:formula>
      <s:formula>1</s:formula>
    </s:cfRule>
    <s:cfRule type="cellIs" dxfId="24" priority="1" operator="between">
      <s:formula>0.9001</s:formula>
      <s:formula>0.9999</s:formula>
    </s:cfRule>
    <s:cfRule type="cellIs" dxfId="23" priority="2" operator="lessThan">
      <s:formula>0.9</s:formula>
    </s:cfRule>
  </s:conditionalFormatting>
  <s:conditionalFormatting sqref="O25:O47">
    <s:cfRule type="cellIs" dxfId="22" priority="4" operator="greaterThan">
      <s:formula>100</s:formula>
    </s:cfRule>
    <s:cfRule type="cellIs" dxfId="21" priority="3" operator="greaterThan">
      <s:formula>1</s:formula>
    </s:cfRule>
  </s:conditionalFormatting>
  <s:conditionalFormatting sqref="O29:O33">
    <s:cfRule type="cellIs" dxfId="20" priority="99" operator="between">
      <s:formula>0.85</s:formula>
      <s:formula>1</s:formula>
    </s:cfRule>
    <s:cfRule type="cellIs" dxfId="19" priority="100" operator="between">
      <s:formula>0.01</s:formula>
      <s:formula>0.99</s:formula>
    </s:cfRule>
  </s:conditionalFormatting>
  <s:conditionalFormatting sqref="O29:O34">
    <s:cfRule type="cellIs" dxfId="18" priority="94" operator="between">
      <s:formula>0.9001</s:formula>
      <s:formula>0.9999</s:formula>
    </s:cfRule>
    <s:cfRule type="cellIs" dxfId="17" priority="93" operator="lessThan">
      <s:formula>0.9</s:formula>
    </s:cfRule>
  </s:conditionalFormatting>
  <s:conditionalFormatting sqref="O30">
    <s:cfRule type="cellIs" dxfId="16" priority="284" operator="between">
      <s:formula>0.85</s:formula>
      <s:formula>1</s:formula>
    </s:cfRule>
    <s:cfRule type="cellIs" dxfId="15" priority="287" operator="lessThan">
      <s:formula>0.9</s:formula>
    </s:cfRule>
    <s:cfRule type="cellIs" dxfId="14" priority="288" operator="between">
      <s:formula>0.9001</s:formula>
      <s:formula>0.9999</s:formula>
    </s:cfRule>
  </s:conditionalFormatting>
  <s:conditionalFormatting sqref="O34">
    <s:cfRule type="cellIs" dxfId="13" priority="92" operator="between">
      <s:formula>0.85</s:formula>
      <s:formula>1</s:formula>
    </s:cfRule>
  </s:conditionalFormatting>
  <s:conditionalFormatting sqref="O34:O37">
    <s:cfRule type="cellIs" dxfId="12" priority="84" operator="between">
      <s:formula>0.01</s:formula>
      <s:formula>0.99</s:formula>
    </s:cfRule>
    <s:cfRule type="cellIs" dxfId="11" priority="80" operator="lessThan">
      <s:formula>0.9</s:formula>
    </s:cfRule>
    <s:cfRule type="cellIs" dxfId="10" priority="79" operator="between">
      <s:formula>0.9001</s:formula>
      <s:formula>0.9999</s:formula>
    </s:cfRule>
  </s:conditionalFormatting>
  <s:conditionalFormatting sqref="O35:O37">
    <s:cfRule type="cellIs" dxfId="9" priority="83" operator="between">
      <s:formula>0.85</s:formula>
      <s:formula>1</s:formula>
    </s:cfRule>
  </s:conditionalFormatting>
  <s:conditionalFormatting sqref="O38:O45">
    <s:cfRule type="cellIs" dxfId="8" priority="132" operator="between">
      <s:formula>0.85</s:formula>
      <s:formula>1</s:formula>
    </s:cfRule>
    <s:cfRule type="cellIs" dxfId="7" priority="133" operator="between">
      <s:formula>0.01</s:formula>
      <s:formula>0.99</s:formula>
    </s:cfRule>
  </s:conditionalFormatting>
  <s:conditionalFormatting sqref="O38:O46">
    <s:cfRule type="cellIs" dxfId="6" priority="128" operator="between">
      <s:formula>0.9001</s:formula>
      <s:formula>0.9999</s:formula>
    </s:cfRule>
    <s:cfRule type="cellIs" dxfId="5" priority="129" operator="lessThan">
      <s:formula>0.9</s:formula>
    </s:cfRule>
  </s:conditionalFormatting>
  <s:conditionalFormatting sqref="O46:O47">
    <s:cfRule type="cellIs" dxfId="4" priority="121" operator="between">
      <s:formula>0.85</s:formula>
      <s:formula>1</s:formula>
    </s:cfRule>
    <s:cfRule type="cellIs" dxfId="3" priority="122" operator="between">
      <s:formula>0.01</s:formula>
      <s:formula>0.99</s:formula>
    </s:cfRule>
  </s:conditionalFormatting>
  <s:conditionalFormatting sqref="O47">
    <s:cfRule type="cellIs" dxfId="2" priority="118" operator="lessThan">
      <s:formula>0.9</s:formula>
    </s:cfRule>
    <s:cfRule type="cellIs" dxfId="1" priority="117" operator="between">
      <s:formula>0.9001</s:formula>
      <s:formula>0.9999</s:formula>
    </s:cfRule>
  </s:conditionalFormatting>
  <s:conditionalFormatting sqref="P10:Q10">
    <s:cfRule type="cellIs" dxfId="0" priority="276" operator="lessThan">
      <s:formula>0</s:formula>
    </s:cfRule>
  </s:conditionalFormatting>
  <s:dataValidations count="3">
    <s:dataValidation xr:uid="{00A800C3-0016-43C6-929E-004800250064}" type="date" allowBlank="1" showErrorMessage="1" sqref="B35:B45" vyd:viewType="arrow" mc:Ignorable="vyd">
      <s:formula1>40544</s:formula1>
      <s:formula2>73051</s:formula2>
    </s:dataValidation>
    <s:dataValidation xr:uid="{00460014-007A-4BEB-A328-001B000C0064}" type="decimal" allowBlank="1" showErrorMessage="1" sqref="I14 O10:O11 I8:J13" vyd:viewType="arrow" mc:Ignorable="vyd">
      <s:formula1>0</s:formula1>
      <s:formula2>1000000000000000</s:formula2>
    </s:dataValidation>
    <s:dataValidation xr:uid="{00BC0032-00C7-4549-9BAD-008700250032}" type="decimal" allowBlank="1" showErrorMessage="1" sqref="I41" vyd:viewType="arrow" mc:Ignorable="vyd">
      <s:formula1>0</s:formula1>
      <s:formula2>10000000000000000</s:formula2>
    </s:dataValidation>
  </s:dataValidations>
  <s:pageMargins left="0.7" right="0.7" top="0.75" bottom="0.75" header="0.3" footer="0.3"/>
  <s:pageSetup paperSize="9" orientation="portrait"/>
</s:worksheet>
</file>

<file path=xl/worksheets/sheet10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900-000000000000}">
  <s:dimension ref="A1:O25"/>
  <s:sheetViews>
    <s:sheetView tabSelected="0" zoomScale="93" workbookViewId="0">
      <s:selection activeCell="P21" sqref="P21"/>
    </s:sheetView>
  </s:sheetViews>
  <s:sheetFormatPr baseColWidth="10" defaultColWidth="11.5" defaultRowHeight="15"/>
  <s:cols>
    <s:col min="1" max="1" width="2.5" style="3" customWidth="1"/>
    <s:col min="2" max="2" width="12.332" style="3" customWidth="1"/>
    <s:col min="3" max="3" width="18.164" style="3" customWidth="1"/>
    <s:col min="4" max="4" width="12.332" style="3" bestFit="1" customWidth="1"/>
    <s:col min="5" max="5" width="11.664" style="3" customWidth="1"/>
    <s:col min="6" max="6" width="13.664" style="3" customWidth="1"/>
    <s:col min="7" max="7" width="14" style="3" customWidth="1"/>
    <s:col min="8" max="8" width="10.664" style="3" bestFit="1" customWidth="1"/>
    <s:col min="9" max="9" width="13.664" style="3" customWidth="1"/>
    <s:col min="10" max="10" width="17.664" style="3" customWidth="1"/>
    <s:col min="11" max="11" width="12.332" style="3" customWidth="1"/>
    <s:col min="12" max="12" width="12.832" style="3" customWidth="1"/>
    <s:col min="13" max="13" width="15.5" style="3" customWidth="1"/>
    <s:col min="14" max="14" width="13.832" style="3" customWidth="1"/>
  </s:cols>
  <s:sheetData>
    <s:row r="1" spans="1:15" ht="15" customHeight="1">
      <s:c r="A1" s="710" t="str">
        <s:f>График!B1</s:f>
        <s:v>Июнь, 2025</s:v>
      </s:c>
      <s:c r="B1" s="711"/>
      <s:c r="C1" s="711"/>
      <s:c r="D1" s="712"/>
      <s:c r="E1" s="337"/>
      <s:c r="F1" s="338"/>
      <s:c r="G1" s="338"/>
      <s:c r="H1" s="338"/>
      <s:c r="I1" s="338"/>
      <s:c r="J1" s="338"/>
      <s:c r="K1" s="338"/>
      <s:c r="L1" s="338"/>
      <s:c r="M1" s="338"/>
      <s:c r="N1" s="339"/>
    </s:row>
    <s:row r="2" spans="1:15" ht="15" customHeight="1">
      <s:c r="A2" s="713" t="str">
        <s:f>График!B3</s:f>
        <s:v>ул. Набережная Ленина, 18</s:v>
      </s:c>
      <s:c r="B2" s="714"/>
      <s:c r="C2" s="714"/>
      <s:c r="D2" s="340" t="str">
        <s:f>График!B4</s:f>
        <s:v>GL-0005</s:v>
      </s:c>
      <s:c r="E2" s="341"/>
      <s:c r="F2" s="342"/>
      <s:c r="G2" s="342"/>
      <s:c r="H2" s="342"/>
      <s:c r="I2" s="342"/>
      <s:c r="J2" s="342"/>
      <s:c r="K2" s="342"/>
      <s:c r="L2" s="342"/>
      <s:c r="M2" s="342"/>
      <s:c r="N2" s="343"/>
    </s:row>
    <s:row r="3" spans="1:15" ht="75">
      <s:c r="A3" s="715" t="s">
        <s:v>28</s:v>
      </s:c>
      <s:c r="B3" s="716"/>
      <s:c r="C3" s="716"/>
      <s:c r="D3" s="344" t="s">
        <s:v>76</s:v>
      </s:c>
      <s:c r="E3" s="344" t="s">
        <s:v>77</s:v>
      </s:c>
      <s:c r="F3" s="345" t="s">
        <s:v>78</s:v>
      </s:c>
      <s:c r="G3" s="346" t="s">
        <s:v>79</s:v>
      </s:c>
      <s:c r="H3" s="347" t="s">
        <s:v>80</s:v>
      </s:c>
      <s:c r="I3" s="348" t="s">
        <s:v>81</s:v>
      </s:c>
      <s:c r="J3" s="349" t="s">
        <s:v>82</s:v>
      </s:c>
      <s:c r="K3" s="350" t="s">
        <s:v>83</s:v>
      </s:c>
      <s:c r="L3" s="351" t="s">
        <s:v>84</s:v>
      </s:c>
      <s:c r="M3" s="352" t="s">
        <s:v>85</s:v>
      </s:c>
      <s:c r="N3" s="353" t="s">
        <s:v>86</s:v>
      </s:c>
    </s:row>
    <s:row r="4" spans="1:15" ht="16" customHeight="1">
      <s:c r="A4" s="717" t="str">
        <s:f>График!B29</s:f>
        <s:v>Рогалевич Ирина</s:v>
      </s:c>
      <s:c r="B4" s="718"/>
      <s:c r="C4" s="718"/>
      <s:c r="D4" s="354">
        <s:f>44000-C8</s:f>
        <s:v>38280</s:v>
      </s:c>
      <s:c r="E4" s="355"/>
      <s:c r="F4" s="356">
        <s:f>H8+H9+G16+G24+L24</s:f>
        <s:v>24755.83</s:v>
      </s:c>
      <s:c r="G4" s="357">
        <s:f>D11</s:f>
        <s:v>29800</s:v>
      </s:c>
      <s:c r="H4" s="358">
        <s:f>D18</s:f>
        <s:v>69301.375</s:v>
      </s:c>
      <s:c r="I4" s="359">
        <s:f>L18</s:f>
        <s:v>19312.139633507857</s:v>
      </s:c>
      <s:c r="J4" s="360">
        <s:f>L11</s:f>
        <s:v>0</s:v>
      </s:c>
      <s:c r="K4" s="361">
        <s:f>H4+J4+G4+F4+I4</s:f>
        <s:v>143169.34463350786</s:v>
      </s:c>
      <s:c r="L4" s="362">
        <s:f>C8+C9</s:f>
        <s:v>5720</s:v>
      </s:c>
      <s:c r="M4" s="363">
        <s:f>K4-L4-D4-E4</s:f>
        <s:v>99169.344633507862</s:v>
      </s:c>
      <s:c r="N4" s="364"/>
    </s:row>
    <s:row r="5" spans="1:15">
      <s:c r="A5" s="365"/>
      <s:c r="B5" s="366"/>
      <s:c r="C5" s="367"/>
      <s:c r="D5" s="367"/>
      <s:c r="E5" s="367"/>
      <s:c r="F5" s="367"/>
      <s:c r="G5" s="367"/>
      <s:c r="H5" s="367"/>
      <s:c r="I5" s="367"/>
      <s:c r="J5" s="367"/>
      <s:c r="K5" s="368"/>
      <s:c r="L5" s="367"/>
      <s:c r="M5" s="369"/>
      <s:c r="N5" s="370"/>
    </s:row>
    <s:row r="6" spans="1:15">
      <s:c r="A6" s="365"/>
      <s:c r="B6" s="366" t="s">
        <s:v>84</s:v>
      </s:c>
      <s:c r="C6" s="367"/>
      <s:c r="D6" s="367"/>
      <s:c r="E6" s="367"/>
      <s:c r="F6" s="367"/>
      <s:c r="G6" s="366" t="s">
        <s:v>87</s:v>
      </s:c>
      <s:c r="H6" s="367"/>
      <s:c r="I6" s="367"/>
      <s:c r="J6" s="367"/>
      <s:c r="K6" s="367"/>
      <s:c r="L6" s="367"/>
      <s:c r="M6" s="369"/>
      <s:c r="N6" s="370"/>
    </s:row>
    <s:row r="7" spans="1:15">
      <s:c r="A7" s="371"/>
      <s:c r="B7" s="372" t="s">
        <s:v>29</s:v>
      </s:c>
      <s:c r="C7" s="372" t="s">
        <s:v>88</s:v>
      </s:c>
      <s:c r="D7" s="719" t="s">
        <s:v>89</s:v>
      </s:c>
      <s:c r="E7" s="719"/>
      <s:c r="F7" s="373"/>
      <s:c r="G7" s="372" t="s">
        <s:v>29</s:v>
      </s:c>
      <s:c r="H7" s="720" t="s">
        <s:v>88</s:v>
      </s:c>
      <s:c r="I7" s="721"/>
      <s:c r="J7" s="719" t="s">
        <s:v>89</s:v>
      </s:c>
      <s:c r="K7" s="719"/>
      <s:c r="L7" s="373"/>
      <s:c r="M7" s="374"/>
      <s:c r="N7" s="375"/>
    </s:row>
    <s:row r="8" spans="1:15" ht="26" customHeight="1">
      <s:c r="A8" s="365"/>
      <s:c r="B8" s="376">
        <s:v>45838</s:v>
      </s:c>
      <s:c r="C8" s="377">
        <s:v>5720</s:v>
      </s:c>
      <s:c r="D8" s="722" t="s">
        <s:v>108</s:v>
      </s:c>
      <s:c r="E8" s="722"/>
      <s:c r="F8" s="367"/>
      <s:c r="G8" s="376">
        <s:v>45838</s:v>
      </s:c>
      <s:c r="H8" s="723">
        <s:f>'Ялта, Ленина, 18'!J8*0.01</s:f>
        <s:v>24755.83</s:v>
      </s:c>
      <s:c r="I8" s="724"/>
      <s:c r="J8" s="722" t="s">
        <s:v>139</s:v>
      </s:c>
      <s:c r="K8" s="722"/>
      <s:c r="L8" s="367"/>
      <s:c r="M8" s="369"/>
      <s:c r="N8" s="370"/>
    </s:row>
    <s:row r="9" spans="1:15">
      <s:c r="A9" s="365"/>
      <s:c r="B9" s="376"/>
      <s:c r="C9" s="377"/>
      <s:c r="D9" s="722"/>
      <s:c r="E9" s="722"/>
      <s:c r="F9" s="367"/>
      <s:c r="G9" s="376"/>
      <s:c r="H9" s="723"/>
      <s:c r="I9" s="724"/>
      <s:c r="J9" s="722"/>
      <s:c r="K9" s="722"/>
      <s:c r="L9" s="367"/>
      <s:c r="M9" s="369"/>
      <s:c r="N9" s="370"/>
    </s:row>
    <s:row r="10" spans="1:15">
      <s:c r="A10" s="365"/>
      <s:c r="B10" s="366"/>
      <s:c r="C10" s="367"/>
      <s:c r="D10" s="367"/>
      <s:c r="E10" s="367"/>
      <s:c r="F10" s="367"/>
      <s:c r="G10" s="367"/>
      <s:c r="H10" s="367"/>
      <s:c r="I10" s="367"/>
      <s:c r="J10" s="367"/>
      <s:c r="K10" s="367"/>
      <s:c r="L10" s="367"/>
      <s:c r="M10" s="369"/>
      <s:c r="N10" s="370"/>
    </s:row>
    <s:row r="11" spans="1:15">
      <s:c r="A11" s="379" t="s">
        <s:v>90</s:v>
      </s:c>
      <s:c r="B11" s="380"/>
      <s:c r="C11" s="380"/>
      <s:c r="D11" s="381">
        <s:f>G15</s:f>
        <s:v>29800</s:v>
      </s:c>
      <s:c r="E11" s="382"/>
      <s:c r="F11" s="383"/>
      <s:c r="G11" s="380"/>
      <s:c r="H11" s="380"/>
      <s:c r="I11" s="384" t="s">
        <s:v>82</s:v>
      </s:c>
      <s:c r="J11" s="380"/>
      <s:c r="K11" s="380"/>
      <s:c r="L11" s="771">
        <s:f>L15+L16</s:f>
        <s:v>0</s:v>
      </s:c>
      <s:c r="M11" s="383"/>
      <s:c r="N11" s="386"/>
    </s:row>
    <s:row r="12" spans="1:15">
      <s:c r="A12" s="365"/>
      <s:c r="B12" s="366"/>
      <s:c r="C12" s="367"/>
      <s:c r="D12" s="387"/>
      <s:c r="E12" s="387"/>
      <s:c r="F12" s="367"/>
      <s:c r="G12" s="367"/>
      <s:c r="H12" s="367"/>
      <s:c r="I12" s="367"/>
      <s:c r="J12" s="367"/>
      <s:c r="K12" s="369"/>
      <s:c r="L12" s="369"/>
      <s:c r="M12" s="369"/>
      <s:c r="N12" s="370"/>
    </s:row>
    <s:row r="13" spans="1:15">
      <s:c r="A13" s="388"/>
      <s:c r="B13" s="389" t="s">
        <s:v>90</s:v>
      </s:c>
      <s:c r="C13" s="387"/>
      <s:c r="D13" s="387"/>
      <s:c r="E13" s="387"/>
      <s:c r="F13" s="387"/>
      <s:c r="G13" s="387"/>
      <s:c r="H13" s="387"/>
      <s:c r="I13" s="387"/>
      <s:c r="J13" s="725" t="s">
        <s:v>82</s:v>
      </s:c>
      <s:c r="K13" s="725"/>
      <s:c r="L13" s="390"/>
      <s:c r="M13" s="391"/>
      <s:c r="N13" s="392"/>
    </s:row>
    <s:row r="14" spans="1:15" ht="24">
      <s:c r="A14" s="388"/>
      <s:c r="B14" s="393" t="s">
        <s:v>91</s:v>
      </s:c>
      <s:c r="C14" s="393" t="s">
        <s:v>92</s:v>
      </s:c>
      <s:c r="D14" s="394" t="s">
        <s:v>93</s:v>
      </s:c>
      <s:c r="E14" s="394" t="s">
        <s:v>94</s:v>
      </s:c>
      <s:c r="F14" s="394" t="s">
        <s:v>95</s:v>
      </s:c>
      <s:c r="G14" s="393" t="s">
        <s:v>96</s:v>
      </s:c>
      <s:c r="H14" s="387"/>
      <s:c r="I14" s="387"/>
      <s:c r="J14" s="393" t="s">
        <s:v>92</s:v>
      </s:c>
      <s:c r="K14" s="387" t="s">
        <s:v>97</s:v>
      </s:c>
      <s:c r="L14" s="726" t="s">
        <s:v>98</s:v>
      </s:c>
      <s:c r="M14" s="727"/>
      <s:c r="N14" s="392"/>
      <s:c r="O14" s="395"/>
    </s:row>
    <s:row r="15" spans="1:15">
      <s:c r="A15" s="365"/>
      <s:c r="B15" s="396">
        <s:f>График!AI29</s:f>
        <s:v>25</s:v>
      </s:c>
      <s:c r="C15" s="397" t="str">
        <s:f>A2</s:f>
        <s:v>ул. Набережная Ленина, 18</s:v>
      </s:c>
      <s:c r="D15" s="398" t="s">
        <s:v>99</s:v>
      </s:c>
      <s:c r="E15" s="399">
        <s:f>График!AJ29</s:f>
        <s:v>298</s:v>
      </s:c>
      <s:c r="F15" s="400">
        <s:v>100</s:v>
      </s:c>
      <s:c r="G15" s="401">
        <s:f validation_="true">E15*F15</s:f>
        <s:v>29800</s:v>
      </s:c>
      <s:c r="H15" s="402"/>
      <s:c r="I15" s="402"/>
      <s:c r="J15" s="397" t="str">
        <s:f>График!B3</s:f>
        <s:v>ул. Набережная Ленина, 18</s:v>
      </s:c>
      <s:c r="K15" s="403">
        <s:f>'Ялта, Ленина, 18'!K8</s:f>
        <s:v>0.57470677588491892</s:v>
      </s:c>
      <s:c r="L15" s="728"/>
      <s:c r="M15" s="729"/>
      <s:c r="N15" s="370"/>
    </s:row>
    <s:row r="16" spans="1:15">
      <s:c r="A16" s="388"/>
      <s:c r="B16" s="393"/>
      <s:c r="C16" s="404"/>
      <s:c r="D16" s="398" t="s">
        <s:v>99</s:v>
      </s:c>
      <s:c r="E16" s="405"/>
      <s:c r="F16" s="400"/>
      <s:c r="G16" s="401">
        <s:f validation_="true">E16*F16</s:f>
        <s:v>0</s:v>
      </s:c>
      <s:c r="H16" s="387"/>
      <s:c r="I16" s="387"/>
      <s:c r="J16" s="378"/>
      <s:c r="K16" s="406"/>
      <s:c r="L16" s="730"/>
      <s:c r="M16" s="731"/>
      <s:c r="N16" s="392"/>
    </s:row>
    <s:row r="17" spans="1:14">
      <s:c r="A17" s="388"/>
      <s:c r="B17" s="387"/>
      <s:c r="C17" s="407"/>
      <s:c r="D17" s="367"/>
      <s:c r="E17" s="408"/>
      <s:c r="F17" s="408"/>
      <s:c r="G17" s="409"/>
      <s:c r="H17" s="387"/>
      <s:c r="I17" s="387"/>
      <s:c r="J17" s="387"/>
      <s:c r="K17" s="387"/>
      <s:c r="L17" s="390"/>
      <s:c r="M17" s="390"/>
      <s:c r="N17" s="392"/>
    </s:row>
    <s:row r="18" spans="1:14">
      <s:c r="A18" s="379" t="s">
        <s:v>100</s:v>
      </s:c>
      <s:c r="B18" s="380"/>
      <s:c r="C18" s="380"/>
      <s:c r="D18" s="410">
        <s:f>G23</s:f>
        <s:v>69301.375</s:v>
      </s:c>
      <s:c r="E18" s="411"/>
      <s:c r="F18" s="383"/>
      <s:c r="G18" s="383"/>
      <s:c r="H18" s="383"/>
      <s:c r="I18" s="380" t="s">
        <s:v>81</s:v>
      </s:c>
      <s:c r="J18" s="383"/>
      <s:c r="K18" s="383"/>
      <s:c r="L18" s="770">
        <s:f>N23</s:f>
        <s:v>19312.139633507857</s:v>
      </s:c>
      <s:c r="M18" s="383"/>
      <s:c r="N18" s="386"/>
    </s:row>
    <s:row r="19" spans="1:14">
      <s:c r="A19" s="412"/>
      <s:c r="B19" s="366"/>
      <s:c r="C19" s="369"/>
      <s:c r="D19" s="369"/>
      <s:c r="E19" s="369"/>
      <s:c r="F19" s="369"/>
      <s:c r="G19" s="369"/>
      <s:c r="H19" s="369"/>
      <s:c r="I19" s="369"/>
      <s:c r="J19" s="369"/>
      <s:c r="K19" s="413"/>
      <s:c r="L19" s="121"/>
      <s:c r="M19" s="121"/>
      <s:c r="N19" s="414"/>
    </s:row>
    <s:row r="20" spans="1:14">
      <s:c r="A20" s="412"/>
      <s:c r="B20" s="367"/>
      <s:c r="C20" s="366"/>
      <s:c r="D20" s="369"/>
      <s:c r="E20" s="369"/>
      <s:c r="F20" s="369"/>
      <s:c r="G20" s="369"/>
      <s:c r="H20" s="369"/>
      <s:c r="I20" s="369"/>
      <s:c r="J20" s="369"/>
      <s:c r="K20" s="369"/>
      <s:c r="L20" s="369"/>
      <s:c r="M20" s="369"/>
      <s:c r="N20" s="370"/>
    </s:row>
    <s:row r="21" spans="1:14">
      <s:c r="A21" s="412"/>
      <s:c r="B21" s="366" t="s">
        <s:v>101</s:v>
      </s:c>
      <s:c r="C21" s="369"/>
      <s:c r="D21" s="369"/>
      <s:c r="E21" s="369"/>
      <s:c r="F21" s="369"/>
      <s:c r="G21" s="369"/>
      <s:c r="H21" s="369"/>
      <s:c r="I21" s="415" t="s">
        <s:v>102</s:v>
      </s:c>
      <s:c r="J21" s="416"/>
      <s:c r="K21" s="417"/>
      <s:c r="L21" s="417"/>
      <s:c r="M21" s="417"/>
      <s:c r="N21" s="418"/>
    </s:row>
    <s:row r="22" spans="1:14" ht="36">
      <s:c r="A22" s="419"/>
      <s:c r="B22" s="393" t="s">
        <s:v>28</s:v>
      </s:c>
      <s:c r="C22" s="726" t="s">
        <s:v>92</s:v>
      </s:c>
      <s:c r="D22" s="727"/>
      <s:c r="E22" s="393" t="s">
        <s:v>103</s:v>
      </s:c>
      <s:c r="F22" s="393" t="s">
        <s:v>104</s:v>
      </s:c>
      <s:c r="G22" s="393" t="s">
        <s:v>105</s:v>
      </s:c>
      <s:c r="H22" s="387"/>
      <s:c r="I22" s="420" t="s">
        <s:v>28</s:v>
      </s:c>
      <s:c r="J22" s="420" t="s">
        <s:v>92</s:v>
      </s:c>
      <s:c r="K22" s="420" t="s">
        <s:v>106</s:v>
      </s:c>
      <s:c r="L22" s="420" t="s">
        <s:v>107</s:v>
      </s:c>
      <s:c r="M22" s="420" t="s">
        <s:v>103</s:v>
      </s:c>
      <s:c r="N22" s="421" t="s">
        <s:v>105</s:v>
      </s:c>
    </s:row>
    <s:row r="23" spans="1:14">
      <s:c r="A23" s="412"/>
      <s:c r="B23" s="397" t="str">
        <s:f>A4</s:f>
        <s:v>Рогалевич Ирина</s:v>
      </s:c>
      <s:c r="C23" s="732" t="str">
        <s:f>A2</s:f>
        <s:v>ул. Набережная Ленина, 18</s:v>
      </s:c>
      <s:c r="D23" s="733"/>
      <s:c r="E23" s="403">
        <s:v>5.5E-2</s:v>
      </s:c>
      <s:c r="F23" s="377">
        <s:f>'Рогалевич И. Е.'!J8</s:f>
        <s:v>1260025</s:v>
      </s:c>
      <s:c r="G23" s="768">
        <s:f>F23*E23</s:f>
        <s:v>69301.375</s:v>
      </s:c>
      <s:c r="H23" s="367"/>
      <s:c r="I23" s="423" t="str">
        <s:f>B23</s:f>
        <s:v>Рогалевич Ирина</s:v>
      </s:c>
      <s:c r="J23" s="424" t="str">
        <s:f>C23</s:f>
        <s:v>ул. Набережная Ленина, 18</s:v>
      </s:c>
      <s:c r="K23" s="424">
        <s:f>E15</s:f>
        <s:v>298</s:v>
      </s:c>
      <s:c r="L23" s="425">
        <s:f>График!AJ31</s:f>
        <s:v>764</s:v>
      </s:c>
      <s:c r="M23" s="426">
        <s:v>0.02</s:v>
      </s:c>
      <s:c r="N23" s="769">
        <s:f>'Ялта, Ленина, 18'!J8*M23*K23/L23</s:f>
        <s:v>19312.139633507857</s:v>
      </s:c>
    </s:row>
    <s:row r="24" spans="1:14">
      <s:c r="A24" s="419"/>
      <s:c r="B24" s="397" t="str">
        <s:f>B23</s:f>
        <s:v>Рогалевич Ирина</s:v>
      </s:c>
      <s:c r="C24" s="734">
        <s:f>C16</s:f>
        <s:v>0</s:v>
      </s:c>
      <s:c r="D24" s="735"/>
      <s:c r="E24" s="403"/>
      <s:c r="F24" s="428"/>
      <s:c r="G24" s="401">
        <s:f validation_="true">F24*E24</s:f>
        <s:v>0</s:v>
      </s:c>
      <s:c r="H24" s="387"/>
      <s:c r="I24" s="429"/>
      <s:c r="J24" s="430"/>
      <s:c r="K24" s="431"/>
      <s:c r="L24" s="432"/>
      <s:c r="M24" s="433"/>
      <s:c r="N24" s="434"/>
    </s:row>
    <s:row r="25" spans="1:14">
      <s:c r="A25" s="435"/>
      <s:c r="B25" s="436"/>
      <s:c r="C25" s="436"/>
      <s:c r="D25" s="436"/>
      <s:c r="E25" s="436"/>
      <s:c r="F25" s="436"/>
      <s:c r="G25" s="436"/>
      <s:c r="H25" s="436"/>
      <s:c r="I25" s="436"/>
      <s:c r="J25" s="436"/>
      <s:c r="K25" s="436"/>
      <s:c r="L25" s="436"/>
      <s:c r="M25" s="436"/>
      <s:c r="N25" s="437"/>
    </s:row>
  </s:sheetData>
  <s:mergeCells count="20">
    <s:mergeCell ref="L15:M15"/>
    <s:mergeCell ref="L16:M16"/>
    <s:mergeCell ref="C22:D22"/>
    <s:mergeCell ref="C23:D23"/>
    <s:mergeCell ref="C24:D24"/>
    <s:mergeCell ref="D9:E9"/>
    <s:mergeCell ref="H9:I9"/>
    <s:mergeCell ref="J9:K9"/>
    <s:mergeCell ref="J13:K13"/>
    <s:mergeCell ref="L14:M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1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A00-000000000000}">
  <s:dimension ref="A1:N26"/>
  <s:sheetViews>
    <s:sheetView tabSelected="0" zoomScale="91" workbookViewId="0">
      <s:selection activeCell="L24" sqref="L24"/>
    </s:sheetView>
  </s:sheetViews>
  <s:sheetFormatPr baseColWidth="10" defaultColWidth="11.5" defaultRowHeight="15"/>
  <s:cols>
    <s:col min="1" max="1" width="2.332" style="3" customWidth="1"/>
    <s:col min="2" max="2" width="12.664" style="3" customWidth="1"/>
    <s:col min="3" max="3" width="18" style="3" customWidth="1"/>
    <s:col min="4" max="4" width="12.664" style="3" customWidth="1"/>
    <s:col min="5" max="5" width="12.5" style="3" customWidth="1"/>
    <s:col min="6" max="6" width="12.164" style="3" customWidth="1"/>
    <s:col min="7" max="7" width="11.5" style="3"/>
    <s:col min="8" max="8" width="12.664" style="3" customWidth="1"/>
    <s:col min="9" max="9" width="15" style="3" customWidth="1"/>
    <s:col min="10" max="10" width="17.832" style="3" customWidth="1"/>
    <s:col min="11" max="11" width="11.5" style="3" customWidth="1"/>
    <s:col min="12" max="12" width="12" style="3" customWidth="1"/>
    <s:col min="13" max="13" width="15.664" style="3" customWidth="1"/>
    <s:col min="14" max="14" width="14" style="3" customWidth="1"/>
  </s:cols>
  <s:sheetData>
    <s:row r="1" spans="1:14" ht="20" customHeight="1">
      <s:c r="A1" s="736" t="str">
        <s:f>График!B1</s:f>
        <s:v>Июнь, 2025</s:v>
      </s:c>
      <s:c r="B1" s="737"/>
      <s:c r="C1" s="737"/>
      <s:c r="D1" s="738"/>
      <s:c r="E1" s="337"/>
      <s:c r="F1" s="338"/>
      <s:c r="G1" s="338"/>
      <s:c r="H1" s="338"/>
      <s:c r="I1" s="338"/>
      <s:c r="J1" s="338"/>
      <s:c r="K1" s="338"/>
      <s:c r="L1" s="338"/>
      <s:c r="M1" s="338"/>
      <s:c r="N1" s="339"/>
    </s:row>
    <s:row r="2" spans="1:14" ht="20" customHeight="1">
      <s:c r="A2" s="739" t="str">
        <s:f>График!B3</s:f>
        <s:v>ул. Набережная Ленина, 18</s:v>
      </s:c>
      <s:c r="B2" s="740"/>
      <s:c r="C2" s="740"/>
      <s:c r="D2" s="438" t="str">
        <s:f>График!B4</s:f>
        <s:v>GL-0005</s:v>
      </s:c>
      <s:c r="E2" s="341"/>
      <s:c r="F2" s="342"/>
      <s:c r="G2" s="342"/>
      <s:c r="H2" s="342"/>
      <s:c r="I2" s="342"/>
      <s:c r="J2" s="342"/>
      <s:c r="K2" s="342"/>
      <s:c r="L2" s="342"/>
      <s:c r="M2" s="342"/>
      <s:c r="N2" s="343"/>
    </s:row>
    <s:row r="3" spans="1:14" ht="60">
      <s:c r="A3" s="741" t="s">
        <s:v>28</s:v>
      </s:c>
      <s:c r="B3" s="741"/>
      <s:c r="C3" s="741"/>
      <s:c r="D3" s="439" t="s">
        <s:v>76</s:v>
      </s:c>
      <s:c r="E3" s="440" t="s">
        <s:v>77</s:v>
      </s:c>
      <s:c r="F3" s="345" t="s">
        <s:v>78</s:v>
      </s:c>
      <s:c r="G3" s="346" t="s">
        <s:v>79</s:v>
      </s:c>
      <s:c r="H3" s="347" t="s">
        <s:v>80</s:v>
      </s:c>
      <s:c r="I3" s="348" t="s">
        <s:v>81</s:v>
      </s:c>
      <s:c r="J3" s="348" t="s">
        <s:v>82</s:v>
      </s:c>
      <s:c r="K3" s="346" t="s">
        <s:v>83</s:v>
      </s:c>
      <s:c r="L3" s="349" t="s">
        <s:v>84</s:v>
      </s:c>
      <s:c r="M3" s="441" t="s">
        <s:v>85</s:v>
      </s:c>
      <s:c r="N3" s="353" t="s">
        <s:v>86</s:v>
      </s:c>
    </s:row>
    <s:row r="4" spans="1:14" ht="18" customHeight="1">
      <s:c r="A4" s="742" t="str">
        <s:f>График!B27</s:f>
        <s:v>Вафина Ляйсан</s:v>
      </s:c>
      <s:c r="B4" s="743"/>
      <s:c r="C4" s="743"/>
      <s:c r="D4" s="442">
        <s:v>29739.54</s:v>
      </s:c>
      <s:c r="E4" s="443"/>
      <s:c r="F4" s="444">
        <s:f>H8+H9</s:f>
        <s:v>6815.12</s:v>
      </s:c>
      <s:c r="G4" s="445">
        <s:f>D12</s:f>
        <s:v>16200</s:v>
      </s:c>
      <s:c r="H4" s="446">
        <s:f>D19</s:f>
        <s:v>18920.969999999998</s:v>
      </s:c>
      <s:c r="I4" s="447">
        <s:f>L19</s:f>
        <s:v>10689.675157894737</s:v>
      </s:c>
      <s:c r="J4" s="448">
        <s:f>L12</s:f>
        <s:v>0</s:v>
      </s:c>
      <s:c r="K4" s="449">
        <s:f>H4+J4+G4+F4+I4</s:f>
        <s:v>52625.765157894741</s:v>
      </s:c>
      <s:c r="L4" s="450">
        <s:f>C8+C9+C10</s:f>
        <s:v>17459</s:v>
      </s:c>
      <s:c r="M4" s="451">
        <s:f>K4-L4-D4-E4</s:f>
        <s:v>5427.2251578947398</s:v>
      </s:c>
      <s:c r="N4" s="364"/>
    </s:row>
    <s:row r="5" spans="1:14">
      <s:c r="A5" s="365"/>
      <s:c r="B5" s="366"/>
      <s:c r="C5" s="367"/>
      <s:c r="D5" s="367"/>
      <s:c r="E5" s="367"/>
      <s:c r="F5" s="367"/>
      <s:c r="G5" s="367"/>
      <s:c r="H5" s="367"/>
      <s:c r="I5" s="367"/>
      <s:c r="J5" s="367"/>
      <s:c r="K5" s="368"/>
      <s:c r="L5" s="367"/>
      <s:c r="M5" s="369"/>
      <s:c r="N5" s="370"/>
    </s:row>
    <s:row r="6" spans="1:14">
      <s:c r="A6" s="365"/>
      <s:c r="B6" s="366" t="s">
        <s:v>84</s:v>
      </s:c>
      <s:c r="C6" s="367"/>
      <s:c r="D6" s="367"/>
      <s:c r="E6" s="367"/>
      <s:c r="F6" s="367"/>
      <s:c r="G6" s="366" t="s">
        <s:v>87</s:v>
      </s:c>
      <s:c r="H6" s="367"/>
      <s:c r="I6" s="367"/>
      <s:c r="J6" s="367"/>
      <s:c r="K6" s="367"/>
      <s:c r="L6" s="367"/>
      <s:c r="M6" s="369"/>
      <s:c r="N6" s="370"/>
    </s:row>
    <s:row r="7" spans="1:14" ht="20" customHeight="1">
      <s:c r="A7" s="371"/>
      <s:c r="B7" s="452" t="s">
        <s:v>29</s:v>
      </s:c>
      <s:c r="C7" s="452" t="s">
        <s:v>88</s:v>
      </s:c>
      <s:c r="D7" s="744" t="s">
        <s:v>89</s:v>
      </s:c>
      <s:c r="E7" s="744"/>
      <s:c r="F7" s="373"/>
      <s:c r="G7" s="452" t="s">
        <s:v>29</s:v>
      </s:c>
      <s:c r="H7" s="744" t="s">
        <s:v>88</s:v>
      </s:c>
      <s:c r="I7" s="744"/>
      <s:c r="J7" s="744" t="s">
        <s:v>89</s:v>
      </s:c>
      <s:c r="K7" s="744"/>
      <s:c r="L7" s="373"/>
      <s:c r="M7" s="374"/>
      <s:c r="N7" s="375"/>
    </s:row>
    <s:row r="8" spans="1:14" ht="18" customHeight="1">
      <s:c r="A8" s="365"/>
      <s:c r="B8" s="453">
        <s:v>45830</s:v>
      </s:c>
      <s:c r="C8" s="454">
        <s:v>4444</s:v>
      </s:c>
      <s:c r="D8" s="745" t="s">
        <s:v>108</s:v>
      </s:c>
      <s:c r="E8" s="745"/>
      <s:c r="F8" s="367"/>
      <s:c r="G8" s="453">
        <s:v>45830</s:v>
      </s:c>
      <s:c r="H8" s="746">
        <s:v>6815.12</s:v>
      </s:c>
      <s:c r="I8" s="746"/>
      <s:c r="J8" s="745" t="s">
        <s:v>109</s:v>
      </s:c>
      <s:c r="K8" s="745"/>
      <s:c r="L8" s="367"/>
      <s:c r="M8" s="369"/>
      <s:c r="N8" s="370"/>
    </s:row>
    <s:row r="9" spans="1:14" ht="18" customHeight="1">
      <s:c r="A9" s="365"/>
      <s:c r="B9" s="453">
        <s:v>45830</s:v>
      </s:c>
      <s:c r="C9" s="454">
        <s:v>2515</s:v>
      </s:c>
      <s:c r="D9" s="745" t="s">
        <s:v>110</s:v>
      </s:c>
      <s:c r="E9" s="745"/>
      <s:c r="F9" s="367"/>
      <s:c r="G9" s="453"/>
      <s:c r="H9" s="746"/>
      <s:c r="I9" s="746"/>
      <s:c r="J9" s="745"/>
      <s:c r="K9" s="745"/>
      <s:c r="L9" s="367"/>
      <s:c r="M9" s="369"/>
      <s:c r="N9" s="370"/>
    </s:row>
    <s:row r="10" spans="1:14" ht="18" customHeight="1">
      <s:c r="A10" s="365"/>
      <s:c r="B10" s="453">
        <s:v>45830</s:v>
      </s:c>
      <s:c r="C10" s="454">
        <s:f>105*100</s:f>
        <s:v>10500</s:v>
      </s:c>
      <s:c r="D10" s="745" t="s">
        <s:v>111</s:v>
      </s:c>
      <s:c r="E10" s="745"/>
      <s:c r="F10" s="367"/>
      <s:c r="G10" s="456"/>
      <s:c r="H10" s="457"/>
      <s:c r="I10" s="457"/>
      <s:c r="J10" s="458"/>
      <s:c r="K10" s="458"/>
      <s:c r="L10" s="367"/>
      <s:c r="M10" s="369"/>
      <s:c r="N10" s="370"/>
    </s:row>
    <s:row r="11" spans="1:14" ht="34" customHeight="1">
      <s:c r="A11" s="365"/>
      <s:c r="B11" s="366"/>
      <s:c r="C11" s="367"/>
      <s:c r="D11" s="367"/>
      <s:c r="E11" s="367"/>
      <s:c r="F11" s="367"/>
      <s:c r="G11" s="367"/>
      <s:c r="H11" s="367"/>
      <s:c r="I11" s="367"/>
      <s:c r="J11" s="367"/>
      <s:c r="K11" s="367"/>
      <s:c r="L11" s="367"/>
      <s:c r="M11" s="369"/>
      <s:c r="N11" s="370"/>
    </s:row>
    <s:row r="12" spans="1:14">
      <s:c r="A12" s="379" t="s">
        <s:v>90</s:v>
      </s:c>
      <s:c r="B12" s="380"/>
      <s:c r="C12" s="380"/>
      <s:c r="D12" s="381">
        <s:f>G16</s:f>
        <s:v>16200</s:v>
      </s:c>
      <s:c r="E12" s="382"/>
      <s:c r="F12" s="383"/>
      <s:c r="G12" s="380"/>
      <s:c r="H12" s="380"/>
      <s:c r="I12" s="385" t="s">
        <s:v>82</s:v>
      </s:c>
      <s:c r="J12" s="380"/>
      <s:c r="K12" s="380"/>
      <s:c r="L12" s="384">
        <s:f>L16+L17</s:f>
        <s:v>0</s:v>
      </s:c>
      <s:c r="M12" s="383"/>
      <s:c r="N12" s="386"/>
    </s:row>
    <s:row r="13" spans="1:14">
      <s:c r="A13" s="365"/>
      <s:c r="B13" s="366"/>
      <s:c r="C13" s="367"/>
      <s:c r="D13" s="387"/>
      <s:c r="E13" s="387"/>
      <s:c r="F13" s="367"/>
      <s:c r="G13" s="367"/>
      <s:c r="H13" s="367"/>
      <s:c r="I13" s="367"/>
      <s:c r="J13" s="367"/>
      <s:c r="K13" s="369"/>
      <s:c r="L13" s="369"/>
      <s:c r="M13" s="369"/>
      <s:c r="N13" s="370"/>
    </s:row>
    <s:row r="14" spans="1:14">
      <s:c r="A14" s="388"/>
      <s:c r="B14" s="389" t="s">
        <s:v>90</s:v>
      </s:c>
      <s:c r="C14" s="387"/>
      <s:c r="D14" s="387"/>
      <s:c r="E14" s="387"/>
      <s:c r="F14" s="387"/>
      <s:c r="G14" s="387"/>
      <s:c r="H14" s="387"/>
      <s:c r="I14" s="387"/>
      <s:c r="J14" s="747" t="s">
        <s:v>82</s:v>
      </s:c>
      <s:c r="K14" s="747"/>
      <s:c r="L14" s="390"/>
      <s:c r="M14" s="390"/>
      <s:c r="N14" s="392"/>
    </s:row>
    <s:row r="15" spans="1:14" ht="24">
      <s:c r="A15" s="388"/>
      <s:c r="B15" s="420" t="s">
        <s:v>91</s:v>
      </s:c>
      <s:c r="C15" s="420" t="s">
        <s:v>92</s:v>
      </s:c>
      <s:c r="D15" s="420" t="s">
        <s:v>93</s:v>
      </s:c>
      <s:c r="E15" s="420" t="s">
        <s:v>94</s:v>
      </s:c>
      <s:c r="F15" s="420" t="s">
        <s:v>95</s:v>
      </s:c>
      <s:c r="G15" s="420" t="s">
        <s:v>96</s:v>
      </s:c>
      <s:c r="H15" s="387"/>
      <s:c r="I15" s="387"/>
      <s:c r="J15" s="420" t="s">
        <s:v>92</s:v>
      </s:c>
      <s:c r="K15" s="420" t="s">
        <s:v>97</s:v>
      </s:c>
      <s:c r="L15" s="420" t="s">
        <s:v>98</s:v>
      </s:c>
      <s:c r="M15" s="390"/>
      <s:c r="N15" s="392"/>
    </s:row>
    <s:row r="16" spans="1:14" ht="17" customHeight="1">
      <s:c r="A16" s="365"/>
      <s:c r="B16" s="459">
        <s:f>График!AI27</s:f>
        <s:v>13</s:v>
      </s:c>
      <s:c r="C16" s="460" t="str">
        <s:f>A2</s:f>
        <s:v>ул. Набережная Ленина, 18</s:v>
      </s:c>
      <s:c r="D16" s="460" t="s">
        <s:v>99</s:v>
      </s:c>
      <s:c r="E16" s="461">
        <s:f>График!AJ27</s:f>
        <s:v>162</s:v>
      </s:c>
      <s:c r="F16" s="462">
        <s:v>100</s:v>
      </s:c>
      <s:c r="G16" s="463">
        <s:f>E16*F16</s:f>
        <s:v>16200</s:v>
      </s:c>
      <s:c r="H16" s="402"/>
      <s:c r="I16" s="402"/>
      <s:c r="J16" s="460" t="str">
        <s:f>График!B3</s:f>
        <s:v>ул. Набережная Ленина, 18</s:v>
      </s:c>
      <s:c r="K16" s="426">
        <s:v>0.52839999999999998</s:v>
      </s:c>
      <s:c r="L16" s="462">
        <s:v>0</s:v>
      </s:c>
      <s:c r="M16" s="369"/>
      <s:c r="N16" s="370"/>
    </s:row>
    <s:row r="17" spans="1:14" ht="17" customHeight="1">
      <s:c r="A17" s="388"/>
      <s:c r="B17" s="420"/>
      <s:c r="C17" s="464"/>
      <s:c r="D17" s="460"/>
      <s:c r="E17" s="465"/>
      <s:c r="F17" s="462"/>
      <s:c r="G17" s="463"/>
      <s:c r="H17" s="387"/>
      <s:c r="I17" s="387"/>
      <s:c r="J17" s="455"/>
      <s:c r="K17" s="466"/>
      <s:c r="L17" s="467"/>
      <s:c r="M17" s="390"/>
      <s:c r="N17" s="392"/>
    </s:row>
    <s:row r="18" spans="1:14">
      <s:c r="A18" s="388"/>
      <s:c r="B18" s="387"/>
      <s:c r="C18" s="407"/>
      <s:c r="D18" s="367"/>
      <s:c r="E18" s="408"/>
      <s:c r="F18" s="408"/>
      <s:c r="G18" s="409"/>
      <s:c r="H18" s="387"/>
      <s:c r="I18" s="387"/>
      <s:c r="J18" s="387"/>
      <s:c r="K18" s="387"/>
      <s:c r="L18" s="390"/>
      <s:c r="M18" s="390"/>
      <s:c r="N18" s="392"/>
    </s:row>
    <s:row r="19" spans="1:14">
      <s:c r="A19" s="379" t="s">
        <s:v>100</s:v>
      </s:c>
      <s:c r="B19" s="380"/>
      <s:c r="C19" s="380"/>
      <s:c r="D19" s="410">
        <s:f>G24</s:f>
        <s:v>18920.969999999998</s:v>
      </s:c>
      <s:c r="E19" s="411"/>
      <s:c r="F19" s="383"/>
      <s:c r="G19" s="383"/>
      <s:c r="H19" s="383"/>
      <s:c r="I19" s="380" t="s">
        <s:v>81</s:v>
      </s:c>
      <s:c r="J19" s="383"/>
      <s:c r="K19" s="383"/>
      <s:c r="L19" s="468">
        <s:f>N24</s:f>
        <s:v>10689.675157894737</s:v>
      </s:c>
      <s:c r="M19" s="383"/>
      <s:c r="N19" s="386"/>
    </s:row>
    <s:row r="20" spans="1:14">
      <s:c r="A20" s="412"/>
      <s:c r="B20" s="366"/>
      <s:c r="C20" s="369"/>
      <s:c r="D20" s="369"/>
      <s:c r="E20" s="369"/>
      <s:c r="F20" s="369"/>
      <s:c r="G20" s="369"/>
      <s:c r="H20" s="369"/>
      <s:c r="I20" s="369"/>
      <s:c r="J20" s="369"/>
      <s:c r="K20" s="413"/>
      <s:c r="L20" s="121"/>
      <s:c r="M20" s="121"/>
      <s:c r="N20" s="414"/>
    </s:row>
    <s:row r="21" spans="1:14">
      <s:c r="A21" s="412"/>
      <s:c r="B21" s="367"/>
      <s:c r="C21" s="366"/>
      <s:c r="D21" s="369"/>
      <s:c r="E21" s="369"/>
      <s:c r="F21" s="369"/>
      <s:c r="G21" s="369"/>
      <s:c r="H21" s="369"/>
      <s:c r="I21" s="369"/>
      <s:c r="J21" s="369"/>
      <s:c r="K21" s="369"/>
      <s:c r="L21" s="369"/>
      <s:c r="M21" s="369"/>
      <s:c r="N21" s="370"/>
    </s:row>
    <s:row r="22" spans="1:14">
      <s:c r="A22" s="412"/>
      <s:c r="B22" s="366" t="s">
        <s:v>101</s:v>
      </s:c>
      <s:c r="C22" s="369"/>
      <s:c r="D22" s="369"/>
      <s:c r="E22" s="369"/>
      <s:c r="F22" s="369"/>
      <s:c r="G22" s="369"/>
      <s:c r="H22" s="369"/>
      <s:c r="I22" s="415" t="s">
        <s:v>102</s:v>
      </s:c>
      <s:c r="J22" s="416"/>
      <s:c r="K22" s="417"/>
      <s:c r="L22" s="417"/>
      <s:c r="M22" s="417"/>
      <s:c r="N22" s="418"/>
    </s:row>
    <s:row r="23" spans="1:14" ht="36">
      <s:c r="A23" s="419"/>
      <s:c r="B23" s="420" t="s">
        <s:v>28</s:v>
      </s:c>
      <s:c r="C23" s="748" t="s">
        <s:v>92</s:v>
      </s:c>
      <s:c r="D23" s="748"/>
      <s:c r="E23" s="420" t="s">
        <s:v>103</s:v>
      </s:c>
      <s:c r="F23" s="420" t="s">
        <s:v>104</s:v>
      </s:c>
      <s:c r="G23" s="420" t="s">
        <s:v>105</s:v>
      </s:c>
      <s:c r="H23" s="387"/>
      <s:c r="I23" s="420" t="s">
        <s:v>28</s:v>
      </s:c>
      <s:c r="J23" s="420" t="s">
        <s:v>92</s:v>
      </s:c>
      <s:c r="K23" s="420" t="s">
        <s:v>106</s:v>
      </s:c>
      <s:c r="L23" s="420" t="s">
        <s:v>107</s:v>
      </s:c>
      <s:c r="M23" s="420" t="s">
        <s:v>103</s:v>
      </s:c>
      <s:c r="N23" s="421" t="s">
        <s:v>105</s:v>
      </s:c>
    </s:row>
    <s:row r="24" spans="1:14">
      <s:c r="A24" s="412"/>
      <s:c r="B24" s="460" t="str">
        <s:f>A4</s:f>
        <s:v>Вафина Ляйсан</s:v>
      </s:c>
      <s:c r="C24" s="749" t="str">
        <s:f>A2</s:f>
        <s:v>ул. Набережная Ленина, 18</s:v>
      </s:c>
      <s:c r="D24" s="749"/>
      <s:c r="E24" s="426">
        <s:v>4.4999999999999998E-2</s:v>
      </s:c>
      <s:c r="F24" s="454">
        <s:f>'Вафина Л. Ф.'!J8</s:f>
        <s:v>420466</s:v>
      </s:c>
      <s:c r="G24" s="469">
        <s:f>F24*E24</s:f>
        <s:v>18920.969999999998</s:v>
      </s:c>
      <s:c r="H24" s="367"/>
      <s:c r="I24" s="423" t="str">
        <s:f>B24</s:f>
        <s:v>Вафина Ляйсан</s:v>
      </s:c>
      <s:c r="J24" s="424" t="str">
        <s:f>C24</s:f>
        <s:v>ул. Набережная Ленина, 18</s:v>
      </s:c>
      <s:c r="K24" s="424">
        <s:f>E16</s:f>
        <s:v>162</s:v>
      </s:c>
      <s:c r="L24" s="470">
        <s:v>570</s:v>
      </s:c>
      <s:c r="M24" s="426">
        <s:v>0.02</s:v>
      </s:c>
      <s:c r="N24" s="427">
        <s:f>1880591*M24*K24/L24</s:f>
        <s:v>10689.675157894737</s:v>
      </s:c>
    </s:row>
    <s:row r="25" spans="1:14">
      <s:c r="A25" s="419"/>
      <s:c r="B25" s="460" t="str">
        <s:f>B24</s:f>
        <s:v>Вафина Ляйсан</s:v>
      </s:c>
      <s:c r="C25" s="750"/>
      <s:c r="D25" s="750"/>
      <s:c r="E25" s="426"/>
      <s:c r="F25" s="471"/>
      <s:c r="G25" s="463"/>
      <s:c r="H25" s="387"/>
      <s:c r="I25" s="429"/>
      <s:c r="J25" s="430"/>
      <s:c r="K25" s="431"/>
      <s:c r="L25" s="432"/>
      <s:c r="M25" s="433"/>
      <s:c r="N25" s="434"/>
    </s:row>
    <s:row r="26" spans="1:14">
      <s:c r="A26" s="435"/>
      <s:c r="B26" s="436"/>
      <s:c r="C26" s="436"/>
      <s:c r="D26" s="436"/>
      <s:c r="E26" s="436"/>
      <s:c r="F26" s="436"/>
      <s:c r="G26" s="436"/>
      <s:c r="H26" s="436"/>
      <s:c r="I26" s="436"/>
      <s:c r="J26" s="436"/>
      <s:c r="K26" s="436"/>
      <s:c r="L26" s="436"/>
      <s:c r="M26" s="436"/>
      <s:c r="N26" s="437"/>
    </s:row>
  </s:sheetData>
  <s:mergeCells count="18">
    <s:mergeCell ref="C23:D23"/>
    <s:mergeCell ref="C24:D24"/>
    <s:mergeCell ref="C25:D25"/>
    <s:mergeCell ref="D9:E9"/>
    <s:mergeCell ref="H9:I9"/>
    <s:mergeCell ref="J9:K9"/>
    <s:mergeCell ref="D10:E10"/>
    <s:mergeCell ref="J14:K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2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D2F7EDFB-F5BA-7943-BCD6-38E77089C52D}">
  <s:dimension ref="A1:N26"/>
  <s:sheetViews>
    <s:sheetView tabSelected="0" zoomScale="91" workbookViewId="0">
      <s:selection activeCell="B8" sqref="B8:E8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7.664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2.832" style="3" customWidth="1"/>
    <s:col min="9" max="9" width="16.5" style="3" customWidth="1"/>
    <s:col min="10" max="10" width="17.664" style="3" customWidth="1"/>
    <s:col min="11" max="11" width="11.5" style="3" customWidth="1"/>
    <s:col min="12" max="12" width="11.5" style="3"/>
    <s:col min="13" max="13" width="16.832" style="3" customWidth="1"/>
    <s:col min="14" max="14" width="17.5" style="3" customWidth="1"/>
  </s:cols>
  <s:sheetData>
    <s:row r="1" spans="1:14">
      <s:c r="A1" s="710" t="str">
        <s:f>График!B1</s:f>
        <s:v>Июнь, 2025</s:v>
      </s:c>
      <s:c r="B1" s="711"/>
      <s:c r="C1" s="711"/>
      <s:c r="D1" s="712"/>
      <s:c r="E1" s="337"/>
      <s:c r="F1" s="338"/>
      <s:c r="G1" s="338"/>
      <s:c r="H1" s="338"/>
      <s:c r="I1" s="338"/>
      <s:c r="J1" s="338"/>
      <s:c r="K1" s="338"/>
      <s:c r="L1" s="338"/>
      <s:c r="M1" s="338"/>
      <s:c r="N1" s="339"/>
    </s:row>
    <s:row r="2" spans="1:14" ht="15" customHeight="1" thickBot="1">
      <s:c r="A2" s="713" t="str">
        <s:f>График!B3</s:f>
        <s:v>ул. Набережная Ленина, 18</s:v>
      </s:c>
      <s:c r="B2" s="714"/>
      <s:c r="C2" s="714"/>
      <s:c r="D2" s="340" t="str">
        <s:f>График!B4</s:f>
        <s:v>GL-0005</s:v>
      </s:c>
      <s:c r="E2" s="341"/>
      <s:c r="F2" s="342"/>
      <s:c r="G2" s="342"/>
      <s:c r="H2" s="342"/>
      <s:c r="I2" s="342"/>
      <s:c r="J2" s="342"/>
      <s:c r="K2" s="342"/>
      <s:c r="L2" s="342"/>
      <s:c r="M2" s="342"/>
      <s:c r="N2" s="343"/>
    </s:row>
    <s:row r="3" spans="1:14" ht="75">
      <s:c r="A3" s="715" t="s">
        <s:v>28</s:v>
      </s:c>
      <s:c r="B3" s="716"/>
      <s:c r="C3" s="716"/>
      <s:c r="D3" s="344" t="s">
        <s:v>76</s:v>
      </s:c>
      <s:c r="E3" s="344" t="s">
        <s:v>77</s:v>
      </s:c>
      <s:c r="F3" s="345" t="s">
        <s:v>78</s:v>
      </s:c>
      <s:c r="G3" s="346" t="s">
        <s:v>79</s:v>
      </s:c>
      <s:c r="H3" s="347" t="s">
        <s:v>80</s:v>
      </s:c>
      <s:c r="I3" s="348" t="s">
        <s:v>81</s:v>
      </s:c>
      <s:c r="J3" s="349" t="s">
        <s:v>82</s:v>
      </s:c>
      <s:c r="K3" s="350" t="s">
        <s:v>83</s:v>
      </s:c>
      <s:c r="L3" s="351" t="s">
        <s:v>84</s:v>
      </s:c>
      <s:c r="M3" s="472" t="s">
        <s:v>85</s:v>
      </s:c>
      <s:c r="N3" s="353" t="s">
        <s:v>86</s:v>
      </s:c>
    </s:row>
    <s:row r="4" spans="1:14" ht="15" customHeight="1" thickBot="1">
      <s:c r="A4" s="717" t="str">
        <s:f>График!B26</s:f>
        <s:v>Яковенко Алина</s:v>
      </s:c>
      <s:c r="B4" s="718"/>
      <s:c r="C4" s="718"/>
      <s:c r="D4" s="473">
        <s:v>14653.11</s:v>
      </s:c>
      <s:c r="E4" s="474"/>
      <s:c r="F4" s="444">
        <s:f>H8+H9</s:f>
        <s:v>0</s:v>
      </s:c>
      <s:c r="G4" s="445">
        <s:f>D12</s:f>
        <s:v>9600</s:v>
      </s:c>
      <s:c r="H4" s="446">
        <s:f>D19</s:f>
        <s:v>13731.63</s:v>
      </s:c>
      <s:c r="I4" s="447">
        <s:f>L19</s:f>
        <s:v>6221.3604188481677</s:v>
      </s:c>
      <s:c r="J4" s="475">
        <s:f>L12</s:f>
        <s:v>0</s:v>
      </s:c>
      <s:c r="K4" s="361">
        <s:f>H4+J4+G4+F4+I4</s:f>
        <s:v>29552.990418848167</s:v>
      </s:c>
      <s:c r="L4" s="362">
        <s:f>C8+C9+C10</s:f>
        <s:v>2189</s:v>
      </s:c>
      <s:c r="M4" s="363">
        <s:f>K4-L4-D4-E4</s:f>
        <s:v>12710.880418848166</s:v>
      </s:c>
      <s:c r="N4" s="364"/>
    </s:row>
    <s:row r="5" spans="1:14">
      <s:c r="A5" s="365"/>
      <s:c r="B5" s="366"/>
      <s:c r="C5" s="367"/>
      <s:c r="D5" s="367"/>
      <s:c r="E5" s="367"/>
      <s:c r="F5" s="367"/>
      <s:c r="G5" s="367"/>
      <s:c r="H5" s="367"/>
      <s:c r="I5" s="367"/>
      <s:c r="J5" s="367"/>
      <s:c r="K5" s="368"/>
      <s:c r="L5" s="367"/>
      <s:c r="M5" s="369"/>
      <s:c r="N5" s="370"/>
    </s:row>
    <s:row r="6" spans="1:14">
      <s:c r="A6" s="365"/>
      <s:c r="B6" s="366" t="s">
        <s:v>84</s:v>
      </s:c>
      <s:c r="C6" s="367"/>
      <s:c r="D6" s="367"/>
      <s:c r="E6" s="367"/>
      <s:c r="F6" s="367"/>
      <s:c r="G6" s="366" t="s">
        <s:v>87</s:v>
      </s:c>
      <s:c r="H6" s="367"/>
      <s:c r="I6" s="367"/>
      <s:c r="J6" s="367"/>
      <s:c r="K6" s="367"/>
      <s:c r="L6" s="367"/>
      <s:c r="M6" s="369"/>
      <s:c r="N6" s="370"/>
    </s:row>
    <s:row r="7" spans="1:14">
      <s:c r="A7" s="371"/>
      <s:c r="B7" s="372" t="s">
        <s:v>29</s:v>
      </s:c>
      <s:c r="C7" s="372" t="s">
        <s:v>88</s:v>
      </s:c>
      <s:c r="D7" s="719" t="s">
        <s:v>89</s:v>
      </s:c>
      <s:c r="E7" s="719"/>
      <s:c r="F7" s="373"/>
      <s:c r="G7" s="372" t="s">
        <s:v>29</s:v>
      </s:c>
      <s:c r="H7" s="720" t="s">
        <s:v>88</s:v>
      </s:c>
      <s:c r="I7" s="721"/>
      <s:c r="J7" s="719" t="s">
        <s:v>89</s:v>
      </s:c>
      <s:c r="K7" s="719"/>
      <s:c r="L7" s="373"/>
      <s:c r="M7" s="374"/>
      <s:c r="N7" s="375"/>
    </s:row>
    <s:row r="8" spans="1:14" ht="23" customHeight="1">
      <s:c r="A8" s="365"/>
      <s:c r="B8" s="376">
        <s:v>45838</s:v>
      </s:c>
      <s:c r="C8" s="377">
        <s:v>2189</s:v>
      </s:c>
      <s:c r="D8" s="722" t="s">
        <s:v>108</s:v>
      </s:c>
      <s:c r="E8" s="722"/>
      <s:c r="F8" s="367"/>
      <s:c r="G8" s="376"/>
      <s:c r="H8" s="751"/>
      <s:c r="I8" s="752"/>
      <s:c r="J8" s="722"/>
      <s:c r="K8" s="722"/>
      <s:c r="L8" s="367"/>
      <s:c r="M8" s="369"/>
      <s:c r="N8" s="370"/>
    </s:row>
    <s:row r="9" spans="1:14" ht="26" customHeight="1">
      <s:c r="A9" s="365"/>
      <s:c r="B9" s="376"/>
      <s:c r="C9" s="377"/>
      <s:c r="D9" s="722"/>
      <s:c r="E9" s="722"/>
      <s:c r="F9" s="367"/>
      <s:c r="G9" s="376"/>
      <s:c r="H9" s="751"/>
      <s:c r="I9" s="752"/>
      <s:c r="J9" s="722"/>
      <s:c r="K9" s="722"/>
      <s:c r="L9" s="367"/>
      <s:c r="M9" s="369"/>
      <s:c r="N9" s="370"/>
    </s:row>
    <s:row r="10" spans="1:14" ht="26" customHeight="1">
      <s:c r="A10" s="365"/>
      <s:c r="B10" s="376"/>
      <s:c r="C10" s="377"/>
      <s:c r="D10" s="722"/>
      <s:c r="E10" s="722"/>
      <s:c r="F10" s="367"/>
      <s:c r="G10" s="456"/>
      <s:c r="H10" s="457"/>
      <s:c r="I10" s="457"/>
      <s:c r="J10" s="458"/>
      <s:c r="K10" s="458"/>
      <s:c r="L10" s="367"/>
      <s:c r="M10" s="369"/>
      <s:c r="N10" s="370"/>
    </s:row>
    <s:row r="11" spans="1:14" ht="34" customHeight="1">
      <s:c r="A11" s="365"/>
      <s:c r="B11" s="366"/>
      <s:c r="C11" s="367"/>
      <s:c r="D11" s="367"/>
      <s:c r="E11" s="367"/>
      <s:c r="F11" s="367"/>
      <s:c r="G11" s="367"/>
      <s:c r="H11" s="367"/>
      <s:c r="I11" s="367"/>
      <s:c r="J11" s="367"/>
      <s:c r="K11" s="367"/>
      <s:c r="L11" s="367"/>
      <s:c r="M11" s="369"/>
      <s:c r="N11" s="370"/>
    </s:row>
    <s:row r="12" spans="1:14">
      <s:c r="A12" s="379" t="s">
        <s:v>90</s:v>
      </s:c>
      <s:c r="B12" s="380"/>
      <s:c r="C12" s="380"/>
      <s:c r="D12" s="381">
        <s:f>G16</s:f>
        <s:v>9600</s:v>
      </s:c>
      <s:c r="E12" s="382"/>
      <s:c r="F12" s="383"/>
      <s:c r="G12" s="380"/>
      <s:c r="H12" s="380"/>
      <s:c r="I12" s="384" t="s">
        <s:v>82</s:v>
      </s:c>
      <s:c r="J12" s="380"/>
      <s:c r="K12" s="380"/>
      <s:c r="L12" s="771">
        <s:f>L16+L17</s:f>
        <s:v>0</s:v>
      </s:c>
      <s:c r="M12" s="383"/>
      <s:c r="N12" s="386"/>
    </s:row>
    <s:row r="13" spans="1:14">
      <s:c r="A13" s="365"/>
      <s:c r="B13" s="366"/>
      <s:c r="C13" s="367"/>
      <s:c r="D13" s="387"/>
      <s:c r="E13" s="387"/>
      <s:c r="F13" s="367"/>
      <s:c r="G13" s="367"/>
      <s:c r="H13" s="367"/>
      <s:c r="I13" s="367"/>
      <s:c r="J13" s="367"/>
      <s:c r="K13" s="369"/>
      <s:c r="L13" s="369"/>
      <s:c r="M13" s="369"/>
      <s:c r="N13" s="370"/>
    </s:row>
    <s:row r="14" spans="1:14">
      <s:c r="A14" s="388"/>
      <s:c r="B14" s="389" t="s">
        <s:v>90</s:v>
      </s:c>
      <s:c r="C14" s="387"/>
      <s:c r="D14" s="387"/>
      <s:c r="E14" s="387"/>
      <s:c r="F14" s="387"/>
      <s:c r="G14" s="387"/>
      <s:c r="H14" s="387"/>
      <s:c r="I14" s="387"/>
      <s:c r="J14" s="725" t="s">
        <s:v>82</s:v>
      </s:c>
      <s:c r="K14" s="725"/>
      <s:c r="L14" s="391"/>
      <s:c r="M14" s="390"/>
      <s:c r="N14" s="392"/>
    </s:row>
    <s:row r="15" spans="1:14" ht="24">
      <s:c r="A15" s="388"/>
      <s:c r="B15" s="393" t="s">
        <s:v>91</s:v>
      </s:c>
      <s:c r="C15" s="393" t="s">
        <s:v>92</s:v>
      </s:c>
      <s:c r="D15" s="394" t="s">
        <s:v>93</s:v>
      </s:c>
      <s:c r="E15" s="394" t="s">
        <s:v>94</s:v>
      </s:c>
      <s:c r="F15" s="394" t="s">
        <s:v>95</s:v>
      </s:c>
      <s:c r="G15" s="393" t="s">
        <s:v>96</s:v>
      </s:c>
      <s:c r="H15" s="387"/>
      <s:c r="I15" s="387"/>
      <s:c r="J15" s="393" t="s">
        <s:v>92</s:v>
      </s:c>
      <s:c r="K15" s="393" t="s">
        <s:v>97</s:v>
      </s:c>
      <s:c r="L15" s="393" t="s">
        <s:v>98</s:v>
      </s:c>
      <s:c r="M15" s="390"/>
      <s:c r="N15" s="392"/>
    </s:row>
    <s:row r="16" spans="1:14">
      <s:c r="A16" s="365"/>
      <s:c r="B16" s="396">
        <s:f>График!AI26</s:f>
        <s:v>8</s:v>
      </s:c>
      <s:c r="C16" s="397" t="str">
        <s:f>A2</s:f>
        <s:v>ул. Набережная Ленина, 18</s:v>
      </s:c>
      <s:c r="D16" s="398" t="s">
        <s:v>99</s:v>
      </s:c>
      <s:c r="E16" s="399">
        <s:f>График!AJ26</s:f>
        <s:v>96</s:v>
      </s:c>
      <s:c r="F16" s="400">
        <s:v>100</s:v>
      </s:c>
      <s:c r="G16" s="401">
        <s:f>E16*F16</s:f>
        <s:v>9600</s:v>
      </s:c>
      <s:c r="H16" s="402"/>
      <s:c r="I16" s="402"/>
      <s:c r="J16" s="397" t="str">
        <s:f>График!B3</s:f>
        <s:v>ул. Набережная Ленина, 18</s:v>
      </s:c>
      <s:c r="K16" s="403">
        <s:f>'Ялта, Ленина, 18'!K8</s:f>
        <s:v>0.57470677588491892</s:v>
      </s:c>
      <s:c r="L16" s="476">
        <s:v>0</s:v>
      </s:c>
      <s:c r="M16" s="369"/>
      <s:c r="N16" s="370"/>
    </s:row>
    <s:row r="17" spans="1:14">
      <s:c r="A17" s="388"/>
      <s:c r="B17" s="393"/>
      <s:c r="C17" s="404"/>
      <s:c r="D17" s="398"/>
      <s:c r="E17" s="405"/>
      <s:c r="F17" s="400"/>
      <s:c r="G17" s="401"/>
      <s:c r="H17" s="387"/>
      <s:c r="I17" s="387"/>
      <s:c r="J17" s="378"/>
      <s:c r="K17" s="406"/>
      <s:c r="L17" s="477"/>
      <s:c r="M17" s="390"/>
      <s:c r="N17" s="392"/>
    </s:row>
    <s:row r="18" spans="1:14">
      <s:c r="A18" s="388"/>
      <s:c r="B18" s="387"/>
      <s:c r="C18" s="407"/>
      <s:c r="D18" s="367"/>
      <s:c r="E18" s="408"/>
      <s:c r="F18" s="408"/>
      <s:c r="G18" s="409"/>
      <s:c r="H18" s="387"/>
      <s:c r="I18" s="387"/>
      <s:c r="J18" s="387"/>
      <s:c r="K18" s="387"/>
      <s:c r="L18" s="390"/>
      <s:c r="M18" s="390"/>
      <s:c r="N18" s="392"/>
    </s:row>
    <s:row r="19" spans="1:14">
      <s:c r="A19" s="379" t="s">
        <s:v>100</s:v>
      </s:c>
      <s:c r="B19" s="380"/>
      <s:c r="C19" s="380"/>
      <s:c r="D19" s="410">
        <s:f>G24</s:f>
        <s:v>13731.63</s:v>
      </s:c>
      <s:c r="E19" s="411"/>
      <s:c r="F19" s="383"/>
      <s:c r="G19" s="383"/>
      <s:c r="H19" s="383"/>
      <s:c r="I19" s="380" t="s">
        <s:v>81</s:v>
      </s:c>
      <s:c r="J19" s="383"/>
      <s:c r="K19" s="383"/>
      <s:c r="L19" s="770">
        <s:f>N24</s:f>
        <s:v>6221.3604188481677</s:v>
      </s:c>
      <s:c r="M19" s="383"/>
      <s:c r="N19" s="386"/>
    </s:row>
    <s:row r="20" spans="1:14">
      <s:c r="A20" s="412"/>
      <s:c r="B20" s="366"/>
      <s:c r="C20" s="369"/>
      <s:c r="D20" s="369"/>
      <s:c r="E20" s="369"/>
      <s:c r="F20" s="369"/>
      <s:c r="G20" s="369"/>
      <s:c r="H20" s="369"/>
      <s:c r="I20" s="369"/>
      <s:c r="J20" s="369"/>
      <s:c r="K20" s="413"/>
      <s:c r="L20" s="121"/>
      <s:c r="M20" s="121"/>
      <s:c r="N20" s="414"/>
    </s:row>
    <s:row r="21" spans="1:14">
      <s:c r="A21" s="412"/>
      <s:c r="B21" s="367"/>
      <s:c r="C21" s="366"/>
      <s:c r="D21" s="369"/>
      <s:c r="E21" s="369"/>
      <s:c r="F21" s="369"/>
      <s:c r="G21" s="369"/>
      <s:c r="H21" s="369"/>
      <s:c r="I21" s="369"/>
      <s:c r="J21" s="369"/>
      <s:c r="K21" s="369"/>
      <s:c r="L21" s="369"/>
      <s:c r="M21" s="369"/>
      <s:c r="N21" s="370"/>
    </s:row>
    <s:row r="22" spans="1:14">
      <s:c r="A22" s="412"/>
      <s:c r="B22" s="366" t="s">
        <s:v>101</s:v>
      </s:c>
      <s:c r="C22" s="369"/>
      <s:c r="D22" s="369"/>
      <s:c r="E22" s="369"/>
      <s:c r="F22" s="369"/>
      <s:c r="G22" s="369"/>
      <s:c r="H22" s="369"/>
      <s:c r="I22" s="415" t="s">
        <s:v>102</s:v>
      </s:c>
      <s:c r="J22" s="416"/>
      <s:c r="K22" s="417"/>
      <s:c r="L22" s="417"/>
      <s:c r="M22" s="417"/>
      <s:c r="N22" s="418"/>
    </s:row>
    <s:row r="23" spans="1:14" ht="36">
      <s:c r="A23" s="419"/>
      <s:c r="B23" s="393" t="s">
        <s:v>28</s:v>
      </s:c>
      <s:c r="C23" s="726" t="s">
        <s:v>92</s:v>
      </s:c>
      <s:c r="D23" s="727"/>
      <s:c r="E23" s="393" t="s">
        <s:v>103</s:v>
      </s:c>
      <s:c r="F23" s="393" t="s">
        <s:v>104</s:v>
      </s:c>
      <s:c r="G23" s="393" t="s">
        <s:v>105</s:v>
      </s:c>
      <s:c r="H23" s="387"/>
      <s:c r="I23" s="420" t="s">
        <s:v>28</s:v>
      </s:c>
      <s:c r="J23" s="420" t="s">
        <s:v>92</s:v>
      </s:c>
      <s:c r="K23" s="420" t="s">
        <s:v>106</s:v>
      </s:c>
      <s:c r="L23" s="420" t="s">
        <s:v>107</s:v>
      </s:c>
      <s:c r="M23" s="420" t="s">
        <s:v>103</s:v>
      </s:c>
      <s:c r="N23" s="421" t="s">
        <s:v>105</s:v>
      </s:c>
    </s:row>
    <s:row r="24" spans="1:14">
      <s:c r="A24" s="412"/>
      <s:c r="B24" s="397" t="str">
        <s:f>A4</s:f>
        <s:v>Яковенко Алина</s:v>
      </s:c>
      <s:c r="C24" s="732" t="str">
        <s:f>A2</s:f>
        <s:v>ул. Набережная Ленина, 18</s:v>
      </s:c>
      <s:c r="D24" s="733"/>
      <s:c r="E24" s="403">
        <s:v>5.5E-2</s:v>
      </s:c>
      <s:c r="F24" s="478">
        <s:f>'Яковенко А. К.'!J8</s:f>
        <s:v>249666</s:v>
      </s:c>
      <s:c r="G24" s="422">
        <s:f>F24*E24</s:f>
        <s:v>13731.63</s:v>
      </s:c>
      <s:c r="H24" s="367"/>
      <s:c r="I24" s="423" t="str">
        <s:f>B24</s:f>
        <s:v>Яковенко Алина</s:v>
      </s:c>
      <s:c r="J24" s="424" t="str">
        <s:f>C24</s:f>
        <s:v>ул. Набережная Ленина, 18</s:v>
      </s:c>
      <s:c r="K24" s="424">
        <s:f>E16</s:f>
        <s:v>96</s:v>
      </s:c>
      <s:c r="L24" s="425">
        <s:f>График!AJ31</s:f>
        <s:v>764</s:v>
      </s:c>
      <s:c r="M24" s="426">
        <s:v>0.02</s:v>
      </s:c>
      <s:c r="N24" s="427">
        <s:f>'Ялта, Ленина, 18'!J8*M24*K24/L24</s:f>
        <s:v>6221.3604188481677</s:v>
      </s:c>
    </s:row>
    <s:row r="25" spans="1:14">
      <s:c r="A25" s="419"/>
      <s:c r="B25" s="397" t="str">
        <s:f>B24</s:f>
        <s:v>Яковенко Алина</s:v>
      </s:c>
      <s:c r="C25" s="734"/>
      <s:c r="D25" s="735"/>
      <s:c r="E25" s="403"/>
      <s:c r="F25" s="428"/>
      <s:c r="G25" s="401"/>
      <s:c r="H25" s="387"/>
      <s:c r="I25" s="429"/>
      <s:c r="J25" s="430"/>
      <s:c r="K25" s="431"/>
      <s:c r="L25" s="432"/>
      <s:c r="M25" s="433"/>
      <s:c r="N25" s="434" t="e">
        <s:f>1477363.14*M25*K25/L25</s:f>
        <s:v>#DIV/0!</s:v>
      </s:c>
    </s:row>
    <s:row r="26" spans="1:14" ht="16" thickBot="1">
      <s:c r="A26" s="435"/>
      <s:c r="B26" s="436"/>
      <s:c r="C26" s="436"/>
      <s:c r="D26" s="436"/>
      <s:c r="E26" s="436"/>
      <s:c r="F26" s="436"/>
      <s:c r="G26" s="436"/>
      <s:c r="H26" s="436"/>
      <s:c r="I26" s="436"/>
      <s:c r="J26" s="436"/>
      <s:c r="K26" s="436"/>
      <s:c r="L26" s="436"/>
      <s:c r="M26" s="436"/>
      <s:c r="N26" s="437"/>
    </s:row>
  </s:sheetData>
  <s:mergeCells count="18">
    <s:mergeCell ref="D10:E10"/>
    <s:mergeCell ref="J14:K14"/>
    <s:mergeCell ref="C23:D23"/>
    <s:mergeCell ref="C24:D24"/>
    <s:mergeCell ref="C25:D25"/>
    <s:mergeCell ref="J7:K7"/>
    <s:mergeCell ref="D8:E8"/>
    <s:mergeCell ref="H8:I8"/>
    <s:mergeCell ref="J8:K8"/>
    <s:mergeCell ref="D9:E9"/>
    <s:mergeCell ref="H9:I9"/>
    <s:mergeCell ref="J9:K9"/>
    <s:mergeCell ref="A1:D1"/>
    <s:mergeCell ref="A2:C2"/>
    <s:mergeCell ref="A3:C3"/>
    <s:mergeCell ref="A4:C4"/>
    <s:mergeCell ref="D7:E7"/>
    <s:mergeCell ref="H7:I7"/>
  </s:mergeCells>
  <s:pageMargins left="0.7" right="0.7" top="0.75" bottom="0.75" header="0.3" footer="0.3"/>
  <s:pageSetup paperSize="9" fitToWidth="0" fitToHeight="0" orientation="portrait"/>
</s:worksheet>
</file>

<file path=xl/worksheets/sheet13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B00-000000000000}">
  <s:dimension ref="A1:N26"/>
  <s:sheetViews>
    <s:sheetView tabSelected="0" zoomScale="91" workbookViewId="0">
      <s:selection activeCell="Q8" sqref="Q8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9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2.832" style="3" customWidth="1"/>
    <s:col min="9" max="10" width="17.664" style="3" customWidth="1"/>
    <s:col min="11" max="11" width="11.5" style="3" customWidth="1"/>
    <s:col min="12" max="12" width="11.5" style="3"/>
    <s:col min="13" max="13" width="16.832" style="3" customWidth="1"/>
    <s:col min="14" max="14" width="17.5" style="3" customWidth="1"/>
  </s:cols>
  <s:sheetData>
    <s:row r="1" spans="1:14">
      <s:c r="A1" s="710" t="str">
        <s:f>График!B1</s:f>
        <s:v>Июнь, 2025</s:v>
      </s:c>
      <s:c r="B1" s="711"/>
      <s:c r="C1" s="711"/>
      <s:c r="D1" s="712"/>
      <s:c r="E1" s="337"/>
      <s:c r="F1" s="338"/>
      <s:c r="G1" s="338"/>
      <s:c r="H1" s="338"/>
      <s:c r="I1" s="338"/>
      <s:c r="J1" s="338"/>
      <s:c r="K1" s="338"/>
      <s:c r="L1" s="338"/>
      <s:c r="M1" s="338"/>
      <s:c r="N1" s="339"/>
    </s:row>
    <s:row r="2" spans="1:14" ht="15" customHeight="1">
      <s:c r="A2" s="713" t="str">
        <s:f>График!B3</s:f>
        <s:v>ул. Набережная Ленина, 18</s:v>
      </s:c>
      <s:c r="B2" s="714"/>
      <s:c r="C2" s="714"/>
      <s:c r="D2" s="340" t="str">
        <s:f>График!B4</s:f>
        <s:v>GL-0005</s:v>
      </s:c>
      <s:c r="E2" s="341"/>
      <s:c r="F2" s="342"/>
      <s:c r="G2" s="342"/>
      <s:c r="H2" s="342"/>
      <s:c r="I2" s="342"/>
      <s:c r="J2" s="342"/>
      <s:c r="K2" s="342"/>
      <s:c r="L2" s="342"/>
      <s:c r="M2" s="342"/>
      <s:c r="N2" s="343"/>
    </s:row>
    <s:row r="3" spans="1:14" ht="75">
      <s:c r="A3" s="715" t="s">
        <s:v>28</s:v>
      </s:c>
      <s:c r="B3" s="716"/>
      <s:c r="C3" s="716"/>
      <s:c r="D3" s="344" t="s">
        <s:v>76</s:v>
      </s:c>
      <s:c r="E3" s="344" t="s">
        <s:v>77</s:v>
      </s:c>
      <s:c r="F3" s="345" t="s">
        <s:v>78</s:v>
      </s:c>
      <s:c r="G3" s="346" t="s">
        <s:v>79</s:v>
      </s:c>
      <s:c r="H3" s="347" t="s">
        <s:v>80</s:v>
      </s:c>
      <s:c r="I3" s="348" t="s">
        <s:v>81</s:v>
      </s:c>
      <s:c r="J3" s="349" t="s">
        <s:v>82</s:v>
      </s:c>
      <s:c r="K3" s="350" t="s">
        <s:v>83</s:v>
      </s:c>
      <s:c r="L3" s="351" t="s">
        <s:v>84</s:v>
      </s:c>
      <s:c r="M3" s="472" t="s">
        <s:v>85</s:v>
      </s:c>
      <s:c r="N3" s="353" t="s">
        <s:v>86</s:v>
      </s:c>
    </s:row>
    <s:row r="4" spans="1:14" ht="15" customHeight="1">
      <s:c r="A4" s="717" t="str">
        <s:f>График!B28</s:f>
        <s:v>Уразгильдеева Екатерина</s:v>
      </s:c>
      <s:c r="B4" s="718"/>
      <s:c r="C4" s="718"/>
      <s:c r="D4" s="473">
        <s:f>20880+13920</s:f>
        <s:v>34800</s:v>
      </s:c>
      <s:c r="E4" s="474"/>
      <s:c r="F4" s="444">
        <s:f>H8+H9</s:f>
        <s:v>0</s:v>
      </s:c>
      <s:c r="G4" s="445">
        <s:f>D12</s:f>
        <s:v>20800</s:v>
      </s:c>
      <s:c r="H4" s="446">
        <s:f>D19</s:f>
        <s:v>29998.43</s:v>
      </s:c>
      <s:c r="I4" s="447">
        <s:f>L19</s:f>
        <s:v>13479.614240837698</s:v>
      </s:c>
      <s:c r="J4" s="475">
        <s:f>L12</s:f>
        <s:v>0</s:v>
      </s:c>
      <s:c r="K4" s="361">
        <s:f>H4+J4+G4+F4+I4</s:f>
        <s:v>64278.044240837698</s:v>
      </s:c>
      <s:c r="L4" s="362">
        <s:f>C8+C9+C10</s:f>
        <s:v>5200</s:v>
      </s:c>
      <s:c r="M4" s="363">
        <s:f>K4-L4-D4-E4</s:f>
        <s:v>24278.044240837698</s:v>
      </s:c>
      <s:c r="N4" s="364"/>
    </s:row>
    <s:row r="5" spans="1:14">
      <s:c r="A5" s="365"/>
      <s:c r="B5" s="366"/>
      <s:c r="C5" s="367"/>
      <s:c r="D5" s="367"/>
      <s:c r="E5" s="367"/>
      <s:c r="F5" s="367"/>
      <s:c r="G5" s="367"/>
      <s:c r="H5" s="367"/>
      <s:c r="I5" s="367"/>
      <s:c r="J5" s="367"/>
      <s:c r="K5" s="368"/>
      <s:c r="L5" s="367"/>
      <s:c r="M5" s="369"/>
      <s:c r="N5" s="370"/>
    </s:row>
    <s:row r="6" spans="1:14">
      <s:c r="A6" s="365"/>
      <s:c r="B6" s="366" t="s">
        <s:v>84</s:v>
      </s:c>
      <s:c r="C6" s="367"/>
      <s:c r="D6" s="367"/>
      <s:c r="E6" s="367"/>
      <s:c r="F6" s="367"/>
      <s:c r="G6" s="366" t="s">
        <s:v>87</s:v>
      </s:c>
      <s:c r="H6" s="367"/>
      <s:c r="I6" s="367"/>
      <s:c r="J6" s="367"/>
      <s:c r="K6" s="367"/>
      <s:c r="L6" s="367"/>
      <s:c r="M6" s="369"/>
      <s:c r="N6" s="370"/>
    </s:row>
    <s:row r="7" spans="1:14">
      <s:c r="A7" s="371"/>
      <s:c r="B7" s="372" t="s">
        <s:v>29</s:v>
      </s:c>
      <s:c r="C7" s="372" t="s">
        <s:v>88</s:v>
      </s:c>
      <s:c r="D7" s="719" t="s">
        <s:v>89</s:v>
      </s:c>
      <s:c r="E7" s="719"/>
      <s:c r="F7" s="373"/>
      <s:c r="G7" s="372" t="s">
        <s:v>29</s:v>
      </s:c>
      <s:c r="H7" s="720" t="s">
        <s:v>88</s:v>
      </s:c>
      <s:c r="I7" s="721"/>
      <s:c r="J7" s="719" t="s">
        <s:v>89</s:v>
      </s:c>
      <s:c r="K7" s="719"/>
      <s:c r="L7" s="373"/>
      <s:c r="M7" s="374"/>
      <s:c r="N7" s="375"/>
    </s:row>
    <s:row r="8" spans="1:14" ht="15" customHeight="1">
      <s:c r="A8" s="365"/>
      <s:c r="B8" s="376">
        <s:v>45838</s:v>
      </s:c>
      <s:c r="C8" s="377">
        <s:f>40000-D4</s:f>
        <s:v>5200</s:v>
      </s:c>
      <s:c r="D8" s="722" t="s">
        <s:v>108</s:v>
      </s:c>
      <s:c r="E8" s="722"/>
      <s:c r="F8" s="367"/>
      <s:c r="G8" s="376"/>
      <s:c r="H8" s="751"/>
      <s:c r="I8" s="752"/>
      <s:c r="J8" s="722"/>
      <s:c r="K8" s="722"/>
      <s:c r="L8" s="367"/>
      <s:c r="M8" s="369"/>
      <s:c r="N8" s="370"/>
    </s:row>
    <s:row r="9" spans="1:14" ht="15" customHeight="1">
      <s:c r="A9" s="365"/>
      <s:c r="B9" s="376"/>
      <s:c r="C9" s="377"/>
      <s:c r="D9" s="722"/>
      <s:c r="E9" s="722"/>
      <s:c r="F9" s="367"/>
      <s:c r="G9" s="376"/>
      <s:c r="H9" s="751"/>
      <s:c r="I9" s="752"/>
      <s:c r="J9" s="722"/>
      <s:c r="K9" s="722"/>
      <s:c r="L9" s="367"/>
      <s:c r="M9" s="369"/>
      <s:c r="N9" s="370"/>
    </s:row>
    <s:row r="10" spans="1:14" ht="15" customHeight="1">
      <s:c r="A10" s="365"/>
      <s:c r="B10" s="376"/>
      <s:c r="C10" s="377"/>
      <s:c r="D10" s="722"/>
      <s:c r="E10" s="722"/>
      <s:c r="F10" s="367"/>
      <s:c r="G10" s="456"/>
      <s:c r="H10" s="457"/>
      <s:c r="I10" s="457"/>
      <s:c r="J10" s="458"/>
      <s:c r="K10" s="458"/>
      <s:c r="L10" s="367"/>
      <s:c r="M10" s="369"/>
      <s:c r="N10" s="370"/>
    </s:row>
    <s:row r="11" spans="1:14" ht="34" customHeight="1">
      <s:c r="A11" s="365"/>
      <s:c r="B11" s="366"/>
      <s:c r="C11" s="367"/>
      <s:c r="D11" s="367"/>
      <s:c r="E11" s="367"/>
      <s:c r="F11" s="367"/>
      <s:c r="G11" s="367"/>
      <s:c r="H11" s="367"/>
      <s:c r="I11" s="367"/>
      <s:c r="J11" s="367"/>
      <s:c r="K11" s="367"/>
      <s:c r="L11" s="367"/>
      <s:c r="M11" s="369"/>
      <s:c r="N11" s="370"/>
    </s:row>
    <s:row r="12" spans="1:14">
      <s:c r="A12" s="379" t="s">
        <s:v>90</s:v>
      </s:c>
      <s:c r="B12" s="380"/>
      <s:c r="C12" s="380"/>
      <s:c r="D12" s="381">
        <s:f>G16</s:f>
        <s:v>20800</s:v>
      </s:c>
      <s:c r="E12" s="382"/>
      <s:c r="F12" s="383"/>
      <s:c r="G12" s="380"/>
      <s:c r="H12" s="380"/>
      <s:c r="I12" s="384" t="s">
        <s:v>82</s:v>
      </s:c>
      <s:c r="J12" s="380"/>
      <s:c r="K12" s="380"/>
      <s:c r="L12" s="771">
        <s:f>L16+L17</s:f>
        <s:v>0</s:v>
      </s:c>
      <s:c r="M12" s="383"/>
      <s:c r="N12" s="386"/>
    </s:row>
    <s:row r="13" spans="1:14">
      <s:c r="A13" s="365"/>
      <s:c r="B13" s="366"/>
      <s:c r="C13" s="367"/>
      <s:c r="D13" s="387"/>
      <s:c r="E13" s="387"/>
      <s:c r="F13" s="367"/>
      <s:c r="G13" s="367"/>
      <s:c r="H13" s="367"/>
      <s:c r="I13" s="367"/>
      <s:c r="J13" s="367"/>
      <s:c r="K13" s="369"/>
      <s:c r="L13" s="369"/>
      <s:c r="M13" s="369"/>
      <s:c r="N13" s="370"/>
    </s:row>
    <s:row r="14" spans="1:14">
      <s:c r="A14" s="388"/>
      <s:c r="B14" s="389" t="s">
        <s:v>90</s:v>
      </s:c>
      <s:c r="C14" s="387"/>
      <s:c r="D14" s="387"/>
      <s:c r="E14" s="387"/>
      <s:c r="F14" s="387"/>
      <s:c r="G14" s="387"/>
      <s:c r="H14" s="387"/>
      <s:c r="I14" s="387"/>
      <s:c r="J14" s="725" t="s">
        <s:v>82</s:v>
      </s:c>
      <s:c r="K14" s="725"/>
      <s:c r="L14" s="391"/>
      <s:c r="M14" s="390"/>
      <s:c r="N14" s="392"/>
    </s:row>
    <s:row r="15" spans="1:14" ht="24">
      <s:c r="A15" s="388"/>
      <s:c r="B15" s="393" t="s">
        <s:v>91</s:v>
      </s:c>
      <s:c r="C15" s="393" t="s">
        <s:v>92</s:v>
      </s:c>
      <s:c r="D15" s="394" t="s">
        <s:v>93</s:v>
      </s:c>
      <s:c r="E15" s="394" t="s">
        <s:v>94</s:v>
      </s:c>
      <s:c r="F15" s="394" t="s">
        <s:v>95</s:v>
      </s:c>
      <s:c r="G15" s="393" t="s">
        <s:v>96</s:v>
      </s:c>
      <s:c r="H15" s="387"/>
      <s:c r="I15" s="387"/>
      <s:c r="J15" s="393" t="s">
        <s:v>92</s:v>
      </s:c>
      <s:c r="K15" s="393" t="s">
        <s:v>97</s:v>
      </s:c>
      <s:c r="L15" s="393" t="s">
        <s:v>98</s:v>
      </s:c>
      <s:c r="M15" s="390"/>
      <s:c r="N15" s="392"/>
    </s:row>
    <s:row r="16" spans="1:14">
      <s:c r="A16" s="365"/>
      <s:c r="B16" s="396">
        <s:f>График!AI28</s:f>
        <s:v>16</s:v>
      </s:c>
      <s:c r="C16" s="397" t="str">
        <s:f>A2</s:f>
        <s:v>ул. Набережная Ленина, 18</s:v>
      </s:c>
      <s:c r="D16" s="398" t="s">
        <s:v>99</s:v>
      </s:c>
      <s:c r="E16" s="399">
        <s:f>График!AJ28</s:f>
        <s:v>208</s:v>
      </s:c>
      <s:c r="F16" s="400">
        <s:v>100</s:v>
      </s:c>
      <s:c r="G16" s="401">
        <s:f>E16*F16</s:f>
        <s:v>20800</s:v>
      </s:c>
      <s:c r="H16" s="402"/>
      <s:c r="I16" s="402"/>
      <s:c r="J16" s="397" t="str">
        <s:f>График!B3</s:f>
        <s:v>ул. Набережная Ленина, 18</s:v>
      </s:c>
      <s:c r="K16" s="403">
        <s:f>'Ялта, Ленина, 18'!K8</s:f>
        <s:v>0.57470677588491892</s:v>
      </s:c>
      <s:c r="L16" s="476">
        <s:v>0</s:v>
      </s:c>
      <s:c r="M16" s="369"/>
      <s:c r="N16" s="370"/>
    </s:row>
    <s:row r="17" spans="1:14">
      <s:c r="A17" s="388"/>
      <s:c r="B17" s="393"/>
      <s:c r="C17" s="404"/>
      <s:c r="D17" s="398"/>
      <s:c r="E17" s="405"/>
      <s:c r="F17" s="400"/>
      <s:c r="G17" s="401"/>
      <s:c r="H17" s="387"/>
      <s:c r="I17" s="387"/>
      <s:c r="J17" s="378"/>
      <s:c r="K17" s="406"/>
      <s:c r="L17" s="477"/>
      <s:c r="M17" s="390"/>
      <s:c r="N17" s="392"/>
    </s:row>
    <s:row r="18" spans="1:14">
      <s:c r="A18" s="388"/>
      <s:c r="B18" s="387"/>
      <s:c r="C18" s="407"/>
      <s:c r="D18" s="367"/>
      <s:c r="E18" s="408"/>
      <s:c r="F18" s="408"/>
      <s:c r="G18" s="409"/>
      <s:c r="H18" s="387"/>
      <s:c r="I18" s="387"/>
      <s:c r="J18" s="387"/>
      <s:c r="K18" s="387"/>
      <s:c r="L18" s="390"/>
      <s:c r="M18" s="390"/>
      <s:c r="N18" s="392"/>
    </s:row>
    <s:row r="19" spans="1:14">
      <s:c r="A19" s="379" t="s">
        <s:v>100</s:v>
      </s:c>
      <s:c r="B19" s="380"/>
      <s:c r="C19" s="380"/>
      <s:c r="D19" s="410">
        <s:f>G24</s:f>
        <s:v>29998.43</s:v>
      </s:c>
      <s:c r="E19" s="411"/>
      <s:c r="F19" s="383"/>
      <s:c r="G19" s="383"/>
      <s:c r="H19" s="383"/>
      <s:c r="I19" s="380" t="s">
        <s:v>81</s:v>
      </s:c>
      <s:c r="J19" s="383"/>
      <s:c r="K19" s="383"/>
      <s:c r="L19" s="770">
        <s:f>N24</s:f>
        <s:v>13479.614240837698</s:v>
      </s:c>
      <s:c r="M19" s="383"/>
      <s:c r="N19" s="386"/>
    </s:row>
    <s:row r="20" spans="1:14">
      <s:c r="A20" s="412"/>
      <s:c r="B20" s="366"/>
      <s:c r="C20" s="369"/>
      <s:c r="D20" s="369"/>
      <s:c r="E20" s="369"/>
      <s:c r="F20" s="369"/>
      <s:c r="G20" s="369"/>
      <s:c r="H20" s="369"/>
      <s:c r="I20" s="369"/>
      <s:c r="J20" s="369"/>
      <s:c r="K20" s="413"/>
      <s:c r="L20" s="121"/>
      <s:c r="M20" s="121"/>
      <s:c r="N20" s="414"/>
    </s:row>
    <s:row r="21" spans="1:14">
      <s:c r="A21" s="412"/>
      <s:c r="B21" s="367"/>
      <s:c r="C21" s="366"/>
      <s:c r="D21" s="369"/>
      <s:c r="E21" s="369"/>
      <s:c r="F21" s="369"/>
      <s:c r="G21" s="369"/>
      <s:c r="H21" s="369"/>
      <s:c r="I21" s="369"/>
      <s:c r="J21" s="369"/>
      <s:c r="K21" s="369"/>
      <s:c r="L21" s="369"/>
      <s:c r="M21" s="369"/>
      <s:c r="N21" s="370"/>
    </s:row>
    <s:row r="22" spans="1:14">
      <s:c r="A22" s="412"/>
      <s:c r="B22" s="366" t="s">
        <s:v>101</s:v>
      </s:c>
      <s:c r="C22" s="369"/>
      <s:c r="D22" s="369"/>
      <s:c r="E22" s="369"/>
      <s:c r="F22" s="369"/>
      <s:c r="G22" s="369"/>
      <s:c r="H22" s="369"/>
      <s:c r="I22" s="415" t="s">
        <s:v>102</s:v>
      </s:c>
      <s:c r="J22" s="416"/>
      <s:c r="K22" s="417"/>
      <s:c r="L22" s="417"/>
      <s:c r="M22" s="417"/>
      <s:c r="N22" s="418"/>
    </s:row>
    <s:row r="23" spans="1:14" ht="36">
      <s:c r="A23" s="419"/>
      <s:c r="B23" s="393" t="s">
        <s:v>28</s:v>
      </s:c>
      <s:c r="C23" s="726" t="s">
        <s:v>92</s:v>
      </s:c>
      <s:c r="D23" s="727"/>
      <s:c r="E23" s="393" t="s">
        <s:v>103</s:v>
      </s:c>
      <s:c r="F23" s="393" t="s">
        <s:v>104</s:v>
      </s:c>
      <s:c r="G23" s="393" t="s">
        <s:v>105</s:v>
      </s:c>
      <s:c r="H23" s="387"/>
      <s:c r="I23" s="420" t="s">
        <s:v>28</s:v>
      </s:c>
      <s:c r="J23" s="420" t="s">
        <s:v>92</s:v>
      </s:c>
      <s:c r="K23" s="420" t="s">
        <s:v>106</s:v>
      </s:c>
      <s:c r="L23" s="420" t="s">
        <s:v>107</s:v>
      </s:c>
      <s:c r="M23" s="420" t="s">
        <s:v>103</s:v>
      </s:c>
      <s:c r="N23" s="421" t="s">
        <s:v>105</s:v>
      </s:c>
    </s:row>
    <s:row r="24" spans="1:14">
      <s:c r="A24" s="412"/>
      <s:c r="B24" s="397" t="str">
        <s:f>A4</s:f>
        <s:v>Уразгильдеева Екатерина</s:v>
      </s:c>
      <s:c r="C24" s="732" t="str">
        <s:f>A2</s:f>
        <s:v>ул. Набережная Ленина, 18</s:v>
      </s:c>
      <s:c r="D24" s="733"/>
      <s:c r="E24" s="403">
        <s:v>5.5E-2</s:v>
      </s:c>
      <s:c r="F24" s="478">
        <s:f>'Уразгильдеева Е. Р.'!J8</s:f>
        <s:v>545426</s:v>
      </s:c>
      <s:c r="G24" s="768">
        <s:f>F24*E24</s:f>
        <s:v>29998.43</s:v>
      </s:c>
      <s:c r="H24" s="367"/>
      <s:c r="I24" s="423" t="str">
        <s:f>B24</s:f>
        <s:v>Уразгильдеева Екатерина</s:v>
      </s:c>
      <s:c r="J24" s="424" t="str">
        <s:f>C24</s:f>
        <s:v>ул. Набережная Ленина, 18</s:v>
      </s:c>
      <s:c r="K24" s="424">
        <s:f>E16</s:f>
        <s:v>208</s:v>
      </s:c>
      <s:c r="L24" s="425">
        <s:f>График!AJ31</s:f>
        <s:v>764</s:v>
      </s:c>
      <s:c r="M24" s="426">
        <s:v>0.02</s:v>
      </s:c>
      <s:c r="N24" s="769">
        <s:f>'Ялта, Ленина, 18'!J8*M24*K24/L24</s:f>
        <s:v>13479.614240837698</s:v>
      </s:c>
    </s:row>
    <s:row r="25" spans="1:14">
      <s:c r="A25" s="419"/>
      <s:c r="B25" s="397" t="str">
        <s:f>B24</s:f>
        <s:v>Уразгильдеева Екатерина</s:v>
      </s:c>
      <s:c r="C25" s="734"/>
      <s:c r="D25" s="735"/>
      <s:c r="E25" s="403"/>
      <s:c r="F25" s="428"/>
      <s:c r="G25" s="401"/>
      <s:c r="H25" s="387"/>
      <s:c r="I25" s="429"/>
      <s:c r="J25" s="430"/>
      <s:c r="K25" s="431"/>
      <s:c r="L25" s="432"/>
      <s:c r="M25" s="433"/>
      <s:c r="N25" s="434"/>
    </s:row>
    <s:row r="26" spans="1:14">
      <s:c r="A26" s="435"/>
      <s:c r="B26" s="436"/>
      <s:c r="C26" s="436"/>
      <s:c r="D26" s="436"/>
      <s:c r="E26" s="436"/>
      <s:c r="F26" s="436"/>
      <s:c r="G26" s="436"/>
      <s:c r="H26" s="436"/>
      <s:c r="I26" s="436"/>
      <s:c r="J26" s="436"/>
      <s:c r="K26" s="436"/>
      <s:c r="L26" s="436"/>
      <s:c r="M26" s="436"/>
      <s:c r="N26" s="437"/>
    </s:row>
  </s:sheetData>
  <s:mergeCells count="18">
    <s:mergeCell ref="C23:D23"/>
    <s:mergeCell ref="C24:D24"/>
    <s:mergeCell ref="C25:D25"/>
    <s:mergeCell ref="D9:E9"/>
    <s:mergeCell ref="H9:I9"/>
    <s:mergeCell ref="J9:K9"/>
    <s:mergeCell ref="D10:E10"/>
    <s:mergeCell ref="J14:K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4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C00-000000000000}">
  <s:dimension ref="A1:AO33"/>
  <s:sheetViews>
    <s:sheetView tabSelected="0" zoomScale="75" workbookViewId="0">
      <s:selection activeCell="AJ31" sqref="AJ31"/>
    </s:sheetView>
  </s:sheetViews>
  <s:sheetFormatPr baseColWidth="10" defaultColWidth="11.5" defaultRowHeight="15"/>
  <s:cols>
    <s:col min="1" max="1" width="4.832" style="3" customWidth="1"/>
    <s:col min="2" max="2" width="26.664" style="3" customWidth="1"/>
    <s:col min="3" max="3" width="17" style="3" customWidth="1"/>
    <s:col min="4" max="34" width="6.332" style="3" customWidth="1"/>
    <s:col min="35" max="35" width="4.832" style="3" customWidth="1"/>
    <s:col min="36" max="36" width="11.164" style="3" customWidth="1"/>
    <s:col min="37" max="40" width="6.332" style="3" customWidth="1"/>
    <s:col min="41" max="16384" width="11.5" style="3"/>
  </s:cols>
  <s:sheetData>
    <s:row r="1" spans="1:40">
      <s:c r="A1" s="479"/>
      <s:c r="B1" s="480" t="s">
        <s:v>112</s:v>
      </s:c>
      <s:c r="C1" s="481"/>
      <s:c r="D1" s="481"/>
      <s:c r="E1" s="481"/>
      <s:c r="F1" s="481"/>
      <s:c r="G1" s="481"/>
      <s:c r="H1" s="481"/>
      <s:c r="I1" s="481"/>
      <s:c r="J1" s="481"/>
      <s:c r="K1" s="481"/>
      <s:c r="L1" s="481"/>
      <s:c r="M1" s="481"/>
      <s:c r="N1" s="481"/>
      <s:c r="O1" s="481"/>
      <s:c r="P1" s="481"/>
      <s:c r="Q1" s="481"/>
      <s:c r="R1" s="481"/>
      <s:c r="S1" s="481"/>
      <s:c r="T1" s="481" t="s">
        <s:v>72</s:v>
      </s:c>
      <s:c r="U1" s="481"/>
      <s:c r="V1" s="481"/>
      <s:c r="W1" s="481"/>
      <s:c r="X1" s="481"/>
      <s:c r="Y1" s="481"/>
      <s:c r="Z1" s="481"/>
      <s:c r="AA1" s="481"/>
      <s:c r="AB1" s="481"/>
      <s:c r="AC1" s="481"/>
      <s:c r="AD1" s="481"/>
      <s:c r="AE1" s="481"/>
      <s:c r="AF1" s="481"/>
      <s:c r="AG1" s="481"/>
      <s:c r="AH1" s="481"/>
      <s:c r="AI1" s="481"/>
      <s:c r="AJ1" s="481"/>
      <s:c r="AK1" s="481"/>
      <s:c r="AL1" s="481"/>
      <s:c r="AM1" s="481"/>
      <s:c r="AN1" s="481"/>
    </s:row>
    <s:row r="2" spans="1:40" ht="16">
      <s:c r="A2" s="479"/>
      <s:c r="B2" s="482" t="s">
        <s:v>113</s:v>
      </s:c>
      <s:c r="C2" s="483"/>
      <s:c r="D2" s="483"/>
      <s:c r="E2" s="484"/>
      <s:c r="F2" s="484"/>
      <s:c r="G2" s="484"/>
      <s:c r="H2" s="484"/>
      <s:c r="I2" s="484"/>
      <s:c r="J2" s="484"/>
      <s:c r="K2" s="484"/>
      <s:c r="L2" s="484"/>
      <s:c r="M2" s="484"/>
      <s:c r="N2" s="484"/>
      <s:c r="O2" s="484"/>
      <s:c r="P2" s="484"/>
      <s:c r="Q2" s="484"/>
      <s:c r="R2" s="484"/>
      <s:c r="S2" s="484"/>
      <s:c r="T2" s="484"/>
      <s:c r="U2" s="484"/>
      <s:c r="V2" s="484"/>
      <s:c r="W2" s="484"/>
      <s:c r="X2" s="484"/>
      <s:c r="Y2" s="484"/>
      <s:c r="Z2" s="484"/>
      <s:c r="AA2" s="484"/>
      <s:c r="AB2" s="484"/>
      <s:c r="AC2" s="484"/>
      <s:c r="AD2" s="484"/>
      <s:c r="AE2" s="484"/>
      <s:c r="AF2" s="484"/>
      <s:c r="AG2" s="484"/>
      <s:c r="AH2" s="484"/>
      <s:c r="AI2" s="484"/>
      <s:c r="AJ2" s="484"/>
      <s:c r="AK2" s="484"/>
      <s:c r="AL2" s="484"/>
      <s:c r="AM2" s="484"/>
      <s:c r="AN2" s="484"/>
    </s:row>
    <s:row r="3" spans="1:40" ht="16">
      <s:c r="A3" s="479"/>
      <s:c r="B3" s="485" t="s">
        <s:v>114</s:v>
      </s:c>
      <s:c r="C3" s="486"/>
      <s:c r="D3" s="486"/>
      <s:c r="E3" s="487"/>
      <s:c r="F3" s="487"/>
      <s:c r="G3" s="487"/>
      <s:c r="H3" s="487"/>
      <s:c r="I3" s="487"/>
      <s:c r="J3" s="487"/>
      <s:c r="K3" s="484"/>
      <s:c r="L3" s="484"/>
      <s:c r="M3" s="484"/>
      <s:c r="N3" s="484"/>
      <s:c r="O3" s="484"/>
      <s:c r="P3" s="484"/>
      <s:c r="Q3" s="484"/>
      <s:c r="R3" s="484"/>
      <s:c r="S3" s="484"/>
      <s:c r="T3" s="484"/>
      <s:c r="U3" s="484"/>
      <s:c r="V3" s="484"/>
      <s:c r="W3" s="484"/>
      <s:c r="X3" s="484"/>
      <s:c r="Y3" s="484"/>
      <s:c r="Z3" s="484"/>
      <s:c r="AA3" s="484"/>
      <s:c r="AB3" s="484"/>
      <s:c r="AC3" s="484"/>
      <s:c r="AD3" s="484"/>
      <s:c r="AE3" s="484"/>
      <s:c r="AF3" s="484"/>
      <s:c r="AG3" s="484"/>
      <s:c r="AH3" s="484"/>
      <s:c r="AI3" s="484"/>
      <s:c r="AJ3" s="484"/>
      <s:c r="AK3" s="484"/>
      <s:c r="AL3" s="484"/>
      <s:c r="AM3" s="484"/>
      <s:c r="AN3" s="484"/>
    </s:row>
    <s:row r="4" spans="1:40" ht="19">
      <s:c r="A4" s="479"/>
      <s:c r="B4" s="488" t="s">
        <s:v>115</s:v>
      </s:c>
      <s:c r="C4" s="483"/>
      <s:c r="D4" s="483"/>
      <s:c r="E4" s="484"/>
      <s:c r="F4" s="484"/>
      <s:c r="G4" s="484"/>
      <s:c r="H4" s="484"/>
      <s:c r="I4" s="484"/>
      <s:c r="J4" s="484"/>
      <s:c r="K4" s="484"/>
      <s:c r="L4" s="484"/>
      <s:c r="M4" s="484"/>
      <s:c r="N4" s="484"/>
      <s:c r="O4" s="484"/>
      <s:c r="P4" s="484"/>
      <s:c r="Q4" s="484"/>
      <s:c r="R4" s="484"/>
      <s:c r="S4" s="484"/>
      <s:c r="T4" s="484"/>
      <s:c r="U4" s="484"/>
      <s:c r="V4" s="484"/>
      <s:c r="W4" s="484"/>
      <s:c r="X4" s="484"/>
      <s:c r="Y4" s="484"/>
      <s:c r="Z4" s="484"/>
      <s:c r="AA4" s="484"/>
      <s:c r="AB4" s="484"/>
      <s:c r="AC4" s="484"/>
      <s:c r="AD4" s="484"/>
      <s:c r="AE4" s="484"/>
      <s:c r="AF4" s="484"/>
      <s:c r="AG4" s="484"/>
      <s:c r="AH4" s="484"/>
      <s:c r="AI4" s="484"/>
      <s:c r="AJ4" s="484"/>
      <s:c r="AK4" s="484"/>
      <s:c r="AL4" s="484"/>
      <s:c r="AM4" s="484"/>
      <s:c r="AN4" s="484"/>
    </s:row>
    <s:row r="5" spans="1:40" ht="16">
      <s:c r="A5" s="479"/>
      <s:c r="B5" s="489" t="s">
        <s:v>116</s:v>
      </s:c>
      <s:c r="C5" s="484"/>
      <s:c r="D5" s="484"/>
      <s:c r="E5" s="484"/>
      <s:c r="F5" s="484"/>
      <s:c r="G5" s="484"/>
      <s:c r="H5" s="484"/>
      <s:c r="I5" s="484"/>
      <s:c r="J5" s="484"/>
      <s:c r="K5" s="484"/>
      <s:c r="L5" s="484"/>
      <s:c r="M5" s="484"/>
      <s:c r="N5" s="484"/>
      <s:c r="O5" s="484"/>
      <s:c r="P5" s="484"/>
      <s:c r="Q5" s="484"/>
      <s:c r="R5" s="484"/>
      <s:c r="S5" s="484"/>
      <s:c r="T5" s="484"/>
      <s:c r="U5" s="484"/>
      <s:c r="V5" s="484"/>
      <s:c r="W5" s="484"/>
      <s:c r="X5" s="484"/>
      <s:c r="Y5" s="484"/>
      <s:c r="Z5" s="484"/>
      <s:c r="AA5" s="484"/>
      <s:c r="AB5" s="484"/>
      <s:c r="AC5" s="484"/>
      <s:c r="AD5" s="484"/>
      <s:c r="AE5" s="484"/>
      <s:c r="AF5" s="484"/>
      <s:c r="AG5" s="484"/>
      <s:c r="AH5" s="484"/>
      <s:c r="AI5" s="484"/>
      <s:c r="AJ5" s="753"/>
      <s:c r="AK5" s="754"/>
      <s:c r="AL5" s="755"/>
      <s:c r="AM5" s="756"/>
      <s:c r="AN5" s="757"/>
    </s:row>
    <s:row r="6" spans="1:40">
      <s:c r="A6" s="479"/>
      <s:c r="B6" s="490" t="s">
        <s:v>117</s:v>
      </s:c>
      <s:c r="C6" s="758" t="s">
        <s:v>118</s:v>
      </s:c>
      <s:c r="D6" s="759"/>
      <s:c r="E6" s="759"/>
      <s:c r="F6" s="759"/>
      <s:c r="G6" s="759"/>
      <s:c r="H6" s="759"/>
      <s:c r="I6" s="759"/>
      <s:c r="J6" s="759"/>
      <s:c r="K6" s="759"/>
      <s:c r="L6" s="759"/>
      <s:c r="M6" s="759"/>
      <s:c r="N6" s="759"/>
      <s:c r="O6" s="759"/>
      <s:c r="P6" s="759"/>
      <s:c r="Q6" s="759"/>
      <s:c r="R6" s="759"/>
      <s:c r="S6" s="759"/>
      <s:c r="T6" s="759"/>
      <s:c r="U6" s="759"/>
      <s:c r="V6" s="759"/>
      <s:c r="W6" s="759"/>
      <s:c r="X6" s="759"/>
      <s:c r="Y6" s="759"/>
      <s:c r="Z6" s="759"/>
      <s:c r="AA6" s="759"/>
      <s:c r="AB6" s="759"/>
      <s:c r="AC6" s="759"/>
      <s:c r="AD6" s="759"/>
      <s:c r="AE6" s="759"/>
      <s:c r="AF6" s="759"/>
      <s:c r="AG6" s="759"/>
      <s:c r="AH6" s="759"/>
      <s:c r="AI6" s="759"/>
      <s:c r="AJ6" s="760"/>
      <s:c r="AK6" s="491">
        <s:v>30</s:v>
      </s:c>
      <s:c r="AL6" s="492"/>
      <s:c r="AM6" s="492"/>
      <s:c r="AN6" s="492"/>
    </s:row>
    <s:row r="7" spans="1:40">
      <s:c r="A7" s="493"/>
      <s:c r="B7" s="494" t="e">
        <s:f>BT31*100/BH31</s:f>
        <s:v>#DIV/0!</s:v>
      </s:c>
      <s:c r="C7" s="758"/>
      <s:c r="D7" s="759"/>
      <s:c r="E7" s="759"/>
      <s:c r="F7" s="759"/>
      <s:c r="G7" s="759"/>
      <s:c r="H7" s="759"/>
      <s:c r="I7" s="759"/>
      <s:c r="J7" s="759"/>
      <s:c r="K7" s="759"/>
      <s:c r="L7" s="759"/>
      <s:c r="M7" s="759"/>
      <s:c r="N7" s="759"/>
      <s:c r="O7" s="759"/>
      <s:c r="P7" s="759"/>
      <s:c r="Q7" s="759"/>
      <s:c r="R7" s="759"/>
      <s:c r="S7" s="759"/>
      <s:c r="T7" s="759"/>
      <s:c r="U7" s="759"/>
      <s:c r="V7" s="759"/>
      <s:c r="W7" s="759"/>
      <s:c r="X7" s="759"/>
      <s:c r="Y7" s="759"/>
      <s:c r="Z7" s="759"/>
      <s:c r="AA7" s="759"/>
      <s:c r="AB7" s="759"/>
      <s:c r="AC7" s="759"/>
      <s:c r="AD7" s="759"/>
      <s:c r="AE7" s="759"/>
      <s:c r="AF7" s="759"/>
      <s:c r="AG7" s="759"/>
      <s:c r="AH7" s="759"/>
      <s:c r="AI7" s="759"/>
      <s:c r="AJ7" s="760"/>
      <s:c r="AK7" s="495"/>
      <s:c r="AL7" s="495"/>
      <s:c r="AM7" s="496"/>
      <s:c r="AN7" s="496"/>
    </s:row>
    <s:row r="8" spans="1:40" ht="30">
      <s:c r="A8" s="497"/>
      <s:c r="B8" s="498"/>
      <s:c r="C8" s="499"/>
      <s:c r="D8" s="500" t="s">
        <s:v>49</s:v>
      </s:c>
      <s:c r="E8" s="500" t="s">
        <s:v>51</s:v>
      </s:c>
      <s:c r="F8" s="500" t="s">
        <s:v>54</s:v>
      </s:c>
      <s:c r="G8" s="500" t="s">
        <s:v>56</s:v>
      </s:c>
      <s:c r="H8" s="500" t="s">
        <s:v>58</s:v>
      </s:c>
      <s:c r="I8" s="500" t="s">
        <s:v>59</s:v>
      </s:c>
      <s:c r="J8" s="500" t="s">
        <s:v>60</s:v>
      </s:c>
      <s:c r="K8" s="500" t="s">
        <s:v>49</s:v>
      </s:c>
      <s:c r="L8" s="500" t="s">
        <s:v>51</s:v>
      </s:c>
      <s:c r="M8" s="500" t="s">
        <s:v>54</s:v>
      </s:c>
      <s:c r="N8" s="500" t="s">
        <s:v>56</s:v>
      </s:c>
      <s:c r="O8" s="500" t="s">
        <s:v>58</s:v>
      </s:c>
      <s:c r="P8" s="500" t="s">
        <s:v>59</s:v>
      </s:c>
      <s:c r="Q8" s="500" t="s">
        <s:v>60</s:v>
      </s:c>
      <s:c r="R8" s="500" t="s">
        <s:v>49</s:v>
      </s:c>
      <s:c r="S8" s="500" t="s">
        <s:v>51</s:v>
      </s:c>
      <s:c r="T8" s="500" t="s">
        <s:v>54</s:v>
      </s:c>
      <s:c r="U8" s="500" t="s">
        <s:v>56</s:v>
      </s:c>
      <s:c r="V8" s="500" t="s">
        <s:v>58</s:v>
      </s:c>
      <s:c r="W8" s="500" t="s">
        <s:v>59</s:v>
      </s:c>
      <s:c r="X8" s="500" t="s">
        <s:v>60</s:v>
      </s:c>
      <s:c r="Y8" s="500" t="s">
        <s:v>49</s:v>
      </s:c>
      <s:c r="Z8" s="500" t="s">
        <s:v>51</s:v>
      </s:c>
      <s:c r="AA8" s="500" t="s">
        <s:v>54</s:v>
      </s:c>
      <s:c r="AB8" s="500" t="s">
        <s:v>56</s:v>
      </s:c>
      <s:c r="AC8" s="500" t="s">
        <s:v>58</s:v>
      </s:c>
      <s:c r="AD8" s="500" t="s">
        <s:v>59</s:v>
      </s:c>
      <s:c r="AE8" s="500" t="s">
        <s:v>60</s:v>
      </s:c>
      <s:c r="AF8" s="500" t="s">
        <s:v>49</s:v>
      </s:c>
      <s:c r="AG8" s="500" t="s">
        <s:v>51</s:v>
      </s:c>
      <s:c r="AH8" s="500"/>
      <s:c r="AI8" s="501"/>
      <s:c r="AJ8" s="502" t="s">
        <s:v>119</s:v>
      </s:c>
      <s:c r="AK8" s="502" t="s">
        <s:v>120</s:v>
      </s:c>
      <s:c r="AL8" s="761" t="s">
        <s:v>121</s:v>
      </s:c>
      <s:c r="AM8" s="761" t="s">
        <s:v>122</s:v>
      </s:c>
      <s:c r="AN8" s="765" t="s">
        <s:v>123</s:v>
      </s:c>
    </s:row>
    <s:row r="9" spans="1:40">
      <s:c r="A9" s="479"/>
      <s:c r="B9" s="484"/>
      <s:c r="C9" s="503"/>
      <s:c r="D9" s="504"/>
      <s:c r="E9" s="504"/>
      <s:c r="F9" s="504"/>
      <s:c r="G9" s="504"/>
      <s:c r="H9" s="504"/>
      <s:c r="I9" s="504"/>
      <s:c r="J9" s="504"/>
      <s:c r="K9" s="504"/>
      <s:c r="L9" s="504"/>
      <s:c r="M9" s="504"/>
      <s:c r="N9" s="504"/>
      <s:c r="O9" s="504"/>
      <s:c r="P9" s="504"/>
      <s:c r="Q9" s="504"/>
      <s:c r="R9" s="504"/>
      <s:c r="S9" s="504"/>
      <s:c r="T9" s="504"/>
      <s:c r="U9" s="504"/>
      <s:c r="V9" s="504"/>
      <s:c r="W9" s="504"/>
      <s:c r="X9" s="504"/>
      <s:c r="Y9" s="504"/>
      <s:c r="Z9" s="504"/>
      <s:c r="AA9" s="504"/>
      <s:c r="AB9" s="504"/>
      <s:c r="AC9" s="504"/>
      <s:c r="AD9" s="504"/>
      <s:c r="AE9" s="504"/>
      <s:c r="AF9" s="504"/>
      <s:c r="AG9" s="504"/>
      <s:c r="AH9" s="504"/>
      <s:c r="AI9" s="505"/>
      <s:c r="AJ9" s="506"/>
      <s:c r="AK9" s="506"/>
      <s:c r="AL9" s="762"/>
      <s:c r="AM9" s="762"/>
      <s:c r="AN9" s="766"/>
    </s:row>
    <s:row r="10" spans="1:40">
      <s:c r="A10" s="507" t="s">
        <s:v>124</s:v>
      </s:c>
      <s:c r="B10" s="508" t="s">
        <s:v>125</s:v>
      </s:c>
      <s:c r="C10" s="509" t="s">
        <s:v>93</s:v>
      </s:c>
      <s:c r="D10" s="510">
        <s:v>1</s:v>
      </s:c>
      <s:c r="E10" s="510">
        <s:v>2</s:v>
      </s:c>
      <s:c r="F10" s="510">
        <s:v>3</s:v>
      </s:c>
      <s:c r="G10" s="510">
        <s:v>4</s:v>
      </s:c>
      <s:c r="H10" s="510">
        <s:v>5</s:v>
      </s:c>
      <s:c r="I10" s="510">
        <s:v>6</s:v>
      </s:c>
      <s:c r="J10" s="510">
        <s:v>7</s:v>
      </s:c>
      <s:c r="K10" s="510">
        <s:v>8</s:v>
      </s:c>
      <s:c r="L10" s="510">
        <s:v>9</s:v>
      </s:c>
      <s:c r="M10" s="510">
        <s:v>10</s:v>
      </s:c>
      <s:c r="N10" s="510">
        <s:v>11</s:v>
      </s:c>
      <s:c r="O10" s="510">
        <s:v>12</s:v>
      </s:c>
      <s:c r="P10" s="510">
        <s:v>13</s:v>
      </s:c>
      <s:c r="Q10" s="510">
        <s:v>14</s:v>
      </s:c>
      <s:c r="R10" s="510">
        <s:v>15</s:v>
      </s:c>
      <s:c r="S10" s="510">
        <s:v>16</s:v>
      </s:c>
      <s:c r="T10" s="510">
        <s:v>17</s:v>
      </s:c>
      <s:c r="U10" s="510">
        <s:v>18</s:v>
      </s:c>
      <s:c r="V10" s="510">
        <s:v>19</s:v>
      </s:c>
      <s:c r="W10" s="510">
        <s:v>20</s:v>
      </s:c>
      <s:c r="X10" s="510">
        <s:v>21</s:v>
      </s:c>
      <s:c r="Y10" s="510">
        <s:v>22</s:v>
      </s:c>
      <s:c r="Z10" s="510">
        <s:v>23</s:v>
      </s:c>
      <s:c r="AA10" s="510">
        <s:v>24</s:v>
      </s:c>
      <s:c r="AB10" s="510">
        <s:v>25</s:v>
      </s:c>
      <s:c r="AC10" s="510">
        <s:v>26</s:v>
      </s:c>
      <s:c r="AD10" s="510">
        <s:v>27</s:v>
      </s:c>
      <s:c r="AE10" s="510">
        <s:v>28</s:v>
      </s:c>
      <s:c r="AF10" s="510">
        <s:v>29</s:v>
      </s:c>
      <s:c r="AG10" s="510">
        <s:v>30</s:v>
      </s:c>
      <s:c r="AH10" s="510">
        <s:v>31</s:v>
      </s:c>
      <s:c r="AI10" s="511" t="s">
        <s:v>126</s:v>
      </s:c>
      <s:c r="AJ10" s="512"/>
      <s:c r="AK10" s="513"/>
      <s:c r="AL10" s="763"/>
      <s:c r="AM10" s="764"/>
      <s:c r="AN10" s="767"/>
    </s:row>
    <s:row r="11" spans="1:40">
      <s:c r="A11" s="514">
        <s:v>20</s:v>
      </s:c>
      <s:c r="B11" s="515"/>
      <s:c r="C11" s="516"/>
      <s:c r="D11" s="516"/>
      <s:c r="E11" s="516"/>
      <s:c r="F11" s="516"/>
      <s:c r="G11" s="516"/>
      <s:c r="H11" s="516"/>
      <s:c r="I11" s="516"/>
      <s:c r="J11" s="516"/>
      <s:c r="K11" s="516"/>
      <s:c r="L11" s="516"/>
      <s:c r="M11" s="516"/>
      <s:c r="N11" s="516"/>
      <s:c r="O11" s="516"/>
      <s:c r="P11" s="516"/>
      <s:c r="Q11" s="516"/>
      <s:c r="R11" s="516"/>
      <s:c r="S11" s="516"/>
      <s:c r="T11" s="516"/>
      <s:c r="U11" s="516"/>
      <s:c r="V11" s="516"/>
      <s:c r="W11" s="516"/>
      <s:c r="X11" s="516"/>
      <s:c r="Y11" s="516"/>
      <s:c r="Z11" s="517"/>
      <s:c r="AA11" s="517"/>
      <s:c r="AB11" s="517"/>
      <s:c r="AC11" s="517"/>
      <s:c r="AD11" s="517"/>
      <s:c r="AE11" s="517"/>
      <s:c r="AF11" s="516"/>
      <s:c r="AG11" s="516"/>
      <s:c r="AH11" s="518"/>
      <s:c r="AI11" s="519">
        <s:v>0</s:v>
      </s:c>
      <s:c r="AJ11" s="520">
        <s:v>0</s:v>
      </s:c>
      <s:c r="AK11" s="521">
        <s:v>0</s:v>
      </s:c>
      <s:c r="AL11" s="521">
        <s:v>0</s:v>
      </s:c>
      <s:c r="AM11" s="521">
        <s:v>0</s:v>
      </s:c>
      <s:c r="AN11" s="522">
        <s:v>0</s:v>
      </s:c>
    </s:row>
    <s:row r="12" spans="1:40">
      <s:c r="A12" s="523">
        <s:v>19</s:v>
      </s:c>
      <s:c r="B12" s="524"/>
      <s:c r="C12" s="525"/>
      <s:c r="D12" s="525"/>
      <s:c r="E12" s="525"/>
      <s:c r="F12" s="525"/>
      <s:c r="G12" s="525"/>
      <s:c r="H12" s="525"/>
      <s:c r="I12" s="525"/>
      <s:c r="J12" s="525"/>
      <s:c r="K12" s="525"/>
      <s:c r="L12" s="525"/>
      <s:c r="M12" s="525"/>
      <s:c r="N12" s="525"/>
      <s:c r="O12" s="525"/>
      <s:c r="P12" s="525"/>
      <s:c r="Q12" s="525"/>
      <s:c r="R12" s="525"/>
      <s:c r="S12" s="525"/>
      <s:c r="T12" s="525"/>
      <s:c r="U12" s="525"/>
      <s:c r="V12" s="525"/>
      <s:c r="W12" s="525"/>
      <s:c r="X12" s="525"/>
      <s:c r="Y12" s="525"/>
      <s:c r="Z12" s="526"/>
      <s:c r="AA12" s="526"/>
      <s:c r="AB12" s="526"/>
      <s:c r="AC12" s="526"/>
      <s:c r="AD12" s="526"/>
      <s:c r="AE12" s="526"/>
      <s:c r="AF12" s="525"/>
      <s:c r="AG12" s="525"/>
      <s:c r="AH12" s="527"/>
      <s:c r="AI12" s="528">
        <s:v>0</s:v>
      </s:c>
      <s:c r="AJ12" s="529">
        <s:v>0</s:v>
      </s:c>
      <s:c r="AK12" s="530">
        <s:v>0</s:v>
      </s:c>
      <s:c r="AL12" s="530">
        <s:v>0</s:v>
      </s:c>
      <s:c r="AM12" s="530">
        <s:v>0</s:v>
      </s:c>
      <s:c r="AN12" s="531">
        <s:v>0</s:v>
      </s:c>
    </s:row>
    <s:row r="13" spans="1:40">
      <s:c r="A13" s="523">
        <s:v>18</s:v>
      </s:c>
      <s:c r="B13" s="524"/>
      <s:c r="C13" s="525"/>
      <s:c r="D13" s="525"/>
      <s:c r="E13" s="525"/>
      <s:c r="F13" s="525"/>
      <s:c r="G13" s="525"/>
      <s:c r="H13" s="525"/>
      <s:c r="I13" s="525"/>
      <s:c r="J13" s="525"/>
      <s:c r="K13" s="525"/>
      <s:c r="L13" s="525"/>
      <s:c r="M13" s="525"/>
      <s:c r="N13" s="525"/>
      <s:c r="O13" s="525"/>
      <s:c r="P13" s="525"/>
      <s:c r="Q13" s="525"/>
      <s:c r="R13" s="525"/>
      <s:c r="S13" s="525"/>
      <s:c r="T13" s="525"/>
      <s:c r="U13" s="525"/>
      <s:c r="V13" s="525"/>
      <s:c r="W13" s="525"/>
      <s:c r="X13" s="525"/>
      <s:c r="Y13" s="525"/>
      <s:c r="Z13" s="526"/>
      <s:c r="AA13" s="526"/>
      <s:c r="AB13" s="526"/>
      <s:c r="AC13" s="526"/>
      <s:c r="AD13" s="526"/>
      <s:c r="AE13" s="526"/>
      <s:c r="AF13" s="525"/>
      <s:c r="AG13" s="525"/>
      <s:c r="AH13" s="527"/>
      <s:c r="AI13" s="528">
        <s:v>0</s:v>
      </s:c>
      <s:c r="AJ13" s="520">
        <s:v>0</s:v>
      </s:c>
      <s:c r="AK13" s="521">
        <s:v>0</s:v>
      </s:c>
      <s:c r="AL13" s="521">
        <s:v>0</s:v>
      </s:c>
      <s:c r="AM13" s="521">
        <s:v>0</s:v>
      </s:c>
      <s:c r="AN13" s="522">
        <s:v>0</s:v>
      </s:c>
    </s:row>
    <s:row r="14" spans="1:40">
      <s:c r="A14" s="523">
        <s:v>17</s:v>
      </s:c>
      <s:c r="B14" s="524"/>
      <s:c r="C14" s="525"/>
      <s:c r="D14" s="525"/>
      <s:c r="E14" s="525"/>
      <s:c r="F14" s="525"/>
      <s:c r="G14" s="525"/>
      <s:c r="H14" s="525"/>
      <s:c r="I14" s="525"/>
      <s:c r="J14" s="525"/>
      <s:c r="K14" s="525"/>
      <s:c r="L14" s="525"/>
      <s:c r="M14" s="525"/>
      <s:c r="N14" s="525"/>
      <s:c r="O14" s="525"/>
      <s:c r="P14" s="525"/>
      <s:c r="Q14" s="525"/>
      <s:c r="R14" s="525"/>
      <s:c r="S14" s="525"/>
      <s:c r="T14" s="525"/>
      <s:c r="U14" s="525"/>
      <s:c r="V14" s="525"/>
      <s:c r="W14" s="525"/>
      <s:c r="X14" s="525"/>
      <s:c r="Y14" s="525"/>
      <s:c r="Z14" s="525"/>
      <s:c r="AA14" s="525"/>
      <s:c r="AB14" s="525"/>
      <s:c r="AC14" s="525"/>
      <s:c r="AD14" s="525"/>
      <s:c r="AE14" s="525"/>
      <s:c r="AF14" s="525"/>
      <s:c r="AG14" s="525"/>
      <s:c r="AH14" s="527"/>
      <s:c r="AI14" s="528">
        <s:v>0</s:v>
      </s:c>
      <s:c r="AJ14" s="529">
        <s:v>0</s:v>
      </s:c>
      <s:c r="AK14" s="530">
        <s:v>0</s:v>
      </s:c>
      <s:c r="AL14" s="530">
        <s:v>0</s:v>
      </s:c>
      <s:c r="AM14" s="530">
        <s:v>0</s:v>
      </s:c>
      <s:c r="AN14" s="531">
        <s:v>0</s:v>
      </s:c>
    </s:row>
    <s:row r="15" spans="1:40">
      <s:c r="A15" s="523">
        <s:v>16</s:v>
      </s:c>
      <s:c r="B15" s="524"/>
      <s:c r="C15" s="525"/>
      <s:c r="D15" s="525"/>
      <s:c r="E15" s="525"/>
      <s:c r="F15" s="525"/>
      <s:c r="G15" s="525"/>
      <s:c r="H15" s="525"/>
      <s:c r="I15" s="525"/>
      <s:c r="J15" s="525"/>
      <s:c r="K15" s="525"/>
      <s:c r="L15" s="525"/>
      <s:c r="M15" s="525"/>
      <s:c r="N15" s="525"/>
      <s:c r="O15" s="525"/>
      <s:c r="P15" s="525"/>
      <s:c r="Q15" s="525"/>
      <s:c r="R15" s="525"/>
      <s:c r="S15" s="525"/>
      <s:c r="T15" s="532"/>
      <s:c r="U15" s="525"/>
      <s:c r="V15" s="525"/>
      <s:c r="W15" s="525"/>
      <s:c r="X15" s="525"/>
      <s:c r="Y15" s="525"/>
      <s:c r="Z15" s="525"/>
      <s:c r="AA15" s="525"/>
      <s:c r="AB15" s="525"/>
      <s:c r="AC15" s="525"/>
      <s:c r="AD15" s="525"/>
      <s:c r="AE15" s="525"/>
      <s:c r="AF15" s="525"/>
      <s:c r="AG15" s="525"/>
      <s:c r="AH15" s="527"/>
      <s:c r="AI15" s="528">
        <s:v>0</s:v>
      </s:c>
      <s:c r="AJ15" s="520">
        <s:v>0</s:v>
      </s:c>
      <s:c r="AK15" s="521">
        <s:v>0</s:v>
      </s:c>
      <s:c r="AL15" s="521">
        <s:v>0</s:v>
      </s:c>
      <s:c r="AM15" s="521">
        <s:v>0</s:v>
      </s:c>
      <s:c r="AN15" s="522">
        <s:v>0</s:v>
      </s:c>
    </s:row>
    <s:row r="16" spans="1:40">
      <s:c r="A16" s="523">
        <s:v>15</s:v>
      </s:c>
      <s:c r="B16" s="524"/>
      <s:c r="C16" s="525"/>
      <s:c r="D16" s="525"/>
      <s:c r="E16" s="525"/>
      <s:c r="F16" s="525"/>
      <s:c r="G16" s="525"/>
      <s:c r="H16" s="525"/>
      <s:c r="I16" s="525"/>
      <s:c r="J16" s="525"/>
      <s:c r="K16" s="525"/>
      <s:c r="L16" s="525"/>
      <s:c r="M16" s="525"/>
      <s:c r="N16" s="525"/>
      <s:c r="O16" s="525"/>
      <s:c r="P16" s="525"/>
      <s:c r="Q16" s="525"/>
      <s:c r="R16" s="525"/>
      <s:c r="S16" s="525"/>
      <s:c r="T16" s="525"/>
      <s:c r="U16" s="525"/>
      <s:c r="V16" s="525"/>
      <s:c r="W16" s="525"/>
      <s:c r="X16" s="525"/>
      <s:c r="Y16" s="525"/>
      <s:c r="Z16" s="525"/>
      <s:c r="AA16" s="525"/>
      <s:c r="AB16" s="525"/>
      <s:c r="AC16" s="525"/>
      <s:c r="AD16" s="525"/>
      <s:c r="AE16" s="525"/>
      <s:c r="AF16" s="525"/>
      <s:c r="AG16" s="525"/>
      <s:c r="AH16" s="527"/>
      <s:c r="AI16" s="528">
        <s:v>0</s:v>
      </s:c>
      <s:c r="AJ16" s="529">
        <s:v>0</s:v>
      </s:c>
      <s:c r="AK16" s="530">
        <s:v>0</s:v>
      </s:c>
      <s:c r="AL16" s="530">
        <s:v>0</s:v>
      </s:c>
      <s:c r="AM16" s="530">
        <s:v>0</s:v>
      </s:c>
      <s:c r="AN16" s="531">
        <s:v>0</s:v>
      </s:c>
    </s:row>
    <s:row r="17" spans="1:41">
      <s:c r="A17" s="523">
        <s:v>14</s:v>
      </s:c>
      <s:c r="B17" s="524"/>
      <s:c r="C17" s="525"/>
      <s:c r="D17" s="525"/>
      <s:c r="E17" s="525"/>
      <s:c r="F17" s="525"/>
      <s:c r="G17" s="525"/>
      <s:c r="H17" s="525"/>
      <s:c r="I17" s="525"/>
      <s:c r="J17" s="525"/>
      <s:c r="K17" s="525"/>
      <s:c r="L17" s="525"/>
      <s:c r="M17" s="525"/>
      <s:c r="N17" s="525"/>
      <s:c r="O17" s="525"/>
      <s:c r="P17" s="525"/>
      <s:c r="Q17" s="525"/>
      <s:c r="R17" s="525"/>
      <s:c r="S17" s="525"/>
      <s:c r="T17" s="525"/>
      <s:c r="U17" s="525"/>
      <s:c r="V17" s="525"/>
      <s:c r="W17" s="525"/>
      <s:c r="X17" s="525"/>
      <s:c r="Y17" s="525"/>
      <s:c r="Z17" s="525"/>
      <s:c r="AA17" s="525"/>
      <s:c r="AB17" s="525"/>
      <s:c r="AC17" s="525"/>
      <s:c r="AD17" s="525"/>
      <s:c r="AE17" s="525"/>
      <s:c r="AF17" s="525"/>
      <s:c r="AG17" s="525"/>
      <s:c r="AH17" s="527"/>
      <s:c r="AI17" s="528">
        <s:v>0</s:v>
      </s:c>
      <s:c r="AJ17" s="529">
        <s:v>0</s:v>
      </s:c>
      <s:c r="AK17" s="530">
        <s:v>0</s:v>
      </s:c>
      <s:c r="AL17" s="530">
        <s:v>0</s:v>
      </s:c>
      <s:c r="AM17" s="530">
        <s:v>0</s:v>
      </s:c>
      <s:c r="AN17" s="531">
        <s:v>0</s:v>
      </s:c>
    </s:row>
    <s:row r="18" spans="1:41">
      <s:c r="A18" s="523">
        <s:v>13</s:v>
      </s:c>
      <s:c r="B18" s="524"/>
      <s:c r="C18" s="525"/>
      <s:c r="D18" s="525"/>
      <s:c r="E18" s="525"/>
      <s:c r="F18" s="525"/>
      <s:c r="G18" s="525"/>
      <s:c r="H18" s="525"/>
      <s:c r="I18" s="525"/>
      <s:c r="J18" s="525"/>
      <s:c r="K18" s="525"/>
      <s:c r="L18" s="525"/>
      <s:c r="M18" s="525"/>
      <s:c r="N18" s="525"/>
      <s:c r="O18" s="525"/>
      <s:c r="P18" s="525"/>
      <s:c r="Q18" s="525"/>
      <s:c r="R18" s="525"/>
      <s:c r="S18" s="525"/>
      <s:c r="T18" s="525"/>
      <s:c r="U18" s="525"/>
      <s:c r="V18" s="525"/>
      <s:c r="W18" s="525"/>
      <s:c r="X18" s="525"/>
      <s:c r="Y18" s="525"/>
      <s:c r="Z18" s="525"/>
      <s:c r="AA18" s="525"/>
      <s:c r="AB18" s="525"/>
      <s:c r="AC18" s="525"/>
      <s:c r="AD18" s="525"/>
      <s:c r="AE18" s="525"/>
      <s:c r="AF18" s="525"/>
      <s:c r="AG18" s="525"/>
      <s:c r="AH18" s="527"/>
      <s:c r="AI18" s="528">
        <s:v>0</s:v>
      </s:c>
      <s:c r="AJ18" s="529">
        <s:v>0</s:v>
      </s:c>
      <s:c r="AK18" s="530">
        <s:v>0</s:v>
      </s:c>
      <s:c r="AL18" s="530">
        <s:v>0</s:v>
      </s:c>
      <s:c r="AM18" s="530">
        <s:v>0</s:v>
      </s:c>
      <s:c r="AN18" s="531">
        <s:v>0</s:v>
      </s:c>
    </s:row>
    <s:row r="19" spans="1:41">
      <s:c r="A19" s="523">
        <s:v>12</s:v>
      </s:c>
      <s:c r="B19" s="524"/>
      <s:c r="C19" s="525"/>
      <s:c r="D19" s="525"/>
      <s:c r="E19" s="525"/>
      <s:c r="F19" s="525"/>
      <s:c r="G19" s="525"/>
      <s:c r="H19" s="525"/>
      <s:c r="I19" s="525"/>
      <s:c r="J19" s="525"/>
      <s:c r="K19" s="525"/>
      <s:c r="L19" s="525"/>
      <s:c r="M19" s="525"/>
      <s:c r="N19" s="525"/>
      <s:c r="O19" s="525"/>
      <s:c r="P19" s="525"/>
      <s:c r="Q19" s="525"/>
      <s:c r="R19" s="525"/>
      <s:c r="S19" s="525"/>
      <s:c r="T19" s="525"/>
      <s:c r="U19" s="525"/>
      <s:c r="V19" s="525"/>
      <s:c r="W19" s="525"/>
      <s:c r="X19" s="525"/>
      <s:c r="Y19" s="525"/>
      <s:c r="Z19" s="525"/>
      <s:c r="AA19" s="525"/>
      <s:c r="AB19" s="525"/>
      <s:c r="AC19" s="525"/>
      <s:c r="AD19" s="525"/>
      <s:c r="AE19" s="525"/>
      <s:c r="AF19" s="525"/>
      <s:c r="AG19" s="525"/>
      <s:c r="AH19" s="527"/>
      <s:c r="AI19" s="528">
        <s:v>0</s:v>
      </s:c>
      <s:c r="AJ19" s="529">
        <s:v>0</s:v>
      </s:c>
      <s:c r="AK19" s="530">
        <s:v>0</s:v>
      </s:c>
      <s:c r="AL19" s="530">
        <s:v>0</s:v>
      </s:c>
      <s:c r="AM19" s="530">
        <s:v>0</s:v>
      </s:c>
      <s:c r="AN19" s="531">
        <s:v>0</s:v>
      </s:c>
    </s:row>
    <s:row r="20" spans="1:41">
      <s:c r="A20" s="523">
        <s:v>11</s:v>
      </s:c>
      <s:c r="B20" s="524"/>
      <s:c r="C20" s="525"/>
      <s:c r="D20" s="525"/>
      <s:c r="E20" s="525"/>
      <s:c r="F20" s="525"/>
      <s:c r="G20" s="525"/>
      <s:c r="H20" s="525"/>
      <s:c r="I20" s="525"/>
      <s:c r="J20" s="525"/>
      <s:c r="K20" s="525"/>
      <s:c r="L20" s="525"/>
      <s:c r="M20" s="525"/>
      <s:c r="N20" s="525"/>
      <s:c r="O20" s="525"/>
      <s:c r="P20" s="525"/>
      <s:c r="Q20" s="525"/>
      <s:c r="R20" s="525"/>
      <s:c r="S20" s="525"/>
      <s:c r="T20" s="525"/>
      <s:c r="U20" s="525"/>
      <s:c r="V20" s="525"/>
      <s:c r="W20" s="525"/>
      <s:c r="X20" s="525"/>
      <s:c r="Y20" s="525"/>
      <s:c r="Z20" s="525"/>
      <s:c r="AA20" s="525"/>
      <s:c r="AB20" s="525"/>
      <s:c r="AC20" s="525"/>
      <s:c r="AD20" s="525"/>
      <s:c r="AE20" s="525"/>
      <s:c r="AF20" s="525"/>
      <s:c r="AG20" s="525"/>
      <s:c r="AH20" s="527"/>
      <s:c r="AI20" s="528">
        <s:v>0</s:v>
      </s:c>
      <s:c r="AJ20" s="529">
        <s:v>0</s:v>
      </s:c>
      <s:c r="AK20" s="530">
        <s:v>0</s:v>
      </s:c>
      <s:c r="AL20" s="530">
        <s:v>0</s:v>
      </s:c>
      <s:c r="AM20" s="530">
        <s:v>0</s:v>
      </s:c>
      <s:c r="AN20" s="531">
        <s:v>0</s:v>
      </s:c>
    </s:row>
    <s:row r="21" spans="1:41">
      <s:c r="A21" s="523">
        <s:v>10</s:v>
      </s:c>
      <s:c r="B21" s="524"/>
      <s:c r="C21" s="533"/>
      <s:c r="D21" s="525"/>
      <s:c r="E21" s="525"/>
      <s:c r="F21" s="525"/>
      <s:c r="G21" s="525"/>
      <s:c r="H21" s="525"/>
      <s:c r="I21" s="525"/>
      <s:c r="J21" s="525"/>
      <s:c r="K21" s="525"/>
      <s:c r="L21" s="525"/>
      <s:c r="M21" s="525"/>
      <s:c r="N21" s="525"/>
      <s:c r="O21" s="525"/>
      <s:c r="P21" s="525"/>
      <s:c r="Q21" s="525"/>
      <s:c r="R21" s="525"/>
      <s:c r="S21" s="525"/>
      <s:c r="T21" s="525"/>
      <s:c r="U21" s="525"/>
      <s:c r="V21" s="525"/>
      <s:c r="W21" s="525"/>
      <s:c r="X21" s="525"/>
      <s:c r="Y21" s="525"/>
      <s:c r="Z21" s="525"/>
      <s:c r="AA21" s="525"/>
      <s:c r="AB21" s="525"/>
      <s:c r="AC21" s="525"/>
      <s:c r="AD21" s="525"/>
      <s:c r="AE21" s="525"/>
      <s:c r="AF21" s="525"/>
      <s:c r="AG21" s="525"/>
      <s:c r="AH21" s="527"/>
      <s:c r="AI21" s="528">
        <s:v>0</s:v>
      </s:c>
      <s:c r="AJ21" s="529">
        <s:v>0</s:v>
      </s:c>
      <s:c r="AK21" s="530">
        <s:v>0</s:v>
      </s:c>
      <s:c r="AL21" s="530">
        <s:v>0</s:v>
      </s:c>
      <s:c r="AM21" s="530">
        <s:v>0</s:v>
      </s:c>
      <s:c r="AN21" s="531">
        <s:v>0</s:v>
      </s:c>
    </s:row>
    <s:row r="22" spans="1:41">
      <s:c r="A22" s="523">
        <s:v>9</s:v>
      </s:c>
      <s:c r="B22" s="524"/>
      <s:c r="C22" s="525"/>
      <s:c r="D22" s="525"/>
      <s:c r="E22" s="525"/>
      <s:c r="F22" s="525"/>
      <s:c r="G22" s="525"/>
      <s:c r="H22" s="525"/>
      <s:c r="I22" s="525"/>
      <s:c r="J22" s="525"/>
      <s:c r="K22" s="525"/>
      <s:c r="L22" s="525"/>
      <s:c r="M22" s="525"/>
      <s:c r="N22" s="525"/>
      <s:c r="O22" s="525"/>
      <s:c r="P22" s="525"/>
      <s:c r="Q22" s="525"/>
      <s:c r="R22" s="525"/>
      <s:c r="S22" s="525"/>
      <s:c r="T22" s="525"/>
      <s:c r="U22" s="525"/>
      <s:c r="V22" s="525"/>
      <s:c r="W22" s="525"/>
      <s:c r="X22" s="525"/>
      <s:c r="Y22" s="525"/>
      <s:c r="Z22" s="525"/>
      <s:c r="AA22" s="525"/>
      <s:c r="AB22" s="525"/>
      <s:c r="AC22" s="525"/>
      <s:c r="AD22" s="525"/>
      <s:c r="AE22" s="525"/>
      <s:c r="AF22" s="525"/>
      <s:c r="AG22" s="525"/>
      <s:c r="AH22" s="527"/>
      <s:c r="AI22" s="528">
        <s:f validation_="true">COUNTIF(D22:AH22, "&gt;0")</s:f>
        <s:v>0</s:v>
      </s:c>
      <s:c r="AJ22" s="529">
        <s:v>0</s:v>
      </s:c>
      <s:c r="AK22" s="530">
        <s:v>0</s:v>
      </s:c>
      <s:c r="AL22" s="530">
        <s:v>0</s:v>
      </s:c>
      <s:c r="AM22" s="530">
        <s:v>0</s:v>
      </s:c>
      <s:c r="AN22" s="531">
        <s:v>0</s:v>
      </s:c>
    </s:row>
    <s:row r="23" spans="1:41">
      <s:c r="A23" s="523">
        <s:v>8</s:v>
      </s:c>
      <s:c r="B23" s="534"/>
      <s:c r="C23" s="535"/>
      <s:c r="D23" s="535"/>
      <s:c r="E23" s="535"/>
      <s:c r="F23" s="535"/>
      <s:c r="G23" s="535"/>
      <s:c r="H23" s="535"/>
      <s:c r="I23" s="535"/>
      <s:c r="J23" s="535"/>
      <s:c r="K23" s="535"/>
      <s:c r="L23" s="535"/>
      <s:c r="M23" s="535"/>
      <s:c r="N23" s="536"/>
      <s:c r="O23" s="537"/>
      <s:c r="P23" s="537"/>
      <s:c r="Q23" s="537"/>
      <s:c r="R23" s="537"/>
      <s:c r="S23" s="537"/>
      <s:c r="T23" s="537"/>
      <s:c r="U23" s="537"/>
      <s:c r="V23" s="537"/>
      <s:c r="W23" s="538"/>
      <s:c r="X23" s="537"/>
      <s:c r="Y23" s="537"/>
      <s:c r="Z23" s="537"/>
      <s:c r="AA23" s="537"/>
      <s:c r="AB23" s="537"/>
      <s:c r="AC23" s="537"/>
      <s:c r="AD23" s="537"/>
      <s:c r="AE23" s="537"/>
      <s:c r="AF23" s="537"/>
      <s:c r="AG23" s="537"/>
      <s:c r="AH23" s="539"/>
      <s:c r="AI23" s="528">
        <s:f validation_="true">COUNTIF(D23:AH23, "&gt;0")</s:f>
        <s:v>0</s:v>
      </s:c>
      <s:c r="AJ23" s="529">
        <s:v>0</s:v>
      </s:c>
      <s:c r="AK23" s="530">
        <s:v>0</s:v>
      </s:c>
      <s:c r="AL23" s="530">
        <s:v>0</s:v>
      </s:c>
      <s:c r="AM23" s="530">
        <s:v>0</s:v>
      </s:c>
      <s:c r="AN23" s="531">
        <s:v>0</s:v>
      </s:c>
    </s:row>
    <s:row r="24" spans="1:41" ht="16">
      <s:c r="A24" s="523">
        <s:v>7</s:v>
      </s:c>
      <s:c r="B24" s="540"/>
      <s:c r="C24" s="541"/>
      <s:c r="D24" s="542"/>
      <s:c r="E24" s="542"/>
      <s:c r="F24" s="542"/>
      <s:c r="G24" s="542"/>
      <s:c r="H24" s="537"/>
      <s:c r="I24" s="537"/>
      <s:c r="J24" s="535"/>
      <s:c r="K24" s="535"/>
      <s:c r="L24" s="537"/>
      <s:c r="M24" s="537"/>
      <s:c r="N24" s="535"/>
      <s:c r="O24" s="535"/>
      <s:c r="P24" s="537"/>
      <s:c r="Q24" s="537"/>
      <s:c r="R24" s="535"/>
      <s:c r="S24" s="535"/>
      <s:c r="T24" s="537"/>
      <s:c r="U24" s="537"/>
      <s:c r="V24" s="537"/>
      <s:c r="W24" s="535"/>
      <s:c r="X24" s="535"/>
      <s:c r="Y24" s="537"/>
      <s:c r="Z24" s="537"/>
      <s:c r="AA24" s="537"/>
      <s:c r="AB24" s="535"/>
      <s:c r="AC24" s="535"/>
      <s:c r="AD24" s="537"/>
      <s:c r="AE24" s="537"/>
      <s:c r="AF24" s="537"/>
      <s:c r="AG24" s="537"/>
      <s:c r="AH24" s="535"/>
      <s:c r="AI24" s="528">
        <s:f validation_="true">COUNTIF(D24:AH24, "&gt;0")</s:f>
        <s:v>0</s:v>
      </s:c>
      <s:c r="AJ24" s="529">
        <s:v>0</s:v>
      </s:c>
      <s:c r="AK24" s="530">
        <s:v>0</s:v>
      </s:c>
      <s:c r="AL24" s="530">
        <s:v>0</s:v>
      </s:c>
      <s:c r="AM24" s="530">
        <s:v>0</s:v>
      </s:c>
      <s:c r="AN24" s="531">
        <s:v>0</s:v>
      </s:c>
    </s:row>
    <s:row r="25" spans="1:41" ht="16">
      <s:c r="A25" s="543">
        <s:v>6</s:v>
      </s:c>
      <s:c r="B25" s="540"/>
      <s:c r="C25" s="541"/>
      <s:c r="D25" s="544"/>
      <s:c r="E25" s="544"/>
      <s:c r="F25" s="544"/>
      <s:c r="G25" s="542"/>
      <s:c r="H25" s="545"/>
      <s:c r="I25" s="545"/>
      <s:c r="J25" s="546"/>
      <s:c r="K25" s="546"/>
      <s:c r="L25" s="546"/>
      <s:c r="M25" s="546"/>
      <s:c r="N25" s="546"/>
      <s:c r="O25" s="546"/>
      <s:c r="P25" s="546"/>
      <s:c r="Q25" s="546"/>
      <s:c r="R25" s="546"/>
      <s:c r="S25" s="535"/>
      <s:c r="T25" s="545"/>
      <s:c r="U25" s="545"/>
      <s:c r="V25" s="545"/>
      <s:c r="W25" s="546"/>
      <s:c r="X25" s="546"/>
      <s:c r="Y25" s="545"/>
      <s:c r="Z25" s="545"/>
      <s:c r="AA25" s="545"/>
      <s:c r="AB25" s="547"/>
      <s:c r="AC25" s="546"/>
      <s:c r="AD25" s="545"/>
      <s:c r="AE25" s="545"/>
      <s:c r="AF25" s="545"/>
      <s:c r="AG25" s="545"/>
      <s:c r="AH25" s="546"/>
      <s:c r="AI25" s="548">
        <s:f>COUNTIF(D25:AH25,"&gt;0")</s:f>
        <s:v>0</s:v>
      </s:c>
      <s:c r="AJ25" s="549">
        <s:f validation_="true">SUMIF(D25:AH25,"&gt;0")</s:f>
        <s:v>0</s:v>
      </s:c>
      <s:c r="AK25" s="550">
        <s:f>COUNTIF(D25:AH25,"В")</s:f>
        <s:v>0</s:v>
      </s:c>
      <s:c r="AL25" s="550">
        <s:f validation_="true">COUNTIF(E25:AI25,"о")</s:f>
        <s:v>0</s:v>
      </s:c>
      <s:c r="AM25" s="550">
        <s:f validation_="true">COUNTIF(F25:AJ25,"б")</s:f>
        <s:v>0</s:v>
      </s:c>
      <s:c r="AN25" s="551">
        <s:v>0</s:v>
      </s:c>
      <s:c r="AO25" s="552"/>
    </s:row>
    <s:row r="26" spans="1:41" ht="16">
      <s:c r="A26" s="553">
        <s:v>5</s:v>
      </s:c>
      <s:c r="B26" s="540" t="s">
        <s:v>127</s:v>
      </s:c>
      <s:c r="C26" s="537" t="s">
        <s:v>99</s:v>
      </s:c>
      <s:c r="D26" s="542"/>
      <s:c r="E26" s="542"/>
      <s:c r="F26" s="542"/>
      <s:c r="G26" s="542"/>
      <s:c r="H26" s="542"/>
      <s:c r="I26" s="535"/>
      <s:c r="J26" s="537"/>
      <s:c r="K26" s="537"/>
      <s:c r="L26" s="537"/>
      <s:c r="M26" s="537"/>
      <s:c r="N26" s="537" t="s">
        <s:v>128</s:v>
      </s:c>
      <s:c r="O26" s="535" t="s">
        <s:v>129</s:v>
      </s:c>
      <s:c r="P26" s="535" t="s">
        <s:v>130</s:v>
      </s:c>
      <s:c r="Q26" s="537"/>
      <s:c r="R26" s="535"/>
      <s:c r="S26" s="542"/>
      <s:c r="T26" s="535" t="s">
        <s:v>129</s:v>
      </s:c>
      <s:c r="U26" s="537" t="s">
        <s:v>131</s:v>
      </s:c>
      <s:c r="V26" s="554">
        <s:v>13</s:v>
      </s:c>
      <s:c r="W26" s="537" t="s">
        <s:v>72</s:v>
      </s:c>
      <s:c r="X26" s="554">
        <s:v>10</s:v>
      </s:c>
      <s:c r="Y26" s="554">
        <s:v>13</s:v>
      </s:c>
      <s:c r="Z26" s="554">
        <s:v>11</s:v>
      </s:c>
      <s:c r="AA26" s="537" t="s">
        <s:v>72</s:v>
      </s:c>
      <s:c r="AB26" s="554">
        <s:v>13</s:v>
      </s:c>
      <s:c r="AC26" s="554">
        <s:v>13</s:v>
      </s:c>
      <s:c r="AD26" s="555" t="s">
        <s:v>72</s:v>
      </s:c>
      <s:c r="AE26" s="555" t="s">
        <s:v>72</s:v>
      </s:c>
      <s:c r="AF26" s="554">
        <s:v>11</s:v>
      </s:c>
      <s:c r="AG26" s="554">
        <s:v>12</s:v>
      </s:c>
      <s:c r="AH26" s="535"/>
      <s:c r="AI26" s="556">
        <s:f validation_="true">COUNTIF(D26:AH26, "&gt;0")</s:f>
        <s:v>8</s:v>
      </s:c>
      <s:c r="AJ26" s="557">
        <s:f validation_="true">SUMIF(D26:AH26,"&gt;0")</s:f>
        <s:v>96</s:v>
      </s:c>
      <s:c r="AK26" s="558">
        <s:f validation_="true">COUNTIF(D26:AH26, "В")</s:f>
        <s:v>4</s:v>
      </s:c>
      <s:c r="AL26" s="558">
        <s:v>0</s:v>
      </s:c>
      <s:c r="AM26" s="558">
        <s:v>0</s:v>
      </s:c>
      <s:c r="AN26" s="559">
        <s:v>0</s:v>
      </s:c>
    </s:row>
    <s:row r="27" spans="1:41" ht="16">
      <s:c r="A27" s="560">
        <s:v>4</s:v>
      </s:c>
      <s:c r="B27" s="534" t="s">
        <s:v>132</s:v>
      </s:c>
      <s:c r="C27" s="561" t="s">
        <s:v>99</s:v>
      </s:c>
      <s:c r="D27" s="562">
        <s:v>13</s:v>
      </s:c>
      <s:c r="E27" s="563">
        <s:v>13</s:v>
      </s:c>
      <s:c r="F27" s="542" t="s">
        <s:v>72</s:v>
      </s:c>
      <s:c r="G27" s="562">
        <s:v>13</s:v>
      </s:c>
      <s:c r="H27" s="562">
        <s:v>13</s:v>
      </s:c>
      <s:c r="I27" s="535" t="s">
        <s:v>72</s:v>
      </s:c>
      <s:c r="J27" s="535" t="s">
        <s:v>72</s:v>
      </s:c>
      <s:c r="K27" s="562">
        <s:v>13</s:v>
      </s:c>
      <s:c r="L27" s="562">
        <s:v>13</s:v>
      </s:c>
      <s:c r="M27" s="542" t="s">
        <s:v>72</s:v>
      </s:c>
      <s:c r="N27" s="537" t="s">
        <s:v>72</s:v>
      </s:c>
      <s:c r="O27" s="554">
        <s:v>13</s:v>
      </s:c>
      <s:c r="P27" s="562">
        <s:v>13</s:v>
      </s:c>
      <s:c r="Q27" s="542" t="s">
        <s:v>72</s:v>
      </s:c>
      <s:c r="R27" s="562">
        <s:v>13</s:v>
      </s:c>
      <s:c r="S27" s="563">
        <s:v>13</s:v>
      </s:c>
      <s:c r="T27" s="535" t="s">
        <s:v>72</s:v>
      </s:c>
      <s:c r="U27" s="562">
        <s:v>13</s:v>
      </s:c>
      <s:c r="V27" s="542" t="s">
        <s:v>72</s:v>
      </s:c>
      <s:c r="W27" s="542" t="s">
        <s:v>72</s:v>
      </s:c>
      <s:c r="X27" s="563">
        <s:v>11</s:v>
      </s:c>
      <s:c r="Y27" s="563">
        <s:v>8</s:v>
      </s:c>
      <s:c r="Z27" s="542" t="s">
        <s:v>133</s:v>
      </s:c>
      <s:c r="AA27" s="542" t="s">
        <s:v>133</s:v>
      </s:c>
      <s:c r="AB27" s="542" t="s">
        <s:v>133</s:v>
      </s:c>
      <s:c r="AC27" s="542" t="s">
        <s:v>133</s:v>
      </s:c>
      <s:c r="AD27" s="542" t="s">
        <s:v>133</s:v>
      </s:c>
      <s:c r="AE27" s="542" t="s">
        <s:v>133</s:v>
      </s:c>
      <s:c r="AF27" s="542" t="s">
        <s:v>133</s:v>
      </s:c>
      <s:c r="AG27" s="542" t="s">
        <s:v>133</s:v>
      </s:c>
      <s:c r="AH27" s="564"/>
      <s:c r="AI27" s="565">
        <s:f validation_="true">COUNTIF(D27:AH27,"&gt;0")</s:f>
        <s:v>13</s:v>
      </s:c>
      <s:c r="AJ27" s="549">
        <s:f validation_="true">SUMIF(D27:AH27,"&gt;0")</s:f>
        <s:v>162</s:v>
      </s:c>
      <s:c r="AK27" s="550">
        <s:f validation_="true">COUNTIF(D27:AH27,"В")</s:f>
        <s:v>9</s:v>
      </s:c>
      <s:c r="AL27" s="550">
        <s:f validation_="true">COUNTIF(E27:AI27,"о")</s:f>
        <s:v>0</s:v>
      </s:c>
      <s:c r="AM27" s="550">
        <s:f validation_="true">COUNTIF(F27:AJ27,"б")</s:f>
        <s:v>0</s:v>
      </s:c>
      <s:c r="AN27" s="566">
        <s:v>0</s:v>
      </s:c>
      <s:c r="AO27" s="552"/>
    </s:row>
    <s:row r="28" spans="1:41" ht="16">
      <s:c r="A28" s="543">
        <s:v>3</s:v>
      </s:c>
      <s:c r="B28" s="540" t="s">
        <s:v>134</s:v>
      </s:c>
      <s:c r="C28" s="561" t="s">
        <s:v>99</s:v>
      </s:c>
      <s:c r="D28" s="542" t="s">
        <s:v>72</s:v>
      </s:c>
      <s:c r="E28" s="542" t="s">
        <s:v>72</s:v>
      </s:c>
      <s:c r="F28" s="562">
        <s:v>13</s:v>
      </s:c>
      <s:c r="G28" s="562">
        <s:v>13</s:v>
      </s:c>
      <s:c r="H28" s="542" t="s">
        <s:v>72</s:v>
      </s:c>
      <s:c r="I28" s="562">
        <s:v>13</s:v>
      </s:c>
      <s:c r="J28" s="562">
        <s:v>13</s:v>
      </s:c>
      <s:c r="K28" s="537" t="s">
        <s:v>72</s:v>
      </s:c>
      <s:c r="L28" s="542" t="s">
        <s:v>72</s:v>
      </s:c>
      <s:c r="M28" s="562">
        <s:v>13</s:v>
      </s:c>
      <s:c r="N28" s="562">
        <s:v>13</s:v>
      </s:c>
      <s:c r="O28" s="537" t="s">
        <s:v>72</s:v>
      </s:c>
      <s:c r="P28" s="554">
        <s:v>13</s:v>
      </s:c>
      <s:c r="Q28" s="562">
        <s:v>13</s:v>
      </s:c>
      <s:c r="R28" s="542" t="s">
        <s:v>72</s:v>
      </s:c>
      <s:c r="S28" s="562">
        <s:v>13</s:v>
      </s:c>
      <s:c r="T28" s="563">
        <s:v>13</s:v>
      </s:c>
      <s:c r="U28" s="535" t="s">
        <s:v>72</s:v>
      </s:c>
      <s:c r="V28" s="562">
        <s:v>13</s:v>
      </s:c>
      <s:c r="W28" s="562">
        <s:v>13</s:v>
      </s:c>
      <s:c r="X28" s="542" t="s">
        <s:v>72</s:v>
      </s:c>
      <s:c r="Y28" s="535" t="s">
        <s:v>72</s:v>
      </s:c>
      <s:c r="Z28" s="567">
        <s:v>13</s:v>
      </s:c>
      <s:c r="AA28" s="562">
        <s:v>13</s:v>
      </s:c>
      <s:c r="AB28" s="542" t="s">
        <s:v>72</s:v>
      </s:c>
      <s:c r="AC28" s="542" t="s">
        <s:v>72</s:v>
      </s:c>
      <s:c r="AD28" s="554">
        <s:v>13</s:v>
      </s:c>
      <s:c r="AE28" s="554">
        <s:v>13</s:v>
      </s:c>
      <s:c r="AF28" s="542" t="s">
        <s:v>72</s:v>
      </s:c>
      <s:c r="AG28" s="542" t="s">
        <s:v>72</s:v>
      </s:c>
      <s:c r="AH28" s="542"/>
      <s:c r="AI28" s="565">
        <s:f validation_="true">COUNTIF(D28:AH28,"&gt;0")</s:f>
        <s:v>16</s:v>
      </s:c>
      <s:c r="AJ28" s="549">
        <s:f validation_="true">SUMIF(D28:AH28,"&gt;0")</s:f>
        <s:v>208</s:v>
      </s:c>
      <s:c r="AK28" s="550">
        <s:f validation_="true">COUNTIF(D28:AH28,"В")</s:f>
        <s:v>14</s:v>
      </s:c>
      <s:c r="AL28" s="550">
        <s:f validation_="true">COUNTIF(E28:AI28,"о")</s:f>
        <s:v>0</s:v>
      </s:c>
      <s:c r="AM28" s="550">
        <s:f validation_="true">COUNTIF(F28:AJ28,"б")</s:f>
        <s:v>0</s:v>
      </s:c>
      <s:c r="AN28" s="551">
        <s:v>0</s:v>
      </s:c>
      <s:c r="AO28" s="552"/>
    </s:row>
    <s:row r="29" spans="1:41" ht="16">
      <s:c r="A29" s="543">
        <s:v>2</s:v>
      </s:c>
      <s:c r="B29" s="568" t="s">
        <s:v>135</s:v>
      </s:c>
      <s:c r="C29" s="561" t="s">
        <s:v>136</s:v>
      </s:c>
      <s:c r="D29" s="562">
        <s:v>13</s:v>
      </s:c>
      <s:c r="E29" s="562">
        <s:v>13</s:v>
      </s:c>
      <s:c r="F29" s="562">
        <s:v>11</s:v>
      </s:c>
      <s:c r="G29" s="542" t="s">
        <s:v>72</s:v>
      </s:c>
      <s:c r="H29" s="562">
        <s:v>13</s:v>
      </s:c>
      <s:c r="I29" s="562">
        <s:v>11</s:v>
      </s:c>
      <s:c r="J29" s="562">
        <s:v>11</s:v>
      </s:c>
      <s:c r="K29" s="562">
        <s:v>13</s:v>
      </s:c>
      <s:c r="L29" s="562">
        <s:v>13</s:v>
      </s:c>
      <s:c r="M29" s="562">
        <s:v>11</s:v>
      </s:c>
      <s:c r="N29" s="562">
        <s:v>11</s:v>
      </s:c>
      <s:c r="O29" s="562">
        <s:v>13</s:v>
      </s:c>
      <s:c r="P29" s="542" t="s">
        <s:v>72</s:v>
      </s:c>
      <s:c r="Q29" s="562">
        <s:v>11</s:v>
      </s:c>
      <s:c r="R29" s="562">
        <s:v>13</s:v>
      </s:c>
      <s:c r="S29" s="542" t="s">
        <s:v>72</s:v>
      </s:c>
      <s:c r="T29" s="562">
        <s:v>10</s:v>
      </s:c>
      <s:c r="U29" s="562">
        <s:v>13</s:v>
      </s:c>
      <s:c r="V29" s="542" t="s">
        <s:v>72</s:v>
      </s:c>
      <s:c r="W29" s="562">
        <s:v>10</s:v>
      </s:c>
      <s:c r="X29" s="562">
        <s:v>13</s:v>
      </s:c>
      <s:c r="Y29" s="562">
        <s:v>13</s:v>
      </s:c>
      <s:c r="Z29" s="542" t="s">
        <s:v>72</s:v>
      </s:c>
      <s:c r="AA29" s="562">
        <s:v>10</s:v>
      </s:c>
      <s:c r="AB29" s="562">
        <s:v>13</s:v>
      </s:c>
      <s:c r="AC29" s="562">
        <s:v>13</s:v>
      </s:c>
      <s:c r="AD29" s="562">
        <s:v>10</s:v>
      </s:c>
      <s:c r="AE29" s="562">
        <s:v>10</s:v>
      </s:c>
      <s:c r="AF29" s="562">
        <s:v>13</s:v>
      </s:c>
      <s:c r="AG29" s="562">
        <s:v>13</s:v>
      </s:c>
      <s:c r="AH29" s="542"/>
      <s:c r="AI29" s="565">
        <s:f validation_="true">COUNTIF(D29:AH29,"&gt;0")</s:f>
        <s:v>25</s:v>
      </s:c>
      <s:c r="AJ29" s="549">
        <s:f validation_="true">SUMIF(D29:AH29,"&gt;0")</s:f>
        <s:v>298</s:v>
      </s:c>
      <s:c r="AK29" s="550">
        <s:f validation_="true">COUNTIF(D29:AH29,"В")</s:f>
        <s:v>5</s:v>
      </s:c>
      <s:c r="AL29" s="550">
        <s:f validation_="true">COUNTIF(E29:AI29,"о")</s:f>
        <s:v>0</s:v>
      </s:c>
      <s:c r="AM29" s="550">
        <s:f validation_="true">COUNTIF(F29:AJ29,"б")</s:f>
        <s:v>0</s:v>
      </s:c>
      <s:c r="AN29" s="551">
        <s:v>0</s:v>
      </s:c>
      <s:c r="AO29" s="552"/>
    </s:row>
    <s:row r="30" spans="1:41" ht="16">
      <s:c r="A30" s="569">
        <s:v>1</s:v>
      </s:c>
      <s:c r="B30" s="570"/>
      <s:c r="C30" s="571"/>
      <s:c r="D30" s="572"/>
      <s:c r="E30" s="542"/>
      <s:c r="F30" s="542"/>
      <s:c r="G30" s="542"/>
      <s:c r="H30" s="542"/>
      <s:c r="I30" s="542"/>
      <s:c r="J30" s="542"/>
      <s:c r="K30" s="542"/>
      <s:c r="L30" s="573"/>
      <s:c r="M30" s="542"/>
      <s:c r="N30" s="542"/>
      <s:c r="O30" s="542"/>
      <s:c r="P30" s="542"/>
      <s:c r="Q30" s="542"/>
      <s:c r="R30" s="542"/>
      <s:c r="S30" s="542"/>
      <s:c r="T30" s="542"/>
      <s:c r="U30" s="574"/>
      <s:c r="V30" s="574"/>
      <s:c r="W30" s="542"/>
      <s:c r="X30" s="542"/>
      <s:c r="Y30" s="542"/>
      <s:c r="Z30" s="542"/>
      <s:c r="AA30" s="542"/>
      <s:c r="AB30" s="542"/>
      <s:c r="AC30" s="542"/>
      <s:c r="AD30" s="542"/>
      <s:c r="AE30" s="542"/>
      <s:c r="AF30" s="542"/>
      <s:c r="AG30" s="542"/>
      <s:c r="AH30" s="542"/>
      <s:c r="AI30" s="575">
        <s:f validation_="true">COUNTIF(D30:AH30, "&gt;0")</s:f>
        <s:v>0</s:v>
      </s:c>
      <s:c r="AJ30" s="557">
        <s:f validation_="true">SUMIF(D30:AH30,"&gt;0")</s:f>
        <s:v>0</s:v>
      </s:c>
      <s:c r="AK30" s="576">
        <s:f validation_="true">COUNTIF(D30:AH30, "В")</s:f>
        <s:v>0</s:v>
      </s:c>
      <s:c r="AL30" s="576">
        <s:f>COUNTIF(E30:AI30, "о")</s:f>
        <s:v>0</s:v>
      </s:c>
      <s:c r="AM30" s="576">
        <s:f>COUNTIF(F30:AJ30, "б")</s:f>
        <s:v>0</s:v>
      </s:c>
      <s:c r="AN30" s="577">
        <s:v>0</s:v>
      </s:c>
    </s:row>
    <s:row r="31" spans="1:41">
      <s:c r="A31" s="578"/>
      <s:c r="B31" s="579" t="s">
        <s:v>137</s:v>
      </s:c>
      <s:c r="C31" s="580"/>
      <s:c r="D31" s="581">
        <s:f>COUNTIF(D11:D30, "&gt;0")</s:f>
        <s:v>2</s:v>
      </s:c>
      <s:c r="E31" s="579">
        <s:f validation_="true">COUNTIF(E11:E30, "&gt;0")</s:f>
        <s:v>2</s:v>
      </s:c>
      <s:c r="F31" s="579">
        <s:f validation_="true">COUNTIF(F11:F30, "&gt;0")</s:f>
        <s:v>2</s:v>
      </s:c>
      <s:c r="G31" s="579">
        <s:f validation_="true">COUNTIF(G11:G30, "&gt;0")</s:f>
        <s:v>2</s:v>
      </s:c>
      <s:c r="H31" s="579">
        <s:f validation_="true">COUNTIF(H11:H30, "&gt;0")</s:f>
        <s:v>2</s:v>
      </s:c>
      <s:c r="I31" s="579">
        <s:f validation_="true">COUNTIF(I11:I30, "&gt;0")</s:f>
        <s:v>2</s:v>
      </s:c>
      <s:c r="J31" s="579">
        <s:f validation_="true">COUNTIF(J11:J30, "&gt;0")</s:f>
        <s:v>2</s:v>
      </s:c>
      <s:c r="K31" s="579">
        <s:f>COUNTIF(K11:K29, "&gt;0")</s:f>
        <s:v>2</s:v>
      </s:c>
      <s:c r="L31" s="579">
        <s:f validation_="true">COUNTIF(L11:L30, "&gt;0")</s:f>
        <s:v>2</s:v>
      </s:c>
      <s:c r="M31" s="579">
        <s:f validation_="true">COUNTIF(M11:M30, "&gt;0")</s:f>
        <s:v>2</s:v>
      </s:c>
      <s:c r="N31" s="579">
        <s:f validation_="true">COUNTIF(N11:N30, "&gt;0")</s:f>
        <s:v>2</s:v>
      </s:c>
      <s:c r="O31" s="579">
        <s:f validation_="true">COUNTIF(O11:O30, "&gt;0")</s:f>
        <s:v>2</s:v>
      </s:c>
      <s:c r="P31" s="579">
        <s:f validation_="true">COUNTIF(P11:P30, "&gt;0")</s:f>
        <s:v>2</s:v>
      </s:c>
      <s:c r="Q31" s="579">
        <s:f validation_="true">COUNTIF(Q11:Q30, "&gt;0")</s:f>
        <s:v>2</s:v>
      </s:c>
      <s:c r="R31" s="579">
        <s:f validation_="true">COUNTIF(R11:R30, "&gt;0")</s:f>
        <s:v>2</s:v>
      </s:c>
      <s:c r="S31" s="579">
        <s:f validation_="true">COUNTIF(S11:S30, "&gt;0")</s:f>
        <s:v>2</s:v>
      </s:c>
      <s:c r="T31" s="579">
        <s:f validation_="true">COUNTIF(T11:T30, "&gt;0")</s:f>
        <s:v>2</s:v>
      </s:c>
      <s:c r="U31" s="579">
        <s:f validation_="true">COUNTIF(U11:U30, "&gt;0")</s:f>
        <s:v>2</s:v>
      </s:c>
      <s:c r="V31" s="579">
        <s:f validation_="true">COUNTIF(V11:V30, "&gt;0")</s:f>
        <s:v>2</s:v>
      </s:c>
      <s:c r="W31" s="579">
        <s:f validation_="true">COUNTIF(W11:W30, "&gt;0")</s:f>
        <s:v>2</s:v>
      </s:c>
      <s:c r="X31" s="579">
        <s:f validation_="true">COUNTIF(X11:X30, "&gt;0")</s:f>
        <s:v>3</s:v>
      </s:c>
      <s:c r="Y31" s="579">
        <s:f validation_="true">COUNTIF(Y11:Y30, "&gt;0")</s:f>
        <s:v>3</s:v>
      </s:c>
      <s:c r="Z31" s="579">
        <s:f validation_="true">COUNTIF(Z11:Z30, "&gt;0")</s:f>
        <s:v>2</s:v>
      </s:c>
      <s:c r="AA31" s="579">
        <s:f validation_="true">COUNTIF(AA11:AA30, "&gt;0")</s:f>
        <s:v>2</s:v>
      </s:c>
      <s:c r="AB31" s="579">
        <s:f validation_="true">COUNTIF(AB11:AB30, "&gt;0")</s:f>
        <s:v>2</s:v>
      </s:c>
      <s:c r="AC31" s="579">
        <s:f validation_="true">COUNTIF(AC11:AC30, "&gt;0")</s:f>
        <s:v>2</s:v>
      </s:c>
      <s:c r="AD31" s="579">
        <s:f validation_="true">COUNTIF(AD11:AD30, "&gt;0")</s:f>
        <s:v>2</s:v>
      </s:c>
      <s:c r="AE31" s="579">
        <s:f validation_="true">COUNTIF(AE11:AE30, "&gt;0")</s:f>
        <s:v>2</s:v>
      </s:c>
      <s:c r="AF31" s="579">
        <s:f validation_="true">COUNTIF(AF11:AF30, "&gt;0")</s:f>
        <s:v>2</s:v>
      </s:c>
      <s:c r="AG31" s="579">
        <s:f validation_="true">COUNTIF(AG11:AG30, "&gt;0")</s:f>
        <s:v>2</s:v>
      </s:c>
      <s:c r="AH31" s="582">
        <s:f validation_="true">COUNTIF(AH11:AH30, "&gt;0")</s:f>
        <s:v>0</s:v>
      </s:c>
      <s:c r="AI31" s="583"/>
      <s:c r="AJ31" s="584">
        <s:f>SUM(AJ11:AJ30)</s:f>
        <s:v>764</s:v>
      </s:c>
      <s:c r="AK31" s="584">
        <s:f>SUM(AK11:AK30)</s:f>
        <s:v>32</s:v>
      </s:c>
      <s:c r="AL31" s="584">
        <s:f validation_="true">SUM(AL11:AL30)</s:f>
        <s:v>0</s:v>
      </s:c>
      <s:c r="AM31" s="584">
        <s:f validation_="true">SUM(AM11:AM30)</s:f>
        <s:v>0</s:v>
      </s:c>
      <s:c r="AN31" s="584">
        <s:f validation_="true">SUM(AN11:AN30)</s:f>
        <s:v>0</s:v>
      </s:c>
    </s:row>
    <s:row r="33" spans="16:16">
      <s:c r="P33" s="3" t="s">
        <s:v>138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Template>Normal.dotm</ep:Template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14</vt:i4>
      </vt:variant>
    </vt:vector>
  </ep:HeadingPairs>
  <ep:TitlesOfParts>
    <vt:vector size="14" baseType="lpstr">
      <vt:lpstr>Ялта, Ленина, 18</vt:lpstr>
      <vt:lpstr>Св. по пок.</vt:lpstr>
      <vt:lpstr>План на день</vt:lpstr>
      <vt:lpstr>Рогалевич И. Е.</vt:lpstr>
      <vt:lpstr>Уразгильдеева Е. Р.</vt:lpstr>
      <vt:lpstr>Вафина Л. Ф.</vt:lpstr>
      <vt:lpstr>Яковенко А. К.</vt:lpstr>
      <vt:lpstr>ПК 3</vt:lpstr>
      <vt:lpstr>Доп сотрудник</vt:lpstr>
      <vt:lpstr>Вед-ть Рогалевич</vt:lpstr>
      <vt:lpstr>Вед-ть Вафина</vt:lpstr>
      <vt:lpstr>Вед-ть Яковенко</vt:lpstr>
      <vt:lpstr>Вед-ть Уразгильдеева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terms="http://purl.org/dc/terms/">
  <cp:lastModifiedBy>lenadacenko@icloud.com</cp:lastModifiedBy>
  <cp:revision>622</cp:revision>
  <dcterms:created xsi:type="dcterms:W3CDTF">2025-04-30T22:17:27Z</dcterms:created>
  <dcterms:modified xsi:type="dcterms:W3CDTF">2025-07-10T10:47:07Z</dcterms:modified>
</cp:coreProperties>
</file>