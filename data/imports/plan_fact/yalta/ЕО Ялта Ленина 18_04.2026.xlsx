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unk3="http://schemas.microsoft.com/office/spreadsheetml/2018/calcfeatures" xmlns:unk2="http://schemas.microsoft.com/office/spreadsheetml/2010/11/main" xmlns:s="http://schemas.openxmlformats.org/spreadsheetml/2006/main" xmlns:r="http://schemas.openxmlformats.org/officeDocument/2006/relationships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mc:Ignorable="unk2 xr xr6 xr10 xr2">
  <s:fileVersion appName="xl" lastEdited="7" lowestEdited="7" rupBuild="10503"/>
  <s:workbookPr/>
  <s:bookViews>
    <s:workbookView xr2:uid="{00000000-000D-0000-FFFF-FFFF00000000}" xWindow="0" yWindow="580" windowWidth="25600" windowHeight="16060" firstSheet="2" activeTab="6"/>
  </s:bookViews>
  <s:sheets>
    <s:sheet name="Ялта, Ленина, 18" sheetId="1" state="visible" r:id="rId1"/>
    <s:sheet name="Св. по пок." sheetId="3" state="visible" r:id="rId2"/>
    <s:sheet name="План на день" sheetId="4" state="visible" r:id="rId3"/>
    <s:sheet name="Рогалевич" sheetId="5" state="visible" r:id="rId4"/>
    <s:sheet name="Уразгильдеева" sheetId="6" state="visible" r:id="rId5"/>
    <s:sheet name="Самошкина" sheetId="12" state="visible" r:id="rId6"/>
    <s:sheet name="Вед-ть Рогалевич" sheetId="8" state="visible" r:id="rId7"/>
    <s:sheet name="Вед-ть Уразгильдеева" sheetId="9" state="visible" r:id="rId8"/>
    <s:sheet name="Вед-ть Самошкина" sheetId="11" state="visible" r:id="rId9"/>
    <s:sheet name="Конкурс" sheetId="2" state="visible" r:id="rId10"/>
    <s:sheet name="График" sheetId="10" state="visible" r:id="rId11"/>
  </s:sheets>
  <s:externalReferences>
    <s:externalReference r:id="rId12"/>
  </s:externalReferences>
  <s:definedNames>
    <s:definedName name="маг">NA()</s:definedName>
  </s:definedName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  <unk3:feature name="microsoft.com:LAMBDA_WF"/>
        <unk3:feature name="microsoft.com:ARRAYTEXT_WF"/>
      </unk3:calcFeatures>
    </s:ext>
  </s:extLst>
</s:workbook>
</file>

<file path=xl/sharedStrings.xml><?xml version="1.0" encoding="utf-8"?>
<s:sst xmlns:s="http://schemas.openxmlformats.org/spreadsheetml/2006/main" count="621" uniqueCount="151">
  <s:si>
    <s:t>(отчетная дата)</s:t>
  </s:si>
  <s:si>
    <s:t>Осталось до выполнения плана!!!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</s:si>
  <s:si>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</s:si>
  <s:si>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</s:si>
  <s:si>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</s:si>
  <s:si>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</s:si>
  <s:si>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</s:si>
  <s:si>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</s:si>
  <s:si>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</s:si>
  <s:si>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</s:si>
  <s:si>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</s:si>
  <s:si>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</s:si>
  <s:si>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</s:si>
  <s:si>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</s:si>
  <s:si>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</s:si>
  <s:si>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</s:si>
  <s:si>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</s:si>
  <s:si>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</s:si>
  <s:si>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</s:si>
  <s:si>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</s:si>
  <s:si>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</s:si>
  <s:si>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Трафик</s:t>
  </s:si>
  <s:si>
    <s:t>Выручка на  вошедшего</s:t>
  </s:si>
  <s:si>
    <s:t>Конверсия план/факт</s:t>
  </s:si>
  <s:si>
    <s:t>Факт продаж за месяц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</s:si>
  <s:si>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</s:si>
  <s:si>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</s:si>
  <s:si>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</s:si>
  <s:si>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</s:si>
  <s:si>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</s:si>
  <s:si>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</s:si>
  <s:si>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</s:si>
  <s:si>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</s:si>
  <s:si>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</s:si>
  <s:si>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</s:si>
  <s:si>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UNOde50</s:t>
  </s:si>
  <s:si>
    <s:t>IS</s:t>
  </s:si>
  <s:si>
    <s:t>Agafi</s:t>
  </s:si>
  <s:si>
    <s:t>Kalliope</s:t>
  </s:si>
  <s:si>
    <s:t>Raganella</s:t>
  </s:si>
  <s:si>
    <s:t>CC/MP</s:t>
  </s:si>
  <s:si>
    <s:t>Antyra</s:t>
  </s:si>
  <s:si>
    <s:t>SALE</s:t>
  </s:si>
  <s:si>
    <s:t>Конверсия</s:t>
  </s:si>
  <s:si>
    <s:t>% выполнения дневного плана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</s:si>
  <s:si>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</s:si>
  <s:si>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</s:si>
  <s:si>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</s:si>
  <s:si>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</s:si>
  <s:si>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</s:si>
  <s:si>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</s:si>
  <s:si>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</s:si>
  <s:si>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</s:si>
  <s:si>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вс</s:t>
  </s:si>
  <s:si>
    <s:t>пн</s:t>
  </s:si>
  <s:si>
    <s:t>вт</s:t>
  </s:si>
  <s:si>
    <s:t>ср</s:t>
  </s:si>
  <s:si>
    <s:t>чт</s:t>
  </s:si>
  <s:si>
    <s:t>пт</s:t>
  </s:si>
  <s:si>
    <s:t>сб</s:t>
  </s:si>
  <s:si>
    <s:t>Рогалевич,Уразгильдеева</s:t>
  </s:si>
  <s:si>
    <s:t>итого</s:t>
  </s:si>
  <s:si>
    <s:t>Личный ежедневный КВП, %</s:t>
  </s:si>
  <s:si>
    <s:t>Сотруник</s:t>
  </s:si>
  <s:si>
    <s:t>Итого:</s:t>
  </s:si>
  <s:si>
    <s:t>Рогалевич Ирина</s:t>
  </s:si>
  <s:si>
    <s:t>Арапова Анна</s:t>
  </s:si>
  <s:si>
    <s:t>Уразгильдеева Екатерина</s:t>
  </s:si>
  <s:si>
    <s:t>Личный КВП, баллы</s:t>
  </s:si>
  <s:si>
    <s:t xml:space="preserve">Факт </s:t>
  </s:si>
  <s:si>
    <s:t>Прогноз</s:t>
  </s:si>
  <s:si>
    <s:t>Кол-во смен план/отработано</s:t>
  </s:si>
  <s:si>
    <s:t>CC\MP</s:t>
  </s:si>
  <s:si>
    <s:t>Antura</s:t>
  </s:si>
  <s:si>
    <s:t>Конверсия (%)</s:t>
  </s:si>
  <s:si>
    <s:t>.22</s:t>
  </s:si>
  <s:si>
    <s:t>в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</s:si>
  <s:si>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</s:si>
  <s:si>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</s:si>
  <s:si>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</s:si>
  <s:si>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</s:si>
  <s:si>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общих продаж</s:t>
  </s:si>
  <s:si>
    <s:t>Вычеты</s:t>
  </s:si>
  <s:si>
    <s:t>Итого к выдаче с учетом авансов и вычетов</s:t>
  </s:si>
  <s:si>
    <s:t>Доп начисления</s:t>
  </s:si>
  <s:si>
    <s:t>Сумма</s:t>
  </s:si>
  <s:si>
    <s:t>Описание</s:t>
  </s:si>
  <s:si>
    <s:t>Оклад: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</s:si>
  <s:si>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</s:si>
  <s:si>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</s:si>
  <s:si>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</s:si>
  <s:si>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</s:si>
  <s:si>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</s:si>
  <s:si>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</s:si>
  <s:si>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</s:si>
  <s:si>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ПК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</s:si>
  <s:si>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</s:si>
  <s:si>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</s:si>
  <s:si>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</s:si>
  <s:si>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</s:si>
  <s:si>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</s:si>
  <s:si>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</s:si>
  <s:si>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</s:si>
  <s:si>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г. Ялта</s:t>
  </s:si>
  <s:si>
    <s:t>Симферополь</s:t>
  </s:si>
  <s:si>
    <s:t>ул. Набережная Ленина, 18</s:t>
  </s:si>
  <s:si>
    <s:t>GL-0005</s:t>
  </s:si>
  <s:si>
    <s:t>10.00-21.00</s:t>
  </s:si>
  <s:si>
    <s:t>ФОТ</s:t>
  </s:si>
  <s:si>
    <s:t>Кол-во дней в месяц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</s:si>
  <s:si>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</s:si>
  <s:si>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</s:si>
  <s:si>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</s:si>
  <s:si>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</s:si>
  <s:si>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</s:si>
  <s:si>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</s:si>
  <s:si>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</s:si>
  <s:si>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</s:si>
  <s:si>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УМ</s:t>
  </s:si>
  <s:si>
    <s:t>Итого магазин</s:t>
  </s:si>
  <s:si>
    <s:t xml:space="preserve">    </s:t>
  </s:si>
  <s:si>
    <s:t/>
  </s:si>
  <s:si>
    <s:t>Самошкина Алина</s:t>
  </s:si>
  <s:si>
    <s:t>Рогалевич,Самошкина</s:t>
  </s:si>
  <s:si>
    <s:t>Личный</s:t>
  </s:si>
  <s:si>
    <s:t>Категория товара</s:t>
  </s:si>
  <s:si>
    <s:t>Категория A</s:t>
  </s:si>
  <s:si>
    <s:t>Категория N (SALE, IS)</s:t>
  </s:si>
  <s:si>
    <s:t>Административный %</s:t>
  </s:si>
  <s:si>
    <s:t>НДФЛ</s:t>
  </s:si>
  <s:si>
    <s:t>Чек-лист</s:t>
  </s:si>
  <s:si>
    <s:t>% наличного оборота ( &gt; &lt; 60%)</s:t>
  </s:si>
  <s:si>
    <s:t>ЕЖЕДНЕВНЫЙ ОТЧЕТ О ПРОДАЖАХ</s:t>
  </s:si>
  <s:si>
    <s:t>Рогалевич.Самошкина</s:t>
  </s:si>
  <s:si>
    <s:t xml:space="preserve">пн </s:t>
  </s:si>
  <s:si>
    <s:t>Апрель, 2026</s:t>
  </s:si>
  <s:si>
    <s:t>Доп. KPI</s:t>
  </s:si>
  <s:si>
    <s:t>Рогалевич.Уразгильеева</s:t>
  </s:si>
  <s:si>
    <s:t>Уразгильдеева</s:t>
  </s:si>
  <s:si>
    <s:t>с</s:t>
  </s:si>
  <s:si>
    <s:t>Самошкина</s:t>
  </s:si>
  <s:si>
    <s:t xml:space="preserve"> </s:t>
  </s:si>
  <s:si>
    <s:t>Рогалевич.Уразгильдеева</s:t>
  </s:si>
  <s:si>
    <s:t>Самошкина,Уразгильдеева</s:t>
  </s:si>
  <s:si>
    <s:t>Компенсация отпуска при увольнении</s:t>
  </s:si>
  <s:si>
    <s:t>Вычет за стажировку (72 часа)</s:t>
  </s:si>
  <s:si>
    <s:t>у</s:t>
  </s:si>
  <s:si>
    <s:t>Рогалевич</s:t>
  </s:si>
  <s:si>
    <s:t>Максимычева Евгения</s:t>
  </s:si>
  <s:si>
    <s:t>8с</s:t>
  </s:si>
  <s:si>
    <s:t>11с</s:t>
  </s:si>
</s:sst>
</file>

<file path=xl/styles.xml><?xml version="1.0" encoding="utf-8"?>
<s:styleSheet xmlns:xr="http://schemas.microsoft.com/office/spreadsheetml/2014/revision" xmlns:mc="http://schemas.openxmlformats.org/markup-compatibility/2006" xmlns:s="http://schemas.openxmlformats.org/spreadsheetml/2006/main" xmlns:vyd="http://volga.yandex.com/schemas/document/model" xmlns:unk2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mc:Ignorable="x14ac x16r2 xr">
  <s:numFmts count="10">
    <s:numFmt numFmtId="5" formatCode="#,##0\ &quot;₽&quot;;\-#,##0\ &quot;₽&quot;"/>
    <s:numFmt numFmtId="164" formatCode="dddd&quot;, &quot;mmmm\ dd&quot;, &quot;yyyy"/>
    <s:numFmt numFmtId="165" formatCode="0.0%"/>
    <s:numFmt numFmtId="166" formatCode="#,##0\ &quot;₽&quot;"/>
    <s:numFmt numFmtId="167" formatCode="#,##0.0"/>
    <s:numFmt numFmtId="168" formatCode="_-* #,##0.00_р_._-;\-* #,##0.00_р_._-;_-* \-??_р_._-;_-@_-"/>
    <s:numFmt numFmtId="169" formatCode="#,##0\ _₽"/>
    <s:numFmt numFmtId="170" formatCode="#,##0.00\ _₽"/>
    <s:numFmt numFmtId="171" formatCode="0.0"/>
    <s:numFmt numFmtId="172" formatCode="mmmm\ yyyy;@"/>
  </s:numFmts>
  <s:fonts count="60">
    <s:font>
      <s:name val="Calibri"/>
      <s:color indexed="63"/>
      <s:sz val="11"/>
    </s:font>
    <s:font>
      <s:name val="Times New Roman"/>
      <s:family val="1"/>
      <s:color indexed="63"/>
      <s:sz val="9"/>
    </s:font>
    <s:font>
      <s:name val="Times New Roman"/>
      <s:family val="1"/>
      <s:color indexed="63"/>
      <s:sz val="11"/>
    </s:font>
    <s:font>
      <s:name val="Clinica Pro Regular"/>
      <s:color indexed="63"/>
      <s:sz val="11"/>
    </s:font>
    <s:font>
      <s:name val="Times New Roman"/>
      <s:family val="1"/>
      <s:color rgb="FFCC66FF"/>
      <s:sz val="11"/>
    </s:font>
    <s:font>
      <s:name val="Times New Roman"/>
      <s:family val="1"/>
      <s:b val="1"/>
      <s:color rgb="FFCC66FF"/>
      <s:sz val="8"/>
    </s:font>
    <s:font>
      <s:name val="Times New Roman"/>
      <s:family val="1"/>
      <s:sz val="8"/>
    </s:font>
    <s:font>
      <s:name val="Times New Roman"/>
      <s:family val="1"/>
      <s:color rgb="FFCC66FF"/>
      <s:sz val="28"/>
    </s:font>
    <s:font>
      <s:name val="Times New Roman"/>
      <s:family val="1"/>
      <s:color rgb="FFCC66FF"/>
      <s:sz val="8"/>
    </s:font>
    <s:font>
      <s:name val="Times New Roman"/>
      <s:family val="1"/>
      <s:b val="1"/>
      <s:color rgb="FFCC66FF"/>
      <s:sz val="11"/>
    </s:font>
    <s:font>
      <s:name val="Clinica Pro Regular"/>
      <s:b val="1"/>
      <s:color rgb="FFCC66FF"/>
      <s:sz val="11"/>
    </s:font>
    <s:font>
      <s:name val="Clinica Pro Regular"/>
      <s:color rgb="FFCC66FF"/>
      <s:sz val="11"/>
    </s:font>
    <s:font>
      <s:name val="Clinica Pro Regular"/>
      <s:b val="1"/>
      <s:color rgb="FFCC66FF"/>
      <s:sz val="12"/>
    </s:font>
    <s:font>
      <s:name val="Times New Roman"/>
      <s:family val="1"/>
      <s:b val="1"/>
      <s:sz val="8"/>
    </s:font>
    <s:font>
      <s:name val="Times New Roman"/>
      <s:family val="1"/>
      <s:color rgb="FFFFC000"/>
      <s:sz val="11"/>
    </s:font>
    <s:font>
      <s:name val="Clinica Pro Regular"/>
      <s:b val="1"/>
      <s:sz val="12"/>
    </s:font>
    <s:font>
      <s:name val="Clinica Pro Regular"/>
      <s:sz val="8"/>
    </s:font>
    <s:font>
      <s:name val="Clinica Pro Regular"/>
      <s:b val="1"/>
      <s:sz val="8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sz val="9"/>
    </s:font>
    <s:font>
      <s:name val="Clinica Pro Regular"/>
      <s:b val="1"/>
      <s:sz val="10"/>
    </s:font>
    <s:font>
      <s:name val="Clinica Pro Regular"/>
      <s:b val="1"/>
      <s:color theme="1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8"/>
    </s:font>
    <s:font>
      <s:name val="Clinica Pro Regular"/>
      <s:b val="1"/>
      <s:color rgb="FF3B3838"/>
      <s:sz val="8"/>
    </s:font>
    <s:font>
      <s:name val="Clinica Pro Regular"/>
      <s:color indexed="63"/>
      <s:sz val="9"/>
    </s:font>
    <s:font>
      <s:name val="Clinica Pro Regular"/>
      <s:b val="1"/>
      <s:color rgb="FF1F4E79"/>
      <s:sz val="8"/>
    </s:font>
    <s:font>
      <s:name val="Calibri"/>
      <s:family val="2"/>
      <s:sz val="11"/>
    </s:font>
    <s:font>
      <s:name val="Clinica Pro Regular"/>
      <s:color theme="1"/>
      <s:sz val="8"/>
    </s:font>
    <s:font>
      <s:name val="Clinica Pro Regular"/>
      <s:color indexed="63"/>
      <s:sz val="8"/>
    </s:font>
    <s:font>
      <s:name val="Clinica Pro Regular"/>
      <s:color theme="1"/>
      <s:sz val="12"/>
    </s:font>
    <s:font>
      <s:name val="Clinica Pro Regular"/>
      <s:b val="1"/>
      <s:color theme="1"/>
      <s:sz val="12"/>
    </s:font>
    <s:font>
      <s:name val="Clinica Pro Regular"/>
      <s:color theme="1"/>
      <s:sz val="10"/>
    </s:font>
    <s:font>
      <s:name val="Clinica Pro Regular"/>
      <s:color theme="1"/>
      <s:sz val="9"/>
    </s:font>
    <s:font>
      <s:name val="Clinica Pro Regular"/>
      <s:sz val="10"/>
    </s:font>
    <s:font>
      <s:name val="Clinica Pro Regular"/>
      <s:color indexed="63"/>
      <s:sz val="10"/>
    </s:font>
    <s:font>
      <s:name val="Clinica Pro Regular"/>
      <s:b val="1"/>
      <s:color rgb="FFCC66FF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color rgb="FFFFC000"/>
      <s:sz val="11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Clinica Pro Regular"/>
      <s:sz val="12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8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color theme="0"/>
      <s:sz val="10"/>
    </s:font>
    <s:font>
      <s:name val="Calibri"/>
      <s:family val="2"/>
      <s:color indexed="63"/>
      <s:sz val="11"/>
    </s:font>
    <s:font>
      <s:name val="Clinica Pro Regular"/>
      <s:charset val="204"/>
      <s:b val="1"/>
      <s:color rgb="FF413003"/>
      <s:sz val="8"/>
    </s:font>
    <s:font>
      <s:name val="Clinica Pro Regular"/>
      <s:charset val="204"/>
      <s:b val="1"/>
      <s:sz val="8"/>
    </s:font>
    <s:font>
      <s:name val="Clinica Pro Regular"/>
      <s:sz val="12"/>
    </s:font>
    <s:font>
      <s:name val="Calibri"/>
      <s:family val="2"/>
      <s:sz val="8"/>
    </s:font>
    <s:font>
      <s:name val="Arial"/>
      <s:charset val="204"/>
      <s:family val="2"/>
      <s:b val="1"/>
      <s:color indexed="56"/>
      <s:sz val="12"/>
    </s:font>
    <s:font>
      <s:name val="Clinica Pro Regular"/>
      <s:charset val="204"/>
      <s:b val="1"/>
      <s:color indexed="56"/>
      <s:sz val="12"/>
    </s:font>
    <s:font>
      <s:name val="Clinica Pro Regular"/>
      <s:charset val="204"/>
      <s:b val="1"/>
      <s:color theme="1"/>
      <s:sz val="8"/>
    </s:font>
    <s:font>
      <s:name val="Clinica Pro Regular"/>
      <s:color rgb="FFFF0000"/>
      <s:sz val="8"/>
    </s:font>
  </s:fonts>
  <s:fills count="38">
    <s:fill>
      <s:patternFill patternType="none"/>
    </s:fill>
    <s:fill>
      <s:patternFill patternType="gray125"/>
    </s:fill>
    <s:fill>
      <s:patternFill patternType="solid">
        <s:fgColor rgb="FF66FFFF"/>
        <s:bgColor rgb="FF66FFFF"/>
      </s:patternFill>
    </s:fill>
    <s:fill>
      <s:patternFill patternType="solid">
        <s:fgColor rgb="FFCCFF00"/>
        <s:bgColor rgb="FFCCFF00"/>
      </s:patternFill>
    </s:fill>
    <s:fill>
      <s:patternFill patternType="solid">
        <s:fgColor indexed="65"/>
      </s:patternFill>
    </s:fill>
    <s:fill>
      <s:patternFill patternType="solid">
        <s:fgColor rgb="FF66FFFF"/>
        <s:bgColor rgb="FF4ACCD3"/>
      </s:patternFill>
    </s:fill>
    <s:fill>
      <s:patternFill patternType="solid">
        <s:fgColor indexed="65"/>
        <s:bgColor indexed="26"/>
      </s:patternFill>
    </s:fill>
    <s:fill>
      <s:patternFill patternType="solid">
        <s:fgColor indexed="5"/>
        <s:bgColor indexed="5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2"/>
      </s:patternFill>
    </s:fill>
    <s:fill>
      <s:patternFill patternType="solid">
        <s:fgColor theme="0"/>
        <s:bgColor theme="0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theme="2" tint="-0.1"/>
        <s:bgColor indexed="65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rgb="FF92D050"/>
        <s:bgColor rgb="FFED7D31"/>
      </s:patternFill>
    </s:fill>
    <s:fill>
      <s:patternFill patternType="solid">
        <s:fgColor theme="7" tint="0.6"/>
        <s:bgColor theme="7" tint="0.6"/>
      </s:patternFill>
    </s:fill>
    <s:fill>
      <s:patternFill patternType="solid">
        <s:fgColor rgb="FF92D050"/>
        <s:bgColor rgb="FF92D050"/>
      </s:patternFill>
    </s:fill>
    <s:fill>
      <s:patternFill patternType="solid">
        <s:fgColor theme="8" tint="0.6"/>
        <s:bgColor theme="8" tint="0.6"/>
      </s:patternFill>
    </s:fill>
    <s:fill>
      <s:patternFill patternType="solid">
        <s:fgColor rgb="FFFFC000"/>
        <s:bgColor rgb="FFFFC000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theme="0"/>
        <s:bgColor theme="7" tint="0.6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DEEBF7"/>
        <s:bgColor rgb="FFDEEBF7"/>
      </s:patternFill>
    </s:fill>
    <s:fill>
      <s:patternFill patternType="solid">
        <s:fgColor rgb="FFE7E6E6"/>
        <s:bgColor rgb="FFE7E6E6"/>
      </s:patternFill>
    </s:fill>
    <s:fill>
      <s:patternFill patternType="solid">
        <s:fgColor theme="4" tint="0.8"/>
        <s:bgColor indexed="64"/>
      </s:patternFill>
    </s:fill>
    <s:fill>
      <s:patternFill patternType="solid">
        <s:fgColor theme="5" tint="0.8"/>
        <s:bgColor indexed="64"/>
      </s:patternFill>
    </s:fill>
    <s:fill>
      <s:patternFill patternType="solid">
        <s:fgColor theme="2"/>
        <s:bgColor indexed="64"/>
      </s:patternFill>
    </s:fill>
    <s:fill>
      <s:patternFill patternType="solid">
        <s:fgColor theme="8" tint="0.8"/>
        <s:bgColor rgb="FF4ACCD3"/>
      </s:patternFill>
    </s:fill>
    <s:fill>
      <s:patternFill patternType="solid">
        <s:fgColor rgb="FFFFE699"/>
        <s:bgColor rgb="FFFFE699"/>
      </s:patternFill>
    </s:fill>
    <s:fill>
      <s:patternFill patternType="solid">
        <s:fgColor rgb="FFDAE3F3"/>
        <s:bgColor rgb="FFDAE3F3"/>
      </s:patternFill>
    </s:fill>
  </s:fills>
  <s:borders count="125">
    <s:border>
      <s:left/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/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 style="medium">
        <s:color auto="1"/>
      </s:right>
      <s:top/>
      <s:bottom/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medium">
        <s:color auto="1"/>
      </s:bottom>
      <s:diagonal/>
    </s:border>
    <s:border>
      <s:left/>
      <s:right style="thin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dotted">
        <s:color auto="1"/>
      </s:left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/>
      <s:bottom/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/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/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/>
      <s:diagonal/>
    </s:border>
    <s:border>
      <s:left/>
      <s:right/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/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medium">
        <s:color indexed="64"/>
      </s:top>
      <s:bottom/>
      <s:diagonal/>
    </s:border>
    <s:border>
      <s:left style="medium">
        <s:color auto="1"/>
      </s:left>
      <s:right style="thin">
        <s:color rgb="FFCCC085"/>
      </s:right>
      <s:top/>
      <s:bottom style="thin">
        <s:color auto="1"/>
      </s:bottom>
      <s:diagonal/>
    </s:border>
    <s:border>
      <s:left style="thin">
        <s:color rgb="FFCCC085"/>
      </s:left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thin">
        <s:color rgb="FFCCC085"/>
      </s:right>
      <s:top style="thin">
        <s:color auto="1"/>
      </s:top>
      <s:bottom style="thin">
        <s:color indexed="64"/>
      </s:bottom>
      <s:diagonal/>
    </s:border>
    <s:border>
      <s:left style="thin">
        <s:color rgb="FFCCC085"/>
      </s:left>
      <s:right style="medium">
        <s:color auto="1"/>
      </s:right>
      <s:top style="thin">
        <s:color auto="1"/>
      </s:top>
      <s:bottom style="thin">
        <s:color indexed="64"/>
      </s:bottom>
      <s:diagonal/>
    </s:border>
    <s:border>
      <s:left style="medium">
        <s:color indexed="64"/>
      </s:left>
      <s:right/>
      <s:top/>
      <s:bottom/>
      <s:diagonal/>
    </s:border>
    <s:border>
      <s:left/>
      <s:right/>
      <s:top/>
      <s:bottom style="thin">
        <s:color rgb="FFB3AC86"/>
      </s:bottom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thin">
        <s:color indexed="16"/>
      </s:right>
      <s:top style="medium">
        <s:color indexed="64"/>
      </s:top>
      <s:bottom style="medium">
        <s:color indexed="64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64"/>
      </s:top>
      <s:bottom style="medium">
        <s:color indexed="64"/>
      </s:bottom>
      <s:diagonal/>
    </s:border>
    <s:border>
      <s:left style="thin">
        <s:color indexed="16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/>
      <s:diagonal/>
    </s:border>
    <s:border>
      <s:left/>
      <s:right style="medium">
        <s:color auto="1"/>
      </s:right>
      <s:top style="thin">
        <s:color auto="1"/>
      </s:top>
      <s:bottom/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/>
      <s:bottom/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medium">
        <s:color auto="1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</s:borders>
  <s:cellStyleXfs count="2">
    <s:xf numFmtId="0" fontId="0" fillId="0" borderId="0"/>
    <s:xf numFmtId="9" fontId="51" fillId="0" borderId="0" applyFont="0" applyFill="0" applyBorder="0" applyProtection="0"/>
  </s:cellStyleXfs>
  <s:cellXfs count="751">
    <s:xf numFmtId="0" fontId="0" fillId="0" borderId="0" xfId="0"/>
    <s:xf numFmtId="0" fontId="1" fillId="0" borderId="0" xfId="0" applyFont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2" borderId="0" xfId="0" applyFont="1" applyFill="1" applyAlignment="1">
      <s:alignment horizontal="center" vertical="center" mc:Ignorable="vyd"/>
    </s:xf>
    <s:xf numFmtId="0" fontId="4" fillId="2" borderId="0" xfId="0" applyFont="1" applyFill="1"/>
    <s:xf numFmtId="0" fontId="2" fillId="2" borderId="0" xfId="0" applyFont="1" applyFill="1"/>
    <s:xf numFmtId="0" fontId="6" fillId="2" borderId="0" xfId="0" applyFont="1" applyFill="1"/>
    <s:xf numFmtId="0" fontId="0" fillId="2" borderId="0" xfId="0" applyFill="1"/>
    <s:xf numFmtId="0" fontId="9" fillId="2" borderId="0" xfId="0" applyFont="1" applyFill="1"/>
    <s:xf numFmtId="0" fontId="10" fillId="2" borderId="0" xfId="0" applyFont="1" applyFill="1"/>
    <s:xf numFmtId="0" fontId="11" fillId="2" borderId="0" xfId="0" applyFont="1" applyFill="1"/>
    <s:xf numFmtId="0" fontId="3" fillId="2" borderId="0" xfId="0" applyFont="1" applyFill="1"/>
    <s:xf numFmtId="164" fontId="13" fillId="2" borderId="0" xfId="0" applyNumberFormat="1" applyFont="1" applyFill="1" applyAlignment="1">
      <s:alignment horizontal="center" vertical="center" mc:Ignorable="vyd"/>
    </s:xf>
    <s:xf numFmtId="9" fontId="11" fillId="2" borderId="5" xfId="0" applyNumberFormat="1" applyFont="1" applyFill="1" applyBorder="1"/>
    <s:xf numFmtId="1" fontId="2" fillId="2" borderId="0" xfId="0" applyNumberFormat="1" applyFont="1" applyFill="1"/>
    <s:xf numFmtId="0" fontId="14" fillId="2" borderId="0" xfId="0" applyFont="1" applyFill="1"/>
    <s:xf numFmtId="165" fontId="6" fillId="2" borderId="0" xfId="0" applyNumberFormat="1" applyFont="1" applyFill="1" applyAlignment="1">
      <s:alignment vertical="center" mc:Ignorable="vyd"/>
    </s:xf>
    <s:xf numFmtId="165" fontId="16" fillId="2" borderId="0" xfId="0" applyNumberFormat="1" applyFont="1" applyFill="1" applyAlignment="1">
      <s:alignment vertical="center" mc:Ignorable="vyd"/>
    </s:xf>
    <s:xf numFmtId="3" fontId="17" fillId="2" borderId="12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wrapText="1" mc:Ignorable="vyd"/>
    </s:xf>
    <s:xf numFmtId="0" fontId="18" fillId="2" borderId="13" xfId="0" applyFont="1" applyFill="1" applyBorder="1" applyAlignment="1">
      <s:alignment horizontal="center" vertical="center" wrapText="1" mc:Ignorable="vyd"/>
    </s:xf>
    <s:xf numFmtId="0" fontId="17" fillId="2" borderId="13" xfId="0" applyFont="1" applyFill="1" applyBorder="1" applyAlignment="1">
      <s:alignment horizontal="center" vertical="center" wrapText="1" mc:Ignorable="vyd"/>
    </s:xf>
    <s:xf numFmtId="3" fontId="14" fillId="2" borderId="0" xfId="0" applyNumberFormat="1" applyFont="1" applyFill="1"/>
    <s:xf numFmtId="3" fontId="20" fillId="3" borderId="18" xfId="0" applyNumberFormat="1" applyFont="1" applyFill="1" applyBorder="1" applyAlignment="1">
      <s:alignment horizontal="center" vertical="center" mc:Ignorable="vyd"/>
    </s:xf>
    <s:xf numFmtId="3" fontId="20" fillId="4" borderId="19" xfId="0" applyNumberFormat="1" applyFont="1" applyFill="1" applyBorder="1" applyAlignment="1">
      <s:alignment horizontal="center" vertical="center" mc:Ignorable="vyd"/>
    </s:xf>
    <s:xf numFmtId="10" fontId="21" fillId="4" borderId="19" xfId="0" applyNumberFormat="1" applyFont="1" applyFill="1" applyBorder="1" applyAlignment="1">
      <s:alignment horizontal="center" vertical="center" mc:Ignorable="vyd"/>
    </s:xf>
    <s:xf numFmtId="165" fontId="23" fillId="0" borderId="20" xfId="0" applyNumberFormat="1" applyFont="1" applyBorder="1" applyAlignment="1">
      <s:alignment horizontal="center" vertical="center" mc:Ignorable="vyd"/>
    </s:xf>
    <s:xf numFmtId="3" fontId="16" fillId="3" borderId="21" xfId="0" applyNumberFormat="1" applyFont="1" applyFill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center" mc:Ignorable="vyd"/>
    </s:xf>
    <s:xf numFmtId="165" fontId="16" fillId="0" borderId="22" xfId="0" applyNumberFormat="1" applyFont="1" applyBorder="1" applyAlignment="1">
      <s:alignment horizontal="center" vertical="center" mc:Ignorable="vyd"/>
    </s:xf>
    <s:xf numFmtId="165" fontId="16" fillId="5" borderId="0" xfId="1" applyNumberFormat="1" applyFont="1" applyFill="1" applyAlignment="1" applyProtection="1">
      <s:alignment vertical="center" mc:Ignorable="vyd"/>
    </s:xf>
    <s:xf numFmtId="3" fontId="20" fillId="4" borderId="23" xfId="0" applyNumberFormat="1" applyFont="1" applyFill="1" applyBorder="1" applyAlignment="1">
      <s:alignment horizontal="center" vertical="center" mc:Ignorable="vyd"/>
    </s:xf>
    <s:xf numFmtId="3" fontId="16" fillId="4" borderId="24" xfId="0" applyNumberFormat="1" applyFont="1" applyFill="1" applyBorder="1" applyAlignment="1">
      <s:alignment horizontal="center" vertical="center" mc:Ignorable="vyd"/>
    </s:xf>
    <s:xf numFmtId="10" fontId="16" fillId="4" borderId="24" xfId="0" applyNumberFormat="1" applyFont="1" applyFill="1" applyBorder="1" applyAlignment="1">
      <s:alignment horizontal="center" vertical="center" mc:Ignorable="vyd"/>
    </s:xf>
    <s:xf numFmtId="3" fontId="22" fillId="0" borderId="24" xfId="0" applyNumberFormat="1" applyFont="1" applyBorder="1" applyAlignment="1">
      <s:alignment horizontal="center" vertical="center" mc:Ignorable="vyd"/>
    </s:xf>
    <s:xf numFmtId="165" fontId="23" fillId="0" borderId="25" xfId="0" applyNumberFormat="1" applyFont="1" applyBorder="1" applyAlignment="1">
      <s:alignment horizontal="center" vertical="center" mc:Ignorable="vyd"/>
    </s:xf>
    <s:xf numFmtId="3" fontId="16" fillId="0" borderId="24" xfId="0" applyNumberFormat="1" applyFont="1" applyBorder="1" applyAlignment="1">
      <s:alignment horizontal="center" vertical="center" mc:Ignorable="vyd"/>
    </s:xf>
    <s:xf numFmtId="3" fontId="16" fillId="4" borderId="16" xfId="0" applyNumberFormat="1" applyFont="1" applyFill="1" applyBorder="1" applyAlignment="1">
      <s:alignment horizontal="center" vertical="center" mc:Ignorable="vyd"/>
    </s:xf>
    <s:xf numFmtId="165" fontId="16" fillId="0" borderId="26" xfId="0" applyNumberFormat="1" applyFont="1" applyBorder="1" applyAlignment="1">
      <s:alignment horizontal="center" vertical="center" mc:Ignorable="vyd"/>
    </s:xf>
    <s:xf numFmtId="3" fontId="20" fillId="4" borderId="24" xfId="0" applyNumberFormat="1" applyFont="1" applyFill="1" applyBorder="1" applyAlignment="1">
      <s:alignment horizontal="center" vertical="center" mc:Ignorable="vyd"/>
    </s:xf>
    <s:xf numFmtId="10" fontId="19" fillId="4" borderId="24" xfId="0" applyNumberFormat="1" applyFont="1" applyFill="1" applyBorder="1" applyAlignment="1">
      <s:alignment horizontal="center" vertical="center" mc:Ignorable="vyd"/>
    </s:xf>
    <s:xf numFmtId="165" fontId="22" fillId="0" borderId="25" xfId="0" applyNumberFormat="1" applyFont="1" applyBorder="1" applyAlignment="1">
      <s:alignment horizontal="center" vertical="center" mc:Ignorable="vyd"/>
    </s:xf>
    <s:xf numFmtId="3" fontId="19" fillId="0" borderId="24" xfId="0" applyNumberFormat="1" applyFont="1" applyBorder="1" applyAlignment="1">
      <s:alignment horizontal="center" vertical="center" mc:Ignorable="vyd"/>
    </s:xf>
    <s:xf numFmtId="3" fontId="19" fillId="4" borderId="23" xfId="0" applyNumberFormat="1" applyFont="1" applyFill="1" applyBorder="1" applyAlignment="1">
      <s:alignment horizontal="center" vertical="center" mc:Ignorable="vyd"/>
    </s:xf>
    <s:xf numFmtId="165" fontId="19" fillId="0" borderId="26" xfId="0" applyNumberFormat="1" applyFont="1" applyBorder="1" applyAlignment="1">
      <s:alignment horizontal="center" vertical="center" mc:Ignorable="vyd"/>
    </s:xf>
    <s:xf numFmtId="3" fontId="20" fillId="3" borderId="23" xfId="0" applyNumberFormat="1" applyFont="1" applyFill="1" applyBorder="1" applyAlignment="1">
      <s:alignment horizontal="center" vertical="center" mc:Ignorable="vyd"/>
    </s:xf>
    <s:xf numFmtId="3" fontId="16" fillId="3" borderId="23" xfId="0" applyNumberFormat="1" applyFont="1" applyFill="1" applyBorder="1" applyAlignment="1">
      <s:alignment horizontal="center" vertical="center" mc:Ignorable="vyd"/>
    </s:xf>
    <s:xf numFmtId="4" fontId="20" fillId="3" borderId="23" xfId="0" applyNumberFormat="1" applyFont="1" applyFill="1" applyBorder="1" applyAlignment="1">
      <s:alignment horizontal="center" vertical="center" mc:Ignorable="vyd"/>
    </s:xf>
    <s:xf numFmtId="4" fontId="16" fillId="4" borderId="24" xfId="0" applyNumberFormat="1" applyFont="1" applyFill="1" applyBorder="1" applyAlignment="1">
      <s:alignment horizontal="center" vertical="center" mc:Ignorable="vyd"/>
    </s:xf>
    <s:xf numFmtId="4" fontId="16" fillId="0" borderId="24" xfId="0" applyNumberFormat="1" applyFont="1" applyBorder="1" applyAlignment="1">
      <s:alignment horizontal="center" vertical="center" mc:Ignorable="vyd"/>
    </s:xf>
    <s:xf numFmtId="4" fontId="16" fillId="3" borderId="16" xfId="0" applyNumberFormat="1" applyFont="1" applyFill="1" applyBorder="1" applyAlignment="1">
      <s:alignment horizontal="center" vertical="center" mc:Ignorable="vyd"/>
    </s:xf>
    <s:xf numFmtId="3" fontId="16" fillId="3" borderId="16" xfId="0" applyNumberFormat="1" applyFont="1" applyFill="1" applyBorder="1" applyAlignment="1">
      <s:alignment horizontal="center" vertical="center" mc:Ignorable="vyd"/>
    </s:xf>
    <s:xf numFmtId="10" fontId="0" fillId="2" borderId="0" xfId="0" applyNumberFormat="1" applyFill="1"/>
    <s:xf numFmtId="3" fontId="16" fillId="7" borderId="24" xfId="0" applyNumberFormat="1" applyFont="1" applyFill="1" applyBorder="1" applyAlignment="1">
      <s:alignment horizontal="center" vertical="center" mc:Ignorable="vyd"/>
    </s:xf>
    <s:xf numFmtId="3" fontId="16" fillId="4" borderId="30" xfId="0" applyNumberFormat="1" applyFont="1" applyFill="1" applyBorder="1" applyAlignment="1">
      <s:alignment horizontal="center" vertical="center" mc:Ignorable="vyd"/>
    </s:xf>
    <s:xf numFmtId="10" fontId="16" fillId="4" borderId="30" xfId="0" applyNumberFormat="1" applyFont="1" applyFill="1" applyBorder="1" applyAlignment="1">
      <s:alignment horizontal="center" vertical="center" mc:Ignorable="vyd"/>
    </s:xf>
    <s:xf numFmtId="165" fontId="23" fillId="0" borderId="27" xfId="0" applyNumberFormat="1" applyFont="1" applyBorder="1" applyAlignment="1">
      <s:alignment horizontal="center" vertical="center" mc:Ignorable="vyd"/>
    </s:xf>
    <s:xf numFmtId="3" fontId="16" fillId="3" borderId="31" xfId="0" applyNumberFormat="1" applyFont="1" applyFill="1" applyBorder="1" applyAlignment="1">
      <s:alignment horizontal="center" vertical="center" mc:Ignorable="vyd"/>
    </s:xf>
    <s:xf numFmtId="3" fontId="24" fillId="0" borderId="30" xfId="0" applyNumberFormat="1" applyFont="1" applyBorder="1" applyAlignment="1">
      <s:alignment horizontal="center" vertical="center" mc:Ignorable="vyd"/>
    </s:xf>
    <s:xf numFmtId="165" fontId="18" fillId="0" borderId="27" xfId="0" applyNumberFormat="1" applyFont="1" applyBorder="1" applyAlignment="1">
      <s:alignment horizontal="center" vertical="center" mc:Ignorable="vyd"/>
    </s:xf>
    <s:xf numFmtId="0" fontId="2" fillId="2" borderId="0" xfId="0" applyFont="1" applyFill="1" applyAlignment="1">
      <s:alignment wrapText="1" mc:Ignorable="vyd"/>
    </s:xf>
    <s:xf numFmtId="3" fontId="20" fillId="3" borderId="28" xfId="0" applyNumberFormat="1" applyFont="1" applyFill="1" applyBorder="1" applyAlignment="1">
      <s:alignment horizontal="center" vertical="center" mc:Ignorable="vyd"/>
    </s:xf>
    <s:xf numFmtId="3" fontId="20" fillId="4" borderId="28" xfId="0" applyNumberFormat="1" applyFont="1" applyFill="1" applyBorder="1" applyAlignment="1">
      <s:alignment horizontal="center" vertical="center" mc:Ignorable="vyd"/>
    </s:xf>
    <s:xf numFmtId="165" fontId="16" fillId="4" borderId="30" xfId="0" applyNumberFormat="1" applyFont="1" applyFill="1" applyBorder="1" applyAlignment="1">
      <s:alignment horizontal="center" vertical="center" mc:Ignorable="vyd"/>
    </s:xf>
    <s:xf numFmtId="167" fontId="24" fillId="0" borderId="30" xfId="0" applyNumberFormat="1" applyFont="1" applyBorder="1" applyAlignment="1">
      <s:alignment horizontal="center" vertical="center" mc:Ignorable="vyd"/>
    </s:xf>
    <s:xf numFmtId="3" fontId="16" fillId="4" borderId="31" xfId="0" applyNumberFormat="1" applyFont="1" applyFill="1" applyBorder="1" applyAlignment="1">
      <s:alignment horizontal="center" vertical="center" mc:Ignorable="vyd"/>
    </s:xf>
    <s:xf numFmtId="10" fontId="19" fillId="0" borderId="34" xfId="1" applyNumberFormat="1" applyFont="1" applyBorder="1" applyAlignment="1" applyProtection="1">
      <s:alignment horizontal="center" vertical="center" mc:Ignorable="vyd"/>
    </s:xf>
    <s:xf numFmtId="165" fontId="24" fillId="0" borderId="35" xfId="0" applyNumberFormat="1" applyFont="1" applyBorder="1" applyAlignment="1">
      <s:alignment horizontal="center" vertical="center" mc:Ignorable="vyd"/>
    </s:xf>
    <s:xf numFmtId="165" fontId="20" fillId="0" borderId="34" xfId="0" applyNumberFormat="1" applyFont="1" applyBorder="1" applyAlignment="1">
      <s:alignment horizontal="center" vertical="center" mc:Ignorable="vyd"/>
    </s:xf>
    <s:xf numFmtId="165" fontId="20" fillId="3" borderId="36" xfId="0" applyNumberFormat="1" applyFont="1" applyFill="1" applyBorder="1" applyAlignment="1">
      <s:alignment horizontal="center" vertical="center" mc:Ignorable="vyd"/>
    </s:xf>
    <s:xf numFmtId="3" fontId="20" fillId="0" borderId="34" xfId="0" applyNumberFormat="1" applyFont="1" applyBorder="1" applyAlignment="1">
      <s:alignment horizontal="center" vertical="center" mc:Ignorable="vyd"/>
    </s:xf>
    <s:xf numFmtId="165" fontId="20" fillId="0" borderId="37" xfId="0" applyNumberFormat="1" applyFont="1" applyBorder="1" applyAlignment="1">
      <s:alignment horizontal="center" vertical="center" mc:Ignorable="vyd"/>
    </s:xf>
    <s:xf numFmtId="4" fontId="2" fillId="2" borderId="0" xfId="0" applyNumberFormat="1" applyFont="1" applyFill="1"/>
    <s:xf numFmtId="0" fontId="17" fillId="9" borderId="24" xfId="0" applyFont="1" applyFill="1" applyBorder="1" applyAlignment="1">
      <s:alignment horizontal="center" vertical="center" wrapText="1" mc:Ignorable="vyd"/>
    </s:xf>
    <s:xf numFmtId="3" fontId="16" fillId="10" borderId="24" xfId="0" applyNumberFormat="1" applyFont="1" applyFill="1" applyBorder="1" applyAlignment="1">
      <s:alignment horizontal="center" vertical="top" mc:Ignorable="vyd"/>
    </s:xf>
    <s:xf numFmtId="4" fontId="16" fillId="10" borderId="24" xfId="0" applyNumberFormat="1" applyFont="1" applyFill="1" applyBorder="1" applyAlignment="1">
      <s:alignment horizontal="center" vertical="top" mc:Ignorable="vyd"/>
    </s:xf>
    <s:xf numFmtId="9" fontId="3" fillId="10" borderId="24" xfId="0" applyNumberFormat="1" applyFont="1" applyFill="1" applyBorder="1" applyAlignment="1">
      <s:alignment horizontal="center" vertical="center" mc:Ignorable="vyd"/>
    </s:xf>
    <s:xf numFmtId="3" fontId="16" fillId="10" borderId="24" xfId="0" applyNumberFormat="1" applyFont="1" applyFill="1" applyBorder="1" applyAlignment="1">
      <s:alignment horizontal="center" mc:Ignorable="vyd"/>
    </s:xf>
    <s:xf numFmtId="0" fontId="27" fillId="0" borderId="24" xfId="0" applyFont="1" applyBorder="1" applyAlignment="1">
      <s:alignment horizontal="center" vertical="center" mc:Ignorable="vyd"/>
    </s:xf>
    <s:xf numFmtId="16" fontId="16" fillId="0" borderId="24" xfId="0" applyNumberFormat="1" applyFont="1" applyBorder="1" applyAlignment="1">
      <s:alignment horizontal="center" vertical="top" mc:Ignorable="vyd"/>
    </s:xf>
    <s:xf numFmtId="0" fontId="16" fillId="0" borderId="24" xfId="0" applyFont="1" applyBorder="1" applyAlignment="1">
      <s:alignment horizontal="center" vertical="top" mc:Ignorable="vyd"/>
    </s:xf>
    <s:xf numFmtId="4" fontId="16" fillId="0" borderId="24" xfId="0" applyNumberFormat="1" applyFont="1" applyBorder="1" applyAlignment="1">
      <s:alignment horizontal="center" vertical="top" mc:Ignorable="vyd"/>
    </s:xf>
    <s:xf numFmtId="3" fontId="30" fillId="0" borderId="24" xfId="0" applyNumberFormat="1" applyFont="1" applyBorder="1" applyAlignment="1">
      <s:alignment horizontal="center" vertical="top" mc:Ignorable="vyd"/>
    </s:xf>
    <s:xf numFmtId="3" fontId="16" fillId="0" borderId="24" xfId="0" applyNumberFormat="1" applyFont="1" applyBorder="1" applyAlignment="1">
      <s:alignment horizontal="center" vertical="top" mc:Ignorable="vyd"/>
    </s:xf>
    <s:xf numFmtId="10" fontId="16" fillId="0" borderId="24" xfId="0" applyNumberFormat="1" applyFont="1" applyBorder="1" applyAlignment="1">
      <s:alignment horizontal="center" vertical="top" mc:Ignorable="vyd"/>
    </s:xf>
    <s:xf numFmtId="9" fontId="3" fillId="0" borderId="24" xfId="0" applyNumberFormat="1" applyFont="1" applyBorder="1" applyAlignment="1">
      <s:alignment horizontal="center" vertical="center" mc:Ignorable="vyd"/>
    </s:xf>
    <s:xf numFmtId="3" fontId="28" fillId="0" borderId="24" xfId="0" applyNumberFormat="1" applyFont="1" applyBorder="1" applyAlignment="1">
      <s:alignment horizontal="center" mc:Ignorable="vyd"/>
    </s:xf>
    <s:xf numFmtId="3" fontId="16" fillId="0" borderId="24" xfId="0" applyNumberFormat="1" applyFont="1" applyBorder="1" applyAlignment="1">
      <s:alignment horizontal="center" mc:Ignorable="vyd"/>
    </s:xf>
    <s:xf numFmtId="2" fontId="16" fillId="0" borderId="24" xfId="0" applyNumberFormat="1" applyFont="1" applyBorder="1" applyAlignment="1">
      <s:alignment horizontal="right" mc:Ignorable="vyd"/>
    </s:xf>
    <s:xf numFmtId="2" fontId="2" fillId="0" borderId="0" xfId="0" applyNumberFormat="1" applyFont="1"/>
    <s:xf numFmtId="165" fontId="2" fillId="0" borderId="0" xfId="0" applyNumberFormat="1" applyFont="1"/>
    <s:xf numFmtId="168" fontId="2" fillId="0" borderId="0" xfId="0" applyNumberFormat="1" applyFont="1"/>
    <s:xf numFmtId="165" fontId="16" fillId="10" borderId="24" xfId="0" applyNumberFormat="1" applyFont="1" applyFill="1" applyBorder="1" applyAlignment="1">
      <s:alignment horizontal="center" vertical="top" mc:Ignorable="vyd"/>
    </s:xf>
    <s:xf numFmtId="3" fontId="16" fillId="10" borderId="24" xfId="0" applyNumberFormat="1" applyFont="1" applyFill="1" applyBorder="1" applyAlignment="1">
      <s:alignment horizontal="right" mc:Ignorable="vyd"/>
    </s:xf>
    <s:xf numFmtId="0" fontId="27" fillId="0" borderId="0" xfId="0" applyFont="1" applyAlignment="1">
      <s:alignment horizontal="center" vertical="center" mc:Ignorable="vyd"/>
    </s:xf>
    <s:xf numFmtId="0" fontId="16" fillId="0" borderId="0" xfId="0" applyFont="1" applyAlignment="1">
      <s:alignment horizontal="center" vertical="top" mc:Ignorable="vyd"/>
    </s:xf>
    <s:xf numFmtId="0" fontId="16" fillId="0" borderId="0" xfId="0" applyFont="1"/>
    <s:xf numFmtId="3" fontId="31" fillId="0" borderId="0" xfId="0" applyNumberFormat="1" applyFont="1"/>
    <s:xf numFmtId="165" fontId="16" fillId="0" borderId="0" xfId="0" applyNumberFormat="1" applyFont="1"/>
    <s:xf numFmtId="0" fontId="16" fillId="0" borderId="0" xfId="0" applyFont="1" applyAlignment="1">
      <s:alignment vertical="top" mc:Ignorable="vyd"/>
    </s:xf>
    <s:xf numFmtId="1" fontId="16" fillId="0" borderId="0" xfId="0" applyNumberFormat="1" applyFont="1" applyAlignment="1">
      <s:alignment vertical="top" mc:Ignorable="vyd"/>
    </s:xf>
    <s:xf numFmtId="3" fontId="16" fillId="0" borderId="0" xfId="0" applyNumberFormat="1" applyFont="1"/>
    <s:xf numFmtId="4" fontId="2" fillId="0" borderId="0" xfId="0" applyNumberFormat="1" applyFont="1"/>
    <s:xf numFmtId="9" fontId="31" fillId="0" borderId="0" xfId="0" applyNumberFormat="1" applyFont="1"/>
    <s:xf numFmtId="4" fontId="3" fillId="0" borderId="0" xfId="0" applyNumberFormat="1" applyFont="1"/>
    <s:xf numFmtId="3" fontId="3" fillId="11" borderId="0" xfId="0" applyNumberFormat="1" applyFont="1" applyFill="1"/>
    <s:xf numFmtId="3" fontId="3" fillId="0" borderId="0" xfId="0" applyNumberFormat="1" applyFont="1"/>
    <s:xf numFmtId="1" fontId="3" fillId="0" borderId="0" xfId="0" applyNumberFormat="1" applyFont="1"/>
    <s:xf numFmtId="10" fontId="3" fillId="0" borderId="0" xfId="0" applyNumberFormat="1" applyFont="1"/>
    <s:xf numFmtId="3" fontId="3" fillId="4" borderId="0" xfId="0" applyNumberFormat="1" applyFont="1" applyFill="1"/>
    <s:xf numFmtId="14" fontId="2" fillId="0" borderId="0" xfId="0" applyNumberFormat="1" applyFont="1"/>
    <s:xf numFmtId="3" fontId="2" fillId="0" borderId="0" xfId="0" applyNumberFormat="1" applyFont="1"/>
    <s:xf numFmtId="0" fontId="0" fillId="0" borderId="0" xfId="0" applyAlignment="1">
      <s:alignment wrapText="1" mc:Ignorable="vyd"/>
    </s:xf>
    <s:xf numFmtId="0" fontId="2" fillId="0" borderId="0" xfId="0" applyFont="1" applyAlignment="1">
      <s:alignment wrapText="1" mc:Ignorable="vyd"/>
    </s:xf>
    <s:xf numFmtId="0" fontId="32" fillId="0" borderId="0" xfId="0" applyFont="1"/>
    <s:xf numFmtId="0" fontId="32" fillId="0" borderId="0" xfId="0" applyFont="1" applyAlignment="1">
      <s:alignment horizontal="left" mc:Ignorable="vyd"/>
    </s:xf>
    <s:xf numFmtId="0" fontId="33" fillId="0" borderId="0" xfId="0" applyFont="1" applyAlignment="1">
      <s:alignment horizontal="center" vertical="center" mc:Ignorable="vyd"/>
    </s:xf>
    <s:xf numFmtId="0" fontId="33" fillId="0" borderId="11" xfId="0" applyFont="1" applyBorder="1" applyAlignment="1">
      <s:alignment horizontal="center" vertical="center" mc:Ignorable="vyd"/>
    </s:xf>
    <s:xf numFmtId="16" fontId="33" fillId="0" borderId="39" xfId="0" applyNumberFormat="1" applyFont="1" applyBorder="1" applyAlignment="1">
      <s:alignment horizontal="center" vertical="center" mc:Ignorable="vyd"/>
    </s:xf>
    <s:xf numFmtId="16" fontId="33" fillId="0" borderId="40" xfId="0" applyNumberFormat="1" applyFont="1" applyBorder="1" applyAlignment="1">
      <s:alignment horizontal="center" vertical="center" mc:Ignorable="vyd"/>
    </s:xf>
    <s:xf numFmtId="0" fontId="34" fillId="0" borderId="41" xfId="0" applyFont="1" applyBorder="1" applyAlignment="1">
      <s:alignment horizontal="left" vertical="center" wrapText="1" mc:Ignorable="vyd"/>
    </s:xf>
    <s:xf numFmtId="10" fontId="34" fillId="0" borderId="42" xfId="0" applyNumberFormat="1" applyFont="1" applyBorder="1" applyAlignment="1">
      <s:alignment horizontal="center" vertical="center" wrapText="1" mc:Ignorable="vyd"/>
    </s:xf>
    <s:xf numFmtId="10" fontId="34" fillId="12" borderId="42" xfId="0" applyNumberFormat="1" applyFont="1" applyFill="1" applyBorder="1" applyAlignment="1">
      <s:alignment horizontal="center" vertical="center" wrapText="1" mc:Ignorable="vyd"/>
    </s:xf>
    <s:xf numFmtId="10" fontId="34" fillId="12" borderId="43" xfId="0" applyNumberFormat="1" applyFont="1" applyFill="1" applyBorder="1" applyAlignment="1">
      <s:alignment horizontal="center" vertical="center" wrapText="1" mc:Ignorable="vyd"/>
    </s:xf>
    <s:xf numFmtId="10" fontId="34" fillId="0" borderId="41" xfId="0" applyNumberFormat="1" applyFont="1" applyBorder="1" applyAlignment="1">
      <s:alignment horizontal="center" vertical="center" wrapText="1" mc:Ignorable="vyd"/>
    </s:xf>
    <s:xf numFmtId="0" fontId="34" fillId="0" borderId="44" xfId="0" applyFont="1" applyBorder="1" applyAlignment="1">
      <s:alignment horizontal="left" vertical="center" wrapText="1" mc:Ignorable="vyd"/>
    </s:xf>
    <s:xf numFmtId="10" fontId="34" fillId="0" borderId="45" xfId="0" applyNumberFormat="1" applyFont="1" applyBorder="1" applyAlignment="1">
      <s:alignment horizontal="center" vertical="center" wrapText="1" mc:Ignorable="vyd"/>
    </s:xf>
    <s:xf numFmtId="10" fontId="34" fillId="0" borderId="46" xfId="0" applyNumberFormat="1" applyFont="1" applyBorder="1" applyAlignment="1">
      <s:alignment horizontal="center" vertical="center" wrapText="1" mc:Ignorable="vyd"/>
    </s:xf>
    <s:xf numFmtId="10" fontId="34" fillId="0" borderId="47" xfId="0" applyNumberFormat="1" applyFont="1" applyBorder="1" applyAlignment="1">
      <s:alignment horizontal="center" vertical="center" wrapText="1" mc:Ignorable="vyd"/>
    </s:xf>
    <s:xf numFmtId="0" fontId="34" fillId="0" borderId="32" xfId="0" applyFont="1" applyBorder="1" applyAlignment="1">
      <s:alignment horizontal="left" vertical="center" wrapText="1" mc:Ignorable="vyd"/>
    </s:xf>
    <s:xf numFmtId="10" fontId="34" fillId="12" borderId="34" xfId="0" applyNumberFormat="1" applyFont="1" applyFill="1" applyBorder="1" applyAlignment="1">
      <s:alignment horizontal="center" vertical="center" wrapText="1" mc:Ignorable="vyd"/>
    </s:xf>
    <s:xf numFmtId="10" fontId="34" fillId="0" borderId="34" xfId="0" applyNumberFormat="1" applyFont="1" applyBorder="1" applyAlignment="1">
      <s:alignment horizontal="center" vertical="center" wrapText="1" mc:Ignorable="vyd"/>
    </s:xf>
    <s:xf numFmtId="10" fontId="34" fillId="0" borderId="37" xfId="0" applyNumberFormat="1" applyFont="1" applyBorder="1" applyAlignment="1">
      <s:alignment horizontal="center" vertical="center" wrapText="1" mc:Ignorable="vyd"/>
    </s:xf>
    <s:xf numFmtId="10" fontId="34" fillId="0" borderId="32" xfId="0" applyNumberFormat="1" applyFont="1" applyBorder="1" applyAlignment="1">
      <s:alignment horizontal="center" vertical="center" wrapText="1" mc:Ignorable="vyd"/>
    </s:xf>
    <s:xf numFmtId="1" fontId="34" fillId="0" borderId="42" xfId="0" applyNumberFormat="1" applyFont="1" applyBorder="1" applyAlignment="1">
      <s:alignment horizontal="center" vertical="center" wrapText="1" mc:Ignorable="vyd"/>
    </s:xf>
    <s:xf numFmtId="1" fontId="34" fillId="12" borderId="42" xfId="0" applyNumberFormat="1" applyFont="1" applyFill="1" applyBorder="1" applyAlignment="1">
      <s:alignment horizontal="center" vertical="center" wrapText="1" mc:Ignorable="vyd"/>
    </s:xf>
    <s:xf numFmtId="1" fontId="34" fillId="12" borderId="43" xfId="0" applyNumberFormat="1" applyFont="1" applyFill="1" applyBorder="1" applyAlignment="1">
      <s:alignment horizontal="center" vertical="center" wrapText="1" mc:Ignorable="vyd"/>
    </s:xf>
    <s:xf numFmtId="1" fontId="34" fillId="12" borderId="41" xfId="0" applyNumberFormat="1" applyFont="1" applyFill="1" applyBorder="1" applyAlignment="1">
      <s:alignment horizontal="center" vertical="center" wrapText="1" mc:Ignorable="vyd"/>
    </s:xf>
    <s:xf numFmtId="1" fontId="34" fillId="0" borderId="45" xfId="0" applyNumberFormat="1" applyFont="1" applyBorder="1" applyAlignment="1">
      <s:alignment horizontal="center" vertical="center" wrapText="1" mc:Ignorable="vyd"/>
    </s:xf>
    <s:xf numFmtId="1" fontId="34" fillId="0" borderId="46" xfId="0" applyNumberFormat="1" applyFont="1" applyBorder="1" applyAlignment="1">
      <s:alignment horizontal="center" vertical="center" wrapText="1" mc:Ignorable="vyd"/>
    </s:xf>
    <s:xf numFmtId="1" fontId="34" fillId="0" borderId="47" xfId="0" applyNumberFormat="1" applyFont="1" applyBorder="1" applyAlignment="1">
      <s:alignment horizontal="center" vertical="center" wrapText="1" mc:Ignorable="vyd"/>
    </s:xf>
    <s:xf numFmtId="1" fontId="34" fillId="12" borderId="34" xfId="0" applyNumberFormat="1" applyFont="1" applyFill="1" applyBorder="1" applyAlignment="1">
      <s:alignment horizontal="center" vertical="center" wrapText="1" mc:Ignorable="vyd"/>
    </s:xf>
    <s:xf numFmtId="1" fontId="34" fillId="0" borderId="34" xfId="0" applyNumberFormat="1" applyFont="1" applyBorder="1" applyAlignment="1">
      <s:alignment horizontal="center" vertical="center" wrapText="1" mc:Ignorable="vyd"/>
    </s:xf>
    <s:xf numFmtId="1" fontId="34" fillId="0" borderId="37" xfId="0" applyNumberFormat="1" applyFont="1" applyBorder="1" applyAlignment="1">
      <s:alignment horizontal="center" vertical="center" wrapText="1" mc:Ignorable="vyd"/>
    </s:xf>
    <s:xf numFmtId="1" fontId="34" fillId="0" borderId="32" xfId="0" applyNumberFormat="1" applyFont="1" applyBorder="1" applyAlignment="1">
      <s:alignment horizontal="center" vertical="center" wrapText="1" mc:Ignorable="vyd"/>
    </s:xf>
    <s:xf numFmtId="0" fontId="20" fillId="0" borderId="15" xfId="0" applyFont="1" applyBorder="1" applyAlignment="1">
      <s:alignment horizontal="left" vertical="center" mc:Ignorable="vyd"/>
    </s:xf>
    <s:xf numFmtId="10" fontId="35" fillId="0" borderId="18" xfId="0" applyNumberFormat="1" applyFont="1" applyBorder="1" applyAlignment="1">
      <s:alignment horizontal="center" vertical="center" mc:Ignorable="vyd"/>
    </s:xf>
    <s:xf numFmtId="166" fontId="35" fillId="0" borderId="48" xfId="0" applyNumberFormat="1" applyFont="1" applyBorder="1" applyAlignment="1">
      <s:alignment horizontal="center" vertical="center" mc:Ignorable="vyd"/>
    </s:xf>
    <s:xf numFmtId="10" fontId="35" fillId="0" borderId="43" xfId="0" applyNumberFormat="1" applyFont="1" applyBorder="1" applyAlignment="1">
      <s:alignment horizontal="center" vertical="center" mc:Ignorable="vyd"/>
    </s:xf>
    <s:xf numFmtId="10" fontId="35" fillId="0" borderId="54" xfId="1" applyNumberFormat="1" applyFont="1" applyBorder="1" applyAlignment="1" applyProtection="1">
      <s:alignment horizontal="center" vertical="center" mc:Ignorable="vyd"/>
    </s:xf>
    <s:xf numFmtId="166" fontId="35" fillId="0" borderId="42" xfId="1" applyNumberFormat="1" applyFont="1" applyBorder="1" applyAlignment="1" applyProtection="1">
      <s:alignment horizontal="center" vertical="center" mc:Ignorable="vyd"/>
    </s:xf>
    <s:xf numFmtId="10" fontId="35" fillId="0" borderId="55" xfId="0" applyNumberFormat="1" applyFont="1" applyBorder="1" applyAlignment="1">
      <s:alignment horizontal="center" vertical="center" mc:Ignorable="vyd"/>
    </s:xf>
    <s:xf numFmtId="10" fontId="35" fillId="0" borderId="18" xfId="1" applyNumberFormat="1" applyFont="1" applyBorder="1" applyAlignment="1" applyProtection="1">
      <s:alignment horizontal="center" vertical="center" mc:Ignorable="vyd"/>
    </s:xf>
    <s:xf numFmtId="10" fontId="20" fillId="0" borderId="43" xfId="0" applyNumberFormat="1" applyFont="1" applyBorder="1" applyAlignment="1">
      <s:alignment horizontal="center" vertical="center" mc:Ignorable="vyd"/>
    </s:xf>
    <s:xf numFmtId="10" fontId="35" fillId="0" borderId="56" xfId="0" applyNumberFormat="1" applyFont="1" applyBorder="1" applyAlignment="1">
      <s:alignment horizontal="center" vertical="center" mc:Ignorable="vyd"/>
    </s:xf>
    <s:xf numFmtId="1" fontId="35" fillId="0" borderId="16" xfId="0" applyNumberFormat="1" applyFont="1" applyBorder="1" applyAlignment="1">
      <s:alignment horizontal="center" vertical="center" mc:Ignorable="vyd"/>
    </s:xf>
    <s:xf numFmtId="10" fontId="35" fillId="0" borderId="26" xfId="0" applyNumberFormat="1" applyFont="1" applyBorder="1" applyAlignment="1">
      <s:alignment horizontal="center" vertical="center" mc:Ignorable="vyd"/>
    </s:xf>
    <s:xf numFmtId="10" fontId="35" fillId="0" borderId="23" xfId="1" applyNumberFormat="1" applyFont="1" applyBorder="1" applyAlignment="1" applyProtection="1">
      <s:alignment horizontal="center" vertical="center" mc:Ignorable="vyd"/>
    </s:xf>
    <s:xf numFmtId="1" fontId="35" fillId="0" borderId="24" xfId="1" applyNumberFormat="1" applyFont="1" applyBorder="1" applyAlignment="1" applyProtection="1">
      <s:alignment horizontal="center" vertical="center" mc:Ignorable="vyd"/>
    </s:xf>
    <s:xf numFmtId="10" fontId="35" fillId="0" borderId="25" xfId="0" applyNumberFormat="1" applyFont="1" applyBorder="1" applyAlignment="1">
      <s:alignment horizontal="center" vertical="center" mc:Ignorable="vyd"/>
    </s:xf>
    <s:xf numFmtId="10" fontId="35" fillId="0" borderId="56" xfId="1" applyNumberFormat="1" applyFont="1" applyBorder="1" applyAlignment="1" applyProtection="1">
      <s:alignment horizontal="center" vertical="center" mc:Ignorable="vyd"/>
    </s:xf>
    <s:xf numFmtId="3" fontId="35" fillId="0" borderId="24" xfId="1" applyNumberFormat="1" applyFont="1" applyBorder="1" applyAlignment="1" applyProtection="1">
      <s:alignment horizontal="center" vertical="center" mc:Ignorable="vyd"/>
    </s:xf>
    <s:xf numFmtId="10" fontId="20" fillId="0" borderId="26" xfId="0" applyNumberFormat="1" applyFont="1" applyBorder="1" applyAlignment="1">
      <s:alignment horizontal="center" vertical="center" mc:Ignorable="vyd"/>
    </s:xf>
    <s:xf numFmtId="166" fontId="35" fillId="0" borderId="16" xfId="0" applyNumberFormat="1" applyFont="1" applyBorder="1" applyAlignment="1">
      <s:alignment horizontal="center" vertical="center" mc:Ignorable="vyd"/>
    </s:xf>
    <s:xf numFmtId="166" fontId="35" fillId="0" borderId="24" xfId="1" applyNumberFormat="1" applyFont="1" applyBorder="1" applyAlignment="1" applyProtection="1">
      <s:alignment horizontal="center" vertical="center" mc:Ignorable="vyd"/>
    </s:xf>
    <s:xf numFmtId="2" fontId="35" fillId="0" borderId="16" xfId="0" applyNumberFormat="1" applyFont="1" applyBorder="1" applyAlignment="1">
      <s:alignment horizontal="center" vertical="center" mc:Ignorable="vyd"/>
    </s:xf>
    <s:xf numFmtId="4" fontId="35" fillId="0" borderId="24" xfId="1" applyNumberFormat="1" applyFont="1" applyBorder="1" applyAlignment="1" applyProtection="1">
      <s:alignment horizontal="center" vertical="center" mc:Ignorable="vyd"/>
    </s:xf>
    <s:xf numFmtId="1" fontId="35" fillId="0" borderId="24" xfId="0" applyNumberFormat="1" applyFont="1" applyBorder="1" applyAlignment="1">
      <s:alignment horizontal="center" vertical="center" mc:Ignorable="vyd"/>
    </s:xf>
    <s:xf numFmtId="166" fontId="35" fillId="0" borderId="24" xfId="0" applyNumberFormat="1" applyFont="1" applyBorder="1" applyAlignment="1">
      <s:alignment horizontal="center" vertical="center" mc:Ignorable="vyd"/>
    </s:xf>
    <s:xf numFmtId="0" fontId="19" fillId="0" borderId="41" xfId="0" applyFont="1" applyBorder="1" applyAlignment="1">
      <s:alignment horizontal="left" vertical="center" mc:Ignorable="vyd"/>
    </s:xf>
    <s:xf numFmtId="3" fontId="3" fillId="0" borderId="41" xfId="0" applyNumberFormat="1" applyFont="1" applyBorder="1" applyAlignment="1">
      <s:alignment horizontal="center" vertical="center" wrapText="1" mc:Ignorable="vyd"/>
    </s:xf>
    <s:xf numFmtId="3" fontId="36" fillId="6" borderId="15" xfId="0" applyNumberFormat="1" applyFont="1" applyFill="1" applyBorder="1" applyAlignment="1">
      <s:alignment horizontal="center" vertical="center" wrapText="1" mc:Ignorable="vyd"/>
    </s:xf>
    <s:xf numFmtId="3" fontId="36" fillId="4" borderId="15" xfId="0" applyNumberFormat="1" applyFont="1" applyFill="1" applyBorder="1" applyAlignment="1">
      <s:alignment horizontal="center" vertical="center" mc:Ignorable="vyd"/>
    </s:xf>
    <s:xf numFmtId="3" fontId="36" fillId="3" borderId="15" xfId="0" applyNumberFormat="1" applyFont="1" applyFill="1" applyBorder="1" applyAlignment="1">
      <s:alignment horizontal="center" vertical="center" mc:Ignorable="vyd"/>
    </s:xf>
    <s:xf numFmtId="4" fontId="36" fillId="3" borderId="15" xfId="0" applyNumberFormat="1" applyFont="1" applyFill="1" applyBorder="1" applyAlignment="1">
      <s:alignment horizontal="center" vertical="center" mc:Ignorable="vyd"/>
    </s:xf>
    <s:xf numFmtId="10" fontId="36" fillId="6" borderId="15" xfId="0" applyNumberFormat="1" applyFont="1" applyFill="1" applyBorder="1" applyAlignment="1">
      <s:alignment horizontal="center" vertical="center" mc:Ignorable="vyd"/>
    </s:xf>
    <s:xf numFmtId="0" fontId="27" fillId="0" borderId="56" xfId="0" applyFont="1" applyBorder="1" applyAlignment="1">
      <s:alignment horizontal="left" mc:Ignorable="vyd"/>
    </s:xf>
    <s:xf numFmtId="169" fontId="37" fillId="0" borderId="15" xfId="0" applyNumberFormat="1" applyFont="1" applyBorder="1" applyAlignment="1">
      <s:alignment horizontal="center" mc:Ignorable="vyd"/>
    </s:xf>
    <s:xf numFmtId="0" fontId="27" fillId="0" borderId="59" xfId="0" applyFont="1" applyBorder="1" applyAlignment="1">
      <s:alignment horizontal="left" mc:Ignorable="vyd"/>
    </s:xf>
    <s:xf numFmtId="169" fontId="37" fillId="0" borderId="62" xfId="0" applyNumberFormat="1" applyFont="1" applyBorder="1" applyAlignment="1">
      <s:alignment horizontal="center" mc:Ignorable="vyd"/>
    </s:xf>
    <s:xf numFmtId="164" fontId="38" fillId="2" borderId="0" xfId="0" applyNumberFormat="1" applyFont="1" applyFill="1" applyAlignment="1">
      <s:alignment horizontal="center" vertical="center" mc:Ignorable="vyd"/>
    </s:xf>
    <s:xf numFmtId="0" fontId="16" fillId="2" borderId="0" xfId="0" applyFont="1" applyFill="1"/>
    <s:xf numFmtId="9" fontId="11" fillId="2" borderId="63" xfId="0" applyNumberFormat="1" applyFont="1" applyFill="1" applyBorder="1"/>
    <s:xf numFmtId="0" fontId="41" fillId="2" borderId="0" xfId="0" applyFont="1" applyFill="1"/>
    <s:xf numFmtId="3" fontId="19" fillId="0" borderId="18" xfId="0" applyNumberFormat="1" applyFont="1" applyBorder="1" applyAlignment="1">
      <s:alignment horizontal="center" vertical="center" mc:Ignorable="vyd"/>
    </s:xf>
    <s:xf numFmtId="3" fontId="19" fillId="4" borderId="19" xfId="0" applyNumberFormat="1" applyFont="1" applyFill="1" applyBorder="1" applyAlignment="1">
      <s:alignment horizontal="center" vertical="center" mc:Ignorable="vyd"/>
    </s:xf>
    <s:xf numFmtId="3" fontId="24" fillId="0" borderId="19" xfId="0" applyNumberFormat="1" applyFont="1" applyBorder="1" applyAlignment="1">
      <s:alignment horizontal="center" vertical="center" mc:Ignorable="vyd"/>
    </s:xf>
    <s:xf numFmtId="10" fontId="23" fillId="0" borderId="20" xfId="0" applyNumberFormat="1" applyFont="1" applyBorder="1" applyAlignment="1">
      <s:alignment horizontal="center" vertical="center" mc:Ignorable="vyd"/>
    </s:xf>
    <s:xf numFmtId="3" fontId="16" fillId="3" borderId="29" xfId="0" applyNumberFormat="1" applyFont="1" applyFill="1" applyBorder="1" applyAlignment="1">
      <s:alignment horizontal="center" vertical="center" mc:Ignorable="vyd"/>
    </s:xf>
    <s:xf numFmtId="3" fontId="24" fillId="0" borderId="24" xfId="0" applyNumberFormat="1" applyFont="1" applyBorder="1" applyAlignment="1">
      <s:alignment horizontal="center" vertical="center" mc:Ignorable="vyd"/>
    </s:xf>
    <s:xf numFmtId="10" fontId="23" fillId="0" borderId="25" xfId="0" applyNumberFormat="1" applyFont="1" applyBorder="1" applyAlignment="1">
      <s:alignment horizontal="center" vertical="center" mc:Ignorable="vyd"/>
    </s:xf>
    <s:xf numFmtId="3" fontId="16" fillId="4" borderId="23" xfId="0" applyNumberFormat="1" applyFont="1" applyFill="1" applyBorder="1" applyAlignment="1">
      <s:alignment horizontal="center" vertical="center" mc:Ignorable="vyd"/>
    </s:xf>
    <s:xf numFmtId="3" fontId="19" fillId="4" borderId="24" xfId="0" applyNumberFormat="1" applyFont="1" applyFill="1" applyBorder="1" applyAlignment="1">
      <s:alignment horizontal="center" vertical="center" mc:Ignorable="vyd"/>
    </s:xf>
    <s:xf numFmtId="10" fontId="19" fillId="0" borderId="24" xfId="0" applyNumberFormat="1" applyFont="1" applyBorder="1" applyAlignment="1">
      <s:alignment horizontal="center" vertical="center" mc:Ignorable="vyd"/>
    </s:xf>
    <s:xf numFmtId="10" fontId="22" fillId="0" borderId="25" xfId="0" applyNumberFormat="1" applyFont="1" applyBorder="1" applyAlignment="1">
      <s:alignment horizontal="center" vertical="center" mc:Ignorable="vyd"/>
    </s:xf>
    <s:xf numFmtId="165" fontId="20" fillId="0" borderId="26" xfId="0" applyNumberFormat="1" applyFont="1" applyBorder="1" applyAlignment="1">
      <s:alignment horizontal="center" vertical="center" mc:Ignorable="vyd"/>
    </s:xf>
    <s:xf numFmtId="10" fontId="16" fillId="0" borderId="24" xfId="0" applyNumberFormat="1" applyFont="1" applyBorder="1" applyAlignment="1">
      <s:alignment horizontal="center" vertical="center" mc:Ignorable="vyd"/>
    </s:xf>
    <s:xf numFmtId="4" fontId="24" fillId="0" borderId="24" xfId="0" applyNumberFormat="1" applyFont="1" applyBorder="1" applyAlignment="1">
      <s:alignment horizontal="center" vertical="center" mc:Ignorable="vyd"/>
    </s:xf>
    <s:xf numFmtId="4" fontId="16" fillId="3" borderId="23" xfId="0" applyNumberFormat="1" applyFont="1" applyFill="1" applyBorder="1" applyAlignment="1">
      <s:alignment horizontal="center" vertical="center" mc:Ignorable="vyd"/>
    </s:xf>
    <s:xf numFmtId="3" fontId="3" fillId="2" borderId="0" xfId="0" applyNumberFormat="1" applyFont="1" applyFill="1"/>
    <s:xf numFmtId="10" fontId="23" fillId="0" borderId="27" xfId="0" applyNumberFormat="1" applyFont="1" applyBorder="1" applyAlignment="1">
      <s:alignment horizontal="center" vertical="center" mc:Ignorable="vyd"/>
    </s:xf>
    <s:xf numFmtId="3" fontId="16" fillId="3" borderId="28" xfId="0" applyNumberFormat="1" applyFont="1" applyFill="1" applyBorder="1" applyAlignment="1">
      <s:alignment horizontal="center" vertical="center" mc:Ignorable="vyd"/>
    </s:xf>
    <s:xf numFmtId="10" fontId="18" fillId="0" borderId="27" xfId="0" applyNumberFormat="1" applyFont="1" applyBorder="1" applyAlignment="1">
      <s:alignment horizontal="center" vertical="center" mc:Ignorable="vyd"/>
    </s:xf>
    <s:xf numFmtId="3" fontId="16" fillId="4" borderId="28" xfId="0" applyNumberFormat="1" applyFont="1" applyFill="1" applyBorder="1" applyAlignment="1">
      <s:alignment horizontal="center" vertical="center" mc:Ignorable="vyd"/>
    </s:xf>
    <s:xf numFmtId="165" fontId="19" fillId="3" borderId="33" xfId="0" applyNumberFormat="1" applyFont="1" applyFill="1" applyBorder="1" applyAlignment="1">
      <s:alignment horizontal="center" vertical="center" mc:Ignorable="vyd"/>
    </s:xf>
    <s:xf numFmtId="165" fontId="19" fillId="4" borderId="34" xfId="0" applyNumberFormat="1" applyFont="1" applyFill="1" applyBorder="1" applyAlignment="1">
      <s:alignment horizontal="center" vertical="center" mc:Ignorable="vyd"/>
    </s:xf>
    <s:xf numFmtId="10" fontId="19" fillId="4" borderId="34" xfId="0" applyNumberFormat="1" applyFont="1" applyFill="1" applyBorder="1" applyAlignment="1">
      <s:alignment horizontal="center" vertical="center" mc:Ignorable="vyd"/>
    </s:xf>
    <s:xf numFmtId="165" fontId="24" fillId="0" borderId="34" xfId="0" applyNumberFormat="1" applyFont="1" applyBorder="1" applyAlignment="1">
      <s:alignment horizontal="center" vertical="center" mc:Ignorable="vyd"/>
    </s:xf>
    <s:xf numFmtId="165" fontId="20" fillId="3" borderId="33" xfId="0" applyNumberFormat="1" applyFont="1" applyFill="1" applyBorder="1" applyAlignment="1">
      <s:alignment horizontal="center" vertical="center" mc:Ignorable="vyd"/>
    </s:xf>
    <s:xf numFmtId="0" fontId="17" fillId="13" borderId="24" xfId="0" applyFont="1" applyFill="1" applyBorder="1" applyAlignment="1">
      <s:alignment horizontal="center" vertical="center" wrapText="1" mc:Ignorable="vyd"/>
    </s:xf>
    <s:xf numFmtId="0" fontId="17" fillId="9" borderId="0" xfId="0" applyFont="1" applyFill="1" applyAlignment="1">
      <s:alignment horizontal="center" vertical="center" wrapText="1" mc:Ignorable="vyd"/>
    </s:xf>
    <s:xf numFmtId="0" fontId="26" fillId="13" borderId="24" xfId="0" applyFont="1" applyFill="1" applyBorder="1" applyAlignment="1">
      <s:alignment horizontal="center" vertical="center" wrapText="1" mc:Ignorable="vyd"/>
    </s:xf>
    <s:xf numFmtId="0" fontId="16" fillId="13" borderId="24" xfId="0" applyFont="1" applyFill="1" applyBorder="1" applyAlignment="1">
      <s:alignment horizontal="center" vertical="top" wrapText="1" mc:Ignorable="vyd"/>
    </s:xf>
    <s:xf numFmtId="0" fontId="16" fillId="13" borderId="30" xfId="0" applyFont="1" applyFill="1" applyBorder="1" applyAlignment="1">
      <s:alignment horizontal="center" vertical="top" wrapText="1" mc:Ignorable="vyd"/>
    </s:xf>
    <s:xf numFmtId="0" fontId="17" fillId="13" borderId="24" xfId="0" applyFont="1" applyFill="1" applyBorder="1" applyAlignment="1">
      <s:alignment horizontal="center" vertical="top" wrapText="1" mc:Ignorable="vyd"/>
    </s:xf>
    <s:xf numFmtId="2" fontId="0" fillId="0" borderId="0" xfId="0" applyNumberFormat="1"/>
    <s:xf numFmtId="165" fontId="2" fillId="0" borderId="0" xfId="0" applyNumberFormat="1" applyFont="1" applyAlignment="1">
      <s:alignment vertical="center" mc:Ignorable="vyd"/>
    </s:xf>
    <s:xf numFmtId="0" fontId="29" fillId="0" borderId="0" xfId="0" applyFont="1"/>
    <s:xf numFmtId="0" fontId="31" fillId="0" borderId="0" xfId="0" applyFont="1" applyAlignment="1">
      <s:alignment horizontal="center" mc:Ignorable="vyd"/>
    </s:xf>
    <s:xf numFmtId="3" fontId="16" fillId="0" borderId="0" xfId="0" applyNumberFormat="1" applyFont="1" applyAlignment="1">
      <s:alignment horizontal="center" vertical="top" mc:Ignorable="vyd"/>
    </s:xf>
    <s:xf numFmtId="9" fontId="3" fillId="0" borderId="0" xfId="0" applyNumberFormat="1" applyFont="1" applyAlignment="1">
      <s:alignment horizontal="center" vertical="center" mc:Ignorable="vyd"/>
    </s:xf>
    <s:xf numFmtId="3" fontId="16" fillId="0" borderId="0" xfId="0" applyNumberFormat="1" applyFont="1" applyAlignment="1">
      <s:alignment horizontal="center" mc:Ignorable="vyd"/>
    </s:xf>
    <s:xf numFmtId="3" fontId="28" fillId="0" borderId="0" xfId="0" applyNumberFormat="1" applyFont="1" applyAlignment="1">
      <s:alignment horizontal="center" mc:Ignorable="vyd"/>
    </s:xf>
    <s:xf numFmtId="4" fontId="16" fillId="0" borderId="0" xfId="0" applyNumberFormat="1" applyFont="1" applyAlignment="1">
      <s:alignment horizontal="center" vertical="top" mc:Ignorable="vyd"/>
    </s:xf>
    <s:xf numFmtId="10" fontId="16" fillId="0" borderId="0" xfId="0" applyNumberFormat="1" applyFont="1" applyAlignment="1">
      <s:alignment horizontal="center" vertical="top" mc:Ignorable="vyd"/>
    </s:xf>
    <s:xf numFmtId="2" fontId="16" fillId="0" borderId="0" xfId="0" applyNumberFormat="1" applyFont="1" applyAlignment="1">
      <s:alignment horizontal="right" mc:Ignorable="vyd"/>
    </s:xf>
    <s:xf numFmtId="165" fontId="16" fillId="0" borderId="0" xfId="0" applyNumberFormat="1" applyFont="1" applyAlignment="1">
      <s:alignment vertical="top" mc:Ignorable="vyd"/>
    </s:xf>
    <s:xf numFmtId="0" fontId="27" fillId="0" borderId="0" xfId="0" applyFont="1" applyAlignment="1">
      <s:alignment horizontal="center" mc:Ignorable="vyd"/>
    </s:xf>
    <s:xf numFmtId="164" fontId="17" fillId="2" borderId="0" xfId="0" applyNumberFormat="1" applyFont="1" applyFill="1" applyAlignment="1">
      <s:alignment horizontal="center" vertical="center" mc:Ignorable="vyd"/>
    </s:xf>
    <s:xf numFmtId="10" fontId="3" fillId="2" borderId="0" xfId="0" applyNumberFormat="1" applyFont="1" applyFill="1"/>
    <s:xf numFmtId="10" fontId="23" fillId="0" borderId="19" xfId="0" applyNumberFormat="1" applyFont="1" applyBorder="1" applyAlignment="1">
      <s:alignment horizontal="center" vertical="center" mc:Ignorable="vyd"/>
    </s:xf>
    <s:xf numFmtId="3" fontId="16" fillId="4" borderId="0" xfId="0" applyNumberFormat="1" applyFont="1" applyFill="1" applyAlignment="1">
      <s:alignment horizontal="center" vertical="center" mc:Ignorable="vyd"/>
    </s:xf>
    <s:xf numFmtId="3" fontId="24" fillId="0" borderId="0" xfId="0" applyNumberFormat="1" applyFont="1" applyAlignment="1">
      <s:alignment horizontal="center" vertical="center" mc:Ignorable="vyd"/>
    </s:xf>
    <s:xf numFmtId="10" fontId="23" fillId="0" borderId="24" xfId="0" applyNumberFormat="1" applyFont="1" applyBorder="1" applyAlignment="1">
      <s:alignment horizontal="center" vertical="center" mc:Ignorable="vyd"/>
    </s:xf>
    <s:xf numFmtId="10" fontId="22" fillId="0" borderId="0" xfId="0" applyNumberFormat="1" applyFont="1" applyAlignment="1">
      <s:alignment horizontal="center" vertical="center" mc:Ignorable="vyd"/>
    </s:xf>
    <s:xf numFmtId="10" fontId="23" fillId="0" borderId="0" xfId="0" applyNumberFormat="1" applyFont="1" applyAlignment="1">
      <s:alignment horizontal="center" vertical="center" mc:Ignorable="vyd"/>
    </s:xf>
    <s:xf numFmtId="166" fontId="3" fillId="2" borderId="0" xfId="0" applyNumberFormat="1" applyFont="1" applyFill="1"/>
    <s:xf numFmtId="10" fontId="18" fillId="0" borderId="0" xfId="0" applyNumberFormat="1" applyFont="1" applyAlignment="1">
      <s:alignment horizontal="center" vertical="center" mc:Ignorable="vyd"/>
    </s:xf>
    <s:xf numFmtId="10" fontId="18" fillId="0" borderId="24" xfId="0" applyNumberFormat="1" applyFont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top" mc:Ignorable="vyd"/>
    </s:xf>
    <s:xf numFmtId="3" fontId="16" fillId="0" borderId="45" xfId="0" applyNumberFormat="1" applyFont="1" applyBorder="1" applyAlignment="1">
      <s:alignment horizontal="center" vertical="top" mc:Ignorable="vyd"/>
    </s:xf>
    <s:xf numFmtId="3" fontId="16" fillId="0" borderId="65" xfId="0" applyNumberFormat="1" applyFont="1" applyBorder="1" applyAlignment="1">
      <s:alignment horizontal="center" vertical="top" mc:Ignorable="vyd"/>
    </s:xf>
    <s:xf numFmtId="3" fontId="16" fillId="0" borderId="23" xfId="0" applyNumberFormat="1" applyFont="1" applyBorder="1" applyAlignment="1">
      <s:alignment horizontal="center" vertical="top" mc:Ignorable="vyd"/>
    </s:xf>
    <s:xf numFmtId="10" fontId="16" fillId="0" borderId="21" xfId="0" applyNumberFormat="1" applyFont="1" applyBorder="1" applyAlignment="1">
      <s:alignment horizontal="center" vertical="top" mc:Ignorable="vyd"/>
    </s:xf>
    <s:xf numFmtId="0" fontId="0" fillId="11" borderId="0" xfId="0" applyFill="1"/>
    <s:xf numFmtId="3" fontId="30" fillId="0" borderId="0" xfId="0" applyNumberFormat="1" applyFont="1" applyAlignment="1">
      <s:alignment horizontal="center" vertical="top" mc:Ignorable="vyd"/>
    </s:xf>
    <s:xf numFmtId="10" fontId="16" fillId="0" borderId="16" xfId="0" applyNumberFormat="1" applyFont="1" applyBorder="1" applyAlignment="1">
      <s:alignment horizontal="center" vertical="top" mc:Ignorable="vyd"/>
    </s:xf>
    <s:xf numFmtId="3" fontId="28" fillId="0" borderId="45" xfId="0" applyNumberFormat="1" applyFont="1" applyBorder="1" applyAlignment="1">
      <s:alignment horizontal="center" mc:Ignorable="vyd"/>
    </s:xf>
    <s:xf numFmtId="0" fontId="3" fillId="0" borderId="28" xfId="0" applyFont="1" applyBorder="1"/>
    <s:xf numFmtId="0" fontId="16" fillId="0" borderId="2" xfId="0" applyFont="1" applyBorder="1" applyAlignment="1">
      <s:alignment horizontal="center" vertical="center" mc:Ignorable="vyd"/>
    </s:xf>
    <s:xf numFmtId="9" fontId="17" fillId="0" borderId="0" xfId="0" applyNumberFormat="1" applyFont="1" applyAlignment="1">
      <s:alignment horizontal="center" vertical="center" mc:Ignorable="vyd"/>
    </s:xf>
    <s:xf numFmtId="0" fontId="36" fillId="14" borderId="18" xfId="0" applyFont="1" applyFill="1" applyBorder="1" applyAlignment="1">
      <s:alignment horizontal="center" vertical="center" wrapText="1" mc:Ignorable="vyd"/>
    </s:xf>
    <s:xf numFmtId="0" fontId="36" fillId="14" borderId="42" xfId="0" applyFont="1" applyFill="1" applyBorder="1" applyAlignment="1">
      <s:alignment horizontal="center" vertical="center" wrapText="1" mc:Ignorable="vyd"/>
    </s:xf>
    <s:xf numFmtId="0" fontId="36" fillId="14" borderId="41" xfId="0" applyFont="1" applyFill="1" applyBorder="1" applyAlignment="1">
      <s:alignment horizontal="center" vertical="center" wrapText="1" mc:Ignorable="vyd"/>
    </s:xf>
    <s:xf numFmtId="0" fontId="43" fillId="4" borderId="0" xfId="0" applyFont="1" applyFill="1" applyAlignment="1">
      <s:alignment horizontal="left" vertical="top" mc:Ignorable="vyd"/>
    </s:xf>
    <s:xf numFmtId="0" fontId="42" fillId="4" borderId="0" xfId="0" applyFont="1" applyFill="1" applyAlignment="1">
      <s:alignment horizontal="left" vertical="top" mc:Ignorable="vyd"/>
    </s:xf>
    <s:xf numFmtId="2" fontId="42" fillId="4" borderId="0" xfId="0" applyNumberFormat="1" applyFont="1" applyFill="1" applyAlignment="1">
      <s:alignment horizontal="right" vertical="top" mc:Ignorable="vyd"/>
    </s:xf>
    <s:xf numFmtId="0" fontId="16" fillId="4" borderId="0" xfId="0" applyFont="1" applyFill="1" applyAlignment="1">
      <s:alignment horizontal="left" mc:Ignorable="vyd"/>
    </s:xf>
    <s:xf numFmtId="0" fontId="42" fillId="4" borderId="24" xfId="0" applyFont="1" applyFill="1" applyBorder="1" applyAlignment="1">
      <s:alignment horizontal="center" vertical="center" mc:Ignorable="vyd"/>
    </s:xf>
    <s:xf numFmtId="14" fontId="42" fillId="4" borderId="24" xfId="0" applyNumberFormat="1" applyFont="1" applyFill="1" applyBorder="1" applyAlignment="1">
      <s:alignment horizontal="center" vertical="top" mc:Ignorable="vyd"/>
    </s:xf>
    <s:xf numFmtId="4" fontId="42" fillId="4" borderId="24" xfId="0" applyNumberFormat="1" applyFont="1" applyFill="1" applyBorder="1" applyAlignment="1">
      <s:alignment horizontal="right" vertical="top" mc:Ignorable="vyd"/>
    </s:xf>
    <s:xf numFmtId="0" fontId="42" fillId="4" borderId="24" xfId="0" applyFont="1" applyFill="1" applyBorder="1" applyAlignment="1">
      <s:alignment horizontal="left" vertical="top" wrapText="1" mc:Ignorable="vyd"/>
    </s:xf>
    <s:xf numFmtId="0" fontId="42" fillId="4" borderId="0" xfId="0" applyFont="1" applyFill="1" applyAlignment="1">
      <s:alignment horizontal="center" vertical="center" wrapText="1" mc:Ignorable="vyd"/>
    </s:xf>
    <s:xf numFmtId="0" fontId="43" fillId="4" borderId="0" xfId="0" applyFont="1" applyFill="1" applyAlignment="1">
      <s:alignment horizontal="left" vertical="top" wrapText="1" mc:Ignorable="vyd"/>
    </s:xf>
    <s:xf numFmtId="0" fontId="42" fillId="4" borderId="24" xfId="0" applyFont="1" applyFill="1" applyBorder="1" applyAlignment="1">
      <s:alignment horizontal="center" vertical="center" wrapText="1" mc:Ignorable="vyd"/>
    </s:xf>
    <s:xf numFmtId="4" fontId="0" fillId="0" borderId="0" xfId="0" applyNumberFormat="1"/>
    <s:xf numFmtId="1" fontId="42" fillId="4" borderId="24" xfId="0" applyNumberFormat="1" applyFont="1" applyFill="1" applyBorder="1" applyAlignment="1">
      <s:alignment horizontal="center" vertical="top" mc:Ignorable="vyd"/>
    </s:xf>
    <s:xf numFmtId="0" fontId="42" fillId="4" borderId="24" xfId="0" applyFont="1" applyFill="1" applyBorder="1" applyAlignment="1">
      <s:alignment horizontal="left" vertical="top" mc:Ignorable="vyd"/>
    </s:xf>
    <s:xf numFmtId="171" fontId="42" fillId="4" borderId="24" xfId="0" applyNumberFormat="1" applyFont="1" applyFill="1" applyBorder="1" applyAlignment="1">
      <s:alignment horizontal="center" vertical="top" mc:Ignorable="vyd"/>
    </s:xf>
    <s:xf numFmtId="2" fontId="42" fillId="4" borderId="24" xfId="0" applyNumberFormat="1" applyFont="1" applyFill="1" applyBorder="1" applyAlignment="1">
      <s:alignment horizontal="center" vertical="top" mc:Ignorable="vyd"/>
    </s:xf>
    <s:xf numFmtId="10" fontId="42" fillId="4" borderId="24" xfId="0" applyNumberFormat="1" applyFont="1" applyFill="1" applyBorder="1" applyAlignment="1">
      <s:alignment horizontal="center" vertical="top" mc:Ignorable="vyd"/>
    </s:xf>
    <s:xf numFmtId="171" fontId="42" fillId="4" borderId="24" xfId="0" applyNumberFormat="1" applyFont="1" applyFill="1" applyBorder="1" applyAlignment="1">
      <s:alignment horizontal="center" vertical="center" wrapText="1" mc:Ignorable="vyd"/>
    </s:xf>
    <s:xf numFmtId="0" fontId="42" fillId="4" borderId="0" xfId="0" applyFont="1" applyFill="1" applyAlignment="1">
      <s:alignment horizontal="left" vertical="center" mc:Ignorable="vyd"/>
    </s:xf>
    <s:xf numFmtId="171" fontId="42" fillId="4" borderId="0" xfId="0" applyNumberFormat="1" applyFont="1" applyFill="1" applyAlignment="1">
      <s:alignment horizontal="center" vertical="center" wrapText="1" mc:Ignorable="vyd"/>
    </s:xf>
    <s:xf numFmtId="2" fontId="43" fillId="4" borderId="0" xfId="0" applyNumberFormat="1" applyFont="1" applyFill="1" applyAlignment="1">
      <s:alignment horizontal="right" vertical="center" wrapText="1" mc:Ignorable="vyd"/>
    </s:xf>
    <s:xf numFmtId="0" fontId="16" fillId="0" borderId="0" xfId="0" applyFont="1" applyAlignment="1">
      <s:alignment horizontal="left" mc:Ignorable="vyd"/>
    </s:xf>
    <s:xf numFmtId="2" fontId="43" fillId="4" borderId="24" xfId="0" applyNumberFormat="1" applyFont="1" applyFill="1" applyBorder="1" applyAlignment="1">
      <s:alignment horizontal="right" vertical="top" indent="1" mc:Ignorable="vyd"/>
    </s:xf>
    <s:xf numFmtId="3" fontId="42" fillId="4" borderId="24" xfId="0" applyNumberFormat="1" applyFont="1" applyFill="1" applyBorder="1" applyAlignment="1">
      <s:alignment horizontal="left" vertical="top" mc:Ignorable="vyd"/>
    </s:xf>
    <s:xf numFmtId="171" fontId="42" fillId="4" borderId="24" xfId="0" applyNumberFormat="1" applyFont="1" applyFill="1" applyBorder="1" applyAlignment="1">
      <s:alignment vertical="top" mc:Ignorable="vyd"/>
    </s:xf>
    <s:xf numFmtId="4" fontId="42" fillId="4" borderId="24" xfId="0" applyNumberFormat="1" applyFont="1" applyFill="1" applyBorder="1" applyAlignment="1">
      <s:alignment horizontal="right" vertical="center" wrapText="1" mc:Ignorable="vyd"/>
    </s:xf>
    <s:xf numFmtId="0" fontId="3" fillId="0" borderId="6" xfId="0" applyFont="1" applyBorder="1"/>
    <s:xf numFmtId="0" fontId="3" fillId="0" borderId="7" xfId="0" applyFont="1" applyBorder="1"/>
    <s:xf numFmtId="14" fontId="42" fillId="4" borderId="0" xfId="0" applyNumberFormat="1" applyFont="1" applyFill="1" applyAlignment="1">
      <s:alignment horizontal="center" vertical="top" mc:Ignorable="vyd"/>
    </s:xf>
    <s:xf numFmtId="4" fontId="42" fillId="4" borderId="0" xfId="0" applyNumberFormat="1" applyFont="1" applyFill="1" applyAlignment="1">
      <s:alignment horizontal="center" vertical="top" mc:Ignorable="vyd"/>
    </s:xf>
    <s:xf numFmtId="0" fontId="21" fillId="16" borderId="68" xfId="0" applyFont="1" applyFill="1" applyBorder="1"/>
    <s:xf numFmtId="0" fontId="36" fillId="16" borderId="70" xfId="0" applyFont="1" applyFill="1" applyBorder="1"/>
    <s:xf numFmtId="0" fontId="44" fillId="18" borderId="0" xfId="0" applyFont="1" applyFill="1" applyAlignment="1">
      <s:alignment vertical="center" mc:Ignorable="vyd"/>
    </s:xf>
    <s:xf numFmtId="0" fontId="44" fillId="16" borderId="0" xfId="0" applyFont="1" applyFill="1" applyAlignment="1">
      <s:alignment vertical="center" mc:Ignorable="vyd"/>
    </s:xf>
    <s:xf numFmtId="0" fontId="36" fillId="16" borderId="0" xfId="0" applyFont="1" applyFill="1"/>
    <s:xf numFmtId="0" fontId="44" fillId="20" borderId="0" xfId="0" applyFont="1" applyFill="1" applyAlignment="1">
      <s:alignment vertical="center" mc:Ignorable="vyd"/>
    </s:xf>
    <s:xf numFmtId="0" fontId="36" fillId="20" borderId="0" xfId="0" applyFont="1" applyFill="1"/>
    <s:xf numFmtId="0" fontId="47" fillId="16" borderId="74" xfId="0" applyFont="1" applyFill="1" applyBorder="1" applyAlignment="1">
      <s:alignment horizontal="center" wrapText="1" mc:Ignorable="vyd"/>
    </s:xf>
    <s:xf numFmtId="0" fontId="21" fillId="16" borderId="77" xfId="0" applyFont="1" applyFill="1" applyBorder="1" applyAlignment="1">
      <s:alignment horizontal="center" mc:Ignorable="vyd"/>
    </s:xf>
    <s:xf numFmtId="0" fontId="36" fillId="21" borderId="0" xfId="0" applyFont="1" applyFill="1"/>
    <s:xf numFmtId="0" fontId="21" fillId="16" borderId="78" xfId="0" applyFont="1" applyFill="1" applyBorder="1"/>
    <s:xf numFmtId="2" fontId="47" fillId="16" borderId="79" xfId="0" applyNumberFormat="1" applyFont="1" applyFill="1" applyBorder="1" applyAlignment="1">
      <s:alignment horizontal="center" mc:Ignorable="vyd"/>
    </s:xf>
    <s:xf numFmtId="3" fontId="48" fillId="16" borderId="74" xfId="0" applyNumberFormat="1" applyFont="1" applyFill="1" applyBorder="1" applyAlignment="1">
      <s:alignment horizontal="center" mc:Ignorable="vyd"/>
    </s:xf>
    <s:xf numFmtId="10" fontId="36" fillId="21" borderId="0" xfId="0" applyNumberFormat="1" applyFont="1" applyFill="1"/>
    <s:xf numFmtId="0" fontId="21" fillId="24" borderId="83" xfId="0" applyFont="1" applyFill="1" applyBorder="1" applyAlignment="1">
      <s:alignment horizontal="center" vertical="center" wrapText="1" mc:Ignorable="vyd"/>
    </s:xf>
    <s:xf numFmtId="0" fontId="21" fillId="16" borderId="9" xfId="0" applyFont="1" applyFill="1" applyBorder="1" applyAlignment="1">
      <s:alignment vertical="center" wrapText="1" mc:Ignorable="vyd"/>
    </s:xf>
    <s:xf numFmtId="0" fontId="21" fillId="16" borderId="84" xfId="0" applyFont="1" applyFill="1" applyBorder="1" applyAlignment="1">
      <s:alignment horizontal="center" vertical="center" mc:Ignorable="vyd"/>
    </s:xf>
    <s:xf numFmtId="0" fontId="48" fillId="16" borderId="85" xfId="0" applyFont="1" applyFill="1" applyBorder="1" applyAlignment="1">
      <s:alignment horizontal="center" vertical="center" mc:Ignorable="vyd"/>
    </s:xf>
    <s:xf numFmtId="0" fontId="48" fillId="16" borderId="82" xfId="0" applyFont="1" applyFill="1" applyBorder="1" applyAlignment="1">
      <s:alignment horizontal="center" vertical="center" mc:Ignorable="vyd"/>
    </s:xf>
    <s:xf numFmtId="0" fontId="48" fillId="23" borderId="82" xfId="0" applyFont="1" applyFill="1" applyBorder="1" applyAlignment="1">
      <s:alignment horizontal="center" vertical="center" mc:Ignorable="vyd"/>
    </s:xf>
    <s:xf numFmtId="0" fontId="21" fillId="24" borderId="82" xfId="0" applyFont="1" applyFill="1" applyBorder="1" applyAlignment="1">
      <s:alignment horizontal="center" vertical="center" wrapText="1" mc:Ignorable="vyd"/>
    </s:xf>
    <s:xf numFmtId="0" fontId="21" fillId="24" borderId="86" xfId="0" applyFont="1" applyFill="1" applyBorder="1" applyAlignment="1">
      <s:alignment horizontal="center" vertical="center" wrapText="1" mc:Ignorable="vyd"/>
    </s:xf>
    <s:xf numFmtId="0" fontId="49" fillId="0" borderId="89" xfId="0" applyFont="1" applyBorder="1"/>
    <s:xf numFmtId="0" fontId="36" fillId="0" borderId="90" xfId="0" applyFont="1" applyBorder="1"/>
    <s:xf numFmtId="0" fontId="3" fillId="0" borderId="90" xfId="0" applyFont="1" applyBorder="1"/>
    <s:xf numFmtId="0" fontId="36" fillId="0" borderId="91" xfId="0" applyFont="1" applyBorder="1"/>
    <s:xf numFmtId="3" fontId="36" fillId="23" borderId="19" xfId="0" applyNumberFormat="1" applyFont="1" applyFill="1" applyBorder="1" applyAlignment="1">
      <s:alignment horizontal="center" mc:Ignorable="vyd"/>
    </s:xf>
    <s:xf numFmtId="3" fontId="36" fillId="24" borderId="89" xfId="0" applyNumberFormat="1" applyFont="1" applyFill="1" applyBorder="1" applyAlignment="1">
      <s:alignment horizontal="center" mc:Ignorable="vyd"/>
    </s:xf>
    <s:xf numFmtId="3" fontId="36" fillId="24" borderId="90" xfId="0" applyNumberFormat="1" applyFont="1" applyFill="1" applyBorder="1" applyAlignment="1">
      <s:alignment horizontal="center" mc:Ignorable="vyd"/>
    </s:xf>
    <s:xf numFmtId="3" fontId="36" fillId="0" borderId="90" xfId="0" applyNumberFormat="1" applyFont="1" applyBorder="1" applyAlignment="1">
      <s:alignment horizontal="center" mc:Ignorable="vyd"/>
    </s:xf>
    <s:xf numFmtId="0" fontId="49" fillId="0" borderId="92" xfId="0" applyFont="1" applyBorder="1"/>
    <s:xf numFmtId="0" fontId="36" fillId="0" borderId="93" xfId="0" applyFont="1" applyBorder="1"/>
    <s:xf numFmtId="0" fontId="3" fillId="0" borderId="93" xfId="0" applyFont="1" applyBorder="1"/>
    <s:xf numFmtId="0" fontId="36" fillId="0" borderId="94" xfId="0" applyFont="1" applyBorder="1"/>
    <s:xf numFmtId="3" fontId="36" fillId="23" borderId="24" xfId="0" applyNumberFormat="1" applyFont="1" applyFill="1" applyBorder="1" applyAlignment="1">
      <s:alignment horizontal="center" mc:Ignorable="vyd"/>
    </s:xf>
    <s:xf numFmtId="3" fontId="36" fillId="24" borderId="92" xfId="0" applyNumberFormat="1" applyFont="1" applyFill="1" applyBorder="1" applyAlignment="1">
      <s:alignment horizontal="center" mc:Ignorable="vyd"/>
    </s:xf>
    <s:xf numFmtId="3" fontId="36" fillId="24" borderId="93" xfId="0" applyNumberFormat="1" applyFont="1" applyFill="1" applyBorder="1" applyAlignment="1">
      <s:alignment horizontal="center" mc:Ignorable="vyd"/>
    </s:xf>
    <s:xf numFmtId="3" fontId="36" fillId="0" borderId="93" xfId="0" applyNumberFormat="1" applyFont="1" applyBorder="1" applyAlignment="1">
      <s:alignment horizontal="center" mc:Ignorable="vyd"/>
    </s:xf>
    <s:xf numFmtId="0" fontId="36" fillId="11" borderId="93" xfId="0" applyFont="1" applyFill="1" applyBorder="1"/>
    <s:xf numFmtId="0" fontId="50" fillId="0" borderId="93" xfId="0" applyFont="1" applyBorder="1"/>
    <s:xf numFmtId="0" fontId="49" fillId="0" borderId="92" xfId="0" applyFont="1" applyBorder="1" applyProtection="1">
      <s:protection locked="0"/>
    </s:xf>
    <s:xf numFmtId="0" fontId="49" fillId="0" borderId="93" xfId="0" applyFont="1" applyBorder="1" applyProtection="1">
      <s:protection locked="0"/>
    </s:xf>
    <s:xf numFmtId="0" fontId="3" fillId="0" borderId="93" xfId="0" applyFont="1" applyBorder="1" applyProtection="1">
      <s:protection locked="0"/>
    </s:xf>
    <s:xf numFmtId="0" fontId="49" fillId="0" borderId="24" xfId="0" applyFont="1" applyBorder="1"/>
    <s:xf numFmtId="0" fontId="49" fillId="0" borderId="0" xfId="0" applyFont="1" applyProtection="1">
      <s:protection locked="0"/>
    </s:xf>
    <s:xf numFmtId="0" fontId="49" fillId="0" borderId="94" xfId="0" applyFont="1" applyBorder="1" applyProtection="1">
      <s:protection locked="0"/>
    </s:xf>
    <s:xf numFmtId="0" fontId="44" fillId="0" borderId="92" xfId="0" applyFont="1" applyBorder="1" applyProtection="1">
      <s:protection locked="0"/>
    </s:xf>
    <s:xf numFmtId="0" fontId="44" fillId="0" borderId="93" xfId="0" applyFont="1" applyBorder="1" applyProtection="1">
      <s:protection locked="0"/>
    </s:xf>
    <s:xf numFmtId="0" fontId="44" fillId="0" borderId="24" xfId="0" applyFont="1" applyBorder="1"/>
    <s:xf numFmtId="0" fontId="21" fillId="25" borderId="71" xfId="0" applyFont="1" applyFill="1" applyBorder="1" applyProtection="1">
      <s:protection locked="0"/>
    </s:xf>
    <s:xf numFmtId="0" fontId="44" fillId="26" borderId="24" xfId="0" applyFont="1" applyFill="1" applyBorder="1"/>
    <s:xf numFmtId="0" fontId="49" fillId="11" borderId="24" xfId="0" applyFont="1" applyFill="1" applyBorder="1"/>
    <s:xf numFmtId="0" fontId="49" fillId="11" borderId="93" xfId="0" applyFont="1" applyFill="1" applyBorder="1" applyProtection="1">
      <s:protection locked="0"/>
    </s:xf>
    <s:xf numFmtId="0" fontId="49" fillId="11" borderId="95" xfId="0" applyFont="1" applyFill="1" applyBorder="1" applyProtection="1">
      <s:protection locked="0"/>
    </s:xf>
    <s:xf numFmtId="3" fontId="36" fillId="27" borderId="24" xfId="0" applyNumberFormat="1" applyFont="1" applyFill="1" applyBorder="1" applyAlignment="1" applyProtection="1">
      <s:alignment horizontal="center" mc:Ignorable="vyd"/>
      <s:protection hidden="1"/>
    </s:xf>
    <s:xf numFmtId="3" fontId="36" fillId="28" borderId="92" xfId="0" applyNumberFormat="1" applyFont="1" applyFill="1" applyBorder="1" applyAlignment="1" applyProtection="1">
      <s:alignment horizontal="center" mc:Ignorable="vyd"/>
      <s:protection hidden="1"/>
    </s:xf>
    <s:xf numFmtId="3" fontId="36" fillId="28" borderId="93" xfId="0" applyNumberFormat="1" applyFont="1" applyFill="1" applyBorder="1" applyAlignment="1" applyProtection="1">
      <s:alignment horizontal="center" mc:Ignorable="vyd"/>
      <s:protection hidden="1"/>
    </s:xf>
    <s:xf numFmtId="3" fontId="36" fillId="0" borderId="93" xfId="0" applyNumberFormat="1" applyFont="1" applyBorder="1" applyAlignment="1" applyProtection="1">
      <s:alignment horizontal="center" mc:Ignorable="vyd"/>
      <s:protection hidden="1"/>
    </s:xf>
    <s:xf numFmtId="0" fontId="44" fillId="11" borderId="24" xfId="0" applyFont="1" applyFill="1" applyBorder="1"/>
    <s:xf numFmtId="3" fontId="49" fillId="23" borderId="24" xfId="0" applyNumberFormat="1" applyFont="1" applyFill="1" applyBorder="1" applyAlignment="1">
      <s:alignment horizontal="center" mc:Ignorable="vyd"/>
    </s:xf>
    <s:xf numFmtId="3" fontId="49" fillId="24" borderId="92" xfId="0" applyNumberFormat="1" applyFont="1" applyFill="1" applyBorder="1" applyAlignment="1">
      <s:alignment horizontal="center" mc:Ignorable="vyd"/>
    </s:xf>
    <s:xf numFmtId="3" fontId="49" fillId="24" borderId="93" xfId="0" applyNumberFormat="1" applyFont="1" applyFill="1" applyBorder="1" applyAlignment="1">
      <s:alignment horizontal="center" mc:Ignorable="vyd"/>
    </s:xf>
    <s:xf numFmtId="3" fontId="49" fillId="0" borderId="93" xfId="0" applyNumberFormat="1" applyFont="1" applyBorder="1" applyAlignment="1">
      <s:alignment horizontal="center" mc:Ignorable="vyd"/>
    </s:xf>
    <s:xf numFmtId="0" fontId="21" fillId="25" borderId="96" xfId="0" applyFont="1" applyFill="1" applyBorder="1" applyProtection="1">
      <s:protection locked="0"/>
    </s:xf>
    <s:xf numFmtId="0" fontId="44" fillId="0" borderId="24" xfId="0" applyFont="1" applyBorder="1" applyProtection="1">
      <s:protection locked="0"/>
    </s:xf>
    <s:xf numFmtId="3" fontId="36" fillId="27" borderId="23" xfId="0" applyNumberFormat="1" applyFont="1" applyFill="1" applyBorder="1" applyAlignment="1" applyProtection="1">
      <s:alignment horizontal="center" mc:Ignorable="vyd"/>
      <s:protection hidden="1"/>
    </s:xf>
    <s:xf numFmtId="3" fontId="36" fillId="0" borderId="95" xfId="0" applyNumberFormat="1" applyFont="1" applyBorder="1" applyAlignment="1" applyProtection="1">
      <s:alignment horizontal="center" mc:Ignorable="vyd"/>
      <s:protection hidden="1"/>
    </s:xf>
    <s:xf numFmtId="0" fontId="44" fillId="0" borderId="97" xfId="0" applyFont="1" applyBorder="1" applyProtection="1">
      <s:protection locked="0"/>
    </s:xf>
    <s:xf numFmtId="3" fontId="21" fillId="16" borderId="98" xfId="0" applyNumberFormat="1" applyFont="1" applyFill="1" applyBorder="1" applyAlignment="1">
      <s:alignment horizontal="center" mc:Ignorable="vyd"/>
    </s:xf>
    <s:xf numFmtId="3" fontId="21" fillId="23" borderId="82" xfId="0" applyNumberFormat="1" applyFont="1" applyFill="1" applyBorder="1" applyAlignment="1">
      <s:alignment horizontal="center" mc:Ignorable="vyd"/>
    </s:xf>
    <s:xf numFmtId="3" fontId="21" fillId="23" borderId="99" xfId="0" applyNumberFormat="1" applyFont="1" applyFill="1" applyBorder="1" applyAlignment="1">
      <s:alignment horizontal="center" mc:Ignorable="vyd"/>
    </s:xf>
    <s:xf numFmtId="3" fontId="21" fillId="23" borderId="13" xfId="0" applyNumberFormat="1" applyFont="1" applyFill="1" applyBorder="1" applyAlignment="1">
      <s:alignment horizontal="center" mc:Ignorable="vyd"/>
    </s:xf>
    <s:xf numFmtId="0" fontId="44" fillId="29" borderId="24" xfId="0" applyFont="1" applyFill="1" applyBorder="1"/>
    <s:xf numFmtId="0" fontId="44" fillId="30" borderId="24" xfId="0" applyFont="1" applyFill="1" applyBorder="1"/>
    <s:xf numFmtId="0" fontId="49" fillId="29" borderId="24" xfId="0" applyFont="1" applyFill="1" applyBorder="1"/>
    <s:xf numFmtId="4" fontId="42" fillId="4" borderId="24" xfId="0" applyNumberFormat="1" applyFont="1" applyFill="1" applyBorder="1" applyAlignment="1">
      <s:alignment horizontal="center" vertical="top" mc:Ignorable="vyd"/>
    </s:xf>
    <s:xf numFmtId="0" fontId="42" fillId="4" borderId="25" xfId="0" applyFont="1" applyFill="1" applyBorder="1" applyAlignment="1">
      <s:alignment horizontal="left" vertical="top" mc:Ignorable="vyd"/>
    </s:xf>
    <s:xf numFmtId="0" fontId="42" fillId="4" borderId="23" xfId="0" applyFont="1" applyFill="1" applyBorder="1" applyAlignment="1">
      <s:alignment horizontal="left" vertical="top" mc:Ignorable="vyd"/>
    </s:xf>
    <s:xf numFmtId="0" fontId="17" fillId="0" borderId="100" xfId="0" applyFont="1" applyBorder="1" applyAlignment="1">
      <s:alignment horizontal="center" vertical="center" mc:Ignorable="vyd"/>
    </s:xf>
    <s:xf numFmtId="0" fontId="0" fillId="0" borderId="3" xfId="0" applyBorder="1"/>
    <s:xf numFmtId="0" fontId="21" fillId="31" borderId="30" xfId="0" applyFont="1" applyFill="1" applyBorder="1" applyAlignment="1">
      <s:alignment horizontal="center" vertical="center" mc:Ignorable="vyd"/>
    </s:xf>
    <s:xf numFmtId="0" fontId="16" fillId="0" borderId="7" xfId="0" applyFont="1" applyBorder="1" applyAlignment="1">
      <s:alignment horizontal="center" vertical="center" mc:Ignorable="vyd"/>
    </s:xf>
    <s:xf numFmtId="0" fontId="16" fillId="0" borderId="21" xfId="0" applyFont="1" applyBorder="1" applyAlignment="1">
      <s:alignment horizontal="center" vertical="center" mc:Ignorable="vyd"/>
    </s:xf>
    <s:xf numFmtId="0" fontId="0" fillId="0" borderId="67" xfId="0" applyBorder="1"/>
    <s:xf numFmtId="0" fontId="36" fillId="14" borderId="24" xfId="0" applyFont="1" applyFill="1" applyBorder="1" applyAlignment="1">
      <s:alignment horizontal="center" vertical="center" wrapText="1" mc:Ignorable="vyd"/>
    </s:xf>
    <s:xf numFmtId="0" fontId="36" fillId="14" borderId="25" xfId="0" applyFont="1" applyFill="1" applyBorder="1" applyAlignment="1">
      <s:alignment horizontal="center" vertical="center" wrapText="1" mc:Ignorable="vyd"/>
    </s:xf>
    <s:xf numFmtId="0" fontId="36" fillId="14" borderId="101" xfId="0" applyFont="1" applyFill="1" applyBorder="1" applyAlignment="1">
      <s:alignment horizontal="center" vertical="center" wrapText="1" mc:Ignorable="vyd"/>
    </s:xf>
    <s:xf numFmtId="0" fontId="36" fillId="14" borderId="102" xfId="0" applyFont="1" applyFill="1" applyBorder="1" applyAlignment="1">
      <s:alignment horizontal="center" vertical="center" wrapText="1" mc:Ignorable="vyd"/>
    </s:xf>
    <s:xf numFmtId="170" fontId="21" fillId="15" borderId="24" xfId="0" applyNumberFormat="1" applyFont="1" applyFill="1" applyBorder="1" applyAlignment="1">
      <s:alignment horizontal="right" vertical="top" wrapText="1" indent="1" mc:Ignorable="vyd"/>
    </s:xf>
    <s:xf numFmtId="170" fontId="21" fillId="15" borderId="25" xfId="0" applyNumberFormat="1" applyFont="1" applyFill="1" applyBorder="1" applyAlignment="1">
      <s:alignment horizontal="right" vertical="top" wrapText="1" mc:Ignorable="vyd"/>
    </s:xf>
    <s:xf numFmtId="170" fontId="21" fillId="15" borderId="59" xfId="0" applyNumberFormat="1" applyFont="1" applyFill="1" applyBorder="1" applyAlignment="1">
      <s:alignment horizontal="right" vertical="top" wrapText="1" indent="1" mc:Ignorable="vyd"/>
    </s:xf>
    <s:xf numFmtId="170" fontId="21" fillId="15" borderId="57" xfId="0" applyNumberFormat="1" applyFont="1" applyFill="1" applyBorder="1" applyAlignment="1">
      <s:alignment horizontal="right" vertical="top" wrapText="1" indent="1" mc:Ignorable="vyd"/>
    </s:xf>
    <s:xf numFmtId="170" fontId="21" fillId="15" borderId="62" xfId="0" applyNumberFormat="1" applyFont="1" applyFill="1" applyBorder="1" applyAlignment="1">
      <s:alignment horizontal="right" vertical="top" wrapText="1" indent="1" mc:Ignorable="vyd"/>
    </s:xf>
    <s:xf numFmtId="170" fontId="21" fillId="0" borderId="103" xfId="0" applyNumberFormat="1" applyFont="1" applyBorder="1" applyAlignment="1">
      <s:alignment horizontal="right" vertical="top" wrapText="1" indent="1" mc:Ignorable="vyd"/>
    </s:xf>
    <s:xf numFmtId="170" fontId="21" fillId="15" borderId="104" xfId="0" applyNumberFormat="1" applyFont="1" applyFill="1" applyBorder="1" applyAlignment="1">
      <s:alignment horizontal="right" vertical="top" wrapText="1" indent="1" mc:Ignorable="vyd"/>
    </s:xf>
    <s:xf numFmtId="0" fontId="42" fillId="4" borderId="105" xfId="0" applyFont="1" applyFill="1" applyBorder="1" applyAlignment="1">
      <s:alignment horizontal="left" vertical="top" mc:Ignorable="vyd"/>
    </s:xf>
    <s:xf numFmtId="0" fontId="17" fillId="4" borderId="0" xfId="0" applyFont="1" applyFill="1" applyAlignment="1">
      <s:alignment horizontal="left" mc:Ignorable="vyd"/>
    </s:xf>
    <s:xf numFmtId="0" fontId="16" fillId="4" borderId="0" xfId="0" applyFont="1" applyFill="1" applyAlignment="1">
      <s:alignment horizontal="left" wrapText="1" mc:Ignorable="vyd"/>
    </s:xf>
    <s:xf numFmtId="0" fontId="37" fillId="0" borderId="0" xfId="0" applyFont="1"/>
    <s:xf numFmtId="4" fontId="52" fillId="32" borderId="0" xfId="0" applyNumberFormat="1" applyFont="1" applyFill="1" applyAlignment="1">
      <s:alignment horizontal="left" vertical="center" wrapText="1" mc:Ignorable="vyd"/>
    </s:xf>
    <s:xf numFmtId="0" fontId="42" fillId="4" borderId="105" xfId="0" applyFont="1" applyFill="1" applyBorder="1" applyAlignment="1">
      <s:alignment horizontal="center" vertical="center" wrapText="1" mc:Ignorable="vyd"/>
    </s:xf>
    <s:xf numFmtId="4" fontId="43" fillId="4" borderId="24" xfId="0" applyNumberFormat="1" applyFont="1" applyFill="1" applyBorder="1" applyAlignment="1">
      <s:alignment horizontal="right" vertical="top" indent="1" mc:Ignorable="vyd"/>
    </s:xf>
    <s:xf numFmtId="10" fontId="42" fillId="33" borderId="24" xfId="0" applyNumberFormat="1" applyFont="1" applyFill="1" applyBorder="1" applyAlignment="1">
      <s:alignment horizontal="center" vertical="top" mc:Ignorable="vyd"/>
    </s:xf>
    <s:xf numFmtId="0" fontId="42" fillId="4" borderId="24" xfId="0" applyFont="1" applyFill="1" applyBorder="1" applyAlignment="1">
      <s:alignment horizontal="left" vertical="center" wrapText="1" mc:Ignorable="vyd"/>
    </s:xf>
    <s:xf numFmtId="10" fontId="42" fillId="33" borderId="24" xfId="0" applyNumberFormat="1" applyFont="1" applyFill="1" applyBorder="1" applyAlignment="1">
      <s:alignment horizontal="center" vertical="top" wrapText="1" mc:Ignorable="vyd"/>
    </s:xf>
    <s:xf numFmtId="0" fontId="16" fillId="4" borderId="105" xfId="0" applyFont="1" applyFill="1" applyBorder="1" applyAlignment="1">
      <s:alignment horizontal="left" mc:Ignorable="vyd"/>
    </s:xf>
    <s:xf numFmtId="0" fontId="43" fillId="4" borderId="0" xfId="0" applyFont="1" applyFill="1" applyAlignment="1">
      <s:alignment horizontal="left" mc:Ignorable="vyd"/>
    </s:xf>
    <s:xf numFmtId="2" fontId="53" fillId="32" borderId="0" xfId="0" applyNumberFormat="1" applyFont="1" applyFill="1" applyAlignment="1">
      <s:alignment horizontal="left" mc:Ignorable="vyd"/>
    </s:xf>
    <s:xf numFmtId="0" fontId="42" fillId="4" borderId="0" xfId="0" applyFont="1" applyFill="1" applyAlignment="1">
      <s:alignment horizontal="center" wrapText="1" mc:Ignorable="vyd"/>
    </s:xf>
    <s:xf numFmtId="0" fontId="42" fillId="4" borderId="0" xfId="0" applyFont="1" applyFill="1" applyAlignment="1">
      <s:alignment horizontal="left" mc:Ignorable="vyd"/>
    </s:xf>
    <s:xf numFmtId="4" fontId="52" fillId="32" borderId="0" xfId="0" applyNumberFormat="1" applyFont="1" applyFill="1" applyAlignment="1">
      <s:alignment horizontal="left" mc:Ignorable="vyd"/>
    </s:xf>
    <s:xf numFmtId="0" fontId="16" fillId="4" borderId="105" xfId="0" applyFont="1" applyFill="1" applyBorder="1" applyAlignment="1">
      <s:alignment horizontal="center" vertical="center" wrapText="1" mc:Ignorable="vyd"/>
    </s:xf>
    <s:xf numFmtId="0" fontId="42" fillId="4" borderId="25" xfId="0" applyFont="1" applyFill="1" applyBorder="1" applyAlignment="1">
      <s:alignment horizontal="center" vertical="center" wrapText="1" mc:Ignorable="vyd"/>
    </s:xf>
    <s:xf numFmtId="0" fontId="42" fillId="4" borderId="23" xfId="0" applyFont="1" applyFill="1" applyBorder="1" applyAlignment="1">
      <s:alignment horizontal="center" vertical="center" wrapText="1" mc:Ignorable="vyd"/>
    </s:xf>
    <s:xf numFmtId="4" fontId="42" fillId="4" borderId="65" xfId="0" applyNumberFormat="1" applyFont="1" applyFill="1" applyBorder="1" applyAlignment="1">
      <s:alignment horizontal="left" vertical="top" mc:Ignorable="vyd"/>
    </s:xf>
    <s:xf numFmtId="0" fontId="3" fillId="0" borderId="105" xfId="0" applyFont="1" applyBorder="1"/>
    <s:xf numFmtId="4" fontId="3" fillId="0" borderId="24" xfId="0" applyNumberFormat="1" applyFont="1" applyBorder="1"/>
    <s:xf numFmtId="0" fontId="42" fillId="4" borderId="0" xfId="0" applyFont="1" applyFill="1" applyAlignment="1">
      <s:alignment horizontal="center" vertical="top" wrapText="1" mc:Ignorable="vyd"/>
    </s:xf>
    <s:xf numFmtId="0" fontId="43" fillId="4" borderId="106" xfId="0" applyFont="1" applyFill="1" applyBorder="1" applyAlignment="1">
      <s:alignment horizontal="left" vertical="top" mc:Ignorable="vyd"/>
    </s:xf>
    <s:xf numFmtId="0" fontId="42" fillId="4" borderId="106" xfId="0" applyFont="1" applyFill="1" applyBorder="1" applyAlignment="1">
      <s:alignment horizontal="left" vertical="top" mc:Ignorable="vyd"/>
    </s:xf>
    <s:xf numFmtId="4" fontId="52" fillId="32" borderId="106" xfId="0" applyNumberFormat="1" applyFont="1" applyFill="1" applyBorder="1" applyAlignment="1">
      <s:alignment horizontal="left" vertical="top" mc:Ignorable="vyd"/>
    </s:xf>
    <s:xf numFmtId="4" fontId="16" fillId="4" borderId="24" xfId="0" applyNumberFormat="1" applyFont="1" applyFill="1" applyBorder="1" applyAlignment="1">
      <s:alignment vertical="top" mc:Ignorable="vyd"/>
    </s:xf>
    <s:xf numFmtId="2" fontId="23" fillId="4" borderId="24" xfId="0" applyNumberFormat="1" applyFont="1" applyFill="1" applyBorder="1" applyAlignment="1">
      <s:alignment horizontal="right" vertical="top" indent="1" mc:Ignorable="vyd"/>
    </s:xf>
    <s:xf numFmtId="3" fontId="42" fillId="4" borderId="0" xfId="0" applyNumberFormat="1" applyFont="1" applyFill="1" applyAlignment="1">
      <s:alignment horizontal="left" vertical="top" mc:Ignorable="vyd"/>
    </s:xf>
    <s:xf numFmtId="171" fontId="42" fillId="4" borderId="0" xfId="0" applyNumberFormat="1" applyFont="1" applyFill="1" applyAlignment="1">
      <s:alignment vertical="top" mc:Ignorable="vyd"/>
    </s:xf>
    <s:xf numFmtId="4" fontId="16" fillId="4" borderId="0" xfId="0" applyNumberFormat="1" applyFont="1" applyFill="1" applyAlignment="1">
      <s:alignment vertical="top" mc:Ignorable="vyd"/>
    </s:xf>
    <s:xf numFmtId="10" fontId="42" fillId="4" borderId="0" xfId="0" applyNumberFormat="1" applyFont="1" applyFill="1" applyAlignment="1">
      <s:alignment horizontal="center" vertical="top" mc:Ignorable="vyd"/>
    </s:xf>
    <s:xf numFmtId="2" fontId="23" fillId="4" borderId="0" xfId="0" applyNumberFormat="1" applyFont="1" applyFill="1" applyAlignment="1">
      <s:alignment horizontal="right" vertical="top" indent="1" mc:Ignorable="vyd"/>
    </s:xf>
    <s:xf numFmtId="0" fontId="42" fillId="4" borderId="7" xfId="0" applyFont="1" applyFill="1" applyBorder="1" applyAlignment="1">
      <s:alignment horizontal="center" vertical="center" wrapText="1" mc:Ignorable="vyd"/>
    </s:xf>
    <s:xf numFmtId="0" fontId="0" fillId="0" borderId="8" xfId="0" applyBorder="1"/>
    <s:xf numFmtId="10" fontId="16" fillId="0" borderId="31" xfId="0" applyNumberFormat="1" applyFont="1" applyBorder="1" applyAlignment="1">
      <s:alignment horizontal="center" vertical="top" mc:Ignorable="vyd"/>
    </s:xf>
    <s:xf numFmtId="0" fontId="16" fillId="0" borderId="19" xfId="0" applyFont="1" applyBorder="1" applyAlignment="1">
      <s:alignment horizontal="center" vertical="top" mc:Ignorable="vyd"/>
    </s:xf>
    <s:xf numFmtId="4" fontId="16" fillId="0" borderId="19" xfId="0" applyNumberFormat="1" applyFont="1" applyBorder="1" applyAlignment="1">
      <s:alignment horizontal="center" vertical="top" mc:Ignorable="vyd"/>
    </s:xf>
    <s:xf numFmtId="3" fontId="16" fillId="0" borderId="30" xfId="0" applyNumberFormat="1" applyFont="1" applyBorder="1" applyAlignment="1">
      <s:alignment horizontal="center" vertical="top" mc:Ignorable="vyd"/>
    </s:xf>
    <s:xf numFmtId="10" fontId="3" fillId="0" borderId="24" xfId="0" applyNumberFormat="1" applyFont="1" applyBorder="1" applyAlignment="1">
      <s:alignment horizontal="center" vertical="center" mc:Ignorable="vyd"/>
    </s:xf>
    <s:xf numFmtId="0" fontId="10" fillId="2" borderId="0" xfId="0" applyFont="1" applyFill="1" applyAlignment="1">
      <s:alignment vertical="top" mc:Ignorable="vyd"/>
    </s:xf>
    <s:xf numFmtId="3" fontId="16" fillId="0" borderId="31" xfId="0" applyNumberFormat="1" applyFont="1" applyBorder="1" applyAlignment="1">
      <s:alignment horizontal="center" vertical="center" mc:Ignorable="vyd"/>
    </s:xf>
    <s:xf numFmtId="4" fontId="37" fillId="0" borderId="24" xfId="0" applyNumberFormat="1" applyFont="1" applyBorder="1"/>
    <s:xf numFmtId="0" fontId="17" fillId="2" borderId="14" xfId="0" applyFont="1" applyFill="1" applyBorder="1" applyAlignment="1">
      <s:alignment horizontal="center" vertical="center" wrapText="1" mc:Ignorable="vyd"/>
    </s:xf>
    <s:xf numFmtId="10" fontId="20" fillId="0" borderId="34" xfId="0" applyNumberFormat="1" applyFont="1" applyBorder="1" applyAlignment="1">
      <s:alignment horizontal="center" vertical="center" mc:Ignorable="vyd"/>
    </s:xf>
    <s:xf numFmtId="0" fontId="49" fillId="29" borderId="93" xfId="0" applyFont="1" applyFill="1" applyBorder="1" applyProtection="1">
      <s:protection locked="0"/>
    </s:xf>
    <s:xf numFmtId="0" fontId="54" fillId="30" borderId="24" xfId="0" applyFont="1" applyFill="1" applyBorder="1"/>
    <s:xf numFmtId="0" fontId="49" fillId="30" borderId="93" xfId="0" applyFont="1" applyFill="1" applyBorder="1" applyProtection="1">
      <s:protection locked="0"/>
    </s:xf>
    <s:xf numFmtId="3" fontId="16" fillId="34" borderId="24" xfId="0" applyNumberFormat="1" applyFont="1" applyFill="1" applyBorder="1" applyAlignment="1">
      <s:alignment horizontal="center" vertical="top" mc:Ignorable="vyd"/>
    </s:xf>
    <s:xf numFmtId="3" fontId="28" fillId="34" borderId="24" xfId="0" applyNumberFormat="1" applyFont="1" applyFill="1" applyBorder="1" applyAlignment="1">
      <s:alignment horizontal="center" mc:Ignorable="vyd"/>
    </s:xf>
    <s:xf numFmtId="3" fontId="16" fillId="34" borderId="24" xfId="0" applyNumberFormat="1" applyFont="1" applyFill="1" applyBorder="1" applyAlignment="1">
      <s:alignment horizontal="center" mc:Ignorable="vyd"/>
    </s:xf>
    <s:xf numFmtId="2" fontId="16" fillId="34" borderId="24" xfId="0" applyNumberFormat="1" applyFont="1" applyFill="1" applyBorder="1" applyAlignment="1">
      <s:alignment horizontal="right" mc:Ignorable="vyd"/>
    </s:xf>
    <s:xf numFmtId="0" fontId="0" fillId="34" borderId="0" xfId="0" applyFill="1"/>
    <s:xf numFmtId="0" fontId="2" fillId="34" borderId="0" xfId="0" applyFont="1" applyFill="1"/>
    <s:xf numFmtId="0" fontId="29" fillId="34" borderId="0" xfId="0" applyFont="1" applyFill="1"/>
    <s:xf numFmtId="3" fontId="30" fillId="34" borderId="24" xfId="0" applyNumberFormat="1" applyFont="1" applyFill="1" applyBorder="1" applyAlignment="1">
      <s:alignment horizontal="center" vertical="top" mc:Ignorable="vyd"/>
    </s:xf>
    <s:xf numFmtId="2" fontId="2" fillId="34" borderId="0" xfId="0" applyNumberFormat="1" applyFont="1" applyFill="1"/>
    <s:xf numFmtId="165" fontId="2" fillId="34" borderId="0" xfId="0" applyNumberFormat="1" applyFont="1" applyFill="1"/>
    <s:xf numFmtId="168" fontId="2" fillId="34" borderId="0" xfId="0" applyNumberFormat="1" applyFont="1" applyFill="1"/>
    <s:xf numFmtId="3" fontId="21" fillId="23" borderId="12" xfId="0" applyNumberFormat="1" applyFont="1" applyFill="1" applyBorder="1" applyAlignment="1">
      <s:alignment horizontal="center" mc:Ignorable="vyd"/>
    </s:xf>
    <s:xf numFmtId="3" fontId="21" fillId="23" borderId="111" xfId="0" applyNumberFormat="1" applyFont="1" applyFill="1" applyBorder="1" applyAlignment="1">
      <s:alignment horizontal="center" mc:Ignorable="vyd"/>
    </s:xf>
    <s:xf numFmtId="3" fontId="21" fillId="23" borderId="112" xfId="0" applyNumberFormat="1" applyFont="1" applyFill="1" applyBorder="1" applyAlignment="1">
      <s:alignment horizontal="center" mc:Ignorable="vyd"/>
    </s:xf>
    <s:xf numFmtId="3" fontId="21" fillId="23" borderId="113" xfId="0" applyNumberFormat="1" applyFont="1" applyFill="1" applyBorder="1" applyAlignment="1">
      <s:alignment horizontal="center" mc:Ignorable="vyd"/>
    </s:xf>
    <s:xf numFmtId="172" fontId="56" fillId="17" borderId="69" xfId="0" applyNumberFormat="1" applyFont="1" applyFill="1" applyBorder="1" applyAlignment="1" applyProtection="1">
      <s:alignment horizontal="left" mc:Ignorable="vyd"/>
      <s:protection locked="0"/>
    </s:xf>
    <s:xf numFmtId="0" fontId="57" fillId="17" borderId="71" xfId="0" applyFont="1" applyFill="1" applyBorder="1" applyProtection="1">
      <s:protection locked="0"/>
    </s:xf>
    <s:xf numFmtId="0" fontId="57" fillId="19" borderId="72" xfId="0" applyFont="1" applyFill="1" applyBorder="1"/>
    <s:xf numFmtId="0" fontId="57" fillId="19" borderId="73" xfId="0" applyFont="1" applyFill="1" applyBorder="1"/>
    <s:xf numFmtId="10" fontId="35" fillId="0" borderId="50" xfId="0" applyNumberFormat="1" applyFont="1" applyBorder="1" applyAlignment="1">
      <s:alignment horizontal="center" vertical="center" mc:Ignorable="vyd"/>
    </s:xf>
    <s:xf numFmtId="10" fontId="35" fillId="0" borderId="116" xfId="1" applyNumberFormat="1" applyFont="1" applyBorder="1" applyAlignment="1" applyProtection="1">
      <s:alignment horizontal="center" vertical="center" mc:Ignorable="vyd"/>
    </s:xf>
    <s:xf numFmtId="10" fontId="20" fillId="0" borderId="37" xfId="0" applyNumberFormat="1" applyFont="1" applyBorder="1" applyAlignment="1">
      <s:alignment horizontal="center" vertical="center" mc:Ignorable="vyd"/>
    </s:xf>
    <s:xf numFmtId="10" fontId="35" fillId="0" borderId="36" xfId="0" applyNumberFormat="1" applyFont="1" applyBorder="1" applyAlignment="1">
      <s:alignment horizontal="center" vertical="center" mc:Ignorable="vyd"/>
    </s:xf>
    <s:xf numFmtId="0" fontId="16" fillId="0" borderId="15" xfId="0" applyFont="1" applyBorder="1" applyAlignment="1">
      <s:alignment vertical="center" mc:Ignorable="vyd"/>
    </s:xf>
    <s:xf numFmtId="0" fontId="16" fillId="0" borderId="16" xfId="0" applyFont="1" applyBorder="1" applyAlignment="1">
      <s:alignment vertical="center" mc:Ignorable="vyd"/>
    </s:xf>
    <s:xf numFmtId="0" fontId="16" fillId="0" borderId="17" xfId="0" applyFont="1" applyBorder="1" applyAlignment="1">
      <s:alignment vertical="center" mc:Ignorable="vyd"/>
    </s:xf>
    <s:xf numFmtId="10" fontId="35" fillId="0" borderId="37" xfId="0" applyNumberFormat="1" applyFont="1" applyBorder="1" applyAlignment="1">
      <s:alignment horizontal="center" vertical="center" mc:Ignorable="vyd"/>
    </s:xf>
    <s:xf numFmtId="167" fontId="24" fillId="0" borderId="24" xfId="0" applyNumberFormat="1" applyFont="1" applyBorder="1" applyAlignment="1">
      <s:alignment horizontal="center" vertical="center" mc:Ignorable="vyd"/>
    </s:xf>
    <s:xf numFmtId="10" fontId="20" fillId="0" borderId="55" xfId="0" applyNumberFormat="1" applyFont="1" applyBorder="1" applyAlignment="1">
      <s:alignment horizontal="center" vertical="center" mc:Ignorable="vyd"/>
    </s:xf>
    <s:xf numFmtId="10" fontId="20" fillId="0" borderId="25" xfId="0" applyNumberFormat="1" applyFont="1" applyBorder="1" applyAlignment="1">
      <s:alignment horizontal="center" vertical="center" mc:Ignorable="vyd"/>
    </s:xf>
    <s:xf numFmtId="10" fontId="20" fillId="0" borderId="27" xfId="0" applyNumberFormat="1" applyFont="1" applyBorder="1" applyAlignment="1">
      <s:alignment horizontal="center" vertical="center" mc:Ignorable="vyd"/>
    </s:xf>
    <s:xf numFmtId="0" fontId="19" fillId="0" borderId="6" xfId="0" applyFont="1" applyBorder="1" applyAlignment="1">
      <s:alignment vertical="center" mc:Ignorable="vyd"/>
    </s:xf>
    <s:xf numFmtId="0" fontId="19" fillId="0" borderId="7" xfId="0" applyFont="1" applyBorder="1" applyAlignment="1">
      <s:alignment vertical="center" mc:Ignorable="vyd"/>
    </s:xf>
    <s:xf numFmtId="0" fontId="19" fillId="0" borderId="8" xfId="0" applyFont="1" applyBorder="1" applyAlignment="1">
      <s:alignment vertical="center" mc:Ignorable="vyd"/>
    </s:xf>
    <s:xf numFmtId="10" fontId="35" fillId="0" borderId="34" xfId="0" applyNumberFormat="1" applyFont="1" applyBorder="1" applyAlignment="1">
      <s:alignment horizontal="center" vertical="center" mc:Ignorable="vyd"/>
    </s:xf>
    <s:xf numFmtId="10" fontId="35" fillId="0" borderId="34" xfId="1" applyNumberFormat="1" applyFont="1" applyBorder="1" applyAlignment="1" applyProtection="1">
      <s:alignment horizontal="center" vertical="center" mc:Ignorable="vyd"/>
    </s:xf>
    <s:xf numFmtId="10" fontId="35" fillId="0" borderId="30" xfId="1" applyNumberFormat="1" applyFont="1" applyBorder="1" applyAlignment="1" applyProtection="1">
      <s:alignment horizontal="center" vertical="center" mc:Ignorable="vyd"/>
    </s:xf>
    <s:xf numFmtId="3" fontId="17" fillId="35" borderId="35" xfId="0" applyNumberFormat="1" applyFont="1" applyFill="1" applyBorder="1" applyAlignment="1">
      <s:alignment horizontal="center" vertical="center" mc:Ignorable="vyd"/>
    </s:xf>
    <s:xf numFmtId="3" fontId="17" fillId="35" borderId="52" xfId="0" applyNumberFormat="1" applyFont="1" applyFill="1" applyBorder="1" applyAlignment="1">
      <s:alignment horizontal="center" vertical="center" mc:Ignorable="vyd"/>
    </s:xf>
    <s:xf numFmtId="0" fontId="17" fillId="35" borderId="52" xfId="0" applyFont="1" applyFill="1" applyBorder="1" applyAlignment="1">
      <s:alignment horizontal="center" vertical="center" wrapText="1" mc:Ignorable="vyd"/>
    </s:xf>
    <s:xf numFmtId="0" fontId="17" fillId="35" borderId="37" xfId="0" applyFont="1" applyFill="1" applyBorder="1" applyAlignment="1">
      <s:alignment horizontal="center" vertical="center" wrapText="1" mc:Ignorable="vyd"/>
    </s:xf>
    <s:xf numFmtId="3" fontId="16" fillId="0" borderId="26" xfId="0" applyNumberFormat="1" applyFont="1" applyBorder="1" applyAlignment="1">
      <s:alignment horizontal="center" vertical="center" mc:Ignorable="vyd"/>
    </s:xf>
    <s:xf numFmtId="0" fontId="3" fillId="0" borderId="0" xfId="0" applyFont="1" applyAlignment="1">
      <s:alignment horizontal="center" mc:Ignorable="vyd"/>
    </s:xf>
    <s:xf numFmtId="0" fontId="21" fillId="16" borderId="80" xfId="0" applyFont="1" applyFill="1" applyBorder="1" applyAlignment="1">
      <s:alignment horizontal="center" mc:Ignorable="vyd"/>
    </s:xf>
    <s:xf numFmtId="0" fontId="36" fillId="16" borderId="76" xfId="0" applyFont="1" applyFill="1" applyBorder="1" applyAlignment="1">
      <s:alignment horizontal="center" mc:Ignorable="vyd"/>
    </s:xf>
    <s:xf numFmtId="0" fontId="36" fillId="16" borderId="81" xfId="0" applyFont="1" applyFill="1" applyBorder="1" applyAlignment="1">
      <s:alignment horizontal="center" mc:Ignorable="vyd"/>
    </s:xf>
    <s:xf numFmtId="0" fontId="21" fillId="22" borderId="82" xfId="0" applyFont="1" applyFill="1" applyBorder="1" applyAlignment="1" applyProtection="1">
      <s:alignment horizontal="center" wrapText="1" mc:Ignorable="vyd"/>
      <s:protection locked="0"/>
    </s:xf>
    <s:xf numFmtId="0" fontId="36" fillId="23" borderId="83" xfId="0" applyFont="1" applyFill="1" applyBorder="1" applyAlignment="1">
      <s:alignment horizontal="center" mc:Ignorable="vyd"/>
    </s:xf>
    <s:xf numFmtId="0" fontId="17" fillId="9" borderId="18" xfId="0" applyFont="1" applyFill="1" applyBorder="1" applyAlignment="1">
      <s:alignment horizontal="center" vertical="center" wrapText="1" mc:Ignorable="vyd"/>
    </s:xf>
    <s:xf numFmtId="0" fontId="17" fillId="9" borderId="42" xfId="0" applyFont="1" applyFill="1" applyBorder="1" applyAlignment="1">
      <s:alignment horizontal="center" vertical="center" wrapText="1" mc:Ignorable="vyd"/>
    </s:xf>
    <s:xf numFmtId="0" fontId="17" fillId="9" borderId="43" xfId="0" applyFont="1" applyFill="1" applyBorder="1" applyAlignment="1">
      <s:alignment horizontal="center" vertical="center" wrapText="1" mc:Ignorable="vyd"/>
    </s:xf>
    <s:xf numFmtId="3" fontId="16" fillId="0" borderId="56" xfId="0" applyNumberFormat="1" applyFont="1" applyBorder="1" applyAlignment="1">
      <s:alignment horizontal="center" vertical="top" mc:Ignorable="vyd"/>
    </s:xf>
    <s:xf numFmtId="3" fontId="16" fillId="0" borderId="26" xfId="0" applyNumberFormat="1" applyFont="1" applyBorder="1" applyAlignment="1">
      <s:alignment horizontal="center" vertical="top" mc:Ignorable="vyd"/>
    </s:xf>
    <s:xf numFmtId="3" fontId="16" fillId="34" borderId="56" xfId="0" applyNumberFormat="1" applyFont="1" applyFill="1" applyBorder="1" applyAlignment="1">
      <s:alignment horizontal="center" vertical="top" mc:Ignorable="vyd"/>
    </s:xf>
    <s:xf numFmtId="3" fontId="16" fillId="34" borderId="26" xfId="0" applyNumberFormat="1" applyFont="1" applyFill="1" applyBorder="1" applyAlignment="1">
      <s:alignment horizontal="center" vertical="top" mc:Ignorable="vyd"/>
    </s:xf>
    <s:xf numFmtId="0" fontId="17" fillId="8" borderId="42" xfId="0" applyFont="1" applyFill="1" applyBorder="1" applyAlignment="1">
      <s:alignment horizontal="center" vertical="center" wrapText="1" mc:Ignorable="vyd"/>
    </s:xf>
    <s:xf numFmtId="0" fontId="17" fillId="8" borderId="43" xfId="0" applyFont="1" applyFill="1" applyBorder="1" applyAlignment="1">
      <s:alignment horizontal="center" vertical="center" wrapText="1" mc:Ignorable="vyd"/>
    </s:xf>
    <s:xf numFmtId="4" fontId="16" fillId="0" borderId="26" xfId="0" applyNumberFormat="1" applyFont="1" applyBorder="1" applyAlignment="1">
      <s:alignment horizontal="center" vertical="top" mc:Ignorable="vyd"/>
    </s:xf>
    <s:xf numFmtId="3" fontId="16" fillId="34" borderId="0" xfId="0" applyNumberFormat="1" applyFont="1" applyFill="1" applyAlignment="1">
      <s:alignment horizontal="center" vertical="top" mc:Ignorable="vyd"/>
    </s:xf>
    <s:xf numFmtId="4" fontId="16" fillId="34" borderId="26" xfId="0" applyNumberFormat="1" applyFont="1" applyFill="1" applyBorder="1" applyAlignment="1">
      <s:alignment horizontal="center" vertical="top" mc:Ignorable="vyd"/>
    </s:xf>
    <s:xf numFmtId="0" fontId="17" fillId="9" borderId="41" xfId="0" applyFont="1" applyFill="1" applyBorder="1" applyAlignment="1">
      <s:alignment horizontal="center" vertical="center" wrapText="1" mc:Ignorable="vyd"/>
    </s:xf>
    <s:xf numFmtId="10" fontId="16" fillId="0" borderId="15" xfId="0" applyNumberFormat="1" applyFont="1" applyBorder="1" applyAlignment="1">
      <s:alignment horizontal="center" vertical="top" mc:Ignorable="vyd"/>
    </s:xf>
    <s:xf numFmtId="10" fontId="16" fillId="34" borderId="15" xfId="0" applyNumberFormat="1" applyFont="1" applyFill="1" applyBorder="1" applyAlignment="1">
      <s:alignment horizontal="center" vertical="top" mc:Ignorable="vyd"/>
    </s:xf>
    <s:xf numFmtId="9" fontId="3" fillId="0" borderId="15" xfId="0" applyNumberFormat="1" applyFont="1" applyBorder="1" applyAlignment="1">
      <s:alignment horizontal="center" vertical="center" mc:Ignorable="vyd"/>
    </s:xf>
    <s:xf numFmtId="9" fontId="3" fillId="34" borderId="15" xfId="0" applyNumberFormat="1" applyFont="1" applyFill="1" applyBorder="1" applyAlignment="1">
      <s:alignment horizontal="center" vertical="center" mc:Ignorable="vyd"/>
    </s:xf>
    <s:xf numFmtId="3" fontId="28" fillId="0" borderId="56" xfId="0" applyNumberFormat="1" applyFont="1" applyBorder="1" applyAlignment="1">
      <s:alignment horizontal="center" mc:Ignorable="vyd"/>
    </s:xf>
    <s:xf numFmtId="2" fontId="16" fillId="0" borderId="26" xfId="0" applyNumberFormat="1" applyFont="1" applyBorder="1" applyAlignment="1">
      <s:alignment horizontal="right" mc:Ignorable="vyd"/>
    </s:xf>
    <s:xf numFmtId="3" fontId="28" fillId="34" borderId="56" xfId="0" applyNumberFormat="1" applyFont="1" applyFill="1" applyBorder="1" applyAlignment="1">
      <s:alignment horizontal="center" mc:Ignorable="vyd"/>
    </s:xf>
    <s:xf numFmtId="2" fontId="16" fillId="34" borderId="26" xfId="0" applyNumberFormat="1" applyFont="1" applyFill="1" applyBorder="1" applyAlignment="1">
      <s:alignment horizontal="right" mc:Ignorable="vyd"/>
    </s:xf>
    <s:xf numFmtId="4" fontId="16" fillId="0" borderId="22" xfId="0" applyNumberFormat="1" applyFont="1" applyBorder="1" applyAlignment="1">
      <s:alignment horizontal="center" vertical="top" mc:Ignorable="vyd"/>
    </s:xf>
    <s:xf numFmtId="3" fontId="16" fillId="0" borderId="117" xfId="0" applyNumberFormat="1" applyFont="1" applyBorder="1" applyAlignment="1">
      <s:alignment horizontal="center" vertical="top" mc:Ignorable="vyd"/>
    </s:xf>
    <s:xf numFmtId="3" fontId="16" fillId="0" borderId="22" xfId="0" applyNumberFormat="1" applyFont="1" applyBorder="1" applyAlignment="1">
      <s:alignment horizontal="center" vertical="top" mc:Ignorable="vyd"/>
    </s:xf>
    <s:xf numFmtId="10" fontId="16" fillId="0" borderId="47" xfId="0" applyNumberFormat="1" applyFont="1" applyBorder="1" applyAlignment="1">
      <s:alignment horizontal="center" vertical="top" mc:Ignorable="vyd"/>
    </s:xf>
    <s:xf numFmtId="0" fontId="16" fillId="8" borderId="34" xfId="0" applyFont="1" applyFill="1" applyBorder="1" applyAlignment="1">
      <s:alignment horizontal="center" vertical="top" wrapText="1" mc:Ignorable="vyd"/>
    </s:xf>
    <s:xf numFmtId="0" fontId="16" fillId="8" borderId="37" xfId="0" applyFont="1" applyFill="1" applyBorder="1" applyAlignment="1">
      <s:alignment horizontal="center" vertical="top" wrapText="1" mc:Ignorable="vyd"/>
    </s:xf>
    <s:xf numFmtId="0" fontId="16" fillId="8" borderId="116" xfId="0" applyFont="1" applyFill="1" applyBorder="1" applyAlignment="1">
      <s:alignment horizontal="center" vertical="top" wrapText="1" mc:Ignorable="vyd"/>
    </s:xf>
    <s:xf numFmtId="0" fontId="16" fillId="8" borderId="32" xfId="0" applyFont="1" applyFill="1" applyBorder="1" applyAlignment="1">
      <s:alignment horizontal="center" vertical="top" wrapText="1" mc:Ignorable="vyd"/>
    </s:xf>
    <s:xf numFmtId="3" fontId="28" fillId="0" borderId="117" xfId="0" applyNumberFormat="1" applyFont="1" applyBorder="1" applyAlignment="1">
      <s:alignment horizontal="center" mc:Ignorable="vyd"/>
    </s:xf>
    <s:xf numFmtId="3" fontId="16" fillId="0" borderId="19" xfId="0" applyNumberFormat="1" applyFont="1" applyBorder="1" applyAlignment="1">
      <s:alignment horizontal="center" mc:Ignorable="vyd"/>
    </s:xf>
    <s:xf numFmtId="3" fontId="28" fillId="0" borderId="19" xfId="0" applyNumberFormat="1" applyFont="1" applyBorder="1" applyAlignment="1">
      <s:alignment horizontal="center" mc:Ignorable="vyd"/>
    </s:xf>
    <s:xf numFmtId="2" fontId="16" fillId="0" borderId="19" xfId="0" applyNumberFormat="1" applyFont="1" applyBorder="1" applyAlignment="1">
      <s:alignment horizontal="right" mc:Ignorable="vyd"/>
    </s:xf>
    <s:xf numFmtId="2" fontId="16" fillId="0" borderId="22" xfId="0" applyNumberFormat="1" applyFont="1" applyBorder="1" applyAlignment="1">
      <s:alignment horizontal="right" mc:Ignorable="vyd"/>
    </s:xf>
    <s:xf numFmtId="0" fontId="17" fillId="8" borderId="18" xfId="0" applyFont="1" applyFill="1" applyBorder="1" applyAlignment="1">
      <s:alignment horizontal="center" vertical="center" wrapText="1" mc:Ignorable="vyd"/>
    </s:xf>
    <s:xf numFmtId="0" fontId="17" fillId="8" borderId="2" xfId="0" applyFont="1" applyFill="1" applyBorder="1" applyAlignment="1">
      <s:alignment horizontal="center" vertical="center" wrapText="1" mc:Ignorable="vyd"/>
    </s:xf>
    <s:xf numFmtId="0" fontId="26" fillId="8" borderId="42" xfId="0" applyFont="1" applyFill="1" applyBorder="1" applyAlignment="1">
      <s:alignment horizontal="center" vertical="center" wrapText="1" mc:Ignorable="vyd"/>
    </s:xf>
    <s:xf numFmtId="0" fontId="26" fillId="8" borderId="43" xfId="0" applyFont="1" applyFill="1" applyBorder="1" applyAlignment="1">
      <s:alignment horizontal="center" vertical="center" wrapText="1" mc:Ignorable="vyd"/>
    </s:xf>
    <s:xf numFmtId="0" fontId="17" fillId="8" borderId="116" xfId="0" applyFont="1" applyFill="1" applyBorder="1" applyAlignment="1">
      <s:alignment horizontal="center" vertical="top" wrapText="1" mc:Ignorable="vyd"/>
    </s:xf>
    <s:xf numFmtId="0" fontId="17" fillId="8" borderId="34" xfId="0" applyFont="1" applyFill="1" applyBorder="1" applyAlignment="1">
      <s:alignment horizontal="center" vertical="top" wrapText="1" mc:Ignorable="vyd"/>
    </s:xf>
    <s:xf numFmtId="0" fontId="17" fillId="8" borderId="37" xfId="0" applyFont="1" applyFill="1" applyBorder="1" applyAlignment="1">
      <s:alignment horizontal="center" vertical="top" wrapText="1" mc:Ignorable="vyd"/>
    </s:xf>
    <s:xf numFmtId="0" fontId="17" fillId="8" borderId="54" xfId="0" applyFont="1" applyFill="1" applyBorder="1" applyAlignment="1">
      <s:alignment horizontal="center" vertical="center" wrapText="1" mc:Ignorable="vyd"/>
    </s:xf>
    <s:xf numFmtId="0" fontId="16" fillId="8" borderId="33" xfId="0" applyFont="1" applyFill="1" applyBorder="1" applyAlignment="1">
      <s:alignment horizontal="center" vertical="top" wrapText="1" mc:Ignorable="vyd"/>
    </s:xf>
    <s:xf numFmtId="0" fontId="27" fillId="0" borderId="47" xfId="0" applyFont="1" applyBorder="1" applyAlignment="1">
      <s:alignment horizontal="center" vertical="center" mc:Ignorable="vyd"/>
    </s:xf>
    <s:xf numFmtId="0" fontId="27" fillId="0" borderId="15" xfId="0" applyFont="1" applyBorder="1" applyAlignment="1">
      <s:alignment horizontal="center" vertical="center" mc:Ignorable="vyd"/>
    </s:xf>
    <s:xf numFmtId="0" fontId="27" fillId="34" borderId="15" xfId="0" applyFont="1" applyFill="1" applyBorder="1" applyAlignment="1">
      <s:alignment horizontal="center" vertical="center" mc:Ignorable="vyd"/>
    </s:xf>
    <s:xf numFmtId="4" fontId="16" fillId="34" borderId="23" xfId="0" applyNumberFormat="1" applyFont="1" applyFill="1" applyBorder="1" applyAlignment="1">
      <s:alignment horizontal="center" vertical="top" mc:Ignorable="vyd"/>
    </s:xf>
    <s:xf numFmtId="16" fontId="16" fillId="0" borderId="117" xfId="0" applyNumberFormat="1" applyFont="1" applyBorder="1" applyAlignment="1">
      <s:alignment horizontal="center" vertical="top" mc:Ignorable="vyd"/>
    </s:xf>
    <s:xf numFmtId="0" fontId="16" fillId="0" borderId="22" xfId="0" applyFont="1" applyBorder="1" applyAlignment="1">
      <s:alignment horizontal="center" vertical="top" mc:Ignorable="vyd"/>
    </s:xf>
    <s:xf numFmtId="16" fontId="16" fillId="0" borderId="56" xfId="0" applyNumberFormat="1" applyFont="1" applyBorder="1" applyAlignment="1">
      <s:alignment horizontal="center" vertical="top" mc:Ignorable="vyd"/>
    </s:xf>
    <s:xf numFmtId="0" fontId="16" fillId="0" borderId="26" xfId="0" applyFont="1" applyBorder="1" applyAlignment="1">
      <s:alignment horizontal="center" vertical="top" mc:Ignorable="vyd"/>
    </s:xf>
    <s:xf numFmtId="16" fontId="16" fillId="34" borderId="56" xfId="0" applyNumberFormat="1" applyFont="1" applyFill="1" applyBorder="1" applyAlignment="1">
      <s:alignment horizontal="center" vertical="top" mc:Ignorable="vyd"/>
    </s:xf>
    <s:xf numFmtId="0" fontId="16" fillId="34" borderId="26" xfId="0" applyFont="1" applyFill="1" applyBorder="1" applyAlignment="1">
      <s:alignment horizontal="center" vertical="top" mc:Ignorable="vyd"/>
    </s:xf>
    <s:xf numFmtId="0" fontId="27" fillId="0" borderId="119" xfId="0" applyFont="1" applyBorder="1" applyAlignment="1">
      <s:alignment horizontal="center" vertical="center" mc:Ignorable="vyd"/>
    </s:xf>
    <s:xf numFmtId="16" fontId="16" fillId="0" borderId="123" xfId="0" applyNumberFormat="1" applyFont="1" applyBorder="1" applyAlignment="1">
      <s:alignment horizontal="center" vertical="top" mc:Ignorable="vyd"/>
    </s:xf>
    <s:xf numFmtId="0" fontId="16" fillId="0" borderId="52" xfId="0" applyFont="1" applyBorder="1" applyAlignment="1">
      <s:alignment horizontal="center" vertical="top" mc:Ignorable="vyd"/>
    </s:xf>
    <s:xf numFmtId="4" fontId="16" fillId="0" borderId="52" xfId="0" applyNumberFormat="1" applyFont="1" applyBorder="1" applyAlignment="1">
      <s:alignment horizontal="center" vertical="top" mc:Ignorable="vyd"/>
    </s:xf>
    <s:xf numFmtId="3" fontId="16" fillId="0" borderId="123" xfId="0" applyNumberFormat="1" applyFont="1" applyBorder="1" applyAlignment="1">
      <s:alignment horizontal="center" vertical="top" mc:Ignorable="vyd"/>
    </s:xf>
    <s:xf numFmtId="3" fontId="16" fillId="0" borderId="52" xfId="0" applyNumberFormat="1" applyFont="1" applyBorder="1" applyAlignment="1">
      <s:alignment horizontal="center" vertical="top" mc:Ignorable="vyd"/>
    </s:xf>
    <s:xf numFmtId="10" fontId="16" fillId="0" borderId="119" xfId="0" applyNumberFormat="1" applyFont="1" applyBorder="1" applyAlignment="1">
      <s:alignment horizontal="center" vertical="top" mc:Ignorable="vyd"/>
    </s:xf>
    <s:xf numFmtId="9" fontId="3" fillId="0" borderId="119" xfId="0" applyNumberFormat="1" applyFont="1" applyBorder="1" applyAlignment="1">
      <s:alignment horizontal="center" vertical="center" mc:Ignorable="vyd"/>
    </s:xf>
    <s:xf numFmtId="3" fontId="28" fillId="0" borderId="123" xfId="0" applyNumberFormat="1" applyFont="1" applyBorder="1" applyAlignment="1">
      <s:alignment horizontal="center" mc:Ignorable="vyd"/>
    </s:xf>
    <s:xf numFmtId="3" fontId="16" fillId="0" borderId="30" xfId="0" applyNumberFormat="1" applyFont="1" applyBorder="1" applyAlignment="1">
      <s:alignment horizontal="center" mc:Ignorable="vyd"/>
    </s:xf>
    <s:xf numFmtId="3" fontId="28" fillId="0" borderId="30" xfId="0" applyNumberFormat="1" applyFont="1" applyBorder="1" applyAlignment="1">
      <s:alignment horizontal="center" mc:Ignorable="vyd"/>
    </s:xf>
    <s:xf numFmtId="2" fontId="16" fillId="0" borderId="30" xfId="0" applyNumberFormat="1" applyFont="1" applyBorder="1" applyAlignment="1">
      <s:alignment horizontal="right" mc:Ignorable="vyd"/>
    </s:xf>
    <s:xf numFmtId="2" fontId="16" fillId="0" borderId="52" xfId="0" applyNumberFormat="1" applyFont="1" applyBorder="1" applyAlignment="1">
      <s:alignment horizontal="right" mc:Ignorable="vyd"/>
    </s:xf>
    <s:xf numFmtId="0" fontId="27" fillId="10" borderId="110" xfId="0" applyFont="1" applyFill="1" applyBorder="1" applyAlignment="1">
      <s:alignment horizontal="center" vertical="center" mc:Ignorable="vyd"/>
    </s:xf>
    <s:xf numFmtId="4" fontId="16" fillId="10" borderId="12" xfId="0" applyNumberFormat="1" applyFont="1" applyFill="1" applyBorder="1" applyAlignment="1">
      <s:alignment horizontal="center" vertical="top" mc:Ignorable="vyd"/>
    </s:xf>
    <s:xf numFmtId="3" fontId="16" fillId="10" borderId="13" xfId="0" applyNumberFormat="1" applyFont="1" applyFill="1" applyBorder="1" applyAlignment="1">
      <s:alignment horizontal="center" vertical="top" mc:Ignorable="vyd"/>
    </s:xf>
    <s:xf numFmtId="4" fontId="16" fillId="10" borderId="14" xfId="0" applyNumberFormat="1" applyFont="1" applyFill="1" applyBorder="1" applyAlignment="1">
      <s:alignment horizontal="center" vertical="top" mc:Ignorable="vyd"/>
    </s:xf>
    <s:xf numFmtId="3" fontId="16" fillId="10" borderId="124" xfId="0" applyNumberFormat="1" applyFont="1" applyFill="1" applyBorder="1" applyAlignment="1">
      <s:alignment horizontal="center" vertical="top" mc:Ignorable="vyd"/>
    </s:xf>
    <s:xf numFmtId="3" fontId="16" fillId="10" borderId="14" xfId="0" applyNumberFormat="1" applyFont="1" applyFill="1" applyBorder="1" applyAlignment="1">
      <s:alignment horizontal="center" vertical="top" mc:Ignorable="vyd"/>
    </s:xf>
    <s:xf numFmtId="165" fontId="16" fillId="10" borderId="110" xfId="0" applyNumberFormat="1" applyFont="1" applyFill="1" applyBorder="1" applyAlignment="1">
      <s:alignment horizontal="center" vertical="top" mc:Ignorable="vyd"/>
    </s:xf>
    <s:xf numFmtId="9" fontId="3" fillId="10" borderId="110" xfId="0" applyNumberFormat="1" applyFont="1" applyFill="1" applyBorder="1" applyAlignment="1">
      <s:alignment horizontal="center" vertical="center" mc:Ignorable="vyd"/>
    </s:xf>
    <s:xf numFmtId="3" fontId="16" fillId="10" borderId="124" xfId="0" applyNumberFormat="1" applyFont="1" applyFill="1" applyBorder="1" applyAlignment="1">
      <s:alignment horizontal="center" mc:Ignorable="vyd"/>
    </s:xf>
    <s:xf numFmtId="3" fontId="16" fillId="10" borderId="13" xfId="0" applyNumberFormat="1" applyFont="1" applyFill="1" applyBorder="1" applyAlignment="1">
      <s:alignment horizontal="center" mc:Ignorable="vyd"/>
    </s:xf>
    <s:xf numFmtId="3" fontId="16" fillId="10" borderId="13" xfId="0" applyNumberFormat="1" applyFont="1" applyFill="1" applyBorder="1" applyAlignment="1">
      <s:alignment horizontal="right" mc:Ignorable="vyd"/>
    </s:xf>
    <s:xf numFmtId="3" fontId="16" fillId="10" borderId="14" xfId="0" applyNumberFormat="1" applyFont="1" applyFill="1" applyBorder="1" applyAlignment="1">
      <s:alignment horizontal="right" mc:Ignorable="vyd"/>
    </s:xf>
    <s:xf numFmtId="4" fontId="16" fillId="0" borderId="28" xfId="0" applyNumberFormat="1" applyFont="1" applyBorder="1" applyAlignment="1">
      <s:alignment horizontal="center" vertical="top" mc:Ignorable="vyd"/>
    </s:xf>
    <s:xf numFmtId="3" fontId="17" fillId="2" borderId="124" xfId="0" applyNumberFormat="1" applyFont="1" applyFill="1" applyBorder="1" applyAlignment="1">
      <s:alignment horizontal="center" vertical="center" mc:Ignorable="vyd"/>
    </s:xf>
    <s:xf numFmtId="3" fontId="17" fillId="2" borderId="14" xfId="0" applyNumberFormat="1" applyFont="1" applyFill="1" applyBorder="1" applyAlignment="1">
      <s:alignment horizontal="center" vertical="center" wrapText="1" mc:Ignorable="vyd"/>
    </s:xf>
    <s:xf numFmtId="10" fontId="21" fillId="4" borderId="22" xfId="0" applyNumberFormat="1" applyFont="1" applyFill="1" applyBorder="1" applyAlignment="1">
      <s:alignment horizontal="center" vertical="center" mc:Ignorable="vyd"/>
    </s:xf>
    <s:xf numFmtId="3" fontId="20" fillId="4" borderId="56" xfId="0" applyNumberFormat="1" applyFont="1" applyFill="1" applyBorder="1" applyAlignment="1">
      <s:alignment horizontal="center" vertical="center" mc:Ignorable="vyd"/>
    </s:xf>
    <s:xf numFmtId="10" fontId="16" fillId="4" borderId="26" xfId="0" applyNumberFormat="1" applyFont="1" applyFill="1" applyBorder="1" applyAlignment="1">
      <s:alignment horizontal="center" vertical="center" mc:Ignorable="vyd"/>
    </s:xf>
    <s:xf numFmtId="10" fontId="19" fillId="4" borderId="26" xfId="0" applyNumberFormat="1" applyFont="1" applyFill="1" applyBorder="1" applyAlignment="1">
      <s:alignment horizontal="center" vertical="center" mc:Ignorable="vyd"/>
    </s:xf>
    <s:xf numFmtId="3" fontId="20" fillId="3" borderId="56" xfId="0" applyNumberFormat="1" applyFont="1" applyFill="1" applyBorder="1" applyAlignment="1">
      <s:alignment horizontal="center" vertical="center" mc:Ignorable="vyd"/>
    </s:xf>
    <s:xf numFmtId="4" fontId="20" fillId="3" borderId="56" xfId="0" applyNumberFormat="1" applyFont="1" applyFill="1" applyBorder="1" applyAlignment="1">
      <s:alignment horizontal="center" vertical="center" mc:Ignorable="vyd"/>
    </s:xf>
    <s:xf numFmtId="3" fontId="20" fillId="0" borderId="123" xfId="0" applyNumberFormat="1" applyFont="1" applyBorder="1" applyAlignment="1">
      <s:alignment horizontal="center" vertical="center" mc:Ignorable="vyd"/>
    </s:xf>
    <s:xf numFmtId="10" fontId="16" fillId="4" borderId="52" xfId="0" applyNumberFormat="1" applyFont="1" applyFill="1" applyBorder="1" applyAlignment="1">
      <s:alignment horizontal="center" vertical="center" mc:Ignorable="vyd"/>
    </s:xf>
    <s:xf numFmtId="3" fontId="20" fillId="3" borderId="123" xfId="0" applyNumberFormat="1" applyFont="1" applyFill="1" applyBorder="1" applyAlignment="1">
      <s:alignment horizontal="center" vertical="center" mc:Ignorable="vyd"/>
    </s:xf>
    <s:xf numFmtId="3" fontId="20" fillId="4" borderId="123" xfId="0" applyNumberFormat="1" applyFont="1" applyFill="1" applyBorder="1" applyAlignment="1">
      <s:alignment horizontal="center" vertical="center" mc:Ignorable="vyd"/>
    </s:xf>
    <s:xf numFmtId="165" fontId="16" fillId="4" borderId="52" xfId="0" applyNumberFormat="1" applyFont="1" applyFill="1" applyBorder="1" applyAlignment="1">
      <s:alignment horizontal="center" vertical="center" mc:Ignorable="vyd"/>
    </s:xf>
    <s:xf numFmtId="10" fontId="19" fillId="3" borderId="116" xfId="0" applyNumberFormat="1" applyFont="1" applyFill="1" applyBorder="1" applyAlignment="1">
      <s:alignment horizontal="center" vertical="center" mc:Ignorable="vyd"/>
    </s:xf>
    <s:xf numFmtId="10" fontId="19" fillId="6" borderId="37" xfId="1" applyNumberFormat="1" applyFont="1" applyFill="1" applyBorder="1" applyAlignment="1" applyProtection="1">
      <s:alignment horizontal="center" vertical="center" mc:Ignorable="vyd"/>
    </s:xf>
    <s:xf numFmtId="0" fontId="17" fillId="2" borderId="12" xfId="0" applyFont="1" applyFill="1" applyBorder="1" applyAlignment="1">
      <s:alignment horizontal="center" vertical="center" wrapText="1" mc:Ignorable="vyd"/>
    </s:xf>
    <s:xf numFmtId="0" fontId="18" fillId="2" borderId="124" xfId="0" applyFont="1" applyFill="1" applyBorder="1" applyAlignment="1">
      <s:alignment horizontal="center" vertical="center" wrapText="1" mc:Ignorable="vyd"/>
    </s:xf>
    <s:xf numFmtId="3" fontId="22" fillId="0" borderId="117" xfId="0" applyNumberFormat="1" applyFont="1" applyBorder="1" applyAlignment="1">
      <s:alignment horizontal="center" vertical="center" mc:Ignorable="vyd"/>
    </s:xf>
    <s:xf numFmtId="166" fontId="16" fillId="0" borderId="22" xfId="0" applyNumberFormat="1" applyFont="1" applyBorder="1" applyAlignment="1">
      <s:alignment horizontal="center" vertical="center" mc:Ignorable="vyd"/>
    </s:xf>
    <s:xf numFmtId="3" fontId="22" fillId="0" borderId="56" xfId="0" applyNumberFormat="1" applyFont="1" applyBorder="1" applyAlignment="1">
      <s:alignment horizontal="center" vertical="center" mc:Ignorable="vyd"/>
    </s:xf>
    <s:xf numFmtId="3" fontId="19" fillId="0" borderId="26" xfId="0" applyNumberFormat="1" applyFont="1" applyBorder="1" applyAlignment="1">
      <s:alignment horizontal="center" vertical="center" mc:Ignorable="vyd"/>
    </s:xf>
    <s:xf numFmtId="4" fontId="22" fillId="0" borderId="56" xfId="0" applyNumberFormat="1" applyFont="1" applyBorder="1" applyAlignment="1">
      <s:alignment horizontal="center" vertical="center" mc:Ignorable="vyd"/>
    </s:xf>
    <s:xf numFmtId="4" fontId="16" fillId="0" borderId="26" xfId="0" applyNumberFormat="1" applyFont="1" applyBorder="1" applyAlignment="1">
      <s:alignment horizontal="center" vertical="center" mc:Ignorable="vyd"/>
    </s:xf>
    <s:xf numFmtId="3" fontId="22" fillId="0" borderId="123" xfId="0" applyNumberFormat="1" applyFont="1" applyBorder="1" applyAlignment="1">
      <s:alignment horizontal="center" vertical="center" mc:Ignorable="vyd"/>
    </s:xf>
    <s:xf numFmtId="3" fontId="24" fillId="0" borderId="123" xfId="0" applyNumberFormat="1" applyFont="1" applyBorder="1" applyAlignment="1">
      <s:alignment horizontal="center" vertical="center" mc:Ignorable="vyd"/>
    </s:xf>
    <s:xf numFmtId="167" fontId="24" fillId="0" borderId="123" xfId="0" applyNumberFormat="1" applyFont="1" applyBorder="1" applyAlignment="1">
      <s:alignment horizontal="center" vertical="center" mc:Ignorable="vyd"/>
    </s:xf>
    <s:xf numFmtId="10" fontId="24" fillId="0" borderId="116" xfId="0" applyNumberFormat="1" applyFont="1" applyBorder="1" applyAlignment="1">
      <s:alignment horizontal="center" vertical="center" mc:Ignorable="vyd"/>
    </s:xf>
    <s:xf numFmtId="0" fontId="44" fillId="36" borderId="24" xfId="0" applyFont="1" applyFill="1" applyBorder="1"/>
    <s:xf numFmtId="0" fontId="49" fillId="37" borderId="24" xfId="0" applyFont="1" applyFill="1" applyBorder="1"/>
    <s:xf numFmtId="0" fontId="49" fillId="30" borderId="24" xfId="0" applyFont="1" applyFill="1" applyBorder="1"/>
    <s:xf numFmtId="0" fontId="44" fillId="37" borderId="24" xfId="0" applyFont="1" applyFill="1" applyBorder="1"/>
    <s:xf numFmtId="3" fontId="53" fillId="34" borderId="24" xfId="0" applyNumberFormat="1" applyFont="1" applyFill="1" applyBorder="1" applyAlignment="1">
      <s:alignment horizontal="center" vertical="top" mc:Ignorable="vyd"/>
    </s:xf>
    <s:xf numFmtId="3" fontId="53" fillId="0" borderId="24" xfId="0" applyNumberFormat="1" applyFont="1" applyBorder="1" applyAlignment="1">
      <s:alignment horizontal="center" vertical="top" mc:Ignorable="vyd"/>
    </s:xf>
    <s:xf numFmtId="3" fontId="53" fillId="0" borderId="19" xfId="0" applyNumberFormat="1" applyFont="1" applyBorder="1" applyAlignment="1">
      <s:alignment horizontal="center" vertical="top" mc:Ignorable="vyd"/>
    </s:xf>
    <s:xf numFmtId="3" fontId="53" fillId="34" borderId="0" xfId="0" applyNumberFormat="1" applyFont="1" applyFill="1" applyAlignment="1">
      <s:alignment horizontal="center" vertical="top" mc:Ignorable="vyd"/>
    </s:xf>
    <s:xf numFmtId="3" fontId="58" fillId="0" borderId="24" xfId="0" applyNumberFormat="1" applyFont="1" applyBorder="1" applyAlignment="1">
      <s:alignment horizontal="center" vertical="top" mc:Ignorable="vyd"/>
    </s:xf>
    <s:xf numFmtId="3" fontId="58" fillId="34" borderId="24" xfId="0" applyNumberFormat="1" applyFont="1" applyFill="1" applyBorder="1" applyAlignment="1">
      <s:alignment horizontal="center" vertical="top" mc:Ignorable="vyd"/>
    </s:xf>
    <s:xf numFmtId="4" fontId="53" fillId="0" borderId="29" xfId="0" applyNumberFormat="1" applyFont="1" applyBorder="1" applyAlignment="1">
      <s:alignment horizontal="center" vertical="top" mc:Ignorable="vyd"/>
    </s:xf>
    <s:xf numFmtId="4" fontId="53" fillId="0" borderId="23" xfId="0" applyNumberFormat="1" applyFont="1" applyBorder="1" applyAlignment="1">
      <s:alignment horizontal="center" vertical="top" mc:Ignorable="vyd"/>
    </s:xf>
    <s:xf numFmtId="4" fontId="53" fillId="34" borderId="23" xfId="0" applyNumberFormat="1" applyFont="1" applyFill="1" applyBorder="1" applyAlignment="1">
      <s:alignment horizontal="center" vertical="top" mc:Ignorable="vyd"/>
    </s:xf>
    <s:xf numFmtId="4" fontId="59" fillId="34" borderId="23" xfId="0" applyNumberFormat="1" applyFont="1" applyFill="1" applyBorder="1" applyAlignment="1">
      <s:alignment horizontal="center" vertical="top" mc:Ignorable="vyd"/>
    </s:xf>
    <s:xf numFmtId="164" fontId="5" fillId="2" borderId="0" xfId="0" applyNumberFormat="1" applyFont="1" applyFill="1" applyAlignment="1">
      <s:alignment horizontal="center" vertical="center" mc:Ignorable="vyd"/>
    </s:xf>
    <s:xf numFmtId="0" fontId="7" fillId="2" borderId="0" xfId="0" applyFont="1" applyFill="1" applyAlignment="1">
      <s:alignment horizontal="center" mc:Ignorable="vyd"/>
    </s:xf>
    <s:xf numFmtId="0" fontId="8" fillId="2" borderId="0" xfId="0" applyFont="1" applyFill="1" applyAlignment="1">
      <s:alignment horizontal="center" vertical="top" mc:Ignorable="vyd"/>
    </s:xf>
    <s:xf numFmtId="0" fontId="9" fillId="2" borderId="0" xfId="0" applyFont="1" applyFill="1" applyAlignment="1">
      <s:alignment horizontal="left" vertical="top" mc:Ignorable="vyd"/>
    </s:xf>
    <s:xf numFmtId="3" fontId="11" fillId="2" borderId="1" xfId="0" applyNumberFormat="1" applyFont="1" applyFill="1" applyBorder="1" applyAlignment="1">
      <s:alignment horizontal="center" mc:Ignorable="vyd"/>
    </s:xf>
    <s:xf numFmtId="3" fontId="11" fillId="2" borderId="4" xfId="0" applyNumberFormat="1" applyFont="1" applyFill="1" applyBorder="1" applyAlignment="1">
      <s:alignment horizontal="center" mc:Ignorable="vyd"/>
    </s:xf>
    <s:xf numFmtId="0" fontId="12" fillId="3" borderId="38" xfId="0" applyFont="1" applyFill="1" applyBorder="1" applyAlignment="1">
      <s:alignment horizontal="center" vertical="center" wrapText="1" mc:Ignorable="vyd"/>
    </s:xf>
    <s:xf numFmtId="0" fontId="12" fillId="3" borderId="2" xfId="0" applyFont="1" applyFill="1" applyBorder="1" applyAlignment="1">
      <s:alignment horizontal="center" vertical="center" wrapText="1" mc:Ignorable="vyd"/>
    </s:xf>
    <s:xf numFmtId="0" fontId="12" fillId="3" borderId="3" xfId="0" applyFont="1" applyFill="1" applyBorder="1" applyAlignment="1">
      <s:alignment horizontal="center" vertical="center" wrapText="1" mc:Ignorable="vyd"/>
    </s:xf>
    <s:xf numFmtId="0" fontId="12" fillId="3" borderId="6" xfId="0" applyFont="1" applyFill="1" applyBorder="1" applyAlignment="1">
      <s:alignment horizontal="center" vertical="center" wrapText="1" mc:Ignorable="vyd"/>
    </s:xf>
    <s:xf numFmtId="0" fontId="12" fillId="3" borderId="7" xfId="0" applyFont="1" applyFill="1" applyBorder="1" applyAlignment="1">
      <s:alignment horizontal="center" vertical="center" wrapText="1" mc:Ignorable="vyd"/>
    </s:xf>
    <s:xf numFmtId="0" fontId="12" fillId="3" borderId="8" xfId="0" applyFont="1" applyFill="1" applyBorder="1" applyAlignment="1">
      <s:alignment horizontal="center" vertical="center" wrapText="1" mc:Ignorable="vyd"/>
    </s:xf>
    <s:xf numFmtId="0" fontId="6" fillId="2" borderId="0" xfId="0" applyFont="1" applyFill="1" applyAlignment="1">
      <s:alignment horizontal="center" vertical="top" mc:Ignorable="vyd"/>
    </s:xf>
    <s:xf numFmtId="0" fontId="15" fillId="2" borderId="9" xfId="0" applyFont="1" applyFill="1" applyBorder="1" applyAlignment="1">
      <s:alignment horizontal="center" vertical="center" mc:Ignorable="vyd"/>
    </s:xf>
    <s:xf numFmtId="0" fontId="15" fillId="2" borderId="10" xfId="0" applyFont="1" applyFill="1" applyBorder="1" applyAlignment="1">
      <s:alignment horizontal="center" vertical="center" mc:Ignorable="vyd"/>
    </s:xf>
    <s:xf numFmtId="0" fontId="15" fillId="2" borderId="4" xfId="0" applyFont="1" applyFill="1" applyBorder="1" applyAlignment="1">
      <s:alignment horizontal="center" vertical="center" mc:Ignorable="vyd"/>
    </s:xf>
    <s:xf numFmtId="0" fontId="17" fillId="2" borderId="11" xfId="0" applyFont="1" applyFill="1" applyBorder="1" applyAlignment="1">
      <s:alignment horizontal="left" vertical="center" wrapText="1" mc:Ignorable="vyd"/>
    </s:xf>
    <s:xf numFmtId="0" fontId="17" fillId="2" borderId="2" xfId="0" applyFont="1" applyFill="1" applyBorder="1" applyAlignment="1">
      <s:alignment horizontal="left" vertical="center" wrapText="1" mc:Ignorable="vyd"/>
    </s:xf>
    <s:xf numFmtId="0" fontId="17" fillId="2" borderId="3" xfId="0" applyFont="1" applyFill="1" applyBorder="1" applyAlignment="1">
      <s:alignment horizontal="left" vertical="center" wrapText="1" mc:Ignorable="vyd"/>
    </s:xf>
    <s:xf numFmtId="0" fontId="17" fillId="2" borderId="14" xfId="0" applyFont="1" applyFill="1" applyBorder="1" applyAlignment="1">
      <s:alignment horizontal="center" vertical="center" wrapText="1" mc:Ignorable="vyd"/>
    </s:xf>
    <s:xf numFmtId="0" fontId="17" fillId="2" borderId="4" xfId="0" applyFont="1" applyFill="1" applyBorder="1" applyAlignment="1">
      <s:alignment horizontal="center" vertical="center" wrapText="1" mc:Ignorable="vyd"/>
    </s:xf>
    <s:xf numFmtId="0" fontId="19" fillId="0" borderId="15" xfId="0" applyFont="1" applyBorder="1" applyAlignment="1">
      <s:alignment horizontal="left" vertical="center" mc:Ignorable="vyd"/>
    </s:xf>
    <s:xf numFmtId="0" fontId="19" fillId="0" borderId="16" xfId="0" applyFont="1" applyBorder="1" applyAlignment="1">
      <s:alignment horizontal="left" vertical="center" mc:Ignorable="vyd"/>
    </s:xf>
    <s:xf numFmtId="0" fontId="19" fillId="0" borderId="17" xfId="0" applyFont="1" applyBorder="1" applyAlignment="1">
      <s:alignment horizontal="left" vertical="center" mc:Ignorable="vyd"/>
    </s:xf>
    <s:xf numFmtId="0" fontId="16" fillId="0" borderId="15" xfId="0" applyFont="1" applyBorder="1" applyAlignment="1">
      <s:alignment horizontal="left" vertical="center" mc:Ignorable="vyd"/>
    </s:xf>
    <s:xf numFmtId="0" fontId="16" fillId="0" borderId="16" xfId="0" applyFont="1" applyBorder="1" applyAlignment="1">
      <s:alignment horizontal="left" vertical="center" mc:Ignorable="vyd"/>
    </s:xf>
    <s:xf numFmtId="0" fontId="16" fillId="0" borderId="17" xfId="0" applyFont="1" applyBorder="1" applyAlignment="1">
      <s:alignment horizontal="left" vertical="center" mc:Ignorable="vyd"/>
    </s:xf>
    <s:xf numFmtId="0" fontId="15" fillId="8" borderId="121" xfId="0" applyFont="1" applyFill="1" applyBorder="1" applyAlignment="1">
      <s:alignment horizontal="center" vertical="center" mc:Ignorable="vyd"/>
    </s:xf>
    <s:xf numFmtId="0" fontId="15" fillId="8" borderId="108" xfId="0" applyFont="1" applyFill="1" applyBorder="1" applyAlignment="1">
      <s:alignment horizontal="center" vertical="center" mc:Ignorable="vyd"/>
    </s:xf>
    <s:xf numFmtId="0" fontId="15" fillId="8" borderId="109" xfId="0" applyFont="1" applyFill="1" applyBorder="1" applyAlignment="1">
      <s:alignment horizontal="center" vertical="center" mc:Ignorable="vyd"/>
    </s:xf>
    <s:xf numFmtId="0" fontId="17" fillId="8" borderId="11" xfId="0" applyFont="1" applyFill="1" applyBorder="1" applyAlignment="1">
      <s:alignment horizontal="center" vertical="center" wrapText="1" mc:Ignorable="vyd"/>
    </s:xf>
    <s:xf numFmtId="0" fontId="17" fillId="8" borderId="122" xfId="0" applyFont="1" applyFill="1" applyBorder="1" applyAlignment="1">
      <s:alignment horizontal="center" vertical="center" wrapText="1" mc:Ignorable="vyd"/>
    </s:xf>
    <s:xf numFmtId="0" fontId="17" fillId="8" borderId="47" xfId="0" applyFont="1" applyFill="1" applyBorder="1" applyAlignment="1">
      <s:alignment horizontal="center" vertical="center" wrapText="1" mc:Ignorable="vyd"/>
    </s:xf>
    <s:xf numFmtId="0" fontId="17" fillId="10" borderId="124" xfId="0" applyFont="1" applyFill="1" applyBorder="1" applyAlignment="1">
      <s:alignment horizontal="center" vertical="top" mc:Ignorable="vyd"/>
    </s:xf>
    <s:xf numFmtId="0" fontId="17" fillId="10" borderId="14" xfId="0" applyFont="1" applyFill="1" applyBorder="1" applyAlignment="1">
      <s:alignment horizontal="center" vertical="top" mc:Ignorable="vyd"/>
    </s:xf>
    <s:xf numFmtId="0" fontId="2" fillId="0" borderId="0" xfId="0" applyFont="1"/>
    <s:xf numFmtId="0" fontId="16" fillId="0" borderId="56" xfId="0" applyFont="1" applyBorder="1" applyAlignment="1">
      <s:alignment horizontal="left" vertical="center" mc:Ignorable="vyd"/>
    </s:xf>
    <s:xf numFmtId="0" fontId="16" fillId="0" borderId="24" xfId="0" applyFont="1" applyBorder="1" applyAlignment="1">
      <s:alignment horizontal="left" vertical="center" mc:Ignorable="vyd"/>
    </s:xf>
    <s:xf numFmtId="0" fontId="16" fillId="0" borderId="26" xfId="0" applyFont="1" applyBorder="1" applyAlignment="1">
      <s:alignment horizontal="left" vertical="center" mc:Ignorable="vyd"/>
    </s:xf>
    <s:xf numFmtId="0" fontId="25" fillId="8" borderId="41" xfId="0" applyFont="1" applyFill="1" applyBorder="1" applyAlignment="1">
      <s:alignment horizontal="center" vertical="center" mc:Ignorable="vyd"/>
    </s:xf>
    <s:xf numFmtId="0" fontId="25" fillId="8" borderId="32" xfId="0" applyFont="1" applyFill="1" applyBorder="1" applyAlignment="1">
      <s:alignment horizontal="center" vertical="center" mc:Ignorable="vyd"/>
    </s:xf>
    <s:xf numFmtId="0" fontId="16" fillId="0" borderId="51" xfId="0" applyFont="1" applyBorder="1" applyAlignment="1">
      <s:alignment horizontal="left" vertical="center" mc:Ignorable="vyd"/>
    </s:xf>
    <s:xf numFmtId="0" fontId="16" fillId="0" borderId="31" xfId="0" applyFont="1" applyBorder="1" applyAlignment="1">
      <s:alignment horizontal="left" vertical="center" mc:Ignorable="vyd"/>
    </s:xf>
    <s:xf numFmtId="0" fontId="16" fillId="0" borderId="120" xfId="0" applyFont="1" applyBorder="1" applyAlignment="1">
      <s:alignment horizontal="left" vertical="center" mc:Ignorable="vyd"/>
    </s:xf>
    <s:xf numFmtId="0" fontId="16" fillId="0" borderId="110" xfId="0" applyFont="1" applyBorder="1" applyAlignment="1">
      <s:alignment horizontal="left" vertical="center" mc:Ignorable="vyd"/>
    </s:xf>
    <s:xf numFmtId="0" fontId="19" fillId="0" borderId="53" xfId="0" applyFont="1" applyBorder="1" applyAlignment="1">
      <s:alignment horizontal="left" vertical="center" mc:Ignorable="vyd"/>
    </s:xf>
    <s:xf numFmtId="0" fontId="16" fillId="0" borderId="53" xfId="0" applyFont="1" applyBorder="1" applyAlignment="1">
      <s:alignment horizontal="left" vertical="center" mc:Ignorable="vyd"/>
    </s:xf>
    <s:xf numFmtId="0" fontId="17" fillId="35" borderId="38" xfId="0" applyFont="1" applyFill="1" applyBorder="1" applyAlignment="1">
      <s:alignment horizontal="center" vertical="center" wrapText="1" mc:Ignorable="vyd"/>
    </s:xf>
    <s:xf numFmtId="0" fontId="17" fillId="35" borderId="2" xfId="0" applyFont="1" applyFill="1" applyBorder="1" applyAlignment="1">
      <s:alignment horizontal="center" vertical="center" wrapText="1" mc:Ignorable="vyd"/>
    </s:xf>
    <s:xf numFmtId="0" fontId="17" fillId="35" borderId="49" xfId="0" applyFont="1" applyFill="1" applyBorder="1" applyAlignment="1">
      <s:alignment horizontal="center" vertical="center" wrapText="1" mc:Ignorable="vyd"/>
    </s:xf>
    <s:xf numFmtId="0" fontId="17" fillId="35" borderId="21" xfId="0" applyFont="1" applyFill="1" applyBorder="1" applyAlignment="1">
      <s:alignment horizontal="center" vertical="center" wrapText="1" mc:Ignorable="vyd"/>
    </s:xf>
    <s:xf numFmtId="0" fontId="15" fillId="35" borderId="107" xfId="0" applyFont="1" applyFill="1" applyBorder="1" applyAlignment="1">
      <s:alignment horizontal="center" vertical="center" mc:Ignorable="vyd"/>
    </s:xf>
    <s:xf numFmtId="0" fontId="15" fillId="35" borderId="108" xfId="0" applyFont="1" applyFill="1" applyBorder="1" applyAlignment="1">
      <s:alignment horizontal="center" vertical="center" mc:Ignorable="vyd"/>
    </s:xf>
    <s:xf numFmtId="0" fontId="15" fillId="35" borderId="109" xfId="0" applyFont="1" applyFill="1" applyBorder="1" applyAlignment="1">
      <s:alignment horizontal="center" vertical="center" mc:Ignorable="vyd"/>
    </s:xf>
    <s:xf numFmtId="3" fontId="17" fillId="35" borderId="38" xfId="0" applyNumberFormat="1" applyFont="1" applyFill="1" applyBorder="1" applyAlignment="1">
      <s:alignment horizontal="center" vertical="center" wrapText="1" mc:Ignorable="vyd"/>
    </s:xf>
    <s:xf numFmtId="3" fontId="17" fillId="35" borderId="2" xfId="0" applyNumberFormat="1" applyFont="1" applyFill="1" applyBorder="1" applyAlignment="1">
      <s:alignment horizontal="center" vertical="center" wrapText="1" mc:Ignorable="vyd"/>
    </s:xf>
    <s:xf numFmtId="3" fontId="17" fillId="35" borderId="3" xfId="0" applyNumberFormat="1" applyFont="1" applyFill="1" applyBorder="1" applyAlignment="1">
      <s:alignment horizontal="center" vertical="center" wrapText="1" mc:Ignorable="vyd"/>
    </s:xf>
    <s:xf numFmtId="3" fontId="17" fillId="35" borderId="18" xfId="0" applyNumberFormat="1" applyFont="1" applyFill="1" applyBorder="1" applyAlignment="1">
      <s:alignment horizontal="center" vertical="center" wrapText="1" mc:Ignorable="vyd"/>
    </s:xf>
    <s:xf numFmtId="3" fontId="17" fillId="35" borderId="48" xfId="0" applyNumberFormat="1" applyFont="1" applyFill="1" applyBorder="1" applyAlignment="1">
      <s:alignment horizontal="center" vertical="center" wrapText="1" mc:Ignorable="vyd"/>
    </s:xf>
    <s:xf numFmtId="3" fontId="17" fillId="35" borderId="43" xfId="0" applyNumberFormat="1" applyFont="1" applyFill="1" applyBorder="1" applyAlignment="1">
      <s:alignment horizontal="center" vertical="center" wrapText="1" mc:Ignorable="vyd"/>
    </s:xf>
    <s:xf numFmtId="3" fontId="17" fillId="35" borderId="50" xfId="0" applyNumberFormat="1" applyFont="1" applyFill="1" applyBorder="1" applyAlignment="1">
      <s:alignment horizontal="center" vertical="center" mc:Ignorable="vyd"/>
    </s:xf>
    <s:xf numFmtId="3" fontId="17" fillId="35" borderId="33" xfId="0" applyNumberFormat="1" applyFont="1" applyFill="1" applyBorder="1" applyAlignment="1">
      <s:alignment horizontal="center" vertical="center" mc:Ignorable="vyd"/>
    </s:xf>
    <s:xf numFmtId="3" fontId="17" fillId="35" borderId="51" xfId="0" applyNumberFormat="1" applyFont="1" applyFill="1" applyBorder="1" applyAlignment="1">
      <s:alignment horizontal="center" vertical="center" wrapText="1" mc:Ignorable="vyd"/>
    </s:xf>
    <s:xf numFmtId="3" fontId="17" fillId="35" borderId="28" xfId="0" applyNumberFormat="1" applyFont="1" applyFill="1" applyBorder="1" applyAlignment="1">
      <s:alignment horizontal="center" vertical="center" wrapText="1" mc:Ignorable="vyd"/>
    </s:xf>
    <s:xf numFmtId="3" fontId="17" fillId="35" borderId="50" xfId="0" applyNumberFormat="1" applyFont="1" applyFill="1" applyBorder="1" applyAlignment="1">
      <s:alignment horizontal="center" vertical="center" wrapText="1" mc:Ignorable="vyd"/>
    </s:xf>
    <s:xf numFmtId="3" fontId="17" fillId="35" borderId="33" xfId="0" applyNumberFormat="1" applyFont="1" applyFill="1" applyBorder="1" applyAlignment="1">
      <s:alignment horizontal="center" vertical="center" wrapText="1" mc:Ignorable="vyd"/>
    </s:xf>
    <s:xf numFmtId="5" fontId="35" fillId="0" borderId="107" xfId="0" applyNumberFormat="1" applyFont="1" applyBorder="1" applyAlignment="1">
      <s:alignment horizontal="center" vertical="center" mc:Ignorable="vyd"/>
    </s:xf>
    <s:xf numFmtId="5" fontId="35" fillId="0" borderId="108" xfId="0" applyNumberFormat="1" applyFont="1" applyBorder="1" applyAlignment="1">
      <s:alignment horizontal="center" vertical="center" mc:Ignorable="vyd"/>
    </s:xf>
    <s:xf numFmtId="5" fontId="35" fillId="0" borderId="109" xfId="0" applyNumberFormat="1" applyFont="1" applyBorder="1" applyAlignment="1">
      <s:alignment horizontal="center" vertical="center" mc:Ignorable="vyd"/>
    </s:xf>
    <s:xf numFmtId="166" fontId="35" fillId="0" borderId="59" xfId="1" applyNumberFormat="1" applyFont="1" applyBorder="1" applyAlignment="1" applyProtection="1">
      <s:alignment horizontal="center" vertical="center" mc:Ignorable="vyd"/>
    </s:xf>
    <s:xf numFmtId="166" fontId="35" fillId="0" borderId="57" xfId="1" applyNumberFormat="1" applyFont="1" applyBorder="1" applyAlignment="1" applyProtection="1">
      <s:alignment horizontal="center" vertical="center" mc:Ignorable="vyd"/>
    </s:xf>
    <s:xf numFmtId="166" fontId="35" fillId="0" borderId="60" xfId="1" applyNumberFormat="1" applyFont="1" applyBorder="1" applyAlignment="1" applyProtection="1">
      <s:alignment horizontal="center" vertical="center" mc:Ignorable="vyd"/>
    </s:xf>
    <s:xf numFmtId="166" fontId="35" fillId="0" borderId="61" xfId="1" applyNumberFormat="1" applyFont="1" applyBorder="1" applyAlignment="1" applyProtection="1">
      <s:alignment horizontal="center" vertical="center" mc:Ignorable="vyd"/>
    </s:xf>
    <s:xf numFmtId="166" fontId="35" fillId="0" borderId="13" xfId="1" applyNumberFormat="1" applyFont="1" applyBorder="1" applyAlignment="1" applyProtection="1">
      <s:alignment horizontal="center" vertical="center" mc:Ignorable="vyd"/>
    </s:xf>
    <s:xf numFmtId="166" fontId="35" fillId="0" borderId="14" xfId="1" applyNumberFormat="1" applyFont="1" applyBorder="1" applyAlignment="1" applyProtection="1">
      <s:alignment horizontal="center" vertical="center" mc:Ignorable="vyd"/>
    </s:xf>
    <s:xf numFmtId="166" fontId="35" fillId="0" borderId="58" xfId="1" applyNumberFormat="1" applyFont="1" applyBorder="1" applyAlignment="1" applyProtection="1">
      <s:alignment horizontal="center" vertical="center" mc:Ignorable="vyd"/>
    </s:xf>
    <s:xf numFmtId="3" fontId="17" fillId="35" borderId="38" xfId="0" applyNumberFormat="1" applyFont="1" applyFill="1" applyBorder="1" applyAlignment="1">
      <s:alignment horizontal="center" vertical="center" mc:Ignorable="vyd"/>
    </s:xf>
    <s:xf numFmtId="3" fontId="17" fillId="35" borderId="2" xfId="0" applyNumberFormat="1" applyFont="1" applyFill="1" applyBorder="1" applyAlignment="1">
      <s:alignment horizontal="center" vertical="center" mc:Ignorable="vyd"/>
    </s:xf>
    <s:xf numFmtId="0" fontId="19" fillId="0" borderId="32" xfId="0" applyFont="1" applyBorder="1" applyAlignment="1">
      <s:alignment horizontal="left" vertical="center" mc:Ignorable="vyd"/>
    </s:xf>
    <s:xf numFmtId="0" fontId="15" fillId="13" borderId="24" xfId="0" applyFont="1" applyFill="1" applyBorder="1" applyAlignment="1">
      <s:alignment horizontal="center" vertical="center" mc:Ignorable="vyd"/>
    </s:xf>
    <s:xf numFmtId="0" fontId="39" fillId="2" borderId="0" xfId="0" applyFont="1" applyFill="1" applyAlignment="1">
      <s:alignment horizontal="center" mc:Ignorable="vyd"/>
    </s:xf>
    <s:xf numFmtId="0" fontId="40" fillId="2" borderId="0" xfId="0" applyFont="1" applyFill="1" applyAlignment="1">
      <s:alignment horizontal="center" vertical="top" mc:Ignorable="vyd"/>
    </s:xf>
    <s:xf numFmtId="0" fontId="12" fillId="3" borderId="24" xfId="0" applyFont="1" applyFill="1" applyBorder="1" applyAlignment="1">
      <s:alignment horizontal="center" vertical="center" wrapText="1" mc:Ignorable="vyd"/>
    </s:xf>
    <s:xf numFmtId="0" fontId="12" fillId="3" borderId="31" xfId="0" applyFont="1" applyFill="1" applyBorder="1" applyAlignment="1">
      <s:alignment horizontal="center" vertical="center" wrapText="1" mc:Ignorable="vyd"/>
    </s:xf>
    <s:xf numFmtId="0" fontId="12" fillId="3" borderId="28" xfId="0" applyFont="1" applyFill="1" applyBorder="1" applyAlignment="1">
      <s:alignment horizontal="center" vertical="center" wrapText="1" mc:Ignorable="vyd"/>
    </s:xf>
    <s:xf numFmtId="0" fontId="12" fillId="3" borderId="20" xfId="0" applyFont="1" applyFill="1" applyBorder="1" applyAlignment="1">
      <s:alignment horizontal="center" vertical="center" wrapText="1" mc:Ignorable="vyd"/>
    </s:xf>
    <s:xf numFmtId="0" fontId="12" fillId="3" borderId="21" xfId="0" applyFont="1" applyFill="1" applyBorder="1" applyAlignment="1">
      <s:alignment horizontal="center" vertical="center" wrapText="1" mc:Ignorable="vyd"/>
    </s:xf>
    <s:xf numFmtId="0" fontId="12" fillId="3" borderId="29" xfId="0" applyFont="1" applyFill="1" applyBorder="1" applyAlignment="1">
      <s:alignment horizontal="center" vertical="center" wrapText="1" mc:Ignorable="vyd"/>
    </s:xf>
    <s:xf numFmtId="3" fontId="11" fillId="2" borderId="63" xfId="0" applyNumberFormat="1" applyFont="1" applyFill="1" applyBorder="1" applyAlignment="1">
      <s:alignment horizontal="center" mc:Ignorable="vyd"/>
    </s:xf>
    <s:xf numFmtId="3" fontId="11" fillId="2" borderId="5" xfId="0" applyNumberFormat="1" applyFont="1" applyFill="1" applyBorder="1" applyAlignment="1">
      <s:alignment horizontal="center" mc:Ignorable="vyd"/>
    </s:xf>
    <s:xf numFmtId="0" fontId="10" fillId="2" borderId="21" xfId="0" applyFont="1" applyFill="1" applyBorder="1" applyAlignment="1">
      <s:alignment horizontal="center" vertical="top" mc:Ignorable="vyd"/>
    </s:xf>
    <s:xf numFmtId="0" fontId="17" fillId="10" borderId="24" xfId="0" applyFont="1" applyFill="1" applyBorder="1" applyAlignment="1">
      <s:alignment horizontal="center" vertical="top" mc:Ignorable="vyd"/>
    </s:xf>
    <s:xf numFmtId="0" fontId="17" fillId="13" borderId="24" xfId="0" applyFont="1" applyFill="1" applyBorder="1" applyAlignment="1">
      <s:alignment horizontal="center" vertical="center" wrapText="1" mc:Ignorable="vyd"/>
    </s:xf>
    <s:xf numFmtId="0" fontId="16" fillId="2" borderId="0" xfId="0" applyFont="1" applyFill="1" applyAlignment="1">
      <s:alignment horizontal="center" vertical="top" mc:Ignorable="vyd"/>
    </s:xf>
    <s:xf numFmtId="0" fontId="17" fillId="2" borderId="110" xfId="0" applyFont="1" applyFill="1" applyBorder="1" applyAlignment="1">
      <s:alignment horizontal="left" vertical="center" wrapText="1" mc:Ignorable="vyd"/>
    </s:xf>
    <s:xf numFmtId="0" fontId="17" fillId="2" borderId="108" xfId="0" applyFont="1" applyFill="1" applyBorder="1" applyAlignment="1">
      <s:alignment horizontal="left" vertical="center" wrapText="1" mc:Ignorable="vyd"/>
    </s:xf>
    <s:xf numFmtId="0" fontId="17" fillId="2" borderId="109" xfId="0" applyFont="1" applyFill="1" applyBorder="1" applyAlignment="1">
      <s:alignment horizontal="left" vertical="center" wrapText="1" mc:Ignorable="vyd"/>
    </s:xf>
    <s:xf numFmtId="0" fontId="17" fillId="2" borderId="109" xfId="0" applyFont="1" applyFill="1" applyBorder="1" applyAlignment="1">
      <s:alignment horizontal="center" vertical="center" wrapText="1" mc:Ignorable="vyd"/>
    </s:xf>
    <s:xf numFmtId="0" fontId="19" fillId="0" borderId="47" xfId="0" applyFont="1" applyBorder="1" applyAlignment="1">
      <s:alignment horizontal="left" vertical="center" mc:Ignorable="vyd"/>
    </s:xf>
    <s:xf numFmtId="0" fontId="19" fillId="0" borderId="21" xfId="0" applyFont="1" applyBorder="1" applyAlignment="1">
      <s:alignment horizontal="left" vertical="center" mc:Ignorable="vyd"/>
    </s:xf>
    <s:xf numFmtId="0" fontId="19" fillId="0" borderId="64" xfId="0" applyFont="1" applyBorder="1" applyAlignment="1">
      <s:alignment horizontal="left" vertical="center" mc:Ignorable="vyd"/>
    </s:xf>
    <s:xf numFmtId="0" fontId="15" fillId="2" borderId="107" xfId="0" applyFont="1" applyFill="1" applyBorder="1" applyAlignment="1">
      <s:alignment horizontal="center" vertical="center" mc:Ignorable="vyd"/>
    </s:xf>
    <s:xf numFmtId="0" fontId="15" fillId="2" borderId="108" xfId="0" applyFont="1" applyFill="1" applyBorder="1" applyAlignment="1">
      <s:alignment horizontal="center" vertical="center" mc:Ignorable="vyd"/>
    </s:xf>
    <s:xf numFmtId="0" fontId="15" fillId="2" borderId="109" xfId="0" applyFont="1" applyFill="1" applyBorder="1" applyAlignment="1">
      <s:alignment horizontal="center" vertical="center" mc:Ignorable="vyd"/>
    </s:xf>
    <s:xf numFmtId="164" fontId="38" fillId="2" borderId="0" xfId="0" applyNumberFormat="1" applyFont="1" applyFill="1" applyAlignment="1">
      <s:alignment horizontal="center" vertical="center" mc:Ignorable="vyd"/>
    </s:xf>
    <s:xf numFmtId="0" fontId="12" fillId="3" borderId="27" xfId="0" applyFont="1" applyFill="1" applyBorder="1" applyAlignment="1">
      <s:alignment horizontal="center" vertical="center" wrapText="1" mc:Ignorable="vyd"/>
    </s:xf>
    <s:xf numFmtId="0" fontId="16" fillId="2" borderId="36" xfId="0" applyFont="1" applyFill="1" applyBorder="1" applyAlignment="1">
      <s:alignment horizontal="center" vertical="top" mc:Ignorable="vyd"/>
    </s:xf>
    <s:xf numFmtId="0" fontId="17" fillId="2" borderId="66" xfId="0" applyFont="1" applyFill="1" applyBorder="1" applyAlignment="1">
      <s:alignment horizontal="left" vertical="center" wrapText="1" mc:Ignorable="vyd"/>
    </s:xf>
    <s:xf numFmtId="0" fontId="17" fillId="2" borderId="48" xfId="0" applyFont="1" applyFill="1" applyBorder="1" applyAlignment="1">
      <s:alignment horizontal="left" vertical="center" wrapText="1" mc:Ignorable="vyd"/>
    </s:xf>
    <s:xf numFmtId="0" fontId="17" fillId="2" borderId="115" xfId="0" applyFont="1" applyFill="1" applyBorder="1" applyAlignment="1">
      <s:alignment horizontal="left" vertical="center" wrapText="1" mc:Ignorable="vyd"/>
    </s:xf>
    <s:xf numFmtId="0" fontId="17" fillId="2" borderId="118" xfId="0" applyFont="1" applyFill="1" applyBorder="1" applyAlignment="1">
      <s:alignment horizontal="center" vertical="center" wrapText="1" mc:Ignorable="vyd"/>
    </s:xf>
    <s:xf numFmtId="0" fontId="17" fillId="10" borderId="25" xfId="0" applyFont="1" applyFill="1" applyBorder="1" applyAlignment="1">
      <s:alignment horizontal="center" vertical="top" mc:Ignorable="vyd"/>
    </s:xf>
    <s:xf numFmtId="0" fontId="17" fillId="10" borderId="23" xfId="0" applyFont="1" applyFill="1" applyBorder="1" applyAlignment="1">
      <s:alignment horizontal="center" vertical="top" mc:Ignorable="vyd"/>
    </s:xf>
    <s:xf numFmtId="0" fontId="19" fillId="0" borderId="50" xfId="0" applyFont="1" applyBorder="1" applyAlignment="1">
      <s:alignment horizontal="left" vertical="center" mc:Ignorable="vyd"/>
    </s:xf>
    <s:xf numFmtId="0" fontId="19" fillId="0" borderId="36" xfId="0" applyFont="1" applyBorder="1" applyAlignment="1">
      <s:alignment horizontal="left" vertical="center" mc:Ignorable="vyd"/>
    </s:xf>
    <s:xf numFmtId="0" fontId="19" fillId="0" borderId="114" xfId="0" applyFont="1" applyBorder="1" applyAlignment="1">
      <s:alignment horizontal="left" vertical="center" mc:Ignorable="vyd"/>
    </s:xf>
    <s:xf numFmtId="0" fontId="42" fillId="4" borderId="25" xfId="0" applyFont="1" applyFill="1" applyBorder="1" applyAlignment="1">
      <s:alignment horizontal="left" vertical="top" wrapText="1" mc:Ignorable="vyd"/>
    </s:xf>
    <s:xf numFmtId="0" fontId="42" fillId="4" borderId="23" xfId="0" applyFont="1" applyFill="1" applyBorder="1" applyAlignment="1">
      <s:alignment horizontal="left" vertical="top" wrapText="1" mc:Ignorable="vyd"/>
    </s:xf>
    <s:xf numFmtId="0" fontId="42" fillId="4" borderId="0" xfId="0" applyFont="1" applyFill="1" applyAlignment="1">
      <s:alignment horizontal="center" vertical="top" mc:Ignorable="vyd"/>
    </s:xf>
    <s:xf numFmtId="17" fontId="21" fillId="12" borderId="66" xfId="0" applyNumberFormat="1" applyFont="1" applyFill="1" applyBorder="1" applyAlignment="1">
      <s:alignment horizontal="left" vertical="center" wrapText="1" mc:Ignorable="vyd"/>
    </s:xf>
    <s:xf numFmtId="17" fontId="21" fillId="12" borderId="48" xfId="0" applyNumberFormat="1" applyFont="1" applyFill="1" applyBorder="1" applyAlignment="1">
      <s:alignment horizontal="left" vertical="center" wrapText="1" mc:Ignorable="vyd"/>
    </s:xf>
    <s:xf numFmtId="17" fontId="21" fillId="12" borderId="54" xfId="0" applyNumberFormat="1" applyFont="1" applyFill="1" applyBorder="1" applyAlignment="1">
      <s:alignment horizontal="left" vertical="center" wrapText="1" mc:Ignorable="vyd"/>
    </s:xf>
    <s:xf numFmtId="0" fontId="21" fillId="4" borderId="51" xfId="0" applyFont="1" applyFill="1" applyBorder="1" applyAlignment="1">
      <s:alignment horizontal="left" vertical="center" wrapText="1" mc:Ignorable="vyd"/>
    </s:xf>
    <s:xf numFmtId="0" fontId="21" fillId="4" borderId="31" xfId="0" applyFont="1" applyFill="1" applyBorder="1" applyAlignment="1">
      <s:alignment horizontal="left" vertical="center" wrapText="1" mc:Ignorable="vyd"/>
    </s:xf>
    <s:xf numFmtId="0" fontId="21" fillId="4" borderId="28" xfId="0" applyFont="1" applyFill="1" applyBorder="1" applyAlignment="1">
      <s:alignment horizontal="left" vertical="center" wrapText="1" mc:Ignorable="vyd"/>
    </s:xf>
    <s:xf numFmtId="0" fontId="36" fillId="14" borderId="56" xfId="0" applyFont="1" applyFill="1" applyBorder="1" applyAlignment="1">
      <s:alignment horizontal="center" vertical="center" wrapText="1" mc:Ignorable="vyd"/>
    </s:xf>
    <s:xf numFmtId="0" fontId="36" fillId="14" borderId="24" xfId="0" applyFont="1" applyFill="1" applyBorder="1" applyAlignment="1">
      <s:alignment horizontal="center" vertical="center" wrapText="1" mc:Ignorable="vyd"/>
    </s:xf>
    <s:xf numFmtId="0" fontId="21" fillId="15" borderId="56" xfId="0" applyFont="1" applyFill="1" applyBorder="1" applyAlignment="1">
      <s:alignment horizontal="left" vertical="top" wrapText="1" mc:Ignorable="vyd"/>
    </s:xf>
    <s:xf numFmtId="0" fontId="21" fillId="15" borderId="24" xfId="0" applyFont="1" applyFill="1" applyBorder="1" applyAlignment="1">
      <s:alignment horizontal="left" vertical="top" wrapText="1" mc:Ignorable="vyd"/>
    </s:xf>
    <s:xf numFmtId="0" fontId="42" fillId="4" borderId="25" xfId="0" applyFont="1" applyFill="1" applyBorder="1" applyAlignment="1">
      <s:alignment horizontal="center" vertical="center" mc:Ignorable="vyd"/>
    </s:xf>
    <s:xf numFmtId="0" fontId="42" fillId="4" borderId="23" xfId="0" applyFont="1" applyFill="1" applyBorder="1" applyAlignment="1">
      <s:alignment horizontal="center" vertical="center" mc:Ignorable="vyd"/>
    </s:xf>
    <s:xf numFmtId="0" fontId="42" fillId="4" borderId="25" xfId="0" applyFont="1" applyFill="1" applyBorder="1" applyAlignment="1">
      <s:alignment horizontal="center" vertical="top" wrapText="1" mc:Ignorable="vyd"/>
    </s:xf>
    <s:xf numFmtId="0" fontId="42" fillId="4" borderId="23" xfId="0" applyFont="1" applyFill="1" applyBorder="1" applyAlignment="1">
      <s:alignment horizontal="center" vertical="top" wrapText="1" mc:Ignorable="vyd"/>
    </s:xf>
    <s:xf numFmtId="0" fontId="33" fillId="10" borderId="38" xfId="0" applyFont="1" applyFill="1" applyBorder="1" applyAlignment="1">
      <s:alignment horizontal="center" vertical="center" mc:Ignorable="vyd"/>
    </s:xf>
    <s:xf numFmtId="0" fontId="33" fillId="10" borderId="2" xfId="0" applyFont="1" applyFill="1" applyBorder="1" applyAlignment="1">
      <s:alignment horizontal="center" vertical="center" mc:Ignorable="vyd"/>
    </s:xf>
    <s:xf numFmtId="0" fontId="33" fillId="10" borderId="3" xfId="0" applyFont="1" applyFill="1" applyBorder="1" applyAlignment="1">
      <s:alignment horizontal="center" vertical="center" mc:Ignorable="vyd"/>
    </s:xf>
    <s:xf numFmtId="0" fontId="33" fillId="10" borderId="6" xfId="0" applyFont="1" applyFill="1" applyBorder="1" applyAlignment="1">
      <s:alignment horizontal="center" vertical="center" mc:Ignorable="vyd"/>
    </s:xf>
    <s:xf numFmtId="0" fontId="33" fillId="10" borderId="7" xfId="0" applyFont="1" applyFill="1" applyBorder="1" applyAlignment="1">
      <s:alignment horizontal="center" vertical="center" mc:Ignorable="vyd"/>
    </s:xf>
    <s:xf numFmtId="0" fontId="33" fillId="10" borderId="8" xfId="0" applyFont="1" applyFill="1" applyBorder="1" applyAlignment="1">
      <s:alignment horizontal="center" vertical="center" mc:Ignorable="vyd"/>
    </s:xf>
    <s:xf numFmtId="0" fontId="45" fillId="16" borderId="74" xfId="0" applyFont="1" applyFill="1" applyBorder="1" applyAlignment="1">
      <s:alignment horizontal="center" mc:Ignorable="vyd"/>
    </s:xf>
    <s:xf numFmtId="0" fontId="45" fillId="16" borderId="75" xfId="0" applyFont="1" applyFill="1" applyBorder="1" applyAlignment="1">
      <s:alignment horizontal="center" mc:Ignorable="vyd"/>
    </s:xf>
    <s:xf numFmtId="3" fontId="46" fillId="16" borderId="74" xfId="0" applyNumberFormat="1" applyFont="1" applyFill="1" applyBorder="1" applyAlignment="1">
      <s:alignment horizontal="center" mc:Ignorable="vyd"/>
    </s:xf>
    <s:xf numFmtId="3" fontId="46" fillId="16" borderId="76" xfId="0" applyNumberFormat="1" applyFont="1" applyFill="1" applyBorder="1" applyAlignment="1">
      <s:alignment horizontal="center" mc:Ignorable="vyd"/>
    </s:xf>
    <s:xf numFmtId="3" fontId="46" fillId="16" borderId="75" xfId="0" applyNumberFormat="1" applyFont="1" applyFill="1" applyBorder="1" applyAlignment="1">
      <s:alignment horizontal="center" mc:Ignorable="vyd"/>
    </s:xf>
    <s:xf numFmtId="0" fontId="36" fillId="16" borderId="74" xfId="0" applyFont="1" applyFill="1" applyBorder="1" applyAlignment="1">
      <s:alignment horizontal="left" wrapText="1" mc:Ignorable="vyd"/>
    </s:xf>
    <s:xf numFmtId="0" fontId="36" fillId="16" borderId="76" xfId="0" applyFont="1" applyFill="1" applyBorder="1" applyAlignment="1">
      <s:alignment horizontal="left" wrapText="1" mc:Ignorable="vyd"/>
    </s:xf>
    <s:xf numFmtId="0" fontId="36" fillId="16" borderId="75" xfId="0" applyFont="1" applyFill="1" applyBorder="1" applyAlignment="1">
      <s:alignment horizontal="left" wrapText="1" mc:Ignorable="vyd"/>
    </s:xf>
    <s:xf numFmtId="0" fontId="21" fillId="24" borderId="83" xfId="0" applyFont="1" applyFill="1" applyBorder="1" applyAlignment="1">
      <s:alignment horizontal="center" vertical="center" wrapText="1" mc:Ignorable="vyd"/>
    </s:xf>
    <s:xf numFmtId="0" fontId="21" fillId="24" borderId="87" xfId="0" applyFont="1" applyFill="1" applyBorder="1" applyAlignment="1">
      <s:alignment horizontal="center" vertical="center" wrapText="1" mc:Ignorable="vyd"/>
    </s:xf>
    <s:xf numFmtId="0" fontId="21" fillId="24" borderId="88" xfId="0" applyFont="1" applyFill="1" applyBorder="1" applyAlignment="1">
      <s:alignment horizontal="center" vertical="center" wrapText="1" mc:Ignorable="vyd"/>
    </s:xf>
    <s:xf numFmtId="0" fontId="48" fillId="21" borderId="83" xfId="0" applyFont="1" applyFill="1" applyBorder="1" applyAlignment="1">
      <s:alignment horizontal="center" vertical="center" wrapText="1" mc:Ignorable="vyd"/>
    </s:xf>
    <s:xf numFmtId="0" fontId="48" fillId="21" borderId="88" xfId="0" applyFont="1" applyFill="1" applyBorder="1" applyAlignment="1">
      <s:alignment horizontal="center" vertical="center" wrapText="1" mc:Ignorable="vyd"/>
    </s:xf>
    <s:xf numFmtId="3" fontId="53" fillId="34" borderId="26" xfId="0" applyNumberFormat="1" applyFont="1" applyFill="1" applyBorder="1" applyAlignment="1">
      <s:alignment horizontal="center" vertical="top" mc:Ignorable="vyd"/>
    </s:xf>
    <s:xf numFmtId="3" fontId="53" fillId="0" borderId="26" xfId="0" applyNumberFormat="1" applyFont="1" applyBorder="1" applyAlignment="1">
      <s:alignment horizontal="center" vertical="top" mc:Ignorable="vyd"/>
    </s:xf>
  </s:cellXfs>
  <s:cellStyles count="2">
    <s:cellStyle name="Обычный" xfId="0" builtinId="0"/>
    <s:cellStyle name="Процентный" xfId="1" builtinId="5"/>
  </s:cellStyles>
  <s:dxfs count="245"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>
          <s:bgColor rgb="FFC6EFCE"/>
        </s:patternFill>
      </s:fill>
    </s:dxf>
    <s:dxf>
      <s:font>
        <s:color rgb="FF9C0006"/>
      </s:font>
      <s:fill>
        <s:patternFill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>
          <s:bgColor rgb="FFC6EFCE"/>
        </s:patternFill>
      </s:fill>
    </s:dxf>
    <s:dxf>
      <s:font>
        <s:color rgb="FF9C0006"/>
      </s:font>
      <s:fill>
        <s:patternFill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2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2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3" Type="http://schemas.openxmlformats.org/officeDocument/2006/relationships/styles" Target="styles.xml"/><Relationship Target="theme/theme1.xml" Type="http://schemas.openxmlformats.org/officeDocument/2006/relationships/theme" Id="rId14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/Relationships>
</file>

<file path=xl/externalLinks/_rels/externalLink1.xml.rels><?xml version="1.0" ?><Relationships xmlns="http://schemas.openxmlformats.org/package/2006/relationships"><Relationship Id="rId3" Type="http://schemas.openxmlformats.org/officeDocument/2006/relationships/externalLinkPath" Target="../../&#1062;&#1077;&#1085;&#1090;&#1088;&#1091;&#1084;/&#1045;&#1054;%20&#1062;&#1077;&#1085;&#1090;&#1088;&#1091;&#1084;.xlsx" TargetMode="External"/><Relationship Id="rId2" Type="http://schemas.openxmlformats.org/officeDocument/2006/relationships/externalLinkPath" Target="/Users/lenadacenko/Yandex.Disk-glamejewelry.localized/Glame%20API/&#1045;&#1078;&#1077;&#1076;&#1085;&#1077;&#1074;&#1085;&#1086;/&#1062;&#1077;&#1085;&#1090;&#1088;&#1091;&#1084;/&#1045;&#1054;%20&#1062;&#1077;&#1085;&#1090;&#1088;&#1091;&#1084;.xlsx" TargetMode="External"/><Relationship Id="rId1" Type="http://schemas.openxmlformats.org/officeDocument/2006/relationships/externalLinkPath" Target="/Users/lenadacenko/Yandex.Disk-glamejewelry.localized/Glame%20API/&#1045;&#1078;&#1077;&#1076;&#1085;&#1077;&#1074;&#1085;&#1086;/&#1062;&#1077;&#1085;&#1090;&#1088;&#1091;&#1084;/&#1045;&#1054;%20&#1062;&#1077;&#1085;&#1090;&#1088;&#1091;&#1084;.xlsx" TargetMode="External"/></Relationships>
</file>

<file path=xl/externalLinks/externalLink1.xml><?xml version="1.0" encoding="utf-8"?>
<s:externalLink xmlns:s="http://schemas.openxmlformats.org/spreadsheetml/2006/main" xmlns:r="http://schemas.openxmlformats.org/officeDocument/2006/relationships" xmlns:unk1="http://schemas.microsoft.com/office/spreadsheetml/2021/extlinks2021" xmlns:x14="http://schemas.microsoft.com/office/spreadsheetml/2009/9/main" xmlns:mc="http://schemas.openxmlformats.org/markup-compatibility/2006" mc:Ignorable="x14 unk1">
  <s:externalBook r:id="rId1">
    <unk1:alternateUrls>
      <unk1:absoluteUrl r:id="rId2"/>
      <unk1:relativeUrl r:id="rId3"/>
    </unk1:alternateUrls>
    <s:sheetNames>
      <s:sheetName val="Центрум"/>
      <s:sheetName val="Конкурс"/>
      <s:sheetName val="Сводная"/>
      <s:sheetName val="Справочник магазинов"/>
      <s:sheetName val="План на день"/>
      <s:sheetName val="Сейтджелилова А.Э."/>
      <s:sheetName val="Корж А. А."/>
      <s:sheetName val="Свидовская С. А."/>
      <s:sheetName val="График"/>
      <s:sheetName val="Доп сотрудник"/>
      <s:sheetName val="Вед-ть Свидовская"/>
      <s:sheetName val="Вед-ть Корж"/>
      <s:sheetName val="Вед-ть Сейтджелилова"/>
      <s:sheetName val="Вед-ть Доп сотрудник"/>
      <s:sheetName val="ПК4"/>
    </s:sheetNames>
    <s:sheetDataSet>
      <s:sheetData sheetId="0"/>
      <s:sheetData sheetId="1"/>
      <s:sheetData sheetId="2"/>
      <s:sheetData sheetId="3"/>
      <s:sheetData sheetId="4"/>
      <s:sheetData sheetId="5"/>
      <s:sheetData sheetId="6"/>
      <s:sheetData sheetId="7"/>
      <s:sheetData sheetId="8">
        <s:row r="1">
          <s:cell r="B1" t="str">
            <s:v>Март, 2026</s:v>
          </s:cell>
        </s:row>
        <s:row r="4">
          <s:cell r="B4" t="str">
            <s:v>GL-0004</s:v>
          </s:cell>
        </s:row>
      </s:sheetData>
      <s:sheetData sheetId="9"/>
      <s:sheetData sheetId="10"/>
      <s:sheetData sheetId="11"/>
      <s:sheetData sheetId="12"/>
      <s:sheetData sheetId="13"/>
      <s:sheetData sheetId="14"/>
    </s:sheetDataSet>
  </s:externalBook>
</s: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00000000-0001-0000-0000-000000000000}">
  <s:sheetPr>
    <s:pageSetUpPr fitToPage="1"/>
  </s:sheetPr>
  <s:dimension ref="A1:IZ68"/>
  <s:sheetViews>
    <s:sheetView showZeros="0" tabSelected="0" topLeftCell="A27" zoomScale="91" zoomScaleNormal="89" workbookViewId="0">
      <s:pane xSplit="3" topLeftCell="D1" activePane="topRight" state="frozen"/>
      <s:selection activeCell="H46" sqref="H46"/>
      <s:selection pane="topRight" activeCell="J10" sqref="J10"/>
    </s:sheetView>
  </s:sheetViews>
  <s:sheetFormatPr baseColWidth="10" defaultColWidth="9.164" defaultRowHeight="15"/>
  <s:cols>
    <s:col min="1" max="1" width="22.832" style="1" customWidth="1"/>
    <s:col min="2" max="2" width="10.332" style="2" customWidth="1"/>
    <s:col min="3" max="3" width="10.832" style="2" customWidth="1"/>
    <s:col min="4" max="4" width="17.164" style="2" customWidth="1"/>
    <s:col min="5" max="5" width="10.164" style="2" customWidth="1"/>
    <s:col min="6" max="6" width="11.332" style="2" customWidth="1"/>
    <s:col min="7" max="7" width="9.832" style="2" customWidth="1"/>
    <s:col min="8" max="8" width="9.5" style="2" customWidth="1"/>
    <s:col min="9" max="9" width="11" style="2" customWidth="1"/>
    <s:col min="10" max="10" width="8.832" style="2" customWidth="1"/>
    <s:col min="11" max="11" width="12.664" style="2" customWidth="1"/>
    <s:col min="12" max="12" width="11.5" style="2" customWidth="1"/>
    <s:col min="13" max="14" width="12.832" style="2" customWidth="1"/>
    <s:col min="15" max="15" width="11.5" style="2" customWidth="1"/>
    <s:col min="16" max="16" width="11.664" style="2" customWidth="1"/>
    <s:col min="17" max="17" width="12.832" style="2" customWidth="1"/>
    <s:col min="18" max="18" width="10.332" style="2" customWidth="1"/>
    <s:col min="19" max="20" width="11.332" style="2" customWidth="1"/>
    <s:col min="21" max="21" width="11" style="3" customWidth="1"/>
    <s:col min="22" max="22" width="11.332" style="2" customWidth="1"/>
    <s:col min="23" max="23" width="9.164" style="2" bestFit="1" customWidth="1"/>
    <s:col min="24" max="25" width="10.5" style="2" customWidth="1"/>
    <s:col min="26" max="257" width="9.164" style="2" bestFit="1" customWidth="1"/>
  </s:cols>
  <s:sheetData>
    <s:row r="1" spans="1:25" ht="15.75" customHeight="1">
      <s:c r="A1" s="4" t="s">
        <s:v>141</s:v>
      </s:c>
      <s:c r="B1" s="597">
        <s:f ca="1">TODAY()-1</s:f>
        <s:v>46171</s:v>
      </s:c>
      <s:c r="C1" s="597"/>
      <s:c r="D1" s="5"/>
      <s:c r="E1" s="5"/>
      <s:c r="F1" s="6"/>
      <s:c r="G1" s="6"/>
      <s:c r="H1" s="6"/>
      <s:c r="I1" s="6"/>
      <s:c r="J1" s="7"/>
      <s:c r="K1" s="7"/>
      <s:c r="L1" s="7"/>
      <s:c r="M1" s="7"/>
      <s:c r="N1" s="7"/>
      <s:c r="O1" s="7"/>
      <s:c r="P1" s="7"/>
      <s:c r="Q1" s="7"/>
      <s:c r="R1" s="7"/>
      <s:c r="S1" s="598"/>
      <s:c r="T1" s="598"/>
      <s:c r="U1" s="598"/>
      <s:c r="V1" s="598"/>
      <s:c r="W1" s="8"/>
      <s:c r="X1" s="6"/>
      <s:c r="Y1" s="6"/>
    </s:row>
    <s:row r="2" spans="1:25" ht="21.75" customHeight="1" thickBot="1">
      <s:c r="A2" s="4"/>
      <s:c r="B2" s="599" t="s">
        <s:v>0</s:v>
      </s:c>
      <s:c r="C2" s="599"/>
      <s:c r="D2" s="5"/>
      <s:c r="E2" s="5"/>
      <s:c r="F2" s="6"/>
      <s:c r="G2" s="6"/>
      <s:c r="H2" s="6"/>
      <s:c r="I2" s="6"/>
      <s:c r="J2" s="600"/>
      <s:c r="K2" s="600"/>
      <s:c r="L2" s="600"/>
      <s:c r="M2" s="600"/>
      <s:c r="N2" s="600"/>
      <s:c r="O2" s="600"/>
      <s:c r="P2" s="600"/>
      <s:c r="Q2" s="600"/>
      <s:c r="R2" s="600"/>
      <s:c r="S2" s="598"/>
      <s:c r="T2" s="598"/>
      <s:c r="U2" s="598"/>
      <s:c r="V2" s="598"/>
      <s:c r="W2" s="8"/>
      <s:c r="X2" s="6"/>
      <s:c r="Y2" s="6"/>
    </s:row>
    <s:row r="3" spans="1:25" ht="14" customHeight="1" thickBot="1">
      <s:c r="A3" s="4"/>
      <s:c r="B3" s="9"/>
      <s:c r="C3" s="10" t="s">
        <s:v>1</s:v>
      </s:c>
      <s:c r="D3" s="11"/>
      <s:c r="E3" s="11"/>
      <s:c r="F3" s="12"/>
      <s:c r="G3" s="12"/>
      <s:c r="H3" s="12"/>
      <s:c r="I3" s="603" t="str">
        <s:f>График!B3</s:f>
        <s:v>ул. Набережная Ленина, 18</s:v>
      </s:c>
      <s:c r="J3" s="604"/>
      <s:c r="K3" s="604"/>
      <s:c r="L3" s="604"/>
      <s:c r="M3" s="604"/>
      <s:c r="N3" s="604"/>
      <s:c r="O3" s="605"/>
      <s:c r="P3" s="7"/>
      <s:c r="Q3" s="7"/>
      <s:c r="R3" s="13"/>
      <s:c r="S3" s="598"/>
      <s:c r="T3" s="598"/>
      <s:c r="U3" s="598"/>
      <s:c r="V3" s="598"/>
      <s:c r="W3" s="8"/>
      <s:c r="X3" s="6"/>
      <s:c r="Y3" s="6"/>
    </s:row>
    <s:row r="4" spans="1:25" ht="20" customHeight="1" thickBot="1">
      <s:c r="A4" s="4"/>
      <s:c r="B4" s="5"/>
      <s:c r="C4" s="601">
        <s:f>I8-D56</s:f>
        <s:v>698754.60000000009</s:v>
      </s:c>
      <s:c r="D4" s="602"/>
      <s:c r="E4" s="14">
        <s:f>IF(I8&lt;&gt;0, C4/I8, 0)</s:f>
        <s:v>0.2841660737344191</s:v>
      </s:c>
      <s:c r="F4" s="12"/>
      <s:c r="G4" s="12"/>
      <s:c r="H4" s="12"/>
      <s:c r="I4" s="606"/>
      <s:c r="J4" s="607"/>
      <s:c r="K4" s="607"/>
      <s:c r="L4" s="607"/>
      <s:c r="M4" s="607"/>
      <s:c r="N4" s="607"/>
      <s:c r="O4" s="608"/>
      <s:c r="P4" s="7"/>
      <s:c r="Q4" s="6"/>
      <s:c r="R4" s="6"/>
      <s:c r="S4" s="598"/>
      <s:c r="T4" s="598"/>
      <s:c r="U4" s="598"/>
      <s:c r="V4" s="598"/>
      <s:c r="W4" s="8"/>
      <s:c r="X4" s="6"/>
      <s:c r="Y4" s="6"/>
    </s:row>
    <s:row r="5">
      <s:c r="A5" s="4"/>
      <s:c r="B5" s="6"/>
      <s:c r="C5" s="6"/>
      <s:c r="D5" s="15" t="e">
        <s:f>C4/(I14-J14)</s:f>
        <s:v>#DIV/0!</s:v>
      </s:c>
      <s:c r="E5" s="6"/>
      <s:c r="F5" s="6"/>
      <s:c r="G5" s="6"/>
      <s:c r="H5" s="6"/>
      <s:c r="I5" s="6"/>
      <s:c r="J5" s="609"/>
      <s:c r="K5" s="609"/>
      <s:c r="L5" s="609"/>
      <s:c r="M5" s="609"/>
      <s:c r="N5" s="609"/>
      <s:c r="O5" s="609"/>
      <s:c r="P5" s="609"/>
      <s:c r="Q5" s="6"/>
      <s:c r="R5" s="6"/>
      <s:c r="S5" s="6"/>
      <s:c r="T5" s="6"/>
      <s:c r="U5" s="12"/>
      <s:c r="V5" s="6"/>
      <s:c r="W5" s="8"/>
      <s:c r="X5" s="6"/>
      <s:c r="Y5" s="6"/>
    </s:row>
    <s:row r="6" spans="1:25" ht="20" customHeight="1" thickBot="1">
      <s:c r="A6" s="4"/>
      <s:c r="B6" s="16"/>
      <s:c r="C6" s="6"/>
      <s:c r="D6" s="6"/>
      <s:c r="E6" s="6"/>
      <s:c r="F6" s="610" t="s">
        <s:v>2</s:v>
      </s:c>
      <s:c r="G6" s="611"/>
      <s:c r="H6" s="611"/>
      <s:c r="I6" s="611"/>
      <s:c r="J6" s="611"/>
      <s:c r="K6" s="611"/>
      <s:c r="L6" s="611"/>
      <s:c r="M6" s="611"/>
      <s:c r="N6" s="611"/>
      <s:c r="O6" s="611"/>
      <s:c r="P6" s="611"/>
      <s:c r="Q6" s="612"/>
      <s:c r="R6" s="6"/>
      <s:c r="S6" s="6"/>
      <s:c r="T6" s="17"/>
      <s:c r="U6" s="18"/>
      <s:c r="V6" s="6"/>
      <s:c r="W6" s="8"/>
      <s:c r="X6" s="6"/>
      <s:c r="Y6" s="6"/>
    </s:row>
    <s:row r="7" spans="1:25" ht="59" customHeight="1" thickBot="1">
      <s:c r="A7" s="4"/>
      <s:c r="B7" s="16"/>
      <s:c r="C7" s="16"/>
      <s:c r="D7" s="16"/>
      <s:c r="E7" s="6"/>
      <s:c r="F7" s="613" t="s">
        <s:v>3</s:v>
      </s:c>
      <s:c r="G7" s="614"/>
      <s:c r="H7" s="615"/>
      <s:c r="I7" s="556" t="s">
        <s:v>4</s:v>
      </s:c>
      <s:c r="J7" s="20" t="s">
        <s:v>5</s:v>
      </s:c>
      <s:c r="K7" s="557" t="s">
        <s:v>6</s:v>
      </s:c>
      <s:c r="L7" s="572" t="s">
        <s:v>7</s:v>
      </s:c>
      <s:c r="M7" s="22" t="s">
        <s:v>8</s:v>
      </s:c>
      <s:c r="N7" s="424" t="s">
        <s:v>9</s:v>
      </s:c>
      <s:c r="O7" s="571" t="s">
        <s:v>10</s:v>
      </s:c>
      <s:c r="P7" s="616" t="s">
        <s:v>11</s:v>
      </s:c>
      <s:c r="Q7" s="617"/>
      <s:c r="R7" s="6"/>
      <s:c r="S7" s="6"/>
      <s:c r="T7" s="17"/>
      <s:c r="U7" s="18"/>
      <s:c r="V7" s="6"/>
      <s:c r="W7" s="8"/>
      <s:c r="X7" s="6"/>
      <s:c r="Y7" s="6"/>
    </s:row>
    <s:row r="8" spans="1:25" ht="15.75" customHeight="1">
      <s:c r="A8" s="4"/>
      <s:c r="B8" s="16"/>
      <s:c r="C8" s="16"/>
      <s:c r="D8" s="24"/>
      <s:c r="E8" s="6"/>
      <s:c r="F8" s="618" t="s">
        <s:v>12</s:v>
      </s:c>
      <s:c r="G8" s="619"/>
      <s:c r="H8" s="620"/>
      <s:c r="I8" s="25">
        <s:f>I11*I12*I13</s:f>
        <s:v>2458965.6</s:v>
      </s:c>
      <s:c r="J8" s="26">
        <s:f>D56</s:f>
        <s:v>1760211</s:v>
      </s:c>
      <s:c r="K8" s="558">
        <s:f>IF(AND(I8&lt;&gt;"",I8&lt;&gt;0,J8&lt;&gt;""),J8/I8,"")</s:f>
        <s:v>0.71583392626558096</s:v>
      </s:c>
      <s:c r="L8" s="573">
        <s:f>IF(SUMIF($D$25:$D$55,"&gt;=0",$U$25:$U$55)&lt;&gt;0,I8*D56/SUMIF($D$25:$D$55,"&gt;=0",$U$25:$U$55),0)</s:f>
        <s:v>1760211.0000000007</s:v>
      </s:c>
      <s:c r="M8" s="28">
        <s:f>IF(AND(I8&lt;&gt;"", I8&lt;&gt;0, L8&lt;&gt;"", L8&lt;&gt;0), L8/I8, "")</s:f>
        <s:v>0.71583392626558118</s:v>
      </s:c>
      <s:c r="N8" s="574">
        <s:f>IF(AND(J8&lt;&gt;0, J8&lt;&gt;"", I8&lt;&gt;0, I8&lt;&gt;""), L8-I8, "")</s:f>
        <s:v>-698754.59999999939</s:v>
      </s:c>
      <s:c r="O8" s="29">
        <s:v>2068738.6</s:v>
      </s:c>
      <s:c r="P8" s="30">
        <s:f>IF(AND(O8&lt;&gt;"", O8&lt;&gt;0, L8&lt;&gt;"", L8&lt;&gt;0), -O8+L8, "")</s:f>
        <s:v>-308527.59999999939</s:v>
      </s:c>
      <s:c r="Q8" s="31">
        <s:f>IF(AND(P8&lt;&gt;"",P8&lt;&gt;0,O8&lt;&gt;0,O8&lt;&gt;""),P8/O8,"")</s:f>
        <s:v>-0.14913803029536907</s:v>
      </s:c>
      <s:c r="R8" s="6"/>
      <s:c r="S8" s="6"/>
      <s:c r="T8" s="17"/>
      <s:c r="U8" s="32"/>
      <s:c r="V8" s="6"/>
      <s:c r="W8" s="8"/>
      <s:c r="X8" s="6"/>
      <s:c r="Y8" s="6"/>
    </s:row>
    <s:row r="9" spans="1:25" ht="15.75" customHeight="1">
      <s:c r="A9" s="4"/>
      <s:c r="B9" s="16"/>
      <s:c r="C9" s="16"/>
      <s:c r="D9" s="16"/>
      <s:c r="E9" s="6"/>
      <s:c r="F9" s="621" t="s">
        <s:v>13</s:v>
      </s:c>
      <s:c r="G9" s="622"/>
      <s:c r="H9" s="623"/>
      <s:c r="I9" s="559">
        <s:f>I8/I11</s:f>
        <s:v>353.80799999999999</s:v>
      </s:c>
      <s:c r="J9" s="34">
        <s:f>E56</s:f>
        <s:v>230</s:v>
      </s:c>
      <s:c r="K9" s="560">
        <s:f>IF(AND(I9&lt;&gt;"", I9&lt;&gt;0, J9&lt;&gt;""), J9/I9, "")</s:f>
        <s:v>0.65007009451453901</s:v>
      </s:c>
      <s:c r="L9" s="575">
        <s:f>IF(SUMIF($E$25:$E$55,"&gt;=0",$V$25:$V$55)&lt;&gt;0,I9*E56/SUMIF($E$25:$E$55,"&gt;=0",$V$25:$V$55),0)</s:f>
        <s:v>229.99999999999901</s:v>
      </s:c>
      <s:c r="M9" s="37">
        <s:f>IF(AND(I9&lt;&gt;"", I9&lt;&gt;0, L9&lt;&gt;"", L9&lt;&gt;0), L9/I9, "")</s:f>
        <s:v>0.65007009451453801</s:v>
      </s:c>
      <s:c r="N9" s="470">
        <s:f>IF(AND(J9&lt;&gt;0, J9&lt;&gt;"", I9&lt;&gt;0, I9&lt;&gt;""), L9-I9, "")</s:f>
        <s:v>-123.80800000000001</s:v>
      </s:c>
      <s:c r="O9" s="39">
        <s:v>390</s:v>
      </s:c>
      <s:c r="P9" s="38">
        <s:f>IF(AND(O9&lt;&gt;"", O9&lt;&gt;0, L9&lt;&gt;"", L9&lt;&gt;0), -O9+L9, "")</s:f>
        <s:v>-160</s:v>
      </s:c>
      <s:c r="Q9" s="40">
        <s:f>IF(AND(P9&lt;&gt;"",P9&lt;&gt;0,O9&lt;&gt;0,O9&lt;&gt;""),P9/O9,"")</s:f>
        <s:v>-0.41025641025641002</s:v>
      </s:c>
      <s:c r="R9" s="6"/>
      <s:c r="S9" s="6"/>
      <s:c r="T9" s="17"/>
      <s:c r="U9" s="32"/>
      <s:c r="V9" s="6"/>
      <s:c r="W9" s="8"/>
      <s:c r="X9" s="6"/>
      <s:c r="Y9" s="6"/>
    </s:row>
    <s:row r="10" spans="1:25" ht="15.75" customHeight="1">
      <s:c r="A10" s="4"/>
      <s:c r="B10" s="16"/>
      <s:c r="C10" s="16"/>
      <s:c r="D10" s="16"/>
      <s:c r="E10" s="6"/>
      <s:c r="F10" s="618" t="s">
        <s:v>14</s:v>
      </s:c>
      <s:c r="G10" s="619"/>
      <s:c r="H10" s="620"/>
      <s:c r="I10" s="559">
        <s:f>I11*I12</s:f>
        <s:v>12649</s:v>
      </s:c>
      <s:c r="J10" s="41">
        <s:f>H56</s:f>
        <s:v>13234.66917293233</s:v>
      </s:c>
      <s:c r="K10" s="561">
        <s:f>IF(AND(I10&lt;&gt;"", I10&lt;&gt;0, J10&lt;&gt;""), J10/I10, "")</s:f>
        <s:v>1.046301618541571</s:v>
      </s:c>
      <s:c r="L10" s="575">
        <s:f>J10</s:f>
        <s:v>13234.66917293233</s:v>
      </s:c>
      <s:c r="M10" s="43">
        <s:f>IF(AND(I10&lt;&gt;"", I10&lt;&gt;0, L10&lt;&gt;"", L10&lt;&gt;0), L10/I10, "")</s:f>
        <s:v>1.046301618541571</s:v>
      </s:c>
      <s:c r="N10" s="576">
        <s:f>IF(AND(J10&lt;&gt;0, J10&lt;&gt;"", I10&lt;&gt;0, I10&lt;&gt;""), L10-I10, "")</s:f>
        <s:v>585.66917293233018</s:v>
      </s:c>
      <s:c r="O10" s="45">
        <s:v>10608.915897435898</s:v>
      </s:c>
      <s:c r="P10" s="44">
        <s:f>IF(AND(O10&lt;&gt;"", O10&lt;&gt;0, L10&lt;&gt;"", L10&lt;&gt;0), -O10+L10, "")</s:f>
        <s:v>2625.7532754964323</s:v>
      </s:c>
      <s:c r="Q10" s="46">
        <s:f>IF(AND(P10&lt;&gt;"",P10&lt;&gt;0,O10&lt;&gt;0,O10&lt;&gt;""),P10/O10,"")</s:f>
        <s:v>0.2475043916722027</s:v>
      </s:c>
      <s:c r="R10" s="6"/>
      <s:c r="S10" s="6"/>
      <s:c r="T10" s="8"/>
      <s:c r="U10" s="32"/>
      <s:c r="V10" s="6"/>
      <s:c r="W10" s="8"/>
      <s:c r="X10" s="6"/>
      <s:c r="Y10" s="6"/>
    </s:row>
    <s:row r="11" spans="1:25" ht="15.75" customHeight="1">
      <s:c r="A11" s="4"/>
      <s:c r="B11" s="16"/>
      <s:c r="C11" s="16"/>
      <s:c r="D11" s="16"/>
      <s:c r="E11" s="6"/>
      <s:c r="F11" s="621" t="s">
        <s:v>15</s:v>
      </s:c>
      <s:c r="G11" s="622"/>
      <s:c r="H11" s="623"/>
      <s:c r="I11" s="562">
        <s:v>6950</s:v>
      </s:c>
      <s:c r="J11" s="34">
        <s:f>F56</s:f>
        <s:v>7653.0913043478258</s:v>
      </s:c>
      <s:c r="K11" s="560">
        <s:f>IF(AND(I11&lt;&gt;"", I11&lt;&gt;0, J11&lt;&gt;""), J11/I11, "")</s:f>
        <s:v>1.1011642164529245</s:v>
      </s:c>
      <s:c r="L11" s="575">
        <s:f>IF(L9&gt;0, L8/L9, "")</s:f>
        <s:v>7653.0913043478622</s:v>
      </s:c>
      <s:c r="M11" s="37">
        <s:f>IF(AND(I11&lt;&gt;"", I11&lt;&gt;0, L11&lt;&gt;"", L11&lt;&gt;0), L11/I11, "")</s:f>
        <s:v>1.1011642164529298</s:v>
      </s:c>
      <s:c r="N11" s="470">
        <s:f>IF(AND(J11&lt;&gt;0, J11&lt;&gt;"", I11&lt;&gt;0, I11&lt;&gt;""), L11-I11, "")</s:f>
        <s:v>703.09130434786221</s:v>
      </s:c>
      <s:c r="O11" s="48">
        <s:v>5304.457948717949</s:v>
      </s:c>
      <s:c r="P11" s="38">
        <s:f>IF(AND(O11&lt;&gt;"", O11&lt;&gt;0, L11&lt;&gt;"", L11&lt;&gt;0), -O11+L11, "")</s:f>
        <s:v>2348.6333556299132</s:v>
      </s:c>
      <s:c r="Q11" s="40">
        <s:f>IF(AND(P11&lt;&gt;"",P11&lt;&gt;0,O11&lt;&gt;0,O11&lt;&gt;""),P11/O11,"")</s:f>
        <s:v>0.44276594862959784</s:v>
      </s:c>
      <s:c r="R11" s="6"/>
      <s:c r="S11" s="6"/>
      <s:c r="T11" s="8"/>
      <s:c r="U11" s="32"/>
      <s:c r="V11" s="6"/>
      <s:c r="W11" s="8"/>
      <s:c r="X11" s="6"/>
      <s:c r="Y11" s="6"/>
    </s:row>
    <s:row r="12" spans="1:25" ht="15.75" customHeight="1">
      <s:c r="A12" s="4"/>
      <s:c r="B12" s="16"/>
      <s:c r="C12" s="6"/>
      <s:c r="D12" s="6"/>
      <s:c r="E12" s="6"/>
      <s:c r="F12" s="621" t="s">
        <s:v>16</s:v>
      </s:c>
      <s:c r="G12" s="622"/>
      <s:c r="H12" s="623"/>
      <s:c r="I12" s="563">
        <s:v>1.82</s:v>
      </s:c>
      <s:c r="J12" s="50">
        <s:f>J56</s:f>
        <s:v>1.72932330827067</s:v>
      </s:c>
      <s:c r="K12" s="560">
        <s:f>IF(AND(I12&lt;&gt;"", I12&lt;&gt;0, J12&lt;&gt;""), J12/I12, "")</s:f>
        <s:v>0.95017764190696496</s:v>
      </s:c>
      <s:c r="L12" s="577">
        <s:f>J12</s:f>
        <s:v>1.72932330827067</s:v>
      </s:c>
      <s:c r="M12" s="37">
        <s:f>IF(AND(I12&lt;&gt;"", I12&lt;&gt;0, L12&lt;&gt;"", L12&lt;&gt;0), L12/I12, "")</s:f>
        <s:v>0.95017764190696496</s:v>
      </s:c>
      <s:c r="N12" s="578">
        <s:f>IF(AND(J12&lt;&gt;0, J12&lt;&gt;"", I12&lt;&gt;0, I12&lt;&gt;""), L12-I12, "")</s:f>
        <s:v>-9.06766917293233E-2</s:v>
      </s:c>
      <s:c r="O12" s="52">
        <s:v>2</s:v>
      </s:c>
      <s:c r="P12" s="38">
        <s:f>IF(AND(O12&lt;&gt;"", O12&lt;&gt;0, L12&lt;&gt;"", L12&lt;&gt;0), -O12+L12, "")</s:f>
        <s:v>-0.27067669172932302</s:v>
      </s:c>
      <s:c r="Q12" s="40">
        <s:f>IF(AND(P12&lt;&gt;"",P12&lt;&gt;0,O12&lt;&gt;0,O12&lt;&gt;""),P12/O12,"")</s:f>
        <s:v>-0.13533834586466101</s:v>
      </s:c>
      <s:c r="R12" s="6"/>
      <s:c r="S12" s="6"/>
      <s:c r="T12" s="8"/>
      <s:c r="U12" s="32"/>
      <s:c r="V12" s="6"/>
      <s:c r="W12" s="8"/>
      <s:c r="X12" s="6"/>
      <s:c r="Y12" s="6"/>
    </s:row>
    <s:row r="13" spans="1:25" ht="15.75" customHeight="1">
      <s:c r="A13" s="4"/>
      <s:c r="B13" s="16"/>
      <s:c r="C13" s="6"/>
      <s:c r="D13" s="6"/>
      <s:c r="E13" s="6"/>
      <s:c r="F13" s="621" t="s">
        <s:v>17</s:v>
      </s:c>
      <s:c r="G13" s="622"/>
      <s:c r="H13" s="623"/>
      <s:c r="I13" s="559">
        <s:f>I17*I20</s:f>
        <s:v>194.4</s:v>
      </s:c>
      <s:c r="J13" s="34">
        <s:f>G56</s:f>
        <s:v>133</s:v>
      </s:c>
      <s:c r="K13" s="560">
        <s:f>IF(AND(I13&lt;&gt;"", I13&lt;&gt;0, J13&lt;&gt;""), J13/I13, "")</s:f>
        <s:v>0.68415637860082301</s:v>
      </s:c>
      <s:c r="L13" s="575">
        <s:f>IF(SUMIF($G$25:$G$55,"&gt;=0",$W$25:$W$55)&lt;&gt;0,I13*G56/SUMIF($G$25:$G$55,"&gt;=0",$W$25:$W$55),"")</s:f>
        <s:v>133</s:v>
      </s:c>
      <s:c r="M13" s="37">
        <s:f>IF(AND(I13&lt;&gt;"", I13&lt;&gt;0, L13&lt;&gt;"", L13&lt;&gt;0), L13/I13, "")</s:f>
        <s:v>0.68415637860082301</s:v>
      </s:c>
      <s:c r="N13" s="578">
        <s:f>IF(AND(J13&lt;&gt;0, J13&lt;&gt;"", I13&lt;&gt;0, I13&lt;&gt;""), L13-I13, "")</s:f>
        <s:v>-61.399999999999899</s:v>
      </s:c>
      <s:c r="O13" s="53">
        <s:v>195</s:v>
      </s:c>
      <s:c r="P13" s="38">
        <s:f>IF(AND(O13&lt;&gt;"", O13&lt;&gt;0, L13&lt;&gt;"", L13&lt;&gt;0), -O13+L13, "")</s:f>
        <s:v>-61.999999999999901</s:v>
      </s:c>
      <s:c r="Q13" s="40">
        <s:f>IF(AND(P13&lt;&gt;"",P13&lt;&gt;0,O13&lt;&gt;0,O13&lt;&gt;""),P13/O13,"")</s:f>
        <s:v>-0.31794871794871699</s:v>
      </s:c>
      <s:c r="R13" s="6"/>
      <s:c r="S13" s="6"/>
      <s:c r="T13" s="54"/>
      <s:c r="U13" s="32"/>
      <s:c r="V13" s="6"/>
      <s:c r="W13" s="8"/>
      <s:c r="X13" s="6"/>
      <s:c r="Y13" s="6"/>
    </s:row>
    <s:row r="14" spans="1:25" ht="15.75" customHeight="1">
      <s:c r="A14" s="4"/>
      <s:c r="B14" s="16"/>
      <s:c r="C14" s="6"/>
      <s:c r="D14" s="6"/>
      <s:c r="E14" s="6"/>
      <s:c r="F14" s="621" t="s">
        <s:v>18</s:v>
      </s:c>
      <s:c r="G14" s="622"/>
      <s:c r="H14" s="623"/>
      <s:c r="I14" s="562">
        <s:f>График!AK6</s:f>
        <s:v>30</s:v>
      </s:c>
      <s:c r="J14" s="55">
        <s:v>30</s:v>
      </s:c>
      <s:c r="K14" s="560">
        <s:f>IF(AND(I14&lt;&gt;"", I14&lt;&gt;0, J14&lt;&gt;""), J14/I14, "")</s:f>
        <s:v>1</s:v>
      </s:c>
      <s:c r="L14" s="575">
        <s:f>I14</s:f>
        <s:v>30</s:v>
      </s:c>
      <s:c r="M14" s="37">
        <s:f>IF(AND(I14&lt;&gt;"", I14&lt;&gt;0, L14&lt;&gt;"", L14&lt;&gt;0), L14/I14, "")</s:f>
        <s:v>1</s:v>
      </s:c>
      <s:c r="N14" s="470">
        <s:f>IF(AND(J14&lt;&gt;0, J14&lt;&gt;"", I14&lt;&gt;0, I14&lt;&gt;""), L14-I14, "")</s:f>
        <s:v>0</s:v>
      </s:c>
      <s:c r="O14" s="53">
        <s:v>30</s:v>
      </s:c>
      <s:c r="P14" s="38">
        <s:f>IF(AND(O14&lt;&gt;"", O14&lt;&gt;0, L14&lt;&gt;"", L14&lt;&gt;0), -O14+L14, "")</s:f>
        <s:v>0</s:v>
      </s:c>
      <s:c r="Q14" s="40" t="str">
        <s:f>IF(AND(P14&lt;&gt;"",P14&lt;&gt;0,O14&lt;&gt;0,O14&lt;&gt;""),P14/O14,"")</s:f>
        <s:v/>
      </s:c>
      <s:c r="R14" s="6"/>
      <s:c r="S14" s="6"/>
      <s:c r="T14" s="8"/>
      <s:c r="U14" s="32"/>
      <s:c r="V14" s="6"/>
      <s:c r="W14" s="8"/>
      <s:c r="X14" s="6"/>
      <s:c r="Y14" s="6"/>
    </s:row>
    <s:row r="15" spans="1:25" ht="15.75" customHeight="1">
      <s:c r="A15" s="4"/>
      <s:c r="B15" s="16"/>
      <s:c r="C15" s="6"/>
      <s:c r="D15" s="6"/>
      <s:c r="E15" s="6"/>
      <s:c r="F15" s="621" t="s">
        <s:v>19</s:v>
      </s:c>
      <s:c r="G15" s="622"/>
      <s:c r="H15" s="623"/>
      <s:c r="I15" s="564">
        <s:f>I8/I14</s:f>
        <s:v>81965.52</s:v>
      </s:c>
      <s:c r="J15" s="56">
        <s:f>J8/J14</s:f>
        <s:v>58673.7</s:v>
      </s:c>
      <s:c r="K15" s="565">
        <s:f>IF(AND(I15&lt;&gt;"", I15&lt;&gt;0, J15&lt;&gt;""), J15/I15, "")</s:f>
        <s:v>0.71583392626558084</s:v>
      </s:c>
      <s:c r="L15" s="579">
        <s:f>J15</s:f>
        <s:v>58673.7</s:v>
      </s:c>
      <s:c r="M15" s="58">
        <s:f>IF(AND(I15&lt;&gt;"", I15&lt;&gt;0, L15&lt;&gt;"", L15&lt;&gt;0), L15/I15, "")</s:f>
        <s:v>0.71583392626558084</s:v>
      </s:c>
      <s:c r="N15" s="470">
        <s:f>IF(AND(J15&lt;&gt;0, J15&lt;&gt;"", I15&lt;&gt;0, I15&lt;&gt;""), L15-I15, "")</s:f>
        <s:v>-23291.820000000007</s:v>
      </s:c>
      <s:c r="O15" s="422">
        <s:v>68957.953333333338</s:v>
      </s:c>
      <s:c r="P15" s="38">
        <s:f>IF(AND(O15&lt;&gt;"", O15&lt;&gt;0, L15&lt;&gt;"", L15&lt;&gt;0), -O15+L15, "")</s:f>
        <s:v>-10284.253333333341</s:v>
      </s:c>
      <s:c r="Q15" s="40">
        <s:f>IF(AND(P15&lt;&gt;"",P15&lt;&gt;0,O15&lt;&gt;0,O15&lt;&gt;""),P15/O15,"")</s:f>
        <s:v>-0.14913803029536946</s:v>
      </s:c>
      <s:c r="R15" s="6"/>
      <s:c r="S15" s="6"/>
      <s:c r="T15" s="8"/>
      <s:c r="U15" s="6"/>
      <s:c r="V15" s="6"/>
      <s:c r="W15" s="8"/>
      <s:c r="X15" s="6"/>
      <s:c r="Y15" s="6"/>
    </s:row>
    <s:row r="16" spans="1:25" ht="15.75" customHeight="1">
      <s:c r="A16" s="4"/>
      <s:c r="B16" s="16"/>
      <s:c r="C16" s="6"/>
      <s:c r="D16" s="6"/>
      <s:c r="E16" s="6"/>
      <s:c r="F16" s="621" t="s">
        <s:v>20</s:v>
      </s:c>
      <s:c r="G16" s="622"/>
      <s:c r="H16" s="623"/>
      <s:c r="I16" s="564"/>
      <s:c r="J16" s="56">
        <s:f>J8-I15*J14</s:f>
        <s:v>-698754.60000000009</s:v>
      </s:c>
      <s:c r="K16" s="565" t="str">
        <s:f>IF(AND(I16&lt;&gt;"", I16&lt;&gt;0, J16&lt;&gt;""), J16/I16, "")</s:f>
        <s:v/>
      </s:c>
      <s:c r="L16" s="580">
        <s:f>J16</s:f>
        <s:v>-698754.60000000009</s:v>
      </s:c>
      <s:c r="M16" s="61" t="str">
        <s:f>IF(AND(I16&lt;&gt;"", I16&lt;&gt;0, L16&lt;&gt;"", L16&lt;&gt;0), L16/I16, "")</s:f>
        <s:v/>
      </s:c>
      <s:c r="N16" s="470" t="str">
        <s:f>IF(AND(J16&lt;&gt;0, J16&lt;&gt;"", I16&lt;&gt;0, I16&lt;&gt;""), L16-I16, "")</s:f>
        <s:v/>
      </s:c>
      <s:c r="O16" s="59">
        <s:v>-519369.56000000006</s:v>
      </s:c>
      <s:c r="P16" s="38">
        <s:f>IF(AND(O16&lt;&gt;"", O16&lt;&gt;0, L16&lt;&gt;"", L16&lt;&gt;0), -O16+L16, "")</s:f>
        <s:v>-179385.04000000004</s:v>
      </s:c>
      <s:c r="Q16" s="40">
        <s:f>IF(AND(P16&lt;&gt;"",P16&lt;&gt;0,O16&lt;&gt;0,O16&lt;&gt;""),P16/O16,"")</s:f>
        <s:v>0.34538997626275986</s:v>
      </s:c>
      <s:c r="R16" s="6"/>
      <s:c r="S16" s="6"/>
      <s:c r="T16" s="8"/>
      <s:c r="U16" s="6"/>
      <s:c r="V16" s="6"/>
      <s:c r="W16" s="8"/>
      <s:c r="X16" s="6"/>
      <s:c r="Y16" s="6"/>
    </s:row>
    <s:row r="17" spans="1:260" ht="15.75" customHeight="1">
      <s:c r="A17" s="4"/>
      <s:c r="B17" s="16"/>
      <s:c r="C17" s="6"/>
      <s:c r="D17" s="62"/>
      <s:c r="E17" s="6"/>
      <s:c r="F17" s="621" t="s">
        <s:v>21</s:v>
      </s:c>
      <s:c r="G17" s="622"/>
      <s:c r="H17" s="623"/>
      <s:c r="I17" s="566">
        <s:v>1800</s:v>
      </s:c>
      <s:c r="J17" s="56">
        <s:f>I56</s:f>
        <s:v>1591.2</s:v>
      </s:c>
      <s:c r="K17" s="565">
        <s:f>IF(AND(I17&lt;&gt;"", I17&lt;&gt;0, J17&lt;&gt;""), J17/I17, "")</s:f>
        <s:v>0.88400000000000001</s:v>
      </s:c>
      <s:c r="L17" s="580">
        <s:f>J17/J14*I14</s:f>
        <s:v>1591.2</s:v>
      </s:c>
      <s:c r="M17" s="61">
        <s:f>IF(AND(I17&lt;&gt;"", I17&lt;&gt;0, L17&lt;&gt;"", L17&lt;&gt;0), L17/I17, "")</s:f>
        <s:v>0.88400000000000001</s:v>
      </s:c>
      <s:c r="N17" s="470">
        <s:f>IF(AND(J17&lt;&gt;0, J17&lt;&gt;"", I17&lt;&gt;0, I17&lt;&gt;""), L17-I17, "")</s:f>
        <s:v>-208.79999999999899</s:v>
      </s:c>
      <s:c r="O17" s="59">
        <s:v>893</s:v>
      </s:c>
      <s:c r="P17" s="38">
        <s:f>IF(AND(O17&lt;&gt;"", O17&lt;&gt;0, L17&lt;&gt;"", L17&lt;&gt;0), -O17+L17, "")</s:f>
        <s:v>698.2</s:v>
      </s:c>
      <s:c r="Q17" s="40">
        <s:f>IF(AND(P17&lt;&gt;"",P17&lt;&gt;0,O17&lt;&gt;0,O17&lt;&gt;""),P17/O17,"")</s:f>
        <s:v>0.78185890257558799</s:v>
      </s:c>
      <s:c r="R17" s="6"/>
      <s:c r="S17" s="6"/>
      <s:c r="T17" s="8"/>
      <s:c r="U17" s="6"/>
      <s:c r="V17" s="6"/>
      <s:c r="W17" s="8"/>
      <s:c r="X17" s="6"/>
      <s:c r="Y17" s="6"/>
    </s:row>
    <s:row r="18" spans="1:260" ht="15.75" customHeight="1">
      <s:c r="A18" s="4"/>
      <s:c r="B18" s="16"/>
      <s:c r="C18" s="6"/>
      <s:c r="D18" s="6"/>
      <s:c r="E18" s="6"/>
      <s:c r="F18" s="452" t="s">
        <s:v>22</s:v>
      </s:c>
      <s:c r="G18" s="453"/>
      <s:c r="H18" s="454"/>
      <s:c r="I18" s="567">
        <s:f>I8/I17</s:f>
        <s:v>1366.0920000000001</s:v>
      </s:c>
      <s:c r="J18" s="56">
        <s:f>J8/J17</s:f>
        <s:v>1106.2160633484164</s:v>
      </s:c>
      <s:c r="K18" s="568">
        <s:f>IF(AND(I18&lt;&gt;"", I18&lt;&gt;0, J18&lt;&gt;""), J18/I18, "")</s:f>
        <s:v>0.8097668849158155</s:v>
      </s:c>
      <s:c r="L18" s="581">
        <s:f>J18</s:f>
        <s:v>1106.2160633484164</s:v>
      </s:c>
      <s:c r="M18" s="61">
        <s:f>IF(AND(I18&lt;&gt;"", I18&lt;&gt;0, L18&lt;&gt;"", L18&lt;&gt;0), L18/I18, "")</s:f>
        <s:v>0.8097668849158155</s:v>
      </s:c>
      <s:c r="N18" s="470">
        <s:f>IF(AND(J18&lt;&gt;0, J18&lt;&gt;"", I18&lt;&gt;0, I18&lt;&gt;""), L18-I18, "")</s:f>
        <s:v>-259.87593665158374</s:v>
      </s:c>
      <s:c r="O18" s="67"/>
      <s:c r="P18" s="38" t="str">
        <s:f>IF(AND(O18&lt;&gt;"", O18&lt;&gt;0, L18&lt;&gt;"", L18&lt;&gt;0), -O18+L18, "")</s:f>
        <s:v/>
      </s:c>
      <s:c r="Q18" s="40" t="str">
        <s:f>IF(AND(P18&lt;&gt;"",P18&lt;&gt;0,O18&lt;&gt;0,O18&lt;&gt;""),P18/O18,"")</s:f>
        <s:v/>
      </s:c>
      <s:c r="R18" s="6"/>
      <s:c r="S18" s="6"/>
      <s:c r="T18" s="8"/>
      <s:c r="U18" s="6"/>
      <s:c r="V18" s="6"/>
      <s:c r="W18" s="8"/>
      <s:c r="X18" s="6"/>
      <s:c r="Y18" s="6"/>
    </s:row>
    <s:row r="19" spans="1:260" ht="15.75" customHeight="1">
      <s:c r="A19" s="4"/>
      <s:c r="B19" s="16"/>
      <s:c r="C19" s="6"/>
      <s:c r="D19" s="6"/>
      <s:c r="E19" s="6"/>
      <s:c r="F19" s="633"/>
      <s:c r="G19" s="634"/>
      <s:c r="H19" s="635"/>
      <s:c r="I19" s="567"/>
      <s:c r="J19" s="56"/>
      <s:c r="K19" s="568" t="str">
        <s:f>IF(AND(I19&lt;&gt;"", I19&lt;&gt;0, J19&lt;&gt;""), J19/I19, "")</s:f>
        <s:v/>
      </s:c>
      <s:c r="L19" s="581">
        <s:f>J19</s:f>
        <s:v>0</s:v>
      </s:c>
      <s:c r="M19" s="61" t="str">
        <s:f>IF(AND(I19&lt;&gt;"", I19&lt;&gt;0, L19&lt;&gt;"", L19&lt;&gt;0), L19/I19, "")</s:f>
        <s:v/>
      </s:c>
      <s:c r="N19" s="470" t="str">
        <s:f>IF(AND(J19&lt;&gt;0, J19&lt;&gt;"", I19&lt;&gt;0, I19&lt;&gt;""), L19-I19, "")</s:f>
        <s:v/>
      </s:c>
      <s:c r="O19" s="59">
        <s:v>0</s:v>
      </s:c>
      <s:c r="P19" s="38" t="str">
        <s:f>IF(AND(O19&lt;&gt;"", O19&lt;&gt;0, L19&lt;&gt;"", L19&lt;&gt;0), -O19+L19, "")</s:f>
        <s:v/>
      </s:c>
      <s:c r="Q19" s="40" t="str">
        <s:f>IF(AND(P19&lt;&gt;"",P19&lt;&gt;0,O19&lt;&gt;0,O19&lt;&gt;""),P19/O19,"")</s:f>
        <s:v/>
      </s:c>
      <s:c r="R19" s="6"/>
      <s:c r="S19" s="6"/>
      <s:c r="T19" s="54"/>
      <s:c r="U19" s="6"/>
      <s:c r="V19" s="6"/>
      <s:c r="W19" s="8"/>
      <s:c r="X19" s="6"/>
      <s:c r="Y19" s="6"/>
    </s:row>
    <s:row r="20" spans="1:260" ht="15.75" customHeight="1" thickBot="1">
      <s:c r="A20" s="4"/>
      <s:c r="B20" s="16"/>
      <s:c r="C20" s="6"/>
      <s:c r="D20" s="6"/>
      <s:c r="E20" s="6"/>
      <s:c r="F20" s="460" t="s">
        <s:v>23</s:v>
      </s:c>
      <s:c r="G20" s="461"/>
      <s:c r="H20" s="462"/>
      <s:c r="I20" s="569">
        <s:v>0.108</s:v>
      </s:c>
      <s:c r="J20" s="68">
        <s:f>S56</s:f>
        <s:v>8.3584715937657095E-2</s:v>
      </s:c>
      <s:c r="K20" s="570">
        <s:f>J20/I20</s:f>
        <s:v>0.77393255497830604</s:v>
      </s:c>
      <s:c r="L20" s="582">
        <s:f>IF(AND(K8&lt;&gt;0,I14&lt;&gt;0,I56&lt;&gt;0),(I56*S56+(I56/K8-I56)*I20)/(I56/K8),0)</s:f>
        <s:v>9.0522711348763621E-2</s:v>
      </s:c>
      <s:c r="M20" s="69">
        <s:f>IF(AND(I20&lt;&gt;"", I20&lt;&gt;0, L20&lt;&gt;"", L20&lt;&gt;0), L20/I20, "")</s:f>
        <s:v>0.83817325322929281</s:v>
      </s:c>
      <s:c r="N20" s="73">
        <s:f>IF(AND(J20&lt;&gt;0, J20&lt;&gt;"", I20&lt;&gt;0, I20&lt;&gt;""), L20-I20, "")</s:f>
        <s:v>-1.7477288651236378E-2</s:v>
      </s:c>
      <s:c r="O20" s="71">
        <s:v>0.21836506159014557</s:v>
      </s:c>
      <s:c r="P20" s="425">
        <s:f>IF(AND(O20&lt;&gt;"", O20&lt;&gt;0, L20&lt;&gt;"", L20&lt;&gt;0), -O20+L20, "")</s:f>
        <s:v>-0.12784235024138196</s:v>
      </s:c>
      <s:c r="Q20" s="73">
        <s:f>IF(AND(P20&lt;&gt;"",P20&lt;&gt;0,O20&lt;&gt;0,O20&lt;&gt;""),P20/O20,"")</s:f>
        <s:v>-0.58545240392591846</s:v>
      </s:c>
      <s:c r="R20" s="6"/>
      <s:c r="S20" s="6"/>
      <s:c r="T20" s="17"/>
      <s:c r="U20" s="18"/>
      <s:c r="V20" s="6"/>
      <s:c r="W20" s="8"/>
      <s:c r="X20" s="6"/>
      <s:c r="Y20" s="6"/>
    </s:row>
    <s:row r="21" spans="1:260" ht="15.75" customHeight="1" thickBot="1">
      <s:c r="A21" s="4"/>
      <s:c r="B21" s="16"/>
      <s:c r="C21" s="6"/>
      <s:c r="D21" s="74"/>
      <s:c r="E21" s="6"/>
      <s:c r="F21" s="6"/>
      <s:c r="G21" s="6"/>
      <s:c r="H21" s="6"/>
      <s:c r="I21" s="6"/>
      <s:c r="J21" s="6"/>
      <s:c r="K21" s="6"/>
      <s:c r="L21" s="6"/>
      <s:c r="M21" s="6"/>
      <s:c r="N21" s="6"/>
      <s:c r="O21" s="6"/>
      <s:c r="P21" s="6"/>
      <s:c r="Q21" s="6"/>
      <s:c r="R21" s="6"/>
      <s:c r="S21" s="6"/>
      <s:c r="T21" s="17"/>
      <s:c r="U21" s="18"/>
      <s:c r="V21" s="6"/>
      <s:c r="W21" s="8"/>
      <s:c r="X21" s="6"/>
      <s:c r="Y21" s="6"/>
    </s:row>
    <s:row r="22" spans="1:260" ht="21" customHeight="1" thickBot="1">
      <s:c r="A22" s="624" t="s">
        <s:v>24</s:v>
      </s:c>
      <s:c r="B22" s="625"/>
      <s:c r="C22" s="625"/>
      <s:c r="D22" s="625"/>
      <s:c r="E22" s="625"/>
      <s:c r="F22" s="625"/>
      <s:c r="G22" s="625"/>
      <s:c r="H22" s="625"/>
      <s:c r="I22" s="625"/>
      <s:c r="J22" s="625"/>
      <s:c r="K22" s="625"/>
      <s:c r="L22" s="625"/>
      <s:c r="M22" s="625"/>
      <s:c r="N22" s="625"/>
      <s:c r="O22" s="625"/>
      <s:c r="P22" s="625"/>
      <s:c r="Q22" s="625"/>
      <s:c r="R22" s="625"/>
      <s:c r="S22" s="626"/>
      <s:c r="T22" s="627" t="s">
        <s:v>44</s:v>
      </s:c>
      <s:c r="U22" s="624" t="s">
        <s:v>25</s:v>
      </s:c>
      <s:c r="V22" s="625"/>
      <s:c r="W22" s="625"/>
      <s:c r="X22" s="625"/>
      <s:c r="Y22" s="625"/>
      <s:c r="Z22" s="625"/>
      <s:c r="AA22" s="625"/>
      <s:c r="AB22" s="626"/>
    </s:row>
    <s:row r="23" ht="36">
      <s:c r="A23" s="636" t="s">
        <s:v>26</s:v>
      </s:c>
      <s:c r="B23" s="511" t="s">
        <s:v>27</s:v>
      </s:c>
      <s:c r="C23" s="485" t="s">
        <s:v>28</s:v>
      </s:c>
      <s:c r="D23" s="518" t="s">
        <s:v>29</s:v>
      </s:c>
      <s:c r="E23" s="484" t="s">
        <s:v>30</s:v>
      </s:c>
      <s:c r="F23" s="484" t="s">
        <s:v>31</s:v>
      </s:c>
      <s:c r="G23" s="484" t="s">
        <s:v>32</s:v>
      </s:c>
      <s:c r="H23" s="484" t="s">
        <s:v>33</s:v>
      </s:c>
      <s:c r="I23" s="484" t="s">
        <s:v>21</s:v>
      </s:c>
      <s:c r="J23" s="485" t="s">
        <s:v>34</s:v>
      </s:c>
      <s:c r="K23" s="477" t="s">
        <s:v>35</s:v>
      </s:c>
      <s:c r="L23" s="478" t="s">
        <s:v>36</s:v>
      </s:c>
      <s:c r="M23" s="478" t="s">
        <s:v>37</s:v>
      </s:c>
      <s:c r="N23" s="478" t="s">
        <s:v>38</s:v>
      </s:c>
      <s:c r="O23" s="478" t="s">
        <s:v>39</s:v>
      </s:c>
      <s:c r="P23" s="478" t="s">
        <s:v>40</s:v>
      </s:c>
      <s:c r="Q23" s="478" t="s">
        <s:v>41</s:v>
      </s:c>
      <s:c r="R23" s="479" t="s">
        <s:v>42</s:v>
      </s:c>
      <s:c r="S23" s="489" t="s">
        <s:v>43</s:v>
      </s:c>
      <s:c r="T23" s="628"/>
      <s:c r="U23" s="511" t="s">
        <s:v>45</s:v>
      </s:c>
      <s:c r="V23" s="512" t="s">
        <s:v>46</s:v>
      </s:c>
      <s:c r="W23" s="484" t="s">
        <s:v>47</s:v>
      </s:c>
      <s:c r="X23" s="512" t="s">
        <s:v>48</s:v>
      </s:c>
      <s:c r="Y23" s="484" t="s">
        <s:v>49</s:v>
      </s:c>
      <s:c r="Z23" s="512" t="s">
        <s:v>50</s:v>
      </s:c>
      <s:c r="AA23" s="513" t="s">
        <s:v>51</s:v>
      </s:c>
      <s:c r="AB23" s="514" t="s">
        <s:v>52</s:v>
      </s:c>
    </s:row>
    <s:row r="24">
      <s:c r="A24" s="637"/>
      <s:c r="B24" s="504">
        <s:v>1</s:v>
      </s:c>
      <s:c r="C24" s="503">
        <s:v>2</s:v>
      </s:c>
      <s:c r="D24" s="519">
        <s:v>3</s:v>
      </s:c>
      <s:c r="E24" s="502">
        <s:v>4</s:v>
      </s:c>
      <s:c r="F24" s="502">
        <s:v>5</s:v>
      </s:c>
      <s:c r="G24" s="502">
        <s:v>6</s:v>
      </s:c>
      <s:c r="H24" s="502">
        <s:v>7</s:v>
      </s:c>
      <s:c r="I24" s="502">
        <s:v>8</s:v>
      </s:c>
      <s:c r="J24" s="503">
        <s:v>9</s:v>
      </s:c>
      <s:c r="K24" s="504">
        <s:v>10</s:v>
      </s:c>
      <s:c r="L24" s="502">
        <s:v>11</s:v>
      </s:c>
      <s:c r="M24" s="502">
        <s:v>12</s:v>
      </s:c>
      <s:c r="N24" s="502">
        <s:v>13</s:v>
      </s:c>
      <s:c r="O24" s="502">
        <s:v>14</s:v>
      </s:c>
      <s:c r="P24" s="502">
        <s:v>15</s:v>
      </s:c>
      <s:c r="Q24" s="502">
        <s:v>16</s:v>
      </s:c>
      <s:c r="R24" s="503">
        <s:v>17</s:v>
      </s:c>
      <s:c r="S24" s="505">
        <s:v>17</s:v>
      </s:c>
      <s:c r="T24" s="629"/>
      <s:c r="U24" s="515">
        <s:v>1</s:v>
      </s:c>
      <s:c r="V24" s="516">
        <s:v>2</s:v>
      </s:c>
      <s:c r="W24" s="516">
        <s:v>3</s:v>
      </s:c>
      <s:c r="X24" s="516">
        <s:v>4</s:v>
      </s:c>
      <s:c r="Y24" s="516">
        <s:v>5</s:v>
      </s:c>
      <s:c r="Z24" s="516">
        <s:v>6</s:v>
      </s:c>
      <s:c r="AA24" s="516">
        <s:v>10</s:v>
      </s:c>
      <s:c r="AB24" s="517">
        <s:v>11</s:v>
      </s:c>
    </s:row>
    <s:row r="25">
      <s:c r="A25" s="520" t="s">
        <s:v>60</s:v>
      </s:c>
      <s:c r="B25" s="524">
        <s:v>46113</s:v>
      </s:c>
      <s:c r="C25" s="525" t="s">
        <s:v>56</s:v>
      </s:c>
      <s:c r="D25" s="593">
        <s:v>125962</s:v>
      </s:c>
      <s:c r="E25" s="241">
        <s:v>13</s:v>
      </s:c>
      <s:c r="F25" s="241">
        <s:f>IF(AND(E25&lt;&gt;"",E25&lt;&gt;0),D25/E25,"")</s:f>
        <s:v>9689.3846153846098</s:v>
      </s:c>
      <s:c r="G25" s="241">
        <s:v>6</s:v>
      </s:c>
      <s:c r="H25" s="241">
        <s:f>IF(AND(G25&lt;&gt;"",G25&lt;&gt;0),D25/G25,"")</s:f>
        <s:v>20993.666666666599</s:v>
      </s:c>
      <s:c r="I25" s="589">
        <s:v>74</s:v>
      </s:c>
      <s:c r="J25" s="498">
        <s:f>IF(AND(G25&lt;&gt;"",G25&lt;&gt;0),E25/G25,"")</s:f>
        <s:v>2.1666666666666599</s:v>
      </s:c>
      <s:c r="K25" s="499">
        <s:v>24291</s:v>
      </s:c>
      <s:c r="L25" s="241"/>
      <s:c r="M25" s="241"/>
      <s:c r="N25" s="241">
        <s:v>34542</s:v>
      </s:c>
      <s:c r="O25" s="241"/>
      <s:c r="P25" s="241"/>
      <s:c r="Q25" s="241">
        <s:v>21343</s:v>
      </s:c>
      <s:c r="R25" s="500"/>
      <s:c r="S25" s="501">
        <s:f>IF(AND(I25&lt;&gt;"",I25&lt;&gt;0),G25/I25,"")</s:f>
        <s:v>8.1081081081081086E-2</s:v>
      </s:c>
      <s:c r="T25" s="492">
        <s:f>D25/U25</s:f>
        <s:v>0.87086173519529197</s:v>
      </s:c>
      <s:c r="U25" s="506">
        <s:f>$I$8*AA25*AB25/SUMPRODUCT($AB$25:$AB$55,$AA$25:$AA$55)</s:f>
        <s:v>144640.64145814473</s:v>
      </s:c>
      <s:c r="V25" s="507">
        <s:f>$I$9*AA25*AB25/SUMPRODUCT($AB$25:$AB$55,$AA$25:$AA$55)</s:f>
        <s:v>20.811603087502839</s:v>
      </s:c>
      <s:c r="W25" s="507">
        <s:f>IF($I$12="","",V25/$I$12)</s:f>
        <s:v>11.434946751375186</s:v>
      </s:c>
      <s:c r="X25" s="508">
        <s:f>IF(D25&lt;&gt;"",D25,U25)</s:f>
        <s:v>125962</s:v>
      </s:c>
      <s:c r="Y25" s="507">
        <s:f>IF(E25&lt;&gt;"",E25,V25)</s:f>
        <s:v>13</s:v>
      </s:c>
      <s:c r="Z25" s="507">
        <s:f>IF(G25&lt;&gt;"",G25,W25)</s:f>
        <s:v>6</s:v>
      </s:c>
      <s:c r="AA25" s="509">
        <s:v>1</s:v>
      </s:c>
      <s:c r="AB25" s="510">
        <s:v>1.51</s:v>
      </s:c>
      <s:c r="AC25"/>
      <s:c r="AD25"/>
      <s:c r="AE25"/>
      <s:c r="AF25"/>
      <s:c r="AG25"/>
      <s:c r="AH25"/>
      <s:c r="AI25"/>
      <s:c r="AJ25"/>
      <s:c r="AK25"/>
      <s:c r="AL25"/>
      <s:c r="AM25"/>
      <s:c r="AN25"/>
      <s:c r="AO25"/>
      <s:c r="AP25"/>
      <s:c r="AQ25"/>
      <s:c r="AR25"/>
      <s:c r="AS25"/>
      <s:c r="AT25"/>
      <s:c r="IX25" s="2"/>
      <s:c r="IY25" s="2"/>
      <s:c r="IZ25" s="2"/>
    </s:row>
    <s:row r="26">
      <s:c r="A26" s="521" t="s">
        <s:v>60</s:v>
      </s:c>
      <s:c r="B26" s="526">
        <s:v>46114</s:v>
      </s:c>
      <s:c r="C26" s="527" t="s">
        <s:v>57</s:v>
      </s:c>
      <s:c r="D26" s="594">
        <s:v>19644</s:v>
      </s:c>
      <s:c r="E26" s="85">
        <s:v>4</s:v>
      </s:c>
      <s:c r="F26" s="85">
        <s:f>IF(AND(E26&lt;&gt;"",E26&lt;&gt;0),D26/E26,"")</s:f>
        <s:v>4911</s:v>
      </s:c>
      <s:c r="G26" s="85">
        <s:v>2</s:v>
      </s:c>
      <s:c r="H26" s="85">
        <s:f>IF(AND(G26&lt;&gt;"",G26&lt;&gt;0),D26/G26,"")</s:f>
        <s:v>9822</s:v>
      </s:c>
      <s:c r="I26" s="588">
        <s:v>39</s:v>
      </s:c>
      <s:c r="J26" s="486">
        <s:f>IF(AND(G26&lt;&gt;"",G26&lt;&gt;0),E26/G26,"")</s:f>
        <s:v>2</s:v>
      </s:c>
      <s:c r="K26" s="480"/>
      <s:c r="L26" s="85"/>
      <s:c r="M26" s="85"/>
      <s:c r="N26" s="85"/>
      <s:c r="O26" s="85"/>
      <s:c r="P26" s="85"/>
      <s:c r="Q26" s="85"/>
      <s:c r="R26" s="481"/>
      <s:c r="S26" s="490">
        <s:f>IF(AND(I26&lt;&gt;"",I26&lt;&gt;0),G26/I26,"")</s:f>
        <s:v>5.128205128205128E-2</s:v>
      </s:c>
      <s:c r="T26" s="492">
        <s:f>D26/U26</s:f>
        <s:v>0.89163826386999512</s:v>
      </s:c>
      <s:c r="U26" s="494">
        <s:f>$I$8*AA26*AB26/SUMPRODUCT($AB$25:$AB$55,$AA$25:$AA$55)</s:f>
        <s:v>22031.355983690919</s:v>
      </s:c>
      <s:c r="V26" s="89">
        <s:f>$I$9*AA26*AB26/SUMPRODUCT($AB$25:$AB$55,$AA$25:$AA$55)</s:f>
        <s:v>3.1699792782289089</s:v>
      </s:c>
      <s:c r="W26" s="89">
        <s:f>IF($I$12="","",V26/$I$12)</s:f>
        <s:v>1.74174685616973</s:v>
      </s:c>
      <s:c r="X26" s="88">
        <s:f>IF(AB26&lt;&gt;"",IF(D26&lt;&gt;"",D26,($I$8-SUM($X$25:X25))*AA26*AB26/SUMPRODUCT($AB26:$AB$55,$AA26:$AA$55)),"")</s:f>
        <s:v>19644</s:v>
      </s:c>
      <s:c r="Y26" s="89">
        <s:f>IF(AB26&lt;&gt;"",IF(E26&lt;&gt;"",E26,($I$9-SUM($Y$25:Y25))*AA26*AB26/SUMPRODUCT($AB26:$AB$55,$AA26:$AA$55)),"")</s:f>
        <s:v>4</s:v>
      </s:c>
      <s:c r="Z26" s="89">
        <s:f>IF(AB26&lt;&gt;"",IF(E26&lt;&gt;"",E26,($I$9-SUM($Y$25:Y25))*AA26*AB26/SUMPRODUCT($AB26:$AB$55,$AA26:$AA$55)),"")</s:f>
        <s:v>4</s:v>
      </s:c>
      <s:c r="AA26" s="90">
        <s:v>1</s:v>
      </s:c>
      <s:c r="AB26" s="495">
        <s:v>0.23</s:v>
      </s:c>
      <s:c r="AC26"/>
      <s:c r="AD26"/>
      <s:c r="AE26"/>
      <s:c r="AF26"/>
      <s:c r="AG26"/>
      <s:c r="AH26"/>
      <s:c r="AI26"/>
      <s:c r="AJ26"/>
      <s:c r="AK26"/>
      <s:c r="AL26"/>
      <s:c r="AM26"/>
      <s:c r="AN26"/>
      <s:c r="AO26"/>
      <s:c r="AP26"/>
      <s:c r="AQ26"/>
      <s:c r="AR26"/>
      <s:c r="AS26"/>
      <s:c r="AT26"/>
      <s:c r="IX26" s="2"/>
      <s:c r="IY26" s="2"/>
      <s:c r="IZ26" s="2"/>
    </s:row>
    <s:row r="27" spans="1:260" s="433" customFormat="1">
      <s:c r="A27" s="522" t="s">
        <s:v>133</s:v>
      </s:c>
      <s:c r="B27" s="528">
        <s:v>46115</s:v>
      </s:c>
      <s:c r="C27" s="529" t="s">
        <s:v>58</s:v>
      </s:c>
      <s:c r="D27" s="595">
        <s:v>25357</s:v>
      </s:c>
      <s:c r="E27" s="487">
        <s:v>6</s:v>
      </s:c>
      <s:c r="F27" s="429">
        <s:f>IF(AND(E27&lt;&gt;"",E27&lt;&gt;0),D27/E27,"")</s:f>
        <s:v>4226.1666666666597</s:v>
      </s:c>
      <s:c r="G27" s="487">
        <s:v>3</s:v>
      </s:c>
      <s:c r="H27" s="429">
        <s:f>IF(AND(G27&lt;&gt;"",G27&lt;&gt;0),D27/G27,"")</s:f>
        <s:v>8452.3333333333303</s:v>
      </s:c>
      <s:c r="I27" s="590">
        <s:v>53</s:v>
      </s:c>
      <s:c r="J27" s="488">
        <s:f>IF(AND(G27&lt;&gt;"",G27&lt;&gt;0),E27/G27,"")</s:f>
        <s:v>2</s:v>
      </s:c>
      <s:c r="K27" s="482"/>
      <s:c r="L27" s="429"/>
      <s:c r="M27" s="429"/>
      <s:c r="N27" s="429"/>
      <s:c r="O27" s="429"/>
      <s:c r="P27" s="429"/>
      <s:c r="Q27" s="429"/>
      <s:c r="R27" s="749">
        <s:v>3795</s:v>
      </s:c>
      <s:c r="S27" s="491">
        <s:f>IF(AND(I27&lt;&gt;"",I27&lt;&gt;0),G27/I27,"")</s:f>
        <s:v>5.6603773584905662E-2</s:v>
      </s:c>
      <s:c r="T27" s="493">
        <s:f>D27/U27</s:f>
        <s:v>0.88239537689181391</s:v>
      </s:c>
      <s:c r="U27" s="496">
        <s:f>$I$8*AA27*AB27/SUMPRODUCT($AB$25:$AB$55,$AA$25:$AA$55)</s:f>
        <s:v>28736.55128307511</s:v>
      </s:c>
      <s:c r="V27" s="431">
        <s:f>$I$9*AA27*AB27/SUMPRODUCT($AB$25:$AB$55,$AA$25:$AA$55)</s:f>
        <s:v>4.1347555802985765</s:v>
      </s:c>
      <s:c r="W27" s="431">
        <s:f>IF($I$12="","",V27/$I$12)</s:f>
        <s:v>2.271843725438778</s:v>
      </s:c>
      <s:c r="X27" s="430">
        <s:f>IF(AB27&lt;&gt;"",IF(D27&lt;&gt;"",D27,($I$8-SUM($X$25:X26))*AA27*AB27/SUMPRODUCT($AB27:$AB$55,$AA27:$AA$55)),"")</s:f>
        <s:v>25357</s:v>
      </s:c>
      <s:c r="Y27" s="431">
        <s:f>IF(AB27&lt;&gt;"",IF(E27&lt;&gt;"",E27,($I$9-SUM($Y$25:Y26))*AA27*AB27/SUMPRODUCT($AB27:$AB$55,$AA27:$AA$55)),"")</s:f>
        <s:v>6</s:v>
      </s:c>
      <s:c r="Z27" s="431">
        <s:f>IF(AB27&lt;&gt;"",IF(E27&lt;&gt;"",E27,($I$9-SUM($Y$25:Y26))*AA27*AB27/SUMPRODUCT($AB27:$AB$55,$AA27:$AA$55)),"")</s:f>
        <s:v>6</s:v>
      </s:c>
      <s:c r="AA27" s="432">
        <s:v>1</s:v>
      </s:c>
      <s:c r="AB27" s="497">
        <s:v>0.3</s:v>
      </s:c>
      <s:c r="AU27" s="434"/>
      <s:c r="AV27" s="434"/>
      <s:c r="AW27" s="434"/>
      <s:c r="AX27" s="434"/>
      <s:c r="AY27" s="434"/>
      <s:c r="AZ27" s="434"/>
      <s:c r="BA27" s="434"/>
      <s:c r="BB27" s="434"/>
      <s:c r="BC27" s="434"/>
      <s:c r="BD27" s="434"/>
      <s:c r="BE27" s="434"/>
      <s:c r="BF27" s="434"/>
      <s:c r="BG27" s="434"/>
      <s:c r="BH27" s="434"/>
      <s:c r="BI27" s="434"/>
      <s:c r="BJ27" s="434"/>
      <s:c r="BK27" s="434"/>
      <s:c r="BL27" s="434"/>
      <s:c r="BM27" s="434"/>
      <s:c r="BN27" s="434"/>
      <s:c r="BO27" s="434"/>
      <s:c r="BP27" s="434"/>
      <s:c r="BQ27" s="434"/>
      <s:c r="BR27" s="434"/>
      <s:c r="BS27" s="434"/>
      <s:c r="BT27" s="434"/>
      <s:c r="BU27" s="434"/>
      <s:c r="BV27" s="434"/>
      <s:c r="BW27" s="434"/>
      <s:c r="BX27" s="434"/>
      <s:c r="BY27" s="434"/>
      <s:c r="BZ27" s="434"/>
      <s:c r="CA27" s="434"/>
      <s:c r="CB27" s="434"/>
      <s:c r="CC27" s="434"/>
      <s:c r="CD27" s="434"/>
      <s:c r="CE27" s="434"/>
      <s:c r="CF27" s="434"/>
      <s:c r="CG27" s="434"/>
      <s:c r="CH27" s="434"/>
      <s:c r="CI27" s="434"/>
      <s:c r="CJ27" s="434"/>
      <s:c r="CK27" s="434"/>
      <s:c r="CL27" s="434"/>
      <s:c r="CM27" s="434"/>
      <s:c r="CN27" s="434"/>
      <s:c r="CO27" s="434"/>
      <s:c r="CP27" s="434"/>
      <s:c r="CQ27" s="434"/>
      <s:c r="CR27" s="434"/>
      <s:c r="CS27" s="434"/>
      <s:c r="CT27" s="434"/>
      <s:c r="CU27" s="434"/>
      <s:c r="CV27" s="434"/>
      <s:c r="CW27" s="434"/>
      <s:c r="CX27" s="434"/>
      <s:c r="CY27" s="434"/>
      <s:c r="CZ27" s="434"/>
      <s:c r="DA27" s="434"/>
      <s:c r="DB27" s="434"/>
      <s:c r="DC27" s="434"/>
      <s:c r="DD27" s="434"/>
      <s:c r="DE27" s="434"/>
      <s:c r="DF27" s="434"/>
      <s:c r="DG27" s="434"/>
      <s:c r="DH27" s="434"/>
      <s:c r="DI27" s="434"/>
      <s:c r="DJ27" s="434"/>
      <s:c r="DK27" s="434"/>
      <s:c r="DL27" s="434"/>
      <s:c r="DM27" s="434"/>
      <s:c r="DN27" s="434"/>
      <s:c r="DO27" s="434"/>
      <s:c r="DP27" s="434"/>
      <s:c r="DQ27" s="434"/>
      <s:c r="DR27" s="434"/>
      <s:c r="DS27" s="434"/>
      <s:c r="DT27" s="434"/>
      <s:c r="DU27" s="434"/>
      <s:c r="DV27" s="434"/>
      <s:c r="DW27" s="434"/>
      <s:c r="DX27" s="434"/>
      <s:c r="DY27" s="434"/>
      <s:c r="DZ27" s="434"/>
      <s:c r="EA27" s="434"/>
      <s:c r="EB27" s="434"/>
      <s:c r="EC27" s="434"/>
      <s:c r="ED27" s="434"/>
      <s:c r="EE27" s="434"/>
      <s:c r="EF27" s="434"/>
      <s:c r="EG27" s="434"/>
      <s:c r="EH27" s="434"/>
      <s:c r="EI27" s="434"/>
      <s:c r="EJ27" s="434"/>
      <s:c r="EK27" s="434"/>
      <s:c r="EL27" s="434"/>
      <s:c r="EM27" s="434"/>
      <s:c r="EN27" s="434"/>
      <s:c r="EO27" s="434"/>
      <s:c r="EP27" s="434"/>
      <s:c r="EQ27" s="434"/>
      <s:c r="ER27" s="434"/>
      <s:c r="ES27" s="434"/>
      <s:c r="ET27" s="434"/>
      <s:c r="EU27" s="434"/>
      <s:c r="EV27" s="434"/>
      <s:c r="EW27" s="434"/>
      <s:c r="EX27" s="434"/>
      <s:c r="EY27" s="434"/>
      <s:c r="EZ27" s="434"/>
      <s:c r="FA27" s="434"/>
      <s:c r="FB27" s="434"/>
      <s:c r="FC27" s="434"/>
      <s:c r="FD27" s="434"/>
      <s:c r="FE27" s="434"/>
      <s:c r="FF27" s="434"/>
      <s:c r="FG27" s="434"/>
      <s:c r="FH27" s="434"/>
      <s:c r="FI27" s="434"/>
      <s:c r="FJ27" s="434"/>
      <s:c r="FK27" s="434"/>
      <s:c r="FL27" s="434"/>
      <s:c r="FM27" s="434"/>
      <s:c r="FN27" s="434"/>
      <s:c r="FO27" s="434"/>
      <s:c r="FP27" s="434"/>
      <s:c r="FQ27" s="434"/>
      <s:c r="FR27" s="434"/>
      <s:c r="FS27" s="434"/>
      <s:c r="FT27" s="434"/>
      <s:c r="FU27" s="434"/>
      <s:c r="FV27" s="434"/>
      <s:c r="FW27" s="434"/>
      <s:c r="FX27" s="434"/>
      <s:c r="FY27" s="434"/>
      <s:c r="FZ27" s="434"/>
      <s:c r="GA27" s="434"/>
      <s:c r="GB27" s="434"/>
      <s:c r="GC27" s="434"/>
      <s:c r="GD27" s="434"/>
      <s:c r="GE27" s="434"/>
      <s:c r="GF27" s="434"/>
      <s:c r="GG27" s="434"/>
      <s:c r="GH27" s="434"/>
      <s:c r="GI27" s="434"/>
      <s:c r="GJ27" s="434"/>
      <s:c r="GK27" s="434"/>
      <s:c r="GL27" s="434"/>
      <s:c r="GM27" s="434"/>
      <s:c r="GN27" s="434"/>
      <s:c r="GO27" s="434"/>
      <s:c r="GP27" s="434"/>
      <s:c r="GQ27" s="434"/>
      <s:c r="GR27" s="434"/>
      <s:c r="GS27" s="434"/>
      <s:c r="GT27" s="434"/>
      <s:c r="GU27" s="434"/>
      <s:c r="GV27" s="434"/>
      <s:c r="GW27" s="434"/>
      <s:c r="GX27" s="434"/>
      <s:c r="GY27" s="434"/>
      <s:c r="GZ27" s="434"/>
      <s:c r="HA27" s="434"/>
      <s:c r="HB27" s="434"/>
      <s:c r="HC27" s="434"/>
      <s:c r="HD27" s="434"/>
      <s:c r="HE27" s="434"/>
      <s:c r="HF27" s="434"/>
      <s:c r="HG27" s="434"/>
      <s:c r="HH27" s="434"/>
      <s:c r="HI27" s="434"/>
      <s:c r="HJ27" s="434"/>
      <s:c r="HK27" s="434"/>
      <s:c r="HL27" s="434"/>
      <s:c r="HM27" s="434"/>
      <s:c r="HN27" s="434"/>
      <s:c r="HO27" s="434"/>
      <s:c r="HP27" s="434"/>
      <s:c r="HQ27" s="434"/>
      <s:c r="HR27" s="434"/>
      <s:c r="HS27" s="434"/>
      <s:c r="HT27" s="434"/>
      <s:c r="HU27" s="434"/>
      <s:c r="HV27" s="434"/>
      <s:c r="HW27" s="434"/>
      <s:c r="HX27" s="434"/>
      <s:c r="HY27" s="434"/>
      <s:c r="HZ27" s="434"/>
      <s:c r="IA27" s="434"/>
      <s:c r="IB27" s="434"/>
      <s:c r="IC27" s="434"/>
      <s:c r="ID27" s="434"/>
      <s:c r="IE27" s="434"/>
      <s:c r="IF27" s="434"/>
      <s:c r="IG27" s="434"/>
      <s:c r="IH27" s="434"/>
      <s:c r="II27" s="434"/>
      <s:c r="IJ27" s="434"/>
      <s:c r="IK27" s="434"/>
      <s:c r="IL27" s="434"/>
      <s:c r="IM27" s="434"/>
      <s:c r="IN27" s="434"/>
      <s:c r="IO27" s="434"/>
      <s:c r="IP27" s="434"/>
      <s:c r="IQ27" s="434"/>
      <s:c r="IR27" s="434"/>
      <s:c r="IS27" s="434"/>
      <s:c r="IT27" s="434"/>
      <s:c r="IU27" s="434"/>
      <s:c r="IV27" s="434"/>
      <s:c r="IW27" s="434"/>
      <s:c r="IX27" s="434"/>
      <s:c r="IY27" s="434"/>
      <s:c r="IZ27" s="434"/>
    </s:row>
    <s:row r="28" spans="1:260" s="433" customFormat="1">
      <s:c r="A28" s="522" t="s">
        <s:v>123</s:v>
      </s:c>
      <s:c r="B28" s="528">
        <s:v>46116</s:v>
      </s:c>
      <s:c r="C28" s="529" t="s">
        <s:v>59</s:v>
      </s:c>
      <s:c r="D28" s="595">
        <s:v>29169</s:v>
      </s:c>
      <s:c r="E28" s="429">
        <s:v>4</s:v>
      </s:c>
      <s:c r="F28" s="429">
        <s:v>7292</s:v>
      </s:c>
      <s:c r="G28" s="429">
        <s:v>3</s:v>
      </s:c>
      <s:c r="H28" s="429">
        <s:v>9723</s:v>
      </s:c>
      <s:c r="I28" s="587">
        <s:v>53</s:v>
      </s:c>
      <s:c r="J28" s="488">
        <s:f>IF(AND(G28&lt;&gt;"",G28&lt;&gt;0),E28/G28,"")</s:f>
        <s:v>1.3333333333333299</s:v>
      </s:c>
      <s:c r="K28" s="482"/>
      <s:c r="L28" s="429"/>
      <s:c r="M28" s="429"/>
      <s:c r="N28" s="429"/>
      <s:c r="O28" s="429"/>
      <s:c r="P28" s="429"/>
      <s:c r="Q28" s="429">
        <s:v>14093</s:v>
      </s:c>
      <s:c r="R28" s="483"/>
      <s:c r="S28" s="491">
        <s:f>IF(AND(I28&lt;&gt;"",I28&lt;&gt;0),G28/I28,"")</s:f>
        <s:v>5.6603773584905662E-2</s:v>
      </s:c>
      <s:c r="T28" s="493">
        <s:f>D28/U28</s:f>
        <s:v>0.55366294582935205</s:v>
      </s:c>
      <s:c r="U28" s="496">
        <s:f>$I$8*AA28*AB28/SUMPRODUCT($AB$25:$AB$55,$AA$25:$AA$55)</s:f>
        <s:v>52683.677352304374</s:v>
      </s:c>
      <s:c r="V28" s="431">
        <s:f>$I$9*AA28*AB28/SUMPRODUCT($AB$25:$AB$55,$AA$25:$AA$55)</s:f>
        <s:v>7.5803852305473916</s:v>
      </s:c>
      <s:c r="W28" s="431">
        <s:f>IF($I$12="","",V28/$I$12)</s:f>
        <s:v>4.1650468299710939</s:v>
      </s:c>
      <s:c r="X28" s="430">
        <s:f>IF(AB28&lt;&gt;"",IF(D28&lt;&gt;"",D28,($I$8-SUM($X$25:X27))*AA28*AB28/SUMPRODUCT($AB28:$AB$55,$AA28:$AA$55)),"")</s:f>
        <s:v>29169</s:v>
      </s:c>
      <s:c r="Y28" s="431">
        <s:f>IF(AB28&lt;&gt;"",IF(E28&lt;&gt;"",E28,($I$9-SUM($Y$25:Y27))*AA28*AB28/SUMPRODUCT($AB28:$AB$55,$AA28:$AA$55)),"")</s:f>
        <s:v>4</s:v>
      </s:c>
      <s:c r="Z28" s="431">
        <s:f>IF(AB28&lt;&gt;"",IF(E28&lt;&gt;"",E28,($I$9-SUM($Y$25:Y27))*AA28*AB28/SUMPRODUCT($AB28:$AB$55,$AA28:$AA$55)),"")</s:f>
        <s:v>4</s:v>
      </s:c>
      <s:c r="AA28" s="432">
        <s:v>1</s:v>
      </s:c>
      <s:c r="AB28" s="497">
        <s:v>0.55000000000000004</s:v>
      </s:c>
      <s:c r="AU28" s="434"/>
      <s:c r="AV28" s="434"/>
      <s:c r="AW28" s="434"/>
      <s:c r="AX28" s="434"/>
      <s:c r="AY28" s="434"/>
      <s:c r="AZ28" s="434"/>
      <s:c r="BA28" s="434"/>
      <s:c r="BB28" s="434"/>
      <s:c r="BC28" s="434"/>
      <s:c r="BD28" s="434"/>
      <s:c r="BE28" s="434"/>
      <s:c r="BF28" s="434"/>
      <s:c r="BG28" s="434"/>
      <s:c r="BH28" s="434"/>
      <s:c r="BI28" s="434"/>
      <s:c r="BJ28" s="434"/>
      <s:c r="BK28" s="434"/>
      <s:c r="BL28" s="434"/>
      <s:c r="BM28" s="434"/>
      <s:c r="BN28" s="434"/>
      <s:c r="BO28" s="434"/>
      <s:c r="BP28" s="434"/>
      <s:c r="BQ28" s="434"/>
      <s:c r="BR28" s="434"/>
      <s:c r="BS28" s="434"/>
      <s:c r="BT28" s="434"/>
      <s:c r="BU28" s="434"/>
      <s:c r="BV28" s="434"/>
      <s:c r="BW28" s="434"/>
      <s:c r="BX28" s="434"/>
      <s:c r="BY28" s="434"/>
      <s:c r="BZ28" s="434"/>
      <s:c r="CA28" s="434"/>
      <s:c r="CB28" s="434"/>
      <s:c r="CC28" s="434"/>
      <s:c r="CD28" s="434"/>
      <s:c r="CE28" s="434"/>
      <s:c r="CF28" s="434"/>
      <s:c r="CG28" s="434"/>
      <s:c r="CH28" s="434"/>
      <s:c r="CI28" s="434"/>
      <s:c r="CJ28" s="434"/>
      <s:c r="CK28" s="434"/>
      <s:c r="CL28" s="434"/>
      <s:c r="CM28" s="434"/>
      <s:c r="CN28" s="434"/>
      <s:c r="CO28" s="434"/>
      <s:c r="CP28" s="434"/>
      <s:c r="CQ28" s="434"/>
      <s:c r="CR28" s="434"/>
      <s:c r="CS28" s="434"/>
      <s:c r="CT28" s="434"/>
      <s:c r="CU28" s="434"/>
      <s:c r="CV28" s="434"/>
      <s:c r="CW28" s="434"/>
      <s:c r="CX28" s="434"/>
      <s:c r="CY28" s="434"/>
      <s:c r="CZ28" s="434"/>
      <s:c r="DA28" s="434"/>
      <s:c r="DB28" s="434"/>
      <s:c r="DC28" s="434"/>
      <s:c r="DD28" s="434"/>
      <s:c r="DE28" s="434"/>
      <s:c r="DF28" s="434"/>
      <s:c r="DG28" s="434"/>
      <s:c r="DH28" s="434"/>
      <s:c r="DI28" s="434"/>
      <s:c r="DJ28" s="434"/>
      <s:c r="DK28" s="434"/>
      <s:c r="DL28" s="434"/>
      <s:c r="DM28" s="434"/>
      <s:c r="DN28" s="434"/>
      <s:c r="DO28" s="434"/>
      <s:c r="DP28" s="434"/>
      <s:c r="DQ28" s="434"/>
      <s:c r="DR28" s="434"/>
      <s:c r="DS28" s="434"/>
      <s:c r="DT28" s="434"/>
      <s:c r="DU28" s="434"/>
      <s:c r="DV28" s="434"/>
      <s:c r="DW28" s="434"/>
      <s:c r="DX28" s="434"/>
      <s:c r="DY28" s="434"/>
      <s:c r="DZ28" s="434"/>
      <s:c r="EA28" s="434"/>
      <s:c r="EB28" s="434"/>
      <s:c r="EC28" s="434"/>
      <s:c r="ED28" s="434"/>
      <s:c r="EE28" s="434"/>
      <s:c r="EF28" s="434"/>
      <s:c r="EG28" s="434"/>
      <s:c r="EH28" s="434"/>
      <s:c r="EI28" s="434"/>
      <s:c r="EJ28" s="434"/>
      <s:c r="EK28" s="434"/>
      <s:c r="EL28" s="434"/>
      <s:c r="EM28" s="434"/>
      <s:c r="EN28" s="434"/>
      <s:c r="EO28" s="434"/>
      <s:c r="EP28" s="434"/>
      <s:c r="EQ28" s="434"/>
      <s:c r="ER28" s="434"/>
      <s:c r="ES28" s="434"/>
      <s:c r="ET28" s="434"/>
      <s:c r="EU28" s="434"/>
      <s:c r="EV28" s="434"/>
      <s:c r="EW28" s="434"/>
      <s:c r="EX28" s="434"/>
      <s:c r="EY28" s="434"/>
      <s:c r="EZ28" s="434"/>
      <s:c r="FA28" s="434"/>
      <s:c r="FB28" s="434"/>
      <s:c r="FC28" s="434"/>
      <s:c r="FD28" s="434"/>
      <s:c r="FE28" s="434"/>
      <s:c r="FF28" s="434"/>
      <s:c r="FG28" s="434"/>
      <s:c r="FH28" s="434"/>
      <s:c r="FI28" s="434"/>
      <s:c r="FJ28" s="434"/>
      <s:c r="FK28" s="434"/>
      <s:c r="FL28" s="434"/>
      <s:c r="FM28" s="434"/>
      <s:c r="FN28" s="434"/>
      <s:c r="FO28" s="434"/>
      <s:c r="FP28" s="434"/>
      <s:c r="FQ28" s="434"/>
      <s:c r="FR28" s="434"/>
      <s:c r="FS28" s="434"/>
      <s:c r="FT28" s="434"/>
      <s:c r="FU28" s="434"/>
      <s:c r="FV28" s="434"/>
      <s:c r="FW28" s="434"/>
      <s:c r="FX28" s="434"/>
      <s:c r="FY28" s="434"/>
      <s:c r="FZ28" s="434"/>
      <s:c r="GA28" s="434"/>
      <s:c r="GB28" s="434"/>
      <s:c r="GC28" s="434"/>
      <s:c r="GD28" s="434"/>
      <s:c r="GE28" s="434"/>
      <s:c r="GF28" s="434"/>
      <s:c r="GG28" s="434"/>
      <s:c r="GH28" s="434"/>
      <s:c r="GI28" s="434"/>
      <s:c r="GJ28" s="434"/>
      <s:c r="GK28" s="434"/>
      <s:c r="GL28" s="434"/>
      <s:c r="GM28" s="434"/>
      <s:c r="GN28" s="434"/>
      <s:c r="GO28" s="434"/>
      <s:c r="GP28" s="434"/>
      <s:c r="GQ28" s="434"/>
      <s:c r="GR28" s="434"/>
      <s:c r="GS28" s="434"/>
      <s:c r="GT28" s="434"/>
      <s:c r="GU28" s="434"/>
      <s:c r="GV28" s="434"/>
      <s:c r="GW28" s="434"/>
      <s:c r="GX28" s="434"/>
      <s:c r="GY28" s="434"/>
      <s:c r="GZ28" s="434"/>
      <s:c r="HA28" s="434"/>
      <s:c r="HB28" s="434"/>
      <s:c r="HC28" s="434"/>
      <s:c r="HD28" s="434"/>
      <s:c r="HE28" s="434"/>
      <s:c r="HF28" s="434"/>
      <s:c r="HG28" s="434"/>
      <s:c r="HH28" s="434"/>
      <s:c r="HI28" s="434"/>
      <s:c r="HJ28" s="434"/>
      <s:c r="HK28" s="434"/>
      <s:c r="HL28" s="434"/>
      <s:c r="HM28" s="434"/>
      <s:c r="HN28" s="434"/>
      <s:c r="HO28" s="434"/>
      <s:c r="HP28" s="434"/>
      <s:c r="HQ28" s="434"/>
      <s:c r="HR28" s="434"/>
      <s:c r="HS28" s="434"/>
      <s:c r="HT28" s="434"/>
      <s:c r="HU28" s="434"/>
      <s:c r="HV28" s="434"/>
      <s:c r="HW28" s="434"/>
      <s:c r="HX28" s="434"/>
      <s:c r="HY28" s="434"/>
      <s:c r="HZ28" s="434"/>
      <s:c r="IA28" s="434"/>
      <s:c r="IB28" s="434"/>
      <s:c r="IC28" s="434"/>
      <s:c r="ID28" s="434"/>
      <s:c r="IE28" s="434"/>
      <s:c r="IF28" s="434"/>
      <s:c r="IG28" s="434"/>
      <s:c r="IH28" s="434"/>
      <s:c r="II28" s="434"/>
      <s:c r="IJ28" s="434"/>
      <s:c r="IK28" s="434"/>
      <s:c r="IL28" s="434"/>
      <s:c r="IM28" s="434"/>
      <s:c r="IN28" s="434"/>
      <s:c r="IO28" s="434"/>
      <s:c r="IP28" s="434"/>
      <s:c r="IQ28" s="434"/>
      <s:c r="IR28" s="434"/>
      <s:c r="IS28" s="434"/>
      <s:c r="IT28" s="434"/>
      <s:c r="IU28" s="434"/>
      <s:c r="IV28" s="434"/>
      <s:c r="IW28" s="434"/>
      <s:c r="IX28" s="434"/>
      <s:c r="IY28" s="434"/>
      <s:c r="IZ28" s="434"/>
    </s:row>
    <s:row r="29" spans="1:260" s="435" customFormat="1">
      <s:c r="A29" s="522" t="s">
        <s:v>137</s:v>
      </s:c>
      <s:c r="B29" s="528">
        <s:v>46117</s:v>
      </s:c>
      <s:c r="C29" s="529" t="s">
        <s:v>53</s:v>
      </s:c>
      <s:c r="D29" s="595">
        <s:v>92463</s:v>
      </s:c>
      <s:c r="E29" s="429">
        <s:v>16</s:v>
      </s:c>
      <s:c r="F29" s="429">
        <s:f>IF(AND(E29&lt;&gt;"",E29&lt;&gt;0),D29/E29,"")</s:f>
        <s:v>5778.9375</s:v>
      </s:c>
      <s:c r="G29" s="429">
        <s:v>6</s:v>
      </s:c>
      <s:c r="H29" s="429">
        <s:f>IF(AND(G29&lt;&gt;"",G29&lt;&gt;0),D29/G29,"")</s:f>
        <s:v>15410.5</s:v>
      </s:c>
      <s:c r="I29" s="587">
        <s:v>69</s:v>
      </s:c>
      <s:c r="J29" s="488">
        <s:f>IF(AND(G29&lt;&gt;"",G29&lt;&gt;0),E29/G29,"")</s:f>
        <s:v>2.6666666666666599</s:v>
      </s:c>
      <s:c r="K29" s="482">
        <s:v>12293</s:v>
      </s:c>
      <s:c r="L29" s="429"/>
      <s:c r="M29" s="429"/>
      <s:c r="N29" s="429">
        <s:v>33570</s:v>
      </s:c>
      <s:c r="O29" s="429"/>
      <s:c r="P29" s="429"/>
      <s:c r="Q29" s="429"/>
      <s:c r="R29" s="749">
        <s:f>7380+6490</s:f>
        <s:v>13870</s:v>
      </s:c>
      <s:c r="S29" s="491">
        <s:f>IF(AND(I29&lt;&gt;"",I29&lt;&gt;0),G29/I29,"")</s:f>
        <s:v>8.6956521739130432E-2</s:v>
      </s:c>
      <s:c r="T29" s="493">
        <s:f>D29/U29</s:f>
        <s:v>0.99513695439695704</s:v>
      </s:c>
      <s:c r="U29" s="496">
        <s:f>$I$8*AA29*AB29/SUMPRODUCT($AB$25:$AB$55,$AA$25:$AA$55)</s:f>
        <s:v>92914.84914860953</s:v>
      </s:c>
      <s:c r="V29" s="431">
        <s:f>$I$9*AA29*AB29/SUMPRODUCT($AB$25:$AB$55,$AA$25:$AA$55)</s:f>
        <s:v>13.3690430429654</s:v>
      </s:c>
      <s:c r="W29" s="431">
        <s:f>IF($I$12="","",V29/$I$12)</s:f>
        <s:v>7.345628045585384</s:v>
      </s:c>
      <s:c r="X29" s="430">
        <s:f>IF(AB29&lt;&gt;"",IF(D29&lt;&gt;"",D29,($I$8-SUM($X$25:X28))*AA29*AB29/SUMPRODUCT($AB29:$AB$55,$AA29:$AA$55)),"")</s:f>
        <s:v>92463</s:v>
      </s:c>
      <s:c r="Y29" s="431">
        <s:f>IF(AB29&lt;&gt;"",IF(E29&lt;&gt;"",E29,($I$9-SUM($Y$25:Y28))*AA29*AB29/SUMPRODUCT($AB29:$AB$55,$AA29:$AA$55)),"")</s:f>
        <s:v>16</s:v>
      </s:c>
      <s:c r="Z29" s="431">
        <s:f>IF(AB29&lt;&gt;"",IF(E29&lt;&gt;"",E29,($I$9-SUM($Y$25:Y28))*AA29*AB29/SUMPRODUCT($AB29:$AB$55,$AA29:$AA$55)),"")</s:f>
        <s:v>16</s:v>
      </s:c>
      <s:c r="AA29" s="432">
        <s:v>1</s:v>
      </s:c>
      <s:c r="AB29" s="497">
        <s:v>0.97</s:v>
      </s:c>
      <s:c r="AU29" s="434"/>
      <s:c r="AV29" s="434"/>
      <s:c r="AW29" s="434"/>
      <s:c r="AX29" s="434"/>
      <s:c r="AY29" s="434"/>
      <s:c r="AZ29" s="434"/>
      <s:c r="BA29" s="434"/>
      <s:c r="BB29" s="434"/>
      <s:c r="BC29" s="434"/>
      <s:c r="BD29" s="434"/>
      <s:c r="BE29" s="434"/>
      <s:c r="BF29" s="434"/>
      <s:c r="BG29" s="434"/>
      <s:c r="BH29" s="434"/>
      <s:c r="BI29" s="434"/>
      <s:c r="BJ29" s="434"/>
      <s:c r="BK29" s="434"/>
      <s:c r="BL29" s="434"/>
      <s:c r="BM29" s="434"/>
      <s:c r="BN29" s="434"/>
      <s:c r="BO29" s="434"/>
      <s:c r="BP29" s="434"/>
      <s:c r="BQ29" s="434"/>
      <s:c r="BR29" s="434"/>
      <s:c r="BS29" s="434"/>
      <s:c r="BT29" s="434"/>
      <s:c r="BU29" s="434"/>
      <s:c r="BV29" s="434"/>
      <s:c r="BW29" s="434"/>
      <s:c r="BX29" s="434"/>
      <s:c r="BY29" s="434"/>
      <s:c r="BZ29" s="434"/>
      <s:c r="CA29" s="434"/>
      <s:c r="CB29" s="434"/>
      <s:c r="CC29" s="434"/>
      <s:c r="CD29" s="434"/>
      <s:c r="CE29" s="434"/>
      <s:c r="CF29" s="434"/>
      <s:c r="CG29" s="434"/>
      <s:c r="CH29" s="434"/>
      <s:c r="CI29" s="434"/>
      <s:c r="CJ29" s="434"/>
      <s:c r="CK29" s="434"/>
      <s:c r="CL29" s="434"/>
      <s:c r="CM29" s="434"/>
      <s:c r="CN29" s="434"/>
      <s:c r="CO29" s="434"/>
      <s:c r="CP29" s="434"/>
      <s:c r="CQ29" s="434"/>
      <s:c r="CR29" s="434"/>
      <s:c r="CS29" s="434"/>
      <s:c r="CT29" s="434"/>
      <s:c r="CU29" s="434"/>
      <s:c r="CV29" s="434"/>
      <s:c r="CW29" s="434"/>
      <s:c r="CX29" s="434"/>
      <s:c r="CY29" s="434"/>
      <s:c r="CZ29" s="434"/>
      <s:c r="DA29" s="434"/>
      <s:c r="DB29" s="434"/>
      <s:c r="DC29" s="434"/>
      <s:c r="DD29" s="434"/>
      <s:c r="DE29" s="434"/>
      <s:c r="DF29" s="434"/>
      <s:c r="DG29" s="434"/>
      <s:c r="DH29" s="434"/>
      <s:c r="DI29" s="434"/>
      <s:c r="DJ29" s="434"/>
      <s:c r="DK29" s="434"/>
      <s:c r="DL29" s="434"/>
      <s:c r="DM29" s="434"/>
      <s:c r="DN29" s="434"/>
      <s:c r="DO29" s="434"/>
      <s:c r="DP29" s="434"/>
      <s:c r="DQ29" s="434"/>
      <s:c r="DR29" s="434"/>
      <s:c r="DS29" s="434"/>
      <s:c r="DT29" s="434"/>
      <s:c r="DU29" s="434"/>
      <s:c r="DV29" s="434"/>
      <s:c r="DW29" s="434"/>
      <s:c r="DX29" s="434"/>
      <s:c r="DY29" s="434"/>
      <s:c r="DZ29" s="434"/>
      <s:c r="EA29" s="434"/>
      <s:c r="EB29" s="434"/>
      <s:c r="EC29" s="434"/>
      <s:c r="ED29" s="434"/>
      <s:c r="EE29" s="434"/>
      <s:c r="EF29" s="434"/>
      <s:c r="EG29" s="434"/>
      <s:c r="EH29" s="434"/>
      <s:c r="EI29" s="434"/>
      <s:c r="EJ29" s="434"/>
      <s:c r="EK29" s="434"/>
      <s:c r="EL29" s="434"/>
      <s:c r="EM29" s="434"/>
      <s:c r="EN29" s="434"/>
      <s:c r="EO29" s="434"/>
      <s:c r="EP29" s="434"/>
      <s:c r="EQ29" s="434"/>
      <s:c r="ER29" s="434"/>
      <s:c r="ES29" s="434"/>
      <s:c r="ET29" s="434"/>
      <s:c r="EU29" s="434"/>
      <s:c r="EV29" s="434"/>
      <s:c r="EW29" s="434"/>
      <s:c r="EX29" s="434"/>
      <s:c r="EY29" s="434"/>
      <s:c r="EZ29" s="434"/>
      <s:c r="FA29" s="434"/>
      <s:c r="FB29" s="434"/>
      <s:c r="FC29" s="434"/>
      <s:c r="FD29" s="434"/>
      <s:c r="FE29" s="434"/>
      <s:c r="FF29" s="434"/>
      <s:c r="FG29" s="434"/>
      <s:c r="FH29" s="434"/>
      <s:c r="FI29" s="434"/>
      <s:c r="FJ29" s="434"/>
      <s:c r="FK29" s="434"/>
      <s:c r="FL29" s="434"/>
      <s:c r="FM29" s="434"/>
      <s:c r="FN29" s="434"/>
      <s:c r="FO29" s="434"/>
      <s:c r="FP29" s="434"/>
      <s:c r="FQ29" s="434"/>
      <s:c r="FR29" s="434"/>
      <s:c r="FS29" s="434"/>
      <s:c r="FT29" s="434"/>
      <s:c r="FU29" s="434"/>
      <s:c r="FV29" s="434"/>
      <s:c r="FW29" s="434"/>
      <s:c r="FX29" s="434"/>
      <s:c r="FY29" s="434"/>
      <s:c r="FZ29" s="434"/>
      <s:c r="GA29" s="434"/>
      <s:c r="GB29" s="434"/>
      <s:c r="GC29" s="434"/>
      <s:c r="GD29" s="434"/>
      <s:c r="GE29" s="434"/>
      <s:c r="GF29" s="434"/>
      <s:c r="GG29" s="434"/>
      <s:c r="GH29" s="434"/>
      <s:c r="GI29" s="434"/>
      <s:c r="GJ29" s="434"/>
      <s:c r="GK29" s="434"/>
      <s:c r="GL29" s="434"/>
      <s:c r="GM29" s="434"/>
      <s:c r="GN29" s="434"/>
      <s:c r="GO29" s="434"/>
      <s:c r="GP29" s="434"/>
      <s:c r="GQ29" s="434"/>
      <s:c r="GR29" s="434"/>
      <s:c r="GS29" s="434"/>
      <s:c r="GT29" s="434"/>
      <s:c r="GU29" s="434"/>
      <s:c r="GV29" s="434"/>
      <s:c r="GW29" s="434"/>
      <s:c r="GX29" s="434"/>
      <s:c r="GY29" s="434"/>
      <s:c r="GZ29" s="434"/>
      <s:c r="HA29" s="434"/>
      <s:c r="HB29" s="434"/>
      <s:c r="HC29" s="434"/>
      <s:c r="HD29" s="434"/>
      <s:c r="HE29" s="434"/>
      <s:c r="HF29" s="434"/>
      <s:c r="HG29" s="434"/>
      <s:c r="HH29" s="434"/>
      <s:c r="HI29" s="434"/>
      <s:c r="HJ29" s="434"/>
      <s:c r="HK29" s="434"/>
      <s:c r="HL29" s="434"/>
      <s:c r="HM29" s="434"/>
      <s:c r="HN29" s="434"/>
      <s:c r="HO29" s="434"/>
      <s:c r="HP29" s="434"/>
      <s:c r="HQ29" s="434"/>
      <s:c r="HR29" s="434"/>
      <s:c r="HS29" s="434"/>
      <s:c r="HT29" s="434"/>
      <s:c r="HU29" s="434"/>
      <s:c r="HV29" s="434"/>
      <s:c r="HW29" s="434"/>
      <s:c r="HX29" s="434"/>
      <s:c r="HY29" s="434"/>
      <s:c r="HZ29" s="434"/>
      <s:c r="IA29" s="434"/>
      <s:c r="IB29" s="434"/>
      <s:c r="IC29" s="434"/>
      <s:c r="ID29" s="434"/>
      <s:c r="IE29" s="434"/>
      <s:c r="IF29" s="434"/>
      <s:c r="IG29" s="434"/>
      <s:c r="IH29" s="434"/>
      <s:c r="II29" s="434"/>
      <s:c r="IJ29" s="434"/>
      <s:c r="IK29" s="434"/>
      <s:c r="IL29" s="434"/>
      <s:c r="IM29" s="434"/>
      <s:c r="IN29" s="434"/>
      <s:c r="IO29" s="434"/>
      <s:c r="IP29" s="434"/>
      <s:c r="IQ29" s="434"/>
      <s:c r="IR29" s="434"/>
      <s:c r="IS29" s="434"/>
      <s:c r="IT29" s="434"/>
      <s:c r="IU29" s="434"/>
      <s:c r="IV29" s="434"/>
      <s:c r="IW29" s="434"/>
      <s:c r="IX29" s="434"/>
      <s:c r="IY29" s="434"/>
      <s:c r="IZ29" s="434"/>
    </s:row>
    <s:row r="30">
      <s:c r="A30" s="521" t="s">
        <s:v>138</s:v>
      </s:c>
      <s:c r="B30" s="526">
        <s:v>46118</s:v>
      </s:c>
      <s:c r="C30" s="527" t="s">
        <s:v>54</s:v>
      </s:c>
      <s:c r="D30" s="594">
        <s:v>31933</s:v>
      </s:c>
      <s:c r="E30" s="85">
        <s:v>8</s:v>
      </s:c>
      <s:c r="F30" s="85">
        <s:f>IF(AND(E30&lt;&gt;"",E30&lt;&gt;0),D30/E30,"")</s:f>
        <s:v>3991.625</s:v>
      </s:c>
      <s:c r="G30" s="85">
        <s:v>6</s:v>
      </s:c>
      <s:c r="H30" s="85">
        <s:f>IF(AND(G30&lt;&gt;"",G30&lt;&gt;0),D30/G30,"")</s:f>
        <s:v>5322.1666666666597</s:v>
      </s:c>
      <s:c r="I30" s="588">
        <s:v>53</s:v>
      </s:c>
      <s:c r="J30" s="486">
        <s:f>IF(AND(G30&lt;&gt;"",G30&lt;&gt;0),E30/G30,"")</s:f>
        <s:v>1.3333333333333299</s:v>
      </s:c>
      <s:c r="K30" s="480"/>
      <s:c r="L30" s="85"/>
      <s:c r="M30" s="85"/>
      <s:c r="N30" s="85"/>
      <s:c r="O30" s="85"/>
      <s:c r="P30" s="85"/>
      <s:c r="Q30" s="85"/>
      <s:c r="R30" s="481"/>
      <s:c r="S30" s="490">
        <s:f>IF(AND(I30&lt;&gt;"",I30&lt;&gt;0),G30/I30,"")</s:f>
        <s:v>0.11320754716981132</s:v>
      </s:c>
      <s:c r="T30" s="492">
        <s:f>D30/U30</s:f>
        <s:v>1.1306328680375901</s:v>
      </s:c>
      <s:c r="U30" s="494">
        <s:f>$I$8*AA30*AB30/SUMPRODUCT($AB$25:$AB$55,$AA$25:$AA$55)</s:f>
        <s:v>28243.473989417103</s:v>
      </s:c>
      <s:c r="V30" s="89">
        <s:f>$I$9*AA30*AB30/SUMPRODUCT($AB$25:$AB$55,$AA$25:$AA$55)</s:f>
        <s:v>4.0638092071103742</s:v>
      </s:c>
      <s:c r="W30" s="89">
        <s:f>IF($I$12="","",V30/$I$12)</s:f>
        <s:v>2.2328622017089965</s:v>
      </s:c>
      <s:c r="X30" s="88">
        <s:f>IF(AB30&lt;&gt;"",IF(D30&lt;&gt;"",D30,($I$8-SUM($X$25:X29))*AA30*AB30/SUMPRODUCT($AB30:$AB$55,$AA30:$AA$55)),"")</s:f>
        <s:v>31933</s:v>
      </s:c>
      <s:c r="Y30" s="89">
        <s:f>IF(AB30&lt;&gt;"",IF(E30&lt;&gt;"",E30,($I$9-SUM($Y$25:Y29))*AA30*AB30/SUMPRODUCT($AB30:$AB$55,$AA30:$AA$55)),"")</s:f>
        <s:v>8</s:v>
      </s:c>
      <s:c r="Z30" s="89">
        <s:f>IF(AB30&lt;&gt;"",IF(E30&lt;&gt;"",E30,($I$9-SUM($Y$25:Y29))*AA30*AB30/SUMPRODUCT($AB30:$AB$55,$AA30:$AA$55)),"")</s:f>
        <s:v>8</s:v>
      </s:c>
      <s:c r="AA30" s="90">
        <s:v>1</s:v>
      </s:c>
      <s:c r="AB30" s="495">
        <s:v>0.29485243769719421</s:v>
      </s:c>
      <s:c r="AC30"/>
      <s:c r="AD30"/>
      <s:c r="AE30"/>
      <s:c r="AF30"/>
      <s:c r="AG30"/>
      <s:c r="AH30"/>
      <s:c r="AI30"/>
      <s:c r="AJ30"/>
      <s:c r="AK30"/>
      <s:c r="AL30"/>
      <s:c r="AM30"/>
      <s:c r="AN30"/>
      <s:c r="AO30"/>
      <s:c r="AP30"/>
      <s:c r="AQ30"/>
      <s:c r="AR30"/>
      <s:c r="AS30"/>
      <s:c r="AT30"/>
      <s:c r="IX30" s="2"/>
      <s:c r="IY30" s="2"/>
      <s:c r="IZ30" s="2"/>
    </s:row>
    <s:row r="31">
      <s:c r="A31" s="521" t="s">
        <s:v>140</s:v>
      </s:c>
      <s:c r="B31" s="526">
        <s:v>46119</s:v>
      </s:c>
      <s:c r="C31" s="527" t="s">
        <s:v>55</s:v>
      </s:c>
      <s:c r="D31" s="594">
        <s:v>10534</s:v>
      </s:c>
      <s:c r="E31" s="85">
        <s:v>2</s:v>
      </s:c>
      <s:c r="F31" s="85">
        <s:f>IF(AND(E31&lt;&gt;"",E31&lt;&gt;0),D31/E31,"")</s:f>
        <s:v>5267</s:v>
      </s:c>
      <s:c r="G31" s="85">
        <s:v>1</s:v>
      </s:c>
      <s:c r="H31" s="85">
        <s:f>IF(AND(G31&lt;&gt;"",G31&lt;&gt;0),D31/G31,"")</s:f>
        <s:v>10534</s:v>
      </s:c>
      <s:c r="I31" s="588">
        <s:v>30</s:v>
      </s:c>
      <s:c r="J31" s="486">
        <s:f>IF(AND(G31&lt;&gt;"",G31&lt;&gt;0),E31/G31,"")</s:f>
        <s:v>2</s:v>
      </s:c>
      <s:c r="K31" s="480"/>
      <s:c r="L31" s="85"/>
      <s:c r="M31" s="85"/>
      <s:c r="N31" s="85"/>
      <s:c r="O31" s="85"/>
      <s:c r="P31" s="85"/>
      <s:c r="Q31" s="85"/>
      <s:c r="R31" s="481"/>
      <s:c r="S31" s="490">
        <s:f>IF(AND(I31&lt;&gt;"",I31&lt;&gt;0),G31/I31,"")</s:f>
        <s:v>3.3333333333333298E-2</s:v>
      </s:c>
      <s:c r="T31" s="492">
        <s:f>D31/U31</s:f>
        <s:v>1.73030572049763</s:v>
      </s:c>
      <s:c r="U31" s="494">
        <s:f>$I$8*AA31*AB31/SUMPRODUCT($AB$25:$AB$55,$AA$25:$AA$55)</s:f>
        <s:v>6087.9414979743678</s:v>
      </s:c>
      <s:c r="V31" s="89">
        <s:f>$I$9*AA31*AB31/SUMPRODUCT($AB$25:$AB$55,$AA$25:$AA$55)</s:f>
        <s:v>0.87596280546393768</s:v>
      </s:c>
      <s:c r="W31" s="89">
        <s:f>IF($I$12="","",V31/$I$12)</s:f>
        <s:v>0.48129824476040528</s:v>
      </s:c>
      <s:c r="X31" s="88">
        <s:f>IF(AB31&lt;&gt;"",IF(D31&lt;&gt;"",D31,($I$8-SUM($X$25:X30))*AA31*AB31/SUMPRODUCT($AB31:$AB$55,$AA31:$AA$55)),"")</s:f>
        <s:v>10534</s:v>
      </s:c>
      <s:c r="Y31" s="89">
        <s:f>IF(AB31&lt;&gt;"",IF(E31&lt;&gt;"",E31,($I$9-SUM($Y$25:Y30))*AA31*AB31/SUMPRODUCT($AB31:$AB$55,$AA31:$AA$55)),"")</s:f>
        <s:v>2</s:v>
      </s:c>
      <s:c r="Z31" s="89">
        <s:f>IF(AB31&lt;&gt;"",IF(E31&lt;&gt;"",E31,($I$9-SUM($Y$25:Y30))*AA31*AB31/SUMPRODUCT($AB31:$AB$55,$AA31:$AA$55)),"")</s:f>
        <s:v>2</s:v>
      </s:c>
      <s:c r="AA31" s="90">
        <s:v>1</s:v>
      </s:c>
      <s:c r="AB31" s="495">
        <s:v>6.355607641992829E-2</s:v>
      </s:c>
      <s:c r="AC31"/>
      <s:c r="AD31"/>
      <s:c r="AE31"/>
      <s:c r="AF31"/>
      <s:c r="AG31"/>
      <s:c r="AH31"/>
      <s:c r="AI31"/>
      <s:c r="AJ31"/>
      <s:c r="AK31"/>
      <s:c r="AL31"/>
      <s:c r="AM31"/>
      <s:c r="AN31"/>
      <s:c r="AO31"/>
      <s:c r="AP31"/>
      <s:c r="AQ31"/>
      <s:c r="AR31"/>
      <s:c r="AS31"/>
      <s:c r="AT31"/>
      <s:c r="IX31" s="2"/>
      <s:c r="IY31" s="2"/>
      <s:c r="IZ31" s="2"/>
    </s:row>
    <s:row r="32">
      <s:c r="A32" s="521" t="s">
        <s:v>140</s:v>
      </s:c>
      <s:c r="B32" s="526">
        <s:v>46120</s:v>
      </s:c>
      <s:c r="C32" s="527" t="s">
        <s:v>56</s:v>
      </s:c>
      <s:c r="D32" s="594">
        <s:v>47300</s:v>
      </s:c>
      <s:c r="E32" s="85">
        <s:v>8</s:v>
      </s:c>
      <s:c r="F32" s="85">
        <s:f>IF(AND(E32&lt;&gt;"",E32&lt;&gt;0),D32/E32,"")</s:f>
        <s:v>5912.5</s:v>
      </s:c>
      <s:c r="G32" s="85">
        <s:v>6</s:v>
      </s:c>
      <s:c r="H32" s="85">
        <s:f>IF(AND(G32&lt;&gt;"",G32&lt;&gt;0),D32/G32,"")</s:f>
        <s:v>7883.3333333333303</s:v>
      </s:c>
      <s:c r="I32" s="591">
        <s:v>52</s:v>
      </s:c>
      <s:c r="J32" s="486">
        <s:f>IF(AND(G32&lt;&gt;"",G32&lt;&gt;0),E32/G32,"")</s:f>
        <s:v>1.3333333333333299</s:v>
      </s:c>
      <s:c r="K32" s="480"/>
      <s:c r="L32" s="85"/>
      <s:c r="M32" s="85"/>
      <s:c r="N32" s="85"/>
      <s:c r="O32" s="85"/>
      <s:c r="P32" s="85"/>
      <s:c r="Q32" s="85"/>
      <s:c r="R32" s="750">
        <s:v>3514</s:v>
      </s:c>
      <s:c r="S32" s="490">
        <s:f>IF(AND(I32&lt;&gt;"",I32&lt;&gt;0),G32/I32,"")</s:f>
        <s:v>0.11538461538461539</s:v>
      </s:c>
      <s:c r="T32" s="492">
        <s:f>D32/U32</s:f>
        <s:v>11.2341595498083</s:v>
      </s:c>
      <s:c r="U32" s="494">
        <s:f>$I$8*AA32*AB32/SUMPRODUCT($AB$25:$AB$55,$AA$25:$AA$55)</s:f>
        <s:v>4210.3728178586171</s:v>
      </s:c>
      <s:c r="V32" s="89">
        <s:f>$I$9*AA32*AB32/SUMPRODUCT($AB$25:$AB$55,$AA$25:$AA$55)</s:f>
        <s:v>0.60580903854080814</s:v>
      </s:c>
      <s:c r="W32" s="89">
        <s:f>IF($I$12="","",V32/$I$12)</s:f>
        <s:v>0.33286210908835612</s:v>
      </s:c>
      <s:c r="X32" s="88">
        <s:f>IF(AB32&lt;&gt;"",IF(D32&lt;&gt;"",D32,($I$8-SUM($X$25:X31))*AA32*AB32/SUMPRODUCT($AB32:$AB$55,$AA32:$AA$55)),"")</s:f>
        <s:v>47300</s:v>
      </s:c>
      <s:c r="Y32" s="89">
        <s:f>IF(AB32&lt;&gt;"",IF(E32&lt;&gt;"",E32,($I$9-SUM($Y$25:Y31))*AA32*AB32/SUMPRODUCT($AB32:$AB$55,$AA32:$AA$55)),"")</s:f>
        <s:v>8</s:v>
      </s:c>
      <s:c r="Z32" s="89">
        <s:f>IF(AB32&lt;&gt;"",IF(E32&lt;&gt;"",E32,($I$9-SUM($Y$25:Y31))*AA32*AB32/SUMPRODUCT($AB32:$AB$55,$AA32:$AA$55)),"")</s:f>
        <s:v>8</s:v>
      </s:c>
      <s:c r="AA32" s="90">
        <s:v>1</s:v>
      </s:c>
      <s:c r="AB32" s="495">
        <s:v>4.3954886336744124E-2</s:v>
      </s:c>
      <s:c r="AC32"/>
      <s:c r="AD32"/>
      <s:c r="AE32"/>
      <s:c r="AF32"/>
      <s:c r="AG32"/>
      <s:c r="AH32"/>
      <s:c r="AI32"/>
      <s:c r="AJ32"/>
      <s:c r="AK32"/>
      <s:c r="AL32"/>
      <s:c r="AM32"/>
      <s:c r="AN32"/>
      <s:c r="AO32"/>
      <s:c r="AP32"/>
      <s:c r="AQ32"/>
      <s:c r="AR32"/>
      <s:c r="AS32"/>
      <s:c r="AT32"/>
      <s:c r="IX32" s="2"/>
      <s:c r="IY32" s="2"/>
      <s:c r="IZ32" s="2"/>
    </s:row>
    <s:row r="33" spans="1:260" s="433" customFormat="1">
      <s:c r="A33" s="522" t="s">
        <s:v>138</s:v>
      </s:c>
      <s:c r="B33" s="528">
        <s:v>46121</s:v>
      </s:c>
      <s:c r="C33" s="529" t="s">
        <s:v>57</s:v>
      </s:c>
      <s:c r="D33" s="595">
        <s:v>50991</s:v>
      </s:c>
      <s:c r="E33" s="429">
        <s:v>7</s:v>
      </s:c>
      <s:c r="F33" s="429">
        <s:f>IF(AND(E33&lt;&gt;"",E33&lt;&gt;0),D33/E33,"")</s:f>
        <s:v>7284.4285714285697</s:v>
      </s:c>
      <s:c r="G33" s="429">
        <s:v>2</s:v>
      </s:c>
      <s:c r="H33" s="429">
        <s:f>IF(AND(G33&lt;&gt;"",G33&lt;&gt;0),D33/G33,"")</s:f>
        <s:v>25495.5</s:v>
      </s:c>
      <s:c r="I33" s="592">
        <s:v>28</s:v>
      </s:c>
      <s:c r="J33" s="488">
        <s:f>IF(AND(G33&lt;&gt;"",G33&lt;&gt;0),E33/G33,"")</s:f>
        <s:v>3.5</s:v>
      </s:c>
      <s:c r="K33" s="482"/>
      <s:c r="L33" s="429"/>
      <s:c r="M33" s="429"/>
      <s:c r="N33" s="429"/>
      <s:c r="O33" s="429"/>
      <s:c r="P33" s="429"/>
      <s:c r="Q33" s="429"/>
      <s:c r="R33" s="749">
        <s:v>5130</s:v>
      </s:c>
      <s:c r="S33" s="491">
        <s:f>IF(AND(I33&lt;&gt;"",I33&lt;&gt;0),G33/I33,"")</s:f>
        <s:v>7.1428571428571425E-2</s:v>
      </s:c>
      <s:c r="T33" s="493">
        <s:f>D33/U33</s:f>
        <s:v>0.47529376218060099</s:v>
      </s:c>
      <s:c r="U33" s="496">
        <s:f>$I$8*AA33*AB33/SUMPRODUCT($AB$25:$AB$55,$AA$25:$AA$55)</s:f>
        <s:v>107283.12479014709</s:v>
      </s:c>
      <s:c r="V33" s="431">
        <s:f>$I$9*AA33*AB33/SUMPRODUCT($AB$25:$AB$55,$AA$25:$AA$55)</s:f>
        <s:v>15.436420833114688</s:v>
      </s:c>
      <s:c r="W33" s="431">
        <s:f>IF($I$12="","",V33/$I$12)</s:f>
        <s:v>8.481549908304773</s:v>
      </s:c>
      <s:c r="X33" s="430">
        <s:f>IF(AB33&lt;&gt;"",IF(D33&lt;&gt;"",D33,($I$8-SUM($X$25:X32))*AA33*AB33/SUMPRODUCT($AB33:$AB$55,$AA33:$AA$55)),"")</s:f>
        <s:v>50991</s:v>
      </s:c>
      <s:c r="Y33" s="431">
        <s:f>IF(AB33&lt;&gt;"",IF(E33&lt;&gt;"",E33,($I$9-SUM($Y$25:Y32))*AA33*AB33/SUMPRODUCT($AB33:$AB$55,$AA33:$AA$55)),"")</s:f>
        <s:v>7</s:v>
      </s:c>
      <s:c r="Z33" s="431">
        <s:f>IF(AB33&lt;&gt;"",IF(E33&lt;&gt;"",E33,($I$9-SUM($Y$25:Y32))*AA33*AB33/SUMPRODUCT($AB33:$AB$55,$AA33:$AA$55)),"")</s:f>
        <s:v>7</s:v>
      </s:c>
      <s:c r="AA33" s="432">
        <s:v>1</s:v>
      </s:c>
      <s:c r="AB33" s="497">
        <s:v>1.1200000000000001</s:v>
      </s:c>
      <s:c r="AU33" s="434"/>
      <s:c r="AV33" s="434"/>
      <s:c r="AW33" s="434"/>
      <s:c r="AX33" s="434"/>
      <s:c r="AY33" s="434"/>
      <s:c r="AZ33" s="434"/>
      <s:c r="BA33" s="434"/>
      <s:c r="BB33" s="434"/>
      <s:c r="BC33" s="434"/>
      <s:c r="BD33" s="434"/>
      <s:c r="BE33" s="434"/>
      <s:c r="BF33" s="434"/>
      <s:c r="BG33" s="434"/>
      <s:c r="BH33" s="434"/>
      <s:c r="BI33" s="434"/>
      <s:c r="BJ33" s="434"/>
      <s:c r="BK33" s="434"/>
      <s:c r="BL33" s="434"/>
      <s:c r="BM33" s="434"/>
      <s:c r="BN33" s="434"/>
      <s:c r="BO33" s="434"/>
      <s:c r="BP33" s="434"/>
      <s:c r="BQ33" s="434"/>
      <s:c r="BR33" s="434"/>
      <s:c r="BS33" s="434"/>
      <s:c r="BT33" s="434"/>
      <s:c r="BU33" s="434"/>
      <s:c r="BV33" s="434"/>
      <s:c r="BW33" s="434"/>
      <s:c r="BX33" s="434"/>
      <s:c r="BY33" s="434"/>
      <s:c r="BZ33" s="434"/>
      <s:c r="CA33" s="434"/>
      <s:c r="CB33" s="434"/>
      <s:c r="CC33" s="434"/>
      <s:c r="CD33" s="434"/>
      <s:c r="CE33" s="434"/>
      <s:c r="CF33" s="434"/>
      <s:c r="CG33" s="434"/>
      <s:c r="CH33" s="434"/>
      <s:c r="CI33" s="434"/>
      <s:c r="CJ33" s="434"/>
      <s:c r="CK33" s="434"/>
      <s:c r="CL33" s="434"/>
      <s:c r="CM33" s="434"/>
      <s:c r="CN33" s="434"/>
      <s:c r="CO33" s="434"/>
      <s:c r="CP33" s="434"/>
      <s:c r="CQ33" s="434"/>
      <s:c r="CR33" s="434"/>
      <s:c r="CS33" s="434"/>
      <s:c r="CT33" s="434"/>
      <s:c r="CU33" s="434"/>
      <s:c r="CV33" s="434"/>
      <s:c r="CW33" s="434"/>
      <s:c r="CX33" s="434"/>
      <s:c r="CY33" s="434"/>
      <s:c r="CZ33" s="434"/>
      <s:c r="DA33" s="434"/>
      <s:c r="DB33" s="434"/>
      <s:c r="DC33" s="434"/>
      <s:c r="DD33" s="434"/>
      <s:c r="DE33" s="434"/>
      <s:c r="DF33" s="434"/>
      <s:c r="DG33" s="434"/>
      <s:c r="DH33" s="434"/>
      <s:c r="DI33" s="434"/>
      <s:c r="DJ33" s="434"/>
      <s:c r="DK33" s="434"/>
      <s:c r="DL33" s="434"/>
      <s:c r="DM33" s="434"/>
      <s:c r="DN33" s="434"/>
      <s:c r="DO33" s="434"/>
      <s:c r="DP33" s="434"/>
      <s:c r="DQ33" s="434"/>
      <s:c r="DR33" s="434"/>
      <s:c r="DS33" s="434"/>
      <s:c r="DT33" s="434"/>
      <s:c r="DU33" s="434"/>
      <s:c r="DV33" s="434"/>
      <s:c r="DW33" s="434"/>
      <s:c r="DX33" s="434"/>
      <s:c r="DY33" s="434"/>
      <s:c r="DZ33" s="434"/>
      <s:c r="EA33" s="434"/>
      <s:c r="EB33" s="434"/>
      <s:c r="EC33" s="434"/>
      <s:c r="ED33" s="434"/>
      <s:c r="EE33" s="434"/>
      <s:c r="EF33" s="434"/>
      <s:c r="EG33" s="434"/>
      <s:c r="EH33" s="434"/>
      <s:c r="EI33" s="434"/>
      <s:c r="EJ33" s="434"/>
      <s:c r="EK33" s="434"/>
      <s:c r="EL33" s="434"/>
      <s:c r="EM33" s="434"/>
      <s:c r="EN33" s="434"/>
      <s:c r="EO33" s="434"/>
      <s:c r="EP33" s="434"/>
      <s:c r="EQ33" s="434"/>
      <s:c r="ER33" s="434"/>
      <s:c r="ES33" s="434"/>
      <s:c r="ET33" s="434"/>
      <s:c r="EU33" s="434"/>
      <s:c r="EV33" s="434"/>
      <s:c r="EW33" s="434"/>
      <s:c r="EX33" s="434"/>
      <s:c r="EY33" s="434"/>
      <s:c r="EZ33" s="434"/>
      <s:c r="FA33" s="434"/>
      <s:c r="FB33" s="434"/>
      <s:c r="FC33" s="434"/>
      <s:c r="FD33" s="434"/>
      <s:c r="FE33" s="434"/>
      <s:c r="FF33" s="434"/>
      <s:c r="FG33" s="434"/>
      <s:c r="FH33" s="434"/>
      <s:c r="FI33" s="434"/>
      <s:c r="FJ33" s="434"/>
      <s:c r="FK33" s="434"/>
      <s:c r="FL33" s="434"/>
      <s:c r="FM33" s="434"/>
      <s:c r="FN33" s="434"/>
      <s:c r="FO33" s="434"/>
      <s:c r="FP33" s="434"/>
      <s:c r="FQ33" s="434"/>
      <s:c r="FR33" s="434"/>
      <s:c r="FS33" s="434"/>
      <s:c r="FT33" s="434"/>
      <s:c r="FU33" s="434"/>
      <s:c r="FV33" s="434"/>
      <s:c r="FW33" s="434"/>
      <s:c r="FX33" s="434"/>
      <s:c r="FY33" s="434"/>
      <s:c r="FZ33" s="434"/>
      <s:c r="GA33" s="434"/>
      <s:c r="GB33" s="434"/>
      <s:c r="GC33" s="434"/>
      <s:c r="GD33" s="434"/>
      <s:c r="GE33" s="434"/>
      <s:c r="GF33" s="434"/>
      <s:c r="GG33" s="434"/>
      <s:c r="GH33" s="434"/>
      <s:c r="GI33" s="434"/>
      <s:c r="GJ33" s="434"/>
      <s:c r="GK33" s="434"/>
      <s:c r="GL33" s="434"/>
      <s:c r="GM33" s="434"/>
      <s:c r="GN33" s="434"/>
      <s:c r="GO33" s="434"/>
      <s:c r="GP33" s="434"/>
      <s:c r="GQ33" s="434"/>
      <s:c r="GR33" s="434"/>
      <s:c r="GS33" s="434"/>
      <s:c r="GT33" s="434"/>
      <s:c r="GU33" s="434"/>
      <s:c r="GV33" s="434"/>
      <s:c r="GW33" s="434"/>
      <s:c r="GX33" s="434"/>
      <s:c r="GY33" s="434"/>
      <s:c r="GZ33" s="434"/>
      <s:c r="HA33" s="434"/>
      <s:c r="HB33" s="434"/>
      <s:c r="HC33" s="434"/>
      <s:c r="HD33" s="434"/>
      <s:c r="HE33" s="434"/>
      <s:c r="HF33" s="434"/>
      <s:c r="HG33" s="434"/>
      <s:c r="HH33" s="434"/>
      <s:c r="HI33" s="434"/>
      <s:c r="HJ33" s="434"/>
      <s:c r="HK33" s="434"/>
      <s:c r="HL33" s="434"/>
      <s:c r="HM33" s="434"/>
      <s:c r="HN33" s="434"/>
      <s:c r="HO33" s="434"/>
      <s:c r="HP33" s="434"/>
      <s:c r="HQ33" s="434"/>
      <s:c r="HR33" s="434"/>
      <s:c r="HS33" s="434"/>
      <s:c r="HT33" s="434"/>
      <s:c r="HU33" s="434"/>
      <s:c r="HV33" s="434"/>
      <s:c r="HW33" s="434"/>
      <s:c r="HX33" s="434"/>
      <s:c r="HY33" s="434"/>
      <s:c r="HZ33" s="434"/>
      <s:c r="IA33" s="434"/>
      <s:c r="IB33" s="434"/>
      <s:c r="IC33" s="434"/>
      <s:c r="ID33" s="434"/>
      <s:c r="IE33" s="434"/>
      <s:c r="IF33" s="434"/>
      <s:c r="IG33" s="434"/>
      <s:c r="IH33" s="434"/>
      <s:c r="II33" s="434"/>
      <s:c r="IJ33" s="434"/>
      <s:c r="IK33" s="434"/>
      <s:c r="IL33" s="434"/>
      <s:c r="IM33" s="434"/>
      <s:c r="IN33" s="434"/>
      <s:c r="IO33" s="434"/>
      <s:c r="IP33" s="434"/>
      <s:c r="IQ33" s="434"/>
      <s:c r="IR33" s="434"/>
      <s:c r="IS33" s="434"/>
      <s:c r="IT33" s="434"/>
      <s:c r="IU33" s="434"/>
      <s:c r="IV33" s="434"/>
      <s:c r="IW33" s="434"/>
      <s:c r="IX33" s="434"/>
      <s:c r="IY33" s="434"/>
      <s:c r="IZ33" s="434"/>
    </s:row>
    <s:row r="34" spans="1:260" s="433" customFormat="1">
      <s:c r="A34" s="522" t="s">
        <s:v>138</s:v>
      </s:c>
      <s:c r="B34" s="528">
        <s:v>46122</s:v>
      </s:c>
      <s:c r="C34" s="529" t="s">
        <s:v>58</s:v>
      </s:c>
      <s:c r="D34" s="595">
        <s:v>4693</s:v>
      </s:c>
      <s:c r="E34" s="429">
        <s:v>1</s:v>
      </s:c>
      <s:c r="F34" s="429">
        <s:f>IF(AND(E34&lt;&gt;"",E34&lt;&gt;0),D34/E34,"")</s:f>
        <s:v>4693</s:v>
      </s:c>
      <s:c r="G34" s="429">
        <s:v>1</s:v>
      </s:c>
      <s:c r="H34" s="429">
        <s:f>IF(AND(G34&lt;&gt;"",G34&lt;&gt;0),D34/G34,"")</s:f>
        <s:v>4693</s:v>
      </s:c>
      <s:c r="I34" s="587">
        <s:v>27</s:v>
      </s:c>
      <s:c r="J34" s="488">
        <s:f>IF(AND(G34&lt;&gt;"",G34&lt;&gt;0),E34/G34,"")</s:f>
        <s:v>1</s:v>
      </s:c>
      <s:c r="K34" s="482"/>
      <s:c r="L34" s="429"/>
      <s:c r="M34" s="429"/>
      <s:c r="N34" s="429"/>
      <s:c r="O34" s="429"/>
      <s:c r="P34" s="429"/>
      <s:c r="Q34" s="429"/>
      <s:c r="R34" s="483"/>
      <s:c r="S34" s="491">
        <s:f>IF(AND(I34&lt;&gt;"",I34&lt;&gt;0),G34/I34,"")</s:f>
        <s:v>3.7037037037037035E-2</s:v>
      </s:c>
      <s:c r="T34" s="493">
        <s:f>D34/U34</s:f>
        <s:v>2.9337337104612799E-2</s:v>
      </s:c>
      <s:c r="U34" s="496">
        <s:f>$I$8*AA34*AB34/SUMPRODUCT($AB$25:$AB$55,$AA$25:$AA$55)</s:f>
        <s:v>159966.80214245146</s:v>
      </s:c>
      <s:c r="V34" s="431">
        <s:f>$I$9*AA34*AB34/SUMPRODUCT($AB$25:$AB$55,$AA$25:$AA$55)</s:f>
        <s:v>23.016806063662077</s:v>
      </s:c>
      <s:c r="W34" s="431">
        <s:f>IF($I$12="","",V34/$I$12)</s:f>
        <s:v>12.646596738275866</s:v>
      </s:c>
      <s:c r="X34" s="430">
        <s:f>IF(AB34&lt;&gt;"",IF(D34&lt;&gt;"",D34,($I$8-SUM($X$25:X33))*AA34*AB34/SUMPRODUCT($AB34:$AB$55,$AA34:$AA$55)),"")</s:f>
        <s:v>4693</s:v>
      </s:c>
      <s:c r="Y34" s="431">
        <s:f>IF(AB34&lt;&gt;"",IF(E34&lt;&gt;"",E34,($I$9-SUM($Y$25:Y33))*AA34*AB34/SUMPRODUCT($AB34:$AB$55,$AA34:$AA$55)),"")</s:f>
        <s:v>1</s:v>
      </s:c>
      <s:c r="Z34" s="431">
        <s:f>IF(AB34&lt;&gt;"",IF(E34&lt;&gt;"",E34,($I$9-SUM($Y$25:Y33))*AA34*AB34/SUMPRODUCT($AB34:$AB$55,$AA34:$AA$55)),"")</s:f>
        <s:v>1</s:v>
      </s:c>
      <s:c r="AA34" s="432">
        <s:v>1</s:v>
      </s:c>
      <s:c r="AB34" s="497">
        <s:v>1.67</s:v>
      </s:c>
      <s:c r="AU34" s="434"/>
      <s:c r="AV34" s="434"/>
      <s:c r="AW34" s="434"/>
      <s:c r="AX34" s="434"/>
      <s:c r="AY34" s="434"/>
      <s:c r="AZ34" s="434"/>
      <s:c r="BA34" s="434"/>
      <s:c r="BB34" s="434"/>
      <s:c r="BC34" s="434"/>
      <s:c r="BD34" s="434"/>
      <s:c r="BE34" s="434"/>
      <s:c r="BF34" s="434"/>
      <s:c r="BG34" s="434"/>
      <s:c r="BH34" s="434"/>
      <s:c r="BI34" s="434"/>
      <s:c r="BJ34" s="434"/>
      <s:c r="BK34" s="434"/>
      <s:c r="BL34" s="434"/>
      <s:c r="BM34" s="434"/>
      <s:c r="BN34" s="434"/>
      <s:c r="BO34" s="434"/>
      <s:c r="BP34" s="434"/>
      <s:c r="BQ34" s="434"/>
      <s:c r="BR34" s="434"/>
      <s:c r="BS34" s="434"/>
      <s:c r="BT34" s="434"/>
      <s:c r="BU34" s="434"/>
      <s:c r="BV34" s="434"/>
      <s:c r="BW34" s="434"/>
      <s:c r="BX34" s="434"/>
      <s:c r="BY34" s="434"/>
      <s:c r="BZ34" s="434"/>
      <s:c r="CA34" s="434"/>
      <s:c r="CB34" s="434"/>
      <s:c r="CC34" s="434"/>
      <s:c r="CD34" s="434"/>
      <s:c r="CE34" s="434"/>
      <s:c r="CF34" s="434"/>
      <s:c r="CG34" s="434"/>
      <s:c r="CH34" s="434"/>
      <s:c r="CI34" s="434"/>
      <s:c r="CJ34" s="434"/>
      <s:c r="CK34" s="434"/>
      <s:c r="CL34" s="434"/>
      <s:c r="CM34" s="434"/>
      <s:c r="CN34" s="434"/>
      <s:c r="CO34" s="434"/>
      <s:c r="CP34" s="434"/>
      <s:c r="CQ34" s="434"/>
      <s:c r="CR34" s="434"/>
      <s:c r="CS34" s="434"/>
      <s:c r="CT34" s="434"/>
      <s:c r="CU34" s="434"/>
      <s:c r="CV34" s="434"/>
      <s:c r="CW34" s="434"/>
      <s:c r="CX34" s="434"/>
      <s:c r="CY34" s="434"/>
      <s:c r="CZ34" s="434"/>
      <s:c r="DA34" s="434"/>
      <s:c r="DB34" s="434"/>
      <s:c r="DC34" s="434"/>
      <s:c r="DD34" s="434"/>
      <s:c r="DE34" s="434"/>
      <s:c r="DF34" s="434"/>
      <s:c r="DG34" s="434"/>
      <s:c r="DH34" s="434"/>
      <s:c r="DI34" s="434"/>
      <s:c r="DJ34" s="434"/>
      <s:c r="DK34" s="434"/>
      <s:c r="DL34" s="434"/>
      <s:c r="DM34" s="434"/>
      <s:c r="DN34" s="434"/>
      <s:c r="DO34" s="434"/>
      <s:c r="DP34" s="434"/>
      <s:c r="DQ34" s="434"/>
      <s:c r="DR34" s="434"/>
      <s:c r="DS34" s="434"/>
      <s:c r="DT34" s="434"/>
      <s:c r="DU34" s="434"/>
      <s:c r="DV34" s="434"/>
      <s:c r="DW34" s="434"/>
      <s:c r="DX34" s="434"/>
      <s:c r="DY34" s="434"/>
      <s:c r="DZ34" s="434"/>
      <s:c r="EA34" s="434"/>
      <s:c r="EB34" s="434"/>
      <s:c r="EC34" s="434"/>
      <s:c r="ED34" s="434"/>
      <s:c r="EE34" s="434"/>
      <s:c r="EF34" s="434"/>
      <s:c r="EG34" s="434"/>
      <s:c r="EH34" s="434"/>
      <s:c r="EI34" s="434"/>
      <s:c r="EJ34" s="434"/>
      <s:c r="EK34" s="434"/>
      <s:c r="EL34" s="434"/>
      <s:c r="EM34" s="434"/>
      <s:c r="EN34" s="434"/>
      <s:c r="EO34" s="434"/>
      <s:c r="EP34" s="434"/>
      <s:c r="EQ34" s="434"/>
      <s:c r="ER34" s="434"/>
      <s:c r="ES34" s="434"/>
      <s:c r="ET34" s="434"/>
      <s:c r="EU34" s="434"/>
      <s:c r="EV34" s="434"/>
      <s:c r="EW34" s="434"/>
      <s:c r="EX34" s="434"/>
      <s:c r="EY34" s="434"/>
      <s:c r="EZ34" s="434"/>
      <s:c r="FA34" s="434"/>
      <s:c r="FB34" s="434"/>
      <s:c r="FC34" s="434"/>
      <s:c r="FD34" s="434"/>
      <s:c r="FE34" s="434"/>
      <s:c r="FF34" s="434"/>
      <s:c r="FG34" s="434"/>
      <s:c r="FH34" s="434"/>
      <s:c r="FI34" s="434"/>
      <s:c r="FJ34" s="434"/>
      <s:c r="FK34" s="434"/>
      <s:c r="FL34" s="434"/>
      <s:c r="FM34" s="434"/>
      <s:c r="FN34" s="434"/>
      <s:c r="FO34" s="434"/>
      <s:c r="FP34" s="434"/>
      <s:c r="FQ34" s="434"/>
      <s:c r="FR34" s="434"/>
      <s:c r="FS34" s="434"/>
      <s:c r="FT34" s="434"/>
      <s:c r="FU34" s="434"/>
      <s:c r="FV34" s="434"/>
      <s:c r="FW34" s="434"/>
      <s:c r="FX34" s="434"/>
      <s:c r="FY34" s="434"/>
      <s:c r="FZ34" s="434"/>
      <s:c r="GA34" s="434"/>
      <s:c r="GB34" s="434"/>
      <s:c r="GC34" s="434"/>
      <s:c r="GD34" s="434"/>
      <s:c r="GE34" s="434"/>
      <s:c r="GF34" s="434"/>
      <s:c r="GG34" s="434"/>
      <s:c r="GH34" s="434"/>
      <s:c r="GI34" s="434"/>
      <s:c r="GJ34" s="434"/>
      <s:c r="GK34" s="434"/>
      <s:c r="GL34" s="434"/>
      <s:c r="GM34" s="434"/>
      <s:c r="GN34" s="434"/>
      <s:c r="GO34" s="434"/>
      <s:c r="GP34" s="434"/>
      <s:c r="GQ34" s="434"/>
      <s:c r="GR34" s="434"/>
      <s:c r="GS34" s="434"/>
      <s:c r="GT34" s="434"/>
      <s:c r="GU34" s="434"/>
      <s:c r="GV34" s="434"/>
      <s:c r="GW34" s="434"/>
      <s:c r="GX34" s="434"/>
      <s:c r="GY34" s="434"/>
      <s:c r="GZ34" s="434"/>
      <s:c r="HA34" s="434"/>
      <s:c r="HB34" s="434"/>
      <s:c r="HC34" s="434"/>
      <s:c r="HD34" s="434"/>
      <s:c r="HE34" s="434"/>
      <s:c r="HF34" s="434"/>
      <s:c r="HG34" s="434"/>
      <s:c r="HH34" s="434"/>
      <s:c r="HI34" s="434"/>
      <s:c r="HJ34" s="434"/>
      <s:c r="HK34" s="434"/>
      <s:c r="HL34" s="434"/>
      <s:c r="HM34" s="434"/>
      <s:c r="HN34" s="434"/>
      <s:c r="HO34" s="434"/>
      <s:c r="HP34" s="434"/>
      <s:c r="HQ34" s="434"/>
      <s:c r="HR34" s="434"/>
      <s:c r="HS34" s="434"/>
      <s:c r="HT34" s="434"/>
      <s:c r="HU34" s="434"/>
      <s:c r="HV34" s="434"/>
      <s:c r="HW34" s="434"/>
      <s:c r="HX34" s="434"/>
      <s:c r="HY34" s="434"/>
      <s:c r="HZ34" s="434"/>
      <s:c r="IA34" s="434"/>
      <s:c r="IB34" s="434"/>
      <s:c r="IC34" s="434"/>
      <s:c r="ID34" s="434"/>
      <s:c r="IE34" s="434"/>
      <s:c r="IF34" s="434"/>
      <s:c r="IG34" s="434"/>
      <s:c r="IH34" s="434"/>
      <s:c r="II34" s="434"/>
      <s:c r="IJ34" s="434"/>
      <s:c r="IK34" s="434"/>
      <s:c r="IL34" s="434"/>
      <s:c r="IM34" s="434"/>
      <s:c r="IN34" s="434"/>
      <s:c r="IO34" s="434"/>
      <s:c r="IP34" s="434"/>
      <s:c r="IQ34" s="434"/>
      <s:c r="IR34" s="434"/>
      <s:c r="IS34" s="434"/>
      <s:c r="IT34" s="434"/>
      <s:c r="IU34" s="434"/>
      <s:c r="IV34" s="434"/>
      <s:c r="IW34" s="434"/>
      <s:c r="IX34" s="434"/>
      <s:c r="IY34" s="434"/>
      <s:c r="IZ34" s="434"/>
    </s:row>
    <s:row r="35" spans="1:260" s="433" customFormat="1">
      <s:c r="A35" s="522" t="s">
        <s:v>133</s:v>
      </s:c>
      <s:c r="B35" s="528">
        <s:v>46123</s:v>
      </s:c>
      <s:c r="C35" s="529" t="s">
        <s:v>59</s:v>
      </s:c>
      <s:c r="D35" s="595">
        <s:v>68315</s:v>
      </s:c>
      <s:c r="E35" s="429">
        <s:v>10</s:v>
      </s:c>
      <s:c r="F35" s="429">
        <s:f>IF(AND(E35&lt;&gt;"",E35&lt;&gt;0),D35/E35,"")</s:f>
        <s:v>6831.5</s:v>
      </s:c>
      <s:c r="G35" s="429">
        <s:v>3</s:v>
      </s:c>
      <s:c r="H35" s="429">
        <s:f>IF(AND(G35&lt;&gt;"",G35&lt;&gt;0),D35/G35,"")</s:f>
        <s:v>22771.666666666668</s:v>
      </s:c>
      <s:c r="I35" s="587">
        <s:v>44</s:v>
      </s:c>
      <s:c r="J35" s="488">
        <s:f>IF(AND(G35&lt;&gt;"",G35&lt;&gt;0),E35/G35,"")</s:f>
        <s:v>3.3333333333333299</s:v>
      </s:c>
      <s:c r="K35" s="482"/>
      <s:c r="L35" s="429"/>
      <s:c r="M35" s="429"/>
      <s:c r="N35" s="429"/>
      <s:c r="O35" s="429"/>
      <s:c r="P35" s="429">
        <s:v>11893</s:v>
      </s:c>
      <s:c r="Q35" s="429">
        <s:v>20780</s:v>
      </s:c>
      <s:c r="R35" s="749">
        <s:v>7980</s:v>
      </s:c>
      <s:c r="S35" s="491">
        <s:f>IF(AND(I35&lt;&gt;"",I35&lt;&gt;0),G35/I35,"")</s:f>
        <s:v>6.8181818181818177E-2</s:v>
      </s:c>
      <s:c r="T35" s="493">
        <s:f>D35/U35</s:f>
        <s:v>0.40066617359630941</s:v>
      </s:c>
      <s:c r="U35" s="496">
        <s:f>$I$8*AA35*AB35/SUMPRODUCT($AB$25:$AB$55,$AA$25:$AA$55)</s:f>
        <s:v>170503.53761291233</s:v>
      </s:c>
      <s:c r="V35" s="431">
        <s:f>$I$9*AA35*AB35/SUMPRODUCT($AB$25:$AB$55,$AA$25:$AA$55)</s:f>
        <s:v>24.532883109771557</s:v>
      </s:c>
      <s:c r="W35" s="431">
        <s:f>IF($I$12="","",V35/$I$12)</s:f>
        <s:v>13.479606104270086</s:v>
      </s:c>
      <s:c r="X35" s="430">
        <s:f>IF(AB35&lt;&gt;"",IF(D35&lt;&gt;"",D35,($I$8-SUM($X$25:X34))*AA35*AB35/SUMPRODUCT($AB35:$AB$55,$AA35:$AA$55)),"")</s:f>
        <s:v>68315</s:v>
      </s:c>
      <s:c r="Y35" s="431">
        <s:f>IF(AB35&lt;&gt;"",IF(E35&lt;&gt;"",E35,($I$9-SUM($Y$25:Y34))*AA35*AB35/SUMPRODUCT($AB35:$AB$55,$AA35:$AA$55)),"")</s:f>
        <s:v>10</s:v>
      </s:c>
      <s:c r="Z35" s="431">
        <s:f>IF(AB35&lt;&gt;"",IF(E35&lt;&gt;"",E35,($I$9-SUM($Y$25:Y34))*AA35*AB35/SUMPRODUCT($AB35:$AB$55,$AA35:$AA$55)),"")</s:f>
        <s:v>10</s:v>
      </s:c>
      <s:c r="AA35" s="432">
        <s:v>1</s:v>
      </s:c>
      <s:c r="AB35" s="497">
        <s:v>1.78</s:v>
      </s:c>
      <s:c r="AU35" s="434"/>
      <s:c r="AV35" s="434"/>
      <s:c r="AW35" s="434"/>
      <s:c r="AX35" s="434"/>
      <s:c r="AY35" s="434"/>
      <s:c r="AZ35" s="434"/>
      <s:c r="BA35" s="434"/>
      <s:c r="BB35" s="434"/>
      <s:c r="BC35" s="434"/>
      <s:c r="BD35" s="434"/>
      <s:c r="BE35" s="434"/>
      <s:c r="BF35" s="434"/>
      <s:c r="BG35" s="434"/>
      <s:c r="BH35" s="434"/>
      <s:c r="BI35" s="434"/>
      <s:c r="BJ35" s="434"/>
      <s:c r="BK35" s="434"/>
      <s:c r="BL35" s="434"/>
      <s:c r="BM35" s="434"/>
      <s:c r="BN35" s="434"/>
      <s:c r="BO35" s="434"/>
      <s:c r="BP35" s="434"/>
      <s:c r="BQ35" s="434"/>
      <s:c r="BR35" s="434"/>
      <s:c r="BS35" s="434"/>
      <s:c r="BT35" s="434"/>
      <s:c r="BU35" s="434"/>
      <s:c r="BV35" s="434"/>
      <s:c r="BW35" s="434"/>
      <s:c r="BX35" s="434"/>
      <s:c r="BY35" s="434"/>
      <s:c r="BZ35" s="434"/>
      <s:c r="CA35" s="434"/>
      <s:c r="CB35" s="434"/>
      <s:c r="CC35" s="434"/>
      <s:c r="CD35" s="434"/>
      <s:c r="CE35" s="434"/>
      <s:c r="CF35" s="434"/>
      <s:c r="CG35" s="434"/>
      <s:c r="CH35" s="434"/>
      <s:c r="CI35" s="434"/>
      <s:c r="CJ35" s="434"/>
      <s:c r="CK35" s="434"/>
      <s:c r="CL35" s="434"/>
      <s:c r="CM35" s="434"/>
      <s:c r="CN35" s="434"/>
      <s:c r="CO35" s="434"/>
      <s:c r="CP35" s="434"/>
      <s:c r="CQ35" s="434"/>
      <s:c r="CR35" s="434"/>
      <s:c r="CS35" s="434"/>
      <s:c r="CT35" s="434"/>
      <s:c r="CU35" s="434"/>
      <s:c r="CV35" s="434"/>
      <s:c r="CW35" s="434"/>
      <s:c r="CX35" s="434"/>
      <s:c r="CY35" s="434"/>
      <s:c r="CZ35" s="434"/>
      <s:c r="DA35" s="434"/>
      <s:c r="DB35" s="434"/>
      <s:c r="DC35" s="434"/>
      <s:c r="DD35" s="434"/>
      <s:c r="DE35" s="434"/>
      <s:c r="DF35" s="434"/>
      <s:c r="DG35" s="434"/>
      <s:c r="DH35" s="434"/>
      <s:c r="DI35" s="434"/>
      <s:c r="DJ35" s="434"/>
      <s:c r="DK35" s="434"/>
      <s:c r="DL35" s="434"/>
      <s:c r="DM35" s="434"/>
      <s:c r="DN35" s="434"/>
      <s:c r="DO35" s="434"/>
      <s:c r="DP35" s="434"/>
      <s:c r="DQ35" s="434"/>
      <s:c r="DR35" s="434"/>
      <s:c r="DS35" s="434"/>
      <s:c r="DT35" s="434"/>
      <s:c r="DU35" s="434"/>
      <s:c r="DV35" s="434"/>
      <s:c r="DW35" s="434"/>
      <s:c r="DX35" s="434"/>
      <s:c r="DY35" s="434"/>
      <s:c r="DZ35" s="434"/>
      <s:c r="EA35" s="434"/>
      <s:c r="EB35" s="434"/>
      <s:c r="EC35" s="434"/>
      <s:c r="ED35" s="434"/>
      <s:c r="EE35" s="434"/>
      <s:c r="EF35" s="434"/>
      <s:c r="EG35" s="434"/>
      <s:c r="EH35" s="434"/>
      <s:c r="EI35" s="434"/>
      <s:c r="EJ35" s="434"/>
      <s:c r="EK35" s="434"/>
      <s:c r="EL35" s="434"/>
      <s:c r="EM35" s="434"/>
      <s:c r="EN35" s="434"/>
      <s:c r="EO35" s="434"/>
      <s:c r="EP35" s="434"/>
      <s:c r="EQ35" s="434"/>
      <s:c r="ER35" s="434"/>
      <s:c r="ES35" s="434"/>
      <s:c r="ET35" s="434"/>
      <s:c r="EU35" s="434"/>
      <s:c r="EV35" s="434"/>
      <s:c r="EW35" s="434"/>
      <s:c r="EX35" s="434"/>
      <s:c r="EY35" s="434"/>
      <s:c r="EZ35" s="434"/>
      <s:c r="FA35" s="434"/>
      <s:c r="FB35" s="434"/>
      <s:c r="FC35" s="434"/>
      <s:c r="FD35" s="434"/>
      <s:c r="FE35" s="434"/>
      <s:c r="FF35" s="434"/>
      <s:c r="FG35" s="434"/>
      <s:c r="FH35" s="434"/>
      <s:c r="FI35" s="434"/>
      <s:c r="FJ35" s="434"/>
      <s:c r="FK35" s="434"/>
      <s:c r="FL35" s="434"/>
      <s:c r="FM35" s="434"/>
      <s:c r="FN35" s="434"/>
      <s:c r="FO35" s="434"/>
      <s:c r="FP35" s="434"/>
      <s:c r="FQ35" s="434"/>
      <s:c r="FR35" s="434"/>
      <s:c r="FS35" s="434"/>
      <s:c r="FT35" s="434"/>
      <s:c r="FU35" s="434"/>
      <s:c r="FV35" s="434"/>
      <s:c r="FW35" s="434"/>
      <s:c r="FX35" s="434"/>
      <s:c r="FY35" s="434"/>
      <s:c r="FZ35" s="434"/>
      <s:c r="GA35" s="434"/>
      <s:c r="GB35" s="434"/>
      <s:c r="GC35" s="434"/>
      <s:c r="GD35" s="434"/>
      <s:c r="GE35" s="434"/>
      <s:c r="GF35" s="434"/>
      <s:c r="GG35" s="434"/>
      <s:c r="GH35" s="434"/>
      <s:c r="GI35" s="434"/>
      <s:c r="GJ35" s="434"/>
      <s:c r="GK35" s="434"/>
      <s:c r="GL35" s="434"/>
      <s:c r="GM35" s="434"/>
      <s:c r="GN35" s="434"/>
      <s:c r="GO35" s="434"/>
      <s:c r="GP35" s="434"/>
      <s:c r="GQ35" s="434"/>
      <s:c r="GR35" s="434"/>
      <s:c r="GS35" s="434"/>
      <s:c r="GT35" s="434"/>
      <s:c r="GU35" s="434"/>
      <s:c r="GV35" s="434"/>
      <s:c r="GW35" s="434"/>
      <s:c r="GX35" s="434"/>
      <s:c r="GY35" s="434"/>
      <s:c r="GZ35" s="434"/>
      <s:c r="HA35" s="434"/>
      <s:c r="HB35" s="434"/>
      <s:c r="HC35" s="434"/>
      <s:c r="HD35" s="434"/>
      <s:c r="HE35" s="434"/>
      <s:c r="HF35" s="434"/>
      <s:c r="HG35" s="434"/>
      <s:c r="HH35" s="434"/>
      <s:c r="HI35" s="434"/>
      <s:c r="HJ35" s="434"/>
      <s:c r="HK35" s="434"/>
      <s:c r="HL35" s="434"/>
      <s:c r="HM35" s="434"/>
      <s:c r="HN35" s="434"/>
      <s:c r="HO35" s="434"/>
      <s:c r="HP35" s="434"/>
      <s:c r="HQ35" s="434"/>
      <s:c r="HR35" s="434"/>
      <s:c r="HS35" s="434"/>
      <s:c r="HT35" s="434"/>
      <s:c r="HU35" s="434"/>
      <s:c r="HV35" s="434"/>
      <s:c r="HW35" s="434"/>
      <s:c r="HX35" s="434"/>
      <s:c r="HY35" s="434"/>
      <s:c r="HZ35" s="434"/>
      <s:c r="IA35" s="434"/>
      <s:c r="IB35" s="434"/>
      <s:c r="IC35" s="434"/>
      <s:c r="ID35" s="434"/>
      <s:c r="IE35" s="434"/>
      <s:c r="IF35" s="434"/>
      <s:c r="IG35" s="434"/>
      <s:c r="IH35" s="434"/>
      <s:c r="II35" s="434"/>
      <s:c r="IJ35" s="434"/>
      <s:c r="IK35" s="434"/>
      <s:c r="IL35" s="434"/>
      <s:c r="IM35" s="434"/>
      <s:c r="IN35" s="434"/>
      <s:c r="IO35" s="434"/>
      <s:c r="IP35" s="434"/>
      <s:c r="IQ35" s="434"/>
      <s:c r="IR35" s="434"/>
      <s:c r="IS35" s="434"/>
      <s:c r="IT35" s="434"/>
      <s:c r="IU35" s="434"/>
      <s:c r="IV35" s="434"/>
      <s:c r="IW35" s="434"/>
      <s:c r="IX35" s="434"/>
      <s:c r="IY35" s="434"/>
      <s:c r="IZ35" s="434"/>
    </s:row>
    <s:row r="36" spans="1:260" s="433" customFormat="1">
      <s:c r="A36" s="522" t="s">
        <s:v>123</s:v>
      </s:c>
      <s:c r="B36" s="528">
        <s:v>46124</s:v>
      </s:c>
      <s:c r="C36" s="529" t="s">
        <s:v>53</s:v>
      </s:c>
      <s:c r="D36" s="595">
        <s:f>65297+L36</s:f>
        <s:v>110299</s:v>
      </s:c>
      <s:c r="E36" s="436">
        <s:v>9</s:v>
      </s:c>
      <s:c r="F36" s="429">
        <s:f>IF(AND(E36&lt;&gt;"",E36&lt;&gt;0),D36/E36,"")</s:f>
        <s:v>12255.444444444445</s:v>
      </s:c>
      <s:c r="G36" s="429">
        <s:v>5</s:v>
      </s:c>
      <s:c r="H36" s="429">
        <s:f>IF(AND(G36&lt;&gt;"",G36&lt;&gt;0),D36/G36,"")</s:f>
        <s:v>22059.8</s:v>
      </s:c>
      <s:c r="I36" s="587">
        <s:v>51</s:v>
      </s:c>
      <s:c r="J36" s="488">
        <s:f>IF(AND(G36&lt;&gt;"",G36&lt;&gt;0),E36/G36,"")</s:f>
        <s:v>1.8</s:v>
      </s:c>
      <s:c r="K36" s="482">
        <s:v>22931</s:v>
      </s:c>
      <s:c r="L36" s="429">
        <s:v>45002</s:v>
      </s:c>
      <s:c r="M36" s="429"/>
      <s:c r="N36" s="429"/>
      <s:c r="O36" s="429"/>
      <s:c r="P36" s="429"/>
      <s:c r="Q36" s="429"/>
      <s:c r="R36" s="483"/>
      <s:c r="S36" s="491">
        <s:f>IF(AND(I36&lt;&gt;"",I36&lt;&gt;0),G36/I36,"")</s:f>
        <s:v>9.8039215686274508E-2</s:v>
      </s:c>
      <s:c r="T36" s="493">
        <s:f>D36/U36</s:f>
        <s:v>0.75755574352813027</s:v>
      </s:c>
      <s:c r="U36" s="496">
        <s:f>$I$8*AA36*AB36/SUMPRODUCT($AB$25:$AB$55,$AA$25:$AA$55)</s:f>
        <s:v>145598.5265009139</s:v>
      </s:c>
      <s:c r="V36" s="431">
        <s:f>$I$9*AA36*AB36/SUMPRODUCT($AB$25:$AB$55,$AA$25:$AA$55)</s:f>
        <s:v>20.949428273512787</s:v>
      </s:c>
      <s:c r="W36" s="431">
        <s:f>IF($I$12="","",V36/$I$12)</s:f>
        <s:v>11.510674875556475</s:v>
      </s:c>
      <s:c r="X36" s="430">
        <s:f>IF(AB36&lt;&gt;"",IF(D36&lt;&gt;"",D36,($I$8-SUM($X$25:X35))*AA36*AB36/SUMPRODUCT($AB36:$AB$55,$AA36:$AA$55)),"")</s:f>
        <s:v>110299</s:v>
      </s:c>
      <s:c r="Y36" s="431">
        <s:f>IF(AB36&lt;&gt;"",IF(E36&lt;&gt;"",E36,($I$9-SUM($Y$25:Y35))*AA36*AB36/SUMPRODUCT($AB36:$AB$55,$AA36:$AA$55)),"")</s:f>
        <s:v>9</s:v>
      </s:c>
      <s:c r="Z36" s="431">
        <s:f>IF(AB36&lt;&gt;"",IF(E36&lt;&gt;"",E36,($I$9-SUM($Y$25:Y35))*AA36*AB36/SUMPRODUCT($AB36:$AB$55,$AA36:$AA$55)),"")</s:f>
        <s:v>9</s:v>
      </s:c>
      <s:c r="AA36" s="432">
        <s:v>1</s:v>
      </s:c>
      <s:c r="AB36" s="497">
        <s:v>1.52</s:v>
      </s:c>
      <s:c r="AC36" s="434"/>
      <s:c r="AD36" s="434"/>
      <s:c r="AE36" s="434"/>
      <s:c r="AF36" s="434"/>
      <s:c r="AG36" s="434"/>
      <s:c r="AH36" s="434"/>
      <s:c r="AI36" s="434"/>
      <s:c r="AJ36" s="434"/>
      <s:c r="AK36" s="434"/>
      <s:c r="AL36" s="434"/>
      <s:c r="AM36" s="434"/>
      <s:c r="AN36" s="434"/>
      <s:c r="AO36" s="434"/>
      <s:c r="AP36" s="434"/>
      <s:c r="AQ36" s="434"/>
      <s:c r="AR36" s="434"/>
      <s:c r="AS36" s="434"/>
      <s:c r="AT36" s="434"/>
      <s:c r="AU36" s="434"/>
      <s:c r="AV36" s="434"/>
      <s:c r="AW36" s="434"/>
      <s:c r="AX36" s="434"/>
      <s:c r="AY36" s="434"/>
      <s:c r="AZ36" s="434"/>
      <s:c r="BA36" s="434"/>
      <s:c r="BB36" s="434"/>
      <s:c r="BC36" s="434"/>
      <s:c r="BD36" s="434"/>
      <s:c r="BE36" s="434"/>
      <s:c r="BF36" s="434"/>
      <s:c r="BG36" s="434"/>
      <s:c r="BH36" s="434"/>
      <s:c r="BI36" s="434"/>
      <s:c r="BJ36" s="434"/>
      <s:c r="BK36" s="434"/>
      <s:c r="BL36" s="434"/>
      <s:c r="BM36" s="434"/>
      <s:c r="BN36" s="434"/>
      <s:c r="BO36" s="434"/>
      <s:c r="BP36" s="434"/>
      <s:c r="BQ36" s="434"/>
      <s:c r="BR36" s="434"/>
      <s:c r="BS36" s="434"/>
      <s:c r="BT36" s="434"/>
      <s:c r="BU36" s="434"/>
      <s:c r="BV36" s="434"/>
      <s:c r="BW36" s="434"/>
      <s:c r="BX36" s="434"/>
      <s:c r="BY36" s="434"/>
      <s:c r="BZ36" s="434"/>
      <s:c r="CA36" s="434"/>
      <s:c r="CB36" s="434"/>
      <s:c r="CC36" s="434"/>
      <s:c r="CD36" s="434"/>
      <s:c r="CE36" s="434"/>
      <s:c r="CF36" s="434"/>
      <s:c r="CG36" s="434"/>
      <s:c r="CH36" s="434"/>
      <s:c r="CI36" s="434"/>
      <s:c r="CJ36" s="434"/>
      <s:c r="CK36" s="434"/>
      <s:c r="CL36" s="434"/>
      <s:c r="CM36" s="434"/>
      <s:c r="CN36" s="434"/>
      <s:c r="CO36" s="434"/>
      <s:c r="CP36" s="434"/>
      <s:c r="CQ36" s="434"/>
      <s:c r="CR36" s="434"/>
      <s:c r="CS36" s="434"/>
      <s:c r="CT36" s="434"/>
      <s:c r="CU36" s="434"/>
      <s:c r="CV36" s="434"/>
      <s:c r="CW36" s="434"/>
      <s:c r="CX36" s="434"/>
      <s:c r="CY36" s="434"/>
      <s:c r="CZ36" s="434"/>
      <s:c r="DA36" s="434"/>
      <s:c r="DB36" s="434"/>
      <s:c r="DC36" s="434"/>
      <s:c r="DD36" s="434"/>
      <s:c r="DE36" s="434"/>
      <s:c r="DF36" s="434"/>
      <s:c r="DG36" s="434"/>
      <s:c r="DH36" s="434"/>
      <s:c r="DI36" s="434"/>
      <s:c r="DJ36" s="434"/>
      <s:c r="DK36" s="434"/>
      <s:c r="DL36" s="434"/>
      <s:c r="DM36" s="434"/>
      <s:c r="DN36" s="434"/>
      <s:c r="DO36" s="434"/>
      <s:c r="DP36" s="434"/>
      <s:c r="DQ36" s="434"/>
      <s:c r="DR36" s="434"/>
      <s:c r="DS36" s="434"/>
      <s:c r="DT36" s="434"/>
      <s:c r="DU36" s="434"/>
      <s:c r="DV36" s="434"/>
      <s:c r="DW36" s="434"/>
      <s:c r="DX36" s="434"/>
      <s:c r="DY36" s="434"/>
      <s:c r="DZ36" s="434"/>
      <s:c r="EA36" s="434"/>
      <s:c r="EB36" s="434"/>
      <s:c r="EC36" s="434"/>
      <s:c r="ED36" s="434"/>
      <s:c r="EE36" s="434"/>
      <s:c r="EF36" s="434"/>
      <s:c r="EG36" s="434"/>
      <s:c r="EH36" s="434"/>
      <s:c r="EI36" s="434"/>
      <s:c r="EJ36" s="434"/>
      <s:c r="EK36" s="434"/>
      <s:c r="EL36" s="434"/>
      <s:c r="EM36" s="434"/>
      <s:c r="EN36" s="434"/>
      <s:c r="EO36" s="434"/>
      <s:c r="EP36" s="434"/>
      <s:c r="EQ36" s="434"/>
      <s:c r="ER36" s="434"/>
      <s:c r="ES36" s="434"/>
      <s:c r="ET36" s="434"/>
      <s:c r="EU36" s="434"/>
      <s:c r="EV36" s="434"/>
      <s:c r="EW36" s="434"/>
      <s:c r="EX36" s="434"/>
      <s:c r="EY36" s="434"/>
      <s:c r="EZ36" s="434"/>
      <s:c r="FA36" s="434"/>
      <s:c r="FB36" s="434"/>
      <s:c r="FC36" s="434"/>
      <s:c r="FD36" s="434"/>
      <s:c r="FE36" s="434"/>
      <s:c r="FF36" s="434"/>
      <s:c r="FG36" s="434"/>
      <s:c r="FH36" s="434"/>
      <s:c r="FI36" s="434"/>
      <s:c r="FJ36" s="434"/>
      <s:c r="FK36" s="434"/>
      <s:c r="FL36" s="434"/>
      <s:c r="FM36" s="434"/>
      <s:c r="FN36" s="434"/>
      <s:c r="FO36" s="434"/>
      <s:c r="FP36" s="434"/>
      <s:c r="FQ36" s="434"/>
      <s:c r="FR36" s="434"/>
      <s:c r="FS36" s="434"/>
      <s:c r="FT36" s="434"/>
      <s:c r="FU36" s="434"/>
      <s:c r="FV36" s="434"/>
      <s:c r="FW36" s="434"/>
      <s:c r="FX36" s="434"/>
      <s:c r="FY36" s="434"/>
      <s:c r="FZ36" s="434"/>
      <s:c r="GA36" s="434"/>
      <s:c r="GB36" s="434"/>
      <s:c r="GC36" s="434"/>
      <s:c r="GD36" s="434"/>
      <s:c r="GE36" s="434"/>
      <s:c r="GF36" s="434"/>
      <s:c r="GG36" s="434"/>
      <s:c r="GH36" s="434"/>
      <s:c r="GI36" s="434"/>
      <s:c r="GJ36" s="434"/>
      <s:c r="GK36" s="434"/>
      <s:c r="GL36" s="434"/>
      <s:c r="GM36" s="434"/>
      <s:c r="GN36" s="434"/>
      <s:c r="GO36" s="434"/>
      <s:c r="GP36" s="434"/>
      <s:c r="GQ36" s="434"/>
      <s:c r="GR36" s="434"/>
      <s:c r="GS36" s="434"/>
      <s:c r="GT36" s="434"/>
      <s:c r="GU36" s="434"/>
      <s:c r="GV36" s="434"/>
      <s:c r="GW36" s="434"/>
      <s:c r="GX36" s="434"/>
      <s:c r="GY36" s="434"/>
      <s:c r="GZ36" s="434"/>
      <s:c r="HA36" s="434"/>
      <s:c r="HB36" s="434"/>
      <s:c r="HC36" s="434"/>
      <s:c r="HD36" s="434"/>
      <s:c r="HE36" s="434"/>
      <s:c r="HF36" s="434"/>
      <s:c r="HG36" s="434"/>
      <s:c r="HH36" s="434"/>
      <s:c r="HI36" s="434"/>
      <s:c r="HJ36" s="434"/>
      <s:c r="HK36" s="434"/>
      <s:c r="HL36" s="434"/>
      <s:c r="HM36" s="434"/>
      <s:c r="HN36" s="434"/>
      <s:c r="HO36" s="434"/>
      <s:c r="HP36" s="434"/>
      <s:c r="HQ36" s="434"/>
      <s:c r="HR36" s="434"/>
      <s:c r="HS36" s="434"/>
      <s:c r="HT36" s="434"/>
      <s:c r="HU36" s="434"/>
      <s:c r="HV36" s="434"/>
      <s:c r="HW36" s="434"/>
      <s:c r="HX36" s="434"/>
      <s:c r="HY36" s="434"/>
      <s:c r="HZ36" s="434"/>
      <s:c r="IA36" s="434"/>
      <s:c r="IB36" s="434"/>
      <s:c r="IC36" s="434"/>
      <s:c r="ID36" s="434"/>
      <s:c r="IE36" s="434"/>
      <s:c r="IF36" s="434"/>
      <s:c r="IG36" s="434"/>
      <s:c r="IH36" s="434"/>
      <s:c r="II36" s="434"/>
      <s:c r="IJ36" s="434"/>
      <s:c r="IK36" s="434"/>
      <s:c r="IL36" s="434"/>
      <s:c r="IM36" s="434"/>
      <s:c r="IN36" s="434"/>
      <s:c r="IO36" s="434"/>
      <s:c r="IP36" s="434"/>
      <s:c r="IQ36" s="434"/>
      <s:c r="IR36" s="434"/>
      <s:c r="IS36" s="434"/>
      <s:c r="IT36" s="434"/>
      <s:c r="IU36" s="434"/>
      <s:c r="IV36" s="434"/>
      <s:c r="IW36" s="434"/>
    </s:row>
    <s:row r="37" spans="1:260" s="433" customFormat="1" ht="15.25" customHeight="1">
      <s:c r="A37" s="522" t="s">
        <s:v>60</s:v>
      </s:c>
      <s:c r="B37" s="528">
        <s:v>46125</s:v>
      </s:c>
      <s:c r="C37" s="529" t="s">
        <s:v>134</s:v>
      </s:c>
      <s:c r="D37" s="595">
        <s:v>65616</s:v>
      </s:c>
      <s:c r="E37" s="429">
        <s:v>10</s:v>
      </s:c>
      <s:c r="F37" s="429">
        <s:f>IF(AND(E37&lt;&gt;"",E37&lt;&gt;0),D37/E37,"")</s:f>
        <s:v>6561.6</s:v>
      </s:c>
      <s:c r="G37" s="429">
        <s:v>7</s:v>
      </s:c>
      <s:c r="H37" s="429">
        <s:f>IF(AND(G37&lt;&gt;"",G37&lt;&gt;0),D37/G37,"")</s:f>
        <s:v>9373.7142857142808</s:v>
      </s:c>
      <s:c r="I37" s="587">
        <s:v>75</s:v>
      </s:c>
      <s:c r="J37" s="488">
        <s:f>IF(AND(G37&lt;&gt;"",G37&lt;&gt;0),E37/G37,"")</s:f>
        <s:v>1.4285714285714199</s:v>
      </s:c>
      <s:c r="K37" s="482">
        <s:v>31984</s:v>
      </s:c>
      <s:c r="L37" s="429"/>
      <s:c r="M37" s="429"/>
      <s:c r="N37" s="429"/>
      <s:c r="O37" s="429"/>
      <s:c r="P37" s="429"/>
      <s:c r="Q37" s="429"/>
      <s:c r="R37" s="749">
        <s:v>3245</s:v>
      </s:c>
      <s:c r="S37" s="491">
        <s:f>IF(AND(I37&lt;&gt;"",I37&lt;&gt;0),G37/I37,"")</s:f>
        <s:v>9.3333333333333338E-2</s:v>
      </s:c>
      <s:c r="T37" s="493">
        <s:f>D37/U37</s:f>
        <s:v>0.73656895722798699</s:v>
      </s:c>
      <s:c r="U37" s="496">
        <s:f>$I$8*AA37*AB37/SUMPRODUCT($AB$25:$AB$55,$AA$25:$AA$55)</s:f>
        <s:v>89083.308977532855</s:v>
      </s:c>
      <s:c r="V37" s="431">
        <s:f>$I$9*AA37*AB37/SUMPRODUCT($AB$25:$AB$55,$AA$25:$AA$55)</s:f>
        <s:v>12.817742298925589</s:v>
      </s:c>
      <s:c r="W37" s="431">
        <s:f>IF($I$12="","",V37/$I$12)</s:f>
        <s:v>7.0427155488602136</s:v>
      </s:c>
      <s:c r="X37" s="430">
        <s:f>IF(AB37&lt;&gt;"",IF(D37&lt;&gt;"",D37,($I$8-SUM($X$25:X36))*AA37*AB37/SUMPRODUCT($AB37:$AB$55,$AA37:$AA$55)),"")</s:f>
        <s:v>65616</s:v>
      </s:c>
      <s:c r="Y37" s="431">
        <s:f>IF(AB37&lt;&gt;"",IF(E37&lt;&gt;"",E37,($I$9-SUM($Y$25:Y36))*AA37*AB37/SUMPRODUCT($AB37:$AB$55,$AA37:$AA$55)),"")</s:f>
        <s:v>10</s:v>
      </s:c>
      <s:c r="Z37" s="431">
        <s:f>IF(AB37&lt;&gt;"",IF(E37&lt;&gt;"",E37,($I$9-SUM($Y$25:Y36))*AA37*AB37/SUMPRODUCT($AB37:$AB$55,$AA37:$AA$55)),"")</s:f>
        <s:v>10</s:v>
      </s:c>
      <s:c r="AA37" s="432">
        <s:v>1</s:v>
      </s:c>
      <s:c r="AB37" s="497">
        <s:v>0.93</s:v>
      </s:c>
      <s:c r="AC37" s="434"/>
      <s:c r="AD37" s="434"/>
      <s:c r="AE37" s="434"/>
      <s:c r="AF37" s="434"/>
      <s:c r="AG37" s="434"/>
      <s:c r="AH37" s="434"/>
      <s:c r="AI37" s="434"/>
      <s:c r="AJ37" s="434"/>
      <s:c r="AK37" s="434"/>
      <s:c r="AL37" s="434"/>
      <s:c r="AM37" s="434"/>
      <s:c r="AN37" s="434"/>
      <s:c r="AO37" s="434"/>
      <s:c r="AP37" s="434"/>
      <s:c r="AQ37" s="434"/>
      <s:c r="AR37" s="434"/>
      <s:c r="AS37" s="434"/>
      <s:c r="AT37" s="434"/>
      <s:c r="AU37" s="434"/>
      <s:c r="AV37" s="434"/>
      <s:c r="AW37" s="434"/>
      <s:c r="AX37" s="434"/>
      <s:c r="AY37" s="434"/>
      <s:c r="AZ37" s="434"/>
      <s:c r="BA37" s="434"/>
      <s:c r="BB37" s="434"/>
      <s:c r="BC37" s="434"/>
      <s:c r="BD37" s="434"/>
      <s:c r="BE37" s="434"/>
      <s:c r="BF37" s="434"/>
      <s:c r="BG37" s="434"/>
      <s:c r="BH37" s="434"/>
      <s:c r="BI37" s="434"/>
      <s:c r="BJ37" s="434"/>
      <s:c r="BK37" s="434"/>
      <s:c r="BL37" s="434"/>
      <s:c r="BM37" s="434"/>
      <s:c r="BN37" s="434"/>
      <s:c r="BO37" s="434"/>
      <s:c r="BP37" s="434"/>
      <s:c r="BQ37" s="434"/>
      <s:c r="BR37" s="434"/>
      <s:c r="BS37" s="434"/>
      <s:c r="BT37" s="434"/>
      <s:c r="BU37" s="434"/>
      <s:c r="BV37" s="434"/>
      <s:c r="BW37" s="434"/>
      <s:c r="BX37" s="434"/>
      <s:c r="BY37" s="434"/>
      <s:c r="BZ37" s="434"/>
      <s:c r="CA37" s="434"/>
      <s:c r="CB37" s="434"/>
      <s:c r="CC37" s="434"/>
      <s:c r="CD37" s="434"/>
      <s:c r="CE37" s="434"/>
      <s:c r="CF37" s="434"/>
      <s:c r="CG37" s="434"/>
      <s:c r="CH37" s="434"/>
      <s:c r="CI37" s="434"/>
      <s:c r="CJ37" s="434"/>
      <s:c r="CK37" s="434"/>
      <s:c r="CL37" s="434"/>
      <s:c r="CM37" s="434"/>
      <s:c r="CN37" s="434"/>
      <s:c r="CO37" s="434"/>
      <s:c r="CP37" s="434"/>
      <s:c r="CQ37" s="434"/>
      <s:c r="CR37" s="434"/>
      <s:c r="CS37" s="434"/>
      <s:c r="CT37" s="434"/>
      <s:c r="CU37" s="434"/>
      <s:c r="CV37" s="434"/>
      <s:c r="CW37" s="434"/>
      <s:c r="CX37" s="434"/>
      <s:c r="CY37" s="434"/>
      <s:c r="CZ37" s="434"/>
      <s:c r="DA37" s="434"/>
      <s:c r="DB37" s="434"/>
      <s:c r="DC37" s="434"/>
      <s:c r="DD37" s="434"/>
      <s:c r="DE37" s="434"/>
      <s:c r="DF37" s="434"/>
      <s:c r="DG37" s="434"/>
      <s:c r="DH37" s="434"/>
      <s:c r="DI37" s="434"/>
      <s:c r="DJ37" s="434"/>
      <s:c r="DK37" s="434"/>
      <s:c r="DL37" s="434"/>
      <s:c r="DM37" s="434"/>
      <s:c r="DN37" s="434"/>
      <s:c r="DO37" s="434"/>
      <s:c r="DP37" s="434"/>
      <s:c r="DQ37" s="434"/>
      <s:c r="DR37" s="434"/>
      <s:c r="DS37" s="434"/>
      <s:c r="DT37" s="434"/>
      <s:c r="DU37" s="434"/>
      <s:c r="DV37" s="434"/>
      <s:c r="DW37" s="434"/>
      <s:c r="DX37" s="434"/>
      <s:c r="DY37" s="434"/>
      <s:c r="DZ37" s="434"/>
      <s:c r="EA37" s="434"/>
      <s:c r="EB37" s="434"/>
      <s:c r="EC37" s="434"/>
      <s:c r="ED37" s="434"/>
      <s:c r="EE37" s="434"/>
      <s:c r="EF37" s="434"/>
      <s:c r="EG37" s="434"/>
      <s:c r="EH37" s="434"/>
      <s:c r="EI37" s="434"/>
      <s:c r="EJ37" s="434"/>
      <s:c r="EK37" s="434"/>
      <s:c r="EL37" s="434"/>
      <s:c r="EM37" s="434"/>
      <s:c r="EN37" s="434"/>
      <s:c r="EO37" s="434"/>
      <s:c r="EP37" s="434"/>
      <s:c r="EQ37" s="434"/>
      <s:c r="ER37" s="434"/>
      <s:c r="ES37" s="434"/>
      <s:c r="ET37" s="434"/>
      <s:c r="EU37" s="434"/>
      <s:c r="EV37" s="434"/>
      <s:c r="EW37" s="434"/>
      <s:c r="EX37" s="434"/>
      <s:c r="EY37" s="434"/>
      <s:c r="EZ37" s="434"/>
      <s:c r="FA37" s="434"/>
      <s:c r="FB37" s="434"/>
      <s:c r="FC37" s="434"/>
      <s:c r="FD37" s="434"/>
      <s:c r="FE37" s="434"/>
      <s:c r="FF37" s="434"/>
      <s:c r="FG37" s="434"/>
      <s:c r="FH37" s="434"/>
      <s:c r="FI37" s="434"/>
      <s:c r="FJ37" s="434"/>
      <s:c r="FK37" s="434"/>
      <s:c r="FL37" s="434"/>
      <s:c r="FM37" s="434"/>
      <s:c r="FN37" s="434"/>
      <s:c r="FO37" s="434"/>
      <s:c r="FP37" s="434"/>
      <s:c r="FQ37" s="434"/>
      <s:c r="FR37" s="434"/>
      <s:c r="FS37" s="434"/>
      <s:c r="FT37" s="434"/>
      <s:c r="FU37" s="434"/>
      <s:c r="FV37" s="434"/>
      <s:c r="FW37" s="434"/>
      <s:c r="FX37" s="434"/>
      <s:c r="FY37" s="434"/>
      <s:c r="FZ37" s="434"/>
      <s:c r="GA37" s="434"/>
      <s:c r="GB37" s="434"/>
      <s:c r="GC37" s="434"/>
      <s:c r="GD37" s="434"/>
      <s:c r="GE37" s="434"/>
      <s:c r="GF37" s="434"/>
      <s:c r="GG37" s="434"/>
      <s:c r="GH37" s="434"/>
      <s:c r="GI37" s="434"/>
      <s:c r="GJ37" s="434"/>
      <s:c r="GK37" s="434"/>
      <s:c r="GL37" s="434"/>
      <s:c r="GM37" s="434"/>
      <s:c r="GN37" s="434"/>
      <s:c r="GO37" s="434"/>
      <s:c r="GP37" s="434"/>
      <s:c r="GQ37" s="434"/>
      <s:c r="GR37" s="434"/>
      <s:c r="GS37" s="434"/>
      <s:c r="GT37" s="434"/>
      <s:c r="GU37" s="434"/>
      <s:c r="GV37" s="434"/>
      <s:c r="GW37" s="434"/>
      <s:c r="GX37" s="434"/>
      <s:c r="GY37" s="434"/>
      <s:c r="GZ37" s="434"/>
      <s:c r="HA37" s="434"/>
      <s:c r="HB37" s="434"/>
      <s:c r="HC37" s="434"/>
      <s:c r="HD37" s="434"/>
      <s:c r="HE37" s="434"/>
      <s:c r="HF37" s="434"/>
      <s:c r="HG37" s="434"/>
      <s:c r="HH37" s="434"/>
      <s:c r="HI37" s="434"/>
      <s:c r="HJ37" s="434"/>
      <s:c r="HK37" s="434"/>
      <s:c r="HL37" s="434"/>
      <s:c r="HM37" s="434"/>
      <s:c r="HN37" s="434"/>
      <s:c r="HO37" s="434"/>
      <s:c r="HP37" s="434"/>
      <s:c r="HQ37" s="434"/>
      <s:c r="HR37" s="434"/>
      <s:c r="HS37" s="434"/>
      <s:c r="HT37" s="434"/>
      <s:c r="HU37" s="434"/>
      <s:c r="HV37" s="434"/>
      <s:c r="HW37" s="434"/>
      <s:c r="HX37" s="434"/>
      <s:c r="HY37" s="434"/>
      <s:c r="HZ37" s="434"/>
      <s:c r="IA37" s="434"/>
      <s:c r="IB37" s="434"/>
      <s:c r="IC37" s="434"/>
      <s:c r="ID37" s="434"/>
      <s:c r="IE37" s="434"/>
      <s:c r="IF37" s="434"/>
      <s:c r="IG37" s="434"/>
      <s:c r="IH37" s="434"/>
      <s:c r="II37" s="434"/>
      <s:c r="IJ37" s="434"/>
      <s:c r="IK37" s="434"/>
      <s:c r="IL37" s="434"/>
      <s:c r="IM37" s="434"/>
      <s:c r="IN37" s="434"/>
      <s:c r="IO37" s="434"/>
      <s:c r="IP37" s="434"/>
      <s:c r="IQ37" s="434"/>
      <s:c r="IR37" s="434"/>
      <s:c r="IS37" s="434"/>
      <s:c r="IT37" s="434"/>
      <s:c r="IU37" s="434"/>
      <s:c r="IV37" s="434"/>
      <s:c r="IW37" s="434"/>
    </s:row>
    <s:row r="38">
      <s:c r="A38" s="521" t="s">
        <s:v>142</s:v>
      </s:c>
      <s:c r="B38" s="526">
        <s:v>46126</s:v>
      </s:c>
      <s:c r="C38" s="527" t="s">
        <s:v>55</s:v>
      </s:c>
      <s:c r="D38" s="594">
        <s:v>49181</s:v>
      </s:c>
      <s:c r="E38" s="85">
        <s:v>8</s:v>
      </s:c>
      <s:c r="F38" s="85">
        <s:f>IF(AND(E38&lt;&gt;"",E38&lt;&gt;0),D38/E38,"")</s:f>
        <s:v>6147.625</s:v>
      </s:c>
      <s:c r="G38" s="85">
        <s:v>7</s:v>
      </s:c>
      <s:c r="H38" s="85">
        <s:f>IF(AND(G38&lt;&gt;"",G38&lt;&gt;0),D38/G38,"")</s:f>
        <s:v>7025.8571428571404</s:v>
      </s:c>
      <s:c r="I38" s="85">
        <s:v>66</s:v>
      </s:c>
      <s:c r="J38" s="486">
        <s:f>IF(AND(G38&lt;&gt;"",G38&lt;&gt;0),E38/G38,"")</s:f>
        <s:v>1.1428571428571399</s:v>
      </s:c>
      <s:c r="K38" s="480">
        <s:v>11592</s:v>
      </s:c>
      <s:c r="L38" s="85"/>
      <s:c r="M38" s="85"/>
      <s:c r="N38" s="85"/>
      <s:c r="O38" s="85"/>
      <s:c r="P38" s="85"/>
      <s:c r="Q38" s="85"/>
      <s:c r="R38" s="481"/>
      <s:c r="S38" s="490">
        <s:f>IF(AND(I38&lt;&gt;"",I38&lt;&gt;0),G38/I38,"")</s:f>
        <s:v>0.10606060606060599</s:v>
      </s:c>
      <s:c r="T38" s="492">
        <s:f>D38/U38</s:f>
        <s:v>0.74333797697896398</s:v>
      </s:c>
      <s:c r="U38" s="494">
        <s:f>$I$8*AA38*AB38/SUMPRODUCT($AB$25:$AB$55,$AA$25:$AA$55)</s:f>
        <s:v>66162.366948987154</s:v>
      </s:c>
      <s:c r="V38" s="89">
        <s:f>$I$9*AA38*AB38/SUMPRODUCT($AB$25:$AB$55,$AA$25:$AA$55)</s:f>
        <s:v>9.5197650286312445</s:v>
      </s:c>
      <s:c r="W38" s="89">
        <s:f>IF($I$12="","",V38/$I$12)</s:f>
        <s:v>5.2306401256215631</s:v>
      </s:c>
      <s:c r="X38" s="88">
        <s:f>IF(AB38&lt;&gt;"",IF(D38&lt;&gt;"",D38,($I$8-SUM($X$25:X37))*AA38*AB38/SUMPRODUCT($AB38:$AB$55,$AA38:$AA$55)),"")</s:f>
        <s:v>49181</s:v>
      </s:c>
      <s:c r="Y38" s="89">
        <s:f>IF(AB38&lt;&gt;"",IF(E38&lt;&gt;"",E38,($I$9-SUM($Y$25:Y37))*AA38*AB38/SUMPRODUCT($AB38:$AB$55,$AA38:$AA$55)),"")</s:f>
        <s:v>8</s:v>
      </s:c>
      <s:c r="Z38" s="89">
        <s:f>IF(AB38&lt;&gt;"",IF(E38&lt;&gt;"",E38,($I$9-SUM($Y$25:Y37))*AA38*AB38/SUMPRODUCT($AB38:$AB$55,$AA38:$AA$55)),"")</s:f>
        <s:v>8</s:v>
      </s:c>
      <s:c r="AA38" s="90">
        <s:v>1</s:v>
      </s:c>
      <s:c r="AB38" s="495">
        <s:v>0.69071301873257096</s:v>
      </s:c>
      <s:c r="AC38" s="91"/>
      <s:c r="AD38" s="92"/>
    </s:row>
    <s:row r="39">
      <s:c r="A39" s="521" t="s">
        <s:v>143</s:v>
      </s:c>
      <s:c r="B39" s="526">
        <s:v>46127</s:v>
      </s:c>
      <s:c r="C39" s="527" t="s">
        <s:v>56</s:v>
      </s:c>
      <s:c r="D39" s="594">
        <s:v>61823</s:v>
      </s:c>
      <s:c r="E39" s="85">
        <s:v>9</s:v>
      </s:c>
      <s:c r="F39" s="85">
        <s:f>IF(AND(E39&lt;&gt;"",E39&lt;&gt;0),D39/E39,"")</s:f>
        <s:v>6869.2222222222199</s:v>
      </s:c>
      <s:c r="G39" s="85">
        <s:v>6</s:v>
      </s:c>
      <s:c r="H39" s="85">
        <s:f>IF(AND(G39&lt;&gt;"",G39&lt;&gt;0),D39/G39,"")</s:f>
        <s:v>10303.833333333299</s:v>
      </s:c>
      <s:c r="I39" s="588">
        <s:v>69</s:v>
      </s:c>
      <s:c r="J39" s="486">
        <s:f>IF(AND(G39&lt;&gt;"",G39&lt;&gt;0),E39/G39,"")</s:f>
        <s:v>1.5</s:v>
      </s:c>
      <s:c r="K39" s="480"/>
      <s:c r="L39" s="85"/>
      <s:c r="M39" s="85"/>
      <s:c r="N39" s="85"/>
      <s:c r="O39" s="85"/>
      <s:c r="P39" s="85"/>
      <s:c r="Q39" s="85">
        <s:v>26072</s:v>
      </s:c>
      <s:c r="R39" s="750">
        <s:v>2095</s:v>
      </s:c>
      <s:c r="S39" s="490">
        <s:f>IF(AND(I39&lt;&gt;"",I39&lt;&gt;0),G39/I39,"")</s:f>
        <s:v>8.6956521739130432E-2</s:v>
      </s:c>
      <s:c r="T39" s="492">
        <s:f>D39/U39</s:f>
        <s:v>1.3599351207827599</s:v>
      </s:c>
      <s:c r="U39" s="494">
        <s:f>$I$8*AA39*AB39/SUMPRODUCT($AB$25:$AB$55,$AA$25:$AA$55)</s:f>
        <s:v>45460.256930797819</s:v>
      </s:c>
      <s:c r="V39" s="89">
        <s:f>$I$9*AA39*AB39/SUMPRODUCT($AB$25:$AB$55,$AA$25:$AA$55)</s:f>
        <s:v>6.5410441627047229</s:v>
      </s:c>
      <s:c r="W39" s="89">
        <s:f>IF($I$12="","",V39/$I$12)</s:f>
        <s:v>3.593980309178419</s:v>
      </s:c>
      <s:c r="X39" s="88">
        <s:f>IF(AB39&lt;&gt;"",IF(D39&lt;&gt;"",D39,($I$8-SUM($X$25:X38))*AA39*AB39/SUMPRODUCT($AB39:$AB$55,$AA39:$AA$55)),"")</s:f>
        <s:v>61823</s:v>
      </s:c>
      <s:c r="Y39" s="89">
        <s:f>IF(AB39&lt;&gt;"",IF(E39&lt;&gt;"",E39,($I$9-SUM($Y$25:Y38))*AA39*AB39/SUMPRODUCT($AB39:$AB$55,$AA39:$AA$55)),"")</s:f>
        <s:v>9</s:v>
      </s:c>
      <s:c r="Z39" s="89">
        <s:f>IF(AB39&lt;&gt;"",IF(E39&lt;&gt;"",E39,($I$9-SUM($Y$25:Y38))*AA39*AB39/SUMPRODUCT($AB39:$AB$55,$AA39:$AA$55)),"")</s:f>
        <s:v>9</s:v>
      </s:c>
      <s:c r="AA39" s="90">
        <s:v>1</s:v>
      </s:c>
      <s:c r="AB39" s="495">
        <s:v>0.47458990276511465</s:v>
      </s:c>
      <s:c r="AC39" s="91"/>
      <s:c r="AD39" s="92"/>
    </s:row>
    <s:row r="40">
      <s:c r="A40" s="521" t="s">
        <s:v>123</s:v>
      </s:c>
      <s:c r="B40" s="526">
        <s:v>46128</s:v>
      </s:c>
      <s:c r="C40" s="527" t="s">
        <s:v>57</s:v>
      </s:c>
      <s:c r="D40" s="594">
        <s:f>154905+L40</s:f>
        <s:v>172712</s:v>
      </s:c>
      <s:c r="E40" s="85">
        <s:v>14</s:v>
      </s:c>
      <s:c r="F40" s="85">
        <s:f>IF(AND(E40&lt;&gt;"",E40&lt;&gt;0),D40/E40,"")</s:f>
        <s:v>12336.5714285714</s:v>
      </s:c>
      <s:c r="G40" s="85">
        <s:v>7</s:v>
      </s:c>
      <s:c r="H40" s="85">
        <s:f>IF(AND(G40&lt;&gt;"",G40&lt;&gt;0),D40/G40,"")</s:f>
        <s:v>24673.142857142859</s:v>
      </s:c>
      <s:c r="I40" s="588">
        <s:v>56</s:v>
      </s:c>
      <s:c r="J40" s="486">
        <s:f>IF(AND(G40&lt;&gt;"",G40&lt;&gt;0),E40/G40,"")</s:f>
        <s:v>2</s:v>
      </s:c>
      <s:c r="K40" s="480">
        <s:f>37294+8792</s:f>
        <s:v>46086</s:v>
      </s:c>
      <s:c r="L40" s="85">
        <s:v>17807</s:v>
      </s:c>
      <s:c r="M40" s="85"/>
      <s:c r="N40" s="85"/>
      <s:c r="O40" s="85"/>
      <s:c r="P40" s="85">
        <s:v>37998</s:v>
      </s:c>
      <s:c r="Q40" s="85">
        <s:v>57515</s:v>
      </s:c>
      <s:c r="R40" s="750">
        <s:v>5890</s:v>
      </s:c>
      <s:c r="S40" s="490">
        <s:f>IF(AND(I40&lt;&gt;"",I40&lt;&gt;0),G40/I40,"")</s:f>
        <s:v>0.125</s:v>
      </s:c>
      <s:c r="T40" s="492">
        <s:f>D40/U40</s:f>
        <s:v>1.6162224566650643</s:v>
      </s:c>
      <s:c r="U40" s="494">
        <s:f>$I$8*AA40*AB40/SUMPRODUCT($AB$25:$AB$55,$AA$25:$AA$55)</s:f>
        <s:v>106861.52719123599</s:v>
      </s:c>
      <s:c r="V40" s="89">
        <s:f>$I$9*AA40*AB40/SUMPRODUCT($AB$25:$AB$55,$AA$25:$AA$55)</s:f>
        <s:v>15.37575930809151</s:v>
      </s:c>
      <s:c r="W40" s="89">
        <s:f>IF($I$12="","",V40/$I$12)</s:f>
        <s:v>8.4482194000502808</s:v>
      </s:c>
      <s:c r="X40" s="88">
        <s:f>IF(AB40&lt;&gt;"",IF(D40&lt;&gt;"",D40,($I$8-SUM($X$25:X39))*AA40*AB40/SUMPRODUCT($AB40:$AB$55,$AA40:$AA$55)),"")</s:f>
        <s:v>172712</s:v>
      </s:c>
      <s:c r="Y40" s="89">
        <s:f>IF(AB40&lt;&gt;"",IF(E40&lt;&gt;"",E40,($I$9-SUM($Y$25:Y39))*AA40*AB40/SUMPRODUCT($AB40:$AB$55,$AA40:$AA$55)),"")</s:f>
        <s:v>14</s:v>
      </s:c>
      <s:c r="Z40" s="89">
        <s:f>IF(AB40&lt;&gt;"",IF(E40&lt;&gt;"",E40,($I$9-SUM($Y$25:Y39))*AA40*AB40/SUMPRODUCT($AB40:$AB$55,$AA40:$AA$55)),"")</s:f>
        <s:v>14</s:v>
      </s:c>
      <s:c r="AA40" s="90">
        <s:v>1</s:v>
      </s:c>
      <s:c r="AB40" s="495">
        <s:v>1.1155986618426332</s:v>
      </s:c>
      <s:c r="AC40" s="91"/>
      <s:c r="AD40" s="92"/>
    </s:row>
    <s:row r="41" spans="1:260" s="433" customFormat="1">
      <s:c r="A41" s="522" t="s">
        <s:v>60</s:v>
      </s:c>
      <s:c r="B41" s="528">
        <s:v>46129</s:v>
      </s:c>
      <s:c r="C41" s="529" t="s">
        <s:v>58</s:v>
      </s:c>
      <s:c r="D41" s="595">
        <s:v>51060</s:v>
      </s:c>
      <s:c r="E41" s="429">
        <s:v>5</s:v>
      </s:c>
      <s:c r="F41" s="429">
        <s:f>IF(AND(E41&lt;&gt;"",E41&lt;&gt;0),D41/E41,"")</s:f>
        <s:v>10212</s:v>
      </s:c>
      <s:c r="G41" s="429">
        <s:v>4</s:v>
      </s:c>
      <s:c r="H41" s="429">
        <s:f>IF(AND(G41&lt;&gt;"",G41&lt;&gt;0),D41/G41,"")</s:f>
        <s:v>12765</s:v>
      </s:c>
      <s:c r="I41" s="587">
        <s:v>64</s:v>
      </s:c>
      <s:c r="J41" s="488">
        <s:f>IF(AND(G41&lt;&gt;"",G41&lt;&gt;0),E41/G41,"")</s:f>
        <s:v>1.25</s:v>
      </s:c>
      <s:c r="K41" s="482">
        <s:v>8992</s:v>
      </s:c>
      <s:c r="L41" s="429"/>
      <s:c r="M41" s="429"/>
      <s:c r="N41" s="429"/>
      <s:c r="O41" s="429"/>
      <s:c r="P41" s="429">
        <s:v>32284</s:v>
      </s:c>
      <s:c r="Q41" s="429"/>
      <s:c r="R41" s="749">
        <s:v>5490</s:v>
      </s:c>
      <s:c r="S41" s="491">
        <s:f>IF(AND(I41&lt;&gt;"",I41&lt;&gt;0),G41/I41,"")</s:f>
        <s:v>6.25E-2</s:v>
      </s:c>
      <s:c r="T41" s="493">
        <s:f>D41/U41</s:f>
        <s:v>0.31852432564194944</s:v>
      </s:c>
      <s:c r="U41" s="496">
        <s:f>$I$8*AA41*AB41/SUMPRODUCT($AB$25:$AB$55,$AA$25:$AA$55)</s:f>
        <s:v>160301.72859512188</s:v>
      </s:c>
      <s:c r="V41" s="431">
        <s:f>$I$9*AA41*AB41/SUMPRODUCT($AB$25:$AB$55,$AA$25:$AA$55)</s:f>
        <s:v>23.06499692016142</s:v>
      </s:c>
      <s:c r="W41" s="431">
        <s:f>IF($I$12="","",V41/$I$12)</s:f>
        <s:v>12.673075230857922</s:v>
      </s:c>
      <s:c r="X41" s="430">
        <s:f>IF(AB41&lt;&gt;"",IF(D41&lt;&gt;"",D41,($I$8-SUM($X$25:X40))*AA41*AB41/SUMPRODUCT($AB41:$AB$55,$AA41:$AA$55)),"")</s:f>
        <s:v>51060</s:v>
      </s:c>
      <s:c r="Y41" s="431">
        <s:f>IF(AB41&lt;&gt;"",IF(E41&lt;&gt;"",E41,($I$9-SUM($Y$25:Y40))*AA41*AB41/SUMPRODUCT($AB41:$AB$55,$AA41:$AA$55)),"")</s:f>
        <s:v>5</s:v>
      </s:c>
      <s:c r="Z41" s="431">
        <s:f>IF(AB41&lt;&gt;"",IF(E41&lt;&gt;"",E41,($I$9-SUM($Y$25:Y40))*AA41*AB41/SUMPRODUCT($AB41:$AB$55,$AA41:$AA$55)),"")</s:f>
        <s:v>5</s:v>
      </s:c>
      <s:c r="AA41" s="432">
        <s:v>1</s:v>
      </s:c>
      <s:c r="AB41" s="497">
        <s:v>1.6734965203308967</s:v>
      </s:c>
      <s:c r="AC41" s="437"/>
      <s:c r="AD41" s="438"/>
      <s:c r="AE41" s="434"/>
      <s:c r="AF41" s="434"/>
      <s:c r="AG41" s="434"/>
      <s:c r="AH41" s="434"/>
      <s:c r="AI41" s="434"/>
      <s:c r="AJ41" s="434"/>
      <s:c r="AK41" s="434"/>
      <s:c r="AL41" s="434"/>
      <s:c r="AM41" s="434"/>
      <s:c r="AN41" s="434"/>
      <s:c r="AO41" s="434"/>
      <s:c r="AP41" s="434"/>
      <s:c r="AQ41" s="434"/>
      <s:c r="AR41" s="434"/>
      <s:c r="AS41" s="434"/>
      <s:c r="AT41" s="434"/>
      <s:c r="AU41" s="434"/>
      <s:c r="AV41" s="434"/>
      <s:c r="AW41" s="434"/>
      <s:c r="AX41" s="434"/>
      <s:c r="AY41" s="434"/>
      <s:c r="AZ41" s="434"/>
      <s:c r="BA41" s="434"/>
      <s:c r="BB41" s="434"/>
      <s:c r="BC41" s="434"/>
      <s:c r="BD41" s="434"/>
      <s:c r="BE41" s="434"/>
      <s:c r="BF41" s="434"/>
      <s:c r="BG41" s="434"/>
      <s:c r="BH41" s="434"/>
      <s:c r="BI41" s="434"/>
      <s:c r="BJ41" s="434"/>
      <s:c r="BK41" s="434"/>
      <s:c r="BL41" s="434"/>
      <s:c r="BM41" s="434"/>
      <s:c r="BN41" s="434"/>
      <s:c r="BO41" s="434"/>
      <s:c r="BP41" s="434"/>
      <s:c r="BQ41" s="434"/>
      <s:c r="BR41" s="434"/>
      <s:c r="BS41" s="434"/>
      <s:c r="BT41" s="434"/>
      <s:c r="BU41" s="434"/>
      <s:c r="BV41" s="434"/>
      <s:c r="BW41" s="434"/>
      <s:c r="BX41" s="434"/>
      <s:c r="BY41" s="434"/>
      <s:c r="BZ41" s="434"/>
      <s:c r="CA41" s="434"/>
      <s:c r="CB41" s="434"/>
      <s:c r="CC41" s="434"/>
      <s:c r="CD41" s="434"/>
      <s:c r="CE41" s="434"/>
      <s:c r="CF41" s="434"/>
      <s:c r="CG41" s="434"/>
      <s:c r="CH41" s="434"/>
      <s:c r="CI41" s="434"/>
      <s:c r="CJ41" s="434"/>
      <s:c r="CK41" s="434"/>
      <s:c r="CL41" s="434"/>
      <s:c r="CM41" s="434"/>
      <s:c r="CN41" s="434"/>
      <s:c r="CO41" s="434"/>
      <s:c r="CP41" s="434"/>
      <s:c r="CQ41" s="434"/>
      <s:c r="CR41" s="434"/>
      <s:c r="CS41" s="434"/>
      <s:c r="CT41" s="434"/>
      <s:c r="CU41" s="434"/>
      <s:c r="CV41" s="434"/>
      <s:c r="CW41" s="434"/>
      <s:c r="CX41" s="434"/>
      <s:c r="CY41" s="434"/>
      <s:c r="CZ41" s="434"/>
      <s:c r="DA41" s="434"/>
      <s:c r="DB41" s="434"/>
      <s:c r="DC41" s="434"/>
      <s:c r="DD41" s="434"/>
      <s:c r="DE41" s="434"/>
      <s:c r="DF41" s="434"/>
      <s:c r="DG41" s="434"/>
      <s:c r="DH41" s="434"/>
      <s:c r="DI41" s="434"/>
      <s:c r="DJ41" s="434"/>
      <s:c r="DK41" s="434"/>
      <s:c r="DL41" s="434"/>
      <s:c r="DM41" s="434"/>
      <s:c r="DN41" s="434"/>
      <s:c r="DO41" s="434"/>
      <s:c r="DP41" s="434"/>
      <s:c r="DQ41" s="434"/>
      <s:c r="DR41" s="434"/>
      <s:c r="DS41" s="434"/>
      <s:c r="DT41" s="434"/>
      <s:c r="DU41" s="434"/>
      <s:c r="DV41" s="434"/>
      <s:c r="DW41" s="434"/>
      <s:c r="DX41" s="434"/>
      <s:c r="DY41" s="434"/>
      <s:c r="DZ41" s="434"/>
      <s:c r="EA41" s="434"/>
      <s:c r="EB41" s="434"/>
      <s:c r="EC41" s="434"/>
      <s:c r="ED41" s="434"/>
      <s:c r="EE41" s="434"/>
      <s:c r="EF41" s="434"/>
      <s:c r="EG41" s="434"/>
      <s:c r="EH41" s="434"/>
      <s:c r="EI41" s="434"/>
      <s:c r="EJ41" s="434"/>
      <s:c r="EK41" s="434"/>
      <s:c r="EL41" s="434"/>
      <s:c r="EM41" s="434"/>
      <s:c r="EN41" s="434"/>
      <s:c r="EO41" s="434"/>
      <s:c r="EP41" s="434"/>
      <s:c r="EQ41" s="434"/>
      <s:c r="ER41" s="434"/>
      <s:c r="ES41" s="434"/>
      <s:c r="ET41" s="434"/>
      <s:c r="EU41" s="434"/>
      <s:c r="EV41" s="434"/>
      <s:c r="EW41" s="434"/>
      <s:c r="EX41" s="434"/>
      <s:c r="EY41" s="434"/>
      <s:c r="EZ41" s="434"/>
      <s:c r="FA41" s="434"/>
      <s:c r="FB41" s="434"/>
      <s:c r="FC41" s="434"/>
      <s:c r="FD41" s="434"/>
      <s:c r="FE41" s="434"/>
      <s:c r="FF41" s="434"/>
      <s:c r="FG41" s="434"/>
      <s:c r="FH41" s="434"/>
      <s:c r="FI41" s="434"/>
      <s:c r="FJ41" s="434"/>
      <s:c r="FK41" s="434"/>
      <s:c r="FL41" s="434"/>
      <s:c r="FM41" s="434"/>
      <s:c r="FN41" s="434"/>
      <s:c r="FO41" s="434"/>
      <s:c r="FP41" s="434"/>
      <s:c r="FQ41" s="434"/>
      <s:c r="FR41" s="434"/>
      <s:c r="FS41" s="434"/>
      <s:c r="FT41" s="434"/>
      <s:c r="FU41" s="434"/>
      <s:c r="FV41" s="434"/>
      <s:c r="FW41" s="434"/>
      <s:c r="FX41" s="434"/>
      <s:c r="FY41" s="434"/>
      <s:c r="FZ41" s="434"/>
      <s:c r="GA41" s="434"/>
      <s:c r="GB41" s="434"/>
      <s:c r="GC41" s="434"/>
      <s:c r="GD41" s="434"/>
      <s:c r="GE41" s="434"/>
      <s:c r="GF41" s="434"/>
      <s:c r="GG41" s="434"/>
      <s:c r="GH41" s="434"/>
      <s:c r="GI41" s="434"/>
      <s:c r="GJ41" s="434"/>
      <s:c r="GK41" s="434"/>
      <s:c r="GL41" s="434"/>
      <s:c r="GM41" s="434"/>
      <s:c r="GN41" s="434"/>
      <s:c r="GO41" s="434"/>
      <s:c r="GP41" s="434"/>
      <s:c r="GQ41" s="434"/>
      <s:c r="GR41" s="434"/>
      <s:c r="GS41" s="434"/>
      <s:c r="GT41" s="434"/>
      <s:c r="GU41" s="434"/>
      <s:c r="GV41" s="434"/>
      <s:c r="GW41" s="434"/>
      <s:c r="GX41" s="434"/>
      <s:c r="GY41" s="434"/>
      <s:c r="GZ41" s="434"/>
      <s:c r="HA41" s="434"/>
      <s:c r="HB41" s="434"/>
      <s:c r="HC41" s="434"/>
      <s:c r="HD41" s="434"/>
      <s:c r="HE41" s="434"/>
      <s:c r="HF41" s="434"/>
      <s:c r="HG41" s="434"/>
      <s:c r="HH41" s="434"/>
      <s:c r="HI41" s="434"/>
      <s:c r="HJ41" s="434"/>
      <s:c r="HK41" s="434"/>
      <s:c r="HL41" s="434"/>
      <s:c r="HM41" s="434"/>
      <s:c r="HN41" s="434"/>
      <s:c r="HO41" s="434"/>
      <s:c r="HP41" s="434"/>
      <s:c r="HQ41" s="434"/>
      <s:c r="HR41" s="434"/>
      <s:c r="HS41" s="434"/>
      <s:c r="HT41" s="434"/>
      <s:c r="HU41" s="434"/>
      <s:c r="HV41" s="434"/>
      <s:c r="HW41" s="434"/>
      <s:c r="HX41" s="434"/>
      <s:c r="HY41" s="434"/>
      <s:c r="HZ41" s="434"/>
      <s:c r="IA41" s="434"/>
      <s:c r="IB41" s="434"/>
      <s:c r="IC41" s="434"/>
      <s:c r="ID41" s="434"/>
      <s:c r="IE41" s="434"/>
      <s:c r="IF41" s="434"/>
      <s:c r="IG41" s="434"/>
      <s:c r="IH41" s="434"/>
      <s:c r="II41" s="434"/>
      <s:c r="IJ41" s="434"/>
      <s:c r="IK41" s="434"/>
      <s:c r="IL41" s="434"/>
      <s:c r="IM41" s="434"/>
      <s:c r="IN41" s="434"/>
      <s:c r="IO41" s="434"/>
      <s:c r="IP41" s="434"/>
      <s:c r="IQ41" s="434"/>
      <s:c r="IR41" s="434"/>
      <s:c r="IS41" s="434"/>
      <s:c r="IT41" s="434"/>
      <s:c r="IU41" s="434"/>
      <s:c r="IV41" s="434"/>
      <s:c r="IW41" s="434"/>
    </s:row>
    <s:row r="42" spans="1:260" s="433" customFormat="1">
      <s:c r="A42" s="522" t="s">
        <s:v>60</s:v>
      </s:c>
      <s:c r="B42" s="528">
        <s:v>46130</s:v>
      </s:c>
      <s:c r="C42" s="529" t="s">
        <s:v>59</s:v>
      </s:c>
      <s:c r="D42" s="595">
        <s:f>109190+L42</s:f>
        <s:v>117892</s:v>
      </s:c>
      <s:c r="E42" s="429">
        <s:v>15</s:v>
      </s:c>
      <s:c r="F42" s="429">
        <s:f>IF(AND(E42&lt;&gt;"",E42&lt;&gt;0),D42/E42,"")</s:f>
        <s:v>7859.4666666666662</s:v>
      </s:c>
      <s:c r="G42" s="429">
        <s:v>7</s:v>
      </s:c>
      <s:c r="H42" s="429">
        <s:f>IF(AND(G42&lt;&gt;"",G42&lt;&gt;0),D42/G42,"")</s:f>
        <s:v>16841.714285714286</s:v>
      </s:c>
      <s:c r="I42" s="587">
        <s:v>102</s:v>
      </s:c>
      <s:c r="J42" s="488">
        <s:f>IF(AND(G42&lt;&gt;"",G42&lt;&gt;0),E42/G42,"")</s:f>
        <s:v>2.1428571428571401</s:v>
      </s:c>
      <s:c r="K42" s="482">
        <s:v>15990</s:v>
      </s:c>
      <s:c r="L42" s="429">
        <s:v>8702</s:v>
      </s:c>
      <s:c r="M42" s="429"/>
      <s:c r="N42" s="429"/>
      <s:c r="O42" s="429"/>
      <s:c r="P42" s="429">
        <s:v>17390</s:v>
      </s:c>
      <s:c r="Q42" s="429"/>
      <s:c r="R42" s="749">
        <s:v>5890</s:v>
      </s:c>
      <s:c r="S42" s="491">
        <s:f>IF(AND(I42&lt;&gt;"",I42&lt;&gt;0),G42/I42,"")</s:f>
        <s:v>6.8627450980392163E-2</s:v>
      </s:c>
      <s:c r="T42" s="493">
        <s:f>D42/U42</s:f>
        <s:v>1.586347426909084</s:v>
      </s:c>
      <s:c r="U42" s="496">
        <s:f>$I$8*AA42*AB42/SUMPRODUCT($AB$25:$AB$55,$AA$25:$AA$55)</s:f>
        <s:v>74316.633292434854</s:v>
      </s:c>
      <s:c r="V42" s="431">
        <s:f>$I$9*AA42*AB42/SUMPRODUCT($AB$25:$AB$55,$AA$25:$AA$55)</s:f>
        <s:v>10.693040761501415</s:v>
      </s:c>
      <s:c r="W42" s="431">
        <s:f>IF($I$12="","",V42/$I$12)</s:f>
        <s:v>5.8752971217040741</s:v>
      </s:c>
      <s:c r="X42" s="430">
        <s:f>IF(AB42&lt;&gt;"",IF(D42&lt;&gt;"",D42,($I$8-SUM($X$25:X41))*AA42*AB42/SUMPRODUCT($AB42:$AB$55,$AA42:$AA$55)),"")</s:f>
        <s:v>117892</s:v>
      </s:c>
      <s:c r="Y42" s="431">
        <s:f>IF(AB42&lt;&gt;"",IF(E42&lt;&gt;"",E42,($I$9-SUM($Y$25:Y41))*AA42*AB42/SUMPRODUCT($AB42:$AB$55,$AA42:$AA$55)),"")</s:f>
        <s:v>15</s:v>
      </s:c>
      <s:c r="Z42" s="431">
        <s:f>IF(AB42&lt;&gt;"",IF(E42&lt;&gt;"",E42,($I$9-SUM($Y$25:Y41))*AA42*AB42/SUMPRODUCT($AB42:$AB$55,$AA42:$AA$55)),"")</s:f>
        <s:v>15</s:v>
      </s:c>
      <s:c r="AA42" s="432">
        <s:v>1</s:v>
      </s:c>
      <s:c r="AB42" s="497">
        <s:v>0.77584083657461966</s:v>
      </s:c>
      <s:c r="AC42" s="437"/>
      <s:c r="AD42" s="438"/>
      <s:c r="AE42" s="434"/>
      <s:c r="AF42" s="434"/>
      <s:c r="AG42" s="434"/>
      <s:c r="AH42" s="434"/>
      <s:c r="AI42" s="434"/>
      <s:c r="AJ42" s="434"/>
      <s:c r="AK42" s="434"/>
      <s:c r="AL42" s="434"/>
      <s:c r="AM42" s="434"/>
      <s:c r="AN42" s="434"/>
      <s:c r="AO42" s="434"/>
      <s:c r="AP42" s="434"/>
      <s:c r="AQ42" s="434"/>
      <s:c r="AR42" s="434"/>
      <s:c r="AS42" s="434"/>
      <s:c r="AT42" s="434"/>
      <s:c r="AU42" s="434"/>
      <s:c r="AV42" s="434"/>
      <s:c r="AW42" s="434"/>
      <s:c r="AX42" s="434"/>
      <s:c r="AY42" s="434"/>
      <s:c r="AZ42" s="434"/>
      <s:c r="BA42" s="434"/>
      <s:c r="BB42" s="434"/>
      <s:c r="BC42" s="434"/>
      <s:c r="BD42" s="434"/>
      <s:c r="BE42" s="434"/>
      <s:c r="BF42" s="434"/>
      <s:c r="BG42" s="434"/>
      <s:c r="BH42" s="434"/>
      <s:c r="BI42" s="434"/>
      <s:c r="BJ42" s="434"/>
      <s:c r="BK42" s="434"/>
      <s:c r="BL42" s="434"/>
      <s:c r="BM42" s="434"/>
      <s:c r="BN42" s="434"/>
      <s:c r="BO42" s="434"/>
      <s:c r="BP42" s="434"/>
      <s:c r="BQ42" s="434"/>
      <s:c r="BR42" s="434"/>
      <s:c r="BS42" s="434"/>
      <s:c r="BT42" s="434"/>
      <s:c r="BU42" s="434"/>
      <s:c r="BV42" s="434"/>
      <s:c r="BW42" s="434"/>
      <s:c r="BX42" s="434"/>
      <s:c r="BY42" s="434"/>
      <s:c r="BZ42" s="434"/>
      <s:c r="CA42" s="434"/>
      <s:c r="CB42" s="434"/>
      <s:c r="CC42" s="434"/>
      <s:c r="CD42" s="434"/>
      <s:c r="CE42" s="434"/>
      <s:c r="CF42" s="434"/>
      <s:c r="CG42" s="434"/>
      <s:c r="CH42" s="434"/>
      <s:c r="CI42" s="434"/>
      <s:c r="CJ42" s="434"/>
      <s:c r="CK42" s="434"/>
      <s:c r="CL42" s="434"/>
      <s:c r="CM42" s="434"/>
      <s:c r="CN42" s="434"/>
      <s:c r="CO42" s="434"/>
      <s:c r="CP42" s="434"/>
      <s:c r="CQ42" s="434"/>
      <s:c r="CR42" s="434"/>
      <s:c r="CS42" s="434"/>
      <s:c r="CT42" s="434"/>
      <s:c r="CU42" s="434"/>
      <s:c r="CV42" s="434"/>
      <s:c r="CW42" s="434"/>
      <s:c r="CX42" s="434"/>
      <s:c r="CY42" s="434"/>
      <s:c r="CZ42" s="434"/>
      <s:c r="DA42" s="434"/>
      <s:c r="DB42" s="434"/>
      <s:c r="DC42" s="434"/>
      <s:c r="DD42" s="434"/>
      <s:c r="DE42" s="434"/>
      <s:c r="DF42" s="434"/>
      <s:c r="DG42" s="434"/>
      <s:c r="DH42" s="434"/>
      <s:c r="DI42" s="434"/>
      <s:c r="DJ42" s="434"/>
      <s:c r="DK42" s="434"/>
      <s:c r="DL42" s="434"/>
      <s:c r="DM42" s="434"/>
      <s:c r="DN42" s="434"/>
      <s:c r="DO42" s="434"/>
      <s:c r="DP42" s="434"/>
      <s:c r="DQ42" s="434"/>
      <s:c r="DR42" s="434"/>
      <s:c r="DS42" s="434"/>
      <s:c r="DT42" s="434"/>
      <s:c r="DU42" s="434"/>
      <s:c r="DV42" s="434"/>
      <s:c r="DW42" s="434"/>
      <s:c r="DX42" s="434"/>
      <s:c r="DY42" s="434"/>
      <s:c r="DZ42" s="434"/>
      <s:c r="EA42" s="434"/>
      <s:c r="EB42" s="434"/>
      <s:c r="EC42" s="434"/>
      <s:c r="ED42" s="434"/>
      <s:c r="EE42" s="434"/>
      <s:c r="EF42" s="434"/>
      <s:c r="EG42" s="434"/>
      <s:c r="EH42" s="434"/>
      <s:c r="EI42" s="434"/>
      <s:c r="EJ42" s="434"/>
      <s:c r="EK42" s="434"/>
      <s:c r="EL42" s="434"/>
      <s:c r="EM42" s="434"/>
      <s:c r="EN42" s="434"/>
      <s:c r="EO42" s="434"/>
      <s:c r="EP42" s="434"/>
      <s:c r="EQ42" s="434"/>
      <s:c r="ER42" s="434"/>
      <s:c r="ES42" s="434"/>
      <s:c r="ET42" s="434"/>
      <s:c r="EU42" s="434"/>
      <s:c r="EV42" s="434"/>
      <s:c r="EW42" s="434"/>
      <s:c r="EX42" s="434"/>
      <s:c r="EY42" s="434"/>
      <s:c r="EZ42" s="434"/>
      <s:c r="FA42" s="434"/>
      <s:c r="FB42" s="434"/>
      <s:c r="FC42" s="434"/>
      <s:c r="FD42" s="434"/>
      <s:c r="FE42" s="434"/>
      <s:c r="FF42" s="434"/>
      <s:c r="FG42" s="434"/>
      <s:c r="FH42" s="434"/>
      <s:c r="FI42" s="434"/>
      <s:c r="FJ42" s="434"/>
      <s:c r="FK42" s="434"/>
      <s:c r="FL42" s="434"/>
      <s:c r="FM42" s="434"/>
      <s:c r="FN42" s="434"/>
      <s:c r="FO42" s="434"/>
      <s:c r="FP42" s="434"/>
      <s:c r="FQ42" s="434"/>
      <s:c r="FR42" s="434"/>
      <s:c r="FS42" s="434"/>
      <s:c r="FT42" s="434"/>
      <s:c r="FU42" s="434"/>
      <s:c r="FV42" s="434"/>
      <s:c r="FW42" s="434"/>
      <s:c r="FX42" s="434"/>
      <s:c r="FY42" s="434"/>
      <s:c r="FZ42" s="434"/>
      <s:c r="GA42" s="434"/>
      <s:c r="GB42" s="434"/>
      <s:c r="GC42" s="434"/>
      <s:c r="GD42" s="434"/>
      <s:c r="GE42" s="434"/>
      <s:c r="GF42" s="434"/>
      <s:c r="GG42" s="434"/>
      <s:c r="GH42" s="434"/>
      <s:c r="GI42" s="434"/>
      <s:c r="GJ42" s="434"/>
      <s:c r="GK42" s="434"/>
      <s:c r="GL42" s="434"/>
      <s:c r="GM42" s="434"/>
      <s:c r="GN42" s="434"/>
      <s:c r="GO42" s="434"/>
      <s:c r="GP42" s="434"/>
      <s:c r="GQ42" s="434"/>
      <s:c r="GR42" s="434"/>
      <s:c r="GS42" s="434"/>
      <s:c r="GT42" s="434"/>
      <s:c r="GU42" s="434"/>
      <s:c r="GV42" s="434"/>
      <s:c r="GW42" s="434"/>
      <s:c r="GX42" s="434"/>
      <s:c r="GY42" s="434"/>
      <s:c r="GZ42" s="434"/>
      <s:c r="HA42" s="434"/>
      <s:c r="HB42" s="434"/>
      <s:c r="HC42" s="434"/>
      <s:c r="HD42" s="434"/>
      <s:c r="HE42" s="434"/>
      <s:c r="HF42" s="434"/>
      <s:c r="HG42" s="434"/>
      <s:c r="HH42" s="434"/>
      <s:c r="HI42" s="434"/>
      <s:c r="HJ42" s="434"/>
      <s:c r="HK42" s="434"/>
      <s:c r="HL42" s="434"/>
      <s:c r="HM42" s="434"/>
      <s:c r="HN42" s="434"/>
      <s:c r="HO42" s="434"/>
      <s:c r="HP42" s="434"/>
      <s:c r="HQ42" s="434"/>
      <s:c r="HR42" s="434"/>
      <s:c r="HS42" s="434"/>
      <s:c r="HT42" s="434"/>
      <s:c r="HU42" s="434"/>
      <s:c r="HV42" s="434"/>
      <s:c r="HW42" s="434"/>
      <s:c r="HX42" s="434"/>
      <s:c r="HY42" s="434"/>
      <s:c r="HZ42" s="434"/>
      <s:c r="IA42" s="434"/>
      <s:c r="IB42" s="434"/>
      <s:c r="IC42" s="434"/>
      <s:c r="ID42" s="434"/>
      <s:c r="IE42" s="434"/>
      <s:c r="IF42" s="434"/>
      <s:c r="IG42" s="434"/>
      <s:c r="IH42" s="434"/>
      <s:c r="II42" s="434"/>
      <s:c r="IJ42" s="434"/>
      <s:c r="IK42" s="434"/>
      <s:c r="IL42" s="434"/>
      <s:c r="IM42" s="434"/>
      <s:c r="IN42" s="434"/>
      <s:c r="IO42" s="434"/>
      <s:c r="IP42" s="434"/>
      <s:c r="IQ42" s="434"/>
      <s:c r="IR42" s="434"/>
      <s:c r="IS42" s="434"/>
      <s:c r="IT42" s="434"/>
      <s:c r="IU42" s="434"/>
      <s:c r="IV42" s="434"/>
      <s:c r="IW42" s="434"/>
    </s:row>
    <s:row r="43" spans="1:260" s="433" customFormat="1">
      <s:c r="A43" s="522" t="s">
        <s:v>147</s:v>
      </s:c>
      <s:c r="B43" s="528">
        <s:v>46131</s:v>
      </s:c>
      <s:c r="C43" s="529" t="s">
        <s:v>53</s:v>
      </s:c>
      <s:c r="D43" s="595">
        <s:f>60666+L43</s:f>
        <s:v>89569</s:v>
      </s:c>
      <s:c r="E43" s="429">
        <s:v>16</s:v>
      </s:c>
      <s:c r="F43" s="429">
        <s:f>IF(AND(E43&lt;&gt;"",E43&lt;&gt;0),D43/E43,"")</s:f>
        <s:v>5598.0625</s:v>
      </s:c>
      <s:c r="G43" s="429">
        <s:v>8</s:v>
      </s:c>
      <s:c r="H43" s="429">
        <s:f>IF(AND(G43&lt;&gt;"",G43&lt;&gt;0),D43/G43,"")</s:f>
        <s:v>11196.125</s:v>
      </s:c>
      <s:c r="I43" s="587">
        <s:v>82</s:v>
      </s:c>
      <s:c r="J43" s="488">
        <s:f>IF(AND(G43&lt;&gt;"",G43&lt;&gt;0),E43/G43,"")</s:f>
        <s:v>2</s:v>
      </s:c>
      <s:c r="K43" s="482"/>
      <s:c r="L43" s="429">
        <s:v>28903</s:v>
      </s:c>
      <s:c r="M43" s="429"/>
      <s:c r="N43" s="429"/>
      <s:c r="O43" s="429"/>
      <s:c r="P43" s="429">
        <s:v>-17390</s:v>
      </s:c>
      <s:c r="Q43" s="429">
        <s:v>36786</s:v>
      </s:c>
      <s:c r="R43" s="749">
        <s:v>5990</s:v>
      </s:c>
      <s:c r="S43" s="491">
        <s:f>IF(AND(I43&lt;&gt;"",I43&lt;&gt;0),G43/I43,"")</s:f>
        <s:v>9.7560975609756101E-2</s:v>
      </s:c>
      <s:c r="T43" s="493">
        <s:f>D43/U43</s:f>
        <s:v>0.61527089444554772</s:v>
      </s:c>
      <s:c r="U43" s="496">
        <s:f>$I$8*AA43*AB43/SUMPRODUCT($AB$25:$AB$55,$AA$25:$AA$55)</s:f>
        <s:v>145576.52703646128</s:v>
      </s:c>
      <s:c r="V43" s="431">
        <s:f>$I$9*AA43*AB43/SUMPRODUCT($AB$25:$AB$55,$AA$25:$AA$55)</s:f>
        <s:v>20.946262882944069</s:v>
      </s:c>
      <s:c r="W43" s="431">
        <s:f>IF($I$12="","",V43/$I$12)</s:f>
        <s:v>11.508935649969269</s:v>
      </s:c>
      <s:c r="X43" s="430">
        <s:f>IF(AB43&lt;&gt;"",IF(D43&lt;&gt;"",D43,($I$8-SUM($X$25:X42))*AA43*AB43/SUMPRODUCT($AB43:$AB$55,$AA43:$AA$55)),"")</s:f>
        <s:v>89569</s:v>
      </s:c>
      <s:c r="Y43" s="431">
        <s:f>IF(AB43&lt;&gt;"",IF(E43&lt;&gt;"",E43,($I$9-SUM($Y$25:Y42))*AA43*AB43/SUMPRODUCT($AB43:$AB$55,$AA43:$AA$55)),"")</s:f>
        <s:v>16</s:v>
      </s:c>
      <s:c r="Z43" s="431">
        <s:f>IF(AB43&lt;&gt;"",IF(E43&lt;&gt;"",E43,($I$9-SUM($Y$25:Y42))*AA43*AB43/SUMPRODUCT($AB43:$AB$55,$AA43:$AA$55)),"")</s:f>
        <s:v>16</s:v>
      </s:c>
      <s:c r="AA43" s="432">
        <s:v>1</s:v>
      </s:c>
      <s:c r="AB43" s="497">
        <s:v>1.5197703329369354</s:v>
      </s:c>
      <s:c r="AC43" s="437"/>
      <s:c r="AD43" s="438"/>
      <s:c r="AE43" s="439"/>
      <s:c r="AF43" s="434"/>
      <s:c r="AG43" s="434"/>
      <s:c r="AH43" s="434"/>
      <s:c r="AI43" s="434"/>
      <s:c r="AJ43" s="434"/>
      <s:c r="AK43" s="434"/>
      <s:c r="AL43" s="434"/>
      <s:c r="AM43" s="434"/>
      <s:c r="AN43" s="434"/>
      <s:c r="AO43" s="434"/>
      <s:c r="AP43" s="434"/>
      <s:c r="AQ43" s="434"/>
      <s:c r="AR43" s="434"/>
      <s:c r="AS43" s="434"/>
      <s:c r="AT43" s="434"/>
      <s:c r="AU43" s="434"/>
      <s:c r="AV43" s="434"/>
      <s:c r="AW43" s="434"/>
      <s:c r="AX43" s="434"/>
      <s:c r="AY43" s="434"/>
      <s:c r="AZ43" s="434"/>
      <s:c r="BA43" s="434"/>
      <s:c r="BB43" s="434"/>
      <s:c r="BC43" s="434"/>
      <s:c r="BD43" s="434"/>
      <s:c r="BE43" s="434"/>
      <s:c r="BF43" s="434"/>
      <s:c r="BG43" s="434"/>
      <s:c r="BH43" s="434"/>
      <s:c r="BI43" s="434"/>
      <s:c r="BJ43" s="434"/>
      <s:c r="BK43" s="434"/>
      <s:c r="BL43" s="434"/>
      <s:c r="BM43" s="434"/>
      <s:c r="BN43" s="434"/>
      <s:c r="BO43" s="434"/>
      <s:c r="BP43" s="434"/>
      <s:c r="BQ43" s="434"/>
      <s:c r="BR43" s="434"/>
      <s:c r="BS43" s="434"/>
      <s:c r="BT43" s="434"/>
      <s:c r="BU43" s="434"/>
      <s:c r="BV43" s="434"/>
      <s:c r="BW43" s="434"/>
      <s:c r="BX43" s="434"/>
      <s:c r="BY43" s="434"/>
      <s:c r="BZ43" s="434"/>
      <s:c r="CA43" s="434"/>
      <s:c r="CB43" s="434"/>
      <s:c r="CC43" s="434"/>
      <s:c r="CD43" s="434"/>
      <s:c r="CE43" s="434"/>
      <s:c r="CF43" s="434"/>
      <s:c r="CG43" s="434"/>
      <s:c r="CH43" s="434"/>
      <s:c r="CI43" s="434"/>
      <s:c r="CJ43" s="434"/>
      <s:c r="CK43" s="434"/>
      <s:c r="CL43" s="434"/>
      <s:c r="CM43" s="434"/>
      <s:c r="CN43" s="434"/>
      <s:c r="CO43" s="434"/>
      <s:c r="CP43" s="434"/>
      <s:c r="CQ43" s="434"/>
      <s:c r="CR43" s="434"/>
      <s:c r="CS43" s="434"/>
      <s:c r="CT43" s="434"/>
      <s:c r="CU43" s="434"/>
      <s:c r="CV43" s="434"/>
      <s:c r="CW43" s="434"/>
      <s:c r="CX43" s="434"/>
      <s:c r="CY43" s="434"/>
      <s:c r="CZ43" s="434"/>
      <s:c r="DA43" s="434"/>
      <s:c r="DB43" s="434"/>
      <s:c r="DC43" s="434"/>
      <s:c r="DD43" s="434"/>
      <s:c r="DE43" s="434"/>
      <s:c r="DF43" s="434"/>
      <s:c r="DG43" s="434"/>
      <s:c r="DH43" s="434"/>
      <s:c r="DI43" s="434"/>
      <s:c r="DJ43" s="434"/>
      <s:c r="DK43" s="434"/>
      <s:c r="DL43" s="434"/>
      <s:c r="DM43" s="434"/>
      <s:c r="DN43" s="434"/>
      <s:c r="DO43" s="434"/>
      <s:c r="DP43" s="434"/>
      <s:c r="DQ43" s="434"/>
      <s:c r="DR43" s="434"/>
      <s:c r="DS43" s="434"/>
      <s:c r="DT43" s="434"/>
      <s:c r="DU43" s="434"/>
      <s:c r="DV43" s="434"/>
      <s:c r="DW43" s="434"/>
      <s:c r="DX43" s="434"/>
      <s:c r="DY43" s="434"/>
      <s:c r="DZ43" s="434"/>
      <s:c r="EA43" s="434"/>
      <s:c r="EB43" s="434"/>
      <s:c r="EC43" s="434"/>
      <s:c r="ED43" s="434"/>
      <s:c r="EE43" s="434"/>
      <s:c r="EF43" s="434"/>
      <s:c r="EG43" s="434"/>
      <s:c r="EH43" s="434"/>
      <s:c r="EI43" s="434"/>
      <s:c r="EJ43" s="434"/>
      <s:c r="EK43" s="434"/>
      <s:c r="EL43" s="434"/>
      <s:c r="EM43" s="434"/>
      <s:c r="EN43" s="434"/>
      <s:c r="EO43" s="434"/>
      <s:c r="EP43" s="434"/>
      <s:c r="EQ43" s="434"/>
      <s:c r="ER43" s="434"/>
      <s:c r="ES43" s="434"/>
      <s:c r="ET43" s="434"/>
      <s:c r="EU43" s="434"/>
      <s:c r="EV43" s="434"/>
      <s:c r="EW43" s="434"/>
      <s:c r="EX43" s="434"/>
      <s:c r="EY43" s="434"/>
      <s:c r="EZ43" s="434"/>
      <s:c r="FA43" s="434"/>
      <s:c r="FB43" s="434"/>
      <s:c r="FC43" s="434"/>
      <s:c r="FD43" s="434"/>
      <s:c r="FE43" s="434"/>
      <s:c r="FF43" s="434"/>
      <s:c r="FG43" s="434"/>
      <s:c r="FH43" s="434"/>
      <s:c r="FI43" s="434"/>
      <s:c r="FJ43" s="434"/>
      <s:c r="FK43" s="434"/>
      <s:c r="FL43" s="434"/>
      <s:c r="FM43" s="434"/>
      <s:c r="FN43" s="434"/>
      <s:c r="FO43" s="434"/>
      <s:c r="FP43" s="434"/>
      <s:c r="FQ43" s="434"/>
      <s:c r="FR43" s="434"/>
      <s:c r="FS43" s="434"/>
      <s:c r="FT43" s="434"/>
      <s:c r="FU43" s="434"/>
      <s:c r="FV43" s="434"/>
      <s:c r="FW43" s="434"/>
      <s:c r="FX43" s="434"/>
      <s:c r="FY43" s="434"/>
      <s:c r="FZ43" s="434"/>
      <s:c r="GA43" s="434"/>
      <s:c r="GB43" s="434"/>
      <s:c r="GC43" s="434"/>
      <s:c r="GD43" s="434"/>
      <s:c r="GE43" s="434"/>
      <s:c r="GF43" s="434"/>
      <s:c r="GG43" s="434"/>
      <s:c r="GH43" s="434"/>
      <s:c r="GI43" s="434"/>
      <s:c r="GJ43" s="434"/>
      <s:c r="GK43" s="434"/>
      <s:c r="GL43" s="434"/>
      <s:c r="GM43" s="434"/>
      <s:c r="GN43" s="434"/>
      <s:c r="GO43" s="434"/>
      <s:c r="GP43" s="434"/>
      <s:c r="GQ43" s="434"/>
      <s:c r="GR43" s="434"/>
      <s:c r="GS43" s="434"/>
      <s:c r="GT43" s="434"/>
      <s:c r="GU43" s="434"/>
      <s:c r="GV43" s="434"/>
      <s:c r="GW43" s="434"/>
      <s:c r="GX43" s="434"/>
      <s:c r="GY43" s="434"/>
      <s:c r="GZ43" s="434"/>
      <s:c r="HA43" s="434"/>
      <s:c r="HB43" s="434"/>
      <s:c r="HC43" s="434"/>
      <s:c r="HD43" s="434"/>
      <s:c r="HE43" s="434"/>
      <s:c r="HF43" s="434"/>
      <s:c r="HG43" s="434"/>
      <s:c r="HH43" s="434"/>
      <s:c r="HI43" s="434"/>
      <s:c r="HJ43" s="434"/>
      <s:c r="HK43" s="434"/>
      <s:c r="HL43" s="434"/>
      <s:c r="HM43" s="434"/>
      <s:c r="HN43" s="434"/>
      <s:c r="HO43" s="434"/>
      <s:c r="HP43" s="434"/>
      <s:c r="HQ43" s="434"/>
      <s:c r="HR43" s="434"/>
      <s:c r="HS43" s="434"/>
      <s:c r="HT43" s="434"/>
      <s:c r="HU43" s="434"/>
      <s:c r="HV43" s="434"/>
      <s:c r="HW43" s="434"/>
      <s:c r="HX43" s="434"/>
      <s:c r="HY43" s="434"/>
      <s:c r="HZ43" s="434"/>
      <s:c r="IA43" s="434"/>
      <s:c r="IB43" s="434"/>
      <s:c r="IC43" s="434"/>
      <s:c r="ID43" s="434"/>
      <s:c r="IE43" s="434"/>
      <s:c r="IF43" s="434"/>
      <s:c r="IG43" s="434"/>
      <s:c r="IH43" s="434"/>
      <s:c r="II43" s="434"/>
      <s:c r="IJ43" s="434"/>
      <s:c r="IK43" s="434"/>
      <s:c r="IL43" s="434"/>
      <s:c r="IM43" s="434"/>
      <s:c r="IN43" s="434"/>
      <s:c r="IO43" s="434"/>
      <s:c r="IP43" s="434"/>
      <s:c r="IQ43" s="434"/>
      <s:c r="IR43" s="434"/>
      <s:c r="IS43" s="434"/>
      <s:c r="IT43" s="434"/>
      <s:c r="IU43" s="434"/>
      <s:c r="IV43" s="434"/>
      <s:c r="IW43" s="434"/>
    </s:row>
    <s:row r="44">
      <s:c r="A44" s="521" t="s">
        <s:v>138</s:v>
      </s:c>
      <s:c r="B44" s="526">
        <s:v>46132</s:v>
      </s:c>
      <s:c r="C44" s="527" t="s">
        <s:v>54</s:v>
      </s:c>
      <s:c r="D44" s="594">
        <s:v>38213</s:v>
      </s:c>
      <s:c r="E44" s="85">
        <s:v>8</s:v>
      </s:c>
      <s:c r="F44" s="85">
        <s:f>IF(AND(E44&lt;&gt;"",E44&lt;&gt;0),D44/E44,"")</s:f>
        <s:v>4776.625</s:v>
      </s:c>
      <s:c r="G44" s="85">
        <s:v>5</s:v>
      </s:c>
      <s:c r="H44" s="85">
        <s:f>IF(AND(G44&lt;&gt;"",G44&lt;&gt;0),D44/G44,"")</s:f>
        <s:v>7642.6</s:v>
      </s:c>
      <s:c r="I44" s="588">
        <s:v>86</s:v>
      </s:c>
      <s:c r="J44" s="486">
        <s:f>IF(AND(G44&lt;&gt;"",G44&lt;&gt;0),E44/G44,"")</s:f>
        <s:v>1.6</s:v>
      </s:c>
      <s:c r="K44" s="480"/>
      <s:c r="L44" s="85"/>
      <s:c r="M44" s="85"/>
      <s:c r="N44" s="85"/>
      <s:c r="O44" s="85"/>
      <s:c r="P44" s="85"/>
      <s:c r="Q44" s="85"/>
      <s:c r="R44" s="750">
        <s:v>11647</s:v>
      </s:c>
      <s:c r="S44" s="490">
        <s:f>IF(AND(I44&lt;&gt;"",I44&lt;&gt;0),G44/I44,"")</s:f>
        <s:v>5.8139534883720929E-2</s:v>
      </s:c>
      <s:c r="T44" s="492">
        <s:f>D44/U44</s:f>
        <s:v>0.42895802186285398</s:v>
      </s:c>
      <s:c r="U44" s="494">
        <s:f>$I$8*AA44*AB44/SUMPRODUCT($AB$25:$AB$55,$AA$25:$AA$55)</s:f>
        <s:v>89083.308977532855</s:v>
      </s:c>
      <s:c r="V44" s="89">
        <s:f>$I$9*AA44*AB44/SUMPRODUCT($AB$25:$AB$55,$AA$25:$AA$55)</s:f>
        <s:v>12.817742298925589</s:v>
      </s:c>
      <s:c r="W44" s="89">
        <s:f>IF($I$12="","",V44/$I$12)</s:f>
        <s:v>7.0427155488602136</s:v>
      </s:c>
      <s:c r="X44" s="88">
        <s:f>IF(AB44&lt;&gt;"",IF(D44&lt;&gt;"",D44,($I$8-SUM($X$25:X43))*AA44*AB44/SUMPRODUCT($AB44:$AB$55,$AA44:$AA$55)),"")</s:f>
        <s:v>38213</s:v>
      </s:c>
      <s:c r="Y44" s="89">
        <s:f>IF(AB44&lt;&gt;"",IF(E44&lt;&gt;"",E44,($I$9-SUM($Y$25:Y43))*AA44*AB44/SUMPRODUCT($AB44:$AB$55,$AA44:$AA$55)),"")</s:f>
        <s:v>8</s:v>
      </s:c>
      <s:c r="Z44" s="89">
        <s:f>IF(AB44&lt;&gt;"",IF(E44&lt;&gt;"",E44,($I$9-SUM($Y$25:Y43))*AA44*AB44/SUMPRODUCT($AB44:$AB$55,$AA44:$AA$55)),"")</s:f>
        <s:v>8</s:v>
      </s:c>
      <s:c r="AA44" s="90">
        <s:v>1</s:v>
      </s:c>
      <s:c r="AB44" s="495">
        <s:v>0.93</s:v>
      </s:c>
      <s:c r="AC44" s="91"/>
      <s:c r="AD44" s="92"/>
      <s:c r="AE44" s="93"/>
    </s:row>
    <s:row r="45">
      <s:c r="A45" s="521" t="s">
        <s:v>138</s:v>
      </s:c>
      <s:c r="B45" s="526">
        <s:v>46133</s:v>
      </s:c>
      <s:c r="C45" s="527" t="s">
        <s:v>55</s:v>
      </s:c>
      <s:c r="D45" s="594">
        <s:f>35652+L45</s:f>
        <s:v>61152</s:v>
      </s:c>
      <s:c r="E45" s="85">
        <s:v>8</s:v>
      </s:c>
      <s:c r="F45" s="85">
        <s:f>IF(AND(E45&lt;&gt;"",E45&lt;&gt;0),D45/E45,"")</s:f>
        <s:v>7644</s:v>
      </s:c>
      <s:c r="G45" s="85">
        <s:v>6</s:v>
      </s:c>
      <s:c r="H45" s="85">
        <s:f>IF(AND(G45&lt;&gt;"",G45&lt;&gt;0),D45/G45,"")</s:f>
        <s:v>10192</s:v>
      </s:c>
      <s:c r="I45" s="588">
        <s:v>64</s:v>
      </s:c>
      <s:c r="J45" s="486">
        <s:f>IF(AND(G45&lt;&gt;"",G45&lt;&gt;0),E45/G45,"")</s:f>
        <s:v>1.3333333333333299</s:v>
      </s:c>
      <s:c r="K45" s="480"/>
      <s:c r="L45" s="85">
        <s:v>25500</s:v>
      </s:c>
      <s:c r="M45" s="85"/>
      <s:c r="N45" s="85"/>
      <s:c r="O45" s="85"/>
      <s:c r="P45" s="85"/>
      <s:c r="Q45" s="85"/>
      <s:c r="R45" s="750">
        <s:v>2595</s:v>
      </s:c>
      <s:c r="S45" s="490">
        <s:f>IF(AND(I45&lt;&gt;"",I45&lt;&gt;0),G45/I45,"")</s:f>
        <s:v>9.375E-2</s:v>
      </s:c>
      <s:c r="T45" s="492">
        <s:f>D45/U45</s:f>
        <s:v>1.7246664689389311</s:v>
      </s:c>
      <s:c r="U45" s="494">
        <s:f>$I$8*AA45*AB45/SUMPRODUCT($AB$25:$AB$55,$AA$25:$AA$55)</s:f>
        <s:v>35457.290497230242</s:v>
      </s:c>
      <s:c r="V45" s="89">
        <s:f>$I$9*AA45*AB45/SUMPRODUCT($AB$25:$AB$55,$AA$25:$AA$55)</s:f>
        <s:v>5.1017684168676602</s:v>
      </s:c>
      <s:c r="W45" s="89">
        <s:f>IF($I$12="","",V45/$I$12)</s:f>
        <s:v>2.8031694598173957</s:v>
      </s:c>
      <s:c r="X45" s="88">
        <s:f>IF(AB45&lt;&gt;"",IF(D45&lt;&gt;"",D45,($I$8-SUM($X$25:X44))*AA45*AB45/SUMPRODUCT($AB45:$AB$55,$AA45:$AA$55)),"")</s:f>
        <s:v>61152</s:v>
      </s:c>
      <s:c r="Y45" s="89">
        <s:f>IF(AB45&lt;&gt;"",IF(E45&lt;&gt;"",E45,($I$9-SUM($Y$25:Y44))*AA45*AB45/SUMPRODUCT($AB45:$AB$55,$AA45:$AA$55)),"")</s:f>
        <s:v>8</s:v>
      </s:c>
      <s:c r="Z45" s="89">
        <s:f>IF(AB45&lt;&gt;"",IF(E45&lt;&gt;"",E45,($I$9-SUM($Y$25:Y44))*AA45*AB45/SUMPRODUCT($AB45:$AB$55,$AA45:$AA$55)),"")</s:f>
        <s:v>8</s:v>
      </s:c>
      <s:c r="AA45" s="90">
        <s:v>1</s:v>
      </s:c>
      <s:c r="AB45" s="495">
        <s:v>0.37016227327995438</s:v>
      </s:c>
      <s:c r="AC45" s="91"/>
      <s:c r="AD45" s="92"/>
      <s:c r="AE45" s="93"/>
    </s:row>
    <s:row r="46">
      <s:c r="A46" s="521" t="s">
        <s:v>138</s:v>
      </s:c>
      <s:c r="B46" s="526">
        <s:v>46134</s:v>
      </s:c>
      <s:c r="C46" s="527" t="s">
        <s:v>56</s:v>
      </s:c>
      <s:c r="D46" s="594">
        <s:v>66152</s:v>
      </s:c>
      <s:c r="E46" s="85">
        <s:v>9</s:v>
      </s:c>
      <s:c r="F46" s="85">
        <s:f>IF(AND(E46&lt;&gt;"",E46&lt;&gt;0),D46/E46,"")</s:f>
        <s:v>7350.2222222222199</s:v>
      </s:c>
      <s:c r="G46" s="85">
        <s:v>6</s:v>
      </s:c>
      <s:c r="H46" s="85">
        <s:f>IF(AND(G46&lt;&gt;"",G46&lt;&gt;0),D46/G46,"")</s:f>
        <s:v>11025.333333333299</s:v>
      </s:c>
      <s:c r="I46" s="588">
        <s:v>60</s:v>
      </s:c>
      <s:c r="J46" s="486">
        <s:f>IF(AND(G46&lt;&gt;"",G46&lt;&gt;0),E46/G46,"")</s:f>
        <s:v>1.5</s:v>
      </s:c>
      <s:c r="K46" s="480">
        <s:v>20284</s:v>
      </s:c>
      <s:c r="L46" s="85"/>
      <s:c r="M46" s="85"/>
      <s:c r="N46" s="85"/>
      <s:c r="O46" s="85"/>
      <s:c r="P46" s="85"/>
      <s:c r="Q46" s="85"/>
      <s:c r="R46" s="750">
        <s:v>4392</s:v>
      </s:c>
      <s:c r="S46" s="490">
        <s:f>IF(AND(I46&lt;&gt;"",I46&lt;&gt;0),G46/I46,"")</s:f>
        <s:v>0.1</s:v>
      </s:c>
      <s:c r="T46" s="492">
        <s:f>D46/U46</s:f>
        <s:v>3.2290208219262602</s:v>
      </s:c>
      <s:c r="U46" s="494">
        <s:f>$I$8*AA46*AB46/SUMPRODUCT($AB$25:$AB$55,$AA$25:$AA$55)</s:f>
        <s:v>20486.705923604786</s:v>
      </s:c>
      <s:c r="V46" s="89">
        <s:f>$I$9*AA46*AB46/SUMPRODUCT($AB$25:$AB$55,$AA$25:$AA$55)</s:f>
        <s:v>2.947727471022271</s:v>
      </s:c>
      <s:c r="W46" s="89">
        <s:f>IF($I$12="","",V46/$I$12)</s:f>
        <s:v>1.6196304785836653</s:v>
      </s:c>
      <s:c r="X46" s="88">
        <s:f>IF(AB46&lt;&gt;"",IF(D46&lt;&gt;"",D46,($I$8-SUM($X$25:X45))*AA46*AB46/SUMPRODUCT($AB46:$AB$55,$AA46:$AA$55)),"")</s:f>
        <s:v>66152</s:v>
      </s:c>
      <s:c r="Y46" s="89">
        <s:f>IF(AB46&lt;&gt;"",IF(E46&lt;&gt;"",E46,($I$9-SUM($Y$25:Y45))*AA46*AB46/SUMPRODUCT($AB46:$AB$55,$AA46:$AA$55)),"")</s:f>
        <s:v>9</s:v>
      </s:c>
      <s:c r="Z46" s="89">
        <s:f>IF(AB46&lt;&gt;"",IF(E46&lt;&gt;"",E46,($I$9-SUM($Y$25:Y45))*AA46*AB46/SUMPRODUCT($AB46:$AB$55,$AA46:$AA$55)),"")</s:f>
        <s:v>9</s:v>
      </s:c>
      <s:c r="AA46" s="90">
        <s:v>1</s:v>
      </s:c>
      <s:c r="AB46" s="495">
        <s:v>0.21387436914537603</s:v>
      </s:c>
      <s:c r="AC46" s="91"/>
      <s:c r="AD46" s="92"/>
      <s:c r="AE46" s="93"/>
    </s:row>
    <s:row r="47">
      <s:c r="A47" s="521" t="s">
        <s:v>138</s:v>
      </s:c>
      <s:c r="B47" s="526">
        <s:v>46135</s:v>
      </s:c>
      <s:c r="C47" s="527" t="s">
        <s:v>57</s:v>
      </s:c>
      <s:c r="D47" s="594">
        <s:v>8688</s:v>
      </s:c>
      <s:c r="E47" s="85">
        <s:v>2</s:v>
      </s:c>
      <s:c r="F47" s="85">
        <s:f>IF(AND(E47&lt;&gt;"",E47&lt;&gt;0),D47/E47,"")</s:f>
        <s:v>4344</s:v>
      </s:c>
      <s:c r="G47" s="85">
        <s:v>2</s:v>
      </s:c>
      <s:c r="H47" s="85">
        <s:f>IF(AND(G47&lt;&gt;"",G47&lt;&gt;0),D47/G47,"")</s:f>
        <s:v>4344</s:v>
      </s:c>
      <s:c r="I47" s="588">
        <s:v>33</s:v>
      </s:c>
      <s:c r="J47" s="486">
        <s:f>IF(AND(G47&lt;&gt;"",G47&lt;&gt;0),E47/G47,"")</s:f>
        <s:v>1</s:v>
      </s:c>
      <s:c r="K47" s="480"/>
      <s:c r="L47" s="85"/>
      <s:c r="M47" s="85"/>
      <s:c r="N47" s="85"/>
      <s:c r="O47" s="85"/>
      <s:c r="P47" s="85"/>
      <s:c r="Q47" s="85"/>
      <s:c r="R47" s="750">
        <s:v>4392</s:v>
      </s:c>
      <s:c r="S47" s="490">
        <s:f>IF(AND(I47&lt;&gt;"",I47&lt;&gt;0),G47/I47,"")</s:f>
        <s:v>6.0606060606060608E-2</s:v>
      </s:c>
      <s:c r="T47" s="492">
        <s:f>D47/U47</s:f>
        <s:v>7.2160927894417304E-2</s:v>
      </s:c>
      <s:c r="U47" s="494">
        <s:f>$I$8*AA47*AB47/SUMPRODUCT($AB$25:$AB$55,$AA$25:$AA$55)</s:f>
        <s:v>120397.5649081438</s:v>
      </s:c>
      <s:c r="V47" s="89">
        <s:f>$I$9*AA47*AB47/SUMPRODUCT($AB$25:$AB$55,$AA$25:$AA$55)</s:f>
        <s:v>17.323390634265294</s:v>
      </s:c>
      <s:c r="W47" s="89">
        <s:f>IF($I$12="","",V47/$I$12)</s:f>
        <s:v>9.5183465023435687</s:v>
      </s:c>
      <s:c r="X47" s="88">
        <s:f>IF(AB47&lt;&gt;"",IF(D47&lt;&gt;"",D47,($I$8-SUM($X$25:X46))*AA47*AB47/SUMPRODUCT($AB47:$AB$55,$AA47:$AA$55)),"")</s:f>
        <s:v>8688</s:v>
      </s:c>
      <s:c r="Y47" s="89">
        <s:f>IF(AB47&lt;&gt;"",IF(E47&lt;&gt;"",E47,($I$9-SUM($Y$25:Y46))*AA47*AB47/SUMPRODUCT($AB47:$AB$55,$AA47:$AA$55)),"")</s:f>
        <s:v>2</s:v>
      </s:c>
      <s:c r="Z47" s="89">
        <s:f>IF(AB47&lt;&gt;"",IF(E47&lt;&gt;"",E47,($I$9-SUM($Y$25:Y46))*AA47*AB47/SUMPRODUCT($AB47:$AB$55,$AA47:$AA$55)),"")</s:f>
        <s:v>2</s:v>
      </s:c>
      <s:c r="AA47" s="90">
        <s:v>1</s:v>
      </s:c>
      <s:c r="AB47" s="495">
        <s:v>1.2569103758012956</s:v>
      </s:c>
      <s:c r="AC47" s="91"/>
      <s:c r="AD47" s="92"/>
      <s:c r="AE47" s="93"/>
    </s:row>
    <s:row r="48" spans="1:260" s="433" customFormat="1">
      <s:c r="A48" s="522" t="s">
        <s:v>147</s:v>
      </s:c>
      <s:c r="B48" s="528">
        <s:v>46136</s:v>
      </s:c>
      <s:c r="C48" s="529" t="s">
        <s:v>58</s:v>
      </s:c>
      <s:c r="D48" s="523">
        <s:v>0</s:v>
      </s:c>
      <s:c r="E48" s="429">
        <s:v>0</s:v>
      </s:c>
      <s:c r="F48" s="429">
        <s:v>0</s:v>
      </s:c>
      <s:c r="G48" s="429">
        <s:v>0</s:v>
      </s:c>
      <s:c r="H48" s="429" t="str">
        <s:f>IF(AND(G48&lt;&gt;"",G48&lt;&gt;0),D48/G48,"")</s:f>
        <s:v/>
      </s:c>
      <s:c r="I48" s="587">
        <s:v>62</s:v>
      </s:c>
      <s:c r="J48" s="488" t="str">
        <s:f>IF(AND(G48&lt;&gt;"",G48&lt;&gt;0),E48/G48,"")</s:f>
        <s:v/>
      </s:c>
      <s:c r="K48" s="482"/>
      <s:c r="L48" s="429"/>
      <s:c r="M48" s="429"/>
      <s:c r="N48" s="429"/>
      <s:c r="O48" s="429"/>
      <s:c r="P48" s="429"/>
      <s:c r="Q48" s="429"/>
      <s:c r="R48" s="483"/>
      <s:c r="S48" s="491">
        <s:f>IF(AND(I48&lt;&gt;"",I48&lt;&gt;0),G48/I48,"")</s:f>
        <s:v>0</s:v>
      </s:c>
      <s:c r="T48" s="493">
        <s:f>D48/U48</s:f>
        <s:v>0</s:v>
      </s:c>
      <s:c r="U48" s="496">
        <s:f>$I$8*AA48*AB48/SUMPRODUCT($AB$25:$AB$55,$AA$25:$AA$55)</s:f>
        <s:v>66121.284724762256</s:v>
      </s:c>
      <s:c r="V48" s="431">
        <s:f>$I$9*AA48*AB48/SUMPRODUCT($AB$25:$AB$55,$AA$25:$AA$55)</s:f>
        <s:v>9.5138539172319803</s:v>
      </s:c>
      <s:c r="W48" s="431">
        <s:f>IF($I$12="","",V48/$I$12)</s:f>
        <s:v>5.2273922622153739</s:v>
      </s:c>
      <s:c r="X48" s="430">
        <s:f>IF(AB48&lt;&gt;"",IF(D48&lt;&gt;"",D48,($I$8-SUM($X$25:X47))*AA48*AB48/SUMPRODUCT($AB48:$AB$55,$AA48:$AA$55)),"")</s:f>
        <s:v>0</s:v>
      </s:c>
      <s:c r="Y48" s="431">
        <s:f>IF(AB48&lt;&gt;"",IF(E48&lt;&gt;"",E48,($I$9-SUM($Y$25:Y47))*AA48*AB48/SUMPRODUCT($AB48:$AB$55,$AA48:$AA$55)),"")</s:f>
        <s:v>0</s:v>
      </s:c>
      <s:c r="Z48" s="431">
        <s:f>IF(AB48&lt;&gt;"",IF(E48&lt;&gt;"",E48,($I$9-SUM($Y$25:Y47))*AA48*AB48/SUMPRODUCT($AB48:$AB$55,$AA48:$AA$55)),"")</s:f>
        <s:v>0</s:v>
      </s:c>
      <s:c r="AA48" s="432">
        <s:v>1</s:v>
      </s:c>
      <s:c r="AB48" s="497">
        <s:v>0.69028413402939071</s:v>
      </s:c>
      <s:c r="AC48" s="437"/>
      <s:c r="AD48" s="438"/>
      <s:c r="AE48" s="439"/>
      <s:c r="AF48" s="434"/>
      <s:c r="AG48" s="434"/>
      <s:c r="AH48" s="434"/>
      <s:c r="AI48" s="434"/>
      <s:c r="AJ48" s="434"/>
      <s:c r="AK48" s="434"/>
      <s:c r="AL48" s="434"/>
      <s:c r="AM48" s="434"/>
      <s:c r="AN48" s="434"/>
      <s:c r="AO48" s="434"/>
      <s:c r="AP48" s="434"/>
      <s:c r="AQ48" s="434"/>
      <s:c r="AR48" s="434"/>
      <s:c r="AS48" s="434"/>
      <s:c r="AT48" s="434"/>
      <s:c r="AU48" s="434"/>
      <s:c r="AV48" s="434"/>
      <s:c r="AW48" s="434"/>
      <s:c r="AX48" s="434"/>
      <s:c r="AY48" s="434"/>
      <s:c r="AZ48" s="434"/>
      <s:c r="BA48" s="434"/>
      <s:c r="BB48" s="434"/>
      <s:c r="BC48" s="434"/>
      <s:c r="BD48" s="434"/>
      <s:c r="BE48" s="434"/>
      <s:c r="BF48" s="434"/>
      <s:c r="BG48" s="434"/>
      <s:c r="BH48" s="434"/>
      <s:c r="BI48" s="434"/>
      <s:c r="BJ48" s="434"/>
      <s:c r="BK48" s="434"/>
      <s:c r="BL48" s="434"/>
      <s:c r="BM48" s="434"/>
      <s:c r="BN48" s="434"/>
      <s:c r="BO48" s="434"/>
      <s:c r="BP48" s="434"/>
      <s:c r="BQ48" s="434"/>
      <s:c r="BR48" s="434"/>
      <s:c r="BS48" s="434"/>
      <s:c r="BT48" s="434"/>
      <s:c r="BU48" s="434"/>
      <s:c r="BV48" s="434"/>
      <s:c r="BW48" s="434"/>
      <s:c r="BX48" s="434"/>
      <s:c r="BY48" s="434"/>
      <s:c r="BZ48" s="434"/>
      <s:c r="CA48" s="434"/>
      <s:c r="CB48" s="434"/>
      <s:c r="CC48" s="434"/>
      <s:c r="CD48" s="434"/>
      <s:c r="CE48" s="434"/>
      <s:c r="CF48" s="434"/>
      <s:c r="CG48" s="434"/>
      <s:c r="CH48" s="434"/>
      <s:c r="CI48" s="434"/>
      <s:c r="CJ48" s="434"/>
      <s:c r="CK48" s="434"/>
      <s:c r="CL48" s="434"/>
      <s:c r="CM48" s="434"/>
      <s:c r="CN48" s="434"/>
      <s:c r="CO48" s="434"/>
      <s:c r="CP48" s="434"/>
      <s:c r="CQ48" s="434"/>
      <s:c r="CR48" s="434"/>
      <s:c r="CS48" s="434"/>
      <s:c r="CT48" s="434"/>
      <s:c r="CU48" s="434"/>
      <s:c r="CV48" s="434"/>
      <s:c r="CW48" s="434"/>
      <s:c r="CX48" s="434"/>
      <s:c r="CY48" s="434"/>
      <s:c r="CZ48" s="434"/>
      <s:c r="DA48" s="434"/>
      <s:c r="DB48" s="434"/>
      <s:c r="DC48" s="434"/>
      <s:c r="DD48" s="434"/>
      <s:c r="DE48" s="434"/>
      <s:c r="DF48" s="434"/>
      <s:c r="DG48" s="434"/>
      <s:c r="DH48" s="434"/>
      <s:c r="DI48" s="434"/>
      <s:c r="DJ48" s="434"/>
      <s:c r="DK48" s="434"/>
      <s:c r="DL48" s="434"/>
      <s:c r="DM48" s="434"/>
      <s:c r="DN48" s="434"/>
      <s:c r="DO48" s="434"/>
      <s:c r="DP48" s="434"/>
      <s:c r="DQ48" s="434"/>
      <s:c r="DR48" s="434"/>
      <s:c r="DS48" s="434"/>
      <s:c r="DT48" s="434"/>
      <s:c r="DU48" s="434"/>
      <s:c r="DV48" s="434"/>
      <s:c r="DW48" s="434"/>
      <s:c r="DX48" s="434"/>
      <s:c r="DY48" s="434"/>
      <s:c r="DZ48" s="434"/>
      <s:c r="EA48" s="434"/>
      <s:c r="EB48" s="434"/>
      <s:c r="EC48" s="434"/>
      <s:c r="ED48" s="434"/>
      <s:c r="EE48" s="434"/>
      <s:c r="EF48" s="434"/>
      <s:c r="EG48" s="434"/>
      <s:c r="EH48" s="434"/>
      <s:c r="EI48" s="434"/>
      <s:c r="EJ48" s="434"/>
      <s:c r="EK48" s="434"/>
      <s:c r="EL48" s="434"/>
      <s:c r="EM48" s="434"/>
      <s:c r="EN48" s="434"/>
      <s:c r="EO48" s="434"/>
      <s:c r="EP48" s="434"/>
      <s:c r="EQ48" s="434"/>
      <s:c r="ER48" s="434"/>
      <s:c r="ES48" s="434"/>
      <s:c r="ET48" s="434"/>
      <s:c r="EU48" s="434"/>
      <s:c r="EV48" s="434"/>
      <s:c r="EW48" s="434"/>
      <s:c r="EX48" s="434"/>
      <s:c r="EY48" s="434"/>
      <s:c r="EZ48" s="434"/>
      <s:c r="FA48" s="434"/>
      <s:c r="FB48" s="434"/>
      <s:c r="FC48" s="434"/>
      <s:c r="FD48" s="434"/>
      <s:c r="FE48" s="434"/>
      <s:c r="FF48" s="434"/>
      <s:c r="FG48" s="434"/>
      <s:c r="FH48" s="434"/>
      <s:c r="FI48" s="434"/>
      <s:c r="FJ48" s="434"/>
      <s:c r="FK48" s="434"/>
      <s:c r="FL48" s="434"/>
      <s:c r="FM48" s="434"/>
      <s:c r="FN48" s="434"/>
      <s:c r="FO48" s="434"/>
      <s:c r="FP48" s="434"/>
      <s:c r="FQ48" s="434"/>
      <s:c r="FR48" s="434"/>
      <s:c r="FS48" s="434"/>
      <s:c r="FT48" s="434"/>
      <s:c r="FU48" s="434"/>
      <s:c r="FV48" s="434"/>
      <s:c r="FW48" s="434"/>
      <s:c r="FX48" s="434"/>
      <s:c r="FY48" s="434"/>
      <s:c r="FZ48" s="434"/>
      <s:c r="GA48" s="434"/>
      <s:c r="GB48" s="434"/>
      <s:c r="GC48" s="434"/>
      <s:c r="GD48" s="434"/>
      <s:c r="GE48" s="434"/>
      <s:c r="GF48" s="434"/>
      <s:c r="GG48" s="434"/>
      <s:c r="GH48" s="434"/>
      <s:c r="GI48" s="434"/>
      <s:c r="GJ48" s="434"/>
      <s:c r="GK48" s="434"/>
      <s:c r="GL48" s="434"/>
      <s:c r="GM48" s="434"/>
      <s:c r="GN48" s="434"/>
      <s:c r="GO48" s="434"/>
      <s:c r="GP48" s="434"/>
      <s:c r="GQ48" s="434"/>
      <s:c r="GR48" s="434"/>
      <s:c r="GS48" s="434"/>
      <s:c r="GT48" s="434"/>
      <s:c r="GU48" s="434"/>
      <s:c r="GV48" s="434"/>
      <s:c r="GW48" s="434"/>
      <s:c r="GX48" s="434"/>
      <s:c r="GY48" s="434"/>
      <s:c r="GZ48" s="434"/>
      <s:c r="HA48" s="434"/>
      <s:c r="HB48" s="434"/>
      <s:c r="HC48" s="434"/>
      <s:c r="HD48" s="434"/>
      <s:c r="HE48" s="434"/>
      <s:c r="HF48" s="434"/>
      <s:c r="HG48" s="434"/>
      <s:c r="HH48" s="434"/>
      <s:c r="HI48" s="434"/>
      <s:c r="HJ48" s="434"/>
      <s:c r="HK48" s="434"/>
      <s:c r="HL48" s="434"/>
      <s:c r="HM48" s="434"/>
      <s:c r="HN48" s="434"/>
      <s:c r="HO48" s="434"/>
      <s:c r="HP48" s="434"/>
      <s:c r="HQ48" s="434"/>
      <s:c r="HR48" s="434"/>
      <s:c r="HS48" s="434"/>
      <s:c r="HT48" s="434"/>
      <s:c r="HU48" s="434"/>
      <s:c r="HV48" s="434"/>
      <s:c r="HW48" s="434"/>
      <s:c r="HX48" s="434"/>
      <s:c r="HY48" s="434"/>
      <s:c r="HZ48" s="434"/>
      <s:c r="IA48" s="434"/>
      <s:c r="IB48" s="434"/>
      <s:c r="IC48" s="434"/>
      <s:c r="ID48" s="434"/>
      <s:c r="IE48" s="434"/>
      <s:c r="IF48" s="434"/>
      <s:c r="IG48" s="434"/>
      <s:c r="IH48" s="434"/>
      <s:c r="II48" s="434"/>
      <s:c r="IJ48" s="434"/>
      <s:c r="IK48" s="434"/>
      <s:c r="IL48" s="434"/>
      <s:c r="IM48" s="434"/>
      <s:c r="IN48" s="434"/>
      <s:c r="IO48" s="434"/>
      <s:c r="IP48" s="434"/>
      <s:c r="IQ48" s="434"/>
      <s:c r="IR48" s="434"/>
      <s:c r="IS48" s="434"/>
      <s:c r="IT48" s="434"/>
      <s:c r="IU48" s="434"/>
      <s:c r="IV48" s="434"/>
      <s:c r="IW48" s="434"/>
    </s:row>
    <s:row r="49" spans="1:257" s="433" customFormat="1">
      <s:c r="A49" s="522" t="s">
        <s:v>60</s:v>
      </s:c>
      <s:c r="B49" s="528">
        <s:v>46137</s:v>
      </s:c>
      <s:c r="C49" s="529" t="s">
        <s:v>59</s:v>
      </s:c>
      <s:c r="D49" s="595">
        <s:f>27346+L49</s:f>
        <s:v>64153</s:v>
      </s:c>
      <s:c r="E49" s="429">
        <s:v>5</s:v>
      </s:c>
      <s:c r="F49" s="429">
        <s:f>IF(AND(E49&lt;&gt;"",E49&lt;&gt;0),D49/E49,"")</s:f>
        <s:v>12830.6</s:v>
      </s:c>
      <s:c r="G49" s="429">
        <s:v>5</s:v>
      </s:c>
      <s:c r="H49" s="429">
        <s:f>IF(AND(G49&lt;&gt;"",G49&lt;&gt;0),D49/G49,"")</s:f>
        <s:v>12830.6</s:v>
      </s:c>
      <s:c r="I49" s="429">
        <s:v>91</s:v>
      </s:c>
      <s:c r="J49" s="488">
        <s:f>IF(AND(G49&lt;&gt;"",G49&lt;&gt;0),E49/G49,"")</s:f>
        <s:v>1</s:v>
      </s:c>
      <s:c r="K49" s="482"/>
      <s:c r="L49" s="429">
        <s:f>29904+6903</s:f>
        <s:v>36807</s:v>
      </s:c>
      <s:c r="M49" s="429">
        <s:v>12893</s:v>
      </s:c>
      <s:c r="N49" s="429"/>
      <s:c r="O49" s="429"/>
      <s:c r="P49" s="429"/>
      <s:c r="Q49" s="429"/>
      <s:c r="R49" s="483"/>
      <s:c r="S49" s="491">
        <s:f>IF(AND(I49&lt;&gt;"",I49&lt;&gt;0),G49/I49,"")</s:f>
        <s:v>5.4945054945054944E-2</s:v>
      </s:c>
      <s:c r="T49" s="493">
        <s:f>D49/U49</s:f>
        <s:v>0.49103343939068861</s:v>
      </s:c>
      <s:c r="U49" s="496">
        <s:f>$I$8*AA49*AB49/SUMPRODUCT($AB$25:$AB$55,$AA$25:$AA$55)</s:f>
        <s:v>130648.94333796469</s:v>
      </s:c>
      <s:c r="V49" s="431">
        <s:f>$I$9*AA49*AB49/SUMPRODUCT($AB$25:$AB$55,$AA$25:$AA$55)</s:f>
        <s:v>18.798409113376213</s:v>
      </s:c>
      <s:c r="W49" s="431">
        <s:f>IF($I$12="","",V49/$I$12)</s:f>
        <s:v>10.328796216140775</s:v>
      </s:c>
      <s:c r="X49" s="430">
        <s:f>IF(AB49&lt;&gt;"",IF(D49&lt;&gt;"",D49,($I$8-SUM($X$25:X48))*AA49*AB49/SUMPRODUCT($AB49:$AB$55,$AA49:$AA$55)),"")</s:f>
        <s:v>64153</s:v>
      </s:c>
      <s:c r="Y49" s="431">
        <s:f>IF(AB49&lt;&gt;"",IF(E49&lt;&gt;"",E49,($I$9-SUM($Y$25:Y48))*AA49*AB49/SUMPRODUCT($AB49:$AB$55,$AA49:$AA$55)),"")</s:f>
        <s:v>5</s:v>
      </s:c>
      <s:c r="Z49" s="431">
        <s:f>IF(AB49&lt;&gt;"",IF(E49&lt;&gt;"",E49,($I$9-SUM($Y$25:Y48))*AA49*AB49/SUMPRODUCT($AB49:$AB$55,$AA49:$AA$55)),"")</s:f>
        <s:v>5</s:v>
      </s:c>
      <s:c r="AA49" s="432">
        <s:v>1</s:v>
      </s:c>
      <s:c r="AB49" s="497">
        <s:v>1.36393134358032</s:v>
      </s:c>
      <s:c r="AC49" s="437"/>
      <s:c r="AD49" s="438"/>
      <s:c r="AE49" s="439"/>
      <s:c r="AF49" s="434"/>
      <s:c r="AG49" s="434"/>
      <s:c r="AH49" s="434"/>
      <s:c r="AI49" s="434"/>
      <s:c r="AJ49" s="434"/>
      <s:c r="AK49" s="434"/>
      <s:c r="AL49" s="434"/>
      <s:c r="AM49" s="434"/>
      <s:c r="AN49" s="434"/>
      <s:c r="AO49" s="434"/>
      <s:c r="AP49" s="434"/>
      <s:c r="AQ49" s="434"/>
      <s:c r="AR49" s="434"/>
      <s:c r="AS49" s="434"/>
      <s:c r="AT49" s="434"/>
      <s:c r="AU49" s="434"/>
      <s:c r="AV49" s="434"/>
      <s:c r="AW49" s="434"/>
      <s:c r="AX49" s="434"/>
      <s:c r="AY49" s="434"/>
      <s:c r="AZ49" s="434"/>
      <s:c r="BA49" s="434"/>
      <s:c r="BB49" s="434"/>
      <s:c r="BC49" s="434"/>
      <s:c r="BD49" s="434"/>
      <s:c r="BE49" s="434"/>
      <s:c r="BF49" s="434"/>
      <s:c r="BG49" s="434"/>
      <s:c r="BH49" s="434"/>
      <s:c r="BI49" s="434"/>
      <s:c r="BJ49" s="434"/>
      <s:c r="BK49" s="434"/>
      <s:c r="BL49" s="434"/>
      <s:c r="BM49" s="434"/>
      <s:c r="BN49" s="434"/>
      <s:c r="BO49" s="434"/>
      <s:c r="BP49" s="434"/>
      <s:c r="BQ49" s="434"/>
      <s:c r="BR49" s="434"/>
      <s:c r="BS49" s="434"/>
      <s:c r="BT49" s="434"/>
      <s:c r="BU49" s="434"/>
      <s:c r="BV49" s="434"/>
      <s:c r="BW49" s="434"/>
      <s:c r="BX49" s="434"/>
      <s:c r="BY49" s="434"/>
      <s:c r="BZ49" s="434"/>
      <s:c r="CA49" s="434"/>
      <s:c r="CB49" s="434"/>
      <s:c r="CC49" s="434"/>
      <s:c r="CD49" s="434"/>
      <s:c r="CE49" s="434"/>
      <s:c r="CF49" s="434"/>
      <s:c r="CG49" s="434"/>
      <s:c r="CH49" s="434"/>
      <s:c r="CI49" s="434"/>
      <s:c r="CJ49" s="434"/>
      <s:c r="CK49" s="434"/>
      <s:c r="CL49" s="434"/>
      <s:c r="CM49" s="434"/>
      <s:c r="CN49" s="434"/>
      <s:c r="CO49" s="434"/>
      <s:c r="CP49" s="434"/>
      <s:c r="CQ49" s="434"/>
      <s:c r="CR49" s="434"/>
      <s:c r="CS49" s="434"/>
      <s:c r="CT49" s="434"/>
      <s:c r="CU49" s="434"/>
      <s:c r="CV49" s="434"/>
      <s:c r="CW49" s="434"/>
      <s:c r="CX49" s="434"/>
      <s:c r="CY49" s="434"/>
      <s:c r="CZ49" s="434"/>
      <s:c r="DA49" s="434"/>
      <s:c r="DB49" s="434"/>
      <s:c r="DC49" s="434"/>
      <s:c r="DD49" s="434"/>
      <s:c r="DE49" s="434"/>
      <s:c r="DF49" s="434"/>
      <s:c r="DG49" s="434"/>
      <s:c r="DH49" s="434"/>
      <s:c r="DI49" s="434"/>
      <s:c r="DJ49" s="434"/>
      <s:c r="DK49" s="434"/>
      <s:c r="DL49" s="434"/>
      <s:c r="DM49" s="434"/>
      <s:c r="DN49" s="434"/>
      <s:c r="DO49" s="434"/>
      <s:c r="DP49" s="434"/>
      <s:c r="DQ49" s="434"/>
      <s:c r="DR49" s="434"/>
      <s:c r="DS49" s="434"/>
      <s:c r="DT49" s="434"/>
      <s:c r="DU49" s="434"/>
      <s:c r="DV49" s="434"/>
      <s:c r="DW49" s="434"/>
      <s:c r="DX49" s="434"/>
      <s:c r="DY49" s="434"/>
      <s:c r="DZ49" s="434"/>
      <s:c r="EA49" s="434"/>
      <s:c r="EB49" s="434"/>
      <s:c r="EC49" s="434"/>
      <s:c r="ED49" s="434"/>
      <s:c r="EE49" s="434"/>
      <s:c r="EF49" s="434"/>
      <s:c r="EG49" s="434"/>
      <s:c r="EH49" s="434"/>
      <s:c r="EI49" s="434"/>
      <s:c r="EJ49" s="434"/>
      <s:c r="EK49" s="434"/>
      <s:c r="EL49" s="434"/>
      <s:c r="EM49" s="434"/>
      <s:c r="EN49" s="434"/>
      <s:c r="EO49" s="434"/>
      <s:c r="EP49" s="434"/>
      <s:c r="EQ49" s="434"/>
      <s:c r="ER49" s="434"/>
      <s:c r="ES49" s="434"/>
      <s:c r="ET49" s="434"/>
      <s:c r="EU49" s="434"/>
      <s:c r="EV49" s="434"/>
      <s:c r="EW49" s="434"/>
      <s:c r="EX49" s="434"/>
      <s:c r="EY49" s="434"/>
      <s:c r="EZ49" s="434"/>
      <s:c r="FA49" s="434"/>
      <s:c r="FB49" s="434"/>
      <s:c r="FC49" s="434"/>
      <s:c r="FD49" s="434"/>
      <s:c r="FE49" s="434"/>
      <s:c r="FF49" s="434"/>
      <s:c r="FG49" s="434"/>
      <s:c r="FH49" s="434"/>
      <s:c r="FI49" s="434"/>
      <s:c r="FJ49" s="434"/>
      <s:c r="FK49" s="434"/>
      <s:c r="FL49" s="434"/>
      <s:c r="FM49" s="434"/>
      <s:c r="FN49" s="434"/>
      <s:c r="FO49" s="434"/>
      <s:c r="FP49" s="434"/>
      <s:c r="FQ49" s="434"/>
      <s:c r="FR49" s="434"/>
      <s:c r="FS49" s="434"/>
      <s:c r="FT49" s="434"/>
      <s:c r="FU49" s="434"/>
      <s:c r="FV49" s="434"/>
      <s:c r="FW49" s="434"/>
      <s:c r="FX49" s="434"/>
      <s:c r="FY49" s="434"/>
      <s:c r="FZ49" s="434"/>
      <s:c r="GA49" s="434"/>
      <s:c r="GB49" s="434"/>
      <s:c r="GC49" s="434"/>
      <s:c r="GD49" s="434"/>
      <s:c r="GE49" s="434"/>
      <s:c r="GF49" s="434"/>
      <s:c r="GG49" s="434"/>
      <s:c r="GH49" s="434"/>
      <s:c r="GI49" s="434"/>
      <s:c r="GJ49" s="434"/>
      <s:c r="GK49" s="434"/>
      <s:c r="GL49" s="434"/>
      <s:c r="GM49" s="434"/>
      <s:c r="GN49" s="434"/>
      <s:c r="GO49" s="434"/>
      <s:c r="GP49" s="434"/>
      <s:c r="GQ49" s="434"/>
      <s:c r="GR49" s="434"/>
      <s:c r="GS49" s="434"/>
      <s:c r="GT49" s="434"/>
      <s:c r="GU49" s="434"/>
      <s:c r="GV49" s="434"/>
      <s:c r="GW49" s="434"/>
      <s:c r="GX49" s="434"/>
      <s:c r="GY49" s="434"/>
      <s:c r="GZ49" s="434"/>
      <s:c r="HA49" s="434"/>
      <s:c r="HB49" s="434"/>
      <s:c r="HC49" s="434"/>
      <s:c r="HD49" s="434"/>
      <s:c r="HE49" s="434"/>
      <s:c r="HF49" s="434"/>
      <s:c r="HG49" s="434"/>
      <s:c r="HH49" s="434"/>
      <s:c r="HI49" s="434"/>
      <s:c r="HJ49" s="434"/>
      <s:c r="HK49" s="434"/>
      <s:c r="HL49" s="434"/>
      <s:c r="HM49" s="434"/>
      <s:c r="HN49" s="434"/>
      <s:c r="HO49" s="434"/>
      <s:c r="HP49" s="434"/>
      <s:c r="HQ49" s="434"/>
      <s:c r="HR49" s="434"/>
      <s:c r="HS49" s="434"/>
      <s:c r="HT49" s="434"/>
      <s:c r="HU49" s="434"/>
      <s:c r="HV49" s="434"/>
      <s:c r="HW49" s="434"/>
      <s:c r="HX49" s="434"/>
      <s:c r="HY49" s="434"/>
      <s:c r="HZ49" s="434"/>
      <s:c r="IA49" s="434"/>
      <s:c r="IB49" s="434"/>
      <s:c r="IC49" s="434"/>
      <s:c r="ID49" s="434"/>
      <s:c r="IE49" s="434"/>
      <s:c r="IF49" s="434"/>
      <s:c r="IG49" s="434"/>
      <s:c r="IH49" s="434"/>
      <s:c r="II49" s="434"/>
      <s:c r="IJ49" s="434"/>
      <s:c r="IK49" s="434"/>
      <s:c r="IL49" s="434"/>
      <s:c r="IM49" s="434"/>
      <s:c r="IN49" s="434"/>
      <s:c r="IO49" s="434"/>
      <s:c r="IP49" s="434"/>
      <s:c r="IQ49" s="434"/>
      <s:c r="IR49" s="434"/>
      <s:c r="IS49" s="434"/>
      <s:c r="IT49" s="434"/>
      <s:c r="IU49" s="434"/>
      <s:c r="IV49" s="434"/>
      <s:c r="IW49" s="434"/>
    </s:row>
    <s:row r="50" spans="1:257" s="433" customFormat="1">
      <s:c r="A50" s="522" t="s">
        <s:v>60</s:v>
      </s:c>
      <s:c r="B50" s="528">
        <s:v>46138</s:v>
      </s:c>
      <s:c r="C50" s="529" t="s">
        <s:v>53</s:v>
      </s:c>
      <s:c r="D50" s="595">
        <s:v>28740</s:v>
      </s:c>
      <s:c r="E50" s="429">
        <s:v>5</s:v>
      </s:c>
      <s:c r="F50" s="429">
        <s:f>IF(AND(E50&lt;&gt;"",E50&lt;&gt;0),D50/E50,"")</s:f>
        <s:v>5748</s:v>
      </s:c>
      <s:c r="G50" s="429">
        <s:v>4</s:v>
      </s:c>
      <s:c r="H50" s="429">
        <s:f>IF(AND(G50&lt;&gt;"",G50&lt;&gt;0),D50/G50,"")</s:f>
        <s:v>7185</s:v>
      </s:c>
      <s:c r="I50" s="429">
        <s:v>61</s:v>
      </s:c>
      <s:c r="J50" s="488">
        <s:f>IF(AND(G50&lt;&gt;"",G50&lt;&gt;0),E50/G50,"")</s:f>
        <s:v>1.25</s:v>
      </s:c>
      <s:c r="K50" s="482"/>
      <s:c r="L50" s="429"/>
      <s:c r="M50" s="429"/>
      <s:c r="N50" s="429"/>
      <s:c r="O50" s="429"/>
      <s:c r="P50" s="429"/>
      <s:c r="Q50" s="429"/>
      <s:c r="R50" s="483"/>
      <s:c r="S50" s="491">
        <s:f>IF(AND(I50&lt;&gt;"",I50&lt;&gt;0),G50/I50,"")</s:f>
        <s:v>6.5573770491803282E-2</s:v>
      </s:c>
      <s:c r="T50" s="493">
        <s:f>D50/U50</s:f>
        <s:v>0.19808670345903101</s:v>
      </s:c>
      <s:c r="U50" s="496">
        <s:f>$I$8*AA50*AB50/SUMPRODUCT($AB$25:$AB$55,$AA$25:$AA$55)</s:f>
        <s:v>145087.98166730045</s:v>
      </s:c>
      <s:c r="V50" s="431">
        <s:f>$I$9*AA50*AB50/SUMPRODUCT($AB$25:$AB$55,$AA$25:$AA$55)</s:f>
        <s:v>20.875968585223088</s:v>
      </s:c>
      <s:c r="W50" s="431">
        <s:f>IF($I$12="","",V50/$I$12)</s:f>
        <s:v>11.470312409463235</s:v>
      </s:c>
      <s:c r="X50" s="430">
        <s:f>IF(AB50&lt;&gt;"",IF(D50&lt;&gt;"",D50,($I$8-SUM($X$25:X49))*AA50*AB50/SUMPRODUCT($AB50:$AB$55,$AA50:$AA$55)),"")</s:f>
        <s:v>28740</s:v>
      </s:c>
      <s:c r="Y50" s="431">
        <s:f>IF(AB50&lt;&gt;"",IF(E50&lt;&gt;"",E50,($I$9-SUM($Y$25:Y49))*AA50*AB50/SUMPRODUCT($AB50:$AB$55,$AA50:$AA$55)),"")</s:f>
        <s:v>5</s:v>
      </s:c>
      <s:c r="Z50" s="431">
        <s:f>IF(AB50&lt;&gt;"",IF(E50&lt;&gt;"",E50,($I$9-SUM($Y$25:Y49))*AA50*AB50/SUMPRODUCT($AB50:$AB$55,$AA50:$AA$55)),"")</s:f>
        <s:v>5</s:v>
      </s:c>
      <s:c r="AA50" s="432">
        <s:v>1</s:v>
      </s:c>
      <s:c r="AB50" s="497">
        <s:v>1.5146700824126298</s:v>
      </s:c>
      <s:c r="AC50" s="437"/>
      <s:c r="AD50" s="438"/>
      <s:c r="AE50" s="439"/>
      <s:c r="AF50" s="434"/>
      <s:c r="AG50" s="434"/>
      <s:c r="AH50" s="434"/>
      <s:c r="AI50" s="434"/>
      <s:c r="AJ50" s="434"/>
      <s:c r="AK50" s="434"/>
      <s:c r="AL50" s="434"/>
      <s:c r="AM50" s="434"/>
      <s:c r="AN50" s="434"/>
      <s:c r="AO50" s="434"/>
      <s:c r="AP50" s="434"/>
      <s:c r="AQ50" s="434"/>
      <s:c r="AR50" s="434"/>
      <s:c r="AS50" s="434"/>
      <s:c r="AT50" s="434"/>
      <s:c r="AU50" s="434"/>
      <s:c r="AV50" s="434"/>
      <s:c r="AW50" s="434"/>
      <s:c r="AX50" s="434"/>
      <s:c r="AY50" s="434"/>
      <s:c r="AZ50" s="434"/>
      <s:c r="BA50" s="434"/>
      <s:c r="BB50" s="434"/>
      <s:c r="BC50" s="434"/>
      <s:c r="BD50" s="434"/>
      <s:c r="BE50" s="434"/>
      <s:c r="BF50" s="434"/>
      <s:c r="BG50" s="434"/>
      <s:c r="BH50" s="434"/>
      <s:c r="BI50" s="434"/>
      <s:c r="BJ50" s="434"/>
      <s:c r="BK50" s="434"/>
      <s:c r="BL50" s="434"/>
      <s:c r="BM50" s="434"/>
      <s:c r="BN50" s="434"/>
      <s:c r="BO50" s="434"/>
      <s:c r="BP50" s="434"/>
      <s:c r="BQ50" s="434"/>
      <s:c r="BR50" s="434"/>
      <s:c r="BS50" s="434"/>
      <s:c r="BT50" s="434"/>
      <s:c r="BU50" s="434"/>
      <s:c r="BV50" s="434"/>
      <s:c r="BW50" s="434"/>
      <s:c r="BX50" s="434"/>
      <s:c r="BY50" s="434"/>
      <s:c r="BZ50" s="434"/>
      <s:c r="CA50" s="434"/>
      <s:c r="CB50" s="434"/>
      <s:c r="CC50" s="434"/>
      <s:c r="CD50" s="434"/>
      <s:c r="CE50" s="434"/>
      <s:c r="CF50" s="434"/>
      <s:c r="CG50" s="434"/>
      <s:c r="CH50" s="434"/>
      <s:c r="CI50" s="434"/>
      <s:c r="CJ50" s="434"/>
      <s:c r="CK50" s="434"/>
      <s:c r="CL50" s="434"/>
      <s:c r="CM50" s="434"/>
      <s:c r="CN50" s="434"/>
      <s:c r="CO50" s="434"/>
      <s:c r="CP50" s="434"/>
      <s:c r="CQ50" s="434"/>
      <s:c r="CR50" s="434"/>
      <s:c r="CS50" s="434"/>
      <s:c r="CT50" s="434"/>
      <s:c r="CU50" s="434"/>
      <s:c r="CV50" s="434"/>
      <s:c r="CW50" s="434"/>
      <s:c r="CX50" s="434"/>
      <s:c r="CY50" s="434"/>
      <s:c r="CZ50" s="434"/>
      <s:c r="DA50" s="434"/>
      <s:c r="DB50" s="434"/>
      <s:c r="DC50" s="434"/>
      <s:c r="DD50" s="434"/>
      <s:c r="DE50" s="434"/>
      <s:c r="DF50" s="434"/>
      <s:c r="DG50" s="434"/>
      <s:c r="DH50" s="434"/>
      <s:c r="DI50" s="434"/>
      <s:c r="DJ50" s="434"/>
      <s:c r="DK50" s="434"/>
      <s:c r="DL50" s="434"/>
      <s:c r="DM50" s="434"/>
      <s:c r="DN50" s="434"/>
      <s:c r="DO50" s="434"/>
      <s:c r="DP50" s="434"/>
      <s:c r="DQ50" s="434"/>
      <s:c r="DR50" s="434"/>
      <s:c r="DS50" s="434"/>
      <s:c r="DT50" s="434"/>
      <s:c r="DU50" s="434"/>
      <s:c r="DV50" s="434"/>
      <s:c r="DW50" s="434"/>
      <s:c r="DX50" s="434"/>
      <s:c r="DY50" s="434"/>
      <s:c r="DZ50" s="434"/>
      <s:c r="EA50" s="434"/>
      <s:c r="EB50" s="434"/>
      <s:c r="EC50" s="434"/>
      <s:c r="ED50" s="434"/>
      <s:c r="EE50" s="434"/>
      <s:c r="EF50" s="434"/>
      <s:c r="EG50" s="434"/>
      <s:c r="EH50" s="434"/>
      <s:c r="EI50" s="434"/>
      <s:c r="EJ50" s="434"/>
      <s:c r="EK50" s="434"/>
      <s:c r="EL50" s="434"/>
      <s:c r="EM50" s="434"/>
      <s:c r="EN50" s="434"/>
      <s:c r="EO50" s="434"/>
      <s:c r="EP50" s="434"/>
      <s:c r="EQ50" s="434"/>
      <s:c r="ER50" s="434"/>
      <s:c r="ES50" s="434"/>
      <s:c r="ET50" s="434"/>
      <s:c r="EU50" s="434"/>
      <s:c r="EV50" s="434"/>
      <s:c r="EW50" s="434"/>
      <s:c r="EX50" s="434"/>
      <s:c r="EY50" s="434"/>
      <s:c r="EZ50" s="434"/>
      <s:c r="FA50" s="434"/>
      <s:c r="FB50" s="434"/>
      <s:c r="FC50" s="434"/>
      <s:c r="FD50" s="434"/>
      <s:c r="FE50" s="434"/>
      <s:c r="FF50" s="434"/>
      <s:c r="FG50" s="434"/>
      <s:c r="FH50" s="434"/>
      <s:c r="FI50" s="434"/>
      <s:c r="FJ50" s="434"/>
      <s:c r="FK50" s="434"/>
      <s:c r="FL50" s="434"/>
      <s:c r="FM50" s="434"/>
      <s:c r="FN50" s="434"/>
      <s:c r="FO50" s="434"/>
      <s:c r="FP50" s="434"/>
      <s:c r="FQ50" s="434"/>
      <s:c r="FR50" s="434"/>
      <s:c r="FS50" s="434"/>
      <s:c r="FT50" s="434"/>
      <s:c r="FU50" s="434"/>
      <s:c r="FV50" s="434"/>
      <s:c r="FW50" s="434"/>
      <s:c r="FX50" s="434"/>
      <s:c r="FY50" s="434"/>
      <s:c r="FZ50" s="434"/>
      <s:c r="GA50" s="434"/>
      <s:c r="GB50" s="434"/>
      <s:c r="GC50" s="434"/>
      <s:c r="GD50" s="434"/>
      <s:c r="GE50" s="434"/>
      <s:c r="GF50" s="434"/>
      <s:c r="GG50" s="434"/>
      <s:c r="GH50" s="434"/>
      <s:c r="GI50" s="434"/>
      <s:c r="GJ50" s="434"/>
      <s:c r="GK50" s="434"/>
      <s:c r="GL50" s="434"/>
      <s:c r="GM50" s="434"/>
      <s:c r="GN50" s="434"/>
      <s:c r="GO50" s="434"/>
      <s:c r="GP50" s="434"/>
      <s:c r="GQ50" s="434"/>
      <s:c r="GR50" s="434"/>
      <s:c r="GS50" s="434"/>
      <s:c r="GT50" s="434"/>
      <s:c r="GU50" s="434"/>
      <s:c r="GV50" s="434"/>
      <s:c r="GW50" s="434"/>
      <s:c r="GX50" s="434"/>
      <s:c r="GY50" s="434"/>
      <s:c r="GZ50" s="434"/>
      <s:c r="HA50" s="434"/>
      <s:c r="HB50" s="434"/>
      <s:c r="HC50" s="434"/>
      <s:c r="HD50" s="434"/>
      <s:c r="HE50" s="434"/>
      <s:c r="HF50" s="434"/>
      <s:c r="HG50" s="434"/>
      <s:c r="HH50" s="434"/>
      <s:c r="HI50" s="434"/>
      <s:c r="HJ50" s="434"/>
      <s:c r="HK50" s="434"/>
      <s:c r="HL50" s="434"/>
      <s:c r="HM50" s="434"/>
      <s:c r="HN50" s="434"/>
      <s:c r="HO50" s="434"/>
      <s:c r="HP50" s="434"/>
      <s:c r="HQ50" s="434"/>
      <s:c r="HR50" s="434"/>
      <s:c r="HS50" s="434"/>
      <s:c r="HT50" s="434"/>
      <s:c r="HU50" s="434"/>
      <s:c r="HV50" s="434"/>
      <s:c r="HW50" s="434"/>
      <s:c r="HX50" s="434"/>
      <s:c r="HY50" s="434"/>
      <s:c r="HZ50" s="434"/>
      <s:c r="IA50" s="434"/>
      <s:c r="IB50" s="434"/>
      <s:c r="IC50" s="434"/>
      <s:c r="ID50" s="434"/>
      <s:c r="IE50" s="434"/>
      <s:c r="IF50" s="434"/>
      <s:c r="IG50" s="434"/>
      <s:c r="IH50" s="434"/>
      <s:c r="II50" s="434"/>
      <s:c r="IJ50" s="434"/>
      <s:c r="IK50" s="434"/>
      <s:c r="IL50" s="434"/>
      <s:c r="IM50" s="434"/>
      <s:c r="IN50" s="434"/>
      <s:c r="IO50" s="434"/>
      <s:c r="IP50" s="434"/>
      <s:c r="IQ50" s="434"/>
      <s:c r="IR50" s="434"/>
      <s:c r="IS50" s="434"/>
      <s:c r="IT50" s="434"/>
      <s:c r="IU50" s="434"/>
      <s:c r="IV50" s="434"/>
      <s:c r="IW50" s="434"/>
    </s:row>
    <s:row r="51">
      <s:c r="A51" s="521" t="s">
        <s:v>147</s:v>
      </s:c>
      <s:c r="B51" s="526">
        <s:v>46139</s:v>
      </s:c>
      <s:c r="C51" s="527" t="s">
        <s:v>54</s:v>
      </s:c>
      <s:c r="D51" s="594">
        <s:f>4393+L51</s:f>
        <s:v>16296</s:v>
      </s:c>
      <s:c r="E51" s="85">
        <s:v>2</s:v>
      </s:c>
      <s:c r="F51" s="85">
        <s:f>IF(AND(E51&lt;&gt;"",E51&lt;&gt;0),D51/E51,"")</s:f>
        <s:v>8148</s:v>
      </s:c>
      <s:c r="G51" s="85">
        <s:v>2</s:v>
      </s:c>
      <s:c r="H51" s="85">
        <s:f>IF(AND(G51&lt;&gt;"",G51&lt;&gt;0),D51/G51,"")</s:f>
        <s:v>8148</s:v>
      </s:c>
      <s:c r="I51" s="588">
        <s:v>46</s:v>
      </s:c>
      <s:c r="J51" s="486">
        <s:f>IF(AND(G51&lt;&gt;"",G51&lt;&gt;0),E51/G51,"")</s:f>
        <s:v>1</s:v>
      </s:c>
      <s:c r="K51" s="480"/>
      <s:c r="L51" s="85">
        <s:v>11903</s:v>
      </s:c>
      <s:c r="M51" s="85"/>
      <s:c r="N51" s="85"/>
      <s:c r="O51" s="85"/>
      <s:c r="P51" s="85"/>
      <s:c r="Q51" s="85"/>
      <s:c r="R51" s="481"/>
      <s:c r="S51" s="490">
        <s:f>IF(AND(I51&lt;&gt;"",I51&lt;&gt;0),G51/I51,"")</s:f>
        <s:v>4.3478260869565216E-2</s:v>
      </s:c>
      <s:c r="T51" s="492">
        <s:f>D51/U51</s:f>
        <s:v>0.25055418766227561</s:v>
      </s:c>
      <s:c r="U51" s="494">
        <s:f>$I$8*AA51*AB51/SUMPRODUCT($AB$25:$AB$55,$AA$25:$AA$55)</s:f>
        <s:v>65039.822930301743</s:v>
      </s:c>
      <s:c r="V51" s="89">
        <s:f>$I$9*AA51*AB51/SUMPRODUCT($AB$25:$AB$55,$AA$25:$AA$55)</s:f>
        <s:v>9.358247903640537</s:v>
      </s:c>
      <s:c r="W51" s="89">
        <s:f>IF($I$12="","",V51/$I$12)</s:f>
        <s:v>5.1418944525497459</s:v>
      </s:c>
      <s:c r="X51" s="88">
        <s:f>IF(AB51&lt;&gt;"",IF(D51&lt;&gt;"",D51,($I$8-SUM($X$25:X50))*AA51*AB51/SUMPRODUCT($AB51:$AB$55,$AA51:$AA$55)),"")</s:f>
        <s:v>16296</s:v>
      </s:c>
      <s:c r="Y51" s="89">
        <s:f>IF(AB51&lt;&gt;"",IF(E51&lt;&gt;"",E51,($I$9-SUM($Y$25:Y50))*AA51*AB51/SUMPRODUCT($AB51:$AB$55,$AA51:$AA$55)),"")</s:f>
        <s:v>2</s:v>
      </s:c>
      <s:c r="Z51" s="89">
        <s:f>IF(AB51&lt;&gt;"",IF(E51&lt;&gt;"",E51,($I$9-SUM($Y$25:Y50))*AA51*AB51/SUMPRODUCT($AB51:$AB$55,$AA51:$AA$55)),"")</s:f>
        <s:v>2</s:v>
      </s:c>
      <s:c r="AA51" s="90">
        <s:v>1</s:v>
      </s:c>
      <s:c r="AB51" s="495">
        <s:v>0.67899403400513203</s:v>
      </s:c>
      <s:c r="AC51" s="91"/>
      <s:c r="AD51" s="92"/>
      <s:c r="AE51" s="93"/>
    </s:row>
    <s:row r="52">
      <s:c r="A52" s="521" t="s">
        <s:v>60</s:v>
      </s:c>
      <s:c r="B52" s="526">
        <s:v>46140</s:v>
      </s:c>
      <s:c r="C52" s="527" t="s">
        <s:v>55</s:v>
      </s:c>
      <s:c r="D52" s="594">
        <s:f>6239+L52</s:f>
        <s:v>44848</s:v>
      </s:c>
      <s:c r="E52" s="85">
        <s:v>6</s:v>
      </s:c>
      <s:c r="F52" s="85">
        <s:f>IF(AND(E52&lt;&gt;"",E52&lt;&gt;0),D52/E52,"")</s:f>
        <s:v>7474.666666666667</s:v>
      </s:c>
      <s:c r="G52" s="85">
        <s:v>4</s:v>
      </s:c>
      <s:c r="H52" s="85">
        <s:f>IF(AND(G52&lt;&gt;"",G52&lt;&gt;0),D52/G52,"")</s:f>
        <s:v>11212</s:v>
      </s:c>
      <s:c r="I52" s="85">
        <s:v>54</s:v>
      </s:c>
      <s:c r="J52" s="486">
        <s:f>IF(AND(G52&lt;&gt;"",G52&lt;&gt;0),E52/G52,"")</s:f>
        <s:v>1.5</s:v>
      </s:c>
      <s:c r="K52" s="480"/>
      <s:c r="L52" s="85">
        <s:v>38609</s:v>
      </s:c>
      <s:c r="M52" s="85"/>
      <s:c r="N52" s="85"/>
      <s:c r="O52" s="85"/>
      <s:c r="P52" s="85"/>
      <s:c r="Q52" s="85"/>
      <s:c r="R52" s="750">
        <s:v>6235</s:v>
      </s:c>
      <s:c r="S52" s="490">
        <s:f>IF(AND(I52&lt;&gt;"",I52&lt;&gt;0),G52/I52,"")</s:f>
        <s:v>7.407407407407407E-2</s:v>
      </s:c>
      <s:c r="T52" s="492">
        <s:f>D52/U52</s:f>
        <s:v>1.4205880950211616</s:v>
      </s:c>
      <s:c r="U52" s="494">
        <s:f>$I$8*AA52*AB52/SUMPRODUCT($AB$25:$AB$55,$AA$25:$AA$55)</s:f>
        <s:v>31570.023821248433</s:v>
      </s:c>
      <s:c r="V52" s="89">
        <s:f>$I$9*AA52*AB52/SUMPRODUCT($AB$25:$AB$55,$AA$25:$AA$55)</s:f>
        <s:v>4.5424494706832279</s:v>
      </s:c>
      <s:c r="W52" s="89">
        <s:f>IF($I$12="","",V52/$I$12)</s:f>
        <s:v>2.4958513575182568</s:v>
      </s:c>
      <s:c r="X52" s="88">
        <s:f>IF(AB52&lt;&gt;"",IF(D52&lt;&gt;"",D52,($I$8-SUM($X$25:X51))*AA52*AB52/SUMPRODUCT($AB52:$AB$55,$AA52:$AA$55)),"")</s:f>
        <s:v>44848</s:v>
      </s:c>
      <s:c r="Y52" s="89">
        <s:f>IF(AB52&lt;&gt;"",IF(E52&lt;&gt;"",E52,($I$9-SUM($Y$25:Y51))*AA52*AB52/SUMPRODUCT($AB52:$AB$55,$AA52:$AA$55)),"")</s:f>
        <s:v>6</s:v>
      </s:c>
      <s:c r="Z52" s="89">
        <s:f>IF(AB52&lt;&gt;"",IF(E52&lt;&gt;"",E52,($I$9-SUM($Y$25:Y51))*AA52*AB52/SUMPRODUCT($AB52:$AB$55,$AA52:$AA$55)),"")</s:f>
        <s:v>6</s:v>
      </s:c>
      <s:c r="AA52" s="90">
        <s:v>1</s:v>
      </s:c>
      <s:c r="AB52" s="495">
        <s:v>0.32958050717633064</s:v>
      </s:c>
      <s:c r="AC52" s="91"/>
      <s:c r="AD52" s="92"/>
      <s:c r="AE52" s="93"/>
    </s:row>
    <s:row r="53">
      <s:c r="A53" s="521" t="s">
        <s:v>60</s:v>
      </s:c>
      <s:c r="B53" s="526">
        <s:v>46141</s:v>
      </s:c>
      <s:c r="C53" s="527" t="s">
        <s:v>56</s:v>
      </s:c>
      <s:c r="D53" s="594">
        <s:v>37553</s:v>
      </s:c>
      <s:c r="E53" s="85">
        <s:v>7</s:v>
      </s:c>
      <s:c r="F53" s="85">
        <s:f>IF(AND(E53&lt;&gt;"",E53&lt;&gt;0),D53/E53,"")</s:f>
        <s:v>5364.7142857142799</s:v>
      </s:c>
      <s:c r="G53" s="85">
        <s:v>3</s:v>
      </s:c>
      <s:c r="H53" s="85">
        <s:f>IF(AND(G53&lt;&gt;"",G53&lt;&gt;0),D53/G53,"")</s:f>
        <s:v>12517.666666666601</s:v>
      </s:c>
      <s:c r="I53" s="85">
        <s:v>54</s:v>
      </s:c>
      <s:c r="J53" s="486">
        <s:f>IF(AND(G53&lt;&gt;"",G53&lt;&gt;0),E53/G53,"")</s:f>
        <s:v>2.3333333333333299</s:v>
      </s:c>
      <s:c r="K53" s="480"/>
      <s:c r="L53" s="85"/>
      <s:c r="M53" s="85"/>
      <s:c r="N53" s="85"/>
      <s:c r="O53" s="85"/>
      <s:c r="P53" s="85"/>
      <s:c r="Q53" s="85"/>
      <s:c r="R53" s="750">
        <s:v>3500</s:v>
      </s:c>
      <s:c r="S53" s="490">
        <s:f>IF(AND(I53&lt;&gt;"",I53&lt;&gt;0),G53/I53,"")</s:f>
        <s:v>5.5555555555555497E-2</s:v>
      </s:c>
      <s:c r="T53" s="492">
        <s:f>D53/U53</s:f>
        <s:v>0.80008322594376602</s:v>
      </s:c>
      <s:c r="U53" s="494">
        <s:f>$I$8*AA53*AB53/SUMPRODUCT($AB$25:$AB$55,$AA$25:$AA$55)</s:f>
        <s:v>46936.367095689347</s:v>
      </s:c>
      <s:c r="V53" s="89">
        <s:f>$I$9*AA53*AB53/SUMPRODUCT($AB$25:$AB$55,$AA$25:$AA$55)</s:f>
        <s:v>6.7534341144876757</s:v>
      </s:c>
      <s:c r="W53" s="89">
        <s:f>IF($I$12="","",V53/$I$12)</s:f>
        <s:v>3.7106780848833383</s:v>
      </s:c>
      <s:c r="X53" s="88">
        <s:f>IF(AB53&lt;&gt;"",IF(D53&lt;&gt;"",D53,($I$8-SUM($X$25:X52))*AA53*AB53/SUMPRODUCT($AB53:$AB$55,$AA53:$AA$55)),"")</s:f>
        <s:v>37553</s:v>
      </s:c>
      <s:c r="Y53" s="89">
        <s:f>IF(AB53&lt;&gt;"",IF(E53&lt;&gt;"",E53,($I$9-SUM($Y$25:Y52))*AA53*AB53/SUMPRODUCT($AB53:$AB$55,$AA53:$AA$55)),"")</s:f>
        <s:v>7</s:v>
      </s:c>
      <s:c r="Z53" s="89">
        <s:f>IF(AB53&lt;&gt;"",IF(E53&lt;&gt;"",E53,($I$9-SUM($Y$25:Y52))*AA53*AB53/SUMPRODUCT($AB53:$AB$55,$AA53:$AA$55)),"")</s:f>
        <s:v>7</s:v>
      </s:c>
      <s:c r="AA53" s="90">
        <s:v>1</s:v>
      </s:c>
      <s:c r="AB53" s="495">
        <s:v>0.49</s:v>
      </s:c>
      <s:c r="AC53" s="91"/>
      <s:c r="AD53" s="92"/>
      <s:c r="AE53" s="93"/>
    </s:row>
    <s:row r="54" spans="1:257" s="433" customFormat="1" ht="15" customHeight="1">
      <s:c r="A54" s="522" t="s">
        <s:v>138</s:v>
      </s:c>
      <s:c r="B54" s="528">
        <s:v>46142</s:v>
      </s:c>
      <s:c r="C54" s="529" t="s">
        <s:v>57</s:v>
      </s:c>
      <s:c r="D54" s="596">
        <s:f>143203+L54</s:f>
        <s:v>169903</s:v>
      </s:c>
      <s:c r="E54" s="429">
        <s:v>13</s:v>
      </s:c>
      <s:c r="F54" s="429">
        <s:f>IF(AND(E54&lt;&gt;"",E54&lt;&gt;0),D54/E54,"")</s:f>
        <s:v>13069.461538461539</s:v>
      </s:c>
      <s:c r="G54" s="429">
        <s:v>6</s:v>
      </s:c>
      <s:c r="H54" s="429">
        <s:f>IF(AND(G54&lt;&gt;"",G54&lt;&gt;0),D54/G54,"")</s:f>
        <s:v>28317.166666666668</s:v>
      </s:c>
      <s:c r="I54" s="429">
        <s:v>70</s:v>
      </s:c>
      <s:c r="J54" s="488">
        <s:f>IF(AND(G54&lt;&gt;"",G54&lt;&gt;0),E54/G54,"")</s:f>
        <s:v>2.1666666666666599</s:v>
      </s:c>
      <s:c r="K54" s="482">
        <s:v>29984</s:v>
      </s:c>
      <s:c r="L54" s="429">
        <s:v>26700</s:v>
      </s:c>
      <s:c r="M54" s="429"/>
      <s:c r="N54" s="429"/>
      <s:c r="O54" s="429">
        <s:v>87458</s:v>
      </s:c>
      <s:c r="P54" s="429"/>
      <s:c r="Q54" s="429"/>
      <s:c r="R54" s="749">
        <s:v>6490</s:v>
      </s:c>
      <s:c r="S54" s="491">
        <s:f>IF(AND(I54&lt;&gt;"",I54&lt;&gt;0),G54/I54,"")</s:f>
        <s:v>8.5714285714285701E-2</s:v>
      </s:c>
      <s:c r="T54" s="493">
        <s:f>D54/U54</s:f>
        <s:v>2.9562176464102587</s:v>
      </s:c>
      <s:c r="U54" s="496">
        <s:f>$I$8*AA54*AB54/SUMPRODUCT($AB$25:$AB$55,$AA$25:$AA$55)</s:f>
        <s:v>57473.102566150221</s:v>
      </s:c>
      <s:c r="V54" s="431">
        <s:f>$I$9*AA54*AB54/SUMPRODUCT($AB$25:$AB$55,$AA$25:$AA$55)</s:f>
        <s:v>8.269511160597153</s:v>
      </s:c>
      <s:c r="W54" s="431">
        <s:f>IF($I$12="","",V54/$I$12)</s:f>
        <s:v>4.543687450877556</s:v>
      </s:c>
      <s:c r="X54" s="430">
        <s:f>IF(AB54&lt;&gt;"",IF(D54&lt;&gt;"",D54,($I$8-SUM($X$25:X53))*AA54*AB54/SUMPRODUCT($AB54:$AB$55,$AA54:$AA$55)),"")</s:f>
        <s:v>169903</s:v>
      </s:c>
      <s:c r="Y54" s="431">
        <s:f>IF(AB54&lt;&gt;"",IF(E54&lt;&gt;"",E54,($I$9-SUM($Y$25:Y53))*AA54*AB54/SUMPRODUCT($AB54:$AB$55,$AA54:$AA$55)),"")</s:f>
        <s:v>13</s:v>
      </s:c>
      <s:c r="Z54" s="431">
        <s:f>IF(AB54&lt;&gt;"",IF(E54&lt;&gt;"",E54,($I$9-SUM($Y$25:Y53))*AA54*AB54/SUMPRODUCT($AB54:$AB$55,$AA54:$AA$55)),"")</s:f>
        <s:v>13</s:v>
      </s:c>
      <s:c r="AA54" s="432">
        <s:v>1</s:v>
      </s:c>
      <s:c r="AB54" s="497">
        <s:v>0.6</s:v>
      </s:c>
      <s:c r="AC54" s="437"/>
      <s:c r="AD54" s="438"/>
      <s:c r="AE54" s="439"/>
      <s:c r="AF54" s="434"/>
      <s:c r="AG54" s="434"/>
      <s:c r="AH54" s="434"/>
      <s:c r="AI54" s="434"/>
      <s:c r="AJ54" s="434"/>
      <s:c r="AK54" s="434"/>
      <s:c r="AL54" s="434"/>
      <s:c r="AM54" s="434"/>
      <s:c r="AN54" s="434"/>
      <s:c r="AO54" s="434"/>
      <s:c r="AP54" s="434"/>
      <s:c r="AQ54" s="434"/>
      <s:c r="AR54" s="434"/>
      <s:c r="AS54" s="434"/>
      <s:c r="AT54" s="434"/>
      <s:c r="AU54" s="434"/>
      <s:c r="AV54" s="434"/>
      <s:c r="AW54" s="434"/>
      <s:c r="AX54" s="434"/>
      <s:c r="AY54" s="434"/>
      <s:c r="AZ54" s="434"/>
      <s:c r="BA54" s="434"/>
      <s:c r="BB54" s="434"/>
      <s:c r="BC54" s="434"/>
      <s:c r="BD54" s="434"/>
      <s:c r="BE54" s="434"/>
      <s:c r="BF54" s="434"/>
      <s:c r="BG54" s="434"/>
      <s:c r="BH54" s="434"/>
      <s:c r="BI54" s="434"/>
      <s:c r="BJ54" s="434"/>
      <s:c r="BK54" s="434"/>
      <s:c r="BL54" s="434"/>
      <s:c r="BM54" s="434"/>
      <s:c r="BN54" s="434"/>
      <s:c r="BO54" s="434"/>
      <s:c r="BP54" s="434"/>
      <s:c r="BQ54" s="434"/>
      <s:c r="BR54" s="434"/>
      <s:c r="BS54" s="434"/>
      <s:c r="BT54" s="434"/>
      <s:c r="BU54" s="434"/>
      <s:c r="BV54" s="434"/>
      <s:c r="BW54" s="434"/>
      <s:c r="BX54" s="434"/>
      <s:c r="BY54" s="434"/>
      <s:c r="BZ54" s="434"/>
      <s:c r="CA54" s="434"/>
      <s:c r="CB54" s="434"/>
      <s:c r="CC54" s="434"/>
      <s:c r="CD54" s="434"/>
      <s:c r="CE54" s="434"/>
      <s:c r="CF54" s="434"/>
      <s:c r="CG54" s="434"/>
      <s:c r="CH54" s="434"/>
      <s:c r="CI54" s="434"/>
      <s:c r="CJ54" s="434"/>
      <s:c r="CK54" s="434"/>
      <s:c r="CL54" s="434"/>
      <s:c r="CM54" s="434"/>
      <s:c r="CN54" s="434"/>
      <s:c r="CO54" s="434"/>
      <s:c r="CP54" s="434"/>
      <s:c r="CQ54" s="434"/>
      <s:c r="CR54" s="434"/>
      <s:c r="CS54" s="434"/>
      <s:c r="CT54" s="434"/>
      <s:c r="CU54" s="434"/>
      <s:c r="CV54" s="434"/>
      <s:c r="CW54" s="434"/>
      <s:c r="CX54" s="434"/>
      <s:c r="CY54" s="434"/>
      <s:c r="CZ54" s="434"/>
      <s:c r="DA54" s="434"/>
      <s:c r="DB54" s="434"/>
      <s:c r="DC54" s="434"/>
      <s:c r="DD54" s="434"/>
      <s:c r="DE54" s="434"/>
      <s:c r="DF54" s="434"/>
      <s:c r="DG54" s="434"/>
      <s:c r="DH54" s="434"/>
      <s:c r="DI54" s="434"/>
      <s:c r="DJ54" s="434"/>
      <s:c r="DK54" s="434"/>
      <s:c r="DL54" s="434"/>
      <s:c r="DM54" s="434"/>
      <s:c r="DN54" s="434"/>
      <s:c r="DO54" s="434"/>
      <s:c r="DP54" s="434"/>
      <s:c r="DQ54" s="434"/>
      <s:c r="DR54" s="434"/>
      <s:c r="DS54" s="434"/>
      <s:c r="DT54" s="434"/>
      <s:c r="DU54" s="434"/>
      <s:c r="DV54" s="434"/>
      <s:c r="DW54" s="434"/>
      <s:c r="DX54" s="434"/>
      <s:c r="DY54" s="434"/>
      <s:c r="DZ54" s="434"/>
      <s:c r="EA54" s="434"/>
      <s:c r="EB54" s="434"/>
      <s:c r="EC54" s="434"/>
      <s:c r="ED54" s="434"/>
      <s:c r="EE54" s="434"/>
      <s:c r="EF54" s="434"/>
      <s:c r="EG54" s="434"/>
      <s:c r="EH54" s="434"/>
      <s:c r="EI54" s="434"/>
      <s:c r="EJ54" s="434"/>
      <s:c r="EK54" s="434"/>
      <s:c r="EL54" s="434"/>
      <s:c r="EM54" s="434"/>
      <s:c r="EN54" s="434"/>
      <s:c r="EO54" s="434"/>
      <s:c r="EP54" s="434"/>
      <s:c r="EQ54" s="434"/>
      <s:c r="ER54" s="434"/>
      <s:c r="ES54" s="434"/>
      <s:c r="ET54" s="434"/>
      <s:c r="EU54" s="434"/>
      <s:c r="EV54" s="434"/>
      <s:c r="EW54" s="434"/>
      <s:c r="EX54" s="434"/>
      <s:c r="EY54" s="434"/>
      <s:c r="EZ54" s="434"/>
      <s:c r="FA54" s="434"/>
      <s:c r="FB54" s="434"/>
      <s:c r="FC54" s="434"/>
      <s:c r="FD54" s="434"/>
      <s:c r="FE54" s="434"/>
      <s:c r="FF54" s="434"/>
      <s:c r="FG54" s="434"/>
      <s:c r="FH54" s="434"/>
      <s:c r="FI54" s="434"/>
      <s:c r="FJ54" s="434"/>
      <s:c r="FK54" s="434"/>
      <s:c r="FL54" s="434"/>
      <s:c r="FM54" s="434"/>
      <s:c r="FN54" s="434"/>
      <s:c r="FO54" s="434"/>
      <s:c r="FP54" s="434"/>
      <s:c r="FQ54" s="434"/>
      <s:c r="FR54" s="434"/>
      <s:c r="FS54" s="434"/>
      <s:c r="FT54" s="434"/>
      <s:c r="FU54" s="434"/>
      <s:c r="FV54" s="434"/>
      <s:c r="FW54" s="434"/>
      <s:c r="FX54" s="434"/>
      <s:c r="FY54" s="434"/>
      <s:c r="FZ54" s="434"/>
      <s:c r="GA54" s="434"/>
      <s:c r="GB54" s="434"/>
      <s:c r="GC54" s="434"/>
      <s:c r="GD54" s="434"/>
      <s:c r="GE54" s="434"/>
      <s:c r="GF54" s="434"/>
      <s:c r="GG54" s="434"/>
      <s:c r="GH54" s="434"/>
      <s:c r="GI54" s="434"/>
      <s:c r="GJ54" s="434"/>
      <s:c r="GK54" s="434"/>
      <s:c r="GL54" s="434"/>
      <s:c r="GM54" s="434"/>
      <s:c r="GN54" s="434"/>
      <s:c r="GO54" s="434"/>
      <s:c r="GP54" s="434"/>
      <s:c r="GQ54" s="434"/>
      <s:c r="GR54" s="434"/>
      <s:c r="GS54" s="434"/>
      <s:c r="GT54" s="434"/>
      <s:c r="GU54" s="434"/>
      <s:c r="GV54" s="434"/>
      <s:c r="GW54" s="434"/>
      <s:c r="GX54" s="434"/>
      <s:c r="GY54" s="434"/>
      <s:c r="GZ54" s="434"/>
      <s:c r="HA54" s="434"/>
      <s:c r="HB54" s="434"/>
      <s:c r="HC54" s="434"/>
      <s:c r="HD54" s="434"/>
      <s:c r="HE54" s="434"/>
      <s:c r="HF54" s="434"/>
      <s:c r="HG54" s="434"/>
      <s:c r="HH54" s="434"/>
      <s:c r="HI54" s="434"/>
      <s:c r="HJ54" s="434"/>
      <s:c r="HK54" s="434"/>
      <s:c r="HL54" s="434"/>
      <s:c r="HM54" s="434"/>
      <s:c r="HN54" s="434"/>
      <s:c r="HO54" s="434"/>
      <s:c r="HP54" s="434"/>
      <s:c r="HQ54" s="434"/>
      <s:c r="HR54" s="434"/>
      <s:c r="HS54" s="434"/>
      <s:c r="HT54" s="434"/>
      <s:c r="HU54" s="434"/>
      <s:c r="HV54" s="434"/>
      <s:c r="HW54" s="434"/>
      <s:c r="HX54" s="434"/>
      <s:c r="HY54" s="434"/>
      <s:c r="HZ54" s="434"/>
      <s:c r="IA54" s="434"/>
      <s:c r="IB54" s="434"/>
      <s:c r="IC54" s="434"/>
      <s:c r="ID54" s="434"/>
      <s:c r="IE54" s="434"/>
      <s:c r="IF54" s="434"/>
      <s:c r="IG54" s="434"/>
      <s:c r="IH54" s="434"/>
      <s:c r="II54" s="434"/>
      <s:c r="IJ54" s="434"/>
      <s:c r="IK54" s="434"/>
      <s:c r="IL54" s="434"/>
      <s:c r="IM54" s="434"/>
      <s:c r="IN54" s="434"/>
      <s:c r="IO54" s="434"/>
      <s:c r="IP54" s="434"/>
      <s:c r="IQ54" s="434"/>
      <s:c r="IR54" s="434"/>
      <s:c r="IS54" s="434"/>
      <s:c r="IT54" s="434"/>
      <s:c r="IU54" s="434"/>
      <s:c r="IV54" s="434"/>
      <s:c r="IW54" s="434"/>
    </s:row>
    <s:row r="55" spans="1:257" ht="15" customHeight="1" thickBot="1">
      <s:c r="A55" s="530"/>
      <s:c r="B55" s="531"/>
      <s:c r="C55" s="532"/>
      <s:c r="D55" s="555"/>
      <s:c r="E55" s="419"/>
      <s:c r="F55" s="419" t="str">
        <s:f>IF(AND(E55&lt;&gt;"",E55&lt;&gt;0),D55/E55,"")</s:f>
        <s:v/>
      </s:c>
      <s:c r="G55" s="419"/>
      <s:c r="H55" s="419" t="str">
        <s:f>IF(AND(G55&lt;&gt;"",G55&lt;&gt;0),D55/G55,"")</s:f>
        <s:v/>
      </s:c>
      <s:c r="I55" s="419"/>
      <s:c r="J55" s="533" t="str">
        <s:f>IF(AND(G55&lt;&gt;"",G55&lt;&gt;0),E55/G55,"")</s:f>
        <s:v/>
      </s:c>
      <s:c r="K55" s="534"/>
      <s:c r="L55" s="419"/>
      <s:c r="M55" s="419"/>
      <s:c r="N55" s="419"/>
      <s:c r="O55" s="419"/>
      <s:c r="P55" s="419"/>
      <s:c r="Q55" s="419"/>
      <s:c r="R55" s="535"/>
      <s:c r="S55" s="536" t="str">
        <s:f>IF(AND(I55&lt;&gt;"",I55&lt;&gt;0),G55/I55,"")</s:f>
        <s:v/>
      </s:c>
      <s:c r="T55" s="537" t="e">
        <s:f>D55/U55</s:f>
        <s:v>#DIV/0!</s:v>
      </s:c>
      <s:c r="U55" s="538">
        <s:f>$I$8*AA55*AB55/SUMPRODUCT($AB$25:$AB$55,$AA$25:$AA$55)</s:f>
        <s:v>0</s:v>
      </s:c>
      <s:c r="V55" s="539">
        <s:f>$I$9*AA55*AB55/SUMPRODUCT($AB$25:$AB$55,$AA$25:$AA$55)</s:f>
        <s:v>0</s:v>
      </s:c>
      <s:c r="W55" s="539">
        <s:f>IF($I$12="","",V55/$I$12)</s:f>
        <s:v>0</s:v>
      </s:c>
      <s:c r="X55" s="540" t="str">
        <s:f>IF(AB55&lt;&gt;"",IF(D55&lt;&gt;"",D55,($I$8-SUM($X$25:X54))*AA55*AB55/SUMPRODUCT($AB55:$AB$55,$AA55:$AA$55)),"")</s:f>
        <s:v/>
      </s:c>
      <s:c r="Y55" s="539" t="str">
        <s:f>IF(AB55&lt;&gt;"",IF(E55&lt;&gt;"",E55,($I$9-SUM($Y$25:Y54))*AA55*AB55/SUMPRODUCT($AB55:$AB$55,$AA55:$AA$55)),"")</s:f>
        <s:v/>
      </s:c>
      <s:c r="Z55" s="539" t="str">
        <s:f>IF(AB55&lt;&gt;"",IF(E55&lt;&gt;"",E55,($I$9-SUM($Y$25:Y54))*AA55*AB55/SUMPRODUCT($AB55:$AB$55,$AA55:$AA$55)),"")</s:f>
        <s:v/>
      </s:c>
      <s:c r="AA55" s="541"/>
      <s:c r="AB55" s="542"/>
      <s:c r="AC55" s="91"/>
      <s:c r="AD55" s="92"/>
    </s:row>
    <s:row r="56" spans="1:257" ht="15" customHeight="1" thickBot="1">
      <s:c r="A56" s="543"/>
      <s:c r="B56" s="630" t="s">
        <s:v>61</s:v>
      </s:c>
      <s:c r="C56" s="631"/>
      <s:c r="D56" s="544">
        <s:f>SUM(D25:D55)</s:f>
        <s:v>1760211</s:v>
      </s:c>
      <s:c r="E56" s="545">
        <s:f>SUM(E25:E55)</s:f>
        <s:v>230</s:v>
      </s:c>
      <s:c r="F56" s="545">
        <s:f>IF(AND(E56&lt;&gt;"", E56&lt;&gt;0), D56/E56, "")</s:f>
        <s:v>7653.0913043478258</s:v>
      </s:c>
      <s:c r="G56" s="545">
        <s:f>SUM(G25:G55)</s:f>
        <s:v>133</s:v>
      </s:c>
      <s:c r="H56" s="545">
        <s:f>IF(AND(G56&lt;&gt;"",G56&lt;&gt;0),D56/G56,"")</s:f>
        <s:v>13234.66917293233</s:v>
      </s:c>
      <s:c r="I56" s="545">
        <s:f>SUM(I25:I55)*0.9</s:f>
        <s:v>1591.2</s:v>
      </s:c>
      <s:c r="J56" s="546">
        <s:f>E56/G56</s:f>
        <s:v>1.72932330827067</s:v>
      </s:c>
      <s:c r="K56" s="547">
        <s:f>SUM(K25:K55)</s:f>
        <s:v>224427</s:v>
      </s:c>
      <s:c r="L56" s="545">
        <s:f>SUM(L25:L55)</s:f>
        <s:v>239933</s:v>
      </s:c>
      <s:c r="M56" s="545">
        <s:f>SUM(M25:M55)</s:f>
        <s:v>12893</s:v>
      </s:c>
      <s:c r="N56" s="545">
        <s:f>SUM(N25:N55)</s:f>
        <s:v>68112</s:v>
      </s:c>
      <s:c r="O56" s="545">
        <s:f>SUM(O25:O55)</s:f>
        <s:v>87458</s:v>
      </s:c>
      <s:c r="P56" s="545">
        <s:f>SUM(P25:P55)</s:f>
        <s:v>82175</s:v>
      </s:c>
      <s:c r="Q56" s="545">
        <s:f>SUM(Q25:Q55)</s:f>
        <s:v>176589</s:v>
      </s:c>
      <s:c r="R56" s="548">
        <s:f>SUM(R25:R55)</s:f>
        <s:v>102140</s:v>
      </s:c>
      <s:c r="S56" s="549">
        <s:f>IF(AND(I56&lt;&gt;"", I56&lt;&gt;0), G56/I56, "")</s:f>
        <s:v>8.3584715937657095E-2</s:v>
      </s:c>
      <s:c r="T56" s="550">
        <s:f>D56/U56</s:f>
        <s:v>0.71583392626558118</s:v>
      </s:c>
      <s:c r="U56" s="551">
        <s:f>SUM(U25:U55)</s:f>
        <s:v>2458965.5999999992</s:v>
      </s:c>
      <s:c r="V56" s="552">
        <s:f>SUM(V25:V55)</s:f>
        <s:v>353.80800000000005</s:v>
      </s:c>
      <s:c r="W56" s="552">
        <s:f>SUM(W25:W55)</s:f>
        <s:v>194.39999999999998</s:v>
      </s:c>
      <s:c r="X56" s="552">
        <s:f>SUM(X25:X55)</s:f>
        <s:v>1760211</s:v>
      </s:c>
      <s:c r="Y56" s="552">
        <s:f>SUM(Y25:Y55)</s:f>
        <s:v>230</s:v>
      </s:c>
      <s:c r="Z56" s="552">
        <s:f>SUM(Z25:Z55)</s:f>
        <s:v>223</s:v>
      </s:c>
      <s:c r="AA56" s="553"/>
      <s:c r="AB56" s="554"/>
    </s:row>
    <s:row r="57">
      <s:c r="A57" s="96"/>
      <s:c r="B57" s="97"/>
      <s:c r="C57" s="98"/>
      <s:c r="D57" s="99">
        <s:f>SUMIF(D25:D55,"",U25:U55)+D56</s:f>
        <s:v>1760211</s:v>
      </s:c>
      <s:c r="E57" s="100"/>
      <s:c r="F57" s="98"/>
      <s:c r="G57" s="98"/>
      <s:c r="H57" s="101"/>
      <s:c r="I57" s="102">
        <s:f>I56/J14</s:f>
        <s:v>53.04</s:v>
      </s:c>
      <s:c r="J57" s="101"/>
      <s:c r="K57" s="3"/>
      <s:c r="L57" s="103"/>
      <s:c r="M57" s="100"/>
      <s:c r="N57" s="100"/>
      <s:c r="O57" s="100"/>
      <s:c r="P57" s="104"/>
      <s:c r="S57" s="105"/>
      <s:c r="T57" s="3"/>
      <s:c r="V57" s="3"/>
      <s:c r="W57" s="3"/>
      <s:c r="X57" s="3"/>
      <s:c r="Y57" s="3"/>
    </s:row>
    <s:row r="58">
      <s:c r="A58" s="96"/>
      <s:c r="B58" s="3"/>
      <s:c r="C58" s="106"/>
      <s:c r="D58" s="106">
        <s:f>Рогалевич!D56+Самошкина!D57+Уразгильдеева!D57</s:f>
        <s:v>1760211</s:v>
      </s:c>
      <s:c r="E58" s="107">
        <s:f>Рогалевич!E56+Уразгильдеева!E57+Самошкина!E57</s:f>
        <s:v>230</s:v>
      </s:c>
      <s:c r="F58" s="3"/>
      <s:c r="G58" s="108">
        <s:f>Рогалевич!G56+Уразгильдеева!G57+Самошкина!G57</s:f>
        <s:v>132</s:v>
      </s:c>
      <s:c r="H58" s="3"/>
      <s:c r="I58" s="109">
        <s:f>Рогалевич!I56+Уразгильдеева!I57+Самошкина!I57</s:f>
        <s:v>1674</s:v>
      </s:c>
      <s:c r="J58" s="110"/>
      <s:c r="K58" s="111">
        <s:f>Рогалевич!K56+Уразгильдеева!K57+Самошкина!K57</s:f>
        <s:v>224427</s:v>
      </s:c>
      <s:c r="L58" s="108">
        <s:f>Рогалевич!L56+Уразгильдеева!L57</s:f>
        <s:v>239933</s:v>
      </s:c>
      <s:c r="M58" s="108">
        <s:f>Рогалевич!M56+Уразгильдеева!M57</s:f>
        <s:v>12893</s:v>
      </s:c>
      <s:c r="N58" s="111">
        <s:f>Рогалевич!N56+Уразгильдеева!N57+Самошкина!N57</s:f>
        <s:v>68112</s:v>
      </s:c>
      <s:c r="O58" s="108">
        <s:f>Уразгильдеева!O57+Рогалевич!O56</s:f>
        <s:v>87458</s:v>
      </s:c>
      <s:c r="P58" s="111">
        <s:f>Рогалевич!P56+Уразгильдеева!P57+Самошкина!P57</s:f>
        <s:v>82175</s:v>
      </s:c>
      <s:c r="Q58" s="111">
        <s:f>Рогалевич!Q56+Уразгильдеева!Q57+Самошкина!Q57</s:f>
        <s:v>176589</s:v>
      </s:c>
      <s:c r="R58" s="111">
        <s:f>Рогалевич!R56+Уразгильдеева!R57+Самошкина!R57</s:f>
        <s:v>102139.58</s:v>
      </s:c>
      <s:c r="S58" s="3"/>
      <s:c r="T58" s="3"/>
      <s:c r="V58" s="3"/>
      <s:c r="W58" s="3"/>
      <s:c r="X58" s="3"/>
      <s:c r="Y58" s="3"/>
    </s:row>
    <s:row r="59">
      <s:c r="D59" s="104"/>
      <s:c r="F59" s="112"/>
    </s:row>
    <s:row r="60">
      <s:c r="D60" s="113"/>
      <s:c r="G60" s="114"/>
      <s:c r="M60" s="104"/>
      <s:c r="N60" s="104"/>
      <s:c r="O60" s="104"/>
    </s:row>
    <s:row r="61">
      <s:c r="D61" s="113"/>
    </s:row>
    <s:row r="62">
      <s:c r="M62" s="104"/>
      <s:c r="N62" s="104"/>
      <s:c r="O62" s="104"/>
    </s:row>
    <s:row r="64">
      <s:c r="F64" s="632"/>
    </s:row>
    <s:row r="65">
      <s:c r="F65" s="632"/>
    </s:row>
    <s:row r="68">
      <s:c r="D68" s="115"/>
    </s:row>
  </s:sheetData>
  <s:mergeCells count="27">
    <s:mergeCell ref="B56:C56"/>
    <s:mergeCell ref="F64:F65"/>
    <s:mergeCell ref="F19:H19"/>
    <s:mergeCell ref="A22:S22"/>
    <s:mergeCell ref="A23:A24"/>
    <s:mergeCell ref="F14:H14"/>
    <s:mergeCell ref="F15:H15"/>
    <s:mergeCell ref="F16:H16"/>
    <s:mergeCell ref="F17:H17"/>
    <s:mergeCell ref="U22:AB22"/>
    <s:mergeCell ref="T22:T24"/>
    <s:mergeCell ref="F9:H9"/>
    <s:mergeCell ref="F10:H10"/>
    <s:mergeCell ref="F11:H11"/>
    <s:mergeCell ref="F12:H12"/>
    <s:mergeCell ref="F13:H13"/>
    <s:mergeCell ref="J5:P5"/>
    <s:mergeCell ref="F6:Q6"/>
    <s:mergeCell ref="F7:H7"/>
    <s:mergeCell ref="P7:Q7"/>
    <s:mergeCell ref="F8:H8"/>
    <s:mergeCell ref="B1:C1"/>
    <s:mergeCell ref="S1:V4"/>
    <s:mergeCell ref="B2:C2"/>
    <s:mergeCell ref="J2:R2"/>
    <s:mergeCell ref="C4:D4"/>
    <s:mergeCell ref="I3:O4"/>
  </s:mergeCells>
  <s:phoneticPr fontId="55" type="noConversion"/>
  <s:conditionalFormatting sqref="D58">
    <s:cfRule type="cellIs" dxfId="244" priority="25" operator="equal">
      <s:formula>$D$56</s:formula>
    </s:cfRule>
    <s:cfRule type="cellIs" dxfId="243" priority="24" operator="notEqual">
      <s:formula>$D$56</s:formula>
    </s:cfRule>
  </s:conditionalFormatting>
  <s:conditionalFormatting sqref="G58">
    <s:cfRule type="cellIs" dxfId="242" priority="10" operator="notEqual">
      <s:formula>$G$56</s:formula>
    </s:cfRule>
  </s:conditionalFormatting>
  <s:conditionalFormatting sqref="J16">
    <s:cfRule type="cellIs" dxfId="241" priority="27" operator="greaterThan">
      <s:formula>0</s:formula>
    </s:cfRule>
    <s:cfRule type="cellIs" dxfId="240" priority="26" operator="lessThan">
      <s:formula>0</s:formula>
    </s:cfRule>
  </s:conditionalFormatting>
  <s:conditionalFormatting sqref="J25:J55">
    <s:cfRule type="cellIs" dxfId="239" priority="20" operator="lessThan">
      <s:formula>$I$12</s:formula>
    </s:cfRule>
    <s:cfRule type="cellIs" dxfId="238" priority="21" operator="greaterThan">
      <s:formula>$I$12</s:formula>
    </s:cfRule>
  </s:conditionalFormatting>
  <s:conditionalFormatting sqref="J27">
    <s:cfRule type="cellIs" dxfId="237" priority="31" operator="lessThan">
      <s:formula>$I$12</s:formula>
    </s:cfRule>
  </s:conditionalFormatting>
  <s:conditionalFormatting sqref="K8">
    <s:cfRule type="cellIs" dxfId="236" priority="6" operator="greaterThan">
      <s:formula>$K$17</s:formula>
    </s:cfRule>
    <s:cfRule type="cellIs" dxfId="235" priority="7" operator="lessThan">
      <s:formula>$K$17</s:formula>
    </s:cfRule>
  </s:conditionalFormatting>
  <s:conditionalFormatting sqref="K10:K12 K15">
    <s:cfRule type="cellIs" dxfId="234" priority="29" operator="greaterThan">
      <s:formula>1</s:formula>
    </s:cfRule>
    <s:cfRule type="cellIs" dxfId="233" priority="28" operator="lessThan">
      <s:formula>1</s:formula>
    </s:cfRule>
  </s:conditionalFormatting>
  <s:conditionalFormatting sqref="K58">
    <s:cfRule type="cellIs" dxfId="232" priority="11" operator="equal">
      <s:formula>$K$56</s:formula>
    </s:cfRule>
  </s:conditionalFormatting>
  <s:conditionalFormatting sqref="L58">
    <s:cfRule type="cellIs" dxfId="231" priority="12" operator="equal">
      <s:formula>$L$56</s:formula>
    </s:cfRule>
    <s:cfRule type="cellIs" dxfId="230" priority="13" operator="notEqual">
      <s:formula>$L$56</s:formula>
    </s:cfRule>
  </s:conditionalFormatting>
  <s:conditionalFormatting sqref="M8:M15">
    <s:cfRule type="cellIs" dxfId="229" priority="23" operator="greaterThan">
      <s:formula>1</s:formula>
    </s:cfRule>
    <s:cfRule type="cellIs" dxfId="228" priority="22" operator="lessThan">
      <s:formula>1</s:formula>
    </s:cfRule>
  </s:conditionalFormatting>
  <s:conditionalFormatting sqref="M58 O58:P58 R58">
    <s:cfRule type="cellIs" dxfId="227" priority="5" operator="equal">
      <s:formula>$M$56</s:formula>
    </s:cfRule>
  </s:conditionalFormatting>
  <s:conditionalFormatting sqref="N58">
    <s:cfRule type="cellIs" dxfId="226" priority="4" operator="equal">
      <s:formula>$K$56</s:formula>
    </s:cfRule>
  </s:conditionalFormatting>
  <s:conditionalFormatting sqref="P10:Q10">
    <s:cfRule type="cellIs" dxfId="225" priority="30" operator="lessThan">
      <s:formula>0</s:formula>
    </s:cfRule>
  </s:conditionalFormatting>
  <s:conditionalFormatting sqref="P58:Q58">
    <s:cfRule type="cellIs" dxfId="224" priority="1" operator="equal">
      <s:formula>$K$56</s:formula>
    </s:cfRule>
  </s:conditionalFormatting>
  <s:conditionalFormatting sqref="S25:S55">
    <s:cfRule type="cellIs" dxfId="223" priority="9" operator="greaterThan">
      <s:formula>$I$20</s:formula>
    </s:cfRule>
    <s:cfRule type="cellIs" dxfId="222" priority="8" operator="lessThan">
      <s:formula>$I$20</s:formula>
    </s:cfRule>
  </s:conditionalFormatting>
  <s:conditionalFormatting sqref="T25:T55">
    <s:cfRule type="cellIs" dxfId="221" priority="19" operator="between">
      <s:formula>0.01</s:formula>
      <s:formula>0.99</s:formula>
    </s:cfRule>
    <s:cfRule type="cellIs" dxfId="220" priority="18" operator="between">
      <s:formula>0.85</s:formula>
      <s:formula>1</s:formula>
    </s:cfRule>
    <s:cfRule type="cellIs" dxfId="219" priority="17" operator="greaterThan">
      <s:formula>100</s:formula>
    </s:cfRule>
    <s:cfRule type="cellIs" dxfId="218" priority="16" operator="greaterThan">
      <s:formula>1</s:formula>
    </s:cfRule>
    <s:cfRule type="cellIs" dxfId="217" priority="15" operator="lessThan">
      <s:formula>0.9</s:formula>
    </s:cfRule>
    <s:cfRule type="cellIs" dxfId="216" priority="14" operator="between">
      <s:formula>0.9001</s:formula>
      <s:formula>0.9999</s:formula>
    </s:cfRule>
  </s:conditionalFormatting>
  <s:conditionalFormatting sqref="V16">
    <s:cfRule type="cellIs" dxfId="215" priority="33" operator="greaterThan">
      <s:formula>0</s:formula>
    </s:cfRule>
    <s:cfRule type="cellIs" dxfId="214" priority="34" operator="lessThan">
      <s:formula>0</s:formula>
    </s:cfRule>
  </s:conditionalFormatting>
  <s:conditionalFormatting sqref="Z58">
    <s:cfRule type="cellIs" dxfId="213" priority="35" operator="equal">
      <s:formula>$K$56</s:formula>
    </s:cfRule>
  </s:conditionalFormatting>
  <s:conditionalFormatting sqref="AE10:AF10">
    <s:cfRule type="cellIs" dxfId="212" priority="32" operator="lessThan">
      <s:formula>0</s:formula>
    </s:cfRule>
  </s:conditionalFormatting>
  <s:conditionalFormatting sqref="AK13">
    <s:cfRule type="cellIs" dxfId="211" priority="36" operator="greaterThan">
      <s:formula>0.95</s:formula>
    </s:cfRule>
    <s:cfRule type="cellIs" dxfId="210" priority="37" operator="lessThan">
      <s:formula>0.9</s:formula>
    </s:cfRule>
    <s:cfRule type="cellIs" dxfId="209" priority="38" operator="between">
      <s:formula>0.9</s:formula>
      <s:formula>0.95</s:formula>
    </s:cfRule>
  </s:conditionalFormatting>
  <s:conditionalFormatting sqref="AK19">
    <s:cfRule type="cellIs" dxfId="208" priority="39" operator="greaterThan">
      <s:formula>0.95</s:formula>
    </s:cfRule>
    <s:cfRule type="cellIs" dxfId="207" priority="40" operator="lessThan">
      <s:formula>0.9</s:formula>
    </s:cfRule>
    <s:cfRule type="cellIs" dxfId="206" priority="41" operator="between">
      <s:formula>0.9</s:formula>
      <s:formula>0.95</s:formula>
    </s:cfRule>
  </s:conditionalFormatting>
  <s:conditionalFormatting sqref="AN13">
    <s:cfRule type="cellIs" dxfId="205" priority="42" operator="greaterThan">
      <s:formula>"100;"</s:formula>
    </s:cfRule>
    <s:cfRule type="cellIs" dxfId="204" priority="43" operator="greaterThan">
      <s:formula>1</s:formula>
    </s:cfRule>
    <s:cfRule type="cellIs" dxfId="203" priority="44" operator="lessThan">
      <s:formula>1</s:formula>
    </s:cfRule>
    <s:cfRule type="cellIs" dxfId="202" priority="45" operator="greaterThan">
      <s:formula>0.95</s:formula>
    </s:cfRule>
    <s:cfRule type="cellIs" dxfId="201" priority="46" operator="lessThan">
      <s:formula>0.9</s:formula>
    </s:cfRule>
    <s:cfRule type="cellIs" dxfId="200" priority="47" operator="between">
      <s:formula>0.9</s:formula>
      <s:formula>0.95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2.xml><?xml version="1.0" encoding="utf-8"?>
<s:worksheet xmlns:mc="http://schemas.openxmlformats.org/markup-compatibility/2006" xmlns:xr3="http://schemas.microsoft.com/office/spreadsheetml/2016/revision3" xmlns:s="http://schemas.openxmlformats.org/spreadsheetml/2006/main"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mc:Ignorable="x14ac xr xr2 xr3" xr:uid="{00000000-0001-0000-0200-000000000000}">
  <s:dimension ref="A1:O15"/>
  <s:sheetViews>
    <s:sheetView tabSelected="0" zoomScaleNormal="100" workbookViewId="0">
      <s:selection sqref="A1:O16"/>
    </s:sheetView>
  </s:sheetViews>
  <s:sheetFormatPr baseColWidth="10" defaultColWidth="10" defaultRowHeight="15"/>
  <s:cols>
    <s:col min="15" max="15" width="12" customWidth="1"/>
  </s:cols>
  <s:sheetData>
    <s:row r="1" spans="1:15" ht="22" customHeight="1" thickBot="1">
      <s:c r="A1" s="648"/>
      <s:c r="B1" s="649"/>
      <s:c r="C1" s="649"/>
      <s:c r="D1" s="649"/>
      <s:c r="E1" s="649"/>
      <s:c r="F1" s="649"/>
      <s:c r="G1" s="649"/>
      <s:c r="H1" s="649"/>
      <s:c r="I1" s="649"/>
      <s:c r="J1" s="649"/>
      <s:c r="K1" s="649"/>
      <s:c r="L1" s="649"/>
      <s:c r="M1" s="649"/>
      <s:c r="N1" s="649"/>
      <s:c r="O1" s="650"/>
    </s:row>
    <s:row r="2" spans="1:15" ht="20" customHeight="1">
      <s:c r="A2" s="644" t="s">
        <s:v>3</s:v>
      </s:c>
      <s:c r="B2" s="645"/>
      <s:c r="C2" s="645"/>
      <s:c r="D2" s="673" t="str">
        <s:f>'Ялта, Ленина, 18'!I3</s:f>
        <s:v>ул. Набережная Ленина, 18</s:v>
      </s:c>
      <s:c r="E2" s="674"/>
      <s:c r="F2" s="674"/>
      <s:c r="G2" s="651" t="str">
        <s:f>График!B28</s:f>
        <s:v>Рогалевич Ирина</s:v>
      </s:c>
      <s:c r="H2" s="652"/>
      <s:c r="I2" s="653"/>
      <s:c r="J2" s="654" t="str">
        <s:f>График!B27</s:f>
        <s:v>Уразгильдеева Екатерина</s:v>
      </s:c>
      <s:c r="K2" s="655"/>
      <s:c r="L2" s="656"/>
      <s:c r="M2" s="654" t="str">
        <s:f>График!B26</s:f>
        <s:v>Самошкина Алина</s:v>
      </s:c>
      <s:c r="N2" s="655"/>
      <s:c r="O2" s="656"/>
    </s:row>
    <s:row r="3" spans="1:15" ht="21" customHeight="1" thickBot="1">
      <s:c r="A3" s="646"/>
      <s:c r="B3" s="647"/>
      <s:c r="C3" s="647"/>
      <s:c r="D3" s="657" t="s">
        <s:v>69</s:v>
      </s:c>
      <s:c r="E3" s="658"/>
      <s:c r="F3" s="466" t="s">
        <s:v>70</s:v>
      </s:c>
      <s:c r="G3" s="659" t="s">
        <s:v>5</s:v>
      </s:c>
      <s:c r="H3" s="660"/>
      <s:c r="I3" s="467" t="s">
        <s:v>70</s:v>
      </s:c>
      <s:c r="J3" s="661" t="s">
        <s:v>5</s:v>
      </s:c>
      <s:c r="K3" s="662"/>
      <s:c r="L3" s="468" t="s">
        <s:v>70</s:v>
      </s:c>
      <s:c r="M3" s="661" t="s">
        <s:v>5</s:v>
      </s:c>
      <s:c r="N3" s="662"/>
      <s:c r="O3" s="469" t="s">
        <s:v>70</s:v>
      </s:c>
    </s:row>
    <s:row r="4" spans="1:15">
      <s:c r="A4" s="618" t="s">
        <s:v>12</s:v>
      </s:c>
      <s:c r="B4" s="618"/>
      <s:c r="C4" s="642"/>
      <s:c r="D4" s="148">
        <s:f>'Ялта, Ленина, 18'!K8</s:f>
        <s:v>0.71583392626558096</s:v>
      </s:c>
      <s:c r="E4" s="149">
        <s:f>'Ялта, Ленина, 18'!J8</s:f>
        <s:v>1760211</s:v>
      </s:c>
      <s:c r="F4" s="153">
        <s:f>'Ялта, Ленина, 18'!M8</s:f>
        <s:v>0.71583392626558118</s:v>
      </s:c>
      <s:c r="G4" s="154">
        <s:f>Рогалевич!N8</s:f>
        <s:v>0.87196753480967515</s:v>
      </s:c>
      <s:c r="H4" s="152">
        <s:f>Рогалевич!M8</s:f>
        <s:v>792102</s:v>
      </s:c>
      <s:c r="I4" s="150">
        <s:f>Рогалевич!P8</s:f>
        <s:v>0.87196753480967482</s:v>
      </s:c>
      <s:c r="J4" s="151">
        <s:f>Уразгильдеева!N8</s:f>
        <s:v>0.71554040221211934</s:v>
      </s:c>
      <s:c r="K4" s="152">
        <s:f>Уразгильдеева!M8</s:f>
        <s:v>780750</s:v>
      </s:c>
      <s:c r="L4" s="457">
        <s:f>Уразгильдеева!P8</s:f>
        <s:v>0.71554040221211845</s:v>
      </s:c>
      <s:c r="M4" s="154">
        <s:f>Самошкина!N8</s:f>
        <s:v>0.40781231990764299</s:v>
      </s:c>
      <s:c r="N4" s="152">
        <s:f>Самошкина!M8</s:f>
        <s:v>187359</s:v>
      </s:c>
      <s:c r="O4" s="155">
        <s:f>Самошкина!P8</s:f>
        <s:v>0.81562463981528699</s:v>
      </s:c>
    </s:row>
    <s:row r="5" spans="1:15">
      <s:c r="A5" s="621" t="s">
        <s:v>13</s:v>
      </s:c>
      <s:c r="B5" s="621"/>
      <s:c r="C5" s="643"/>
      <s:c r="D5" s="156">
        <s:f>'Ялта, Ленина, 18'!K9</s:f>
        <s:v>0.65007009451453901</s:v>
      </s:c>
      <s:c r="E5" s="157">
        <s:f>'Ялта, Ленина, 18'!J9</s:f>
        <s:v>230</s:v>
      </s:c>
      <s:c r="F5" s="161">
        <s:f>'Ялта, Ленина, 18'!M9</s:f>
        <s:v>0.65007009451453801</s:v>
      </s:c>
      <s:c r="G5" s="162">
        <s:f>Рогалевич!N9</s:f>
        <s:v>0.68856749891232605</s:v>
      </s:c>
      <s:c r="H5" s="163">
        <s:f>Рогалевич!M9</s:f>
        <s:v>90</s:v>
      </s:c>
      <s:c r="I5" s="158">
        <s:f>Рогалевич!P9</s:f>
        <s:v>0.68856749891232605</s:v>
      </s:c>
      <s:c r="J5" s="159">
        <s:f>Уразгильдеева!N9</s:f>
        <s:v>0.68153905873204101</s:v>
      </s:c>
      <s:c r="K5" s="163">
        <s:f>Уразгильдеева!M9</s:f>
        <s:v>107</s:v>
      </s:c>
      <s:c r="L5" s="458">
        <s:f>Уразгильдеева!P9</s:f>
        <s:v>0.68153905873204101</s:v>
      </s:c>
      <s:c r="M5" s="162">
        <s:f>Самошкина!N9</s:f>
        <s:v>0.49921143671143597</s:v>
      </s:c>
      <s:c r="N5" s="163">
        <s:f>Самошкина!M9</s:f>
        <s:v>33</s:v>
      </s:c>
      <s:c r="O5" s="164">
        <s:f>Самошкина!P9</s:f>
        <s:v>0.99842287342287295</s:v>
      </s:c>
    </s:row>
    <s:row r="6" spans="1:15">
      <s:c r="A6" s="618" t="s">
        <s:v>14</s:v>
      </s:c>
      <s:c r="B6" s="618"/>
      <s:c r="C6" s="642"/>
      <s:c r="D6" s="156">
        <s:f>'Ялта, Ленина, 18'!K10</s:f>
        <s:v>1.046301618541571</s:v>
      </s:c>
      <s:c r="E6" s="165">
        <s:f>'Ялта, Ленина, 18'!J10</s:f>
        <s:v>13234.66917293233</s:v>
      </s:c>
      <s:c r="F6" s="161">
        <s:f>'Ялта, Ленина, 18'!M10</s:f>
        <s:v>1.046301618541571</s:v>
      </s:c>
      <s:c r="G6" s="162">
        <s:f>Рогалевич!N10</s:f>
        <s:v>1.204263638962034</s:v>
      </s:c>
      <s:c r="H6" s="166">
        <s:f>Рогалевич!M10</s:f>
        <s:v>15232.73076923077</s:v>
      </s:c>
      <s:c r="I6" s="158">
        <s:f>Рогалевич!P10</s:f>
        <s:v>1.204263638962034</s:v>
      </s:c>
      <s:c r="J6" s="159">
        <s:f>Уразгильдеева!N10</s:f>
        <s:v>0.97974995200072279</s:v>
      </s:c>
      <s:c r="K6" s="166">
        <s:f>Уразгильдеева!M10</s:f>
        <s:v>12392.857142857143</s:v>
      </s:c>
      <s:c r="L6" s="458">
        <s:f>Уразгильдеева!P10</s:f>
        <s:v>0.97974995200072279</s:v>
      </s:c>
      <s:c r="M6" s="162">
        <s:f>Самошкина!N10</s:f>
        <s:v>0.87130347435044797</s:v>
      </s:c>
      <s:c r="N6" s="166">
        <s:f>Самошкина!M10</s:f>
        <s:v>11021.1176470588</s:v>
      </s:c>
      <s:c r="O6" s="164">
        <s:f>Самошкина!P10</s:f>
        <s:v>0.87130347435044797</s:v>
      </s:c>
    </s:row>
    <s:row r="7" spans="1:15">
      <s:c r="A7" s="621" t="s">
        <s:v>15</s:v>
      </s:c>
      <s:c r="B7" s="621"/>
      <s:c r="C7" s="643"/>
      <s:c r="D7" s="156">
        <s:f>'Ялта, Ленина, 18'!K11</s:f>
        <s:v>1.1011642164529245</s:v>
      </s:c>
      <s:c r="E7" s="165">
        <s:f>'Ялта, Ленина, 18'!J11</s:f>
        <s:v>7653.0913043478258</s:v>
      </s:c>
      <s:c r="F7" s="161">
        <s:f>'Ялта, Ленина, 18'!M11</s:f>
        <s:v>1.1011642164529298</s:v>
      </s:c>
      <s:c r="G7" s="162">
        <s:f>Рогалевич!N11</s:f>
        <s:v>1.2663501199040768</s:v>
      </s:c>
      <s:c r="H7" s="166">
        <s:f>Рогалевич!M11</s:f>
        <s:v>8801.1333333333332</s:v>
      </s:c>
      <s:c r="I7" s="158">
        <s:f>Рогалевич!P11</s:f>
        <s:v>1.2663501199040774</s:v>
      </s:c>
      <s:c r="J7" s="159">
        <s:f>Уразгильдеева!N11</s:f>
        <s:v>1.0498890607140456</s:v>
      </s:c>
      <s:c r="K7" s="166">
        <s:f>Уразгильдеева!M11</s:f>
        <s:v>7296.7289719626169</s:v>
      </s:c>
      <s:c r="L7" s="458">
        <s:f>Уразгильдеева!P11</s:f>
        <s:v>1.0498890607140443</s:v>
      </s:c>
      <s:c r="M7" s="162">
        <s:f>Самошкина!N11</s:f>
        <s:v>0.81691301504251101</s:v>
      </s:c>
      <s:c r="N7" s="166">
        <s:f>Самошкина!M11</s:f>
        <s:v>5677.5454545454504</s:v>
      </s:c>
      <s:c r="O7" s="164">
        <s:f>Самошкина!P11</s:f>
        <s:v>0.81691301504251101</s:v>
      </s:c>
    </s:row>
    <s:row r="8" spans="1:15">
      <s:c r="A8" s="621" t="s">
        <s:v>16</s:v>
      </s:c>
      <s:c r="B8" s="621"/>
      <s:c r="C8" s="643"/>
      <s:c r="D8" s="156">
        <s:f>'Ялта, Ленина, 18'!K12</s:f>
        <s:v>0.95017764190696496</s:v>
      </s:c>
      <s:c r="E8" s="167">
        <s:f>'Ялта, Ленина, 18'!J12</s:f>
        <s:v>1.72932330827067</s:v>
      </s:c>
      <s:c r="F8" s="161">
        <s:f>'Ялта, Ленина, 18'!M12</s:f>
        <s:v>0.95017764190696496</s:v>
      </s:c>
      <s:c r="G8" s="162">
        <s:f>Рогалевич!N12</s:f>
        <s:v>0.950972104818258</s:v>
      </s:c>
      <s:c r="H8" s="168">
        <s:f>Рогалевич!M12</s:f>
        <s:v>1.7307692307692299</s:v>
      </s:c>
      <s:c r="I8" s="158">
        <s:f>Рогалевич!P12</s:f>
        <s:v>0.950972104818258</s:v>
      </s:c>
      <s:c r="J8" s="159">
        <s:f>Уразгильдеева!N12</s:f>
        <s:v>0.93319379033664696</s:v>
      </s:c>
      <s:c r="K8" s="168">
        <s:f>Уразгильдеева!M12</s:f>
        <s:v>1.6984126984126899</s:v>
      </s:c>
      <s:c r="L8" s="458">
        <s:f>Уразгильдеева!P12</s:f>
        <s:v>0.93319379033664696</s:v>
      </s:c>
      <s:c r="M8" s="162">
        <s:f>Самошкина!N12</s:f>
        <s:v>1.06658047834518</s:v>
      </s:c>
      <s:c r="N8" s="168">
        <s:f>Самошкина!M12</s:f>
        <s:v>1.94117647058823</s:v>
      </s:c>
      <s:c r="O8" s="164">
        <s:f>Самошкина!P12</s:f>
        <s:v>1.06658047834518</s:v>
      </s:c>
    </s:row>
    <s:row r="9" spans="1:15">
      <s:c r="A9" s="621" t="s">
        <s:v>17</s:v>
      </s:c>
      <s:c r="B9" s="621"/>
      <s:c r="C9" s="643"/>
      <s:c r="D9" s="156">
        <s:f>'Ялта, Ленина, 18'!K13</s:f>
        <s:v>0.68415637860082301</s:v>
      </s:c>
      <s:c r="E9" s="157">
        <s:f>'Ялта, Ленина, 18'!J13</s:f>
        <s:v>133</s:v>
      </s:c>
      <s:c r="F9" s="161">
        <s:f>'Ялта, Ленина, 18'!M13</s:f>
        <s:v>0.68415637860082301</s:v>
      </s:c>
      <s:c r="G9" s="162">
        <s:f>Рогалевич!N13</s:f>
        <s:v>0.72406697885625004</s:v>
      </s:c>
      <s:c r="H9" s="163">
        <s:f>Рогалевич!M13</s:f>
        <s:v>52</s:v>
      </s:c>
      <s:c r="I9" s="158">
        <s:f>Рогалевич!P13</s:f>
        <s:v>0.72406697885625004</s:v>
      </s:c>
      <s:c r="J9" s="159">
        <s:f>Уразгильдеева!N13</s:f>
        <s:v>0.73032961190855905</s:v>
      </s:c>
      <s:c r="K9" s="163">
        <s:f>Уразгильдеева!M13</s:f>
        <s:v>63</s:v>
      </s:c>
      <s:c r="L9" s="458">
        <s:f>Уразгильдеева!P13</s:f>
        <s:v>0.73032961190855905</s:v>
      </s:c>
      <s:c r="M9" s="162">
        <s:f>Самошкина!N13</s:f>
        <s:v>0.46804854096520698</s:v>
      </s:c>
      <s:c r="N9" s="163">
        <s:f>Самошкина!M13</s:f>
        <s:v>17</s:v>
      </s:c>
      <s:c r="O9" s="164">
        <s:f>Самошкина!P13</s:f>
        <s:v>0.93609708193041496</s:v>
      </s:c>
    </s:row>
    <s:row r="10" spans="1:15">
      <s:c r="A10" s="621" t="s">
        <s:v>71</s:v>
      </s:c>
      <s:c r="B10" s="621"/>
      <s:c r="C10" s="643"/>
      <s:c r="D10" s="156">
        <s:f>'Ялта, Ленина, 18'!K14</s:f>
        <s:v>1</s:v>
      </s:c>
      <s:c r="E10" s="169">
        <s:f>'Ялта, Ленина, 18'!J14</s:f>
        <s:v>30</s:v>
      </s:c>
      <s:c r="F10" s="161"/>
      <s:c r="G10" s="162">
        <s:f>Рогалевич!N14</s:f>
        <s:v>1</s:v>
      </s:c>
      <s:c r="H10" s="163">
        <s:f>Рогалевич!M14</s:f>
        <s:v>19</s:v>
      </s:c>
      <s:c r="I10" s="158">
        <s:f>Рогалевич!P14</s:f>
        <s:v>1</s:v>
      </s:c>
      <s:c r="J10" s="159">
        <s:f>Уразгильдеева!N14</s:f>
        <s:v>0.95</s:v>
      </s:c>
      <s:c r="K10" s="160">
        <s:f>Уразгильдеева!M14</s:f>
        <s:v>19</s:v>
      </s:c>
      <s:c r="L10" s="458"/>
      <s:c r="M10" s="162">
        <s:f>Самошкина!N14</s:f>
        <s:v>1</s:v>
      </s:c>
      <s:c r="N10" s="163">
        <s:f>Самошкина!M14</s:f>
        <s:v>8</s:v>
      </s:c>
      <s:c r="O10" s="164">
        <s:f>Самошкина!P14</s:f>
        <s:v>1</s:v>
      </s:c>
    </s:row>
    <s:row r="11" spans="1:15">
      <s:c r="A11" s="621" t="s">
        <s:v>19</s:v>
      </s:c>
      <s:c r="B11" s="621"/>
      <s:c r="C11" s="643"/>
      <s:c r="D11" s="156">
        <s:f>'Ялта, Ленина, 18'!K15</s:f>
        <s:v>0.71583392626558084</s:v>
      </s:c>
      <s:c r="E11" s="170">
        <s:f>'Ялта, Ленина, 18'!J15</s:f>
        <s:v>58673.7</s:v>
      </s:c>
      <s:c r="F11" s="161">
        <s:f>'Ялта, Ленина, 18'!M15</s:f>
        <s:v>0.71583392626558084</s:v>
      </s:c>
      <s:c r="G11" s="162">
        <s:f>Рогалевич!N15</s:f>
        <s:v>0.50862336928221064</s:v>
      </s:c>
      <s:c r="H11" s="166">
        <s:f>Рогалевич!M15</s:f>
        <s:v>41689.57894736842</s:v>
      </s:c>
      <s:c r="I11" s="158">
        <s:f>Рогалевич!P15</s:f>
        <s:v>0.50862336928221064</s:v>
      </s:c>
      <s:c r="J11" s="159">
        <s:f>Уразгильдеева!N15</s:f>
        <s:v>0.50133403976645163</s:v>
      </s:c>
      <s:c r="K11" s="166">
        <s:f>Уразгильдеева!M15</s:f>
        <s:v>41092.105263157893</s:v>
      </s:c>
      <s:c r="L11" s="458">
        <s:f>Уразгильдеева!P15</s:f>
        <s:v>0.50133403976645163</s:v>
      </s:c>
      <s:c r="M11" s="162">
        <s:f>Самошкина!N15</s:f>
        <s:v>0.28572837700535503</s:v>
      </s:c>
      <s:c r="N11" s="166">
        <s:f>Самошкина!M15</s:f>
        <s:v>23419.875</s:v>
      </s:c>
      <s:c r="O11" s="164">
        <s:f>Самошкина!P15</s:f>
        <s:v>0.28572837700535503</s:v>
      </s:c>
    </s:row>
    <s:row r="12" spans="1:15">
      <s:c r="A12" s="643" t="s">
        <s:v>21</s:v>
      </s:c>
      <s:c r="B12" s="622"/>
      <s:c r="C12" s="623"/>
      <s:c r="D12" s="156">
        <s:f>'Ялта, Ленина, 18'!K17</s:f>
        <s:v>0.88400000000000001</s:v>
      </s:c>
      <s:c r="E12" s="169">
        <s:f>'Ялта, Ленина, 18'!J17</s:f>
        <s:v>1591.2</s:v>
      </s:c>
      <s:c r="F12" s="161">
        <s:f>'Ялта, Ленина, 18'!M17</s:f>
        <s:v>0.88400000000000001</s:v>
      </s:c>
      <s:c r="G12" s="162">
        <s:f>Рогалевич!N17</s:f>
        <s:v>0.89778735632183904</s:v>
      </s:c>
      <s:c r="H12" s="163">
        <s:f>Рогалевич!M17</s:f>
        <s:v>597</s:v>
      </s:c>
      <s:c r="I12" s="158">
        <s:f>Рогалевич!P17</s:f>
        <s:v>0.89778735632183904</s:v>
      </s:c>
      <s:c r="J12" s="159">
        <s:f>Уразгильдеева!N17</s:f>
        <s:v>1.00034290271132</s:v>
      </s:c>
      <s:c r="K12" s="160">
        <s:f>Уразгильдеева!M17</s:f>
        <s:v>799</s:v>
      </s:c>
      <s:c r="L12" s="458">
        <s:f>Уразгильдеева!P17</s:f>
        <s:v>1.0529925291698099</s:v>
      </s:c>
      <s:c r="M12" s="162">
        <s:f>Самошкина!N17</s:f>
        <s:v>0.82662878787878702</s:v>
      </s:c>
      <s:c r="N12" s="163">
        <s:f>Самошкина!M17</s:f>
        <s:v>278</s:v>
      </s:c>
      <s:c r="O12" s="164">
        <s:f>Самошкина!P17</s:f>
        <s:v>0.82662878787878702</s:v>
      </s:c>
    </s:row>
    <s:row r="13" spans="1:15">
      <s:c r="A13" s="643" t="str">
        <s:f>'Ялта, Ленина, 18'!F18</s:f>
        <s:v>Выручка на  вошедшего</s:v>
      </s:c>
      <s:c r="B13" s="622"/>
      <s:c r="C13" s="623"/>
      <s:c r="D13" s="156">
        <s:f>'Ялта, Ленина, 18'!K18</s:f>
        <s:v>0.8097668849158155</s:v>
      </s:c>
      <s:c r="E13" s="169">
        <s:f>'Ялта, Ленина, 18'!J18</s:f>
        <s:v>1106.2160633484164</s:v>
      </s:c>
      <s:c r="F13" s="161">
        <s:f>'Ялта, Ленина, 18'!M18</s:f>
        <s:v>0.8097668849158155</s:v>
      </s:c>
      <s:c r="G13" s="162">
        <s:f>Рогалевич!N18</s:f>
        <s:v>0.97124060465949769</s:v>
      </s:c>
      <s:c r="H13" s="166">
        <s:f>Рогалевич!M18</s:f>
        <s:v>1326.8040201005026</s:v>
      </s:c>
      <s:c r="I13" s="158">
        <s:f>Рогалевич!P18</s:f>
        <s:v>0.97124060465949769</s:v>
      </s:c>
      <s:c r="J13" s="159">
        <s:f>Уразгильдеева!N18</s:f>
        <s:v>0.71529512557416663</s:v>
      </s:c>
      <s:c r="K13" s="160">
        <s:f>Уразгильдеева!M18</s:f>
        <s:v>977.15894868585735</s:v>
      </s:c>
      <s:c r="L13" s="458">
        <s:f>Уразгильдеева!P18</s:f>
        <s:v>0.71529512557416663</s:v>
      </s:c>
      <s:c r="M13" s="162">
        <s:f>Самошкина!N18</s:f>
        <s:v>0.49334396029701599</s:v>
      </s:c>
      <s:c r="N13" s="166">
        <s:f>Самошкина!M18</s:f>
        <s:v>673.95323741007189</s:v>
      </s:c>
      <s:c r="O13" s="164">
        <s:f>Самошкина!P18</s:f>
        <s:v>0.49334396029701599</s:v>
      </s:c>
    </s:row>
    <s:row r="14" spans="1:15" ht="16" thickBot="1">
      <s:c r="A14" s="638" t="str">
        <s:f>'Ялта, Ленина, 18'!F20</s:f>
        <s:v>Конверсия план/факт</s:v>
      </s:c>
      <s:c r="B14" s="639"/>
      <s:c r="C14" s="640"/>
      <s:c r="D14" s="448">
        <s:f>'Ялта, Ленина, 18'!K20</s:f>
        <s:v>0.77393255497830604</s:v>
      </s:c>
      <s:c r="E14" s="463">
        <s:f>'Ялта, Ленина, 18'!J20</s:f>
        <s:v>8.3584715937657095E-2</s:v>
      </s:c>
      <s:c r="F14" s="451"/>
      <s:c r="G14" s="449">
        <s:f>Рогалевич!N20</s:f>
        <s:v>0.80650164402258195</s:v>
      </s:c>
      <s:c r="H14" s="464">
        <s:f>Рогалевич!M20</s:f>
        <s:v>8.7102177554438803E-2</s:v>
      </s:c>
      <s:c r="I14" s="455"/>
      <s:c r="J14" s="449">
        <s:f>Уразгильдеева!N20</s:f>
        <s:v>0.73007926574885196</s:v>
      </s:c>
      <s:c r="K14" s="465">
        <s:f>Уразгильдеева!M20</s:f>
        <s:v>7.8848560700875994E-2</s:v>
      </s:c>
      <s:c r="L14" s="459">
        <s:f>Уразгильдеева!T13</s:f>
        <s:v>1.3333333333333299</s:v>
      </s:c>
      <s:c r="M14" s="449">
        <s:f>Самошкина!N20</s:f>
        <s:v>0.56621369571009861</s:v>
      </s:c>
      <s:c r="N14" s="464">
        <s:f>Самошкина!M20</s:f>
        <s:v>6.1151079136690649E-2</s:v>
      </s:c>
      <s:c r="O14" s="450"/>
    </s:row>
    <s:row r="15" spans="1:15" ht="16" thickBot="1">
      <s:c r="A15" s="641" t="s">
        <s:v>136</s:v>
      </s:c>
      <s:c r="B15" s="641"/>
      <s:c r="C15" s="641"/>
      <s:c r="D15" s="663">
        <s:f>'Ялта, Ленина, 18'!R56</s:f>
        <s:v>102140</s:v>
      </s:c>
      <s:c r="E15" s="664"/>
      <s:c r="F15" s="665"/>
      <s:c r="G15" s="666">
        <s:f>Рогалевич!R56</s:f>
        <s:v>30605</s:v>
      </s:c>
      <s:c r="H15" s="667"/>
      <s:c r="I15" s="668"/>
      <s:c r="J15" s="669">
        <s:f>Уразгильдеева!R57</s:f>
        <s:v>48260.58</s:v>
      </s:c>
      <s:c r="K15" s="670"/>
      <s:c r="L15" s="671"/>
      <s:c r="M15" s="672">
        <s:f>Самошкина!R57</s:f>
        <s:v>23274</s:v>
      </s:c>
      <s:c r="N15" s="667"/>
      <s:c r="O15" s="668"/>
    </s:row>
  </s:sheetData>
  <s:mergeCells count="26">
    <s:mergeCell ref="D15:F15"/>
    <s:mergeCell ref="G15:I15"/>
    <s:mergeCell ref="J15:L15"/>
    <s:mergeCell ref="M15:O15"/>
    <s:mergeCell ref="D2:F2"/>
    <s:mergeCell ref="A2:C3"/>
    <s:mergeCell ref="A1:O1"/>
    <s:mergeCell ref="G2:I2"/>
    <s:mergeCell ref="J2:L2"/>
    <s:mergeCell ref="M2:O2"/>
    <s:mergeCell ref="D3:E3"/>
    <s:mergeCell ref="G3:H3"/>
    <s:mergeCell ref="J3:K3"/>
    <s:mergeCell ref="M3:N3"/>
    <s:mergeCell ref="A14:C14"/>
    <s:mergeCell ref="A15:C15"/>
    <s:mergeCell ref="A4:C4"/>
    <s:mergeCell ref="A5:C5"/>
    <s:mergeCell ref="A6:C6"/>
    <s:mergeCell ref="A7:C7"/>
    <s:mergeCell ref="A8:C8"/>
    <s:mergeCell ref="A9:C9"/>
    <s:mergeCell ref="A10:C10"/>
    <s:mergeCell ref="A11:C11"/>
    <s:mergeCell ref="A12:C12"/>
    <s:mergeCell ref="A13:C13"/>
  </s:mergeCells>
  <s:conditionalFormatting sqref="D4">
    <s:cfRule type="cellIs" dxfId="199" priority="27" operator="greaterThanOrEqual">
      <s:formula>$D$10</s:formula>
    </s:cfRule>
    <s:cfRule type="cellIs" dxfId="198" priority="24" operator="lessThan">
      <s:formula>$D$10</s:formula>
    </s:cfRule>
  </s:conditionalFormatting>
  <s:conditionalFormatting sqref="D6:D8 D11 D14">
    <s:cfRule type="cellIs" dxfId="197" priority="21" operator="greaterThanOrEqual">
      <s:formula>1</s:formula>
    </s:cfRule>
    <s:cfRule type="cellIs" dxfId="196" priority="20" operator="lessThan">
      <s:formula>1</s:formula>
    </s:cfRule>
  </s:conditionalFormatting>
  <s:conditionalFormatting sqref="D13 F13:G13 I13:J13 L13:M13 O13">
    <s:cfRule type="cellIs" dxfId="195" priority="8" operator="lessThan">
      <s:formula>1</s:formula>
    </s:cfRule>
    <s:cfRule type="cellIs" dxfId="194" priority="9" operator="greaterThan">
      <s:formula>1</s:formula>
    </s:cfRule>
  </s:conditionalFormatting>
  <s:conditionalFormatting sqref="D15:O15">
    <s:cfRule type="cellIs" dxfId="193" priority="10" operator="lessThan">
      <s:formula>0</s:formula>
    </s:cfRule>
  </s:conditionalFormatting>
  <s:conditionalFormatting sqref="F4:F9 I4:I12 F11">
    <s:cfRule type="cellIs" dxfId="192" priority="29" operator="greaterThan">
      <s:formula>1</s:formula>
    </s:cfRule>
    <s:cfRule type="cellIs" dxfId="191" priority="28" operator="lessThan">
      <s:formula>1</s:formula>
    </s:cfRule>
  </s:conditionalFormatting>
  <s:conditionalFormatting sqref="G4:G12 G14">
    <s:cfRule type="cellIs" dxfId="190" priority="26" operator="greaterThanOrEqual">
      <s:formula>$G$10</s:formula>
    </s:cfRule>
    <s:cfRule type="cellIs" dxfId="189" priority="23" operator="lessThan">
      <s:formula>$G$10</s:formula>
    </s:cfRule>
  </s:conditionalFormatting>
  <s:conditionalFormatting sqref="G15:O15">
    <s:cfRule type="cellIs" dxfId="188" priority="32" operator="greaterThan">
      <s:formula>0</s:formula>
    </s:cfRule>
  </s:conditionalFormatting>
  <s:conditionalFormatting sqref="J4:J5">
    <s:cfRule type="cellIs" dxfId="187" priority="25" operator="greaterThanOrEqual">
      <s:formula>$J$10</s:formula>
    </s:cfRule>
    <s:cfRule type="cellIs" dxfId="186" priority="22" operator="lessThan">
      <s:formula>$J$10</s:formula>
    </s:cfRule>
  </s:conditionalFormatting>
  <s:conditionalFormatting sqref="J6:J9 J11">
    <s:cfRule type="cellIs" dxfId="185" priority="18" operator="lessThan">
      <s:formula>1</s:formula>
    </s:cfRule>
    <s:cfRule type="cellIs" dxfId="184" priority="19" operator="greaterThanOrEqual">
      <s:formula>1</s:formula>
    </s:cfRule>
  </s:conditionalFormatting>
  <s:conditionalFormatting sqref="J14">
    <s:cfRule type="cellIs" dxfId="183" priority="5" operator="greaterThanOrEqual">
      <s:formula>$G$10</s:formula>
    </s:cfRule>
    <s:cfRule type="cellIs" dxfId="182" priority="4" operator="lessThan">
      <s:formula>$G$10</s:formula>
    </s:cfRule>
    <s:cfRule type="cellIs" dxfId="181" priority="3" operator="between">
      <s:formula>0.9</s:formula>
      <s:formula>0.9999</s:formula>
    </s:cfRule>
  </s:conditionalFormatting>
  <s:conditionalFormatting sqref="L4:L9 L11">
    <s:cfRule type="cellIs" dxfId="180" priority="30" operator="lessThan">
      <s:formula>1</s:formula>
    </s:cfRule>
    <s:cfRule type="cellIs" dxfId="179" priority="31" operator="greaterThan">
      <s:formula>1</s:formula>
    </s:cfRule>
  </s:conditionalFormatting>
  <s:conditionalFormatting sqref="M4:M5 M8:M12 M14">
    <s:cfRule type="cellIs" dxfId="178" priority="15" operator="greaterThanOrEqual">
      <s:formula>$J$10</s:formula>
    </s:cfRule>
    <s:cfRule type="cellIs" dxfId="177" priority="14" operator="lessThan">
      <s:formula>$J$10</s:formula>
    </s:cfRule>
  </s:conditionalFormatting>
  <s:conditionalFormatting sqref="M6:M7">
    <s:cfRule type="cellIs" dxfId="176" priority="7" operator="lessThan">
      <s:formula>1</s:formula>
    </s:cfRule>
    <s:cfRule type="cellIs" dxfId="175" priority="6" operator="greaterThan">
      <s:formula>1</s:formula>
    </s:cfRule>
  </s:conditionalFormatting>
  <s:conditionalFormatting sqref="M14 F4:G4 I4:J4 L4:M4 D4:D9 O4:O11 M5 F5:F9 J5:J9 L5:L9 G5:G12 I5:I12 M8:M12 D11 F11 J11 L11 D14 G14">
    <s:cfRule type="cellIs" dxfId="174" priority="11" operator="between">
      <s:formula>0.9</s:formula>
      <s:formula>0.9999</s:formula>
    </s:cfRule>
  </s:conditionalFormatting>
  <s:conditionalFormatting sqref="M14">
    <s:cfRule type="cellIs" dxfId="173" priority="2" operator="greaterThanOrEqual">
      <s:formula>$G$10</s:formula>
    </s:cfRule>
    <s:cfRule type="cellIs" dxfId="172" priority="1" operator="lessThan">
      <s:formula>$G$10</s:formula>
    </s:cfRule>
  </s:conditionalFormatting>
  <s:conditionalFormatting sqref="O4:O11">
    <s:cfRule type="cellIs" dxfId="171" priority="17" operator="greaterThan">
      <s:formula>1</s:formula>
    </s:cfRule>
    <s:cfRule type="cellIs" dxfId="170" priority="16" operator="lessThan">
      <s:formula>1</s:formula>
    </s:cfRule>
  </s:conditionalFormatting>
  <s:dataValidations count="1">
    <s:dataValidation xr:uid="{FABB4F38-5697-104A-B286-8C1BD97A95AF}" type="decimal" allowBlank="1" showErrorMessage="1" sqref="D4:F14" vyd:viewType="arrow" mc:Ignorable="vyd">
      <s:formula1>0</s:formula1>
      <s:formula2>1000000000000000</s:formula2>
    </s:dataValidation>
  </s:dataValidations>
  <s:pageMargins left="0.7" right="0.7" top="0.75" bottom="0.75" header="0.3" footer="0.3"/>
</s:worksheet>
</file>

<file path=xl/worksheets/sheet3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00000000-0001-0000-0300-000000000000}">
  <s:dimension ref="A1:B10"/>
  <s:sheetViews>
    <s:sheetView tabSelected="0" workbookViewId="0">
      <s:selection activeCell="F9" sqref="F9"/>
    </s:sheetView>
  </s:sheetViews>
  <s:sheetFormatPr baseColWidth="10" defaultColWidth="10" defaultRowHeight="15"/>
  <s:cols>
    <s:col min="1" max="1" width="25.832" customWidth="1"/>
  </s:cols>
  <s:sheetData>
    <s:row r="1" spans="1:2">
      <s:c r="A1" s="171" t="s">
        <s:v>12</s:v>
      </s:c>
      <s:c r="B1" s="172">
        <s:v>73000</s:v>
      </s:c>
    </s:row>
    <s:row r="2" spans="1:2">
      <s:c r="A2" s="147" t="s">
        <s:v>13</s:v>
      </s:c>
      <s:c r="B2" s="173">
        <s:f>B1/B4</s:f>
        <s:v>10.503597122302159</s:v>
      </s:c>
    </s:row>
    <s:row r="3" spans="1:2">
      <s:c r="A3" s="147" t="s">
        <s:v>14</s:v>
      </s:c>
      <s:c r="B3" s="174">
        <s:f>B4*B5</s:f>
        <s:v>12649</s:v>
      </s:c>
    </s:row>
    <s:row r="4" spans="1:2">
      <s:c r="A4" s="147" t="s">
        <s:v>15</s:v>
      </s:c>
      <s:c r="B4" s="175">
        <s:f>'Ялта, Ленина, 18'!I11</s:f>
        <s:v>6950</s:v>
      </s:c>
    </s:row>
    <s:row r="5" spans="1:2">
      <s:c r="A5" s="147" t="s">
        <s:v>16</s:v>
      </s:c>
      <s:c r="B5" s="176">
        <s:f>'Ялта, Ленина, 18'!I12</s:f>
        <s:v>1.82</s:v>
      </s:c>
    </s:row>
    <s:row r="6" spans="1:2">
      <s:c r="A6" s="147" t="s">
        <s:v>17</s:v>
      </s:c>
      <s:c r="B6" s="174">
        <s:f>IF(B5&lt;&gt;0,B2/B5,"")</s:f>
        <s:v>5.7712072100561311</s:v>
      </s:c>
    </s:row>
    <s:row r="7" spans="1:2">
      <s:c r="A7" s="147" t="s">
        <s:v>43</s:v>
      </s:c>
      <s:c r="B7" s="177">
        <s:f>'Ялта, Ленина, 18'!I20</s:f>
        <s:v>0.108</s:v>
      </s:c>
    </s:row>
    <s:row r="8" spans="1:2">
      <s:c r="A8" s="178" t="s">
        <s:v>36</s:v>
      </s:c>
      <s:c r="B8" s="179" t="e">
        <s:f>('Ялта, Ленина, 18'!R12-'Ялта, Ленина, 18'!S12)/('Ялта, Ленина, 18'!I14-'Ялта, Ленина, 18'!J14)</s:f>
        <s:v>#DIV/0!</s:v>
      </s:c>
    </s:row>
    <s:row r="9" spans="1:2">
      <s:c r="A9" s="178" t="s">
        <s:v>35</s:v>
      </s:c>
      <s:c r="B9" s="179" t="e">
        <s:f>('Ялта, Ленина, 18'!R18-'Ялта, Ленина, 18'!S18)/('Ялта, Ленина, 18'!I14-'Ялта, Ленина, 18'!J14)</s:f>
        <s:v>#DIV/0!</s:v>
      </s:c>
    </s:row>
    <s:row r="10" spans="1:2">
      <s:c r="A10" s="180" t="str">
        <s:f>'Ялта, Ленина, 18'!M23</s:f>
        <s:v>Agafi</s:v>
      </s:c>
      <s:c r="B10" s="181" t="e">
        <s:f>('Ялта, Ленина, 18'!U12-'Ялта, Ленина, 18'!V12)/('Ялта, Ленина, 18'!I14-'Ялта, Ленина, 18'!J14)</s:f>
        <s:v>#DIV/0!</s:v>
      </s:c>
    </s:row>
  </s:sheetData>
  <s:pageMargins left="0.7" right="0.7" top="0.75" bottom="0.75" header="0.3" footer="0.3"/>
</s:worksheet>
</file>

<file path=xl/worksheets/sheet4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00000000-0001-0000-0400-000000000000}">
  <s:sheetPr>
    <s:pageSetUpPr fitToPage="1"/>
  </s:sheetPr>
  <s:dimension ref="A1:IZ61"/>
  <s:sheetViews>
    <s:sheetView showZeros="0" tabSelected="0" topLeftCell="A30" zoomScaleNormal="75" workbookViewId="0">
      <s:pane xSplit="30" topLeftCell="AE1" activePane="topRight" state="frozen"/>
      <s:selection activeCell="A21" sqref="A21"/>
      <s:selection pane="topRight" activeCell="L56" sqref="L56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7" width="10.832" style="3" customWidth="1"/>
    <s:col min="18" max="18" width="11.332" style="3" customWidth="1"/>
    <s:col min="19" max="19" width="11.664" style="3" customWidth="1"/>
    <s:col min="20" max="20" width="12.832" style="3" customWidth="1"/>
    <s:col min="21" max="21" width="10.332" style="3" customWidth="1"/>
    <s:col min="22" max="23" width="11.332" style="3" customWidth="1"/>
    <s:col min="24" max="24" width="11" style="3" customWidth="1"/>
    <s:col min="25" max="25" width="9.5" style="3" customWidth="1"/>
    <s:col min="26" max="26" width="9.164" style="3" bestFit="1" customWidth="1"/>
    <s:col min="27" max="28" width="10.5" style="3" customWidth="1"/>
    <s:col min="29" max="35" width="9.164" style="3" bestFit="1" customWidth="1"/>
    <s:col min="36" max="260" width="9.164" style="2" bestFit="1" customWidth="1"/>
  </s:cols>
  <s:sheetData>
    <s:row r="1" spans="2:28" ht="15.75" customHeight="1">
      <s:c r="B1" s="182"/>
      <s:c r="C1" s="182"/>
      <s:c r="D1" s="11"/>
      <s:c r="E1" s="11"/>
      <s:c r="F1" s="12"/>
      <s:c r="G1" s="12"/>
      <s:c r="H1" s="12"/>
      <s:c r="I1" s="12"/>
      <s:c r="J1" s="183"/>
      <s:c r="K1" s="183"/>
      <s:c r="L1" s="183"/>
      <s:c r="M1" s="183"/>
      <s:c r="N1" s="183"/>
      <s:c r="O1" s="183"/>
      <s:c r="P1" s="183"/>
      <s:c r="Q1" s="183"/>
      <s:c r="R1" s="183"/>
      <s:c r="S1" s="183"/>
      <s:c r="T1" s="183"/>
      <s:c r="U1" s="183"/>
      <s:c r="V1" s="677"/>
      <s:c r="W1" s="677"/>
      <s:c r="X1" s="677"/>
      <s:c r="Y1" s="677"/>
      <s:c r="Z1" s="12"/>
      <s:c r="AA1" s="12"/>
      <s:c r="AB1" s="12"/>
    </s:row>
    <s:row r="2" spans="2:28" ht="21.75" customHeight="1">
      <s:c r="B2" s="678" t="s">
        <s:v>0</s:v>
      </s:c>
      <s:c r="C2" s="678"/>
      <s:c r="D2" s="11"/>
      <s:c r="E2" s="11"/>
      <s:c r="F2" s="12"/>
      <s:c r="G2" s="12"/>
      <s:c r="H2" s="12"/>
      <s:c r="I2" s="12"/>
      <s:c r="J2" s="687" t="s">
        <s:v>132</s:v>
      </s:c>
      <s:c r="K2" s="687"/>
      <s:c r="L2" s="687"/>
      <s:c r="M2" s="687"/>
      <s:c r="N2" s="687"/>
      <s:c r="O2" s="687"/>
      <s:c r="P2" s="687"/>
      <s:c r="Q2" s="687"/>
      <s:c r="R2" s="687"/>
      <s:c r="S2" s="687"/>
      <s:c r="T2" s="421"/>
      <s:c r="U2" s="421"/>
      <s:c r="V2" s="677"/>
      <s:c r="W2" s="677"/>
      <s:c r="X2" s="677"/>
      <s:c r="Y2" s="677"/>
      <s:c r="Z2" s="12"/>
      <s:c r="AA2" s="12"/>
      <s:c r="AB2" s="12"/>
    </s:row>
    <s:row r="3" spans="2:28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79" t="str">
        <s:f>График!B28</s:f>
        <s:v>Рогалевич Ирина</s:v>
      </s:c>
      <s:c r="K3" s="680"/>
      <s:c r="L3" s="680"/>
      <s:c r="M3" s="680"/>
      <s:c r="N3" s="680"/>
      <s:c r="O3" s="680"/>
      <s:c r="P3" s="680"/>
      <s:c r="Q3" s="680"/>
      <s:c r="R3" s="680"/>
      <s:c r="S3" s="681"/>
      <s:c r="T3" s="12"/>
      <s:c r="U3" s="12"/>
      <s:c r="V3" s="677"/>
      <s:c r="W3" s="677"/>
      <s:c r="X3" s="677"/>
      <s:c r="Y3" s="677"/>
      <s:c r="Z3" s="12"/>
      <s:c r="AA3" s="12"/>
      <s:c r="AB3" s="12"/>
    </s:row>
    <s:row r="4" spans="2:28" ht="15" customHeight="1">
      <s:c r="B4" s="11"/>
      <s:c r="C4" s="685">
        <s:f>L8-D56</s:f>
        <s:v>116305.67388535</s:v>
      </s:c>
      <s:c r="D4" s="686"/>
      <s:c r="E4" s="184">
        <s:f>IF(L8&lt;&gt;0,C4/L8,0)</s:f>
        <s:v>0.1280324651903248</s:v>
      </s:c>
      <s:c r="F4" s="12"/>
      <s:c r="G4" s="12"/>
      <s:c r="H4" s="12"/>
      <s:c r="I4" s="12"/>
      <s:c r="J4" s="682"/>
      <s:c r="K4" s="683"/>
      <s:c r="L4" s="683"/>
      <s:c r="M4" s="683"/>
      <s:c r="N4" s="683"/>
      <s:c r="O4" s="683"/>
      <s:c r="P4" s="683"/>
      <s:c r="Q4" s="683"/>
      <s:c r="R4" s="683"/>
      <s:c r="S4" s="684"/>
      <s:c r="T4" s="12"/>
      <s:c r="U4" s="12"/>
      <s:c r="V4" s="677"/>
      <s:c r="W4" s="677"/>
      <s:c r="X4" s="677"/>
      <s:c r="Y4" s="677"/>
      <s:c r="Z4" s="12"/>
      <s:c r="AA4" s="12"/>
      <s:c r="AB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12"/>
      <s:c r="K5" s="12"/>
      <s:c r="L5" s="12"/>
      <s:c r="M5" s="690"/>
      <s:c r="N5" s="690"/>
      <s:c r="O5" s="690"/>
      <s:c r="P5" s="690"/>
      <s:c r="Q5" s="690"/>
      <s:c r="R5" s="690"/>
      <s:c r="S5" s="690"/>
      <s:c r="T5" s="690"/>
      <s:c r="U5" s="690"/>
      <s:c r="V5" s="690"/>
      <s:c r="W5" s="12"/>
      <s:c r="X5" s="12"/>
      <s:c r="Y5" s="12"/>
      <s:c r="Z5" s="12"/>
      <s:c r="AA5" s="12"/>
      <s:c r="AB5" s="12"/>
    </s:row>
    <s:row r="6" spans="2:28" ht="20" customHeight="1" thickBot="1">
      <s:c r="B6" s="185"/>
      <s:c r="C6" s="12"/>
      <s:c r="D6" s="12"/>
      <s:c r="E6" s="12"/>
      <s:c r="F6" s="12"/>
      <s:c r="G6" s="12"/>
      <s:c r="H6" s="12"/>
      <s:c r="I6" s="698" t="s">
        <s:v>2</s:v>
      </s:c>
      <s:c r="J6" s="699"/>
      <s:c r="K6" s="699"/>
      <s:c r="L6" s="699"/>
      <s:c r="M6" s="699"/>
      <s:c r="N6" s="699"/>
      <s:c r="O6" s="699"/>
      <s:c r="P6" s="699"/>
      <s:c r="Q6" s="699"/>
      <s:c r="R6" s="699"/>
      <s:c r="S6" s="699"/>
      <s:c r="T6" s="700"/>
      <s:c r="U6" s="12"/>
      <s:c r="V6" s="12"/>
      <s:c r="W6" s="12"/>
      <s:c r="X6" s="18"/>
      <s:c r="Y6" s="12"/>
      <s:c r="Z6" s="12"/>
      <s:c r="AA6" s="12"/>
      <s:c r="AB6" s="12"/>
    </s:row>
    <s:row r="7" spans="2:28" ht="50.75" customHeight="1" thickBot="1">
      <s:c r="B7" s="185"/>
      <s:c r="C7" s="12"/>
      <s:c r="D7" s="12"/>
      <s:c r="E7" s="12"/>
      <s:c r="F7" s="12"/>
      <s:c r="G7" s="12"/>
      <s:c r="H7" s="12"/>
      <s:c r="I7" s="691" t="s">
        <s:v>3</s:v>
      </s:c>
      <s:c r="J7" s="692"/>
      <s:c r="K7" s="693"/>
      <s:c r="L7" s="19" t="s">
        <s:v>4</s:v>
      </s:c>
      <s:c r="M7" s="20" t="s">
        <s:v>5</s:v>
      </s:c>
      <s:c r="N7" s="21" t="s">
        <s:v>6</s:v>
      </s:c>
      <s:c r="O7" s="22" t="s">
        <s:v>7</s:v>
      </s:c>
      <s:c r="P7" s="22" t="s">
        <s:v>8</s:v>
      </s:c>
      <s:c r="Q7" s="23" t="s">
        <s:v>9</s:v>
      </s:c>
      <s:c r="R7" s="23" t="s">
        <s:v>10</s:v>
      </s:c>
      <s:c r="S7" s="616" t="s">
        <s:v>11</s:v>
      </s:c>
      <s:c r="T7" s="694"/>
      <s:c r="U7" s="12"/>
      <s:c r="V7" s="12"/>
      <s:c r="W7" s="12"/>
      <s:c r="X7" s="18"/>
      <s:c r="Y7" s="12"/>
      <s:c r="Z7" s="12"/>
      <s:c r="AA7" s="12"/>
      <s:c r="AB7" s="12"/>
    </s:row>
    <s:row r="8" spans="2:28" ht="15.75" customHeight="1">
      <s:c r="B8" s="185"/>
      <s:c r="C8" s="12"/>
      <s:c r="D8" s="12"/>
      <s:c r="E8" s="12"/>
      <s:c r="F8" s="12"/>
      <s:c r="G8" s="12"/>
      <s:c r="H8" s="12"/>
      <s:c r="I8" s="695" t="s">
        <s:v>12</s:v>
      </s:c>
      <s:c r="J8" s="696"/>
      <s:c r="K8" s="697"/>
      <s:c r="L8" s="186">
        <s:f>'Ялта, Ленина, 18'!I8/График!AJ29*График!AJ28</s:f>
        <s:v>908407.67388535</s:v>
      </s:c>
      <s:c r="M8" s="187">
        <s:f>D56</s:f>
        <s:v>792102</s:v>
      </s:c>
      <s:c r="N8" s="27">
        <s:f>IF(AND(L8&lt;&gt;"",L8&lt;&gt;0,M8&lt;&gt;""),M8/L8,"")</s:f>
        <s:v>0.87196753480967515</s:v>
      </s:c>
      <s:c r="O8" s="188">
        <s:f>IF(SUMIF($D$25:$D$55,"&gt;=0",$U$24:$U$55)&lt;&gt;0,L8*D56/SUMIF($D$25:$D$55,"&gt;=0",$U$24:$U$55),0)</s:f>
        <s:v>792101.99999999965</s:v>
      </s:c>
      <s:c r="P8" s="189">
        <s:f>IF(AND(L8&lt;&gt;"",L8&lt;&gt;0,O8&lt;&gt;"",O8&lt;&gt;0),O8/L8,"")</s:f>
        <s:v>0.87196753480967482</s:v>
      </s:c>
      <s:c r="Q8" s="30">
        <s:f>IF(AND(M8&lt;&gt;0,M8&lt;&gt;"",L8&lt;&gt;0,L8&lt;&gt;""),O8-L8,"")</s:f>
        <s:v>-116305.67388535035</s:v>
      </s:c>
      <s:c r="R8" s="190">
        <s:v>1663026</s:v>
      </s:c>
      <s:c r="S8" s="30">
        <s:f>IF(AND(R8&lt;&gt;"",R8&lt;&gt;0,O8&lt;&gt;"",O8&lt;&gt;0),-R8+O8,"")</s:f>
        <s:v>-870924.00000000035</s:v>
      </s:c>
      <s:c r="T8" s="31">
        <s:f>IF(AND(S8&lt;&gt;"",S8&lt;&gt;0,R8&lt;&gt;0,R8&lt;&gt;""),S8/R8,"")</s:f>
        <s:v>-0.52369836671224645</s:v>
      </s:c>
      <s:c r="U8" s="12"/>
      <s:c r="V8" s="12"/>
      <s:c r="W8" s="12"/>
      <s:c r="X8" s="12"/>
      <s:c r="Y8" s="12"/>
      <s:c r="Z8" s="12"/>
      <s:c r="AA8" s="12"/>
      <s:c r="AB8" s="12"/>
    </s:row>
    <s:row r="9" spans="2:28" ht="15.75" customHeight="1">
      <s:c r="B9" s="185"/>
      <s:c r="C9" s="12"/>
      <s:c r="D9" s="12"/>
      <s:c r="E9" s="12"/>
      <s:c r="F9" s="12"/>
      <s:c r="G9" s="12"/>
      <s:c r="H9" s="12"/>
      <s:c r="I9" s="621" t="s">
        <s:v>13</s:v>
      </s:c>
      <s:c r="J9" s="622"/>
      <s:c r="K9" s="623"/>
      <s:c r="L9" s="33">
        <s:f>L8/L11</s:f>
        <s:v>130.70614012738801</s:v>
      </s:c>
      <s:c r="M9" s="34">
        <s:f>E56</s:f>
        <s:v>90</s:v>
      </s:c>
      <s:c r="N9" s="35">
        <s:f>IF(AND(L9&lt;&gt;"",L9&lt;&gt;0,M9&lt;&gt;""),M9/L9,"")</s:f>
        <s:v>0.68856749891232605</s:v>
      </s:c>
      <s:c r="O9" s="191">
        <s:f>IF(SUMIF($E$25:$E$53,"&gt;=0",$V$24:$V$53)&lt;&gt;0,L9*E56/SUMIF($E$25:$E$53,"&gt;=0",$V$24:$V$53),0)</s:f>
        <s:v>89.999999999999901</s:v>
      </s:c>
      <s:c r="P9" s="192">
        <s:f>IF(AND(L9&lt;&gt;"",L9&lt;&gt;0,O9&lt;&gt;"",O9&lt;&gt;0),O9/L9,"")</s:f>
        <s:v>0.68856749891232605</s:v>
      </s:c>
      <s:c r="Q9" s="38">
        <s:f>IF(AND(M9&lt;&gt;0,M9&lt;&gt;"",L9&lt;&gt;0,L9&lt;&gt;""),O9-L9,"")</s:f>
        <s:v>-40.706140127388501</s:v>
      </s:c>
      <s:c r="R9" s="193">
        <s:v>315</s:v>
      </s:c>
      <s:c r="S9" s="38">
        <s:f>IF(AND(R9&lt;&gt;"",R9&lt;&gt;0,O9&lt;&gt;"",O9&lt;&gt;0),-R9+O9,"")</s:f>
        <s:v>-225</s:v>
      </s:c>
      <s:c r="T9" s="40">
        <s:f>IF(AND(S9&lt;&gt;"",S9&lt;&gt;0,R9&lt;&gt;0,R9&lt;&gt;""),S9/R9,"")</s:f>
        <s:v>-0.71428571428571397</s:v>
      </s:c>
      <s:c r="U9" s="12"/>
      <s:c r="V9" s="12"/>
      <s:c r="W9" s="12"/>
      <s:c r="X9" s="12"/>
      <s:c r="Y9" s="12"/>
      <s:c r="Z9" s="12"/>
      <s:c r="AA9" s="12"/>
      <s:c r="AB9" s="12"/>
    </s:row>
    <s:row r="10" spans="2:28" ht="15.75" customHeight="1">
      <s:c r="B10" s="185"/>
      <s:c r="C10" s="12"/>
      <s:c r="D10" s="12"/>
      <s:c r="E10" s="12"/>
      <s:c r="F10" s="12"/>
      <s:c r="G10" s="12"/>
      <s:c r="H10" s="12"/>
      <s:c r="I10" s="618" t="s">
        <s:v>14</s:v>
      </s:c>
      <s:c r="J10" s="619"/>
      <s:c r="K10" s="620"/>
      <s:c r="L10" s="45">
        <s:f>L11*L12</s:f>
        <s:v>12649</s:v>
      </s:c>
      <s:c r="M10" s="194">
        <s:f>H56</s:f>
        <s:v>15232.73076923077</s:v>
      </s:c>
      <s:c r="N10" s="195">
        <s:f>IF(AND(L10&lt;&gt;"",L10&lt;&gt;0,M10&lt;&gt;""),M10/L10,"")</s:f>
        <s:v>1.204263638962034</s:v>
      </s:c>
      <s:c r="O10" s="191">
        <s:f>M10</s:f>
        <s:v>15232.73076923077</s:v>
      </s:c>
      <s:c r="P10" s="196">
        <s:f>IF(AND(L10&lt;&gt;"",L10&lt;&gt;0,O10&lt;&gt;"",O10&lt;&gt;0),O10/L10,"")</s:f>
        <s:v>1.204263638962034</s:v>
      </s:c>
      <s:c r="Q10" s="44">
        <s:f>IF(AND(M10&lt;&gt;0,M10&lt;&gt;"",L10&lt;&gt;0,L10&lt;&gt;""),O10-L10,"")</s:f>
        <s:v>2583.7307692307695</s:v>
      </s:c>
      <s:c r="R10" s="45">
        <s:v>10869.450980392157</s:v>
      </s:c>
      <s:c r="S10" s="44">
        <s:f>IF(AND(R10&lt;&gt;"",R10&lt;&gt;0,O10&lt;&gt;"",O10&lt;&gt;0),-R10+O10,"")</s:f>
        <s:v>4363.2797888386121</s:v>
      </s:c>
      <s:c r="T10" s="197">
        <s:f>IF(AND(S10&lt;&gt;"",S10&lt;&gt;0,R10&lt;&gt;0,R10&lt;&gt;""),S10/R10,"")</s:f>
        <s:v>0.40142595948127546</s:v>
      </s:c>
      <s:c r="U10" s="12"/>
      <s:c r="V10" s="12"/>
      <s:c r="W10" s="12"/>
      <s:c r="X10" s="12"/>
      <s:c r="Y10" s="12"/>
      <s:c r="Z10" s="12"/>
      <s:c r="AA10" s="12"/>
      <s:c r="AB10" s="12"/>
    </s:row>
    <s:row r="11" spans="2:28" ht="15.75" customHeight="1">
      <s:c r="B11" s="185"/>
      <s:c r="C11" s="12"/>
      <s:c r="D11" s="12"/>
      <s:c r="E11" s="12"/>
      <s:c r="F11" s="12"/>
      <s:c r="G11" s="12"/>
      <s:c r="H11" s="12"/>
      <s:c r="I11" s="621" t="s">
        <s:v>15</s:v>
      </s:c>
      <s:c r="J11" s="622"/>
      <s:c r="K11" s="623"/>
      <s:c r="L11" s="47">
        <s:f>'Ялта, Ленина, 18'!I11</s:f>
        <s:v>6950</s:v>
      </s:c>
      <s:c r="M11" s="34">
        <s:f>F56</s:f>
        <s:v>8801.1333333333332</s:v>
      </s:c>
      <s:c r="N11" s="198">
        <s:f>IF(AND(L11&lt;&gt;"",L11&lt;&gt;0,M11&lt;&gt;""),M11/L11,"")</s:f>
        <s:v>1.2663501199040768</s:v>
      </s:c>
      <s:c r="O11" s="191">
        <s:f>IF(O9&gt;0,O8/O9,"")</s:f>
        <s:v>8801.1333333333387</s:v>
      </s:c>
      <s:c r="P11" s="192">
        <s:f>IF(AND(L11&lt;&gt;"",L11&lt;&gt;0,O11&lt;&gt;"",O11&lt;&gt;0),O11/L11,"")</s:f>
        <s:v>1.2663501199040774</s:v>
      </s:c>
      <s:c r="Q11" s="38">
        <s:f>IF(AND(M11&lt;&gt;0,M11&lt;&gt;"",L11&lt;&gt;0,L11&lt;&gt;""),O11-L11,"")</s:f>
        <s:v>1851.1333333333387</s:v>
      </s:c>
      <s:c r="R11" s="48">
        <s:v>5279.4476190476189</s:v>
      </s:c>
      <s:c r="S11" s="38">
        <s:f>IF(AND(R11&lt;&gt;"",R11&lt;&gt;0,O11&lt;&gt;"",O11&lt;&gt;0),-R11+O11,"")</s:f>
        <s:v>3521.6857142857198</s:v>
      </s:c>
      <s:c r="T11" s="40">
        <s:f>IF(AND(S12&lt;&gt;"",S12&lt;&gt;0,R12&lt;&gt;0,R12&lt;&gt;""),S12/R12,"")</s:f>
        <s:v>-0.159340659340659</s:v>
      </s:c>
      <s:c r="U11" s="12"/>
      <s:c r="V11" s="12"/>
      <s:c r="W11" s="12"/>
      <s:c r="X11" s="12"/>
      <s:c r="Y11" s="12"/>
      <s:c r="Z11" s="12"/>
      <s:c r="AA11" s="12"/>
      <s:c r="AB11" s="12"/>
    </s:row>
    <s:row r="12" spans="2:28" ht="15.75" customHeight="1">
      <s:c r="B12" s="185"/>
      <s:c r="C12" s="12"/>
      <s:c r="D12" s="12"/>
      <s:c r="E12" s="12"/>
      <s:c r="F12" s="12"/>
      <s:c r="G12" s="12"/>
      <s:c r="H12" s="12"/>
      <s:c r="I12" s="621" t="s">
        <s:v>16</s:v>
      </s:c>
      <s:c r="J12" s="622"/>
      <s:c r="K12" s="623"/>
      <s:c r="L12" s="49">
        <s:f>'Ялта, Ленина, 18'!I12</s:f>
        <s:v>1.82</s:v>
      </s:c>
      <s:c r="M12" s="50">
        <s:f>J56</s:f>
        <s:v>1.7307692307692299</s:v>
      </s:c>
      <s:c r="N12" s="198">
        <s:f>IF(AND(L12&lt;&gt;"",L12&lt;&gt;0,M12&lt;&gt;""),M12/L12,"")</s:f>
        <s:v>0.950972104818258</s:v>
      </s:c>
      <s:c r="O12" s="199">
        <s:f>M12</s:f>
        <s:v>1.7307692307692299</s:v>
      </s:c>
      <s:c r="P12" s="192">
        <s:f>IF(AND(L12&lt;&gt;"",L12&lt;&gt;0,O12&lt;&gt;"",O12&lt;&gt;0),O12/L12,"")</s:f>
        <s:v>0.950972104818258</s:v>
      </s:c>
      <s:c r="Q12" s="51">
        <s:f>IF(AND(M12&lt;&gt;0,M12&lt;&gt;"",L12&lt;&gt;0,L12&lt;&gt;""),O12-L12,"")</s:f>
        <s:v>-8.9230769230769197E-2</s:v>
      </s:c>
      <s:c r="R12" s="200">
        <s:v>2.0588235294117645</s:v>
      </s:c>
      <s:c r="S12" s="38">
        <s:f>IF(AND(R12&lt;&gt;"",R12&lt;&gt;0,O12&lt;&gt;"",O12&lt;&gt;0),-R12+O12,"")</s:f>
        <s:v>-0.32805429864253299</s:v>
      </s:c>
      <s:c r="T12" s="470"/>
      <s:c r="U12" s="12"/>
      <s:c r="V12" s="201"/>
      <s:c r="W12" s="12"/>
      <s:c r="X12" s="12"/>
      <s:c r="Y12" s="12"/>
      <s:c r="Z12" s="12"/>
      <s:c r="AA12" s="12"/>
      <s:c r="AB12" s="12"/>
    </s:row>
    <s:row r="13" spans="2:28" ht="15.75" customHeight="1">
      <s:c r="B13" s="185"/>
      <s:c r="C13" s="12"/>
      <s:c r="D13" s="12"/>
      <s:c r="E13" s="12"/>
      <s:c r="F13" s="12"/>
      <s:c r="G13" s="201"/>
      <s:c r="H13" s="12"/>
      <s:c r="I13" s="621" t="s">
        <s:v>17</s:v>
      </s:c>
      <s:c r="J13" s="622"/>
      <s:c r="K13" s="623"/>
      <s:c r="L13" s="33">
        <s:f>IF(L12&lt;&gt;0,L9/L12,"")</s:f>
        <s:v>71.816560509554094</s:v>
      </s:c>
      <s:c r="M13" s="34">
        <s:f>G56</s:f>
        <s:v>52</s:v>
      </s:c>
      <s:c r="N13" s="35">
        <s:f>IF(AND(L13&lt;&gt;"",L13&lt;&gt;0,M13&lt;&gt;""),M13/L13,"")</s:f>
        <s:v>0.72406697885625004</s:v>
      </s:c>
      <s:c r="O13" s="191">
        <s:f>IF(SUMIF($G$25:$G$53,"&gt;=0",$W$24:$W$53)&lt;&gt;0,L13*G56/SUMIF($G$25:$G$53,"&gt;=0",$W$24:$W$53),"")</s:f>
        <s:v>52</s:v>
      </s:c>
      <s:c r="P13" s="192">
        <s:f>IF(AND(L13&lt;&gt;"",L13&lt;&gt;0,O13&lt;&gt;"",O13&lt;&gt;0),O13/L13,"")</s:f>
        <s:v>0.72406697885625004</s:v>
      </s:c>
      <s:c r="Q13" s="51">
        <s:f>IF(AND(M13&lt;&gt;0,M13&lt;&gt;"",L13&lt;&gt;0,L13&lt;&gt;""),O13-L13,"")</s:f>
        <s:v>-19.816560509554101</s:v>
      </s:c>
      <s:c r="R13" s="48">
        <s:v>153</s:v>
      </s:c>
      <s:c r="S13" s="38">
        <s:f>IF(AND(R13&lt;&gt;"",R13&lt;&gt;0,O13&lt;&gt;"",O13&lt;&gt;0),-R13+O13,"")</s:f>
        <s:v>-101</s:v>
      </s:c>
      <s:c r="T13" s="40">
        <s:f>IF(AND(S14&lt;&gt;"",S14&lt;&gt;0,R14&lt;&gt;0,R14&lt;&gt;""),S14/R14,"")</s:f>
        <s:v>-0.34482758620689602</s:v>
      </s:c>
      <s:c r="U13" s="12"/>
      <s:c r="V13" s="12"/>
      <s:c r="W13" s="12"/>
      <s:c r="X13" s="12"/>
      <s:c r="Y13" s="12"/>
      <s:c r="Z13" s="12"/>
      <s:c r="AA13" s="12"/>
      <s:c r="AB13" s="12"/>
    </s:row>
    <s:row r="14" spans="2:28" ht="15.75" customHeight="1">
      <s:c r="B14" s="185"/>
      <s:c r="C14" s="12"/>
      <s:c r="D14" s="201"/>
      <s:c r="E14" s="12"/>
      <s:c r="F14" s="12"/>
      <s:c r="G14" s="12"/>
      <s:c r="H14" s="12"/>
      <s:c r="I14" s="621" t="s">
        <s:v>71</s:v>
      </s:c>
      <s:c r="J14" s="622"/>
      <s:c r="K14" s="623"/>
      <s:c r="L14" s="47">
        <s:f>График!AI28</s:f>
        <s:v>19</s:v>
      </s:c>
      <s:c r="M14" s="55">
        <s:v>19</s:v>
      </s:c>
      <s:c r="N14" s="35">
        <s:f>IF(AND(L14&lt;&gt;"",L14&lt;&gt;0,M14&lt;&gt;""),M14/L14,"")</s:f>
        <s:v>1</s:v>
      </s:c>
      <s:c r="O14" s="36">
        <s:f>L14</s:f>
        <s:v>19</s:v>
      </s:c>
      <s:c r="P14" s="192">
        <s:f>IF(AND(L14&lt;&gt;"",L14&lt;&gt;0,O14&lt;&gt;"",O14&lt;&gt;0),O14/L14,"")</s:f>
        <s:v>1</s:v>
      </s:c>
      <s:c r="Q14" s="38">
        <s:f>IF(AND(M14&lt;&gt;0,M14&lt;&gt;"",L14&lt;&gt;0,L14&lt;&gt;""),O14-L14,"")</s:f>
        <s:v>0</s:v>
      </s:c>
      <s:c r="R14" s="48">
        <s:v>29</s:v>
      </s:c>
      <s:c r="S14" s="38">
        <s:f>IF(AND(R14&lt;&gt;"",R14&lt;&gt;0,O14&lt;&gt;"",O14&lt;&gt;0),-R14+O14,"")</s:f>
        <s:v>-10</s:v>
      </s:c>
      <s:c r="T14" s="40">
        <s:f>IF(AND(S15&lt;&gt;"",S15&lt;&gt;0,R15&lt;&gt;0,R15&lt;&gt;""),S15/R15,"")</s:f>
        <s:v>-0.27301329656079693</s:v>
      </s:c>
      <s:c r="U14" s="12"/>
      <s:c r="V14" s="12"/>
      <s:c r="W14" s="12"/>
      <s:c r="X14" s="12"/>
      <s:c r="Y14" s="12"/>
      <s:c r="Z14" s="12"/>
      <s:c r="AA14" s="12"/>
      <s:c r="AB14" s="12"/>
    </s:row>
    <s:row r="15" spans="2:28" ht="15.75" customHeight="1">
      <s:c r="B15" s="185"/>
      <s:c r="C15" s="12"/>
      <s:c r="D15" s="12"/>
      <s:c r="E15" s="12"/>
      <s:c r="F15" s="12"/>
      <s:c r="G15" s="12"/>
      <s:c r="H15" s="12"/>
      <s:c r="I15" s="621" t="s">
        <s:v>19</s:v>
      </s:c>
      <s:c r="J15" s="622"/>
      <s:c r="K15" s="623"/>
      <s:c r="L15" s="63">
        <s:f>'Ялта, Ленина, 18'!I15</s:f>
        <s:v>81965.52</s:v>
      </s:c>
      <s:c r="M15" s="56">
        <s:f>M8/M14</s:f>
        <s:v>41689.57894736842</s:v>
      </s:c>
      <s:c r="N15" s="57">
        <s:f>IF(AND(L15&lt;&gt;"",L15&lt;&gt;0,M15&lt;&gt;""),M15/L15,"")</s:f>
        <s:v>0.50862336928221064</s:v>
      </s:c>
      <s:c r="O15" s="60">
        <s:f>M15</s:f>
        <s:v>41689.57894736842</s:v>
      </s:c>
      <s:c r="P15" s="202">
        <s:f>IF(AND(L15&lt;&gt;"",L15&lt;&gt;0,O15&lt;&gt;"",O15&lt;&gt;0),O15/L15,"")</s:f>
        <s:v>0.50862336928221064</s:v>
      </s:c>
      <s:c r="Q15" s="38">
        <s:f>IF(AND(M15&lt;&gt;0,M15&lt;&gt;"",L15&lt;&gt;0,L15&lt;&gt;""),O15-L15,"")</s:f>
        <s:v>-40275.941052631584</s:v>
      </s:c>
      <s:c r="R15" s="203">
        <s:v>57345.724137931036</s:v>
      </s:c>
      <s:c r="S15" s="38">
        <s:f>IF(AND(R15&lt;&gt;"",R15&lt;&gt;0,O15&lt;&gt;"",O15&lt;&gt;0),-R15+O15,"")</s:f>
        <s:v>-15656.145190562616</s:v>
      </s:c>
      <s:c r="T15" s="40" t="str">
        <s:f>IF(AND(S16&lt;&gt;"",S16&lt;&gt;0,R16&lt;&gt;0,R16&lt;&gt;""),S16/R16,"")</s:f>
        <s:v/>
      </s:c>
      <s:c r="U15" s="12"/>
      <s:c r="V15" s="12"/>
      <s:c r="W15" s="12"/>
      <s:c r="X15" s="12"/>
      <s:c r="Y15" s="12"/>
      <s:c r="Z15" s="12"/>
      <s:c r="AA15" s="12"/>
      <s:c r="AB15" s="12"/>
    </s:row>
    <s:row r="16" spans="2:28" ht="15.75" customHeight="1">
      <s:c r="B16" s="185"/>
      <s:c r="C16" s="12"/>
      <s:c r="D16" s="12"/>
      <s:c r="E16" s="12"/>
      <s:c r="F16" s="12"/>
      <s:c r="G16" s="12"/>
      <s:c r="H16" s="12"/>
      <s:c r="I16" s="621" t="s">
        <s:v>20</s:v>
      </s:c>
      <s:c r="J16" s="622"/>
      <s:c r="K16" s="623"/>
      <s:c r="L16" s="63"/>
      <s:c r="M16" s="56"/>
      <s:c r="N16" s="57" t="str">
        <s:f>IF(AND(L16&lt;&gt;"",L16&lt;&gt;0,M16&lt;&gt;""),M16/L16,"")</s:f>
        <s:v/>
      </s:c>
      <s:c r="O16" s="60">
        <s:f>M16</s:f>
        <s:v>0</s:v>
      </s:c>
      <s:c r="P16" s="204" t="str">
        <s:f>IF(AND(L16&lt;&gt;"",L16&lt;&gt;0,O16&lt;&gt;"",O16&lt;&gt;0),O16/L16,"")</s:f>
        <s:v/>
      </s:c>
      <s:c r="Q16" s="38" t="str">
        <s:f>IF(AND(M16&lt;&gt;0,M16&lt;&gt;"",L16&lt;&gt;0,L16&lt;&gt;""),O16-L16,"")</s:f>
        <s:v/>
      </s:c>
      <s:c r="R16" s="203">
        <s:v>-838811.88800000027</s:v>
      </s:c>
      <s:c r="S16" s="38" t="str">
        <s:f>IF(AND(R16&lt;&gt;"",R16&lt;&gt;0,O16&lt;&gt;"",O16&lt;&gt;0),-R16+O16,"")</s:f>
        <s:v/>
      </s:c>
      <s:c r="T16" s="40">
        <s:f>IF(AND(S17&lt;&gt;"",S17&lt;&gt;0,R17&lt;&gt;0,R17&lt;&gt;""),S17/R17,"")</s:f>
        <s:v>-6.7187499999999997E-2</s:v>
      </s:c>
      <s:c r="U16" s="12"/>
      <s:c r="V16" s="12"/>
      <s:c r="W16" s="12"/>
      <s:c r="X16" s="12"/>
      <s:c r="Y16" s="12"/>
      <s:c r="Z16" s="12"/>
      <s:c r="AA16" s="12"/>
      <s:c r="AB16" s="12"/>
    </s:row>
    <s:row r="17" spans="1:260" ht="15.75" customHeight="1">
      <s:c r="B17" s="185"/>
      <s:c r="C17" s="12"/>
      <s:c r="D17" s="12"/>
      <s:c r="E17" s="12"/>
      <s:c r="F17" s="12"/>
      <s:c r="G17" s="12"/>
      <s:c r="H17" s="12"/>
      <s:c r="I17" s="621" t="s">
        <s:v>21</s:v>
      </s:c>
      <s:c r="J17" s="622"/>
      <s:c r="K17" s="623"/>
      <s:c r="L17" s="63">
        <s:f>'Ялта, Ленина, 18'!I17/График!AJ29*График!AJ28</s:f>
        <s:v>664.96815286624201</s:v>
      </s:c>
      <s:c r="M17" s="56">
        <s:f>I56</s:f>
        <s:v>597</s:v>
      </s:c>
      <s:c r="N17" s="57">
        <s:f>IF(AND(L17&lt;&gt;"",L17&lt;&gt;0,M17&lt;&gt;""),M17/L17,"")</s:f>
        <s:v>0.89778735632183904</s:v>
      </s:c>
      <s:c r="O17" s="60">
        <s:f>M17/M14*L14</s:f>
        <s:v>597</s:v>
      </s:c>
      <s:c r="P17" s="204">
        <s:f>IF(AND(L17&lt;&gt;"",L17&lt;&gt;0,O17&lt;&gt;"",O17&lt;&gt;0),O17/L17,"")</s:f>
        <s:v>0.89778735632183904</s:v>
      </s:c>
      <s:c r="Q17" s="38">
        <s:f>IF(AND(M17&lt;&gt;0,M17&lt;&gt;"",L17&lt;&gt;0,L17&lt;&gt;""),O17-L17,"")</s:f>
        <s:v>-67.968152866241994</s:v>
      </s:c>
      <s:c r="R17" s="203">
        <s:v>640</s:v>
      </s:c>
      <s:c r="S17" s="38">
        <s:f>IF(AND(R17&lt;&gt;"",R17&lt;&gt;0,O17&lt;&gt;"",O17&lt;&gt;0),-R17+O17,"")</s:f>
        <s:v>-43</s:v>
      </s:c>
      <s:c r="T17" s="40" t="str">
        <s:f>IF(AND(S18&lt;&gt;"",S18&lt;&gt;0,R18&lt;&gt;0,R18&lt;&gt;""),S18/R18,"")</s:f>
        <s:v/>
      </s:c>
      <s:c r="U17" s="12"/>
      <s:c r="V17" s="12"/>
      <s:c r="W17" s="12"/>
      <s:c r="X17" s="12"/>
      <s:c r="Y17" s="12"/>
      <s:c r="Z17" s="12"/>
      <s:c r="AA17" s="12"/>
      <s:c r="AB17" s="12"/>
    </s:row>
    <s:row r="18" spans="1:260" ht="15.75" customHeight="1">
      <s:c r="B18" s="185"/>
      <s:c r="C18" s="12"/>
      <s:c r="D18" s="12"/>
      <s:c r="E18" s="12"/>
      <s:c r="F18" s="12"/>
      <s:c r="G18" s="12"/>
      <s:c r="H18" s="12"/>
      <s:c r="I18" s="621" t="s">
        <s:v>22</s:v>
      </s:c>
      <s:c r="J18" s="622"/>
      <s:c r="K18" s="623"/>
      <s:c r="L18" s="64">
        <s:f>L8/L17</s:f>
        <s:v>1366.0920000000001</s:v>
      </s:c>
      <s:c r="M18" s="56">
        <s:f>M8/M17</s:f>
        <s:v>1326.8040201005026</s:v>
      </s:c>
      <s:c r="N18" s="65">
        <s:f>IF(AND(L18&lt;&gt;"", L18&lt;&gt;0, M18&lt;&gt;""), M18/L18, "")</s:f>
        <s:v>0.97124060465949769</s:v>
      </s:c>
      <s:c r="O18" s="66">
        <s:f>M18</s:f>
        <s:v>1326.8040201005026</s:v>
      </s:c>
      <s:c r="P18" s="61">
        <s:f>IF(AND(L18&lt;&gt;"", L18&lt;&gt;0, O18&lt;&gt;"", O18&lt;&gt;0), O18/L18, "")</s:f>
        <s:v>0.97124060465949769</s:v>
      </s:c>
      <s:c r="Q18" s="38">
        <s:f>IF(AND(M18&lt;&gt;0, M18&lt;&gt;"", L18&lt;&gt;0, L18&lt;&gt;""), O18-L18, "")</s:f>
        <s:v>-39.287979899497486</s:v>
      </s:c>
      <s:c r="R18" s="205"/>
      <s:c r="S18" s="38" t="str">
        <s:f>IF(AND(R18&lt;&gt;"",R18&lt;&gt;0,O18&lt;&gt;"",O18&lt;&gt;0),-R18+O18,"")</s:f>
        <s:v/>
      </s:c>
      <s:c r="T18" s="40" t="str">
        <s:f>IF(AND(S19&lt;&gt;"",S19&lt;&gt;0,R19&lt;&gt;0,R19&lt;&gt;""),S19/R19,"")</s:f>
        <s:v/>
      </s:c>
      <s:c r="U18" s="12"/>
      <s:c r="V18" s="12"/>
      <s:c r="W18" s="12"/>
      <s:c r="X18" s="12"/>
      <s:c r="Y18" s="12"/>
      <s:c r="Z18" s="12"/>
      <s:c r="AA18" s="12"/>
      <s:c r="AB18" s="12"/>
    </s:row>
    <s:row r="19" spans="1:260" ht="15.75" customHeight="1">
      <s:c r="B19" s="185"/>
      <s:c r="C19" s="12"/>
      <s:c r="D19" s="12"/>
      <s:c r="E19" s="12"/>
      <s:c r="F19" s="12"/>
      <s:c r="G19" s="12"/>
      <s:c r="H19" s="12"/>
      <s:c r="I19" s="621"/>
      <s:c r="J19" s="622"/>
      <s:c r="K19" s="623"/>
      <s:c r="L19" s="64"/>
      <s:c r="M19" s="56"/>
      <s:c r="N19" s="57" t="str">
        <s:f>IF(AND(L19&lt;&gt;"",L19&lt;&gt;0,M19&lt;&gt;""),M19/L19,"")</s:f>
        <s:v/>
      </s:c>
      <s:c r="O19" s="60">
        <s:f>M19</s:f>
        <s:v>0</s:v>
      </s:c>
      <s:c r="P19" s="204" t="str">
        <s:f>IF(AND(L19&lt;&gt;"",L19&lt;&gt;0,O19&lt;&gt;"",O19&lt;&gt;0),O19/L19,"")</s:f>
        <s:v/>
      </s:c>
      <s:c r="Q19" s="38" t="str">
        <s:f>IF(AND(M19&lt;&gt;0,M19&lt;&gt;"",L19&lt;&gt;0,L19&lt;&gt;""),O19-L19,"")</s:f>
        <s:v/>
      </s:c>
      <s:c r="R19" s="203">
        <s:v>0</s:v>
      </s:c>
      <s:c r="S19" s="38" t="str">
        <s:f>IF(AND(R19&lt;&gt;"",R19&lt;&gt;0,O19&lt;&gt;"",O19&lt;&gt;0),-R19+O19,"")</s:f>
        <s:v/>
      </s:c>
      <s:c r="T19" s="73">
        <s:f>IF(AND(S20&lt;&gt;"",S20&lt;&gt;0,R20&lt;&gt;0,R20&lt;&gt;""),S20/R20,"")</s:f>
        <s:v>-0.62445897085802371</s:v>
      </s:c>
      <s:c r="U19" s="12"/>
      <s:c r="V19" s="12"/>
      <s:c r="W19" s="12"/>
      <s:c r="X19" s="18"/>
      <s:c r="Y19" s="12"/>
      <s:c r="Z19" s="12"/>
      <s:c r="AA19" s="12"/>
      <s:c r="AB19" s="12"/>
    </s:row>
    <s:row r="20" spans="1:260" ht="15.75" customHeight="1">
      <s:c r="B20" s="185"/>
      <s:c r="C20" s="12"/>
      <s:c r="D20" s="12"/>
      <s:c r="E20" s="12"/>
      <s:c r="F20" s="12"/>
      <s:c r="G20" s="12"/>
      <s:c r="H20" s="12"/>
      <s:c r="I20" s="675" t="s">
        <s:v>23</s:v>
      </s:c>
      <s:c r="J20" s="675"/>
      <s:c r="K20" s="675"/>
      <s:c r="L20" s="206">
        <s:f>'Ялта, Ленина, 18'!I20</s:f>
        <s:v>0.108</s:v>
      </s:c>
      <s:c r="M20" s="207">
        <s:f>S56</s:f>
        <s:v>8.7102177554438803E-2</s:v>
      </s:c>
      <s:c r="N20" s="208">
        <s:f>M20/L20</s:f>
        <s:v>0.80650164402258195</s:v>
      </s:c>
      <s:c r="O20" s="209">
        <s:f>IF(AND(N8&lt;&gt;0,L14&lt;&gt;0,I56&lt;&gt;0),(I56*S56+(I56/N8-I56)*L20)/(I56/N8),0)</s:f>
        <s:v>8.9777777279253707E-2</s:v>
      </s:c>
      <s:c r="P20" s="69">
        <s:f>IF(AND(L20&lt;&gt;"",L20&lt;&gt;0,O20&lt;&gt;"",O20&lt;&gt;0),O20/L20,"")</s:f>
        <s:v>0.83127571554864543</s:v>
      </s:c>
      <s:c r="Q20" s="70">
        <s:f>IF(AND(M20&lt;&gt;0,M20&lt;&gt;"",L20&lt;&gt;0,L20&lt;&gt;""),O20-L20,"")</s:f>
        <s:v>-1.8222222720746292E-2</s:v>
      </s:c>
      <s:c r="R20" s="210">
        <s:v>0.23906250000000001</s:v>
      </s:c>
      <s:c r="S20" s="72">
        <s:f>IF(AND(R20&lt;&gt;"",R20&lt;&gt;0,O20&lt;&gt;"",O20&lt;&gt;0),-R20+O20,"")</s:f>
        <s:v>-0.1492847227207463</s:v>
      </s:c>
      <s:c r="T20" s="12"/>
      <s:c r="U20" s="12"/>
      <s:c r="V20" s="12"/>
      <s:c r="W20" s="18"/>
      <s:c r="X20" s="18"/>
      <s:c r="Y20" s="12"/>
      <s:c r="Z20" s="12"/>
      <s:c r="AA20" s="12"/>
      <s:c r="AB20" s="12"/>
    </s:row>
    <s:row r="21" spans="1:260" ht="25" customHeight="1">
      <s:c r="B21" s="185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2"/>
      <s:c r="S21" s="12"/>
      <s:c r="T21" s="689" t="s">
        <s:v>44</s:v>
      </s:c>
      <s:c r="U21" s="676" t="s">
        <s:v>25</s:v>
      </s:c>
      <s:c r="V21" s="676"/>
      <s:c r="W21" s="676"/>
      <s:c r="X21" s="676"/>
      <s:c r="Y21" s="676"/>
      <s:c r="Z21" s="676"/>
      <s:c r="AA21" s="676"/>
      <s:c r="AB21" s="676"/>
    </s:row>
    <s:row r="22" ht="36">
      <s:c r="B22" s="676" t="s">
        <s:v>24</s:v>
      </s:c>
      <s:c r="C22" s="676"/>
      <s:c r="D22" s="676"/>
      <s:c r="E22" s="676"/>
      <s:c r="F22" s="676"/>
      <s:c r="G22" s="676"/>
      <s:c r="H22" s="676"/>
      <s:c r="I22" s="676"/>
      <s:c r="J22" s="676"/>
      <s:c r="K22" s="676"/>
      <s:c r="L22" s="676"/>
      <s:c r="M22" s="676"/>
      <s:c r="N22" s="676"/>
      <s:c r="O22" s="676"/>
      <s:c r="P22" s="676"/>
      <s:c r="Q22" s="676"/>
      <s:c r="R22" s="676"/>
      <s:c r="S22" s="676"/>
      <s:c r="T22" s="689"/>
      <s:c r="U22" s="211" t="s">
        <s:v>45</s:v>
      </s:c>
      <s:c r="V22" s="211" t="s">
        <s:v>46</s:v>
      </s:c>
      <s:c r="W22" s="211" t="s">
        <s:v>47</s:v>
      </s:c>
      <s:c r="X22" s="211" t="s">
        <s:v>48</s:v>
      </s:c>
      <s:c r="Y22" s="211" t="s">
        <s:v>49</s:v>
      </s:c>
      <s:c r="Z22" s="211" t="s">
        <s:v>50</s:v>
      </s:c>
      <s:c r="AA22" s="213" t="s">
        <s:v>51</s:v>
      </s:c>
      <s:c r="AB22" s="213" t="s">
        <s:v>52</s:v>
      </s:c>
      <s:c r="AC22" s="108"/>
    </s:row>
    <s:row r="23" ht="36">
      <s:c r="B23" s="211" t="s">
        <s:v>27</s:v>
      </s:c>
      <s:c r="C23" s="211" t="s">
        <s:v>28</s:v>
      </s:c>
      <s:c r="D23" s="211" t="s">
        <s:v>29</s:v>
      </s:c>
      <s:c r="E23" s="211" t="s">
        <s:v>30</s:v>
      </s:c>
      <s:c r="F23" s="211" t="s">
        <s:v>31</s:v>
      </s:c>
      <s:c r="G23" s="211" t="s">
        <s:v>32</s:v>
      </s:c>
      <s:c r="H23" s="211" t="s">
        <s:v>33</s:v>
      </s:c>
      <s:c r="I23" s="211" t="s">
        <s:v>21</s:v>
      </s:c>
      <s:c r="J23" s="211" t="s">
        <s:v>34</s:v>
      </s:c>
      <s:c r="K23" s="75" t="s">
        <s:v>35</s:v>
      </s:c>
      <s:c r="L23" s="75" t="s">
        <s:v>36</s:v>
      </s:c>
      <s:c r="M23" s="75" t="s">
        <s:v>37</s:v>
      </s:c>
      <s:c r="N23" s="75" t="s">
        <s:v>38</s:v>
      </s:c>
      <s:c r="O23" s="75" t="s">
        <s:v>39</s:v>
      </s:c>
      <s:c r="P23" s="212" t="s">
        <s:v>72</s:v>
      </s:c>
      <s:c r="Q23" s="75" t="s">
        <s:v>73</s:v>
      </s:c>
      <s:c r="R23" s="75" t="s">
        <s:v>42</s:v>
      </s:c>
      <s:c r="S23" s="211" t="s">
        <s:v>74</s:v>
      </s:c>
      <s:c r="T23" s="689"/>
      <s:c r="U23" s="216">
        <s:v>1</s:v>
      </s:c>
      <s:c r="V23" s="216">
        <s:v>2</s:v>
      </s:c>
      <s:c r="W23" s="216">
        <s:v>3</s:v>
      </s:c>
      <s:c r="X23" s="216">
        <s:v>4</s:v>
      </s:c>
      <s:c r="Y23" s="216">
        <s:v>5</s:v>
      </s:c>
      <s:c r="Z23" s="216">
        <s:v>6</s:v>
      </s:c>
      <s:c r="AA23" s="216">
        <s:v>10</s:v>
      </s:c>
      <s:c r="AB23" s="216">
        <s:v>11</s:v>
      </s:c>
    </s:row>
    <s:row r="24">
      <s:c r="A24" s="80">
        <s:v>1</s:v>
      </s:c>
      <s:c r="B24" s="214">
        <s:v>1</s:v>
      </s:c>
      <s:c r="C24" s="215">
        <s:v>2</s:v>
      </s:c>
      <s:c r="D24" s="214">
        <s:v>3</s:v>
      </s:c>
      <s:c r="E24" s="214">
        <s:v>4</s:v>
      </s:c>
      <s:c r="F24" s="214">
        <s:v>5</s:v>
      </s:c>
      <s:c r="G24" s="214">
        <s:v>6</s:v>
      </s:c>
      <s:c r="H24" s="214">
        <s:v>7</s:v>
      </s:c>
      <s:c r="I24" s="214">
        <s:v>8</s:v>
      </s:c>
      <s:c r="J24" s="214">
        <s:v>9</s:v>
      </s:c>
      <s:c r="K24" s="214">
        <s:v>10</s:v>
      </s:c>
      <s:c r="L24" s="214">
        <s:v>11</s:v>
      </s:c>
      <s:c r="M24" s="214">
        <s:v>12</s:v>
      </s:c>
      <s:c r="N24" s="214">
        <s:v>13</s:v>
      </s:c>
      <s:c r="O24" s="214">
        <s:v>14</s:v>
      </s:c>
      <s:c r="P24" s="214"/>
      <s:c r="Q24" s="214">
        <s:v>15</s:v>
      </s:c>
      <s:c r="R24" s="214">
        <s:v>16</s:v>
      </s:c>
      <s:c r="S24" s="214">
        <s:v>17</s:v>
      </s:c>
      <s:c r="T24" s="87">
        <s:f>D25/U24</s:f>
        <s:v>1.2568641071872899</s:v>
      </s:c>
      <s:c r="U24" s="88">
        <s:f>$L$8*AA24*AB24/SUMPRODUCT($AB$24:$AB$55,$AA$24:$AA$55)</s:f>
        <s:v>82582.515807759104</s:v>
      </s:c>
      <s:c r="V24" s="89">
        <s:f>$L$9*AA24*AB24/SUMPRODUCT($AB$24:$AB$55,$AA$24:$AA$55)</s:f>
        <s:v>11.882376375217101</s:v>
      </s:c>
      <s:c r="W24" s="89">
        <s:f>IF($L$12="","",V24/$L$12)</s:f>
        <s:v>6.5287782281412801</s:v>
      </s:c>
      <s:c r="X24" s="88">
        <s:f>IF(D25&lt;&gt;"",D25,U24)</s:f>
        <s:v>103795</s:v>
      </s:c>
      <s:c r="Y24" s="89">
        <s:f>IF(E25&lt;&gt;"",E25,V24)</s:f>
        <s:v>9</s:v>
      </s:c>
      <s:c r="Z24" s="89">
        <s:f>IF(G25&lt;&gt;"",G25,W24)</s:f>
        <s:v>4</s:v>
      </s:c>
      <s:c r="AA24" s="90">
        <s:v>1</s:v>
      </s:c>
      <s:c r="AB24" s="90">
        <s:v>1</s:v>
      </s:c>
      <s:c r="AC24" s="217"/>
      <s:c r="AD24" s="92"/>
    </s:row>
    <s:row r="25">
      <s:c r="A25" s="80">
        <s:v>2</s:v>
      </s:c>
      <s:c r="B25" s="81">
        <s:v>46113</s:v>
      </s:c>
      <s:c r="C25" s="82" t="s">
        <s:v>56</s:v>
      </s:c>
      <s:c r="D25" s="83">
        <s:f>4393+85786+6723+6893</s:f>
        <s:v>103795</s:v>
      </s:c>
      <s:c r="E25" s="85">
        <s:v>9</s:v>
      </s:c>
      <s:c r="F25" s="85">
        <s:f>IF(AND(E25&lt;&gt;"",E25&lt;&gt;0),D25/E25,"")</s:f>
        <s:v>11532.777777777777</s:v>
      </s:c>
      <s:c r="G25" s="85">
        <s:v>4</s:v>
      </s:c>
      <s:c r="H25" s="85">
        <s:f>IF(AND(G25&lt;&gt;"",G25&lt;&gt;0),D25/G25,"")</s:f>
        <s:v>25948.75</s:v>
      </s:c>
      <s:c r="I25" s="85">
        <s:v>37</s:v>
      </s:c>
      <s:c r="J25" s="83">
        <s:f>IF(AND(G25&lt;&gt;"",G25&lt;&gt;0),E25/G25,"")</s:f>
        <s:v>2.25</s:v>
      </s:c>
      <s:c r="K25" s="85">
        <s:v>24291</s:v>
      </s:c>
      <s:c r="L25" s="85"/>
      <s:c r="M25" s="85"/>
      <s:c r="N25" s="85">
        <s:v>34542</s:v>
      </s:c>
      <s:c r="O25" s="85"/>
      <s:c r="P25" s="85"/>
      <s:c r="Q25" s="85">
        <s:v>21343</s:v>
      </s:c>
      <s:c r="R25" s="85"/>
      <s:c r="S25" s="86">
        <s:f>IF(AND(I25&lt;&gt;"",I25&lt;&gt;0),G25/I25,"")</s:f>
        <s:v>0.10810810810810811</s:v>
      </s:c>
      <s:c r="T25" s="87">
        <s:f>D26/U25</s:f>
        <s:v>0.116053621111643</s:v>
      </s:c>
      <s:c r="U25" s="88">
        <s:f>$L$8*AA25*AB25/SUMPRODUCT($AB$24:$AB$55,$AA$24:$AA$55)</s:f>
        <s:v>82582.515807759104</s:v>
      </s:c>
      <s:c r="V25" s="89">
        <s:f>$L$9*AA25*AB25/SUMPRODUCT($AB$24:$AB$57,$AA$24:$AA$57)</s:f>
        <s:v>11.882376375217101</s:v>
      </s:c>
      <s:c r="W25" s="89">
        <s:f>IF($L$12="","",V25/$L$12)</s:f>
        <s:v>6.5287782281412801</s:v>
      </s:c>
      <s:c r="X25" s="88">
        <s:f>IF(AB25&lt;&gt;"",IF(D26&lt;&gt;"",D26,($L$8-SUM($X$24:X24))*AA25*AB25/SUMPRODUCT($AB25:$AB$55,$AA25:$AA$55)),"")</s:f>
        <s:v>9584</s:v>
      </s:c>
      <s:c r="Y25" s="89">
        <s:f>IF(AB25&lt;&gt;"",IF(E26&lt;&gt;"",E26,($L$9-SUM($Y$24:Y24))*AA25*AB25/SUMPRODUCT($AB25:$AB$57,$AA25:$AA$57)),"")</s:f>
        <s:v>2</s:v>
      </s:c>
      <s:c r="Z25" s="89">
        <s:f>IF(AB25&lt;&gt;"",IF($L$12&lt;&gt;"",IF(G26&lt;&gt;"",G26,($L$9/$L$12-SUM($Z$24:Z24))*AA25*AB25/SUMPRODUCT($AB25:$AB$57,$AA25:$AA$57)),""),"")</s:f>
        <s:v>1</s:v>
      </s:c>
      <s:c r="AA25" s="90">
        <s:v>1</s:v>
      </s:c>
      <s:c r="AB25" s="90">
        <s:v>1</s:v>
      </s:c>
      <s:c r="AC25" s="91"/>
      <s:c r="AD25" s="92"/>
    </s:row>
    <s:row r="26">
      <s:c r="A26" s="80">
        <s:v>3</s:v>
      </s:c>
      <s:c r="B26" s="81">
        <s:v>46114</s:v>
      </s:c>
      <s:c r="C26" s="82" t="s">
        <s:v>57</s:v>
      </s:c>
      <s:c r="D26" s="83">
        <s:v>9584</s:v>
      </s:c>
      <s:c r="E26" s="85">
        <s:v>2</s:v>
      </s:c>
      <s:c r="F26" s="85">
        <s:f>IF(AND(E26&lt;&gt;"",E26&lt;&gt;0),D26/E26,"")</s:f>
        <s:v>4792</s:v>
      </s:c>
      <s:c r="G26" s="85">
        <s:v>1</s:v>
      </s:c>
      <s:c r="H26" s="85">
        <s:f>IF(AND(G26&lt;&gt;"",G26&lt;&gt;0),D26/G26,"")</s:f>
        <s:v>9584</s:v>
      </s:c>
      <s:c r="I26" s="85">
        <s:v>15</s:v>
      </s:c>
      <s:c r="J26" s="83">
        <s:f>IF(AND(G26&lt;&gt;"",G26&lt;&gt;0),E26/G26,"")</s:f>
        <s:v>2</s:v>
      </s:c>
      <s:c r="K26" s="85"/>
      <s:c r="L26" s="85"/>
      <s:c r="M26" s="85"/>
      <s:c r="N26" s="85"/>
      <s:c r="O26" s="85"/>
      <s:c r="P26" s="85"/>
      <s:c r="Q26" s="85"/>
      <s:c r="R26" s="85"/>
      <s:c r="S26" s="86">
        <s:f>IF(AND(I26&lt;&gt;"",I26&lt;&gt;0),G26/I26,"")</s:f>
        <s:v>6.6666666666666666E-2</s:v>
      </s:c>
      <s:c r="T26" s="87">
        <s:f>D27/U26</s:f>
        <s:v>5.31952793764034E-2</s:v>
      </s:c>
      <s:c r="U26" s="88">
        <s:f>$L$8*AA26*AB26/SUMPRODUCT($AB$24:$AB$55,$AA$24:$AA$55)</s:f>
        <s:v>82582.515807759104</s:v>
      </s:c>
      <s:c r="V26" s="89">
        <s:f>$L$9*AA26*AB26/SUMPRODUCT($AB$24:$AB$57,$AA$24:$AA$57)</s:f>
        <s:v>11.882376375217101</s:v>
      </s:c>
      <s:c r="W26" s="89">
        <s:f>IF($L$12="","",V26/$L$12)</s:f>
        <s:v>6.5287782281412801</s:v>
      </s:c>
      <s:c r="X26" s="88">
        <s:f>IF(AB26&lt;&gt;"",IF(D27&lt;&gt;"",D27,($L$8-SUM($X$24:X25))*AA26*AB26/SUMPRODUCT($AB26:$AB$57,$AA26:$AA$57)),"")</s:f>
        <s:v>4393</s:v>
      </s:c>
      <s:c r="Y26" s="89">
        <s:f>IF(AB26&lt;&gt;"",IF(E27&lt;&gt;"",E27,($L$9-SUM($Y$24:Y25))*AA26*AB26/SUMPRODUCT($AB26:$AB$57,$AA26:$AA$57)),"")</s:f>
        <s:v>1</s:v>
      </s:c>
      <s:c r="Z26" s="89">
        <s:f>IF(AB26&lt;&gt;"",IF($L$12&lt;&gt;"",IF(G27&lt;&gt;"",G27,($L$9/$L$12-SUM($Z$24:Z25))*AA26*AB26/SUMPRODUCT($AB26:$AB$57,$AA26:$AA$57)),""),"")</s:f>
        <s:v>1</s:v>
      </s:c>
      <s:c r="AA26" s="90">
        <s:v>1</s:v>
      </s:c>
      <s:c r="AB26" s="90">
        <s:v>1</s:v>
      </s:c>
      <s:c r="AC26" s="91"/>
      <s:c r="AD26" s="218"/>
      <s:c r="AE26" s="2"/>
      <s:c r="AF26" s="2"/>
      <s:c r="AG26" s="2"/>
      <s:c r="AH26" s="2"/>
      <s:c r="AI26" s="2"/>
    </s:row>
    <s:row r="27" spans="1:260" s="219" customFormat="1">
      <s:c r="A27" s="80">
        <s:v>4</s:v>
      </s:c>
      <s:c r="B27" s="81">
        <s:v>46115</s:v>
      </s:c>
      <s:c r="C27" s="82" t="s">
        <s:v>58</s:v>
      </s:c>
      <s:c r="D27" s="83">
        <s:v>4393</s:v>
      </s:c>
      <s:c r="E27" s="85">
        <s:v>1</s:v>
      </s:c>
      <s:c r="F27" s="85">
        <s:v>4393</s:v>
      </s:c>
      <s:c r="G27" s="85">
        <s:v>1</s:v>
      </s:c>
      <s:c r="H27" s="85">
        <s:f>IF(AND(G27&lt;&gt;"",G27&lt;&gt;0),D27/G27,"")</s:f>
        <s:v>4393</s:v>
      </s:c>
      <s:c r="I27" s="85">
        <s:v>20</s:v>
      </s:c>
      <s:c r="J27" s="83">
        <s:f>IF(AND(G27&lt;&gt;"",G27&lt;&gt;0),E27/G27,"")</s:f>
        <s:v>1</s:v>
      </s:c>
      <s:c r="K27" s="85"/>
      <s:c r="L27" s="85"/>
      <s:c r="M27" s="85"/>
      <s:c r="N27" s="85"/>
      <s:c r="O27" s="85"/>
      <s:c r="P27" s="85"/>
      <s:c r="Q27" s="85"/>
      <s:c r="R27" s="85"/>
      <s:c r="S27" s="86">
        <s:f>IF(AND(I27&lt;&gt;"",I27&lt;&gt;0),G27/I27,"")</s:f>
        <s:v>0.05</s:v>
      </s:c>
      <s:c r="T27" s="87">
        <s:f>D28/U27</s:f>
        <s:v>0.22746945665507301</s:v>
      </s:c>
      <s:c r="U27" s="88">
        <s:f>$L$8*AA27*AB27/SUMPRODUCT($AB$24:$AB$55,$AA$24:$AA$55)</s:f>
        <s:v>82582.515807759104</s:v>
      </s:c>
      <s:c r="V27" s="89">
        <s:f>$L$9*AA27*AB27/SUMPRODUCT($AB$24:$AB$57,$AA$24:$AA$57)</s:f>
        <s:v>11.882376375217101</s:v>
      </s:c>
      <s:c r="W27" s="89">
        <s:f>IF($L$12="","",V27/$L$12)</s:f>
        <s:v>6.5287782281412801</s:v>
      </s:c>
      <s:c r="X27" s="88">
        <s:f>IF(AB27&lt;&gt;"",IF(D28&lt;&gt;"",D28,($L$8-SUM($X$24:X26))*AA27*AB27/SUMPRODUCT($AB27:$AB$57,$AA27:$AA$57)),"")</s:f>
        <s:v>18785</s:v>
      </s:c>
      <s:c r="Y27" s="89">
        <s:f>IF(AB27&lt;&gt;"",IF(E28&lt;&gt;"",E28,($L$9-SUM($Y$24:Y26))*AA27*AB27/SUMPRODUCT($AB27:$AB$57,$AA27:$AA$57)),"")</s:f>
        <s:v>2</s:v>
      </s:c>
      <s:c r="Z27" s="89">
        <s:f>IF(AB27&lt;&gt;"",IF($L$12&lt;&gt;"",IF(G28&lt;&gt;"",G28,($L$9/$L$12-SUM($Z$24:Z26))*AA27*AB27/SUMPRODUCT($AB27:$AB$57,$AA27:$AA$57)),""),"")</s:f>
        <s:v>2</s:v>
      </s:c>
      <s:c r="AA27" s="90">
        <s:v>1</s:v>
      </s:c>
      <s:c r="AB27" s="90">
        <s:v>1</s:v>
      </s:c>
      <s:c r="AC27" s="91"/>
      <s:c r="AD27" s="92"/>
      <s:c r="AE27" s="2"/>
      <s:c r="AF27" s="2"/>
      <s:c r="AG27" s="2"/>
      <s:c r="AH27" s="2"/>
      <s:c r="AI27" s="2"/>
      <s:c r="AJ27" s="2"/>
      <s:c r="AK27" s="2"/>
      <s:c r="AL27" s="2"/>
      <s:c r="AM27" s="2"/>
      <s:c r="AN27" s="2"/>
      <s:c r="AO27" s="2"/>
      <s:c r="AP27" s="2"/>
      <s:c r="AQ27" s="2"/>
      <s:c r="AR27" s="2"/>
      <s:c r="AS27" s="2"/>
      <s:c r="AT27" s="2"/>
      <s:c r="AU27" s="2"/>
      <s:c r="AV27" s="2"/>
      <s:c r="AW27" s="2"/>
      <s:c r="AX27" s="2"/>
      <s:c r="AY27" s="2"/>
      <s:c r="AZ27" s="2"/>
      <s:c r="BA27" s="2"/>
      <s:c r="BB27" s="2"/>
      <s:c r="BC27" s="2"/>
      <s:c r="BD27" s="2"/>
      <s:c r="BE27" s="2"/>
      <s:c r="BF27" s="2"/>
      <s:c r="BG27" s="2"/>
      <s:c r="BH27" s="2"/>
      <s:c r="BI27" s="2"/>
      <s:c r="BJ27" s="2"/>
      <s:c r="BK27" s="2"/>
      <s:c r="BL27" s="2"/>
      <s:c r="BM27" s="2"/>
      <s:c r="BN27" s="2"/>
      <s:c r="BO27" s="2"/>
      <s:c r="BP27" s="2"/>
      <s:c r="BQ27" s="2"/>
      <s:c r="BR27" s="2"/>
      <s:c r="BS27" s="2"/>
      <s:c r="BT27" s="2"/>
      <s:c r="BU27" s="2"/>
      <s:c r="BV27" s="2"/>
      <s:c r="BW27" s="2"/>
      <s:c r="BX27" s="2"/>
      <s:c r="BY27" s="2"/>
      <s:c r="BZ27" s="2"/>
      <s:c r="CA27" s="2"/>
      <s:c r="CB27" s="2"/>
      <s:c r="CC27" s="2"/>
      <s:c r="CD27" s="2"/>
      <s:c r="CE27" s="2"/>
      <s:c r="CF27" s="2"/>
      <s:c r="CG27" s="2"/>
      <s:c r="CH27" s="2"/>
      <s:c r="CI27" s="2"/>
      <s:c r="CJ27" s="2"/>
      <s:c r="CK27" s="2"/>
      <s:c r="CL27" s="2"/>
      <s:c r="CM27" s="2"/>
      <s:c r="CN27" s="2"/>
      <s:c r="CO27" s="2"/>
      <s:c r="CP27" s="2"/>
      <s:c r="CQ27" s="2"/>
      <s:c r="CR27" s="2"/>
      <s:c r="CS27" s="2"/>
      <s:c r="CT27" s="2"/>
      <s:c r="CU27" s="2"/>
      <s:c r="CV27" s="2"/>
      <s:c r="CW27" s="2"/>
      <s:c r="CX27" s="2"/>
      <s:c r="CY27" s="2"/>
      <s:c r="CZ27" s="2"/>
      <s:c r="DA27" s="2"/>
      <s:c r="DB27" s="2"/>
      <s:c r="DC27" s="2"/>
      <s:c r="DD27" s="2"/>
      <s:c r="DE27" s="2"/>
      <s:c r="DF27" s="2"/>
      <s:c r="DG27" s="2"/>
      <s:c r="DH27" s="2"/>
      <s:c r="DI27" s="2"/>
      <s:c r="DJ27" s="2"/>
      <s:c r="DK27" s="2"/>
      <s:c r="DL27" s="2"/>
      <s:c r="DM27" s="2"/>
      <s:c r="DN27" s="2"/>
      <s:c r="DO27" s="2"/>
      <s:c r="DP27" s="2"/>
      <s:c r="DQ27" s="2"/>
      <s:c r="DR27" s="2"/>
      <s:c r="DS27" s="2"/>
      <s:c r="DT27" s="2"/>
      <s:c r="DU27" s="2"/>
      <s:c r="DV27" s="2"/>
      <s:c r="DW27" s="2"/>
      <s:c r="DX27" s="2"/>
      <s:c r="DY27" s="2"/>
      <s:c r="DZ27" s="2"/>
      <s:c r="EA27" s="2"/>
      <s:c r="EB27" s="2"/>
      <s:c r="EC27" s="2"/>
      <s:c r="ED27" s="2"/>
      <s:c r="EE27" s="2"/>
      <s:c r="EF27" s="2"/>
      <s:c r="EG27" s="2"/>
      <s:c r="EH27" s="2"/>
      <s:c r="EI27" s="2"/>
      <s:c r="EJ27" s="2"/>
      <s:c r="EK27" s="2"/>
      <s:c r="EL27" s="2"/>
      <s:c r="EM27" s="2"/>
      <s:c r="EN27" s="2"/>
      <s:c r="EO27" s="2"/>
      <s:c r="EP27" s="2"/>
      <s:c r="EQ27" s="2"/>
      <s:c r="ER27" s="2"/>
      <s:c r="ES27" s="2"/>
      <s:c r="ET27" s="2"/>
      <s:c r="EU27" s="2"/>
      <s:c r="EV27" s="2"/>
      <s:c r="EW27" s="2"/>
      <s:c r="EX27" s="2"/>
      <s:c r="EY27" s="2"/>
      <s:c r="EZ27" s="2"/>
      <s:c r="FA27" s="2"/>
      <s:c r="FB27" s="2"/>
      <s:c r="FC27" s="2"/>
      <s:c r="FD27" s="2"/>
      <s:c r="FE27" s="2"/>
      <s:c r="FF27" s="2"/>
      <s:c r="FG27" s="2"/>
      <s:c r="FH27" s="2"/>
      <s:c r="FI27" s="2"/>
      <s:c r="FJ27" s="2"/>
      <s:c r="FK27" s="2"/>
      <s:c r="FL27" s="2"/>
      <s:c r="FM27" s="2"/>
      <s:c r="FN27" s="2"/>
      <s:c r="FO27" s="2"/>
      <s:c r="FP27" s="2"/>
      <s:c r="FQ27" s="2"/>
      <s:c r="FR27" s="2"/>
      <s:c r="FS27" s="2"/>
      <s:c r="FT27" s="2"/>
      <s:c r="FU27" s="2"/>
      <s:c r="FV27" s="2"/>
      <s:c r="FW27" s="2"/>
      <s:c r="FX27" s="2"/>
      <s:c r="FY27" s="2"/>
      <s:c r="FZ27" s="2"/>
      <s:c r="GA27" s="2"/>
      <s:c r="GB27" s="2"/>
      <s:c r="GC27" s="2"/>
      <s:c r="GD27" s="2"/>
      <s:c r="GE27" s="2"/>
      <s:c r="GF27" s="2"/>
      <s:c r="GG27" s="2"/>
      <s:c r="GH27" s="2"/>
      <s:c r="GI27" s="2"/>
      <s:c r="GJ27" s="2"/>
      <s:c r="GK27" s="2"/>
      <s:c r="GL27" s="2"/>
      <s:c r="GM27" s="2"/>
      <s:c r="GN27" s="2"/>
      <s:c r="GO27" s="2"/>
      <s:c r="GP27" s="2"/>
      <s:c r="GQ27" s="2"/>
      <s:c r="GR27" s="2"/>
      <s:c r="GS27" s="2"/>
      <s:c r="GT27" s="2"/>
      <s:c r="GU27" s="2"/>
      <s:c r="GV27" s="2"/>
      <s:c r="GW27" s="2"/>
      <s:c r="GX27" s="2"/>
      <s:c r="GY27" s="2"/>
      <s:c r="GZ27" s="2"/>
      <s:c r="HA27" s="2"/>
      <s:c r="HB27" s="2"/>
      <s:c r="HC27" s="2"/>
      <s:c r="HD27" s="2"/>
      <s:c r="HE27" s="2"/>
      <s:c r="HF27" s="2"/>
      <s:c r="HG27" s="2"/>
      <s:c r="HH27" s="2"/>
      <s:c r="HI27" s="2"/>
      <s:c r="HJ27" s="2"/>
      <s:c r="HK27" s="2"/>
      <s:c r="HL27" s="2"/>
      <s:c r="HM27" s="2"/>
      <s:c r="HN27" s="2"/>
      <s:c r="HO27" s="2"/>
      <s:c r="HP27" s="2"/>
      <s:c r="HQ27" s="2"/>
      <s:c r="HR27" s="2"/>
      <s:c r="HS27" s="2"/>
      <s:c r="HT27" s="2"/>
      <s:c r="HU27" s="2"/>
      <s:c r="HV27" s="2"/>
      <s:c r="HW27" s="2"/>
      <s:c r="HX27" s="2"/>
      <s:c r="HY27" s="2"/>
      <s:c r="HZ27" s="2"/>
      <s:c r="IA27" s="2"/>
      <s:c r="IB27" s="2"/>
      <s:c r="IC27" s="2"/>
      <s:c r="ID27" s="2"/>
      <s:c r="IE27" s="2"/>
      <s:c r="IF27" s="2"/>
      <s:c r="IG27" s="2"/>
      <s:c r="IH27" s="2"/>
      <s:c r="II27" s="2"/>
      <s:c r="IJ27" s="2"/>
      <s:c r="IK27" s="2"/>
      <s:c r="IL27" s="2"/>
      <s:c r="IM27" s="2"/>
      <s:c r="IN27" s="2"/>
      <s:c r="IO27" s="2"/>
      <s:c r="IP27" s="2"/>
      <s:c r="IQ27" s="2"/>
      <s:c r="IR27" s="2"/>
      <s:c r="IS27" s="2"/>
      <s:c r="IT27" s="2"/>
      <s:c r="IU27" s="2"/>
      <s:c r="IV27" s="2"/>
      <s:c r="IW27" s="2"/>
      <s:c r="IX27" s="2"/>
      <s:c r="IY27" s="2"/>
      <s:c r="IZ27" s="2"/>
    </s:row>
    <s:row r="28">
      <s:c r="A28" s="80">
        <s:v>5</s:v>
      </s:c>
      <s:c r="B28" s="81">
        <s:v>46116</s:v>
      </s:c>
      <s:c r="C28" s="82" t="s">
        <s:v>59</s:v>
      </s:c>
      <s:c r="D28" s="83">
        <s:v>18785</s:v>
      </s:c>
      <s:c r="E28" s="85">
        <s:v>2</s:v>
      </s:c>
      <s:c r="F28" s="85">
        <s:v>9392</s:v>
      </s:c>
      <s:c r="G28" s="85">
        <s:v>2</s:v>
      </s:c>
      <s:c r="H28" s="85">
        <s:v>9392</s:v>
      </s:c>
      <s:c r="I28" s="85">
        <s:v>23</s:v>
      </s:c>
      <s:c r="J28" s="83">
        <s:f>IF(AND(G28&lt;&gt;"",G28&lt;&gt;0),E28/G28,"")</s:f>
        <s:v>1</s:v>
      </s:c>
      <s:c r="K28" s="85"/>
      <s:c r="L28" s="85"/>
      <s:c r="M28" s="85"/>
      <s:c r="N28" s="85"/>
      <s:c r="O28" s="85"/>
      <s:c r="P28" s="85"/>
      <s:c r="Q28" s="85">
        <s:v>14093</s:v>
      </s:c>
      <s:c r="R28" s="85"/>
      <s:c r="S28" s="86">
        <s:f>IF(AND(I28&lt;&gt;"",I28&lt;&gt;0),G28/I28,"")</s:f>
        <s:v>8.6956521739130432E-2</s:v>
      </s:c>
      <s:c r="T28" s="87">
        <s:f>D29/U28</s:f>
        <s:v>0.78619547206746399</s:v>
      </s:c>
      <s:c r="U28" s="88">
        <s:f>$L$8*AA28*AB28/SUMPRODUCT($AB$24:$AB$55,$AA$24:$AA$55)</s:f>
        <s:v>82582.515807759104</s:v>
      </s:c>
      <s:c r="V28" s="89">
        <s:f>$L$9*AA28*AB28/SUMPRODUCT($AB$24:$AB$57,$AA$24:$AA$57)</s:f>
        <s:v>11.882376375217101</s:v>
      </s:c>
      <s:c r="W28" s="89">
        <s:f>IF($L$12="","",V28/$L$12)</s:f>
        <s:v>6.5287782281412801</s:v>
      </s:c>
      <s:c r="X28" s="88">
        <s:f>IF(AB28&lt;&gt;"",IF(D29&lt;&gt;"",D29,($L$8-SUM($X$24:X27))*AA28*AB28/SUMPRODUCT($AB28:$AB$57,$AA28:$AA$57)),"")</s:f>
        <s:v>64926</s:v>
      </s:c>
      <s:c r="Y28" s="89">
        <s:f>IF(AB28&lt;&gt;"",IF(E29&lt;&gt;"",E29,($L$9-SUM($Y$24:Y27))*AA28*AB28/SUMPRODUCT($AB28:$AB$57,$AA28:$AA$57)),"")</s:f>
        <s:v>10</s:v>
      </s:c>
      <s:c r="Z28" s="89">
        <s:f>IF(AB28&lt;&gt;"",IF($L$12&lt;&gt;"",IF(G29&lt;&gt;"",G29,($L$9/$L$12-SUM($Z$24:Z27))*AA28*AB28/SUMPRODUCT($AB28:$AB$57,$AA28:$AA$57)),""),"")</s:f>
        <s:v>3</s:v>
      </s:c>
      <s:c r="AA28" s="90">
        <s:v>1</s:v>
      </s:c>
      <s:c r="AB28" s="90">
        <s:v>1</s:v>
      </s:c>
      <s:c r="AC28" s="91"/>
      <s:c r="AD28" s="92"/>
      <s:c r="AE28" s="2"/>
      <s:c r="AF28" s="2"/>
      <s:c r="AG28" s="2"/>
      <s:c r="AH28" s="2"/>
      <s:c r="AI28" s="2"/>
    </s:row>
    <s:row r="29">
      <s:c r="A29" s="80">
        <s:v>6</s:v>
      </s:c>
      <s:c r="B29" s="81">
        <s:v>46117</s:v>
      </s:c>
      <s:c r="C29" s="82" t="s">
        <s:v>53</s:v>
      </s:c>
      <s:c r="D29" s="83">
        <s:v>64926</s:v>
      </s:c>
      <s:c r="E29" s="85">
        <s:v>10</s:v>
      </s:c>
      <s:c r="F29" s="85">
        <s:f>IF(AND(E29&lt;&gt;"",E29&lt;&gt;0),D29/E29,"")</s:f>
        <s:v>6492.6</s:v>
      </s:c>
      <s:c r="G29" s="85">
        <s:v>3</s:v>
      </s:c>
      <s:c r="H29" s="85">
        <s:f>IF(AND(G29&lt;&gt;"",G29&lt;&gt;0),D29/G29,"")</s:f>
        <s:v>21642</s:v>
      </s:c>
      <s:c r="I29" s="85">
        <s:v>30</s:v>
      </s:c>
      <s:c r="J29" s="83">
        <s:f>IF(AND(G29&lt;&gt;"",G29&lt;&gt;0),E29/G29,"")</s:f>
        <s:v>3.3333333333333335</s:v>
      </s:c>
      <s:c r="K29" s="85"/>
      <s:c r="L29" s="85"/>
      <s:c r="M29" s="85"/>
      <s:c r="N29" s="85">
        <s:v>33570</s:v>
      </s:c>
      <s:c r="O29" s="85"/>
      <s:c r="P29" s="85"/>
      <s:c r="Q29" s="85"/>
      <s:c r="R29" s="588">
        <s:v>6490</s:v>
      </s:c>
      <s:c r="S29" s="86">
        <s:f>IF(AND(I29&lt;&gt;"",I29&lt;&gt;0),G29/I29,"")</s:f>
        <s:v>0.1</s:v>
      </s:c>
      <s:c r="T29" s="87">
        <s:f>D30/U29</s:f>
        <s:v>0.34477031513884798</s:v>
      </s:c>
      <s:c r="U29" s="88">
        <s:f>$L$8*AA29*AB29/SUMPRODUCT($AB$24:$AB$55,$AA$24:$AA$55)</s:f>
        <s:v>82582.515807759104</s:v>
      </s:c>
      <s:c r="V29" s="89">
        <s:f>$L$9*AA29*AB29/SUMPRODUCT($AB$24:$AB$57,$AA$24:$AA$57)</s:f>
        <s:v>11.882376375217101</s:v>
      </s:c>
      <s:c r="W29" s="89">
        <s:f>IF($L$12="","",V29/$L$12)</s:f>
        <s:v>6.5287782281412801</s:v>
      </s:c>
      <s:c r="X29" s="88">
        <s:f>IF(AB29&lt;&gt;"",IF(D30&lt;&gt;"",D30,($L$8-SUM($X$24:X28))*AA29*AB29/SUMPRODUCT($AB29:$AB$57,$AA29:$AA$57)),"")</s:f>
        <s:v>28472</s:v>
      </s:c>
      <s:c r="Y29" s="89">
        <s:f>IF(AB29&lt;&gt;"",IF(E30&lt;&gt;"",E30,($L$9-SUM($Y$24:Y28))*AA29*AB29/SUMPRODUCT($AB29:$AB$57,$AA29:$AA$57)),"")</s:f>
        <s:v>3</s:v>
      </s:c>
      <s:c r="Z29" s="89">
        <s:f>IF(AB29&lt;&gt;"",IF($L$12&lt;&gt;"",IF(G30&lt;&gt;"",G30,($L$9/$L$12-SUM($Z$24:Z28))*AA29*AB29/SUMPRODUCT($AB29:$AB$57,$AA29:$AA$57)),""),"")</s:f>
        <s:v>1</s:v>
      </s:c>
      <s:c r="AA29" s="90">
        <s:v>1</s:v>
      </s:c>
      <s:c r="AB29" s="90">
        <s:v>1</s:v>
      </s:c>
      <s:c r="AC29" s="91"/>
      <s:c r="AD29" s="92"/>
      <s:c r="AE29" s="2"/>
      <s:c r="AF29" s="2"/>
      <s:c r="AG29" s="2"/>
      <s:c r="AH29" s="2"/>
      <s:c r="AI29" s="2"/>
    </s:row>
    <s:row r="30">
      <s:c r="A30" s="80">
        <s:v>7</s:v>
      </s:c>
      <s:c r="B30" s="81">
        <s:v>46123</s:v>
      </s:c>
      <s:c r="C30" s="82" t="s">
        <s:v>59</s:v>
      </s:c>
      <s:c r="D30" s="83">
        <s:v>28472</s:v>
      </s:c>
      <s:c r="E30" s="85">
        <s:v>3</s:v>
      </s:c>
      <s:c r="F30" s="85">
        <s:f>IF(AND(E30&lt;&gt;"",E30&lt;&gt;0),D30/E30,"")</s:f>
        <s:v>9490.6666666666661</s:v>
      </s:c>
      <s:c r="G30" s="85">
        <s:v>1</s:v>
      </s:c>
      <s:c r="H30" s="85">
        <s:f>IF(AND(G30&lt;&gt;"",G30&lt;&gt;0),D30/G30,"")</s:f>
        <s:v>28472</s:v>
      </s:c>
      <s:c r="I30" s="85">
        <s:v>15</s:v>
      </s:c>
      <s:c r="J30" s="83">
        <s:f>IF(AND(G30&lt;&gt;"",G30&lt;&gt;0),E30/G30,"")</s:f>
        <s:v>3</s:v>
      </s:c>
      <s:c r="K30" s="85"/>
      <s:c r="L30" s="85"/>
      <s:c r="M30" s="85"/>
      <s:c r="N30" s="85"/>
      <s:c r="O30" s="85"/>
      <s:c r="P30" s="85"/>
      <s:c r="Q30" s="85">
        <s:v>20780</s:v>
      </s:c>
      <s:c r="R30" s="85"/>
      <s:c r="S30" s="86">
        <s:f>IF(AND(I30&lt;&gt;"",I30&lt;&gt;0),G30/I30,"")</s:f>
        <s:v>6.6666666666666666E-2</s:v>
      </s:c>
      <s:c r="T30" s="87">
        <s:f>D31/U30</s:f>
        <s:v>1.335621698142027</s:v>
      </s:c>
      <s:c r="U30" s="88">
        <s:f>$L$8*AA30*AB30/SUMPRODUCT($AB$24:$AB$55,$AA$24:$AA$55)</s:f>
        <s:v>82582.515807759104</s:v>
      </s:c>
      <s:c r="V30" s="89">
        <s:f>$L$9*AA30*AB30/SUMPRODUCT($AB$24:$AB$57,$AA$24:$AA$57)</s:f>
        <s:v>11.882376375217101</s:v>
      </s:c>
      <s:c r="W30" s="89">
        <s:f>IF($L$12="","",V30/$L$12)</s:f>
        <s:v>6.5287782281412801</s:v>
      </s:c>
      <s:c r="X30" s="88">
        <s:f>IF(AB30&lt;&gt;"",IF(D31&lt;&gt;"",D31,($L$8-SUM($X$24:X29))*AA30*AB30/SUMPRODUCT($AB30:$AB$57,$AA30:$AA$57)),"")</s:f>
        <s:v>110299</s:v>
      </s:c>
      <s:c r="Y30" s="89">
        <s:f>IF(AB30&lt;&gt;"",IF(E31&lt;&gt;"",E31,($L$9-SUM($Y$24:Y29))*AA30*AB30/SUMPRODUCT($AB30:$AB$57,$AA30:$AA$57)),"")</s:f>
        <s:v>9</s:v>
      </s:c>
      <s:c r="Z30" s="89">
        <s:f>IF(AB30&lt;&gt;"",IF($L$12&lt;&gt;"",IF(G31&lt;&gt;"",G31,($L$9/$L$12-SUM($Z$24:Z29))*AA30*AB30/SUMPRODUCT($AB30:$AB$57,$AA30:$AA$57)),""),"")</s:f>
        <s:v>5</s:v>
      </s:c>
      <s:c r="AA30" s="90">
        <s:v>1</s:v>
      </s:c>
      <s:c r="AB30" s="90">
        <s:v>1</s:v>
      </s:c>
      <s:c r="AC30" s="91"/>
      <s:c r="AD30" s="92"/>
    </s:row>
    <s:row r="31">
      <s:c r="A31" s="80">
        <s:v>8</s:v>
      </s:c>
      <s:c r="B31" s="81">
        <s:v>46124</s:v>
      </s:c>
      <s:c r="C31" s="82" t="s">
        <s:v>53</s:v>
      </s:c>
      <s:c r="D31" s="83">
        <s:v>110299</s:v>
      </s:c>
      <s:c r="E31" s="85">
        <s:v>9</s:v>
      </s:c>
      <s:c r="F31" s="85">
        <s:f>IF(AND(E31&lt;&gt;"",E31&lt;&gt;0),D31/E31,"")</s:f>
        <s:v>12255.444444444445</s:v>
      </s:c>
      <s:c r="G31" s="85">
        <s:v>5</s:v>
      </s:c>
      <s:c r="H31" s="85">
        <s:f>IF(AND(G31&lt;&gt;"",G31&lt;&gt;0),D31/G31,"")</s:f>
        <s:v>22059.8</s:v>
      </s:c>
      <s:c r="I31" s="85">
        <s:v>15</s:v>
      </s:c>
      <s:c r="J31" s="83">
        <s:f>IF(AND(G31&lt;&gt;"",G31&lt;&gt;0),E31/G31,"")</s:f>
        <s:v>1.8</s:v>
      </s:c>
      <s:c r="K31" s="85">
        <s:v>22931</s:v>
      </s:c>
      <s:c r="L31" s="85">
        <s:v>45002</s:v>
      </s:c>
      <s:c r="M31" s="85"/>
      <s:c r="N31" s="85"/>
      <s:c r="O31" s="85"/>
      <s:c r="P31" s="85"/>
      <s:c r="Q31" s="85"/>
      <s:c r="R31" s="85"/>
      <s:c r="S31" s="86">
        <s:f>IF(AND(I31&lt;&gt;"",I31&lt;&gt;0),G31/I31,"")</s:f>
        <s:v>0.33333333333333331</s:v>
      </s:c>
      <s:c r="T31" s="87">
        <s:f>D32/U31</s:f>
        <s:v>0.65317700087470398</s:v>
      </s:c>
      <s:c r="U31" s="88">
        <s:f>$L$8*AA31*AB31/SUMPRODUCT($AB$24:$AB$55,$AA$24:$AA$55)</s:f>
        <s:v>82582.515807759104</s:v>
      </s:c>
      <s:c r="V31" s="89">
        <s:f>$L$9*AA31*AB31/SUMPRODUCT($AB$24:$AB$57,$AA$24:$AA$57)</s:f>
        <s:v>11.882376375217101</s:v>
      </s:c>
      <s:c r="W31" s="89">
        <s:f>IF($L$12="","",V31/$L$12)</s:f>
        <s:v>6.5287782281412801</s:v>
      </s:c>
      <s:c r="X31" s="88">
        <s:f>IF(AB31&lt;&gt;"",IF(D32&lt;&gt;"",D32,($L$8-SUM($X$24:X30))*AA31*AB31/SUMPRODUCT($AB31:$AB$57,$AA31:$AA$57)),"")</s:f>
        <s:v>53941</s:v>
      </s:c>
      <s:c r="Y31" s="89">
        <s:f>IF(AB31&lt;&gt;"",IF(E32&lt;&gt;"",E32,($L$9-SUM($Y$24:Y30))*AA31*AB31/SUMPRODUCT($AB31:$AB$57,$AA31:$AA$57)),"")</s:f>
        <s:v>7</s:v>
      </s:c>
      <s:c r="Z31" s="89">
        <s:f>IF(AB31&lt;&gt;"",IF($L$12&lt;&gt;"",IF(G32&lt;&gt;"",G32,($L$9/$L$12-SUM($Z$24:Z30))*AA31*AB31/SUMPRODUCT($AB31:$AB$57,$AA31:$AA$57)),""),"")</s:f>
        <s:v>5</s:v>
      </s:c>
      <s:c r="AA31" s="90">
        <s:v>1</s:v>
      </s:c>
      <s:c r="AB31" s="90">
        <s:v>1</s:v>
      </s:c>
      <s:c r="AC31" s="91"/>
      <s:c r="AD31" s="92"/>
    </s:row>
    <s:row r="32">
      <s:c r="A32" s="80">
        <s:v>9</s:v>
      </s:c>
      <s:c r="B32" s="81">
        <s:v>46125</s:v>
      </s:c>
      <s:c r="C32" s="82" t="s">
        <s:v>54</s:v>
      </s:c>
      <s:c r="D32" s="83">
        <s:v>53941</s:v>
      </s:c>
      <s:c r="E32" s="85">
        <s:v>7</s:v>
      </s:c>
      <s:c r="F32" s="85">
        <s:f>IF(AND(E32&lt;&gt;"",E32&lt;&gt;0),D32/E32,"")</s:f>
        <s:v>7705.8571428571431</s:v>
      </s:c>
      <s:c r="G32" s="85">
        <s:v>5</s:v>
      </s:c>
      <s:c r="H32" s="85">
        <s:f>IF(AND(G32&lt;&gt;"",G32&lt;&gt;0),D32/G32,"")</s:f>
        <s:v>10788.2</s:v>
      </s:c>
      <s:c r="I32" s="85">
        <s:v>25</s:v>
      </s:c>
      <s:c r="J32" s="83">
        <s:f>IF(AND(G32&lt;&gt;"",G32&lt;&gt;0),E32/G32,"")</s:f>
        <s:v>1.4</s:v>
      </s:c>
      <s:c r="K32" s="220">
        <s:v>31984</s:v>
      </s:c>
      <s:c r="L32" s="85"/>
      <s:c r="M32" s="85"/>
      <s:c r="N32" s="85"/>
      <s:c r="O32" s="85"/>
      <s:c r="P32" s="85"/>
      <s:c r="Q32" s="85"/>
      <s:c r="R32" s="588">
        <s:v>3245</s:v>
      </s:c>
      <s:c r="S32" s="86">
        <s:f>IF(AND(I32&lt;&gt;"",I32&lt;&gt;0),G32/I32,"")</s:f>
        <s:v>0.2</s:v>
      </s:c>
      <s:c r="T32" s="87">
        <s:f>D33/U32</s:f>
        <s:v>0.33809820065298402</s:v>
      </s:c>
      <s:c r="U32" s="88">
        <s:f>$L$8*AA32*AB32/SUMPRODUCT($AB$24:$AB$55,$AA$24:$AA$55)</s:f>
        <s:v>82582.515807759104</s:v>
      </s:c>
      <s:c r="V32" s="89">
        <s:f>$L$9*AA32*AB32/SUMPRODUCT($AB$24:$AB$57,$AA$24:$AA$57)</s:f>
        <s:v>11.882376375217101</s:v>
      </s:c>
      <s:c r="W32" s="89">
        <s:f>IF($L$12="","",V32/$L$12)</s:f>
        <s:v>6.5287782281412801</s:v>
      </s:c>
      <s:c r="X32" s="88">
        <s:f>IF(AB32&lt;&gt;"",IF(D33&lt;&gt;"",D33,($L$8-SUM($X$24:X31))*AA32*AB32/SUMPRODUCT($AB32:$AB$57,$AA32:$AA$57)),"")</s:f>
        <s:v>27921</s:v>
      </s:c>
      <s:c r="Y32" s="89">
        <s:f>IF(AB32&lt;&gt;"",IF(E33&lt;&gt;"",E33,($L$9-SUM($Y$24:Y31))*AA32*AB32/SUMPRODUCT($AB32:$AB$57,$AA32:$AA$57)),"")</s:f>
        <s:v>3</s:v>
      </s:c>
      <s:c r="Z32" s="89">
        <s:f>IF(AB32&lt;&gt;"",IF($L$12&lt;&gt;"",IF(G33&lt;&gt;"",G33,($L$9/$L$12-SUM($Z$24:Z31))*AA32*AB32/SUMPRODUCT($AB32:$AB$57,$AA32:$AA$57)),""),"")</s:f>
        <s:v>3</s:v>
      </s:c>
      <s:c r="AA32" s="90">
        <s:v>1</s:v>
      </s:c>
      <s:c r="AB32" s="90">
        <s:v>1</s:v>
      </s:c>
      <s:c r="AC32" s="91"/>
      <s:c r="AD32" s="92"/>
      <s:c r="AE32" s="2"/>
      <s:c r="AF32" s="2"/>
      <s:c r="AG32" s="2"/>
      <s:c r="AH32" s="2"/>
      <s:c r="AI32" s="2"/>
    </s:row>
    <s:row r="33">
      <s:c r="A33" s="80">
        <s:v>10</s:v>
      </s:c>
      <s:c r="B33" s="81">
        <s:v>46126</s:v>
      </s:c>
      <s:c r="C33" s="82" t="s">
        <s:v>55</s:v>
      </s:c>
      <s:c r="D33" s="83">
        <s:v>27921</s:v>
      </s:c>
      <s:c r="E33" s="85">
        <s:v>3</s:v>
      </s:c>
      <s:c r="F33" s="85">
        <s:v>9307</s:v>
      </s:c>
      <s:c r="G33" s="85">
        <s:v>3</s:v>
      </s:c>
      <s:c r="H33" s="85">
        <s:f>IF(AND(G33&lt;&gt;"",G33&lt;&gt;0),D33/G33,"")</s:f>
        <s:v>9307</s:v>
      </s:c>
      <s:c r="I33" s="85">
        <s:v>33</s:v>
      </s:c>
      <s:c r="J33" s="83">
        <s:f>IF(AND(G33&lt;&gt;"",G33&lt;&gt;0),E33/G33,"")</s:f>
        <s:v>1</s:v>
      </s:c>
      <s:c r="K33" s="85">
        <s:v>11592</s:v>
      </s:c>
      <s:c r="L33" s="85"/>
      <s:c r="M33" s="85"/>
      <s:c r="N33" s="85"/>
      <s:c r="O33" s="85"/>
      <s:c r="P33" s="85"/>
      <s:c r="Q33" s="85"/>
      <s:c r="R33" s="85"/>
      <s:c r="S33" s="86">
        <s:f>IF(AND(I33&lt;&gt;"",I33&lt;&gt;0),G33/I33,"")</s:f>
        <s:v>9.0909090909090912E-2</s:v>
      </s:c>
      <s:c r="T33" s="87">
        <s:f>D34/U33</s:f>
        <s:v>1.7067293073040199</s:v>
      </s:c>
      <s:c r="U33" s="88">
        <s:f>$L$8*AA33*AB33/SUMPRODUCT($AB$24:$AB$55,$AA$24:$AA$55)</s:f>
        <s:v>82582.515807759104</s:v>
      </s:c>
      <s:c r="V33" s="89">
        <s:f>$L$9*AA33*AB33/SUMPRODUCT($AB$24:$AB$57,$AA$24:$AA$57)</s:f>
        <s:v>11.882376375217101</s:v>
      </s:c>
      <s:c r="W33" s="89">
        <s:f>IF($L$12="","",V33/$L$12)</s:f>
        <s:v>6.5287782281412801</s:v>
      </s:c>
      <s:c r="X33" s="88">
        <s:f>IF(AB33&lt;&gt;"",IF(D34&lt;&gt;"",D34,($L$8-SUM($X$24:X32))*AA33*AB33/SUMPRODUCT($AB33:$AB$57,$AA33:$AA$57)),"")</s:f>
        <s:v>140946</s:v>
      </s:c>
      <s:c r="Y33" s="89">
        <s:f>IF(AB33&lt;&gt;"",IF(E34&lt;&gt;"",E34,($L$9-SUM($Y$24:Y32))*AA33*AB33/SUMPRODUCT($AB33:$AB$57,$AA33:$AA$57)),"")</s:f>
        <s:v>10</s:v>
      </s:c>
      <s:c r="Z33" s="89">
        <s:f>IF(AB33&lt;&gt;"",IF($L$12&lt;&gt;"",IF(G34&lt;&gt;"",G34,($L$9/$L$12-SUM($Z$24:Z32))*AA33*AB33/SUMPRODUCT($AB33:$AB$57,$AA33:$AA$57)),""),"")</s:f>
        <s:v>6</s:v>
      </s:c>
      <s:c r="AA33" s="90">
        <s:v>1</s:v>
      </s:c>
      <s:c r="AB33" s="90">
        <s:v>1</s:v>
      </s:c>
      <s:c r="AC33" s="91"/>
      <s:c r="AD33" s="92"/>
      <s:c r="AE33" s="2"/>
      <s:c r="AF33" s="2"/>
      <s:c r="AG33" s="2"/>
      <s:c r="AH33" s="2"/>
      <s:c r="AI33" s="2"/>
    </s:row>
    <s:row r="34">
      <s:c r="A34" s="80">
        <s:v>11</s:v>
      </s:c>
      <s:c r="B34" s="81">
        <s:v>46128</s:v>
      </s:c>
      <s:c r="C34" s="82" t="s">
        <s:v>57</s:v>
      </s:c>
      <s:c r="D34" s="83">
        <s:v>140946</s:v>
      </s:c>
      <s:c r="E34" s="84">
        <s:v>10</s:v>
      </s:c>
      <s:c r="F34" s="85">
        <s:f>IF(AND(E34&lt;&gt;"",E34&lt;&gt;0),D34/E34,"")</s:f>
        <s:v>14094.6</s:v>
      </s:c>
      <s:c r="G34" s="85">
        <s:v>6</s:v>
      </s:c>
      <s:c r="H34" s="85">
        <s:f>IF(AND(G34&lt;&gt;"",G34&lt;&gt;0),D34/G34,"")</s:f>
        <s:v>23491</s:v>
      </s:c>
      <s:c r="I34" s="85">
        <s:v>28</s:v>
      </s:c>
      <s:c r="J34" s="83">
        <s:f>IF(AND(G34&lt;&gt;"",G34&lt;&gt;0),E34/G34,"")</s:f>
        <s:v>1.6666666666666667</s:v>
      </s:c>
      <s:c r="K34" s="85">
        <s:v>46086</s:v>
      </s:c>
      <s:c r="L34" s="85">
        <s:v>17807</s:v>
      </s:c>
      <s:c r="M34" s="85"/>
      <s:c r="N34" s="85"/>
      <s:c r="O34" s="85"/>
      <s:c r="P34" s="85">
        <s:v>37998</s:v>
      </s:c>
      <s:c r="Q34" s="85">
        <s:v>35635</s:v>
      </s:c>
      <s:c r="R34" s="85"/>
      <s:c r="S34" s="86">
        <s:f>IF(AND(I34&lt;&gt;"",I34&lt;&gt;0),G34/I34,"")</s:f>
        <s:v>0.21428571428571427</s:v>
      </s:c>
      <s:c r="T34" s="87">
        <s:f>D35/U34</s:f>
        <s:v>6.6503181046029494E-2</s:v>
      </s:c>
      <s:c r="U34" s="88">
        <s:f>$L$8*AA34*AB34/SUMPRODUCT($AB$24:$AB$55,$AA$24:$AA$55)</s:f>
        <s:v>82582.515807759104</s:v>
      </s:c>
      <s:c r="V34" s="89">
        <s:f>$L$9*AA34*AB34/SUMPRODUCT($AB$24:$AB$57,$AA$24:$AA$57)</s:f>
        <s:v>11.882376375217101</s:v>
      </s:c>
      <s:c r="W34" s="89">
        <s:f>IF($L$12="","",V34/$L$12)</s:f>
        <s:v>6.5287782281412801</s:v>
      </s:c>
      <s:c r="X34" s="88">
        <s:f>IF(AB34&lt;&gt;"",IF(D35&lt;&gt;"",D35,($L$8-SUM($X$24:X33))*AA34*AB34/SUMPRODUCT($AB34:$AB$57,$AA34:$AA$57)),"")</s:f>
        <s:v>5492</s:v>
      </s:c>
      <s:c r="Y34" s="89">
        <s:f>IF(AB34&lt;&gt;"",IF(E34&lt;&gt;"",E34,($L$9-SUM($Y$24:Y33))*AA34*AB34/SUMPRODUCT($AB34:$AB$57,$AA34:$AA$57)),"")</s:f>
        <s:v>10</s:v>
      </s:c>
      <s:c r="Z34" s="89">
        <s:f>IF(AB34&lt;&gt;"",IF($L$12&lt;&gt;"",IF(G35&lt;&gt;"",G35,($L$9/$L$12-SUM($Z$24:Z33))*AA34*AB34/SUMPRODUCT($AB34:$AB$57,$AA34:$AA$57)),""),"")</s:f>
        <s:v>1</s:v>
      </s:c>
      <s:c r="AA34" s="90">
        <s:v>1</s:v>
      </s:c>
      <s:c r="AB34" s="90">
        <s:v>1</s:v>
      </s:c>
      <s:c r="AC34" s="91"/>
      <s:c r="AD34" s="92"/>
      <s:c r="AE34" s="2"/>
      <s:c r="AF34" s="2"/>
      <s:c r="AG34" s="2"/>
      <s:c r="AH34" s="2"/>
      <s:c r="AI34" s="2"/>
    </s:row>
    <s:row r="35" spans="1:35" ht="15.25" customHeight="1">
      <s:c r="A35" s="80">
        <s:v>12</s:v>
      </s:c>
      <s:c r="B35" s="81">
        <s:v>46129</s:v>
      </s:c>
      <s:c r="C35" s="82" t="s">
        <s:v>58</s:v>
      </s:c>
      <s:c r="D35" s="83">
        <s:v>5492</s:v>
      </s:c>
      <s:c r="E35" s="82">
        <s:v>1</s:v>
      </s:c>
      <s:c r="F35" s="85">
        <s:f>IF(AND(E35&lt;&gt;"",E35&lt;&gt;0),D35/E35,"")</s:f>
        <s:v>5492</s:v>
      </s:c>
      <s:c r="G35" s="85">
        <s:v>1</s:v>
      </s:c>
      <s:c r="H35" s="85">
        <s:f>IF(AND(G35&lt;&gt;"",G35&lt;&gt;0),D35/G35,"")</s:f>
        <s:v>5492</s:v>
      </s:c>
      <s:c r="I35" s="85">
        <s:v>32</s:v>
      </s:c>
      <s:c r="J35" s="83">
        <s:f>IF(AND(G35&lt;&gt;"",G35&lt;&gt;0),E35/G35,"")</s:f>
        <s:v>1</s:v>
      </s:c>
      <s:c r="K35" s="85"/>
      <s:c r="L35" s="85"/>
      <s:c r="M35" s="85"/>
      <s:c r="N35" s="85"/>
      <s:c r="O35" s="85"/>
      <s:c r="P35" s="85"/>
      <s:c r="Q35" s="85"/>
      <s:c r="R35" s="588">
        <s:v>5490</s:v>
      </s:c>
      <s:c r="S35" s="86">
        <s:f>IF(AND(I35&lt;&gt;"",I35&lt;&gt;0),G35/I35,"")</s:f>
        <s:v>3.125E-2</s:v>
      </s:c>
      <s:c r="T35" s="222" t="e">
        <s:f>D36/U35</s:f>
        <s:v>#DIV/0!</s:v>
      </s:c>
      <s:c r="U35" s="88">
        <s:f>$L$8*AA35*AB35/SUMPRODUCT($AB$24:$AB$55,$AA$24:$AA$55)</s:f>
        <s:v>0</s:v>
      </s:c>
      <s:c r="V35" s="223">
        <s:f>$L$9*AA35*AB35/SUMPRODUCT($AB$24:$AB$57,$AA$24:$AA$57)</s:f>
        <s:v>0</s:v>
      </s:c>
      <s:c r="W35" s="89">
        <s:f>IF($L$12="","",V35/$L$12)</s:f>
        <s:v>0</s:v>
      </s:c>
      <s:c r="X35" s="224" t="str">
        <s:f>IF(AB35&lt;&gt;"",IF(D36&lt;&gt;"",D36,($L$8-SUM($X$24:X34))*AA35*AB35/SUMPRODUCT($AB35:$AB$57,$AA35:$AA$57)),"")</s:f>
        <s:v/>
      </s:c>
      <s:c r="Y35" s="89" t="str">
        <s:f>IF(AB35&lt;&gt;"",IF(E35&lt;&gt;"",E35,($L$9-SUM($Y$24:Y34))*AA35*AB35/SUMPRODUCT($AB35:$AB$57,$AA35:$AA$57)),"")</s:f>
        <s:v/>
      </s:c>
      <s:c r="Z35" s="223" t="str">
        <s:f>IF(AB35&lt;&gt;"",IF($L$12&lt;&gt;"",IF(G36&lt;&gt;"",G36,($L$9/$L$12-SUM($Z$24:Z34))*AA35*AB35/SUMPRODUCT($AB35:$AB$57,$AA35:$AA$57)),""),"")</s:f>
        <s:v/>
      </s:c>
      <s:c r="AA35" s="90"/>
      <s:c r="AB35" s="90"/>
      <s:c r="AC35" s="91"/>
      <s:c r="AD35" s="92"/>
      <s:c r="AE35" s="2"/>
      <s:c r="AF35" s="2"/>
      <s:c r="AG35" s="2"/>
      <s:c r="AH35" s="2"/>
      <s:c r="AI35" s="2"/>
    </s:row>
    <s:row r="36">
      <s:c r="A36" s="80">
        <s:v>13</s:v>
      </s:c>
      <s:c r="B36" s="81">
        <s:v>46130</s:v>
      </s:c>
      <s:c r="C36" s="82" t="s">
        <s:v>59</s:v>
      </s:c>
      <s:c r="D36" s="83">
        <s:v>64469</s:v>
      </s:c>
      <s:c r="E36" s="97">
        <s:v>7</s:v>
      </s:c>
      <s:c r="F36" s="85">
        <s:f>IF(AND(E36&lt;&gt;"",E36&lt;&gt;0),D36/E36,"")</s:f>
        <s:v>9209.8571428571431</s:v>
      </s:c>
      <s:c r="G36" s="221">
        <s:v>4</s:v>
      </s:c>
      <s:c r="H36" s="85">
        <s:f>IF(AND(G36&lt;&gt;"",G36&lt;&gt;0),D36/G36,"")</s:f>
        <s:v>16117.25</s:v>
      </s:c>
      <s:c r="I36" s="221">
        <s:v>51</s:v>
      </s:c>
      <s:c r="J36" s="83">
        <s:f>IF(AND(G36&lt;&gt;"",G36&lt;&gt;0),E36/G36,"")</s:f>
        <s:v>1.75</s:v>
      </s:c>
      <s:c r="K36" s="221"/>
      <s:c r="L36" s="85">
        <s:v>8702</s:v>
      </s:c>
      <s:c r="M36" s="85"/>
      <s:c r="N36" s="85"/>
      <s:c r="O36" s="85"/>
      <s:c r="P36" s="85">
        <s:v>17390</s:v>
      </s:c>
      <s:c r="Q36" s="85"/>
      <s:c r="R36" s="588">
        <s:v>5890</s:v>
      </s:c>
      <s:c r="S36" s="86">
        <s:f>IF(AND(I36&lt;&gt;"",I36&lt;&gt;0),G36/I36,"")</s:f>
        <s:v>7.8431372549019607E-2</s:v>
      </s:c>
      <s:c r="T36" s="87" t="e">
        <s:f>D37/U36</s:f>
        <s:v>#DIV/0!</s:v>
      </s:c>
      <s:c r="U36" s="88">
        <s:f>$L$8*AA36*AB36/SUMPRODUCT($AB$24:$AB$55,$AA$24:$AA$55)</s:f>
        <s:v>0</s:v>
      </s:c>
      <s:c r="V36" s="89">
        <s:f>$L$9*AA36*AB36/SUMPRODUCT($AB$24:$AB$57,$AA$24:$AA$57)</s:f>
        <s:v>0</s:v>
      </s:c>
      <s:c r="W36" s="89">
        <s:f>IF($L$12="","",V36/$L$12)</s:f>
        <s:v>0</s:v>
      </s:c>
      <s:c r="X36" s="88" t="str">
        <s:f>IF(AB36&lt;&gt;"",IF(D37&lt;&gt;"",D37,($L$8-SUM($X$24:X35))*AA36*AB36/SUMPRODUCT($AB36:$AB$57,$AA36:$AA$57)),"")</s:f>
        <s:v/>
      </s:c>
      <s:c r="Y36" s="89" t="str">
        <s:f>IF(AB36&lt;&gt;"",IF(E37&lt;&gt;"",E37,($L$9-SUM($Y$24:Y35))*AA36*AB36/SUMPRODUCT($AB36:$AB$57,$AA36:$AA$57)),"")</s:f>
        <s:v/>
      </s:c>
      <s:c r="Z36" s="89" t="str">
        <s:f>IF(AB36&lt;&gt;"",IF($L$12&lt;&gt;"",IF(G37&lt;&gt;"",G37,($L$9/$L$12-SUM($Z$24:Z35))*AA36*AB36/SUMPRODUCT($AB36:$AB$57,$AA36:$AA$57)),""),"")</s:f>
        <s:v/>
      </s:c>
      <s:c r="AA36" s="90"/>
      <s:c r="AB36" s="90"/>
      <s:c r="AC36" s="91"/>
      <s:c r="AD36" s="92"/>
      <s:c r="AE36" s="2"/>
      <s:c r="AF36" s="2"/>
      <s:c r="AG36" s="2"/>
      <s:c r="AH36" s="2"/>
      <s:c r="AI36" s="2"/>
    </s:row>
    <s:row r="37">
      <s:c r="A37" s="80" t="s">
        <s:v>75</s:v>
      </s:c>
      <s:c r="B37" s="81">
        <s:v>46131</s:v>
      </s:c>
      <s:c r="C37" s="82" t="s">
        <s:v>53</s:v>
      </s:c>
      <s:c r="D37" s="83">
        <s:v>89569</s:v>
      </s:c>
      <s:c r="E37" s="85">
        <s:v>16</s:v>
      </s:c>
      <s:c r="F37" s="85">
        <s:f>IF(AND(E37&lt;&gt;"",E37&lt;&gt;0),D37/E37,"")</s:f>
        <s:v>5598.0625</s:v>
      </s:c>
      <s:c r="G37" s="85">
        <s:v>8</s:v>
      </s:c>
      <s:c r="H37" s="85">
        <s:f>IF(AND(G37&lt;&gt;"",G37&lt;&gt;0),D37/G37,"")</s:f>
        <s:v>11196.125</s:v>
      </s:c>
      <s:c r="I37" s="85">
        <s:v>82</s:v>
      </s:c>
      <s:c r="J37" s="83">
        <s:f>IF(AND(G37&lt;&gt;"",G37&lt;&gt;0),E37/G37,"")</s:f>
        <s:v>2</s:v>
      </s:c>
      <s:c r="K37" s="85"/>
      <s:c r="L37" s="85">
        <s:v>28903</s:v>
      </s:c>
      <s:c r="M37" s="85"/>
      <s:c r="N37" s="85"/>
      <s:c r="O37" s="85"/>
      <s:c r="P37" s="85">
        <s:v>-17390</s:v>
      </s:c>
      <s:c r="Q37" s="85">
        <s:v>36786</s:v>
      </s:c>
      <s:c r="R37" s="588">
        <s:v>5990</s:v>
      </s:c>
      <s:c r="S37" s="86">
        <s:f>IF(AND(I37&lt;&gt;"",I37&lt;&gt;0),G37/I37,"")</s:f>
        <s:v>9.7560975609756101E-2</s:v>
      </s:c>
      <s:c r="T37" s="87" t="e">
        <s:f>D38/U37</s:f>
        <s:v>#DIV/0!</s:v>
      </s:c>
      <s:c r="U37" s="88">
        <s:f>$L$8*AA37*AB37/SUMPRODUCT($AB$24:$AB$55,$AA$24:$AA$55)</s:f>
        <s:v>0</s:v>
      </s:c>
      <s:c r="V37" s="89">
        <s:f>$L$9*AA37*AB37/SUMPRODUCT($AB$24:$AB$57,$AA$24:$AA$57)</s:f>
        <s:v>0</s:v>
      </s:c>
      <s:c r="W37" s="89">
        <s:f>IF($L$12="","",V37/$L$12)</s:f>
        <s:v>0</s:v>
      </s:c>
      <s:c r="X37" s="88" t="str">
        <s:f>IF(AB37&lt;&gt;"",IF(D38&lt;&gt;"",D38,($L$8-SUM($X$24:X36))*AA37*AB37/SUMPRODUCT($AB37:$AB$57,$AA37:$AA$57)),"")</s:f>
        <s:v/>
      </s:c>
      <s:c r="Y37" s="89" t="str">
        <s:f>IF(AB37&lt;&gt;"",IF(E38&lt;&gt;"",E38,($L$9-SUM($Y$24:Y36))*AA37*AB37/SUMPRODUCT($AB37:$AB$57,$AA37:$AA$57)),"")</s:f>
        <s:v/>
      </s:c>
      <s:c r="Z37" s="89" t="str">
        <s:f>IF(AB37&lt;&gt;"",IF($L$12&lt;&gt;"",IF(G38&lt;&gt;"",G38,($L$9/$L$12-SUM($Z$24:Z36))*AA37*AB37/SUMPRODUCT($AB37:$AB$57,$AA37:$AA$57)),""),"")</s:f>
        <s:v/>
      </s:c>
      <s:c r="AA37" s="90"/>
      <s:c r="AB37" s="90"/>
      <s:c r="AC37" s="91"/>
      <s:c r="AD37" s="92"/>
      <s:c r="AE37" s="2"/>
      <s:c r="AF37" s="2"/>
      <s:c r="AG37" s="2"/>
      <s:c r="AH37" s="2"/>
      <s:c r="AI37" s="2"/>
    </s:row>
    <s:row r="38">
      <s:c r="A38" s="80">
        <s:v>15</s:v>
      </s:c>
      <s:c r="B38" s="81">
        <s:v>46136</s:v>
      </s:c>
      <s:c r="C38" s="82" t="s">
        <s:v>58</s:v>
      </s:c>
      <s:c r="D38" s="83">
        <s:v>0</s:v>
      </s:c>
      <s:c r="E38" s="84">
        <s:v>0</s:v>
      </s:c>
      <s:c r="F38" s="85">
        <s:v>0</s:v>
      </s:c>
      <s:c r="G38" s="85">
        <s:v>0</s:v>
      </s:c>
      <s:c r="H38" s="85">
        <s:v>0</s:v>
      </s:c>
      <s:c r="I38" s="85">
        <s:v>62</s:v>
      </s:c>
      <s:c r="J38" s="83" t="str">
        <s:f>IF(AND(G38&lt;&gt;"",G38&lt;&gt;0),E38/G38,"")</s:f>
        <s:v/>
      </s:c>
      <s:c r="K38" s="85"/>
      <s:c r="L38" s="85"/>
      <s:c r="M38" s="85"/>
      <s:c r="N38" s="85"/>
      <s:c r="O38" s="85"/>
      <s:c r="P38" s="85"/>
      <s:c r="Q38" s="85"/>
      <s:c r="R38" s="588"/>
      <s:c r="S38" s="86">
        <s:f>IF(AND(I38&lt;&gt;"",I38&lt;&gt;0),G38/I38,"")</s:f>
        <s:v>0</s:v>
      </s:c>
      <s:c r="T38" s="87" t="e">
        <s:f>#REF!/U38</s:f>
        <s:v>#REF!</s:v>
      </s:c>
      <s:c r="U38" s="88">
        <s:f>$L$8*AA38*AB38/SUMPRODUCT($AB$24:$AB$55,$AA$24:$AA$55)</s:f>
        <s:v>0</s:v>
      </s:c>
      <s:c r="V38" s="89">
        <s:f>$L$9*AA38*AB38/SUMPRODUCT($AB$24:$AB$57,$AA$24:$AA$57)</s:f>
        <s:v>0</s:v>
      </s:c>
      <s:c r="W38" s="89">
        <s:f>IF($L$12="","",V38/$L$12)</s:f>
        <s:v>0</s:v>
      </s:c>
      <s:c r="X38" s="88" t="str">
        <s:f>IF(AB38&lt;&gt;"",IF(#REF!&lt;&gt;"",#REF!,($L$8-SUM($X$24:X37))*AA38*AB38/SUMPRODUCT($AB38:$AB$57,$AA38:$AA$57)),"")</s:f>
        <s:v/>
      </s:c>
      <s:c r="Y38" s="89" t="e">
        <s:f>IF(AB38&lt;&gt;"",IF(#REF!&lt;&gt;"",#REF!,($L$9-SUM($Y$24:Y37))*AA38*AB38/SUMPRODUCT($AB38:$AB$57,$AA38:$AA$57)),"")</s:f>
        <s:v>#REF!</s:v>
      </s:c>
      <s:c r="Z38" s="89" t="e">
        <s:f>IF(AB38&lt;&gt;"",IF($L$12&lt;&gt;"",IF(#REF!&lt;&gt;"",#REF!,($L$9/$L$12-SUM($Z$24:Z37))*AA38*AB38/SUMPRODUCT($AB38:$AB$57,$AA38:$AA$57)),""),"")</s:f>
        <s:v>#REF!</s:v>
      </s:c>
      <s:c r="AA38" s="90"/>
      <s:c r="AB38" s="90"/>
      <s:c r="AC38" s="91"/>
      <s:c r="AD38" s="92"/>
      <s:c r="AE38" s="2"/>
      <s:c r="AF38" s="2"/>
      <s:c r="AG38" s="2"/>
      <s:c r="AH38" s="2"/>
      <s:c r="AI38" s="2"/>
    </s:row>
    <s:row r="39">
      <s:c r="A39" s="80">
        <s:v>16</s:v>
      </s:c>
      <s:c r="B39" s="81">
        <s:v>46137</s:v>
      </s:c>
      <s:c r="C39" s="82" t="s">
        <s:v>59</s:v>
      </s:c>
      <s:c r="D39" s="83">
        <s:f>7693+6760</s:f>
        <s:v>14453</s:v>
      </s:c>
      <s:c r="E39" s="82">
        <s:v>2</s:v>
      </s:c>
      <s:c r="F39" s="85">
        <s:f>IF(AND(E39&lt;&gt;"",E39&lt;&gt;0),D39/E39,"")</s:f>
        <s:v>7226.5</s:v>
      </s:c>
      <s:c r="G39" s="85">
        <s:v>2</s:v>
      </s:c>
      <s:c r="H39" s="85">
        <s:f>IF(AND(G39&lt;&gt;"",G39&lt;&gt;0),D39/G39,"")</s:f>
        <s:v>7226.5</s:v>
      </s:c>
      <s:c r="I39" s="85">
        <s:v>20</s:v>
      </s:c>
      <s:c r="J39" s="83">
        <s:f>IF(AND(G39&lt;&gt;"",G39&lt;&gt;0),E39/G39,"")</s:f>
        <s:v>1</s:v>
      </s:c>
      <s:c r="K39" s="85"/>
      <s:c r="L39" s="85"/>
      <s:c r="M39" s="85"/>
      <s:c r="N39" s="85"/>
      <s:c r="O39" s="85"/>
      <s:c r="P39" s="85"/>
      <s:c r="Q39" s="85"/>
      <s:c r="R39" s="588"/>
      <s:c r="S39" s="86">
        <s:f>IF(AND(I39&lt;&gt;"",I39&lt;&gt;0),G39/I39,"")</s:f>
        <s:v>0.1</s:v>
      </s:c>
      <s:c r="T39" s="87" t="e">
        <s:f>D39/U39</s:f>
        <s:v>#DIV/0!</s:v>
      </s:c>
      <s:c r="U39" s="88">
        <s:f>$L$8*AA39*AB39/SUMPRODUCT($AB$24:$AB$55,$AA$24:$AA$55)</s:f>
        <s:v>0</s:v>
      </s:c>
      <s:c r="V39" s="89">
        <s:f>$L$9*AA39*AB39/SUMPRODUCT($AB$24:$AB$57,$AA$24:$AA$57)</s:f>
        <s:v>0</s:v>
      </s:c>
      <s:c r="W39" s="89">
        <s:f>IF($L$12="","",V39/$L$12)</s:f>
        <s:v>0</s:v>
      </s:c>
      <s:c r="X39" s="88" t="str">
        <s:f>IF(AB39&lt;&gt;"",IF(D39&lt;&gt;"",D39,($L$8-SUM($X$24:X38))*AA39*AB39/SUMPRODUCT($AB39:$AB$57,$AA39:$AA$57)),"")</s:f>
        <s:v/>
      </s:c>
      <s:c r="Y39" s="89" t="e">
        <s:f>IF(AB39&lt;&gt;"",IF(#REF!&lt;&gt;"",#REF!,($L$9-SUM($Y$24:Y38))*AA39*AB39/SUMPRODUCT($AB39:$AB$57,$AA39:$AA$57)),"")</s:f>
        <s:v>#REF!</s:v>
      </s:c>
      <s:c r="Z39" s="89" t="str">
        <s:f>IF(AB39&lt;&gt;"",IF($L$12&lt;&gt;"",IF(G39&lt;&gt;"",G39,($L$9/$L$12-SUM($Z$24:Z38))*AA39*AB39/SUMPRODUCT($AB39:$AB$57,$AA39:$AA$57)),""),"")</s:f>
        <s:v/>
      </s:c>
      <s:c r="AA39" s="90"/>
      <s:c r="AB39" s="90"/>
      <s:c r="AC39" s="91"/>
      <s:c r="AD39" s="92"/>
      <s:c r="AE39" s="2"/>
      <s:c r="AF39" s="2"/>
      <s:c r="AG39" s="2"/>
      <s:c r="AH39" s="2"/>
      <s:c r="AI39" s="2"/>
    </s:row>
    <s:row r="40" spans="1:35" ht="15.25" customHeight="1">
      <s:c r="A40" s="80">
        <s:v>17</s:v>
      </s:c>
      <s:c r="B40" s="81">
        <s:v>46138</s:v>
      </s:c>
      <s:c r="C40" s="82" t="s">
        <s:v>53</s:v>
      </s:c>
      <s:c r="D40" s="83">
        <s:v>18455</s:v>
      </s:c>
      <s:c r="E40" s="97">
        <s:v>3</s:v>
      </s:c>
      <s:c r="F40" s="85">
        <s:f>IF(AND(E40&lt;&gt;"",E40&lt;&gt;0),D40/E40,"")</s:f>
        <s:v>6151.666666666667</s:v>
      </s:c>
      <s:c r="G40" s="221">
        <s:v>2</s:v>
      </s:c>
      <s:c r="H40" s="85">
        <s:f>IF(AND(G40&lt;&gt;"",G40&lt;&gt;0),D40/G40,"")</s:f>
        <s:v>9227.5</s:v>
      </s:c>
      <s:c r="I40" s="221">
        <s:v>18</s:v>
      </s:c>
      <s:c r="J40" s="83">
        <s:f>IF(AND(G40&lt;&gt;"",G40&lt;&gt;0),E40/G40,"")</s:f>
        <s:v>1.5</s:v>
      </s:c>
      <s:c r="K40" s="221"/>
      <s:c r="L40" s="85"/>
      <s:c r="M40" s="85"/>
      <s:c r="N40" s="85"/>
      <s:c r="O40" s="85"/>
      <s:c r="P40" s="85"/>
      <s:c r="Q40" s="85"/>
      <s:c r="R40" s="588"/>
      <s:c r="S40" s="86">
        <s:f>IF(AND(I40&lt;&gt;"",I40&lt;&gt;0),G40/I40,"")</s:f>
        <s:v>0.1111111111111111</s:v>
      </s:c>
      <s:c r="T40" s="222" t="e">
        <s:f>D40/U40</s:f>
        <s:v>#DIV/0!</s:v>
      </s:c>
      <s:c r="U40" s="88">
        <s:f>$L$8*AA40*AB40/SUMPRODUCT($AB$24:$AB$55,$AA$24:$AA$55)</s:f>
        <s:v>0</s:v>
      </s:c>
      <s:c r="V40" s="223">
        <s:f>$L$9*AA40*AB40/SUMPRODUCT($AB$24:$AB$57,$AA$24:$AA$57)</s:f>
        <s:v>0</s:v>
      </s:c>
      <s:c r="W40" s="89">
        <s:f>IF($L$12="","",V40/$L$12)</s:f>
        <s:v>0</s:v>
      </s:c>
      <s:c r="X40" s="224" t="str">
        <s:f>IF(AB40&lt;&gt;"",IF(D40&lt;&gt;"",D40,($L$8-SUM($X$24:X39))*AA40*AB40/SUMPRODUCT($AB40:$AB$57,$AA40:$AA$57)),"")</s:f>
        <s:v/>
      </s:c>
      <s:c r="Y40" s="89" t="str">
        <s:f>IF(AB40&lt;&gt;"",IF(E39&lt;&gt;"",E39,($L$9-SUM($Y$24:Y39))*AA40*AB40/SUMPRODUCT($AB40:$AB$57,$AA40:$AA$57)),"")</s:f>
        <s:v/>
      </s:c>
      <s:c r="Z40" s="223" t="str">
        <s:f>IF(AB40&lt;&gt;"",IF($L$12&lt;&gt;"",IF(G40&lt;&gt;"",G40,($L$9/$L$12-SUM($Z$24:Z39))*AA40*AB40/SUMPRODUCT($AB40:$AB$57,$AA40:$AA$57)),""),"")</s:f>
        <s:v/>
      </s:c>
      <s:c r="AA40" s="90"/>
      <s:c r="AB40" s="90"/>
      <s:c r="AC40" s="91"/>
      <s:c r="AD40" s="92"/>
      <s:c r="AE40" s="2"/>
      <s:c r="AF40" s="2"/>
      <s:c r="AG40" s="2"/>
      <s:c r="AH40" s="2"/>
      <s:c r="AI40" s="2"/>
    </s:row>
    <s:row r="41">
      <s:c r="A41" s="80">
        <s:v>18</s:v>
      </s:c>
      <s:c r="B41" s="81">
        <s:v>46139</s:v>
      </s:c>
      <s:c r="C41" s="82" t="s">
        <s:v>54</s:v>
      </s:c>
      <s:c r="D41" s="83">
        <s:f>11903+4393</s:f>
        <s:v>16296</s:v>
      </s:c>
      <s:c r="E41" s="85">
        <s:v>2</s:v>
      </s:c>
      <s:c r="F41" s="85">
        <s:f>IF(AND(E41&lt;&gt;"",E41&lt;&gt;0),D41/E41,"")</s:f>
        <s:v>8148</s:v>
      </s:c>
      <s:c r="G41" s="85">
        <s:v>2</s:v>
      </s:c>
      <s:c r="H41" s="85">
        <s:f>IF(AND(G41&lt;&gt;"",G41&lt;&gt;0),D41/G41,"")</s:f>
        <s:v>8148</s:v>
      </s:c>
      <s:c r="I41" s="85">
        <s:v>46</s:v>
      </s:c>
      <s:c r="J41" s="83">
        <s:f>IF(AND(G41&lt;&gt;"",G41&lt;&gt;0),E41/G41,"")</s:f>
        <s:v>1</s:v>
      </s:c>
      <s:c r="K41" s="85"/>
      <s:c r="L41" s="85">
        <s:v>11903</s:v>
      </s:c>
      <s:c r="M41" s="85"/>
      <s:c r="N41" s="85"/>
      <s:c r="O41" s="85"/>
      <s:c r="P41" s="85"/>
      <s:c r="Q41" s="85"/>
      <s:c r="R41" s="588"/>
      <s:c r="S41" s="86">
        <s:f>IF(AND(I41&lt;&gt;"",I41&lt;&gt;0),G41/I41,"")</s:f>
        <s:v>4.3478260869565216E-2</s:v>
      </s:c>
      <s:c r="T41" s="87" t="e">
        <s:f>D41/U41</s:f>
        <s:v>#DIV/0!</s:v>
      </s:c>
      <s:c r="U41" s="88">
        <s:f>$L$8*AA41*AB41/SUMPRODUCT($AB$24:$AB$55,$AA$24:$AA$55)</s:f>
        <s:v>0</s:v>
      </s:c>
      <s:c r="V41" s="89">
        <s:f>$L$9*AA41*AB41/SUMPRODUCT($AB$24:$AB$57,$AA$24:$AA$57)</s:f>
        <s:v>0</s:v>
      </s:c>
      <s:c r="W41" s="89">
        <s:f>IF($L$12="","",V41/$L$12)</s:f>
        <s:v>0</s:v>
      </s:c>
      <s:c r="X41" s="88" t="str">
        <s:f>IF(AB41&lt;&gt;"",IF(D41&lt;&gt;"",D41,($L$8-SUM($X$24:X40))*AA41*AB41/SUMPRODUCT($AB41:$AB$57,$AA41:$AA$57)),"")</s:f>
        <s:v/>
      </s:c>
      <s:c r="Y41" s="89" t="str">
        <s:f>IF(AB41&lt;&gt;"",IF(E41&lt;&gt;"",E41,($L$9-SUM($Y$24:Y40))*AA41*AB41/SUMPRODUCT($AB41:$AB$57,$AA41:$AA$57)),"")</s:f>
        <s:v/>
      </s:c>
      <s:c r="Z41" s="89" t="str">
        <s:f>IF(AB41&lt;&gt;"",IF($L$12&lt;&gt;"",IF(G41&lt;&gt;"",G41,($L$9/$L$12-SUM($Z$24:Z40))*AA41*AB41/SUMPRODUCT($AB41:$AB$57,$AA41:$AA$57)),""),"")</s:f>
        <s:v/>
      </s:c>
      <s:c r="AA41" s="90"/>
      <s:c r="AB41" s="90"/>
      <s:c r="AC41" s="91"/>
      <s:c r="AD41" s="92"/>
      <s:c r="AE41" s="2"/>
      <s:c r="AF41" s="2"/>
      <s:c r="AG41" s="2"/>
      <s:c r="AH41" s="2"/>
      <s:c r="AI41" s="2"/>
    </s:row>
    <s:row r="42">
      <s:c r="A42" s="80">
        <s:v>19</s:v>
      </s:c>
      <s:c r="B42" s="81">
        <s:v>46140</s:v>
      </s:c>
      <s:c r="C42" s="82" t="s">
        <s:v>55</s:v>
      </s:c>
      <s:c r="D42" s="83">
        <s:v>16803</s:v>
      </s:c>
      <s:c r="E42" s="85">
        <s:v>2</s:v>
      </s:c>
      <s:c r="F42" s="85">
        <s:v>7011</s:v>
      </s:c>
      <s:c r="G42" s="85">
        <s:v>1</s:v>
      </s:c>
      <s:c r="H42" s="85">
        <s:v>9348</s:v>
      </s:c>
      <s:c r="I42" s="85">
        <s:v>18</s:v>
      </s:c>
      <s:c r="J42" s="83">
        <s:f>IF(AND(G42&lt;&gt;"",G42&lt;&gt;0),E42/G42,"")</s:f>
        <s:v>2</s:v>
      </s:c>
      <s:c r="K42" s="85"/>
      <s:c r="L42" s="85">
        <s:v>16803</s:v>
      </s:c>
      <s:c r="M42" s="85"/>
      <s:c r="N42" s="85"/>
      <s:c r="O42" s="85"/>
      <s:c r="P42" s="85"/>
      <s:c r="Q42" s="85"/>
      <s:c r="R42" s="588"/>
      <s:c r="S42" s="86">
        <s:f>IF(AND(I42&lt;&gt;"",I42&lt;&gt;0),G42/I42,"")</s:f>
        <s:v>5.5555555555555552E-2</s:v>
      </s:c>
      <s:c r="T42" s="87" t="e">
        <s:f>D42/U42</s:f>
        <s:v>#DIV/0!</s:v>
      </s:c>
      <s:c r="U42" s="88">
        <s:f>$L$8*AA42*AB42/SUMPRODUCT($AB$24:$AB$55,$AA$24:$AA$55)</s:f>
        <s:v>0</s:v>
      </s:c>
      <s:c r="V42" s="89">
        <s:f>$L$9*AA42*AB42/SUMPRODUCT($AB$24:$AB$57,$AA$24:$AA$57)</s:f>
        <s:v>0</s:v>
      </s:c>
      <s:c r="W42" s="89">
        <s:f>IF($L$12="","",V42/$L$12)</s:f>
        <s:v>0</s:v>
      </s:c>
      <s:c r="X42" s="88" t="str">
        <s:f>IF(AB42&lt;&gt;"",IF(D42&lt;&gt;"",D42,($L$8-SUM($X$24:X41))*AA42*AB42/SUMPRODUCT($AB42:$AB$57,$AA42:$AA$57)),"")</s:f>
        <s:v/>
      </s:c>
      <s:c r="Y42" s="89" t="str">
        <s:f>IF(AB42&lt;&gt;"",IF(E42&lt;&gt;"",E42,($L$9-SUM($Y$24:Y41))*AA42*AB42/SUMPRODUCT($AB42:$AB$57,$AA42:$AA$57)),"")</s:f>
        <s:v/>
      </s:c>
      <s:c r="Z42" s="89" t="str">
        <s:f>IF(AB42&lt;&gt;"",IF($L$12&lt;&gt;"",IF(G42&lt;&gt;"",G42,($L$9/$L$12-SUM($Z$24:Z41))*AA42*AB42/SUMPRODUCT($AB42:$AB$57,$AA42:$AA$57)),""),"")</s:f>
        <s:v/>
      </s:c>
      <s:c r="AA42" s="90"/>
      <s:c r="AB42" s="90"/>
      <s:c r="AC42" s="91"/>
      <s:c r="AD42" s="92"/>
      <s:c r="AE42" s="2"/>
      <s:c r="AF42" s="2"/>
      <s:c r="AG42" s="2"/>
      <s:c r="AH42" s="2"/>
      <s:c r="AI42" s="2"/>
    </s:row>
    <s:row r="43">
      <s:c r="A43" s="80">
        <s:v>20</s:v>
      </s:c>
      <s:c r="B43" s="81">
        <s:v>46141</s:v>
      </s:c>
      <s:c r="C43" s="82" t="s">
        <s:v>56</s:v>
      </s:c>
      <s:c r="D43" s="83">
        <s:v>3503</s:v>
      </s:c>
      <s:c r="E43" s="221">
        <s:v>1</s:v>
      </s:c>
      <s:c r="F43" s="85">
        <s:v>3503</s:v>
      </s:c>
      <s:c r="G43" s="221">
        <s:v>1</s:v>
      </s:c>
      <s:c r="H43" s="85">
        <s:v>3503</s:v>
      </s:c>
      <s:c r="I43" s="221">
        <s:v>27</s:v>
      </s:c>
      <s:c r="J43" s="83">
        <s:f>IF(AND(G43&lt;&gt;"",G43&lt;&gt;0),E43/G43,"")</s:f>
        <s:v>1</s:v>
      </s:c>
      <s:c r="K43" s="85"/>
      <s:c r="L43" s="85"/>
      <s:c r="M43" s="85"/>
      <s:c r="N43" s="85"/>
      <s:c r="O43" s="85"/>
      <s:c r="P43" s="85"/>
      <s:c r="Q43" s="85"/>
      <s:c r="R43" s="588">
        <s:v>3500</s:v>
      </s:c>
      <s:c r="S43" s="86">
        <s:f>IF(AND(I43&lt;&gt;"",I43&lt;&gt;0),G43/I43,"")</s:f>
        <s:v>3.7037037037037E-2</s:v>
      </s:c>
      <s:c r="T43" s="87" t="e">
        <s:f>D43/U43</s:f>
        <s:v>#DIV/0!</s:v>
      </s:c>
      <s:c r="U43" s="88">
        <s:f>$L$8*AA43*AB43/SUMPRODUCT($AB$24:$AB$55,$AA$24:$AA$55)</s:f>
        <s:v>0</s:v>
      </s:c>
      <s:c r="V43" s="89">
        <s:f>$L$9*AA43*AB43/SUMPRODUCT($AB$24:$AB$57,$AA$24:$AA$57)</s:f>
        <s:v>0</s:v>
      </s:c>
      <s:c r="W43" s="89">
        <s:f>IF($L$12="","",V43/$L$12)</s:f>
        <s:v>0</s:v>
      </s:c>
      <s:c r="X43" s="88" t="str">
        <s:f>IF(AB43&lt;&gt;"",IF(D43&lt;&gt;"",D43,($L$8-SUM($X$24:X42))*AA43*AB43/SUMPRODUCT($AB43:$AB$57,$AA43:$AA$57)),"")</s:f>
        <s:v/>
      </s:c>
      <s:c r="Y43" s="89" t="str">
        <s:f>IF(AB43&lt;&gt;"",IF(E43&lt;&gt;"",E43,($L$9-SUM($Y$24:Y42))*AA43*AB43/SUMPRODUCT($AB43:$AB$57,$AA43:$AA$57)),"")</s:f>
        <s:v/>
      </s:c>
      <s:c r="Z43" s="89" t="str">
        <s:f>IF(AB43&lt;&gt;"",IF($L$12&lt;&gt;"",IF(G43&lt;&gt;"",G43,($L$9/$L$12-SUM($Z$24:Z42))*AA43*AB43/SUMPRODUCT($AB43:$AB$57,$AA43:$AA$57)),""),"")</s:f>
        <s:v/>
      </s:c>
      <s:c r="AA43" s="90"/>
      <s:c r="AB43" s="90"/>
      <s:c r="AC43" s="91"/>
      <s:c r="AD43" s="92"/>
      <s:c r="AE43" s="2"/>
      <s:c r="AF43" s="2"/>
      <s:c r="AG43" s="2"/>
      <s:c r="AH43" s="2"/>
      <s:c r="AI43" s="2"/>
    </s:row>
    <s:row r="44">
      <s:c r="A44" s="80">
        <s:v>21</s:v>
      </s:c>
      <s:c r="B44" s="81"/>
      <s:c r="C44" s="82"/>
      <s:c r="D44" s="83"/>
      <s:c r="E44" s="85"/>
      <s:c r="F44" s="85"/>
      <s:c r="G44" s="85"/>
      <s:c r="H44" s="85"/>
      <s:c r="I44" s="85"/>
      <s:c r="J44" s="83" t="str">
        <s:f>IF(AND(G44&lt;&gt;"",G44&lt;&gt;0),E44/G44,"")</s:f>
        <s:v/>
      </s:c>
      <s:c r="K44" s="85"/>
      <s:c r="L44" s="85"/>
      <s:c r="M44" s="85"/>
      <s:c r="N44" s="85"/>
      <s:c r="O44" s="85"/>
      <s:c r="P44" s="85"/>
      <s:c r="Q44" s="85"/>
      <s:c r="R44" s="85"/>
      <s:c r="S44" s="226" t="str">
        <s:f>IF(AND(I44&lt;&gt;"",I44&lt;&gt;0),G44/I44,"")</s:f>
        <s:v/>
      </s:c>
      <s:c r="T44" s="87" t="e">
        <s:f>D44/U44</s:f>
        <s:v>#DIV/0!</s:v>
      </s:c>
      <s:c r="U44" s="88">
        <s:f>$L$8*AA44*AB44/SUMPRODUCT($AB$24:$AB$55,$AA$24:$AA$55)</s:f>
        <s:v>0</s:v>
      </s:c>
      <s:c r="V44" s="89">
        <s:f>$L$9*AA44*AB44/SUMPRODUCT($AB$24:$AB$57,$AA$24:$AA$57)</s:f>
        <s:v>0</s:v>
      </s:c>
      <s:c r="W44" s="89">
        <s:f>IF($L$12="","",V44/$L$12)</s:f>
        <s:v>0</s:v>
      </s:c>
      <s:c r="X44" s="88" t="str">
        <s:f>IF(AB44&lt;&gt;"",IF(D44&lt;&gt;"",D44,($L$8-SUM($X$24:X43))*AA44*AB44/SUMPRODUCT($AB44:$AB$57,$AA44:$AA$57)),"")</s:f>
        <s:v/>
      </s:c>
      <s:c r="Y44" s="89" t="str">
        <s:f>IF(AB44&lt;&gt;"",IF(E44&lt;&gt;"",E44,($L$9-SUM($Y$24:Y43))*AA44*AB44/SUMPRODUCT($AB44:$AB$57,$AA44:$AA$57)),"")</s:f>
        <s:v/>
      </s:c>
      <s:c r="Z44" s="89" t="str">
        <s:f>IF(AB44&lt;&gt;"",IF($L$12&lt;&gt;"",IF(G44&lt;&gt;"",G44,($L$9/$L$12-SUM($Z$24:Z43))*AA44*AB44/SUMPRODUCT($AB44:$AB$57,$AA44:$AA$57)),""),"")</s:f>
        <s:v/>
      </s:c>
      <s:c r="AA44" s="90"/>
      <s:c r="AB44" s="90"/>
      <s:c r="AC44" s="91"/>
      <s:c r="AD44" s="92"/>
      <s:c r="AE44" s="2"/>
      <s:c r="AF44" s="2"/>
      <s:c r="AG44" s="2"/>
      <s:c r="AH44" s="2"/>
      <s:c r="AI44" s="2"/>
    </s:row>
    <s:row r="45">
      <s:c r="A45" s="80">
        <s:v>22</s:v>
      </s:c>
      <s:c r="B45" s="81"/>
      <s:c r="C45" s="82"/>
      <s:c r="D45" s="83"/>
      <s:c r="E45" s="85"/>
      <s:c r="F45" s="85" t="str">
        <s:f>IF(AND(E45&lt;&gt;"",E45&lt;&gt;0),D45/E45,"")</s:f>
        <s:v/>
      </s:c>
      <s:c r="G45" s="85"/>
      <s:c r="H45" s="85" t="str">
        <s:f>IF(AND(G45&lt;&gt;"",G45&lt;&gt;0),D45/G45,"")</s:f>
        <s:v/>
      </s:c>
      <s:c r="I45" s="85"/>
      <s:c r="J45" s="83" t="str">
        <s:f>IF(AND(G45&lt;&gt;"",G45&lt;&gt;0),E45/G45,"")</s:f>
        <s:v/>
      </s:c>
      <s:c r="K45" s="85"/>
      <s:c r="L45" s="85"/>
      <s:c r="M45" s="85"/>
      <s:c r="N45" s="85"/>
      <s:c r="O45" s="85"/>
      <s:c r="P45" s="85"/>
      <s:c r="Q45" s="85"/>
      <s:c r="R45" s="85"/>
      <s:c r="S45" s="86" t="str">
        <s:f>IF(AND(I45&lt;&gt;"",I45&lt;&gt;0),G45/I45,"")</s:f>
        <s:v/>
      </s:c>
      <s:c r="T45" s="87" t="e">
        <s:f>D45/U45</s:f>
        <s:v>#DIV/0!</s:v>
      </s:c>
      <s:c r="U45" s="88">
        <s:f>$L$8*AA45*AB45/SUMPRODUCT($AB$24:$AB$55,$AA$24:$AA$55)</s:f>
        <s:v>0</s:v>
      </s:c>
      <s:c r="V45" s="89">
        <s:f>$L$9*AA45*AB45/SUMPRODUCT($AB$24:$AB$57,$AA$24:$AA$57)</s:f>
        <s:v>0</s:v>
      </s:c>
      <s:c r="W45" s="89">
        <s:f>IF($L$12="","",V45/$L$12)</s:f>
        <s:v>0</s:v>
      </s:c>
      <s:c r="X45" s="88" t="str">
        <s:f>IF(AB45&lt;&gt;"",IF(D45&lt;&gt;"",D45,($L$8-SUM($X$24:X44))*AA45*AB45/SUMPRODUCT($AB45:$AB$57,$AA45:$AA$57)),"")</s:f>
        <s:v/>
      </s:c>
      <s:c r="Y45" s="89" t="str">
        <s:f>IF(AB45&lt;&gt;"",IF(E45&lt;&gt;"",E45,($L$9-SUM($Y$24:Y44))*AA45*AB45/SUMPRODUCT($AB45:$AB$57,$AA45:$AA$57)),"")</s:f>
        <s:v/>
      </s:c>
      <s:c r="Z45" s="89" t="str">
        <s:f>IF(AB45&lt;&gt;"",IF($L$12&lt;&gt;"",IF(G45&lt;&gt;"",G45,($L$9/$L$12-SUM($Z$24:Z44))*AA45*AB45/SUMPRODUCT($AB45:$AB$57,$AA45:$AA$57)),""),"")</s:f>
        <s:v/>
      </s:c>
      <s:c r="AA45" s="90"/>
      <s:c r="AB45" s="90"/>
      <s:c r="AC45" s="91"/>
      <s:c r="AD45" s="92"/>
      <s:c r="AE45" s="2"/>
      <s:c r="AF45" s="2"/>
      <s:c r="AG45" s="2"/>
      <s:c r="AH45" s="2"/>
      <s:c r="AI45" s="2"/>
    </s:row>
    <s:row r="46">
      <s:c r="A46" s="80">
        <s:v>23</s:v>
      </s:c>
      <s:c r="B46" s="81"/>
      <s:c r="C46" s="82"/>
      <s:c r="D46" s="83"/>
      <s:c r="E46" s="85"/>
      <s:c r="F46" s="85" t="str">
        <s:f>IF(AND(E46&lt;&gt;"",E46&lt;&gt;0),D46/E46,"")</s:f>
        <s:v/>
      </s:c>
      <s:c r="G46" s="85"/>
      <s:c r="H46" s="85" t="str">
        <s:f>IF(AND(G46&lt;&gt;"",G46&lt;&gt;0),D46/G46,"")</s:f>
        <s:v/>
      </s:c>
      <s:c r="I46" s="85"/>
      <s:c r="J46" s="83" t="str">
        <s:f>IF(AND(G46&lt;&gt;"",G46&lt;&gt;0),E46/G46,"")</s:f>
        <s:v/>
      </s:c>
      <s:c r="K46" s="85"/>
      <s:c r="L46" s="85"/>
      <s:c r="M46" s="85"/>
      <s:c r="N46" s="85"/>
      <s:c r="O46" s="85"/>
      <s:c r="P46" s="85"/>
      <s:c r="Q46" s="85"/>
      <s:c r="R46" s="85"/>
      <s:c r="S46" s="86" t="str">
        <s:f>IF(AND(I46&lt;&gt;"",I46&lt;&gt;0),G46/I46,"")</s:f>
        <s:v/>
      </s:c>
      <s:c r="T46" s="87" t="e">
        <s:f>D46/U46</s:f>
        <s:v>#DIV/0!</s:v>
      </s:c>
      <s:c r="U46" s="88">
        <s:f>$L$8*AA46*AB46/SUMPRODUCT($AB$24:$AB$55,$AA$24:$AA$55)</s:f>
        <s:v>0</s:v>
      </s:c>
      <s:c r="V46" s="89">
        <s:f>$L$9*AA46*AB46/SUMPRODUCT($AB$24:$AB$57,$AA$24:$AA$57)</s:f>
        <s:v>0</s:v>
      </s:c>
      <s:c r="W46" s="89">
        <s:f>IF($L$12="","",V46/$L$12)</s:f>
        <s:v>0</s:v>
      </s:c>
      <s:c r="X46" s="88" t="str">
        <s:f>IF(AB46&lt;&gt;"",IF(D46&lt;&gt;"",D46,($L$8-SUM($X$24:X45))*AA46*AB46/SUMPRODUCT($AB46:$AB$57,$AA46:$AA$57)),"")</s:f>
        <s:v/>
      </s:c>
      <s:c r="Y46" s="89" t="str">
        <s:f>IF(AB46&lt;&gt;"",IF(E46&lt;&gt;"",E46,($L$9-SUM($Y$24:Y45))*AA46*AB46/SUMPRODUCT($AB46:$AB$57,$AA46:$AA$57)),"")</s:f>
        <s:v/>
      </s:c>
      <s:c r="Z46" s="89" t="str">
        <s:f>IF(AB46&lt;&gt;"",IF($L$12&lt;&gt;"",IF(G46&lt;&gt;"",G46,($L$9/$L$12-SUM($Z$24:Z45))*AA46*AB46/SUMPRODUCT($AB46:$AB$57,$AA46:$AA$57)),""),"")</s:f>
        <s:v/>
      </s:c>
      <s:c r="AA46" s="90"/>
      <s:c r="AB46" s="90"/>
      <s:c r="AC46" s="91"/>
      <s:c r="AD46" s="92"/>
      <s:c r="AE46" s="93"/>
      <s:c r="AF46" s="2"/>
      <s:c r="AG46" s="2"/>
      <s:c r="AH46" s="2"/>
      <s:c r="AI46" s="2"/>
    </s:row>
    <s:row r="47">
      <s:c r="A47" s="80">
        <s:v>24</s:v>
      </s:c>
      <s:c r="B47" s="81"/>
      <s:c r="C47" s="82"/>
      <s:c r="D47" s="83"/>
      <s:c r="E47" s="85"/>
      <s:c r="F47" s="85" t="str">
        <s:f>IF(AND(E47&lt;&gt;"",E47&lt;&gt;0),D47/E47,"")</s:f>
        <s:v/>
      </s:c>
      <s:c r="G47" s="85"/>
      <s:c r="H47" s="85" t="str">
        <s:f>IF(AND(G47&lt;&gt;"",G47&lt;&gt;0),D47/G47,"")</s:f>
        <s:v/>
      </s:c>
      <s:c r="I47" s="85"/>
      <s:c r="J47" s="83" t="str">
        <s:f>IF(AND(G47&lt;&gt;"",G47&lt;&gt;0),E47/G47,"")</s:f>
        <s:v/>
      </s:c>
      <s:c r="K47" s="85"/>
      <s:c r="L47" s="85"/>
      <s:c r="M47" s="85"/>
      <s:c r="N47" s="85"/>
      <s:c r="O47" s="85"/>
      <s:c r="P47" s="85"/>
      <s:c r="Q47" s="85"/>
      <s:c r="R47" s="85"/>
      <s:c r="S47" s="86" t="str">
        <s:f>IF(AND(I47&lt;&gt;"",I47&lt;&gt;0),G47/I47,"")</s:f>
        <s:v/>
      </s:c>
      <s:c r="T47" s="87" t="e">
        <s:f>D47/U47</s:f>
        <s:v>#DIV/0!</s:v>
      </s:c>
      <s:c r="U47" s="88">
        <s:f>$L$8*AA47*AB47/SUMPRODUCT($AB$24:$AB$55,$AA$24:$AA$55)</s:f>
        <s:v>0</s:v>
      </s:c>
      <s:c r="V47" s="89">
        <s:f>$L$9*AA47*AB47/SUMPRODUCT($AB$24:$AB$57,$AA$24:$AA$57)</s:f>
        <s:v>0</s:v>
      </s:c>
      <s:c r="W47" s="89">
        <s:f>IF($L$12="","",V47/$L$12)</s:f>
        <s:v>0</s:v>
      </s:c>
      <s:c r="X47" s="88" t="str">
        <s:f>IF(AB47&lt;&gt;"",IF(D47&lt;&gt;"",D47,($L$8-SUM($X$24:X46))*AA47*AB47/SUMPRODUCT($AB47:$AB$57,$AA47:$AA$57)),"")</s:f>
        <s:v/>
      </s:c>
      <s:c r="Y47" s="89" t="str">
        <s:f>IF(AB47&lt;&gt;"",IF(E47&lt;&gt;"",E47,($L$9-SUM($Y$24:Y46))*AA47*AB47/SUMPRODUCT($AB47:$AB$57,$AA47:$AA$57)),"")</s:f>
        <s:v/>
      </s:c>
      <s:c r="Z47" s="89" t="str">
        <s:f>IF(AB47&lt;&gt;"",IF($L$12&lt;&gt;"",IF(G47&lt;&gt;"",G47,($L$9/$L$12-SUM($Z$24:Z46))*AA47*AB47/SUMPRODUCT($AB47:$AB$57,$AA47:$AA$57)),""),"")</s:f>
        <s:v/>
      </s:c>
      <s:c r="AA47" s="90"/>
      <s:c r="AB47" s="90"/>
      <s:c r="AC47" s="91"/>
      <s:c r="AD47" s="92"/>
      <s:c r="AE47" s="93"/>
      <s:c r="AF47" s="2"/>
      <s:c r="AG47" s="2"/>
      <s:c r="AH47" s="2"/>
      <s:c r="AI47" s="2"/>
    </s:row>
    <s:row r="48">
      <s:c r="A48" s="80">
        <s:v>25</s:v>
      </s:c>
      <s:c r="B48" s="81"/>
      <s:c r="C48" s="82"/>
      <s:c r="D48" s="83"/>
      <s:c r="E48" s="85"/>
      <s:c r="F48" s="85" t="str">
        <s:f>IF(AND(E48&lt;&gt;"",E48&lt;&gt;0),D48/E48,"")</s:f>
        <s:v/>
      </s:c>
      <s:c r="G48" s="85"/>
      <s:c r="H48" s="85" t="str">
        <s:f>IF(AND(G48&lt;&gt;"",G48&lt;&gt;0),D48/G48,"")</s:f>
        <s:v/>
      </s:c>
      <s:c r="I48" s="85"/>
      <s:c r="J48" s="83" t="str">
        <s:f>IF(AND(G48&lt;&gt;"",G48&lt;&gt;0),E48/G48,"")</s:f>
        <s:v/>
      </s:c>
      <s:c r="K48" s="85"/>
      <s:c r="L48" s="85"/>
      <s:c r="M48" s="85"/>
      <s:c r="N48" s="85"/>
      <s:c r="O48" s="85"/>
      <s:c r="P48" s="85"/>
      <s:c r="Q48" s="85"/>
      <s:c r="R48" s="85"/>
      <s:c r="S48" s="86" t="str">
        <s:f>IF(AND(I48&lt;&gt;"",I48&lt;&gt;0),G48/I48,"")</s:f>
        <s:v/>
      </s:c>
      <s:c r="T48" s="87" t="e">
        <s:f>D48/U48</s:f>
        <s:v>#DIV/0!</s:v>
      </s:c>
      <s:c r="U48" s="88">
        <s:f>$L$8*AA48*AB48/SUMPRODUCT($AB$24:$AB$55,$AA$24:$AA$55)</s:f>
        <s:v>0</s:v>
      </s:c>
      <s:c r="V48" s="89">
        <s:f>$L$9*AA48*AB48/SUMPRODUCT($AB$24:$AB$57,$AA$24:$AA$57)</s:f>
        <s:v>0</s:v>
      </s:c>
      <s:c r="W48" s="89">
        <s:f>IF($L$12="","",V48/$L$12)</s:f>
        <s:v>0</s:v>
      </s:c>
      <s:c r="X48" s="88" t="str">
        <s:f>IF(AB48&lt;&gt;"",IF(D48&lt;&gt;"",D48,($L$8-SUM($X$24:X47))*AA48*AB48/SUMPRODUCT($AB48:$AB$57,$AA48:$AA$57)),"")</s:f>
        <s:v/>
      </s:c>
      <s:c r="Y48" s="89" t="str">
        <s:f>IF(AB48&lt;&gt;"",IF(E48&lt;&gt;"",E48,($L$9-SUM($Y$24:Y47))*AA48*AB48/SUMPRODUCT($AB48:$AB$57,$AA48:$AA$57)),"")</s:f>
        <s:v/>
      </s:c>
      <s:c r="Z48" s="89" t="str">
        <s:f>IF(AB48&lt;&gt;"",IF($L$12&lt;&gt;"",IF(G48&lt;&gt;"",G48,($L$9/$L$12-SUM($Z$24:Z47))*AA48*AB48/SUMPRODUCT($AB48:$AB$57,$AA48:$AA$57)),""),"")</s:f>
        <s:v/>
      </s:c>
      <s:c r="AA48" s="90"/>
      <s:c r="AB48" s="90"/>
      <s:c r="AC48" s="91"/>
      <s:c r="AD48" s="92"/>
      <s:c r="AE48" s="93"/>
      <s:c r="AF48" s="2"/>
      <s:c r="AG48" s="2"/>
      <s:c r="AH48" s="2"/>
      <s:c r="AI48" s="2"/>
    </s:row>
    <s:row r="49">
      <s:c r="A49" s="80">
        <s:v>26</s:v>
      </s:c>
      <s:c r="B49" s="81"/>
      <s:c r="C49" s="82"/>
      <s:c r="D49" s="83"/>
      <s:c r="E49" s="85"/>
      <s:c r="F49" s="85" t="str">
        <s:f>IF(AND(E49&lt;&gt;"",E49&lt;&gt;0),D49/E49,"")</s:f>
        <s:v/>
      </s:c>
      <s:c r="G49" s="85"/>
      <s:c r="H49" s="85" t="str">
        <s:f>IF(AND(G49&lt;&gt;"",G49&lt;&gt;0),D49/G49,"")</s:f>
        <s:v/>
      </s:c>
      <s:c r="I49" s="85"/>
      <s:c r="J49" s="83" t="str">
        <s:f>IF(AND(G49&lt;&gt;"",G49&lt;&gt;0),E49/G49,"")</s:f>
        <s:v/>
      </s:c>
      <s:c r="K49" s="85"/>
      <s:c r="L49" s="85"/>
      <s:c r="M49" s="85"/>
      <s:c r="N49" s="85"/>
      <s:c r="O49" s="85"/>
      <s:c r="P49" s="85"/>
      <s:c r="Q49" s="85"/>
      <s:c r="R49" s="85"/>
      <s:c r="S49" s="86" t="str">
        <s:f>IF(AND(I49&lt;&gt;"",I49&lt;&gt;0),G49/I49,"")</s:f>
        <s:v/>
      </s:c>
      <s:c r="T49" s="87" t="e">
        <s:f>D49/U49</s:f>
        <s:v>#DIV/0!</s:v>
      </s:c>
      <s:c r="U49" s="88">
        <s:f>$L$8*AA49*AB49/SUMPRODUCT($AB$24:$AB$55,$AA$24:$AA$55)</s:f>
        <s:v>0</s:v>
      </s:c>
      <s:c r="V49" s="89">
        <s:f>$L$9*AA49*AB49/SUMPRODUCT($AB$24:$AB$57,$AA$24:$AA$57)</s:f>
        <s:v>0</s:v>
      </s:c>
      <s:c r="W49" s="89">
        <s:f>IF($L$12="","",V49/$L$12)</s:f>
        <s:v>0</s:v>
      </s:c>
      <s:c r="X49" s="88" t="str">
        <s:f>IF(AB49&lt;&gt;"",IF(D49&lt;&gt;"",D49,($L$8-SUM($X$24:X48))*AA49*AB49/SUMPRODUCT($AB49:$AB$57,$AA49:$AA$57)),"")</s:f>
        <s:v/>
      </s:c>
      <s:c r="Y49" s="89" t="str">
        <s:f>IF(AB49&lt;&gt;"",IF(E49&lt;&gt;"",E49,($L$9-SUM($Y$24:Y48))*AA49*AB49/SUMPRODUCT($AB49:$AB$57,$AA49:$AA$57)),"")</s:f>
        <s:v/>
      </s:c>
      <s:c r="Z49" s="89" t="str">
        <s:f>IF(AB49&lt;&gt;"",IF($L$12&lt;&gt;"",IF(G49&lt;&gt;"",G49,($L$9/$L$12-SUM($Z$24:Z48))*AA49*AB49/SUMPRODUCT($AB49:$AB$57,$AA49:$AA$57)),""),"")</s:f>
        <s:v/>
      </s:c>
      <s:c r="AA49" s="90"/>
      <s:c r="AB49" s="90"/>
      <s:c r="AC49" s="91"/>
      <s:c r="AD49" s="92"/>
      <s:c r="AE49" s="93"/>
      <s:c r="AF49" s="2"/>
      <s:c r="AG49" s="2"/>
      <s:c r="AH49" s="2"/>
      <s:c r="AI49" s="2"/>
    </s:row>
    <s:row r="50">
      <s:c r="A50" s="80">
        <s:v>27</s:v>
      </s:c>
      <s:c r="B50" s="81"/>
      <s:c r="C50" s="97"/>
      <s:c r="D50" s="83"/>
      <s:c r="E50" s="221"/>
      <s:c r="F50" s="85" t="str">
        <s:f>IF(AND(E50&lt;&gt;"",E50&lt;&gt;0),D50/E50,"")</s:f>
        <s:v/>
      </s:c>
      <s:c r="G50" s="221"/>
      <s:c r="H50" s="85" t="str">
        <s:f>IF(AND(G50&lt;&gt;"",G50&lt;&gt;0),D50/G50,"")</s:f>
        <s:v/>
      </s:c>
      <s:c r="I50" s="221"/>
      <s:c r="J50" s="83" t="str">
        <s:f>IF(AND(G50&lt;&gt;"",G50&lt;&gt;0),E50/G50,"")</s:f>
        <s:v/>
      </s:c>
      <s:c r="K50" s="221"/>
      <s:c r="L50" s="85"/>
      <s:c r="M50" s="85"/>
      <s:c r="N50" s="85"/>
      <s:c r="O50" s="85"/>
      <s:c r="P50" s="85"/>
      <s:c r="Q50" s="85"/>
      <s:c r="R50" s="85"/>
      <s:c r="S50" s="86" t="str">
        <s:f>IF(AND(I50&lt;&gt;"",I50&lt;&gt;0),G50/I50,"")</s:f>
        <s:v/>
      </s:c>
      <s:c r="T50" s="222" t="e">
        <s:f>D50/U50</s:f>
        <s:v>#DIV/0!</s:v>
      </s:c>
      <s:c r="U50" s="88">
        <s:f>$L$8*AA50*AB50/SUMPRODUCT($AB$24:$AB$55,$AA$24:$AA$55)</s:f>
        <s:v>0</s:v>
      </s:c>
      <s:c r="V50" s="223">
        <s:f>$L$9*AA50*AB50/SUMPRODUCT($AB$24:$AB$57,$AA$24:$AA$57)</s:f>
        <s:v>0</s:v>
      </s:c>
      <s:c r="W50" s="89">
        <s:f>IF($L$12="","",V50/$L$12)</s:f>
        <s:v>0</s:v>
      </s:c>
      <s:c r="X50" s="224" t="str">
        <s:f>IF(AB50&lt;&gt;"",IF(D50&lt;&gt;"",D50,($L$8-SUM($X$24:X49))*AA50*AB50/SUMPRODUCT($AB50:$AB$57,$AA50:$AA$57)),"")</s:f>
        <s:v/>
      </s:c>
      <s:c r="Y50" s="89" t="str">
        <s:f>IF(AB50&lt;&gt;"",IF(E50&lt;&gt;"",E50,($L$9-SUM($Y$24:Y49))*AA50*AB50/SUMPRODUCT($AB50:$AB$57,$AA50:$AA$57)),"")</s:f>
        <s:v/>
      </s:c>
      <s:c r="Z50" s="223" t="str">
        <s:f>IF(AB50&lt;&gt;"",IF($L$12&lt;&gt;"",IF(G50&lt;&gt;"",G50,($L$9/$L$12-SUM($Z$24:Z49))*AA50*AB50/SUMPRODUCT($AB50:$AB$57,$AA50:$AA$57)),""),"")</s:f>
        <s:v/>
      </s:c>
      <s:c r="AA50" s="90"/>
      <s:c r="AB50" s="90"/>
      <s:c r="AC50" s="91"/>
      <s:c r="AD50" s="92"/>
      <s:c r="AE50" s="93"/>
      <s:c r="AF50" s="2"/>
      <s:c r="AG50" s="2"/>
      <s:c r="AH50" s="2"/>
      <s:c r="AI50" s="2"/>
    </s:row>
    <s:row r="51">
      <s:c r="A51" s="80">
        <s:v>28</s:v>
      </s:c>
      <s:c r="B51" s="81"/>
      <s:c r="C51" s="82"/>
      <s:c r="D51" s="225"/>
      <s:c r="E51" s="85"/>
      <s:c r="F51" s="221" t="str">
        <s:f>IF(AND(E51&lt;&gt;"",E51&lt;&gt;0),D51/E51,"")</s:f>
        <s:v/>
      </s:c>
      <s:c r="G51" s="85"/>
      <s:c r="H51" s="221" t="str">
        <s:f>IF(AND(G51&lt;&gt;"",G51&lt;&gt;0),D51/G51,"")</s:f>
        <s:v/>
      </s:c>
      <s:c r="I51" s="85"/>
      <s:c r="J51" s="225" t="str">
        <s:f>IF(AND(G51&lt;&gt;"",G51&lt;&gt;0),E51/G51,"")</s:f>
        <s:v/>
      </s:c>
      <s:c r="K51" s="85"/>
      <s:c r="L51" s="85"/>
      <s:c r="M51" s="85"/>
      <s:c r="N51" s="85"/>
      <s:c r="O51" s="85"/>
      <s:c r="P51" s="85"/>
      <s:c r="Q51" s="85"/>
      <s:c r="R51" s="85"/>
      <s:c r="S51" s="226" t="str">
        <s:f>IF(AND(I51&lt;&gt;"",I51&lt;&gt;0),G51/I51,"")</s:f>
        <s:v/>
      </s:c>
      <s:c r="T51" s="87" t="e">
        <s:f>D51/U51</s:f>
        <s:v>#DIV/0!</s:v>
      </s:c>
      <s:c r="U51" s="224">
        <s:f>$L$8*AA51*AB51/SUMPRODUCT($AB$24:$AB$55,$AA$24:$AA$55)</s:f>
        <s:v>0</s:v>
      </s:c>
      <s:c r="V51" s="89">
        <s:f>$L$9*AA51*AB51/SUMPRODUCT($AB$24:$AB$57,$AA$24:$AA$57)</s:f>
        <s:v>0</s:v>
      </s:c>
      <s:c r="W51" s="223">
        <s:f>IF($L$12="","",V51/$L$12)</s:f>
        <s:v>0</s:v>
      </s:c>
      <s:c r="X51" s="88" t="str">
        <s:f>IF(AB51&lt;&gt;"",IF(D51&lt;&gt;"",D51,($L$8-SUM($X$24:X50))*AA51*AB51/SUMPRODUCT($AB51:$AB$57,$AA51:$AA$57)),"")</s:f>
        <s:v/>
      </s:c>
      <s:c r="Y51" s="223" t="str">
        <s:f>IF(AB51&lt;&gt;"",IF(E51&lt;&gt;"",E51,($L$9-SUM($Y$24:Y50))*AA51*AB51/SUMPRODUCT($AB51:$AB$57,$AA51:$AA$57)),"")</s:f>
        <s:v/>
      </s:c>
      <s:c r="Z51" s="89" t="str">
        <s:f>IF(AB51&lt;&gt;"",IF($L$12&lt;&gt;"",IF(G51&lt;&gt;"",G51,($L$9/$L$12-SUM($Z$24:Z50))*AA51*AB51/SUMPRODUCT($AB51:$AB$57,$AA51:$AA$57)),""),"")</s:f>
        <s:v/>
      </s:c>
      <s:c r="AA51" s="227"/>
      <s:c r="AB51" s="90"/>
      <s:c r="AC51" s="91"/>
      <s:c r="AD51" s="92"/>
      <s:c r="AE51" s="93"/>
      <s:c r="AF51" s="2"/>
      <s:c r="AG51" s="2"/>
      <s:c r="AH51" s="2"/>
      <s:c r="AI51" s="2"/>
    </s:row>
    <s:row r="52">
      <s:c r="A52" s="80">
        <s:v>29</s:v>
      </s:c>
      <s:c r="B52" s="81"/>
      <s:c r="C52" s="97"/>
      <s:c r="D52" s="83"/>
      <s:c r="E52" s="221"/>
      <s:c r="F52" s="85" t="str">
        <s:f>IF(AND(E52&lt;&gt;"",E52&lt;&gt;0),D52/E52,"")</s:f>
        <s:v/>
      </s:c>
      <s:c r="G52" s="221"/>
      <s:c r="H52" s="85" t="str">
        <s:f>IF(AND(G52&lt;&gt;"",G52&lt;&gt;0),D52/G52,"")</s:f>
        <s:v/>
      </s:c>
      <s:c r="I52" s="221"/>
      <s:c r="J52" s="83" t="str">
        <s:f>IF(AND(G52&lt;&gt;"",G52&lt;&gt;0),E52/G52,"")</s:f>
        <s:v/>
      </s:c>
      <s:c r="K52" s="221"/>
      <s:c r="L52" s="85"/>
      <s:c r="M52" s="85"/>
      <s:c r="N52" s="85"/>
      <s:c r="O52" s="85"/>
      <s:c r="P52" s="85"/>
      <s:c r="Q52" s="85"/>
      <s:c r="R52" s="85"/>
      <s:c r="S52" s="86" t="str">
        <s:f>IF(AND(I52&lt;&gt;"",I52&lt;&gt;0),G52/I52,"")</s:f>
        <s:v/>
      </s:c>
      <s:c r="T52" s="222" t="e">
        <s:f>D52/U52</s:f>
        <s:v>#DIV/0!</s:v>
      </s:c>
      <s:c r="U52" s="88">
        <s:f>$L$8*AA52*AB52/SUMPRODUCT($AB$24:$AB$55,$AA$24:$AA$55)</s:f>
        <s:v>0</s:v>
      </s:c>
      <s:c r="V52" s="223">
        <s:f>$L$9*AA52*AB52/SUMPRODUCT($AB$24:$AB$57,$AA$24:$AA$57)</s:f>
        <s:v>0</s:v>
      </s:c>
      <s:c r="W52" s="89">
        <s:f>IF($L$12="","",V52/$L$12)</s:f>
        <s:v>0</s:v>
      </s:c>
      <s:c r="X52" s="224" t="str">
        <s:f>IF(AB52&lt;&gt;"",IF(D52&lt;&gt;"",D52,($L$8-SUM($X$24:X51))*AA52*AB52/SUMPRODUCT($AB52:$AB$57,$AA52:$AA$57)),"")</s:f>
        <s:v/>
      </s:c>
      <s:c r="Y52" s="89" t="str">
        <s:f>IF(AB52&lt;&gt;"",IF(E52&lt;&gt;"",E52,($L$9-SUM($Y$24:Y51))*AA52*AB52/SUMPRODUCT($AB52:$AB$57,$AA52:$AA$57)),"")</s:f>
        <s:v/>
      </s:c>
      <s:c r="Z52" s="223" t="str">
        <s:f>IF(AB52&lt;&gt;"",IF($L$12&lt;&gt;"",IF(G52&lt;&gt;"",G52,($L$9/$L$12-SUM($Z$24:Z51))*AA52*AB52/SUMPRODUCT($AB52:$AB$57,$AA52:$AA$57)),""),"")</s:f>
        <s:v/>
      </s:c>
      <s:c r="AA52" s="90"/>
      <s:c r="AB52" s="90"/>
      <s:c r="AC52" s="91"/>
      <s:c r="AD52" s="92"/>
      <s:c r="AE52" s="93"/>
      <s:c r="AF52" s="2"/>
      <s:c r="AG52" s="2"/>
      <s:c r="AH52" s="2"/>
      <s:c r="AI52" s="2"/>
    </s:row>
    <s:row r="53">
      <s:c r="A53" s="80"/>
      <s:c r="B53" s="81"/>
      <s:c r="C53" s="82"/>
      <s:c r="D53" s="83"/>
      <s:c r="E53" s="85"/>
      <s:c r="F53" s="85" t="str">
        <s:f>IF(AND(E53&lt;&gt;"",E53&lt;&gt;0),D53/E53,"")</s:f>
        <s:v/>
      </s:c>
      <s:c r="G53" s="85"/>
      <s:c r="H53" s="85" t="str">
        <s:f>IF(AND(G53&lt;&gt;"",G53&lt;&gt;0),D53/G53,"")</s:f>
        <s:v/>
      </s:c>
      <s:c r="I53" s="85"/>
      <s:c r="J53" s="83" t="str">
        <s:f>IF(AND(G53&lt;&gt;"",G53&lt;&gt;0),E53/G53,"")</s:f>
        <s:v/>
      </s:c>
      <s:c r="K53" s="85"/>
      <s:c r="L53" s="85"/>
      <s:c r="M53" s="85"/>
      <s:c r="N53" s="85"/>
      <s:c r="O53" s="85"/>
      <s:c r="P53" s="85"/>
      <s:c r="Q53" s="85"/>
      <s:c r="R53" s="85"/>
      <s:c r="S53" s="86" t="str">
        <s:f>IF(AND(I53&lt;&gt;"",I53&lt;&gt;0),G53/I53,"")</s:f>
        <s:v/>
      </s:c>
      <s:c r="T53" s="87" t="e">
        <s:f>D53/U53</s:f>
        <s:v>#DIV/0!</s:v>
      </s:c>
      <s:c r="U53" s="88">
        <s:f>$L$8*AA53*AB53/SUMPRODUCT($AB$24:$AB$55,$AA$24:$AA$55)</s:f>
        <s:v>0</s:v>
      </s:c>
      <s:c r="V53" s="89">
        <s:f>$L$9*AA53*AB53/SUMPRODUCT($AB$24:$AB$57,$AA$24:$AA$57)</s:f>
        <s:v>0</s:v>
      </s:c>
      <s:c r="W53" s="89">
        <s:f>IF($L$12="","",V53/$L$12)</s:f>
        <s:v>0</s:v>
      </s:c>
      <s:c r="X53" s="88" t="str">
        <s:f>IF(AB53&lt;&gt;"",IF(D53&lt;&gt;"",D53,($L$8-SUM($X$24:X49))*AA53*AB53/SUMPRODUCT($AB53:$AB$57,$AA53:$AA$57)),"")</s:f>
        <s:v/>
      </s:c>
      <s:c r="Y53" s="89" t="str">
        <s:f>IF(AB53&lt;&gt;"",IF(E53&lt;&gt;"",E53,($L$9-SUM($Y$24:Y49))*AA53*AB53/SUMPRODUCT($AB53:$AB$57,$AA53:$AA$57)),"")</s:f>
        <s:v/>
      </s:c>
      <s:c r="Z53" s="89" t="str">
        <s:f>IF(AB53&lt;&gt;"",IF($L$12&lt;&gt;"",IF(G53&lt;&gt;"",G53,($L$9/$L$12-SUM($Z$24:Z49))*AA53*AB53/SUMPRODUCT($AB53:$AB$57,$AA53:$AA$57)),""),"")</s:f>
        <s:v/>
      </s:c>
      <s:c r="AA53" s="90"/>
      <s:c r="AB53" s="90"/>
      <s:c r="AC53" s="91"/>
      <s:c r="AD53" s="92"/>
      <s:c r="AE53" s="93"/>
      <s:c r="AF53" s="2"/>
      <s:c r="AG53" s="2"/>
      <s:c r="AH53" s="2"/>
      <s:c r="AI53" s="2"/>
    </s:row>
    <s:row r="54">
      <s:c r="A54" s="80"/>
      <s:c r="B54" s="81"/>
      <s:c r="C54" s="82"/>
      <s:c r="D54" s="83"/>
      <s:c r="E54" s="85"/>
      <s:c r="F54" s="85" t="str">
        <s:f>IF(AND(E54&lt;&gt;"",E54&lt;&gt;0),D54/E54,"")</s:f>
        <s:v/>
      </s:c>
      <s:c r="G54" s="85"/>
      <s:c r="H54" s="85" t="str">
        <s:f>IF(AND(G54&lt;&gt;"",G54&lt;&gt;0),D54/G54,"")</s:f>
        <s:v/>
      </s:c>
      <s:c r="I54" s="85"/>
      <s:c r="J54" s="83" t="str">
        <s:f>IF(AND(G54&lt;&gt;"",G54&lt;&gt;0),E54/G54,"")</s:f>
        <s:v/>
      </s:c>
      <s:c r="K54" s="85"/>
      <s:c r="L54" s="85"/>
      <s:c r="M54" s="85"/>
      <s:c r="N54" s="85"/>
      <s:c r="O54" s="85"/>
      <s:c r="P54" s="85"/>
      <s:c r="Q54" s="85"/>
      <s:c r="R54" s="85"/>
      <s:c r="S54" s="86" t="str">
        <s:f>IF(AND(I54&lt;&gt;"",I54&lt;&gt;0),G54/I54,"")</s:f>
        <s:v/>
      </s:c>
      <s:c r="T54" s="87" t="e">
        <s:f>D54/U54</s:f>
        <s:v>#DIV/0!</s:v>
      </s:c>
      <s:c r="U54" s="88">
        <s:f>$L$8*AA54*AB54/SUMPRODUCT($AB$24:$AB$55,$AA$24:$AA$55)</s:f>
        <s:v>0</s:v>
      </s:c>
      <s:c r="V54" s="89">
        <s:f>$L$9*AA54*AB54/SUMPRODUCT($AB$24:$AB$57,$AA$24:$AA$57)</s:f>
        <s:v>0</s:v>
      </s:c>
      <s:c r="W54" s="89">
        <s:f>IF($L$12="","",V54/$L$12)</s:f>
        <s:v>0</s:v>
      </s:c>
      <s:c r="X54" s="88" t="str">
        <s:f>IF(AB54&lt;&gt;"",IF(D54&lt;&gt;"",D54,($L$8-SUM($X$24:X53))*AA54*AB54/SUMPRODUCT($AB54:$AB$57,$AA54:$AA$57)),"")</s:f>
        <s:v/>
      </s:c>
      <s:c r="Y54" s="89" t="str">
        <s:f>IF(AB54&lt;&gt;"",IF(E54&lt;&gt;"",E54,($L$9-SUM($Y$24:Y53))*AA54*AB54/SUMPRODUCT($AB54:$AB$57,$AA54:$AA$57)),"")</s:f>
        <s:v/>
      </s:c>
      <s:c r="Z54" s="89" t="str">
        <s:f>IF(AB54&lt;&gt;"",IF($L$12&lt;&gt;"",IF(G54&lt;&gt;"",G54,($L$9/$L$12-SUM($Z$24:Z53))*AA54*AB54/SUMPRODUCT($AB54:$AB$57,$AA54:$AA$57)),""),"")</s:f>
        <s:v/>
      </s:c>
      <s:c r="AA54" s="90"/>
      <s:c r="AB54" s="90"/>
      <s:c r="AC54" s="91"/>
      <s:c r="AD54" s="92"/>
      <s:c r="AE54" s="93"/>
      <s:c r="AF54" s="2"/>
      <s:c r="AG54" s="2"/>
      <s:c r="AH54" s="2"/>
      <s:c r="AI54" s="2"/>
    </s:row>
    <s:row r="55">
      <s:c r="A55" s="80"/>
      <s:c r="B55" s="81"/>
      <s:c r="C55" s="82"/>
      <s:c r="D55" s="83"/>
      <s:c r="E55" s="85"/>
      <s:c r="F55" s="85" t="str">
        <s:f>IF(AND(E55&lt;&gt;"",E55&lt;&gt;0),D55/E55,"")</s:f>
        <s:v/>
      </s:c>
      <s:c r="G55" s="85"/>
      <s:c r="H55" s="85" t="str">
        <s:f>IF(AND(G55&lt;&gt;"",G55&lt;&gt;0),D55/G55,"")</s:f>
        <s:v/>
      </s:c>
      <s:c r="I55" s="85"/>
      <s:c r="J55" s="83" t="str">
        <s:f>IF(AND(G55&lt;&gt;"",G55&lt;&gt;0),E55/G55,"")</s:f>
        <s:v/>
      </s:c>
      <s:c r="K55" s="85"/>
      <s:c r="L55" s="85"/>
      <s:c r="M55" s="85"/>
      <s:c r="N55" s="85"/>
      <s:c r="O55" s="85"/>
      <s:c r="P55" s="85"/>
      <s:c r="Q55" s="85"/>
      <s:c r="R55" s="85"/>
      <s:c r="S55" s="86" t="str">
        <s:f>IF(AND(I55&lt;&gt;"",I55&lt;&gt;0),G55/I55,"")</s:f>
        <s:v/>
      </s:c>
      <s:c r="T55" s="87" t="e">
        <s:f>D55/U55</s:f>
        <s:v>#DIV/0!</s:v>
      </s:c>
      <s:c r="U55" s="88">
        <s:f>$L$8*AA55*AB55/SUMPRODUCT($AB$24:$AB$55,$AA$24:$AA$55)</s:f>
        <s:v>0</s:v>
      </s:c>
      <s:c r="V55" s="89">
        <s:f>$L$9*AA55*AB55/SUMPRODUCT($AB$24:$AB$57,$AA$24:$AA$57)</s:f>
        <s:v>0</s:v>
      </s:c>
      <s:c r="W55" s="89">
        <s:f>IF($L$12="","",V55/$L$12)</s:f>
        <s:v>0</s:v>
      </s:c>
      <s:c r="X55" s="88" t="str">
        <s:f>IF(AB55&lt;&gt;"",IF(D55&lt;&gt;"",D55,($L$8-SUM($X$24:X54))*AA55*AB55/SUMPRODUCT($AB55:$AB$57,$AA55:$AA$57)),"")</s:f>
        <s:v/>
      </s:c>
      <s:c r="Y55" s="89" t="str">
        <s:f>IF(AB55&lt;&gt;"",IF(E55&lt;&gt;"",E55,($L$9-SUM($Y$24:Y54))*AA55*AB55/SUMPRODUCT($AB55:$AB$57,$AA55:$AA$57)),"")</s:f>
        <s:v/>
      </s:c>
      <s:c r="Z55" s="89" t="str">
        <s:f>IF(AB55&lt;&gt;"",IF($L$12&lt;&gt;"",IF(G55&lt;&gt;"",G55,($L$9/$L$12-SUM($Z$24:Z54))*AA55*AB55/SUMPRODUCT($AB55:$AB$57,$AA55:$AA$57)),""),"")</s:f>
        <s:v/>
      </s:c>
      <s:c r="AA55" s="90"/>
      <s:c r="AB55" s="90"/>
      <s:c r="AC55" s="91"/>
      <s:c r="AD55" s="92"/>
      <s:c r="AE55" s="93"/>
      <s:c r="AF55" s="2"/>
      <s:c r="AG55" s="2"/>
      <s:c r="AH55" s="2"/>
      <s:c r="AI55" s="2"/>
    </s:row>
    <s:row r="56" spans="1:35" ht="15" customHeight="1">
      <s:c r="B56" s="688"/>
      <s:c r="C56" s="688"/>
      <s:c r="D56" s="76">
        <s:f>SUM(D25:D55)</s:f>
        <s:v>792102</s:v>
      </s:c>
      <s:c r="E56" s="76">
        <s:f>SUM(E25:E55)</s:f>
        <s:v>90</s:v>
      </s:c>
      <s:c r="F56" s="76">
        <s:f>IF(AND(E56&lt;&gt;"",E56&lt;&gt;0),D56/E56,"")</s:f>
        <s:v>8801.1333333333332</s:v>
      </s:c>
      <s:c r="G56" s="76">
        <s:f>SUM(G25:G55)</s:f>
        <s:v>52</s:v>
      </s:c>
      <s:c r="H56" s="76">
        <s:f>IF(AND(G56&lt;&gt;"",G56&lt;&gt;0),D56/G56,"")</s:f>
        <s:v>15232.73076923077</s:v>
      </s:c>
      <s:c r="I56" s="76">
        <s:f>SUM(I25:I55)</s:f>
        <s:v>597</s:v>
      </s:c>
      <s:c r="J56" s="77">
        <s:f>IF(AND(G56&lt;&gt;"",G56&lt;&gt;0),E56/G56,"")</s:f>
        <s:v>1.7307692307692299</s:v>
      </s:c>
      <s:c r="K56" s="76">
        <s:f>SUM(K25:K55)</s:f>
        <s:v>136884</s:v>
      </s:c>
      <s:c r="L56" s="76">
        <s:f>SUM(L25:L55)</s:f>
        <s:v>129120</s:v>
      </s:c>
      <s:c r="M56" s="76">
        <s:f>SUM(M25:M55)</s:f>
        <s:v>0</s:v>
      </s:c>
      <s:c r="N56" s="76">
        <s:f>SUM(N25:N55)</s:f>
        <s:v>68112</s:v>
      </s:c>
      <s:c r="O56" s="76">
        <s:f>SUM(O25:O55)</s:f>
        <s:v>0</s:v>
      </s:c>
      <s:c r="P56" s="76">
        <s:f>SUM(P25:P55)</s:f>
        <s:v>37998</s:v>
      </s:c>
      <s:c r="Q56" s="76">
        <s:f>SUM(Q25:Q55)</s:f>
        <s:v>128637</s:v>
      </s:c>
      <s:c r="R56" s="76">
        <s:f>SUM(R25:R55)</s:f>
        <s:v>30605</s:v>
      </s:c>
      <s:c r="S56" s="94">
        <s:f>IF(AND(I56&lt;&gt;"",I56&lt;&gt;0),G56/I56,"")</s:f>
        <s:v>8.7102177554438803E-2</s:v>
      </s:c>
      <s:c r="T56" s="78">
        <s:f>D56/U56</s:f>
        <s:v>0.87196753480967515</s:v>
      </s:c>
      <s:c r="U56" s="79">
        <s:f>SUM(U24:U55)</s:f>
        <s:v>908407.67388535</s:v>
      </s:c>
      <s:c r="V56" s="79">
        <s:f>SUM(V24:V54)</s:f>
        <s:v>130.70614012738801</s:v>
      </s:c>
      <s:c r="W56" s="79">
        <s:f>SUM(W24:W54)</s:f>
        <s:v>71.816560509554094</s:v>
      </s:c>
      <s:c r="X56" s="79">
        <s:f>SUM(X24:X55)</s:f>
        <s:v>568554</s:v>
      </s:c>
      <s:c r="Y56" s="79" t="e">
        <s:f>SUM(Y24:Y54)</s:f>
        <s:v>#REF!</s:v>
      </s:c>
      <s:c r="Z56" s="79" t="e">
        <s:f>SUM(Z24:Z54)</s:f>
        <s:v>#REF!</s:v>
      </s:c>
      <s:c r="AA56" s="95"/>
      <s:c r="AB56" s="95"/>
    </s:row>
    <s:row r="57">
      <s:c r="B57" s="97"/>
      <s:c r="C57" s="98"/>
      <s:c r="D57" s="99">
        <s:f>SUMIF(D25:D53,"",U24:U53)+D56</s:f>
        <s:v>792102</s:v>
      </s:c>
      <s:c r="E57" s="100"/>
      <s:c r="F57" s="98"/>
      <s:c r="G57" s="98"/>
      <s:c r="H57" s="101"/>
      <s:c r="I57" s="228"/>
      <s:c r="J57" s="101"/>
      <s:c r="L57" s="103"/>
      <s:c r="M57" s="100"/>
      <s:c r="N57" s="100"/>
      <s:c r="O57" s="100"/>
      <s:c r="P57" s="100"/>
      <s:c r="Q57" s="100"/>
      <s:c r="R57" s="100"/>
      <s:c r="S57" s="103"/>
      <s:c r="T57" s="103"/>
      <s:c r="U57" s="103"/>
      <s:c r="V57" s="105"/>
    </s:row>
    <s:row r="58">
      <s:c r="D58" s="106"/>
    </s:row>
    <s:row r="59">
      <s:c r="D59" s="106"/>
    </s:row>
    <s:row r="60">
      <s:c r="D60" s="108"/>
    </s:row>
    <s:row r="61">
      <s:c r="D61" s="108"/>
      <s:c r="Z61" s="3" t="s">
        <s:v>121</s:v>
      </s:c>
    </s:row>
  </s:sheetData>
  <s:mergeCells count="26">
    <s:mergeCell ref="U21:AB21"/>
    <s:mergeCell ref="B56:C56"/>
    <s:mergeCell ref="T21:T23"/>
    <s:mergeCell ref="I10:K10"/>
    <s:mergeCell ref="M5:V5"/>
    <s:mergeCell ref="I7:K7"/>
    <s:mergeCell ref="S7:T7"/>
    <s:mergeCell ref="I8:K8"/>
    <s:mergeCell ref="I9:K9"/>
    <s:mergeCell ref="I6:T6"/>
    <s:mergeCell ref="I11:K11"/>
    <s:mergeCell ref="I12:K12"/>
    <s:mergeCell ref="I13:K13"/>
    <s:mergeCell ref="I14:K14"/>
    <s:mergeCell ref="I15:K15"/>
    <s:mergeCell ref="I16:K16"/>
    <s:mergeCell ref="V1:Y4"/>
    <s:mergeCell ref="B2:C2"/>
    <s:mergeCell ref="J3:S4"/>
    <s:mergeCell ref="C4:D4"/>
    <s:mergeCell ref="J2:S2"/>
    <s:mergeCell ref="I17:K17"/>
    <s:mergeCell ref="I18:K18"/>
    <s:mergeCell ref="I19:K19"/>
    <s:mergeCell ref="I20:K20"/>
    <s:mergeCell ref="B22:S22"/>
  </s:mergeCells>
  <s:conditionalFormatting sqref="J24:J55">
    <s:cfRule type="cellIs" dxfId="169" priority="2" operator="greaterThan">
      <s:formula>$I$11</s:formula>
    </s:cfRule>
  </s:conditionalFormatting>
  <s:conditionalFormatting sqref="J25:J38">
    <s:cfRule type="cellIs" dxfId="168" priority="1" operator="lessThan">
      <s:formula>$I$11</s:formula>
    </s:cfRule>
  </s:conditionalFormatting>
  <s:conditionalFormatting sqref="J25:J55">
    <s:cfRule type="cellIs" dxfId="167" priority="18" operator="greaterThan">
      <s:formula>$I$12</s:formula>
    </s:cfRule>
  </s:conditionalFormatting>
  <s:conditionalFormatting sqref="J36">
    <s:cfRule type="cellIs" dxfId="166" priority="45" operator="lessThan">
      <s:formula>$I$12</s:formula>
    </s:cfRule>
  </s:conditionalFormatting>
  <s:conditionalFormatting sqref="J38:J40">
    <s:cfRule type="cellIs" dxfId="165" priority="35" operator="lessThan">
      <s:formula>$I$12</s:formula>
    </s:cfRule>
  </s:conditionalFormatting>
  <s:conditionalFormatting sqref="J50:J52">
    <s:cfRule type="cellIs" dxfId="164" priority="44" operator="lessThan">
      <s:formula>$I$12</s:formula>
    </s:cfRule>
  </s:conditionalFormatting>
  <s:conditionalFormatting sqref="M15:M16">
    <s:cfRule type="cellIs" dxfId="163" priority="31" operator="greaterThan">
      <s:formula>0</s:formula>
    </s:cfRule>
  </s:conditionalFormatting>
  <s:conditionalFormatting sqref="N8">
    <s:cfRule type="cellIs" dxfId="162" priority="10" operator="greaterThan">
      <s:formula>$K$17</s:formula>
    </s:cfRule>
    <s:cfRule type="cellIs" dxfId="161" priority="11" operator="lessThan">
      <s:formula>$K$16</s:formula>
    </s:cfRule>
  </s:conditionalFormatting>
  <s:conditionalFormatting sqref="N10:N12 N14:N15">
    <s:cfRule type="cellIs" dxfId="160" priority="29" operator="greaterThan">
      <s:formula>1</s:formula>
    </s:cfRule>
  </s:conditionalFormatting>
  <s:conditionalFormatting sqref="N12">
    <s:cfRule type="cellIs" dxfId="159" priority="27" operator="greaterThan">
      <s:formula>$K$13</s:formula>
    </s:cfRule>
  </s:conditionalFormatting>
  <s:conditionalFormatting sqref="N13">
    <s:cfRule type="cellIs" dxfId="158" priority="26" operator="lessThan">
      <s:formula>$K$14</s:formula>
    </s:cfRule>
  </s:conditionalFormatting>
  <s:conditionalFormatting sqref="P8:P14">
    <s:cfRule type="cellIs" dxfId="157" priority="34" operator="lessThan">
      <s:formula>1</s:formula>
    </s:cfRule>
  </s:conditionalFormatting>
  <s:conditionalFormatting sqref="P8:P15">
    <s:cfRule type="cellIs" dxfId="156" priority="28" operator="greaterThan">
      <s:formula>1</s:formula>
    </s:cfRule>
  </s:conditionalFormatting>
  <s:conditionalFormatting sqref="S25:S42">
    <s:cfRule type="cellIs" dxfId="155" priority="16" operator="greaterThanOrEqual">
      <s:formula>0.25</s:formula>
    </s:cfRule>
  </s:conditionalFormatting>
  <s:conditionalFormatting sqref="S25:S44">
    <s:cfRule type="cellIs" dxfId="154" priority="3" operator="between">
      <s:formula>0.2</s:formula>
      <s:formula>0.25</s:formula>
    </s:cfRule>
  </s:conditionalFormatting>
  <s:conditionalFormatting sqref="S25:S55">
    <s:cfRule type="cellIs" dxfId="153" priority="17" operator="lessThan">
      <s:formula>0.2</s:formula>
    </s:cfRule>
  </s:conditionalFormatting>
  <s:conditionalFormatting sqref="S36">
    <s:cfRule type="cellIs" dxfId="152" priority="46" operator="between">
      <s:formula>0.2</s:formula>
      <s:formula>0.25</s:formula>
    </s:cfRule>
  </s:conditionalFormatting>
  <s:conditionalFormatting sqref="S38:S40">
    <s:cfRule type="cellIs" dxfId="151" priority="36" operator="between">
      <s:formula>0.2</s:formula>
      <s:formula>0.25</s:formula>
    </s:cfRule>
  </s:conditionalFormatting>
  <s:conditionalFormatting sqref="S38:S55">
    <s:cfRule type="cellIs" dxfId="150" priority="25" operator="greaterThanOrEqual">
      <s:formula>0.25</s:formula>
    </s:cfRule>
  </s:conditionalFormatting>
  <s:conditionalFormatting sqref="S40:S55">
    <s:cfRule type="cellIs" dxfId="149" priority="24" operator="between">
      <s:formula>0.2</s:formula>
      <s:formula>0.25</s:formula>
    </s:cfRule>
  </s:conditionalFormatting>
  <s:conditionalFormatting sqref="S50:S52">
    <s:cfRule type="cellIs" dxfId="148" priority="40" operator="between">
      <s:formula>0.2</s:formula>
      <s:formula>0.25</s:formula>
    </s:cfRule>
  </s:conditionalFormatting>
  <s:conditionalFormatting sqref="S10:T10">
    <s:cfRule type="cellIs" dxfId="147" priority="33" operator="lessThan">
      <s:formula>0</s:formula>
    </s:cfRule>
  </s:conditionalFormatting>
  <s:conditionalFormatting sqref="T24:T42">
    <s:cfRule type="cellIs" dxfId="146" priority="15" operator="between">
      <s:formula>0.01</s:formula>
      <s:formula>0.99</s:formula>
    </s:cfRule>
    <s:cfRule type="cellIs" dxfId="145" priority="14" operator="between">
      <s:formula>0.85</s:formula>
      <s:formula>1</s:formula>
    </s:cfRule>
    <s:cfRule type="cellIs" dxfId="144" priority="9" operator="between">
      <s:formula>0.9001</s:formula>
      <s:formula>0.9999</s:formula>
    </s:cfRule>
    <s:cfRule type="cellIs" dxfId="143" priority="8" operator="lessThan">
      <s:formula>0.9</s:formula>
    </s:cfRule>
  </s:conditionalFormatting>
  <s:conditionalFormatting sqref="T24:T55">
    <s:cfRule type="cellIs" dxfId="142" priority="13" operator="greaterThan">
      <s:formula>100</s:formula>
    </s:cfRule>
    <s:cfRule type="cellIs" dxfId="141" priority="12" operator="greaterThan">
      <s:formula>1</s:formula>
    </s:cfRule>
  </s:conditionalFormatting>
  <s:conditionalFormatting sqref="T35">
    <s:cfRule type="cellIs" dxfId="140" priority="49" operator="between">
      <s:formula>0.9001</s:formula>
      <s:formula>0.9999</s:formula>
    </s:cfRule>
    <s:cfRule type="cellIs" dxfId="139" priority="48" operator="lessThan">
      <s:formula>0.9</s:formula>
    </s:cfRule>
    <s:cfRule type="cellIs" dxfId="138" priority="47" operator="between">
      <s:formula>0.85</s:formula>
      <s:formula>1</s:formula>
    </s:cfRule>
  </s:conditionalFormatting>
  <s:conditionalFormatting sqref="T38:T40">
    <s:cfRule type="cellIs" dxfId="137" priority="37" operator="between">
      <s:formula>0.85</s:formula>
      <s:formula>1</s:formula>
    </s:cfRule>
    <s:cfRule type="cellIs" dxfId="136" priority="38" operator="lessThan">
      <s:formula>0.9</s:formula>
    </s:cfRule>
    <s:cfRule type="cellIs" dxfId="135" priority="39" operator="between">
      <s:formula>0.9001</s:formula>
      <s:formula>0.9999</s:formula>
    </s:cfRule>
  </s:conditionalFormatting>
  <s:conditionalFormatting sqref="T38:T55">
    <s:cfRule type="cellIs" dxfId="134" priority="23" operator="between">
      <s:formula>0.01</s:formula>
      <s:formula>0.99</s:formula>
    </s:cfRule>
  </s:conditionalFormatting>
  <s:conditionalFormatting sqref="T39:T40">
    <s:cfRule type="cellIs" dxfId="133" priority="7" operator="between">
      <s:formula>0.85</s:formula>
      <s:formula>1</s:formula>
    </s:cfRule>
  </s:conditionalFormatting>
  <s:conditionalFormatting sqref="T40:T55">
    <s:cfRule type="cellIs" dxfId="132" priority="20" operator="between">
      <s:formula>0.9001</s:formula>
      <s:formula>0.9999</s:formula>
    </s:cfRule>
    <s:cfRule type="cellIs" dxfId="131" priority="21" operator="lessThan">
      <s:formula>0.9</s:formula>
    </s:cfRule>
    <s:cfRule type="cellIs" dxfId="130" priority="22" operator="between">
      <s:formula>0.85</s:formula>
      <s:formula>1</s:formula>
    </s:cfRule>
  </s:conditionalFormatting>
  <s:conditionalFormatting sqref="T42:T44">
    <s:cfRule type="cellIs" dxfId="129" priority="6" operator="between">
      <s:formula>0.9001</s:formula>
      <s:formula>0.9999</s:formula>
    </s:cfRule>
    <s:cfRule type="cellIs" dxfId="128" priority="5" operator="lessThan">
      <s:formula>0.9</s:formula>
    </s:cfRule>
    <s:cfRule type="cellIs" dxfId="127" priority="4" operator="between">
      <s:formula>0.85</s:formula>
      <s:formula>1</s:formula>
    </s:cfRule>
  </s:conditionalFormatting>
  <s:conditionalFormatting sqref="T50:T52">
    <s:cfRule type="cellIs" dxfId="126" priority="41" operator="between">
      <s:formula>0.85</s:formula>
      <s:formula>1</s:formula>
    </s:cfRule>
    <s:cfRule type="cellIs" dxfId="125" priority="42" operator="lessThan">
      <s:formula>0.9</s:formula>
    </s:cfRule>
    <s:cfRule type="cellIs" dxfId="124" priority="43" operator="between">
      <s:formula>0.9001</s:formula>
      <s:formula>0.9999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5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00000000-0001-0000-0500-000000000000}">
  <s:sheetPr>
    <s:pageSetUpPr fitToPage="1"/>
  </s:sheetPr>
  <s:dimension ref="A1:IZ60"/>
  <s:sheetViews>
    <s:sheetView showZeros="0" tabSelected="0" topLeftCell="A31" workbookViewId="0">
      <s:pane xSplit="2" topLeftCell="C1" activePane="topRight" state="frozen"/>
      <s:selection activeCell="A18" sqref="A18"/>
      <s:selection pane="topRight" activeCell="R57" sqref="R57"/>
    </s:sheetView>
  </s:sheetViews>
  <s:sheetFormatPr baseColWidth="10" defaultColWidth="9.164" defaultRowHeight="15"/>
  <s:cols>
    <s:col min="1" max="1" width="4.164" style="229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3" width="10.164" style="3" customWidth="1"/>
    <s:col min="14" max="16" width="10.832" style="3" customWidth="1"/>
    <s:col min="17" max="17" width="12" style="3" customWidth="1"/>
    <s:col min="18" max="18" width="10.832" style="3" customWidth="1"/>
    <s:col min="19" max="19" width="11.664" style="3" customWidth="1"/>
    <s:col min="20" max="20" width="12.832" style="3" customWidth="1"/>
    <s:col min="21" max="21" width="10.332" style="3" customWidth="1"/>
    <s:col min="22" max="23" width="11.332" style="3" customWidth="1"/>
    <s:col min="24" max="24" width="11" style="3" customWidth="1"/>
    <s:col min="25" max="25" width="9.5" style="3" customWidth="1"/>
    <s:col min="26" max="26" width="9.164" style="3" bestFit="1" customWidth="1"/>
    <s:col min="27" max="28" width="10.5" style="3" customWidth="1"/>
    <s:col min="29" max="38" width="9.164" style="3" bestFit="1" customWidth="1"/>
    <s:col min="39" max="260" width="9.164" style="2" bestFit="1" customWidth="1"/>
  </s:cols>
  <s:sheetData>
    <s:row r="1" spans="2:28" ht="15.75" customHeight="1">
      <s:c r="B1" s="701">
        <s:f ca="1">TODAY()-1</s:f>
        <s:v>46171</s:v>
      </s:c>
      <s:c r="C1" s="701"/>
      <s:c r="D1" s="11"/>
      <s:c r="E1" s="11"/>
      <s:c r="F1" s="12"/>
      <s:c r="G1" s="12"/>
      <s:c r="H1" s="12"/>
      <s:c r="I1" s="12"/>
      <s:c r="J1" s="183"/>
      <s:c r="K1" s="183"/>
      <s:c r="L1" s="183"/>
      <s:c r="M1" s="183"/>
      <s:c r="N1" s="183"/>
      <s:c r="O1" s="183"/>
      <s:c r="P1" s="183"/>
      <s:c r="Q1" s="183"/>
      <s:c r="R1" s="183"/>
      <s:c r="S1" s="183"/>
      <s:c r="T1" s="183"/>
      <s:c r="U1" s="183"/>
      <s:c r="V1" s="677"/>
      <s:c r="W1" s="677"/>
      <s:c r="X1" s="677"/>
      <s:c r="Y1" s="677"/>
      <s:c r="Z1" s="12"/>
      <s:c r="AA1" s="12"/>
      <s:c r="AB1" s="12"/>
    </s:row>
    <s:row r="2" spans="2:28" ht="21.75" customHeight="1">
      <s:c r="B2" s="678" t="s">
        <s:v>0</s:v>
      </s:c>
      <s:c r="C2" s="678"/>
      <s:c r="D2" s="11"/>
      <s:c r="E2" s="11"/>
      <s:c r="F2" s="12"/>
      <s:c r="G2" s="12"/>
      <s:c r="H2" s="12"/>
      <s:c r="I2" s="12"/>
      <s:c r="J2" s="687" t="s">
        <s:v>132</s:v>
      </s:c>
      <s:c r="K2" s="687"/>
      <s:c r="L2" s="687"/>
      <s:c r="M2" s="687"/>
      <s:c r="N2" s="687"/>
      <s:c r="O2" s="687"/>
      <s:c r="P2" s="687"/>
      <s:c r="Q2" s="687"/>
      <s:c r="R2" s="687"/>
      <s:c r="S2" s="687"/>
      <s:c r="T2" s="421"/>
      <s:c r="U2" s="421"/>
      <s:c r="V2" s="677"/>
      <s:c r="W2" s="677"/>
      <s:c r="X2" s="677"/>
      <s:c r="Y2" s="677"/>
      <s:c r="Z2" s="12"/>
      <s:c r="AA2" s="12"/>
      <s:c r="AB2" s="12"/>
    </s:row>
    <s:row r="3" spans="2:28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702" t="str">
        <s:f>График!B27</s:f>
        <s:v>Уразгильдеева Екатерина</s:v>
      </s:c>
      <s:c r="K3" s="680"/>
      <s:c r="L3" s="680"/>
      <s:c r="M3" s="680"/>
      <s:c r="N3" s="680"/>
      <s:c r="O3" s="680"/>
      <s:c r="P3" s="680"/>
      <s:c r="Q3" s="680"/>
      <s:c r="R3" s="680"/>
      <s:c r="S3" s="681"/>
      <s:c r="T3" s="183"/>
      <s:c r="U3" s="230"/>
      <s:c r="V3" s="677"/>
      <s:c r="W3" s="677"/>
      <s:c r="X3" s="677"/>
      <s:c r="Y3" s="677"/>
      <s:c r="Z3" s="12"/>
      <s:c r="AA3" s="12"/>
      <s:c r="AB3" s="12"/>
    </s:row>
    <s:row r="4" spans="2:28" ht="15" customHeight="1">
      <s:c r="B4" s="11"/>
      <s:c r="C4" s="685">
        <s:f>L8-D50</s:f>
        <s:v>1091133.3554140099</s:v>
      </s:c>
      <s:c r="D4" s="686"/>
      <s:c r="E4" s="184">
        <s:f>IF(L8&lt;&gt;0,C4/L8,0)</s:f>
        <s:v>1</s:v>
      </s:c>
      <s:c r="F4" s="12"/>
      <s:c r="G4" s="12"/>
      <s:c r="H4" s="12"/>
      <s:c r="I4" s="12"/>
      <s:c r="J4" s="682"/>
      <s:c r="K4" s="683"/>
      <s:c r="L4" s="683"/>
      <s:c r="M4" s="683"/>
      <s:c r="N4" s="683"/>
      <s:c r="O4" s="683"/>
      <s:c r="P4" s="683"/>
      <s:c r="Q4" s="683"/>
      <s:c r="R4" s="683"/>
      <s:c r="S4" s="684"/>
      <s:c r="T4" s="12"/>
      <s:c r="U4" s="12"/>
      <s:c r="V4" s="677"/>
      <s:c r="W4" s="677"/>
      <s:c r="X4" s="677"/>
      <s:c r="Y4" s="677"/>
      <s:c r="Z4" s="12"/>
      <s:c r="AA4" s="12"/>
      <s:c r="AB4" s="12"/>
    </s:row>
    <s:row r="5" spans="2:28" ht="18" customHeight="1" thickBot="1">
      <s:c r="B5" s="12"/>
      <s:c r="C5" s="12"/>
      <s:c r="D5" s="12"/>
      <s:c r="E5" s="12"/>
      <s:c r="F5" s="12"/>
      <s:c r="G5" s="12"/>
      <s:c r="H5" s="12"/>
      <s:c r="I5" s="12"/>
      <s:c r="J5" s="703"/>
      <s:c r="K5" s="703"/>
      <s:c r="L5" s="703"/>
      <s:c r="M5" s="703"/>
      <s:c r="N5" s="703"/>
      <s:c r="O5" s="703"/>
      <s:c r="P5" s="703"/>
      <s:c r="Q5" s="703"/>
      <s:c r="R5" s="703"/>
      <s:c r="S5" s="703"/>
      <s:c r="T5" s="12"/>
      <s:c r="U5" s="12"/>
      <s:c r="V5" s="12"/>
      <s:c r="W5" s="12"/>
      <s:c r="X5" s="12"/>
      <s:c r="Y5" s="12"/>
      <s:c r="Z5" s="12"/>
      <s:c r="AA5" s="12"/>
      <s:c r="AB5" s="12"/>
    </s:row>
    <s:row r="6" spans="2:28" ht="19" customHeight="1" thickBot="1">
      <s:c r="B6" s="185"/>
      <s:c r="C6" s="12"/>
      <s:c r="D6" s="12"/>
      <s:c r="E6" s="12"/>
      <s:c r="F6" s="12"/>
      <s:c r="G6" s="12"/>
      <s:c r="H6" s="12"/>
      <s:c r="I6" s="698" t="s">
        <s:v>2</s:v>
      </s:c>
      <s:c r="J6" s="699"/>
      <s:c r="K6" s="699"/>
      <s:c r="L6" s="699"/>
      <s:c r="M6" s="699"/>
      <s:c r="N6" s="699"/>
      <s:c r="O6" s="699"/>
      <s:c r="P6" s="699"/>
      <s:c r="Q6" s="699"/>
      <s:c r="R6" s="699"/>
      <s:c r="S6" s="699"/>
      <s:c r="T6" s="700"/>
      <s:c r="U6" s="12"/>
      <s:c r="V6" s="12"/>
      <s:c r="W6" s="12"/>
      <s:c r="X6" s="18"/>
      <s:c r="Y6" s="12"/>
      <s:c r="Z6" s="12"/>
      <s:c r="AA6" s="12"/>
      <s:c r="AB6" s="12"/>
    </s:row>
    <s:row r="7" spans="2:28" ht="50.75" customHeight="1" thickBot="1">
      <s:c r="B7" s="185"/>
      <s:c r="C7" s="12"/>
      <s:c r="D7" s="12"/>
      <s:c r="E7" s="12"/>
      <s:c r="F7" s="12"/>
      <s:c r="G7" s="12"/>
      <s:c r="H7" s="12"/>
      <s:c r="I7" s="704" t="s">
        <s:v>3</s:v>
      </s:c>
      <s:c r="J7" s="705"/>
      <s:c r="K7" s="706"/>
      <s:c r="L7" s="19" t="s">
        <s:v>4</s:v>
      </s:c>
      <s:c r="M7" s="20" t="s">
        <s:v>5</s:v>
      </s:c>
      <s:c r="N7" s="21" t="s">
        <s:v>6</s:v>
      </s:c>
      <s:c r="O7" s="22" t="s">
        <s:v>7</s:v>
      </s:c>
      <s:c r="P7" s="22" t="s">
        <s:v>8</s:v>
      </s:c>
      <s:c r="Q7" s="23" t="s">
        <s:v>9</s:v>
      </s:c>
      <s:c r="R7" s="23" t="s">
        <s:v>10</s:v>
      </s:c>
      <s:c r="S7" s="707" t="s">
        <s:v>11</s:v>
      </s:c>
      <s:c r="T7" s="694"/>
      <s:c r="U7" s="12"/>
      <s:c r="V7" s="12"/>
      <s:c r="W7" s="231"/>
      <s:c r="X7" s="18"/>
      <s:c r="Y7" s="12"/>
      <s:c r="Z7" s="12"/>
      <s:c r="AA7" s="12"/>
      <s:c r="AB7" s="12"/>
    </s:row>
    <s:row r="8" spans="2:28" ht="15.75" customHeight="1">
      <s:c r="B8" s="185"/>
      <s:c r="C8" s="12"/>
      <s:c r="D8" s="12"/>
      <s:c r="E8" s="231"/>
      <s:c r="F8" s="12"/>
      <s:c r="G8" s="12"/>
      <s:c r="H8" s="231"/>
      <s:c r="I8" s="642" t="s">
        <s:v>12</s:v>
      </s:c>
      <s:c r="J8" s="619"/>
      <s:c r="K8" s="620"/>
      <s:c r="L8" s="186">
        <s:f>'Ялта, Ленина, 18'!I8/График!AJ29*График!AJ27</s:f>
        <s:v>1091133.3554140099</s:v>
      </s:c>
      <s:c r="M8" s="187">
        <s:f>D57</s:f>
        <s:v>780750</s:v>
      </s:c>
      <s:c r="N8" s="27">
        <s:f>IF(AND(L8&lt;&gt;"",L8&lt;&gt;0,M8&lt;&gt;""),M8/L8,"")</s:f>
        <s:v>0.71554040221211934</s:v>
      </s:c>
      <s:c r="O8" s="188">
        <s:f>IF(SUMIF($D$25:$D$56,"&gt;=0",$U$25:$U$56)&lt;&gt;0,L8*D57/SUMIF($D$25:$D$56,"&gt;=0",$U$25:$U$56),0)</s:f>
        <s:v>780749.99999999907</s:v>
      </s:c>
      <s:c r="P8" s="232">
        <s:f>IF(AND(L8&lt;&gt;"",L8&lt;&gt;0,O8&lt;&gt;"",O8&lt;&gt;0),O8/L8,"")</s:f>
        <s:v>0.71554040221211845</s:v>
      </s:c>
      <s:c r="Q8" s="30">
        <s:f>IF(AND(M8&lt;&gt;0,M8&lt;&gt;"",L8&lt;&gt;0,L8&lt;&gt;""),O8-L8,"")</s:f>
        <s:v>-310383.35541401082</s:v>
      </s:c>
      <s:c r="R8" s="29">
        <s:v>240775</s:v>
      </s:c>
      <s:c r="S8" s="30">
        <s:f>IF(AND(R8&lt;&gt;"",R8&lt;&gt;0,O8&lt;&gt;"",O8&lt;&gt;0),-R8+O8,"")</s:f>
        <s:v>539974.99999999907</s:v>
      </s:c>
      <s:c r="T8" s="31">
        <s:f>IF(AND(S8&lt;&gt;"",S8&lt;&gt;0,R8&lt;&gt;0,R8&lt;&gt;""),S8/R8,"")</s:f>
        <s:v>2.2426539300176476</s:v>
      </s:c>
      <s:c r="U8" s="12"/>
      <s:c r="V8" s="12"/>
      <s:c r="W8" s="231"/>
      <s:c r="X8" s="18"/>
      <s:c r="Y8" s="12"/>
      <s:c r="Z8" s="12"/>
      <s:c r="AA8" s="12"/>
      <s:c r="AB8" s="12"/>
    </s:row>
    <s:row r="9" spans="2:28" ht="15.75" customHeight="1">
      <s:c r="B9" s="185"/>
      <s:c r="C9" s="12"/>
      <s:c r="D9" s="12"/>
      <s:c r="E9" s="12"/>
      <s:c r="F9" s="12"/>
      <s:c r="G9" s="12"/>
      <s:c r="H9" s="12"/>
      <s:c r="I9" s="643" t="s">
        <s:v>13</s:v>
      </s:c>
      <s:c r="J9" s="622"/>
      <s:c r="K9" s="623"/>
      <s:c r="L9" s="33">
        <s:f>L8/L11</s:f>
        <s:v>156.99760509554099</s:v>
      </s:c>
      <s:c r="M9" s="233">
        <s:f>E57</s:f>
        <s:v>107</s:v>
      </s:c>
      <s:c r="N9" s="35">
        <s:f>IF(AND(L9&lt;&gt;"",L9&lt;&gt;0,M9&lt;&gt;""),M9/L9,"")</s:f>
        <s:v>0.68153905873204101</s:v>
      </s:c>
      <s:c r="O9" s="234">
        <s:f>IF(SUMIF($E$25:$E$54,"&gt;=0",$V$25:$V$54)&lt;&gt;0,L9*E57/SUMIF($E$25:$E$54,"&gt;=0",$V$25:$V$54),0)</s:f>
        <s:v>107</s:v>
      </s:c>
      <s:c r="P9" s="235">
        <s:f>IF(AND(L9&lt;&gt;"",L9&lt;&gt;0,O9&lt;&gt;"",O9&lt;&gt;0),O9/L9,"")</s:f>
        <s:v>0.68153905873204101</s:v>
      </s:c>
      <s:c r="Q9" s="38">
        <s:f>IF(AND(M9&lt;&gt;0,M9&lt;&gt;"",L9&lt;&gt;0,L9&lt;&gt;""),O9-L9,"")</s:f>
        <s:v>-49.997605095541303</s:v>
      </s:c>
      <s:c r="R9" s="39">
        <s:v>51</s:v>
      </s:c>
      <s:c r="S9" s="38">
        <s:f>IF(AND(R9&lt;&gt;"",R9&lt;&gt;0,O9&lt;&gt;"",O9&lt;&gt;0),-R9+O9,"")</s:f>
        <s:v>56</s:v>
      </s:c>
      <s:c r="T9" s="40">
        <s:f>IF(AND(S9&lt;&gt;"",S9&lt;&gt;0,R9&lt;&gt;0,R9&lt;&gt;""),S9/R9,"")</s:f>
        <s:v>1.0980392156862699</s:v>
      </s:c>
      <s:c r="U9" s="12"/>
      <s:c r="V9" s="12"/>
      <s:c r="W9" s="231"/>
      <s:c r="X9" s="18"/>
      <s:c r="Y9" s="12"/>
      <s:c r="Z9" s="12"/>
      <s:c r="AA9" s="12"/>
      <s:c r="AB9" s="12"/>
    </s:row>
    <s:row r="10" spans="2:28" ht="15.75" customHeight="1">
      <s:c r="B10" s="185"/>
      <s:c r="C10" s="12"/>
      <s:c r="D10" s="12"/>
      <s:c r="E10" s="12"/>
      <s:c r="F10" s="12"/>
      <s:c r="G10" s="12"/>
      <s:c r="H10" s="12"/>
      <s:c r="I10" s="642" t="s">
        <s:v>14</s:v>
      </s:c>
      <s:c r="J10" s="619"/>
      <s:c r="K10" s="620"/>
      <s:c r="L10" s="45">
        <s:f>L11*L12</s:f>
        <s:v>12649</s:v>
      </s:c>
      <s:c r="M10" s="194">
        <s:f>H57</s:f>
        <s:v>12392.857142857143</s:v>
      </s:c>
      <s:c r="N10" s="42">
        <s:f>IF(AND(L10&lt;&gt;"",L10&lt;&gt;0,M10&lt;&gt;""),M10/L10,"")</s:f>
        <s:v>0.97974995200072279</s:v>
      </s:c>
      <s:c r="O10" s="191">
        <s:f>M10</s:f>
        <s:v>12392.857142857143</s:v>
      </s:c>
      <s:c r="P10" s="236">
        <s:f>IF(AND(L10&lt;&gt;"",L10&lt;&gt;0,O10&lt;&gt;"",O10&lt;&gt;0),O10/L10,"")</s:f>
        <s:v>0.97974995200072279</s:v>
      </s:c>
      <s:c r="Q10" s="44">
        <s:f>IF(AND(M10&lt;&gt;0,M10&lt;&gt;"",L10&lt;&gt;0,L10&lt;&gt;""),O10-L10,"")</s:f>
        <s:v>-256.14285714285688</s:v>
      </s:c>
      <s:c r="R10" s="45">
        <s:v>8917.5925925925931</s:v>
      </s:c>
      <s:c r="S10" s="44">
        <s:f>IF(AND(R10&lt;&gt;"",R10&lt;&gt;0,O10&lt;&gt;"",O10&lt;&gt;0),-R10+O10,"")</s:f>
        <s:v>3475.2645502645501</s:v>
      </s:c>
      <s:c r="T10" s="46">
        <s:f>IF(AND(S10&lt;&gt;"",S10&lt;&gt;0,R10&lt;&gt;0,R10&lt;&gt;""),S10/R10,"")</s:f>
        <s:v>0.38970882715042193</s:v>
      </s:c>
      <s:c r="U10" s="12"/>
      <s:c r="V10" s="12"/>
      <s:c r="W10" s="231"/>
      <s:c r="X10" s="18"/>
      <s:c r="Y10" s="12"/>
      <s:c r="Z10" s="12"/>
      <s:c r="AA10" s="12"/>
      <s:c r="AB10" s="12"/>
    </s:row>
    <s:row r="11" spans="2:28" ht="15.75" customHeight="1">
      <s:c r="B11" s="185"/>
      <s:c r="C11" s="12"/>
      <s:c r="D11" s="12"/>
      <s:c r="E11" s="12"/>
      <s:c r="F11" s="12"/>
      <s:c r="G11" s="12"/>
      <s:c r="H11" s="12"/>
      <s:c r="I11" s="643" t="s">
        <s:v>15</s:v>
      </s:c>
      <s:c r="J11" s="622"/>
      <s:c r="K11" s="623"/>
      <s:c r="L11" s="47">
        <s:f>'Ялта, Ленина, 18'!I11</s:f>
        <s:v>6950</s:v>
      </s:c>
      <s:c r="M11" s="233">
        <s:f>F57</s:f>
        <s:v>7296.7289719626169</s:v>
      </s:c>
      <s:c r="N11" s="35">
        <s:f>IF(AND(L11&lt;&gt;"",L11&lt;&gt;0,M11&lt;&gt;""),M11/L11,"")</s:f>
        <s:v>1.0498890607140456</s:v>
      </s:c>
      <s:c r="O11" s="234">
        <s:f>IF(O9&gt;0,O8/O9,"")</s:f>
        <s:v>7296.7289719626078</s:v>
      </s:c>
      <s:c r="P11" s="235">
        <s:f>IF(AND(L11&lt;&gt;"",L11&lt;&gt;0,O11&lt;&gt;"",O11&lt;&gt;0),O11/L11,"")</s:f>
        <s:v>1.0498890607140443</s:v>
      </s:c>
      <s:c r="Q11" s="38">
        <s:f>IF(AND(M11&lt;&gt;0,M11&lt;&gt;"",L11&lt;&gt;0,L11&lt;&gt;""),O11-L11,"")</s:f>
        <s:v>346.72897196260783</s:v>
      </s:c>
      <s:c r="R11" s="48">
        <s:v>4721.0784313725489</s:v>
      </s:c>
      <s:c r="S11" s="38">
        <s:f>IF(AND(R11&lt;&gt;"",R11&lt;&gt;0,O11&lt;&gt;"",O11&lt;&gt;0),-R11+O11,"")</s:f>
        <s:v>2575.6505405900589</s:v>
      </s:c>
      <s:c r="T11" s="40">
        <s:f>IF(AND(S11&lt;&gt;"",S11&lt;&gt;0,R11&lt;&gt;0,R11&lt;&gt;""),S11/R11,"")</s:f>
        <s:v>0.54556402271869175</s:v>
      </s:c>
      <s:c r="U11" s="12"/>
      <s:c r="V11" s="12"/>
      <s:c r="W11" s="231"/>
      <s:c r="X11" s="18"/>
      <s:c r="Y11" s="12"/>
      <s:c r="Z11" s="12"/>
      <s:c r="AA11" s="12"/>
      <s:c r="AB11" s="12"/>
    </s:row>
    <s:row r="12" spans="2:28" ht="15.75" customHeight="1">
      <s:c r="B12" s="185"/>
      <s:c r="C12" s="12"/>
      <s:c r="D12" s="12"/>
      <s:c r="E12" s="12"/>
      <s:c r="F12" s="12"/>
      <s:c r="G12" s="12"/>
      <s:c r="H12" s="12"/>
      <s:c r="I12" s="643" t="s">
        <s:v>16</s:v>
      </s:c>
      <s:c r="J12" s="622"/>
      <s:c r="K12" s="623"/>
      <s:c r="L12" s="49">
        <s:f>'Ялта, Ленина, 18'!I12</s:f>
        <s:v>1.82</s:v>
      </s:c>
      <s:c r="M12" s="50">
        <s:f>J57</s:f>
        <s:v>1.6984126984126899</s:v>
      </s:c>
      <s:c r="N12" s="35">
        <s:f>IF(AND(L12&lt;&gt;"",L12&lt;&gt;0,M12&lt;&gt;""),M12/L12,"")</s:f>
        <s:v>0.93319379033664696</s:v>
      </s:c>
      <s:c r="O12" s="199">
        <s:f>M12</s:f>
        <s:v>1.6984126984126899</s:v>
      </s:c>
      <s:c r="P12" s="237">
        <s:f>IF(AND(L12&lt;&gt;"",L12&lt;&gt;0,O12&lt;&gt;"",O12&lt;&gt;0),O12/L12,"")</s:f>
        <s:v>0.93319379033664696</s:v>
      </s:c>
      <s:c r="Q12" s="51">
        <s:f>IF(AND(M12&lt;&gt;0,M12&lt;&gt;"",L12&lt;&gt;0,L12&lt;&gt;""),O12-L12,"")</s:f>
        <s:v>-0.12158730158730099</s:v>
      </s:c>
      <s:c r="R12" s="52">
        <s:v>1.8888888888888888</s:v>
      </s:c>
      <s:c r="S12" s="38">
        <s:f>IF(AND(R12&lt;&gt;"",R12&lt;&gt;0,O12&lt;&gt;"",O12&lt;&gt;0),-R12+O12,"")</s:f>
        <s:v>-0.19047619047618999</s:v>
      </s:c>
      <s:c r="T12" s="40">
        <s:f>IF(AND(S12&lt;&gt;"",S12&lt;&gt;0,R12&lt;&gt;0,R12&lt;&gt;""),S12/R12,"")</s:f>
        <s:v>-0.10084033613445301</s:v>
      </s:c>
      <s:c r="U12" s="12"/>
      <s:c r="V12" s="12"/>
      <s:c r="W12" s="231"/>
      <s:c r="X12" s="18"/>
      <s:c r="Y12" s="12"/>
      <s:c r="Z12" s="12"/>
      <s:c r="AA12" s="12"/>
      <s:c r="AB12" s="12"/>
    </s:row>
    <s:row r="13" spans="2:28" ht="15.75" customHeight="1">
      <s:c r="B13" s="185"/>
      <s:c r="C13" s="12"/>
      <s:c r="D13" s="12"/>
      <s:c r="E13" s="12"/>
      <s:c r="F13" s="12"/>
      <s:c r="G13" s="12"/>
      <s:c r="H13" s="12"/>
      <s:c r="I13" s="643" t="s">
        <s:v>17</s:v>
      </s:c>
      <s:c r="J13" s="622"/>
      <s:c r="K13" s="623"/>
      <s:c r="L13" s="33">
        <s:f>IF(L12&lt;&gt;0,L9/L12,"")</s:f>
        <s:v>86.262420382165601</s:v>
      </s:c>
      <s:c r="M13" s="233">
        <s:f>G57</s:f>
        <s:v>63</s:v>
      </s:c>
      <s:c r="N13" s="35">
        <s:f>IF(AND(L13&lt;&gt;"",L13&lt;&gt;0,M13&lt;&gt;""),M13/L13,"")</s:f>
        <s:v>0.73032961190855905</s:v>
      </s:c>
      <s:c r="O13" s="234">
        <s:f>IF(SUMIF($G$25:$G$54,"&gt;=0",$W$25:$W$54)&lt;&gt;0,L13*G57/SUMIF($G$25:$G$54,"&gt;=0",$W$25:$W$54),"")</s:f>
        <s:v>63</s:v>
      </s:c>
      <s:c r="P13" s="235">
        <s:f>IF(AND(L13&lt;&gt;"",L13&lt;&gt;0,O13&lt;&gt;"",O13&lt;&gt;0),O13/L13,"")</s:f>
        <s:v>0.73032961190855905</s:v>
      </s:c>
      <s:c r="Q13" s="51">
        <s:f>IF(AND(M13&lt;&gt;0,M13&lt;&gt;"",L13&lt;&gt;0,L13&lt;&gt;""),O13-L13,"")</s:f>
        <s:v>-23.262420382165502</s:v>
      </s:c>
      <s:c r="R13" s="53">
        <s:v>27</s:v>
      </s:c>
      <s:c r="S13" s="38">
        <s:f>IF(AND(R13&lt;&gt;"",R13&lt;&gt;0,O13&lt;&gt;"",O13&lt;&gt;0),-R13+O13,"")</s:f>
        <s:v>36</s:v>
      </s:c>
      <s:c r="T13" s="40">
        <s:f>IF(AND(S13&lt;&gt;"",S13&lt;&gt;0,R13&lt;&gt;0,R13&lt;&gt;""),S13/R13,"")</s:f>
        <s:v>1.3333333333333299</s:v>
      </s:c>
      <s:c r="U13" s="12"/>
      <s:c r="V13" s="12"/>
      <s:c r="W13" s="231"/>
      <s:c r="X13" s="18"/>
      <s:c r="Y13" s="12"/>
      <s:c r="Z13" s="12"/>
      <s:c r="AA13" s="12"/>
      <s:c r="AB13" s="12"/>
    </s:row>
    <s:row r="14" spans="2:28" ht="15.75" customHeight="1">
      <s:c r="B14" s="185"/>
      <s:c r="C14" s="12"/>
      <s:c r="D14" s="12"/>
      <s:c r="E14" s="12"/>
      <s:c r="F14" s="12"/>
      <s:c r="G14" s="12"/>
      <s:c r="H14" s="12"/>
      <s:c r="I14" s="643" t="s">
        <s:v>71</s:v>
      </s:c>
      <s:c r="J14" s="622"/>
      <s:c r="K14" s="623"/>
      <s:c r="L14" s="47">
        <s:f>График!AI27</s:f>
        <s:v>20</s:v>
      </s:c>
      <s:c r="M14" s="55">
        <s:v>19</s:v>
      </s:c>
      <s:c r="N14" s="35">
        <s:f>IF(AND(L14&lt;&gt;"",L14&lt;&gt;0,M14&lt;&gt;""),M14/L14,"")</s:f>
        <s:v>0.95</s:v>
      </s:c>
      <s:c r="O14" s="36">
        <s:f>L14</s:f>
        <s:v>20</s:v>
      </s:c>
      <s:c r="P14" s="237">
        <s:f>IF(AND(L14&lt;&gt;"",L14&lt;&gt;0,O14&lt;&gt;"",O14&lt;&gt;0),O14/L14,"")</s:f>
        <s:v>1</s:v>
      </s:c>
      <s:c r="Q14" s="38">
        <s:f>IF(AND(M14&lt;&gt;0,M14&lt;&gt;"",L14&lt;&gt;0,L14&lt;&gt;""),O14-L14,"")</s:f>
        <s:v>0</s:v>
      </s:c>
      <s:c r="R14" s="53">
        <s:v>8</s:v>
      </s:c>
      <s:c r="S14" s="38">
        <s:f>IF(AND(R14&lt;&gt;"",R14&lt;&gt;0,O14&lt;&gt;"",O14&lt;&gt;0),-R14+O14,"")</s:f>
        <s:v>12</s:v>
      </s:c>
      <s:c r="T14" s="40">
        <s:f>IF(AND(S14&lt;&gt;"",S14&lt;&gt;0,R14&lt;&gt;0,R14&lt;&gt;""),S14/R14,"")</s:f>
        <s:v>1.5</s:v>
      </s:c>
      <s:c r="U14" s="12"/>
      <s:c r="V14" s="12"/>
      <s:c r="W14" s="231"/>
      <s:c r="X14" s="18"/>
      <s:c r="Y14" s="12"/>
      <s:c r="Z14" s="12"/>
      <s:c r="AA14" s="12"/>
      <s:c r="AB14" s="12"/>
    </s:row>
    <s:row r="15" spans="2:28" ht="15.75" customHeight="1">
      <s:c r="B15" s="185"/>
      <s:c r="C15" s="12"/>
      <s:c r="D15" s="12"/>
      <s:c r="E15" s="12"/>
      <s:c r="F15" s="12"/>
      <s:c r="G15" s="12"/>
      <s:c r="H15" s="12"/>
      <s:c r="I15" s="643" t="s">
        <s:v>19</s:v>
      </s:c>
      <s:c r="J15" s="622"/>
      <s:c r="K15" s="623"/>
      <s:c r="L15" s="63">
        <s:f>'Ялта, Ленина, 18'!I15</s:f>
        <s:v>81965.52</s:v>
      </s:c>
      <s:c r="M15" s="233">
        <s:f>M8/M14</s:f>
        <s:v>41092.105263157893</s:v>
      </s:c>
      <s:c r="N15" s="57">
        <s:f>IF(AND(L15&lt;&gt;"",L15&lt;&gt;0,M15&lt;&gt;""),M15/L15,"")</s:f>
        <s:v>0.50133403976645163</s:v>
      </s:c>
      <s:c r="O15" s="234">
        <s:f>M15</s:f>
        <s:v>41092.105263157893</s:v>
      </s:c>
      <s:c r="P15" s="235">
        <s:f>IF(AND(L15&lt;&gt;"",L15&lt;&gt;0,O15&lt;&gt;"",O15&lt;&gt;0),O15/L15,"")</s:f>
        <s:v>0.50133403976645163</s:v>
      </s:c>
      <s:c r="Q15" s="38">
        <s:f>IF(AND(M15&lt;&gt;0,M15&lt;&gt;"",L15&lt;&gt;0,L15&lt;&gt;""),O15-L15,"")</s:f>
        <s:v>-40873.414736842111</s:v>
      </s:c>
      <s:c r="R15" s="59">
        <s:v>30096.875</s:v>
      </s:c>
      <s:c r="S15" s="38">
        <s:f>IF(AND(R15&lt;&gt;"",R15&lt;&gt;0,O15&lt;&gt;"",O15&lt;&gt;0),-R15+O15,"")</s:f>
        <s:v>10995.230263157893</s:v>
      </s:c>
      <s:c r="T15" s="40">
        <s:f>IF(AND(S15&lt;&gt;"",S15&lt;&gt;0,R15&lt;&gt;0,R15&lt;&gt;""),S15/R15,"")</s:f>
        <s:v>0.36532797053374788</s:v>
      </s:c>
      <s:c r="U15" s="12"/>
      <s:c r="V15" s="12"/>
      <s:c r="W15" s="231"/>
      <s:c r="X15" s="18"/>
      <s:c r="Y15" s="12"/>
      <s:c r="Z15" s="12"/>
      <s:c r="AA15" s="12"/>
      <s:c r="AB15" s="12"/>
    </s:row>
    <s:row r="16" spans="2:28" ht="15.75" customHeight="1">
      <s:c r="B16" s="185"/>
      <s:c r="C16" s="12"/>
      <s:c r="D16" s="12"/>
      <s:c r="E16" s="12"/>
      <s:c r="F16" s="12"/>
      <s:c r="G16" s="12"/>
      <s:c r="H16" s="12"/>
      <s:c r="I16" s="643" t="s">
        <s:v>20</s:v>
      </s:c>
      <s:c r="J16" s="622"/>
      <s:c r="K16" s="623"/>
      <s:c r="L16" s="63"/>
      <s:c r="M16" s="34">
        <s:f>M8-L15*M14</s:f>
        <s:v>-776594.88000000012</s:v>
      </s:c>
      <s:c r="N16" s="57" t="str">
        <s:f>IF(AND(L16&lt;&gt;"",L16&lt;&gt;0,M16&lt;&gt;""),M16/L16,"")</s:f>
        <s:v/>
      </s:c>
      <s:c r="O16" s="191">
        <s:f>M16</s:f>
        <s:v>-776594.88000000012</s:v>
      </s:c>
      <s:c r="P16" s="239" t="str">
        <s:f>IF(AND(L16&lt;&gt;"",L16&lt;&gt;0,O16&lt;&gt;"",O16&lt;&gt;0),O16/L16,"")</s:f>
        <s:v/>
      </s:c>
      <s:c r="Q16" s="38" t="str">
        <s:f>IF(AND(M16&lt;&gt;0,M16&lt;&gt;"",L16&lt;&gt;0,L16&lt;&gt;""),O16-L16,"")</s:f>
        <s:v/>
      </s:c>
      <s:c r="R16" s="59">
        <s:v>-449387.17600000009</s:v>
      </s:c>
      <s:c r="S16" s="38">
        <s:f>IF(AND(R16&lt;&gt;"",R16&lt;&gt;0,O16&lt;&gt;"",O16&lt;&gt;0),-R16+O16,"")</s:f>
        <s:v>-327207.70400000003</s:v>
      </s:c>
      <s:c r="T16" s="40">
        <s:f>IF(AND(S16&lt;&gt;"",S16&lt;&gt;0,R16&lt;&gt;0,R16&lt;&gt;""),S16/R16,"")</s:f>
        <s:v>0.72811980731733195</s:v>
      </s:c>
      <s:c r="U16" s="12"/>
      <s:c r="V16" s="12"/>
      <s:c r="W16" s="231"/>
      <s:c r="X16" s="18"/>
      <s:c r="Y16" s="12"/>
      <s:c r="Z16" s="12"/>
      <s:c r="AA16" s="12"/>
      <s:c r="AB16" s="12"/>
    </s:row>
    <s:row r="17" spans="1:38" ht="15.75" customHeight="1">
      <s:c r="B17" s="185"/>
      <s:c r="C17" s="12"/>
      <s:c r="D17" s="201"/>
      <s:c r="E17" s="12"/>
      <s:c r="F17" s="12"/>
      <s:c r="G17" s="201"/>
      <s:c r="H17" s="12"/>
      <s:c r="I17" s="643" t="s">
        <s:v>21</s:v>
      </s:c>
      <s:c r="J17" s="622"/>
      <s:c r="K17" s="623"/>
      <s:c r="L17" s="63">
        <s:f>'Ялта, Ленина, 18'!I17/График!AJ29*График!AJ27</s:f>
        <s:v>798.72611464968099</s:v>
      </s:c>
      <s:c r="M17" s="233">
        <s:f>I57</s:f>
        <s:v>799</s:v>
      </s:c>
      <s:c r="N17" s="57">
        <s:f>IF(AND(L17&lt;&gt;"",L17&lt;&gt;0,M17&lt;&gt;""),M17/L17,"")</s:f>
        <s:v>1.00034290271132</s:v>
      </s:c>
      <s:c r="O17" s="234">
        <s:f>M17/M14*L14</s:f>
        <s:v>841.05263157894694</s:v>
      </s:c>
      <s:c r="P17" s="240">
        <s:f>IF(AND(L17&lt;&gt;"",L17&lt;&gt;0,O17&lt;&gt;"",O17&lt;&gt;0),O17/L17,"")</s:f>
        <s:v>1.0529925291698099</s:v>
      </s:c>
      <s:c r="Q17" s="38">
        <s:f>IF(AND(M17&lt;&gt;0,M17&lt;&gt;"",L17&lt;&gt;0,L17&lt;&gt;""),O17-L17,"")</s:f>
        <s:v>42.326516929265303</s:v>
      </s:c>
      <s:c r="R17" s="59">
        <s:v>160</s:v>
      </s:c>
      <s:c r="S17" s="38">
        <s:f>IF(AND(R17&lt;&gt;"",R17&lt;&gt;0,O17&lt;&gt;"",O17&lt;&gt;0),-R17+O17,"")</s:f>
        <s:v>681.05263157894694</s:v>
      </s:c>
      <s:c r="T17" s="40">
        <s:f>IF(AND(S17&lt;&gt;"",S17&lt;&gt;0,R17&lt;&gt;0,R17&lt;&gt;""),S17/R17,"")</s:f>
        <s:v>4.2565789473684204</s:v>
      </s:c>
      <s:c r="U17" s="12"/>
      <s:c r="V17" s="12"/>
      <s:c r="W17" s="231"/>
      <s:c r="X17" s="18"/>
      <s:c r="Y17" s="12"/>
      <s:c r="Z17" s="12"/>
      <s:c r="AA17" s="12"/>
      <s:c r="AB17" s="12"/>
    </s:row>
    <s:row r="18" spans="1:38" ht="15.75" customHeight="1">
      <s:c r="B18" s="185"/>
      <s:c r="C18" s="12"/>
      <s:c r="D18" s="12"/>
      <s:c r="E18" s="12"/>
      <s:c r="F18" s="12"/>
      <s:c r="G18" s="12"/>
      <s:c r="H18" s="12"/>
      <s:c r="I18" s="621" t="s">
        <s:v>22</s:v>
      </s:c>
      <s:c r="J18" s="622"/>
      <s:c r="K18" s="623"/>
      <s:c r="L18" s="64">
        <s:f>L8/L17</s:f>
        <s:v>1366.0919999999901</s:v>
      </s:c>
      <s:c r="M18" s="34">
        <s:f>M8/M17</s:f>
        <s:v>977.15894868585735</s:v>
      </s:c>
      <s:c r="N18" s="65">
        <s:f>IF(AND(L18&lt;&gt;"", L18&lt;&gt;0, M18&lt;&gt;""), M18/L18, "")</s:f>
        <s:v>0.71529512557416663</s:v>
      </s:c>
      <s:c r="O18" s="456">
        <s:f>M18</s:f>
        <s:v>977.15894868585735</s:v>
      </s:c>
      <s:c r="P18" s="61">
        <s:f>IF(AND(L18&lt;&gt;"", L18&lt;&gt;0, O18&lt;&gt;"", O18&lt;&gt;0), O18/L18, "")</s:f>
        <s:v>0.71529512557416663</s:v>
      </s:c>
      <s:c r="Q18" s="38">
        <s:f>IF(AND(M18&lt;&gt;0, M18&lt;&gt;"", L18&lt;&gt;0, L18&lt;&gt;""), O18-L18, "")</s:f>
        <s:v>-388.93305131413274</s:v>
      </s:c>
      <s:c r="R18" s="34"/>
      <s:c r="S18" s="38" t="str">
        <s:f>IF(AND(R18&lt;&gt;"",R18&lt;&gt;0,O18&lt;&gt;"",O18&lt;&gt;0),-R18+O18,"")</s:f>
        <s:v/>
      </s:c>
      <s:c r="T18" s="40" t="str">
        <s:f>IF(AND(S18&lt;&gt;"",S18&lt;&gt;0,R18&lt;&gt;0,R18&lt;&gt;""),S18/R18,"")</s:f>
        <s:v/>
      </s:c>
      <s:c r="U18" s="12"/>
      <s:c r="V18" s="12"/>
      <s:c r="W18" s="231"/>
      <s:c r="X18" s="18"/>
      <s:c r="Y18" s="12"/>
      <s:c r="Z18" s="12"/>
      <s:c r="AA18" s="12"/>
      <s:c r="AB18" s="12"/>
    </s:row>
    <s:row r="19" spans="1:38" ht="15.75" customHeight="1">
      <s:c r="B19" s="185"/>
      <s:c r="C19" s="12"/>
      <s:c r="D19" s="12"/>
      <s:c r="E19" s="12"/>
      <s:c r="F19" s="12"/>
      <s:c r="G19" s="12"/>
      <s:c r="H19" s="12"/>
      <s:c r="I19" s="643"/>
      <s:c r="J19" s="622"/>
      <s:c r="K19" s="623"/>
      <s:c r="L19" s="64"/>
      <s:c r="M19" s="233"/>
      <s:c r="N19" s="57" t="str">
        <s:f>IF(AND(L19&lt;&gt;"",L19&lt;&gt;0,M19&lt;&gt;""),M19/L19,"")</s:f>
        <s:v/>
      </s:c>
      <s:c r="O19" s="234">
        <s:f>M19</s:f>
        <s:v>0</s:v>
      </s:c>
      <s:c r="P19" s="240" t="str">
        <s:f>IF(AND(L19&lt;&gt;"",L19&lt;&gt;0,O19&lt;&gt;"",O19&lt;&gt;0),O19/L19,"")</s:f>
        <s:v/>
      </s:c>
      <s:c r="Q19" s="38" t="str">
        <s:f>IF(AND(M19&lt;&gt;0,M19&lt;&gt;"",L19&lt;&gt;0,L19&lt;&gt;""),O19-L19,"")</s:f>
        <s:v/>
      </s:c>
      <s:c r="R19" s="59">
        <s:v>0</s:v>
      </s:c>
      <s:c r="S19" s="38" t="str">
        <s:f>IF(AND(R19&lt;&gt;"",R19&lt;&gt;0,O19&lt;&gt;"",O19&lt;&gt;0),-R19+O19,"")</s:f>
        <s:v/>
      </s:c>
      <s:c r="T19" s="40" t="str">
        <s:f>IF(AND(S19&lt;&gt;"",S19&lt;&gt;0,R19&lt;&gt;0,R19&lt;&gt;""),S19/R19,"")</s:f>
        <s:v/>
      </s:c>
      <s:c r="U19" s="12"/>
      <s:c r="V19" s="12"/>
      <s:c r="W19" s="231"/>
      <s:c r="X19" s="18"/>
      <s:c r="Y19" s="12"/>
      <s:c r="Z19" s="12"/>
      <s:c r="AA19" s="12"/>
      <s:c r="AB19" s="12"/>
    </s:row>
    <s:row r="20" spans="1:38" ht="15.75" customHeight="1" thickBot="1">
      <s:c r="B20" s="185"/>
      <s:c r="C20" s="12"/>
      <s:c r="D20" s="12"/>
      <s:c r="E20" s="12"/>
      <s:c r="F20" s="12"/>
      <s:c r="G20" s="12"/>
      <s:c r="H20" s="12"/>
      <s:c r="I20" s="710" t="s">
        <s:v>23</s:v>
      </s:c>
      <s:c r="J20" s="711"/>
      <s:c r="K20" s="712"/>
      <s:c r="L20" s="206">
        <s:f>'Ялта, Ленина, 18'!I20</s:f>
        <s:v>0.108</s:v>
      </s:c>
      <s:c r="M20" s="207">
        <s:f>S57</s:f>
        <s:v>7.8848560700875994E-2</s:v>
      </s:c>
      <s:c r="N20" s="208">
        <s:f>M20/L20</s:f>
        <s:v>0.73007926574885196</s:v>
      </s:c>
      <s:c r="O20" s="209">
        <s:f>IF(AND(N8&lt;&gt;0,L14&lt;&gt;0,I57&lt;&gt;0),(I57*S57+(I57/N8-I57)*L20)/(I57/N8),0)</s:f>
        <s:v>8.7140967398842639E-2</s:v>
      </s:c>
      <s:c r="P20" s="209">
        <s:f>IF(AND(L20&lt;&gt;"",L20&lt;&gt;0,O20&lt;&gt;"",O20&lt;&gt;0),O20/L20,"")</s:f>
        <s:v>0.80686080924854298</s:v>
      </s:c>
      <s:c r="Q20" s="70">
        <s:f>IF(AND(M20&lt;&gt;0,M20&lt;&gt;"",L20&lt;&gt;0,L20&lt;&gt;""),O20-L20,"")</s:f>
        <s:v>-2.085903260115736E-2</s:v>
      </s:c>
      <s:c r="R20" s="71">
        <s:v>0.16875000000000001</s:v>
      </s:c>
      <s:c r="S20" s="72">
        <s:f>IF(AND(R20&lt;&gt;"",R20&lt;&gt;0,O20&lt;&gt;"",O20&lt;&gt;0),-R20+O20,"")</s:f>
        <s:v>-8.1609032601157372E-2</s:v>
      </s:c>
      <s:c r="T20" s="73">
        <s:f>IF(AND(S20&lt;&gt;"",S20&lt;&gt;0,R20&lt;&gt;0,R20&lt;&gt;""),S20/R20,"")</s:f>
        <s:v>-0.48360908208093256</s:v>
      </s:c>
      <s:c r="U20" s="12"/>
      <s:c r="V20" s="12"/>
      <s:c r="W20" s="231"/>
      <s:c r="X20" s="18"/>
      <s:c r="Y20" s="12"/>
      <s:c r="Z20" s="12"/>
      <s:c r="AA20" s="12"/>
      <s:c r="AB20" s="12"/>
    </s:row>
    <s:row r="21" spans="1:38" ht="15.75" customHeight="1">
      <s:c r="B21" s="185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2"/>
      <s:c r="S21" s="12"/>
      <s:c r="T21" s="12"/>
      <s:c r="U21" s="12"/>
      <s:c r="V21" s="12"/>
      <s:c r="W21" s="231"/>
      <s:c r="X21" s="18"/>
      <s:c r="Y21" s="12"/>
      <s:c r="Z21" s="12"/>
      <s:c r="AA21" s="12"/>
      <s:c r="AB21" s="12"/>
    </s:row>
    <s:row r="22" spans="1:38" ht="16.5" customHeight="1">
      <s:c r="B22" s="676" t="s">
        <s:v>24</s:v>
      </s:c>
      <s:c r="C22" s="676"/>
      <s:c r="D22" s="676"/>
      <s:c r="E22" s="676"/>
      <s:c r="F22" s="676"/>
      <s:c r="G22" s="676"/>
      <s:c r="H22" s="676"/>
      <s:c r="I22" s="676"/>
      <s:c r="J22" s="676"/>
      <s:c r="K22" s="676"/>
      <s:c r="L22" s="676"/>
      <s:c r="M22" s="676"/>
      <s:c r="N22" s="676"/>
      <s:c r="O22" s="676"/>
      <s:c r="P22" s="676"/>
      <s:c r="Q22" s="676"/>
      <s:c r="R22" s="676"/>
      <s:c r="S22" s="676"/>
      <s:c r="T22" s="689" t="s">
        <s:v>44</s:v>
      </s:c>
      <s:c r="U22" s="676" t="s">
        <s:v>25</s:v>
      </s:c>
      <s:c r="V22" s="676"/>
      <s:c r="W22" s="676"/>
      <s:c r="X22" s="676"/>
      <s:c r="Y22" s="676"/>
      <s:c r="Z22" s="676"/>
      <s:c r="AA22" s="676"/>
      <s:c r="AB22" s="676"/>
    </s:row>
    <s:row r="23" ht="36">
      <s:c r="B23" s="211" t="s">
        <s:v>27</s:v>
      </s:c>
      <s:c r="C23" s="211" t="s">
        <s:v>28</s:v>
      </s:c>
      <s:c r="D23" s="211" t="s">
        <s:v>29</s:v>
      </s:c>
      <s:c r="E23" s="211" t="s">
        <s:v>30</s:v>
      </s:c>
      <s:c r="F23" s="211" t="s">
        <s:v>31</s:v>
      </s:c>
      <s:c r="G23" s="211" t="s">
        <s:v>32</s:v>
      </s:c>
      <s:c r="H23" s="211" t="s">
        <s:v>33</s:v>
      </s:c>
      <s:c r="I23" s="211" t="s">
        <s:v>21</s:v>
      </s:c>
      <s:c r="J23" s="211" t="s">
        <s:v>34</s:v>
      </s:c>
      <s:c r="K23" s="75" t="s">
        <s:v>35</s:v>
      </s:c>
      <s:c r="L23" s="75" t="s">
        <s:v>36</s:v>
      </s:c>
      <s:c r="M23" s="75" t="s">
        <s:v>37</s:v>
      </s:c>
      <s:c r="N23" s="75" t="s">
        <s:v>38</s:v>
      </s:c>
      <s:c r="O23" s="212" t="s">
        <s:v>39</s:v>
      </s:c>
      <s:c r="P23" s="75" t="s">
        <s:v>40</s:v>
      </s:c>
      <s:c r="Q23" s="212" t="s">
        <s:v>73</s:v>
      </s:c>
      <s:c r="R23" s="75" t="s">
        <s:v>42</s:v>
      </s:c>
      <s:c r="S23" s="211" t="s">
        <s:v>74</s:v>
      </s:c>
      <s:c r="T23" s="689"/>
      <s:c r="U23" s="211" t="s">
        <s:v>45</s:v>
      </s:c>
      <s:c r="V23" s="211" t="s">
        <s:v>46</s:v>
      </s:c>
      <s:c r="W23" s="211" t="s">
        <s:v>47</s:v>
      </s:c>
      <s:c r="X23" s="211" t="s">
        <s:v>48</s:v>
      </s:c>
      <s:c r="Y23" s="211" t="s">
        <s:v>49</s:v>
      </s:c>
      <s:c r="Z23" s="211" t="s">
        <s:v>50</s:v>
      </s:c>
      <s:c r="AA23" s="213" t="s">
        <s:v>51</s:v>
      </s:c>
      <s:c r="AB23" s="213" t="s">
        <s:v>52</s:v>
      </s:c>
      <s:c r="AC23" s="108"/>
    </s:row>
    <s:row r="24">
      <s:c r="B24" s="214">
        <s:v>1</s:v>
      </s:c>
      <s:c r="C24" s="214">
        <s:v>2</s:v>
      </s:c>
      <s:c r="D24" s="214">
        <s:v>3</s:v>
      </s:c>
      <s:c r="E24" s="214" t="s">
        <s:v>76</s:v>
      </s:c>
      <s:c r="F24" s="214">
        <s:v>5</s:v>
      </s:c>
      <s:c r="G24" s="214">
        <s:v>6</s:v>
      </s:c>
      <s:c r="H24" s="214">
        <s:v>7</s:v>
      </s:c>
      <s:c r="I24" s="214">
        <s:v>8</s:v>
      </s:c>
      <s:c r="J24" s="214">
        <s:v>9</s:v>
      </s:c>
      <s:c r="K24" s="214">
        <s:v>10</s:v>
      </s:c>
      <s:c r="L24" s="214">
        <s:v>11</s:v>
      </s:c>
      <s:c r="M24" s="214">
        <s:v>12</s:v>
      </s:c>
      <s:c r="N24" s="214">
        <s:v>13</s:v>
      </s:c>
      <s:c r="O24" s="214"/>
      <s:c r="P24" s="214">
        <s:v>14</s:v>
      </s:c>
      <s:c r="Q24" s="214">
        <s:v>15</s:v>
      </s:c>
      <s:c r="R24" s="214">
        <s:v>16</s:v>
      </s:c>
      <s:c r="S24" s="214">
        <s:v>17</s:v>
      </s:c>
      <s:c r="T24" s="689"/>
      <s:c r="U24" s="216">
        <s:v>1</s:v>
      </s:c>
      <s:c r="V24" s="216">
        <s:v>2</s:v>
      </s:c>
      <s:c r="W24" s="216">
        <s:v>3</s:v>
      </s:c>
      <s:c r="X24" s="216">
        <s:v>4</s:v>
      </s:c>
      <s:c r="Y24" s="216">
        <s:v>5</s:v>
      </s:c>
      <s:c r="Z24" s="216">
        <s:v>6</s:v>
      </s:c>
      <s:c r="AA24" s="216">
        <s:v>10</s:v>
      </s:c>
      <s:c r="AB24" s="216">
        <s:v>11</s:v>
      </s:c>
    </s:row>
    <s:row r="25">
      <s:c r="A25" s="80">
        <s:v>1</s:v>
      </s:c>
      <s:c r="B25" s="81">
        <s:v>46113</s:v>
      </s:c>
      <s:c r="C25" s="82" t="s">
        <s:v>56</s:v>
      </s:c>
      <s:c r="D25" s="83">
        <s:f>4392+17775</s:f>
        <s:v>22167</s:v>
      </s:c>
      <s:c r="E25" s="85">
        <s:v>4</s:v>
      </s:c>
      <s:c r="F25" s="85">
        <s:v>5542</s:v>
      </s:c>
      <s:c r="G25" s="85">
        <s:v>2</s:v>
      </s:c>
      <s:c r="H25" s="85">
        <s:f>IF(AND(G25&lt;&gt;"",G25&lt;&gt;0),D25/G25,"")</s:f>
        <s:v>11083.5</s:v>
      </s:c>
      <s:c r="I25" s="85">
        <s:v>37</s:v>
      </s:c>
      <s:c r="J25" s="83">
        <s:f>IF(AND(G25&lt;&gt;"",G25&lt;&gt;0),E25/G25,"")</s:f>
        <s:v>2</s:v>
      </s:c>
      <s:c r="K25" s="85"/>
      <s:c r="L25" s="85"/>
      <s:c r="M25" s="85"/>
      <s:c r="N25" s="85"/>
      <s:c r="O25" s="85"/>
      <s:c r="P25" s="85"/>
      <s:c r="Q25" s="85"/>
      <s:c r="R25" s="85"/>
      <s:c r="S25" s="86">
        <s:f>IF(AND(I25&lt;&gt;"",I25&lt;&gt;0),G25/I25,"")</s:f>
        <s:v>5.4054054054054057E-2</s:v>
      </s:c>
      <s:c r="T25" s="87">
        <s:f>D25/U25</s:f>
        <s:v>0.32504917775648501</s:v>
      </s:c>
      <s:c r="U25" s="224">
        <s:f>$L$8*AA25*AB25/SUMPRODUCT($AB$25:$AB$56,$AA$25:$AA$56)</s:f>
        <s:v>68195.834713375705</s:v>
      </s:c>
      <s:c r="V25" s="89">
        <s:f>$L$9*AA25*AB25/SUMPRODUCT($AB$25:$AB$56,$AA$25:$AA$56)</s:f>
        <s:v>9.8123503184713297</s:v>
      </s:c>
      <s:c r="W25" s="223">
        <s:f>IF($L$12="","",V25/$L$12)</s:f>
        <s:v>5.3914012738853501</s:v>
      </s:c>
      <s:c r="X25" s="88">
        <s:f>IF(D25&lt;&gt;"",D25,U25)</s:f>
        <s:v>22167</s:v>
      </s:c>
      <s:c r="Y25" s="89">
        <s:f>IF(E25&lt;&gt;"",E25,V25)</s:f>
        <s:v>4</s:v>
      </s:c>
      <s:c r="Z25" s="89">
        <s:f>IF(G25&lt;&gt;"",G25,W25)</s:f>
        <s:v>2</s:v>
      </s:c>
      <s:c r="AA25" s="227">
        <s:v>1</s:v>
      </s:c>
      <s:c r="AB25" s="90">
        <s:v>1</s:v>
      </s:c>
      <s:c r="AC25" s="217"/>
      <s:c r="AD25" s="92"/>
    </s:row>
    <s:row r="26">
      <s:c r="A26" s="80">
        <s:v>2</s:v>
      </s:c>
      <s:c r="B26" s="81">
        <s:v>46114</s:v>
      </s:c>
      <s:c r="C26" s="82" t="s">
        <s:v>57</s:v>
      </s:c>
      <s:c r="D26" s="83">
        <s:v>10060</s:v>
      </s:c>
      <s:c r="E26" s="85">
        <s:v>2</s:v>
      </s:c>
      <s:c r="F26" s="85">
        <s:v>5030</s:v>
      </s:c>
      <s:c r="G26" s="85">
        <s:v>1</s:v>
      </s:c>
      <s:c r="H26" s="85">
        <s:v>10060</s:v>
      </s:c>
      <s:c r="I26" s="85">
        <s:v>24</s:v>
      </s:c>
      <s:c r="J26" s="83">
        <s:f>IF(AND(G26&lt;&gt;"",G26&lt;&gt;0),E26/G26,"")</s:f>
        <s:v>2</s:v>
      </s:c>
      <s:c r="K26" s="85"/>
      <s:c r="L26" s="85"/>
      <s:c r="M26" s="85"/>
      <s:c r="N26" s="85"/>
      <s:c r="O26" s="85"/>
      <s:c r="P26" s="85"/>
      <s:c r="Q26" s="85"/>
      <s:c r="R26" s="85"/>
      <s:c r="S26" s="86">
        <s:f>IF(AND(I26&lt;&gt;"",I26&lt;&gt;0),G26/I26,"")</s:f>
        <s:v>4.1666666666666664E-2</s:v>
      </s:c>
      <s:c r="T26" s="87">
        <s:f>D26/U26</s:f>
        <s:v>0.147516340877441</s:v>
      </s:c>
      <s:c r="U26" s="88">
        <s:f>$L$8*AA26*AB26/SUMPRODUCT($AB$25:$AB$56,$AA$25:$AA$56)</s:f>
        <s:v>68195.834713375705</s:v>
      </s:c>
      <s:c r="V26" s="223">
        <s:f>$L$9*AA26*AB26/SUMPRODUCT($AB$25:$AB$58,$AA$25:$AA$58)</s:f>
        <s:v>9.8123503184713297</s:v>
      </s:c>
      <s:c r="W26" s="89">
        <s:f>IF($L$12="","",V26/$L$12)</s:f>
        <s:v>5.3914012738853501</s:v>
      </s:c>
      <s:c r="X26" s="88">
        <s:f>IF(AB26&lt;&gt;"",IF(D26&lt;&gt;"",D26,($L$8-SUM($X$25:X25))*AA26*AB26/SUMPRODUCT($AB26:$AB$56,$AA26:$AA$56)),"")</s:f>
        <s:v>10060</s:v>
      </s:c>
      <s:c r="Y26" s="89">
        <s:f>IF(AB26&lt;&gt;"",IF(E26&lt;&gt;"",E26,($L$9-SUM($Y$25:Y25))*AA26*AB26/SUMPRODUCT($AB26:$AB$55,$AA26:$AA$55)),"")</s:f>
        <s:v>2</s:v>
      </s:c>
      <s:c r="Z26" s="89">
        <s:f>IF(AB26&lt;&gt;"",IF($L$12&lt;&gt;"",IF(G26&lt;&gt;"",G26,($L$9/$L$12-SUM($Z$25:Z25))*AA26*AB26/SUMPRODUCT($AB26:$AB$55,$AA26:$AA$55)),""),"")</s:f>
        <s:v>1</s:v>
      </s:c>
      <s:c r="AA26" s="90">
        <s:v>1</s:v>
      </s:c>
      <s:c r="AB26" s="90">
        <s:v>1</s:v>
      </s:c>
      <s:c r="AC26" s="91"/>
      <s:c r="AD26" s="92"/>
    </s:row>
    <s:row r="27">
      <s:c r="A27" s="80">
        <s:v>3</s:v>
      </s:c>
      <s:c r="B27" s="81">
        <s:v>46117</s:v>
      </s:c>
      <s:c r="C27" s="82" t="s">
        <s:v>53</s:v>
      </s:c>
      <s:c r="D27" s="83">
        <s:v>27537</s:v>
      </s:c>
      <s:c r="E27" s="85">
        <s:v>6</s:v>
      </s:c>
      <s:c r="F27" s="85">
        <s:f>IF(AND(E27&lt;&gt;"",E27&lt;&gt;0),D27/E27,"")</s:f>
        <s:v>4589.5</s:v>
      </s:c>
      <s:c r="G27" s="85">
        <s:v>3</s:v>
      </s:c>
      <s:c r="H27" s="85">
        <s:f>IF(AND(G27&lt;&gt;"",G27&lt;&gt;0),D27/G27,"")</s:f>
        <s:v>9179</s:v>
      </s:c>
      <s:c r="I27" s="85">
        <s:v>39</s:v>
      </s:c>
      <s:c r="J27" s="83">
        <s:f>IF(AND(G27&lt;&gt;"",G27&lt;&gt;0),E27/G27,"")</s:f>
        <s:v>2</s:v>
      </s:c>
      <s:c r="K27" s="85">
        <s:v>12293</s:v>
      </s:c>
      <s:c r="L27" s="85"/>
      <s:c r="M27" s="85"/>
      <s:c r="N27" s="85"/>
      <s:c r="O27" s="85"/>
      <s:c r="P27" s="85"/>
      <s:c r="Q27" s="85"/>
      <s:c r="R27" s="588">
        <s:v>7379.58</s:v>
      </s:c>
      <s:c r="S27" s="86">
        <s:f>IF(AND(I27&lt;&gt;"",I27&lt;&gt;0),G27/I27,"")</s:f>
        <s:v>7.6923076923076927E-2</s:v>
      </s:c>
      <s:c r="T27" s="87">
        <s:f>D27/U27</s:f>
        <s:v>0.403792989934603</s:v>
      </s:c>
      <s:c r="U27" s="224">
        <s:f>$L$8*AA27*AB27/SUMPRODUCT($AB$25:$AB$56,$AA$25:$AA$56)</s:f>
        <s:v>68195.834713375705</s:v>
      </s:c>
      <s:c r="V27" s="89">
        <s:f>$L$9*AA27*AB27/SUMPRODUCT($AB$25:$AB$58,$AA$25:$AA$58)</s:f>
        <s:v>9.8123503184713297</s:v>
      </s:c>
      <s:c r="W27" s="223">
        <s:f>IF($L$12="","",V27/$L$12)</s:f>
        <s:v>5.3914012738853501</s:v>
      </s:c>
      <s:c r="X27" s="88">
        <s:f>IF(AB27&lt;&gt;"",IF(D27&lt;&gt;"",D27,($L$8-SUM($X$25:X26))*AA27*AB27/SUMPRODUCT($AB27:$AB$58,$AA27:$AA$58)),"")</s:f>
        <s:v>27537</s:v>
      </s:c>
      <s:c r="Y27" s="89">
        <s:f>IF(AB27&lt;&gt;"",IF(E27&lt;&gt;"",E27,($L$9-SUM($Y$25:Y26))*AA27*AB27/SUMPRODUCT($AB27:$AB$55,$AA27:$AA$55)),"")</s:f>
        <s:v>6</s:v>
      </s:c>
      <s:c r="Z27" s="89">
        <s:f>IF(AB27&lt;&gt;"",IF($L$12&lt;&gt;"",IF(G27&lt;&gt;"",G27,($L$9/$L$12-SUM($Z$25:Z26))*AA27*AB27/SUMPRODUCT($AB27:$AB$55,$AA27:$AA$55)),""),"")</s:f>
        <s:v>3</s:v>
      </s:c>
      <s:c r="AA27" s="227">
        <s:v>1</s:v>
      </s:c>
      <s:c r="AB27" s="90">
        <s:v>1</s:v>
      </s:c>
      <s:c r="AC27" s="91"/>
      <s:c r="AD27" s="92"/>
      <s:c r="AE27" s="93"/>
      <s:c r="AF27" s="2"/>
      <s:c r="AG27" s="2"/>
      <s:c r="AH27" s="2"/>
      <s:c r="AI27" s="2"/>
      <s:c r="AJ27" s="2"/>
      <s:c r="AK27" s="2"/>
      <s:c r="AL27" s="2"/>
    </s:row>
    <s:row r="28">
      <s:c r="A28" s="80">
        <s:v>4</s:v>
      </s:c>
      <s:c r="B28" s="81">
        <s:v>46118</s:v>
      </s:c>
      <s:c r="C28" s="97" t="s">
        <s:v>54</s:v>
      </s:c>
      <s:c r="D28" s="83">
        <s:v>31933</s:v>
      </s:c>
      <s:c r="E28" s="221">
        <s:v>8</s:v>
      </s:c>
      <s:c r="F28" s="85">
        <s:f>IF(AND(E28&lt;&gt;"",E28&lt;&gt;0),D28/E28,"")</s:f>
        <s:v>3991.625</s:v>
      </s:c>
      <s:c r="G28" s="221">
        <s:v>5</s:v>
      </s:c>
      <s:c r="H28" s="85">
        <s:f>IF(AND(G28&lt;&gt;"",G28&lt;&gt;0),D28/G28,"")</s:f>
        <s:v>6386.6</s:v>
      </s:c>
      <s:c r="I28" s="221">
        <s:v>53</s:v>
      </s:c>
      <s:c r="J28" s="83">
        <s:f>IF(AND(G28&lt;&gt;"",G28&lt;&gt;0),E28/G28,"")</s:f>
        <s:v>1.6</s:v>
      </s:c>
      <s:c r="K28" s="221"/>
      <s:c r="L28" s="85"/>
      <s:c r="M28" s="241"/>
      <s:c r="N28" s="242"/>
      <s:c r="O28" s="242"/>
      <s:c r="P28" s="85"/>
      <s:c r="Q28" s="85"/>
      <s:c r="R28" s="85"/>
      <s:c r="S28" s="86">
        <s:f>IF(AND(I28&lt;&gt;"",I28&lt;&gt;0),G28/I28,"")</s:f>
        <s:v>9.4339622641509441E-2</s:v>
      </s:c>
      <s:c r="T28" s="222">
        <s:f>D28/U28</s:f>
        <s:v>0.46825440489456599</s:v>
      </s:c>
      <s:c r="U28" s="88">
        <s:f>$L$8*AA28*AB28/SUMPRODUCT($AB$25:$AB$56,$AA$25:$AA$56)</s:f>
        <s:v>68195.834713375705</s:v>
      </s:c>
      <s:c r="V28" s="223">
        <s:f>$L$9*AA28*AB28/SUMPRODUCT($AB$25:$AB$58,$AA$25:$AA$58)</s:f>
        <s:v>9.8123503184713297</s:v>
      </s:c>
      <s:c r="W28" s="89">
        <s:f>IF($L$12="","",V28/$L$12)</s:f>
        <s:v>5.3914012738853501</s:v>
      </s:c>
      <s:c r="X28" s="88">
        <s:f>IF(AB28&lt;&gt;"",IF(D28&lt;&gt;"",D28,($L$8-SUM($X$25:X27))*AA28*AB28/SUMPRODUCT($AB28:$AB$58,$AA28:$AA$58)),"")</s:f>
        <s:v>31933</s:v>
      </s:c>
      <s:c r="Y28" s="89">
        <s:f>IF(AB28&lt;&gt;"",IF(E28&lt;&gt;"",E28,($L$9-SUM($Y$25:Y27))*AA28*AB28/SUMPRODUCT($AB28:$AB$58,$AA28:$AA$58)),"")</s:f>
        <s:v>8</s:v>
      </s:c>
      <s:c r="Z28" s="223">
        <s:f>IF(AB28&lt;&gt;"",IF($L$12&lt;&gt;"",IF(G28&lt;&gt;"",G28,($L$9/$L$12-SUM($Z$25:Z27))*AA28*AB28/SUMPRODUCT($AB28:$AB$58,$AA28:$AA$58)),""),"")</s:f>
        <s:v>5</s:v>
      </s:c>
      <s:c r="AA28" s="90">
        <s:v>1</s:v>
      </s:c>
      <s:c r="AB28" s="90">
        <s:v>1</s:v>
      </s:c>
      <s:c r="AC28" s="91"/>
      <s:c r="AD28" s="92"/>
      <s:c r="AE28" s="2"/>
      <s:c r="AF28" s="2"/>
      <s:c r="AG28" s="2"/>
      <s:c r="AH28" s="2"/>
      <s:c r="AI28" s="2"/>
      <s:c r="AJ28" s="2"/>
      <s:c r="AK28" s="2"/>
      <s:c r="AL28" s="2"/>
    </s:row>
    <s:row r="29">
      <s:c r="A29" s="80">
        <s:v>5</s:v>
      </s:c>
      <s:c r="B29" s="81">
        <s:v>46121</s:v>
      </s:c>
      <s:c r="C29" s="82" t="s">
        <s:v>57</s:v>
      </s:c>
      <s:c r="D29" s="225">
        <s:v>50991</s:v>
      </s:c>
      <s:c r="E29" s="85">
        <s:v>7</s:v>
      </s:c>
      <s:c r="F29" s="85">
        <s:f>IF(AND(E29&lt;&gt;"",E29&lt;&gt;0),D29/E29,"")</s:f>
        <s:v>7284.4285714285697</s:v>
      </s:c>
      <s:c r="G29" s="85">
        <s:v>2</s:v>
      </s:c>
      <s:c r="H29" s="221">
        <s:f>IF(AND(G29&lt;&gt;"",G29&lt;&gt;0),D29/G29,"")</s:f>
        <s:v>25495.5</s:v>
      </s:c>
      <s:c r="I29" s="85">
        <s:v>28</s:v>
      </s:c>
      <s:c r="J29" s="225">
        <s:f>IF(AND(G29&lt;&gt;"",G29&lt;&gt;0),E29/G29,"")</s:f>
        <s:v>3.5</s:v>
      </s:c>
      <s:c r="K29" s="85"/>
      <s:c r="L29" s="243"/>
      <s:c r="M29" s="85"/>
      <s:c r="N29" s="85"/>
      <s:c r="O29" s="244"/>
      <s:c r="P29" s="244"/>
      <s:c r="Q29" s="244"/>
      <s:c r="R29" s="588">
        <s:v>5130</s:v>
      </s:c>
      <s:c r="S29" s="226">
        <s:f>IF(AND(I29&lt;&gt;"",I29&lt;&gt;0),G29/I29,"")</s:f>
        <s:v>7.1428571428571425E-2</s:v>
      </s:c>
      <s:c r="T29" s="87">
        <s:f>D29/U29</s:f>
        <s:v>0.74771428803992201</s:v>
      </s:c>
      <s:c r="U29" s="224">
        <s:f>$L$8*AA29*AB29/SUMPRODUCT($AB$25:$AB$56,$AA$25:$AA$56)</s:f>
        <s:v>68195.834713375705</s:v>
      </s:c>
      <s:c r="V29" s="89">
        <s:f>$L$9*AA29*AB29/SUMPRODUCT($AB$25:$AB$58,$AA$25:$AA$58)</s:f>
        <s:v>9.8123503184713297</s:v>
      </s:c>
      <s:c r="W29" s="223">
        <s:f>IF($L$12="","",V29/$L$12)</s:f>
        <s:v>5.3914012738853501</s:v>
      </s:c>
      <s:c r="X29" s="88">
        <s:f>IF(AB29&lt;&gt;"",IF(D29&lt;&gt;"",D29,($L$8-SUM($X$25:X28))*AA29*AB29/SUMPRODUCT($AB29:$AB$58,$AA29:$AA$58)),"")</s:f>
        <s:v>50991</s:v>
      </s:c>
      <s:c r="Y29" s="223">
        <s:f>IF(AB29&lt;&gt;"",IF(E29&lt;&gt;"",E29,($L$9-SUM($Y$25:Y28))*AA29*AB29/SUMPRODUCT($AB29:$AB$58,$AA29:$AA$58)),"")</s:f>
        <s:v>7</s:v>
      </s:c>
      <s:c r="Z29" s="89">
        <s:f>IF(AB29&lt;&gt;"",IF($L$12&lt;&gt;"",IF(G29&lt;&gt;"",G29,($L$9/$L$12-SUM($Z$25:Z28))*AA29*AB29/SUMPRODUCT($AB29:$AB$58,$AA29:$AA$58)),""),"")</s:f>
        <s:v>2</s:v>
      </s:c>
      <s:c r="AA29" s="227">
        <s:v>1</s:v>
      </s:c>
      <s:c r="AB29" s="90">
        <s:v>1</s:v>
      </s:c>
      <s:c r="AC29" s="91"/>
      <s:c r="AD29" s="92"/>
      <s:c r="AE29" s="2"/>
      <s:c r="AF29" s="2"/>
      <s:c r="AG29" s="2"/>
      <s:c r="AH29" s="2"/>
      <s:c r="AI29" s="2"/>
      <s:c r="AJ29" s="2"/>
      <s:c r="AK29" s="2"/>
      <s:c r="AL29" s="2"/>
    </s:row>
    <s:row r="30">
      <s:c r="A30" s="80">
        <s:v>6</s:v>
      </s:c>
      <s:c r="B30" s="81">
        <s:v>46122</s:v>
      </s:c>
      <s:c r="C30" s="97" t="s">
        <s:v>58</s:v>
      </s:c>
      <s:c r="D30" s="83">
        <s:v>4693</s:v>
      </s:c>
      <s:c r="E30" s="85">
        <s:v>1</s:v>
      </s:c>
      <s:c r="F30" s="221">
        <s:f>IF(AND(E30&lt;&gt;"",E30&lt;&gt;0),D30/E30,"")</s:f>
        <s:v>4693</s:v>
      </s:c>
      <s:c r="G30" s="85">
        <s:v>1</s:v>
      </s:c>
      <s:c r="H30" s="85">
        <s:f>IF(AND(G30&lt;&gt;"",G30&lt;&gt;0),D30/G30,"")</s:f>
        <s:v>4693</s:v>
      </s:c>
      <s:c r="I30" s="221">
        <s:v>27</s:v>
      </s:c>
      <s:c r="J30" s="83">
        <s:f>IF(AND(G30&lt;&gt;"",G30&lt;&gt;0),E30/G30,"")</s:f>
        <s:v>1</s:v>
      </s:c>
      <s:c r="K30" s="221"/>
      <s:c r="L30" s="85"/>
      <s:c r="M30" s="85"/>
      <s:c r="N30" s="242"/>
      <s:c r="O30" s="242"/>
      <s:c r="P30" s="85"/>
      <s:c r="Q30" s="85"/>
      <s:c r="R30" s="85"/>
      <s:c r="S30" s="86">
        <s:f>IF(AND(I30&lt;&gt;"",I30&lt;&gt;0),G30/I30,"")</s:f>
        <s:v>3.7037037037037035E-2</s:v>
      </s:c>
      <s:c r="T30" s="222">
        <s:f>D30/U30</s:f>
        <s:v>6.8816519655848202E-2</s:v>
      </s:c>
      <s:c r="U30" s="88">
        <s:f>$L$8*AA30*AB30/SUMPRODUCT($AB$25:$AB$56,$AA$25:$AA$56)</s:f>
        <s:v>68195.834713375705</s:v>
      </s:c>
      <s:c r="V30" s="223">
        <s:f>$L$9*AA30*AB30/SUMPRODUCT($AB$25:$AB$58,$AA$25:$AA$58)</s:f>
        <s:v>9.8123503184713297</s:v>
      </s:c>
      <s:c r="W30" s="89">
        <s:f>IF($L$12="","",V30/$L$12)</s:f>
        <s:v>5.3914012738853501</s:v>
      </s:c>
      <s:c r="X30" s="88">
        <s:f>IF(AB30&lt;&gt;"",IF(D30&lt;&gt;"",D30,($L$8-SUM($X$25:X29))*AA30*AB30/SUMPRODUCT($AB30:$AB$58,$AA30:$AA$58)),"")</s:f>
        <s:v>4693</s:v>
      </s:c>
      <s:c r="Y30" s="89">
        <s:f>IF(AB30&lt;&gt;"",IF(E30&lt;&gt;"",E30,($L$9-SUM($Y$25:Y29))*AA30*AB30/SUMPRODUCT($AB30:$AB$58,$AA30:$AA$58)),"")</s:f>
        <s:v>1</s:v>
      </s:c>
      <s:c r="Z30" s="223">
        <s:f>IF(AB30&lt;&gt;"",IF($L$12&lt;&gt;"",IF(G30&lt;&gt;"",G30,($L$9/$L$12-SUM($Z$25:Z29))*AA30*AB30/SUMPRODUCT($AB30:$AB$58,$AA30:$AA$58)),""),"")</s:f>
        <s:v>1</s:v>
      </s:c>
      <s:c r="AA30" s="90">
        <s:v>1</s:v>
      </s:c>
      <s:c r="AB30" s="90">
        <s:v>1</s:v>
      </s:c>
      <s:c r="AC30" s="91"/>
      <s:c r="AD30" s="92"/>
      <s:c r="AE30" s="2"/>
      <s:c r="AF30" s="2"/>
      <s:c r="AG30" s="2"/>
      <s:c r="AH30" s="2"/>
      <s:c r="AI30" s="2"/>
      <s:c r="AJ30" s="2"/>
      <s:c r="AK30" s="2"/>
      <s:c r="AL30" s="2"/>
    </s:row>
    <s:row r="31">
      <s:c r="A31" s="80">
        <s:v>7</s:v>
      </s:c>
      <s:c r="B31" s="81">
        <s:v>46125</s:v>
      </s:c>
      <s:c r="C31" s="82" t="s">
        <s:v>54</s:v>
      </s:c>
      <s:c r="D31" s="225">
        <s:v>11675</s:v>
      </s:c>
      <s:c r="E31" s="85">
        <s:v>3</s:v>
      </s:c>
      <s:c r="F31" s="85">
        <s:v>3892</s:v>
      </s:c>
      <s:c r="G31" s="221">
        <s:v>2</s:v>
      </s:c>
      <s:c r="H31" s="85">
        <s:f>IF(AND(G31&lt;&gt;"",G31&lt;&gt;0),D31/G31,"")</s:f>
        <s:v>5837.5</s:v>
      </s:c>
      <s:c r="I31" s="85">
        <s:v>50</s:v>
      </s:c>
      <s:c r="J31" s="225">
        <s:f>IF(AND(G31&lt;&gt;"",G31&lt;&gt;0),E31/G31,"")</s:f>
        <s:v>1.5</s:v>
      </s:c>
      <s:c r="K31" s="85"/>
      <s:c r="L31" s="243"/>
      <s:c r="M31" s="85"/>
      <s:c r="N31" s="85"/>
      <s:c r="O31" s="244"/>
      <s:c r="P31" s="244"/>
      <s:c r="Q31" s="244"/>
      <s:c r="R31" s="85"/>
      <s:c r="S31" s="226">
        <s:f>IF(AND(I31&lt;&gt;"",I31&lt;&gt;0),G31/I31,"")</s:f>
        <s:v>0.04</s:v>
      </s:c>
      <s:c r="T31" s="87">
        <s:f>D31/U31</s:f>
        <s:v>0.17119813913957499</s:v>
      </s:c>
      <s:c r="U31" s="224">
        <s:f>$L$8*AA31*AB31/SUMPRODUCT($AB$25:$AB$56,$AA$25:$AA$56)</s:f>
        <s:v>68195.834713375705</s:v>
      </s:c>
      <s:c r="V31" s="89">
        <s:f>$L$9*AA31*AB31/SUMPRODUCT($AB$25:$AB$58,$AA$25:$AA$58)</s:f>
        <s:v>9.8123503184713297</s:v>
      </s:c>
      <s:c r="W31" s="223">
        <s:f>IF($L$12="","",V31/$L$12)</s:f>
        <s:v>5.3914012738853501</s:v>
      </s:c>
      <s:c r="X31" s="88">
        <s:f>IF(AB31&lt;&gt;"",IF(D31&lt;&gt;"",D31,($L$8-SUM($X$25:X30))*AA31*AB31/SUMPRODUCT($AB31:$AB$58,$AA31:$AA$58)),"")</s:f>
        <s:v>11675</s:v>
      </s:c>
      <s:c r="Y31" s="223">
        <s:f>IF(AB31&lt;&gt;"",IF(E31&lt;&gt;"",E31,($L$9-SUM($Y$25:Y30))*AA31*AB31/SUMPRODUCT($AB31:$AB$58,$AA31:$AA$58)),"")</s:f>
        <s:v>3</s:v>
      </s:c>
      <s:c r="Z31" s="89">
        <s:f>IF(AB31&lt;&gt;"",IF($L$12&lt;&gt;"",IF(G31&lt;&gt;"",G31,($L$9/$L$12-SUM($Z$25:Z30))*AA31*AB31/SUMPRODUCT($AB31:$AB$58,$AA31:$AA$58)),""),"")</s:f>
        <s:v>2</s:v>
      </s:c>
      <s:c r="AA31" s="227">
        <s:v>1</s:v>
      </s:c>
      <s:c r="AB31" s="90">
        <s:v>1</s:v>
      </s:c>
      <s:c r="AC31" s="91"/>
      <s:c r="AD31" s="92"/>
      <s:c r="AJ31" s="2"/>
      <s:c r="AK31" s="2"/>
      <s:c r="AL31" s="2"/>
    </s:row>
    <s:row r="32">
      <s:c r="A32" s="80">
        <s:v>8</s:v>
      </s:c>
      <s:c r="B32" s="81">
        <s:v>46126</s:v>
      </s:c>
      <s:c r="C32" s="97" t="s">
        <s:v>55</s:v>
      </s:c>
      <s:c r="D32" s="83">
        <s:v>21260</s:v>
      </s:c>
      <s:c r="E32" s="221">
        <s:v>5</s:v>
      </s:c>
      <s:c r="F32" s="85">
        <s:f>IF(AND(E32&lt;&gt;"",E32&lt;&gt;0),D32/E32,"")</s:f>
        <s:v>4252</s:v>
      </s:c>
      <s:c r="G32" s="85">
        <s:v>4</s:v>
      </s:c>
      <s:c r="H32" s="221">
        <s:f>IF(AND(G32&lt;&gt;"",G32&lt;&gt;0),D32/G32,"")</s:f>
        <s:v>5315</s:v>
      </s:c>
      <s:c r="I32" s="85">
        <s:v>33</s:v>
      </s:c>
      <s:c r="J32" s="83">
        <s:f>IF(AND(G32&lt;&gt;"",G32&lt;&gt;0),E32/G32,"")</s:f>
        <s:v>1.25</s:v>
      </s:c>
      <s:c r="K32" s="85"/>
      <s:c r="L32" s="85"/>
      <s:c r="M32" s="85"/>
      <s:c r="N32" s="242"/>
      <s:c r="O32" s="242"/>
      <s:c r="P32" s="85"/>
      <s:c r="Q32" s="85"/>
      <s:c r="R32" s="85"/>
      <s:c r="S32" s="86">
        <s:f>IF(AND(I32&lt;&gt;"",I32&lt;&gt;0),G32/I32,"")</s:f>
        <s:v>0.12121212121212099</s:v>
      </s:c>
      <s:c r="T32" s="222">
        <s:f>D32/U32</s:f>
        <s:v>0.31174924523403602</s:v>
      </s:c>
      <s:c r="U32" s="88">
        <s:f>$L$8*AA32*AB32/SUMPRODUCT($AB$25:$AB$56,$AA$25:$AA$56)</s:f>
        <s:v>68195.834713375705</s:v>
      </s:c>
      <s:c r="V32" s="223">
        <s:f>$L$9*AA32*AB32/SUMPRODUCT($AB$25:$AB$58,$AA$25:$AA$58)</s:f>
        <s:v>9.8123503184713297</s:v>
      </s:c>
      <s:c r="W32" s="89">
        <s:f>IF($L$12="","",V32/$L$12)</s:f>
        <s:v>5.3914012738853501</s:v>
      </s:c>
      <s:c r="X32" s="88">
        <s:f>IF(AB32&lt;&gt;"",IF(D32&lt;&gt;"",D32,($L$8-SUM($X$25:X31))*AA32*AB32/SUMPRODUCT($AB32:$AB$58,$AA32:$AA$58)),"")</s:f>
        <s:v>21260</s:v>
      </s:c>
      <s:c r="Y32" s="89">
        <s:f>IF(AB32&lt;&gt;"",IF(E32&lt;&gt;"",E32,($L$9-SUM($Y$25:Y31))*AA32*AB32/SUMPRODUCT($AB32:$AB$58,$AA32:$AA$58)),"")</s:f>
        <s:v>5</s:v>
      </s:c>
      <s:c r="Z32" s="223">
        <s:f>IF(AB32&lt;&gt;"",IF($L$12&lt;&gt;"",IF(G32&lt;&gt;"",G32,($L$9/$L$12-SUM($Z$25:Z31))*AA32*AB32/SUMPRODUCT($AB32:$AB$58,$AA32:$AA$58)),""),"")</s:f>
        <s:v>4</s:v>
      </s:c>
      <s:c r="AA32" s="90">
        <s:v>1</s:v>
      </s:c>
      <s:c r="AB32" s="90">
        <s:v>1</s:v>
      </s:c>
      <s:c r="AC32" s="91"/>
      <s:c r="AD32" s="92"/>
      <s:c r="AJ32" s="2"/>
      <s:c r="AK32" s="2"/>
      <s:c r="AL32" s="2"/>
    </s:row>
    <s:row r="33">
      <s:c r="A33" s="80">
        <s:v>9</s:v>
      </s:c>
      <s:c r="B33" s="81">
        <s:v>46127</s:v>
      </s:c>
      <s:c r="C33" s="82" t="s">
        <s:v>56</s:v>
      </s:c>
      <s:c r="D33" s="225">
        <s:v>35255</s:v>
      </s:c>
      <s:c r="E33" s="85">
        <s:v>4</s:v>
      </s:c>
      <s:c r="F33" s="221">
        <s:f>IF(AND(E33&lt;&gt;"",E33&lt;&gt;0),D33/E33,"")</s:f>
        <s:v>8813.75</s:v>
      </s:c>
      <s:c r="G33" s="85">
        <s:v>2</s:v>
      </s:c>
      <s:c r="H33" s="85">
        <s:f>IF(AND(G33&lt;&gt;"",G33&lt;&gt;0),D33/G33,"")</s:f>
        <s:v>17627.5</s:v>
      </s:c>
      <s:c r="I33" s="221">
        <s:v>29</s:v>
      </s:c>
      <s:c r="J33" s="83">
        <s:f>IF(AND(G33&lt;&gt;"",G33&lt;&gt;0),E33/G33,"")</s:f>
        <s:v>2</s:v>
      </s:c>
      <s:c r="K33" s="85"/>
      <s:c r="L33" s="243"/>
      <s:c r="M33" s="85"/>
      <s:c r="N33" s="85"/>
      <s:c r="O33" s="244"/>
      <s:c r="P33" s="244"/>
      <s:c r="Q33" s="244">
        <s:v>26072</s:v>
      </s:c>
      <s:c r="R33" s="85"/>
      <s:c r="S33" s="245">
        <s:f>IF(AND(I33&lt;&gt;"",I33&lt;&gt;0),G33/I33,"")</s:f>
        <s:v>6.8965517241379309E-2</s:v>
      </s:c>
      <s:c r="T33" s="87">
        <s:f>D33/U33</s:f>
        <s:v>0.51696705741890603</s:v>
      </s:c>
      <s:c r="U33" s="224">
        <s:f>$L$8*AA33*AB33/SUMPRODUCT($AB$25:$AB$56,$AA$25:$AA$56)</s:f>
        <s:v>68195.834713375705</s:v>
      </s:c>
      <s:c r="V33" s="89">
        <s:f>$L$9*AA33*AB33/SUMPRODUCT($AB$25:$AB$58,$AA$25:$AA$58)</s:f>
        <s:v>9.8123503184713297</s:v>
      </s:c>
      <s:c r="W33" s="223">
        <s:f>IF($L$12="","",V33/$L$12)</s:f>
        <s:v>5.3914012738853501</s:v>
      </s:c>
      <s:c r="X33" s="88">
        <s:f>IF(AB33&lt;&gt;"",IF(D33&lt;&gt;"",D33,($L$8-SUM($X$25:X32))*AA33*AB33/SUMPRODUCT($AB33:$AB$58,$AA33:$AA$58)),"")</s:f>
        <s:v>35255</s:v>
      </s:c>
      <s:c r="Y33" s="223">
        <s:f>IF(AB33&lt;&gt;"",IF(E33&lt;&gt;"",E33,($L$9-SUM($Y$25:Y32))*AA33*AB33/SUMPRODUCT($AB33:$AB$58,$AA33:$AA$58)),"")</s:f>
        <s:v>4</s:v>
      </s:c>
      <s:c r="Z33" s="89">
        <s:f>IF(AB33&lt;&gt;"",IF($L$12&lt;&gt;"",IF(G33&lt;&gt;"",G33,($L$9/$L$12-SUM($Z$25:Z32))*AA33*AB33/SUMPRODUCT($AB33:$AB$58,$AA33:$AA$58)),""),"")</s:f>
        <s:v>2</s:v>
      </s:c>
      <s:c r="AA33" s="227">
        <s:v>1</s:v>
      </s:c>
      <s:c r="AB33" s="90">
        <s:v>1</s:v>
      </s:c>
      <s:c r="AC33" s="91"/>
      <s:c r="AD33" s="92"/>
      <s:c r="AE33" s="2"/>
      <s:c r="AF33" s="2"/>
      <s:c r="AG33" s="2"/>
      <s:c r="AH33" s="2"/>
      <s:c r="AI33" s="2"/>
      <s:c r="AJ33" s="2"/>
      <s:c r="AK33" s="2"/>
      <s:c r="AL33" s="2"/>
    </s:row>
    <s:row r="34" spans="1:260" s="246" customFormat="1">
      <s:c r="A34" s="80">
        <s:v>10</s:v>
      </s:c>
      <s:c r="B34" s="81">
        <s:v>46129</s:v>
      </s:c>
      <s:c r="C34" s="97" t="s">
        <s:v>58</s:v>
      </s:c>
      <s:c r="D34" s="83">
        <s:v>45568</s:v>
      </s:c>
      <s:c r="E34" s="247">
        <s:v>4</s:v>
      </s:c>
      <s:c r="F34" s="85">
        <s:f>IF(AND(E34&lt;&gt;"",E34&lt;&gt;0),D34/E34,"")</s:f>
        <s:v>11392</s:v>
      </s:c>
      <s:c r="G34" s="221">
        <s:v>3</s:v>
      </s:c>
      <s:c r="H34" s="85">
        <s:f>IF(AND(G34&lt;&gt;"",G34&lt;&gt;0),D34/G34,"")</s:f>
        <s:v>15189.333333333299</s:v>
      </s:c>
      <s:c r="I34" s="85">
        <s:v>32</s:v>
      </s:c>
      <s:c r="J34" s="225">
        <s:f>IF(AND(G34&lt;&gt;"",G34&lt;&gt;0),E34/G34,"")</s:f>
        <s:v>1.3333333333333299</s:v>
      </s:c>
      <s:c r="K34" s="85">
        <s:v>8992</s:v>
      </s:c>
      <s:c r="L34" s="85"/>
      <s:c r="M34" s="85"/>
      <s:c r="N34" s="242"/>
      <s:c r="O34" s="242"/>
      <s:c r="P34" s="85">
        <s:v>32284</s:v>
      </s:c>
      <s:c r="Q34" s="85"/>
      <s:c r="R34" s="85"/>
      <s:c r="S34" s="86">
        <s:f>IF(AND(I34&lt;&gt;"",I34&lt;&gt;0),G34/I34,"")</s:f>
        <s:v>9.375E-2</s:v>
      </s:c>
      <s:c r="T34" s="222">
        <s:f>D34/U34</s:f>
        <s:v>0.66819330229654605</s:v>
      </s:c>
      <s:c r="U34" s="88">
        <s:f>$L$8*AA34*AB34/SUMPRODUCT($AB$25:$AB$56,$AA$25:$AA$56)</s:f>
        <s:v>68195.834713375705</s:v>
      </s:c>
      <s:c r="V34" s="223">
        <s:f>$L$9*AA34*AB34/SUMPRODUCT($AB$25:$AB$58,$AA$25:$AA$58)</s:f>
        <s:v>9.8123503184713297</s:v>
      </s:c>
      <s:c r="W34" s="89">
        <s:f>IF($L$12="","",V34/$L$12)</s:f>
        <s:v>5.3914012738853501</s:v>
      </s:c>
      <s:c r="X34" s="88">
        <s:f>IF(AB34&lt;&gt;"",IF(D34&lt;&gt;"",D34,($L$8-SUM($X$25:X33))*AA34*AB34/SUMPRODUCT($AB34:$AB$58,$AA34:$AA$58)),"")</s:f>
        <s:v>45568</s:v>
      </s:c>
      <s:c r="Y34" s="89">
        <s:f>IF(AB34&lt;&gt;"",IF(E34&lt;&gt;"",E34,($L$9-SUM($Y$25:Y33))*AA34*AB34/SUMPRODUCT($AB34:$AB$58,$AA34:$AA$58)),"")</s:f>
        <s:v>4</s:v>
      </s:c>
      <s:c r="Z34" s="223">
        <s:f>IF(AB34&lt;&gt;"",IF($L$12&lt;&gt;"",IF(G34&lt;&gt;"",G34,($L$9/$L$12-SUM($Z$25:Z33))*AA34*AB34/SUMPRODUCT($AB34:$AB$58,$AA34:$AA$58)),""),"")</s:f>
        <s:v>3</s:v>
      </s:c>
      <s:c r="AA34" s="90">
        <s:v>1</s:v>
      </s:c>
      <s:c r="AB34" s="90">
        <s:v>1</s:v>
      </s:c>
      <s:c r="AC34" s="91"/>
      <s:c r="AD34" s="92"/>
      <s:c r="AE34" s="2"/>
      <s:c r="AF34" s="2"/>
      <s:c r="AG34" s="2"/>
      <s:c r="AH34" s="2"/>
      <s:c r="AI34" s="2"/>
      <s:c r="AJ34" s="2"/>
      <s:c r="AK34" s="2"/>
      <s:c r="AL34" s="2"/>
      <s:c r="AM34" s="2"/>
      <s:c r="AN34" s="2"/>
      <s:c r="AO34" s="2"/>
      <s:c r="AP34" s="2"/>
      <s:c r="AQ34" s="2"/>
      <s:c r="AR34" s="2"/>
      <s:c r="AS34" s="2"/>
      <s:c r="AT34" s="2"/>
      <s:c r="AU34" s="2"/>
      <s:c r="AV34" s="2"/>
      <s:c r="AW34" s="2"/>
      <s:c r="AX34" s="2"/>
      <s:c r="AY34" s="2"/>
      <s:c r="AZ34" s="2"/>
      <s:c r="BA34" s="2"/>
      <s:c r="BB34" s="2"/>
      <s:c r="BC34" s="2"/>
      <s:c r="BD34" s="2"/>
      <s:c r="BE34" s="2"/>
      <s:c r="BF34" s="2"/>
      <s:c r="BG34" s="2"/>
      <s:c r="BH34" s="2"/>
      <s:c r="BI34" s="2"/>
      <s:c r="BJ34" s="2"/>
      <s:c r="BK34" s="2"/>
      <s:c r="BL34" s="2"/>
      <s:c r="BM34" s="2"/>
      <s:c r="BN34" s="2"/>
      <s:c r="BO34" s="2"/>
      <s:c r="BP34" s="2"/>
      <s:c r="BQ34" s="2"/>
      <s:c r="BR34" s="2"/>
      <s:c r="BS34" s="2"/>
      <s:c r="BT34" s="2"/>
      <s:c r="BU34" s="2"/>
      <s:c r="BV34" s="2"/>
      <s:c r="BW34" s="2"/>
      <s:c r="BX34" s="2"/>
      <s:c r="BY34" s="2"/>
      <s:c r="BZ34" s="2"/>
      <s:c r="CA34" s="2"/>
      <s:c r="CB34" s="2"/>
      <s:c r="CC34" s="2"/>
      <s:c r="CD34" s="2"/>
      <s:c r="CE34" s="2"/>
      <s:c r="CF34" s="2"/>
      <s:c r="CG34" s="2"/>
      <s:c r="CH34" s="2"/>
      <s:c r="CI34" s="2"/>
      <s:c r="CJ34" s="2"/>
      <s:c r="CK34" s="2"/>
      <s:c r="CL34" s="2"/>
      <s:c r="CM34" s="2"/>
      <s:c r="CN34" s="2"/>
      <s:c r="CO34" s="2"/>
      <s:c r="CP34" s="2"/>
      <s:c r="CQ34" s="2"/>
      <s:c r="CR34" s="2"/>
      <s:c r="CS34" s="2"/>
      <s:c r="CT34" s="2"/>
      <s:c r="CU34" s="2"/>
      <s:c r="CV34" s="2"/>
      <s:c r="CW34" s="2"/>
      <s:c r="CX34" s="2"/>
      <s:c r="CY34" s="2"/>
      <s:c r="CZ34" s="2"/>
      <s:c r="DA34" s="2"/>
      <s:c r="DB34" s="2"/>
      <s:c r="DC34" s="2"/>
      <s:c r="DD34" s="2"/>
      <s:c r="DE34" s="2"/>
      <s:c r="DF34" s="2"/>
      <s:c r="DG34" s="2"/>
      <s:c r="DH34" s="2"/>
      <s:c r="DI34" s="2"/>
      <s:c r="DJ34" s="2"/>
      <s:c r="DK34" s="2"/>
      <s:c r="DL34" s="2"/>
      <s:c r="DM34" s="2"/>
      <s:c r="DN34" s="2"/>
      <s:c r="DO34" s="2"/>
      <s:c r="DP34" s="2"/>
      <s:c r="DQ34" s="2"/>
      <s:c r="DR34" s="2"/>
      <s:c r="DS34" s="2"/>
      <s:c r="DT34" s="2"/>
      <s:c r="DU34" s="2"/>
      <s:c r="DV34" s="2"/>
      <s:c r="DW34" s="2"/>
      <s:c r="DX34" s="2"/>
      <s:c r="DY34" s="2"/>
      <s:c r="DZ34" s="2"/>
      <s:c r="EA34" s="2"/>
      <s:c r="EB34" s="2"/>
      <s:c r="EC34" s="2"/>
      <s:c r="ED34" s="2"/>
      <s:c r="EE34" s="2"/>
      <s:c r="EF34" s="2"/>
      <s:c r="EG34" s="2"/>
      <s:c r="EH34" s="2"/>
      <s:c r="EI34" s="2"/>
      <s:c r="EJ34" s="2"/>
      <s:c r="EK34" s="2"/>
      <s:c r="EL34" s="2"/>
      <s:c r="EM34" s="2"/>
      <s:c r="EN34" s="2"/>
      <s:c r="EO34" s="2"/>
      <s:c r="EP34" s="2"/>
      <s:c r="EQ34" s="2"/>
      <s:c r="ER34" s="2"/>
      <s:c r="ES34" s="2"/>
      <s:c r="ET34" s="2"/>
      <s:c r="EU34" s="2"/>
      <s:c r="EV34" s="2"/>
      <s:c r="EW34" s="2"/>
      <s:c r="EX34" s="2"/>
      <s:c r="EY34" s="2"/>
      <s:c r="EZ34" s="2"/>
      <s:c r="FA34" s="2"/>
      <s:c r="FB34" s="2"/>
      <s:c r="FC34" s="2"/>
      <s:c r="FD34" s="2"/>
      <s:c r="FE34" s="2"/>
      <s:c r="FF34" s="2"/>
      <s:c r="FG34" s="2"/>
      <s:c r="FH34" s="2"/>
      <s:c r="FI34" s="2"/>
      <s:c r="FJ34" s="2"/>
      <s:c r="FK34" s="2"/>
      <s:c r="FL34" s="2"/>
      <s:c r="FM34" s="2"/>
      <s:c r="FN34" s="2"/>
      <s:c r="FO34" s="2"/>
      <s:c r="FP34" s="2"/>
      <s:c r="FQ34" s="2"/>
      <s:c r="FR34" s="2"/>
      <s:c r="FS34" s="2"/>
      <s:c r="FT34" s="2"/>
      <s:c r="FU34" s="2"/>
      <s:c r="FV34" s="2"/>
      <s:c r="FW34" s="2"/>
      <s:c r="FX34" s="2"/>
      <s:c r="FY34" s="2"/>
      <s:c r="FZ34" s="2"/>
      <s:c r="GA34" s="2"/>
      <s:c r="GB34" s="2"/>
      <s:c r="GC34" s="2"/>
      <s:c r="GD34" s="2"/>
      <s:c r="GE34" s="2"/>
      <s:c r="GF34" s="2"/>
      <s:c r="GG34" s="2"/>
      <s:c r="GH34" s="2"/>
      <s:c r="GI34" s="2"/>
      <s:c r="GJ34" s="2"/>
      <s:c r="GK34" s="2"/>
      <s:c r="GL34" s="2"/>
      <s:c r="GM34" s="2"/>
      <s:c r="GN34" s="2"/>
      <s:c r="GO34" s="2"/>
      <s:c r="GP34" s="2"/>
      <s:c r="GQ34" s="2"/>
      <s:c r="GR34" s="2"/>
      <s:c r="GS34" s="2"/>
      <s:c r="GT34" s="2"/>
      <s:c r="GU34" s="2"/>
      <s:c r="GV34" s="2"/>
      <s:c r="GW34" s="2"/>
      <s:c r="GX34" s="2"/>
      <s:c r="GY34" s="2"/>
      <s:c r="GZ34" s="2"/>
      <s:c r="HA34" s="2"/>
      <s:c r="HB34" s="2"/>
      <s:c r="HC34" s="2"/>
      <s:c r="HD34" s="2"/>
      <s:c r="HE34" s="2"/>
      <s:c r="HF34" s="2"/>
      <s:c r="HG34" s="2"/>
      <s:c r="HH34" s="2"/>
      <s:c r="HI34" s="2"/>
      <s:c r="HJ34" s="2"/>
      <s:c r="HK34" s="2"/>
      <s:c r="HL34" s="2"/>
      <s:c r="HM34" s="2"/>
      <s:c r="HN34" s="2"/>
      <s:c r="HO34" s="2"/>
      <s:c r="HP34" s="2"/>
      <s:c r="HQ34" s="2"/>
      <s:c r="HR34" s="2"/>
      <s:c r="HS34" s="2"/>
      <s:c r="HT34" s="2"/>
      <s:c r="HU34" s="2"/>
      <s:c r="HV34" s="2"/>
      <s:c r="HW34" s="2"/>
      <s:c r="HX34" s="2"/>
      <s:c r="HY34" s="2"/>
      <s:c r="HZ34" s="2"/>
      <s:c r="IA34" s="2"/>
      <s:c r="IB34" s="2"/>
      <s:c r="IC34" s="2"/>
      <s:c r="ID34" s="2"/>
      <s:c r="IE34" s="2"/>
      <s:c r="IF34" s="2"/>
      <s:c r="IG34" s="2"/>
      <s:c r="IH34" s="2"/>
      <s:c r="II34" s="2"/>
      <s:c r="IJ34" s="2"/>
      <s:c r="IK34" s="2"/>
      <s:c r="IL34" s="2"/>
      <s:c r="IM34" s="2"/>
      <s:c r="IN34" s="2"/>
      <s:c r="IO34" s="2"/>
      <s:c r="IP34" s="2"/>
      <s:c r="IQ34" s="2"/>
      <s:c r="IR34" s="2"/>
      <s:c r="IS34" s="2"/>
      <s:c r="IT34" s="2"/>
      <s:c r="IU34" s="2"/>
      <s:c r="IV34" s="2"/>
      <s:c r="IW34" s="2"/>
      <s:c r="IX34" s="2"/>
      <s:c r="IY34" s="2"/>
      <s:c r="IZ34" s="2"/>
    </s:row>
    <s:row r="35">
      <s:c r="A35" s="80">
        <s:v>11</s:v>
      </s:c>
      <s:c r="B35" s="81">
        <s:v>46130</s:v>
      </s:c>
      <s:c r="C35" s="82" t="s">
        <s:v>59</s:v>
      </s:c>
      <s:c r="D35" s="83">
        <s:v>53423</s:v>
      </s:c>
      <s:c r="E35" s="82">
        <s:v>8</s:v>
      </s:c>
      <s:c r="F35" s="85">
        <s:f>IF(AND(E35&lt;&gt;"",E35&lt;&gt;0),D35/E35,"")</s:f>
        <s:v>6677.875</s:v>
      </s:c>
      <s:c r="G35" s="85">
        <s:v>3</s:v>
      </s:c>
      <s:c r="H35" s="85">
        <s:f>IF(AND(G35&lt;&gt;"",G35&lt;&gt;0),D35/G35,"")</s:f>
        <s:v>17807.666666666599</s:v>
      </s:c>
      <s:c r="I35" s="85">
        <s:v>51</s:v>
      </s:c>
      <s:c r="J35" s="83">
        <s:f>IF(AND(G35&lt;&gt;"",G35&lt;&gt;0),E35/G35,"")</s:f>
        <s:v>2.6666666666666599</s:v>
      </s:c>
      <s:c r="K35" s="85">
        <s:v>15990</s:v>
      </s:c>
      <s:c r="L35" s="85"/>
      <s:c r="M35" s="85"/>
      <s:c r="N35" s="85"/>
      <s:c r="O35" s="244"/>
      <s:c r="P35" s="244"/>
      <s:c r="Q35" s="244"/>
      <s:c r="R35" s="85"/>
      <s:c r="S35" s="248">
        <s:f>IF(AND(I35&lt;&gt;"",I35&lt;&gt;0),G35/I35,"")</s:f>
        <s:v>5.8823529411764705E-2</s:v>
      </s:c>
      <s:c r="T35" s="87">
        <s:f>D35/U35</s:f>
        <s:v>0.78337629012878296</s:v>
      </s:c>
      <s:c r="U35" s="224">
        <s:f>$L$8*AA35*AB35/SUMPRODUCT($AB$25:$AB$56,$AA$25:$AA$56)</s:f>
        <s:v>68195.834713375705</s:v>
      </s:c>
      <s:c r="V35" s="89">
        <s:f>$L$9*AA35*AB35/SUMPRODUCT($AB$25:$AB$58,$AA$25:$AA$58)</s:f>
        <s:v>9.8123503184713297</s:v>
      </s:c>
      <s:c r="W35" s="89">
        <s:f>IF($L$12="","",V35/$L$12)</s:f>
        <s:v>5.3914012738853501</s:v>
      </s:c>
      <s:c r="X35" s="88">
        <s:f>IF(AB35&lt;&gt;"",IF(D35&lt;&gt;"",D35,($L$8-SUM($X$25:X34))*AA35*AB35/SUMPRODUCT($AB35:$AB$58,$AA35:$AA$58)),"")</s:f>
        <s:v>53423</s:v>
      </s:c>
      <s:c r="Y35" s="89">
        <s:f>IF(AB35&lt;&gt;"",IF(E34&lt;&gt;"",E34,($L$9-SUM($Y$25:Y34))*AA35*AB35/SUMPRODUCT($AB35:$AB$58,$AA35:$AA$58)),"")</s:f>
        <s:v>4</s:v>
      </s:c>
      <s:c r="Z35" s="89">
        <s:f>IF(AB35&lt;&gt;"",IF($L$12&lt;&gt;"",IF(G35&lt;&gt;"",G35,($L$9/$L$12-SUM($Z$25:Z34))*AA35*AB35/SUMPRODUCT($AB35:$AB$58,$AA35:$AA$58)),""),"")</s:f>
        <s:v>3</s:v>
      </s:c>
      <s:c r="AA35" s="90">
        <s:v>1</s:v>
      </s:c>
      <s:c r="AB35" s="90">
        <s:v>1</s:v>
      </s:c>
      <s:c r="AC35" s="91"/>
      <s:c r="AD35" s="92"/>
      <s:c r="AE35" s="2"/>
      <s:c r="AF35" s="2"/>
      <s:c r="AG35" s="2"/>
      <s:c r="AH35" s="2"/>
      <s:c r="AI35" s="2"/>
      <s:c r="AJ35" s="2"/>
      <s:c r="AK35" s="2"/>
      <s:c r="AL35" s="2"/>
    </s:row>
    <s:row r="36">
      <s:c r="A36" s="80">
        <s:v>11</s:v>
      </s:c>
      <s:c r="B36" s="81">
        <s:v>46132</s:v>
      </s:c>
      <s:c r="C36" s="97" t="s">
        <s:v>54</s:v>
      </s:c>
      <s:c r="D36" s="83">
        <s:v>38213</s:v>
      </s:c>
      <s:c r="E36" s="82">
        <s:v>8</s:v>
      </s:c>
      <s:c r="F36" s="85">
        <s:v>4777</s:v>
      </s:c>
      <s:c r="G36" s="85">
        <s:v>5</s:v>
      </s:c>
      <s:c r="H36" s="85">
        <s:v>7643</s:v>
      </s:c>
      <s:c r="I36" s="85">
        <s:v>86</s:v>
      </s:c>
      <s:c r="J36" s="83">
        <s:f>IF(AND(G36&lt;&gt;"",G36&lt;&gt;0),E36/G36,"")</s:f>
        <s:v>1.6</s:v>
      </s:c>
      <s:c r="K36" s="85"/>
      <s:c r="L36" s="243"/>
      <s:c r="M36" s="85"/>
      <s:c r="N36" s="85"/>
      <s:c r="O36" s="85"/>
      <s:c r="P36" s="85"/>
      <s:c r="Q36" s="85"/>
      <s:c r="R36" s="588">
        <s:v>11647</s:v>
      </s:c>
      <s:c r="S36" s="86">
        <s:f>IF(AND(I36&lt;&gt;"",I36&lt;&gt;0),G36/I36,"")</s:f>
        <s:v>5.8139534883720929E-2</s:v>
      </s:c>
      <s:c r="T36" s="222">
        <s:f>D36/U36</s:f>
        <s:v>0.56034214055165699</s:v>
      </s:c>
      <s:c r="U36" s="249">
        <s:f>$L$8*AA36*AB36/SUMPRODUCT($AB$25:$AB$56,$AA$25:$AA$56)</s:f>
        <s:v>68195.834713375705</s:v>
      </s:c>
      <s:c r="V36" s="89">
        <s:f>$L$9*AA36*AB36/SUMPRODUCT($AB$25:$AB$58,$AA$25:$AA$58)</s:f>
        <s:v>9.8123503184713297</s:v>
      </s:c>
      <s:c r="W36" s="89">
        <s:f>IF($L$12="","",V36/$L$12)</s:f>
        <s:v>5.3914012738853501</s:v>
      </s:c>
      <s:c r="X36" s="88">
        <s:f>IF(AB36&lt;&gt;"",IF(D36&lt;&gt;"",D36,($L$8-SUM($X$25:X35))*AA36*AB36/SUMPRODUCT($AB36:$AB$58,$AA36:$AA$58)),"")</s:f>
        <s:v>38213</s:v>
      </s:c>
      <s:c r="Y36" s="89">
        <s:f>IF(AB36&lt;&gt;"",IF(E35&lt;&gt;"",E35,($L$9-SUM($Y$25:Y35))*AA36*AB36/SUMPRODUCT($AB36:$AB$58,$AA36:$AA$58)),"")</s:f>
        <s:v>8</s:v>
      </s:c>
      <s:c r="Z36" s="89">
        <s:f>IF(AB36&lt;&gt;"",IF($L$12&lt;&gt;"",IF(G36&lt;&gt;"",G36,($L$9/$L$12-SUM($Z$25:Z35))*AA36*AB36/SUMPRODUCT($AB36:$AB$58,$AA36:$AA$58)),""),"")</s:f>
        <s:v>5</s:v>
      </s:c>
      <s:c r="AA36" s="90">
        <s:v>1</s:v>
      </s:c>
      <s:c r="AB36" s="90">
        <s:v>1</s:v>
      </s:c>
      <s:c r="AC36" s="91"/>
      <s:c r="AD36" s="92"/>
      <s:c r="AE36" s="2"/>
      <s:c r="AF36" s="2"/>
      <s:c r="AG36" s="2"/>
      <s:c r="AH36" s="2"/>
      <s:c r="AI36" s="2"/>
      <s:c r="AJ36" s="2"/>
      <s:c r="AK36" s="2"/>
      <s:c r="AL36" s="2"/>
    </s:row>
    <s:row r="37">
      <s:c r="A37" s="80">
        <s:v>13</s:v>
      </s:c>
      <s:c r="B37" s="81">
        <s:v>46133</s:v>
      </s:c>
      <s:c r="C37" s="82" t="s">
        <s:v>55</s:v>
      </s:c>
      <s:c r="D37" s="83">
        <s:v>61152</s:v>
      </s:c>
      <s:c r="E37" s="85">
        <s:v>8</s:v>
      </s:c>
      <s:c r="F37" s="85">
        <s:f>IF(AND(E37&lt;&gt;"",E37&lt;&gt;0),D37/E37,"")</s:f>
        <s:v>7644</s:v>
      </s:c>
      <s:c r="G37" s="85">
        <s:v>6</s:v>
      </s:c>
      <s:c r="H37" s="85">
        <s:f>IF(AND(G37&lt;&gt;"",G37&lt;&gt;0),D37/G37,"")</s:f>
        <s:v>10192</s:v>
      </s:c>
      <s:c r="I37" s="85">
        <s:v>64</s:v>
      </s:c>
      <s:c r="J37" s="225">
        <s:f>IF(AND(G37&lt;&gt;"",G37&lt;&gt;0),E37/G37,"")</s:f>
        <s:v>1.3333333333333299</s:v>
      </s:c>
      <s:c r="K37" s="85"/>
      <s:c r="L37" s="85">
        <s:v>25500</s:v>
      </s:c>
      <s:c r="M37" s="85"/>
      <s:c r="N37" s="242"/>
      <s:c r="O37" s="242"/>
      <s:c r="P37" s="85"/>
      <s:c r="Q37" s="85"/>
      <s:c r="R37" s="588">
        <s:v>2595</s:v>
      </s:c>
      <s:c r="S37" s="86">
        <s:f>IF(AND(I37&lt;&gt;"",I37&lt;&gt;0),G37/I37,"")</s:f>
        <s:v>9.375E-2</s:v>
      </s:c>
      <s:c r="T37" s="87">
        <s:f>D37/U37</s:f>
        <s:v>0.89671165778700801</s:v>
      </s:c>
      <s:c r="U37" s="224">
        <s:f>$L$8*AA37*AB37/SUMPRODUCT($AB$25:$AB$56,$AA$25:$AA$56)</s:f>
        <s:v>68195.834713375705</s:v>
      </s:c>
      <s:c r="V37" s="89">
        <s:f>$L$9*AA37*AB37/SUMPRODUCT($AB$25:$AB$58,$AA$25:$AA$58)</s:f>
        <s:v>9.8123503184713297</s:v>
      </s:c>
      <s:c r="W37" s="89">
        <s:f>IF($L$12="","",V37/$L$12)</s:f>
        <s:v>5.3914012738853501</s:v>
      </s:c>
      <s:c r="X37" s="88">
        <s:f>IF(AB37&lt;&gt;"",IF(D37&lt;&gt;"",D37,($L$8-SUM($X$25:X36))*AA37*AB37/SUMPRODUCT($AB37:$AB$58,$AA37:$AA$58)),"")</s:f>
        <s:v>61152</s:v>
      </s:c>
      <s:c r="Y37" s="89">
        <s:f>IF(AB37&lt;&gt;"",IF(E37&lt;&gt;"",E37,($L$9-SUM($Y$25:Y36))*AA37*AB37/SUMPRODUCT($AB37:$AB$58,$AA37:$AA$58)),"")</s:f>
        <s:v>8</s:v>
      </s:c>
      <s:c r="Z37" s="89">
        <s:f>IF(AB37&lt;&gt;"",IF($L$12&lt;&gt;"",IF(G37&lt;&gt;"",G37,($L$9/$L$12-SUM($Z$25:Z36))*AA37*AB37/SUMPRODUCT($AB37:$AB$58,$AA37:$AA$58)),""),"")</s:f>
        <s:v>6</s:v>
      </s:c>
      <s:c r="AA37" s="90">
        <s:v>1</s:v>
      </s:c>
      <s:c r="AB37" s="90">
        <s:v>1</s:v>
      </s:c>
      <s:c r="AC37" s="91"/>
      <s:c r="AD37" s="92"/>
      <s:c r="AE37" s="2"/>
      <s:c r="AF37" s="2"/>
      <s:c r="AG37" s="2"/>
      <s:c r="AH37" s="2"/>
      <s:c r="AI37" s="2"/>
      <s:c r="AJ37" s="2"/>
      <s:c r="AK37" s="2"/>
      <s:c r="AL37" s="2"/>
    </s:row>
    <s:row r="38">
      <s:c r="A38" s="80">
        <s:v>14</s:v>
      </s:c>
      <s:c r="B38" s="81">
        <s:v>46134</s:v>
      </s:c>
      <s:c r="C38" s="97" t="s">
        <s:v>56</s:v>
      </s:c>
      <s:c r="D38" s="83">
        <s:v>66152</s:v>
      </s:c>
      <s:c r="E38" s="85">
        <s:v>9</s:v>
      </s:c>
      <s:c r="F38" s="85">
        <s:f>IF(AND(E38&lt;&gt;"",E38&lt;&gt;0),D38/E38,"")</s:f>
        <s:v>7350.2222222222199</s:v>
      </s:c>
      <s:c r="G38" s="85">
        <s:v>6</s:v>
      </s:c>
      <s:c r="H38" s="85">
        <s:f>IF(AND(G38&lt;&gt;"",G38&lt;&gt;0),D38/G38,"")</s:f>
        <s:v>11025.333333333299</s:v>
      </s:c>
      <s:c r="I38" s="85">
        <s:v>60</s:v>
      </s:c>
      <s:c r="J38" s="83">
        <s:f>IF(AND(G38&lt;&gt;"",G38&lt;&gt;0),E38/G38,"")</s:f>
        <s:v>1.5</s:v>
      </s:c>
      <s:c r="K38" s="221">
        <s:v>20284</s:v>
      </s:c>
      <s:c r="L38" s="85"/>
      <s:c r="M38" s="85"/>
      <s:c r="N38" s="85"/>
      <s:c r="O38" s="244"/>
      <s:c r="P38" s="244"/>
      <s:c r="Q38" s="244"/>
      <s:c r="R38" s="588">
        <s:v>4392</s:v>
      </s:c>
      <s:c r="S38" s="416">
        <s:f>IF(AND(I38&lt;&gt;"",I38&lt;&gt;0),G38/I38,"")</s:f>
        <s:v>0.1</s:v>
      </s:c>
      <s:c r="T38" s="87">
        <s:f>D38/U38</s:f>
        <s:v>0.97002991866048704</s:v>
      </s:c>
      <s:c r="U38" s="88">
        <s:f>$L$8*AA38*AB38/SUMPRODUCT($AB$25:$AB$56,$AA$25:$AA$56)</s:f>
        <s:v>68195.834713375705</s:v>
      </s:c>
      <s:c r="V38" s="223">
        <s:f>$L$9*AA38*AB38/SUMPRODUCT($AB$25:$AB$58,$AA$25:$AA$58)</s:f>
        <s:v>9.8123503184713297</s:v>
      </s:c>
      <s:c r="W38" s="89">
        <s:f>IF($L$12="","",V38/$L$12)</s:f>
        <s:v>5.3914012738853501</s:v>
      </s:c>
      <s:c r="X38" s="88">
        <s:f>IF(AB38&lt;&gt;"",IF(D38&lt;&gt;"",D38,($L$8-SUM($X$25:X37))*AA38*AB38/SUMPRODUCT($AB38:$AB$58,$AA38:$AA$58)),"")</s:f>
        <s:v>66152</s:v>
      </s:c>
      <s:c r="Y38" s="89">
        <s:f>IF(AB38&lt;&gt;"",IF(E38&lt;&gt;"",E38,($L$9-SUM($Y$25:Y37))*AA38*AB38/SUMPRODUCT($AB38:$AB$58,$AA38:$AA$58)),"")</s:f>
        <s:v>9</s:v>
      </s:c>
      <s:c r="Z38" s="223">
        <s:f>IF(AB38&lt;&gt;"",IF($L$12&lt;&gt;"",IF(G38&lt;&gt;"",G38,($L$9/$L$12-SUM($Z$25:Z37))*AA38*AB38/SUMPRODUCT($AB38:$AB$58,$AA38:$AA$58)),""),"")</s:f>
        <s:v>6</s:v>
      </s:c>
      <s:c r="AA38" s="90">
        <s:v>1</s:v>
      </s:c>
      <s:c r="AB38" s="90">
        <s:v>1</s:v>
      </s:c>
      <s:c r="AC38" s="91"/>
      <s:c r="AD38" s="92"/>
      <s:c r="AE38" s="2"/>
      <s:c r="AF38" s="2"/>
      <s:c r="AG38" s="2"/>
      <s:c r="AH38" s="2"/>
      <s:c r="AI38" s="2"/>
      <s:c r="AJ38" s="2"/>
      <s:c r="AK38" s="2"/>
      <s:c r="AL38" s="2"/>
    </s:row>
    <s:row r="39">
      <s:c r="A39" s="80">
        <s:v>15</s:v>
      </s:c>
      <s:c r="B39" s="81">
        <s:v>46135</s:v>
      </s:c>
      <s:c r="C39" s="82" t="s">
        <s:v>57</s:v>
      </s:c>
      <s:c r="D39" s="83">
        <s:v>8688</s:v>
      </s:c>
      <s:c r="E39" s="221">
        <s:v>2</s:v>
      </s:c>
      <s:c r="F39" s="85">
        <s:f>IF(AND(E39&lt;&gt;"",E39&lt;&gt;0),D39/E39,"")</s:f>
        <s:v>4344</s:v>
      </s:c>
      <s:c r="G39" s="221">
        <s:v>2</s:v>
      </s:c>
      <s:c r="H39" s="85">
        <s:f>IF(AND(G39&lt;&gt;"",G39&lt;&gt;0),D39/G39,"")</s:f>
        <s:v>4344</s:v>
      </s:c>
      <s:c r="I39" s="85">
        <s:v>33</s:v>
      </s:c>
      <s:c r="J39" s="83">
        <s:f>IF(AND(G39&lt;&gt;"",G39&lt;&gt;0),E39/G39,"")</s:f>
        <s:v>1</s:v>
      </s:c>
      <s:c r="K39" s="85"/>
      <s:c r="L39" s="243"/>
      <s:c r="M39" s="85"/>
      <s:c r="N39" s="85"/>
      <s:c r="O39" s="85"/>
      <s:c r="P39" s="85"/>
      <s:c r="Q39" s="85"/>
      <s:c r="R39" s="588">
        <s:v>4392</s:v>
      </s:c>
      <s:c r="S39" s="86">
        <s:f>IF(AND(I39&lt;&gt;"",I39&lt;&gt;0),G39/I39,"")</s:f>
        <s:v>6.0606060606060608E-2</s:v>
      </s:c>
      <s:c r="T39" s="222">
        <s:f>D39/U39</s:f>
        <s:v>0.127397810093758</s:v>
      </s:c>
      <s:c r="U39" s="88">
        <s:f>$L$8*AA39*AB39/SUMPRODUCT($AB$25:$AB$56,$AA$25:$AA$56)</s:f>
        <s:v>68195.834713375705</s:v>
      </s:c>
      <s:c r="V39" s="89">
        <s:f>$L$9*AA39*AB39/SUMPRODUCT($AB$25:$AB$58,$AA$25:$AA$58)</s:f>
        <s:v>9.8123503184713297</s:v>
      </s:c>
      <s:c r="W39" s="223">
        <s:f>IF($L$12="","",V39/$L$12)</s:f>
        <s:v>5.3914012738853501</s:v>
      </s:c>
      <s:c r="X39" s="88">
        <s:f>IF(AB39&lt;&gt;"",IF(D39&lt;&gt;"",D39,($L$8-SUM($X$25:X38))*AA39*AB39/SUMPRODUCT($AB39:$AB$58,$AA39:$AA$58)),"")</s:f>
        <s:v>8688</s:v>
      </s:c>
      <s:c r="Y39" s="223">
        <s:f>IF(AB39&lt;&gt;"",IF(E39&lt;&gt;"",E39,($L$9-SUM($Y$25:Y38))*AA39*AB39/SUMPRODUCT($AB39:$AB$58,$AA39:$AA$58)),"")</s:f>
        <s:v>2</s:v>
      </s:c>
      <s:c r="Z39" s="89">
        <s:f>IF(AB39&lt;&gt;"",IF($L$12&lt;&gt;"",IF(G39&lt;&gt;"",G39,($L$9/$L$12-SUM($Z$25:Z38))*AA39*AB39/SUMPRODUCT($AB39:$AB$58,$AA39:$AA$58)),""),"")</s:f>
        <s:v>2</s:v>
      </s:c>
      <s:c r="AA39" s="90">
        <s:v>1</s:v>
      </s:c>
      <s:c r="AB39" s="90">
        <s:v>1</s:v>
      </s:c>
      <s:c r="AC39" s="91"/>
      <s:c r="AD39" s="92"/>
      <s:c r="AE39" s="2"/>
      <s:c r="AF39" s="2"/>
      <s:c r="AG39" s="2"/>
      <s:c r="AH39" s="2"/>
      <s:c r="AI39" s="2"/>
      <s:c r="AJ39" s="2"/>
      <s:c r="AK39" s="2"/>
      <s:c r="AL39" s="2"/>
    </s:row>
    <s:row r="40">
      <s:c r="A40" s="80">
        <s:v>16</s:v>
      </s:c>
      <s:c r="B40" s="81">
        <s:v>46137</s:v>
      </s:c>
      <s:c r="C40" s="97" t="s">
        <s:v>59</s:v>
      </s:c>
      <s:c r="D40" s="83">
        <s:f>12893+29904+6903</s:f>
        <s:v>49700</s:v>
      </s:c>
      <s:c r="E40" s="85">
        <s:v>3</s:v>
      </s:c>
      <s:c r="F40" s="221">
        <s:f>IF(AND(E40&lt;&gt;"",E40&lt;&gt;0),D40/E40,"")</s:f>
        <s:v>16566.666666666599</s:v>
      </s:c>
      <s:c r="G40" s="85">
        <s:v>3</s:v>
      </s:c>
      <s:c r="H40" s="221">
        <s:f>IF(AND(G40&lt;&gt;"",G40&lt;&gt;0),D40/G40,"")</s:f>
        <s:v>16566.666666666599</s:v>
      </s:c>
      <s:c r="I40" s="85">
        <s:v>20</s:v>
      </s:c>
      <s:c r="J40" s="225">
        <s:f>IF(AND(G40&lt;&gt;"",G40&lt;&gt;0),E40/G40,"")</s:f>
        <s:v>1</s:v>
      </s:c>
      <s:c r="K40" s="85"/>
      <s:c r="L40" s="85">
        <s:f>29904+6903</s:f>
        <s:v>36807</s:v>
      </s:c>
      <s:c r="M40" s="85">
        <s:v>12893</s:v>
      </s:c>
      <s:c r="N40" s="242"/>
      <s:c r="O40" s="242"/>
      <s:c r="P40" s="85"/>
      <s:c r="Q40" s="85"/>
      <s:c r="R40" s="85"/>
      <s:c r="S40" s="86">
        <s:f>IF(AND(I40&lt;&gt;"",I40&lt;&gt;0),G40/I40,"")</s:f>
        <s:v>0.15</s:v>
      </s:c>
      <s:c r="T40" s="87">
        <s:f>D40/U40</s:f>
        <s:v>0.72878351308238898</s:v>
      </s:c>
      <s:c r="U40" s="224">
        <s:f>$L$8*AA40*AB40/SUMPRODUCT($AB$25:$AB$56,$AA$25:$AA$56)</s:f>
        <s:v>68195.834713375705</s:v>
      </s:c>
      <s:c r="V40" s="89">
        <s:f>$L$9*AA40*AB40/SUMPRODUCT($AB$25:$AB$58,$AA$25:$AA$58)</s:f>
        <s:v>9.8123503184713297</s:v>
      </s:c>
      <s:c r="W40" s="89">
        <s:f>IF($L$12="","",V40/$L$12)</s:f>
        <s:v>5.3914012738853501</s:v>
      </s:c>
      <s:c r="X40" s="88">
        <s:f>IF(AB40&lt;&gt;"",IF(D40&lt;&gt;"",D40,($L$8-SUM($X$25:X39))*AA40*AB40/SUMPRODUCT($AB40:$AB$58,$AA40:$AA$58)),"")</s:f>
        <s:v>49700</s:v>
      </s:c>
      <s:c r="Y40" s="89">
        <s:f>IF(AB40&lt;&gt;"",IF(E40&lt;&gt;"",E40,($L$9-SUM($Y$25:Y39))*AA40*AB40/SUMPRODUCT($AB40:$AB$58,$AA40:$AA$58)),"")</s:f>
        <s:v>3</s:v>
      </s:c>
      <s:c r="Z40" s="89">
        <s:f>IF(AB40&lt;&gt;"",IF($L$12&lt;&gt;"",IF(G40&lt;&gt;"",G40,($L$9/$L$12-SUM($Z$25:Z39))*AA40*AB40/SUMPRODUCT($AB40:$AB$58,$AA40:$AA$58)),""),"")</s:f>
        <s:v>3</s:v>
      </s:c>
      <s:c r="AA40" s="90">
        <s:v>1</s:v>
      </s:c>
      <s:c r="AB40" s="90">
        <s:v>1</s:v>
      </s:c>
      <s:c r="AC40" s="91"/>
      <s:c r="AD40" s="92"/>
      <s:c r="AE40" s="2"/>
      <s:c r="AF40" s="2"/>
      <s:c r="AG40" s="2"/>
      <s:c r="AH40" s="2"/>
      <s:c r="AI40" s="2"/>
      <s:c r="AJ40" s="2"/>
      <s:c r="AK40" s="2"/>
      <s:c r="AL40" s="2"/>
    </s:row>
    <s:row r="41">
      <s:c r="A41" s="80">
        <s:v>17</s:v>
      </s:c>
      <s:c r="B41" s="81">
        <s:v>46138</s:v>
      </s:c>
      <s:c r="C41" s="82" t="s">
        <s:v>53</s:v>
      </s:c>
      <s:c r="D41" s="225">
        <s:v>10285</s:v>
      </s:c>
      <s:c r="E41" s="85">
        <s:v>2</s:v>
      </s:c>
      <s:c r="F41" s="85">
        <s:f>IF(AND(E41&lt;&gt;"",E41&lt;&gt;0),D41/E41,"")</s:f>
        <s:v>5142.5</s:v>
      </s:c>
      <s:c r="G41" s="221">
        <s:v>2</s:v>
      </s:c>
      <s:c r="H41" s="85">
        <s:f>IF(AND(G41&lt;&gt;"",G41&lt;&gt;0),D41/G41,"")</s:f>
        <s:v>5142.5</s:v>
      </s:c>
      <s:c r="I41" s="221">
        <s:v>18</s:v>
      </s:c>
      <s:c r="J41" s="83">
        <s:f>IF(AND(G41&lt;&gt;"",G41&lt;&gt;0),E41/G41,"")</s:f>
        <s:v>1</s:v>
      </s:c>
      <s:c r="K41" s="221"/>
      <s:c r="L41" s="85"/>
      <s:c r="M41" s="85"/>
      <s:c r="N41" s="85"/>
      <s:c r="O41" s="244"/>
      <s:c r="P41" s="244"/>
      <s:c r="Q41" s="244"/>
      <s:c r="R41" s="85"/>
      <s:c r="S41" s="226">
        <s:f>IF(AND(I41&lt;&gt;"",I41&lt;&gt;0),G41/I41,"")</s:f>
        <s:v>0.11111111111111099</s:v>
      </s:c>
      <s:c r="T41" s="87" t="e">
        <s:f>D41/U41</s:f>
        <s:v>#DIV/0!</s:v>
      </s:c>
      <s:c r="U41" s="88">
        <s:f>$L$8*AA41*AB41/SUMPRODUCT($AB$25:$AB$56,$AA$25:$AA$56)</s:f>
        <s:v>0</s:v>
      </s:c>
      <s:c r="V41" s="89">
        <s:f>$L$9*AA41*AB41/SUMPRODUCT($AB$25:$AB$58,$AA$25:$AA$58)</s:f>
        <s:v>0</s:v>
      </s:c>
      <s:c r="W41" s="89">
        <s:f>IF($L$12="","",V41/$L$12)</s:f>
        <s:v>0</s:v>
      </s:c>
      <s:c r="X41" s="88" t="str">
        <s:f>IF(AB41&lt;&gt;"",IF(D41&lt;&gt;"",D41,($L$8-SUM($X$25:X40))*AA41*AB41/SUMPRODUCT($AB41:$AB$58,$AA41:$AA$58)),"")</s:f>
        <s:v/>
      </s:c>
      <s:c r="Y41" s="89" t="str">
        <s:f>IF(AB41&lt;&gt;"",IF(E41&lt;&gt;"",E41,($L$9-SUM($Y$25:Y40))*AA41*AB41/SUMPRODUCT($AB41:$AB$58,$AA41:$AA$58)),"")</s:f>
        <s:v/>
      </s:c>
      <s:c r="Z41" s="89" t="str">
        <s:f>IF(AB41&lt;&gt;"",IF($L$12&lt;&gt;"",IF(G41&lt;&gt;"",G41,($L$9/$L$12-SUM($Z$25:Z40))*AA41*AB41/SUMPRODUCT($AB41:$AB$58,$AA41:$AA$58)),""),"")</s:f>
        <s:v/>
      </s:c>
      <s:c r="AA41" s="90"/>
      <s:c r="AB41" s="90"/>
      <s:c r="AC41" s="91"/>
      <s:c r="AD41" s="92"/>
      <s:c r="AE41" s="2"/>
      <s:c r="AF41" s="2"/>
      <s:c r="AG41" s="2"/>
      <s:c r="AH41" s="2"/>
      <s:c r="AI41" s="2"/>
      <s:c r="AJ41" s="2"/>
      <s:c r="AK41" s="2"/>
      <s:c r="AL41" s="2"/>
    </s:row>
    <s:row r="42">
      <s:c r="A42" s="80">
        <s:v>18</s:v>
      </s:c>
      <s:c r="B42" s="81">
        <s:v>46140</s:v>
      </s:c>
      <s:c r="C42" s="82" t="s">
        <s:v>55</s:v>
      </s:c>
      <s:c r="D42" s="83">
        <s:f>21806+6239</s:f>
        <s:v>28045</s:v>
      </s:c>
      <s:c r="E42" s="85">
        <s:v>4</s:v>
      </s:c>
      <s:c r="F42" s="85">
        <s:f>IF(AND(E42&lt;&gt;"",E42&lt;&gt;0),D42/E42,"")</s:f>
        <s:v>7011.25</s:v>
      </s:c>
      <s:c r="G42" s="85">
        <s:v>3</s:v>
      </s:c>
      <s:c r="H42" s="85">
        <s:f>IF(AND(G42&lt;&gt;"",G42&lt;&gt;0),D42/G42,"")</s:f>
        <s:v>9348.3333333333303</s:v>
      </s:c>
      <s:c r="I42" s="85">
        <s:v>18</s:v>
      </s:c>
      <s:c r="J42" s="83">
        <s:f>IF(AND(G42&lt;&gt;"",G42&lt;&gt;0),E42/G42,"")</s:f>
        <s:v>1.3333333333333299</s:v>
      </s:c>
      <s:c r="K42" s="85"/>
      <s:c r="L42" s="85">
        <s:v>21806</s:v>
      </s:c>
      <s:c r="M42" s="85"/>
      <s:c r="N42" s="85"/>
      <s:c r="O42" s="85"/>
      <s:c r="P42" s="85"/>
      <s:c r="Q42" s="85"/>
      <s:c r="R42" s="588">
        <s:v>6235</s:v>
      </s:c>
      <s:c r="S42" s="86">
        <s:f>IF(AND(I42&lt;&gt;"",I42&lt;&gt;0),G42/I42,"")</s:f>
        <s:v>0.16666666666666599</s:v>
      </s:c>
      <s:c r="T42" s="222" t="e">
        <s:f>D42/U42</s:f>
        <s:v>#DIV/0!</s:v>
      </s:c>
      <s:c r="U42" s="88">
        <s:f>$L$8*AA42*AB42/SUMPRODUCT($AB$25:$AB$56,$AA$25:$AA$56)</s:f>
        <s:v>0</s:v>
      </s:c>
      <s:c r="V42" s="89">
        <s:f>$L$9*AA42*AB42/SUMPRODUCT($AB$25:$AB$58,$AA$25:$AA$58)</s:f>
        <s:v>0</s:v>
      </s:c>
      <s:c r="W42" s="89">
        <s:f>IF($L$12="","",V42/$L$12)</s:f>
        <s:v>0</s:v>
      </s:c>
      <s:c r="X42" s="88" t="str">
        <s:f>IF(AB42&lt;&gt;"",IF(D42&lt;&gt;"",D42,($L$8-SUM($X$25:X41))*AA42*AB42/SUMPRODUCT($AB42:$AB$58,$AA42:$AA$58)),"")</s:f>
        <s:v/>
      </s:c>
      <s:c r="Y42" s="89" t="str">
        <s:f>IF(AB42&lt;&gt;"",IF(E42&lt;&gt;"",E42,($L$9-SUM($Y$25:Y41))*AA42*AB42/SUMPRODUCT($AB42:$AB$58,$AA42:$AA$58)),"")</s:f>
        <s:v/>
      </s:c>
      <s:c r="Z42" s="89" t="str">
        <s:f>IF(AB42&lt;&gt;"",IF($L$12&lt;&gt;"",IF(G42&lt;&gt;"",G42,($L$9/$L$12-SUM($Z$25:Z41))*AA42*AB42/SUMPRODUCT($AB42:$AB$58,$AA42:$AA$58)),""),"")</s:f>
        <s:v/>
      </s:c>
      <s:c r="AA42" s="90"/>
      <s:c r="AB42" s="90"/>
      <s:c r="AC42" s="91"/>
      <s:c r="AD42" s="92"/>
      <s:c r="AE42" s="93"/>
      <s:c r="AF42" s="2"/>
      <s:c r="AG42" s="2"/>
      <s:c r="AH42" s="2"/>
      <s:c r="AI42" s="2"/>
      <s:c r="AJ42" s="2"/>
      <s:c r="AK42" s="2"/>
      <s:c r="AL42" s="2"/>
    </s:row>
    <s:row r="43">
      <s:c r="A43" s="80">
        <s:v>18</s:v>
      </s:c>
      <s:c r="B43" s="81">
        <s:v>46141</s:v>
      </s:c>
      <s:c r="C43" s="417" t="s">
        <s:v>56</s:v>
      </s:c>
      <s:c r="D43" s="418">
        <s:v>34050</s:v>
      </s:c>
      <s:c r="E43" s="221">
        <s:v>6</s:v>
      </s:c>
      <s:c r="F43" s="241">
        <s:f>IF(AND(E43&lt;&gt;"",E43&lt;&gt;0),D43/E43,"")</s:f>
        <s:v>5675</s:v>
      </s:c>
      <s:c r="G43" s="241">
        <s:v>2</s:v>
      </s:c>
      <s:c r="H43" s="221">
        <s:f>IF(AND(G43&lt;&gt;"",G43&lt;&gt;0),D43/G43,"")</s:f>
        <s:v>17025</s:v>
      </s:c>
      <s:c r="I43" s="241">
        <s:v>27</s:v>
      </s:c>
      <s:c r="J43" s="225">
        <s:f>IF(AND(G43&lt;&gt;"",G43&lt;&gt;0),E43/G43,"")</s:f>
        <s:v>3</s:v>
      </s:c>
      <s:c r="K43" s="241"/>
      <s:c r="L43" s="243"/>
      <s:c r="M43" s="419"/>
      <s:c r="N43" s="241"/>
      <s:c r="O43" s="241"/>
      <s:c r="P43" s="241"/>
      <s:c r="Q43" s="241"/>
      <s:c r="R43" s="241"/>
      <s:c r="S43" s="86">
        <s:f>IF(AND(I43&lt;&gt;"",I43&lt;&gt;0),G43/I43,"")</s:f>
        <s:v>7.4074074074074001E-2</s:v>
      </s:c>
      <s:c r="T43" s="222" t="e">
        <s:f>D43/U43</s:f>
        <s:v>#DIV/0!</s:v>
      </s:c>
      <s:c r="U43" s="88">
        <s:f>$L$8*AA43*AB43/SUMPRODUCT($AB$25:$AB$56,$AA$25:$AA$56)</s:f>
        <s:v>0</s:v>
      </s:c>
      <s:c r="V43" s="89">
        <s:f>$L$9*AA43*AB43/SUMPRODUCT($AB$25:$AB$58,$AA$25:$AA$58)</s:f>
        <s:v>0</s:v>
      </s:c>
      <s:c r="W43" s="89">
        <s:f>IF($L$12="","",V43/$L$12)</s:f>
        <s:v>0</s:v>
      </s:c>
      <s:c r="X43" s="88" t="str">
        <s:f>IF(AB43&lt;&gt;"",IF(D43&lt;&gt;"",D43,($L$8-SUM($X$25:X42))*AA43*AB43/SUMPRODUCT($AB43:$AB$58,$AA43:$AA$58)),"")</s:f>
        <s:v/>
      </s:c>
      <s:c r="Y43" s="89" t="str">
        <s:f>IF(AB43&lt;&gt;"",IF(E43&lt;&gt;"",E43,($L$9-SUM($Y$25:Y42))*AA43*AB43/SUMPRODUCT($AB43:$AB$58,$AA43:$AA$58)),"")</s:f>
        <s:v/>
      </s:c>
      <s:c r="Z43" s="89" t="str">
        <s:f>IF(AB43&lt;&gt;"",IF($L$12&lt;&gt;"",IF(G43&lt;&gt;"",G43,($L$9/$L$12-SUM($Z$25:Z42))*AA43*AB43/SUMPRODUCT($AB43:$AB$58,$AA43:$AA$58)),""),"")</s:f>
        <s:v/>
      </s:c>
      <s:c r="AA43" s="90"/>
      <s:c r="AB43" s="90"/>
      <s:c r="AC43" s="91"/>
      <s:c r="AD43" s="92"/>
      <s:c r="AE43" s="93"/>
      <s:c r="AF43" s="2"/>
      <s:c r="AG43" s="2"/>
      <s:c r="AH43" s="2"/>
      <s:c r="AI43" s="2"/>
      <s:c r="AJ43" s="2"/>
      <s:c r="AK43" s="2"/>
      <s:c r="AL43" s="2"/>
    </s:row>
    <s:row r="44" spans="1:260" ht="15" customHeight="1">
      <s:c r="A44" s="80">
        <s:v>19</s:v>
      </s:c>
      <s:c r="B44" s="81">
        <s:v>46142</s:v>
      </s:c>
      <s:c r="C44" s="82" t="s">
        <s:v>57</s:v>
      </s:c>
      <s:c r="D44" s="596">
        <s:f>143203+L44</s:f>
        <s:v>169903</s:v>
      </s:c>
      <s:c r="E44" s="85">
        <s:v>13</s:v>
      </s:c>
      <s:c r="F44" s="85">
        <s:f>IF(AND(E44&lt;&gt;"",E44&lt;&gt;0),D44/E44,"")</s:f>
        <s:v>13069.461538461539</s:v>
      </s:c>
      <s:c r="G44" s="85">
        <s:v>6</s:v>
      </s:c>
      <s:c r="H44" s="85">
        <s:f>IF(AND(G44&lt;&gt;"",G44&lt;&gt;0),D44/G44,"")</s:f>
        <s:v>28317.166666666668</s:v>
      </s:c>
      <s:c r="I44" s="85">
        <s:v>70</s:v>
      </s:c>
      <s:c r="J44" s="83">
        <s:f>IF(AND(G44&lt;&gt;"",G44&lt;&gt;0),E44/G44,"")</s:f>
        <s:v>2.1666666666666599</s:v>
      </s:c>
      <s:c r="K44" s="85">
        <s:v>29984</s:v>
      </s:c>
      <s:c r="L44" s="85">
        <s:v>26700</s:v>
      </s:c>
      <s:c r="M44" s="85"/>
      <s:c r="N44" s="85"/>
      <s:c r="O44" s="85">
        <s:v>87458</s:v>
      </s:c>
      <s:c r="P44" s="85"/>
      <s:c r="Q44" s="85"/>
      <s:c r="R44" s="588">
        <s:v>6490</s:v>
      </s:c>
      <s:c r="S44" s="86">
        <s:f>IF(AND(I44&lt;&gt;"",I44&lt;&gt;0),G44/I44,"")</s:f>
        <s:v>8.5714285714285701E-2</s:v>
      </s:c>
      <s:c r="T44" s="87" t="e">
        <s:f>D44/U44</s:f>
        <s:v>#DIV/0!</s:v>
      </s:c>
      <s:c r="U44" s="224">
        <s:f>$L$8*AA44*AB44/SUMPRODUCT($AB$25:$AB$56,$AA$25:$AA$56)</s:f>
        <s:v>0</s:v>
      </s:c>
      <s:c r="V44" s="89">
        <s:f>$L$9*AA44*AB44/SUMPRODUCT($AB$25:$AB$58,$AA$25:$AA$58)</s:f>
        <s:v>0</s:v>
      </s:c>
      <s:c r="W44" s="89">
        <s:f>IF($L$12="","",V44/$L$12)</s:f>
        <s:v>0</s:v>
      </s:c>
      <s:c r="X44" s="88" t="str">
        <s:f>IF(AB44&lt;&gt;"",IF(D44&lt;&gt;"",D44,($L$8-SUM($X$25:X43))*AA44*AB44/SUMPRODUCT($AB44:$AB$58,$AA44:$AA$58)),"")</s:f>
        <s:v/>
      </s:c>
      <s:c r="Y44" s="89" t="str">
        <s:f>IF(AB44&lt;&gt;"",IF(E44&lt;&gt;"",E44,($L$9-SUM($Y$25:Y43))*AA44*AB44/SUMPRODUCT($AB44:$AB$58,$AA44:$AA$58)),"")</s:f>
        <s:v/>
      </s:c>
      <s:c r="Z44" s="89" t="str">
        <s:f>IF(AB44&lt;&gt;"",IF($L$12&lt;&gt;"",IF(G44&lt;&gt;"",G44,($L$9/$L$12-SUM($Z$25:Z43))*AA44*AB44/SUMPRODUCT($AB44:$AB$58,$AA44:$AA$58)),""),"")</s:f>
        <s:v/>
      </s:c>
      <s:c r="AA44" s="90"/>
      <s:c r="AB44" s="90"/>
      <s:c r="AC44" s="91"/>
      <s:c r="AD44" s="92"/>
      <s:c r="AE44" s="93"/>
      <s:c r="AF44" s="2"/>
      <s:c r="AG44" s="2"/>
      <s:c r="AH44" s="2"/>
      <s:c r="AI44" s="2"/>
      <s:c r="AJ44" s="2"/>
      <s:c r="AK44" s="2"/>
      <s:c r="AL44" s="2"/>
    </s:row>
    <s:row r="45" spans="1:260" ht="15" customHeight="1">
      <s:c r="A45" s="80">
        <s:v>20</s:v>
      </s:c>
      <s:c r="B45" s="81"/>
      <s:c r="C45" s="82"/>
      <s:c r="D45" s="83"/>
      <s:c r="E45" s="85"/>
      <s:c r="F45" s="85" t="str">
        <s:f>IF(AND(E45&lt;&gt;"",E45&lt;&gt;0),D45/E45,"")</s:f>
        <s:v/>
      </s:c>
      <s:c r="G45" s="85"/>
      <s:c r="H45" s="85" t="str">
        <s:f>IF(AND(G45&lt;&gt;"",G45&lt;&gt;0),D45/G45,"")</s:f>
        <s:v/>
      </s:c>
      <s:c r="I45" s="85"/>
      <s:c r="J45" s="83" t="str">
        <s:f>IF(AND(G45&lt;&gt;"",G45&lt;&gt;0),E45/G45,"")</s:f>
        <s:v/>
      </s:c>
      <s:c r="K45" s="85"/>
      <s:c r="L45" s="85"/>
      <s:c r="M45" s="85"/>
      <s:c r="N45" s="85"/>
      <s:c r="O45" s="85"/>
      <s:c r="P45" s="85"/>
      <s:c r="Q45" s="85"/>
      <s:c r="R45" s="85"/>
      <s:c r="S45" s="86" t="str">
        <s:f>IF(AND(I45&lt;&gt;"",I45&lt;&gt;0),G45/I45,"")</s:f>
        <s:v/>
      </s:c>
      <s:c r="T45" s="87" t="e">
        <s:f>D45/U45</s:f>
        <s:v>#DIV/0!</s:v>
      </s:c>
      <s:c r="U45" s="88">
        <s:f>$L$8*AA45*AB45/SUMPRODUCT($AB$25:$AB$56,$AA$25:$AA$56)</s:f>
        <s:v>0</s:v>
      </s:c>
      <s:c r="V45" s="89">
        <s:f>$L$9*AA45*AB45/SUMPRODUCT($AB$25:$AB$58,$AA$25:$AA$58)</s:f>
        <s:v>0</s:v>
      </s:c>
      <s:c r="W45" s="89">
        <s:f>IF($L$12="","",V45/$L$12)</s:f>
        <s:v>0</s:v>
      </s:c>
      <s:c r="X45" s="88" t="str">
        <s:f>IF(AB45&lt;&gt;"",IF(D45&lt;&gt;"",D45,($L$8-SUM($X$25:X44))*AA45*AB45/SUMPRODUCT($AB45:$AB$58,$AA45:$AA$58)),"")</s:f>
        <s:v/>
      </s:c>
      <s:c r="Y45" s="89" t="str">
        <s:f>IF(AB45&lt;&gt;"",IF(E45&lt;&gt;"",E45,($L$9-SUM($Y$25:Y44))*AA45*AB45/SUMPRODUCT($AB45:$AB$58,$AA45:$AA$58)),"")</s:f>
        <s:v/>
      </s:c>
      <s:c r="Z45" s="89" t="str">
        <s:f>IF(AB45&lt;&gt;"",IF($L$12&lt;&gt;"",IF(G45&lt;&gt;"",G45,($L$9/$L$12-SUM($Z$25:Z44))*AA45*AB45/SUMPRODUCT($AB45:$AB$58,$AA45:$AA$58)),""),"")</s:f>
        <s:v/>
      </s:c>
      <s:c r="AA45" s="90"/>
      <s:c r="AB45" s="90"/>
      <s:c r="AC45" s="91"/>
      <s:c r="AD45" s="92"/>
      <s:c r="AE45" s="93"/>
      <s:c r="AF45" s="2"/>
      <s:c r="AG45" s="2"/>
      <s:c r="AH45" s="2"/>
      <s:c r="AI45" s="2"/>
      <s:c r="AJ45" s="2"/>
      <s:c r="AK45" s="2"/>
      <s:c r="AL45" s="2"/>
    </s:row>
    <s:row r="46" spans="1:260" ht="15" customHeight="1">
      <s:c r="A46" s="80">
        <s:v>21</s:v>
      </s:c>
      <s:c r="B46" s="81"/>
      <s:c r="C46" s="82"/>
      <s:c r="D46" s="83"/>
      <s:c r="E46" s="85"/>
      <s:c r="F46" s="85" t="str">
        <s:f>IF(AND(E46&lt;&gt;"",E46&lt;&gt;0),D46/E46,"")</s:f>
        <s:v/>
      </s:c>
      <s:c r="G46" s="85"/>
      <s:c r="H46" s="85" t="str">
        <s:f>IF(AND(G46&lt;&gt;"",G46&lt;&gt;0),D46/G46,"")</s:f>
        <s:v/>
      </s:c>
      <s:c r="I46" s="85"/>
      <s:c r="J46" s="83" t="str">
        <s:f>IF(AND(G46&lt;&gt;"",G46&lt;&gt;0),E46/G46,"")</s:f>
        <s:v/>
      </s:c>
      <s:c r="K46" s="85"/>
      <s:c r="L46" s="85"/>
      <s:c r="M46" s="85"/>
      <s:c r="N46" s="85"/>
      <s:c r="O46" s="85"/>
      <s:c r="P46" s="85"/>
      <s:c r="Q46" s="85"/>
      <s:c r="R46" s="85"/>
      <s:c r="S46" s="86" t="str">
        <s:f>IF(AND(I46&lt;&gt;"",I46&lt;&gt;0),G46/I46,"")</s:f>
        <s:v/>
      </s:c>
      <s:c r="T46" s="87" t="e">
        <s:f>D46/U46</s:f>
        <s:v>#DIV/0!</s:v>
      </s:c>
      <s:c r="U46" s="224">
        <s:f>$L$8*AA46*AB46/SUMPRODUCT($AB$25:$AB$56,$AA$25:$AA$56)</s:f>
        <s:v>0</s:v>
      </s:c>
      <s:c r="V46" s="89">
        <s:f>$L$9*AA46*AB46/SUMPRODUCT($AB$25:$AB$58,$AA$25:$AA$58)</s:f>
        <s:v>0</s:v>
      </s:c>
      <s:c r="W46" s="89">
        <s:f>IF($L$12="","",V46/$L$12)</s:f>
        <s:v>0</s:v>
      </s:c>
      <s:c r="X46" s="88" t="str">
        <s:f>IF(AB46&lt;&gt;"",IF(D46&lt;&gt;"",D46,($L$8-SUM($X$25:X45))*AA46*AB46/SUMPRODUCT($AB46:$AB$58,$AA46:$AA$58)),"")</s:f>
        <s:v/>
      </s:c>
      <s:c r="Y46" s="89" t="str">
        <s:f>IF(AB46&lt;&gt;"",IF(E46&lt;&gt;"",E46,($L$9-SUM($Y$25:Y45))*AA46*AB46/SUMPRODUCT($AB46:$AB$58,$AA46:$AA$58)),"")</s:f>
        <s:v/>
      </s:c>
      <s:c r="Z46" s="89" t="str">
        <s:f>IF(AB46&lt;&gt;"",IF($L$12&lt;&gt;"",IF(G46&lt;&gt;"",G46,($L$9/$L$12-SUM($Z$25:Z45))*AA46*AB46/SUMPRODUCT($AB46:$AB$58,$AA46:$AA$58)),""),"")</s:f>
        <s:v/>
      </s:c>
      <s:c r="AA46" s="90"/>
      <s:c r="AB46" s="90"/>
      <s:c r="AC46" s="91"/>
      <s:c r="AD46" s="92"/>
      <s:c r="AE46" s="93"/>
      <s:c r="AJ46" s="2"/>
      <s:c r="AK46" s="2"/>
      <s:c r="AL46" s="2"/>
    </s:row>
    <s:row r="47" spans="1:260" ht="15" customHeight="1">
      <s:c r="A47" s="80">
        <s:v>22</s:v>
      </s:c>
      <s:c r="B47" s="81"/>
      <s:c r="C47" s="82"/>
      <s:c r="D47" s="83"/>
      <s:c r="E47" s="85"/>
      <s:c r="F47" s="85" t="str">
        <s:f>IF(AND(E47&lt;&gt;"",E47&lt;&gt;0),D47/E47,"")</s:f>
        <s:v/>
      </s:c>
      <s:c r="G47" s="85"/>
      <s:c r="H47" s="85" t="str">
        <s:f>IF(AND(G47&lt;&gt;"",G47&lt;&gt;0),D47/G47,"")</s:f>
        <s:v/>
      </s:c>
      <s:c r="I47" s="85"/>
      <s:c r="J47" s="83" t="str">
        <s:f>IF(AND(G47&lt;&gt;"",G47&lt;&gt;0),E47/G47,"")</s:f>
        <s:v/>
      </s:c>
      <s:c r="K47" s="85"/>
      <s:c r="L47" s="85"/>
      <s:c r="M47" s="85"/>
      <s:c r="N47" s="85"/>
      <s:c r="O47" s="85"/>
      <s:c r="P47" s="85"/>
      <s:c r="Q47" s="85"/>
      <s:c r="R47" s="85"/>
      <s:c r="S47" s="86" t="str">
        <s:f>IF(AND(I47&lt;&gt;"",I47&lt;&gt;0),G47/I47,"")</s:f>
        <s:v/>
      </s:c>
      <s:c r="T47" s="87" t="e">
        <s:f>D47/U47</s:f>
        <s:v>#DIV/0!</s:v>
      </s:c>
      <s:c r="U47" s="88">
        <s:f>$L$8*AA47*AB47/SUMPRODUCT($AB$25:$AB$56,$AA$25:$AA$56)</s:f>
        <s:v>0</s:v>
      </s:c>
      <s:c r="V47" s="89">
        <s:f>$L$9*AA47*AB47/SUMPRODUCT($AB$25:$AB$58,$AA$25:$AA$58)</s:f>
        <s:v>0</s:v>
      </s:c>
      <s:c r="W47" s="89">
        <s:f>IF($L$12="","",V47/$L$12)</s:f>
        <s:v>0</s:v>
      </s:c>
      <s:c r="X47" s="88" t="str">
        <s:f>IF(AB47&lt;&gt;"",IF(D47&lt;&gt;"",D47,($L$8-SUM($X$25:X46))*AA47*AB47/SUMPRODUCT($AB47:$AB$58,$AA47:$AA$58)),"")</s:f>
        <s:v/>
      </s:c>
      <s:c r="Y47" s="89" t="str">
        <s:f>IF(AB47&lt;&gt;"",IF(E47&lt;&gt;"",E47,($L$9-SUM($Y$25:Y46))*AA47*AB47/SUMPRODUCT($AB47:$AB$58,$AA47:$AA$58)),"")</s:f>
        <s:v/>
      </s:c>
      <s:c r="Z47" s="89" t="str">
        <s:f>IF(AB47&lt;&gt;"",IF($L$12&lt;&gt;"",IF(G47&lt;&gt;"",G47,($L$9/$L$12-SUM($Z$25:Z46))*AA47*AB47/SUMPRODUCT($AB47:$AB$58,$AA47:$AA$58)),""),"")</s:f>
        <s:v/>
      </s:c>
      <s:c r="AA47" s="90"/>
      <s:c r="AB47" s="90"/>
      <s:c r="AC47" s="91"/>
      <s:c r="AD47" s="92"/>
      <s:c r="AE47" s="93"/>
      <s:c r="AF47" s="2"/>
      <s:c r="AG47" s="2"/>
      <s:c r="AH47" s="2"/>
      <s:c r="AI47" s="2"/>
      <s:c r="AJ47" s="2"/>
      <s:c r="AK47" s="2"/>
      <s:c r="AL47" s="2"/>
    </s:row>
    <s:row r="48" spans="1:260" ht="15" customHeight="1">
      <s:c r="A48" s="80">
        <s:v>23</s:v>
      </s:c>
      <s:c r="B48" s="81"/>
      <s:c r="C48" s="82"/>
      <s:c r="D48" s="83"/>
      <s:c r="E48" s="85"/>
      <s:c r="F48" s="85" t="str">
        <s:f>IF(AND(E48&lt;&gt;"",E48&lt;&gt;0),D48/E48,"")</s:f>
        <s:v/>
      </s:c>
      <s:c r="G48" s="85"/>
      <s:c r="H48" s="85" t="str">
        <s:f>IF(AND(G48&lt;&gt;"",G48&lt;&gt;0),D48/G48,"")</s:f>
        <s:v/>
      </s:c>
      <s:c r="I48" s="85"/>
      <s:c r="J48" s="83" t="str">
        <s:f>IF(AND(G48&lt;&gt;"",G48&lt;&gt;0),E48/G48,"")</s:f>
        <s:v/>
      </s:c>
      <s:c r="K48" s="85"/>
      <s:c r="L48" s="85"/>
      <s:c r="M48" s="85"/>
      <s:c r="N48" s="85"/>
      <s:c r="O48" s="85"/>
      <s:c r="P48" s="85"/>
      <s:c r="Q48" s="85"/>
      <s:c r="R48" s="85"/>
      <s:c r="S48" s="86" t="str">
        <s:f>IF(AND(I48&lt;&gt;"",I48&lt;&gt;0),G48/I48,"")</s:f>
        <s:v/>
      </s:c>
      <s:c r="T48" s="87" t="e">
        <s:f>D48/U48</s:f>
        <s:v>#DIV/0!</s:v>
      </s:c>
      <s:c r="U48" s="224">
        <s:f>$L$8*AA48*AB48/SUMPRODUCT($AB$25:$AB$56,$AA$25:$AA$56)</s:f>
        <s:v>0</s:v>
      </s:c>
      <s:c r="V48" s="89">
        <s:f>$L$9*AA48*AB48/SUMPRODUCT($AB$25:$AB$58,$AA$25:$AA$58)</s:f>
        <s:v>0</s:v>
      </s:c>
      <s:c r="W48" s="89">
        <s:f>IF($L$12="","",V48/$L$12)</s:f>
        <s:v>0</s:v>
      </s:c>
      <s:c r="X48" s="88" t="str">
        <s:f>IF(AB48&lt;&gt;"",IF(D48&lt;&gt;"",D48,($L$8-SUM($X$25:X47))*AA48*AB48/SUMPRODUCT($AB48:$AB$58,$AA48:$AA$58)),"")</s:f>
        <s:v/>
      </s:c>
      <s:c r="Y48" s="89" t="str">
        <s:f>IF(AB48&lt;&gt;"",IF(E48&lt;&gt;"",E48,($L$9-SUM($Y$25:Y47))*AA48*AB48/SUMPRODUCT($AB48:$AB$58,$AA48:$AA$58)),"")</s:f>
        <s:v/>
      </s:c>
      <s:c r="Z48" s="89" t="str">
        <s:f>IF(AB48&lt;&gt;"",IF($L$12&lt;&gt;"",IF(G48&lt;&gt;"",G48,($L$9/$L$12-SUM($Z$25:Z47))*AA48*AB48/SUMPRODUCT($AB48:$AB$58,$AA48:$AA$58)),""),"")</s:f>
        <s:v/>
      </s:c>
      <s:c r="AA48" s="90"/>
      <s:c r="AB48" s="90"/>
      <s:c r="AC48" s="91"/>
      <s:c r="AD48" s="92"/>
      <s:c r="AE48" s="93"/>
      <s:c r="AF48" s="2"/>
      <s:c r="AG48" s="2"/>
      <s:c r="AH48" s="2"/>
      <s:c r="AI48" s="2"/>
      <s:c r="AJ48" s="2"/>
      <s:c r="AK48" s="2"/>
      <s:c r="AL48" s="2"/>
    </s:row>
    <s:row r="49" spans="1:38" ht="15" customHeight="1">
      <s:c r="A49" s="80">
        <s:v>24</s:v>
      </s:c>
      <s:c r="B49" s="81"/>
      <s:c r="C49" s="82"/>
      <s:c r="D49" s="83"/>
      <s:c r="E49" s="85"/>
      <s:c r="F49" s="85"/>
      <s:c r="G49" s="85"/>
      <s:c r="H49" s="85" t="str">
        <s:f>IF(AND(G49&lt;&gt;"",G49&lt;&gt;0),D49/G49,"")</s:f>
        <s:v/>
      </s:c>
      <s:c r="I49" s="85"/>
      <s:c r="J49" s="83" t="str">
        <s:f>IF(AND(G49&lt;&gt;"",G49&lt;&gt;0),E49/G49,"")</s:f>
        <s:v/>
      </s:c>
      <s:c r="K49" s="85"/>
      <s:c r="L49" s="85"/>
      <s:c r="M49" s="85"/>
      <s:c r="N49" s="85"/>
      <s:c r="O49" s="85"/>
      <s:c r="P49" s="85"/>
      <s:c r="Q49" s="85"/>
      <s:c r="R49" s="85"/>
      <s:c r="S49" s="86" t="str">
        <s:f>IF(AND(I49&lt;&gt;"",I49&lt;&gt;0),G49/I49,"")</s:f>
        <s:v/>
      </s:c>
      <s:c r="T49" s="87" t="e">
        <s:f>D49/U49</s:f>
        <s:v>#DIV/0!</s:v>
      </s:c>
      <s:c r="U49" s="88">
        <s:f>$L$8*AA49*AB49/SUMPRODUCT($AB$25:$AB$56,$AA$25:$AA$56)</s:f>
        <s:v>0</s:v>
      </s:c>
      <s:c r="V49" s="89">
        <s:f>$L$9*AA49*AB49/SUMPRODUCT($AB$25:$AB$58,$AA$25:$AA$58)</s:f>
        <s:v>0</s:v>
      </s:c>
      <s:c r="W49" s="89">
        <s:f>IF($L$12="","",V49/$L$12)</s:f>
        <s:v>0</s:v>
      </s:c>
      <s:c r="X49" s="88" t="str">
        <s:f>IF(AB49&lt;&gt;"",IF(D49&lt;&gt;"",D49,($L$8-SUM($X$25:X48))*AA49*AB49/SUMPRODUCT($AB49:$AB$58,$AA49:$AA$58)),"")</s:f>
        <s:v/>
      </s:c>
      <s:c r="Y49" s="89" t="str">
        <s:f>IF(AB49&lt;&gt;"",IF(E49&lt;&gt;"",E49,($L$9-SUM($Y$25:Y48))*AA49*AB49/SUMPRODUCT($AB49:$AB$58,$AA49:$AA$58)),"")</s:f>
        <s:v/>
      </s:c>
      <s:c r="Z49" s="89" t="str">
        <s:f>IF(AB49&lt;&gt;"",IF($L$12&lt;&gt;"",IF(G49&lt;&gt;"",G49,($L$9/$L$12-SUM($Z$25:Z48))*AA49*AB49/SUMPRODUCT($AB49:$AB$58,$AA49:$AA$58)),""),"")</s:f>
        <s:v/>
      </s:c>
      <s:c r="AA49" s="90"/>
      <s:c r="AB49" s="90"/>
      <s:c r="AC49" s="91"/>
      <s:c r="AD49" s="92"/>
      <s:c r="AE49" s="93"/>
      <s:c r="AF49" s="2"/>
      <s:c r="AG49" s="2"/>
      <s:c r="AH49" s="2"/>
      <s:c r="AI49" s="2"/>
      <s:c r="AJ49" s="2"/>
      <s:c r="AK49" s="2"/>
      <s:c r="AL49" s="2"/>
    </s:row>
    <s:row r="50" spans="1:38" ht="15" customHeight="1">
      <s:c r="A50" s="80"/>
      <s:c r="B50" s="81"/>
      <s:c r="C50" s="82"/>
      <s:c r="D50" s="83"/>
      <s:c r="E50" s="85"/>
      <s:c r="F50" s="85" t="str">
        <s:f>IF(AND(E50&lt;&gt;"",E50&lt;&gt;0),D50/E50,"")</s:f>
        <s:v/>
      </s:c>
      <s:c r="G50" s="85"/>
      <s:c r="H50" s="85" t="str">
        <s:f>IF(AND(G50&lt;&gt;"",G50&lt;&gt;0),D50/G50,"")</s:f>
        <s:v/>
      </s:c>
      <s:c r="I50" s="85"/>
      <s:c r="J50" s="83" t="str">
        <s:f>IF(AND(G50&lt;&gt;"",G50&lt;&gt;0),E50/G50,"")</s:f>
        <s:v/>
      </s:c>
      <s:c r="K50" s="85"/>
      <s:c r="L50" s="85"/>
      <s:c r="M50" s="85"/>
      <s:c r="N50" s="85"/>
      <s:c r="O50" s="85"/>
      <s:c r="P50" s="85"/>
      <s:c r="Q50" s="85"/>
      <s:c r="R50" s="85"/>
      <s:c r="S50" s="86" t="str">
        <s:f>IF(AND(I50&lt;&gt;"",I50&lt;&gt;0),G50/I50,"")</s:f>
        <s:v/>
      </s:c>
      <s:c r="T50" s="87" t="e">
        <s:f>D50/U50</s:f>
        <s:v>#DIV/0!</s:v>
      </s:c>
      <s:c r="U50" s="88">
        <s:f>$L$8*AA50*AB50/SUMPRODUCT($AB$25:$AB$56,$AA$25:$AA$56)</s:f>
        <s:v>0</s:v>
      </s:c>
      <s:c r="V50" s="89">
        <s:f>$L$9*AA50*AB50/SUMPRODUCT($AB$25:$AB$58,$AA$25:$AA$58)</s:f>
        <s:v>0</s:v>
      </s:c>
      <s:c r="W50" s="89">
        <s:f>IF($L$12="","",V50/$L$12)</s:f>
        <s:v>0</s:v>
      </s:c>
      <s:c r="X50" s="88" t="str">
        <s:f>IF(AB50&lt;&gt;"",IF(D50&lt;&gt;"",D50,($L$8-SUM($X$25:X49))*AA50*AB50/SUMPRODUCT($AB50:$AB$58,$AA50:$AA$58)),"")</s:f>
        <s:v/>
      </s:c>
      <s:c r="Y50" s="89" t="str">
        <s:f>IF(AB50&lt;&gt;"",IF(E50&lt;&gt;"",E50,($L$9-SUM($Y$25:Y49))*AA50*AB50/SUMPRODUCT($AB50:$AB$58,$AA50:$AA$58)),"")</s:f>
        <s:v/>
      </s:c>
      <s:c r="Z50" s="89" t="str">
        <s:f>IF(AB50&lt;&gt;"",IF($L$12&lt;&gt;"",IF(G50&lt;&gt;"",G50,($L$9/$L$12-SUM($Z$25:Z49))*AA50*AB50/SUMPRODUCT($AB50:$AB$58,$AA50:$AA$58)),""),"")</s:f>
        <s:v/>
      </s:c>
      <s:c r="AA50" s="90"/>
      <s:c r="AB50" s="90"/>
      <s:c r="AC50" s="91"/>
      <s:c r="AD50" s="92"/>
      <s:c r="AE50" s="93"/>
      <s:c r="AF50" s="2"/>
      <s:c r="AG50" s="2"/>
      <s:c r="AH50" s="2"/>
      <s:c r="AI50" s="2"/>
      <s:c r="AJ50" s="2"/>
      <s:c r="AK50" s="2"/>
      <s:c r="AL50" s="2"/>
    </s:row>
    <s:row r="51">
      <s:c r="A51" s="80"/>
      <s:c r="B51" s="81"/>
      <s:c r="C51" s="82"/>
      <s:c r="D51" s="83"/>
      <s:c r="E51" s="85"/>
      <s:c r="F51" s="85" t="str">
        <s:f>IF(AND(E51&lt;&gt;"",E51&lt;&gt;0),D51/E51,"")</s:f>
        <s:v/>
      </s:c>
      <s:c r="G51" s="85"/>
      <s:c r="H51" s="85" t="str">
        <s:f>IF(AND(G51&lt;&gt;"",G51&lt;&gt;0),D51/G51,"")</s:f>
        <s:v/>
      </s:c>
      <s:c r="I51" s="85"/>
      <s:c r="J51" s="83" t="str">
        <s:f>IF(AND(G51&lt;&gt;"",G51&lt;&gt;0),E51/G51,"")</s:f>
        <s:v/>
      </s:c>
      <s:c r="K51" s="85"/>
      <s:c r="L51" s="85"/>
      <s:c r="M51" s="85"/>
      <s:c r="N51" s="85"/>
      <s:c r="O51" s="85"/>
      <s:c r="P51" s="85"/>
      <s:c r="Q51" s="85"/>
      <s:c r="R51" s="85"/>
      <s:c r="S51" s="86" t="str">
        <s:f>IF(AND(I51&lt;&gt;"",I51&lt;&gt;0),G51/I51,"")</s:f>
        <s:v/>
      </s:c>
      <s:c r="T51" s="87" t="e">
        <s:f>D51/U51</s:f>
        <s:v>#DIV/0!</s:v>
      </s:c>
      <s:c r="U51" s="88">
        <s:f>$L$8*AA51*AB51/SUMPRODUCT($AB$25:$AB$56,$AA$25:$AA$56)</s:f>
        <s:v>0</s:v>
      </s:c>
      <s:c r="V51" s="89">
        <s:f>$L$9*AA51*AB51/SUMPRODUCT($AB$25:$AB$58,$AA$25:$AA$58)</s:f>
        <s:v>0</s:v>
      </s:c>
      <s:c r="W51" s="89">
        <s:f>IF($L$12="","",V51/$L$12)</s:f>
        <s:v>0</s:v>
      </s:c>
      <s:c r="X51" s="88" t="str">
        <s:f>IF(AB51&lt;&gt;"",IF(D51&lt;&gt;"",D51,($L$8-SUM($X$25:X50))*AA51*AB51/SUMPRODUCT($AB51:$AB$58,$AA51:$AA$58)),"")</s:f>
        <s:v/>
      </s:c>
      <s:c r="Y51" s="89" t="str">
        <s:f>IF(AB51&lt;&gt;"",IF(E51&lt;&gt;"",E51,($L$9-SUM($Y$25:Y50))*AA51*AB51/SUMPRODUCT($AB51:$AB$58,$AA51:$AA$58)),"")</s:f>
        <s:v/>
      </s:c>
      <s:c r="Z51" s="89" t="str">
        <s:f>IF(AB51&lt;&gt;"",IF($L$12&lt;&gt;"",IF(G51&lt;&gt;"",G51,($L$9/$L$12-SUM($Z$25:Z50))*AA51*AB51/SUMPRODUCT($AB51:$AB$58,$AA51:$AA$58)),""),"")</s:f>
        <s:v/>
      </s:c>
      <s:c r="AA51" s="90"/>
      <s:c r="AB51" s="90"/>
      <s:c r="AC51" s="91"/>
      <s:c r="AD51" s="92"/>
      <s:c r="AE51" s="93"/>
      <s:c r="AF51" s="2"/>
      <s:c r="AG51" s="2"/>
      <s:c r="AH51" s="2"/>
      <s:c r="AI51" s="2"/>
      <s:c r="AJ51" s="2"/>
      <s:c r="AK51" s="2"/>
      <s:c r="AL51" s="2"/>
    </s:row>
    <s:row r="52">
      <s:c r="A52" s="80"/>
      <s:c r="B52" s="81"/>
      <s:c r="C52" s="82"/>
      <s:c r="D52" s="83"/>
      <s:c r="E52" s="85"/>
      <s:c r="F52" s="85" t="str">
        <s:f>IF(AND(E52&lt;&gt;"",E52&lt;&gt;0),D52/E52,"")</s:f>
        <s:v/>
      </s:c>
      <s:c r="G52" s="85"/>
      <s:c r="H52" s="85" t="str">
        <s:f>IF(AND(G52&lt;&gt;"",G52&lt;&gt;0),D52/G52,"")</s:f>
        <s:v/>
      </s:c>
      <s:c r="I52" s="85"/>
      <s:c r="J52" s="83" t="str">
        <s:f>IF(AND(G52&lt;&gt;"",G52&lt;&gt;0),E52/G52,"")</s:f>
        <s:v/>
      </s:c>
      <s:c r="K52" s="85"/>
      <s:c r="L52" s="85"/>
      <s:c r="M52" s="85"/>
      <s:c r="N52" s="85"/>
      <s:c r="O52" s="85"/>
      <s:c r="P52" s="85"/>
      <s:c r="Q52" s="85"/>
      <s:c r="R52" s="85"/>
      <s:c r="S52" s="86" t="str">
        <s:f>IF(AND(I52&lt;&gt;"",I52&lt;&gt;0),G52/I52,"")</s:f>
        <s:v/>
      </s:c>
      <s:c r="T52" s="87" t="e">
        <s:f>D52/U52</s:f>
        <s:v>#DIV/0!</s:v>
      </s:c>
      <s:c r="U52" s="88">
        <s:f>$L$8*AA52*AB52/SUMPRODUCT($AB$25:$AB$56,$AA$25:$AA$56)</s:f>
        <s:v>0</s:v>
      </s:c>
      <s:c r="V52" s="89">
        <s:f>$L$9*AA52*AB52/SUMPRODUCT($AB$25:$AB$58,$AA$25:$AA$58)</s:f>
        <s:v>0</s:v>
      </s:c>
      <s:c r="W52" s="89">
        <s:f>IF($L$12="","",V52/$L$12)</s:f>
        <s:v>0</s:v>
      </s:c>
      <s:c r="X52" s="88" t="str">
        <s:f>IF(AB52&lt;&gt;"",IF(D52&lt;&gt;"",D52,($L$8-SUM($X$25:X51))*AA52*AB52/SUMPRODUCT($AB52:$AB$58,$AA52:$AA$58)),"")</s:f>
        <s:v/>
      </s:c>
      <s:c r="Y52" s="89" t="str">
        <s:f>IF(AB52&lt;&gt;"",IF(E52&lt;&gt;"",E52,($L$9-SUM($Y$25:Y51))*AA52*AB52/SUMPRODUCT($AB52:$AB$58,$AA52:$AA$58)),"")</s:f>
        <s:v/>
      </s:c>
      <s:c r="Z52" s="89" t="str">
        <s:f>IF(AB52&lt;&gt;"",IF($L$12&lt;&gt;"",IF(G52&lt;&gt;"",G52,($L$9/$L$12-SUM($Z$25:Z51))*AA52*AB52/SUMPRODUCT($AB52:$AB$58,$AA52:$AA$58)),""),"")</s:f>
        <s:v/>
      </s:c>
      <s:c r="AA52" s="90"/>
      <s:c r="AB52" s="90"/>
      <s:c r="AC52" s="91"/>
      <s:c r="AD52" s="92"/>
      <s:c r="AE52" s="93"/>
      <s:c r="AF52" s="2"/>
      <s:c r="AG52" s="2"/>
      <s:c r="AH52" s="2"/>
      <s:c r="AI52" s="2"/>
      <s:c r="AJ52" s="2"/>
      <s:c r="AK52" s="2"/>
      <s:c r="AL52" s="2"/>
    </s:row>
    <s:row r="53">
      <s:c r="A53" s="80"/>
      <s:c r="B53" s="81"/>
      <s:c r="C53" s="82"/>
      <s:c r="D53" s="83"/>
      <s:c r="E53" s="85"/>
      <s:c r="F53" s="85" t="str">
        <s:f>IF(AND(E53&lt;&gt;"",E53&lt;&gt;0),D53/E53,"")</s:f>
        <s:v/>
      </s:c>
      <s:c r="G53" s="85"/>
      <s:c r="H53" s="85" t="str">
        <s:f>IF(AND(G53&lt;&gt;"",G53&lt;&gt;0),D53/G53,"")</s:f>
        <s:v/>
      </s:c>
      <s:c r="I53" s="85"/>
      <s:c r="J53" s="83" t="str">
        <s:f>IF(AND(G53&lt;&gt;"",G53&lt;&gt;0),E53/G53,"")</s:f>
        <s:v/>
      </s:c>
      <s:c r="K53" s="85"/>
      <s:c r="L53" s="85"/>
      <s:c r="M53" s="85"/>
      <s:c r="N53" s="85"/>
      <s:c r="O53" s="85"/>
      <s:c r="P53" s="85"/>
      <s:c r="Q53" s="85"/>
      <s:c r="R53" s="85"/>
      <s:c r="S53" s="86" t="str">
        <s:f>IF(AND(I53&lt;&gt;"",I53&lt;&gt;0),G53/I53,"")</s:f>
        <s:v/>
      </s:c>
      <s:c r="T53" s="87" t="e">
        <s:f>D53/U53</s:f>
        <s:v>#DIV/0!</s:v>
      </s:c>
      <s:c r="U53" s="88">
        <s:f>$L$8*AA53*AB53/SUMPRODUCT($AB$25:$AB$56,$AA$25:$AA$56)</s:f>
        <s:v>0</s:v>
      </s:c>
      <s:c r="V53" s="89">
        <s:f>$L$9*AA53*AB53/SUMPRODUCT($AB$25:$AB$58,$AA$25:$AA$58)</s:f>
        <s:v>0</s:v>
      </s:c>
      <s:c r="W53" s="89">
        <s:f>IF($L$12="","",V53/$L$12)</s:f>
        <s:v>0</s:v>
      </s:c>
      <s:c r="X53" s="88" t="str">
        <s:f>IF(AB53&lt;&gt;"",IF(D53&lt;&gt;"",D53,($L$8-SUM($X$25:X52))*AA53*AB53/SUMPRODUCT($AB53:$AB$58,$AA53:$AA$58)),"")</s:f>
        <s:v/>
      </s:c>
      <s:c r="Y53" s="89" t="str">
        <s:f>IF(AB53&lt;&gt;"",IF(E53&lt;&gt;"",E53,($L$9-SUM($Y$25:Y52))*AA53*AB53/SUMPRODUCT($AB53:$AB$58,$AA53:$AA$58)),"")</s:f>
        <s:v/>
      </s:c>
      <s:c r="Z53" s="89" t="str">
        <s:f>IF(AB53&lt;&gt;"",IF($L$12&lt;&gt;"",IF(G53&lt;&gt;"",G53,($L$9/$L$12-SUM($Z$25:Z52))*AA53*AB53/SUMPRODUCT($AB53:$AB$58,$AA53:$AA$58)),""),"")</s:f>
        <s:v/>
      </s:c>
      <s:c r="AA53" s="90"/>
      <s:c r="AB53" s="90"/>
      <s:c r="AC53" s="91"/>
      <s:c r="AD53" s="92"/>
      <s:c r="AE53" s="93"/>
      <s:c r="AF53" s="2"/>
      <s:c r="AG53" s="2"/>
      <s:c r="AH53" s="2"/>
      <s:c r="AI53" s="2"/>
      <s:c r="AJ53" s="2"/>
      <s:c r="AK53" s="2"/>
      <s:c r="AL53" s="2"/>
    </s:row>
    <s:row r="54">
      <s:c r="A54" s="80"/>
      <s:c r="B54" s="81"/>
      <s:c r="C54" s="82"/>
      <s:c r="D54" s="83"/>
      <s:c r="E54" s="85"/>
      <s:c r="F54" s="85" t="str">
        <s:f>IF(AND(E54&lt;&gt;"",E54&lt;&gt;0),D54/E54,"")</s:f>
        <s:v/>
      </s:c>
      <s:c r="G54" s="85"/>
      <s:c r="H54" s="85" t="str">
        <s:f>IF(AND(G54&lt;&gt;"",G54&lt;&gt;0),D54/G54,"")</s:f>
        <s:v/>
      </s:c>
      <s:c r="I54" s="85"/>
      <s:c r="J54" s="83" t="str">
        <s:f>IF(AND(G54&lt;&gt;"",G54&lt;&gt;0),E54/G54,"")</s:f>
        <s:v/>
      </s:c>
      <s:c r="K54" s="85"/>
      <s:c r="L54" s="85"/>
      <s:c r="M54" s="85"/>
      <s:c r="N54" s="85"/>
      <s:c r="O54" s="85"/>
      <s:c r="P54" s="85"/>
      <s:c r="Q54" s="85"/>
      <s:c r="R54" s="85"/>
      <s:c r="S54" s="86" t="str">
        <s:f>IF(AND(I54&lt;&gt;"",I54&lt;&gt;0),G54/I54,"")</s:f>
        <s:v/>
      </s:c>
      <s:c r="T54" s="87" t="e">
        <s:f>D54/U54</s:f>
        <s:v>#DIV/0!</s:v>
      </s:c>
      <s:c r="U54" s="88">
        <s:f>$L$8*AA54*AB54/SUMPRODUCT($AB$25:$AB$56,$AA$25:$AA$56)</s:f>
        <s:v>0</s:v>
      </s:c>
      <s:c r="V54" s="89">
        <s:f>$L$9*AA54*AB54/SUMPRODUCT($AB$25:$AB$58,$AA$25:$AA$58)</s:f>
        <s:v>0</s:v>
      </s:c>
      <s:c r="W54" s="89">
        <s:f>IF($L$12="","",V54/$L$12)</s:f>
        <s:v>0</s:v>
      </s:c>
      <s:c r="X54" s="88" t="str">
        <s:f>IF(AB54&lt;&gt;"",IF(D54&lt;&gt;"",D54,($L$8-SUM($X$25:X50))*AA54*AB54/SUMPRODUCT($AB54:$AB$58,$AA54:$AA$58)),"")</s:f>
        <s:v/>
      </s:c>
      <s:c r="Y54" s="89" t="str">
        <s:f>IF(AB54&lt;&gt;"",IF(E54&lt;&gt;"",E54,($L$9-SUM($Y$25:Y50))*AA54*AB54/SUMPRODUCT($AB54:$AB$58,$AA54:$AA$58)),"")</s:f>
        <s:v/>
      </s:c>
      <s:c r="Z54" s="89" t="str">
        <s:f>IF(AB54&lt;&gt;"",IF($L$12&lt;&gt;"",IF(G54&lt;&gt;"",G54,($L$9/$L$12-SUM($Z$25:Z50))*AA54*AB54/SUMPRODUCT($AB54:$AB$58,$AA54:$AA$58)),""),"")</s:f>
        <s:v/>
      </s:c>
      <s:c r="AA54" s="90"/>
      <s:c r="AB54" s="90"/>
      <s:c r="AC54" s="91"/>
      <s:c r="AD54" s="92"/>
      <s:c r="AE54" s="93"/>
      <s:c r="AF54" s="2"/>
      <s:c r="AG54" s="2"/>
      <s:c r="AH54" s="2"/>
      <s:c r="AI54" s="2"/>
      <s:c r="AJ54" s="2"/>
      <s:c r="AK54" s="2"/>
      <s:c r="AL54" s="2"/>
    </s:row>
    <s:row r="55">
      <s:c r="A55" s="80"/>
      <s:c r="B55" s="81"/>
      <s:c r="C55" s="82"/>
      <s:c r="D55" s="83"/>
      <s:c r="E55" s="85"/>
      <s:c r="F55" s="85" t="str">
        <s:f>IF(AND(E55&lt;&gt;"",E55&lt;&gt;0),D55/E55,"")</s:f>
        <s:v/>
      </s:c>
      <s:c r="G55" s="85"/>
      <s:c r="H55" s="85" t="str">
        <s:f>IF(AND(G55&lt;&gt;"",G55&lt;&gt;0),D55/G55,"")</s:f>
        <s:v/>
      </s:c>
      <s:c r="I55" s="85"/>
      <s:c r="J55" s="83" t="str">
        <s:f>IF(AND(G55&lt;&gt;"",G55&lt;&gt;0),E55/G55,"")</s:f>
        <s:v/>
      </s:c>
      <s:c r="K55" s="85"/>
      <s:c r="L55" s="85"/>
      <s:c r="M55" s="85"/>
      <s:c r="N55" s="85"/>
      <s:c r="O55" s="85"/>
      <s:c r="P55" s="85"/>
      <s:c r="Q55" s="85"/>
      <s:c r="R55" s="85"/>
      <s:c r="S55" s="86" t="str">
        <s:f>IF(AND(I55&lt;&gt;"",I55&lt;&gt;0),G55/I55,"")</s:f>
        <s:v/>
      </s:c>
      <s:c r="T55" s="87" t="e">
        <s:f>D55/U55</s:f>
        <s:v>#DIV/0!</s:v>
      </s:c>
      <s:c r="U55" s="88">
        <s:f>$L$8*AA55*AB55/SUMPRODUCT($AB$25:$AB$56,$AA$25:$AA$56)</s:f>
        <s:v>0</s:v>
      </s:c>
      <s:c r="V55" s="89">
        <s:f>$L$9*AA55*AB55/SUMPRODUCT($AB$25:$AB$58,$AA$25:$AA$58)</s:f>
        <s:v>0</s:v>
      </s:c>
      <s:c r="W55" s="89">
        <s:f>IF($L$12="","",V55/$L$12)</s:f>
        <s:v>0</s:v>
      </s:c>
      <s:c r="X55" s="88" t="str">
        <s:f>IF(AB55&lt;&gt;"",IF(D55&lt;&gt;"",D55,($L$8-SUM($X$25:X54))*AA55*AB55/SUMPRODUCT($AB55:$AB$58,$AA55:$AA$58)),"")</s:f>
        <s:v/>
      </s:c>
      <s:c r="Y55" s="89" t="str">
        <s:f>IF(AB55&lt;&gt;"",IF(E55&lt;&gt;"",E55,($L$9-SUM($Y$25:Y54))*AA55*AB55/SUMPRODUCT($AB55:$AB$58,$AA55:$AA$58)),"")</s:f>
        <s:v/>
      </s:c>
      <s:c r="Z55" s="89" t="str">
        <s:f>IF(AB55&lt;&gt;"",IF($L$12&lt;&gt;"",IF(G55&lt;&gt;"",G55,($L$9/$L$12-SUM($Z$25:Z54))*AA55*AB55/SUMPRODUCT($AB55:$AB$58,$AA55:$AA$58)),""),"")</s:f>
        <s:v/>
      </s:c>
      <s:c r="AA55" s="90"/>
      <s:c r="AB55" s="90"/>
      <s:c r="AC55" s="91"/>
      <s:c r="AD55" s="92"/>
      <s:c r="AE55" s="93"/>
      <s:c r="AF55" s="2"/>
      <s:c r="AG55" s="2"/>
      <s:c r="AH55" s="2"/>
      <s:c r="AI55" s="2"/>
      <s:c r="AJ55" s="2"/>
      <s:c r="AK55" s="2"/>
      <s:c r="AL55" s="2"/>
    </s:row>
    <s:row r="56">
      <s:c r="A56" s="80"/>
      <s:c r="B56" s="81"/>
      <s:c r="C56" s="82"/>
      <s:c r="D56" s="83"/>
      <s:c r="E56" s="85"/>
      <s:c r="F56" s="85" t="str">
        <s:f>IF(AND(E56&lt;&gt;"",E56&lt;&gt;0),D56/E56,"")</s:f>
        <s:v/>
      </s:c>
      <s:c r="G56" s="85"/>
      <s:c r="H56" s="85" t="str">
        <s:f>IF(AND(G56&lt;&gt;"",G56&lt;&gt;0),D56/G56,"")</s:f>
        <s:v/>
      </s:c>
      <s:c r="I56" s="85"/>
      <s:c r="J56" s="83" t="str">
        <s:f>IF(AND(G56&lt;&gt;"",G56&lt;&gt;0),E56/G56,"")</s:f>
        <s:v/>
      </s:c>
      <s:c r="K56" s="85"/>
      <s:c r="L56" s="85"/>
      <s:c r="M56" s="85"/>
      <s:c r="N56" s="85"/>
      <s:c r="O56" s="85"/>
      <s:c r="P56" s="85"/>
      <s:c r="Q56" s="85"/>
      <s:c r="R56" s="85"/>
      <s:c r="S56" s="86" t="str">
        <s:f>IF(AND(I56&lt;&gt;"",I56&lt;&gt;0),G56/I56,"")</s:f>
        <s:v/>
      </s:c>
      <s:c r="T56" s="87" t="e">
        <s:f>D56/U56</s:f>
        <s:v>#DIV/0!</s:v>
      </s:c>
      <s:c r="U56" s="88">
        <s:f>$L$8*AA56*AB56/SUMPRODUCT($AB$25:$AB$56,$AA$25:$AA$56)</s:f>
        <s:v>0</s:v>
      </s:c>
      <s:c r="V56" s="89">
        <s:f>$L$9*AA56*AB56/SUMPRODUCT($AB$25:$AB$58,$AA$25:$AA$58)</s:f>
        <s:v>0</s:v>
      </s:c>
      <s:c r="W56" s="89">
        <s:f>IF($L$12="","",V56/$L$12)</s:f>
        <s:v>0</s:v>
      </s:c>
      <s:c r="X56" s="88" t="str">
        <s:f>IF(AB56&lt;&gt;"",IF(D56&lt;&gt;"",D56,($L$8-SUM($X$25:X55))*AA56*AB56/SUMPRODUCT($AB56:$AB$58,$AA56:$AA$58)),"")</s:f>
        <s:v/>
      </s:c>
      <s:c r="Y56" s="89" t="str">
        <s:f>IF(AB56&lt;&gt;"",IF(E56&lt;&gt;"",E56,($L$9-SUM($Y$25:Y55))*AA56*AB56/SUMPRODUCT($AB56:$AB$58,$AA56:$AA$58)),"")</s:f>
        <s:v/>
      </s:c>
      <s:c r="Z56" s="89" t="str">
        <s:f>IF(AB56&lt;&gt;"",IF($L$12&lt;&gt;"",IF(G56&lt;&gt;"",G56,($L$9/$L$12-SUM($Z$25:Z55))*AA56*AB56/SUMPRODUCT($AB56:$AB$58,$AA56:$AA$58)),""),"")</s:f>
        <s:v/>
      </s:c>
      <s:c r="AA56" s="90"/>
      <s:c r="AB56" s="90"/>
      <s:c r="AC56" s="91"/>
      <s:c r="AD56" s="92"/>
      <s:c r="AE56" s="93"/>
      <s:c r="AF56" s="2"/>
      <s:c r="AG56" s="2"/>
      <s:c r="AH56" s="2"/>
      <s:c r="AI56" s="2"/>
      <s:c r="AJ56" s="2"/>
      <s:c r="AK56" s="2"/>
      <s:c r="AL56" s="2"/>
    </s:row>
    <s:row r="57">
      <s:c r="A57" s="250"/>
      <s:c r="B57" s="708"/>
      <s:c r="C57" s="709"/>
      <s:c r="D57" s="76">
        <s:f>SUM(D25:D56)</s:f>
        <s:v>780750</s:v>
      </s:c>
      <s:c r="E57" s="76">
        <s:f>SUM(E25:E56)</s:f>
        <s:v>107</s:v>
      </s:c>
      <s:c r="F57" s="76">
        <s:f>IF(AND(E57&lt;&gt;"",E57&lt;&gt;0),D57/E57,"")</s:f>
        <s:v>7296.7289719626169</s:v>
      </s:c>
      <s:c r="G57" s="76">
        <s:f>SUM(G25:G56)</s:f>
        <s:v>63</s:v>
      </s:c>
      <s:c r="H57" s="76">
        <s:f>IF(AND(G57&lt;&gt;"",G57&lt;&gt;0),D57/G57,"")</s:f>
        <s:v>12392.857142857143</s:v>
      </s:c>
      <s:c r="I57" s="76">
        <s:f>SUM(I25:I56)</s:f>
        <s:v>799</s:v>
      </s:c>
      <s:c r="J57" s="77">
        <s:f>IF(AND(G57&lt;&gt;"",G57&lt;&gt;0),E57/G57,"")</s:f>
        <s:v>1.6984126984126899</s:v>
      </s:c>
      <s:c r="K57" s="76">
        <s:f>SUM(K25:K56)</s:f>
        <s:v>87543</s:v>
      </s:c>
      <s:c r="L57" s="76">
        <s:f>SUM(L25:L56)</s:f>
        <s:v>110813</s:v>
      </s:c>
      <s:c r="M57" s="76">
        <s:f>SUM(M25:M56)</s:f>
        <s:v>12893</s:v>
      </s:c>
      <s:c r="N57" s="76">
        <s:f>SUM(N25:N56)</s:f>
        <s:v>0</s:v>
      </s:c>
      <s:c r="O57" s="76">
        <s:f>SUM(O25:O56)</s:f>
        <s:v>87458</s:v>
      </s:c>
      <s:c r="P57" s="76">
        <s:f>SUM(P25:P56)</s:f>
        <s:v>32284</s:v>
      </s:c>
      <s:c r="Q57" s="76">
        <s:f>SUM(Q25:Q56)</s:f>
        <s:v>26072</s:v>
      </s:c>
      <s:c r="R57" s="76">
        <s:f>SUM(R25:R56)</s:f>
        <s:v>48260.58</s:v>
      </s:c>
      <s:c r="S57" s="94">
        <s:f>IF(AND(I57&lt;&gt;"",I57&lt;&gt;0),G57/I57,"")</s:f>
        <s:v>7.8848560700875994E-2</s:v>
      </s:c>
      <s:c r="T57" s="78">
        <s:f>D57/U57</s:f>
        <s:v>0.71554040221211934</s:v>
      </s:c>
      <s:c r="U57" s="79">
        <s:f>SUM(U25:U56)</s:f>
        <s:v>1091133.3554140099</s:v>
      </s:c>
      <s:c r="V57" s="79">
        <s:f>SUM(V25:V55)</s:f>
        <s:v>156.99760509554099</s:v>
      </s:c>
      <s:c r="W57" s="79">
        <s:f>SUM(W25:W55)</s:f>
        <s:v>86.262420382165601</s:v>
      </s:c>
      <s:c r="X57" s="79">
        <s:f>SUM(X25:X56)</s:f>
        <s:v>538467</s:v>
      </s:c>
      <s:c r="Y57" s="79">
        <s:f>SUM(Y25:Y55)</s:f>
        <s:v>78</s:v>
      </s:c>
      <s:c r="Z57" s="79">
        <s:f>SUM(Z25:Z55)</s:f>
        <s:v>50</s:v>
      </s:c>
      <s:c r="AA57" s="95"/>
      <s:c r="AB57" s="95"/>
      <s:c r="AJ57" s="2"/>
      <s:c r="AK57" s="2"/>
      <s:c r="AL57" s="2"/>
    </s:row>
    <s:row r="59">
      <s:c r="D59" s="108"/>
    </s:row>
    <s:row r="60">
      <s:c r="D60" s="108"/>
    </s:row>
  </s:sheetData>
  <s:mergeCells count="27">
    <s:mergeCell ref="I15:K15"/>
    <s:mergeCell ref="I16:K16"/>
    <s:mergeCell ref="I17:K17"/>
    <s:mergeCell ref="U22:AB22"/>
    <s:mergeCell ref="B57:C57"/>
    <s:mergeCell ref="I18:K18"/>
    <s:mergeCell ref="I19:K19"/>
    <s:mergeCell ref="I20:K20"/>
    <s:mergeCell ref="B22:S22"/>
    <s:mergeCell ref="T22:T24"/>
    <s:mergeCell ref="I10:K10"/>
    <s:mergeCell ref="I11:K11"/>
    <s:mergeCell ref="I12:K12"/>
    <s:mergeCell ref="I13:K13"/>
    <s:mergeCell ref="I14:K14"/>
    <s:mergeCell ref="J5:S5"/>
    <s:mergeCell ref="I7:K7"/>
    <s:mergeCell ref="S7:T7"/>
    <s:mergeCell ref="I8:K8"/>
    <s:mergeCell ref="I9:K9"/>
    <s:mergeCell ref="I6:T6"/>
    <s:mergeCell ref="B1:C1"/>
    <s:mergeCell ref="V1:Y4"/>
    <s:mergeCell ref="B2:C2"/>
    <s:mergeCell ref="J3:S4"/>
    <s:mergeCell ref="C4:D4"/>
    <s:mergeCell ref="J2:S2"/>
  </s:mergeCells>
  <s:conditionalFormatting sqref="J25:J44">
    <s:cfRule type="cellIs" dxfId="123" priority="21" operator="lessThan">
      <s:formula>$I$12</s:formula>
    </s:cfRule>
  </s:conditionalFormatting>
  <s:conditionalFormatting sqref="J25:J49">
    <s:cfRule type="cellIs" dxfId="122" priority="22" operator="greaterThan">
      <s:formula>$I$12</s:formula>
    </s:cfRule>
  </s:conditionalFormatting>
  <s:conditionalFormatting sqref="J28:J56">
    <s:cfRule type="cellIs" dxfId="121" priority="31" operator="greaterThan">
      <s:formula>$I$12</s:formula>
    </s:cfRule>
    <s:cfRule type="cellIs" dxfId="120" priority="30" operator="lessThan">
      <s:formula>$I$12</s:formula>
    </s:cfRule>
  </s:conditionalFormatting>
  <s:conditionalFormatting sqref="J36">
    <s:cfRule type="cellIs" dxfId="119" priority="1869" operator="lessThan">
      <s:formula>$I$12</s:formula>
    </s:cfRule>
    <s:cfRule type="cellIs" dxfId="118" priority="1866" operator="greaterThan">
      <s:formula>$I$12</s:formula>
    </s:cfRule>
    <s:cfRule type="cellIs" dxfId="117" priority="1854" operator="lessThan">
      <s:formula>$I$12</s:formula>
    </s:cfRule>
  </s:conditionalFormatting>
  <s:conditionalFormatting sqref="J39:J40">
    <s:cfRule type="cellIs" dxfId="116" priority="1826" operator="lessThan">
      <s:formula>$I$12</s:formula>
    </s:cfRule>
  </s:conditionalFormatting>
  <s:conditionalFormatting sqref="J44:J49">
    <s:cfRule type="cellIs" dxfId="115" priority="240" operator="lessThan">
      <s:formula>$I$12</s:formula>
    </s:cfRule>
  </s:conditionalFormatting>
  <s:conditionalFormatting sqref="J51:J53">
    <s:cfRule type="cellIs" dxfId="114" priority="1853" operator="lessThan">
      <s:formula>$I$12</s:formula>
    </s:cfRule>
  </s:conditionalFormatting>
  <s:conditionalFormatting sqref="M16">
    <s:cfRule type="cellIs" dxfId="113" priority="233" operator="lessThan">
      <s:formula>0</s:formula>
    </s:cfRule>
    <s:cfRule type="cellIs" dxfId="112" priority="231" operator="greaterThan">
      <s:formula>0</s:formula>
    </s:cfRule>
  </s:conditionalFormatting>
  <s:conditionalFormatting sqref="N8">
    <s:cfRule type="cellIs" dxfId="111" priority="2" operator="lessThan">
      <s:formula>$K$17</s:formula>
    </s:cfRule>
    <s:cfRule type="cellIs" dxfId="110" priority="1" operator="greaterThan">
      <s:formula>$K$17</s:formula>
    </s:cfRule>
  </s:conditionalFormatting>
  <s:conditionalFormatting sqref="N10:N12 N15">
    <s:cfRule type="cellIs" dxfId="109" priority="234" operator="lessThan">
      <s:formula>1</s:formula>
    </s:cfRule>
    <s:cfRule type="cellIs" dxfId="108" priority="230" operator="greaterThan">
      <s:formula>1</s:formula>
    </s:cfRule>
  </s:conditionalFormatting>
  <s:conditionalFormatting sqref="N13">
    <s:cfRule type="cellIs" dxfId="107" priority="226" operator="lessThan">
      <s:formula>$K$14</s:formula>
    </s:cfRule>
    <s:cfRule type="cellIs" dxfId="106" priority="227" operator="greaterThan">
      <s:formula>$K$14</s:formula>
    </s:cfRule>
  </s:conditionalFormatting>
  <s:conditionalFormatting sqref="P8:P15">
    <s:cfRule type="cellIs" dxfId="105" priority="228" operator="lessThan">
      <s:formula>1</s:formula>
    </s:cfRule>
    <s:cfRule type="cellIs" dxfId="104" priority="229" operator="greaterThan">
      <s:formula>1</s:formula>
    </s:cfRule>
  </s:conditionalFormatting>
  <s:conditionalFormatting sqref="S25:S44">
    <s:cfRule type="cellIs" dxfId="103" priority="18" operator="between">
      <s:formula>0.2</s:formula>
      <s:formula>0.25</s:formula>
    </s:cfRule>
  </s:conditionalFormatting>
  <s:conditionalFormatting sqref="S25:S49">
    <s:cfRule type="cellIs" dxfId="102" priority="19" operator="greaterThanOrEqual">
      <s:formula>0.25</s:formula>
    </s:cfRule>
  </s:conditionalFormatting>
  <s:conditionalFormatting sqref="S25:S56">
    <s:cfRule type="cellIs" dxfId="101" priority="20" operator="lessThan">
      <s:formula>0.2</s:formula>
    </s:cfRule>
  </s:conditionalFormatting>
  <s:conditionalFormatting sqref="S28:S38">
    <s:cfRule type="cellIs" dxfId="100" priority="27" operator="between">
      <s:formula>0.2</s:formula>
      <s:formula>0.25</s:formula>
    </s:cfRule>
    <s:cfRule type="cellIs" dxfId="99" priority="28" operator="greaterThanOrEqual">
      <s:formula>0.25</s:formula>
    </s:cfRule>
  </s:conditionalFormatting>
  <s:conditionalFormatting sqref="S36">
    <s:cfRule type="cellIs" dxfId="98" priority="1858" operator="between">
      <s:formula>0.2</s:formula>
      <s:formula>0.25</s:formula>
    </s:cfRule>
    <s:cfRule type="cellIs" dxfId="97" priority="1872" operator="greaterThanOrEqual">
      <s:formula>0.25</s:formula>
    </s:cfRule>
    <s:cfRule type="cellIs" dxfId="96" priority="1873" operator="between">
      <s:formula>0.2</s:formula>
      <s:formula>0.25</s:formula>
    </s:cfRule>
  </s:conditionalFormatting>
  <s:conditionalFormatting sqref="S39:S40">
    <s:cfRule type="cellIs" dxfId="95" priority="1832" operator="between">
      <s:formula>0.2</s:formula>
      <s:formula>0.25</s:formula>
    </s:cfRule>
  </s:conditionalFormatting>
  <s:conditionalFormatting sqref="S39:S56">
    <s:cfRule type="cellIs" dxfId="94" priority="50" operator="greaterThanOrEqual">
      <s:formula>0.25</s:formula>
    </s:cfRule>
  </s:conditionalFormatting>
  <s:conditionalFormatting sqref="S41:S56">
    <s:cfRule type="cellIs" dxfId="93" priority="49" operator="between">
      <s:formula>0.2</s:formula>
      <s:formula>0.25</s:formula>
    </s:cfRule>
  </s:conditionalFormatting>
  <s:conditionalFormatting sqref="S44:S49">
    <s:cfRule type="cellIs" dxfId="92" priority="241" operator="between">
      <s:formula>0.2</s:formula>
      <s:formula>0.25</s:formula>
    </s:cfRule>
  </s:conditionalFormatting>
  <s:conditionalFormatting sqref="S51:S53">
    <s:cfRule type="cellIs" dxfId="91" priority="1846" operator="between">
      <s:formula>0.2</s:formula>
      <s:formula>0.25</s:formula>
    </s:cfRule>
  </s:conditionalFormatting>
  <s:conditionalFormatting sqref="S10:T10">
    <s:cfRule type="cellIs" dxfId="90" priority="232" operator="lessThan">
      <s:formula>0</s:formula>
    </s:cfRule>
  </s:conditionalFormatting>
  <s:conditionalFormatting sqref="T25:T44">
    <s:cfRule type="cellIs" dxfId="89" priority="12" operator="between">
      <s:formula>0.9001</s:formula>
      <s:formula>0.9999</s:formula>
    </s:cfRule>
    <s:cfRule type="cellIs" dxfId="88" priority="13" operator="lessThan">
      <s:formula>0.9</s:formula>
    </s:cfRule>
    <s:cfRule type="cellIs" dxfId="87" priority="16" operator="between">
      <s:formula>0.85</s:formula>
      <s:formula>1</s:formula>
    </s:cfRule>
  </s:conditionalFormatting>
  <s:conditionalFormatting sqref="T25:T49">
    <s:cfRule type="cellIs" dxfId="86" priority="17" operator="between">
      <s:formula>0.01</s:formula>
      <s:formula>0.99</s:formula>
    </s:cfRule>
  </s:conditionalFormatting>
  <s:conditionalFormatting sqref="T25:T56">
    <s:cfRule type="cellIs" dxfId="85" priority="14" operator="greaterThan">
      <s:formula>1</s:formula>
    </s:cfRule>
    <s:cfRule type="cellIs" dxfId="84" priority="15" operator="greaterThan">
      <s:formula>100</s:formula>
    </s:cfRule>
  </s:conditionalFormatting>
  <s:conditionalFormatting sqref="T28:T38">
    <s:cfRule type="cellIs" dxfId="83" priority="26" operator="between">
      <s:formula>0.01</s:formula>
      <s:formula>0.99</s:formula>
    </s:cfRule>
    <s:cfRule type="cellIs" dxfId="82" priority="1868" operator="between">
      <s:formula>0.9001</s:formula>
      <s:formula>0.9999</s:formula>
    </s:cfRule>
    <s:cfRule type="cellIs" dxfId="81" priority="1865" operator="lessThan">
      <s:formula>0.9</s:formula>
    </s:cfRule>
    <s:cfRule type="cellIs" dxfId="80" priority="25" operator="between">
      <s:formula>0.85</s:formula>
      <s:formula>1</s:formula>
    </s:cfRule>
  </s:conditionalFormatting>
  <s:conditionalFormatting sqref="T36">
    <s:cfRule type="cellIs" dxfId="79" priority="1879" operator="between">
      <s:formula>0.9001</s:formula>
      <s:formula>0.9999</s:formula>
    </s:cfRule>
    <s:cfRule type="cellIs" dxfId="78" priority="1860" operator="between">
      <s:formula>0.85</s:formula>
      <s:formula>1</s:formula>
    </s:cfRule>
    <s:cfRule type="cellIs" dxfId="77" priority="1874" operator="between">
      <s:formula>0.01</s:formula>
      <s:formula>0.99</s:formula>
    </s:cfRule>
    <s:cfRule type="cellIs" dxfId="76" priority="1875" operator="between">
      <s:formula>0.85</s:formula>
      <s:formula>1</s:formula>
    </s:cfRule>
    <s:cfRule type="cellIs" dxfId="75" priority="1878" operator="lessThan">
      <s:formula>0.9</s:formula>
    </s:cfRule>
  </s:conditionalFormatting>
  <s:conditionalFormatting sqref="T39:T40">
    <s:cfRule type="cellIs" dxfId="74" priority="1844" operator="between">
      <s:formula>0.9001</s:formula>
      <s:formula>0.9999</s:formula>
    </s:cfRule>
    <s:cfRule type="cellIs" dxfId="73" priority="1842" operator="lessThan">
      <s:formula>0.9</s:formula>
    </s:cfRule>
    <s:cfRule type="cellIs" dxfId="72" priority="1836" operator="between">
      <s:formula>0.85</s:formula>
      <s:formula>1</s:formula>
    </s:cfRule>
  </s:conditionalFormatting>
  <s:conditionalFormatting sqref="T39:T56">
    <s:cfRule type="cellIs" dxfId="71" priority="48" operator="between">
      <s:formula>0.01</s:formula>
      <s:formula>0.99</s:formula>
    </s:cfRule>
  </s:conditionalFormatting>
  <s:conditionalFormatting sqref="T41:T56">
    <s:cfRule type="cellIs" dxfId="70" priority="43" operator="between">
      <s:formula>0.9001</s:formula>
      <s:formula>0.9999</s:formula>
    </s:cfRule>
    <s:cfRule type="cellIs" dxfId="69" priority="44" operator="lessThan">
      <s:formula>0.9</s:formula>
    </s:cfRule>
    <s:cfRule type="cellIs" dxfId="68" priority="47" operator="between">
      <s:formula>0.85</s:formula>
      <s:formula>1</s:formula>
    </s:cfRule>
  </s:conditionalFormatting>
  <s:conditionalFormatting sqref="T44:T49">
    <s:cfRule type="cellIs" dxfId="67" priority="244" operator="between">
      <s:formula>0.9001</s:formula>
      <s:formula>0.9999</s:formula>
    </s:cfRule>
    <s:cfRule type="cellIs" dxfId="66" priority="243" operator="lessThan">
      <s:formula>0.9</s:formula>
    </s:cfRule>
    <s:cfRule type="cellIs" dxfId="65" priority="242" operator="between">
      <s:formula>0.85</s:formula>
      <s:formula>1</s:formula>
    </s:cfRule>
  </s:conditionalFormatting>
  <s:conditionalFormatting sqref="T51:T53">
    <s:cfRule type="cellIs" dxfId="64" priority="1848" operator="between">
      <s:formula>0.85</s:formula>
      <s:formula>1</s:formula>
    </s:cfRule>
    <s:cfRule type="cellIs" dxfId="63" priority="1849" operator="lessThan">
      <s:formula>0.9</s:formula>
    </s:cfRule>
    <s:cfRule type="cellIs" dxfId="62" priority="1850" operator="between">
      <s:formula>0.9001</s:formula>
      <s:formula>0.9999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6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8A2FDD81-3E69-7B40-ABE8-E0DE2FEB1881}">
  <s:sheetPr>
    <s:pageSetUpPr fitToPage="1"/>
  </s:sheetPr>
  <s:dimension ref="A1:IZ57"/>
  <s:sheetViews>
    <s:sheetView showZeros="0" tabSelected="0" topLeftCell="A4" zoomScale="110" workbookViewId="0">
      <s:pane xSplit="2" topLeftCell="C1" activePane="topRight" state="frozen"/>
      <s:selection activeCell="A18" sqref="A18"/>
      <s:selection pane="topRight" activeCell="R29" sqref="R29"/>
    </s:sheetView>
  </s:sheetViews>
  <s:sheetFormatPr baseColWidth="10" defaultColWidth="9.164" defaultRowHeight="15"/>
  <s:cols>
    <s:col min="1" max="1" width="4.164" style="229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3" width="10.164" style="3" customWidth="1"/>
    <s:col min="14" max="16" width="10.832" style="3" customWidth="1"/>
    <s:col min="17" max="17" width="12" style="3" customWidth="1"/>
    <s:col min="18" max="18" width="10.832" style="3" customWidth="1"/>
    <s:col min="19" max="19" width="11.664" style="3" customWidth="1"/>
    <s:col min="20" max="20" width="12.832" style="3" customWidth="1"/>
    <s:col min="21" max="21" width="10.332" style="3" customWidth="1"/>
    <s:col min="22" max="23" width="11.332" style="3" customWidth="1"/>
    <s:col min="24" max="24" width="11" style="3" customWidth="1"/>
    <s:col min="25" max="25" width="9.5" style="3" customWidth="1"/>
    <s:col min="26" max="26" width="9.164" style="3" bestFit="1" customWidth="1"/>
    <s:col min="27" max="28" width="10.5" style="3" customWidth="1"/>
    <s:col min="29" max="38" width="9.164" style="3" bestFit="1" customWidth="1"/>
    <s:col min="39" max="260" width="9.164" style="2" bestFit="1" customWidth="1"/>
  </s:cols>
  <s:sheetData>
    <s:row r="1" spans="2:28" ht="15.75" customHeight="1">
      <s:c r="B1" s="701">
        <s:f ca="1">TODAY()-1</s:f>
        <s:v>46171</s:v>
      </s:c>
      <s:c r="C1" s="701"/>
      <s:c r="D1" s="11"/>
      <s:c r="E1" s="11"/>
      <s:c r="F1" s="12"/>
      <s:c r="G1" s="12"/>
      <s:c r="H1" s="12"/>
      <s:c r="I1" s="12"/>
      <s:c r="J1" s="183"/>
      <s:c r="K1" s="183"/>
      <s:c r="L1" s="183"/>
      <s:c r="M1" s="183"/>
      <s:c r="N1" s="183"/>
      <s:c r="O1" s="183"/>
      <s:c r="P1" s="183"/>
      <s:c r="Q1" s="183"/>
      <s:c r="R1" s="183"/>
      <s:c r="S1" s="183"/>
      <s:c r="T1" s="183"/>
      <s:c r="U1" s="183"/>
      <s:c r="V1" s="677"/>
      <s:c r="W1" s="677"/>
      <s:c r="X1" s="677"/>
      <s:c r="Y1" s="677"/>
      <s:c r="Z1" s="12"/>
      <s:c r="AA1" s="12"/>
      <s:c r="AB1" s="12"/>
    </s:row>
    <s:row r="2" spans="2:28" ht="21.75" customHeight="1">
      <s:c r="B2" s="678" t="s">
        <s:v>0</s:v>
      </s:c>
      <s:c r="C2" s="678"/>
      <s:c r="D2" s="11"/>
      <s:c r="E2" s="11"/>
      <s:c r="F2" s="12"/>
      <s:c r="G2" s="12"/>
      <s:c r="H2" s="12"/>
      <s:c r="I2" s="12"/>
      <s:c r="J2" s="687" t="s">
        <s:v>132</s:v>
      </s:c>
      <s:c r="K2" s="687"/>
      <s:c r="L2" s="687"/>
      <s:c r="M2" s="687"/>
      <s:c r="N2" s="687"/>
      <s:c r="O2" s="687"/>
      <s:c r="P2" s="687"/>
      <s:c r="Q2" s="687"/>
      <s:c r="R2" s="687"/>
      <s:c r="S2" s="687"/>
      <s:c r="T2" s="421"/>
      <s:c r="U2" s="421"/>
      <s:c r="V2" s="677"/>
      <s:c r="W2" s="677"/>
      <s:c r="X2" s="677"/>
      <s:c r="Y2" s="677"/>
      <s:c r="Z2" s="12"/>
      <s:c r="AA2" s="12"/>
      <s:c r="AB2" s="12"/>
    </s:row>
    <s:row r="3" spans="2:28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79" t="str">
        <s:f>График!B26</s:f>
        <s:v>Самошкина Алина</s:v>
      </s:c>
      <s:c r="K3" s="680"/>
      <s:c r="L3" s="680"/>
      <s:c r="M3" s="680"/>
      <s:c r="N3" s="680"/>
      <s:c r="O3" s="680"/>
      <s:c r="P3" s="680"/>
      <s:c r="Q3" s="680"/>
      <s:c r="R3" s="680"/>
      <s:c r="S3" s="681"/>
      <s:c r="T3" s="183"/>
      <s:c r="U3" s="230"/>
      <s:c r="V3" s="677"/>
      <s:c r="W3" s="677"/>
      <s:c r="X3" s="677"/>
      <s:c r="Y3" s="677"/>
      <s:c r="Z3" s="12"/>
      <s:c r="AA3" s="12"/>
      <s:c r="AB3" s="12"/>
    </s:row>
    <s:row r="4" spans="2:28" ht="15" customHeight="1">
      <s:c r="B4" s="11"/>
      <s:c r="C4" s="685">
        <s:f>L8-D50</s:f>
        <s:v>459424.57070063602</s:v>
      </s:c>
      <s:c r="D4" s="686"/>
      <s:c r="E4" s="184">
        <s:f>IF(L8&lt;&gt;0,C4/L8,0)</s:f>
        <s:v>1</s:v>
      </s:c>
      <s:c r="F4" s="12"/>
      <s:c r="G4" s="12"/>
      <s:c r="H4" s="12"/>
      <s:c r="I4" s="12"/>
      <s:c r="J4" s="682"/>
      <s:c r="K4" s="683"/>
      <s:c r="L4" s="683"/>
      <s:c r="M4" s="683"/>
      <s:c r="N4" s="683"/>
      <s:c r="O4" s="683"/>
      <s:c r="P4" s="683"/>
      <s:c r="Q4" s="683"/>
      <s:c r="R4" s="683"/>
      <s:c r="S4" s="684"/>
      <s:c r="T4" s="12"/>
      <s:c r="U4" s="12"/>
      <s:c r="V4" s="677"/>
      <s:c r="W4" s="677"/>
      <s:c r="X4" s="677"/>
      <s:c r="Y4" s="677"/>
      <s:c r="Z4" s="12"/>
      <s:c r="AA4" s="12"/>
      <s:c r="AB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90"/>
      <s:c r="K5" s="690"/>
      <s:c r="L5" s="690"/>
      <s:c r="M5" s="690"/>
      <s:c r="N5" s="690"/>
      <s:c r="O5" s="690"/>
      <s:c r="P5" s="690"/>
      <s:c r="Q5" s="690"/>
      <s:c r="R5" s="690"/>
      <s:c r="S5" s="690"/>
      <s:c r="T5" s="12"/>
      <s:c r="U5" s="12"/>
      <s:c r="V5" s="12"/>
      <s:c r="W5" s="12"/>
      <s:c r="X5" s="12"/>
      <s:c r="Y5" s="12"/>
      <s:c r="Z5" s="12"/>
      <s:c r="AA5" s="12"/>
      <s:c r="AB5" s="12"/>
    </s:row>
    <s:row r="6" spans="2:28" ht="15.75" customHeight="1" thickBot="1">
      <s:c r="B6" s="185"/>
      <s:c r="C6" s="12"/>
      <s:c r="D6" s="12"/>
      <s:c r="E6" s="12"/>
      <s:c r="F6" s="12"/>
      <s:c r="G6" s="12"/>
      <s:c r="H6" s="12"/>
      <s:c r="I6" s="698" t="s">
        <s:v>2</s:v>
      </s:c>
      <s:c r="J6" s="699"/>
      <s:c r="K6" s="699"/>
      <s:c r="L6" s="699"/>
      <s:c r="M6" s="699"/>
      <s:c r="N6" s="699"/>
      <s:c r="O6" s="699"/>
      <s:c r="P6" s="699"/>
      <s:c r="Q6" s="699"/>
      <s:c r="R6" s="699"/>
      <s:c r="S6" s="699"/>
      <s:c r="T6" s="700"/>
      <s:c r="U6" s="12"/>
      <s:c r="V6" s="12"/>
      <s:c r="W6" s="12"/>
      <s:c r="X6" s="18"/>
      <s:c r="Y6" s="12"/>
      <s:c r="Z6" s="12"/>
      <s:c r="AA6" s="12"/>
      <s:c r="AB6" s="12"/>
    </s:row>
    <s:row r="7" spans="2:28" ht="50.75" customHeight="1" thickBot="1">
      <s:c r="B7" s="185"/>
      <s:c r="C7" s="12"/>
      <s:c r="D7" s="12"/>
      <s:c r="E7" s="12"/>
      <s:c r="F7" s="12"/>
      <s:c r="G7" s="12"/>
      <s:c r="H7" s="12"/>
      <s:c r="I7" s="613" t="s">
        <s:v>3</s:v>
      </s:c>
      <s:c r="J7" s="614"/>
      <s:c r="K7" s="615"/>
      <s:c r="L7" s="19" t="s">
        <s:v>4</s:v>
      </s:c>
      <s:c r="M7" s="20" t="s">
        <s:v>5</s:v>
      </s:c>
      <s:c r="N7" s="21" t="s">
        <s:v>6</s:v>
      </s:c>
      <s:c r="O7" s="22" t="s">
        <s:v>7</s:v>
      </s:c>
      <s:c r="P7" s="22" t="s">
        <s:v>8</s:v>
      </s:c>
      <s:c r="Q7" s="23" t="s">
        <s:v>9</s:v>
      </s:c>
      <s:c r="R7" s="23" t="s">
        <s:v>10</s:v>
      </s:c>
      <s:c r="S7" s="616" t="s">
        <s:v>11</s:v>
      </s:c>
      <s:c r="T7" s="617"/>
      <s:c r="U7" s="12"/>
      <s:c r="V7" s="12"/>
      <s:c r="W7" s="231"/>
      <s:c r="X7" s="18"/>
      <s:c r="Y7" s="12"/>
      <s:c r="Z7" s="12"/>
      <s:c r="AA7" s="12"/>
      <s:c r="AB7" s="12"/>
    </s:row>
    <s:row r="8" spans="2:28" ht="15.75" customHeight="1">
      <s:c r="B8" s="185"/>
      <s:c r="C8" s="12"/>
      <s:c r="D8" s="12"/>
      <s:c r="E8" s="231"/>
      <s:c r="F8" s="12"/>
      <s:c r="G8" s="12"/>
      <s:c r="H8" s="231"/>
      <s:c r="I8" s="618" t="s">
        <s:v>12</s:v>
      </s:c>
      <s:c r="J8" s="619"/>
      <s:c r="K8" s="620"/>
      <s:c r="L8" s="186">
        <s:f>'Ялта, Ленина, 18'!I8/График!AJ29*График!AJ26</s:f>
        <s:v>459424.57070063602</s:v>
      </s:c>
      <s:c r="M8" s="187">
        <s:f>D57</s:f>
        <s:v>187359</s:v>
      </s:c>
      <s:c r="N8" s="27">
        <s:f>IF(AND(L8&lt;&gt;"",L8&lt;&gt;0,M8&lt;&gt;""),M8/L8,"")</s:f>
        <s:v>0.40781231990764299</s:v>
      </s:c>
      <s:c r="O8" s="188">
        <s:f>IF(SUMIF($D$25:$D$56,"&gt;=0",$U$25:$U$56)&lt;&gt;0,L8*D57/SUMIF($D$25:$D$56,"&gt;=0",$U$25:$U$56),0)</s:f>
        <s:v>374717.99999999901</s:v>
      </s:c>
      <s:c r="P8" s="232">
        <s:f>IF(AND(L8&lt;&gt;"",L8&lt;&gt;0,O8&lt;&gt;"",O8&lt;&gt;0),O8/L8,"")</s:f>
        <s:v>0.81562463981528699</s:v>
      </s:c>
      <s:c r="Q8" s="30">
        <s:f>IF(AND(M8&lt;&gt;0,M8&lt;&gt;"",L8&lt;&gt;0,L8&lt;&gt;""),O8-L8,"")</s:f>
        <s:v>-84706.570700637007</s:v>
      </s:c>
      <s:c r="R8" s="29"/>
      <s:c r="S8" s="30" t="str">
        <s:f>IF(AND(R8&lt;&gt;"",R8&lt;&gt;0,O8&lt;&gt;"",O8&lt;&gt;0),-R8+O8,"")</s:f>
        <s:v/>
      </s:c>
      <s:c r="T8" s="31" t="str">
        <s:f>IF(AND(S8&lt;&gt;"",S8&lt;&gt;0,R8&lt;&gt;0,R8&lt;&gt;""),S8/R8,"")</s:f>
        <s:v/>
      </s:c>
      <s:c r="U8" s="12"/>
      <s:c r="V8" s="12"/>
      <s:c r="W8" s="12"/>
      <s:c r="X8" s="32"/>
      <s:c r="Y8" s="12"/>
      <s:c r="Z8" s="12"/>
      <s:c r="AA8" s="12"/>
      <s:c r="AB8" s="12"/>
    </s:row>
    <s:row r="9" spans="2:28" ht="15.75" customHeight="1">
      <s:c r="B9" s="185"/>
      <s:c r="C9" s="12"/>
      <s:c r="D9" s="12"/>
      <s:c r="E9" s="12"/>
      <s:c r="F9" s="12"/>
      <s:c r="G9" s="12"/>
      <s:c r="H9" s="12"/>
      <s:c r="I9" s="621" t="s">
        <s:v>13</s:v>
      </s:c>
      <s:c r="J9" s="622"/>
      <s:c r="K9" s="623"/>
      <s:c r="L9" s="33">
        <s:f>L8/L11</s:f>
        <s:v>66.104254777069997</s:v>
      </s:c>
      <s:c r="M9" s="233">
        <s:f>E57</s:f>
        <s:v>33</s:v>
      </s:c>
      <s:c r="N9" s="35">
        <s:f>IF(AND(L9&lt;&gt;"",L9&lt;&gt;0,M9&lt;&gt;""),M9/L9,"")</s:f>
        <s:v>0.49921143671143597</s:v>
      </s:c>
      <s:c r="O9" s="234">
        <s:f>IF(SUMIF($E$25:$E$54,"&gt;=0",$V$25:$V$54)&lt;&gt;0,L9*E57/SUMIF($E$25:$E$54,"&gt;=0",$V$25:$V$54),0)</s:f>
        <s:v>66</s:v>
      </s:c>
      <s:c r="P9" s="235">
        <s:f>IF(AND(L9&lt;&gt;"",L9&lt;&gt;0,O9&lt;&gt;"",O9&lt;&gt;0),O9/L9,"")</s:f>
        <s:v>0.99842287342287295</s:v>
      </s:c>
      <s:c r="Q9" s="38">
        <s:f>IF(AND(M9&lt;&gt;0,M9&lt;&gt;"",L9&lt;&gt;0,L9&lt;&gt;""),O9-L9,"")</s:f>
        <s:v>-0.104254777070067</s:v>
      </s:c>
      <s:c r="R9" s="39" t="e">
        <s:f>R8/R11</s:f>
        <s:v>#DIV/0!</s:v>
      </s:c>
      <s:c r="S9" s="38" t="e">
        <s:f>IF(AND(R9&lt;&gt;"",R9&lt;&gt;0,O9&lt;&gt;"",O9&lt;&gt;0),-R9+O9,"")</s:f>
        <s:v>#DIV/0!</s:v>
      </s:c>
      <s:c r="T9" s="40" t="e">
        <s:f>IF(AND(S9&lt;&gt;"",S9&lt;&gt;0,R9&lt;&gt;0,R9&lt;&gt;""),S9/R9,"")</s:f>
        <s:v>#DIV/0!</s:v>
      </s:c>
      <s:c r="U9" s="12"/>
      <s:c r="V9" s="12"/>
      <s:c r="W9" s="12"/>
      <s:c r="X9" s="32"/>
      <s:c r="Y9" s="12"/>
      <s:c r="Z9" s="12"/>
      <s:c r="AA9" s="12"/>
      <s:c r="AB9" s="12"/>
    </s:row>
    <s:row r="10" spans="2:28" ht="15.75" customHeight="1">
      <s:c r="B10" s="185"/>
      <s:c r="C10" s="12"/>
      <s:c r="D10" s="12"/>
      <s:c r="E10" s="12"/>
      <s:c r="F10" s="12"/>
      <s:c r="G10" s="12"/>
      <s:c r="H10" s="12"/>
      <s:c r="I10" s="618" t="s">
        <s:v>14</s:v>
      </s:c>
      <s:c r="J10" s="619"/>
      <s:c r="K10" s="620"/>
      <s:c r="L10" s="45">
        <s:f>L11*L12</s:f>
        <s:v>12649</s:v>
      </s:c>
      <s:c r="M10" s="194">
        <s:f>H57</s:f>
        <s:v>11021.1176470588</s:v>
      </s:c>
      <s:c r="N10" s="42">
        <s:f>IF(AND(L10&lt;&gt;"",L10&lt;&gt;0,M10&lt;&gt;""),M10/L10,"")</s:f>
        <s:v>0.87130347435044797</s:v>
      </s:c>
      <s:c r="O10" s="191">
        <s:f>M10</s:f>
        <s:v>11021.1176470588</s:v>
      </s:c>
      <s:c r="P10" s="236">
        <s:f>IF(AND(L10&lt;&gt;"",L10&lt;&gt;0,O10&lt;&gt;"",O10&lt;&gt;0),O10/L10,"")</s:f>
        <s:v>0.87130347435044797</s:v>
      </s:c>
      <s:c r="Q10" s="44">
        <s:f>IF(AND(M10&lt;&gt;0,M10&lt;&gt;"",L10&lt;&gt;0,L10&lt;&gt;""),O10-L10,"")</s:f>
        <s:v>-1627.88235294117</s:v>
      </s:c>
      <s:c r="R10" s="45">
        <s:f>R11*R12</s:f>
        <s:v>0</s:v>
      </s:c>
      <s:c r="S10" s="44" t="str">
        <s:f>IF(AND(R10&lt;&gt;"",R10&lt;&gt;0,O10&lt;&gt;"",O10&lt;&gt;0),-R10+O10,"")</s:f>
        <s:v/>
      </s:c>
      <s:c r="T10" s="46" t="str">
        <s:f>IF(AND(S10&lt;&gt;"",S10&lt;&gt;0,R10&lt;&gt;0,R10&lt;&gt;""),S10/R10,"")</s:f>
        <s:v/>
      </s:c>
      <s:c r="U10" s="12"/>
      <s:c r="V10" s="12"/>
      <s:c r="W10" s="12"/>
      <s:c r="X10" s="32"/>
      <s:c r="Y10" s="12"/>
      <s:c r="Z10" s="12"/>
      <s:c r="AA10" s="12"/>
      <s:c r="AB10" s="12"/>
    </s:row>
    <s:row r="11" spans="2:28" ht="15.75" customHeight="1">
      <s:c r="B11" s="185"/>
      <s:c r="C11" s="12"/>
      <s:c r="D11" s="12"/>
      <s:c r="E11" s="12"/>
      <s:c r="F11" s="12"/>
      <s:c r="G11" s="12"/>
      <s:c r="H11" s="12"/>
      <s:c r="I11" s="621" t="s">
        <s:v>15</s:v>
      </s:c>
      <s:c r="J11" s="622"/>
      <s:c r="K11" s="623"/>
      <s:c r="L11" s="47">
        <s:f>'Ялта, Ленина, 18'!I11</s:f>
        <s:v>6950</s:v>
      </s:c>
      <s:c r="M11" s="233">
        <s:f>F57</s:f>
        <s:v>5677.5454545454504</s:v>
      </s:c>
      <s:c r="N11" s="35">
        <s:f>IF(AND(L11&lt;&gt;"",L11&lt;&gt;0,M11&lt;&gt;""),M11/L11,"")</s:f>
        <s:v>0.81691301504251101</s:v>
      </s:c>
      <s:c r="O11" s="234">
        <s:f>IF(O9&gt;0,O8/O9,"")</s:f>
        <s:v>5677.5454545454504</s:v>
      </s:c>
      <s:c r="P11" s="235">
        <s:f>IF(AND(L11&lt;&gt;"",L11&lt;&gt;0,O11&lt;&gt;"",O11&lt;&gt;0),O11/L11,"")</s:f>
        <s:v>0.81691301504251101</s:v>
      </s:c>
      <s:c r="Q11" s="38">
        <s:f>IF(AND(M11&lt;&gt;0,M11&lt;&gt;"",L11&lt;&gt;0,L11&lt;&gt;""),O11-L11,"")</s:f>
        <s:v>-1272.45454545454</s:v>
      </s:c>
      <s:c r="R11" s="48"/>
      <s:c r="S11" s="38" t="str">
        <s:f>IF(AND(R11&lt;&gt;"",R11&lt;&gt;0,O11&lt;&gt;"",O11&lt;&gt;0),-R11+O11,"")</s:f>
        <s:v/>
      </s:c>
      <s:c r="T11" s="40" t="str">
        <s:f>IF(AND(S11&lt;&gt;"",S11&lt;&gt;0,R11&lt;&gt;0,R11&lt;&gt;""),S11/R11,"")</s:f>
        <s:v/>
      </s:c>
      <s:c r="U11" s="12"/>
      <s:c r="V11" s="12"/>
      <s:c r="W11" s="12"/>
      <s:c r="X11" s="32"/>
      <s:c r="Y11" s="12"/>
      <s:c r="Z11" s="12"/>
      <s:c r="AA11" s="12"/>
      <s:c r="AB11" s="12"/>
    </s:row>
    <s:row r="12" spans="2:28" ht="15.75" customHeight="1">
      <s:c r="B12" s="185"/>
      <s:c r="C12" s="12"/>
      <s:c r="D12" s="12"/>
      <s:c r="E12" s="12"/>
      <s:c r="F12" s="12"/>
      <s:c r="G12" s="12"/>
      <s:c r="H12" s="12"/>
      <s:c r="I12" s="621" t="s">
        <s:v>16</s:v>
      </s:c>
      <s:c r="J12" s="622"/>
      <s:c r="K12" s="623"/>
      <s:c r="L12" s="49">
        <s:f>'Ялта, Ленина, 18'!I12</s:f>
        <s:v>1.82</s:v>
      </s:c>
      <s:c r="M12" s="50">
        <s:f>J57</s:f>
        <s:v>1.94117647058823</s:v>
      </s:c>
      <s:c r="N12" s="35">
        <s:f>IF(AND(L12&lt;&gt;"",L12&lt;&gt;0,M12&lt;&gt;""),M12/L12,"")</s:f>
        <s:v>1.06658047834518</s:v>
      </s:c>
      <s:c r="O12" s="199">
        <s:f>M12</s:f>
        <s:v>1.94117647058823</s:v>
      </s:c>
      <s:c r="P12" s="237">
        <s:f>IF(AND(L12&lt;&gt;"",L12&lt;&gt;0,O12&lt;&gt;"",O12&lt;&gt;0),O12/L12,"")</s:f>
        <s:v>1.06658047834518</s:v>
      </s:c>
      <s:c r="Q12" s="51">
        <s:f>IF(AND(M12&lt;&gt;0,M12&lt;&gt;"",L12&lt;&gt;0,L12&lt;&gt;""),O12-L12,"")</s:f>
        <s:v>0.121176470588235</s:v>
      </s:c>
      <s:c r="R12" s="52"/>
      <s:c r="S12" s="38" t="str">
        <s:f>IF(AND(R12&lt;&gt;"",R12&lt;&gt;0,O12&lt;&gt;"",O12&lt;&gt;0),-R12+O12,"")</s:f>
        <s:v/>
      </s:c>
      <s:c r="T12" s="40" t="str">
        <s:f>IF(AND(S12&lt;&gt;"",S12&lt;&gt;0,R12&lt;&gt;0,R12&lt;&gt;""),S12/R12,"")</s:f>
        <s:v/>
      </s:c>
      <s:c r="U12" s="12"/>
      <s:c r="V12" s="12"/>
      <s:c r="W12" s="238">
        <s:f>U12-V12</s:f>
        <s:v>0</s:v>
      </s:c>
      <s:c r="X12" s="32"/>
      <s:c r="Y12" s="12"/>
      <s:c r="Z12" s="12"/>
      <s:c r="AA12" s="12"/>
      <s:c r="AB12" s="12"/>
    </s:row>
    <s:row r="13" spans="2:28" ht="15.75" customHeight="1">
      <s:c r="B13" s="185"/>
      <s:c r="C13" s="12"/>
      <s:c r="D13" s="12"/>
      <s:c r="E13" s="12"/>
      <s:c r="F13" s="12"/>
      <s:c r="G13" s="12"/>
      <s:c r="H13" s="12"/>
      <s:c r="I13" s="621" t="s">
        <s:v>17</s:v>
      </s:c>
      <s:c r="J13" s="622"/>
      <s:c r="K13" s="623"/>
      <s:c r="L13" s="33">
        <s:f>IF(L12&lt;&gt;0,L9/L12,"")</s:f>
        <s:v>36.321019108280197</s:v>
      </s:c>
      <s:c r="M13" s="233">
        <s:f>G57</s:f>
        <s:v>17</s:v>
      </s:c>
      <s:c r="N13" s="35">
        <s:f>IF(AND(L13&lt;&gt;"",L13&lt;&gt;0,M13&lt;&gt;""),M13/L13,"")</s:f>
        <s:v>0.46804854096520698</s:v>
      </s:c>
      <s:c r="O13" s="234">
        <s:f>IF(SUMIF($G$25:$G$54,"&gt;=0",$W$25:$W$54)&lt;&gt;0,L13*G57/SUMIF($G$25:$G$54,"&gt;=0",$W$25:$W$54),"")</s:f>
        <s:v>33.999999999999901</s:v>
      </s:c>
      <s:c r="P13" s="235">
        <s:f>IF(AND(L13&lt;&gt;"",L13&lt;&gt;0,O13&lt;&gt;"",O13&lt;&gt;0),O13/L13,"")</s:f>
        <s:v>0.93609708193041496</s:v>
      </s:c>
      <s:c r="Q13" s="51">
        <s:f>IF(AND(M13&lt;&gt;0,M13&lt;&gt;"",L13&lt;&gt;0,L13&lt;&gt;""),O13-L13,"")</s:f>
        <s:v>-2.32101910828026</s:v>
      </s:c>
      <s:c r="R13" s="53"/>
      <s:c r="S13" s="38" t="str">
        <s:f>IF(AND(R13&lt;&gt;"",R13&lt;&gt;0,O13&lt;&gt;"",O13&lt;&gt;0),-R13+O13,"")</s:f>
        <s:v/>
      </s:c>
      <s:c r="T13" s="40" t="str">
        <s:f>IF(AND(S13&lt;&gt;"",S13&lt;&gt;0,R13&lt;&gt;0,R13&lt;&gt;""),S13/R13,"")</s:f>
        <s:v/>
      </s:c>
      <s:c r="U13" s="12"/>
      <s:c r="V13" s="12"/>
      <s:c r="W13" s="12"/>
      <s:c r="X13" s="32"/>
      <s:c r="Y13" s="12"/>
      <s:c r="Z13" s="12"/>
      <s:c r="AA13" s="12"/>
      <s:c r="AB13" s="12"/>
    </s:row>
    <s:row r="14" spans="2:28" ht="15.75" customHeight="1">
      <s:c r="B14" s="185"/>
      <s:c r="C14" s="12"/>
      <s:c r="D14" s="12"/>
      <s:c r="E14" s="12"/>
      <s:c r="F14" s="12"/>
      <s:c r="G14" s="12"/>
      <s:c r="H14" s="12"/>
      <s:c r="I14" s="621" t="s">
        <s:v>71</s:v>
      </s:c>
      <s:c r="J14" s="622"/>
      <s:c r="K14" s="623"/>
      <s:c r="L14" s="47">
        <s:f>График!AI26</s:f>
        <s:v>8</s:v>
      </s:c>
      <s:c r="M14" s="55">
        <s:v>8</s:v>
      </s:c>
      <s:c r="N14" s="35">
        <s:f>IF(AND(L14&lt;&gt;"",L14&lt;&gt;0,M14&lt;&gt;""),M14/L14,"")</s:f>
        <s:v>1</s:v>
      </s:c>
      <s:c r="O14" s="36">
        <s:f>L14</s:f>
        <s:v>8</s:v>
      </s:c>
      <s:c r="P14" s="237">
        <s:f>IF(AND(L14&lt;&gt;"",L14&lt;&gt;0,O14&lt;&gt;"",O14&lt;&gt;0),O14/L14,"")</s:f>
        <s:v>1</s:v>
      </s:c>
      <s:c r="Q14" s="38">
        <s:f>IF(AND(M14&lt;&gt;0,M14&lt;&gt;"",L14&lt;&gt;0,L14&lt;&gt;""),O14-L14,"")</s:f>
        <s:v>0</s:v>
      </s:c>
      <s:c r="R14" s="53"/>
      <s:c r="S14" s="38" t="str">
        <s:f>IF(AND(R14&lt;&gt;"",R14&lt;&gt;0,O14&lt;&gt;"",O14&lt;&gt;0),-R14+O14,"")</s:f>
        <s:v/>
      </s:c>
      <s:c r="T14" s="40" t="str">
        <s:f>IF(AND(S14&lt;&gt;"",S14&lt;&gt;0,R14&lt;&gt;0,R14&lt;&gt;""),S14/R14,"")</s:f>
        <s:v/>
      </s:c>
      <s:c r="U14" s="12"/>
      <s:c r="V14" s="12"/>
      <s:c r="W14" s="12"/>
      <s:c r="X14" s="32"/>
      <s:c r="Y14" s="12"/>
      <s:c r="Z14" s="12"/>
      <s:c r="AA14" s="12"/>
      <s:c r="AB14" s="12"/>
    </s:row>
    <s:row r="15" spans="2:28" ht="15.75" customHeight="1">
      <s:c r="B15" s="185"/>
      <s:c r="C15" s="12"/>
      <s:c r="D15" s="12"/>
      <s:c r="E15" s="12"/>
      <s:c r="F15" s="12"/>
      <s:c r="G15" s="12"/>
      <s:c r="H15" s="12"/>
      <s:c r="I15" s="621" t="s">
        <s:v>19</s:v>
      </s:c>
      <s:c r="J15" s="622"/>
      <s:c r="K15" s="623"/>
      <s:c r="L15" s="63">
        <s:f>'Ялта, Ленина, 18'!I15</s:f>
        <s:v>81965.52</s:v>
      </s:c>
      <s:c r="M15" s="233">
        <s:f>M8/M14</s:f>
        <s:v>23419.875</s:v>
      </s:c>
      <s:c r="N15" s="57">
        <s:f>IF(AND(L15&lt;&gt;"",L15&lt;&gt;0,M15&lt;&gt;""),M15/L15,"")</s:f>
        <s:v>0.28572837700535503</s:v>
      </s:c>
      <s:c r="O15" s="234">
        <s:f>M15</s:f>
        <s:v>23419.875</s:v>
      </s:c>
      <s:c r="P15" s="235">
        <s:f>IF(AND(L15&lt;&gt;"",L15&lt;&gt;0,O15&lt;&gt;"",O15&lt;&gt;0),O15/L15,"")</s:f>
        <s:v>0.28572837700535503</s:v>
      </s:c>
      <s:c r="Q15" s="38">
        <s:f>IF(AND(M15&lt;&gt;0,M15&lt;&gt;"",L15&lt;&gt;0,L15&lt;&gt;""),O15-L15,"")</s:f>
        <s:v>-58545.644999999997</s:v>
      </s:c>
      <s:c r="R15" s="59"/>
      <s:c r="S15" s="38" t="str">
        <s:f>IF(AND(R15&lt;&gt;"",R15&lt;&gt;0,O15&lt;&gt;"",O15&lt;&gt;0),-R15+O15,"")</s:f>
        <s:v/>
      </s:c>
      <s:c r="T15" s="40" t="str">
        <s:f>IF(AND(S15&lt;&gt;"",S15&lt;&gt;0,R15&lt;&gt;0,R15&lt;&gt;""),S15/R15,"")</s:f>
        <s:v/>
      </s:c>
      <s:c r="U15" s="12"/>
      <s:c r="V15" s="12"/>
      <s:c r="W15" s="12"/>
      <s:c r="X15" s="32"/>
      <s:c r="Y15" s="12"/>
      <s:c r="Z15" s="12"/>
      <s:c r="AA15" s="12"/>
      <s:c r="AB15" s="12"/>
    </s:row>
    <s:row r="16" spans="2:28" ht="15.75" customHeight="1">
      <s:c r="B16" s="185"/>
      <s:c r="C16" s="12"/>
      <s:c r="D16" s="12"/>
      <s:c r="E16" s="12"/>
      <s:c r="F16" s="12"/>
      <s:c r="G16" s="12"/>
      <s:c r="H16" s="12"/>
      <s:c r="I16" s="621" t="s">
        <s:v>20</s:v>
      </s:c>
      <s:c r="J16" s="622"/>
      <s:c r="K16" s="623"/>
      <s:c r="L16" s="63"/>
      <s:c r="M16" s="34">
        <s:f>M8-L15*M14</s:f>
        <s:v>-468365.16</s:v>
      </s:c>
      <s:c r="N16" s="57" t="str">
        <s:f>IF(AND(L16&lt;&gt;"",L16&lt;&gt;0,M16&lt;&gt;""),M16/L16,"")</s:f>
        <s:v/>
      </s:c>
      <s:c r="O16" s="191">
        <s:f>M16</s:f>
        <s:v>-468365.16</s:v>
      </s:c>
      <s:c r="P16" s="239" t="str">
        <s:f>IF(AND(L16&lt;&gt;"",L16&lt;&gt;0,O16&lt;&gt;"",O16&lt;&gt;0),O16/L16,"")</s:f>
        <s:v/>
      </s:c>
      <s:c r="Q16" s="38" t="str">
        <s:f>IF(AND(M16&lt;&gt;0,M16&lt;&gt;"",L16&lt;&gt;0,L16&lt;&gt;""),O16-L16,"")</s:f>
        <s:v/>
      </s:c>
      <s:c r="R16" s="59"/>
      <s:c r="S16" s="38" t="str">
        <s:f>IF(AND(R16&lt;&gt;"",R16&lt;&gt;0,O16&lt;&gt;"",O16&lt;&gt;0),-R16+O16,"")</s:f>
        <s:v/>
      </s:c>
      <s:c r="T16" s="40" t="str">
        <s:f>IF(AND(S16&lt;&gt;"",S16&lt;&gt;0,R16&lt;&gt;0,R16&lt;&gt;""),S16/R16,"")</s:f>
        <s:v/>
      </s:c>
      <s:c r="U16" s="12"/>
      <s:c r="V16" s="12"/>
      <s:c r="W16" s="12"/>
      <s:c r="X16" s="32"/>
      <s:c r="Y16" s="12"/>
      <s:c r="Z16" s="12"/>
      <s:c r="AA16" s="12"/>
      <s:c r="AB16" s="12"/>
    </s:row>
    <s:row r="17" spans="1:38" ht="15.75" customHeight="1">
      <s:c r="B17" s="185"/>
      <s:c r="C17" s="12"/>
      <s:c r="D17" s="201"/>
      <s:c r="E17" s="12"/>
      <s:c r="F17" s="12"/>
      <s:c r="G17" s="201"/>
      <s:c r="H17" s="12"/>
      <s:c r="I17" s="621" t="s">
        <s:v>21</s:v>
      </s:c>
      <s:c r="J17" s="622"/>
      <s:c r="K17" s="623"/>
      <s:c r="L17" s="63">
        <s:f>'Ялта, Ленина, 18'!I17/График!AJ29*График!AJ26</s:f>
        <s:v>336.30573248407597</s:v>
      </s:c>
      <s:c r="M17" s="233">
        <s:f>I57</s:f>
        <s:v>278</s:v>
      </s:c>
      <s:c r="N17" s="57">
        <s:f>IF(AND(L17&lt;&gt;"",L17&lt;&gt;0,M17&lt;&gt;""),M17/L17,"")</s:f>
        <s:v>0.82662878787878702</s:v>
      </s:c>
      <s:c r="O17" s="234">
        <s:f>M17/M14*L14</s:f>
        <s:v>278</s:v>
      </s:c>
      <s:c r="P17" s="240">
        <s:f>IF(AND(L17&lt;&gt;"",L17&lt;&gt;0,O17&lt;&gt;"",O17&lt;&gt;0),O17/L17,"")</s:f>
        <s:v>0.82662878787878702</s:v>
      </s:c>
      <s:c r="Q17" s="38">
        <s:f>IF(AND(M17&lt;&gt;0,M17&lt;&gt;"",L17&lt;&gt;0,L17&lt;&gt;""),O17-L17,"")</s:f>
        <s:v>-58.305732484076401</s:v>
      </s:c>
      <s:c r="R17" s="59"/>
      <s:c r="S17" s="38" t="str">
        <s:f>IF(AND(R17&lt;&gt;"",R17&lt;&gt;0,O17&lt;&gt;"",O17&lt;&gt;0),-R17+O17,"")</s:f>
        <s:v/>
      </s:c>
      <s:c r="T17" s="40" t="str">
        <s:f>IF(AND(S17&lt;&gt;"",S17&lt;&gt;0,R17&lt;&gt;0,R17&lt;&gt;""),S17/R17,"")</s:f>
        <s:v/>
      </s:c>
      <s:c r="U17" s="12"/>
      <s:c r="V17" s="12"/>
      <s:c r="W17" s="12"/>
      <s:c r="X17" s="32"/>
      <s:c r="Y17" s="12"/>
      <s:c r="Z17" s="12"/>
      <s:c r="AA17" s="12"/>
      <s:c r="AB17" s="12"/>
    </s:row>
    <s:row r="18" spans="1:38" ht="15.75" customHeight="1">
      <s:c r="B18" s="185"/>
      <s:c r="C18" s="12"/>
      <s:c r="D18" s="12"/>
      <s:c r="E18" s="12"/>
      <s:c r="F18" s="12"/>
      <s:c r="G18" s="12"/>
      <s:c r="H18" s="12"/>
      <s:c r="I18" s="621" t="s">
        <s:v>22</s:v>
      </s:c>
      <s:c r="J18" s="622"/>
      <s:c r="K18" s="623"/>
      <s:c r="L18" s="64">
        <s:f>L8/L17</s:f>
        <s:v>1366.0920000000001</s:v>
      </s:c>
      <s:c r="M18" s="56">
        <s:f>M8/M17</s:f>
        <s:v>673.95323741007189</s:v>
      </s:c>
      <s:c r="N18" s="65">
        <s:f>IF(AND(L18&lt;&gt;"", L18&lt;&gt;0, M18&lt;&gt;""), M18/L18, "")</s:f>
        <s:v>0.49334396029701599</s:v>
      </s:c>
      <s:c r="O18" s="66">
        <s:f>M18</s:f>
        <s:v>673.95323741007189</s:v>
      </s:c>
      <s:c r="P18" s="61">
        <s:f>IF(AND(L18&lt;&gt;"", L18&lt;&gt;0, O18&lt;&gt;"", O18&lt;&gt;0), O18/L18, "")</s:f>
        <s:v>0.49334396029701599</s:v>
      </s:c>
      <s:c r="Q18" s="38">
        <s:f>IF(AND(M18&lt;&gt;0, M18&lt;&gt;"", L18&lt;&gt;0, L18&lt;&gt;""), O18-L18, "")</s:f>
        <s:v>-692.13876258992798</s:v>
      </s:c>
      <s:c r="R18" s="205">
        <s:v>0</s:v>
      </s:c>
      <s:c r="S18" s="38" t="str">
        <s:f>IF(AND(R18&lt;&gt;"",R18&lt;&gt;0,O18&lt;&gt;"",O18&lt;&gt;0),-R18+O18,"")</s:f>
        <s:v/>
      </s:c>
      <s:c r="T18" s="40" t="str">
        <s:f>IF(AND(S18&lt;&gt;"",S18&lt;&gt;0,R18&lt;&gt;0,R18&lt;&gt;""),S18/R18,"")</s:f>
        <s:v/>
      </s:c>
      <s:c r="U18" s="12"/>
      <s:c r="V18" s="12"/>
      <s:c r="W18" s="12"/>
      <s:c r="X18" s="12"/>
      <s:c r="Y18" s="12"/>
      <s:c r="Z18" s="12"/>
      <s:c r="AA18" s="12"/>
      <s:c r="AB18" s="12"/>
    </s:row>
    <s:row r="19" spans="1:38" ht="15.75" customHeight="1">
      <s:c r="B19" s="185"/>
      <s:c r="C19" s="12"/>
      <s:c r="D19" s="12"/>
      <s:c r="E19" s="12"/>
      <s:c r="F19" s="12"/>
      <s:c r="G19" s="12"/>
      <s:c r="H19" s="12"/>
      <s:c r="I19" s="621"/>
      <s:c r="J19" s="622"/>
      <s:c r="K19" s="623"/>
      <s:c r="L19" s="64"/>
      <s:c r="M19" s="233"/>
      <s:c r="N19" s="57" t="str">
        <s:f>IF(AND(L19&lt;&gt;"",L19&lt;&gt;0,M19&lt;&gt;""),M19/L19,"")</s:f>
        <s:v/>
      </s:c>
      <s:c r="O19" s="234">
        <s:f>M19</s:f>
        <s:v>0</s:v>
      </s:c>
      <s:c r="P19" s="240" t="str">
        <s:f>IF(AND(L19&lt;&gt;"",L19&lt;&gt;0,O19&lt;&gt;"",O19&lt;&gt;0),O19/L19,"")</s:f>
        <s:v/>
      </s:c>
      <s:c r="Q19" s="38" t="str">
        <s:f>IF(AND(M19&lt;&gt;0,M19&lt;&gt;"",L19&lt;&gt;0,L19&lt;&gt;""),O19-L19,"")</s:f>
        <s:v/>
      </s:c>
      <s:c r="R19" s="59">
        <s:v>0</s:v>
      </s:c>
      <s:c r="S19" s="38" t="str">
        <s:f>IF(AND(R19&lt;&gt;"",R19&lt;&gt;0,O19&lt;&gt;"",O19&lt;&gt;0),-R19+O19,"")</s:f>
        <s:v/>
      </s:c>
      <s:c r="T19" s="40" t="str">
        <s:f>IF(AND(S19&lt;&gt;"",S19&lt;&gt;0,R19&lt;&gt;0,R19&lt;&gt;""),S19/R19,"")</s:f>
        <s:v/>
      </s:c>
      <s:c r="U19" s="12"/>
      <s:c r="V19" s="12"/>
      <s:c r="W19" s="12"/>
      <s:c r="X19" s="12"/>
      <s:c r="Y19" s="12"/>
      <s:c r="Z19" s="12"/>
      <s:c r="AA19" s="12"/>
      <s:c r="AB19" s="12"/>
    </s:row>
    <s:row r="20" spans="1:38" ht="15.75" customHeight="1" thickBot="1">
      <s:c r="B20" s="185"/>
      <s:c r="C20" s="12"/>
      <s:c r="D20" s="12"/>
      <s:c r="E20" s="12"/>
      <s:c r="F20" s="12"/>
      <s:c r="G20" s="12"/>
      <s:c r="H20" s="12"/>
      <s:c r="I20" s="675" t="s">
        <s:v>23</s:v>
      </s:c>
      <s:c r="J20" s="675"/>
      <s:c r="K20" s="675"/>
      <s:c r="L20" s="206">
        <s:f>'Ялта, Ленина, 18'!I20</s:f>
        <s:v>0.108</s:v>
      </s:c>
      <s:c r="M20" s="207">
        <s:f>S57</s:f>
        <s:v>6.1151079136690649E-2</s:v>
      </s:c>
      <s:c r="N20" s="208">
        <s:f>M20/L20</s:f>
        <s:v>0.56621369571009861</s:v>
      </s:c>
      <s:c r="O20" s="209">
        <s:f>IF(AND(N8&lt;&gt;0,L14&lt;&gt;0,I57&lt;&gt;0),(I57*S57+(I57/N8-I57)*L20)/(I57/N8),0)</s:f>
        <s:v>8.8894432897564199E-2</s:v>
      </s:c>
      <s:c r="P20" s="209">
        <s:f>IF(AND(L20&lt;&gt;"",L20&lt;&gt;0,O20&lt;&gt;"",O20&lt;&gt;0),O20/L20,"")</s:f>
        <s:v>0.823096600903372</s:v>
      </s:c>
      <s:c r="Q20" s="70">
        <s:f>IF(AND(M20&lt;&gt;0,M20&lt;&gt;"",L20&lt;&gt;0,L20&lt;&gt;""),O20-L20,"")</s:f>
        <s:v>-1.91055671024358E-2</s:v>
      </s:c>
      <s:c r="R20" s="71"/>
      <s:c r="S20" s="72" t="str">
        <s:f>IF(AND(R20&lt;&gt;"",R20&lt;&gt;0,O20&lt;&gt;"",O20&lt;&gt;0),-R20+O20,"")</s:f>
        <s:v/>
      </s:c>
      <s:c r="T20" s="73" t="str">
        <s:f>IF(AND(S20&lt;&gt;"",S20&lt;&gt;0,R20&lt;&gt;0,R20&lt;&gt;""),S20/R20,"")</s:f>
        <s:v/>
      </s:c>
      <s:c r="U20" s="12"/>
      <s:c r="V20" s="12"/>
      <s:c r="W20" s="18"/>
      <s:c r="X20" s="18"/>
      <s:c r="Y20" s="12"/>
      <s:c r="Z20" s="12"/>
      <s:c r="AA20" s="12"/>
      <s:c r="AB20" s="12"/>
    </s:row>
    <s:row r="21" spans="1:38" ht="15.75" customHeight="1">
      <s:c r="B21" s="185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2"/>
      <s:c r="S21" s="12"/>
      <s:c r="T21" s="12"/>
      <s:c r="U21" s="12"/>
      <s:c r="V21" s="12"/>
      <s:c r="W21" s="18"/>
      <s:c r="X21" s="18"/>
      <s:c r="Y21" s="12"/>
      <s:c r="Z21" s="12"/>
      <s:c r="AA21" s="12"/>
      <s:c r="AB21" s="12"/>
    </s:row>
    <s:row r="22" spans="1:38" ht="16.5" customHeight="1">
      <s:c r="B22" s="676" t="s">
        <s:v>24</s:v>
      </s:c>
      <s:c r="C22" s="676"/>
      <s:c r="D22" s="676"/>
      <s:c r="E22" s="676"/>
      <s:c r="F22" s="676"/>
      <s:c r="G22" s="676"/>
      <s:c r="H22" s="676"/>
      <s:c r="I22" s="676"/>
      <s:c r="J22" s="676"/>
      <s:c r="K22" s="676"/>
      <s:c r="L22" s="676"/>
      <s:c r="M22" s="676"/>
      <s:c r="N22" s="676"/>
      <s:c r="O22" s="676"/>
      <s:c r="P22" s="676"/>
      <s:c r="Q22" s="676"/>
      <s:c r="R22" s="676"/>
      <s:c r="S22" s="676"/>
      <s:c r="T22" s="689" t="s">
        <s:v>44</s:v>
      </s:c>
      <s:c r="U22" s="676" t="s">
        <s:v>25</s:v>
      </s:c>
      <s:c r="V22" s="676"/>
      <s:c r="W22" s="676"/>
      <s:c r="X22" s="676"/>
      <s:c r="Y22" s="676"/>
      <s:c r="Z22" s="676"/>
      <s:c r="AA22" s="676"/>
      <s:c r="AB22" s="676"/>
    </s:row>
    <s:row r="23" ht="36">
      <s:c r="B23" s="211" t="s">
        <s:v>27</s:v>
      </s:c>
      <s:c r="C23" s="211" t="s">
        <s:v>28</s:v>
      </s:c>
      <s:c r="D23" s="211" t="s">
        <s:v>29</s:v>
      </s:c>
      <s:c r="E23" s="211" t="s">
        <s:v>30</s:v>
      </s:c>
      <s:c r="F23" s="211" t="s">
        <s:v>31</s:v>
      </s:c>
      <s:c r="G23" s="211" t="s">
        <s:v>32</s:v>
      </s:c>
      <s:c r="H23" s="211" t="s">
        <s:v>33</s:v>
      </s:c>
      <s:c r="I23" s="211" t="s">
        <s:v>21</s:v>
      </s:c>
      <s:c r="J23" s="211" t="s">
        <s:v>34</s:v>
      </s:c>
      <s:c r="K23" s="75" t="s">
        <s:v>35</s:v>
      </s:c>
      <s:c r="L23" s="75" t="s">
        <s:v>36</s:v>
      </s:c>
      <s:c r="M23" s="75" t="s">
        <s:v>37</s:v>
      </s:c>
      <s:c r="N23" s="75" t="s">
        <s:v>38</s:v>
      </s:c>
      <s:c r="O23" s="212" t="s">
        <s:v>39</s:v>
      </s:c>
      <s:c r="P23" s="75" t="s">
        <s:v>40</s:v>
      </s:c>
      <s:c r="Q23" s="212" t="s">
        <s:v>73</s:v>
      </s:c>
      <s:c r="R23" s="75" t="s">
        <s:v>42</s:v>
      </s:c>
      <s:c r="S23" s="211" t="s">
        <s:v>74</s:v>
      </s:c>
      <s:c r="T23" s="689"/>
      <s:c r="U23" s="211" t="s">
        <s:v>45</s:v>
      </s:c>
      <s:c r="V23" s="211" t="s">
        <s:v>46</s:v>
      </s:c>
      <s:c r="W23" s="211" t="s">
        <s:v>47</s:v>
      </s:c>
      <s:c r="X23" s="211" t="s">
        <s:v>48</s:v>
      </s:c>
      <s:c r="Y23" s="211" t="s">
        <s:v>49</s:v>
      </s:c>
      <s:c r="Z23" s="211" t="s">
        <s:v>50</s:v>
      </s:c>
      <s:c r="AA23" s="213" t="s">
        <s:v>51</s:v>
      </s:c>
      <s:c r="AB23" s="213" t="s">
        <s:v>52</s:v>
      </s:c>
      <s:c r="AC23" s="108"/>
    </s:row>
    <s:row r="24">
      <s:c r="B24" s="214">
        <s:v>1</s:v>
      </s:c>
      <s:c r="C24" s="214">
        <s:v>2</s:v>
      </s:c>
      <s:c r="D24" s="214">
        <s:v>3</s:v>
      </s:c>
      <s:c r="E24" s="214" t="s">
        <s:v>76</s:v>
      </s:c>
      <s:c r="F24" s="214">
        <s:v>5</s:v>
      </s:c>
      <s:c r="G24" s="214">
        <s:v>6</s:v>
      </s:c>
      <s:c r="H24" s="214">
        <s:v>7</s:v>
      </s:c>
      <s:c r="I24" s="214">
        <s:v>8</s:v>
      </s:c>
      <s:c r="J24" s="214">
        <s:v>9</s:v>
      </s:c>
      <s:c r="K24" s="214">
        <s:v>10</s:v>
      </s:c>
      <s:c r="L24" s="214">
        <s:v>11</s:v>
      </s:c>
      <s:c r="M24" s="214">
        <s:v>12</s:v>
      </s:c>
      <s:c r="N24" s="214">
        <s:v>13</s:v>
      </s:c>
      <s:c r="O24" s="214"/>
      <s:c r="P24" s="214">
        <s:v>14</s:v>
      </s:c>
      <s:c r="Q24" s="214">
        <s:v>15</s:v>
      </s:c>
      <s:c r="R24" s="214">
        <s:v>16</s:v>
      </s:c>
      <s:c r="S24" s="214">
        <s:v>17</s:v>
      </s:c>
      <s:c r="T24" s="689"/>
      <s:c r="U24" s="216">
        <s:v>1</s:v>
      </s:c>
      <s:c r="V24" s="216">
        <s:v>2</s:v>
      </s:c>
      <s:c r="W24" s="216">
        <s:v>3</s:v>
      </s:c>
      <s:c r="X24" s="216">
        <s:v>4</s:v>
      </s:c>
      <s:c r="Y24" s="216">
        <s:v>5</s:v>
      </s:c>
      <s:c r="Z24" s="216">
        <s:v>6</s:v>
      </s:c>
      <s:c r="AA24" s="216">
        <s:v>10</s:v>
      </s:c>
      <s:c r="AB24" s="216">
        <s:v>11</s:v>
      </s:c>
    </s:row>
    <s:row r="25">
      <s:c r="A25" s="80">
        <s:v>1</s:v>
      </s:c>
      <s:c r="B25" s="81">
        <s:v>46115</s:v>
      </s:c>
      <s:c r="C25" s="82" t="s">
        <s:v>58</s:v>
      </s:c>
      <s:c r="D25" s="83">
        <s:v>20964</s:v>
      </s:c>
      <s:c r="E25" s="85">
        <s:v>5</s:v>
      </s:c>
      <s:c r="F25" s="85">
        <s:f>IF(AND(E25&lt;&gt;"",E25&lt;&gt;0),D25/E25,"")</s:f>
        <s:v>4192.8</s:v>
      </s:c>
      <s:c r="G25" s="85">
        <s:v>2</s:v>
      </s:c>
      <s:c r="H25" s="85">
        <s:f>IF(AND(G25&lt;&gt;"",G25&lt;&gt;0),D25/G25,"")</s:f>
        <s:v>10482</s:v>
      </s:c>
      <s:c r="I25" s="85">
        <s:v>33</s:v>
      </s:c>
      <s:c r="J25" s="83">
        <s:f>IF(AND(G25&lt;&gt;"",G25&lt;&gt;0),E25/G25,"")</s:f>
        <s:v>2.5</s:v>
      </s:c>
      <s:c r="K25" s="85"/>
      <s:c r="L25" s="85"/>
      <s:c r="M25" s="85"/>
      <s:c r="N25" s="85"/>
      <s:c r="O25" s="85"/>
      <s:c r="P25" s="85"/>
      <s:c r="Q25" s="85"/>
      <s:c r="R25" s="588">
        <s:v>3795</s:v>
      </s:c>
      <s:c r="S25" s="86">
        <s:f>IF(AND(I25&lt;&gt;"",I25&lt;&gt;0),G25/I25,"")</s:f>
        <s:v>6.0606060606060608E-2</s:v>
      </s:c>
      <s:c r="T25" s="420">
        <s:f>D25/U25</s:f>
        <s:v>0.730095909952025</s:v>
      </s:c>
      <s:c r="U25" s="88">
        <s:f>$L$8*AA25*AB25/SUMPRODUCT($AB$25:$AB$56,$AA$25:$AA$56)</s:f>
        <s:v>28714.035668789798</s:v>
      </s:c>
      <s:c r="V25" s="89">
        <s:f>$L$9*AA25*AB25/SUMPRODUCT($AB$25:$AB$56,$AA$25:$AA$56)</s:f>
        <s:v>4.1315159235668704</s:v>
      </s:c>
      <s:c r="W25" s="89">
        <s:f>IF($L$12="","",V25/$L$12)</s:f>
        <s:v>2.2700636942675101</s:v>
      </s:c>
      <s:c r="X25" s="88">
        <s:f>IF(D25&lt;&gt;"",D25,U25)</s:f>
        <s:v>20964</s:v>
      </s:c>
      <s:c r="Y25" s="89">
        <s:f>IF(E25&lt;&gt;"",E25,V25)</s:f>
        <s:v>5</s:v>
      </s:c>
      <s:c r="Z25" s="89">
        <s:f>IF(G25&lt;&gt;"",G25,W25)</s:f>
        <s:v>2</s:v>
      </s:c>
      <s:c r="AA25" s="90">
        <s:v>1</s:v>
      </s:c>
      <s:c r="AB25" s="90">
        <s:v>1</s:v>
      </s:c>
      <s:c r="AC25" s="217"/>
      <s:c r="AD25" s="92"/>
    </s:row>
    <s:row r="26">
      <s:c r="A26" s="80">
        <s:v>2</s:v>
      </s:c>
      <s:c r="B26" s="81">
        <s:v>46116</s:v>
      </s:c>
      <s:c r="C26" s="82" t="s">
        <s:v>59</s:v>
      </s:c>
      <s:c r="D26" s="83">
        <s:v>10384</s:v>
      </s:c>
      <s:c r="E26" s="85">
        <s:v>2</s:v>
      </s:c>
      <s:c r="F26" s="85">
        <s:f>IF(AND(E26&lt;&gt;"",E26&lt;&gt;0),D26/E26,"")</s:f>
        <s:v>5192</s:v>
      </s:c>
      <s:c r="G26" s="85">
        <s:v>1</s:v>
      </s:c>
      <s:c r="H26" s="85">
        <s:f>IF(AND(G26&lt;&gt;"",G26&lt;&gt;0),D26/G26,"")</s:f>
        <s:v>10384</s:v>
      </s:c>
      <s:c r="I26" s="85">
        <s:v>30</s:v>
      </s:c>
      <s:c r="J26" s="83">
        <s:f>IF(AND(G26&lt;&gt;"",G26&lt;&gt;0),E26/G26,"")</s:f>
        <s:v>2</s:v>
      </s:c>
      <s:c r="K26" s="85"/>
      <s:c r="L26" s="85"/>
      <s:c r="M26" s="85"/>
      <s:c r="N26" s="85"/>
      <s:c r="O26" s="85"/>
      <s:c r="P26" s="85"/>
      <s:c r="Q26" s="85"/>
      <s:c r="R26" s="85"/>
      <s:c r="S26" s="86">
        <s:f>IF(AND(I26&lt;&gt;"",I26&lt;&gt;0),G26/I26,"")</s:f>
        <s:v>3.3333333333333333E-2</s:v>
      </s:c>
      <s:c r="T26" s="420">
        <s:f>D26/U26</s:f>
        <s:v>0.36163498993235199</s:v>
      </s:c>
      <s:c r="U26" s="88">
        <s:f>$L$8*AA26*AB26/SUMPRODUCT($AB$25:$AB$56,$AA$25:$AA$56)</s:f>
        <s:v>28714.035668789798</s:v>
      </s:c>
      <s:c r="V26" s="89">
        <s:f>$L$9*AA26*AB26/SUMPRODUCT($AB$25:$AB$58,$AA$25:$AA$58)</s:f>
        <s:v>4.1315159235668704</s:v>
      </s:c>
      <s:c r="W26" s="89">
        <s:f>IF($L$12="","",V26/$L$12)</s:f>
        <s:v>2.2700636942675101</s:v>
      </s:c>
      <s:c r="X26" s="88">
        <s:f>IF(AB26&lt;&gt;"",IF(D26&lt;&gt;"",D26,($L$8-SUM($X$25:X25))*AA26*AB26/SUMPRODUCT($AB26:$AB$56,$AA26:$AA$56)),"")</s:f>
        <s:v>10384</s:v>
      </s:c>
      <s:c r="Y26" s="89">
        <s:f>IF(AB26&lt;&gt;"",IF(E26&lt;&gt;"",E26,($L$9-SUM($Y$25:Y25))*AA26*AB26/SUMPRODUCT($AB26:$AB$58,$AA26:$AA$58)),"")</s:f>
        <s:v>2</s:v>
      </s:c>
      <s:c r="Z26" s="89">
        <s:f>IF(AB26&lt;&gt;"",IF($L$12&lt;&gt;"",IF(G26&lt;&gt;"",G26,($L$9/$L$12-SUM($Z$25:Z25))*AA26*AB26/SUMPRODUCT($AB26:$AB$58,$AA26:$AA$58)),""),"")</s:f>
        <s:v>1</s:v>
      </s:c>
      <s:c r="AA26" s="90">
        <s:v>1</s:v>
      </s:c>
      <s:c r="AB26" s="90">
        <s:v>1</s:v>
      </s:c>
      <s:c r="AC26" s="91"/>
      <s:c r="AD26" s="92"/>
    </s:row>
    <s:row r="27">
      <s:c r="A27" s="80">
        <s:v>3</s:v>
      </s:c>
      <s:c r="B27" s="81">
        <s:v>46119</s:v>
      </s:c>
      <s:c r="C27" s="82" t="s">
        <s:v>55</s:v>
      </s:c>
      <s:c r="D27" s="83">
        <s:v>10534</s:v>
      </s:c>
      <s:c r="E27" s="85">
        <s:v>2</s:v>
      </s:c>
      <s:c r="F27" s="85">
        <s:v>5267</s:v>
      </s:c>
      <s:c r="G27" s="85">
        <s:v>1</s:v>
      </s:c>
      <s:c r="H27" s="85">
        <s:v>10534</s:v>
      </s:c>
      <s:c r="I27" s="85">
        <s:v>30</s:v>
      </s:c>
      <s:c r="J27" s="83">
        <s:f>IF(AND(G27&lt;&gt;"",G27&lt;&gt;0),E27/G27,"")</s:f>
        <s:v>2</s:v>
      </s:c>
      <s:c r="K27" s="85"/>
      <s:c r="L27" s="85"/>
      <s:c r="M27" s="85"/>
      <s:c r="N27" s="85"/>
      <s:c r="O27" s="85"/>
      <s:c r="P27" s="85"/>
      <s:c r="Q27" s="85"/>
      <s:c r="R27" s="85"/>
      <s:c r="S27" s="86">
        <s:f>IF(AND(I27&lt;&gt;"",I27&lt;&gt;0),G27/I27,"")</s:f>
        <s:v>3.3333333333333298E-2</s:v>
      </s:c>
      <s:c r="T27" s="420">
        <s:f>I27/U27</s:f>
        <s:v>1.04478521744708E-3</s:v>
      </s:c>
      <s:c r="U27" s="88">
        <s:f>$L$8*AA27*AB27/SUMPRODUCT($AB$25:$AB$56,$AA$25:$AA$56)</s:f>
        <s:v>28714.035668789798</s:v>
      </s:c>
      <s:c r="V27" s="89">
        <s:f>$L$9*AA27*AB27/SUMPRODUCT($AB$25:$AB$58,$AA$25:$AA$58)</s:f>
        <s:v>4.1315159235668704</s:v>
      </s:c>
      <s:c r="W27" s="89">
        <s:f>IF($L$12="","",V27/$L$12)</s:f>
        <s:v>2.2700636942675101</s:v>
      </s:c>
      <s:c r="X27" s="88">
        <s:f>IF(AB27&lt;&gt;"",IF(D27&lt;&gt;"",D27,($L$8-SUM($X$25:X26))*AA27*AB27/SUMPRODUCT($AB27:$AB$58,$AA27:$AA$58)),"")</s:f>
        <s:v>10534</s:v>
      </s:c>
      <s:c r="Y27" s="89">
        <s:f>IF(AB27&lt;&gt;"",IF(E27&lt;&gt;"",E27,($L$9-SUM($Y$25:Y26))*AA27*AB27/SUMPRODUCT($AB27:$AB$58,$AA27:$AA$58)),"")</s:f>
        <s:v>2</s:v>
      </s:c>
      <s:c r="Z27" s="89">
        <s:f>IF(AB27&lt;&gt;"",IF($L$12&lt;&gt;"",IF(G27&lt;&gt;"",G27,($L$9/$L$12-SUM($Z$25:Z26))*AA27*AB27/SUMPRODUCT($AB27:$AB$58,$AA27:$AA$58)),""),"")</s:f>
        <s:v>1</s:v>
      </s:c>
      <s:c r="AA27" s="90">
        <s:v>1</s:v>
      </s:c>
      <s:c r="AB27" s="90">
        <s:v>1</s:v>
      </s:c>
      <s:c r="AC27" s="91"/>
      <s:c r="AD27" s="92"/>
      <s:c r="AE27" s="93"/>
      <s:c r="AF27" s="2"/>
      <s:c r="AG27" s="2"/>
      <s:c r="AH27" s="2"/>
      <s:c r="AI27" s="2"/>
      <s:c r="AJ27" s="2"/>
      <s:c r="AK27" s="2"/>
      <s:c r="AL27" s="2"/>
    </s:row>
    <s:row r="28">
      <s:c r="A28" s="80">
        <s:v>4</s:v>
      </s:c>
      <s:c r="B28" s="81">
        <s:v>46120</s:v>
      </s:c>
      <s:c r="C28" s="97" t="s">
        <s:v>56</s:v>
      </s:c>
      <s:c r="D28" s="83">
        <s:v>47300</s:v>
      </s:c>
      <s:c r="E28" s="221">
        <s:v>8</s:v>
      </s:c>
      <s:c r="F28" s="85">
        <s:v>5912</s:v>
      </s:c>
      <s:c r="G28" s="221">
        <s:v>6</s:v>
      </s:c>
      <s:c r="H28" s="85">
        <s:v>7883</s:v>
      </s:c>
      <s:c r="I28" s="221">
        <s:v>52</s:v>
      </s:c>
      <s:c r="J28" s="83">
        <s:f>IF(AND(G28&lt;&gt;"",G28&lt;&gt;0),E28/G28,"")</s:f>
        <s:v>1.3333333333333299</s:v>
      </s:c>
      <s:c r="K28" s="221"/>
      <s:c r="L28" s="85"/>
      <s:c r="M28" s="241"/>
      <s:c r="N28" s="242"/>
      <s:c r="O28" s="242"/>
      <s:c r="P28" s="85"/>
      <s:c r="Q28" s="85"/>
      <s:c r="R28" s="588">
        <s:v>3514</s:v>
      </s:c>
      <s:c r="S28" s="86">
        <s:f>IF(AND(I28&lt;&gt;"",I28&lt;&gt;0),G28/I28,"")</s:f>
        <s:v>0.11538461538461539</s:v>
      </s:c>
      <s:c r="T28" s="420">
        <s:f>I28/U28</s:f>
        <s:v>1.8109610435749499E-3</s:v>
      </s:c>
      <s:c r="U28" s="88">
        <s:f>$L$8*AA28*AB28/SUMPRODUCT($AB$25:$AB$56,$AA$25:$AA$56)</s:f>
        <s:v>28714.035668789798</s:v>
      </s:c>
      <s:c r="V28" s="89">
        <s:f>$L$9*AA28*AB28/SUMPRODUCT($AB$25:$AB$58,$AA$25:$AA$58)</s:f>
        <s:v>4.1315159235668704</s:v>
      </s:c>
      <s:c r="W28" s="89">
        <s:f>IF($L$12="","",V28/$L$12)</s:f>
        <s:v>2.2700636942675101</s:v>
      </s:c>
      <s:c r="X28" s="88">
        <s:f>IF(AB28&lt;&gt;"",IF(D28&lt;&gt;"",D28,($L$8-SUM($X$25:X27))*AA28*AB28/SUMPRODUCT($AB28:$AB$58,$AA28:$AA$58)),"")</s:f>
        <s:v>47300</s:v>
      </s:c>
      <s:c r="Y28" s="89">
        <s:f>IF(AB28&lt;&gt;"",IF(E28&lt;&gt;"",E28,($L$9-SUM($Y$25:Y27))*AA28*AB28/SUMPRODUCT($AB28:$AB$58,$AA28:$AA$58)),"")</s:f>
        <s:v>8</s:v>
      </s:c>
      <s:c r="Z28" s="89">
        <s:f>IF(AB28&lt;&gt;"",IF($L$12&lt;&gt;"",IF(G28&lt;&gt;"",G28,($L$9/$L$12-SUM($Z$25:Z27))*AA28*AB28/SUMPRODUCT($AB28:$AB$58,$AA28:$AA$58)),""),"")</s:f>
        <s:v>6</s:v>
      </s:c>
      <s:c r="AA28" s="90">
        <s:v>1</s:v>
      </s:c>
      <s:c r="AB28" s="90">
        <s:v>1</s:v>
      </s:c>
      <s:c r="AC28" s="91"/>
      <s:c r="AD28" s="92"/>
      <s:c r="AE28" s="2"/>
      <s:c r="AF28" s="2"/>
      <s:c r="AG28" s="2"/>
      <s:c r="AH28" s="2"/>
      <s:c r="AI28" s="2"/>
      <s:c r="AJ28" s="2"/>
      <s:c r="AK28" s="2"/>
      <s:c r="AL28" s="2"/>
    </s:row>
    <s:row r="29">
      <s:c r="A29" s="80">
        <s:v>5</s:v>
      </s:c>
      <s:c r="B29" s="81">
        <s:v>46123</s:v>
      </s:c>
      <s:c r="C29" s="82" t="s">
        <s:v>59</s:v>
      </s:c>
      <s:c r="D29" s="225">
        <s:v>39843</s:v>
      </s:c>
      <s:c r="E29" s="85">
        <s:v>7</s:v>
      </s:c>
      <s:c r="F29" s="85">
        <s:f>IF(AND(E29&lt;&gt;"",E29&lt;&gt;0),D29/E29,"")</s:f>
        <s:v>5691.8571428571404</s:v>
      </s:c>
      <s:c r="G29" s="85">
        <s:v>2</s:v>
      </s:c>
      <s:c r="H29" s="85">
        <s:f>IF(AND(G29&lt;&gt;"",G29&lt;&gt;0),D29/G29,"")</s:f>
        <s:v>19921.5</s:v>
      </s:c>
      <s:c r="I29" s="85">
        <s:v>29</s:v>
      </s:c>
      <s:c r="J29" s="225">
        <s:f>IF(AND(G29&lt;&gt;"",G29&lt;&gt;0),E29/G29,"")</s:f>
        <s:v>3.5</s:v>
      </s:c>
      <s:c r="K29" s="85"/>
      <s:c r="L29" s="243"/>
      <s:c r="M29" s="85"/>
      <s:c r="N29" s="85"/>
      <s:c r="O29" s="244"/>
      <s:c r="P29" s="244">
        <s:v>11893</s:v>
      </s:c>
      <s:c r="Q29" s="244"/>
      <s:c r="R29" s="588">
        <s:v>7980</s:v>
      </s:c>
      <s:c r="S29" s="226">
        <s:f>IF(AND(I29&lt;&gt;"",I29&lt;&gt;0),G29/I29,"")</s:f>
        <s:v>6.8965517241379309E-2</s:v>
      </s:c>
      <s:c r="T29" s="420">
        <s:f>I29/U29</s:f>
        <s:v>1.00995904353218E-3</s:v>
      </s:c>
      <s:c r="U29" s="88">
        <s:f>$L$8*AA29*AB29/SUMPRODUCT($AB$25:$AB$56,$AA$25:$AA$56)</s:f>
        <s:v>28714.035668789798</s:v>
      </s:c>
      <s:c r="V29" s="89">
        <s:f>$L$9*AA29*AB29/SUMPRODUCT($AB$25:$AB$58,$AA$25:$AA$58)</s:f>
        <s:v>4.1315159235668704</s:v>
      </s:c>
      <s:c r="W29" s="89">
        <s:f>IF($L$12="","",V29/$L$12)</s:f>
        <s:v>2.2700636942675101</s:v>
      </s:c>
      <s:c r="X29" s="88">
        <s:f>IF(AB29&lt;&gt;"",IF(D29&lt;&gt;"",D29,($L$8-SUM($X$25:X28))*AA29*AB29/SUMPRODUCT($AB29:$AB$58,$AA29:$AA$58)),"")</s:f>
        <s:v>39843</s:v>
      </s:c>
      <s:c r="Y29" s="89">
        <s:f>IF(AB29&lt;&gt;"",IF(E29&lt;&gt;"",E29,($L$9-SUM($Y$25:Y28))*AA29*AB29/SUMPRODUCT($AB29:$AB$58,$AA29:$AA$58)),"")</s:f>
        <s:v>7</s:v>
      </s:c>
      <s:c r="Z29" s="89">
        <s:f>IF(AB29&lt;&gt;"",IF($L$12&lt;&gt;"",IF(G29&lt;&gt;"",G29,($L$9/$L$12-SUM($Z$25:Z28))*AA29*AB29/SUMPRODUCT($AB29:$AB$58,$AA29:$AA$58)),""),"")</s:f>
        <s:v>2</s:v>
      </s:c>
      <s:c r="AA29" s="90">
        <s:v>1</s:v>
      </s:c>
      <s:c r="AB29" s="90">
        <s:v>1</s:v>
      </s:c>
      <s:c r="AC29" s="91"/>
      <s:c r="AD29" s="92"/>
      <s:c r="AE29" s="2"/>
      <s:c r="AF29" s="2"/>
      <s:c r="AG29" s="2"/>
      <s:c r="AH29" s="2"/>
      <s:c r="AI29" s="2"/>
      <s:c r="AJ29" s="2"/>
      <s:c r="AK29" s="2"/>
      <s:c r="AL29" s="2"/>
    </s:row>
    <s:row r="30">
      <s:c r="A30" s="80">
        <s:v>6</s:v>
      </s:c>
      <s:c r="B30" s="81">
        <s:v>46124</s:v>
      </s:c>
      <s:c r="C30" s="97" t="s">
        <s:v>53</s:v>
      </s:c>
      <s:c r="D30" s="83">
        <s:v>0</s:v>
      </s:c>
      <s:c r="E30" s="85">
        <s:v>0</s:v>
      </s:c>
      <s:c r="F30" s="85">
        <s:v>0</s:v>
      </s:c>
      <s:c r="G30" s="85">
        <s:v>0</s:v>
      </s:c>
      <s:c r="H30" s="85">
        <s:v>0</s:v>
      </s:c>
      <s:c r="I30" s="221">
        <s:v>36</s:v>
      </s:c>
      <s:c r="J30" s="83" t="str">
        <s:f>IF(AND(G30&lt;&gt;"",G30&lt;&gt;0),E30/G30,"")</s:f>
        <s:v/>
      </s:c>
      <s:c r="K30" s="221"/>
      <s:c r="L30" s="85"/>
      <s:c r="M30" s="85"/>
      <s:c r="N30" s="242"/>
      <s:c r="O30" s="242"/>
      <s:c r="P30" s="85"/>
      <s:c r="Q30" s="85"/>
      <s:c r="R30" s="85"/>
      <s:c r="S30" s="86">
        <s:f>IF(AND(I30&lt;&gt;"",I30&lt;&gt;0),G30/I30,"")</s:f>
        <s:v>0</s:v>
      </s:c>
      <s:c r="T30" s="420">
        <s:f>I30/U30</s:f>
        <s:v>1.2537422609365E-3</s:v>
      </s:c>
      <s:c r="U30" s="88">
        <s:f>$L$8*AA30*AB30/SUMPRODUCT($AB$25:$AB$56,$AA$25:$AA$56)</s:f>
        <s:v>28714.035668789798</s:v>
      </s:c>
      <s:c r="V30" s="89">
        <s:f>$L$9*AA30*AB30/SUMPRODUCT($AB$25:$AB$58,$AA$25:$AA$58)</s:f>
        <s:v>4.1315159235668704</s:v>
      </s:c>
      <s:c r="W30" s="89">
        <s:f>IF($L$12="","",V30/$L$12)</s:f>
        <s:v>2.2700636942675101</s:v>
      </s:c>
      <s:c r="X30" s="88">
        <s:f>IF(AB30&lt;&gt;"",IF(D30&lt;&gt;"",D30,($L$8-SUM($X$25:X29))*AA30*AB30/SUMPRODUCT($AB30:$AB$58,$AA30:$AA$58)),"")</s:f>
        <s:v>0</s:v>
      </s:c>
      <s:c r="Y30" s="89">
        <s:f>IF(AB30&lt;&gt;"",IF(E30&lt;&gt;"",E30,($L$9-SUM($Y$25:Y29))*AA30*AB30/SUMPRODUCT($AB30:$AB$58,$AA30:$AA$58)),"")</s:f>
        <s:v>0</s:v>
      </s:c>
      <s:c r="Z30" s="89">
        <s:f>IF(AB30&lt;&gt;"",IF($L$12&lt;&gt;"",IF(G30&lt;&gt;"",G30,($L$9/$L$12-SUM($Z$25:Z29))*AA30*AB30/SUMPRODUCT($AB30:$AB$58,$AA30:$AA$58)),""),"")</s:f>
        <s:v>0</s:v>
      </s:c>
      <s:c r="AA30" s="90">
        <s:v>1</s:v>
      </s:c>
      <s:c r="AB30" s="90">
        <s:v>1</s:v>
      </s:c>
      <s:c r="AC30" s="91"/>
      <s:c r="AD30" s="92"/>
      <s:c r="AE30" s="2"/>
      <s:c r="AF30" s="2"/>
      <s:c r="AG30" s="2"/>
      <s:c r="AH30" s="2"/>
      <s:c r="AI30" s="2"/>
      <s:c r="AJ30" s="2"/>
      <s:c r="AK30" s="2"/>
      <s:c r="AL30" s="2"/>
    </s:row>
    <s:row r="31">
      <s:c r="A31" s="80">
        <s:v>7</s:v>
      </s:c>
      <s:c r="B31" s="81">
        <s:v>46127</s:v>
      </s:c>
      <s:c r="C31" s="82" t="s">
        <s:v>56</s:v>
      </s:c>
      <s:c r="D31" s="225">
        <s:v>26568</s:v>
      </s:c>
      <s:c r="E31" s="85">
        <s:v>5</s:v>
      </s:c>
      <s:c r="F31" s="85">
        <s:f>IF(AND(E31&lt;&gt;"",E31&lt;&gt;0),D31/E31,"")</s:f>
        <s:v>5313.6</s:v>
      </s:c>
      <s:c r="G31" s="221">
        <s:v>4</s:v>
      </s:c>
      <s:c r="H31" s="85">
        <s:f>IF(AND(G31&lt;&gt;"",G31&lt;&gt;0),D31/G31,"")</s:f>
        <s:v>6642</s:v>
      </s:c>
      <s:c r="I31" s="85">
        <s:v>40</s:v>
      </s:c>
      <s:c r="J31" s="225">
        <s:f>IF(AND(G31&lt;&gt;"",G31&lt;&gt;0),E31/G31,"")</s:f>
        <s:v>1.25</s:v>
      </s:c>
      <s:c r="K31" s="85"/>
      <s:c r="L31" s="243"/>
      <s:c r="M31" s="85"/>
      <s:c r="N31" s="85"/>
      <s:c r="O31" s="244"/>
      <s:c r="P31" s="244"/>
      <s:c r="Q31" s="244"/>
      <s:c r="R31" s="481">
        <s:v>2095</s:v>
      </s:c>
      <s:c r="S31" s="226">
        <s:f>IF(AND(I31&lt;&gt;"",I31&lt;&gt;0),G31/I31,"")</s:f>
        <s:v>0.1</s:v>
      </s:c>
      <s:c r="T31" s="420">
        <s:f>I31/U31</s:f>
        <s:v>1.39304695659611E-3</s:v>
      </s:c>
      <s:c r="U31" s="88">
        <s:f>$L$8*AA31*AB31/SUMPRODUCT($AB$25:$AB$56,$AA$25:$AA$56)</s:f>
        <s:v>28714.035668789798</s:v>
      </s:c>
      <s:c r="V31" s="89">
        <s:f>$L$9*AA31*AB31/SUMPRODUCT($AB$25:$AB$58,$AA$25:$AA$58)</s:f>
        <s:v>4.1315159235668704</s:v>
      </s:c>
      <s:c r="W31" s="89">
        <s:f>IF($L$12="","",V31/$L$12)</s:f>
        <s:v>2.2700636942675101</s:v>
      </s:c>
      <s:c r="X31" s="88">
        <s:f>IF(AB31&lt;&gt;"",IF(D31&lt;&gt;"",D31,($L$8-SUM($X$25:X30))*AA31*AB31/SUMPRODUCT($AB31:$AB$58,$AA31:$AA$58)),"")</s:f>
        <s:v>26568</s:v>
      </s:c>
      <s:c r="Y31" s="89">
        <s:f>IF(AB31&lt;&gt;"",IF(E31&lt;&gt;"",E31,($L$9-SUM($Y$25:Y30))*AA31*AB31/SUMPRODUCT($AB31:$AB$58,$AA31:$AA$58)),"")</s:f>
        <s:v>5</s:v>
      </s:c>
      <s:c r="Z31" s="89">
        <s:f>IF(AB31&lt;&gt;"",IF($L$12&lt;&gt;"",IF(G31&lt;&gt;"",G31,($L$9/$L$12-SUM($Z$25:Z30))*AA31*AB31/SUMPRODUCT($AB31:$AB$58,$AA31:$AA$58)),""),"")</s:f>
        <s:v>4</s:v>
      </s:c>
      <s:c r="AA31" s="90">
        <s:v>1</s:v>
      </s:c>
      <s:c r="AB31" s="90">
        <s:v>1</s:v>
      </s:c>
      <s:c r="AC31" s="91"/>
      <s:c r="AD31" s="92"/>
      <s:c r="AJ31" s="2"/>
      <s:c r="AK31" s="2"/>
      <s:c r="AL31" s="2"/>
    </s:row>
    <s:row r="32">
      <s:c r="A32" s="80">
        <s:v>8</s:v>
      </s:c>
      <s:c r="B32" s="81">
        <s:v>46128</s:v>
      </s:c>
      <s:c r="C32" s="97" t="s">
        <s:v>57</s:v>
      </s:c>
      <s:c r="D32" s="83">
        <s:v>31766</s:v>
      </s:c>
      <s:c r="E32" s="221">
        <s:v>4</s:v>
      </s:c>
      <s:c r="F32" s="85">
        <s:f>IF(AND(E32&lt;&gt;"",E32&lt;&gt;0),D32/E32,"")</s:f>
        <s:v>7941.5</s:v>
      </s:c>
      <s:c r="G32" s="85">
        <s:v>1</s:v>
      </s:c>
      <s:c r="H32" s="85">
        <s:f>IF(AND(G32&lt;&gt;"",G32&lt;&gt;0),D32/G32,"")</s:f>
        <s:v>31766</s:v>
      </s:c>
      <s:c r="I32" s="85">
        <s:v>28</s:v>
      </s:c>
      <s:c r="J32" s="83">
        <s:f>IF(AND(G32&lt;&gt;"",G32&lt;&gt;0),E32/G32,"")</s:f>
        <s:v>4</s:v>
      </s:c>
      <s:c r="K32" s="85"/>
      <s:c r="L32" s="85"/>
      <s:c r="M32" s="85"/>
      <s:c r="N32" s="242"/>
      <s:c r="O32" s="242"/>
      <s:c r="P32" s="85"/>
      <s:c r="Q32" s="85">
        <s:v>21880</s:v>
      </s:c>
      <s:c r="R32" s="481">
        <s:v>5890</s:v>
      </s:c>
      <s:c r="S32" s="86">
        <s:f>IF(AND(I32&lt;&gt;"",I32&lt;&gt;0),G32/I32,"")</s:f>
        <s:v>3.5714285714285712E-2</s:v>
      </s:c>
      <s:c r="T32" s="420">
        <s:f>I32/U32</s:f>
        <s:v>9.7513286961728202E-4</s:v>
      </s:c>
      <s:c r="U32" s="88">
        <s:f>$L$8*AA32*AB32/SUMPRODUCT($AB$25:$AB$56,$AA$25:$AA$56)</s:f>
        <s:v>28714.035668789798</s:v>
      </s:c>
      <s:c r="V32" s="89">
        <s:f>$L$9*AA32*AB32/SUMPRODUCT($AB$25:$AB$58,$AA$25:$AA$58)</s:f>
        <s:v>4.1315159235668704</s:v>
      </s:c>
      <s:c r="W32" s="89">
        <s:f>IF($L$12="","",V32/$L$12)</s:f>
        <s:v>2.2700636942675101</s:v>
      </s:c>
      <s:c r="X32" s="88">
        <s:f>IF(AB32&lt;&gt;"",IF(D32&lt;&gt;"",D32,($L$8-SUM($X$25:X31))*AA32*AB32/SUMPRODUCT($AB32:$AB$58,$AA32:$AA$58)),"")</s:f>
        <s:v>31766</s:v>
      </s:c>
      <s:c r="Y32" s="89">
        <s:f>IF(AB32&lt;&gt;"",IF(E32&lt;&gt;"",E32,($L$9-SUM($Y$25:Y31))*AA32*AB32/SUMPRODUCT($AB32:$AB$58,$AA32:$AA$58)),"")</s:f>
        <s:v>4</s:v>
      </s:c>
      <s:c r="Z32" s="89">
        <s:f>IF(AB32&lt;&gt;"",IF($L$12&lt;&gt;"",IF(G32&lt;&gt;"",G32,($L$9/$L$12-SUM($Z$25:Z31))*AA32*AB32/SUMPRODUCT($AB32:$AB$58,$AA32:$AA$58)),""),"")</s:f>
        <s:v>1</s:v>
      </s:c>
      <s:c r="AA32" s="90">
        <s:v>1</s:v>
      </s:c>
      <s:c r="AB32" s="90">
        <s:v>1</s:v>
      </s:c>
      <s:c r="AC32" s="91"/>
      <s:c r="AD32" s="92"/>
      <s:c r="AJ32" s="2"/>
      <s:c r="AK32" s="2"/>
      <s:c r="AL32" s="2"/>
    </s:row>
    <s:row r="33">
      <s:c r="A33" s="80"/>
      <s:c r="B33" s="81"/>
      <s:c r="C33" s="82"/>
      <s:c r="D33" s="225"/>
      <s:c r="E33" s="85"/>
      <s:c r="F33" s="85" t="str">
        <s:f>IF(AND(E33&lt;&gt;"",E33&lt;&gt;0),D33/E33,"")</s:f>
        <s:v/>
      </s:c>
      <s:c r="G33" s="85"/>
      <s:c r="H33" s="85" t="str">
        <s:f>IF(AND(G33&lt;&gt;"",G33&lt;&gt;0),D33/G33,"")</s:f>
        <s:v/>
      </s:c>
      <s:c r="I33" s="221"/>
      <s:c r="J33" s="83" t="str">
        <s:f>IF(AND(G33&lt;&gt;"",G33&lt;&gt;0),E33/G33,"")</s:f>
        <s:v/>
      </s:c>
      <s:c r="K33" s="85"/>
      <s:c r="L33" s="243"/>
      <s:c r="M33" s="85"/>
      <s:c r="N33" s="85"/>
      <s:c r="O33" s="244"/>
      <s:c r="P33" s="244"/>
      <s:c r="Q33" s="244"/>
      <s:c r="R33" s="85"/>
      <s:c r="S33" s="245" t="str">
        <s:f>IF(AND(I33&lt;&gt;"",I33&lt;&gt;0),G33/I33,"")</s:f>
        <s:v/>
      </s:c>
      <s:c r="T33" s="420">
        <s:f>I33/U33</s:f>
        <s:v>0</s:v>
      </s:c>
      <s:c r="U33" s="88">
        <s:f>$L$8*AA33*AB33/SUMPRODUCT($AB$25:$AB$56,$AA$25:$AA$56)</s:f>
        <s:v>28714.035668789798</s:v>
      </s:c>
      <s:c r="V33" s="89">
        <s:f>$L$9*AA33*AB33/SUMPRODUCT($AB$25:$AB$58,$AA$25:$AA$58)</s:f>
        <s:v>4.1315159235668704</s:v>
      </s:c>
      <s:c r="W33" s="89">
        <s:f>IF($L$12="","",V33/$L$12)</s:f>
        <s:v>2.2700636942675101</s:v>
      </s:c>
      <s:c r="X33" s="88">
        <s:f>IF(AB33&lt;&gt;"",IF(D33&lt;&gt;"",D33,($L$8-SUM($X$25:X32))*AA33*AB33/SUMPRODUCT($AB33:$AB$58,$AA33:$AA$58)),"")</s:f>
        <s:v>34008.196337579597</s:v>
      </s:c>
      <s:c r="Y33" s="89">
        <s:f>IF(AB33&lt;&gt;"",IF(E33&lt;&gt;"",E33,($L$9-SUM($Y$25:Y32))*AA33*AB33/SUMPRODUCT($AB33:$AB$58,$AA33:$AA$58)),"")</s:f>
        <s:v>4.1380318471337496</s:v>
      </s:c>
      <s:c r="Z33" s="89">
        <s:f>IF(AB33&lt;&gt;"",IF($L$12&lt;&gt;"",IF(G33&lt;&gt;"",G33,($L$9/$L$12-SUM($Z$25:Z32))*AA33*AB33/SUMPRODUCT($AB33:$AB$58,$AA33:$AA$58)),""),"")</s:f>
        <s:v>2.41512738853503</s:v>
      </s:c>
      <s:c r="AA33" s="90">
        <s:v>1</s:v>
      </s:c>
      <s:c r="AB33" s="90">
        <s:v>1</s:v>
      </s:c>
      <s:c r="AC33" s="91"/>
      <s:c r="AD33" s="92"/>
      <s:c r="AE33" s="2"/>
      <s:c r="AF33" s="2"/>
      <s:c r="AG33" s="2"/>
      <s:c r="AH33" s="2"/>
      <s:c r="AI33" s="2"/>
      <s:c r="AJ33" s="2"/>
      <s:c r="AK33" s="2"/>
      <s:c r="AL33" s="2"/>
    </s:row>
    <s:row r="34" spans="1:260" s="246" customFormat="1">
      <s:c r="A34" s="80"/>
      <s:c r="B34" s="81"/>
      <s:c r="C34" s="97"/>
      <s:c r="D34" s="83"/>
      <s:c r="E34" s="247"/>
      <s:c r="F34" s="85" t="str">
        <s:f>IF(AND(E34&lt;&gt;"",E34&lt;&gt;0),D34/E34,"")</s:f>
        <s:v/>
      </s:c>
      <s:c r="G34" s="221"/>
      <s:c r="H34" s="85" t="str">
        <s:f>IF(AND(G34&lt;&gt;"",G34&lt;&gt;0),D34/G34,"")</s:f>
        <s:v/>
      </s:c>
      <s:c r="I34" s="85"/>
      <s:c r="J34" s="225" t="str">
        <s:f>IF(AND(G34&lt;&gt;"",G34&lt;&gt;0),E34/G34,"")</s:f>
        <s:v/>
      </s:c>
      <s:c r="K34" s="85"/>
      <s:c r="L34" s="85"/>
      <s:c r="M34" s="85"/>
      <s:c r="N34" s="242"/>
      <s:c r="O34" s="242"/>
      <s:c r="P34" s="85"/>
      <s:c r="Q34" s="85"/>
      <s:c r="R34" s="85"/>
      <s:c r="S34" s="86" t="str">
        <s:f>IF(AND(I34&lt;&gt;"",I34&lt;&gt;0),G34/I34,"")</s:f>
        <s:v/>
      </s:c>
      <s:c r="T34" s="420">
        <s:f>I34/U34</s:f>
        <s:v>0</s:v>
      </s:c>
      <s:c r="U34" s="88">
        <s:f>$L$8*AA34*AB34/SUMPRODUCT($AB$25:$AB$56,$AA$25:$AA$56)</s:f>
        <s:v>28714.035668789798</s:v>
      </s:c>
      <s:c r="V34" s="89">
        <s:f>$L$9*AA34*AB34/SUMPRODUCT($AB$25:$AB$58,$AA$25:$AA$58)</s:f>
        <s:v>4.1315159235668704</s:v>
      </s:c>
      <s:c r="W34" s="89">
        <s:f>IF($L$12="","",V34/$L$12)</s:f>
        <s:v>2.2700636942675101</s:v>
      </s:c>
      <s:c r="X34" s="88">
        <s:f>IF(AB34&lt;&gt;"",IF(D34&lt;&gt;"",D34,($L$8-SUM($X$25:X33))*AA34*AB34/SUMPRODUCT($AB34:$AB$58,$AA34:$AA$58)),"")</s:f>
        <s:v>34008.196337579597</s:v>
      </s:c>
      <s:c r="Y34" s="89">
        <s:f>IF(AB34&lt;&gt;"",IF(E34&lt;&gt;"",E34,($L$9-SUM($Y$25:Y33))*AA34*AB34/SUMPRODUCT($AB34:$AB$58,$AA34:$AA$58)),"")</s:f>
        <s:v>4.1380318471337496</s:v>
      </s:c>
      <s:c r="Z34" s="89">
        <s:f>IF(AB34&lt;&gt;"",IF($L$12&lt;&gt;"",IF(G34&lt;&gt;"",G34,($L$9/$L$12-SUM($Z$25:Z33))*AA34*AB34/SUMPRODUCT($AB34:$AB$58,$AA34:$AA$58)),""),"")</s:f>
        <s:v>2.41512738853503</s:v>
      </s:c>
      <s:c r="AA34" s="90">
        <s:v>1</s:v>
      </s:c>
      <s:c r="AB34" s="90">
        <s:v>1</s:v>
      </s:c>
      <s:c r="AC34" s="91"/>
      <s:c r="AD34" s="92"/>
      <s:c r="AE34" s="2"/>
      <s:c r="AF34" s="2"/>
      <s:c r="AG34" s="2"/>
      <s:c r="AH34" s="2"/>
      <s:c r="AI34" s="2"/>
      <s:c r="AJ34" s="2"/>
      <s:c r="AK34" s="2"/>
      <s:c r="AL34" s="2"/>
      <s:c r="AM34" s="2"/>
      <s:c r="AN34" s="2"/>
      <s:c r="AO34" s="2"/>
      <s:c r="AP34" s="2"/>
      <s:c r="AQ34" s="2"/>
      <s:c r="AR34" s="2"/>
      <s:c r="AS34" s="2"/>
      <s:c r="AT34" s="2"/>
      <s:c r="AU34" s="2"/>
      <s:c r="AV34" s="2"/>
      <s:c r="AW34" s="2"/>
      <s:c r="AX34" s="2"/>
      <s:c r="AY34" s="2"/>
      <s:c r="AZ34" s="2"/>
      <s:c r="BA34" s="2"/>
      <s:c r="BB34" s="2"/>
      <s:c r="BC34" s="2"/>
      <s:c r="BD34" s="2"/>
      <s:c r="BE34" s="2"/>
      <s:c r="BF34" s="2"/>
      <s:c r="BG34" s="2"/>
      <s:c r="BH34" s="2"/>
      <s:c r="BI34" s="2"/>
      <s:c r="BJ34" s="2"/>
      <s:c r="BK34" s="2"/>
      <s:c r="BL34" s="2"/>
      <s:c r="BM34" s="2"/>
      <s:c r="BN34" s="2"/>
      <s:c r="BO34" s="2"/>
      <s:c r="BP34" s="2"/>
      <s:c r="BQ34" s="2"/>
      <s:c r="BR34" s="2"/>
      <s:c r="BS34" s="2"/>
      <s:c r="BT34" s="2"/>
      <s:c r="BU34" s="2"/>
      <s:c r="BV34" s="2"/>
      <s:c r="BW34" s="2"/>
      <s:c r="BX34" s="2"/>
      <s:c r="BY34" s="2"/>
      <s:c r="BZ34" s="2"/>
      <s:c r="CA34" s="2"/>
      <s:c r="CB34" s="2"/>
      <s:c r="CC34" s="2"/>
      <s:c r="CD34" s="2"/>
      <s:c r="CE34" s="2"/>
      <s:c r="CF34" s="2"/>
      <s:c r="CG34" s="2"/>
      <s:c r="CH34" s="2"/>
      <s:c r="CI34" s="2"/>
      <s:c r="CJ34" s="2"/>
      <s:c r="CK34" s="2"/>
      <s:c r="CL34" s="2"/>
      <s:c r="CM34" s="2"/>
      <s:c r="CN34" s="2"/>
      <s:c r="CO34" s="2"/>
      <s:c r="CP34" s="2"/>
      <s:c r="CQ34" s="2"/>
      <s:c r="CR34" s="2"/>
      <s:c r="CS34" s="2"/>
      <s:c r="CT34" s="2"/>
      <s:c r="CU34" s="2"/>
      <s:c r="CV34" s="2"/>
      <s:c r="CW34" s="2"/>
      <s:c r="CX34" s="2"/>
      <s:c r="CY34" s="2"/>
      <s:c r="CZ34" s="2"/>
      <s:c r="DA34" s="2"/>
      <s:c r="DB34" s="2"/>
      <s:c r="DC34" s="2"/>
      <s:c r="DD34" s="2"/>
      <s:c r="DE34" s="2"/>
      <s:c r="DF34" s="2"/>
      <s:c r="DG34" s="2"/>
      <s:c r="DH34" s="2"/>
      <s:c r="DI34" s="2"/>
      <s:c r="DJ34" s="2"/>
      <s:c r="DK34" s="2"/>
      <s:c r="DL34" s="2"/>
      <s:c r="DM34" s="2"/>
      <s:c r="DN34" s="2"/>
      <s:c r="DO34" s="2"/>
      <s:c r="DP34" s="2"/>
      <s:c r="DQ34" s="2"/>
      <s:c r="DR34" s="2"/>
      <s:c r="DS34" s="2"/>
      <s:c r="DT34" s="2"/>
      <s:c r="DU34" s="2"/>
      <s:c r="DV34" s="2"/>
      <s:c r="DW34" s="2"/>
      <s:c r="DX34" s="2"/>
      <s:c r="DY34" s="2"/>
      <s:c r="DZ34" s="2"/>
      <s:c r="EA34" s="2"/>
      <s:c r="EB34" s="2"/>
      <s:c r="EC34" s="2"/>
      <s:c r="ED34" s="2"/>
      <s:c r="EE34" s="2"/>
      <s:c r="EF34" s="2"/>
      <s:c r="EG34" s="2"/>
      <s:c r="EH34" s="2"/>
      <s:c r="EI34" s="2"/>
      <s:c r="EJ34" s="2"/>
      <s:c r="EK34" s="2"/>
      <s:c r="EL34" s="2"/>
      <s:c r="EM34" s="2"/>
      <s:c r="EN34" s="2"/>
      <s:c r="EO34" s="2"/>
      <s:c r="EP34" s="2"/>
      <s:c r="EQ34" s="2"/>
      <s:c r="ER34" s="2"/>
      <s:c r="ES34" s="2"/>
      <s:c r="ET34" s="2"/>
      <s:c r="EU34" s="2"/>
      <s:c r="EV34" s="2"/>
      <s:c r="EW34" s="2"/>
      <s:c r="EX34" s="2"/>
      <s:c r="EY34" s="2"/>
      <s:c r="EZ34" s="2"/>
      <s:c r="FA34" s="2"/>
      <s:c r="FB34" s="2"/>
      <s:c r="FC34" s="2"/>
      <s:c r="FD34" s="2"/>
      <s:c r="FE34" s="2"/>
      <s:c r="FF34" s="2"/>
      <s:c r="FG34" s="2"/>
      <s:c r="FH34" s="2"/>
      <s:c r="FI34" s="2"/>
      <s:c r="FJ34" s="2"/>
      <s:c r="FK34" s="2"/>
      <s:c r="FL34" s="2"/>
      <s:c r="FM34" s="2"/>
      <s:c r="FN34" s="2"/>
      <s:c r="FO34" s="2"/>
      <s:c r="FP34" s="2"/>
      <s:c r="FQ34" s="2"/>
      <s:c r="FR34" s="2"/>
      <s:c r="FS34" s="2"/>
      <s:c r="FT34" s="2"/>
      <s:c r="FU34" s="2"/>
      <s:c r="FV34" s="2"/>
      <s:c r="FW34" s="2"/>
      <s:c r="FX34" s="2"/>
      <s:c r="FY34" s="2"/>
      <s:c r="FZ34" s="2"/>
      <s:c r="GA34" s="2"/>
      <s:c r="GB34" s="2"/>
      <s:c r="GC34" s="2"/>
      <s:c r="GD34" s="2"/>
      <s:c r="GE34" s="2"/>
      <s:c r="GF34" s="2"/>
      <s:c r="GG34" s="2"/>
      <s:c r="GH34" s="2"/>
      <s:c r="GI34" s="2"/>
      <s:c r="GJ34" s="2"/>
      <s:c r="GK34" s="2"/>
      <s:c r="GL34" s="2"/>
      <s:c r="GM34" s="2"/>
      <s:c r="GN34" s="2"/>
      <s:c r="GO34" s="2"/>
      <s:c r="GP34" s="2"/>
      <s:c r="GQ34" s="2"/>
      <s:c r="GR34" s="2"/>
      <s:c r="GS34" s="2"/>
      <s:c r="GT34" s="2"/>
      <s:c r="GU34" s="2"/>
      <s:c r="GV34" s="2"/>
      <s:c r="GW34" s="2"/>
      <s:c r="GX34" s="2"/>
      <s:c r="GY34" s="2"/>
      <s:c r="GZ34" s="2"/>
      <s:c r="HA34" s="2"/>
      <s:c r="HB34" s="2"/>
      <s:c r="HC34" s="2"/>
      <s:c r="HD34" s="2"/>
      <s:c r="HE34" s="2"/>
      <s:c r="HF34" s="2"/>
      <s:c r="HG34" s="2"/>
      <s:c r="HH34" s="2"/>
      <s:c r="HI34" s="2"/>
      <s:c r="HJ34" s="2"/>
      <s:c r="HK34" s="2"/>
      <s:c r="HL34" s="2"/>
      <s:c r="HM34" s="2"/>
      <s:c r="HN34" s="2"/>
      <s:c r="HO34" s="2"/>
      <s:c r="HP34" s="2"/>
      <s:c r="HQ34" s="2"/>
      <s:c r="HR34" s="2"/>
      <s:c r="HS34" s="2"/>
      <s:c r="HT34" s="2"/>
      <s:c r="HU34" s="2"/>
      <s:c r="HV34" s="2"/>
      <s:c r="HW34" s="2"/>
      <s:c r="HX34" s="2"/>
      <s:c r="HY34" s="2"/>
      <s:c r="HZ34" s="2"/>
      <s:c r="IA34" s="2"/>
      <s:c r="IB34" s="2"/>
      <s:c r="IC34" s="2"/>
      <s:c r="ID34" s="2"/>
      <s:c r="IE34" s="2"/>
      <s:c r="IF34" s="2"/>
      <s:c r="IG34" s="2"/>
      <s:c r="IH34" s="2"/>
      <s:c r="II34" s="2"/>
      <s:c r="IJ34" s="2"/>
      <s:c r="IK34" s="2"/>
      <s:c r="IL34" s="2"/>
      <s:c r="IM34" s="2"/>
      <s:c r="IN34" s="2"/>
      <s:c r="IO34" s="2"/>
      <s:c r="IP34" s="2"/>
      <s:c r="IQ34" s="2"/>
      <s:c r="IR34" s="2"/>
      <s:c r="IS34" s="2"/>
      <s:c r="IT34" s="2"/>
      <s:c r="IU34" s="2"/>
      <s:c r="IV34" s="2"/>
      <s:c r="IW34" s="2"/>
      <s:c r="IX34" s="2"/>
      <s:c r="IY34" s="2"/>
      <s:c r="IZ34" s="2"/>
    </s:row>
    <s:row r="35">
      <s:c r="A35" s="80"/>
      <s:c r="B35" s="81"/>
      <s:c r="C35" s="82"/>
      <s:c r="D35" s="83"/>
      <s:c r="E35" s="82"/>
      <s:c r="F35" s="85" t="str">
        <s:f>IF(AND(E35&lt;&gt;"",E35&lt;&gt;0),D35/E35,"")</s:f>
        <s:v/>
      </s:c>
      <s:c r="G35" s="85"/>
      <s:c r="H35" s="85" t="str">
        <s:f>IF(AND(G35&lt;&gt;"",G35&lt;&gt;0),D35/G35,"")</s:f>
        <s:v/>
      </s:c>
      <s:c r="I35" s="85"/>
      <s:c r="J35" s="83" t="str">
        <s:f>IF(AND(G35&lt;&gt;"",G35&lt;&gt;0),E35/G35,"")</s:f>
        <s:v/>
      </s:c>
      <s:c r="K35" s="85"/>
      <s:c r="L35" s="85"/>
      <s:c r="M35" s="85"/>
      <s:c r="N35" s="85"/>
      <s:c r="O35" s="244"/>
      <s:c r="P35" s="244"/>
      <s:c r="Q35" s="244"/>
      <s:c r="R35" s="85"/>
      <s:c r="S35" s="248" t="str">
        <s:f>IF(AND(I35&lt;&gt;"",I35&lt;&gt;0),G35/I35,"")</s:f>
        <s:v/>
      </s:c>
      <s:c r="T35" s="420">
        <s:f>I35/U35</s:f>
        <s:v>0</s:v>
      </s:c>
      <s:c r="U35" s="88">
        <s:f>$L$8*AA35*AB35/SUMPRODUCT($AB$25:$AB$56,$AA$25:$AA$56)</s:f>
        <s:v>28714.035668789798</s:v>
      </s:c>
      <s:c r="V35" s="89">
        <s:f>$L$9*AA35*AB35/SUMPRODUCT($AB$25:$AB$58,$AA$25:$AA$58)</s:f>
        <s:v>4.1315159235668704</s:v>
      </s:c>
      <s:c r="W35" s="89">
        <s:f>IF($L$12="","",V35/$L$12)</s:f>
        <s:v>2.2700636942675101</s:v>
      </s:c>
      <s:c r="X35" s="88">
        <s:f>IF(AB35&lt;&gt;"",IF(D35&lt;&gt;"",D35,($L$8-SUM($X$25:X34))*AA35*AB35/SUMPRODUCT($AB35:$AB$58,$AA35:$AA$58)),"")</s:f>
        <s:v>34008.196337579597</s:v>
      </s:c>
      <s:c r="Y35" s="89">
        <s:f>IF(AB35&lt;&gt;"",IF(E35&lt;&gt;"",E35,($L$9-SUM($Y$25:Y34))*AA35*AB35/SUMPRODUCT($AB35:$AB$58,$AA35:$AA$58)),"")</s:f>
        <s:v>4.1380318471337496</s:v>
      </s:c>
      <s:c r="Z35" s="89">
        <s:f>IF(AB35&lt;&gt;"",IF($L$12&lt;&gt;"",IF(G35&lt;&gt;"",G35,($L$9/$L$12-SUM($Z$25:Z34))*AA35*AB35/SUMPRODUCT($AB35:$AB$58,$AA35:$AA$58)),""),"")</s:f>
        <s:v>2.41512738853503</s:v>
      </s:c>
      <s:c r="AA35" s="90">
        <s:v>1</s:v>
      </s:c>
      <s:c r="AB35" s="90">
        <s:v>1</s:v>
      </s:c>
      <s:c r="AC35" s="91"/>
      <s:c r="AD35" s="92"/>
      <s:c r="AE35" s="2"/>
      <s:c r="AF35" s="2"/>
      <s:c r="AG35" s="2"/>
      <s:c r="AH35" s="2"/>
      <s:c r="AI35" s="2"/>
      <s:c r="AJ35" s="2"/>
      <s:c r="AK35" s="2"/>
      <s:c r="AL35" s="2"/>
    </s:row>
    <s:row r="36">
      <s:c r="A36" s="80"/>
      <s:c r="B36" s="81"/>
      <s:c r="C36" s="97"/>
      <s:c r="D36" s="83"/>
      <s:c r="E36" s="82"/>
      <s:c r="F36" s="85" t="str">
        <s:f>IF(AND(E36&lt;&gt;"",E36&lt;&gt;0),D36/E36,"")</s:f>
        <s:v/>
      </s:c>
      <s:c r="G36" s="85"/>
      <s:c r="H36" s="85" t="str">
        <s:f>IF(AND(G36&lt;&gt;"",G36&lt;&gt;0),D36/G36,"")</s:f>
        <s:v/>
      </s:c>
      <s:c r="I36" s="221"/>
      <s:c r="J36" s="83" t="str">
        <s:f>IF(AND(G36&lt;&gt;"",G36&lt;&gt;0),E36/G36,"")</s:f>
        <s:v/>
      </s:c>
      <s:c r="K36" s="85"/>
      <s:c r="L36" s="243"/>
      <s:c r="M36" s="85"/>
      <s:c r="N36" s="85"/>
      <s:c r="O36" s="85"/>
      <s:c r="P36" s="85"/>
      <s:c r="Q36" s="85"/>
      <s:c r="R36" s="85"/>
      <s:c r="S36" s="86" t="str">
        <s:f>IF(AND(I36&lt;&gt;"",I36&lt;&gt;0),G36/I36,"")</s:f>
        <s:v/>
      </s:c>
      <s:c r="T36" s="420">
        <s:f>I36/U36</s:f>
        <s:v>0</s:v>
      </s:c>
      <s:c r="U36" s="88">
        <s:f>$L$8*AA36*AB36/SUMPRODUCT($AB$25:$AB$56,$AA$25:$AA$56)</s:f>
        <s:v>28714.035668789798</s:v>
      </s:c>
      <s:c r="V36" s="89">
        <s:f>$L$9*AA36*AB36/SUMPRODUCT($AB$25:$AB$58,$AA$25:$AA$58)</s:f>
        <s:v>4.1315159235668704</s:v>
      </s:c>
      <s:c r="W36" s="89">
        <s:f>IF($L$12="","",V36/$L$12)</s:f>
        <s:v>2.2700636942675101</s:v>
      </s:c>
      <s:c r="X36" s="88">
        <s:f>IF(AB36&lt;&gt;"",IF(D36&lt;&gt;"",D36,($L$8-SUM($X$25:X35))*AA36*AB36/SUMPRODUCT($AB36:$AB$58,$AA36:$AA$58)),"")</s:f>
        <s:v>34008.196337579597</s:v>
      </s:c>
      <s:c r="Y36" s="89">
        <s:f>IF(AB36&lt;&gt;"",IF(E36&lt;&gt;"",E36,($L$9-SUM($Y$25:Y35))*AA36*AB36/SUMPRODUCT($AB36:$AB$58,$AA36:$AA$58)),"")</s:f>
        <s:v>4.1380318471337496</s:v>
      </s:c>
      <s:c r="Z36" s="89">
        <s:f>IF(AB36&lt;&gt;"",IF($L$12&lt;&gt;"",IF(G36&lt;&gt;"",G36,($L$9/$L$12-SUM($Z$25:Z35))*AA36*AB36/SUMPRODUCT($AB36:$AB$58,$AA36:$AA$58)),""),"")</s:f>
        <s:v>2.41512738853503</s:v>
      </s:c>
      <s:c r="AA36" s="90">
        <s:v>1</s:v>
      </s:c>
      <s:c r="AB36" s="90">
        <s:v>1</s:v>
      </s:c>
      <s:c r="AC36" s="91"/>
      <s:c r="AD36" s="92"/>
      <s:c r="AE36" s="2"/>
      <s:c r="AF36" s="2"/>
      <s:c r="AG36" s="2"/>
      <s:c r="AH36" s="2"/>
      <s:c r="AI36" s="2"/>
      <s:c r="AJ36" s="2"/>
      <s:c r="AK36" s="2"/>
      <s:c r="AL36" s="2"/>
    </s:row>
    <s:row r="37">
      <s:c r="A37" s="80"/>
      <s:c r="B37" s="81"/>
      <s:c r="C37" s="82"/>
      <s:c r="D37" s="83"/>
      <s:c r="E37" s="85"/>
      <s:c r="F37" s="85" t="str">
        <s:f>IF(AND(E37&lt;&gt;"",E37&lt;&gt;0),D37/E37,"")</s:f>
        <s:v/>
      </s:c>
      <s:c r="G37" s="85"/>
      <s:c r="H37" s="85" t="str">
        <s:f>IF(AND(G37&lt;&gt;"",G37&lt;&gt;0),D37/G37,"")</s:f>
        <s:v/>
      </s:c>
      <s:c r="I37" s="85"/>
      <s:c r="J37" s="225" t="str">
        <s:f>IF(AND(G37&lt;&gt;"",G37&lt;&gt;0),E37/G37,"")</s:f>
        <s:v/>
      </s:c>
      <s:c r="K37" s="85"/>
      <s:c r="L37" s="85"/>
      <s:c r="M37" s="85"/>
      <s:c r="N37" s="242"/>
      <s:c r="O37" s="242"/>
      <s:c r="P37" s="85"/>
      <s:c r="Q37" s="85"/>
      <s:c r="R37" s="85"/>
      <s:c r="S37" s="86" t="str">
        <s:f>IF(AND(I37&lt;&gt;"",I37&lt;&gt;0),G37/I37,"")</s:f>
        <s:v/>
      </s:c>
      <s:c r="T37" s="420">
        <s:f>I37/U37</s:f>
        <s:v>0</s:v>
      </s:c>
      <s:c r="U37" s="88">
        <s:f>$L$8*AA37*AB37/SUMPRODUCT($AB$25:$AB$56,$AA$25:$AA$56)</s:f>
        <s:v>28714.035668789798</s:v>
      </s:c>
      <s:c r="V37" s="89">
        <s:f>$L$9*AA37*AB37/SUMPRODUCT($AB$25:$AB$58,$AA$25:$AA$58)</s:f>
        <s:v>4.1315159235668704</s:v>
      </s:c>
      <s:c r="W37" s="89">
        <s:f>IF($L$12="","",V37/$L$12)</s:f>
        <s:v>2.2700636942675101</s:v>
      </s:c>
      <s:c r="X37" s="88">
        <s:f>IF(AB37&lt;&gt;"",IF(D37&lt;&gt;"",D37,($L$8-SUM($X$25:X36))*AA37*AB37/SUMPRODUCT($AB37:$AB$58,$AA37:$AA$58)),"")</s:f>
        <s:v>34008.196337579597</s:v>
      </s:c>
      <s:c r="Y37" s="89">
        <s:f>IF(AB37&lt;&gt;"",IF(E37&lt;&gt;"",E37,($L$9-SUM($Y$25:Y36))*AA37*AB37/SUMPRODUCT($AB37:$AB$58,$AA37:$AA$58)),"")</s:f>
        <s:v>4.1380318471337496</s:v>
      </s:c>
      <s:c r="Z37" s="89">
        <s:f>IF(AB37&lt;&gt;"",IF($L$12&lt;&gt;"",IF(G37&lt;&gt;"",G37,($L$9/$L$12-SUM($Z$25:Z36))*AA37*AB37/SUMPRODUCT($AB37:$AB$58,$AA37:$AA$58)),""),"")</s:f>
        <s:v>2.41512738853503</s:v>
      </s:c>
      <s:c r="AA37" s="90">
        <s:v>1</s:v>
      </s:c>
      <s:c r="AB37" s="90">
        <s:v>1</s:v>
      </s:c>
      <s:c r="AC37" s="91"/>
      <s:c r="AD37" s="92"/>
      <s:c r="AE37" s="2"/>
      <s:c r="AF37" s="2"/>
      <s:c r="AG37" s="2"/>
      <s:c r="AH37" s="2"/>
      <s:c r="AI37" s="2"/>
      <s:c r="AJ37" s="2"/>
      <s:c r="AK37" s="2"/>
      <s:c r="AL37" s="2"/>
    </s:row>
    <s:row r="38">
      <s:c r="A38" s="80"/>
      <s:c r="B38" s="81"/>
      <s:c r="C38" s="97"/>
      <s:c r="D38" s="83"/>
      <s:c r="E38" s="85"/>
      <s:c r="F38" s="85" t="str">
        <s:f>IF(AND(E38&lt;&gt;"",E38&lt;&gt;0),D38/E38,"")</s:f>
        <s:v/>
      </s:c>
      <s:c r="G38" s="85"/>
      <s:c r="H38" s="85" t="str">
        <s:f>IF(AND(G38&lt;&gt;"",G38&lt;&gt;0),D38/G38,"")</s:f>
        <s:v/>
      </s:c>
      <s:c r="I38" s="85"/>
      <s:c r="J38" s="83" t="str">
        <s:f>IF(AND(G38&lt;&gt;"",G38&lt;&gt;0),E38/G38,"")</s:f>
        <s:v/>
      </s:c>
      <s:c r="K38" s="221"/>
      <s:c r="L38" s="85"/>
      <s:c r="M38" s="85"/>
      <s:c r="N38" s="85"/>
      <s:c r="O38" s="244"/>
      <s:c r="P38" s="244"/>
      <s:c r="Q38" s="244"/>
      <s:c r="R38" s="85"/>
      <s:c r="S38" s="416" t="str">
        <s:f>IF(AND(I38&lt;&gt;"",I38&lt;&gt;0),G38/I38,"")</s:f>
        <s:v/>
      </s:c>
      <s:c r="T38" s="420">
        <s:f>I38/U38</s:f>
        <s:v>0</s:v>
      </s:c>
      <s:c r="U38" s="88">
        <s:f>$L$8*AA38*AB38/SUMPRODUCT($AB$25:$AB$56,$AA$25:$AA$56)</s:f>
        <s:v>28714.035668789798</s:v>
      </s:c>
      <s:c r="V38" s="89">
        <s:f>$L$9*AA38*AB38/SUMPRODUCT($AB$25:$AB$58,$AA$25:$AA$58)</s:f>
        <s:v>4.1315159235668704</s:v>
      </s:c>
      <s:c r="W38" s="89">
        <s:f>IF($L$12="","",V38/$L$12)</s:f>
        <s:v>2.2700636942675101</s:v>
      </s:c>
      <s:c r="X38" s="88">
        <s:f>IF(AB38&lt;&gt;"",IF(D38&lt;&gt;"",D38,($L$8-SUM($X$25:X37))*AA38*AB38/SUMPRODUCT($AB38:$AB$58,$AA38:$AA$58)),"")</s:f>
        <s:v>34008.196337579597</s:v>
      </s:c>
      <s:c r="Y38" s="89">
        <s:f>IF(AB38&lt;&gt;"",IF(E38&lt;&gt;"",E38,($L$9-SUM($Y$25:Y37))*AA38*AB38/SUMPRODUCT($AB38:$AB$58,$AA38:$AA$58)),"")</s:f>
        <s:v>4.1380318471337496</s:v>
      </s:c>
      <s:c r="Z38" s="89">
        <s:f>IF(AB38&lt;&gt;"",IF($L$12&lt;&gt;"",IF(G38&lt;&gt;"",G38,($L$9/$L$12-SUM($Z$25:Z37))*AA38*AB38/SUMPRODUCT($AB38:$AB$58,$AA38:$AA$58)),""),"")</s:f>
        <s:v>2.41512738853503</s:v>
      </s:c>
      <s:c r="AA38" s="90">
        <s:v>1</s:v>
      </s:c>
      <s:c r="AB38" s="90">
        <s:v>1</s:v>
      </s:c>
      <s:c r="AC38" s="91"/>
      <s:c r="AD38" s="92"/>
      <s:c r="AE38" s="2"/>
      <s:c r="AF38" s="2"/>
      <s:c r="AG38" s="2"/>
      <s:c r="AH38" s="2"/>
      <s:c r="AI38" s="2"/>
      <s:c r="AJ38" s="2"/>
      <s:c r="AK38" s="2"/>
      <s:c r="AL38" s="2"/>
    </s:row>
    <s:row r="39">
      <s:c r="A39" s="80"/>
      <s:c r="B39" s="81"/>
      <s:c r="C39" s="82"/>
      <s:c r="D39" s="83"/>
      <s:c r="E39" s="221"/>
      <s:c r="F39" s="85" t="str">
        <s:f>IF(AND(E39&lt;&gt;"",E39&lt;&gt;0),D39/E39,"")</s:f>
        <s:v/>
      </s:c>
      <s:c r="G39" s="221"/>
      <s:c r="H39" s="85" t="str">
        <s:f>IF(AND(G39&lt;&gt;"",G39&lt;&gt;0),D39/G39,"")</s:f>
        <s:v/>
      </s:c>
      <s:c r="I39" s="221"/>
      <s:c r="J39" s="83" t="str">
        <s:f>IF(AND(G39&lt;&gt;"",G39&lt;&gt;0),E39/G39,"")</s:f>
        <s:v/>
      </s:c>
      <s:c r="K39" s="85"/>
      <s:c r="L39" s="243"/>
      <s:c r="M39" s="85"/>
      <s:c r="N39" s="85"/>
      <s:c r="O39" s="85"/>
      <s:c r="P39" s="85"/>
      <s:c r="Q39" s="85"/>
      <s:c r="R39" s="85"/>
      <s:c r="S39" s="86" t="str">
        <s:f>IF(AND(I39&lt;&gt;"",I39&lt;&gt;0),G39/I39,"")</s:f>
        <s:v/>
      </s:c>
      <s:c r="T39" s="420">
        <s:f>I39/U39</s:f>
        <s:v>0</s:v>
      </s:c>
      <s:c r="U39" s="88">
        <s:f>$L$8*AA39*AB39/SUMPRODUCT($AB$25:$AB$56,$AA$25:$AA$56)</s:f>
        <s:v>28714.035668789798</s:v>
      </s:c>
      <s:c r="V39" s="89">
        <s:f>$L$9*AA39*AB39/SUMPRODUCT($AB$25:$AB$58,$AA$25:$AA$58)</s:f>
        <s:v>4.1315159235668704</s:v>
      </s:c>
      <s:c r="W39" s="89">
        <s:f>IF($L$12="","",V39/$L$12)</s:f>
        <s:v>2.2700636942675101</s:v>
      </s:c>
      <s:c r="X39" s="88">
        <s:f>IF(AB39&lt;&gt;"",IF(D39&lt;&gt;"",D39,($L$8-SUM($X$25:X38))*AA39*AB39/SUMPRODUCT($AB39:$AB$58,$AA39:$AA$58)),"")</s:f>
        <s:v>34008.196337579597</s:v>
      </s:c>
      <s:c r="Y39" s="89">
        <s:f>IF(AB39&lt;&gt;"",IF(E39&lt;&gt;"",E39,($L$9-SUM($Y$25:Y38))*AA39*AB39/SUMPRODUCT($AB39:$AB$58,$AA39:$AA$58)),"")</s:f>
        <s:v>4.1380318471337496</s:v>
      </s:c>
      <s:c r="Z39" s="89">
        <s:f>IF(AB39&lt;&gt;"",IF($L$12&lt;&gt;"",IF(G39&lt;&gt;"",G39,($L$9/$L$12-SUM($Z$25:Z38))*AA39*AB39/SUMPRODUCT($AB39:$AB$58,$AA39:$AA$58)),""),"")</s:f>
        <s:v>2.41512738853503</s:v>
      </s:c>
      <s:c r="AA39" s="227">
        <s:v>1</s:v>
      </s:c>
      <s:c r="AB39" s="90">
        <s:v>1</s:v>
      </s:c>
      <s:c r="AC39" s="91"/>
      <s:c r="AD39" s="92"/>
      <s:c r="AE39" s="2"/>
      <s:c r="AF39" s="2"/>
      <s:c r="AG39" s="2"/>
      <s:c r="AH39" s="2"/>
      <s:c r="AI39" s="2"/>
      <s:c r="AJ39" s="2"/>
      <s:c r="AK39" s="2"/>
      <s:c r="AL39" s="2"/>
    </s:row>
    <s:row r="40">
      <s:c r="A40" s="80"/>
      <s:c r="B40" s="81"/>
      <s:c r="C40" s="97"/>
      <s:c r="D40" s="83"/>
      <s:c r="E40" s="85"/>
      <s:c r="F40" s="85" t="str">
        <s:f>IF(AND(E40&lt;&gt;"",E40&lt;&gt;0),D40/E40,"")</s:f>
        <s:v/>
      </s:c>
      <s:c r="G40" s="85"/>
      <s:c r="H40" s="85" t="str">
        <s:f>IF(AND(G40&lt;&gt;"",G40&lt;&gt;0),D40/G40,"")</s:f>
        <s:v/>
      </s:c>
      <s:c r="I40" s="85"/>
      <s:c r="J40" s="225" t="str">
        <s:f>IF(AND(G40&lt;&gt;"",G40&lt;&gt;0),E40/G40,"")</s:f>
        <s:v/>
      </s:c>
      <s:c r="K40" s="85"/>
      <s:c r="L40" s="85"/>
      <s:c r="M40" s="85"/>
      <s:c r="N40" s="242"/>
      <s:c r="O40" s="242"/>
      <s:c r="P40" s="85"/>
      <s:c r="Q40" s="85"/>
      <s:c r="R40" s="85"/>
      <s:c r="S40" s="86" t="str">
        <s:f>IF(AND(I40&lt;&gt;"",I40&lt;&gt;0),G40/I40,"")</s:f>
        <s:v/>
      </s:c>
      <s:c r="T40" s="420">
        <s:f>I40/U40</s:f>
        <s:v>0</s:v>
      </s:c>
      <s:c r="U40" s="88">
        <s:f>$L$8*AA40*AB40/SUMPRODUCT($AB$25:$AB$56,$AA$25:$AA$56)</s:f>
        <s:v>28714.035668789798</s:v>
      </s:c>
      <s:c r="V40" s="89">
        <s:f>$L$9*AA40*AB40/SUMPRODUCT($AB$25:$AB$58,$AA$25:$AA$58)</s:f>
        <s:v>4.1315159235668704</s:v>
      </s:c>
      <s:c r="W40" s="89">
        <s:f>IF($L$12="","",V40/$L$12)</s:f>
        <s:v>2.2700636942675101</s:v>
      </s:c>
      <s:c r="X40" s="88">
        <s:f>IF(AB40&lt;&gt;"",IF(D40&lt;&gt;"",D40,($L$8-SUM($X$25:X39))*AA40*AB40/SUMPRODUCT($AB40:$AB$58,$AA40:$AA$58)),"")</s:f>
        <s:v>34008.196337579597</s:v>
      </s:c>
      <s:c r="Y40" s="89">
        <s:f>IF(AB40&lt;&gt;"",IF(E40&lt;&gt;"",E40,($L$9-SUM($Y$25:Y39))*AA40*AB40/SUMPRODUCT($AB40:$AB$58,$AA40:$AA$58)),"")</s:f>
        <s:v>4.1380318471337603</s:v>
      </s:c>
      <s:c r="Z40" s="89">
        <s:f>IF(AB40&lt;&gt;"",IF($L$12&lt;&gt;"",IF(G40&lt;&gt;"",G40,($L$9/$L$12-SUM($Z$25:Z39))*AA40*AB40/SUMPRODUCT($AB40:$AB$58,$AA40:$AA$58)),""),"")</s:f>
        <s:v>2.41512738853503</s:v>
      </s:c>
      <s:c r="AA40" s="90">
        <s:v>1</s:v>
      </s:c>
      <s:c r="AB40" s="90">
        <s:v>1</s:v>
      </s:c>
      <s:c r="AC40" s="91"/>
      <s:c r="AD40" s="92"/>
      <s:c r="AE40" s="2"/>
      <s:c r="AF40" s="2"/>
      <s:c r="AG40" s="2"/>
      <s:c r="AH40" s="2"/>
      <s:c r="AI40" s="2"/>
      <s:c r="AJ40" s="2"/>
      <s:c r="AK40" s="2"/>
      <s:c r="AL40" s="2"/>
    </s:row>
    <s:row r="41">
      <s:c r="A41" s="80"/>
      <s:c r="B41" s="81"/>
      <s:c r="C41" s="82"/>
      <s:c r="D41" s="225"/>
      <s:c r="E41" s="85"/>
      <s:c r="F41" s="85" t="str">
        <s:f>IF(AND(E41&lt;&gt;"",E41&lt;&gt;0),D41/E41,"")</s:f>
        <s:v/>
      </s:c>
      <s:c r="G41" s="221"/>
      <s:c r="H41" s="85" t="str">
        <s:f>IF(AND(G41&lt;&gt;"",G41&lt;&gt;0),D41/G41,"")</s:f>
        <s:v/>
      </s:c>
      <s:c r="I41" s="221"/>
      <s:c r="J41" s="83" t="str">
        <s:f>IF(AND(G41&lt;&gt;"",G41&lt;&gt;0),E41/G41,"")</s:f>
        <s:v/>
      </s:c>
      <s:c r="K41" s="221"/>
      <s:c r="L41" s="85"/>
      <s:c r="M41" s="85"/>
      <s:c r="N41" s="85"/>
      <s:c r="O41" s="244"/>
      <s:c r="P41" s="244"/>
      <s:c r="Q41" s="244"/>
      <s:c r="R41" s="85"/>
      <s:c r="S41" s="226" t="str">
        <s:f>IF(AND(I41&lt;&gt;"",I41&lt;&gt;0),G41/I41,"")</s:f>
        <s:v/>
      </s:c>
      <s:c r="T41" s="420" t="e">
        <s:f>I41/U41</s:f>
        <s:v>#DIV/0!</s:v>
      </s:c>
      <s:c r="U41" s="88">
        <s:f>$L$8*AA41*AB41/SUMPRODUCT($AB$25:$AB$56,$AA$25:$AA$56)</s:f>
        <s:v>0</s:v>
      </s:c>
      <s:c r="V41" s="89">
        <s:f>$L$9*AA41*AB41/SUMPRODUCT($AB$25:$AB$58,$AA$25:$AA$58)</s:f>
        <s:v>0</s:v>
      </s:c>
      <s:c r="W41" s="89">
        <s:f>IF($L$12="","",V41/$L$12)</s:f>
        <s:v>0</s:v>
      </s:c>
      <s:c r="X41" s="88" t="str">
        <s:f>IF(AB41&lt;&gt;"",IF(D41&lt;&gt;"",D41,($L$8-SUM($X$25:X40))*AA41*AB41/SUMPRODUCT($AB41:$AB$58,$AA41:$AA$58)),"")</s:f>
        <s:v/>
      </s:c>
      <s:c r="Y41" s="89" t="str">
        <s:f>IF(AB41&lt;&gt;"",IF(E41&lt;&gt;"",E41,($L$9-SUM($Y$25:Y40))*AA41*AB41/SUMPRODUCT($AB41:$AB$58,$AA41:$AA$58)),"")</s:f>
        <s:v/>
      </s:c>
      <s:c r="Z41" s="89" t="str">
        <s:f>IF(AB41&lt;&gt;"",IF($L$12&lt;&gt;"",IF(G41&lt;&gt;"",G41,($L$9/$L$12-SUM($Z$25:Z40))*AA41*AB41/SUMPRODUCT($AB41:$AB$58,$AA41:$AA$58)),""),"")</s:f>
        <s:v/>
      </s:c>
      <s:c r="AA41" s="227"/>
      <s:c r="AB41" s="90"/>
      <s:c r="AC41" s="91"/>
      <s:c r="AD41" s="92"/>
      <s:c r="AE41" s="2"/>
      <s:c r="AF41" s="2"/>
      <s:c r="AG41" s="2"/>
      <s:c r="AH41" s="2"/>
      <s:c r="AI41" s="2"/>
      <s:c r="AJ41" s="2"/>
      <s:c r="AK41" s="2"/>
      <s:c r="AL41" s="2"/>
    </s:row>
    <s:row r="42">
      <s:c r="A42" s="80"/>
      <s:c r="B42" s="81"/>
      <s:c r="C42" s="82"/>
      <s:c r="D42" s="83"/>
      <s:c r="E42" s="85"/>
      <s:c r="F42" s="85" t="str">
        <s:f>IF(AND(E42&lt;&gt;"",E42&lt;&gt;0),D42/E42,"")</s:f>
        <s:v/>
      </s:c>
      <s:c r="G42" s="85"/>
      <s:c r="H42" s="85" t="str">
        <s:f>IF(AND(G42&lt;&gt;"",G42&lt;&gt;0),D42/G42,"")</s:f>
        <s:v/>
      </s:c>
      <s:c r="I42" s="85"/>
      <s:c r="J42" s="83" t="str">
        <s:f>IF(AND(G42&lt;&gt;"",G42&lt;&gt;0),E42/G42,"")</s:f>
        <s:v/>
      </s:c>
      <s:c r="K42" s="85"/>
      <s:c r="L42" s="85"/>
      <s:c r="M42" s="85"/>
      <s:c r="N42" s="85"/>
      <s:c r="O42" s="85"/>
      <s:c r="P42" s="85"/>
      <s:c r="Q42" s="85"/>
      <s:c r="R42" s="85"/>
      <s:c r="S42" s="86" t="str">
        <s:f>IF(AND(I42&lt;&gt;"",I42&lt;&gt;0),G42/I42,"")</s:f>
        <s:v/>
      </s:c>
      <s:c r="T42" s="420" t="e">
        <s:f>I42/U42</s:f>
        <s:v>#DIV/0!</s:v>
      </s:c>
      <s:c r="U42" s="88">
        <s:f>$L$8*AA42*AB42/SUMPRODUCT($AB$25:$AB$56,$AA$25:$AA$56)</s:f>
        <s:v>0</s:v>
      </s:c>
      <s:c r="V42" s="89">
        <s:f>$L$9*AA42*AB42/SUMPRODUCT($AB$25:$AB$58,$AA$25:$AA$58)</s:f>
        <s:v>0</s:v>
      </s:c>
      <s:c r="W42" s="89">
        <s:f>IF($L$12="","",V42/$L$12)</s:f>
        <s:v>0</s:v>
      </s:c>
      <s:c r="X42" s="88" t="str">
        <s:f>IF(AB42&lt;&gt;"",IF(D42&lt;&gt;"",D42,($L$8-SUM($X$25:X41))*AA42*AB42/SUMPRODUCT($AB42:$AB$58,$AA42:$AA$58)),"")</s:f>
        <s:v/>
      </s:c>
      <s:c r="Y42" s="89" t="str">
        <s:f>IF(AB42&lt;&gt;"",IF(E42&lt;&gt;"",E42,($L$9-SUM($Y$25:Y41))*AA42*AB42/SUMPRODUCT($AB42:$AB$58,$AA42:$AA$58)),"")</s:f>
        <s:v/>
      </s:c>
      <s:c r="Z42" s="89" t="str">
        <s:f>IF(AB42&lt;&gt;"",IF($L$12&lt;&gt;"",IF(G42&lt;&gt;"",G42,($L$9/$L$12-SUM($Z$25:Z41))*AA42*AB42/SUMPRODUCT($AB42:$AB$58,$AA42:$AA$58)),""),"")</s:f>
        <s:v/>
      </s:c>
      <s:c r="AA42" s="90"/>
      <s:c r="AB42" s="90"/>
      <s:c r="AC42" s="91"/>
      <s:c r="AD42" s="92"/>
      <s:c r="AE42" s="93"/>
      <s:c r="AF42" s="2"/>
      <s:c r="AG42" s="2"/>
      <s:c r="AH42" s="2"/>
      <s:c r="AI42" s="2"/>
      <s:c r="AJ42" s="2"/>
      <s:c r="AK42" s="2"/>
      <s:c r="AL42" s="2"/>
    </s:row>
    <s:row r="43">
      <s:c r="A43" s="80"/>
      <s:c r="B43" s="81"/>
      <s:c r="C43" s="417"/>
      <s:c r="D43" s="418"/>
      <s:c r="E43" s="221"/>
      <s:c r="F43" s="85" t="str">
        <s:f>IF(AND(E43&lt;&gt;"",E43&lt;&gt;0),D43/E43,"")</s:f>
        <s:v/>
      </s:c>
      <s:c r="G43" s="241"/>
      <s:c r="H43" s="85" t="str">
        <s:f>IF(AND(G43&lt;&gt;"",G43&lt;&gt;0),D43/G43,"")</s:f>
        <s:v/>
      </s:c>
      <s:c r="I43" s="241"/>
      <s:c r="J43" s="225" t="str">
        <s:f>IF(AND(G43&lt;&gt;"",G43&lt;&gt;0),E43/G43,"")</s:f>
        <s:v/>
      </s:c>
      <s:c r="K43" s="241"/>
      <s:c r="L43" s="243"/>
      <s:c r="M43" s="419"/>
      <s:c r="N43" s="241"/>
      <s:c r="O43" s="241"/>
      <s:c r="P43" s="241"/>
      <s:c r="Q43" s="241"/>
      <s:c r="R43" s="241"/>
      <s:c r="S43" s="86" t="str">
        <s:f>IF(AND(I43&lt;&gt;"",I43&lt;&gt;0),G43/I43,"")</s:f>
        <s:v/>
      </s:c>
      <s:c r="T43" s="420" t="e">
        <s:f>I43/U43</s:f>
        <s:v>#DIV/0!</s:v>
      </s:c>
      <s:c r="U43" s="88">
        <s:f>$L$8*AA43*AB43/SUMPRODUCT($AB$25:$AB$56,$AA$25:$AA$56)</s:f>
        <s:v>0</s:v>
      </s:c>
      <s:c r="V43" s="89">
        <s:f>$L$9*AA43*AB43/SUMPRODUCT($AB$25:$AB$58,$AA$25:$AA$58)</s:f>
        <s:v>0</s:v>
      </s:c>
      <s:c r="W43" s="89">
        <s:f>IF($L$12="","",V43/$L$12)</s:f>
        <s:v>0</s:v>
      </s:c>
      <s:c r="X43" s="88" t="str">
        <s:f>IF(AB43&lt;&gt;"",IF(D43&lt;&gt;"",D43,($L$8-SUM($X$25:X42))*AA43*AB43/SUMPRODUCT($AB43:$AB$58,$AA43:$AA$58)),"")</s:f>
        <s:v/>
      </s:c>
      <s:c r="Y43" s="89" t="str">
        <s:f>IF(AB43&lt;&gt;"",IF(E43&lt;&gt;"",E43,($L$9-SUM($Y$25:Y42))*AA43*AB43/SUMPRODUCT($AB43:$AB$58,$AA43:$AA$58)),"")</s:f>
        <s:v/>
      </s:c>
      <s:c r="Z43" s="89" t="str">
        <s:f>IF(AB43&lt;&gt;"",IF($L$12&lt;&gt;"",IF(G43&lt;&gt;"",G43,($L$9/$L$12-SUM($Z$25:Z42))*AA43*AB43/SUMPRODUCT($AB43:$AB$58,$AA43:$AA$58)),""),"")</s:f>
        <s:v/>
      </s:c>
      <s:c r="AA43" s="227"/>
      <s:c r="AB43" s="90"/>
      <s:c r="AC43" s="91"/>
      <s:c r="AD43" s="92"/>
      <s:c r="AE43" s="93"/>
      <s:c r="AF43" s="2"/>
      <s:c r="AG43" s="2"/>
      <s:c r="AH43" s="2"/>
      <s:c r="AI43" s="2"/>
      <s:c r="AJ43" s="2"/>
      <s:c r="AK43" s="2"/>
      <s:c r="AL43" s="2"/>
    </s:row>
    <s:row r="44" spans="1:260" ht="15" customHeight="1">
      <s:c r="A44" s="80"/>
      <s:c r="B44" s="81"/>
      <s:c r="C44" s="82"/>
      <s:c r="D44" s="83"/>
      <s:c r="E44" s="85"/>
      <s:c r="F44" s="85" t="str">
        <s:f>IF(AND(E44&lt;&gt;"",E44&lt;&gt;0),D44/E44,"")</s:f>
        <s:v/>
      </s:c>
      <s:c r="G44" s="85"/>
      <s:c r="H44" s="85" t="str">
        <s:f>IF(AND(G44&lt;&gt;"",G44&lt;&gt;0),D44/G44,"")</s:f>
        <s:v/>
      </s:c>
      <s:c r="I44" s="85"/>
      <s:c r="J44" s="83" t="str">
        <s:f>IF(AND(G44&lt;&gt;"",G44&lt;&gt;0),E44/G44,"")</s:f>
        <s:v/>
      </s:c>
      <s:c r="K44" s="85"/>
      <s:c r="L44" s="85"/>
      <s:c r="M44" s="85"/>
      <s:c r="N44" s="85"/>
      <s:c r="O44" s="85"/>
      <s:c r="P44" s="85"/>
      <s:c r="Q44" s="85"/>
      <s:c r="R44" s="85"/>
      <s:c r="S44" s="86" t="str">
        <s:f>IF(AND(I44&lt;&gt;"",I44&lt;&gt;0),G44/I44,"")</s:f>
        <s:v/>
      </s:c>
      <s:c r="T44" s="420" t="e">
        <s:f>I44/U44</s:f>
        <s:v>#DIV/0!</s:v>
      </s:c>
      <s:c r="U44" s="88">
        <s:f>$L$8*AA44*AB44/SUMPRODUCT($AB$25:$AB$56,$AA$25:$AA$56)</s:f>
        <s:v>0</s:v>
      </s:c>
      <s:c r="V44" s="89">
        <s:f>$L$9*AA44*AB44/SUMPRODUCT($AB$25:$AB$58,$AA$25:$AA$58)</s:f>
        <s:v>0</s:v>
      </s:c>
      <s:c r="W44" s="89">
        <s:f>IF($L$12="","",V44/$L$12)</s:f>
        <s:v>0</s:v>
      </s:c>
      <s:c r="X44" s="88" t="str">
        <s:f>IF(AB44&lt;&gt;"",IF(D44&lt;&gt;"",D44,($L$8-SUM($X$25:X43))*AA44*AB44/SUMPRODUCT($AB44:$AB$58,$AA44:$AA$58)),"")</s:f>
        <s:v/>
      </s:c>
      <s:c r="Y44" s="89" t="str">
        <s:f>IF(AB44&lt;&gt;"",IF(E44&lt;&gt;"",E44,($L$9-SUM($Y$25:Y43))*AA44*AB44/SUMPRODUCT($AB44:$AB$58,$AA44:$AA$58)),"")</s:f>
        <s:v/>
      </s:c>
      <s:c r="Z44" s="89" t="str">
        <s:f>IF(AB44&lt;&gt;"",IF($L$12&lt;&gt;"",IF(G44&lt;&gt;"",G44,($L$9/$L$12-SUM($Z$25:Z43))*AA44*AB44/SUMPRODUCT($AB44:$AB$58,$AA44:$AA$58)),""),"")</s:f>
        <s:v/>
      </s:c>
      <s:c r="AA44" s="90"/>
      <s:c r="AB44" s="90"/>
      <s:c r="AC44" s="91"/>
      <s:c r="AD44" s="92"/>
      <s:c r="AE44" s="93"/>
      <s:c r="AF44" s="2"/>
      <s:c r="AG44" s="2"/>
      <s:c r="AH44" s="2"/>
      <s:c r="AI44" s="2"/>
      <s:c r="AJ44" s="2"/>
      <s:c r="AK44" s="2"/>
      <s:c r="AL44" s="2"/>
    </s:row>
    <s:row r="45" spans="1:260" ht="15" customHeight="1">
      <s:c r="A45" s="80"/>
      <s:c r="B45" s="81"/>
      <s:c r="C45" s="82"/>
      <s:c r="D45" s="83"/>
      <s:c r="E45" s="85"/>
      <s:c r="F45" s="85" t="str">
        <s:f>IF(AND(E45&lt;&gt;"",E45&lt;&gt;0),D45/E45,"")</s:f>
        <s:v/>
      </s:c>
      <s:c r="G45" s="85"/>
      <s:c r="H45" s="85" t="str">
        <s:f>IF(AND(G45&lt;&gt;"",G45&lt;&gt;0),D45/G45,"")</s:f>
        <s:v/>
      </s:c>
      <s:c r="I45" s="85"/>
      <s:c r="J45" s="83" t="str">
        <s:f>IF(AND(G45&lt;&gt;"",G45&lt;&gt;0),E45/G45,"")</s:f>
        <s:v/>
      </s:c>
      <s:c r="K45" s="85"/>
      <s:c r="L45" s="85"/>
      <s:c r="M45" s="85"/>
      <s:c r="N45" s="85"/>
      <s:c r="O45" s="85"/>
      <s:c r="P45" s="85"/>
      <s:c r="Q45" s="85"/>
      <s:c r="R45" s="85"/>
      <s:c r="S45" s="86" t="str">
        <s:f>IF(AND(I45&lt;&gt;"",I45&lt;&gt;0),G45/I45,"")</s:f>
        <s:v/>
      </s:c>
      <s:c r="T45" s="420" t="e">
        <s:f>I45/U45</s:f>
        <s:v>#DIV/0!</s:v>
      </s:c>
      <s:c r="U45" s="88">
        <s:f>$L$8*AA45*AB45/SUMPRODUCT($AB$25:$AB$56,$AA$25:$AA$56)</s:f>
        <s:v>0</s:v>
      </s:c>
      <s:c r="V45" s="89">
        <s:f>$L$9*AA45*AB45/SUMPRODUCT($AB$25:$AB$58,$AA$25:$AA$58)</s:f>
        <s:v>0</s:v>
      </s:c>
      <s:c r="W45" s="89">
        <s:f>IF($L$12="","",V45/$L$12)</s:f>
        <s:v>0</s:v>
      </s:c>
      <s:c r="X45" s="88" t="str">
        <s:f>IF(AB45&lt;&gt;"",IF(D45&lt;&gt;"",D45,($L$8-SUM($X$25:X44))*AA45*AB45/SUMPRODUCT($AB45:$AB$58,$AA45:$AA$58)),"")</s:f>
        <s:v/>
      </s:c>
      <s:c r="Y45" s="89" t="str">
        <s:f>IF(AB45&lt;&gt;"",IF(E45&lt;&gt;"",E45,($L$9-SUM($Y$25:Y44))*AA45*AB45/SUMPRODUCT($AB45:$AB$58,$AA45:$AA$58)),"")</s:f>
        <s:v/>
      </s:c>
      <s:c r="Z45" s="89" t="str">
        <s:f>IF(AB45&lt;&gt;"",IF($L$12&lt;&gt;"",IF(G45&lt;&gt;"",G45,($L$9/$L$12-SUM($Z$25:Z44))*AA45*AB45/SUMPRODUCT($AB45:$AB$58,$AA45:$AA$58)),""),"")</s:f>
        <s:v/>
      </s:c>
      <s:c r="AA45" s="227"/>
      <s:c r="AB45" s="90"/>
      <s:c r="AC45" s="91"/>
      <s:c r="AD45" s="92"/>
      <s:c r="AE45" s="93"/>
      <s:c r="AF45" s="2"/>
      <s:c r="AG45" s="2"/>
      <s:c r="AH45" s="2"/>
      <s:c r="AI45" s="2"/>
      <s:c r="AJ45" s="2"/>
      <s:c r="AK45" s="2"/>
      <s:c r="AL45" s="2"/>
    </s:row>
    <s:row r="46" spans="1:260" ht="15" customHeight="1">
      <s:c r="A46" s="80"/>
      <s:c r="B46" s="81"/>
      <s:c r="C46" s="82"/>
      <s:c r="D46" s="83"/>
      <s:c r="E46" s="85"/>
      <s:c r="F46" s="85" t="str">
        <s:f>IF(AND(E46&lt;&gt;"",E46&lt;&gt;0),D46/E46,"")</s:f>
        <s:v/>
      </s:c>
      <s:c r="G46" s="85"/>
      <s:c r="H46" s="85" t="str">
        <s:f>IF(AND(G46&lt;&gt;"",G46&lt;&gt;0),D46/G46,"")</s:f>
        <s:v/>
      </s:c>
      <s:c r="I46" s="85"/>
      <s:c r="J46" s="83" t="str">
        <s:f>IF(AND(G46&lt;&gt;"",G46&lt;&gt;0),E46/G46,"")</s:f>
        <s:v/>
      </s:c>
      <s:c r="K46" s="85"/>
      <s:c r="L46" s="85"/>
      <s:c r="M46" s="85"/>
      <s:c r="N46" s="85"/>
      <s:c r="O46" s="85"/>
      <s:c r="P46" s="85"/>
      <s:c r="Q46" s="85"/>
      <s:c r="R46" s="85"/>
      <s:c r="S46" s="86" t="str">
        <s:f>IF(AND(I46&lt;&gt;"",I46&lt;&gt;0),G46/I46,"")</s:f>
        <s:v/>
      </s:c>
      <s:c r="T46" s="420" t="e">
        <s:f>I46/U46</s:f>
        <s:v>#DIV/0!</s:v>
      </s:c>
      <s:c r="U46" s="88">
        <s:f>$L$8*AA46*AB46/SUMPRODUCT($AB$25:$AB$56,$AA$25:$AA$56)</s:f>
        <s:v>0</s:v>
      </s:c>
      <s:c r="V46" s="89">
        <s:f>$L$9*AA46*AB46/SUMPRODUCT($AB$25:$AB$58,$AA$25:$AA$58)</s:f>
        <s:v>0</s:v>
      </s:c>
      <s:c r="W46" s="89">
        <s:f>IF($L$12="","",V46/$L$12)</s:f>
        <s:v>0</s:v>
      </s:c>
      <s:c r="X46" s="88" t="str">
        <s:f>IF(AB46&lt;&gt;"",IF(D46&lt;&gt;"",D46,($L$8-SUM($X$25:X45))*AA46*AB46/SUMPRODUCT($AB46:$AB$58,$AA46:$AA$58)),"")</s:f>
        <s:v/>
      </s:c>
      <s:c r="Y46" s="89" t="str">
        <s:f>IF(AB46&lt;&gt;"",IF(E46&lt;&gt;"",E46,($L$9-SUM($Y$25:Y45))*AA46*AB46/SUMPRODUCT($AB46:$AB$58,$AA46:$AA$58)),"")</s:f>
        <s:v/>
      </s:c>
      <s:c r="Z46" s="89" t="str">
        <s:f>IF(AB46&lt;&gt;"",IF($L$12&lt;&gt;"",IF(G46&lt;&gt;"",G46,($L$9/$L$12-SUM($Z$25:Z45))*AA46*AB46/SUMPRODUCT($AB46:$AB$58,$AA46:$AA$58)),""),"")</s:f>
        <s:v/>
      </s:c>
      <s:c r="AA46" s="90"/>
      <s:c r="AB46" s="90"/>
      <s:c r="AC46" s="91"/>
      <s:c r="AD46" s="92"/>
      <s:c r="AE46" s="93"/>
      <s:c r="AJ46" s="2"/>
      <s:c r="AK46" s="2"/>
      <s:c r="AL46" s="2"/>
    </s:row>
    <s:row r="47" spans="1:260" ht="15" customHeight="1">
      <s:c r="A47" s="80"/>
      <s:c r="B47" s="81"/>
      <s:c r="C47" s="82"/>
      <s:c r="D47" s="83"/>
      <s:c r="E47" s="85"/>
      <s:c r="F47" s="85" t="str">
        <s:f>IF(AND(E47&lt;&gt;"",E47&lt;&gt;0),D47/E47,"")</s:f>
        <s:v/>
      </s:c>
      <s:c r="G47" s="85"/>
      <s:c r="H47" s="85" t="str">
        <s:f>IF(AND(G47&lt;&gt;"",G47&lt;&gt;0),D47/G47,"")</s:f>
        <s:v/>
      </s:c>
      <s:c r="I47" s="85"/>
      <s:c r="J47" s="83" t="str">
        <s:f>IF(AND(G47&lt;&gt;"",G47&lt;&gt;0),E47/G47,"")</s:f>
        <s:v/>
      </s:c>
      <s:c r="K47" s="85"/>
      <s:c r="L47" s="85"/>
      <s:c r="M47" s="85"/>
      <s:c r="N47" s="85"/>
      <s:c r="O47" s="85"/>
      <s:c r="P47" s="85"/>
      <s:c r="Q47" s="85"/>
      <s:c r="R47" s="85"/>
      <s:c r="S47" s="86" t="str">
        <s:f>IF(AND(I47&lt;&gt;"",I47&lt;&gt;0),G47/I47,"")</s:f>
        <s:v/>
      </s:c>
      <s:c r="T47" s="420" t="e">
        <s:f>I47/U47</s:f>
        <s:v>#DIV/0!</s:v>
      </s:c>
      <s:c r="U47" s="88">
        <s:f>$L$8*AA47*AB47/SUMPRODUCT($AB$25:$AB$56,$AA$25:$AA$56)</s:f>
        <s:v>0</s:v>
      </s:c>
      <s:c r="V47" s="89">
        <s:f>$L$9*AA47*AB47/SUMPRODUCT($AB$25:$AB$58,$AA$25:$AA$58)</s:f>
        <s:v>0</s:v>
      </s:c>
      <s:c r="W47" s="89">
        <s:f>IF($L$12="","",V47/$L$12)</s:f>
        <s:v>0</s:v>
      </s:c>
      <s:c r="X47" s="88" t="str">
        <s:f>IF(AB47&lt;&gt;"",IF(D47&lt;&gt;"",D47,($L$8-SUM($X$25:X46))*AA47*AB47/SUMPRODUCT($AB47:$AB$58,$AA47:$AA$58)),"")</s:f>
        <s:v/>
      </s:c>
      <s:c r="Y47" s="89" t="str">
        <s:f>IF(AB47&lt;&gt;"",IF(E47&lt;&gt;"",E47,($L$9-SUM($Y$25:Y46))*AA47*AB47/SUMPRODUCT($AB47:$AB$58,$AA47:$AA$58)),"")</s:f>
        <s:v/>
      </s:c>
      <s:c r="Z47" s="89" t="str">
        <s:f>IF(AB47&lt;&gt;"",IF($L$12&lt;&gt;"",IF(G47&lt;&gt;"",G47,($L$9/$L$12-SUM($Z$25:Z46))*AA47*AB47/SUMPRODUCT($AB47:$AB$58,$AA47:$AA$58)),""),"")</s:f>
        <s:v/>
      </s:c>
      <s:c r="AA47" s="227"/>
      <s:c r="AB47" s="90"/>
      <s:c r="AC47" s="91"/>
      <s:c r="AD47" s="92"/>
      <s:c r="AE47" s="93"/>
      <s:c r="AF47" s="2"/>
      <s:c r="AG47" s="2"/>
      <s:c r="AH47" s="2"/>
      <s:c r="AI47" s="2"/>
      <s:c r="AJ47" s="2"/>
      <s:c r="AK47" s="2"/>
      <s:c r="AL47" s="2"/>
    </s:row>
    <s:row r="48" spans="1:260" ht="15" customHeight="1">
      <s:c r="A48" s="80"/>
      <s:c r="B48" s="81"/>
      <s:c r="C48" s="82"/>
      <s:c r="D48" s="83"/>
      <s:c r="E48" s="85"/>
      <s:c r="F48" s="85" t="str">
        <s:f>IF(AND(E48&lt;&gt;"",E48&lt;&gt;0),D48/E48,"")</s:f>
        <s:v/>
      </s:c>
      <s:c r="G48" s="85"/>
      <s:c r="H48" s="85" t="str">
        <s:f>IF(AND(G48&lt;&gt;"",G48&lt;&gt;0),D48/G48,"")</s:f>
        <s:v/>
      </s:c>
      <s:c r="I48" s="85"/>
      <s:c r="J48" s="83" t="str">
        <s:f>IF(AND(G48&lt;&gt;"",G48&lt;&gt;0),E48/G48,"")</s:f>
        <s:v/>
      </s:c>
      <s:c r="K48" s="85"/>
      <s:c r="L48" s="85"/>
      <s:c r="M48" s="85"/>
      <s:c r="N48" s="85"/>
      <s:c r="O48" s="85"/>
      <s:c r="P48" s="85"/>
      <s:c r="Q48" s="85"/>
      <s:c r="R48" s="85"/>
      <s:c r="S48" s="86" t="str">
        <s:f>IF(AND(I48&lt;&gt;"",I48&lt;&gt;0),G48/I48,"")</s:f>
        <s:v/>
      </s:c>
      <s:c r="T48" s="420" t="e">
        <s:f>I48/U48</s:f>
        <s:v>#DIV/0!</s:v>
      </s:c>
      <s:c r="U48" s="88">
        <s:f>$L$8*AA48*AB48/SUMPRODUCT($AB$25:$AB$56,$AA$25:$AA$56)</s:f>
        <s:v>0</s:v>
      </s:c>
      <s:c r="V48" s="89">
        <s:f>$L$9*AA48*AB48/SUMPRODUCT($AB$25:$AB$58,$AA$25:$AA$58)</s:f>
        <s:v>0</s:v>
      </s:c>
      <s:c r="W48" s="89">
        <s:f>IF($L$12="","",V48/$L$12)</s:f>
        <s:v>0</s:v>
      </s:c>
      <s:c r="X48" s="88" t="str">
        <s:f>IF(AB48&lt;&gt;"",IF(D48&lt;&gt;"",D48,($L$8-SUM($X$25:X47))*AA48*AB48/SUMPRODUCT($AB48:$AB$58,$AA48:$AA$58)),"")</s:f>
        <s:v/>
      </s:c>
      <s:c r="Y48" s="89" t="str">
        <s:f>IF(AB48&lt;&gt;"",IF(E48&lt;&gt;"",E48,($L$9-SUM($Y$25:Y47))*AA48*AB48/SUMPRODUCT($AB48:$AB$58,$AA48:$AA$58)),"")</s:f>
        <s:v/>
      </s:c>
      <s:c r="Z48" s="89" t="str">
        <s:f>IF(AB48&lt;&gt;"",IF($L$12&lt;&gt;"",IF(G48&lt;&gt;"",G48,($L$9/$L$12-SUM($Z$25:Z47))*AA48*AB48/SUMPRODUCT($AB48:$AB$58,$AA48:$AA$58)),""),"")</s:f>
        <s:v/>
      </s:c>
      <s:c r="AA48" s="90"/>
      <s:c r="AB48" s="90"/>
      <s:c r="AC48" s="91"/>
      <s:c r="AD48" s="92"/>
      <s:c r="AE48" s="93"/>
      <s:c r="AF48" s="2"/>
      <s:c r="AG48" s="2"/>
      <s:c r="AH48" s="2"/>
      <s:c r="AI48" s="2"/>
      <s:c r="AJ48" s="2"/>
      <s:c r="AK48" s="2"/>
      <s:c r="AL48" s="2"/>
    </s:row>
    <s:row r="49" spans="1:38" ht="15" customHeight="1">
      <s:c r="A49" s="80"/>
      <s:c r="B49" s="81"/>
      <s:c r="C49" s="82"/>
      <s:c r="D49" s="83"/>
      <s:c r="E49" s="85"/>
      <s:c r="F49" s="85"/>
      <s:c r="G49" s="85"/>
      <s:c r="H49" s="85" t="str">
        <s:f>IF(AND(G49&lt;&gt;"",G49&lt;&gt;0),D49/G49,"")</s:f>
        <s:v/>
      </s:c>
      <s:c r="I49" s="85"/>
      <s:c r="J49" s="83" t="str">
        <s:f>IF(AND(G49&lt;&gt;"",G49&lt;&gt;0),E49/G49,"")</s:f>
        <s:v/>
      </s:c>
      <s:c r="K49" s="85"/>
      <s:c r="L49" s="85"/>
      <s:c r="M49" s="85"/>
      <s:c r="N49" s="85"/>
      <s:c r="O49" s="85"/>
      <s:c r="P49" s="85"/>
      <s:c r="Q49" s="85"/>
      <s:c r="R49" s="85"/>
      <s:c r="S49" s="86" t="str">
        <s:f>IF(AND(I49&lt;&gt;"",I49&lt;&gt;0),G49/I49,"")</s:f>
        <s:v/>
      </s:c>
      <s:c r="T49" s="420" t="e">
        <s:f>I49/U49</s:f>
        <s:v>#DIV/0!</s:v>
      </s:c>
      <s:c r="U49" s="88">
        <s:f>$L$8*AA49*AB49/SUMPRODUCT($AB$25:$AB$56,$AA$25:$AA$56)</s:f>
        <s:v>0</s:v>
      </s:c>
      <s:c r="V49" s="89">
        <s:f>$L$9*AA49*AB49/SUMPRODUCT($AB$25:$AB$58,$AA$25:$AA$58)</s:f>
        <s:v>0</s:v>
      </s:c>
      <s:c r="W49" s="89">
        <s:f>IF($L$12="","",V49/$L$12)</s:f>
        <s:v>0</s:v>
      </s:c>
      <s:c r="X49" s="88" t="str">
        <s:f>IF(AB49&lt;&gt;"",IF(D49&lt;&gt;"",D49,($L$8-SUM($X$25:X48))*AA49*AB49/SUMPRODUCT($AB49:$AB$58,$AA49:$AA$58)),"")</s:f>
        <s:v/>
      </s:c>
      <s:c r="Y49" s="89" t="str">
        <s:f>IF(AB49&lt;&gt;"",IF(E49&lt;&gt;"",E49,($L$9-SUM($Y$25:Y48))*AA49*AB49/SUMPRODUCT($AB49:$AB$58,$AA49:$AA$58)),"")</s:f>
        <s:v/>
      </s:c>
      <s:c r="Z49" s="89" t="str">
        <s:f>IF(AB49&lt;&gt;"",IF($L$12&lt;&gt;"",IF(G49&lt;&gt;"",G49,($L$9/$L$12-SUM($Z$25:Z48))*AA49*AB49/SUMPRODUCT($AB49:$AB$58,$AA49:$AA$58)),""),"")</s:f>
        <s:v/>
      </s:c>
      <s:c r="AA49" s="227"/>
      <s:c r="AB49" s="90"/>
      <s:c r="AC49" s="91"/>
      <s:c r="AD49" s="92"/>
      <s:c r="AE49" s="93"/>
      <s:c r="AF49" s="2"/>
      <s:c r="AG49" s="2"/>
      <s:c r="AH49" s="2"/>
      <s:c r="AI49" s="2"/>
      <s:c r="AJ49" s="2"/>
      <s:c r="AK49" s="2"/>
      <s:c r="AL49" s="2"/>
    </s:row>
    <s:row r="50" spans="1:38" ht="15" customHeight="1">
      <s:c r="A50" s="80"/>
      <s:c r="B50" s="81"/>
      <s:c r="C50" s="82"/>
      <s:c r="D50" s="83"/>
      <s:c r="E50" s="85"/>
      <s:c r="F50" s="85" t="str">
        <s:f>IF(AND(E50&lt;&gt;"",E50&lt;&gt;0),D50/E50,"")</s:f>
        <s:v/>
      </s:c>
      <s:c r="G50" s="85"/>
      <s:c r="H50" s="85" t="str">
        <s:f>IF(AND(G50&lt;&gt;"",G50&lt;&gt;0),D50/G50,"")</s:f>
        <s:v/>
      </s:c>
      <s:c r="I50" s="85"/>
      <s:c r="J50" s="83" t="str">
        <s:f>IF(AND(G50&lt;&gt;"",G50&lt;&gt;0),E50/G50,"")</s:f>
        <s:v/>
      </s:c>
      <s:c r="K50" s="85"/>
      <s:c r="L50" s="85"/>
      <s:c r="M50" s="85"/>
      <s:c r="N50" s="85"/>
      <s:c r="O50" s="85"/>
      <s:c r="P50" s="85"/>
      <s:c r="Q50" s="85"/>
      <s:c r="R50" s="85"/>
      <s:c r="S50" s="86" t="str">
        <s:f>IF(AND(I50&lt;&gt;"",I50&lt;&gt;0),G50/I50,"")</s:f>
        <s:v/>
      </s:c>
      <s:c r="T50" s="420" t="e">
        <s:f>I50/U50</s:f>
        <s:v>#DIV/0!</s:v>
      </s:c>
      <s:c r="U50" s="88">
        <s:f>$L$8*AA50*AB50/SUMPRODUCT($AB$25:$AB$56,$AA$25:$AA$56)</s:f>
        <s:v>0</s:v>
      </s:c>
      <s:c r="V50" s="89">
        <s:f>$L$9*AA50*AB50/SUMPRODUCT($AB$25:$AB$58,$AA$25:$AA$58)</s:f>
        <s:v>0</s:v>
      </s:c>
      <s:c r="W50" s="89">
        <s:f>IF($L$12="","",V50/$L$12)</s:f>
        <s:v>0</s:v>
      </s:c>
      <s:c r="X50" s="88" t="str">
        <s:f>IF(AB50&lt;&gt;"",IF(D50&lt;&gt;"",D50,($L$8-SUM($X$25:X49))*AA50*AB50/SUMPRODUCT($AB50:$AB$58,$AA50:$AA$58)),"")</s:f>
        <s:v/>
      </s:c>
      <s:c r="Y50" s="89" t="str">
        <s:f>IF(AB50&lt;&gt;"",IF(E50&lt;&gt;"",E50,($L$9-SUM($Y$25:Y49))*AA50*AB50/SUMPRODUCT($AB50:$AB$58,$AA50:$AA$58)),"")</s:f>
        <s:v/>
      </s:c>
      <s:c r="Z50" s="89" t="str">
        <s:f>IF(AB50&lt;&gt;"",IF($L$12&lt;&gt;"",IF(G50&lt;&gt;"",G50,($L$9/$L$12-SUM($Z$25:Z49))*AA50*AB50/SUMPRODUCT($AB50:$AB$58,$AA50:$AA$58)),""),"")</s:f>
        <s:v/>
      </s:c>
      <s:c r="AA50" s="90"/>
      <s:c r="AB50" s="90"/>
      <s:c r="AC50" s="91"/>
      <s:c r="AD50" s="92"/>
      <s:c r="AE50" s="93"/>
      <s:c r="AF50" s="2"/>
      <s:c r="AG50" s="2"/>
      <s:c r="AH50" s="2"/>
      <s:c r="AI50" s="2"/>
      <s:c r="AJ50" s="2"/>
      <s:c r="AK50" s="2"/>
      <s:c r="AL50" s="2"/>
    </s:row>
    <s:row r="51">
      <s:c r="A51" s="80"/>
      <s:c r="B51" s="81"/>
      <s:c r="C51" s="82"/>
      <s:c r="D51" s="83"/>
      <s:c r="E51" s="85"/>
      <s:c r="F51" s="85" t="str">
        <s:f>IF(AND(E51&lt;&gt;"",E51&lt;&gt;0),D51/E51,"")</s:f>
        <s:v/>
      </s:c>
      <s:c r="G51" s="85"/>
      <s:c r="H51" s="85" t="str">
        <s:f>IF(AND(G51&lt;&gt;"",G51&lt;&gt;0),D51/G51,"")</s:f>
        <s:v/>
      </s:c>
      <s:c r="I51" s="85"/>
      <s:c r="J51" s="83" t="str">
        <s:f>IF(AND(G51&lt;&gt;"",G51&lt;&gt;0),E51/G51,"")</s:f>
        <s:v/>
      </s:c>
      <s:c r="K51" s="85"/>
      <s:c r="L51" s="85"/>
      <s:c r="M51" s="85"/>
      <s:c r="N51" s="85"/>
      <s:c r="O51" s="85"/>
      <s:c r="P51" s="85"/>
      <s:c r="Q51" s="85"/>
      <s:c r="R51" s="85"/>
      <s:c r="S51" s="86" t="str">
        <s:f>IF(AND(I51&lt;&gt;"",I51&lt;&gt;0),G51/I51,"")</s:f>
        <s:v/>
      </s:c>
      <s:c r="T51" s="420" t="e">
        <s:f>I51/U51</s:f>
        <s:v>#DIV/0!</s:v>
      </s:c>
      <s:c r="U51" s="88">
        <s:f>$L$8*AA51*AB51/SUMPRODUCT($AB$25:$AB$56,$AA$25:$AA$56)</s:f>
        <s:v>0</s:v>
      </s:c>
      <s:c r="V51" s="89">
        <s:f>$L$9*AA51*AB51/SUMPRODUCT($AB$25:$AB$58,$AA$25:$AA$58)</s:f>
        <s:v>0</s:v>
      </s:c>
      <s:c r="W51" s="89">
        <s:f>IF($L$12="","",V51/$L$12)</s:f>
        <s:v>0</s:v>
      </s:c>
      <s:c r="X51" s="88" t="str">
        <s:f>IF(AB51&lt;&gt;"",IF(D51&lt;&gt;"",D51,($L$8-SUM($X$25:X50))*AA51*AB51/SUMPRODUCT($AB51:$AB$58,$AA51:$AA$58)),"")</s:f>
        <s:v/>
      </s:c>
      <s:c r="Y51" s="89" t="str">
        <s:f>IF(AB51&lt;&gt;"",IF(E51&lt;&gt;"",E51,($L$9-SUM($Y$25:Y50))*AA51*AB51/SUMPRODUCT($AB51:$AB$58,$AA51:$AA$58)),"")</s:f>
        <s:v/>
      </s:c>
      <s:c r="Z51" s="89" t="str">
        <s:f>IF(AB51&lt;&gt;"",IF($L$12&lt;&gt;"",IF(G51&lt;&gt;"",G51,($L$9/$L$12-SUM($Z$25:Z50))*AA51*AB51/SUMPRODUCT($AB51:$AB$58,$AA51:$AA$58)),""),"")</s:f>
        <s:v/>
      </s:c>
      <s:c r="AA51" s="90"/>
      <s:c r="AB51" s="90"/>
      <s:c r="AC51" s="91"/>
      <s:c r="AD51" s="92"/>
      <s:c r="AE51" s="93"/>
      <s:c r="AF51" s="2"/>
      <s:c r="AG51" s="2"/>
      <s:c r="AH51" s="2"/>
      <s:c r="AI51" s="2"/>
      <s:c r="AJ51" s="2"/>
      <s:c r="AK51" s="2"/>
      <s:c r="AL51" s="2"/>
    </s:row>
    <s:row r="52">
      <s:c r="A52" s="80"/>
      <s:c r="B52" s="81"/>
      <s:c r="C52" s="82"/>
      <s:c r="D52" s="83"/>
      <s:c r="E52" s="85"/>
      <s:c r="F52" s="85" t="str">
        <s:f>IF(AND(E52&lt;&gt;"",E52&lt;&gt;0),D52/E52,"")</s:f>
        <s:v/>
      </s:c>
      <s:c r="G52" s="85"/>
      <s:c r="H52" s="85" t="str">
        <s:f>IF(AND(G52&lt;&gt;"",G52&lt;&gt;0),D52/G52,"")</s:f>
        <s:v/>
      </s:c>
      <s:c r="I52" s="85"/>
      <s:c r="J52" s="83" t="str">
        <s:f>IF(AND(G52&lt;&gt;"",G52&lt;&gt;0),E52/G52,"")</s:f>
        <s:v/>
      </s:c>
      <s:c r="K52" s="85"/>
      <s:c r="L52" s="85"/>
      <s:c r="M52" s="85"/>
      <s:c r="N52" s="85"/>
      <s:c r="O52" s="85"/>
      <s:c r="P52" s="85"/>
      <s:c r="Q52" s="85"/>
      <s:c r="R52" s="85"/>
      <s:c r="S52" s="86" t="str">
        <s:f>IF(AND(I52&lt;&gt;"",I52&lt;&gt;0),G52/I52,"")</s:f>
        <s:v/>
      </s:c>
      <s:c r="T52" s="420" t="e">
        <s:f>I52/U52</s:f>
        <s:v>#DIV/0!</s:v>
      </s:c>
      <s:c r="U52" s="88">
        <s:f>$L$8*AA52*AB52/SUMPRODUCT($AB$25:$AB$56,$AA$25:$AA$56)</s:f>
        <s:v>0</s:v>
      </s:c>
      <s:c r="V52" s="89">
        <s:f>$L$9*AA52*AB52/SUMPRODUCT($AB$25:$AB$58,$AA$25:$AA$58)</s:f>
        <s:v>0</s:v>
      </s:c>
      <s:c r="W52" s="89">
        <s:f>IF($L$12="","",V52/$L$12)</s:f>
        <s:v>0</s:v>
      </s:c>
      <s:c r="X52" s="88" t="str">
        <s:f>IF(AB52&lt;&gt;"",IF(D52&lt;&gt;"",D52,($L$8-SUM($X$25:X51))*AA52*AB52/SUMPRODUCT($AB52:$AB$58,$AA52:$AA$58)),"")</s:f>
        <s:v/>
      </s:c>
      <s:c r="Y52" s="89" t="str">
        <s:f>IF(AB52&lt;&gt;"",IF(E52&lt;&gt;"",E52,($L$9-SUM($Y$25:Y51))*AA52*AB52/SUMPRODUCT($AB52:$AB$58,$AA52:$AA$58)),"")</s:f>
        <s:v/>
      </s:c>
      <s:c r="Z52" s="89" t="str">
        <s:f>IF(AB52&lt;&gt;"",IF($L$12&lt;&gt;"",IF(G52&lt;&gt;"",G52,($L$9/$L$12-SUM($Z$25:Z51))*AA52*AB52/SUMPRODUCT($AB52:$AB$58,$AA52:$AA$58)),""),"")</s:f>
        <s:v/>
      </s:c>
      <s:c r="AA52" s="90"/>
      <s:c r="AB52" s="90"/>
      <s:c r="AC52" s="91"/>
      <s:c r="AD52" s="92"/>
      <s:c r="AE52" s="93"/>
      <s:c r="AF52" s="2"/>
      <s:c r="AG52" s="2"/>
      <s:c r="AH52" s="2"/>
      <s:c r="AI52" s="2"/>
      <s:c r="AJ52" s="2"/>
      <s:c r="AK52" s="2"/>
      <s:c r="AL52" s="2"/>
    </s:row>
    <s:row r="53">
      <s:c r="A53" s="80"/>
      <s:c r="B53" s="81"/>
      <s:c r="C53" s="82"/>
      <s:c r="D53" s="83"/>
      <s:c r="E53" s="85"/>
      <s:c r="F53" s="85" t="str">
        <s:f>IF(AND(E53&lt;&gt;"",E53&lt;&gt;0),D53/E53,"")</s:f>
        <s:v/>
      </s:c>
      <s:c r="G53" s="85"/>
      <s:c r="H53" s="85" t="str">
        <s:f>IF(AND(G53&lt;&gt;"",G53&lt;&gt;0),D53/G53,"")</s:f>
        <s:v/>
      </s:c>
      <s:c r="I53" s="85"/>
      <s:c r="J53" s="83" t="str">
        <s:f>IF(AND(G53&lt;&gt;"",G53&lt;&gt;0),E53/G53,"")</s:f>
        <s:v/>
      </s:c>
      <s:c r="K53" s="85"/>
      <s:c r="L53" s="85"/>
      <s:c r="M53" s="85"/>
      <s:c r="N53" s="85"/>
      <s:c r="O53" s="85"/>
      <s:c r="P53" s="85"/>
      <s:c r="Q53" s="85"/>
      <s:c r="R53" s="85"/>
      <s:c r="S53" s="86" t="str">
        <s:f>IF(AND(I53&lt;&gt;"",I53&lt;&gt;0),G53/I53,"")</s:f>
        <s:v/>
      </s:c>
      <s:c r="T53" s="420" t="e">
        <s:f>I53/U53</s:f>
        <s:v>#DIV/0!</s:v>
      </s:c>
      <s:c r="U53" s="88">
        <s:f>$L$8*AA53*AB53/SUMPRODUCT($AB$25:$AB$56,$AA$25:$AA$56)</s:f>
        <s:v>0</s:v>
      </s:c>
      <s:c r="V53" s="89">
        <s:f>$L$9*AA53*AB53/SUMPRODUCT($AB$25:$AB$58,$AA$25:$AA$58)</s:f>
        <s:v>0</s:v>
      </s:c>
      <s:c r="W53" s="89">
        <s:f>IF($L$12="","",V53/$L$12)</s:f>
        <s:v>0</s:v>
      </s:c>
      <s:c r="X53" s="88" t="str">
        <s:f>IF(AB53&lt;&gt;"",IF(D53&lt;&gt;"",D53,($L$8-SUM($X$25:X52))*AA53*AB53/SUMPRODUCT($AB53:$AB$58,$AA53:$AA$58)),"")</s:f>
        <s:v/>
      </s:c>
      <s:c r="Y53" s="89" t="str">
        <s:f>IF(AB53&lt;&gt;"",IF(E53&lt;&gt;"",E53,($L$9-SUM($Y$25:Y52))*AA53*AB53/SUMPRODUCT($AB53:$AB$58,$AA53:$AA$58)),"")</s:f>
        <s:v/>
      </s:c>
      <s:c r="Z53" s="89" t="str">
        <s:f>IF(AB53&lt;&gt;"",IF($L$12&lt;&gt;"",IF(G53&lt;&gt;"",G53,($L$9/$L$12-SUM($Z$25:Z52))*AA53*AB53/SUMPRODUCT($AB53:$AB$58,$AA53:$AA$58)),""),"")</s:f>
        <s:v/>
      </s:c>
      <s:c r="AA53" s="90"/>
      <s:c r="AB53" s="90"/>
      <s:c r="AC53" s="91"/>
      <s:c r="AD53" s="92"/>
      <s:c r="AE53" s="93"/>
      <s:c r="AF53" s="2"/>
      <s:c r="AG53" s="2"/>
      <s:c r="AH53" s="2"/>
      <s:c r="AI53" s="2"/>
      <s:c r="AJ53" s="2"/>
      <s:c r="AK53" s="2"/>
      <s:c r="AL53" s="2"/>
    </s:row>
    <s:row r="54">
      <s:c r="A54" s="80"/>
      <s:c r="B54" s="81"/>
      <s:c r="C54" s="82"/>
      <s:c r="D54" s="83"/>
      <s:c r="E54" s="85"/>
      <s:c r="F54" s="85" t="str">
        <s:f>IF(AND(E54&lt;&gt;"",E54&lt;&gt;0),D54/E54,"")</s:f>
        <s:v/>
      </s:c>
      <s:c r="G54" s="85"/>
      <s:c r="H54" s="85" t="str">
        <s:f>IF(AND(G54&lt;&gt;"",G54&lt;&gt;0),D54/G54,"")</s:f>
        <s:v/>
      </s:c>
      <s:c r="I54" s="85"/>
      <s:c r="J54" s="83" t="str">
        <s:f>IF(AND(G54&lt;&gt;"",G54&lt;&gt;0),E54/G54,"")</s:f>
        <s:v/>
      </s:c>
      <s:c r="K54" s="85"/>
      <s:c r="L54" s="85"/>
      <s:c r="M54" s="85"/>
      <s:c r="N54" s="85"/>
      <s:c r="O54" s="85"/>
      <s:c r="P54" s="85"/>
      <s:c r="Q54" s="85"/>
      <s:c r="R54" s="85"/>
      <s:c r="S54" s="86" t="str">
        <s:f>IF(AND(I54&lt;&gt;"",I54&lt;&gt;0),G54/I54,"")</s:f>
        <s:v/>
      </s:c>
      <s:c r="T54" s="420" t="e">
        <s:f>I54/U54</s:f>
        <s:v>#DIV/0!</s:v>
      </s:c>
      <s:c r="U54" s="88">
        <s:f>$L$8*AA54*AB54/SUMPRODUCT($AB$25:$AB$56,$AA$25:$AA$56)</s:f>
        <s:v>0</s:v>
      </s:c>
      <s:c r="V54" s="89">
        <s:f>$L$9*AA54*AB54/SUMPRODUCT($AB$25:$AB$58,$AA$25:$AA$58)</s:f>
        <s:v>0</s:v>
      </s:c>
      <s:c r="W54" s="89">
        <s:f>IF($L$12="","",V54/$L$12)</s:f>
        <s:v>0</s:v>
      </s:c>
      <s:c r="X54" s="88" t="str">
        <s:f>IF(AB54&lt;&gt;"",IF(D54&lt;&gt;"",D54,($L$8-SUM($X$25:X53))*AA54*AB54/SUMPRODUCT($AB54:$AB$58,$AA54:$AA$58)),"")</s:f>
        <s:v/>
      </s:c>
      <s:c r="Y54" s="89" t="str">
        <s:f>IF(AB54&lt;&gt;"",IF(E54&lt;&gt;"",E54,($L$9-SUM($Y$25:Y53))*AA54*AB54/SUMPRODUCT($AB54:$AB$58,$AA54:$AA$58)),"")</s:f>
        <s:v/>
      </s:c>
      <s:c r="Z54" s="89" t="str">
        <s:f>IF(AB54&lt;&gt;"",IF($L$12&lt;&gt;"",IF(G54&lt;&gt;"",G54,($L$9/$L$12-SUM($Z$25:Z53))*AA54*AB54/SUMPRODUCT($AB54:$AB$58,$AA54:$AA$58)),""),"")</s:f>
        <s:v/>
      </s:c>
      <s:c r="AA54" s="90"/>
      <s:c r="AB54" s="90"/>
      <s:c r="AC54" s="91"/>
      <s:c r="AD54" s="92"/>
      <s:c r="AE54" s="93"/>
      <s:c r="AF54" s="2"/>
      <s:c r="AG54" s="2"/>
      <s:c r="AH54" s="2"/>
      <s:c r="AI54" s="2"/>
      <s:c r="AJ54" s="2"/>
      <s:c r="AK54" s="2"/>
      <s:c r="AL54" s="2"/>
    </s:row>
    <s:row r="55">
      <s:c r="A55" s="80"/>
      <s:c r="B55" s="81"/>
      <s:c r="C55" s="82"/>
      <s:c r="D55" s="83"/>
      <s:c r="E55" s="85"/>
      <s:c r="F55" s="85" t="str">
        <s:f>IF(AND(E55&lt;&gt;"",E55&lt;&gt;0),D55/E55,"")</s:f>
        <s:v/>
      </s:c>
      <s:c r="G55" s="85"/>
      <s:c r="H55" s="85" t="str">
        <s:f>IF(AND(G55&lt;&gt;"",G55&lt;&gt;0),D55/G55,"")</s:f>
        <s:v/>
      </s:c>
      <s:c r="I55" s="85"/>
      <s:c r="J55" s="83" t="str">
        <s:f>IF(AND(G55&lt;&gt;"",G55&lt;&gt;0),E55/G55,"")</s:f>
        <s:v/>
      </s:c>
      <s:c r="K55" s="85"/>
      <s:c r="L55" s="85"/>
      <s:c r="M55" s="85"/>
      <s:c r="N55" s="85"/>
      <s:c r="O55" s="85"/>
      <s:c r="P55" s="85"/>
      <s:c r="Q55" s="85"/>
      <s:c r="R55" s="85"/>
      <s:c r="S55" s="86" t="str">
        <s:f>IF(AND(I55&lt;&gt;"",I55&lt;&gt;0),G55/I55,"")</s:f>
        <s:v/>
      </s:c>
      <s:c r="T55" s="420" t="e">
        <s:f>I55/U55</s:f>
        <s:v>#DIV/0!</s:v>
      </s:c>
      <s:c r="U55" s="88">
        <s:f>$L$8*AA55*AB55/SUMPRODUCT($AB$25:$AB$56,$AA$25:$AA$56)</s:f>
        <s:v>0</s:v>
      </s:c>
      <s:c r="V55" s="89">
        <s:f>$L$9*AA55*AB55/SUMPRODUCT($AB$25:$AB$58,$AA$25:$AA$58)</s:f>
        <s:v>0</s:v>
      </s:c>
      <s:c r="W55" s="89">
        <s:f>IF($L$12="","",V55/$L$12)</s:f>
        <s:v>0</s:v>
      </s:c>
      <s:c r="X55" s="88" t="str">
        <s:f>IF(AB55&lt;&gt;"",IF(D55&lt;&gt;"",D55,($L$8-SUM($X$25:X54))*AA55*AB55/SUMPRODUCT($AB55:$AB$58,$AA55:$AA$58)),"")</s:f>
        <s:v/>
      </s:c>
      <s:c r="Y55" s="89" t="str">
        <s:f>IF(AB55&lt;&gt;"",IF(E55&lt;&gt;"",E55,($L$9-SUM($Y$25:Y54))*AA55*AB55/SUMPRODUCT($AB55:$AB$58,$AA55:$AA$58)),"")</s:f>
        <s:v/>
      </s:c>
      <s:c r="Z55" s="89" t="str">
        <s:f>IF(AB55&lt;&gt;"",IF($L$12&lt;&gt;"",IF(G55&lt;&gt;"",G55,($L$9/$L$12-SUM($Z$25:Z54))*AA55*AB55/SUMPRODUCT($AB55:$AB$58,$AA55:$AA$58)),""),"")</s:f>
        <s:v/>
      </s:c>
      <s:c r="AA55" s="90"/>
      <s:c r="AB55" s="90"/>
      <s:c r="AC55" s="91"/>
      <s:c r="AD55" s="92"/>
      <s:c r="AE55" s="93"/>
      <s:c r="AF55" s="2"/>
      <s:c r="AG55" s="2"/>
      <s:c r="AH55" s="2"/>
      <s:c r="AI55" s="2"/>
      <s:c r="AJ55" s="2"/>
      <s:c r="AK55" s="2"/>
      <s:c r="AL55" s="2"/>
    </s:row>
    <s:row r="56">
      <s:c r="A56" s="80"/>
      <s:c r="B56" s="81"/>
      <s:c r="C56" s="82"/>
      <s:c r="D56" s="83"/>
      <s:c r="E56" s="85"/>
      <s:c r="F56" s="85" t="str">
        <s:f>IF(AND(E56&lt;&gt;"",E56&lt;&gt;0),D56/E56,"")</s:f>
        <s:v/>
      </s:c>
      <s:c r="G56" s="85"/>
      <s:c r="H56" s="85" t="str">
        <s:f>IF(AND(G56&lt;&gt;"",G56&lt;&gt;0),D56/G56,"")</s:f>
        <s:v/>
      </s:c>
      <s:c r="I56" s="85"/>
      <s:c r="J56" s="83" t="str">
        <s:f>IF(AND(G56&lt;&gt;"",G56&lt;&gt;0),E56/G56,"")</s:f>
        <s:v/>
      </s:c>
      <s:c r="K56" s="85"/>
      <s:c r="L56" s="85"/>
      <s:c r="M56" s="85"/>
      <s:c r="N56" s="85"/>
      <s:c r="O56" s="85"/>
      <s:c r="P56" s="85"/>
      <s:c r="Q56" s="85"/>
      <s:c r="R56" s="85"/>
      <s:c r="S56" s="86" t="str">
        <s:f>IF(AND(I56&lt;&gt;"",I56&lt;&gt;0),G56/I56,"")</s:f>
        <s:v/>
      </s:c>
      <s:c r="T56" s="420" t="e">
        <s:f>I56/U56</s:f>
        <s:v>#DIV/0!</s:v>
      </s:c>
      <s:c r="U56" s="88">
        <s:f>$L$8*AA56*AB56/SUMPRODUCT($AB$25:$AB$56,$AA$25:$AA$56)</s:f>
        <s:v>0</s:v>
      </s:c>
      <s:c r="V56" s="89">
        <s:f>$L$9*AA56*AB56/SUMPRODUCT($AB$25:$AB$58,$AA$25:$AA$58)</s:f>
        <s:v>0</s:v>
      </s:c>
      <s:c r="W56" s="89">
        <s:f>IF($L$12="","",V56/$L$12)</s:f>
        <s:v>0</s:v>
      </s:c>
      <s:c r="X56" s="88" t="str">
        <s:f>IF(AB56&lt;&gt;"",IF(D56&lt;&gt;"",D56,($L$8-SUM($X$25:X55))*AA56*AB56/SUMPRODUCT($AB56:$AB$58,$AA56:$AA$58)),"")</s:f>
        <s:v/>
      </s:c>
      <s:c r="Y56" s="89" t="str">
        <s:f>IF(AB56&lt;&gt;"",IF(E56&lt;&gt;"",E56,($L$9-SUM($Y$25:Y55))*AA56*AB56/SUMPRODUCT($AB56:$AB$58,$AA56:$AA$58)),"")</s:f>
        <s:v/>
      </s:c>
      <s:c r="Z56" s="89" t="str">
        <s:f>IF(AB56&lt;&gt;"",IF($L$12&lt;&gt;"",IF(G56&lt;&gt;"",G56,($L$9/$L$12-SUM($Z$25:Z55))*AA56*AB56/SUMPRODUCT($AB56:$AB$58,$AA56:$AA$58)),""),"")</s:f>
        <s:v/>
      </s:c>
      <s:c r="AA56" s="90"/>
      <s:c r="AB56" s="90"/>
      <s:c r="AC56" s="91"/>
      <s:c r="AD56" s="92"/>
      <s:c r="AE56" s="93"/>
      <s:c r="AF56" s="2"/>
      <s:c r="AG56" s="2"/>
      <s:c r="AH56" s="2"/>
      <s:c r="AI56" s="2"/>
      <s:c r="AJ56" s="2"/>
      <s:c r="AK56" s="2"/>
      <s:c r="AL56" s="2"/>
    </s:row>
    <s:row r="57">
      <s:c r="A57" s="250"/>
      <s:c r="B57" s="708"/>
      <s:c r="C57" s="709"/>
      <s:c r="D57" s="76">
        <s:f>SUM(D25:D56)</s:f>
        <s:v>187359</s:v>
      </s:c>
      <s:c r="E57" s="76">
        <s:f>SUM(E25:E56)</s:f>
        <s:v>33</s:v>
      </s:c>
      <s:c r="F57" s="76">
        <s:f>IF(AND(E57&lt;&gt;"",E57&lt;&gt;0),D57/E57,"")</s:f>
        <s:v>5677.5454545454504</s:v>
      </s:c>
      <s:c r="G57" s="76">
        <s:f>SUM(G25:G56)</s:f>
        <s:v>17</s:v>
      </s:c>
      <s:c r="H57" s="76">
        <s:f>IF(AND(G57&lt;&gt;"",G57&lt;&gt;0),D57/G57,"")</s:f>
        <s:v>11021.1176470588</s:v>
      </s:c>
      <s:c r="I57" s="76">
        <s:f>SUM(I25:I56)</s:f>
        <s:v>278</s:v>
      </s:c>
      <s:c r="J57" s="77">
        <s:f>IF(AND(G57&lt;&gt;"",G57&lt;&gt;0),E57/G57,"")</s:f>
        <s:v>1.94117647058823</s:v>
      </s:c>
      <s:c r="K57" s="76">
        <s:f>SUM(K25:K56)</s:f>
        <s:v>0</s:v>
      </s:c>
      <s:c r="L57" s="76">
        <s:f>SUM(L25:L56)</s:f>
        <s:v>0</s:v>
      </s:c>
      <s:c r="M57" s="76">
        <s:f>SUM(M25:M56)</s:f>
        <s:v>0</s:v>
      </s:c>
      <s:c r="N57" s="76">
        <s:f>SUM(N25:N56)</s:f>
        <s:v>0</s:v>
      </s:c>
      <s:c r="O57" s="76">
        <s:f>SUM(O25:O56)</s:f>
        <s:v>0</s:v>
      </s:c>
      <s:c r="P57" s="76">
        <s:f>SUM(P25:P56)</s:f>
        <s:v>11893</s:v>
      </s:c>
      <s:c r="Q57" s="76">
        <s:f>SUM(Q25:Q56)</s:f>
        <s:v>21880</s:v>
      </s:c>
      <s:c r="R57" s="76">
        <s:f>SUM(R25:R56)</s:f>
        <s:v>23274</s:v>
      </s:c>
      <s:c r="S57" s="94">
        <s:f>IF(AND(I57&lt;&gt;"",I57&lt;&gt;0),G57/I57,"")</s:f>
        <s:v>6.1151079136690649E-2</s:v>
      </s:c>
      <s:c r="T57" s="78">
        <s:f>I57/U57</s:f>
        <s:v>6.0510477177143796E-4</s:v>
      </s:c>
      <s:c r="U57" s="79">
        <s:f>SUM(U25:U56)</s:f>
        <s:v>459424.57070063701</s:v>
      </s:c>
      <s:c r="V57" s="79">
        <s:f>SUM(V25:V55)</s:f>
        <s:v>66.104254777069997</s:v>
      </s:c>
      <s:c r="W57" s="79">
        <s:f>SUM(W25:W55)</s:f>
        <s:v>36.321019108280197</s:v>
      </s:c>
      <s:c r="X57" s="79">
        <s:f>SUM(X25:X56)</s:f>
        <s:v>459424.57070063602</s:v>
      </s:c>
      <s:c r="Y57" s="79">
        <s:f>SUM(Y25:Y55)</s:f>
        <s:v>66.104254777069997</s:v>
      </s:c>
      <s:c r="Z57" s="79">
        <s:f>SUM(Z25:Z55)</s:f>
        <s:v>36.321019108280197</s:v>
      </s:c>
      <s:c r="AA57" s="95"/>
      <s:c r="AB57" s="95"/>
      <s:c r="AJ57" s="2"/>
      <s:c r="AK57" s="2"/>
      <s:c r="AL57" s="2"/>
    </s:row>
  </s:sheetData>
  <s:mergeCells count="27">
    <s:mergeCell ref="I20:K20"/>
    <s:mergeCell ref="B22:S22"/>
    <s:mergeCell ref="T22:T24"/>
    <s:mergeCell ref="U22:AB22"/>
    <s:mergeCell ref="B57:C57"/>
    <s:mergeCell ref="I15:K15"/>
    <s:mergeCell ref="I16:K16"/>
    <s:mergeCell ref="I17:K17"/>
    <s:mergeCell ref="I18:K18"/>
    <s:mergeCell ref="I19:K19"/>
    <s:mergeCell ref="I11:K11"/>
    <s:mergeCell ref="I12:K12"/>
    <s:mergeCell ref="I13:K13"/>
    <s:mergeCell ref="I14:K14"/>
    <s:mergeCell ref="J5:S5"/>
    <s:mergeCell ref="I7:K7"/>
    <s:mergeCell ref="S7:T7"/>
    <s:mergeCell ref="I8:K8"/>
    <s:mergeCell ref="I9:K9"/>
    <s:mergeCell ref="I10:K10"/>
    <s:mergeCell ref="I6:T6"/>
    <s:mergeCell ref="B1:C1"/>
    <s:mergeCell ref="V1:Y4"/>
    <s:mergeCell ref="B2:C2"/>
    <s:mergeCell ref="J3:S4"/>
    <s:mergeCell ref="C4:D4"/>
    <s:mergeCell ref="J2:S2"/>
  </s:mergeCells>
  <s:conditionalFormatting sqref="J25:J44">
    <s:cfRule type="cellIs" dxfId="61" priority="35" operator="lessThan">
      <s:formula>$I$12</s:formula>
    </s:cfRule>
  </s:conditionalFormatting>
  <s:conditionalFormatting sqref="J25:J49">
    <s:cfRule type="cellIs" dxfId="60" priority="36" operator="greaterThan">
      <s:formula>$I$12</s:formula>
    </s:cfRule>
  </s:conditionalFormatting>
  <s:conditionalFormatting sqref="J28:J56">
    <s:cfRule type="cellIs" dxfId="59" priority="61" operator="greaterThan">
      <s:formula>$I$12</s:formula>
    </s:cfRule>
    <s:cfRule type="cellIs" dxfId="58" priority="60" operator="lessThan">
      <s:formula>$I$12</s:formula>
    </s:cfRule>
  </s:conditionalFormatting>
  <s:conditionalFormatting sqref="J36">
    <s:cfRule type="cellIs" dxfId="57" priority="96" operator="greaterThan">
      <s:formula>$I$12</s:formula>
    </s:cfRule>
    <s:cfRule type="cellIs" dxfId="56" priority="92" operator="lessThan">
      <s:formula>$I$12</s:formula>
    </s:cfRule>
    <s:cfRule type="cellIs" dxfId="55" priority="98" operator="lessThan">
      <s:formula>$I$12</s:formula>
    </s:cfRule>
  </s:conditionalFormatting>
  <s:conditionalFormatting sqref="J39:J40">
    <s:cfRule type="cellIs" dxfId="54" priority="82" operator="lessThan">
      <s:formula>$I$12</s:formula>
    </s:cfRule>
  </s:conditionalFormatting>
  <s:conditionalFormatting sqref="J44:J49">
    <s:cfRule type="cellIs" dxfId="53" priority="77" operator="lessThan">
      <s:formula>$I$12</s:formula>
    </s:cfRule>
  </s:conditionalFormatting>
  <s:conditionalFormatting sqref="J51:J53">
    <s:cfRule type="cellIs" dxfId="52" priority="91" operator="lessThan">
      <s:formula>$I$12</s:formula>
    </s:cfRule>
  </s:conditionalFormatting>
  <s:conditionalFormatting sqref="M16">
    <s:cfRule type="cellIs" dxfId="51" priority="75" operator="lessThan">
      <s:formula>0</s:formula>
    </s:cfRule>
    <s:cfRule type="cellIs" dxfId="50" priority="73" operator="greaterThan">
      <s:formula>0</s:formula>
    </s:cfRule>
  </s:conditionalFormatting>
  <s:conditionalFormatting sqref="N8">
    <s:cfRule type="cellIs" dxfId="49" priority="38" operator="lessThan">
      <s:formula>$K$17</s:formula>
    </s:cfRule>
    <s:cfRule type="cellIs" dxfId="48" priority="37" operator="greaterThan">
      <s:formula>$K$17</s:formula>
    </s:cfRule>
  </s:conditionalFormatting>
  <s:conditionalFormatting sqref="N10:N12 N15">
    <s:cfRule type="cellIs" dxfId="47" priority="76" operator="lessThan">
      <s:formula>1</s:formula>
    </s:cfRule>
    <s:cfRule type="cellIs" dxfId="46" priority="72" operator="greaterThan">
      <s:formula>1</s:formula>
    </s:cfRule>
  </s:conditionalFormatting>
  <s:conditionalFormatting sqref="N13">
    <s:cfRule type="cellIs" dxfId="45" priority="69" operator="greaterThan">
      <s:formula>$K$14</s:formula>
    </s:cfRule>
    <s:cfRule type="cellIs" dxfId="44" priority="68" operator="lessThan">
      <s:formula>$K$14</s:formula>
    </s:cfRule>
  </s:conditionalFormatting>
  <s:conditionalFormatting sqref="P8:P15">
    <s:cfRule type="cellIs" dxfId="43" priority="71" operator="greaterThan">
      <s:formula>1</s:formula>
    </s:cfRule>
    <s:cfRule type="cellIs" dxfId="42" priority="70" operator="lessThan">
      <s:formula>1</s:formula>
    </s:cfRule>
  </s:conditionalFormatting>
  <s:conditionalFormatting sqref="S25:S44">
    <s:cfRule type="cellIs" dxfId="41" priority="51" operator="between">
      <s:formula>0.2</s:formula>
      <s:formula>0.25</s:formula>
    </s:cfRule>
  </s:conditionalFormatting>
  <s:conditionalFormatting sqref="S25:S49">
    <s:cfRule type="cellIs" dxfId="40" priority="52" operator="greaterThanOrEqual">
      <s:formula>0.25</s:formula>
    </s:cfRule>
  </s:conditionalFormatting>
  <s:conditionalFormatting sqref="S25:S56">
    <s:cfRule type="cellIs" dxfId="39" priority="53" operator="lessThan">
      <s:formula>0.2</s:formula>
    </s:cfRule>
  </s:conditionalFormatting>
  <s:conditionalFormatting sqref="S28:S38">
    <s:cfRule type="cellIs" dxfId="38" priority="59" operator="greaterThanOrEqual">
      <s:formula>0.25</s:formula>
    </s:cfRule>
    <s:cfRule type="cellIs" dxfId="37" priority="58" operator="between">
      <s:formula>0.2</s:formula>
      <s:formula>0.25</s:formula>
    </s:cfRule>
  </s:conditionalFormatting>
  <s:conditionalFormatting sqref="S36">
    <s:cfRule type="cellIs" dxfId="36" priority="100" operator="between">
      <s:formula>0.2</s:formula>
      <s:formula>0.25</s:formula>
    </s:cfRule>
    <s:cfRule type="cellIs" dxfId="35" priority="99" operator="greaterThanOrEqual">
      <s:formula>0.25</s:formula>
    </s:cfRule>
    <s:cfRule type="cellIs" dxfId="34" priority="93" operator="between">
      <s:formula>0.2</s:formula>
      <s:formula>0.25</s:formula>
    </s:cfRule>
  </s:conditionalFormatting>
  <s:conditionalFormatting sqref="S39:S40">
    <s:cfRule type="cellIs" dxfId="33" priority="83" operator="between">
      <s:formula>0.2</s:formula>
      <s:formula>0.25</s:formula>
    </s:cfRule>
  </s:conditionalFormatting>
  <s:conditionalFormatting sqref="S39:S56">
    <s:cfRule type="cellIs" dxfId="32" priority="67" operator="greaterThanOrEqual">
      <s:formula>0.25</s:formula>
    </s:cfRule>
  </s:conditionalFormatting>
  <s:conditionalFormatting sqref="S41:S56">
    <s:cfRule type="cellIs" dxfId="31" priority="66" operator="between">
      <s:formula>0.2</s:formula>
      <s:formula>0.25</s:formula>
    </s:cfRule>
  </s:conditionalFormatting>
  <s:conditionalFormatting sqref="S44:S49">
    <s:cfRule type="cellIs" dxfId="30" priority="78" operator="between">
      <s:formula>0.2</s:formula>
      <s:formula>0.25</s:formula>
    </s:cfRule>
  </s:conditionalFormatting>
  <s:conditionalFormatting sqref="S51:S53">
    <s:cfRule type="cellIs" dxfId="29" priority="87" operator="between">
      <s:formula>0.2</s:formula>
      <s:formula>0.25</s:formula>
    </s:cfRule>
  </s:conditionalFormatting>
  <s:conditionalFormatting sqref="S10:T10">
    <s:cfRule type="cellIs" dxfId="28" priority="74" operator="lessThan">
      <s:formula>0</s:formula>
    </s:cfRule>
  </s:conditionalFormatting>
  <s:conditionalFormatting sqref="T25:T43">
    <s:cfRule type="cellIs" dxfId="27" priority="1" operator="between">
      <s:formula>0.9001</s:formula>
      <s:formula>0.9999</s:formula>
    </s:cfRule>
    <s:cfRule type="cellIs" dxfId="26" priority="2" operator="lessThan">
      <s:formula>0.9</s:formula>
    </s:cfRule>
    <s:cfRule type="cellIs" dxfId="25" priority="5" operator="between">
      <s:formula>0.85</s:formula>
      <s:formula>1</s:formula>
    </s:cfRule>
  </s:conditionalFormatting>
  <s:conditionalFormatting sqref="T25:T49">
    <s:cfRule type="cellIs" dxfId="24" priority="6" operator="between">
      <s:formula>0.01</s:formula>
      <s:formula>0.99</s:formula>
    </s:cfRule>
  </s:conditionalFormatting>
  <s:conditionalFormatting sqref="T25:T56">
    <s:cfRule type="cellIs" dxfId="23" priority="3" operator="greaterThan">
      <s:formula>1</s:formula>
    </s:cfRule>
    <s:cfRule type="cellIs" dxfId="22" priority="4" operator="greaterThan">
      <s:formula>100</s:formula>
    </s:cfRule>
  </s:conditionalFormatting>
  <s:conditionalFormatting sqref="T28:T38">
    <s:cfRule type="cellIs" dxfId="21" priority="30" operator="between">
      <s:formula>0.9001</s:formula>
      <s:formula>0.9999</s:formula>
    </s:cfRule>
    <s:cfRule type="cellIs" dxfId="20" priority="29" operator="lessThan">
      <s:formula>0.9</s:formula>
    </s:cfRule>
    <s:cfRule type="cellIs" dxfId="19" priority="13" operator="between">
      <s:formula>0.85</s:formula>
      <s:formula>1</s:formula>
    </s:cfRule>
    <s:cfRule type="cellIs" dxfId="18" priority="14" operator="between">
      <s:formula>0.01</s:formula>
      <s:formula>0.99</s:formula>
    </s:cfRule>
  </s:conditionalFormatting>
  <s:conditionalFormatting sqref="T36">
    <s:cfRule type="cellIs" dxfId="17" priority="33" operator="lessThan">
      <s:formula>0.9</s:formula>
    </s:cfRule>
    <s:cfRule type="cellIs" dxfId="16" priority="28" operator="between">
      <s:formula>0.85</s:formula>
      <s:formula>1</s:formula>
    </s:cfRule>
    <s:cfRule type="cellIs" dxfId="15" priority="31" operator="between">
      <s:formula>0.01</s:formula>
      <s:formula>0.99</s:formula>
    </s:cfRule>
    <s:cfRule type="cellIs" dxfId="14" priority="32" operator="between">
      <s:formula>0.85</s:formula>
      <s:formula>1</s:formula>
    </s:cfRule>
    <s:cfRule type="cellIs" dxfId="13" priority="34" operator="between">
      <s:formula>0.9001</s:formula>
      <s:formula>0.9999</s:formula>
    </s:cfRule>
  </s:conditionalFormatting>
  <s:conditionalFormatting sqref="T39:T40">
    <s:cfRule type="cellIs" dxfId="12" priority="22" operator="between">
      <s:formula>0.85</s:formula>
      <s:formula>1</s:formula>
    </s:cfRule>
    <s:cfRule type="cellIs" dxfId="11" priority="23" operator="lessThan">
      <s:formula>0.9</s:formula>
    </s:cfRule>
    <s:cfRule type="cellIs" dxfId="10" priority="24" operator="between">
      <s:formula>0.9001</s:formula>
      <s:formula>0.9999</s:formula>
    </s:cfRule>
  </s:conditionalFormatting>
  <s:conditionalFormatting sqref="T39:T56">
    <s:cfRule type="cellIs" dxfId="9" priority="18" operator="between">
      <s:formula>0.01</s:formula>
      <s:formula>0.99</s:formula>
    </s:cfRule>
  </s:conditionalFormatting>
  <s:conditionalFormatting sqref="T41:T56">
    <s:cfRule type="cellIs" dxfId="8" priority="17" operator="between">
      <s:formula>0.85</s:formula>
      <s:formula>1</s:formula>
    </s:cfRule>
    <s:cfRule type="cellIs" dxfId="7" priority="16" operator="lessThan">
      <s:formula>0.9</s:formula>
    </s:cfRule>
    <s:cfRule type="cellIs" dxfId="6" priority="15" operator="between">
      <s:formula>0.9001</s:formula>
      <s:formula>0.9999</s:formula>
    </s:cfRule>
  </s:conditionalFormatting>
  <s:conditionalFormatting sqref="T44:T49">
    <s:cfRule type="cellIs" dxfId="5" priority="19" operator="between">
      <s:formula>0.85</s:formula>
      <s:formula>1</s:formula>
    </s:cfRule>
    <s:cfRule type="cellIs" dxfId="4" priority="20" operator="lessThan">
      <s:formula>0.9</s:formula>
    </s:cfRule>
    <s:cfRule type="cellIs" dxfId="3" priority="21" operator="between">
      <s:formula>0.9001</s:formula>
      <s:formula>0.9999</s:formula>
    </s:cfRule>
  </s:conditionalFormatting>
  <s:conditionalFormatting sqref="T51:T53">
    <s:cfRule type="cellIs" dxfId="2" priority="25" operator="between">
      <s:formula>0.85</s:formula>
      <s:formula>1</s:formula>
    </s:cfRule>
    <s:cfRule type="cellIs" dxfId="1" priority="26" operator="lessThan">
      <s:formula>0.9</s:formula>
    </s:cfRule>
    <s:cfRule type="cellIs" dxfId="0" priority="27" operator="between">
      <s:formula>0.9001</s:formula>
      <s:formula>0.9999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7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00000000-0001-0000-0700-000000000000}">
  <s:dimension ref="A1:N25"/>
  <s:sheetViews>
    <s:sheetView tabSelected="0" zoomScale="93" workbookViewId="0">
      <s:selection activeCell="Q12" sqref="Q12"/>
    </s:sheetView>
  </s:sheetViews>
  <s:sheetFormatPr baseColWidth="10" defaultColWidth="11.5" defaultRowHeight="15"/>
  <s:cols>
    <s:col min="1" max="1" width="2.5" style="3" customWidth="1"/>
    <s:col min="2" max="2" width="11.832" style="3" customWidth="1"/>
    <s:col min="3" max="3" width="18.332" style="3" bestFit="1" customWidth="1"/>
    <s:col min="4" max="4" width="10.5" style="3" bestFit="1" customWidth="1"/>
    <s:col min="5" max="5" width="11.664" style="3" customWidth="1"/>
    <s:col min="6" max="6" width="11.832" style="3" customWidth="1"/>
    <s:col min="7" max="7" width="14" style="3" customWidth="1"/>
    <s:col min="8" max="8" width="13.332" style="3" customWidth="1"/>
    <s:col min="9" max="9" width="12" style="3" customWidth="1"/>
    <s:col min="10" max="10" width="17.5" style="3" customWidth="1"/>
    <s:col min="11" max="11" width="14.164" style="3" customWidth="1"/>
    <s:col min="12" max="12" width="14.832" style="3" customWidth="1"/>
    <s:col min="13" max="13" width="12.164" style="3" customWidth="1"/>
  </s:cols>
  <s:sheetData>
    <s:row r="1" spans="1:14" ht="17" customHeight="1">
      <s:c r="A1" s="716" t="str">
        <s:f>График!B1</s:f>
        <s:v>Апрель, 2026</s:v>
      </s:c>
      <s:c r="B1" s="717"/>
      <s:c r="C1" s="717"/>
      <s:c r="D1" s="718"/>
      <s:c r="E1" s="364"/>
      <s:c r="F1" s="251"/>
      <s:c r="G1" s="251"/>
      <s:c r="H1" s="251"/>
      <s:c r="I1" s="251"/>
      <s:c r="J1" s="251"/>
      <s:c r="K1" s="251"/>
      <s:c r="L1" s="251"/>
      <s:c r="M1" s="365"/>
    </s:row>
    <s:row r="2" spans="1:14" ht="18" customHeight="1" thickBot="1">
      <s:c r="A2" s="719" t="str">
        <s:f>График!B3</s:f>
        <s:v>ул. Набережная Ленина, 18</s:v>
      </s:c>
      <s:c r="B2" s="720"/>
      <s:c r="C2" s="721"/>
      <s:c r="D2" s="366" t="str">
        <s:f>[1]График!B4</s:f>
        <s:v>GL-0004</s:v>
      </s:c>
      <s:c r="E2" s="252"/>
      <s:c r="F2" s="367"/>
      <s:c r="G2" s="367"/>
      <s:c r="H2" s="367"/>
      <s:c r="I2" s="367"/>
      <s:c r="J2" s="368"/>
      <s:c r="K2" s="368"/>
      <s:c r="L2" s="368"/>
      <s:c r="M2" s="369"/>
    </s:row>
    <s:row r="3" spans="1:14" ht="75" customHeight="1">
      <s:c r="A3" s="722" t="s">
        <s:v>26</s:v>
      </s:c>
      <s:c r="B3" s="723"/>
      <s:c r="C3" s="723"/>
      <s:c r="D3" s="370" t="s">
        <s:v>77</s:v>
      </s:c>
      <s:c r="E3" s="371" t="s">
        <s:v>78</s:v>
      </s:c>
      <s:c r="F3" s="253" t="s">
        <s:v>80</s:v>
      </s:c>
      <s:c r="G3" s="254" t="s">
        <s:v>96</s:v>
      </s:c>
      <s:c r="H3" s="254" t="s">
        <s:v>81</s:v>
      </s:c>
      <s:c r="I3" s="255" t="s">
        <s:v>79</s:v>
      </s:c>
      <s:c r="J3" s="372" t="s">
        <s:v>64</s:v>
      </s:c>
      <s:c r="K3" s="373" t="s">
        <s:v>82</s:v>
      </s:c>
      <s:c r="L3" s="255" t="s">
        <s:v>83</s:v>
      </s:c>
      <s:c r="M3" s="369"/>
    </s:row>
    <s:row r="4" spans="1:14" ht="18" customHeight="1" thickBot="1">
      <s:c r="A4" s="724" t="str">
        <s:f>График!B28</s:f>
        <s:v>Рогалевич Ирина</s:v>
      </s:c>
      <s:c r="B4" s="725"/>
      <s:c r="C4" s="725"/>
      <s:c r="D4" s="374">
        <s:f>44000-J22</s:f>
        <s:v>38280</s:v>
      </s:c>
      <s:c r="E4" s="375"/>
      <s:c r="F4" s="376">
        <s:f>G7</s:f>
        <s:v>17400</s:v>
      </s:c>
      <s:c r="G4" s="377">
        <s:f>G14</s:f>
        <s:v>47591.350000000006</s:v>
      </s:c>
      <s:c r="H4" s="377">
        <s:f>G20</s:f>
        <s:v>10477.96229299363</s:v>
      </s:c>
      <s:c r="I4" s="378">
        <s:f>L14</s:f>
        <s:v>17602.11</s:v>
      </s:c>
      <s:c r="J4" s="379">
        <s:f>G4+F4+I4+H4</s:f>
        <s:v>93071.422292993637</s:v>
      </s:c>
      <s:c r="K4" s="380">
        <s:f>L20</s:f>
        <s:v>5720</s:v>
      </s:c>
      <s:c r="L4" s="378">
        <s:f>J4-K4-D4-E4</s:f>
        <s:v>49071.422292993637</s:v>
      </s:c>
      <s:c r="M4" s="369"/>
    </s:row>
    <s:row r="5" spans="1:14">
      <s:c r="A5" s="381"/>
      <s:c r="B5" s="256"/>
      <s:c r="C5" s="257"/>
      <s:c r="D5" s="257"/>
      <s:c r="E5" s="257"/>
      <s:c r="F5" s="257"/>
      <s:c r="G5" s="257"/>
      <s:c r="H5" s="257"/>
      <s:c r="I5" s="257"/>
      <s:c r="J5" s="257"/>
      <s:c r="K5" s="258"/>
      <s:c r="L5" s="257"/>
      <s:c r="M5" s="369"/>
    </s:row>
    <s:row r="6" spans="1:14">
      <s:c r="A6" s="381"/>
      <s:c r="B6" s="382"/>
      <s:c r="C6" s="383"/>
      <s:c r="F6" s="257"/>
      <s:c r="I6" s="384"/>
      <s:c r="M6" s="369"/>
    </s:row>
    <s:row r="7" spans="1:14" ht="16" customHeight="1">
      <s:c r="A7" s="381"/>
      <s:c r="B7" s="265" t="s">
        <s:v>87</s:v>
      </s:c>
      <s:c r="C7" s="264"/>
      <s:c r="D7" s="264"/>
      <s:c r="E7" s="264"/>
      <s:c r="F7" s="264"/>
      <s:c r="G7" s="385">
        <s:f>G9+G10</s:f>
        <s:v>17400</s:v>
      </s:c>
      <s:c r="M7" s="369"/>
    </s:row>
    <s:row r="8" spans="1:14" ht="20" customHeight="1">
      <s:c r="A8" s="386"/>
      <s:c r="B8" s="266" t="s">
        <s:v>88</s:v>
      </s:c>
      <s:c r="C8" s="266" t="s">
        <s:v>89</s:v>
      </s:c>
      <s:c r="D8" s="266" t="s">
        <s:v>90</s:v>
      </s:c>
      <s:c r="E8" s="266" t="s">
        <s:v>91</s:v>
      </s:c>
      <s:c r="F8" s="266" t="s">
        <s:v>92</s:v>
      </s:c>
      <s:c r="G8" s="266" t="s">
        <s:v>93</s:v>
      </s:c>
      <s:c r="I8" s="266" t="s">
        <s:v>94</s:v>
      </s:c>
      <s:c r="J8" s="266" t="s">
        <s:v>6</s:v>
      </s:c>
      <s:c r="M8" s="369"/>
    </s:row>
    <s:row r="9" spans="1:14" ht="19" customHeight="1">
      <s:c r="A9" s="386"/>
      <s:c r="B9" s="268">
        <s:f>График!AI28</s:f>
        <s:v>19</s:v>
      </s:c>
      <s:c r="C9" s="269" t="str">
        <s:f>A2</s:f>
        <s:v>ул. Набережная Ленина, 18</s:v>
      </s:c>
      <s:c r="D9" s="269" t="s">
        <s:v>118</s:v>
      </s:c>
      <s:c r="E9" s="270">
        <s:f>График!AJ28</s:f>
        <s:v>174</s:v>
      </s:c>
      <s:c r="F9" s="271">
        <s:v>100</s:v>
      </s:c>
      <s:c r="G9" s="387">
        <s:f>E9*F9</s:f>
        <s:v>17400</s:v>
      </s:c>
      <s:c r="I9" s="269" t="s">
        <s:v>89</s:v>
      </s:c>
      <s:c r="J9" s="388">
        <s:f>'Ялта, Ленина, 18'!K8</s:f>
        <s:v>0.71583392626558096</s:v>
      </s:c>
      <s:c r="M9" s="369"/>
    </s:row>
    <s:row r="10" spans="1:14">
      <s:c r="A10" s="381"/>
      <s:c r="B10" s="266"/>
      <s:c r="C10" s="269"/>
      <s:c r="D10" s="269"/>
      <s:c r="E10" s="273"/>
      <s:c r="F10" s="271"/>
      <s:c r="G10" s="387"/>
      <s:c r="H10" s="257"/>
      <s:c r="I10" s="389" t="s">
        <s:v>124</s:v>
      </s:c>
      <s:c r="J10" s="390">
        <s:f>Рогалевич!N8</s:f>
        <s:v>0.87196753480967515</s:v>
      </s:c>
      <s:c r="K10" s="715"/>
      <s:c r="L10" s="715"/>
      <s:c r="M10" s="369"/>
    </s:row>
    <s:row r="11" spans="1:14">
      <s:c r="A11" s="386"/>
      <s:c r="H11" s="257"/>
      <s:c r="I11" s="257"/>
      <s:c r="J11" s="257"/>
      <s:c r="K11" s="257"/>
      <s:c r="L11" s="257"/>
      <s:c r="M11" s="369"/>
    </s:row>
    <s:row r="12" spans="1:14">
      <s:c r="A12" s="386"/>
      <s:c r="B12" s="264"/>
      <s:c r="C12" s="274"/>
      <s:c r="D12" s="257"/>
      <s:c r="E12" s="275"/>
      <s:c r="F12" s="275"/>
      <s:c r="G12" s="276"/>
      <s:c r="M12" s="369"/>
    </s:row>
    <s:row r="13" spans="1:14" ht="15" customHeight="1">
      <s:c r="A13" s="391"/>
      <s:c r="B13" s="257"/>
      <s:c r="C13" s="256"/>
      <s:c r="D13" s="259"/>
      <s:c r="E13" s="259"/>
      <s:c r="F13" s="259"/>
      <s:c r="G13" s="259"/>
      <s:c r="H13" s="264"/>
      <s:c r="M13" s="369"/>
    </s:row>
    <s:row r="14" spans="1:14">
      <s:c r="A14" s="391"/>
      <s:c r="B14" s="392" t="s">
        <s:v>96</s:v>
      </s:c>
      <s:c r="C14" s="259"/>
      <s:c r="D14" s="259"/>
      <s:c r="E14" s="259"/>
      <s:c r="F14" s="259"/>
      <s:c r="G14" s="393">
        <s:f>G16+G17</s:f>
        <s:v>47591.350000000006</s:v>
      </s:c>
      <s:c r="H14" s="394"/>
      <s:c r="I14" s="392" t="s">
        <s:v>84</s:v>
      </s:c>
      <s:c r="J14" s="395"/>
      <s:c r="K14" s="395"/>
      <s:c r="L14" s="396">
        <s:f>J16+J17+J18</s:f>
        <s:v>17602.11</s:v>
      </s:c>
      <s:c r="M14" s="369"/>
      <s:c r="N14" s="267"/>
    </s:row>
    <s:row r="15" spans="1:14" ht="23" customHeight="1">
      <s:c r="A15" s="397"/>
      <s:c r="B15" s="266" t="s">
        <s:v>125</s:v>
      </s:c>
      <s:c r="C15" s="398" t="s">
        <s:v>89</s:v>
      </s:c>
      <s:c r="D15" s="399"/>
      <s:c r="E15" s="266" t="s">
        <s:v>98</s:v>
      </s:c>
      <s:c r="F15" s="266" t="s">
        <s:v>99</s:v>
      </s:c>
      <s:c r="G15" s="266" t="s">
        <s:v>100</s:v>
      </s:c>
      <s:c r="H15" s="400"/>
      <s:c r="I15" s="260" t="s">
        <s:v>27</s:v>
      </s:c>
      <s:c r="J15" s="260" t="s">
        <s:v>85</s:v>
      </s:c>
      <s:c r="K15" s="726" t="s">
        <s:v>86</s:v>
      </s:c>
      <s:c r="L15" s="727"/>
      <s:c r="M15" s="369"/>
    </s:row>
    <s:row r="16" spans="1:14" ht="19" customHeight="1">
      <s:c r="A16" s="391"/>
      <s:c r="B16" s="269" t="s">
        <s:v>126</s:v>
      </s:c>
      <s:c r="C16" s="362" t="str">
        <s:f>A2</s:f>
        <s:v>ул. Набережная Ленина, 18</s:v>
      </s:c>
      <s:c r="D16" s="363"/>
      <s:c r="E16" s="272">
        <s:v>0.05</s:v>
      </s:c>
      <s:c r="F16" s="262">
        <s:f>Рогалевич!M8-'Вед-ть Рогалевич'!F17</s:f>
        <s:v>632377</s:v>
      </s:c>
      <s:c r="G16" s="278">
        <s:f>F16*E16</s:f>
        <s:v>31618.850000000002</s:v>
      </s:c>
      <s:c r="H16" s="264"/>
      <s:c r="I16" s="261">
        <s:v>46142</s:v>
      </s:c>
      <s:c r="J16" s="361">
        <s:v>0</s:v>
      </s:c>
      <s:c r="K16" s="728" t="s">
        <s:v>131</s:v>
      </s:c>
      <s:c r="L16" s="729"/>
      <s:c r="M16" s="369"/>
    </s:row>
    <s:row r="17" spans="1:13" ht="24">
      <s:c r="A17" s="397"/>
      <s:c r="B17" s="263" t="s">
        <s:v>127</s:v>
      </s:c>
      <s:c r="C17" s="362" t="str">
        <s:f>A2</s:f>
        <s:v>ул. Набережная Ленина, 18</s:v>
      </s:c>
      <s:c r="D17" s="363"/>
      <s:c r="E17" s="272">
        <s:v>0.1</s:v>
      </s:c>
      <s:c r="F17" s="281">
        <s:f>Рогалевич!L56+Рогалевич!R56</s:f>
        <s:v>159725</s:v>
      </s:c>
      <s:c r="G17" s="278">
        <s:f>F17*E17</s:f>
        <s:v>15972.5</s:v>
      </s:c>
      <s:c r="I17" s="261">
        <s:v>46142</s:v>
      </s:c>
      <s:c r="J17" s="361">
        <s:f>'Ялта, Ленина, 18'!J8*0.01</s:f>
        <s:v>17602.11</s:v>
      </s:c>
      <s:c r="K17" s="728" t="s">
        <s:v>128</s:v>
      </s:c>
      <s:c r="L17" s="729"/>
      <s:c r="M17" s="369"/>
    </s:row>
    <s:row r="18" spans="1:13" ht="18" customHeight="1">
      <s:c r="A18" s="401"/>
      <s:c r="F18" s="402">
        <s:f>F16+F17</s:f>
        <s:v>792102</s:v>
      </s:c>
      <s:c r="H18" s="259"/>
      <s:c r="I18" s="261">
        <s:v>46142</s:v>
      </s:c>
      <s:c r="J18" s="361">
        <s:v>0</s:v>
      </s:c>
      <s:c r="K18" s="728" t="s">
        <s:v>130</s:v>
      </s:c>
      <s:c r="L18" s="729"/>
      <s:c r="M18" s="369"/>
    </s:row>
    <s:row r="19" spans="1:13">
      <s:c r="A19" s="401"/>
      <s:c r="H19" s="259"/>
      <s:c r="I19" s="284"/>
      <s:c r="J19" s="285"/>
      <s:c r="K19" s="403"/>
      <s:c r="L19" s="403"/>
      <s:c r="M19" s="369"/>
    </s:row>
    <s:row r="20" spans="1:13">
      <s:c r="A20" s="401"/>
      <s:c r="B20" s="256" t="s">
        <s:v>97</s:v>
      </s:c>
      <s:c r="C20" s="256"/>
      <s:c r="D20" s="259"/>
      <s:c r="E20" s="259"/>
      <s:c r="F20" s="259"/>
      <s:c r="G20" s="393">
        <s:f>G22+G23</s:f>
        <s:v>10477.96229299363</s:v>
      </s:c>
      <s:c r="H20" s="277"/>
      <s:c r="I20" s="404" t="s">
        <s:v>82</s:v>
      </s:c>
      <s:c r="J20" s="405"/>
      <s:c r="K20" s="405"/>
      <s:c r="L20" s="406">
        <s:f>J22+J23+J24</s:f>
        <s:v>5720</s:v>
      </s:c>
      <s:c r="M20" s="369"/>
    </s:row>
    <s:row r="21" spans="1:13" ht="36">
      <s:c r="A21" s="401"/>
      <s:c r="B21" s="266" t="s">
        <s:v>26</s:v>
      </s:c>
      <s:c r="C21" s="266" t="s">
        <s:v>89</s:v>
      </s:c>
      <s:c r="D21" s="266" t="s">
        <s:v>101</s:v>
      </s:c>
      <s:c r="E21" s="266" t="s">
        <s:v>102</s:v>
      </s:c>
      <s:c r="F21" s="266" t="s">
        <s:v>98</s:v>
      </s:c>
      <s:c r="G21" s="266" t="s">
        <s:v>100</s:v>
      </s:c>
      <s:c r="H21" s="259"/>
      <s:c r="I21" s="260" t="s">
        <s:v>27</s:v>
      </s:c>
      <s:c r="J21" s="260" t="s">
        <s:v>85</s:v>
      </s:c>
      <s:c r="K21" s="726" t="s">
        <s:v>86</s:v>
      </s:c>
      <s:c r="L21" s="727"/>
      <s:c r="M21" s="369"/>
    </s:row>
    <s:row r="22" spans="1:13" ht="18" customHeight="1">
      <s:c r="A22" s="401"/>
      <s:c r="B22" s="279" t="str">
        <s:f>A4</s:f>
        <s:v>Рогалевич Ирина</s:v>
      </s:c>
      <s:c r="C22" s="280" t="str">
        <s:f>C16</s:f>
        <s:v>ул. Набережная Ленина, 18</s:v>
      </s:c>
      <s:c r="D22" s="280">
        <s:f>E9</s:f>
        <s:v>174</s:v>
      </s:c>
      <s:c r="E22" s="407">
        <s:f>График!AJ29</s:f>
        <s:v>471</s:v>
      </s:c>
      <s:c r="F22" s="272">
        <s:v>0.02</s:v>
      </s:c>
      <s:c r="G22" s="408">
        <s:f>('Ялта, Ленина, 18'!J8-'Ялта, Ленина, 18'!L56-'Ялта, Ленина, 18'!R56)*F22*D22/E22</s:f>
        <s:v>10477.96229299363</s:v>
      </s:c>
      <s:c r="H22" s="264"/>
      <s:c r="I22" s="261">
        <s:v>46142</s:v>
      </s:c>
      <s:c r="J22" s="262">
        <s:v>5720</s:v>
      </s:c>
      <s:c r="K22" s="713" t="s">
        <s:v>129</s:v>
      </s:c>
      <s:c r="L22" s="714"/>
      <s:c r="M22" s="369"/>
    </s:row>
    <s:row r="23" spans="1:13" ht="19" customHeight="1">
      <s:c r="A23" s="401"/>
      <s:c r="B23" s="279"/>
      <s:c r="C23" s="280"/>
      <s:c r="D23" s="280"/>
      <s:c r="E23" s="407"/>
      <s:c r="F23" s="272"/>
      <s:c r="G23" s="408"/>
      <s:c r="H23" s="257"/>
      <s:c r="I23" s="261"/>
      <s:c r="J23" s="262"/>
      <s:c r="K23" s="713"/>
      <s:c r="L23" s="714"/>
      <s:c r="M23" s="369"/>
    </s:row>
    <s:row r="24" spans="1:13">
      <s:c r="A24" s="401"/>
      <s:c r="B24" s="409"/>
      <s:c r="C24" s="410"/>
      <s:c r="D24" s="410"/>
      <s:c r="E24" s="411"/>
      <s:c r="F24" s="412"/>
      <s:c r="G24" s="413"/>
      <s:c r="H24" s="257"/>
      <s:c r="I24" s="261"/>
      <s:c r="J24" s="262"/>
      <s:c r="K24" s="713"/>
      <s:c r="L24" s="714"/>
      <s:c r="M24" s="369"/>
    </s:row>
    <s:row r="25" spans="1:13" ht="16" thickBot="1">
      <s:c r="A25" s="282"/>
      <s:c r="B25" s="283"/>
      <s:c r="C25" s="283"/>
      <s:c r="D25" s="283"/>
      <s:c r="E25" s="283"/>
      <s:c r="F25" s="283"/>
      <s:c r="G25" s="283"/>
      <s:c r="H25" s="414"/>
      <s:c r="I25" s="283"/>
      <s:c r="J25" s="283"/>
      <s:c r="K25" s="283"/>
      <s:c r="L25" s="283"/>
      <s:c r="M25" s="415"/>
    </s:row>
  </s:sheetData>
  <s:mergeCells count="13">
    <s:mergeCell ref="K22:L22"/>
    <s:mergeCell ref="K23:L23"/>
    <s:mergeCell ref="K24:L24"/>
    <s:mergeCell ref="K10:L10"/>
    <s:mergeCell ref="A1:D1"/>
    <s:mergeCell ref="A2:C2"/>
    <s:mergeCell ref="A3:C3"/>
    <s:mergeCell ref="A4:C4"/>
    <s:mergeCell ref="K15:L15"/>
    <s:mergeCell ref="K16:L16"/>
    <s:mergeCell ref="K17:L17"/>
    <s:mergeCell ref="K18:L18"/>
    <s:mergeCell ref="K21:L21"/>
  </s:mergeCells>
  <s:pageMargins left="0.7" right="0.7" top="0.75" bottom="0.75" header="0.3" footer="0.3"/>
  <s:pageSetup paperSize="9" fitToWidth="0" fitToHeight="0" orientation="portrait"/>
</s:worksheet>
</file>

<file path=xl/worksheets/sheet8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00000000-0001-0000-0800-000000000000}">
  <s:dimension ref="A1:M25"/>
  <s:sheetViews>
    <s:sheetView tabSelected="0" zoomScale="90" workbookViewId="0">
      <s:selection activeCell="O14" sqref="O14"/>
    </s:sheetView>
  </s:sheetViews>
  <s:sheetFormatPr baseColWidth="10" defaultColWidth="11.5" defaultRowHeight="15"/>
  <s:cols>
    <s:col min="1" max="1" width="2.332" style="3" customWidth="1"/>
    <s:col min="2" max="2" width="17.164" style="3" customWidth="1"/>
    <s:col min="3" max="3" width="17.832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1.664" style="3" customWidth="1"/>
    <s:col min="9" max="9" width="17.832" style="3" customWidth="1"/>
    <s:col min="10" max="10" width="15.5" style="3" customWidth="1"/>
    <s:col min="11" max="11" width="11.5" style="3" customWidth="1"/>
    <s:col min="12" max="12" width="12.164" style="3" customWidth="1"/>
    <s:col min="13" max="13" width="13.332" style="3" customWidth="1"/>
  </s:cols>
  <s:sheetData>
    <s:row r="1" spans="1:13" ht="20" customHeight="1">
      <s:c r="A1" s="716" t="str">
        <s:f>График!B1</s:f>
        <s:v>Апрель, 2026</s:v>
      </s:c>
      <s:c r="B1" s="717"/>
      <s:c r="C1" s="717"/>
      <s:c r="D1" s="718"/>
      <s:c r="E1" s="364"/>
      <s:c r="F1" s="251"/>
      <s:c r="G1" s="251"/>
      <s:c r="H1" s="251"/>
      <s:c r="I1" s="251"/>
      <s:c r="J1" s="251"/>
      <s:c r="K1" s="251"/>
      <s:c r="L1" s="251"/>
      <s:c r="M1" s="365"/>
    </s:row>
    <s:row r="2" spans="1:13" ht="20" customHeight="1" thickBot="1">
      <s:c r="A2" s="719" t="str">
        <s:f>График!B3</s:f>
        <s:v>ул. Набережная Ленина, 18</s:v>
      </s:c>
      <s:c r="B2" s="720"/>
      <s:c r="C2" s="721"/>
      <s:c r="D2" s="366" t="str">
        <s:f>[1]График!B4</s:f>
        <s:v>GL-0004</s:v>
      </s:c>
      <s:c r="E2" s="252"/>
      <s:c r="F2" s="367"/>
      <s:c r="G2" s="367"/>
      <s:c r="H2" s="367"/>
      <s:c r="I2" s="367"/>
      <s:c r="J2" s="368"/>
      <s:c r="K2" s="368"/>
      <s:c r="L2" s="368"/>
      <s:c r="M2" s="369"/>
    </s:row>
    <s:row r="3" spans="1:13" ht="75" customHeight="1">
      <s:c r="A3" s="722" t="s">
        <s:v>26</s:v>
      </s:c>
      <s:c r="B3" s="723"/>
      <s:c r="C3" s="723"/>
      <s:c r="D3" s="370" t="s">
        <s:v>77</s:v>
      </s:c>
      <s:c r="E3" s="371" t="s">
        <s:v>78</s:v>
      </s:c>
      <s:c r="F3" s="253" t="s">
        <s:v>80</s:v>
      </s:c>
      <s:c r="G3" s="254" t="s">
        <s:v>96</s:v>
      </s:c>
      <s:c r="H3" s="254" t="s">
        <s:v>81</s:v>
      </s:c>
      <s:c r="I3" s="255" t="s">
        <s:v>79</s:v>
      </s:c>
      <s:c r="J3" s="372" t="s">
        <s:v>64</s:v>
      </s:c>
      <s:c r="K3" s="373" t="s">
        <s:v>82</s:v>
      </s:c>
      <s:c r="L3" s="255" t="s">
        <s:v>83</s:v>
      </s:c>
      <s:c r="M3" s="369"/>
    </s:row>
    <s:row r="4" spans="1:13" ht="19" customHeight="1" thickBot="1">
      <s:c r="A4" s="724" t="str">
        <s:f>График!B27</s:f>
        <s:v>Уразгильдеева Екатерина</s:v>
      </s:c>
      <s:c r="B4" s="725"/>
      <s:c r="C4" s="725"/>
      <s:c r="D4" s="374">
        <s:f>40000-J22</s:f>
        <s:v>34800</s:v>
      </s:c>
      <s:c r="E4" s="375"/>
      <s:c r="F4" s="376">
        <s:f>G7</s:f>
        <s:v>20900</s:v>
      </s:c>
      <s:c r="G4" s="377">
        <s:f>G14</s:f>
        <s:v>46991.178999999996</s:v>
      </s:c>
      <s:c r="H4" s="377">
        <s:f>G20</s:f>
        <s:v>12585.598386411892</s:v>
      </s:c>
      <s:c r="I4" s="378">
        <s:f>L14</s:f>
        <s:v>0</s:v>
      </s:c>
      <s:c r="J4" s="379">
        <s:f>G4+F4+I4+H4</s:f>
        <s:v>80476.777386411894</s:v>
      </s:c>
      <s:c r="K4" s="380">
        <s:f>L20</s:f>
        <s:v>5200</s:v>
      </s:c>
      <s:c r="L4" s="378">
        <s:f>J4-K4-D4-E4</s:f>
        <s:v>40476.777386411894</s:v>
      </s:c>
      <s:c r="M4" s="369"/>
    </s:row>
    <s:row r="5" spans="1:13">
      <s:c r="A5" s="381"/>
      <s:c r="B5" s="256"/>
      <s:c r="C5" s="257"/>
      <s:c r="D5" s="257"/>
      <s:c r="E5" s="257"/>
      <s:c r="F5" s="257"/>
      <s:c r="G5" s="257"/>
      <s:c r="H5" s="257"/>
      <s:c r="I5" s="257"/>
      <s:c r="J5" s="257"/>
      <s:c r="K5" s="258"/>
      <s:c r="L5" s="257"/>
      <s:c r="M5" s="369"/>
    </s:row>
    <s:row r="6" spans="1:13">
      <s:c r="A6" s="381"/>
      <s:c r="B6" s="382"/>
      <s:c r="C6" s="383"/>
      <s:c r="F6" s="257"/>
      <s:c r="I6" s="384"/>
      <s:c r="M6" s="369"/>
    </s:row>
    <s:row r="7" spans="1:13">
      <s:c r="A7" s="381"/>
      <s:c r="B7" s="265" t="s">
        <s:v>87</s:v>
      </s:c>
      <s:c r="C7" s="264"/>
      <s:c r="D7" s="264"/>
      <s:c r="E7" s="264"/>
      <s:c r="F7" s="264"/>
      <s:c r="G7" s="385">
        <s:f>G9+G10</s:f>
        <s:v>20900</s:v>
      </s:c>
      <s:c r="M7" s="369"/>
    </s:row>
    <s:row r="8" spans="1:13" ht="22" customHeight="1">
      <s:c r="A8" s="386"/>
      <s:c r="B8" s="266" t="s">
        <s:v>88</s:v>
      </s:c>
      <s:c r="C8" s="266" t="s">
        <s:v>89</s:v>
      </s:c>
      <s:c r="D8" s="266" t="s">
        <s:v>90</s:v>
      </s:c>
      <s:c r="E8" s="266" t="s">
        <s:v>91</s:v>
      </s:c>
      <s:c r="F8" s="266" t="s">
        <s:v>92</s:v>
      </s:c>
      <s:c r="G8" s="266" t="s">
        <s:v>93</s:v>
      </s:c>
      <s:c r="I8" s="266" t="s">
        <s:v>94</s:v>
      </s:c>
      <s:c r="J8" s="266" t="s">
        <s:v>6</s:v>
      </s:c>
      <s:c r="M8" s="369"/>
    </s:row>
    <s:row r="9" spans="1:13" ht="20" customHeight="1">
      <s:c r="A9" s="386"/>
      <s:c r="B9" s="268">
        <s:f>График!AI27</s:f>
        <s:v>20</s:v>
      </s:c>
      <s:c r="C9" s="269" t="str">
        <s:f>A2</s:f>
        <s:v>ул. Набережная Ленина, 18</s:v>
      </s:c>
      <s:c r="D9" s="269" t="s">
        <s:v>95</s:v>
      </s:c>
      <s:c r="E9" s="270">
        <s:f>График!AJ27</s:f>
        <s:v>209</s:v>
      </s:c>
      <s:c r="F9" s="271">
        <s:v>100</s:v>
      </s:c>
      <s:c r="G9" s="387">
        <s:f>E9*F9</s:f>
        <s:v>20900</s:v>
      </s:c>
      <s:c r="I9" s="269" t="s">
        <s:v>89</s:v>
      </s:c>
      <s:c r="J9" s="388">
        <s:f>'Ялта, Ленина, 18'!K8</s:f>
        <s:v>0.71583392626558096</s:v>
      </s:c>
      <s:c r="M9" s="369"/>
    </s:row>
    <s:row r="10" spans="1:13" ht="20" customHeight="1">
      <s:c r="A10" s="381"/>
      <s:c r="B10" s="266"/>
      <s:c r="C10" s="269"/>
      <s:c r="D10" s="269"/>
      <s:c r="E10" s="273"/>
      <s:c r="F10" s="271"/>
      <s:c r="G10" s="387"/>
      <s:c r="H10" s="257"/>
      <s:c r="I10" s="389" t="s">
        <s:v>124</s:v>
      </s:c>
      <s:c r="J10" s="390">
        <s:f>Уразгильдеева!N8</s:f>
        <s:v>0.71554040221211934</s:v>
      </s:c>
      <s:c r="K10" s="715"/>
      <s:c r="L10" s="715"/>
      <s:c r="M10" s="369"/>
    </s:row>
    <s:row r="11" spans="1:13" ht="34" customHeight="1">
      <s:c r="A11" s="386"/>
      <s:c r="H11" s="257"/>
      <s:c r="I11" s="257"/>
      <s:c r="J11" s="257"/>
      <s:c r="K11" s="257"/>
      <s:c r="L11" s="257"/>
      <s:c r="M11" s="369"/>
    </s:row>
    <s:row r="12" spans="1:13">
      <s:c r="A12" s="386"/>
      <s:c r="B12" s="264"/>
      <s:c r="C12" s="274"/>
      <s:c r="D12" s="257"/>
      <s:c r="E12" s="275"/>
      <s:c r="F12" s="275"/>
      <s:c r="G12" s="276"/>
      <s:c r="M12" s="369"/>
    </s:row>
    <s:row r="13" spans="1:13">
      <s:c r="A13" s="391"/>
      <s:c r="B13" s="257"/>
      <s:c r="C13" s="256"/>
      <s:c r="D13" s="259"/>
      <s:c r="E13" s="259"/>
      <s:c r="F13" s="259"/>
      <s:c r="G13" s="259"/>
      <s:c r="H13" s="264"/>
      <s:c r="M13" s="369"/>
    </s:row>
    <s:row r="14" spans="1:13" ht="15" customHeight="1">
      <s:c r="A14" s="391"/>
      <s:c r="B14" s="392" t="s">
        <s:v>96</s:v>
      </s:c>
      <s:c r="C14" s="259"/>
      <s:c r="D14" s="259"/>
      <s:c r="E14" s="259"/>
      <s:c r="F14" s="259"/>
      <s:c r="G14" s="393">
        <s:f>G16+G17</s:f>
        <s:v>46991.178999999996</s:v>
      </s:c>
      <s:c r="H14" s="394"/>
      <s:c r="I14" s="392" t="s">
        <s:v>84</s:v>
      </s:c>
      <s:c r="J14" s="395"/>
      <s:c r="K14" s="395"/>
      <s:c r="L14" s="396">
        <s:f>J16+J17+J18</s:f>
        <s:v>0</s:v>
      </s:c>
      <s:c r="M14" s="369"/>
    </s:row>
    <s:row r="15" spans="1:13" ht="36">
      <s:c r="A15" s="397"/>
      <s:c r="B15" s="266" t="s">
        <s:v>125</s:v>
      </s:c>
      <s:c r="C15" s="398" t="s">
        <s:v>89</s:v>
      </s:c>
      <s:c r="D15" s="399"/>
      <s:c r="E15" s="266" t="s">
        <s:v>98</s:v>
      </s:c>
      <s:c r="F15" s="266" t="s">
        <s:v>99</s:v>
      </s:c>
      <s:c r="G15" s="266" t="s">
        <s:v>100</s:v>
      </s:c>
      <s:c r="H15" s="400"/>
      <s:c r="I15" s="260" t="s">
        <s:v>27</s:v>
      </s:c>
      <s:c r="J15" s="260" t="s">
        <s:v>85</s:v>
      </s:c>
      <s:c r="K15" s="726" t="s">
        <s:v>86</s:v>
      </s:c>
      <s:c r="L15" s="727"/>
      <s:c r="M15" s="369"/>
    </s:row>
    <s:row r="16" spans="1:13" ht="17" customHeight="1">
      <s:c r="A16" s="391"/>
      <s:c r="B16" s="269" t="s">
        <s:v>126</s:v>
      </s:c>
      <s:c r="C16" s="362" t="str">
        <s:f>A2</s:f>
        <s:v>ул. Набережная Ленина, 18</s:v>
      </s:c>
      <s:c r="D16" s="363"/>
      <s:c r="E16" s="272">
        <s:v>0.05</s:v>
      </s:c>
      <s:c r="F16" s="262">
        <s:f>Уразгильдеева!M8-'Вед-ть Уразгильдеева'!F17</s:f>
        <s:v>621676.41999999993</s:v>
      </s:c>
      <s:c r="G16" s="278">
        <s:f>F16*E16</s:f>
        <s:v>31083.820999999996</s:v>
      </s:c>
      <s:c r="H16" s="264"/>
      <s:c r="I16" s="261">
        <s:v>46142</s:v>
      </s:c>
      <s:c r="J16" s="361">
        <s:v>0</s:v>
      </s:c>
      <s:c r="K16" s="728" t="s">
        <s:v>130</s:v>
      </s:c>
      <s:c r="L16" s="729"/>
      <s:c r="M16" s="369"/>
    </s:row>
    <s:row r="17" spans="1:13">
      <s:c r="A17" s="397"/>
      <s:c r="B17" s="263" t="s">
        <s:v>127</s:v>
      </s:c>
      <s:c r="C17" s="362" t="str">
        <s:f>A2</s:f>
        <s:v>ул. Набережная Ленина, 18</s:v>
      </s:c>
      <s:c r="D17" s="363"/>
      <s:c r="E17" s="272">
        <s:v>0.1</s:v>
      </s:c>
      <s:c r="F17" s="281">
        <s:f>Уразгильдеева!L57+Уразгильдеева!R57</s:f>
        <s:v>159073.58000000002</s:v>
      </s:c>
      <s:c r="G17" s="278">
        <s:f>F17*E17</s:f>
        <s:v>15907.358000000002</s:v>
      </s:c>
      <s:c r="I17" s="261"/>
      <s:c r="J17" s="361"/>
      <s:c r="K17" s="728"/>
      <s:c r="L17" s="729"/>
      <s:c r="M17" s="369"/>
    </s:row>
    <s:row r="18" spans="1:13">
      <s:c r="A18" s="401"/>
      <s:c r="F18" s="423">
        <s:f>F16+F17</s:f>
        <s:v>780750</s:v>
      </s:c>
      <s:c r="H18" s="259"/>
      <s:c r="I18" s="261"/>
      <s:c r="J18" s="361"/>
      <s:c r="K18" s="728"/>
      <s:c r="L18" s="729"/>
      <s:c r="M18" s="369"/>
    </s:row>
    <s:row r="19" spans="1:13">
      <s:c r="A19" s="401"/>
      <s:c r="H19" s="259"/>
      <s:c r="I19" s="284"/>
      <s:c r="J19" s="285"/>
      <s:c r="K19" s="403"/>
      <s:c r="L19" s="403"/>
      <s:c r="M19" s="369"/>
    </s:row>
    <s:row r="20" spans="1:13">
      <s:c r="A20" s="401"/>
      <s:c r="B20" s="256" t="s">
        <s:v>97</s:v>
      </s:c>
      <s:c r="C20" s="256"/>
      <s:c r="D20" s="259"/>
      <s:c r="E20" s="259"/>
      <s:c r="F20" s="259"/>
      <s:c r="G20" s="393">
        <s:f>G22+G23</s:f>
        <s:v>12585.598386411892</s:v>
      </s:c>
      <s:c r="H20" s="277"/>
      <s:c r="I20" s="404" t="s">
        <s:v>82</s:v>
      </s:c>
      <s:c r="J20" s="405"/>
      <s:c r="K20" s="405"/>
      <s:c r="L20" s="406">
        <s:f>J22+J23+J24</s:f>
        <s:v>5200</s:v>
      </s:c>
      <s:c r="M20" s="369"/>
    </s:row>
    <s:row r="21" spans="1:13" ht="36">
      <s:c r="A21" s="401"/>
      <s:c r="B21" s="266" t="s">
        <s:v>26</s:v>
      </s:c>
      <s:c r="C21" s="266" t="s">
        <s:v>89</s:v>
      </s:c>
      <s:c r="D21" s="266" t="s">
        <s:v>101</s:v>
      </s:c>
      <s:c r="E21" s="266" t="s">
        <s:v>102</s:v>
      </s:c>
      <s:c r="F21" s="266" t="s">
        <s:v>98</s:v>
      </s:c>
      <s:c r="G21" s="266" t="s">
        <s:v>100</s:v>
      </s:c>
      <s:c r="H21" s="259"/>
      <s:c r="I21" s="260" t="s">
        <s:v>27</s:v>
      </s:c>
      <s:c r="J21" s="260" t="s">
        <s:v>85</s:v>
      </s:c>
      <s:c r="K21" s="726" t="s">
        <s:v>86</s:v>
      </s:c>
      <s:c r="L21" s="727"/>
      <s:c r="M21" s="369"/>
    </s:row>
    <s:row r="22" spans="1:13" ht="19" customHeight="1">
      <s:c r="A22" s="401"/>
      <s:c r="B22" s="279" t="str">
        <s:f>A4</s:f>
        <s:v>Уразгильдеева Екатерина</s:v>
      </s:c>
      <s:c r="C22" s="280" t="str">
        <s:f>C16</s:f>
        <s:v>ул. Набережная Ленина, 18</s:v>
      </s:c>
      <s:c r="D22" s="280">
        <s:f>E9</s:f>
        <s:v>209</s:v>
      </s:c>
      <s:c r="E22" s="407">
        <s:f>График!AJ29</s:f>
        <s:v>471</s:v>
      </s:c>
      <s:c r="F22" s="272">
        <s:v>0.02</s:v>
      </s:c>
      <s:c r="G22" s="408">
        <s:f>('Ялта, Ленина, 18'!J8-'Ялта, Ленина, 18'!L56-'Ялта, Ленина, 18'!R56)*F22*D22/E22</s:f>
        <s:v>12585.598386411892</s:v>
      </s:c>
      <s:c r="H22" s="264"/>
      <s:c r="I22" s="261">
        <s:v>46142</s:v>
      </s:c>
      <s:c r="J22" s="262">
        <s:v>5200</s:v>
      </s:c>
      <s:c r="K22" s="713" t="s">
        <s:v>129</s:v>
      </s:c>
      <s:c r="L22" s="714"/>
      <s:c r="M22" s="369"/>
    </s:row>
    <s:row r="23" spans="1:13" ht="25" customHeight="1">
      <s:c r="A23" s="401"/>
      <s:c r="B23" s="279"/>
      <s:c r="C23" s="280"/>
      <s:c r="D23" s="280"/>
      <s:c r="E23" s="407"/>
      <s:c r="F23" s="272"/>
      <s:c r="G23" s="408"/>
      <s:c r="H23" s="257"/>
      <s:c r="I23" s="261"/>
      <s:c r="J23" s="262"/>
      <s:c r="K23" s="713"/>
      <s:c r="L23" s="714"/>
      <s:c r="M23" s="369"/>
    </s:row>
    <s:row r="24" spans="1:13" ht="19" customHeight="1">
      <s:c r="A24" s="401"/>
      <s:c r="B24" s="409"/>
      <s:c r="C24" s="410"/>
      <s:c r="D24" s="410"/>
      <s:c r="E24" s="411"/>
      <s:c r="F24" s="412"/>
      <s:c r="G24" s="413"/>
      <s:c r="H24" s="257"/>
      <s:c r="I24" s="261"/>
      <s:c r="J24" s="262"/>
      <s:c r="K24" s="713"/>
      <s:c r="L24" s="714"/>
      <s:c r="M24" s="369"/>
    </s:row>
    <s:row r="25" spans="1:13" ht="16" thickBot="1">
      <s:c r="A25" s="282"/>
      <s:c r="B25" s="283"/>
      <s:c r="C25" s="283"/>
      <s:c r="D25" s="283"/>
      <s:c r="E25" s="283"/>
      <s:c r="F25" s="283"/>
      <s:c r="G25" s="283"/>
      <s:c r="H25" s="414"/>
      <s:c r="I25" s="283"/>
      <s:c r="J25" s="283"/>
      <s:c r="K25" s="283"/>
      <s:c r="L25" s="283"/>
      <s:c r="M25" s="415"/>
    </s:row>
  </s:sheetData>
  <s:mergeCells count="13">
    <s:mergeCell ref="K22:L22"/>
    <s:mergeCell ref="K23:L23"/>
    <s:mergeCell ref="K24:L24"/>
    <s:mergeCell ref="K15:L15"/>
    <s:mergeCell ref="K16:L16"/>
    <s:mergeCell ref="K17:L17"/>
    <s:mergeCell ref="K18:L18"/>
    <s:mergeCell ref="K21:L21"/>
    <s:mergeCell ref="K10:L10"/>
    <s:mergeCell ref="A1:D1"/>
    <s:mergeCell ref="A2:C2"/>
    <s:mergeCell ref="A3:C3"/>
    <s:mergeCell ref="A4:C4"/>
  </s:mergeCells>
  <s:pageMargins left="0.7" right="0.7" top="0.75" bottom="0.75" header="0.3" footer="0.3"/>
  <s:pageSetup paperSize="9" fitToWidth="0" fitToHeight="0" orientation="portrait"/>
</s:worksheet>
</file>

<file path=xl/worksheets/sheet9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00000000-0001-0000-0A00-000000000000}">
  <s:dimension ref="A1:M26"/>
  <s:sheetViews>
    <s:sheetView tabSelected="0" zoomScaleNormal="100" workbookViewId="0">
      <s:selection activeCell="K9" sqref="K9"/>
    </s:sheetView>
  </s:sheetViews>
  <s:sheetFormatPr baseColWidth="10" defaultColWidth="11.5" defaultRowHeight="14.25" customHeight="1"/>
  <s:cols>
    <s:col min="1" max="1" width="2.332" style="3" customWidth="1"/>
    <s:col min="2" max="2" width="16.164" style="3" customWidth="1"/>
    <s:col min="3" max="3" width="18.332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1.664" style="3" customWidth="1"/>
    <s:col min="9" max="9" width="17.832" style="3" customWidth="1"/>
    <s:col min="10" max="10" width="15.5" style="3" customWidth="1"/>
    <s:col min="11" max="11" width="11.5" style="3"/>
    <s:col min="12" max="12" width="12.164" style="3" customWidth="1"/>
    <s:col min="13" max="13" width="13.332" style="3" customWidth="1"/>
    <s:col min="16" max="16" width="11.164" customWidth="1"/>
  </s:cols>
  <s:sheetData>
    <s:row r="1" spans="1:13" ht="20" customHeight="1">
      <s:c r="A1" s="716" t="str">
        <s:f>График!B1</s:f>
        <s:v>Апрель, 2026</s:v>
      </s:c>
      <s:c r="B1" s="717"/>
      <s:c r="C1" s="717"/>
      <s:c r="D1" s="718"/>
      <s:c r="E1" s="364"/>
      <s:c r="F1" s="251"/>
      <s:c r="G1" s="251"/>
      <s:c r="H1" s="251"/>
      <s:c r="I1" s="251"/>
      <s:c r="J1" s="251"/>
      <s:c r="K1" s="251"/>
      <s:c r="L1" s="251"/>
      <s:c r="M1" s="365"/>
    </s:row>
    <s:row r="2" spans="1:13" ht="22" customHeight="1" thickBot="1">
      <s:c r="A2" s="719" t="str">
        <s:f>График!B3</s:f>
        <s:v>ул. Набережная Ленина, 18</s:v>
      </s:c>
      <s:c r="B2" s="720"/>
      <s:c r="C2" s="721"/>
      <s:c r="D2" s="366" t="str">
        <s:f>[1]График!B4</s:f>
        <s:v>GL-0004</s:v>
      </s:c>
      <s:c r="E2" s="252"/>
      <s:c r="F2" s="367"/>
      <s:c r="G2" s="367"/>
      <s:c r="H2" s="367"/>
      <s:c r="I2" s="367"/>
      <s:c r="J2" s="368"/>
      <s:c r="K2" s="368"/>
      <s:c r="L2" s="368"/>
      <s:c r="M2" s="369"/>
    </s:row>
    <s:row r="3" spans="1:13" ht="75" customHeight="1">
      <s:c r="A3" s="722" t="s">
        <s:v>26</s:v>
      </s:c>
      <s:c r="B3" s="723"/>
      <s:c r="C3" s="723"/>
      <s:c r="D3" s="370" t="s">
        <s:v>77</s:v>
      </s:c>
      <s:c r="E3" s="371" t="s">
        <s:v>78</s:v>
      </s:c>
      <s:c r="F3" s="253" t="s">
        <s:v>80</s:v>
      </s:c>
      <s:c r="G3" s="254" t="s">
        <s:v>96</s:v>
      </s:c>
      <s:c r="H3" s="254" t="s">
        <s:v>81</s:v>
      </s:c>
      <s:c r="I3" s="255" t="s">
        <s:v>79</s:v>
      </s:c>
      <s:c r="J3" s="372" t="s">
        <s:v>64</s:v>
      </s:c>
      <s:c r="K3" s="373" t="s">
        <s:v>82</s:v>
      </s:c>
      <s:c r="L3" s="255" t="s">
        <s:v>83</s:v>
      </s:c>
      <s:c r="M3" s="369"/>
    </s:row>
    <s:row r="4" spans="1:13" ht="19" customHeight="1" thickBot="1">
      <s:c r="A4" s="724" t="str">
        <s:f>График!B26</s:f>
        <s:v>Самошкина Алина</s:v>
      </s:c>
      <s:c r="B4" s="725"/>
      <s:c r="C4" s="725"/>
      <s:c r="D4" s="374">
        <s:v>15019.65</s:v>
      </s:c>
      <s:c r="E4" s="375"/>
      <s:c r="F4" s="376">
        <s:f>G7</s:f>
        <s:v>8800</s:v>
      </s:c>
      <s:c r="G4" s="377">
        <s:f>G14</s:f>
        <s:v>10531.65</s:v>
      </s:c>
      <s:c r="H4" s="377">
        <s:f>G20</s:f>
        <s:v>5299.1993205944809</s:v>
      </s:c>
      <s:c r="I4" s="378">
        <s:f>L14</s:f>
        <s:v>2718.2</s:v>
      </s:c>
      <s:c r="J4" s="379">
        <s:f>G4+F4+I4+H4</s:f>
        <s:v>27349.049320594484</s:v>
      </s:c>
      <s:c r="K4" s="380">
        <s:f>L20</s:f>
        <s:v>9444</s:v>
      </s:c>
      <s:c r="L4" s="378">
        <s:f>J4-K4-D4-E4</s:f>
        <s:v>2885.3993205944844</s:v>
      </s:c>
      <s:c r="M4" s="369"/>
    </s:row>
    <s:row r="5" spans="1:13" ht="15">
      <s:c r="A5" s="381"/>
      <s:c r="B5" s="256"/>
      <s:c r="C5" s="257"/>
      <s:c r="D5" s="257"/>
      <s:c r="E5" s="257"/>
      <s:c r="F5" s="257"/>
      <s:c r="G5" s="257"/>
      <s:c r="H5" s="257"/>
      <s:c r="I5" s="257"/>
      <s:c r="J5" s="257"/>
      <s:c r="K5" s="258"/>
      <s:c r="L5" s="257"/>
      <s:c r="M5" s="369"/>
    </s:row>
    <s:row r="6" spans="1:13" ht="15">
      <s:c r="A6" s="381"/>
      <s:c r="B6" s="382"/>
      <s:c r="C6" s="383"/>
      <s:c r="F6" s="257"/>
      <s:c r="I6" s="384"/>
      <s:c r="M6" s="369"/>
    </s:row>
    <s:row r="7" spans="1:13" ht="15">
      <s:c r="A7" s="381"/>
      <s:c r="B7" s="265" t="s">
        <s:v>87</s:v>
      </s:c>
      <s:c r="C7" s="264"/>
      <s:c r="D7" s="264"/>
      <s:c r="E7" s="264"/>
      <s:c r="F7" s="264"/>
      <s:c r="G7" s="385">
        <s:f>G9+G10</s:f>
        <s:v>8800</s:v>
      </s:c>
      <s:c r="M7" s="369"/>
    </s:row>
    <s:row r="8" spans="1:13" ht="22" customHeight="1">
      <s:c r="A8" s="386"/>
      <s:c r="B8" s="266" t="s">
        <s:v>88</s:v>
      </s:c>
      <s:c r="C8" s="266" t="s">
        <s:v>89</s:v>
      </s:c>
      <s:c r="D8" s="266" t="s">
        <s:v>90</s:v>
      </s:c>
      <s:c r="E8" s="266" t="s">
        <s:v>91</s:v>
      </s:c>
      <s:c r="F8" s="266" t="s">
        <s:v>92</s:v>
      </s:c>
      <s:c r="G8" s="266" t="s">
        <s:v>93</s:v>
      </s:c>
      <s:c r="I8" s="266" t="s">
        <s:v>94</s:v>
      </s:c>
      <s:c r="J8" s="266" t="s">
        <s:v>6</s:v>
      </s:c>
      <s:c r="M8" s="369"/>
    </s:row>
    <s:row r="9" spans="1:13" ht="20" customHeight="1">
      <s:c r="A9" s="386"/>
      <s:c r="B9" s="268">
        <s:f>График!AI26</s:f>
        <s:v>8</s:v>
      </s:c>
      <s:c r="C9" s="269" t="str">
        <s:f>A2</s:f>
        <s:v>ул. Набережная Ленина, 18</s:v>
      </s:c>
      <s:c r="D9" s="269" t="s">
        <s:v>95</s:v>
      </s:c>
      <s:c r="E9" s="270">
        <s:f>График!AJ26</s:f>
        <s:v>88</s:v>
      </s:c>
      <s:c r="F9" s="271">
        <s:v>100</s:v>
      </s:c>
      <s:c r="G9" s="387">
        <s:f>E9*F9</s:f>
        <s:v>8800</s:v>
      </s:c>
      <s:c r="I9" s="269" t="s">
        <s:v>89</s:v>
      </s:c>
      <s:c r="J9" s="388">
        <s:f>'Ялта, Ленина, 18'!K8</s:f>
        <s:v>0.71583392626558096</s:v>
      </s:c>
      <s:c r="M9" s="369"/>
    </s:row>
    <s:row r="10" spans="1:13" ht="20" customHeight="1">
      <s:c r="A10" s="381"/>
      <s:c r="B10" s="266"/>
      <s:c r="C10" s="269"/>
      <s:c r="D10" s="269"/>
      <s:c r="E10" s="273"/>
      <s:c r="F10" s="271"/>
      <s:c r="G10" s="387"/>
      <s:c r="H10" s="257"/>
      <s:c r="I10" s="389" t="s">
        <s:v>124</s:v>
      </s:c>
      <s:c r="J10" s="390">
        <s:f>Самошкина!N8</s:f>
        <s:v>0.40781231990764299</s:v>
      </s:c>
      <s:c r="K10" s="715"/>
      <s:c r="L10" s="715"/>
      <s:c r="M10" s="369"/>
    </s:row>
    <s:row r="11" spans="1:13" ht="34" customHeight="1">
      <s:c r="A11" s="386"/>
      <s:c r="H11" s="257"/>
      <s:c r="I11" s="257"/>
      <s:c r="J11" s="257"/>
      <s:c r="K11" s="257"/>
      <s:c r="L11" s="257"/>
      <s:c r="M11" s="369"/>
    </s:row>
    <s:row r="12" spans="1:13" ht="15">
      <s:c r="A12" s="386"/>
      <s:c r="B12" s="264"/>
      <s:c r="C12" s="274"/>
      <s:c r="D12" s="257"/>
      <s:c r="E12" s="275"/>
      <s:c r="F12" s="275"/>
      <s:c r="G12" s="276"/>
      <s:c r="M12" s="369"/>
    </s:row>
    <s:row r="13" spans="1:13" ht="15">
      <s:c r="A13" s="391"/>
      <s:c r="B13" s="257"/>
      <s:c r="C13" s="256"/>
      <s:c r="D13" s="259"/>
      <s:c r="E13" s="259"/>
      <s:c r="F13" s="259"/>
      <s:c r="G13" s="259"/>
      <s:c r="H13" s="264"/>
      <s:c r="M13" s="369"/>
    </s:row>
    <s:row r="14" spans="1:13" ht="15" customHeight="1">
      <s:c r="A14" s="391"/>
      <s:c r="B14" s="392" t="s">
        <s:v>96</s:v>
      </s:c>
      <s:c r="C14" s="259"/>
      <s:c r="D14" s="259"/>
      <s:c r="E14" s="259"/>
      <s:c r="F14" s="259"/>
      <s:c r="G14" s="393">
        <s:f>G16+G17</s:f>
        <s:v>10531.65</s:v>
      </s:c>
      <s:c r="H14" s="394"/>
      <s:c r="I14" s="392" t="s">
        <s:v>84</s:v>
      </s:c>
      <s:c r="J14" s="395"/>
      <s:c r="K14" s="395"/>
      <s:c r="L14" s="396">
        <s:f>J16+J17+J18</s:f>
        <s:v>2718.2</s:v>
      </s:c>
      <s:c r="M14" s="369"/>
    </s:row>
    <s:row r="15" spans="1:13" ht="36">
      <s:c r="A15" s="397"/>
      <s:c r="B15" s="266" t="s">
        <s:v>125</s:v>
      </s:c>
      <s:c r="C15" s="398" t="s">
        <s:v>89</s:v>
      </s:c>
      <s:c r="D15" s="399"/>
      <s:c r="E15" s="266" t="s">
        <s:v>98</s:v>
      </s:c>
      <s:c r="F15" s="266" t="s">
        <s:v>99</s:v>
      </s:c>
      <s:c r="G15" s="266" t="s">
        <s:v>100</s:v>
      </s:c>
      <s:c r="H15" s="400"/>
      <s:c r="I15" s="260" t="s">
        <s:v>27</s:v>
      </s:c>
      <s:c r="J15" s="260" t="s">
        <s:v>85</s:v>
      </s:c>
      <s:c r="K15" s="726" t="s">
        <s:v>86</s:v>
      </s:c>
      <s:c r="L15" s="727"/>
      <s:c r="M15" s="369"/>
    </s:row>
    <s:row r="16" spans="1:13" ht="16" customHeight="1">
      <s:c r="A16" s="391"/>
      <s:c r="B16" s="269" t="s">
        <s:v>126</s:v>
      </s:c>
      <s:c r="C16" s="362" t="str">
        <s:f>A2</s:f>
        <s:v>ул. Набережная Ленина, 18</s:v>
      </s:c>
      <s:c r="D16" s="363"/>
      <s:c r="E16" s="272">
        <s:v>0.05</s:v>
      </s:c>
      <s:c r="F16" s="262">
        <s:f>Самошкина!M8-'Вед-ть Самошкина'!F17</s:f>
        <s:v>164085</s:v>
      </s:c>
      <s:c r="G16" s="278">
        <s:f>F16*E16</s:f>
        <s:v>8204.25</s:v>
      </s:c>
      <s:c r="H16" s="264"/>
      <s:c r="I16" s="261">
        <s:v>46127</s:v>
      </s:c>
      <s:c r="J16" s="361">
        <s:v>0</s:v>
      </s:c>
      <s:c r="K16" s="728" t="s">
        <s:v>130</s:v>
      </s:c>
      <s:c r="L16" s="729"/>
      <s:c r="M16" s="369"/>
    </s:row>
    <s:row r="17" spans="1:13" ht="27" customHeight="1">
      <s:c r="A17" s="397"/>
      <s:c r="B17" s="263" t="s">
        <s:v>127</s:v>
      </s:c>
      <s:c r="C17" s="362" t="str">
        <s:f>A2</s:f>
        <s:v>ул. Набережная Ленина, 18</s:v>
      </s:c>
      <s:c r="D17" s="363"/>
      <s:c r="E17" s="272">
        <s:v>0.1</s:v>
      </s:c>
      <s:c r="F17" s="281">
        <s:f>Самошкина!L57+Самошкина!R57</s:f>
        <s:v>23274</s:v>
      </s:c>
      <s:c r="G17" s="278">
        <s:f>F17*E17</s:f>
        <s:v>2327.4</s:v>
      </s:c>
      <s:c r="I17" s="261">
        <s:v>46128</s:v>
      </s:c>
      <s:c r="J17" s="361">
        <s:v>2718.2</s:v>
      </s:c>
      <s:c r="K17" s="728" t="s">
        <s:v>144</s:v>
      </s:c>
      <s:c r="L17" s="729"/>
      <s:c r="M17" s="369"/>
    </s:row>
    <s:row r="18" spans="1:13" ht="15">
      <s:c r="A18" s="401"/>
      <s:c r="F18" s="423">
        <s:f>F16+F17</s:f>
        <s:v>187359</s:v>
      </s:c>
      <s:c r="H18" s="259"/>
      <s:c r="I18" s="261"/>
      <s:c r="J18" s="361"/>
      <s:c r="K18" s="728"/>
      <s:c r="L18" s="729"/>
      <s:c r="M18" s="369"/>
    </s:row>
    <s:row r="19" spans="1:13" ht="15">
      <s:c r="A19" s="401"/>
      <s:c r="H19" s="259"/>
      <s:c r="I19" s="284"/>
      <s:c r="J19" s="285"/>
      <s:c r="K19" s="403"/>
      <s:c r="L19" s="403"/>
      <s:c r="M19" s="369"/>
    </s:row>
    <s:row r="20" spans="1:13" ht="15">
      <s:c r="A20" s="401"/>
      <s:c r="B20" s="256" t="s">
        <s:v>97</s:v>
      </s:c>
      <s:c r="C20" s="256"/>
      <s:c r="D20" s="259"/>
      <s:c r="E20" s="259"/>
      <s:c r="F20" s="259"/>
      <s:c r="G20" s="393">
        <s:f>G22+G23</s:f>
        <s:v>5299.1993205944809</s:v>
      </s:c>
      <s:c r="H20" s="277"/>
      <s:c r="I20" s="404" t="s">
        <s:v>82</s:v>
      </s:c>
      <s:c r="J20" s="405"/>
      <s:c r="K20" s="405"/>
      <s:c r="L20" s="406">
        <s:f>J22+J23+J24</s:f>
        <s:v>9444</s:v>
      </s:c>
      <s:c r="M20" s="369"/>
    </s:row>
    <s:row r="21" spans="1:13" ht="36">
      <s:c r="A21" s="401"/>
      <s:c r="B21" s="266" t="s">
        <s:v>26</s:v>
      </s:c>
      <s:c r="C21" s="266" t="s">
        <s:v>89</s:v>
      </s:c>
      <s:c r="D21" s="266" t="s">
        <s:v>101</s:v>
      </s:c>
      <s:c r="E21" s="266" t="s">
        <s:v>102</s:v>
      </s:c>
      <s:c r="F21" s="266" t="s">
        <s:v>98</s:v>
      </s:c>
      <s:c r="G21" s="266" t="s">
        <s:v>100</s:v>
      </s:c>
      <s:c r="H21" s="259"/>
      <s:c r="I21" s="260" t="s">
        <s:v>27</s:v>
      </s:c>
      <s:c r="J21" s="260" t="s">
        <s:v>85</s:v>
      </s:c>
      <s:c r="K21" s="726" t="s">
        <s:v>86</s:v>
      </s:c>
      <s:c r="L21" s="727"/>
      <s:c r="M21" s="369"/>
    </s:row>
    <s:row r="22" spans="1:13" ht="19" customHeight="1">
      <s:c r="A22" s="401"/>
      <s:c r="B22" s="279" t="str">
        <s:f>A4</s:f>
        <s:v>Самошкина Алина</s:v>
      </s:c>
      <s:c r="C22" s="280" t="str">
        <s:f>C16</s:f>
        <s:v>ул. Набережная Ленина, 18</s:v>
      </s:c>
      <s:c r="D22" s="280">
        <s:f>E9</s:f>
        <s:v>88</s:v>
      </s:c>
      <s:c r="E22" s="407">
        <s:f>График!AJ29</s:f>
        <s:v>471</s:v>
      </s:c>
      <s:c r="F22" s="272">
        <s:v>0.02</s:v>
      </s:c>
      <s:c r="G22" s="408">
        <s:f>('Ялта, Ленина, 18'!J8-'Ялта, Ленина, 18'!L56-'Ялта, Ленина, 18'!R56)*F22*D22/E22</s:f>
        <s:v>5299.1993205944809</s:v>
      </s:c>
      <s:c r="H22" s="264"/>
      <s:c r="I22" s="261">
        <s:v>46128</s:v>
      </s:c>
      <s:c r="J22" s="262">
        <s:v>2244</s:v>
      </s:c>
      <s:c r="K22" s="713" t="s">
        <s:v>129</s:v>
      </s:c>
      <s:c r="L22" s="714"/>
      <s:c r="M22" s="369"/>
    </s:row>
    <s:row r="23" spans="1:13" ht="21" customHeight="1">
      <s:c r="A23" s="401"/>
      <s:c r="B23" s="279"/>
      <s:c r="C23" s="280"/>
      <s:c r="D23" s="280"/>
      <s:c r="E23" s="407"/>
      <s:c r="F23" s="272"/>
      <s:c r="G23" s="408"/>
      <s:c r="H23" s="257"/>
      <s:c r="I23" s="261">
        <s:v>46128</s:v>
      </s:c>
      <s:c r="J23" s="262">
        <s:v>7200</s:v>
      </s:c>
      <s:c r="K23" s="713" t="s">
        <s:v>145</s:v>
      </s:c>
      <s:c r="L23" s="714"/>
      <s:c r="M23" s="369"/>
    </s:row>
    <s:row r="24" spans="1:13" ht="19" customHeight="1">
      <s:c r="A24" s="401"/>
      <s:c r="B24" s="409"/>
      <s:c r="C24" s="410"/>
      <s:c r="D24" s="410"/>
      <s:c r="E24" s="411"/>
      <s:c r="F24" s="412"/>
      <s:c r="G24" s="413"/>
      <s:c r="H24" s="257"/>
      <s:c r="I24" s="261"/>
      <s:c r="J24" s="262"/>
      <s:c r="K24" s="713"/>
      <s:c r="L24" s="714"/>
      <s:c r="M24" s="369"/>
    </s:row>
    <s:row r="25" spans="1:13" ht="16" thickBot="1">
      <s:c r="A25" s="282"/>
      <s:c r="B25" s="283"/>
      <s:c r="C25" s="283"/>
      <s:c r="D25" s="283"/>
      <s:c r="E25" s="283"/>
      <s:c r="F25" s="283"/>
      <s:c r="G25" s="283"/>
      <s:c r="H25" s="414"/>
      <s:c r="I25" s="283"/>
      <s:c r="J25" s="283"/>
      <s:c r="K25" s="283"/>
      <s:c r="L25" s="283"/>
      <s:c r="M25" s="415"/>
    </s:row>
    <s:row r="26" spans="1:13" ht="15"/>
  </s:sheetData>
  <s:mergeCells count="13">
    <s:mergeCell ref="A1:D1"/>
    <s:mergeCell ref="A2:C2"/>
    <s:mergeCell ref="K10:L10"/>
    <s:mergeCell ref="K15:L15"/>
    <s:mergeCell ref="K16:L16"/>
    <s:mergeCell ref="A3:C3"/>
    <s:mergeCell ref="A4:C4"/>
    <s:mergeCell ref="K24:L24"/>
    <s:mergeCell ref="K17:L17"/>
    <s:mergeCell ref="K18:L18"/>
    <s:mergeCell ref="K21:L21"/>
    <s:mergeCell ref="K22:L22"/>
    <s:mergeCell ref="K23:L23"/>
  </s:mergeCells>
  <s:pageMargins left="0.7" right="0.7" top="0.75" bottom="0.75" header="0.3" footer="0.3"/>
</s:worksheet>
</file>

<file path=xl/worksheets/sheet10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00000000-0001-0000-0100-000000000000}">
  <s:dimension ref="A1:L14"/>
  <s:sheetViews>
    <s:sheetView tabSelected="0" zoomScale="108" workbookViewId="0">
      <s:selection activeCell="O8" sqref="O8"/>
    </s:sheetView>
  </s:sheetViews>
  <s:sheetFormatPr baseColWidth="10" defaultColWidth="10" defaultRowHeight="15" outlineLevelCol="1"/>
  <s:cols>
    <s:col min="1" max="1" width="21.164" bestFit="1" customWidth="1"/>
    <s:col min="2" max="11" width="11.5" hidden="1" customWidth="1" outlineLevel="1"/>
    <s:col min="12" max="12" width="11.5" customWidth="1" collapsed="1"/>
    <s:col min="13" max="25" width="4.164" customWidth="1"/>
  </s:cols>
  <s:sheetData>
    <s:row r="1" spans="1:12" s="116" customFormat="1" ht="16">
      <s:c r="A1" s="117"/>
    </s:row>
    <s:row r="2" spans="1:12" s="116" customFormat="1" ht="16">
      <s:c r="A2" s="730" t="s">
        <s:v>62</s:v>
      </s:c>
      <s:c r="B2" s="731"/>
      <s:c r="C2" s="731"/>
      <s:c r="D2" s="731"/>
      <s:c r="E2" s="731"/>
      <s:c r="F2" s="731"/>
      <s:c r="G2" s="731"/>
      <s:c r="H2" s="731"/>
      <s:c r="I2" s="731"/>
      <s:c r="J2" s="731"/>
      <s:c r="K2" s="731"/>
      <s:c r="L2" s="732"/>
    </s:row>
    <s:row r="3" spans="1:12" s="116" customFormat="1" ht="16">
      <s:c r="A3" s="733"/>
      <s:c r="B3" s="734"/>
      <s:c r="C3" s="734"/>
      <s:c r="D3" s="734"/>
      <s:c r="E3" s="734"/>
      <s:c r="F3" s="734"/>
      <s:c r="G3" s="734"/>
      <s:c r="H3" s="734"/>
      <s:c r="I3" s="734"/>
      <s:c r="J3" s="734"/>
      <s:c r="K3" s="734"/>
      <s:c r="L3" s="735"/>
    </s:row>
    <s:row r="4" spans="1:12" s="118" customFormat="1" ht="30" customHeight="1">
      <s:c r="A4" s="119" t="s">
        <s:v>63</s:v>
      </s:c>
      <s:c r="B4" s="120">
        <s:v>45282</s:v>
      </s:c>
      <s:c r="C4" s="120">
        <s:v>45283</s:v>
      </s:c>
      <s:c r="D4" s="120">
        <s:v>45284</s:v>
      </s:c>
      <s:c r="E4" s="120">
        <s:v>45285</s:v>
      </s:c>
      <s:c r="F4" s="120">
        <s:v>45286</s:v>
      </s:c>
      <s:c r="G4" s="120">
        <s:v>45287</s:v>
      </s:c>
      <s:c r="H4" s="120">
        <s:v>45288</s:v>
      </s:c>
      <s:c r="I4" s="120">
        <s:v>45289</s:v>
      </s:c>
      <s:c r="J4" s="120">
        <s:v>45290</s:v>
      </s:c>
      <s:c r="K4" s="121">
        <s:v>45291</s:v>
      </s:c>
      <s:c r="L4" s="119" t="s">
        <s:v>64</s:v>
      </s:c>
    </s:row>
    <s:row r="5" spans="1:12" s="116" customFormat="1" ht="30" customHeight="1">
      <s:c r="A5" s="122" t="s">
        <s:v>65</s:v>
      </s:c>
      <s:c r="B5" s="123"/>
      <s:c r="C5" s="123"/>
      <s:c r="D5" s="123"/>
      <s:c r="E5" s="124">
        <s:v>0.56999999999999995</s:v>
      </s:c>
      <s:c r="F5" s="124">
        <s:v>0.73</s:v>
      </s:c>
      <s:c r="G5" s="124">
        <s:v>0.88</s:v>
      </s:c>
      <s:c r="H5" s="124">
        <s:v>0.98</s:v>
      </s:c>
      <s:c r="I5" s="124">
        <s:v>0.69</s:v>
      </s:c>
      <s:c r="J5" s="124">
        <s:v>1.82</s:v>
      </s:c>
      <s:c r="K5" s="125">
        <s:v>2.89</s:v>
      </s:c>
      <s:c r="L5" s="126"/>
    </s:row>
    <s:row r="6" spans="1:12" s="116" customFormat="1" ht="30" customHeight="1">
      <s:c r="A6" s="127" t="s">
        <s:v>66</s:v>
      </s:c>
      <s:c r="B6" s="128"/>
      <s:c r="C6" s="128">
        <s:v>0</s:v>
      </s:c>
      <s:c r="D6" s="128">
        <s:v>0</s:v>
      </s:c>
      <s:c r="E6" s="128">
        <s:v>0</s:v>
      </s:c>
      <s:c r="F6" s="128">
        <s:v>0</s:v>
      </s:c>
      <s:c r="G6" s="128">
        <s:v>0.83</s:v>
      </s:c>
      <s:c r="H6" s="128">
        <s:v>0</s:v>
      </s:c>
      <s:c r="I6" s="128">
        <s:v>0.28000000000000003</s:v>
      </s:c>
      <s:c r="J6" s="128">
        <s:v>0.46</s:v>
      </s:c>
      <s:c r="K6" s="129">
        <s:v>0.89</s:v>
      </s:c>
      <s:c r="L6" s="130"/>
    </s:row>
    <s:row r="7" spans="1:12" s="116" customFormat="1" ht="30" customHeight="1">
      <s:c r="A7" s="131" t="s">
        <s:v>67</s:v>
      </s:c>
      <s:c r="B7" s="132">
        <s:v>0.39</s:v>
      </s:c>
      <s:c r="C7" s="133">
        <s:v>0</s:v>
      </s:c>
      <s:c r="D7" s="133"/>
      <s:c r="E7" s="133">
        <s:v>0</s:v>
      </s:c>
      <s:c r="F7" s="132">
        <s:v>0.49</s:v>
      </s:c>
      <s:c r="G7" s="132">
        <s:v>1.19</s:v>
      </s:c>
      <s:c r="H7" s="132">
        <s:v>0.69</s:v>
      </s:c>
      <s:c r="I7" s="133"/>
      <s:c r="J7" s="133">
        <s:v>1.63</s:v>
      </s:c>
      <s:c r="K7" s="134">
        <s:v>0.81</s:v>
      </s:c>
      <s:c r="L7" s="135"/>
    </s:row>
    <s:row r="9" spans="1:12">
      <s:c r="A9" s="730" t="s">
        <s:v>68</s:v>
      </s:c>
      <s:c r="B9" s="731"/>
      <s:c r="C9" s="731"/>
      <s:c r="D9" s="731"/>
      <s:c r="E9" s="731"/>
      <s:c r="F9" s="731"/>
      <s:c r="G9" s="731"/>
      <s:c r="H9" s="731"/>
      <s:c r="I9" s="731"/>
      <s:c r="J9" s="731"/>
      <s:c r="K9" s="731"/>
      <s:c r="L9" s="732"/>
    </s:row>
    <s:row r="10" spans="1:12">
      <s:c r="A10" s="733"/>
      <s:c r="B10" s="734"/>
      <s:c r="C10" s="734"/>
      <s:c r="D10" s="734"/>
      <s:c r="E10" s="734"/>
      <s:c r="F10" s="734"/>
      <s:c r="G10" s="734"/>
      <s:c r="H10" s="734"/>
      <s:c r="I10" s="734"/>
      <s:c r="J10" s="734"/>
      <s:c r="K10" s="734"/>
      <s:c r="L10" s="735"/>
    </s:row>
    <s:row r="11" spans="1:12" ht="31" customHeight="1">
      <s:c r="A11" s="119" t="s">
        <s:v>63</s:v>
      </s:c>
      <s:c r="B11" s="120">
        <s:v>45282</s:v>
      </s:c>
      <s:c r="C11" s="120">
        <s:v>45283</s:v>
      </s:c>
      <s:c r="D11" s="120">
        <s:v>45284</s:v>
      </s:c>
      <s:c r="E11" s="120">
        <s:v>45285</s:v>
      </s:c>
      <s:c r="F11" s="120">
        <s:v>45286</s:v>
      </s:c>
      <s:c r="G11" s="120">
        <s:v>45287</s:v>
      </s:c>
      <s:c r="H11" s="120">
        <s:v>45288</s:v>
      </s:c>
      <s:c r="I11" s="120">
        <s:v>45289</s:v>
      </s:c>
      <s:c r="J11" s="120">
        <s:v>45290</s:v>
      </s:c>
      <s:c r="K11" s="121">
        <s:v>45291</s:v>
      </s:c>
      <s:c r="L11" s="119" t="s">
        <s:v>64</s:v>
      </s:c>
    </s:row>
    <s:row r="12" spans="1:12" ht="30" customHeight="1">
      <s:c r="A12" s="122" t="s">
        <s:v>65</s:v>
      </s:c>
      <s:c r="B12" s="136"/>
      <s:c r="C12" s="136"/>
      <s:c r="D12" s="136"/>
      <s:c r="E12" s="137">
        <s:v>1</s:v>
      </s:c>
      <s:c r="F12" s="137">
        <s:v>1</s:v>
      </s:c>
      <s:c r="G12" s="137">
        <s:v>1</s:v>
      </s:c>
      <s:c r="H12" s="137">
        <s:v>1</s:v>
      </s:c>
      <s:c r="I12" s="137">
        <s:v>1</s:v>
      </s:c>
      <s:c r="J12" s="137">
        <s:v>2</s:v>
      </s:c>
      <s:c r="K12" s="138">
        <s:v>3</s:v>
      </s:c>
      <s:c r="L12" s="139">
        <s:f>SUM(B12:K12)</s:f>
        <s:v>10</s:v>
      </s:c>
    </s:row>
    <s:row r="13" spans="1:12" ht="30" customHeight="1">
      <s:c r="A13" s="127" t="s">
        <s:v>66</s:v>
      </s:c>
      <s:c r="B13" s="140"/>
      <s:c r="C13" s="140"/>
      <s:c r="D13" s="140"/>
      <s:c r="E13" s="140"/>
      <s:c r="F13" s="140"/>
      <s:c r="G13" s="140"/>
      <s:c r="H13" s="140"/>
      <s:c r="I13" s="140"/>
      <s:c r="J13" s="140"/>
      <s:c r="K13" s="141"/>
      <s:c r="L13" s="142">
        <s:f>SUM(B13:K13)</s:f>
        <s:v>0</s:v>
      </s:c>
    </s:row>
    <s:row r="14" spans="1:12" ht="30" customHeight="1">
      <s:c r="A14" s="131" t="s">
        <s:v>67</s:v>
      </s:c>
      <s:c r="B14" s="143">
        <s:v>1</s:v>
      </s:c>
      <s:c r="C14" s="144"/>
      <s:c r="D14" s="144"/>
      <s:c r="E14" s="144"/>
      <s:c r="F14" s="143">
        <s:v>1</s:v>
      </s:c>
      <s:c r="G14" s="143">
        <s:v>2</s:v>
      </s:c>
      <s:c r="H14" s="143">
        <s:v>1</s:v>
      </s:c>
      <s:c r="I14" s="144"/>
      <s:c r="J14" s="143">
        <s:v>1</s:v>
      </s:c>
      <s:c r="K14" s="145"/>
      <s:c r="L14" s="146">
        <s:f>SUM(B14:K14)</s:f>
        <s:v>6</s:v>
      </s:c>
    </s:row>
  </s:sheetData>
  <s:mergeCells count="2">
    <s:mergeCell ref="A2:L3"/>
    <s:mergeCell ref="A9:L10"/>
  </s:mergeCells>
  <s:pageMargins left="0.7" right="0.7" top="0.75" bottom="0.75" header="0.3" footer="0.3"/>
  <s:pageSetup paperSize="9" orientation="portrait"/>
</s:worksheet>
</file>

<file path=xl/worksheets/sheet11.xml><?xml version="1.0" encoding="utf-8"?>
<s:worksheet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mc:Ignorable="x14ac xr xr2 xr3" xr:uid="{00000000-0001-0000-0900-000000000000}">
  <s:dimension ref="A1:AN32"/>
  <s:sheetViews>
    <s:sheetView tabSelected="0" zoomScale="66" workbookViewId="0">
      <s:selection activeCell="AG38" sqref="AG38"/>
    </s:sheetView>
  </s:sheetViews>
  <s:sheetFormatPr baseColWidth="10" defaultColWidth="11.5" defaultRowHeight="15"/>
  <s:cols>
    <s:col min="1" max="1" width="4.832" style="3" customWidth="1"/>
    <s:col min="2" max="2" width="27.832" style="3" customWidth="1"/>
    <s:col min="3" max="3" width="14.664" style="3" customWidth="1"/>
    <s:col min="4" max="34" width="6.332" style="3" customWidth="1"/>
    <s:col min="35" max="35" width="4.832" style="3" customWidth="1"/>
    <s:col min="36" max="36" width="11.164" style="3" customWidth="1"/>
    <s:col min="37" max="37" width="6.332" style="3" customWidth="1"/>
    <s:col min="38" max="38" width="8" style="3" customWidth="1"/>
    <s:col min="39" max="39" width="11.5" style="3" customWidth="1"/>
    <s:col min="40" max="40" width="11" style="3" customWidth="1"/>
    <s:col min="41" max="16384" width="11.5" style="3"/>
  </s:cols>
  <s:sheetData>
    <s:row r="1" spans="1:40" ht="16">
      <s:c r="A1" s="286"/>
      <s:c r="B1" s="444" t="s">
        <s:v>135</s:v>
      </s:c>
      <s:c r="C1" s="287"/>
      <s:c r="D1" s="287"/>
      <s:c r="E1" s="287"/>
      <s:c r="F1" s="287"/>
      <s:c r="G1" s="287"/>
      <s:c r="H1" s="287"/>
      <s:c r="I1" s="287"/>
      <s:c r="J1" s="287"/>
      <s:c r="K1" s="287"/>
      <s:c r="L1" s="287"/>
      <s:c r="M1" s="287"/>
      <s:c r="N1" s="287"/>
      <s:c r="O1" s="287"/>
      <s:c r="P1" s="287"/>
      <s:c r="Q1" s="287"/>
      <s:c r="R1" s="287"/>
      <s:c r="S1" s="287"/>
      <s:c r="T1" s="287" t="s">
        <s:v>76</s:v>
      </s:c>
      <s:c r="U1" s="287"/>
      <s:c r="V1" s="287"/>
      <s:c r="W1" s="287"/>
      <s:c r="X1" s="287"/>
      <s:c r="Y1" s="287"/>
      <s:c r="Z1" s="287"/>
      <s:c r="AA1" s="287"/>
      <s:c r="AB1" s="287"/>
      <s:c r="AC1" s="287"/>
      <s:c r="AD1" s="287"/>
      <s:c r="AE1" s="287"/>
      <s:c r="AF1" s="287"/>
      <s:c r="AG1" s="287"/>
      <s:c r="AH1" s="287"/>
      <s:c r="AI1" s="287"/>
      <s:c r="AJ1" s="287"/>
      <s:c r="AK1" s="287"/>
      <s:c r="AL1" s="287"/>
      <s:c r="AM1" s="287"/>
      <s:c r="AN1" s="287"/>
    </s:row>
    <s:row r="2" spans="1:40" ht="16">
      <s:c r="A2" s="286"/>
      <s:c r="B2" s="445" t="s">
        <s:v>103</s:v>
      </s:c>
      <s:c r="C2" s="288" t="s">
        <s:v>104</s:v>
      </s:c>
      <s:c r="D2" s="289"/>
      <s:c r="E2" s="290"/>
      <s:c r="F2" s="290"/>
      <s:c r="G2" s="290"/>
      <s:c r="H2" s="290"/>
      <s:c r="I2" s="290"/>
      <s:c r="J2" s="290"/>
      <s:c r="K2" s="290"/>
      <s:c r="L2" s="290"/>
      <s:c r="M2" s="290"/>
      <s:c r="N2" s="290"/>
      <s:c r="O2" s="290"/>
      <s:c r="P2" s="290"/>
      <s:c r="Q2" s="290"/>
      <s:c r="R2" s="290"/>
      <s:c r="S2" s="290"/>
      <s:c r="T2" s="290"/>
      <s:c r="U2" s="290"/>
      <s:c r="V2" s="290"/>
      <s:c r="W2" s="290"/>
      <s:c r="X2" s="290"/>
      <s:c r="Y2" s="290"/>
      <s:c r="Z2" s="290"/>
      <s:c r="AA2" s="290"/>
      <s:c r="AB2" s="290"/>
      <s:c r="AC2" s="290"/>
      <s:c r="AD2" s="290"/>
      <s:c r="AE2" s="290"/>
      <s:c r="AF2" s="290"/>
      <s:c r="AG2" s="290"/>
      <s:c r="AH2" s="290"/>
      <s:c r="AI2" s="290"/>
      <s:c r="AJ2" s="290"/>
      <s:c r="AK2" s="290"/>
      <s:c r="AL2" s="290"/>
      <s:c r="AM2" s="290"/>
      <s:c r="AN2" s="290"/>
    </s:row>
    <s:row r="3" spans="1:40" ht="16">
      <s:c r="A3" s="286"/>
      <s:c r="B3" s="446" t="s">
        <s:v>105</s:v>
      </s:c>
      <s:c r="C3" s="291"/>
      <s:c r="D3" s="291"/>
      <s:c r="E3" s="292"/>
      <s:c r="F3" s="292"/>
      <s:c r="G3" s="292"/>
      <s:c r="H3" s="292"/>
      <s:c r="I3" s="292"/>
      <s:c r="J3" s="292"/>
      <s:c r="K3" s="290"/>
      <s:c r="L3" s="290"/>
      <s:c r="M3" s="290"/>
      <s:c r="N3" s="290"/>
      <s:c r="O3" s="290"/>
      <s:c r="P3" s="290"/>
      <s:c r="Q3" s="290"/>
      <s:c r="R3" s="290"/>
      <s:c r="S3" s="290"/>
      <s:c r="T3" s="290"/>
      <s:c r="U3" s="290"/>
      <s:c r="V3" s="290"/>
      <s:c r="W3" s="290"/>
      <s:c r="X3" s="290"/>
      <s:c r="Y3" s="290"/>
      <s:c r="Z3" s="290"/>
      <s:c r="AA3" s="290"/>
      <s:c r="AB3" s="290"/>
      <s:c r="AC3" s="290"/>
      <s:c r="AD3" s="290"/>
      <s:c r="AE3" s="290"/>
      <s:c r="AF3" s="290"/>
      <s:c r="AG3" s="290"/>
      <s:c r="AH3" s="290"/>
      <s:c r="AI3" s="290"/>
      <s:c r="AJ3" s="290"/>
      <s:c r="AK3" s="290"/>
      <s:c r="AL3" s="290"/>
      <s:c r="AM3" s="290"/>
      <s:c r="AN3" s="290"/>
    </s:row>
    <s:row r="4" spans="1:40" ht="16">
      <s:c r="A4" s="286"/>
      <s:c r="B4" s="446" t="s">
        <s:v>106</s:v>
      </s:c>
      <s:c r="C4" s="289"/>
      <s:c r="D4" s="289"/>
      <s:c r="E4" s="290"/>
      <s:c r="F4" s="290"/>
      <s:c r="G4" s="290"/>
      <s:c r="H4" s="290"/>
      <s:c r="I4" s="290"/>
      <s:c r="J4" s="290"/>
      <s:c r="K4" s="290"/>
      <s:c r="L4" s="290"/>
      <s:c r="M4" s="290"/>
      <s:c r="N4" s="290"/>
      <s:c r="O4" s="290"/>
      <s:c r="P4" s="290"/>
      <s:c r="Q4" s="290"/>
      <s:c r="R4" s="290"/>
      <s:c r="S4" s="290"/>
      <s:c r="T4" s="290"/>
      <s:c r="U4" s="290"/>
      <s:c r="V4" s="290"/>
      <s:c r="W4" s="290"/>
      <s:c r="X4" s="290"/>
      <s:c r="Y4" s="290"/>
      <s:c r="Z4" s="290"/>
      <s:c r="AA4" s="290"/>
      <s:c r="AB4" s="290"/>
      <s:c r="AC4" s="290"/>
      <s:c r="AD4" s="290"/>
      <s:c r="AE4" s="290"/>
      <s:c r="AF4" s="290"/>
      <s:c r="AG4" s="290"/>
      <s:c r="AH4" s="290"/>
      <s:c r="AI4" s="290"/>
      <s:c r="AJ4" s="290"/>
      <s:c r="AK4" s="290"/>
      <s:c r="AL4" s="290"/>
      <s:c r="AM4" s="290"/>
      <s:c r="AN4" s="290"/>
    </s:row>
    <s:row r="5" spans="1:40" ht="16">
      <s:c r="A5" s="286"/>
      <s:c r="B5" s="447" t="s">
        <s:v>107</s:v>
      </s:c>
      <s:c r="C5" s="290"/>
      <s:c r="D5" s="290"/>
      <s:c r="E5" s="290"/>
      <s:c r="F5" s="290"/>
      <s:c r="G5" s="290"/>
      <s:c r="H5" s="290"/>
      <s:c r="I5" s="290"/>
      <s:c r="J5" s="290"/>
      <s:c r="K5" s="290"/>
      <s:c r="L5" s="290"/>
      <s:c r="M5" s="290"/>
      <s:c r="N5" s="290"/>
      <s:c r="O5" s="290"/>
      <s:c r="P5" s="290"/>
      <s:c r="Q5" s="290"/>
      <s:c r="R5" s="290"/>
      <s:c r="S5" s="290"/>
      <s:c r="T5" s="290"/>
      <s:c r="U5" s="290"/>
      <s:c r="V5" s="290"/>
      <s:c r="W5" s="290"/>
      <s:c r="X5" s="290"/>
      <s:c r="Y5" s="290"/>
      <s:c r="Z5" s="290"/>
      <s:c r="AA5" s="290"/>
      <s:c r="AB5" s="290"/>
      <s:c r="AC5" s="290"/>
      <s:c r="AD5" s="290"/>
      <s:c r="AE5" s="290"/>
      <s:c r="AF5" s="290"/>
      <s:c r="AG5" s="290"/>
      <s:c r="AH5" s="290"/>
      <s:c r="AI5" s="290"/>
      <s:c r="AJ5" s="736"/>
      <s:c r="AK5" s="737"/>
      <s:c r="AL5" s="738"/>
      <s:c r="AM5" s="739"/>
      <s:c r="AN5" s="740"/>
    </s:row>
    <s:row r="6" spans="1:40" ht="22" customHeight="1">
      <s:c r="A6" s="286"/>
      <s:c r="B6" s="293" t="s">
        <s:v>108</s:v>
      </s:c>
      <s:c r="C6" s="741" t="s">
        <s:v>109</s:v>
      </s:c>
      <s:c r="D6" s="742"/>
      <s:c r="E6" s="742"/>
      <s:c r="F6" s="742"/>
      <s:c r="G6" s="742"/>
      <s:c r="H6" s="742"/>
      <s:c r="I6" s="742"/>
      <s:c r="J6" s="742"/>
      <s:c r="K6" s="742"/>
      <s:c r="L6" s="742"/>
      <s:c r="M6" s="742"/>
      <s:c r="N6" s="742"/>
      <s:c r="O6" s="742"/>
      <s:c r="P6" s="742"/>
      <s:c r="Q6" s="742"/>
      <s:c r="R6" s="742"/>
      <s:c r="S6" s="742"/>
      <s:c r="T6" s="742"/>
      <s:c r="U6" s="742"/>
      <s:c r="V6" s="742"/>
      <s:c r="W6" s="742"/>
      <s:c r="X6" s="742"/>
      <s:c r="Y6" s="742"/>
      <s:c r="Z6" s="742"/>
      <s:c r="AA6" s="742"/>
      <s:c r="AB6" s="742"/>
      <s:c r="AC6" s="742"/>
      <s:c r="AD6" s="742"/>
      <s:c r="AE6" s="742"/>
      <s:c r="AF6" s="742"/>
      <s:c r="AG6" s="742"/>
      <s:c r="AH6" s="742"/>
      <s:c r="AI6" s="742"/>
      <s:c r="AJ6" s="743"/>
      <s:c r="AK6" s="294">
        <s:v>30</s:v>
      </s:c>
      <s:c r="AL6" s="295"/>
      <s:c r="AM6" s="295"/>
      <s:c r="AN6" s="295"/>
    </s:row>
    <s:row r="7" spans="1:40" ht="19" customHeight="1">
      <s:c r="A7" s="296"/>
      <s:c r="B7" s="297" t="e">
        <s:f>BT29*100/BH29</s:f>
        <s:v>#DIV/0!</s:v>
      </s:c>
      <s:c r="C7" s="741"/>
      <s:c r="D7" s="742"/>
      <s:c r="E7" s="742"/>
      <s:c r="F7" s="742"/>
      <s:c r="G7" s="742"/>
      <s:c r="H7" s="742"/>
      <s:c r="I7" s="742"/>
      <s:c r="J7" s="742"/>
      <s:c r="K7" s="742"/>
      <s:c r="L7" s="742"/>
      <s:c r="M7" s="742"/>
      <s:c r="N7" s="742"/>
      <s:c r="O7" s="742"/>
      <s:c r="P7" s="742"/>
      <s:c r="Q7" s="742"/>
      <s:c r="R7" s="742"/>
      <s:c r="S7" s="742"/>
      <s:c r="T7" s="742"/>
      <s:c r="U7" s="742"/>
      <s:c r="V7" s="742"/>
      <s:c r="W7" s="742"/>
      <s:c r="X7" s="742"/>
      <s:c r="Y7" s="742"/>
      <s:c r="Z7" s="742"/>
      <s:c r="AA7" s="742"/>
      <s:c r="AB7" s="742"/>
      <s:c r="AC7" s="742"/>
      <s:c r="AD7" s="742"/>
      <s:c r="AE7" s="742"/>
      <s:c r="AF7" s="742"/>
      <s:c r="AG7" s="742"/>
      <s:c r="AH7" s="742"/>
      <s:c r="AI7" s="742"/>
      <s:c r="AJ7" s="743"/>
      <s:c r="AK7" s="298"/>
      <s:c r="AL7" s="298"/>
      <s:c r="AM7" s="299"/>
      <s:c r="AN7" s="299"/>
    </s:row>
    <s:row r="8" spans="1:40" s="471" customFormat="1" ht="31" thickBot="1">
      <s:c r="A8" s="472"/>
      <s:c r="B8" s="473"/>
      <s:c r="C8" s="474"/>
      <s:c r="D8" s="475" t="s">
        <s:v>56</s:v>
      </s:c>
      <s:c r="E8" s="475" t="s">
        <s:v>57</s:v>
      </s:c>
      <s:c r="F8" s="475" t="s">
        <s:v>58</s:v>
      </s:c>
      <s:c r="G8" s="475" t="s">
        <s:v>59</s:v>
      </s:c>
      <s:c r="H8" s="475" t="s">
        <s:v>53</s:v>
      </s:c>
      <s:c r="I8" s="475" t="s">
        <s:v>54</s:v>
      </s:c>
      <s:c r="J8" s="475" t="s">
        <s:v>55</s:v>
      </s:c>
      <s:c r="K8" s="475" t="s">
        <s:v>56</s:v>
      </s:c>
      <s:c r="L8" s="475" t="s">
        <s:v>57</s:v>
      </s:c>
      <s:c r="M8" s="475" t="s">
        <s:v>58</s:v>
      </s:c>
      <s:c r="N8" s="475" t="s">
        <s:v>59</s:v>
      </s:c>
      <s:c r="O8" s="475" t="s">
        <s:v>53</s:v>
      </s:c>
      <s:c r="P8" s="475" t="s">
        <s:v>54</s:v>
      </s:c>
      <s:c r="Q8" s="475" t="s">
        <s:v>55</s:v>
      </s:c>
      <s:c r="R8" s="475" t="s">
        <s:v>56</s:v>
      </s:c>
      <s:c r="S8" s="475" t="s">
        <s:v>57</s:v>
      </s:c>
      <s:c r="T8" s="475" t="s">
        <s:v>58</s:v>
      </s:c>
      <s:c r="U8" s="475" t="s">
        <s:v>59</s:v>
      </s:c>
      <s:c r="V8" s="475" t="s">
        <s:v>53</s:v>
      </s:c>
      <s:c r="W8" s="475" t="s">
        <s:v>54</s:v>
      </s:c>
      <s:c r="X8" s="475" t="s">
        <s:v>55</s:v>
      </s:c>
      <s:c r="Y8" s="475" t="s">
        <s:v>56</s:v>
      </s:c>
      <s:c r="Z8" s="475" t="s">
        <s:v>57</s:v>
      </s:c>
      <s:c r="AA8" s="475" t="s">
        <s:v>58</s:v>
      </s:c>
      <s:c r="AB8" s="475" t="s">
        <s:v>59</s:v>
      </s:c>
      <s:c r="AC8" s="475" t="s">
        <s:v>53</s:v>
      </s:c>
      <s:c r="AD8" s="475" t="s">
        <s:v>54</s:v>
      </s:c>
      <s:c r="AE8" s="475" t="s">
        <s:v>55</s:v>
      </s:c>
      <s:c r="AF8" s="475" t="s">
        <s:v>56</s:v>
      </s:c>
      <s:c r="AG8" s="475" t="s">
        <s:v>57</s:v>
      </s:c>
      <s:c r="AH8" s="475"/>
      <s:c r="AI8" s="476"/>
      <s:c r="AJ8" s="300" t="s">
        <s:v>110</s:v>
      </s:c>
      <s:c r="AK8" s="300" t="s">
        <s:v>111</s:v>
      </s:c>
      <s:c r="AL8" s="744" t="s">
        <s:v>112</s:v>
      </s:c>
      <s:c r="AM8" s="744" t="s">
        <s:v>113</s:v>
      </s:c>
      <s:c r="AN8" s="747" t="s">
        <s:v>114</s:v>
      </s:c>
    </s:row>
    <s:row r="9" spans="1:40" ht="42" customHeight="1" thickBot="1">
      <s:c r="A9" s="301" t="s">
        <s:v>115</s:v>
      </s:c>
      <s:c r="B9" s="302" t="s">
        <s:v>116</s:v>
      </s:c>
      <s:c r="C9" s="303" t="s">
        <s:v>90</s:v>
      </s:c>
      <s:c r="D9" s="304">
        <s:v>1</s:v>
      </s:c>
      <s:c r="E9" s="304">
        <s:v>2</s:v>
      </s:c>
      <s:c r="F9" s="304">
        <s:v>3</s:v>
      </s:c>
      <s:c r="G9" s="304">
        <s:v>4</s:v>
      </s:c>
      <s:c r="H9" s="304">
        <s:v>5</s:v>
      </s:c>
      <s:c r="I9" s="304">
        <s:v>6</s:v>
      </s:c>
      <s:c r="J9" s="304">
        <s:v>7</s:v>
      </s:c>
      <s:c r="K9" s="304">
        <s:v>8</s:v>
      </s:c>
      <s:c r="L9" s="304">
        <s:v>9</s:v>
      </s:c>
      <s:c r="M9" s="304">
        <s:v>10</s:v>
      </s:c>
      <s:c r="N9" s="304">
        <s:v>11</s:v>
      </s:c>
      <s:c r="O9" s="304">
        <s:v>12</s:v>
      </s:c>
      <s:c r="P9" s="304">
        <s:v>13</s:v>
      </s:c>
      <s:c r="Q9" s="304">
        <s:v>14</s:v>
      </s:c>
      <s:c r="R9" s="304">
        <s:v>15</s:v>
      </s:c>
      <s:c r="S9" s="304">
        <s:v>16</s:v>
      </s:c>
      <s:c r="T9" s="304">
        <s:v>17</s:v>
      </s:c>
      <s:c r="U9" s="304">
        <s:v>18</s:v>
      </s:c>
      <s:c r="V9" s="304">
        <s:v>19</s:v>
      </s:c>
      <s:c r="W9" s="304">
        <s:v>20</s:v>
      </s:c>
      <s:c r="X9" s="304">
        <s:v>21</s:v>
      </s:c>
      <s:c r="Y9" s="304">
        <s:v>22</s:v>
      </s:c>
      <s:c r="Z9" s="304">
        <s:v>23</s:v>
      </s:c>
      <s:c r="AA9" s="304">
        <s:v>24</s:v>
      </s:c>
      <s:c r="AB9" s="304">
        <s:v>25</s:v>
      </s:c>
      <s:c r="AC9" s="304">
        <s:v>26</s:v>
      </s:c>
      <s:c r="AD9" s="304">
        <s:v>27</s:v>
      </s:c>
      <s:c r="AE9" s="304">
        <s:v>28</s:v>
      </s:c>
      <s:c r="AF9" s="304">
        <s:v>29</s:v>
      </s:c>
      <s:c r="AG9" s="304">
        <s:v>30</s:v>
      </s:c>
      <s:c r="AH9" s="304"/>
      <s:c r="AI9" s="305" t="s">
        <s:v>117</s:v>
      </s:c>
      <s:c r="AJ9" s="306"/>
      <s:c r="AK9" s="307"/>
      <s:c r="AL9" s="745"/>
      <s:c r="AM9" s="746"/>
      <s:c r="AN9" s="748"/>
    </s:row>
    <s:row r="10" spans="1:40">
      <s:c r="A10" s="335">
        <s:v>19</s:v>
      </s:c>
      <s:c r="B10" s="308"/>
      <s:c r="C10" s="309"/>
      <s:c r="D10" s="309"/>
      <s:c r="E10" s="309"/>
      <s:c r="F10" s="309"/>
      <s:c r="G10" s="309"/>
      <s:c r="H10" s="309"/>
      <s:c r="I10" s="309"/>
      <s:c r="J10" s="309"/>
      <s:c r="K10" s="309"/>
      <s:c r="L10" s="309"/>
      <s:c r="M10" s="309"/>
      <s:c r="N10" s="309"/>
      <s:c r="O10" s="309"/>
      <s:c r="P10" s="309"/>
      <s:c r="Q10" s="309"/>
      <s:c r="R10" s="309"/>
      <s:c r="S10" s="309"/>
      <s:c r="T10" s="309"/>
      <s:c r="U10" s="309"/>
      <s:c r="V10" s="309"/>
      <s:c r="W10" s="309"/>
      <s:c r="X10" s="309"/>
      <s:c r="Y10" s="309"/>
      <s:c r="Z10" s="310"/>
      <s:c r="AA10" s="310"/>
      <s:c r="AB10" s="310"/>
      <s:c r="AC10" s="310"/>
      <s:c r="AD10" s="310"/>
      <s:c r="AE10" s="310"/>
      <s:c r="AF10" s="309"/>
      <s:c r="AG10" s="309"/>
      <s:c r="AH10" s="311"/>
      <s:c r="AI10" s="312">
        <s:v>0</s:v>
      </s:c>
      <s:c r="AJ10" s="313">
        <s:v>0</s:v>
      </s:c>
      <s:c r="AK10" s="314">
        <s:v>0</s:v>
      </s:c>
      <s:c r="AL10" s="314">
        <s:v>0</s:v>
      </s:c>
      <s:c r="AM10" s="314">
        <s:v>0</s:v>
      </s:c>
      <s:c r="AN10" s="315">
        <s:v>0</s:v>
      </s:c>
    </s:row>
    <s:row r="11" spans="1:40">
      <s:c r="A11" s="349">
        <s:v>18</s:v>
      </s:c>
      <s:c r="B11" s="316"/>
      <s:c r="C11" s="317"/>
      <s:c r="D11" s="317"/>
      <s:c r="E11" s="317"/>
      <s:c r="F11" s="317"/>
      <s:c r="G11" s="317"/>
      <s:c r="H11" s="317"/>
      <s:c r="I11" s="317"/>
      <s:c r="J11" s="317"/>
      <s:c r="K11" s="317"/>
      <s:c r="L11" s="317"/>
      <s:c r="M11" s="317"/>
      <s:c r="N11" s="317"/>
      <s:c r="O11" s="317"/>
      <s:c r="P11" s="317"/>
      <s:c r="Q11" s="317"/>
      <s:c r="R11" s="317"/>
      <s:c r="S11" s="317"/>
      <s:c r="T11" s="317"/>
      <s:c r="U11" s="317"/>
      <s:c r="V11" s="317"/>
      <s:c r="W11" s="317"/>
      <s:c r="X11" s="317"/>
      <s:c r="Y11" s="317"/>
      <s:c r="Z11" s="318"/>
      <s:c r="AA11" s="318"/>
      <s:c r="AB11" s="318"/>
      <s:c r="AC11" s="318"/>
      <s:c r="AD11" s="318"/>
      <s:c r="AE11" s="318"/>
      <s:c r="AF11" s="317"/>
      <s:c r="AG11" s="317"/>
      <s:c r="AH11" s="319"/>
      <s:c r="AI11" s="320">
        <s:v>0</s:v>
      </s:c>
      <s:c r="AJ11" s="321">
        <s:v>0</s:v>
      </s:c>
      <s:c r="AK11" s="322">
        <s:v>0</s:v>
      </s:c>
      <s:c r="AL11" s="322">
        <s:v>0</s:v>
      </s:c>
      <s:c r="AM11" s="322">
        <s:v>0</s:v>
      </s:c>
      <s:c r="AN11" s="323">
        <s:v>0</s:v>
      </s:c>
    </s:row>
    <s:row r="12" spans="1:40">
      <s:c r="A12" s="335">
        <s:v>17</s:v>
      </s:c>
      <s:c r="B12" s="316"/>
      <s:c r="C12" s="317"/>
      <s:c r="D12" s="317"/>
      <s:c r="E12" s="317"/>
      <s:c r="F12" s="317"/>
      <s:c r="G12" s="317"/>
      <s:c r="H12" s="317"/>
      <s:c r="I12" s="317"/>
      <s:c r="J12" s="317"/>
      <s:c r="K12" s="317"/>
      <s:c r="L12" s="317"/>
      <s:c r="M12" s="317"/>
      <s:c r="N12" s="317"/>
      <s:c r="O12" s="317"/>
      <s:c r="P12" s="317"/>
      <s:c r="Q12" s="317"/>
      <s:c r="R12" s="317"/>
      <s:c r="S12" s="317"/>
      <s:c r="T12" s="317"/>
      <s:c r="U12" s="317"/>
      <s:c r="V12" s="317"/>
      <s:c r="W12" s="317"/>
      <s:c r="X12" s="317"/>
      <s:c r="Y12" s="317"/>
      <s:c r="Z12" s="318"/>
      <s:c r="AA12" s="318"/>
      <s:c r="AB12" s="318"/>
      <s:c r="AC12" s="318"/>
      <s:c r="AD12" s="318"/>
      <s:c r="AE12" s="318"/>
      <s:c r="AF12" s="317"/>
      <s:c r="AG12" s="317"/>
      <s:c r="AH12" s="319"/>
      <s:c r="AI12" s="320">
        <s:v>0</s:v>
      </s:c>
      <s:c r="AJ12" s="313">
        <s:v>0</s:v>
      </s:c>
      <s:c r="AK12" s="314">
        <s:v>0</s:v>
      </s:c>
      <s:c r="AL12" s="314">
        <s:v>0</s:v>
      </s:c>
      <s:c r="AM12" s="314">
        <s:v>0</s:v>
      </s:c>
      <s:c r="AN12" s="315">
        <s:v>0</s:v>
      </s:c>
    </s:row>
    <s:row r="13" spans="1:40">
      <s:c r="A13" s="335">
        <s:v>16</s:v>
      </s:c>
      <s:c r="B13" s="316"/>
      <s:c r="C13" s="317"/>
      <s:c r="D13" s="317"/>
      <s:c r="E13" s="317"/>
      <s:c r="F13" s="317"/>
      <s:c r="G13" s="317"/>
      <s:c r="H13" s="317"/>
      <s:c r="I13" s="317"/>
      <s:c r="J13" s="317"/>
      <s:c r="K13" s="317"/>
      <s:c r="L13" s="317"/>
      <s:c r="M13" s="317"/>
      <s:c r="N13" s="317"/>
      <s:c r="O13" s="317"/>
      <s:c r="P13" s="317"/>
      <s:c r="Q13" s="317"/>
      <s:c r="R13" s="317"/>
      <s:c r="S13" s="317"/>
      <s:c r="T13" s="317"/>
      <s:c r="U13" s="317"/>
      <s:c r="V13" s="317"/>
      <s:c r="W13" s="317"/>
      <s:c r="X13" s="317"/>
      <s:c r="Y13" s="317"/>
      <s:c r="Z13" s="317"/>
      <s:c r="AA13" s="317"/>
      <s:c r="AB13" s="317"/>
      <s:c r="AC13" s="317"/>
      <s:c r="AD13" s="317"/>
      <s:c r="AE13" s="317"/>
      <s:c r="AF13" s="317"/>
      <s:c r="AG13" s="317"/>
      <s:c r="AH13" s="319"/>
      <s:c r="AI13" s="320">
        <s:v>0</s:v>
      </s:c>
      <s:c r="AJ13" s="321">
        <s:v>0</s:v>
      </s:c>
      <s:c r="AK13" s="322">
        <s:v>0</s:v>
      </s:c>
      <s:c r="AL13" s="322">
        <s:v>0</s:v>
      </s:c>
      <s:c r="AM13" s="322">
        <s:v>0</s:v>
      </s:c>
      <s:c r="AN13" s="323">
        <s:v>0</s:v>
      </s:c>
    </s:row>
    <s:row r="14" spans="1:40">
      <s:c r="A14" s="349">
        <s:v>15</s:v>
      </s:c>
      <s:c r="B14" s="316"/>
      <s:c r="C14" s="317"/>
      <s:c r="D14" s="317"/>
      <s:c r="E14" s="317"/>
      <s:c r="F14" s="317"/>
      <s:c r="G14" s="317"/>
      <s:c r="H14" s="317"/>
      <s:c r="I14" s="317"/>
      <s:c r="J14" s="317"/>
      <s:c r="K14" s="317"/>
      <s:c r="L14" s="317"/>
      <s:c r="M14" s="317"/>
      <s:c r="N14" s="317"/>
      <s:c r="O14" s="317"/>
      <s:c r="P14" s="317"/>
      <s:c r="Q14" s="317"/>
      <s:c r="R14" s="317"/>
      <s:c r="S14" s="317"/>
      <s:c r="T14" s="324"/>
      <s:c r="U14" s="317"/>
      <s:c r="V14" s="317"/>
      <s:c r="W14" s="317"/>
      <s:c r="X14" s="317"/>
      <s:c r="Y14" s="317"/>
      <s:c r="Z14" s="317"/>
      <s:c r="AA14" s="317"/>
      <s:c r="AB14" s="317"/>
      <s:c r="AC14" s="317"/>
      <s:c r="AD14" s="317"/>
      <s:c r="AE14" s="317"/>
      <s:c r="AF14" s="317"/>
      <s:c r="AG14" s="317"/>
      <s:c r="AH14" s="319"/>
      <s:c r="AI14" s="320">
        <s:v>0</s:v>
      </s:c>
      <s:c r="AJ14" s="313">
        <s:v>0</s:v>
      </s:c>
      <s:c r="AK14" s="314">
        <s:v>0</s:v>
      </s:c>
      <s:c r="AL14" s="314">
        <s:v>0</s:v>
      </s:c>
      <s:c r="AM14" s="314">
        <s:v>0</s:v>
      </s:c>
      <s:c r="AN14" s="315">
        <s:v>0</s:v>
      </s:c>
    </s:row>
    <s:row r="15" spans="1:40">
      <s:c r="A15" s="335">
        <s:v>14</s:v>
      </s:c>
      <s:c r="B15" s="316"/>
      <s:c r="C15" s="317"/>
      <s:c r="D15" s="317"/>
      <s:c r="E15" s="317"/>
      <s:c r="F15" s="317"/>
      <s:c r="G15" s="317"/>
      <s:c r="H15" s="317"/>
      <s:c r="I15" s="317"/>
      <s:c r="J15" s="317"/>
      <s:c r="K15" s="317"/>
      <s:c r="L15" s="317"/>
      <s:c r="M15" s="317"/>
      <s:c r="N15" s="317"/>
      <s:c r="O15" s="317"/>
      <s:c r="P15" s="317"/>
      <s:c r="Q15" s="317"/>
      <s:c r="R15" s="317"/>
      <s:c r="S15" s="317"/>
      <s:c r="T15" s="317"/>
      <s:c r="U15" s="317"/>
      <s:c r="V15" s="317"/>
      <s:c r="W15" s="317"/>
      <s:c r="X15" s="317"/>
      <s:c r="Y15" s="317"/>
      <s:c r="Z15" s="317"/>
      <s:c r="AA15" s="317"/>
      <s:c r="AB15" s="317"/>
      <s:c r="AC15" s="317"/>
      <s:c r="AD15" s="317"/>
      <s:c r="AE15" s="317"/>
      <s:c r="AF15" s="317"/>
      <s:c r="AG15" s="317"/>
      <s:c r="AH15" s="319"/>
      <s:c r="AI15" s="320">
        <s:v>0</s:v>
      </s:c>
      <s:c r="AJ15" s="321">
        <s:v>0</s:v>
      </s:c>
      <s:c r="AK15" s="322">
        <s:v>0</s:v>
      </s:c>
      <s:c r="AL15" s="322">
        <s:v>0</s:v>
      </s:c>
      <s:c r="AM15" s="322">
        <s:v>0</s:v>
      </s:c>
      <s:c r="AN15" s="323">
        <s:v>0</s:v>
      </s:c>
    </s:row>
    <s:row r="16" spans="1:40">
      <s:c r="A16" s="335">
        <s:v>13</s:v>
      </s:c>
      <s:c r="B16" s="316"/>
      <s:c r="C16" s="317"/>
      <s:c r="D16" s="317"/>
      <s:c r="E16" s="317"/>
      <s:c r="F16" s="317"/>
      <s:c r="G16" s="317"/>
      <s:c r="H16" s="317"/>
      <s:c r="I16" s="317"/>
      <s:c r="J16" s="317"/>
      <s:c r="K16" s="317"/>
      <s:c r="L16" s="317"/>
      <s:c r="M16" s="317"/>
      <s:c r="N16" s="317"/>
      <s:c r="O16" s="317"/>
      <s:c r="P16" s="317"/>
      <s:c r="Q16" s="317"/>
      <s:c r="R16" s="317"/>
      <s:c r="S16" s="317"/>
      <s:c r="T16" s="317"/>
      <s:c r="U16" s="317"/>
      <s:c r="V16" s="317"/>
      <s:c r="W16" s="317"/>
      <s:c r="X16" s="317"/>
      <s:c r="Y16" s="317"/>
      <s:c r="Z16" s="317"/>
      <s:c r="AA16" s="317"/>
      <s:c r="AB16" s="317"/>
      <s:c r="AC16" s="317"/>
      <s:c r="AD16" s="317"/>
      <s:c r="AE16" s="317"/>
      <s:c r="AF16" s="317"/>
      <s:c r="AG16" s="317"/>
      <s:c r="AH16" s="319"/>
      <s:c r="AI16" s="320">
        <s:v>0</s:v>
      </s:c>
      <s:c r="AJ16" s="321">
        <s:v>0</s:v>
      </s:c>
      <s:c r="AK16" s="322">
        <s:v>0</s:v>
      </s:c>
      <s:c r="AL16" s="322">
        <s:v>0</s:v>
      </s:c>
      <s:c r="AM16" s="322">
        <s:v>0</s:v>
      </s:c>
      <s:c r="AN16" s="323">
        <s:v>0</s:v>
      </s:c>
    </s:row>
    <s:row r="17" spans="1:40">
      <s:c r="A17" s="349">
        <s:v>12</s:v>
      </s:c>
      <s:c r="B17" s="316"/>
      <s:c r="C17" s="317"/>
      <s:c r="D17" s="317"/>
      <s:c r="E17" s="317"/>
      <s:c r="F17" s="317"/>
      <s:c r="G17" s="317"/>
      <s:c r="H17" s="317"/>
      <s:c r="I17" s="317"/>
      <s:c r="J17" s="317"/>
      <s:c r="K17" s="317"/>
      <s:c r="L17" s="317"/>
      <s:c r="M17" s="317"/>
      <s:c r="N17" s="317"/>
      <s:c r="O17" s="317"/>
      <s:c r="P17" s="317"/>
      <s:c r="Q17" s="317"/>
      <s:c r="R17" s="317"/>
      <s:c r="S17" s="317"/>
      <s:c r="T17" s="317"/>
      <s:c r="U17" s="317"/>
      <s:c r="V17" s="317"/>
      <s:c r="W17" s="317"/>
      <s:c r="X17" s="317"/>
      <s:c r="Y17" s="317"/>
      <s:c r="Z17" s="317"/>
      <s:c r="AA17" s="317"/>
      <s:c r="AB17" s="317"/>
      <s:c r="AC17" s="317"/>
      <s:c r="AD17" s="317"/>
      <s:c r="AE17" s="317"/>
      <s:c r="AF17" s="317"/>
      <s:c r="AG17" s="317"/>
      <s:c r="AH17" s="319"/>
      <s:c r="AI17" s="320">
        <s:v>0</s:v>
      </s:c>
      <s:c r="AJ17" s="321">
        <s:v>0</s:v>
      </s:c>
      <s:c r="AK17" s="322">
        <s:v>0</s:v>
      </s:c>
      <s:c r="AL17" s="322">
        <s:v>0</s:v>
      </s:c>
      <s:c r="AM17" s="322">
        <s:v>0</s:v>
      </s:c>
      <s:c r="AN17" s="323">
        <s:v>0</s:v>
      </s:c>
    </s:row>
    <s:row r="18" spans="1:40">
      <s:c r="A18" s="335">
        <s:v>11</s:v>
      </s:c>
      <s:c r="B18" s="316"/>
      <s:c r="C18" s="317"/>
      <s:c r="D18" s="317"/>
      <s:c r="E18" s="317"/>
      <s:c r="F18" s="317"/>
      <s:c r="G18" s="317"/>
      <s:c r="H18" s="317"/>
      <s:c r="I18" s="317"/>
      <s:c r="J18" s="317"/>
      <s:c r="K18" s="317"/>
      <s:c r="L18" s="317"/>
      <s:c r="M18" s="317"/>
      <s:c r="N18" s="317"/>
      <s:c r="O18" s="317"/>
      <s:c r="P18" s="317"/>
      <s:c r="Q18" s="317"/>
      <s:c r="R18" s="317"/>
      <s:c r="S18" s="317"/>
      <s:c r="T18" s="317"/>
      <s:c r="U18" s="317"/>
      <s:c r="V18" s="317"/>
      <s:c r="W18" s="317"/>
      <s:c r="X18" s="317"/>
      <s:c r="Y18" s="317"/>
      <s:c r="Z18" s="317"/>
      <s:c r="AA18" s="317"/>
      <s:c r="AB18" s="317"/>
      <s:c r="AC18" s="317"/>
      <s:c r="AD18" s="317"/>
      <s:c r="AE18" s="317"/>
      <s:c r="AF18" s="317"/>
      <s:c r="AG18" s="317"/>
      <s:c r="AH18" s="319"/>
      <s:c r="AI18" s="320">
        <s:v>0</s:v>
      </s:c>
      <s:c r="AJ18" s="321">
        <s:v>0</s:v>
      </s:c>
      <s:c r="AK18" s="322">
        <s:v>0</s:v>
      </s:c>
      <s:c r="AL18" s="322">
        <s:v>0</s:v>
      </s:c>
      <s:c r="AM18" s="322">
        <s:v>0</s:v>
      </s:c>
      <s:c r="AN18" s="323">
        <s:v>0</s:v>
      </s:c>
    </s:row>
    <s:row r="19" spans="1:40">
      <s:c r="A19" s="335">
        <s:v>10</s:v>
      </s:c>
      <s:c r="B19" s="316"/>
      <s:c r="C19" s="317"/>
      <s:c r="D19" s="317"/>
      <s:c r="E19" s="317"/>
      <s:c r="F19" s="317"/>
      <s:c r="G19" s="317"/>
      <s:c r="H19" s="317"/>
      <s:c r="I19" s="317"/>
      <s:c r="J19" s="317"/>
      <s:c r="K19" s="317"/>
      <s:c r="L19" s="317"/>
      <s:c r="M19" s="317"/>
      <s:c r="N19" s="317"/>
      <s:c r="O19" s="317"/>
      <s:c r="P19" s="317"/>
      <s:c r="Q19" s="317"/>
      <s:c r="R19" s="317"/>
      <s:c r="S19" s="317"/>
      <s:c r="T19" s="317"/>
      <s:c r="U19" s="317"/>
      <s:c r="V19" s="317"/>
      <s:c r="W19" s="317"/>
      <s:c r="X19" s="317"/>
      <s:c r="Y19" s="317"/>
      <s:c r="Z19" s="317"/>
      <s:c r="AA19" s="317"/>
      <s:c r="AB19" s="317"/>
      <s:c r="AC19" s="317"/>
      <s:c r="AD19" s="317"/>
      <s:c r="AE19" s="317"/>
      <s:c r="AF19" s="317"/>
      <s:c r="AG19" s="317"/>
      <s:c r="AH19" s="319"/>
      <s:c r="AI19" s="320">
        <s:v>0</s:v>
      </s:c>
      <s:c r="AJ19" s="321">
        <s:v>0</s:v>
      </s:c>
      <s:c r="AK19" s="322">
        <s:v>0</s:v>
      </s:c>
      <s:c r="AL19" s="322">
        <s:v>0</s:v>
      </s:c>
      <s:c r="AM19" s="322">
        <s:v>0</s:v>
      </s:c>
      <s:c r="AN19" s="323">
        <s:v>0</s:v>
      </s:c>
    </s:row>
    <s:row r="20" spans="1:40">
      <s:c r="A20" s="349">
        <s:v>9</s:v>
      </s:c>
      <s:c r="B20" s="316"/>
      <s:c r="C20" s="325"/>
      <s:c r="D20" s="317"/>
      <s:c r="E20" s="317"/>
      <s:c r="F20" s="317"/>
      <s:c r="G20" s="317"/>
      <s:c r="H20" s="317"/>
      <s:c r="I20" s="317"/>
      <s:c r="J20" s="317"/>
      <s:c r="K20" s="317"/>
      <s:c r="L20" s="317"/>
      <s:c r="M20" s="317"/>
      <s:c r="N20" s="317"/>
      <s:c r="O20" s="317"/>
      <s:c r="P20" s="317"/>
      <s:c r="Q20" s="317"/>
      <s:c r="R20" s="317"/>
      <s:c r="S20" s="317"/>
      <s:c r="T20" s="317"/>
      <s:c r="U20" s="317"/>
      <s:c r="V20" s="317"/>
      <s:c r="W20" s="317"/>
      <s:c r="X20" s="317"/>
      <s:c r="Y20" s="317"/>
      <s:c r="Z20" s="317"/>
      <s:c r="AA20" s="317"/>
      <s:c r="AB20" s="317"/>
      <s:c r="AC20" s="317"/>
      <s:c r="AD20" s="317"/>
      <s:c r="AE20" s="317"/>
      <s:c r="AF20" s="317"/>
      <s:c r="AG20" s="317"/>
      <s:c r="AH20" s="319"/>
      <s:c r="AI20" s="320">
        <s:v>0</s:v>
      </s:c>
      <s:c r="AJ20" s="321">
        <s:v>0</s:v>
      </s:c>
      <s:c r="AK20" s="322">
        <s:v>0</s:v>
      </s:c>
      <s:c r="AL20" s="322">
        <s:v>0</s:v>
      </s:c>
      <s:c r="AM20" s="322">
        <s:v>0</s:v>
      </s:c>
      <s:c r="AN20" s="323">
        <s:v>0</s:v>
      </s:c>
    </s:row>
    <s:row r="21" spans="1:40">
      <s:c r="A21" s="335">
        <s:v>8</s:v>
      </s:c>
      <s:c r="B21" s="316"/>
      <s:c r="C21" s="317"/>
      <s:c r="D21" s="317"/>
      <s:c r="E21" s="317"/>
      <s:c r="F21" s="317"/>
      <s:c r="G21" s="317"/>
      <s:c r="H21" s="317"/>
      <s:c r="I21" s="317"/>
      <s:c r="J21" s="317"/>
      <s:c r="K21" s="317"/>
      <s:c r="L21" s="317"/>
      <s:c r="M21" s="317"/>
      <s:c r="N21" s="317"/>
      <s:c r="O21" s="317"/>
      <s:c r="P21" s="317"/>
      <s:c r="Q21" s="317"/>
      <s:c r="R21" s="317"/>
      <s:c r="S21" s="317"/>
      <s:c r="T21" s="317"/>
      <s:c r="U21" s="317"/>
      <s:c r="V21" s="317"/>
      <s:c r="W21" s="317"/>
      <s:c r="X21" s="317"/>
      <s:c r="Y21" s="317"/>
      <s:c r="Z21" s="317"/>
      <s:c r="AA21" s="317"/>
      <s:c r="AB21" s="317"/>
      <s:c r="AC21" s="317"/>
      <s:c r="AD21" s="317"/>
      <s:c r="AE21" s="317"/>
      <s:c r="AF21" s="317"/>
      <s:c r="AG21" s="317"/>
      <s:c r="AH21" s="319"/>
      <s:c r="AI21" s="320">
        <s:f>COUNTIF(D21:AH21, "&gt;0")</s:f>
        <s:v>0</s:v>
      </s:c>
      <s:c r="AJ21" s="321">
        <s:v>0</s:v>
      </s:c>
      <s:c r="AK21" s="322">
        <s:v>0</s:v>
      </s:c>
      <s:c r="AL21" s="322">
        <s:v>0</s:v>
      </s:c>
      <s:c r="AM21" s="322">
        <s:v>0</s:v>
      </s:c>
      <s:c r="AN21" s="323">
        <s:v>0</s:v>
      </s:c>
    </s:row>
    <s:row r="22" spans="1:40">
      <s:c r="A22" s="335">
        <s:v>7</s:v>
      </s:c>
      <s:c r="B22" s="326"/>
      <s:c r="C22" s="327"/>
      <s:c r="D22" s="327"/>
      <s:c r="E22" s="327"/>
      <s:c r="F22" s="327"/>
      <s:c r="G22" s="327"/>
      <s:c r="H22" s="327"/>
      <s:c r="I22" s="327"/>
      <s:c r="J22" s="327"/>
      <s:c r="K22" s="327"/>
      <s:c r="L22" s="327"/>
      <s:c r="M22" s="327"/>
      <s:c r="N22" s="328"/>
      <s:c r="O22" s="329"/>
      <s:c r="P22" s="329"/>
      <s:c r="Q22" s="329"/>
      <s:c r="R22" s="329"/>
      <s:c r="S22" s="329"/>
      <s:c r="T22" s="329"/>
      <s:c r="U22" s="329"/>
      <s:c r="V22" s="329"/>
      <s:c r="W22" s="330"/>
      <s:c r="X22" s="329"/>
      <s:c r="Y22" s="329"/>
      <s:c r="Z22" s="329"/>
      <s:c r="AA22" s="329"/>
      <s:c r="AB22" s="329"/>
      <s:c r="AC22" s="329"/>
      <s:c r="AD22" s="329"/>
      <s:c r="AE22" s="329"/>
      <s:c r="AF22" s="329"/>
      <s:c r="AG22" s="329"/>
      <s:c r="AH22" s="331"/>
      <s:c r="AI22" s="320">
        <s:f>COUNTIF(D22:AH22, "&gt;0")</s:f>
        <s:v>0</s:v>
      </s:c>
      <s:c r="AJ22" s="321">
        <s:v>0</s:v>
      </s:c>
      <s:c r="AK22" s="322">
        <s:v>0</s:v>
      </s:c>
      <s:c r="AL22" s="322">
        <s:v>0</s:v>
      </s:c>
      <s:c r="AM22" s="322">
        <s:v>0</s:v>
      </s:c>
      <s:c r="AN22" s="323">
        <s:v>0</s:v>
      </s:c>
    </s:row>
    <s:row r="23" spans="1:40" ht="16">
      <s:c r="A23" s="349">
        <s:v>6</s:v>
      </s:c>
      <s:c r="B23" s="332"/>
      <s:c r="C23" s="333"/>
      <s:c r="D23" s="334"/>
      <s:c r="E23" s="334"/>
      <s:c r="F23" s="334"/>
      <s:c r="G23" s="334"/>
      <s:c r="H23" s="329"/>
      <s:c r="I23" s="329"/>
      <s:c r="J23" s="327"/>
      <s:c r="K23" s="327"/>
      <s:c r="L23" s="329"/>
      <s:c r="M23" s="329"/>
      <s:c r="N23" s="327"/>
      <s:c r="O23" s="327"/>
      <s:c r="P23" s="329"/>
      <s:c r="Q23" s="329"/>
      <s:c r="R23" s="327"/>
      <s:c r="S23" s="327"/>
      <s:c r="T23" s="329"/>
      <s:c r="U23" s="329"/>
      <s:c r="V23" s="329"/>
      <s:c r="W23" s="327"/>
      <s:c r="X23" s="327"/>
      <s:c r="Y23" s="329"/>
      <s:c r="Z23" s="329"/>
      <s:c r="AA23" s="329"/>
      <s:c r="AB23" s="327"/>
      <s:c r="AC23" s="327"/>
      <s:c r="AD23" s="329"/>
      <s:c r="AE23" s="329"/>
      <s:c r="AF23" s="329"/>
      <s:c r="AG23" s="329"/>
      <s:c r="AH23" s="327"/>
      <s:c r="AI23" s="320">
        <s:f>COUNTIF(D23:AH23, "&gt;0")</s:f>
        <s:v>0</s:v>
      </s:c>
      <s:c r="AJ23" s="321">
        <s:v>0</s:v>
      </s:c>
      <s:c r="AK23" s="322">
        <s:v>0</s:v>
      </s:c>
      <s:c r="AL23" s="322">
        <s:v>0</s:v>
      </s:c>
      <s:c r="AM23" s="322">
        <s:v>0</s:v>
      </s:c>
      <s:c r="AN23" s="323">
        <s:v>0</s:v>
      </s:c>
    </s:row>
    <s:row r="24" spans="1:40" ht="16">
      <s:c r="A24" s="335">
        <s:v>5</s:v>
      </s:c>
      <s:c r="B24" s="332"/>
      <s:c r="C24" s="333"/>
      <s:c r="D24" s="336"/>
      <s:c r="E24" s="336"/>
      <s:c r="F24" s="336"/>
      <s:c r="G24" s="334"/>
      <s:c r="H24" s="337"/>
      <s:c r="I24" s="337"/>
      <s:c r="J24" s="338"/>
      <s:c r="K24" s="338"/>
      <s:c r="L24" s="338"/>
      <s:c r="M24" s="338"/>
      <s:c r="N24" s="338"/>
      <s:c r="O24" s="338"/>
      <s:c r="P24" s="338"/>
      <s:c r="Q24" s="338"/>
      <s:c r="R24" s="338"/>
      <s:c r="S24" s="327"/>
      <s:c r="T24" s="337"/>
      <s:c r="U24" s="337"/>
      <s:c r="V24" s="337"/>
      <s:c r="W24" s="338"/>
      <s:c r="X24" s="338"/>
      <s:c r="Y24" s="337"/>
      <s:c r="Z24" s="337"/>
      <s:c r="AA24" s="337"/>
      <s:c r="AB24" s="339"/>
      <s:c r="AC24" s="338"/>
      <s:c r="AD24" s="337"/>
      <s:c r="AE24" s="337"/>
      <s:c r="AF24" s="337"/>
      <s:c r="AG24" s="337"/>
      <s:c r="AH24" s="338"/>
      <s:c r="AI24" s="340">
        <s:f>COUNTIF(D24:AH24,"&gt;0")</s:f>
        <s:v>0</s:v>
      </s:c>
      <s:c r="AJ24" s="341">
        <s:f>SUMIF(D24:AH24,"&gt;0")</s:f>
        <s:v>0</s:v>
      </s:c>
      <s:c r="AK24" s="342">
        <s:f>COUNTIF(D24:AH24,"В")</s:f>
        <s:v>0</s:v>
      </s:c>
      <s:c r="AL24" s="342">
        <s:f>COUNTIF(E24:AI24,"о")</s:f>
        <s:v>0</s:v>
      </s:c>
      <s:c r="AM24" s="342">
        <s:f>COUNTIF(F24:AJ24,"б")</s:f>
        <s:v>0</s:v>
      </s:c>
      <s:c r="AN24" s="343">
        <s:v>0</s:v>
      </s:c>
    </s:row>
    <s:row r="25" spans="1:40" ht="16">
      <s:c r="A25" s="335">
        <s:v>4</s:v>
      </s:c>
      <s:c r="B25" s="332" t="s">
        <s:v>148</s:v>
      </s:c>
      <s:c r="C25" s="329"/>
      <s:c r="D25" s="334"/>
      <s:c r="E25" s="334"/>
      <s:c r="F25" s="334"/>
      <s:c r="G25" s="334"/>
      <s:c r="H25" s="334"/>
      <s:c r="I25" s="327"/>
      <s:c r="J25" s="329"/>
      <s:c r="K25" s="337"/>
      <s:c r="L25" s="337"/>
      <s:c r="M25" s="337"/>
      <s:c r="N25" s="337"/>
      <s:c r="O25" s="338"/>
      <s:c r="P25" s="338"/>
      <s:c r="Q25" s="337"/>
      <s:c r="R25" s="338"/>
      <s:c r="S25" s="344"/>
      <s:c r="T25" s="338"/>
      <s:c r="U25" s="337"/>
      <s:c r="V25" s="337"/>
      <s:c r="W25" s="337"/>
      <s:c r="X25" s="337"/>
      <s:c r="Y25" s="337"/>
      <s:c r="Z25" s="337"/>
      <s:c r="AA25" s="584" t="s">
        <s:v>149</s:v>
      </s:c>
      <s:c r="AB25" s="337" t="s">
        <s:v>76</s:v>
      </s:c>
      <s:c r="AC25" s="584" t="s">
        <s:v>150</s:v>
      </s:c>
      <s:c r="AD25" s="360" t="s">
        <s:v>76</s:v>
      </s:c>
      <s:c r="AE25" s="584" t="s">
        <s:v>150</s:v>
      </s:c>
      <s:c r="AF25" s="360" t="s">
        <s:v>76</s:v>
      </s:c>
      <s:c r="AG25" s="360" t="s">
        <s:v>76</s:v>
      </s:c>
      <s:c r="AH25" s="337"/>
      <s:c r="AI25" s="345">
        <s:f>COUNTIF(D25:AH25, "&gt;0")</s:f>
        <s:v>0</s:v>
      </s:c>
      <s:c r="AJ25" s="346">
        <s:f>SUMIF(D25:AH25,"&gt;0")</s:f>
        <s:v>0</s:v>
      </s:c>
      <s:c r="AK25" s="347">
        <s:f>COUNTIF(D25:AH25, "В")</s:f>
        <s:v>4</s:v>
      </s:c>
      <s:c r="AL25" s="347">
        <s:v>0</s:v>
      </s:c>
      <s:c r="AM25" s="347">
        <s:v>0</s:v>
      </s:c>
      <s:c r="AN25" s="348">
        <s:v>0</s:v>
      </s:c>
    </s:row>
    <s:row r="26" spans="1:40" ht="16">
      <s:c r="A26" s="349">
        <s:v>3</s:v>
      </s:c>
      <s:c r="B26" s="332" t="s">
        <s:v>122</s:v>
      </s:c>
      <s:c r="C26" s="350" t="s">
        <s:v>95</s:v>
      </s:c>
      <s:c r="D26" s="358" t="s">
        <s:v>76</s:v>
      </s:c>
      <s:c r="E26" s="426" t="s">
        <s:v>76</s:v>
      </s:c>
      <s:c r="F26" s="359">
        <s:v>11</s:v>
      </s:c>
      <s:c r="G26" s="359">
        <s:v>11</s:v>
      </s:c>
      <s:c r="H26" s="358" t="s">
        <s:v>76</s:v>
      </s:c>
      <s:c r="I26" s="426" t="s">
        <s:v>76</s:v>
      </s:c>
      <s:c r="J26" s="428">
        <s:v>11</s:v>
      </s:c>
      <s:c r="K26" s="359">
        <s:v>11</s:v>
      </s:c>
      <s:c r="L26" s="358" t="s">
        <s:v>76</s:v>
      </s:c>
      <s:c r="M26" s="358" t="s">
        <s:v>76</s:v>
      </s:c>
      <s:c r="N26" s="584">
        <s:v>11</s:v>
      </s:c>
      <s:c r="O26" s="584">
        <s:v>11</s:v>
      </s:c>
      <s:c r="P26" s="358" t="s">
        <s:v>76</s:v>
      </s:c>
      <s:c r="Q26" s="358" t="s">
        <s:v>76</s:v>
      </s:c>
      <s:c r="R26" s="359">
        <s:v>11</s:v>
      </s:c>
      <s:c r="S26" s="428">
        <s:v>11</s:v>
      </s:c>
      <s:c r="T26" s="327" t="s">
        <s:v>146</s:v>
      </s:c>
      <s:c r="U26" s="327" t="s">
        <s:v>146</s:v>
      </s:c>
      <s:c r="V26" s="327" t="s">
        <s:v>146</s:v>
      </s:c>
      <s:c r="W26" s="327" t="s">
        <s:v>146</s:v>
      </s:c>
      <s:c r="X26" s="327" t="s">
        <s:v>146</s:v>
      </s:c>
      <s:c r="Y26" s="327" t="s">
        <s:v>146</s:v>
      </s:c>
      <s:c r="Z26" s="327" t="s">
        <s:v>146</s:v>
      </s:c>
      <s:c r="AA26" s="327" t="s">
        <s:v>146</s:v>
      </s:c>
      <s:c r="AB26" s="327" t="s">
        <s:v>146</s:v>
      </s:c>
      <s:c r="AC26" s="327" t="s">
        <s:v>146</s:v>
      </s:c>
      <s:c r="AD26" s="327" t="s">
        <s:v>146</s:v>
      </s:c>
      <s:c r="AE26" s="327" t="s">
        <s:v>146</s:v>
      </s:c>
      <s:c r="AF26" s="327" t="s">
        <s:v>146</s:v>
      </s:c>
      <s:c r="AG26" s="327" t="s">
        <s:v>146</s:v>
      </s:c>
      <s:c r="AH26" s="327"/>
      <s:c r="AI26" s="351">
        <s:f>COUNTIF(D26:AH26,"&gt;0")</s:f>
        <s:v>8</s:v>
      </s:c>
      <s:c r="AJ26" s="341">
        <s:f>SUMIF(D26:AH26,"&gt;0")</s:f>
        <s:v>88</s:v>
      </s:c>
      <s:c r="AK26" s="342">
        <s:f>COUNTIF(D26:AH26,"В")</s:f>
        <s:v>8</s:v>
      </s:c>
      <s:c r="AL26" s="342">
        <s:f>COUNTIF(E26:AI26,"о")</s:f>
        <s:v>0</s:v>
      </s:c>
      <s:c r="AM26" s="342">
        <s:f>COUNTIF(F26:AJ26,"б")</s:f>
        <s:v>0</s:v>
      </s:c>
      <s:c r="AN26" s="352">
        <s:v>0</s:v>
      </s:c>
    </s:row>
    <s:row r="27" spans="1:40" ht="16">
      <s:c r="A27" s="335">
        <s:v>2</s:v>
      </s:c>
      <s:c r="B27" s="332" t="s">
        <s:v>67</s:v>
      </s:c>
      <s:c r="C27" s="350" t="s">
        <s:v>95</s:v>
      </s:c>
      <s:c r="D27" s="359">
        <s:v>11</s:v>
      </s:c>
      <s:c r="E27" s="359">
        <s:v>11</s:v>
      </s:c>
      <s:c r="F27" s="358" t="s">
        <s:v>76</s:v>
      </s:c>
      <s:c r="G27" s="358" t="s">
        <s:v>76</s:v>
      </s:c>
      <s:c r="H27" s="427">
        <s:v>11</s:v>
      </s:c>
      <s:c r="I27" s="427">
        <s:v>11</s:v>
      </s:c>
      <s:c r="J27" s="358" t="s">
        <s:v>76</s:v>
      </s:c>
      <s:c r="K27" s="360" t="s">
        <s:v>76</s:v>
      </s:c>
      <s:c r="L27" s="359">
        <s:v>11</s:v>
      </s:c>
      <s:c r="M27" s="359">
        <s:v>11</s:v>
      </s:c>
      <s:c r="N27" s="358" t="s">
        <s:v>76</s:v>
      </s:c>
      <s:c r="O27" s="360" t="s">
        <s:v>76</s:v>
      </s:c>
      <s:c r="P27" s="585">
        <s:v>11</s:v>
      </s:c>
      <s:c r="Q27" s="359">
        <s:v>11</s:v>
      </s:c>
      <s:c r="R27" s="359">
        <s:v>6</s:v>
      </s:c>
      <s:c r="S27" s="358" t="s">
        <s:v>76</s:v>
      </s:c>
      <s:c r="T27" s="359">
        <s:v>11</s:v>
      </s:c>
      <s:c r="U27" s="359">
        <s:v>11</s:v>
      </s:c>
      <s:c r="V27" s="358" t="s">
        <s:v>76</s:v>
      </s:c>
      <s:c r="W27" s="359">
        <s:v>11</s:v>
      </s:c>
      <s:c r="X27" s="359">
        <s:v>11</s:v>
      </s:c>
      <s:c r="Y27" s="585">
        <s:v>11</s:v>
      </s:c>
      <s:c r="Z27" s="359">
        <s:v>11</s:v>
      </s:c>
      <s:c r="AA27" s="358" t="s">
        <s:v>76</s:v>
      </s:c>
      <s:c r="AB27" s="586">
        <s:v>5</s:v>
      </s:c>
      <s:c r="AC27" s="584">
        <s:v>11</s:v>
      </s:c>
      <s:c r="AD27" s="360" t="s">
        <s:v>76</s:v>
      </s:c>
      <s:c r="AE27" s="586">
        <s:v>11</s:v>
      </s:c>
      <s:c r="AF27" s="585">
        <s:v>11</s:v>
      </s:c>
      <s:c r="AG27" s="584">
        <s:v>11</s:v>
      </s:c>
      <s:c r="AH27" s="358"/>
      <s:c r="AI27" s="351">
        <s:f>COUNTIF(D27:AH27,"&gt;0")</s:f>
        <s:v>20</s:v>
      </s:c>
      <s:c r="AJ27" s="341">
        <s:f>SUMIF(D27:AH27,"&gt;0")</s:f>
        <s:v>209</s:v>
      </s:c>
      <s:c r="AK27" s="342">
        <s:f>COUNTIF(D27:AH27,"В")</s:f>
        <s:v>10</s:v>
      </s:c>
      <s:c r="AL27" s="342">
        <s:f>COUNTIF(E27:AI27,"о")</s:f>
        <s:v>0</s:v>
      </s:c>
      <s:c r="AM27" s="342">
        <s:f>COUNTIF(F27:AJ27,"б")</s:f>
        <s:v>0</s:v>
      </s:c>
      <s:c r="AN27" s="343">
        <s:v>0</s:v>
      </s:c>
    </s:row>
    <s:row r="28" spans="1:40" ht="16">
      <s:c r="A28" s="335">
        <s:v>1</s:v>
      </s:c>
      <s:c r="B28" s="353" t="s">
        <s:v>65</s:v>
      </s:c>
      <s:c r="C28" s="350" t="s">
        <s:v>118</s:v>
      </s:c>
      <s:c r="D28" s="359">
        <s:v>9</s:v>
      </s:c>
      <s:c r="E28" s="359">
        <s:v>9</s:v>
      </s:c>
      <s:c r="F28" s="359">
        <s:v>9</s:v>
      </s:c>
      <s:c r="G28" s="359">
        <s:v>9</s:v>
      </s:c>
      <s:c r="H28" s="359">
        <s:v>9</s:v>
      </s:c>
      <s:c r="I28" s="583" t="s">
        <s:v>139</s:v>
      </s:c>
      <s:c r="J28" s="583" t="s">
        <s:v>139</s:v>
      </s:c>
      <s:c r="K28" s="583" t="s">
        <s:v>139</s:v>
      </s:c>
      <s:c r="L28" s="583" t="s">
        <s:v>139</s:v>
      </s:c>
      <s:c r="M28" s="583" t="s">
        <s:v>139</s:v>
      </s:c>
      <s:c r="N28" s="359">
        <s:v>9</s:v>
      </s:c>
      <s:c r="O28" s="359">
        <s:v>9</s:v>
      </s:c>
      <s:c r="P28" s="359">
        <s:v>9</s:v>
      </s:c>
      <s:c r="Q28" s="359">
        <s:v>9</s:v>
      </s:c>
      <s:c r="R28" s="358" t="s">
        <s:v>76</s:v>
      </s:c>
      <s:c r="S28" s="586">
        <s:v>9</s:v>
      </s:c>
      <s:c r="T28" s="359">
        <s:v>9</s:v>
      </s:c>
      <s:c r="U28" s="359">
        <s:v>10</s:v>
      </s:c>
      <s:c r="V28" s="359">
        <s:v>11</s:v>
      </s:c>
      <s:c r="W28" s="583" t="s">
        <s:v>139</s:v>
      </s:c>
      <s:c r="X28" s="583" t="s">
        <s:v>139</s:v>
      </s:c>
      <s:c r="Y28" s="583" t="s">
        <s:v>139</s:v>
      </s:c>
      <s:c r="Z28" s="583" t="s">
        <s:v>139</s:v>
      </s:c>
      <s:c r="AA28" s="586">
        <s:v>11</s:v>
      </s:c>
      <s:c r="AB28" s="586">
        <s:v>9</s:v>
      </s:c>
      <s:c r="AC28" s="586">
        <s:v>9</s:v>
      </s:c>
      <s:c r="AD28" s="586">
        <s:v>11</s:v>
      </s:c>
      <s:c r="AE28" s="586">
        <s:v>8</s:v>
      </s:c>
      <s:c r="AF28" s="586">
        <s:v>6</s:v>
      </s:c>
      <s:c r="AG28" s="583" t="s">
        <s:v>139</s:v>
      </s:c>
      <s:c r="AH28" s="358"/>
      <s:c r="AI28" s="351">
        <s:f>COUNTIF(D28:AH28,"&gt;0")</s:f>
        <s:v>19</s:v>
      </s:c>
      <s:c r="AJ28" s="341">
        <s:f>SUMIF(D28:AH28,"&gt;0")</s:f>
        <s:v>174</s:v>
      </s:c>
      <s:c r="AK28" s="342">
        <s:f>COUNTIF(D28:AH28,"В")</s:f>
        <s:v>1</s:v>
      </s:c>
      <s:c r="AL28" s="342">
        <s:f>COUNTIF(E28:AI28,"о")</s:f>
        <s:v>0</s:v>
      </s:c>
      <s:c r="AM28" s="342">
        <s:f>COUNTIF(F28:AJ28,"б")</s:f>
        <s:v>0</s:v>
      </s:c>
      <s:c r="AN28" s="343">
        <s:v>0</s:v>
      </s:c>
    </s:row>
    <s:row r="29" spans="1:40" ht="19" customHeight="1">
      <s:c r="A29" s="354"/>
      <s:c r="B29" s="355" t="s">
        <s:v>119</s:v>
      </s:c>
      <s:c r="C29" s="356"/>
      <s:c r="D29" s="441">
        <s:f validation_="true">COUNTIF(D10:D28, "&gt;0")</s:f>
        <s:v>2</s:v>
      </s:c>
      <s:c r="E29" s="442">
        <s:f validation_="true">COUNTIF(E10:E28, "&gt;0")</s:f>
        <s:v>2</s:v>
      </s:c>
      <s:c r="F29" s="442">
        <s:f validation_="true">COUNTIF(F10:F28, "&gt;0")</s:f>
        <s:v>2</s:v>
      </s:c>
      <s:c r="G29" s="442">
        <s:f validation_="true">COUNTIF(G10:G28, "&gt;0")</s:f>
        <s:v>2</s:v>
      </s:c>
      <s:c r="H29" s="442">
        <s:f validation_="true">COUNTIF(H10:H28, "&gt;0")</s:f>
        <s:v>2</s:v>
      </s:c>
      <s:c r="I29" s="442">
        <s:f validation_="true">COUNTIF(I10:I28, "&gt;0")</s:f>
        <s:v>1</s:v>
      </s:c>
      <s:c r="J29" s="442">
        <s:f validation_="true">COUNTIF(J10:J28, "&gt;0")</s:f>
        <s:v>1</s:v>
      </s:c>
      <s:c r="K29" s="442">
        <s:f validation_="true">COUNTIF(K10:K28, "&gt;0")</s:f>
        <s:v>1</s:v>
      </s:c>
      <s:c r="L29" s="442">
        <s:f validation_="true">COUNTIF(L10:L28, "&gt;0")</s:f>
        <s:v>1</s:v>
      </s:c>
      <s:c r="M29" s="442">
        <s:f validation_="true">COUNTIF(M10:M28, "&gt;0")</s:f>
        <s:v>1</s:v>
      </s:c>
      <s:c r="N29" s="442">
        <s:f validation_="true">COUNTIF(N10:N28, "&gt;0")</s:f>
        <s:v>2</s:v>
      </s:c>
      <s:c r="O29" s="442">
        <s:f validation_="true">COUNTIF(O10:O28, "&gt;0")</s:f>
        <s:v>2</s:v>
      </s:c>
      <s:c r="P29" s="442">
        <s:f validation_="true">COUNTIF(P10:P28, "&gt;0")</s:f>
        <s:v>2</s:v>
      </s:c>
      <s:c r="Q29" s="442">
        <s:f validation_="true">COUNTIF(Q10:Q28, "&gt;0")</s:f>
        <s:v>2</s:v>
      </s:c>
      <s:c r="R29" s="442">
        <s:f validation_="true">COUNTIF(R10:R28, "&gt;0")</s:f>
        <s:v>2</s:v>
      </s:c>
      <s:c r="S29" s="442">
        <s:f validation_="true">COUNTIF(S10:S28, "&gt;0")</s:f>
        <s:v>2</s:v>
      </s:c>
      <s:c r="T29" s="442">
        <s:f validation_="true">COUNTIF(T10:T28, "&gt;0")</s:f>
        <s:v>2</s:v>
      </s:c>
      <s:c r="U29" s="442">
        <s:f validation_="true">COUNTIF(U10:U28, "&gt;0")</s:f>
        <s:v>2</s:v>
      </s:c>
      <s:c r="V29" s="442">
        <s:f validation_="true">COUNTIF(V10:V28, "&gt;0")</s:f>
        <s:v>1</s:v>
      </s:c>
      <s:c r="W29" s="442">
        <s:f validation_="true">COUNTIF(W10:W28, "&gt;0")</s:f>
        <s:v>1</s:v>
      </s:c>
      <s:c r="X29" s="442">
        <s:f validation_="true">COUNTIF(X10:X28, "&gt;0")</s:f>
        <s:v>1</s:v>
      </s:c>
      <s:c r="Y29" s="442">
        <s:f validation_="true">COUNTIF(Y10:Y28, "&gt;0")</s:f>
        <s:v>1</s:v>
      </s:c>
      <s:c r="Z29" s="442">
        <s:f validation_="true">COUNTIF(Z10:Z28, "&gt;0")</s:f>
        <s:v>1</s:v>
      </s:c>
      <s:c r="AA29" s="442">
        <s:f validation_="true">COUNTIF(AA10:AA28, "&gt;0")</s:f>
        <s:v>1</s:v>
      </s:c>
      <s:c r="AB29" s="442">
        <s:f validation_="true">COUNTIF(AB10:AB28, "&gt;0")</s:f>
        <s:v>2</s:v>
      </s:c>
      <s:c r="AC29" s="442">
        <s:f validation_="true">COUNTIF(AC10:AC28, "&gt;0")</s:f>
        <s:v>2</s:v>
      </s:c>
      <s:c r="AD29" s="442">
        <s:f validation_="true">COUNTIF(AD10:AD28, "&gt;0")</s:f>
        <s:v>1</s:v>
      </s:c>
      <s:c r="AE29" s="442">
        <s:f validation_="true">COUNTIF(AE10:AE28, "&gt;0")</s:f>
        <s:v>2</s:v>
      </s:c>
      <s:c r="AF29" s="442">
        <s:f validation_="true">COUNTIF(AF10:AF28, "&gt;0")</s:f>
        <s:v>2</s:v>
      </s:c>
      <s:c r="AG29" s="442">
        <s:f validation_="true">COUNTIF(AG10:AG28, "&gt;0")</s:f>
        <s:v>1</s:v>
      </s:c>
      <s:c r="AH29" s="443">
        <s:f validation_="true">COUNTIF(AH10:AH28, "&gt;0")</s:f>
        <s:v>0</s:v>
      </s:c>
      <s:c r="AI29" s="440">
        <s:f validation_="true">SUM(AI10:AI28)</s:f>
        <s:v>47</s:v>
      </s:c>
      <s:c r="AJ29" s="357">
        <s:f validation_="true">SUM(AJ10:AJ28)</s:f>
        <s:v>471</s:v>
      </s:c>
      <s:c r="AK29" s="357">
        <s:f validation_="true">SUM(AK10:AK28)</s:f>
        <s:v>23</s:v>
      </s:c>
      <s:c r="AL29" s="357">
        <s:f validation_="true">SUM(AL10:AL28)</s:f>
        <s:v>0</s:v>
      </s:c>
      <s:c r="AM29" s="357">
        <s:f validation_="true">SUM(AM10:AM28)</s:f>
        <s:v>0</s:v>
      </s:c>
      <s:c r="AN29" s="357">
        <s:f validation_="true">SUM(AN10:AN28)</s:f>
        <s:v>0</s:v>
      </s:c>
    </s:row>
    <s:row r="31" spans="1:40">
      <s:c r="P31" s="3" t="s">
        <s:v>120</s:v>
      </s:c>
    </s:row>
    <s:row r="32" spans="1:40" ht="14.25" customHeight="1"/>
  </s:sheetData>
  <s:mergeCells count="7">
    <s:mergeCell ref="AJ5:AK5"/>
    <s:mergeCell ref="AL5:AN5"/>
    <s:mergeCell ref="C6:AJ6"/>
    <s:mergeCell ref="C7:AJ7"/>
    <s:mergeCell ref="AL8:AL9"/>
    <s:mergeCell ref="AM8:AM9"/>
    <s:mergeCell ref="AN8:AN9"/>
  </s:mergeCells>
  <s:pageMargins left="0.7" right="0.7" top="0.75" bottom="0.75" header="0.3" footer="0.3"/>
  <s:pageSetup paperSize="9" fitToWidth="0" fitToHeight="0" orientation="portrait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11</vt:i4>
      </vt:variant>
    </vt:vector>
  </ep:HeadingPairs>
  <ep:TitlesOfParts>
    <vt:vector size="11" baseType="lpstr">
      <vt:lpstr>Ялта, Ленина, 18</vt:lpstr>
      <vt:lpstr>Св. по пок.</vt:lpstr>
      <vt:lpstr>План на день</vt:lpstr>
      <vt:lpstr>Рогалевич</vt:lpstr>
      <vt:lpstr>Уразгильдеева</vt:lpstr>
      <vt:lpstr>Самошкина</vt:lpstr>
      <vt:lpstr>Вед-ть Рогалевич</vt:lpstr>
      <vt:lpstr>Вед-ть Уразгильдеева</vt:lpstr>
      <vt:lpstr>Вед-ть Самошкина</vt:lpstr>
      <vt:lpstr>Конкурс</vt:lpstr>
      <vt:lpstr>График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terms="http://purl.org/dc/terms/">
  <cp:lastModifiedBy>1</cp:lastModifiedBy>
  <cp:revision>1044</cp:revision>
  <dcterms:created xsi:type="dcterms:W3CDTF">2025-04-30T22:17:27Z</dcterms:created>
  <dcterms:modified xsi:type="dcterms:W3CDTF">2026-05-10T19:09:33Z</dcterms:modified>
</cp:coreProperties>
</file>